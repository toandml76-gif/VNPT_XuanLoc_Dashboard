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DuLieu" sheetId="1" state="visible" r:id="rId1"/>
    <sheet name="BaoCao_NhapLieu" sheetId="2" state="visible" r:id="rId2"/>
    <sheet name="Dashboard_TongHop" sheetId="3" state="visible" r:id="rId3"/>
    <sheet name="Ngay" sheetId="4" state="visible" r:id="rId4"/>
    <sheet name="Tuan" sheetId="5" state="visible" r:id="rId5"/>
    <sheet name="Tuan_CaNhan" sheetId="6" state="visible" r:id="rId6"/>
    <sheet name="Giamsat_NhapLieu" sheetId="7" state="visible" r:id="rId7"/>
    <sheet name="Baocao_tonghop" sheetId="8" state="visible" r:id="rId8"/>
    <sheet name="Kehoach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/d/yyyy\ h:mm:ss"/>
  </numFmts>
  <fonts count="26">
    <font>
      <name val="Arial"/>
      <color rgb="FF000000"/>
      <sz val="10"/>
      <scheme val="minor"/>
    </font>
    <font>
      <name val="Roboto"/>
      <color rgb="FFFFFFFF"/>
      <sz val="10"/>
    </font>
    <font>
      <name val="Arial"/>
      <color theme="1"/>
      <sz val="10"/>
    </font>
    <font>
      <name val="Roboto"/>
      <b val="1"/>
      <color rgb="FF434343"/>
      <sz val="10"/>
    </font>
    <font>
      <name val="Arial"/>
      <color theme="1"/>
      <sz val="10"/>
      <scheme val="minor"/>
    </font>
    <font>
      <name val="Roboto"/>
      <color rgb="FF434343"/>
      <sz val="10"/>
    </font>
    <font>
      <name val="Arial"/>
      <b val="1"/>
      <color theme="1"/>
      <sz val="12"/>
    </font>
    <font>
      <name val="Arial"/>
      <color theme="1"/>
      <sz val="13"/>
      <scheme val="minor"/>
    </font>
    <font>
      <name val="Arial"/>
      <sz val="10"/>
    </font>
    <font>
      <name val="Times New Roman"/>
      <b val="1"/>
      <color theme="1"/>
      <sz val="12"/>
    </font>
    <font>
      <name val="Arial"/>
      <color theme="1"/>
      <sz val="13"/>
    </font>
    <font>
      <name val="Times New Roman"/>
      <color theme="1"/>
      <sz val="13"/>
    </font>
    <font>
      <name val="Arial"/>
      <b val="1"/>
      <color theme="1"/>
      <sz val="14"/>
      <scheme val="minor"/>
    </font>
    <font>
      <name val="Arial"/>
      <b val="1"/>
      <color theme="1"/>
      <sz val="10"/>
      <scheme val="minor"/>
    </font>
    <font>
      <name val="Times New Roman"/>
      <b val="1"/>
      <color rgb="FFFFFFFF"/>
      <sz val="11"/>
    </font>
    <font>
      <name val="Tahoma"/>
      <b val="1"/>
      <color theme="1"/>
      <sz val="11"/>
    </font>
    <font>
      <name val="Tahoma"/>
      <b val="1"/>
      <i val="1"/>
      <color theme="1"/>
      <sz val="11"/>
    </font>
    <font>
      <name val="Arial"/>
      <b val="1"/>
      <color theme="1"/>
      <sz val="10"/>
    </font>
    <font>
      <name val="Tahoma"/>
      <color theme="1"/>
      <sz val="11"/>
    </font>
    <font>
      <name val="Aptos Narrow"/>
      <color theme="1"/>
      <sz val="12"/>
    </font>
    <font>
      <name val="&quot;Times New Roman&quot;"/>
      <color rgb="FF002060"/>
      <sz val="13"/>
    </font>
    <font>
      <name val="Arial"/>
      <color theme="1"/>
      <sz val="12"/>
    </font>
    <font>
      <name val="Times New Roman"/>
      <color theme="1"/>
      <sz val="12"/>
    </font>
    <font>
      <name val="Segoe UI Emoji"/>
      <color theme="1"/>
      <sz val="10"/>
    </font>
    <font>
      <name val="Arial"/>
      <b val="1"/>
      <color rgb="FF4285F4"/>
      <sz val="10"/>
    </font>
    <font>
      <name val="Arial"/>
      <b val="1"/>
      <color theme="1"/>
      <sz val="18"/>
    </font>
  </fonts>
  <fills count="15">
    <fill>
      <patternFill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3F3F3"/>
        <bgColor rgb="FFF3F3F3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rgb="FFDBE9F7"/>
        <bgColor rgb="FFDBE9F7"/>
      </patternFill>
    </fill>
    <fill>
      <patternFill patternType="solid">
        <fgColor rgb="FFC1E4F5"/>
        <bgColor rgb="FFC1E4F5"/>
      </patternFill>
    </fill>
    <fill>
      <patternFill patternType="solid">
        <fgColor rgb="FF83CAEB"/>
        <bgColor rgb="FF83CAEB"/>
      </patternFill>
    </fill>
    <fill>
      <patternFill patternType="solid">
        <fgColor rgb="FF83CCEB"/>
        <bgColor rgb="FF83CCEB"/>
      </patternFill>
    </fill>
    <fill>
      <patternFill patternType="solid">
        <fgColor theme="0"/>
        <bgColor theme="0"/>
      </patternFill>
    </fill>
    <fill>
      <patternFill patternType="solid">
        <fgColor rgb="FFF6B26B"/>
        <bgColor rgb="FFF6B26B"/>
      </patternFill>
    </fill>
    <fill>
      <patternFill patternType="solid">
        <fgColor rgb="FFF6F8F9"/>
        <bgColor rgb="FFF6F8F9"/>
      </patternFill>
    </fill>
  </fills>
  <borders count="19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49" fontId="1" fillId="2" borderId="2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 wrapText="1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164" fontId="2" fillId="3" borderId="4" applyAlignment="1" pivotButton="0" quotePrefix="0" xfId="0">
      <alignment vertical="center"/>
    </xf>
    <xf numFmtId="14" fontId="3" fillId="3" borderId="5" applyAlignment="1" pivotButton="0" quotePrefix="0" xfId="0">
      <alignment vertical="center"/>
    </xf>
    <xf numFmtId="0" fontId="3" fillId="3" borderId="5" applyAlignment="1" pivotButton="0" quotePrefix="0" xfId="0">
      <alignment horizontal="right" vertical="center"/>
    </xf>
    <xf numFmtId="0" fontId="2" fillId="3" borderId="5" applyAlignment="1" pivotButton="0" quotePrefix="0" xfId="0">
      <alignment vertical="center"/>
    </xf>
    <xf numFmtId="0" fontId="2" fillId="0" borderId="0" pivotButton="0" quotePrefix="0" xfId="0"/>
    <xf numFmtId="164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4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1" xfId="0">
      <alignment vertical="center"/>
    </xf>
    <xf numFmtId="14" fontId="2" fillId="0" borderId="0" pivotButton="0" quotePrefix="0" xfId="0"/>
    <xf numFmtId="0" fontId="2" fillId="0" borderId="0" applyAlignment="1" pivotButton="0" quotePrefix="0" xfId="0">
      <alignment horizontal="right"/>
    </xf>
    <xf numFmtId="0" fontId="4" fillId="0" borderId="0" pivotButton="0" quotePrefix="0" xfId="0"/>
    <xf numFmtId="0" fontId="5" fillId="4" borderId="6" applyAlignment="1" pivotButton="0" quotePrefix="0" xfId="0">
      <alignment horizontal="right"/>
    </xf>
    <xf numFmtId="0" fontId="5" fillId="4" borderId="7" applyAlignment="1" pivotButton="0" quotePrefix="0" xfId="0">
      <alignment horizontal="right"/>
    </xf>
    <xf numFmtId="0" fontId="5" fillId="4" borderId="0" applyAlignment="1" pivotButton="0" quotePrefix="0" xfId="0">
      <alignment horizontal="right"/>
    </xf>
    <xf numFmtId="0" fontId="5" fillId="4" borderId="7" applyAlignment="1" pivotButton="0" quotePrefix="0" xfId="0">
      <alignment horizontal="right"/>
    </xf>
    <xf numFmtId="0" fontId="4" fillId="0" borderId="0" pivotButton="0" quotePrefix="0" xfId="0"/>
    <xf numFmtId="0" fontId="7" fillId="0" borderId="0" pivotButton="0" quotePrefix="0" xfId="0"/>
    <xf numFmtId="0" fontId="6" fillId="0" borderId="8" applyAlignment="1" pivotButton="0" quotePrefix="0" xfId="0">
      <alignment horizontal="center"/>
    </xf>
    <xf numFmtId="0" fontId="2" fillId="0" borderId="8" pivotButton="0" quotePrefix="0" xfId="0"/>
    <xf numFmtId="0" fontId="9" fillId="0" borderId="8" applyAlignment="1" pivotButton="0" quotePrefix="0" xfId="0">
      <alignment horizontal="center"/>
    </xf>
    <xf numFmtId="0" fontId="10" fillId="0" borderId="8" pivotButton="0" quotePrefix="0" xfId="0"/>
    <xf numFmtId="0" fontId="10" fillId="0" borderId="8" applyAlignment="1" pivotButton="0" quotePrefix="0" xfId="0">
      <alignment horizontal="right"/>
    </xf>
    <xf numFmtId="0" fontId="11" fillId="0" borderId="8" applyAlignment="1" pivotButton="0" quotePrefix="0" xfId="0">
      <alignment horizontal="right"/>
    </xf>
    <xf numFmtId="2" fontId="10" fillId="0" borderId="8" applyAlignment="1" pivotButton="0" quotePrefix="0" xfId="0">
      <alignment horizontal="right"/>
    </xf>
    <xf numFmtId="14" fontId="4" fillId="0" borderId="0" pivotButton="0" quotePrefix="0" xfId="0"/>
    <xf numFmtId="0" fontId="13" fillId="5" borderId="8" pivotButton="0" quotePrefix="0" xfId="0"/>
    <xf numFmtId="0" fontId="4" fillId="0" borderId="8" pivotButton="0" quotePrefix="0" xfId="0"/>
    <xf numFmtId="0" fontId="4" fillId="0" borderId="8" pivotButton="0" quotePrefix="0" xfId="0"/>
    <xf numFmtId="0" fontId="14" fillId="6" borderId="0" applyAlignment="1" pivotButton="0" quotePrefix="0" xfId="0">
      <alignment wrapText="1"/>
    </xf>
    <xf numFmtId="0" fontId="15" fillId="3" borderId="9" applyAlignment="1" pivotButton="0" quotePrefix="0" xfId="0">
      <alignment horizontal="center" wrapText="1"/>
    </xf>
    <xf numFmtId="0" fontId="15" fillId="3" borderId="14" applyAlignment="1" pivotButton="0" quotePrefix="0" xfId="0">
      <alignment horizontal="center" wrapText="1"/>
    </xf>
    <xf numFmtId="0" fontId="15" fillId="3" borderId="14" applyAlignment="1" pivotButton="0" quotePrefix="0" xfId="0">
      <alignment horizontal="center" wrapText="1"/>
    </xf>
    <xf numFmtId="0" fontId="16" fillId="3" borderId="14" applyAlignment="1" pivotButton="0" quotePrefix="0" xfId="0">
      <alignment horizontal="center" wrapText="1"/>
    </xf>
    <xf numFmtId="0" fontId="17" fillId="0" borderId="0" pivotButton="0" quotePrefix="0" xfId="0"/>
    <xf numFmtId="1" fontId="15" fillId="0" borderId="8" applyAlignment="1" pivotButton="0" quotePrefix="0" xfId="0">
      <alignment horizontal="center"/>
    </xf>
    <xf numFmtId="0" fontId="18" fillId="0" borderId="8" pivotButton="0" quotePrefix="0" xfId="0"/>
    <xf numFmtId="1" fontId="18" fillId="0" borderId="8" applyAlignment="1" pivotButton="0" quotePrefix="0" xfId="0">
      <alignment horizontal="center"/>
    </xf>
    <xf numFmtId="0" fontId="18" fillId="7" borderId="8" pivotButton="0" quotePrefix="0" xfId="0"/>
    <xf numFmtId="0" fontId="2" fillId="0" borderId="0" applyAlignment="1" pivotButton="0" quotePrefix="0" xfId="0">
      <alignment horizontal="right"/>
    </xf>
    <xf numFmtId="0" fontId="15" fillId="8" borderId="0" applyAlignment="1" pivotButton="0" quotePrefix="0" xfId="0">
      <alignment horizontal="center"/>
    </xf>
    <xf numFmtId="0" fontId="18" fillId="8" borderId="8" applyAlignment="1" pivotButton="0" quotePrefix="0" xfId="0">
      <alignment horizontal="center"/>
    </xf>
    <xf numFmtId="0" fontId="18" fillId="9" borderId="0" pivotButton="0" quotePrefix="0" xfId="0"/>
    <xf numFmtId="0" fontId="18" fillId="9" borderId="8" pivotButton="0" quotePrefix="0" xfId="0"/>
    <xf numFmtId="0" fontId="18" fillId="0" borderId="8" applyAlignment="1" pivotButton="0" quotePrefix="0" xfId="0">
      <alignment horizontal="center"/>
    </xf>
    <xf numFmtId="0" fontId="18" fillId="10" borderId="8" applyAlignment="1" pivotButton="0" quotePrefix="0" xfId="0">
      <alignment horizontal="center"/>
    </xf>
    <xf numFmtId="0" fontId="18" fillId="0" borderId="8" applyAlignment="1" pivotButton="0" quotePrefix="0" xfId="0">
      <alignment horizontal="center"/>
    </xf>
    <xf numFmtId="1" fontId="18" fillId="11" borderId="8" applyAlignment="1" pivotButton="0" quotePrefix="0" xfId="0">
      <alignment horizontal="center"/>
    </xf>
    <xf numFmtId="0" fontId="18" fillId="3" borderId="8" pivotButton="0" quotePrefix="0" xfId="0"/>
    <xf numFmtId="0" fontId="19" fillId="0" borderId="8" pivotButton="0" quotePrefix="0" xfId="0"/>
    <xf numFmtId="0" fontId="2" fillId="8" borderId="0" pivotButton="0" quotePrefix="0" xfId="0"/>
    <xf numFmtId="0" fontId="15" fillId="8" borderId="8" applyAlignment="1" pivotButton="0" quotePrefix="0" xfId="0">
      <alignment horizontal="center"/>
    </xf>
    <xf numFmtId="0" fontId="20" fillId="3" borderId="0" applyAlignment="1" pivotButton="0" quotePrefix="0" xfId="0">
      <alignment horizontal="left" vertical="top" wrapText="1"/>
    </xf>
    <xf numFmtId="0" fontId="18" fillId="12" borderId="8" applyAlignment="1" pivotButton="0" quotePrefix="0" xfId="0">
      <alignment horizontal="center"/>
    </xf>
    <xf numFmtId="0" fontId="18" fillId="9" borderId="8" applyAlignment="1" pivotButton="0" quotePrefix="0" xfId="0">
      <alignment horizontal="center"/>
    </xf>
    <xf numFmtId="0" fontId="18" fillId="0" borderId="8" applyAlignment="1" pivotButton="0" quotePrefix="0" xfId="0">
      <alignment horizontal="center"/>
    </xf>
    <xf numFmtId="0" fontId="18" fillId="13" borderId="8" applyAlignment="1" pivotButton="0" quotePrefix="0" xfId="0">
      <alignment horizontal="center"/>
    </xf>
    <xf numFmtId="0" fontId="2" fillId="9" borderId="0" applyAlignment="1" pivotButton="0" quotePrefix="0" xfId="0">
      <alignment horizontal="right"/>
    </xf>
    <xf numFmtId="0" fontId="18" fillId="12" borderId="8" applyAlignment="1" pivotButton="0" quotePrefix="0" xfId="0">
      <alignment horizontal="center"/>
    </xf>
    <xf numFmtId="0" fontId="2" fillId="12" borderId="8" pivotButton="0" quotePrefix="0" xfId="0"/>
    <xf numFmtId="0" fontId="21" fillId="0" borderId="8" pivotButton="0" quotePrefix="0" xfId="0"/>
    <xf numFmtId="0" fontId="2" fillId="13" borderId="8" pivotButton="0" quotePrefix="0" xfId="0"/>
    <xf numFmtId="0" fontId="2" fillId="13" borderId="8" pivotButton="0" quotePrefix="0" xfId="0"/>
    <xf numFmtId="0" fontId="2" fillId="12" borderId="8" pivotButton="0" quotePrefix="0" xfId="0"/>
    <xf numFmtId="0" fontId="22" fillId="0" borderId="8" pivotButton="0" quotePrefix="0" xfId="0"/>
    <xf numFmtId="0" fontId="18" fillId="3" borderId="8" applyAlignment="1" pivotButton="0" quotePrefix="0" xfId="0">
      <alignment horizontal="center"/>
    </xf>
    <xf numFmtId="0" fontId="18" fillId="4" borderId="8" applyAlignment="1" pivotButton="0" quotePrefix="0" xfId="0">
      <alignment horizontal="center"/>
    </xf>
    <xf numFmtId="0" fontId="2" fillId="3" borderId="0" applyAlignment="1" pivotButton="0" quotePrefix="0" xfId="0">
      <alignment horizontal="right"/>
    </xf>
    <xf numFmtId="0" fontId="18" fillId="13" borderId="8" applyAlignment="1" pivotButton="0" quotePrefix="0" xfId="0">
      <alignment horizontal="center"/>
    </xf>
    <xf numFmtId="0" fontId="18" fillId="7" borderId="8" applyAlignment="1" pivotButton="0" quotePrefix="0" xfId="0">
      <alignment horizontal="center"/>
    </xf>
    <xf numFmtId="0" fontId="2" fillId="7" borderId="0" applyAlignment="1" pivotButton="0" quotePrefix="0" xfId="0">
      <alignment horizontal="right"/>
    </xf>
    <xf numFmtId="0" fontId="18" fillId="9" borderId="8" applyAlignment="1" pivotButton="0" quotePrefix="0" xfId="0">
      <alignment horizontal="center"/>
    </xf>
    <xf numFmtId="0" fontId="18" fillId="4" borderId="8" pivotButton="0" quotePrefix="0" xfId="0"/>
    <xf numFmtId="0" fontId="2" fillId="4" borderId="0" applyAlignment="1" pivotButton="0" quotePrefix="0" xfId="0">
      <alignment horizontal="right"/>
    </xf>
    <xf numFmtId="0" fontId="2" fillId="4" borderId="0" pivotButton="0" quotePrefix="0" xfId="0"/>
    <xf numFmtId="0" fontId="18" fillId="7" borderId="8" applyAlignment="1" pivotButton="0" quotePrefix="0" xfId="0">
      <alignment horizontal="center"/>
    </xf>
    <xf numFmtId="0" fontId="18" fillId="4" borderId="8" applyAlignment="1" pivotButton="0" quotePrefix="0" xfId="0">
      <alignment horizontal="center"/>
    </xf>
    <xf numFmtId="0" fontId="18" fillId="3" borderId="8" applyAlignment="1" pivotButton="0" quotePrefix="0" xfId="0">
      <alignment horizontal="center"/>
    </xf>
    <xf numFmtId="0" fontId="2" fillId="3" borderId="0" pivotButton="0" quotePrefix="0" xfId="0"/>
    <xf numFmtId="0" fontId="2" fillId="7" borderId="0" pivotButton="0" quotePrefix="0" xfId="0"/>
    <xf numFmtId="0" fontId="22" fillId="7" borderId="8" pivotButton="0" quotePrefix="0" xfId="0"/>
    <xf numFmtId="0" fontId="2" fillId="0" borderId="0" pivotButton="0" quotePrefix="0" xfId="0"/>
    <xf numFmtId="0" fontId="2" fillId="7" borderId="8" pivotButton="0" quotePrefix="0" xfId="0"/>
    <xf numFmtId="0" fontId="9" fillId="7" borderId="8" applyAlignment="1" pivotButton="0" quotePrefix="0" xfId="0">
      <alignment horizontal="center"/>
    </xf>
    <xf numFmtId="0" fontId="17" fillId="7" borderId="8" applyAlignment="1" pivotButton="0" quotePrefix="0" xfId="0">
      <alignment horizontal="center"/>
    </xf>
    <xf numFmtId="0" fontId="22" fillId="0" borderId="8" applyAlignment="1" pivotButton="0" quotePrefix="0" xfId="0">
      <alignment horizontal="center"/>
    </xf>
    <xf numFmtId="0" fontId="23" fillId="14" borderId="8" applyAlignment="1" pivotButton="0" quotePrefix="0" xfId="0">
      <alignment horizontal="center"/>
    </xf>
    <xf numFmtId="0" fontId="23" fillId="0" borderId="8" applyAlignment="1" pivotButton="0" quotePrefix="0" xfId="0">
      <alignment horizontal="center"/>
    </xf>
    <xf numFmtId="0" fontId="17" fillId="0" borderId="15" pivotButton="0" quotePrefix="0" xfId="0"/>
    <xf numFmtId="0" fontId="24" fillId="8" borderId="16" applyAlignment="1" pivotButton="0" quotePrefix="0" xfId="0">
      <alignment horizontal="right"/>
    </xf>
    <xf numFmtId="0" fontId="17" fillId="0" borderId="16" pivotButton="0" quotePrefix="0" xfId="0"/>
    <xf numFmtId="0" fontId="24" fillId="8" borderId="14" applyAlignment="1" pivotButton="0" quotePrefix="0" xfId="0">
      <alignment horizontal="right"/>
    </xf>
    <xf numFmtId="0" fontId="17" fillId="0" borderId="10" pivotButton="0" quotePrefix="0" xfId="0"/>
    <xf numFmtId="0" fontId="24" fillId="8" borderId="11" applyAlignment="1" pivotButton="0" quotePrefix="0" xfId="0">
      <alignment horizontal="right"/>
    </xf>
    <xf numFmtId="0" fontId="17" fillId="0" borderId="11" pivotButton="0" quotePrefix="0" xfId="0"/>
    <xf numFmtId="0" fontId="24" fillId="8" borderId="12" applyAlignment="1" pivotButton="0" quotePrefix="0" xfId="0">
      <alignment horizontal="right"/>
    </xf>
    <xf numFmtId="0" fontId="13" fillId="0" borderId="0" pivotButton="0" quotePrefix="0" xfId="0"/>
    <xf numFmtId="0" fontId="9" fillId="8" borderId="8" pivotButton="0" quotePrefix="0" xfId="0"/>
    <xf numFmtId="0" fontId="9" fillId="0" borderId="8" pivotButton="0" quotePrefix="0" xfId="0"/>
    <xf numFmtId="0" fontId="22" fillId="0" borderId="0" pivotButton="0" quotePrefix="0" xfId="0"/>
    <xf numFmtId="0" fontId="22" fillId="0" borderId="0" pivotButton="0" quotePrefix="0" xfId="0"/>
    <xf numFmtId="0" fontId="22" fillId="0" borderId="8" pivotButton="0" quotePrefix="0" xfId="0"/>
    <xf numFmtId="0" fontId="22" fillId="0" borderId="8" applyAlignment="1" pivotButton="0" quotePrefix="0" xfId="0">
      <alignment horizontal="center"/>
    </xf>
    <xf numFmtId="0" fontId="22" fillId="0" borderId="8" applyAlignment="1" pivotButton="0" quotePrefix="0" xfId="0">
      <alignment horizontal="right"/>
    </xf>
    <xf numFmtId="0" fontId="22" fillId="0" borderId="8" pivotButton="0" quotePrefix="0" xfId="0"/>
    <xf numFmtId="0" fontId="22" fillId="0" borderId="8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6" fillId="0" borderId="9" applyAlignment="1" pivotButton="0" quotePrefix="0" xfId="0">
      <alignment horizontal="center"/>
    </xf>
    <xf numFmtId="0" fontId="8" fillId="0" borderId="13" pivotButton="0" quotePrefix="0" xfId="0"/>
    <xf numFmtId="0" fontId="6" fillId="0" borderId="10" applyAlignment="1" pivotButton="0" quotePrefix="0" xfId="0">
      <alignment horizontal="center"/>
    </xf>
    <xf numFmtId="0" fontId="8" fillId="0" borderId="11" pivotButton="0" quotePrefix="0" xfId="0"/>
    <xf numFmtId="0" fontId="8" fillId="0" borderId="12" pivotButton="0" quotePrefix="0" xfId="0"/>
    <xf numFmtId="0" fontId="12" fillId="0" borderId="0" applyAlignment="1" pivotButton="0" quotePrefix="0" xfId="0">
      <alignment horizontal="center"/>
    </xf>
    <xf numFmtId="0" fontId="15" fillId="8" borderId="9" applyAlignment="1" pivotButton="0" quotePrefix="0" xfId="0">
      <alignment horizontal="center"/>
    </xf>
    <xf numFmtId="0" fontId="15" fillId="8" borderId="11" applyAlignment="1" pivotButton="0" quotePrefix="0" xfId="0">
      <alignment horizontal="center"/>
    </xf>
    <xf numFmtId="0" fontId="17" fillId="7" borderId="1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15" fillId="8" borderId="12" applyAlignment="1" pivotButton="0" quotePrefix="0" xfId="0">
      <alignment horizontal="center"/>
    </xf>
  </cellXfs>
  <cellStyles count="1">
    <cellStyle name="Normal" xfId="0" builtinId="0"/>
  </cellStyles>
  <dxfs count="12"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 defaultTableStyle="TableStyleMedium9" defaultPivotStyle="PivotStyleLight16">
    <tableStyle name="DuLieu-style" pivot="0" count="4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Giamsat_NhapLieu-style" pivot="0" count="2">
      <tableStyleElement type="firstRowStripe" dxfId="7"/>
      <tableStyleElement type="secondRow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Form_Responses" displayName="Form_Responses" ref="A1:W1911" headerRowCount="1">
  <autoFilter ref="A1:W1911">
    <filterColumn colId="0" hiddenButton="0" showButton="1">
      <filters>
        <dateGroupItem year="2026" dateTimeGrouping="year"/>
      </filters>
    </filterColumn>
    <filterColumn colId="2" hiddenButton="0" showButton="1">
      <filters>
        <dateGroupItem year="2026" dateTimeGrouping="year"/>
      </filters>
    </filterColumn>
  </autoFilter>
  <tableColumns count="23">
    <tableColumn id="1" name="Dấu thời gian"/>
    <tableColumn id="2" name="Họ và tên Nhân Viên"/>
    <tableColumn id="3" name="Ngày báo Cáo"/>
    <tableColumn id="4" name="Bán Fiber"/>
    <tableColumn id="5" name="Bán MyTV"/>
    <tableColumn id="6" name="Bán Camera_Mesh"/>
    <tableColumn id="7" name="Ngưng Fiber"/>
    <tableColumn id="8" name="Ngưng Mytv"/>
    <tableColumn id="9" name="Chuyển ONT 2B"/>
    <tableColumn id="10" name="Chuyển XGSPON"/>
    <tableColumn id="11" name="GHTT tháng T"/>
    <tableColumn id="12" name="GHTT tháng T+1"/>
    <tableColumn id="13" name="Lắp đặt/Dịch chuyển"/>
    <tableColumn id="14" name="Thu hồi ONT 2B"/>
    <tableColumn id="15" name="Thu hồi Mesh"/>
    <tableColumn id="16" name="Xử Lý Suy Hao"/>
    <tableColumn id="17" name="Sửa chữa"/>
    <tableColumn id="18" name="B2A"/>
    <tableColumn id="19" name="Tiền Suy Hao"/>
    <tableColumn id="20" name="Ngày"/>
    <tableColumn id="21" name="Tháng"/>
    <tableColumn id="22" name="Nam"/>
    <tableColumn id="23" name="Ghi chú"/>
  </tableColumns>
  <tableStyleInfo name="DuLieu-style" showFirstColumn="1" showLastColumn="1" showRowStripes="1" showColumnStripes="0"/>
</table>
</file>

<file path=xl/tables/table2.xml><?xml version="1.0" encoding="utf-8"?>
<table xmlns="http://schemas.openxmlformats.org/spreadsheetml/2006/main" id="2" name="Table_1" displayName="Table_1" ref="C3:D3" headerRowCount="0">
  <tableColumns count="2">
    <tableColumn id="1" name="Column1"/>
    <tableColumn id="2" name="Column2"/>
  </tableColumns>
  <tableStyleInfo name="Giamsat_NhapLieu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5974"/>
  <sheetViews>
    <sheetView tabSelected="1" workbookViewId="0">
      <pane ySplit="1" topLeftCell="A2" activePane="bottomLeft" state="frozen"/>
      <selection pane="bottomLeft" activeCell="B3" sqref="B3"/>
    </sheetView>
  </sheetViews>
  <sheetFormatPr baseColWidth="8" defaultColWidth="12.5703125" defaultRowHeight="15.75" customHeight="1"/>
  <cols>
    <col width="18.85546875" customWidth="1" style="117" min="1" max="1"/>
    <col width="20.140625" customWidth="1" style="117" min="2" max="2"/>
    <col width="18.85546875" customWidth="1" style="117" min="3" max="5"/>
    <col width="19" customWidth="1" style="117" min="6" max="6"/>
    <col width="18.85546875" customWidth="1" style="117" min="7" max="12"/>
    <col width="20.28515625" customWidth="1" style="117" min="13" max="13"/>
    <col width="18.85546875" customWidth="1" style="117" min="14" max="26"/>
  </cols>
  <sheetData>
    <row r="1" ht="22.5" customHeight="1" s="117">
      <c r="A1" s="1" t="inlineStr">
        <is>
          <t>Dấu thời gian</t>
        </is>
      </c>
      <c r="B1" s="4" t="inlineStr">
        <is>
          <t>Họ và tên Nhân Viên</t>
        </is>
      </c>
      <c r="C1" s="4" t="inlineStr">
        <is>
          <t>Ngày báo Cáo</t>
        </is>
      </c>
      <c r="D1" s="4" t="inlineStr">
        <is>
          <t>Bán Fiber</t>
        </is>
      </c>
      <c r="E1" s="4" t="inlineStr">
        <is>
          <t>Bán MyTV</t>
        </is>
      </c>
      <c r="F1" s="4" t="inlineStr">
        <is>
          <t>Bán Camera_Mesh</t>
        </is>
      </c>
      <c r="G1" s="4" t="inlineStr">
        <is>
          <t>Ngưng Fiber</t>
        </is>
      </c>
      <c r="H1" s="4" t="inlineStr">
        <is>
          <t>Ngưng Mytv</t>
        </is>
      </c>
      <c r="I1" s="4" t="inlineStr">
        <is>
          <t>Chuyển ONT 2B</t>
        </is>
      </c>
      <c r="J1" s="4" t="inlineStr">
        <is>
          <t>Chuyển XGSPON</t>
        </is>
      </c>
      <c r="K1" s="4" t="inlineStr">
        <is>
          <t>GHTT tháng T</t>
        </is>
      </c>
      <c r="L1" s="4" t="inlineStr">
        <is>
          <t>GHTT tháng T+1</t>
        </is>
      </c>
      <c r="M1" s="4" t="inlineStr">
        <is>
          <t>Lắp đặt/Dịch chuyển</t>
        </is>
      </c>
      <c r="N1" s="4" t="inlineStr">
        <is>
          <t>Thu hồi ONT 2B</t>
        </is>
      </c>
      <c r="O1" s="4" t="inlineStr">
        <is>
          <t>Thu hồi Mesh</t>
        </is>
      </c>
      <c r="P1" s="4" t="inlineStr">
        <is>
          <t>Xử Lý Suy Hao</t>
        </is>
      </c>
      <c r="Q1" s="4" t="inlineStr">
        <is>
          <t>Sửa chữa</t>
        </is>
      </c>
      <c r="R1" s="4" t="inlineStr">
        <is>
          <t>B2A</t>
        </is>
      </c>
      <c r="S1" s="3" t="inlineStr">
        <is>
          <t>Tiền Suy Hao</t>
        </is>
      </c>
      <c r="T1" s="4" t="inlineStr">
        <is>
          <t>Ngày</t>
        </is>
      </c>
      <c r="U1" s="5" t="inlineStr">
        <is>
          <t>Tháng</t>
        </is>
      </c>
      <c r="V1" s="6" t="inlineStr">
        <is>
          <t>Nam</t>
        </is>
      </c>
      <c r="W1" s="7" t="inlineStr">
        <is>
          <t>Ghi chú</t>
        </is>
      </c>
      <c r="X1" s="91" t="n"/>
      <c r="Y1" s="91" t="n"/>
      <c r="Z1" s="91" t="n"/>
    </row>
    <row r="2" hidden="1" ht="22.5" customHeight="1" s="117">
      <c r="A2" s="9" t="n"/>
      <c r="B2" s="10" t="inlineStr">
        <is>
          <t>Tổng</t>
        </is>
      </c>
      <c r="D2" s="11">
        <f>SUM(D3:D11894)</f>
        <v/>
      </c>
      <c r="E2" s="11">
        <f>SUM(E3:E11894)</f>
        <v/>
      </c>
      <c r="F2" s="11">
        <f>SUM(F3:F11894)</f>
        <v/>
      </c>
      <c r="G2" s="11">
        <f>SUM(G3:G11894)</f>
        <v/>
      </c>
      <c r="H2" s="11">
        <f>SUM(H3:H11894)</f>
        <v/>
      </c>
      <c r="I2" s="11">
        <f>SUM(I3:I11894)</f>
        <v/>
      </c>
      <c r="J2" s="11">
        <f>SUM(J3:J11894)</f>
        <v/>
      </c>
      <c r="K2" s="11">
        <f>SUM(K3:K11894)</f>
        <v/>
      </c>
      <c r="L2" s="11">
        <f>SUM(L3:L11894)</f>
        <v/>
      </c>
      <c r="M2" s="11">
        <f>SUM(M3:M11894)</f>
        <v/>
      </c>
      <c r="N2" s="11">
        <f>SUM(N3:N11894)</f>
        <v/>
      </c>
      <c r="O2" s="11">
        <f>SUM(O3:O11894)</f>
        <v/>
      </c>
      <c r="P2" s="11">
        <f>SUM(P3:P11894)</f>
        <v/>
      </c>
      <c r="Q2" s="11">
        <f>SUM(Q3:Q11894)</f>
        <v/>
      </c>
      <c r="R2" s="11">
        <f>SUM(R3:R11894)</f>
        <v/>
      </c>
      <c r="S2" s="11">
        <f>SUM(S3:S11894)</f>
        <v/>
      </c>
      <c r="T2" s="12" t="n"/>
      <c r="U2" s="12" t="n"/>
      <c r="V2" s="91" t="n"/>
      <c r="W2" s="91" t="n"/>
      <c r="X2" s="91" t="n"/>
      <c r="Y2" s="91" t="n"/>
      <c r="Z2" s="91" t="n"/>
    </row>
    <row r="3" hidden="1" ht="22.5" customHeight="1" s="117">
      <c r="A3" s="14" t="n">
        <v>45975.40545931713</v>
      </c>
      <c r="B3" s="17" t="inlineStr">
        <is>
          <t>Trần Trung Giang</t>
        </is>
      </c>
      <c r="C3" s="16" t="n">
        <v>45962</v>
      </c>
      <c r="D3" s="17" t="n">
        <v>0</v>
      </c>
      <c r="E3" s="17" t="n">
        <v>0</v>
      </c>
      <c r="F3" s="17" t="n">
        <v>0</v>
      </c>
      <c r="G3" s="17" t="n">
        <v>0</v>
      </c>
      <c r="H3" s="17" t="n">
        <v>0</v>
      </c>
      <c r="I3" s="17" t="n">
        <v>0</v>
      </c>
      <c r="J3" s="17" t="n">
        <v>0</v>
      </c>
      <c r="K3" s="17" t="n">
        <v>0</v>
      </c>
      <c r="L3" s="17" t="n">
        <v>0</v>
      </c>
      <c r="M3" s="17" t="n">
        <v>0</v>
      </c>
      <c r="N3" s="17" t="n">
        <v>0</v>
      </c>
      <c r="O3" s="17" t="n">
        <v>0</v>
      </c>
      <c r="P3" s="17" t="n">
        <v>0</v>
      </c>
      <c r="Q3" s="17" t="n">
        <v>0</v>
      </c>
      <c r="R3" s="17" t="n">
        <v>0</v>
      </c>
      <c r="T3" s="17">
        <f>DAY(C3)</f>
        <v/>
      </c>
      <c r="U3" s="17">
        <f>MONTH(C3)</f>
        <v/>
      </c>
      <c r="V3" s="17" t="n">
        <v>2025</v>
      </c>
      <c r="W3" s="17" t="inlineStr">
        <is>
          <t>Không xoa dòng này</t>
        </is>
      </c>
    </row>
    <row r="4" hidden="1" ht="22.5" customHeight="1" s="117">
      <c r="A4" s="14" t="n">
        <v>45975.45544905093</v>
      </c>
      <c r="B4" s="17" t="inlineStr">
        <is>
          <t>Lương Duy Hoàng</t>
        </is>
      </c>
      <c r="C4" s="16" t="n">
        <v>45974</v>
      </c>
      <c r="D4" s="17" t="n">
        <v>0</v>
      </c>
      <c r="E4" s="17" t="n">
        <v>0</v>
      </c>
      <c r="F4" s="17" t="n">
        <v>0</v>
      </c>
      <c r="G4" s="17" t="n">
        <v>0</v>
      </c>
      <c r="H4" s="17" t="n">
        <v>0</v>
      </c>
      <c r="I4" s="17" t="n">
        <v>0</v>
      </c>
      <c r="J4" s="17" t="n">
        <v>0</v>
      </c>
      <c r="K4" s="17" t="n">
        <v>3</v>
      </c>
      <c r="L4" s="17" t="n">
        <v>0</v>
      </c>
      <c r="M4" s="17" t="n">
        <v>1</v>
      </c>
      <c r="N4" s="17" t="n">
        <v>2</v>
      </c>
      <c r="O4" s="17" t="n">
        <v>0</v>
      </c>
      <c r="P4" s="17" t="n">
        <v>1</v>
      </c>
      <c r="Q4" s="17" t="n">
        <v>3</v>
      </c>
      <c r="R4" s="17" t="n">
        <v>0</v>
      </c>
      <c r="T4" s="17">
        <f>DAY(C4)</f>
        <v/>
      </c>
      <c r="U4" s="17">
        <f>MONTH(C4)</f>
        <v/>
      </c>
      <c r="V4" s="17" t="n">
        <v>2025</v>
      </c>
    </row>
    <row r="5" hidden="1" ht="22.5" customHeight="1" s="117">
      <c r="A5" s="14" t="n">
        <v>45975.45596525463</v>
      </c>
      <c r="B5" s="17" t="inlineStr">
        <is>
          <t>Hồ Thái Minh Trí</t>
        </is>
      </c>
      <c r="C5" s="16" t="n">
        <v>45974</v>
      </c>
      <c r="D5" s="17" t="n">
        <v>0</v>
      </c>
      <c r="E5" s="17" t="n">
        <v>0</v>
      </c>
      <c r="F5" s="17" t="n">
        <v>0</v>
      </c>
      <c r="G5" s="17" t="n">
        <v>0</v>
      </c>
      <c r="H5" s="17" t="n">
        <v>0</v>
      </c>
      <c r="I5" s="17" t="n">
        <v>0</v>
      </c>
      <c r="J5" s="17" t="n">
        <v>0</v>
      </c>
      <c r="K5" s="17" t="n">
        <v>9</v>
      </c>
      <c r="L5" s="17" t="n">
        <v>2</v>
      </c>
      <c r="M5" s="17" t="n">
        <v>0</v>
      </c>
      <c r="N5" s="17" t="n">
        <v>0</v>
      </c>
      <c r="O5" s="17" t="n">
        <v>0</v>
      </c>
      <c r="P5" s="17" t="n">
        <v>0</v>
      </c>
      <c r="Q5" s="17" t="n">
        <v>2</v>
      </c>
      <c r="R5" s="17" t="n">
        <v>0</v>
      </c>
      <c r="T5" s="17">
        <f>DAY(C5)</f>
        <v/>
      </c>
      <c r="U5" s="17">
        <f>MONTH(C5)</f>
        <v/>
      </c>
      <c r="V5" s="17" t="n">
        <v>2025</v>
      </c>
    </row>
    <row r="6" hidden="1" ht="22.5" customHeight="1" s="117">
      <c r="A6" s="14" t="n">
        <v>45975.45680365741</v>
      </c>
      <c r="B6" s="17" t="inlineStr">
        <is>
          <t>Lê Văn Hồng</t>
        </is>
      </c>
      <c r="C6" s="16" t="n">
        <v>45974</v>
      </c>
      <c r="D6" s="17" t="n">
        <v>0</v>
      </c>
      <c r="E6" s="17" t="n">
        <v>0</v>
      </c>
      <c r="F6" s="17" t="n">
        <v>0</v>
      </c>
      <c r="G6" s="17" t="n">
        <v>0</v>
      </c>
      <c r="H6" s="17" t="n">
        <v>0</v>
      </c>
      <c r="I6" s="17" t="n">
        <v>3</v>
      </c>
      <c r="J6" s="17" t="n">
        <v>1</v>
      </c>
      <c r="K6" s="17" t="n">
        <v>7</v>
      </c>
      <c r="L6" s="17" t="n">
        <v>2</v>
      </c>
      <c r="M6" s="17" t="n">
        <v>1</v>
      </c>
      <c r="N6" s="17" t="n">
        <v>0</v>
      </c>
      <c r="O6" s="17" t="n">
        <v>0</v>
      </c>
      <c r="P6" s="17" t="n">
        <v>1</v>
      </c>
      <c r="Q6" s="17" t="n">
        <v>4</v>
      </c>
      <c r="R6" s="17" t="n">
        <v>0</v>
      </c>
      <c r="T6" s="17">
        <f>DAY(C6)</f>
        <v/>
      </c>
      <c r="U6" s="17">
        <f>MONTH(C6)</f>
        <v/>
      </c>
      <c r="V6" s="17" t="n">
        <v>2025</v>
      </c>
    </row>
    <row r="7" hidden="1" ht="22.5" customHeight="1" s="117">
      <c r="A7" s="14" t="n">
        <v>45975.45736189814</v>
      </c>
      <c r="B7" s="17" t="inlineStr">
        <is>
          <t>Lê Quốc Duy</t>
        </is>
      </c>
      <c r="C7" s="16" t="n">
        <v>45974</v>
      </c>
      <c r="D7" s="17" t="n">
        <v>0</v>
      </c>
      <c r="E7" s="17" t="n">
        <v>0</v>
      </c>
      <c r="F7" s="17" t="n">
        <v>0</v>
      </c>
      <c r="G7" s="17" t="n">
        <v>0</v>
      </c>
      <c r="H7" s="17" t="n">
        <v>0</v>
      </c>
      <c r="I7" s="17" t="n">
        <v>0</v>
      </c>
      <c r="J7" s="17" t="n">
        <v>0</v>
      </c>
      <c r="K7" s="17" t="n">
        <v>13</v>
      </c>
      <c r="L7" s="17" t="n">
        <v>0</v>
      </c>
      <c r="M7" s="17" t="n">
        <v>1</v>
      </c>
      <c r="N7" s="17" t="n">
        <v>0</v>
      </c>
      <c r="O7" s="17" t="n">
        <v>0</v>
      </c>
      <c r="P7" s="17" t="n">
        <v>2</v>
      </c>
      <c r="Q7" s="17" t="n">
        <v>4</v>
      </c>
      <c r="R7" s="17" t="n">
        <v>0</v>
      </c>
      <c r="T7" s="17">
        <f>DAY(C7)</f>
        <v/>
      </c>
      <c r="U7" s="17">
        <f>MONTH(C7)</f>
        <v/>
      </c>
      <c r="V7" s="17" t="n">
        <v>2025</v>
      </c>
    </row>
    <row r="8" hidden="1" ht="22.5" customHeight="1" s="117">
      <c r="A8" s="14" t="n">
        <v>45975.45939630787</v>
      </c>
      <c r="B8" s="17" t="inlineStr">
        <is>
          <t>Vòng Nhật Sang</t>
        </is>
      </c>
      <c r="C8" s="16" t="n">
        <v>45974</v>
      </c>
      <c r="D8" s="17" t="n">
        <v>1</v>
      </c>
      <c r="E8" s="17" t="n">
        <v>1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29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7" t="n">
        <v>5</v>
      </c>
      <c r="R8" s="17" t="n">
        <v>0</v>
      </c>
      <c r="T8" s="17">
        <f>DAY(C8)</f>
        <v/>
      </c>
      <c r="U8" s="17">
        <f>MONTH(C8)</f>
        <v/>
      </c>
      <c r="V8" s="17" t="n">
        <v>2025</v>
      </c>
    </row>
    <row r="9" hidden="1" ht="22.5" customHeight="1" s="117">
      <c r="A9" s="14" t="n">
        <v>45975.45985704861</v>
      </c>
      <c r="B9" s="17" t="inlineStr">
        <is>
          <t>Nguyễn Tuấn Anh</t>
        </is>
      </c>
      <c r="C9" s="16" t="n">
        <v>45975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27</v>
      </c>
      <c r="L9" s="17" t="n">
        <v>0</v>
      </c>
      <c r="M9" s="17" t="n">
        <v>0</v>
      </c>
      <c r="N9" s="17" t="n">
        <v>0</v>
      </c>
      <c r="O9" s="17" t="n">
        <v>0</v>
      </c>
      <c r="P9" s="17" t="n">
        <v>1</v>
      </c>
      <c r="Q9" s="17" t="n">
        <v>1</v>
      </c>
      <c r="R9" s="17" t="n">
        <v>0</v>
      </c>
      <c r="T9" s="17">
        <f>DAY(C9)</f>
        <v/>
      </c>
      <c r="U9" s="17">
        <f>MONTH(C9)</f>
        <v/>
      </c>
      <c r="V9" s="17" t="n">
        <v>2025</v>
      </c>
    </row>
    <row r="10" hidden="1" ht="22.5" customHeight="1" s="117">
      <c r="A10" s="14" t="n">
        <v>45975.4642777199</v>
      </c>
      <c r="B10" s="17" t="inlineStr">
        <is>
          <t>Dương Minh Tiến</t>
        </is>
      </c>
      <c r="C10" s="16" t="n">
        <v>45974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1</v>
      </c>
      <c r="J10" s="17" t="n">
        <v>0</v>
      </c>
      <c r="K10" s="17" t="n">
        <v>18</v>
      </c>
      <c r="L10" s="17" t="n">
        <v>0</v>
      </c>
      <c r="M10" s="17" t="n">
        <v>1</v>
      </c>
      <c r="N10" s="17" t="n">
        <v>0</v>
      </c>
      <c r="O10" s="17" t="n">
        <v>0</v>
      </c>
      <c r="P10" s="17" t="n">
        <v>0</v>
      </c>
      <c r="Q10" s="17" t="n">
        <v>2</v>
      </c>
      <c r="R10" s="17" t="n">
        <v>0</v>
      </c>
      <c r="T10" s="17">
        <f>DAY(C10)</f>
        <v/>
      </c>
      <c r="U10" s="17">
        <f>MONTH(C10)</f>
        <v/>
      </c>
      <c r="V10" s="17" t="n">
        <v>2025</v>
      </c>
    </row>
    <row r="11" hidden="1" ht="22.5" customHeight="1" s="117">
      <c r="A11" s="14" t="n">
        <v>45975.46437706018</v>
      </c>
      <c r="B11" s="17" t="inlineStr">
        <is>
          <t>Phan Thành Thái</t>
        </is>
      </c>
      <c r="C11" s="16" t="n">
        <v>45974</v>
      </c>
      <c r="D11" s="17" t="n">
        <v>1</v>
      </c>
      <c r="E11" s="17" t="n">
        <v>1</v>
      </c>
      <c r="F11" s="17" t="n">
        <v>1</v>
      </c>
      <c r="G11" s="17" t="n">
        <v>1</v>
      </c>
      <c r="I11" s="17" t="n">
        <v>2</v>
      </c>
      <c r="J11" s="17" t="n">
        <v>0</v>
      </c>
      <c r="K11" s="17" t="n">
        <v>4</v>
      </c>
      <c r="L11" s="17" t="n">
        <v>0</v>
      </c>
      <c r="M11" s="17" t="n">
        <v>2</v>
      </c>
      <c r="N11" s="17" t="n">
        <v>0</v>
      </c>
      <c r="O11" s="17" t="n">
        <v>0</v>
      </c>
      <c r="P11" s="17" t="n">
        <v>1</v>
      </c>
      <c r="Q11" s="17" t="n">
        <v>4</v>
      </c>
      <c r="R11" s="17" t="n">
        <v>0</v>
      </c>
      <c r="T11" s="17">
        <f>DAY(C11)</f>
        <v/>
      </c>
      <c r="U11" s="17">
        <f>MONTH(C11)</f>
        <v/>
      </c>
      <c r="V11" s="17" t="n">
        <v>2025</v>
      </c>
    </row>
    <row r="12" hidden="1" ht="22.5" customHeight="1" s="117">
      <c r="A12" s="14" t="n">
        <v>45975.4645794676</v>
      </c>
      <c r="B12" s="17" t="inlineStr">
        <is>
          <t>Đặng Hoài Anh</t>
        </is>
      </c>
      <c r="C12" s="16" t="n">
        <v>45974</v>
      </c>
      <c r="D12" s="17" t="n">
        <v>0</v>
      </c>
      <c r="E12" s="17" t="n">
        <v>0</v>
      </c>
      <c r="F12" s="17" t="n">
        <v>0</v>
      </c>
      <c r="G12" s="17" t="n">
        <v>1</v>
      </c>
      <c r="H12" s="17" t="n">
        <v>1</v>
      </c>
      <c r="I12" s="17" t="n">
        <v>0</v>
      </c>
      <c r="J12" s="17" t="n">
        <v>0</v>
      </c>
      <c r="K12" s="17" t="n">
        <v>5</v>
      </c>
      <c r="L12" s="17" t="n">
        <v>0</v>
      </c>
      <c r="M12" s="17" t="n">
        <v>0</v>
      </c>
      <c r="N12" s="17" t="n">
        <v>0</v>
      </c>
      <c r="O12" s="17" t="n">
        <v>0</v>
      </c>
      <c r="P12" s="17" t="n">
        <v>0</v>
      </c>
      <c r="Q12" s="17" t="n">
        <v>0</v>
      </c>
      <c r="R12" s="17" t="n">
        <v>0</v>
      </c>
      <c r="T12" s="17">
        <f>DAY(C12)</f>
        <v/>
      </c>
      <c r="U12" s="17">
        <f>MONTH(C12)</f>
        <v/>
      </c>
      <c r="V12" s="17" t="n">
        <v>2025</v>
      </c>
    </row>
    <row r="13" hidden="1" ht="22.5" customHeight="1" s="117">
      <c r="A13" s="14" t="n">
        <v>45975.46752826389</v>
      </c>
      <c r="B13" s="17" t="inlineStr">
        <is>
          <t>Nguyễn Quang Anh Tuấn</t>
        </is>
      </c>
      <c r="C13" s="16" t="n">
        <v>45974</v>
      </c>
      <c r="D13" s="17" t="n">
        <v>0</v>
      </c>
      <c r="E13" s="17" t="n">
        <v>0</v>
      </c>
      <c r="F13" s="17" t="n">
        <v>0</v>
      </c>
      <c r="G13" s="17" t="n">
        <v>0</v>
      </c>
      <c r="H13" s="17" t="n">
        <v>0</v>
      </c>
      <c r="I13" s="17" t="n">
        <v>1</v>
      </c>
      <c r="J13" s="17" t="n">
        <v>0</v>
      </c>
      <c r="K13" s="17" t="n">
        <v>3</v>
      </c>
      <c r="L13" s="17" t="n">
        <v>0</v>
      </c>
      <c r="M13" s="17" t="n">
        <v>0</v>
      </c>
      <c r="N13" s="17" t="n">
        <v>0</v>
      </c>
      <c r="O13" s="17" t="n">
        <v>0</v>
      </c>
      <c r="P13" s="17" t="n">
        <v>0</v>
      </c>
      <c r="Q13" s="17" t="n">
        <v>0</v>
      </c>
      <c r="R13" s="17" t="n">
        <v>0</v>
      </c>
      <c r="T13" s="17">
        <f>DAY(C13)</f>
        <v/>
      </c>
      <c r="U13" s="17">
        <f>MONTH(C13)</f>
        <v/>
      </c>
      <c r="V13" s="17" t="n">
        <v>2025</v>
      </c>
    </row>
    <row r="14" hidden="1" ht="22.5" customHeight="1" s="117">
      <c r="A14" s="14" t="n">
        <v>45975.46867386574</v>
      </c>
      <c r="B14" s="17" t="inlineStr">
        <is>
          <t>Nguyễn Thành Lâm</t>
        </is>
      </c>
      <c r="C14" s="16" t="n">
        <v>45974</v>
      </c>
      <c r="D14" s="17" t="n">
        <v>0</v>
      </c>
      <c r="E14" s="17" t="n">
        <v>0</v>
      </c>
      <c r="F14" s="17" t="n">
        <v>0</v>
      </c>
      <c r="G14" s="17" t="n">
        <v>3</v>
      </c>
      <c r="H14" s="17" t="n">
        <v>2</v>
      </c>
      <c r="I14" s="17" t="n">
        <v>0</v>
      </c>
      <c r="J14" s="17" t="n">
        <v>0</v>
      </c>
      <c r="K14" s="17" t="n">
        <v>9</v>
      </c>
      <c r="L14" s="17" t="n">
        <v>1</v>
      </c>
      <c r="M14" s="17" t="n">
        <v>0</v>
      </c>
      <c r="N14" s="17" t="n">
        <v>1</v>
      </c>
      <c r="O14" s="17" t="n">
        <v>0</v>
      </c>
      <c r="P14" s="17" t="n">
        <v>0</v>
      </c>
      <c r="Q14" s="17" t="n">
        <v>3</v>
      </c>
      <c r="R14" s="17" t="n">
        <v>0</v>
      </c>
      <c r="T14" s="17">
        <f>DAY(C14)</f>
        <v/>
      </c>
      <c r="U14" s="17">
        <f>MONTH(C14)</f>
        <v/>
      </c>
      <c r="V14" s="17" t="n">
        <v>2025</v>
      </c>
    </row>
    <row r="15" hidden="1" ht="22.5" customHeight="1" s="117">
      <c r="A15" s="14" t="n">
        <v>45975.46977269676</v>
      </c>
      <c r="B15" s="17" t="inlineStr">
        <is>
          <t>Đào Công Trung</t>
        </is>
      </c>
      <c r="C15" s="16" t="n">
        <v>45974</v>
      </c>
      <c r="D15" s="17" t="n">
        <v>1</v>
      </c>
      <c r="E15" s="17" t="n">
        <v>1</v>
      </c>
      <c r="F15" s="17" t="n">
        <v>0</v>
      </c>
      <c r="G15" s="17" t="n">
        <v>0</v>
      </c>
      <c r="I15" s="17" t="n">
        <v>0</v>
      </c>
      <c r="J15" s="17" t="n">
        <v>0</v>
      </c>
      <c r="K15" s="17" t="n">
        <v>5</v>
      </c>
      <c r="L15" s="17" t="n">
        <v>0</v>
      </c>
      <c r="M15" s="17" t="n">
        <v>1</v>
      </c>
      <c r="N15" s="17" t="n">
        <v>0</v>
      </c>
      <c r="O15" s="17" t="n">
        <v>0</v>
      </c>
      <c r="P15" s="17" t="n">
        <v>0</v>
      </c>
      <c r="Q15" s="17" t="n">
        <v>1</v>
      </c>
      <c r="R15" s="17" t="n">
        <v>0</v>
      </c>
      <c r="T15" s="17">
        <f>DAY(C15)</f>
        <v/>
      </c>
      <c r="U15" s="17">
        <f>MONTH(C15)</f>
        <v/>
      </c>
      <c r="V15" s="17" t="n">
        <v>2025</v>
      </c>
    </row>
    <row r="16" hidden="1" ht="22.5" customHeight="1" s="117">
      <c r="A16" s="14" t="n">
        <v>45975.47098524305</v>
      </c>
      <c r="B16" s="17" t="inlineStr">
        <is>
          <t>Phan Ngọc Sang</t>
        </is>
      </c>
      <c r="C16" s="16" t="n">
        <v>45974</v>
      </c>
      <c r="D16" s="17" t="n">
        <v>0</v>
      </c>
      <c r="E16" s="17" t="n">
        <v>1</v>
      </c>
      <c r="F16" s="17" t="n">
        <v>0</v>
      </c>
      <c r="G16" s="17" t="n">
        <v>0</v>
      </c>
      <c r="I16" s="17" t="n">
        <v>0</v>
      </c>
      <c r="J16" s="17" t="n">
        <v>0</v>
      </c>
      <c r="K16" s="17" t="n">
        <v>9</v>
      </c>
      <c r="L16" s="17" t="n">
        <v>0</v>
      </c>
      <c r="M16" s="17" t="n">
        <v>2</v>
      </c>
      <c r="N16" s="17" t="n">
        <v>0</v>
      </c>
      <c r="O16" s="17" t="n">
        <v>0</v>
      </c>
      <c r="P16" s="17" t="n">
        <v>1</v>
      </c>
      <c r="Q16" s="17" t="n">
        <v>1</v>
      </c>
      <c r="R16" s="17" t="n">
        <v>0</v>
      </c>
      <c r="T16" s="17">
        <f>DAY(C16)</f>
        <v/>
      </c>
      <c r="U16" s="17">
        <f>MONTH(C16)</f>
        <v/>
      </c>
      <c r="V16" s="17" t="n">
        <v>2025</v>
      </c>
    </row>
    <row r="17" hidden="1" ht="22.5" customHeight="1" s="117">
      <c r="A17" s="14" t="n">
        <v>45975.48087059028</v>
      </c>
      <c r="B17" s="17" t="inlineStr">
        <is>
          <t>Hồ Xuân Việt</t>
        </is>
      </c>
      <c r="C17" s="16" t="n">
        <v>45975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1</v>
      </c>
      <c r="N17" s="17" t="n">
        <v>0</v>
      </c>
      <c r="O17" s="17" t="n">
        <v>0</v>
      </c>
      <c r="P17" s="17" t="n">
        <v>1</v>
      </c>
      <c r="Q17" s="17" t="n">
        <v>2</v>
      </c>
      <c r="R17" s="17" t="n">
        <v>0</v>
      </c>
      <c r="T17" s="17">
        <f>DAY(C17)</f>
        <v/>
      </c>
      <c r="U17" s="17">
        <f>MONTH(C17)</f>
        <v/>
      </c>
      <c r="V17" s="17" t="n">
        <v>2025</v>
      </c>
    </row>
    <row r="18" hidden="1" ht="22.5" customHeight="1" s="117">
      <c r="A18" s="14" t="n">
        <v>45975.48162572917</v>
      </c>
      <c r="B18" s="17" t="inlineStr">
        <is>
          <t>Lương Duy Hải</t>
        </is>
      </c>
      <c r="C18" s="16" t="n">
        <v>45974</v>
      </c>
      <c r="D18" s="17" t="n">
        <v>0</v>
      </c>
      <c r="E18" s="17" t="n">
        <v>0</v>
      </c>
      <c r="F18" s="17" t="n">
        <v>0</v>
      </c>
      <c r="G18" s="17" t="n">
        <v>1</v>
      </c>
      <c r="H18" s="17" t="n">
        <v>1</v>
      </c>
      <c r="I18" s="17" t="n">
        <v>1</v>
      </c>
      <c r="J18" s="17" t="n">
        <v>1</v>
      </c>
      <c r="K18" s="17" t="n">
        <v>6</v>
      </c>
      <c r="L18" s="17" t="n">
        <v>0</v>
      </c>
      <c r="M18" s="17" t="n">
        <v>0</v>
      </c>
      <c r="N18" s="17" t="n">
        <v>1</v>
      </c>
      <c r="O18" s="17" t="n">
        <v>0</v>
      </c>
      <c r="P18" s="17" t="n">
        <v>0</v>
      </c>
      <c r="Q18" s="17" t="n">
        <v>2</v>
      </c>
      <c r="R18" s="17" t="n">
        <v>2</v>
      </c>
      <c r="T18" s="17">
        <f>DAY(C18)</f>
        <v/>
      </c>
      <c r="U18" s="17">
        <f>MONTH(C18)</f>
        <v/>
      </c>
      <c r="V18" s="17" t="n">
        <v>2025</v>
      </c>
    </row>
    <row r="19" hidden="1" ht="22.5" customHeight="1" s="117">
      <c r="A19" s="14" t="n">
        <v>45975.48361862268</v>
      </c>
      <c r="B19" s="17" t="inlineStr">
        <is>
          <t>Nguyễn Văn Hiệp</t>
        </is>
      </c>
      <c r="C19" s="16" t="n">
        <v>45974</v>
      </c>
      <c r="D19" s="17" t="n">
        <v>0</v>
      </c>
      <c r="E19" s="17" t="n">
        <v>0</v>
      </c>
      <c r="F19" s="17" t="n">
        <v>0</v>
      </c>
      <c r="G19" s="17" t="n">
        <v>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1</v>
      </c>
      <c r="N19" s="17" t="n">
        <v>0</v>
      </c>
      <c r="O19" s="17" t="n">
        <v>0</v>
      </c>
      <c r="P19" s="17" t="n">
        <v>0</v>
      </c>
      <c r="Q19" s="17" t="n">
        <v>0</v>
      </c>
      <c r="R19" s="17" t="n">
        <v>0</v>
      </c>
      <c r="T19" s="17">
        <f>DAY(C19)</f>
        <v/>
      </c>
      <c r="U19" s="17">
        <f>MONTH(C19)</f>
        <v/>
      </c>
      <c r="V19" s="17" t="n">
        <v>2025</v>
      </c>
    </row>
    <row r="20" hidden="1" ht="22.5" customHeight="1" s="117">
      <c r="A20" s="14" t="n">
        <v>45975.48714075232</v>
      </c>
      <c r="B20" s="17" t="inlineStr">
        <is>
          <t>Nguyễn Hồng Minh</t>
        </is>
      </c>
      <c r="C20" s="16" t="n">
        <v>45974</v>
      </c>
      <c r="D20" s="17" t="n">
        <v>0</v>
      </c>
      <c r="E20" s="17" t="n">
        <v>0</v>
      </c>
      <c r="F20" s="17" t="n">
        <v>0</v>
      </c>
      <c r="G20" s="17" t="n">
        <v>1</v>
      </c>
      <c r="H20" s="17" t="n">
        <v>1</v>
      </c>
      <c r="I20" s="17" t="n">
        <v>1</v>
      </c>
      <c r="J20" s="17" t="n">
        <v>0</v>
      </c>
      <c r="K20" s="17" t="n">
        <v>15</v>
      </c>
      <c r="L20" s="17" t="n">
        <v>2</v>
      </c>
      <c r="M20" s="17" t="n">
        <v>0</v>
      </c>
      <c r="N20" s="17" t="n">
        <v>1</v>
      </c>
      <c r="O20" s="17" t="n">
        <v>0</v>
      </c>
      <c r="P20" s="17" t="n">
        <v>0</v>
      </c>
      <c r="Q20" s="17" t="n">
        <v>3</v>
      </c>
      <c r="R20" s="17" t="n">
        <v>0</v>
      </c>
      <c r="T20" s="17">
        <f>DAY(C20)</f>
        <v/>
      </c>
      <c r="U20" s="17">
        <f>MONTH(C20)</f>
        <v/>
      </c>
      <c r="V20" s="17" t="n">
        <v>2025</v>
      </c>
    </row>
    <row r="21" hidden="1" ht="22.5" customHeight="1" s="117">
      <c r="A21" s="14" t="n">
        <v>45975.49129130787</v>
      </c>
      <c r="B21" s="17" t="inlineStr">
        <is>
          <t>Nguyễn Văn Nhật</t>
        </is>
      </c>
      <c r="C21" s="16" t="n">
        <v>45974</v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3</v>
      </c>
      <c r="L21" s="17" t="n">
        <v>2</v>
      </c>
      <c r="M21" s="17" t="n">
        <v>1</v>
      </c>
      <c r="N21" s="17" t="n">
        <v>2</v>
      </c>
      <c r="O21" s="17" t="n">
        <v>0</v>
      </c>
      <c r="P21" s="17" t="n">
        <v>2</v>
      </c>
      <c r="Q21" s="17" t="n">
        <v>5</v>
      </c>
      <c r="R21" s="17" t="n">
        <v>0</v>
      </c>
      <c r="T21" s="17">
        <f>DAY(C21)</f>
        <v/>
      </c>
      <c r="U21" s="17">
        <f>MONTH(C21)</f>
        <v/>
      </c>
      <c r="V21" s="17" t="n">
        <v>2025</v>
      </c>
    </row>
    <row r="22" hidden="1" ht="22.5" customHeight="1" s="117">
      <c r="A22" s="14" t="n">
        <v>45975.49528743055</v>
      </c>
      <c r="B22" s="17" t="inlineStr">
        <is>
          <t>Huỳnh Văn Lực</t>
        </is>
      </c>
      <c r="C22" s="16" t="n">
        <v>45974</v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4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2</v>
      </c>
      <c r="Q22" s="17" t="n">
        <v>0</v>
      </c>
      <c r="R22" s="17" t="n">
        <v>0</v>
      </c>
      <c r="T22" s="17">
        <f>DAY(C22)</f>
        <v/>
      </c>
      <c r="U22" s="17">
        <f>MONTH(C22)</f>
        <v/>
      </c>
      <c r="V22" s="17" t="n">
        <v>2025</v>
      </c>
    </row>
    <row r="23" hidden="1" ht="22.5" customHeight="1" s="117">
      <c r="A23" s="14" t="n">
        <v>45975.50400444445</v>
      </c>
      <c r="B23" s="17" t="inlineStr">
        <is>
          <t>Bùi Duy Cường</t>
        </is>
      </c>
      <c r="C23" s="16" t="n">
        <v>45974</v>
      </c>
      <c r="D23" s="17" t="n">
        <v>0</v>
      </c>
      <c r="E23" s="17" t="n">
        <v>0</v>
      </c>
      <c r="F23" s="17" t="n">
        <v>0</v>
      </c>
      <c r="G23" s="17" t="n">
        <v>1</v>
      </c>
      <c r="H23" s="17" t="n">
        <v>1</v>
      </c>
      <c r="I23" s="17" t="n">
        <v>2</v>
      </c>
      <c r="J23" s="17" t="n">
        <v>1</v>
      </c>
      <c r="K23" s="17" t="n">
        <v>18</v>
      </c>
      <c r="L23" s="17" t="n">
        <v>0</v>
      </c>
      <c r="M23" s="17" t="n">
        <v>0</v>
      </c>
      <c r="N23" s="17" t="n">
        <v>1</v>
      </c>
      <c r="O23" s="17" t="n">
        <v>1</v>
      </c>
      <c r="P23" s="17" t="n">
        <v>1</v>
      </c>
      <c r="Q23" s="17" t="n">
        <v>3</v>
      </c>
      <c r="R23" s="17" t="n">
        <v>0</v>
      </c>
      <c r="T23" s="17">
        <f>DAY(C23)</f>
        <v/>
      </c>
      <c r="U23" s="17">
        <f>MONTH(C23)</f>
        <v/>
      </c>
      <c r="V23" s="17" t="n">
        <v>2025</v>
      </c>
    </row>
    <row r="24" hidden="1" ht="22.5" customHeight="1" s="117">
      <c r="A24" s="14" t="n">
        <v>45975.50582331019</v>
      </c>
      <c r="B24" s="17" t="inlineStr">
        <is>
          <t>Trần Trung Giang</t>
        </is>
      </c>
      <c r="C24" s="16" t="n">
        <v>45974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1</v>
      </c>
      <c r="K24" s="17" t="n">
        <v>6</v>
      </c>
      <c r="L24" s="17" t="n">
        <v>0</v>
      </c>
      <c r="M24" s="17" t="n">
        <v>0</v>
      </c>
      <c r="N24" s="17" t="n">
        <v>1</v>
      </c>
      <c r="O24" s="17" t="n">
        <v>0</v>
      </c>
      <c r="P24" s="17" t="n">
        <v>0</v>
      </c>
      <c r="Q24" s="17" t="n">
        <v>0</v>
      </c>
      <c r="R24" s="17" t="n">
        <v>0</v>
      </c>
      <c r="T24" s="17">
        <f>DAY(C24)</f>
        <v/>
      </c>
      <c r="U24" s="17">
        <f>MONTH(C24)</f>
        <v/>
      </c>
      <c r="V24" s="17" t="n">
        <v>2025</v>
      </c>
    </row>
    <row r="25" hidden="1" ht="22.5" customHeight="1" s="117">
      <c r="A25" s="14" t="n">
        <v>45975.50608252315</v>
      </c>
      <c r="B25" s="17" t="inlineStr">
        <is>
          <t>Trần Xuân Khoa</t>
        </is>
      </c>
      <c r="C25" s="16" t="n">
        <v>45974</v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5</v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1</v>
      </c>
      <c r="Q25" s="17" t="n">
        <v>3</v>
      </c>
      <c r="R25" s="17" t="n">
        <v>0</v>
      </c>
      <c r="T25" s="17">
        <f>DAY(C25)</f>
        <v/>
      </c>
      <c r="U25" s="17">
        <f>MONTH(C25)</f>
        <v/>
      </c>
      <c r="V25" s="17" t="n">
        <v>2025</v>
      </c>
    </row>
    <row r="26" hidden="1" ht="22.5" customHeight="1" s="117">
      <c r="A26" s="14" t="n">
        <v>45975.9717515162</v>
      </c>
      <c r="B26" s="17" t="inlineStr">
        <is>
          <t>Trần Minh Khánh</t>
        </is>
      </c>
      <c r="C26" s="16" t="n">
        <v>45975</v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7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2</v>
      </c>
      <c r="Q26" s="17" t="n">
        <v>4</v>
      </c>
      <c r="R26" s="17" t="n">
        <v>0</v>
      </c>
      <c r="T26" s="17">
        <f>DAY(C26)</f>
        <v/>
      </c>
      <c r="U26" s="17">
        <f>MONTH(C26)</f>
        <v/>
      </c>
      <c r="V26" s="17" t="n">
        <v>2025</v>
      </c>
    </row>
    <row r="27" hidden="1" ht="22.5" customHeight="1" s="117">
      <c r="A27" s="14" t="n">
        <v>45976.31932394676</v>
      </c>
      <c r="B27" s="17" t="inlineStr">
        <is>
          <t>Hồ Xuân Việt</t>
        </is>
      </c>
      <c r="C27" s="16" t="n">
        <v>45975</v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6</v>
      </c>
      <c r="L27" s="17" t="n">
        <v>0</v>
      </c>
      <c r="M27" s="17" t="n">
        <v>1</v>
      </c>
      <c r="N27" s="17" t="n">
        <v>1</v>
      </c>
      <c r="O27" s="17" t="n">
        <v>0</v>
      </c>
      <c r="P27" s="17" t="n">
        <v>1</v>
      </c>
      <c r="Q27" s="17" t="n">
        <v>6</v>
      </c>
      <c r="R27" s="17" t="n">
        <v>0</v>
      </c>
      <c r="T27" s="17">
        <f>DAY(C27)</f>
        <v/>
      </c>
      <c r="U27" s="17">
        <f>MONTH(C27)</f>
        <v/>
      </c>
      <c r="V27" s="17" t="n">
        <v>2025</v>
      </c>
    </row>
    <row r="28" hidden="1" ht="22.5" customHeight="1" s="117">
      <c r="A28" s="14" t="n">
        <v>45976.33075186342</v>
      </c>
      <c r="B28" s="17" t="inlineStr">
        <is>
          <t>Bùi Duy Cường</t>
        </is>
      </c>
      <c r="C28" s="16" t="n">
        <v>45975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10</v>
      </c>
      <c r="L28" s="17" t="n">
        <v>0</v>
      </c>
      <c r="M28" s="17" t="n">
        <v>1</v>
      </c>
      <c r="N28" s="17" t="n">
        <v>0</v>
      </c>
      <c r="O28" s="17" t="n">
        <v>0</v>
      </c>
      <c r="P28" s="17" t="n">
        <v>0</v>
      </c>
      <c r="Q28" s="17" t="n">
        <v>2</v>
      </c>
      <c r="R28" s="17" t="n">
        <v>0</v>
      </c>
      <c r="T28" s="17">
        <f>DAY(C28)</f>
        <v/>
      </c>
      <c r="U28" s="17">
        <f>MONTH(C28)</f>
        <v/>
      </c>
      <c r="V28" s="17" t="n">
        <v>2025</v>
      </c>
    </row>
    <row r="29" hidden="1" ht="22.5" customHeight="1" s="117">
      <c r="A29" s="14" t="n">
        <v>45976.33108921296</v>
      </c>
      <c r="B29" s="17" t="inlineStr">
        <is>
          <t>Trần Trung Giang</t>
        </is>
      </c>
      <c r="C29" s="16" t="n">
        <v>45975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1</v>
      </c>
      <c r="J29" s="17" t="n">
        <v>0</v>
      </c>
      <c r="K29" s="17" t="n">
        <v>7</v>
      </c>
      <c r="L29" s="17" t="n">
        <v>0</v>
      </c>
      <c r="M29" s="17" t="n">
        <v>0</v>
      </c>
      <c r="N29" s="17" t="n">
        <v>1</v>
      </c>
      <c r="O29" s="17" t="n">
        <v>0</v>
      </c>
      <c r="P29" s="17" t="n">
        <v>3</v>
      </c>
      <c r="Q29" s="17" t="n">
        <v>1</v>
      </c>
      <c r="R29" s="17" t="n">
        <v>4</v>
      </c>
      <c r="T29" s="17">
        <f>DAY(C29)</f>
        <v/>
      </c>
      <c r="U29" s="17">
        <f>MONTH(C29)</f>
        <v/>
      </c>
      <c r="V29" s="17" t="n">
        <v>2025</v>
      </c>
    </row>
    <row r="30" hidden="1" ht="22.5" customHeight="1" s="117">
      <c r="A30" s="14" t="n">
        <v>45976.33665604167</v>
      </c>
      <c r="B30" s="17" t="inlineStr">
        <is>
          <t>Nguyễn Quang Anh Tuấn</t>
        </is>
      </c>
      <c r="C30" s="16" t="n">
        <v>45975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11</v>
      </c>
      <c r="L30" s="17" t="n">
        <v>0</v>
      </c>
      <c r="M30" s="17" t="n">
        <v>0</v>
      </c>
      <c r="N30" s="17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T30" s="17">
        <f>DAY(C30)</f>
        <v/>
      </c>
      <c r="U30" s="17">
        <f>MONTH(C30)</f>
        <v/>
      </c>
      <c r="V30" s="17" t="n">
        <v>2025</v>
      </c>
    </row>
    <row r="31" hidden="1" ht="22.5" customHeight="1" s="117">
      <c r="A31" s="14" t="n">
        <v>45976.33705498843</v>
      </c>
      <c r="B31" s="17" t="inlineStr">
        <is>
          <t>Lê Quốc Duy</t>
        </is>
      </c>
      <c r="C31" s="16" t="n">
        <v>45975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15</v>
      </c>
      <c r="L31" s="17" t="n">
        <v>0</v>
      </c>
      <c r="M31" s="17" t="n">
        <v>0</v>
      </c>
      <c r="N31" s="17" t="n">
        <v>0</v>
      </c>
      <c r="O31" s="17" t="n">
        <v>0</v>
      </c>
      <c r="P31" s="17" t="n">
        <v>2</v>
      </c>
      <c r="Q31" s="17" t="n">
        <v>3</v>
      </c>
      <c r="R31" s="17" t="n">
        <v>3</v>
      </c>
      <c r="T31" s="17">
        <f>DAY(C31)</f>
        <v/>
      </c>
      <c r="U31" s="17">
        <f>MONTH(C31)</f>
        <v/>
      </c>
      <c r="V31" s="17" t="n">
        <v>2025</v>
      </c>
    </row>
    <row r="32" hidden="1" ht="22.5" customHeight="1" s="117">
      <c r="A32" s="14" t="n">
        <v>45976.3401649537</v>
      </c>
      <c r="B32" s="17" t="inlineStr">
        <is>
          <t>Nguyễn Văn Hiệp</t>
        </is>
      </c>
      <c r="C32" s="16" t="n">
        <v>45975</v>
      </c>
      <c r="D32" s="17" t="n">
        <v>1</v>
      </c>
      <c r="E32" s="17" t="n">
        <v>1</v>
      </c>
      <c r="F32" s="17" t="n">
        <v>0</v>
      </c>
      <c r="G32" s="17" t="n">
        <v>0</v>
      </c>
      <c r="H32" s="17" t="n">
        <v>0</v>
      </c>
      <c r="I32" s="17" t="n">
        <v>0</v>
      </c>
      <c r="J32" s="17" t="n">
        <v>0</v>
      </c>
      <c r="K32" s="17" t="n">
        <v>6</v>
      </c>
      <c r="L32" s="17" t="n">
        <v>0</v>
      </c>
      <c r="M32" s="17" t="n">
        <v>1</v>
      </c>
      <c r="N32" s="17" t="n">
        <v>0</v>
      </c>
      <c r="O32" s="17" t="n">
        <v>0</v>
      </c>
      <c r="P32" s="17" t="n">
        <v>0</v>
      </c>
      <c r="Q32" s="17" t="n">
        <v>0</v>
      </c>
      <c r="R32" s="17" t="n">
        <v>1</v>
      </c>
      <c r="T32" s="17">
        <f>DAY(C32)</f>
        <v/>
      </c>
      <c r="U32" s="17">
        <f>MONTH(C32)</f>
        <v/>
      </c>
      <c r="V32" s="17" t="n">
        <v>2025</v>
      </c>
    </row>
    <row r="33" hidden="1" ht="22.5" customHeight="1" s="117">
      <c r="A33" s="14" t="n">
        <v>45976.34564550926</v>
      </c>
      <c r="B33" s="17" t="inlineStr">
        <is>
          <t>Nguyễn Tuấn Anh</t>
        </is>
      </c>
      <c r="C33" s="16" t="n">
        <v>45975</v>
      </c>
      <c r="D33" s="17" t="n">
        <v>0</v>
      </c>
      <c r="E33" s="17" t="n">
        <v>0</v>
      </c>
      <c r="F33" s="17" t="n">
        <v>0</v>
      </c>
      <c r="G33" s="17" t="n">
        <v>0</v>
      </c>
      <c r="H33" s="17" t="n">
        <v>0</v>
      </c>
      <c r="I33" s="17" t="n">
        <v>0</v>
      </c>
      <c r="J33" s="17" t="n">
        <v>0</v>
      </c>
      <c r="K33" s="17" t="n">
        <v>60</v>
      </c>
      <c r="L33" s="17" t="n">
        <v>0</v>
      </c>
      <c r="M33" s="17" t="n">
        <v>0</v>
      </c>
      <c r="N33" s="17" t="n">
        <v>1</v>
      </c>
      <c r="O33" s="17" t="n">
        <v>0</v>
      </c>
      <c r="P33" s="17" t="n">
        <v>2</v>
      </c>
      <c r="Q33" s="17" t="n">
        <v>1</v>
      </c>
      <c r="R33" s="17" t="n">
        <v>0</v>
      </c>
      <c r="T33" s="17">
        <f>DAY(C33)</f>
        <v/>
      </c>
      <c r="U33" s="17">
        <f>MONTH(C33)</f>
        <v/>
      </c>
      <c r="V33" s="17" t="n">
        <v>2025</v>
      </c>
    </row>
    <row r="34" hidden="1" ht="22.5" customHeight="1" s="117">
      <c r="A34" s="14" t="n">
        <v>45976.34692576389</v>
      </c>
      <c r="B34" s="17" t="inlineStr">
        <is>
          <t>Đặng Hoài Anh</t>
        </is>
      </c>
      <c r="C34" s="16" t="n">
        <v>45975</v>
      </c>
      <c r="D34" s="17" t="n">
        <v>2</v>
      </c>
      <c r="E34" s="17" t="n">
        <v>1</v>
      </c>
      <c r="F34" s="17" t="n">
        <v>0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2</v>
      </c>
      <c r="L34" s="17" t="n">
        <v>0</v>
      </c>
      <c r="M34" s="17" t="n">
        <v>2</v>
      </c>
      <c r="N34" s="17" t="n">
        <v>0</v>
      </c>
      <c r="O34" s="17" t="n">
        <v>0</v>
      </c>
      <c r="P34" s="17" t="n">
        <v>0</v>
      </c>
      <c r="Q34" s="17" t="n">
        <v>2</v>
      </c>
      <c r="R34" s="17" t="n">
        <v>0</v>
      </c>
      <c r="T34" s="17">
        <f>DAY(C34)</f>
        <v/>
      </c>
      <c r="U34" s="17">
        <f>MONTH(C34)</f>
        <v/>
      </c>
      <c r="V34" s="17" t="n">
        <v>2025</v>
      </c>
    </row>
    <row r="35" hidden="1" ht="22.5" customHeight="1" s="117">
      <c r="A35" s="14" t="n">
        <v>45976.34963024306</v>
      </c>
      <c r="B35" s="17" t="inlineStr">
        <is>
          <t>Huỳnh Văn Lực</t>
        </is>
      </c>
      <c r="C35" s="16" t="n">
        <v>45975</v>
      </c>
      <c r="D35" s="17" t="n">
        <v>0</v>
      </c>
      <c r="E35" s="17" t="n">
        <v>0</v>
      </c>
      <c r="F35" s="17" t="n">
        <v>1</v>
      </c>
      <c r="G35" s="17" t="n">
        <v>0</v>
      </c>
      <c r="H35" s="17" t="n">
        <v>0</v>
      </c>
      <c r="I35" s="17" t="n">
        <v>1</v>
      </c>
      <c r="J35" s="17" t="n">
        <v>0</v>
      </c>
      <c r="K35" s="17" t="n">
        <v>6</v>
      </c>
      <c r="L35" s="17" t="n">
        <v>0</v>
      </c>
      <c r="M35" s="17" t="n">
        <v>1</v>
      </c>
      <c r="N35" s="17" t="n">
        <v>1</v>
      </c>
      <c r="O35" s="17" t="n">
        <v>0</v>
      </c>
      <c r="P35" s="17" t="n">
        <v>0</v>
      </c>
      <c r="Q35" s="17" t="n">
        <v>1</v>
      </c>
      <c r="R35" s="17" t="n">
        <v>0</v>
      </c>
      <c r="T35" s="17">
        <f>DAY(C35)</f>
        <v/>
      </c>
      <c r="U35" s="17">
        <f>MONTH(C35)</f>
        <v/>
      </c>
      <c r="V35" s="17" t="n">
        <v>2025</v>
      </c>
    </row>
    <row r="36" hidden="1" ht="22.5" customHeight="1" s="117">
      <c r="A36" s="14" t="n">
        <v>45976.36237414351</v>
      </c>
      <c r="B36" s="17" t="inlineStr">
        <is>
          <t>Phan Ngọc Sang</t>
        </is>
      </c>
      <c r="C36" s="16" t="n">
        <v>45975</v>
      </c>
      <c r="D36" s="17" t="n">
        <v>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1</v>
      </c>
      <c r="J36" s="17" t="n">
        <v>0</v>
      </c>
      <c r="K36" s="17" t="n">
        <v>9</v>
      </c>
      <c r="L36" s="17" t="n">
        <v>0</v>
      </c>
      <c r="M36" s="17" t="n">
        <v>0</v>
      </c>
      <c r="N36" s="17" t="n">
        <v>1</v>
      </c>
      <c r="O36" s="17" t="n">
        <v>1</v>
      </c>
      <c r="P36" s="17" t="n">
        <v>0</v>
      </c>
      <c r="Q36" s="17" t="n">
        <v>2</v>
      </c>
      <c r="R36" s="17" t="n">
        <v>0</v>
      </c>
      <c r="T36" s="17">
        <f>DAY(C36)</f>
        <v/>
      </c>
      <c r="U36" s="17">
        <f>MONTH(C36)</f>
        <v/>
      </c>
      <c r="V36" s="17" t="n">
        <v>2025</v>
      </c>
    </row>
    <row r="37" hidden="1" ht="22.5" customHeight="1" s="117">
      <c r="A37" s="14" t="n">
        <v>45976.3624215625</v>
      </c>
      <c r="B37" s="17" t="inlineStr">
        <is>
          <t>Đào Công Trung</t>
        </is>
      </c>
      <c r="C37" s="16" t="n">
        <v>45975</v>
      </c>
      <c r="D37" s="17" t="n">
        <v>0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10</v>
      </c>
      <c r="L37" s="17" t="n">
        <v>0</v>
      </c>
      <c r="M37" s="17" t="n">
        <v>1</v>
      </c>
      <c r="N37" s="17" t="n">
        <v>0</v>
      </c>
      <c r="O37" s="17" t="n">
        <v>0</v>
      </c>
      <c r="P37" s="17" t="n">
        <v>0</v>
      </c>
      <c r="Q37" s="17" t="n">
        <v>1</v>
      </c>
      <c r="R37" s="17" t="n">
        <v>0</v>
      </c>
      <c r="T37" s="17">
        <f>DAY(C37)</f>
        <v/>
      </c>
      <c r="U37" s="17">
        <f>MONTH(C37)</f>
        <v/>
      </c>
      <c r="V37" s="17" t="n">
        <v>2025</v>
      </c>
    </row>
    <row r="38" hidden="1" ht="22.5" customHeight="1" s="117">
      <c r="A38" s="14" t="n">
        <v>45976.36623579861</v>
      </c>
      <c r="B38" s="17" t="inlineStr">
        <is>
          <t>Nguyễn Thành Lâm</t>
        </is>
      </c>
      <c r="C38" s="16" t="n">
        <v>45975</v>
      </c>
      <c r="D38" s="17" t="n">
        <v>0</v>
      </c>
      <c r="E38" s="17" t="n">
        <v>0</v>
      </c>
      <c r="F38" s="17" t="n">
        <v>0</v>
      </c>
      <c r="G38" s="17" t="n">
        <v>1</v>
      </c>
      <c r="H38" s="17" t="n">
        <v>1</v>
      </c>
      <c r="I38" s="17" t="n">
        <v>1</v>
      </c>
      <c r="J38" s="17" t="n">
        <v>0</v>
      </c>
      <c r="K38" s="17" t="n">
        <v>8</v>
      </c>
      <c r="L38" s="17" t="n">
        <v>0</v>
      </c>
      <c r="M38" s="17" t="n">
        <v>0</v>
      </c>
      <c r="N38" s="17" t="n">
        <v>1</v>
      </c>
      <c r="O38" s="17" t="n">
        <v>1</v>
      </c>
      <c r="P38" s="17" t="n">
        <v>1</v>
      </c>
      <c r="Q38" s="17" t="n">
        <v>3</v>
      </c>
      <c r="R38" s="17" t="n">
        <v>0</v>
      </c>
      <c r="T38" s="17">
        <f>DAY(C38)</f>
        <v/>
      </c>
      <c r="U38" s="17">
        <f>MONTH(C38)</f>
        <v/>
      </c>
      <c r="V38" s="17" t="n">
        <v>2025</v>
      </c>
    </row>
    <row r="39" hidden="1" ht="22.5" customHeight="1" s="117">
      <c r="A39" s="14" t="n">
        <v>45976.36785206018</v>
      </c>
      <c r="B39" s="17" t="inlineStr">
        <is>
          <t>Dương Minh Tiến</t>
        </is>
      </c>
      <c r="C39" s="16" t="n">
        <v>45975</v>
      </c>
      <c r="D39" s="17" t="n">
        <v>0</v>
      </c>
      <c r="E39" s="17" t="n">
        <v>0</v>
      </c>
      <c r="F39" s="17" t="n">
        <v>0</v>
      </c>
      <c r="G39" s="17" t="n">
        <v>0</v>
      </c>
      <c r="H39" s="17" t="n">
        <v>0</v>
      </c>
      <c r="I39" s="17" t="n">
        <v>0</v>
      </c>
      <c r="J39" s="17" t="n">
        <v>0</v>
      </c>
      <c r="K39" s="17" t="n">
        <v>18</v>
      </c>
      <c r="L39" s="17" t="n">
        <v>0</v>
      </c>
      <c r="M39" s="17" t="n">
        <v>1</v>
      </c>
      <c r="N39" s="17" t="n">
        <v>0</v>
      </c>
      <c r="O39" s="17" t="n">
        <v>0</v>
      </c>
      <c r="P39" s="17" t="n">
        <v>0</v>
      </c>
      <c r="Q39" s="17" t="n">
        <v>0</v>
      </c>
      <c r="R39" s="17" t="n">
        <v>0</v>
      </c>
      <c r="T39" s="17">
        <f>DAY(C39)</f>
        <v/>
      </c>
      <c r="U39" s="17">
        <f>MONTH(C39)</f>
        <v/>
      </c>
      <c r="V39" s="17" t="n">
        <v>2025</v>
      </c>
    </row>
    <row r="40" hidden="1" ht="22.5" customHeight="1" s="117">
      <c r="A40" s="14" t="n">
        <v>45976.37433475695</v>
      </c>
      <c r="B40" s="17" t="inlineStr">
        <is>
          <t>Trần Xuân Khoa</t>
        </is>
      </c>
      <c r="C40" s="16" t="n">
        <v>45975</v>
      </c>
      <c r="D40" s="17" t="n">
        <v>0</v>
      </c>
      <c r="E40" s="17" t="n">
        <v>0</v>
      </c>
      <c r="F40" s="17" t="n">
        <v>0</v>
      </c>
      <c r="G40" s="17" t="n">
        <v>0</v>
      </c>
      <c r="H40" s="17" t="n">
        <v>0</v>
      </c>
      <c r="I40" s="17" t="n">
        <v>0</v>
      </c>
      <c r="J40" s="17" t="n">
        <v>0</v>
      </c>
      <c r="K40" s="17" t="n">
        <v>6</v>
      </c>
      <c r="L40" s="17" t="n">
        <v>0</v>
      </c>
      <c r="M40" s="17" t="n">
        <v>1</v>
      </c>
      <c r="N40" s="17" t="n">
        <v>0</v>
      </c>
      <c r="O40" s="17" t="n">
        <v>0</v>
      </c>
      <c r="P40" s="17" t="n">
        <v>1</v>
      </c>
      <c r="Q40" s="17" t="n">
        <v>4</v>
      </c>
      <c r="R40" s="17" t="n">
        <v>0</v>
      </c>
      <c r="T40" s="17">
        <f>DAY(C40)</f>
        <v/>
      </c>
      <c r="U40" s="17">
        <f>MONTH(C40)</f>
        <v/>
      </c>
      <c r="V40" s="17" t="n">
        <v>2025</v>
      </c>
    </row>
    <row r="41" hidden="1" ht="22.5" customHeight="1" s="117">
      <c r="A41" s="14" t="n">
        <v>45976.41492042824</v>
      </c>
      <c r="B41" s="17" t="inlineStr">
        <is>
          <t>Lương Duy Hoàng</t>
        </is>
      </c>
      <c r="C41" s="16" t="n">
        <v>45976</v>
      </c>
      <c r="D41" s="17" t="n">
        <v>0</v>
      </c>
      <c r="E41" s="17" t="n">
        <v>0</v>
      </c>
      <c r="F41" s="17" t="n">
        <v>0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3</v>
      </c>
      <c r="L41" s="17" t="n">
        <v>0</v>
      </c>
      <c r="M41" s="17" t="n">
        <v>0</v>
      </c>
      <c r="N41" s="17" t="n">
        <v>0</v>
      </c>
      <c r="O41" s="17" t="n">
        <v>0</v>
      </c>
      <c r="P41" s="17" t="n">
        <v>2</v>
      </c>
      <c r="Q41" s="17" t="n">
        <v>4</v>
      </c>
      <c r="R41" s="17" t="n">
        <v>0</v>
      </c>
      <c r="T41" s="17">
        <f>DAY(C41)</f>
        <v/>
      </c>
      <c r="U41" s="17">
        <f>MONTH(C41)</f>
        <v/>
      </c>
      <c r="V41" s="17" t="n">
        <v>2025</v>
      </c>
    </row>
    <row r="42" hidden="1" ht="22.5" customHeight="1" s="117">
      <c r="A42" s="14" t="n">
        <v>45976.42979634259</v>
      </c>
      <c r="B42" s="17" t="inlineStr">
        <is>
          <t>Hồ Xuân Việt</t>
        </is>
      </c>
      <c r="C42" s="16" t="n">
        <v>45976</v>
      </c>
      <c r="D42" s="17" t="n">
        <v>0</v>
      </c>
      <c r="E42" s="17" t="n">
        <v>0</v>
      </c>
      <c r="F42" s="17" t="n">
        <v>0</v>
      </c>
      <c r="G42" s="17" t="n">
        <v>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0</v>
      </c>
      <c r="N42" s="17" t="n">
        <v>0</v>
      </c>
      <c r="O42" s="17" t="n">
        <v>0</v>
      </c>
      <c r="P42" s="17" t="n">
        <v>1</v>
      </c>
      <c r="Q42" s="17" t="n">
        <v>2</v>
      </c>
      <c r="R42" s="17" t="n">
        <v>0</v>
      </c>
      <c r="T42" s="17">
        <f>DAY(C42)</f>
        <v/>
      </c>
      <c r="U42" s="17">
        <f>MONTH(C42)</f>
        <v/>
      </c>
      <c r="V42" s="17" t="n">
        <v>2025</v>
      </c>
    </row>
    <row r="43" hidden="1" ht="22.5" customHeight="1" s="117">
      <c r="A43" s="14" t="n">
        <v>45976.42980744213</v>
      </c>
      <c r="B43" s="17" t="inlineStr">
        <is>
          <t>Lê Văn Hồng</t>
        </is>
      </c>
      <c r="C43" s="16" t="n">
        <v>45975</v>
      </c>
      <c r="D43" s="17" t="n">
        <v>0</v>
      </c>
      <c r="E43" s="17" t="n">
        <v>0</v>
      </c>
      <c r="F43" s="17" t="n">
        <v>0</v>
      </c>
      <c r="G43" s="17" t="n">
        <v>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6</v>
      </c>
      <c r="M43" s="17" t="n">
        <v>2</v>
      </c>
      <c r="N43" s="17" t="n">
        <v>0</v>
      </c>
      <c r="O43" s="17" t="n">
        <v>0</v>
      </c>
      <c r="P43" s="17" t="n">
        <v>2</v>
      </c>
      <c r="Q43" s="17" t="n">
        <v>6</v>
      </c>
      <c r="R43" s="17" t="n">
        <v>0</v>
      </c>
      <c r="T43" s="17">
        <f>DAY(C43)</f>
        <v/>
      </c>
      <c r="U43" s="17">
        <f>MONTH(C43)</f>
        <v/>
      </c>
      <c r="V43" s="17" t="n">
        <v>2025</v>
      </c>
    </row>
    <row r="44" hidden="1" ht="22.5" customHeight="1" s="117">
      <c r="A44" s="14" t="n">
        <v>45976.43122353009</v>
      </c>
      <c r="B44" s="17" t="inlineStr">
        <is>
          <t>Vòng Nhật Sang</t>
        </is>
      </c>
      <c r="C44" s="16" t="n">
        <v>45975</v>
      </c>
      <c r="D44" s="17" t="n">
        <v>0</v>
      </c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31</v>
      </c>
      <c r="L44" s="17" t="n">
        <v>0</v>
      </c>
      <c r="M44" s="17" t="n">
        <v>0</v>
      </c>
      <c r="N44" s="17" t="n">
        <v>0</v>
      </c>
      <c r="O44" s="17" t="n">
        <v>0</v>
      </c>
      <c r="P44" s="17" t="n">
        <v>1</v>
      </c>
      <c r="Q44" s="17" t="n">
        <v>5</v>
      </c>
      <c r="R44" s="17" t="n">
        <v>0</v>
      </c>
      <c r="T44" s="17">
        <f>DAY(C44)</f>
        <v/>
      </c>
      <c r="U44" s="17">
        <f>MONTH(C44)</f>
        <v/>
      </c>
      <c r="V44" s="17" t="n">
        <v>2025</v>
      </c>
    </row>
    <row r="45" hidden="1" ht="22.5" customHeight="1" s="117">
      <c r="A45" s="14" t="n">
        <v>45976.43356789352</v>
      </c>
      <c r="B45" s="17" t="inlineStr">
        <is>
          <t>Hồ Thái Minh Trí</t>
        </is>
      </c>
      <c r="C45" s="16" t="n">
        <v>45975</v>
      </c>
      <c r="D45" s="17" t="n">
        <v>0</v>
      </c>
      <c r="E45" s="17" t="n">
        <v>0</v>
      </c>
      <c r="F45" s="17" t="n">
        <v>0</v>
      </c>
      <c r="G45" s="17" t="n">
        <v>0</v>
      </c>
      <c r="H45" s="17" t="n">
        <v>0</v>
      </c>
      <c r="I45" s="17" t="n">
        <v>0</v>
      </c>
      <c r="J45" s="17" t="n">
        <v>0</v>
      </c>
      <c r="K45" s="17" t="n">
        <v>14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7" t="n">
        <v>3</v>
      </c>
      <c r="R45" s="17" t="n">
        <v>0</v>
      </c>
      <c r="T45" s="17">
        <f>DAY(C45)</f>
        <v/>
      </c>
      <c r="U45" s="17">
        <f>MONTH(C45)</f>
        <v/>
      </c>
      <c r="V45" s="17" t="n">
        <v>2025</v>
      </c>
    </row>
    <row r="46" hidden="1" ht="22.5" customHeight="1" s="117">
      <c r="A46" s="14" t="n">
        <v>45976.45438280093</v>
      </c>
      <c r="B46" s="17" t="inlineStr">
        <is>
          <t>Phan Thành Thái</t>
        </is>
      </c>
      <c r="C46" s="16" t="n">
        <v>45975</v>
      </c>
      <c r="D46" s="17" t="n">
        <v>0</v>
      </c>
      <c r="E46" s="17" t="n">
        <v>0</v>
      </c>
      <c r="F46" s="17" t="n">
        <v>0</v>
      </c>
      <c r="G46" s="17" t="n">
        <v>0</v>
      </c>
      <c r="H46" s="17" t="n">
        <v>0</v>
      </c>
      <c r="I46" s="17" t="n">
        <v>1</v>
      </c>
      <c r="J46" s="17" t="n">
        <v>0</v>
      </c>
      <c r="K46" s="17" t="n">
        <v>10</v>
      </c>
      <c r="L46" s="17" t="n">
        <v>0</v>
      </c>
      <c r="M46" s="17" t="n">
        <v>0</v>
      </c>
      <c r="N46" s="17" t="n">
        <v>1</v>
      </c>
      <c r="O46" s="17" t="n">
        <v>0</v>
      </c>
      <c r="P46" s="17" t="n">
        <v>1</v>
      </c>
      <c r="Q46" s="17" t="n">
        <v>4</v>
      </c>
      <c r="R46" s="17" t="n">
        <v>0</v>
      </c>
      <c r="T46" s="17">
        <f>DAY(C46)</f>
        <v/>
      </c>
      <c r="U46" s="17">
        <f>MONTH(C46)</f>
        <v/>
      </c>
      <c r="V46" s="17" t="n">
        <v>2025</v>
      </c>
    </row>
    <row r="47" hidden="1" ht="22.5" customHeight="1" s="117">
      <c r="A47" s="14" t="n">
        <v>45976.87465127314</v>
      </c>
      <c r="B47" s="17" t="inlineStr">
        <is>
          <t>Đặng Hữu Danh</t>
        </is>
      </c>
      <c r="C47" s="16" t="n">
        <v>45976</v>
      </c>
      <c r="D47" s="17" t="n">
        <v>0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8</v>
      </c>
      <c r="L47" s="17" t="n">
        <v>0</v>
      </c>
      <c r="M47" s="17" t="n">
        <v>1</v>
      </c>
      <c r="N47" s="17" t="n">
        <v>0</v>
      </c>
      <c r="O47" s="17" t="n">
        <v>1</v>
      </c>
      <c r="P47" s="17" t="n">
        <v>2</v>
      </c>
      <c r="Q47" s="17" t="n">
        <v>3</v>
      </c>
      <c r="R47" s="17" t="n">
        <v>0</v>
      </c>
      <c r="T47" s="17">
        <f>DAY(C47)</f>
        <v/>
      </c>
      <c r="U47" s="17">
        <f>MONTH(C47)</f>
        <v/>
      </c>
      <c r="V47" s="17" t="n">
        <v>2025</v>
      </c>
    </row>
    <row r="48" hidden="1" ht="22.5" customHeight="1" s="117">
      <c r="A48" s="14" t="n">
        <v>45977.27484054398</v>
      </c>
      <c r="B48" s="17" t="inlineStr">
        <is>
          <t>Lê Quốc Duy</t>
        </is>
      </c>
      <c r="C48" s="16" t="n">
        <v>45976</v>
      </c>
      <c r="D48" s="17" t="n">
        <v>1</v>
      </c>
      <c r="E48" s="17" t="n">
        <v>0</v>
      </c>
      <c r="F48" s="17" t="n">
        <v>0</v>
      </c>
      <c r="G48" s="17" t="n">
        <v>0</v>
      </c>
      <c r="H48" s="17" t="n">
        <v>0</v>
      </c>
      <c r="I48" s="17" t="n">
        <v>30</v>
      </c>
      <c r="J48" s="17" t="n">
        <v>0</v>
      </c>
      <c r="K48" s="17" t="n">
        <v>2</v>
      </c>
      <c r="L48" s="17" t="n">
        <v>0</v>
      </c>
      <c r="M48" s="17" t="n">
        <v>1</v>
      </c>
      <c r="N48" s="17" t="n">
        <v>0</v>
      </c>
      <c r="O48" s="17" t="n">
        <v>0</v>
      </c>
      <c r="P48" s="17" t="n">
        <v>0</v>
      </c>
      <c r="Q48" s="17" t="n">
        <v>7</v>
      </c>
      <c r="R48" s="17" t="n">
        <v>0</v>
      </c>
      <c r="T48" s="17">
        <f>DAY(C48)</f>
        <v/>
      </c>
      <c r="U48" s="17">
        <f>MONTH(C48)</f>
        <v/>
      </c>
      <c r="V48" s="17" t="n">
        <v>2025</v>
      </c>
    </row>
    <row r="49" hidden="1" ht="22.5" customHeight="1" s="117">
      <c r="A49" s="14" t="n">
        <v>45977.27860793981</v>
      </c>
      <c r="B49" s="17" t="inlineStr">
        <is>
          <t>Phan Ngọc Sang</t>
        </is>
      </c>
      <c r="C49" s="16" t="n">
        <v>45976</v>
      </c>
      <c r="D49" s="17" t="n">
        <v>0</v>
      </c>
      <c r="E49" s="17" t="n">
        <v>0</v>
      </c>
      <c r="F49" s="17" t="n">
        <v>0</v>
      </c>
      <c r="G49" s="17" t="n">
        <v>1</v>
      </c>
      <c r="H49" s="17" t="n">
        <v>0</v>
      </c>
      <c r="I49" s="17" t="n">
        <v>1</v>
      </c>
      <c r="J49" s="17" t="n">
        <v>0</v>
      </c>
      <c r="K49" s="17" t="n">
        <v>11</v>
      </c>
      <c r="L49" s="17" t="n">
        <v>0</v>
      </c>
      <c r="M49" s="17" t="n">
        <v>0</v>
      </c>
      <c r="N49" s="17" t="n">
        <v>2</v>
      </c>
      <c r="O49" s="17" t="n">
        <v>1</v>
      </c>
      <c r="P49" s="17" t="n">
        <v>0</v>
      </c>
      <c r="Q49" s="17" t="n">
        <v>2</v>
      </c>
      <c r="R49" s="17" t="n">
        <v>0</v>
      </c>
      <c r="T49" s="17">
        <f>DAY(C49)</f>
        <v/>
      </c>
      <c r="U49" s="17">
        <f>MONTH(C49)</f>
        <v/>
      </c>
      <c r="V49" s="17" t="n">
        <v>2025</v>
      </c>
    </row>
    <row r="50" hidden="1" ht="22.5" customHeight="1" s="117">
      <c r="A50" s="14" t="n">
        <v>45977.28666846065</v>
      </c>
      <c r="B50" s="17" t="inlineStr">
        <is>
          <t>Dương Minh Tiến</t>
        </is>
      </c>
      <c r="C50" s="16" t="n">
        <v>45976</v>
      </c>
      <c r="D50" s="17" t="n">
        <v>0</v>
      </c>
      <c r="E50" s="17" t="n">
        <v>0</v>
      </c>
      <c r="F50" s="17" t="n">
        <v>0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14</v>
      </c>
      <c r="L50" s="17" t="n">
        <v>0</v>
      </c>
      <c r="M50" s="17" t="n">
        <v>1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0</v>
      </c>
      <c r="T50" s="17">
        <f>DAY(C50)</f>
        <v/>
      </c>
      <c r="U50" s="17">
        <f>MONTH(C50)</f>
        <v/>
      </c>
      <c r="V50" s="17" t="n">
        <v>2025</v>
      </c>
    </row>
    <row r="51" hidden="1" ht="22.5" customHeight="1" s="117">
      <c r="A51" s="14" t="n">
        <v>45977.29055526621</v>
      </c>
      <c r="B51" s="17" t="inlineStr">
        <is>
          <t>Hồ Thái Minh Trí</t>
        </is>
      </c>
      <c r="C51" s="16" t="n">
        <v>45976</v>
      </c>
      <c r="D51" s="17" t="n">
        <v>0</v>
      </c>
      <c r="E51" s="17" t="n">
        <v>0</v>
      </c>
      <c r="F51" s="17" t="n">
        <v>0</v>
      </c>
      <c r="G51" s="17" t="n">
        <v>0</v>
      </c>
      <c r="H51" s="17" t="n">
        <v>0</v>
      </c>
      <c r="I51" s="17" t="n">
        <v>1</v>
      </c>
      <c r="J51" s="17" t="n">
        <v>0</v>
      </c>
      <c r="K51" s="17" t="n">
        <v>4</v>
      </c>
      <c r="L51" s="17" t="n">
        <v>0</v>
      </c>
      <c r="M51" s="17" t="n">
        <v>1</v>
      </c>
      <c r="N51" s="17" t="n">
        <v>0</v>
      </c>
      <c r="O51" s="17" t="n">
        <v>0</v>
      </c>
      <c r="P51" s="17" t="n">
        <v>1</v>
      </c>
      <c r="Q51" s="17" t="n">
        <v>1</v>
      </c>
      <c r="R51" s="17" t="n">
        <v>0</v>
      </c>
      <c r="T51" s="17">
        <f>DAY(C51)</f>
        <v/>
      </c>
      <c r="U51" s="17">
        <f>MONTH(C51)</f>
        <v/>
      </c>
      <c r="V51" s="17" t="n">
        <v>2025</v>
      </c>
    </row>
    <row r="52" hidden="1" ht="22.5" customHeight="1" s="117">
      <c r="A52" s="14" t="n">
        <v>45977.29117646991</v>
      </c>
      <c r="B52" s="17" t="inlineStr">
        <is>
          <t>Lương Duy Hoàng</t>
        </is>
      </c>
      <c r="C52" s="16" t="n">
        <v>45977</v>
      </c>
      <c r="D52" s="17" t="n">
        <v>0</v>
      </c>
      <c r="E52" s="17" t="n">
        <v>0</v>
      </c>
      <c r="F52" s="17" t="n">
        <v>0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3</v>
      </c>
      <c r="L52" s="17" t="n">
        <v>0</v>
      </c>
      <c r="M52" s="17" t="n">
        <v>0</v>
      </c>
      <c r="N52" s="17" t="n">
        <v>0</v>
      </c>
      <c r="O52" s="17" t="n">
        <v>0</v>
      </c>
      <c r="P52" s="17" t="n">
        <v>1</v>
      </c>
      <c r="Q52" s="17" t="n">
        <v>4</v>
      </c>
      <c r="R52" s="17" t="n">
        <v>0</v>
      </c>
      <c r="T52" s="17">
        <f>DAY(C52)</f>
        <v/>
      </c>
      <c r="U52" s="17">
        <f>MONTH(C52)</f>
        <v/>
      </c>
      <c r="V52" s="17" t="n">
        <v>2025</v>
      </c>
    </row>
    <row r="53" hidden="1" ht="22.5" customHeight="1" s="117">
      <c r="A53" s="14" t="n">
        <v>45977.29230537037</v>
      </c>
      <c r="B53" s="17" t="inlineStr">
        <is>
          <t>Phan Thành Thái</t>
        </is>
      </c>
      <c r="C53" s="16" t="n">
        <v>45976</v>
      </c>
      <c r="D53" s="17" t="n">
        <v>0</v>
      </c>
      <c r="E53" s="17" t="n">
        <v>1</v>
      </c>
      <c r="F53" s="17" t="n">
        <v>0</v>
      </c>
      <c r="G53" s="17" t="n">
        <v>1</v>
      </c>
      <c r="H53" s="17" t="n">
        <v>1</v>
      </c>
      <c r="I53" s="17" t="n">
        <v>1</v>
      </c>
      <c r="J53" s="17" t="n">
        <v>0</v>
      </c>
      <c r="K53" s="17" t="n">
        <v>6</v>
      </c>
      <c r="L53" s="17" t="n">
        <v>0</v>
      </c>
      <c r="M53" s="17" t="n">
        <v>1</v>
      </c>
      <c r="N53" s="17" t="n">
        <v>0</v>
      </c>
      <c r="O53" s="17" t="n">
        <v>0</v>
      </c>
      <c r="P53" s="17" t="n">
        <v>2</v>
      </c>
      <c r="Q53" s="17" t="n">
        <v>4</v>
      </c>
      <c r="R53" s="17" t="n">
        <v>0</v>
      </c>
      <c r="T53" s="17">
        <f>DAY(C53)</f>
        <v/>
      </c>
      <c r="U53" s="17">
        <f>MONTH(C53)</f>
        <v/>
      </c>
      <c r="V53" s="17" t="n">
        <v>2025</v>
      </c>
    </row>
    <row r="54" hidden="1" ht="22.5" customHeight="1" s="117">
      <c r="A54" s="14" t="n">
        <v>45977.29417944444</v>
      </c>
      <c r="B54" s="17" t="inlineStr">
        <is>
          <t>Hồ Xuân Việt</t>
        </is>
      </c>
      <c r="C54" s="16" t="n">
        <v>45976</v>
      </c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6</v>
      </c>
      <c r="L54" s="17" t="n">
        <v>0</v>
      </c>
      <c r="M54" s="17" t="n">
        <v>1</v>
      </c>
      <c r="N54" s="17" t="n">
        <v>1</v>
      </c>
      <c r="O54" s="17" t="n">
        <v>0</v>
      </c>
      <c r="P54" s="17" t="n">
        <v>1</v>
      </c>
      <c r="Q54" s="17" t="n">
        <v>5</v>
      </c>
      <c r="R54" s="17" t="n">
        <v>0</v>
      </c>
      <c r="T54" s="17">
        <f>DAY(C54)</f>
        <v/>
      </c>
      <c r="U54" s="17">
        <f>MONTH(C54)</f>
        <v/>
      </c>
      <c r="V54" s="17" t="n">
        <v>2025</v>
      </c>
    </row>
    <row r="55" hidden="1" ht="22.5" customHeight="1" s="117">
      <c r="A55" s="14" t="n">
        <v>45977.29518138889</v>
      </c>
      <c r="B55" s="17" t="inlineStr">
        <is>
          <t>Trần Trung Giang</t>
        </is>
      </c>
      <c r="C55" s="16" t="n">
        <v>45976</v>
      </c>
      <c r="D55" s="17" t="n">
        <v>0</v>
      </c>
      <c r="E55" s="17" t="n">
        <v>0</v>
      </c>
      <c r="F55" s="17" t="n">
        <v>0</v>
      </c>
      <c r="G55" s="17" t="n">
        <v>0</v>
      </c>
      <c r="H55" s="17" t="n">
        <v>0</v>
      </c>
      <c r="I55" s="17" t="n">
        <v>0</v>
      </c>
      <c r="J55" s="17" t="n">
        <v>0</v>
      </c>
      <c r="K55" s="17" t="n">
        <v>3</v>
      </c>
      <c r="L55" s="17" t="n">
        <v>0</v>
      </c>
      <c r="M55" s="17" t="n">
        <v>0</v>
      </c>
      <c r="N55" s="17" t="n">
        <v>0</v>
      </c>
      <c r="O55" s="17" t="n">
        <v>0</v>
      </c>
      <c r="P55" s="17" t="n">
        <v>0</v>
      </c>
      <c r="Q55" s="17" t="n">
        <v>0</v>
      </c>
      <c r="R55" s="17" t="n">
        <v>0</v>
      </c>
      <c r="T55" s="17">
        <f>DAY(C55)</f>
        <v/>
      </c>
      <c r="U55" s="17">
        <f>MONTH(C55)</f>
        <v/>
      </c>
      <c r="V55" s="17" t="n">
        <v>2025</v>
      </c>
    </row>
    <row r="56" hidden="1" ht="22.5" customHeight="1" s="117">
      <c r="A56" s="14" t="n">
        <v>45977.29746289352</v>
      </c>
      <c r="B56" s="17" t="inlineStr">
        <is>
          <t>Vòng Nhật Sang</t>
        </is>
      </c>
      <c r="C56" s="16" t="n">
        <v>45976</v>
      </c>
      <c r="D56" s="17" t="n">
        <v>0</v>
      </c>
      <c r="E56" s="17" t="n">
        <v>0</v>
      </c>
      <c r="F56" s="17" t="n">
        <v>0</v>
      </c>
      <c r="G56" s="17" t="n">
        <v>0</v>
      </c>
      <c r="H56" s="17" t="n">
        <v>0</v>
      </c>
      <c r="I56" s="17" t="n">
        <v>0</v>
      </c>
      <c r="J56" s="17" t="n">
        <v>1</v>
      </c>
      <c r="K56" s="17" t="n">
        <v>8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1</v>
      </c>
      <c r="Q56" s="17" t="n">
        <v>6</v>
      </c>
      <c r="R56" s="17" t="n">
        <v>0</v>
      </c>
      <c r="T56" s="17">
        <f>DAY(C56)</f>
        <v/>
      </c>
      <c r="U56" s="17">
        <f>MONTH(C56)</f>
        <v/>
      </c>
      <c r="V56" s="17" t="n">
        <v>2025</v>
      </c>
    </row>
    <row r="57" hidden="1" ht="22.5" customHeight="1" s="117">
      <c r="A57" s="14" t="n">
        <v>45977.29882512731</v>
      </c>
      <c r="B57" s="17" t="inlineStr">
        <is>
          <t>Lương Duy Hải</t>
        </is>
      </c>
      <c r="C57" s="16" t="n">
        <v>45976</v>
      </c>
      <c r="D57" s="17" t="n">
        <v>1</v>
      </c>
      <c r="E57" s="17" t="n">
        <v>0</v>
      </c>
      <c r="F57" s="17" t="n">
        <v>0</v>
      </c>
      <c r="G57" s="17" t="n">
        <v>0</v>
      </c>
      <c r="H57" s="17" t="n">
        <v>0</v>
      </c>
      <c r="I57" s="17" t="n">
        <v>0</v>
      </c>
      <c r="J57" s="17" t="n">
        <v>0</v>
      </c>
      <c r="K57" s="17" t="n">
        <v>12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1</v>
      </c>
      <c r="Q57" s="17" t="n">
        <v>2</v>
      </c>
      <c r="R57" s="17" t="n">
        <v>0</v>
      </c>
      <c r="T57" s="17">
        <f>DAY(C57)</f>
        <v/>
      </c>
      <c r="U57" s="17">
        <f>MONTH(C57)</f>
        <v/>
      </c>
      <c r="V57" s="17" t="n">
        <v>2025</v>
      </c>
    </row>
    <row r="58" hidden="1" ht="22.5" customHeight="1" s="117">
      <c r="A58" s="14" t="n">
        <v>45977.3062203588</v>
      </c>
      <c r="B58" s="17" t="inlineStr">
        <is>
          <t>Đặng Hoài Anh</t>
        </is>
      </c>
      <c r="C58" s="16" t="n">
        <v>45976</v>
      </c>
      <c r="D58" s="17" t="n">
        <v>1</v>
      </c>
      <c r="E58" s="17" t="n">
        <v>1</v>
      </c>
      <c r="F58" s="17" t="n">
        <v>0</v>
      </c>
      <c r="G58" s="17" t="n">
        <v>0</v>
      </c>
      <c r="H58" s="17" t="n">
        <v>0</v>
      </c>
      <c r="I58" s="17" t="n">
        <v>0</v>
      </c>
      <c r="J58" s="17" t="n">
        <v>0</v>
      </c>
      <c r="K58" s="17" t="n">
        <v>2</v>
      </c>
      <c r="L58" s="17" t="n">
        <v>0</v>
      </c>
      <c r="M58" s="17" t="n">
        <v>0</v>
      </c>
      <c r="N58" s="17" t="n">
        <v>0</v>
      </c>
      <c r="O58" s="17" t="n">
        <v>0</v>
      </c>
      <c r="P58" s="17" t="n">
        <v>0</v>
      </c>
      <c r="Q58" s="17" t="n">
        <v>0</v>
      </c>
      <c r="R58" s="17" t="n">
        <v>0</v>
      </c>
      <c r="T58" s="17">
        <f>DAY(C58)</f>
        <v/>
      </c>
      <c r="U58" s="17">
        <f>MONTH(C58)</f>
        <v/>
      </c>
      <c r="V58" s="17" t="n">
        <v>2025</v>
      </c>
    </row>
    <row r="59" hidden="1" ht="22.5" customHeight="1" s="117">
      <c r="A59" s="14" t="n">
        <v>45977.30623884259</v>
      </c>
      <c r="B59" s="17" t="inlineStr">
        <is>
          <t>Huỳnh Văn Lực</t>
        </is>
      </c>
      <c r="C59" s="16" t="n">
        <v>45976</v>
      </c>
      <c r="D59" s="17" t="n">
        <v>0</v>
      </c>
      <c r="E59" s="17" t="n">
        <v>1</v>
      </c>
      <c r="F59" s="17" t="n">
        <v>0</v>
      </c>
      <c r="G59" s="17" t="n">
        <v>0</v>
      </c>
      <c r="H59" s="17" t="n">
        <v>0</v>
      </c>
      <c r="I59" s="17" t="n">
        <v>0</v>
      </c>
      <c r="J59" s="17" t="n">
        <v>0</v>
      </c>
      <c r="K59" s="17" t="n">
        <v>2</v>
      </c>
      <c r="L59" s="17" t="n">
        <v>0</v>
      </c>
      <c r="M59" s="17" t="n">
        <v>1</v>
      </c>
      <c r="N59" s="17" t="n">
        <v>0</v>
      </c>
      <c r="O59" s="17" t="n">
        <v>0</v>
      </c>
      <c r="P59" s="17" t="n">
        <v>1</v>
      </c>
      <c r="Q59" s="17" t="n">
        <v>2</v>
      </c>
      <c r="R59" s="17" t="n">
        <v>0</v>
      </c>
      <c r="T59" s="17">
        <f>DAY(C59)</f>
        <v/>
      </c>
      <c r="U59" s="17">
        <f>MONTH(C59)</f>
        <v/>
      </c>
      <c r="V59" s="17" t="n">
        <v>2025</v>
      </c>
    </row>
    <row r="60" hidden="1" ht="22.5" customHeight="1" s="117">
      <c r="A60" s="14" t="n">
        <v>45977.31112788194</v>
      </c>
      <c r="B60" s="17" t="inlineStr">
        <is>
          <t>Trần Trung Giang</t>
        </is>
      </c>
      <c r="C60" s="16" t="n">
        <v>45976</v>
      </c>
      <c r="D60" s="17" t="n">
        <v>0</v>
      </c>
      <c r="E60" s="17" t="n">
        <v>0</v>
      </c>
      <c r="F60" s="17" t="n">
        <v>0</v>
      </c>
      <c r="G60" s="17" t="n">
        <v>0</v>
      </c>
      <c r="H60" s="17" t="n">
        <v>0</v>
      </c>
      <c r="I60" s="17" t="n">
        <v>0</v>
      </c>
      <c r="J60" s="17" t="n">
        <v>0</v>
      </c>
      <c r="K60" s="17" t="n">
        <v>3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7" t="n">
        <v>0</v>
      </c>
      <c r="R60" s="17" t="n">
        <v>0</v>
      </c>
      <c r="T60" s="17">
        <f>DAY(C60)</f>
        <v/>
      </c>
      <c r="U60" s="17">
        <f>MONTH(C60)</f>
        <v/>
      </c>
      <c r="V60" s="17" t="n">
        <v>2025</v>
      </c>
    </row>
    <row r="61" hidden="1" ht="22.5" customHeight="1" s="117">
      <c r="A61" s="14" t="n">
        <v>45977.31931953704</v>
      </c>
      <c r="B61" s="17" t="inlineStr">
        <is>
          <t>Trần Minh Khánh</t>
        </is>
      </c>
      <c r="C61" s="16" t="n">
        <v>45976</v>
      </c>
      <c r="D61" s="17" t="n">
        <v>0</v>
      </c>
      <c r="E61" s="17" t="n">
        <v>0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0</v>
      </c>
      <c r="K61" s="17" t="n">
        <v>6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7" t="n">
        <v>5</v>
      </c>
      <c r="R61" s="17" t="n">
        <v>0</v>
      </c>
      <c r="T61" s="17">
        <f>DAY(C61)</f>
        <v/>
      </c>
      <c r="U61" s="17">
        <f>MONTH(C61)</f>
        <v/>
      </c>
      <c r="V61" s="17" t="n">
        <v>2025</v>
      </c>
    </row>
    <row r="62" hidden="1" ht="22.5" customHeight="1" s="117">
      <c r="A62" s="14" t="n">
        <v>45977.32064832176</v>
      </c>
      <c r="B62" s="17" t="inlineStr">
        <is>
          <t>Lê Hồng Phong</t>
        </is>
      </c>
      <c r="C62" s="16" t="n">
        <v>31418</v>
      </c>
      <c r="D62" s="17" t="n">
        <v>1</v>
      </c>
      <c r="E62" s="17" t="n">
        <v>1</v>
      </c>
      <c r="F62" s="17" t="n">
        <v>1</v>
      </c>
      <c r="G62" s="17" t="n">
        <v>0</v>
      </c>
      <c r="H62" s="17" t="n">
        <v>0</v>
      </c>
      <c r="I62" s="17" t="n">
        <v>1</v>
      </c>
      <c r="J62" s="17" t="n">
        <v>1</v>
      </c>
      <c r="K62" s="17" t="n">
        <v>1</v>
      </c>
      <c r="L62" s="17" t="n">
        <v>1</v>
      </c>
      <c r="M62" s="17" t="n">
        <v>1</v>
      </c>
      <c r="N62" s="17" t="n">
        <v>1</v>
      </c>
      <c r="O62" s="17" t="n">
        <v>1</v>
      </c>
      <c r="P62" s="17" t="n">
        <v>1</v>
      </c>
      <c r="Q62" s="17" t="n">
        <v>1</v>
      </c>
      <c r="R62" s="17" t="n">
        <v>1</v>
      </c>
      <c r="T62" s="17">
        <f>DAY(C62)</f>
        <v/>
      </c>
      <c r="U62" s="17">
        <f>MONTH(C62)</f>
        <v/>
      </c>
      <c r="V62" s="17" t="n">
        <v>2025</v>
      </c>
    </row>
    <row r="63" hidden="1" ht="22.5" customHeight="1" s="117">
      <c r="A63" s="14" t="n">
        <v>45977.32103866898</v>
      </c>
      <c r="B63" s="17" t="inlineStr">
        <is>
          <t>Nguyễn Tuấn Anh</t>
        </is>
      </c>
      <c r="C63" s="16" t="n">
        <v>45976</v>
      </c>
      <c r="D63" s="17" t="n">
        <v>0</v>
      </c>
      <c r="E63" s="17" t="n">
        <v>0</v>
      </c>
      <c r="F63" s="17" t="n">
        <v>0</v>
      </c>
      <c r="G63" s="17" t="n">
        <v>0</v>
      </c>
      <c r="H63" s="17" t="n">
        <v>0</v>
      </c>
      <c r="I63" s="17" t="n">
        <v>0</v>
      </c>
      <c r="J63" s="17" t="n">
        <v>0</v>
      </c>
      <c r="K63" s="17" t="n">
        <v>35</v>
      </c>
      <c r="L63" s="17" t="n">
        <v>0</v>
      </c>
      <c r="M63" s="17" t="n">
        <v>0</v>
      </c>
      <c r="N63" s="17" t="n">
        <v>0</v>
      </c>
      <c r="O63" s="17" t="n">
        <v>0</v>
      </c>
      <c r="P63" s="17" t="n">
        <v>1</v>
      </c>
      <c r="Q63" s="17" t="n">
        <v>3</v>
      </c>
      <c r="R63" s="17" t="n">
        <v>0</v>
      </c>
      <c r="T63" s="17">
        <f>DAY(C63)</f>
        <v/>
      </c>
      <c r="U63" s="17">
        <f>MONTH(C63)</f>
        <v/>
      </c>
      <c r="V63" s="17" t="n">
        <v>2025</v>
      </c>
    </row>
    <row r="64" hidden="1" ht="22.5" customHeight="1" s="117">
      <c r="A64" s="14" t="n">
        <v>45977.32155550926</v>
      </c>
      <c r="B64" s="17" t="inlineStr">
        <is>
          <t>Nguyễn Quang Anh Tuấn</t>
        </is>
      </c>
      <c r="C64" s="16" t="n">
        <v>45976</v>
      </c>
      <c r="D64" s="17" t="n">
        <v>0</v>
      </c>
      <c r="E64" s="17" t="n">
        <v>0</v>
      </c>
      <c r="F64" s="17" t="n">
        <v>0</v>
      </c>
      <c r="G64" s="17" t="n">
        <v>2</v>
      </c>
      <c r="H64" s="17" t="n">
        <v>1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0</v>
      </c>
      <c r="Q64" s="17" t="n">
        <v>2</v>
      </c>
      <c r="R64" s="17" t="n">
        <v>0</v>
      </c>
      <c r="T64" s="17">
        <f>DAY(C64)</f>
        <v/>
      </c>
      <c r="U64" s="17">
        <f>MONTH(C64)</f>
        <v/>
      </c>
      <c r="V64" s="17" t="n">
        <v>2025</v>
      </c>
    </row>
    <row r="65" hidden="1" ht="22.5" customHeight="1" s="117">
      <c r="A65" s="14" t="n">
        <v>45977.32389111111</v>
      </c>
      <c r="B65" s="17" t="inlineStr">
        <is>
          <t>Bùi Duy Cường</t>
        </is>
      </c>
      <c r="C65" s="16" t="n">
        <v>45976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1</v>
      </c>
      <c r="J65" s="17" t="n">
        <v>0</v>
      </c>
      <c r="K65" s="17" t="n">
        <v>5</v>
      </c>
      <c r="L65" s="17" t="n">
        <v>0</v>
      </c>
      <c r="M65" s="17" t="n">
        <v>1</v>
      </c>
      <c r="N65" s="17" t="n">
        <v>1</v>
      </c>
      <c r="O65" s="17" t="n">
        <v>0</v>
      </c>
      <c r="P65" s="17" t="n">
        <v>0</v>
      </c>
      <c r="Q65" s="17" t="n">
        <v>3</v>
      </c>
      <c r="R65" s="17" t="n">
        <v>0</v>
      </c>
      <c r="T65" s="17">
        <f>DAY(C65)</f>
        <v/>
      </c>
      <c r="U65" s="17">
        <f>MONTH(C65)</f>
        <v/>
      </c>
      <c r="V65" s="17" t="n">
        <v>2025</v>
      </c>
    </row>
    <row r="66" hidden="1" ht="22.5" customHeight="1" s="117">
      <c r="A66" s="14" t="n">
        <v>45977.32606699074</v>
      </c>
      <c r="B66" s="17" t="inlineStr">
        <is>
          <t>Nguyễn Văn Hiệp</t>
        </is>
      </c>
      <c r="C66" s="16" t="n">
        <v>45976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1</v>
      </c>
      <c r="J66" s="17" t="n">
        <v>0</v>
      </c>
      <c r="K66" s="17" t="n">
        <v>0</v>
      </c>
      <c r="L66" s="17" t="n">
        <v>0</v>
      </c>
      <c r="M66" s="17" t="n">
        <v>0</v>
      </c>
      <c r="N66" s="17" t="n">
        <v>1</v>
      </c>
      <c r="O66" s="17" t="n">
        <v>0</v>
      </c>
      <c r="P66" s="17" t="n">
        <v>1</v>
      </c>
      <c r="Q66" s="17" t="n">
        <v>0</v>
      </c>
      <c r="R66" s="17" t="n">
        <v>0</v>
      </c>
      <c r="T66" s="17">
        <f>DAY(C66)</f>
        <v/>
      </c>
      <c r="U66" s="17">
        <f>MONTH(C66)</f>
        <v/>
      </c>
      <c r="V66" s="17" t="n">
        <v>2025</v>
      </c>
    </row>
    <row r="67" hidden="1" ht="22.5" customHeight="1" s="117">
      <c r="A67" s="14" t="n">
        <v>45977.33991136574</v>
      </c>
      <c r="B67" s="17" t="inlineStr">
        <is>
          <t>Nguyễn Thành Lâm</t>
        </is>
      </c>
      <c r="C67" s="16" t="n">
        <v>9451</v>
      </c>
      <c r="D67" s="17" t="n">
        <v>0</v>
      </c>
      <c r="E67" s="17" t="n">
        <v>0</v>
      </c>
      <c r="F67" s="17" t="n">
        <v>0</v>
      </c>
      <c r="G67" s="17" t="n">
        <v>1</v>
      </c>
      <c r="H67" s="17" t="n">
        <v>1</v>
      </c>
      <c r="I67" s="17" t="n">
        <v>0</v>
      </c>
      <c r="J67" s="17" t="n">
        <v>0</v>
      </c>
      <c r="K67" s="17" t="n">
        <v>5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7" t="n">
        <v>3</v>
      </c>
      <c r="R67" s="17" t="n">
        <v>0</v>
      </c>
      <c r="T67" s="17">
        <f>DAY(C67)</f>
        <v/>
      </c>
      <c r="U67" s="17">
        <f>MONTH(C67)</f>
        <v/>
      </c>
      <c r="V67" s="17" t="n">
        <v>2025</v>
      </c>
    </row>
    <row r="68" hidden="1" ht="22.5" customHeight="1" s="117">
      <c r="A68" s="14" t="n">
        <v>45977.34923597222</v>
      </c>
      <c r="B68" s="17" t="inlineStr">
        <is>
          <t>Lê Văn Hồng</t>
        </is>
      </c>
      <c r="C68" s="16" t="n">
        <v>45976</v>
      </c>
      <c r="D68" s="17" t="n">
        <v>0</v>
      </c>
      <c r="E68" s="17" t="n">
        <v>0</v>
      </c>
      <c r="F68" s="17" t="n">
        <v>0</v>
      </c>
      <c r="G68" s="17" t="n">
        <v>2</v>
      </c>
      <c r="H68" s="17" t="n">
        <v>1</v>
      </c>
      <c r="I68" s="17" t="n">
        <v>2</v>
      </c>
      <c r="J68" s="17" t="n">
        <v>0</v>
      </c>
      <c r="K68" s="17" t="n">
        <v>1</v>
      </c>
      <c r="L68" s="17" t="n">
        <v>0</v>
      </c>
      <c r="M68" s="17" t="n">
        <v>1</v>
      </c>
      <c r="N68" s="17" t="n">
        <v>0</v>
      </c>
      <c r="O68" s="17" t="n">
        <v>0</v>
      </c>
      <c r="P68" s="17" t="n">
        <v>5</v>
      </c>
      <c r="Q68" s="17" t="n">
        <v>6</v>
      </c>
      <c r="R68" s="17" t="n">
        <v>0</v>
      </c>
      <c r="T68" s="17">
        <f>DAY(C68)</f>
        <v/>
      </c>
      <c r="U68" s="17">
        <f>MONTH(C68)</f>
        <v/>
      </c>
      <c r="V68" s="17" t="n">
        <v>2025</v>
      </c>
    </row>
    <row r="69" hidden="1" ht="22.5" customHeight="1" s="117">
      <c r="A69" s="14" t="n">
        <v>45977.35105957176</v>
      </c>
      <c r="B69" s="17" t="inlineStr">
        <is>
          <t>Đào Công Trung</t>
        </is>
      </c>
      <c r="C69" s="16" t="n">
        <v>45976</v>
      </c>
      <c r="D69" s="17" t="n">
        <v>0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1</v>
      </c>
      <c r="J69" s="17" t="n">
        <v>0</v>
      </c>
      <c r="K69" s="17" t="n">
        <v>8</v>
      </c>
      <c r="L69" s="17" t="n">
        <v>0</v>
      </c>
      <c r="M69" s="17" t="n">
        <v>0</v>
      </c>
      <c r="N69" s="17" t="n">
        <v>1</v>
      </c>
      <c r="O69" s="17" t="n">
        <v>1</v>
      </c>
      <c r="P69" s="17" t="n">
        <v>0</v>
      </c>
      <c r="Q69" s="17" t="n">
        <v>1</v>
      </c>
      <c r="R69" s="17" t="n">
        <v>0</v>
      </c>
      <c r="T69" s="17">
        <f>DAY(C69)</f>
        <v/>
      </c>
      <c r="U69" s="17">
        <f>MONTH(C69)</f>
        <v/>
      </c>
      <c r="V69" s="17" t="n">
        <v>2025</v>
      </c>
    </row>
    <row r="70" hidden="1" ht="22.5" customHeight="1" s="117">
      <c r="A70" s="14" t="n">
        <v>45977.36742511574</v>
      </c>
      <c r="B70" s="17" t="inlineStr">
        <is>
          <t>Trần Xuân Khoa</t>
        </is>
      </c>
      <c r="C70" s="16" t="n">
        <v>45976</v>
      </c>
      <c r="D70" s="17" t="n">
        <v>0</v>
      </c>
      <c r="E70" s="17" t="n">
        <v>1</v>
      </c>
      <c r="F70" s="17" t="n">
        <v>0</v>
      </c>
      <c r="G70" s="17" t="n">
        <v>0</v>
      </c>
      <c r="H70" s="17" t="n">
        <v>0</v>
      </c>
      <c r="I70" s="17" t="n">
        <v>0</v>
      </c>
      <c r="J70" s="17" t="n">
        <v>0</v>
      </c>
      <c r="K70" s="17" t="n">
        <v>7</v>
      </c>
      <c r="L70" s="17" t="n">
        <v>0</v>
      </c>
      <c r="M70" s="17" t="n">
        <v>0</v>
      </c>
      <c r="N70" s="17" t="n">
        <v>0</v>
      </c>
      <c r="O70" s="17" t="n">
        <v>0</v>
      </c>
      <c r="P70" s="17" t="n">
        <v>1</v>
      </c>
      <c r="Q70" s="17" t="n">
        <v>4</v>
      </c>
      <c r="R70" s="17" t="n">
        <v>0</v>
      </c>
      <c r="T70" s="17">
        <f>DAY(C70)</f>
        <v/>
      </c>
      <c r="U70" s="17">
        <f>MONTH(C70)</f>
        <v/>
      </c>
      <c r="V70" s="17" t="n">
        <v>2025</v>
      </c>
    </row>
    <row r="71" hidden="1" ht="22.5" customHeight="1" s="117">
      <c r="A71" s="14" t="n">
        <v>45977.37080063657</v>
      </c>
      <c r="B71" s="17" t="inlineStr">
        <is>
          <t>Nguyễn Văn Nhật</t>
        </is>
      </c>
      <c r="C71" s="16" t="n">
        <v>45976</v>
      </c>
      <c r="D71" s="17" t="n">
        <v>0</v>
      </c>
      <c r="E71" s="17" t="n">
        <v>0</v>
      </c>
      <c r="F71" s="17" t="n">
        <v>0</v>
      </c>
      <c r="G71" s="17" t="n">
        <v>1</v>
      </c>
      <c r="H71" s="17" t="n">
        <v>0</v>
      </c>
      <c r="I71" s="17" t="n">
        <v>0</v>
      </c>
      <c r="J71" s="17" t="n">
        <v>0</v>
      </c>
      <c r="K71" s="17" t="n">
        <v>8</v>
      </c>
      <c r="L71" s="17" t="n">
        <v>0</v>
      </c>
      <c r="M71" s="17" t="n">
        <v>1</v>
      </c>
      <c r="N71" s="17" t="n">
        <v>1</v>
      </c>
      <c r="O71" s="17" t="n">
        <v>0</v>
      </c>
      <c r="P71" s="17" t="n">
        <v>1</v>
      </c>
      <c r="Q71" s="17" t="n">
        <v>4</v>
      </c>
      <c r="R71" s="17" t="n">
        <v>0</v>
      </c>
      <c r="T71" s="17">
        <f>DAY(C71)</f>
        <v/>
      </c>
      <c r="U71" s="17">
        <f>MONTH(C71)</f>
        <v/>
      </c>
      <c r="V71" s="17" t="n">
        <v>2025</v>
      </c>
    </row>
    <row r="72" hidden="1" ht="22.5" customHeight="1" s="117">
      <c r="A72" s="14" t="n">
        <v>45977.39361604166</v>
      </c>
      <c r="B72" s="17" t="inlineStr">
        <is>
          <t>Nguyễn Hồng Minh</t>
        </is>
      </c>
      <c r="C72" s="16" t="n">
        <v>45976</v>
      </c>
      <c r="D72" s="17" t="n">
        <v>0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23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4</v>
      </c>
      <c r="R72" s="17" t="n">
        <v>0</v>
      </c>
      <c r="T72" s="17">
        <f>DAY(C72)</f>
        <v/>
      </c>
      <c r="U72" s="17">
        <f>MONTH(C72)</f>
        <v/>
      </c>
      <c r="V72" s="17" t="n">
        <v>2025</v>
      </c>
    </row>
    <row r="73" hidden="1" ht="22.5" customHeight="1" s="117">
      <c r="A73" s="14" t="n">
        <v>45977.75657950232</v>
      </c>
      <c r="B73" s="17" t="inlineStr">
        <is>
          <t>Đặng Hữu Danh</t>
        </is>
      </c>
      <c r="C73" s="16" t="n">
        <v>45977</v>
      </c>
      <c r="D73" s="17" t="n">
        <v>0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10</v>
      </c>
      <c r="L73" s="17" t="n">
        <v>0</v>
      </c>
      <c r="M73" s="17" t="n">
        <v>1</v>
      </c>
      <c r="N73" s="17" t="n">
        <v>0</v>
      </c>
      <c r="O73" s="17" t="n">
        <v>0</v>
      </c>
      <c r="P73" s="17" t="n">
        <v>2</v>
      </c>
      <c r="Q73" s="17" t="n">
        <v>4</v>
      </c>
      <c r="R73" s="17" t="n">
        <v>0</v>
      </c>
      <c r="T73" s="17">
        <f>DAY(C73)</f>
        <v/>
      </c>
      <c r="U73" s="17">
        <f>MONTH(C73)</f>
        <v/>
      </c>
      <c r="V73" s="17" t="n">
        <v>2025</v>
      </c>
    </row>
    <row r="74" hidden="1" ht="22.5" customHeight="1" s="117">
      <c r="A74" s="14" t="n">
        <v>45977.90277737268</v>
      </c>
      <c r="B74" s="17" t="inlineStr">
        <is>
          <t>Trần Minh Khánh</t>
        </is>
      </c>
      <c r="C74" s="16" t="n">
        <v>45977</v>
      </c>
      <c r="D74" s="17" t="n">
        <v>0</v>
      </c>
      <c r="E74" s="17" t="n">
        <v>0</v>
      </c>
      <c r="F74" s="17" t="n">
        <v>0</v>
      </c>
      <c r="G74" s="17" t="n">
        <v>0</v>
      </c>
      <c r="H74" s="17" t="n">
        <v>0</v>
      </c>
      <c r="I74" s="17" t="n">
        <v>0</v>
      </c>
      <c r="J74" s="17" t="n">
        <v>0</v>
      </c>
      <c r="K74" s="17" t="n">
        <v>8</v>
      </c>
      <c r="L74" s="17" t="n">
        <v>0</v>
      </c>
      <c r="M74" s="17" t="n">
        <v>0</v>
      </c>
      <c r="N74" s="17" t="n">
        <v>0</v>
      </c>
      <c r="O74" s="17" t="n">
        <v>0</v>
      </c>
      <c r="P74" s="17" t="n">
        <v>0</v>
      </c>
      <c r="Q74" s="17" t="n">
        <v>4</v>
      </c>
      <c r="R74" s="17" t="n">
        <v>0</v>
      </c>
      <c r="T74" s="17">
        <f>DAY(C74)</f>
        <v/>
      </c>
      <c r="U74" s="17">
        <f>MONTH(C74)</f>
        <v/>
      </c>
      <c r="V74" s="17" t="n">
        <v>2025</v>
      </c>
    </row>
    <row r="75" hidden="1" ht="22.5" customHeight="1" s="117">
      <c r="A75" s="14" t="n">
        <v>45977.90527798611</v>
      </c>
      <c r="B75" s="17" t="inlineStr">
        <is>
          <t>Lê Quốc Duy</t>
        </is>
      </c>
      <c r="C75" s="16" t="n">
        <v>45977</v>
      </c>
      <c r="D75" s="17" t="n">
        <v>0</v>
      </c>
      <c r="E75" s="17" t="n">
        <v>0</v>
      </c>
      <c r="F75" s="17" t="n">
        <v>0</v>
      </c>
      <c r="G75" s="17" t="n">
        <v>0</v>
      </c>
      <c r="H75" s="17" t="n">
        <v>0</v>
      </c>
      <c r="I75" s="17" t="n">
        <v>1</v>
      </c>
      <c r="J75" s="17" t="n">
        <v>0</v>
      </c>
      <c r="K75" s="17" t="n">
        <v>22</v>
      </c>
      <c r="L75" s="17" t="n">
        <v>0</v>
      </c>
      <c r="M75" s="17" t="n">
        <v>1</v>
      </c>
      <c r="N75" s="17" t="n">
        <v>2</v>
      </c>
      <c r="O75" s="17" t="n">
        <v>4</v>
      </c>
      <c r="P75" s="17" t="n">
        <v>1</v>
      </c>
      <c r="Q75" s="17" t="n">
        <v>3</v>
      </c>
      <c r="R75" s="17" t="n">
        <v>0</v>
      </c>
      <c r="T75" s="17">
        <f>DAY(C75)</f>
        <v/>
      </c>
      <c r="U75" s="17">
        <f>MONTH(C75)</f>
        <v/>
      </c>
      <c r="V75" s="17" t="n">
        <v>2025</v>
      </c>
    </row>
    <row r="76" hidden="1" ht="22.5" customHeight="1" s="117">
      <c r="A76" s="14" t="n">
        <v>45978.11254365741</v>
      </c>
      <c r="B76" s="17" t="inlineStr">
        <is>
          <t>Hồ Thái Minh Trí</t>
        </is>
      </c>
      <c r="C76" s="16" t="n">
        <v>45977</v>
      </c>
      <c r="D76" s="17" t="n">
        <v>1</v>
      </c>
      <c r="E76" s="17" t="n">
        <v>0</v>
      </c>
      <c r="F76" s="17" t="n">
        <v>0</v>
      </c>
      <c r="G76" s="17" t="n">
        <v>1</v>
      </c>
      <c r="H76" s="17" t="n">
        <v>1</v>
      </c>
      <c r="I76" s="17" t="n">
        <v>0</v>
      </c>
      <c r="J76" s="17" t="n">
        <v>0</v>
      </c>
      <c r="K76" s="17" t="n">
        <v>3</v>
      </c>
      <c r="L76" s="17" t="n">
        <v>0</v>
      </c>
      <c r="M76" s="17" t="n">
        <v>1</v>
      </c>
      <c r="N76" s="17" t="n">
        <v>0</v>
      </c>
      <c r="O76" s="17" t="n">
        <v>0</v>
      </c>
      <c r="P76" s="17" t="n">
        <v>0</v>
      </c>
      <c r="Q76" s="17" t="n">
        <v>2</v>
      </c>
      <c r="R76" s="17" t="n">
        <v>0</v>
      </c>
      <c r="T76" s="17">
        <f>DAY(C76)</f>
        <v/>
      </c>
      <c r="U76" s="17">
        <f>MONTH(C76)</f>
        <v/>
      </c>
      <c r="V76" s="17" t="n">
        <v>2025</v>
      </c>
    </row>
    <row r="77" hidden="1" ht="22.5" customHeight="1" s="117">
      <c r="A77" s="14" t="n">
        <v>45978.27543053241</v>
      </c>
      <c r="B77" s="17" t="inlineStr">
        <is>
          <t>Hồ Xuân Việt</t>
        </is>
      </c>
      <c r="C77" s="16" t="n">
        <v>45977</v>
      </c>
      <c r="D77" s="17" t="n">
        <v>0</v>
      </c>
      <c r="E77" s="17" t="n">
        <v>0</v>
      </c>
      <c r="F77" s="17" t="n">
        <v>0</v>
      </c>
      <c r="G77" s="17" t="n">
        <v>0</v>
      </c>
      <c r="H77" s="17" t="n">
        <v>0</v>
      </c>
      <c r="I77" s="17" t="n">
        <v>0</v>
      </c>
      <c r="J77" s="17" t="n">
        <v>0</v>
      </c>
      <c r="K77" s="17" t="n">
        <v>10</v>
      </c>
      <c r="L77" s="17" t="n">
        <v>0</v>
      </c>
      <c r="M77" s="17" t="n">
        <v>0</v>
      </c>
      <c r="N77" s="17" t="n">
        <v>1</v>
      </c>
      <c r="O77" s="17" t="n">
        <v>0</v>
      </c>
      <c r="P77" s="17" t="n">
        <v>0</v>
      </c>
      <c r="Q77" s="17" t="n">
        <v>5</v>
      </c>
      <c r="R77" s="17" t="n">
        <v>0</v>
      </c>
      <c r="T77" s="17">
        <f>DAY(C77)</f>
        <v/>
      </c>
      <c r="U77" s="17">
        <f>MONTH(C77)</f>
        <v/>
      </c>
      <c r="V77" s="17" t="n">
        <v>2025</v>
      </c>
    </row>
    <row r="78" hidden="1" ht="22.5" customHeight="1" s="117">
      <c r="A78" s="14" t="n">
        <v>45978.27839657407</v>
      </c>
      <c r="B78" s="17" t="inlineStr">
        <is>
          <t>Trần Xuân Khoa</t>
        </is>
      </c>
      <c r="C78" s="16" t="n">
        <v>45977</v>
      </c>
      <c r="D78" s="17" t="n">
        <v>1</v>
      </c>
      <c r="E78" s="17" t="n">
        <v>1</v>
      </c>
      <c r="F78" s="17" t="n">
        <v>0</v>
      </c>
      <c r="G78" s="17" t="n">
        <v>0</v>
      </c>
      <c r="H78" s="17" t="n">
        <v>0</v>
      </c>
      <c r="I78" s="17" t="n">
        <v>3</v>
      </c>
      <c r="J78" s="17" t="n">
        <v>0</v>
      </c>
      <c r="K78" s="17" t="n">
        <v>5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7" t="n">
        <v>3</v>
      </c>
      <c r="R78" s="17" t="n">
        <v>0</v>
      </c>
      <c r="T78" s="17">
        <f>DAY(C78)</f>
        <v/>
      </c>
      <c r="U78" s="17">
        <f>MONTH(C78)</f>
        <v/>
      </c>
      <c r="V78" s="17" t="n">
        <v>2025</v>
      </c>
    </row>
    <row r="79" hidden="1" ht="22.5" customHeight="1" s="117">
      <c r="A79" s="14" t="n">
        <v>45978.29298714121</v>
      </c>
      <c r="B79" s="17" t="inlineStr">
        <is>
          <t>Nguyễn Văn Hiệp</t>
        </is>
      </c>
      <c r="C79" s="16" t="n">
        <v>45977</v>
      </c>
      <c r="D79" s="17" t="n">
        <v>0</v>
      </c>
      <c r="E79" s="17" t="n">
        <v>0</v>
      </c>
      <c r="F79" s="17" t="n">
        <v>0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9</v>
      </c>
      <c r="L79" s="17" t="n">
        <v>9</v>
      </c>
      <c r="M79" s="17" t="n">
        <v>0</v>
      </c>
      <c r="N79" s="17" t="n">
        <v>0</v>
      </c>
      <c r="O79" s="17" t="n">
        <v>0</v>
      </c>
      <c r="P79" s="17" t="n">
        <v>0</v>
      </c>
      <c r="Q79" s="17" t="n">
        <v>0</v>
      </c>
      <c r="R79" s="17" t="n">
        <v>0</v>
      </c>
      <c r="T79" s="17">
        <f>DAY(C79)</f>
        <v/>
      </c>
      <c r="U79" s="17">
        <f>MONTH(C79)</f>
        <v/>
      </c>
      <c r="V79" s="17" t="n">
        <v>2025</v>
      </c>
    </row>
    <row r="80" hidden="1" ht="22.5" customHeight="1" s="117">
      <c r="A80" s="14" t="n">
        <v>45978.30170991898</v>
      </c>
      <c r="B80" s="17" t="inlineStr">
        <is>
          <t>Vòng Nhật Sang</t>
        </is>
      </c>
      <c r="C80" s="16" t="n">
        <v>45977</v>
      </c>
      <c r="D80" s="17" t="n">
        <v>0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9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1</v>
      </c>
      <c r="Q80" s="17" t="n">
        <v>2</v>
      </c>
      <c r="R80" s="17" t="n">
        <v>0</v>
      </c>
      <c r="T80" s="17">
        <f>DAY(C80)</f>
        <v/>
      </c>
      <c r="U80" s="17">
        <f>MONTH(C80)</f>
        <v/>
      </c>
      <c r="V80" s="17" t="n">
        <v>2025</v>
      </c>
    </row>
    <row r="81" hidden="1" ht="22.5" customHeight="1" s="117">
      <c r="A81" s="14" t="n">
        <v>45978.30184526621</v>
      </c>
      <c r="B81" s="17" t="inlineStr">
        <is>
          <t>Phan Ngọc Sang</t>
        </is>
      </c>
      <c r="C81" s="16" t="n">
        <v>45977</v>
      </c>
      <c r="D81" s="17" t="n">
        <v>0</v>
      </c>
      <c r="E81" s="17" t="n">
        <v>0</v>
      </c>
      <c r="F81" s="17" t="n">
        <v>0</v>
      </c>
      <c r="G81" s="17" t="n">
        <v>1</v>
      </c>
      <c r="H81" s="17" t="n">
        <v>1</v>
      </c>
      <c r="I81" s="17" t="n">
        <v>1</v>
      </c>
      <c r="J81" s="17" t="n">
        <v>0</v>
      </c>
      <c r="K81" s="17" t="n">
        <v>11</v>
      </c>
      <c r="L81" s="17" t="n">
        <v>0</v>
      </c>
      <c r="M81" s="17" t="n">
        <v>0</v>
      </c>
      <c r="N81" s="17" t="n">
        <v>1</v>
      </c>
      <c r="O81" s="17" t="n">
        <v>0</v>
      </c>
      <c r="P81" s="17" t="n">
        <v>0</v>
      </c>
      <c r="Q81" s="17" t="n">
        <v>2</v>
      </c>
      <c r="R81" s="17" t="n">
        <v>0</v>
      </c>
      <c r="T81" s="17">
        <f>DAY(C81)</f>
        <v/>
      </c>
      <c r="U81" s="17">
        <f>MONTH(C81)</f>
        <v/>
      </c>
      <c r="V81" s="17" t="n">
        <v>2025</v>
      </c>
    </row>
    <row r="82" hidden="1" ht="22.5" customHeight="1" s="117">
      <c r="A82" s="14" t="n">
        <v>45978.30354375</v>
      </c>
      <c r="B82" s="17" t="inlineStr">
        <is>
          <t>Đặng Hoài Anh</t>
        </is>
      </c>
      <c r="C82" s="16" t="n">
        <v>45977</v>
      </c>
      <c r="D82" s="17" t="n">
        <v>0</v>
      </c>
      <c r="E82" s="17" t="n">
        <v>0</v>
      </c>
      <c r="F82" s="17" t="n">
        <v>0</v>
      </c>
      <c r="G82" s="17" t="n">
        <v>0</v>
      </c>
      <c r="H82" s="17" t="n">
        <v>0</v>
      </c>
      <c r="I82" s="17" t="n">
        <v>0</v>
      </c>
      <c r="J82" s="17" t="n">
        <v>0</v>
      </c>
      <c r="K82" s="17" t="n">
        <v>5</v>
      </c>
      <c r="L82" s="17" t="n">
        <v>0</v>
      </c>
      <c r="M82" s="17" t="n">
        <v>0</v>
      </c>
      <c r="N82" s="17" t="n">
        <v>0</v>
      </c>
      <c r="O82" s="17" t="n">
        <v>0</v>
      </c>
      <c r="P82" s="17" t="n">
        <v>1</v>
      </c>
      <c r="Q82" s="17" t="n">
        <v>0</v>
      </c>
      <c r="R82" s="17" t="n">
        <v>0</v>
      </c>
      <c r="T82" s="17">
        <f>DAY(C82)</f>
        <v/>
      </c>
      <c r="U82" s="17">
        <f>MONTH(C82)</f>
        <v/>
      </c>
      <c r="V82" s="17" t="n">
        <v>2025</v>
      </c>
    </row>
    <row r="83" hidden="1" ht="22.5" customHeight="1" s="117">
      <c r="A83" s="14" t="n">
        <v>45978.30432039352</v>
      </c>
      <c r="B83" s="17" t="inlineStr">
        <is>
          <t>Nguyễn Quang Anh Tuấn</t>
        </is>
      </c>
      <c r="C83" s="16" t="n">
        <v>45977</v>
      </c>
      <c r="D83" s="17" t="n">
        <v>0</v>
      </c>
      <c r="E83" s="17" t="n">
        <v>0</v>
      </c>
      <c r="F83" s="17" t="n">
        <v>0</v>
      </c>
      <c r="G83" s="17" t="n">
        <v>0</v>
      </c>
      <c r="H83" s="17" t="n">
        <v>0</v>
      </c>
      <c r="I83" s="17" t="n">
        <v>0</v>
      </c>
      <c r="J83" s="17" t="n">
        <v>0</v>
      </c>
      <c r="K83" s="17" t="n">
        <v>8</v>
      </c>
      <c r="L83" s="17" t="n">
        <v>0</v>
      </c>
      <c r="M83" s="17" t="n">
        <v>0</v>
      </c>
      <c r="N83" s="17" t="n">
        <v>0</v>
      </c>
      <c r="O83" s="17" t="n">
        <v>1</v>
      </c>
      <c r="P83" s="17" t="n">
        <v>0</v>
      </c>
      <c r="Q83" s="17" t="n">
        <v>2</v>
      </c>
      <c r="R83" s="17" t="n">
        <v>0</v>
      </c>
      <c r="T83" s="17">
        <f>DAY(C83)</f>
        <v/>
      </c>
      <c r="U83" s="17">
        <f>MONTH(C83)</f>
        <v/>
      </c>
      <c r="V83" s="17" t="n">
        <v>2025</v>
      </c>
    </row>
    <row r="84" hidden="1" ht="22.5" customHeight="1" s="117">
      <c r="A84" s="14" t="n">
        <v>45978.31163002315</v>
      </c>
      <c r="B84" s="17" t="inlineStr">
        <is>
          <t>Trần Trung Giang</t>
        </is>
      </c>
      <c r="C84" s="16" t="n">
        <v>45977</v>
      </c>
      <c r="D84" s="17" t="n">
        <v>0</v>
      </c>
      <c r="E84" s="17" t="n">
        <v>0</v>
      </c>
      <c r="F84" s="17" t="n">
        <v>0</v>
      </c>
      <c r="G84" s="17" t="n">
        <v>0</v>
      </c>
      <c r="H84" s="17" t="n">
        <v>0</v>
      </c>
      <c r="I84" s="17" t="n">
        <v>0</v>
      </c>
      <c r="J84" s="17" t="n">
        <v>0</v>
      </c>
      <c r="K84" s="17" t="n">
        <v>8</v>
      </c>
      <c r="L84" s="17" t="n">
        <v>0</v>
      </c>
      <c r="M84" s="17" t="n">
        <v>0</v>
      </c>
      <c r="N84" s="17" t="n">
        <v>0</v>
      </c>
      <c r="O84" s="17" t="n">
        <v>0</v>
      </c>
      <c r="P84" s="17" t="n">
        <v>0</v>
      </c>
      <c r="Q84" s="17" t="n">
        <v>0</v>
      </c>
      <c r="R84" s="17" t="n">
        <v>0</v>
      </c>
      <c r="T84" s="17">
        <f>DAY(C84)</f>
        <v/>
      </c>
      <c r="U84" s="17">
        <f>MONTH(C84)</f>
        <v/>
      </c>
      <c r="V84" s="17" t="n">
        <v>2025</v>
      </c>
    </row>
    <row r="85" hidden="1" ht="22.5" customHeight="1" s="117">
      <c r="A85" s="14" t="n">
        <v>45978.31782515047</v>
      </c>
      <c r="B85" s="17" t="inlineStr">
        <is>
          <t>Nguyễn Tuấn Anh</t>
        </is>
      </c>
      <c r="C85" s="16" t="n">
        <v>45977</v>
      </c>
      <c r="D85" s="17" t="n">
        <v>0</v>
      </c>
      <c r="E85" s="17" t="n">
        <v>0</v>
      </c>
      <c r="F85" s="17" t="n">
        <v>0</v>
      </c>
      <c r="G85" s="17" t="n">
        <v>0</v>
      </c>
      <c r="H85" s="17" t="n">
        <v>0</v>
      </c>
      <c r="I85" s="17" t="n">
        <v>1</v>
      </c>
      <c r="J85" s="17" t="n">
        <v>0</v>
      </c>
      <c r="K85" s="17" t="n">
        <v>15</v>
      </c>
      <c r="L85" s="17" t="n">
        <v>0</v>
      </c>
      <c r="M85" s="17" t="n">
        <v>0</v>
      </c>
      <c r="N85" s="17" t="n">
        <v>0</v>
      </c>
      <c r="O85" s="17" t="n">
        <v>0</v>
      </c>
      <c r="P85" s="17" t="n">
        <v>2</v>
      </c>
      <c r="Q85" s="17" t="n">
        <v>2</v>
      </c>
      <c r="R85" s="17" t="n">
        <v>0</v>
      </c>
      <c r="T85" s="17">
        <f>DAY(C85)</f>
        <v/>
      </c>
      <c r="U85" s="17">
        <f>MONTH(C85)</f>
        <v/>
      </c>
      <c r="V85" s="17" t="n">
        <v>2025</v>
      </c>
    </row>
    <row r="86" hidden="1" ht="22.5" customHeight="1" s="117">
      <c r="A86" s="14" t="n">
        <v>45978.32095030093</v>
      </c>
      <c r="B86" s="17" t="inlineStr">
        <is>
          <t>Dương Minh Tiến</t>
        </is>
      </c>
      <c r="C86" s="16" t="n">
        <v>45977</v>
      </c>
      <c r="D86" s="17" t="n">
        <v>0</v>
      </c>
      <c r="E86" s="17" t="n">
        <v>0</v>
      </c>
      <c r="F86" s="17" t="n">
        <v>0</v>
      </c>
      <c r="G86" s="17" t="n">
        <v>0</v>
      </c>
      <c r="H86" s="17" t="n">
        <v>0</v>
      </c>
      <c r="I86" s="17" t="n">
        <v>0</v>
      </c>
      <c r="J86" s="17" t="n">
        <v>0</v>
      </c>
      <c r="K86" s="17" t="n">
        <v>9</v>
      </c>
      <c r="L86" s="17" t="n">
        <v>0</v>
      </c>
      <c r="M86" s="17" t="n">
        <v>1</v>
      </c>
      <c r="N86" s="17" t="n">
        <v>0</v>
      </c>
      <c r="O86" s="17" t="n">
        <v>0</v>
      </c>
      <c r="P86" s="17" t="n">
        <v>0</v>
      </c>
      <c r="Q86" s="17" t="n">
        <v>2</v>
      </c>
      <c r="R86" s="17" t="n">
        <v>0</v>
      </c>
      <c r="T86" s="17">
        <f>DAY(C86)</f>
        <v/>
      </c>
      <c r="U86" s="17">
        <f>MONTH(C86)</f>
        <v/>
      </c>
      <c r="V86" s="17" t="n">
        <v>2025</v>
      </c>
    </row>
    <row r="87" hidden="1" ht="22.5" customHeight="1" s="117">
      <c r="A87" s="14" t="n">
        <v>45978.32127274306</v>
      </c>
      <c r="B87" s="17" t="inlineStr">
        <is>
          <t>Nguyễn Thành Lâm</t>
        </is>
      </c>
      <c r="C87" s="16" t="n">
        <v>9452</v>
      </c>
      <c r="D87" s="17" t="n">
        <v>0</v>
      </c>
      <c r="E87" s="17" t="n">
        <v>0</v>
      </c>
      <c r="F87" s="17" t="n">
        <v>0</v>
      </c>
      <c r="G87" s="17" t="n">
        <v>1</v>
      </c>
      <c r="H87" s="17" t="n">
        <v>1</v>
      </c>
      <c r="I87" s="17" t="n">
        <v>0</v>
      </c>
      <c r="J87" s="17" t="n">
        <v>0</v>
      </c>
      <c r="K87" s="17" t="n">
        <v>2</v>
      </c>
      <c r="L87" s="17" t="n">
        <v>0</v>
      </c>
      <c r="M87" s="17" t="n">
        <v>0</v>
      </c>
      <c r="N87" s="17" t="n">
        <v>0</v>
      </c>
      <c r="O87" s="17" t="n">
        <v>0</v>
      </c>
      <c r="P87" s="17" t="n">
        <v>0</v>
      </c>
      <c r="Q87" s="17" t="n">
        <v>0</v>
      </c>
      <c r="R87" s="17" t="n">
        <v>0</v>
      </c>
      <c r="T87" s="17">
        <f>DAY(C87)</f>
        <v/>
      </c>
      <c r="U87" s="17">
        <f>MONTH(C87)</f>
        <v/>
      </c>
      <c r="V87" s="17" t="n">
        <v>2025</v>
      </c>
    </row>
    <row r="88" hidden="1" ht="22.5" customHeight="1" s="117">
      <c r="A88" s="14" t="n">
        <v>45978.32751954861</v>
      </c>
      <c r="B88" s="17" t="inlineStr">
        <is>
          <t>Nguyễn Văn Nhật</t>
        </is>
      </c>
      <c r="C88" s="16" t="n">
        <v>45977</v>
      </c>
      <c r="D88" s="17" t="n">
        <v>0</v>
      </c>
      <c r="E88" s="17" t="n">
        <v>0</v>
      </c>
      <c r="F88" s="17" t="n">
        <v>0</v>
      </c>
      <c r="G88" s="17" t="n">
        <v>1</v>
      </c>
      <c r="H88" s="17" t="n">
        <v>1</v>
      </c>
      <c r="I88" s="17" t="n">
        <v>0</v>
      </c>
      <c r="J88" s="17" t="n">
        <v>0</v>
      </c>
      <c r="K88" s="17" t="n">
        <v>12</v>
      </c>
      <c r="L88" s="17" t="n">
        <v>0</v>
      </c>
      <c r="M88" s="17" t="n">
        <v>0</v>
      </c>
      <c r="N88" s="17" t="n">
        <v>0</v>
      </c>
      <c r="O88" s="17" t="n">
        <v>1</v>
      </c>
      <c r="P88" s="17" t="n">
        <v>0</v>
      </c>
      <c r="Q88" s="17" t="n">
        <v>2</v>
      </c>
      <c r="R88" s="17" t="n">
        <v>0</v>
      </c>
      <c r="T88" s="17">
        <f>DAY(C88)</f>
        <v/>
      </c>
      <c r="U88" s="17">
        <f>MONTH(C88)</f>
        <v/>
      </c>
      <c r="V88" s="17" t="n">
        <v>2025</v>
      </c>
    </row>
    <row r="89" hidden="1" ht="22.5" customHeight="1" s="117">
      <c r="A89" s="14" t="n">
        <v>45978.33859445602</v>
      </c>
      <c r="B89" s="17" t="inlineStr">
        <is>
          <t>Phan Thành Thái</t>
        </is>
      </c>
      <c r="C89" s="16" t="n">
        <v>45977</v>
      </c>
      <c r="D89" s="17" t="n">
        <v>1</v>
      </c>
      <c r="E89" s="17" t="n">
        <v>3</v>
      </c>
      <c r="F89" s="17" t="n">
        <v>0</v>
      </c>
      <c r="G89" s="17" t="n">
        <v>0</v>
      </c>
      <c r="H89" s="17" t="n">
        <v>0</v>
      </c>
      <c r="I89" s="17" t="n">
        <v>1</v>
      </c>
      <c r="J89" s="17" t="n">
        <v>0</v>
      </c>
      <c r="K89" s="17" t="n">
        <v>10</v>
      </c>
      <c r="L89" s="17" t="n">
        <v>0</v>
      </c>
      <c r="M89" s="17" t="n">
        <v>1</v>
      </c>
      <c r="N89" s="17" t="n">
        <v>0</v>
      </c>
      <c r="O89" s="17" t="n">
        <v>0</v>
      </c>
      <c r="P89" s="17" t="n">
        <v>0</v>
      </c>
      <c r="Q89" s="17" t="n">
        <v>3</v>
      </c>
      <c r="R89" s="17" t="n">
        <v>0</v>
      </c>
      <c r="T89" s="17">
        <f>DAY(C89)</f>
        <v/>
      </c>
      <c r="U89" s="17">
        <f>MONTH(C89)</f>
        <v/>
      </c>
      <c r="V89" s="17" t="n">
        <v>2025</v>
      </c>
    </row>
    <row r="90" hidden="1" ht="22.5" customHeight="1" s="117">
      <c r="A90" s="14" t="n">
        <v>45978.33937244213</v>
      </c>
      <c r="B90" s="17" t="inlineStr">
        <is>
          <t>Lê Văn Hồng</t>
        </is>
      </c>
      <c r="C90" s="16" t="n">
        <v>45977</v>
      </c>
      <c r="D90" s="17" t="n">
        <v>0</v>
      </c>
      <c r="E90" s="17" t="n">
        <v>1</v>
      </c>
      <c r="F90" s="17" t="n">
        <v>0</v>
      </c>
      <c r="G90" s="17" t="n">
        <v>0</v>
      </c>
      <c r="H90" s="17" t="n">
        <v>0</v>
      </c>
      <c r="I90" s="17" t="n">
        <v>0</v>
      </c>
      <c r="J90" s="17" t="n">
        <v>0</v>
      </c>
      <c r="K90" s="17" t="n">
        <v>5</v>
      </c>
      <c r="L90" s="17" t="n">
        <v>2</v>
      </c>
      <c r="M90" s="17" t="n">
        <v>1</v>
      </c>
      <c r="N90" s="17" t="n">
        <v>0</v>
      </c>
      <c r="O90" s="17" t="n">
        <v>0</v>
      </c>
      <c r="P90" s="17" t="n">
        <v>1</v>
      </c>
      <c r="Q90" s="17" t="n">
        <v>5</v>
      </c>
      <c r="R90" s="17" t="n">
        <v>0</v>
      </c>
      <c r="T90" s="17">
        <f>DAY(C90)</f>
        <v/>
      </c>
      <c r="U90" s="17">
        <f>MONTH(C90)</f>
        <v/>
      </c>
      <c r="V90" s="17" t="n">
        <v>2025</v>
      </c>
    </row>
    <row r="91" hidden="1" ht="22.5" customHeight="1" s="117">
      <c r="A91" s="14" t="n">
        <v>45978.34444438657</v>
      </c>
      <c r="B91" s="17" t="inlineStr">
        <is>
          <t>Lương Duy Hải</t>
        </is>
      </c>
      <c r="C91" s="16" t="n">
        <v>45977</v>
      </c>
      <c r="D91" s="17" t="n">
        <v>0</v>
      </c>
      <c r="E91" s="17" t="n">
        <v>0</v>
      </c>
      <c r="F91" s="17" t="n">
        <v>0</v>
      </c>
      <c r="G91" s="17" t="n">
        <v>1</v>
      </c>
      <c r="H91" s="17" t="n">
        <v>1</v>
      </c>
      <c r="I91" s="17" t="n">
        <v>0</v>
      </c>
      <c r="J91" s="17" t="n">
        <v>0</v>
      </c>
      <c r="K91" s="17" t="n">
        <v>10</v>
      </c>
      <c r="L91" s="17" t="n">
        <v>0</v>
      </c>
      <c r="M91" s="17" t="n">
        <v>0</v>
      </c>
      <c r="N91" s="17" t="n">
        <v>1</v>
      </c>
      <c r="O91" s="17" t="n">
        <v>2</v>
      </c>
      <c r="P91" s="17" t="n">
        <v>3</v>
      </c>
      <c r="Q91" s="17" t="n">
        <v>3</v>
      </c>
      <c r="R91" s="17" t="n">
        <v>0</v>
      </c>
      <c r="T91" s="17">
        <f>DAY(C91)</f>
        <v/>
      </c>
      <c r="U91" s="17">
        <f>MONTH(C91)</f>
        <v/>
      </c>
      <c r="V91" s="17" t="n">
        <v>2025</v>
      </c>
    </row>
    <row r="92" hidden="1" ht="22.5" customHeight="1" s="117">
      <c r="A92" s="14" t="n">
        <v>45978.3524722338</v>
      </c>
      <c r="B92" s="17" t="inlineStr">
        <is>
          <t>Lê Hồng Phong</t>
        </is>
      </c>
      <c r="C92" s="16" t="n">
        <v>45978</v>
      </c>
      <c r="D92" s="17" t="n">
        <v>1</v>
      </c>
      <c r="E92" s="17" t="n">
        <v>1</v>
      </c>
      <c r="F92" s="17" t="n">
        <v>1</v>
      </c>
      <c r="G92" s="17" t="n">
        <v>0</v>
      </c>
      <c r="H92" s="17" t="n">
        <v>0</v>
      </c>
      <c r="I92" s="17" t="n">
        <v>1</v>
      </c>
      <c r="J92" s="17" t="n">
        <v>1</v>
      </c>
      <c r="K92" s="17" t="n">
        <v>1</v>
      </c>
      <c r="L92" s="17" t="n">
        <v>1</v>
      </c>
      <c r="M92" s="17" t="n">
        <v>1</v>
      </c>
      <c r="N92" s="17" t="n">
        <v>1</v>
      </c>
      <c r="O92" s="17" t="n">
        <v>0</v>
      </c>
      <c r="P92" s="17" t="n">
        <v>1</v>
      </c>
      <c r="Q92" s="17" t="n">
        <v>1</v>
      </c>
      <c r="R92" s="17" t="n">
        <v>1</v>
      </c>
      <c r="T92" s="17">
        <f>DAY(C92)</f>
        <v/>
      </c>
      <c r="U92" s="17">
        <f>MONTH(C92)</f>
        <v/>
      </c>
      <c r="V92" s="17" t="n">
        <v>2025</v>
      </c>
    </row>
    <row r="93" hidden="1" ht="22.5" customHeight="1" s="117">
      <c r="A93" s="14" t="n">
        <v>45978.36839770833</v>
      </c>
      <c r="B93" s="17" t="inlineStr">
        <is>
          <t>Huỳnh Văn Lực</t>
        </is>
      </c>
      <c r="C93" s="16" t="n">
        <v>45977</v>
      </c>
      <c r="D93" s="17" t="n">
        <v>0</v>
      </c>
      <c r="E93" s="17" t="n">
        <v>0</v>
      </c>
      <c r="F93" s="17" t="n">
        <v>1</v>
      </c>
      <c r="G93" s="17" t="n">
        <v>0</v>
      </c>
      <c r="H93" s="17" t="n">
        <v>0</v>
      </c>
      <c r="I93" s="17" t="n">
        <v>0</v>
      </c>
      <c r="J93" s="17" t="n">
        <v>0</v>
      </c>
      <c r="K93" s="17" t="n">
        <v>2</v>
      </c>
      <c r="L93" s="17" t="n">
        <v>0</v>
      </c>
      <c r="M93" s="17" t="n">
        <v>1</v>
      </c>
      <c r="N93" s="17" t="n">
        <v>1</v>
      </c>
      <c r="O93" s="17" t="n">
        <v>0</v>
      </c>
      <c r="P93" s="17" t="n">
        <v>0</v>
      </c>
      <c r="Q93" s="17" t="n">
        <v>2</v>
      </c>
      <c r="R93" s="17" t="n">
        <v>0</v>
      </c>
      <c r="T93" s="17">
        <f>DAY(C93)</f>
        <v/>
      </c>
      <c r="U93" s="17">
        <f>MONTH(C93)</f>
        <v/>
      </c>
      <c r="V93" s="17" t="n">
        <v>2025</v>
      </c>
    </row>
    <row r="94" hidden="1" ht="22.5" customHeight="1" s="117">
      <c r="A94" s="14" t="n">
        <v>45978.37271489584</v>
      </c>
      <c r="B94" s="17" t="inlineStr">
        <is>
          <t>Bùi Duy Cường</t>
        </is>
      </c>
      <c r="C94" s="16" t="n">
        <v>45977</v>
      </c>
      <c r="D94" s="17" t="n">
        <v>0</v>
      </c>
      <c r="E94" s="17" t="n">
        <v>0</v>
      </c>
      <c r="F94" s="17" t="n">
        <v>0</v>
      </c>
      <c r="G94" s="17" t="n">
        <v>0</v>
      </c>
      <c r="H94" s="17" t="n">
        <v>0</v>
      </c>
      <c r="I94" s="17" t="n">
        <v>1</v>
      </c>
      <c r="J94" s="17" t="n">
        <v>0</v>
      </c>
      <c r="K94" s="17" t="n">
        <v>24</v>
      </c>
      <c r="L94" s="17" t="n">
        <v>0</v>
      </c>
      <c r="M94" s="17" t="n">
        <v>0</v>
      </c>
      <c r="N94" s="17" t="n">
        <v>1</v>
      </c>
      <c r="O94" s="17" t="n">
        <v>1</v>
      </c>
      <c r="P94" s="17" t="n">
        <v>1</v>
      </c>
      <c r="Q94" s="17" t="n">
        <v>3</v>
      </c>
      <c r="R94" s="17" t="n">
        <v>0</v>
      </c>
      <c r="T94" s="17">
        <f>DAY(C94)</f>
        <v/>
      </c>
      <c r="U94" s="17">
        <f>MONTH(C94)</f>
        <v/>
      </c>
      <c r="V94" s="17" t="n">
        <v>2025</v>
      </c>
    </row>
    <row r="95" hidden="1" ht="22.5" customHeight="1" s="117">
      <c r="A95" s="14" t="n">
        <v>45978.37291789352</v>
      </c>
      <c r="B95" s="17" t="inlineStr">
        <is>
          <t>Đào Công Trung</t>
        </is>
      </c>
      <c r="C95" s="16" t="n">
        <v>45977</v>
      </c>
      <c r="D95" s="17" t="n">
        <v>0</v>
      </c>
      <c r="E95" s="17" t="n">
        <v>0</v>
      </c>
      <c r="F95" s="17" t="n">
        <v>0</v>
      </c>
      <c r="G95" s="17" t="n">
        <v>0</v>
      </c>
      <c r="H95" s="17" t="n">
        <v>0</v>
      </c>
      <c r="I95" s="17" t="n">
        <v>2</v>
      </c>
      <c r="J95" s="17" t="n">
        <v>0</v>
      </c>
      <c r="K95" s="17" t="n">
        <v>20</v>
      </c>
      <c r="L95" s="17" t="n">
        <v>0</v>
      </c>
      <c r="M95" s="17" t="n">
        <v>0</v>
      </c>
      <c r="N95" s="17" t="n">
        <v>0</v>
      </c>
      <c r="O95" s="17" t="n">
        <v>0</v>
      </c>
      <c r="P95" s="17" t="n">
        <v>1</v>
      </c>
      <c r="Q95" s="17" t="n">
        <v>1</v>
      </c>
      <c r="R95" s="17" t="n">
        <v>0</v>
      </c>
      <c r="T95" s="17">
        <f>DAY(C95)</f>
        <v/>
      </c>
      <c r="U95" s="17">
        <f>MONTH(C95)</f>
        <v/>
      </c>
      <c r="V95" s="17" t="n">
        <v>2025</v>
      </c>
    </row>
    <row r="96" hidden="1" ht="22.5" customHeight="1" s="117">
      <c r="A96" s="14" t="n">
        <v>45978.39052363426</v>
      </c>
      <c r="B96" s="17" t="inlineStr">
        <is>
          <t>Lương Duy Hoàng</t>
        </is>
      </c>
      <c r="C96" s="16" t="n">
        <v>45977</v>
      </c>
      <c r="D96" s="17" t="n">
        <v>0</v>
      </c>
      <c r="E96" s="17" t="n">
        <v>0</v>
      </c>
      <c r="F96" s="17" t="n">
        <v>0</v>
      </c>
      <c r="G96" s="17" t="n">
        <v>0</v>
      </c>
      <c r="H96" s="17" t="n">
        <v>0</v>
      </c>
      <c r="I96" s="17" t="n">
        <v>0</v>
      </c>
      <c r="J96" s="17" t="n">
        <v>0</v>
      </c>
      <c r="K96" s="17" t="n">
        <v>4</v>
      </c>
      <c r="L96" s="17" t="n">
        <v>0</v>
      </c>
      <c r="M96" s="17" t="n">
        <v>0</v>
      </c>
      <c r="N96" s="17" t="n">
        <v>0</v>
      </c>
      <c r="O96" s="17" t="n">
        <v>0</v>
      </c>
      <c r="P96" s="17" t="n">
        <v>1</v>
      </c>
      <c r="Q96" s="17" t="n">
        <v>4</v>
      </c>
      <c r="R96" s="17" t="n">
        <v>0</v>
      </c>
      <c r="T96" s="17">
        <f>DAY(C96)</f>
        <v/>
      </c>
      <c r="U96" s="17">
        <f>MONTH(C96)</f>
        <v/>
      </c>
      <c r="V96" s="17" t="n">
        <v>2025</v>
      </c>
    </row>
    <row r="97" hidden="1" ht="22.5" customHeight="1" s="117">
      <c r="A97" s="14" t="n">
        <v>45978.3985309375</v>
      </c>
      <c r="B97" s="17" t="inlineStr">
        <is>
          <t>Nguyễn Hồng Minh</t>
        </is>
      </c>
      <c r="C97" s="16" t="n">
        <v>45977</v>
      </c>
      <c r="D97" s="17" t="n">
        <v>0</v>
      </c>
      <c r="E97" s="17" t="n">
        <v>1</v>
      </c>
      <c r="F97" s="17" t="n">
        <v>0</v>
      </c>
      <c r="G97" s="17" t="n">
        <v>0</v>
      </c>
      <c r="H97" s="17" t="n">
        <v>0</v>
      </c>
      <c r="I97" s="17" t="n">
        <v>0</v>
      </c>
      <c r="J97" s="17" t="n">
        <v>0</v>
      </c>
      <c r="K97" s="17" t="n">
        <v>12</v>
      </c>
      <c r="L97" s="17" t="n">
        <v>0</v>
      </c>
      <c r="M97" s="17" t="n">
        <v>0</v>
      </c>
      <c r="N97" s="17" t="n">
        <v>0</v>
      </c>
      <c r="O97" s="17" t="n">
        <v>0</v>
      </c>
      <c r="P97" s="17" t="n">
        <v>0</v>
      </c>
      <c r="Q97" s="17" t="n">
        <v>2</v>
      </c>
      <c r="R97" s="17" t="n">
        <v>0</v>
      </c>
      <c r="T97" s="17">
        <f>DAY(C97)</f>
        <v/>
      </c>
      <c r="U97" s="17">
        <f>MONTH(C97)</f>
        <v/>
      </c>
      <c r="V97" s="17" t="n">
        <v>2025</v>
      </c>
    </row>
    <row r="98" hidden="1" ht="22.5" customHeight="1" s="117">
      <c r="A98" s="14" t="n">
        <v>45978.58154846065</v>
      </c>
      <c r="B98" s="17" t="inlineStr">
        <is>
          <t>Trần Trung Giang</t>
        </is>
      </c>
      <c r="C98" s="16" t="n">
        <v>45977</v>
      </c>
      <c r="D98" s="17" t="n">
        <v>0</v>
      </c>
      <c r="E98" s="17" t="n">
        <v>0</v>
      </c>
      <c r="F98" s="17" t="n">
        <v>0</v>
      </c>
      <c r="G98" s="17" t="n">
        <v>0</v>
      </c>
      <c r="H98" s="17" t="n">
        <v>2</v>
      </c>
      <c r="I98" s="17" t="n">
        <v>0</v>
      </c>
      <c r="J98" s="17" t="n">
        <v>0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7" t="n">
        <v>0</v>
      </c>
      <c r="R98" s="17" t="n">
        <v>0</v>
      </c>
      <c r="T98" s="17">
        <f>DAY(C98)</f>
        <v/>
      </c>
      <c r="U98" s="17">
        <f>MONTH(C98)</f>
        <v/>
      </c>
      <c r="V98" s="17" t="n">
        <v>2025</v>
      </c>
    </row>
    <row r="99" hidden="1" ht="22.5" customHeight="1" s="117">
      <c r="A99" s="14" t="n">
        <v>45978.80479115741</v>
      </c>
      <c r="B99" s="17" t="inlineStr">
        <is>
          <t>Lê Quốc Duy</t>
        </is>
      </c>
      <c r="C99" s="16" t="n">
        <v>45978</v>
      </c>
      <c r="D99" s="17" t="n">
        <v>1</v>
      </c>
      <c r="E99" s="17" t="n">
        <v>1</v>
      </c>
      <c r="F99" s="17" t="n">
        <v>0</v>
      </c>
      <c r="G99" s="17" t="n">
        <v>0</v>
      </c>
      <c r="H99" s="17" t="n">
        <v>0</v>
      </c>
      <c r="I99" s="17" t="n">
        <v>1</v>
      </c>
      <c r="J99" s="17" t="n">
        <v>0</v>
      </c>
      <c r="K99" s="17" t="n">
        <v>10</v>
      </c>
      <c r="L99" s="17" t="n">
        <v>0</v>
      </c>
      <c r="M99" s="17" t="n">
        <v>1</v>
      </c>
      <c r="N99" s="17" t="n">
        <v>0</v>
      </c>
      <c r="O99" s="17" t="n">
        <v>0</v>
      </c>
      <c r="P99" s="17" t="n">
        <v>0</v>
      </c>
      <c r="Q99" s="17" t="n">
        <v>3</v>
      </c>
      <c r="R99" s="17" t="n">
        <v>0</v>
      </c>
      <c r="T99" s="17">
        <f>DAY(C99)</f>
        <v/>
      </c>
      <c r="U99" s="17">
        <f>MONTH(C99)</f>
        <v/>
      </c>
      <c r="V99" s="17" t="n">
        <v>2025</v>
      </c>
    </row>
    <row r="100" hidden="1" ht="22.5" customHeight="1" s="117">
      <c r="A100" s="14" t="n">
        <v>45978.80843153935</v>
      </c>
      <c r="B100" s="17" t="inlineStr">
        <is>
          <t>Đặng Hữu Danh</t>
        </is>
      </c>
      <c r="C100" s="16" t="n">
        <v>45978</v>
      </c>
      <c r="D100" s="17" t="n">
        <v>0</v>
      </c>
      <c r="E100" s="17" t="n">
        <v>0</v>
      </c>
      <c r="F100" s="17" t="n">
        <v>0</v>
      </c>
      <c r="G100" s="17" t="n">
        <v>0</v>
      </c>
      <c r="H100" s="17" t="n">
        <v>0</v>
      </c>
      <c r="I100" s="17" t="n">
        <v>0</v>
      </c>
      <c r="J100" s="17" t="n">
        <v>0</v>
      </c>
      <c r="K100" s="17" t="n">
        <v>8</v>
      </c>
      <c r="L100" s="17" t="n">
        <v>0</v>
      </c>
      <c r="M100" s="17" t="n">
        <v>0</v>
      </c>
      <c r="N100" s="17" t="n">
        <v>2</v>
      </c>
      <c r="O100" s="17" t="n">
        <v>0</v>
      </c>
      <c r="P100" s="17" t="n">
        <v>2</v>
      </c>
      <c r="Q100" s="17" t="n">
        <v>4</v>
      </c>
      <c r="R100" s="17" t="n">
        <v>0</v>
      </c>
      <c r="T100" s="17">
        <f>DAY(C100)</f>
        <v/>
      </c>
      <c r="U100" s="17">
        <f>MONTH(C100)</f>
        <v/>
      </c>
      <c r="V100" s="17" t="n">
        <v>2025</v>
      </c>
    </row>
    <row r="101" hidden="1" ht="22.5" customHeight="1" s="117">
      <c r="A101" s="14" t="n">
        <v>45979.05081119213</v>
      </c>
      <c r="B101" s="17" t="inlineStr">
        <is>
          <t>Hồ Thái Minh Trí</t>
        </is>
      </c>
      <c r="C101" s="16" t="n">
        <v>45978</v>
      </c>
      <c r="D101" s="17" t="n">
        <v>0</v>
      </c>
      <c r="E101" s="17" t="n">
        <v>0</v>
      </c>
      <c r="F101" s="17" t="n">
        <v>0</v>
      </c>
      <c r="G101" s="17" t="n">
        <v>0</v>
      </c>
      <c r="H101" s="17" t="n">
        <v>0</v>
      </c>
      <c r="I101" s="17" t="n">
        <v>1</v>
      </c>
      <c r="J101" s="17" t="n">
        <v>0</v>
      </c>
      <c r="K101" s="17" t="n">
        <v>8</v>
      </c>
      <c r="L101" s="17" t="n">
        <v>0</v>
      </c>
      <c r="M101" s="17" t="n">
        <v>0</v>
      </c>
      <c r="N101" s="17" t="n">
        <v>0</v>
      </c>
      <c r="O101" s="17" t="n">
        <v>0</v>
      </c>
      <c r="P101" s="17" t="n">
        <v>1</v>
      </c>
      <c r="Q101" s="17" t="n">
        <v>3</v>
      </c>
      <c r="R101" s="17" t="n">
        <v>0</v>
      </c>
      <c r="T101" s="17">
        <f>DAY(C101)</f>
        <v/>
      </c>
      <c r="U101" s="17">
        <f>MONTH(C101)</f>
        <v/>
      </c>
      <c r="V101" s="17" t="n">
        <v>2025</v>
      </c>
    </row>
    <row r="102" hidden="1" ht="22.5" customHeight="1" s="117">
      <c r="A102" s="14" t="n">
        <v>45979.27069744213</v>
      </c>
      <c r="B102" s="17" t="inlineStr">
        <is>
          <t>Phan Ngọc Sang</t>
        </is>
      </c>
      <c r="C102" s="16" t="n">
        <v>45978</v>
      </c>
      <c r="D102" s="17" t="n">
        <v>0</v>
      </c>
      <c r="E102" s="17" t="n">
        <v>0</v>
      </c>
      <c r="F102" s="17" t="n">
        <v>0</v>
      </c>
      <c r="G102" s="17" t="n">
        <v>1</v>
      </c>
      <c r="H102" s="17" t="n">
        <v>1</v>
      </c>
      <c r="I102" s="17" t="n">
        <v>2</v>
      </c>
      <c r="J102" s="17" t="n">
        <v>0</v>
      </c>
      <c r="K102" s="17" t="n">
        <v>10</v>
      </c>
      <c r="L102" s="17" t="n">
        <v>0</v>
      </c>
      <c r="M102" s="17" t="n">
        <v>0</v>
      </c>
      <c r="N102" s="17" t="n">
        <v>0</v>
      </c>
      <c r="O102" s="17" t="n">
        <v>0</v>
      </c>
      <c r="P102" s="17" t="n">
        <v>0</v>
      </c>
      <c r="Q102" s="17" t="n">
        <v>2</v>
      </c>
      <c r="R102" s="17" t="n">
        <v>0</v>
      </c>
      <c r="T102" s="17">
        <f>DAY(C102)</f>
        <v/>
      </c>
      <c r="U102" s="17">
        <f>MONTH(C102)</f>
        <v/>
      </c>
      <c r="V102" s="17" t="n">
        <v>2025</v>
      </c>
    </row>
    <row r="103" hidden="1" ht="22.5" customHeight="1" s="117">
      <c r="A103" s="14" t="n">
        <v>45979.27353625</v>
      </c>
      <c r="B103" s="17" t="inlineStr">
        <is>
          <t>Lương Duy Hải</t>
        </is>
      </c>
      <c r="C103" s="16" t="n">
        <v>45978</v>
      </c>
      <c r="D103" s="17" t="n">
        <v>1</v>
      </c>
      <c r="E103" s="17" t="n">
        <v>0</v>
      </c>
      <c r="F103" s="17" t="n">
        <v>0</v>
      </c>
      <c r="G103" s="17" t="n">
        <v>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10</v>
      </c>
      <c r="M103" s="17" t="n">
        <v>0</v>
      </c>
      <c r="N103" s="17" t="n">
        <v>0</v>
      </c>
      <c r="O103" s="17" t="n">
        <v>0</v>
      </c>
      <c r="P103" s="17" t="n">
        <v>0</v>
      </c>
      <c r="Q103" s="17" t="n">
        <v>2</v>
      </c>
      <c r="R103" s="17" t="n">
        <v>0</v>
      </c>
      <c r="T103" s="17">
        <f>DAY(C103)</f>
        <v/>
      </c>
      <c r="U103" s="17">
        <f>MONTH(C103)</f>
        <v/>
      </c>
      <c r="V103" s="17" t="n">
        <v>2025</v>
      </c>
    </row>
    <row r="104" hidden="1" ht="22.5" customHeight="1" s="117">
      <c r="A104" s="14" t="n">
        <v>45979.27849547454</v>
      </c>
      <c r="B104" s="17" t="inlineStr">
        <is>
          <t>Trần Trung Giang</t>
        </is>
      </c>
      <c r="C104" s="16" t="n">
        <v>45978</v>
      </c>
      <c r="D104" s="17" t="n">
        <v>0</v>
      </c>
      <c r="E104" s="17" t="n">
        <v>0</v>
      </c>
      <c r="F104" s="17" t="n">
        <v>0</v>
      </c>
      <c r="G104" s="17" t="n">
        <v>0</v>
      </c>
      <c r="H104" s="17" t="n">
        <v>0</v>
      </c>
      <c r="I104" s="17" t="n">
        <v>2</v>
      </c>
      <c r="J104" s="17" t="n">
        <v>0</v>
      </c>
      <c r="K104" s="17" t="n">
        <v>8</v>
      </c>
      <c r="L104" s="17" t="n">
        <v>0</v>
      </c>
      <c r="M104" s="17" t="n">
        <v>0</v>
      </c>
      <c r="N104" s="17" t="n">
        <v>0</v>
      </c>
      <c r="O104" s="17" t="n">
        <v>0</v>
      </c>
      <c r="P104" s="17" t="n">
        <v>1</v>
      </c>
      <c r="Q104" s="17" t="n">
        <v>0</v>
      </c>
      <c r="R104" s="17" t="n">
        <v>0</v>
      </c>
      <c r="T104" s="17">
        <f>DAY(C104)</f>
        <v/>
      </c>
      <c r="U104" s="17">
        <f>MONTH(C104)</f>
        <v/>
      </c>
      <c r="V104" s="17" t="n">
        <v>2025</v>
      </c>
    </row>
    <row r="105" hidden="1" ht="22.5" customHeight="1" s="117">
      <c r="A105" s="14" t="n">
        <v>45979.28017060185</v>
      </c>
      <c r="B105" s="17" t="inlineStr">
        <is>
          <t>Huỳnh Văn Lực</t>
        </is>
      </c>
      <c r="C105" s="16" t="n">
        <v>45978</v>
      </c>
      <c r="D105" s="17" t="n">
        <v>0</v>
      </c>
      <c r="E105" s="17" t="n">
        <v>0</v>
      </c>
      <c r="F105" s="17" t="n">
        <v>0</v>
      </c>
      <c r="G105" s="17" t="n">
        <v>0</v>
      </c>
      <c r="H105" s="17" t="n">
        <v>0</v>
      </c>
      <c r="I105" s="17" t="n">
        <v>0</v>
      </c>
      <c r="J105" s="17" t="n">
        <v>0</v>
      </c>
      <c r="K105" s="17" t="n">
        <v>4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1</v>
      </c>
      <c r="Q105" s="17" t="n">
        <v>1</v>
      </c>
      <c r="R105" s="17" t="n">
        <v>0</v>
      </c>
      <c r="T105" s="17">
        <f>DAY(C105)</f>
        <v/>
      </c>
      <c r="U105" s="17">
        <f>MONTH(C105)</f>
        <v/>
      </c>
      <c r="V105" s="17" t="n">
        <v>2025</v>
      </c>
    </row>
    <row r="106" hidden="1" ht="22.5" customHeight="1" s="117">
      <c r="A106" s="14" t="n">
        <v>45979.28211442129</v>
      </c>
      <c r="B106" s="17" t="inlineStr">
        <is>
          <t>Nguyễn Quang Anh Tuấn</t>
        </is>
      </c>
      <c r="C106" s="16" t="n">
        <v>45978</v>
      </c>
      <c r="D106" s="17" t="n">
        <v>0</v>
      </c>
      <c r="E106" s="17" t="n">
        <v>0</v>
      </c>
      <c r="F106" s="17" t="n">
        <v>0</v>
      </c>
      <c r="G106" s="17" t="n">
        <v>0</v>
      </c>
      <c r="H106" s="17" t="n">
        <v>0</v>
      </c>
      <c r="I106" s="17" t="n">
        <v>0</v>
      </c>
      <c r="J106" s="17" t="n">
        <v>0</v>
      </c>
      <c r="K106" s="17" t="n">
        <v>9</v>
      </c>
      <c r="L106" s="17" t="n">
        <v>0</v>
      </c>
      <c r="M106" s="17" t="n">
        <v>0</v>
      </c>
      <c r="N106" s="17" t="n">
        <v>0</v>
      </c>
      <c r="O106" s="17" t="n">
        <v>0</v>
      </c>
      <c r="P106" s="17" t="n">
        <v>0</v>
      </c>
      <c r="Q106" s="17" t="n">
        <v>2</v>
      </c>
      <c r="R106" s="17" t="n">
        <v>0</v>
      </c>
      <c r="T106" s="17">
        <f>DAY(C106)</f>
        <v/>
      </c>
      <c r="U106" s="17">
        <f>MONTH(C106)</f>
        <v/>
      </c>
      <c r="V106" s="17" t="n">
        <v>2025</v>
      </c>
    </row>
    <row r="107" hidden="1" ht="22.5" customHeight="1" s="117">
      <c r="A107" s="14" t="n">
        <v>45979.28427670139</v>
      </c>
      <c r="B107" s="17" t="inlineStr">
        <is>
          <t>Nguyễn Văn Hiệp</t>
        </is>
      </c>
      <c r="C107" s="16" t="n">
        <v>45978</v>
      </c>
      <c r="D107" s="17" t="n">
        <v>0</v>
      </c>
      <c r="E107" s="17" t="n">
        <v>0</v>
      </c>
      <c r="F107" s="17" t="n">
        <v>0</v>
      </c>
      <c r="G107" s="17" t="n">
        <v>0</v>
      </c>
      <c r="H107" s="17" t="n">
        <v>0</v>
      </c>
      <c r="I107" s="17" t="n">
        <v>1</v>
      </c>
      <c r="J107" s="17" t="n">
        <v>1</v>
      </c>
      <c r="K107" s="17" t="n">
        <v>6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0</v>
      </c>
      <c r="R107" s="17" t="n">
        <v>0</v>
      </c>
      <c r="T107" s="17">
        <f>DAY(C107)</f>
        <v/>
      </c>
      <c r="U107" s="17">
        <f>MONTH(C107)</f>
        <v/>
      </c>
      <c r="V107" s="17" t="n">
        <v>2025</v>
      </c>
    </row>
    <row r="108" hidden="1" ht="22.5" customHeight="1" s="117">
      <c r="A108" s="14" t="n">
        <v>45979.29036577547</v>
      </c>
      <c r="B108" s="17" t="inlineStr">
        <is>
          <t>Hồ Xuân Việt</t>
        </is>
      </c>
      <c r="C108" s="16" t="n">
        <v>45978</v>
      </c>
      <c r="D108" s="17" t="n">
        <v>0</v>
      </c>
      <c r="E108" s="17" t="n">
        <v>0</v>
      </c>
      <c r="F108" s="17" t="n">
        <v>0</v>
      </c>
      <c r="G108" s="17" t="n">
        <v>0</v>
      </c>
      <c r="H108" s="17" t="n">
        <v>0</v>
      </c>
      <c r="I108" s="17" t="n">
        <v>2</v>
      </c>
      <c r="J108" s="17" t="n">
        <v>0</v>
      </c>
      <c r="K108" s="17" t="n">
        <v>8</v>
      </c>
      <c r="L108" s="17" t="n">
        <v>0</v>
      </c>
      <c r="M108" s="17" t="n">
        <v>1</v>
      </c>
      <c r="N108" s="17" t="n">
        <v>0</v>
      </c>
      <c r="O108" s="17" t="n">
        <v>0</v>
      </c>
      <c r="P108" s="17" t="n">
        <v>2</v>
      </c>
      <c r="Q108" s="17" t="n">
        <v>4</v>
      </c>
      <c r="R108" s="17" t="n">
        <v>0</v>
      </c>
      <c r="T108" s="17">
        <f>DAY(C108)</f>
        <v/>
      </c>
      <c r="U108" s="17">
        <f>MONTH(C108)</f>
        <v/>
      </c>
      <c r="V108" s="17" t="n">
        <v>2025</v>
      </c>
    </row>
    <row r="109" hidden="1" ht="22.5" customHeight="1" s="117">
      <c r="A109" s="14" t="n">
        <v>45979.29638917824</v>
      </c>
      <c r="B109" s="17" t="inlineStr">
        <is>
          <t>Phan Thành Thái</t>
        </is>
      </c>
      <c r="C109" s="16" t="n">
        <v>45978</v>
      </c>
      <c r="D109" s="17" t="n">
        <v>0</v>
      </c>
      <c r="E109" s="17" t="n">
        <v>0</v>
      </c>
      <c r="F109" s="17" t="n">
        <v>0</v>
      </c>
      <c r="G109" s="17" t="n">
        <v>0</v>
      </c>
      <c r="H109" s="17" t="n">
        <v>0</v>
      </c>
      <c r="I109" s="17" t="n">
        <v>2</v>
      </c>
      <c r="J109" s="17" t="n">
        <v>0</v>
      </c>
      <c r="K109" s="17" t="n">
        <v>6</v>
      </c>
      <c r="L109" s="17" t="n">
        <v>0</v>
      </c>
      <c r="M109" s="17" t="n">
        <v>1</v>
      </c>
      <c r="N109" s="17" t="n">
        <v>0</v>
      </c>
      <c r="O109" s="17" t="n">
        <v>0</v>
      </c>
      <c r="P109" s="17" t="n">
        <v>1</v>
      </c>
      <c r="Q109" s="17" t="n">
        <v>3</v>
      </c>
      <c r="R109" s="17" t="n">
        <v>0</v>
      </c>
      <c r="T109" s="17">
        <f>DAY(C109)</f>
        <v/>
      </c>
      <c r="U109" s="17">
        <f>MONTH(C109)</f>
        <v/>
      </c>
      <c r="V109" s="17" t="n">
        <v>2025</v>
      </c>
    </row>
    <row r="110" hidden="1" ht="22.5" customHeight="1" s="117">
      <c r="A110" s="14" t="n">
        <v>45979.29645304398</v>
      </c>
      <c r="B110" s="17" t="inlineStr">
        <is>
          <t>Đào Công Trung</t>
        </is>
      </c>
      <c r="C110" s="16" t="n">
        <v>45978</v>
      </c>
      <c r="D110" s="17" t="n">
        <v>0</v>
      </c>
      <c r="E110" s="17" t="n">
        <v>0</v>
      </c>
      <c r="F110" s="17" t="n">
        <v>0</v>
      </c>
      <c r="G110" s="17" t="n">
        <v>0</v>
      </c>
      <c r="H110" s="17" t="n">
        <v>0</v>
      </c>
      <c r="I110" s="17" t="n">
        <v>0</v>
      </c>
      <c r="J110" s="17" t="n">
        <v>0</v>
      </c>
      <c r="K110" s="17" t="n">
        <v>9</v>
      </c>
      <c r="L110" s="17" t="n">
        <v>0</v>
      </c>
      <c r="M110" s="17" t="n">
        <v>0</v>
      </c>
      <c r="N110" s="17" t="n">
        <v>0</v>
      </c>
      <c r="O110" s="17" t="n">
        <v>0</v>
      </c>
      <c r="P110" s="17" t="n">
        <v>0</v>
      </c>
      <c r="Q110" s="17" t="n">
        <v>3</v>
      </c>
      <c r="R110" s="17" t="n">
        <v>0</v>
      </c>
      <c r="T110" s="17">
        <f>DAY(C110)</f>
        <v/>
      </c>
      <c r="U110" s="17">
        <f>MONTH(C110)</f>
        <v/>
      </c>
      <c r="V110" s="17" t="n">
        <v>2025</v>
      </c>
    </row>
    <row r="111" hidden="1" ht="22.5" customHeight="1" s="117">
      <c r="A111" s="14" t="n">
        <v>45979.30351753472</v>
      </c>
      <c r="B111" s="17" t="inlineStr">
        <is>
          <t>Nguyễn Văn Nhật</t>
        </is>
      </c>
      <c r="C111" s="16" t="n">
        <v>45978</v>
      </c>
      <c r="D111" s="17" t="n">
        <v>0</v>
      </c>
      <c r="E111" s="17" t="n">
        <v>0</v>
      </c>
      <c r="F111" s="17" t="n">
        <v>0</v>
      </c>
      <c r="G111" s="17" t="n">
        <v>0</v>
      </c>
      <c r="H111" s="17" t="n">
        <v>0</v>
      </c>
      <c r="I111" s="17" t="n">
        <v>0</v>
      </c>
      <c r="J111" s="17" t="n">
        <v>0</v>
      </c>
      <c r="K111" s="17" t="n">
        <v>8</v>
      </c>
      <c r="L111" s="17" t="n">
        <v>0</v>
      </c>
      <c r="M111" s="17" t="n">
        <v>1</v>
      </c>
      <c r="N111" s="17" t="n">
        <v>0</v>
      </c>
      <c r="O111" s="17" t="n">
        <v>1</v>
      </c>
      <c r="P111" s="17" t="n">
        <v>1</v>
      </c>
      <c r="Q111" s="17" t="n">
        <v>3</v>
      </c>
      <c r="R111" s="17" t="n">
        <v>0</v>
      </c>
      <c r="T111" s="17">
        <f>DAY(C111)</f>
        <v/>
      </c>
      <c r="U111" s="17">
        <f>MONTH(C111)</f>
        <v/>
      </c>
      <c r="V111" s="17" t="n">
        <v>2025</v>
      </c>
    </row>
    <row r="112" hidden="1" ht="22.5" customHeight="1" s="117">
      <c r="A112" s="14" t="n">
        <v>45979.30484724537</v>
      </c>
      <c r="B112" s="17" t="inlineStr">
        <is>
          <t>Trần Xuân Khoa</t>
        </is>
      </c>
      <c r="C112" s="16" t="n">
        <v>45978</v>
      </c>
      <c r="D112" s="17" t="n">
        <v>0</v>
      </c>
      <c r="E112" s="17" t="n">
        <v>0</v>
      </c>
      <c r="F112" s="17" t="n">
        <v>0</v>
      </c>
      <c r="G112" s="17" t="n">
        <v>0</v>
      </c>
      <c r="H112" s="17" t="n">
        <v>0</v>
      </c>
      <c r="I112" s="17" t="n">
        <v>1</v>
      </c>
      <c r="J112" s="17" t="n">
        <v>0</v>
      </c>
      <c r="K112" s="17" t="n">
        <v>3</v>
      </c>
      <c r="L112" s="17" t="n">
        <v>0</v>
      </c>
      <c r="M112" s="17" t="n">
        <v>0</v>
      </c>
      <c r="N112" s="17" t="n">
        <v>0</v>
      </c>
      <c r="O112" s="17" t="n">
        <v>0</v>
      </c>
      <c r="P112" s="17" t="n">
        <v>0</v>
      </c>
      <c r="Q112" s="17" t="n">
        <v>5</v>
      </c>
      <c r="R112" s="17" t="n">
        <v>0</v>
      </c>
      <c r="T112" s="17">
        <f>DAY(C112)</f>
        <v/>
      </c>
      <c r="U112" s="17">
        <f>MONTH(C112)</f>
        <v/>
      </c>
      <c r="V112" s="17" t="n">
        <v>2025</v>
      </c>
    </row>
    <row r="113" hidden="1" ht="22.5" customHeight="1" s="117">
      <c r="A113" s="14" t="n">
        <v>45979.30706282407</v>
      </c>
      <c r="B113" s="17" t="inlineStr">
        <is>
          <t>Đặng Hoài Anh</t>
        </is>
      </c>
      <c r="C113" s="16" t="n">
        <v>45978</v>
      </c>
      <c r="D113" s="17" t="n">
        <v>1</v>
      </c>
      <c r="E113" s="17" t="n">
        <v>0</v>
      </c>
      <c r="F113" s="17" t="n">
        <v>0</v>
      </c>
      <c r="G113" s="17" t="n">
        <v>0</v>
      </c>
      <c r="H113" s="17" t="n">
        <v>0</v>
      </c>
      <c r="I113" s="17" t="n">
        <v>0</v>
      </c>
      <c r="J113" s="17" t="n">
        <v>0</v>
      </c>
      <c r="K113" s="17" t="n">
        <v>6</v>
      </c>
      <c r="L113" s="17" t="n">
        <v>0</v>
      </c>
      <c r="M113" s="17" t="n">
        <v>1</v>
      </c>
      <c r="N113" s="17" t="n">
        <v>1</v>
      </c>
      <c r="O113" s="17" t="n">
        <v>0</v>
      </c>
      <c r="P113" s="17" t="n">
        <v>2</v>
      </c>
      <c r="Q113" s="17" t="n">
        <v>2</v>
      </c>
      <c r="R113" s="17" t="n">
        <v>0</v>
      </c>
      <c r="T113" s="17">
        <f>DAY(C113)</f>
        <v/>
      </c>
      <c r="U113" s="17">
        <f>MONTH(C113)</f>
        <v/>
      </c>
      <c r="V113" s="17" t="n">
        <v>2025</v>
      </c>
    </row>
    <row r="114" hidden="1" ht="22.5" customHeight="1" s="117">
      <c r="A114" s="14" t="n">
        <v>45979.30719052083</v>
      </c>
      <c r="B114" s="17" t="inlineStr">
        <is>
          <t>Nguyễn Tuấn Anh</t>
        </is>
      </c>
      <c r="C114" s="16" t="n">
        <v>45978</v>
      </c>
      <c r="D114" s="17" t="n">
        <v>0</v>
      </c>
      <c r="E114" s="17" t="n">
        <v>0</v>
      </c>
      <c r="F114" s="17" t="n">
        <v>0</v>
      </c>
      <c r="G114" s="17" t="n">
        <v>0</v>
      </c>
      <c r="H114" s="17" t="n">
        <v>0</v>
      </c>
      <c r="I114" s="17" t="n">
        <v>0</v>
      </c>
      <c r="J114" s="17" t="n">
        <v>0</v>
      </c>
      <c r="K114" s="17" t="n">
        <v>30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1</v>
      </c>
      <c r="Q114" s="17" t="n">
        <v>5</v>
      </c>
      <c r="R114" s="17" t="n">
        <v>1</v>
      </c>
      <c r="T114" s="17">
        <f>DAY(C114)</f>
        <v/>
      </c>
      <c r="U114" s="17">
        <f>MONTH(C114)</f>
        <v/>
      </c>
      <c r="V114" s="17" t="n">
        <v>2025</v>
      </c>
    </row>
    <row r="115" hidden="1" ht="22.5" customHeight="1" s="117">
      <c r="A115" s="14" t="n">
        <v>45979.30768704861</v>
      </c>
      <c r="B115" s="17" t="inlineStr">
        <is>
          <t>Nguyễn Thành Lâm</t>
        </is>
      </c>
      <c r="C115" s="16" t="n">
        <v>45978</v>
      </c>
      <c r="D115" s="17" t="n">
        <v>0</v>
      </c>
      <c r="E115" s="17" t="n">
        <v>0</v>
      </c>
      <c r="F115" s="17" t="n">
        <v>0</v>
      </c>
      <c r="G115" s="17" t="n">
        <v>0</v>
      </c>
      <c r="H115" s="17" t="n">
        <v>0</v>
      </c>
      <c r="I115" s="17" t="n">
        <v>1</v>
      </c>
      <c r="J115" s="17" t="n">
        <v>0</v>
      </c>
      <c r="K115" s="17" t="n">
        <v>2</v>
      </c>
      <c r="L115" s="17" t="n">
        <v>0</v>
      </c>
      <c r="M115" s="17" t="n">
        <v>2</v>
      </c>
      <c r="N115" s="17" t="n">
        <v>0</v>
      </c>
      <c r="O115" s="17" t="n">
        <v>0</v>
      </c>
      <c r="P115" s="17" t="n">
        <v>0</v>
      </c>
      <c r="Q115" s="17" t="n">
        <v>3</v>
      </c>
      <c r="R115" s="17" t="n">
        <v>0</v>
      </c>
      <c r="T115" s="17">
        <f>DAY(C115)</f>
        <v/>
      </c>
      <c r="U115" s="17">
        <f>MONTH(C115)</f>
        <v/>
      </c>
      <c r="V115" s="17" t="n">
        <v>2025</v>
      </c>
    </row>
    <row r="116" hidden="1" ht="22.5" customHeight="1" s="117">
      <c r="A116" s="14" t="n">
        <v>45979.31114716435</v>
      </c>
      <c r="B116" s="17" t="inlineStr">
        <is>
          <t>Dương Minh Tiến</t>
        </is>
      </c>
      <c r="C116" s="16" t="n">
        <v>45978</v>
      </c>
      <c r="D116" s="17" t="n">
        <v>0</v>
      </c>
      <c r="E116" s="17" t="n">
        <v>0</v>
      </c>
      <c r="F116" s="17" t="n">
        <v>0</v>
      </c>
      <c r="G116" s="17" t="n">
        <v>0</v>
      </c>
      <c r="H116" s="17" t="n">
        <v>0</v>
      </c>
      <c r="I116" s="17" t="n">
        <v>0</v>
      </c>
      <c r="J116" s="17" t="n">
        <v>0</v>
      </c>
      <c r="K116" s="17" t="n">
        <v>10</v>
      </c>
      <c r="L116" s="17" t="n">
        <v>2</v>
      </c>
      <c r="M116" s="17" t="n">
        <v>0</v>
      </c>
      <c r="N116" s="17" t="n">
        <v>0</v>
      </c>
      <c r="O116" s="17" t="n">
        <v>0</v>
      </c>
      <c r="P116" s="17" t="n">
        <v>0</v>
      </c>
      <c r="Q116" s="17" t="n">
        <v>3</v>
      </c>
      <c r="R116" s="17" t="n">
        <v>0</v>
      </c>
      <c r="T116" s="17">
        <f>DAY(C116)</f>
        <v/>
      </c>
      <c r="U116" s="17">
        <f>MONTH(C116)</f>
        <v/>
      </c>
      <c r="V116" s="17" t="n">
        <v>2025</v>
      </c>
    </row>
    <row r="117" hidden="1" ht="22.5" customHeight="1" s="117">
      <c r="A117" s="14" t="n">
        <v>45979.3202977662</v>
      </c>
      <c r="B117" s="17" t="inlineStr">
        <is>
          <t>Vòng Nhật Sang</t>
        </is>
      </c>
      <c r="C117" s="16" t="n">
        <v>45978</v>
      </c>
      <c r="D117" s="17" t="n">
        <v>0</v>
      </c>
      <c r="E117" s="17" t="n">
        <v>0</v>
      </c>
      <c r="F117" s="17" t="n">
        <v>0</v>
      </c>
      <c r="G117" s="17" t="n">
        <v>0</v>
      </c>
      <c r="H117" s="17" t="n">
        <v>0</v>
      </c>
      <c r="I117" s="17" t="n">
        <v>0</v>
      </c>
      <c r="J117" s="17" t="n">
        <v>0</v>
      </c>
      <c r="K117" s="17" t="n">
        <v>16</v>
      </c>
      <c r="L117" s="17" t="n">
        <v>0</v>
      </c>
      <c r="M117" s="17" t="n">
        <v>0</v>
      </c>
      <c r="N117" s="17" t="n">
        <v>0</v>
      </c>
      <c r="O117" s="17" t="n">
        <v>0</v>
      </c>
      <c r="P117" s="17" t="n">
        <v>0</v>
      </c>
      <c r="Q117" s="17" t="n">
        <v>2</v>
      </c>
      <c r="R117" s="17" t="n">
        <v>0</v>
      </c>
      <c r="T117" s="17">
        <f>DAY(C117)</f>
        <v/>
      </c>
      <c r="U117" s="17">
        <f>MONTH(C117)</f>
        <v/>
      </c>
      <c r="V117" s="17" t="n">
        <v>2025</v>
      </c>
    </row>
    <row r="118" hidden="1" ht="22.5" customHeight="1" s="117">
      <c r="A118" s="14" t="n">
        <v>45979.32083210648</v>
      </c>
      <c r="B118" s="17" t="inlineStr">
        <is>
          <t>Bùi Duy Cường</t>
        </is>
      </c>
      <c r="C118" s="16" t="n">
        <v>45978</v>
      </c>
      <c r="D118" s="17" t="n">
        <v>0</v>
      </c>
      <c r="E118" s="17" t="n">
        <v>0</v>
      </c>
      <c r="F118" s="17" t="n">
        <v>0</v>
      </c>
      <c r="G118" s="17" t="n">
        <v>1</v>
      </c>
      <c r="H118" s="17" t="n">
        <v>1</v>
      </c>
      <c r="I118" s="17" t="n">
        <v>2</v>
      </c>
      <c r="J118" s="17" t="n">
        <v>0</v>
      </c>
      <c r="K118" s="17" t="n">
        <v>14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2</v>
      </c>
      <c r="Q118" s="17" t="n">
        <v>3</v>
      </c>
      <c r="R118" s="17" t="n">
        <v>0</v>
      </c>
      <c r="T118" s="17">
        <f>DAY(C118)</f>
        <v/>
      </c>
      <c r="U118" s="17">
        <f>MONTH(C118)</f>
        <v/>
      </c>
      <c r="V118" s="17" t="n">
        <v>2025</v>
      </c>
    </row>
    <row r="119" hidden="1" ht="22.5" customHeight="1" s="117">
      <c r="A119" s="14" t="n">
        <v>45979.34595202546</v>
      </c>
      <c r="B119" s="17" t="inlineStr">
        <is>
          <t>Lê Hồng Phong</t>
        </is>
      </c>
      <c r="C119" s="16" t="n">
        <v>45979</v>
      </c>
      <c r="D119" s="17" t="n">
        <v>1</v>
      </c>
      <c r="E119" s="17" t="n">
        <v>1</v>
      </c>
      <c r="F119" s="17" t="n">
        <v>1</v>
      </c>
      <c r="G119" s="17" t="n">
        <v>0</v>
      </c>
      <c r="H119" s="17" t="n">
        <v>0</v>
      </c>
      <c r="I119" s="17" t="n">
        <v>1</v>
      </c>
      <c r="J119" s="17" t="n">
        <v>1</v>
      </c>
      <c r="K119" s="17" t="n">
        <v>1</v>
      </c>
      <c r="L119" s="17" t="n">
        <v>1</v>
      </c>
      <c r="M119" s="17" t="n">
        <v>1</v>
      </c>
      <c r="N119" s="17" t="n">
        <v>1</v>
      </c>
      <c r="O119" s="17" t="n">
        <v>1</v>
      </c>
      <c r="P119" s="17" t="n">
        <v>1</v>
      </c>
      <c r="Q119" s="17" t="n">
        <v>1</v>
      </c>
      <c r="R119" s="17" t="n">
        <v>1</v>
      </c>
      <c r="T119" s="17">
        <f>DAY(C119)</f>
        <v/>
      </c>
      <c r="U119" s="17">
        <f>MONTH(C119)</f>
        <v/>
      </c>
      <c r="V119" s="17" t="n">
        <v>2025</v>
      </c>
    </row>
    <row r="120" hidden="1" ht="22.5" customHeight="1" s="117">
      <c r="A120" s="14" t="n">
        <v>45979.36041829861</v>
      </c>
      <c r="B120" s="17" t="inlineStr">
        <is>
          <t>Lương Duy Hoàng</t>
        </is>
      </c>
      <c r="C120" s="16" t="n">
        <v>45978</v>
      </c>
      <c r="D120" s="17" t="n">
        <v>0</v>
      </c>
      <c r="E120" s="17" t="n">
        <v>0</v>
      </c>
      <c r="F120" s="17" t="n">
        <v>0</v>
      </c>
      <c r="G120" s="17" t="n">
        <v>0</v>
      </c>
      <c r="H120" s="17" t="n">
        <v>0</v>
      </c>
      <c r="I120" s="17" t="n">
        <v>0</v>
      </c>
      <c r="J120" s="17" t="n">
        <v>0</v>
      </c>
      <c r="K120" s="17" t="n">
        <v>2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1</v>
      </c>
      <c r="Q120" s="17" t="n">
        <v>4</v>
      </c>
      <c r="R120" s="17" t="n">
        <v>0</v>
      </c>
      <c r="T120" s="17">
        <f>DAY(C120)</f>
        <v/>
      </c>
      <c r="U120" s="17">
        <f>MONTH(C120)</f>
        <v/>
      </c>
      <c r="V120" s="17" t="n">
        <v>2025</v>
      </c>
    </row>
    <row r="121" hidden="1" ht="22.5" customHeight="1" s="117">
      <c r="A121" s="14" t="n">
        <v>45979.36721388889</v>
      </c>
      <c r="B121" s="17" t="inlineStr">
        <is>
          <t>Lê Văn Hồng</t>
        </is>
      </c>
      <c r="C121" s="16" t="n">
        <v>45978</v>
      </c>
      <c r="D121" s="17" t="n">
        <v>0</v>
      </c>
      <c r="E121" s="17" t="n">
        <v>0</v>
      </c>
      <c r="F121" s="17" t="n">
        <v>0</v>
      </c>
      <c r="G121" s="17" t="n">
        <v>0</v>
      </c>
      <c r="H121" s="17" t="n">
        <v>0</v>
      </c>
      <c r="I121" s="17" t="n">
        <v>0</v>
      </c>
      <c r="J121" s="17" t="n">
        <v>0</v>
      </c>
      <c r="K121" s="17" t="n">
        <v>7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3</v>
      </c>
      <c r="Q121" s="17" t="n">
        <v>4</v>
      </c>
      <c r="R121" s="17" t="n">
        <v>0</v>
      </c>
      <c r="T121" s="17">
        <f>DAY(C121)</f>
        <v/>
      </c>
      <c r="U121" s="17">
        <f>MONTH(C121)</f>
        <v/>
      </c>
      <c r="V121" s="17" t="n">
        <v>2025</v>
      </c>
    </row>
    <row r="122" hidden="1" ht="22.5" customHeight="1" s="117">
      <c r="A122" s="14" t="n">
        <v>45979.84105018518</v>
      </c>
      <c r="B122" s="17" t="inlineStr">
        <is>
          <t>Đặng Hữu Danh</t>
        </is>
      </c>
      <c r="C122" s="16" t="n">
        <v>45979</v>
      </c>
      <c r="D122" s="17" t="n">
        <v>0</v>
      </c>
      <c r="E122" s="17" t="n">
        <v>0</v>
      </c>
      <c r="F122" s="17" t="n">
        <v>0</v>
      </c>
      <c r="G122" s="17" t="n">
        <v>0</v>
      </c>
      <c r="H122" s="17" t="n">
        <v>0</v>
      </c>
      <c r="I122" s="17" t="n">
        <v>0</v>
      </c>
      <c r="J122" s="17" t="n">
        <v>0</v>
      </c>
      <c r="K122" s="17" t="n">
        <v>6</v>
      </c>
      <c r="L122" s="17" t="n">
        <v>0</v>
      </c>
      <c r="M122" s="17" t="n">
        <v>1</v>
      </c>
      <c r="N122" s="17" t="n">
        <v>1</v>
      </c>
      <c r="O122" s="17" t="n">
        <v>0</v>
      </c>
      <c r="P122" s="17" t="n">
        <v>2</v>
      </c>
      <c r="Q122" s="17" t="n">
        <v>5</v>
      </c>
      <c r="R122" s="17" t="n">
        <v>0</v>
      </c>
      <c r="T122" s="17">
        <f>DAY(C122)</f>
        <v/>
      </c>
      <c r="U122" s="17">
        <f>MONTH(C122)</f>
        <v/>
      </c>
      <c r="V122" s="17" t="n">
        <v>2025</v>
      </c>
    </row>
    <row r="123" hidden="1" ht="22.5" customHeight="1" s="117">
      <c r="A123" s="14" t="n">
        <v>45979.85605864583</v>
      </c>
      <c r="B123" s="17" t="inlineStr">
        <is>
          <t>Lê Quốc Duy</t>
        </is>
      </c>
      <c r="C123" s="16" t="n">
        <v>45979</v>
      </c>
      <c r="D123" s="17" t="n">
        <v>0</v>
      </c>
      <c r="E123" s="17" t="n">
        <v>0</v>
      </c>
      <c r="F123" s="17" t="n">
        <v>0</v>
      </c>
      <c r="G123" s="17" t="n">
        <v>0</v>
      </c>
      <c r="H123" s="17" t="n">
        <v>0</v>
      </c>
      <c r="I123" s="17" t="n">
        <v>0</v>
      </c>
      <c r="J123" s="17" t="n">
        <v>0</v>
      </c>
      <c r="K123" s="17" t="n">
        <v>4</v>
      </c>
      <c r="L123" s="17" t="n">
        <v>0</v>
      </c>
      <c r="M123" s="17" t="n">
        <v>0</v>
      </c>
      <c r="N123" s="17" t="n">
        <v>0</v>
      </c>
      <c r="O123" s="17" t="n">
        <v>0</v>
      </c>
      <c r="P123" s="17" t="n">
        <v>1</v>
      </c>
      <c r="Q123" s="17" t="n">
        <v>2</v>
      </c>
      <c r="R123" s="17" t="n">
        <v>0</v>
      </c>
      <c r="T123" s="17">
        <f>DAY(C123)</f>
        <v/>
      </c>
      <c r="U123" s="17">
        <f>MONTH(C123)</f>
        <v/>
      </c>
      <c r="V123" s="17" t="n">
        <v>2025</v>
      </c>
    </row>
    <row r="124" hidden="1" ht="22.5" customHeight="1" s="117">
      <c r="A124" s="14" t="n">
        <v>45979.89067707176</v>
      </c>
      <c r="B124" s="17" t="inlineStr">
        <is>
          <t>Phan Ngọc Sang</t>
        </is>
      </c>
      <c r="C124" s="16" t="n">
        <v>45979</v>
      </c>
      <c r="D124" s="17" t="n">
        <v>0</v>
      </c>
      <c r="E124" s="17" t="n">
        <v>0</v>
      </c>
      <c r="F124" s="17" t="n">
        <v>0</v>
      </c>
      <c r="G124" s="17" t="n">
        <v>1</v>
      </c>
      <c r="H124" s="17" t="n">
        <v>0</v>
      </c>
      <c r="I124" s="17" t="n">
        <v>1</v>
      </c>
      <c r="J124" s="17" t="n">
        <v>0</v>
      </c>
      <c r="K124" s="17" t="n">
        <v>6</v>
      </c>
      <c r="L124" s="17" t="n">
        <v>0</v>
      </c>
      <c r="M124" s="17" t="n">
        <v>0</v>
      </c>
      <c r="N124" s="17" t="n">
        <v>3</v>
      </c>
      <c r="O124" s="17" t="n">
        <v>2</v>
      </c>
      <c r="P124" s="17" t="n">
        <v>1</v>
      </c>
      <c r="Q124" s="17" t="n">
        <v>2</v>
      </c>
      <c r="R124" s="17" t="n">
        <v>0</v>
      </c>
      <c r="T124" s="17">
        <f>DAY(C124)</f>
        <v/>
      </c>
      <c r="U124" s="17">
        <f>MONTH(C124)</f>
        <v/>
      </c>
      <c r="V124" s="17" t="n">
        <v>2025</v>
      </c>
    </row>
    <row r="125" hidden="1" ht="22.5" customHeight="1" s="117">
      <c r="A125" s="14" t="n">
        <v>45979.95683741898</v>
      </c>
      <c r="B125" s="17" t="inlineStr">
        <is>
          <t>Trần Minh Khánh</t>
        </is>
      </c>
      <c r="C125" s="16" t="n">
        <v>45979</v>
      </c>
      <c r="D125" s="17" t="n">
        <v>0</v>
      </c>
      <c r="E125" s="17" t="n">
        <v>0</v>
      </c>
      <c r="F125" s="17" t="n">
        <v>0</v>
      </c>
      <c r="G125" s="17" t="n">
        <v>0</v>
      </c>
      <c r="H125" s="17" t="n">
        <v>0</v>
      </c>
      <c r="I125" s="17" t="n">
        <v>0</v>
      </c>
      <c r="J125" s="17" t="n">
        <v>0</v>
      </c>
      <c r="K125" s="17" t="n">
        <v>16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0</v>
      </c>
      <c r="Q125" s="17" t="n">
        <v>4</v>
      </c>
      <c r="R125" s="17" t="n">
        <v>0</v>
      </c>
      <c r="T125" s="17">
        <f>DAY(C125)</f>
        <v/>
      </c>
      <c r="U125" s="17">
        <f>MONTH(C125)</f>
        <v/>
      </c>
      <c r="V125" s="17" t="n">
        <v>2025</v>
      </c>
    </row>
    <row r="126" hidden="1" ht="22.5" customHeight="1" s="117">
      <c r="A126" s="14" t="n">
        <v>45980.27300717593</v>
      </c>
      <c r="B126" s="17" t="inlineStr">
        <is>
          <t>Hồ Xuân Việt</t>
        </is>
      </c>
      <c r="C126" s="16" t="n">
        <v>45979</v>
      </c>
      <c r="D126" s="17" t="n">
        <v>0</v>
      </c>
      <c r="E126" s="17" t="n">
        <v>0</v>
      </c>
      <c r="F126" s="17" t="n">
        <v>0</v>
      </c>
      <c r="G126" s="17" t="n">
        <v>0</v>
      </c>
      <c r="H126" s="17" t="n">
        <v>0</v>
      </c>
      <c r="I126" s="17" t="n">
        <v>1</v>
      </c>
      <c r="J126" s="17" t="n">
        <v>0</v>
      </c>
      <c r="K126" s="17" t="n">
        <v>8</v>
      </c>
      <c r="L126" s="17" t="n">
        <v>0</v>
      </c>
      <c r="M126" s="17" t="n">
        <v>0</v>
      </c>
      <c r="N126" s="17" t="n">
        <v>1</v>
      </c>
      <c r="O126" s="17" t="n">
        <v>3</v>
      </c>
      <c r="P126" s="17" t="n">
        <v>2</v>
      </c>
      <c r="Q126" s="17" t="n">
        <v>4</v>
      </c>
      <c r="R126" s="17" t="n">
        <v>0</v>
      </c>
      <c r="T126" s="17">
        <f>DAY(C126)</f>
        <v/>
      </c>
      <c r="U126" s="17">
        <f>MONTH(C126)</f>
        <v/>
      </c>
      <c r="V126" s="17" t="n">
        <v>2025</v>
      </c>
    </row>
    <row r="127" hidden="1" ht="22.5" customHeight="1" s="117">
      <c r="A127" s="14" t="n">
        <v>45980.27927880787</v>
      </c>
      <c r="B127" s="17" t="inlineStr">
        <is>
          <t>Vòng Nhật Sang</t>
        </is>
      </c>
      <c r="C127" s="16" t="n">
        <v>45979</v>
      </c>
      <c r="D127" s="17" t="n">
        <v>0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0</v>
      </c>
      <c r="K127" s="17" t="n">
        <v>12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2</v>
      </c>
      <c r="R127" s="17" t="n">
        <v>0</v>
      </c>
      <c r="T127" s="17">
        <f>DAY(C127)</f>
        <v/>
      </c>
      <c r="U127" s="17">
        <f>MONTH(C127)</f>
        <v/>
      </c>
      <c r="V127" s="17" t="n">
        <v>2025</v>
      </c>
    </row>
    <row r="128" hidden="1" ht="22.5" customHeight="1" s="117">
      <c r="A128" s="14" t="n">
        <v>45980.28019965278</v>
      </c>
      <c r="B128" s="17" t="inlineStr">
        <is>
          <t>Nguyễn Văn Hiệp</t>
        </is>
      </c>
      <c r="C128" s="16" t="n">
        <v>45979</v>
      </c>
      <c r="D128" s="17" t="n">
        <v>1</v>
      </c>
      <c r="E128" s="17" t="n">
        <v>0</v>
      </c>
      <c r="F128" s="17" t="n">
        <v>0</v>
      </c>
      <c r="G128" s="17" t="n">
        <v>0</v>
      </c>
      <c r="H128" s="17" t="n">
        <v>0</v>
      </c>
      <c r="I128" s="17" t="n">
        <v>1</v>
      </c>
      <c r="J128" s="17" t="n">
        <v>0</v>
      </c>
      <c r="K128" s="17" t="n">
        <v>5</v>
      </c>
      <c r="L128" s="17" t="n">
        <v>0</v>
      </c>
      <c r="M128" s="17" t="n">
        <v>1</v>
      </c>
      <c r="N128" s="17" t="n">
        <v>0</v>
      </c>
      <c r="O128" s="17" t="n">
        <v>0</v>
      </c>
      <c r="P128" s="17" t="n">
        <v>0</v>
      </c>
      <c r="Q128" s="17" t="n">
        <v>0</v>
      </c>
      <c r="R128" s="17" t="n">
        <v>0</v>
      </c>
      <c r="T128" s="17">
        <f>DAY(C128)</f>
        <v/>
      </c>
      <c r="U128" s="17">
        <f>MONTH(C128)</f>
        <v/>
      </c>
      <c r="V128" s="17" t="n">
        <v>2025</v>
      </c>
    </row>
    <row r="129" hidden="1" ht="22.5" customHeight="1" s="117">
      <c r="A129" s="14" t="n">
        <v>45980.28235657408</v>
      </c>
      <c r="B129" s="17" t="inlineStr">
        <is>
          <t>Phan Thành Thái</t>
        </is>
      </c>
      <c r="C129" s="16" t="n">
        <v>45979</v>
      </c>
      <c r="D129" s="17" t="n">
        <v>0</v>
      </c>
      <c r="E129" s="17" t="n">
        <v>0</v>
      </c>
      <c r="F129" s="17" t="n">
        <v>0</v>
      </c>
      <c r="G129" s="17" t="n">
        <v>0</v>
      </c>
      <c r="H129" s="17" t="n">
        <v>0</v>
      </c>
      <c r="I129" s="17" t="n">
        <v>2</v>
      </c>
      <c r="J129" s="17" t="n">
        <v>0</v>
      </c>
      <c r="K129" s="17" t="n">
        <v>15</v>
      </c>
      <c r="L129" s="17" t="n">
        <v>0</v>
      </c>
      <c r="M129" s="17" t="n">
        <v>0</v>
      </c>
      <c r="N129" s="17" t="n">
        <v>0</v>
      </c>
      <c r="O129" s="17" t="n">
        <v>0</v>
      </c>
      <c r="P129" s="17" t="n">
        <v>0</v>
      </c>
      <c r="Q129" s="17" t="n">
        <v>5</v>
      </c>
      <c r="R129" s="17" t="n">
        <v>0</v>
      </c>
      <c r="T129" s="17">
        <f>DAY(C129)</f>
        <v/>
      </c>
      <c r="U129" s="17">
        <f>MONTH(C129)</f>
        <v/>
      </c>
      <c r="V129" s="17" t="n">
        <v>2025</v>
      </c>
    </row>
    <row r="130" hidden="1" ht="22.5" customHeight="1" s="117">
      <c r="A130" s="14" t="n">
        <v>45980.28259204861</v>
      </c>
      <c r="B130" s="17" t="inlineStr">
        <is>
          <t>Huỳnh Văn Lực</t>
        </is>
      </c>
      <c r="C130" s="16" t="n">
        <v>45979</v>
      </c>
      <c r="D130" s="17" t="n">
        <v>0</v>
      </c>
      <c r="E130" s="17" t="n">
        <v>0</v>
      </c>
      <c r="F130" s="17" t="n">
        <v>0</v>
      </c>
      <c r="G130" s="17" t="n">
        <v>0</v>
      </c>
      <c r="H130" s="17" t="n">
        <v>0</v>
      </c>
      <c r="I130" s="17" t="n">
        <v>0</v>
      </c>
      <c r="J130" s="17" t="n">
        <v>0</v>
      </c>
      <c r="K130" s="17" t="n">
        <v>5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1</v>
      </c>
      <c r="Q130" s="17" t="n">
        <v>1</v>
      </c>
      <c r="R130" s="17" t="n">
        <v>0</v>
      </c>
      <c r="T130" s="17">
        <f>DAY(C130)</f>
        <v/>
      </c>
      <c r="U130" s="17">
        <f>MONTH(C130)</f>
        <v/>
      </c>
      <c r="V130" s="17" t="n">
        <v>2025</v>
      </c>
    </row>
    <row r="131" hidden="1" ht="22.5" customHeight="1" s="117">
      <c r="A131" s="14" t="n">
        <v>45980.28515408565</v>
      </c>
      <c r="B131" s="17" t="inlineStr">
        <is>
          <t>Nguyễn Quang Anh Tuấn</t>
        </is>
      </c>
      <c r="C131" s="16" t="n">
        <v>45979</v>
      </c>
      <c r="D131" s="17" t="n">
        <v>0</v>
      </c>
      <c r="E131" s="17" t="n">
        <v>0</v>
      </c>
      <c r="F131" s="17" t="n">
        <v>0</v>
      </c>
      <c r="G131" s="17" t="n">
        <v>0</v>
      </c>
      <c r="H131" s="17" t="n">
        <v>0</v>
      </c>
      <c r="I131" s="17" t="n">
        <v>0</v>
      </c>
      <c r="J131" s="17" t="n">
        <v>0</v>
      </c>
      <c r="K131" s="17" t="n">
        <v>7</v>
      </c>
      <c r="L131" s="17" t="n">
        <v>0</v>
      </c>
      <c r="M131" s="17" t="n">
        <v>0</v>
      </c>
      <c r="N131" s="17" t="n">
        <v>1</v>
      </c>
      <c r="O131" s="17" t="n">
        <v>0</v>
      </c>
      <c r="P131" s="17" t="n">
        <v>0</v>
      </c>
      <c r="Q131" s="17" t="n">
        <v>2</v>
      </c>
      <c r="R131" s="17" t="n">
        <v>0</v>
      </c>
      <c r="T131" s="17">
        <f>DAY(C131)</f>
        <v/>
      </c>
      <c r="U131" s="17">
        <f>MONTH(C131)</f>
        <v/>
      </c>
      <c r="V131" s="17" t="n">
        <v>2025</v>
      </c>
    </row>
    <row r="132" hidden="1" ht="22.5" customHeight="1" s="117">
      <c r="A132" s="14" t="n">
        <v>45980.28599736111</v>
      </c>
      <c r="B132" s="17" t="inlineStr">
        <is>
          <t>Trần Trung Giang</t>
        </is>
      </c>
      <c r="C132" s="16" t="n">
        <v>45979</v>
      </c>
      <c r="D132" s="17" t="n">
        <v>0</v>
      </c>
      <c r="E132" s="17" t="n">
        <v>0</v>
      </c>
      <c r="F132" s="17" t="n">
        <v>0</v>
      </c>
      <c r="G132" s="17" t="n">
        <v>0</v>
      </c>
      <c r="H132" s="17" t="n">
        <v>0</v>
      </c>
      <c r="I132" s="17" t="n">
        <v>1</v>
      </c>
      <c r="J132" s="17" t="n">
        <v>1</v>
      </c>
      <c r="K132" s="17" t="n">
        <v>9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7" t="n">
        <v>0</v>
      </c>
      <c r="R132" s="17" t="n">
        <v>0</v>
      </c>
      <c r="T132" s="17">
        <f>DAY(C132)</f>
        <v/>
      </c>
      <c r="U132" s="17">
        <f>MONTH(C132)</f>
        <v/>
      </c>
      <c r="V132" s="17" t="n">
        <v>2025</v>
      </c>
    </row>
    <row r="133" hidden="1" ht="22.5" customHeight="1" s="117">
      <c r="A133" s="14" t="n">
        <v>45980.29637454861</v>
      </c>
      <c r="B133" s="17" t="inlineStr">
        <is>
          <t>Nguyễn Tuấn Anh</t>
        </is>
      </c>
      <c r="C133" s="16" t="n">
        <v>45979</v>
      </c>
      <c r="D133" s="17" t="n">
        <v>0</v>
      </c>
      <c r="E133" s="17" t="n">
        <v>0</v>
      </c>
      <c r="F133" s="17" t="n">
        <v>0</v>
      </c>
      <c r="G133" s="17" t="n">
        <v>0</v>
      </c>
      <c r="H133" s="17" t="n">
        <v>0</v>
      </c>
      <c r="I133" s="17" t="n">
        <v>2</v>
      </c>
      <c r="J133" s="17" t="n">
        <v>0</v>
      </c>
      <c r="K133" s="17" t="n">
        <v>45</v>
      </c>
      <c r="L133" s="17" t="n">
        <v>0</v>
      </c>
      <c r="M133" s="17" t="n">
        <v>0</v>
      </c>
      <c r="N133" s="17" t="n">
        <v>0</v>
      </c>
      <c r="O133" s="17" t="n">
        <v>0</v>
      </c>
      <c r="P133" s="17" t="n">
        <v>1</v>
      </c>
      <c r="Q133" s="17" t="n">
        <v>3</v>
      </c>
      <c r="R133" s="17" t="n">
        <v>0</v>
      </c>
      <c r="T133" s="17">
        <f>DAY(C133)</f>
        <v/>
      </c>
      <c r="U133" s="17">
        <f>MONTH(C133)</f>
        <v/>
      </c>
      <c r="V133" s="17" t="n">
        <v>2025</v>
      </c>
    </row>
    <row r="134" hidden="1" ht="22.5" customHeight="1" s="117">
      <c r="A134" s="14" t="n">
        <v>45980.30166200231</v>
      </c>
      <c r="B134" s="17" t="inlineStr">
        <is>
          <t>Bùi Duy Cường</t>
        </is>
      </c>
      <c r="C134" s="16" t="n">
        <v>45979</v>
      </c>
      <c r="D134" s="17" t="n">
        <v>0</v>
      </c>
      <c r="E134" s="17" t="n">
        <v>0</v>
      </c>
      <c r="F134" s="17" t="n">
        <v>0</v>
      </c>
      <c r="G134" s="17" t="n">
        <v>0</v>
      </c>
      <c r="H134" s="17" t="n">
        <v>0</v>
      </c>
      <c r="I134" s="17" t="n">
        <v>2</v>
      </c>
      <c r="J134" s="17" t="n">
        <v>0</v>
      </c>
      <c r="K134" s="17" t="n">
        <v>17</v>
      </c>
      <c r="L134" s="17" t="n">
        <v>2</v>
      </c>
      <c r="M134" s="17" t="n">
        <v>2</v>
      </c>
      <c r="N134" s="17" t="n">
        <v>0</v>
      </c>
      <c r="O134" s="17" t="n">
        <v>0</v>
      </c>
      <c r="P134" s="17" t="n">
        <v>0</v>
      </c>
      <c r="Q134" s="17" t="n">
        <v>2</v>
      </c>
      <c r="R134" s="17" t="n">
        <v>0</v>
      </c>
      <c r="T134" s="17">
        <f>DAY(C134)</f>
        <v/>
      </c>
      <c r="U134" s="17">
        <f>MONTH(C134)</f>
        <v/>
      </c>
      <c r="V134" s="17" t="n">
        <v>2025</v>
      </c>
    </row>
    <row r="135" hidden="1" ht="22.5" customHeight="1" s="117">
      <c r="A135" s="14" t="n">
        <v>45980.30306616898</v>
      </c>
      <c r="B135" s="17" t="inlineStr">
        <is>
          <t>Đào Công Trung</t>
        </is>
      </c>
      <c r="C135" s="16" t="n">
        <v>45979</v>
      </c>
      <c r="D135" s="17" t="n">
        <v>0</v>
      </c>
      <c r="E135" s="17" t="n">
        <v>0</v>
      </c>
      <c r="F135" s="17" t="n">
        <v>0</v>
      </c>
      <c r="G135" s="17" t="n">
        <v>0</v>
      </c>
      <c r="H135" s="17" t="n">
        <v>0</v>
      </c>
      <c r="I135" s="17" t="n">
        <v>0</v>
      </c>
      <c r="J135" s="17" t="n">
        <v>0</v>
      </c>
      <c r="K135" s="17" t="n">
        <v>8</v>
      </c>
      <c r="L135" s="17" t="n">
        <v>0</v>
      </c>
      <c r="M135" s="17" t="n">
        <v>1</v>
      </c>
      <c r="N135" s="17" t="n">
        <v>1</v>
      </c>
      <c r="O135" s="17" t="n">
        <v>0</v>
      </c>
      <c r="P135" s="17" t="n">
        <v>0</v>
      </c>
      <c r="Q135" s="17" t="n">
        <v>0</v>
      </c>
      <c r="R135" s="17" t="n">
        <v>0</v>
      </c>
      <c r="T135" s="17">
        <f>DAY(C135)</f>
        <v/>
      </c>
      <c r="U135" s="17">
        <f>MONTH(C135)</f>
        <v/>
      </c>
      <c r="V135" s="17" t="n">
        <v>2025</v>
      </c>
    </row>
    <row r="136" hidden="1" ht="22.5" customHeight="1" s="117">
      <c r="A136" s="14" t="n">
        <v>45980.30571748842</v>
      </c>
      <c r="B136" s="17" t="inlineStr">
        <is>
          <t>Dương Minh Tiến</t>
        </is>
      </c>
      <c r="C136" s="16" t="n">
        <v>45979</v>
      </c>
      <c r="D136" s="17" t="n">
        <v>0</v>
      </c>
      <c r="E136" s="17" t="n">
        <v>0</v>
      </c>
      <c r="F136" s="17" t="n">
        <v>0</v>
      </c>
      <c r="G136" s="17" t="n">
        <v>0</v>
      </c>
      <c r="H136" s="17" t="n">
        <v>0</v>
      </c>
      <c r="I136" s="17" t="n">
        <v>0</v>
      </c>
      <c r="J136" s="17" t="n">
        <v>0</v>
      </c>
      <c r="K136" s="17" t="n">
        <v>13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7" t="n">
        <v>2</v>
      </c>
      <c r="R136" s="17" t="n">
        <v>0</v>
      </c>
      <c r="T136" s="17">
        <f>DAY(C136)</f>
        <v/>
      </c>
      <c r="U136" s="17">
        <f>MONTH(C136)</f>
        <v/>
      </c>
      <c r="V136" s="17" t="n">
        <v>2025</v>
      </c>
    </row>
    <row r="137" hidden="1" ht="22.5" customHeight="1" s="117">
      <c r="A137" s="14" t="n">
        <v>45980.31612638889</v>
      </c>
      <c r="B137" s="17" t="inlineStr">
        <is>
          <t>Trần Xuân Khoa</t>
        </is>
      </c>
      <c r="C137" s="16" t="n">
        <v>45979</v>
      </c>
      <c r="D137" s="17" t="n">
        <v>1</v>
      </c>
      <c r="E137" s="17" t="n">
        <v>1</v>
      </c>
      <c r="F137" s="17" t="n">
        <v>0</v>
      </c>
      <c r="G137" s="17" t="n">
        <v>0</v>
      </c>
      <c r="H137" s="17" t="n">
        <v>0</v>
      </c>
      <c r="I137" s="17" t="n">
        <v>1</v>
      </c>
      <c r="J137" s="17" t="n">
        <v>0</v>
      </c>
      <c r="K137" s="17" t="n">
        <v>10</v>
      </c>
      <c r="L137" s="17" t="n">
        <v>0</v>
      </c>
      <c r="M137" s="17" t="n">
        <v>0</v>
      </c>
      <c r="N137" s="17" t="n">
        <v>0</v>
      </c>
      <c r="O137" s="17" t="n">
        <v>0</v>
      </c>
      <c r="P137" s="17" t="n">
        <v>1</v>
      </c>
      <c r="Q137" s="17" t="n">
        <v>3</v>
      </c>
      <c r="R137" s="17" t="n">
        <v>1</v>
      </c>
      <c r="T137" s="17">
        <f>DAY(C137)</f>
        <v/>
      </c>
      <c r="U137" s="17">
        <f>MONTH(C137)</f>
        <v/>
      </c>
      <c r="V137" s="17" t="n">
        <v>2025</v>
      </c>
    </row>
    <row r="138" hidden="1" ht="22.5" customHeight="1" s="117">
      <c r="A138" s="14" t="n">
        <v>45980.32087104167</v>
      </c>
      <c r="B138" s="17" t="inlineStr">
        <is>
          <t>Nguyễn Thành Lâm</t>
        </is>
      </c>
      <c r="C138" s="16" t="n">
        <v>45979</v>
      </c>
      <c r="D138" s="17" t="n">
        <v>0</v>
      </c>
      <c r="E138" s="17" t="n">
        <v>0</v>
      </c>
      <c r="F138" s="17" t="n">
        <v>0</v>
      </c>
      <c r="G138" s="17" t="n">
        <v>0</v>
      </c>
      <c r="H138" s="17" t="n">
        <v>0</v>
      </c>
      <c r="I138" s="17" t="n">
        <v>1</v>
      </c>
      <c r="J138" s="17" t="n">
        <v>0</v>
      </c>
      <c r="K138" s="17" t="n">
        <v>10</v>
      </c>
      <c r="L138" s="17" t="n">
        <v>0</v>
      </c>
      <c r="M138" s="17" t="n">
        <v>0</v>
      </c>
      <c r="N138" s="17" t="n">
        <v>1</v>
      </c>
      <c r="O138" s="17" t="n">
        <v>0</v>
      </c>
      <c r="P138" s="17" t="n">
        <v>0</v>
      </c>
      <c r="Q138" s="17" t="n">
        <v>2</v>
      </c>
      <c r="R138" s="17" t="n">
        <v>0</v>
      </c>
      <c r="T138" s="17">
        <f>DAY(C138)</f>
        <v/>
      </c>
      <c r="U138" s="17">
        <f>MONTH(C138)</f>
        <v/>
      </c>
      <c r="V138" s="17" t="n">
        <v>2025</v>
      </c>
    </row>
    <row r="139" hidden="1" ht="22.5" customHeight="1" s="117">
      <c r="A139" s="14" t="n">
        <v>45980.33443430556</v>
      </c>
      <c r="B139" s="17" t="inlineStr">
        <is>
          <t>Lương Duy Hoàng</t>
        </is>
      </c>
      <c r="C139" s="16" t="n">
        <v>45979</v>
      </c>
      <c r="D139" s="17" t="n">
        <v>0</v>
      </c>
      <c r="E139" s="17" t="n">
        <v>0</v>
      </c>
      <c r="F139" s="17" t="n">
        <v>0</v>
      </c>
      <c r="G139" s="17" t="n">
        <v>0</v>
      </c>
      <c r="H139" s="17" t="n">
        <v>0</v>
      </c>
      <c r="I139" s="17" t="n">
        <v>0</v>
      </c>
      <c r="J139" s="17" t="n">
        <v>0</v>
      </c>
      <c r="K139" s="17" t="n">
        <v>2</v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0</v>
      </c>
      <c r="Q139" s="17" t="n">
        <v>3</v>
      </c>
      <c r="R139" s="17" t="n">
        <v>0</v>
      </c>
      <c r="T139" s="17">
        <f>DAY(C139)</f>
        <v/>
      </c>
      <c r="U139" s="17">
        <f>MONTH(C139)</f>
        <v/>
      </c>
      <c r="V139" s="17" t="n">
        <v>2025</v>
      </c>
    </row>
    <row r="140" hidden="1" ht="22.5" customHeight="1" s="117">
      <c r="A140" s="14" t="n">
        <v>45980.3358865162</v>
      </c>
      <c r="B140" s="17" t="inlineStr">
        <is>
          <t>Lê Hồng Phong</t>
        </is>
      </c>
      <c r="C140" s="16" t="n">
        <v>45980</v>
      </c>
      <c r="D140" s="17" t="n">
        <v>1</v>
      </c>
      <c r="E140" s="17" t="n">
        <v>1</v>
      </c>
      <c r="F140" s="17" t="n">
        <v>1</v>
      </c>
      <c r="G140" s="17" t="n">
        <v>0</v>
      </c>
      <c r="H140" s="17" t="n">
        <v>0</v>
      </c>
      <c r="I140" s="17" t="n">
        <v>1</v>
      </c>
      <c r="J140" s="17" t="n">
        <v>1</v>
      </c>
      <c r="K140" s="17" t="n">
        <v>1</v>
      </c>
      <c r="L140" s="17" t="n">
        <v>1</v>
      </c>
      <c r="M140" s="17" t="n">
        <v>1</v>
      </c>
      <c r="N140" s="17" t="n">
        <v>1</v>
      </c>
      <c r="O140" s="17" t="n">
        <v>1</v>
      </c>
      <c r="P140" s="17" t="n">
        <v>1</v>
      </c>
      <c r="Q140" s="17" t="n">
        <v>1</v>
      </c>
      <c r="R140" s="17" t="n">
        <v>1</v>
      </c>
      <c r="T140" s="17">
        <f>DAY(C140)</f>
        <v/>
      </c>
      <c r="U140" s="17">
        <f>MONTH(C140)</f>
        <v/>
      </c>
      <c r="V140" s="17" t="n">
        <v>2025</v>
      </c>
    </row>
    <row r="141" hidden="1" ht="22.5" customHeight="1" s="117">
      <c r="A141" s="14" t="n">
        <v>45980.3359787963</v>
      </c>
      <c r="B141" s="17" t="inlineStr">
        <is>
          <t>Lương Duy Hải</t>
        </is>
      </c>
      <c r="C141" s="16" t="n">
        <v>45979</v>
      </c>
      <c r="D141" s="17" t="n">
        <v>0</v>
      </c>
      <c r="E141" s="17" t="n">
        <v>0</v>
      </c>
      <c r="F141" s="17" t="n">
        <v>0</v>
      </c>
      <c r="G141" s="17" t="n">
        <v>1</v>
      </c>
      <c r="H141" s="17" t="n">
        <v>1</v>
      </c>
      <c r="I141" s="17" t="n">
        <v>0</v>
      </c>
      <c r="J141" s="17" t="n">
        <v>0</v>
      </c>
      <c r="K141" s="17" t="n">
        <v>11</v>
      </c>
      <c r="L141" s="17" t="n">
        <v>0</v>
      </c>
      <c r="M141" s="17" t="n">
        <v>0</v>
      </c>
      <c r="N141" s="17" t="n">
        <v>1</v>
      </c>
      <c r="O141" s="17" t="n">
        <v>0</v>
      </c>
      <c r="P141" s="17" t="n">
        <v>1</v>
      </c>
      <c r="Q141" s="17" t="n">
        <v>2</v>
      </c>
      <c r="R141" s="17" t="n">
        <v>0</v>
      </c>
      <c r="T141" s="17">
        <f>DAY(C141)</f>
        <v/>
      </c>
      <c r="U141" s="17">
        <f>MONTH(C141)</f>
        <v/>
      </c>
      <c r="V141" s="17" t="n">
        <v>2025</v>
      </c>
    </row>
    <row r="142" hidden="1" ht="22.5" customHeight="1" s="117">
      <c r="A142" s="14" t="n">
        <v>45980.33776810185</v>
      </c>
      <c r="B142" s="17" t="inlineStr">
        <is>
          <t>Lê Văn Hồng</t>
        </is>
      </c>
      <c r="C142" s="16" t="n">
        <v>45979</v>
      </c>
      <c r="D142" s="17" t="n">
        <v>1</v>
      </c>
      <c r="E142" s="17" t="n">
        <v>1</v>
      </c>
      <c r="F142" s="17" t="n">
        <v>0</v>
      </c>
      <c r="G142" s="17" t="n">
        <v>0</v>
      </c>
      <c r="H142" s="17" t="n">
        <v>0</v>
      </c>
      <c r="I142" s="17" t="n">
        <v>3</v>
      </c>
      <c r="J142" s="17" t="n">
        <v>0</v>
      </c>
      <c r="K142" s="17" t="n">
        <v>0</v>
      </c>
      <c r="L142" s="17" t="n">
        <v>0</v>
      </c>
      <c r="M142" s="17" t="n">
        <v>1</v>
      </c>
      <c r="N142" s="17" t="n">
        <v>0</v>
      </c>
      <c r="O142" s="17" t="n">
        <v>0</v>
      </c>
      <c r="P142" s="17" t="n">
        <v>3</v>
      </c>
      <c r="Q142" s="17" t="n">
        <v>7</v>
      </c>
      <c r="R142" s="17" t="n">
        <v>0</v>
      </c>
      <c r="T142" s="17">
        <f>DAY(C142)</f>
        <v/>
      </c>
      <c r="U142" s="17">
        <f>MONTH(C142)</f>
        <v/>
      </c>
      <c r="V142" s="17" t="n">
        <v>2025</v>
      </c>
    </row>
    <row r="143" hidden="1" ht="22.5" customHeight="1" s="117">
      <c r="A143" s="14" t="n">
        <v>45980.34426046296</v>
      </c>
      <c r="B143" s="17" t="inlineStr">
        <is>
          <t>Đặng Hoài Anh</t>
        </is>
      </c>
      <c r="C143" s="16" t="n">
        <v>45979</v>
      </c>
      <c r="D143" s="17" t="n">
        <v>0</v>
      </c>
      <c r="E143" s="17" t="n">
        <v>0</v>
      </c>
      <c r="F143" s="17" t="n">
        <v>0</v>
      </c>
      <c r="G143" s="17" t="n">
        <v>0</v>
      </c>
      <c r="H143" s="17" t="n">
        <v>0</v>
      </c>
      <c r="I143" s="17" t="n">
        <v>0</v>
      </c>
      <c r="J143" s="17" t="n">
        <v>0</v>
      </c>
      <c r="K143" s="17" t="n">
        <v>2</v>
      </c>
      <c r="L143" s="17" t="n">
        <v>0</v>
      </c>
      <c r="M143" s="17" t="n">
        <v>0</v>
      </c>
      <c r="N143" s="17" t="n">
        <v>0</v>
      </c>
      <c r="O143" s="17" t="n">
        <v>1</v>
      </c>
      <c r="P143" s="17" t="n">
        <v>1</v>
      </c>
      <c r="Q143" s="17" t="n">
        <v>0</v>
      </c>
      <c r="R143" s="17" t="n">
        <v>0</v>
      </c>
      <c r="T143" s="17">
        <f>DAY(C143)</f>
        <v/>
      </c>
      <c r="U143" s="17">
        <f>MONTH(C143)</f>
        <v/>
      </c>
      <c r="V143" s="17" t="n">
        <v>2025</v>
      </c>
    </row>
    <row r="144" hidden="1" ht="22.5" customHeight="1" s="117">
      <c r="A144" s="14" t="n">
        <v>45980.38530728009</v>
      </c>
      <c r="B144" s="17" t="inlineStr">
        <is>
          <t>Nguyễn Văn Nhật</t>
        </is>
      </c>
      <c r="C144" s="16" t="n">
        <v>45979</v>
      </c>
      <c r="D144" s="17" t="n">
        <v>1</v>
      </c>
      <c r="E144" s="17" t="n">
        <v>0</v>
      </c>
      <c r="F144" s="17" t="n">
        <v>0</v>
      </c>
      <c r="G144" s="17" t="n">
        <v>1</v>
      </c>
      <c r="H144" s="17" t="n">
        <v>2</v>
      </c>
      <c r="I144" s="17" t="n">
        <v>0</v>
      </c>
      <c r="J144" s="17" t="n">
        <v>0</v>
      </c>
      <c r="K144" s="17" t="n">
        <v>8</v>
      </c>
      <c r="L144" s="17" t="n">
        <v>0</v>
      </c>
      <c r="M144" s="17" t="n">
        <v>1</v>
      </c>
      <c r="N144" s="17" t="n">
        <v>0</v>
      </c>
      <c r="O144" s="17" t="n">
        <v>2</v>
      </c>
      <c r="P144" s="17" t="n">
        <v>8</v>
      </c>
      <c r="Q144" s="17" t="n">
        <v>2</v>
      </c>
      <c r="R144" s="17" t="n">
        <v>1</v>
      </c>
      <c r="T144" s="17">
        <f>DAY(C144)</f>
        <v/>
      </c>
      <c r="U144" s="17">
        <f>MONTH(C144)</f>
        <v/>
      </c>
      <c r="V144" s="17" t="n">
        <v>2025</v>
      </c>
    </row>
    <row r="145" hidden="1" ht="22.5" customHeight="1" s="117">
      <c r="A145" s="14" t="n">
        <v>45980.45603460648</v>
      </c>
      <c r="B145" s="17" t="inlineStr">
        <is>
          <t>Nguyễn Hồng Minh</t>
        </is>
      </c>
      <c r="C145" s="16" t="n">
        <v>45978</v>
      </c>
      <c r="D145" s="17" t="n">
        <v>1</v>
      </c>
      <c r="E145" s="17" t="n">
        <v>1</v>
      </c>
      <c r="F145" s="17" t="n">
        <v>0</v>
      </c>
      <c r="G145" s="17" t="n">
        <v>0</v>
      </c>
      <c r="H145" s="17" t="n">
        <v>0</v>
      </c>
      <c r="I145" s="17" t="n">
        <v>0</v>
      </c>
      <c r="J145" s="17" t="n">
        <v>0</v>
      </c>
      <c r="K145" s="17" t="n">
        <v>6</v>
      </c>
      <c r="L145" s="17" t="n">
        <v>0</v>
      </c>
      <c r="M145" s="17" t="n">
        <v>0</v>
      </c>
      <c r="N145" s="17" t="n">
        <v>0</v>
      </c>
      <c r="O145" s="17" t="n">
        <v>0</v>
      </c>
      <c r="P145" s="17" t="n">
        <v>0</v>
      </c>
      <c r="Q145" s="17" t="n">
        <v>5</v>
      </c>
      <c r="R145" s="17" t="n">
        <v>0</v>
      </c>
      <c r="T145" s="17">
        <f>DAY(C145)</f>
        <v/>
      </c>
      <c r="U145" s="17">
        <f>MONTH(C145)</f>
        <v/>
      </c>
      <c r="V145" s="17" t="n">
        <v>2025</v>
      </c>
    </row>
    <row r="146" hidden="1" ht="22.5" customHeight="1" s="117">
      <c r="A146" s="14" t="n">
        <v>45980.45733695602</v>
      </c>
      <c r="B146" s="17" t="inlineStr">
        <is>
          <t>Nguyễn Hồng Minh</t>
        </is>
      </c>
      <c r="C146" s="16" t="n">
        <v>45979</v>
      </c>
      <c r="D146" s="17" t="n">
        <v>0</v>
      </c>
      <c r="E146" s="17" t="n">
        <v>0</v>
      </c>
      <c r="F146" s="17" t="n">
        <v>0</v>
      </c>
      <c r="G146" s="17" t="n">
        <v>0</v>
      </c>
      <c r="H146" s="17" t="n">
        <v>0</v>
      </c>
      <c r="I146" s="17" t="n">
        <v>0</v>
      </c>
      <c r="J146" s="17" t="n">
        <v>0</v>
      </c>
      <c r="K146" s="17" t="n">
        <v>11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2</v>
      </c>
      <c r="Q146" s="17" t="n">
        <v>3</v>
      </c>
      <c r="R146" s="17" t="n">
        <v>0</v>
      </c>
      <c r="T146" s="17">
        <f>DAY(C146)</f>
        <v/>
      </c>
      <c r="U146" s="17">
        <f>MONTH(C146)</f>
        <v/>
      </c>
      <c r="V146" s="17" t="n">
        <v>2025</v>
      </c>
    </row>
    <row r="147" hidden="1" ht="22.5" customHeight="1" s="117">
      <c r="A147" s="14" t="n">
        <v>45980.46682039352</v>
      </c>
      <c r="B147" s="17" t="inlineStr">
        <is>
          <t>Hồ Thái Minh Trí</t>
        </is>
      </c>
      <c r="C147" s="16" t="n">
        <v>45979</v>
      </c>
      <c r="D147" s="17" t="n">
        <v>0</v>
      </c>
      <c r="E147" s="17" t="n">
        <v>0</v>
      </c>
      <c r="F147" s="17" t="n">
        <v>0</v>
      </c>
      <c r="G147" s="17" t="n">
        <v>0</v>
      </c>
      <c r="H147" s="17" t="n">
        <v>0</v>
      </c>
      <c r="I147" s="17" t="n">
        <v>0</v>
      </c>
      <c r="J147" s="17" t="n">
        <v>0</v>
      </c>
      <c r="K147" s="17" t="n">
        <v>10</v>
      </c>
      <c r="L147" s="17" t="n">
        <v>0</v>
      </c>
      <c r="M147" s="17" t="n">
        <v>1</v>
      </c>
      <c r="N147" s="17" t="n">
        <v>0</v>
      </c>
      <c r="O147" s="17" t="n">
        <v>0</v>
      </c>
      <c r="P147" s="17" t="n">
        <v>0</v>
      </c>
      <c r="Q147" s="17" t="n">
        <v>2</v>
      </c>
      <c r="R147" s="17" t="n">
        <v>0</v>
      </c>
      <c r="T147" s="17">
        <f>DAY(C147)</f>
        <v/>
      </c>
      <c r="U147" s="17">
        <f>MONTH(C147)</f>
        <v/>
      </c>
      <c r="V147" s="17" t="n">
        <v>2025</v>
      </c>
    </row>
    <row r="148" hidden="1" ht="22.5" customHeight="1" s="117">
      <c r="A148" s="14" t="n">
        <v>45980.87426954861</v>
      </c>
      <c r="B148" s="17" t="inlineStr">
        <is>
          <t>Lê Quốc Duy</t>
        </is>
      </c>
      <c r="C148" s="16" t="n">
        <v>45980</v>
      </c>
      <c r="D148" s="17" t="n">
        <v>0</v>
      </c>
      <c r="E148" s="17" t="n">
        <v>0</v>
      </c>
      <c r="F148" s="17" t="n">
        <v>0</v>
      </c>
      <c r="G148" s="17" t="n">
        <v>0</v>
      </c>
      <c r="H148" s="17" t="n">
        <v>0</v>
      </c>
      <c r="I148" s="17" t="n">
        <v>1</v>
      </c>
      <c r="J148" s="17" t="n">
        <v>0</v>
      </c>
      <c r="K148" s="17" t="n">
        <v>2</v>
      </c>
      <c r="L148" s="17" t="n">
        <v>0</v>
      </c>
      <c r="M148" s="17" t="n">
        <v>0</v>
      </c>
      <c r="N148" s="17" t="n">
        <v>0</v>
      </c>
      <c r="O148" s="17" t="n">
        <v>0</v>
      </c>
      <c r="P148" s="17" t="n">
        <v>2</v>
      </c>
      <c r="Q148" s="17" t="n">
        <v>5</v>
      </c>
      <c r="R148" s="17" t="n">
        <v>0</v>
      </c>
      <c r="T148" s="17">
        <f>DAY(C148)</f>
        <v/>
      </c>
      <c r="U148" s="17">
        <f>MONTH(C148)</f>
        <v/>
      </c>
      <c r="V148" s="17" t="n">
        <v>2025</v>
      </c>
    </row>
    <row r="149" hidden="1" ht="22.5" customHeight="1" s="117">
      <c r="A149" s="14" t="n">
        <v>45980.90300252315</v>
      </c>
      <c r="B149" s="17" t="inlineStr">
        <is>
          <t>Đặng Hữu Danh</t>
        </is>
      </c>
      <c r="C149" s="16" t="n">
        <v>45980</v>
      </c>
      <c r="D149" s="17" t="n">
        <v>0</v>
      </c>
      <c r="E149" s="17" t="n">
        <v>0</v>
      </c>
      <c r="F149" s="17" t="n">
        <v>0</v>
      </c>
      <c r="G149" s="17" t="n">
        <v>0</v>
      </c>
      <c r="H149" s="17" t="n">
        <v>0</v>
      </c>
      <c r="I149" s="17" t="n">
        <v>1</v>
      </c>
      <c r="J149" s="17" t="n">
        <v>0</v>
      </c>
      <c r="K149" s="17" t="n">
        <v>5</v>
      </c>
      <c r="L149" s="17" t="n">
        <v>0</v>
      </c>
      <c r="M149" s="17" t="n">
        <v>1</v>
      </c>
      <c r="N149" s="17" t="n">
        <v>1</v>
      </c>
      <c r="O149" s="17" t="n">
        <v>0</v>
      </c>
      <c r="P149" s="17" t="n">
        <v>2</v>
      </c>
      <c r="Q149" s="17" t="n">
        <v>5</v>
      </c>
      <c r="R149" s="17" t="n">
        <v>0</v>
      </c>
      <c r="T149" s="17">
        <f>DAY(C149)</f>
        <v/>
      </c>
      <c r="U149" s="17">
        <f>MONTH(C149)</f>
        <v/>
      </c>
      <c r="V149" s="17" t="n">
        <v>2025</v>
      </c>
    </row>
    <row r="150" hidden="1" ht="22.5" customHeight="1" s="117">
      <c r="A150" s="14" t="n">
        <v>45981.27363655093</v>
      </c>
      <c r="B150" s="17" t="inlineStr">
        <is>
          <t>Nguyễn Văn Hiệp</t>
        </is>
      </c>
      <c r="C150" s="16" t="n">
        <v>45980</v>
      </c>
      <c r="D150" s="17" t="n">
        <v>1</v>
      </c>
      <c r="E150" s="17" t="n">
        <v>1</v>
      </c>
      <c r="F150" s="17" t="n">
        <v>0</v>
      </c>
      <c r="G150" s="17" t="n">
        <v>0</v>
      </c>
      <c r="H150" s="17" t="n">
        <v>0</v>
      </c>
      <c r="I150" s="17" t="n">
        <v>0</v>
      </c>
      <c r="J150" s="17" t="n">
        <v>0</v>
      </c>
      <c r="K150" s="17" t="n">
        <v>5</v>
      </c>
      <c r="L150" s="17" t="n">
        <v>0</v>
      </c>
      <c r="M150" s="17" t="n">
        <v>1</v>
      </c>
      <c r="N150" s="17" t="n">
        <v>0</v>
      </c>
      <c r="O150" s="17" t="n">
        <v>0</v>
      </c>
      <c r="P150" s="17" t="n">
        <v>0</v>
      </c>
      <c r="Q150" s="17" t="n">
        <v>1</v>
      </c>
      <c r="R150" s="17" t="n">
        <v>0</v>
      </c>
      <c r="T150" s="17">
        <f>DAY(C150)</f>
        <v/>
      </c>
      <c r="U150" s="17">
        <f>MONTH(C150)</f>
        <v/>
      </c>
      <c r="V150" s="17" t="n">
        <v>2025</v>
      </c>
    </row>
    <row r="151" hidden="1" ht="22.5" customHeight="1" s="117">
      <c r="A151" s="14" t="n">
        <v>45981.28044136574</v>
      </c>
      <c r="B151" s="17" t="inlineStr">
        <is>
          <t>Phan Ngọc Sang</t>
        </is>
      </c>
      <c r="C151" s="16" t="n">
        <v>45980</v>
      </c>
      <c r="D151" s="17" t="n">
        <v>1</v>
      </c>
      <c r="E151" s="17" t="n">
        <v>0</v>
      </c>
      <c r="F151" s="17" t="n">
        <v>0</v>
      </c>
      <c r="G151" s="17" t="n">
        <v>0</v>
      </c>
      <c r="H151" s="17" t="n">
        <v>0</v>
      </c>
      <c r="I151" s="17" t="n">
        <v>1</v>
      </c>
      <c r="J151" s="17" t="n">
        <v>0</v>
      </c>
      <c r="K151" s="17" t="n">
        <v>5</v>
      </c>
      <c r="L151" s="17" t="n">
        <v>0</v>
      </c>
      <c r="M151" s="17" t="n">
        <v>1</v>
      </c>
      <c r="N151" s="17" t="n">
        <v>0</v>
      </c>
      <c r="O151" s="17" t="n">
        <v>0</v>
      </c>
      <c r="P151" s="17" t="n">
        <v>0</v>
      </c>
      <c r="Q151" s="17" t="n">
        <v>5</v>
      </c>
      <c r="R151" s="17" t="n">
        <v>1</v>
      </c>
      <c r="T151" s="17">
        <f>DAY(C151)</f>
        <v/>
      </c>
      <c r="U151" s="17">
        <f>MONTH(C151)</f>
        <v/>
      </c>
      <c r="V151" s="17" t="n">
        <v>2025</v>
      </c>
    </row>
    <row r="152" hidden="1" ht="22.5" customHeight="1" s="117">
      <c r="A152" s="14" t="n">
        <v>45981.28198722222</v>
      </c>
      <c r="B152" s="17" t="inlineStr">
        <is>
          <t>Huỳnh Văn Lực</t>
        </is>
      </c>
      <c r="C152" s="16" t="n">
        <v>45980</v>
      </c>
      <c r="D152" s="17" t="n">
        <v>0</v>
      </c>
      <c r="E152" s="17" t="n">
        <v>0</v>
      </c>
      <c r="F152" s="17" t="n">
        <v>0</v>
      </c>
      <c r="G152" s="17" t="n">
        <v>0</v>
      </c>
      <c r="H152" s="17" t="n">
        <v>0</v>
      </c>
      <c r="I152" s="17" t="n">
        <v>0</v>
      </c>
      <c r="J152" s="17" t="n">
        <v>0</v>
      </c>
      <c r="K152" s="17" t="n">
        <v>5</v>
      </c>
      <c r="L152" s="17" t="n">
        <v>0</v>
      </c>
      <c r="M152" s="17" t="n">
        <v>0</v>
      </c>
      <c r="N152" s="17" t="n">
        <v>0</v>
      </c>
      <c r="O152" s="17" t="n">
        <v>0</v>
      </c>
      <c r="P152" s="17" t="n">
        <v>0</v>
      </c>
      <c r="Q152" s="17" t="n">
        <v>0</v>
      </c>
      <c r="R152" s="17" t="n">
        <v>0</v>
      </c>
      <c r="T152" s="17">
        <f>DAY(C152)</f>
        <v/>
      </c>
      <c r="U152" s="17">
        <f>MONTH(C152)</f>
        <v/>
      </c>
      <c r="V152" s="17" t="n">
        <v>2025</v>
      </c>
    </row>
    <row r="153" hidden="1" ht="22.5" customHeight="1" s="117">
      <c r="A153" s="14" t="n">
        <v>45981.28292914352</v>
      </c>
      <c r="B153" s="17" t="inlineStr">
        <is>
          <t>Đặng Hoài Anh</t>
        </is>
      </c>
      <c r="C153" s="16" t="n">
        <v>45980</v>
      </c>
      <c r="D153" s="17" t="n">
        <v>0</v>
      </c>
      <c r="E153" s="17" t="n">
        <v>1</v>
      </c>
      <c r="F153" s="17" t="n">
        <v>0</v>
      </c>
      <c r="G153" s="17" t="n">
        <v>0</v>
      </c>
      <c r="H153" s="17" t="n">
        <v>0</v>
      </c>
      <c r="I153" s="17" t="n">
        <v>0</v>
      </c>
      <c r="J153" s="17" t="n">
        <v>0</v>
      </c>
      <c r="K153" s="17" t="n">
        <v>4</v>
      </c>
      <c r="L153" s="17" t="n">
        <v>0</v>
      </c>
      <c r="M153" s="17" t="n">
        <v>0</v>
      </c>
      <c r="N153" s="17" t="n">
        <v>0</v>
      </c>
      <c r="O153" s="17" t="n">
        <v>0</v>
      </c>
      <c r="P153" s="17" t="n">
        <v>1</v>
      </c>
      <c r="Q153" s="17" t="n">
        <v>0</v>
      </c>
      <c r="R153" s="17" t="n">
        <v>0</v>
      </c>
      <c r="T153" s="17">
        <f>DAY(C153)</f>
        <v/>
      </c>
      <c r="U153" s="17">
        <f>MONTH(C153)</f>
        <v/>
      </c>
      <c r="V153" s="17" t="n">
        <v>2025</v>
      </c>
    </row>
    <row r="154" hidden="1" ht="22.5" customHeight="1" s="117">
      <c r="A154" s="14" t="n">
        <v>45981.28585923611</v>
      </c>
      <c r="B154" s="17" t="inlineStr">
        <is>
          <t>Trần Trung Giang</t>
        </is>
      </c>
      <c r="C154" s="16" t="n">
        <v>45980</v>
      </c>
      <c r="D154" s="17" t="n">
        <v>0</v>
      </c>
      <c r="E154" s="17" t="n">
        <v>0</v>
      </c>
      <c r="F154" s="17" t="n">
        <v>0</v>
      </c>
      <c r="G154" s="17" t="n">
        <v>0</v>
      </c>
      <c r="H154" s="17" t="n">
        <v>0</v>
      </c>
      <c r="I154" s="17" t="n">
        <v>2</v>
      </c>
      <c r="J154" s="17" t="n">
        <v>1</v>
      </c>
      <c r="K154" s="17" t="n">
        <v>9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1</v>
      </c>
      <c r="Q154" s="17" t="n">
        <v>0</v>
      </c>
      <c r="R154" s="17" t="n">
        <v>0</v>
      </c>
      <c r="T154" s="17">
        <f>DAY(C154)</f>
        <v/>
      </c>
      <c r="U154" s="17">
        <f>MONTH(C154)</f>
        <v/>
      </c>
      <c r="V154" s="17" t="n">
        <v>2025</v>
      </c>
    </row>
    <row r="155" hidden="1" ht="22.5" customHeight="1" s="117">
      <c r="A155" s="14" t="n">
        <v>45981.29056884259</v>
      </c>
      <c r="B155" s="17" t="inlineStr">
        <is>
          <t>Hồ Xuân Việt</t>
        </is>
      </c>
      <c r="C155" s="16" t="n">
        <v>45980</v>
      </c>
      <c r="D155" s="17" t="n">
        <v>0</v>
      </c>
      <c r="E155" s="17" t="n">
        <v>0</v>
      </c>
      <c r="F155" s="17" t="n">
        <v>0</v>
      </c>
      <c r="G155" s="17" t="n">
        <v>0</v>
      </c>
      <c r="H155" s="17" t="n">
        <v>0</v>
      </c>
      <c r="I155" s="17" t="n">
        <v>1</v>
      </c>
      <c r="J155" s="17" t="n">
        <v>0</v>
      </c>
      <c r="K155" s="17" t="n">
        <v>8</v>
      </c>
      <c r="L155" s="17" t="n">
        <v>0</v>
      </c>
      <c r="M155" s="17" t="n">
        <v>0</v>
      </c>
      <c r="N155" s="17" t="n">
        <v>1</v>
      </c>
      <c r="O155" s="17" t="n">
        <v>0</v>
      </c>
      <c r="P155" s="17" t="n">
        <v>1</v>
      </c>
      <c r="Q155" s="17" t="n">
        <v>4</v>
      </c>
      <c r="R155" s="17" t="n">
        <v>0</v>
      </c>
      <c r="T155" s="17">
        <f>DAY(C155)</f>
        <v/>
      </c>
      <c r="U155" s="17">
        <f>MONTH(C155)</f>
        <v/>
      </c>
      <c r="V155" s="17" t="n">
        <v>2025</v>
      </c>
    </row>
    <row r="156" hidden="1" ht="22.5" customHeight="1" s="117">
      <c r="A156" s="14" t="n">
        <v>45981.30189376157</v>
      </c>
      <c r="B156" s="17" t="inlineStr">
        <is>
          <t>Phan Thành Thái</t>
        </is>
      </c>
      <c r="C156" s="16" t="n">
        <v>45980</v>
      </c>
      <c r="D156" s="17" t="n">
        <v>0</v>
      </c>
      <c r="E156" s="17" t="n">
        <v>0</v>
      </c>
      <c r="F156" s="17" t="n">
        <v>1</v>
      </c>
      <c r="G156" s="17" t="n">
        <v>0</v>
      </c>
      <c r="H156" s="17" t="n">
        <v>0</v>
      </c>
      <c r="I156" s="17" t="n">
        <v>2</v>
      </c>
      <c r="J156" s="17" t="n">
        <v>0</v>
      </c>
      <c r="K156" s="17" t="n">
        <v>24</v>
      </c>
      <c r="L156" s="17" t="n">
        <v>0</v>
      </c>
      <c r="M156" s="17" t="n">
        <v>2</v>
      </c>
      <c r="N156" s="17" t="n">
        <v>0</v>
      </c>
      <c r="O156" s="17" t="n">
        <v>0</v>
      </c>
      <c r="P156" s="17" t="n">
        <v>0</v>
      </c>
      <c r="Q156" s="17" t="n">
        <v>3</v>
      </c>
      <c r="R156" s="17" t="n">
        <v>0</v>
      </c>
      <c r="T156" s="17">
        <f>DAY(C156)</f>
        <v/>
      </c>
      <c r="U156" s="17">
        <f>MONTH(C156)</f>
        <v/>
      </c>
      <c r="V156" s="17" t="n">
        <v>2025</v>
      </c>
    </row>
    <row r="157" hidden="1" ht="22.5" customHeight="1" s="117">
      <c r="A157" s="14" t="n">
        <v>45981.30328597222</v>
      </c>
      <c r="B157" s="17" t="inlineStr">
        <is>
          <t>Trần Xuân Khoa</t>
        </is>
      </c>
      <c r="C157" s="16" t="n">
        <v>45980</v>
      </c>
      <c r="D157" s="17" t="n">
        <v>0</v>
      </c>
      <c r="E157" s="17" t="n">
        <v>0</v>
      </c>
      <c r="F157" s="17" t="n">
        <v>0</v>
      </c>
      <c r="G157" s="17" t="n">
        <v>0</v>
      </c>
      <c r="H157" s="17" t="n">
        <v>0</v>
      </c>
      <c r="I157" s="17" t="n">
        <v>1</v>
      </c>
      <c r="J157" s="17" t="n">
        <v>0</v>
      </c>
      <c r="K157" s="17" t="n">
        <v>4</v>
      </c>
      <c r="L157" s="17" t="n">
        <v>0</v>
      </c>
      <c r="M157" s="17" t="n">
        <v>0</v>
      </c>
      <c r="N157" s="17" t="n">
        <v>2</v>
      </c>
      <c r="O157" s="17" t="n">
        <v>0</v>
      </c>
      <c r="P157" s="17" t="n">
        <v>4</v>
      </c>
      <c r="Q157" s="17" t="n">
        <v>4</v>
      </c>
      <c r="R157" s="17" t="n">
        <v>0</v>
      </c>
      <c r="T157" s="17">
        <f>DAY(C157)</f>
        <v/>
      </c>
      <c r="U157" s="17">
        <f>MONTH(C157)</f>
        <v/>
      </c>
      <c r="V157" s="17" t="n">
        <v>2025</v>
      </c>
    </row>
    <row r="158" hidden="1" ht="22.5" customHeight="1" s="117">
      <c r="A158" s="14" t="n">
        <v>45981.30476024305</v>
      </c>
      <c r="B158" s="17" t="inlineStr">
        <is>
          <t>Lương Duy Hoàng</t>
        </is>
      </c>
      <c r="C158" s="16" t="n">
        <v>45980</v>
      </c>
      <c r="D158" s="17" t="n">
        <v>1</v>
      </c>
      <c r="E158" s="17" t="n">
        <v>0</v>
      </c>
      <c r="F158" s="17" t="n">
        <v>0</v>
      </c>
      <c r="G158" s="17" t="n">
        <v>0</v>
      </c>
      <c r="H158" s="17" t="n">
        <v>0</v>
      </c>
      <c r="I158" s="17" t="n">
        <v>1</v>
      </c>
      <c r="J158" s="17" t="n">
        <v>0</v>
      </c>
      <c r="K158" s="17" t="n">
        <v>3</v>
      </c>
      <c r="L158" s="17" t="n">
        <v>0</v>
      </c>
      <c r="M158" s="17" t="n">
        <v>1</v>
      </c>
      <c r="N158" s="17" t="n">
        <v>0</v>
      </c>
      <c r="O158" s="17" t="n">
        <v>0</v>
      </c>
      <c r="P158" s="17" t="n">
        <v>0</v>
      </c>
      <c r="Q158" s="17" t="n">
        <v>4</v>
      </c>
      <c r="R158" s="17" t="n">
        <v>0</v>
      </c>
      <c r="T158" s="17">
        <f>DAY(C158)</f>
        <v/>
      </c>
      <c r="U158" s="17">
        <f>MONTH(C158)</f>
        <v/>
      </c>
      <c r="V158" s="17" t="n">
        <v>2025</v>
      </c>
    </row>
    <row r="159" hidden="1" ht="22.5" customHeight="1" s="117">
      <c r="A159" s="14" t="n">
        <v>45981.30657025463</v>
      </c>
      <c r="B159" s="17" t="inlineStr">
        <is>
          <t>Nguyễn Tuấn Anh</t>
        </is>
      </c>
      <c r="C159" s="16" t="n">
        <v>45980</v>
      </c>
      <c r="D159" s="17" t="n">
        <v>0</v>
      </c>
      <c r="E159" s="17" t="n">
        <v>0</v>
      </c>
      <c r="F159" s="17" t="n">
        <v>0</v>
      </c>
      <c r="G159" s="17" t="n">
        <v>0</v>
      </c>
      <c r="H159" s="17" t="n">
        <v>0</v>
      </c>
      <c r="I159" s="17" t="n">
        <v>3</v>
      </c>
      <c r="J159" s="17" t="n">
        <v>2</v>
      </c>
      <c r="K159" s="17" t="n">
        <v>19</v>
      </c>
      <c r="L159" s="17" t="n">
        <v>0</v>
      </c>
      <c r="M159" s="17" t="n">
        <v>0</v>
      </c>
      <c r="N159" s="17" t="n">
        <v>1</v>
      </c>
      <c r="O159" s="17" t="n">
        <v>0</v>
      </c>
      <c r="P159" s="17" t="n">
        <v>0</v>
      </c>
      <c r="Q159" s="17" t="n">
        <v>4</v>
      </c>
      <c r="R159" s="17" t="n">
        <v>0</v>
      </c>
      <c r="T159" s="17">
        <f>DAY(C159)</f>
        <v/>
      </c>
      <c r="U159" s="17">
        <f>MONTH(C159)</f>
        <v/>
      </c>
      <c r="V159" s="17" t="n">
        <v>2025</v>
      </c>
    </row>
    <row r="160" hidden="1" ht="22.5" customHeight="1" s="117">
      <c r="A160" s="14" t="n">
        <v>45981.31696585648</v>
      </c>
      <c r="B160" s="17" t="inlineStr">
        <is>
          <t>Nguyễn Thành Lâm</t>
        </is>
      </c>
      <c r="C160" s="16" t="n">
        <v>45980</v>
      </c>
      <c r="D160" s="17" t="n">
        <v>0</v>
      </c>
      <c r="E160" s="17" t="n">
        <v>0</v>
      </c>
      <c r="F160" s="17" t="n">
        <v>0</v>
      </c>
      <c r="G160" s="17" t="n">
        <v>0</v>
      </c>
      <c r="H160" s="17" t="n">
        <v>0</v>
      </c>
      <c r="I160" s="17" t="n">
        <v>1</v>
      </c>
      <c r="J160" s="17" t="n">
        <v>0</v>
      </c>
      <c r="K160" s="17" t="n">
        <v>11</v>
      </c>
      <c r="L160" s="17" t="n">
        <v>0</v>
      </c>
      <c r="M160" s="17" t="n">
        <v>0</v>
      </c>
      <c r="N160" s="17" t="n">
        <v>0</v>
      </c>
      <c r="O160" s="17" t="n">
        <v>0</v>
      </c>
      <c r="P160" s="17" t="n">
        <v>0</v>
      </c>
      <c r="Q160" s="17" t="n">
        <v>2</v>
      </c>
      <c r="R160" s="17" t="n">
        <v>1</v>
      </c>
      <c r="T160" s="17">
        <f>DAY(C160)</f>
        <v/>
      </c>
      <c r="U160" s="17">
        <f>MONTH(C160)</f>
        <v/>
      </c>
      <c r="V160" s="17" t="n">
        <v>2025</v>
      </c>
    </row>
    <row r="161" hidden="1" ht="22.5" customHeight="1" s="117">
      <c r="A161" s="14" t="n">
        <v>45981.32061491898</v>
      </c>
      <c r="B161" s="17" t="inlineStr">
        <is>
          <t>Bùi Duy Cường</t>
        </is>
      </c>
      <c r="C161" s="16" t="n">
        <v>45980</v>
      </c>
      <c r="D161" s="17" t="n">
        <v>0</v>
      </c>
      <c r="E161" s="17" t="n">
        <v>0</v>
      </c>
      <c r="F161" s="17" t="n">
        <v>0</v>
      </c>
      <c r="G161" s="17" t="n">
        <v>0</v>
      </c>
      <c r="H161" s="17" t="n">
        <v>0</v>
      </c>
      <c r="I161" s="17" t="n">
        <v>0</v>
      </c>
      <c r="J161" s="17" t="n">
        <v>0</v>
      </c>
      <c r="K161" s="17" t="n">
        <v>0</v>
      </c>
      <c r="L161" s="17" t="n">
        <v>18</v>
      </c>
      <c r="M161" s="17" t="n">
        <v>0</v>
      </c>
      <c r="N161" s="17" t="n">
        <v>0</v>
      </c>
      <c r="O161" s="17" t="n">
        <v>0</v>
      </c>
      <c r="P161" s="17" t="n">
        <v>1</v>
      </c>
      <c r="Q161" s="17" t="n">
        <v>1</v>
      </c>
      <c r="R161" s="17" t="n">
        <v>0</v>
      </c>
      <c r="T161" s="17">
        <f>DAY(C161)</f>
        <v/>
      </c>
      <c r="U161" s="17">
        <f>MONTH(C161)</f>
        <v/>
      </c>
      <c r="V161" s="17" t="n">
        <v>2025</v>
      </c>
    </row>
    <row r="162" hidden="1" ht="22.5" customHeight="1" s="117">
      <c r="A162" s="14" t="n">
        <v>45981.32067902778</v>
      </c>
      <c r="B162" s="17" t="inlineStr">
        <is>
          <t>Hồ Thái Minh Trí</t>
        </is>
      </c>
      <c r="C162" s="16" t="n">
        <v>45980</v>
      </c>
      <c r="D162" s="17" t="n">
        <v>0</v>
      </c>
      <c r="E162" s="17" t="n">
        <v>0</v>
      </c>
      <c r="F162" s="17" t="n">
        <v>0</v>
      </c>
      <c r="G162" s="17" t="n">
        <v>0</v>
      </c>
      <c r="H162" s="17" t="n">
        <v>0</v>
      </c>
      <c r="I162" s="17" t="n">
        <v>0</v>
      </c>
      <c r="J162" s="17" t="n">
        <v>0</v>
      </c>
      <c r="K162" s="17" t="n">
        <v>25</v>
      </c>
      <c r="L162" s="17" t="n">
        <v>0</v>
      </c>
      <c r="M162" s="17" t="n">
        <v>1</v>
      </c>
      <c r="N162" s="17" t="n">
        <v>0</v>
      </c>
      <c r="O162" s="17" t="n">
        <v>0</v>
      </c>
      <c r="P162" s="17" t="n">
        <v>0</v>
      </c>
      <c r="Q162" s="17" t="n">
        <v>1</v>
      </c>
      <c r="R162" s="17" t="n">
        <v>0</v>
      </c>
      <c r="T162" s="17">
        <f>DAY(C162)</f>
        <v/>
      </c>
      <c r="U162" s="17">
        <f>MONTH(C162)</f>
        <v/>
      </c>
      <c r="V162" s="17" t="n">
        <v>2025</v>
      </c>
    </row>
    <row r="163" hidden="1" ht="22.5" customHeight="1" s="117">
      <c r="A163" s="14" t="n">
        <v>45981.32098111111</v>
      </c>
      <c r="B163" s="17" t="inlineStr">
        <is>
          <t>Dương Minh Tiến</t>
        </is>
      </c>
      <c r="C163" s="16" t="n">
        <v>45980</v>
      </c>
      <c r="D163" s="17" t="n">
        <v>0</v>
      </c>
      <c r="E163" s="17" t="n">
        <v>0</v>
      </c>
      <c r="F163" s="17" t="n">
        <v>0</v>
      </c>
      <c r="G163" s="17" t="n">
        <v>0</v>
      </c>
      <c r="H163" s="17" t="n">
        <v>0</v>
      </c>
      <c r="I163" s="17" t="n">
        <v>0</v>
      </c>
      <c r="J163" s="17" t="n">
        <v>0</v>
      </c>
      <c r="K163" s="17" t="n">
        <v>10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1</v>
      </c>
      <c r="Q163" s="17" t="n">
        <v>2</v>
      </c>
      <c r="R163" s="17" t="n">
        <v>0</v>
      </c>
      <c r="T163" s="17">
        <f>DAY(C163)</f>
        <v/>
      </c>
      <c r="U163" s="17">
        <f>MONTH(C163)</f>
        <v/>
      </c>
      <c r="V163" s="17" t="n">
        <v>2025</v>
      </c>
    </row>
    <row r="164" hidden="1" ht="22.5" customHeight="1" s="117">
      <c r="A164" s="14" t="n">
        <v>45981.32098704861</v>
      </c>
      <c r="B164" s="17" t="inlineStr">
        <is>
          <t>Lương Duy Hải</t>
        </is>
      </c>
      <c r="C164" s="16" t="n">
        <v>45980</v>
      </c>
      <c r="D164" s="17" t="n">
        <v>0</v>
      </c>
      <c r="E164" s="17" t="n">
        <v>0</v>
      </c>
      <c r="F164" s="17" t="n">
        <v>0</v>
      </c>
      <c r="G164" s="17" t="n">
        <v>0</v>
      </c>
      <c r="H164" s="17" t="n">
        <v>0</v>
      </c>
      <c r="I164" s="17" t="n">
        <v>0</v>
      </c>
      <c r="J164" s="17" t="n">
        <v>0</v>
      </c>
      <c r="K164" s="17" t="n">
        <v>4</v>
      </c>
      <c r="L164" s="17" t="n">
        <v>0</v>
      </c>
      <c r="M164" s="17" t="n">
        <v>1</v>
      </c>
      <c r="N164" s="17" t="n">
        <v>0</v>
      </c>
      <c r="O164" s="17" t="n">
        <v>0</v>
      </c>
      <c r="P164" s="17" t="n">
        <v>1</v>
      </c>
      <c r="Q164" s="17" t="n">
        <v>3</v>
      </c>
      <c r="R164" s="17" t="n">
        <v>0</v>
      </c>
      <c r="T164" s="17">
        <f>DAY(C164)</f>
        <v/>
      </c>
      <c r="U164" s="17">
        <f>MONTH(C164)</f>
        <v/>
      </c>
      <c r="V164" s="17" t="n">
        <v>2025</v>
      </c>
    </row>
    <row r="165" hidden="1" ht="22.5" customHeight="1" s="117">
      <c r="A165" s="14" t="n">
        <v>45981.32177423611</v>
      </c>
      <c r="B165" s="17" t="inlineStr">
        <is>
          <t>Lê Hồng Phong</t>
        </is>
      </c>
      <c r="C165" s="16" t="n">
        <v>45981</v>
      </c>
      <c r="D165" s="17" t="n">
        <v>1</v>
      </c>
      <c r="E165" s="17" t="n">
        <v>1</v>
      </c>
      <c r="F165" s="17" t="n">
        <v>1</v>
      </c>
      <c r="G165" s="17" t="n">
        <v>0</v>
      </c>
      <c r="H165" s="17" t="n">
        <v>0</v>
      </c>
      <c r="I165" s="17" t="n">
        <v>1</v>
      </c>
      <c r="J165" s="17" t="n">
        <v>1</v>
      </c>
      <c r="K165" s="17" t="n">
        <v>1</v>
      </c>
      <c r="L165" s="17" t="n">
        <v>1</v>
      </c>
      <c r="M165" s="17" t="n">
        <v>1</v>
      </c>
      <c r="N165" s="17" t="n">
        <v>1</v>
      </c>
      <c r="O165" s="17" t="n">
        <v>1</v>
      </c>
      <c r="P165" s="17" t="n">
        <v>1</v>
      </c>
      <c r="Q165" s="17" t="n">
        <v>1</v>
      </c>
      <c r="R165" s="17" t="n">
        <v>1</v>
      </c>
      <c r="T165" s="17">
        <f>DAY(C165)</f>
        <v/>
      </c>
      <c r="U165" s="17">
        <f>MONTH(C165)</f>
        <v/>
      </c>
      <c r="V165" s="17" t="n">
        <v>2025</v>
      </c>
    </row>
    <row r="166" hidden="1" ht="22.5" customHeight="1" s="117">
      <c r="A166" s="14" t="n">
        <v>45981.32796133102</v>
      </c>
      <c r="B166" s="17" t="inlineStr">
        <is>
          <t>Vòng Nhật Sang</t>
        </is>
      </c>
      <c r="C166" s="16" t="n">
        <v>45980</v>
      </c>
      <c r="D166" s="17" t="n">
        <v>0</v>
      </c>
      <c r="E166" s="17" t="n">
        <v>0</v>
      </c>
      <c r="F166" s="17" t="n">
        <v>0</v>
      </c>
      <c r="G166" s="17" t="n">
        <v>0</v>
      </c>
      <c r="H166" s="17" t="n">
        <v>0</v>
      </c>
      <c r="I166" s="17" t="n">
        <v>0</v>
      </c>
      <c r="J166" s="17" t="n">
        <v>0</v>
      </c>
      <c r="K166" s="17" t="n">
        <v>7</v>
      </c>
      <c r="L166" s="17" t="n">
        <v>0</v>
      </c>
      <c r="M166" s="17" t="n">
        <v>0</v>
      </c>
      <c r="N166" s="17" t="n">
        <v>0</v>
      </c>
      <c r="O166" s="17" t="n">
        <v>0</v>
      </c>
      <c r="P166" s="17" t="n">
        <v>2</v>
      </c>
      <c r="Q166" s="17" t="n">
        <v>2</v>
      </c>
      <c r="R166" s="17" t="n">
        <v>0</v>
      </c>
      <c r="T166" s="17">
        <f>DAY(C166)</f>
        <v/>
      </c>
      <c r="U166" s="17">
        <f>MONTH(C166)</f>
        <v/>
      </c>
      <c r="V166" s="17" t="n">
        <v>2025</v>
      </c>
    </row>
    <row r="167" hidden="1" ht="22.5" customHeight="1" s="117">
      <c r="A167" s="14" t="n">
        <v>45981.3282349537</v>
      </c>
      <c r="B167" s="17" t="inlineStr">
        <is>
          <t>Nguyễn Quang Anh Tuấn</t>
        </is>
      </c>
      <c r="C167" s="16" t="n">
        <v>45980</v>
      </c>
      <c r="D167" s="17" t="n">
        <v>2</v>
      </c>
      <c r="E167" s="17" t="n">
        <v>1</v>
      </c>
      <c r="F167" s="17" t="n">
        <v>0</v>
      </c>
      <c r="G167" s="17" t="n">
        <v>0</v>
      </c>
      <c r="H167" s="17" t="n">
        <v>0</v>
      </c>
      <c r="I167" s="17" t="n">
        <v>0</v>
      </c>
      <c r="J167" s="17" t="n">
        <v>0</v>
      </c>
      <c r="K167" s="17" t="n">
        <v>1</v>
      </c>
      <c r="L167" s="17" t="n">
        <v>0</v>
      </c>
      <c r="M167" s="17" t="n">
        <v>0</v>
      </c>
      <c r="N167" s="17" t="n">
        <v>1</v>
      </c>
      <c r="O167" s="17" t="n">
        <v>0</v>
      </c>
      <c r="P167" s="17" t="n">
        <v>0</v>
      </c>
      <c r="Q167" s="17" t="n">
        <v>2</v>
      </c>
      <c r="R167" s="17" t="n">
        <v>0</v>
      </c>
      <c r="T167" s="17">
        <f>DAY(C167)</f>
        <v/>
      </c>
      <c r="U167" s="17">
        <f>MONTH(C167)</f>
        <v/>
      </c>
      <c r="V167" s="17" t="n">
        <v>2025</v>
      </c>
    </row>
    <row r="168" hidden="1" ht="22.5" customHeight="1" s="117">
      <c r="A168" s="14" t="n">
        <v>45981.35447193287</v>
      </c>
      <c r="B168" s="17" t="inlineStr">
        <is>
          <t>Đào Công Trung</t>
        </is>
      </c>
      <c r="C168" s="16" t="n">
        <v>45980</v>
      </c>
      <c r="D168" s="17" t="n">
        <v>0</v>
      </c>
      <c r="E168" s="17" t="n">
        <v>0</v>
      </c>
      <c r="F168" s="17" t="n">
        <v>0</v>
      </c>
      <c r="G168" s="17" t="n">
        <v>0</v>
      </c>
      <c r="H168" s="17" t="n">
        <v>0</v>
      </c>
      <c r="I168" s="17" t="n">
        <v>0</v>
      </c>
      <c r="J168" s="17" t="n">
        <v>0</v>
      </c>
      <c r="K168" s="17" t="n">
        <v>4</v>
      </c>
      <c r="L168" s="17" t="n">
        <v>0</v>
      </c>
      <c r="M168" s="17" t="n">
        <v>0</v>
      </c>
      <c r="N168" s="17" t="n">
        <v>0</v>
      </c>
      <c r="O168" s="17" t="n">
        <v>0</v>
      </c>
      <c r="P168" s="17" t="n">
        <v>0</v>
      </c>
      <c r="Q168" s="17" t="n">
        <v>1</v>
      </c>
      <c r="R168" s="17" t="n">
        <v>0</v>
      </c>
      <c r="T168" s="17">
        <f>DAY(C168)</f>
        <v/>
      </c>
      <c r="U168" s="17">
        <f>MONTH(C168)</f>
        <v/>
      </c>
      <c r="V168" s="17" t="n">
        <v>2025</v>
      </c>
    </row>
    <row r="169" hidden="1" ht="22.5" customHeight="1" s="117">
      <c r="A169" s="14" t="n">
        <v>45981.36373869213</v>
      </c>
      <c r="B169" s="17" t="inlineStr">
        <is>
          <t>Nguyễn Hồng Minh</t>
        </is>
      </c>
      <c r="C169" s="16" t="n">
        <v>45980</v>
      </c>
      <c r="D169" s="17" t="n">
        <v>0</v>
      </c>
      <c r="E169" s="17" t="n">
        <v>0</v>
      </c>
      <c r="F169" s="17" t="n">
        <v>0</v>
      </c>
      <c r="G169" s="17" t="n">
        <v>0</v>
      </c>
      <c r="H169" s="17" t="n">
        <v>1</v>
      </c>
      <c r="I169" s="17" t="n">
        <v>1</v>
      </c>
      <c r="J169" s="17" t="n">
        <v>0</v>
      </c>
      <c r="K169" s="17" t="n">
        <v>9</v>
      </c>
      <c r="L169" s="17" t="n">
        <v>0</v>
      </c>
      <c r="M169" s="17" t="n">
        <v>0</v>
      </c>
      <c r="N169" s="17" t="n">
        <v>0</v>
      </c>
      <c r="O169" s="17" t="n">
        <v>0</v>
      </c>
      <c r="P169" s="17" t="n">
        <v>0</v>
      </c>
      <c r="Q169" s="17" t="n">
        <v>5</v>
      </c>
      <c r="R169" s="17" t="n">
        <v>0</v>
      </c>
      <c r="T169" s="17">
        <f>DAY(C169)</f>
        <v/>
      </c>
      <c r="U169" s="17">
        <f>MONTH(C169)</f>
        <v/>
      </c>
      <c r="V169" s="17" t="n">
        <v>2025</v>
      </c>
    </row>
    <row r="170" hidden="1" ht="22.5" customHeight="1" s="117">
      <c r="A170" s="14" t="n">
        <v>45981.42997649305</v>
      </c>
      <c r="B170" s="17" t="inlineStr">
        <is>
          <t>Nguyễn Văn Nhật</t>
        </is>
      </c>
      <c r="C170" s="16" t="n">
        <v>45980</v>
      </c>
      <c r="D170" s="17" t="n">
        <v>2</v>
      </c>
      <c r="E170" s="17" t="n">
        <v>0</v>
      </c>
      <c r="F170" s="17" t="n">
        <v>0</v>
      </c>
      <c r="G170" s="17" t="n">
        <v>1</v>
      </c>
      <c r="H170" s="17" t="n">
        <v>0</v>
      </c>
      <c r="I170" s="17" t="n">
        <v>0</v>
      </c>
      <c r="J170" s="17" t="n">
        <v>0</v>
      </c>
      <c r="K170" s="17" t="n">
        <v>10</v>
      </c>
      <c r="L170" s="17" t="n">
        <v>0</v>
      </c>
      <c r="M170" s="17" t="n">
        <v>2</v>
      </c>
      <c r="N170" s="17" t="n">
        <v>0</v>
      </c>
      <c r="O170" s="17" t="n">
        <v>1</v>
      </c>
      <c r="P170" s="17" t="n">
        <v>1</v>
      </c>
      <c r="Q170" s="17" t="n">
        <v>2</v>
      </c>
      <c r="R170" s="17" t="n">
        <v>0</v>
      </c>
      <c r="T170" s="17">
        <f>DAY(C170)</f>
        <v/>
      </c>
      <c r="U170" s="17">
        <f>MONTH(C170)</f>
        <v/>
      </c>
      <c r="V170" s="17" t="n">
        <v>2025</v>
      </c>
    </row>
    <row r="171" hidden="1" ht="22.5" customHeight="1" s="117">
      <c r="A171" s="14" t="n">
        <v>45981.87947021991</v>
      </c>
      <c r="B171" s="17" t="inlineStr">
        <is>
          <t>Lê Quốc Duy</t>
        </is>
      </c>
      <c r="C171" s="16" t="n">
        <v>45981</v>
      </c>
      <c r="D171" s="17" t="n">
        <v>0</v>
      </c>
      <c r="E171" s="17" t="n">
        <v>0</v>
      </c>
      <c r="F171" s="17" t="n">
        <v>0</v>
      </c>
      <c r="G171" s="17" t="n">
        <v>0</v>
      </c>
      <c r="H171" s="17" t="n">
        <v>0</v>
      </c>
      <c r="I171" s="17" t="n">
        <v>0</v>
      </c>
      <c r="J171" s="17" t="n">
        <v>0</v>
      </c>
      <c r="K171" s="17" t="n">
        <v>14</v>
      </c>
      <c r="L171" s="17" t="n">
        <v>0</v>
      </c>
      <c r="M171" s="17" t="n">
        <v>1</v>
      </c>
      <c r="N171" s="17" t="n">
        <v>0</v>
      </c>
      <c r="O171" s="17" t="n">
        <v>0</v>
      </c>
      <c r="P171" s="17" t="n">
        <v>1</v>
      </c>
      <c r="Q171" s="17" t="n">
        <v>6</v>
      </c>
      <c r="R171" s="17" t="n">
        <v>0</v>
      </c>
      <c r="T171" s="17">
        <f>DAY(C171)</f>
        <v/>
      </c>
      <c r="U171" s="17">
        <f>MONTH(C171)</f>
        <v/>
      </c>
      <c r="V171" s="17" t="n">
        <v>2025</v>
      </c>
    </row>
    <row r="172" hidden="1" ht="22.5" customHeight="1" s="117">
      <c r="A172" s="14" t="n">
        <v>45982.27819350694</v>
      </c>
      <c r="B172" s="17" t="inlineStr">
        <is>
          <t>Trần Xuân Khoa</t>
        </is>
      </c>
      <c r="C172" s="16" t="n">
        <v>45981</v>
      </c>
      <c r="D172" s="17" t="n">
        <v>0</v>
      </c>
      <c r="E172" s="17" t="n">
        <v>0</v>
      </c>
      <c r="F172" s="17" t="n">
        <v>0</v>
      </c>
      <c r="G172" s="17" t="n">
        <v>0</v>
      </c>
      <c r="H172" s="17" t="n">
        <v>0</v>
      </c>
      <c r="I172" s="17" t="n">
        <v>0</v>
      </c>
      <c r="J172" s="17" t="n">
        <v>0</v>
      </c>
      <c r="K172" s="17" t="n">
        <v>15</v>
      </c>
      <c r="L172" s="17" t="n">
        <v>0</v>
      </c>
      <c r="M172" s="17" t="n">
        <v>0</v>
      </c>
      <c r="N172" s="17" t="n">
        <v>0</v>
      </c>
      <c r="O172" s="17" t="n">
        <v>0</v>
      </c>
      <c r="P172" s="17" t="n">
        <v>1</v>
      </c>
      <c r="Q172" s="17" t="n">
        <v>3</v>
      </c>
      <c r="R172" s="17" t="n">
        <v>0</v>
      </c>
      <c r="T172" s="17">
        <f>DAY(C172)</f>
        <v/>
      </c>
      <c r="U172" s="17">
        <f>MONTH(C172)</f>
        <v/>
      </c>
      <c r="V172" s="17" t="n">
        <v>2025</v>
      </c>
    </row>
    <row r="173" hidden="1" ht="22.5" customHeight="1" s="117">
      <c r="A173" s="14" t="n">
        <v>45982.28647582176</v>
      </c>
      <c r="B173" s="17" t="inlineStr">
        <is>
          <t>Phan Ngọc Sang</t>
        </is>
      </c>
      <c r="C173" s="16" t="n">
        <v>45981</v>
      </c>
      <c r="D173" s="17" t="n">
        <v>0</v>
      </c>
      <c r="E173" s="17" t="n">
        <v>1</v>
      </c>
      <c r="F173" s="17" t="n">
        <v>0</v>
      </c>
      <c r="G173" s="17" t="n">
        <v>0</v>
      </c>
      <c r="H173" s="17" t="n">
        <v>0</v>
      </c>
      <c r="I173" s="17" t="n">
        <v>0</v>
      </c>
      <c r="J173" s="17" t="n">
        <v>0</v>
      </c>
      <c r="K173" s="17" t="n">
        <v>8</v>
      </c>
      <c r="L173" s="17" t="n">
        <v>0</v>
      </c>
      <c r="M173" s="17" t="n">
        <v>1</v>
      </c>
      <c r="N173" s="17" t="n">
        <v>0</v>
      </c>
      <c r="O173" s="17" t="n">
        <v>0</v>
      </c>
      <c r="P173" s="17" t="n">
        <v>1</v>
      </c>
      <c r="Q173" s="17" t="n">
        <v>3</v>
      </c>
      <c r="R173" s="17" t="n">
        <v>0</v>
      </c>
      <c r="T173" s="17">
        <f>DAY(C173)</f>
        <v/>
      </c>
      <c r="U173" s="17">
        <f>MONTH(C173)</f>
        <v/>
      </c>
      <c r="V173" s="17" t="n">
        <v>2025</v>
      </c>
    </row>
    <row r="174" hidden="1" ht="22.5" customHeight="1" s="117">
      <c r="A174" s="14" t="n">
        <v>45982.29271143518</v>
      </c>
      <c r="B174" s="17" t="inlineStr">
        <is>
          <t>Vòng Nhật Sang</t>
        </is>
      </c>
      <c r="C174" s="16" t="n">
        <v>45981</v>
      </c>
      <c r="D174" s="17" t="n">
        <v>1</v>
      </c>
      <c r="E174" s="17" t="n">
        <v>0</v>
      </c>
      <c r="F174" s="17" t="n">
        <v>0</v>
      </c>
      <c r="G174" s="17" t="n">
        <v>0</v>
      </c>
      <c r="H174" s="17" t="n">
        <v>0</v>
      </c>
      <c r="I174" s="17" t="n">
        <v>0</v>
      </c>
      <c r="J174" s="17" t="n">
        <v>0</v>
      </c>
      <c r="K174" s="17" t="n">
        <v>1</v>
      </c>
      <c r="L174" s="17" t="n">
        <v>0</v>
      </c>
      <c r="M174" s="17" t="n">
        <v>1</v>
      </c>
      <c r="N174" s="17" t="n">
        <v>0</v>
      </c>
      <c r="O174" s="17" t="n">
        <v>0</v>
      </c>
      <c r="P174" s="17" t="n">
        <v>1</v>
      </c>
      <c r="Q174" s="17" t="n">
        <v>2</v>
      </c>
      <c r="R174" s="17" t="n">
        <v>0</v>
      </c>
      <c r="T174" s="17">
        <f>DAY(C174)</f>
        <v/>
      </c>
      <c r="U174" s="17">
        <f>MONTH(C174)</f>
        <v/>
      </c>
      <c r="V174" s="17" t="n">
        <v>2025</v>
      </c>
    </row>
    <row r="175" hidden="1" ht="22.5" customHeight="1" s="117">
      <c r="A175" s="14" t="n">
        <v>45982.29476913194</v>
      </c>
      <c r="B175" s="17" t="inlineStr">
        <is>
          <t>Hồ Xuân Việt</t>
        </is>
      </c>
      <c r="C175" s="16" t="n">
        <v>45981</v>
      </c>
      <c r="D175" s="17" t="n">
        <v>0</v>
      </c>
      <c r="E175" s="17" t="n">
        <v>0</v>
      </c>
      <c r="F175" s="17" t="n">
        <v>0</v>
      </c>
      <c r="G175" s="17" t="n">
        <v>0</v>
      </c>
      <c r="H175" s="17" t="n">
        <v>0</v>
      </c>
      <c r="I175" s="17" t="n">
        <v>1</v>
      </c>
      <c r="J175" s="17" t="n">
        <v>0</v>
      </c>
      <c r="K175" s="17" t="n">
        <v>10</v>
      </c>
      <c r="L175" s="17" t="n">
        <v>0</v>
      </c>
      <c r="M175" s="17" t="n">
        <v>0</v>
      </c>
      <c r="N175" s="17" t="n">
        <v>1</v>
      </c>
      <c r="O175" s="17" t="n">
        <v>0</v>
      </c>
      <c r="P175" s="17" t="n">
        <v>1</v>
      </c>
      <c r="Q175" s="17" t="n">
        <v>5</v>
      </c>
      <c r="R175" s="17" t="n">
        <v>0</v>
      </c>
      <c r="T175" s="17">
        <f>DAY(C175)</f>
        <v/>
      </c>
      <c r="U175" s="17">
        <f>MONTH(C175)</f>
        <v/>
      </c>
      <c r="V175" s="17" t="n">
        <v>2025</v>
      </c>
    </row>
    <row r="176" hidden="1" ht="22.5" customHeight="1" s="117">
      <c r="A176" s="14" t="n">
        <v>45982.29499328704</v>
      </c>
      <c r="B176" s="17" t="inlineStr">
        <is>
          <t>Nguyễn Văn Hiệp</t>
        </is>
      </c>
      <c r="C176" s="16" t="n">
        <v>45981</v>
      </c>
      <c r="D176" s="17" t="n">
        <v>0</v>
      </c>
      <c r="E176" s="17" t="n">
        <v>1</v>
      </c>
      <c r="F176" s="17" t="n">
        <v>0</v>
      </c>
      <c r="G176" s="17" t="n">
        <v>0</v>
      </c>
      <c r="H176" s="17" t="n">
        <v>0</v>
      </c>
      <c r="I176" s="17" t="n">
        <v>0</v>
      </c>
      <c r="J176" s="17" t="n">
        <v>0</v>
      </c>
      <c r="K176" s="17" t="n">
        <v>4</v>
      </c>
      <c r="L176" s="17" t="n">
        <v>0</v>
      </c>
      <c r="M176" s="17" t="n">
        <v>1</v>
      </c>
      <c r="N176" s="17" t="n">
        <v>0</v>
      </c>
      <c r="O176" s="17" t="n">
        <v>0</v>
      </c>
      <c r="P176" s="17" t="n">
        <v>0</v>
      </c>
      <c r="Q176" s="17" t="n">
        <v>0</v>
      </c>
      <c r="R176" s="17" t="n">
        <v>0</v>
      </c>
      <c r="T176" s="17">
        <f>DAY(C176)</f>
        <v/>
      </c>
      <c r="U176" s="17">
        <f>MONTH(C176)</f>
        <v/>
      </c>
      <c r="V176" s="17" t="n">
        <v>2025</v>
      </c>
    </row>
    <row r="177" hidden="1" ht="22.5" customHeight="1" s="117">
      <c r="A177" s="14" t="n">
        <v>45982.29975453704</v>
      </c>
      <c r="B177" s="17" t="inlineStr">
        <is>
          <t>Nguyễn Văn Hiệp</t>
        </is>
      </c>
      <c r="C177" s="16" t="n">
        <v>45981</v>
      </c>
      <c r="D177" s="17" t="n">
        <v>0</v>
      </c>
      <c r="E177" s="17" t="n">
        <v>1</v>
      </c>
      <c r="F177" s="17" t="n">
        <v>0</v>
      </c>
      <c r="G177" s="17" t="n">
        <v>0</v>
      </c>
      <c r="H177" s="17" t="n">
        <v>0</v>
      </c>
      <c r="I177" s="17" t="n">
        <v>1</v>
      </c>
      <c r="J177" s="17" t="n">
        <v>0</v>
      </c>
      <c r="K177" s="17" t="n">
        <v>4</v>
      </c>
      <c r="L177" s="17" t="n">
        <v>0</v>
      </c>
      <c r="M177" s="17" t="n">
        <v>1</v>
      </c>
      <c r="N177" s="17" t="n">
        <v>0</v>
      </c>
      <c r="O177" s="17" t="n">
        <v>0</v>
      </c>
      <c r="P177" s="17" t="n">
        <v>0</v>
      </c>
      <c r="Q177" s="17" t="n">
        <v>0</v>
      </c>
      <c r="R177" s="17" t="n">
        <v>0</v>
      </c>
      <c r="T177" s="17">
        <f>DAY(C177)</f>
        <v/>
      </c>
      <c r="U177" s="17">
        <f>MONTH(C177)</f>
        <v/>
      </c>
      <c r="V177" s="17" t="n">
        <v>2025</v>
      </c>
    </row>
    <row r="178" hidden="1" ht="22.5" customHeight="1" s="117">
      <c r="A178" s="14" t="n">
        <v>45982.30032881944</v>
      </c>
      <c r="B178" s="17" t="inlineStr">
        <is>
          <t>Trần Trung Giang</t>
        </is>
      </c>
      <c r="C178" s="16" t="n">
        <v>45981</v>
      </c>
      <c r="D178" s="17" t="n">
        <v>0</v>
      </c>
      <c r="E178" s="17" t="n">
        <v>0</v>
      </c>
      <c r="F178" s="17" t="n">
        <v>0</v>
      </c>
      <c r="G178" s="17" t="n">
        <v>0</v>
      </c>
      <c r="H178" s="17" t="n">
        <v>0</v>
      </c>
      <c r="I178" s="17" t="n">
        <v>2</v>
      </c>
      <c r="J178" s="17" t="n">
        <v>0</v>
      </c>
      <c r="K178" s="17" t="n">
        <v>2</v>
      </c>
      <c r="L178" s="17" t="n">
        <v>0</v>
      </c>
      <c r="M178" s="17" t="n">
        <v>0</v>
      </c>
      <c r="N178" s="17" t="n">
        <v>0</v>
      </c>
      <c r="O178" s="17" t="n">
        <v>0</v>
      </c>
      <c r="P178" s="17" t="n">
        <v>2</v>
      </c>
      <c r="Q178" s="17" t="n">
        <v>0</v>
      </c>
      <c r="R178" s="17" t="n">
        <v>0</v>
      </c>
      <c r="T178" s="17">
        <f>DAY(C178)</f>
        <v/>
      </c>
      <c r="U178" s="17">
        <f>MONTH(C178)</f>
        <v/>
      </c>
      <c r="V178" s="17" t="n">
        <v>2025</v>
      </c>
    </row>
    <row r="179" hidden="1" ht="22.5" customHeight="1" s="117">
      <c r="A179" s="14" t="n">
        <v>45982.30120168981</v>
      </c>
      <c r="B179" s="17" t="inlineStr">
        <is>
          <t>Nguyễn Quang Anh Tuấn</t>
        </is>
      </c>
      <c r="C179" s="16" t="n">
        <v>45981</v>
      </c>
      <c r="D179" s="17" t="n">
        <v>0</v>
      </c>
      <c r="E179" s="17" t="n">
        <v>0</v>
      </c>
      <c r="F179" s="17" t="n">
        <v>0</v>
      </c>
      <c r="G179" s="17" t="n">
        <v>0</v>
      </c>
      <c r="H179" s="17" t="n">
        <v>0</v>
      </c>
      <c r="I179" s="17" t="n">
        <v>0</v>
      </c>
      <c r="J179" s="17" t="n">
        <v>0</v>
      </c>
      <c r="K179" s="17" t="n">
        <v>10</v>
      </c>
      <c r="L179" s="17" t="n">
        <v>0</v>
      </c>
      <c r="M179" s="17" t="n">
        <v>0</v>
      </c>
      <c r="N179" s="17" t="n">
        <v>0</v>
      </c>
      <c r="O179" s="17" t="n">
        <v>0</v>
      </c>
      <c r="P179" s="17" t="n">
        <v>0</v>
      </c>
      <c r="Q179" s="17" t="n">
        <v>3</v>
      </c>
      <c r="R179" s="17" t="n">
        <v>0</v>
      </c>
      <c r="T179" s="17">
        <f>DAY(C179)</f>
        <v/>
      </c>
      <c r="U179" s="17">
        <f>MONTH(C179)</f>
        <v/>
      </c>
      <c r="V179" s="17" t="n">
        <v>2025</v>
      </c>
    </row>
    <row r="180" hidden="1" ht="22.5" customHeight="1" s="117">
      <c r="A180" s="14" t="n">
        <v>45982.3020280787</v>
      </c>
      <c r="B180" s="17" t="inlineStr">
        <is>
          <t>Đặng Hoài Anh</t>
        </is>
      </c>
      <c r="C180" s="16" t="n">
        <v>45981</v>
      </c>
      <c r="D180" s="17" t="n">
        <v>1</v>
      </c>
      <c r="E180" s="17" t="n">
        <v>0</v>
      </c>
      <c r="F180" s="17" t="n">
        <v>0</v>
      </c>
      <c r="G180" s="17" t="n">
        <v>0</v>
      </c>
      <c r="H180" s="17" t="n">
        <v>0</v>
      </c>
      <c r="I180" s="17" t="n">
        <v>12</v>
      </c>
      <c r="J180" s="17" t="n">
        <v>0</v>
      </c>
      <c r="K180" s="17" t="n">
        <v>0</v>
      </c>
      <c r="L180" s="17" t="n">
        <v>0</v>
      </c>
      <c r="M180" s="17" t="n">
        <v>1</v>
      </c>
      <c r="N180" s="17" t="n">
        <v>0</v>
      </c>
      <c r="O180" s="17" t="n">
        <v>0</v>
      </c>
      <c r="P180" s="17" t="n">
        <v>12</v>
      </c>
      <c r="Q180" s="17" t="n">
        <v>0</v>
      </c>
      <c r="R180" s="17" t="n">
        <v>0</v>
      </c>
      <c r="T180" s="17">
        <f>DAY(C180)</f>
        <v/>
      </c>
      <c r="U180" s="17">
        <f>MONTH(C180)</f>
        <v/>
      </c>
      <c r="V180" s="17" t="n">
        <v>2025</v>
      </c>
    </row>
    <row r="181" hidden="1" ht="22.5" customHeight="1" s="117">
      <c r="A181" s="14" t="n">
        <v>45982.30236940972</v>
      </c>
      <c r="B181" s="17" t="inlineStr">
        <is>
          <t>Nguyễn Tuấn Anh</t>
        </is>
      </c>
      <c r="C181" s="16" t="n">
        <v>45981</v>
      </c>
      <c r="D181" s="17" t="n">
        <v>0</v>
      </c>
      <c r="E181" s="17" t="n">
        <v>0</v>
      </c>
      <c r="F181" s="17" t="n">
        <v>0</v>
      </c>
      <c r="G181" s="17" t="n">
        <v>0</v>
      </c>
      <c r="H181" s="17" t="n">
        <v>0</v>
      </c>
      <c r="I181" s="17" t="n">
        <v>3</v>
      </c>
      <c r="J181" s="17" t="n">
        <v>0</v>
      </c>
      <c r="K181" s="17" t="n">
        <v>4</v>
      </c>
      <c r="L181" s="17" t="n">
        <v>0</v>
      </c>
      <c r="M181" s="17" t="n">
        <v>0</v>
      </c>
      <c r="N181" s="17" t="n">
        <v>1</v>
      </c>
      <c r="O181" s="17" t="n">
        <v>0</v>
      </c>
      <c r="P181" s="17" t="n">
        <v>1</v>
      </c>
      <c r="Q181" s="17" t="n">
        <v>6</v>
      </c>
      <c r="R181" s="17" t="n">
        <v>0</v>
      </c>
      <c r="T181" s="17">
        <f>DAY(C181)</f>
        <v/>
      </c>
      <c r="U181" s="17">
        <f>MONTH(C181)</f>
        <v/>
      </c>
      <c r="V181" s="17" t="n">
        <v>2025</v>
      </c>
    </row>
    <row r="182" hidden="1" ht="22.5" customHeight="1" s="117">
      <c r="A182" s="14" t="n">
        <v>45982.30518216435</v>
      </c>
      <c r="B182" s="17" t="inlineStr">
        <is>
          <t>Phan Thành Thái</t>
        </is>
      </c>
      <c r="C182" s="16" t="n">
        <v>45981</v>
      </c>
      <c r="D182" s="17" t="n">
        <v>0</v>
      </c>
      <c r="E182" s="17" t="n">
        <v>0</v>
      </c>
      <c r="F182" s="17" t="n">
        <v>1</v>
      </c>
      <c r="G182" s="17" t="n">
        <v>0</v>
      </c>
      <c r="H182" s="17" t="n">
        <v>0</v>
      </c>
      <c r="I182" s="17" t="n">
        <v>1</v>
      </c>
      <c r="J182" s="17" t="n">
        <v>0</v>
      </c>
      <c r="K182" s="17" t="n">
        <v>16</v>
      </c>
      <c r="L182" s="17" t="n">
        <v>0</v>
      </c>
      <c r="M182" s="17" t="n">
        <v>0</v>
      </c>
      <c r="N182" s="17" t="n">
        <v>0</v>
      </c>
      <c r="O182" s="17" t="n">
        <v>0</v>
      </c>
      <c r="P182" s="17" t="n">
        <v>1</v>
      </c>
      <c r="Q182" s="17" t="n">
        <v>4</v>
      </c>
      <c r="R182" s="17" t="n">
        <v>0</v>
      </c>
      <c r="T182" s="17">
        <f>DAY(C182)</f>
        <v/>
      </c>
      <c r="U182" s="17">
        <f>MONTH(C182)</f>
        <v/>
      </c>
      <c r="V182" s="17" t="n">
        <v>2025</v>
      </c>
    </row>
    <row r="183" hidden="1" ht="22.5" customHeight="1" s="117">
      <c r="A183" s="14" t="n">
        <v>45982.30575959491</v>
      </c>
      <c r="B183" s="17" t="inlineStr">
        <is>
          <t>Nguyễn Thành Lâm</t>
        </is>
      </c>
      <c r="C183" s="16" t="n">
        <v>45981</v>
      </c>
      <c r="D183" s="17" t="n">
        <v>1</v>
      </c>
      <c r="E183" s="17" t="n">
        <v>1</v>
      </c>
      <c r="F183" s="17" t="n">
        <v>0</v>
      </c>
      <c r="G183" s="17" t="n">
        <v>1</v>
      </c>
      <c r="H183" s="17" t="n">
        <v>1</v>
      </c>
      <c r="I183" s="17" t="n">
        <v>2</v>
      </c>
      <c r="J183" s="17" t="n">
        <v>0</v>
      </c>
      <c r="K183" s="17" t="n">
        <v>4</v>
      </c>
      <c r="L183" s="17" t="n">
        <v>0</v>
      </c>
      <c r="M183" s="17" t="n">
        <v>1</v>
      </c>
      <c r="N183" s="17" t="n">
        <v>0</v>
      </c>
      <c r="O183" s="17" t="n">
        <v>0</v>
      </c>
      <c r="P183" s="17" t="n">
        <v>0</v>
      </c>
      <c r="Q183" s="17" t="n">
        <v>2</v>
      </c>
      <c r="R183" s="17" t="n">
        <v>0</v>
      </c>
      <c r="T183" s="17">
        <f>DAY(C183)</f>
        <v/>
      </c>
      <c r="U183" s="17">
        <f>MONTH(C183)</f>
        <v/>
      </c>
      <c r="V183" s="17" t="n">
        <v>2025</v>
      </c>
    </row>
    <row r="184" hidden="1" ht="22.5" customHeight="1" s="117">
      <c r="A184" s="14" t="n">
        <v>45982.30655408565</v>
      </c>
      <c r="B184" s="17" t="inlineStr">
        <is>
          <t>Lương Duy Hoàng</t>
        </is>
      </c>
      <c r="C184" s="16" t="n">
        <v>45981</v>
      </c>
      <c r="D184" s="17" t="n">
        <v>0</v>
      </c>
      <c r="E184" s="17" t="n">
        <v>0</v>
      </c>
      <c r="F184" s="17" t="n">
        <v>0</v>
      </c>
      <c r="G184" s="17" t="n">
        <v>0</v>
      </c>
      <c r="H184" s="17" t="n">
        <v>1</v>
      </c>
      <c r="I184" s="17" t="n">
        <v>0</v>
      </c>
      <c r="J184" s="17" t="n">
        <v>0</v>
      </c>
      <c r="K184" s="17" t="n">
        <v>4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0</v>
      </c>
      <c r="Q184" s="17" t="n">
        <v>6</v>
      </c>
      <c r="R184" s="17" t="n">
        <v>0</v>
      </c>
      <c r="T184" s="17">
        <f>DAY(C184)</f>
        <v/>
      </c>
      <c r="U184" s="17">
        <f>MONTH(C184)</f>
        <v/>
      </c>
      <c r="V184" s="17" t="n">
        <v>2025</v>
      </c>
    </row>
    <row r="185" hidden="1" ht="22.5" customHeight="1" s="117">
      <c r="A185" s="14" t="n">
        <v>45982.31875946759</v>
      </c>
      <c r="B185" s="17" t="inlineStr">
        <is>
          <t>Bùi Duy Cường</t>
        </is>
      </c>
      <c r="C185" s="16" t="n">
        <v>45981</v>
      </c>
      <c r="D185" s="17" t="n">
        <v>0</v>
      </c>
      <c r="E185" s="17" t="n">
        <v>0</v>
      </c>
      <c r="F185" s="17" t="n">
        <v>0</v>
      </c>
      <c r="G185" s="17" t="n">
        <v>0</v>
      </c>
      <c r="H185" s="17" t="n">
        <v>0</v>
      </c>
      <c r="I185" s="17" t="n">
        <v>2</v>
      </c>
      <c r="J185" s="17" t="n">
        <v>0</v>
      </c>
      <c r="K185" s="17" t="n">
        <v>15</v>
      </c>
      <c r="L185" s="17" t="n">
        <v>0</v>
      </c>
      <c r="M185" s="17" t="n">
        <v>0</v>
      </c>
      <c r="N185" s="17" t="n">
        <v>0</v>
      </c>
      <c r="O185" s="17" t="n">
        <v>0</v>
      </c>
      <c r="P185" s="17" t="n">
        <v>0</v>
      </c>
      <c r="Q185" s="17" t="n">
        <v>2</v>
      </c>
      <c r="R185" s="17" t="n">
        <v>0</v>
      </c>
      <c r="T185" s="17">
        <f>DAY(C185)</f>
        <v/>
      </c>
      <c r="U185" s="17">
        <f>MONTH(C185)</f>
        <v/>
      </c>
      <c r="V185" s="17" t="n">
        <v>2025</v>
      </c>
    </row>
    <row r="186" hidden="1" ht="22.5" customHeight="1" s="117">
      <c r="A186" s="14" t="n">
        <v>45982.32059247686</v>
      </c>
      <c r="B186" s="17" t="inlineStr">
        <is>
          <t>Huỳnh Văn Lực</t>
        </is>
      </c>
      <c r="C186" s="16" t="n">
        <v>45981</v>
      </c>
      <c r="D186" s="17" t="n">
        <v>0</v>
      </c>
      <c r="E186" s="17" t="n">
        <v>0</v>
      </c>
      <c r="F186" s="17" t="n">
        <v>0</v>
      </c>
      <c r="G186" s="17" t="n">
        <v>0</v>
      </c>
      <c r="H186" s="17" t="n">
        <v>0</v>
      </c>
      <c r="I186" s="17" t="n">
        <v>1</v>
      </c>
      <c r="J186" s="17" t="n">
        <v>0</v>
      </c>
      <c r="K186" s="17" t="n">
        <v>2</v>
      </c>
      <c r="L186" s="17" t="n">
        <v>0</v>
      </c>
      <c r="M186" s="17" t="n">
        <v>0</v>
      </c>
      <c r="N186" s="17" t="n">
        <v>0</v>
      </c>
      <c r="O186" s="17" t="n">
        <v>0</v>
      </c>
      <c r="P186" s="17" t="n">
        <v>2</v>
      </c>
      <c r="Q186" s="17" t="n">
        <v>2</v>
      </c>
      <c r="R186" s="17" t="n">
        <v>0</v>
      </c>
      <c r="T186" s="17">
        <f>DAY(C186)</f>
        <v/>
      </c>
      <c r="U186" s="17">
        <f>MONTH(C186)</f>
        <v/>
      </c>
      <c r="V186" s="17" t="n">
        <v>2025</v>
      </c>
    </row>
    <row r="187" hidden="1" ht="22.5" customHeight="1" s="117">
      <c r="A187" s="14" t="n">
        <v>45982.32845369213</v>
      </c>
      <c r="B187" s="17" t="inlineStr">
        <is>
          <t>Dương Minh Tiến</t>
        </is>
      </c>
      <c r="C187" s="16" t="n">
        <v>45981</v>
      </c>
      <c r="D187" s="17" t="n">
        <v>0</v>
      </c>
      <c r="E187" s="17" t="n">
        <v>0</v>
      </c>
      <c r="F187" s="17" t="n">
        <v>0</v>
      </c>
      <c r="G187" s="17" t="n">
        <v>0</v>
      </c>
      <c r="H187" s="17" t="n">
        <v>0</v>
      </c>
      <c r="I187" s="17" t="n">
        <v>0</v>
      </c>
      <c r="J187" s="17" t="n">
        <v>0</v>
      </c>
      <c r="K187" s="17" t="n">
        <v>8</v>
      </c>
      <c r="L187" s="17" t="n">
        <v>0</v>
      </c>
      <c r="M187" s="17" t="n">
        <v>2</v>
      </c>
      <c r="N187" s="17" t="n">
        <v>0</v>
      </c>
      <c r="O187" s="17" t="n">
        <v>0</v>
      </c>
      <c r="P187" s="17" t="n">
        <v>0</v>
      </c>
      <c r="Q187" s="17" t="n">
        <v>2</v>
      </c>
      <c r="R187" s="17" t="n">
        <v>0</v>
      </c>
      <c r="T187" s="17">
        <f>DAY(C187)</f>
        <v/>
      </c>
      <c r="U187" s="17">
        <f>MONTH(C187)</f>
        <v/>
      </c>
      <c r="V187" s="17" t="n">
        <v>2025</v>
      </c>
    </row>
    <row r="188" hidden="1" ht="22.5" customHeight="1" s="117">
      <c r="A188" s="14" t="n">
        <v>45982.36459912037</v>
      </c>
      <c r="B188" s="17" t="inlineStr">
        <is>
          <t>Đặng Hữu Danh</t>
        </is>
      </c>
      <c r="C188" s="16" t="n">
        <v>45981</v>
      </c>
      <c r="D188" s="17" t="n">
        <v>0</v>
      </c>
      <c r="E188" s="17" t="n">
        <v>0</v>
      </c>
      <c r="F188" s="17" t="n">
        <v>0</v>
      </c>
      <c r="G188" s="17" t="n">
        <v>0</v>
      </c>
      <c r="H188" s="17" t="n">
        <v>0</v>
      </c>
      <c r="I188" s="17" t="n">
        <v>1</v>
      </c>
      <c r="J188" s="17" t="n">
        <v>0</v>
      </c>
      <c r="K188" s="17" t="n">
        <v>10</v>
      </c>
      <c r="L188" s="17" t="n">
        <v>0</v>
      </c>
      <c r="M188" s="17" t="n">
        <v>2</v>
      </c>
      <c r="N188" s="17" t="n">
        <v>1</v>
      </c>
      <c r="O188" s="17" t="n">
        <v>0</v>
      </c>
      <c r="P188" s="17" t="n">
        <v>2</v>
      </c>
      <c r="Q188" s="17" t="n">
        <v>4</v>
      </c>
      <c r="R188" s="17" t="n">
        <v>1</v>
      </c>
      <c r="T188" s="17">
        <f>DAY(C188)</f>
        <v/>
      </c>
      <c r="U188" s="17">
        <f>MONTH(C188)</f>
        <v/>
      </c>
      <c r="V188" s="17" t="n">
        <v>2025</v>
      </c>
    </row>
    <row r="189" hidden="1" ht="22.5" customHeight="1" s="117">
      <c r="A189" s="14" t="n">
        <v>45982.36666857639</v>
      </c>
      <c r="B189" s="17" t="inlineStr">
        <is>
          <t>Hồ Thái Minh Trí</t>
        </is>
      </c>
      <c r="C189" s="16" t="n">
        <v>45981</v>
      </c>
      <c r="D189" s="17" t="n">
        <v>0</v>
      </c>
      <c r="E189" s="17" t="n">
        <v>0</v>
      </c>
      <c r="F189" s="17" t="n">
        <v>0</v>
      </c>
      <c r="G189" s="17" t="n">
        <v>0</v>
      </c>
      <c r="H189" s="17" t="n">
        <v>0</v>
      </c>
      <c r="I189" s="17" t="n">
        <v>0</v>
      </c>
      <c r="J189" s="17" t="n">
        <v>0</v>
      </c>
      <c r="K189" s="17" t="n">
        <v>6</v>
      </c>
      <c r="L189" s="17" t="n">
        <v>0</v>
      </c>
      <c r="M189" s="17" t="n">
        <v>0</v>
      </c>
      <c r="N189" s="17" t="n">
        <v>0</v>
      </c>
      <c r="O189" s="17" t="n">
        <v>0</v>
      </c>
      <c r="P189" s="17" t="n">
        <v>1</v>
      </c>
      <c r="Q189" s="17" t="n">
        <v>1</v>
      </c>
      <c r="R189" s="17" t="n">
        <v>0</v>
      </c>
      <c r="T189" s="17">
        <f>DAY(C189)</f>
        <v/>
      </c>
      <c r="U189" s="17">
        <f>MONTH(C189)</f>
        <v/>
      </c>
      <c r="V189" s="17" t="n">
        <v>2025</v>
      </c>
    </row>
    <row r="190" hidden="1" ht="22.5" customHeight="1" s="117">
      <c r="A190" s="14" t="n">
        <v>45982.37229197917</v>
      </c>
      <c r="B190" s="17" t="inlineStr">
        <is>
          <t>Nguyễn Hồng Minh</t>
        </is>
      </c>
      <c r="C190" s="16" t="n">
        <v>45981</v>
      </c>
      <c r="D190" s="17" t="n">
        <v>0</v>
      </c>
      <c r="E190" s="17" t="n">
        <v>0</v>
      </c>
      <c r="F190" s="17" t="n">
        <v>0</v>
      </c>
      <c r="G190" s="17" t="n">
        <v>0</v>
      </c>
      <c r="H190" s="17" t="n">
        <v>0</v>
      </c>
      <c r="I190" s="17" t="n">
        <v>0</v>
      </c>
      <c r="J190" s="17" t="n">
        <v>0</v>
      </c>
      <c r="K190" s="17" t="n">
        <v>13</v>
      </c>
      <c r="L190" s="17" t="n">
        <v>0</v>
      </c>
      <c r="M190" s="17" t="n">
        <v>1</v>
      </c>
      <c r="N190" s="17" t="n">
        <v>0</v>
      </c>
      <c r="O190" s="17" t="n">
        <v>0</v>
      </c>
      <c r="P190" s="17" t="n">
        <v>0</v>
      </c>
      <c r="Q190" s="17" t="n">
        <v>4</v>
      </c>
      <c r="R190" s="17" t="n">
        <v>0</v>
      </c>
      <c r="T190" s="17">
        <f>DAY(C190)</f>
        <v/>
      </c>
      <c r="U190" s="17">
        <f>MONTH(C190)</f>
        <v/>
      </c>
      <c r="V190" s="17" t="n">
        <v>2025</v>
      </c>
    </row>
    <row r="191" hidden="1" ht="22.5" customHeight="1" s="117">
      <c r="A191" s="14" t="n">
        <v>45982.87691548611</v>
      </c>
      <c r="B191" s="17" t="inlineStr">
        <is>
          <t>Lê Quốc Duy</t>
        </is>
      </c>
      <c r="C191" s="16" t="n">
        <v>45982</v>
      </c>
      <c r="D191" s="17" t="n">
        <v>0</v>
      </c>
      <c r="E191" s="17" t="n">
        <v>0</v>
      </c>
      <c r="F191" s="17" t="n">
        <v>1</v>
      </c>
      <c r="G191" s="17" t="n">
        <v>0</v>
      </c>
      <c r="H191" s="17" t="n">
        <v>0</v>
      </c>
      <c r="I191" s="17" t="n">
        <v>0</v>
      </c>
      <c r="J191" s="17" t="n">
        <v>0</v>
      </c>
      <c r="K191" s="17" t="n">
        <v>7</v>
      </c>
      <c r="L191" s="17" t="n">
        <v>0</v>
      </c>
      <c r="M191" s="17" t="n">
        <v>1</v>
      </c>
      <c r="N191" s="17" t="n">
        <v>0</v>
      </c>
      <c r="O191" s="17" t="n">
        <v>0</v>
      </c>
      <c r="P191" s="17" t="n">
        <v>1</v>
      </c>
      <c r="Q191" s="17" t="n">
        <v>9</v>
      </c>
      <c r="R191" s="17" t="n">
        <v>0</v>
      </c>
      <c r="T191" s="17">
        <f>DAY(C191)</f>
        <v/>
      </c>
      <c r="U191" s="17">
        <f>MONTH(C191)</f>
        <v/>
      </c>
      <c r="V191" s="17" t="n">
        <v>2025</v>
      </c>
    </row>
    <row r="192" hidden="1" ht="22.5" customHeight="1" s="117">
      <c r="A192" s="14" t="n">
        <v>45983.25598828703</v>
      </c>
      <c r="B192" s="17" t="inlineStr">
        <is>
          <t>Vòng Nhật Sang</t>
        </is>
      </c>
      <c r="C192" s="16" t="n">
        <v>45982</v>
      </c>
      <c r="D192" s="17" t="n">
        <v>0</v>
      </c>
      <c r="E192" s="17" t="n">
        <v>0</v>
      </c>
      <c r="F192" s="17" t="n">
        <v>0</v>
      </c>
      <c r="G192" s="17" t="n">
        <v>0</v>
      </c>
      <c r="H192" s="17" t="n">
        <v>0</v>
      </c>
      <c r="I192" s="17" t="n">
        <v>0</v>
      </c>
      <c r="J192" s="17" t="n">
        <v>0</v>
      </c>
      <c r="K192" s="17" t="n">
        <v>10</v>
      </c>
      <c r="L192" s="17" t="n">
        <v>0</v>
      </c>
      <c r="M192" s="17" t="n">
        <v>1</v>
      </c>
      <c r="N192" s="17" t="n">
        <v>0</v>
      </c>
      <c r="O192" s="17" t="n">
        <v>0</v>
      </c>
      <c r="P192" s="17" t="n">
        <v>1</v>
      </c>
      <c r="Q192" s="17" t="n">
        <v>2</v>
      </c>
      <c r="R192" s="17" t="n">
        <v>0</v>
      </c>
      <c r="T192" s="17">
        <f>DAY(C192)</f>
        <v/>
      </c>
      <c r="U192" s="17">
        <f>MONTH(C192)</f>
        <v/>
      </c>
      <c r="V192" s="17" t="n">
        <v>2025</v>
      </c>
    </row>
    <row r="193" hidden="1" ht="22.5" customHeight="1" s="117">
      <c r="A193" s="14" t="n">
        <v>45983.27841618055</v>
      </c>
      <c r="B193" s="17" t="inlineStr">
        <is>
          <t>Nguyễn Văn Hiệp</t>
        </is>
      </c>
      <c r="C193" s="16" t="n">
        <v>45983</v>
      </c>
      <c r="D193" s="17" t="n">
        <v>0</v>
      </c>
      <c r="E193" s="17" t="n">
        <v>0</v>
      </c>
      <c r="F193" s="17" t="n">
        <v>0</v>
      </c>
      <c r="G193" s="17" t="n">
        <v>0</v>
      </c>
      <c r="H193" s="17" t="n">
        <v>0</v>
      </c>
      <c r="I193" s="17" t="n">
        <v>2</v>
      </c>
      <c r="J193" s="17" t="n">
        <v>0</v>
      </c>
      <c r="K193" s="17" t="n">
        <v>6</v>
      </c>
      <c r="L193" s="17" t="n">
        <v>0</v>
      </c>
      <c r="M193" s="17" t="n">
        <v>6</v>
      </c>
      <c r="N193" s="17" t="n">
        <v>0</v>
      </c>
      <c r="O193" s="17" t="n">
        <v>0</v>
      </c>
      <c r="P193" s="17" t="n">
        <v>0</v>
      </c>
      <c r="Q193" s="17" t="n">
        <v>0</v>
      </c>
      <c r="R193" s="17" t="n">
        <v>0</v>
      </c>
      <c r="T193" s="17">
        <f>DAY(C193)</f>
        <v/>
      </c>
      <c r="U193" s="17">
        <f>MONTH(C193)</f>
        <v/>
      </c>
      <c r="V193" s="17" t="n">
        <v>2025</v>
      </c>
    </row>
    <row r="194" hidden="1" ht="22.5" customHeight="1" s="117">
      <c r="A194" s="14" t="n">
        <v>45983.28851908565</v>
      </c>
      <c r="B194" s="17" t="inlineStr">
        <is>
          <t>Trần Trung Giang</t>
        </is>
      </c>
      <c r="C194" s="16" t="n">
        <v>45982</v>
      </c>
      <c r="D194" s="17" t="n">
        <v>0</v>
      </c>
      <c r="E194" s="17" t="n">
        <v>0</v>
      </c>
      <c r="F194" s="17" t="n">
        <v>0</v>
      </c>
      <c r="G194" s="17" t="n">
        <v>1</v>
      </c>
      <c r="H194" s="17" t="n">
        <v>1</v>
      </c>
      <c r="I194" s="17" t="n">
        <v>2</v>
      </c>
      <c r="J194" s="17" t="n">
        <v>0</v>
      </c>
      <c r="K194" s="17" t="n">
        <v>2</v>
      </c>
      <c r="L194" s="17" t="n">
        <v>0</v>
      </c>
      <c r="M194" s="17" t="n">
        <v>0</v>
      </c>
      <c r="N194" s="17" t="n">
        <v>0</v>
      </c>
      <c r="O194" s="17" t="n">
        <v>0</v>
      </c>
      <c r="P194" s="17" t="n">
        <v>0</v>
      </c>
      <c r="Q194" s="17" t="n">
        <v>0</v>
      </c>
      <c r="R194" s="17" t="n">
        <v>0</v>
      </c>
      <c r="T194" s="17">
        <f>DAY(C194)</f>
        <v/>
      </c>
      <c r="U194" s="17">
        <f>MONTH(C194)</f>
        <v/>
      </c>
      <c r="V194" s="17" t="n">
        <v>2025</v>
      </c>
    </row>
    <row r="195" hidden="1" ht="22.5" customHeight="1" s="117">
      <c r="A195" s="14" t="n">
        <v>45983.29262708333</v>
      </c>
      <c r="B195" s="17" t="inlineStr">
        <is>
          <t>Nguyễn Tuấn Anh</t>
        </is>
      </c>
      <c r="C195" s="16" t="n">
        <v>45982</v>
      </c>
      <c r="D195" s="17" t="n">
        <v>0</v>
      </c>
      <c r="E195" s="17" t="n">
        <v>0</v>
      </c>
      <c r="F195" s="17" t="n">
        <v>0</v>
      </c>
      <c r="G195" s="17" t="n">
        <v>0</v>
      </c>
      <c r="H195" s="17" t="n">
        <v>0</v>
      </c>
      <c r="I195" s="17" t="n">
        <v>4</v>
      </c>
      <c r="J195" s="17" t="n">
        <v>0</v>
      </c>
      <c r="K195" s="17" t="n">
        <v>3</v>
      </c>
      <c r="L195" s="17" t="n">
        <v>0</v>
      </c>
      <c r="M195" s="17" t="n">
        <v>0</v>
      </c>
      <c r="N195" s="17" t="n">
        <v>0</v>
      </c>
      <c r="O195" s="17" t="n">
        <v>0</v>
      </c>
      <c r="P195" s="17" t="n">
        <v>1</v>
      </c>
      <c r="Q195" s="17" t="n">
        <v>5</v>
      </c>
      <c r="R195" s="17" t="n">
        <v>0</v>
      </c>
      <c r="T195" s="17">
        <f>DAY(C195)</f>
        <v/>
      </c>
      <c r="U195" s="17">
        <f>MONTH(C195)</f>
        <v/>
      </c>
      <c r="V195" s="17" t="n">
        <v>2025</v>
      </c>
    </row>
    <row r="196" hidden="1" ht="22.5" customHeight="1" s="117">
      <c r="A196" s="14" t="n">
        <v>45983.30805571759</v>
      </c>
      <c r="B196" s="17" t="inlineStr">
        <is>
          <t>Lương Duy Hoàng</t>
        </is>
      </c>
      <c r="C196" s="16" t="n">
        <v>45982</v>
      </c>
      <c r="D196" s="17" t="n">
        <v>0</v>
      </c>
      <c r="E196" s="17" t="n">
        <v>0</v>
      </c>
      <c r="F196" s="17" t="n">
        <v>0</v>
      </c>
      <c r="G196" s="17" t="n">
        <v>0</v>
      </c>
      <c r="H196" s="17" t="n">
        <v>0</v>
      </c>
      <c r="I196" s="17" t="n">
        <v>0</v>
      </c>
      <c r="J196" s="17" t="n">
        <v>0</v>
      </c>
      <c r="K196" s="17" t="n">
        <v>5</v>
      </c>
      <c r="L196" s="17" t="n">
        <v>0</v>
      </c>
      <c r="M196" s="17" t="n">
        <v>0</v>
      </c>
      <c r="N196" s="17" t="n">
        <v>0</v>
      </c>
      <c r="O196" s="17" t="n">
        <v>0</v>
      </c>
      <c r="P196" s="17" t="n">
        <v>1</v>
      </c>
      <c r="Q196" s="17" t="n">
        <v>4</v>
      </c>
      <c r="R196" s="17" t="n">
        <v>0</v>
      </c>
      <c r="T196" s="17">
        <f>DAY(C196)</f>
        <v/>
      </c>
      <c r="U196" s="17">
        <f>MONTH(C196)</f>
        <v/>
      </c>
      <c r="V196" s="17" t="n">
        <v>2025</v>
      </c>
    </row>
    <row r="197" hidden="1" ht="22.5" customHeight="1" s="117">
      <c r="A197" s="14" t="n">
        <v>45983.30876924768</v>
      </c>
      <c r="B197" s="17" t="inlineStr">
        <is>
          <t>Nguyễn Quang Anh Tuấn</t>
        </is>
      </c>
      <c r="C197" s="16" t="n">
        <v>45982</v>
      </c>
      <c r="D197" s="17" t="n">
        <v>0</v>
      </c>
      <c r="E197" s="17" t="n">
        <v>0</v>
      </c>
      <c r="F197" s="17" t="n">
        <v>0</v>
      </c>
      <c r="G197" s="17" t="n">
        <v>0</v>
      </c>
      <c r="H197" s="17" t="n">
        <v>0</v>
      </c>
      <c r="I197" s="17" t="n">
        <v>5</v>
      </c>
      <c r="J197" s="17" t="n">
        <v>0</v>
      </c>
      <c r="K197" s="17" t="n">
        <v>13</v>
      </c>
      <c r="L197" s="17" t="n">
        <v>0</v>
      </c>
      <c r="M197" s="17" t="n">
        <v>0</v>
      </c>
      <c r="N197" s="17" t="n">
        <v>0</v>
      </c>
      <c r="O197" s="17" t="n">
        <v>0</v>
      </c>
      <c r="P197" s="17" t="n">
        <v>0</v>
      </c>
      <c r="Q197" s="17" t="n">
        <v>2</v>
      </c>
      <c r="R197" s="17" t="n">
        <v>0</v>
      </c>
      <c r="T197" s="17">
        <f>DAY(C197)</f>
        <v/>
      </c>
      <c r="U197" s="17">
        <f>MONTH(C197)</f>
        <v/>
      </c>
      <c r="V197" s="17" t="n">
        <v>2025</v>
      </c>
    </row>
    <row r="198" hidden="1" ht="22.5" customHeight="1" s="117">
      <c r="A198" s="14" t="n">
        <v>45983.31256545139</v>
      </c>
      <c r="B198" s="17" t="inlineStr">
        <is>
          <t>Đặng Hoài Anh</t>
        </is>
      </c>
      <c r="C198" s="16" t="n">
        <v>45982</v>
      </c>
      <c r="D198" s="17" t="n">
        <v>1</v>
      </c>
      <c r="E198" s="17" t="n">
        <v>1</v>
      </c>
      <c r="F198" s="17" t="n">
        <v>0</v>
      </c>
      <c r="G198" s="17" t="n">
        <v>0</v>
      </c>
      <c r="H198" s="17" t="n">
        <v>0</v>
      </c>
      <c r="I198" s="17" t="n">
        <v>5</v>
      </c>
      <c r="J198" s="17" t="n">
        <v>0</v>
      </c>
      <c r="K198" s="17" t="n">
        <v>2</v>
      </c>
      <c r="L198" s="17" t="n">
        <v>0</v>
      </c>
      <c r="M198" s="17" t="n">
        <v>2</v>
      </c>
      <c r="N198" s="17" t="n">
        <v>0</v>
      </c>
      <c r="O198" s="17" t="n">
        <v>0</v>
      </c>
      <c r="P198" s="17" t="n">
        <v>1</v>
      </c>
      <c r="Q198" s="17" t="n">
        <v>1</v>
      </c>
      <c r="R198" s="17" t="n">
        <v>0</v>
      </c>
      <c r="T198" s="17">
        <f>DAY(C198)</f>
        <v/>
      </c>
      <c r="U198" s="17">
        <f>MONTH(C198)</f>
        <v/>
      </c>
      <c r="V198" s="17" t="n">
        <v>2025</v>
      </c>
    </row>
    <row r="199" hidden="1" ht="22.5" customHeight="1" s="117">
      <c r="A199" s="14" t="n">
        <v>45983.31270940972</v>
      </c>
      <c r="B199" s="17" t="inlineStr">
        <is>
          <t>Bùi Duy Cường</t>
        </is>
      </c>
      <c r="C199" s="16" t="n">
        <v>45982</v>
      </c>
      <c r="D199" s="17" t="n">
        <v>0</v>
      </c>
      <c r="E199" s="17" t="n">
        <v>0</v>
      </c>
      <c r="F199" s="17" t="n">
        <v>0</v>
      </c>
      <c r="G199" s="17" t="n">
        <v>0</v>
      </c>
      <c r="H199" s="17" t="n">
        <v>0</v>
      </c>
      <c r="I199" s="17" t="n">
        <v>4</v>
      </c>
      <c r="J199" s="17" t="n">
        <v>0</v>
      </c>
      <c r="K199" s="17" t="n">
        <v>10</v>
      </c>
      <c r="L199" s="17" t="n">
        <v>0</v>
      </c>
      <c r="M199" s="17" t="n">
        <v>0</v>
      </c>
      <c r="N199" s="17" t="n">
        <v>0</v>
      </c>
      <c r="O199" s="17" t="n">
        <v>0</v>
      </c>
      <c r="P199" s="17" t="n">
        <v>0</v>
      </c>
      <c r="Q199" s="17" t="n">
        <v>5</v>
      </c>
      <c r="R199" s="17" t="n">
        <v>0</v>
      </c>
      <c r="T199" s="17">
        <f>DAY(C199)</f>
        <v/>
      </c>
      <c r="U199" s="17">
        <f>MONTH(C199)</f>
        <v/>
      </c>
      <c r="V199" s="17" t="n">
        <v>2025</v>
      </c>
    </row>
    <row r="200" hidden="1" ht="22.5" customHeight="1" s="117">
      <c r="A200" s="14" t="n">
        <v>45983.31836651621</v>
      </c>
      <c r="B200" s="17" t="inlineStr">
        <is>
          <t>Trần Xuân Khoa</t>
        </is>
      </c>
      <c r="C200" s="16" t="n">
        <v>45982</v>
      </c>
      <c r="D200" s="17" t="n">
        <v>0</v>
      </c>
      <c r="E200" s="17" t="n">
        <v>0</v>
      </c>
      <c r="F200" s="17" t="n">
        <v>0</v>
      </c>
      <c r="G200" s="17" t="n">
        <v>0</v>
      </c>
      <c r="H200" s="17" t="n">
        <v>0</v>
      </c>
      <c r="I200" s="17" t="n">
        <v>2</v>
      </c>
      <c r="J200" s="17" t="n">
        <v>0</v>
      </c>
      <c r="K200" s="17" t="n">
        <v>10</v>
      </c>
      <c r="L200" s="17" t="n">
        <v>1</v>
      </c>
      <c r="M200" s="17" t="n">
        <v>0</v>
      </c>
      <c r="N200" s="17" t="n">
        <v>0</v>
      </c>
      <c r="O200" s="17" t="n">
        <v>0</v>
      </c>
      <c r="P200" s="17" t="n">
        <v>0</v>
      </c>
      <c r="Q200" s="17" t="n">
        <v>3</v>
      </c>
      <c r="R200" s="17" t="n">
        <v>0</v>
      </c>
      <c r="T200" s="17">
        <f>DAY(C200)</f>
        <v/>
      </c>
      <c r="U200" s="17">
        <f>MONTH(C200)</f>
        <v/>
      </c>
      <c r="V200" s="17" t="n">
        <v>2025</v>
      </c>
    </row>
    <row r="201" hidden="1" ht="22.5" customHeight="1" s="117">
      <c r="A201" s="14" t="n">
        <v>45983.31886807871</v>
      </c>
      <c r="B201" s="17" t="inlineStr">
        <is>
          <t>Đặng Hữu Danh</t>
        </is>
      </c>
      <c r="C201" s="16" t="n">
        <v>45982</v>
      </c>
      <c r="D201" s="17" t="n">
        <v>0</v>
      </c>
      <c r="E201" s="17" t="n">
        <v>0</v>
      </c>
      <c r="F201" s="17" t="n">
        <v>0</v>
      </c>
      <c r="G201" s="17" t="n">
        <v>0</v>
      </c>
      <c r="H201" s="17" t="n">
        <v>0</v>
      </c>
      <c r="I201" s="17" t="n">
        <v>1</v>
      </c>
      <c r="J201" s="17" t="n">
        <v>0</v>
      </c>
      <c r="K201" s="17" t="n">
        <v>7</v>
      </c>
      <c r="L201" s="17" t="n">
        <v>0</v>
      </c>
      <c r="M201" s="17" t="n">
        <v>0</v>
      </c>
      <c r="N201" s="17" t="n">
        <v>1</v>
      </c>
      <c r="O201" s="17" t="n">
        <v>0</v>
      </c>
      <c r="P201" s="17" t="n">
        <v>2</v>
      </c>
      <c r="Q201" s="17" t="n">
        <v>4</v>
      </c>
      <c r="R201" s="17" t="n">
        <v>0</v>
      </c>
      <c r="T201" s="17">
        <f>DAY(C201)</f>
        <v/>
      </c>
      <c r="U201" s="17">
        <f>MONTH(C201)</f>
        <v/>
      </c>
      <c r="V201" s="17" t="n">
        <v>2025</v>
      </c>
    </row>
    <row r="202" hidden="1" ht="22.5" customHeight="1" s="117">
      <c r="A202" s="14" t="n">
        <v>45983.32240745371</v>
      </c>
      <c r="B202" s="17" t="inlineStr">
        <is>
          <t>Dương Minh Tiến</t>
        </is>
      </c>
      <c r="C202" s="16" t="n">
        <v>45982</v>
      </c>
      <c r="D202" s="17" t="n">
        <v>0</v>
      </c>
      <c r="E202" s="17" t="n">
        <v>0</v>
      </c>
      <c r="F202" s="17" t="n">
        <v>0</v>
      </c>
      <c r="G202" s="17" t="n">
        <v>0</v>
      </c>
      <c r="H202" s="17" t="n">
        <v>0</v>
      </c>
      <c r="I202" s="17" t="n">
        <v>0</v>
      </c>
      <c r="J202" s="17" t="n">
        <v>0</v>
      </c>
      <c r="K202" s="17" t="n">
        <v>6</v>
      </c>
      <c r="L202" s="17" t="n">
        <v>0</v>
      </c>
      <c r="M202" s="17" t="n">
        <v>1</v>
      </c>
      <c r="N202" s="17" t="n">
        <v>0</v>
      </c>
      <c r="O202" s="17" t="n">
        <v>0</v>
      </c>
      <c r="P202" s="17" t="n">
        <v>5</v>
      </c>
      <c r="Q202" s="17" t="n">
        <v>3</v>
      </c>
      <c r="R202" s="17" t="n">
        <v>0</v>
      </c>
      <c r="T202" s="17">
        <f>DAY(C202)</f>
        <v/>
      </c>
      <c r="U202" s="17">
        <f>MONTH(C202)</f>
        <v/>
      </c>
      <c r="V202" s="17" t="n">
        <v>2025</v>
      </c>
    </row>
    <row r="203" hidden="1" ht="22.5" customHeight="1" s="117">
      <c r="A203" s="14" t="n">
        <v>45983.39870115741</v>
      </c>
      <c r="B203" s="17" t="inlineStr">
        <is>
          <t>Huỳnh Văn Lực</t>
        </is>
      </c>
      <c r="C203" s="16" t="n">
        <v>45982</v>
      </c>
      <c r="D203" s="17" t="n">
        <v>0</v>
      </c>
      <c r="E203" s="17" t="n">
        <v>0</v>
      </c>
      <c r="F203" s="17" t="n">
        <v>0</v>
      </c>
      <c r="G203" s="17" t="n">
        <v>0</v>
      </c>
      <c r="H203" s="17" t="n">
        <v>0</v>
      </c>
      <c r="I203" s="17" t="n">
        <v>1</v>
      </c>
      <c r="J203" s="17" t="n">
        <v>0</v>
      </c>
      <c r="K203" s="17" t="n">
        <v>6</v>
      </c>
      <c r="L203" s="17" t="n">
        <v>0</v>
      </c>
      <c r="M203" s="17" t="n">
        <v>0</v>
      </c>
      <c r="N203" s="17" t="n">
        <v>0</v>
      </c>
      <c r="O203" s="17" t="n">
        <v>0</v>
      </c>
      <c r="P203" s="17" t="n">
        <v>1</v>
      </c>
      <c r="Q203" s="17" t="n">
        <v>2</v>
      </c>
      <c r="R203" s="17" t="n">
        <v>0</v>
      </c>
      <c r="T203" s="17">
        <f>DAY(C203)</f>
        <v/>
      </c>
      <c r="U203" s="17">
        <f>MONTH(C203)</f>
        <v/>
      </c>
      <c r="V203" s="17" t="n">
        <v>2025</v>
      </c>
    </row>
    <row r="204" hidden="1" ht="22.5" customHeight="1" s="117">
      <c r="A204" s="14" t="n">
        <v>45983.42801850694</v>
      </c>
      <c r="B204" s="17" t="inlineStr">
        <is>
          <t>Nguyễn Hồng Minh</t>
        </is>
      </c>
      <c r="C204" s="16" t="n">
        <v>45982</v>
      </c>
      <c r="D204" s="17" t="n">
        <v>1</v>
      </c>
      <c r="E204" s="17" t="n">
        <v>1</v>
      </c>
      <c r="F204" s="17" t="n">
        <v>0</v>
      </c>
      <c r="G204" s="17" t="n">
        <v>0</v>
      </c>
      <c r="H204" s="17" t="n">
        <v>0</v>
      </c>
      <c r="I204" s="17" t="n">
        <v>2</v>
      </c>
      <c r="J204" s="17" t="n">
        <v>0</v>
      </c>
      <c r="K204" s="17" t="n">
        <v>8</v>
      </c>
      <c r="L204" s="17" t="n">
        <v>0</v>
      </c>
      <c r="M204" s="17" t="n">
        <v>2</v>
      </c>
      <c r="N204" s="17" t="n">
        <v>1</v>
      </c>
      <c r="O204" s="17" t="n">
        <v>0</v>
      </c>
      <c r="P204" s="17" t="n">
        <v>0</v>
      </c>
      <c r="Q204" s="17" t="n">
        <v>3</v>
      </c>
      <c r="R204" s="17" t="n">
        <v>0</v>
      </c>
      <c r="T204" s="17">
        <f>DAY(C204)</f>
        <v/>
      </c>
      <c r="U204" s="17">
        <f>MONTH(C204)</f>
        <v/>
      </c>
      <c r="V204" s="17" t="n">
        <v>2025</v>
      </c>
    </row>
    <row r="205" hidden="1" ht="22.5" customHeight="1" s="117">
      <c r="A205" s="14" t="n">
        <v>45983.79635298611</v>
      </c>
      <c r="B205" s="17" t="inlineStr">
        <is>
          <t>Đặng Hữu Danh</t>
        </is>
      </c>
      <c r="C205" s="16" t="n">
        <v>45983</v>
      </c>
      <c r="D205" s="17" t="n">
        <v>0</v>
      </c>
      <c r="E205" s="17" t="n">
        <v>0</v>
      </c>
      <c r="F205" s="17" t="n">
        <v>0</v>
      </c>
      <c r="G205" s="17" t="n">
        <v>0</v>
      </c>
      <c r="H205" s="17" t="n">
        <v>0</v>
      </c>
      <c r="I205" s="17" t="n">
        <v>2</v>
      </c>
      <c r="J205" s="17" t="n">
        <v>0</v>
      </c>
      <c r="K205" s="17" t="n">
        <v>5</v>
      </c>
      <c r="L205" s="17" t="n">
        <v>0</v>
      </c>
      <c r="M205" s="17" t="n">
        <v>0</v>
      </c>
      <c r="N205" s="17" t="n">
        <v>4</v>
      </c>
      <c r="O205" s="17" t="n">
        <v>0</v>
      </c>
      <c r="P205" s="17" t="n">
        <v>3</v>
      </c>
      <c r="Q205" s="17" t="n">
        <v>5</v>
      </c>
      <c r="R205" s="17" t="n">
        <v>0</v>
      </c>
      <c r="T205" s="17">
        <f>DAY(C205)</f>
        <v/>
      </c>
      <c r="U205" s="17">
        <f>MONTH(C205)</f>
        <v/>
      </c>
      <c r="V205" s="17" t="n">
        <v>2025</v>
      </c>
    </row>
    <row r="206" hidden="1" ht="22.5" customHeight="1" s="117">
      <c r="A206" s="14" t="n">
        <v>45984.27976149305</v>
      </c>
      <c r="B206" s="17" t="inlineStr">
        <is>
          <t>Lê Quốc Duy</t>
        </is>
      </c>
      <c r="C206" s="16" t="n">
        <v>45983</v>
      </c>
      <c r="D206" s="17" t="n">
        <v>0</v>
      </c>
      <c r="E206" s="17" t="n">
        <v>0</v>
      </c>
      <c r="F206" s="17" t="n">
        <v>0</v>
      </c>
      <c r="G206" s="17" t="n">
        <v>0</v>
      </c>
      <c r="I206" s="17" t="n">
        <v>3</v>
      </c>
      <c r="J206" s="17" t="n">
        <v>0</v>
      </c>
      <c r="K206" s="17" t="n">
        <v>2</v>
      </c>
      <c r="L206" s="17" t="n">
        <v>0</v>
      </c>
      <c r="M206" s="17" t="n">
        <v>1</v>
      </c>
      <c r="N206" s="17" t="n">
        <v>0</v>
      </c>
      <c r="O206" s="17" t="n">
        <v>0</v>
      </c>
      <c r="P206" s="17" t="n">
        <v>0</v>
      </c>
      <c r="Q206" s="17" t="n">
        <v>10</v>
      </c>
      <c r="R206" s="17" t="n">
        <v>0</v>
      </c>
      <c r="T206" s="17">
        <f>DAY(C206)</f>
        <v/>
      </c>
      <c r="U206" s="17">
        <f>MONTH(C206)</f>
        <v/>
      </c>
      <c r="V206" s="17" t="n">
        <v>2025</v>
      </c>
    </row>
    <row r="207" hidden="1" ht="22.5" customHeight="1" s="117">
      <c r="A207" s="14" t="n">
        <v>45984.29859744213</v>
      </c>
      <c r="B207" s="17" t="inlineStr">
        <is>
          <t>Trần Trung Giang</t>
        </is>
      </c>
      <c r="C207" s="16" t="n">
        <v>45983</v>
      </c>
      <c r="D207" s="17" t="n">
        <v>0</v>
      </c>
      <c r="E207" s="17" t="n">
        <v>0</v>
      </c>
      <c r="F207" s="17" t="n">
        <v>0</v>
      </c>
      <c r="G207" s="17" t="n">
        <v>1</v>
      </c>
      <c r="H207" s="17" t="n">
        <v>1</v>
      </c>
      <c r="I207" s="17" t="n">
        <v>2</v>
      </c>
      <c r="J207" s="17" t="n">
        <v>0</v>
      </c>
      <c r="K207" s="17" t="n">
        <v>2</v>
      </c>
      <c r="L207" s="17" t="n">
        <v>0</v>
      </c>
      <c r="M207" s="17" t="n">
        <v>0</v>
      </c>
      <c r="N207" s="17" t="n">
        <v>0</v>
      </c>
      <c r="O207" s="17" t="n">
        <v>0</v>
      </c>
      <c r="P207" s="17" t="n">
        <v>1</v>
      </c>
      <c r="Q207" s="17" t="n">
        <v>0</v>
      </c>
      <c r="R207" s="17" t="n">
        <v>0</v>
      </c>
      <c r="T207" s="17">
        <f>DAY(C207)</f>
        <v/>
      </c>
      <c r="U207" s="17">
        <f>MONTH(C207)</f>
        <v/>
      </c>
      <c r="V207" s="17" t="n">
        <v>2025</v>
      </c>
    </row>
    <row r="208" hidden="1" ht="22.5" customHeight="1" s="117">
      <c r="A208" s="14" t="n">
        <v>45984.30301570602</v>
      </c>
      <c r="B208" s="17" t="inlineStr">
        <is>
          <t>Đặng Hoài Anh</t>
        </is>
      </c>
      <c r="C208" s="16" t="n">
        <v>45983</v>
      </c>
      <c r="D208" s="17" t="n">
        <v>0</v>
      </c>
      <c r="E208" s="17" t="n">
        <v>0</v>
      </c>
      <c r="F208" s="17" t="n">
        <v>0</v>
      </c>
      <c r="G208" s="17" t="n">
        <v>0</v>
      </c>
      <c r="H208" s="17" t="n">
        <v>0</v>
      </c>
      <c r="I208" s="17" t="n">
        <v>2</v>
      </c>
      <c r="J208" s="17" t="n">
        <v>0</v>
      </c>
      <c r="K208" s="17" t="n">
        <v>0</v>
      </c>
      <c r="L208" s="17" t="n">
        <v>0</v>
      </c>
      <c r="M208" s="17" t="n">
        <v>1</v>
      </c>
      <c r="N208" s="17" t="n">
        <v>0</v>
      </c>
      <c r="O208" s="17" t="n">
        <v>0</v>
      </c>
      <c r="P208" s="17" t="n">
        <v>2</v>
      </c>
      <c r="Q208" s="17" t="n">
        <v>0</v>
      </c>
      <c r="R208" s="17" t="n">
        <v>0</v>
      </c>
      <c r="T208" s="17">
        <f>DAY(C208)</f>
        <v/>
      </c>
      <c r="U208" s="17">
        <f>MONTH(C208)</f>
        <v/>
      </c>
      <c r="V208" s="17" t="n">
        <v>2025</v>
      </c>
    </row>
    <row r="209" hidden="1" ht="22.5" customHeight="1" s="117">
      <c r="A209" s="14" t="n">
        <v>45984.30737844908</v>
      </c>
      <c r="B209" s="17" t="inlineStr">
        <is>
          <t>Nguyễn Tuấn Anh</t>
        </is>
      </c>
      <c r="C209" s="16" t="n">
        <v>45983</v>
      </c>
      <c r="D209" s="17" t="n">
        <v>1</v>
      </c>
      <c r="E209" s="17" t="n">
        <v>0</v>
      </c>
      <c r="F209" s="17" t="n">
        <v>0</v>
      </c>
      <c r="G209" s="17" t="n">
        <v>0</v>
      </c>
      <c r="H209" s="17" t="n">
        <v>0</v>
      </c>
      <c r="I209" s="17" t="n">
        <v>2</v>
      </c>
      <c r="J209" s="17" t="n">
        <v>0</v>
      </c>
      <c r="K209" s="17" t="n">
        <v>1</v>
      </c>
      <c r="L209" s="17" t="n">
        <v>0</v>
      </c>
      <c r="M209" s="17" t="n">
        <v>0</v>
      </c>
      <c r="N209" s="17" t="n">
        <v>0</v>
      </c>
      <c r="O209" s="17" t="n">
        <v>0</v>
      </c>
      <c r="P209" s="17" t="n">
        <v>1</v>
      </c>
      <c r="Q209" s="17" t="n">
        <v>5</v>
      </c>
      <c r="R209" s="17" t="n">
        <v>0</v>
      </c>
      <c r="T209" s="17">
        <f>DAY(C209)</f>
        <v/>
      </c>
      <c r="U209" s="17">
        <f>MONTH(C209)</f>
        <v/>
      </c>
      <c r="V209" s="17" t="n">
        <v>2025</v>
      </c>
    </row>
    <row r="210" hidden="1" ht="22.5" customHeight="1" s="117">
      <c r="A210" s="14" t="n">
        <v>45984.30967292824</v>
      </c>
      <c r="B210" s="17" t="inlineStr">
        <is>
          <t>Nguyễn Quang Anh Tuấn</t>
        </is>
      </c>
      <c r="C210" s="16" t="n">
        <v>45983</v>
      </c>
      <c r="D210" s="17" t="n">
        <v>0</v>
      </c>
      <c r="E210" s="17" t="n">
        <v>0</v>
      </c>
      <c r="F210" s="17" t="n">
        <v>0</v>
      </c>
      <c r="G210" s="17" t="n">
        <v>0</v>
      </c>
      <c r="H210" s="17" t="n">
        <v>0</v>
      </c>
      <c r="I210" s="17" t="n">
        <v>2</v>
      </c>
      <c r="J210" s="17" t="n">
        <v>0</v>
      </c>
      <c r="K210" s="17" t="n">
        <v>10</v>
      </c>
      <c r="L210" s="17" t="n">
        <v>0</v>
      </c>
      <c r="M210" s="17" t="n">
        <v>0</v>
      </c>
      <c r="N210" s="17" t="n">
        <v>0</v>
      </c>
      <c r="O210" s="17" t="n">
        <v>0</v>
      </c>
      <c r="P210" s="17" t="n">
        <v>1</v>
      </c>
      <c r="Q210" s="17" t="n">
        <v>2</v>
      </c>
      <c r="R210" s="17" t="n">
        <v>0</v>
      </c>
      <c r="T210" s="17">
        <f>DAY(C210)</f>
        <v/>
      </c>
      <c r="U210" s="17">
        <f>MONTH(C210)</f>
        <v/>
      </c>
      <c r="V210" s="17" t="n">
        <v>2025</v>
      </c>
    </row>
    <row r="211" hidden="1" ht="22.5" customHeight="1" s="117">
      <c r="A211" s="14" t="n">
        <v>45984.31251583334</v>
      </c>
      <c r="B211" s="17" t="inlineStr">
        <is>
          <t>Trần Xuân Khoa</t>
        </is>
      </c>
      <c r="C211" s="16" t="n">
        <v>45983</v>
      </c>
      <c r="D211" s="17" t="n">
        <v>0</v>
      </c>
      <c r="E211" s="17" t="n">
        <v>0</v>
      </c>
      <c r="F211" s="17" t="n">
        <v>0</v>
      </c>
      <c r="G211" s="17" t="n">
        <v>0</v>
      </c>
      <c r="H211" s="17" t="n">
        <v>0</v>
      </c>
      <c r="I211" s="17" t="n">
        <v>0</v>
      </c>
      <c r="J211" s="17" t="n">
        <v>0</v>
      </c>
      <c r="K211" s="17" t="n">
        <v>12</v>
      </c>
      <c r="L211" s="17" t="n">
        <v>0</v>
      </c>
      <c r="M211" s="17" t="n">
        <v>0</v>
      </c>
      <c r="N211" s="17" t="n">
        <v>0</v>
      </c>
      <c r="O211" s="17" t="n">
        <v>0</v>
      </c>
      <c r="P211" s="17" t="n">
        <v>0</v>
      </c>
      <c r="Q211" s="17" t="n">
        <v>3</v>
      </c>
      <c r="R211" s="17" t="n">
        <v>0</v>
      </c>
      <c r="T211" s="17">
        <f>DAY(C211)</f>
        <v/>
      </c>
      <c r="U211" s="17">
        <f>MONTH(C211)</f>
        <v/>
      </c>
      <c r="V211" s="17" t="n">
        <v>2025</v>
      </c>
    </row>
    <row r="212" hidden="1" ht="22.5" customHeight="1" s="117">
      <c r="A212" s="14" t="n">
        <v>45984.33258625</v>
      </c>
      <c r="B212" s="17" t="inlineStr">
        <is>
          <t>Hồ Xuân Việt</t>
        </is>
      </c>
      <c r="C212" s="16" t="n">
        <v>45983</v>
      </c>
      <c r="D212" s="17" t="n">
        <v>0</v>
      </c>
      <c r="E212" s="17" t="n">
        <v>0</v>
      </c>
      <c r="F212" s="17" t="n">
        <v>0</v>
      </c>
      <c r="G212" s="17" t="n">
        <v>0</v>
      </c>
      <c r="I212" s="17" t="n">
        <v>1</v>
      </c>
      <c r="J212" s="17" t="n">
        <v>0</v>
      </c>
      <c r="K212" s="17" t="n">
        <v>10</v>
      </c>
      <c r="L212" s="17" t="n">
        <v>0</v>
      </c>
      <c r="M212" s="17" t="n">
        <v>0</v>
      </c>
      <c r="N212" s="17" t="n">
        <v>1</v>
      </c>
      <c r="O212" s="17" t="n">
        <v>0</v>
      </c>
      <c r="P212" s="17" t="n">
        <v>1</v>
      </c>
      <c r="Q212" s="17" t="n">
        <v>4</v>
      </c>
      <c r="R212" s="17" t="n">
        <v>0</v>
      </c>
      <c r="T212" s="17">
        <f>DAY(C212)</f>
        <v/>
      </c>
      <c r="U212" s="17">
        <f>MONTH(C212)</f>
        <v/>
      </c>
      <c r="V212" s="17" t="n">
        <v>2025</v>
      </c>
    </row>
    <row r="213" hidden="1" ht="22.5" customHeight="1" s="117">
      <c r="A213" s="14" t="n">
        <v>45984.35684893518</v>
      </c>
      <c r="B213" s="17" t="inlineStr">
        <is>
          <t>Nguyễn Văn Hiệp</t>
        </is>
      </c>
      <c r="C213" s="16" t="n">
        <v>45983</v>
      </c>
      <c r="D213" s="17" t="n">
        <v>0</v>
      </c>
      <c r="E213" s="17" t="n">
        <v>0</v>
      </c>
      <c r="F213" s="17" t="n">
        <v>0</v>
      </c>
      <c r="G213" s="17" t="n">
        <v>0</v>
      </c>
      <c r="H213" s="17" t="n">
        <v>0</v>
      </c>
      <c r="I213" s="17" t="n">
        <v>0</v>
      </c>
      <c r="J213" s="17" t="n">
        <v>0</v>
      </c>
      <c r="K213" s="17" t="n">
        <v>5</v>
      </c>
      <c r="L213" s="17" t="n">
        <v>0</v>
      </c>
      <c r="M213" s="17" t="n">
        <v>0</v>
      </c>
      <c r="N213" s="17" t="n">
        <v>0</v>
      </c>
      <c r="O213" s="17" t="n">
        <v>0</v>
      </c>
      <c r="P213" s="17" t="n">
        <v>0</v>
      </c>
      <c r="Q213" s="17" t="n">
        <v>0</v>
      </c>
      <c r="R213" s="17" t="n">
        <v>0</v>
      </c>
      <c r="T213" s="17">
        <f>DAY(C213)</f>
        <v/>
      </c>
      <c r="U213" s="17">
        <f>MONTH(C213)</f>
        <v/>
      </c>
      <c r="V213" s="17" t="n">
        <v>2025</v>
      </c>
    </row>
    <row r="214" hidden="1" ht="22.5" customHeight="1" s="117">
      <c r="A214" s="14" t="n">
        <v>45984.38161349537</v>
      </c>
      <c r="B214" s="17" t="inlineStr">
        <is>
          <t>Lương Duy Hoàng</t>
        </is>
      </c>
      <c r="C214" s="16" t="n">
        <v>45983</v>
      </c>
      <c r="D214" s="17" t="n">
        <v>0</v>
      </c>
      <c r="E214" s="17" t="n">
        <v>0</v>
      </c>
      <c r="F214" s="17" t="n">
        <v>0</v>
      </c>
      <c r="G214" s="17" t="n">
        <v>0</v>
      </c>
      <c r="H214" s="17" t="n">
        <v>0</v>
      </c>
      <c r="I214" s="17" t="n">
        <v>1</v>
      </c>
      <c r="J214" s="17" t="n">
        <v>0</v>
      </c>
      <c r="K214" s="17" t="n">
        <v>7</v>
      </c>
      <c r="L214" s="17" t="n">
        <v>0</v>
      </c>
      <c r="M214" s="17" t="n">
        <v>0</v>
      </c>
      <c r="N214" s="17" t="n">
        <v>0</v>
      </c>
      <c r="O214" s="17" t="n">
        <v>0</v>
      </c>
      <c r="P214" s="17" t="n">
        <v>1</v>
      </c>
      <c r="Q214" s="17" t="n">
        <v>2</v>
      </c>
      <c r="R214" s="17" t="n">
        <v>0</v>
      </c>
      <c r="T214" s="17">
        <f>DAY(C214)</f>
        <v/>
      </c>
      <c r="U214" s="17">
        <f>MONTH(C214)</f>
        <v/>
      </c>
      <c r="V214" s="17" t="n">
        <v>2025</v>
      </c>
    </row>
    <row r="215" hidden="1" ht="22.5" customHeight="1" s="117">
      <c r="A215" s="14" t="n">
        <v>45984.38453381944</v>
      </c>
      <c r="B215" s="17" t="inlineStr">
        <is>
          <t>Bùi Duy Cường</t>
        </is>
      </c>
      <c r="C215" s="16" t="n">
        <v>45983</v>
      </c>
      <c r="D215" s="17" t="n">
        <v>1</v>
      </c>
      <c r="E215" s="17" t="n">
        <v>1</v>
      </c>
      <c r="F215" s="17" t="n">
        <v>0</v>
      </c>
      <c r="G215" s="17" t="n">
        <v>1</v>
      </c>
      <c r="H215" s="17" t="n">
        <v>1</v>
      </c>
      <c r="I215" s="17" t="n">
        <v>1</v>
      </c>
      <c r="J215" s="17" t="n">
        <v>1</v>
      </c>
      <c r="K215" s="17" t="n">
        <v>10</v>
      </c>
      <c r="L215" s="17" t="n">
        <v>0</v>
      </c>
      <c r="M215" s="17" t="n">
        <v>1</v>
      </c>
      <c r="N215" s="17" t="n">
        <v>1</v>
      </c>
      <c r="O215" s="17" t="n">
        <v>0</v>
      </c>
      <c r="P215" s="17" t="n">
        <v>0</v>
      </c>
      <c r="Q215" s="17" t="n">
        <v>2</v>
      </c>
      <c r="R215" s="17" t="n">
        <v>0</v>
      </c>
      <c r="T215" s="17">
        <f>DAY(C215)</f>
        <v/>
      </c>
      <c r="U215" s="17">
        <f>MONTH(C215)</f>
        <v/>
      </c>
      <c r="V215" s="17" t="n">
        <v>2025</v>
      </c>
    </row>
    <row r="216" hidden="1" ht="22.5" customHeight="1" s="117">
      <c r="A216" s="14" t="n">
        <v>45984.39768638889</v>
      </c>
      <c r="B216" s="17" t="inlineStr">
        <is>
          <t>Huỳnh Văn Lực</t>
        </is>
      </c>
      <c r="C216" s="16" t="n">
        <v>45983</v>
      </c>
      <c r="D216" s="17" t="n">
        <v>0</v>
      </c>
      <c r="E216" s="17" t="n">
        <v>0</v>
      </c>
      <c r="F216" s="17" t="n">
        <v>0</v>
      </c>
      <c r="G216" s="17" t="n">
        <v>0</v>
      </c>
      <c r="H216" s="17" t="n">
        <v>0</v>
      </c>
      <c r="I216" s="17" t="n">
        <v>0</v>
      </c>
      <c r="J216" s="17" t="n">
        <v>0</v>
      </c>
      <c r="K216" s="17" t="n">
        <v>8</v>
      </c>
      <c r="L216" s="17" t="n">
        <v>0</v>
      </c>
      <c r="M216" s="17" t="n">
        <v>0</v>
      </c>
      <c r="N216" s="17" t="n">
        <v>0</v>
      </c>
      <c r="O216" s="17" t="n">
        <v>0</v>
      </c>
      <c r="P216" s="17" t="n">
        <v>1</v>
      </c>
      <c r="Q216" s="17" t="n">
        <v>1</v>
      </c>
      <c r="R216" s="17" t="n">
        <v>0</v>
      </c>
      <c r="T216" s="17">
        <f>DAY(C216)</f>
        <v/>
      </c>
      <c r="U216" s="17">
        <f>MONTH(C216)</f>
        <v/>
      </c>
      <c r="V216" s="17" t="n">
        <v>2025</v>
      </c>
    </row>
    <row r="217" hidden="1" ht="22.5" customHeight="1" s="117">
      <c r="A217" s="14" t="n">
        <v>45984.79370363426</v>
      </c>
      <c r="B217" s="17" t="inlineStr">
        <is>
          <t>Đặng Hữu Danh</t>
        </is>
      </c>
      <c r="C217" s="16" t="n">
        <v>45984</v>
      </c>
      <c r="D217" s="17" t="n">
        <v>0</v>
      </c>
      <c r="E217" s="17" t="n">
        <v>0</v>
      </c>
      <c r="F217" s="17" t="n">
        <v>0</v>
      </c>
      <c r="G217" s="17" t="n">
        <v>0</v>
      </c>
      <c r="H217" s="17" t="n">
        <v>0</v>
      </c>
      <c r="I217" s="17" t="n">
        <v>1</v>
      </c>
      <c r="J217" s="17" t="n">
        <v>0</v>
      </c>
      <c r="K217" s="17" t="n">
        <v>9</v>
      </c>
      <c r="L217" s="17" t="n">
        <v>0</v>
      </c>
      <c r="M217" s="17" t="n">
        <v>1</v>
      </c>
      <c r="N217" s="17" t="n">
        <v>3</v>
      </c>
      <c r="O217" s="17" t="n">
        <v>0</v>
      </c>
      <c r="P217" s="17" t="n">
        <v>3</v>
      </c>
      <c r="Q217" s="17" t="n">
        <v>4</v>
      </c>
      <c r="R217" s="17" t="n">
        <v>0</v>
      </c>
      <c r="T217" s="17">
        <f>DAY(C217)</f>
        <v/>
      </c>
      <c r="U217" s="17">
        <f>MONTH(C217)</f>
        <v/>
      </c>
      <c r="V217" s="17" t="n">
        <v>2025</v>
      </c>
    </row>
    <row r="218" hidden="1" ht="22.5" customHeight="1" s="117">
      <c r="A218" s="14" t="n">
        <v>45985.26120451389</v>
      </c>
      <c r="B218" s="17" t="inlineStr">
        <is>
          <t>Lương Duy Hải</t>
        </is>
      </c>
      <c r="C218" s="16" t="n">
        <v>45983</v>
      </c>
      <c r="D218" s="17" t="n">
        <v>1</v>
      </c>
      <c r="E218" s="17" t="n">
        <v>1</v>
      </c>
      <c r="F218" s="17" t="n">
        <v>0</v>
      </c>
      <c r="G218" s="17" t="n">
        <v>0</v>
      </c>
      <c r="H218" s="17" t="n">
        <v>0</v>
      </c>
      <c r="I218" s="17" t="n">
        <v>0</v>
      </c>
      <c r="J218" s="17" t="n">
        <v>0</v>
      </c>
      <c r="K218" s="17" t="n">
        <v>0</v>
      </c>
      <c r="L218" s="17" t="n">
        <v>7</v>
      </c>
      <c r="M218" s="17" t="n">
        <v>1</v>
      </c>
      <c r="N218" s="17" t="n">
        <v>0</v>
      </c>
      <c r="O218" s="17" t="n">
        <v>0</v>
      </c>
      <c r="P218" s="17" t="n">
        <v>1</v>
      </c>
      <c r="Q218" s="17" t="n">
        <v>2</v>
      </c>
      <c r="R218" s="17" t="n">
        <v>0</v>
      </c>
      <c r="T218" s="17">
        <f>DAY(C218)</f>
        <v/>
      </c>
      <c r="U218" s="17">
        <f>MONTH(C218)</f>
        <v/>
      </c>
      <c r="V218" s="17" t="n">
        <v>2025</v>
      </c>
    </row>
    <row r="219" hidden="1" ht="22.5" customHeight="1" s="117">
      <c r="A219" s="14" t="n">
        <v>45985.26246394676</v>
      </c>
      <c r="B219" s="17" t="inlineStr">
        <is>
          <t>Lương Duy Hải</t>
        </is>
      </c>
      <c r="C219" s="16" t="n">
        <v>45984</v>
      </c>
      <c r="D219" s="17" t="n">
        <v>1</v>
      </c>
      <c r="E219" s="17" t="n">
        <v>1</v>
      </c>
      <c r="F219" s="17" t="n">
        <v>0</v>
      </c>
      <c r="G219" s="17" t="n">
        <v>0</v>
      </c>
      <c r="H219" s="17" t="n">
        <v>0</v>
      </c>
      <c r="I219" s="17" t="n">
        <v>0</v>
      </c>
      <c r="J219" s="17" t="n">
        <v>0</v>
      </c>
      <c r="K219" s="17" t="n">
        <v>6</v>
      </c>
      <c r="L219" s="17" t="n">
        <v>0</v>
      </c>
      <c r="M219" s="17" t="n">
        <v>1</v>
      </c>
      <c r="N219" s="17" t="n">
        <v>0</v>
      </c>
      <c r="O219" s="17" t="n">
        <v>0</v>
      </c>
      <c r="P219" s="17" t="n">
        <v>0</v>
      </c>
      <c r="Q219" s="17" t="n">
        <v>1</v>
      </c>
      <c r="R219" s="17" t="n">
        <v>1</v>
      </c>
      <c r="T219" s="17">
        <f>DAY(C219)</f>
        <v/>
      </c>
      <c r="U219" s="17">
        <f>MONTH(C219)</f>
        <v/>
      </c>
      <c r="V219" s="17" t="n">
        <v>2025</v>
      </c>
    </row>
    <row r="220" hidden="1" ht="22.5" customHeight="1" s="117">
      <c r="A220" s="14" t="n">
        <v>45985.28569240741</v>
      </c>
      <c r="B220" s="17" t="inlineStr">
        <is>
          <t>Lê Quốc Duy</t>
        </is>
      </c>
      <c r="C220" s="16" t="n">
        <v>45984</v>
      </c>
      <c r="D220" s="17" t="n">
        <v>0</v>
      </c>
      <c r="E220" s="17" t="n">
        <v>0</v>
      </c>
      <c r="F220" s="17" t="n">
        <v>0</v>
      </c>
      <c r="G220" s="17" t="n">
        <v>2</v>
      </c>
      <c r="H220" s="17" t="n">
        <v>2</v>
      </c>
      <c r="I220" s="17" t="n">
        <v>2</v>
      </c>
      <c r="J220" s="17" t="n">
        <v>0</v>
      </c>
      <c r="K220" s="17" t="n">
        <v>6</v>
      </c>
      <c r="L220" s="17" t="n">
        <v>0</v>
      </c>
      <c r="M220" s="17" t="n">
        <v>0</v>
      </c>
      <c r="N220" s="17" t="n">
        <v>0</v>
      </c>
      <c r="O220" s="17" t="n">
        <v>0</v>
      </c>
      <c r="P220" s="17" t="n">
        <v>1</v>
      </c>
      <c r="Q220" s="17" t="n">
        <v>6</v>
      </c>
      <c r="R220" s="17" t="n">
        <v>0</v>
      </c>
      <c r="T220" s="17">
        <f>DAY(C220)</f>
        <v/>
      </c>
      <c r="U220" s="17">
        <f>MONTH(C220)</f>
        <v/>
      </c>
      <c r="V220" s="17" t="n">
        <v>2025</v>
      </c>
    </row>
    <row r="221" hidden="1" ht="22.5" customHeight="1" s="117">
      <c r="A221" s="14" t="n">
        <v>45985.288715</v>
      </c>
      <c r="B221" s="17" t="inlineStr">
        <is>
          <t>Lương Duy Hoàng</t>
        </is>
      </c>
      <c r="C221" s="16" t="n">
        <v>45984</v>
      </c>
      <c r="D221" s="17" t="n">
        <v>0</v>
      </c>
      <c r="E221" s="17" t="n">
        <v>0</v>
      </c>
      <c r="F221" s="17" t="n">
        <v>0</v>
      </c>
      <c r="G221" s="17" t="n">
        <v>0</v>
      </c>
      <c r="H221" s="17" t="n">
        <v>0</v>
      </c>
      <c r="I221" s="17" t="n">
        <v>0</v>
      </c>
      <c r="J221" s="17" t="n">
        <v>0</v>
      </c>
      <c r="K221" s="17" t="n">
        <v>9</v>
      </c>
      <c r="L221" s="17" t="n">
        <v>0</v>
      </c>
      <c r="M221" s="17" t="n">
        <v>0</v>
      </c>
      <c r="N221" s="17" t="n">
        <v>0</v>
      </c>
      <c r="O221" s="17" t="n">
        <v>0</v>
      </c>
      <c r="P221" s="17" t="n">
        <v>0</v>
      </c>
      <c r="Q221" s="17" t="n">
        <v>2</v>
      </c>
      <c r="R221" s="17" t="n">
        <v>0</v>
      </c>
      <c r="T221" s="17">
        <f>DAY(C221)</f>
        <v/>
      </c>
      <c r="U221" s="17">
        <f>MONTH(C221)</f>
        <v/>
      </c>
      <c r="V221" s="17" t="n">
        <v>2025</v>
      </c>
    </row>
    <row r="222" hidden="1" ht="22.5" customHeight="1" s="117">
      <c r="A222" s="14" t="n">
        <v>45985.2893545949</v>
      </c>
      <c r="B222" s="17" t="inlineStr">
        <is>
          <t>Nguyễn Văn Hiệp</t>
        </is>
      </c>
      <c r="C222" s="16" t="n">
        <v>45983</v>
      </c>
      <c r="D222" s="17" t="n">
        <v>0</v>
      </c>
      <c r="E222" s="17" t="n">
        <v>0</v>
      </c>
      <c r="F222" s="17" t="n">
        <v>0</v>
      </c>
      <c r="G222" s="17" t="n">
        <v>0</v>
      </c>
      <c r="H222" s="17" t="n">
        <v>0</v>
      </c>
      <c r="I222" s="17" t="n">
        <v>0</v>
      </c>
      <c r="J222" s="17" t="n">
        <v>0</v>
      </c>
      <c r="K222" s="17" t="n">
        <v>2</v>
      </c>
      <c r="L222" s="17" t="n">
        <v>0</v>
      </c>
      <c r="M222" s="17" t="n">
        <v>0</v>
      </c>
      <c r="N222" s="17" t="n">
        <v>0</v>
      </c>
      <c r="O222" s="17" t="n">
        <v>0</v>
      </c>
      <c r="P222" s="17" t="n">
        <v>0</v>
      </c>
      <c r="Q222" s="17" t="n">
        <v>0</v>
      </c>
      <c r="R222" s="17" t="n">
        <v>0</v>
      </c>
      <c r="T222" s="17">
        <f>DAY(C222)</f>
        <v/>
      </c>
      <c r="U222" s="17">
        <f>MONTH(C222)</f>
        <v/>
      </c>
      <c r="V222" s="17" t="n">
        <v>2025</v>
      </c>
    </row>
    <row r="223" hidden="1" ht="22.5" customHeight="1" s="117">
      <c r="A223" s="14" t="n">
        <v>45985.29081701389</v>
      </c>
      <c r="B223" s="17" t="inlineStr">
        <is>
          <t>Trần Trung Giang</t>
        </is>
      </c>
      <c r="C223" s="16" t="n">
        <v>45984</v>
      </c>
      <c r="D223" s="17" t="n">
        <v>0</v>
      </c>
      <c r="E223" s="17" t="n">
        <v>0</v>
      </c>
      <c r="F223" s="17" t="n">
        <v>0</v>
      </c>
      <c r="G223" s="17" t="n">
        <v>0</v>
      </c>
      <c r="H223" s="17" t="n">
        <v>0</v>
      </c>
      <c r="I223" s="17" t="n">
        <v>2</v>
      </c>
      <c r="J223" s="17" t="n">
        <v>0</v>
      </c>
      <c r="K223" s="17" t="n">
        <v>0</v>
      </c>
      <c r="L223" s="17" t="n">
        <v>0</v>
      </c>
      <c r="M223" s="17" t="n">
        <v>0</v>
      </c>
      <c r="N223" s="17" t="n">
        <v>0</v>
      </c>
      <c r="O223" s="17" t="n">
        <v>0</v>
      </c>
      <c r="P223" s="17" t="n">
        <v>0</v>
      </c>
      <c r="Q223" s="17" t="n">
        <v>0</v>
      </c>
      <c r="R223" s="17" t="n">
        <v>0</v>
      </c>
      <c r="T223" s="17">
        <f>DAY(C223)</f>
        <v/>
      </c>
      <c r="U223" s="17">
        <f>MONTH(C223)</f>
        <v/>
      </c>
      <c r="V223" s="17" t="n">
        <v>2025</v>
      </c>
    </row>
    <row r="224" hidden="1" ht="22.5" customHeight="1" s="117">
      <c r="A224" s="14" t="n">
        <v>45985.29193758102</v>
      </c>
      <c r="B224" s="17" t="inlineStr">
        <is>
          <t>Nguyễn Tuấn Anh</t>
        </is>
      </c>
      <c r="C224" s="16" t="n">
        <v>45984</v>
      </c>
      <c r="D224" s="17" t="n">
        <v>1</v>
      </c>
      <c r="E224" s="17" t="n">
        <v>0</v>
      </c>
      <c r="F224" s="17" t="n">
        <v>0</v>
      </c>
      <c r="G224" s="17" t="n">
        <v>0</v>
      </c>
      <c r="H224" s="17" t="n">
        <v>0</v>
      </c>
      <c r="I224" s="17" t="n">
        <v>2</v>
      </c>
      <c r="J224" s="17" t="n">
        <v>0</v>
      </c>
      <c r="K224" s="17" t="n">
        <v>4</v>
      </c>
      <c r="L224" s="17" t="n">
        <v>0</v>
      </c>
      <c r="M224" s="17" t="n">
        <v>0</v>
      </c>
      <c r="N224" s="17" t="n">
        <v>0</v>
      </c>
      <c r="O224" s="17" t="n">
        <v>0</v>
      </c>
      <c r="P224" s="17" t="n">
        <v>1</v>
      </c>
      <c r="Q224" s="17" t="n">
        <v>2</v>
      </c>
      <c r="R224" s="17" t="n">
        <v>0</v>
      </c>
      <c r="T224" s="17">
        <f>DAY(C224)</f>
        <v/>
      </c>
      <c r="U224" s="17">
        <f>MONTH(C224)</f>
        <v/>
      </c>
      <c r="V224" s="17" t="n">
        <v>2025</v>
      </c>
    </row>
    <row r="225" hidden="1" ht="22.5" customHeight="1" s="117">
      <c r="A225" s="14" t="n">
        <v>45985.29385711806</v>
      </c>
      <c r="B225" s="17" t="inlineStr">
        <is>
          <t>Nguyễn Quang Anh Tuấn</t>
        </is>
      </c>
      <c r="C225" s="16" t="n">
        <v>45984</v>
      </c>
      <c r="D225" s="17" t="n">
        <v>0</v>
      </c>
      <c r="E225" s="17" t="n">
        <v>0</v>
      </c>
      <c r="F225" s="17" t="n">
        <v>0</v>
      </c>
      <c r="G225" s="17" t="n">
        <v>0</v>
      </c>
      <c r="I225" s="17" t="n">
        <v>0</v>
      </c>
      <c r="J225" s="17" t="n">
        <v>0</v>
      </c>
      <c r="K225" s="17" t="n">
        <v>1</v>
      </c>
      <c r="L225" s="17" t="n">
        <v>0</v>
      </c>
      <c r="M225" s="17" t="n">
        <v>0</v>
      </c>
      <c r="N225" s="17" t="n">
        <v>0</v>
      </c>
      <c r="O225" s="17" t="n">
        <v>0</v>
      </c>
      <c r="P225" s="17" t="n">
        <v>0</v>
      </c>
      <c r="Q225" s="17" t="n">
        <v>0</v>
      </c>
      <c r="R225" s="17" t="n">
        <v>0</v>
      </c>
      <c r="T225" s="17">
        <f>DAY(C225)</f>
        <v/>
      </c>
      <c r="U225" s="17">
        <f>MONTH(C225)</f>
        <v/>
      </c>
      <c r="V225" s="17" t="n">
        <v>2025</v>
      </c>
    </row>
    <row r="226" hidden="1" ht="22.5" customHeight="1" s="117">
      <c r="A226" s="14" t="n">
        <v>45985.29471778935</v>
      </c>
      <c r="B226" s="17" t="inlineStr">
        <is>
          <t>Vòng Nhật Sang</t>
        </is>
      </c>
      <c r="C226" s="16" t="n">
        <v>45984</v>
      </c>
      <c r="D226" s="17" t="n">
        <v>0</v>
      </c>
      <c r="E226" s="17" t="n">
        <v>0</v>
      </c>
      <c r="F226" s="17" t="n">
        <v>0</v>
      </c>
      <c r="G226" s="17" t="n">
        <v>0</v>
      </c>
      <c r="H226" s="17" t="n">
        <v>0</v>
      </c>
      <c r="I226" s="17" t="n">
        <v>0</v>
      </c>
      <c r="J226" s="17" t="n">
        <v>0</v>
      </c>
      <c r="K226" s="17" t="n">
        <v>10</v>
      </c>
      <c r="L226" s="17" t="n">
        <v>0</v>
      </c>
      <c r="M226" s="17" t="n">
        <v>0</v>
      </c>
      <c r="N226" s="17" t="n">
        <v>0</v>
      </c>
      <c r="O226" s="17" t="n">
        <v>0</v>
      </c>
      <c r="P226" s="17" t="n">
        <v>1</v>
      </c>
      <c r="Q226" s="17" t="n">
        <v>2</v>
      </c>
      <c r="R226" s="17" t="n">
        <v>0</v>
      </c>
      <c r="T226" s="17">
        <f>DAY(C226)</f>
        <v/>
      </c>
      <c r="U226" s="17">
        <f>MONTH(C226)</f>
        <v/>
      </c>
      <c r="V226" s="17" t="n">
        <v>2025</v>
      </c>
    </row>
    <row r="227" hidden="1" ht="22.5" customHeight="1" s="117">
      <c r="A227" s="14" t="n">
        <v>45985.29961543981</v>
      </c>
      <c r="B227" s="17" t="inlineStr">
        <is>
          <t>Huỳnh Văn Lực</t>
        </is>
      </c>
      <c r="C227" s="16" t="n">
        <v>45984</v>
      </c>
      <c r="D227" s="17" t="n">
        <v>0</v>
      </c>
      <c r="E227" s="17" t="n">
        <v>0</v>
      </c>
      <c r="F227" s="17" t="n">
        <v>0</v>
      </c>
      <c r="G227" s="17" t="n">
        <v>0</v>
      </c>
      <c r="H227" s="17" t="n">
        <v>0</v>
      </c>
      <c r="I227" s="17" t="n">
        <v>0</v>
      </c>
      <c r="J227" s="17" t="n">
        <v>0</v>
      </c>
      <c r="K227" s="17" t="n">
        <v>5</v>
      </c>
      <c r="L227" s="17" t="n">
        <v>0</v>
      </c>
      <c r="M227" s="17" t="n">
        <v>0</v>
      </c>
      <c r="N227" s="17" t="n">
        <v>0</v>
      </c>
      <c r="O227" s="17" t="n">
        <v>0</v>
      </c>
      <c r="P227" s="17" t="n">
        <v>0</v>
      </c>
      <c r="Q227" s="17" t="n">
        <v>1</v>
      </c>
      <c r="R227" s="17" t="n">
        <v>1</v>
      </c>
      <c r="T227" s="17">
        <f>DAY(C227)</f>
        <v/>
      </c>
      <c r="U227" s="17">
        <f>MONTH(C227)</f>
        <v/>
      </c>
      <c r="V227" s="17" t="n">
        <v>2025</v>
      </c>
    </row>
    <row r="228" hidden="1" ht="22.5" customHeight="1" s="117">
      <c r="A228" s="14" t="n">
        <v>45985.29971739584</v>
      </c>
      <c r="B228" s="17" t="inlineStr">
        <is>
          <t>Phan Ngọc Sang</t>
        </is>
      </c>
      <c r="C228" s="16" t="n">
        <v>45984</v>
      </c>
      <c r="D228" s="17" t="n">
        <v>0</v>
      </c>
      <c r="E228" s="17" t="n">
        <v>0</v>
      </c>
      <c r="F228" s="17" t="n">
        <v>0</v>
      </c>
      <c r="G228" s="17" t="n">
        <v>0</v>
      </c>
      <c r="H228" s="17" t="n">
        <v>0</v>
      </c>
      <c r="I228" s="17" t="n">
        <v>1</v>
      </c>
      <c r="J228" s="17" t="n">
        <v>0</v>
      </c>
      <c r="K228" s="17" t="n">
        <v>2</v>
      </c>
      <c r="L228" s="17" t="n">
        <v>0</v>
      </c>
      <c r="M228" s="17" t="n">
        <v>0</v>
      </c>
      <c r="N228" s="17" t="n">
        <v>1</v>
      </c>
      <c r="O228" s="18" t="inlineStr">
        <is>
          <t>01</t>
        </is>
      </c>
      <c r="P228" s="17" t="n">
        <v>1</v>
      </c>
      <c r="Q228" s="17" t="n">
        <v>3</v>
      </c>
      <c r="R228" s="17" t="n">
        <v>0</v>
      </c>
      <c r="T228" s="17">
        <f>DAY(C228)</f>
        <v/>
      </c>
      <c r="U228" s="17">
        <f>MONTH(C228)</f>
        <v/>
      </c>
      <c r="V228" s="17" t="n">
        <v>2025</v>
      </c>
    </row>
    <row r="229" hidden="1" ht="22.5" customHeight="1" s="117">
      <c r="A229" s="14" t="n">
        <v>45985.30076909722</v>
      </c>
      <c r="B229" s="17" t="inlineStr">
        <is>
          <t>Đào Công Trung</t>
        </is>
      </c>
      <c r="C229" s="16" t="n">
        <v>45984</v>
      </c>
      <c r="D229" s="17" t="n">
        <v>0</v>
      </c>
      <c r="E229" s="17" t="n">
        <v>0</v>
      </c>
      <c r="F229" s="17" t="n">
        <v>0</v>
      </c>
      <c r="G229" s="17" t="n">
        <v>0</v>
      </c>
      <c r="H229" s="17" t="n">
        <v>0</v>
      </c>
      <c r="I229" s="17" t="n">
        <v>0</v>
      </c>
      <c r="J229" s="17" t="n">
        <v>0</v>
      </c>
      <c r="K229" s="17" t="n">
        <v>18</v>
      </c>
      <c r="L229" s="17" t="n">
        <v>0</v>
      </c>
      <c r="M229" s="17" t="n">
        <v>0</v>
      </c>
      <c r="N229" s="17" t="n">
        <v>0</v>
      </c>
      <c r="O229" s="17" t="n">
        <v>0</v>
      </c>
      <c r="P229" s="17" t="n">
        <v>0</v>
      </c>
      <c r="Q229" s="17" t="n">
        <v>3</v>
      </c>
      <c r="R229" s="17" t="n">
        <v>0</v>
      </c>
      <c r="T229" s="17">
        <f>DAY(C229)</f>
        <v/>
      </c>
      <c r="U229" s="17">
        <f>MONTH(C229)</f>
        <v/>
      </c>
      <c r="V229" s="17" t="n">
        <v>2025</v>
      </c>
    </row>
    <row r="230" hidden="1" ht="22.5" customHeight="1" s="117">
      <c r="A230" s="14" t="n">
        <v>45985.30565277778</v>
      </c>
      <c r="B230" s="17" t="inlineStr">
        <is>
          <t>Nguyễn Văn Nhật</t>
        </is>
      </c>
      <c r="C230" s="16" t="n">
        <v>45983</v>
      </c>
      <c r="D230" s="17" t="n">
        <v>0</v>
      </c>
      <c r="E230" s="17" t="n">
        <v>0</v>
      </c>
      <c r="F230" s="17" t="n">
        <v>0</v>
      </c>
      <c r="G230" s="17" t="n">
        <v>0</v>
      </c>
      <c r="H230" s="17" t="n">
        <v>0</v>
      </c>
      <c r="I230" s="17" t="n">
        <v>0</v>
      </c>
      <c r="J230" s="17" t="n">
        <v>0</v>
      </c>
      <c r="K230" s="17" t="n">
        <v>6</v>
      </c>
      <c r="L230" s="17" t="n">
        <v>1</v>
      </c>
      <c r="M230" s="17" t="n">
        <v>0</v>
      </c>
      <c r="N230" s="17" t="n">
        <v>0</v>
      </c>
      <c r="O230" s="17" t="n">
        <v>0</v>
      </c>
      <c r="P230" s="17" t="n">
        <v>1</v>
      </c>
      <c r="Q230" s="17" t="n">
        <v>2</v>
      </c>
      <c r="R230" s="17" t="n">
        <v>0</v>
      </c>
      <c r="T230" s="17">
        <f>DAY(C230)</f>
        <v/>
      </c>
      <c r="U230" s="17">
        <f>MONTH(C230)</f>
        <v/>
      </c>
      <c r="V230" s="17" t="n">
        <v>2025</v>
      </c>
    </row>
    <row r="231" hidden="1" ht="22.5" customHeight="1" s="117">
      <c r="A231" s="14" t="n">
        <v>45985.30712462963</v>
      </c>
      <c r="B231" s="17" t="inlineStr">
        <is>
          <t>Nguyễn Văn Nhật</t>
        </is>
      </c>
      <c r="C231" s="16" t="n">
        <v>45984</v>
      </c>
      <c r="D231" s="17" t="n">
        <v>0</v>
      </c>
      <c r="E231" s="17" t="n">
        <v>0</v>
      </c>
      <c r="F231" s="17" t="n">
        <v>0</v>
      </c>
      <c r="G231" s="17" t="n">
        <v>1</v>
      </c>
      <c r="H231" s="17" t="n">
        <v>0</v>
      </c>
      <c r="I231" s="17" t="n">
        <v>0</v>
      </c>
      <c r="J231" s="17" t="n">
        <v>0</v>
      </c>
      <c r="K231" s="17" t="n">
        <v>10</v>
      </c>
      <c r="L231" s="17" t="n">
        <v>0</v>
      </c>
      <c r="M231" s="17" t="n">
        <v>1</v>
      </c>
      <c r="N231" s="17" t="n">
        <v>0</v>
      </c>
      <c r="O231" s="17" t="n">
        <v>1</v>
      </c>
      <c r="P231" s="17" t="n">
        <v>2</v>
      </c>
      <c r="Q231" s="17" t="n">
        <v>0</v>
      </c>
      <c r="R231" s="17" t="n">
        <v>0</v>
      </c>
      <c r="T231" s="17">
        <f>DAY(C231)</f>
        <v/>
      </c>
      <c r="U231" s="17">
        <f>MONTH(C231)</f>
        <v/>
      </c>
      <c r="V231" s="17" t="n">
        <v>2025</v>
      </c>
    </row>
    <row r="232" hidden="1" ht="22.5" customHeight="1" s="117">
      <c r="A232" s="14" t="n">
        <v>45985.30944439815</v>
      </c>
      <c r="B232" s="17" t="inlineStr">
        <is>
          <t>Dương Minh Tiến</t>
        </is>
      </c>
      <c r="C232" s="16" t="n">
        <v>45984</v>
      </c>
      <c r="D232" s="17" t="n">
        <v>0</v>
      </c>
      <c r="E232" s="17" t="n">
        <v>0</v>
      </c>
      <c r="F232" s="17" t="n">
        <v>0</v>
      </c>
      <c r="G232" s="17" t="n">
        <v>0</v>
      </c>
      <c r="H232" s="17" t="n">
        <v>0</v>
      </c>
      <c r="I232" s="17" t="n">
        <v>0</v>
      </c>
      <c r="J232" s="17" t="n">
        <v>0</v>
      </c>
      <c r="K232" s="17" t="n">
        <v>9</v>
      </c>
      <c r="L232" s="17" t="n">
        <v>0</v>
      </c>
      <c r="M232" s="17" t="n">
        <v>0</v>
      </c>
      <c r="N232" s="17" t="n">
        <v>0</v>
      </c>
      <c r="O232" s="17" t="n">
        <v>0</v>
      </c>
      <c r="P232" s="17" t="n">
        <v>0</v>
      </c>
      <c r="Q232" s="17" t="n">
        <v>0</v>
      </c>
      <c r="R232" s="17" t="n">
        <v>0</v>
      </c>
      <c r="T232" s="17">
        <f>DAY(C232)</f>
        <v/>
      </c>
      <c r="U232" s="17">
        <f>MONTH(C232)</f>
        <v/>
      </c>
      <c r="V232" s="17" t="n">
        <v>2025</v>
      </c>
    </row>
    <row r="233" hidden="1" ht="22.5" customHeight="1" s="117">
      <c r="A233" s="14" t="n">
        <v>45985.30987387731</v>
      </c>
      <c r="B233" s="17" t="inlineStr">
        <is>
          <t>Hồ Xuân Việt</t>
        </is>
      </c>
      <c r="C233" s="16" t="n">
        <v>45984</v>
      </c>
      <c r="D233" s="17" t="n">
        <v>0</v>
      </c>
      <c r="E233" s="17" t="n">
        <v>0</v>
      </c>
      <c r="F233" s="17" t="n">
        <v>0</v>
      </c>
      <c r="G233" s="17" t="n">
        <v>0</v>
      </c>
      <c r="H233" s="17" t="n">
        <v>1</v>
      </c>
      <c r="I233" s="17" t="n">
        <v>0</v>
      </c>
      <c r="J233" s="17" t="n">
        <v>0</v>
      </c>
      <c r="K233" s="17" t="n">
        <v>8</v>
      </c>
      <c r="L233" s="17" t="n">
        <v>0</v>
      </c>
      <c r="M233" s="17" t="n">
        <v>0</v>
      </c>
      <c r="N233" s="17" t="n">
        <v>1</v>
      </c>
      <c r="O233" s="17" t="n">
        <v>0</v>
      </c>
      <c r="P233" s="17" t="n">
        <v>1</v>
      </c>
      <c r="Q233" s="17" t="n">
        <v>3</v>
      </c>
      <c r="R233" s="17" t="n">
        <v>0</v>
      </c>
      <c r="T233" s="17">
        <f>DAY(C233)</f>
        <v/>
      </c>
      <c r="U233" s="17">
        <f>MONTH(C233)</f>
        <v/>
      </c>
      <c r="V233" s="17" t="n">
        <v>2025</v>
      </c>
    </row>
    <row r="234" hidden="1" ht="22.5" customHeight="1" s="117">
      <c r="A234" s="14" t="n">
        <v>45985.31072673611</v>
      </c>
      <c r="B234" s="17" t="inlineStr">
        <is>
          <t>Trần Xuân Khoa</t>
        </is>
      </c>
      <c r="C234" s="16" t="n">
        <v>45984</v>
      </c>
      <c r="D234" s="17" t="n">
        <v>0</v>
      </c>
      <c r="E234" s="17" t="n">
        <v>0</v>
      </c>
      <c r="F234" s="17" t="n">
        <v>0</v>
      </c>
      <c r="G234" s="17" t="n">
        <v>0</v>
      </c>
      <c r="H234" s="17" t="n">
        <v>0</v>
      </c>
      <c r="I234" s="17" t="n">
        <v>0</v>
      </c>
      <c r="J234" s="17" t="n">
        <v>0</v>
      </c>
      <c r="K234" s="17" t="n">
        <v>10</v>
      </c>
      <c r="L234" s="17" t="n">
        <v>0</v>
      </c>
      <c r="M234" s="17" t="n">
        <v>0</v>
      </c>
      <c r="N234" s="17" t="n">
        <v>0</v>
      </c>
      <c r="O234" s="17" t="n">
        <v>0</v>
      </c>
      <c r="P234" s="17" t="n">
        <v>0</v>
      </c>
      <c r="Q234" s="17" t="n">
        <v>4</v>
      </c>
      <c r="R234" s="17" t="n">
        <v>0</v>
      </c>
      <c r="T234" s="17">
        <f>DAY(C234)</f>
        <v/>
      </c>
      <c r="U234" s="17">
        <f>MONTH(C234)</f>
        <v/>
      </c>
      <c r="V234" s="17" t="n">
        <v>2025</v>
      </c>
    </row>
    <row r="235" hidden="1" ht="22.5" customHeight="1" s="117">
      <c r="A235" s="14" t="n">
        <v>45985.31805751158</v>
      </c>
      <c r="B235" s="17" t="inlineStr">
        <is>
          <t>Phan Thành Thái</t>
        </is>
      </c>
      <c r="C235" s="16" t="n">
        <v>45984</v>
      </c>
      <c r="D235" s="17" t="n">
        <v>0</v>
      </c>
      <c r="E235" s="17" t="n">
        <v>0</v>
      </c>
      <c r="F235" s="17" t="n">
        <v>0</v>
      </c>
      <c r="G235" s="17" t="n">
        <v>0</v>
      </c>
      <c r="H235" s="17" t="n">
        <v>0</v>
      </c>
      <c r="I235" s="17" t="n">
        <v>2</v>
      </c>
      <c r="J235" s="17" t="n">
        <v>0</v>
      </c>
      <c r="K235" s="17" t="n">
        <v>10</v>
      </c>
      <c r="L235" s="17" t="n">
        <v>0</v>
      </c>
      <c r="M235" s="17" t="n">
        <v>0</v>
      </c>
      <c r="N235" s="17" t="n">
        <v>2</v>
      </c>
      <c r="O235" s="17" t="n">
        <v>0</v>
      </c>
      <c r="P235" s="17" t="n">
        <v>2</v>
      </c>
      <c r="Q235" s="17" t="n">
        <v>3</v>
      </c>
      <c r="R235" s="17" t="n">
        <v>0</v>
      </c>
      <c r="T235" s="17">
        <f>DAY(C235)</f>
        <v/>
      </c>
      <c r="U235" s="17">
        <f>MONTH(C235)</f>
        <v/>
      </c>
      <c r="V235" s="17" t="n">
        <v>2025</v>
      </c>
    </row>
    <row r="236" hidden="1" ht="22.5" customHeight="1" s="117">
      <c r="A236" s="14" t="n">
        <v>45985.33327729167</v>
      </c>
      <c r="B236" s="17" t="inlineStr">
        <is>
          <t>Nguyễn Thành Lâm</t>
        </is>
      </c>
      <c r="C236" s="16" t="n">
        <v>45984</v>
      </c>
      <c r="D236" s="17" t="n">
        <v>0</v>
      </c>
      <c r="E236" s="17" t="n">
        <v>1</v>
      </c>
      <c r="F236" s="17" t="n">
        <v>1</v>
      </c>
      <c r="G236" s="17" t="n">
        <v>0</v>
      </c>
      <c r="H236" s="17" t="n">
        <v>0</v>
      </c>
      <c r="I236" s="17" t="n">
        <v>2</v>
      </c>
      <c r="J236" s="17" t="n">
        <v>1</v>
      </c>
      <c r="K236" s="17" t="n">
        <v>10</v>
      </c>
      <c r="L236" s="17" t="n">
        <v>0</v>
      </c>
      <c r="M236" s="17" t="n">
        <v>0</v>
      </c>
      <c r="N236" s="17" t="n">
        <v>2</v>
      </c>
      <c r="O236" s="17" t="n">
        <v>0</v>
      </c>
      <c r="P236" s="17" t="n">
        <v>0</v>
      </c>
      <c r="Q236" s="17" t="n">
        <v>3</v>
      </c>
      <c r="R236" s="17" t="n">
        <v>0</v>
      </c>
      <c r="T236" s="17">
        <f>DAY(C236)</f>
        <v/>
      </c>
      <c r="U236" s="17">
        <f>MONTH(C236)</f>
        <v/>
      </c>
      <c r="V236" s="17" t="n">
        <v>2025</v>
      </c>
    </row>
    <row r="237" hidden="1" ht="22.5" customHeight="1" s="117">
      <c r="A237" s="14" t="n">
        <v>45985.36968877315</v>
      </c>
      <c r="B237" s="17" t="inlineStr">
        <is>
          <t>Đặng Hoài Anh</t>
        </is>
      </c>
      <c r="C237" s="16" t="n">
        <v>45984</v>
      </c>
      <c r="D237" s="17" t="n">
        <v>0</v>
      </c>
      <c r="E237" s="17" t="n">
        <v>0</v>
      </c>
      <c r="F237" s="17" t="n">
        <v>0</v>
      </c>
      <c r="G237" s="17" t="n">
        <v>0</v>
      </c>
      <c r="H237" s="17" t="n">
        <v>0</v>
      </c>
      <c r="I237" s="17" t="n">
        <v>1</v>
      </c>
      <c r="J237" s="17" t="n">
        <v>0</v>
      </c>
      <c r="K237" s="17" t="n">
        <v>2</v>
      </c>
      <c r="L237" s="17" t="n">
        <v>0</v>
      </c>
      <c r="M237" s="17" t="n">
        <v>0</v>
      </c>
      <c r="N237" s="17" t="n">
        <v>0</v>
      </c>
      <c r="O237" s="17" t="n">
        <v>0</v>
      </c>
      <c r="P237" s="17" t="n">
        <v>0</v>
      </c>
      <c r="Q237" s="17" t="n">
        <v>1</v>
      </c>
      <c r="R237" s="17" t="n">
        <v>0</v>
      </c>
      <c r="T237" s="17">
        <f>DAY(C237)</f>
        <v/>
      </c>
      <c r="U237" s="17">
        <f>MONTH(C237)</f>
        <v/>
      </c>
      <c r="V237" s="17" t="n">
        <v>2025</v>
      </c>
    </row>
    <row r="238" hidden="1" ht="22.5" customHeight="1" s="117">
      <c r="A238" s="14" t="n">
        <v>45985.49664333333</v>
      </c>
      <c r="B238" s="17" t="inlineStr">
        <is>
          <t>Bùi Duy Cường</t>
        </is>
      </c>
      <c r="C238" s="16" t="n">
        <v>45984</v>
      </c>
      <c r="D238" s="17" t="n">
        <v>1</v>
      </c>
      <c r="E238" s="17" t="n">
        <v>0</v>
      </c>
      <c r="F238" s="17" t="n">
        <v>0</v>
      </c>
      <c r="G238" s="17" t="n">
        <v>0</v>
      </c>
      <c r="H238" s="17" t="n">
        <v>0</v>
      </c>
      <c r="I238" s="17" t="n">
        <v>2</v>
      </c>
      <c r="J238" s="17" t="n">
        <v>0</v>
      </c>
      <c r="K238" s="17" t="n">
        <v>12</v>
      </c>
      <c r="L238" s="17" t="n">
        <v>0</v>
      </c>
      <c r="M238" s="17" t="n">
        <v>1</v>
      </c>
      <c r="N238" s="17" t="n">
        <v>0</v>
      </c>
      <c r="O238" s="17" t="n">
        <v>0</v>
      </c>
      <c r="P238" s="17" t="n">
        <v>1</v>
      </c>
      <c r="Q238" s="17" t="n">
        <v>3</v>
      </c>
      <c r="R238" s="17" t="n">
        <v>0</v>
      </c>
      <c r="T238" s="17">
        <f>DAY(C238)</f>
        <v/>
      </c>
      <c r="U238" s="17">
        <f>MONTH(C238)</f>
        <v/>
      </c>
      <c r="V238" s="17" t="n">
        <v>2025</v>
      </c>
    </row>
    <row r="239" hidden="1" ht="22.5" customHeight="1" s="117">
      <c r="A239" s="14" t="n">
        <v>45985.89324802083</v>
      </c>
      <c r="B239" s="17" t="inlineStr">
        <is>
          <t>Đặng Hữu Danh</t>
        </is>
      </c>
      <c r="C239" s="16" t="n">
        <v>45985</v>
      </c>
      <c r="D239" s="17" t="n">
        <v>1</v>
      </c>
      <c r="E239" s="17" t="n">
        <v>0</v>
      </c>
      <c r="F239" s="17" t="n">
        <v>0</v>
      </c>
      <c r="G239" s="17" t="n">
        <v>0</v>
      </c>
      <c r="H239" s="17" t="n">
        <v>0</v>
      </c>
      <c r="I239" s="17" t="n">
        <v>1</v>
      </c>
      <c r="J239" s="17" t="n">
        <v>0</v>
      </c>
      <c r="K239" s="17" t="n">
        <v>5</v>
      </c>
      <c r="L239" s="17" t="n">
        <v>0</v>
      </c>
      <c r="M239" s="17" t="n">
        <v>1</v>
      </c>
      <c r="N239" s="17" t="n">
        <v>2</v>
      </c>
      <c r="O239" s="17" t="n">
        <v>0</v>
      </c>
      <c r="P239" s="17" t="n">
        <v>1</v>
      </c>
      <c r="Q239" s="17" t="n">
        <v>4</v>
      </c>
      <c r="R239" s="17" t="n">
        <v>0</v>
      </c>
      <c r="T239" s="17">
        <f>DAY(C239)</f>
        <v/>
      </c>
      <c r="U239" s="17">
        <f>MONTH(C239)</f>
        <v/>
      </c>
      <c r="V239" s="17" t="n">
        <v>2025</v>
      </c>
    </row>
    <row r="240" hidden="1" ht="22.5" customHeight="1" s="117">
      <c r="A240" s="14" t="n">
        <v>45985.8948858912</v>
      </c>
      <c r="B240" s="17" t="inlineStr">
        <is>
          <t>Lê Quốc Duy</t>
        </is>
      </c>
      <c r="C240" s="16" t="n">
        <v>45985</v>
      </c>
      <c r="D240" s="17" t="n">
        <v>0</v>
      </c>
      <c r="E240" s="17" t="n">
        <v>0</v>
      </c>
      <c r="F240" s="17" t="n">
        <v>0</v>
      </c>
      <c r="G240" s="17" t="n">
        <v>0</v>
      </c>
      <c r="H240" s="17" t="n">
        <v>0</v>
      </c>
      <c r="I240" s="17" t="n">
        <v>0</v>
      </c>
      <c r="J240" s="17" t="n">
        <v>0</v>
      </c>
      <c r="K240" s="17" t="n">
        <v>16</v>
      </c>
      <c r="L240" s="17" t="n">
        <v>0</v>
      </c>
      <c r="M240" s="17" t="n">
        <v>1</v>
      </c>
      <c r="N240" s="17" t="n">
        <v>0</v>
      </c>
      <c r="O240" s="17" t="n">
        <v>0</v>
      </c>
      <c r="P240" s="17" t="n">
        <v>2</v>
      </c>
      <c r="Q240" s="17" t="n">
        <v>5</v>
      </c>
      <c r="R240" s="17" t="n">
        <v>0</v>
      </c>
      <c r="T240" s="17">
        <f>DAY(C240)</f>
        <v/>
      </c>
      <c r="U240" s="17">
        <f>MONTH(C240)</f>
        <v/>
      </c>
      <c r="V240" s="17" t="n">
        <v>2025</v>
      </c>
    </row>
    <row r="241" hidden="1" ht="22.5" customHeight="1" s="117">
      <c r="A241" s="14" t="n">
        <v>45986.27310976852</v>
      </c>
      <c r="B241" s="17" t="inlineStr">
        <is>
          <t>Nguyễn Văn Hiệp</t>
        </is>
      </c>
      <c r="C241" s="16" t="n">
        <v>45985</v>
      </c>
      <c r="D241" s="17" t="n">
        <v>0</v>
      </c>
      <c r="E241" s="17" t="n">
        <v>0</v>
      </c>
      <c r="F241" s="17" t="n">
        <v>1</v>
      </c>
      <c r="G241" s="17" t="n">
        <v>1</v>
      </c>
      <c r="H241" s="17" t="n">
        <v>0</v>
      </c>
      <c r="I241" s="17" t="n">
        <v>0</v>
      </c>
      <c r="J241" s="17" t="n">
        <v>0</v>
      </c>
      <c r="K241" s="17" t="n">
        <v>8</v>
      </c>
      <c r="L241" s="17" t="n">
        <v>0</v>
      </c>
      <c r="M241" s="17" t="n">
        <v>2</v>
      </c>
      <c r="N241" s="17" t="n">
        <v>0</v>
      </c>
      <c r="O241" s="17" t="n">
        <v>0</v>
      </c>
      <c r="P241" s="17" t="n">
        <v>1</v>
      </c>
      <c r="Q241" s="17" t="n">
        <v>0</v>
      </c>
      <c r="R241" s="17" t="n">
        <v>0</v>
      </c>
      <c r="T241" s="17">
        <f>DAY(C241)</f>
        <v/>
      </c>
      <c r="U241" s="17">
        <f>MONTH(C241)</f>
        <v/>
      </c>
      <c r="V241" s="17" t="n">
        <v>2025</v>
      </c>
    </row>
    <row r="242" hidden="1" ht="22.5" customHeight="1" s="117">
      <c r="A242" s="14" t="n">
        <v>45986.29075521991</v>
      </c>
      <c r="B242" s="17" t="inlineStr">
        <is>
          <t>Trần Xuân Khoa</t>
        </is>
      </c>
      <c r="C242" s="16" t="n">
        <v>45985</v>
      </c>
      <c r="D242" s="17" t="n">
        <v>0</v>
      </c>
      <c r="E242" s="17" t="n">
        <v>0</v>
      </c>
      <c r="F242" s="17" t="n">
        <v>0</v>
      </c>
      <c r="G242" s="17" t="n">
        <v>0</v>
      </c>
      <c r="H242" s="17" t="n">
        <v>0</v>
      </c>
      <c r="I242" s="17" t="n">
        <v>0</v>
      </c>
      <c r="J242" s="17" t="n">
        <v>0</v>
      </c>
      <c r="K242" s="17" t="n">
        <v>7</v>
      </c>
      <c r="L242" s="17" t="n">
        <v>0</v>
      </c>
      <c r="M242" s="17" t="n">
        <v>1</v>
      </c>
      <c r="N242" s="17" t="n">
        <v>0</v>
      </c>
      <c r="O242" s="17" t="n">
        <v>0</v>
      </c>
      <c r="P242" s="17" t="n">
        <v>0</v>
      </c>
      <c r="Q242" s="17" t="n">
        <v>3</v>
      </c>
      <c r="R242" s="17" t="n">
        <v>0</v>
      </c>
      <c r="T242" s="17">
        <f>DAY(C242)</f>
        <v/>
      </c>
      <c r="U242" s="17">
        <f>MONTH(C242)</f>
        <v/>
      </c>
      <c r="V242" s="17" t="n">
        <v>2025</v>
      </c>
    </row>
    <row r="243" hidden="1" ht="22.5" customHeight="1" s="117">
      <c r="A243" s="14" t="n">
        <v>45986.2928046875</v>
      </c>
      <c r="B243" s="17" t="inlineStr">
        <is>
          <t>Lương Duy Hải</t>
        </is>
      </c>
      <c r="C243" s="16" t="n">
        <v>45984</v>
      </c>
      <c r="D243" s="17" t="n">
        <v>0</v>
      </c>
      <c r="E243" s="17" t="n">
        <v>0</v>
      </c>
      <c r="F243" s="17" t="n">
        <v>0</v>
      </c>
      <c r="G243" s="17" t="n">
        <v>0</v>
      </c>
      <c r="H243" s="17" t="n">
        <v>0</v>
      </c>
      <c r="I243" s="17" t="n">
        <v>0</v>
      </c>
      <c r="J243" s="17" t="n">
        <v>0</v>
      </c>
      <c r="K243" s="17" t="n">
        <v>6</v>
      </c>
      <c r="L243" s="17" t="n">
        <v>0</v>
      </c>
      <c r="M243" s="17" t="n">
        <v>0</v>
      </c>
      <c r="N243" s="17" t="n">
        <v>0</v>
      </c>
      <c r="O243" s="17" t="n">
        <v>0</v>
      </c>
      <c r="P243" s="17" t="n">
        <v>2</v>
      </c>
      <c r="Q243" s="17" t="n">
        <v>2</v>
      </c>
      <c r="R243" s="17" t="n">
        <v>0</v>
      </c>
      <c r="T243" s="17">
        <f>DAY(C243)</f>
        <v/>
      </c>
      <c r="U243" s="17">
        <f>MONTH(C243)</f>
        <v/>
      </c>
      <c r="V243" s="17" t="n">
        <v>2025</v>
      </c>
    </row>
    <row r="244" hidden="1" ht="22.5" customHeight="1" s="117">
      <c r="A244" s="14" t="n">
        <v>45986.29303619213</v>
      </c>
      <c r="B244" s="17" t="inlineStr">
        <is>
          <t>Lương Duy Hoàng</t>
        </is>
      </c>
      <c r="C244" s="16" t="n">
        <v>45985</v>
      </c>
      <c r="D244" s="17" t="n">
        <v>0</v>
      </c>
      <c r="E244" s="17" t="n">
        <v>0</v>
      </c>
      <c r="F244" s="17" t="n">
        <v>0</v>
      </c>
      <c r="G244" s="17" t="n">
        <v>0</v>
      </c>
      <c r="H244" s="17" t="n">
        <v>0</v>
      </c>
      <c r="I244" s="17" t="n">
        <v>0</v>
      </c>
      <c r="J244" s="17" t="n">
        <v>0</v>
      </c>
      <c r="K244" s="17" t="n">
        <v>6</v>
      </c>
      <c r="L244" s="17" t="n">
        <v>0</v>
      </c>
      <c r="M244" s="17" t="n">
        <v>0</v>
      </c>
      <c r="N244" s="17" t="n">
        <v>0</v>
      </c>
      <c r="O244" s="17" t="n">
        <v>0</v>
      </c>
      <c r="P244" s="17" t="n">
        <v>0</v>
      </c>
      <c r="Q244" s="17" t="n">
        <v>3</v>
      </c>
      <c r="R244" s="17" t="n">
        <v>0</v>
      </c>
      <c r="T244" s="17">
        <f>DAY(C244)</f>
        <v/>
      </c>
      <c r="U244" s="17">
        <f>MONTH(C244)</f>
        <v/>
      </c>
      <c r="V244" s="17" t="n">
        <v>2025</v>
      </c>
    </row>
    <row r="245" hidden="1" ht="22.5" customHeight="1" s="117">
      <c r="A245" s="14" t="n">
        <v>45986.2942275926</v>
      </c>
      <c r="B245" s="17" t="inlineStr">
        <is>
          <t>Lương Duy Hải</t>
        </is>
      </c>
      <c r="C245" s="16" t="n">
        <v>45985</v>
      </c>
      <c r="D245" s="17" t="n">
        <v>0</v>
      </c>
      <c r="E245" s="17" t="n">
        <v>0</v>
      </c>
      <c r="F245" s="17" t="n">
        <v>0</v>
      </c>
      <c r="G245" s="17" t="n">
        <v>0</v>
      </c>
      <c r="H245" s="17" t="n">
        <v>0</v>
      </c>
      <c r="I245" s="17" t="n">
        <v>0</v>
      </c>
      <c r="J245" s="17" t="n">
        <v>0</v>
      </c>
      <c r="K245" s="17" t="n">
        <v>6</v>
      </c>
      <c r="L245" s="17" t="n">
        <v>0</v>
      </c>
      <c r="M245" s="17" t="n">
        <v>0</v>
      </c>
      <c r="N245" s="17" t="n">
        <v>0</v>
      </c>
      <c r="O245" s="17" t="n">
        <v>0</v>
      </c>
      <c r="P245" s="17" t="n">
        <v>1</v>
      </c>
      <c r="Q245" s="17" t="n">
        <v>3</v>
      </c>
      <c r="R245" s="17" t="n">
        <v>0</v>
      </c>
      <c r="T245" s="17">
        <f>DAY(C245)</f>
        <v/>
      </c>
      <c r="U245" s="17">
        <f>MONTH(C245)</f>
        <v/>
      </c>
      <c r="V245" s="17" t="n">
        <v>2025</v>
      </c>
    </row>
    <row r="246" hidden="1" ht="22.5" customHeight="1" s="117">
      <c r="A246" s="14" t="n">
        <v>45986.29445908565</v>
      </c>
      <c r="B246" s="17" t="inlineStr">
        <is>
          <t>Nguyễn Quang Anh Tuấn</t>
        </is>
      </c>
      <c r="C246" s="16" t="n">
        <v>45985</v>
      </c>
      <c r="D246" s="17" t="n">
        <v>0</v>
      </c>
      <c r="E246" s="17" t="n">
        <v>0</v>
      </c>
      <c r="F246" s="17" t="n">
        <v>0</v>
      </c>
      <c r="G246" s="17" t="n">
        <v>0</v>
      </c>
      <c r="H246" s="17" t="n">
        <v>0</v>
      </c>
      <c r="I246" s="17" t="n">
        <v>2</v>
      </c>
      <c r="J246" s="17" t="n">
        <v>0</v>
      </c>
      <c r="K246" s="17" t="n">
        <v>9</v>
      </c>
      <c r="L246" s="17" t="n">
        <v>2</v>
      </c>
      <c r="M246" s="17" t="n">
        <v>0</v>
      </c>
      <c r="N246" s="17" t="n">
        <v>0</v>
      </c>
      <c r="O246" s="17" t="n">
        <v>0</v>
      </c>
      <c r="P246" s="17" t="n">
        <v>1</v>
      </c>
      <c r="Q246" s="17" t="n">
        <v>2</v>
      </c>
      <c r="R246" s="17" t="n">
        <v>0</v>
      </c>
      <c r="T246" s="17">
        <f>DAY(C246)</f>
        <v/>
      </c>
      <c r="U246" s="17">
        <f>MONTH(C246)</f>
        <v/>
      </c>
      <c r="V246" s="17" t="n">
        <v>2025</v>
      </c>
    </row>
    <row r="247" hidden="1" ht="22.5" customHeight="1" s="117">
      <c r="A247" s="14" t="n">
        <v>45986.29503652778</v>
      </c>
      <c r="B247" s="17" t="inlineStr">
        <is>
          <t>Trần Trung Giang</t>
        </is>
      </c>
      <c r="C247" s="16" t="n">
        <v>45985</v>
      </c>
      <c r="D247" s="17" t="n">
        <v>0</v>
      </c>
      <c r="E247" s="17" t="n">
        <v>0</v>
      </c>
      <c r="F247" s="17" t="n">
        <v>0</v>
      </c>
      <c r="G247" s="17" t="n">
        <v>0</v>
      </c>
      <c r="H247" s="17" t="n">
        <v>1</v>
      </c>
      <c r="I247" s="17" t="n">
        <v>1</v>
      </c>
      <c r="J247" s="17" t="n">
        <v>0</v>
      </c>
      <c r="K247" s="17" t="n">
        <v>2</v>
      </c>
      <c r="L247" s="17" t="n">
        <v>0</v>
      </c>
      <c r="M247" s="17" t="n">
        <v>0</v>
      </c>
      <c r="N247" s="17" t="n">
        <v>0</v>
      </c>
      <c r="O247" s="17" t="n">
        <v>0</v>
      </c>
      <c r="P247" s="17" t="n">
        <v>0</v>
      </c>
      <c r="Q247" s="17" t="n">
        <v>0</v>
      </c>
      <c r="R247" s="17" t="n">
        <v>0</v>
      </c>
      <c r="T247" s="17">
        <f>DAY(C247)</f>
        <v/>
      </c>
      <c r="U247" s="17">
        <f>MONTH(C247)</f>
        <v/>
      </c>
      <c r="V247" s="17" t="n">
        <v>2025</v>
      </c>
    </row>
    <row r="248" hidden="1" ht="22.5" customHeight="1" s="117">
      <c r="A248" s="14" t="n">
        <v>45986.29584096065</v>
      </c>
      <c r="B248" s="17" t="inlineStr">
        <is>
          <t>Hồ Thái Minh Trí</t>
        </is>
      </c>
      <c r="C248" s="16" t="n">
        <v>45985</v>
      </c>
      <c r="D248" s="17" t="n">
        <v>0</v>
      </c>
      <c r="E248" s="17" t="n">
        <v>0</v>
      </c>
      <c r="F248" s="17" t="n">
        <v>0</v>
      </c>
      <c r="G248" s="17" t="n">
        <v>0</v>
      </c>
      <c r="H248" s="17" t="n">
        <v>0</v>
      </c>
      <c r="I248" s="17" t="n">
        <v>0</v>
      </c>
      <c r="J248" s="17" t="n">
        <v>0</v>
      </c>
      <c r="K248" s="17" t="n">
        <v>16</v>
      </c>
      <c r="L248" s="17" t="n">
        <v>0</v>
      </c>
      <c r="M248" s="17" t="n">
        <v>0</v>
      </c>
      <c r="N248" s="17" t="n">
        <v>0</v>
      </c>
      <c r="O248" s="17" t="n">
        <v>0</v>
      </c>
      <c r="P248" s="17" t="n">
        <v>0</v>
      </c>
      <c r="Q248" s="17" t="n">
        <v>5</v>
      </c>
      <c r="R248" s="17" t="n">
        <v>0</v>
      </c>
      <c r="T248" s="17">
        <f>DAY(C248)</f>
        <v/>
      </c>
      <c r="U248" s="17">
        <f>MONTH(C248)</f>
        <v/>
      </c>
      <c r="V248" s="17" t="n">
        <v>2025</v>
      </c>
    </row>
    <row r="249" hidden="1" ht="22.5" customHeight="1" s="117">
      <c r="A249" s="14" t="n">
        <v>45986.2960869676</v>
      </c>
      <c r="B249" s="17" t="inlineStr">
        <is>
          <t>Huỳnh Văn Lực</t>
        </is>
      </c>
      <c r="C249" s="16" t="n">
        <v>45985</v>
      </c>
      <c r="D249" s="17" t="n">
        <v>0</v>
      </c>
      <c r="E249" s="17" t="n">
        <v>0</v>
      </c>
      <c r="F249" s="17" t="n">
        <v>0</v>
      </c>
      <c r="G249" s="17" t="n">
        <v>0</v>
      </c>
      <c r="H249" s="17" t="n">
        <v>0</v>
      </c>
      <c r="I249" s="17" t="n">
        <v>0</v>
      </c>
      <c r="J249" s="17" t="n">
        <v>0</v>
      </c>
      <c r="K249" s="17" t="n">
        <v>4</v>
      </c>
      <c r="L249" s="17" t="n">
        <v>0</v>
      </c>
      <c r="M249" s="17" t="n">
        <v>0</v>
      </c>
      <c r="N249" s="17" t="n">
        <v>0</v>
      </c>
      <c r="O249" s="17" t="n">
        <v>0</v>
      </c>
      <c r="P249" s="17" t="n">
        <v>1</v>
      </c>
      <c r="Q249" s="17" t="n">
        <v>2</v>
      </c>
      <c r="R249" s="17" t="n">
        <v>0</v>
      </c>
      <c r="T249" s="17">
        <f>DAY(C249)</f>
        <v/>
      </c>
      <c r="U249" s="17">
        <f>MONTH(C249)</f>
        <v/>
      </c>
      <c r="V249" s="17" t="n">
        <v>2025</v>
      </c>
    </row>
    <row r="250" hidden="1" ht="22.5" customHeight="1" s="117">
      <c r="A250" s="14" t="n">
        <v>45986.30015125</v>
      </c>
      <c r="B250" s="17" t="inlineStr">
        <is>
          <t>Nguyễn Tuấn Anh</t>
        </is>
      </c>
      <c r="C250" s="16" t="n">
        <v>45985</v>
      </c>
      <c r="D250" s="17" t="n">
        <v>1</v>
      </c>
      <c r="E250" s="17" t="n">
        <v>0</v>
      </c>
      <c r="F250" s="17" t="n">
        <v>0</v>
      </c>
      <c r="G250" s="17" t="n">
        <v>0</v>
      </c>
      <c r="H250" s="17" t="n">
        <v>0</v>
      </c>
      <c r="I250" s="17" t="n">
        <v>2</v>
      </c>
      <c r="J250" s="17" t="n">
        <v>0</v>
      </c>
      <c r="K250" s="17" t="n">
        <v>22</v>
      </c>
      <c r="L250" s="17" t="n">
        <v>0</v>
      </c>
      <c r="M250" s="17" t="n">
        <v>0</v>
      </c>
      <c r="N250" s="17" t="n">
        <v>1</v>
      </c>
      <c r="O250" s="17" t="n">
        <v>0</v>
      </c>
      <c r="P250" s="17" t="n">
        <v>0</v>
      </c>
      <c r="Q250" s="17" t="n">
        <v>2</v>
      </c>
      <c r="R250" s="17" t="n">
        <v>0</v>
      </c>
      <c r="T250" s="17">
        <f>DAY(C250)</f>
        <v/>
      </c>
      <c r="U250" s="17">
        <f>MONTH(C250)</f>
        <v/>
      </c>
      <c r="V250" s="17" t="n">
        <v>2025</v>
      </c>
    </row>
    <row r="251" hidden="1" ht="22.5" customHeight="1" s="117">
      <c r="A251" s="14" t="n">
        <v>45986.30123342593</v>
      </c>
      <c r="B251" s="17" t="inlineStr">
        <is>
          <t>Bùi Duy Cường</t>
        </is>
      </c>
      <c r="C251" s="16" t="n">
        <v>45985</v>
      </c>
      <c r="D251" s="17" t="n">
        <v>0</v>
      </c>
      <c r="E251" s="17" t="n">
        <v>0</v>
      </c>
      <c r="F251" s="17" t="n">
        <v>0</v>
      </c>
      <c r="G251" s="17" t="n">
        <v>0</v>
      </c>
      <c r="H251" s="17" t="n">
        <v>0</v>
      </c>
      <c r="I251" s="17" t="n">
        <v>0</v>
      </c>
      <c r="J251" s="17" t="n">
        <v>0</v>
      </c>
      <c r="K251" s="17" t="n">
        <v>18</v>
      </c>
      <c r="L251" s="17" t="n">
        <v>0</v>
      </c>
      <c r="M251" s="17" t="n">
        <v>0</v>
      </c>
      <c r="N251" s="17" t="n">
        <v>0</v>
      </c>
      <c r="O251" s="17" t="n">
        <v>0</v>
      </c>
      <c r="P251" s="17" t="n">
        <v>0</v>
      </c>
      <c r="Q251" s="17" t="n">
        <v>3</v>
      </c>
      <c r="R251" s="17" t="n">
        <v>0</v>
      </c>
      <c r="T251" s="17">
        <f>DAY(C251)</f>
        <v/>
      </c>
      <c r="U251" s="17">
        <f>MONTH(C251)</f>
        <v/>
      </c>
      <c r="V251" s="17" t="n">
        <v>2025</v>
      </c>
    </row>
    <row r="252" hidden="1" ht="22.5" customHeight="1" s="117">
      <c r="A252" s="14" t="n">
        <v>45986.30178969907</v>
      </c>
      <c r="B252" s="17" t="inlineStr">
        <is>
          <t>Hồ Xuân Việt</t>
        </is>
      </c>
      <c r="C252" s="16" t="n">
        <v>45985</v>
      </c>
      <c r="D252" s="17" t="n">
        <v>3</v>
      </c>
      <c r="E252" s="17" t="n">
        <v>5</v>
      </c>
      <c r="F252" s="17" t="n">
        <v>2</v>
      </c>
      <c r="G252" s="17" t="n">
        <v>0</v>
      </c>
      <c r="H252" s="17" t="n">
        <v>0</v>
      </c>
      <c r="I252" s="17" t="n">
        <v>1</v>
      </c>
      <c r="J252" s="17" t="n">
        <v>0</v>
      </c>
      <c r="K252" s="17" t="n">
        <v>10</v>
      </c>
      <c r="L252" s="17" t="n">
        <v>0</v>
      </c>
      <c r="M252" s="17" t="n">
        <v>3</v>
      </c>
      <c r="N252" s="17" t="n">
        <v>1</v>
      </c>
      <c r="O252" s="17" t="n">
        <v>0</v>
      </c>
      <c r="P252" s="17" t="n">
        <v>2</v>
      </c>
      <c r="Q252" s="17" t="n">
        <v>4</v>
      </c>
      <c r="R252" s="17" t="n">
        <v>0</v>
      </c>
      <c r="T252" s="17">
        <f>DAY(C252)</f>
        <v/>
      </c>
      <c r="U252" s="17">
        <f>MONTH(C252)</f>
        <v/>
      </c>
      <c r="V252" s="17" t="n">
        <v>2025</v>
      </c>
    </row>
    <row r="253" hidden="1" ht="22.5" customHeight="1" s="117">
      <c r="A253" s="14" t="n">
        <v>45986.30446065973</v>
      </c>
      <c r="B253" s="17" t="inlineStr">
        <is>
          <t>Đặng Hoài Anh</t>
        </is>
      </c>
      <c r="C253" s="16" t="n">
        <v>45985</v>
      </c>
      <c r="D253" s="17" t="n">
        <v>0</v>
      </c>
      <c r="E253" s="17" t="n">
        <v>0</v>
      </c>
      <c r="F253" s="17" t="n">
        <v>0</v>
      </c>
      <c r="G253" s="17" t="n">
        <v>0</v>
      </c>
      <c r="H253" s="17" t="n">
        <v>0</v>
      </c>
      <c r="I253" s="17" t="n">
        <v>1</v>
      </c>
      <c r="J253" s="17" t="n">
        <v>0</v>
      </c>
      <c r="K253" s="17" t="n">
        <v>3</v>
      </c>
      <c r="L253" s="17" t="n">
        <v>0</v>
      </c>
      <c r="M253" s="17" t="n">
        <v>0</v>
      </c>
      <c r="N253" s="17" t="n">
        <v>0</v>
      </c>
      <c r="O253" s="17" t="n">
        <v>0</v>
      </c>
      <c r="P253" s="17" t="n">
        <v>0</v>
      </c>
      <c r="Q253" s="17" t="n">
        <v>0</v>
      </c>
      <c r="R253" s="17" t="n">
        <v>0</v>
      </c>
      <c r="T253" s="17">
        <f>DAY(C253)</f>
        <v/>
      </c>
      <c r="U253" s="17">
        <f>MONTH(C253)</f>
        <v/>
      </c>
      <c r="V253" s="17" t="n">
        <v>2025</v>
      </c>
    </row>
    <row r="254" hidden="1" ht="22.5" customHeight="1" s="117">
      <c r="A254" s="14" t="n">
        <v>45986.30835956019</v>
      </c>
      <c r="B254" s="17" t="inlineStr">
        <is>
          <t>Vòng Nhật Sang</t>
        </is>
      </c>
      <c r="C254" s="16" t="n">
        <v>45985</v>
      </c>
      <c r="D254" s="17" t="n">
        <v>0</v>
      </c>
      <c r="E254" s="17" t="n">
        <v>0</v>
      </c>
      <c r="F254" s="17" t="n">
        <v>0</v>
      </c>
      <c r="G254" s="17" t="n">
        <v>2</v>
      </c>
      <c r="H254" s="17" t="n">
        <v>2</v>
      </c>
      <c r="I254" s="17" t="n">
        <v>0</v>
      </c>
      <c r="J254" s="17" t="n">
        <v>0</v>
      </c>
      <c r="K254" s="17" t="n">
        <v>4</v>
      </c>
      <c r="L254" s="17" t="n">
        <v>0</v>
      </c>
      <c r="M254" s="17" t="n">
        <v>0</v>
      </c>
      <c r="N254" s="17" t="n">
        <v>0</v>
      </c>
      <c r="O254" s="17" t="n">
        <v>0</v>
      </c>
      <c r="P254" s="17" t="n">
        <v>1</v>
      </c>
      <c r="Q254" s="17" t="n">
        <v>2</v>
      </c>
      <c r="R254" s="17" t="n">
        <v>0</v>
      </c>
      <c r="T254" s="17">
        <f>DAY(C254)</f>
        <v/>
      </c>
      <c r="U254" s="17">
        <f>MONTH(C254)</f>
        <v/>
      </c>
      <c r="V254" s="17" t="n">
        <v>2025</v>
      </c>
    </row>
    <row r="255" hidden="1" ht="22.5" customHeight="1" s="117">
      <c r="A255" s="14" t="n">
        <v>45986.30866253472</v>
      </c>
      <c r="B255" s="17" t="inlineStr">
        <is>
          <t>Dương Minh Tiến</t>
        </is>
      </c>
      <c r="C255" s="16" t="n">
        <v>45985</v>
      </c>
      <c r="D255" s="17" t="n">
        <v>3</v>
      </c>
      <c r="E255" s="17" t="n">
        <v>1</v>
      </c>
      <c r="F255" s="17" t="n">
        <v>1</v>
      </c>
      <c r="G255" s="17" t="n">
        <v>1</v>
      </c>
      <c r="H255" s="17" t="n">
        <v>1</v>
      </c>
      <c r="I255" s="17" t="n">
        <v>1</v>
      </c>
      <c r="J255" s="17" t="n">
        <v>1</v>
      </c>
      <c r="K255" s="17" t="n">
        <v>20</v>
      </c>
      <c r="L255" s="17" t="n">
        <v>0</v>
      </c>
      <c r="M255" s="17" t="n">
        <v>0</v>
      </c>
      <c r="N255" s="17" t="n">
        <v>0</v>
      </c>
      <c r="O255" s="17" t="n">
        <v>0</v>
      </c>
      <c r="P255" s="17" t="n">
        <v>0</v>
      </c>
      <c r="Q255" s="17" t="n">
        <v>2</v>
      </c>
      <c r="R255" s="17" t="n">
        <v>0</v>
      </c>
      <c r="T255" s="17">
        <f>DAY(C255)</f>
        <v/>
      </c>
      <c r="U255" s="17">
        <f>MONTH(C255)</f>
        <v/>
      </c>
      <c r="V255" s="17" t="n">
        <v>2025</v>
      </c>
    </row>
    <row r="256" hidden="1" ht="22.5" customHeight="1" s="117">
      <c r="A256" s="14" t="n">
        <v>45986.40313835648</v>
      </c>
      <c r="B256" s="17" t="inlineStr">
        <is>
          <t>Nguyễn Văn Nhật</t>
        </is>
      </c>
      <c r="C256" s="16" t="n">
        <v>45985</v>
      </c>
      <c r="D256" s="17" t="n">
        <v>0</v>
      </c>
      <c r="E256" s="17" t="n">
        <v>0</v>
      </c>
      <c r="F256" s="17" t="n">
        <v>0</v>
      </c>
      <c r="G256" s="17" t="n">
        <v>0</v>
      </c>
      <c r="H256" s="17" t="n">
        <v>0</v>
      </c>
      <c r="I256" s="17" t="n">
        <v>0</v>
      </c>
      <c r="J256" s="17" t="n">
        <v>0</v>
      </c>
      <c r="K256" s="17" t="n">
        <v>10</v>
      </c>
      <c r="L256" s="17" t="n">
        <v>1</v>
      </c>
      <c r="M256" s="17" t="n">
        <v>0</v>
      </c>
      <c r="N256" s="17" t="n">
        <v>0</v>
      </c>
      <c r="O256" s="17" t="n">
        <v>1</v>
      </c>
      <c r="P256" s="17" t="n">
        <v>1</v>
      </c>
      <c r="Q256" s="17" t="n">
        <v>2</v>
      </c>
      <c r="R256" s="17" t="n">
        <v>0</v>
      </c>
      <c r="T256" s="17">
        <f>DAY(C256)</f>
        <v/>
      </c>
      <c r="U256" s="17">
        <f>MONTH(C256)</f>
        <v/>
      </c>
      <c r="V256" s="17" t="n">
        <v>2025</v>
      </c>
    </row>
    <row r="257" hidden="1" ht="22.5" customHeight="1" s="117">
      <c r="A257" s="14" t="n">
        <v>45986.80111474537</v>
      </c>
      <c r="B257" s="17" t="inlineStr">
        <is>
          <t>Bùi Duy Cường</t>
        </is>
      </c>
      <c r="C257" s="16" t="n">
        <v>45986</v>
      </c>
      <c r="D257" s="17" t="n">
        <v>0</v>
      </c>
      <c r="E257" s="17" t="n">
        <v>1</v>
      </c>
      <c r="F257" s="17" t="n">
        <v>0</v>
      </c>
      <c r="G257" s="17" t="n">
        <v>0</v>
      </c>
      <c r="H257" s="17" t="n">
        <v>0</v>
      </c>
      <c r="I257" s="17" t="n">
        <v>0</v>
      </c>
      <c r="J257" s="17" t="n">
        <v>0</v>
      </c>
      <c r="K257" s="17" t="n">
        <v>33</v>
      </c>
      <c r="L257" s="17" t="n">
        <v>0</v>
      </c>
      <c r="M257" s="17" t="n">
        <v>0</v>
      </c>
      <c r="N257" s="17" t="n">
        <v>0</v>
      </c>
      <c r="O257" s="17" t="n">
        <v>0</v>
      </c>
      <c r="P257" s="17" t="n">
        <v>0</v>
      </c>
      <c r="Q257" s="17" t="n">
        <v>2</v>
      </c>
      <c r="R257" s="17" t="n">
        <v>0</v>
      </c>
      <c r="T257" s="17">
        <f>DAY(C257)</f>
        <v/>
      </c>
      <c r="U257" s="17">
        <f>MONTH(C257)</f>
        <v/>
      </c>
      <c r="V257" s="17" t="n">
        <v>2025</v>
      </c>
    </row>
    <row r="258" hidden="1" ht="22.5" customHeight="1" s="117">
      <c r="A258" s="14" t="n">
        <v>45987.18707741898</v>
      </c>
      <c r="B258" s="17" t="inlineStr">
        <is>
          <t>Hồ Thái Minh Trí</t>
        </is>
      </c>
      <c r="C258" s="16" t="n">
        <v>45986</v>
      </c>
      <c r="D258" s="17" t="n">
        <v>0</v>
      </c>
      <c r="E258" s="17" t="n">
        <v>0</v>
      </c>
      <c r="F258" s="17" t="n">
        <v>0</v>
      </c>
      <c r="G258" s="17" t="n">
        <v>0</v>
      </c>
      <c r="H258" s="17" t="n">
        <v>0</v>
      </c>
      <c r="I258" s="17" t="n">
        <v>0</v>
      </c>
      <c r="J258" s="17" t="n">
        <v>0</v>
      </c>
      <c r="K258" s="17" t="n">
        <v>23</v>
      </c>
      <c r="L258" s="17" t="n">
        <v>0</v>
      </c>
      <c r="M258" s="17" t="n">
        <v>0</v>
      </c>
      <c r="N258" s="17" t="n">
        <v>0</v>
      </c>
      <c r="O258" s="17" t="n">
        <v>0</v>
      </c>
      <c r="P258" s="17" t="n">
        <v>0</v>
      </c>
      <c r="Q258" s="17" t="n">
        <v>2</v>
      </c>
      <c r="R258" s="17" t="n">
        <v>0</v>
      </c>
      <c r="T258" s="17">
        <f>DAY(C258)</f>
        <v/>
      </c>
      <c r="U258" s="17">
        <f>MONTH(C258)</f>
        <v/>
      </c>
      <c r="V258" s="17" t="n">
        <v>2025</v>
      </c>
    </row>
    <row r="259" hidden="1" ht="22.5" customHeight="1" s="117">
      <c r="A259" s="14" t="n">
        <v>45987.26651630787</v>
      </c>
      <c r="B259" s="17" t="inlineStr">
        <is>
          <t>Nguyễn Tuấn Anh</t>
        </is>
      </c>
      <c r="C259" s="16" t="n">
        <v>45986</v>
      </c>
      <c r="D259" s="17" t="n">
        <v>0</v>
      </c>
      <c r="E259" s="17" t="n">
        <v>0</v>
      </c>
      <c r="F259" s="17" t="n">
        <v>0</v>
      </c>
      <c r="G259" s="17" t="n">
        <v>0</v>
      </c>
      <c r="H259" s="17" t="n">
        <v>0</v>
      </c>
      <c r="I259" s="17" t="n">
        <v>2</v>
      </c>
      <c r="J259" s="17" t="n">
        <v>0</v>
      </c>
      <c r="K259" s="17" t="n">
        <v>5</v>
      </c>
      <c r="L259" s="17" t="n">
        <v>0</v>
      </c>
      <c r="M259" s="17" t="n">
        <v>0</v>
      </c>
      <c r="N259" s="17" t="n">
        <v>0</v>
      </c>
      <c r="O259" s="17" t="n">
        <v>0</v>
      </c>
      <c r="P259" s="17" t="n">
        <v>0</v>
      </c>
      <c r="Q259" s="17" t="n">
        <v>3</v>
      </c>
      <c r="R259" s="17" t="n">
        <v>1</v>
      </c>
      <c r="T259" s="17">
        <f>DAY(C259)</f>
        <v/>
      </c>
      <c r="U259" s="17">
        <f>MONTH(C259)</f>
        <v/>
      </c>
      <c r="V259" s="17" t="n">
        <v>2025</v>
      </c>
    </row>
    <row r="260" hidden="1" ht="22.5" customHeight="1" s="117">
      <c r="A260" s="14" t="n">
        <v>45987.27911443287</v>
      </c>
      <c r="B260" s="17" t="inlineStr">
        <is>
          <t>Nguyễn Văn Hiệp</t>
        </is>
      </c>
      <c r="C260" s="16" t="n">
        <v>45986</v>
      </c>
      <c r="D260" s="17" t="n">
        <v>0</v>
      </c>
      <c r="E260" s="17" t="n">
        <v>0</v>
      </c>
      <c r="F260" s="17" t="n">
        <v>0</v>
      </c>
      <c r="G260" s="17" t="n">
        <v>0</v>
      </c>
      <c r="H260" s="17" t="n">
        <v>0</v>
      </c>
      <c r="I260" s="17" t="n">
        <v>1</v>
      </c>
      <c r="J260" s="17" t="n">
        <v>0</v>
      </c>
      <c r="K260" s="17" t="n">
        <v>4</v>
      </c>
      <c r="L260" s="17" t="n">
        <v>0</v>
      </c>
      <c r="M260" s="17" t="n">
        <v>0</v>
      </c>
      <c r="N260" s="17" t="n">
        <v>0</v>
      </c>
      <c r="O260" s="17" t="n">
        <v>0</v>
      </c>
      <c r="P260" s="17" t="n">
        <v>1</v>
      </c>
      <c r="Q260" s="17" t="n">
        <v>1</v>
      </c>
      <c r="R260" s="17" t="n">
        <v>0</v>
      </c>
      <c r="T260" s="17">
        <f>DAY(C260)</f>
        <v/>
      </c>
      <c r="U260" s="17">
        <f>MONTH(C260)</f>
        <v/>
      </c>
      <c r="V260" s="17" t="n">
        <v>2025</v>
      </c>
    </row>
    <row r="261" hidden="1" ht="22.5" customHeight="1" s="117">
      <c r="A261" s="14" t="n">
        <v>45987.2901779051</v>
      </c>
      <c r="B261" s="17" t="inlineStr">
        <is>
          <t>Hồ Xuân Việt</t>
        </is>
      </c>
      <c r="C261" s="16" t="n">
        <v>45986</v>
      </c>
      <c r="D261" s="17" t="n">
        <v>0</v>
      </c>
      <c r="E261" s="17" t="n">
        <v>0</v>
      </c>
      <c r="F261" s="17" t="n">
        <v>0</v>
      </c>
      <c r="G261" s="17" t="n">
        <v>0</v>
      </c>
      <c r="H261" s="17" t="n">
        <v>0</v>
      </c>
      <c r="I261" s="17" t="n">
        <v>0</v>
      </c>
      <c r="J261" s="17" t="n">
        <v>0</v>
      </c>
      <c r="K261" s="17" t="n">
        <v>10</v>
      </c>
      <c r="L261" s="17" t="n">
        <v>0</v>
      </c>
      <c r="M261" s="17" t="n">
        <v>0</v>
      </c>
      <c r="N261" s="17" t="n">
        <v>1</v>
      </c>
      <c r="O261" s="17" t="n">
        <v>0</v>
      </c>
      <c r="P261" s="17" t="n">
        <v>1</v>
      </c>
      <c r="Q261" s="17" t="n">
        <v>4</v>
      </c>
      <c r="R261" s="17" t="n">
        <v>0</v>
      </c>
      <c r="T261" s="17">
        <f>DAY(C261)</f>
        <v/>
      </c>
      <c r="U261" s="17">
        <f>MONTH(C261)</f>
        <v/>
      </c>
      <c r="V261" s="17" t="n">
        <v>2025</v>
      </c>
    </row>
    <row r="262" hidden="1" ht="22.5" customHeight="1" s="117">
      <c r="A262" s="14" t="n">
        <v>45987.29119592593</v>
      </c>
      <c r="B262" s="17" t="inlineStr">
        <is>
          <t>Nguyễn Quang Anh Tuấn</t>
        </is>
      </c>
      <c r="C262" s="16" t="n">
        <v>45986</v>
      </c>
      <c r="D262" s="17" t="n">
        <v>0</v>
      </c>
      <c r="E262" s="17" t="n">
        <v>0</v>
      </c>
      <c r="F262" s="17" t="n">
        <v>0</v>
      </c>
      <c r="G262" s="17" t="n">
        <v>0</v>
      </c>
      <c r="H262" s="17" t="n">
        <v>0</v>
      </c>
      <c r="I262" s="17" t="n">
        <v>4</v>
      </c>
      <c r="J262" s="17" t="n">
        <v>0</v>
      </c>
      <c r="K262" s="17" t="n">
        <v>10</v>
      </c>
      <c r="L262" s="17" t="n">
        <v>0</v>
      </c>
      <c r="M262" s="17" t="n">
        <v>0</v>
      </c>
      <c r="N262" s="17" t="n">
        <v>0</v>
      </c>
      <c r="O262" s="17" t="n">
        <v>0</v>
      </c>
      <c r="P262" s="17" t="n">
        <v>1</v>
      </c>
      <c r="Q262" s="17" t="n">
        <v>4</v>
      </c>
      <c r="R262" s="17" t="n">
        <v>0</v>
      </c>
      <c r="T262" s="17">
        <f>DAY(C262)</f>
        <v/>
      </c>
      <c r="U262" s="17">
        <f>MONTH(C262)</f>
        <v/>
      </c>
      <c r="V262" s="17" t="n">
        <v>2025</v>
      </c>
    </row>
    <row r="263" hidden="1" ht="22.5" customHeight="1" s="117">
      <c r="A263" s="14" t="n">
        <v>45987.29979600695</v>
      </c>
      <c r="B263" s="17" t="inlineStr">
        <is>
          <t>Lương Duy Hoàng</t>
        </is>
      </c>
      <c r="C263" s="16" t="n">
        <v>45986</v>
      </c>
      <c r="D263" s="17" t="n">
        <v>0</v>
      </c>
      <c r="E263" s="17" t="n">
        <v>0</v>
      </c>
      <c r="F263" s="17" t="n">
        <v>0</v>
      </c>
      <c r="G263" s="17" t="n">
        <v>0</v>
      </c>
      <c r="H263" s="17" t="n">
        <v>0</v>
      </c>
      <c r="I263" s="17" t="n">
        <v>0</v>
      </c>
      <c r="J263" s="17" t="n">
        <v>0</v>
      </c>
      <c r="K263" s="17" t="n">
        <v>17</v>
      </c>
      <c r="L263" s="17" t="n">
        <v>0</v>
      </c>
      <c r="M263" s="17" t="n">
        <v>0</v>
      </c>
      <c r="N263" s="17" t="n">
        <v>0</v>
      </c>
      <c r="O263" s="17" t="n">
        <v>0</v>
      </c>
      <c r="P263" s="17" t="n">
        <v>2</v>
      </c>
      <c r="Q263" s="17" t="n">
        <v>4</v>
      </c>
      <c r="R263" s="17" t="n">
        <v>0</v>
      </c>
      <c r="T263" s="17">
        <f>DAY(C263)</f>
        <v/>
      </c>
      <c r="U263" s="17">
        <f>MONTH(C263)</f>
        <v/>
      </c>
      <c r="V263" s="17" t="n">
        <v>2025</v>
      </c>
    </row>
    <row r="264" hidden="1" ht="22.5" customHeight="1" s="117">
      <c r="A264" s="14" t="n">
        <v>45987.30329192129</v>
      </c>
      <c r="B264" s="17" t="inlineStr">
        <is>
          <t>Dương Minh Tiến</t>
        </is>
      </c>
      <c r="C264" s="16" t="n">
        <v>45986</v>
      </c>
      <c r="D264" s="17" t="n">
        <v>0</v>
      </c>
      <c r="E264" s="17" t="n">
        <v>0</v>
      </c>
      <c r="F264" s="17" t="n">
        <v>0</v>
      </c>
      <c r="G264" s="17" t="n">
        <v>0</v>
      </c>
      <c r="H264" s="17" t="n">
        <v>0</v>
      </c>
      <c r="I264" s="17" t="n">
        <v>0</v>
      </c>
      <c r="J264" s="17" t="n">
        <v>0</v>
      </c>
      <c r="K264" s="17" t="n">
        <v>15</v>
      </c>
      <c r="L264" s="17" t="n">
        <v>0</v>
      </c>
      <c r="M264" s="17" t="n">
        <v>0</v>
      </c>
      <c r="N264" s="17" t="n">
        <v>0</v>
      </c>
      <c r="O264" s="17" t="n">
        <v>0</v>
      </c>
      <c r="P264" s="17" t="n">
        <v>0</v>
      </c>
      <c r="Q264" s="17" t="n">
        <v>0</v>
      </c>
      <c r="R264" s="17" t="n">
        <v>0</v>
      </c>
      <c r="T264" s="17">
        <f>DAY(C264)</f>
        <v/>
      </c>
      <c r="U264" s="17">
        <f>MONTH(C264)</f>
        <v/>
      </c>
      <c r="V264" s="17" t="n">
        <v>2025</v>
      </c>
    </row>
    <row r="265" hidden="1" ht="22.5" customHeight="1" s="117">
      <c r="A265" s="14" t="n">
        <v>45987.30484418981</v>
      </c>
      <c r="B265" s="17" t="inlineStr">
        <is>
          <t>Huỳnh Văn Lực</t>
        </is>
      </c>
      <c r="C265" s="16" t="n">
        <v>45986</v>
      </c>
      <c r="D265" s="17" t="n">
        <v>0</v>
      </c>
      <c r="E265" s="17" t="n">
        <v>0</v>
      </c>
      <c r="F265" s="17" t="n">
        <v>0</v>
      </c>
      <c r="G265" s="17" t="n">
        <v>0</v>
      </c>
      <c r="H265" s="17" t="n">
        <v>0</v>
      </c>
      <c r="I265" s="17" t="n">
        <v>0</v>
      </c>
      <c r="J265" s="17" t="n">
        <v>0</v>
      </c>
      <c r="K265" s="17" t="n">
        <v>11</v>
      </c>
      <c r="L265" s="17" t="n">
        <v>0</v>
      </c>
      <c r="M265" s="17" t="n">
        <v>0</v>
      </c>
      <c r="N265" s="17" t="n">
        <v>0</v>
      </c>
      <c r="O265" s="17" t="n">
        <v>0</v>
      </c>
      <c r="P265" s="17" t="n">
        <v>1</v>
      </c>
      <c r="Q265" s="17" t="n">
        <v>2</v>
      </c>
      <c r="R265" s="17" t="n">
        <v>0</v>
      </c>
      <c r="T265" s="17">
        <f>DAY(C265)</f>
        <v/>
      </c>
      <c r="U265" s="17">
        <f>MONTH(C265)</f>
        <v/>
      </c>
      <c r="V265" s="17" t="n">
        <v>2025</v>
      </c>
    </row>
    <row r="266" hidden="1" ht="22.5" customHeight="1" s="117">
      <c r="A266" s="14" t="n">
        <v>45987.30705207176</v>
      </c>
      <c r="B266" s="17" t="inlineStr">
        <is>
          <t>Lê Quốc Duy</t>
        </is>
      </c>
      <c r="C266" s="16" t="n">
        <v>45986</v>
      </c>
      <c r="D266" s="17" t="n">
        <v>0</v>
      </c>
      <c r="E266" s="17" t="n">
        <v>0</v>
      </c>
      <c r="F266" s="17" t="n">
        <v>0</v>
      </c>
      <c r="G266" s="17" t="n">
        <v>0</v>
      </c>
      <c r="H266" s="17" t="n">
        <v>0</v>
      </c>
      <c r="I266" s="17" t="n">
        <v>0</v>
      </c>
      <c r="J266" s="17" t="n">
        <v>0</v>
      </c>
      <c r="K266" s="17" t="n">
        <v>23</v>
      </c>
      <c r="L266" s="17" t="n">
        <v>0</v>
      </c>
      <c r="M266" s="17" t="n">
        <v>1</v>
      </c>
      <c r="N266" s="17" t="n">
        <v>0</v>
      </c>
      <c r="O266" s="17" t="n">
        <v>0</v>
      </c>
      <c r="P266" s="17" t="n">
        <v>1</v>
      </c>
      <c r="Q266" s="17" t="n">
        <v>6</v>
      </c>
      <c r="R266" s="17" t="n">
        <v>0</v>
      </c>
      <c r="T266" s="17">
        <f>DAY(C266)</f>
        <v/>
      </c>
      <c r="U266" s="17">
        <f>MONTH(C266)</f>
        <v/>
      </c>
      <c r="V266" s="17" t="n">
        <v>2025</v>
      </c>
    </row>
    <row r="267" hidden="1" ht="22.5" customHeight="1" s="117">
      <c r="A267" s="14" t="n">
        <v>45987.30733142361</v>
      </c>
      <c r="B267" s="17" t="inlineStr">
        <is>
          <t>Đặng Hữu Danh</t>
        </is>
      </c>
      <c r="C267" s="16" t="n">
        <v>45986</v>
      </c>
      <c r="D267" s="17" t="n">
        <v>0</v>
      </c>
      <c r="E267" s="17" t="n">
        <v>0</v>
      </c>
      <c r="F267" s="17" t="n">
        <v>0</v>
      </c>
      <c r="G267" s="17" t="n">
        <v>0</v>
      </c>
      <c r="H267" s="17" t="n">
        <v>0</v>
      </c>
      <c r="I267" s="17" t="n">
        <v>2</v>
      </c>
      <c r="J267" s="17" t="n">
        <v>0</v>
      </c>
      <c r="K267" s="17" t="n">
        <v>10</v>
      </c>
      <c r="L267" s="17" t="n">
        <v>0</v>
      </c>
      <c r="M267" s="17" t="n">
        <v>0</v>
      </c>
      <c r="N267" s="17" t="n">
        <v>2</v>
      </c>
      <c r="O267" s="17" t="n">
        <v>0</v>
      </c>
      <c r="P267" s="17" t="n">
        <v>2</v>
      </c>
      <c r="Q267" s="17" t="n">
        <v>4</v>
      </c>
      <c r="R267" s="17" t="n">
        <v>0</v>
      </c>
      <c r="T267" s="17">
        <f>DAY(C267)</f>
        <v/>
      </c>
      <c r="U267" s="17">
        <f>MONTH(C267)</f>
        <v/>
      </c>
      <c r="V267" s="17" t="n">
        <v>2025</v>
      </c>
    </row>
    <row r="268" hidden="1" ht="22.5" customHeight="1" s="117">
      <c r="A268" s="14" t="n">
        <v>45987.30806424769</v>
      </c>
      <c r="B268" s="17" t="inlineStr">
        <is>
          <t>Đặng Hoài Anh</t>
        </is>
      </c>
      <c r="C268" s="16" t="n">
        <v>45986</v>
      </c>
      <c r="D268" s="17" t="n">
        <v>0</v>
      </c>
      <c r="E268" s="17" t="n">
        <v>0</v>
      </c>
      <c r="F268" s="17" t="n">
        <v>0</v>
      </c>
      <c r="G268" s="17" t="n">
        <v>0</v>
      </c>
      <c r="H268" s="17" t="n">
        <v>0</v>
      </c>
      <c r="I268" s="17" t="n">
        <v>0</v>
      </c>
      <c r="J268" s="17" t="n">
        <v>0</v>
      </c>
      <c r="K268" s="17" t="n">
        <v>0</v>
      </c>
      <c r="L268" s="17" t="n">
        <v>0</v>
      </c>
      <c r="M268" s="17" t="n">
        <v>0</v>
      </c>
      <c r="N268" s="17" t="n">
        <v>1</v>
      </c>
      <c r="O268" s="17" t="n">
        <v>0</v>
      </c>
      <c r="P268" s="17" t="n">
        <v>3</v>
      </c>
      <c r="Q268" s="17" t="n">
        <v>2</v>
      </c>
      <c r="R268" s="17" t="n">
        <v>0</v>
      </c>
      <c r="T268" s="17">
        <f>DAY(C268)</f>
        <v/>
      </c>
      <c r="U268" s="17">
        <f>MONTH(C268)</f>
        <v/>
      </c>
      <c r="V268" s="17" t="n">
        <v>2025</v>
      </c>
    </row>
    <row r="269" hidden="1" ht="22.5" customHeight="1" s="117">
      <c r="A269" s="14" t="n">
        <v>45987.31097710648</v>
      </c>
      <c r="B269" s="17" t="inlineStr">
        <is>
          <t>Trần Trung Giang</t>
        </is>
      </c>
      <c r="C269" s="16" t="n">
        <v>45986</v>
      </c>
      <c r="D269" s="17" t="n">
        <v>0</v>
      </c>
      <c r="E269" s="17" t="n">
        <v>0</v>
      </c>
      <c r="F269" s="17" t="n">
        <v>0</v>
      </c>
      <c r="G269" s="17" t="n">
        <v>0</v>
      </c>
      <c r="H269" s="17" t="n">
        <v>0</v>
      </c>
      <c r="I269" s="17" t="n">
        <v>1</v>
      </c>
      <c r="J269" s="17" t="n">
        <v>0</v>
      </c>
      <c r="K269" s="17" t="n">
        <v>5</v>
      </c>
      <c r="L269" s="17" t="n">
        <v>0</v>
      </c>
      <c r="M269" s="17" t="n">
        <v>0</v>
      </c>
      <c r="N269" s="17" t="n">
        <v>0</v>
      </c>
      <c r="O269" s="17" t="n">
        <v>0</v>
      </c>
      <c r="P269" s="17" t="n">
        <v>0</v>
      </c>
      <c r="Q269" s="17" t="n">
        <v>0</v>
      </c>
      <c r="R269" s="17" t="n">
        <v>0</v>
      </c>
      <c r="T269" s="17">
        <f>DAY(C269)</f>
        <v/>
      </c>
      <c r="U269" s="17">
        <f>MONTH(C269)</f>
        <v/>
      </c>
      <c r="V269" s="17" t="n">
        <v>2025</v>
      </c>
    </row>
    <row r="270" hidden="1" ht="22.5" customHeight="1" s="117">
      <c r="A270" s="14" t="n">
        <v>45987.31594760417</v>
      </c>
      <c r="B270" s="17" t="inlineStr">
        <is>
          <t>Vòng Nhật Sang</t>
        </is>
      </c>
      <c r="C270" s="16" t="n">
        <v>45986</v>
      </c>
      <c r="D270" s="17" t="n">
        <v>0</v>
      </c>
      <c r="E270" s="17" t="n">
        <v>0</v>
      </c>
      <c r="F270" s="17" t="n">
        <v>0</v>
      </c>
      <c r="G270" s="17" t="n">
        <v>0</v>
      </c>
      <c r="H270" s="17" t="n">
        <v>0</v>
      </c>
      <c r="I270" s="17" t="n">
        <v>0</v>
      </c>
      <c r="J270" s="17" t="n">
        <v>0</v>
      </c>
      <c r="K270" s="17" t="n">
        <v>4</v>
      </c>
      <c r="L270" s="17" t="n">
        <v>0</v>
      </c>
      <c r="M270" s="17" t="n">
        <v>2</v>
      </c>
      <c r="N270" s="17" t="n">
        <v>0</v>
      </c>
      <c r="O270" s="17" t="n">
        <v>0</v>
      </c>
      <c r="P270" s="17" t="n">
        <v>1</v>
      </c>
      <c r="Q270" s="17" t="n">
        <v>1</v>
      </c>
      <c r="R270" s="17" t="n">
        <v>0</v>
      </c>
      <c r="T270" s="17">
        <f>DAY(C270)</f>
        <v/>
      </c>
      <c r="U270" s="17">
        <f>MONTH(C270)</f>
        <v/>
      </c>
      <c r="V270" s="17" t="n">
        <v>2025</v>
      </c>
    </row>
    <row r="271" hidden="1" ht="22.5" customHeight="1" s="117">
      <c r="A271" s="14" t="n">
        <v>45987.31607180556</v>
      </c>
      <c r="B271" s="17" t="inlineStr">
        <is>
          <t>Lương Duy Hải</t>
        </is>
      </c>
      <c r="C271" s="16" t="n">
        <v>45986</v>
      </c>
      <c r="D271" s="17" t="n">
        <v>0</v>
      </c>
      <c r="E271" s="17" t="n">
        <v>0</v>
      </c>
      <c r="F271" s="17" t="n">
        <v>0</v>
      </c>
      <c r="G271" s="17" t="n">
        <v>0</v>
      </c>
      <c r="H271" s="17" t="n">
        <v>0</v>
      </c>
      <c r="I271" s="17" t="n">
        <v>0</v>
      </c>
      <c r="J271" s="17" t="n">
        <v>0</v>
      </c>
      <c r="K271" s="17" t="n">
        <v>4</v>
      </c>
      <c r="L271" s="17" t="n">
        <v>0</v>
      </c>
      <c r="M271" s="17" t="n">
        <v>0</v>
      </c>
      <c r="N271" s="17" t="n">
        <v>0</v>
      </c>
      <c r="O271" s="17" t="n">
        <v>0</v>
      </c>
      <c r="P271" s="17" t="n">
        <v>1</v>
      </c>
      <c r="Q271" s="17" t="n">
        <v>6</v>
      </c>
      <c r="R271" s="17" t="n">
        <v>0</v>
      </c>
      <c r="T271" s="17">
        <f>DAY(C271)</f>
        <v/>
      </c>
      <c r="U271" s="17">
        <f>MONTH(C271)</f>
        <v/>
      </c>
      <c r="V271" s="17" t="n">
        <v>2025</v>
      </c>
    </row>
    <row r="272" hidden="1" ht="22.5" customHeight="1" s="117">
      <c r="A272" s="14" t="n">
        <v>45987.38799899306</v>
      </c>
      <c r="B272" s="17" t="inlineStr">
        <is>
          <t>Nguyễn Hồng Minh</t>
        </is>
      </c>
      <c r="C272" s="16" t="n">
        <v>45986</v>
      </c>
      <c r="D272" s="17" t="n">
        <v>0</v>
      </c>
      <c r="E272" s="17" t="n">
        <v>0</v>
      </c>
      <c r="F272" s="17" t="n">
        <v>0</v>
      </c>
      <c r="G272" s="17" t="n">
        <v>0</v>
      </c>
      <c r="H272" s="17" t="n">
        <v>0</v>
      </c>
      <c r="I272" s="17" t="n">
        <v>0</v>
      </c>
      <c r="J272" s="17" t="n">
        <v>0</v>
      </c>
      <c r="K272" s="17" t="n">
        <v>10</v>
      </c>
      <c r="L272" s="17" t="n">
        <v>0</v>
      </c>
      <c r="M272" s="17" t="n">
        <v>0</v>
      </c>
      <c r="N272" s="17" t="n">
        <v>0</v>
      </c>
      <c r="O272" s="17" t="n">
        <v>0</v>
      </c>
      <c r="P272" s="17" t="n">
        <v>2</v>
      </c>
      <c r="Q272" s="17" t="n">
        <v>5</v>
      </c>
      <c r="R272" s="17" t="n">
        <v>0</v>
      </c>
      <c r="T272" s="17">
        <f>DAY(C272)</f>
        <v/>
      </c>
      <c r="U272" s="17">
        <f>MONTH(C272)</f>
        <v/>
      </c>
      <c r="V272" s="17" t="n">
        <v>2025</v>
      </c>
    </row>
    <row r="273" hidden="1" ht="22.5" customHeight="1" s="117">
      <c r="A273" s="14" t="n">
        <v>45987.56131444444</v>
      </c>
      <c r="B273" s="17" t="inlineStr">
        <is>
          <t>Phan Ngọc Sang</t>
        </is>
      </c>
      <c r="C273" s="16" t="n">
        <v>45986</v>
      </c>
      <c r="D273" s="17" t="n">
        <v>0</v>
      </c>
      <c r="E273" s="17" t="n">
        <v>0</v>
      </c>
      <c r="F273" s="17" t="n">
        <v>0</v>
      </c>
      <c r="G273" s="17" t="n">
        <v>0</v>
      </c>
      <c r="H273" s="17" t="n">
        <v>0</v>
      </c>
      <c r="I273" s="17" t="n">
        <v>1</v>
      </c>
      <c r="J273" s="17" t="n">
        <v>0</v>
      </c>
      <c r="K273" s="17" t="n">
        <v>9</v>
      </c>
      <c r="L273" s="17" t="n">
        <v>2</v>
      </c>
      <c r="M273" s="17" t="n">
        <v>1</v>
      </c>
      <c r="N273" s="17" t="n">
        <v>1</v>
      </c>
      <c r="O273" s="17" t="n">
        <v>0</v>
      </c>
      <c r="P273" s="17" t="n">
        <v>1</v>
      </c>
      <c r="Q273" s="17" t="n">
        <v>3</v>
      </c>
      <c r="R273" s="17" t="n">
        <v>1</v>
      </c>
      <c r="T273" s="17">
        <f>DAY(C273)</f>
        <v/>
      </c>
      <c r="U273" s="17">
        <f>MONTH(C273)</f>
        <v/>
      </c>
      <c r="V273" s="17" t="n">
        <v>2025</v>
      </c>
    </row>
    <row r="274" hidden="1" ht="22.5" customHeight="1" s="117">
      <c r="A274" s="14" t="n">
        <v>45987.84370636574</v>
      </c>
      <c r="B274" s="17" t="inlineStr">
        <is>
          <t>Hồ Thái Minh Trí</t>
        </is>
      </c>
      <c r="C274" s="16" t="n">
        <v>45987</v>
      </c>
      <c r="D274" s="17" t="n">
        <v>0</v>
      </c>
      <c r="E274" s="17" t="n">
        <v>1</v>
      </c>
      <c r="F274" s="17" t="n">
        <v>0</v>
      </c>
      <c r="G274" s="17" t="n">
        <v>0</v>
      </c>
      <c r="H274" s="17" t="n">
        <v>0</v>
      </c>
      <c r="I274" s="17" t="n">
        <v>0</v>
      </c>
      <c r="J274" s="17" t="n">
        <v>0</v>
      </c>
      <c r="K274" s="17" t="n">
        <v>24</v>
      </c>
      <c r="L274" s="17" t="n">
        <v>0</v>
      </c>
      <c r="M274" s="17" t="n">
        <v>2</v>
      </c>
      <c r="N274" s="17" t="n">
        <v>0</v>
      </c>
      <c r="O274" s="17" t="n">
        <v>0</v>
      </c>
      <c r="P274" s="17" t="n">
        <v>0</v>
      </c>
      <c r="Q274" s="17" t="n">
        <v>3</v>
      </c>
      <c r="R274" s="17" t="n">
        <v>0</v>
      </c>
      <c r="T274" s="17">
        <f>DAY(C274)</f>
        <v/>
      </c>
      <c r="U274" s="17">
        <f>MONTH(C274)</f>
        <v/>
      </c>
      <c r="V274" s="17" t="n">
        <v>2025</v>
      </c>
    </row>
    <row r="275" hidden="1" ht="22.5" customHeight="1" s="117">
      <c r="A275" s="14" t="n">
        <v>45987.92313806713</v>
      </c>
      <c r="B275" s="17" t="inlineStr">
        <is>
          <t>Trần Minh Khánh</t>
        </is>
      </c>
      <c r="C275" s="16" t="n">
        <v>45987</v>
      </c>
      <c r="D275" s="17" t="n">
        <v>1</v>
      </c>
      <c r="E275" s="17" t="n">
        <v>1</v>
      </c>
      <c r="F275" s="17" t="n">
        <v>0</v>
      </c>
      <c r="G275" s="17" t="n">
        <v>1</v>
      </c>
      <c r="H275" s="17" t="n">
        <v>1</v>
      </c>
      <c r="I275" s="17" t="n">
        <v>0</v>
      </c>
      <c r="J275" s="17" t="n">
        <v>0</v>
      </c>
      <c r="K275" s="17" t="n">
        <v>17</v>
      </c>
      <c r="L275" s="17" t="n">
        <v>0</v>
      </c>
      <c r="M275" s="17" t="n">
        <v>1</v>
      </c>
      <c r="N275" s="17" t="n">
        <v>0</v>
      </c>
      <c r="O275" s="17" t="n">
        <v>0</v>
      </c>
      <c r="P275" s="17" t="n">
        <v>0</v>
      </c>
      <c r="Q275" s="17" t="n">
        <v>2</v>
      </c>
      <c r="R275" s="17" t="n">
        <v>0</v>
      </c>
      <c r="T275" s="17">
        <f>DAY(C275)</f>
        <v/>
      </c>
      <c r="U275" s="17">
        <f>MONTH(C275)</f>
        <v/>
      </c>
      <c r="V275" s="17" t="n">
        <v>2025</v>
      </c>
    </row>
    <row r="276" hidden="1" ht="22.5" customHeight="1" s="117">
      <c r="A276" s="14" t="n">
        <v>45988.09464891204</v>
      </c>
      <c r="B276" s="17" t="inlineStr">
        <is>
          <t>Nguyễn Văn Nhật</t>
        </is>
      </c>
      <c r="C276" s="16" t="n">
        <v>45986</v>
      </c>
      <c r="D276" s="17" t="n">
        <v>0</v>
      </c>
      <c r="E276" s="17" t="n">
        <v>3</v>
      </c>
      <c r="F276" s="17" t="n">
        <v>0</v>
      </c>
      <c r="G276" s="17" t="n">
        <v>0</v>
      </c>
      <c r="H276" s="17" t="n">
        <v>0</v>
      </c>
      <c r="I276" s="17" t="n">
        <v>0</v>
      </c>
      <c r="J276" s="17" t="n">
        <v>0</v>
      </c>
      <c r="K276" s="17" t="n">
        <v>12</v>
      </c>
      <c r="L276" s="17" t="n">
        <v>1</v>
      </c>
      <c r="M276" s="17" t="n">
        <v>1</v>
      </c>
      <c r="N276" s="17" t="n">
        <v>0</v>
      </c>
      <c r="O276" s="17" t="n">
        <v>1</v>
      </c>
      <c r="P276" s="17" t="n">
        <v>1</v>
      </c>
      <c r="Q276" s="17" t="n">
        <v>4</v>
      </c>
      <c r="R276" s="17" t="n">
        <v>0</v>
      </c>
      <c r="T276" s="17">
        <f>DAY(C276)</f>
        <v/>
      </c>
      <c r="U276" s="17">
        <f>MONTH(C276)</f>
        <v/>
      </c>
      <c r="V276" s="17" t="n">
        <v>2025</v>
      </c>
    </row>
    <row r="277" hidden="1" ht="22.5" customHeight="1" s="117">
      <c r="A277" s="14" t="n">
        <v>45988.27339767361</v>
      </c>
      <c r="B277" s="17" t="inlineStr">
        <is>
          <t>Lương Duy Hoàng</t>
        </is>
      </c>
      <c r="C277" s="16" t="n">
        <v>45987</v>
      </c>
      <c r="D277" s="17" t="n">
        <v>0</v>
      </c>
      <c r="E277" s="17" t="n">
        <v>0</v>
      </c>
      <c r="F277" s="17" t="n">
        <v>0</v>
      </c>
      <c r="G277" s="17" t="n">
        <v>1</v>
      </c>
      <c r="H277" s="17" t="n">
        <v>0</v>
      </c>
      <c r="I277" s="17" t="n">
        <v>0</v>
      </c>
      <c r="J277" s="17" t="n">
        <v>0</v>
      </c>
      <c r="K277" s="17" t="n">
        <v>4</v>
      </c>
      <c r="L277" s="17" t="n">
        <v>0</v>
      </c>
      <c r="M277" s="17" t="n">
        <v>0</v>
      </c>
      <c r="N277" s="17" t="n">
        <v>0</v>
      </c>
      <c r="O277" s="17" t="n">
        <v>0</v>
      </c>
      <c r="P277" s="17" t="n">
        <v>0</v>
      </c>
      <c r="Q277" s="17" t="n">
        <v>2</v>
      </c>
      <c r="R277" s="17" t="n">
        <v>0</v>
      </c>
      <c r="T277" s="17">
        <f>DAY(C277)</f>
        <v/>
      </c>
      <c r="U277" s="17">
        <f>MONTH(C277)</f>
        <v/>
      </c>
      <c r="V277" s="17" t="n">
        <v>2025</v>
      </c>
    </row>
    <row r="278" hidden="1" ht="22.5" customHeight="1" s="117">
      <c r="A278" s="14" t="n">
        <v>45988.29291354166</v>
      </c>
      <c r="B278" s="17" t="inlineStr">
        <is>
          <t>Lê Quốc Duy</t>
        </is>
      </c>
      <c r="C278" s="16" t="n">
        <v>45987</v>
      </c>
      <c r="D278" s="17" t="n">
        <v>0</v>
      </c>
      <c r="E278" s="17" t="n">
        <v>0</v>
      </c>
      <c r="F278" s="17" t="n">
        <v>0</v>
      </c>
      <c r="G278" s="17" t="n">
        <v>1</v>
      </c>
      <c r="H278" s="17" t="n">
        <v>0</v>
      </c>
      <c r="I278" s="17" t="n">
        <v>0</v>
      </c>
      <c r="J278" s="17" t="n">
        <v>0</v>
      </c>
      <c r="K278" s="17" t="n">
        <v>4</v>
      </c>
      <c r="L278" s="17" t="n">
        <v>0</v>
      </c>
      <c r="M278" s="17" t="n">
        <v>0</v>
      </c>
      <c r="N278" s="17" t="n">
        <v>0</v>
      </c>
      <c r="O278" s="17" t="n">
        <v>0</v>
      </c>
      <c r="P278" s="17" t="n">
        <v>0</v>
      </c>
      <c r="Q278" s="17" t="n">
        <v>5</v>
      </c>
      <c r="R278" s="17" t="n">
        <v>0</v>
      </c>
      <c r="T278" s="17">
        <f>DAY(C278)</f>
        <v/>
      </c>
      <c r="U278" s="17">
        <f>MONTH(C278)</f>
        <v/>
      </c>
      <c r="V278" s="17" t="n">
        <v>2025</v>
      </c>
    </row>
    <row r="279" hidden="1" ht="22.5" customHeight="1" s="117">
      <c r="A279" s="14" t="n">
        <v>45988.29615353009</v>
      </c>
      <c r="B279" s="17" t="inlineStr">
        <is>
          <t>Trần Trung Giang</t>
        </is>
      </c>
      <c r="C279" s="16" t="n">
        <v>45987</v>
      </c>
      <c r="D279" s="17" t="n">
        <v>0</v>
      </c>
      <c r="E279" s="17" t="n">
        <v>0</v>
      </c>
      <c r="F279" s="17" t="n">
        <v>0</v>
      </c>
      <c r="G279" s="17" t="n">
        <v>0</v>
      </c>
      <c r="H279" s="17" t="n">
        <v>0</v>
      </c>
      <c r="I279" s="17" t="n">
        <v>1</v>
      </c>
      <c r="J279" s="17" t="n">
        <v>0</v>
      </c>
      <c r="K279" s="17" t="n">
        <v>5</v>
      </c>
      <c r="L279" s="17" t="n">
        <v>0</v>
      </c>
      <c r="M279" s="17" t="n">
        <v>0</v>
      </c>
      <c r="N279" s="17" t="n">
        <v>0</v>
      </c>
      <c r="O279" s="17" t="n">
        <v>0</v>
      </c>
      <c r="P279" s="17" t="n">
        <v>0</v>
      </c>
      <c r="Q279" s="17" t="n">
        <v>0</v>
      </c>
      <c r="R279" s="17" t="n">
        <v>0</v>
      </c>
      <c r="T279" s="17">
        <f>DAY(C279)</f>
        <v/>
      </c>
      <c r="U279" s="17">
        <f>MONTH(C279)</f>
        <v/>
      </c>
      <c r="V279" s="17" t="n">
        <v>2025</v>
      </c>
    </row>
    <row r="280" hidden="1" ht="22.5" customHeight="1" s="117">
      <c r="A280" s="14" t="n">
        <v>45988.29798165509</v>
      </c>
      <c r="B280" s="17" t="inlineStr">
        <is>
          <t>Nguyễn Tuấn Anh</t>
        </is>
      </c>
      <c r="C280" s="16" t="n">
        <v>45987</v>
      </c>
      <c r="D280" s="17" t="n">
        <v>0</v>
      </c>
      <c r="E280" s="17" t="n">
        <v>0</v>
      </c>
      <c r="F280" s="17" t="n">
        <v>0</v>
      </c>
      <c r="G280" s="17" t="n">
        <v>0</v>
      </c>
      <c r="H280" s="17" t="n">
        <v>0</v>
      </c>
      <c r="I280" s="17" t="n">
        <v>3</v>
      </c>
      <c r="J280" s="17" t="n">
        <v>0</v>
      </c>
      <c r="K280" s="17" t="n">
        <v>3</v>
      </c>
      <c r="L280" s="17" t="n">
        <v>0</v>
      </c>
      <c r="M280" s="17" t="n">
        <v>0</v>
      </c>
      <c r="N280" s="17" t="n">
        <v>0</v>
      </c>
      <c r="O280" s="17" t="n">
        <v>0</v>
      </c>
      <c r="P280" s="17" t="n">
        <v>1</v>
      </c>
      <c r="Q280" s="17" t="n">
        <v>5</v>
      </c>
      <c r="R280" s="17" t="n">
        <v>0</v>
      </c>
      <c r="T280" s="17">
        <f>DAY(C280)</f>
        <v/>
      </c>
      <c r="U280" s="17">
        <f>MONTH(C280)</f>
        <v/>
      </c>
      <c r="V280" s="17" t="n">
        <v>2025</v>
      </c>
    </row>
    <row r="281" hidden="1" ht="22.5" customHeight="1" s="117">
      <c r="A281" s="14" t="n">
        <v>45988.29878810185</v>
      </c>
      <c r="B281" s="17" t="inlineStr">
        <is>
          <t>Nguyễn Quang Anh Tuấn</t>
        </is>
      </c>
      <c r="C281" s="16" t="n">
        <v>45987</v>
      </c>
      <c r="D281" s="17" t="n">
        <v>0</v>
      </c>
      <c r="E281" s="17" t="n">
        <v>0</v>
      </c>
      <c r="F281" s="17" t="n">
        <v>0</v>
      </c>
      <c r="G281" s="17" t="n">
        <v>0</v>
      </c>
      <c r="H281" s="17" t="n">
        <v>0</v>
      </c>
      <c r="I281" s="17" t="n">
        <v>2</v>
      </c>
      <c r="J281" s="17" t="n">
        <v>0</v>
      </c>
      <c r="K281" s="17" t="n">
        <v>4</v>
      </c>
      <c r="L281" s="17" t="n">
        <v>0</v>
      </c>
      <c r="M281" s="17" t="n">
        <v>0</v>
      </c>
      <c r="N281" s="17" t="n">
        <v>0</v>
      </c>
      <c r="O281" s="17" t="n">
        <v>0</v>
      </c>
      <c r="P281" s="17" t="n">
        <v>0</v>
      </c>
      <c r="Q281" s="17" t="n">
        <v>2</v>
      </c>
      <c r="R281" s="17" t="n">
        <v>0</v>
      </c>
      <c r="T281" s="17">
        <f>DAY(C281)</f>
        <v/>
      </c>
      <c r="U281" s="17">
        <f>MONTH(C281)</f>
        <v/>
      </c>
      <c r="V281" s="17" t="n">
        <v>2025</v>
      </c>
    </row>
    <row r="282" hidden="1" ht="22.5" customHeight="1" s="117">
      <c r="A282" s="14" t="n">
        <v>45988.30010709491</v>
      </c>
      <c r="B282" s="17" t="inlineStr">
        <is>
          <t>Nguyễn Văn Hiệp</t>
        </is>
      </c>
      <c r="C282" s="16" t="n">
        <v>45987</v>
      </c>
      <c r="D282" s="17" t="n">
        <v>0</v>
      </c>
      <c r="E282" s="17" t="n">
        <v>0</v>
      </c>
      <c r="F282" s="17" t="n">
        <v>0</v>
      </c>
      <c r="G282" s="17" t="n">
        <v>0</v>
      </c>
      <c r="H282" s="17" t="n">
        <v>0</v>
      </c>
      <c r="I282" s="17" t="n">
        <v>1</v>
      </c>
      <c r="J282" s="17" t="n">
        <v>0</v>
      </c>
      <c r="K282" s="17" t="n">
        <v>3</v>
      </c>
      <c r="L282" s="17" t="n">
        <v>0</v>
      </c>
      <c r="M282" s="17" t="n">
        <v>0</v>
      </c>
      <c r="N282" s="17" t="n">
        <v>0</v>
      </c>
      <c r="O282" s="17" t="n">
        <v>0</v>
      </c>
      <c r="P282" s="17" t="n">
        <v>1</v>
      </c>
      <c r="Q282" s="17" t="n">
        <v>0</v>
      </c>
      <c r="R282" s="17" t="n">
        <v>0</v>
      </c>
      <c r="T282" s="17">
        <f>DAY(C282)</f>
        <v/>
      </c>
      <c r="U282" s="17">
        <f>MONTH(C282)</f>
        <v/>
      </c>
      <c r="V282" s="17" t="n">
        <v>2025</v>
      </c>
    </row>
    <row r="283" hidden="1" ht="22.5" customHeight="1" s="117">
      <c r="A283" s="14" t="n">
        <v>45988.30275728009</v>
      </c>
      <c r="B283" s="17" t="inlineStr">
        <is>
          <t>Đặng Hoài Anh</t>
        </is>
      </c>
      <c r="C283" s="16" t="n">
        <v>45987</v>
      </c>
      <c r="D283" s="17" t="n">
        <v>0</v>
      </c>
      <c r="E283" s="17" t="n">
        <v>0</v>
      </c>
      <c r="F283" s="17" t="n">
        <v>0</v>
      </c>
      <c r="G283" s="17" t="n">
        <v>0</v>
      </c>
      <c r="H283" s="17" t="n">
        <v>0</v>
      </c>
      <c r="I283" s="17" t="n">
        <v>0</v>
      </c>
      <c r="J283" s="17" t="n">
        <v>0</v>
      </c>
      <c r="K283" s="17" t="n">
        <v>1</v>
      </c>
      <c r="L283" s="17" t="n">
        <v>0</v>
      </c>
      <c r="M283" s="17" t="n">
        <v>0</v>
      </c>
      <c r="N283" s="17" t="n">
        <v>0</v>
      </c>
      <c r="O283" s="17" t="n">
        <v>0</v>
      </c>
      <c r="P283" s="17" t="n">
        <v>0</v>
      </c>
      <c r="Q283" s="17" t="n">
        <v>0</v>
      </c>
      <c r="R283" s="17" t="n">
        <v>0</v>
      </c>
      <c r="T283" s="17">
        <f>DAY(C283)</f>
        <v/>
      </c>
      <c r="U283" s="17">
        <f>MONTH(C283)</f>
        <v/>
      </c>
      <c r="V283" s="17" t="n">
        <v>2025</v>
      </c>
    </row>
    <row r="284" hidden="1" ht="22.5" customHeight="1" s="117">
      <c r="A284" s="14" t="n">
        <v>45988.3048805787</v>
      </c>
      <c r="B284" s="17" t="inlineStr">
        <is>
          <t>Huỳnh Văn Lực</t>
        </is>
      </c>
      <c r="C284" s="16" t="n">
        <v>45987</v>
      </c>
      <c r="D284" s="17" t="n">
        <v>0</v>
      </c>
      <c r="E284" s="17" t="n">
        <v>0</v>
      </c>
      <c r="F284" s="17" t="n">
        <v>1</v>
      </c>
      <c r="G284" s="17" t="n">
        <v>1</v>
      </c>
      <c r="H284" s="17" t="n">
        <v>0</v>
      </c>
      <c r="I284" s="17" t="n">
        <v>0</v>
      </c>
      <c r="J284" s="17" t="n">
        <v>0</v>
      </c>
      <c r="K284" s="17" t="n">
        <v>3</v>
      </c>
      <c r="L284" s="17" t="n">
        <v>0</v>
      </c>
      <c r="M284" s="17" t="n">
        <v>1</v>
      </c>
      <c r="N284" s="17" t="n">
        <v>0</v>
      </c>
      <c r="O284" s="17" t="n">
        <v>0</v>
      </c>
      <c r="P284" s="17" t="n">
        <v>0</v>
      </c>
      <c r="Q284" s="17" t="n">
        <v>1</v>
      </c>
      <c r="R284" s="17" t="n">
        <v>0</v>
      </c>
      <c r="T284" s="17">
        <f>DAY(C284)</f>
        <v/>
      </c>
      <c r="U284" s="17">
        <f>MONTH(C284)</f>
        <v/>
      </c>
      <c r="V284" s="17" t="n">
        <v>2025</v>
      </c>
    </row>
    <row r="285" hidden="1" ht="22.5" customHeight="1" s="117">
      <c r="A285" s="14" t="n">
        <v>45988.31238870371</v>
      </c>
      <c r="B285" s="17" t="inlineStr">
        <is>
          <t>Dương Minh Tiến</t>
        </is>
      </c>
      <c r="C285" s="16" t="n">
        <v>45987</v>
      </c>
      <c r="D285" s="17" t="n">
        <v>0</v>
      </c>
      <c r="E285" s="17" t="n">
        <v>2</v>
      </c>
      <c r="F285" s="17" t="n">
        <v>0</v>
      </c>
      <c r="G285" s="17" t="n">
        <v>1</v>
      </c>
      <c r="H285" s="17" t="n">
        <v>0</v>
      </c>
      <c r="I285" s="17" t="n">
        <v>0</v>
      </c>
      <c r="J285" s="17" t="n">
        <v>0</v>
      </c>
      <c r="K285" s="17" t="n">
        <v>10</v>
      </c>
      <c r="L285" s="17" t="n">
        <v>0</v>
      </c>
      <c r="M285" s="17" t="n">
        <v>5</v>
      </c>
      <c r="N285" s="17" t="n">
        <v>0</v>
      </c>
      <c r="O285" s="17" t="n">
        <v>0</v>
      </c>
      <c r="P285" s="17" t="n">
        <v>0</v>
      </c>
      <c r="Q285" s="17" t="n">
        <v>1</v>
      </c>
      <c r="R285" s="17" t="n">
        <v>1</v>
      </c>
      <c r="T285" s="17">
        <f>DAY(C285)</f>
        <v/>
      </c>
      <c r="U285" s="17">
        <f>MONTH(C285)</f>
        <v/>
      </c>
      <c r="V285" s="17" t="n">
        <v>2025</v>
      </c>
    </row>
    <row r="286" hidden="1" ht="22.5" customHeight="1" s="117">
      <c r="A286" s="14" t="n">
        <v>45988.31894711805</v>
      </c>
      <c r="B286" s="17" t="inlineStr">
        <is>
          <t>Bùi Duy Cường</t>
        </is>
      </c>
      <c r="C286" s="16" t="n">
        <v>45987</v>
      </c>
      <c r="D286" s="17" t="n">
        <v>0</v>
      </c>
      <c r="E286" s="17" t="n">
        <v>0</v>
      </c>
      <c r="F286" s="17" t="n">
        <v>0</v>
      </c>
      <c r="G286" s="17" t="n">
        <v>1</v>
      </c>
      <c r="H286" s="17" t="n">
        <v>0</v>
      </c>
      <c r="I286" s="17" t="n">
        <v>2</v>
      </c>
      <c r="J286" s="17" t="n">
        <v>2</v>
      </c>
      <c r="K286" s="17" t="n">
        <v>18</v>
      </c>
      <c r="L286" s="17" t="n">
        <v>0</v>
      </c>
      <c r="M286" s="17" t="n">
        <v>1</v>
      </c>
      <c r="N286" s="17" t="n">
        <v>0</v>
      </c>
      <c r="O286" s="17" t="n">
        <v>0</v>
      </c>
      <c r="P286" s="17" t="n">
        <v>0</v>
      </c>
      <c r="Q286" s="17" t="n">
        <v>2</v>
      </c>
      <c r="R286" s="17" t="n">
        <v>0</v>
      </c>
      <c r="T286" s="17">
        <f>DAY(C286)</f>
        <v/>
      </c>
      <c r="U286" s="17">
        <f>MONTH(C286)</f>
        <v/>
      </c>
      <c r="V286" s="17" t="n">
        <v>2025</v>
      </c>
    </row>
    <row r="287" hidden="1" ht="22.5" customHeight="1" s="117">
      <c r="A287" s="14" t="n">
        <v>45988.32632292824</v>
      </c>
      <c r="B287" s="17" t="inlineStr">
        <is>
          <t>Hồ Xuân Việt</t>
        </is>
      </c>
      <c r="C287" s="16" t="n">
        <v>45987</v>
      </c>
      <c r="D287" s="17" t="n">
        <v>0</v>
      </c>
      <c r="E287" s="17" t="n">
        <v>0</v>
      </c>
      <c r="F287" s="17" t="n">
        <v>0</v>
      </c>
      <c r="G287" s="17" t="n">
        <v>3</v>
      </c>
      <c r="H287" s="17" t="n">
        <v>3</v>
      </c>
      <c r="I287" s="17" t="n">
        <v>2</v>
      </c>
      <c r="J287" s="17" t="n">
        <v>0</v>
      </c>
      <c r="K287" s="17" t="n">
        <v>10</v>
      </c>
      <c r="L287" s="17" t="n">
        <v>0</v>
      </c>
      <c r="M287" s="17" t="n">
        <v>0</v>
      </c>
      <c r="N287" s="17" t="n">
        <v>1</v>
      </c>
      <c r="O287" s="17" t="n">
        <v>0</v>
      </c>
      <c r="P287" s="17" t="n">
        <v>1</v>
      </c>
      <c r="Q287" s="17" t="n">
        <v>3</v>
      </c>
      <c r="R287" s="17" t="n">
        <v>0</v>
      </c>
      <c r="T287" s="17">
        <f>DAY(C287)</f>
        <v/>
      </c>
      <c r="U287" s="17">
        <f>MONTH(C287)</f>
        <v/>
      </c>
      <c r="V287" s="17" t="n">
        <v>2025</v>
      </c>
    </row>
    <row r="288" hidden="1" ht="22.5" customHeight="1" s="117">
      <c r="A288" s="14" t="n">
        <v>45988.33193328704</v>
      </c>
      <c r="B288" s="17" t="inlineStr">
        <is>
          <t>Phan Thành Thái</t>
        </is>
      </c>
      <c r="C288" s="16" t="n">
        <v>45987</v>
      </c>
      <c r="D288" s="17" t="n">
        <v>0</v>
      </c>
      <c r="E288" s="17" t="n">
        <v>0</v>
      </c>
      <c r="F288" s="17" t="n">
        <v>0</v>
      </c>
      <c r="G288" s="17" t="n">
        <v>0</v>
      </c>
      <c r="H288" s="17" t="n">
        <v>0</v>
      </c>
      <c r="I288" s="17" t="n">
        <v>2</v>
      </c>
      <c r="J288" s="17" t="n">
        <v>0</v>
      </c>
      <c r="K288" s="17" t="n">
        <v>8</v>
      </c>
      <c r="L288" s="17" t="n">
        <v>0</v>
      </c>
      <c r="M288" s="17" t="n">
        <v>1</v>
      </c>
      <c r="N288" s="17" t="n">
        <v>0</v>
      </c>
      <c r="O288" s="17" t="n">
        <v>0</v>
      </c>
      <c r="P288" s="17" t="n">
        <v>1</v>
      </c>
      <c r="Q288" s="17" t="n">
        <v>4</v>
      </c>
      <c r="R288" s="17" t="n">
        <v>0</v>
      </c>
      <c r="T288" s="17">
        <f>DAY(C288)</f>
        <v/>
      </c>
      <c r="U288" s="17">
        <f>MONTH(C288)</f>
        <v/>
      </c>
      <c r="V288" s="17" t="n">
        <v>2025</v>
      </c>
    </row>
    <row r="289" hidden="1" ht="22.5" customHeight="1" s="117">
      <c r="A289" s="14" t="n">
        <v>45988.33479204861</v>
      </c>
      <c r="B289" s="17" t="inlineStr">
        <is>
          <t>Trần Xuân Khoa</t>
        </is>
      </c>
      <c r="C289" s="16" t="n">
        <v>45987</v>
      </c>
      <c r="D289" s="17" t="n">
        <v>0</v>
      </c>
      <c r="E289" s="17" t="n">
        <v>1</v>
      </c>
      <c r="F289" s="17" t="n">
        <v>0</v>
      </c>
      <c r="G289" s="17" t="n">
        <v>0</v>
      </c>
      <c r="H289" s="17" t="n">
        <v>0</v>
      </c>
      <c r="I289" s="17" t="n">
        <v>0</v>
      </c>
      <c r="J289" s="17" t="n">
        <v>0</v>
      </c>
      <c r="K289" s="17" t="n">
        <v>15</v>
      </c>
      <c r="L289" s="17" t="n">
        <v>0</v>
      </c>
      <c r="M289" s="17" t="n">
        <v>0</v>
      </c>
      <c r="N289" s="17" t="n">
        <v>0</v>
      </c>
      <c r="O289" s="17" t="n">
        <v>0</v>
      </c>
      <c r="P289" s="17" t="n">
        <v>0</v>
      </c>
      <c r="Q289" s="17" t="n">
        <v>3</v>
      </c>
      <c r="R289" s="17" t="n">
        <v>0</v>
      </c>
      <c r="T289" s="17">
        <f>DAY(C289)</f>
        <v/>
      </c>
      <c r="U289" s="17">
        <f>MONTH(C289)</f>
        <v/>
      </c>
      <c r="V289" s="17" t="n">
        <v>2025</v>
      </c>
    </row>
    <row r="290" hidden="1" ht="22.5" customHeight="1" s="117">
      <c r="A290" s="14" t="n">
        <v>45988.41971362269</v>
      </c>
      <c r="B290" s="17" t="inlineStr">
        <is>
          <t>Nguyễn Hồng Minh</t>
        </is>
      </c>
      <c r="C290" s="16" t="n">
        <v>45987</v>
      </c>
      <c r="D290" s="17" t="n">
        <v>1</v>
      </c>
      <c r="E290" s="17" t="n">
        <v>1</v>
      </c>
      <c r="F290" s="17" t="n">
        <v>0</v>
      </c>
      <c r="G290" s="17" t="n">
        <v>1</v>
      </c>
      <c r="H290" s="17" t="n">
        <v>1</v>
      </c>
      <c r="I290" s="17" t="n">
        <v>0</v>
      </c>
      <c r="J290" s="17" t="n">
        <v>0</v>
      </c>
      <c r="K290" s="17" t="n">
        <v>8</v>
      </c>
      <c r="L290" s="17" t="n">
        <v>0</v>
      </c>
      <c r="M290" s="17" t="n">
        <v>0</v>
      </c>
      <c r="N290" s="17" t="n">
        <v>0</v>
      </c>
      <c r="O290" s="17" t="n">
        <v>0</v>
      </c>
      <c r="P290" s="17" t="n">
        <v>0</v>
      </c>
      <c r="Q290" s="17" t="n">
        <v>3</v>
      </c>
      <c r="R290" s="17" t="n">
        <v>0</v>
      </c>
      <c r="T290" s="17">
        <f>DAY(C290)</f>
        <v/>
      </c>
      <c r="U290" s="17">
        <f>MONTH(C290)</f>
        <v/>
      </c>
      <c r="V290" s="17" t="n">
        <v>2025</v>
      </c>
    </row>
    <row r="291" hidden="1" ht="22.5" customHeight="1" s="117">
      <c r="A291" s="14" t="n">
        <v>45988.55732196759</v>
      </c>
      <c r="B291" s="17" t="inlineStr">
        <is>
          <t>Phan Ngọc Sang</t>
        </is>
      </c>
      <c r="C291" s="16" t="n">
        <v>45987</v>
      </c>
      <c r="D291" s="17" t="n">
        <v>2</v>
      </c>
      <c r="E291" s="17" t="n">
        <v>0</v>
      </c>
      <c r="F291" s="17" t="n">
        <v>0</v>
      </c>
      <c r="G291" s="17" t="n">
        <v>0</v>
      </c>
      <c r="H291" s="17" t="n">
        <v>0</v>
      </c>
      <c r="I291" s="17" t="n">
        <v>1</v>
      </c>
      <c r="J291" s="17" t="n">
        <v>0</v>
      </c>
      <c r="K291" s="17" t="n">
        <v>5</v>
      </c>
      <c r="L291" s="17" t="n">
        <v>0</v>
      </c>
      <c r="M291" s="17" t="n">
        <v>1</v>
      </c>
      <c r="N291" s="17" t="n">
        <v>0</v>
      </c>
      <c r="O291" s="17" t="n">
        <v>0</v>
      </c>
      <c r="P291" s="17" t="n">
        <v>0</v>
      </c>
      <c r="Q291" s="17" t="n">
        <v>2</v>
      </c>
      <c r="R291" s="17" t="n">
        <v>0</v>
      </c>
      <c r="T291" s="17">
        <f>DAY(C291)</f>
        <v/>
      </c>
      <c r="U291" s="17">
        <f>MONTH(C291)</f>
        <v/>
      </c>
      <c r="V291" s="17" t="n">
        <v>2025</v>
      </c>
    </row>
    <row r="292" hidden="1" ht="22.5" customHeight="1" s="117">
      <c r="A292" s="14" t="n">
        <v>45988.81022461806</v>
      </c>
      <c r="B292" s="17" t="inlineStr">
        <is>
          <t>Đặng Hữu Danh</t>
        </is>
      </c>
      <c r="C292" s="16" t="n">
        <v>45988</v>
      </c>
      <c r="D292" s="17" t="n">
        <v>0</v>
      </c>
      <c r="E292" s="17" t="n">
        <v>0</v>
      </c>
      <c r="F292" s="17" t="n">
        <v>0</v>
      </c>
      <c r="G292" s="17" t="n">
        <v>0</v>
      </c>
      <c r="H292" s="17" t="n">
        <v>0</v>
      </c>
      <c r="I292" s="17" t="n">
        <v>0</v>
      </c>
      <c r="J292" s="17" t="n">
        <v>0</v>
      </c>
      <c r="K292" s="17" t="n">
        <v>9</v>
      </c>
      <c r="L292" s="17" t="n">
        <v>0</v>
      </c>
      <c r="M292" s="17" t="n">
        <v>1</v>
      </c>
      <c r="N292" s="17" t="n">
        <v>1</v>
      </c>
      <c r="O292" s="17" t="n">
        <v>0</v>
      </c>
      <c r="P292" s="17" t="n">
        <v>2</v>
      </c>
      <c r="Q292" s="17" t="n">
        <v>3</v>
      </c>
      <c r="R292" s="17" t="n">
        <v>0</v>
      </c>
      <c r="T292" s="17">
        <f>DAY(C292)</f>
        <v/>
      </c>
      <c r="U292" s="17">
        <f>MONTH(C292)</f>
        <v/>
      </c>
      <c r="V292" s="17" t="n">
        <v>2025</v>
      </c>
    </row>
    <row r="293" hidden="1" ht="22.5" customHeight="1" s="117">
      <c r="A293" s="14" t="n">
        <v>45989.26676431713</v>
      </c>
      <c r="B293" s="17" t="inlineStr">
        <is>
          <t>Phan Ngọc Sang</t>
        </is>
      </c>
      <c r="C293" s="16" t="n">
        <v>45988</v>
      </c>
      <c r="D293" s="17" t="n">
        <v>0</v>
      </c>
      <c r="E293" s="17" t="n">
        <v>2</v>
      </c>
      <c r="F293" s="17" t="n">
        <v>0</v>
      </c>
      <c r="G293" s="17" t="n">
        <v>1</v>
      </c>
      <c r="H293" s="17" t="n">
        <v>1</v>
      </c>
      <c r="I293" s="17" t="n">
        <v>0</v>
      </c>
      <c r="J293" s="17" t="n">
        <v>0</v>
      </c>
      <c r="K293" s="17" t="n">
        <v>5</v>
      </c>
      <c r="L293" s="17" t="n">
        <v>0</v>
      </c>
      <c r="M293" s="17" t="n">
        <v>1</v>
      </c>
      <c r="N293" s="17" t="n">
        <v>0</v>
      </c>
      <c r="O293" s="17" t="n">
        <v>0</v>
      </c>
      <c r="P293" s="17" t="n">
        <v>0</v>
      </c>
      <c r="Q293" s="17" t="n">
        <v>1</v>
      </c>
      <c r="R293" s="17" t="n">
        <v>0</v>
      </c>
      <c r="T293" s="17">
        <f>DAY(C293)</f>
        <v/>
      </c>
      <c r="U293" s="17">
        <f>MONTH(C293)</f>
        <v/>
      </c>
      <c r="V293" s="17" t="n">
        <v>2025</v>
      </c>
    </row>
    <row r="294" hidden="1" ht="22.5" customHeight="1" s="117">
      <c r="A294" s="14" t="n">
        <v>45989.29266771991</v>
      </c>
      <c r="B294" s="17" t="inlineStr">
        <is>
          <t>Lương Duy Hoàng</t>
        </is>
      </c>
      <c r="C294" s="16" t="n">
        <v>45988</v>
      </c>
      <c r="D294" s="17" t="n">
        <v>0</v>
      </c>
      <c r="E294" s="17" t="n">
        <v>0</v>
      </c>
      <c r="F294" s="17" t="n">
        <v>2</v>
      </c>
      <c r="G294" s="17" t="n">
        <v>0</v>
      </c>
      <c r="H294" s="17" t="n">
        <v>0</v>
      </c>
      <c r="I294" s="17" t="n">
        <v>2</v>
      </c>
      <c r="J294" s="17" t="n">
        <v>0</v>
      </c>
      <c r="K294" s="17" t="n">
        <v>4</v>
      </c>
      <c r="L294" s="17" t="n">
        <v>0</v>
      </c>
      <c r="M294" s="17" t="n">
        <v>0</v>
      </c>
      <c r="N294" s="17" t="n">
        <v>0</v>
      </c>
      <c r="O294" s="17" t="n">
        <v>0</v>
      </c>
      <c r="P294" s="17" t="n">
        <v>2</v>
      </c>
      <c r="Q294" s="17" t="n">
        <v>2</v>
      </c>
      <c r="R294" s="17" t="n">
        <v>0</v>
      </c>
      <c r="T294" s="17">
        <f>DAY(C294)</f>
        <v/>
      </c>
      <c r="U294" s="17">
        <f>MONTH(C294)</f>
        <v/>
      </c>
      <c r="V294" s="17" t="n">
        <v>2025</v>
      </c>
    </row>
    <row r="295" hidden="1" ht="22.5" customHeight="1" s="117">
      <c r="A295" s="14" t="n">
        <v>45989.30489516204</v>
      </c>
      <c r="B295" s="17" t="inlineStr">
        <is>
          <t>Nguyễn Văn Hiệp</t>
        </is>
      </c>
      <c r="C295" s="16" t="n">
        <v>45988</v>
      </c>
      <c r="D295" s="17" t="n">
        <v>0</v>
      </c>
      <c r="E295" s="17" t="n">
        <v>0</v>
      </c>
      <c r="F295" s="17" t="n">
        <v>0</v>
      </c>
      <c r="G295" s="17" t="n">
        <v>0</v>
      </c>
      <c r="H295" s="17" t="n">
        <v>0</v>
      </c>
      <c r="I295" s="17" t="n">
        <v>1</v>
      </c>
      <c r="J295" s="17" t="n">
        <v>0</v>
      </c>
      <c r="K295" s="17" t="n">
        <v>2</v>
      </c>
      <c r="L295" s="17" t="n">
        <v>0</v>
      </c>
      <c r="M295" s="17" t="n">
        <v>0</v>
      </c>
      <c r="N295" s="17" t="n">
        <v>0</v>
      </c>
      <c r="O295" s="17" t="n">
        <v>0</v>
      </c>
      <c r="P295" s="17" t="n">
        <v>1</v>
      </c>
      <c r="Q295" s="17" t="n">
        <v>1</v>
      </c>
      <c r="R295" s="17" t="n">
        <v>0</v>
      </c>
      <c r="T295" s="17">
        <f>DAY(C295)</f>
        <v/>
      </c>
      <c r="U295" s="17">
        <f>MONTH(C295)</f>
        <v/>
      </c>
      <c r="V295" s="17" t="n">
        <v>2025</v>
      </c>
    </row>
    <row r="296" hidden="1" ht="22.5" customHeight="1" s="117">
      <c r="A296" s="14" t="n">
        <v>45989.30832523148</v>
      </c>
      <c r="B296" s="17" t="inlineStr">
        <is>
          <t>Trần Trung Giang</t>
        </is>
      </c>
      <c r="C296" s="16" t="n">
        <v>45988</v>
      </c>
      <c r="D296" s="17" t="n">
        <v>0</v>
      </c>
      <c r="E296" s="17" t="n">
        <v>0</v>
      </c>
      <c r="F296" s="17" t="n">
        <v>0</v>
      </c>
      <c r="G296" s="17" t="n">
        <v>0</v>
      </c>
      <c r="H296" s="17" t="n">
        <v>0</v>
      </c>
      <c r="I296" s="17" t="n">
        <v>1</v>
      </c>
      <c r="J296" s="17" t="n">
        <v>0</v>
      </c>
      <c r="K296" s="17" t="n">
        <v>5</v>
      </c>
      <c r="L296" s="17" t="n">
        <v>0</v>
      </c>
      <c r="M296" s="17" t="n">
        <v>0</v>
      </c>
      <c r="N296" s="17" t="n">
        <v>0</v>
      </c>
      <c r="O296" s="17" t="n">
        <v>0</v>
      </c>
      <c r="P296" s="17" t="n">
        <v>0</v>
      </c>
      <c r="Q296" s="17" t="n">
        <v>0</v>
      </c>
      <c r="R296" s="17" t="n">
        <v>0</v>
      </c>
      <c r="T296" s="17">
        <f>DAY(C296)</f>
        <v/>
      </c>
      <c r="U296" s="17">
        <f>MONTH(C296)</f>
        <v/>
      </c>
      <c r="V296" s="17" t="n">
        <v>2025</v>
      </c>
    </row>
    <row r="297" hidden="1" ht="22.5" customHeight="1" s="117">
      <c r="A297" s="14" t="n">
        <v>45989.30862645833</v>
      </c>
      <c r="B297" s="17" t="inlineStr">
        <is>
          <t>Nguyễn Tuấn Anh</t>
        </is>
      </c>
      <c r="C297" s="16" t="n">
        <v>45988</v>
      </c>
      <c r="D297" s="17" t="n">
        <v>0</v>
      </c>
      <c r="E297" s="17" t="n">
        <v>1</v>
      </c>
      <c r="F297" s="17" t="n">
        <v>0</v>
      </c>
      <c r="G297" s="17" t="n">
        <v>0</v>
      </c>
      <c r="H297" s="17" t="n">
        <v>0</v>
      </c>
      <c r="I297" s="17" t="n">
        <v>2</v>
      </c>
      <c r="J297" s="17" t="n">
        <v>0</v>
      </c>
      <c r="K297" s="17" t="n">
        <v>2</v>
      </c>
      <c r="L297" s="17" t="n">
        <v>0</v>
      </c>
      <c r="M297" s="17" t="n">
        <v>0</v>
      </c>
      <c r="N297" s="17" t="n">
        <v>0</v>
      </c>
      <c r="O297" s="17" t="n">
        <v>0</v>
      </c>
      <c r="P297" s="17" t="n">
        <v>0</v>
      </c>
      <c r="Q297" s="17" t="n">
        <v>8</v>
      </c>
      <c r="R297" s="17" t="n">
        <v>0</v>
      </c>
      <c r="T297" s="17">
        <f>DAY(C297)</f>
        <v/>
      </c>
      <c r="U297" s="17">
        <f>MONTH(C297)</f>
        <v/>
      </c>
      <c r="V297" s="17" t="n">
        <v>2025</v>
      </c>
    </row>
    <row r="298" hidden="1" ht="22.5" customHeight="1" s="117">
      <c r="A298" s="14" t="n">
        <v>45989.30907167824</v>
      </c>
      <c r="B298" s="17" t="inlineStr">
        <is>
          <t>Hồ Thái Minh Trí</t>
        </is>
      </c>
      <c r="C298" s="16" t="n">
        <v>45988</v>
      </c>
      <c r="D298" s="17" t="n">
        <v>1</v>
      </c>
      <c r="E298" s="17" t="n">
        <v>0</v>
      </c>
      <c r="F298" s="17" t="n">
        <v>0</v>
      </c>
      <c r="G298" s="17" t="n">
        <v>0</v>
      </c>
      <c r="H298" s="17" t="n">
        <v>0</v>
      </c>
      <c r="I298" s="17" t="n">
        <v>0</v>
      </c>
      <c r="J298" s="17" t="n">
        <v>0</v>
      </c>
      <c r="K298" s="17" t="n">
        <v>26</v>
      </c>
      <c r="L298" s="17" t="n">
        <v>0</v>
      </c>
      <c r="M298" s="17" t="n">
        <v>1</v>
      </c>
      <c r="N298" s="17" t="n">
        <v>1</v>
      </c>
      <c r="O298" s="17" t="n">
        <v>1</v>
      </c>
      <c r="P298" s="17" t="n">
        <v>0</v>
      </c>
      <c r="Q298" s="17" t="n">
        <v>1</v>
      </c>
      <c r="R298" s="17" t="n">
        <v>0</v>
      </c>
      <c r="T298" s="17">
        <f>DAY(C298)</f>
        <v/>
      </c>
      <c r="U298" s="17">
        <f>MONTH(C298)</f>
        <v/>
      </c>
      <c r="V298" s="17" t="n">
        <v>2025</v>
      </c>
    </row>
    <row r="299" hidden="1" ht="22.5" customHeight="1" s="117">
      <c r="A299" s="14" t="n">
        <v>45989.31008578704</v>
      </c>
      <c r="B299" s="17" t="inlineStr">
        <is>
          <t>Huỳnh Văn Lực</t>
        </is>
      </c>
      <c r="C299" s="16" t="n">
        <v>45988</v>
      </c>
      <c r="D299" s="17" t="n">
        <v>0</v>
      </c>
      <c r="E299" s="17" t="n">
        <v>0</v>
      </c>
      <c r="F299" s="17" t="n">
        <v>0</v>
      </c>
      <c r="G299" s="17" t="n">
        <v>0</v>
      </c>
      <c r="H299" s="17" t="n">
        <v>0</v>
      </c>
      <c r="I299" s="17" t="n">
        <v>0</v>
      </c>
      <c r="J299" s="17" t="n">
        <v>0</v>
      </c>
      <c r="K299" s="17" t="n">
        <v>7</v>
      </c>
      <c r="L299" s="17" t="n">
        <v>0</v>
      </c>
      <c r="M299" s="17" t="n">
        <v>1</v>
      </c>
      <c r="N299" s="17" t="n">
        <v>0</v>
      </c>
      <c r="O299" s="17" t="n">
        <v>0</v>
      </c>
      <c r="P299" s="17" t="n">
        <v>0</v>
      </c>
      <c r="Q299" s="17" t="n">
        <v>3</v>
      </c>
      <c r="R299" s="17" t="n">
        <v>0</v>
      </c>
      <c r="T299" s="17">
        <f>DAY(C299)</f>
        <v/>
      </c>
      <c r="U299" s="17">
        <f>MONTH(C299)</f>
        <v/>
      </c>
      <c r="V299" s="17" t="n">
        <v>2025</v>
      </c>
    </row>
    <row r="300" hidden="1" ht="22.5" customHeight="1" s="117">
      <c r="A300" s="14" t="n">
        <v>45989.31175663194</v>
      </c>
      <c r="B300" s="17" t="inlineStr">
        <is>
          <t>Vòng Nhật Sang</t>
        </is>
      </c>
      <c r="C300" s="16" t="n">
        <v>45988</v>
      </c>
      <c r="D300" s="17" t="n">
        <v>0</v>
      </c>
      <c r="E300" s="17" t="n">
        <v>0</v>
      </c>
      <c r="F300" s="17" t="n">
        <v>0</v>
      </c>
      <c r="G300" s="17" t="n">
        <v>2</v>
      </c>
      <c r="H300" s="17" t="n">
        <v>2</v>
      </c>
      <c r="I300" s="17" t="n">
        <v>0</v>
      </c>
      <c r="J300" s="17" t="n">
        <v>0</v>
      </c>
      <c r="K300" s="17" t="n">
        <v>0</v>
      </c>
      <c r="L300" s="17" t="n">
        <v>0</v>
      </c>
      <c r="M300" s="17" t="n">
        <v>0</v>
      </c>
      <c r="N300" s="17" t="n">
        <v>0</v>
      </c>
      <c r="O300" s="17" t="n">
        <v>0</v>
      </c>
      <c r="P300" s="17" t="n">
        <v>14</v>
      </c>
      <c r="Q300" s="17" t="n">
        <v>2</v>
      </c>
      <c r="R300" s="17" t="n">
        <v>0</v>
      </c>
      <c r="T300" s="17">
        <f>DAY(C300)</f>
        <v/>
      </c>
      <c r="U300" s="17">
        <f>MONTH(C300)</f>
        <v/>
      </c>
      <c r="V300" s="17" t="n">
        <v>2025</v>
      </c>
    </row>
    <row r="301" hidden="1" ht="22.5" customHeight="1" s="117">
      <c r="A301" s="14" t="n">
        <v>45989.31716694444</v>
      </c>
      <c r="B301" s="17" t="inlineStr">
        <is>
          <t>Nguyễn Quang Anh Tuấn</t>
        </is>
      </c>
      <c r="C301" s="16" t="n">
        <v>45988</v>
      </c>
      <c r="D301" s="17" t="n">
        <v>0</v>
      </c>
      <c r="E301" s="17" t="n">
        <v>0</v>
      </c>
      <c r="F301" s="17" t="n">
        <v>0</v>
      </c>
      <c r="G301" s="17" t="n">
        <v>0</v>
      </c>
      <c r="H301" s="17" t="n">
        <v>0</v>
      </c>
      <c r="I301" s="17" t="n">
        <v>2</v>
      </c>
      <c r="J301" s="17" t="n">
        <v>0</v>
      </c>
      <c r="K301" s="17" t="n">
        <v>2</v>
      </c>
      <c r="L301" s="17" t="n">
        <v>0</v>
      </c>
      <c r="M301" s="17" t="n">
        <v>0</v>
      </c>
      <c r="N301" s="17" t="n">
        <v>0</v>
      </c>
      <c r="O301" s="17" t="n">
        <v>0</v>
      </c>
      <c r="P301" s="17" t="n">
        <v>0</v>
      </c>
      <c r="Q301" s="17" t="n">
        <v>1</v>
      </c>
      <c r="R301" s="17" t="n">
        <v>0</v>
      </c>
      <c r="T301" s="17">
        <f>DAY(C301)</f>
        <v/>
      </c>
      <c r="U301" s="17">
        <f>MONTH(C301)</f>
        <v/>
      </c>
      <c r="V301" s="17" t="n">
        <v>2025</v>
      </c>
    </row>
    <row r="302" hidden="1" ht="22.5" customHeight="1" s="117">
      <c r="A302" s="14" t="n">
        <v>45989.32280167824</v>
      </c>
      <c r="B302" s="17" t="inlineStr">
        <is>
          <t>Đặng Hoài Anh</t>
        </is>
      </c>
      <c r="C302" s="16" t="n">
        <v>45988</v>
      </c>
      <c r="D302" s="17" t="n">
        <v>0</v>
      </c>
      <c r="E302" s="17" t="n">
        <v>0</v>
      </c>
      <c r="F302" s="17" t="n">
        <v>0</v>
      </c>
      <c r="G302" s="17" t="n">
        <v>0</v>
      </c>
      <c r="H302" s="17" t="n">
        <v>0</v>
      </c>
      <c r="I302" s="17" t="n">
        <v>0</v>
      </c>
      <c r="J302" s="17" t="n">
        <v>0</v>
      </c>
      <c r="K302" s="17" t="n">
        <v>2</v>
      </c>
      <c r="L302" s="17" t="n">
        <v>11</v>
      </c>
      <c r="M302" s="17" t="n">
        <v>0</v>
      </c>
      <c r="N302" s="17" t="n">
        <v>0</v>
      </c>
      <c r="O302" s="17" t="n">
        <v>0</v>
      </c>
      <c r="P302" s="17" t="n">
        <v>0</v>
      </c>
      <c r="Q302" s="17" t="n">
        <v>0</v>
      </c>
      <c r="R302" s="17" t="n">
        <v>0</v>
      </c>
      <c r="T302" s="17">
        <f>DAY(C302)</f>
        <v/>
      </c>
      <c r="U302" s="17">
        <f>MONTH(C302)</f>
        <v/>
      </c>
      <c r="V302" s="17" t="n">
        <v>2025</v>
      </c>
    </row>
    <row r="303" hidden="1" ht="22.5" customHeight="1" s="117">
      <c r="A303" s="14" t="n">
        <v>45989.32469134259</v>
      </c>
      <c r="B303" s="17" t="inlineStr">
        <is>
          <t>Trần Xuân Khoa</t>
        </is>
      </c>
      <c r="C303" s="16" t="n">
        <v>45988</v>
      </c>
      <c r="D303" s="17" t="n">
        <v>0</v>
      </c>
      <c r="E303" s="17" t="n">
        <v>1</v>
      </c>
      <c r="F303" s="17" t="n">
        <v>0</v>
      </c>
      <c r="G303" s="17" t="n">
        <v>0</v>
      </c>
      <c r="H303" s="17" t="n">
        <v>0</v>
      </c>
      <c r="I303" s="17" t="n">
        <v>0</v>
      </c>
      <c r="J303" s="17" t="n">
        <v>0</v>
      </c>
      <c r="K303" s="17" t="n">
        <v>15</v>
      </c>
      <c r="L303" s="17" t="n">
        <v>0</v>
      </c>
      <c r="M303" s="17" t="n">
        <v>0</v>
      </c>
      <c r="N303" s="17" t="n">
        <v>0</v>
      </c>
      <c r="O303" s="17" t="n">
        <v>0</v>
      </c>
      <c r="P303" s="17" t="n">
        <v>0</v>
      </c>
      <c r="Q303" s="17" t="n">
        <v>3</v>
      </c>
      <c r="R303" s="17" t="n">
        <v>0</v>
      </c>
      <c r="T303" s="17">
        <f>DAY(C303)</f>
        <v/>
      </c>
      <c r="U303" s="17">
        <f>MONTH(C303)</f>
        <v/>
      </c>
      <c r="V303" s="17" t="n">
        <v>2025</v>
      </c>
    </row>
    <row r="304" hidden="1" ht="22.5" customHeight="1" s="117">
      <c r="A304" s="14" t="n">
        <v>45989.32719050926</v>
      </c>
      <c r="B304" s="17" t="inlineStr">
        <is>
          <t>Dương Minh Tiến</t>
        </is>
      </c>
      <c r="C304" s="16" t="n">
        <v>45988</v>
      </c>
      <c r="D304" s="17" t="n">
        <v>0</v>
      </c>
      <c r="E304" s="17" t="n">
        <v>0</v>
      </c>
      <c r="F304" s="17" t="n">
        <v>0</v>
      </c>
      <c r="G304" s="17" t="n">
        <v>0</v>
      </c>
      <c r="H304" s="17" t="n">
        <v>0</v>
      </c>
      <c r="I304" s="17" t="n">
        <v>0</v>
      </c>
      <c r="J304" s="17" t="n">
        <v>0</v>
      </c>
      <c r="K304" s="17" t="n">
        <v>12</v>
      </c>
      <c r="L304" s="17" t="n">
        <v>0</v>
      </c>
      <c r="M304" s="17" t="n">
        <v>1</v>
      </c>
      <c r="N304" s="17" t="n">
        <v>0</v>
      </c>
      <c r="O304" s="17" t="n">
        <v>0</v>
      </c>
      <c r="P304" s="17" t="n">
        <v>1</v>
      </c>
      <c r="Q304" s="17" t="n">
        <v>0</v>
      </c>
      <c r="R304" s="17" t="n">
        <v>0</v>
      </c>
      <c r="T304" s="17">
        <f>DAY(C304)</f>
        <v/>
      </c>
      <c r="U304" s="17">
        <f>MONTH(C304)</f>
        <v/>
      </c>
      <c r="V304" s="17" t="n">
        <v>2025</v>
      </c>
    </row>
    <row r="305" hidden="1" ht="22.5" customHeight="1" s="117">
      <c r="A305" s="14" t="n">
        <v>45989.35566086805</v>
      </c>
      <c r="B305" s="17" t="inlineStr">
        <is>
          <t>Nguyễn Hồng Minh</t>
        </is>
      </c>
      <c r="C305" s="16" t="n">
        <v>45988</v>
      </c>
      <c r="D305" s="17" t="n">
        <v>0</v>
      </c>
      <c r="E305" s="17" t="n">
        <v>0</v>
      </c>
      <c r="F305" s="17" t="n">
        <v>0</v>
      </c>
      <c r="G305" s="17" t="n">
        <v>0</v>
      </c>
      <c r="H305" s="17" t="n">
        <v>1</v>
      </c>
      <c r="I305" s="17" t="n">
        <v>0</v>
      </c>
      <c r="J305" s="17" t="n">
        <v>0</v>
      </c>
      <c r="K305" s="17" t="n">
        <v>10</v>
      </c>
      <c r="L305" s="17" t="n">
        <v>0</v>
      </c>
      <c r="M305" s="17" t="n">
        <v>0</v>
      </c>
      <c r="N305" s="17" t="n">
        <v>2</v>
      </c>
      <c r="O305" s="17" t="n">
        <v>0</v>
      </c>
      <c r="P305" s="17" t="n">
        <v>0</v>
      </c>
      <c r="Q305" s="17" t="n">
        <v>4</v>
      </c>
      <c r="R305" s="17" t="n">
        <v>0</v>
      </c>
      <c r="T305" s="17">
        <f>DAY(C305)</f>
        <v/>
      </c>
      <c r="U305" s="17">
        <f>MONTH(C305)</f>
        <v/>
      </c>
      <c r="V305" s="17" t="n">
        <v>2025</v>
      </c>
    </row>
    <row r="306" hidden="1" ht="22.5" customHeight="1" s="117">
      <c r="A306" s="14" t="n">
        <v>45989.37537421296</v>
      </c>
      <c r="B306" s="17" t="inlineStr">
        <is>
          <t>Hồ Xuân Việt</t>
        </is>
      </c>
      <c r="C306" s="16" t="n">
        <v>45988</v>
      </c>
      <c r="D306" s="17" t="n">
        <v>0</v>
      </c>
      <c r="E306" s="17" t="n">
        <v>0</v>
      </c>
      <c r="F306" s="17" t="n">
        <v>0</v>
      </c>
      <c r="G306" s="17" t="n">
        <v>1</v>
      </c>
      <c r="H306" s="17" t="n">
        <v>0</v>
      </c>
      <c r="I306" s="17" t="n">
        <v>1</v>
      </c>
      <c r="J306" s="17" t="n">
        <v>0</v>
      </c>
      <c r="K306" s="17" t="n">
        <v>8</v>
      </c>
      <c r="L306" s="17" t="n">
        <v>0</v>
      </c>
      <c r="M306" s="17" t="n">
        <v>1</v>
      </c>
      <c r="N306" s="17" t="n">
        <v>1</v>
      </c>
      <c r="O306" s="17" t="n">
        <v>0</v>
      </c>
      <c r="P306" s="17" t="n">
        <v>1</v>
      </c>
      <c r="Q306" s="17" t="n">
        <v>3</v>
      </c>
      <c r="R306" s="17" t="n">
        <v>0</v>
      </c>
      <c r="T306" s="17">
        <f>DAY(C306)</f>
        <v/>
      </c>
      <c r="U306" s="17">
        <f>MONTH(C306)</f>
        <v/>
      </c>
      <c r="V306" s="17" t="n">
        <v>2025</v>
      </c>
    </row>
    <row r="307" hidden="1" ht="22.5" customHeight="1" s="117">
      <c r="A307" s="14" t="n">
        <v>45989.88300598379</v>
      </c>
      <c r="B307" s="17" t="inlineStr">
        <is>
          <t>Đặng Hữu Danh</t>
        </is>
      </c>
      <c r="C307" s="16" t="n">
        <v>45989</v>
      </c>
      <c r="D307" s="17" t="n">
        <v>0</v>
      </c>
      <c r="E307" s="17" t="n">
        <v>0</v>
      </c>
      <c r="F307" s="17" t="n">
        <v>0</v>
      </c>
      <c r="G307" s="17" t="n">
        <v>0</v>
      </c>
      <c r="H307" s="17" t="n">
        <v>0</v>
      </c>
      <c r="I307" s="17" t="n">
        <v>1</v>
      </c>
      <c r="J307" s="17" t="n">
        <v>0</v>
      </c>
      <c r="K307" s="17" t="n">
        <v>7</v>
      </c>
      <c r="L307" s="17" t="n">
        <v>0</v>
      </c>
      <c r="M307" s="17" t="n">
        <v>2</v>
      </c>
      <c r="N307" s="17" t="n">
        <v>2</v>
      </c>
      <c r="O307" s="17" t="n">
        <v>0</v>
      </c>
      <c r="P307" s="17" t="n">
        <v>2</v>
      </c>
      <c r="Q307" s="17" t="n">
        <v>4</v>
      </c>
      <c r="R307" s="17" t="n">
        <v>0</v>
      </c>
      <c r="T307" s="17">
        <f>DAY(C307)</f>
        <v/>
      </c>
      <c r="U307" s="17">
        <f>MONTH(C307)</f>
        <v/>
      </c>
      <c r="V307" s="17" t="n">
        <v>2025</v>
      </c>
    </row>
    <row r="308" hidden="1" ht="22.5" customHeight="1" s="117">
      <c r="A308" s="14" t="n">
        <v>45990.04444361111</v>
      </c>
      <c r="B308" s="17" t="inlineStr">
        <is>
          <t>Hồ Thái Minh Trí</t>
        </is>
      </c>
      <c r="C308" s="16" t="n">
        <v>45989</v>
      </c>
      <c r="D308" s="17" t="n">
        <v>0</v>
      </c>
      <c r="E308" s="17" t="n">
        <v>0</v>
      </c>
      <c r="F308" s="17" t="n">
        <v>0</v>
      </c>
      <c r="G308" s="17" t="n">
        <v>0</v>
      </c>
      <c r="H308" s="17" t="n">
        <v>1</v>
      </c>
      <c r="I308" s="17" t="n">
        <v>0</v>
      </c>
      <c r="J308" s="17" t="n">
        <v>0</v>
      </c>
      <c r="K308" s="17" t="n">
        <v>40</v>
      </c>
      <c r="L308" s="17" t="n">
        <v>0</v>
      </c>
      <c r="M308" s="17" t="n">
        <v>0</v>
      </c>
      <c r="N308" s="17" t="n">
        <v>0</v>
      </c>
      <c r="O308" s="17" t="n">
        <v>0</v>
      </c>
      <c r="P308" s="17" t="n">
        <v>0</v>
      </c>
      <c r="Q308" s="17" t="n">
        <v>2</v>
      </c>
      <c r="R308" s="17" t="n">
        <v>0</v>
      </c>
      <c r="T308" s="17">
        <f>DAY(C308)</f>
        <v/>
      </c>
      <c r="U308" s="17">
        <f>MONTH(C308)</f>
        <v/>
      </c>
      <c r="V308" s="17" t="n">
        <v>2025</v>
      </c>
    </row>
    <row r="309" hidden="1" ht="22.5" customHeight="1" s="117">
      <c r="A309" s="14" t="n">
        <v>45990.28006350694</v>
      </c>
      <c r="B309" s="17" t="inlineStr">
        <is>
          <t>Nguyễn Văn Hiệp</t>
        </is>
      </c>
      <c r="C309" s="16" t="n">
        <v>45989</v>
      </c>
      <c r="D309" s="17" t="n">
        <v>0</v>
      </c>
      <c r="E309" s="17" t="n">
        <v>0</v>
      </c>
      <c r="F309" s="17" t="n">
        <v>0</v>
      </c>
      <c r="G309" s="17" t="n">
        <v>1</v>
      </c>
      <c r="H309" s="17" t="n">
        <v>0</v>
      </c>
      <c r="I309" s="17" t="n">
        <v>0</v>
      </c>
      <c r="J309" s="17" t="n">
        <v>1</v>
      </c>
      <c r="K309" s="17" t="n">
        <v>0</v>
      </c>
      <c r="L309" s="17" t="n">
        <v>0</v>
      </c>
      <c r="M309" s="17" t="n">
        <v>0</v>
      </c>
      <c r="N309" s="17" t="n">
        <v>1</v>
      </c>
      <c r="O309" s="17" t="n">
        <v>0</v>
      </c>
      <c r="P309" s="17" t="n">
        <v>1</v>
      </c>
      <c r="Q309" s="17" t="n">
        <v>1</v>
      </c>
      <c r="R309" s="17" t="n">
        <v>0</v>
      </c>
      <c r="T309" s="17">
        <f>DAY(C309)</f>
        <v/>
      </c>
      <c r="U309" s="17">
        <f>MONTH(C309)</f>
        <v/>
      </c>
      <c r="V309" s="17" t="n">
        <v>2025</v>
      </c>
    </row>
    <row r="310" hidden="1" ht="22.5" customHeight="1" s="117">
      <c r="A310" s="14" t="n">
        <v>45990.28126314815</v>
      </c>
      <c r="B310" s="17" t="inlineStr">
        <is>
          <t>Phan Thành Thái</t>
        </is>
      </c>
      <c r="C310" s="16" t="n">
        <v>45989</v>
      </c>
      <c r="D310" s="17" t="n">
        <v>1</v>
      </c>
      <c r="E310" s="17" t="n">
        <v>3</v>
      </c>
      <c r="F310" s="17" t="n">
        <v>0</v>
      </c>
      <c r="G310" s="17" t="n">
        <v>0</v>
      </c>
      <c r="H310" s="17" t="n">
        <v>0</v>
      </c>
      <c r="I310" s="17" t="n">
        <v>2</v>
      </c>
      <c r="J310" s="17" t="n">
        <v>0</v>
      </c>
      <c r="K310" s="17" t="n">
        <v>6</v>
      </c>
      <c r="L310" s="17" t="n">
        <v>0</v>
      </c>
      <c r="M310" s="17" t="n">
        <v>2</v>
      </c>
      <c r="N310" s="17" t="n">
        <v>1</v>
      </c>
      <c r="O310" s="17" t="n">
        <v>0</v>
      </c>
      <c r="P310" s="17" t="n">
        <v>0</v>
      </c>
      <c r="Q310" s="17" t="n">
        <v>4</v>
      </c>
      <c r="R310" s="17" t="n">
        <v>0</v>
      </c>
      <c r="T310" s="17">
        <f>DAY(C310)</f>
        <v/>
      </c>
      <c r="U310" s="17">
        <f>MONTH(C310)</f>
        <v/>
      </c>
      <c r="V310" s="17" t="n">
        <v>2025</v>
      </c>
    </row>
    <row r="311" hidden="1" ht="22.5" customHeight="1" s="117">
      <c r="A311" s="14" t="n">
        <v>45990.29788097222</v>
      </c>
      <c r="B311" s="17" t="inlineStr">
        <is>
          <t>Lương Duy Hoàng</t>
        </is>
      </c>
      <c r="C311" s="16" t="n">
        <v>45989</v>
      </c>
      <c r="D311" s="17" t="n">
        <v>0</v>
      </c>
      <c r="E311" s="17" t="n">
        <v>0</v>
      </c>
      <c r="F311" s="17" t="n">
        <v>2</v>
      </c>
      <c r="G311" s="17" t="n">
        <v>1</v>
      </c>
      <c r="H311" s="17" t="n">
        <v>0</v>
      </c>
      <c r="I311" s="17" t="n">
        <v>3</v>
      </c>
      <c r="J311" s="17" t="n">
        <v>0</v>
      </c>
      <c r="K311" s="17" t="n">
        <v>3</v>
      </c>
      <c r="L311" s="17" t="n">
        <v>0</v>
      </c>
      <c r="M311" s="17" t="n">
        <v>0</v>
      </c>
      <c r="N311" s="17" t="n">
        <v>2</v>
      </c>
      <c r="O311" s="17" t="n">
        <v>0</v>
      </c>
      <c r="P311" s="17" t="n">
        <v>0</v>
      </c>
      <c r="Q311" s="17" t="n">
        <v>3</v>
      </c>
      <c r="R311" s="17" t="n">
        <v>0</v>
      </c>
      <c r="T311" s="17">
        <f>DAY(C311)</f>
        <v/>
      </c>
      <c r="U311" s="17">
        <f>MONTH(C311)</f>
        <v/>
      </c>
      <c r="V311" s="17" t="n">
        <v>2025</v>
      </c>
    </row>
    <row r="312" hidden="1" ht="22.5" customHeight="1" s="117">
      <c r="A312" s="14" t="n">
        <v>45990.30128847222</v>
      </c>
      <c r="B312" s="17" t="inlineStr">
        <is>
          <t>Đặng Hoài Anh</t>
        </is>
      </c>
      <c r="C312" s="16" t="n">
        <v>45989</v>
      </c>
      <c r="D312" s="17" t="n">
        <v>1</v>
      </c>
      <c r="E312" s="17" t="n">
        <v>1</v>
      </c>
      <c r="F312" s="17" t="n">
        <v>0</v>
      </c>
      <c r="G312" s="17" t="n">
        <v>0</v>
      </c>
      <c r="H312" s="17" t="n">
        <v>0</v>
      </c>
      <c r="I312" s="17" t="n">
        <v>0</v>
      </c>
      <c r="J312" s="17" t="n">
        <v>0</v>
      </c>
      <c r="K312" s="17" t="n">
        <v>0</v>
      </c>
      <c r="L312" s="17" t="n">
        <v>0</v>
      </c>
      <c r="M312" s="17" t="n">
        <v>2</v>
      </c>
      <c r="N312" s="17" t="n">
        <v>0</v>
      </c>
      <c r="O312" s="17" t="n">
        <v>0</v>
      </c>
      <c r="P312" s="17" t="n">
        <v>0</v>
      </c>
      <c r="Q312" s="17" t="n">
        <v>1</v>
      </c>
      <c r="R312" s="17" t="n">
        <v>0</v>
      </c>
      <c r="T312" s="17">
        <f>DAY(C312)</f>
        <v/>
      </c>
      <c r="U312" s="17">
        <f>MONTH(C312)</f>
        <v/>
      </c>
      <c r="V312" s="17" t="n">
        <v>2025</v>
      </c>
    </row>
    <row r="313" hidden="1" ht="22.5" customHeight="1" s="117">
      <c r="A313" s="14" t="n">
        <v>45990.31440732639</v>
      </c>
      <c r="B313" s="17" t="inlineStr">
        <is>
          <t>Nguyễn Tuấn Anh</t>
        </is>
      </c>
      <c r="C313" s="16" t="n">
        <v>45989</v>
      </c>
      <c r="D313" s="17" t="n">
        <v>0</v>
      </c>
      <c r="E313" s="17" t="n">
        <v>0</v>
      </c>
      <c r="F313" s="17" t="n">
        <v>0</v>
      </c>
      <c r="G313" s="17" t="n">
        <v>0</v>
      </c>
      <c r="H313" s="17" t="n">
        <v>0</v>
      </c>
      <c r="I313" s="17" t="n">
        <v>1</v>
      </c>
      <c r="J313" s="17" t="n">
        <v>0</v>
      </c>
      <c r="K313" s="17" t="n">
        <v>9</v>
      </c>
      <c r="L313" s="17" t="n">
        <v>0</v>
      </c>
      <c r="M313" s="17" t="n">
        <v>0</v>
      </c>
      <c r="N313" s="17" t="n">
        <v>0</v>
      </c>
      <c r="O313" s="17" t="n">
        <v>0</v>
      </c>
      <c r="P313" s="17" t="n">
        <v>0</v>
      </c>
      <c r="Q313" s="17" t="n">
        <v>6</v>
      </c>
      <c r="R313" s="17" t="n">
        <v>0</v>
      </c>
      <c r="T313" s="17">
        <f>DAY(C313)</f>
        <v/>
      </c>
      <c r="U313" s="17">
        <f>MONTH(C313)</f>
        <v/>
      </c>
      <c r="V313" s="17" t="n">
        <v>2025</v>
      </c>
    </row>
    <row r="314" hidden="1" ht="22.5" customHeight="1" s="117">
      <c r="A314" s="14" t="n">
        <v>45990.31890130787</v>
      </c>
      <c r="B314" s="17" t="inlineStr">
        <is>
          <t>Dương Minh Tiến</t>
        </is>
      </c>
      <c r="C314" s="16" t="n">
        <v>45989</v>
      </c>
      <c r="D314" s="17" t="n">
        <v>2</v>
      </c>
      <c r="E314" s="17" t="n">
        <v>2</v>
      </c>
      <c r="F314" s="17" t="n">
        <v>0</v>
      </c>
      <c r="G314" s="17" t="n">
        <v>0</v>
      </c>
      <c r="H314" s="17" t="n">
        <v>0</v>
      </c>
      <c r="I314" s="17" t="n">
        <v>0</v>
      </c>
      <c r="J314" s="17" t="n">
        <v>0</v>
      </c>
      <c r="K314" s="17" t="n">
        <v>7</v>
      </c>
      <c r="L314" s="17" t="n">
        <v>0</v>
      </c>
      <c r="M314" s="17" t="n">
        <v>2</v>
      </c>
      <c r="N314" s="17" t="n">
        <v>0</v>
      </c>
      <c r="O314" s="17" t="n">
        <v>0</v>
      </c>
      <c r="P314" s="17" t="n">
        <v>0</v>
      </c>
      <c r="Q314" s="17" t="n">
        <v>1</v>
      </c>
      <c r="R314" s="17" t="n">
        <v>0</v>
      </c>
      <c r="T314" s="17">
        <f>DAY(C314)</f>
        <v/>
      </c>
      <c r="U314" s="17">
        <f>MONTH(C314)</f>
        <v/>
      </c>
      <c r="V314" s="17" t="n">
        <v>2025</v>
      </c>
    </row>
    <row r="315" hidden="1" ht="22.5" customHeight="1" s="117">
      <c r="A315" s="14" t="n">
        <v>45990.32383739583</v>
      </c>
      <c r="B315" s="17" t="inlineStr">
        <is>
          <t>Trần Trung Giang</t>
        </is>
      </c>
      <c r="C315" s="16" t="n">
        <v>45989</v>
      </c>
      <c r="D315" s="17" t="n">
        <v>0</v>
      </c>
      <c r="E315" s="17" t="n">
        <v>0</v>
      </c>
      <c r="F315" s="17" t="n">
        <v>0</v>
      </c>
      <c r="G315" s="17" t="n">
        <v>1</v>
      </c>
      <c r="I315" s="17" t="n">
        <v>1</v>
      </c>
      <c r="J315" s="17" t="n">
        <v>0</v>
      </c>
      <c r="K315" s="17" t="n">
        <v>1</v>
      </c>
      <c r="L315" s="17" t="n">
        <v>0</v>
      </c>
      <c r="M315" s="17" t="n">
        <v>0</v>
      </c>
      <c r="N315" s="17" t="n">
        <v>1</v>
      </c>
      <c r="O315" s="17" t="n">
        <v>0</v>
      </c>
      <c r="P315" s="17" t="n">
        <v>0</v>
      </c>
      <c r="Q315" s="17" t="n">
        <v>1</v>
      </c>
      <c r="R315" s="17" t="n">
        <v>0</v>
      </c>
      <c r="T315" s="17">
        <f>DAY(C315)</f>
        <v/>
      </c>
      <c r="U315" s="17">
        <f>MONTH(C315)</f>
        <v/>
      </c>
      <c r="V315" s="17" t="n">
        <v>2025</v>
      </c>
    </row>
    <row r="316" hidden="1" ht="22.5" customHeight="1" s="117">
      <c r="A316" s="14" t="n">
        <v>45990.32628821759</v>
      </c>
      <c r="B316" s="17" t="inlineStr">
        <is>
          <t>Nguyễn Quang Anh Tuấn</t>
        </is>
      </c>
      <c r="C316" s="16" t="n">
        <v>45989</v>
      </c>
      <c r="D316" s="17" t="n">
        <v>0</v>
      </c>
      <c r="E316" s="17" t="n">
        <v>0</v>
      </c>
      <c r="F316" s="17" t="n">
        <v>0</v>
      </c>
      <c r="G316" s="17" t="n">
        <v>0</v>
      </c>
      <c r="H316" s="17" t="n">
        <v>0</v>
      </c>
      <c r="I316" s="17" t="n">
        <v>2</v>
      </c>
      <c r="J316" s="17" t="n">
        <v>0</v>
      </c>
      <c r="K316" s="17" t="n">
        <v>4</v>
      </c>
      <c r="L316" s="17" t="n">
        <v>0</v>
      </c>
      <c r="M316" s="17" t="n">
        <v>0</v>
      </c>
      <c r="N316" s="17" t="n">
        <v>0</v>
      </c>
      <c r="O316" s="17" t="n">
        <v>0</v>
      </c>
      <c r="P316" s="17" t="n">
        <v>1</v>
      </c>
      <c r="Q316" s="17" t="n">
        <v>0</v>
      </c>
      <c r="R316" s="17" t="n">
        <v>0</v>
      </c>
      <c r="T316" s="17">
        <f>DAY(C316)</f>
        <v/>
      </c>
      <c r="U316" s="17">
        <f>MONTH(C316)</f>
        <v/>
      </c>
      <c r="V316" s="17" t="n">
        <v>2025</v>
      </c>
    </row>
    <row r="317" hidden="1" ht="22.5" customHeight="1" s="117">
      <c r="A317" s="14" t="n">
        <v>45990.33767520833</v>
      </c>
      <c r="B317" s="17" t="inlineStr">
        <is>
          <t>Huỳnh Văn Lực</t>
        </is>
      </c>
      <c r="C317" s="16" t="n">
        <v>45989</v>
      </c>
      <c r="D317" s="17" t="n">
        <v>0</v>
      </c>
      <c r="E317" s="17" t="n">
        <v>0</v>
      </c>
      <c r="F317" s="17" t="n">
        <v>0</v>
      </c>
      <c r="G317" s="17" t="n">
        <v>0</v>
      </c>
      <c r="H317" s="17" t="n">
        <v>0</v>
      </c>
      <c r="I317" s="17" t="n">
        <v>0</v>
      </c>
      <c r="J317" s="17" t="n">
        <v>0</v>
      </c>
      <c r="K317" s="17" t="n">
        <v>4</v>
      </c>
      <c r="L317" s="17" t="n">
        <v>0</v>
      </c>
      <c r="M317" s="17" t="n">
        <v>0</v>
      </c>
      <c r="N317" s="17" t="n">
        <v>0</v>
      </c>
      <c r="O317" s="17" t="n">
        <v>0</v>
      </c>
      <c r="P317" s="17" t="n">
        <v>0</v>
      </c>
      <c r="Q317" s="17" t="n">
        <v>2</v>
      </c>
      <c r="R317" s="17" t="n">
        <v>0</v>
      </c>
      <c r="T317" s="17">
        <f>DAY(C317)</f>
        <v/>
      </c>
      <c r="U317" s="17">
        <f>MONTH(C317)</f>
        <v/>
      </c>
      <c r="V317" s="17" t="n">
        <v>2025</v>
      </c>
    </row>
    <row r="318" hidden="1" ht="22.5" customHeight="1" s="117">
      <c r="A318" s="14" t="n">
        <v>45990.34106427083</v>
      </c>
      <c r="B318" s="17" t="inlineStr">
        <is>
          <t>Trần Xuân Khoa</t>
        </is>
      </c>
      <c r="C318" s="16" t="n">
        <v>45989</v>
      </c>
      <c r="D318" s="17" t="n">
        <v>0</v>
      </c>
      <c r="E318" s="17" t="n">
        <v>0</v>
      </c>
      <c r="F318" s="17" t="n">
        <v>0</v>
      </c>
      <c r="G318" s="17" t="n">
        <v>2</v>
      </c>
      <c r="H318" s="17" t="n">
        <v>0</v>
      </c>
      <c r="I318" s="17" t="n">
        <v>0</v>
      </c>
      <c r="J318" s="17" t="n">
        <v>0</v>
      </c>
      <c r="K318" s="17" t="n">
        <v>8</v>
      </c>
      <c r="L318" s="17" t="n">
        <v>0</v>
      </c>
      <c r="M318" s="17" t="n">
        <v>0</v>
      </c>
      <c r="N318" s="17" t="n">
        <v>2</v>
      </c>
      <c r="O318" s="17" t="n">
        <v>0</v>
      </c>
      <c r="P318" s="17" t="n">
        <v>0</v>
      </c>
      <c r="Q318" s="17" t="n">
        <v>3</v>
      </c>
      <c r="R318" s="17" t="n">
        <v>0</v>
      </c>
      <c r="T318" s="17">
        <f>DAY(C318)</f>
        <v/>
      </c>
      <c r="U318" s="17">
        <f>MONTH(C318)</f>
        <v/>
      </c>
      <c r="V318" s="17" t="n">
        <v>2025</v>
      </c>
    </row>
    <row r="319" hidden="1" ht="22.5" customHeight="1" s="117">
      <c r="A319" s="14" t="n">
        <v>45990.5019744676</v>
      </c>
      <c r="B319" s="17" t="inlineStr">
        <is>
          <t>Vòng Nhật Sang</t>
        </is>
      </c>
      <c r="C319" s="16" t="n">
        <v>45989</v>
      </c>
      <c r="D319" s="17" t="n">
        <v>1</v>
      </c>
      <c r="E319" s="17" t="n">
        <v>0</v>
      </c>
      <c r="F319" s="17" t="n">
        <v>0</v>
      </c>
      <c r="G319" s="17" t="n">
        <v>0</v>
      </c>
      <c r="H319" s="17" t="n">
        <v>0</v>
      </c>
      <c r="I319" s="17" t="n">
        <v>0</v>
      </c>
      <c r="J319" s="17" t="n">
        <v>0</v>
      </c>
      <c r="K319" s="17" t="n">
        <v>7</v>
      </c>
      <c r="L319" s="17" t="n">
        <v>0</v>
      </c>
      <c r="M319" s="17" t="n">
        <v>1</v>
      </c>
      <c r="N319" s="17" t="n">
        <v>0</v>
      </c>
      <c r="O319" s="17" t="n">
        <v>0</v>
      </c>
      <c r="P319" s="17" t="n">
        <v>0</v>
      </c>
      <c r="Q319" s="17" t="n">
        <v>2</v>
      </c>
      <c r="R319" s="17" t="n">
        <v>0</v>
      </c>
      <c r="T319" s="17">
        <f>DAY(C319)</f>
        <v/>
      </c>
      <c r="U319" s="17">
        <f>MONTH(C319)</f>
        <v/>
      </c>
      <c r="V319" s="17" t="n">
        <v>2025</v>
      </c>
    </row>
    <row r="320" hidden="1" ht="22.5" customHeight="1" s="117">
      <c r="A320" s="14" t="n">
        <v>45991.30847846065</v>
      </c>
      <c r="B320" s="17" t="inlineStr">
        <is>
          <t>Đặng Hoài Anh</t>
        </is>
      </c>
      <c r="C320" s="16" t="n">
        <v>45990</v>
      </c>
      <c r="D320" s="17" t="n">
        <v>0</v>
      </c>
      <c r="E320" s="17" t="n">
        <v>0</v>
      </c>
      <c r="F320" s="17" t="n">
        <v>0</v>
      </c>
      <c r="G320" s="17" t="n">
        <v>0</v>
      </c>
      <c r="H320" s="17" t="n">
        <v>0</v>
      </c>
      <c r="I320" s="17" t="n">
        <v>0</v>
      </c>
      <c r="J320" s="17" t="n">
        <v>0</v>
      </c>
      <c r="K320" s="17" t="n">
        <v>7</v>
      </c>
      <c r="L320" s="17" t="n">
        <v>0</v>
      </c>
      <c r="M320" s="17" t="n">
        <v>0</v>
      </c>
      <c r="N320" s="17" t="n">
        <v>0</v>
      </c>
      <c r="O320" s="17" t="n">
        <v>0</v>
      </c>
      <c r="P320" s="17" t="n">
        <v>0</v>
      </c>
      <c r="Q320" s="17" t="n">
        <v>0</v>
      </c>
      <c r="R320" s="17" t="n">
        <v>1</v>
      </c>
      <c r="T320" s="17">
        <f>DAY(C320)</f>
        <v/>
      </c>
      <c r="U320" s="17">
        <f>MONTH(C320)</f>
        <v/>
      </c>
      <c r="V320" s="17" t="n">
        <v>2025</v>
      </c>
    </row>
    <row r="321" hidden="1" ht="22.5" customHeight="1" s="117">
      <c r="A321" s="14" t="n">
        <v>45991.30975796296</v>
      </c>
      <c r="B321" s="17" t="inlineStr">
        <is>
          <t>Lương Duy Hoàng</t>
        </is>
      </c>
      <c r="C321" s="16" t="n">
        <v>45990</v>
      </c>
      <c r="D321" s="17" t="n">
        <v>0</v>
      </c>
      <c r="E321" s="17" t="n">
        <v>0</v>
      </c>
      <c r="F321" s="17" t="n">
        <v>0</v>
      </c>
      <c r="G321" s="17" t="n">
        <v>2</v>
      </c>
      <c r="H321" s="17" t="n">
        <v>0</v>
      </c>
      <c r="I321" s="17" t="n">
        <v>1</v>
      </c>
      <c r="J321" s="17" t="n">
        <v>0</v>
      </c>
      <c r="K321" s="17" t="n">
        <v>1</v>
      </c>
      <c r="L321" s="17" t="n">
        <v>0</v>
      </c>
      <c r="M321" s="17" t="n">
        <v>0</v>
      </c>
      <c r="N321" s="17" t="n">
        <v>1</v>
      </c>
      <c r="O321" s="17" t="n">
        <v>0</v>
      </c>
      <c r="P321" s="17" t="n">
        <v>0</v>
      </c>
      <c r="Q321" s="17" t="n">
        <v>3</v>
      </c>
      <c r="R321" s="17" t="n">
        <v>0</v>
      </c>
      <c r="T321" s="17">
        <f>DAY(C321)</f>
        <v/>
      </c>
      <c r="U321" s="17">
        <f>MONTH(C321)</f>
        <v/>
      </c>
      <c r="V321" s="17" t="n">
        <v>2025</v>
      </c>
    </row>
    <row r="322" hidden="1" ht="22.5" customHeight="1" s="117">
      <c r="A322" s="14" t="n">
        <v>45991.31693556713</v>
      </c>
      <c r="B322" s="17" t="inlineStr">
        <is>
          <t>Trần Trung Giang</t>
        </is>
      </c>
      <c r="C322" s="16" t="n">
        <v>45990</v>
      </c>
      <c r="D322" s="17" t="n">
        <v>0</v>
      </c>
      <c r="E322" s="17" t="n">
        <v>0</v>
      </c>
      <c r="F322" s="17" t="n">
        <v>0</v>
      </c>
      <c r="G322" s="17" t="n">
        <v>0</v>
      </c>
      <c r="H322" s="17" t="n">
        <v>0</v>
      </c>
      <c r="I322" s="17" t="n">
        <v>1</v>
      </c>
      <c r="J322" s="17" t="n">
        <v>1</v>
      </c>
      <c r="K322" s="17" t="n">
        <v>4</v>
      </c>
      <c r="L322" s="17" t="n">
        <v>0</v>
      </c>
      <c r="M322" s="17" t="n">
        <v>0</v>
      </c>
      <c r="N322" s="17" t="n">
        <v>0</v>
      </c>
      <c r="O322" s="17" t="n">
        <v>0</v>
      </c>
      <c r="P322" s="17" t="n">
        <v>0</v>
      </c>
      <c r="Q322" s="17" t="n">
        <v>1</v>
      </c>
      <c r="R322" s="17" t="n">
        <v>0</v>
      </c>
      <c r="T322" s="17">
        <f>DAY(C322)</f>
        <v/>
      </c>
      <c r="U322" s="17">
        <f>MONTH(C322)</f>
        <v/>
      </c>
      <c r="V322" s="17" t="n">
        <v>2025</v>
      </c>
    </row>
    <row r="323" hidden="1" ht="22.5" customHeight="1" s="117">
      <c r="A323" s="14" t="n">
        <v>45991.31819107639</v>
      </c>
      <c r="B323" s="17" t="inlineStr">
        <is>
          <t>Vòng Nhật Sang</t>
        </is>
      </c>
      <c r="C323" s="16" t="n">
        <v>45990</v>
      </c>
      <c r="D323" s="17" t="n">
        <v>0</v>
      </c>
      <c r="E323" s="17" t="n">
        <v>0</v>
      </c>
      <c r="F323" s="17" t="n">
        <v>0</v>
      </c>
      <c r="G323" s="17" t="n">
        <v>1</v>
      </c>
      <c r="H323" s="17" t="n">
        <v>0</v>
      </c>
      <c r="I323" s="17" t="n">
        <v>0</v>
      </c>
      <c r="J323" s="17" t="n">
        <v>0</v>
      </c>
      <c r="K323" s="17" t="n">
        <v>1</v>
      </c>
      <c r="L323" s="17" t="n">
        <v>0</v>
      </c>
      <c r="M323" s="17" t="n">
        <v>0</v>
      </c>
      <c r="N323" s="17" t="n">
        <v>0</v>
      </c>
      <c r="O323" s="17" t="n">
        <v>0</v>
      </c>
      <c r="P323" s="17" t="n">
        <v>4</v>
      </c>
      <c r="Q323" s="17" t="n">
        <v>2</v>
      </c>
      <c r="R323" s="17" t="n">
        <v>0</v>
      </c>
      <c r="T323" s="17">
        <f>DAY(C323)</f>
        <v/>
      </c>
      <c r="U323" s="17">
        <f>MONTH(C323)</f>
        <v/>
      </c>
      <c r="V323" s="17" t="n">
        <v>2025</v>
      </c>
    </row>
    <row r="324" hidden="1" ht="22.5" customHeight="1" s="117">
      <c r="A324" s="14" t="n">
        <v>45991.31869674769</v>
      </c>
      <c r="B324" s="17" t="inlineStr">
        <is>
          <t>Nguyễn Tuấn Anh</t>
        </is>
      </c>
      <c r="C324" s="16" t="n">
        <v>45990</v>
      </c>
      <c r="D324" s="17" t="n">
        <v>0</v>
      </c>
      <c r="E324" s="17" t="n">
        <v>0</v>
      </c>
      <c r="F324" s="17" t="n">
        <v>0</v>
      </c>
      <c r="G324" s="17" t="n">
        <v>0</v>
      </c>
      <c r="H324" s="17" t="n">
        <v>0</v>
      </c>
      <c r="I324" s="17" t="n">
        <v>1</v>
      </c>
      <c r="J324" s="17" t="n">
        <v>0</v>
      </c>
      <c r="K324" s="17" t="n">
        <v>5</v>
      </c>
      <c r="L324" s="17" t="n">
        <v>0</v>
      </c>
      <c r="M324" s="17" t="n">
        <v>0</v>
      </c>
      <c r="N324" s="17" t="n">
        <v>1</v>
      </c>
      <c r="O324" s="17" t="n">
        <v>0</v>
      </c>
      <c r="P324" s="17" t="n">
        <v>0</v>
      </c>
      <c r="Q324" s="17" t="n">
        <v>6</v>
      </c>
      <c r="R324" s="17" t="n">
        <v>0</v>
      </c>
      <c r="T324" s="17">
        <f>DAY(C324)</f>
        <v/>
      </c>
      <c r="U324" s="17">
        <f>MONTH(C324)</f>
        <v/>
      </c>
      <c r="V324" s="17" t="n">
        <v>2025</v>
      </c>
    </row>
    <row r="325" hidden="1" ht="22.5" customHeight="1" s="117">
      <c r="A325" s="14" t="n">
        <v>45991.32583503472</v>
      </c>
      <c r="B325" s="17" t="inlineStr">
        <is>
          <t>Huỳnh Văn Lực</t>
        </is>
      </c>
      <c r="C325" s="16" t="n">
        <v>45990</v>
      </c>
      <c r="D325" s="17" t="n">
        <v>1</v>
      </c>
      <c r="E325" s="17" t="n">
        <v>1</v>
      </c>
      <c r="F325" s="17" t="n">
        <v>0</v>
      </c>
      <c r="G325" s="17" t="n">
        <v>0</v>
      </c>
      <c r="H325" s="17" t="n">
        <v>0</v>
      </c>
      <c r="I325" s="17" t="n">
        <v>0</v>
      </c>
      <c r="J325" s="17" t="n">
        <v>0</v>
      </c>
      <c r="K325" s="17" t="n">
        <v>2</v>
      </c>
      <c r="L325" s="17" t="n">
        <v>0</v>
      </c>
      <c r="M325" s="17" t="n">
        <v>1</v>
      </c>
      <c r="N325" s="17" t="n">
        <v>2</v>
      </c>
      <c r="O325" s="17" t="n">
        <v>0</v>
      </c>
      <c r="P325" s="17" t="n">
        <v>1</v>
      </c>
      <c r="Q325" s="17" t="n">
        <v>2</v>
      </c>
      <c r="R325" s="17" t="n">
        <v>0</v>
      </c>
      <c r="T325" s="17">
        <f>DAY(C325)</f>
        <v/>
      </c>
      <c r="U325" s="17">
        <f>MONTH(C325)</f>
        <v/>
      </c>
      <c r="V325" s="17" t="n">
        <v>2025</v>
      </c>
    </row>
    <row r="326" hidden="1" ht="22.5" customHeight="1" s="117">
      <c r="A326" s="14" t="n">
        <v>45991.34827425926</v>
      </c>
      <c r="B326" s="17" t="inlineStr">
        <is>
          <t>Nguyễn Văn Hiệp</t>
        </is>
      </c>
      <c r="C326" s="16" t="n">
        <v>45990</v>
      </c>
      <c r="D326" s="17" t="n">
        <v>0</v>
      </c>
      <c r="E326" s="18" t="inlineStr">
        <is>
          <t>00</t>
        </is>
      </c>
      <c r="F326" s="17" t="n">
        <v>0</v>
      </c>
      <c r="G326" s="17" t="n">
        <v>1</v>
      </c>
      <c r="H326" s="17" t="n">
        <v>1</v>
      </c>
      <c r="I326" s="17" t="n">
        <v>0</v>
      </c>
      <c r="J326" s="17" t="n">
        <v>0</v>
      </c>
      <c r="K326" s="17" t="n">
        <v>7</v>
      </c>
      <c r="L326" s="17" t="n">
        <v>0</v>
      </c>
      <c r="M326" s="17" t="n">
        <v>0</v>
      </c>
      <c r="N326" s="17" t="n">
        <v>2</v>
      </c>
      <c r="O326" s="17" t="n">
        <v>0</v>
      </c>
      <c r="P326" s="17" t="n">
        <v>0</v>
      </c>
      <c r="Q326" s="17" t="n">
        <v>1</v>
      </c>
      <c r="R326" s="17" t="n">
        <v>0</v>
      </c>
      <c r="T326" s="17">
        <f>DAY(C326)</f>
        <v/>
      </c>
      <c r="U326" s="17">
        <f>MONTH(C326)</f>
        <v/>
      </c>
      <c r="V326" s="17" t="n">
        <v>2025</v>
      </c>
    </row>
    <row r="327" hidden="1" ht="22.5" customHeight="1" s="117">
      <c r="A327" s="14" t="n">
        <v>45991.71487452546</v>
      </c>
      <c r="B327" s="17" t="inlineStr">
        <is>
          <t>Dương Minh Tiến</t>
        </is>
      </c>
      <c r="C327" s="16" t="n">
        <v>45990</v>
      </c>
      <c r="D327" s="17" t="n">
        <v>0</v>
      </c>
      <c r="E327" s="17" t="n">
        <v>0</v>
      </c>
      <c r="F327" s="17" t="n">
        <v>0</v>
      </c>
      <c r="G327" s="17" t="n">
        <v>1</v>
      </c>
      <c r="H327" s="17" t="n">
        <v>0</v>
      </c>
      <c r="I327" s="17" t="n">
        <v>0</v>
      </c>
      <c r="J327" s="17" t="n">
        <v>0</v>
      </c>
      <c r="K327" s="17" t="n">
        <v>5</v>
      </c>
      <c r="L327" s="17" t="n">
        <v>0</v>
      </c>
      <c r="M327" s="17" t="n">
        <v>0</v>
      </c>
      <c r="N327" s="17" t="n">
        <v>0</v>
      </c>
      <c r="O327" s="17" t="n">
        <v>0</v>
      </c>
      <c r="P327" s="17" t="n">
        <v>0</v>
      </c>
      <c r="Q327" s="17" t="n">
        <v>1</v>
      </c>
      <c r="R327" s="17" t="n">
        <v>0</v>
      </c>
      <c r="T327" s="17">
        <f>DAY(C327)</f>
        <v/>
      </c>
      <c r="U327" s="17">
        <f>MONTH(C327)</f>
        <v/>
      </c>
      <c r="V327" s="17" t="n">
        <v>2025</v>
      </c>
    </row>
    <row r="328" hidden="1" ht="22.5" customHeight="1" s="117">
      <c r="A328" s="14" t="n">
        <v>45991.83056783565</v>
      </c>
      <c r="B328" s="17" t="inlineStr">
        <is>
          <t>Đặng Hữu Danh</t>
        </is>
      </c>
      <c r="C328" s="16" t="n">
        <v>45991</v>
      </c>
      <c r="D328" s="17" t="n">
        <v>0</v>
      </c>
      <c r="E328" s="17" t="n">
        <v>2</v>
      </c>
      <c r="F328" s="17" t="n">
        <v>0</v>
      </c>
      <c r="G328" s="17" t="n">
        <v>0</v>
      </c>
      <c r="H328" s="17" t="n">
        <v>0</v>
      </c>
      <c r="I328" s="17" t="n">
        <v>0</v>
      </c>
      <c r="J328" s="17" t="n">
        <v>0</v>
      </c>
      <c r="K328" s="17" t="n">
        <v>8</v>
      </c>
      <c r="L328" s="17" t="n">
        <v>0</v>
      </c>
      <c r="M328" s="17" t="n">
        <v>2</v>
      </c>
      <c r="N328" s="17" t="n">
        <v>0</v>
      </c>
      <c r="O328" s="17" t="n">
        <v>0</v>
      </c>
      <c r="P328" s="17" t="n">
        <v>1</v>
      </c>
      <c r="Q328" s="17" t="n">
        <v>4</v>
      </c>
      <c r="R328" s="17" t="n">
        <v>0</v>
      </c>
      <c r="T328" s="17">
        <f>DAY(C328)</f>
        <v/>
      </c>
      <c r="U328" s="17">
        <f>MONTH(C328)</f>
        <v/>
      </c>
      <c r="V328" s="17" t="n">
        <v>2025</v>
      </c>
    </row>
    <row r="329" hidden="1" ht="22.5" customHeight="1" s="117">
      <c r="A329" s="14" t="n">
        <v>45992.2858137037</v>
      </c>
      <c r="B329" s="17" t="inlineStr">
        <is>
          <t>Trần Trung Giang</t>
        </is>
      </c>
      <c r="C329" s="16" t="n">
        <v>45991</v>
      </c>
      <c r="D329" s="17" t="n">
        <v>0</v>
      </c>
      <c r="E329" s="17" t="n">
        <v>0</v>
      </c>
      <c r="F329" s="17" t="n">
        <v>0</v>
      </c>
      <c r="G329" s="17" t="n">
        <v>3</v>
      </c>
      <c r="H329" s="17" t="n">
        <v>2</v>
      </c>
      <c r="I329" s="17" t="n">
        <v>1</v>
      </c>
      <c r="J329" s="17" t="n">
        <v>0</v>
      </c>
      <c r="K329" s="17" t="n">
        <v>0</v>
      </c>
      <c r="L329" s="17" t="n">
        <v>0</v>
      </c>
      <c r="M329" s="17" t="n">
        <v>0</v>
      </c>
      <c r="N329" s="17" t="n">
        <v>0</v>
      </c>
      <c r="O329" s="17" t="n">
        <v>0</v>
      </c>
      <c r="P329" s="17" t="n">
        <v>0</v>
      </c>
      <c r="Q329" s="17" t="n">
        <v>0</v>
      </c>
      <c r="R329" s="17" t="n">
        <v>0</v>
      </c>
      <c r="T329" s="17">
        <f>DAY(C329)</f>
        <v/>
      </c>
      <c r="U329" s="17">
        <f>MONTH(C329)</f>
        <v/>
      </c>
      <c r="V329" s="17" t="n">
        <v>2025</v>
      </c>
    </row>
    <row r="330" hidden="1" ht="22.5" customHeight="1" s="117">
      <c r="A330" s="14" t="n">
        <v>45992.30160140046</v>
      </c>
      <c r="B330" s="17" t="inlineStr">
        <is>
          <t>Nguyễn Tuấn Anh</t>
        </is>
      </c>
      <c r="C330" s="16" t="n">
        <v>45991</v>
      </c>
      <c r="D330" s="17" t="n">
        <v>1</v>
      </c>
      <c r="E330" s="17" t="n">
        <v>0</v>
      </c>
      <c r="F330" s="17" t="n">
        <v>0</v>
      </c>
      <c r="G330" s="17" t="n">
        <v>0</v>
      </c>
      <c r="H330" s="17" t="n">
        <v>0</v>
      </c>
      <c r="I330" s="17" t="n">
        <v>1</v>
      </c>
      <c r="J330" s="17" t="n">
        <v>0</v>
      </c>
      <c r="K330" s="17" t="n">
        <v>6</v>
      </c>
      <c r="L330" s="17" t="n">
        <v>0</v>
      </c>
      <c r="M330" s="17" t="n">
        <v>0</v>
      </c>
      <c r="N330" s="17" t="n">
        <v>1</v>
      </c>
      <c r="O330" s="17" t="n">
        <v>1</v>
      </c>
      <c r="P330" s="17" t="n">
        <v>0</v>
      </c>
      <c r="Q330" s="17" t="n">
        <v>5</v>
      </c>
      <c r="R330" s="17" t="n">
        <v>0</v>
      </c>
      <c r="T330" s="17">
        <f>DAY(C330)</f>
        <v/>
      </c>
      <c r="U330" s="17">
        <f>MONTH(C330)</f>
        <v/>
      </c>
      <c r="V330" s="17" t="n">
        <v>2025</v>
      </c>
    </row>
    <row r="331" hidden="1" ht="22.5" customHeight="1" s="117">
      <c r="A331" s="14" t="n">
        <v>45992.30258481482</v>
      </c>
      <c r="B331" s="17" t="inlineStr">
        <is>
          <t>Nguyễn Quang Anh Tuấn</t>
        </is>
      </c>
      <c r="C331" s="16" t="n">
        <v>45991</v>
      </c>
      <c r="D331" s="17" t="n">
        <v>0</v>
      </c>
      <c r="E331" s="17" t="n">
        <v>0</v>
      </c>
      <c r="F331" s="17" t="n">
        <v>0</v>
      </c>
      <c r="G331" s="17" t="n">
        <v>0</v>
      </c>
      <c r="H331" s="17" t="n">
        <v>0</v>
      </c>
      <c r="I331" s="17" t="n">
        <v>1</v>
      </c>
      <c r="J331" s="17" t="n">
        <v>0</v>
      </c>
      <c r="K331" s="17" t="n">
        <v>4</v>
      </c>
      <c r="L331" s="17" t="n">
        <v>0</v>
      </c>
      <c r="M331" s="17" t="n">
        <v>0</v>
      </c>
      <c r="N331" s="17" t="n">
        <v>0</v>
      </c>
      <c r="O331" s="17" t="n">
        <v>0</v>
      </c>
      <c r="P331" s="17" t="n">
        <v>3</v>
      </c>
      <c r="Q331" s="17" t="n">
        <v>1</v>
      </c>
      <c r="R331" s="17" t="n">
        <v>0</v>
      </c>
      <c r="T331" s="17">
        <f>DAY(C331)</f>
        <v/>
      </c>
      <c r="U331" s="17">
        <f>MONTH(C331)</f>
        <v/>
      </c>
      <c r="V331" s="17" t="n">
        <v>2025</v>
      </c>
    </row>
    <row r="332" hidden="1" ht="22.5" customHeight="1" s="117">
      <c r="A332" s="14" t="n">
        <v>45992.3155165162</v>
      </c>
      <c r="B332" s="17" t="inlineStr">
        <is>
          <t>Nguyễn Văn Hiệp</t>
        </is>
      </c>
      <c r="C332" s="16" t="n">
        <v>45991</v>
      </c>
      <c r="D332" s="17" t="n">
        <v>0</v>
      </c>
      <c r="E332" s="17" t="n">
        <v>0</v>
      </c>
      <c r="F332" s="17" t="n">
        <v>0</v>
      </c>
      <c r="G332" s="17" t="n">
        <v>0</v>
      </c>
      <c r="H332" s="17" t="n">
        <v>0</v>
      </c>
      <c r="I332" s="17" t="n">
        <v>0</v>
      </c>
      <c r="J332" s="17" t="n">
        <v>0</v>
      </c>
      <c r="K332" s="17" t="n">
        <v>0</v>
      </c>
      <c r="L332" s="17" t="n">
        <v>0</v>
      </c>
      <c r="M332" s="17" t="n">
        <v>0</v>
      </c>
      <c r="N332" s="17" t="n">
        <v>2</v>
      </c>
      <c r="O332" s="17" t="n">
        <v>0</v>
      </c>
      <c r="P332" s="17" t="n">
        <v>0</v>
      </c>
      <c r="Q332" s="17" t="n">
        <v>0</v>
      </c>
      <c r="R332" s="17" t="n">
        <v>0</v>
      </c>
      <c r="T332" s="17">
        <f>DAY(C332)</f>
        <v/>
      </c>
      <c r="U332" s="17">
        <f>MONTH(C332)</f>
        <v/>
      </c>
      <c r="V332" s="17" t="n">
        <v>2025</v>
      </c>
    </row>
    <row r="333" hidden="1" ht="22.5" customHeight="1" s="117">
      <c r="A333" s="14" t="n">
        <v>45992.32064269676</v>
      </c>
      <c r="B333" s="17" t="inlineStr">
        <is>
          <t>Huỳnh Văn Lực</t>
        </is>
      </c>
      <c r="C333" s="16" t="n">
        <v>45991</v>
      </c>
      <c r="D333" s="17" t="n">
        <v>0</v>
      </c>
      <c r="E333" s="17" t="n">
        <v>0</v>
      </c>
      <c r="F333" s="17" t="n">
        <v>0</v>
      </c>
      <c r="G333" s="17" t="n">
        <v>1</v>
      </c>
      <c r="H333" s="17" t="n">
        <v>0</v>
      </c>
      <c r="I333" s="17" t="n">
        <v>0</v>
      </c>
      <c r="J333" s="17" t="n">
        <v>0</v>
      </c>
      <c r="K333" s="17" t="n">
        <v>3</v>
      </c>
      <c r="L333" s="17" t="n">
        <v>0</v>
      </c>
      <c r="M333" s="17" t="n">
        <v>0</v>
      </c>
      <c r="N333" s="17" t="n">
        <v>0</v>
      </c>
      <c r="O333" s="17" t="n">
        <v>1</v>
      </c>
      <c r="P333" s="17" t="n">
        <v>0</v>
      </c>
      <c r="Q333" s="17" t="n">
        <v>1</v>
      </c>
      <c r="R333" s="17" t="n">
        <v>0</v>
      </c>
      <c r="T333" s="17">
        <f>DAY(C333)</f>
        <v/>
      </c>
      <c r="U333" s="17">
        <f>MONTH(C333)</f>
        <v/>
      </c>
      <c r="V333" s="17" t="n">
        <v>2025</v>
      </c>
    </row>
    <row r="334" hidden="1" ht="22.5" customHeight="1" s="117">
      <c r="A334" s="14" t="n">
        <v>45992.32856179398</v>
      </c>
      <c r="B334" s="17" t="inlineStr">
        <is>
          <t>Dương Minh Tiến</t>
        </is>
      </c>
      <c r="C334" s="16" t="n">
        <v>45991</v>
      </c>
      <c r="D334" s="17" t="n">
        <v>0</v>
      </c>
      <c r="E334" s="17" t="n">
        <v>0</v>
      </c>
      <c r="F334" s="17" t="n">
        <v>1</v>
      </c>
      <c r="G334" s="17" t="n">
        <v>0</v>
      </c>
      <c r="H334" s="17" t="n">
        <v>0</v>
      </c>
      <c r="I334" s="17" t="n">
        <v>0</v>
      </c>
      <c r="J334" s="17" t="n">
        <v>0</v>
      </c>
      <c r="K334" s="17" t="n">
        <v>2</v>
      </c>
      <c r="L334" s="17" t="n">
        <v>0</v>
      </c>
      <c r="M334" s="17" t="n">
        <v>1</v>
      </c>
      <c r="N334" s="17" t="n">
        <v>0</v>
      </c>
      <c r="O334" s="17" t="n">
        <v>0</v>
      </c>
      <c r="P334" s="17" t="n">
        <v>0</v>
      </c>
      <c r="Q334" s="17" t="n">
        <v>0</v>
      </c>
      <c r="R334" s="17" t="n">
        <v>0</v>
      </c>
      <c r="T334" s="17">
        <f>DAY(C334)</f>
        <v/>
      </c>
      <c r="U334" s="17">
        <f>MONTH(C334)</f>
        <v/>
      </c>
      <c r="V334" s="17" t="n">
        <v>2025</v>
      </c>
    </row>
    <row r="335" hidden="1" ht="22.5" customHeight="1" s="117">
      <c r="A335" s="14" t="n">
        <v>45992.33774063658</v>
      </c>
      <c r="B335" s="17" t="inlineStr">
        <is>
          <t>Phan Ngọc Sang</t>
        </is>
      </c>
      <c r="C335" s="16" t="n">
        <v>45990</v>
      </c>
      <c r="D335" s="17" t="n">
        <v>0</v>
      </c>
      <c r="E335" s="17" t="n">
        <v>2</v>
      </c>
      <c r="F335" s="17" t="n">
        <v>0</v>
      </c>
      <c r="G335" s="17" t="n">
        <v>0</v>
      </c>
      <c r="H335" s="17" t="n">
        <v>0</v>
      </c>
      <c r="I335" s="17" t="n">
        <v>0</v>
      </c>
      <c r="J335" s="17" t="n">
        <v>0</v>
      </c>
      <c r="K335" s="17" t="n">
        <v>4</v>
      </c>
      <c r="L335" s="17" t="n">
        <v>0</v>
      </c>
      <c r="M335" s="17" t="n">
        <v>1</v>
      </c>
      <c r="N335" s="17" t="n">
        <v>0</v>
      </c>
      <c r="O335" s="17" t="n">
        <v>0</v>
      </c>
      <c r="P335" s="17" t="n">
        <v>1</v>
      </c>
      <c r="Q335" s="17" t="n">
        <v>2</v>
      </c>
      <c r="R335" s="17" t="n">
        <v>0</v>
      </c>
      <c r="T335" s="17">
        <f>DAY(C335)</f>
        <v/>
      </c>
      <c r="U335" s="17">
        <f>MONTH(C335)</f>
        <v/>
      </c>
      <c r="V335" s="17" t="n">
        <v>2025</v>
      </c>
    </row>
    <row r="336" hidden="1" ht="22.5" customHeight="1" s="117">
      <c r="A336" s="14" t="n">
        <v>45992.33883252315</v>
      </c>
      <c r="B336" s="17" t="inlineStr">
        <is>
          <t>Phan Ngọc Sang</t>
        </is>
      </c>
      <c r="C336" s="16" t="n">
        <v>45991</v>
      </c>
      <c r="D336" s="17" t="n">
        <v>2</v>
      </c>
      <c r="E336" s="17" t="n">
        <v>0</v>
      </c>
      <c r="F336" s="17" t="n">
        <v>0</v>
      </c>
      <c r="G336" s="17" t="n">
        <v>0</v>
      </c>
      <c r="H336" s="17" t="n">
        <v>0</v>
      </c>
      <c r="I336" s="17" t="n">
        <v>0</v>
      </c>
      <c r="J336" s="17" t="n">
        <v>0</v>
      </c>
      <c r="K336" s="17" t="n">
        <v>5</v>
      </c>
      <c r="L336" s="17" t="n">
        <v>0</v>
      </c>
      <c r="M336" s="17" t="n">
        <v>2</v>
      </c>
      <c r="N336" s="17" t="n">
        <v>0</v>
      </c>
      <c r="O336" s="17" t="n">
        <v>0</v>
      </c>
      <c r="P336" s="17" t="n">
        <v>0</v>
      </c>
      <c r="Q336" s="17" t="n">
        <v>1</v>
      </c>
      <c r="R336" s="17" t="n">
        <v>0</v>
      </c>
      <c r="T336" s="17">
        <f>DAY(C336)</f>
        <v/>
      </c>
      <c r="U336" s="17">
        <f>MONTH(C336)</f>
        <v/>
      </c>
      <c r="V336" s="17" t="n">
        <v>2025</v>
      </c>
    </row>
    <row r="337" hidden="1" ht="22.5" customHeight="1" s="117">
      <c r="A337" s="14" t="n">
        <v>45992.34047564815</v>
      </c>
      <c r="B337" s="17" t="inlineStr">
        <is>
          <t>Vòng Nhật Sang</t>
        </is>
      </c>
      <c r="C337" s="16" t="n">
        <v>45991</v>
      </c>
      <c r="D337" s="17" t="n">
        <v>0</v>
      </c>
      <c r="E337" s="17" t="n">
        <v>0</v>
      </c>
      <c r="F337" s="17" t="n">
        <v>0</v>
      </c>
      <c r="G337" s="17" t="n">
        <v>1</v>
      </c>
      <c r="H337" s="17" t="n">
        <v>0</v>
      </c>
      <c r="I337" s="17" t="n">
        <v>0</v>
      </c>
      <c r="J337" s="17" t="n">
        <v>0</v>
      </c>
      <c r="K337" s="17" t="n">
        <v>5</v>
      </c>
      <c r="L337" s="17" t="n">
        <v>0</v>
      </c>
      <c r="M337" s="17" t="n">
        <v>0</v>
      </c>
      <c r="N337" s="17" t="n">
        <v>0</v>
      </c>
      <c r="O337" s="17" t="n">
        <v>0</v>
      </c>
      <c r="P337" s="17" t="n">
        <v>0</v>
      </c>
      <c r="Q337" s="17" t="n">
        <v>1</v>
      </c>
      <c r="R337" s="17" t="n">
        <v>0</v>
      </c>
      <c r="T337" s="17">
        <f>DAY(C337)</f>
        <v/>
      </c>
      <c r="U337" s="17">
        <f>MONTH(C337)</f>
        <v/>
      </c>
      <c r="V337" s="17" t="n">
        <v>2025</v>
      </c>
    </row>
    <row r="338" hidden="1" ht="22.5" customHeight="1" s="117">
      <c r="A338" s="14" t="n">
        <v>45992.36348869213</v>
      </c>
      <c r="B338" s="17" t="inlineStr">
        <is>
          <t>Đặng Hoài Anh</t>
        </is>
      </c>
      <c r="C338" s="16" t="n">
        <v>45991</v>
      </c>
      <c r="D338" s="17" t="n">
        <v>0</v>
      </c>
      <c r="E338" s="17" t="n">
        <v>0</v>
      </c>
      <c r="F338" s="17" t="n">
        <v>1</v>
      </c>
      <c r="G338" s="17" t="n">
        <v>0</v>
      </c>
      <c r="H338" s="17" t="n">
        <v>0</v>
      </c>
      <c r="I338" s="17" t="n">
        <v>0</v>
      </c>
      <c r="J338" s="17" t="n">
        <v>0</v>
      </c>
      <c r="K338" s="17" t="n">
        <v>0</v>
      </c>
      <c r="L338" s="17" t="n">
        <v>0</v>
      </c>
      <c r="M338" s="17" t="n">
        <v>1</v>
      </c>
      <c r="N338" s="17" t="n">
        <v>0</v>
      </c>
      <c r="O338" s="17" t="n">
        <v>0</v>
      </c>
      <c r="P338" s="17" t="n">
        <v>0</v>
      </c>
      <c r="Q338" s="17" t="n">
        <v>0</v>
      </c>
      <c r="R338" s="17" t="n">
        <v>0</v>
      </c>
      <c r="T338" s="17">
        <f>DAY(C338)</f>
        <v/>
      </c>
      <c r="U338" s="17">
        <f>MONTH(C338)</f>
        <v/>
      </c>
      <c r="V338" s="17" t="n">
        <v>2025</v>
      </c>
    </row>
    <row r="339" hidden="1" ht="22.5" customHeight="1" s="117">
      <c r="A339" s="14" t="n">
        <v>45992.36768321759</v>
      </c>
      <c r="B339" s="17" t="inlineStr">
        <is>
          <t>Phan Thành Thái</t>
        </is>
      </c>
      <c r="C339" s="16" t="n">
        <v>45991</v>
      </c>
      <c r="D339" s="17" t="n">
        <v>2</v>
      </c>
      <c r="E339" s="17" t="n">
        <v>2</v>
      </c>
      <c r="F339" s="17" t="n">
        <v>1</v>
      </c>
      <c r="G339" s="17" t="n">
        <v>2</v>
      </c>
      <c r="H339" s="17" t="n">
        <v>2</v>
      </c>
      <c r="I339" s="17" t="n">
        <v>2</v>
      </c>
      <c r="J339" s="17" t="n">
        <v>0</v>
      </c>
      <c r="K339" s="17" t="n">
        <v>12</v>
      </c>
      <c r="L339" s="17" t="n">
        <v>0</v>
      </c>
      <c r="M339" s="17" t="n">
        <v>2</v>
      </c>
      <c r="N339" s="17" t="n">
        <v>2</v>
      </c>
      <c r="O339" s="17" t="n">
        <v>0</v>
      </c>
      <c r="P339" s="17" t="n">
        <v>0</v>
      </c>
      <c r="Q339" s="17" t="n">
        <v>4</v>
      </c>
      <c r="R339" s="17" t="n">
        <v>0</v>
      </c>
      <c r="T339" s="17">
        <f>DAY(C339)</f>
        <v/>
      </c>
      <c r="U339" s="17">
        <f>MONTH(C339)</f>
        <v/>
      </c>
      <c r="V339" s="17" t="n">
        <v>2025</v>
      </c>
    </row>
    <row r="340" hidden="1" ht="22.5" customHeight="1" s="117">
      <c r="A340" s="14" t="n">
        <v>45992.73053901621</v>
      </c>
      <c r="B340" s="17" t="inlineStr">
        <is>
          <t>Trần Trung Giang</t>
        </is>
      </c>
      <c r="C340" s="16" t="n">
        <v>45992</v>
      </c>
      <c r="D340" s="17" t="n">
        <v>2</v>
      </c>
      <c r="E340" s="17" t="n">
        <v>2</v>
      </c>
      <c r="F340" s="17" t="n">
        <v>2</v>
      </c>
      <c r="G340" s="17" t="n">
        <v>0</v>
      </c>
      <c r="H340" s="17" t="n">
        <v>0</v>
      </c>
      <c r="I340" s="17" t="n">
        <v>0</v>
      </c>
      <c r="J340" s="17" t="n">
        <v>0</v>
      </c>
      <c r="K340" s="17" t="n">
        <v>0</v>
      </c>
      <c r="L340" s="17" t="n">
        <v>4</v>
      </c>
      <c r="M340" s="17" t="n">
        <v>0</v>
      </c>
      <c r="N340" s="17" t="n">
        <v>0</v>
      </c>
      <c r="O340" s="17" t="n">
        <v>0</v>
      </c>
      <c r="P340" s="17" t="n">
        <v>0</v>
      </c>
      <c r="Q340" s="17" t="n">
        <v>0</v>
      </c>
      <c r="R340" s="17" t="n">
        <v>0</v>
      </c>
      <c r="T340" s="17">
        <f>DAY(C340)</f>
        <v/>
      </c>
      <c r="U340" s="17">
        <f>MONTH(C340)</f>
        <v/>
      </c>
      <c r="V340" s="17" t="n">
        <v>2025</v>
      </c>
    </row>
    <row r="341" hidden="1" ht="22.5" customHeight="1" s="117">
      <c r="A341" s="14" t="n">
        <v>45992.74897637731</v>
      </c>
      <c r="B341" s="17" t="inlineStr">
        <is>
          <t>Nguyễn Văn Hiệp</t>
        </is>
      </c>
      <c r="C341" s="16" t="n">
        <v>45992</v>
      </c>
      <c r="D341" s="17" t="n">
        <v>0</v>
      </c>
      <c r="E341" s="17" t="n">
        <v>0</v>
      </c>
      <c r="F341" s="17" t="n">
        <v>0</v>
      </c>
      <c r="G341" s="17" t="n">
        <v>2</v>
      </c>
      <c r="H341" s="17" t="n">
        <v>1</v>
      </c>
      <c r="I341" s="17" t="n">
        <v>0</v>
      </c>
      <c r="J341" s="17" t="n">
        <v>0</v>
      </c>
      <c r="K341" s="17" t="n">
        <v>1</v>
      </c>
      <c r="L341" s="17" t="n">
        <v>0</v>
      </c>
      <c r="M341" s="17" t="n">
        <v>0</v>
      </c>
      <c r="N341" s="17" t="n">
        <v>4</v>
      </c>
      <c r="O341" s="17" t="n">
        <v>1</v>
      </c>
      <c r="P341" s="17" t="n">
        <v>0</v>
      </c>
      <c r="Q341" s="17" t="n">
        <v>1</v>
      </c>
      <c r="R341" s="17" t="n">
        <v>0</v>
      </c>
      <c r="T341" s="17">
        <f>DAY(C341)</f>
        <v/>
      </c>
      <c r="U341" s="17">
        <f>MONTH(C341)</f>
        <v/>
      </c>
      <c r="V341" s="17" t="n">
        <v>2025</v>
      </c>
    </row>
    <row r="342" hidden="1" ht="22.5" customHeight="1" s="117">
      <c r="A342" s="14" t="n">
        <v>45992.78849295139</v>
      </c>
      <c r="B342" s="17" t="inlineStr">
        <is>
          <t>Phan Ngọc Sang</t>
        </is>
      </c>
      <c r="C342" s="16" t="n">
        <v>45992</v>
      </c>
      <c r="D342" s="17" t="n">
        <v>0</v>
      </c>
      <c r="E342" s="17" t="n">
        <v>0</v>
      </c>
      <c r="F342" s="17" t="n">
        <v>0</v>
      </c>
      <c r="G342" s="17" t="n">
        <v>0</v>
      </c>
      <c r="H342" s="17" t="n">
        <v>0</v>
      </c>
      <c r="I342" s="17" t="n">
        <v>0</v>
      </c>
      <c r="J342" s="17" t="n">
        <v>0</v>
      </c>
      <c r="K342" s="17" t="n">
        <v>0</v>
      </c>
      <c r="L342" s="17" t="n">
        <v>1</v>
      </c>
      <c r="M342" s="17" t="n">
        <v>2</v>
      </c>
      <c r="N342" s="17" t="n">
        <v>0</v>
      </c>
      <c r="O342" s="17" t="n">
        <v>0</v>
      </c>
      <c r="P342" s="17" t="n">
        <v>0</v>
      </c>
      <c r="Q342" s="17" t="n">
        <v>4</v>
      </c>
      <c r="R342" s="17" t="n">
        <v>0</v>
      </c>
      <c r="T342" s="17">
        <f>DAY(C342)</f>
        <v/>
      </c>
      <c r="U342" s="17">
        <f>MONTH(C342)</f>
        <v/>
      </c>
      <c r="V342" s="17" t="n">
        <v>2025</v>
      </c>
    </row>
    <row r="343" hidden="1" ht="22.5" customHeight="1" s="117">
      <c r="A343" s="14" t="n">
        <v>45992.80969413195</v>
      </c>
      <c r="B343" s="17" t="inlineStr">
        <is>
          <t>Nguyễn Văn Nhật</t>
        </is>
      </c>
      <c r="C343" s="16" t="n">
        <v>45991</v>
      </c>
      <c r="D343" s="17" t="n">
        <v>2</v>
      </c>
      <c r="E343" s="17" t="n">
        <v>0</v>
      </c>
      <c r="F343" s="17" t="n">
        <v>0</v>
      </c>
      <c r="G343" s="17" t="n">
        <v>0</v>
      </c>
      <c r="H343" s="17" t="n">
        <v>0</v>
      </c>
      <c r="I343" s="17" t="n">
        <v>0</v>
      </c>
      <c r="J343" s="17" t="n">
        <v>1</v>
      </c>
      <c r="K343" s="17" t="n">
        <v>11</v>
      </c>
      <c r="L343" s="17" t="n">
        <v>0</v>
      </c>
      <c r="M343" s="17" t="n">
        <v>0</v>
      </c>
      <c r="N343" s="17" t="n">
        <v>0</v>
      </c>
      <c r="O343" s="17" t="n">
        <v>0</v>
      </c>
      <c r="P343" s="17" t="n">
        <v>2</v>
      </c>
      <c r="Q343" s="17" t="n">
        <v>2</v>
      </c>
      <c r="R343" s="17" t="n">
        <v>0</v>
      </c>
      <c r="T343" s="17">
        <f>DAY(C343)</f>
        <v/>
      </c>
      <c r="U343" s="17">
        <f>MONTH(C343)</f>
        <v/>
      </c>
      <c r="V343" s="17" t="n">
        <v>2025</v>
      </c>
    </row>
    <row r="344" hidden="1" ht="22.5" customHeight="1" s="117">
      <c r="A344" s="14" t="n">
        <v>45992.81078484953</v>
      </c>
      <c r="B344" s="17" t="inlineStr">
        <is>
          <t>Nguyễn Văn Nhật</t>
        </is>
      </c>
      <c r="C344" s="16" t="n">
        <v>45992</v>
      </c>
      <c r="D344" s="17" t="n">
        <v>0</v>
      </c>
      <c r="E344" s="17" t="n">
        <v>0</v>
      </c>
      <c r="F344" s="17" t="n">
        <v>0</v>
      </c>
      <c r="G344" s="17" t="n">
        <v>1</v>
      </c>
      <c r="H344" s="17" t="n">
        <v>1</v>
      </c>
      <c r="I344" s="17" t="n">
        <v>0</v>
      </c>
      <c r="J344" s="17" t="n">
        <v>0</v>
      </c>
      <c r="K344" s="17" t="n">
        <v>0</v>
      </c>
      <c r="L344" s="17" t="n">
        <v>0</v>
      </c>
      <c r="M344" s="17" t="n">
        <v>0</v>
      </c>
      <c r="N344" s="17" t="n">
        <v>0</v>
      </c>
      <c r="O344" s="17" t="n">
        <v>0</v>
      </c>
      <c r="P344" s="17" t="n">
        <v>1</v>
      </c>
      <c r="Q344" s="17" t="n">
        <v>2</v>
      </c>
      <c r="R344" s="17" t="n">
        <v>0</v>
      </c>
      <c r="T344" s="17">
        <f>DAY(C344)</f>
        <v/>
      </c>
      <c r="U344" s="17">
        <f>MONTH(C344)</f>
        <v/>
      </c>
      <c r="V344" s="17" t="n">
        <v>2025</v>
      </c>
    </row>
    <row r="345" hidden="1" ht="22.5" customHeight="1" s="117">
      <c r="A345" s="14" t="n">
        <v>45992.87784601852</v>
      </c>
      <c r="B345" s="17" t="inlineStr">
        <is>
          <t>Đặng Hữu Danh</t>
        </is>
      </c>
      <c r="C345" s="16" t="n">
        <v>45992</v>
      </c>
      <c r="D345" s="17" t="n">
        <v>0</v>
      </c>
      <c r="E345" s="17" t="n">
        <v>0</v>
      </c>
      <c r="F345" s="17" t="n">
        <v>0</v>
      </c>
      <c r="G345" s="17" t="n">
        <v>0</v>
      </c>
      <c r="H345" s="17" t="n">
        <v>0</v>
      </c>
      <c r="I345" s="17" t="n">
        <v>0</v>
      </c>
      <c r="J345" s="17" t="n">
        <v>0</v>
      </c>
      <c r="K345" s="17" t="n">
        <v>2</v>
      </c>
      <c r="L345" s="17" t="n">
        <v>0</v>
      </c>
      <c r="M345" s="17" t="n">
        <v>0</v>
      </c>
      <c r="N345" s="17" t="n">
        <v>0</v>
      </c>
      <c r="O345" s="17" t="n">
        <v>0</v>
      </c>
      <c r="P345" s="17" t="n">
        <v>1</v>
      </c>
      <c r="Q345" s="17" t="n">
        <v>3</v>
      </c>
      <c r="R345" s="17" t="n">
        <v>0</v>
      </c>
      <c r="T345" s="17">
        <f>DAY(C345)</f>
        <v/>
      </c>
      <c r="U345" s="17">
        <f>MONTH(C345)</f>
        <v/>
      </c>
      <c r="V345" s="17" t="n">
        <v>2025</v>
      </c>
    </row>
    <row r="346" hidden="1" ht="22.5" customHeight="1" s="117">
      <c r="A346" s="14" t="n">
        <v>45993.29539560185</v>
      </c>
      <c r="B346" s="17" t="inlineStr">
        <is>
          <t>Nguyễn Tuấn Anh</t>
        </is>
      </c>
      <c r="C346" s="16" t="n">
        <v>45992</v>
      </c>
      <c r="D346" s="17" t="n">
        <v>1</v>
      </c>
      <c r="E346" s="17" t="n">
        <v>1</v>
      </c>
      <c r="F346" s="17" t="n">
        <v>1</v>
      </c>
      <c r="G346" s="17" t="n">
        <v>0</v>
      </c>
      <c r="H346" s="17" t="n">
        <v>0</v>
      </c>
      <c r="I346" s="17" t="n">
        <v>1</v>
      </c>
      <c r="J346" s="17" t="n">
        <v>0</v>
      </c>
      <c r="K346" s="17" t="n">
        <v>4</v>
      </c>
      <c r="L346" s="17" t="n">
        <v>12</v>
      </c>
      <c r="M346" s="17" t="n">
        <v>0</v>
      </c>
      <c r="N346" s="17" t="n">
        <v>0</v>
      </c>
      <c r="O346" s="17" t="n">
        <v>0</v>
      </c>
      <c r="P346" s="17" t="n">
        <v>0</v>
      </c>
      <c r="Q346" s="17" t="n">
        <v>2</v>
      </c>
      <c r="R346" s="17" t="n">
        <v>0</v>
      </c>
      <c r="T346" s="17">
        <f>DAY(C346)</f>
        <v/>
      </c>
      <c r="U346" s="17">
        <f>MONTH(C346)</f>
        <v/>
      </c>
      <c r="V346" s="17" t="n">
        <v>2025</v>
      </c>
    </row>
    <row r="347" hidden="1" ht="22.5" customHeight="1" s="117">
      <c r="A347" s="14" t="n">
        <v>45993.30308416667</v>
      </c>
      <c r="B347" s="17" t="inlineStr">
        <is>
          <t>Nguyễn Quang Anh Tuấn</t>
        </is>
      </c>
      <c r="C347" s="16" t="n">
        <v>45992</v>
      </c>
      <c r="D347" s="17" t="n">
        <v>0</v>
      </c>
      <c r="E347" s="17" t="n">
        <v>1</v>
      </c>
      <c r="F347" s="17" t="n">
        <v>0</v>
      </c>
      <c r="G347" s="17" t="n">
        <v>1</v>
      </c>
      <c r="H347" s="17" t="n">
        <v>0</v>
      </c>
      <c r="I347" s="17" t="n">
        <v>0</v>
      </c>
      <c r="J347" s="17" t="n">
        <v>0</v>
      </c>
      <c r="K347" s="17" t="n">
        <v>4</v>
      </c>
      <c r="L347" s="17" t="n">
        <v>2</v>
      </c>
      <c r="M347" s="17" t="n">
        <v>0</v>
      </c>
      <c r="N347" s="17" t="n">
        <v>1</v>
      </c>
      <c r="O347" s="17" t="n">
        <v>0</v>
      </c>
      <c r="P347" s="17" t="n">
        <v>0</v>
      </c>
      <c r="Q347" s="17" t="n">
        <v>0</v>
      </c>
      <c r="R347" s="17" t="n">
        <v>0</v>
      </c>
      <c r="T347" s="17">
        <f>DAY(C347)</f>
        <v/>
      </c>
      <c r="U347" s="17">
        <f>MONTH(C347)</f>
        <v/>
      </c>
      <c r="V347" s="17" t="n">
        <v>2025</v>
      </c>
    </row>
    <row r="348" hidden="1" ht="22.5" customHeight="1" s="117">
      <c r="A348" s="14" t="n">
        <v>45993.30549067129</v>
      </c>
      <c r="B348" s="17" t="inlineStr">
        <is>
          <t>Lê Quốc Duy</t>
        </is>
      </c>
      <c r="C348" s="16" t="n">
        <v>45992</v>
      </c>
      <c r="D348" s="17" t="n">
        <v>1</v>
      </c>
      <c r="E348" s="17" t="n">
        <v>0</v>
      </c>
      <c r="F348" s="17" t="n">
        <v>1</v>
      </c>
      <c r="G348" s="17" t="n">
        <v>2</v>
      </c>
      <c r="H348" s="17" t="n">
        <v>2</v>
      </c>
      <c r="I348" s="17" t="n">
        <v>10</v>
      </c>
      <c r="J348" s="17" t="n">
        <v>0</v>
      </c>
      <c r="K348" s="17" t="n">
        <v>0</v>
      </c>
      <c r="L348" s="17" t="n">
        <v>5</v>
      </c>
      <c r="M348" s="17" t="n">
        <v>1</v>
      </c>
      <c r="N348" s="17" t="n">
        <v>0</v>
      </c>
      <c r="O348" s="17" t="n">
        <v>0</v>
      </c>
      <c r="P348" s="17" t="n">
        <v>0</v>
      </c>
      <c r="Q348" s="17" t="n">
        <v>2</v>
      </c>
      <c r="R348" s="17" t="n">
        <v>0</v>
      </c>
      <c r="T348" s="17">
        <f>DAY(C348)</f>
        <v/>
      </c>
      <c r="U348" s="17">
        <f>MONTH(C348)</f>
        <v/>
      </c>
      <c r="V348" s="17" t="n">
        <v>2025</v>
      </c>
    </row>
    <row r="349" hidden="1" ht="22.5" customHeight="1" s="117">
      <c r="A349" s="14" t="n">
        <v>45993.30572236111</v>
      </c>
      <c r="B349" s="17" t="inlineStr">
        <is>
          <t>Đặng Hoài Anh</t>
        </is>
      </c>
      <c r="C349" s="16" t="n">
        <v>45992</v>
      </c>
      <c r="D349" s="17" t="n">
        <v>0</v>
      </c>
      <c r="E349" s="17" t="n">
        <v>0</v>
      </c>
      <c r="F349" s="17" t="n">
        <v>0</v>
      </c>
      <c r="G349" s="17" t="n">
        <v>0</v>
      </c>
      <c r="H349" s="17" t="n">
        <v>0</v>
      </c>
      <c r="I349" s="17" t="n">
        <v>0</v>
      </c>
      <c r="J349" s="17" t="n">
        <v>0</v>
      </c>
      <c r="K349" s="17" t="n">
        <v>0</v>
      </c>
      <c r="L349" s="17" t="n">
        <v>0</v>
      </c>
      <c r="M349" s="17" t="n">
        <v>1</v>
      </c>
      <c r="N349" s="17" t="n">
        <v>0</v>
      </c>
      <c r="O349" s="17" t="n">
        <v>0</v>
      </c>
      <c r="P349" s="17" t="n">
        <v>0</v>
      </c>
      <c r="Q349" s="17" t="n">
        <v>0</v>
      </c>
      <c r="R349" s="17" t="n">
        <v>0</v>
      </c>
      <c r="T349" s="17">
        <f>DAY(C349)</f>
        <v/>
      </c>
      <c r="U349" s="17">
        <f>MONTH(C349)</f>
        <v/>
      </c>
      <c r="V349" s="17" t="n">
        <v>2025</v>
      </c>
    </row>
    <row r="350" hidden="1" ht="22.5" customHeight="1" s="117">
      <c r="A350" s="14" t="n">
        <v>45993.30654077546</v>
      </c>
      <c r="B350" s="17" t="inlineStr">
        <is>
          <t>Dương Minh Tiến</t>
        </is>
      </c>
      <c r="C350" s="16" t="n">
        <v>45992</v>
      </c>
      <c r="D350" s="17" t="n">
        <v>0</v>
      </c>
      <c r="E350" s="17" t="n">
        <v>0</v>
      </c>
      <c r="F350" s="17" t="n">
        <v>0</v>
      </c>
      <c r="G350" s="17" t="n">
        <v>1</v>
      </c>
      <c r="H350" s="17" t="n">
        <v>0</v>
      </c>
      <c r="I350" s="17" t="n">
        <v>0</v>
      </c>
      <c r="J350" s="17" t="n">
        <v>0</v>
      </c>
      <c r="K350" s="17" t="n">
        <v>2</v>
      </c>
      <c r="L350" s="17" t="n">
        <v>0</v>
      </c>
      <c r="M350" s="17" t="n">
        <v>0</v>
      </c>
      <c r="N350" s="17" t="n">
        <v>0</v>
      </c>
      <c r="O350" s="17" t="n">
        <v>0</v>
      </c>
      <c r="P350" s="17" t="n">
        <v>1</v>
      </c>
      <c r="Q350" s="17" t="n">
        <v>1</v>
      </c>
      <c r="R350" s="17" t="n">
        <v>1</v>
      </c>
      <c r="T350" s="17">
        <f>DAY(C350)</f>
        <v/>
      </c>
      <c r="U350" s="17">
        <f>MONTH(C350)</f>
        <v/>
      </c>
      <c r="V350" s="17" t="n">
        <v>2025</v>
      </c>
    </row>
    <row r="351" hidden="1" ht="22.5" customHeight="1" s="117">
      <c r="A351" s="14" t="n">
        <v>45993.30726633102</v>
      </c>
      <c r="B351" s="17" t="inlineStr">
        <is>
          <t>Vòng Nhật Sang</t>
        </is>
      </c>
      <c r="C351" s="16" t="n">
        <v>45992</v>
      </c>
      <c r="D351" s="17" t="n">
        <v>0</v>
      </c>
      <c r="E351" s="17" t="n">
        <v>0</v>
      </c>
      <c r="F351" s="17" t="n">
        <v>0</v>
      </c>
      <c r="G351" s="17" t="n">
        <v>0</v>
      </c>
      <c r="H351" s="17" t="n">
        <v>0</v>
      </c>
      <c r="I351" s="17" t="n">
        <v>0</v>
      </c>
      <c r="J351" s="17" t="n">
        <v>0</v>
      </c>
      <c r="K351" s="17" t="n">
        <v>5</v>
      </c>
      <c r="L351" s="17" t="n">
        <v>2</v>
      </c>
      <c r="M351" s="17" t="n">
        <v>0</v>
      </c>
      <c r="N351" s="17" t="n">
        <v>0</v>
      </c>
      <c r="O351" s="17" t="n">
        <v>0</v>
      </c>
      <c r="P351" s="17" t="n">
        <v>0</v>
      </c>
      <c r="Q351" s="17" t="n">
        <v>2</v>
      </c>
      <c r="R351" s="17" t="n">
        <v>0</v>
      </c>
      <c r="T351" s="17">
        <f>DAY(C351)</f>
        <v/>
      </c>
      <c r="U351" s="17">
        <f>MONTH(C351)</f>
        <v/>
      </c>
      <c r="V351" s="17" t="n">
        <v>2025</v>
      </c>
    </row>
    <row r="352" hidden="1" ht="22.5" customHeight="1" s="117">
      <c r="A352" s="14" t="n">
        <v>45993.30759443287</v>
      </c>
      <c r="B352" s="17" t="inlineStr">
        <is>
          <t>Huỳnh Văn Lực</t>
        </is>
      </c>
      <c r="C352" s="16" t="n">
        <v>45992</v>
      </c>
      <c r="D352" s="17" t="n">
        <v>0</v>
      </c>
      <c r="E352" s="17" t="n">
        <v>0</v>
      </c>
      <c r="F352" s="17" t="n">
        <v>0</v>
      </c>
      <c r="G352" s="17" t="n">
        <v>0</v>
      </c>
      <c r="H352" s="17" t="n">
        <v>0</v>
      </c>
      <c r="I352" s="17" t="n">
        <v>0</v>
      </c>
      <c r="J352" s="17" t="n">
        <v>0</v>
      </c>
      <c r="K352" s="17" t="n">
        <v>0</v>
      </c>
      <c r="L352" s="17" t="n">
        <v>2</v>
      </c>
      <c r="M352" s="17" t="n">
        <v>0</v>
      </c>
      <c r="N352" s="17" t="n">
        <v>0</v>
      </c>
      <c r="O352" s="17" t="n">
        <v>1</v>
      </c>
      <c r="P352" s="17" t="n">
        <v>0</v>
      </c>
      <c r="Q352" s="17" t="n">
        <v>1</v>
      </c>
      <c r="R352" s="17" t="n">
        <v>1</v>
      </c>
      <c r="T352" s="17">
        <f>DAY(C352)</f>
        <v/>
      </c>
      <c r="U352" s="17">
        <f>MONTH(C352)</f>
        <v/>
      </c>
      <c r="V352" s="17" t="n">
        <v>2025</v>
      </c>
    </row>
    <row r="353" hidden="1" ht="22.5" customHeight="1" s="117">
      <c r="A353" s="14" t="n">
        <v>45993.30833747685</v>
      </c>
      <c r="B353" s="17" t="inlineStr">
        <is>
          <t>Hồ Xuân Việt</t>
        </is>
      </c>
      <c r="C353" s="16" t="n">
        <v>45992</v>
      </c>
      <c r="D353" s="17" t="n">
        <v>0</v>
      </c>
      <c r="E353" s="17" t="n">
        <v>0</v>
      </c>
      <c r="F353" s="17" t="n">
        <v>0</v>
      </c>
      <c r="G353" s="17" t="n">
        <v>0</v>
      </c>
      <c r="H353" s="17" t="n">
        <v>0</v>
      </c>
      <c r="I353" s="17" t="n">
        <v>0</v>
      </c>
      <c r="J353" s="17" t="n">
        <v>0</v>
      </c>
      <c r="K353" s="17" t="n">
        <v>0</v>
      </c>
      <c r="L353" s="17" t="n">
        <v>0</v>
      </c>
      <c r="M353" s="17" t="n">
        <v>0</v>
      </c>
      <c r="N353" s="17" t="n">
        <v>0</v>
      </c>
      <c r="O353" s="17" t="n">
        <v>0</v>
      </c>
      <c r="P353" s="17" t="n">
        <v>0</v>
      </c>
      <c r="Q353" s="17" t="n">
        <v>2</v>
      </c>
      <c r="R353" s="17" t="n">
        <v>0</v>
      </c>
      <c r="T353" s="17">
        <f>DAY(C353)</f>
        <v/>
      </c>
      <c r="U353" s="17">
        <f>MONTH(C353)</f>
        <v/>
      </c>
      <c r="V353" s="17" t="n">
        <v>2025</v>
      </c>
    </row>
    <row r="354" hidden="1" ht="22.5" customHeight="1" s="117">
      <c r="A354" s="14" t="n">
        <v>45993.31152581018</v>
      </c>
      <c r="B354" s="17" t="inlineStr">
        <is>
          <t>Phan Thành Thái</t>
        </is>
      </c>
      <c r="C354" s="16" t="n">
        <v>45992</v>
      </c>
      <c r="D354" s="17" t="n">
        <v>1</v>
      </c>
      <c r="E354" s="17" t="n">
        <v>1</v>
      </c>
      <c r="F354" s="17" t="n">
        <v>0</v>
      </c>
      <c r="G354" s="17" t="n">
        <v>0</v>
      </c>
      <c r="H354" s="17" t="n">
        <v>0</v>
      </c>
      <c r="I354" s="17" t="n">
        <v>0</v>
      </c>
      <c r="J354" s="17" t="n">
        <v>0</v>
      </c>
      <c r="K354" s="17" t="n">
        <v>6</v>
      </c>
      <c r="L354" s="17" t="n">
        <v>0</v>
      </c>
      <c r="M354" s="17" t="n">
        <v>1</v>
      </c>
      <c r="N354" s="17" t="n">
        <v>0</v>
      </c>
      <c r="O354" s="17" t="n">
        <v>0</v>
      </c>
      <c r="P354" s="17" t="n">
        <v>1</v>
      </c>
      <c r="Q354" s="17" t="n">
        <v>3</v>
      </c>
      <c r="R354" s="17" t="n">
        <v>0</v>
      </c>
      <c r="T354" s="17">
        <f>DAY(C354)</f>
        <v/>
      </c>
      <c r="U354" s="17">
        <f>MONTH(C354)</f>
        <v/>
      </c>
      <c r="V354" s="17" t="n">
        <v>2025</v>
      </c>
    </row>
    <row r="355" hidden="1" ht="22.5" customHeight="1" s="117">
      <c r="A355" s="14" t="n">
        <v>45993.31197219907</v>
      </c>
      <c r="B355" s="17" t="inlineStr">
        <is>
          <t>Lương Duy Hoàng</t>
        </is>
      </c>
      <c r="C355" s="16" t="n">
        <v>45992</v>
      </c>
      <c r="D355" s="17" t="n">
        <v>0</v>
      </c>
      <c r="E355" s="17" t="n">
        <v>0</v>
      </c>
      <c r="F355" s="17" t="n">
        <v>0</v>
      </c>
      <c r="G355" s="17" t="n">
        <v>0</v>
      </c>
      <c r="H355" s="17" t="n">
        <v>0</v>
      </c>
      <c r="I355" s="17" t="n">
        <v>0</v>
      </c>
      <c r="J355" s="17" t="n">
        <v>0</v>
      </c>
      <c r="K355" s="17" t="n">
        <v>0</v>
      </c>
      <c r="L355" s="17" t="n">
        <v>4</v>
      </c>
      <c r="M355" s="17" t="n">
        <v>0</v>
      </c>
      <c r="N355" s="17" t="n">
        <v>0</v>
      </c>
      <c r="O355" s="17" t="n">
        <v>0</v>
      </c>
      <c r="P355" s="17" t="n">
        <v>0</v>
      </c>
      <c r="Q355" s="17" t="n">
        <v>3</v>
      </c>
      <c r="R355" s="17" t="n">
        <v>0</v>
      </c>
      <c r="T355" s="17">
        <f>DAY(C355)</f>
        <v/>
      </c>
      <c r="U355" s="17">
        <f>MONTH(C355)</f>
        <v/>
      </c>
      <c r="V355" s="17" t="n">
        <v>2025</v>
      </c>
    </row>
    <row r="356" hidden="1" ht="22.5" customHeight="1" s="117">
      <c r="A356" s="14" t="n">
        <v>45993.31900314815</v>
      </c>
      <c r="B356" s="17" t="inlineStr">
        <is>
          <t>Lê Văn Hồng</t>
        </is>
      </c>
      <c r="C356" s="16" t="n">
        <v>45992</v>
      </c>
      <c r="D356" s="17" t="n">
        <v>1</v>
      </c>
      <c r="E356" s="17" t="n">
        <v>0</v>
      </c>
      <c r="F356" s="17" t="n">
        <v>0</v>
      </c>
      <c r="G356" s="17" t="n">
        <v>0</v>
      </c>
      <c r="H356" s="17" t="n">
        <v>0</v>
      </c>
      <c r="I356" s="17" t="n">
        <v>0</v>
      </c>
      <c r="J356" s="17" t="n">
        <v>0</v>
      </c>
      <c r="K356" s="17" t="n">
        <v>1</v>
      </c>
      <c r="L356" s="17" t="n">
        <v>1</v>
      </c>
      <c r="M356" s="17" t="n">
        <v>0</v>
      </c>
      <c r="N356" s="17" t="n">
        <v>0</v>
      </c>
      <c r="O356" s="17" t="n">
        <v>0</v>
      </c>
      <c r="P356" s="17" t="n">
        <v>2</v>
      </c>
      <c r="Q356" s="17" t="n">
        <v>4</v>
      </c>
      <c r="R356" s="17" t="n">
        <v>0</v>
      </c>
      <c r="T356" s="17">
        <f>DAY(C356)</f>
        <v/>
      </c>
      <c r="U356" s="17">
        <f>MONTH(C356)</f>
        <v/>
      </c>
      <c r="V356" s="17" t="n">
        <v>2025</v>
      </c>
    </row>
    <row r="357" hidden="1" ht="22.5" customHeight="1" s="117">
      <c r="A357" s="14" t="n">
        <v>45993.32321646991</v>
      </c>
      <c r="B357" s="17" t="inlineStr">
        <is>
          <t>Bùi Duy Cường</t>
        </is>
      </c>
      <c r="C357" s="16" t="n">
        <v>45992</v>
      </c>
      <c r="D357" s="17" t="n">
        <v>0</v>
      </c>
      <c r="E357" s="17" t="n">
        <v>0</v>
      </c>
      <c r="F357" s="17" t="n">
        <v>0</v>
      </c>
      <c r="G357" s="17" t="n">
        <v>0</v>
      </c>
      <c r="H357" s="17" t="n">
        <v>0</v>
      </c>
      <c r="I357" s="17" t="n">
        <v>0</v>
      </c>
      <c r="J357" s="17" t="n">
        <v>0</v>
      </c>
      <c r="K357" s="17" t="n">
        <v>0</v>
      </c>
      <c r="L357" s="17" t="n">
        <v>10</v>
      </c>
      <c r="M357" s="17" t="n">
        <v>2</v>
      </c>
      <c r="N357" s="17" t="n">
        <v>0</v>
      </c>
      <c r="O357" s="17" t="n">
        <v>0</v>
      </c>
      <c r="P357" s="17" t="n">
        <v>0</v>
      </c>
      <c r="Q357" s="17" t="n">
        <v>0</v>
      </c>
      <c r="R357" s="17" t="n">
        <v>0</v>
      </c>
      <c r="T357" s="17">
        <f>DAY(C357)</f>
        <v/>
      </c>
      <c r="U357" s="17">
        <f>MONTH(C357)</f>
        <v/>
      </c>
      <c r="V357" s="17" t="n">
        <v>2025</v>
      </c>
    </row>
    <row r="358" hidden="1" ht="22.5" customHeight="1" s="117">
      <c r="A358" s="14" t="n">
        <v>45993.3243096875</v>
      </c>
      <c r="B358" s="17" t="inlineStr">
        <is>
          <t>Trần Minh Khánh</t>
        </is>
      </c>
      <c r="C358" s="16" t="n">
        <v>45992</v>
      </c>
      <c r="D358" s="17" t="n">
        <v>1</v>
      </c>
      <c r="E358" s="17" t="n">
        <v>0</v>
      </c>
      <c r="F358" s="17" t="n">
        <v>0</v>
      </c>
      <c r="G358" s="17" t="n">
        <v>2</v>
      </c>
      <c r="H358" s="17" t="n">
        <v>2</v>
      </c>
      <c r="I358" s="17" t="n">
        <v>0</v>
      </c>
      <c r="J358" s="17" t="n">
        <v>0</v>
      </c>
      <c r="K358" s="17" t="n">
        <v>0</v>
      </c>
      <c r="L358" s="17" t="n">
        <v>0</v>
      </c>
      <c r="M358" s="17" t="n">
        <v>0</v>
      </c>
      <c r="N358" s="17" t="n">
        <v>1</v>
      </c>
      <c r="O358" s="17" t="n">
        <v>0</v>
      </c>
      <c r="P358" s="17" t="n">
        <v>1</v>
      </c>
      <c r="Q358" s="17" t="n">
        <v>2</v>
      </c>
      <c r="R358" s="17" t="n">
        <v>0</v>
      </c>
      <c r="T358" s="17">
        <f>DAY(C358)</f>
        <v/>
      </c>
      <c r="U358" s="17">
        <f>MONTH(C358)</f>
        <v/>
      </c>
      <c r="V358" s="17" t="n">
        <v>2025</v>
      </c>
    </row>
    <row r="359" hidden="1" ht="22.5" customHeight="1" s="117">
      <c r="A359" s="14" t="n">
        <v>45993.36045398148</v>
      </c>
      <c r="B359" s="17" t="inlineStr">
        <is>
          <t>Trần Xuân Khoa</t>
        </is>
      </c>
      <c r="C359" s="16" t="n">
        <v>45992</v>
      </c>
      <c r="D359" s="17" t="n">
        <v>0</v>
      </c>
      <c r="E359" s="17" t="n">
        <v>0</v>
      </c>
      <c r="F359" s="17" t="n">
        <v>0</v>
      </c>
      <c r="G359" s="17" t="n">
        <v>0</v>
      </c>
      <c r="H359" s="17" t="n">
        <v>0</v>
      </c>
      <c r="I359" s="17" t="n">
        <v>0</v>
      </c>
      <c r="J359" s="17" t="n">
        <v>0</v>
      </c>
      <c r="K359" s="17" t="n">
        <v>3</v>
      </c>
      <c r="L359" s="17" t="n">
        <v>0</v>
      </c>
      <c r="M359" s="17" t="n">
        <v>0</v>
      </c>
      <c r="N359" s="17" t="n">
        <v>0</v>
      </c>
      <c r="O359" s="17" t="n">
        <v>0</v>
      </c>
      <c r="P359" s="17" t="n">
        <v>1</v>
      </c>
      <c r="Q359" s="17" t="n">
        <v>4</v>
      </c>
      <c r="R359" s="17" t="n">
        <v>2</v>
      </c>
      <c r="T359" s="17">
        <f>DAY(C359)</f>
        <v/>
      </c>
      <c r="U359" s="17">
        <f>MONTH(C359)</f>
        <v/>
      </c>
      <c r="V359" s="17" t="n">
        <v>2025</v>
      </c>
    </row>
    <row r="360" hidden="1" ht="22.5" customHeight="1" s="117">
      <c r="A360" s="14" t="n">
        <v>45993.43872415509</v>
      </c>
      <c r="B360" s="17" t="inlineStr">
        <is>
          <t>Nguyễn Hồng Minh</t>
        </is>
      </c>
      <c r="C360" s="16" t="n">
        <v>45992</v>
      </c>
      <c r="D360" s="17" t="n">
        <v>0</v>
      </c>
      <c r="E360" s="17" t="n">
        <v>0</v>
      </c>
      <c r="F360" s="17" t="n">
        <v>0</v>
      </c>
      <c r="G360" s="17" t="n">
        <v>1</v>
      </c>
      <c r="H360" s="17" t="n">
        <v>1</v>
      </c>
      <c r="I360" s="17" t="n">
        <v>0</v>
      </c>
      <c r="J360" s="17" t="n">
        <v>0</v>
      </c>
      <c r="K360" s="17" t="n">
        <v>2</v>
      </c>
      <c r="L360" s="17" t="n">
        <v>3</v>
      </c>
      <c r="M360" s="17" t="n">
        <v>1</v>
      </c>
      <c r="N360" s="17" t="n">
        <v>0</v>
      </c>
      <c r="O360" s="17" t="n">
        <v>0</v>
      </c>
      <c r="P360" s="17" t="n">
        <v>1</v>
      </c>
      <c r="Q360" s="17" t="n">
        <v>5</v>
      </c>
      <c r="R360" s="17" t="n">
        <v>0</v>
      </c>
      <c r="T360" s="17">
        <f>DAY(C360)</f>
        <v/>
      </c>
      <c r="U360" s="17">
        <f>MONTH(C360)</f>
        <v/>
      </c>
      <c r="V360" s="17" t="n">
        <v>2025</v>
      </c>
    </row>
    <row r="361" hidden="1" ht="22.5" customHeight="1" s="117">
      <c r="A361" s="14" t="n">
        <v>45993.91752112268</v>
      </c>
      <c r="B361" s="17" t="inlineStr">
        <is>
          <t>Đặng Hữu Danh</t>
        </is>
      </c>
      <c r="C361" s="16" t="n">
        <v>45993</v>
      </c>
      <c r="D361" s="17" t="n">
        <v>0</v>
      </c>
      <c r="E361" s="17" t="n">
        <v>0</v>
      </c>
      <c r="F361" s="17" t="n">
        <v>0</v>
      </c>
      <c r="G361" s="17" t="n">
        <v>0</v>
      </c>
      <c r="H361" s="17" t="n">
        <v>0</v>
      </c>
      <c r="I361" s="17" t="n">
        <v>0</v>
      </c>
      <c r="J361" s="17" t="n">
        <v>0</v>
      </c>
      <c r="K361" s="17" t="n">
        <v>0</v>
      </c>
      <c r="L361" s="17" t="n">
        <v>1</v>
      </c>
      <c r="M361" s="17" t="n">
        <v>0</v>
      </c>
      <c r="N361" s="17" t="n">
        <v>0</v>
      </c>
      <c r="O361" s="17" t="n">
        <v>0</v>
      </c>
      <c r="P361" s="17" t="n">
        <v>1</v>
      </c>
      <c r="Q361" s="17" t="n">
        <v>5</v>
      </c>
      <c r="R361" s="17" t="n">
        <v>0</v>
      </c>
      <c r="T361" s="17">
        <f>DAY(C361)</f>
        <v/>
      </c>
      <c r="U361" s="17">
        <f>MONTH(C361)</f>
        <v/>
      </c>
      <c r="V361" s="17" t="n">
        <v>2025</v>
      </c>
    </row>
    <row r="362" hidden="1" ht="22.5" customHeight="1" s="117">
      <c r="A362" s="14" t="n">
        <v>45993.92827328703</v>
      </c>
      <c r="B362" s="17" t="inlineStr">
        <is>
          <t>Trần Minh Khánh</t>
        </is>
      </c>
      <c r="C362" s="16" t="n">
        <v>45993</v>
      </c>
      <c r="D362" s="17" t="n">
        <v>0</v>
      </c>
      <c r="E362" s="17" t="n">
        <v>0</v>
      </c>
      <c r="F362" s="17" t="n">
        <v>0</v>
      </c>
      <c r="G362" s="17" t="n">
        <v>0</v>
      </c>
      <c r="H362" s="17" t="n">
        <v>0</v>
      </c>
      <c r="I362" s="17" t="n">
        <v>0</v>
      </c>
      <c r="J362" s="17" t="n">
        <v>0</v>
      </c>
      <c r="K362" s="17" t="n">
        <v>0</v>
      </c>
      <c r="L362" s="17" t="n">
        <v>1</v>
      </c>
      <c r="M362" s="17" t="n">
        <v>0</v>
      </c>
      <c r="N362" s="17" t="n">
        <v>0</v>
      </c>
      <c r="O362" s="17" t="n">
        <v>0</v>
      </c>
      <c r="P362" s="17" t="n">
        <v>2</v>
      </c>
      <c r="Q362" s="17" t="n">
        <v>3</v>
      </c>
      <c r="R362" s="17" t="n">
        <v>0</v>
      </c>
      <c r="T362" s="17">
        <f>DAY(C362)</f>
        <v/>
      </c>
      <c r="U362" s="17">
        <f>MONTH(C362)</f>
        <v/>
      </c>
      <c r="V362" s="17" t="n">
        <v>2025</v>
      </c>
    </row>
    <row r="363" hidden="1" ht="22.5" customHeight="1" s="117">
      <c r="A363" s="14" t="n">
        <v>45994.26605008102</v>
      </c>
      <c r="B363" s="17" t="inlineStr">
        <is>
          <t>Vòng Nhật Sang</t>
        </is>
      </c>
      <c r="C363" s="16" t="n">
        <v>45993</v>
      </c>
      <c r="D363" s="17" t="n">
        <v>1</v>
      </c>
      <c r="E363" s="17" t="n">
        <v>1</v>
      </c>
      <c r="F363" s="17" t="n">
        <v>0</v>
      </c>
      <c r="G363" s="17" t="n">
        <v>1</v>
      </c>
      <c r="H363" s="17" t="n">
        <v>0</v>
      </c>
      <c r="I363" s="17" t="n">
        <v>0</v>
      </c>
      <c r="J363" s="17" t="n">
        <v>0</v>
      </c>
      <c r="K363" s="17" t="n">
        <v>0</v>
      </c>
      <c r="L363" s="17" t="n">
        <v>1</v>
      </c>
      <c r="M363" s="17" t="n">
        <v>1</v>
      </c>
      <c r="N363" s="17" t="n">
        <v>0</v>
      </c>
      <c r="O363" s="17" t="n">
        <v>0</v>
      </c>
      <c r="P363" s="17" t="n">
        <v>0</v>
      </c>
      <c r="Q363" s="17" t="n">
        <v>2</v>
      </c>
      <c r="R363" s="17" t="n">
        <v>0</v>
      </c>
      <c r="T363" s="17">
        <f>DAY(C363)</f>
        <v/>
      </c>
      <c r="U363" s="17">
        <f>MONTH(C363)</f>
        <v/>
      </c>
      <c r="V363" s="17" t="n">
        <v>2025</v>
      </c>
    </row>
    <row r="364" hidden="1" ht="22.5" customHeight="1" s="117">
      <c r="A364" s="14" t="n">
        <v>45994.28234832176</v>
      </c>
      <c r="B364" s="17" t="inlineStr">
        <is>
          <t>Nguyễn Văn Hiệp</t>
        </is>
      </c>
      <c r="C364" s="16" t="n">
        <v>45993</v>
      </c>
      <c r="D364" s="17" t="n">
        <v>1</v>
      </c>
      <c r="E364" s="17" t="n">
        <v>0</v>
      </c>
      <c r="F364" s="17" t="n">
        <v>0</v>
      </c>
      <c r="G364" s="17" t="n">
        <v>0</v>
      </c>
      <c r="H364" s="17" t="n">
        <v>0</v>
      </c>
      <c r="I364" s="17" t="n">
        <v>0</v>
      </c>
      <c r="J364" s="17" t="n">
        <v>0</v>
      </c>
      <c r="K364" s="17" t="n">
        <v>2</v>
      </c>
      <c r="L364" s="17" t="n">
        <v>0</v>
      </c>
      <c r="M364" s="17" t="n">
        <v>1</v>
      </c>
      <c r="N364" s="17" t="n">
        <v>0</v>
      </c>
      <c r="O364" s="17" t="n">
        <v>0</v>
      </c>
      <c r="P364" s="17" t="n">
        <v>0</v>
      </c>
      <c r="Q364" s="17" t="n">
        <v>0</v>
      </c>
      <c r="R364" s="17" t="n">
        <v>0</v>
      </c>
      <c r="T364" s="17">
        <f>DAY(C364)</f>
        <v/>
      </c>
      <c r="U364" s="17">
        <f>MONTH(C364)</f>
        <v/>
      </c>
      <c r="V364" s="17" t="n">
        <v>2025</v>
      </c>
    </row>
    <row r="365" hidden="1" ht="22.5" customHeight="1" s="117">
      <c r="A365" s="14" t="n">
        <v>45994.28310152778</v>
      </c>
      <c r="B365" s="17" t="inlineStr">
        <is>
          <t>Nguyễn Tuấn Anh</t>
        </is>
      </c>
      <c r="C365" s="16" t="n">
        <v>45993</v>
      </c>
      <c r="D365" s="17" t="n">
        <v>0</v>
      </c>
      <c r="E365" s="17" t="n">
        <v>0</v>
      </c>
      <c r="F365" s="17" t="n">
        <v>0</v>
      </c>
      <c r="G365" s="17" t="n">
        <v>0</v>
      </c>
      <c r="H365" s="17" t="n">
        <v>0</v>
      </c>
      <c r="I365" s="17" t="n">
        <v>0</v>
      </c>
      <c r="J365" s="17" t="n">
        <v>0</v>
      </c>
      <c r="K365" s="17" t="n">
        <v>2</v>
      </c>
      <c r="L365" s="17" t="n">
        <v>2</v>
      </c>
      <c r="M365" s="17" t="n">
        <v>0</v>
      </c>
      <c r="N365" s="17" t="n">
        <v>0</v>
      </c>
      <c r="O365" s="17" t="n">
        <v>0</v>
      </c>
      <c r="P365" s="17" t="n">
        <v>2</v>
      </c>
      <c r="Q365" s="17" t="n">
        <v>6</v>
      </c>
      <c r="R365" s="17" t="n">
        <v>0</v>
      </c>
      <c r="T365" s="17">
        <f>DAY(C365)</f>
        <v/>
      </c>
      <c r="U365" s="17">
        <f>MONTH(C365)</f>
        <v/>
      </c>
      <c r="V365" s="17" t="n">
        <v>2025</v>
      </c>
    </row>
    <row r="366" hidden="1" ht="22.5" customHeight="1" s="117">
      <c r="A366" s="14" t="n">
        <v>45994.29031414352</v>
      </c>
      <c r="B366" s="17" t="inlineStr">
        <is>
          <t>Trần Trung Giang</t>
        </is>
      </c>
      <c r="C366" s="16" t="n">
        <v>46358</v>
      </c>
      <c r="D366" s="17" t="n">
        <v>0</v>
      </c>
      <c r="E366" s="17" t="n">
        <v>0</v>
      </c>
      <c r="F366" s="17" t="n">
        <v>0</v>
      </c>
      <c r="G366" s="17" t="n">
        <v>0</v>
      </c>
      <c r="H366" s="17" t="n">
        <v>0</v>
      </c>
      <c r="I366" s="17" t="n">
        <v>0</v>
      </c>
      <c r="J366" s="17" t="n">
        <v>0</v>
      </c>
      <c r="K366" s="17" t="n">
        <v>0</v>
      </c>
      <c r="L366" s="17" t="n">
        <v>0</v>
      </c>
      <c r="M366" s="17" t="n">
        <v>1</v>
      </c>
      <c r="N366" s="17" t="n">
        <v>0</v>
      </c>
      <c r="O366" s="17" t="n">
        <v>0</v>
      </c>
      <c r="P366" s="17" t="n">
        <v>0</v>
      </c>
      <c r="Q366" s="17" t="n">
        <v>0</v>
      </c>
      <c r="R366" s="17" t="n">
        <v>0</v>
      </c>
      <c r="T366" s="17">
        <f>DAY(C366)</f>
        <v/>
      </c>
      <c r="U366" s="17">
        <f>MONTH(C366)</f>
        <v/>
      </c>
      <c r="V366" s="17" t="n">
        <v>2025</v>
      </c>
    </row>
    <row r="367" hidden="1" ht="22.5" customHeight="1" s="117">
      <c r="A367" s="14" t="n">
        <v>45994.29199236111</v>
      </c>
      <c r="B367" s="17" t="inlineStr">
        <is>
          <t>Phan Thành Thái</t>
        </is>
      </c>
      <c r="C367" s="16" t="n">
        <v>45993</v>
      </c>
      <c r="D367" s="17" t="n">
        <v>0</v>
      </c>
      <c r="E367" s="17" t="n">
        <v>0</v>
      </c>
      <c r="F367" s="17" t="n">
        <v>0</v>
      </c>
      <c r="G367" s="17" t="n">
        <v>0</v>
      </c>
      <c r="H367" s="17" t="n">
        <v>0</v>
      </c>
      <c r="I367" s="17" t="n">
        <v>0</v>
      </c>
      <c r="J367" s="17" t="n">
        <v>0</v>
      </c>
      <c r="K367" s="17" t="n">
        <v>6</v>
      </c>
      <c r="L367" s="17" t="n">
        <v>0</v>
      </c>
      <c r="M367" s="17" t="n">
        <v>1</v>
      </c>
      <c r="N367" s="17" t="n">
        <v>0</v>
      </c>
      <c r="O367" s="17" t="n">
        <v>0</v>
      </c>
      <c r="P367" s="17" t="n">
        <v>2</v>
      </c>
      <c r="Q367" s="17" t="n">
        <v>3</v>
      </c>
      <c r="R367" s="17" t="n">
        <v>0</v>
      </c>
      <c r="T367" s="17">
        <f>DAY(C367)</f>
        <v/>
      </c>
      <c r="U367" s="17">
        <f>MONTH(C367)</f>
        <v/>
      </c>
      <c r="V367" s="17" t="n">
        <v>2025</v>
      </c>
    </row>
    <row r="368" hidden="1" ht="22.5" customHeight="1" s="117">
      <c r="A368" s="14" t="n">
        <v>45994.29342372685</v>
      </c>
      <c r="B368" s="17" t="inlineStr">
        <is>
          <t>Nguyễn Quang Anh Tuấn</t>
        </is>
      </c>
      <c r="C368" s="16" t="n">
        <v>45993</v>
      </c>
      <c r="D368" s="17" t="n">
        <v>0</v>
      </c>
      <c r="E368" s="17" t="n">
        <v>0</v>
      </c>
      <c r="F368" s="17" t="n">
        <v>0</v>
      </c>
      <c r="G368" s="17" t="n">
        <v>2</v>
      </c>
      <c r="H368" s="17" t="n">
        <v>0</v>
      </c>
      <c r="I368" s="17" t="n">
        <v>0</v>
      </c>
      <c r="J368" s="17" t="n">
        <v>0</v>
      </c>
      <c r="K368" s="17" t="n">
        <v>0</v>
      </c>
      <c r="L368" s="17" t="n">
        <v>4</v>
      </c>
      <c r="M368" s="17" t="n">
        <v>0</v>
      </c>
      <c r="N368" s="17" t="n">
        <v>2</v>
      </c>
      <c r="O368" s="17" t="n">
        <v>0</v>
      </c>
      <c r="P368" s="17" t="n">
        <v>0</v>
      </c>
      <c r="Q368" s="17" t="n">
        <v>1</v>
      </c>
      <c r="R368" s="17" t="n">
        <v>0</v>
      </c>
      <c r="T368" s="17">
        <f>DAY(C368)</f>
        <v/>
      </c>
      <c r="U368" s="17">
        <f>MONTH(C368)</f>
        <v/>
      </c>
      <c r="V368" s="17" t="n">
        <v>2025</v>
      </c>
    </row>
    <row r="369" hidden="1" ht="22.5" customHeight="1" s="117">
      <c r="A369" s="14" t="n">
        <v>45994.29856309028</v>
      </c>
      <c r="B369" s="17" t="inlineStr">
        <is>
          <t>Hồ Xuân Việt</t>
        </is>
      </c>
      <c r="C369" s="16" t="n">
        <v>45993</v>
      </c>
      <c r="D369" s="17" t="n">
        <v>0</v>
      </c>
      <c r="E369" s="17" t="n">
        <v>0</v>
      </c>
      <c r="F369" s="17" t="n">
        <v>0</v>
      </c>
      <c r="G369" s="17" t="n">
        <v>0</v>
      </c>
      <c r="H369" s="17" t="n">
        <v>0</v>
      </c>
      <c r="I369" s="17" t="n">
        <v>0</v>
      </c>
      <c r="J369" s="17" t="n">
        <v>0</v>
      </c>
      <c r="K369" s="17" t="n">
        <v>0</v>
      </c>
      <c r="L369" s="17" t="n">
        <v>0</v>
      </c>
      <c r="M369" s="17" t="n">
        <v>0</v>
      </c>
      <c r="N369" s="17" t="n">
        <v>0</v>
      </c>
      <c r="O369" s="17" t="n">
        <v>0</v>
      </c>
      <c r="P369" s="17" t="n">
        <v>0</v>
      </c>
      <c r="Q369" s="17" t="n">
        <v>1</v>
      </c>
      <c r="R369" s="17" t="n">
        <v>0</v>
      </c>
      <c r="T369" s="17">
        <f>DAY(C369)</f>
        <v/>
      </c>
      <c r="U369" s="17">
        <f>MONTH(C369)</f>
        <v/>
      </c>
      <c r="V369" s="17" t="n">
        <v>2025</v>
      </c>
    </row>
    <row r="370" hidden="1" ht="22.5" customHeight="1" s="117">
      <c r="A370" s="14" t="n">
        <v>45994.29862152778</v>
      </c>
      <c r="B370" s="17" t="inlineStr">
        <is>
          <t>Huỳnh Văn Lực</t>
        </is>
      </c>
      <c r="C370" s="16" t="n">
        <v>45993</v>
      </c>
      <c r="D370" s="17" t="n">
        <v>0</v>
      </c>
      <c r="E370" s="17" t="n">
        <v>0</v>
      </c>
      <c r="F370" s="17" t="n">
        <v>1</v>
      </c>
      <c r="G370" s="17" t="n">
        <v>0</v>
      </c>
      <c r="H370" s="17" t="n">
        <v>0</v>
      </c>
      <c r="I370" s="17" t="n">
        <v>1</v>
      </c>
      <c r="J370" s="17" t="n">
        <v>0</v>
      </c>
      <c r="K370" s="17" t="n">
        <v>2</v>
      </c>
      <c r="L370" s="17" t="n">
        <v>0</v>
      </c>
      <c r="M370" s="17" t="n">
        <v>1</v>
      </c>
      <c r="N370" s="17" t="n">
        <v>0</v>
      </c>
      <c r="O370" s="17" t="n">
        <v>0</v>
      </c>
      <c r="P370" s="17" t="n">
        <v>0</v>
      </c>
      <c r="Q370" s="17" t="n">
        <v>1</v>
      </c>
      <c r="R370" s="17" t="n">
        <v>0</v>
      </c>
      <c r="T370" s="17">
        <f>DAY(C370)</f>
        <v/>
      </c>
      <c r="U370" s="17">
        <f>MONTH(C370)</f>
        <v/>
      </c>
      <c r="V370" s="17" t="n">
        <v>2025</v>
      </c>
    </row>
    <row r="371" hidden="1" ht="22.5" customHeight="1" s="117">
      <c r="A371" s="14" t="n">
        <v>45994.30258304398</v>
      </c>
      <c r="B371" s="17" t="inlineStr">
        <is>
          <t>Huỳnh Văn Lực</t>
        </is>
      </c>
      <c r="C371" s="16" t="n">
        <v>45993</v>
      </c>
      <c r="D371" s="17" t="n">
        <v>0</v>
      </c>
      <c r="E371" s="17" t="n">
        <v>0</v>
      </c>
      <c r="F371" s="17" t="n">
        <v>1</v>
      </c>
      <c r="G371" s="17" t="n">
        <v>0</v>
      </c>
      <c r="H371" s="17" t="n">
        <v>0</v>
      </c>
      <c r="I371" s="17" t="n">
        <v>1</v>
      </c>
      <c r="J371" s="17" t="n">
        <v>0</v>
      </c>
      <c r="K371" s="17" t="n">
        <v>2</v>
      </c>
      <c r="L371" s="17" t="n">
        <v>0</v>
      </c>
      <c r="M371" s="17" t="n">
        <v>1</v>
      </c>
      <c r="N371" s="17" t="n">
        <v>0</v>
      </c>
      <c r="O371" s="17" t="n">
        <v>0</v>
      </c>
      <c r="P371" s="17" t="n">
        <v>0</v>
      </c>
      <c r="Q371" s="17" t="n">
        <v>1</v>
      </c>
      <c r="R371" s="17" t="n">
        <v>0</v>
      </c>
      <c r="T371" s="17">
        <f>DAY(C371)</f>
        <v/>
      </c>
      <c r="U371" s="17">
        <f>MONTH(C371)</f>
        <v/>
      </c>
      <c r="V371" s="17" t="n">
        <v>2025</v>
      </c>
    </row>
    <row r="372" hidden="1" ht="22.5" customHeight="1" s="117">
      <c r="A372" s="14" t="n">
        <v>45994.30484219908</v>
      </c>
      <c r="B372" s="17" t="inlineStr">
        <is>
          <t>Đặng Hoài Anh</t>
        </is>
      </c>
      <c r="C372" s="16" t="n">
        <v>45993</v>
      </c>
      <c r="D372" s="17" t="n">
        <v>0</v>
      </c>
      <c r="E372" s="17" t="n">
        <v>0</v>
      </c>
      <c r="F372" s="17" t="n">
        <v>0</v>
      </c>
      <c r="G372" s="17" t="n">
        <v>0</v>
      </c>
      <c r="H372" s="17" t="n">
        <v>0</v>
      </c>
      <c r="I372" s="17" t="n">
        <v>0</v>
      </c>
      <c r="J372" s="17" t="n">
        <v>0</v>
      </c>
      <c r="K372" s="17" t="n">
        <v>4</v>
      </c>
      <c r="L372" s="17" t="n">
        <v>0</v>
      </c>
      <c r="M372" s="17" t="n">
        <v>0</v>
      </c>
      <c r="N372" s="17" t="n">
        <v>0</v>
      </c>
      <c r="O372" s="17" t="n">
        <v>0</v>
      </c>
      <c r="P372" s="17" t="n">
        <v>0</v>
      </c>
      <c r="Q372" s="17" t="n">
        <v>1</v>
      </c>
      <c r="R372" s="17" t="n">
        <v>0</v>
      </c>
      <c r="T372" s="17">
        <f>DAY(C372)</f>
        <v/>
      </c>
      <c r="U372" s="17">
        <f>MONTH(C372)</f>
        <v/>
      </c>
      <c r="V372" s="17" t="n">
        <v>2025</v>
      </c>
    </row>
    <row r="373" hidden="1" ht="22.5" customHeight="1" s="117">
      <c r="A373" s="14" t="n">
        <v>45994.30638762732</v>
      </c>
      <c r="B373" s="17" t="inlineStr">
        <is>
          <t>Phan Ngọc Sang</t>
        </is>
      </c>
      <c r="C373" s="16" t="n">
        <v>45992</v>
      </c>
      <c r="D373" s="17" t="n">
        <v>0</v>
      </c>
      <c r="E373" s="17" t="n">
        <v>0</v>
      </c>
      <c r="F373" s="17" t="n">
        <v>0</v>
      </c>
      <c r="G373" s="17" t="n">
        <v>0</v>
      </c>
      <c r="H373" s="17" t="n">
        <v>0</v>
      </c>
      <c r="I373" s="17" t="n">
        <v>1</v>
      </c>
      <c r="J373" s="17" t="n">
        <v>0</v>
      </c>
      <c r="K373" s="17" t="n">
        <v>0</v>
      </c>
      <c r="L373" s="17" t="n">
        <v>5</v>
      </c>
      <c r="M373" s="17" t="n">
        <v>1</v>
      </c>
      <c r="N373" s="17" t="n">
        <v>0</v>
      </c>
      <c r="O373" s="17" t="n">
        <v>0</v>
      </c>
      <c r="P373" s="17" t="n">
        <v>1</v>
      </c>
      <c r="Q373" s="17" t="n">
        <v>2</v>
      </c>
      <c r="R373" s="17" t="n">
        <v>0</v>
      </c>
      <c r="T373" s="17">
        <f>DAY(C373)</f>
        <v/>
      </c>
      <c r="U373" s="17">
        <f>MONTH(C373)</f>
        <v/>
      </c>
      <c r="V373" s="17" t="n">
        <v>2025</v>
      </c>
    </row>
    <row r="374" hidden="1" ht="22.5" customHeight="1" s="117">
      <c r="A374" s="14" t="n">
        <v>45994.3084911574</v>
      </c>
      <c r="B374" s="17" t="inlineStr">
        <is>
          <t>Dương Minh Tiến</t>
        </is>
      </c>
      <c r="C374" s="16" t="n">
        <v>45993</v>
      </c>
      <c r="D374" s="17" t="n">
        <v>0</v>
      </c>
      <c r="E374" s="17" t="n">
        <v>0</v>
      </c>
      <c r="F374" s="17" t="n">
        <v>0</v>
      </c>
      <c r="G374" s="17" t="n">
        <v>0</v>
      </c>
      <c r="H374" s="17" t="n">
        <v>0</v>
      </c>
      <c r="I374" s="17" t="n">
        <v>0</v>
      </c>
      <c r="J374" s="17" t="n">
        <v>0</v>
      </c>
      <c r="K374" s="17" t="n">
        <v>2</v>
      </c>
      <c r="L374" s="17" t="n">
        <v>5</v>
      </c>
      <c r="M374" s="17" t="n">
        <v>0</v>
      </c>
      <c r="N374" s="17" t="n">
        <v>0</v>
      </c>
      <c r="O374" s="17" t="n">
        <v>0</v>
      </c>
      <c r="P374" s="17" t="n">
        <v>1</v>
      </c>
      <c r="Q374" s="17" t="n">
        <v>1</v>
      </c>
      <c r="R374" s="17" t="n">
        <v>0</v>
      </c>
      <c r="T374" s="17">
        <f>DAY(C374)</f>
        <v/>
      </c>
      <c r="U374" s="17">
        <f>MONTH(C374)</f>
        <v/>
      </c>
      <c r="V374" s="17" t="n">
        <v>2025</v>
      </c>
    </row>
    <row r="375" hidden="1" ht="22.5" customHeight="1" s="117">
      <c r="A375" s="14" t="n">
        <v>45994.31409765047</v>
      </c>
      <c r="B375" s="17" t="inlineStr">
        <is>
          <t>Trần Xuân Khoa</t>
        </is>
      </c>
      <c r="C375" s="16" t="n">
        <v>45993</v>
      </c>
      <c r="D375" s="17" t="n">
        <v>0</v>
      </c>
      <c r="E375" s="17" t="n">
        <v>0</v>
      </c>
      <c r="F375" s="17" t="n">
        <v>0</v>
      </c>
      <c r="G375" s="17" t="n">
        <v>0</v>
      </c>
      <c r="H375" s="17" t="n">
        <v>0</v>
      </c>
      <c r="I375" s="17" t="n">
        <v>0</v>
      </c>
      <c r="J375" s="17" t="n">
        <v>0</v>
      </c>
      <c r="K375" s="17" t="n">
        <v>0</v>
      </c>
      <c r="L375" s="17" t="n">
        <v>2</v>
      </c>
      <c r="M375" s="17" t="n">
        <v>0</v>
      </c>
      <c r="N375" s="17" t="n">
        <v>0</v>
      </c>
      <c r="O375" s="17" t="n">
        <v>0</v>
      </c>
      <c r="P375" s="17" t="n">
        <v>1</v>
      </c>
      <c r="Q375" s="17" t="n">
        <v>4</v>
      </c>
      <c r="R375" s="17" t="n">
        <v>0</v>
      </c>
      <c r="T375" s="17">
        <f>DAY(C375)</f>
        <v/>
      </c>
      <c r="U375" s="17">
        <f>MONTH(C375)</f>
        <v/>
      </c>
      <c r="V375" s="17" t="n">
        <v>2025</v>
      </c>
    </row>
    <row r="376" hidden="1" ht="22.5" customHeight="1" s="117">
      <c r="A376" s="14" t="n">
        <v>45994.33398681713</v>
      </c>
      <c r="B376" s="17" t="inlineStr">
        <is>
          <t>Lê Văn Hồng</t>
        </is>
      </c>
      <c r="C376" s="16" t="n">
        <v>45993</v>
      </c>
      <c r="D376" s="17" t="n">
        <v>1</v>
      </c>
      <c r="E376" s="17" t="n">
        <v>0</v>
      </c>
      <c r="F376" s="17" t="n">
        <v>0</v>
      </c>
      <c r="G376" s="17" t="n">
        <v>0</v>
      </c>
      <c r="H376" s="17" t="n">
        <v>0</v>
      </c>
      <c r="I376" s="17" t="n">
        <v>0</v>
      </c>
      <c r="J376" s="17" t="n">
        <v>0</v>
      </c>
      <c r="K376" s="17" t="n">
        <v>14</v>
      </c>
      <c r="L376" s="17" t="n">
        <v>3</v>
      </c>
      <c r="M376" s="17" t="n">
        <v>1</v>
      </c>
      <c r="N376" s="17" t="n">
        <v>0</v>
      </c>
      <c r="O376" s="17" t="n">
        <v>0</v>
      </c>
      <c r="P376" s="17" t="n">
        <v>2</v>
      </c>
      <c r="Q376" s="17" t="n">
        <v>3</v>
      </c>
      <c r="R376" s="17" t="n">
        <v>0</v>
      </c>
      <c r="T376" s="17">
        <f>DAY(C376)</f>
        <v/>
      </c>
      <c r="U376" s="17">
        <f>MONTH(C376)</f>
        <v/>
      </c>
      <c r="V376" s="17" t="n">
        <v>2025</v>
      </c>
    </row>
    <row r="377" hidden="1" ht="22.5" customHeight="1" s="117">
      <c r="A377" s="14" t="n">
        <v>45994.35654881944</v>
      </c>
      <c r="B377" s="17" t="inlineStr">
        <is>
          <t>Bùi Duy Cường</t>
        </is>
      </c>
      <c r="C377" s="16" t="n">
        <v>45993</v>
      </c>
      <c r="D377" s="17" t="n">
        <v>0</v>
      </c>
      <c r="E377" s="17" t="n">
        <v>0</v>
      </c>
      <c r="F377" s="17" t="n">
        <v>0</v>
      </c>
      <c r="G377" s="17" t="n">
        <v>1</v>
      </c>
      <c r="H377" s="17" t="n">
        <v>1</v>
      </c>
      <c r="I377" s="17" t="n">
        <v>1</v>
      </c>
      <c r="J377" s="17" t="n">
        <v>1</v>
      </c>
      <c r="K377" s="17" t="n">
        <v>10</v>
      </c>
      <c r="L377" s="17" t="n">
        <v>2</v>
      </c>
      <c r="M377" s="17" t="n">
        <v>0</v>
      </c>
      <c r="N377" s="17" t="n">
        <v>0</v>
      </c>
      <c r="O377" s="17" t="n">
        <v>0</v>
      </c>
      <c r="P377" s="17" t="n">
        <v>0</v>
      </c>
      <c r="Q377" s="17" t="n">
        <v>2</v>
      </c>
      <c r="R377" s="17" t="n">
        <v>0</v>
      </c>
      <c r="T377" s="17">
        <f>DAY(C377)</f>
        <v/>
      </c>
      <c r="U377" s="17">
        <f>MONTH(C377)</f>
        <v/>
      </c>
      <c r="V377" s="17" t="n">
        <v>2025</v>
      </c>
    </row>
    <row r="378" hidden="1" ht="22.5" customHeight="1" s="117">
      <c r="A378" s="14" t="n">
        <v>45994.36596446759</v>
      </c>
      <c r="B378" s="17" t="inlineStr">
        <is>
          <t>Nguyễn Hồng Minh</t>
        </is>
      </c>
      <c r="C378" s="16" t="n">
        <v>45993</v>
      </c>
      <c r="D378" s="17" t="n">
        <v>0</v>
      </c>
      <c r="E378" s="17" t="n">
        <v>0</v>
      </c>
      <c r="F378" s="17" t="n">
        <v>0</v>
      </c>
      <c r="G378" s="17" t="n">
        <v>0</v>
      </c>
      <c r="H378" s="17" t="n">
        <v>0</v>
      </c>
      <c r="I378" s="17" t="n">
        <v>1</v>
      </c>
      <c r="J378" s="17" t="n">
        <v>0</v>
      </c>
      <c r="K378" s="17" t="n">
        <v>5</v>
      </c>
      <c r="L378" s="17" t="n">
        <v>0</v>
      </c>
      <c r="M378" s="17" t="n">
        <v>0</v>
      </c>
      <c r="N378" s="17" t="n">
        <v>0</v>
      </c>
      <c r="O378" s="17" t="n">
        <v>0</v>
      </c>
      <c r="P378" s="17" t="n">
        <v>0</v>
      </c>
      <c r="Q378" s="17" t="n">
        <v>4</v>
      </c>
      <c r="R378" s="17" t="n">
        <v>0</v>
      </c>
      <c r="T378" s="17">
        <f>DAY(C378)</f>
        <v/>
      </c>
      <c r="U378" s="17">
        <f>MONTH(C378)</f>
        <v/>
      </c>
      <c r="V378" s="17" t="n">
        <v>2025</v>
      </c>
    </row>
    <row r="379" hidden="1" ht="22.5" customHeight="1" s="117">
      <c r="A379" s="14" t="n">
        <v>45994.49708393519</v>
      </c>
      <c r="B379" s="17" t="inlineStr">
        <is>
          <t>Lương Duy Hoàng</t>
        </is>
      </c>
      <c r="C379" s="16" t="n">
        <v>45993</v>
      </c>
      <c r="D379" s="17" t="n">
        <v>1</v>
      </c>
      <c r="E379" s="17" t="n">
        <v>1</v>
      </c>
      <c r="F379" s="17" t="n">
        <v>0</v>
      </c>
      <c r="G379" s="17" t="n">
        <v>0</v>
      </c>
      <c r="H379" s="17" t="n">
        <v>0</v>
      </c>
      <c r="I379" s="17" t="n">
        <v>1</v>
      </c>
      <c r="J379" s="17" t="n">
        <v>0</v>
      </c>
      <c r="K379" s="17" t="n">
        <v>3</v>
      </c>
      <c r="L379" s="17" t="n">
        <v>0</v>
      </c>
      <c r="M379" s="17" t="n">
        <v>1</v>
      </c>
      <c r="N379" s="17" t="n">
        <v>0</v>
      </c>
      <c r="O379" s="17" t="n">
        <v>0</v>
      </c>
      <c r="P379" s="17" t="n">
        <v>0</v>
      </c>
      <c r="Q379" s="17" t="n">
        <v>1</v>
      </c>
      <c r="R379" s="17" t="n">
        <v>0</v>
      </c>
      <c r="T379" s="17">
        <f>DAY(C379)</f>
        <v/>
      </c>
      <c r="U379" s="17">
        <f>MONTH(C379)</f>
        <v/>
      </c>
      <c r="V379" s="17" t="n">
        <v>2025</v>
      </c>
    </row>
    <row r="380" hidden="1" ht="22.5" customHeight="1" s="117">
      <c r="A380" s="14" t="n">
        <v>45994.49945216435</v>
      </c>
      <c r="B380" s="17" t="inlineStr">
        <is>
          <t>Lương Duy Hải</t>
        </is>
      </c>
      <c r="C380" s="16" t="n">
        <v>45993</v>
      </c>
      <c r="D380" s="17" t="n">
        <v>0</v>
      </c>
      <c r="E380" s="17" t="n">
        <v>0</v>
      </c>
      <c r="F380" s="17" t="n">
        <v>0</v>
      </c>
      <c r="G380" s="17" t="n">
        <v>0</v>
      </c>
      <c r="H380" s="17" t="n">
        <v>0</v>
      </c>
      <c r="I380" s="17" t="n">
        <v>0</v>
      </c>
      <c r="J380" s="17" t="n">
        <v>0</v>
      </c>
      <c r="K380" s="17" t="n">
        <v>3</v>
      </c>
      <c r="L380" s="17" t="n">
        <v>0</v>
      </c>
      <c r="M380" s="17" t="n">
        <v>1</v>
      </c>
      <c r="N380" s="17" t="n">
        <v>1</v>
      </c>
      <c r="O380" s="17" t="n">
        <v>0</v>
      </c>
      <c r="P380" s="17" t="n">
        <v>2</v>
      </c>
      <c r="Q380" s="17" t="n">
        <v>3</v>
      </c>
      <c r="R380" s="17" t="n">
        <v>0</v>
      </c>
      <c r="T380" s="17">
        <f>DAY(C380)</f>
        <v/>
      </c>
      <c r="U380" s="17">
        <f>MONTH(C380)</f>
        <v/>
      </c>
      <c r="V380" s="17" t="n">
        <v>2025</v>
      </c>
    </row>
    <row r="381" hidden="1" ht="22.5" customHeight="1" s="117">
      <c r="A381" s="14" t="n">
        <v>45994.63578364583</v>
      </c>
      <c r="B381" s="17" t="inlineStr">
        <is>
          <t>Nguyễn Văn Nhật</t>
        </is>
      </c>
      <c r="C381" s="16" t="n">
        <v>45993</v>
      </c>
      <c r="D381" s="17" t="n">
        <v>0</v>
      </c>
      <c r="E381" s="17" t="n">
        <v>0</v>
      </c>
      <c r="F381" s="17" t="n">
        <v>0</v>
      </c>
      <c r="G381" s="17" t="n">
        <v>1</v>
      </c>
      <c r="H381" s="17" t="n">
        <v>1</v>
      </c>
      <c r="I381" s="17" t="n">
        <v>0</v>
      </c>
      <c r="J381" s="17" t="n">
        <v>0</v>
      </c>
      <c r="K381" s="17" t="n">
        <v>1</v>
      </c>
      <c r="L381" s="17" t="n">
        <v>0</v>
      </c>
      <c r="M381" s="17" t="n">
        <v>1</v>
      </c>
      <c r="N381" s="17" t="n">
        <v>2</v>
      </c>
      <c r="O381" s="17" t="n">
        <v>0</v>
      </c>
      <c r="P381" s="17" t="n">
        <v>1</v>
      </c>
      <c r="Q381" s="17" t="n">
        <v>3</v>
      </c>
      <c r="R381" s="17" t="n">
        <v>0</v>
      </c>
      <c r="T381" s="17">
        <f>DAY(C381)</f>
        <v/>
      </c>
      <c r="U381" s="17">
        <f>MONTH(C381)</f>
        <v/>
      </c>
      <c r="V381" s="17" t="n">
        <v>2025</v>
      </c>
    </row>
    <row r="382" hidden="1" ht="22.5" customHeight="1" s="117">
      <c r="A382" s="14" t="n">
        <v>45994.83290018518</v>
      </c>
      <c r="B382" s="17" t="inlineStr">
        <is>
          <t>Đặng Hữu Danh</t>
        </is>
      </c>
      <c r="C382" s="16" t="n">
        <v>45994</v>
      </c>
      <c r="D382" s="17" t="n">
        <v>0</v>
      </c>
      <c r="E382" s="17" t="n">
        <v>0</v>
      </c>
      <c r="F382" s="17" t="n">
        <v>0</v>
      </c>
      <c r="G382" s="17" t="n">
        <v>0</v>
      </c>
      <c r="H382" s="17" t="n">
        <v>0</v>
      </c>
      <c r="I382" s="17" t="n">
        <v>0</v>
      </c>
      <c r="J382" s="17" t="n">
        <v>0</v>
      </c>
      <c r="K382" s="17" t="n">
        <v>2</v>
      </c>
      <c r="L382" s="17" t="n">
        <v>2</v>
      </c>
      <c r="M382" s="17" t="n">
        <v>0</v>
      </c>
      <c r="N382" s="17" t="n">
        <v>0</v>
      </c>
      <c r="O382" s="17" t="n">
        <v>0</v>
      </c>
      <c r="P382" s="17" t="n">
        <v>1</v>
      </c>
      <c r="Q382" s="17" t="n">
        <v>2</v>
      </c>
      <c r="R382" s="17" t="n">
        <v>0</v>
      </c>
      <c r="T382" s="17">
        <f>DAY(C382)</f>
        <v/>
      </c>
      <c r="U382" s="17">
        <f>MONTH(C382)</f>
        <v/>
      </c>
      <c r="V382" s="17" t="n">
        <v>2025</v>
      </c>
    </row>
    <row r="383" hidden="1" ht="22.5" customHeight="1" s="117">
      <c r="A383" s="14" t="n">
        <v>45994.849033125</v>
      </c>
      <c r="B383" s="17" t="inlineStr">
        <is>
          <t>Nguyễn Văn Nhật</t>
        </is>
      </c>
      <c r="C383" s="16" t="n">
        <v>45994</v>
      </c>
      <c r="D383" s="17" t="n">
        <v>0</v>
      </c>
      <c r="E383" s="17" t="n">
        <v>0</v>
      </c>
      <c r="F383" s="17" t="n">
        <v>0</v>
      </c>
      <c r="G383" s="17" t="n">
        <v>0</v>
      </c>
      <c r="H383" s="17" t="n">
        <v>0</v>
      </c>
      <c r="I383" s="17" t="n">
        <v>0</v>
      </c>
      <c r="J383" s="17" t="n">
        <v>0</v>
      </c>
      <c r="K383" s="17" t="n">
        <v>2</v>
      </c>
      <c r="L383" s="17" t="n">
        <v>1</v>
      </c>
      <c r="M383" s="17" t="n">
        <v>1</v>
      </c>
      <c r="N383" s="17" t="n">
        <v>1</v>
      </c>
      <c r="O383" s="17" t="n">
        <v>0</v>
      </c>
      <c r="P383" s="17" t="n">
        <v>1</v>
      </c>
      <c r="Q383" s="17" t="n">
        <v>5</v>
      </c>
      <c r="R383" s="17" t="n">
        <v>0</v>
      </c>
      <c r="T383" s="17">
        <f>DAY(C383)</f>
        <v/>
      </c>
      <c r="U383" s="17">
        <f>MONTH(C383)</f>
        <v/>
      </c>
      <c r="V383" s="17" t="n">
        <v>2025</v>
      </c>
    </row>
    <row r="384" hidden="1" ht="22.5" customHeight="1" s="117">
      <c r="A384" s="14" t="n">
        <v>45995.28066877315</v>
      </c>
      <c r="B384" s="17" t="inlineStr">
        <is>
          <t>Lương Duy Hải</t>
        </is>
      </c>
      <c r="C384" s="16" t="n">
        <v>45994</v>
      </c>
      <c r="D384" s="17" t="n">
        <v>0</v>
      </c>
      <c r="E384" s="17" t="n">
        <v>0</v>
      </c>
      <c r="F384" s="17" t="n">
        <v>0</v>
      </c>
      <c r="G384" s="17" t="n">
        <v>1</v>
      </c>
      <c r="H384" s="17" t="n">
        <v>0</v>
      </c>
      <c r="I384" s="17" t="n">
        <v>0</v>
      </c>
      <c r="J384" s="17" t="n">
        <v>0</v>
      </c>
      <c r="K384" s="17" t="n">
        <v>5</v>
      </c>
      <c r="L384" s="17" t="n">
        <v>7</v>
      </c>
      <c r="M384" s="17" t="n">
        <v>1</v>
      </c>
      <c r="N384" s="17" t="n">
        <v>1</v>
      </c>
      <c r="O384" s="17" t="n">
        <v>0</v>
      </c>
      <c r="P384" s="17" t="n">
        <v>1</v>
      </c>
      <c r="Q384" s="17" t="n">
        <v>2</v>
      </c>
      <c r="R384" s="17" t="n">
        <v>0</v>
      </c>
      <c r="T384" s="17">
        <f>DAY(C384)</f>
        <v/>
      </c>
      <c r="U384" s="17">
        <f>MONTH(C384)</f>
        <v/>
      </c>
      <c r="V384" s="17" t="n">
        <v>2025</v>
      </c>
    </row>
    <row r="385" hidden="1" ht="22.5" customHeight="1" s="117">
      <c r="A385" s="14" t="n">
        <v>45995.28555112269</v>
      </c>
      <c r="B385" s="17" t="inlineStr">
        <is>
          <t>Huỳnh Văn Lực</t>
        </is>
      </c>
      <c r="C385" s="16" t="n">
        <v>45994</v>
      </c>
      <c r="D385" s="17" t="n">
        <v>0</v>
      </c>
      <c r="E385" s="17" t="n">
        <v>0</v>
      </c>
      <c r="F385" s="17" t="n">
        <v>0</v>
      </c>
      <c r="G385" s="17" t="n">
        <v>0</v>
      </c>
      <c r="H385" s="17" t="n">
        <v>0</v>
      </c>
      <c r="I385" s="17" t="n">
        <v>2</v>
      </c>
      <c r="J385" s="17" t="n">
        <v>0</v>
      </c>
      <c r="K385" s="17" t="n">
        <v>2</v>
      </c>
      <c r="L385" s="17" t="n">
        <v>0</v>
      </c>
      <c r="M385" s="17" t="n">
        <v>0</v>
      </c>
      <c r="N385" s="17" t="n">
        <v>2</v>
      </c>
      <c r="O385" s="17" t="n">
        <v>0</v>
      </c>
      <c r="P385" s="17" t="n">
        <v>0</v>
      </c>
      <c r="Q385" s="17" t="n">
        <v>3</v>
      </c>
      <c r="R385" s="17" t="n">
        <v>0</v>
      </c>
      <c r="T385" s="17">
        <f>DAY(C385)</f>
        <v/>
      </c>
      <c r="U385" s="17">
        <f>MONTH(C385)</f>
        <v/>
      </c>
      <c r="V385" s="17" t="n">
        <v>2025</v>
      </c>
    </row>
    <row r="386" hidden="1" ht="22.5" customHeight="1" s="117">
      <c r="A386" s="14" t="n">
        <v>45995.29180944445</v>
      </c>
      <c r="B386" s="17" t="inlineStr">
        <is>
          <t>Vòng Nhật Sang</t>
        </is>
      </c>
      <c r="C386" s="16" t="n">
        <v>45994</v>
      </c>
      <c r="D386" s="17" t="n">
        <v>0</v>
      </c>
      <c r="E386" s="17" t="n">
        <v>0</v>
      </c>
      <c r="F386" s="17" t="n">
        <v>0</v>
      </c>
      <c r="G386" s="17" t="n">
        <v>0</v>
      </c>
      <c r="H386" s="17" t="n">
        <v>0</v>
      </c>
      <c r="I386" s="17" t="n">
        <v>0</v>
      </c>
      <c r="J386" s="17" t="n">
        <v>0</v>
      </c>
      <c r="K386" s="17" t="n">
        <v>3</v>
      </c>
      <c r="L386" s="17" t="n">
        <v>2</v>
      </c>
      <c r="M386" s="17" t="n">
        <v>0</v>
      </c>
      <c r="N386" s="17" t="n">
        <v>0</v>
      </c>
      <c r="O386" s="17" t="n">
        <v>0</v>
      </c>
      <c r="P386" s="17" t="n">
        <v>1</v>
      </c>
      <c r="Q386" s="17" t="n">
        <v>2</v>
      </c>
      <c r="R386" s="17" t="n">
        <v>0</v>
      </c>
      <c r="T386" s="17">
        <f>DAY(C386)</f>
        <v/>
      </c>
      <c r="U386" s="17">
        <f>MONTH(C386)</f>
        <v/>
      </c>
      <c r="V386" s="17" t="n">
        <v>2025</v>
      </c>
    </row>
    <row r="387" hidden="1" ht="22.5" customHeight="1" s="117">
      <c r="A387" s="14" t="n">
        <v>45995.30526255787</v>
      </c>
      <c r="B387" s="17" t="inlineStr">
        <is>
          <t>Hồ Xuân Việt</t>
        </is>
      </c>
      <c r="C387" s="16" t="n">
        <v>45994</v>
      </c>
      <c r="D387" s="17" t="n">
        <v>0</v>
      </c>
      <c r="E387" s="17" t="n">
        <v>0</v>
      </c>
      <c r="F387" s="17" t="n">
        <v>0</v>
      </c>
      <c r="G387" s="17" t="n">
        <v>0</v>
      </c>
      <c r="H387" s="17" t="n">
        <v>0</v>
      </c>
      <c r="I387" s="17" t="n">
        <v>0</v>
      </c>
      <c r="J387" s="17" t="n">
        <v>0</v>
      </c>
      <c r="K387" s="17" t="n">
        <v>0</v>
      </c>
      <c r="L387" s="17" t="n">
        <v>1</v>
      </c>
      <c r="M387" s="17" t="n">
        <v>0</v>
      </c>
      <c r="N387" s="17" t="n">
        <v>0</v>
      </c>
      <c r="O387" s="17" t="n">
        <v>0</v>
      </c>
      <c r="P387" s="17" t="n">
        <v>0</v>
      </c>
      <c r="Q387" s="17" t="n">
        <v>3</v>
      </c>
      <c r="R387" s="17" t="n">
        <v>0</v>
      </c>
      <c r="T387" s="17">
        <f>DAY(C387)</f>
        <v/>
      </c>
      <c r="U387" s="17">
        <f>MONTH(C387)</f>
        <v/>
      </c>
      <c r="V387" s="17" t="n">
        <v>2025</v>
      </c>
    </row>
    <row r="388" hidden="1" ht="22.5" customHeight="1" s="117">
      <c r="A388" s="14" t="n">
        <v>45995.30690771991</v>
      </c>
      <c r="B388" s="17" t="inlineStr">
        <is>
          <t>Trần Xuân Khoa</t>
        </is>
      </c>
      <c r="C388" s="16" t="n">
        <v>45994</v>
      </c>
      <c r="D388" s="17" t="n">
        <v>0</v>
      </c>
      <c r="E388" s="17" t="n">
        <v>0</v>
      </c>
      <c r="F388" s="17" t="n">
        <v>0</v>
      </c>
      <c r="G388" s="17" t="n">
        <v>0</v>
      </c>
      <c r="H388" s="17" t="n">
        <v>0</v>
      </c>
      <c r="I388" s="17" t="n">
        <v>1</v>
      </c>
      <c r="J388" s="17" t="n">
        <v>0</v>
      </c>
      <c r="K388" s="17" t="n">
        <v>5</v>
      </c>
      <c r="L388" s="17" t="n">
        <v>1</v>
      </c>
      <c r="M388" s="17" t="n">
        <v>0</v>
      </c>
      <c r="N388" s="17" t="n">
        <v>0</v>
      </c>
      <c r="O388" s="17" t="n">
        <v>0</v>
      </c>
      <c r="P388" s="17" t="n">
        <v>0</v>
      </c>
      <c r="Q388" s="17" t="n">
        <v>3</v>
      </c>
      <c r="R388" s="17" t="n">
        <v>0</v>
      </c>
      <c r="T388" s="17">
        <f>DAY(C388)</f>
        <v/>
      </c>
      <c r="U388" s="17">
        <f>MONTH(C388)</f>
        <v/>
      </c>
      <c r="V388" s="17" t="n">
        <v>2025</v>
      </c>
    </row>
    <row r="389" hidden="1" ht="22.5" customHeight="1" s="117">
      <c r="A389" s="14" t="n">
        <v>45995.31046373842</v>
      </c>
      <c r="B389" s="17" t="inlineStr">
        <is>
          <t>Đặng Hoài Anh</t>
        </is>
      </c>
      <c r="C389" s="16" t="n">
        <v>45994</v>
      </c>
      <c r="D389" s="17" t="n">
        <v>0</v>
      </c>
      <c r="E389" s="17" t="n">
        <v>0</v>
      </c>
      <c r="F389" s="17" t="n">
        <v>0</v>
      </c>
      <c r="G389" s="17" t="n">
        <v>0</v>
      </c>
      <c r="H389" s="17" t="n">
        <v>0</v>
      </c>
      <c r="I389" s="17" t="n">
        <v>0</v>
      </c>
      <c r="J389" s="17" t="n">
        <v>0</v>
      </c>
      <c r="K389" s="17" t="n">
        <v>0</v>
      </c>
      <c r="L389" s="17" t="n">
        <v>0</v>
      </c>
      <c r="M389" s="17" t="n">
        <v>0</v>
      </c>
      <c r="N389" s="17" t="n">
        <v>0</v>
      </c>
      <c r="O389" s="17" t="n">
        <v>0</v>
      </c>
      <c r="P389" s="17" t="n">
        <v>0</v>
      </c>
      <c r="Q389" s="17" t="n">
        <v>0</v>
      </c>
      <c r="R389" s="17" t="n">
        <v>0</v>
      </c>
      <c r="T389" s="17">
        <f>DAY(C389)</f>
        <v/>
      </c>
      <c r="U389" s="17">
        <f>MONTH(C389)</f>
        <v/>
      </c>
      <c r="V389" s="17" t="n">
        <v>2025</v>
      </c>
    </row>
    <row r="390" hidden="1" ht="22.5" customHeight="1" s="117">
      <c r="A390" s="14" t="n">
        <v>45995.31061915509</v>
      </c>
      <c r="B390" s="17" t="inlineStr">
        <is>
          <t>Dương Minh Tiến</t>
        </is>
      </c>
      <c r="C390" s="16" t="n">
        <v>45994</v>
      </c>
      <c r="D390" s="17" t="n">
        <v>0</v>
      </c>
      <c r="E390" s="17" t="n">
        <v>0</v>
      </c>
      <c r="F390" s="17" t="n">
        <v>0</v>
      </c>
      <c r="G390" s="17" t="n">
        <v>0</v>
      </c>
      <c r="H390" s="17" t="n">
        <v>0</v>
      </c>
      <c r="I390" s="17" t="n">
        <v>0</v>
      </c>
      <c r="J390" s="17" t="n">
        <v>0</v>
      </c>
      <c r="K390" s="17" t="n">
        <v>2</v>
      </c>
      <c r="L390" s="17" t="n">
        <v>3</v>
      </c>
      <c r="M390" s="17" t="n">
        <v>0</v>
      </c>
      <c r="N390" s="17" t="n">
        <v>0</v>
      </c>
      <c r="O390" s="17" t="n">
        <v>0</v>
      </c>
      <c r="P390" s="17" t="n">
        <v>0</v>
      </c>
      <c r="Q390" s="17" t="n">
        <v>0</v>
      </c>
      <c r="R390" s="17" t="n">
        <v>0</v>
      </c>
      <c r="T390" s="17">
        <f>DAY(C390)</f>
        <v/>
      </c>
      <c r="U390" s="17">
        <f>MONTH(C390)</f>
        <v/>
      </c>
      <c r="V390" s="17" t="n">
        <v>2025</v>
      </c>
    </row>
    <row r="391" hidden="1" ht="22.5" customHeight="1" s="117">
      <c r="A391" s="14" t="n">
        <v>45995.31392170139</v>
      </c>
      <c r="B391" s="17" t="inlineStr">
        <is>
          <t>Trần Trung Giang</t>
        </is>
      </c>
      <c r="C391" s="16" t="n">
        <v>45994</v>
      </c>
      <c r="D391" s="17" t="n">
        <v>0</v>
      </c>
      <c r="E391" s="17" t="n">
        <v>0</v>
      </c>
      <c r="F391" s="17" t="n">
        <v>0</v>
      </c>
      <c r="G391" s="17" t="n">
        <v>0</v>
      </c>
      <c r="H391" s="17" t="n">
        <v>0</v>
      </c>
      <c r="I391" s="17" t="n">
        <v>0</v>
      </c>
      <c r="J391" s="17" t="n">
        <v>0</v>
      </c>
      <c r="K391" s="17" t="n">
        <v>0</v>
      </c>
      <c r="L391" s="17" t="n">
        <v>0</v>
      </c>
      <c r="M391" s="17" t="n">
        <v>0</v>
      </c>
      <c r="N391" s="17" t="n">
        <v>0</v>
      </c>
      <c r="O391" s="17" t="n">
        <v>0</v>
      </c>
      <c r="P391" s="17" t="n">
        <v>0</v>
      </c>
      <c r="Q391" s="17" t="n">
        <v>0</v>
      </c>
      <c r="R391" s="17" t="n">
        <v>0</v>
      </c>
      <c r="T391" s="17">
        <f>DAY(C391)</f>
        <v/>
      </c>
      <c r="U391" s="17">
        <f>MONTH(C391)</f>
        <v/>
      </c>
      <c r="V391" s="17" t="n">
        <v>2025</v>
      </c>
    </row>
    <row r="392" hidden="1" ht="22.5" customHeight="1" s="117">
      <c r="A392" s="14" t="n">
        <v>45995.31452265046</v>
      </c>
      <c r="B392" s="17" t="inlineStr">
        <is>
          <t>Nguyễn Tuấn Anh</t>
        </is>
      </c>
      <c r="C392" s="16" t="n">
        <v>45994</v>
      </c>
      <c r="D392" s="17" t="n">
        <v>0</v>
      </c>
      <c r="E392" s="17" t="n">
        <v>0</v>
      </c>
      <c r="F392" s="17" t="n">
        <v>0</v>
      </c>
      <c r="G392" s="17" t="n">
        <v>0</v>
      </c>
      <c r="H392" s="17" t="n">
        <v>0</v>
      </c>
      <c r="I392" s="17" t="n">
        <v>0</v>
      </c>
      <c r="J392" s="17" t="n">
        <v>0</v>
      </c>
      <c r="K392" s="17" t="n">
        <v>3</v>
      </c>
      <c r="L392" s="17" t="n">
        <v>4</v>
      </c>
      <c r="M392" s="17" t="n">
        <v>0</v>
      </c>
      <c r="N392" s="17" t="n">
        <v>0</v>
      </c>
      <c r="O392" s="17" t="n">
        <v>0</v>
      </c>
      <c r="P392" s="17" t="n">
        <v>0</v>
      </c>
      <c r="Q392" s="17" t="n">
        <v>24</v>
      </c>
      <c r="R392" s="17" t="n">
        <v>0</v>
      </c>
      <c r="T392" s="17">
        <f>DAY(C392)</f>
        <v/>
      </c>
      <c r="U392" s="17">
        <f>MONTH(C392)</f>
        <v/>
      </c>
      <c r="V392" s="17" t="n">
        <v>2025</v>
      </c>
    </row>
    <row r="393" hidden="1" ht="22.5" customHeight="1" s="117">
      <c r="A393" s="14" t="n">
        <v>45995.31479886574</v>
      </c>
      <c r="B393" s="17" t="inlineStr">
        <is>
          <t>Đào Công Trung</t>
        </is>
      </c>
      <c r="C393" s="16" t="n">
        <v>45994</v>
      </c>
      <c r="D393" s="17" t="n">
        <v>0</v>
      </c>
      <c r="E393" s="17" t="n">
        <v>0</v>
      </c>
      <c r="F393" s="17" t="n">
        <v>0</v>
      </c>
      <c r="G393" s="17" t="n">
        <v>0</v>
      </c>
      <c r="H393" s="17" t="n">
        <v>0</v>
      </c>
      <c r="I393" s="17" t="n">
        <v>0</v>
      </c>
      <c r="J393" s="17" t="n">
        <v>0</v>
      </c>
      <c r="K393" s="17" t="n">
        <v>7</v>
      </c>
      <c r="L393" s="17" t="n">
        <v>1</v>
      </c>
      <c r="M393" s="17" t="n">
        <v>0</v>
      </c>
      <c r="N393" s="17" t="n">
        <v>0</v>
      </c>
      <c r="O393" s="17" t="n">
        <v>0</v>
      </c>
      <c r="P393" s="17" t="n">
        <v>0</v>
      </c>
      <c r="Q393" s="18" t="inlineStr">
        <is>
          <t>08</t>
        </is>
      </c>
      <c r="R393" s="17" t="n">
        <v>0</v>
      </c>
      <c r="T393" s="17">
        <f>DAY(C393)</f>
        <v/>
      </c>
      <c r="U393" s="17">
        <f>MONTH(C393)</f>
        <v/>
      </c>
      <c r="V393" s="17" t="n">
        <v>2025</v>
      </c>
    </row>
    <row r="394" hidden="1" ht="22.5" customHeight="1" s="117">
      <c r="A394" s="14" t="n">
        <v>45995.32186695602</v>
      </c>
      <c r="B394" s="17" t="inlineStr">
        <is>
          <t>Nguyễn Văn Hiệp</t>
        </is>
      </c>
      <c r="C394" s="16" t="n">
        <v>45994</v>
      </c>
      <c r="D394" s="17" t="n">
        <v>0</v>
      </c>
      <c r="E394" s="17" t="n">
        <v>0</v>
      </c>
      <c r="F394" s="17" t="n">
        <v>0</v>
      </c>
      <c r="G394" s="17" t="n">
        <v>0</v>
      </c>
      <c r="H394" s="17" t="n">
        <v>0</v>
      </c>
      <c r="I394" s="17" t="n">
        <v>0</v>
      </c>
      <c r="J394" s="17" t="n">
        <v>0</v>
      </c>
      <c r="K394" s="17" t="n">
        <v>0</v>
      </c>
      <c r="L394" s="17" t="n">
        <v>0</v>
      </c>
      <c r="M394" s="17" t="n">
        <v>0</v>
      </c>
      <c r="N394" s="17" t="n">
        <v>0</v>
      </c>
      <c r="O394" s="17" t="n">
        <v>0</v>
      </c>
      <c r="P394" s="17" t="n">
        <v>1</v>
      </c>
      <c r="Q394" s="17" t="n">
        <v>2</v>
      </c>
      <c r="R394" s="17" t="n">
        <v>0</v>
      </c>
      <c r="T394" s="17">
        <f>DAY(C394)</f>
        <v/>
      </c>
      <c r="U394" s="17">
        <f>MONTH(C394)</f>
        <v/>
      </c>
      <c r="V394" s="17" t="n">
        <v>2025</v>
      </c>
    </row>
    <row r="395" hidden="1" ht="22.5" customHeight="1" s="117">
      <c r="A395" s="14" t="n">
        <v>45995.32227084491</v>
      </c>
      <c r="B395" s="17" t="inlineStr">
        <is>
          <t>Phan Ngọc Sang</t>
        </is>
      </c>
      <c r="C395" s="16" t="n">
        <v>45994</v>
      </c>
      <c r="D395" s="17" t="n">
        <v>0</v>
      </c>
      <c r="E395" s="17" t="n">
        <v>0</v>
      </c>
      <c r="F395" s="17" t="n">
        <v>0</v>
      </c>
      <c r="G395" s="17" t="n">
        <v>0</v>
      </c>
      <c r="H395" s="17" t="n">
        <v>0</v>
      </c>
      <c r="I395" s="17" t="n">
        <v>1</v>
      </c>
      <c r="J395" s="17" t="n">
        <v>0</v>
      </c>
      <c r="K395" s="17" t="n">
        <v>3</v>
      </c>
      <c r="L395" s="17" t="n">
        <v>2</v>
      </c>
      <c r="M395" s="17" t="n">
        <v>1</v>
      </c>
      <c r="N395" s="17" t="n">
        <v>0</v>
      </c>
      <c r="O395" s="17" t="n">
        <v>0</v>
      </c>
      <c r="P395" s="17" t="n">
        <v>1</v>
      </c>
      <c r="Q395" s="17" t="n">
        <v>2</v>
      </c>
      <c r="R395" s="17" t="n">
        <v>0</v>
      </c>
      <c r="T395" s="17">
        <f>DAY(C395)</f>
        <v/>
      </c>
      <c r="U395" s="17">
        <f>MONTH(C395)</f>
        <v/>
      </c>
      <c r="V395" s="17" t="n">
        <v>2025</v>
      </c>
    </row>
    <row r="396" hidden="1" ht="22.5" customHeight="1" s="117">
      <c r="A396" s="14" t="n">
        <v>45995.32771990741</v>
      </c>
      <c r="B396" s="17" t="inlineStr">
        <is>
          <t>Nguyễn Quang Anh Tuấn</t>
        </is>
      </c>
      <c r="C396" s="16" t="n">
        <v>45994</v>
      </c>
      <c r="D396" s="17" t="n">
        <v>0</v>
      </c>
      <c r="E396" s="17" t="n">
        <v>0</v>
      </c>
      <c r="F396" s="17" t="n">
        <v>1</v>
      </c>
      <c r="G396" s="17" t="n">
        <v>0</v>
      </c>
      <c r="H396" s="17" t="n">
        <v>0</v>
      </c>
      <c r="I396" s="17" t="n">
        <v>0</v>
      </c>
      <c r="J396" s="17" t="n">
        <v>0</v>
      </c>
      <c r="K396" s="17" t="n">
        <v>3</v>
      </c>
      <c r="L396" s="17" t="n">
        <v>4</v>
      </c>
      <c r="M396" s="17" t="n">
        <v>0</v>
      </c>
      <c r="N396" s="17" t="n">
        <v>0</v>
      </c>
      <c r="O396" s="17" t="n">
        <v>0</v>
      </c>
      <c r="P396" s="17" t="n">
        <v>0</v>
      </c>
      <c r="Q396" s="17" t="n">
        <v>2</v>
      </c>
      <c r="R396" s="17" t="n">
        <v>0</v>
      </c>
      <c r="T396" s="17">
        <f>DAY(C396)</f>
        <v/>
      </c>
      <c r="U396" s="17">
        <f>MONTH(C396)</f>
        <v/>
      </c>
      <c r="V396" s="17" t="n">
        <v>2025</v>
      </c>
    </row>
    <row r="397" hidden="1" ht="22.5" customHeight="1" s="117">
      <c r="A397" s="14" t="n">
        <v>45995.34635671297</v>
      </c>
      <c r="B397" s="17" t="inlineStr">
        <is>
          <t>Bùi Duy Cường</t>
        </is>
      </c>
      <c r="C397" s="16" t="n">
        <v>45994</v>
      </c>
      <c r="D397" s="17" t="n">
        <v>0</v>
      </c>
      <c r="E397" s="17" t="n">
        <v>0</v>
      </c>
      <c r="F397" s="17" t="n">
        <v>0</v>
      </c>
      <c r="G397" s="17" t="n">
        <v>2</v>
      </c>
      <c r="H397" s="17" t="n">
        <v>2</v>
      </c>
      <c r="I397" s="17" t="n">
        <v>2</v>
      </c>
      <c r="J397" s="17" t="n">
        <v>1</v>
      </c>
      <c r="K397" s="17" t="n">
        <v>4</v>
      </c>
      <c r="L397" s="17" t="n">
        <v>2</v>
      </c>
      <c r="M397" s="17" t="n">
        <v>0</v>
      </c>
      <c r="N397" s="17" t="n">
        <v>0</v>
      </c>
      <c r="O397" s="17" t="n">
        <v>0</v>
      </c>
      <c r="P397" s="17" t="n">
        <v>0</v>
      </c>
      <c r="Q397" s="17" t="n">
        <v>3</v>
      </c>
      <c r="R397" s="17" t="n">
        <v>0</v>
      </c>
      <c r="T397" s="17">
        <f>DAY(C397)</f>
        <v/>
      </c>
      <c r="U397" s="17">
        <f>MONTH(C397)</f>
        <v/>
      </c>
      <c r="V397" s="17" t="n">
        <v>2025</v>
      </c>
    </row>
    <row r="398" hidden="1" ht="22.5" customHeight="1" s="117">
      <c r="A398" s="14" t="n">
        <v>45995.35258136574</v>
      </c>
      <c r="B398" s="17" t="inlineStr">
        <is>
          <t>Lương Duy Hoàng</t>
        </is>
      </c>
      <c r="C398" s="16" t="n">
        <v>45994</v>
      </c>
      <c r="D398" s="17" t="n">
        <v>0</v>
      </c>
      <c r="E398" s="17" t="n">
        <v>0</v>
      </c>
      <c r="F398" s="17" t="n">
        <v>0</v>
      </c>
      <c r="G398" s="17" t="n">
        <v>0</v>
      </c>
      <c r="H398" s="17" t="n">
        <v>0</v>
      </c>
      <c r="I398" s="17" t="n">
        <v>2</v>
      </c>
      <c r="J398" s="17" t="n">
        <v>0</v>
      </c>
      <c r="K398" s="17" t="n">
        <v>2</v>
      </c>
      <c r="L398" s="17" t="n">
        <v>0</v>
      </c>
      <c r="M398" s="17" t="n">
        <v>0</v>
      </c>
      <c r="N398" s="17" t="n">
        <v>0</v>
      </c>
      <c r="O398" s="17" t="n">
        <v>0</v>
      </c>
      <c r="P398" s="17" t="n">
        <v>1</v>
      </c>
      <c r="Q398" s="17" t="n">
        <v>1</v>
      </c>
      <c r="R398" s="17" t="n">
        <v>0</v>
      </c>
      <c r="T398" s="17">
        <f>DAY(C398)</f>
        <v/>
      </c>
      <c r="U398" s="17">
        <f>MONTH(C398)</f>
        <v/>
      </c>
      <c r="V398" s="17" t="n">
        <v>2025</v>
      </c>
    </row>
    <row r="399" hidden="1" ht="22.5" customHeight="1" s="117">
      <c r="A399" s="14" t="n">
        <v>45995.39698829861</v>
      </c>
      <c r="B399" s="17" t="inlineStr">
        <is>
          <t>Lê Quốc Duy</t>
        </is>
      </c>
      <c r="C399" s="16" t="n">
        <v>45994</v>
      </c>
      <c r="D399" s="17" t="n">
        <v>0</v>
      </c>
      <c r="E399" s="17" t="n">
        <v>0</v>
      </c>
      <c r="F399" s="17" t="n">
        <v>0</v>
      </c>
      <c r="G399" s="17" t="n">
        <v>0</v>
      </c>
      <c r="H399" s="17" t="n">
        <v>0</v>
      </c>
      <c r="I399" s="17" t="n">
        <v>1</v>
      </c>
      <c r="J399" s="17" t="n">
        <v>0</v>
      </c>
      <c r="K399" s="17" t="n">
        <v>0</v>
      </c>
      <c r="L399" s="17" t="n">
        <v>3</v>
      </c>
      <c r="M399" s="17" t="n">
        <v>0</v>
      </c>
      <c r="N399" s="17" t="n">
        <v>0</v>
      </c>
      <c r="O399" s="17" t="n">
        <v>0</v>
      </c>
      <c r="P399" s="17" t="n">
        <v>0</v>
      </c>
      <c r="Q399" s="17" t="n">
        <v>3</v>
      </c>
      <c r="R399" s="17" t="n">
        <v>0</v>
      </c>
      <c r="T399" s="17">
        <f>DAY(C399)</f>
        <v/>
      </c>
      <c r="U399" s="17">
        <f>MONTH(C399)</f>
        <v/>
      </c>
      <c r="V399" s="17" t="n">
        <v>2025</v>
      </c>
    </row>
    <row r="400" hidden="1" ht="22.5" customHeight="1" s="117">
      <c r="A400" s="14" t="n">
        <v>45995.40092851852</v>
      </c>
      <c r="B400" s="17" t="inlineStr">
        <is>
          <t>Nguyễn Hồng Minh</t>
        </is>
      </c>
      <c r="C400" s="16" t="n">
        <v>45994</v>
      </c>
      <c r="D400" s="17" t="n">
        <v>0</v>
      </c>
      <c r="E400" s="17" t="n">
        <v>0</v>
      </c>
      <c r="F400" s="17" t="n">
        <v>0</v>
      </c>
      <c r="G400" s="17" t="n">
        <v>0</v>
      </c>
      <c r="H400" s="17" t="n">
        <v>0</v>
      </c>
      <c r="I400" s="17" t="n">
        <v>0</v>
      </c>
      <c r="J400" s="17" t="n">
        <v>1</v>
      </c>
      <c r="K400" s="17" t="n">
        <v>6</v>
      </c>
      <c r="L400" s="17" t="n">
        <v>0</v>
      </c>
      <c r="M400" s="17" t="n">
        <v>0</v>
      </c>
      <c r="N400" s="17" t="n">
        <v>0</v>
      </c>
      <c r="O400" s="17" t="n">
        <v>0</v>
      </c>
      <c r="P400" s="17" t="n">
        <v>0</v>
      </c>
      <c r="Q400" s="17" t="n">
        <v>5</v>
      </c>
      <c r="R400" s="17" t="n">
        <v>0</v>
      </c>
      <c r="T400" s="17">
        <f>DAY(C400)</f>
        <v/>
      </c>
      <c r="U400" s="17">
        <f>MONTH(C400)</f>
        <v/>
      </c>
      <c r="V400" s="17" t="n">
        <v>2025</v>
      </c>
    </row>
    <row r="401" hidden="1" ht="22.5" customHeight="1" s="117">
      <c r="A401" s="14" t="n">
        <v>45995.62206556713</v>
      </c>
      <c r="B401" s="17" t="inlineStr">
        <is>
          <t>Lê Quốc Duy</t>
        </is>
      </c>
      <c r="C401" s="16" t="n">
        <v>45993</v>
      </c>
      <c r="D401" s="17" t="n">
        <v>0</v>
      </c>
      <c r="E401" s="17" t="n">
        <v>0</v>
      </c>
      <c r="F401" s="17" t="n">
        <v>0</v>
      </c>
      <c r="G401" s="17" t="n">
        <v>0</v>
      </c>
      <c r="H401" s="17" t="n">
        <v>0</v>
      </c>
      <c r="I401" s="17" t="n">
        <v>1</v>
      </c>
      <c r="J401" s="17" t="n">
        <v>0</v>
      </c>
      <c r="K401" s="17" t="n">
        <v>0</v>
      </c>
      <c r="L401" s="17" t="n">
        <v>2</v>
      </c>
      <c r="M401" s="17" t="n">
        <v>1</v>
      </c>
      <c r="N401" s="17" t="n">
        <v>0</v>
      </c>
      <c r="O401" s="17" t="n">
        <v>0</v>
      </c>
      <c r="P401" s="17" t="n">
        <v>0</v>
      </c>
      <c r="Q401" s="17" t="n">
        <v>1</v>
      </c>
      <c r="R401" s="17" t="n">
        <v>0</v>
      </c>
      <c r="T401" s="17">
        <f>DAY(C401)</f>
        <v/>
      </c>
      <c r="U401" s="17">
        <f>MONTH(C401)</f>
        <v/>
      </c>
      <c r="V401" s="17" t="n">
        <v>2025</v>
      </c>
    </row>
    <row r="402" hidden="1" ht="22.5" customHeight="1" s="117">
      <c r="A402" s="14" t="n">
        <v>45995.62730739584</v>
      </c>
      <c r="B402" s="17" t="inlineStr">
        <is>
          <t>Hồ Thái Minh Trí</t>
        </is>
      </c>
      <c r="C402" s="16" t="n">
        <v>45992</v>
      </c>
      <c r="D402" s="17" t="n">
        <v>0</v>
      </c>
      <c r="E402" s="17" t="n">
        <v>0</v>
      </c>
      <c r="F402" s="17" t="n">
        <v>0</v>
      </c>
      <c r="G402" s="17" t="n">
        <v>0</v>
      </c>
      <c r="H402" s="17" t="n">
        <v>0</v>
      </c>
      <c r="I402" s="17" t="n">
        <v>0</v>
      </c>
      <c r="J402" s="17" t="n">
        <v>0</v>
      </c>
      <c r="K402" s="17" t="n">
        <v>2</v>
      </c>
      <c r="L402" s="17" t="n">
        <v>0</v>
      </c>
      <c r="M402" s="17" t="n">
        <v>1</v>
      </c>
      <c r="N402" s="17" t="n">
        <v>0</v>
      </c>
      <c r="O402" s="17" t="n">
        <v>0</v>
      </c>
      <c r="P402" s="17" t="n">
        <v>0</v>
      </c>
      <c r="Q402" s="17" t="n">
        <v>3</v>
      </c>
      <c r="R402" s="17" t="n">
        <v>0</v>
      </c>
      <c r="T402" s="17">
        <f>DAY(C402)</f>
        <v/>
      </c>
      <c r="U402" s="17">
        <f>MONTH(C402)</f>
        <v/>
      </c>
      <c r="V402" s="17" t="n">
        <v>2025</v>
      </c>
    </row>
    <row r="403" hidden="1" ht="22.5" customHeight="1" s="117">
      <c r="A403" s="14" t="n">
        <v>45995.62894738426</v>
      </c>
      <c r="B403" s="17" t="inlineStr">
        <is>
          <t>Lê Văn Hồng</t>
        </is>
      </c>
      <c r="C403" s="16" t="n">
        <v>45994</v>
      </c>
      <c r="D403" s="17" t="n">
        <v>1</v>
      </c>
      <c r="E403" s="17" t="n">
        <v>0</v>
      </c>
      <c r="F403" s="17" t="n">
        <v>0</v>
      </c>
      <c r="G403" s="17" t="n">
        <v>0</v>
      </c>
      <c r="H403" s="17" t="n">
        <v>1</v>
      </c>
      <c r="I403" s="17" t="n">
        <v>0</v>
      </c>
      <c r="J403" s="17" t="n">
        <v>0</v>
      </c>
      <c r="K403" s="17" t="n">
        <v>2</v>
      </c>
      <c r="L403" s="17" t="n">
        <v>10</v>
      </c>
      <c r="M403" s="17" t="n">
        <v>1</v>
      </c>
      <c r="N403" s="17" t="n">
        <v>0</v>
      </c>
      <c r="O403" s="17" t="n">
        <v>0</v>
      </c>
      <c r="P403" s="17" t="n">
        <v>2</v>
      </c>
      <c r="Q403" s="17" t="n">
        <v>4</v>
      </c>
      <c r="R403" s="17" t="n">
        <v>0</v>
      </c>
      <c r="T403" s="17">
        <f>DAY(C403)</f>
        <v/>
      </c>
      <c r="U403" s="17">
        <f>MONTH(C403)</f>
        <v/>
      </c>
      <c r="V403" s="17" t="n">
        <v>2025</v>
      </c>
    </row>
    <row r="404" hidden="1" ht="22.5" customHeight="1" s="117">
      <c r="A404" s="14" t="n">
        <v>45995.63074568287</v>
      </c>
      <c r="B404" s="17" t="inlineStr">
        <is>
          <t>Lương Duy Hải</t>
        </is>
      </c>
      <c r="C404" s="16" t="n">
        <v>45992</v>
      </c>
      <c r="D404" s="17" t="n">
        <v>0</v>
      </c>
      <c r="E404" s="17" t="n">
        <v>0</v>
      </c>
      <c r="F404" s="17" t="n">
        <v>0</v>
      </c>
      <c r="G404" s="17" t="n">
        <v>0</v>
      </c>
      <c r="H404" s="17" t="n">
        <v>0</v>
      </c>
      <c r="I404" s="17" t="n">
        <v>0</v>
      </c>
      <c r="J404" s="17" t="n">
        <v>0</v>
      </c>
      <c r="K404" s="17" t="n">
        <v>0</v>
      </c>
      <c r="L404" s="17" t="n">
        <v>4</v>
      </c>
      <c r="M404" s="17" t="n">
        <v>0</v>
      </c>
      <c r="N404" s="17" t="n">
        <v>2</v>
      </c>
      <c r="O404" s="17" t="n">
        <v>0</v>
      </c>
      <c r="P404" s="17" t="n">
        <v>2</v>
      </c>
      <c r="Q404" s="17" t="n">
        <v>3</v>
      </c>
      <c r="R404" s="17" t="n">
        <v>0</v>
      </c>
      <c r="T404" s="17">
        <f>DAY(C404)</f>
        <v/>
      </c>
      <c r="U404" s="17">
        <f>MONTH(C404)</f>
        <v/>
      </c>
      <c r="V404" s="17" t="n">
        <v>2025</v>
      </c>
    </row>
    <row r="405" hidden="1" ht="22.5" customHeight="1" s="117">
      <c r="A405" s="14" t="n">
        <v>45995.63257020833</v>
      </c>
      <c r="B405" s="17" t="inlineStr">
        <is>
          <t>Hồ Thái Minh Trí</t>
        </is>
      </c>
      <c r="C405" s="16" t="n">
        <v>45993</v>
      </c>
      <c r="D405" s="17" t="n">
        <v>0</v>
      </c>
      <c r="E405" s="17" t="n">
        <v>0</v>
      </c>
      <c r="F405" s="17" t="n">
        <v>0</v>
      </c>
      <c r="G405" s="17" t="n">
        <v>0</v>
      </c>
      <c r="H405" s="17" t="n">
        <v>0</v>
      </c>
      <c r="I405" s="17" t="n">
        <v>0</v>
      </c>
      <c r="J405" s="17" t="n">
        <v>0</v>
      </c>
      <c r="K405" s="17" t="n">
        <v>0</v>
      </c>
      <c r="L405" s="17" t="n">
        <v>0</v>
      </c>
      <c r="M405" s="17" t="n">
        <v>0</v>
      </c>
      <c r="N405" s="17" t="n">
        <v>0</v>
      </c>
      <c r="O405" s="17" t="n">
        <v>0</v>
      </c>
      <c r="P405" s="17" t="n">
        <v>0</v>
      </c>
      <c r="Q405" s="17" t="n">
        <v>1</v>
      </c>
      <c r="R405" s="17" t="n">
        <v>0</v>
      </c>
      <c r="T405" s="17">
        <f>DAY(C405)</f>
        <v/>
      </c>
      <c r="U405" s="17">
        <f>MONTH(C405)</f>
        <v/>
      </c>
      <c r="V405" s="17" t="n">
        <v>2025</v>
      </c>
    </row>
    <row r="406" hidden="1" ht="22.5" customHeight="1" s="117">
      <c r="A406" s="14" t="n">
        <v>45995.63285922453</v>
      </c>
      <c r="B406" s="17" t="inlineStr">
        <is>
          <t>Trần Minh Khánh</t>
        </is>
      </c>
      <c r="C406" s="16" t="n">
        <v>45992</v>
      </c>
      <c r="D406" s="17" t="n">
        <v>0</v>
      </c>
      <c r="E406" s="17" t="n">
        <v>0</v>
      </c>
      <c r="F406" s="17" t="n">
        <v>0</v>
      </c>
      <c r="G406" s="17" t="n">
        <v>3</v>
      </c>
      <c r="H406" s="17" t="n">
        <v>3</v>
      </c>
      <c r="I406" s="17" t="n">
        <v>1</v>
      </c>
      <c r="J406" s="17" t="n">
        <v>0</v>
      </c>
      <c r="K406" s="17" t="n">
        <v>1</v>
      </c>
      <c r="L406" s="17" t="n">
        <v>1</v>
      </c>
      <c r="M406" s="17" t="n">
        <v>0</v>
      </c>
      <c r="N406" s="17" t="n">
        <v>1</v>
      </c>
      <c r="O406" s="17" t="n">
        <v>0</v>
      </c>
      <c r="P406" s="17" t="n">
        <v>1</v>
      </c>
      <c r="Q406" s="17" t="n">
        <v>2</v>
      </c>
      <c r="R406" s="17" t="n">
        <v>0</v>
      </c>
      <c r="T406" s="17">
        <f>DAY(C406)</f>
        <v/>
      </c>
      <c r="U406" s="17">
        <f>MONTH(C406)</f>
        <v/>
      </c>
      <c r="V406" s="17" t="n">
        <v>2025</v>
      </c>
    </row>
    <row r="407" hidden="1" ht="22.5" customHeight="1" s="117">
      <c r="A407" s="14" t="n">
        <v>45995.63371880787</v>
      </c>
      <c r="B407" s="17" t="inlineStr">
        <is>
          <t>Trần Minh Khánh</t>
        </is>
      </c>
      <c r="C407" s="16" t="n">
        <v>45993</v>
      </c>
      <c r="D407" s="17" t="n">
        <v>1</v>
      </c>
      <c r="E407" s="17" t="n">
        <v>0</v>
      </c>
      <c r="F407" s="17" t="n">
        <v>0</v>
      </c>
      <c r="G407" s="17" t="n">
        <v>1</v>
      </c>
      <c r="H407" s="17" t="n">
        <v>0</v>
      </c>
      <c r="I407" s="17" t="n">
        <v>0</v>
      </c>
      <c r="J407" s="17" t="n">
        <v>0</v>
      </c>
      <c r="K407" s="17" t="n">
        <v>1</v>
      </c>
      <c r="L407" s="17" t="n">
        <v>2</v>
      </c>
      <c r="M407" s="17" t="n">
        <v>0</v>
      </c>
      <c r="N407" s="17" t="n">
        <v>0</v>
      </c>
      <c r="O407" s="17" t="n">
        <v>0</v>
      </c>
      <c r="P407" s="17" t="n">
        <v>2</v>
      </c>
      <c r="Q407" s="17" t="n">
        <v>4</v>
      </c>
      <c r="R407" s="17" t="n">
        <v>0</v>
      </c>
      <c r="T407" s="17">
        <f>DAY(C407)</f>
        <v/>
      </c>
      <c r="U407" s="17">
        <f>MONTH(C407)</f>
        <v/>
      </c>
      <c r="V407" s="17" t="n">
        <v>2025</v>
      </c>
    </row>
    <row r="408" hidden="1" ht="22.5" customHeight="1" s="117">
      <c r="A408" s="14" t="n">
        <v>45995.63372225694</v>
      </c>
      <c r="B408" s="17" t="inlineStr">
        <is>
          <t>Hồ Thái Minh Trí</t>
        </is>
      </c>
      <c r="C408" s="16" t="n">
        <v>45994</v>
      </c>
      <c r="D408" s="17" t="n">
        <v>0</v>
      </c>
      <c r="E408" s="17" t="n">
        <v>0</v>
      </c>
      <c r="F408" s="17" t="n">
        <v>0</v>
      </c>
      <c r="G408" s="17" t="n">
        <v>0</v>
      </c>
      <c r="H408" s="17" t="n">
        <v>0</v>
      </c>
      <c r="I408" s="17" t="n">
        <v>0</v>
      </c>
      <c r="J408" s="17" t="n">
        <v>0</v>
      </c>
      <c r="K408" s="17" t="n">
        <v>0</v>
      </c>
      <c r="L408" s="17" t="n">
        <v>0</v>
      </c>
      <c r="M408" s="17" t="n">
        <v>0</v>
      </c>
      <c r="N408" s="17" t="n">
        <v>0</v>
      </c>
      <c r="O408" s="17" t="n">
        <v>0</v>
      </c>
      <c r="P408" s="17" t="n">
        <v>0</v>
      </c>
      <c r="Q408" s="17" t="n">
        <v>1</v>
      </c>
      <c r="R408" s="17" t="n">
        <v>0</v>
      </c>
      <c r="T408" s="17">
        <f>DAY(C408)</f>
        <v/>
      </c>
      <c r="U408" s="17">
        <f>MONTH(C408)</f>
        <v/>
      </c>
      <c r="V408" s="17" t="n">
        <v>2025</v>
      </c>
    </row>
    <row r="409" hidden="1" ht="22.5" customHeight="1" s="117">
      <c r="A409" s="14" t="n">
        <v>45995.63456409722</v>
      </c>
      <c r="B409" s="17" t="inlineStr">
        <is>
          <t>Trần Minh Khánh</t>
        </is>
      </c>
      <c r="C409" s="16" t="n">
        <v>45994</v>
      </c>
      <c r="D409" s="17" t="n">
        <v>0</v>
      </c>
      <c r="E409" s="17" t="n">
        <v>0</v>
      </c>
      <c r="F409" s="17" t="n">
        <v>0</v>
      </c>
      <c r="G409" s="17" t="n">
        <v>0</v>
      </c>
      <c r="H409" s="17" t="n">
        <v>0</v>
      </c>
      <c r="I409" s="17" t="n">
        <v>0</v>
      </c>
      <c r="J409" s="17" t="n">
        <v>0</v>
      </c>
      <c r="K409" s="17" t="n">
        <v>0</v>
      </c>
      <c r="L409" s="17" t="n">
        <v>1</v>
      </c>
      <c r="M409" s="17" t="n">
        <v>0</v>
      </c>
      <c r="N409" s="17" t="n">
        <v>0</v>
      </c>
      <c r="O409" s="17" t="n">
        <v>0</v>
      </c>
      <c r="P409" s="17" t="n">
        <v>1</v>
      </c>
      <c r="Q409" s="17" t="n">
        <v>4</v>
      </c>
      <c r="R409" s="17" t="n">
        <v>0</v>
      </c>
      <c r="T409" s="17">
        <f>DAY(C409)</f>
        <v/>
      </c>
      <c r="U409" s="17">
        <f>MONTH(C409)</f>
        <v/>
      </c>
      <c r="V409" s="17" t="n">
        <v>2025</v>
      </c>
    </row>
    <row r="410" hidden="1" ht="22.5" customHeight="1" s="117">
      <c r="A410" s="14" t="n">
        <v>45995.71715930555</v>
      </c>
      <c r="B410" s="17" t="inlineStr">
        <is>
          <t>Nguyễn Thành Lâm</t>
        </is>
      </c>
      <c r="C410" s="16" t="n">
        <v>45994</v>
      </c>
      <c r="D410" s="17" t="n">
        <v>0</v>
      </c>
      <c r="E410" s="17" t="n">
        <v>0</v>
      </c>
      <c r="F410" s="17" t="n">
        <v>0</v>
      </c>
      <c r="G410" s="17" t="n">
        <v>0</v>
      </c>
      <c r="H410" s="17" t="n">
        <v>0</v>
      </c>
      <c r="I410" s="17" t="n">
        <v>1</v>
      </c>
      <c r="J410" s="17" t="n">
        <v>0</v>
      </c>
      <c r="K410" s="17" t="n">
        <v>3</v>
      </c>
      <c r="L410" s="17" t="n">
        <v>0</v>
      </c>
      <c r="M410" s="17" t="n">
        <v>0</v>
      </c>
      <c r="N410" s="17" t="n">
        <v>0</v>
      </c>
      <c r="O410" s="17" t="n">
        <v>0</v>
      </c>
      <c r="P410" s="17" t="n">
        <v>1</v>
      </c>
      <c r="Q410" s="17" t="n">
        <v>3</v>
      </c>
      <c r="R410" s="17" t="n">
        <v>0</v>
      </c>
      <c r="T410" s="17">
        <f>DAY(C410)</f>
        <v/>
      </c>
      <c r="U410" s="17">
        <f>MONTH(C410)</f>
        <v/>
      </c>
      <c r="V410" s="17" t="n">
        <v>2025</v>
      </c>
    </row>
    <row r="411" hidden="1" ht="22.5" customHeight="1" s="117">
      <c r="A411" s="14" t="n">
        <v>45995.71831534722</v>
      </c>
      <c r="B411" s="17" t="inlineStr">
        <is>
          <t>Nguyễn Thành Lâm</t>
        </is>
      </c>
      <c r="C411" s="16" t="n">
        <v>45993</v>
      </c>
      <c r="D411" s="17" t="n">
        <v>1</v>
      </c>
      <c r="E411" s="17" t="n">
        <v>1</v>
      </c>
      <c r="F411" s="17" t="n">
        <v>0</v>
      </c>
      <c r="G411" s="17" t="n">
        <v>0</v>
      </c>
      <c r="H411" s="17" t="n">
        <v>0</v>
      </c>
      <c r="I411" s="17" t="n">
        <v>0</v>
      </c>
      <c r="J411" s="17" t="n">
        <v>0</v>
      </c>
      <c r="K411" s="17" t="n">
        <v>0</v>
      </c>
      <c r="L411" s="17" t="n">
        <v>0</v>
      </c>
      <c r="M411" s="17" t="n">
        <v>0</v>
      </c>
      <c r="N411" s="17" t="n">
        <v>0</v>
      </c>
      <c r="O411" s="17" t="n">
        <v>0</v>
      </c>
      <c r="P411" s="17" t="n">
        <v>1</v>
      </c>
      <c r="Q411" s="17" t="n">
        <v>12</v>
      </c>
      <c r="R411" s="17" t="n">
        <v>0</v>
      </c>
      <c r="T411" s="17">
        <f>DAY(C411)</f>
        <v/>
      </c>
      <c r="U411" s="17">
        <f>MONTH(C411)</f>
        <v/>
      </c>
      <c r="V411" s="17" t="n">
        <v>2025</v>
      </c>
    </row>
    <row r="412" hidden="1" ht="22.5" customHeight="1" s="117">
      <c r="A412" s="14" t="n">
        <v>45995.81400648148</v>
      </c>
      <c r="B412" s="17" t="inlineStr">
        <is>
          <t>Đặng Hữu Danh</t>
        </is>
      </c>
      <c r="C412" s="16" t="n">
        <v>45995</v>
      </c>
      <c r="D412" s="17" t="n">
        <v>0</v>
      </c>
      <c r="E412" s="17" t="n">
        <v>0</v>
      </c>
      <c r="F412" s="17" t="n">
        <v>0</v>
      </c>
      <c r="G412" s="17" t="n">
        <v>0</v>
      </c>
      <c r="H412" s="17" t="n">
        <v>0</v>
      </c>
      <c r="I412" s="17" t="n">
        <v>0</v>
      </c>
      <c r="J412" s="17" t="n">
        <v>1</v>
      </c>
      <c r="K412" s="17" t="n">
        <v>0</v>
      </c>
      <c r="L412" s="17" t="n">
        <v>3</v>
      </c>
      <c r="M412" s="17" t="n">
        <v>1</v>
      </c>
      <c r="N412" s="17" t="n">
        <v>0</v>
      </c>
      <c r="O412" s="17" t="n">
        <v>0</v>
      </c>
      <c r="P412" s="17" t="n">
        <v>2</v>
      </c>
      <c r="Q412" s="17" t="n">
        <v>3</v>
      </c>
      <c r="R412" s="17" t="n">
        <v>0</v>
      </c>
      <c r="T412" s="17">
        <f>DAY(C412)</f>
        <v/>
      </c>
      <c r="U412" s="17">
        <f>MONTH(C412)</f>
        <v/>
      </c>
      <c r="V412" s="17" t="n">
        <v>2025</v>
      </c>
    </row>
    <row r="413" hidden="1" ht="22.5" customHeight="1" s="117">
      <c r="A413" s="14" t="n">
        <v>45995.90000115741</v>
      </c>
      <c r="B413" s="17" t="inlineStr">
        <is>
          <t>Trần Minh Khánh</t>
        </is>
      </c>
      <c r="C413" s="16" t="n">
        <v>45995</v>
      </c>
      <c r="D413" s="17" t="n">
        <v>0</v>
      </c>
      <c r="E413" s="17" t="n">
        <v>0</v>
      </c>
      <c r="F413" s="17" t="n">
        <v>0</v>
      </c>
      <c r="G413" s="17" t="n">
        <v>0</v>
      </c>
      <c r="H413" s="17" t="n">
        <v>0</v>
      </c>
      <c r="I413" s="17" t="n">
        <v>2</v>
      </c>
      <c r="J413" s="17" t="n">
        <v>0</v>
      </c>
      <c r="K413" s="17" t="n">
        <v>0</v>
      </c>
      <c r="L413" s="17" t="n">
        <v>2</v>
      </c>
      <c r="M413" s="17" t="n">
        <v>0</v>
      </c>
      <c r="N413" s="17" t="n">
        <v>2</v>
      </c>
      <c r="O413" s="17" t="n">
        <v>0</v>
      </c>
      <c r="P413" s="17" t="n">
        <v>0</v>
      </c>
      <c r="Q413" s="17" t="n">
        <v>3</v>
      </c>
      <c r="R413" s="17" t="n">
        <v>0</v>
      </c>
      <c r="T413" s="17">
        <f>DAY(C413)</f>
        <v/>
      </c>
      <c r="U413" s="17">
        <f>MONTH(C413)</f>
        <v/>
      </c>
      <c r="V413" s="17" t="n">
        <v>2025</v>
      </c>
    </row>
    <row r="414" hidden="1" ht="22.5" customHeight="1" s="117">
      <c r="A414" s="14" t="n">
        <v>45996.251429375</v>
      </c>
      <c r="B414" s="17" t="inlineStr">
        <is>
          <t>Phan Ngọc Sang</t>
        </is>
      </c>
      <c r="C414" s="16" t="n">
        <v>45995</v>
      </c>
      <c r="D414" s="17" t="n">
        <v>0</v>
      </c>
      <c r="E414" s="17" t="n">
        <v>0</v>
      </c>
      <c r="F414" s="17" t="n">
        <v>0</v>
      </c>
      <c r="G414" s="17" t="n">
        <v>0</v>
      </c>
      <c r="H414" s="17" t="n">
        <v>0</v>
      </c>
      <c r="I414" s="17" t="n">
        <v>4</v>
      </c>
      <c r="J414" s="17" t="n">
        <v>0</v>
      </c>
      <c r="K414" s="17" t="n">
        <v>2</v>
      </c>
      <c r="L414" s="17" t="n">
        <v>0</v>
      </c>
      <c r="M414" s="17" t="n">
        <v>2</v>
      </c>
      <c r="N414" s="17" t="n">
        <v>0</v>
      </c>
      <c r="O414" s="17" t="n">
        <v>0</v>
      </c>
      <c r="P414" s="17" t="n">
        <v>0</v>
      </c>
      <c r="Q414" s="17" t="n">
        <v>5</v>
      </c>
      <c r="R414" s="17" t="n">
        <v>0</v>
      </c>
      <c r="T414" s="17">
        <f>DAY(C414)</f>
        <v/>
      </c>
      <c r="U414" s="17">
        <f>MONTH(C414)</f>
        <v/>
      </c>
      <c r="V414" s="17" t="n">
        <v>2025</v>
      </c>
    </row>
    <row r="415" hidden="1" ht="22.5" customHeight="1" s="117">
      <c r="A415" s="14" t="n">
        <v>45996.25486037037</v>
      </c>
      <c r="B415" s="17" t="inlineStr">
        <is>
          <t>Vòng Nhật Sang</t>
        </is>
      </c>
      <c r="C415" s="16" t="n">
        <v>45995</v>
      </c>
      <c r="D415" s="17" t="n">
        <v>0</v>
      </c>
      <c r="E415" s="17" t="n">
        <v>0</v>
      </c>
      <c r="F415" s="17" t="n">
        <v>0</v>
      </c>
      <c r="G415" s="17" t="n">
        <v>0</v>
      </c>
      <c r="H415" s="17" t="n">
        <v>0</v>
      </c>
      <c r="I415" s="17" t="n">
        <v>0</v>
      </c>
      <c r="J415" s="17" t="n">
        <v>0</v>
      </c>
      <c r="K415" s="17" t="n">
        <v>3</v>
      </c>
      <c r="L415" s="17" t="n">
        <v>2</v>
      </c>
      <c r="M415" s="17" t="n">
        <v>2</v>
      </c>
      <c r="N415" s="17" t="n">
        <v>1</v>
      </c>
      <c r="O415" s="17" t="n">
        <v>0</v>
      </c>
      <c r="P415" s="17" t="n">
        <v>1</v>
      </c>
      <c r="Q415" s="17" t="n">
        <v>2</v>
      </c>
      <c r="R415" s="17" t="n">
        <v>0</v>
      </c>
      <c r="T415" s="17">
        <f>DAY(C415)</f>
        <v/>
      </c>
      <c r="U415" s="17">
        <f>MONTH(C415)</f>
        <v/>
      </c>
      <c r="V415" s="17" t="n">
        <v>2025</v>
      </c>
    </row>
    <row r="416" hidden="1" ht="22.5" customHeight="1" s="117">
      <c r="A416" s="14" t="n">
        <v>45996.27112202546</v>
      </c>
      <c r="B416" s="17" t="inlineStr">
        <is>
          <t>Trần Xuân Khoa</t>
        </is>
      </c>
      <c r="C416" s="16" t="n">
        <v>45995</v>
      </c>
      <c r="D416" s="17" t="n">
        <v>0</v>
      </c>
      <c r="E416" s="17" t="n">
        <v>0</v>
      </c>
      <c r="F416" s="17" t="n">
        <v>0</v>
      </c>
      <c r="G416" s="17" t="n">
        <v>0</v>
      </c>
      <c r="H416" s="17" t="n">
        <v>0</v>
      </c>
      <c r="I416" s="17" t="n">
        <v>0</v>
      </c>
      <c r="J416" s="17" t="n">
        <v>0</v>
      </c>
      <c r="K416" s="17" t="n">
        <v>5</v>
      </c>
      <c r="L416" s="17" t="n">
        <v>0</v>
      </c>
      <c r="M416" s="17" t="n">
        <v>0</v>
      </c>
      <c r="N416" s="17" t="n">
        <v>0</v>
      </c>
      <c r="O416" s="17" t="n">
        <v>0</v>
      </c>
      <c r="P416" s="17" t="n">
        <v>0</v>
      </c>
      <c r="Q416" s="17" t="n">
        <v>4</v>
      </c>
      <c r="R416" s="17" t="n">
        <v>0</v>
      </c>
      <c r="T416" s="17">
        <f>DAY(C416)</f>
        <v/>
      </c>
      <c r="U416" s="17">
        <f>MONTH(C416)</f>
        <v/>
      </c>
      <c r="V416" s="17" t="n">
        <v>2025</v>
      </c>
    </row>
    <row r="417" hidden="1" ht="22.5" customHeight="1" s="117">
      <c r="A417" s="14" t="n">
        <v>45996.27515410879</v>
      </c>
      <c r="B417" s="17" t="inlineStr">
        <is>
          <t>Lương Duy Hải</t>
        </is>
      </c>
      <c r="C417" s="16" t="n">
        <v>45995</v>
      </c>
      <c r="D417" s="17" t="n">
        <v>0</v>
      </c>
      <c r="E417" s="17" t="n">
        <v>0</v>
      </c>
      <c r="F417" s="17" t="n">
        <v>0</v>
      </c>
      <c r="G417" s="17" t="n">
        <v>0</v>
      </c>
      <c r="H417" s="17" t="n">
        <v>0</v>
      </c>
      <c r="I417" s="17" t="n">
        <v>0</v>
      </c>
      <c r="J417" s="17" t="n">
        <v>0</v>
      </c>
      <c r="K417" s="17" t="n">
        <v>2</v>
      </c>
      <c r="L417" s="17" t="n">
        <v>0</v>
      </c>
      <c r="M417" s="17" t="n">
        <v>0</v>
      </c>
      <c r="N417" s="17" t="n">
        <v>1</v>
      </c>
      <c r="O417" s="17" t="n">
        <v>0</v>
      </c>
      <c r="P417" s="17" t="n">
        <v>1</v>
      </c>
      <c r="Q417" s="17" t="n">
        <v>3</v>
      </c>
      <c r="R417" s="17" t="n">
        <v>0</v>
      </c>
      <c r="T417" s="17">
        <f>DAY(C417)</f>
        <v/>
      </c>
      <c r="U417" s="17">
        <f>MONTH(C417)</f>
        <v/>
      </c>
      <c r="V417" s="17" t="n">
        <v>2025</v>
      </c>
    </row>
    <row r="418" hidden="1" ht="22.5" customHeight="1" s="117">
      <c r="A418" s="14" t="n">
        <v>45996.28425002315</v>
      </c>
      <c r="B418" s="17" t="inlineStr">
        <is>
          <t>Huỳnh Văn Lực</t>
        </is>
      </c>
      <c r="C418" s="16" t="n">
        <v>45995</v>
      </c>
      <c r="D418" s="17" t="n">
        <v>0</v>
      </c>
      <c r="E418" s="17" t="n">
        <v>0</v>
      </c>
      <c r="F418" s="17" t="n">
        <v>0</v>
      </c>
      <c r="G418" s="17" t="n">
        <v>0</v>
      </c>
      <c r="H418" s="17" t="n">
        <v>0</v>
      </c>
      <c r="I418" s="17" t="n">
        <v>2</v>
      </c>
      <c r="J418" s="17" t="n">
        <v>0</v>
      </c>
      <c r="K418" s="17" t="n">
        <v>4</v>
      </c>
      <c r="L418" s="17" t="n">
        <v>0</v>
      </c>
      <c r="M418" s="17" t="n">
        <v>0</v>
      </c>
      <c r="N418" s="17" t="n">
        <v>0</v>
      </c>
      <c r="O418" s="17" t="n">
        <v>0</v>
      </c>
      <c r="P418" s="17" t="n">
        <v>1</v>
      </c>
      <c r="Q418" s="17" t="n">
        <v>1</v>
      </c>
      <c r="R418" s="17" t="n">
        <v>0</v>
      </c>
      <c r="T418" s="17">
        <f>DAY(C418)</f>
        <v/>
      </c>
      <c r="U418" s="17">
        <f>MONTH(C418)</f>
        <v/>
      </c>
      <c r="V418" s="17" t="n">
        <v>2025</v>
      </c>
    </row>
    <row r="419" hidden="1" ht="22.5" customHeight="1" s="117">
      <c r="A419" s="14" t="n">
        <v>45996.28578795139</v>
      </c>
      <c r="B419" s="17" t="inlineStr">
        <is>
          <t>Hồ Xuân Việt</t>
        </is>
      </c>
      <c r="C419" s="16" t="n">
        <v>45995</v>
      </c>
      <c r="D419" s="17" t="n">
        <v>0</v>
      </c>
      <c r="E419" s="17" t="n">
        <v>0</v>
      </c>
      <c r="F419" s="17" t="n">
        <v>0</v>
      </c>
      <c r="G419" s="17" t="n">
        <v>0</v>
      </c>
      <c r="H419" s="17" t="n">
        <v>0</v>
      </c>
      <c r="I419" s="17" t="n">
        <v>0</v>
      </c>
      <c r="J419" s="17" t="n">
        <v>0</v>
      </c>
      <c r="K419" s="17" t="n">
        <v>0</v>
      </c>
      <c r="L419" s="17" t="n">
        <v>0</v>
      </c>
      <c r="M419" s="17" t="n">
        <v>0</v>
      </c>
      <c r="N419" s="17" t="n">
        <v>0</v>
      </c>
      <c r="O419" s="17" t="n">
        <v>0</v>
      </c>
      <c r="P419" s="17" t="n">
        <v>0</v>
      </c>
      <c r="Q419" s="17" t="n">
        <v>1</v>
      </c>
      <c r="R419" s="17" t="n">
        <v>0</v>
      </c>
      <c r="T419" s="17">
        <f>DAY(C419)</f>
        <v/>
      </c>
      <c r="U419" s="17">
        <f>MONTH(C419)</f>
        <v/>
      </c>
      <c r="V419" s="17" t="n">
        <v>2025</v>
      </c>
    </row>
    <row r="420" hidden="1" ht="22.5" customHeight="1" s="117">
      <c r="A420" s="14" t="n">
        <v>45996.28593976852</v>
      </c>
      <c r="B420" s="17" t="inlineStr">
        <is>
          <t>Nguyễn Văn Hiệp</t>
        </is>
      </c>
      <c r="C420" s="16" t="n">
        <v>45995</v>
      </c>
      <c r="D420" s="17" t="n">
        <v>0</v>
      </c>
      <c r="E420" s="17" t="n">
        <v>0</v>
      </c>
      <c r="F420" s="17" t="n">
        <v>0</v>
      </c>
      <c r="G420" s="17" t="n">
        <v>0</v>
      </c>
      <c r="H420" s="17" t="n">
        <v>0</v>
      </c>
      <c r="I420" s="17" t="n">
        <v>0</v>
      </c>
      <c r="J420" s="17" t="n">
        <v>0</v>
      </c>
      <c r="K420" s="17" t="n">
        <v>3</v>
      </c>
      <c r="L420" s="17" t="n">
        <v>0</v>
      </c>
      <c r="M420" s="17" t="n">
        <v>0</v>
      </c>
      <c r="N420" s="17" t="n">
        <v>2</v>
      </c>
      <c r="O420" s="17" t="n">
        <v>0</v>
      </c>
      <c r="P420" s="17" t="n">
        <v>0</v>
      </c>
      <c r="Q420" s="17" t="n">
        <v>0</v>
      </c>
      <c r="R420" s="17" t="n">
        <v>0</v>
      </c>
      <c r="T420" s="17">
        <f>DAY(C420)</f>
        <v/>
      </c>
      <c r="U420" s="17">
        <f>MONTH(C420)</f>
        <v/>
      </c>
      <c r="V420" s="17" t="n">
        <v>2025</v>
      </c>
    </row>
    <row r="421" hidden="1" ht="22.5" customHeight="1" s="117">
      <c r="A421" s="14" t="n">
        <v>45996.28750194445</v>
      </c>
      <c r="B421" s="17" t="inlineStr">
        <is>
          <t>Trần Trung Giang</t>
        </is>
      </c>
      <c r="C421" s="16" t="n">
        <v>46360</v>
      </c>
      <c r="D421" s="17" t="n">
        <v>1</v>
      </c>
      <c r="E421" s="17" t="n">
        <v>0</v>
      </c>
      <c r="F421" s="17" t="n">
        <v>0</v>
      </c>
      <c r="G421" s="17" t="n">
        <v>0</v>
      </c>
      <c r="H421" s="17" t="n">
        <v>1</v>
      </c>
      <c r="I421" s="17" t="n">
        <v>1</v>
      </c>
      <c r="J421" s="17" t="n">
        <v>0</v>
      </c>
      <c r="K421" s="17" t="n">
        <v>2</v>
      </c>
      <c r="L421" s="17" t="n">
        <v>0</v>
      </c>
      <c r="M421" s="17" t="n">
        <v>0</v>
      </c>
      <c r="N421" s="17" t="n">
        <v>0</v>
      </c>
      <c r="O421" s="17" t="n">
        <v>0</v>
      </c>
      <c r="P421" s="17" t="n">
        <v>2</v>
      </c>
      <c r="Q421" s="17" t="n">
        <v>0</v>
      </c>
      <c r="R421" s="17" t="n">
        <v>1</v>
      </c>
      <c r="T421" s="17">
        <f>DAY(C421)</f>
        <v/>
      </c>
      <c r="U421" s="17">
        <f>MONTH(C421)</f>
        <v/>
      </c>
      <c r="V421" s="17" t="n">
        <v>2025</v>
      </c>
    </row>
    <row r="422" hidden="1" ht="22.5" customHeight="1" s="117">
      <c r="A422" s="14" t="n">
        <v>45996.28781170139</v>
      </c>
      <c r="B422" s="17" t="inlineStr">
        <is>
          <t>Đào Công Trung</t>
        </is>
      </c>
      <c r="C422" s="16" t="n">
        <v>45995</v>
      </c>
      <c r="D422" s="17" t="n">
        <v>0</v>
      </c>
      <c r="E422" s="17" t="n">
        <v>0</v>
      </c>
      <c r="F422" s="17" t="n">
        <v>0</v>
      </c>
      <c r="G422" s="17" t="n">
        <v>0</v>
      </c>
      <c r="H422" s="17" t="n">
        <v>0</v>
      </c>
      <c r="I422" s="17" t="n">
        <v>2</v>
      </c>
      <c r="J422" s="17" t="n">
        <v>0</v>
      </c>
      <c r="K422" s="17" t="n">
        <v>0</v>
      </c>
      <c r="L422" s="17" t="n">
        <v>4</v>
      </c>
      <c r="M422" s="17" t="n">
        <v>1</v>
      </c>
      <c r="N422" s="17" t="n">
        <v>0</v>
      </c>
      <c r="O422" s="17" t="n">
        <v>0</v>
      </c>
      <c r="P422" s="17" t="n">
        <v>1</v>
      </c>
      <c r="Q422" s="17" t="n">
        <v>1</v>
      </c>
      <c r="R422" s="17" t="n">
        <v>0</v>
      </c>
      <c r="T422" s="17">
        <f>DAY(C422)</f>
        <v/>
      </c>
      <c r="U422" s="17">
        <f>MONTH(C422)</f>
        <v/>
      </c>
      <c r="V422" s="17" t="n">
        <v>2025</v>
      </c>
    </row>
    <row r="423" hidden="1" ht="22.5" customHeight="1" s="117">
      <c r="A423" s="14" t="n">
        <v>45996.29035960648</v>
      </c>
      <c r="B423" s="17" t="inlineStr">
        <is>
          <t>Lê Quốc Duy</t>
        </is>
      </c>
      <c r="C423" s="16" t="n">
        <v>45995</v>
      </c>
      <c r="D423" s="17" t="n">
        <v>0</v>
      </c>
      <c r="E423" s="17" t="n">
        <v>0</v>
      </c>
      <c r="F423" s="17" t="n">
        <v>0</v>
      </c>
      <c r="G423" s="17" t="n">
        <v>0</v>
      </c>
      <c r="H423" s="17" t="n">
        <v>0</v>
      </c>
      <c r="I423" s="17" t="n">
        <v>1</v>
      </c>
      <c r="J423" s="17" t="n">
        <v>1</v>
      </c>
      <c r="K423" s="17" t="n">
        <v>0</v>
      </c>
      <c r="L423" s="17" t="n">
        <v>4</v>
      </c>
      <c r="M423" s="17" t="n">
        <v>0</v>
      </c>
      <c r="N423" s="17" t="n">
        <v>0</v>
      </c>
      <c r="O423" s="17" t="n">
        <v>0</v>
      </c>
      <c r="P423" s="17" t="n">
        <v>0</v>
      </c>
      <c r="Q423" s="17" t="n">
        <v>1</v>
      </c>
      <c r="R423" s="17" t="n">
        <v>0</v>
      </c>
      <c r="T423" s="17">
        <f>DAY(C423)</f>
        <v/>
      </c>
      <c r="U423" s="17">
        <f>MONTH(C423)</f>
        <v/>
      </c>
      <c r="V423" s="17" t="n">
        <v>2025</v>
      </c>
    </row>
    <row r="424" hidden="1" ht="22.5" customHeight="1" s="117">
      <c r="A424" s="14" t="n">
        <v>45996.292855625</v>
      </c>
      <c r="B424" s="17" t="inlineStr">
        <is>
          <t>Lương Duy Hoàng</t>
        </is>
      </c>
      <c r="C424" s="16" t="n">
        <v>45995</v>
      </c>
      <c r="D424" s="17" t="n">
        <v>0</v>
      </c>
      <c r="E424" s="17" t="n">
        <v>0</v>
      </c>
      <c r="F424" s="17" t="n">
        <v>0</v>
      </c>
      <c r="G424" s="17" t="n">
        <v>0</v>
      </c>
      <c r="H424" s="17" t="n">
        <v>0</v>
      </c>
      <c r="I424" s="17" t="n">
        <v>0</v>
      </c>
      <c r="J424" s="17" t="n">
        <v>0</v>
      </c>
      <c r="K424" s="17" t="n">
        <v>1</v>
      </c>
      <c r="L424" s="17" t="n">
        <v>0</v>
      </c>
      <c r="M424" s="17" t="n">
        <v>0</v>
      </c>
      <c r="N424" s="17" t="n">
        <v>2</v>
      </c>
      <c r="O424" s="17" t="n">
        <v>0</v>
      </c>
      <c r="P424" s="17" t="n">
        <v>0</v>
      </c>
      <c r="Q424" s="17" t="n">
        <v>3</v>
      </c>
      <c r="R424" s="17" t="n">
        <v>0</v>
      </c>
      <c r="T424" s="17">
        <f>DAY(C424)</f>
        <v/>
      </c>
      <c r="U424" s="17">
        <f>MONTH(C424)</f>
        <v/>
      </c>
      <c r="V424" s="17" t="n">
        <v>2025</v>
      </c>
    </row>
    <row r="425" hidden="1" ht="22.5" customHeight="1" s="117">
      <c r="A425" s="14" t="n">
        <v>45996.29397451389</v>
      </c>
      <c r="B425" s="17" t="inlineStr">
        <is>
          <t>Nguyễn Tuấn Anh</t>
        </is>
      </c>
      <c r="C425" s="16" t="n">
        <v>45995</v>
      </c>
      <c r="D425" s="17" t="n">
        <v>0</v>
      </c>
      <c r="E425" s="17" t="n">
        <v>0</v>
      </c>
      <c r="F425" s="17" t="n">
        <v>0</v>
      </c>
      <c r="G425" s="17" t="n">
        <v>0</v>
      </c>
      <c r="H425" s="17" t="n">
        <v>0</v>
      </c>
      <c r="I425" s="17" t="n">
        <v>2</v>
      </c>
      <c r="J425" s="17" t="n">
        <v>0</v>
      </c>
      <c r="K425" s="17" t="n">
        <v>1</v>
      </c>
      <c r="L425" s="17" t="n">
        <v>4</v>
      </c>
      <c r="M425" s="17" t="n">
        <v>0</v>
      </c>
      <c r="N425" s="17" t="n">
        <v>0</v>
      </c>
      <c r="O425" s="17" t="n">
        <v>0</v>
      </c>
      <c r="P425" s="17" t="n">
        <v>0</v>
      </c>
      <c r="Q425" s="17" t="n">
        <v>6</v>
      </c>
      <c r="R425" s="17" t="n">
        <v>0</v>
      </c>
      <c r="T425" s="17">
        <f>DAY(C425)</f>
        <v/>
      </c>
      <c r="U425" s="17">
        <f>MONTH(C425)</f>
        <v/>
      </c>
      <c r="V425" s="17" t="n">
        <v>2025</v>
      </c>
    </row>
    <row r="426" hidden="1" ht="22.5" customHeight="1" s="117">
      <c r="A426" s="14" t="n">
        <v>45996.29905168981</v>
      </c>
      <c r="B426" s="17" t="inlineStr">
        <is>
          <t>Dương Minh Tiến</t>
        </is>
      </c>
      <c r="C426" s="16" t="n">
        <v>45995</v>
      </c>
      <c r="D426" s="17" t="n">
        <v>0</v>
      </c>
      <c r="E426" s="17" t="n">
        <v>0</v>
      </c>
      <c r="F426" s="17" t="n">
        <v>0</v>
      </c>
      <c r="G426" s="17" t="n">
        <v>0</v>
      </c>
      <c r="H426" s="17" t="n">
        <v>0</v>
      </c>
      <c r="I426" s="17" t="n">
        <v>3</v>
      </c>
      <c r="J426" s="17" t="n">
        <v>0</v>
      </c>
      <c r="K426" s="17" t="n">
        <v>2</v>
      </c>
      <c r="L426" s="17" t="n">
        <v>3</v>
      </c>
      <c r="M426" s="17" t="n">
        <v>0</v>
      </c>
      <c r="N426" s="17" t="n">
        <v>0</v>
      </c>
      <c r="O426" s="17" t="n">
        <v>0</v>
      </c>
      <c r="P426" s="17" t="n">
        <v>2</v>
      </c>
      <c r="Q426" s="17" t="n">
        <v>1</v>
      </c>
      <c r="R426" s="17" t="n">
        <v>0</v>
      </c>
      <c r="T426" s="17">
        <f>DAY(C426)</f>
        <v/>
      </c>
      <c r="U426" s="17">
        <f>MONTH(C426)</f>
        <v/>
      </c>
      <c r="V426" s="17" t="n">
        <v>2025</v>
      </c>
    </row>
    <row r="427" hidden="1" ht="22.5" customHeight="1" s="117">
      <c r="A427" s="14" t="n">
        <v>45996.29951354166</v>
      </c>
      <c r="B427" s="17" t="inlineStr">
        <is>
          <t>Nguyễn Quang Anh Tuấn</t>
        </is>
      </c>
      <c r="C427" s="16" t="n">
        <v>45995</v>
      </c>
      <c r="D427" s="17" t="n">
        <v>0</v>
      </c>
      <c r="E427" s="17" t="n">
        <v>0</v>
      </c>
      <c r="F427" s="17" t="n">
        <v>0</v>
      </c>
      <c r="G427" s="17" t="n">
        <v>0</v>
      </c>
      <c r="H427" s="17" t="n">
        <v>0</v>
      </c>
      <c r="I427" s="17" t="n">
        <v>4</v>
      </c>
      <c r="J427" s="17" t="n">
        <v>0</v>
      </c>
      <c r="K427" s="17" t="n">
        <v>0</v>
      </c>
      <c r="L427" s="17" t="n">
        <v>0</v>
      </c>
      <c r="M427" s="17" t="n">
        <v>0</v>
      </c>
      <c r="N427" s="17" t="n">
        <v>0</v>
      </c>
      <c r="O427" s="17" t="n">
        <v>0</v>
      </c>
      <c r="P427" s="17" t="n">
        <v>0</v>
      </c>
      <c r="Q427" s="17" t="n">
        <v>5</v>
      </c>
      <c r="R427" s="17" t="n">
        <v>0</v>
      </c>
      <c r="T427" s="17">
        <f>DAY(C427)</f>
        <v/>
      </c>
      <c r="U427" s="17">
        <f>MONTH(C427)</f>
        <v/>
      </c>
      <c r="V427" s="17" t="n">
        <v>2025</v>
      </c>
    </row>
    <row r="428" hidden="1" ht="22.5" customHeight="1" s="117">
      <c r="A428" s="14" t="n">
        <v>45996.31507184028</v>
      </c>
      <c r="B428" s="17" t="inlineStr">
        <is>
          <t>Hồ Thái Minh Trí</t>
        </is>
      </c>
      <c r="C428" s="16" t="n">
        <v>45995</v>
      </c>
      <c r="D428" s="17" t="n">
        <v>0</v>
      </c>
      <c r="E428" s="17" t="n">
        <v>0</v>
      </c>
      <c r="F428" s="17" t="n">
        <v>0</v>
      </c>
      <c r="G428" s="17" t="n">
        <v>1</v>
      </c>
      <c r="H428" s="17" t="n">
        <v>0</v>
      </c>
      <c r="I428" s="17" t="n">
        <v>0</v>
      </c>
      <c r="J428" s="17" t="n">
        <v>0</v>
      </c>
      <c r="K428" s="17" t="n">
        <v>0</v>
      </c>
      <c r="L428" s="17" t="n">
        <v>0</v>
      </c>
      <c r="M428" s="17" t="n">
        <v>0</v>
      </c>
      <c r="N428" s="17" t="n">
        <v>0</v>
      </c>
      <c r="O428" s="17" t="n">
        <v>0</v>
      </c>
      <c r="P428" s="17" t="n">
        <v>0</v>
      </c>
      <c r="Q428" s="17" t="n">
        <v>1</v>
      </c>
      <c r="R428" s="17" t="n">
        <v>0</v>
      </c>
      <c r="T428" s="17">
        <f>DAY(C428)</f>
        <v/>
      </c>
      <c r="U428" s="17">
        <f>MONTH(C428)</f>
        <v/>
      </c>
      <c r="V428" s="17" t="n">
        <v>2025</v>
      </c>
    </row>
    <row r="429" hidden="1" ht="22.5" customHeight="1" s="117">
      <c r="A429" s="14" t="n">
        <v>45996.32089444444</v>
      </c>
      <c r="B429" s="17" t="inlineStr">
        <is>
          <t>Lê Văn Hồng</t>
        </is>
      </c>
      <c r="C429" s="16" t="n">
        <v>45995</v>
      </c>
      <c r="D429" s="17" t="n">
        <v>0</v>
      </c>
      <c r="E429" s="17" t="n">
        <v>0</v>
      </c>
      <c r="F429" s="17" t="n">
        <v>0</v>
      </c>
      <c r="G429" s="17" t="n">
        <v>1</v>
      </c>
      <c r="H429" s="17" t="n">
        <v>1</v>
      </c>
      <c r="I429" s="17" t="n">
        <v>0</v>
      </c>
      <c r="J429" s="17" t="n">
        <v>0</v>
      </c>
      <c r="K429" s="17" t="n">
        <v>10</v>
      </c>
      <c r="L429" s="17" t="n">
        <v>0</v>
      </c>
      <c r="M429" s="17" t="n">
        <v>0</v>
      </c>
      <c r="N429" s="17" t="n">
        <v>0</v>
      </c>
      <c r="O429" s="17" t="n">
        <v>0</v>
      </c>
      <c r="P429" s="17" t="n">
        <v>2</v>
      </c>
      <c r="Q429" s="17" t="n">
        <v>3</v>
      </c>
      <c r="R429" s="17" t="n">
        <v>0</v>
      </c>
      <c r="T429" s="17">
        <f>DAY(C429)</f>
        <v/>
      </c>
      <c r="U429" s="17">
        <f>MONTH(C429)</f>
        <v/>
      </c>
      <c r="V429" s="17" t="n">
        <v>2025</v>
      </c>
    </row>
    <row r="430" hidden="1" ht="22.5" customHeight="1" s="117">
      <c r="A430" s="14" t="n">
        <v>45996.3251446875</v>
      </c>
      <c r="B430" s="17" t="inlineStr">
        <is>
          <t>Nguyễn Văn Nhật</t>
        </is>
      </c>
      <c r="C430" s="16" t="n">
        <v>45995</v>
      </c>
      <c r="D430" s="17" t="n">
        <v>0</v>
      </c>
      <c r="E430" s="17" t="n">
        <v>0</v>
      </c>
      <c r="F430" s="17" t="n">
        <v>0</v>
      </c>
      <c r="G430" s="17" t="n">
        <v>0</v>
      </c>
      <c r="H430" s="17" t="n">
        <v>0</v>
      </c>
      <c r="I430" s="17" t="n">
        <v>0</v>
      </c>
      <c r="J430" s="17" t="n">
        <v>0</v>
      </c>
      <c r="K430" s="17" t="n">
        <v>8</v>
      </c>
      <c r="L430" s="17" t="n">
        <v>4</v>
      </c>
      <c r="M430" s="17" t="n">
        <v>0</v>
      </c>
      <c r="N430" s="17" t="n">
        <v>1</v>
      </c>
      <c r="O430" s="17" t="n">
        <v>0</v>
      </c>
      <c r="P430" s="17" t="n">
        <v>1</v>
      </c>
      <c r="Q430" s="17" t="n">
        <v>2</v>
      </c>
      <c r="R430" s="17" t="n">
        <v>0</v>
      </c>
      <c r="T430" s="17">
        <f>DAY(C430)</f>
        <v/>
      </c>
      <c r="U430" s="17">
        <f>MONTH(C430)</f>
        <v/>
      </c>
      <c r="V430" s="17" t="n">
        <v>2025</v>
      </c>
    </row>
    <row r="431" hidden="1" ht="22.5" customHeight="1" s="117">
      <c r="A431" s="14" t="n">
        <v>45996.32939226852</v>
      </c>
      <c r="B431" s="17" t="inlineStr">
        <is>
          <t>Bùi Duy Cường</t>
        </is>
      </c>
      <c r="C431" s="16" t="n">
        <v>45995</v>
      </c>
      <c r="D431" s="17" t="n">
        <v>0</v>
      </c>
      <c r="E431" s="17" t="n">
        <v>0</v>
      </c>
      <c r="F431" s="17" t="n">
        <v>0</v>
      </c>
      <c r="G431" s="17" t="n">
        <v>0</v>
      </c>
      <c r="H431" s="17" t="n">
        <v>0</v>
      </c>
      <c r="I431" s="17" t="n">
        <v>2</v>
      </c>
      <c r="J431" s="17" t="n">
        <v>0</v>
      </c>
      <c r="K431" s="17" t="n">
        <v>3</v>
      </c>
      <c r="L431" s="17" t="n">
        <v>9</v>
      </c>
      <c r="M431" s="17" t="n">
        <v>1</v>
      </c>
      <c r="N431" s="17" t="n">
        <v>2</v>
      </c>
      <c r="O431" s="17" t="n">
        <v>0</v>
      </c>
      <c r="P431" s="17" t="n">
        <v>0</v>
      </c>
      <c r="Q431" s="17" t="n">
        <v>2</v>
      </c>
      <c r="R431" s="17" t="n">
        <v>0</v>
      </c>
      <c r="T431" s="17">
        <f>DAY(C431)</f>
        <v/>
      </c>
      <c r="U431" s="17">
        <f>MONTH(C431)</f>
        <v/>
      </c>
      <c r="V431" s="17" t="n">
        <v>2025</v>
      </c>
    </row>
    <row r="432" hidden="1" ht="22.5" customHeight="1" s="117">
      <c r="A432" s="14" t="n">
        <v>45996.3314615162</v>
      </c>
      <c r="B432" s="17" t="inlineStr">
        <is>
          <t>Đặng Hoài Anh</t>
        </is>
      </c>
      <c r="C432" s="16" t="n">
        <v>45995</v>
      </c>
      <c r="D432" s="17" t="n">
        <v>0</v>
      </c>
      <c r="E432" s="17" t="n">
        <v>0</v>
      </c>
      <c r="F432" s="17" t="n">
        <v>0</v>
      </c>
      <c r="G432" s="17" t="n">
        <v>0</v>
      </c>
      <c r="H432" s="17" t="n">
        <v>0</v>
      </c>
      <c r="I432" s="17" t="n">
        <v>0</v>
      </c>
      <c r="J432" s="17" t="n">
        <v>0</v>
      </c>
      <c r="K432" s="17" t="n">
        <v>0</v>
      </c>
      <c r="L432" s="17" t="n">
        <v>0</v>
      </c>
      <c r="M432" s="17" t="n">
        <v>0</v>
      </c>
      <c r="N432" s="17" t="n">
        <v>0</v>
      </c>
      <c r="O432" s="17" t="n">
        <v>0</v>
      </c>
      <c r="P432" s="17" t="n">
        <v>0</v>
      </c>
      <c r="Q432" s="17" t="n">
        <v>0</v>
      </c>
      <c r="R432" s="17" t="n">
        <v>0</v>
      </c>
      <c r="T432" s="17">
        <f>DAY(C432)</f>
        <v/>
      </c>
      <c r="U432" s="17">
        <f>MONTH(C432)</f>
        <v/>
      </c>
      <c r="V432" s="17" t="n">
        <v>2025</v>
      </c>
    </row>
    <row r="433" hidden="1" ht="22.5" customHeight="1" s="117">
      <c r="A433" s="14" t="n">
        <v>45996.33811299768</v>
      </c>
      <c r="B433" s="17" t="inlineStr">
        <is>
          <t>Lê Hồng Phong</t>
        </is>
      </c>
      <c r="C433" s="16" t="n">
        <v>45996</v>
      </c>
      <c r="D433" s="17" t="n">
        <v>1</v>
      </c>
      <c r="E433" s="17" t="n">
        <v>1</v>
      </c>
      <c r="F433" s="17" t="n">
        <v>1</v>
      </c>
      <c r="G433" s="17" t="n">
        <v>0</v>
      </c>
      <c r="H433" s="17" t="n">
        <v>0</v>
      </c>
      <c r="I433" s="17" t="n">
        <v>1</v>
      </c>
      <c r="J433" s="17" t="n">
        <v>1</v>
      </c>
      <c r="K433" s="17" t="n">
        <v>1</v>
      </c>
      <c r="L433" s="17" t="n">
        <v>1</v>
      </c>
      <c r="M433" s="17" t="n">
        <v>1</v>
      </c>
      <c r="N433" s="17" t="n">
        <v>1</v>
      </c>
      <c r="O433" s="17" t="n">
        <v>1</v>
      </c>
      <c r="P433" s="17" t="n">
        <v>1</v>
      </c>
      <c r="Q433" s="17" t="n">
        <v>1</v>
      </c>
      <c r="R433" s="17" t="n">
        <v>1</v>
      </c>
      <c r="T433" s="17">
        <f>DAY(C433)</f>
        <v/>
      </c>
      <c r="U433" s="17">
        <f>MONTH(C433)</f>
        <v/>
      </c>
      <c r="V433" s="17" t="n">
        <v>2025</v>
      </c>
    </row>
    <row r="434" hidden="1" ht="22.5" customHeight="1" s="117">
      <c r="A434" s="14" t="n">
        <v>45996.33840193287</v>
      </c>
      <c r="B434" s="17" t="inlineStr">
        <is>
          <t>Phan Thành Thái</t>
        </is>
      </c>
      <c r="C434" s="16" t="n">
        <v>45995</v>
      </c>
      <c r="D434" s="17" t="n">
        <v>0</v>
      </c>
      <c r="E434" s="17" t="n">
        <v>0</v>
      </c>
      <c r="F434" s="17" t="n">
        <v>0</v>
      </c>
      <c r="G434" s="17" t="n">
        <v>0</v>
      </c>
      <c r="H434" s="17" t="n">
        <v>0</v>
      </c>
      <c r="I434" s="17" t="n">
        <v>2</v>
      </c>
      <c r="J434" s="17" t="n">
        <v>0</v>
      </c>
      <c r="K434" s="17" t="n">
        <v>0</v>
      </c>
      <c r="L434" s="17" t="n">
        <v>2</v>
      </c>
      <c r="M434" s="17" t="n">
        <v>0</v>
      </c>
      <c r="N434" s="17" t="n">
        <v>1</v>
      </c>
      <c r="O434" s="17" t="n">
        <v>0</v>
      </c>
      <c r="P434" s="17" t="n">
        <v>1</v>
      </c>
      <c r="Q434" s="17" t="n">
        <v>6</v>
      </c>
      <c r="R434" s="17" t="n">
        <v>0</v>
      </c>
      <c r="T434" s="17">
        <f>DAY(C434)</f>
        <v/>
      </c>
      <c r="U434" s="17">
        <f>MONTH(C434)</f>
        <v/>
      </c>
      <c r="V434" s="17" t="n">
        <v>2025</v>
      </c>
    </row>
    <row r="435" hidden="1" ht="22.5" customHeight="1" s="117">
      <c r="A435" s="14" t="n">
        <v>45996.34231436343</v>
      </c>
      <c r="B435" s="17" t="inlineStr">
        <is>
          <t>Nguyễn Thành Lâm</t>
        </is>
      </c>
      <c r="C435" s="16" t="n">
        <v>45995</v>
      </c>
      <c r="D435" s="17" t="n">
        <v>0</v>
      </c>
      <c r="E435" s="17" t="n">
        <v>0</v>
      </c>
      <c r="F435" s="17" t="n">
        <v>0</v>
      </c>
      <c r="G435" s="17" t="n">
        <v>0</v>
      </c>
      <c r="H435" s="17" t="n">
        <v>0</v>
      </c>
      <c r="I435" s="17" t="n">
        <v>0</v>
      </c>
      <c r="J435" s="17" t="n">
        <v>0</v>
      </c>
      <c r="K435" s="17" t="n">
        <v>0</v>
      </c>
      <c r="L435" s="17" t="n">
        <v>6</v>
      </c>
      <c r="M435" s="17" t="n">
        <v>0</v>
      </c>
      <c r="N435" s="17" t="n">
        <v>0</v>
      </c>
      <c r="O435" s="17" t="n">
        <v>0</v>
      </c>
      <c r="P435" s="17" t="n">
        <v>0</v>
      </c>
      <c r="Q435" s="17" t="n">
        <v>3</v>
      </c>
      <c r="R435" s="17" t="n">
        <v>0</v>
      </c>
      <c r="T435" s="17">
        <f>DAY(C435)</f>
        <v/>
      </c>
      <c r="U435" s="17">
        <f>MONTH(C435)</f>
        <v/>
      </c>
      <c r="V435" s="17" t="n">
        <v>2025</v>
      </c>
    </row>
    <row r="436" hidden="1" ht="22.5" customHeight="1" s="117">
      <c r="A436" s="14" t="n">
        <v>45996.42949267361</v>
      </c>
      <c r="B436" s="17" t="inlineStr">
        <is>
          <t>Nguyễn Hồng Minh</t>
        </is>
      </c>
      <c r="C436" s="16" t="n">
        <v>45995</v>
      </c>
      <c r="D436" s="17" t="n">
        <v>0</v>
      </c>
      <c r="E436" s="17" t="n">
        <v>0</v>
      </c>
      <c r="F436" s="17" t="n">
        <v>0</v>
      </c>
      <c r="G436" s="17" t="n">
        <v>0</v>
      </c>
      <c r="H436" s="17" t="n">
        <v>0</v>
      </c>
      <c r="I436" s="17" t="n">
        <v>0</v>
      </c>
      <c r="J436" s="17" t="n">
        <v>0</v>
      </c>
      <c r="K436" s="17" t="n">
        <v>3</v>
      </c>
      <c r="L436" s="17" t="n">
        <v>0</v>
      </c>
      <c r="M436" s="17" t="n">
        <v>0</v>
      </c>
      <c r="N436" s="17" t="n">
        <v>0</v>
      </c>
      <c r="O436" s="17" t="n">
        <v>0</v>
      </c>
      <c r="P436" s="17" t="n">
        <v>0</v>
      </c>
      <c r="Q436" s="17" t="n">
        <v>6</v>
      </c>
      <c r="R436" s="17" t="n">
        <v>0</v>
      </c>
      <c r="T436" s="17">
        <f>DAY(C436)</f>
        <v/>
      </c>
      <c r="U436" s="17">
        <f>MONTH(C436)</f>
        <v/>
      </c>
      <c r="V436" s="17" t="n">
        <v>2025</v>
      </c>
    </row>
    <row r="437" hidden="1" ht="22.5" customHeight="1" s="117">
      <c r="A437" s="14" t="n">
        <v>45996.84703561343</v>
      </c>
      <c r="B437" s="17" t="inlineStr">
        <is>
          <t>Đặng Hữu Danh</t>
        </is>
      </c>
      <c r="C437" s="16" t="n">
        <v>45996</v>
      </c>
      <c r="D437" s="17" t="n">
        <v>0</v>
      </c>
      <c r="E437" s="17" t="n">
        <v>0</v>
      </c>
      <c r="F437" s="17" t="n">
        <v>0</v>
      </c>
      <c r="G437" s="17" t="n">
        <v>0</v>
      </c>
      <c r="H437" s="17" t="n">
        <v>0</v>
      </c>
      <c r="I437" s="17" t="n">
        <v>0</v>
      </c>
      <c r="J437" s="17" t="n">
        <v>0</v>
      </c>
      <c r="K437" s="17" t="n">
        <v>2</v>
      </c>
      <c r="L437" s="17" t="n">
        <v>0</v>
      </c>
      <c r="M437" s="17" t="n">
        <v>0</v>
      </c>
      <c r="N437" s="17" t="n">
        <v>0</v>
      </c>
      <c r="O437" s="17" t="n">
        <v>0</v>
      </c>
      <c r="P437" s="17" t="n">
        <v>1</v>
      </c>
      <c r="Q437" s="17" t="n">
        <v>3</v>
      </c>
      <c r="R437" s="17" t="n">
        <v>0</v>
      </c>
      <c r="T437" s="17">
        <f>DAY(C437)</f>
        <v/>
      </c>
      <c r="U437" s="17">
        <f>MONTH(C437)</f>
        <v/>
      </c>
      <c r="V437" s="17" t="n">
        <v>2025</v>
      </c>
    </row>
    <row r="438" hidden="1" ht="22.5" customHeight="1" s="117">
      <c r="A438" s="14" t="n">
        <v>45996.86589212963</v>
      </c>
      <c r="B438" s="17" t="inlineStr">
        <is>
          <t>Trần Minh Khánh</t>
        </is>
      </c>
      <c r="C438" s="16" t="n">
        <v>45996</v>
      </c>
      <c r="D438" s="17" t="n">
        <v>1</v>
      </c>
      <c r="E438" s="17" t="n">
        <v>0</v>
      </c>
      <c r="F438" s="17" t="n">
        <v>0</v>
      </c>
      <c r="G438" s="17" t="n">
        <v>0</v>
      </c>
      <c r="H438" s="17" t="n">
        <v>0</v>
      </c>
      <c r="I438" s="17" t="n">
        <v>3</v>
      </c>
      <c r="J438" s="17" t="n">
        <v>0</v>
      </c>
      <c r="K438" s="17" t="n">
        <v>0</v>
      </c>
      <c r="L438" s="17" t="n">
        <v>3</v>
      </c>
      <c r="M438" s="17" t="n">
        <v>0</v>
      </c>
      <c r="N438" s="17" t="n">
        <v>2</v>
      </c>
      <c r="O438" s="17" t="n">
        <v>0</v>
      </c>
      <c r="P438" s="17" t="n">
        <v>0</v>
      </c>
      <c r="Q438" s="17" t="n">
        <v>5</v>
      </c>
      <c r="R438" s="17" t="n">
        <v>0</v>
      </c>
      <c r="T438" s="17">
        <f>DAY(C438)</f>
        <v/>
      </c>
      <c r="U438" s="17">
        <f>MONTH(C438)</f>
        <v/>
      </c>
      <c r="V438" s="17" t="n">
        <v>2025</v>
      </c>
    </row>
    <row r="439" hidden="1" ht="22.5" customHeight="1" s="117">
      <c r="A439" s="14" t="n">
        <v>45996.95286849537</v>
      </c>
      <c r="B439" s="17" t="inlineStr">
        <is>
          <t>Phan Ngọc Sang</t>
        </is>
      </c>
      <c r="C439" s="16" t="n">
        <v>45996</v>
      </c>
      <c r="D439" s="17" t="n">
        <v>1</v>
      </c>
      <c r="E439" s="17" t="n">
        <v>1</v>
      </c>
      <c r="F439" s="17" t="n">
        <v>0</v>
      </c>
      <c r="G439" s="17" t="n">
        <v>0</v>
      </c>
      <c r="H439" s="17" t="n">
        <v>0</v>
      </c>
      <c r="I439" s="17" t="n">
        <v>2</v>
      </c>
      <c r="J439" s="17" t="n">
        <v>0</v>
      </c>
      <c r="K439" s="17" t="n">
        <v>0</v>
      </c>
      <c r="L439" s="17" t="n">
        <v>0</v>
      </c>
      <c r="M439" s="17" t="n">
        <v>1</v>
      </c>
      <c r="N439" s="17" t="n">
        <v>1</v>
      </c>
      <c r="O439" s="17" t="n">
        <v>0</v>
      </c>
      <c r="P439" s="17" t="n">
        <v>0</v>
      </c>
      <c r="Q439" s="17" t="n">
        <v>4</v>
      </c>
      <c r="R439" s="17" t="n">
        <v>0</v>
      </c>
      <c r="T439" s="17">
        <f>DAY(C439)</f>
        <v/>
      </c>
      <c r="U439" s="17">
        <f>MONTH(C439)</f>
        <v/>
      </c>
      <c r="V439" s="17" t="n">
        <v>2025</v>
      </c>
    </row>
    <row r="440" hidden="1" ht="22.5" customHeight="1" s="117">
      <c r="A440" s="14" t="n">
        <v>45997.25220048611</v>
      </c>
      <c r="B440" s="17" t="inlineStr">
        <is>
          <t>Phan Thành Thái</t>
        </is>
      </c>
      <c r="C440" s="16" t="n">
        <v>45996</v>
      </c>
      <c r="D440" s="17" t="n">
        <v>1</v>
      </c>
      <c r="E440" s="17" t="n">
        <v>0</v>
      </c>
      <c r="F440" s="17" t="n">
        <v>0</v>
      </c>
      <c r="G440" s="17" t="n">
        <v>0</v>
      </c>
      <c r="H440" s="17" t="n">
        <v>0</v>
      </c>
      <c r="I440" s="17" t="n">
        <v>2</v>
      </c>
      <c r="J440" s="17" t="n">
        <v>0</v>
      </c>
      <c r="K440" s="17" t="n">
        <v>0</v>
      </c>
      <c r="L440" s="17" t="n">
        <v>2</v>
      </c>
      <c r="M440" s="17" t="n">
        <v>2</v>
      </c>
      <c r="N440" s="17" t="n">
        <v>0</v>
      </c>
      <c r="O440" s="17" t="n">
        <v>0</v>
      </c>
      <c r="P440" s="17" t="n">
        <v>1</v>
      </c>
      <c r="Q440" s="17" t="n">
        <v>4</v>
      </c>
      <c r="R440" s="17" t="n">
        <v>0</v>
      </c>
      <c r="T440" s="17">
        <f>DAY(C440)</f>
        <v/>
      </c>
      <c r="U440" s="17">
        <f>MONTH(C440)</f>
        <v/>
      </c>
      <c r="V440" s="17" t="n">
        <v>2025</v>
      </c>
    </row>
    <row r="441" hidden="1" ht="22.5" customHeight="1" s="117">
      <c r="A441" s="14" t="n">
        <v>45997.25981936343</v>
      </c>
      <c r="B441" s="17" t="inlineStr">
        <is>
          <t>Trần Xuân Khoa</t>
        </is>
      </c>
      <c r="C441" s="16" t="n">
        <v>45996</v>
      </c>
      <c r="D441" s="17" t="n">
        <v>0</v>
      </c>
      <c r="E441" s="17" t="n">
        <v>0</v>
      </c>
      <c r="F441" s="17" t="n">
        <v>0</v>
      </c>
      <c r="G441" s="17" t="n">
        <v>0</v>
      </c>
      <c r="H441" s="17" t="n">
        <v>0</v>
      </c>
      <c r="I441" s="17" t="n">
        <v>2</v>
      </c>
      <c r="J441" s="17" t="n">
        <v>0</v>
      </c>
      <c r="K441" s="17" t="n">
        <v>0</v>
      </c>
      <c r="L441" s="17" t="n">
        <v>1</v>
      </c>
      <c r="M441" s="17" t="n">
        <v>0</v>
      </c>
      <c r="N441" s="17" t="n">
        <v>0</v>
      </c>
      <c r="O441" s="17" t="n">
        <v>0</v>
      </c>
      <c r="P441" s="17" t="n">
        <v>0</v>
      </c>
      <c r="Q441" s="17" t="n">
        <v>3</v>
      </c>
      <c r="R441" s="17" t="n">
        <v>0</v>
      </c>
      <c r="T441" s="17">
        <f>DAY(C441)</f>
        <v/>
      </c>
      <c r="U441" s="17">
        <f>MONTH(C441)</f>
        <v/>
      </c>
      <c r="V441" s="17" t="n">
        <v>2025</v>
      </c>
    </row>
    <row r="442" hidden="1" ht="22.5" customHeight="1" s="117">
      <c r="A442" s="14" t="n">
        <v>45997.26037153935</v>
      </c>
      <c r="B442" s="17" t="inlineStr">
        <is>
          <t>Vòng Nhật Sang</t>
        </is>
      </c>
      <c r="C442" s="16" t="n">
        <v>45996</v>
      </c>
      <c r="D442" s="17" t="n">
        <v>0</v>
      </c>
      <c r="E442" s="17" t="n">
        <v>0</v>
      </c>
      <c r="F442" s="17" t="n">
        <v>0</v>
      </c>
      <c r="G442" s="17" t="n">
        <v>0</v>
      </c>
      <c r="H442" s="17" t="n">
        <v>0</v>
      </c>
      <c r="I442" s="17" t="n">
        <v>0</v>
      </c>
      <c r="J442" s="17" t="n">
        <v>0</v>
      </c>
      <c r="K442" s="17" t="n">
        <v>3</v>
      </c>
      <c r="L442" s="17" t="n">
        <v>2</v>
      </c>
      <c r="M442" s="17" t="n">
        <v>0</v>
      </c>
      <c r="N442" s="17" t="n">
        <v>0</v>
      </c>
      <c r="O442" s="17" t="n">
        <v>0</v>
      </c>
      <c r="P442" s="17" t="n">
        <v>0</v>
      </c>
      <c r="Q442" s="17" t="n">
        <v>2</v>
      </c>
      <c r="R442" s="17" t="n">
        <v>0</v>
      </c>
      <c r="T442" s="17">
        <f>DAY(C442)</f>
        <v/>
      </c>
      <c r="U442" s="17">
        <f>MONTH(C442)</f>
        <v/>
      </c>
      <c r="V442" s="17" t="n">
        <v>2025</v>
      </c>
    </row>
    <row r="443" hidden="1" ht="22.5" customHeight="1" s="117">
      <c r="A443" s="14" t="n">
        <v>45997.28198783565</v>
      </c>
      <c r="B443" s="17" t="inlineStr">
        <is>
          <t>Lương Duy Hải</t>
        </is>
      </c>
      <c r="C443" s="16" t="n">
        <v>45996</v>
      </c>
      <c r="D443" s="17" t="n">
        <v>0</v>
      </c>
      <c r="E443" s="17" t="n">
        <v>0</v>
      </c>
      <c r="F443" s="17" t="n">
        <v>1</v>
      </c>
      <c r="G443" s="17" t="n">
        <v>0</v>
      </c>
      <c r="H443" s="17" t="n">
        <v>0</v>
      </c>
      <c r="I443" s="17" t="n">
        <v>0</v>
      </c>
      <c r="J443" s="17" t="n">
        <v>1</v>
      </c>
      <c r="K443" s="17" t="n">
        <v>2</v>
      </c>
      <c r="L443" s="17" t="n">
        <v>0</v>
      </c>
      <c r="M443" s="17" t="n">
        <v>0</v>
      </c>
      <c r="N443" s="17" t="n">
        <v>1</v>
      </c>
      <c r="O443" s="17" t="n">
        <v>0</v>
      </c>
      <c r="P443" s="17" t="n">
        <v>1</v>
      </c>
      <c r="Q443" s="17" t="n">
        <v>4</v>
      </c>
      <c r="R443" s="17" t="n">
        <v>0</v>
      </c>
      <c r="T443" s="17">
        <f>DAY(C443)</f>
        <v/>
      </c>
      <c r="U443" s="17">
        <f>MONTH(C443)</f>
        <v/>
      </c>
      <c r="V443" s="17" t="n">
        <v>2025</v>
      </c>
    </row>
    <row r="444" hidden="1" ht="22.5" customHeight="1" s="117">
      <c r="A444" s="14" t="n">
        <v>45997.28317226852</v>
      </c>
      <c r="B444" s="17" t="inlineStr">
        <is>
          <t>Lê Quốc Duy</t>
        </is>
      </c>
      <c r="C444" s="16" t="n">
        <v>45996</v>
      </c>
      <c r="D444" s="17" t="n">
        <v>0</v>
      </c>
      <c r="E444" s="17" t="n">
        <v>0</v>
      </c>
      <c r="F444" s="17" t="n">
        <v>0</v>
      </c>
      <c r="G444" s="17" t="n">
        <v>0</v>
      </c>
      <c r="H444" s="17" t="n">
        <v>0</v>
      </c>
      <c r="I444" s="17" t="n">
        <v>1</v>
      </c>
      <c r="J444" s="17" t="n">
        <v>0</v>
      </c>
      <c r="K444" s="17" t="n">
        <v>0</v>
      </c>
      <c r="L444" s="17" t="n">
        <v>6</v>
      </c>
      <c r="M444" s="17" t="n">
        <v>0</v>
      </c>
      <c r="N444" s="17" t="n">
        <v>0</v>
      </c>
      <c r="O444" s="17" t="n">
        <v>4</v>
      </c>
      <c r="P444" s="17" t="n">
        <v>0</v>
      </c>
      <c r="Q444" s="17" t="n">
        <v>1</v>
      </c>
      <c r="R444" s="17" t="n">
        <v>0</v>
      </c>
      <c r="T444" s="17">
        <f>DAY(C444)</f>
        <v/>
      </c>
      <c r="U444" s="17">
        <f>MONTH(C444)</f>
        <v/>
      </c>
      <c r="V444" s="17" t="n">
        <v>2025</v>
      </c>
    </row>
    <row r="445" hidden="1" ht="22.5" customHeight="1" s="117">
      <c r="A445" s="14" t="n">
        <v>45997.28789938657</v>
      </c>
      <c r="B445" s="17" t="inlineStr">
        <is>
          <t>Hồ Xuân Việt</t>
        </is>
      </c>
      <c r="C445" s="16" t="n">
        <v>45996</v>
      </c>
      <c r="D445" s="17" t="n">
        <v>0</v>
      </c>
      <c r="E445" s="17" t="n">
        <v>0</v>
      </c>
      <c r="F445" s="17" t="n">
        <v>0</v>
      </c>
      <c r="G445" s="17" t="n">
        <v>0</v>
      </c>
      <c r="H445" s="17" t="n">
        <v>0</v>
      </c>
      <c r="I445" s="17" t="n">
        <v>2</v>
      </c>
      <c r="J445" s="17" t="n">
        <v>0</v>
      </c>
      <c r="K445" s="17" t="n">
        <v>0</v>
      </c>
      <c r="L445" s="17" t="n">
        <v>0</v>
      </c>
      <c r="M445" s="17" t="n">
        <v>0</v>
      </c>
      <c r="N445" s="17" t="n">
        <v>0</v>
      </c>
      <c r="O445" s="17" t="n">
        <v>0</v>
      </c>
      <c r="P445" s="17" t="n">
        <v>0</v>
      </c>
      <c r="Q445" s="17" t="n">
        <v>1</v>
      </c>
      <c r="R445" s="17" t="n">
        <v>0</v>
      </c>
      <c r="T445" s="17">
        <f>DAY(C445)</f>
        <v/>
      </c>
      <c r="U445" s="17">
        <f>MONTH(C445)</f>
        <v/>
      </c>
      <c r="V445" s="17" t="n">
        <v>2025</v>
      </c>
    </row>
    <row r="446" hidden="1" ht="22.5" customHeight="1" s="117">
      <c r="A446" s="14" t="n">
        <v>45997.290373125</v>
      </c>
      <c r="B446" s="17" t="inlineStr">
        <is>
          <t>Nguyễn Thành Lâm</t>
        </is>
      </c>
      <c r="C446" s="16" t="n">
        <v>45996</v>
      </c>
      <c r="D446" s="17" t="n">
        <v>0</v>
      </c>
      <c r="E446" s="17" t="n">
        <v>0</v>
      </c>
      <c r="F446" s="17" t="n">
        <v>1</v>
      </c>
      <c r="G446" s="17" t="n">
        <v>0</v>
      </c>
      <c r="H446" s="17" t="n">
        <v>0</v>
      </c>
      <c r="I446" s="17" t="n">
        <v>2</v>
      </c>
      <c r="J446" s="17" t="n">
        <v>0</v>
      </c>
      <c r="K446" s="17" t="n">
        <v>2</v>
      </c>
      <c r="L446" s="17" t="n">
        <v>0</v>
      </c>
      <c r="M446" s="17" t="n">
        <v>0</v>
      </c>
      <c r="N446" s="17" t="n">
        <v>0</v>
      </c>
      <c r="O446" s="17" t="n">
        <v>0</v>
      </c>
      <c r="P446" s="17" t="n">
        <v>0</v>
      </c>
      <c r="Q446" s="17" t="n">
        <v>3</v>
      </c>
      <c r="R446" s="17" t="n">
        <v>0</v>
      </c>
      <c r="T446" s="17">
        <f>DAY(C446)</f>
        <v/>
      </c>
      <c r="U446" s="17">
        <f>MONTH(C446)</f>
        <v/>
      </c>
      <c r="V446" s="17" t="n">
        <v>2025</v>
      </c>
    </row>
    <row r="447" hidden="1" ht="22.5" customHeight="1" s="117">
      <c r="A447" s="14" t="n">
        <v>45997.29235525463</v>
      </c>
      <c r="B447" s="17" t="inlineStr">
        <is>
          <t>Đào Công Trung</t>
        </is>
      </c>
      <c r="C447" s="16" t="n">
        <v>45996</v>
      </c>
      <c r="D447" s="17" t="n">
        <v>0</v>
      </c>
      <c r="E447" s="17" t="n">
        <v>0</v>
      </c>
      <c r="F447" s="17" t="n">
        <v>0</v>
      </c>
      <c r="G447" s="17" t="n">
        <v>0</v>
      </c>
      <c r="H447" s="17" t="n">
        <v>0</v>
      </c>
      <c r="I447" s="17" t="n">
        <v>2</v>
      </c>
      <c r="J447" s="17" t="n">
        <v>0</v>
      </c>
      <c r="K447" s="17" t="n">
        <v>5</v>
      </c>
      <c r="L447" s="17" t="n">
        <v>4</v>
      </c>
      <c r="M447" s="17" t="n">
        <v>0</v>
      </c>
      <c r="N447" s="17" t="n">
        <v>0</v>
      </c>
      <c r="O447" s="17" t="n">
        <v>0</v>
      </c>
      <c r="P447" s="17" t="n">
        <v>0</v>
      </c>
      <c r="Q447" s="17" t="n">
        <v>1</v>
      </c>
      <c r="R447" s="17" t="n">
        <v>0</v>
      </c>
      <c r="T447" s="17">
        <f>DAY(C447)</f>
        <v/>
      </c>
      <c r="U447" s="17">
        <f>MONTH(C447)</f>
        <v/>
      </c>
      <c r="V447" s="17" t="n">
        <v>2025</v>
      </c>
    </row>
    <row r="448" hidden="1" ht="22.5" customHeight="1" s="117">
      <c r="A448" s="14" t="n">
        <v>45997.30165872685</v>
      </c>
      <c r="B448" s="17" t="inlineStr">
        <is>
          <t>Nguyễn Văn Hiệp</t>
        </is>
      </c>
      <c r="C448" s="16" t="n">
        <v>45996</v>
      </c>
      <c r="D448" s="17" t="n">
        <v>0</v>
      </c>
      <c r="E448" s="17" t="n">
        <v>1</v>
      </c>
      <c r="F448" s="17" t="n">
        <v>0</v>
      </c>
      <c r="G448" s="17" t="n">
        <v>0</v>
      </c>
      <c r="H448" s="17" t="n">
        <v>0</v>
      </c>
      <c r="I448" s="17" t="n">
        <v>4</v>
      </c>
      <c r="J448" s="17" t="n">
        <v>0</v>
      </c>
      <c r="K448" s="17" t="n">
        <v>3</v>
      </c>
      <c r="L448" s="17" t="n">
        <v>0</v>
      </c>
      <c r="M448" s="17" t="n">
        <v>0</v>
      </c>
      <c r="N448" s="17" t="n">
        <v>0</v>
      </c>
      <c r="O448" s="17" t="n">
        <v>0</v>
      </c>
      <c r="P448" s="17" t="n">
        <v>0</v>
      </c>
      <c r="Q448" s="17" t="n">
        <v>0</v>
      </c>
      <c r="R448" s="17" t="n">
        <v>0</v>
      </c>
      <c r="T448" s="17">
        <f>DAY(C448)</f>
        <v/>
      </c>
      <c r="U448" s="17">
        <f>MONTH(C448)</f>
        <v/>
      </c>
      <c r="V448" s="17" t="n">
        <v>2025</v>
      </c>
    </row>
    <row r="449" hidden="1" ht="22.5" customHeight="1" s="117">
      <c r="A449" s="14" t="n">
        <v>45997.30313409722</v>
      </c>
      <c r="B449" s="17" t="inlineStr">
        <is>
          <t>Đặng Hoài Anh</t>
        </is>
      </c>
      <c r="C449" s="16" t="n">
        <v>45996</v>
      </c>
      <c r="D449" s="17" t="n">
        <v>0</v>
      </c>
      <c r="E449" s="17" t="n">
        <v>0</v>
      </c>
      <c r="F449" s="17" t="n">
        <v>0</v>
      </c>
      <c r="G449" s="17" t="n">
        <v>0</v>
      </c>
      <c r="H449" s="17" t="n">
        <v>0</v>
      </c>
      <c r="I449" s="17" t="n">
        <v>14</v>
      </c>
      <c r="J449" s="17" t="n">
        <v>0</v>
      </c>
      <c r="K449" s="17" t="n">
        <v>0</v>
      </c>
      <c r="L449" s="17" t="n">
        <v>0</v>
      </c>
      <c r="M449" s="17" t="n">
        <v>0</v>
      </c>
      <c r="N449" s="17" t="n">
        <v>0</v>
      </c>
      <c r="O449" s="17" t="n">
        <v>0</v>
      </c>
      <c r="P449" s="17" t="n">
        <v>2</v>
      </c>
      <c r="Q449" s="17" t="n">
        <v>0</v>
      </c>
      <c r="R449" s="17" t="n">
        <v>0</v>
      </c>
      <c r="T449" s="17">
        <f>DAY(C449)</f>
        <v/>
      </c>
      <c r="U449" s="17">
        <f>MONTH(C449)</f>
        <v/>
      </c>
      <c r="V449" s="17" t="n">
        <v>2025</v>
      </c>
    </row>
    <row r="450" hidden="1" ht="22.5" customHeight="1" s="117">
      <c r="A450" s="14" t="n">
        <v>45997.30348327546</v>
      </c>
      <c r="B450" s="17" t="inlineStr">
        <is>
          <t>Huỳnh Văn Lực</t>
        </is>
      </c>
      <c r="C450" s="16" t="n">
        <v>45996</v>
      </c>
      <c r="D450" s="17" t="n">
        <v>0</v>
      </c>
      <c r="E450" s="17" t="n">
        <v>0</v>
      </c>
      <c r="F450" s="17" t="n">
        <v>0</v>
      </c>
      <c r="G450" s="17" t="n">
        <v>0</v>
      </c>
      <c r="H450" s="17" t="n">
        <v>0</v>
      </c>
      <c r="I450" s="17" t="n">
        <v>1</v>
      </c>
      <c r="J450" s="17" t="n">
        <v>0</v>
      </c>
      <c r="K450" s="17" t="n">
        <v>0</v>
      </c>
      <c r="L450" s="17" t="n">
        <v>0</v>
      </c>
      <c r="M450" s="17" t="n">
        <v>0</v>
      </c>
      <c r="N450" s="17" t="n">
        <v>0</v>
      </c>
      <c r="O450" s="17" t="n">
        <v>0</v>
      </c>
      <c r="P450" s="17" t="n">
        <v>1</v>
      </c>
      <c r="Q450" s="17" t="n">
        <v>2</v>
      </c>
      <c r="R450" s="17" t="n">
        <v>0</v>
      </c>
      <c r="T450" s="17">
        <f>DAY(C450)</f>
        <v/>
      </c>
      <c r="U450" s="17">
        <f>MONTH(C450)</f>
        <v/>
      </c>
      <c r="V450" s="17" t="n">
        <v>2025</v>
      </c>
    </row>
    <row r="451" hidden="1" ht="22.5" customHeight="1" s="117">
      <c r="A451" s="14" t="n">
        <v>45997.30440793982</v>
      </c>
      <c r="B451" s="17" t="inlineStr">
        <is>
          <t>Nguyễn Quang Anh Tuấn</t>
        </is>
      </c>
      <c r="C451" s="16" t="n">
        <v>45996</v>
      </c>
      <c r="D451" s="17" t="n">
        <v>0</v>
      </c>
      <c r="E451" s="17" t="n">
        <v>0</v>
      </c>
      <c r="F451" s="17" t="n">
        <v>0</v>
      </c>
      <c r="G451" s="17" t="n">
        <v>0</v>
      </c>
      <c r="H451" s="17" t="n">
        <v>0</v>
      </c>
      <c r="I451" s="17" t="n">
        <v>15</v>
      </c>
      <c r="J451" s="17" t="n">
        <v>0</v>
      </c>
      <c r="K451" s="17" t="n">
        <v>3</v>
      </c>
      <c r="L451" s="17" t="n">
        <v>0</v>
      </c>
      <c r="M451" s="17" t="n">
        <v>0</v>
      </c>
      <c r="N451" s="17" t="n">
        <v>0</v>
      </c>
      <c r="O451" s="17" t="n">
        <v>0</v>
      </c>
      <c r="P451" s="17" t="n">
        <v>1</v>
      </c>
      <c r="Q451" s="17" t="n">
        <v>2</v>
      </c>
      <c r="R451" s="17" t="n">
        <v>0</v>
      </c>
      <c r="T451" s="17">
        <f>DAY(C451)</f>
        <v/>
      </c>
      <c r="U451" s="17">
        <f>MONTH(C451)</f>
        <v/>
      </c>
      <c r="V451" s="17" t="n">
        <v>2025</v>
      </c>
    </row>
    <row r="452" hidden="1" ht="22.5" customHeight="1" s="117">
      <c r="A452" s="14" t="n">
        <v>45997.30453546296</v>
      </c>
      <c r="B452" s="17" t="inlineStr">
        <is>
          <t>Dương Minh Tiến</t>
        </is>
      </c>
      <c r="C452" s="16" t="n">
        <v>45996</v>
      </c>
      <c r="D452" s="17" t="n">
        <v>0</v>
      </c>
      <c r="E452" s="17" t="n">
        <v>0</v>
      </c>
      <c r="F452" s="17" t="n">
        <v>0</v>
      </c>
      <c r="G452" s="17" t="n">
        <v>0</v>
      </c>
      <c r="H452" s="17" t="n">
        <v>0</v>
      </c>
      <c r="I452" s="17" t="n">
        <v>5</v>
      </c>
      <c r="J452" s="17" t="n">
        <v>0</v>
      </c>
      <c r="K452" s="17" t="n">
        <v>2</v>
      </c>
      <c r="L452" s="17" t="n">
        <v>0</v>
      </c>
      <c r="M452" s="17" t="n">
        <v>0</v>
      </c>
      <c r="N452" s="17" t="n">
        <v>0</v>
      </c>
      <c r="O452" s="17" t="n">
        <v>0</v>
      </c>
      <c r="P452" s="17" t="n">
        <v>3</v>
      </c>
      <c r="Q452" s="17" t="n">
        <v>1</v>
      </c>
      <c r="R452" s="17" t="n">
        <v>2</v>
      </c>
      <c r="T452" s="17">
        <f>DAY(C452)</f>
        <v/>
      </c>
      <c r="U452" s="17">
        <f>MONTH(C452)</f>
        <v/>
      </c>
      <c r="V452" s="17" t="n">
        <v>2025</v>
      </c>
    </row>
    <row r="453" hidden="1" ht="22.5" customHeight="1" s="117">
      <c r="A453" s="14" t="n">
        <v>45997.30492700232</v>
      </c>
      <c r="B453" s="17" t="inlineStr">
        <is>
          <t>Nguyễn Tuấn Anh</t>
        </is>
      </c>
      <c r="C453" s="16" t="n">
        <v>45996</v>
      </c>
      <c r="D453" s="17" t="n">
        <v>0</v>
      </c>
      <c r="E453" s="17" t="n">
        <v>0</v>
      </c>
      <c r="F453" s="17" t="n">
        <v>0</v>
      </c>
      <c r="G453" s="17" t="n">
        <v>0</v>
      </c>
      <c r="H453" s="17" t="n">
        <v>0</v>
      </c>
      <c r="I453" s="17" t="n">
        <v>6</v>
      </c>
      <c r="J453" s="17" t="n">
        <v>0</v>
      </c>
      <c r="K453" s="17" t="n">
        <v>2</v>
      </c>
      <c r="L453" s="17" t="n">
        <v>2</v>
      </c>
      <c r="M453" s="17" t="n">
        <v>0</v>
      </c>
      <c r="N453" s="17" t="n">
        <v>0</v>
      </c>
      <c r="O453" s="17" t="n">
        <v>0</v>
      </c>
      <c r="P453" s="17" t="n">
        <v>1</v>
      </c>
      <c r="Q453" s="17" t="n">
        <v>2</v>
      </c>
      <c r="R453" s="17" t="n">
        <v>0</v>
      </c>
      <c r="T453" s="17">
        <f>DAY(C453)</f>
        <v/>
      </c>
      <c r="U453" s="17">
        <f>MONTH(C453)</f>
        <v/>
      </c>
      <c r="V453" s="17" t="n">
        <v>2025</v>
      </c>
    </row>
    <row r="454" hidden="1" ht="22.5" customHeight="1" s="117">
      <c r="A454" s="14" t="n">
        <v>45997.30621611111</v>
      </c>
      <c r="B454" s="17" t="inlineStr">
        <is>
          <t>Trần Trung Giang</t>
        </is>
      </c>
      <c r="C454" s="16" t="n">
        <v>45996</v>
      </c>
      <c r="D454" s="17" t="n">
        <v>0</v>
      </c>
      <c r="E454" s="17" t="n">
        <v>0</v>
      </c>
      <c r="F454" s="17" t="n">
        <v>0</v>
      </c>
      <c r="G454" s="17" t="n">
        <v>0</v>
      </c>
      <c r="H454" s="17" t="n">
        <v>0</v>
      </c>
      <c r="I454" s="17" t="n">
        <v>13</v>
      </c>
      <c r="J454" s="17" t="n">
        <v>0</v>
      </c>
      <c r="K454" s="17" t="n">
        <v>0</v>
      </c>
      <c r="L454" s="17" t="n">
        <v>0</v>
      </c>
      <c r="M454" s="17" t="n">
        <v>1</v>
      </c>
      <c r="N454" s="17" t="n">
        <v>0</v>
      </c>
      <c r="O454" s="17" t="n">
        <v>0</v>
      </c>
      <c r="P454" s="17" t="n">
        <v>1</v>
      </c>
      <c r="Q454" s="17" t="n">
        <v>0</v>
      </c>
      <c r="R454" s="17" t="n">
        <v>0</v>
      </c>
      <c r="T454" s="17">
        <f>DAY(C454)</f>
        <v/>
      </c>
      <c r="U454" s="17">
        <f>MONTH(C454)</f>
        <v/>
      </c>
      <c r="V454" s="17" t="n">
        <v>2025</v>
      </c>
    </row>
    <row r="455" hidden="1" ht="22.5" customHeight="1" s="117">
      <c r="A455" s="14" t="n">
        <v>45997.30854278935</v>
      </c>
      <c r="B455" s="17" t="inlineStr">
        <is>
          <t>Lê Hồng Phong</t>
        </is>
      </c>
      <c r="C455" s="16" t="n">
        <v>45997</v>
      </c>
      <c r="D455" s="17" t="n">
        <v>1</v>
      </c>
      <c r="E455" s="17" t="n">
        <v>1</v>
      </c>
      <c r="F455" s="17" t="n">
        <v>1</v>
      </c>
      <c r="G455" s="17" t="n">
        <v>0</v>
      </c>
      <c r="H455" s="17" t="n">
        <v>0</v>
      </c>
      <c r="I455" s="17" t="n">
        <v>1</v>
      </c>
      <c r="J455" s="17" t="n">
        <v>1</v>
      </c>
      <c r="K455" s="17" t="n">
        <v>1</v>
      </c>
      <c r="L455" s="17" t="n">
        <v>1</v>
      </c>
      <c r="M455" s="17" t="n">
        <v>1</v>
      </c>
      <c r="N455" s="17" t="n">
        <v>1</v>
      </c>
      <c r="O455" s="17" t="n">
        <v>1</v>
      </c>
      <c r="P455" s="17" t="n">
        <v>1</v>
      </c>
      <c r="Q455" s="17" t="n">
        <v>1</v>
      </c>
      <c r="R455" s="17" t="n">
        <v>1</v>
      </c>
      <c r="T455" s="17">
        <f>DAY(C455)</f>
        <v/>
      </c>
      <c r="U455" s="17">
        <f>MONTH(C455)</f>
        <v/>
      </c>
      <c r="V455" s="17" t="n">
        <v>2025</v>
      </c>
    </row>
    <row r="456" hidden="1" ht="22.5" customHeight="1" s="117">
      <c r="A456" s="14" t="n">
        <v>45997.31535831019</v>
      </c>
      <c r="B456" s="17" t="inlineStr">
        <is>
          <t>Bùi Duy Cường</t>
        </is>
      </c>
      <c r="C456" s="16" t="n">
        <v>45996</v>
      </c>
      <c r="D456" s="17" t="n">
        <v>0</v>
      </c>
      <c r="E456" s="17" t="n">
        <v>0</v>
      </c>
      <c r="F456" s="17" t="n">
        <v>0</v>
      </c>
      <c r="G456" s="17" t="n">
        <v>0</v>
      </c>
      <c r="H456" s="17" t="n">
        <v>0</v>
      </c>
      <c r="I456" s="17" t="n">
        <v>5</v>
      </c>
      <c r="J456" s="17" t="n">
        <v>0</v>
      </c>
      <c r="K456" s="17" t="n">
        <v>0</v>
      </c>
      <c r="L456" s="17" t="n">
        <v>3</v>
      </c>
      <c r="M456" s="17" t="n">
        <v>0</v>
      </c>
      <c r="N456" s="17" t="n">
        <v>0</v>
      </c>
      <c r="O456" s="17" t="n">
        <v>0</v>
      </c>
      <c r="P456" s="17" t="n">
        <v>1</v>
      </c>
      <c r="Q456" s="17" t="n">
        <v>2</v>
      </c>
      <c r="R456" s="17" t="n">
        <v>0</v>
      </c>
      <c r="T456" s="17">
        <f>DAY(C456)</f>
        <v/>
      </c>
      <c r="U456" s="17">
        <f>MONTH(C456)</f>
        <v/>
      </c>
      <c r="V456" s="17" t="n">
        <v>2025</v>
      </c>
    </row>
    <row r="457" hidden="1" ht="22.5" customHeight="1" s="117">
      <c r="A457" s="14" t="n">
        <v>45997.32984638889</v>
      </c>
      <c r="B457" s="17" t="inlineStr">
        <is>
          <t>Nguyễn Văn Nhật</t>
        </is>
      </c>
      <c r="C457" s="16" t="n">
        <v>45996</v>
      </c>
      <c r="D457" s="17" t="n">
        <v>0</v>
      </c>
      <c r="E457" s="17" t="n">
        <v>0</v>
      </c>
      <c r="F457" s="17" t="n">
        <v>0</v>
      </c>
      <c r="G457" s="17" t="n">
        <v>0</v>
      </c>
      <c r="H457" s="17" t="n">
        <v>0</v>
      </c>
      <c r="I457" s="17" t="n">
        <v>0</v>
      </c>
      <c r="J457" s="17" t="n">
        <v>1</v>
      </c>
      <c r="K457" s="17" t="n">
        <v>2</v>
      </c>
      <c r="L457" s="17" t="n">
        <v>6</v>
      </c>
      <c r="M457" s="17" t="n">
        <v>1</v>
      </c>
      <c r="N457" s="17" t="n">
        <v>0</v>
      </c>
      <c r="O457" s="17" t="n">
        <v>0</v>
      </c>
      <c r="P457" s="17" t="n">
        <v>0</v>
      </c>
      <c r="Q457" s="17" t="n">
        <v>2</v>
      </c>
      <c r="R457" s="17" t="n">
        <v>0</v>
      </c>
      <c r="T457" s="17">
        <f>DAY(C457)</f>
        <v/>
      </c>
      <c r="U457" s="17">
        <f>MONTH(C457)</f>
        <v/>
      </c>
      <c r="V457" s="17" t="n">
        <v>2025</v>
      </c>
    </row>
    <row r="458" hidden="1" ht="22.5" customHeight="1" s="117">
      <c r="A458" s="14" t="n">
        <v>45997.36135777778</v>
      </c>
      <c r="B458" s="17" t="inlineStr">
        <is>
          <t>Lương Duy Hoàng</t>
        </is>
      </c>
      <c r="C458" s="16" t="n">
        <v>45996</v>
      </c>
      <c r="D458" s="17" t="n">
        <v>0</v>
      </c>
      <c r="E458" s="17" t="n">
        <v>0</v>
      </c>
      <c r="F458" s="17" t="n">
        <v>0</v>
      </c>
      <c r="G458" s="17" t="n">
        <v>0</v>
      </c>
      <c r="H458" s="17" t="n">
        <v>0</v>
      </c>
      <c r="I458" s="17" t="n">
        <v>3</v>
      </c>
      <c r="J458" s="17" t="n">
        <v>0</v>
      </c>
      <c r="K458" s="17" t="n">
        <v>2</v>
      </c>
      <c r="L458" s="17" t="n">
        <v>0</v>
      </c>
      <c r="M458" s="17" t="n">
        <v>0</v>
      </c>
      <c r="N458" s="17" t="n">
        <v>0</v>
      </c>
      <c r="O458" s="17" t="n">
        <v>0</v>
      </c>
      <c r="P458" s="17" t="n">
        <v>0</v>
      </c>
      <c r="Q458" s="17" t="n">
        <v>2</v>
      </c>
      <c r="R458" s="17" t="n">
        <v>0</v>
      </c>
      <c r="T458" s="17">
        <f>DAY(C458)</f>
        <v/>
      </c>
      <c r="U458" s="17">
        <f>MONTH(C458)</f>
        <v/>
      </c>
      <c r="V458" s="17" t="n">
        <v>2025</v>
      </c>
    </row>
    <row r="459" hidden="1" ht="22.5" customHeight="1" s="117">
      <c r="A459" s="14" t="n">
        <v>45997.36871689815</v>
      </c>
      <c r="B459" s="17" t="inlineStr">
        <is>
          <t>Lê Văn Hồng</t>
        </is>
      </c>
      <c r="C459" s="16" t="n">
        <v>45996</v>
      </c>
      <c r="D459" s="17" t="n">
        <v>0</v>
      </c>
      <c r="E459" s="17" t="n">
        <v>0</v>
      </c>
      <c r="F459" s="17" t="n">
        <v>0</v>
      </c>
      <c r="G459" s="17" t="n">
        <v>0</v>
      </c>
      <c r="H459" s="17" t="n">
        <v>0</v>
      </c>
      <c r="I459" s="17" t="n">
        <v>2</v>
      </c>
      <c r="J459" s="17" t="n">
        <v>0</v>
      </c>
      <c r="K459" s="17" t="n">
        <v>12</v>
      </c>
      <c r="L459" s="17" t="n">
        <v>2</v>
      </c>
      <c r="M459" s="17" t="n">
        <v>0</v>
      </c>
      <c r="N459" s="17" t="n">
        <v>0</v>
      </c>
      <c r="O459" s="17" t="n">
        <v>0</v>
      </c>
      <c r="P459" s="17" t="n">
        <v>1</v>
      </c>
      <c r="Q459" s="17" t="n">
        <v>3</v>
      </c>
      <c r="R459" s="17" t="n">
        <v>0</v>
      </c>
      <c r="T459" s="17">
        <f>DAY(C459)</f>
        <v/>
      </c>
      <c r="U459" s="17">
        <f>MONTH(C459)</f>
        <v/>
      </c>
      <c r="V459" s="17" t="n">
        <v>2025</v>
      </c>
    </row>
    <row r="460" hidden="1" ht="22.5" customHeight="1" s="117">
      <c r="A460" s="14" t="n">
        <v>45997.45319287037</v>
      </c>
      <c r="B460" s="17" t="inlineStr">
        <is>
          <t>Nguyễn Hồng Minh</t>
        </is>
      </c>
      <c r="C460" s="16" t="n">
        <v>45996</v>
      </c>
      <c r="D460" s="17" t="n">
        <v>0</v>
      </c>
      <c r="E460" s="17" t="n">
        <v>0</v>
      </c>
      <c r="F460" s="17" t="n">
        <v>0</v>
      </c>
      <c r="G460" s="17" t="n">
        <v>0</v>
      </c>
      <c r="H460" s="17" t="n">
        <v>0</v>
      </c>
      <c r="I460" s="17" t="n">
        <v>0</v>
      </c>
      <c r="J460" s="17" t="n">
        <v>0</v>
      </c>
      <c r="K460" s="17" t="n">
        <v>2</v>
      </c>
      <c r="L460" s="17" t="n">
        <v>0</v>
      </c>
      <c r="M460" s="17" t="n">
        <v>0</v>
      </c>
      <c r="N460" s="17" t="n">
        <v>2</v>
      </c>
      <c r="O460" s="17" t="n">
        <v>0</v>
      </c>
      <c r="P460" s="17" t="n">
        <v>0</v>
      </c>
      <c r="Q460" s="17" t="n">
        <v>3</v>
      </c>
      <c r="R460" s="17" t="n">
        <v>0</v>
      </c>
      <c r="T460" s="17">
        <f>DAY(C460)</f>
        <v/>
      </c>
      <c r="U460" s="17">
        <f>MONTH(C460)</f>
        <v/>
      </c>
      <c r="V460" s="17" t="n">
        <v>2025</v>
      </c>
    </row>
    <row r="461" hidden="1" ht="22.5" customHeight="1" s="117">
      <c r="A461" s="14" t="n">
        <v>45997.521028125</v>
      </c>
      <c r="B461" s="17" t="inlineStr">
        <is>
          <t>Hồ Thái Minh Trí</t>
        </is>
      </c>
      <c r="C461" s="16" t="n">
        <v>45996</v>
      </c>
      <c r="D461" s="17" t="n">
        <v>0</v>
      </c>
      <c r="E461" s="17" t="n">
        <v>0</v>
      </c>
      <c r="F461" s="17" t="n">
        <v>0</v>
      </c>
      <c r="G461" s="17" t="n">
        <v>0</v>
      </c>
      <c r="H461" s="17" t="n">
        <v>0</v>
      </c>
      <c r="I461" s="17" t="n">
        <v>0</v>
      </c>
      <c r="J461" s="17" t="n">
        <v>0</v>
      </c>
      <c r="K461" s="17" t="n">
        <v>0</v>
      </c>
      <c r="L461" s="17" t="n">
        <v>0</v>
      </c>
      <c r="M461" s="17" t="n">
        <v>0</v>
      </c>
      <c r="N461" s="17" t="n">
        <v>0</v>
      </c>
      <c r="O461" s="17" t="n">
        <v>0</v>
      </c>
      <c r="P461" s="17" t="n">
        <v>0</v>
      </c>
      <c r="Q461" s="17" t="n">
        <v>0</v>
      </c>
      <c r="R461" s="17" t="n">
        <v>0</v>
      </c>
      <c r="T461" s="17">
        <f>DAY(C461)</f>
        <v/>
      </c>
      <c r="U461" s="17">
        <f>MONTH(C461)</f>
        <v/>
      </c>
      <c r="V461" s="17" t="n">
        <v>2025</v>
      </c>
    </row>
    <row r="462" hidden="1" ht="22.5" customHeight="1" s="117">
      <c r="A462" s="14" t="n">
        <v>45997.77471400463</v>
      </c>
      <c r="B462" s="17" t="inlineStr">
        <is>
          <t>Nguyễn Thành Lâm</t>
        </is>
      </c>
      <c r="C462" s="16" t="n">
        <v>45997</v>
      </c>
      <c r="D462" s="17" t="n">
        <v>0</v>
      </c>
      <c r="E462" s="17" t="n">
        <v>0</v>
      </c>
      <c r="F462" s="17" t="n">
        <v>0</v>
      </c>
      <c r="G462" s="17" t="n">
        <v>0</v>
      </c>
      <c r="H462" s="17" t="n">
        <v>0</v>
      </c>
      <c r="I462" s="17" t="n">
        <v>1</v>
      </c>
      <c r="J462" s="17" t="n">
        <v>0</v>
      </c>
      <c r="K462" s="17" t="n">
        <v>3</v>
      </c>
      <c r="L462" s="17" t="n">
        <v>0</v>
      </c>
      <c r="M462" s="17" t="n">
        <v>0</v>
      </c>
      <c r="N462" s="17" t="n">
        <v>0</v>
      </c>
      <c r="O462" s="17" t="n">
        <v>0</v>
      </c>
      <c r="P462" s="17" t="n">
        <v>1</v>
      </c>
      <c r="Q462" s="17" t="n">
        <v>2</v>
      </c>
      <c r="R462" s="17" t="n">
        <v>0</v>
      </c>
      <c r="T462" s="17">
        <f>DAY(C462)</f>
        <v/>
      </c>
      <c r="U462" s="17">
        <f>MONTH(C462)</f>
        <v/>
      </c>
      <c r="V462" s="17" t="n">
        <v>2025</v>
      </c>
    </row>
    <row r="463" hidden="1" ht="22.5" customHeight="1" s="117">
      <c r="A463" s="14" t="n">
        <v>45997.83480630787</v>
      </c>
      <c r="B463" s="17" t="inlineStr">
        <is>
          <t>Đặng Hữu Danh</t>
        </is>
      </c>
      <c r="C463" s="16" t="n">
        <v>45997</v>
      </c>
      <c r="D463" s="17" t="n">
        <v>0</v>
      </c>
      <c r="E463" s="17" t="n">
        <v>0</v>
      </c>
      <c r="F463" s="17" t="n">
        <v>0</v>
      </c>
      <c r="G463" s="17" t="n">
        <v>0</v>
      </c>
      <c r="H463" s="17" t="n">
        <v>0</v>
      </c>
      <c r="I463" s="17" t="n">
        <v>1</v>
      </c>
      <c r="J463" s="17" t="n">
        <v>0</v>
      </c>
      <c r="K463" s="17" t="n">
        <v>0</v>
      </c>
      <c r="L463" s="17" t="n">
        <v>2</v>
      </c>
      <c r="M463" s="17" t="n">
        <v>0</v>
      </c>
      <c r="N463" s="17" t="n">
        <v>0</v>
      </c>
      <c r="O463" s="17" t="n">
        <v>0</v>
      </c>
      <c r="P463" s="17" t="n">
        <v>1</v>
      </c>
      <c r="Q463" s="17" t="n">
        <v>3</v>
      </c>
      <c r="R463" s="17" t="n">
        <v>0</v>
      </c>
      <c r="T463" s="17">
        <f>DAY(C463)</f>
        <v/>
      </c>
      <c r="U463" s="17">
        <f>MONTH(C463)</f>
        <v/>
      </c>
      <c r="V463" s="17" t="n">
        <v>2025</v>
      </c>
    </row>
    <row r="464" hidden="1" ht="22.5" customHeight="1" s="117">
      <c r="A464" s="14" t="n">
        <v>45997.94889693287</v>
      </c>
      <c r="B464" s="17" t="inlineStr">
        <is>
          <t>Trần Minh Khánh</t>
        </is>
      </c>
      <c r="C464" s="16" t="n">
        <v>45997</v>
      </c>
      <c r="D464" s="17" t="n">
        <v>1</v>
      </c>
      <c r="E464" s="17" t="n">
        <v>1</v>
      </c>
      <c r="F464" s="17" t="n">
        <v>0</v>
      </c>
      <c r="G464" s="17" t="n">
        <v>0</v>
      </c>
      <c r="H464" s="17" t="n">
        <v>0</v>
      </c>
      <c r="I464" s="17" t="n">
        <v>0</v>
      </c>
      <c r="J464" s="17" t="n">
        <v>0</v>
      </c>
      <c r="K464" s="17" t="n">
        <v>2</v>
      </c>
      <c r="L464" s="17" t="n">
        <v>0</v>
      </c>
      <c r="M464" s="17" t="n">
        <v>0</v>
      </c>
      <c r="N464" s="17" t="n">
        <v>1</v>
      </c>
      <c r="O464" s="17" t="n">
        <v>0</v>
      </c>
      <c r="P464" s="17" t="n">
        <v>0</v>
      </c>
      <c r="Q464" s="17" t="n">
        <v>4</v>
      </c>
      <c r="R464" s="17" t="n">
        <v>0</v>
      </c>
      <c r="T464" s="17">
        <f>DAY(C464)</f>
        <v/>
      </c>
      <c r="U464" s="17">
        <f>MONTH(C464)</f>
        <v/>
      </c>
      <c r="V464" s="17" t="n">
        <v>2025</v>
      </c>
    </row>
    <row r="465" hidden="1" ht="22.5" customHeight="1" s="117">
      <c r="A465" s="14" t="n">
        <v>45998.26243049769</v>
      </c>
      <c r="B465" s="17" t="inlineStr">
        <is>
          <t>Lê Quốc Duy</t>
        </is>
      </c>
      <c r="C465" s="16" t="n">
        <v>45997</v>
      </c>
      <c r="D465" s="17" t="n">
        <v>0</v>
      </c>
      <c r="E465" s="17" t="n">
        <v>0</v>
      </c>
      <c r="F465" s="17" t="n">
        <v>0</v>
      </c>
      <c r="G465" s="17" t="n">
        <v>0</v>
      </c>
      <c r="H465" s="17" t="n">
        <v>0</v>
      </c>
      <c r="I465" s="17" t="n">
        <v>0</v>
      </c>
      <c r="J465" s="17" t="n">
        <v>1</v>
      </c>
      <c r="K465" s="17" t="n">
        <v>0</v>
      </c>
      <c r="L465" s="17" t="n">
        <v>1</v>
      </c>
      <c r="M465" s="17" t="n">
        <v>0</v>
      </c>
      <c r="N465" s="17" t="n">
        <v>0</v>
      </c>
      <c r="O465" s="17" t="n">
        <v>0</v>
      </c>
      <c r="P465" s="17" t="n">
        <v>0</v>
      </c>
      <c r="Q465" s="17" t="n">
        <v>2</v>
      </c>
      <c r="R465" s="17" t="n">
        <v>0</v>
      </c>
      <c r="T465" s="17">
        <f>DAY(C465)</f>
        <v/>
      </c>
      <c r="U465" s="17">
        <f>MONTH(C465)</f>
        <v/>
      </c>
      <c r="V465" s="17" t="n">
        <v>2025</v>
      </c>
    </row>
    <row r="466" hidden="1" ht="22.5" customHeight="1" s="117">
      <c r="A466" s="14" t="n">
        <v>45998.26600939815</v>
      </c>
      <c r="B466" s="17" t="inlineStr">
        <is>
          <t>Phan Ngọc Sang</t>
        </is>
      </c>
      <c r="C466" s="16" t="n">
        <v>45997</v>
      </c>
      <c r="D466" s="17" t="n">
        <v>0</v>
      </c>
      <c r="E466" s="17" t="n">
        <v>0</v>
      </c>
      <c r="F466" s="17" t="n">
        <v>0</v>
      </c>
      <c r="G466" s="17" t="n">
        <v>0</v>
      </c>
      <c r="H466" s="17" t="n">
        <v>0</v>
      </c>
      <c r="I466" s="17" t="n">
        <v>1</v>
      </c>
      <c r="J466" s="17" t="n">
        <v>0</v>
      </c>
      <c r="K466" s="17" t="n">
        <v>0</v>
      </c>
      <c r="L466" s="17" t="n">
        <v>0</v>
      </c>
      <c r="M466" s="17" t="n">
        <v>0</v>
      </c>
      <c r="N466" s="17" t="n">
        <v>1</v>
      </c>
      <c r="O466" s="17" t="n">
        <v>0</v>
      </c>
      <c r="P466" s="17" t="n">
        <v>0</v>
      </c>
      <c r="Q466" s="17" t="n">
        <v>3</v>
      </c>
      <c r="R466" s="17" t="n">
        <v>0</v>
      </c>
      <c r="T466" s="17">
        <f>DAY(C466)</f>
        <v/>
      </c>
      <c r="U466" s="17">
        <f>MONTH(C466)</f>
        <v/>
      </c>
      <c r="V466" s="17" t="n">
        <v>2025</v>
      </c>
    </row>
    <row r="467" hidden="1" ht="22.5" customHeight="1" s="117">
      <c r="A467" s="14" t="n">
        <v>45998.27884938657</v>
      </c>
      <c r="B467" s="17" t="inlineStr">
        <is>
          <t>Vòng Nhật Sang</t>
        </is>
      </c>
      <c r="C467" s="16" t="n">
        <v>45997</v>
      </c>
      <c r="D467" s="17" t="n">
        <v>0</v>
      </c>
      <c r="E467" s="17" t="n">
        <v>0</v>
      </c>
      <c r="F467" s="17" t="n">
        <v>0</v>
      </c>
      <c r="G467" s="17" t="n">
        <v>0</v>
      </c>
      <c r="H467" s="17" t="n">
        <v>0</v>
      </c>
      <c r="I467" s="17" t="n">
        <v>15</v>
      </c>
      <c r="J467" s="17" t="n">
        <v>0</v>
      </c>
      <c r="K467" s="17" t="n">
        <v>2</v>
      </c>
      <c r="L467" s="17" t="n">
        <v>0</v>
      </c>
      <c r="M467" s="17" t="n">
        <v>0</v>
      </c>
      <c r="N467" s="17" t="n">
        <v>15</v>
      </c>
      <c r="O467" s="17" t="n">
        <v>0</v>
      </c>
      <c r="P467" s="17" t="n">
        <v>0</v>
      </c>
      <c r="Q467" s="17" t="n">
        <v>2</v>
      </c>
      <c r="R467" s="17" t="n">
        <v>0</v>
      </c>
      <c r="T467" s="17">
        <f>DAY(C467)</f>
        <v/>
      </c>
      <c r="U467" s="17">
        <f>MONTH(C467)</f>
        <v/>
      </c>
      <c r="V467" s="17" t="n">
        <v>2025</v>
      </c>
    </row>
    <row r="468" hidden="1" ht="22.5" customHeight="1" s="117">
      <c r="A468" s="14" t="n">
        <v>45998.27960680555</v>
      </c>
      <c r="B468" s="17" t="inlineStr">
        <is>
          <t>Hồ Xuân Việt</t>
        </is>
      </c>
      <c r="C468" s="16" t="n">
        <v>45997</v>
      </c>
      <c r="D468" s="17" t="n">
        <v>0</v>
      </c>
      <c r="E468" s="17" t="n">
        <v>0</v>
      </c>
      <c r="F468" s="17" t="n">
        <v>0</v>
      </c>
      <c r="G468" s="17" t="n">
        <v>0</v>
      </c>
      <c r="H468" s="17" t="n">
        <v>0</v>
      </c>
      <c r="I468" s="17" t="n">
        <v>9</v>
      </c>
      <c r="J468" s="17" t="n">
        <v>0</v>
      </c>
      <c r="K468" s="17" t="n">
        <v>6</v>
      </c>
      <c r="L468" s="17" t="n">
        <v>0</v>
      </c>
      <c r="M468" s="17" t="n">
        <v>0</v>
      </c>
      <c r="N468" s="17" t="n">
        <v>0</v>
      </c>
      <c r="O468" s="17" t="n">
        <v>0</v>
      </c>
      <c r="P468" s="17" t="n">
        <v>0</v>
      </c>
      <c r="Q468" s="17" t="n">
        <v>2</v>
      </c>
      <c r="R468" s="17" t="n">
        <v>0</v>
      </c>
      <c r="T468" s="17">
        <f>DAY(C468)</f>
        <v/>
      </c>
      <c r="U468" s="17">
        <f>MONTH(C468)</f>
        <v/>
      </c>
      <c r="V468" s="17" t="n">
        <v>2025</v>
      </c>
    </row>
    <row r="469" hidden="1" ht="22.5" customHeight="1" s="117">
      <c r="A469" s="14" t="n">
        <v>45998.28748325232</v>
      </c>
      <c r="B469" s="17" t="inlineStr">
        <is>
          <t>Trần Xuân Khoa</t>
        </is>
      </c>
      <c r="C469" s="16" t="n">
        <v>45997</v>
      </c>
      <c r="D469" s="17" t="n">
        <v>0</v>
      </c>
      <c r="E469" s="17" t="n">
        <v>0</v>
      </c>
      <c r="F469" s="17" t="n">
        <v>0</v>
      </c>
      <c r="G469" s="17" t="n">
        <v>0</v>
      </c>
      <c r="H469" s="17" t="n">
        <v>0</v>
      </c>
      <c r="I469" s="17" t="n">
        <v>3</v>
      </c>
      <c r="J469" s="17" t="n">
        <v>0</v>
      </c>
      <c r="K469" s="17" t="n">
        <v>4</v>
      </c>
      <c r="L469" s="17" t="n">
        <v>2</v>
      </c>
      <c r="M469" s="17" t="n">
        <v>0</v>
      </c>
      <c r="N469" s="17" t="n">
        <v>0</v>
      </c>
      <c r="O469" s="17" t="n">
        <v>0</v>
      </c>
      <c r="P469" s="17" t="n">
        <v>1</v>
      </c>
      <c r="Q469" s="17" t="n">
        <v>2</v>
      </c>
      <c r="R469" s="17" t="n">
        <v>0</v>
      </c>
      <c r="T469" s="17">
        <f>DAY(C469)</f>
        <v/>
      </c>
      <c r="U469" s="17">
        <f>MONTH(C469)</f>
        <v/>
      </c>
      <c r="V469" s="17" t="n">
        <v>2025</v>
      </c>
    </row>
    <row r="470" hidden="1" ht="22.5" customHeight="1" s="117">
      <c r="A470" s="14" t="n">
        <v>45998.2912278588</v>
      </c>
      <c r="B470" s="17" t="inlineStr">
        <is>
          <t>Lương Duy Hải</t>
        </is>
      </c>
      <c r="C470" s="16" t="n">
        <v>45997</v>
      </c>
      <c r="D470" s="17" t="n">
        <v>0</v>
      </c>
      <c r="E470" s="17" t="n">
        <v>0</v>
      </c>
      <c r="F470" s="17" t="n">
        <v>1</v>
      </c>
      <c r="G470" s="17" t="n">
        <v>0</v>
      </c>
      <c r="H470" s="17" t="n">
        <v>0</v>
      </c>
      <c r="I470" s="17" t="n">
        <v>0</v>
      </c>
      <c r="J470" s="17" t="n">
        <v>1</v>
      </c>
      <c r="K470" s="17" t="n">
        <v>1</v>
      </c>
      <c r="L470" s="17" t="n">
        <v>5</v>
      </c>
      <c r="M470" s="17" t="n">
        <v>0</v>
      </c>
      <c r="N470" s="17" t="n">
        <v>0</v>
      </c>
      <c r="O470" s="17" t="n">
        <v>2</v>
      </c>
      <c r="P470" s="17" t="n">
        <v>1</v>
      </c>
      <c r="Q470" s="17" t="n">
        <v>2</v>
      </c>
      <c r="R470" s="17" t="n">
        <v>0</v>
      </c>
      <c r="T470" s="17">
        <f>DAY(C470)</f>
        <v/>
      </c>
      <c r="U470" s="17">
        <f>MONTH(C470)</f>
        <v/>
      </c>
      <c r="V470" s="17" t="n">
        <v>2025</v>
      </c>
    </row>
    <row r="471" hidden="1" ht="22.5" customHeight="1" s="117">
      <c r="A471" s="14" t="n">
        <v>45998.2960965625</v>
      </c>
      <c r="B471" s="17" t="inlineStr">
        <is>
          <t>Phan Thành Thái</t>
        </is>
      </c>
      <c r="C471" s="16" t="n">
        <v>45997</v>
      </c>
      <c r="D471" s="17" t="n">
        <v>0</v>
      </c>
      <c r="E471" s="17" t="n">
        <v>0</v>
      </c>
      <c r="F471" s="17" t="n">
        <v>0</v>
      </c>
      <c r="G471" s="17" t="n">
        <v>0</v>
      </c>
      <c r="H471" s="17" t="n">
        <v>0</v>
      </c>
      <c r="I471" s="17" t="n">
        <v>2</v>
      </c>
      <c r="J471" s="17" t="n">
        <v>0</v>
      </c>
      <c r="K471" s="17" t="n">
        <v>2</v>
      </c>
      <c r="L471" s="17" t="n">
        <v>2</v>
      </c>
      <c r="M471" s="17" t="n">
        <v>0</v>
      </c>
      <c r="N471" s="17" t="n">
        <v>0</v>
      </c>
      <c r="O471" s="17" t="n">
        <v>0</v>
      </c>
      <c r="P471" s="17" t="n">
        <v>1</v>
      </c>
      <c r="Q471" s="17" t="n">
        <v>4</v>
      </c>
      <c r="R471" s="17" t="n">
        <v>0</v>
      </c>
      <c r="T471" s="17">
        <f>DAY(C471)</f>
        <v/>
      </c>
      <c r="U471" s="17">
        <f>MONTH(C471)</f>
        <v/>
      </c>
      <c r="V471" s="17" t="n">
        <v>2025</v>
      </c>
    </row>
    <row r="472" hidden="1" ht="22.5" customHeight="1" s="117">
      <c r="A472" s="14" t="n">
        <v>45998.30493511574</v>
      </c>
      <c r="B472" s="17" t="inlineStr">
        <is>
          <t>Nguyễn Tuấn Anh</t>
        </is>
      </c>
      <c r="C472" s="16" t="n">
        <v>45997</v>
      </c>
      <c r="D472" s="17" t="n">
        <v>2</v>
      </c>
      <c r="E472" s="17" t="n">
        <v>1</v>
      </c>
      <c r="F472" s="17" t="n">
        <v>1</v>
      </c>
      <c r="G472" s="17" t="n">
        <v>0</v>
      </c>
      <c r="H472" s="17" t="n">
        <v>0</v>
      </c>
      <c r="I472" s="17" t="n">
        <v>2</v>
      </c>
      <c r="J472" s="17" t="n">
        <v>0</v>
      </c>
      <c r="K472" s="17" t="n">
        <v>0</v>
      </c>
      <c r="L472" s="17" t="n">
        <v>0</v>
      </c>
      <c r="M472" s="17" t="n">
        <v>0</v>
      </c>
      <c r="N472" s="17" t="n">
        <v>0</v>
      </c>
      <c r="O472" s="17" t="n">
        <v>0</v>
      </c>
      <c r="P472" s="17" t="n">
        <v>0</v>
      </c>
      <c r="Q472" s="17" t="n">
        <v>2</v>
      </c>
      <c r="R472" s="17" t="n">
        <v>0</v>
      </c>
      <c r="T472" s="17">
        <f>DAY(C472)</f>
        <v/>
      </c>
      <c r="U472" s="17">
        <f>MONTH(C472)</f>
        <v/>
      </c>
      <c r="V472" s="17" t="n">
        <v>2025</v>
      </c>
    </row>
    <row r="473" hidden="1" ht="22.5" customHeight="1" s="117">
      <c r="A473" s="14" t="n">
        <v>45998.30678109953</v>
      </c>
      <c r="B473" s="17" t="inlineStr">
        <is>
          <t>Nguyễn Quang Anh Tuấn</t>
        </is>
      </c>
      <c r="C473" s="16" t="n">
        <v>45997</v>
      </c>
      <c r="D473" s="17" t="n">
        <v>0</v>
      </c>
      <c r="E473" s="17" t="n">
        <v>2</v>
      </c>
      <c r="F473" s="17" t="n">
        <v>0</v>
      </c>
      <c r="G473" s="17" t="n">
        <v>0</v>
      </c>
      <c r="H473" s="17" t="n">
        <v>0</v>
      </c>
      <c r="I473" s="17" t="n">
        <v>5</v>
      </c>
      <c r="J473" s="17" t="n">
        <v>0</v>
      </c>
      <c r="K473" s="17" t="n">
        <v>3</v>
      </c>
      <c r="L473" s="17" t="n">
        <v>0</v>
      </c>
      <c r="M473" s="17" t="n">
        <v>0</v>
      </c>
      <c r="N473" s="17" t="n">
        <v>0</v>
      </c>
      <c r="O473" s="17" t="n">
        <v>0</v>
      </c>
      <c r="P473" s="17" t="n">
        <v>0</v>
      </c>
      <c r="Q473" s="17" t="n">
        <v>0</v>
      </c>
      <c r="R473" s="17" t="n">
        <v>0</v>
      </c>
      <c r="T473" s="17">
        <f>DAY(C473)</f>
        <v/>
      </c>
      <c r="U473" s="17">
        <f>MONTH(C473)</f>
        <v/>
      </c>
      <c r="V473" s="17" t="n">
        <v>2025</v>
      </c>
    </row>
    <row r="474" hidden="1" ht="22.5" customHeight="1" s="117">
      <c r="A474" s="14" t="n">
        <v>45998.30841253472</v>
      </c>
      <c r="B474" s="17" t="inlineStr">
        <is>
          <t>Dương Minh Tiến</t>
        </is>
      </c>
      <c r="C474" s="16" t="n">
        <v>46362</v>
      </c>
      <c r="D474" s="17" t="n">
        <v>0</v>
      </c>
      <c r="E474" s="17" t="n">
        <v>0</v>
      </c>
      <c r="F474" s="17" t="n">
        <v>0</v>
      </c>
      <c r="G474" s="17" t="n">
        <v>0</v>
      </c>
      <c r="H474" s="17" t="n">
        <v>0</v>
      </c>
      <c r="I474" s="17" t="n">
        <v>2</v>
      </c>
      <c r="J474" s="17" t="n">
        <v>0</v>
      </c>
      <c r="K474" s="17" t="n">
        <v>1</v>
      </c>
      <c r="L474" s="17" t="n">
        <v>2</v>
      </c>
      <c r="M474" s="17" t="n">
        <v>1</v>
      </c>
      <c r="N474" s="17" t="n">
        <v>0</v>
      </c>
      <c r="O474" s="17" t="n">
        <v>0</v>
      </c>
      <c r="P474" s="17" t="n">
        <v>1</v>
      </c>
      <c r="Q474" s="17" t="n">
        <v>1</v>
      </c>
      <c r="R474" s="17" t="n">
        <v>0</v>
      </c>
      <c r="T474" s="17">
        <f>DAY(C474)</f>
        <v/>
      </c>
      <c r="U474" s="17">
        <f>MONTH(C474)</f>
        <v/>
      </c>
      <c r="V474" s="17" t="n">
        <v>2025</v>
      </c>
    </row>
    <row r="475" hidden="1" ht="22.5" customHeight="1" s="117">
      <c r="A475" s="14" t="n">
        <v>45998.31181266204</v>
      </c>
      <c r="B475" s="17" t="inlineStr">
        <is>
          <t>Lương Duy Hoàng</t>
        </is>
      </c>
      <c r="C475" s="16" t="n">
        <v>45997</v>
      </c>
      <c r="D475" s="17" t="n">
        <v>0</v>
      </c>
      <c r="E475" s="17" t="n">
        <v>0</v>
      </c>
      <c r="F475" s="17" t="n">
        <v>0</v>
      </c>
      <c r="G475" s="17" t="n">
        <v>0</v>
      </c>
      <c r="H475" s="17" t="n">
        <v>0</v>
      </c>
      <c r="I475" s="17" t="n">
        <v>1</v>
      </c>
      <c r="J475" s="17" t="n">
        <v>0</v>
      </c>
      <c r="K475" s="17" t="n">
        <v>3</v>
      </c>
      <c r="L475" s="17" t="n">
        <v>0</v>
      </c>
      <c r="M475" s="17" t="n">
        <v>0</v>
      </c>
      <c r="N475" s="17" t="n">
        <v>0</v>
      </c>
      <c r="O475" s="17" t="n">
        <v>0</v>
      </c>
      <c r="P475" s="17" t="n">
        <v>1</v>
      </c>
      <c r="Q475" s="17" t="n">
        <v>2</v>
      </c>
      <c r="R475" s="17" t="n">
        <v>0</v>
      </c>
      <c r="T475" s="17">
        <f>DAY(C475)</f>
        <v/>
      </c>
      <c r="U475" s="17">
        <f>MONTH(C475)</f>
        <v/>
      </c>
      <c r="V475" s="17" t="n">
        <v>2025</v>
      </c>
    </row>
    <row r="476" hidden="1" ht="22.5" customHeight="1" s="117">
      <c r="A476" s="14" t="n">
        <v>45998.31471521991</v>
      </c>
      <c r="B476" s="17" t="inlineStr">
        <is>
          <t>Trần Trung Giang</t>
        </is>
      </c>
      <c r="C476" s="16" t="n">
        <v>45997</v>
      </c>
      <c r="D476" s="17" t="n">
        <v>1</v>
      </c>
      <c r="E476" s="17" t="n">
        <v>0</v>
      </c>
      <c r="F476" s="17" t="n">
        <v>0</v>
      </c>
      <c r="G476" s="17" t="n">
        <v>0</v>
      </c>
      <c r="H476" s="17" t="n">
        <v>0</v>
      </c>
      <c r="I476" s="17" t="n">
        <v>0</v>
      </c>
      <c r="J476" s="17" t="n">
        <v>0</v>
      </c>
      <c r="K476" s="17" t="n">
        <v>0</v>
      </c>
      <c r="L476" s="17" t="n">
        <v>0</v>
      </c>
      <c r="M476" s="17" t="n">
        <v>1</v>
      </c>
      <c r="N476" s="17" t="n">
        <v>0</v>
      </c>
      <c r="O476" s="17" t="n">
        <v>0</v>
      </c>
      <c r="P476" s="17" t="n">
        <v>1</v>
      </c>
      <c r="Q476" s="17" t="n">
        <v>0</v>
      </c>
      <c r="R476" s="17" t="n">
        <v>1</v>
      </c>
      <c r="T476" s="17">
        <f>DAY(C476)</f>
        <v/>
      </c>
      <c r="U476" s="17">
        <f>MONTH(C476)</f>
        <v/>
      </c>
      <c r="V476" s="17" t="n">
        <v>2025</v>
      </c>
    </row>
    <row r="477" hidden="1" ht="22.5" customHeight="1" s="117">
      <c r="A477" s="14" t="n">
        <v>45998.32001964121</v>
      </c>
      <c r="B477" s="17" t="inlineStr">
        <is>
          <t>Nguyễn Văn Nhật</t>
        </is>
      </c>
      <c r="C477" s="16" t="n">
        <v>45997</v>
      </c>
      <c r="D477" s="17" t="n">
        <v>0</v>
      </c>
      <c r="E477" s="17" t="n">
        <v>0</v>
      </c>
      <c r="F477" s="17" t="n">
        <v>0</v>
      </c>
      <c r="G477" s="17" t="n">
        <v>0</v>
      </c>
      <c r="H477" s="17" t="n">
        <v>0</v>
      </c>
      <c r="I477" s="17" t="n">
        <v>0</v>
      </c>
      <c r="J477" s="17" t="n">
        <v>1</v>
      </c>
      <c r="K477" s="17" t="n">
        <v>4</v>
      </c>
      <c r="L477" s="17" t="n">
        <v>3</v>
      </c>
      <c r="M477" s="17" t="n">
        <v>1</v>
      </c>
      <c r="N477" s="17" t="n">
        <v>0</v>
      </c>
      <c r="O477" s="17" t="n">
        <v>2</v>
      </c>
      <c r="P477" s="17" t="n">
        <v>1</v>
      </c>
      <c r="Q477" s="17" t="n">
        <v>7</v>
      </c>
      <c r="R477" s="17" t="n">
        <v>0</v>
      </c>
      <c r="T477" s="17">
        <f>DAY(C477)</f>
        <v/>
      </c>
      <c r="U477" s="17">
        <f>MONTH(C477)</f>
        <v/>
      </c>
      <c r="V477" s="17" t="n">
        <v>2025</v>
      </c>
    </row>
    <row r="478" hidden="1" ht="22.5" customHeight="1" s="117">
      <c r="A478" s="14" t="n">
        <v>45998.32955755787</v>
      </c>
      <c r="B478" s="17" t="inlineStr">
        <is>
          <t>Huỳnh Văn Lực</t>
        </is>
      </c>
      <c r="C478" s="16" t="n">
        <v>45997</v>
      </c>
      <c r="D478" s="17" t="n">
        <v>0</v>
      </c>
      <c r="E478" s="17" t="n">
        <v>0</v>
      </c>
      <c r="F478" s="17" t="n">
        <v>0</v>
      </c>
      <c r="G478" s="17" t="n">
        <v>0</v>
      </c>
      <c r="H478" s="17" t="n">
        <v>0</v>
      </c>
      <c r="I478" s="17" t="n">
        <v>0</v>
      </c>
      <c r="J478" s="17" t="n">
        <v>0</v>
      </c>
      <c r="K478" s="17" t="n">
        <v>0</v>
      </c>
      <c r="L478" s="17" t="n">
        <v>0</v>
      </c>
      <c r="M478" s="17" t="n">
        <v>0</v>
      </c>
      <c r="N478" s="17" t="n">
        <v>0</v>
      </c>
      <c r="O478" s="17" t="n">
        <v>0</v>
      </c>
      <c r="P478" s="17" t="n">
        <v>0</v>
      </c>
      <c r="Q478" s="17" t="n">
        <v>1</v>
      </c>
      <c r="R478" s="17" t="n">
        <v>0</v>
      </c>
      <c r="T478" s="17">
        <f>DAY(C478)</f>
        <v/>
      </c>
      <c r="U478" s="17">
        <f>MONTH(C478)</f>
        <v/>
      </c>
      <c r="V478" s="17" t="n">
        <v>2025</v>
      </c>
    </row>
    <row r="479" hidden="1" ht="22.5" customHeight="1" s="117">
      <c r="A479" s="14" t="n">
        <v>45998.3372818287</v>
      </c>
      <c r="B479" s="17" t="inlineStr">
        <is>
          <t>Nguyễn Văn Hiệp</t>
        </is>
      </c>
      <c r="C479" s="16" t="n">
        <v>45997</v>
      </c>
      <c r="D479" s="17" t="n">
        <v>1</v>
      </c>
      <c r="E479" s="17" t="n">
        <v>1</v>
      </c>
      <c r="F479" s="17" t="n">
        <v>0</v>
      </c>
      <c r="G479" s="17" t="n">
        <v>0</v>
      </c>
      <c r="H479" s="17" t="n">
        <v>0</v>
      </c>
      <c r="I479" s="17" t="n">
        <v>3</v>
      </c>
      <c r="J479" s="17" t="n">
        <v>0</v>
      </c>
      <c r="K479" s="17" t="n">
        <v>0</v>
      </c>
      <c r="L479" s="17" t="n">
        <v>0</v>
      </c>
      <c r="M479" s="17" t="n">
        <v>1</v>
      </c>
      <c r="N479" s="17" t="n">
        <v>0</v>
      </c>
      <c r="O479" s="17" t="n">
        <v>0</v>
      </c>
      <c r="P479" s="17" t="n">
        <v>1</v>
      </c>
      <c r="Q479" s="17" t="n">
        <v>0</v>
      </c>
      <c r="R479" s="17" t="n">
        <v>0</v>
      </c>
      <c r="T479" s="17">
        <f>DAY(C479)</f>
        <v/>
      </c>
      <c r="U479" s="17">
        <f>MONTH(C479)</f>
        <v/>
      </c>
      <c r="V479" s="17" t="n">
        <v>2025</v>
      </c>
    </row>
    <row r="480" hidden="1" ht="22.5" customHeight="1" s="117">
      <c r="A480" s="14" t="n">
        <v>45998.33956729167</v>
      </c>
      <c r="B480" s="17" t="inlineStr">
        <is>
          <t>Hồ Thái Minh Trí</t>
        </is>
      </c>
      <c r="C480" s="16" t="n">
        <v>45996</v>
      </c>
      <c r="D480" s="17" t="n">
        <v>0</v>
      </c>
      <c r="E480" s="17" t="n">
        <v>0</v>
      </c>
      <c r="F480" s="17" t="n">
        <v>0</v>
      </c>
      <c r="G480" s="17" t="n">
        <v>0</v>
      </c>
      <c r="H480" s="17" t="n">
        <v>0</v>
      </c>
      <c r="I480" s="17" t="n">
        <v>0</v>
      </c>
      <c r="J480" s="17" t="n">
        <v>0</v>
      </c>
      <c r="K480" s="17" t="n">
        <v>0</v>
      </c>
      <c r="L480" s="17" t="n">
        <v>0</v>
      </c>
      <c r="M480" s="17" t="n">
        <v>0</v>
      </c>
      <c r="N480" s="17" t="n">
        <v>0</v>
      </c>
      <c r="O480" s="17" t="n">
        <v>0</v>
      </c>
      <c r="P480" s="17" t="n">
        <v>0</v>
      </c>
      <c r="Q480" s="17" t="n">
        <v>0</v>
      </c>
      <c r="R480" s="17" t="n">
        <v>0</v>
      </c>
      <c r="T480" s="17">
        <f>DAY(C480)</f>
        <v/>
      </c>
      <c r="U480" s="17">
        <f>MONTH(C480)</f>
        <v/>
      </c>
      <c r="V480" s="17" t="n">
        <v>2025</v>
      </c>
    </row>
    <row r="481" hidden="1" ht="22.5" customHeight="1" s="117">
      <c r="A481" s="14" t="n">
        <v>45998.3451189699</v>
      </c>
      <c r="B481" s="17" t="inlineStr">
        <is>
          <t>Nguyễn Hồng Minh</t>
        </is>
      </c>
      <c r="C481" s="16" t="n">
        <v>45997</v>
      </c>
      <c r="D481" s="17" t="n">
        <v>0</v>
      </c>
      <c r="E481" s="17" t="n">
        <v>0</v>
      </c>
      <c r="F481" s="17" t="n">
        <v>0</v>
      </c>
      <c r="G481" s="17" t="n">
        <v>0</v>
      </c>
      <c r="H481" s="17" t="n">
        <v>0</v>
      </c>
      <c r="I481" s="17" t="n">
        <v>1</v>
      </c>
      <c r="J481" s="17" t="n">
        <v>0</v>
      </c>
      <c r="K481" s="17" t="n">
        <v>0</v>
      </c>
      <c r="L481" s="17" t="n">
        <v>0</v>
      </c>
      <c r="M481" s="17" t="n">
        <v>0</v>
      </c>
      <c r="N481" s="17" t="n">
        <v>2</v>
      </c>
      <c r="O481" s="17" t="n">
        <v>0</v>
      </c>
      <c r="P481" s="17" t="n">
        <v>0</v>
      </c>
      <c r="Q481" s="17" t="n">
        <v>5</v>
      </c>
      <c r="R481" s="17" t="n">
        <v>0</v>
      </c>
      <c r="T481" s="17">
        <f>DAY(C481)</f>
        <v/>
      </c>
      <c r="U481" s="17">
        <f>MONTH(C481)</f>
        <v/>
      </c>
      <c r="V481" s="17" t="n">
        <v>2025</v>
      </c>
    </row>
    <row r="482" hidden="1" ht="22.5" customHeight="1" s="117">
      <c r="A482" s="14" t="n">
        <v>45998.34643318287</v>
      </c>
      <c r="B482" s="17" t="inlineStr">
        <is>
          <t>Đào Công Trung</t>
        </is>
      </c>
      <c r="C482" s="16" t="n">
        <v>45997</v>
      </c>
      <c r="D482" s="17" t="n">
        <v>0</v>
      </c>
      <c r="E482" s="17" t="n">
        <v>0</v>
      </c>
      <c r="F482" s="17" t="n">
        <v>0</v>
      </c>
      <c r="G482" s="17" t="n">
        <v>0</v>
      </c>
      <c r="H482" s="17" t="n">
        <v>0</v>
      </c>
      <c r="I482" s="17" t="n">
        <v>0</v>
      </c>
      <c r="J482" s="17" t="n">
        <v>0</v>
      </c>
      <c r="K482" s="17" t="n">
        <v>0</v>
      </c>
      <c r="L482" s="17" t="n">
        <v>2</v>
      </c>
      <c r="M482" s="17" t="n">
        <v>1</v>
      </c>
      <c r="N482" s="17" t="n">
        <v>2</v>
      </c>
      <c r="O482" s="17" t="n">
        <v>0</v>
      </c>
      <c r="P482" s="17" t="n">
        <v>0</v>
      </c>
      <c r="Q482" s="17" t="n">
        <v>0</v>
      </c>
      <c r="R482" s="17" t="n">
        <v>0</v>
      </c>
      <c r="T482" s="17">
        <f>DAY(C482)</f>
        <v/>
      </c>
      <c r="U482" s="17">
        <f>MONTH(C482)</f>
        <v/>
      </c>
      <c r="V482" s="17" t="n">
        <v>2025</v>
      </c>
    </row>
    <row r="483" hidden="1" ht="22.5" customHeight="1" s="117">
      <c r="A483" s="14" t="n">
        <v>45998.35073252315</v>
      </c>
      <c r="B483" s="17" t="inlineStr">
        <is>
          <t>Lê Văn Hồng</t>
        </is>
      </c>
      <c r="C483" s="16" t="n">
        <v>45997</v>
      </c>
      <c r="D483" s="17" t="n">
        <v>0</v>
      </c>
      <c r="E483" s="17" t="n">
        <v>0</v>
      </c>
      <c r="F483" s="17" t="n">
        <v>0</v>
      </c>
      <c r="G483" s="17" t="n">
        <v>0</v>
      </c>
      <c r="H483" s="17" t="n">
        <v>0</v>
      </c>
      <c r="I483" s="17" t="n">
        <v>2</v>
      </c>
      <c r="J483" s="17" t="n">
        <v>0</v>
      </c>
      <c r="K483" s="17" t="n">
        <v>2</v>
      </c>
      <c r="L483" s="17" t="n">
        <v>1</v>
      </c>
      <c r="M483" s="17" t="n">
        <v>0</v>
      </c>
      <c r="N483" s="17" t="n">
        <v>2</v>
      </c>
      <c r="O483" s="17" t="n">
        <v>0</v>
      </c>
      <c r="P483" s="17" t="n">
        <v>3</v>
      </c>
      <c r="Q483" s="17" t="n">
        <v>2</v>
      </c>
      <c r="R483" s="17" t="n">
        <v>0</v>
      </c>
      <c r="T483" s="17">
        <f>DAY(C483)</f>
        <v/>
      </c>
      <c r="U483" s="17">
        <f>MONTH(C483)</f>
        <v/>
      </c>
      <c r="V483" s="17" t="n">
        <v>2025</v>
      </c>
    </row>
    <row r="484" hidden="1" ht="22.5" customHeight="1" s="117">
      <c r="A484" s="14" t="n">
        <v>45998.36009924769</v>
      </c>
      <c r="B484" s="17" t="inlineStr">
        <is>
          <t>Lê Hồng Phong</t>
        </is>
      </c>
      <c r="C484" s="16" t="n">
        <v>45998</v>
      </c>
      <c r="D484" s="17" t="n">
        <v>1</v>
      </c>
      <c r="E484" s="17" t="n">
        <v>1</v>
      </c>
      <c r="F484" s="17" t="n">
        <v>1</v>
      </c>
      <c r="G484" s="17" t="n">
        <v>0</v>
      </c>
      <c r="H484" s="17" t="n">
        <v>0</v>
      </c>
      <c r="I484" s="17" t="n">
        <v>1</v>
      </c>
      <c r="J484" s="17" t="n">
        <v>1</v>
      </c>
      <c r="K484" s="17" t="n">
        <v>1</v>
      </c>
      <c r="L484" s="17" t="n">
        <v>1</v>
      </c>
      <c r="M484" s="17" t="n">
        <v>1</v>
      </c>
      <c r="N484" s="17" t="n">
        <v>1</v>
      </c>
      <c r="O484" s="17" t="n">
        <v>0</v>
      </c>
      <c r="P484" s="17" t="n">
        <v>1</v>
      </c>
      <c r="Q484" s="17" t="n">
        <v>1</v>
      </c>
      <c r="R484" s="17" t="n">
        <v>1</v>
      </c>
      <c r="T484" s="17">
        <f>DAY(C484)</f>
        <v/>
      </c>
      <c r="U484" s="17">
        <f>MONTH(C484)</f>
        <v/>
      </c>
      <c r="V484" s="17" t="n">
        <v>2025</v>
      </c>
    </row>
    <row r="485" hidden="1" ht="22.5" customHeight="1" s="117">
      <c r="A485" s="14" t="n">
        <v>45998.46753282408</v>
      </c>
      <c r="B485" s="17" t="inlineStr">
        <is>
          <t>Bùi Duy Cường</t>
        </is>
      </c>
      <c r="C485" s="16" t="n">
        <v>45997</v>
      </c>
      <c r="D485" s="17" t="n">
        <v>0</v>
      </c>
      <c r="E485" s="17" t="n">
        <v>0</v>
      </c>
      <c r="F485" s="17" t="n">
        <v>0</v>
      </c>
      <c r="G485" s="17" t="n">
        <v>1</v>
      </c>
      <c r="H485" s="17" t="n">
        <v>1</v>
      </c>
      <c r="I485" s="17" t="n">
        <v>1</v>
      </c>
      <c r="J485" s="17" t="n">
        <v>0</v>
      </c>
      <c r="K485" s="17" t="n">
        <v>10</v>
      </c>
      <c r="L485" s="17" t="n">
        <v>2</v>
      </c>
      <c r="M485" s="17" t="n">
        <v>1</v>
      </c>
      <c r="N485" s="17" t="n">
        <v>1</v>
      </c>
      <c r="O485" s="17" t="n">
        <v>1</v>
      </c>
      <c r="P485" s="17" t="n">
        <v>0</v>
      </c>
      <c r="Q485" s="17" t="n">
        <v>2</v>
      </c>
      <c r="R485" s="17" t="n">
        <v>0</v>
      </c>
      <c r="T485" s="17">
        <f>DAY(C485)</f>
        <v/>
      </c>
      <c r="U485" s="17">
        <f>MONTH(C485)</f>
        <v/>
      </c>
      <c r="V485" s="17" t="n">
        <v>2025</v>
      </c>
    </row>
    <row r="486" hidden="1" ht="22.5" customHeight="1" s="117">
      <c r="A486" s="14" t="n">
        <v>45998.52061554398</v>
      </c>
      <c r="B486" s="17" t="inlineStr">
        <is>
          <t>Hoàng Văn Chất</t>
        </is>
      </c>
      <c r="C486" s="16" t="n">
        <v>45998</v>
      </c>
      <c r="D486" s="17" t="n">
        <v>1</v>
      </c>
      <c r="E486" s="17" t="n">
        <v>0</v>
      </c>
      <c r="F486" s="17" t="n">
        <v>0</v>
      </c>
      <c r="G486" s="17" t="n">
        <v>0</v>
      </c>
      <c r="H486" s="17" t="n">
        <v>0</v>
      </c>
      <c r="I486" s="17" t="n">
        <v>1</v>
      </c>
      <c r="J486" s="17" t="n">
        <v>0</v>
      </c>
      <c r="K486" s="17" t="n">
        <v>2</v>
      </c>
      <c r="L486" s="17" t="n">
        <v>2</v>
      </c>
      <c r="M486" s="17" t="n">
        <v>1</v>
      </c>
      <c r="N486" s="17" t="n">
        <v>0</v>
      </c>
      <c r="O486" s="17" t="n">
        <v>0</v>
      </c>
      <c r="P486" s="17" t="n">
        <v>1</v>
      </c>
      <c r="Q486" s="17" t="n">
        <v>1</v>
      </c>
      <c r="R486" s="17" t="n">
        <v>0</v>
      </c>
      <c r="T486" s="17">
        <f>DAY(C486)</f>
        <v/>
      </c>
      <c r="U486" s="17">
        <f>MONTH(C486)</f>
        <v/>
      </c>
      <c r="V486" s="17" t="n">
        <v>2025</v>
      </c>
    </row>
    <row r="487" hidden="1" ht="22.5" customHeight="1" s="117">
      <c r="A487" s="14" t="n">
        <v>45998.58017630787</v>
      </c>
      <c r="B487" s="17" t="inlineStr">
        <is>
          <t>Đặng Hoài Anh</t>
        </is>
      </c>
      <c r="C487" s="16" t="n">
        <v>45997</v>
      </c>
      <c r="D487" s="17" t="n">
        <v>1</v>
      </c>
      <c r="E487" s="17" t="n">
        <v>1</v>
      </c>
      <c r="F487" s="17" t="n">
        <v>0</v>
      </c>
      <c r="G487" s="17" t="n">
        <v>1</v>
      </c>
      <c r="H487" s="17" t="n">
        <v>0</v>
      </c>
      <c r="I487" s="17" t="n">
        <v>0</v>
      </c>
      <c r="J487" s="17" t="n">
        <v>0</v>
      </c>
      <c r="K487" s="17" t="n">
        <v>3</v>
      </c>
      <c r="L487" s="17" t="n">
        <v>0</v>
      </c>
      <c r="M487" s="17" t="n">
        <v>2</v>
      </c>
      <c r="N487" s="17" t="n">
        <v>0</v>
      </c>
      <c r="O487" s="17" t="n">
        <v>0</v>
      </c>
      <c r="P487" s="17" t="n">
        <v>0</v>
      </c>
      <c r="Q487" s="17" t="n">
        <v>0</v>
      </c>
      <c r="R487" s="17" t="n">
        <v>0</v>
      </c>
      <c r="T487" s="17">
        <f>DAY(C487)</f>
        <v/>
      </c>
      <c r="U487" s="17">
        <f>MONTH(C487)</f>
        <v/>
      </c>
      <c r="V487" s="17" t="n">
        <v>2025</v>
      </c>
    </row>
    <row r="488" hidden="1" ht="22.5" customHeight="1" s="117">
      <c r="A488" s="14" t="n">
        <v>45998.83362104167</v>
      </c>
      <c r="B488" s="17" t="inlineStr">
        <is>
          <t>Đặng Hữu Danh</t>
        </is>
      </c>
      <c r="C488" s="16" t="n">
        <v>45998</v>
      </c>
      <c r="D488" s="17" t="n">
        <v>1</v>
      </c>
      <c r="E488" s="17" t="n">
        <v>0</v>
      </c>
      <c r="F488" s="17" t="n">
        <v>0</v>
      </c>
      <c r="G488" s="17" t="n">
        <v>0</v>
      </c>
      <c r="H488" s="17" t="n">
        <v>0</v>
      </c>
      <c r="I488" s="17" t="n">
        <v>3</v>
      </c>
      <c r="J488" s="17" t="n">
        <v>0</v>
      </c>
      <c r="K488" s="17" t="n">
        <v>0</v>
      </c>
      <c r="L488" s="17" t="n">
        <v>3</v>
      </c>
      <c r="M488" s="17" t="n">
        <v>0</v>
      </c>
      <c r="N488" s="17" t="n">
        <v>0</v>
      </c>
      <c r="O488" s="17" t="n">
        <v>0</v>
      </c>
      <c r="P488" s="17" t="n">
        <v>2</v>
      </c>
      <c r="Q488" s="17" t="n">
        <v>6</v>
      </c>
      <c r="R488" s="17" t="n">
        <v>0</v>
      </c>
      <c r="T488" s="17">
        <f>DAY(C488)</f>
        <v/>
      </c>
      <c r="U488" s="17">
        <f>MONTH(C488)</f>
        <v/>
      </c>
      <c r="V488" s="17" t="n">
        <v>2025</v>
      </c>
    </row>
    <row r="489" hidden="1" ht="22.5" customHeight="1" s="117">
      <c r="A489" s="14" t="n">
        <v>45998.84773305555</v>
      </c>
      <c r="B489" s="17" t="inlineStr">
        <is>
          <t>Lê Quốc Duy</t>
        </is>
      </c>
      <c r="C489" s="16" t="n">
        <v>45998</v>
      </c>
      <c r="D489" s="17" t="n">
        <v>0</v>
      </c>
      <c r="E489" s="17" t="n">
        <v>0</v>
      </c>
      <c r="F489" s="17" t="n">
        <v>0</v>
      </c>
      <c r="G489" s="17" t="n">
        <v>0</v>
      </c>
      <c r="H489" s="17" t="n">
        <v>0</v>
      </c>
      <c r="I489" s="17" t="n">
        <v>3</v>
      </c>
      <c r="J489" s="17" t="n">
        <v>0</v>
      </c>
      <c r="K489" s="17" t="n">
        <v>0</v>
      </c>
      <c r="L489" s="17" t="n">
        <v>1</v>
      </c>
      <c r="M489" s="17" t="n">
        <v>1</v>
      </c>
      <c r="N489" s="17" t="n">
        <v>0</v>
      </c>
      <c r="O489" s="17" t="n">
        <v>0</v>
      </c>
      <c r="P489" s="17" t="n">
        <v>0</v>
      </c>
      <c r="Q489" s="17" t="n">
        <v>1</v>
      </c>
      <c r="R489" s="17" t="n">
        <v>0</v>
      </c>
      <c r="T489" s="17">
        <f>DAY(C489)</f>
        <v/>
      </c>
      <c r="U489" s="17">
        <f>MONTH(C489)</f>
        <v/>
      </c>
      <c r="V489" s="17" t="n">
        <v>2025</v>
      </c>
    </row>
    <row r="490" hidden="1" ht="22.5" customHeight="1" s="117">
      <c r="A490" s="14" t="n">
        <v>45998.89842631944</v>
      </c>
      <c r="B490" s="17" t="inlineStr">
        <is>
          <t>Trần Minh Khánh</t>
        </is>
      </c>
      <c r="C490" s="16" t="n">
        <v>45998</v>
      </c>
      <c r="D490" s="17" t="n">
        <v>1</v>
      </c>
      <c r="E490" s="17" t="n">
        <v>0</v>
      </c>
      <c r="F490" s="17" t="n">
        <v>0</v>
      </c>
      <c r="G490" s="17" t="n">
        <v>0</v>
      </c>
      <c r="H490" s="17" t="n">
        <v>0</v>
      </c>
      <c r="I490" s="17" t="n">
        <v>2</v>
      </c>
      <c r="J490" s="17" t="n">
        <v>0</v>
      </c>
      <c r="K490" s="17" t="n">
        <v>2</v>
      </c>
      <c r="L490" s="17" t="n">
        <v>1</v>
      </c>
      <c r="M490" s="17" t="n">
        <v>0</v>
      </c>
      <c r="N490" s="17" t="n">
        <v>1</v>
      </c>
      <c r="O490" s="17" t="n">
        <v>0</v>
      </c>
      <c r="P490" s="17" t="n">
        <v>1</v>
      </c>
      <c r="Q490" s="17" t="n">
        <v>3</v>
      </c>
      <c r="R490" s="17" t="n">
        <v>0</v>
      </c>
      <c r="T490" s="17">
        <f>DAY(C490)</f>
        <v/>
      </c>
      <c r="U490" s="17">
        <f>MONTH(C490)</f>
        <v/>
      </c>
      <c r="V490" s="17" t="n">
        <v>2025</v>
      </c>
    </row>
    <row r="491" hidden="1" ht="22.5" customHeight="1" s="117">
      <c r="A491" s="14" t="n">
        <v>45999.26274480324</v>
      </c>
      <c r="B491" s="17" t="inlineStr">
        <is>
          <t>Phan Ngọc Sang</t>
        </is>
      </c>
      <c r="C491" s="16" t="n">
        <v>45998</v>
      </c>
      <c r="D491" s="17" t="n">
        <v>0</v>
      </c>
      <c r="E491" s="17" t="n">
        <v>0</v>
      </c>
      <c r="F491" s="17" t="n">
        <v>0</v>
      </c>
      <c r="G491" s="17" t="n">
        <v>1</v>
      </c>
      <c r="H491" s="17" t="n">
        <v>1</v>
      </c>
      <c r="I491" s="17" t="n">
        <v>1</v>
      </c>
      <c r="J491" s="17" t="n">
        <v>0</v>
      </c>
      <c r="K491" s="17" t="n">
        <v>1</v>
      </c>
      <c r="L491" s="17" t="n">
        <v>2</v>
      </c>
      <c r="M491" s="17" t="n">
        <v>2</v>
      </c>
      <c r="N491" s="17" t="n">
        <v>1</v>
      </c>
      <c r="O491" s="17" t="n">
        <v>1</v>
      </c>
      <c r="P491" s="17" t="n">
        <v>0</v>
      </c>
      <c r="Q491" s="17" t="n">
        <v>2</v>
      </c>
      <c r="R491" s="17" t="n">
        <v>0</v>
      </c>
      <c r="T491" s="17">
        <f>DAY(C491)</f>
        <v/>
      </c>
      <c r="U491" s="17">
        <f>MONTH(C491)</f>
        <v/>
      </c>
      <c r="V491" s="17" t="n">
        <v>2025</v>
      </c>
    </row>
    <row r="492" hidden="1" ht="22.5" customHeight="1" s="117">
      <c r="A492" s="14" t="n">
        <v>45999.2661037963</v>
      </c>
      <c r="B492" s="17" t="inlineStr">
        <is>
          <t>Đào Công Trung</t>
        </is>
      </c>
      <c r="C492" s="16" t="n">
        <v>45998</v>
      </c>
      <c r="D492" s="17" t="n">
        <v>0</v>
      </c>
      <c r="E492" s="17" t="n">
        <v>0</v>
      </c>
      <c r="F492" s="17" t="n">
        <v>0</v>
      </c>
      <c r="G492" s="17" t="n">
        <v>0</v>
      </c>
      <c r="H492" s="17" t="n">
        <v>0</v>
      </c>
      <c r="I492" s="17" t="n">
        <v>6</v>
      </c>
      <c r="J492" s="17" t="n">
        <v>0</v>
      </c>
      <c r="K492" s="17" t="n">
        <v>2</v>
      </c>
      <c r="L492" s="17" t="n">
        <v>0</v>
      </c>
      <c r="M492" s="17" t="n">
        <v>0</v>
      </c>
      <c r="N492" s="17" t="n">
        <v>0</v>
      </c>
      <c r="O492" s="17" t="n">
        <v>0</v>
      </c>
      <c r="P492" s="17" t="n">
        <v>1</v>
      </c>
      <c r="Q492" s="17" t="n">
        <v>1</v>
      </c>
      <c r="R492" s="17" t="n">
        <v>0</v>
      </c>
      <c r="T492" s="17">
        <f>DAY(C492)</f>
        <v/>
      </c>
      <c r="U492" s="17">
        <f>MONTH(C492)</f>
        <v/>
      </c>
      <c r="V492" s="17" t="n">
        <v>2025</v>
      </c>
    </row>
    <row r="493" hidden="1" ht="22.5" customHeight="1" s="117">
      <c r="A493" s="14" t="n">
        <v>45999.26904112269</v>
      </c>
      <c r="B493" s="17" t="inlineStr">
        <is>
          <t>Nguyễn Văn Nhật</t>
        </is>
      </c>
      <c r="C493" s="16" t="n">
        <v>45998</v>
      </c>
      <c r="D493" s="17" t="n">
        <v>0</v>
      </c>
      <c r="E493" s="17" t="n">
        <v>0</v>
      </c>
      <c r="F493" s="17" t="n">
        <v>0</v>
      </c>
      <c r="G493" s="17" t="n">
        <v>0</v>
      </c>
      <c r="H493" s="17" t="n">
        <v>0</v>
      </c>
      <c r="I493" s="17" t="n">
        <v>0</v>
      </c>
      <c r="J493" s="17" t="n">
        <v>0</v>
      </c>
      <c r="K493" s="17" t="n">
        <v>2</v>
      </c>
      <c r="L493" s="17" t="n">
        <v>4</v>
      </c>
      <c r="M493" s="17" t="n">
        <v>0</v>
      </c>
      <c r="N493" s="17" t="n">
        <v>2</v>
      </c>
      <c r="O493" s="17" t="n">
        <v>0</v>
      </c>
      <c r="P493" s="17" t="n">
        <v>2</v>
      </c>
      <c r="Q493" s="17" t="n">
        <v>3</v>
      </c>
      <c r="R493" s="17" t="n">
        <v>0</v>
      </c>
      <c r="T493" s="17">
        <f>DAY(C493)</f>
        <v/>
      </c>
      <c r="U493" s="17">
        <f>MONTH(C493)</f>
        <v/>
      </c>
      <c r="V493" s="17" t="n">
        <v>2025</v>
      </c>
    </row>
    <row r="494" hidden="1" ht="22.5" customHeight="1" s="117">
      <c r="A494" s="14" t="n">
        <v>45999.27230293981</v>
      </c>
      <c r="B494" s="17" t="inlineStr">
        <is>
          <t>Hồ Xuân Việt</t>
        </is>
      </c>
      <c r="C494" s="16" t="n">
        <v>45998</v>
      </c>
      <c r="D494" s="17" t="n">
        <v>0</v>
      </c>
      <c r="E494" s="17" t="n">
        <v>0</v>
      </c>
      <c r="F494" s="17" t="n">
        <v>0</v>
      </c>
      <c r="G494" s="17" t="n">
        <v>0</v>
      </c>
      <c r="H494" s="17" t="n">
        <v>0</v>
      </c>
      <c r="I494" s="17" t="n">
        <v>7</v>
      </c>
      <c r="J494" s="17" t="n">
        <v>0</v>
      </c>
      <c r="K494" s="17" t="n">
        <v>6</v>
      </c>
      <c r="L494" s="17" t="n">
        <v>0</v>
      </c>
      <c r="M494" s="17" t="n">
        <v>0</v>
      </c>
      <c r="N494" s="17" t="n">
        <v>0</v>
      </c>
      <c r="O494" s="17" t="n">
        <v>0</v>
      </c>
      <c r="P494" s="17" t="n">
        <v>0</v>
      </c>
      <c r="Q494" s="17" t="n">
        <v>2</v>
      </c>
      <c r="R494" s="17" t="n">
        <v>0</v>
      </c>
      <c r="T494" s="17">
        <f>DAY(C494)</f>
        <v/>
      </c>
      <c r="U494" s="17">
        <f>MONTH(C494)</f>
        <v/>
      </c>
      <c r="V494" s="17" t="n">
        <v>2025</v>
      </c>
    </row>
    <row r="495" hidden="1" ht="22.5" customHeight="1" s="117">
      <c r="A495" s="14" t="n">
        <v>45999.27428519676</v>
      </c>
      <c r="B495" s="17" t="inlineStr">
        <is>
          <t>Nguyễn Thành Lâm</t>
        </is>
      </c>
      <c r="C495" s="16" t="n">
        <v>45998</v>
      </c>
      <c r="D495" s="17" t="n">
        <v>0</v>
      </c>
      <c r="E495" s="17" t="n">
        <v>0</v>
      </c>
      <c r="F495" s="17" t="n">
        <v>0</v>
      </c>
      <c r="G495" s="17" t="n">
        <v>0</v>
      </c>
      <c r="H495" s="17" t="n">
        <v>0</v>
      </c>
      <c r="I495" s="17" t="n">
        <v>0</v>
      </c>
      <c r="J495" s="17" t="n">
        <v>0</v>
      </c>
      <c r="K495" s="17" t="n">
        <v>0</v>
      </c>
      <c r="L495" s="17" t="n">
        <v>0</v>
      </c>
      <c r="M495" s="17" t="n">
        <v>0</v>
      </c>
      <c r="N495" s="17" t="n">
        <v>0</v>
      </c>
      <c r="O495" s="17" t="n">
        <v>0</v>
      </c>
      <c r="P495" s="17" t="n">
        <v>0</v>
      </c>
      <c r="Q495" s="17" t="n">
        <v>1</v>
      </c>
      <c r="R495" s="17" t="n">
        <v>0</v>
      </c>
      <c r="T495" s="17">
        <f>DAY(C495)</f>
        <v/>
      </c>
      <c r="U495" s="17">
        <f>MONTH(C495)</f>
        <v/>
      </c>
      <c r="V495" s="17" t="n">
        <v>2025</v>
      </c>
    </row>
    <row r="496" hidden="1" ht="22.5" customHeight="1" s="117">
      <c r="A496" s="14" t="n">
        <v>45999.27638728009</v>
      </c>
      <c r="B496" s="17" t="inlineStr">
        <is>
          <t>Phan Thành Thái</t>
        </is>
      </c>
      <c r="C496" s="16" t="n">
        <v>45998</v>
      </c>
      <c r="D496" s="17" t="n">
        <v>0</v>
      </c>
      <c r="E496" s="17" t="n">
        <v>0</v>
      </c>
      <c r="F496" s="17" t="n">
        <v>0</v>
      </c>
      <c r="G496" s="17" t="n">
        <v>0</v>
      </c>
      <c r="H496" s="17" t="n">
        <v>0</v>
      </c>
      <c r="I496" s="17" t="n">
        <v>3</v>
      </c>
      <c r="J496" s="17" t="n">
        <v>0</v>
      </c>
      <c r="K496" s="17" t="n">
        <v>2</v>
      </c>
      <c r="L496" s="17" t="n">
        <v>2</v>
      </c>
      <c r="M496" s="17" t="n">
        <v>0</v>
      </c>
      <c r="N496" s="17" t="n">
        <v>0</v>
      </c>
      <c r="O496" s="17" t="n">
        <v>0</v>
      </c>
      <c r="P496" s="17" t="n">
        <v>1</v>
      </c>
      <c r="Q496" s="17" t="n">
        <v>4</v>
      </c>
      <c r="R496" s="17" t="n">
        <v>0</v>
      </c>
      <c r="T496" s="17">
        <f>DAY(C496)</f>
        <v/>
      </c>
      <c r="U496" s="17">
        <f>MONTH(C496)</f>
        <v/>
      </c>
      <c r="V496" s="17" t="n">
        <v>2025</v>
      </c>
    </row>
    <row r="497" hidden="1" ht="22.5" customHeight="1" s="117">
      <c r="A497" s="14" t="n">
        <v>45999.28233607639</v>
      </c>
      <c r="B497" s="17" t="inlineStr">
        <is>
          <t>Trần Trung Giang</t>
        </is>
      </c>
      <c r="C497" s="16" t="n">
        <v>45998</v>
      </c>
      <c r="D497" s="17" t="n">
        <v>0</v>
      </c>
      <c r="E497" s="17" t="n">
        <v>0</v>
      </c>
      <c r="F497" s="17" t="n">
        <v>0</v>
      </c>
      <c r="G497" s="17" t="n">
        <v>0</v>
      </c>
      <c r="H497" s="17" t="n">
        <v>0</v>
      </c>
      <c r="I497" s="17" t="n">
        <v>5</v>
      </c>
      <c r="J497" s="17" t="n">
        <v>0</v>
      </c>
      <c r="K497" s="17" t="n">
        <v>4</v>
      </c>
      <c r="L497" s="17" t="n">
        <v>0</v>
      </c>
      <c r="M497" s="17" t="n">
        <v>0</v>
      </c>
      <c r="N497" s="17" t="n">
        <v>0</v>
      </c>
      <c r="O497" s="17" t="n">
        <v>0</v>
      </c>
      <c r="P497" s="17" t="n">
        <v>0</v>
      </c>
      <c r="Q497" s="17" t="n">
        <v>0</v>
      </c>
      <c r="R497" s="17" t="n">
        <v>0</v>
      </c>
      <c r="T497" s="17">
        <f>DAY(C497)</f>
        <v/>
      </c>
      <c r="U497" s="17">
        <f>MONTH(C497)</f>
        <v/>
      </c>
      <c r="V497" s="17" t="n">
        <v>2025</v>
      </c>
    </row>
    <row r="498" hidden="1" ht="22.5" customHeight="1" s="117">
      <c r="A498" s="14" t="n">
        <v>45999.28376736111</v>
      </c>
      <c r="B498" s="17" t="inlineStr">
        <is>
          <t>Nguyễn Quang Anh Tuấn</t>
        </is>
      </c>
      <c r="C498" s="16" t="n">
        <v>45998</v>
      </c>
      <c r="D498" s="17" t="n">
        <v>0</v>
      </c>
      <c r="E498" s="17" t="n">
        <v>0</v>
      </c>
      <c r="F498" s="17" t="n">
        <v>0</v>
      </c>
      <c r="G498" s="17" t="n">
        <v>0</v>
      </c>
      <c r="H498" s="17" t="n">
        <v>0</v>
      </c>
      <c r="I498" s="17" t="n">
        <v>0</v>
      </c>
      <c r="J498" s="17" t="n">
        <v>0</v>
      </c>
      <c r="K498" s="17" t="n">
        <v>0</v>
      </c>
      <c r="L498" s="17" t="n">
        <v>0</v>
      </c>
      <c r="M498" s="17" t="n">
        <v>0</v>
      </c>
      <c r="N498" s="17" t="n">
        <v>0</v>
      </c>
      <c r="O498" s="17" t="n">
        <v>0</v>
      </c>
      <c r="P498" s="17" t="n">
        <v>0</v>
      </c>
      <c r="Q498" s="17" t="n">
        <v>1</v>
      </c>
      <c r="R498" s="17" t="n">
        <v>0</v>
      </c>
      <c r="T498" s="17">
        <f>DAY(C498)</f>
        <v/>
      </c>
      <c r="U498" s="17">
        <f>MONTH(C498)</f>
        <v/>
      </c>
      <c r="V498" s="17" t="n">
        <v>2025</v>
      </c>
    </row>
    <row r="499" hidden="1" ht="22.5" customHeight="1" s="117">
      <c r="A499" s="14" t="n">
        <v>45999.28796484954</v>
      </c>
      <c r="B499" s="17" t="inlineStr">
        <is>
          <t>Lương Duy Hoàng</t>
        </is>
      </c>
      <c r="C499" s="16" t="n">
        <v>45998</v>
      </c>
      <c r="D499" s="17" t="n">
        <v>0</v>
      </c>
      <c r="E499" s="17" t="n">
        <v>0</v>
      </c>
      <c r="F499" s="17" t="n">
        <v>0</v>
      </c>
      <c r="G499" s="17" t="n">
        <v>0</v>
      </c>
      <c r="H499" s="17" t="n">
        <v>0</v>
      </c>
      <c r="I499" s="17" t="n">
        <v>2</v>
      </c>
      <c r="J499" s="17" t="n">
        <v>0</v>
      </c>
      <c r="K499" s="17" t="n">
        <v>3</v>
      </c>
      <c r="L499" s="17" t="n">
        <v>0</v>
      </c>
      <c r="M499" s="17" t="n">
        <v>0</v>
      </c>
      <c r="N499" s="17" t="n">
        <v>0</v>
      </c>
      <c r="O499" s="17" t="n">
        <v>0</v>
      </c>
      <c r="P499" s="17" t="n">
        <v>0</v>
      </c>
      <c r="Q499" s="17" t="n">
        <v>1</v>
      </c>
      <c r="R499" s="17" t="n">
        <v>0</v>
      </c>
      <c r="T499" s="17">
        <f>DAY(C499)</f>
        <v/>
      </c>
      <c r="U499" s="17">
        <f>MONTH(C499)</f>
        <v/>
      </c>
      <c r="V499" s="17" t="n">
        <v>2025</v>
      </c>
    </row>
    <row r="500" hidden="1" ht="22.5" customHeight="1" s="117">
      <c r="A500" s="14" t="n">
        <v>45999.29232494213</v>
      </c>
      <c r="B500" s="17" t="inlineStr">
        <is>
          <t>Nguyễn Văn Hiệp</t>
        </is>
      </c>
      <c r="C500" s="16" t="n">
        <v>45998</v>
      </c>
      <c r="D500" s="17" t="n">
        <v>0</v>
      </c>
      <c r="E500" s="17" t="n">
        <v>0</v>
      </c>
      <c r="F500" s="17" t="n">
        <v>0</v>
      </c>
      <c r="G500" s="17" t="n">
        <v>0</v>
      </c>
      <c r="H500" s="17" t="n">
        <v>0</v>
      </c>
      <c r="I500" s="17" t="n">
        <v>4</v>
      </c>
      <c r="J500" s="17" t="n">
        <v>0</v>
      </c>
      <c r="K500" s="17" t="n">
        <v>0</v>
      </c>
      <c r="L500" s="17" t="n">
        <v>9</v>
      </c>
      <c r="M500" s="17" t="n">
        <v>0</v>
      </c>
      <c r="N500" s="17" t="n">
        <v>0</v>
      </c>
      <c r="O500" s="17" t="n">
        <v>0</v>
      </c>
      <c r="P500" s="17" t="n">
        <v>0</v>
      </c>
      <c r="Q500" s="17" t="n">
        <v>1</v>
      </c>
      <c r="R500" s="17" t="n">
        <v>0</v>
      </c>
      <c r="T500" s="17">
        <f>DAY(C500)</f>
        <v/>
      </c>
      <c r="U500" s="17">
        <f>MONTH(C500)</f>
        <v/>
      </c>
      <c r="V500" s="17" t="n">
        <v>2025</v>
      </c>
    </row>
    <row r="501" hidden="1" ht="22.5" customHeight="1" s="117">
      <c r="A501" s="14" t="n">
        <v>45999.29413082176</v>
      </c>
      <c r="B501" s="17" t="inlineStr">
        <is>
          <t>Huỳnh Văn Lực</t>
        </is>
      </c>
      <c r="C501" s="16" t="n">
        <v>45998</v>
      </c>
      <c r="D501" s="17" t="n">
        <v>1</v>
      </c>
      <c r="E501" s="17" t="n">
        <v>0</v>
      </c>
      <c r="F501" s="17" t="n">
        <v>0</v>
      </c>
      <c r="G501" s="17" t="n">
        <v>0</v>
      </c>
      <c r="H501" s="17" t="n">
        <v>0</v>
      </c>
      <c r="I501" s="17" t="n">
        <v>2</v>
      </c>
      <c r="J501" s="17" t="n">
        <v>0</v>
      </c>
      <c r="K501" s="17" t="n">
        <v>3</v>
      </c>
      <c r="L501" s="17" t="n">
        <v>2</v>
      </c>
      <c r="M501" s="17" t="n">
        <v>0</v>
      </c>
      <c r="N501" s="17" t="n">
        <v>0</v>
      </c>
      <c r="O501" s="17" t="n">
        <v>0</v>
      </c>
      <c r="P501" s="17" t="n">
        <v>0</v>
      </c>
      <c r="Q501" s="17" t="n">
        <v>1</v>
      </c>
      <c r="R501" s="17" t="n">
        <v>0</v>
      </c>
      <c r="T501" s="17">
        <f>DAY(C501)</f>
        <v/>
      </c>
      <c r="U501" s="17">
        <f>MONTH(C501)</f>
        <v/>
      </c>
      <c r="V501" s="17" t="n">
        <v>2025</v>
      </c>
    </row>
    <row r="502" hidden="1" ht="22.5" customHeight="1" s="117">
      <c r="A502" s="14" t="n">
        <v>45999.30069894676</v>
      </c>
      <c r="B502" s="17" t="inlineStr">
        <is>
          <t>Trần Xuân Khoa</t>
        </is>
      </c>
      <c r="C502" s="16" t="n">
        <v>45998</v>
      </c>
      <c r="D502" s="17" t="n">
        <v>0</v>
      </c>
      <c r="E502" s="17" t="n">
        <v>0</v>
      </c>
      <c r="F502" s="17" t="n">
        <v>0</v>
      </c>
      <c r="G502" s="17" t="n">
        <v>0</v>
      </c>
      <c r="H502" s="17" t="n">
        <v>0</v>
      </c>
      <c r="I502" s="17" t="n">
        <v>0</v>
      </c>
      <c r="J502" s="17" t="n">
        <v>0</v>
      </c>
      <c r="K502" s="17" t="n">
        <v>6</v>
      </c>
      <c r="L502" s="17" t="n">
        <v>5</v>
      </c>
      <c r="M502" s="17" t="n">
        <v>0</v>
      </c>
      <c r="N502" s="17" t="n">
        <v>0</v>
      </c>
      <c r="O502" s="17" t="n">
        <v>0</v>
      </c>
      <c r="P502" s="17" t="n">
        <v>0</v>
      </c>
      <c r="Q502" s="17" t="n">
        <v>5</v>
      </c>
      <c r="R502" s="17" t="n">
        <v>0</v>
      </c>
      <c r="T502" s="17">
        <f>DAY(C502)</f>
        <v/>
      </c>
      <c r="U502" s="17">
        <f>MONTH(C502)</f>
        <v/>
      </c>
      <c r="V502" s="17" t="n">
        <v>2025</v>
      </c>
    </row>
    <row r="503" hidden="1" ht="22.5" customHeight="1" s="117">
      <c r="A503" s="14" t="n">
        <v>45999.30118118056</v>
      </c>
      <c r="B503" s="17" t="inlineStr">
        <is>
          <t>Lương Duy Hải</t>
        </is>
      </c>
      <c r="C503" s="16" t="n">
        <v>45998</v>
      </c>
      <c r="D503" s="17" t="n">
        <v>0</v>
      </c>
      <c r="E503" s="17" t="n">
        <v>0</v>
      </c>
      <c r="F503" s="17" t="n">
        <v>0</v>
      </c>
      <c r="G503" s="17" t="n">
        <v>0</v>
      </c>
      <c r="H503" s="17" t="n">
        <v>0</v>
      </c>
      <c r="I503" s="17" t="n">
        <v>0</v>
      </c>
      <c r="J503" s="17" t="n">
        <v>0</v>
      </c>
      <c r="K503" s="17" t="n">
        <v>2</v>
      </c>
      <c r="L503" s="17" t="n">
        <v>2</v>
      </c>
      <c r="M503" s="17" t="n">
        <v>0</v>
      </c>
      <c r="N503" s="17" t="n">
        <v>0</v>
      </c>
      <c r="O503" s="17" t="n">
        <v>3</v>
      </c>
      <c r="P503" s="17" t="n">
        <v>0</v>
      </c>
      <c r="Q503" s="17" t="n">
        <v>1</v>
      </c>
      <c r="R503" s="17" t="n">
        <v>0</v>
      </c>
      <c r="T503" s="17">
        <f>DAY(C503)</f>
        <v/>
      </c>
      <c r="U503" s="17">
        <f>MONTH(C503)</f>
        <v/>
      </c>
      <c r="V503" s="17" t="n">
        <v>2025</v>
      </c>
    </row>
    <row r="504" hidden="1" ht="22.5" customHeight="1" s="117">
      <c r="A504" s="14" t="n">
        <v>45999.30840460648</v>
      </c>
      <c r="B504" s="17" t="inlineStr">
        <is>
          <t>Vòng Nhật Sang</t>
        </is>
      </c>
      <c r="C504" s="16" t="n">
        <v>45998</v>
      </c>
      <c r="D504" s="17" t="n">
        <v>1</v>
      </c>
      <c r="E504" s="17" t="n">
        <v>0</v>
      </c>
      <c r="F504" s="17" t="n">
        <v>0</v>
      </c>
      <c r="G504" s="17" t="n">
        <v>0</v>
      </c>
      <c r="H504" s="17" t="n">
        <v>0</v>
      </c>
      <c r="I504" s="17" t="n">
        <v>0</v>
      </c>
      <c r="J504" s="17" t="n">
        <v>0</v>
      </c>
      <c r="K504" s="17" t="n">
        <v>3</v>
      </c>
      <c r="L504" s="17" t="n">
        <v>0</v>
      </c>
      <c r="M504" s="17" t="n">
        <v>1</v>
      </c>
      <c r="N504" s="17" t="n">
        <v>0</v>
      </c>
      <c r="O504" s="17" t="n">
        <v>0</v>
      </c>
      <c r="P504" s="17" t="n">
        <v>1</v>
      </c>
      <c r="Q504" s="17" t="n">
        <v>2</v>
      </c>
      <c r="R504" s="17" t="n">
        <v>0</v>
      </c>
      <c r="T504" s="17">
        <f>DAY(C504)</f>
        <v/>
      </c>
      <c r="U504" s="17">
        <f>MONTH(C504)</f>
        <v/>
      </c>
      <c r="V504" s="17" t="n">
        <v>2025</v>
      </c>
    </row>
    <row r="505" hidden="1" ht="22.5" customHeight="1" s="117">
      <c r="A505" s="14" t="n">
        <v>45999.31278993055</v>
      </c>
      <c r="B505" s="17" t="inlineStr">
        <is>
          <t>Nguyễn Tuấn Anh</t>
        </is>
      </c>
      <c r="C505" s="16" t="n">
        <v>45998</v>
      </c>
      <c r="D505" s="17" t="n">
        <v>0</v>
      </c>
      <c r="E505" s="17" t="n">
        <v>0</v>
      </c>
      <c r="F505" s="17" t="n">
        <v>0</v>
      </c>
      <c r="G505" s="17" t="n">
        <v>0</v>
      </c>
      <c r="H505" s="17" t="n">
        <v>0</v>
      </c>
      <c r="I505" s="17" t="n">
        <v>2</v>
      </c>
      <c r="J505" s="17" t="n">
        <v>0</v>
      </c>
      <c r="K505" s="17" t="n">
        <v>5</v>
      </c>
      <c r="L505" s="17" t="n">
        <v>1</v>
      </c>
      <c r="M505" s="17" t="n">
        <v>0</v>
      </c>
      <c r="N505" s="17" t="n">
        <v>0</v>
      </c>
      <c r="O505" s="17" t="n">
        <v>0</v>
      </c>
      <c r="P505" s="17" t="n">
        <v>1</v>
      </c>
      <c r="Q505" s="17" t="n">
        <v>3</v>
      </c>
      <c r="R505" s="17" t="n">
        <v>0</v>
      </c>
      <c r="T505" s="17">
        <f>DAY(C505)</f>
        <v/>
      </c>
      <c r="U505" s="17">
        <f>MONTH(C505)</f>
        <v/>
      </c>
      <c r="V505" s="17" t="n">
        <v>2025</v>
      </c>
    </row>
    <row r="506" hidden="1" ht="22.5" customHeight="1" s="117">
      <c r="A506" s="14" t="n">
        <v>45999.3144978588</v>
      </c>
      <c r="B506" s="17" t="inlineStr">
        <is>
          <t>Dương Minh Tiến</t>
        </is>
      </c>
      <c r="C506" s="16" t="n">
        <v>45998</v>
      </c>
      <c r="D506" s="17" t="n">
        <v>0</v>
      </c>
      <c r="E506" s="17" t="n">
        <v>0</v>
      </c>
      <c r="F506" s="17" t="n">
        <v>1</v>
      </c>
      <c r="G506" s="17" t="n">
        <v>0</v>
      </c>
      <c r="H506" s="17" t="n">
        <v>0</v>
      </c>
      <c r="I506" s="17" t="n">
        <v>2</v>
      </c>
      <c r="J506" s="17" t="n">
        <v>0</v>
      </c>
      <c r="K506" s="17" t="n">
        <v>1</v>
      </c>
      <c r="L506" s="17" t="n">
        <v>3</v>
      </c>
      <c r="M506" s="17" t="n">
        <v>1</v>
      </c>
      <c r="N506" s="17" t="n">
        <v>0</v>
      </c>
      <c r="O506" s="17" t="n">
        <v>0</v>
      </c>
      <c r="P506" s="17" t="n">
        <v>1</v>
      </c>
      <c r="Q506" s="17" t="n">
        <v>0</v>
      </c>
      <c r="R506" s="17" t="n">
        <v>0</v>
      </c>
      <c r="T506" s="17">
        <f>DAY(C506)</f>
        <v/>
      </c>
      <c r="U506" s="17">
        <f>MONTH(C506)</f>
        <v/>
      </c>
      <c r="V506" s="17" t="n">
        <v>2025</v>
      </c>
    </row>
    <row r="507" hidden="1" ht="22.5" customHeight="1" s="117">
      <c r="A507" s="14" t="n">
        <v>45999.32326777778</v>
      </c>
      <c r="B507" s="17" t="inlineStr">
        <is>
          <t>Bùi Duy Cường</t>
        </is>
      </c>
      <c r="C507" s="16" t="n">
        <v>45998</v>
      </c>
      <c r="D507" s="17" t="n">
        <v>0</v>
      </c>
      <c r="E507" s="17" t="n">
        <v>0</v>
      </c>
      <c r="F507" s="17" t="n">
        <v>0</v>
      </c>
      <c r="G507" s="17" t="n">
        <v>0</v>
      </c>
      <c r="H507" s="17" t="n">
        <v>0</v>
      </c>
      <c r="I507" s="17" t="n">
        <v>0</v>
      </c>
      <c r="J507" s="17" t="n">
        <v>0</v>
      </c>
      <c r="K507" s="17" t="n">
        <v>0</v>
      </c>
      <c r="L507" s="17" t="n">
        <v>0</v>
      </c>
      <c r="M507" s="17" t="n">
        <v>0</v>
      </c>
      <c r="N507" s="17" t="n">
        <v>0</v>
      </c>
      <c r="O507" s="17" t="n">
        <v>0</v>
      </c>
      <c r="P507" s="17" t="n">
        <v>0</v>
      </c>
      <c r="Q507" s="17" t="n">
        <v>0</v>
      </c>
      <c r="R507" s="17" t="n">
        <v>0</v>
      </c>
      <c r="T507" s="17">
        <f>DAY(C507)</f>
        <v/>
      </c>
      <c r="U507" s="17">
        <f>MONTH(C507)</f>
        <v/>
      </c>
      <c r="V507" s="17" t="n">
        <v>2025</v>
      </c>
    </row>
    <row r="508" hidden="1" ht="22.5" customHeight="1" s="117">
      <c r="A508" s="14" t="n">
        <v>45999.32853739584</v>
      </c>
      <c r="B508" s="17" t="inlineStr">
        <is>
          <t>Hoàng Văn Chất</t>
        </is>
      </c>
      <c r="C508" s="16" t="n">
        <v>45998</v>
      </c>
      <c r="D508" s="17" t="n">
        <v>1</v>
      </c>
      <c r="E508" s="17" t="n">
        <v>0</v>
      </c>
      <c r="F508" s="17" t="n">
        <v>0</v>
      </c>
      <c r="G508" s="17" t="n">
        <v>0</v>
      </c>
      <c r="H508" s="17" t="n">
        <v>0</v>
      </c>
      <c r="I508" s="17" t="n">
        <v>0</v>
      </c>
      <c r="J508" s="17" t="n">
        <v>0</v>
      </c>
      <c r="K508" s="17" t="n">
        <v>0</v>
      </c>
      <c r="L508" s="17" t="n">
        <v>2</v>
      </c>
      <c r="M508" s="17" t="n">
        <v>1</v>
      </c>
      <c r="N508" s="17" t="n">
        <v>0</v>
      </c>
      <c r="O508" s="17" t="n">
        <v>0</v>
      </c>
      <c r="P508" s="17" t="n">
        <v>0</v>
      </c>
      <c r="Q508" s="17" t="n">
        <v>1</v>
      </c>
      <c r="R508" s="17" t="n">
        <v>0</v>
      </c>
      <c r="T508" s="17">
        <f>DAY(C508)</f>
        <v/>
      </c>
      <c r="U508" s="17">
        <f>MONTH(C508)</f>
        <v/>
      </c>
      <c r="V508" s="17" t="n">
        <v>2025</v>
      </c>
    </row>
    <row r="509" hidden="1" ht="22.5" customHeight="1" s="117">
      <c r="A509" s="14" t="n">
        <v>45999.33397420139</v>
      </c>
      <c r="B509" s="17" t="inlineStr">
        <is>
          <t>Nguyễn Hồng Minh</t>
        </is>
      </c>
      <c r="C509" s="16" t="n">
        <v>45998</v>
      </c>
      <c r="D509" s="17" t="n">
        <v>0</v>
      </c>
      <c r="E509" s="17" t="n">
        <v>0</v>
      </c>
      <c r="F509" s="17" t="n">
        <v>0</v>
      </c>
      <c r="G509" s="17" t="n">
        <v>0</v>
      </c>
      <c r="H509" s="17" t="n">
        <v>0</v>
      </c>
      <c r="I509" s="17" t="n">
        <v>2</v>
      </c>
      <c r="J509" s="17" t="n">
        <v>0</v>
      </c>
      <c r="K509" s="17" t="n">
        <v>0</v>
      </c>
      <c r="L509" s="17" t="n">
        <v>0</v>
      </c>
      <c r="M509" s="17" t="n">
        <v>0</v>
      </c>
      <c r="N509" s="17" t="n">
        <v>2</v>
      </c>
      <c r="O509" s="17" t="n">
        <v>0</v>
      </c>
      <c r="P509" s="17" t="n">
        <v>1</v>
      </c>
      <c r="Q509" s="17" t="n">
        <v>5</v>
      </c>
      <c r="R509" s="17" t="n">
        <v>0</v>
      </c>
      <c r="T509" s="17">
        <f>DAY(C509)</f>
        <v/>
      </c>
      <c r="U509" s="17">
        <f>MONTH(C509)</f>
        <v/>
      </c>
      <c r="V509" s="17" t="n">
        <v>2025</v>
      </c>
    </row>
    <row r="510" hidden="1" ht="22.5" customHeight="1" s="117">
      <c r="A510" s="14" t="n">
        <v>45999.34300885416</v>
      </c>
      <c r="B510" s="17" t="inlineStr">
        <is>
          <t>Đặng Hoài Anh</t>
        </is>
      </c>
      <c r="C510" s="16" t="n">
        <v>45998</v>
      </c>
      <c r="D510" s="17" t="n">
        <v>0</v>
      </c>
      <c r="E510" s="17" t="n">
        <v>0</v>
      </c>
      <c r="F510" s="17" t="n">
        <v>0</v>
      </c>
      <c r="G510" s="17" t="n">
        <v>0</v>
      </c>
      <c r="H510" s="17" t="n">
        <v>0</v>
      </c>
      <c r="I510" s="17" t="n">
        <v>1</v>
      </c>
      <c r="J510" s="17" t="n">
        <v>0</v>
      </c>
      <c r="K510" s="17" t="n">
        <v>0</v>
      </c>
      <c r="L510" s="17" t="n">
        <v>0</v>
      </c>
      <c r="M510" s="17" t="n">
        <v>0</v>
      </c>
      <c r="N510" s="17" t="n">
        <v>0</v>
      </c>
      <c r="O510" s="17" t="n">
        <v>0</v>
      </c>
      <c r="P510" s="17" t="n">
        <v>0</v>
      </c>
      <c r="Q510" s="17" t="n">
        <v>0</v>
      </c>
      <c r="R510" s="17" t="n">
        <v>0</v>
      </c>
      <c r="T510" s="17">
        <f>DAY(C510)</f>
        <v/>
      </c>
      <c r="U510" s="17">
        <f>MONTH(C510)</f>
        <v/>
      </c>
      <c r="V510" s="17" t="n">
        <v>2025</v>
      </c>
    </row>
    <row r="511" hidden="1" ht="22.5" customHeight="1" s="117">
      <c r="A511" s="14" t="n">
        <v>45999.35591413194</v>
      </c>
      <c r="B511" s="17" t="inlineStr">
        <is>
          <t>Lê Hồng Phong</t>
        </is>
      </c>
      <c r="C511" s="16" t="n">
        <v>45999</v>
      </c>
      <c r="D511" s="17" t="n">
        <v>1</v>
      </c>
      <c r="E511" s="17" t="n">
        <v>1</v>
      </c>
      <c r="F511" s="17" t="n">
        <v>1</v>
      </c>
      <c r="G511" s="17" t="n">
        <v>0</v>
      </c>
      <c r="H511" s="17" t="n">
        <v>0</v>
      </c>
      <c r="I511" s="17" t="n">
        <v>1</v>
      </c>
      <c r="J511" s="17" t="n">
        <v>1</v>
      </c>
      <c r="K511" s="17" t="n">
        <v>1</v>
      </c>
      <c r="L511" s="17" t="n">
        <v>1</v>
      </c>
      <c r="M511" s="17" t="n">
        <v>1</v>
      </c>
      <c r="N511" s="17" t="n">
        <v>1</v>
      </c>
      <c r="O511" s="17" t="n">
        <v>1</v>
      </c>
      <c r="P511" s="17" t="n">
        <v>1</v>
      </c>
      <c r="Q511" s="17" t="n">
        <v>1</v>
      </c>
      <c r="R511" s="17" t="n">
        <v>1</v>
      </c>
      <c r="T511" s="17">
        <f>DAY(C511)</f>
        <v/>
      </c>
      <c r="U511" s="17">
        <f>MONTH(C511)</f>
        <v/>
      </c>
      <c r="V511" s="17" t="n">
        <v>2025</v>
      </c>
    </row>
    <row r="512" hidden="1" ht="22.5" customHeight="1" s="117">
      <c r="A512" s="14" t="n">
        <v>45999.35634002315</v>
      </c>
      <c r="B512" s="17" t="inlineStr">
        <is>
          <t>Lê Văn Hồng</t>
        </is>
      </c>
      <c r="C512" s="16" t="n">
        <v>45998</v>
      </c>
      <c r="D512" s="17" t="n">
        <v>0</v>
      </c>
      <c r="E512" s="17" t="n">
        <v>0</v>
      </c>
      <c r="F512" s="17" t="n">
        <v>0</v>
      </c>
      <c r="G512" s="17" t="n">
        <v>0</v>
      </c>
      <c r="H512" s="17" t="n">
        <v>0</v>
      </c>
      <c r="I512" s="17" t="n">
        <v>2</v>
      </c>
      <c r="J512" s="17" t="n">
        <v>0</v>
      </c>
      <c r="K512" s="17" t="n">
        <v>14</v>
      </c>
      <c r="L512" s="17" t="n">
        <v>1</v>
      </c>
      <c r="M512" s="17" t="n">
        <v>0</v>
      </c>
      <c r="N512" s="17" t="n">
        <v>2</v>
      </c>
      <c r="O512" s="17" t="n">
        <v>0</v>
      </c>
      <c r="P512" s="17" t="n">
        <v>3</v>
      </c>
      <c r="Q512" s="17" t="n">
        <v>2</v>
      </c>
      <c r="R512" s="17" t="n">
        <v>0</v>
      </c>
      <c r="T512" s="17">
        <f>DAY(C512)</f>
        <v/>
      </c>
      <c r="U512" s="17">
        <f>MONTH(C512)</f>
        <v/>
      </c>
      <c r="V512" s="17" t="n">
        <v>2025</v>
      </c>
    </row>
    <row r="513" hidden="1" ht="22.5" customHeight="1" s="117">
      <c r="A513" s="14" t="n">
        <v>45999.39511953704</v>
      </c>
      <c r="B513" s="17" t="inlineStr">
        <is>
          <t>Hồ Thái Minh Trí</t>
        </is>
      </c>
      <c r="C513" s="16" t="n">
        <v>45998</v>
      </c>
      <c r="D513" s="17" t="n">
        <v>0</v>
      </c>
      <c r="E513" s="17" t="n">
        <v>0</v>
      </c>
      <c r="F513" s="17" t="n">
        <v>0</v>
      </c>
      <c r="G513" s="17" t="n">
        <v>1</v>
      </c>
      <c r="H513" s="17" t="n">
        <v>0</v>
      </c>
      <c r="I513" s="17" t="n">
        <v>0</v>
      </c>
      <c r="J513" s="17" t="n">
        <v>0</v>
      </c>
      <c r="K513" s="17" t="n">
        <v>0</v>
      </c>
      <c r="L513" s="17" t="n">
        <v>2</v>
      </c>
      <c r="M513" s="17" t="n">
        <v>0</v>
      </c>
      <c r="N513" s="17" t="n">
        <v>0</v>
      </c>
      <c r="O513" s="17" t="n">
        <v>0</v>
      </c>
      <c r="P513" s="17" t="n">
        <v>0</v>
      </c>
      <c r="Q513" s="17" t="n">
        <v>2</v>
      </c>
      <c r="R513" s="17" t="n">
        <v>0</v>
      </c>
      <c r="T513" s="17">
        <f>DAY(C513)</f>
        <v/>
      </c>
      <c r="U513" s="17">
        <f>MONTH(C513)</f>
        <v/>
      </c>
      <c r="V513" s="17" t="n">
        <v>2025</v>
      </c>
    </row>
    <row r="514" hidden="1" ht="22.5" customHeight="1" s="117">
      <c r="A514" s="14" t="n">
        <v>45999.83891042824</v>
      </c>
      <c r="B514" s="17" t="inlineStr">
        <is>
          <t>Đặng Hữu Danh</t>
        </is>
      </c>
      <c r="C514" s="16" t="n">
        <v>45999</v>
      </c>
      <c r="D514" s="17" t="n">
        <v>0</v>
      </c>
      <c r="E514" s="17" t="n">
        <v>0</v>
      </c>
      <c r="F514" s="17" t="n">
        <v>0</v>
      </c>
      <c r="G514" s="17" t="n">
        <v>0</v>
      </c>
      <c r="H514" s="17" t="n">
        <v>0</v>
      </c>
      <c r="I514" s="17" t="n">
        <v>1</v>
      </c>
      <c r="J514" s="17" t="n">
        <v>0</v>
      </c>
      <c r="K514" s="17" t="n">
        <v>1</v>
      </c>
      <c r="L514" s="17" t="n">
        <v>0</v>
      </c>
      <c r="M514" s="17" t="n">
        <v>1</v>
      </c>
      <c r="N514" s="17" t="n">
        <v>0</v>
      </c>
      <c r="O514" s="17" t="n">
        <v>0</v>
      </c>
      <c r="P514" s="17" t="n">
        <v>1</v>
      </c>
      <c r="Q514" s="17" t="n">
        <v>2</v>
      </c>
      <c r="R514" s="17" t="n">
        <v>0</v>
      </c>
      <c r="T514" s="17">
        <f>DAY(C514)</f>
        <v/>
      </c>
      <c r="U514" s="17">
        <f>MONTH(C514)</f>
        <v/>
      </c>
      <c r="V514" s="17" t="n">
        <v>2025</v>
      </c>
    </row>
    <row r="515" hidden="1" ht="22.5" customHeight="1" s="117">
      <c r="A515" s="14" t="n">
        <v>45999.90460168981</v>
      </c>
      <c r="B515" s="17" t="inlineStr">
        <is>
          <t>Trần Minh Khánh</t>
        </is>
      </c>
      <c r="C515" s="16" t="n">
        <v>45999</v>
      </c>
      <c r="D515" s="17" t="n">
        <v>0</v>
      </c>
      <c r="E515" s="17" t="n">
        <v>0</v>
      </c>
      <c r="F515" s="17" t="n">
        <v>0</v>
      </c>
      <c r="G515" s="17" t="n">
        <v>0</v>
      </c>
      <c r="H515" s="17" t="n">
        <v>0</v>
      </c>
      <c r="I515" s="17" t="n">
        <v>3</v>
      </c>
      <c r="J515" s="17" t="n">
        <v>0</v>
      </c>
      <c r="K515" s="17" t="n">
        <v>2</v>
      </c>
      <c r="L515" s="17" t="n">
        <v>5</v>
      </c>
      <c r="M515" s="17" t="n">
        <v>0</v>
      </c>
      <c r="N515" s="17" t="n">
        <v>0</v>
      </c>
      <c r="O515" s="17" t="n">
        <v>0</v>
      </c>
      <c r="P515" s="17" t="n">
        <v>0</v>
      </c>
      <c r="Q515" s="17" t="n">
        <v>4</v>
      </c>
      <c r="R515" s="17" t="n">
        <v>0</v>
      </c>
      <c r="T515" s="17">
        <f>DAY(C515)</f>
        <v/>
      </c>
      <c r="U515" s="17">
        <f>MONTH(C515)</f>
        <v/>
      </c>
      <c r="V515" s="17" t="n">
        <v>2025</v>
      </c>
    </row>
    <row r="516" hidden="1" ht="22.5" customHeight="1" s="117">
      <c r="A516" s="14" t="n">
        <v>46000.01767282408</v>
      </c>
      <c r="B516" s="17" t="inlineStr">
        <is>
          <t>Hồ Thái Minh Trí</t>
        </is>
      </c>
      <c r="C516" s="16" t="n">
        <v>45999</v>
      </c>
      <c r="D516" s="17" t="n">
        <v>0</v>
      </c>
      <c r="E516" s="17" t="n">
        <v>0</v>
      </c>
      <c r="F516" s="17" t="n">
        <v>0</v>
      </c>
      <c r="G516" s="17" t="n">
        <v>0</v>
      </c>
      <c r="H516" s="17" t="n">
        <v>0</v>
      </c>
      <c r="I516" s="17" t="n">
        <v>0</v>
      </c>
      <c r="J516" s="17" t="n">
        <v>0</v>
      </c>
      <c r="K516" s="17" t="n">
        <v>2</v>
      </c>
      <c r="L516" s="17" t="n">
        <v>16</v>
      </c>
      <c r="M516" s="17" t="n">
        <v>0</v>
      </c>
      <c r="N516" s="17" t="n">
        <v>0</v>
      </c>
      <c r="O516" s="17" t="n">
        <v>0</v>
      </c>
      <c r="P516" s="17" t="n">
        <v>0</v>
      </c>
      <c r="Q516" s="17" t="n">
        <v>2</v>
      </c>
      <c r="R516" s="17" t="n">
        <v>0</v>
      </c>
      <c r="T516" s="17">
        <f>DAY(C516)</f>
        <v/>
      </c>
      <c r="U516" s="17">
        <f>MONTH(C516)</f>
        <v/>
      </c>
      <c r="V516" s="17" t="n">
        <v>2025</v>
      </c>
    </row>
    <row r="517" hidden="1" ht="22.5" customHeight="1" s="117">
      <c r="A517" s="14" t="n">
        <v>46000.26979907407</v>
      </c>
      <c r="B517" s="17" t="inlineStr">
        <is>
          <t>Nguyễn Tuấn Anh</t>
        </is>
      </c>
      <c r="C517" s="16" t="n">
        <v>45999</v>
      </c>
      <c r="D517" s="17" t="n">
        <v>0</v>
      </c>
      <c r="E517" s="17" t="n">
        <v>0</v>
      </c>
      <c r="F517" s="17" t="n">
        <v>0</v>
      </c>
      <c r="G517" s="17" t="n">
        <v>0</v>
      </c>
      <c r="H517" s="17" t="n">
        <v>0</v>
      </c>
      <c r="I517" s="17" t="n">
        <v>2</v>
      </c>
      <c r="J517" s="17" t="n">
        <v>0</v>
      </c>
      <c r="K517" s="17" t="n">
        <v>3</v>
      </c>
      <c r="L517" s="17" t="n">
        <v>0</v>
      </c>
      <c r="M517" s="17" t="n">
        <v>0</v>
      </c>
      <c r="N517" s="17" t="n">
        <v>0</v>
      </c>
      <c r="O517" s="17" t="n">
        <v>0</v>
      </c>
      <c r="P517" s="17" t="n">
        <v>1</v>
      </c>
      <c r="Q517" s="17" t="n">
        <v>5</v>
      </c>
      <c r="R517" s="17" t="n">
        <v>0</v>
      </c>
      <c r="T517" s="17">
        <f>DAY(C517)</f>
        <v/>
      </c>
      <c r="U517" s="17">
        <f>MONTH(C517)</f>
        <v/>
      </c>
      <c r="V517" s="17" t="n">
        <v>2025</v>
      </c>
    </row>
    <row r="518" hidden="1" ht="22.5" customHeight="1" s="117">
      <c r="A518" s="14" t="n">
        <v>46000.27496586806</v>
      </c>
      <c r="B518" s="17" t="inlineStr">
        <is>
          <t>Đào Công Trung</t>
        </is>
      </c>
      <c r="C518" s="16" t="n">
        <v>45999</v>
      </c>
      <c r="D518" s="17" t="n">
        <v>0</v>
      </c>
      <c r="E518" s="17" t="n">
        <v>0</v>
      </c>
      <c r="F518" s="17" t="n">
        <v>0</v>
      </c>
      <c r="G518" s="17" t="n">
        <v>0</v>
      </c>
      <c r="H518" s="17" t="n">
        <v>0</v>
      </c>
      <c r="I518" s="17" t="n">
        <v>4</v>
      </c>
      <c r="J518" s="17" t="n">
        <v>0</v>
      </c>
      <c r="K518" s="17" t="n">
        <v>3</v>
      </c>
      <c r="L518" s="17" t="n">
        <v>0</v>
      </c>
      <c r="M518" s="17" t="n">
        <v>0</v>
      </c>
      <c r="N518" s="17" t="n">
        <v>0</v>
      </c>
      <c r="O518" s="17" t="n">
        <v>0</v>
      </c>
      <c r="P518" s="17" t="n">
        <v>0</v>
      </c>
      <c r="Q518" s="17" t="n">
        <v>2</v>
      </c>
      <c r="R518" s="17" t="n">
        <v>0</v>
      </c>
      <c r="T518" s="17">
        <f>DAY(C518)</f>
        <v/>
      </c>
      <c r="U518" s="17">
        <f>MONTH(C518)</f>
        <v/>
      </c>
      <c r="V518" s="17" t="n">
        <v>2025</v>
      </c>
    </row>
    <row r="519" hidden="1" ht="22.5" customHeight="1" s="117">
      <c r="A519" s="14" t="n">
        <v>46000.27624096065</v>
      </c>
      <c r="B519" s="17" t="inlineStr">
        <is>
          <t>Lương Duy Hải</t>
        </is>
      </c>
      <c r="C519" s="16" t="n">
        <v>45999</v>
      </c>
      <c r="D519" s="17" t="n">
        <v>0</v>
      </c>
      <c r="E519" s="17" t="n">
        <v>0</v>
      </c>
      <c r="F519" s="17" t="n">
        <v>0</v>
      </c>
      <c r="G519" s="17" t="n">
        <v>0</v>
      </c>
      <c r="H519" s="17" t="n">
        <v>1</v>
      </c>
      <c r="I519" s="17" t="n">
        <v>0</v>
      </c>
      <c r="J519" s="17" t="n">
        <v>0</v>
      </c>
      <c r="K519" s="17" t="n">
        <v>0</v>
      </c>
      <c r="L519" s="17" t="n">
        <v>7</v>
      </c>
      <c r="M519" s="17" t="n">
        <v>0</v>
      </c>
      <c r="N519" s="17" t="n">
        <v>0</v>
      </c>
      <c r="O519" s="17" t="n">
        <v>0</v>
      </c>
      <c r="P519" s="17" t="n">
        <v>0</v>
      </c>
      <c r="Q519" s="17" t="n">
        <v>2</v>
      </c>
      <c r="R519" s="17" t="n">
        <v>0</v>
      </c>
      <c r="T519" s="17">
        <f>DAY(C519)</f>
        <v/>
      </c>
      <c r="U519" s="17">
        <f>MONTH(C519)</f>
        <v/>
      </c>
      <c r="V519" s="17" t="n">
        <v>2025</v>
      </c>
    </row>
    <row r="520" hidden="1" ht="22.5" customHeight="1" s="117">
      <c r="A520" s="14" t="n">
        <v>46000.28397217592</v>
      </c>
      <c r="B520" s="17" t="inlineStr">
        <is>
          <t>Nguyễn Văn Hiệp</t>
        </is>
      </c>
      <c r="C520" s="16" t="n">
        <v>45999</v>
      </c>
      <c r="D520" s="17" t="n">
        <v>0</v>
      </c>
      <c r="E520" s="17" t="n">
        <v>0</v>
      </c>
      <c r="F520" s="17" t="n">
        <v>1</v>
      </c>
      <c r="G520" s="17" t="n">
        <v>0</v>
      </c>
      <c r="H520" s="17" t="n">
        <v>0</v>
      </c>
      <c r="I520" s="17" t="n">
        <v>4</v>
      </c>
      <c r="J520" s="17" t="n">
        <v>0</v>
      </c>
      <c r="K520" s="17" t="n">
        <v>2</v>
      </c>
      <c r="L520" s="17" t="n">
        <v>0</v>
      </c>
      <c r="M520" s="17" t="n">
        <v>1</v>
      </c>
      <c r="N520" s="17" t="n">
        <v>0</v>
      </c>
      <c r="O520" s="17" t="n">
        <v>0</v>
      </c>
      <c r="P520" s="17" t="n">
        <v>0</v>
      </c>
      <c r="Q520" s="17" t="n">
        <v>0</v>
      </c>
      <c r="R520" s="17" t="n">
        <v>0</v>
      </c>
      <c r="T520" s="17">
        <f>DAY(C520)</f>
        <v/>
      </c>
      <c r="U520" s="17">
        <f>MONTH(C520)</f>
        <v/>
      </c>
      <c r="V520" s="17" t="n">
        <v>2025</v>
      </c>
    </row>
    <row r="521" hidden="1" ht="22.5" customHeight="1" s="117">
      <c r="A521" s="14" t="n">
        <v>46000.29070652778</v>
      </c>
      <c r="B521" s="17" t="inlineStr">
        <is>
          <t>Vòng Nhật Sang</t>
        </is>
      </c>
      <c r="C521" s="16" t="n">
        <v>45999</v>
      </c>
      <c r="D521" s="17" t="n">
        <v>0</v>
      </c>
      <c r="E521" s="17" t="n">
        <v>0</v>
      </c>
      <c r="F521" s="17" t="n">
        <v>0</v>
      </c>
      <c r="G521" s="17" t="n">
        <v>0</v>
      </c>
      <c r="H521" s="17" t="n">
        <v>0</v>
      </c>
      <c r="I521" s="17" t="n">
        <v>7</v>
      </c>
      <c r="J521" s="17" t="n">
        <v>0</v>
      </c>
      <c r="K521" s="17" t="n">
        <v>4</v>
      </c>
      <c r="L521" s="17" t="n">
        <v>1</v>
      </c>
      <c r="M521" s="17" t="n">
        <v>0</v>
      </c>
      <c r="N521" s="17" t="n">
        <v>7</v>
      </c>
      <c r="O521" s="17" t="n">
        <v>0</v>
      </c>
      <c r="P521" s="17" t="n">
        <v>1</v>
      </c>
      <c r="Q521" s="17" t="n">
        <v>2</v>
      </c>
      <c r="R521" s="17" t="n">
        <v>0</v>
      </c>
      <c r="T521" s="17">
        <f>DAY(C521)</f>
        <v/>
      </c>
      <c r="U521" s="17">
        <f>MONTH(C521)</f>
        <v/>
      </c>
      <c r="V521" s="17" t="n">
        <v>2025</v>
      </c>
    </row>
    <row r="522" hidden="1" ht="22.5" customHeight="1" s="117">
      <c r="A522" s="14" t="n">
        <v>46000.2919969213</v>
      </c>
      <c r="B522" s="17" t="inlineStr">
        <is>
          <t>Phan Thành Thái</t>
        </is>
      </c>
      <c r="C522" s="16" t="n">
        <v>45999</v>
      </c>
      <c r="D522" s="17" t="n">
        <v>1</v>
      </c>
      <c r="E522" s="17" t="n">
        <v>0</v>
      </c>
      <c r="F522" s="17" t="n">
        <v>0</v>
      </c>
      <c r="G522" s="17" t="n">
        <v>0</v>
      </c>
      <c r="H522" s="17" t="n">
        <v>0</v>
      </c>
      <c r="I522" s="17" t="n">
        <v>2</v>
      </c>
      <c r="J522" s="17" t="n">
        <v>0</v>
      </c>
      <c r="K522" s="17" t="n">
        <v>2</v>
      </c>
      <c r="L522" s="17" t="n">
        <v>0</v>
      </c>
      <c r="M522" s="17" t="n">
        <v>3</v>
      </c>
      <c r="N522" s="17" t="n">
        <v>1</v>
      </c>
      <c r="O522" s="17" t="n">
        <v>1</v>
      </c>
      <c r="P522" s="17" t="n">
        <v>0</v>
      </c>
      <c r="Q522" s="17" t="n">
        <v>3</v>
      </c>
      <c r="R522" s="17" t="n">
        <v>0</v>
      </c>
      <c r="T522" s="17">
        <f>DAY(C522)</f>
        <v/>
      </c>
      <c r="U522" s="17">
        <f>MONTH(C522)</f>
        <v/>
      </c>
      <c r="V522" s="17" t="n">
        <v>2025</v>
      </c>
    </row>
    <row r="523" hidden="1" ht="22.5" customHeight="1" s="117">
      <c r="A523" s="14" t="n">
        <v>46000.2928365625</v>
      </c>
      <c r="B523" s="17" t="inlineStr">
        <is>
          <t>Huỳnh Văn Lực</t>
        </is>
      </c>
      <c r="C523" s="16" t="n">
        <v>45999</v>
      </c>
      <c r="D523" s="17" t="n">
        <v>0</v>
      </c>
      <c r="E523" s="17" t="n">
        <v>0</v>
      </c>
      <c r="F523" s="17" t="n">
        <v>0</v>
      </c>
      <c r="G523" s="17" t="n">
        <v>0</v>
      </c>
      <c r="H523" s="17" t="n">
        <v>0</v>
      </c>
      <c r="I523" s="17" t="n">
        <v>5</v>
      </c>
      <c r="J523" s="17" t="n">
        <v>0</v>
      </c>
      <c r="K523" s="17" t="n">
        <v>0</v>
      </c>
      <c r="L523" s="17" t="n">
        <v>0</v>
      </c>
      <c r="M523" s="17" t="n">
        <v>0</v>
      </c>
      <c r="N523" s="17" t="n">
        <v>0</v>
      </c>
      <c r="O523" s="17" t="n">
        <v>0</v>
      </c>
      <c r="P523" s="17" t="n">
        <v>0</v>
      </c>
      <c r="Q523" s="17" t="n">
        <v>2</v>
      </c>
      <c r="R523" s="17" t="n">
        <v>0</v>
      </c>
      <c r="T523" s="17">
        <f>DAY(C523)</f>
        <v/>
      </c>
      <c r="U523" s="17">
        <f>MONTH(C523)</f>
        <v/>
      </c>
      <c r="V523" s="17" t="n">
        <v>2025</v>
      </c>
    </row>
    <row r="524" hidden="1" ht="22.5" customHeight="1" s="117">
      <c r="A524" s="14" t="n">
        <v>46000.29469879629</v>
      </c>
      <c r="B524" s="17" t="inlineStr">
        <is>
          <t>Nguyễn Quang Anh Tuấn</t>
        </is>
      </c>
      <c r="C524" s="16" t="n">
        <v>45999</v>
      </c>
      <c r="D524" s="17" t="n">
        <v>0</v>
      </c>
      <c r="E524" s="17" t="n">
        <v>0</v>
      </c>
      <c r="F524" s="17" t="n">
        <v>0</v>
      </c>
      <c r="G524" s="17" t="n">
        <v>0</v>
      </c>
      <c r="H524" s="17" t="n">
        <v>0</v>
      </c>
      <c r="I524" s="17" t="n">
        <v>0</v>
      </c>
      <c r="J524" s="17" t="n">
        <v>0</v>
      </c>
      <c r="K524" s="17" t="n">
        <v>3</v>
      </c>
      <c r="L524" s="17" t="n">
        <v>0</v>
      </c>
      <c r="M524" s="17" t="n">
        <v>0</v>
      </c>
      <c r="N524" s="17" t="n">
        <v>0</v>
      </c>
      <c r="O524" s="17" t="n">
        <v>0</v>
      </c>
      <c r="P524" s="17" t="n">
        <v>0</v>
      </c>
      <c r="Q524" s="17" t="n">
        <v>1</v>
      </c>
      <c r="R524" s="17" t="n">
        <v>0</v>
      </c>
      <c r="T524" s="17">
        <f>DAY(C524)</f>
        <v/>
      </c>
      <c r="U524" s="17">
        <f>MONTH(C524)</f>
        <v/>
      </c>
      <c r="V524" s="17" t="n">
        <v>2025</v>
      </c>
    </row>
    <row r="525" hidden="1" ht="22.5" customHeight="1" s="117">
      <c r="A525" s="14" t="n">
        <v>46000.29734078704</v>
      </c>
      <c r="B525" s="17" t="inlineStr">
        <is>
          <t>Phan Ngọc Sang</t>
        </is>
      </c>
      <c r="C525" s="16" t="n">
        <v>45999</v>
      </c>
      <c r="D525" s="17" t="n">
        <v>0</v>
      </c>
      <c r="E525" s="17" t="n">
        <v>0</v>
      </c>
      <c r="F525" s="17" t="n">
        <v>0</v>
      </c>
      <c r="G525" s="17" t="n">
        <v>0</v>
      </c>
      <c r="H525" s="17" t="n">
        <v>0</v>
      </c>
      <c r="I525" s="17" t="n">
        <v>4</v>
      </c>
      <c r="J525" s="17" t="n">
        <v>0</v>
      </c>
      <c r="K525" s="17" t="n">
        <v>5</v>
      </c>
      <c r="L525" s="17" t="n">
        <v>0</v>
      </c>
      <c r="M525" s="17" t="n">
        <v>0</v>
      </c>
      <c r="N525" s="17" t="n">
        <v>0</v>
      </c>
      <c r="O525" s="17" t="n">
        <v>0</v>
      </c>
      <c r="P525" s="17" t="n">
        <v>0</v>
      </c>
      <c r="Q525" s="17" t="n">
        <v>2</v>
      </c>
      <c r="R525" s="17" t="n">
        <v>0</v>
      </c>
      <c r="T525" s="17">
        <f>DAY(C525)</f>
        <v/>
      </c>
      <c r="U525" s="17">
        <f>MONTH(C525)</f>
        <v/>
      </c>
      <c r="V525" s="17" t="n">
        <v>2025</v>
      </c>
    </row>
    <row r="526" hidden="1" ht="22.5" customHeight="1" s="117">
      <c r="A526" s="14" t="n">
        <v>46000.29826337963</v>
      </c>
      <c r="B526" s="17" t="inlineStr">
        <is>
          <t>Trần Trung Giang</t>
        </is>
      </c>
      <c r="C526" s="16" t="n">
        <v>45999</v>
      </c>
      <c r="D526" s="17" t="n">
        <v>0</v>
      </c>
      <c r="E526" s="17" t="n">
        <v>0</v>
      </c>
      <c r="F526" s="17" t="n">
        <v>0</v>
      </c>
      <c r="G526" s="17" t="n">
        <v>0</v>
      </c>
      <c r="H526" s="17" t="n">
        <v>0</v>
      </c>
      <c r="I526" s="17" t="n">
        <v>2</v>
      </c>
      <c r="J526" s="17" t="n">
        <v>0</v>
      </c>
      <c r="K526" s="17" t="n">
        <v>8</v>
      </c>
      <c r="L526" s="17" t="n">
        <v>0</v>
      </c>
      <c r="M526" s="17" t="n">
        <v>0</v>
      </c>
      <c r="N526" s="17" t="n">
        <v>0</v>
      </c>
      <c r="O526" s="17" t="n">
        <v>0</v>
      </c>
      <c r="P526" s="17" t="n">
        <v>0</v>
      </c>
      <c r="Q526" s="17" t="n">
        <v>1</v>
      </c>
      <c r="R526" s="17" t="n">
        <v>0</v>
      </c>
      <c r="T526" s="17">
        <f>DAY(C526)</f>
        <v/>
      </c>
      <c r="U526" s="17">
        <f>MONTH(C526)</f>
        <v/>
      </c>
      <c r="V526" s="17" t="n">
        <v>2025</v>
      </c>
    </row>
    <row r="527" hidden="1" ht="22.5" customHeight="1" s="117">
      <c r="A527" s="14" t="n">
        <v>46000.30110814815</v>
      </c>
      <c r="B527" s="17" t="inlineStr">
        <is>
          <t>Trần Xuân Khoa</t>
        </is>
      </c>
      <c r="C527" s="16" t="n">
        <v>45999</v>
      </c>
      <c r="D527" s="17" t="n">
        <v>0</v>
      </c>
      <c r="E527" s="17" t="n">
        <v>0</v>
      </c>
      <c r="F527" s="17" t="n">
        <v>0</v>
      </c>
      <c r="G527" s="17" t="n">
        <v>0</v>
      </c>
      <c r="H527" s="17" t="n">
        <v>0</v>
      </c>
      <c r="I527" s="17" t="n">
        <v>4</v>
      </c>
      <c r="J527" s="17" t="n">
        <v>0</v>
      </c>
      <c r="K527" s="17" t="n">
        <v>10</v>
      </c>
      <c r="L527" s="17" t="n">
        <v>1</v>
      </c>
      <c r="M527" s="17" t="n">
        <v>0</v>
      </c>
      <c r="N527" s="17" t="n">
        <v>0</v>
      </c>
      <c r="O527" s="17" t="n">
        <v>0</v>
      </c>
      <c r="P527" s="17" t="n">
        <v>1</v>
      </c>
      <c r="Q527" s="17" t="n">
        <v>2</v>
      </c>
      <c r="R527" s="17" t="n">
        <v>0</v>
      </c>
      <c r="T527" s="17">
        <f>DAY(C527)</f>
        <v/>
      </c>
      <c r="U527" s="17">
        <f>MONTH(C527)</f>
        <v/>
      </c>
      <c r="V527" s="17" t="n">
        <v>2025</v>
      </c>
    </row>
    <row r="528" hidden="1" ht="22.5" customHeight="1" s="117">
      <c r="A528" s="14" t="n">
        <v>46000.30271631944</v>
      </c>
      <c r="B528" s="17" t="inlineStr">
        <is>
          <t>Dương Minh Tiến</t>
        </is>
      </c>
      <c r="C528" s="16" t="n">
        <v>45999</v>
      </c>
      <c r="D528" s="17" t="n">
        <v>2</v>
      </c>
      <c r="E528" s="17" t="n">
        <v>1</v>
      </c>
      <c r="F528" s="17" t="n">
        <v>0</v>
      </c>
      <c r="G528" s="17" t="n">
        <v>0</v>
      </c>
      <c r="H528" s="17" t="n">
        <v>0</v>
      </c>
      <c r="I528" s="17" t="n">
        <v>1</v>
      </c>
      <c r="J528" s="17" t="n">
        <v>0</v>
      </c>
      <c r="K528" s="17" t="n">
        <v>2</v>
      </c>
      <c r="L528" s="17" t="n">
        <v>0</v>
      </c>
      <c r="M528" s="17" t="n">
        <v>2</v>
      </c>
      <c r="N528" s="17" t="n">
        <v>0</v>
      </c>
      <c r="O528" s="17" t="n">
        <v>0</v>
      </c>
      <c r="P528" s="17" t="n">
        <v>0</v>
      </c>
      <c r="Q528" s="17" t="n">
        <v>1</v>
      </c>
      <c r="R528" s="17" t="n">
        <v>0</v>
      </c>
      <c r="T528" s="17">
        <f>DAY(C528)</f>
        <v/>
      </c>
      <c r="U528" s="17">
        <f>MONTH(C528)</f>
        <v/>
      </c>
      <c r="V528" s="17" t="n">
        <v>2025</v>
      </c>
    </row>
    <row r="529" hidden="1" ht="22.5" customHeight="1" s="117">
      <c r="A529" s="14" t="n">
        <v>46000.30318931713</v>
      </c>
      <c r="B529" s="17" t="inlineStr">
        <is>
          <t>Hồ Xuân Việt</t>
        </is>
      </c>
      <c r="C529" s="16" t="n">
        <v>45999</v>
      </c>
      <c r="D529" s="17" t="n">
        <v>0</v>
      </c>
      <c r="E529" s="17" t="n">
        <v>0</v>
      </c>
      <c r="F529" s="17" t="n">
        <v>0</v>
      </c>
      <c r="G529" s="17" t="n">
        <v>0</v>
      </c>
      <c r="H529" s="17" t="n">
        <v>0</v>
      </c>
      <c r="I529" s="17" t="n">
        <v>0</v>
      </c>
      <c r="J529" s="17" t="n">
        <v>0</v>
      </c>
      <c r="K529" s="17" t="n">
        <v>0</v>
      </c>
      <c r="L529" s="17" t="n">
        <v>0</v>
      </c>
      <c r="M529" s="17" t="n">
        <v>1</v>
      </c>
      <c r="N529" s="17" t="n">
        <v>0</v>
      </c>
      <c r="O529" s="17" t="n">
        <v>0</v>
      </c>
      <c r="P529" s="17" t="n">
        <v>1</v>
      </c>
      <c r="Q529" s="17" t="n">
        <v>2</v>
      </c>
      <c r="R529" s="17" t="n">
        <v>0</v>
      </c>
      <c r="T529" s="17">
        <f>DAY(C529)</f>
        <v/>
      </c>
      <c r="U529" s="17">
        <f>MONTH(C529)</f>
        <v/>
      </c>
      <c r="V529" s="17" t="n">
        <v>2025</v>
      </c>
    </row>
    <row r="530" hidden="1" ht="22.5" customHeight="1" s="117">
      <c r="A530" s="14" t="n">
        <v>46000.30510490741</v>
      </c>
      <c r="B530" s="17" t="inlineStr">
        <is>
          <t>Nguyễn Thành Lâm</t>
        </is>
      </c>
      <c r="C530" s="16" t="n">
        <v>45999</v>
      </c>
      <c r="D530" s="17" t="n">
        <v>0</v>
      </c>
      <c r="E530" s="17" t="n">
        <v>0</v>
      </c>
      <c r="F530" s="17" t="n">
        <v>0</v>
      </c>
      <c r="G530" s="17" t="n">
        <v>0</v>
      </c>
      <c r="H530" s="17" t="n">
        <v>0</v>
      </c>
      <c r="I530" s="17" t="n">
        <v>1</v>
      </c>
      <c r="J530" s="17" t="n">
        <v>0</v>
      </c>
      <c r="K530" s="17" t="n">
        <v>0</v>
      </c>
      <c r="L530" s="17" t="n">
        <v>3</v>
      </c>
      <c r="M530" s="17" t="n">
        <v>0</v>
      </c>
      <c r="N530" s="17" t="n">
        <v>0</v>
      </c>
      <c r="O530" s="17" t="n">
        <v>0</v>
      </c>
      <c r="P530" s="17" t="n">
        <v>1</v>
      </c>
      <c r="Q530" s="17" t="n">
        <v>1</v>
      </c>
      <c r="R530" s="17" t="n">
        <v>0</v>
      </c>
      <c r="T530" s="17">
        <f>DAY(C530)</f>
        <v/>
      </c>
      <c r="U530" s="17">
        <f>MONTH(C530)</f>
        <v/>
      </c>
      <c r="V530" s="17" t="n">
        <v>2025</v>
      </c>
    </row>
    <row r="531" hidden="1" ht="22.5" customHeight="1" s="117">
      <c r="A531" s="14" t="n">
        <v>46000.3120416088</v>
      </c>
      <c r="B531" s="17" t="inlineStr">
        <is>
          <t>Bùi Duy Cường</t>
        </is>
      </c>
      <c r="C531" s="16" t="n">
        <v>45999</v>
      </c>
      <c r="D531" s="17" t="n">
        <v>0</v>
      </c>
      <c r="E531" s="17" t="n">
        <v>0</v>
      </c>
      <c r="F531" s="17" t="n">
        <v>0</v>
      </c>
      <c r="G531" s="17" t="n">
        <v>1</v>
      </c>
      <c r="H531" s="17" t="n">
        <v>1</v>
      </c>
      <c r="I531" s="17" t="n">
        <v>2</v>
      </c>
      <c r="J531" s="17" t="n">
        <v>0</v>
      </c>
      <c r="K531" s="17" t="n">
        <v>0</v>
      </c>
      <c r="L531" s="17" t="n">
        <v>0</v>
      </c>
      <c r="M531" s="17" t="n">
        <v>0</v>
      </c>
      <c r="N531" s="17" t="n">
        <v>1</v>
      </c>
      <c r="O531" s="17" t="n">
        <v>1</v>
      </c>
      <c r="P531" s="17" t="n">
        <v>2</v>
      </c>
      <c r="Q531" s="17" t="n">
        <v>2</v>
      </c>
      <c r="R531" s="17" t="n">
        <v>0</v>
      </c>
      <c r="T531" s="17">
        <f>DAY(C531)</f>
        <v/>
      </c>
      <c r="U531" s="17">
        <f>MONTH(C531)</f>
        <v/>
      </c>
      <c r="V531" s="17" t="n">
        <v>2025</v>
      </c>
    </row>
    <row r="532" hidden="1" ht="22.5" customHeight="1" s="117">
      <c r="A532" s="14" t="n">
        <v>46000.32326269676</v>
      </c>
      <c r="B532" s="17" t="inlineStr">
        <is>
          <t>Nguyễn Văn Nhật</t>
        </is>
      </c>
      <c r="C532" s="16" t="n">
        <v>45999</v>
      </c>
      <c r="D532" s="17" t="n">
        <v>0</v>
      </c>
      <c r="E532" s="17" t="n">
        <v>0</v>
      </c>
      <c r="F532" s="17" t="n">
        <v>0</v>
      </c>
      <c r="G532" s="17" t="n">
        <v>1</v>
      </c>
      <c r="H532" s="17" t="n">
        <v>1</v>
      </c>
      <c r="I532" s="17" t="n">
        <v>0</v>
      </c>
      <c r="J532" s="17" t="n">
        <v>0</v>
      </c>
      <c r="K532" s="17" t="n">
        <v>2</v>
      </c>
      <c r="L532" s="17" t="n">
        <v>6</v>
      </c>
      <c r="M532" s="17" t="n">
        <v>0</v>
      </c>
      <c r="N532" s="17" t="n">
        <v>0</v>
      </c>
      <c r="O532" s="17" t="n">
        <v>0</v>
      </c>
      <c r="P532" s="17" t="n">
        <v>2</v>
      </c>
      <c r="Q532" s="17" t="n">
        <v>5</v>
      </c>
      <c r="R532" s="17" t="n">
        <v>0</v>
      </c>
      <c r="T532" s="17">
        <f>DAY(C532)</f>
        <v/>
      </c>
      <c r="U532" s="17">
        <f>MONTH(C532)</f>
        <v/>
      </c>
      <c r="V532" s="17" t="n">
        <v>2025</v>
      </c>
    </row>
    <row r="533" hidden="1" ht="22.5" customHeight="1" s="117">
      <c r="A533" s="14" t="n">
        <v>46000.32709380787</v>
      </c>
      <c r="B533" s="17" t="inlineStr">
        <is>
          <t>Lương Duy Hoàng</t>
        </is>
      </c>
      <c r="C533" s="16" t="n">
        <v>45999</v>
      </c>
      <c r="D533" s="17" t="n">
        <v>0</v>
      </c>
      <c r="E533" s="17" t="n">
        <v>0</v>
      </c>
      <c r="F533" s="17" t="n">
        <v>0</v>
      </c>
      <c r="G533" s="17" t="n">
        <v>0</v>
      </c>
      <c r="H533" s="17" t="n">
        <v>0</v>
      </c>
      <c r="I533" s="17" t="n">
        <v>5</v>
      </c>
      <c r="J533" s="17" t="n">
        <v>0</v>
      </c>
      <c r="K533" s="17" t="n">
        <v>4</v>
      </c>
      <c r="L533" s="17" t="n">
        <v>1</v>
      </c>
      <c r="M533" s="17" t="n">
        <v>0</v>
      </c>
      <c r="N533" s="17" t="n">
        <v>0</v>
      </c>
      <c r="O533" s="17" t="n">
        <v>0</v>
      </c>
      <c r="P533" s="17" t="n">
        <v>0</v>
      </c>
      <c r="Q533" s="17" t="n">
        <v>2</v>
      </c>
      <c r="R533" s="17" t="n">
        <v>0</v>
      </c>
      <c r="T533" s="17">
        <f>DAY(C533)</f>
        <v/>
      </c>
      <c r="U533" s="17">
        <f>MONTH(C533)</f>
        <v/>
      </c>
      <c r="V533" s="17" t="n">
        <v>2025</v>
      </c>
    </row>
    <row r="534" hidden="1" ht="22.5" customHeight="1" s="117">
      <c r="A534" s="14" t="n">
        <v>46000.3283302662</v>
      </c>
      <c r="B534" s="17" t="inlineStr">
        <is>
          <t>Lê Văn Hồng</t>
        </is>
      </c>
      <c r="C534" s="16" t="n">
        <v>45999</v>
      </c>
      <c r="D534" s="17" t="n">
        <v>0</v>
      </c>
      <c r="E534" s="17" t="n">
        <v>0</v>
      </c>
      <c r="F534" s="17" t="n">
        <v>0</v>
      </c>
      <c r="G534" s="17" t="n">
        <v>0</v>
      </c>
      <c r="H534" s="17" t="n">
        <v>0</v>
      </c>
      <c r="I534" s="17" t="n">
        <v>2</v>
      </c>
      <c r="J534" s="17" t="n">
        <v>0</v>
      </c>
      <c r="K534" s="17" t="n">
        <v>11</v>
      </c>
      <c r="L534" s="17" t="n">
        <v>1</v>
      </c>
      <c r="M534" s="17" t="n">
        <v>0</v>
      </c>
      <c r="N534" s="17" t="n">
        <v>2</v>
      </c>
      <c r="O534" s="17" t="n">
        <v>0</v>
      </c>
      <c r="P534" s="17" t="n">
        <v>3</v>
      </c>
      <c r="Q534" s="17" t="n">
        <v>2</v>
      </c>
      <c r="R534" s="17" t="n">
        <v>0</v>
      </c>
      <c r="T534" s="17">
        <f>DAY(C534)</f>
        <v/>
      </c>
      <c r="U534" s="17">
        <f>MONTH(C534)</f>
        <v/>
      </c>
      <c r="V534" s="17" t="n">
        <v>2025</v>
      </c>
    </row>
    <row r="535" hidden="1" ht="22.5" customHeight="1" s="117">
      <c r="A535" s="14" t="n">
        <v>46000.32897609954</v>
      </c>
      <c r="B535" s="17" t="inlineStr">
        <is>
          <t>Nguyễn Hồng Minh</t>
        </is>
      </c>
      <c r="C535" s="16" t="n">
        <v>45999</v>
      </c>
      <c r="D535" s="17" t="n">
        <v>0</v>
      </c>
      <c r="E535" s="17" t="n">
        <v>0</v>
      </c>
      <c r="F535" s="17" t="n">
        <v>0</v>
      </c>
      <c r="G535" s="17" t="n">
        <v>0</v>
      </c>
      <c r="H535" s="17" t="n">
        <v>0</v>
      </c>
      <c r="I535" s="17" t="n">
        <v>0</v>
      </c>
      <c r="J535" s="17" t="n">
        <v>0</v>
      </c>
      <c r="K535" s="17" t="n">
        <v>4</v>
      </c>
      <c r="L535" s="17" t="n">
        <v>2</v>
      </c>
      <c r="M535" s="17" t="n">
        <v>0</v>
      </c>
      <c r="N535" s="17" t="n">
        <v>0</v>
      </c>
      <c r="O535" s="17" t="n">
        <v>0</v>
      </c>
      <c r="P535" s="17" t="n">
        <v>0</v>
      </c>
      <c r="Q535" s="17" t="n">
        <v>5</v>
      </c>
      <c r="R535" s="17" t="n">
        <v>1</v>
      </c>
      <c r="T535" s="17">
        <f>DAY(C535)</f>
        <v/>
      </c>
      <c r="U535" s="17">
        <f>MONTH(C535)</f>
        <v/>
      </c>
      <c r="V535" s="17" t="n">
        <v>2025</v>
      </c>
    </row>
    <row r="536" hidden="1" ht="22.5" customHeight="1" s="117">
      <c r="A536" s="14" t="n">
        <v>46000.33798030092</v>
      </c>
      <c r="B536" s="17" t="inlineStr">
        <is>
          <t>Đặng Hoài Anh</t>
        </is>
      </c>
      <c r="C536" s="16" t="n">
        <v>45999</v>
      </c>
      <c r="D536" s="17" t="n">
        <v>0</v>
      </c>
      <c r="E536" s="17" t="n">
        <v>0</v>
      </c>
      <c r="F536" s="17" t="n">
        <v>0</v>
      </c>
      <c r="G536" s="17" t="n">
        <v>0</v>
      </c>
      <c r="H536" s="17" t="n">
        <v>0</v>
      </c>
      <c r="I536" s="17" t="n">
        <v>5</v>
      </c>
      <c r="J536" s="17" t="n">
        <v>0</v>
      </c>
      <c r="K536" s="17" t="n">
        <v>4</v>
      </c>
      <c r="L536" s="17" t="n">
        <v>0</v>
      </c>
      <c r="M536" s="17" t="n">
        <v>0</v>
      </c>
      <c r="N536" s="17" t="n">
        <v>0</v>
      </c>
      <c r="O536" s="17" t="n">
        <v>0</v>
      </c>
      <c r="P536" s="17" t="n">
        <v>0</v>
      </c>
      <c r="Q536" s="17" t="n">
        <v>0</v>
      </c>
      <c r="R536" s="17" t="n">
        <v>0</v>
      </c>
      <c r="T536" s="17">
        <f>DAY(C536)</f>
        <v/>
      </c>
      <c r="U536" s="17">
        <f>MONTH(C536)</f>
        <v/>
      </c>
      <c r="V536" s="17" t="n">
        <v>2025</v>
      </c>
    </row>
    <row r="537" hidden="1" ht="22.5" customHeight="1" s="117">
      <c r="A537" s="14" t="n">
        <v>46000.33824391204</v>
      </c>
      <c r="B537" s="17" t="inlineStr">
        <is>
          <t>Hoàng Văn Chất</t>
        </is>
      </c>
      <c r="C537" s="16" t="n">
        <v>45999</v>
      </c>
      <c r="D537" s="17" t="n">
        <v>1</v>
      </c>
      <c r="E537" s="17" t="n">
        <v>1</v>
      </c>
      <c r="F537" s="17" t="n">
        <v>0</v>
      </c>
      <c r="G537" s="17" t="n">
        <v>0</v>
      </c>
      <c r="H537" s="17" t="n">
        <v>0</v>
      </c>
      <c r="I537" s="17" t="n">
        <v>0</v>
      </c>
      <c r="J537" s="17" t="n">
        <v>0</v>
      </c>
      <c r="K537" s="17" t="n">
        <v>2</v>
      </c>
      <c r="L537" s="17" t="n">
        <v>9</v>
      </c>
      <c r="M537" s="17" t="n">
        <v>2</v>
      </c>
      <c r="N537" s="17" t="n">
        <v>0</v>
      </c>
      <c r="O537" s="17" t="n">
        <v>0</v>
      </c>
      <c r="P537" s="17" t="n">
        <v>0</v>
      </c>
      <c r="Q537" s="17" t="n">
        <v>2</v>
      </c>
      <c r="R537" s="17" t="n">
        <v>0</v>
      </c>
      <c r="T537" s="17">
        <f>DAY(C537)</f>
        <v/>
      </c>
      <c r="U537" s="17">
        <f>MONTH(C537)</f>
        <v/>
      </c>
      <c r="V537" s="17" t="n">
        <v>2025</v>
      </c>
    </row>
    <row r="538" hidden="1" ht="22.5" customHeight="1" s="117">
      <c r="A538" s="14" t="n">
        <v>46000.50619039352</v>
      </c>
      <c r="B538" s="17" t="inlineStr">
        <is>
          <t>Lê Quốc Duy</t>
        </is>
      </c>
      <c r="C538" s="16" t="n">
        <v>45999</v>
      </c>
      <c r="D538" s="17" t="n">
        <v>0</v>
      </c>
      <c r="E538" s="17" t="n">
        <v>0</v>
      </c>
      <c r="F538" s="17" t="n">
        <v>0</v>
      </c>
      <c r="G538" s="17" t="n">
        <v>0</v>
      </c>
      <c r="H538" s="17" t="n">
        <v>0</v>
      </c>
      <c r="I538" s="17" t="n">
        <v>1</v>
      </c>
      <c r="J538" s="17" t="n">
        <v>0</v>
      </c>
      <c r="K538" s="17" t="n">
        <v>0</v>
      </c>
      <c r="L538" s="17" t="n">
        <v>1</v>
      </c>
      <c r="M538" s="17" t="n">
        <v>0</v>
      </c>
      <c r="N538" s="17" t="n">
        <v>0</v>
      </c>
      <c r="O538" s="17" t="n">
        <v>0</v>
      </c>
      <c r="P538" s="17" t="n">
        <v>1</v>
      </c>
      <c r="Q538" s="17" t="n">
        <v>1</v>
      </c>
      <c r="R538" s="17" t="n">
        <v>0</v>
      </c>
      <c r="T538" s="17">
        <f>DAY(C538)</f>
        <v/>
      </c>
      <c r="U538" s="17">
        <f>MONTH(C538)</f>
        <v/>
      </c>
      <c r="V538" s="17" t="n">
        <v>2025</v>
      </c>
    </row>
    <row r="539" hidden="1" ht="22.5" customHeight="1" s="117">
      <c r="A539" s="14" t="n">
        <v>46000.94354722222</v>
      </c>
      <c r="B539" s="17" t="inlineStr">
        <is>
          <t>Lê Quốc Duy</t>
        </is>
      </c>
      <c r="C539" s="16" t="n">
        <v>46000</v>
      </c>
      <c r="D539" s="17" t="n">
        <v>1</v>
      </c>
      <c r="E539" s="17" t="n">
        <v>1</v>
      </c>
      <c r="F539" s="17" t="n">
        <v>0</v>
      </c>
      <c r="G539" s="17" t="n">
        <v>1</v>
      </c>
      <c r="H539" s="17" t="n">
        <v>1</v>
      </c>
      <c r="I539" s="17" t="n">
        <v>8</v>
      </c>
      <c r="J539" s="17" t="n">
        <v>1</v>
      </c>
      <c r="K539" s="17" t="n">
        <v>3</v>
      </c>
      <c r="L539" s="17" t="n">
        <v>0</v>
      </c>
      <c r="M539" s="17" t="n">
        <v>1</v>
      </c>
      <c r="N539" s="17" t="n">
        <v>0</v>
      </c>
      <c r="O539" s="17" t="n">
        <v>0</v>
      </c>
      <c r="P539" s="17" t="n">
        <v>0</v>
      </c>
      <c r="Q539" s="17" t="n">
        <v>1</v>
      </c>
      <c r="R539" s="17" t="n">
        <v>0</v>
      </c>
      <c r="T539" s="17">
        <f>DAY(C539)</f>
        <v/>
      </c>
      <c r="U539" s="17">
        <f>MONTH(C539)</f>
        <v/>
      </c>
      <c r="V539" s="17" t="n">
        <v>2025</v>
      </c>
    </row>
    <row r="540" hidden="1" ht="22.5" customHeight="1" s="117">
      <c r="A540" s="14" t="n">
        <v>46001.11955076389</v>
      </c>
      <c r="B540" s="17" t="inlineStr">
        <is>
          <t>Trần Minh Khánh</t>
        </is>
      </c>
      <c r="C540" s="16" t="n">
        <v>46000</v>
      </c>
      <c r="D540" s="17" t="n">
        <v>0</v>
      </c>
      <c r="E540" s="17" t="n">
        <v>0</v>
      </c>
      <c r="F540" s="17" t="n">
        <v>0</v>
      </c>
      <c r="G540" s="17" t="n">
        <v>1</v>
      </c>
      <c r="H540" s="17" t="n">
        <v>1</v>
      </c>
      <c r="I540" s="17" t="n">
        <v>3</v>
      </c>
      <c r="J540" s="17" t="n">
        <v>0</v>
      </c>
      <c r="K540" s="17" t="n">
        <v>2</v>
      </c>
      <c r="L540" s="17" t="n">
        <v>5</v>
      </c>
      <c r="M540" s="17" t="n">
        <v>0</v>
      </c>
      <c r="N540" s="17" t="n">
        <v>0</v>
      </c>
      <c r="O540" s="17" t="n">
        <v>0</v>
      </c>
      <c r="P540" s="17" t="n">
        <v>0</v>
      </c>
      <c r="Q540" s="17" t="n">
        <v>2</v>
      </c>
      <c r="R540" s="17" t="n">
        <v>0</v>
      </c>
      <c r="T540" s="17">
        <f>DAY(C540)</f>
        <v/>
      </c>
      <c r="U540" s="17">
        <f>MONTH(C540)</f>
        <v/>
      </c>
      <c r="V540" s="17" t="n">
        <v>2025</v>
      </c>
    </row>
    <row r="541" hidden="1" ht="22.5" customHeight="1" s="117">
      <c r="A541" s="14" t="n">
        <v>46001.27895053241</v>
      </c>
      <c r="B541" s="17" t="inlineStr">
        <is>
          <t>Nguyễn Văn Hiệp</t>
        </is>
      </c>
      <c r="C541" s="16" t="n">
        <v>46000</v>
      </c>
      <c r="D541" s="17" t="n">
        <v>0</v>
      </c>
      <c r="E541" s="17" t="n">
        <v>0</v>
      </c>
      <c r="F541" s="17" t="n">
        <v>0</v>
      </c>
      <c r="G541" s="17" t="n">
        <v>0</v>
      </c>
      <c r="H541" s="17" t="n">
        <v>0</v>
      </c>
      <c r="I541" s="17" t="n">
        <v>5</v>
      </c>
      <c r="J541" s="17" t="n">
        <v>0</v>
      </c>
      <c r="K541" s="17" t="n">
        <v>0</v>
      </c>
      <c r="L541" s="17" t="n">
        <v>0</v>
      </c>
      <c r="M541" s="17" t="n">
        <v>1</v>
      </c>
      <c r="N541" s="17" t="n">
        <v>0</v>
      </c>
      <c r="O541" s="17" t="n">
        <v>0</v>
      </c>
      <c r="P541" s="17" t="n">
        <v>1</v>
      </c>
      <c r="Q541" s="17" t="n">
        <v>1</v>
      </c>
      <c r="R541" s="17" t="n">
        <v>0</v>
      </c>
      <c r="T541" s="17">
        <f>DAY(C541)</f>
        <v/>
      </c>
      <c r="U541" s="17">
        <f>MONTH(C541)</f>
        <v/>
      </c>
      <c r="V541" s="17" t="n">
        <v>2025</v>
      </c>
    </row>
    <row r="542" hidden="1" ht="22.5" customHeight="1" s="117">
      <c r="A542" s="14" t="n">
        <v>46001.27939298611</v>
      </c>
      <c r="B542" s="17" t="inlineStr">
        <is>
          <t>Phan Thành Thái</t>
        </is>
      </c>
      <c r="C542" s="16" t="n">
        <v>46000</v>
      </c>
      <c r="D542" s="17" t="n">
        <v>0</v>
      </c>
      <c r="E542" s="17" t="n">
        <v>0</v>
      </c>
      <c r="F542" s="17" t="n">
        <v>0</v>
      </c>
      <c r="G542" s="17" t="n">
        <v>0</v>
      </c>
      <c r="H542" s="17" t="n">
        <v>0</v>
      </c>
      <c r="I542" s="17" t="n">
        <v>2</v>
      </c>
      <c r="J542" s="17" t="n">
        <v>1</v>
      </c>
      <c r="K542" s="17" t="n">
        <v>4</v>
      </c>
      <c r="L542" s="17" t="n">
        <v>0</v>
      </c>
      <c r="M542" s="17" t="n">
        <v>0</v>
      </c>
      <c r="N542" s="17" t="n">
        <v>0</v>
      </c>
      <c r="O542" s="17" t="n">
        <v>0</v>
      </c>
      <c r="P542" s="17" t="n">
        <v>1</v>
      </c>
      <c r="Q542" s="17" t="n">
        <v>4</v>
      </c>
      <c r="R542" s="17" t="n">
        <v>0</v>
      </c>
      <c r="T542" s="17">
        <f>DAY(C542)</f>
        <v/>
      </c>
      <c r="U542" s="17">
        <f>MONTH(C542)</f>
        <v/>
      </c>
      <c r="V542" s="17" t="n">
        <v>2025</v>
      </c>
    </row>
    <row r="543" hidden="1" ht="22.5" customHeight="1" s="117">
      <c r="A543" s="14" t="n">
        <v>46001.28097490741</v>
      </c>
      <c r="B543" s="17" t="inlineStr">
        <is>
          <t>Hồ Xuân Việt</t>
        </is>
      </c>
      <c r="C543" s="16" t="n">
        <v>46000</v>
      </c>
      <c r="D543" s="17" t="n">
        <v>0</v>
      </c>
      <c r="E543" s="17" t="n">
        <v>0</v>
      </c>
      <c r="F543" s="17" t="n">
        <v>0</v>
      </c>
      <c r="G543" s="17" t="n">
        <v>0</v>
      </c>
      <c r="H543" s="17" t="n">
        <v>0</v>
      </c>
      <c r="I543" s="17" t="n">
        <v>2</v>
      </c>
      <c r="J543" s="17" t="n">
        <v>0</v>
      </c>
      <c r="K543" s="17" t="n">
        <v>8</v>
      </c>
      <c r="L543" s="17" t="n">
        <v>0</v>
      </c>
      <c r="M543" s="17" t="n">
        <v>0</v>
      </c>
      <c r="N543" s="17" t="n">
        <v>0</v>
      </c>
      <c r="O543" s="17" t="n">
        <v>0</v>
      </c>
      <c r="P543" s="17" t="n">
        <v>3</v>
      </c>
      <c r="Q543" s="17" t="n">
        <v>2</v>
      </c>
      <c r="R543" s="17" t="n">
        <v>0</v>
      </c>
      <c r="T543" s="17">
        <f>DAY(C543)</f>
        <v/>
      </c>
      <c r="U543" s="17">
        <f>MONTH(C543)</f>
        <v/>
      </c>
      <c r="V543" s="17" t="n">
        <v>2025</v>
      </c>
    </row>
    <row r="544" hidden="1" ht="22.5" customHeight="1" s="117">
      <c r="A544" s="14" t="n">
        <v>46001.28350856481</v>
      </c>
      <c r="B544" s="17" t="inlineStr">
        <is>
          <t>Đào Công Trung</t>
        </is>
      </c>
      <c r="C544" s="16" t="n">
        <v>46000</v>
      </c>
      <c r="D544" s="17" t="n">
        <v>1</v>
      </c>
      <c r="E544" s="17" t="n">
        <v>1</v>
      </c>
      <c r="F544" s="17" t="n">
        <v>1</v>
      </c>
      <c r="G544" s="17" t="n">
        <v>0</v>
      </c>
      <c r="H544" s="17" t="n">
        <v>0</v>
      </c>
      <c r="I544" s="17" t="n">
        <v>3</v>
      </c>
      <c r="J544" s="17" t="n">
        <v>0</v>
      </c>
      <c r="K544" s="17" t="n">
        <v>0</v>
      </c>
      <c r="L544" s="17" t="n">
        <v>0</v>
      </c>
      <c r="M544" s="17" t="n">
        <v>0</v>
      </c>
      <c r="N544" s="17" t="n">
        <v>0</v>
      </c>
      <c r="O544" s="17" t="n">
        <v>0</v>
      </c>
      <c r="P544" s="17" t="n">
        <v>0</v>
      </c>
      <c r="Q544" s="17" t="n">
        <v>1</v>
      </c>
      <c r="R544" s="17" t="n">
        <v>0</v>
      </c>
      <c r="T544" s="17">
        <f>DAY(C544)</f>
        <v/>
      </c>
      <c r="U544" s="17">
        <f>MONTH(C544)</f>
        <v/>
      </c>
      <c r="V544" s="17" t="n">
        <v>2025</v>
      </c>
    </row>
    <row r="545" hidden="1" ht="22.5" customHeight="1" s="117">
      <c r="A545" s="14" t="n">
        <v>46001.28372305555</v>
      </c>
      <c r="B545" s="17" t="inlineStr">
        <is>
          <t>Trần Xuân Khoa</t>
        </is>
      </c>
      <c r="C545" s="16" t="n">
        <v>46000</v>
      </c>
      <c r="D545" s="17" t="n">
        <v>0</v>
      </c>
      <c r="E545" s="17" t="n">
        <v>0</v>
      </c>
      <c r="F545" s="17" t="n">
        <v>0</v>
      </c>
      <c r="G545" s="17" t="n">
        <v>0</v>
      </c>
      <c r="H545" s="17" t="n">
        <v>0</v>
      </c>
      <c r="I545" s="17" t="n">
        <v>1</v>
      </c>
      <c r="J545" s="17" t="n">
        <v>0</v>
      </c>
      <c r="K545" s="17" t="n">
        <v>5</v>
      </c>
      <c r="L545" s="17" t="n">
        <v>0</v>
      </c>
      <c r="M545" s="17" t="n">
        <v>0</v>
      </c>
      <c r="N545" s="17" t="n">
        <v>0</v>
      </c>
      <c r="O545" s="17" t="n">
        <v>0</v>
      </c>
      <c r="P545" s="17" t="n">
        <v>1</v>
      </c>
      <c r="Q545" s="17" t="n">
        <v>2</v>
      </c>
      <c r="R545" s="17" t="n">
        <v>0</v>
      </c>
      <c r="T545" s="17">
        <f>DAY(C545)</f>
        <v/>
      </c>
      <c r="U545" s="17">
        <f>MONTH(C545)</f>
        <v/>
      </c>
      <c r="V545" s="17" t="n">
        <v>2025</v>
      </c>
    </row>
    <row r="546" hidden="1" ht="22.5" customHeight="1" s="117">
      <c r="A546" s="14" t="n">
        <v>46001.28377451389</v>
      </c>
      <c r="B546" s="17" t="inlineStr">
        <is>
          <t>Đặng Hữu Danh</t>
        </is>
      </c>
      <c r="C546" s="16" t="n">
        <v>46000</v>
      </c>
      <c r="D546" s="17" t="n">
        <v>0</v>
      </c>
      <c r="E546" s="17" t="n">
        <v>0</v>
      </c>
      <c r="F546" s="17" t="n">
        <v>0</v>
      </c>
      <c r="G546" s="17" t="n">
        <v>0</v>
      </c>
      <c r="H546" s="17" t="n">
        <v>0</v>
      </c>
      <c r="I546" s="17" t="n">
        <v>2</v>
      </c>
      <c r="J546" s="17" t="n">
        <v>0</v>
      </c>
      <c r="K546" s="17" t="n">
        <v>1</v>
      </c>
      <c r="L546" s="17" t="n">
        <v>0</v>
      </c>
      <c r="M546" s="17" t="n">
        <v>0</v>
      </c>
      <c r="N546" s="17" t="n">
        <v>0</v>
      </c>
      <c r="O546" s="17" t="n">
        <v>0</v>
      </c>
      <c r="P546" s="17" t="n">
        <v>1</v>
      </c>
      <c r="Q546" s="17" t="n">
        <v>2</v>
      </c>
      <c r="R546" s="17" t="n">
        <v>0</v>
      </c>
      <c r="T546" s="17">
        <f>DAY(C546)</f>
        <v/>
      </c>
      <c r="U546" s="17">
        <f>MONTH(C546)</f>
        <v/>
      </c>
      <c r="V546" s="17" t="n">
        <v>2025</v>
      </c>
    </row>
    <row r="547" hidden="1" ht="22.5" customHeight="1" s="117">
      <c r="A547" s="14" t="n">
        <v>46001.28666674768</v>
      </c>
      <c r="B547" s="17" t="inlineStr">
        <is>
          <t>Huỳnh Văn Lực</t>
        </is>
      </c>
      <c r="C547" s="16" t="n">
        <v>46000</v>
      </c>
      <c r="D547" s="17" t="n">
        <v>0</v>
      </c>
      <c r="E547" s="17" t="n">
        <v>0</v>
      </c>
      <c r="F547" s="17" t="n">
        <v>0</v>
      </c>
      <c r="G547" s="17" t="n">
        <v>0</v>
      </c>
      <c r="H547" s="17" t="n">
        <v>0</v>
      </c>
      <c r="I547" s="17" t="n">
        <v>5</v>
      </c>
      <c r="J547" s="17" t="n">
        <v>0</v>
      </c>
      <c r="K547" s="17" t="n">
        <v>0</v>
      </c>
      <c r="L547" s="17" t="n">
        <v>0</v>
      </c>
      <c r="M547" s="17" t="n">
        <v>0</v>
      </c>
      <c r="N547" s="17" t="n">
        <v>0</v>
      </c>
      <c r="O547" s="17" t="n">
        <v>0</v>
      </c>
      <c r="P547" s="17" t="n">
        <v>0</v>
      </c>
      <c r="Q547" s="17" t="n">
        <v>3</v>
      </c>
      <c r="R547" s="17" t="n">
        <v>0</v>
      </c>
      <c r="T547" s="17">
        <f>DAY(C547)</f>
        <v/>
      </c>
      <c r="U547" s="17">
        <f>MONTH(C547)</f>
        <v/>
      </c>
      <c r="V547" s="17" t="n">
        <v>2025</v>
      </c>
    </row>
    <row r="548" hidden="1" ht="22.5" customHeight="1" s="117">
      <c r="A548" s="14" t="n">
        <v>46001.28741668982</v>
      </c>
      <c r="B548" s="17" t="inlineStr">
        <is>
          <t>Phan Ngọc Sang</t>
        </is>
      </c>
      <c r="C548" s="16" t="n">
        <v>46000</v>
      </c>
      <c r="D548" s="17" t="n">
        <v>0</v>
      </c>
      <c r="E548" s="17" t="n">
        <v>0</v>
      </c>
      <c r="F548" s="17" t="n">
        <v>0</v>
      </c>
      <c r="G548" s="17" t="n">
        <v>0</v>
      </c>
      <c r="H548" s="17" t="n">
        <v>0</v>
      </c>
      <c r="I548" s="17" t="n">
        <v>1</v>
      </c>
      <c r="J548" s="17" t="n">
        <v>0</v>
      </c>
      <c r="K548" s="17" t="n">
        <v>0</v>
      </c>
      <c r="L548" s="17" t="n">
        <v>0</v>
      </c>
      <c r="M548" s="17" t="n">
        <v>1</v>
      </c>
      <c r="N548" s="17" t="n">
        <v>1</v>
      </c>
      <c r="O548" s="17" t="n">
        <v>1</v>
      </c>
      <c r="P548" s="17" t="n">
        <v>0</v>
      </c>
      <c r="Q548" s="17" t="n">
        <v>2</v>
      </c>
      <c r="R548" s="17" t="n">
        <v>0</v>
      </c>
      <c r="T548" s="17">
        <f>DAY(C548)</f>
        <v/>
      </c>
      <c r="U548" s="17">
        <f>MONTH(C548)</f>
        <v/>
      </c>
      <c r="V548" s="17" t="n">
        <v>2025</v>
      </c>
    </row>
    <row r="549" hidden="1" ht="22.5" customHeight="1" s="117">
      <c r="A549" s="14" t="n">
        <v>46001.28771033565</v>
      </c>
      <c r="B549" s="17" t="inlineStr">
        <is>
          <t>Lương Duy Hải</t>
        </is>
      </c>
      <c r="C549" s="16" t="n">
        <v>46000</v>
      </c>
      <c r="D549" s="17" t="n">
        <v>0</v>
      </c>
      <c r="E549" s="17" t="n">
        <v>0</v>
      </c>
      <c r="F549" s="17" t="n">
        <v>0</v>
      </c>
      <c r="G549" s="17" t="n">
        <v>0</v>
      </c>
      <c r="H549" s="17" t="n">
        <v>0</v>
      </c>
      <c r="I549" s="17" t="n">
        <v>0</v>
      </c>
      <c r="J549" s="17" t="n">
        <v>0</v>
      </c>
      <c r="K549" s="17" t="n">
        <v>7</v>
      </c>
      <c r="L549" s="17" t="n">
        <v>0</v>
      </c>
      <c r="M549" s="17" t="n">
        <v>0</v>
      </c>
      <c r="N549" s="17" t="n">
        <v>0</v>
      </c>
      <c r="O549" s="17" t="n">
        <v>0</v>
      </c>
      <c r="P549" s="17" t="n">
        <v>1</v>
      </c>
      <c r="Q549" s="17" t="n">
        <v>2</v>
      </c>
      <c r="R549" s="17" t="n">
        <v>0</v>
      </c>
      <c r="T549" s="17">
        <f>DAY(C549)</f>
        <v/>
      </c>
      <c r="U549" s="17">
        <f>MONTH(C549)</f>
        <v/>
      </c>
      <c r="V549" s="17" t="n">
        <v>2025</v>
      </c>
    </row>
    <row r="550" hidden="1" ht="22.5" customHeight="1" s="117">
      <c r="A550" s="14" t="n">
        <v>46001.29270527778</v>
      </c>
      <c r="B550" s="17" t="inlineStr">
        <is>
          <t>Nguyễn Tuấn Anh</t>
        </is>
      </c>
      <c r="C550" s="16" t="n">
        <v>46000</v>
      </c>
      <c r="D550" s="17" t="n">
        <v>1</v>
      </c>
      <c r="E550" s="17" t="n">
        <v>1</v>
      </c>
      <c r="F550" s="17" t="n">
        <v>0</v>
      </c>
      <c r="G550" s="17" t="n">
        <v>0</v>
      </c>
      <c r="H550" s="17" t="n">
        <v>0</v>
      </c>
      <c r="I550" s="17" t="n">
        <v>2</v>
      </c>
      <c r="J550" s="17" t="n">
        <v>0</v>
      </c>
      <c r="K550" s="17" t="n">
        <v>7</v>
      </c>
      <c r="L550" s="17" t="n">
        <v>0</v>
      </c>
      <c r="M550" s="17" t="n">
        <v>0</v>
      </c>
      <c r="N550" s="17" t="n">
        <v>0</v>
      </c>
      <c r="O550" s="17" t="n">
        <v>0</v>
      </c>
      <c r="P550" s="17" t="n">
        <v>1</v>
      </c>
      <c r="Q550" s="17" t="n">
        <v>5</v>
      </c>
      <c r="R550" s="17" t="n">
        <v>0</v>
      </c>
      <c r="T550" s="17">
        <f>DAY(C550)</f>
        <v/>
      </c>
      <c r="U550" s="17">
        <f>MONTH(C550)</f>
        <v/>
      </c>
      <c r="V550" s="17" t="n">
        <v>2025</v>
      </c>
    </row>
    <row r="551" hidden="1" ht="22.5" customHeight="1" s="117">
      <c r="A551" s="14" t="n">
        <v>46001.29450461805</v>
      </c>
      <c r="B551" s="17" t="inlineStr">
        <is>
          <t>Nguyễn Quang Anh Tuấn</t>
        </is>
      </c>
      <c r="C551" s="16" t="n">
        <v>46000</v>
      </c>
      <c r="D551" s="17" t="n">
        <v>0</v>
      </c>
      <c r="E551" s="17" t="n">
        <v>0</v>
      </c>
      <c r="F551" s="17" t="n">
        <v>0</v>
      </c>
      <c r="G551" s="17" t="n">
        <v>0</v>
      </c>
      <c r="H551" s="17" t="n">
        <v>0</v>
      </c>
      <c r="I551" s="17" t="n">
        <v>0</v>
      </c>
      <c r="J551" s="17" t="n">
        <v>0</v>
      </c>
      <c r="K551" s="17" t="n">
        <v>5</v>
      </c>
      <c r="L551" s="17" t="n">
        <v>0</v>
      </c>
      <c r="M551" s="17" t="n">
        <v>0</v>
      </c>
      <c r="N551" s="17" t="n">
        <v>1</v>
      </c>
      <c r="O551" s="17" t="n">
        <v>0</v>
      </c>
      <c r="P551" s="17" t="n">
        <v>1</v>
      </c>
      <c r="Q551" s="17" t="n">
        <v>2</v>
      </c>
      <c r="R551" s="17" t="n">
        <v>0</v>
      </c>
      <c r="T551" s="17">
        <f>DAY(C551)</f>
        <v/>
      </c>
      <c r="U551" s="17">
        <f>MONTH(C551)</f>
        <v/>
      </c>
      <c r="V551" s="17" t="n">
        <v>2025</v>
      </c>
    </row>
    <row r="552" hidden="1" ht="22.5" customHeight="1" s="117">
      <c r="A552" s="14" t="n">
        <v>46001.29526658565</v>
      </c>
      <c r="B552" s="17" t="inlineStr">
        <is>
          <t>Trần Trung Giang</t>
        </is>
      </c>
      <c r="C552" s="16" t="n">
        <v>46000</v>
      </c>
      <c r="D552" s="17" t="n">
        <v>0</v>
      </c>
      <c r="E552" s="17" t="n">
        <v>0</v>
      </c>
      <c r="F552" s="17" t="n">
        <v>0</v>
      </c>
      <c r="G552" s="17" t="n">
        <v>0</v>
      </c>
      <c r="H552" s="17" t="n">
        <v>0</v>
      </c>
      <c r="I552" s="17" t="n">
        <v>0</v>
      </c>
      <c r="J552" s="17" t="n">
        <v>0</v>
      </c>
      <c r="K552" s="17" t="n">
        <v>11</v>
      </c>
      <c r="L552" s="17" t="n">
        <v>0</v>
      </c>
      <c r="M552" s="17" t="n">
        <v>0</v>
      </c>
      <c r="N552" s="17" t="n">
        <v>0</v>
      </c>
      <c r="O552" s="17" t="n">
        <v>0</v>
      </c>
      <c r="P552" s="17" t="n">
        <v>1</v>
      </c>
      <c r="Q552" s="17" t="n">
        <v>0</v>
      </c>
      <c r="R552" s="17" t="n">
        <v>0</v>
      </c>
      <c r="T552" s="17">
        <f>DAY(C552)</f>
        <v/>
      </c>
      <c r="U552" s="17">
        <f>MONTH(C552)</f>
        <v/>
      </c>
      <c r="V552" s="17" t="n">
        <v>2025</v>
      </c>
    </row>
    <row r="553" hidden="1" ht="22.5" customHeight="1" s="117">
      <c r="A553" s="14" t="n">
        <v>46001.29683965278</v>
      </c>
      <c r="B553" s="17" t="inlineStr">
        <is>
          <t>Vòng Nhật Sang</t>
        </is>
      </c>
      <c r="C553" s="16" t="n">
        <v>46000</v>
      </c>
      <c r="D553" s="17" t="n">
        <v>1</v>
      </c>
      <c r="E553" s="17" t="n">
        <v>0</v>
      </c>
      <c r="F553" s="17" t="n">
        <v>0</v>
      </c>
      <c r="G553" s="17" t="n">
        <v>0</v>
      </c>
      <c r="H553" s="17" t="n">
        <v>0</v>
      </c>
      <c r="I553" s="17" t="n">
        <v>15</v>
      </c>
      <c r="J553" s="17" t="n">
        <v>0</v>
      </c>
      <c r="K553" s="17" t="n">
        <v>29</v>
      </c>
      <c r="L553" s="17" t="n">
        <v>0</v>
      </c>
      <c r="M553" s="17" t="n">
        <v>0</v>
      </c>
      <c r="N553" s="17" t="n">
        <v>15</v>
      </c>
      <c r="O553" s="17" t="n">
        <v>0</v>
      </c>
      <c r="P553" s="17" t="n">
        <v>2</v>
      </c>
      <c r="Q553" s="17" t="n">
        <v>2</v>
      </c>
      <c r="R553" s="17" t="n">
        <v>0</v>
      </c>
      <c r="T553" s="17">
        <f>DAY(C553)</f>
        <v/>
      </c>
      <c r="U553" s="17">
        <f>MONTH(C553)</f>
        <v/>
      </c>
      <c r="V553" s="17" t="n">
        <v>2025</v>
      </c>
    </row>
    <row r="554" hidden="1" ht="22.5" customHeight="1" s="117">
      <c r="A554" s="14" t="n">
        <v>46001.29784532407</v>
      </c>
      <c r="B554" s="17" t="inlineStr">
        <is>
          <t>Lương Duy Hoàng</t>
        </is>
      </c>
      <c r="C554" s="16" t="n">
        <v>46000</v>
      </c>
      <c r="D554" s="17" t="n">
        <v>0</v>
      </c>
      <c r="E554" s="17" t="n">
        <v>0</v>
      </c>
      <c r="F554" s="17" t="n">
        <v>0</v>
      </c>
      <c r="G554" s="17" t="n">
        <v>0</v>
      </c>
      <c r="H554" s="17" t="n">
        <v>0</v>
      </c>
      <c r="I554" s="17" t="n">
        <v>2</v>
      </c>
      <c r="J554" s="17" t="n">
        <v>0</v>
      </c>
      <c r="K554" s="17" t="n">
        <v>5</v>
      </c>
      <c r="L554" s="17" t="n">
        <v>0</v>
      </c>
      <c r="M554" s="17" t="n">
        <v>0</v>
      </c>
      <c r="N554" s="17" t="n">
        <v>0</v>
      </c>
      <c r="O554" s="17" t="n">
        <v>0</v>
      </c>
      <c r="P554" s="17" t="n">
        <v>0</v>
      </c>
      <c r="Q554" s="17" t="n">
        <v>3</v>
      </c>
      <c r="R554" s="17" t="n">
        <v>0</v>
      </c>
      <c r="T554" s="17">
        <f>DAY(C554)</f>
        <v/>
      </c>
      <c r="U554" s="17">
        <f>MONTH(C554)</f>
        <v/>
      </c>
      <c r="V554" s="17" t="n">
        <v>2025</v>
      </c>
    </row>
    <row r="555" hidden="1" ht="22.5" customHeight="1" s="117">
      <c r="A555" s="14" t="n">
        <v>46001.2980405787</v>
      </c>
      <c r="B555" s="17" t="inlineStr">
        <is>
          <t>Nguyễn Thành Lâm</t>
        </is>
      </c>
      <c r="C555" s="16" t="n">
        <v>46000</v>
      </c>
      <c r="D555" s="17" t="n">
        <v>0</v>
      </c>
      <c r="E555" s="17" t="n">
        <v>0</v>
      </c>
      <c r="F555" s="17" t="n">
        <v>0</v>
      </c>
      <c r="G555" s="17" t="n">
        <v>0</v>
      </c>
      <c r="H555" s="17" t="n">
        <v>0</v>
      </c>
      <c r="I555" s="17" t="n">
        <v>1</v>
      </c>
      <c r="J555" s="17" t="n">
        <v>0</v>
      </c>
      <c r="K555" s="17" t="n">
        <v>2</v>
      </c>
      <c r="L555" s="17" t="n">
        <v>0</v>
      </c>
      <c r="M555" s="17" t="n">
        <v>0</v>
      </c>
      <c r="N555" s="17" t="n">
        <v>0</v>
      </c>
      <c r="O555" s="17" t="n">
        <v>0</v>
      </c>
      <c r="P555" s="17" t="n">
        <v>1</v>
      </c>
      <c r="Q555" s="17" t="n">
        <v>2</v>
      </c>
      <c r="R555" s="17" t="n">
        <v>0</v>
      </c>
      <c r="T555" s="17">
        <f>DAY(C555)</f>
        <v/>
      </c>
      <c r="U555" s="17">
        <f>MONTH(C555)</f>
        <v/>
      </c>
      <c r="V555" s="17" t="n">
        <v>2025</v>
      </c>
    </row>
    <row r="556" hidden="1" ht="22.5" customHeight="1" s="117">
      <c r="A556" s="14" t="n">
        <v>46001.31162946759</v>
      </c>
      <c r="B556" s="17" t="inlineStr">
        <is>
          <t>Hồ Thái Minh Trí</t>
        </is>
      </c>
      <c r="C556" s="16" t="n">
        <v>46000</v>
      </c>
      <c r="D556" s="17" t="n">
        <v>0</v>
      </c>
      <c r="E556" s="17" t="n">
        <v>0</v>
      </c>
      <c r="F556" s="17" t="n">
        <v>0</v>
      </c>
      <c r="G556" s="17" t="n">
        <v>0</v>
      </c>
      <c r="H556" s="17" t="n">
        <v>0</v>
      </c>
      <c r="I556" s="17" t="n">
        <v>2</v>
      </c>
      <c r="J556" s="17" t="n">
        <v>0</v>
      </c>
      <c r="K556" s="17" t="n">
        <v>2</v>
      </c>
      <c r="L556" s="17" t="n">
        <v>16</v>
      </c>
      <c r="M556" s="17" t="n">
        <v>0</v>
      </c>
      <c r="N556" s="17" t="n">
        <v>0</v>
      </c>
      <c r="O556" s="17" t="n">
        <v>0</v>
      </c>
      <c r="P556" s="17" t="n">
        <v>0</v>
      </c>
      <c r="Q556" s="17" t="n">
        <v>3</v>
      </c>
      <c r="R556" s="17" t="n">
        <v>0</v>
      </c>
      <c r="T556" s="17">
        <f>DAY(C556)</f>
        <v/>
      </c>
      <c r="U556" s="17">
        <f>MONTH(C556)</f>
        <v/>
      </c>
      <c r="V556" s="17" t="n">
        <v>2025</v>
      </c>
    </row>
    <row r="557" hidden="1" ht="22.5" customHeight="1" s="117">
      <c r="A557" s="14" t="n">
        <v>46001.31355975694</v>
      </c>
      <c r="B557" s="17" t="inlineStr">
        <is>
          <t>Nguyễn Văn Nhật</t>
        </is>
      </c>
      <c r="C557" s="16" t="n">
        <v>46000</v>
      </c>
      <c r="D557" s="17" t="n">
        <v>0</v>
      </c>
      <c r="E557" s="17" t="n">
        <v>0</v>
      </c>
      <c r="F557" s="17" t="n">
        <v>0</v>
      </c>
      <c r="G557" s="17" t="n">
        <v>1</v>
      </c>
      <c r="H557" s="17" t="n">
        <v>0</v>
      </c>
      <c r="I557" s="17" t="n">
        <v>0</v>
      </c>
      <c r="J557" s="17" t="n">
        <v>2</v>
      </c>
      <c r="K557" s="17" t="n">
        <v>2</v>
      </c>
      <c r="L557" s="17" t="n">
        <v>2</v>
      </c>
      <c r="M557" s="17" t="n">
        <v>1</v>
      </c>
      <c r="N557" s="17" t="n">
        <v>2</v>
      </c>
      <c r="O557" s="17" t="n">
        <v>3</v>
      </c>
      <c r="P557" s="17" t="n">
        <v>2</v>
      </c>
      <c r="Q557" s="17" t="n">
        <v>2</v>
      </c>
      <c r="R557" s="17" t="n">
        <v>0</v>
      </c>
      <c r="T557" s="17">
        <f>DAY(C557)</f>
        <v/>
      </c>
      <c r="U557" s="17">
        <f>MONTH(C557)</f>
        <v/>
      </c>
      <c r="V557" s="17" t="n">
        <v>2025</v>
      </c>
    </row>
    <row r="558" hidden="1" ht="22.5" customHeight="1" s="117">
      <c r="A558" s="14" t="n">
        <v>46001.32156804398</v>
      </c>
      <c r="B558" s="17" t="inlineStr">
        <is>
          <t>Dương Minh Tiến</t>
        </is>
      </c>
      <c r="C558" s="16" t="n">
        <v>46001</v>
      </c>
      <c r="D558" s="17" t="n">
        <v>0</v>
      </c>
      <c r="E558" s="17" t="n">
        <v>0</v>
      </c>
      <c r="F558" s="17" t="n">
        <v>0</v>
      </c>
      <c r="G558" s="17" t="n">
        <v>0</v>
      </c>
      <c r="H558" s="17" t="n">
        <v>0</v>
      </c>
      <c r="I558" s="17" t="n">
        <v>5</v>
      </c>
      <c r="J558" s="17" t="n">
        <v>0</v>
      </c>
      <c r="K558" s="17" t="n">
        <v>3</v>
      </c>
      <c r="L558" s="17" t="n">
        <v>0</v>
      </c>
      <c r="M558" s="17" t="n">
        <v>1</v>
      </c>
      <c r="N558" s="17" t="n">
        <v>0</v>
      </c>
      <c r="O558" s="17" t="n">
        <v>0</v>
      </c>
      <c r="P558" s="17" t="n">
        <v>0</v>
      </c>
      <c r="Q558" s="17" t="n">
        <v>0</v>
      </c>
      <c r="R558" s="17" t="n">
        <v>0</v>
      </c>
      <c r="T558" s="17">
        <f>DAY(C558)</f>
        <v/>
      </c>
      <c r="U558" s="17">
        <f>MONTH(C558)</f>
        <v/>
      </c>
      <c r="V558" s="17" t="n">
        <v>2025</v>
      </c>
    </row>
    <row r="559" hidden="1" ht="22.5" customHeight="1" s="117">
      <c r="A559" s="14" t="n">
        <v>46001.32490422454</v>
      </c>
      <c r="B559" s="17" t="inlineStr">
        <is>
          <t>Đặng Hoài Anh</t>
        </is>
      </c>
      <c r="C559" s="16" t="n">
        <v>46000</v>
      </c>
      <c r="D559" s="17" t="n">
        <v>0</v>
      </c>
      <c r="E559" s="17" t="n">
        <v>0</v>
      </c>
      <c r="F559" s="17" t="n">
        <v>0</v>
      </c>
      <c r="G559" s="17" t="n">
        <v>0</v>
      </c>
      <c r="H559" s="17" t="n">
        <v>0</v>
      </c>
      <c r="I559" s="17" t="n">
        <v>2</v>
      </c>
      <c r="J559" s="17" t="n">
        <v>0</v>
      </c>
      <c r="K559" s="17" t="n">
        <v>4</v>
      </c>
      <c r="L559" s="17" t="n">
        <v>0</v>
      </c>
      <c r="M559" s="17" t="n">
        <v>0</v>
      </c>
      <c r="N559" s="17" t="n">
        <v>0</v>
      </c>
      <c r="O559" s="17" t="n">
        <v>0</v>
      </c>
      <c r="P559" s="17" t="n">
        <v>1</v>
      </c>
      <c r="Q559" s="17" t="n">
        <v>0</v>
      </c>
      <c r="R559" s="17" t="n">
        <v>0</v>
      </c>
      <c r="T559" s="17">
        <f>DAY(C559)</f>
        <v/>
      </c>
      <c r="U559" s="17">
        <f>MONTH(C559)</f>
        <v/>
      </c>
      <c r="V559" s="17" t="n">
        <v>2025</v>
      </c>
    </row>
    <row r="560" hidden="1" ht="22.5" customHeight="1" s="117">
      <c r="A560" s="14" t="n">
        <v>46001.34434200232</v>
      </c>
      <c r="B560" s="17" t="inlineStr">
        <is>
          <t>Lê Văn Hồng</t>
        </is>
      </c>
      <c r="C560" s="16" t="n">
        <v>46000</v>
      </c>
      <c r="D560" s="17" t="n">
        <v>0</v>
      </c>
      <c r="E560" s="17" t="n">
        <v>0</v>
      </c>
      <c r="F560" s="17" t="n">
        <v>0</v>
      </c>
      <c r="G560" s="17" t="n">
        <v>0</v>
      </c>
      <c r="H560" s="17" t="n">
        <v>0</v>
      </c>
      <c r="I560" s="17" t="n">
        <v>4</v>
      </c>
      <c r="J560" s="17" t="n">
        <v>0</v>
      </c>
      <c r="K560" s="17" t="n">
        <v>14</v>
      </c>
      <c r="L560" s="17" t="n">
        <v>0</v>
      </c>
      <c r="M560" s="17" t="n">
        <v>0</v>
      </c>
      <c r="N560" s="17" t="n">
        <v>4</v>
      </c>
      <c r="O560" s="17" t="n">
        <v>0</v>
      </c>
      <c r="P560" s="17" t="n">
        <v>3</v>
      </c>
      <c r="Q560" s="17" t="n">
        <v>3</v>
      </c>
      <c r="R560" s="17" t="n">
        <v>0</v>
      </c>
      <c r="T560" s="17">
        <f>DAY(C560)</f>
        <v/>
      </c>
      <c r="U560" s="17">
        <f>MONTH(C560)</f>
        <v/>
      </c>
      <c r="V560" s="17" t="n">
        <v>2025</v>
      </c>
    </row>
    <row r="561" hidden="1" ht="22.5" customHeight="1" s="117">
      <c r="A561" s="14" t="n">
        <v>46001.34477128472</v>
      </c>
      <c r="B561" s="17" t="inlineStr">
        <is>
          <t>Nguyễn Hồng Minh</t>
        </is>
      </c>
      <c r="C561" s="16" t="n">
        <v>46000</v>
      </c>
      <c r="D561" s="17" t="n">
        <v>0</v>
      </c>
      <c r="E561" s="17" t="n">
        <v>0</v>
      </c>
      <c r="F561" s="17" t="n">
        <v>0</v>
      </c>
      <c r="G561" s="17" t="n">
        <v>0</v>
      </c>
      <c r="H561" s="17" t="n">
        <v>0</v>
      </c>
      <c r="I561" s="17" t="n">
        <v>2</v>
      </c>
      <c r="J561" s="17" t="n">
        <v>0</v>
      </c>
      <c r="K561" s="17" t="n">
        <v>0</v>
      </c>
      <c r="L561" s="17" t="n">
        <v>0</v>
      </c>
      <c r="M561" s="17" t="n">
        <v>0</v>
      </c>
      <c r="N561" s="17" t="n">
        <v>1</v>
      </c>
      <c r="O561" s="17" t="n">
        <v>0</v>
      </c>
      <c r="P561" s="17" t="n">
        <v>1</v>
      </c>
      <c r="Q561" s="17" t="n">
        <v>6</v>
      </c>
      <c r="R561" s="17" t="n">
        <v>0</v>
      </c>
      <c r="T561" s="17">
        <f>DAY(C561)</f>
        <v/>
      </c>
      <c r="U561" s="17">
        <f>MONTH(C561)</f>
        <v/>
      </c>
      <c r="V561" s="17" t="n">
        <v>2025</v>
      </c>
    </row>
    <row r="562" hidden="1" ht="22.5" customHeight="1" s="117">
      <c r="A562" s="14" t="n">
        <v>46001.35058753473</v>
      </c>
      <c r="B562" s="17" t="inlineStr">
        <is>
          <t>Hoàng Văn Chất</t>
        </is>
      </c>
      <c r="C562" s="16" t="n">
        <v>46000</v>
      </c>
      <c r="D562" s="17" t="n">
        <v>1</v>
      </c>
      <c r="E562" s="17" t="n">
        <v>0</v>
      </c>
      <c r="F562" s="17" t="n">
        <v>1</v>
      </c>
      <c r="G562" s="17" t="n">
        <v>0</v>
      </c>
      <c r="H562" s="17" t="n">
        <v>0</v>
      </c>
      <c r="I562" s="17" t="n">
        <v>0</v>
      </c>
      <c r="J562" s="17" t="n">
        <v>0</v>
      </c>
      <c r="K562" s="17" t="n">
        <v>6</v>
      </c>
      <c r="L562" s="17" t="n">
        <v>2</v>
      </c>
      <c r="M562" s="17" t="n">
        <v>1</v>
      </c>
      <c r="N562" s="17" t="n">
        <v>0</v>
      </c>
      <c r="O562" s="17" t="n">
        <v>0</v>
      </c>
      <c r="P562" s="17" t="n">
        <v>1</v>
      </c>
      <c r="Q562" s="17" t="n">
        <v>1</v>
      </c>
      <c r="R562" s="17" t="n">
        <v>0</v>
      </c>
      <c r="T562" s="17">
        <f>DAY(C562)</f>
        <v/>
      </c>
      <c r="U562" s="17">
        <f>MONTH(C562)</f>
        <v/>
      </c>
      <c r="V562" s="17" t="n">
        <v>2025</v>
      </c>
    </row>
    <row r="563" hidden="1" ht="22.5" customHeight="1" s="117">
      <c r="A563" s="14" t="n">
        <v>46001.35109792824</v>
      </c>
      <c r="B563" s="17" t="inlineStr">
        <is>
          <t>Bùi Duy Cường</t>
        </is>
      </c>
      <c r="C563" s="16" t="n">
        <v>46000</v>
      </c>
      <c r="D563" s="17" t="n">
        <v>0</v>
      </c>
      <c r="E563" s="17" t="n">
        <v>0</v>
      </c>
      <c r="F563" s="17" t="n">
        <v>0</v>
      </c>
      <c r="G563" s="17" t="n">
        <v>1</v>
      </c>
      <c r="H563" s="17" t="n">
        <v>1</v>
      </c>
      <c r="I563" s="17" t="n">
        <v>2</v>
      </c>
      <c r="J563" s="17" t="n">
        <v>0</v>
      </c>
      <c r="K563" s="17" t="n">
        <v>10</v>
      </c>
      <c r="L563" s="17" t="n">
        <v>0</v>
      </c>
      <c r="M563" s="17" t="n">
        <v>0</v>
      </c>
      <c r="N563" s="17" t="n">
        <v>0</v>
      </c>
      <c r="O563" s="17" t="n">
        <v>0</v>
      </c>
      <c r="P563" s="17" t="n">
        <v>0</v>
      </c>
      <c r="Q563" s="17" t="n">
        <v>2</v>
      </c>
      <c r="R563" s="17" t="n">
        <v>0</v>
      </c>
      <c r="T563" s="17">
        <f>DAY(C563)</f>
        <v/>
      </c>
      <c r="U563" s="17">
        <f>MONTH(C563)</f>
        <v/>
      </c>
      <c r="V563" s="17" t="n">
        <v>2025</v>
      </c>
    </row>
    <row r="564" hidden="1" ht="22.5" customHeight="1" s="117">
      <c r="A564" s="14" t="n">
        <v>46001.89057614583</v>
      </c>
      <c r="B564" s="17" t="inlineStr">
        <is>
          <t>Đặng Hữu Danh</t>
        </is>
      </c>
      <c r="C564" s="16" t="n">
        <v>46001</v>
      </c>
      <c r="D564" s="17" t="n">
        <v>0</v>
      </c>
      <c r="E564" s="17" t="n">
        <v>0</v>
      </c>
      <c r="F564" s="17" t="n">
        <v>0</v>
      </c>
      <c r="G564" s="17" t="n">
        <v>0</v>
      </c>
      <c r="H564" s="17" t="n">
        <v>0</v>
      </c>
      <c r="I564" s="17" t="n">
        <v>2</v>
      </c>
      <c r="J564" s="17" t="n">
        <v>0</v>
      </c>
      <c r="K564" s="17" t="n">
        <v>1</v>
      </c>
      <c r="L564" s="17" t="n">
        <v>0</v>
      </c>
      <c r="M564" s="17" t="n">
        <v>0</v>
      </c>
      <c r="N564" s="17" t="n">
        <v>0</v>
      </c>
      <c r="O564" s="17" t="n">
        <v>0</v>
      </c>
      <c r="P564" s="17" t="n">
        <v>2</v>
      </c>
      <c r="Q564" s="17" t="n">
        <v>3</v>
      </c>
      <c r="R564" s="17" t="n">
        <v>0</v>
      </c>
      <c r="T564" s="17">
        <f>DAY(C564)</f>
        <v/>
      </c>
      <c r="U564" s="17">
        <f>MONTH(C564)</f>
        <v/>
      </c>
      <c r="V564" s="17" t="n">
        <v>2025</v>
      </c>
    </row>
    <row r="565" hidden="1" ht="22.5" customHeight="1" s="117">
      <c r="A565" s="14" t="n">
        <v>46001.90580528935</v>
      </c>
      <c r="B565" s="17" t="inlineStr">
        <is>
          <t>Lê Quốc Duy</t>
        </is>
      </c>
      <c r="C565" s="16" t="n">
        <v>46001</v>
      </c>
      <c r="D565" s="17" t="n">
        <v>0</v>
      </c>
      <c r="E565" s="17" t="n">
        <v>0</v>
      </c>
      <c r="F565" s="17" t="n">
        <v>0</v>
      </c>
      <c r="G565" s="17" t="n">
        <v>0</v>
      </c>
      <c r="H565" s="17" t="n">
        <v>0</v>
      </c>
      <c r="I565" s="17" t="n">
        <v>2</v>
      </c>
      <c r="J565" s="17" t="n">
        <v>0</v>
      </c>
      <c r="K565" s="17" t="n">
        <v>2</v>
      </c>
      <c r="L565" s="17" t="n">
        <v>0</v>
      </c>
      <c r="M565" s="17" t="n">
        <v>0</v>
      </c>
      <c r="N565" s="17" t="n">
        <v>0</v>
      </c>
      <c r="O565" s="17" t="n">
        <v>0</v>
      </c>
      <c r="P565" s="17" t="n">
        <v>1</v>
      </c>
      <c r="Q565" s="17" t="n">
        <v>1</v>
      </c>
      <c r="R565" s="17" t="n">
        <v>0</v>
      </c>
      <c r="T565" s="17">
        <f>DAY(C565)</f>
        <v/>
      </c>
      <c r="U565" s="17">
        <f>MONTH(C565)</f>
        <v/>
      </c>
      <c r="V565" s="17" t="n">
        <v>2025</v>
      </c>
    </row>
    <row r="566" hidden="1" ht="22.5" customHeight="1" s="117">
      <c r="A566" s="14" t="n">
        <v>46001.92063950231</v>
      </c>
      <c r="B566" s="17" t="inlineStr">
        <is>
          <t>Trần Minh Khánh</t>
        </is>
      </c>
      <c r="C566" s="16" t="n">
        <v>46001</v>
      </c>
      <c r="D566" s="17" t="n">
        <v>0</v>
      </c>
      <c r="E566" s="17" t="n">
        <v>0</v>
      </c>
      <c r="F566" s="17" t="n">
        <v>0</v>
      </c>
      <c r="G566" s="17" t="n">
        <v>1</v>
      </c>
      <c r="H566" s="17" t="n">
        <v>1</v>
      </c>
      <c r="I566" s="17" t="n">
        <v>3</v>
      </c>
      <c r="J566" s="17" t="n">
        <v>0</v>
      </c>
      <c r="K566" s="17" t="n">
        <v>4</v>
      </c>
      <c r="L566" s="17" t="n">
        <v>3</v>
      </c>
      <c r="M566" s="17" t="n">
        <v>0</v>
      </c>
      <c r="N566" s="17" t="n">
        <v>0</v>
      </c>
      <c r="O566" s="17" t="n">
        <v>0</v>
      </c>
      <c r="P566" s="17" t="n">
        <v>0</v>
      </c>
      <c r="Q566" s="17" t="n">
        <v>2</v>
      </c>
      <c r="R566" s="17" t="n">
        <v>0</v>
      </c>
      <c r="T566" s="17">
        <f>DAY(C566)</f>
        <v/>
      </c>
      <c r="U566" s="17">
        <f>MONTH(C566)</f>
        <v/>
      </c>
      <c r="V566" s="17" t="n">
        <v>2025</v>
      </c>
    </row>
    <row r="567" hidden="1" ht="22.5" customHeight="1" s="117">
      <c r="A567" s="14" t="n">
        <v>46002.26824034722</v>
      </c>
      <c r="B567" s="17" t="inlineStr">
        <is>
          <t>Vòng Nhật Sang</t>
        </is>
      </c>
      <c r="C567" s="16" t="n">
        <v>46001</v>
      </c>
      <c r="D567" s="17" t="n">
        <v>0</v>
      </c>
      <c r="E567" s="17" t="n">
        <v>0</v>
      </c>
      <c r="F567" s="17" t="n">
        <v>0</v>
      </c>
      <c r="G567" s="17" t="n">
        <v>0</v>
      </c>
      <c r="H567" s="17" t="n">
        <v>0</v>
      </c>
      <c r="I567" s="17" t="n">
        <v>0</v>
      </c>
      <c r="J567" s="17" t="n">
        <v>0</v>
      </c>
      <c r="K567" s="17" t="n">
        <v>27</v>
      </c>
      <c r="L567" s="17" t="n">
        <v>0</v>
      </c>
      <c r="M567" s="17" t="n">
        <v>0</v>
      </c>
      <c r="N567" s="17" t="n">
        <v>0</v>
      </c>
      <c r="O567" s="17" t="n">
        <v>0</v>
      </c>
      <c r="P567" s="17" t="n">
        <v>1</v>
      </c>
      <c r="Q567" s="17" t="n">
        <v>2</v>
      </c>
      <c r="R567" s="17" t="n">
        <v>0</v>
      </c>
      <c r="T567" s="17">
        <f>DAY(C567)</f>
        <v/>
      </c>
      <c r="U567" s="17">
        <f>MONTH(C567)</f>
        <v/>
      </c>
      <c r="V567" s="17" t="n">
        <v>2025</v>
      </c>
    </row>
    <row r="568" hidden="1" ht="22.5" customHeight="1" s="117">
      <c r="A568" s="14" t="n">
        <v>46002.27845734954</v>
      </c>
      <c r="B568" s="17" t="inlineStr">
        <is>
          <t>Trần Trung Giang</t>
        </is>
      </c>
      <c r="C568" s="16" t="n">
        <v>46001</v>
      </c>
      <c r="D568" s="17" t="n">
        <v>0</v>
      </c>
      <c r="E568" s="17" t="n">
        <v>0</v>
      </c>
      <c r="F568" s="17" t="n">
        <v>0</v>
      </c>
      <c r="G568" s="17" t="n">
        <v>1</v>
      </c>
      <c r="H568" s="17" t="n">
        <v>1</v>
      </c>
      <c r="I568" s="17" t="n">
        <v>0</v>
      </c>
      <c r="J568" s="17" t="n">
        <v>1</v>
      </c>
      <c r="K568" s="17" t="n">
        <v>11</v>
      </c>
      <c r="L568" s="17" t="n">
        <v>0</v>
      </c>
      <c r="M568" s="17" t="n">
        <v>0</v>
      </c>
      <c r="N568" s="17" t="n">
        <v>1</v>
      </c>
      <c r="O568" s="17" t="n">
        <v>0</v>
      </c>
      <c r="P568" s="17" t="n">
        <v>0</v>
      </c>
      <c r="Q568" s="17" t="n">
        <v>0</v>
      </c>
      <c r="R568" s="17" t="n">
        <v>0</v>
      </c>
      <c r="T568" s="17">
        <f>DAY(C568)</f>
        <v/>
      </c>
      <c r="U568" s="17">
        <f>MONTH(C568)</f>
        <v/>
      </c>
      <c r="V568" s="17" t="n">
        <v>2025</v>
      </c>
    </row>
    <row r="569" hidden="1" ht="22.5" customHeight="1" s="117">
      <c r="A569" s="14" t="n">
        <v>46002.28520118056</v>
      </c>
      <c r="B569" s="17" t="inlineStr">
        <is>
          <t>Phan Thành Thái</t>
        </is>
      </c>
      <c r="C569" s="16" t="n">
        <v>46001</v>
      </c>
      <c r="D569" s="17" t="n">
        <v>1</v>
      </c>
      <c r="E569" s="17" t="n">
        <v>0</v>
      </c>
      <c r="F569" s="17" t="n">
        <v>0</v>
      </c>
      <c r="G569" s="17" t="n">
        <v>0</v>
      </c>
      <c r="H569" s="17" t="n">
        <v>0</v>
      </c>
      <c r="I569" s="17" t="n">
        <v>2</v>
      </c>
      <c r="J569" s="17" t="n">
        <v>1</v>
      </c>
      <c r="K569" s="17" t="n">
        <v>8</v>
      </c>
      <c r="L569" s="17" t="n">
        <v>1</v>
      </c>
      <c r="M569" s="17" t="n">
        <v>1</v>
      </c>
      <c r="N569" s="17" t="n">
        <v>0</v>
      </c>
      <c r="O569" s="17" t="n">
        <v>0</v>
      </c>
      <c r="P569" s="17" t="n">
        <v>0</v>
      </c>
      <c r="Q569" s="17" t="n">
        <v>4</v>
      </c>
      <c r="R569" s="17" t="n">
        <v>0</v>
      </c>
      <c r="T569" s="17">
        <f>DAY(C569)</f>
        <v/>
      </c>
      <c r="U569" s="17">
        <f>MONTH(C569)</f>
        <v/>
      </c>
      <c r="V569" s="17" t="n">
        <v>2025</v>
      </c>
    </row>
    <row r="570" hidden="1" ht="22.5" customHeight="1" s="117">
      <c r="A570" s="14" t="n">
        <v>46002.28561194445</v>
      </c>
      <c r="B570" s="17" t="inlineStr">
        <is>
          <t>Lương Duy Hoàng</t>
        </is>
      </c>
      <c r="C570" s="16" t="n">
        <v>46001</v>
      </c>
      <c r="D570" s="17" t="n">
        <v>0</v>
      </c>
      <c r="E570" s="17" t="n">
        <v>0</v>
      </c>
      <c r="F570" s="17" t="n">
        <v>0</v>
      </c>
      <c r="G570" s="17" t="n">
        <v>0</v>
      </c>
      <c r="H570" s="17" t="n">
        <v>0</v>
      </c>
      <c r="I570" s="17" t="n">
        <v>6</v>
      </c>
      <c r="J570" s="17" t="n">
        <v>0</v>
      </c>
      <c r="K570" s="17" t="n">
        <v>4</v>
      </c>
      <c r="L570" s="17" t="n">
        <v>0</v>
      </c>
      <c r="M570" s="17" t="n">
        <v>0</v>
      </c>
      <c r="N570" s="17" t="n">
        <v>0</v>
      </c>
      <c r="O570" s="17" t="n">
        <v>0</v>
      </c>
      <c r="P570" s="17" t="n">
        <v>0</v>
      </c>
      <c r="Q570" s="17" t="n">
        <v>2</v>
      </c>
      <c r="R570" s="17" t="n">
        <v>0</v>
      </c>
      <c r="T570" s="17">
        <f>DAY(C570)</f>
        <v/>
      </c>
      <c r="U570" s="17">
        <f>MONTH(C570)</f>
        <v/>
      </c>
      <c r="V570" s="17" t="n">
        <v>2025</v>
      </c>
    </row>
    <row r="571" hidden="1" ht="22.5" customHeight="1" s="117">
      <c r="A571" s="14" t="n">
        <v>46002.28631488426</v>
      </c>
      <c r="B571" s="17" t="inlineStr">
        <is>
          <t>Phan Ngọc Sang</t>
        </is>
      </c>
      <c r="C571" s="16" t="n">
        <v>46001</v>
      </c>
      <c r="D571" s="17" t="n">
        <v>0</v>
      </c>
      <c r="E571" s="17" t="n">
        <v>0</v>
      </c>
      <c r="F571" s="17" t="n">
        <v>0</v>
      </c>
      <c r="G571" s="17" t="n">
        <v>0</v>
      </c>
      <c r="H571" s="17" t="n">
        <v>0</v>
      </c>
      <c r="I571" s="17" t="n">
        <v>2</v>
      </c>
      <c r="J571" s="17" t="n">
        <v>0</v>
      </c>
      <c r="K571" s="17" t="n">
        <v>2</v>
      </c>
      <c r="L571" s="17" t="n">
        <v>0</v>
      </c>
      <c r="M571" s="17" t="n">
        <v>2</v>
      </c>
      <c r="N571" s="17" t="n">
        <v>0</v>
      </c>
      <c r="O571" s="17" t="n">
        <v>0</v>
      </c>
      <c r="P571" s="17" t="n">
        <v>0</v>
      </c>
      <c r="Q571" s="17" t="n">
        <v>2</v>
      </c>
      <c r="R571" s="17" t="n">
        <v>0</v>
      </c>
      <c r="T571" s="17">
        <f>DAY(C571)</f>
        <v/>
      </c>
      <c r="U571" s="17">
        <f>MONTH(C571)</f>
        <v/>
      </c>
      <c r="V571" s="17" t="n">
        <v>2025</v>
      </c>
    </row>
    <row r="572" hidden="1" ht="22.5" customHeight="1" s="117">
      <c r="A572" s="14" t="n">
        <v>46002.29434387731</v>
      </c>
      <c r="B572" s="17" t="inlineStr">
        <is>
          <t>Hồ Xuân Việt</t>
        </is>
      </c>
      <c r="C572" s="16" t="n">
        <v>46001</v>
      </c>
      <c r="D572" s="17" t="n">
        <v>0</v>
      </c>
      <c r="E572" s="17" t="n">
        <v>0</v>
      </c>
      <c r="F572" s="17" t="n">
        <v>0</v>
      </c>
      <c r="G572" s="17" t="n">
        <v>0</v>
      </c>
      <c r="H572" s="17" t="n">
        <v>0</v>
      </c>
      <c r="I572" s="17" t="n">
        <v>0</v>
      </c>
      <c r="J572" s="17" t="n">
        <v>0</v>
      </c>
      <c r="K572" s="17" t="n">
        <v>0</v>
      </c>
      <c r="L572" s="17" t="n">
        <v>0</v>
      </c>
      <c r="M572" s="17" t="n">
        <v>0</v>
      </c>
      <c r="N572" s="17" t="n">
        <v>0</v>
      </c>
      <c r="O572" s="17" t="n">
        <v>0</v>
      </c>
      <c r="P572" s="17" t="n">
        <v>1</v>
      </c>
      <c r="Q572" s="17" t="n">
        <v>2</v>
      </c>
      <c r="R572" s="17" t="n">
        <v>0</v>
      </c>
      <c r="T572" s="17">
        <f>DAY(C572)</f>
        <v/>
      </c>
      <c r="U572" s="17">
        <f>MONTH(C572)</f>
        <v/>
      </c>
      <c r="V572" s="17" t="n">
        <v>2025</v>
      </c>
    </row>
    <row r="573" hidden="1" ht="22.5" customHeight="1" s="117">
      <c r="A573" s="14" t="n">
        <v>46002.29459480324</v>
      </c>
      <c r="B573" s="17" t="inlineStr">
        <is>
          <t>Huỳnh Văn Lực</t>
        </is>
      </c>
      <c r="C573" s="16" t="n">
        <v>46001</v>
      </c>
      <c r="D573" s="17" t="n">
        <v>1</v>
      </c>
      <c r="E573" s="17" t="n">
        <v>0</v>
      </c>
      <c r="F573" s="17" t="n">
        <v>0</v>
      </c>
      <c r="G573" s="17" t="n">
        <v>0</v>
      </c>
      <c r="H573" s="17" t="n">
        <v>0</v>
      </c>
      <c r="I573" s="17" t="n">
        <v>8</v>
      </c>
      <c r="J573" s="17" t="n">
        <v>0</v>
      </c>
      <c r="K573" s="17" t="n">
        <v>3</v>
      </c>
      <c r="L573" s="17" t="n">
        <v>0</v>
      </c>
      <c r="M573" s="17" t="n">
        <v>0</v>
      </c>
      <c r="N573" s="17" t="n">
        <v>1</v>
      </c>
      <c r="O573" s="17" t="n">
        <v>0</v>
      </c>
      <c r="P573" s="17" t="n">
        <v>0</v>
      </c>
      <c r="Q573" s="17" t="n">
        <v>2</v>
      </c>
      <c r="R573" s="17" t="n">
        <v>0</v>
      </c>
      <c r="T573" s="17">
        <f>DAY(C573)</f>
        <v/>
      </c>
      <c r="U573" s="17">
        <f>MONTH(C573)</f>
        <v/>
      </c>
      <c r="V573" s="17" t="n">
        <v>2025</v>
      </c>
    </row>
    <row r="574" hidden="1" ht="22.5" customHeight="1" s="117">
      <c r="A574" s="14" t="n">
        <v>46002.29702296296</v>
      </c>
      <c r="B574" s="17" t="inlineStr">
        <is>
          <t>Nguyễn Thành Lâm</t>
        </is>
      </c>
      <c r="C574" s="16" t="n">
        <v>46001</v>
      </c>
      <c r="D574" s="17" t="n">
        <v>0</v>
      </c>
      <c r="E574" s="17" t="n">
        <v>0</v>
      </c>
      <c r="F574" s="17" t="n">
        <v>0</v>
      </c>
      <c r="G574" s="17" t="n">
        <v>0</v>
      </c>
      <c r="H574" s="17" t="n">
        <v>0</v>
      </c>
      <c r="I574" s="17" t="n">
        <v>1</v>
      </c>
      <c r="J574" s="17" t="n">
        <v>0</v>
      </c>
      <c r="K574" s="17" t="n">
        <v>5</v>
      </c>
      <c r="L574" s="17" t="n">
        <v>0</v>
      </c>
      <c r="M574" s="17" t="n">
        <v>0</v>
      </c>
      <c r="N574" s="17" t="n">
        <v>1</v>
      </c>
      <c r="O574" s="17" t="n">
        <v>0</v>
      </c>
      <c r="P574" s="17" t="n">
        <v>0</v>
      </c>
      <c r="Q574" s="17" t="n">
        <v>2</v>
      </c>
      <c r="R574" s="17" t="n">
        <v>0</v>
      </c>
      <c r="T574" s="17">
        <f>DAY(C574)</f>
        <v/>
      </c>
      <c r="U574" s="17">
        <f>MONTH(C574)</f>
        <v/>
      </c>
      <c r="V574" s="17" t="n">
        <v>2025</v>
      </c>
    </row>
    <row r="575" hidden="1" ht="22.5" customHeight="1" s="117">
      <c r="A575" s="14" t="n">
        <v>46002.30198974537</v>
      </c>
      <c r="B575" s="17" t="inlineStr">
        <is>
          <t>Hoàng Văn Chất</t>
        </is>
      </c>
      <c r="C575" s="16" t="n">
        <v>46001</v>
      </c>
      <c r="D575" s="17" t="n">
        <v>0</v>
      </c>
      <c r="E575" s="17" t="n">
        <v>0</v>
      </c>
      <c r="F575" s="17" t="n">
        <v>0</v>
      </c>
      <c r="G575" s="17" t="n">
        <v>0</v>
      </c>
      <c r="H575" s="17" t="n">
        <v>0</v>
      </c>
      <c r="I575" s="17" t="n">
        <v>0</v>
      </c>
      <c r="J575" s="17" t="n">
        <v>0</v>
      </c>
      <c r="K575" s="17" t="n">
        <v>4</v>
      </c>
      <c r="L575" s="17" t="n">
        <v>2</v>
      </c>
      <c r="M575" s="17" t="n">
        <v>0</v>
      </c>
      <c r="N575" s="17" t="n">
        <v>0</v>
      </c>
      <c r="O575" s="17" t="n">
        <v>1</v>
      </c>
      <c r="P575" s="17" t="n">
        <v>0</v>
      </c>
      <c r="Q575" s="17" t="n">
        <v>2</v>
      </c>
      <c r="R575" s="17" t="n">
        <v>0</v>
      </c>
      <c r="T575" s="17">
        <f>DAY(C575)</f>
        <v/>
      </c>
      <c r="U575" s="17">
        <f>MONTH(C575)</f>
        <v/>
      </c>
      <c r="V575" s="17" t="n">
        <v>2025</v>
      </c>
    </row>
    <row r="576" hidden="1" ht="22.5" customHeight="1" s="117">
      <c r="A576" s="14" t="n">
        <v>46002.30367736111</v>
      </c>
      <c r="B576" s="17" t="inlineStr">
        <is>
          <t>Dương Minh Tiến</t>
        </is>
      </c>
      <c r="C576" s="16" t="n">
        <v>46001</v>
      </c>
      <c r="D576" s="17" t="n">
        <v>0</v>
      </c>
      <c r="E576" s="17" t="n">
        <v>0</v>
      </c>
      <c r="F576" s="17" t="n">
        <v>0</v>
      </c>
      <c r="G576" s="17" t="n">
        <v>0</v>
      </c>
      <c r="H576" s="17" t="n">
        <v>0</v>
      </c>
      <c r="I576" s="17" t="n">
        <v>2</v>
      </c>
      <c r="J576" s="17" t="n">
        <v>0</v>
      </c>
      <c r="K576" s="17" t="n">
        <v>3</v>
      </c>
      <c r="L576" s="17" t="n">
        <v>0</v>
      </c>
      <c r="M576" s="17" t="n">
        <v>0</v>
      </c>
      <c r="N576" s="17" t="n">
        <v>0</v>
      </c>
      <c r="O576" s="17" t="n">
        <v>0</v>
      </c>
      <c r="P576" s="17" t="n">
        <v>0</v>
      </c>
      <c r="Q576" s="17" t="n">
        <v>0</v>
      </c>
      <c r="R576" s="17" t="n">
        <v>0</v>
      </c>
      <c r="T576" s="17">
        <f>DAY(C576)</f>
        <v/>
      </c>
      <c r="U576" s="17">
        <f>MONTH(C576)</f>
        <v/>
      </c>
      <c r="V576" s="17" t="n">
        <v>2025</v>
      </c>
    </row>
    <row r="577" hidden="1" ht="22.5" customHeight="1" s="117">
      <c r="A577" s="14" t="n">
        <v>46002.3076989699</v>
      </c>
      <c r="B577" s="17" t="inlineStr">
        <is>
          <t>Nguyễn Văn Hiệp</t>
        </is>
      </c>
      <c r="C577" s="16" t="n">
        <v>46001</v>
      </c>
      <c r="D577" s="17" t="n">
        <v>1</v>
      </c>
      <c r="E577" s="17" t="n">
        <v>1</v>
      </c>
      <c r="F577" s="17" t="n">
        <v>0</v>
      </c>
      <c r="G577" s="17" t="n">
        <v>1</v>
      </c>
      <c r="H577" s="17" t="n">
        <v>1</v>
      </c>
      <c r="I577" s="17" t="n">
        <v>1</v>
      </c>
      <c r="J577" s="17" t="n">
        <v>0</v>
      </c>
      <c r="K577" s="17" t="n">
        <v>1</v>
      </c>
      <c r="L577" s="17" t="n">
        <v>0</v>
      </c>
      <c r="M577" s="17" t="n">
        <v>2</v>
      </c>
      <c r="N577" s="17" t="n">
        <v>1</v>
      </c>
      <c r="O577" s="17" t="n">
        <v>0</v>
      </c>
      <c r="P577" s="17" t="n">
        <v>0</v>
      </c>
      <c r="Q577" s="17" t="n">
        <v>0</v>
      </c>
      <c r="R577" s="17" t="n">
        <v>0</v>
      </c>
      <c r="T577" s="17">
        <f>DAY(C577)</f>
        <v/>
      </c>
      <c r="U577" s="17">
        <f>MONTH(C577)</f>
        <v/>
      </c>
      <c r="V577" s="17" t="n">
        <v>2025</v>
      </c>
    </row>
    <row r="578" hidden="1" ht="22.5" customHeight="1" s="117">
      <c r="A578" s="14" t="n">
        <v>46002.30951799769</v>
      </c>
      <c r="B578" s="17" t="inlineStr">
        <is>
          <t>Nguyễn Tuấn Anh</t>
        </is>
      </c>
      <c r="C578" s="16" t="n">
        <v>46001</v>
      </c>
      <c r="D578" s="17" t="n">
        <v>2</v>
      </c>
      <c r="E578" s="17" t="n">
        <v>2</v>
      </c>
      <c r="F578" s="17" t="n">
        <v>0</v>
      </c>
      <c r="G578" s="17" t="n">
        <v>0</v>
      </c>
      <c r="H578" s="17" t="n">
        <v>0</v>
      </c>
      <c r="I578" s="17" t="n">
        <v>4</v>
      </c>
      <c r="J578" s="17" t="n">
        <v>0</v>
      </c>
      <c r="K578" s="17" t="n">
        <v>26</v>
      </c>
      <c r="L578" s="17" t="n">
        <v>3</v>
      </c>
      <c r="M578" s="17" t="n">
        <v>0</v>
      </c>
      <c r="N578" s="17" t="n">
        <v>0</v>
      </c>
      <c r="O578" s="17" t="n">
        <v>0</v>
      </c>
      <c r="P578" s="17" t="n">
        <v>1</v>
      </c>
      <c r="Q578" s="17" t="n">
        <v>6</v>
      </c>
      <c r="R578" s="17" t="n">
        <v>1</v>
      </c>
      <c r="T578" s="17">
        <f>DAY(C578)</f>
        <v/>
      </c>
      <c r="U578" s="17">
        <f>MONTH(C578)</f>
        <v/>
      </c>
      <c r="V578" s="17" t="n">
        <v>2025</v>
      </c>
    </row>
    <row r="579" hidden="1" ht="22.5" customHeight="1" s="117">
      <c r="A579" s="14" t="n">
        <v>46002.31204182871</v>
      </c>
      <c r="B579" s="17" t="inlineStr">
        <is>
          <t>Bùi Duy Cường</t>
        </is>
      </c>
      <c r="C579" s="16" t="n">
        <v>46001</v>
      </c>
      <c r="D579" s="17" t="n">
        <v>0</v>
      </c>
      <c r="E579" s="17" t="n">
        <v>0</v>
      </c>
      <c r="F579" s="17" t="n">
        <v>0</v>
      </c>
      <c r="G579" s="17" t="n">
        <v>1</v>
      </c>
      <c r="H579" s="17" t="n">
        <v>0</v>
      </c>
      <c r="I579" s="17" t="n">
        <v>3</v>
      </c>
      <c r="J579" s="17" t="n">
        <v>0</v>
      </c>
      <c r="K579" s="17" t="n">
        <v>10</v>
      </c>
      <c r="L579" s="17" t="n">
        <v>0</v>
      </c>
      <c r="M579" s="17" t="n">
        <v>0</v>
      </c>
      <c r="N579" s="17" t="n">
        <v>1</v>
      </c>
      <c r="O579" s="17" t="n">
        <v>0</v>
      </c>
      <c r="P579" s="17" t="n">
        <v>0</v>
      </c>
      <c r="Q579" s="17" t="n">
        <v>4</v>
      </c>
      <c r="R579" s="17" t="n">
        <v>0</v>
      </c>
      <c r="T579" s="17">
        <f>DAY(C579)</f>
        <v/>
      </c>
      <c r="U579" s="17">
        <f>MONTH(C579)</f>
        <v/>
      </c>
      <c r="V579" s="17" t="n">
        <v>2025</v>
      </c>
    </row>
    <row r="580" hidden="1" ht="22.5" customHeight="1" s="117">
      <c r="A580" s="14" t="n">
        <v>46002.31206998842</v>
      </c>
      <c r="B580" s="17" t="inlineStr">
        <is>
          <t>Đào Công Trung</t>
        </is>
      </c>
      <c r="C580" s="16" t="n">
        <v>46001</v>
      </c>
      <c r="D580" s="17" t="n">
        <v>0</v>
      </c>
      <c r="E580" s="17" t="n">
        <v>0</v>
      </c>
      <c r="F580" s="17" t="n">
        <v>0</v>
      </c>
      <c r="G580" s="17" t="n">
        <v>0</v>
      </c>
      <c r="H580" s="17" t="n">
        <v>0</v>
      </c>
      <c r="I580" s="17" t="n">
        <v>2</v>
      </c>
      <c r="J580" s="17" t="n">
        <v>0</v>
      </c>
      <c r="K580" s="17" t="n">
        <v>0</v>
      </c>
      <c r="L580" s="17" t="n">
        <v>2</v>
      </c>
      <c r="M580" s="17" t="n">
        <v>1</v>
      </c>
      <c r="N580" s="17" t="n">
        <v>0</v>
      </c>
      <c r="O580" s="17" t="n">
        <v>0</v>
      </c>
      <c r="P580" s="17" t="n">
        <v>0</v>
      </c>
      <c r="Q580" s="17" t="n">
        <v>0</v>
      </c>
      <c r="R580" s="17" t="n">
        <v>0</v>
      </c>
      <c r="T580" s="17">
        <f>DAY(C580)</f>
        <v/>
      </c>
      <c r="U580" s="17">
        <f>MONTH(C580)</f>
        <v/>
      </c>
      <c r="V580" s="17" t="n">
        <v>2025</v>
      </c>
    </row>
    <row r="581" hidden="1" ht="22.5" customHeight="1" s="117">
      <c r="A581" s="14" t="n">
        <v>46002.31287708334</v>
      </c>
      <c r="B581" s="17" t="inlineStr">
        <is>
          <t>Nguyễn Quang Anh Tuấn</t>
        </is>
      </c>
      <c r="C581" s="16" t="n">
        <v>46001</v>
      </c>
      <c r="D581" s="17" t="n">
        <v>1</v>
      </c>
      <c r="E581" s="17" t="n">
        <v>1</v>
      </c>
      <c r="F581" s="17" t="n">
        <v>0</v>
      </c>
      <c r="G581" s="17" t="n">
        <v>0</v>
      </c>
      <c r="H581" s="17" t="n">
        <v>0</v>
      </c>
      <c r="I581" s="17" t="n">
        <v>4</v>
      </c>
      <c r="J581" s="17" t="n">
        <v>0</v>
      </c>
      <c r="K581" s="17" t="n">
        <v>2</v>
      </c>
      <c r="L581" s="17" t="n">
        <v>2</v>
      </c>
      <c r="M581" s="17" t="n">
        <v>0</v>
      </c>
      <c r="N581" s="17" t="n">
        <v>0</v>
      </c>
      <c r="O581" s="17" t="n">
        <v>0</v>
      </c>
      <c r="P581" s="17" t="n">
        <v>0</v>
      </c>
      <c r="Q581" s="17" t="n">
        <v>1</v>
      </c>
      <c r="R581" s="17" t="n">
        <v>0</v>
      </c>
      <c r="T581" s="17">
        <f>DAY(C581)</f>
        <v/>
      </c>
      <c r="U581" s="17">
        <f>MONTH(C581)</f>
        <v/>
      </c>
      <c r="V581" s="17" t="n">
        <v>2025</v>
      </c>
    </row>
    <row r="582" hidden="1" ht="22.5" customHeight="1" s="117">
      <c r="A582" s="14" t="n">
        <v>46002.3129368287</v>
      </c>
      <c r="B582" s="17" t="inlineStr">
        <is>
          <t>Trần Xuân Khoa</t>
        </is>
      </c>
      <c r="C582" s="16" t="n">
        <v>46001</v>
      </c>
      <c r="D582" s="17" t="n">
        <v>0</v>
      </c>
      <c r="E582" s="17" t="n">
        <v>0</v>
      </c>
      <c r="F582" s="17" t="n">
        <v>0</v>
      </c>
      <c r="G582" s="17" t="n">
        <v>0</v>
      </c>
      <c r="H582" s="17" t="n">
        <v>0</v>
      </c>
      <c r="I582" s="17" t="n">
        <v>2</v>
      </c>
      <c r="J582" s="17" t="n">
        <v>0</v>
      </c>
      <c r="K582" s="17" t="n">
        <v>5</v>
      </c>
      <c r="L582" s="17" t="n">
        <v>0</v>
      </c>
      <c r="M582" s="17" t="n">
        <v>0</v>
      </c>
      <c r="N582" s="17" t="n">
        <v>0</v>
      </c>
      <c r="O582" s="17" t="n">
        <v>0</v>
      </c>
      <c r="P582" s="17" t="n">
        <v>4</v>
      </c>
      <c r="Q582" s="17" t="n">
        <v>3</v>
      </c>
      <c r="R582" s="17" t="n">
        <v>0</v>
      </c>
      <c r="T582" s="17">
        <f>DAY(C582)</f>
        <v/>
      </c>
      <c r="U582" s="17">
        <f>MONTH(C582)</f>
        <v/>
      </c>
      <c r="V582" s="17" t="n">
        <v>2025</v>
      </c>
    </row>
    <row r="583" hidden="1" ht="22.5" customHeight="1" s="117">
      <c r="A583" s="14" t="n">
        <v>46002.31422759259</v>
      </c>
      <c r="B583" s="17" t="inlineStr">
        <is>
          <t>Nguyễn Văn Nhật</t>
        </is>
      </c>
      <c r="C583" s="16" t="n">
        <v>46001</v>
      </c>
      <c r="D583" s="17" t="n">
        <v>0</v>
      </c>
      <c r="E583" s="17" t="n">
        <v>0</v>
      </c>
      <c r="F583" s="17" t="n">
        <v>0</v>
      </c>
      <c r="G583" s="17" t="n">
        <v>0</v>
      </c>
      <c r="H583" s="17" t="n">
        <v>0</v>
      </c>
      <c r="I583" s="17" t="n">
        <v>0</v>
      </c>
      <c r="J583" s="17" t="n">
        <v>0</v>
      </c>
      <c r="K583" s="17" t="n">
        <v>2</v>
      </c>
      <c r="L583" s="17" t="n">
        <v>2</v>
      </c>
      <c r="M583" s="17" t="n">
        <v>1</v>
      </c>
      <c r="N583" s="17" t="n">
        <v>0</v>
      </c>
      <c r="O583" s="17" t="n">
        <v>0</v>
      </c>
      <c r="P583" s="17" t="n">
        <v>0</v>
      </c>
      <c r="Q583" s="17" t="n">
        <v>3</v>
      </c>
      <c r="R583" s="17" t="n">
        <v>0</v>
      </c>
      <c r="T583" s="17">
        <f>DAY(C583)</f>
        <v/>
      </c>
      <c r="U583" s="17">
        <f>MONTH(C583)</f>
        <v/>
      </c>
      <c r="V583" s="17" t="n">
        <v>2025</v>
      </c>
    </row>
    <row r="584" hidden="1" ht="22.5" customHeight="1" s="117">
      <c r="A584" s="14" t="n">
        <v>46002.31455335648</v>
      </c>
      <c r="B584" s="17" t="inlineStr">
        <is>
          <t>Lương Duy Hải</t>
        </is>
      </c>
      <c r="C584" s="16" t="n">
        <v>46001</v>
      </c>
      <c r="D584" s="17" t="n">
        <v>0</v>
      </c>
      <c r="E584" s="17" t="n">
        <v>0</v>
      </c>
      <c r="F584" s="17" t="n">
        <v>0</v>
      </c>
      <c r="G584" s="17" t="n">
        <v>0</v>
      </c>
      <c r="H584" s="17" t="n">
        <v>0</v>
      </c>
      <c r="I584" s="17" t="n">
        <v>0</v>
      </c>
      <c r="J584" s="17" t="n">
        <v>0</v>
      </c>
      <c r="K584" s="17" t="n">
        <v>5</v>
      </c>
      <c r="L584" s="17" t="n">
        <v>0</v>
      </c>
      <c r="M584" s="17" t="n">
        <v>0</v>
      </c>
      <c r="N584" s="17" t="n">
        <v>0</v>
      </c>
      <c r="O584" s="17" t="n">
        <v>0</v>
      </c>
      <c r="P584" s="17" t="n">
        <v>1</v>
      </c>
      <c r="Q584" s="17" t="n">
        <v>2</v>
      </c>
      <c r="R584" s="17" t="n">
        <v>0</v>
      </c>
      <c r="T584" s="17">
        <f>DAY(C584)</f>
        <v/>
      </c>
      <c r="U584" s="17">
        <f>MONTH(C584)</f>
        <v/>
      </c>
      <c r="V584" s="17" t="n">
        <v>2025</v>
      </c>
    </row>
    <row r="585" hidden="1" ht="22.5" customHeight="1" s="117">
      <c r="A585" s="14" t="n">
        <v>46002.34434418981</v>
      </c>
      <c r="B585" s="17" t="inlineStr">
        <is>
          <t>Nguyễn Hồng Minh</t>
        </is>
      </c>
      <c r="C585" s="16" t="n">
        <v>46001</v>
      </c>
      <c r="D585" s="17" t="n">
        <v>0</v>
      </c>
      <c r="E585" s="17" t="n">
        <v>0</v>
      </c>
      <c r="F585" s="17" t="n">
        <v>0</v>
      </c>
      <c r="G585" s="17" t="n">
        <v>0</v>
      </c>
      <c r="H585" s="17" t="n">
        <v>0</v>
      </c>
      <c r="I585" s="17" t="n">
        <v>3</v>
      </c>
      <c r="J585" s="17" t="n">
        <v>0</v>
      </c>
      <c r="K585" s="17" t="n">
        <v>0</v>
      </c>
      <c r="L585" s="17" t="n">
        <v>2</v>
      </c>
      <c r="M585" s="17" t="n">
        <v>1</v>
      </c>
      <c r="N585" s="17" t="n">
        <v>1</v>
      </c>
      <c r="O585" s="17" t="n">
        <v>0</v>
      </c>
      <c r="P585" s="17" t="n">
        <v>0</v>
      </c>
      <c r="Q585" s="17" t="n">
        <v>3</v>
      </c>
      <c r="R585" s="17" t="n">
        <v>0</v>
      </c>
      <c r="T585" s="17">
        <f>DAY(C585)</f>
        <v/>
      </c>
      <c r="U585" s="17">
        <f>MONTH(C585)</f>
        <v/>
      </c>
      <c r="V585" s="17" t="n">
        <v>2025</v>
      </c>
    </row>
    <row r="586" hidden="1" ht="22.5" customHeight="1" s="117">
      <c r="A586" s="14" t="n">
        <v>46002.34642480324</v>
      </c>
      <c r="B586" s="17" t="inlineStr">
        <is>
          <t>Hồ Thái Minh Trí</t>
        </is>
      </c>
      <c r="C586" s="16" t="n">
        <v>46001</v>
      </c>
      <c r="D586" s="17" t="n">
        <v>1</v>
      </c>
      <c r="E586" s="17" t="n">
        <v>0</v>
      </c>
      <c r="F586" s="17" t="n">
        <v>0</v>
      </c>
      <c r="G586" s="17" t="n">
        <v>0</v>
      </c>
      <c r="H586" s="17" t="n">
        <v>0</v>
      </c>
      <c r="I586" s="17" t="n">
        <v>0</v>
      </c>
      <c r="J586" s="17" t="n">
        <v>0</v>
      </c>
      <c r="K586" s="17" t="n">
        <v>0</v>
      </c>
      <c r="L586" s="17" t="n">
        <v>0</v>
      </c>
      <c r="M586" s="17" t="n">
        <v>2</v>
      </c>
      <c r="N586" s="17" t="n">
        <v>0</v>
      </c>
      <c r="O586" s="17" t="n">
        <v>0</v>
      </c>
      <c r="P586" s="17" t="n">
        <v>0</v>
      </c>
      <c r="Q586" s="17" t="n">
        <v>1</v>
      </c>
      <c r="R586" s="17" t="n">
        <v>0</v>
      </c>
      <c r="T586" s="17">
        <f>DAY(C586)</f>
        <v/>
      </c>
      <c r="U586" s="17">
        <f>MONTH(C586)</f>
        <v/>
      </c>
      <c r="V586" s="17" t="n">
        <v>2025</v>
      </c>
    </row>
    <row r="587" hidden="1" ht="22.5" customHeight="1" s="117">
      <c r="A587" s="14" t="n">
        <v>46002.35009369213</v>
      </c>
      <c r="B587" s="17" t="inlineStr">
        <is>
          <t>Lê Văn Hồng</t>
        </is>
      </c>
      <c r="C587" s="16" t="n">
        <v>46001</v>
      </c>
      <c r="D587" s="17" t="n">
        <v>0</v>
      </c>
      <c r="E587" s="17" t="n">
        <v>0</v>
      </c>
      <c r="F587" s="17" t="n">
        <v>0</v>
      </c>
      <c r="G587" s="17" t="n">
        <v>0</v>
      </c>
      <c r="H587" s="17" t="n">
        <v>0</v>
      </c>
      <c r="I587" s="17" t="n">
        <v>5</v>
      </c>
      <c r="J587" s="17" t="n">
        <v>0</v>
      </c>
      <c r="K587" s="17" t="n">
        <v>10</v>
      </c>
      <c r="L587" s="17" t="n">
        <v>0</v>
      </c>
      <c r="M587" s="17" t="n">
        <v>0</v>
      </c>
      <c r="N587" s="17" t="n">
        <v>5</v>
      </c>
      <c r="O587" s="17" t="n">
        <v>0</v>
      </c>
      <c r="P587" s="17" t="n">
        <v>3</v>
      </c>
      <c r="Q587" s="17" t="n">
        <v>2</v>
      </c>
      <c r="R587" s="17" t="n">
        <v>1</v>
      </c>
      <c r="T587" s="17">
        <f>DAY(C587)</f>
        <v/>
      </c>
      <c r="U587" s="17">
        <f>MONTH(C587)</f>
        <v/>
      </c>
      <c r="V587" s="17" t="n">
        <v>2025</v>
      </c>
    </row>
    <row r="588" hidden="1" ht="22.5" customHeight="1" s="117">
      <c r="A588" s="14" t="n">
        <v>46002.35071920139</v>
      </c>
      <c r="B588" s="17" t="inlineStr">
        <is>
          <t>Đặng Hoài Anh</t>
        </is>
      </c>
      <c r="C588" s="16" t="n">
        <v>46001</v>
      </c>
      <c r="D588" s="17" t="n">
        <v>1</v>
      </c>
      <c r="E588" s="17" t="n">
        <v>0</v>
      </c>
      <c r="F588" s="17" t="n">
        <v>1</v>
      </c>
      <c r="G588" s="17" t="n">
        <v>0</v>
      </c>
      <c r="H588" s="17" t="n">
        <v>0</v>
      </c>
      <c r="I588" s="17" t="n">
        <v>0</v>
      </c>
      <c r="J588" s="17" t="n">
        <v>0</v>
      </c>
      <c r="K588" s="17" t="n">
        <v>0</v>
      </c>
      <c r="L588" s="17" t="n">
        <v>0</v>
      </c>
      <c r="M588" s="17" t="n">
        <v>2</v>
      </c>
      <c r="N588" s="17" t="n">
        <v>0</v>
      </c>
      <c r="O588" s="17" t="n">
        <v>0</v>
      </c>
      <c r="P588" s="17" t="n">
        <v>0</v>
      </c>
      <c r="Q588" s="17" t="n">
        <v>0</v>
      </c>
      <c r="R588" s="17" t="n">
        <v>0</v>
      </c>
      <c r="T588" s="17">
        <f>DAY(C588)</f>
        <v/>
      </c>
      <c r="U588" s="17">
        <f>MONTH(C588)</f>
        <v/>
      </c>
      <c r="V588" s="17" t="n">
        <v>2025</v>
      </c>
    </row>
    <row r="589" hidden="1" ht="22.5" customHeight="1" s="117">
      <c r="A589" s="14" t="n">
        <v>46002.52624444445</v>
      </c>
      <c r="B589" s="17" t="inlineStr">
        <is>
          <t>Lương Duy Hải</t>
        </is>
      </c>
      <c r="C589" s="16" t="n">
        <v>46001</v>
      </c>
      <c r="D589" s="17" t="n">
        <v>0</v>
      </c>
      <c r="E589" s="17" t="n">
        <v>0</v>
      </c>
      <c r="F589" s="17" t="n">
        <v>0</v>
      </c>
      <c r="G589" s="17" t="n">
        <v>0</v>
      </c>
      <c r="H589" s="17" t="n">
        <v>0</v>
      </c>
      <c r="I589" s="17" t="n">
        <v>0</v>
      </c>
      <c r="J589" s="17" t="n">
        <v>0</v>
      </c>
      <c r="K589" s="17" t="n">
        <v>5</v>
      </c>
      <c r="L589" s="17" t="n">
        <v>0</v>
      </c>
      <c r="M589" s="17" t="n">
        <v>0</v>
      </c>
      <c r="N589" s="17" t="n">
        <v>0</v>
      </c>
      <c r="O589" s="17" t="n">
        <v>0</v>
      </c>
      <c r="P589" s="17" t="n">
        <v>1</v>
      </c>
      <c r="Q589" s="17" t="n">
        <v>0</v>
      </c>
      <c r="R589" s="17" t="n">
        <v>0</v>
      </c>
      <c r="T589" s="17">
        <f>DAY(C589)</f>
        <v/>
      </c>
      <c r="U589" s="17">
        <f>MONTH(C589)</f>
        <v/>
      </c>
      <c r="V589" s="17" t="n">
        <v>2025</v>
      </c>
    </row>
    <row r="590" hidden="1" ht="22.5" customHeight="1" s="117">
      <c r="A590" s="14" t="n">
        <v>46002.89948364584</v>
      </c>
      <c r="B590" s="17" t="inlineStr">
        <is>
          <t>Đặng Hữu Danh</t>
        </is>
      </c>
      <c r="C590" s="16" t="n">
        <v>46002</v>
      </c>
      <c r="D590" s="17" t="n">
        <v>0</v>
      </c>
      <c r="E590" s="17" t="n">
        <v>0</v>
      </c>
      <c r="F590" s="17" t="n">
        <v>0</v>
      </c>
      <c r="G590" s="17" t="n">
        <v>0</v>
      </c>
      <c r="H590" s="17" t="n">
        <v>0</v>
      </c>
      <c r="I590" s="17" t="n">
        <v>0</v>
      </c>
      <c r="J590" s="17" t="n">
        <v>0</v>
      </c>
      <c r="K590" s="17" t="n">
        <v>0</v>
      </c>
      <c r="L590" s="17" t="n">
        <v>0</v>
      </c>
      <c r="M590" s="17" t="n">
        <v>0</v>
      </c>
      <c r="N590" s="17" t="n">
        <v>0</v>
      </c>
      <c r="O590" s="17" t="n">
        <v>0</v>
      </c>
      <c r="P590" s="17" t="n">
        <v>1</v>
      </c>
      <c r="Q590" s="17" t="n">
        <v>2</v>
      </c>
      <c r="R590" s="17" t="n">
        <v>0</v>
      </c>
      <c r="T590" s="17">
        <f>DAY(C590)</f>
        <v/>
      </c>
      <c r="U590" s="17">
        <f>MONTH(C590)</f>
        <v/>
      </c>
    </row>
    <row r="591" hidden="1" ht="22.5" customHeight="1" s="117">
      <c r="A591" s="14" t="n">
        <v>46003.18429827546</v>
      </c>
      <c r="B591" s="17" t="inlineStr">
        <is>
          <t>Hồ Thái Minh Trí</t>
        </is>
      </c>
      <c r="C591" s="16" t="n">
        <v>46002</v>
      </c>
      <c r="D591" s="17" t="n">
        <v>0</v>
      </c>
      <c r="E591" s="17" t="n">
        <v>0</v>
      </c>
      <c r="F591" s="17" t="n">
        <v>0</v>
      </c>
      <c r="G591" s="17" t="n">
        <v>0</v>
      </c>
      <c r="H591" s="17" t="n">
        <v>0</v>
      </c>
      <c r="I591" s="17" t="n">
        <v>1</v>
      </c>
      <c r="J591" s="17" t="n">
        <v>0</v>
      </c>
      <c r="K591" s="17" t="n">
        <v>0</v>
      </c>
      <c r="L591" s="17" t="n">
        <v>3</v>
      </c>
      <c r="M591" s="17" t="n">
        <v>0</v>
      </c>
      <c r="N591" s="17" t="n">
        <v>0</v>
      </c>
      <c r="O591" s="17" t="n">
        <v>0</v>
      </c>
      <c r="P591" s="17" t="n">
        <v>0</v>
      </c>
      <c r="Q591" s="17" t="n">
        <v>3</v>
      </c>
      <c r="R591" s="17" t="n">
        <v>0</v>
      </c>
      <c r="T591" s="17">
        <f>DAY(C591)</f>
        <v/>
      </c>
      <c r="U591" s="17">
        <f>MONTH(C591)</f>
        <v/>
      </c>
    </row>
    <row r="592" hidden="1" ht="22.5" customHeight="1" s="117">
      <c r="A592" s="14" t="n">
        <v>46003.22317805555</v>
      </c>
      <c r="B592" s="17" t="inlineStr">
        <is>
          <t>Trần Minh Khánh</t>
        </is>
      </c>
      <c r="C592" s="16" t="n">
        <v>46002</v>
      </c>
      <c r="D592" s="17" t="n">
        <v>0</v>
      </c>
      <c r="E592" s="17" t="n">
        <v>1</v>
      </c>
      <c r="F592" s="17" t="n">
        <v>0</v>
      </c>
      <c r="G592" s="17" t="n">
        <v>0</v>
      </c>
      <c r="H592" s="17" t="n">
        <v>0</v>
      </c>
      <c r="I592" s="17" t="n">
        <v>2</v>
      </c>
      <c r="J592" s="17" t="n">
        <v>0</v>
      </c>
      <c r="K592" s="17" t="n">
        <v>3</v>
      </c>
      <c r="L592" s="17" t="n">
        <v>0</v>
      </c>
      <c r="M592" s="17" t="n">
        <v>0</v>
      </c>
      <c r="N592" s="17" t="n">
        <v>0</v>
      </c>
      <c r="O592" s="17" t="n">
        <v>0</v>
      </c>
      <c r="P592" s="17" t="n">
        <v>0</v>
      </c>
      <c r="Q592" s="17" t="n">
        <v>2</v>
      </c>
      <c r="R592" s="17" t="n">
        <v>0</v>
      </c>
      <c r="T592" s="17">
        <f>DAY(C592)</f>
        <v/>
      </c>
      <c r="U592" s="17">
        <f>MONTH(C592)</f>
        <v/>
      </c>
    </row>
    <row r="593" hidden="1" ht="22.5" customHeight="1" s="117">
      <c r="A593" s="14" t="n">
        <v>46003.26177178241</v>
      </c>
      <c r="B593" s="17" t="inlineStr">
        <is>
          <t>Vòng Nhật Sang</t>
        </is>
      </c>
      <c r="C593" s="16" t="n">
        <v>46002</v>
      </c>
      <c r="D593" s="17" t="n">
        <v>1</v>
      </c>
      <c r="E593" s="17" t="n">
        <v>1</v>
      </c>
      <c r="F593" s="17" t="n">
        <v>0</v>
      </c>
      <c r="G593" s="17" t="n">
        <v>0</v>
      </c>
      <c r="H593" s="17" t="n">
        <v>0</v>
      </c>
      <c r="I593" s="17" t="n">
        <v>5</v>
      </c>
      <c r="J593" s="17" t="n">
        <v>0</v>
      </c>
      <c r="K593" s="17" t="n">
        <v>24</v>
      </c>
      <c r="L593" s="17" t="n">
        <v>0</v>
      </c>
      <c r="M593" s="17" t="n">
        <v>1</v>
      </c>
      <c r="N593" s="17" t="n">
        <v>5</v>
      </c>
      <c r="O593" s="17" t="n">
        <v>0</v>
      </c>
      <c r="P593" s="17" t="n">
        <v>0</v>
      </c>
      <c r="Q593" s="17" t="n">
        <v>1</v>
      </c>
      <c r="R593" s="17" t="n">
        <v>0</v>
      </c>
      <c r="T593" s="17">
        <f>DAY(C593)</f>
        <v/>
      </c>
      <c r="U593" s="17">
        <f>MONTH(C593)</f>
        <v/>
      </c>
    </row>
    <row r="594" hidden="1" ht="22.5" customHeight="1" s="117">
      <c r="A594" s="14" t="n">
        <v>46003.26177795139</v>
      </c>
      <c r="B594" s="17" t="inlineStr">
        <is>
          <t>Lương Duy Hoàng</t>
        </is>
      </c>
      <c r="C594" s="16" t="n">
        <v>46002</v>
      </c>
      <c r="D594" s="17" t="n">
        <v>1</v>
      </c>
      <c r="E594" s="17" t="n">
        <v>0</v>
      </c>
      <c r="F594" s="17" t="n">
        <v>0</v>
      </c>
      <c r="G594" s="17" t="n">
        <v>0</v>
      </c>
      <c r="H594" s="17" t="n">
        <v>0</v>
      </c>
      <c r="I594" s="17" t="n">
        <v>0</v>
      </c>
      <c r="J594" s="17" t="n">
        <v>0</v>
      </c>
      <c r="K594" s="17" t="n">
        <v>4</v>
      </c>
      <c r="L594" s="17" t="n">
        <v>0</v>
      </c>
      <c r="M594" s="17" t="n">
        <v>1</v>
      </c>
      <c r="N594" s="17" t="n">
        <v>0</v>
      </c>
      <c r="O594" s="17" t="n">
        <v>0</v>
      </c>
      <c r="P594" s="17" t="n">
        <v>0</v>
      </c>
      <c r="Q594" s="17" t="n">
        <v>2</v>
      </c>
      <c r="R594" s="17" t="n">
        <v>0</v>
      </c>
      <c r="T594" s="17">
        <f>DAY(C594)</f>
        <v/>
      </c>
      <c r="U594" s="17">
        <f>MONTH(C594)</f>
        <v/>
      </c>
    </row>
    <row r="595" hidden="1" ht="22.5" customHeight="1" s="117">
      <c r="A595" s="14" t="n">
        <v>46003.27408112268</v>
      </c>
      <c r="B595" s="17" t="inlineStr">
        <is>
          <t>Phan Ngọc Sang</t>
        </is>
      </c>
      <c r="C595" s="16" t="n">
        <v>46002</v>
      </c>
      <c r="D595" s="17" t="n">
        <v>0</v>
      </c>
      <c r="E595" s="17" t="n">
        <v>0</v>
      </c>
      <c r="F595" s="17" t="n">
        <v>0</v>
      </c>
      <c r="G595" s="17" t="n">
        <v>1</v>
      </c>
      <c r="H595" s="17" t="n">
        <v>1</v>
      </c>
      <c r="I595" s="17" t="n">
        <v>1</v>
      </c>
      <c r="J595" s="17" t="n">
        <v>0</v>
      </c>
      <c r="K595" s="17" t="n">
        <v>3</v>
      </c>
      <c r="L595" s="17" t="n">
        <v>1</v>
      </c>
      <c r="M595" s="17" t="n">
        <v>0</v>
      </c>
      <c r="N595" s="17" t="n">
        <v>1</v>
      </c>
      <c r="O595" s="17" t="n">
        <v>0</v>
      </c>
      <c r="P595" s="17" t="n">
        <v>0</v>
      </c>
      <c r="Q595" s="17" t="n">
        <v>1</v>
      </c>
      <c r="R595" s="17" t="n">
        <v>0</v>
      </c>
      <c r="T595" s="17">
        <f>DAY(C595)</f>
        <v/>
      </c>
      <c r="U595" s="17">
        <f>MONTH(C595)</f>
        <v/>
      </c>
    </row>
    <row r="596" hidden="1" ht="22.5" customHeight="1" s="117">
      <c r="A596" s="14" t="n">
        <v>46003.28106148148</v>
      </c>
      <c r="B596" s="17" t="inlineStr">
        <is>
          <t>Hồ Xuân Việt</t>
        </is>
      </c>
      <c r="C596" s="16" t="n">
        <v>46002</v>
      </c>
      <c r="D596" s="17" t="n">
        <v>0</v>
      </c>
      <c r="E596" s="17" t="n">
        <v>0</v>
      </c>
      <c r="F596" s="17" t="n">
        <v>0</v>
      </c>
      <c r="G596" s="17" t="n">
        <v>0</v>
      </c>
      <c r="H596" s="17" t="n">
        <v>0</v>
      </c>
      <c r="I596" s="17" t="n">
        <v>0</v>
      </c>
      <c r="J596" s="17" t="n">
        <v>0</v>
      </c>
      <c r="K596" s="17" t="n">
        <v>4</v>
      </c>
      <c r="L596" s="17" t="n">
        <v>1</v>
      </c>
      <c r="M596" s="17" t="n">
        <v>0</v>
      </c>
      <c r="N596" s="17" t="n">
        <v>0</v>
      </c>
      <c r="O596" s="17" t="n">
        <v>0</v>
      </c>
      <c r="P596" s="17" t="n">
        <v>0</v>
      </c>
      <c r="Q596" s="17" t="n">
        <v>1</v>
      </c>
      <c r="R596" s="17" t="n">
        <v>0</v>
      </c>
      <c r="T596" s="17">
        <f>DAY(C596)</f>
        <v/>
      </c>
      <c r="U596" s="17">
        <f>MONTH(C596)</f>
        <v/>
      </c>
    </row>
    <row r="597" hidden="1" ht="22.5" customHeight="1" s="117">
      <c r="A597" s="14" t="n">
        <v>46003.28405972222</v>
      </c>
      <c r="B597" s="17" t="inlineStr">
        <is>
          <t>Trần Xuân Khoa</t>
        </is>
      </c>
      <c r="C597" s="16" t="n">
        <v>46002</v>
      </c>
      <c r="D597" s="17" t="n">
        <v>0</v>
      </c>
      <c r="E597" s="17" t="n">
        <v>0</v>
      </c>
      <c r="F597" s="17" t="n">
        <v>0</v>
      </c>
      <c r="G597" s="17" t="n">
        <v>0</v>
      </c>
      <c r="H597" s="17" t="n">
        <v>0</v>
      </c>
      <c r="I597" s="17" t="n">
        <v>2</v>
      </c>
      <c r="J597" s="17" t="n">
        <v>0</v>
      </c>
      <c r="K597" s="17" t="n">
        <v>6</v>
      </c>
      <c r="L597" s="17" t="n">
        <v>0</v>
      </c>
      <c r="M597" s="17" t="n">
        <v>0</v>
      </c>
      <c r="N597" s="17" t="n">
        <v>0</v>
      </c>
      <c r="O597" s="17" t="n">
        <v>0</v>
      </c>
      <c r="P597" s="17" t="n">
        <v>1</v>
      </c>
      <c r="Q597" s="17" t="n">
        <v>3</v>
      </c>
      <c r="R597" s="17" t="n">
        <v>0</v>
      </c>
      <c r="T597" s="17">
        <f>DAY(C597)</f>
        <v/>
      </c>
      <c r="U597" s="17">
        <f>MONTH(C597)</f>
        <v/>
      </c>
    </row>
    <row r="598" hidden="1" ht="22.5" customHeight="1" s="117">
      <c r="A598" s="14" t="n">
        <v>46003.29273820602</v>
      </c>
      <c r="B598" s="17" t="inlineStr">
        <is>
          <t>Đặng Hoài Anh</t>
        </is>
      </c>
      <c r="C598" s="16" t="n">
        <v>46002</v>
      </c>
      <c r="D598" s="17" t="n">
        <v>0</v>
      </c>
      <c r="E598" s="17" t="n">
        <v>0</v>
      </c>
      <c r="F598" s="17" t="n">
        <v>1</v>
      </c>
      <c r="G598" s="17" t="n">
        <v>0</v>
      </c>
      <c r="H598" s="17" t="n">
        <v>0</v>
      </c>
      <c r="I598" s="17" t="n">
        <v>0</v>
      </c>
      <c r="J598" s="17" t="n">
        <v>0</v>
      </c>
      <c r="K598" s="17" t="n">
        <v>0</v>
      </c>
      <c r="L598" s="17" t="n">
        <v>0</v>
      </c>
      <c r="M598" s="17" t="n">
        <v>1</v>
      </c>
      <c r="N598" s="17" t="n">
        <v>0</v>
      </c>
      <c r="O598" s="17" t="n">
        <v>0</v>
      </c>
      <c r="P598" s="17" t="n">
        <v>1</v>
      </c>
      <c r="Q598" s="17" t="n">
        <v>0</v>
      </c>
      <c r="R598" s="17" t="n">
        <v>0</v>
      </c>
      <c r="T598" s="17">
        <f>DAY(C598)</f>
        <v/>
      </c>
      <c r="U598" s="17">
        <f>MONTH(C598)</f>
        <v/>
      </c>
    </row>
    <row r="599" hidden="1" ht="22.5" customHeight="1" s="117">
      <c r="A599" s="14" t="n">
        <v>46003.29351587963</v>
      </c>
      <c r="B599" s="17" t="inlineStr">
        <is>
          <t>Nguyễn Văn Hiệp</t>
        </is>
      </c>
      <c r="C599" s="16" t="n">
        <v>46002</v>
      </c>
      <c r="D599" s="17" t="n">
        <v>0</v>
      </c>
      <c r="E599" s="17" t="n">
        <v>0</v>
      </c>
      <c r="F599" s="17" t="n">
        <v>0</v>
      </c>
      <c r="G599" s="17" t="n">
        <v>0</v>
      </c>
      <c r="H599" s="17" t="n">
        <v>0</v>
      </c>
      <c r="I599" s="17" t="n">
        <v>2</v>
      </c>
      <c r="J599" s="17" t="n">
        <v>0</v>
      </c>
      <c r="K599" s="17" t="n">
        <v>0</v>
      </c>
      <c r="L599" s="17" t="n">
        <v>0</v>
      </c>
      <c r="M599" s="17" t="n">
        <v>0</v>
      </c>
      <c r="N599" s="17" t="n">
        <v>0</v>
      </c>
      <c r="O599" s="17" t="n">
        <v>0</v>
      </c>
      <c r="P599" s="17" t="n">
        <v>0</v>
      </c>
      <c r="Q599" s="17" t="n">
        <v>0</v>
      </c>
      <c r="R599" s="17" t="n">
        <v>0</v>
      </c>
      <c r="T599" s="17">
        <f>DAY(C599)</f>
        <v/>
      </c>
      <c r="U599" s="17">
        <f>MONTH(C599)</f>
        <v/>
      </c>
    </row>
    <row r="600" hidden="1" ht="22.5" customHeight="1" s="117">
      <c r="A600" s="14" t="n">
        <v>46003.29430646991</v>
      </c>
      <c r="B600" s="17" t="inlineStr">
        <is>
          <t>Trần Trung Giang</t>
        </is>
      </c>
      <c r="C600" s="16" t="n">
        <v>46002</v>
      </c>
      <c r="D600" s="17" t="n">
        <v>0</v>
      </c>
      <c r="E600" s="17" t="n">
        <v>0</v>
      </c>
      <c r="F600" s="17" t="n">
        <v>0</v>
      </c>
      <c r="G600" s="17" t="n">
        <v>0</v>
      </c>
      <c r="H600" s="17" t="n">
        <v>1</v>
      </c>
      <c r="I600" s="17" t="n">
        <v>3</v>
      </c>
      <c r="J600" s="17" t="n">
        <v>0</v>
      </c>
      <c r="K600" s="17" t="n">
        <v>4</v>
      </c>
      <c r="L600" s="17" t="n">
        <v>0</v>
      </c>
      <c r="M600" s="17" t="n">
        <v>0</v>
      </c>
      <c r="N600" s="17" t="n">
        <v>0</v>
      </c>
      <c r="O600" s="17" t="n">
        <v>0</v>
      </c>
      <c r="P600" s="17" t="n">
        <v>0</v>
      </c>
      <c r="Q600" s="17" t="n">
        <v>0</v>
      </c>
      <c r="R600" s="17" t="n">
        <v>0</v>
      </c>
      <c r="T600" s="17">
        <f>DAY(C600)</f>
        <v/>
      </c>
      <c r="U600" s="17">
        <f>MONTH(C600)</f>
        <v/>
      </c>
    </row>
    <row r="601" hidden="1" ht="22.5" customHeight="1" s="117">
      <c r="A601" s="14" t="n">
        <v>46003.295014375</v>
      </c>
      <c r="B601" s="17" t="inlineStr">
        <is>
          <t>Nguyễn Quang Anh Tuấn</t>
        </is>
      </c>
      <c r="C601" s="16" t="n">
        <v>46002</v>
      </c>
      <c r="D601" s="17" t="n">
        <v>0</v>
      </c>
      <c r="E601" s="17" t="n">
        <v>0</v>
      </c>
      <c r="F601" s="17" t="n">
        <v>0</v>
      </c>
      <c r="G601" s="17" t="n">
        <v>0</v>
      </c>
      <c r="H601" s="17" t="n">
        <v>0</v>
      </c>
      <c r="I601" s="17" t="n">
        <v>4</v>
      </c>
      <c r="J601" s="17" t="n">
        <v>0</v>
      </c>
      <c r="K601" s="17" t="n">
        <v>2</v>
      </c>
      <c r="L601" s="17" t="n">
        <v>0</v>
      </c>
      <c r="M601" s="17" t="n">
        <v>0</v>
      </c>
      <c r="N601" s="17" t="n">
        <v>0</v>
      </c>
      <c r="O601" s="17" t="n">
        <v>0</v>
      </c>
      <c r="P601" s="17" t="n">
        <v>0</v>
      </c>
      <c r="Q601" s="17" t="n">
        <v>1</v>
      </c>
      <c r="R601" s="17" t="n">
        <v>0</v>
      </c>
      <c r="T601" s="17">
        <f>DAY(C601)</f>
        <v/>
      </c>
      <c r="U601" s="17">
        <f>MONTH(C601)</f>
        <v/>
      </c>
    </row>
    <row r="602" hidden="1" ht="22.5" customHeight="1" s="117">
      <c r="A602" s="14" t="n">
        <v>46003.2967406713</v>
      </c>
      <c r="B602" s="17" t="inlineStr">
        <is>
          <t>Nguyễn Thành Lâm</t>
        </is>
      </c>
      <c r="C602" s="16" t="n">
        <v>46002</v>
      </c>
      <c r="D602" s="17" t="n">
        <v>0</v>
      </c>
      <c r="E602" s="17" t="n">
        <v>0</v>
      </c>
      <c r="F602" s="17" t="n">
        <v>0</v>
      </c>
      <c r="G602" s="17" t="n">
        <v>0</v>
      </c>
      <c r="H602" s="17" t="n">
        <v>0</v>
      </c>
      <c r="I602" s="17" t="n">
        <v>1</v>
      </c>
      <c r="J602" s="17" t="n">
        <v>0</v>
      </c>
      <c r="K602" s="17" t="n">
        <v>0</v>
      </c>
      <c r="L602" s="17" t="n">
        <v>0</v>
      </c>
      <c r="M602" s="17" t="n">
        <v>0</v>
      </c>
      <c r="N602" s="17" t="n">
        <v>0</v>
      </c>
      <c r="O602" s="17" t="n">
        <v>0</v>
      </c>
      <c r="P602" s="17" t="n">
        <v>1</v>
      </c>
      <c r="Q602" s="17" t="n">
        <v>2</v>
      </c>
      <c r="R602" s="17" t="n">
        <v>0</v>
      </c>
      <c r="T602" s="17">
        <f>DAY(C602)</f>
        <v/>
      </c>
      <c r="U602" s="17">
        <f>MONTH(C602)</f>
        <v/>
      </c>
    </row>
    <row r="603" hidden="1" ht="22.5" customHeight="1" s="117">
      <c r="A603" s="14" t="n">
        <v>46003.30398946759</v>
      </c>
      <c r="B603" s="17" t="inlineStr">
        <is>
          <t>Dương Minh Tiến</t>
        </is>
      </c>
      <c r="C603" s="16" t="n">
        <v>46002</v>
      </c>
      <c r="D603" s="17" t="n">
        <v>0</v>
      </c>
      <c r="E603" s="17" t="n">
        <v>0</v>
      </c>
      <c r="F603" s="17" t="n">
        <v>0</v>
      </c>
      <c r="G603" s="17" t="n">
        <v>0</v>
      </c>
      <c r="I603" s="17" t="n">
        <v>3</v>
      </c>
      <c r="J603" s="17" t="n">
        <v>0</v>
      </c>
      <c r="K603" s="17" t="n">
        <v>6</v>
      </c>
      <c r="L603" s="17" t="n">
        <v>0</v>
      </c>
      <c r="M603" s="17" t="n">
        <v>0</v>
      </c>
      <c r="N603" s="17" t="n">
        <v>0</v>
      </c>
      <c r="O603" s="17" t="n">
        <v>0</v>
      </c>
      <c r="P603" s="17" t="n">
        <v>0</v>
      </c>
      <c r="Q603" s="17" t="n">
        <v>0</v>
      </c>
      <c r="R603" s="17" t="n">
        <v>0</v>
      </c>
      <c r="T603" s="17">
        <f>DAY(C603)</f>
        <v/>
      </c>
      <c r="U603" s="17">
        <f>MONTH(C603)</f>
        <v/>
      </c>
    </row>
    <row r="604" hidden="1" ht="22.5" customHeight="1" s="117">
      <c r="A604" s="14" t="n">
        <v>46003.30530640046</v>
      </c>
      <c r="B604" s="17" t="inlineStr">
        <is>
          <t>Nguyễn Tuấn Anh</t>
        </is>
      </c>
      <c r="C604" s="16" t="n">
        <v>46002</v>
      </c>
      <c r="D604" s="17" t="n">
        <v>1</v>
      </c>
      <c r="E604" s="17" t="n">
        <v>1</v>
      </c>
      <c r="F604" s="17" t="n">
        <v>0</v>
      </c>
      <c r="G604" s="17" t="n">
        <v>0</v>
      </c>
      <c r="H604" s="17" t="n">
        <v>0</v>
      </c>
      <c r="I604" s="17" t="n">
        <v>0</v>
      </c>
      <c r="J604" s="17" t="n">
        <v>0</v>
      </c>
      <c r="K604" s="17" t="n">
        <v>7</v>
      </c>
      <c r="L604" s="17" t="n">
        <v>0</v>
      </c>
      <c r="M604" s="17" t="n">
        <v>0</v>
      </c>
      <c r="N604" s="17" t="n">
        <v>0</v>
      </c>
      <c r="O604" s="17" t="n">
        <v>0</v>
      </c>
      <c r="P604" s="17" t="n">
        <v>1</v>
      </c>
      <c r="Q604" s="17" t="n">
        <v>5</v>
      </c>
      <c r="R604" s="17" t="n">
        <v>0</v>
      </c>
      <c r="T604" s="17">
        <f>DAY(C604)</f>
        <v/>
      </c>
      <c r="U604" s="17">
        <f>MONTH(C604)</f>
        <v/>
      </c>
    </row>
    <row r="605" hidden="1" ht="22.5" customHeight="1" s="117">
      <c r="A605" s="14" t="n">
        <v>46003.3060146412</v>
      </c>
      <c r="B605" s="17" t="inlineStr">
        <is>
          <t>Huỳnh Văn Lực</t>
        </is>
      </c>
      <c r="C605" s="16" t="n">
        <v>46002</v>
      </c>
      <c r="D605" s="17" t="n">
        <v>0</v>
      </c>
      <c r="E605" s="17" t="n">
        <v>0</v>
      </c>
      <c r="F605" s="17" t="n">
        <v>0</v>
      </c>
      <c r="G605" s="17" t="n">
        <v>0</v>
      </c>
      <c r="H605" s="17" t="n">
        <v>0</v>
      </c>
      <c r="I605" s="17" t="n">
        <v>4</v>
      </c>
      <c r="J605" s="17" t="n">
        <v>0</v>
      </c>
      <c r="K605" s="17" t="n">
        <v>2</v>
      </c>
      <c r="L605" s="17" t="n">
        <v>0</v>
      </c>
      <c r="M605" s="17" t="n">
        <v>1</v>
      </c>
      <c r="N605" s="17" t="n">
        <v>0</v>
      </c>
      <c r="O605" s="17" t="n">
        <v>0</v>
      </c>
      <c r="P605" s="17" t="n">
        <v>0</v>
      </c>
      <c r="Q605" s="17" t="n">
        <v>1</v>
      </c>
      <c r="R605" s="17" t="n">
        <v>0</v>
      </c>
      <c r="T605" s="17">
        <f>DAY(C605)</f>
        <v/>
      </c>
      <c r="U605" s="17">
        <f>MONTH(C605)</f>
        <v/>
      </c>
    </row>
    <row r="606" hidden="1" ht="22.5" customHeight="1" s="117">
      <c r="A606" s="14" t="n">
        <v>46003.30738315972</v>
      </c>
      <c r="B606" s="17" t="inlineStr">
        <is>
          <t>Lê Quốc Duy</t>
        </is>
      </c>
      <c r="C606" s="16" t="n">
        <v>46002</v>
      </c>
      <c r="D606" s="17" t="n">
        <v>0</v>
      </c>
      <c r="E606" s="17" t="n">
        <v>0</v>
      </c>
      <c r="F606" s="17" t="n">
        <v>0</v>
      </c>
      <c r="G606" s="17" t="n">
        <v>0</v>
      </c>
      <c r="H606" s="17" t="n">
        <v>0</v>
      </c>
      <c r="I606" s="17" t="n">
        <v>2</v>
      </c>
      <c r="J606" s="17" t="n">
        <v>0</v>
      </c>
      <c r="K606" s="17" t="n">
        <v>0</v>
      </c>
      <c r="L606" s="17" t="n">
        <v>1</v>
      </c>
      <c r="M606" s="17" t="n">
        <v>0</v>
      </c>
      <c r="N606" s="17" t="n">
        <v>0</v>
      </c>
      <c r="O606" s="17" t="n">
        <v>0</v>
      </c>
      <c r="P606" s="17" t="n">
        <v>1</v>
      </c>
      <c r="Q606" s="17" t="n">
        <v>1</v>
      </c>
      <c r="R606" s="17" t="n">
        <v>0</v>
      </c>
      <c r="T606" s="17">
        <f>DAY(C606)</f>
        <v/>
      </c>
      <c r="U606" s="17">
        <f>MONTH(C606)</f>
        <v/>
      </c>
    </row>
    <row r="607" hidden="1" ht="22.5" customHeight="1" s="117">
      <c r="A607" s="14" t="n">
        <v>46003.30952547453</v>
      </c>
      <c r="B607" s="17" t="inlineStr">
        <is>
          <t>Lê Hồng Phong</t>
        </is>
      </c>
      <c r="C607" s="16" t="n">
        <v>46003</v>
      </c>
      <c r="D607" s="17" t="n">
        <v>1</v>
      </c>
      <c r="E607" s="17" t="n">
        <v>1</v>
      </c>
      <c r="F607" s="17" t="n">
        <v>1</v>
      </c>
      <c r="G607" s="17" t="n">
        <v>0</v>
      </c>
      <c r="H607" s="17" t="n">
        <v>0</v>
      </c>
      <c r="I607" s="17" t="n">
        <v>1</v>
      </c>
      <c r="J607" s="17" t="n">
        <v>1</v>
      </c>
      <c r="K607" s="17" t="n">
        <v>1</v>
      </c>
      <c r="L607" s="17" t="n">
        <v>1</v>
      </c>
      <c r="M607" s="17" t="n">
        <v>1</v>
      </c>
      <c r="N607" s="17" t="n">
        <v>1</v>
      </c>
      <c r="O607" s="17" t="n">
        <v>0</v>
      </c>
      <c r="P607" s="17" t="n">
        <v>1</v>
      </c>
      <c r="Q607" s="17" t="n">
        <v>1</v>
      </c>
      <c r="R607" s="17" t="n">
        <v>1</v>
      </c>
      <c r="T607" s="17">
        <f>DAY(C607)</f>
        <v/>
      </c>
      <c r="U607" s="17">
        <f>MONTH(C607)</f>
        <v/>
      </c>
    </row>
    <row r="608" hidden="1" ht="22.5" customHeight="1" s="117">
      <c r="A608" s="14" t="n">
        <v>46003.31473400463</v>
      </c>
      <c r="B608" s="17" t="inlineStr">
        <is>
          <t>Hoàng Văn Chất</t>
        </is>
      </c>
      <c r="C608" s="16" t="n">
        <v>46002</v>
      </c>
      <c r="D608" s="17" t="n">
        <v>0</v>
      </c>
      <c r="E608" s="17" t="n">
        <v>0</v>
      </c>
      <c r="F608" s="17" t="n">
        <v>0</v>
      </c>
      <c r="G608" s="17" t="n">
        <v>0</v>
      </c>
      <c r="H608" s="17" t="n">
        <v>0</v>
      </c>
      <c r="I608" s="17" t="n">
        <v>0</v>
      </c>
      <c r="J608" s="17" t="n">
        <v>0</v>
      </c>
      <c r="K608" s="17" t="n">
        <v>6</v>
      </c>
      <c r="L608" s="17" t="n">
        <v>1</v>
      </c>
      <c r="M608" s="17" t="n">
        <v>0</v>
      </c>
      <c r="N608" s="17" t="n">
        <v>0</v>
      </c>
      <c r="O608" s="17" t="n">
        <v>0</v>
      </c>
      <c r="P608" s="17" t="n">
        <v>0</v>
      </c>
      <c r="Q608" s="17" t="n">
        <v>1</v>
      </c>
      <c r="R608" s="17" t="n">
        <v>0</v>
      </c>
      <c r="T608" s="17">
        <f>DAY(C608)</f>
        <v/>
      </c>
      <c r="U608" s="17">
        <f>MONTH(C608)</f>
        <v/>
      </c>
    </row>
    <row r="609" hidden="1" ht="22.5" customHeight="1" s="117">
      <c r="A609" s="14" t="n">
        <v>46003.31627991898</v>
      </c>
      <c r="B609" s="17" t="inlineStr">
        <is>
          <t>Phan Thành Thái</t>
        </is>
      </c>
      <c r="C609" s="16" t="n">
        <v>46002</v>
      </c>
      <c r="D609" s="17" t="n">
        <v>0</v>
      </c>
      <c r="E609" s="17" t="n">
        <v>0</v>
      </c>
      <c r="F609" s="17" t="n">
        <v>0</v>
      </c>
      <c r="G609" s="17" t="n">
        <v>0</v>
      </c>
      <c r="H609" s="17" t="n">
        <v>0</v>
      </c>
      <c r="I609" s="17" t="n">
        <v>3</v>
      </c>
      <c r="J609" s="17" t="n">
        <v>0</v>
      </c>
      <c r="K609" s="17" t="n">
        <v>4</v>
      </c>
      <c r="L609" s="17" t="n">
        <v>0</v>
      </c>
      <c r="M609" s="17" t="n">
        <v>0</v>
      </c>
      <c r="N609" s="17" t="n">
        <v>0</v>
      </c>
      <c r="O609" s="17" t="n">
        <v>0</v>
      </c>
      <c r="P609" s="17" t="n">
        <v>1</v>
      </c>
      <c r="Q609" s="17" t="n">
        <v>4</v>
      </c>
      <c r="R609" s="17" t="n">
        <v>0</v>
      </c>
      <c r="T609" s="17">
        <f>DAY(C609)</f>
        <v/>
      </c>
      <c r="U609" s="17">
        <f>MONTH(C609)</f>
        <v/>
      </c>
    </row>
    <row r="610" hidden="1" ht="22.5" customHeight="1" s="117">
      <c r="A610" s="14" t="n">
        <v>46003.3203153125</v>
      </c>
      <c r="B610" s="17" t="inlineStr">
        <is>
          <t>Nguyễn Văn Nhật</t>
        </is>
      </c>
      <c r="C610" s="16" t="n">
        <v>46002</v>
      </c>
      <c r="D610" s="17" t="n">
        <v>0</v>
      </c>
      <c r="E610" s="17" t="n">
        <v>0</v>
      </c>
      <c r="F610" s="17" t="n">
        <v>0</v>
      </c>
      <c r="G610" s="17" t="n">
        <v>0</v>
      </c>
      <c r="H610" s="17" t="n">
        <v>0</v>
      </c>
      <c r="I610" s="17" t="n">
        <v>0</v>
      </c>
      <c r="J610" s="17" t="n">
        <v>0</v>
      </c>
      <c r="K610" s="17" t="n">
        <v>4</v>
      </c>
      <c r="L610" s="17" t="n">
        <v>4</v>
      </c>
      <c r="M610" s="17" t="n">
        <v>0</v>
      </c>
      <c r="N610" s="17" t="n">
        <v>0</v>
      </c>
      <c r="O610" s="17" t="n">
        <v>0</v>
      </c>
      <c r="P610" s="17" t="n">
        <v>0</v>
      </c>
      <c r="Q610" s="17" t="n">
        <v>2</v>
      </c>
      <c r="R610" s="17" t="n">
        <v>0</v>
      </c>
      <c r="T610" s="17">
        <f>DAY(C610)</f>
        <v/>
      </c>
      <c r="U610" s="17">
        <f>MONTH(C610)</f>
        <v/>
      </c>
    </row>
    <row r="611" hidden="1" ht="22.5" customHeight="1" s="117">
      <c r="A611" s="14" t="n">
        <v>46003.32227108796</v>
      </c>
      <c r="B611" s="17" t="inlineStr">
        <is>
          <t>Bùi Duy Cường</t>
        </is>
      </c>
      <c r="C611" s="16" t="n">
        <v>46002</v>
      </c>
      <c r="D611" s="17" t="n">
        <v>0</v>
      </c>
      <c r="E611" s="17" t="n">
        <v>1</v>
      </c>
      <c r="F611" s="17" t="n">
        <v>0</v>
      </c>
      <c r="G611" s="17" t="n">
        <v>0</v>
      </c>
      <c r="H611" s="17" t="n">
        <v>0</v>
      </c>
      <c r="I611" s="17" t="n">
        <v>2</v>
      </c>
      <c r="J611" s="17" t="n">
        <v>1</v>
      </c>
      <c r="K611" s="17" t="n">
        <v>12</v>
      </c>
      <c r="L611" s="17" t="n">
        <v>0</v>
      </c>
      <c r="M611" s="17" t="n">
        <v>1</v>
      </c>
      <c r="N611" s="17" t="n">
        <v>0</v>
      </c>
      <c r="O611" s="17" t="n">
        <v>0</v>
      </c>
      <c r="P611" s="17" t="n">
        <v>0</v>
      </c>
      <c r="Q611" s="17" t="n">
        <v>1</v>
      </c>
      <c r="R611" s="17" t="n">
        <v>0</v>
      </c>
      <c r="T611" s="17">
        <f>DAY(C611)</f>
        <v/>
      </c>
      <c r="U611" s="17">
        <f>MONTH(C611)</f>
        <v/>
      </c>
    </row>
    <row r="612" hidden="1" ht="22.5" customHeight="1" s="117">
      <c r="A612" s="14" t="n">
        <v>46003.32458626157</v>
      </c>
      <c r="B612" s="17" t="inlineStr">
        <is>
          <t>Đào Công Trung</t>
        </is>
      </c>
      <c r="C612" s="16" t="n">
        <v>46002</v>
      </c>
      <c r="D612" s="17" t="n">
        <v>0</v>
      </c>
      <c r="E612" s="17" t="n">
        <v>0</v>
      </c>
      <c r="F612" s="17" t="n">
        <v>0</v>
      </c>
      <c r="G612" s="17" t="n">
        <v>0</v>
      </c>
      <c r="H612" s="17" t="n">
        <v>0</v>
      </c>
      <c r="I612" s="17" t="n">
        <v>0</v>
      </c>
      <c r="J612" s="17" t="n">
        <v>0</v>
      </c>
      <c r="K612" s="17" t="n">
        <v>0</v>
      </c>
      <c r="L612" s="17" t="n">
        <v>0</v>
      </c>
      <c r="M612" s="17" t="n">
        <v>1</v>
      </c>
      <c r="N612" s="17" t="n">
        <v>0</v>
      </c>
      <c r="O612" s="17" t="n">
        <v>0</v>
      </c>
      <c r="P612" s="17" t="n">
        <v>0</v>
      </c>
      <c r="Q612" s="17" t="n">
        <v>0</v>
      </c>
      <c r="R612" s="17" t="n">
        <v>0</v>
      </c>
      <c r="T612" s="17">
        <f>DAY(C612)</f>
        <v/>
      </c>
      <c r="U612" s="17">
        <f>MONTH(C612)</f>
        <v/>
      </c>
    </row>
    <row r="613" hidden="1" ht="22.5" customHeight="1" s="117">
      <c r="A613" s="14" t="n">
        <v>46003.32952681713</v>
      </c>
      <c r="B613" s="17" t="inlineStr">
        <is>
          <t>Lương Duy Hải</t>
        </is>
      </c>
      <c r="C613" s="16" t="n">
        <v>46002</v>
      </c>
      <c r="D613" s="17" t="n">
        <v>0</v>
      </c>
      <c r="E613" s="17" t="n">
        <v>0</v>
      </c>
      <c r="F613" s="17" t="n">
        <v>0</v>
      </c>
      <c r="G613" s="17" t="n">
        <v>0</v>
      </c>
      <c r="H613" s="17" t="n">
        <v>0</v>
      </c>
      <c r="I613" s="17" t="n">
        <v>0</v>
      </c>
      <c r="J613" s="17" t="n">
        <v>0</v>
      </c>
      <c r="K613" s="17" t="n">
        <v>6</v>
      </c>
      <c r="L613" s="17" t="n">
        <v>0</v>
      </c>
      <c r="M613" s="17" t="n">
        <v>0</v>
      </c>
      <c r="N613" s="17" t="n">
        <v>0</v>
      </c>
      <c r="O613" s="17" t="n">
        <v>0</v>
      </c>
      <c r="P613" s="17" t="n">
        <v>1</v>
      </c>
      <c r="Q613" s="17" t="n">
        <v>2</v>
      </c>
      <c r="R613" s="17" t="n">
        <v>0</v>
      </c>
      <c r="T613" s="17">
        <f>DAY(C613)</f>
        <v/>
      </c>
      <c r="U613" s="17">
        <f>MONTH(C613)</f>
        <v/>
      </c>
    </row>
    <row r="614" hidden="1" ht="22.5" customHeight="1" s="117">
      <c r="A614" s="14" t="n">
        <v>46003.33873377315</v>
      </c>
      <c r="B614" s="17" t="inlineStr">
        <is>
          <t>Nguyễn Hồng Minh</t>
        </is>
      </c>
      <c r="C614" s="16" t="n">
        <v>46002</v>
      </c>
      <c r="D614" s="17" t="n">
        <v>0</v>
      </c>
      <c r="E614" s="17" t="n">
        <v>0</v>
      </c>
      <c r="F614" s="17" t="n">
        <v>0</v>
      </c>
      <c r="G614" s="17" t="n">
        <v>0</v>
      </c>
      <c r="H614" s="17" t="n">
        <v>0</v>
      </c>
      <c r="I614" s="17" t="n">
        <v>0</v>
      </c>
      <c r="J614" s="17" t="n">
        <v>0</v>
      </c>
      <c r="K614" s="17" t="n">
        <v>0</v>
      </c>
      <c r="L614" s="17" t="n">
        <v>2</v>
      </c>
      <c r="M614" s="17" t="n">
        <v>0</v>
      </c>
      <c r="N614" s="17" t="n">
        <v>1</v>
      </c>
      <c r="O614" s="17" t="n">
        <v>0</v>
      </c>
      <c r="P614" s="17" t="n">
        <v>0</v>
      </c>
      <c r="Q614" s="17" t="n">
        <v>5</v>
      </c>
      <c r="R614" s="17" t="n">
        <v>0</v>
      </c>
      <c r="T614" s="17">
        <f>DAY(C614)</f>
        <v/>
      </c>
      <c r="U614" s="17">
        <f>MONTH(C614)</f>
        <v/>
      </c>
    </row>
    <row r="615" hidden="1" ht="22.5" customHeight="1" s="117">
      <c r="A615" s="14" t="n">
        <v>46003.34113634259</v>
      </c>
      <c r="B615" s="17" t="inlineStr">
        <is>
          <t>Lê Văn Hồng</t>
        </is>
      </c>
      <c r="C615" s="16" t="n">
        <v>46002</v>
      </c>
      <c r="D615" s="17" t="n">
        <v>2</v>
      </c>
      <c r="E615" s="17" t="n">
        <v>0</v>
      </c>
      <c r="F615" s="17" t="n">
        <v>0</v>
      </c>
      <c r="G615" s="17" t="n">
        <v>0</v>
      </c>
      <c r="H615" s="17" t="n">
        <v>0</v>
      </c>
      <c r="I615" s="17" t="n">
        <v>4</v>
      </c>
      <c r="J615" s="17" t="n">
        <v>0</v>
      </c>
      <c r="K615" s="17" t="n">
        <v>8</v>
      </c>
      <c r="L615" s="17" t="n">
        <v>0</v>
      </c>
      <c r="M615" s="17" t="n">
        <v>0</v>
      </c>
      <c r="N615" s="17" t="n">
        <v>4</v>
      </c>
      <c r="O615" s="17" t="n">
        <v>0</v>
      </c>
      <c r="P615" s="17" t="n">
        <v>2</v>
      </c>
      <c r="Q615" s="17" t="n">
        <v>2</v>
      </c>
      <c r="R615" s="17" t="n">
        <v>0</v>
      </c>
      <c r="T615" s="17">
        <f>DAY(C615)</f>
        <v/>
      </c>
      <c r="U615" s="17">
        <f>MONTH(C615)</f>
        <v/>
      </c>
    </row>
    <row r="616" hidden="1" ht="22.5" customHeight="1" s="117">
      <c r="A616" s="14" t="n">
        <v>46003.87582778935</v>
      </c>
      <c r="B616" s="17" t="inlineStr">
        <is>
          <t>Lê Quốc Duy</t>
        </is>
      </c>
      <c r="C616" s="16" t="n">
        <v>46003</v>
      </c>
      <c r="D616" s="17" t="n">
        <v>0</v>
      </c>
      <c r="E616" s="17" t="n">
        <v>0</v>
      </c>
      <c r="F616" s="17" t="n">
        <v>0</v>
      </c>
      <c r="G616" s="17" t="n">
        <v>0</v>
      </c>
      <c r="H616" s="17" t="n">
        <v>0</v>
      </c>
      <c r="I616" s="17" t="n">
        <v>2</v>
      </c>
      <c r="J616" s="17" t="n">
        <v>0</v>
      </c>
      <c r="K616" s="17" t="n">
        <v>2</v>
      </c>
      <c r="L616" s="17" t="n">
        <v>0</v>
      </c>
      <c r="M616" s="17" t="n">
        <v>0</v>
      </c>
      <c r="N616" s="17" t="n">
        <v>0</v>
      </c>
      <c r="O616" s="17" t="n">
        <v>0</v>
      </c>
      <c r="P616" s="17" t="n">
        <v>1</v>
      </c>
      <c r="Q616" s="17" t="n">
        <v>1</v>
      </c>
      <c r="R616" s="17" t="n">
        <v>0</v>
      </c>
      <c r="T616" s="17">
        <f>DAY(C616)</f>
        <v/>
      </c>
      <c r="U616" s="17">
        <f>MONTH(C616)</f>
        <v/>
      </c>
    </row>
    <row r="617" hidden="1" ht="22.5" customHeight="1" s="117">
      <c r="A617" s="14" t="n">
        <v>46003.94567274306</v>
      </c>
      <c r="B617" s="17" t="inlineStr">
        <is>
          <t>Đặng Hữu Danh</t>
        </is>
      </c>
      <c r="C617" s="16" t="n">
        <v>46003</v>
      </c>
      <c r="D617" s="17" t="n">
        <v>0</v>
      </c>
      <c r="E617" s="17" t="n">
        <v>0</v>
      </c>
      <c r="F617" s="17" t="n">
        <v>0</v>
      </c>
      <c r="G617" s="17" t="n">
        <v>0</v>
      </c>
      <c r="H617" s="17" t="n">
        <v>0</v>
      </c>
      <c r="I617" s="17" t="n">
        <v>2</v>
      </c>
      <c r="J617" s="17" t="n">
        <v>0</v>
      </c>
      <c r="K617" s="17" t="n">
        <v>3</v>
      </c>
      <c r="L617" s="17" t="n">
        <v>0</v>
      </c>
      <c r="M617" s="17" t="n">
        <v>0</v>
      </c>
      <c r="N617" s="17" t="n">
        <v>0</v>
      </c>
      <c r="O617" s="17" t="n">
        <v>0</v>
      </c>
      <c r="P617" s="17" t="n">
        <v>1</v>
      </c>
      <c r="Q617" s="17" t="n">
        <v>2</v>
      </c>
      <c r="R617" s="17" t="n">
        <v>0</v>
      </c>
      <c r="T617" s="17">
        <f>DAY(C617)</f>
        <v/>
      </c>
      <c r="U617" s="17">
        <f>MONTH(C617)</f>
        <v/>
      </c>
    </row>
    <row r="618" hidden="1" ht="22.5" customHeight="1" s="117">
      <c r="A618" s="14" t="n">
        <v>46004.08460541667</v>
      </c>
      <c r="B618" s="17" t="inlineStr">
        <is>
          <t>Hồ Thái Minh Trí</t>
        </is>
      </c>
      <c r="C618" s="16" t="n">
        <v>46003</v>
      </c>
      <c r="D618" s="17" t="n">
        <v>0</v>
      </c>
      <c r="E618" s="17" t="n">
        <v>0</v>
      </c>
      <c r="F618" s="17" t="n">
        <v>0</v>
      </c>
      <c r="G618" s="17" t="n">
        <v>0</v>
      </c>
      <c r="H618" s="17" t="n">
        <v>0</v>
      </c>
      <c r="I618" s="17" t="n">
        <v>4</v>
      </c>
      <c r="J618" s="17" t="n">
        <v>0</v>
      </c>
      <c r="K618" s="17" t="n">
        <v>10</v>
      </c>
      <c r="L618" s="17" t="n">
        <v>0</v>
      </c>
      <c r="M618" s="17" t="n">
        <v>0</v>
      </c>
      <c r="N618" s="17" t="n">
        <v>2</v>
      </c>
      <c r="O618" s="17" t="n">
        <v>0</v>
      </c>
      <c r="P618" s="17" t="n">
        <v>0</v>
      </c>
      <c r="Q618" s="17" t="n">
        <v>1</v>
      </c>
      <c r="R618" s="17" t="n">
        <v>0</v>
      </c>
      <c r="T618" s="17">
        <f>DAY(C618)</f>
        <v/>
      </c>
      <c r="U618" s="17">
        <f>MONTH(C618)</f>
        <v/>
      </c>
    </row>
    <row r="619" hidden="1" ht="22.5" customHeight="1" s="117">
      <c r="A619" s="14" t="n">
        <v>46004.27068912037</v>
      </c>
      <c r="B619" s="17" t="inlineStr">
        <is>
          <t>Vòng Nhật Sang</t>
        </is>
      </c>
      <c r="C619" s="16" t="n">
        <v>46003</v>
      </c>
      <c r="D619" s="17" t="n">
        <v>0</v>
      </c>
      <c r="E619" s="17" t="n">
        <v>0</v>
      </c>
      <c r="F619" s="17" t="n">
        <v>0</v>
      </c>
      <c r="G619" s="17" t="n">
        <v>0</v>
      </c>
      <c r="H619" s="17" t="n">
        <v>0</v>
      </c>
      <c r="I619" s="17" t="n">
        <v>3</v>
      </c>
      <c r="J619" s="17" t="n">
        <v>0</v>
      </c>
      <c r="K619" s="17" t="n">
        <v>14</v>
      </c>
      <c r="L619" s="17" t="n">
        <v>0</v>
      </c>
      <c r="M619" s="17" t="n">
        <v>0</v>
      </c>
      <c r="N619" s="17" t="n">
        <v>3</v>
      </c>
      <c r="O619" s="17" t="n">
        <v>0</v>
      </c>
      <c r="P619" s="17" t="n">
        <v>1</v>
      </c>
      <c r="Q619" s="17" t="n">
        <v>1</v>
      </c>
      <c r="R619" s="17" t="n">
        <v>0</v>
      </c>
      <c r="T619" s="17">
        <f>DAY(C619)</f>
        <v/>
      </c>
      <c r="U619" s="17">
        <f>MONTH(C619)</f>
        <v/>
      </c>
    </row>
    <row r="620" hidden="1" ht="22.5" customHeight="1" s="117">
      <c r="A620" s="14" t="n">
        <v>46004.27344690972</v>
      </c>
      <c r="B620" s="17" t="inlineStr">
        <is>
          <t>Trần Minh Khánh</t>
        </is>
      </c>
      <c r="C620" s="16" t="n">
        <v>46003</v>
      </c>
      <c r="D620" s="17" t="n">
        <v>0</v>
      </c>
      <c r="E620" s="17" t="n">
        <v>0</v>
      </c>
      <c r="F620" s="17" t="n">
        <v>0</v>
      </c>
      <c r="G620" s="17" t="n">
        <v>0</v>
      </c>
      <c r="H620" s="17" t="n">
        <v>0</v>
      </c>
      <c r="I620" s="17" t="n">
        <v>2</v>
      </c>
      <c r="J620" s="17" t="n">
        <v>0</v>
      </c>
      <c r="K620" s="17" t="n">
        <v>3</v>
      </c>
      <c r="L620" s="17" t="n">
        <v>1</v>
      </c>
      <c r="M620" s="17" t="n">
        <v>0</v>
      </c>
      <c r="N620" s="17" t="n">
        <v>2</v>
      </c>
      <c r="O620" s="17" t="n">
        <v>0</v>
      </c>
      <c r="P620" s="17" t="n">
        <v>0</v>
      </c>
      <c r="Q620" s="17" t="n">
        <v>2</v>
      </c>
      <c r="R620" s="17" t="n">
        <v>1</v>
      </c>
      <c r="T620" s="17">
        <f>DAY(C620)</f>
        <v/>
      </c>
      <c r="U620" s="17">
        <f>MONTH(C620)</f>
        <v/>
      </c>
    </row>
    <row r="621" hidden="1" ht="22.5" customHeight="1" s="117">
      <c r="A621" s="14" t="n">
        <v>46004.28080512732</v>
      </c>
      <c r="B621" s="17" t="inlineStr">
        <is>
          <t>Trần Trung Giang</t>
        </is>
      </c>
      <c r="C621" s="16" t="n">
        <v>46003</v>
      </c>
      <c r="D621" s="17" t="n">
        <v>0</v>
      </c>
      <c r="E621" s="17" t="n">
        <v>0</v>
      </c>
      <c r="F621" s="17" t="n">
        <v>0</v>
      </c>
      <c r="G621" s="17" t="n">
        <v>0</v>
      </c>
      <c r="H621" s="17" t="n">
        <v>0</v>
      </c>
      <c r="I621" s="17" t="n">
        <v>0</v>
      </c>
      <c r="J621" s="17" t="n">
        <v>0</v>
      </c>
      <c r="K621" s="17" t="n">
        <v>8</v>
      </c>
      <c r="L621" s="17" t="n">
        <v>0</v>
      </c>
      <c r="M621" s="17" t="n">
        <v>0</v>
      </c>
      <c r="N621" s="17" t="n">
        <v>1</v>
      </c>
      <c r="O621" s="17" t="n">
        <v>0</v>
      </c>
      <c r="P621" s="17" t="n">
        <v>1</v>
      </c>
      <c r="Q621" s="17" t="n">
        <v>0</v>
      </c>
      <c r="R621" s="17" t="n">
        <v>0</v>
      </c>
      <c r="T621" s="17">
        <f>DAY(C621)</f>
        <v/>
      </c>
      <c r="U621" s="17">
        <f>MONTH(C621)</f>
        <v/>
      </c>
    </row>
    <row r="622" hidden="1" ht="22.5" customHeight="1" s="117">
      <c r="A622" s="14" t="n">
        <v>46004.28115381944</v>
      </c>
      <c r="B622" s="17" t="inlineStr">
        <is>
          <t>Hồ Xuân Việt</t>
        </is>
      </c>
      <c r="C622" s="16" t="n">
        <v>46003</v>
      </c>
      <c r="D622" s="17" t="n">
        <v>0</v>
      </c>
      <c r="E622" s="17" t="n">
        <v>0</v>
      </c>
      <c r="F622" s="17" t="n">
        <v>0</v>
      </c>
      <c r="G622" s="17" t="n">
        <v>0</v>
      </c>
      <c r="H622" s="17" t="n">
        <v>0</v>
      </c>
      <c r="I622" s="17" t="n">
        <v>0</v>
      </c>
      <c r="J622" s="17" t="n">
        <v>0</v>
      </c>
      <c r="K622" s="17" t="n">
        <v>1</v>
      </c>
      <c r="L622" s="17" t="n">
        <v>0</v>
      </c>
      <c r="M622" s="17" t="n">
        <v>0</v>
      </c>
      <c r="N622" s="17" t="n">
        <v>0</v>
      </c>
      <c r="O622" s="17" t="n">
        <v>0</v>
      </c>
      <c r="P622" s="17" t="n">
        <v>0</v>
      </c>
      <c r="Q622" s="17" t="n">
        <v>1</v>
      </c>
      <c r="R622" s="17" t="n">
        <v>0</v>
      </c>
      <c r="T622" s="17">
        <f>DAY(C622)</f>
        <v/>
      </c>
      <c r="U622" s="17">
        <f>MONTH(C622)</f>
        <v/>
      </c>
    </row>
    <row r="623" hidden="1" ht="22.5" customHeight="1" s="117">
      <c r="A623" s="14" t="n">
        <v>46004.28466556713</v>
      </c>
      <c r="B623" s="17" t="inlineStr">
        <is>
          <t>Hoàng Văn Chất</t>
        </is>
      </c>
      <c r="C623" s="16" t="n">
        <v>46003</v>
      </c>
      <c r="D623" s="17" t="n">
        <v>0</v>
      </c>
      <c r="E623" s="17" t="n">
        <v>0</v>
      </c>
      <c r="F623" s="17" t="n">
        <v>0</v>
      </c>
      <c r="G623" s="17" t="n">
        <v>0</v>
      </c>
      <c r="H623" s="17" t="n">
        <v>0</v>
      </c>
      <c r="I623" s="17" t="n">
        <v>1</v>
      </c>
      <c r="J623" s="17" t="n">
        <v>0</v>
      </c>
      <c r="K623" s="17" t="n">
        <v>6</v>
      </c>
      <c r="L623" s="17" t="n">
        <v>2</v>
      </c>
      <c r="M623" s="17" t="n">
        <v>0</v>
      </c>
      <c r="N623" s="17" t="n">
        <v>0</v>
      </c>
      <c r="O623" s="17" t="n">
        <v>0</v>
      </c>
      <c r="P623" s="17" t="n">
        <v>0</v>
      </c>
      <c r="Q623" s="17" t="n">
        <v>3</v>
      </c>
      <c r="R623" s="17" t="n">
        <v>1</v>
      </c>
      <c r="T623" s="17">
        <f>DAY(C623)</f>
        <v/>
      </c>
      <c r="U623" s="17">
        <f>MONTH(C623)</f>
        <v/>
      </c>
    </row>
    <row r="624" hidden="1" ht="22.5" customHeight="1" s="117">
      <c r="A624" s="14" t="n">
        <v>46004.28505222222</v>
      </c>
      <c r="B624" s="17" t="inlineStr">
        <is>
          <t>Trần Xuân Khoa</t>
        </is>
      </c>
      <c r="C624" s="16" t="n">
        <v>46003</v>
      </c>
      <c r="D624" s="17" t="n">
        <v>0</v>
      </c>
      <c r="E624" s="17" t="n">
        <v>0</v>
      </c>
      <c r="F624" s="17" t="n">
        <v>0</v>
      </c>
      <c r="G624" s="17" t="n">
        <v>0</v>
      </c>
      <c r="H624" s="17" t="n">
        <v>0</v>
      </c>
      <c r="I624" s="17" t="n">
        <v>2</v>
      </c>
      <c r="J624" s="17" t="n">
        <v>0</v>
      </c>
      <c r="K624" s="17" t="n">
        <v>3</v>
      </c>
      <c r="L624" s="17" t="n">
        <v>0</v>
      </c>
      <c r="M624" s="17" t="n">
        <v>0</v>
      </c>
      <c r="N624" s="17" t="n">
        <v>0</v>
      </c>
      <c r="O624" s="17" t="n">
        <v>0</v>
      </c>
      <c r="P624" s="17" t="n">
        <v>0</v>
      </c>
      <c r="Q624" s="17" t="n">
        <v>2</v>
      </c>
      <c r="R624" s="17" t="n">
        <v>0</v>
      </c>
      <c r="T624" s="17">
        <f>DAY(C624)</f>
        <v/>
      </c>
      <c r="U624" s="17">
        <f>MONTH(C624)</f>
        <v/>
      </c>
    </row>
    <row r="625" hidden="1" ht="22.5" customHeight="1" s="117">
      <c r="A625" s="14" t="n">
        <v>46004.28507721065</v>
      </c>
      <c r="B625" s="17" t="inlineStr">
        <is>
          <t>Phan Thành Thái</t>
        </is>
      </c>
      <c r="C625" s="16" t="n">
        <v>46003</v>
      </c>
      <c r="D625" s="17" t="n">
        <v>1</v>
      </c>
      <c r="E625" s="17" t="n">
        <v>1</v>
      </c>
      <c r="F625" s="17" t="n">
        <v>1</v>
      </c>
      <c r="G625" s="17" t="n">
        <v>0</v>
      </c>
      <c r="H625" s="17" t="n">
        <v>0</v>
      </c>
      <c r="I625" s="17" t="n">
        <v>2</v>
      </c>
      <c r="J625" s="17" t="n">
        <v>0</v>
      </c>
      <c r="K625" s="17" t="n">
        <v>0</v>
      </c>
      <c r="L625" s="17" t="n">
        <v>0</v>
      </c>
      <c r="M625" s="17" t="n">
        <v>1</v>
      </c>
      <c r="N625" s="17" t="n">
        <v>0</v>
      </c>
      <c r="O625" s="17" t="n">
        <v>0</v>
      </c>
      <c r="P625" s="17" t="n">
        <v>0</v>
      </c>
      <c r="Q625" s="17" t="n">
        <v>3</v>
      </c>
      <c r="R625" s="17" t="n">
        <v>0</v>
      </c>
      <c r="T625" s="17">
        <f>DAY(C625)</f>
        <v/>
      </c>
      <c r="U625" s="17">
        <f>MONTH(C625)</f>
        <v/>
      </c>
    </row>
    <row r="626" hidden="1" ht="22.5" customHeight="1" s="117">
      <c r="A626" s="14" t="n">
        <v>46004.28535381945</v>
      </c>
      <c r="B626" s="17" t="inlineStr">
        <is>
          <t>Phan Ngọc Sang</t>
        </is>
      </c>
      <c r="C626" s="16" t="n">
        <v>46003</v>
      </c>
      <c r="D626" s="17" t="n">
        <v>0</v>
      </c>
      <c r="E626" s="17" t="n">
        <v>0</v>
      </c>
      <c r="F626" s="18" t="inlineStr">
        <is>
          <t>00</t>
        </is>
      </c>
      <c r="G626" s="17" t="n">
        <v>0</v>
      </c>
      <c r="H626" s="17" t="n">
        <v>0</v>
      </c>
      <c r="I626" s="17" t="n">
        <v>0</v>
      </c>
      <c r="J626" s="17" t="n">
        <v>0</v>
      </c>
      <c r="K626" s="17" t="n">
        <v>8</v>
      </c>
      <c r="L626" s="17" t="n">
        <v>1</v>
      </c>
      <c r="M626" s="17" t="n">
        <v>1</v>
      </c>
      <c r="N626" s="17" t="n">
        <v>0</v>
      </c>
      <c r="O626" s="17" t="n">
        <v>1</v>
      </c>
      <c r="P626" s="17" t="n">
        <v>0</v>
      </c>
      <c r="Q626" s="17" t="n">
        <v>1</v>
      </c>
      <c r="R626" s="17" t="n">
        <v>0</v>
      </c>
      <c r="T626" s="17">
        <f>DAY(C626)</f>
        <v/>
      </c>
      <c r="U626" s="17">
        <f>MONTH(C626)</f>
        <v/>
      </c>
    </row>
    <row r="627" hidden="1" ht="22.5" customHeight="1" s="117">
      <c r="A627" s="14" t="n">
        <v>46004.28576155093</v>
      </c>
      <c r="B627" s="17" t="inlineStr">
        <is>
          <t>Lê Hồng Phong</t>
        </is>
      </c>
      <c r="C627" s="16" t="n">
        <v>46004</v>
      </c>
      <c r="D627" s="17" t="n">
        <v>1</v>
      </c>
      <c r="E627" s="17" t="n">
        <v>1</v>
      </c>
      <c r="F627" s="17" t="n">
        <v>1</v>
      </c>
      <c r="G627" s="17" t="n">
        <v>0</v>
      </c>
      <c r="H627" s="17" t="n">
        <v>0</v>
      </c>
      <c r="I627" s="17" t="n">
        <v>1</v>
      </c>
      <c r="J627" s="17" t="n">
        <v>1</v>
      </c>
      <c r="K627" s="17" t="n">
        <v>1</v>
      </c>
      <c r="L627" s="17" t="n">
        <v>10</v>
      </c>
      <c r="M627" s="17" t="n">
        <v>1</v>
      </c>
      <c r="N627" s="17" t="n">
        <v>1</v>
      </c>
      <c r="O627" s="17" t="n">
        <v>1</v>
      </c>
      <c r="P627" s="17" t="n">
        <v>1</v>
      </c>
      <c r="Q627" s="17" t="n">
        <v>1</v>
      </c>
      <c r="R627" s="17" t="n">
        <v>1</v>
      </c>
      <c r="T627" s="17">
        <f>DAY(C627)</f>
        <v/>
      </c>
      <c r="U627" s="17">
        <f>MONTH(C627)</f>
        <v/>
      </c>
    </row>
    <row r="628" hidden="1" ht="22.5" customHeight="1" s="117">
      <c r="A628" s="14" t="n">
        <v>46004.28735684028</v>
      </c>
      <c r="B628" s="17" t="inlineStr">
        <is>
          <t>Nguyễn Văn Nhật</t>
        </is>
      </c>
      <c r="C628" s="16" t="n">
        <v>46003</v>
      </c>
      <c r="D628" s="17" t="n">
        <v>0</v>
      </c>
      <c r="E628" s="17" t="n">
        <v>0</v>
      </c>
      <c r="F628" s="17" t="n">
        <v>0</v>
      </c>
      <c r="G628" s="17" t="n">
        <v>1</v>
      </c>
      <c r="H628" s="17" t="n">
        <v>1</v>
      </c>
      <c r="I628" s="18" t="inlineStr">
        <is>
          <t>00</t>
        </is>
      </c>
      <c r="J628" s="17" t="n">
        <v>0</v>
      </c>
      <c r="K628" s="17" t="n">
        <v>2</v>
      </c>
      <c r="L628" s="17" t="n">
        <v>0</v>
      </c>
      <c r="M628" s="17" t="n">
        <v>1</v>
      </c>
      <c r="N628" s="17" t="n">
        <v>0</v>
      </c>
      <c r="O628" s="18" t="inlineStr">
        <is>
          <t>01</t>
        </is>
      </c>
      <c r="P628" s="17" t="n">
        <v>3</v>
      </c>
      <c r="Q628" s="17" t="n">
        <v>6</v>
      </c>
      <c r="R628" s="17" t="n">
        <v>0</v>
      </c>
      <c r="T628" s="17">
        <f>DAY(C628)</f>
        <v/>
      </c>
      <c r="U628" s="17">
        <f>MONTH(C628)</f>
        <v/>
      </c>
    </row>
    <row r="629" hidden="1" ht="22.5" customHeight="1" s="117">
      <c r="A629" s="14" t="n">
        <v>46004.2902608912</v>
      </c>
      <c r="B629" s="17" t="inlineStr">
        <is>
          <t>Lương Duy Hoàng</t>
        </is>
      </c>
      <c r="C629" s="16" t="n">
        <v>46003</v>
      </c>
      <c r="D629" s="17" t="n">
        <v>0</v>
      </c>
      <c r="E629" s="17" t="n">
        <v>0</v>
      </c>
      <c r="F629" s="17" t="n">
        <v>0</v>
      </c>
      <c r="G629" s="17" t="n">
        <v>0</v>
      </c>
      <c r="H629" s="17" t="n">
        <v>0</v>
      </c>
      <c r="I629" s="17" t="n">
        <v>2</v>
      </c>
      <c r="J629" s="17" t="n">
        <v>0</v>
      </c>
      <c r="K629" s="17" t="n">
        <v>4</v>
      </c>
      <c r="L629" s="17" t="n">
        <v>0</v>
      </c>
      <c r="M629" s="17" t="n">
        <v>0</v>
      </c>
      <c r="N629" s="17" t="n">
        <v>0</v>
      </c>
      <c r="O629" s="17" t="n">
        <v>0</v>
      </c>
      <c r="P629" s="17" t="n">
        <v>1</v>
      </c>
      <c r="Q629" s="17" t="n">
        <v>2</v>
      </c>
      <c r="R629" s="17" t="n">
        <v>0</v>
      </c>
      <c r="T629" s="17">
        <f>DAY(C629)</f>
        <v/>
      </c>
      <c r="U629" s="17">
        <f>MONTH(C629)</f>
        <v/>
      </c>
    </row>
    <row r="630" hidden="1" ht="22.5" customHeight="1" s="117">
      <c r="A630" s="14" t="n">
        <v>46004.29098762731</v>
      </c>
      <c r="B630" s="17" t="inlineStr">
        <is>
          <t>Nguyễn Thành Lâm</t>
        </is>
      </c>
      <c r="C630" s="16" t="n">
        <v>46003</v>
      </c>
      <c r="D630" s="17" t="n">
        <v>1</v>
      </c>
      <c r="E630" s="17" t="n">
        <v>2</v>
      </c>
      <c r="F630" s="17" t="n">
        <v>0</v>
      </c>
      <c r="G630" s="17" t="n">
        <v>0</v>
      </c>
      <c r="H630" s="17" t="n">
        <v>0</v>
      </c>
      <c r="I630" s="17" t="n">
        <v>2</v>
      </c>
      <c r="J630" s="17" t="n">
        <v>0</v>
      </c>
      <c r="K630" s="17" t="n">
        <v>2</v>
      </c>
      <c r="L630" s="17" t="n">
        <v>0</v>
      </c>
      <c r="M630" s="17" t="n">
        <v>1</v>
      </c>
      <c r="N630" s="17" t="n">
        <v>0</v>
      </c>
      <c r="O630" s="17" t="n">
        <v>0</v>
      </c>
      <c r="P630" s="17" t="n">
        <v>2</v>
      </c>
      <c r="Q630" s="17" t="n">
        <v>2</v>
      </c>
      <c r="R630" s="17" t="n">
        <v>0</v>
      </c>
      <c r="T630" s="17">
        <f>DAY(C630)</f>
        <v/>
      </c>
      <c r="U630" s="17">
        <f>MONTH(C630)</f>
        <v/>
      </c>
    </row>
    <row r="631" hidden="1" ht="22.5" customHeight="1" s="117">
      <c r="A631" s="14" t="n">
        <v>46004.29126596064</v>
      </c>
      <c r="B631" s="17" t="inlineStr">
        <is>
          <t>Nguyễn Quang Anh Tuấn</t>
        </is>
      </c>
      <c r="C631" s="16" t="n">
        <v>46003</v>
      </c>
      <c r="D631" s="17" t="n">
        <v>0</v>
      </c>
      <c r="E631" s="17" t="n">
        <v>0</v>
      </c>
      <c r="F631" s="17" t="n">
        <v>0</v>
      </c>
      <c r="G631" s="17" t="n">
        <v>0</v>
      </c>
      <c r="H631" s="17" t="n">
        <v>0</v>
      </c>
      <c r="I631" s="17" t="n">
        <v>0</v>
      </c>
      <c r="J631" s="17" t="n">
        <v>0</v>
      </c>
      <c r="K631" s="17" t="n">
        <v>4</v>
      </c>
      <c r="L631" s="17" t="n">
        <v>0</v>
      </c>
      <c r="M631" s="17" t="n">
        <v>0</v>
      </c>
      <c r="N631" s="17" t="n">
        <v>2</v>
      </c>
      <c r="O631" s="17" t="n">
        <v>0</v>
      </c>
      <c r="P631" s="17" t="n">
        <v>0</v>
      </c>
      <c r="Q631" s="17" t="n">
        <v>1</v>
      </c>
      <c r="R631" s="17" t="n">
        <v>0</v>
      </c>
      <c r="T631" s="17">
        <f>DAY(C631)</f>
        <v/>
      </c>
      <c r="U631" s="17">
        <f>MONTH(C631)</f>
        <v/>
      </c>
    </row>
    <row r="632" hidden="1" ht="22.5" customHeight="1" s="117">
      <c r="A632" s="14" t="n">
        <v>46004.29244253472</v>
      </c>
      <c r="B632" s="17" t="inlineStr">
        <is>
          <t>Nguyễn Văn Hiệp</t>
        </is>
      </c>
      <c r="C632" s="16" t="n">
        <v>46003</v>
      </c>
      <c r="D632" s="17" t="n">
        <v>0</v>
      </c>
      <c r="E632" s="17" t="n">
        <v>0</v>
      </c>
      <c r="F632" s="17" t="n">
        <v>0</v>
      </c>
      <c r="G632" s="17" t="n">
        <v>0</v>
      </c>
      <c r="H632" s="17" t="n">
        <v>0</v>
      </c>
      <c r="I632" s="17" t="n">
        <v>0</v>
      </c>
      <c r="J632" s="17" t="n">
        <v>0</v>
      </c>
      <c r="K632" s="17" t="n">
        <v>5</v>
      </c>
      <c r="L632" s="17" t="n">
        <v>0</v>
      </c>
      <c r="M632" s="17" t="n">
        <v>1</v>
      </c>
      <c r="N632" s="17" t="n">
        <v>0</v>
      </c>
      <c r="O632" s="17" t="n">
        <v>0</v>
      </c>
      <c r="P632" s="17" t="n">
        <v>0</v>
      </c>
      <c r="Q632" s="17" t="n">
        <v>0</v>
      </c>
      <c r="R632" s="17" t="n">
        <v>0</v>
      </c>
      <c r="T632" s="17">
        <f>DAY(C632)</f>
        <v/>
      </c>
      <c r="U632" s="17">
        <f>MONTH(C632)</f>
        <v/>
      </c>
    </row>
    <row r="633" hidden="1" ht="22.5" customHeight="1" s="117">
      <c r="A633" s="14" t="n">
        <v>46004.29788052083</v>
      </c>
      <c r="B633" s="17" t="inlineStr">
        <is>
          <t>Nguyễn Tuấn Anh</t>
        </is>
      </c>
      <c r="C633" s="16" t="n">
        <v>46003</v>
      </c>
      <c r="D633" s="17" t="n">
        <v>1</v>
      </c>
      <c r="E633" s="17" t="n">
        <v>0</v>
      </c>
      <c r="F633" s="17" t="n">
        <v>0</v>
      </c>
      <c r="G633" s="17" t="n">
        <v>0</v>
      </c>
      <c r="H633" s="17" t="n">
        <v>0</v>
      </c>
      <c r="I633" s="17" t="n">
        <v>0</v>
      </c>
      <c r="J633" s="17" t="n">
        <v>0</v>
      </c>
      <c r="K633" s="17" t="n">
        <v>12</v>
      </c>
      <c r="L633" s="17" t="n">
        <v>1</v>
      </c>
      <c r="M633" s="17" t="n">
        <v>0</v>
      </c>
      <c r="N633" s="17" t="n">
        <v>0</v>
      </c>
      <c r="O633" s="17" t="n">
        <v>0</v>
      </c>
      <c r="P633" s="17" t="n">
        <v>0</v>
      </c>
      <c r="Q633" s="17" t="n">
        <v>5</v>
      </c>
      <c r="R633" s="17" t="n">
        <v>0</v>
      </c>
      <c r="T633" s="17">
        <f>DAY(C633)</f>
        <v/>
      </c>
      <c r="U633" s="17">
        <f>MONTH(C633)</f>
        <v/>
      </c>
    </row>
    <row r="634" hidden="1" ht="22.5" customHeight="1" s="117">
      <c r="A634" s="14" t="n">
        <v>46004.30055996528</v>
      </c>
      <c r="B634" s="17" t="inlineStr">
        <is>
          <t>Đặng Hoài Anh</t>
        </is>
      </c>
      <c r="C634" s="16" t="n">
        <v>46003</v>
      </c>
      <c r="D634" s="17" t="n">
        <v>1</v>
      </c>
      <c r="E634" s="17" t="n">
        <v>0</v>
      </c>
      <c r="F634" s="17" t="n">
        <v>0</v>
      </c>
      <c r="G634" s="17" t="n">
        <v>0</v>
      </c>
      <c r="H634" s="17" t="n">
        <v>0</v>
      </c>
      <c r="I634" s="17" t="n">
        <v>0</v>
      </c>
      <c r="J634" s="17" t="n">
        <v>0</v>
      </c>
      <c r="K634" s="17" t="n">
        <v>0</v>
      </c>
      <c r="L634" s="17" t="n">
        <v>0</v>
      </c>
      <c r="M634" s="17" t="n">
        <v>1</v>
      </c>
      <c r="N634" s="17" t="n">
        <v>0</v>
      </c>
      <c r="O634" s="17" t="n">
        <v>0</v>
      </c>
      <c r="P634" s="17" t="n">
        <v>0</v>
      </c>
      <c r="Q634" s="17" t="n">
        <v>0</v>
      </c>
      <c r="R634" s="17" t="n">
        <v>0</v>
      </c>
      <c r="T634" s="17">
        <f>DAY(C634)</f>
        <v/>
      </c>
      <c r="U634" s="17">
        <f>MONTH(C634)</f>
        <v/>
      </c>
    </row>
    <row r="635" hidden="1" ht="22.5" customHeight="1" s="117">
      <c r="A635" s="14" t="n">
        <v>46004.3019074537</v>
      </c>
      <c r="B635" s="17" t="inlineStr">
        <is>
          <t>Dương Minh Tiến</t>
        </is>
      </c>
      <c r="C635" s="16" t="n">
        <v>46003</v>
      </c>
      <c r="D635" s="17" t="n">
        <v>0</v>
      </c>
      <c r="E635" s="17" t="n">
        <v>0</v>
      </c>
      <c r="F635" s="17" t="n">
        <v>0</v>
      </c>
      <c r="G635" s="17" t="n">
        <v>0</v>
      </c>
      <c r="H635" s="17" t="n">
        <v>0</v>
      </c>
      <c r="I635" s="17" t="n">
        <v>2</v>
      </c>
      <c r="J635" s="17" t="n">
        <v>0</v>
      </c>
      <c r="K635" s="17" t="n">
        <v>3</v>
      </c>
      <c r="L635" s="17" t="n">
        <v>0</v>
      </c>
      <c r="M635" s="17" t="n">
        <v>0</v>
      </c>
      <c r="N635" s="17" t="n">
        <v>0</v>
      </c>
      <c r="O635" s="17" t="n">
        <v>0</v>
      </c>
      <c r="P635" s="17" t="n">
        <v>0</v>
      </c>
      <c r="Q635" s="17" t="n">
        <v>0</v>
      </c>
      <c r="R635" s="17" t="n">
        <v>0</v>
      </c>
      <c r="T635" s="17">
        <f>DAY(C635)</f>
        <v/>
      </c>
      <c r="U635" s="17">
        <f>MONTH(C635)</f>
        <v/>
      </c>
    </row>
    <row r="636" hidden="1" ht="22.5" customHeight="1" s="117">
      <c r="A636" s="14" t="n">
        <v>46004.30394393519</v>
      </c>
      <c r="B636" s="17" t="inlineStr">
        <is>
          <t>Đào Công Trung</t>
        </is>
      </c>
      <c r="C636" s="16" t="n">
        <v>46003</v>
      </c>
      <c r="D636" s="17" t="n">
        <v>2</v>
      </c>
      <c r="E636" s="17" t="n">
        <v>1</v>
      </c>
      <c r="F636" s="17" t="n">
        <v>2</v>
      </c>
      <c r="G636" s="17" t="n">
        <v>0</v>
      </c>
      <c r="H636" s="17" t="n">
        <v>0</v>
      </c>
      <c r="I636" s="17" t="n">
        <v>0</v>
      </c>
      <c r="J636" s="17" t="n">
        <v>0</v>
      </c>
      <c r="K636" s="17" t="n">
        <v>5</v>
      </c>
      <c r="L636" s="17" t="n">
        <v>0</v>
      </c>
      <c r="M636" s="17" t="n">
        <v>1</v>
      </c>
      <c r="N636" s="17" t="n">
        <v>0</v>
      </c>
      <c r="O636" s="17" t="n">
        <v>0</v>
      </c>
      <c r="P636" s="17" t="n">
        <v>0</v>
      </c>
      <c r="Q636" s="17" t="n">
        <v>0</v>
      </c>
      <c r="R636" s="17" t="n">
        <v>0</v>
      </c>
      <c r="T636" s="17">
        <f>DAY(C636)</f>
        <v/>
      </c>
      <c r="U636" s="17">
        <f>MONTH(C636)</f>
        <v/>
      </c>
    </row>
    <row r="637" hidden="1" ht="22.5" customHeight="1" s="117">
      <c r="A637" s="14" t="n">
        <v>46004.30537398148</v>
      </c>
      <c r="B637" s="17" t="inlineStr">
        <is>
          <t>Lương Duy Hải</t>
        </is>
      </c>
      <c r="C637" s="16" t="n">
        <v>46003</v>
      </c>
      <c r="D637" s="17" t="n">
        <v>0</v>
      </c>
      <c r="E637" s="17" t="n">
        <v>0</v>
      </c>
      <c r="F637" s="17" t="n">
        <v>0</v>
      </c>
      <c r="G637" s="17" t="n">
        <v>0</v>
      </c>
      <c r="H637" s="17" t="n">
        <v>0</v>
      </c>
      <c r="I637" s="17" t="n">
        <v>0</v>
      </c>
      <c r="J637" s="17" t="n">
        <v>0</v>
      </c>
      <c r="K637" s="17" t="n">
        <v>9</v>
      </c>
      <c r="L637" s="17" t="n">
        <v>0</v>
      </c>
      <c r="M637" s="17" t="n">
        <v>0</v>
      </c>
      <c r="N637" s="17" t="n">
        <v>0</v>
      </c>
      <c r="O637" s="17" t="n">
        <v>0</v>
      </c>
      <c r="P637" s="17" t="n">
        <v>1</v>
      </c>
      <c r="Q637" s="17" t="n">
        <v>4</v>
      </c>
      <c r="R637" s="17" t="n">
        <v>0</v>
      </c>
      <c r="T637" s="17">
        <f>DAY(C637)</f>
        <v/>
      </c>
      <c r="U637" s="17">
        <f>MONTH(C637)</f>
        <v/>
      </c>
    </row>
    <row r="638" hidden="1" ht="22.5" customHeight="1" s="117">
      <c r="A638" s="14" t="n">
        <v>46004.30808137731</v>
      </c>
      <c r="B638" s="17" t="inlineStr">
        <is>
          <t>Lương Duy Hải</t>
        </is>
      </c>
      <c r="C638" s="16" t="n">
        <v>46003</v>
      </c>
      <c r="D638" s="17" t="n">
        <v>0</v>
      </c>
      <c r="E638" s="17" t="n">
        <v>0</v>
      </c>
      <c r="F638" s="17" t="n">
        <v>0</v>
      </c>
      <c r="G638" s="17" t="n">
        <v>0</v>
      </c>
      <c r="H638" s="17" t="n">
        <v>0</v>
      </c>
      <c r="I638" s="17" t="n">
        <v>0</v>
      </c>
      <c r="J638" s="17" t="n">
        <v>0</v>
      </c>
      <c r="K638" s="17" t="n">
        <v>9</v>
      </c>
      <c r="L638" s="17" t="n">
        <v>0</v>
      </c>
      <c r="M638" s="17" t="n">
        <v>0</v>
      </c>
      <c r="N638" s="17" t="n">
        <v>0</v>
      </c>
      <c r="O638" s="17" t="n">
        <v>0</v>
      </c>
      <c r="P638" s="17" t="n">
        <v>1</v>
      </c>
      <c r="Q638" s="17" t="n">
        <v>4</v>
      </c>
      <c r="R638" s="17" t="n">
        <v>0</v>
      </c>
      <c r="T638" s="17">
        <f>DAY(C638)</f>
        <v/>
      </c>
      <c r="U638" s="17">
        <f>MONTH(C638)</f>
        <v/>
      </c>
    </row>
    <row r="639" hidden="1" ht="22.5" customHeight="1" s="117">
      <c r="A639" s="14" t="n">
        <v>46004.31515222223</v>
      </c>
      <c r="B639" s="17" t="inlineStr">
        <is>
          <t>Huỳnh Văn Lực</t>
        </is>
      </c>
      <c r="C639" s="16" t="n">
        <v>46003</v>
      </c>
      <c r="D639" s="17" t="n">
        <v>0</v>
      </c>
      <c r="E639" s="17" t="n">
        <v>0</v>
      </c>
      <c r="F639" s="17" t="n">
        <v>0</v>
      </c>
      <c r="G639" s="17" t="n">
        <v>0</v>
      </c>
      <c r="H639" s="17" t="n">
        <v>0</v>
      </c>
      <c r="I639" s="17" t="n">
        <v>0</v>
      </c>
      <c r="J639" s="17" t="n">
        <v>0</v>
      </c>
      <c r="K639" s="17" t="n">
        <v>1</v>
      </c>
      <c r="L639" s="17" t="n">
        <v>0</v>
      </c>
      <c r="M639" s="17" t="n">
        <v>0</v>
      </c>
      <c r="N639" s="17" t="n">
        <v>0</v>
      </c>
      <c r="O639" s="17" t="n">
        <v>0</v>
      </c>
      <c r="P639" s="17" t="n">
        <v>1</v>
      </c>
      <c r="Q639" s="17" t="n">
        <v>1</v>
      </c>
      <c r="R639" s="17" t="n">
        <v>0</v>
      </c>
      <c r="T639" s="17">
        <f>DAY(C639)</f>
        <v/>
      </c>
      <c r="U639" s="17">
        <f>MONTH(C639)</f>
        <v/>
      </c>
    </row>
    <row r="640" hidden="1" ht="22.5" customHeight="1" s="117">
      <c r="A640" s="14" t="n">
        <v>46004.31867283564</v>
      </c>
      <c r="B640" s="17" t="inlineStr">
        <is>
          <t>Nguyễn Hồng Minh</t>
        </is>
      </c>
      <c r="C640" s="16" t="n">
        <v>46003</v>
      </c>
      <c r="D640" s="17" t="n">
        <v>0</v>
      </c>
      <c r="E640" s="17" t="n">
        <v>0</v>
      </c>
      <c r="F640" s="17" t="n">
        <v>0</v>
      </c>
      <c r="G640" s="17" t="n">
        <v>0</v>
      </c>
      <c r="H640" s="17" t="n">
        <v>0</v>
      </c>
      <c r="I640" s="17" t="n">
        <v>1</v>
      </c>
      <c r="J640" s="17" t="n">
        <v>0</v>
      </c>
      <c r="K640" s="17" t="n">
        <v>0</v>
      </c>
      <c r="L640" s="17" t="n">
        <v>0</v>
      </c>
      <c r="M640" s="17" t="n">
        <v>0</v>
      </c>
      <c r="N640" s="17" t="n">
        <v>0</v>
      </c>
      <c r="O640" s="17" t="n">
        <v>0</v>
      </c>
      <c r="P640" s="17" t="n">
        <v>3</v>
      </c>
      <c r="Q640" s="17" t="n">
        <v>4</v>
      </c>
      <c r="R640" s="17" t="n">
        <v>0</v>
      </c>
      <c r="T640" s="17">
        <f>DAY(C640)</f>
        <v/>
      </c>
      <c r="U640" s="17">
        <f>MONTH(C640)</f>
        <v/>
      </c>
    </row>
    <row r="641" hidden="1" ht="22.5" customHeight="1" s="117">
      <c r="A641" s="14" t="n">
        <v>46004.33924792824</v>
      </c>
      <c r="B641" s="17" t="inlineStr">
        <is>
          <t>Lê Văn Hồng</t>
        </is>
      </c>
      <c r="C641" s="16" t="n">
        <v>46003</v>
      </c>
      <c r="D641" s="17" t="n">
        <v>3</v>
      </c>
      <c r="E641" s="17" t="n">
        <v>0</v>
      </c>
      <c r="F641" s="17" t="n">
        <v>0</v>
      </c>
      <c r="G641" s="17" t="n">
        <v>0</v>
      </c>
      <c r="H641" s="17" t="n">
        <v>0</v>
      </c>
      <c r="I641" s="17" t="n">
        <v>5</v>
      </c>
      <c r="J641" s="17" t="n">
        <v>0</v>
      </c>
      <c r="K641" s="17" t="n">
        <v>7</v>
      </c>
      <c r="L641" s="17" t="n">
        <v>0</v>
      </c>
      <c r="M641" s="17" t="n">
        <v>3</v>
      </c>
      <c r="N641" s="17" t="n">
        <v>5</v>
      </c>
      <c r="O641" s="17" t="n">
        <v>0</v>
      </c>
      <c r="P641" s="17" t="n">
        <v>1</v>
      </c>
      <c r="Q641" s="17" t="n">
        <v>2</v>
      </c>
      <c r="R641" s="17" t="n">
        <v>0</v>
      </c>
      <c r="T641" s="17">
        <f>DAY(C641)</f>
        <v/>
      </c>
      <c r="U641" s="17">
        <f>MONTH(C641)</f>
        <v/>
      </c>
    </row>
    <row r="642" hidden="1" ht="22.5" customHeight="1" s="117">
      <c r="A642" s="14" t="n">
        <v>46004.38161464121</v>
      </c>
      <c r="B642" s="17" t="inlineStr">
        <is>
          <t>Bùi Duy Cường</t>
        </is>
      </c>
      <c r="C642" s="16" t="n">
        <v>46003</v>
      </c>
      <c r="D642" s="17" t="n">
        <v>0</v>
      </c>
      <c r="E642" s="17" t="n">
        <v>0</v>
      </c>
      <c r="F642" s="17" t="n">
        <v>0</v>
      </c>
      <c r="G642" s="17" t="n">
        <v>0</v>
      </c>
      <c r="H642" s="17" t="n">
        <v>0</v>
      </c>
      <c r="I642" s="17" t="n">
        <v>3</v>
      </c>
      <c r="J642" s="17" t="n">
        <v>0</v>
      </c>
      <c r="K642" s="17" t="n">
        <v>10</v>
      </c>
      <c r="L642" s="17" t="n">
        <v>0</v>
      </c>
      <c r="M642" s="17" t="n">
        <v>0</v>
      </c>
      <c r="N642" s="17" t="n">
        <v>0</v>
      </c>
      <c r="O642" s="17" t="n">
        <v>0</v>
      </c>
      <c r="P642" s="17" t="n">
        <v>1</v>
      </c>
      <c r="Q642" s="17" t="n">
        <v>1</v>
      </c>
      <c r="R642" s="17" t="n">
        <v>0</v>
      </c>
      <c r="T642" s="17">
        <f>DAY(C642)</f>
        <v/>
      </c>
      <c r="U642" s="17">
        <f>MONTH(C642)</f>
        <v/>
      </c>
    </row>
    <row r="643" hidden="1" ht="22.5" customHeight="1" s="117">
      <c r="A643" s="14" t="n">
        <v>46004.81144631944</v>
      </c>
      <c r="B643" s="17" t="inlineStr">
        <is>
          <t>Lê Quốc Duy</t>
        </is>
      </c>
      <c r="C643" s="16" t="n">
        <v>46004</v>
      </c>
      <c r="D643" s="17" t="n">
        <v>1</v>
      </c>
      <c r="E643" s="17" t="n">
        <v>1</v>
      </c>
      <c r="F643" s="17" t="n">
        <v>0</v>
      </c>
      <c r="G643" s="17" t="n">
        <v>0</v>
      </c>
      <c r="H643" s="17" t="n">
        <v>0</v>
      </c>
      <c r="I643" s="17" t="n">
        <v>0</v>
      </c>
      <c r="J643" s="17" t="n">
        <v>0</v>
      </c>
      <c r="K643" s="17" t="n">
        <v>6</v>
      </c>
      <c r="L643" s="17" t="n">
        <v>0</v>
      </c>
      <c r="M643" s="17" t="n">
        <v>1</v>
      </c>
      <c r="N643" s="17" t="n">
        <v>0</v>
      </c>
      <c r="O643" s="17" t="n">
        <v>0</v>
      </c>
      <c r="P643" s="17" t="n">
        <v>1</v>
      </c>
      <c r="Q643" s="17" t="n">
        <v>1</v>
      </c>
      <c r="R643" s="17" t="n">
        <v>0</v>
      </c>
      <c r="T643" s="17">
        <f>DAY(C643)</f>
        <v/>
      </c>
      <c r="U643" s="17">
        <f>MONTH(C643)</f>
        <v/>
      </c>
    </row>
    <row r="644" hidden="1" ht="22.5" customHeight="1" s="117">
      <c r="A644" s="14" t="n">
        <v>46004.85171994213</v>
      </c>
      <c r="B644" s="17" t="inlineStr">
        <is>
          <t>Đặng Hữu Danh</t>
        </is>
      </c>
      <c r="C644" s="16" t="n">
        <v>46004</v>
      </c>
      <c r="D644" s="17" t="n">
        <v>0</v>
      </c>
      <c r="E644" s="17" t="n">
        <v>0</v>
      </c>
      <c r="F644" s="17" t="n">
        <v>0</v>
      </c>
      <c r="G644" s="17" t="n">
        <v>0</v>
      </c>
      <c r="H644" s="17" t="n">
        <v>0</v>
      </c>
      <c r="I644" s="17" t="n">
        <v>1</v>
      </c>
      <c r="J644" s="17" t="n">
        <v>0</v>
      </c>
      <c r="K644" s="17" t="n">
        <v>3</v>
      </c>
      <c r="L644" s="17" t="n">
        <v>0</v>
      </c>
      <c r="M644" s="17" t="n">
        <v>0</v>
      </c>
      <c r="N644" s="17" t="n">
        <v>0</v>
      </c>
      <c r="O644" s="17" t="n">
        <v>0</v>
      </c>
      <c r="P644" s="17" t="n">
        <v>1</v>
      </c>
      <c r="Q644" s="17" t="n">
        <v>3</v>
      </c>
      <c r="R644" s="17" t="n">
        <v>0</v>
      </c>
      <c r="T644" s="17">
        <f>DAY(C644)</f>
        <v/>
      </c>
      <c r="U644" s="17">
        <f>MONTH(C644)</f>
        <v/>
      </c>
    </row>
    <row r="645" hidden="1" ht="22.5" customHeight="1" s="117">
      <c r="A645" s="14" t="n">
        <v>46005.26616930556</v>
      </c>
      <c r="B645" s="17" t="inlineStr">
        <is>
          <t>Dương Minh Tiến</t>
        </is>
      </c>
      <c r="C645" s="16" t="n">
        <v>46004</v>
      </c>
      <c r="D645" s="17" t="n">
        <v>0</v>
      </c>
      <c r="E645" s="17" t="n">
        <v>0</v>
      </c>
      <c r="F645" s="17" t="n">
        <v>0</v>
      </c>
      <c r="G645" s="17" t="n">
        <v>0</v>
      </c>
      <c r="H645" s="17" t="n">
        <v>0</v>
      </c>
      <c r="I645" s="17" t="n">
        <v>3</v>
      </c>
      <c r="J645" s="17" t="n">
        <v>0</v>
      </c>
      <c r="K645" s="17" t="n">
        <v>4</v>
      </c>
      <c r="L645" s="17" t="n">
        <v>0</v>
      </c>
      <c r="M645" s="17" t="n">
        <v>0</v>
      </c>
      <c r="N645" s="17" t="n">
        <v>0</v>
      </c>
      <c r="O645" s="17" t="n">
        <v>0</v>
      </c>
      <c r="P645" s="17" t="n">
        <v>0</v>
      </c>
      <c r="Q645" s="17" t="n">
        <v>2</v>
      </c>
      <c r="R645" s="17" t="n">
        <v>0</v>
      </c>
      <c r="T645" s="17">
        <f>DAY(C645)</f>
        <v/>
      </c>
      <c r="U645" s="17">
        <f>MONTH(C645)</f>
        <v/>
      </c>
    </row>
    <row r="646" hidden="1" ht="22.5" customHeight="1" s="117">
      <c r="A646" s="14" t="n">
        <v>46005.27184678241</v>
      </c>
      <c r="B646" s="17" t="inlineStr">
        <is>
          <t>Trần Minh Khánh</t>
        </is>
      </c>
      <c r="C646" s="16" t="n">
        <v>46004</v>
      </c>
      <c r="D646" s="17" t="n">
        <v>0</v>
      </c>
      <c r="E646" s="17" t="n">
        <v>1</v>
      </c>
      <c r="F646" s="17" t="n">
        <v>0</v>
      </c>
      <c r="G646" s="17" t="n">
        <v>0</v>
      </c>
      <c r="H646" s="17" t="n">
        <v>0</v>
      </c>
      <c r="I646" s="17" t="n">
        <v>3</v>
      </c>
      <c r="J646" s="17" t="n">
        <v>0</v>
      </c>
      <c r="K646" s="17" t="n">
        <v>3</v>
      </c>
      <c r="L646" s="17" t="n">
        <v>0</v>
      </c>
      <c r="M646" s="17" t="n">
        <v>0</v>
      </c>
      <c r="N646" s="17" t="n">
        <v>0</v>
      </c>
      <c r="O646" s="17" t="n">
        <v>0</v>
      </c>
      <c r="P646" s="17" t="n">
        <v>0</v>
      </c>
      <c r="Q646" s="17" t="n">
        <v>2</v>
      </c>
      <c r="R646" s="17" t="n">
        <v>0</v>
      </c>
      <c r="T646" s="17">
        <f>DAY(C646)</f>
        <v/>
      </c>
      <c r="U646" s="17">
        <f>MONTH(C646)</f>
        <v/>
      </c>
    </row>
    <row r="647" hidden="1" ht="22.5" customHeight="1" s="117">
      <c r="A647" s="14" t="n">
        <v>46005.29482253472</v>
      </c>
      <c r="B647" s="17" t="inlineStr">
        <is>
          <t>Nguyễn Văn Hiệp</t>
        </is>
      </c>
      <c r="C647" s="16" t="n">
        <v>46004</v>
      </c>
      <c r="D647" s="17" t="n">
        <v>0</v>
      </c>
      <c r="E647" s="17" t="n">
        <v>0</v>
      </c>
      <c r="F647" s="17" t="n">
        <v>0</v>
      </c>
      <c r="G647" s="17" t="n">
        <v>0</v>
      </c>
      <c r="H647" s="17" t="n">
        <v>0</v>
      </c>
      <c r="I647" s="17" t="n">
        <v>0</v>
      </c>
      <c r="J647" s="17" t="n">
        <v>0</v>
      </c>
      <c r="K647" s="17" t="n">
        <v>4</v>
      </c>
      <c r="L647" s="17" t="n">
        <v>0</v>
      </c>
      <c r="M647" s="17" t="n">
        <v>0</v>
      </c>
      <c r="N647" s="17" t="n">
        <v>0</v>
      </c>
      <c r="O647" s="17" t="n">
        <v>0</v>
      </c>
      <c r="P647" s="17" t="n">
        <v>0</v>
      </c>
      <c r="Q647" s="17" t="n">
        <v>0</v>
      </c>
      <c r="R647" s="17" t="n">
        <v>1</v>
      </c>
      <c r="T647" s="17">
        <f>DAY(C647)</f>
        <v/>
      </c>
      <c r="U647" s="17">
        <f>MONTH(C647)</f>
        <v/>
      </c>
    </row>
    <row r="648" hidden="1" ht="22.5" customHeight="1" s="117">
      <c r="A648" s="14" t="n">
        <v>46005.29611649305</v>
      </c>
      <c r="B648" s="17" t="inlineStr">
        <is>
          <t>Đào Công Trung</t>
        </is>
      </c>
      <c r="C648" s="16" t="n">
        <v>46004</v>
      </c>
      <c r="D648" s="17" t="n">
        <v>0</v>
      </c>
      <c r="E648" s="17" t="n">
        <v>0</v>
      </c>
      <c r="F648" s="17" t="n">
        <v>0</v>
      </c>
      <c r="G648" s="17" t="n">
        <v>0</v>
      </c>
      <c r="H648" s="17" t="n">
        <v>0</v>
      </c>
      <c r="I648" s="17" t="n">
        <v>2</v>
      </c>
      <c r="J648" s="17" t="n">
        <v>0</v>
      </c>
      <c r="K648" s="17" t="n">
        <v>0</v>
      </c>
      <c r="L648" s="17" t="n">
        <v>0</v>
      </c>
      <c r="M648" s="17" t="n">
        <v>1</v>
      </c>
      <c r="N648" s="17" t="n">
        <v>0</v>
      </c>
      <c r="O648" s="17" t="n">
        <v>0</v>
      </c>
      <c r="P648" s="17" t="n">
        <v>0</v>
      </c>
      <c r="Q648" s="17" t="n">
        <v>4</v>
      </c>
      <c r="R648" s="17" t="n">
        <v>0</v>
      </c>
      <c r="T648" s="17">
        <f>DAY(C648)</f>
        <v/>
      </c>
      <c r="U648" s="17">
        <f>MONTH(C648)</f>
        <v/>
      </c>
    </row>
    <row r="649" hidden="1" ht="22.5" customHeight="1" s="117">
      <c r="A649" s="14" t="n">
        <v>46005.29677670139</v>
      </c>
      <c r="B649" s="17" t="inlineStr">
        <is>
          <t>Phan Ngọc Sang</t>
        </is>
      </c>
      <c r="C649" s="16" t="n">
        <v>46004</v>
      </c>
      <c r="D649" s="17" t="n">
        <v>0</v>
      </c>
      <c r="E649" s="17" t="n">
        <v>0</v>
      </c>
      <c r="F649" s="17" t="n">
        <v>0</v>
      </c>
      <c r="G649" s="17" t="n">
        <v>0</v>
      </c>
      <c r="H649" s="17" t="n">
        <v>0</v>
      </c>
      <c r="I649" s="17" t="n">
        <v>2</v>
      </c>
      <c r="J649" s="17" t="n">
        <v>0</v>
      </c>
      <c r="K649" s="17" t="n">
        <v>5</v>
      </c>
      <c r="L649" s="17" t="n">
        <v>0</v>
      </c>
      <c r="M649" s="17" t="n">
        <v>1</v>
      </c>
      <c r="N649" s="17" t="n">
        <v>0</v>
      </c>
      <c r="O649" s="17" t="n">
        <v>0</v>
      </c>
      <c r="P649" s="17" t="n">
        <v>0</v>
      </c>
      <c r="Q649" s="17" t="n">
        <v>1</v>
      </c>
      <c r="R649" s="17" t="n">
        <v>0</v>
      </c>
      <c r="T649" s="17">
        <f>DAY(C649)</f>
        <v/>
      </c>
      <c r="U649" s="17">
        <f>MONTH(C649)</f>
        <v/>
      </c>
    </row>
    <row r="650" hidden="1" ht="22.5" customHeight="1" s="117">
      <c r="A650" s="14" t="n">
        <v>46005.29737078704</v>
      </c>
      <c r="B650" s="17" t="inlineStr">
        <is>
          <t>Lương Duy Hoàng</t>
        </is>
      </c>
      <c r="C650" s="16" t="n">
        <v>46004</v>
      </c>
      <c r="D650" s="17" t="n">
        <v>0</v>
      </c>
      <c r="E650" s="17" t="n">
        <v>0</v>
      </c>
      <c r="F650" s="17" t="n">
        <v>0</v>
      </c>
      <c r="G650" s="17" t="n">
        <v>0</v>
      </c>
      <c r="H650" s="17" t="n">
        <v>0</v>
      </c>
      <c r="I650" s="17" t="n">
        <v>1</v>
      </c>
      <c r="J650" s="17" t="n">
        <v>0</v>
      </c>
      <c r="K650" s="17" t="n">
        <v>3</v>
      </c>
      <c r="L650" s="17" t="n">
        <v>0</v>
      </c>
      <c r="M650" s="17" t="n">
        <v>0</v>
      </c>
      <c r="N650" s="17" t="n">
        <v>1</v>
      </c>
      <c r="O650" s="17" t="n">
        <v>0</v>
      </c>
      <c r="P650" s="17" t="n">
        <v>0</v>
      </c>
      <c r="Q650" s="17" t="n">
        <v>1</v>
      </c>
      <c r="R650" s="17" t="n">
        <v>0</v>
      </c>
      <c r="T650" s="17">
        <f>DAY(C650)</f>
        <v/>
      </c>
      <c r="U650" s="17">
        <f>MONTH(C650)</f>
        <v/>
      </c>
    </row>
    <row r="651" hidden="1" ht="22.5" customHeight="1" s="117">
      <c r="A651" s="14" t="n">
        <v>46005.29784903935</v>
      </c>
      <c r="B651" s="17" t="inlineStr">
        <is>
          <t>Huỳnh Văn Lực</t>
        </is>
      </c>
      <c r="C651" s="16" t="n">
        <v>46004</v>
      </c>
      <c r="D651" s="17" t="n">
        <v>0</v>
      </c>
      <c r="E651" s="17" t="n">
        <v>0</v>
      </c>
      <c r="F651" s="17" t="n">
        <v>0</v>
      </c>
      <c r="G651" s="17" t="n">
        <v>1</v>
      </c>
      <c r="H651" s="17" t="n">
        <v>1</v>
      </c>
      <c r="I651" s="17" t="n">
        <v>0</v>
      </c>
      <c r="J651" s="17" t="n">
        <v>0</v>
      </c>
      <c r="K651" s="17" t="n">
        <v>6</v>
      </c>
      <c r="L651" s="17" t="n">
        <v>0</v>
      </c>
      <c r="M651" s="17" t="n">
        <v>0</v>
      </c>
      <c r="N651" s="17" t="n">
        <v>0</v>
      </c>
      <c r="O651" s="17" t="n">
        <v>0</v>
      </c>
      <c r="P651" s="17" t="n">
        <v>2</v>
      </c>
      <c r="Q651" s="17" t="n">
        <v>1</v>
      </c>
      <c r="R651" s="17" t="n">
        <v>2</v>
      </c>
      <c r="T651" s="17">
        <f>DAY(C651)</f>
        <v/>
      </c>
      <c r="U651" s="17">
        <f>MONTH(C651)</f>
        <v/>
      </c>
    </row>
    <row r="652" hidden="1" ht="22.5" customHeight="1" s="117">
      <c r="A652" s="14" t="n">
        <v>46005.299825625</v>
      </c>
      <c r="B652" s="17" t="inlineStr">
        <is>
          <t>Nguyễn Thành Lâm</t>
        </is>
      </c>
      <c r="C652" s="16" t="n">
        <v>46004</v>
      </c>
      <c r="D652" s="17" t="n">
        <v>9</v>
      </c>
      <c r="E652" s="17" t="n">
        <v>9</v>
      </c>
      <c r="F652" s="17" t="n">
        <v>0</v>
      </c>
      <c r="G652" s="17" t="n">
        <v>9</v>
      </c>
      <c r="H652" s="17" t="n">
        <v>9</v>
      </c>
      <c r="I652" s="17" t="n">
        <v>9</v>
      </c>
      <c r="J652" s="17" t="n">
        <v>9</v>
      </c>
      <c r="K652" s="17" t="n">
        <v>0</v>
      </c>
      <c r="L652" s="17" t="n">
        <v>9</v>
      </c>
      <c r="M652" s="17" t="n">
        <v>9</v>
      </c>
      <c r="N652" s="17" t="n">
        <v>0</v>
      </c>
      <c r="O652" s="17" t="n">
        <v>0</v>
      </c>
      <c r="P652" s="17" t="n">
        <v>0</v>
      </c>
      <c r="Q652" s="17" t="n">
        <v>2</v>
      </c>
      <c r="R652" s="17" t="n">
        <v>0</v>
      </c>
      <c r="T652" s="17">
        <f>DAY(C652)</f>
        <v/>
      </c>
      <c r="U652" s="17">
        <f>MONTH(C652)</f>
        <v/>
      </c>
    </row>
    <row r="653" hidden="1" ht="22.5" customHeight="1" s="117">
      <c r="A653" s="14" t="n">
        <v>46005.30006111111</v>
      </c>
      <c r="B653" s="17" t="inlineStr">
        <is>
          <t>Vòng Nhật Sang</t>
        </is>
      </c>
      <c r="C653" s="16" t="n">
        <v>46004</v>
      </c>
      <c r="D653" s="17" t="n">
        <v>0</v>
      </c>
      <c r="E653" s="17" t="n">
        <v>0</v>
      </c>
      <c r="F653" s="17" t="n">
        <v>0</v>
      </c>
      <c r="G653" s="17" t="n">
        <v>0</v>
      </c>
      <c r="H653" s="17" t="n">
        <v>0</v>
      </c>
      <c r="I653" s="17" t="n">
        <v>5</v>
      </c>
      <c r="J653" s="17" t="n">
        <v>0</v>
      </c>
      <c r="K653" s="17" t="n">
        <v>6</v>
      </c>
      <c r="L653" s="17" t="n">
        <v>0</v>
      </c>
      <c r="M653" s="17" t="n">
        <v>0</v>
      </c>
      <c r="N653" s="17" t="n">
        <v>5</v>
      </c>
      <c r="O653" s="17" t="n">
        <v>0</v>
      </c>
      <c r="P653" s="17" t="n">
        <v>2</v>
      </c>
      <c r="Q653" s="17" t="n">
        <v>2</v>
      </c>
      <c r="R653" s="17" t="n">
        <v>0</v>
      </c>
      <c r="T653" s="17">
        <f>DAY(C653)</f>
        <v/>
      </c>
      <c r="U653" s="17">
        <f>MONTH(C653)</f>
        <v/>
      </c>
    </row>
    <row r="654" hidden="1" ht="22.5" customHeight="1" s="117">
      <c r="A654" s="14" t="n">
        <v>46005.30047954861</v>
      </c>
      <c r="B654" s="17" t="inlineStr">
        <is>
          <t>Lê Hồng Phong</t>
        </is>
      </c>
      <c r="C654" s="16" t="n">
        <v>46005</v>
      </c>
      <c r="D654" s="17" t="n">
        <v>1</v>
      </c>
      <c r="E654" s="17" t="n">
        <v>1</v>
      </c>
      <c r="F654" s="17" t="n">
        <v>1</v>
      </c>
      <c r="G654" s="17" t="n">
        <v>0</v>
      </c>
      <c r="H654" s="17" t="n">
        <v>0</v>
      </c>
      <c r="I654" s="17" t="n">
        <v>1</v>
      </c>
      <c r="J654" s="17" t="n">
        <v>1</v>
      </c>
      <c r="K654" s="17" t="n">
        <v>1</v>
      </c>
      <c r="L654" s="17" t="n">
        <v>1</v>
      </c>
      <c r="M654" s="17" t="n">
        <v>1</v>
      </c>
      <c r="N654" s="17" t="n">
        <v>1</v>
      </c>
      <c r="O654" s="17" t="n">
        <v>1</v>
      </c>
      <c r="P654" s="17" t="n">
        <v>1</v>
      </c>
      <c r="Q654" s="17" t="n">
        <v>1</v>
      </c>
      <c r="R654" s="17" t="n">
        <v>1</v>
      </c>
      <c r="T654" s="17">
        <f>DAY(C654)</f>
        <v/>
      </c>
      <c r="U654" s="17">
        <f>MONTH(C654)</f>
        <v/>
      </c>
    </row>
    <row r="655" hidden="1" ht="22.5" customHeight="1" s="117">
      <c r="A655" s="14" t="n">
        <v>46005.30109347222</v>
      </c>
      <c r="B655" s="17" t="inlineStr">
        <is>
          <t>Nguyễn Tuấn Anh</t>
        </is>
      </c>
      <c r="C655" s="16" t="n">
        <v>46004</v>
      </c>
      <c r="D655" s="17" t="n">
        <v>0</v>
      </c>
      <c r="E655" s="17" t="n">
        <v>0</v>
      </c>
      <c r="F655" s="17" t="n">
        <v>0</v>
      </c>
      <c r="G655" s="17" t="n">
        <v>0</v>
      </c>
      <c r="H655" s="17" t="n">
        <v>0</v>
      </c>
      <c r="I655" s="17" t="n">
        <v>0</v>
      </c>
      <c r="J655" s="17" t="n">
        <v>0</v>
      </c>
      <c r="K655" s="17" t="n">
        <v>5</v>
      </c>
      <c r="L655" s="17" t="n">
        <v>0</v>
      </c>
      <c r="M655" s="17" t="n">
        <v>0</v>
      </c>
      <c r="N655" s="17" t="n">
        <v>0</v>
      </c>
      <c r="O655" s="17" t="n">
        <v>0</v>
      </c>
      <c r="P655" s="17" t="n">
        <v>0</v>
      </c>
      <c r="Q655" s="17" t="n">
        <v>6</v>
      </c>
      <c r="R655" s="17" t="n">
        <v>1</v>
      </c>
      <c r="T655" s="17">
        <f>DAY(C655)</f>
        <v/>
      </c>
      <c r="U655" s="17">
        <f>MONTH(C655)</f>
        <v/>
      </c>
    </row>
    <row r="656" hidden="1" ht="22.5" customHeight="1" s="117">
      <c r="A656" s="14" t="n">
        <v>46005.30223162037</v>
      </c>
      <c r="B656" s="17" t="inlineStr">
        <is>
          <t>Lương Duy Hải</t>
        </is>
      </c>
      <c r="C656" s="16" t="n">
        <v>46004</v>
      </c>
      <c r="D656" s="17" t="n">
        <v>1</v>
      </c>
      <c r="E656" s="17" t="n">
        <v>1</v>
      </c>
      <c r="F656" s="17" t="n">
        <v>0</v>
      </c>
      <c r="G656" s="17" t="n">
        <v>0</v>
      </c>
      <c r="H656" s="17" t="n">
        <v>0</v>
      </c>
      <c r="I656" s="17" t="n">
        <v>0</v>
      </c>
      <c r="J656" s="17" t="n">
        <v>0</v>
      </c>
      <c r="K656" s="17" t="n">
        <v>10</v>
      </c>
      <c r="L656" s="17" t="n">
        <v>0</v>
      </c>
      <c r="M656" s="17" t="n">
        <v>1</v>
      </c>
      <c r="N656" s="17" t="n">
        <v>0</v>
      </c>
      <c r="O656" s="17" t="n">
        <v>0</v>
      </c>
      <c r="P656" s="17" t="n">
        <v>0</v>
      </c>
      <c r="Q656" s="17" t="n">
        <v>1</v>
      </c>
      <c r="R656" s="17" t="n">
        <v>1</v>
      </c>
      <c r="T656" s="17">
        <f>DAY(C656)</f>
        <v/>
      </c>
      <c r="U656" s="17">
        <f>MONTH(C656)</f>
        <v/>
      </c>
    </row>
    <row r="657" hidden="1" ht="22.5" customHeight="1" s="117">
      <c r="A657" s="14" t="n">
        <v>46005.30344263889</v>
      </c>
      <c r="B657" s="17" t="inlineStr">
        <is>
          <t>Hồ Thái Minh Trí</t>
        </is>
      </c>
      <c r="C657" s="16" t="n">
        <v>46004</v>
      </c>
      <c r="D657" s="17" t="n">
        <v>0</v>
      </c>
      <c r="E657" s="17" t="n">
        <v>0</v>
      </c>
      <c r="F657" s="17" t="n">
        <v>0</v>
      </c>
      <c r="G657" s="17" t="n">
        <v>0</v>
      </c>
      <c r="H657" s="17" t="n">
        <v>0</v>
      </c>
      <c r="I657" s="17" t="n">
        <v>8</v>
      </c>
      <c r="J657" s="17" t="n">
        <v>0</v>
      </c>
      <c r="K657" s="17" t="n">
        <v>10</v>
      </c>
      <c r="L657" s="17" t="n">
        <v>0</v>
      </c>
      <c r="M657" s="17" t="n">
        <v>1</v>
      </c>
      <c r="N657" s="17" t="n">
        <v>0</v>
      </c>
      <c r="O657" s="17" t="n">
        <v>0</v>
      </c>
      <c r="P657" s="17" t="n">
        <v>0</v>
      </c>
      <c r="Q657" s="17" t="n">
        <v>1</v>
      </c>
      <c r="R657" s="17" t="n">
        <v>0</v>
      </c>
      <c r="T657" s="17">
        <f>DAY(C657)</f>
        <v/>
      </c>
      <c r="U657" s="17">
        <f>MONTH(C657)</f>
        <v/>
      </c>
    </row>
    <row r="658" hidden="1" ht="22.5" customHeight="1" s="117">
      <c r="A658" s="14" t="n">
        <v>46005.30444728009</v>
      </c>
      <c r="B658" s="17" t="inlineStr">
        <is>
          <t>Trần Trung Giang</t>
        </is>
      </c>
      <c r="C658" s="16" t="n">
        <v>46004</v>
      </c>
      <c r="D658" s="17" t="n">
        <v>0</v>
      </c>
      <c r="E658" s="17" t="n">
        <v>0</v>
      </c>
      <c r="F658" s="17" t="n">
        <v>0</v>
      </c>
      <c r="G658" s="17" t="n">
        <v>0</v>
      </c>
      <c r="H658" s="17" t="n">
        <v>0</v>
      </c>
      <c r="I658" s="17" t="n">
        <v>0</v>
      </c>
      <c r="J658" s="17" t="n">
        <v>0</v>
      </c>
      <c r="K658" s="17" t="n">
        <v>6</v>
      </c>
      <c r="L658" s="17" t="n">
        <v>0</v>
      </c>
      <c r="M658" s="17" t="n">
        <v>0</v>
      </c>
      <c r="N658" s="17" t="n">
        <v>0</v>
      </c>
      <c r="O658" s="17" t="n">
        <v>0</v>
      </c>
      <c r="P658" s="17" t="n">
        <v>0</v>
      </c>
      <c r="Q658" s="17" t="n">
        <v>0</v>
      </c>
      <c r="R658" s="17" t="n">
        <v>2</v>
      </c>
      <c r="T658" s="17">
        <f>DAY(C658)</f>
        <v/>
      </c>
      <c r="U658" s="17">
        <f>MONTH(C658)</f>
        <v/>
      </c>
    </row>
    <row r="659" hidden="1" ht="22.5" customHeight="1" s="117">
      <c r="A659" s="14" t="n">
        <v>46005.30970125</v>
      </c>
      <c r="B659" s="17" t="inlineStr">
        <is>
          <t>Hồ Xuân Việt</t>
        </is>
      </c>
      <c r="C659" s="16" t="n">
        <v>46004</v>
      </c>
      <c r="D659" s="17" t="n">
        <v>0</v>
      </c>
      <c r="E659" s="17" t="n">
        <v>0</v>
      </c>
      <c r="F659" s="17" t="n">
        <v>0</v>
      </c>
      <c r="G659" s="17" t="n">
        <v>0</v>
      </c>
      <c r="H659" s="17" t="n">
        <v>0</v>
      </c>
      <c r="I659" s="17" t="n">
        <v>0</v>
      </c>
      <c r="J659" s="17" t="n">
        <v>0</v>
      </c>
      <c r="K659" s="17" t="n">
        <v>10</v>
      </c>
      <c r="L659" s="17" t="n">
        <v>0</v>
      </c>
      <c r="M659" s="17" t="n">
        <v>0</v>
      </c>
      <c r="N659" s="17" t="n">
        <v>0</v>
      </c>
      <c r="O659" s="17" t="n">
        <v>0</v>
      </c>
      <c r="P659" s="17" t="n">
        <v>0</v>
      </c>
      <c r="Q659" s="17" t="n">
        <v>2</v>
      </c>
      <c r="R659" s="17" t="n">
        <v>0</v>
      </c>
      <c r="T659" s="17">
        <f>DAY(C659)</f>
        <v/>
      </c>
      <c r="U659" s="17">
        <f>MONTH(C659)</f>
        <v/>
      </c>
    </row>
    <row r="660" hidden="1" ht="22.5" customHeight="1" s="117">
      <c r="A660" s="14" t="n">
        <v>46005.32330951389</v>
      </c>
      <c r="B660" s="17" t="inlineStr">
        <is>
          <t>Trần Xuân Khoa</t>
        </is>
      </c>
      <c r="C660" s="16" t="n">
        <v>46004</v>
      </c>
      <c r="D660" s="17" t="n">
        <v>0</v>
      </c>
      <c r="E660" s="17" t="n">
        <v>0</v>
      </c>
      <c r="F660" s="17" t="n">
        <v>0</v>
      </c>
      <c r="G660" s="17" t="n">
        <v>0</v>
      </c>
      <c r="H660" s="17" t="n">
        <v>0</v>
      </c>
      <c r="I660" s="17" t="n">
        <v>1</v>
      </c>
      <c r="J660" s="17" t="n">
        <v>0</v>
      </c>
      <c r="K660" s="17" t="n">
        <v>5</v>
      </c>
      <c r="L660" s="17" t="n">
        <v>0</v>
      </c>
      <c r="M660" s="17" t="n">
        <v>0</v>
      </c>
      <c r="N660" s="17" t="n">
        <v>0</v>
      </c>
      <c r="O660" s="17" t="n">
        <v>0</v>
      </c>
      <c r="P660" s="17" t="n">
        <v>1</v>
      </c>
      <c r="Q660" s="17" t="n">
        <v>2</v>
      </c>
      <c r="R660" s="17" t="n">
        <v>0</v>
      </c>
      <c r="T660" s="17">
        <f>DAY(C660)</f>
        <v/>
      </c>
      <c r="U660" s="17">
        <f>MONTH(C660)</f>
        <v/>
      </c>
    </row>
    <row r="661" hidden="1" ht="22.5" customHeight="1" s="117">
      <c r="A661" s="14" t="n">
        <v>46005.32438746528</v>
      </c>
      <c r="B661" s="17" t="inlineStr">
        <is>
          <t>Đặng Hoài Anh</t>
        </is>
      </c>
      <c r="C661" s="16" t="n">
        <v>46004</v>
      </c>
      <c r="D661" s="17" t="n">
        <v>0</v>
      </c>
      <c r="E661" s="17" t="n">
        <v>0</v>
      </c>
      <c r="F661" s="17" t="n">
        <v>0</v>
      </c>
      <c r="G661" s="17" t="n">
        <v>1</v>
      </c>
      <c r="H661" s="17" t="n">
        <v>1</v>
      </c>
      <c r="I661" s="17" t="n">
        <v>0</v>
      </c>
      <c r="J661" s="17" t="n">
        <v>0</v>
      </c>
      <c r="K661" s="17" t="n">
        <v>2</v>
      </c>
      <c r="L661" s="17" t="n">
        <v>0</v>
      </c>
      <c r="M661" s="17" t="n">
        <v>0</v>
      </c>
      <c r="N661" s="17" t="n">
        <v>1</v>
      </c>
      <c r="O661" s="17" t="n">
        <v>0</v>
      </c>
      <c r="P661" s="17" t="n">
        <v>0</v>
      </c>
      <c r="Q661" s="17" t="n">
        <v>0</v>
      </c>
      <c r="R661" s="17" t="n">
        <v>0</v>
      </c>
      <c r="T661" s="17">
        <f>DAY(C661)</f>
        <v/>
      </c>
      <c r="U661" s="17">
        <f>MONTH(C661)</f>
        <v/>
      </c>
    </row>
    <row r="662" hidden="1" ht="22.5" customHeight="1" s="117">
      <c r="A662" s="14" t="n">
        <v>46005.32525681713</v>
      </c>
      <c r="B662" s="17" t="inlineStr">
        <is>
          <t>Bùi Duy Cường</t>
        </is>
      </c>
      <c r="C662" s="16" t="n">
        <v>46004</v>
      </c>
      <c r="D662" s="17" t="n">
        <v>1</v>
      </c>
      <c r="E662" s="17" t="n">
        <v>0</v>
      </c>
      <c r="F662" s="17" t="n">
        <v>0</v>
      </c>
      <c r="G662" s="17" t="n">
        <v>0</v>
      </c>
      <c r="H662" s="17" t="n">
        <v>0</v>
      </c>
      <c r="I662" s="17" t="n">
        <v>2</v>
      </c>
      <c r="J662" s="17" t="n">
        <v>0</v>
      </c>
      <c r="K662" s="17" t="n">
        <v>8</v>
      </c>
      <c r="L662" s="17" t="n">
        <v>1</v>
      </c>
      <c r="M662" s="17" t="n">
        <v>1</v>
      </c>
      <c r="N662" s="17" t="n">
        <v>1</v>
      </c>
      <c r="O662" s="17" t="n">
        <v>0</v>
      </c>
      <c r="P662" s="17" t="n">
        <v>0</v>
      </c>
      <c r="Q662" s="17" t="n">
        <v>1</v>
      </c>
      <c r="R662" s="17" t="n">
        <v>0</v>
      </c>
      <c r="T662" s="17">
        <f>DAY(C662)</f>
        <v/>
      </c>
      <c r="U662" s="17">
        <f>MONTH(C662)</f>
        <v/>
      </c>
    </row>
    <row r="663" hidden="1" ht="22.5" customHeight="1" s="117">
      <c r="A663" s="14" t="n">
        <v>46005.32587070602</v>
      </c>
      <c r="B663" s="17" t="inlineStr">
        <is>
          <t>Phan Thành Thái</t>
        </is>
      </c>
      <c r="C663" s="16" t="n">
        <v>46004</v>
      </c>
      <c r="D663" s="17" t="n">
        <v>0</v>
      </c>
      <c r="E663" s="17" t="n">
        <v>0</v>
      </c>
      <c r="F663" s="17" t="n">
        <v>0</v>
      </c>
      <c r="G663" s="17" t="n">
        <v>0</v>
      </c>
      <c r="H663" s="17" t="n">
        <v>0</v>
      </c>
      <c r="I663" s="17" t="n">
        <v>2</v>
      </c>
      <c r="J663" s="17" t="n">
        <v>0</v>
      </c>
      <c r="K663" s="17" t="n">
        <v>2</v>
      </c>
      <c r="L663" s="17" t="n">
        <v>2</v>
      </c>
      <c r="M663" s="17" t="n">
        <v>0</v>
      </c>
      <c r="N663" s="17" t="n">
        <v>1</v>
      </c>
      <c r="O663" s="17" t="n">
        <v>0</v>
      </c>
      <c r="P663" s="17" t="n">
        <v>0</v>
      </c>
      <c r="Q663" s="17" t="n">
        <v>3</v>
      </c>
      <c r="R663" s="17" t="n">
        <v>0</v>
      </c>
      <c r="T663" s="17">
        <f>DAY(C663)</f>
        <v/>
      </c>
      <c r="U663" s="17">
        <f>MONTH(C663)</f>
        <v/>
      </c>
    </row>
    <row r="664" hidden="1" ht="22.5" customHeight="1" s="117">
      <c r="A664" s="14" t="n">
        <v>46005.33363540509</v>
      </c>
      <c r="B664" s="17" t="inlineStr">
        <is>
          <t>Nguyễn Văn Nhật</t>
        </is>
      </c>
      <c r="C664" s="16" t="n">
        <v>46004</v>
      </c>
      <c r="D664" s="17" t="n">
        <v>0</v>
      </c>
      <c r="E664" s="17" t="n">
        <v>0</v>
      </c>
      <c r="F664" s="17" t="n">
        <v>0</v>
      </c>
      <c r="G664" s="17" t="n">
        <v>1</v>
      </c>
      <c r="H664" s="17" t="n">
        <v>1</v>
      </c>
      <c r="I664" s="17" t="n">
        <v>0</v>
      </c>
      <c r="J664" s="17" t="n">
        <v>0</v>
      </c>
      <c r="K664" s="17" t="n">
        <v>4</v>
      </c>
      <c r="L664" s="17" t="n">
        <v>0</v>
      </c>
      <c r="M664" s="17" t="n">
        <v>1</v>
      </c>
      <c r="N664" s="17" t="n">
        <v>1</v>
      </c>
      <c r="O664" s="17" t="n">
        <v>2</v>
      </c>
      <c r="P664" s="17" t="n">
        <v>0</v>
      </c>
      <c r="Q664" s="17" t="n">
        <v>7</v>
      </c>
      <c r="R664" s="17" t="n">
        <v>0</v>
      </c>
      <c r="T664" s="17">
        <f>DAY(C664)</f>
        <v/>
      </c>
      <c r="U664" s="17">
        <f>MONTH(C664)</f>
        <v/>
      </c>
    </row>
    <row r="665" hidden="1" ht="22.5" customHeight="1" s="117">
      <c r="A665" s="14" t="n">
        <v>46005.33868738426</v>
      </c>
      <c r="B665" s="17" t="inlineStr">
        <is>
          <t>Nguyễn Hồng Minh</t>
        </is>
      </c>
      <c r="C665" s="16" t="n">
        <v>46004</v>
      </c>
      <c r="D665" s="17" t="n">
        <v>0</v>
      </c>
      <c r="E665" s="17" t="n">
        <v>0</v>
      </c>
      <c r="F665" s="17" t="n">
        <v>0</v>
      </c>
      <c r="G665" s="17" t="n">
        <v>0</v>
      </c>
      <c r="H665" s="17" t="n">
        <v>0</v>
      </c>
      <c r="I665" s="17" t="n">
        <v>4</v>
      </c>
      <c r="J665" s="17" t="n">
        <v>0</v>
      </c>
      <c r="K665" s="17" t="n">
        <v>0</v>
      </c>
      <c r="L665" s="17" t="n">
        <v>0</v>
      </c>
      <c r="M665" s="17" t="n">
        <v>1</v>
      </c>
      <c r="N665" s="17" t="n">
        <v>0</v>
      </c>
      <c r="O665" s="17" t="n">
        <v>0</v>
      </c>
      <c r="P665" s="17" t="n">
        <v>0</v>
      </c>
      <c r="Q665" s="17" t="n">
        <v>4</v>
      </c>
      <c r="R665" s="17" t="n">
        <v>1</v>
      </c>
      <c r="T665" s="17">
        <f>DAY(C665)</f>
        <v/>
      </c>
      <c r="U665" s="17">
        <f>MONTH(C665)</f>
        <v/>
      </c>
    </row>
    <row r="666" hidden="1" ht="22.5" customHeight="1" s="117">
      <c r="A666" s="14" t="n">
        <v>46005.34908868055</v>
      </c>
      <c r="B666" s="17" t="inlineStr">
        <is>
          <t>Lê Văn Hồng</t>
        </is>
      </c>
      <c r="C666" s="16" t="n">
        <v>46004</v>
      </c>
      <c r="D666" s="17" t="n">
        <v>0</v>
      </c>
      <c r="E666" s="17" t="n">
        <v>0</v>
      </c>
      <c r="F666" s="17" t="n">
        <v>0</v>
      </c>
      <c r="G666" s="17" t="n">
        <v>0</v>
      </c>
      <c r="H666" s="17" t="n">
        <v>0</v>
      </c>
      <c r="I666" s="17" t="n">
        <v>4</v>
      </c>
      <c r="J666" s="17" t="n">
        <v>0</v>
      </c>
      <c r="K666" s="17" t="n">
        <v>7</v>
      </c>
      <c r="L666" s="17" t="n">
        <v>2</v>
      </c>
      <c r="M666" s="17" t="n">
        <v>0</v>
      </c>
      <c r="N666" s="17" t="n">
        <v>4</v>
      </c>
      <c r="O666" s="17" t="n">
        <v>0</v>
      </c>
      <c r="P666" s="17" t="n">
        <v>2</v>
      </c>
      <c r="Q666" s="17" t="n">
        <v>2</v>
      </c>
      <c r="R666" s="17" t="n">
        <v>0</v>
      </c>
      <c r="T666" s="17">
        <f>DAY(C666)</f>
        <v/>
      </c>
      <c r="U666" s="17">
        <f>MONTH(C666)</f>
        <v/>
      </c>
    </row>
    <row r="667" hidden="1" ht="22.5" customHeight="1" s="117">
      <c r="A667" s="14" t="n">
        <v>46005.84519103009</v>
      </c>
      <c r="B667" s="17" t="inlineStr">
        <is>
          <t>Lê Quốc Duy</t>
        </is>
      </c>
      <c r="C667" s="16" t="n">
        <v>46005</v>
      </c>
      <c r="D667" s="17" t="n">
        <v>0</v>
      </c>
      <c r="E667" s="17" t="n">
        <v>0</v>
      </c>
      <c r="F667" s="17" t="n">
        <v>0</v>
      </c>
      <c r="G667" s="17" t="n">
        <v>0</v>
      </c>
      <c r="H667" s="17" t="n">
        <v>0</v>
      </c>
      <c r="I667" s="17" t="n">
        <v>0</v>
      </c>
      <c r="J667" s="17" t="n">
        <v>0</v>
      </c>
      <c r="K667" s="17" t="n">
        <v>7</v>
      </c>
      <c r="L667" s="17" t="n">
        <v>0</v>
      </c>
      <c r="M667" s="17" t="n">
        <v>0</v>
      </c>
      <c r="N667" s="17" t="n">
        <v>0</v>
      </c>
      <c r="O667" s="17" t="n">
        <v>0</v>
      </c>
      <c r="P667" s="17" t="n">
        <v>1</v>
      </c>
      <c r="Q667" s="17" t="n">
        <v>1</v>
      </c>
      <c r="R667" s="17" t="n">
        <v>0</v>
      </c>
      <c r="T667" s="17">
        <f>DAY(C667)</f>
        <v/>
      </c>
      <c r="U667" s="17">
        <f>MONTH(C667)</f>
        <v/>
      </c>
    </row>
    <row r="668" hidden="1" ht="22.5" customHeight="1" s="117">
      <c r="A668" s="14" t="n">
        <v>46005.84929314815</v>
      </c>
      <c r="B668" s="17" t="inlineStr">
        <is>
          <t>Lê Quốc Duy</t>
        </is>
      </c>
      <c r="C668" s="16" t="n">
        <v>46005</v>
      </c>
      <c r="D668" s="17" t="n">
        <v>0</v>
      </c>
      <c r="E668" s="18" t="inlineStr">
        <is>
          <t>00</t>
        </is>
      </c>
      <c r="F668" s="17" t="n">
        <v>0</v>
      </c>
      <c r="G668" s="17" t="n">
        <v>0</v>
      </c>
      <c r="H668" s="17" t="n">
        <v>0</v>
      </c>
      <c r="I668" s="17" t="n">
        <v>0</v>
      </c>
      <c r="J668" s="17" t="n">
        <v>0</v>
      </c>
      <c r="K668" s="17" t="n">
        <v>7</v>
      </c>
      <c r="L668" s="17" t="n">
        <v>0</v>
      </c>
      <c r="M668" s="17" t="n">
        <v>1</v>
      </c>
      <c r="N668" s="17" t="n">
        <v>0</v>
      </c>
      <c r="O668" s="17" t="n">
        <v>0</v>
      </c>
      <c r="P668" s="17" t="n">
        <v>1</v>
      </c>
      <c r="Q668" s="17" t="n">
        <v>1</v>
      </c>
      <c r="R668" s="17" t="n">
        <v>0</v>
      </c>
      <c r="T668" s="17">
        <f>DAY(C668)</f>
        <v/>
      </c>
      <c r="U668" s="17">
        <f>MONTH(C668)</f>
        <v/>
      </c>
    </row>
    <row r="669" hidden="1" ht="22.5" customHeight="1" s="117">
      <c r="A669" s="14" t="n">
        <v>46005.94834527778</v>
      </c>
      <c r="B669" s="17" t="inlineStr">
        <is>
          <t>Đặng Hữu Danh</t>
        </is>
      </c>
      <c r="C669" s="16" t="n">
        <v>46005</v>
      </c>
      <c r="D669" s="17" t="n">
        <v>0</v>
      </c>
      <c r="E669" s="17" t="n">
        <v>0</v>
      </c>
      <c r="F669" s="17" t="n">
        <v>9</v>
      </c>
      <c r="G669" s="17" t="n">
        <v>0</v>
      </c>
      <c r="H669" s="17" t="n">
        <v>0</v>
      </c>
      <c r="I669" s="17" t="n">
        <v>2</v>
      </c>
      <c r="J669" s="17" t="n">
        <v>0</v>
      </c>
      <c r="K669" s="17" t="n">
        <v>4</v>
      </c>
      <c r="L669" s="17" t="n">
        <v>0</v>
      </c>
      <c r="M669" s="17" t="n">
        <v>0</v>
      </c>
      <c r="N669" s="17" t="n">
        <v>0</v>
      </c>
      <c r="O669" s="17" t="n">
        <v>0</v>
      </c>
      <c r="P669" s="17" t="n">
        <v>2</v>
      </c>
      <c r="Q669" s="17" t="n">
        <v>4</v>
      </c>
      <c r="R669" s="17" t="n">
        <v>2</v>
      </c>
      <c r="T669" s="17">
        <f>DAY(C669)</f>
        <v/>
      </c>
      <c r="U669" s="17">
        <f>MONTH(C669)</f>
        <v/>
      </c>
    </row>
    <row r="670" hidden="1" ht="22.5" customHeight="1" s="117">
      <c r="A670" s="14" t="n">
        <v>46006.03427681713</v>
      </c>
      <c r="B670" s="17" t="inlineStr">
        <is>
          <t>Hồ Thái Minh Trí</t>
        </is>
      </c>
      <c r="C670" s="16" t="n">
        <v>46005</v>
      </c>
      <c r="D670" s="17" t="n">
        <v>0</v>
      </c>
      <c r="E670" s="17" t="n">
        <v>0</v>
      </c>
      <c r="F670" s="17" t="n">
        <v>0</v>
      </c>
      <c r="G670" s="17" t="n">
        <v>0</v>
      </c>
      <c r="H670" s="17" t="n">
        <v>0</v>
      </c>
      <c r="I670" s="17" t="n">
        <v>0</v>
      </c>
      <c r="J670" s="17" t="n">
        <v>0</v>
      </c>
      <c r="K670" s="17" t="n">
        <v>12</v>
      </c>
      <c r="L670" s="17" t="n">
        <v>2</v>
      </c>
      <c r="M670" s="17" t="n">
        <v>0</v>
      </c>
      <c r="N670" s="17" t="n">
        <v>0</v>
      </c>
      <c r="O670" s="17" t="n">
        <v>0</v>
      </c>
      <c r="P670" s="17" t="n">
        <v>0</v>
      </c>
      <c r="Q670" s="17" t="n">
        <v>2</v>
      </c>
      <c r="R670" s="17" t="n">
        <v>0</v>
      </c>
      <c r="T670" s="17">
        <f>DAY(C670)</f>
        <v/>
      </c>
      <c r="U670" s="17">
        <f>MONTH(C670)</f>
        <v/>
      </c>
    </row>
    <row r="671" hidden="1" ht="22.5" customHeight="1" s="117">
      <c r="A671" s="14" t="n">
        <v>46006.2809072801</v>
      </c>
      <c r="B671" s="17" t="inlineStr">
        <is>
          <t>Vòng Nhật Sang</t>
        </is>
      </c>
      <c r="C671" s="16" t="n">
        <v>46005</v>
      </c>
      <c r="D671" s="17" t="n">
        <v>0</v>
      </c>
      <c r="E671" s="17" t="n">
        <v>0</v>
      </c>
      <c r="F671" s="17" t="n">
        <v>0</v>
      </c>
      <c r="G671" s="17" t="n">
        <v>0</v>
      </c>
      <c r="H671" s="17" t="n">
        <v>0</v>
      </c>
      <c r="I671" s="17" t="n">
        <v>0</v>
      </c>
      <c r="J671" s="17" t="n">
        <v>0</v>
      </c>
      <c r="K671" s="17" t="n">
        <v>26</v>
      </c>
      <c r="L671" s="17" t="n">
        <v>0</v>
      </c>
      <c r="M671" s="17" t="n">
        <v>0</v>
      </c>
      <c r="N671" s="17" t="n">
        <v>0</v>
      </c>
      <c r="O671" s="17" t="n">
        <v>0</v>
      </c>
      <c r="P671" s="17" t="n">
        <v>1</v>
      </c>
      <c r="Q671" s="17" t="n">
        <v>1</v>
      </c>
      <c r="R671" s="17" t="n">
        <v>0</v>
      </c>
      <c r="T671" s="17">
        <f>DAY(C671)</f>
        <v/>
      </c>
      <c r="U671" s="17">
        <f>MONTH(C671)</f>
        <v/>
      </c>
    </row>
    <row r="672" hidden="1" ht="22.5" customHeight="1" s="117">
      <c r="A672" s="14" t="n">
        <v>46006.28469892361</v>
      </c>
      <c r="B672" s="17" t="inlineStr">
        <is>
          <t>Đặng Hữu Danh</t>
        </is>
      </c>
      <c r="C672" s="16" t="n">
        <v>46005</v>
      </c>
      <c r="D672" s="17" t="n">
        <v>0</v>
      </c>
      <c r="E672" s="17" t="n">
        <v>0</v>
      </c>
      <c r="F672" s="17" t="n">
        <v>0</v>
      </c>
      <c r="G672" s="17" t="n">
        <v>0</v>
      </c>
      <c r="H672" s="17" t="n">
        <v>0</v>
      </c>
      <c r="I672" s="17" t="n">
        <v>1</v>
      </c>
      <c r="J672" s="17" t="n">
        <v>0</v>
      </c>
      <c r="K672" s="17" t="n">
        <v>6</v>
      </c>
      <c r="L672" s="17" t="n">
        <v>0</v>
      </c>
      <c r="M672" s="17" t="n">
        <v>0</v>
      </c>
      <c r="N672" s="17" t="n">
        <v>0</v>
      </c>
      <c r="O672" s="17" t="n">
        <v>0</v>
      </c>
      <c r="P672" s="17" t="n">
        <v>1</v>
      </c>
      <c r="Q672" s="17" t="n">
        <v>3</v>
      </c>
      <c r="R672" s="17" t="n">
        <v>0</v>
      </c>
      <c r="T672" s="17">
        <f>DAY(C672)</f>
        <v/>
      </c>
      <c r="U672" s="17">
        <f>MONTH(C672)</f>
        <v/>
      </c>
    </row>
    <row r="673" hidden="1" ht="22.5" customHeight="1" s="117">
      <c r="A673" s="14" t="n">
        <v>46006.28513780093</v>
      </c>
      <c r="B673" s="17" t="inlineStr">
        <is>
          <t>Phan Ngọc Sang</t>
        </is>
      </c>
      <c r="C673" s="16" t="n">
        <v>46005</v>
      </c>
      <c r="D673" s="17" t="n">
        <v>0</v>
      </c>
      <c r="E673" s="17" t="n">
        <v>0</v>
      </c>
      <c r="F673" s="17" t="n">
        <v>0</v>
      </c>
      <c r="G673" s="17" t="n">
        <v>0</v>
      </c>
      <c r="H673" s="17" t="n">
        <v>0</v>
      </c>
      <c r="I673" s="17" t="n">
        <v>0</v>
      </c>
      <c r="J673" s="17" t="n">
        <v>1</v>
      </c>
      <c r="K673" s="17" t="n">
        <v>5</v>
      </c>
      <c r="L673" s="17" t="n">
        <v>0</v>
      </c>
      <c r="M673" s="17" t="n">
        <v>1</v>
      </c>
      <c r="N673" s="17" t="n">
        <v>0</v>
      </c>
      <c r="O673" s="17" t="n">
        <v>0</v>
      </c>
      <c r="P673" s="17" t="n">
        <v>1</v>
      </c>
      <c r="Q673" s="17" t="n">
        <v>1</v>
      </c>
      <c r="R673" s="17" t="n">
        <v>3</v>
      </c>
      <c r="T673" s="17">
        <f>DAY(C673)</f>
        <v/>
      </c>
      <c r="U673" s="17">
        <f>MONTH(C673)</f>
        <v/>
      </c>
    </row>
    <row r="674" hidden="1" ht="22.5" customHeight="1" s="117">
      <c r="A674" s="14" t="n">
        <v>46006.29069116898</v>
      </c>
      <c r="B674" s="17" t="inlineStr">
        <is>
          <t>Trần Trung Giang</t>
        </is>
      </c>
      <c r="C674" s="16" t="n">
        <v>46005</v>
      </c>
      <c r="D674" s="17" t="n">
        <v>0</v>
      </c>
      <c r="E674" s="17" t="n">
        <v>0</v>
      </c>
      <c r="F674" s="17" t="n">
        <v>0</v>
      </c>
      <c r="G674" s="17" t="n">
        <v>0</v>
      </c>
      <c r="H674" s="17" t="n">
        <v>0</v>
      </c>
      <c r="I674" s="17" t="n">
        <v>0</v>
      </c>
      <c r="J674" s="17" t="n">
        <v>0</v>
      </c>
      <c r="K674" s="17" t="n">
        <v>2</v>
      </c>
      <c r="L674" s="17" t="n">
        <v>0</v>
      </c>
      <c r="M674" s="17" t="n">
        <v>0</v>
      </c>
      <c r="N674" s="17" t="n">
        <v>0</v>
      </c>
      <c r="O674" s="17" t="n">
        <v>0</v>
      </c>
      <c r="P674" s="17" t="n">
        <v>0</v>
      </c>
      <c r="Q674" s="17" t="n">
        <v>0</v>
      </c>
      <c r="R674" s="17" t="n">
        <v>0</v>
      </c>
      <c r="T674" s="17">
        <f>DAY(C674)</f>
        <v/>
      </c>
      <c r="U674" s="17">
        <f>MONTH(C674)</f>
        <v/>
      </c>
    </row>
    <row r="675" hidden="1" ht="22.5" customHeight="1" s="117">
      <c r="A675" s="14" t="n">
        <v>46006.29144770833</v>
      </c>
      <c r="B675" s="17" t="inlineStr">
        <is>
          <t>Đặng Hoài Anh</t>
        </is>
      </c>
      <c r="C675" s="16" t="n">
        <v>46005</v>
      </c>
      <c r="D675" s="17" t="n">
        <v>0</v>
      </c>
      <c r="E675" s="17" t="n">
        <v>0</v>
      </c>
      <c r="F675" s="17" t="n">
        <v>0</v>
      </c>
      <c r="G675" s="17" t="n">
        <v>0</v>
      </c>
      <c r="H675" s="17" t="n">
        <v>0</v>
      </c>
      <c r="I675" s="17" t="n">
        <v>0</v>
      </c>
      <c r="J675" s="17" t="n">
        <v>0</v>
      </c>
      <c r="K675" s="17" t="n">
        <v>2</v>
      </c>
      <c r="L675" s="17" t="n">
        <v>0</v>
      </c>
      <c r="M675" s="17" t="n">
        <v>0</v>
      </c>
      <c r="N675" s="17" t="n">
        <v>0</v>
      </c>
      <c r="O675" s="17" t="n">
        <v>0</v>
      </c>
      <c r="P675" s="17" t="n">
        <v>1</v>
      </c>
      <c r="Q675" s="17" t="n">
        <v>0</v>
      </c>
      <c r="R675" s="17" t="n">
        <v>0</v>
      </c>
      <c r="T675" s="17">
        <f>DAY(C675)</f>
        <v/>
      </c>
      <c r="U675" s="17">
        <f>MONTH(C675)</f>
        <v/>
      </c>
    </row>
    <row r="676" hidden="1" ht="22.5" customHeight="1" s="117">
      <c r="A676" s="14" t="n">
        <v>46006.29207180555</v>
      </c>
      <c r="B676" s="17" t="inlineStr">
        <is>
          <t>Dương Minh Tiến</t>
        </is>
      </c>
      <c r="C676" s="16" t="n">
        <v>46005</v>
      </c>
      <c r="D676" s="17" t="n">
        <v>0</v>
      </c>
      <c r="E676" s="17" t="n">
        <v>0</v>
      </c>
      <c r="F676" s="17" t="n">
        <v>0</v>
      </c>
      <c r="G676" s="17" t="n">
        <v>0</v>
      </c>
      <c r="H676" s="17" t="n">
        <v>0</v>
      </c>
      <c r="I676" s="17" t="n">
        <v>2</v>
      </c>
      <c r="J676" s="17" t="n">
        <v>0</v>
      </c>
      <c r="K676" s="17" t="n">
        <v>4</v>
      </c>
      <c r="L676" s="17" t="n">
        <v>0</v>
      </c>
      <c r="M676" s="17" t="n">
        <v>0</v>
      </c>
      <c r="N676" s="17" t="n">
        <v>0</v>
      </c>
      <c r="O676" s="17" t="n">
        <v>0</v>
      </c>
      <c r="P676" s="17" t="n">
        <v>1</v>
      </c>
      <c r="Q676" s="17" t="n">
        <v>0</v>
      </c>
      <c r="R676" s="17" t="n">
        <v>0</v>
      </c>
      <c r="T676" s="17">
        <f>DAY(C676)</f>
        <v/>
      </c>
      <c r="U676" s="17">
        <f>MONTH(C676)</f>
        <v/>
      </c>
    </row>
    <row r="677" hidden="1" ht="22.5" customHeight="1" s="117">
      <c r="A677" s="14" t="n">
        <v>46006.29248226852</v>
      </c>
      <c r="B677" s="17" t="inlineStr">
        <is>
          <t>Lê Hồng Phong</t>
        </is>
      </c>
      <c r="C677" s="16" t="n">
        <v>46006</v>
      </c>
      <c r="D677" s="17" t="n">
        <v>1</v>
      </c>
      <c r="E677" s="17" t="n">
        <v>1</v>
      </c>
      <c r="F677" s="17" t="n">
        <v>1</v>
      </c>
      <c r="G677" s="17" t="n">
        <v>0</v>
      </c>
      <c r="H677" s="17" t="n">
        <v>0</v>
      </c>
      <c r="I677" s="17" t="n">
        <v>1</v>
      </c>
      <c r="J677" s="17" t="n">
        <v>1</v>
      </c>
      <c r="K677" s="17" t="n">
        <v>1</v>
      </c>
      <c r="L677" s="17" t="n">
        <v>1</v>
      </c>
      <c r="M677" s="17" t="n">
        <v>1</v>
      </c>
      <c r="N677" s="17" t="n">
        <v>1</v>
      </c>
      <c r="O677" s="17" t="n">
        <v>0</v>
      </c>
      <c r="P677" s="17" t="n">
        <v>1</v>
      </c>
      <c r="Q677" s="17" t="n">
        <v>1</v>
      </c>
      <c r="R677" s="17" t="n">
        <v>1</v>
      </c>
      <c r="T677" s="17">
        <f>DAY(C677)</f>
        <v/>
      </c>
      <c r="U677" s="17">
        <f>MONTH(C677)</f>
        <v/>
      </c>
    </row>
    <row r="678" hidden="1" ht="22.5" customHeight="1" s="117">
      <c r="A678" s="14" t="n">
        <v>46006.29452854166</v>
      </c>
      <c r="B678" s="17" t="inlineStr">
        <is>
          <t>Nguyễn Văn Hiệp</t>
        </is>
      </c>
      <c r="C678" s="16" t="n">
        <v>46005</v>
      </c>
      <c r="D678" s="17" t="n">
        <v>0</v>
      </c>
      <c r="E678" s="17" t="n">
        <v>0</v>
      </c>
      <c r="F678" s="17" t="n">
        <v>0</v>
      </c>
      <c r="G678" s="17" t="n">
        <v>0</v>
      </c>
      <c r="H678" s="17" t="n">
        <v>0</v>
      </c>
      <c r="I678" s="17" t="n">
        <v>0</v>
      </c>
      <c r="J678" s="17" t="n">
        <v>0</v>
      </c>
      <c r="K678" s="17" t="n">
        <v>1</v>
      </c>
      <c r="L678" s="17" t="n">
        <v>0</v>
      </c>
      <c r="M678" s="17" t="n">
        <v>0</v>
      </c>
      <c r="N678" s="17" t="n">
        <v>2</v>
      </c>
      <c r="O678" s="17" t="n">
        <v>0</v>
      </c>
      <c r="P678" s="17" t="n">
        <v>0</v>
      </c>
      <c r="Q678" s="17" t="n">
        <v>0</v>
      </c>
      <c r="R678" s="17" t="n">
        <v>0</v>
      </c>
      <c r="T678" s="17">
        <f>DAY(C678)</f>
        <v/>
      </c>
      <c r="U678" s="17">
        <f>MONTH(C678)</f>
        <v/>
      </c>
    </row>
    <row r="679" hidden="1" ht="22.5" customHeight="1" s="117">
      <c r="A679" s="14" t="n">
        <v>46006.29457751157</v>
      </c>
      <c r="B679" s="17" t="inlineStr">
        <is>
          <t>Hồ Xuân Việt</t>
        </is>
      </c>
      <c r="C679" s="16" t="n">
        <v>46005</v>
      </c>
      <c r="D679" s="17" t="n">
        <v>0</v>
      </c>
      <c r="E679" s="17" t="n">
        <v>0</v>
      </c>
      <c r="F679" s="17" t="n">
        <v>0</v>
      </c>
      <c r="G679" s="17" t="n">
        <v>0</v>
      </c>
      <c r="H679" s="17" t="n">
        <v>0</v>
      </c>
      <c r="I679" s="17" t="n">
        <v>0</v>
      </c>
      <c r="J679" s="17" t="n">
        <v>0</v>
      </c>
      <c r="K679" s="17" t="n">
        <v>5</v>
      </c>
      <c r="L679" s="17" t="n">
        <v>0</v>
      </c>
      <c r="M679" s="17" t="n">
        <v>0</v>
      </c>
      <c r="N679" s="17" t="n">
        <v>0</v>
      </c>
      <c r="O679" s="17" t="n">
        <v>0</v>
      </c>
      <c r="P679" s="17" t="n">
        <v>1</v>
      </c>
      <c r="Q679" s="17" t="n">
        <v>2</v>
      </c>
      <c r="R679" s="17" t="n">
        <v>0</v>
      </c>
      <c r="T679" s="17">
        <f>DAY(C679)</f>
        <v/>
      </c>
      <c r="U679" s="17">
        <f>MONTH(C679)</f>
        <v/>
      </c>
    </row>
    <row r="680" hidden="1" ht="22.5" customHeight="1" s="117">
      <c r="A680" s="14" t="n">
        <v>46006.29583564815</v>
      </c>
      <c r="B680" s="17" t="inlineStr">
        <is>
          <t>Phan Thành Thái</t>
        </is>
      </c>
      <c r="C680" s="16" t="n">
        <v>46005</v>
      </c>
      <c r="D680" s="17" t="n">
        <v>0</v>
      </c>
      <c r="E680" s="17" t="n">
        <v>0</v>
      </c>
      <c r="F680" s="17" t="n">
        <v>0</v>
      </c>
      <c r="G680" s="17" t="n">
        <v>0</v>
      </c>
      <c r="H680" s="17" t="n">
        <v>0</v>
      </c>
      <c r="I680" s="17" t="n">
        <v>3</v>
      </c>
      <c r="J680" s="17" t="n">
        <v>0</v>
      </c>
      <c r="K680" s="17" t="n">
        <v>4</v>
      </c>
      <c r="L680" s="17" t="n">
        <v>0</v>
      </c>
      <c r="M680" s="17" t="n">
        <v>0</v>
      </c>
      <c r="N680" s="17" t="n">
        <v>0</v>
      </c>
      <c r="O680" s="17" t="n">
        <v>0</v>
      </c>
      <c r="P680" s="17" t="n">
        <v>1</v>
      </c>
      <c r="Q680" s="17" t="n">
        <v>6</v>
      </c>
      <c r="R680" s="17" t="n">
        <v>0</v>
      </c>
      <c r="T680" s="17">
        <f>DAY(C680)</f>
        <v/>
      </c>
      <c r="U680" s="17">
        <f>MONTH(C680)</f>
        <v/>
      </c>
    </row>
    <row r="681" hidden="1" ht="22.5" customHeight="1" s="117">
      <c r="A681" s="14" t="n">
        <v>46006.29620358796</v>
      </c>
      <c r="B681" s="17" t="inlineStr">
        <is>
          <t>Lương Duy Hoàng</t>
        </is>
      </c>
      <c r="C681" s="16" t="n">
        <v>46005</v>
      </c>
      <c r="D681" s="17" t="n">
        <v>0</v>
      </c>
      <c r="E681" s="17" t="n">
        <v>0</v>
      </c>
      <c r="F681" s="17" t="n">
        <v>0</v>
      </c>
      <c r="G681" s="17" t="n">
        <v>0</v>
      </c>
      <c r="H681" s="17" t="n">
        <v>0</v>
      </c>
      <c r="I681" s="17" t="n">
        <v>1</v>
      </c>
      <c r="J681" s="17" t="n">
        <v>0</v>
      </c>
      <c r="K681" s="17" t="n">
        <v>3</v>
      </c>
      <c r="L681" s="17" t="n">
        <v>0</v>
      </c>
      <c r="M681" s="17" t="n">
        <v>0</v>
      </c>
      <c r="N681" s="17" t="n">
        <v>1</v>
      </c>
      <c r="O681" s="17" t="n">
        <v>0</v>
      </c>
      <c r="P681" s="17" t="n">
        <v>0</v>
      </c>
      <c r="Q681" s="17" t="n">
        <v>0</v>
      </c>
      <c r="R681" s="17" t="n">
        <v>0</v>
      </c>
      <c r="T681" s="17">
        <f>DAY(C681)</f>
        <v/>
      </c>
      <c r="U681" s="17">
        <f>MONTH(C681)</f>
        <v/>
      </c>
    </row>
    <row r="682" hidden="1" ht="22.5" customHeight="1" s="117">
      <c r="A682" s="14" t="n">
        <v>46006.29667027778</v>
      </c>
      <c r="B682" s="17" t="inlineStr">
        <is>
          <t>Lương Duy Hải</t>
        </is>
      </c>
      <c r="C682" s="16" t="n">
        <v>46005</v>
      </c>
      <c r="D682" s="17" t="n">
        <v>0</v>
      </c>
      <c r="E682" s="17" t="n">
        <v>0</v>
      </c>
      <c r="F682" s="17" t="n">
        <v>0</v>
      </c>
      <c r="G682" s="17" t="n">
        <v>0</v>
      </c>
      <c r="H682" s="17" t="n">
        <v>0</v>
      </c>
      <c r="I682" s="17" t="n">
        <v>0</v>
      </c>
      <c r="J682" s="17" t="n">
        <v>0</v>
      </c>
      <c r="K682" s="17" t="n">
        <v>12</v>
      </c>
      <c r="L682" s="17" t="n">
        <v>0</v>
      </c>
      <c r="M682" s="17" t="n">
        <v>0</v>
      </c>
      <c r="N682" s="17" t="n">
        <v>0</v>
      </c>
      <c r="O682" s="17" t="n">
        <v>0</v>
      </c>
      <c r="P682" s="17" t="n">
        <v>0</v>
      </c>
      <c r="Q682" s="17" t="n">
        <v>1</v>
      </c>
      <c r="R682" s="17" t="n">
        <v>1</v>
      </c>
      <c r="T682" s="17">
        <f>DAY(C682)</f>
        <v/>
      </c>
      <c r="U682" s="17">
        <f>MONTH(C682)</f>
        <v/>
      </c>
    </row>
    <row r="683" hidden="1" ht="22.5" customHeight="1" s="117">
      <c r="A683" s="14" t="n">
        <v>46006.29737778935</v>
      </c>
      <c r="B683" s="17" t="inlineStr">
        <is>
          <t>Đào Công Trung</t>
        </is>
      </c>
      <c r="C683" s="16" t="n">
        <v>46005</v>
      </c>
      <c r="D683" s="17" t="n">
        <v>0</v>
      </c>
      <c r="E683" s="17" t="n">
        <v>0</v>
      </c>
      <c r="F683" s="17" t="n">
        <v>0</v>
      </c>
      <c r="G683" s="17" t="n">
        <v>0</v>
      </c>
      <c r="H683" s="17" t="n">
        <v>0</v>
      </c>
      <c r="I683" s="17" t="n">
        <v>0</v>
      </c>
      <c r="J683" s="17" t="n">
        <v>0</v>
      </c>
      <c r="K683" s="17" t="n">
        <v>9</v>
      </c>
      <c r="L683" s="17" t="n">
        <v>0</v>
      </c>
      <c r="M683" s="17" t="n">
        <v>1</v>
      </c>
      <c r="N683" s="17" t="n">
        <v>0</v>
      </c>
      <c r="O683" s="17" t="n">
        <v>0</v>
      </c>
      <c r="P683" s="17" t="n">
        <v>0</v>
      </c>
      <c r="Q683" s="17" t="n">
        <v>0</v>
      </c>
      <c r="R683" s="17" t="n">
        <v>0</v>
      </c>
      <c r="T683" s="17">
        <f>DAY(C683)</f>
        <v/>
      </c>
      <c r="U683" s="17">
        <f>MONTH(C683)</f>
        <v/>
      </c>
    </row>
    <row r="684" hidden="1" ht="22.5" customHeight="1" s="117">
      <c r="A684" s="14" t="n">
        <v>46006.29766923611</v>
      </c>
      <c r="B684" s="17" t="inlineStr">
        <is>
          <t>Nguyễn Tuấn Anh</t>
        </is>
      </c>
      <c r="C684" s="16" t="n">
        <v>46005</v>
      </c>
      <c r="D684" s="17" t="n">
        <v>0</v>
      </c>
      <c r="E684" s="17" t="n">
        <v>0</v>
      </c>
      <c r="F684" s="17" t="n">
        <v>0</v>
      </c>
      <c r="G684" s="17" t="n">
        <v>0</v>
      </c>
      <c r="H684" s="17" t="n">
        <v>0</v>
      </c>
      <c r="I684" s="17" t="n">
        <v>0</v>
      </c>
      <c r="J684" s="17" t="n">
        <v>0</v>
      </c>
      <c r="K684" s="17" t="n">
        <v>9</v>
      </c>
      <c r="L684" s="17" t="n">
        <v>0</v>
      </c>
      <c r="M684" s="17" t="n">
        <v>0</v>
      </c>
      <c r="N684" s="17" t="n">
        <v>0</v>
      </c>
      <c r="O684" s="17" t="n">
        <v>0</v>
      </c>
      <c r="P684" s="17" t="n">
        <v>1</v>
      </c>
      <c r="Q684" s="17" t="n">
        <v>5</v>
      </c>
      <c r="R684" s="17" t="n">
        <v>0</v>
      </c>
      <c r="T684" s="17">
        <f>DAY(C684)</f>
        <v/>
      </c>
      <c r="U684" s="17">
        <f>MONTH(C684)</f>
        <v/>
      </c>
    </row>
    <row r="685" hidden="1" ht="22.5" customHeight="1" s="117">
      <c r="A685" s="14" t="n">
        <v>46006.29874527777</v>
      </c>
      <c r="B685" s="17" t="inlineStr">
        <is>
          <t>Nguyễn Thành Lâm</t>
        </is>
      </c>
      <c r="C685" s="16" t="n">
        <v>46005</v>
      </c>
      <c r="D685" s="17" t="n">
        <v>0</v>
      </c>
      <c r="E685" s="17" t="n">
        <v>0</v>
      </c>
      <c r="F685" s="17" t="n">
        <v>0</v>
      </c>
      <c r="G685" s="17" t="n">
        <v>0</v>
      </c>
      <c r="H685" s="17" t="n">
        <v>0</v>
      </c>
      <c r="I685" s="17" t="n">
        <v>1</v>
      </c>
      <c r="J685" s="17" t="n">
        <v>0</v>
      </c>
      <c r="K685" s="17" t="n">
        <v>2</v>
      </c>
      <c r="L685" s="17" t="n">
        <v>0</v>
      </c>
      <c r="M685" s="17" t="n">
        <v>0</v>
      </c>
      <c r="N685" s="17" t="n">
        <v>0</v>
      </c>
      <c r="O685" s="17" t="n">
        <v>0</v>
      </c>
      <c r="P685" s="17" t="n">
        <v>0</v>
      </c>
      <c r="Q685" s="17" t="n">
        <v>2</v>
      </c>
      <c r="R685" s="17" t="n">
        <v>0</v>
      </c>
      <c r="T685" s="17">
        <f>DAY(C685)</f>
        <v/>
      </c>
      <c r="U685" s="17">
        <f>MONTH(C685)</f>
        <v/>
      </c>
    </row>
    <row r="686" hidden="1" ht="22.5" customHeight="1" s="117">
      <c r="A686" s="14" t="n">
        <v>46006.30269199074</v>
      </c>
      <c r="B686" s="17" t="inlineStr">
        <is>
          <t>Trần Minh Khánh</t>
        </is>
      </c>
      <c r="C686" s="16" t="n">
        <v>46005</v>
      </c>
      <c r="D686" s="17" t="n">
        <v>1</v>
      </c>
      <c r="E686" s="17" t="n">
        <v>0</v>
      </c>
      <c r="F686" s="17" t="n">
        <v>0</v>
      </c>
      <c r="G686" s="17" t="n">
        <v>0</v>
      </c>
      <c r="H686" s="17" t="n">
        <v>0</v>
      </c>
      <c r="I686" s="17" t="n">
        <v>3</v>
      </c>
      <c r="J686" s="17" t="n">
        <v>0</v>
      </c>
      <c r="K686" s="17" t="n">
        <v>4</v>
      </c>
      <c r="L686" s="17" t="n">
        <v>0</v>
      </c>
      <c r="M686" s="17" t="n">
        <v>0</v>
      </c>
      <c r="N686" s="17" t="n">
        <v>1</v>
      </c>
      <c r="O686" s="17" t="n">
        <v>0</v>
      </c>
      <c r="P686" s="17" t="n">
        <v>1</v>
      </c>
      <c r="Q686" s="17" t="n">
        <v>3</v>
      </c>
      <c r="R686" s="17" t="n">
        <v>0</v>
      </c>
      <c r="T686" s="17">
        <f>DAY(C686)</f>
        <v/>
      </c>
      <c r="U686" s="17">
        <f>MONTH(C686)</f>
        <v/>
      </c>
    </row>
    <row r="687" hidden="1" ht="22.5" customHeight="1" s="117">
      <c r="A687" s="14" t="n">
        <v>46006.30484625</v>
      </c>
      <c r="B687" s="17" t="inlineStr">
        <is>
          <t>Trần Xuân Khoa</t>
        </is>
      </c>
      <c r="C687" s="16" t="n">
        <v>46005</v>
      </c>
      <c r="D687" s="17" t="n">
        <v>0</v>
      </c>
      <c r="E687" s="17" t="n">
        <v>0</v>
      </c>
      <c r="F687" s="17" t="n">
        <v>0</v>
      </c>
      <c r="G687" s="17" t="n">
        <v>0</v>
      </c>
      <c r="H687" s="17" t="n">
        <v>0</v>
      </c>
      <c r="I687" s="17" t="n">
        <v>0</v>
      </c>
      <c r="J687" s="17" t="n">
        <v>0</v>
      </c>
      <c r="K687" s="17" t="n">
        <v>6</v>
      </c>
      <c r="L687" s="17" t="n">
        <v>0</v>
      </c>
      <c r="M687" s="17" t="n">
        <v>0</v>
      </c>
      <c r="N687" s="17" t="n">
        <v>0</v>
      </c>
      <c r="O687" s="17" t="n">
        <v>0</v>
      </c>
      <c r="P687" s="17" t="n">
        <v>0</v>
      </c>
      <c r="Q687" s="17" t="n">
        <v>2</v>
      </c>
      <c r="R687" s="17" t="n">
        <v>0</v>
      </c>
      <c r="T687" s="17">
        <f>DAY(C687)</f>
        <v/>
      </c>
      <c r="U687" s="17">
        <f>MONTH(C687)</f>
        <v/>
      </c>
    </row>
    <row r="688" hidden="1" ht="22.5" customHeight="1" s="117">
      <c r="A688" s="14" t="n">
        <v>46006.30604099537</v>
      </c>
      <c r="B688" s="17" t="inlineStr">
        <is>
          <t>Huỳnh Văn Lực</t>
        </is>
      </c>
      <c r="C688" s="16" t="n">
        <v>46005</v>
      </c>
      <c r="D688" s="17" t="n">
        <v>0</v>
      </c>
      <c r="E688" s="17" t="n">
        <v>0</v>
      </c>
      <c r="F688" s="17" t="n">
        <v>0</v>
      </c>
      <c r="G688" s="17" t="n">
        <v>0</v>
      </c>
      <c r="H688" s="17" t="n">
        <v>0</v>
      </c>
      <c r="I688" s="17" t="n">
        <v>0</v>
      </c>
      <c r="J688" s="17" t="n">
        <v>0</v>
      </c>
      <c r="K688" s="17" t="n">
        <v>3</v>
      </c>
      <c r="L688" s="17" t="n">
        <v>0</v>
      </c>
      <c r="M688" s="17" t="n">
        <v>0</v>
      </c>
      <c r="N688" s="17" t="n">
        <v>0</v>
      </c>
      <c r="O688" s="17" t="n">
        <v>0</v>
      </c>
      <c r="P688" s="17" t="n">
        <v>2</v>
      </c>
      <c r="Q688" s="17" t="n">
        <v>0</v>
      </c>
      <c r="R688" s="17" t="n">
        <v>0</v>
      </c>
      <c r="T688" s="17">
        <f>DAY(C688)</f>
        <v/>
      </c>
      <c r="U688" s="17">
        <f>MONTH(C688)</f>
        <v/>
      </c>
    </row>
    <row r="689" hidden="1" ht="22.5" customHeight="1" s="117">
      <c r="A689" s="14" t="n">
        <v>46006.30784181713</v>
      </c>
      <c r="B689" s="17" t="inlineStr">
        <is>
          <t>Bùi Duy Cường</t>
        </is>
      </c>
      <c r="C689" s="16" t="n">
        <v>46005</v>
      </c>
      <c r="D689" s="17" t="n">
        <v>0</v>
      </c>
      <c r="E689" s="17" t="n">
        <v>0</v>
      </c>
      <c r="F689" s="17" t="n">
        <v>0</v>
      </c>
      <c r="G689" s="17" t="n">
        <v>0</v>
      </c>
      <c r="H689" s="17" t="n">
        <v>0</v>
      </c>
      <c r="I689" s="17" t="n">
        <v>0</v>
      </c>
      <c r="J689" s="17" t="n">
        <v>0</v>
      </c>
      <c r="K689" s="17" t="n">
        <v>10</v>
      </c>
      <c r="L689" s="17" t="n">
        <v>0</v>
      </c>
      <c r="M689" s="17" t="n">
        <v>0</v>
      </c>
      <c r="N689" s="17" t="n">
        <v>0</v>
      </c>
      <c r="O689" s="17" t="n">
        <v>0</v>
      </c>
      <c r="P689" s="17" t="n">
        <v>0</v>
      </c>
      <c r="Q689" s="17" t="n">
        <v>1</v>
      </c>
      <c r="R689" s="17" t="n">
        <v>0</v>
      </c>
      <c r="T689" s="17">
        <f>DAY(C689)</f>
        <v/>
      </c>
      <c r="U689" s="17">
        <f>MONTH(C689)</f>
        <v/>
      </c>
    </row>
    <row r="690" hidden="1" ht="22.5" customHeight="1" s="117">
      <c r="A690" s="14" t="n">
        <v>46006.31165885417</v>
      </c>
      <c r="B690" s="17" t="inlineStr">
        <is>
          <t>Nguyễn Hồng Minh</t>
        </is>
      </c>
      <c r="C690" s="16" t="n">
        <v>46005</v>
      </c>
      <c r="D690" s="17" t="n">
        <v>0</v>
      </c>
      <c r="E690" s="17" t="n">
        <v>0</v>
      </c>
      <c r="F690" s="17" t="n">
        <v>0</v>
      </c>
      <c r="G690" s="17" t="n">
        <v>0</v>
      </c>
      <c r="H690" s="17" t="n">
        <v>0</v>
      </c>
      <c r="I690" s="17" t="n">
        <v>1</v>
      </c>
      <c r="J690" s="17" t="n">
        <v>0</v>
      </c>
      <c r="K690" s="17" t="n">
        <v>15</v>
      </c>
      <c r="L690" s="17" t="n">
        <v>0</v>
      </c>
      <c r="M690" s="17" t="n">
        <v>0</v>
      </c>
      <c r="N690" s="17" t="n">
        <v>1</v>
      </c>
      <c r="O690" s="17" t="n">
        <v>0</v>
      </c>
      <c r="P690" s="17" t="n">
        <v>0</v>
      </c>
      <c r="Q690" s="17" t="n">
        <v>3</v>
      </c>
      <c r="R690" s="17" t="n">
        <v>1</v>
      </c>
      <c r="T690" s="17">
        <f>DAY(C690)</f>
        <v/>
      </c>
      <c r="U690" s="17">
        <f>MONTH(C690)</f>
        <v/>
      </c>
    </row>
    <row r="691" hidden="1" ht="22.5" customHeight="1" s="117">
      <c r="A691" s="14" t="n">
        <v>46006.31179067129</v>
      </c>
      <c r="B691" s="17" t="inlineStr">
        <is>
          <t>Nguyễn Văn Nhật</t>
        </is>
      </c>
      <c r="C691" s="16" t="n">
        <v>46005</v>
      </c>
      <c r="D691" s="17" t="n">
        <v>0</v>
      </c>
      <c r="E691" s="17" t="n">
        <v>0</v>
      </c>
      <c r="F691" s="17" t="n">
        <v>0</v>
      </c>
      <c r="G691" s="17" t="n">
        <v>0</v>
      </c>
      <c r="H691" s="17" t="n">
        <v>0</v>
      </c>
      <c r="I691" s="17" t="n">
        <v>0</v>
      </c>
      <c r="J691" s="17" t="n">
        <v>0</v>
      </c>
      <c r="K691" s="17" t="n">
        <v>6</v>
      </c>
      <c r="L691" s="17" t="n">
        <v>0</v>
      </c>
      <c r="M691" s="17" t="n">
        <v>0</v>
      </c>
      <c r="N691" s="17" t="n">
        <v>1</v>
      </c>
      <c r="O691" s="17" t="n">
        <v>1</v>
      </c>
      <c r="P691" s="17" t="n">
        <v>1</v>
      </c>
      <c r="Q691" s="17" t="n">
        <v>2</v>
      </c>
      <c r="R691" s="17" t="n">
        <v>0</v>
      </c>
      <c r="T691" s="17">
        <f>DAY(C691)</f>
        <v/>
      </c>
      <c r="U691" s="17">
        <f>MONTH(C691)</f>
        <v/>
      </c>
    </row>
    <row r="692" hidden="1" ht="22.5" customHeight="1" s="117">
      <c r="A692" s="14" t="n">
        <v>46006.327293125</v>
      </c>
      <c r="B692" s="17" t="inlineStr">
        <is>
          <t>Lê Văn Hồng</t>
        </is>
      </c>
      <c r="C692" s="16" t="n">
        <v>46005</v>
      </c>
      <c r="D692" s="17" t="n">
        <v>0</v>
      </c>
      <c r="E692" s="17" t="n">
        <v>0</v>
      </c>
      <c r="F692" s="17" t="n">
        <v>0</v>
      </c>
      <c r="G692" s="17" t="n">
        <v>0</v>
      </c>
      <c r="H692" s="17" t="n">
        <v>0</v>
      </c>
      <c r="I692" s="17" t="n">
        <v>2</v>
      </c>
      <c r="J692" s="17" t="n">
        <v>0</v>
      </c>
      <c r="K692" s="17" t="n">
        <v>7</v>
      </c>
      <c r="L692" s="17" t="n">
        <v>0</v>
      </c>
      <c r="M692" s="17" t="n">
        <v>0</v>
      </c>
      <c r="N692" s="17" t="n">
        <v>2</v>
      </c>
      <c r="O692" s="17" t="n">
        <v>0</v>
      </c>
      <c r="P692" s="17" t="n">
        <v>0</v>
      </c>
      <c r="Q692" s="17" t="n">
        <v>2</v>
      </c>
      <c r="R692" s="17" t="n">
        <v>0</v>
      </c>
      <c r="T692" s="17">
        <f>DAY(C692)</f>
        <v/>
      </c>
      <c r="U692" s="17">
        <f>MONTH(C692)</f>
        <v/>
      </c>
    </row>
    <row r="693" hidden="1" ht="22.5" customHeight="1" s="117">
      <c r="A693" s="14" t="n">
        <v>46006.89978570602</v>
      </c>
      <c r="B693" s="17" t="inlineStr">
        <is>
          <t>Đặng Hữu Danh</t>
        </is>
      </c>
      <c r="C693" s="16" t="n">
        <v>46006</v>
      </c>
      <c r="D693" s="17" t="n">
        <v>0</v>
      </c>
      <c r="E693" s="17" t="n">
        <v>0</v>
      </c>
      <c r="F693" s="17" t="n">
        <v>0</v>
      </c>
      <c r="G693" s="17" t="n">
        <v>0</v>
      </c>
      <c r="H693" s="17" t="n">
        <v>0</v>
      </c>
      <c r="I693" s="17" t="n">
        <v>4</v>
      </c>
      <c r="J693" s="17" t="n">
        <v>0</v>
      </c>
      <c r="K693" s="17" t="n">
        <v>6</v>
      </c>
      <c r="L693" s="17" t="n">
        <v>0</v>
      </c>
      <c r="M693" s="17" t="n">
        <v>0</v>
      </c>
      <c r="N693" s="17" t="n">
        <v>0</v>
      </c>
      <c r="O693" s="17" t="n">
        <v>0</v>
      </c>
      <c r="P693" s="17" t="n">
        <v>2</v>
      </c>
      <c r="Q693" s="17" t="n">
        <v>3</v>
      </c>
      <c r="R693" s="17" t="n">
        <v>0</v>
      </c>
      <c r="T693" s="17">
        <f>DAY(C693)</f>
        <v/>
      </c>
      <c r="U693" s="17">
        <f>MONTH(C693)</f>
        <v/>
      </c>
    </row>
    <row r="694" hidden="1" ht="22.5" customHeight="1" s="117">
      <c r="A694" s="14" t="n">
        <v>46007.27891075231</v>
      </c>
      <c r="B694" s="17" t="inlineStr">
        <is>
          <t>Vòng Nhật Sang</t>
        </is>
      </c>
      <c r="C694" s="16" t="n">
        <v>46006</v>
      </c>
      <c r="D694" s="17" t="n">
        <v>0</v>
      </c>
      <c r="E694" s="17" t="n">
        <v>0</v>
      </c>
      <c r="F694" s="17" t="n">
        <v>0</v>
      </c>
      <c r="G694" s="17" t="n">
        <v>0</v>
      </c>
      <c r="H694" s="17" t="n">
        <v>0</v>
      </c>
      <c r="I694" s="17" t="n">
        <v>0</v>
      </c>
      <c r="J694" s="17" t="n">
        <v>0</v>
      </c>
      <c r="K694" s="17" t="n">
        <v>43</v>
      </c>
      <c r="L694" s="17" t="n">
        <v>0</v>
      </c>
      <c r="M694" s="17" t="n">
        <v>0</v>
      </c>
      <c r="N694" s="17" t="n">
        <v>0</v>
      </c>
      <c r="O694" s="17" t="n">
        <v>0</v>
      </c>
      <c r="P694" s="17" t="n">
        <v>1</v>
      </c>
      <c r="Q694" s="17" t="n">
        <v>2</v>
      </c>
      <c r="R694" s="17" t="n">
        <v>0</v>
      </c>
      <c r="T694" s="17">
        <f>DAY(C694)</f>
        <v/>
      </c>
      <c r="U694" s="17">
        <f>MONTH(C694)</f>
        <v/>
      </c>
    </row>
    <row r="695" hidden="1" ht="22.5" customHeight="1" s="117">
      <c r="A695" s="14" t="n">
        <v>46007.28004217592</v>
      </c>
      <c r="B695" s="17" t="inlineStr">
        <is>
          <t>Phan Ngọc Sang</t>
        </is>
      </c>
      <c r="C695" s="16" t="n">
        <v>46006</v>
      </c>
      <c r="D695" s="17" t="n">
        <v>0</v>
      </c>
      <c r="E695" s="17" t="n">
        <v>0</v>
      </c>
      <c r="F695" s="17" t="n">
        <v>0</v>
      </c>
      <c r="G695" s="17" t="n">
        <v>0</v>
      </c>
      <c r="H695" s="17" t="n">
        <v>0</v>
      </c>
      <c r="I695" s="17" t="n">
        <v>2</v>
      </c>
      <c r="J695" s="17" t="n">
        <v>2</v>
      </c>
      <c r="K695" s="17" t="n">
        <v>6</v>
      </c>
      <c r="L695" s="17" t="n">
        <v>0</v>
      </c>
      <c r="M695" s="17" t="n">
        <v>0</v>
      </c>
      <c r="N695" s="17" t="n">
        <v>0</v>
      </c>
      <c r="O695" s="17" t="n">
        <v>0</v>
      </c>
      <c r="P695" s="17" t="n">
        <v>0</v>
      </c>
      <c r="Q695" s="17" t="n">
        <v>2</v>
      </c>
      <c r="R695" s="17" t="n">
        <v>0</v>
      </c>
      <c r="T695" s="17">
        <f>DAY(C695)</f>
        <v/>
      </c>
      <c r="U695" s="17">
        <f>MONTH(C695)</f>
        <v/>
      </c>
    </row>
    <row r="696" hidden="1" ht="22.5" customHeight="1" s="117">
      <c r="A696" s="14" t="n">
        <v>46007.28356366898</v>
      </c>
      <c r="B696" s="17" t="inlineStr">
        <is>
          <t>Nguyễn Quang Anh Tuấn</t>
        </is>
      </c>
      <c r="C696" s="16" t="n">
        <v>46006</v>
      </c>
      <c r="D696" s="17" t="n">
        <v>0</v>
      </c>
      <c r="E696" s="17" t="n">
        <v>0</v>
      </c>
      <c r="F696" s="17" t="n">
        <v>0</v>
      </c>
      <c r="G696" s="17" t="n">
        <v>0</v>
      </c>
      <c r="H696" s="17" t="n">
        <v>0</v>
      </c>
      <c r="I696" s="17" t="n">
        <v>0</v>
      </c>
      <c r="J696" s="17" t="n">
        <v>0</v>
      </c>
      <c r="K696" s="17" t="n">
        <v>3</v>
      </c>
      <c r="L696" s="17" t="n">
        <v>1</v>
      </c>
      <c r="M696" s="17" t="n">
        <v>0</v>
      </c>
      <c r="N696" s="17" t="n">
        <v>0</v>
      </c>
      <c r="O696" s="17" t="n">
        <v>0</v>
      </c>
      <c r="P696" s="17" t="n">
        <v>0</v>
      </c>
      <c r="Q696" s="17" t="n">
        <v>1</v>
      </c>
      <c r="R696" s="17" t="n">
        <v>0</v>
      </c>
      <c r="T696" s="17">
        <f>DAY(C696)</f>
        <v/>
      </c>
      <c r="U696" s="17">
        <f>MONTH(C696)</f>
        <v/>
      </c>
    </row>
    <row r="697" hidden="1" ht="22.5" customHeight="1" s="117">
      <c r="A697" s="14" t="n">
        <v>46007.28795420139</v>
      </c>
      <c r="B697" s="17" t="inlineStr">
        <is>
          <t>Lương Duy Hoàng</t>
        </is>
      </c>
      <c r="C697" s="16" t="n">
        <v>46006</v>
      </c>
      <c r="D697" s="17" t="n">
        <v>0</v>
      </c>
      <c r="E697" s="17" t="n">
        <v>0</v>
      </c>
      <c r="F697" s="17" t="n">
        <v>0</v>
      </c>
      <c r="G697" s="17" t="n">
        <v>0</v>
      </c>
      <c r="H697" s="17" t="n">
        <v>0</v>
      </c>
      <c r="I697" s="17" t="n">
        <v>2</v>
      </c>
      <c r="J697" s="17" t="n">
        <v>0</v>
      </c>
      <c r="K697" s="17" t="n">
        <v>4</v>
      </c>
      <c r="L697" s="17" t="n">
        <v>0</v>
      </c>
      <c r="M697" s="17" t="n">
        <v>0</v>
      </c>
      <c r="N697" s="17" t="n">
        <v>0</v>
      </c>
      <c r="O697" s="17" t="n">
        <v>0</v>
      </c>
      <c r="P697" s="17" t="n">
        <v>0</v>
      </c>
      <c r="Q697" s="17" t="n">
        <v>2</v>
      </c>
      <c r="R697" s="17" t="n">
        <v>0</v>
      </c>
      <c r="T697" s="17">
        <f>DAY(C697)</f>
        <v/>
      </c>
      <c r="U697" s="17">
        <f>MONTH(C697)</f>
        <v/>
      </c>
    </row>
    <row r="698" hidden="1" ht="22.5" customHeight="1" s="117">
      <c r="A698" s="14" t="n">
        <v>46007.28960936343</v>
      </c>
      <c r="B698" s="17" t="inlineStr">
        <is>
          <t>Nguyễn Văn Hiệp</t>
        </is>
      </c>
      <c r="C698" s="16" t="n">
        <v>46006</v>
      </c>
      <c r="D698" s="17" t="n">
        <v>0</v>
      </c>
      <c r="E698" s="17" t="n">
        <v>0</v>
      </c>
      <c r="F698" s="17" t="n">
        <v>0</v>
      </c>
      <c r="G698" s="17" t="n">
        <v>0</v>
      </c>
      <c r="H698" s="17" t="n">
        <v>0</v>
      </c>
      <c r="I698" s="17" t="n">
        <v>0</v>
      </c>
      <c r="J698" s="17" t="n">
        <v>0</v>
      </c>
      <c r="K698" s="17" t="n">
        <v>0</v>
      </c>
      <c r="L698" s="17" t="n">
        <v>0</v>
      </c>
      <c r="M698" s="17" t="n">
        <v>0</v>
      </c>
      <c r="N698" s="17" t="n">
        <v>2</v>
      </c>
      <c r="O698" s="17" t="n">
        <v>0</v>
      </c>
      <c r="P698" s="17" t="n">
        <v>0</v>
      </c>
      <c r="Q698" s="17" t="n">
        <v>0</v>
      </c>
      <c r="R698" s="17" t="n">
        <v>0</v>
      </c>
      <c r="T698" s="17">
        <f>DAY(C698)</f>
        <v/>
      </c>
      <c r="U698" s="17">
        <f>MONTH(C698)</f>
        <v/>
      </c>
    </row>
    <row r="699" hidden="1" ht="22.5" customHeight="1" s="117">
      <c r="A699" s="14" t="n">
        <v>46007.29120113426</v>
      </c>
      <c r="B699" s="17" t="inlineStr">
        <is>
          <t>Phan Thành Thái</t>
        </is>
      </c>
      <c r="C699" s="16" t="n">
        <v>46006</v>
      </c>
      <c r="D699" s="17" t="n">
        <v>0</v>
      </c>
      <c r="E699" s="17" t="n">
        <v>0</v>
      </c>
      <c r="F699" s="17" t="n">
        <v>0</v>
      </c>
      <c r="G699" s="17" t="n">
        <v>0</v>
      </c>
      <c r="H699" s="17" t="n">
        <v>0</v>
      </c>
      <c r="I699" s="17" t="n">
        <v>3</v>
      </c>
      <c r="J699" s="17" t="n">
        <v>0</v>
      </c>
      <c r="K699" s="17" t="n">
        <v>4</v>
      </c>
      <c r="L699" s="17" t="n">
        <v>0</v>
      </c>
      <c r="M699" s="17" t="n">
        <v>0</v>
      </c>
      <c r="N699" s="17" t="n">
        <v>0</v>
      </c>
      <c r="O699" s="17" t="n">
        <v>0</v>
      </c>
      <c r="P699" s="17" t="n">
        <v>1</v>
      </c>
      <c r="Q699" s="17" t="n">
        <v>6</v>
      </c>
      <c r="R699" s="17" t="n">
        <v>0</v>
      </c>
      <c r="T699" s="17">
        <f>DAY(C699)</f>
        <v/>
      </c>
      <c r="U699" s="17">
        <f>MONTH(C699)</f>
        <v/>
      </c>
    </row>
    <row r="700" hidden="1" ht="22.5" customHeight="1" s="117">
      <c r="A700" s="14" t="n">
        <v>46007.29378222222</v>
      </c>
      <c r="B700" s="17" t="inlineStr">
        <is>
          <t>Huỳnh Văn Lực</t>
        </is>
      </c>
      <c r="C700" s="16" t="n">
        <v>46006</v>
      </c>
      <c r="D700" s="17" t="n">
        <v>0</v>
      </c>
      <c r="E700" s="17" t="n">
        <v>0</v>
      </c>
      <c r="F700" s="17" t="n">
        <v>0</v>
      </c>
      <c r="G700" s="17" t="n">
        <v>0</v>
      </c>
      <c r="H700" s="17" t="n">
        <v>0</v>
      </c>
      <c r="I700" s="17" t="n">
        <v>0</v>
      </c>
      <c r="J700" s="17" t="n">
        <v>0</v>
      </c>
      <c r="K700" s="17" t="n">
        <v>3</v>
      </c>
      <c r="L700" s="17" t="n">
        <v>0</v>
      </c>
      <c r="M700" s="17" t="n">
        <v>0</v>
      </c>
      <c r="N700" s="17" t="n">
        <v>0</v>
      </c>
      <c r="O700" s="17" t="n">
        <v>0</v>
      </c>
      <c r="P700" s="17" t="n">
        <v>4</v>
      </c>
      <c r="Q700" s="17" t="n">
        <v>1</v>
      </c>
      <c r="R700" s="17" t="n">
        <v>0</v>
      </c>
      <c r="T700" s="17">
        <f>DAY(C700)</f>
        <v/>
      </c>
      <c r="U700" s="17">
        <f>MONTH(C700)</f>
        <v/>
      </c>
    </row>
    <row r="701" hidden="1" ht="22.5" customHeight="1" s="117">
      <c r="A701" s="14" t="n">
        <v>46007.29405122685</v>
      </c>
      <c r="B701" s="17" t="inlineStr">
        <is>
          <t>Đào Công Trung</t>
        </is>
      </c>
      <c r="C701" s="16" t="n">
        <v>46006</v>
      </c>
      <c r="D701" s="17" t="n">
        <v>0</v>
      </c>
      <c r="E701" s="17" t="n">
        <v>0</v>
      </c>
      <c r="F701" s="17" t="n">
        <v>0</v>
      </c>
      <c r="G701" s="17" t="n">
        <v>0</v>
      </c>
      <c r="H701" s="17" t="n">
        <v>0</v>
      </c>
      <c r="I701" s="17" t="n">
        <v>2</v>
      </c>
      <c r="J701" s="17" t="n">
        <v>0</v>
      </c>
      <c r="K701" s="17" t="n">
        <v>10</v>
      </c>
      <c r="L701" s="17" t="n">
        <v>0</v>
      </c>
      <c r="M701" s="17" t="n">
        <v>2</v>
      </c>
      <c r="N701" s="17" t="n">
        <v>0</v>
      </c>
      <c r="O701" s="17" t="n">
        <v>1</v>
      </c>
      <c r="P701" s="17" t="n">
        <v>0</v>
      </c>
      <c r="Q701" s="17" t="n">
        <v>0</v>
      </c>
      <c r="R701" s="17" t="n">
        <v>1</v>
      </c>
      <c r="T701" s="17">
        <f>DAY(C701)</f>
        <v/>
      </c>
      <c r="U701" s="17">
        <f>MONTH(C701)</f>
        <v/>
      </c>
    </row>
    <row r="702" hidden="1" ht="22.5" customHeight="1" s="117">
      <c r="A702" s="14" t="n">
        <v>46007.2940796412</v>
      </c>
      <c r="B702" s="17" t="inlineStr">
        <is>
          <t>Hồ Thái Minh Trí</t>
        </is>
      </c>
      <c r="C702" s="16" t="n">
        <v>46006</v>
      </c>
      <c r="D702" s="17" t="n">
        <v>0</v>
      </c>
      <c r="E702" s="17" t="n">
        <v>0</v>
      </c>
      <c r="F702" s="17" t="n">
        <v>0</v>
      </c>
      <c r="G702" s="17" t="n">
        <v>0</v>
      </c>
      <c r="H702" s="17" t="n">
        <v>0</v>
      </c>
      <c r="I702" s="17" t="n">
        <v>3</v>
      </c>
      <c r="J702" s="17" t="n">
        <v>0</v>
      </c>
      <c r="K702" s="17" t="n">
        <v>13</v>
      </c>
      <c r="L702" s="17" t="n">
        <v>0</v>
      </c>
      <c r="M702" s="17" t="n">
        <v>0</v>
      </c>
      <c r="N702" s="17" t="n">
        <v>0</v>
      </c>
      <c r="O702" s="17" t="n">
        <v>0</v>
      </c>
      <c r="P702" s="17" t="n">
        <v>1</v>
      </c>
      <c r="Q702" s="17" t="n">
        <v>1</v>
      </c>
      <c r="R702" s="17" t="n">
        <v>0</v>
      </c>
      <c r="T702" s="17">
        <f>DAY(C702)</f>
        <v/>
      </c>
      <c r="U702" s="17">
        <f>MONTH(C702)</f>
        <v/>
      </c>
    </row>
    <row r="703" hidden="1" ht="22.5" customHeight="1" s="117">
      <c r="A703" s="14" t="n">
        <v>46007.29491839121</v>
      </c>
      <c r="B703" s="17" t="inlineStr">
        <is>
          <t>Lương Duy Hải</t>
        </is>
      </c>
      <c r="C703" s="16" t="n">
        <v>46006</v>
      </c>
      <c r="D703" s="17" t="n">
        <v>0</v>
      </c>
      <c r="E703" s="17" t="n">
        <v>0</v>
      </c>
      <c r="F703" s="17" t="n">
        <v>0</v>
      </c>
      <c r="G703" s="17" t="n">
        <v>0</v>
      </c>
      <c r="H703" s="17" t="n">
        <v>0</v>
      </c>
      <c r="I703" s="17" t="n">
        <v>0</v>
      </c>
      <c r="J703" s="17" t="n">
        <v>0</v>
      </c>
      <c r="K703" s="17" t="n">
        <v>14</v>
      </c>
      <c r="L703" s="17" t="n">
        <v>0</v>
      </c>
      <c r="M703" s="17" t="n">
        <v>0</v>
      </c>
      <c r="N703" s="17" t="n">
        <v>0</v>
      </c>
      <c r="O703" s="17" t="n">
        <v>0</v>
      </c>
      <c r="P703" s="17" t="n">
        <v>0</v>
      </c>
      <c r="Q703" s="17" t="n">
        <v>2</v>
      </c>
      <c r="R703" s="17" t="n">
        <v>0</v>
      </c>
      <c r="T703" s="17">
        <f>DAY(C703)</f>
        <v/>
      </c>
      <c r="U703" s="17">
        <f>MONTH(C703)</f>
        <v/>
      </c>
    </row>
    <row r="704" hidden="1" ht="22.5" customHeight="1" s="117">
      <c r="A704" s="14" t="n">
        <v>46007.29512537037</v>
      </c>
      <c r="B704" s="17" t="inlineStr">
        <is>
          <t>Trần Trung Giang</t>
        </is>
      </c>
      <c r="C704" s="16" t="n">
        <v>46006</v>
      </c>
      <c r="D704" s="17" t="n">
        <v>0</v>
      </c>
      <c r="E704" s="17" t="n">
        <v>0</v>
      </c>
      <c r="F704" s="17" t="n">
        <v>0</v>
      </c>
      <c r="G704" s="17" t="n">
        <v>0</v>
      </c>
      <c r="H704" s="17" t="n">
        <v>0</v>
      </c>
      <c r="I704" s="17" t="n">
        <v>0</v>
      </c>
      <c r="J704" s="17" t="n">
        <v>0</v>
      </c>
      <c r="K704" s="17" t="n">
        <v>4</v>
      </c>
      <c r="L704" s="17" t="n">
        <v>0</v>
      </c>
      <c r="M704" s="17" t="n">
        <v>1</v>
      </c>
      <c r="N704" s="17" t="n">
        <v>0</v>
      </c>
      <c r="O704" s="17" t="n">
        <v>0</v>
      </c>
      <c r="P704" s="17" t="n">
        <v>0</v>
      </c>
      <c r="Q704" s="17" t="n">
        <v>0</v>
      </c>
      <c r="R704" s="17" t="n">
        <v>0</v>
      </c>
      <c r="T704" s="17">
        <f>DAY(C704)</f>
        <v/>
      </c>
      <c r="U704" s="17">
        <f>MONTH(C704)</f>
        <v/>
      </c>
    </row>
    <row r="705" hidden="1" ht="22.5" customHeight="1" s="117">
      <c r="A705" s="14" t="n">
        <v>46007.29542289352</v>
      </c>
      <c r="B705" s="17" t="inlineStr">
        <is>
          <t>Dương Minh Tiến</t>
        </is>
      </c>
      <c r="C705" s="16" t="n">
        <v>46006</v>
      </c>
      <c r="D705" s="17" t="n">
        <v>0</v>
      </c>
      <c r="E705" s="17" t="n">
        <v>0</v>
      </c>
      <c r="F705" s="17" t="n">
        <v>0</v>
      </c>
      <c r="G705" s="17" t="n">
        <v>0</v>
      </c>
      <c r="H705" s="17" t="n">
        <v>0</v>
      </c>
      <c r="I705" s="17" t="n">
        <v>1</v>
      </c>
      <c r="J705" s="17" t="n">
        <v>0</v>
      </c>
      <c r="K705" s="17" t="n">
        <v>2</v>
      </c>
      <c r="L705" s="17" t="n">
        <v>0</v>
      </c>
      <c r="M705" s="17" t="n">
        <v>0</v>
      </c>
      <c r="N705" s="17" t="n">
        <v>0</v>
      </c>
      <c r="O705" s="17" t="n">
        <v>0</v>
      </c>
      <c r="P705" s="17" t="n">
        <v>0</v>
      </c>
      <c r="Q705" s="17" t="n">
        <v>1</v>
      </c>
      <c r="R705" s="17" t="n">
        <v>0</v>
      </c>
      <c r="T705" s="17">
        <f>DAY(C705)</f>
        <v/>
      </c>
      <c r="U705" s="17">
        <f>MONTH(C705)</f>
        <v/>
      </c>
    </row>
    <row r="706" hidden="1" ht="22.5" customHeight="1" s="117">
      <c r="A706" s="14" t="n">
        <v>46007.29561943287</v>
      </c>
      <c r="B706" s="17" t="inlineStr">
        <is>
          <t>Lê Quốc Duy</t>
        </is>
      </c>
      <c r="C706" s="16" t="n">
        <v>46006</v>
      </c>
      <c r="D706" s="17" t="n">
        <v>0</v>
      </c>
      <c r="E706" s="17" t="n">
        <v>0</v>
      </c>
      <c r="F706" s="17" t="n">
        <v>0</v>
      </c>
      <c r="G706" s="17" t="n">
        <v>0</v>
      </c>
      <c r="H706" s="17" t="n">
        <v>0</v>
      </c>
      <c r="I706" s="17" t="n">
        <v>1</v>
      </c>
      <c r="J706" s="17" t="n">
        <v>0</v>
      </c>
      <c r="K706" s="17" t="n">
        <v>6</v>
      </c>
      <c r="L706" s="17" t="n">
        <v>0</v>
      </c>
      <c r="M706" s="17" t="n">
        <v>0</v>
      </c>
      <c r="N706" s="17" t="n">
        <v>0</v>
      </c>
      <c r="O706" s="17" t="n">
        <v>0</v>
      </c>
      <c r="P706" s="17" t="n">
        <v>1</v>
      </c>
      <c r="Q706" s="17" t="n">
        <v>1</v>
      </c>
      <c r="R706" s="17" t="n">
        <v>0</v>
      </c>
      <c r="T706" s="17">
        <f>DAY(C706)</f>
        <v/>
      </c>
      <c r="U706" s="17">
        <f>MONTH(C706)</f>
        <v/>
      </c>
    </row>
    <row r="707" hidden="1" ht="22.5" customHeight="1" s="117">
      <c r="A707" s="14" t="n">
        <v>46007.29600523148</v>
      </c>
      <c r="B707" s="17" t="inlineStr">
        <is>
          <t>Nguyễn Thành Lâm</t>
        </is>
      </c>
      <c r="C707" s="16" t="n">
        <v>46006</v>
      </c>
      <c r="D707" s="17" t="n">
        <v>0</v>
      </c>
      <c r="E707" s="17" t="n">
        <v>0</v>
      </c>
      <c r="F707" s="17" t="n">
        <v>0</v>
      </c>
      <c r="G707" s="17" t="n">
        <v>0</v>
      </c>
      <c r="H707" s="17" t="n">
        <v>0</v>
      </c>
      <c r="I707" s="17" t="n">
        <v>8</v>
      </c>
      <c r="J707" s="17" t="n">
        <v>0</v>
      </c>
      <c r="K707" s="17" t="n">
        <v>5</v>
      </c>
      <c r="L707" s="17" t="n">
        <v>0</v>
      </c>
      <c r="M707" s="17" t="n">
        <v>0</v>
      </c>
      <c r="N707" s="17" t="n">
        <v>0</v>
      </c>
      <c r="O707" s="17" t="n">
        <v>0</v>
      </c>
      <c r="P707" s="17" t="n">
        <v>0</v>
      </c>
      <c r="Q707" s="17" t="n">
        <v>1</v>
      </c>
      <c r="R707" s="17" t="n">
        <v>3</v>
      </c>
      <c r="T707" s="17">
        <f>DAY(C707)</f>
        <v/>
      </c>
      <c r="U707" s="17">
        <f>MONTH(C707)</f>
        <v/>
      </c>
    </row>
    <row r="708" hidden="1" ht="22.5" customHeight="1" s="117">
      <c r="A708" s="14" t="n">
        <v>46007.29623160879</v>
      </c>
      <c r="B708" s="17" t="inlineStr">
        <is>
          <t>Trần Minh Khánh</t>
        </is>
      </c>
      <c r="C708" s="16" t="n">
        <v>46006</v>
      </c>
      <c r="D708" s="17" t="n">
        <v>0</v>
      </c>
      <c r="E708" s="17" t="n">
        <v>0</v>
      </c>
      <c r="F708" s="17" t="n">
        <v>1</v>
      </c>
      <c r="G708" s="17" t="n">
        <v>1</v>
      </c>
      <c r="H708" s="17" t="n">
        <v>0</v>
      </c>
      <c r="I708" s="17" t="n">
        <v>0</v>
      </c>
      <c r="J708" s="17" t="n">
        <v>0</v>
      </c>
      <c r="K708" s="17" t="n">
        <v>5</v>
      </c>
      <c r="L708" s="17" t="n">
        <v>0</v>
      </c>
      <c r="M708" s="17" t="n">
        <v>0</v>
      </c>
      <c r="N708" s="17" t="n">
        <v>1</v>
      </c>
      <c r="O708" s="17" t="n">
        <v>1</v>
      </c>
      <c r="P708" s="17" t="n">
        <v>0</v>
      </c>
      <c r="Q708" s="17" t="n">
        <v>1</v>
      </c>
      <c r="R708" s="17" t="n">
        <v>0</v>
      </c>
      <c r="T708" s="17">
        <f>DAY(C708)</f>
        <v/>
      </c>
      <c r="U708" s="17">
        <f>MONTH(C708)</f>
        <v/>
      </c>
    </row>
    <row r="709" hidden="1" ht="22.5" customHeight="1" s="117">
      <c r="A709" s="14" t="n">
        <v>46007.29923423611</v>
      </c>
      <c r="B709" s="17" t="inlineStr">
        <is>
          <t>Hồ Xuân Việt</t>
        </is>
      </c>
      <c r="C709" s="16" t="n">
        <v>46006</v>
      </c>
      <c r="D709" s="17" t="n">
        <v>0</v>
      </c>
      <c r="E709" s="17" t="n">
        <v>0</v>
      </c>
      <c r="F709" s="17" t="n">
        <v>0</v>
      </c>
      <c r="G709" s="17" t="n">
        <v>0</v>
      </c>
      <c r="H709" s="17" t="n">
        <v>0</v>
      </c>
      <c r="I709" s="17" t="n">
        <v>0</v>
      </c>
      <c r="J709" s="17" t="n">
        <v>0</v>
      </c>
      <c r="K709" s="17" t="n">
        <v>8</v>
      </c>
      <c r="L709" s="17" t="n">
        <v>0</v>
      </c>
      <c r="M709" s="17" t="n">
        <v>0</v>
      </c>
      <c r="N709" s="17" t="n">
        <v>0</v>
      </c>
      <c r="O709" s="17" t="n">
        <v>0</v>
      </c>
      <c r="P709" s="17" t="n">
        <v>1</v>
      </c>
      <c r="Q709" s="17" t="n">
        <v>2</v>
      </c>
      <c r="R709" s="17" t="n">
        <v>0</v>
      </c>
      <c r="T709" s="17">
        <f>DAY(C709)</f>
        <v/>
      </c>
      <c r="U709" s="17">
        <f>MONTH(C709)</f>
        <v/>
      </c>
    </row>
    <row r="710" hidden="1" ht="22.5" customHeight="1" s="117">
      <c r="A710" s="14" t="n">
        <v>46007.2999708912</v>
      </c>
      <c r="B710" s="17" t="inlineStr">
        <is>
          <t>Nguyễn Tuấn Anh</t>
        </is>
      </c>
      <c r="C710" s="16" t="n">
        <v>45976</v>
      </c>
      <c r="D710" s="17" t="n">
        <v>1</v>
      </c>
      <c r="E710" s="17" t="n">
        <v>0</v>
      </c>
      <c r="F710" s="17" t="n">
        <v>0</v>
      </c>
      <c r="G710" s="17" t="n">
        <v>0</v>
      </c>
      <c r="H710" s="17" t="n">
        <v>0</v>
      </c>
      <c r="I710" s="17" t="n">
        <v>0</v>
      </c>
      <c r="J710" s="17" t="n">
        <v>0</v>
      </c>
      <c r="K710" s="17" t="n">
        <v>14</v>
      </c>
      <c r="L710" s="17" t="n">
        <v>0</v>
      </c>
      <c r="M710" s="17" t="n">
        <v>0</v>
      </c>
      <c r="N710" s="17" t="n">
        <v>1</v>
      </c>
      <c r="O710" s="17" t="n">
        <v>0</v>
      </c>
      <c r="P710" s="17" t="n">
        <v>1</v>
      </c>
      <c r="Q710" s="17" t="n">
        <v>5</v>
      </c>
      <c r="R710" s="17" t="n">
        <v>0</v>
      </c>
      <c r="T710" s="17">
        <f>DAY(C710)</f>
        <v/>
      </c>
      <c r="U710" s="17">
        <f>MONTH(C710)</f>
        <v/>
      </c>
    </row>
    <row r="711" hidden="1" ht="22.5" customHeight="1" s="117">
      <c r="A711" s="14" t="n">
        <v>46007.30296238426</v>
      </c>
      <c r="B711" s="17" t="inlineStr">
        <is>
          <t>Nguyễn Văn Nhật</t>
        </is>
      </c>
      <c r="C711" s="16" t="n">
        <v>46006</v>
      </c>
      <c r="D711" s="17" t="n">
        <v>0</v>
      </c>
      <c r="E711" s="17" t="n">
        <v>0</v>
      </c>
      <c r="F711" s="17" t="n">
        <v>0</v>
      </c>
      <c r="G711" s="17" t="n">
        <v>0</v>
      </c>
      <c r="H711" s="17" t="n">
        <v>0</v>
      </c>
      <c r="I711" s="17" t="n">
        <v>0</v>
      </c>
      <c r="J711" s="17" t="n">
        <v>9</v>
      </c>
      <c r="K711" s="17" t="n">
        <v>6</v>
      </c>
      <c r="L711" s="17" t="n">
        <v>0</v>
      </c>
      <c r="M711" s="17" t="n">
        <v>0</v>
      </c>
      <c r="N711" s="17" t="n">
        <v>0</v>
      </c>
      <c r="O711" s="17" t="n">
        <v>0</v>
      </c>
      <c r="P711" s="17" t="n">
        <v>0</v>
      </c>
      <c r="Q711" s="17" t="n">
        <v>2</v>
      </c>
      <c r="R711" s="17" t="n">
        <v>0</v>
      </c>
      <c r="T711" s="17">
        <f>DAY(C711)</f>
        <v/>
      </c>
      <c r="U711" s="17">
        <f>MONTH(C711)</f>
        <v/>
      </c>
    </row>
    <row r="712" hidden="1" ht="22.5" customHeight="1" s="117">
      <c r="A712" s="14" t="n">
        <v>46007.31353798611</v>
      </c>
      <c r="B712" s="17" t="inlineStr">
        <is>
          <t>Bùi Duy Cường</t>
        </is>
      </c>
      <c r="C712" s="16" t="n">
        <v>46006</v>
      </c>
      <c r="D712" s="17" t="n">
        <v>0</v>
      </c>
      <c r="E712" s="17" t="n">
        <v>0</v>
      </c>
      <c r="F712" s="17" t="n">
        <v>0</v>
      </c>
      <c r="G712" s="17" t="n">
        <v>0</v>
      </c>
      <c r="H712" s="17" t="n">
        <v>0</v>
      </c>
      <c r="I712" s="17" t="n">
        <v>1</v>
      </c>
      <c r="J712" s="17" t="n">
        <v>0</v>
      </c>
      <c r="K712" s="17" t="n">
        <v>10</v>
      </c>
      <c r="L712" s="17" t="n">
        <v>0</v>
      </c>
      <c r="M712" s="17" t="n">
        <v>0</v>
      </c>
      <c r="N712" s="17" t="n">
        <v>0</v>
      </c>
      <c r="O712" s="17" t="n">
        <v>0</v>
      </c>
      <c r="P712" s="17" t="n">
        <v>0</v>
      </c>
      <c r="Q712" s="17" t="n">
        <v>1</v>
      </c>
      <c r="R712" s="17" t="n">
        <v>2</v>
      </c>
      <c r="T712" s="17">
        <f>DAY(C712)</f>
        <v/>
      </c>
      <c r="U712" s="17">
        <f>MONTH(C712)</f>
        <v/>
      </c>
    </row>
    <row r="713" hidden="1" ht="22.5" customHeight="1" s="117">
      <c r="A713" s="14" t="n">
        <v>46007.31561372685</v>
      </c>
      <c r="B713" s="17" t="inlineStr">
        <is>
          <t>Trần Xuân Khoa</t>
        </is>
      </c>
      <c r="C713" s="16" t="n">
        <v>46006</v>
      </c>
      <c r="D713" s="17" t="n">
        <v>0</v>
      </c>
      <c r="E713" s="17" t="n">
        <v>0</v>
      </c>
      <c r="F713" s="17" t="n">
        <v>0</v>
      </c>
      <c r="G713" s="17" t="n">
        <v>0</v>
      </c>
      <c r="H713" s="17" t="n">
        <v>0</v>
      </c>
      <c r="I713" s="17" t="n">
        <v>1</v>
      </c>
      <c r="J713" s="17" t="n">
        <v>0</v>
      </c>
      <c r="K713" s="17" t="n">
        <v>5</v>
      </c>
      <c r="L713" s="17" t="n">
        <v>2</v>
      </c>
      <c r="M713" s="17" t="n">
        <v>0</v>
      </c>
      <c r="N713" s="17" t="n">
        <v>0</v>
      </c>
      <c r="O713" s="17" t="n">
        <v>0</v>
      </c>
      <c r="P713" s="17" t="n">
        <v>1</v>
      </c>
      <c r="Q713" s="17" t="n">
        <v>3</v>
      </c>
      <c r="R713" s="17" t="n">
        <v>0</v>
      </c>
      <c r="T713" s="17">
        <f>DAY(C713)</f>
        <v/>
      </c>
      <c r="U713" s="17">
        <f>MONTH(C713)</f>
        <v/>
      </c>
    </row>
    <row r="714" hidden="1" ht="22.5" customHeight="1" s="117">
      <c r="A714" s="14" t="n">
        <v>46007.31741710648</v>
      </c>
      <c r="B714" s="17" t="inlineStr">
        <is>
          <t>Lê Hồng Phong</t>
        </is>
      </c>
      <c r="C714" s="16" t="n">
        <v>45276</v>
      </c>
      <c r="D714" s="17" t="n">
        <v>1</v>
      </c>
      <c r="E714" s="17" t="n">
        <v>1</v>
      </c>
      <c r="F714" s="17" t="n">
        <v>1</v>
      </c>
      <c r="G714" s="17" t="n">
        <v>0</v>
      </c>
      <c r="H714" s="17" t="n">
        <v>0</v>
      </c>
      <c r="I714" s="17" t="n">
        <v>1</v>
      </c>
      <c r="J714" s="17" t="n">
        <v>1</v>
      </c>
      <c r="K714" s="17" t="n">
        <v>1</v>
      </c>
      <c r="L714" s="17" t="n">
        <v>1</v>
      </c>
      <c r="M714" s="17" t="n">
        <v>1</v>
      </c>
      <c r="N714" s="17" t="n">
        <v>1</v>
      </c>
      <c r="O714" s="17" t="n">
        <v>1</v>
      </c>
      <c r="P714" s="17" t="n">
        <v>1</v>
      </c>
      <c r="Q714" s="17" t="n">
        <v>1</v>
      </c>
      <c r="R714" s="17" t="n">
        <v>1</v>
      </c>
      <c r="T714" s="17">
        <f>DAY(C714)</f>
        <v/>
      </c>
      <c r="U714" s="17">
        <f>MONTH(C714)</f>
        <v/>
      </c>
    </row>
    <row r="715" hidden="1" ht="22.5" customHeight="1" s="117">
      <c r="A715" s="14" t="n">
        <v>46007.34368622685</v>
      </c>
      <c r="B715" s="17" t="inlineStr">
        <is>
          <t>Nguyễn Hồng Minh</t>
        </is>
      </c>
      <c r="C715" s="16" t="n">
        <v>46006</v>
      </c>
      <c r="D715" s="17" t="n">
        <v>0</v>
      </c>
      <c r="E715" s="17" t="n">
        <v>0</v>
      </c>
      <c r="F715" s="17" t="n">
        <v>0</v>
      </c>
      <c r="G715" s="17" t="n">
        <v>0</v>
      </c>
      <c r="H715" s="17" t="n">
        <v>0</v>
      </c>
      <c r="I715" s="17" t="n">
        <v>2</v>
      </c>
      <c r="J715" s="17" t="n">
        <v>0</v>
      </c>
      <c r="K715" s="17" t="n">
        <v>4</v>
      </c>
      <c r="L715" s="17" t="n">
        <v>0</v>
      </c>
      <c r="M715" s="17" t="n">
        <v>0</v>
      </c>
      <c r="N715" s="17" t="n">
        <v>1</v>
      </c>
      <c r="O715" s="17" t="n">
        <v>0</v>
      </c>
      <c r="P715" s="17" t="n">
        <v>0</v>
      </c>
      <c r="Q715" s="17" t="n">
        <v>5</v>
      </c>
      <c r="R715" s="17" t="n">
        <v>0</v>
      </c>
      <c r="T715" s="17">
        <f>DAY(C715)</f>
        <v/>
      </c>
      <c r="U715" s="17">
        <f>MONTH(C715)</f>
        <v/>
      </c>
    </row>
    <row r="716" hidden="1" ht="22.5" customHeight="1" s="117">
      <c r="A716" s="14" t="n">
        <v>46007.34368934028</v>
      </c>
      <c r="B716" s="17" t="inlineStr">
        <is>
          <t>Lê Văn Hồng</t>
        </is>
      </c>
      <c r="C716" s="16" t="n">
        <v>46006</v>
      </c>
      <c r="D716" s="17" t="n">
        <v>0</v>
      </c>
      <c r="E716" s="17" t="n">
        <v>0</v>
      </c>
      <c r="F716" s="17" t="n">
        <v>0</v>
      </c>
      <c r="G716" s="17" t="n">
        <v>0</v>
      </c>
      <c r="H716" s="17" t="n">
        <v>0</v>
      </c>
      <c r="I716" s="17" t="n">
        <v>3</v>
      </c>
      <c r="J716" s="17" t="n">
        <v>0</v>
      </c>
      <c r="K716" s="17" t="n">
        <v>7</v>
      </c>
      <c r="L716" s="17" t="n">
        <v>0</v>
      </c>
      <c r="M716" s="17" t="n">
        <v>0</v>
      </c>
      <c r="N716" s="17" t="n">
        <v>3</v>
      </c>
      <c r="O716" s="17" t="n">
        <v>0</v>
      </c>
      <c r="P716" s="17" t="n">
        <v>2</v>
      </c>
      <c r="Q716" s="17" t="n">
        <v>2</v>
      </c>
      <c r="R716" s="17" t="n">
        <v>0</v>
      </c>
      <c r="T716" s="17">
        <f>DAY(C716)</f>
        <v/>
      </c>
      <c r="U716" s="17">
        <f>MONTH(C716)</f>
        <v/>
      </c>
    </row>
    <row r="717" hidden="1" ht="22.5" customHeight="1" s="117">
      <c r="A717" s="14" t="n">
        <v>46007.35472895834</v>
      </c>
      <c r="B717" s="17" t="inlineStr">
        <is>
          <t>Hoàng Văn Chất</t>
        </is>
      </c>
      <c r="C717" s="16" t="n">
        <v>46006</v>
      </c>
      <c r="D717" s="17" t="n">
        <v>0</v>
      </c>
      <c r="E717" s="17" t="n">
        <v>0</v>
      </c>
      <c r="F717" s="17" t="n">
        <v>0</v>
      </c>
      <c r="G717" s="17" t="n">
        <v>0</v>
      </c>
      <c r="H717" s="17" t="n">
        <v>0</v>
      </c>
      <c r="I717" s="17" t="n">
        <v>0</v>
      </c>
      <c r="J717" s="17" t="n">
        <v>0</v>
      </c>
      <c r="K717" s="17" t="n">
        <v>18</v>
      </c>
      <c r="L717" s="17" t="n">
        <v>0</v>
      </c>
      <c r="M717" s="17" t="n">
        <v>0</v>
      </c>
      <c r="N717" s="17" t="n">
        <v>0</v>
      </c>
      <c r="O717" s="17" t="n">
        <v>0</v>
      </c>
      <c r="P717" s="17" t="n">
        <v>0</v>
      </c>
      <c r="Q717" s="17" t="n">
        <v>2</v>
      </c>
      <c r="R717" s="17" t="n">
        <v>0</v>
      </c>
      <c r="T717" s="17">
        <f>DAY(C717)</f>
        <v/>
      </c>
      <c r="U717" s="17">
        <f>MONTH(C717)</f>
        <v/>
      </c>
    </row>
    <row r="718" hidden="1" ht="22.5" customHeight="1" s="117">
      <c r="A718" s="14" t="n">
        <v>46007.91074417824</v>
      </c>
      <c r="B718" s="17" t="inlineStr">
        <is>
          <t>Lê Quốc Duy</t>
        </is>
      </c>
      <c r="C718" s="16" t="n">
        <v>46007</v>
      </c>
      <c r="D718" s="17" t="n">
        <v>0</v>
      </c>
      <c r="E718" s="17" t="n">
        <v>0</v>
      </c>
      <c r="F718" s="17" t="n">
        <v>0</v>
      </c>
      <c r="G718" s="17" t="n">
        <v>0</v>
      </c>
      <c r="H718" s="17" t="n">
        <v>0</v>
      </c>
      <c r="I718" s="17" t="n">
        <v>0</v>
      </c>
      <c r="J718" s="17" t="n">
        <v>0</v>
      </c>
      <c r="K718" s="17" t="n">
        <v>9</v>
      </c>
      <c r="L718" s="17" t="n">
        <v>0</v>
      </c>
      <c r="M718" s="17" t="n">
        <v>0</v>
      </c>
      <c r="N718" s="17" t="n">
        <v>0</v>
      </c>
      <c r="O718" s="17" t="n">
        <v>0</v>
      </c>
      <c r="P718" s="17" t="n">
        <v>0</v>
      </c>
      <c r="Q718" s="17" t="n">
        <v>0</v>
      </c>
      <c r="R718" s="17" t="n">
        <v>0</v>
      </c>
      <c r="T718" s="17">
        <f>DAY(C718)</f>
        <v/>
      </c>
      <c r="U718" s="17">
        <f>MONTH(C718)</f>
        <v/>
      </c>
    </row>
    <row r="719" hidden="1" ht="22.5" customHeight="1" s="117">
      <c r="A719" s="14" t="n">
        <v>46008.26481520833</v>
      </c>
      <c r="B719" s="17" t="inlineStr">
        <is>
          <t>Dương Minh Tiến</t>
        </is>
      </c>
      <c r="C719" s="16" t="n">
        <v>46007</v>
      </c>
      <c r="D719" s="17" t="n">
        <v>0</v>
      </c>
      <c r="E719" s="17" t="n">
        <v>0</v>
      </c>
      <c r="F719" s="17" t="n">
        <v>0</v>
      </c>
      <c r="G719" s="17" t="n">
        <v>0</v>
      </c>
      <c r="H719" s="17" t="n">
        <v>0</v>
      </c>
      <c r="I719" s="17" t="n">
        <v>0</v>
      </c>
      <c r="J719" s="17" t="n">
        <v>0</v>
      </c>
      <c r="K719" s="17" t="n">
        <v>11</v>
      </c>
      <c r="L719" s="17" t="n">
        <v>0</v>
      </c>
      <c r="M719" s="17" t="n">
        <v>0</v>
      </c>
      <c r="N719" s="17" t="n">
        <v>0</v>
      </c>
      <c r="O719" s="17" t="n">
        <v>0</v>
      </c>
      <c r="P719" s="17" t="n">
        <v>1</v>
      </c>
      <c r="Q719" s="17" t="n">
        <v>1</v>
      </c>
      <c r="R719" s="17" t="n">
        <v>1</v>
      </c>
      <c r="T719" s="17">
        <f>DAY(C719)</f>
        <v/>
      </c>
      <c r="U719" s="17">
        <f>MONTH(C719)</f>
        <v/>
      </c>
    </row>
    <row r="720" hidden="1" ht="22.5" customHeight="1" s="117">
      <c r="A720" s="14" t="n">
        <v>46008.27078287037</v>
      </c>
      <c r="B720" s="17" t="inlineStr">
        <is>
          <t>Phan Thành Thái</t>
        </is>
      </c>
      <c r="C720" s="16" t="n">
        <v>46007</v>
      </c>
      <c r="D720" s="17" t="n">
        <v>0</v>
      </c>
      <c r="E720" s="17" t="n">
        <v>0</v>
      </c>
      <c r="F720" s="17" t="n">
        <v>2</v>
      </c>
      <c r="G720" s="17" t="n">
        <v>0</v>
      </c>
      <c r="H720" s="17" t="n">
        <v>0</v>
      </c>
      <c r="I720" s="17" t="n">
        <v>2</v>
      </c>
      <c r="J720" s="17" t="n">
        <v>1</v>
      </c>
      <c r="K720" s="17" t="n">
        <v>4</v>
      </c>
      <c r="L720" s="17" t="n">
        <v>0</v>
      </c>
      <c r="M720" s="17" t="n">
        <v>0</v>
      </c>
      <c r="N720" s="17" t="n">
        <v>0</v>
      </c>
      <c r="O720" s="17" t="n">
        <v>0</v>
      </c>
      <c r="P720" s="17" t="n">
        <v>0</v>
      </c>
      <c r="Q720" s="17" t="n">
        <v>5</v>
      </c>
      <c r="R720" s="17" t="n">
        <v>0</v>
      </c>
      <c r="T720" s="17">
        <f>DAY(C720)</f>
        <v/>
      </c>
      <c r="U720" s="17">
        <f>MONTH(C720)</f>
        <v/>
      </c>
    </row>
    <row r="721" hidden="1" ht="22.5" customHeight="1" s="117">
      <c r="A721" s="14" t="n">
        <v>46008.27573837963</v>
      </c>
      <c r="B721" s="17" t="inlineStr">
        <is>
          <t>Phan Ngọc Sang</t>
        </is>
      </c>
      <c r="C721" s="16" t="n">
        <v>46007</v>
      </c>
      <c r="D721" s="17" t="n">
        <v>1</v>
      </c>
      <c r="E721" s="17" t="n">
        <v>1</v>
      </c>
      <c r="F721" s="17" t="n">
        <v>0</v>
      </c>
      <c r="G721" s="17" t="n">
        <v>0</v>
      </c>
      <c r="H721" s="17" t="n">
        <v>0</v>
      </c>
      <c r="I721" s="17" t="n">
        <v>0</v>
      </c>
      <c r="J721" s="17" t="n">
        <v>2</v>
      </c>
      <c r="K721" s="17" t="n">
        <v>8</v>
      </c>
      <c r="L721" s="17" t="n">
        <v>0</v>
      </c>
      <c r="M721" s="17" t="n">
        <v>0</v>
      </c>
      <c r="N721" s="17" t="n">
        <v>0</v>
      </c>
      <c r="O721" s="17" t="n">
        <v>0</v>
      </c>
      <c r="P721" s="17" t="n">
        <v>0</v>
      </c>
      <c r="Q721" s="17" t="n">
        <v>2</v>
      </c>
      <c r="R721" s="17" t="n">
        <v>0</v>
      </c>
      <c r="T721" s="17">
        <f>DAY(C721)</f>
        <v/>
      </c>
      <c r="U721" s="17">
        <f>MONTH(C721)</f>
        <v/>
      </c>
    </row>
    <row r="722" hidden="1" ht="22.5" customHeight="1" s="117">
      <c r="A722" s="14" t="n">
        <v>46008.28304122685</v>
      </c>
      <c r="B722" s="17" t="inlineStr">
        <is>
          <t>Lương Duy Hải</t>
        </is>
      </c>
      <c r="C722" s="16" t="n">
        <v>46007</v>
      </c>
      <c r="D722" s="17" t="n">
        <v>0</v>
      </c>
      <c r="E722" s="17" t="n">
        <v>0</v>
      </c>
      <c r="F722" s="17" t="n">
        <v>0</v>
      </c>
      <c r="G722" s="17" t="n">
        <v>0</v>
      </c>
      <c r="H722" s="17" t="n">
        <v>0</v>
      </c>
      <c r="I722" s="17" t="n">
        <v>0</v>
      </c>
      <c r="J722" s="17" t="n">
        <v>0</v>
      </c>
      <c r="K722" s="17" t="n">
        <v>10</v>
      </c>
      <c r="L722" s="17" t="n">
        <v>0</v>
      </c>
      <c r="M722" s="17" t="n">
        <v>0</v>
      </c>
      <c r="N722" s="17" t="n">
        <v>0</v>
      </c>
      <c r="O722" s="17" t="n">
        <v>1</v>
      </c>
      <c r="P722" s="17" t="n">
        <v>2</v>
      </c>
      <c r="Q722" s="17" t="n">
        <v>2</v>
      </c>
      <c r="R722" s="17" t="n">
        <v>0</v>
      </c>
      <c r="T722" s="17">
        <f>DAY(C722)</f>
        <v/>
      </c>
      <c r="U722" s="17">
        <f>MONTH(C722)</f>
        <v/>
      </c>
    </row>
    <row r="723" hidden="1" ht="22.5" customHeight="1" s="117">
      <c r="A723" s="14" t="n">
        <v>46008.28761857639</v>
      </c>
      <c r="B723" s="17" t="inlineStr">
        <is>
          <t>Hồ Xuân Việt</t>
        </is>
      </c>
      <c r="C723" s="16" t="n">
        <v>46007</v>
      </c>
      <c r="D723" s="17" t="n">
        <v>0</v>
      </c>
      <c r="E723" s="17" t="n">
        <v>0</v>
      </c>
      <c r="F723" s="17" t="n">
        <v>0</v>
      </c>
      <c r="G723" s="17" t="n">
        <v>0</v>
      </c>
      <c r="H723" s="17" t="n">
        <v>0</v>
      </c>
      <c r="I723" s="17" t="n">
        <v>0</v>
      </c>
      <c r="J723" s="17" t="n">
        <v>0</v>
      </c>
      <c r="K723" s="17" t="n">
        <v>4</v>
      </c>
      <c r="L723" s="17" t="n">
        <v>0</v>
      </c>
      <c r="M723" s="17" t="n">
        <v>0</v>
      </c>
      <c r="N723" s="17" t="n">
        <v>0</v>
      </c>
      <c r="O723" s="17" t="n">
        <v>0</v>
      </c>
      <c r="P723" s="17" t="n">
        <v>1</v>
      </c>
      <c r="Q723" s="17" t="n">
        <v>1</v>
      </c>
      <c r="R723" s="17" t="n">
        <v>0</v>
      </c>
      <c r="T723" s="17">
        <f>DAY(C723)</f>
        <v/>
      </c>
      <c r="U723" s="17">
        <f>MONTH(C723)</f>
        <v/>
      </c>
    </row>
    <row r="724" hidden="1" ht="22.5" customHeight="1" s="117">
      <c r="A724" s="14" t="n">
        <v>46008.28787193287</v>
      </c>
      <c r="B724" s="17" t="inlineStr">
        <is>
          <t>Nguyễn Văn Hiệp</t>
        </is>
      </c>
      <c r="C724" s="16" t="n">
        <v>46007</v>
      </c>
      <c r="D724" s="17" t="n">
        <v>1</v>
      </c>
      <c r="E724" s="17" t="n">
        <v>1</v>
      </c>
      <c r="F724" s="17" t="n">
        <v>0</v>
      </c>
      <c r="G724" s="17" t="n">
        <v>0</v>
      </c>
      <c r="H724" s="17" t="n">
        <v>0</v>
      </c>
      <c r="I724" s="17" t="n">
        <v>0</v>
      </c>
      <c r="J724" s="17" t="n">
        <v>0</v>
      </c>
      <c r="K724" s="17" t="n">
        <v>3</v>
      </c>
      <c r="L724" s="17" t="n">
        <v>0</v>
      </c>
      <c r="M724" s="17" t="n">
        <v>2</v>
      </c>
      <c r="N724" s="17" t="n">
        <v>0</v>
      </c>
      <c r="O724" s="17" t="n">
        <v>0</v>
      </c>
      <c r="P724" s="17" t="n">
        <v>0</v>
      </c>
      <c r="Q724" s="17" t="n">
        <v>0</v>
      </c>
      <c r="R724" s="17" t="n">
        <v>0</v>
      </c>
      <c r="T724" s="17">
        <f>DAY(C724)</f>
        <v/>
      </c>
      <c r="U724" s="17">
        <f>MONTH(C724)</f>
        <v/>
      </c>
    </row>
    <row r="725" hidden="1" ht="22.5" customHeight="1" s="117">
      <c r="A725" s="14" t="n">
        <v>46008.29405789352</v>
      </c>
      <c r="B725" s="17" t="inlineStr">
        <is>
          <t>Hồ Thái Minh Trí</t>
        </is>
      </c>
      <c r="C725" s="16" t="n">
        <v>46007</v>
      </c>
      <c r="D725" s="17" t="n">
        <v>0</v>
      </c>
      <c r="E725" s="17" t="n">
        <v>0</v>
      </c>
      <c r="F725" s="17" t="n">
        <v>0</v>
      </c>
      <c r="G725" s="17" t="n">
        <v>0</v>
      </c>
      <c r="H725" s="17" t="n">
        <v>0</v>
      </c>
      <c r="I725" s="17" t="n">
        <v>3</v>
      </c>
      <c r="J725" s="17" t="n">
        <v>0</v>
      </c>
      <c r="K725" s="17" t="n">
        <v>14</v>
      </c>
      <c r="L725" s="17" t="n">
        <v>0</v>
      </c>
      <c r="M725" s="17" t="n">
        <v>0</v>
      </c>
      <c r="N725" s="17" t="n">
        <v>0</v>
      </c>
      <c r="O725" s="17" t="n">
        <v>0</v>
      </c>
      <c r="P725" s="17" t="n">
        <v>0</v>
      </c>
      <c r="Q725" s="17" t="n">
        <v>3</v>
      </c>
      <c r="R725" s="17" t="n">
        <v>0</v>
      </c>
      <c r="T725" s="17">
        <f>DAY(C725)</f>
        <v/>
      </c>
      <c r="U725" s="17">
        <f>MONTH(C725)</f>
        <v/>
      </c>
    </row>
    <row r="726" hidden="1" ht="22.5" customHeight="1" s="117">
      <c r="A726" s="14" t="n">
        <v>46008.29494466435</v>
      </c>
      <c r="B726" s="17" t="inlineStr">
        <is>
          <t>Nguyễn Tuấn Anh</t>
        </is>
      </c>
      <c r="C726" s="16" t="n">
        <v>46007</v>
      </c>
      <c r="D726" s="17" t="n">
        <v>0</v>
      </c>
      <c r="E726" s="17" t="n">
        <v>0</v>
      </c>
      <c r="F726" s="17" t="n">
        <v>0</v>
      </c>
      <c r="G726" s="17" t="n">
        <v>0</v>
      </c>
      <c r="H726" s="17" t="n">
        <v>0</v>
      </c>
      <c r="I726" s="17" t="n">
        <v>0</v>
      </c>
      <c r="J726" s="17" t="n">
        <v>0</v>
      </c>
      <c r="K726" s="17" t="n">
        <v>4</v>
      </c>
      <c r="L726" s="17" t="n">
        <v>12</v>
      </c>
      <c r="M726" s="17" t="n">
        <v>0</v>
      </c>
      <c r="N726" s="17" t="n">
        <v>1</v>
      </c>
      <c r="O726" s="17" t="n">
        <v>0</v>
      </c>
      <c r="P726" s="17" t="n">
        <v>1</v>
      </c>
      <c r="Q726" s="17" t="n">
        <v>6</v>
      </c>
      <c r="R726" s="17" t="n">
        <v>0</v>
      </c>
      <c r="T726" s="17">
        <f>DAY(C726)</f>
        <v/>
      </c>
      <c r="U726" s="17">
        <f>MONTH(C726)</f>
        <v/>
      </c>
    </row>
    <row r="727" hidden="1" ht="22.5" customHeight="1" s="117">
      <c r="A727" s="14" t="n">
        <v>46008.29506717592</v>
      </c>
      <c r="B727" s="17" t="inlineStr">
        <is>
          <t>Lương Duy Hoàng</t>
        </is>
      </c>
      <c r="C727" s="16" t="n">
        <v>46007</v>
      </c>
      <c r="D727" s="17" t="n">
        <v>0</v>
      </c>
      <c r="E727" s="17" t="n">
        <v>0</v>
      </c>
      <c r="F727" s="17" t="n">
        <v>0</v>
      </c>
      <c r="G727" s="17" t="n">
        <v>0</v>
      </c>
      <c r="H727" s="17" t="n">
        <v>0</v>
      </c>
      <c r="I727" s="17" t="n">
        <v>2</v>
      </c>
      <c r="J727" s="17" t="n">
        <v>0</v>
      </c>
      <c r="K727" s="17" t="n">
        <v>5</v>
      </c>
      <c r="L727" s="17" t="n">
        <v>0</v>
      </c>
      <c r="M727" s="17" t="n">
        <v>0</v>
      </c>
      <c r="N727" s="17" t="n">
        <v>0</v>
      </c>
      <c r="O727" s="17" t="n">
        <v>0</v>
      </c>
      <c r="P727" s="17" t="n">
        <v>1</v>
      </c>
      <c r="Q727" s="17" t="n">
        <v>2</v>
      </c>
      <c r="R727" s="17" t="n">
        <v>0</v>
      </c>
      <c r="T727" s="17">
        <f>DAY(C727)</f>
        <v/>
      </c>
      <c r="U727" s="17">
        <f>MONTH(C727)</f>
        <v/>
      </c>
    </row>
    <row r="728" hidden="1" ht="22.5" customHeight="1" s="117">
      <c r="A728" s="14" t="n">
        <v>46008.29525462963</v>
      </c>
      <c r="B728" s="17" t="inlineStr">
        <is>
          <t>Nguyễn Văn Nhật</t>
        </is>
      </c>
      <c r="C728" s="16" t="n">
        <v>46007</v>
      </c>
      <c r="D728" s="17" t="n">
        <v>0</v>
      </c>
      <c r="E728" s="17" t="n">
        <v>0</v>
      </c>
      <c r="F728" s="17" t="n">
        <v>0</v>
      </c>
      <c r="G728" s="18" t="inlineStr">
        <is>
          <t>00</t>
        </is>
      </c>
      <c r="I728" s="17" t="n">
        <v>0</v>
      </c>
      <c r="J728" s="17" t="n">
        <v>1</v>
      </c>
      <c r="K728" s="17" t="n">
        <v>4</v>
      </c>
      <c r="L728" s="17" t="n">
        <v>0</v>
      </c>
      <c r="M728" s="17" t="n">
        <v>2</v>
      </c>
      <c r="N728" s="17" t="n">
        <v>0</v>
      </c>
      <c r="O728" s="17" t="n">
        <v>0</v>
      </c>
      <c r="P728" s="17" t="n">
        <v>1</v>
      </c>
      <c r="Q728" s="17" t="n">
        <v>10</v>
      </c>
      <c r="R728" s="17" t="n">
        <v>0</v>
      </c>
      <c r="T728" s="17">
        <f>DAY(C728)</f>
        <v/>
      </c>
      <c r="U728" s="17">
        <f>MONTH(C728)</f>
        <v/>
      </c>
    </row>
    <row r="729" hidden="1" ht="22.5" customHeight="1" s="117">
      <c r="A729" s="14" t="n">
        <v>46008.29607464121</v>
      </c>
      <c r="B729" s="17" t="inlineStr">
        <is>
          <t>Trần Trung Giang</t>
        </is>
      </c>
      <c r="C729" s="16" t="n">
        <v>46007</v>
      </c>
      <c r="D729" s="17" t="n">
        <v>0</v>
      </c>
      <c r="E729" s="17" t="n">
        <v>0</v>
      </c>
      <c r="F729" s="17" t="n">
        <v>0</v>
      </c>
      <c r="G729" s="17" t="n">
        <v>0</v>
      </c>
      <c r="H729" s="17" t="n">
        <v>0</v>
      </c>
      <c r="I729" s="17" t="n">
        <v>0</v>
      </c>
      <c r="J729" s="17" t="n">
        <v>0</v>
      </c>
      <c r="K729" s="17" t="n">
        <v>6</v>
      </c>
      <c r="L729" s="17" t="n">
        <v>0</v>
      </c>
      <c r="M729" s="17" t="n">
        <v>0</v>
      </c>
      <c r="N729" s="17" t="n">
        <v>0</v>
      </c>
      <c r="O729" s="17" t="n">
        <v>0</v>
      </c>
      <c r="P729" s="17" t="n">
        <v>1</v>
      </c>
      <c r="Q729" s="17" t="n">
        <v>0</v>
      </c>
      <c r="R729" s="17" t="n">
        <v>0</v>
      </c>
      <c r="T729" s="17">
        <f>DAY(C729)</f>
        <v/>
      </c>
      <c r="U729" s="17">
        <f>MONTH(C729)</f>
        <v/>
      </c>
    </row>
    <row r="730" hidden="1" ht="22.5" customHeight="1" s="117">
      <c r="A730" s="14" t="n">
        <v>46008.2962178588</v>
      </c>
      <c r="B730" s="17" t="inlineStr">
        <is>
          <t>Đặng Hữu Danh</t>
        </is>
      </c>
      <c r="C730" s="16" t="n">
        <v>46007</v>
      </c>
      <c r="D730" s="17" t="n">
        <v>0</v>
      </c>
      <c r="E730" s="17" t="n">
        <v>0</v>
      </c>
      <c r="F730" s="17" t="n">
        <v>0</v>
      </c>
      <c r="G730" s="17" t="n">
        <v>0</v>
      </c>
      <c r="H730" s="17" t="n">
        <v>0</v>
      </c>
      <c r="I730" s="17" t="n">
        <v>1</v>
      </c>
      <c r="J730" s="17" t="n">
        <v>0</v>
      </c>
      <c r="K730" s="17" t="n">
        <v>10</v>
      </c>
      <c r="L730" s="17" t="n">
        <v>0</v>
      </c>
      <c r="M730" s="17" t="n">
        <v>0</v>
      </c>
      <c r="N730" s="17" t="n">
        <v>0</v>
      </c>
      <c r="O730" s="17" t="n">
        <v>0</v>
      </c>
      <c r="P730" s="17" t="n">
        <v>1</v>
      </c>
      <c r="Q730" s="17" t="n">
        <v>2</v>
      </c>
      <c r="R730" s="17" t="n">
        <v>1</v>
      </c>
      <c r="T730" s="17">
        <f>DAY(C730)</f>
        <v/>
      </c>
      <c r="U730" s="17">
        <f>MONTH(C730)</f>
        <v/>
      </c>
    </row>
    <row r="731" hidden="1" ht="22.5" customHeight="1" s="117">
      <c r="A731" s="14" t="n">
        <v>46008.29669710648</v>
      </c>
      <c r="B731" s="17" t="inlineStr">
        <is>
          <t>Nguyễn Quang Anh Tuấn</t>
        </is>
      </c>
      <c r="C731" s="16" t="n">
        <v>46007</v>
      </c>
      <c r="D731" s="17" t="n">
        <v>0</v>
      </c>
      <c r="E731" s="17" t="n">
        <v>0</v>
      </c>
      <c r="F731" s="17" t="n">
        <v>0</v>
      </c>
      <c r="G731" s="17" t="n">
        <v>0</v>
      </c>
      <c r="H731" s="17" t="n">
        <v>0</v>
      </c>
      <c r="I731" s="17" t="n">
        <v>0</v>
      </c>
      <c r="J731" s="17" t="n">
        <v>0</v>
      </c>
      <c r="K731" s="17" t="n">
        <v>2</v>
      </c>
      <c r="L731" s="17" t="n">
        <v>0</v>
      </c>
      <c r="M731" s="17" t="n">
        <v>0</v>
      </c>
      <c r="N731" s="17" t="n">
        <v>0</v>
      </c>
      <c r="O731" s="17" t="n">
        <v>0</v>
      </c>
      <c r="P731" s="17" t="n">
        <v>0</v>
      </c>
      <c r="Q731" s="17" t="n">
        <v>1</v>
      </c>
      <c r="R731" s="17" t="n">
        <v>0</v>
      </c>
      <c r="T731" s="17">
        <f>DAY(C731)</f>
        <v/>
      </c>
      <c r="U731" s="17">
        <f>MONTH(C731)</f>
        <v/>
      </c>
    </row>
    <row r="732" hidden="1" ht="22.5" customHeight="1" s="117">
      <c r="A732" s="14" t="n">
        <v>46008.29675075231</v>
      </c>
      <c r="B732" s="17" t="inlineStr">
        <is>
          <t>Vòng Nhật Sang</t>
        </is>
      </c>
      <c r="C732" s="16" t="n">
        <v>46007</v>
      </c>
      <c r="D732" s="17" t="n">
        <v>0</v>
      </c>
      <c r="E732" s="17" t="n">
        <v>0</v>
      </c>
      <c r="F732" s="17" t="n">
        <v>0</v>
      </c>
      <c r="G732" s="17" t="n">
        <v>0</v>
      </c>
      <c r="H732" s="17" t="n">
        <v>0</v>
      </c>
      <c r="I732" s="17" t="n">
        <v>0</v>
      </c>
      <c r="J732" s="17" t="n">
        <v>0</v>
      </c>
      <c r="K732" s="17" t="n">
        <v>17</v>
      </c>
      <c r="L732" s="17" t="n">
        <v>0</v>
      </c>
      <c r="M732" s="17" t="n">
        <v>0</v>
      </c>
      <c r="N732" s="17" t="n">
        <v>0</v>
      </c>
      <c r="O732" s="17" t="n">
        <v>0</v>
      </c>
      <c r="P732" s="17" t="n">
        <v>1</v>
      </c>
      <c r="Q732" s="17" t="n">
        <v>2</v>
      </c>
      <c r="R732" s="17" t="n">
        <v>0</v>
      </c>
      <c r="T732" s="17">
        <f>DAY(C732)</f>
        <v/>
      </c>
      <c r="U732" s="17">
        <f>MONTH(C732)</f>
        <v/>
      </c>
    </row>
    <row r="733" hidden="1" ht="22.5" customHeight="1" s="117">
      <c r="A733" s="14" t="n">
        <v>46008.29683434028</v>
      </c>
      <c r="B733" s="17" t="inlineStr">
        <is>
          <t>Đặng Hoài Anh</t>
        </is>
      </c>
      <c r="C733" s="16" t="n">
        <v>46007</v>
      </c>
      <c r="D733" s="17" t="n">
        <v>0</v>
      </c>
      <c r="E733" s="17" t="n">
        <v>0</v>
      </c>
      <c r="F733" s="17" t="n">
        <v>0</v>
      </c>
      <c r="G733" s="17" t="n">
        <v>0</v>
      </c>
      <c r="H733" s="17" t="n">
        <v>0</v>
      </c>
      <c r="I733" s="17" t="n">
        <v>0</v>
      </c>
      <c r="J733" s="17" t="n">
        <v>0</v>
      </c>
      <c r="K733" s="17" t="n">
        <v>0</v>
      </c>
      <c r="L733" s="17" t="n">
        <v>0</v>
      </c>
      <c r="M733" s="17" t="n">
        <v>0</v>
      </c>
      <c r="N733" s="17" t="n">
        <v>0</v>
      </c>
      <c r="O733" s="17" t="n">
        <v>0</v>
      </c>
      <c r="P733" s="17" t="n">
        <v>0</v>
      </c>
      <c r="Q733" s="17" t="n">
        <v>0</v>
      </c>
      <c r="R733" s="17" t="n">
        <v>0</v>
      </c>
      <c r="T733" s="17">
        <f>DAY(C733)</f>
        <v/>
      </c>
      <c r="U733" s="17">
        <f>MONTH(C733)</f>
        <v/>
      </c>
    </row>
    <row r="734" hidden="1" ht="22.5" customHeight="1" s="117">
      <c r="A734" s="14" t="n">
        <v>46008.29733813657</v>
      </c>
      <c r="B734" s="17" t="inlineStr">
        <is>
          <t>Nguyễn Thành Lâm</t>
        </is>
      </c>
      <c r="C734" s="16" t="n">
        <v>46007</v>
      </c>
      <c r="D734" s="17" t="n">
        <v>0</v>
      </c>
      <c r="E734" s="17" t="n">
        <v>0</v>
      </c>
      <c r="F734" s="17" t="n">
        <v>0</v>
      </c>
      <c r="G734" s="17" t="n">
        <v>0</v>
      </c>
      <c r="H734" s="17" t="n">
        <v>0</v>
      </c>
      <c r="I734" s="17" t="n">
        <v>0</v>
      </c>
      <c r="J734" s="17" t="n">
        <v>12</v>
      </c>
      <c r="K734" s="17" t="n">
        <v>4</v>
      </c>
      <c r="L734" s="17" t="n">
        <v>0</v>
      </c>
      <c r="M734" s="17" t="n">
        <v>0</v>
      </c>
      <c r="N734" s="17" t="n">
        <v>0</v>
      </c>
      <c r="O734" s="17" t="n">
        <v>0</v>
      </c>
      <c r="P734" s="17" t="n">
        <v>0</v>
      </c>
      <c r="Q734" s="17" t="n">
        <v>5</v>
      </c>
      <c r="R734" s="17" t="n">
        <v>0</v>
      </c>
      <c r="T734" s="17">
        <f>DAY(C734)</f>
        <v/>
      </c>
      <c r="U734" s="17">
        <f>MONTH(C734)</f>
        <v/>
      </c>
    </row>
    <row r="735" hidden="1" ht="22.5" customHeight="1" s="117">
      <c r="A735" s="14" t="n">
        <v>46008.29755856482</v>
      </c>
      <c r="B735" s="17" t="inlineStr">
        <is>
          <t>Hoàng Văn Chất</t>
        </is>
      </c>
      <c r="C735" s="16" t="n">
        <v>46007</v>
      </c>
      <c r="D735" s="17" t="n">
        <v>0</v>
      </c>
      <c r="E735" s="17" t="n">
        <v>0</v>
      </c>
      <c r="F735" s="17" t="n">
        <v>0</v>
      </c>
      <c r="G735" s="17" t="n">
        <v>0</v>
      </c>
      <c r="H735" s="17" t="n">
        <v>0</v>
      </c>
      <c r="I735" s="17" t="n">
        <v>0</v>
      </c>
      <c r="J735" s="17" t="n">
        <v>0</v>
      </c>
      <c r="K735" s="17" t="n">
        <v>16</v>
      </c>
      <c r="L735" s="17" t="n">
        <v>3</v>
      </c>
      <c r="M735" s="17" t="n">
        <v>1</v>
      </c>
      <c r="N735" s="17" t="n">
        <v>0</v>
      </c>
      <c r="O735" s="17" t="n">
        <v>0</v>
      </c>
      <c r="P735" s="17" t="n">
        <v>0</v>
      </c>
      <c r="Q735" s="17" t="n">
        <v>2</v>
      </c>
      <c r="R735" s="17" t="n">
        <v>0</v>
      </c>
      <c r="T735" s="17">
        <f>DAY(C735)</f>
        <v/>
      </c>
      <c r="U735" s="17">
        <f>MONTH(C735)</f>
        <v/>
      </c>
    </row>
    <row r="736" hidden="1" ht="22.5" customHeight="1" s="117">
      <c r="A736" s="14" t="n">
        <v>46008.30030322917</v>
      </c>
      <c r="B736" s="17" t="inlineStr">
        <is>
          <t>Đào Công Trung</t>
        </is>
      </c>
      <c r="C736" s="16" t="n">
        <v>46007</v>
      </c>
      <c r="D736" s="17" t="n">
        <v>1</v>
      </c>
      <c r="E736" s="17" t="n">
        <v>1</v>
      </c>
      <c r="F736" s="17" t="n">
        <v>1</v>
      </c>
      <c r="G736" s="17" t="n">
        <v>0</v>
      </c>
      <c r="H736" s="17" t="n">
        <v>0</v>
      </c>
      <c r="I736" s="17" t="n">
        <v>1</v>
      </c>
      <c r="J736" s="17" t="n">
        <v>0</v>
      </c>
      <c r="K736" s="17" t="n">
        <v>10</v>
      </c>
      <c r="L736" s="17" t="n">
        <v>0</v>
      </c>
      <c r="M736" s="17" t="n">
        <v>1</v>
      </c>
      <c r="N736" s="17" t="n">
        <v>1</v>
      </c>
      <c r="O736" s="17" t="n">
        <v>1</v>
      </c>
      <c r="P736" s="17" t="n">
        <v>0</v>
      </c>
      <c r="Q736" s="17" t="n">
        <v>2</v>
      </c>
      <c r="R736" s="17" t="n">
        <v>0</v>
      </c>
      <c r="T736" s="17">
        <f>DAY(C736)</f>
        <v/>
      </c>
      <c r="U736" s="17">
        <f>MONTH(C736)</f>
        <v/>
      </c>
    </row>
    <row r="737" hidden="1" ht="22.5" customHeight="1" s="117">
      <c r="A737" s="14" t="n">
        <v>46008.31348</v>
      </c>
      <c r="B737" s="17" t="inlineStr">
        <is>
          <t>Bùi Duy Cường</t>
        </is>
      </c>
      <c r="C737" s="16" t="n">
        <v>46007</v>
      </c>
      <c r="D737" s="17" t="n">
        <v>0</v>
      </c>
      <c r="E737" s="17" t="n">
        <v>0</v>
      </c>
      <c r="F737" s="17" t="n">
        <v>0</v>
      </c>
      <c r="G737" s="17" t="n">
        <v>0</v>
      </c>
      <c r="H737" s="17" t="n">
        <v>0</v>
      </c>
      <c r="I737" s="17" t="n">
        <v>1</v>
      </c>
      <c r="J737" s="17" t="n">
        <v>1</v>
      </c>
      <c r="K737" s="17" t="n">
        <v>12</v>
      </c>
      <c r="L737" s="17" t="n">
        <v>0</v>
      </c>
      <c r="M737" s="17" t="n">
        <v>1</v>
      </c>
      <c r="N737" s="17" t="n">
        <v>1</v>
      </c>
      <c r="O737" s="17" t="n">
        <v>0</v>
      </c>
      <c r="P737" s="17" t="n">
        <v>0</v>
      </c>
      <c r="Q737" s="17" t="n">
        <v>1</v>
      </c>
      <c r="R737" s="17" t="n">
        <v>0</v>
      </c>
      <c r="T737" s="17">
        <f>DAY(C737)</f>
        <v/>
      </c>
      <c r="U737" s="17">
        <f>MONTH(C737)</f>
        <v/>
      </c>
    </row>
    <row r="738" hidden="1" ht="22.5" customHeight="1" s="117">
      <c r="A738" s="14" t="n">
        <v>46008.31454958333</v>
      </c>
      <c r="B738" s="17" t="inlineStr">
        <is>
          <t>Trần Xuân Khoa</t>
        </is>
      </c>
      <c r="C738" s="16" t="n">
        <v>46007</v>
      </c>
      <c r="D738" s="17" t="n">
        <v>0</v>
      </c>
      <c r="E738" s="17" t="n">
        <v>0</v>
      </c>
      <c r="F738" s="17" t="n">
        <v>0</v>
      </c>
      <c r="G738" s="17" t="n">
        <v>0</v>
      </c>
      <c r="H738" s="17" t="n">
        <v>0</v>
      </c>
      <c r="I738" s="17" t="n">
        <v>1</v>
      </c>
      <c r="J738" s="17" t="n">
        <v>0</v>
      </c>
      <c r="K738" s="17" t="n">
        <v>4</v>
      </c>
      <c r="L738" s="17" t="n">
        <v>0</v>
      </c>
      <c r="M738" s="17" t="n">
        <v>0</v>
      </c>
      <c r="N738" s="17" t="n">
        <v>0</v>
      </c>
      <c r="O738" s="17" t="n">
        <v>0</v>
      </c>
      <c r="P738" s="17" t="n">
        <v>1</v>
      </c>
      <c r="Q738" s="17" t="n">
        <v>4</v>
      </c>
      <c r="R738" s="17" t="n">
        <v>0</v>
      </c>
      <c r="T738" s="17">
        <f>DAY(C738)</f>
        <v/>
      </c>
      <c r="U738" s="17">
        <f>MONTH(C738)</f>
        <v/>
      </c>
    </row>
    <row r="739" hidden="1" ht="22.5" customHeight="1" s="117">
      <c r="A739" s="14" t="n">
        <v>46008.31770209491</v>
      </c>
      <c r="B739" s="17" t="inlineStr">
        <is>
          <t>Nguyễn Hồng Minh</t>
        </is>
      </c>
      <c r="C739" s="16" t="n">
        <v>46007</v>
      </c>
      <c r="D739" s="17" t="n">
        <v>0</v>
      </c>
      <c r="E739" s="17" t="n">
        <v>0</v>
      </c>
      <c r="F739" s="17" t="n">
        <v>0</v>
      </c>
      <c r="G739" s="17" t="n">
        <v>2</v>
      </c>
      <c r="H739" s="17" t="n">
        <v>2</v>
      </c>
      <c r="I739" s="17" t="n">
        <v>0</v>
      </c>
      <c r="J739" s="17" t="n">
        <v>0</v>
      </c>
      <c r="K739" s="17" t="n">
        <v>11</v>
      </c>
      <c r="L739" s="17" t="n">
        <v>0</v>
      </c>
      <c r="M739" s="17" t="n">
        <v>0</v>
      </c>
      <c r="N739" s="17" t="n">
        <v>0</v>
      </c>
      <c r="O739" s="17" t="n">
        <v>0</v>
      </c>
      <c r="P739" s="17" t="n">
        <v>2</v>
      </c>
      <c r="Q739" s="17" t="n">
        <v>4</v>
      </c>
      <c r="R739" s="17" t="n">
        <v>1</v>
      </c>
      <c r="T739" s="17">
        <f>DAY(C739)</f>
        <v/>
      </c>
      <c r="U739" s="17">
        <f>MONTH(C739)</f>
        <v/>
      </c>
    </row>
    <row r="740" hidden="1" ht="22.5" customHeight="1" s="117">
      <c r="A740" s="14" t="n">
        <v>46008.32333784722</v>
      </c>
      <c r="B740" s="17" t="inlineStr">
        <is>
          <t>Trần Minh Khánh</t>
        </is>
      </c>
      <c r="C740" s="16" t="n">
        <v>46007</v>
      </c>
      <c r="D740" s="17" t="n">
        <v>0</v>
      </c>
      <c r="E740" s="17" t="n">
        <v>0</v>
      </c>
      <c r="F740" s="17" t="n">
        <v>0</v>
      </c>
      <c r="G740" s="17" t="n">
        <v>1</v>
      </c>
      <c r="H740" s="17" t="n">
        <v>0</v>
      </c>
      <c r="I740" s="17" t="n">
        <v>2</v>
      </c>
      <c r="J740" s="17" t="n">
        <v>0</v>
      </c>
      <c r="K740" s="17" t="n">
        <v>5</v>
      </c>
      <c r="L740" s="17" t="n">
        <v>0</v>
      </c>
      <c r="M740" s="17" t="n">
        <v>0</v>
      </c>
      <c r="N740" s="17" t="n">
        <v>4</v>
      </c>
      <c r="O740" s="17" t="n">
        <v>1</v>
      </c>
      <c r="P740" s="17" t="n">
        <v>0</v>
      </c>
      <c r="Q740" s="17" t="n">
        <v>2</v>
      </c>
      <c r="R740" s="17" t="n">
        <v>0</v>
      </c>
      <c r="T740" s="17">
        <f>DAY(C740)</f>
        <v/>
      </c>
      <c r="U740" s="17">
        <f>MONTH(C740)</f>
        <v/>
      </c>
    </row>
    <row r="741" hidden="1" ht="22.5" customHeight="1" s="117">
      <c r="A741" s="14" t="n">
        <v>46008.32746835648</v>
      </c>
      <c r="B741" s="17" t="inlineStr">
        <is>
          <t>Lê Văn Hồng</t>
        </is>
      </c>
      <c r="C741" s="16" t="n">
        <v>46007</v>
      </c>
      <c r="D741" s="17" t="n">
        <v>0</v>
      </c>
      <c r="E741" s="17" t="n">
        <v>0</v>
      </c>
      <c r="F741" s="17" t="n">
        <v>0</v>
      </c>
      <c r="G741" s="17" t="n">
        <v>0</v>
      </c>
      <c r="H741" s="17" t="n">
        <v>0</v>
      </c>
      <c r="I741" s="17" t="n">
        <v>0</v>
      </c>
      <c r="J741" s="17" t="n">
        <v>0</v>
      </c>
      <c r="K741" s="17" t="n">
        <v>7</v>
      </c>
      <c r="L741" s="17" t="n">
        <v>0</v>
      </c>
      <c r="M741" s="17" t="n">
        <v>0</v>
      </c>
      <c r="N741" s="17" t="n">
        <v>0</v>
      </c>
      <c r="O741" s="17" t="n">
        <v>0</v>
      </c>
      <c r="P741" s="17" t="n">
        <v>2</v>
      </c>
      <c r="Q741" s="17" t="n">
        <v>3</v>
      </c>
      <c r="R741" s="17" t="n">
        <v>0</v>
      </c>
      <c r="T741" s="17">
        <f>DAY(C741)</f>
        <v/>
      </c>
      <c r="U741" s="17">
        <f>MONTH(C741)</f>
        <v/>
      </c>
    </row>
    <row r="742" hidden="1" ht="22.5" customHeight="1" s="117">
      <c r="A742" s="14" t="n">
        <v>46008.33908392361</v>
      </c>
      <c r="B742" s="17" t="inlineStr">
        <is>
          <t>Lê Hồng Phong</t>
        </is>
      </c>
      <c r="C742" s="16" t="n">
        <v>46008</v>
      </c>
      <c r="D742" s="17" t="n">
        <v>1</v>
      </c>
      <c r="E742" s="17" t="n">
        <v>1</v>
      </c>
      <c r="F742" s="17" t="n">
        <v>1</v>
      </c>
      <c r="G742" s="17" t="n">
        <v>0</v>
      </c>
      <c r="H742" s="17" t="n">
        <v>0</v>
      </c>
      <c r="I742" s="17" t="n">
        <v>1</v>
      </c>
      <c r="J742" s="17" t="n">
        <v>1</v>
      </c>
      <c r="K742" s="17" t="n">
        <v>1</v>
      </c>
      <c r="L742" s="17" t="n">
        <v>1</v>
      </c>
      <c r="M742" s="17" t="n">
        <v>1</v>
      </c>
      <c r="N742" s="17" t="n">
        <v>1</v>
      </c>
      <c r="O742" s="17" t="n">
        <v>1</v>
      </c>
      <c r="P742" s="17" t="n">
        <v>1</v>
      </c>
      <c r="Q742" s="17" t="n">
        <v>1</v>
      </c>
      <c r="R742" s="17" t="n">
        <v>1</v>
      </c>
      <c r="T742" s="17">
        <f>DAY(C742)</f>
        <v/>
      </c>
      <c r="U742" s="17">
        <f>MONTH(C742)</f>
        <v/>
      </c>
    </row>
    <row r="743" hidden="1" ht="22.5" customHeight="1" s="117">
      <c r="A743" s="14" t="n">
        <v>46009.2581943287</v>
      </c>
      <c r="B743" s="17" t="inlineStr">
        <is>
          <t>Lê Quốc Duy</t>
        </is>
      </c>
      <c r="C743" s="16" t="n">
        <v>46008</v>
      </c>
      <c r="D743" s="17" t="n">
        <v>0</v>
      </c>
      <c r="E743" s="17" t="n">
        <v>0</v>
      </c>
      <c r="F743" s="17" t="n">
        <v>0</v>
      </c>
      <c r="G743" s="17" t="n">
        <v>0</v>
      </c>
      <c r="H743" s="17" t="n">
        <v>0</v>
      </c>
      <c r="I743" s="17" t="n">
        <v>0</v>
      </c>
      <c r="J743" s="17" t="n">
        <v>0</v>
      </c>
      <c r="K743" s="17" t="n">
        <v>7</v>
      </c>
      <c r="L743" s="17" t="n">
        <v>0</v>
      </c>
      <c r="M743" s="17" t="n">
        <v>0</v>
      </c>
      <c r="N743" s="17" t="n">
        <v>0</v>
      </c>
      <c r="O743" s="17" t="n">
        <v>0</v>
      </c>
      <c r="P743" s="17" t="n">
        <v>1</v>
      </c>
      <c r="Q743" s="17" t="n">
        <v>1</v>
      </c>
      <c r="R743" s="17" t="n">
        <v>1</v>
      </c>
      <c r="T743" s="17">
        <f>DAY(C743)</f>
        <v/>
      </c>
      <c r="U743" s="17">
        <f>MONTH(C743)</f>
        <v/>
      </c>
    </row>
    <row r="744" hidden="1" ht="22.5" customHeight="1" s="117">
      <c r="A744" s="14" t="n">
        <v>46009.26888675926</v>
      </c>
      <c r="B744" s="17" t="inlineStr">
        <is>
          <t>Phan Thành Thái</t>
        </is>
      </c>
      <c r="C744" s="16" t="n">
        <v>46008</v>
      </c>
      <c r="D744" s="17" t="n">
        <v>0</v>
      </c>
      <c r="E744" s="17" t="n">
        <v>0</v>
      </c>
      <c r="F744" s="17" t="n">
        <v>2</v>
      </c>
      <c r="G744" s="17" t="n">
        <v>0</v>
      </c>
      <c r="H744" s="17" t="n">
        <v>0</v>
      </c>
      <c r="I744" s="17" t="n">
        <v>3</v>
      </c>
      <c r="J744" s="17" t="n">
        <v>0</v>
      </c>
      <c r="K744" s="17" t="n">
        <v>4</v>
      </c>
      <c r="L744" s="17" t="n">
        <v>2</v>
      </c>
      <c r="M744" s="17" t="n">
        <v>0</v>
      </c>
      <c r="N744" s="17" t="n">
        <v>1</v>
      </c>
      <c r="O744" s="17" t="n">
        <v>0</v>
      </c>
      <c r="P744" s="17" t="n">
        <v>0</v>
      </c>
      <c r="Q744" s="17" t="n">
        <v>4</v>
      </c>
      <c r="R744" s="17" t="n">
        <v>2</v>
      </c>
      <c r="T744" s="17">
        <f>DAY(C744)</f>
        <v/>
      </c>
      <c r="U744" s="17">
        <f>MONTH(C744)</f>
        <v/>
      </c>
    </row>
    <row r="745" hidden="1" ht="22.5" customHeight="1" s="117">
      <c r="A745" s="14" t="n">
        <v>46009.28549304398</v>
      </c>
      <c r="B745" s="17" t="inlineStr">
        <is>
          <t>Dương Minh Tiến</t>
        </is>
      </c>
      <c r="C745" s="16" t="n">
        <v>46008</v>
      </c>
      <c r="D745" s="17" t="n">
        <v>0</v>
      </c>
      <c r="E745" s="17" t="n">
        <v>0</v>
      </c>
      <c r="F745" s="17" t="n">
        <v>0</v>
      </c>
      <c r="G745" s="17" t="n">
        <v>0</v>
      </c>
      <c r="H745" s="17" t="n">
        <v>0</v>
      </c>
      <c r="I745" s="17" t="n">
        <v>0</v>
      </c>
      <c r="J745" s="17" t="n">
        <v>0</v>
      </c>
      <c r="K745" s="17" t="n">
        <v>23</v>
      </c>
      <c r="L745" s="17" t="n">
        <v>0</v>
      </c>
      <c r="M745" s="17" t="n">
        <v>1</v>
      </c>
      <c r="N745" s="17" t="n">
        <v>0</v>
      </c>
      <c r="O745" s="17" t="n">
        <v>0</v>
      </c>
      <c r="P745" s="17" t="n">
        <v>1</v>
      </c>
      <c r="Q745" s="17" t="n">
        <v>0</v>
      </c>
      <c r="R745" s="17" t="n">
        <v>0</v>
      </c>
      <c r="T745" s="17">
        <f>DAY(C745)</f>
        <v/>
      </c>
      <c r="U745" s="17">
        <f>MONTH(C745)</f>
        <v/>
      </c>
    </row>
    <row r="746" hidden="1" ht="22.5" customHeight="1" s="117">
      <c r="A746" s="14" t="n">
        <v>46009.28972149306</v>
      </c>
      <c r="B746" s="17" t="inlineStr">
        <is>
          <t>Huỳnh Văn Lực</t>
        </is>
      </c>
      <c r="C746" s="16" t="n">
        <v>46008</v>
      </c>
      <c r="D746" s="17" t="n">
        <v>0</v>
      </c>
      <c r="E746" s="17" t="n">
        <v>1</v>
      </c>
      <c r="F746" s="17" t="n">
        <v>0</v>
      </c>
      <c r="G746" s="17" t="n">
        <v>0</v>
      </c>
      <c r="H746" s="17" t="n">
        <v>1</v>
      </c>
      <c r="I746" s="17" t="n">
        <v>0</v>
      </c>
      <c r="J746" s="17" t="n">
        <v>0</v>
      </c>
      <c r="K746" s="17" t="n">
        <v>3</v>
      </c>
      <c r="L746" s="17" t="n">
        <v>0</v>
      </c>
      <c r="M746" s="17" t="n">
        <v>1</v>
      </c>
      <c r="N746" s="17" t="n">
        <v>0</v>
      </c>
      <c r="O746" s="17" t="n">
        <v>0</v>
      </c>
      <c r="P746" s="17" t="n">
        <v>2</v>
      </c>
      <c r="Q746" s="17" t="n">
        <v>3</v>
      </c>
      <c r="R746" s="17" t="n">
        <v>0</v>
      </c>
      <c r="T746" s="17">
        <f>DAY(C746)</f>
        <v/>
      </c>
      <c r="U746" s="17">
        <f>MONTH(C746)</f>
        <v/>
      </c>
    </row>
    <row r="747" hidden="1" ht="22.5" customHeight="1" s="117">
      <c r="A747" s="14" t="n">
        <v>46009.29141123842</v>
      </c>
      <c r="B747" s="17" t="inlineStr">
        <is>
          <t>Nguyễn Văn Hiệp</t>
        </is>
      </c>
      <c r="C747" s="16" t="n">
        <v>46008</v>
      </c>
      <c r="D747" s="17" t="n">
        <v>0</v>
      </c>
      <c r="E747" s="17" t="n">
        <v>0</v>
      </c>
      <c r="F747" s="17" t="n">
        <v>0</v>
      </c>
      <c r="G747" s="17" t="n">
        <v>1</v>
      </c>
      <c r="H747" s="17" t="n">
        <v>0</v>
      </c>
      <c r="I747" s="17" t="n">
        <v>0</v>
      </c>
      <c r="J747" s="17" t="n">
        <v>0</v>
      </c>
      <c r="K747" s="17" t="n">
        <v>6</v>
      </c>
      <c r="L747" s="17" t="n">
        <v>0</v>
      </c>
      <c r="M747" s="17" t="n">
        <v>0</v>
      </c>
      <c r="N747" s="17" t="n">
        <v>0</v>
      </c>
      <c r="O747" s="17" t="n">
        <v>9</v>
      </c>
      <c r="P747" s="17" t="n">
        <v>2</v>
      </c>
      <c r="Q747" s="17" t="n">
        <v>0</v>
      </c>
      <c r="R747" s="17" t="n">
        <v>0</v>
      </c>
      <c r="T747" s="17">
        <f>DAY(C747)</f>
        <v/>
      </c>
      <c r="U747" s="17">
        <f>MONTH(C747)</f>
        <v/>
      </c>
    </row>
    <row r="748" hidden="1" ht="22.5" customHeight="1" s="117">
      <c r="A748" s="14" t="n">
        <v>46009.29328555556</v>
      </c>
      <c r="B748" s="17" t="inlineStr">
        <is>
          <t>Đặng Hoài Anh</t>
        </is>
      </c>
      <c r="C748" s="16" t="n">
        <v>46008</v>
      </c>
      <c r="D748" s="17" t="n">
        <v>0</v>
      </c>
      <c r="E748" s="17" t="n">
        <v>0</v>
      </c>
      <c r="F748" s="17" t="n">
        <v>0</v>
      </c>
      <c r="G748" s="17" t="n">
        <v>0</v>
      </c>
      <c r="H748" s="17" t="n">
        <v>0</v>
      </c>
      <c r="I748" s="17" t="n">
        <v>0</v>
      </c>
      <c r="J748" s="17" t="n">
        <v>0</v>
      </c>
      <c r="K748" s="17" t="n">
        <v>7</v>
      </c>
      <c r="L748" s="17" t="n">
        <v>0</v>
      </c>
      <c r="M748" s="17" t="n">
        <v>0</v>
      </c>
      <c r="N748" s="17" t="n">
        <v>0</v>
      </c>
      <c r="O748" s="17" t="n">
        <v>0</v>
      </c>
      <c r="P748" s="17" t="n">
        <v>0</v>
      </c>
      <c r="Q748" s="17" t="n">
        <v>0</v>
      </c>
      <c r="R748" s="17" t="n">
        <v>0</v>
      </c>
      <c r="T748" s="17">
        <f>DAY(C748)</f>
        <v/>
      </c>
      <c r="U748" s="17">
        <f>MONTH(C748)</f>
        <v/>
      </c>
    </row>
    <row r="749" hidden="1" ht="22.5" customHeight="1" s="117">
      <c r="A749" s="14" t="n">
        <v>46009.2948734838</v>
      </c>
      <c r="B749" s="17" t="inlineStr">
        <is>
          <t>Nguyễn Tuấn Anh</t>
        </is>
      </c>
      <c r="C749" s="16" t="n">
        <v>46008</v>
      </c>
      <c r="D749" s="17" t="n">
        <v>1</v>
      </c>
      <c r="E749" s="17" t="n">
        <v>0</v>
      </c>
      <c r="F749" s="17" t="n">
        <v>0</v>
      </c>
      <c r="G749" s="17" t="n">
        <v>0</v>
      </c>
      <c r="H749" s="17" t="n">
        <v>0</v>
      </c>
      <c r="I749" s="17" t="n">
        <v>0</v>
      </c>
      <c r="J749" s="17" t="n">
        <v>0</v>
      </c>
      <c r="K749" s="17" t="n">
        <v>5</v>
      </c>
      <c r="L749" s="17" t="n">
        <v>0</v>
      </c>
      <c r="M749" s="17" t="n">
        <v>0</v>
      </c>
      <c r="N749" s="17" t="n">
        <v>1</v>
      </c>
      <c r="O749" s="17" t="n">
        <v>0</v>
      </c>
      <c r="P749" s="17" t="n">
        <v>1</v>
      </c>
      <c r="Q749" s="17" t="n">
        <v>2</v>
      </c>
      <c r="R749" s="17" t="n">
        <v>0</v>
      </c>
      <c r="T749" s="17">
        <f>DAY(C749)</f>
        <v/>
      </c>
      <c r="U749" s="17">
        <f>MONTH(C749)</f>
        <v/>
      </c>
    </row>
    <row r="750" hidden="1" ht="22.5" customHeight="1" s="117">
      <c r="A750" s="14" t="n">
        <v>46009.29519466435</v>
      </c>
      <c r="B750" s="17" t="inlineStr">
        <is>
          <t>Hồ Xuân Việt</t>
        </is>
      </c>
      <c r="C750" s="16" t="n">
        <v>46008</v>
      </c>
      <c r="D750" s="17" t="n">
        <v>0</v>
      </c>
      <c r="E750" s="17" t="n">
        <v>0</v>
      </c>
      <c r="F750" s="17" t="n">
        <v>0</v>
      </c>
      <c r="G750" s="17" t="n">
        <v>0</v>
      </c>
      <c r="H750" s="17" t="n">
        <v>0</v>
      </c>
      <c r="I750" s="17" t="n">
        <v>0</v>
      </c>
      <c r="J750" s="17" t="n">
        <v>0</v>
      </c>
      <c r="K750" s="17" t="n">
        <v>4</v>
      </c>
      <c r="L750" s="17" t="n">
        <v>0</v>
      </c>
      <c r="M750" s="17" t="n">
        <v>0</v>
      </c>
      <c r="N750" s="17" t="n">
        <v>0</v>
      </c>
      <c r="O750" s="17" t="n">
        <v>0</v>
      </c>
      <c r="P750" s="17" t="n">
        <v>1</v>
      </c>
      <c r="Q750" s="17" t="n">
        <v>1</v>
      </c>
      <c r="R750" s="17" t="n">
        <v>0</v>
      </c>
      <c r="T750" s="17">
        <f>DAY(C750)</f>
        <v/>
      </c>
      <c r="U750" s="17">
        <f>MONTH(C750)</f>
        <v/>
      </c>
    </row>
    <row r="751" hidden="1" ht="22.5" customHeight="1" s="117">
      <c r="A751" s="14" t="n">
        <v>46009.29640581019</v>
      </c>
      <c r="B751" s="17" t="inlineStr">
        <is>
          <t>Vòng Nhật Sang</t>
        </is>
      </c>
      <c r="C751" s="16" t="n">
        <v>46008</v>
      </c>
      <c r="D751" s="17" t="n">
        <v>0</v>
      </c>
      <c r="E751" s="17" t="n">
        <v>0</v>
      </c>
      <c r="F751" s="17" t="n">
        <v>0</v>
      </c>
      <c r="G751" s="17" t="n">
        <v>1</v>
      </c>
      <c r="H751" s="17" t="n">
        <v>1</v>
      </c>
      <c r="I751" s="17" t="n">
        <v>0</v>
      </c>
      <c r="J751" s="17" t="n">
        <v>0</v>
      </c>
      <c r="K751" s="17" t="n">
        <v>20</v>
      </c>
      <c r="L751" s="17" t="n">
        <v>0</v>
      </c>
      <c r="M751" s="17" t="n">
        <v>0</v>
      </c>
      <c r="N751" s="17" t="n">
        <v>0</v>
      </c>
      <c r="O751" s="17" t="n">
        <v>0</v>
      </c>
      <c r="P751" s="17" t="n">
        <v>1</v>
      </c>
      <c r="Q751" s="17" t="n">
        <v>2</v>
      </c>
      <c r="R751" s="17" t="n">
        <v>0</v>
      </c>
      <c r="T751" s="17">
        <f>DAY(C751)</f>
        <v/>
      </c>
      <c r="U751" s="17">
        <f>MONTH(C751)</f>
        <v/>
      </c>
    </row>
    <row r="752" hidden="1" ht="22.5" customHeight="1" s="117">
      <c r="A752" s="14" t="n">
        <v>46009.29688503472</v>
      </c>
      <c r="B752" s="17" t="inlineStr">
        <is>
          <t>Hồ Thái Minh Trí</t>
        </is>
      </c>
      <c r="C752" s="16" t="n">
        <v>46008</v>
      </c>
      <c r="D752" s="17" t="n">
        <v>0</v>
      </c>
      <c r="E752" s="17" t="n">
        <v>0</v>
      </c>
      <c r="F752" s="17" t="n">
        <v>0</v>
      </c>
      <c r="G752" s="17" t="n">
        <v>0</v>
      </c>
      <c r="H752" s="17" t="n">
        <v>0</v>
      </c>
      <c r="I752" s="17" t="n">
        <v>0</v>
      </c>
      <c r="J752" s="17" t="n">
        <v>3</v>
      </c>
      <c r="K752" s="17" t="n">
        <v>6</v>
      </c>
      <c r="L752" s="17" t="n">
        <v>0</v>
      </c>
      <c r="M752" s="17" t="n">
        <v>0</v>
      </c>
      <c r="N752" s="17" t="n">
        <v>0</v>
      </c>
      <c r="O752" s="17" t="n">
        <v>0</v>
      </c>
      <c r="P752" s="17" t="n">
        <v>0</v>
      </c>
      <c r="Q752" s="17" t="n">
        <v>3</v>
      </c>
      <c r="R752" s="17" t="n">
        <v>0</v>
      </c>
      <c r="T752" s="17">
        <f>DAY(C752)</f>
        <v/>
      </c>
      <c r="U752" s="17">
        <f>MONTH(C752)</f>
        <v/>
      </c>
    </row>
    <row r="753" hidden="1" ht="22.5" customHeight="1" s="117">
      <c r="A753" s="14" t="n">
        <v>46009.2970728588</v>
      </c>
      <c r="B753" s="17" t="inlineStr">
        <is>
          <t>Trần Trung Giang</t>
        </is>
      </c>
      <c r="C753" s="16" t="n">
        <v>46008</v>
      </c>
      <c r="D753" s="17" t="n">
        <v>0</v>
      </c>
      <c r="E753" s="17" t="n">
        <v>0</v>
      </c>
      <c r="F753" s="17" t="n">
        <v>0</v>
      </c>
      <c r="G753" s="17" t="n">
        <v>1</v>
      </c>
      <c r="H753" s="17" t="n">
        <v>1</v>
      </c>
      <c r="I753" s="17" t="n">
        <v>0</v>
      </c>
      <c r="J753" s="17" t="n">
        <v>0</v>
      </c>
      <c r="K753" s="17" t="n">
        <v>4</v>
      </c>
      <c r="L753" s="17" t="n">
        <v>0</v>
      </c>
      <c r="M753" s="17" t="n">
        <v>0</v>
      </c>
      <c r="N753" s="17" t="n">
        <v>0</v>
      </c>
      <c r="O753" s="17" t="n">
        <v>0</v>
      </c>
      <c r="P753" s="17" t="n">
        <v>2</v>
      </c>
      <c r="Q753" s="17" t="n">
        <v>1</v>
      </c>
      <c r="R753" s="17" t="n">
        <v>0</v>
      </c>
      <c r="T753" s="17">
        <f>DAY(C753)</f>
        <v/>
      </c>
      <c r="U753" s="17">
        <f>MONTH(C753)</f>
        <v/>
      </c>
    </row>
    <row r="754" hidden="1" ht="22.5" customHeight="1" s="117">
      <c r="A754" s="14" t="n">
        <v>46009.29821648148</v>
      </c>
      <c r="B754" s="17" t="inlineStr">
        <is>
          <t>Nguyễn Quang Anh Tuấn</t>
        </is>
      </c>
      <c r="C754" s="16" t="n">
        <v>46008</v>
      </c>
      <c r="D754" s="17" t="n">
        <v>0</v>
      </c>
      <c r="E754" s="17" t="n">
        <v>0</v>
      </c>
      <c r="F754" s="17" t="n">
        <v>0</v>
      </c>
      <c r="G754" s="17" t="n">
        <v>0</v>
      </c>
      <c r="H754" s="17" t="n">
        <v>0</v>
      </c>
      <c r="I754" s="17" t="n">
        <v>0</v>
      </c>
      <c r="J754" s="17" t="n">
        <v>0</v>
      </c>
      <c r="K754" s="17" t="n">
        <v>4</v>
      </c>
      <c r="L754" s="17" t="n">
        <v>0</v>
      </c>
      <c r="M754" s="17" t="n">
        <v>0</v>
      </c>
      <c r="N754" s="17" t="n">
        <v>0</v>
      </c>
      <c r="O754" s="17" t="n">
        <v>0</v>
      </c>
      <c r="P754" s="17" t="n">
        <v>1</v>
      </c>
      <c r="Q754" s="17" t="n">
        <v>1</v>
      </c>
      <c r="R754" s="17" t="n">
        <v>0</v>
      </c>
      <c r="T754" s="17">
        <f>DAY(C754)</f>
        <v/>
      </c>
      <c r="U754" s="17">
        <f>MONTH(C754)</f>
        <v/>
      </c>
    </row>
    <row r="755" hidden="1" ht="22.5" customHeight="1" s="117">
      <c r="A755" s="14" t="n">
        <v>46009.29872143519</v>
      </c>
      <c r="B755" s="17" t="inlineStr">
        <is>
          <t>Nguyễn Thành Lâm</t>
        </is>
      </c>
      <c r="C755" s="16" t="n">
        <v>46008</v>
      </c>
      <c r="D755" s="17" t="n">
        <v>0</v>
      </c>
      <c r="E755" s="17" t="n">
        <v>0</v>
      </c>
      <c r="F755" s="17" t="n">
        <v>0</v>
      </c>
      <c r="G755" s="17" t="n">
        <v>0</v>
      </c>
      <c r="H755" s="17" t="n">
        <v>0</v>
      </c>
      <c r="I755" s="17" t="n">
        <v>1</v>
      </c>
      <c r="J755" s="17" t="n">
        <v>2</v>
      </c>
      <c r="K755" s="17" t="n">
        <v>8</v>
      </c>
      <c r="L755" s="17" t="n">
        <v>0</v>
      </c>
      <c r="M755" s="17" t="n">
        <v>0</v>
      </c>
      <c r="N755" s="17" t="n">
        <v>0</v>
      </c>
      <c r="O755" s="17" t="n">
        <v>0</v>
      </c>
      <c r="P755" s="17" t="n">
        <v>0</v>
      </c>
      <c r="Q755" s="17" t="n">
        <v>1</v>
      </c>
      <c r="R755" s="17" t="n">
        <v>0</v>
      </c>
      <c r="T755" s="17">
        <f>DAY(C755)</f>
        <v/>
      </c>
      <c r="U755" s="17">
        <f>MONTH(C755)</f>
        <v/>
      </c>
    </row>
    <row r="756" hidden="1" ht="22.5" customHeight="1" s="117">
      <c r="A756" s="14" t="n">
        <v>46009.29889484954</v>
      </c>
      <c r="B756" s="17" t="inlineStr">
        <is>
          <t>Lương Duy Hoàng</t>
        </is>
      </c>
      <c r="C756" s="16" t="n">
        <v>46008</v>
      </c>
      <c r="D756" s="17" t="n">
        <v>0</v>
      </c>
      <c r="E756" s="17" t="n">
        <v>0</v>
      </c>
      <c r="F756" s="17" t="n">
        <v>0</v>
      </c>
      <c r="G756" s="17" t="n">
        <v>0</v>
      </c>
      <c r="H756" s="17" t="n">
        <v>0</v>
      </c>
      <c r="I756" s="17" t="n">
        <v>2</v>
      </c>
      <c r="J756" s="17" t="n">
        <v>0</v>
      </c>
      <c r="K756" s="17" t="n">
        <v>4</v>
      </c>
      <c r="L756" s="17" t="n">
        <v>0</v>
      </c>
      <c r="M756" s="17" t="n">
        <v>0</v>
      </c>
      <c r="N756" s="17" t="n">
        <v>0</v>
      </c>
      <c r="O756" s="17" t="n">
        <v>0</v>
      </c>
      <c r="P756" s="17" t="n">
        <v>1</v>
      </c>
      <c r="Q756" s="17" t="n">
        <v>2</v>
      </c>
      <c r="R756" s="17" t="n">
        <v>0</v>
      </c>
      <c r="T756" s="17">
        <f>DAY(C756)</f>
        <v/>
      </c>
      <c r="U756" s="17">
        <f>MONTH(C756)</f>
        <v/>
      </c>
    </row>
    <row r="757" hidden="1" ht="22.5" customHeight="1" s="117">
      <c r="A757" s="14" t="n">
        <v>46009.30230997685</v>
      </c>
      <c r="B757" s="17" t="inlineStr">
        <is>
          <t>Phan Ngọc Sang</t>
        </is>
      </c>
      <c r="C757" s="16" t="n">
        <v>46008</v>
      </c>
      <c r="D757" s="17" t="n">
        <v>0</v>
      </c>
      <c r="E757" s="17" t="n">
        <v>0</v>
      </c>
      <c r="F757" s="17" t="n">
        <v>0</v>
      </c>
      <c r="G757" s="17" t="n">
        <v>0</v>
      </c>
      <c r="H757" s="17" t="n">
        <v>0</v>
      </c>
      <c r="I757" s="17" t="n">
        <v>0</v>
      </c>
      <c r="J757" s="17" t="n">
        <v>2</v>
      </c>
      <c r="K757" s="17" t="n">
        <v>6</v>
      </c>
      <c r="L757" s="17" t="n">
        <v>0</v>
      </c>
      <c r="M757" s="17" t="n">
        <v>1</v>
      </c>
      <c r="N757" s="17" t="n">
        <v>0</v>
      </c>
      <c r="O757" s="17" t="n">
        <v>0</v>
      </c>
      <c r="P757" s="17" t="n">
        <v>0</v>
      </c>
      <c r="Q757" s="17" t="n">
        <v>1</v>
      </c>
      <c r="R757" s="17" t="n">
        <v>0</v>
      </c>
      <c r="T757" s="17">
        <f>DAY(C757)</f>
        <v/>
      </c>
      <c r="U757" s="17">
        <f>MONTH(C757)</f>
        <v/>
      </c>
    </row>
    <row r="758" hidden="1" ht="22.5" customHeight="1" s="117">
      <c r="A758" s="14" t="n">
        <v>46009.30319177084</v>
      </c>
      <c r="B758" s="17" t="inlineStr">
        <is>
          <t>Nguyễn Hồng Minh</t>
        </is>
      </c>
      <c r="C758" s="16" t="n">
        <v>46008</v>
      </c>
      <c r="D758" s="17" t="n">
        <v>1</v>
      </c>
      <c r="E758" s="17" t="n">
        <v>1</v>
      </c>
      <c r="F758" s="17" t="n">
        <v>0</v>
      </c>
      <c r="G758" s="17" t="n">
        <v>0</v>
      </c>
      <c r="H758" s="17" t="n">
        <v>0</v>
      </c>
      <c r="I758" s="17" t="n">
        <v>2</v>
      </c>
      <c r="J758" s="17" t="n">
        <v>0</v>
      </c>
      <c r="K758" s="17" t="n">
        <v>6</v>
      </c>
      <c r="L758" s="17" t="n">
        <v>0</v>
      </c>
      <c r="M758" s="17" t="n">
        <v>0</v>
      </c>
      <c r="N758" s="17" t="n">
        <v>0</v>
      </c>
      <c r="O758" s="17" t="n">
        <v>0</v>
      </c>
      <c r="P758" s="17" t="n">
        <v>2</v>
      </c>
      <c r="Q758" s="17" t="n">
        <v>5</v>
      </c>
      <c r="R758" s="17" t="n">
        <v>0</v>
      </c>
      <c r="T758" s="17">
        <f>DAY(C758)</f>
        <v/>
      </c>
      <c r="U758" s="17">
        <f>MONTH(C758)</f>
        <v/>
      </c>
    </row>
    <row r="759" hidden="1" ht="22.5" customHeight="1" s="117">
      <c r="A759" s="14" t="n">
        <v>46009.30649589121</v>
      </c>
      <c r="B759" s="17" t="inlineStr">
        <is>
          <t>Đào Công Trung</t>
        </is>
      </c>
      <c r="C759" s="16" t="n">
        <v>46008</v>
      </c>
      <c r="D759" s="17" t="n">
        <v>0</v>
      </c>
      <c r="E759" s="17" t="n">
        <v>0</v>
      </c>
      <c r="F759" s="17" t="n">
        <v>0</v>
      </c>
      <c r="G759" s="17" t="n">
        <v>0</v>
      </c>
      <c r="H759" s="17" t="n">
        <v>0</v>
      </c>
      <c r="I759" s="17" t="n">
        <v>1</v>
      </c>
      <c r="J759" s="17" t="n">
        <v>0</v>
      </c>
      <c r="K759" s="17" t="n">
        <v>10</v>
      </c>
      <c r="L759" s="17" t="n">
        <v>2</v>
      </c>
      <c r="M759" s="17" t="n">
        <v>0</v>
      </c>
      <c r="N759" s="17" t="n">
        <v>0</v>
      </c>
      <c r="O759" s="17" t="n">
        <v>0</v>
      </c>
      <c r="P759" s="17" t="n">
        <v>0</v>
      </c>
      <c r="Q759" s="17" t="n">
        <v>3</v>
      </c>
      <c r="R759" s="17" t="n">
        <v>0</v>
      </c>
      <c r="T759" s="17">
        <f>DAY(C759)</f>
        <v/>
      </c>
      <c r="U759" s="17">
        <f>MONTH(C759)</f>
        <v/>
      </c>
    </row>
    <row r="760" hidden="1" ht="22.5" customHeight="1" s="117">
      <c r="A760" s="14" t="n">
        <v>46009.30880521991</v>
      </c>
      <c r="B760" s="17" t="inlineStr">
        <is>
          <t>Trần Xuân Khoa</t>
        </is>
      </c>
      <c r="C760" s="16" t="n">
        <v>46008</v>
      </c>
      <c r="D760" s="17" t="n">
        <v>0</v>
      </c>
      <c r="E760" s="17" t="n">
        <v>0</v>
      </c>
      <c r="F760" s="17" t="n">
        <v>0</v>
      </c>
      <c r="G760" s="17" t="n">
        <v>0</v>
      </c>
      <c r="H760" s="17" t="n">
        <v>0</v>
      </c>
      <c r="I760" s="17" t="n">
        <v>0</v>
      </c>
      <c r="J760" s="17" t="n">
        <v>0</v>
      </c>
      <c r="K760" s="17" t="n">
        <v>10</v>
      </c>
      <c r="L760" s="17" t="n">
        <v>0</v>
      </c>
      <c r="M760" s="17" t="n">
        <v>0</v>
      </c>
      <c r="N760" s="17" t="n">
        <v>0</v>
      </c>
      <c r="O760" s="17" t="n">
        <v>0</v>
      </c>
      <c r="P760" s="17" t="n">
        <v>1</v>
      </c>
      <c r="Q760" s="17" t="n">
        <v>3</v>
      </c>
      <c r="R760" s="17" t="n">
        <v>0</v>
      </c>
      <c r="T760" s="17">
        <f>DAY(C760)</f>
        <v/>
      </c>
      <c r="U760" s="17">
        <f>MONTH(C760)</f>
        <v/>
      </c>
    </row>
    <row r="761" hidden="1" ht="22.5" customHeight="1" s="117">
      <c r="A761" s="14" t="n">
        <v>46009.31137733797</v>
      </c>
      <c r="B761" s="17" t="inlineStr">
        <is>
          <t>Lê Hồng Phong</t>
        </is>
      </c>
      <c r="C761" s="16" t="n">
        <v>46009</v>
      </c>
      <c r="D761" s="17" t="n">
        <v>1</v>
      </c>
      <c r="E761" s="17" t="n">
        <v>1</v>
      </c>
      <c r="F761" s="17" t="n">
        <v>1</v>
      </c>
      <c r="G761" s="17" t="n">
        <v>0</v>
      </c>
      <c r="H761" s="17" t="n">
        <v>0</v>
      </c>
      <c r="I761" s="17" t="n">
        <v>1</v>
      </c>
      <c r="J761" s="17" t="n">
        <v>1</v>
      </c>
      <c r="K761" s="17" t="n">
        <v>1</v>
      </c>
      <c r="L761" s="17" t="n">
        <v>1</v>
      </c>
      <c r="M761" s="17" t="n">
        <v>1</v>
      </c>
      <c r="N761" s="17" t="n">
        <v>1</v>
      </c>
      <c r="O761" s="17" t="n">
        <v>0</v>
      </c>
      <c r="P761" s="17" t="n">
        <v>1</v>
      </c>
      <c r="Q761" s="17" t="n">
        <v>1</v>
      </c>
      <c r="R761" s="17" t="n">
        <v>1</v>
      </c>
      <c r="T761" s="17">
        <f>DAY(C761)</f>
        <v/>
      </c>
      <c r="U761" s="17">
        <f>MONTH(C761)</f>
        <v/>
      </c>
    </row>
    <row r="762" hidden="1" ht="22.5" customHeight="1" s="117">
      <c r="A762" s="14" t="n">
        <v>46009.31281008102</v>
      </c>
      <c r="B762" s="17" t="inlineStr">
        <is>
          <t>Bùi Duy Cường</t>
        </is>
      </c>
      <c r="C762" s="16" t="n">
        <v>46008</v>
      </c>
      <c r="D762" s="17" t="n">
        <v>0</v>
      </c>
      <c r="E762" s="17" t="n">
        <v>0</v>
      </c>
      <c r="F762" s="17" t="n">
        <v>1</v>
      </c>
      <c r="G762" s="17" t="n">
        <v>1</v>
      </c>
      <c r="H762" s="17" t="n">
        <v>1</v>
      </c>
      <c r="I762" s="17" t="n">
        <v>1</v>
      </c>
      <c r="J762" s="17" t="n">
        <v>2</v>
      </c>
      <c r="K762" s="17" t="n">
        <v>4</v>
      </c>
      <c r="L762" s="17" t="n">
        <v>0</v>
      </c>
      <c r="M762" s="17" t="n">
        <v>0</v>
      </c>
      <c r="N762" s="17" t="n">
        <v>0</v>
      </c>
      <c r="O762" s="17" t="n">
        <v>0</v>
      </c>
      <c r="P762" s="17" t="n">
        <v>0</v>
      </c>
      <c r="Q762" s="17" t="n">
        <v>1</v>
      </c>
      <c r="R762" s="17" t="n">
        <v>0</v>
      </c>
      <c r="T762" s="17">
        <f>DAY(C762)</f>
        <v/>
      </c>
      <c r="U762" s="17">
        <f>MONTH(C762)</f>
        <v/>
      </c>
    </row>
    <row r="763" hidden="1" ht="22.5" customHeight="1" s="117">
      <c r="A763" s="14" t="n">
        <v>46009.32002409722</v>
      </c>
      <c r="B763" s="17" t="inlineStr">
        <is>
          <t>Đặng Hữu Danh</t>
        </is>
      </c>
      <c r="C763" s="16" t="n">
        <v>46008</v>
      </c>
      <c r="D763" s="17" t="n">
        <v>0</v>
      </c>
      <c r="E763" s="17" t="n">
        <v>0</v>
      </c>
      <c r="F763" s="17" t="n">
        <v>0</v>
      </c>
      <c r="G763" s="17" t="n">
        <v>0</v>
      </c>
      <c r="H763" s="17" t="n">
        <v>0</v>
      </c>
      <c r="I763" s="17" t="n">
        <v>1</v>
      </c>
      <c r="J763" s="17" t="n">
        <v>1</v>
      </c>
      <c r="K763" s="17" t="n">
        <v>7</v>
      </c>
      <c r="L763" s="17" t="n">
        <v>0</v>
      </c>
      <c r="M763" s="17" t="n">
        <v>1</v>
      </c>
      <c r="N763" s="17" t="n">
        <v>0</v>
      </c>
      <c r="O763" s="17" t="n">
        <v>0</v>
      </c>
      <c r="P763" s="17" t="n">
        <v>1</v>
      </c>
      <c r="Q763" s="17" t="n">
        <v>3</v>
      </c>
      <c r="R763" s="17" t="n">
        <v>0</v>
      </c>
      <c r="T763" s="17">
        <f>DAY(C763)</f>
        <v/>
      </c>
      <c r="U763" s="17">
        <f>MONTH(C763)</f>
        <v/>
      </c>
    </row>
    <row r="764" hidden="1" ht="22.5" customHeight="1" s="117">
      <c r="A764" s="14" t="n">
        <v>46009.32003087963</v>
      </c>
      <c r="B764" s="17" t="inlineStr">
        <is>
          <t>Lương Duy Hải</t>
        </is>
      </c>
      <c r="C764" s="16" t="n">
        <v>46008</v>
      </c>
      <c r="D764" s="17" t="n">
        <v>0</v>
      </c>
      <c r="E764" s="17" t="n">
        <v>0</v>
      </c>
      <c r="F764" s="17" t="n">
        <v>0</v>
      </c>
      <c r="G764" s="17" t="n">
        <v>0</v>
      </c>
      <c r="H764" s="17" t="n">
        <v>0</v>
      </c>
      <c r="I764" s="17" t="n">
        <v>0</v>
      </c>
      <c r="J764" s="17" t="n">
        <v>0</v>
      </c>
      <c r="K764" s="17" t="n">
        <v>10</v>
      </c>
      <c r="L764" s="17" t="n">
        <v>0</v>
      </c>
      <c r="M764" s="17" t="n">
        <v>0</v>
      </c>
      <c r="N764" s="17" t="n">
        <v>0</v>
      </c>
      <c r="O764" s="17" t="n">
        <v>0</v>
      </c>
      <c r="P764" s="17" t="n">
        <v>1</v>
      </c>
      <c r="Q764" s="17" t="n">
        <v>2</v>
      </c>
      <c r="R764" s="17" t="n">
        <v>0</v>
      </c>
      <c r="T764" s="17">
        <f>DAY(C764)</f>
        <v/>
      </c>
      <c r="U764" s="17">
        <f>MONTH(C764)</f>
        <v/>
      </c>
    </row>
    <row r="765" hidden="1" ht="22.5" customHeight="1" s="117">
      <c r="A765" s="14" t="n">
        <v>46009.32233844908</v>
      </c>
      <c r="B765" s="17" t="inlineStr">
        <is>
          <t>Trần Minh Khánh</t>
        </is>
      </c>
      <c r="C765" s="16" t="n">
        <v>46008</v>
      </c>
      <c r="D765" s="17" t="n">
        <v>0</v>
      </c>
      <c r="E765" s="17" t="n">
        <v>0</v>
      </c>
      <c r="F765" s="17" t="n">
        <v>0</v>
      </c>
      <c r="G765" s="17" t="n">
        <v>0</v>
      </c>
      <c r="H765" s="17" t="n">
        <v>0</v>
      </c>
      <c r="I765" s="17" t="n">
        <v>0</v>
      </c>
      <c r="J765" s="17" t="n">
        <v>0</v>
      </c>
      <c r="K765" s="17" t="n">
        <v>2</v>
      </c>
      <c r="L765" s="17" t="n">
        <v>0</v>
      </c>
      <c r="M765" s="17" t="n">
        <v>0</v>
      </c>
      <c r="N765" s="17" t="n">
        <v>1</v>
      </c>
      <c r="O765" s="17" t="n">
        <v>0</v>
      </c>
      <c r="P765" s="17" t="n">
        <v>0</v>
      </c>
      <c r="Q765" s="17" t="n">
        <v>2</v>
      </c>
      <c r="R765" s="17" t="n">
        <v>0</v>
      </c>
      <c r="T765" s="17">
        <f>DAY(C765)</f>
        <v/>
      </c>
      <c r="U765" s="17">
        <f>MONTH(C765)</f>
        <v/>
      </c>
    </row>
    <row r="766" hidden="1" ht="22.5" customHeight="1" s="117">
      <c r="A766" s="14" t="n">
        <v>46009.32482688657</v>
      </c>
      <c r="B766" s="17" t="inlineStr">
        <is>
          <t>Lê Văn Hồng</t>
        </is>
      </c>
      <c r="C766" s="16" t="n">
        <v>46008</v>
      </c>
      <c r="D766" s="17" t="n">
        <v>0</v>
      </c>
      <c r="E766" s="17" t="n">
        <v>0</v>
      </c>
      <c r="F766" s="17" t="n">
        <v>0</v>
      </c>
      <c r="G766" s="17" t="n">
        <v>0</v>
      </c>
      <c r="H766" s="17" t="n">
        <v>0</v>
      </c>
      <c r="I766" s="17" t="n">
        <v>0</v>
      </c>
      <c r="J766" s="17" t="n">
        <v>0</v>
      </c>
      <c r="K766" s="17" t="n">
        <v>7</v>
      </c>
      <c r="L766" s="17" t="n">
        <v>0</v>
      </c>
      <c r="M766" s="17" t="n">
        <v>1</v>
      </c>
      <c r="N766" s="17" t="n">
        <v>0</v>
      </c>
      <c r="O766" s="17" t="n">
        <v>0</v>
      </c>
      <c r="P766" s="17" t="n">
        <v>2</v>
      </c>
      <c r="Q766" s="17" t="n">
        <v>3</v>
      </c>
      <c r="R766" s="17" t="n">
        <v>0</v>
      </c>
      <c r="T766" s="17">
        <f>DAY(C766)</f>
        <v/>
      </c>
      <c r="U766" s="17">
        <f>MONTH(C766)</f>
        <v/>
      </c>
    </row>
    <row r="767" hidden="1" ht="22.5" customHeight="1" s="117">
      <c r="A767" s="14" t="n">
        <v>46009.32754306713</v>
      </c>
      <c r="B767" s="17" t="inlineStr">
        <is>
          <t>Nguyễn Văn Nhật</t>
        </is>
      </c>
      <c r="C767" s="16" t="n">
        <v>46008</v>
      </c>
      <c r="D767" s="17" t="n">
        <v>0</v>
      </c>
      <c r="E767" s="17" t="n">
        <v>0</v>
      </c>
      <c r="F767" s="17" t="n">
        <v>0</v>
      </c>
      <c r="G767" s="17" t="n">
        <v>0</v>
      </c>
      <c r="H767" s="17" t="n">
        <v>0</v>
      </c>
      <c r="I767" s="17" t="n">
        <v>0</v>
      </c>
      <c r="J767" s="17" t="n">
        <v>0</v>
      </c>
      <c r="K767" s="17" t="n">
        <v>4</v>
      </c>
      <c r="L767" s="17" t="n">
        <v>0</v>
      </c>
      <c r="M767" s="17" t="n">
        <v>2</v>
      </c>
      <c r="N767" s="17" t="n">
        <v>0</v>
      </c>
      <c r="O767" s="17" t="n">
        <v>0</v>
      </c>
      <c r="P767" s="17" t="n">
        <v>1</v>
      </c>
      <c r="Q767" s="17" t="n">
        <v>2</v>
      </c>
      <c r="R767" s="17" t="n">
        <v>0</v>
      </c>
      <c r="T767" s="17">
        <f>DAY(C767)</f>
        <v/>
      </c>
      <c r="U767" s="17">
        <f>MONTH(C767)</f>
        <v/>
      </c>
    </row>
    <row r="768" hidden="1" ht="22.5" customHeight="1" s="117">
      <c r="A768" s="14" t="n">
        <v>46010.280375</v>
      </c>
      <c r="B768" s="17" t="inlineStr">
        <is>
          <t>Lê Hồng Phong</t>
        </is>
      </c>
      <c r="C768" s="16" t="n">
        <v>46010</v>
      </c>
      <c r="D768" s="17" t="n">
        <v>1</v>
      </c>
      <c r="E768" s="17" t="n">
        <v>1</v>
      </c>
      <c r="F768" s="17" t="n">
        <v>1</v>
      </c>
      <c r="G768" s="17" t="n">
        <v>0</v>
      </c>
      <c r="H768" s="17" t="n">
        <v>0</v>
      </c>
      <c r="I768" s="17" t="n">
        <v>1</v>
      </c>
      <c r="J768" s="17" t="n">
        <v>1</v>
      </c>
      <c r="K768" s="17" t="n">
        <v>1</v>
      </c>
      <c r="L768" s="17" t="n">
        <v>1</v>
      </c>
      <c r="M768" s="17" t="n">
        <v>1</v>
      </c>
      <c r="N768" s="17" t="n">
        <v>1</v>
      </c>
      <c r="O768" s="17" t="n">
        <v>0</v>
      </c>
      <c r="P768" s="17" t="n">
        <v>1</v>
      </c>
      <c r="Q768" s="17" t="n">
        <v>1</v>
      </c>
      <c r="R768" s="17" t="n">
        <v>1</v>
      </c>
      <c r="T768" s="17">
        <f>DAY(C768)</f>
        <v/>
      </c>
      <c r="U768" s="17">
        <f>MONTH(C768)</f>
        <v/>
      </c>
    </row>
    <row r="769" hidden="1" ht="22.5" customHeight="1" s="117">
      <c r="A769" s="14" t="n">
        <v>46010.28424027778</v>
      </c>
      <c r="B769" s="17" t="inlineStr">
        <is>
          <t>Lê Quốc Duy</t>
        </is>
      </c>
      <c r="C769" s="16" t="n">
        <v>46009</v>
      </c>
      <c r="D769" s="17" t="n">
        <v>0</v>
      </c>
      <c r="E769" s="17" t="n">
        <v>1</v>
      </c>
      <c r="F769" s="17" t="n">
        <v>1</v>
      </c>
      <c r="G769" s="17" t="n">
        <v>0</v>
      </c>
      <c r="H769" s="17" t="n">
        <v>0</v>
      </c>
      <c r="I769" s="17" t="n">
        <v>0</v>
      </c>
      <c r="J769" s="17" t="n">
        <v>2</v>
      </c>
      <c r="K769" s="17" t="n">
        <v>2</v>
      </c>
      <c r="L769" s="17" t="n">
        <v>0</v>
      </c>
      <c r="M769" s="17" t="n">
        <v>1</v>
      </c>
      <c r="N769" s="17" t="n">
        <v>2</v>
      </c>
      <c r="O769" s="17" t="n">
        <v>0</v>
      </c>
      <c r="P769" s="17" t="n">
        <v>0</v>
      </c>
      <c r="Q769" s="17" t="n">
        <v>1</v>
      </c>
      <c r="R769" s="17" t="n">
        <v>3</v>
      </c>
      <c r="T769" s="17">
        <f>DAY(C769)</f>
        <v/>
      </c>
      <c r="U769" s="17">
        <f>MONTH(C769)</f>
        <v/>
      </c>
    </row>
    <row r="770" hidden="1" ht="22.5" customHeight="1" s="117">
      <c r="A770" s="14" t="n">
        <v>46010.29015586805</v>
      </c>
      <c r="B770" s="17" t="inlineStr">
        <is>
          <t>Phan Ngọc Sang</t>
        </is>
      </c>
      <c r="C770" s="16" t="n">
        <v>46009</v>
      </c>
      <c r="D770" s="17" t="n">
        <v>0</v>
      </c>
      <c r="E770" s="17" t="n">
        <v>0</v>
      </c>
      <c r="F770" s="17" t="n">
        <v>0</v>
      </c>
      <c r="G770" s="17" t="n">
        <v>0</v>
      </c>
      <c r="H770" s="17" t="n">
        <v>0</v>
      </c>
      <c r="I770" s="17" t="n">
        <v>0</v>
      </c>
      <c r="J770" s="17" t="n">
        <v>0</v>
      </c>
      <c r="K770" s="17" t="n">
        <v>10</v>
      </c>
      <c r="L770" s="17" t="n">
        <v>0</v>
      </c>
      <c r="M770" s="17" t="n">
        <v>1</v>
      </c>
      <c r="N770" s="17" t="n">
        <v>0</v>
      </c>
      <c r="O770" s="17" t="n">
        <v>0</v>
      </c>
      <c r="P770" s="17" t="n">
        <v>1</v>
      </c>
      <c r="Q770" s="17" t="n">
        <v>1</v>
      </c>
      <c r="R770" s="17" t="n">
        <v>0</v>
      </c>
      <c r="T770" s="17">
        <f>DAY(C770)</f>
        <v/>
      </c>
      <c r="U770" s="17">
        <f>MONTH(C770)</f>
        <v/>
      </c>
    </row>
    <row r="771" hidden="1" ht="22.5" customHeight="1" s="117">
      <c r="A771" s="14" t="n">
        <v>46010.29298126158</v>
      </c>
      <c r="B771" s="17" t="inlineStr">
        <is>
          <t>Lương Duy Hoàng</t>
        </is>
      </c>
      <c r="C771" s="16" t="n">
        <v>46009</v>
      </c>
      <c r="D771" s="17" t="n">
        <v>0</v>
      </c>
      <c r="E771" s="17" t="n">
        <v>0</v>
      </c>
      <c r="F771" s="17" t="n">
        <v>0</v>
      </c>
      <c r="G771" s="17" t="n">
        <v>0</v>
      </c>
      <c r="H771" s="17" t="n">
        <v>0</v>
      </c>
      <c r="I771" s="17" t="n">
        <v>2</v>
      </c>
      <c r="J771" s="17" t="n">
        <v>0</v>
      </c>
      <c r="K771" s="17" t="n">
        <v>8</v>
      </c>
      <c r="L771" s="17" t="n">
        <v>1</v>
      </c>
      <c r="M771" s="17" t="n">
        <v>0</v>
      </c>
      <c r="N771" s="17" t="n">
        <v>1</v>
      </c>
      <c r="O771" s="17" t="n">
        <v>0</v>
      </c>
      <c r="P771" s="17" t="n">
        <v>1</v>
      </c>
      <c r="Q771" s="17" t="n">
        <v>1</v>
      </c>
      <c r="R771" s="17" t="n">
        <v>0</v>
      </c>
      <c r="T771" s="17">
        <f>DAY(C771)</f>
        <v/>
      </c>
      <c r="U771" s="17">
        <f>MONTH(C771)</f>
        <v/>
      </c>
    </row>
    <row r="772" hidden="1" ht="22.5" customHeight="1" s="117">
      <c r="A772" s="14" t="n">
        <v>46010.29359921296</v>
      </c>
      <c r="B772" s="17" t="inlineStr">
        <is>
          <t>Vòng Nhật Sang</t>
        </is>
      </c>
      <c r="C772" s="16" t="n">
        <v>46009</v>
      </c>
      <c r="D772" s="17" t="n">
        <v>0</v>
      </c>
      <c r="E772" s="17" t="n">
        <v>0</v>
      </c>
      <c r="F772" s="17" t="n">
        <v>0</v>
      </c>
      <c r="G772" s="17" t="n">
        <v>1</v>
      </c>
      <c r="H772" s="17" t="n">
        <v>1</v>
      </c>
      <c r="I772" s="17" t="n">
        <v>0</v>
      </c>
      <c r="J772" s="17" t="n">
        <v>0</v>
      </c>
      <c r="K772" s="17" t="n">
        <v>12</v>
      </c>
      <c r="L772" s="17" t="n">
        <v>0</v>
      </c>
      <c r="M772" s="17" t="n">
        <v>0</v>
      </c>
      <c r="N772" s="17" t="n">
        <v>0</v>
      </c>
      <c r="O772" s="17" t="n">
        <v>0</v>
      </c>
      <c r="P772" s="17" t="n">
        <v>1</v>
      </c>
      <c r="Q772" s="17" t="n">
        <v>2</v>
      </c>
      <c r="R772" s="17" t="n">
        <v>0</v>
      </c>
      <c r="T772" s="17">
        <f>DAY(C772)</f>
        <v/>
      </c>
      <c r="U772" s="17">
        <f>MONTH(C772)</f>
        <v/>
      </c>
    </row>
    <row r="773" hidden="1" ht="22.5" customHeight="1" s="117">
      <c r="A773" s="14" t="n">
        <v>46010.29382921296</v>
      </c>
      <c r="B773" s="17" t="inlineStr">
        <is>
          <t>Đào Công Trung</t>
        </is>
      </c>
      <c r="C773" s="16" t="n">
        <v>46009</v>
      </c>
      <c r="D773" s="17" t="n">
        <v>1</v>
      </c>
      <c r="E773" s="17" t="n">
        <v>1</v>
      </c>
      <c r="F773" s="17" t="n">
        <v>1</v>
      </c>
      <c r="G773" s="17" t="n">
        <v>0</v>
      </c>
      <c r="H773" s="17" t="n">
        <v>0</v>
      </c>
      <c r="I773" s="17" t="n">
        <v>0</v>
      </c>
      <c r="J773" s="17" t="n">
        <v>0</v>
      </c>
      <c r="K773" s="17" t="n">
        <v>10</v>
      </c>
      <c r="L773" s="17" t="n">
        <v>0</v>
      </c>
      <c r="M773" s="17" t="n">
        <v>0</v>
      </c>
      <c r="N773" s="17" t="n">
        <v>0</v>
      </c>
      <c r="O773" s="17" t="n">
        <v>0</v>
      </c>
      <c r="P773" s="17" t="n">
        <v>0</v>
      </c>
      <c r="Q773" s="17" t="n">
        <v>1</v>
      </c>
      <c r="R773" s="17" t="n">
        <v>0</v>
      </c>
      <c r="T773" s="17">
        <f>DAY(C773)</f>
        <v/>
      </c>
      <c r="U773" s="17">
        <f>MONTH(C773)</f>
        <v/>
      </c>
    </row>
    <row r="774" hidden="1" ht="22.5" customHeight="1" s="117">
      <c r="A774" s="14" t="n">
        <v>46010.29396381944</v>
      </c>
      <c r="B774" s="17" t="inlineStr">
        <is>
          <t>Phan Thành Thái</t>
        </is>
      </c>
      <c r="C774" s="16" t="n">
        <v>46009</v>
      </c>
      <c r="D774" s="17" t="n">
        <v>0</v>
      </c>
      <c r="E774" s="17" t="n">
        <v>0</v>
      </c>
      <c r="F774" s="17" t="n">
        <v>0</v>
      </c>
      <c r="G774" s="17" t="n">
        <v>0</v>
      </c>
      <c r="H774" s="17" t="n">
        <v>0</v>
      </c>
      <c r="I774" s="17" t="n">
        <v>3</v>
      </c>
      <c r="J774" s="17" t="n">
        <v>0</v>
      </c>
      <c r="K774" s="17" t="n">
        <v>3</v>
      </c>
      <c r="L774" s="17" t="n">
        <v>0</v>
      </c>
      <c r="M774" s="17" t="n">
        <v>0</v>
      </c>
      <c r="N774" s="17" t="n">
        <v>0</v>
      </c>
      <c r="O774" s="17" t="n">
        <v>0</v>
      </c>
      <c r="P774" s="17" t="n">
        <v>1</v>
      </c>
      <c r="Q774" s="17" t="n">
        <v>4</v>
      </c>
      <c r="R774" s="17" t="n">
        <v>0</v>
      </c>
      <c r="T774" s="17">
        <f>DAY(C774)</f>
        <v/>
      </c>
      <c r="U774" s="17">
        <f>MONTH(C774)</f>
        <v/>
      </c>
    </row>
    <row r="775" hidden="1" ht="22.5" customHeight="1" s="117">
      <c r="A775" s="14" t="n">
        <v>46010.29723123842</v>
      </c>
      <c r="B775" s="17" t="inlineStr">
        <is>
          <t>Nguyễn Văn Nhật</t>
        </is>
      </c>
      <c r="C775" s="16" t="n">
        <v>46009</v>
      </c>
      <c r="D775" s="17" t="n">
        <v>1</v>
      </c>
      <c r="E775" s="17" t="n">
        <v>0</v>
      </c>
      <c r="F775" s="17" t="n">
        <v>0</v>
      </c>
      <c r="G775" s="17" t="n">
        <v>0</v>
      </c>
      <c r="I775" s="17" t="n">
        <v>0</v>
      </c>
      <c r="J775" s="17" t="n">
        <v>1</v>
      </c>
      <c r="K775" s="17" t="n">
        <v>6</v>
      </c>
      <c r="L775" s="17" t="n">
        <v>0</v>
      </c>
      <c r="M775" s="17" t="n">
        <v>0</v>
      </c>
      <c r="N775" s="17" t="n">
        <v>0</v>
      </c>
      <c r="O775" s="17" t="n">
        <v>0</v>
      </c>
      <c r="P775" s="17" t="n">
        <v>7</v>
      </c>
      <c r="Q775" s="17" t="n">
        <v>4</v>
      </c>
      <c r="R775" s="17" t="n">
        <v>0</v>
      </c>
      <c r="T775" s="17">
        <f>DAY(C775)</f>
        <v/>
      </c>
      <c r="U775" s="17">
        <f>MONTH(C775)</f>
        <v/>
      </c>
    </row>
    <row r="776" hidden="1" ht="22.5" customHeight="1" s="117">
      <c r="A776" s="14" t="n">
        <v>46010.29786146991</v>
      </c>
      <c r="B776" s="17" t="inlineStr">
        <is>
          <t>Dương Minh Tiến</t>
        </is>
      </c>
      <c r="C776" s="16" t="n">
        <v>45644</v>
      </c>
      <c r="D776" s="17" t="n">
        <v>1</v>
      </c>
      <c r="E776" s="17" t="n">
        <v>0</v>
      </c>
      <c r="F776" s="17" t="n">
        <v>0</v>
      </c>
      <c r="G776" s="17" t="n">
        <v>0</v>
      </c>
      <c r="H776" s="17" t="n">
        <v>0</v>
      </c>
      <c r="I776" s="17" t="n">
        <v>5</v>
      </c>
      <c r="J776" s="17" t="n">
        <v>0</v>
      </c>
      <c r="K776" s="17" t="n">
        <v>32</v>
      </c>
      <c r="L776" s="17" t="n">
        <v>2</v>
      </c>
      <c r="M776" s="17" t="n">
        <v>1</v>
      </c>
      <c r="N776" s="17" t="n">
        <v>0</v>
      </c>
      <c r="O776" s="17" t="n">
        <v>0</v>
      </c>
      <c r="P776" s="17" t="n">
        <v>0</v>
      </c>
      <c r="Q776" s="17" t="n">
        <v>0</v>
      </c>
      <c r="R776" s="17" t="n">
        <v>0</v>
      </c>
      <c r="T776" s="17">
        <f>DAY(C776)</f>
        <v/>
      </c>
      <c r="U776" s="17">
        <f>MONTH(C776)</f>
        <v/>
      </c>
    </row>
    <row r="777" hidden="1" ht="22.5" customHeight="1" s="117">
      <c r="A777" s="14" t="n">
        <v>46010.29989827547</v>
      </c>
      <c r="B777" s="17" t="inlineStr">
        <is>
          <t>Nguyễn Tuấn Anh</t>
        </is>
      </c>
      <c r="C777" s="16" t="n">
        <v>46009</v>
      </c>
      <c r="D777" s="17" t="n">
        <v>2</v>
      </c>
      <c r="E777" s="17" t="n">
        <v>1</v>
      </c>
      <c r="F777" s="17" t="n">
        <v>2</v>
      </c>
      <c r="G777" s="17" t="n">
        <v>0</v>
      </c>
      <c r="H777" s="17" t="n">
        <v>0</v>
      </c>
      <c r="I777" s="17" t="n">
        <v>1</v>
      </c>
      <c r="J777" s="17" t="n">
        <v>0</v>
      </c>
      <c r="K777" s="17" t="n">
        <v>9</v>
      </c>
      <c r="L777" s="17" t="n">
        <v>2</v>
      </c>
      <c r="M777" s="17" t="n">
        <v>0</v>
      </c>
      <c r="N777" s="17" t="n">
        <v>1</v>
      </c>
      <c r="O777" s="17" t="n">
        <v>0</v>
      </c>
      <c r="P777" s="17" t="n">
        <v>1</v>
      </c>
      <c r="Q777" s="17" t="n">
        <v>2</v>
      </c>
      <c r="R777" s="17" t="n">
        <v>0</v>
      </c>
      <c r="T777" s="17">
        <f>DAY(C777)</f>
        <v/>
      </c>
      <c r="U777" s="17">
        <f>MONTH(C777)</f>
        <v/>
      </c>
    </row>
    <row r="778" hidden="1" ht="22.5" customHeight="1" s="117">
      <c r="A778" s="14" t="n">
        <v>46010.29999053241</v>
      </c>
      <c r="B778" s="17" t="inlineStr">
        <is>
          <t>Nguyễn Văn Hiệp</t>
        </is>
      </c>
      <c r="C778" s="16" t="n">
        <v>46009</v>
      </c>
      <c r="D778" s="17" t="n">
        <v>1</v>
      </c>
      <c r="E778" s="17" t="n">
        <v>1</v>
      </c>
      <c r="F778" s="17" t="n">
        <v>1</v>
      </c>
      <c r="G778" s="17" t="n">
        <v>0</v>
      </c>
      <c r="H778" s="17" t="n">
        <v>0</v>
      </c>
      <c r="I778" s="17" t="n">
        <v>0</v>
      </c>
      <c r="J778" s="17" t="n">
        <v>0</v>
      </c>
      <c r="K778" s="17" t="n">
        <v>1</v>
      </c>
      <c r="L778" s="17" t="n">
        <v>0</v>
      </c>
      <c r="M778" s="17" t="n">
        <v>2</v>
      </c>
      <c r="N778" s="17" t="n">
        <v>0</v>
      </c>
      <c r="O778" s="17" t="n">
        <v>0</v>
      </c>
      <c r="P778" s="17" t="n">
        <v>0</v>
      </c>
      <c r="Q778" s="17" t="n">
        <v>1</v>
      </c>
      <c r="R778" s="17" t="n">
        <v>0</v>
      </c>
      <c r="T778" s="17">
        <f>DAY(C778)</f>
        <v/>
      </c>
      <c r="U778" s="17">
        <f>MONTH(C778)</f>
        <v/>
      </c>
    </row>
    <row r="779" hidden="1" ht="22.5" customHeight="1" s="117">
      <c r="A779" s="14" t="n">
        <v>46010.30016487269</v>
      </c>
      <c r="B779" s="17" t="inlineStr">
        <is>
          <t>Đặng Hữu Danh</t>
        </is>
      </c>
      <c r="C779" s="16" t="n">
        <v>46009</v>
      </c>
      <c r="D779" s="17" t="n">
        <v>0</v>
      </c>
      <c r="E779" s="17" t="n">
        <v>0</v>
      </c>
      <c r="F779" s="17" t="n">
        <v>0</v>
      </c>
      <c r="G779" s="17" t="n">
        <v>0</v>
      </c>
      <c r="H779" s="17" t="n">
        <v>0</v>
      </c>
      <c r="I779" s="17" t="n">
        <v>1</v>
      </c>
      <c r="J779" s="17" t="n">
        <v>2</v>
      </c>
      <c r="K779" s="17" t="n">
        <v>6</v>
      </c>
      <c r="L779" s="17" t="n">
        <v>0</v>
      </c>
      <c r="M779" s="17" t="n">
        <v>0</v>
      </c>
      <c r="N779" s="17" t="n">
        <v>1</v>
      </c>
      <c r="O779" s="17" t="n">
        <v>0</v>
      </c>
      <c r="P779" s="17" t="n">
        <v>1</v>
      </c>
      <c r="Q779" s="17" t="n">
        <v>3</v>
      </c>
      <c r="R779" s="17" t="n">
        <v>2</v>
      </c>
      <c r="T779" s="17">
        <f>DAY(C779)</f>
        <v/>
      </c>
      <c r="U779" s="17">
        <f>MONTH(C779)</f>
        <v/>
      </c>
    </row>
    <row r="780" hidden="1" ht="22.5" customHeight="1" s="117">
      <c r="A780" s="14" t="n">
        <v>46010.30087748843</v>
      </c>
      <c r="B780" s="17" t="inlineStr">
        <is>
          <t>Đặng Hoài Anh</t>
        </is>
      </c>
      <c r="C780" s="16" t="n">
        <v>46009</v>
      </c>
      <c r="D780" s="17" t="n">
        <v>0</v>
      </c>
      <c r="E780" s="17" t="n">
        <v>0</v>
      </c>
      <c r="F780" s="17" t="n">
        <v>0</v>
      </c>
      <c r="G780" s="17" t="n">
        <v>1</v>
      </c>
      <c r="H780" s="17" t="n">
        <v>1</v>
      </c>
      <c r="I780" s="17" t="n">
        <v>0</v>
      </c>
      <c r="J780" s="17" t="n">
        <v>0</v>
      </c>
      <c r="K780" s="17" t="n">
        <v>5</v>
      </c>
      <c r="L780" s="17" t="n">
        <v>0</v>
      </c>
      <c r="M780" s="17" t="n">
        <v>0</v>
      </c>
      <c r="N780" s="17" t="n">
        <v>1</v>
      </c>
      <c r="O780" s="17" t="n">
        <v>0</v>
      </c>
      <c r="P780" s="17" t="n">
        <v>0</v>
      </c>
      <c r="Q780" s="17" t="n">
        <v>0</v>
      </c>
      <c r="R780" s="17" t="n">
        <v>0</v>
      </c>
      <c r="T780" s="17">
        <f>DAY(C780)</f>
        <v/>
      </c>
      <c r="U780" s="17">
        <f>MONTH(C780)</f>
        <v/>
      </c>
    </row>
    <row r="781" hidden="1" ht="22.5" customHeight="1" s="117">
      <c r="A781" s="14" t="n">
        <v>46010.30473974537</v>
      </c>
      <c r="B781" s="17" t="inlineStr">
        <is>
          <t>Hồ Xuân Việt</t>
        </is>
      </c>
      <c r="C781" s="16" t="n">
        <v>46009</v>
      </c>
      <c r="D781" s="17" t="n">
        <v>0</v>
      </c>
      <c r="E781" s="17" t="n">
        <v>0</v>
      </c>
      <c r="F781" s="17" t="n">
        <v>0</v>
      </c>
      <c r="G781" s="17" t="n">
        <v>0</v>
      </c>
      <c r="H781" s="17" t="n">
        <v>0</v>
      </c>
      <c r="I781" s="17" t="n">
        <v>0</v>
      </c>
      <c r="J781" s="17" t="n">
        <v>0</v>
      </c>
      <c r="K781" s="17" t="n">
        <v>10</v>
      </c>
      <c r="L781" s="17" t="n">
        <v>0</v>
      </c>
      <c r="M781" s="17" t="n">
        <v>0</v>
      </c>
      <c r="N781" s="17" t="n">
        <v>0</v>
      </c>
      <c r="O781" s="17" t="n">
        <v>0</v>
      </c>
      <c r="P781" s="17" t="n">
        <v>0</v>
      </c>
      <c r="Q781" s="17" t="n">
        <v>1</v>
      </c>
      <c r="R781" s="17" t="n">
        <v>0</v>
      </c>
      <c r="T781" s="17">
        <f>DAY(C781)</f>
        <v/>
      </c>
      <c r="U781" s="17">
        <f>MONTH(C781)</f>
        <v/>
      </c>
    </row>
    <row r="782" hidden="1" ht="22.5" customHeight="1" s="117">
      <c r="A782" s="14" t="n">
        <v>46010.3065966088</v>
      </c>
      <c r="B782" s="17" t="inlineStr">
        <is>
          <t>Nguyễn Quang Anh Tuấn</t>
        </is>
      </c>
      <c r="C782" s="16" t="n">
        <v>46009</v>
      </c>
      <c r="D782" s="17" t="n">
        <v>0</v>
      </c>
      <c r="E782" s="17" t="n">
        <v>0</v>
      </c>
      <c r="F782" s="17" t="n">
        <v>0</v>
      </c>
      <c r="G782" s="17" t="n">
        <v>0</v>
      </c>
      <c r="H782" s="17" t="n">
        <v>0</v>
      </c>
      <c r="I782" s="17" t="n">
        <v>0</v>
      </c>
      <c r="J782" s="17" t="n">
        <v>0</v>
      </c>
      <c r="K782" s="17" t="n">
        <v>9</v>
      </c>
      <c r="L782" s="17" t="n">
        <v>0</v>
      </c>
      <c r="M782" s="17" t="n">
        <v>0</v>
      </c>
      <c r="N782" s="17" t="n">
        <v>0</v>
      </c>
      <c r="O782" s="17" t="n">
        <v>0</v>
      </c>
      <c r="P782" s="17" t="n">
        <v>1</v>
      </c>
      <c r="Q782" s="17" t="n">
        <v>1</v>
      </c>
      <c r="R782" s="17" t="n">
        <v>0</v>
      </c>
      <c r="T782" s="17">
        <f>DAY(C782)</f>
        <v/>
      </c>
      <c r="U782" s="17">
        <f>MONTH(C782)</f>
        <v/>
      </c>
    </row>
    <row r="783" hidden="1" ht="22.5" customHeight="1" s="117">
      <c r="A783" s="14" t="n">
        <v>46010.30735094907</v>
      </c>
      <c r="B783" s="17" t="inlineStr">
        <is>
          <t>Huỳnh Văn Lực</t>
        </is>
      </c>
      <c r="C783" s="16" t="n">
        <v>46009</v>
      </c>
      <c r="D783" s="17" t="n">
        <v>0</v>
      </c>
      <c r="E783" s="17" t="n">
        <v>0</v>
      </c>
      <c r="F783" s="17" t="n">
        <v>0</v>
      </c>
      <c r="G783" s="17" t="n">
        <v>0</v>
      </c>
      <c r="H783" s="17" t="n">
        <v>0</v>
      </c>
      <c r="I783" s="17" t="n">
        <v>0</v>
      </c>
      <c r="J783" s="17" t="n">
        <v>0</v>
      </c>
      <c r="K783" s="17" t="n">
        <v>4</v>
      </c>
      <c r="L783" s="17" t="n">
        <v>0</v>
      </c>
      <c r="M783" s="17" t="n">
        <v>0</v>
      </c>
      <c r="N783" s="17" t="n">
        <v>0</v>
      </c>
      <c r="O783" s="17" t="n">
        <v>0</v>
      </c>
      <c r="P783" s="17" t="n">
        <v>2</v>
      </c>
      <c r="Q783" s="17" t="n">
        <v>2</v>
      </c>
      <c r="R783" s="17" t="n">
        <v>0</v>
      </c>
      <c r="T783" s="17">
        <f>DAY(C783)</f>
        <v/>
      </c>
      <c r="U783" s="17">
        <f>MONTH(C783)</f>
        <v/>
      </c>
    </row>
    <row r="784" hidden="1" ht="22.5" customHeight="1" s="117">
      <c r="A784" s="14" t="n">
        <v>46010.30736605324</v>
      </c>
      <c r="B784" s="17" t="inlineStr">
        <is>
          <t>Trần Xuân Khoa</t>
        </is>
      </c>
      <c r="C784" s="16" t="n">
        <v>46009</v>
      </c>
      <c r="D784" s="17" t="n">
        <v>0</v>
      </c>
      <c r="E784" s="17" t="n">
        <v>0</v>
      </c>
      <c r="F784" s="17" t="n">
        <v>0</v>
      </c>
      <c r="G784" s="17" t="n">
        <v>0</v>
      </c>
      <c r="H784" s="17" t="n">
        <v>0</v>
      </c>
      <c r="I784" s="17" t="n">
        <v>1</v>
      </c>
      <c r="J784" s="17" t="n">
        <v>0</v>
      </c>
      <c r="K784" s="17" t="n">
        <v>6</v>
      </c>
      <c r="L784" s="17" t="n">
        <v>0</v>
      </c>
      <c r="M784" s="17" t="n">
        <v>0</v>
      </c>
      <c r="N784" s="17" t="n">
        <v>0</v>
      </c>
      <c r="O784" s="17" t="n">
        <v>0</v>
      </c>
      <c r="P784" s="17" t="n">
        <v>0</v>
      </c>
      <c r="Q784" s="17" t="n">
        <v>6</v>
      </c>
      <c r="R784" s="17" t="n">
        <v>0</v>
      </c>
      <c r="T784" s="17">
        <f>DAY(C784)</f>
        <v/>
      </c>
      <c r="U784" s="17">
        <f>MONTH(C784)</f>
        <v/>
      </c>
    </row>
    <row r="785" hidden="1" ht="22.5" customHeight="1" s="117">
      <c r="A785" s="14" t="n">
        <v>46010.30809180556</v>
      </c>
      <c r="B785" s="17" t="inlineStr">
        <is>
          <t>Trần Trung Giang</t>
        </is>
      </c>
      <c r="C785" s="16" t="n">
        <v>46009</v>
      </c>
      <c r="D785" s="17" t="n">
        <v>0</v>
      </c>
      <c r="E785" s="17" t="n">
        <v>0</v>
      </c>
      <c r="F785" s="17" t="n">
        <v>0</v>
      </c>
      <c r="G785" s="17" t="n">
        <v>0</v>
      </c>
      <c r="H785" s="17" t="n">
        <v>0</v>
      </c>
      <c r="I785" s="17" t="n">
        <v>0</v>
      </c>
      <c r="J785" s="17" t="n">
        <v>0</v>
      </c>
      <c r="K785" s="17" t="n">
        <v>2</v>
      </c>
      <c r="L785" s="17" t="n">
        <v>0</v>
      </c>
      <c r="M785" s="17" t="n">
        <v>0</v>
      </c>
      <c r="N785" s="17" t="n">
        <v>0</v>
      </c>
      <c r="O785" s="17" t="n">
        <v>0</v>
      </c>
      <c r="P785" s="17" t="n">
        <v>1</v>
      </c>
      <c r="Q785" s="17" t="n">
        <v>1</v>
      </c>
      <c r="R785" s="17" t="n">
        <v>0</v>
      </c>
      <c r="T785" s="17">
        <f>DAY(C785)</f>
        <v/>
      </c>
      <c r="U785" s="17">
        <f>MONTH(C785)</f>
        <v/>
      </c>
    </row>
    <row r="786" hidden="1" ht="22.5" customHeight="1" s="117">
      <c r="A786" s="14" t="n">
        <v>46010.30810960648</v>
      </c>
      <c r="B786" s="17" t="inlineStr">
        <is>
          <t>Nguyễn Thành Lâm</t>
        </is>
      </c>
      <c r="C786" s="16" t="n">
        <v>46009</v>
      </c>
      <c r="D786" s="17" t="n">
        <v>1</v>
      </c>
      <c r="E786" s="17" t="n">
        <v>0</v>
      </c>
      <c r="F786" s="17" t="n">
        <v>0</v>
      </c>
      <c r="G786" s="17" t="n">
        <v>0</v>
      </c>
      <c r="H786" s="17" t="n">
        <v>0</v>
      </c>
      <c r="I786" s="17" t="n">
        <v>1</v>
      </c>
      <c r="J786" s="17" t="n">
        <v>2</v>
      </c>
      <c r="K786" s="17" t="n">
        <v>6</v>
      </c>
      <c r="L786" s="17" t="n">
        <v>0</v>
      </c>
      <c r="M786" s="17" t="n">
        <v>2</v>
      </c>
      <c r="N786" s="17" t="n">
        <v>0</v>
      </c>
      <c r="O786" s="17" t="n">
        <v>0</v>
      </c>
      <c r="P786" s="17" t="n">
        <v>0</v>
      </c>
      <c r="Q786" s="17" t="n">
        <v>2</v>
      </c>
      <c r="R786" s="17" t="n">
        <v>0</v>
      </c>
      <c r="T786" s="17">
        <f>DAY(C786)</f>
        <v/>
      </c>
      <c r="U786" s="17">
        <f>MONTH(C786)</f>
        <v/>
      </c>
    </row>
    <row r="787" hidden="1" ht="22.5" customHeight="1" s="117">
      <c r="A787" s="14" t="n">
        <v>46010.30979259259</v>
      </c>
      <c r="B787" s="17" t="inlineStr">
        <is>
          <t>Trần Minh Khánh</t>
        </is>
      </c>
      <c r="C787" s="16" t="n">
        <v>46009</v>
      </c>
      <c r="D787" s="17" t="n">
        <v>0</v>
      </c>
      <c r="E787" s="17" t="n">
        <v>0</v>
      </c>
      <c r="F787" s="17" t="n">
        <v>0</v>
      </c>
      <c r="G787" s="17" t="n">
        <v>0</v>
      </c>
      <c r="H787" s="17" t="n">
        <v>0</v>
      </c>
      <c r="I787" s="17" t="n">
        <v>0</v>
      </c>
      <c r="J787" s="17" t="n">
        <v>0</v>
      </c>
      <c r="K787" s="17" t="n">
        <v>5</v>
      </c>
      <c r="L787" s="17" t="n">
        <v>0</v>
      </c>
      <c r="M787" s="17" t="n">
        <v>0</v>
      </c>
      <c r="N787" s="17" t="n">
        <v>0</v>
      </c>
      <c r="O787" s="17" t="n">
        <v>0</v>
      </c>
      <c r="P787" s="17" t="n">
        <v>0</v>
      </c>
      <c r="Q787" s="17" t="n">
        <v>2</v>
      </c>
      <c r="R787" s="17" t="n">
        <v>0</v>
      </c>
      <c r="T787" s="17">
        <f>DAY(C787)</f>
        <v/>
      </c>
      <c r="U787" s="17">
        <f>MONTH(C787)</f>
        <v/>
      </c>
    </row>
    <row r="788" hidden="1" ht="22.5" customHeight="1" s="117">
      <c r="A788" s="14" t="n">
        <v>46010.31371150463</v>
      </c>
      <c r="B788" s="17" t="inlineStr">
        <is>
          <t>Lê Văn Hồng</t>
        </is>
      </c>
      <c r="C788" s="16" t="n">
        <v>46009</v>
      </c>
      <c r="D788" s="17" t="n">
        <v>0</v>
      </c>
      <c r="E788" s="17" t="n">
        <v>0</v>
      </c>
      <c r="F788" s="17" t="n">
        <v>0</v>
      </c>
      <c r="G788" s="17" t="n">
        <v>0</v>
      </c>
      <c r="H788" s="17" t="n">
        <v>0</v>
      </c>
      <c r="I788" s="17" t="n">
        <v>0</v>
      </c>
      <c r="J788" s="17" t="n">
        <v>0</v>
      </c>
      <c r="K788" s="17" t="n">
        <v>6</v>
      </c>
      <c r="L788" s="17" t="n">
        <v>0</v>
      </c>
      <c r="M788" s="17" t="n">
        <v>1</v>
      </c>
      <c r="N788" s="17" t="n">
        <v>0</v>
      </c>
      <c r="O788" s="17" t="n">
        <v>0</v>
      </c>
      <c r="P788" s="17" t="n">
        <v>2</v>
      </c>
      <c r="Q788" s="17" t="n">
        <v>4</v>
      </c>
      <c r="R788" s="17" t="n">
        <v>0</v>
      </c>
      <c r="T788" s="17">
        <f>DAY(C788)</f>
        <v/>
      </c>
      <c r="U788" s="17">
        <f>MONTH(C788)</f>
        <v/>
      </c>
    </row>
    <row r="789" hidden="1" ht="22.5" customHeight="1" s="117">
      <c r="A789" s="14" t="n">
        <v>46010.32756877315</v>
      </c>
      <c r="B789" s="17" t="inlineStr">
        <is>
          <t>Bùi Duy Cường</t>
        </is>
      </c>
      <c r="C789" s="16" t="n">
        <v>46009</v>
      </c>
      <c r="D789" s="17" t="n">
        <v>0</v>
      </c>
      <c r="E789" s="17" t="n">
        <v>0</v>
      </c>
      <c r="F789" s="17" t="n">
        <v>0</v>
      </c>
      <c r="G789" s="17" t="n">
        <v>0</v>
      </c>
      <c r="H789" s="17" t="n">
        <v>0</v>
      </c>
      <c r="I789" s="17" t="n">
        <v>1</v>
      </c>
      <c r="J789" s="17" t="n">
        <v>0</v>
      </c>
      <c r="K789" s="17" t="n">
        <v>12</v>
      </c>
      <c r="L789" s="17" t="n">
        <v>0</v>
      </c>
      <c r="M789" s="17" t="n">
        <v>0</v>
      </c>
      <c r="N789" s="17" t="n">
        <v>0</v>
      </c>
      <c r="O789" s="17" t="n">
        <v>0</v>
      </c>
      <c r="P789" s="17" t="n">
        <v>1</v>
      </c>
      <c r="Q789" s="17" t="n">
        <v>1</v>
      </c>
      <c r="R789" s="17" t="n">
        <v>0</v>
      </c>
      <c r="T789" s="17">
        <f>DAY(C789)</f>
        <v/>
      </c>
      <c r="U789" s="17">
        <f>MONTH(C789)</f>
        <v/>
      </c>
    </row>
    <row r="790" hidden="1" ht="22.5" customHeight="1" s="117">
      <c r="A790" s="14" t="n">
        <v>46010.32984123842</v>
      </c>
      <c r="B790" s="17" t="inlineStr">
        <is>
          <t>Lương Duy Hải</t>
        </is>
      </c>
      <c r="C790" s="16" t="n">
        <v>46009</v>
      </c>
      <c r="D790" s="17" t="n">
        <v>1</v>
      </c>
      <c r="E790" s="17" t="n">
        <v>1</v>
      </c>
      <c r="F790" s="17" t="n">
        <v>3</v>
      </c>
      <c r="G790" s="17" t="n">
        <v>0</v>
      </c>
      <c r="H790" s="17" t="n">
        <v>0</v>
      </c>
      <c r="I790" s="17" t="n">
        <v>0</v>
      </c>
      <c r="J790" s="17" t="n">
        <v>1</v>
      </c>
      <c r="K790" s="17" t="n">
        <v>15</v>
      </c>
      <c r="L790" s="17" t="n">
        <v>0</v>
      </c>
      <c r="M790" s="17" t="n">
        <v>0</v>
      </c>
      <c r="N790" s="17" t="n">
        <v>0</v>
      </c>
      <c r="O790" s="17" t="n">
        <v>0</v>
      </c>
      <c r="P790" s="17" t="n">
        <v>1</v>
      </c>
      <c r="Q790" s="17" t="n">
        <v>2</v>
      </c>
      <c r="R790" s="17" t="n">
        <v>0</v>
      </c>
      <c r="T790" s="17">
        <f>DAY(C790)</f>
        <v/>
      </c>
      <c r="U790" s="17">
        <f>MONTH(C790)</f>
        <v/>
      </c>
    </row>
    <row r="791" hidden="1" ht="22.5" customHeight="1" s="117">
      <c r="A791" s="14" t="n">
        <v>46010.33072226852</v>
      </c>
      <c r="B791" s="17" t="inlineStr">
        <is>
          <t>Nguyễn Hồng Minh</t>
        </is>
      </c>
      <c r="C791" s="16" t="n">
        <v>46009</v>
      </c>
      <c r="D791" s="17" t="n">
        <v>1</v>
      </c>
      <c r="E791" s="17" t="n">
        <v>1</v>
      </c>
      <c r="F791" s="17" t="n">
        <v>1</v>
      </c>
      <c r="G791" s="17" t="n">
        <v>0</v>
      </c>
      <c r="H791" s="17" t="n">
        <v>0</v>
      </c>
      <c r="I791" s="17" t="n">
        <v>0</v>
      </c>
      <c r="J791" s="17" t="n">
        <v>0</v>
      </c>
      <c r="K791" s="17" t="n">
        <v>8</v>
      </c>
      <c r="L791" s="17" t="n">
        <v>0</v>
      </c>
      <c r="M791" s="17" t="n">
        <v>1</v>
      </c>
      <c r="N791" s="17" t="n">
        <v>2</v>
      </c>
      <c r="O791" s="17" t="n">
        <v>0</v>
      </c>
      <c r="P791" s="17" t="n">
        <v>0</v>
      </c>
      <c r="Q791" s="17" t="n">
        <v>5</v>
      </c>
      <c r="R791" s="17" t="n">
        <v>0</v>
      </c>
      <c r="T791" s="17">
        <f>DAY(C791)</f>
        <v/>
      </c>
      <c r="U791" s="17">
        <f>MONTH(C791)</f>
        <v/>
      </c>
    </row>
    <row r="792" hidden="1" ht="22.5" customHeight="1" s="117">
      <c r="A792" s="14" t="n">
        <v>46011.27486103009</v>
      </c>
      <c r="B792" s="17" t="inlineStr">
        <is>
          <t>Dương Minh Tiến</t>
        </is>
      </c>
      <c r="C792" s="16" t="n">
        <v>46011</v>
      </c>
      <c r="D792" s="17" t="n">
        <v>0</v>
      </c>
      <c r="E792" s="17" t="n">
        <v>0</v>
      </c>
      <c r="F792" s="17" t="n">
        <v>0</v>
      </c>
      <c r="G792" s="17" t="n">
        <v>0</v>
      </c>
      <c r="H792" s="17" t="n">
        <v>0</v>
      </c>
      <c r="I792" s="17" t="n">
        <v>0</v>
      </c>
      <c r="J792" s="17" t="n">
        <v>0</v>
      </c>
      <c r="K792" s="17" t="n">
        <v>15</v>
      </c>
      <c r="L792" s="17" t="n">
        <v>0</v>
      </c>
      <c r="M792" s="17" t="n">
        <v>0</v>
      </c>
      <c r="N792" s="17" t="n">
        <v>0</v>
      </c>
      <c r="O792" s="17" t="n">
        <v>0</v>
      </c>
      <c r="P792" s="17" t="n">
        <v>0</v>
      </c>
      <c r="Q792" s="17" t="n">
        <v>0</v>
      </c>
      <c r="R792" s="17" t="n">
        <v>0</v>
      </c>
      <c r="T792" s="17">
        <f>DAY(C792)</f>
        <v/>
      </c>
      <c r="U792" s="17">
        <f>MONTH(C792)</f>
        <v/>
      </c>
    </row>
    <row r="793" hidden="1" ht="22.5" customHeight="1" s="117">
      <c r="A793" s="14" t="n">
        <v>46011.29129576389</v>
      </c>
      <c r="B793" s="17" t="inlineStr">
        <is>
          <t>Hồ Xuân Việt</t>
        </is>
      </c>
      <c r="C793" s="16" t="n">
        <v>46010</v>
      </c>
      <c r="D793" s="17" t="n">
        <v>0</v>
      </c>
      <c r="E793" s="17" t="n">
        <v>0</v>
      </c>
      <c r="F793" s="17" t="n">
        <v>0</v>
      </c>
      <c r="G793" s="17" t="n">
        <v>0</v>
      </c>
      <c r="H793" s="17" t="n">
        <v>0</v>
      </c>
      <c r="I793" s="17" t="n">
        <v>4</v>
      </c>
      <c r="J793" s="17" t="n">
        <v>0</v>
      </c>
      <c r="K793" s="17" t="n">
        <v>8</v>
      </c>
      <c r="L793" s="17" t="n">
        <v>0</v>
      </c>
      <c r="M793" s="17" t="n">
        <v>0</v>
      </c>
      <c r="N793" s="17" t="n">
        <v>0</v>
      </c>
      <c r="O793" s="17" t="n">
        <v>0</v>
      </c>
      <c r="P793" s="17" t="n">
        <v>1</v>
      </c>
      <c r="Q793" s="17" t="n">
        <v>1</v>
      </c>
      <c r="R793" s="17" t="n">
        <v>0</v>
      </c>
      <c r="T793" s="17">
        <f>DAY(C793)</f>
        <v/>
      </c>
      <c r="U793" s="17">
        <f>MONTH(C793)</f>
        <v/>
      </c>
    </row>
    <row r="794" hidden="1" ht="22.5" customHeight="1" s="117">
      <c r="A794" s="14" t="n">
        <v>46011.29261246528</v>
      </c>
      <c r="B794" s="17" t="inlineStr">
        <is>
          <t>Hồ Xuân Việt</t>
        </is>
      </c>
      <c r="C794" s="16" t="n">
        <v>46010</v>
      </c>
      <c r="D794" s="17" t="n">
        <v>0</v>
      </c>
      <c r="E794" s="17" t="n">
        <v>0</v>
      </c>
      <c r="F794" s="17" t="n">
        <v>0</v>
      </c>
      <c r="G794" s="17" t="n">
        <v>0</v>
      </c>
      <c r="H794" s="17" t="n">
        <v>0</v>
      </c>
      <c r="I794" s="17" t="n">
        <v>0</v>
      </c>
      <c r="J794" s="17" t="n">
        <v>0</v>
      </c>
      <c r="K794" s="17" t="n">
        <v>2</v>
      </c>
      <c r="L794" s="17" t="n">
        <v>0</v>
      </c>
      <c r="M794" s="17" t="n">
        <v>1</v>
      </c>
      <c r="N794" s="18" t="inlineStr">
        <is>
          <t>00</t>
        </is>
      </c>
      <c r="O794" s="17" t="n">
        <v>0</v>
      </c>
      <c r="P794" s="17" t="n">
        <v>1</v>
      </c>
      <c r="Q794" s="17" t="n">
        <v>1</v>
      </c>
      <c r="R794" s="17" t="n">
        <v>0</v>
      </c>
      <c r="T794" s="17">
        <f>DAY(C794)</f>
        <v/>
      </c>
      <c r="U794" s="17">
        <f>MONTH(C794)</f>
        <v/>
      </c>
    </row>
    <row r="795" hidden="1" ht="22.5" customHeight="1" s="117">
      <c r="A795" s="14" t="n">
        <v>46011.29304837963</v>
      </c>
      <c r="B795" s="17" t="inlineStr">
        <is>
          <t>Đặng Hữu Danh</t>
        </is>
      </c>
      <c r="C795" s="16" t="n">
        <v>46010</v>
      </c>
      <c r="D795" s="17" t="n">
        <v>0</v>
      </c>
      <c r="E795" s="17" t="n">
        <v>0</v>
      </c>
      <c r="F795" s="17" t="n">
        <v>0</v>
      </c>
      <c r="G795" s="17" t="n">
        <v>0</v>
      </c>
      <c r="H795" s="17" t="n">
        <v>0</v>
      </c>
      <c r="I795" s="17" t="n">
        <v>2</v>
      </c>
      <c r="J795" s="17" t="n">
        <v>1</v>
      </c>
      <c r="K795" s="17" t="n">
        <v>12</v>
      </c>
      <c r="L795" s="17" t="n">
        <v>0</v>
      </c>
      <c r="M795" s="17" t="n">
        <v>0</v>
      </c>
      <c r="N795" s="17" t="n">
        <v>0</v>
      </c>
      <c r="O795" s="17" t="n">
        <v>0</v>
      </c>
      <c r="P795" s="17" t="n">
        <v>1</v>
      </c>
      <c r="Q795" s="17" t="n">
        <v>3</v>
      </c>
      <c r="R795" s="17" t="n">
        <v>0</v>
      </c>
      <c r="T795" s="17">
        <f>DAY(C795)</f>
        <v/>
      </c>
      <c r="U795" s="17">
        <f>MONTH(C795)</f>
        <v/>
      </c>
    </row>
    <row r="796" hidden="1" ht="22.5" customHeight="1" s="117">
      <c r="A796" s="14" t="n">
        <v>46011.29347708333</v>
      </c>
      <c r="B796" s="17" t="inlineStr">
        <is>
          <t>Hoàng Văn Chất</t>
        </is>
      </c>
      <c r="C796" s="16" t="n">
        <v>46010</v>
      </c>
      <c r="D796" s="17" t="n">
        <v>0</v>
      </c>
      <c r="E796" s="17" t="n">
        <v>0</v>
      </c>
      <c r="F796" s="17" t="n">
        <v>0</v>
      </c>
      <c r="G796" s="17" t="n">
        <v>0</v>
      </c>
      <c r="H796" s="17" t="n">
        <v>0</v>
      </c>
      <c r="I796" s="17" t="n">
        <v>0</v>
      </c>
      <c r="J796" s="17" t="n">
        <v>0</v>
      </c>
      <c r="K796" s="17" t="n">
        <v>27</v>
      </c>
      <c r="L796" s="17" t="n">
        <v>2</v>
      </c>
      <c r="M796" s="17" t="n">
        <v>0</v>
      </c>
      <c r="N796" s="17" t="n">
        <v>0</v>
      </c>
      <c r="O796" s="17" t="n">
        <v>0</v>
      </c>
      <c r="P796" s="17" t="n">
        <v>0</v>
      </c>
      <c r="Q796" s="17" t="n">
        <v>5</v>
      </c>
      <c r="R796" s="17" t="n">
        <v>0</v>
      </c>
      <c r="T796" s="17">
        <f>DAY(C796)</f>
        <v/>
      </c>
      <c r="U796" s="17">
        <f>MONTH(C796)</f>
        <v/>
      </c>
    </row>
    <row r="797" hidden="1" ht="22.5" customHeight="1" s="117">
      <c r="A797" s="14" t="n">
        <v>46011.29353758102</v>
      </c>
      <c r="B797" s="17" t="inlineStr">
        <is>
          <t>Phan Thành Thái</t>
        </is>
      </c>
      <c r="C797" s="16" t="n">
        <v>46010</v>
      </c>
      <c r="D797" s="17" t="n">
        <v>0</v>
      </c>
      <c r="E797" s="17" t="n">
        <v>0</v>
      </c>
      <c r="F797" s="17" t="n">
        <v>0</v>
      </c>
      <c r="G797" s="17" t="n">
        <v>0</v>
      </c>
      <c r="H797" s="17" t="n">
        <v>0</v>
      </c>
      <c r="I797" s="17" t="n">
        <v>2</v>
      </c>
      <c r="J797" s="17" t="n">
        <v>0</v>
      </c>
      <c r="K797" s="17" t="n">
        <v>4</v>
      </c>
      <c r="L797" s="17" t="n">
        <v>0</v>
      </c>
      <c r="M797" s="17" t="n">
        <v>0</v>
      </c>
      <c r="N797" s="17" t="n">
        <v>0</v>
      </c>
      <c r="O797" s="17" t="n">
        <v>0</v>
      </c>
      <c r="P797" s="17" t="n">
        <v>2</v>
      </c>
      <c r="Q797" s="17" t="n">
        <v>6</v>
      </c>
      <c r="R797" s="17" t="n">
        <v>2</v>
      </c>
      <c r="T797" s="17">
        <f>DAY(C797)</f>
        <v/>
      </c>
      <c r="U797" s="17">
        <f>MONTH(C797)</f>
        <v/>
      </c>
    </row>
    <row r="798" hidden="1" ht="22.5" customHeight="1" s="117">
      <c r="A798" s="14" t="n">
        <v>46011.29376637731</v>
      </c>
      <c r="B798" s="17" t="inlineStr">
        <is>
          <t>Nguyễn Văn Hiệp</t>
        </is>
      </c>
      <c r="C798" s="16" t="n">
        <v>46010</v>
      </c>
      <c r="D798" s="17" t="n">
        <v>0</v>
      </c>
      <c r="E798" s="17" t="n">
        <v>0</v>
      </c>
      <c r="F798" s="17" t="n">
        <v>0</v>
      </c>
      <c r="G798" s="17" t="n">
        <v>0</v>
      </c>
      <c r="H798" s="17" t="n">
        <v>0</v>
      </c>
      <c r="I798" s="17" t="n">
        <v>0</v>
      </c>
      <c r="J798" s="17" t="n">
        <v>0</v>
      </c>
      <c r="K798" s="17" t="n">
        <v>1</v>
      </c>
      <c r="L798" s="17" t="n">
        <v>0</v>
      </c>
      <c r="M798" s="17" t="n">
        <v>0</v>
      </c>
      <c r="N798" s="17" t="n">
        <v>1</v>
      </c>
      <c r="O798" s="17" t="n">
        <v>0</v>
      </c>
      <c r="P798" s="17" t="n">
        <v>1</v>
      </c>
      <c r="Q798" s="17" t="n">
        <v>0</v>
      </c>
      <c r="R798" s="17" t="n">
        <v>0</v>
      </c>
      <c r="T798" s="17">
        <f>DAY(C798)</f>
        <v/>
      </c>
      <c r="U798" s="17">
        <f>MONTH(C798)</f>
        <v/>
      </c>
    </row>
    <row r="799" hidden="1" ht="22.5" customHeight="1" s="117">
      <c r="A799" s="14" t="n">
        <v>46011.29528195602</v>
      </c>
      <c r="B799" s="17" t="inlineStr">
        <is>
          <t>Nguyễn Quang Anh Tuấn</t>
        </is>
      </c>
      <c r="C799" s="16" t="n">
        <v>46010</v>
      </c>
      <c r="D799" s="17" t="n">
        <v>0</v>
      </c>
      <c r="E799" s="17" t="n">
        <v>0</v>
      </c>
      <c r="F799" s="17" t="n">
        <v>0</v>
      </c>
      <c r="G799" s="17" t="n">
        <v>0</v>
      </c>
      <c r="H799" s="17" t="n">
        <v>0</v>
      </c>
      <c r="I799" s="17" t="n">
        <v>0</v>
      </c>
      <c r="J799" s="17" t="n">
        <v>0</v>
      </c>
      <c r="K799" s="17" t="n">
        <v>9</v>
      </c>
      <c r="L799" s="17" t="n">
        <v>0</v>
      </c>
      <c r="M799" s="17" t="n">
        <v>0</v>
      </c>
      <c r="N799" s="17" t="n">
        <v>0</v>
      </c>
      <c r="O799" s="17" t="n">
        <v>0</v>
      </c>
      <c r="P799" s="17" t="n">
        <v>0</v>
      </c>
      <c r="Q799" s="17" t="n">
        <v>2</v>
      </c>
      <c r="R799" s="17" t="n">
        <v>0</v>
      </c>
      <c r="T799" s="17">
        <f>DAY(C799)</f>
        <v/>
      </c>
      <c r="U799" s="17">
        <f>MONTH(C799)</f>
        <v/>
      </c>
    </row>
    <row r="800" hidden="1" ht="22.5" customHeight="1" s="117">
      <c r="A800" s="14" t="n">
        <v>46011.29539777778</v>
      </c>
      <c r="B800" s="17" t="inlineStr">
        <is>
          <t>Lê Hồng Phong</t>
        </is>
      </c>
      <c r="C800" s="16" t="n">
        <v>46011</v>
      </c>
      <c r="D800" s="17" t="n">
        <v>1</v>
      </c>
      <c r="E800" s="17" t="n">
        <v>1</v>
      </c>
      <c r="F800" s="17" t="n">
        <v>1</v>
      </c>
      <c r="G800" s="17" t="n">
        <v>0</v>
      </c>
      <c r="H800" s="17" t="n">
        <v>0</v>
      </c>
      <c r="I800" s="17" t="n">
        <v>1</v>
      </c>
      <c r="J800" s="17" t="n">
        <v>1</v>
      </c>
      <c r="K800" s="17" t="n">
        <v>1</v>
      </c>
      <c r="L800" s="17" t="n">
        <v>1</v>
      </c>
      <c r="M800" s="17" t="n">
        <v>1</v>
      </c>
      <c r="N800" s="17" t="n">
        <v>1</v>
      </c>
      <c r="O800" s="17" t="n">
        <v>1</v>
      </c>
      <c r="P800" s="17" t="n">
        <v>1</v>
      </c>
      <c r="Q800" s="17" t="n">
        <v>1</v>
      </c>
      <c r="R800" s="17" t="n">
        <v>1</v>
      </c>
      <c r="T800" s="17">
        <f>DAY(C800)</f>
        <v/>
      </c>
      <c r="U800" s="17">
        <f>MONTH(C800)</f>
        <v/>
      </c>
    </row>
    <row r="801" hidden="1" ht="22.5" customHeight="1" s="117">
      <c r="A801" s="14" t="n">
        <v>46011.29543982639</v>
      </c>
      <c r="B801" s="17" t="inlineStr">
        <is>
          <t>Lương Duy Hải</t>
        </is>
      </c>
      <c r="C801" s="16" t="n">
        <v>46010</v>
      </c>
      <c r="D801" s="17" t="n">
        <v>0</v>
      </c>
      <c r="E801" s="17" t="n">
        <v>0</v>
      </c>
      <c r="F801" s="17" t="n">
        <v>0</v>
      </c>
      <c r="G801" s="17" t="n">
        <v>0</v>
      </c>
      <c r="H801" s="17" t="n">
        <v>0</v>
      </c>
      <c r="I801" s="17" t="n">
        <v>0</v>
      </c>
      <c r="J801" s="17" t="n">
        <v>2</v>
      </c>
      <c r="K801" s="17" t="n">
        <v>5</v>
      </c>
      <c r="L801" s="17" t="n">
        <v>0</v>
      </c>
      <c r="M801" s="17" t="n">
        <v>0</v>
      </c>
      <c r="N801" s="17" t="n">
        <v>0</v>
      </c>
      <c r="O801" s="17" t="n">
        <v>0</v>
      </c>
      <c r="P801" s="17" t="n">
        <v>1</v>
      </c>
      <c r="Q801" s="17" t="n">
        <v>2</v>
      </c>
      <c r="R801" s="17" t="n">
        <v>1</v>
      </c>
      <c r="T801" s="17">
        <f>DAY(C801)</f>
        <v/>
      </c>
      <c r="U801" s="17">
        <f>MONTH(C801)</f>
        <v/>
      </c>
    </row>
    <row r="802" hidden="1" ht="22.5" customHeight="1" s="117">
      <c r="A802" s="14" t="n">
        <v>46011.29657074074</v>
      </c>
      <c r="B802" s="17" t="inlineStr">
        <is>
          <t>Lê Quốc Duy</t>
        </is>
      </c>
      <c r="C802" s="16" t="n">
        <v>46010</v>
      </c>
      <c r="D802" s="17" t="n">
        <v>0</v>
      </c>
      <c r="E802" s="17" t="n">
        <v>0</v>
      </c>
      <c r="F802" s="17" t="n">
        <v>0</v>
      </c>
      <c r="G802" s="17" t="n">
        <v>0</v>
      </c>
      <c r="H802" s="17" t="n">
        <v>0</v>
      </c>
      <c r="I802" s="17" t="n">
        <v>0</v>
      </c>
      <c r="J802" s="17" t="n">
        <v>3</v>
      </c>
      <c r="K802" s="17" t="n">
        <v>0</v>
      </c>
      <c r="L802" s="17" t="n">
        <v>2</v>
      </c>
      <c r="M802" s="17" t="n">
        <v>0</v>
      </c>
      <c r="N802" s="17" t="n">
        <v>1</v>
      </c>
      <c r="O802" s="17" t="n">
        <v>0</v>
      </c>
      <c r="P802" s="17" t="n">
        <v>1</v>
      </c>
      <c r="Q802" s="17" t="n">
        <v>1</v>
      </c>
      <c r="R802" s="17" t="n">
        <v>3</v>
      </c>
      <c r="T802" s="17">
        <f>DAY(C802)</f>
        <v/>
      </c>
      <c r="U802" s="17">
        <f>MONTH(C802)</f>
        <v/>
      </c>
    </row>
    <row r="803" hidden="1" ht="22.5" customHeight="1" s="117">
      <c r="A803" s="14" t="n">
        <v>46011.29749753472</v>
      </c>
      <c r="B803" s="17" t="inlineStr">
        <is>
          <t>Hồ Thái Minh Trí</t>
        </is>
      </c>
      <c r="C803" s="16" t="n">
        <v>46010</v>
      </c>
      <c r="D803" s="17" t="n">
        <v>0</v>
      </c>
      <c r="E803" s="17" t="n">
        <v>0</v>
      </c>
      <c r="F803" s="17" t="n">
        <v>0</v>
      </c>
      <c r="G803" s="17" t="n">
        <v>0</v>
      </c>
      <c r="H803" s="17" t="n">
        <v>0</v>
      </c>
      <c r="I803" s="17" t="n">
        <v>0</v>
      </c>
      <c r="J803" s="17" t="n">
        <v>0</v>
      </c>
      <c r="K803" s="17" t="n">
        <v>0</v>
      </c>
      <c r="L803" s="17" t="n">
        <v>0</v>
      </c>
      <c r="M803" s="17" t="n">
        <v>0</v>
      </c>
      <c r="N803" s="17" t="n">
        <v>0</v>
      </c>
      <c r="O803" s="17" t="n">
        <v>0</v>
      </c>
      <c r="P803" s="17" t="n">
        <v>1</v>
      </c>
      <c r="Q803" s="17" t="n">
        <v>5</v>
      </c>
      <c r="R803" s="17" t="n">
        <v>0</v>
      </c>
      <c r="T803" s="17">
        <f>DAY(C803)</f>
        <v/>
      </c>
      <c r="U803" s="17">
        <f>MONTH(C803)</f>
        <v/>
      </c>
    </row>
    <row r="804" hidden="1" ht="22.5" customHeight="1" s="117">
      <c r="A804" s="14" t="n">
        <v>46011.29757465278</v>
      </c>
      <c r="B804" s="17" t="inlineStr">
        <is>
          <t>Vòng Nhật Sang</t>
        </is>
      </c>
      <c r="C804" s="16" t="n">
        <v>46010</v>
      </c>
      <c r="D804" s="17" t="n">
        <v>0</v>
      </c>
      <c r="E804" s="17" t="n">
        <v>0</v>
      </c>
      <c r="F804" s="17" t="n">
        <v>0</v>
      </c>
      <c r="G804" s="17" t="n">
        <v>0</v>
      </c>
      <c r="H804" s="17" t="n">
        <v>0</v>
      </c>
      <c r="I804" s="17" t="n">
        <v>0</v>
      </c>
      <c r="J804" s="17" t="n">
        <v>0</v>
      </c>
      <c r="K804" s="17" t="n">
        <v>6</v>
      </c>
      <c r="L804" s="17" t="n">
        <v>0</v>
      </c>
      <c r="M804" s="17" t="n">
        <v>0</v>
      </c>
      <c r="N804" s="17" t="n">
        <v>0</v>
      </c>
      <c r="O804" s="17" t="n">
        <v>0</v>
      </c>
      <c r="P804" s="17" t="n">
        <v>1</v>
      </c>
      <c r="Q804" s="17" t="n">
        <v>2</v>
      </c>
      <c r="R804" s="17" t="n">
        <v>0</v>
      </c>
      <c r="T804" s="17">
        <f>DAY(C804)</f>
        <v/>
      </c>
      <c r="U804" s="17">
        <f>MONTH(C804)</f>
        <v/>
      </c>
    </row>
    <row r="805" hidden="1" ht="22.5" customHeight="1" s="117">
      <c r="A805" s="14" t="n">
        <v>46011.29926506944</v>
      </c>
      <c r="B805" s="17" t="inlineStr">
        <is>
          <t>Lương Duy Hoàng</t>
        </is>
      </c>
      <c r="C805" s="16" t="n">
        <v>46010</v>
      </c>
      <c r="D805" s="17" t="n">
        <v>0</v>
      </c>
      <c r="E805" s="17" t="n">
        <v>0</v>
      </c>
      <c r="F805" s="17" t="n">
        <v>0</v>
      </c>
      <c r="G805" s="17" t="n">
        <v>0</v>
      </c>
      <c r="H805" s="17" t="n">
        <v>0</v>
      </c>
      <c r="I805" s="17" t="n">
        <v>1</v>
      </c>
      <c r="J805" s="17" t="n">
        <v>0</v>
      </c>
      <c r="K805" s="17" t="n">
        <v>2</v>
      </c>
      <c r="L805" s="17" t="n">
        <v>0</v>
      </c>
      <c r="M805" s="17" t="n">
        <v>0</v>
      </c>
      <c r="N805" s="17" t="n">
        <v>0</v>
      </c>
      <c r="O805" s="17" t="n">
        <v>0</v>
      </c>
      <c r="P805" s="17" t="n">
        <v>0</v>
      </c>
      <c r="Q805" s="17" t="n">
        <v>1</v>
      </c>
      <c r="R805" s="17" t="n">
        <v>0</v>
      </c>
      <c r="T805" s="17">
        <f>DAY(C805)</f>
        <v/>
      </c>
      <c r="U805" s="17">
        <f>MONTH(C805)</f>
        <v/>
      </c>
    </row>
    <row r="806" hidden="1" ht="22.5" customHeight="1" s="117">
      <c r="A806" s="14" t="n">
        <v>46011.30054314815</v>
      </c>
      <c r="B806" s="17" t="inlineStr">
        <is>
          <t>Nguyễn Tuấn Anh</t>
        </is>
      </c>
      <c r="C806" s="16" t="n">
        <v>46010</v>
      </c>
      <c r="D806" s="17" t="n">
        <v>1</v>
      </c>
      <c r="E806" s="17" t="n">
        <v>1</v>
      </c>
      <c r="F806" s="17" t="n">
        <v>2</v>
      </c>
      <c r="G806" s="17" t="n">
        <v>0</v>
      </c>
      <c r="H806" s="17" t="n">
        <v>0</v>
      </c>
      <c r="I806" s="17" t="n">
        <v>1</v>
      </c>
      <c r="J806" s="17" t="n">
        <v>0</v>
      </c>
      <c r="K806" s="17" t="n">
        <v>21</v>
      </c>
      <c r="L806" s="17" t="n">
        <v>0</v>
      </c>
      <c r="M806" s="17" t="n">
        <v>0</v>
      </c>
      <c r="N806" s="17" t="n">
        <v>0</v>
      </c>
      <c r="O806" s="17" t="n">
        <v>0</v>
      </c>
      <c r="P806" s="17" t="n">
        <v>1</v>
      </c>
      <c r="Q806" s="17" t="n">
        <v>6</v>
      </c>
      <c r="R806" s="17" t="n">
        <v>0</v>
      </c>
      <c r="T806" s="17">
        <f>DAY(C806)</f>
        <v/>
      </c>
      <c r="U806" s="17">
        <f>MONTH(C806)</f>
        <v/>
      </c>
    </row>
    <row r="807" hidden="1" ht="22.5" customHeight="1" s="117">
      <c r="A807" s="14" t="n">
        <v>46011.30258828704</v>
      </c>
      <c r="B807" s="17" t="inlineStr">
        <is>
          <t>Nguyễn Thành Lâm</t>
        </is>
      </c>
      <c r="C807" s="16" t="n">
        <v>46010</v>
      </c>
      <c r="D807" s="17" t="n">
        <v>1</v>
      </c>
      <c r="E807" s="17" t="n">
        <v>0</v>
      </c>
      <c r="F807" s="17" t="n">
        <v>0</v>
      </c>
      <c r="G807" s="17" t="n">
        <v>0</v>
      </c>
      <c r="H807" s="17" t="n">
        <v>0</v>
      </c>
      <c r="I807" s="17" t="n">
        <v>0</v>
      </c>
      <c r="J807" s="17" t="n">
        <v>1</v>
      </c>
      <c r="K807" s="17" t="n">
        <v>4</v>
      </c>
      <c r="L807" s="17" t="n">
        <v>0</v>
      </c>
      <c r="M807" s="17" t="n">
        <v>1</v>
      </c>
      <c r="N807" s="17" t="n">
        <v>0</v>
      </c>
      <c r="O807" s="17" t="n">
        <v>0</v>
      </c>
      <c r="P807" s="17" t="n">
        <v>0</v>
      </c>
      <c r="Q807" s="17" t="n">
        <v>4</v>
      </c>
      <c r="R807" s="17" t="n">
        <v>0</v>
      </c>
      <c r="T807" s="17">
        <f>DAY(C807)</f>
        <v/>
      </c>
      <c r="U807" s="17">
        <f>MONTH(C807)</f>
        <v/>
      </c>
    </row>
    <row r="808" hidden="1" ht="22.5" customHeight="1" s="117">
      <c r="A808" s="14" t="n">
        <v>46011.30373835648</v>
      </c>
      <c r="B808" s="17" t="inlineStr">
        <is>
          <t>Đặng Hoài Anh</t>
        </is>
      </c>
      <c r="C808" s="16" t="n">
        <v>46010</v>
      </c>
      <c r="D808" s="17" t="n">
        <v>0</v>
      </c>
      <c r="E808" s="17" t="n">
        <v>0</v>
      </c>
      <c r="F808" s="17" t="n">
        <v>0</v>
      </c>
      <c r="G808" s="17" t="n">
        <v>0</v>
      </c>
      <c r="H808" s="17" t="n">
        <v>0</v>
      </c>
      <c r="I808" s="17" t="n">
        <v>0</v>
      </c>
      <c r="J808" s="17" t="n">
        <v>0</v>
      </c>
      <c r="K808" s="17" t="n">
        <v>0</v>
      </c>
      <c r="L808" s="17" t="n">
        <v>0</v>
      </c>
      <c r="M808" s="17" t="n">
        <v>0</v>
      </c>
      <c r="N808" s="17" t="n">
        <v>0</v>
      </c>
      <c r="O808" s="17" t="n">
        <v>0</v>
      </c>
      <c r="P808" s="17" t="n">
        <v>0</v>
      </c>
      <c r="Q808" s="17" t="n">
        <v>3</v>
      </c>
      <c r="R808" s="17" t="n">
        <v>0</v>
      </c>
      <c r="T808" s="17">
        <f>DAY(C808)</f>
        <v/>
      </c>
      <c r="U808" s="17">
        <f>MONTH(C808)</f>
        <v/>
      </c>
    </row>
    <row r="809" hidden="1" ht="22.5" customHeight="1" s="117">
      <c r="A809" s="14" t="n">
        <v>46011.31338362268</v>
      </c>
      <c r="B809" s="17" t="inlineStr">
        <is>
          <t>Trần Trung Giang</t>
        </is>
      </c>
      <c r="C809" s="16" t="n">
        <v>46010</v>
      </c>
      <c r="D809" s="17" t="n">
        <v>0</v>
      </c>
      <c r="E809" s="17" t="n">
        <v>0</v>
      </c>
      <c r="F809" s="17" t="n">
        <v>0</v>
      </c>
      <c r="G809" s="17" t="n">
        <v>0</v>
      </c>
      <c r="H809" s="17" t="n">
        <v>0</v>
      </c>
      <c r="I809" s="17" t="n">
        <v>0</v>
      </c>
      <c r="J809" s="17" t="n">
        <v>0</v>
      </c>
      <c r="K809" s="17" t="n">
        <v>8</v>
      </c>
      <c r="L809" s="17" t="n">
        <v>0</v>
      </c>
      <c r="M809" s="17" t="n">
        <v>0</v>
      </c>
      <c r="N809" s="17" t="n">
        <v>0</v>
      </c>
      <c r="O809" s="17" t="n">
        <v>0</v>
      </c>
      <c r="P809" s="17" t="n">
        <v>1</v>
      </c>
      <c r="Q809" s="17" t="n">
        <v>0</v>
      </c>
      <c r="R809" s="17" t="n">
        <v>0</v>
      </c>
      <c r="T809" s="17">
        <f>DAY(C809)</f>
        <v/>
      </c>
      <c r="U809" s="17">
        <f>MONTH(C809)</f>
        <v/>
      </c>
    </row>
    <row r="810" hidden="1" ht="22.5" customHeight="1" s="117">
      <c r="A810" s="14" t="n">
        <v>46011.31471469907</v>
      </c>
      <c r="B810" s="17" t="inlineStr">
        <is>
          <t>Trần Xuân Khoa</t>
        </is>
      </c>
      <c r="C810" s="16" t="n">
        <v>46010</v>
      </c>
      <c r="D810" s="17" t="n">
        <v>0</v>
      </c>
      <c r="E810" s="17" t="n">
        <v>0</v>
      </c>
      <c r="F810" s="17" t="n">
        <v>0</v>
      </c>
      <c r="G810" s="17" t="n">
        <v>0</v>
      </c>
      <c r="H810" s="17" t="n">
        <v>0</v>
      </c>
      <c r="I810" s="17" t="n">
        <v>0</v>
      </c>
      <c r="J810" s="17" t="n">
        <v>0</v>
      </c>
      <c r="K810" s="17" t="n">
        <v>4</v>
      </c>
      <c r="L810" s="17" t="n">
        <v>0</v>
      </c>
      <c r="M810" s="17" t="n">
        <v>0</v>
      </c>
      <c r="N810" s="17" t="n">
        <v>0</v>
      </c>
      <c r="O810" s="17" t="n">
        <v>0</v>
      </c>
      <c r="P810" s="17" t="n">
        <v>1</v>
      </c>
      <c r="Q810" s="17" t="n">
        <v>3</v>
      </c>
      <c r="R810" s="17" t="n">
        <v>0</v>
      </c>
      <c r="T810" s="17">
        <f>DAY(C810)</f>
        <v/>
      </c>
      <c r="U810" s="17">
        <f>MONTH(C810)</f>
        <v/>
      </c>
    </row>
    <row r="811" hidden="1" ht="22.5" customHeight="1" s="117">
      <c r="A811" s="14" t="n">
        <v>46011.31689759259</v>
      </c>
      <c r="B811" s="17" t="inlineStr">
        <is>
          <t>Huỳnh Văn Lực</t>
        </is>
      </c>
      <c r="C811" s="16" t="n">
        <v>46010</v>
      </c>
      <c r="D811" s="17" t="n">
        <v>0</v>
      </c>
      <c r="E811" s="17" t="n">
        <v>0</v>
      </c>
      <c r="F811" s="17" t="n">
        <v>0</v>
      </c>
      <c r="G811" s="17" t="n">
        <v>0</v>
      </c>
      <c r="H811" s="17" t="n">
        <v>0</v>
      </c>
      <c r="I811" s="17" t="n">
        <v>0</v>
      </c>
      <c r="J811" s="17" t="n">
        <v>0</v>
      </c>
      <c r="K811" s="17" t="n">
        <v>3</v>
      </c>
      <c r="L811" s="17" t="n">
        <v>0</v>
      </c>
      <c r="M811" s="17" t="n">
        <v>0</v>
      </c>
      <c r="N811" s="17" t="n">
        <v>0</v>
      </c>
      <c r="O811" s="17" t="n">
        <v>0</v>
      </c>
      <c r="P811" s="17" t="n">
        <v>1</v>
      </c>
      <c r="Q811" s="17" t="n">
        <v>2</v>
      </c>
      <c r="R811" s="17" t="n">
        <v>0</v>
      </c>
      <c r="T811" s="17">
        <f>DAY(C811)</f>
        <v/>
      </c>
      <c r="U811" s="17">
        <f>MONTH(C811)</f>
        <v/>
      </c>
    </row>
    <row r="812" hidden="1" ht="22.5" customHeight="1" s="117">
      <c r="A812" s="14" t="n">
        <v>46011.31780305556</v>
      </c>
      <c r="B812" s="17" t="inlineStr">
        <is>
          <t>Bùi Duy Cường</t>
        </is>
      </c>
      <c r="C812" s="16" t="n">
        <v>46010</v>
      </c>
      <c r="D812" s="17" t="n">
        <v>0</v>
      </c>
      <c r="E812" s="17" t="n">
        <v>0</v>
      </c>
      <c r="F812" s="17" t="n">
        <v>0</v>
      </c>
      <c r="G812" s="17" t="n">
        <v>0</v>
      </c>
      <c r="H812" s="17" t="n">
        <v>0</v>
      </c>
      <c r="I812" s="17" t="n">
        <v>0</v>
      </c>
      <c r="J812" s="17" t="n">
        <v>0</v>
      </c>
      <c r="K812" s="17" t="n">
        <v>4</v>
      </c>
      <c r="L812" s="17" t="n">
        <v>0</v>
      </c>
      <c r="M812" s="17" t="n">
        <v>0</v>
      </c>
      <c r="N812" s="17" t="n">
        <v>0</v>
      </c>
      <c r="O812" s="17" t="n">
        <v>0</v>
      </c>
      <c r="P812" s="17" t="n">
        <v>0</v>
      </c>
      <c r="Q812" s="17" t="n">
        <v>0</v>
      </c>
      <c r="R812" s="17" t="n">
        <v>0</v>
      </c>
      <c r="T812" s="17">
        <f>DAY(C812)</f>
        <v/>
      </c>
      <c r="U812" s="17">
        <f>MONTH(C812)</f>
        <v/>
      </c>
    </row>
    <row r="813" hidden="1" ht="22.5" customHeight="1" s="117">
      <c r="A813" s="14" t="n">
        <v>46011.31792165509</v>
      </c>
      <c r="B813" s="17" t="inlineStr">
        <is>
          <t>Trần Minh Khánh</t>
        </is>
      </c>
      <c r="C813" s="16" t="n">
        <v>46010</v>
      </c>
      <c r="D813" s="17" t="n">
        <v>0</v>
      </c>
      <c r="E813" s="17" t="n">
        <v>0</v>
      </c>
      <c r="F813" s="17" t="n">
        <v>0</v>
      </c>
      <c r="G813" s="17" t="n">
        <v>0</v>
      </c>
      <c r="H813" s="17" t="n">
        <v>0</v>
      </c>
      <c r="I813" s="17" t="n">
        <v>0</v>
      </c>
      <c r="J813" s="17" t="n">
        <v>0</v>
      </c>
      <c r="K813" s="17" t="n">
        <v>13</v>
      </c>
      <c r="L813" s="17" t="n">
        <v>0</v>
      </c>
      <c r="M813" s="17" t="n">
        <v>0</v>
      </c>
      <c r="N813" s="17" t="n">
        <v>1</v>
      </c>
      <c r="O813" s="17" t="n">
        <v>0</v>
      </c>
      <c r="P813" s="17" t="n">
        <v>1</v>
      </c>
      <c r="Q813" s="17" t="n">
        <v>2</v>
      </c>
      <c r="R813" s="17" t="n">
        <v>0</v>
      </c>
      <c r="T813" s="17">
        <f>DAY(C813)</f>
        <v/>
      </c>
      <c r="U813" s="17">
        <f>MONTH(C813)</f>
        <v/>
      </c>
    </row>
    <row r="814" hidden="1" ht="22.5" customHeight="1" s="117">
      <c r="A814" s="14" t="n">
        <v>46011.32053366898</v>
      </c>
      <c r="B814" s="17" t="inlineStr">
        <is>
          <t>Nguyễn Hồng Minh</t>
        </is>
      </c>
      <c r="C814" s="16" t="n">
        <v>46010</v>
      </c>
      <c r="D814" s="17" t="n">
        <v>0</v>
      </c>
      <c r="E814" s="17" t="n">
        <v>0</v>
      </c>
      <c r="F814" s="17" t="n">
        <v>0</v>
      </c>
      <c r="G814" s="17" t="n">
        <v>0</v>
      </c>
      <c r="H814" s="17" t="n">
        <v>0</v>
      </c>
      <c r="I814" s="17" t="n">
        <v>2</v>
      </c>
      <c r="J814" s="17" t="n">
        <v>0</v>
      </c>
      <c r="K814" s="17" t="n">
        <v>7</v>
      </c>
      <c r="L814" s="17" t="n">
        <v>0</v>
      </c>
      <c r="M814" s="17" t="n">
        <v>2</v>
      </c>
      <c r="N814" s="17" t="n">
        <v>1</v>
      </c>
      <c r="O814" s="17" t="n">
        <v>1</v>
      </c>
      <c r="P814" s="17" t="n">
        <v>0</v>
      </c>
      <c r="Q814" s="17" t="n">
        <v>6</v>
      </c>
      <c r="R814" s="17" t="n">
        <v>0</v>
      </c>
      <c r="T814" s="17">
        <f>DAY(C814)</f>
        <v/>
      </c>
      <c r="U814" s="17">
        <f>MONTH(C814)</f>
        <v/>
      </c>
    </row>
    <row r="815" hidden="1" ht="22.5" customHeight="1" s="117">
      <c r="A815" s="14" t="n">
        <v>46011.33593590277</v>
      </c>
      <c r="B815" s="17" t="inlineStr">
        <is>
          <t>Lê Văn Hồng</t>
        </is>
      </c>
      <c r="C815" s="16" t="n">
        <v>46010</v>
      </c>
      <c r="D815" s="17" t="n">
        <v>0</v>
      </c>
      <c r="E815" s="17" t="n">
        <v>0</v>
      </c>
      <c r="F815" s="17" t="n">
        <v>0</v>
      </c>
      <c r="G815" s="17" t="n">
        <v>0</v>
      </c>
      <c r="H815" s="17" t="n">
        <v>0</v>
      </c>
      <c r="I815" s="17" t="n">
        <v>0</v>
      </c>
      <c r="J815" s="17" t="n">
        <v>0</v>
      </c>
      <c r="K815" s="17" t="n">
        <v>7</v>
      </c>
      <c r="L815" s="17" t="n">
        <v>0</v>
      </c>
      <c r="M815" s="17" t="n">
        <v>0</v>
      </c>
      <c r="N815" s="17" t="n">
        <v>0</v>
      </c>
      <c r="O815" s="17" t="n">
        <v>0</v>
      </c>
      <c r="P815" s="17" t="n">
        <v>2</v>
      </c>
      <c r="Q815" s="17" t="n">
        <v>2</v>
      </c>
      <c r="R815" s="17" t="n">
        <v>1</v>
      </c>
      <c r="T815" s="17">
        <f>DAY(C815)</f>
        <v/>
      </c>
      <c r="U815" s="17">
        <f>MONTH(C815)</f>
        <v/>
      </c>
    </row>
    <row r="816" hidden="1" ht="22.5" customHeight="1" s="117">
      <c r="A816" s="14" t="n">
        <v>46011.73134136574</v>
      </c>
      <c r="B816" s="17" t="inlineStr">
        <is>
          <t>Nguyễn Văn Nhật</t>
        </is>
      </c>
      <c r="C816" s="16" t="n">
        <v>46010</v>
      </c>
      <c r="D816" s="17" t="n">
        <v>0</v>
      </c>
      <c r="E816" s="17" t="n">
        <v>0</v>
      </c>
      <c r="F816" s="17" t="n">
        <v>0</v>
      </c>
      <c r="G816" s="17" t="n">
        <v>0</v>
      </c>
      <c r="H816" s="17" t="n">
        <v>0</v>
      </c>
      <c r="I816" s="17" t="n">
        <v>0</v>
      </c>
      <c r="J816" s="17" t="n">
        <v>0</v>
      </c>
      <c r="K816" s="17" t="n">
        <v>6</v>
      </c>
      <c r="L816" s="17" t="n">
        <v>1</v>
      </c>
      <c r="M816" s="17" t="n">
        <v>1</v>
      </c>
      <c r="N816" s="17" t="n">
        <v>0</v>
      </c>
      <c r="O816" s="17" t="n">
        <v>1</v>
      </c>
      <c r="P816" s="17" t="n">
        <v>1</v>
      </c>
      <c r="Q816" s="17" t="n">
        <v>3</v>
      </c>
      <c r="R816" s="17" t="n">
        <v>0</v>
      </c>
      <c r="T816" s="17">
        <f>DAY(C816)</f>
        <v/>
      </c>
      <c r="U816" s="17">
        <f>MONTH(C816)</f>
        <v/>
      </c>
    </row>
    <row r="817" hidden="1" ht="22.5" customHeight="1" s="117">
      <c r="A817" s="14" t="n">
        <v>46011.97690666666</v>
      </c>
      <c r="B817" s="17" t="inlineStr">
        <is>
          <t>Lê Quốc Duy</t>
        </is>
      </c>
      <c r="C817" s="16" t="n">
        <v>46011</v>
      </c>
      <c r="D817" s="17" t="n">
        <v>0</v>
      </c>
      <c r="E817" s="17" t="n">
        <v>0</v>
      </c>
      <c r="F817" s="17" t="n">
        <v>0</v>
      </c>
      <c r="G817" s="17" t="n">
        <v>0</v>
      </c>
      <c r="H817" s="17" t="n">
        <v>0</v>
      </c>
      <c r="I817" s="17" t="n">
        <v>1</v>
      </c>
      <c r="J817" s="17" t="n">
        <v>1</v>
      </c>
      <c r="K817" s="17" t="n">
        <v>8</v>
      </c>
      <c r="L817" s="17" t="n">
        <v>2</v>
      </c>
      <c r="M817" s="17" t="n">
        <v>0</v>
      </c>
      <c r="N817" s="17" t="n">
        <v>0</v>
      </c>
      <c r="O817" s="17" t="n">
        <v>0</v>
      </c>
      <c r="P817" s="17" t="n">
        <v>1</v>
      </c>
      <c r="Q817" s="17" t="n">
        <v>4</v>
      </c>
      <c r="R817" s="17" t="n">
        <v>1</v>
      </c>
      <c r="T817" s="17">
        <f>DAY(C817)</f>
        <v/>
      </c>
      <c r="U817" s="17">
        <f>MONTH(C817)</f>
        <v/>
      </c>
    </row>
    <row r="818" hidden="1" ht="22.5" customHeight="1" s="117">
      <c r="A818" s="14" t="n">
        <v>46012.2697662963</v>
      </c>
      <c r="B818" s="17" t="inlineStr">
        <is>
          <t>Trần Minh Khánh</t>
        </is>
      </c>
      <c r="C818" s="16" t="n">
        <v>46011</v>
      </c>
      <c r="D818" s="17" t="n">
        <v>0</v>
      </c>
      <c r="E818" s="17" t="n">
        <v>0</v>
      </c>
      <c r="F818" s="17" t="n">
        <v>0</v>
      </c>
      <c r="G818" s="17" t="n">
        <v>1</v>
      </c>
      <c r="H818" s="17" t="n">
        <v>0</v>
      </c>
      <c r="I818" s="17" t="n">
        <v>1</v>
      </c>
      <c r="J818" s="17" t="n">
        <v>0</v>
      </c>
      <c r="K818" s="17" t="n">
        <v>2</v>
      </c>
      <c r="L818" s="17" t="n">
        <v>0</v>
      </c>
      <c r="M818" s="17" t="n">
        <v>1</v>
      </c>
      <c r="N818" s="17" t="n">
        <v>0</v>
      </c>
      <c r="O818" s="17" t="n">
        <v>0</v>
      </c>
      <c r="P818" s="17" t="n">
        <v>0</v>
      </c>
      <c r="Q818" s="17" t="n">
        <v>4</v>
      </c>
      <c r="R818" s="17" t="n">
        <v>0</v>
      </c>
      <c r="T818" s="17">
        <f>DAY(C818)</f>
        <v/>
      </c>
      <c r="U818" s="17">
        <f>MONTH(C818)</f>
        <v/>
      </c>
    </row>
    <row r="819" hidden="1" ht="22.5" customHeight="1" s="117">
      <c r="A819" s="14" t="n">
        <v>46012.27226041667</v>
      </c>
      <c r="B819" s="17" t="inlineStr">
        <is>
          <t>Hoàng Văn Chất</t>
        </is>
      </c>
      <c r="C819" s="16" t="n">
        <v>46011</v>
      </c>
      <c r="D819" s="17" t="n">
        <v>0</v>
      </c>
      <c r="E819" s="17" t="n">
        <v>0</v>
      </c>
      <c r="F819" s="17" t="n">
        <v>0</v>
      </c>
      <c r="G819" s="17" t="n">
        <v>0</v>
      </c>
      <c r="H819" s="17" t="n">
        <v>0</v>
      </c>
      <c r="I819" s="17" t="n">
        <v>0</v>
      </c>
      <c r="J819" s="17" t="n">
        <v>0</v>
      </c>
      <c r="K819" s="17" t="n">
        <v>38</v>
      </c>
      <c r="L819" s="17" t="n">
        <v>2</v>
      </c>
      <c r="M819" s="17" t="n">
        <v>2</v>
      </c>
      <c r="N819" s="17" t="n">
        <v>0</v>
      </c>
      <c r="O819" s="17" t="n">
        <v>0</v>
      </c>
      <c r="P819" s="17" t="n">
        <v>1</v>
      </c>
      <c r="Q819" s="17" t="n">
        <v>3</v>
      </c>
      <c r="R819" s="17" t="n">
        <v>0</v>
      </c>
      <c r="T819" s="17">
        <f>DAY(C819)</f>
        <v/>
      </c>
      <c r="U819" s="17">
        <f>MONTH(C819)</f>
        <v/>
      </c>
    </row>
    <row r="820" hidden="1" ht="22.5" customHeight="1" s="117">
      <c r="A820" s="14" t="n">
        <v>46012.28826577546</v>
      </c>
      <c r="B820" s="17" t="inlineStr">
        <is>
          <t>Vòng Nhật Sang</t>
        </is>
      </c>
      <c r="C820" s="16" t="n">
        <v>46011</v>
      </c>
      <c r="D820" s="17" t="n">
        <v>0</v>
      </c>
      <c r="E820" s="17" t="n">
        <v>0</v>
      </c>
      <c r="F820" s="17" t="n">
        <v>0</v>
      </c>
      <c r="G820" s="17" t="n">
        <v>0</v>
      </c>
      <c r="H820" s="17" t="n">
        <v>0</v>
      </c>
      <c r="I820" s="17" t="n">
        <v>0</v>
      </c>
      <c r="J820" s="17" t="n">
        <v>0</v>
      </c>
      <c r="K820" s="17" t="n">
        <v>4</v>
      </c>
      <c r="L820" s="17" t="n">
        <v>0</v>
      </c>
      <c r="M820" s="17" t="n">
        <v>0</v>
      </c>
      <c r="N820" s="17" t="n">
        <v>0</v>
      </c>
      <c r="O820" s="17" t="n">
        <v>0</v>
      </c>
      <c r="P820" s="17" t="n">
        <v>2</v>
      </c>
      <c r="Q820" s="17" t="n">
        <v>2</v>
      </c>
      <c r="R820" s="17" t="n">
        <v>0</v>
      </c>
      <c r="T820" s="17">
        <f>DAY(C820)</f>
        <v/>
      </c>
      <c r="U820" s="17">
        <f>MONTH(C820)</f>
        <v/>
      </c>
    </row>
    <row r="821" hidden="1" ht="22.5" customHeight="1" s="117">
      <c r="A821" s="14" t="n">
        <v>46012.29072385417</v>
      </c>
      <c r="B821" s="17" t="inlineStr">
        <is>
          <t>Dương Minh Tiến</t>
        </is>
      </c>
      <c r="C821" s="16" t="n">
        <v>46011</v>
      </c>
      <c r="D821" s="17" t="n">
        <v>0</v>
      </c>
      <c r="E821" s="17" t="n">
        <v>0</v>
      </c>
      <c r="F821" s="17" t="n">
        <v>0</v>
      </c>
      <c r="G821" s="17" t="n">
        <v>0</v>
      </c>
      <c r="H821" s="17" t="n">
        <v>0</v>
      </c>
      <c r="I821" s="17" t="n">
        <v>0</v>
      </c>
      <c r="J821" s="17" t="n">
        <v>0</v>
      </c>
      <c r="K821" s="17" t="n">
        <v>14</v>
      </c>
      <c r="L821" s="17" t="n">
        <v>0</v>
      </c>
      <c r="M821" s="17" t="n">
        <v>0</v>
      </c>
      <c r="N821" s="17" t="n">
        <v>0</v>
      </c>
      <c r="O821" s="17" t="n">
        <v>0</v>
      </c>
      <c r="P821" s="17" t="n">
        <v>0</v>
      </c>
      <c r="Q821" s="17" t="n">
        <v>0</v>
      </c>
      <c r="R821" s="17" t="n">
        <v>0</v>
      </c>
      <c r="T821" s="17">
        <f>DAY(C821)</f>
        <v/>
      </c>
      <c r="U821" s="17">
        <f>MONTH(C821)</f>
        <v/>
      </c>
    </row>
    <row r="822" hidden="1" ht="22.5" customHeight="1" s="117">
      <c r="A822" s="14" t="n">
        <v>46012.29359203704</v>
      </c>
      <c r="B822" s="17" t="inlineStr">
        <is>
          <t>Phan Ngọc Sang</t>
        </is>
      </c>
      <c r="C822" s="16" t="n">
        <v>46011</v>
      </c>
      <c r="D822" s="17" t="n">
        <v>0</v>
      </c>
      <c r="E822" s="17" t="n">
        <v>0</v>
      </c>
      <c r="F822" s="17" t="n">
        <v>0</v>
      </c>
      <c r="G822" s="17" t="n">
        <v>0</v>
      </c>
      <c r="H822" s="17" t="n">
        <v>0</v>
      </c>
      <c r="I822" s="17" t="n">
        <v>0</v>
      </c>
      <c r="J822" s="17" t="n">
        <v>0</v>
      </c>
      <c r="K822" s="17" t="n">
        <v>2</v>
      </c>
      <c r="L822" s="17" t="n">
        <v>0</v>
      </c>
      <c r="M822" s="17" t="n">
        <v>1</v>
      </c>
      <c r="N822" s="17" t="n">
        <v>0</v>
      </c>
      <c r="O822" s="17" t="n">
        <v>0</v>
      </c>
      <c r="P822" s="17" t="n">
        <v>0</v>
      </c>
      <c r="Q822" s="17" t="n">
        <v>1</v>
      </c>
      <c r="R822" s="17" t="n">
        <v>0</v>
      </c>
      <c r="T822" s="17">
        <f>DAY(C822)</f>
        <v/>
      </c>
      <c r="U822" s="17">
        <f>MONTH(C822)</f>
        <v/>
      </c>
    </row>
    <row r="823" hidden="1" ht="22.5" customHeight="1" s="117">
      <c r="A823" s="14" t="n">
        <v>46012.29954851852</v>
      </c>
      <c r="B823" s="17" t="inlineStr">
        <is>
          <t>Hồ Thái Minh Trí</t>
        </is>
      </c>
      <c r="C823" s="16" t="n">
        <v>46011</v>
      </c>
      <c r="D823" s="17" t="n">
        <v>0</v>
      </c>
      <c r="E823" s="17" t="n">
        <v>0</v>
      </c>
      <c r="F823" s="17" t="n">
        <v>0</v>
      </c>
      <c r="G823" s="17" t="n">
        <v>0</v>
      </c>
      <c r="H823" s="17" t="n">
        <v>0</v>
      </c>
      <c r="I823" s="17" t="n">
        <v>0</v>
      </c>
      <c r="J823" s="17" t="n">
        <v>0</v>
      </c>
      <c r="K823" s="17" t="n">
        <v>13</v>
      </c>
      <c r="L823" s="17" t="n">
        <v>0</v>
      </c>
      <c r="M823" s="17" t="n">
        <v>0</v>
      </c>
      <c r="N823" s="17" t="n">
        <v>0</v>
      </c>
      <c r="O823" s="17" t="n">
        <v>0</v>
      </c>
      <c r="P823" s="17" t="n">
        <v>0</v>
      </c>
      <c r="Q823" s="17" t="n">
        <v>2</v>
      </c>
      <c r="R823" s="17" t="n">
        <v>0</v>
      </c>
      <c r="T823" s="17">
        <f>DAY(C823)</f>
        <v/>
      </c>
      <c r="U823" s="17">
        <f>MONTH(C823)</f>
        <v/>
      </c>
    </row>
    <row r="824" hidden="1" ht="22.5" customHeight="1" s="117">
      <c r="A824" s="14" t="n">
        <v>46012.30165767361</v>
      </c>
      <c r="B824" s="17" t="inlineStr">
        <is>
          <t>Trần Trung Giang</t>
        </is>
      </c>
      <c r="C824" s="16" t="n">
        <v>46011</v>
      </c>
      <c r="D824" s="17" t="n">
        <v>1</v>
      </c>
      <c r="E824" s="17" t="n">
        <v>0</v>
      </c>
      <c r="F824" s="17" t="n">
        <v>1</v>
      </c>
      <c r="G824" s="17" t="n">
        <v>0</v>
      </c>
      <c r="H824" s="17" t="n">
        <v>0</v>
      </c>
      <c r="I824" s="17" t="n">
        <v>0</v>
      </c>
      <c r="J824" s="17" t="n">
        <v>0</v>
      </c>
      <c r="K824" s="17" t="n">
        <v>2</v>
      </c>
      <c r="L824" s="17" t="n">
        <v>0</v>
      </c>
      <c r="M824" s="17" t="n">
        <v>1</v>
      </c>
      <c r="N824" s="17" t="n">
        <v>0</v>
      </c>
      <c r="O824" s="17" t="n">
        <v>0</v>
      </c>
      <c r="P824" s="17" t="n">
        <v>3</v>
      </c>
      <c r="Q824" s="17" t="n">
        <v>0</v>
      </c>
      <c r="R824" s="17" t="n">
        <v>0</v>
      </c>
      <c r="T824" s="17">
        <f>DAY(C824)</f>
        <v/>
      </c>
      <c r="U824" s="17">
        <f>MONTH(C824)</f>
        <v/>
      </c>
    </row>
    <row r="825" hidden="1" ht="22.5" customHeight="1" s="117">
      <c r="A825" s="14" t="n">
        <v>46012.30289084491</v>
      </c>
      <c r="B825" s="17" t="inlineStr">
        <is>
          <t>Nguyễn Quang Anh Tuấn</t>
        </is>
      </c>
      <c r="C825" s="16" t="n">
        <v>46011</v>
      </c>
      <c r="D825" s="17" t="n">
        <v>0</v>
      </c>
      <c r="E825" s="17" t="n">
        <v>0</v>
      </c>
      <c r="F825" s="17" t="n">
        <v>0</v>
      </c>
      <c r="G825" s="17" t="n">
        <v>0</v>
      </c>
      <c r="H825" s="17" t="n">
        <v>0</v>
      </c>
      <c r="I825" s="17" t="n">
        <v>0</v>
      </c>
      <c r="J825" s="17" t="n">
        <v>0</v>
      </c>
      <c r="K825" s="17" t="n">
        <v>33</v>
      </c>
      <c r="L825" s="17" t="n">
        <v>0</v>
      </c>
      <c r="M825" s="17" t="n">
        <v>0</v>
      </c>
      <c r="N825" s="17" t="n">
        <v>0</v>
      </c>
      <c r="O825" s="17" t="n">
        <v>0</v>
      </c>
      <c r="P825" s="17" t="n">
        <v>0</v>
      </c>
      <c r="Q825" s="17" t="n">
        <v>0</v>
      </c>
      <c r="R825" s="17" t="n">
        <v>0</v>
      </c>
      <c r="T825" s="17">
        <f>DAY(C825)</f>
        <v/>
      </c>
      <c r="U825" s="17">
        <f>MONTH(C825)</f>
        <v/>
      </c>
    </row>
    <row r="826" hidden="1" ht="22.5" customHeight="1" s="117">
      <c r="A826" s="14" t="n">
        <v>46012.30333844908</v>
      </c>
      <c r="B826" s="17" t="inlineStr">
        <is>
          <t>Hồ Xuân Việt</t>
        </is>
      </c>
      <c r="C826" s="16" t="n">
        <v>46011</v>
      </c>
      <c r="D826" s="17" t="n">
        <v>0</v>
      </c>
      <c r="E826" s="17" t="n">
        <v>0</v>
      </c>
      <c r="F826" s="17" t="n">
        <v>0</v>
      </c>
      <c r="G826" s="17" t="n">
        <v>0</v>
      </c>
      <c r="H826" s="17" t="n">
        <v>0</v>
      </c>
      <c r="I826" s="17" t="n">
        <v>0</v>
      </c>
      <c r="J826" s="17" t="n">
        <v>0</v>
      </c>
      <c r="K826" s="17" t="n">
        <v>4</v>
      </c>
      <c r="L826" s="17" t="n">
        <v>0</v>
      </c>
      <c r="M826" s="17" t="n">
        <v>0</v>
      </c>
      <c r="N826" s="17" t="n">
        <v>0</v>
      </c>
      <c r="O826" s="17" t="n">
        <v>0</v>
      </c>
      <c r="P826" s="17" t="n">
        <v>0</v>
      </c>
      <c r="Q826" s="17" t="n">
        <v>1</v>
      </c>
      <c r="R826" s="17" t="n">
        <v>0</v>
      </c>
      <c r="T826" s="17">
        <f>DAY(C826)</f>
        <v/>
      </c>
      <c r="U826" s="17">
        <f>MONTH(C826)</f>
        <v/>
      </c>
    </row>
    <row r="827" hidden="1" ht="22.5" customHeight="1" s="117">
      <c r="A827" s="14" t="n">
        <v>46012.30364013889</v>
      </c>
      <c r="B827" s="17" t="inlineStr">
        <is>
          <t>Lương Duy Hoàng</t>
        </is>
      </c>
      <c r="C827" s="16" t="n">
        <v>46011</v>
      </c>
      <c r="D827" s="17" t="n">
        <v>1</v>
      </c>
      <c r="E827" s="17" t="n">
        <v>0</v>
      </c>
      <c r="F827" s="17" t="n">
        <v>0</v>
      </c>
      <c r="G827" s="17" t="n">
        <v>0</v>
      </c>
      <c r="H827" s="17" t="n">
        <v>0</v>
      </c>
      <c r="I827" s="17" t="n">
        <v>1</v>
      </c>
      <c r="J827" s="17" t="n">
        <v>0</v>
      </c>
      <c r="K827" s="17" t="n">
        <v>3</v>
      </c>
      <c r="L827" s="17" t="n">
        <v>0</v>
      </c>
      <c r="M827" s="17" t="n">
        <v>1</v>
      </c>
      <c r="N827" s="17" t="n">
        <v>0</v>
      </c>
      <c r="O827" s="17" t="n">
        <v>0</v>
      </c>
      <c r="P827" s="17" t="n">
        <v>0</v>
      </c>
      <c r="Q827" s="17" t="n">
        <v>1</v>
      </c>
      <c r="R827" s="17" t="n">
        <v>0</v>
      </c>
      <c r="T827" s="17">
        <f>DAY(C827)</f>
        <v/>
      </c>
      <c r="U827" s="17">
        <f>MONTH(C827)</f>
        <v/>
      </c>
    </row>
    <row r="828" hidden="1" ht="22.5" customHeight="1" s="117">
      <c r="A828" s="14" t="n">
        <v>46012.30627108796</v>
      </c>
      <c r="B828" s="17" t="inlineStr">
        <is>
          <t>Nguyễn Tuấn Anh</t>
        </is>
      </c>
      <c r="C828" s="16" t="n">
        <v>46011</v>
      </c>
      <c r="D828" s="17" t="n">
        <v>0</v>
      </c>
      <c r="E828" s="17" t="n">
        <v>0</v>
      </c>
      <c r="F828" s="17" t="n">
        <v>0</v>
      </c>
      <c r="G828" s="17" t="n">
        <v>0</v>
      </c>
      <c r="H828" s="17" t="n">
        <v>0</v>
      </c>
      <c r="I828" s="17" t="n">
        <v>0</v>
      </c>
      <c r="J828" s="17" t="n">
        <v>0</v>
      </c>
      <c r="K828" s="17" t="n">
        <v>5</v>
      </c>
      <c r="L828" s="17" t="n">
        <v>0</v>
      </c>
      <c r="M828" s="17" t="n">
        <v>0</v>
      </c>
      <c r="N828" s="17" t="n">
        <v>0</v>
      </c>
      <c r="O828" s="17" t="n">
        <v>0</v>
      </c>
      <c r="P828" s="17" t="n">
        <v>1</v>
      </c>
      <c r="Q828" s="17" t="n">
        <v>6</v>
      </c>
      <c r="R828" s="17" t="n">
        <v>0</v>
      </c>
      <c r="T828" s="17">
        <f>DAY(C828)</f>
        <v/>
      </c>
      <c r="U828" s="17">
        <f>MONTH(C828)</f>
        <v/>
      </c>
    </row>
    <row r="829" hidden="1" ht="22.5" customHeight="1" s="117">
      <c r="A829" s="14" t="n">
        <v>46012.30665597222</v>
      </c>
      <c r="B829" s="17" t="inlineStr">
        <is>
          <t>Nguyễn Thành Lâm</t>
        </is>
      </c>
      <c r="C829" s="16" t="n">
        <v>46011</v>
      </c>
      <c r="D829" s="17" t="n">
        <v>0</v>
      </c>
      <c r="E829" s="17" t="n">
        <v>0</v>
      </c>
      <c r="F829" s="17" t="n">
        <v>0</v>
      </c>
      <c r="G829" s="17" t="n">
        <v>0</v>
      </c>
      <c r="H829" s="17" t="n">
        <v>0</v>
      </c>
      <c r="I829" s="17" t="n">
        <v>0</v>
      </c>
      <c r="J829" s="17" t="n">
        <v>0</v>
      </c>
      <c r="K829" s="17" t="n">
        <v>2</v>
      </c>
      <c r="L829" s="17" t="n">
        <v>0</v>
      </c>
      <c r="M829" s="17" t="n">
        <v>2</v>
      </c>
      <c r="N829" s="17" t="n">
        <v>0</v>
      </c>
      <c r="O829" s="17" t="n">
        <v>0</v>
      </c>
      <c r="P829" s="17" t="n">
        <v>1</v>
      </c>
      <c r="Q829" s="17" t="n">
        <v>5</v>
      </c>
      <c r="R829" s="17" t="n">
        <v>0</v>
      </c>
      <c r="T829" s="17">
        <f>DAY(C829)</f>
        <v/>
      </c>
      <c r="U829" s="17">
        <f>MONTH(C829)</f>
        <v/>
      </c>
    </row>
    <row r="830" hidden="1" ht="22.5" customHeight="1" s="117">
      <c r="A830" s="14" t="n">
        <v>46012.30793550926</v>
      </c>
      <c r="B830" s="17" t="inlineStr">
        <is>
          <t>Lê Hồng Phong</t>
        </is>
      </c>
      <c r="C830" s="16" t="n">
        <v>46012</v>
      </c>
      <c r="D830" s="17" t="n">
        <v>1</v>
      </c>
      <c r="E830" s="17" t="n">
        <v>1</v>
      </c>
      <c r="F830" s="17" t="n">
        <v>1</v>
      </c>
      <c r="G830" s="17" t="n">
        <v>0</v>
      </c>
      <c r="H830" s="17" t="n">
        <v>0</v>
      </c>
      <c r="I830" s="17" t="n">
        <v>1</v>
      </c>
      <c r="J830" s="17" t="n">
        <v>1</v>
      </c>
      <c r="K830" s="17" t="n">
        <v>1</v>
      </c>
      <c r="L830" s="17" t="n">
        <v>1</v>
      </c>
      <c r="M830" s="17" t="n">
        <v>1</v>
      </c>
      <c r="N830" s="17" t="n">
        <v>0</v>
      </c>
      <c r="O830" s="17" t="n">
        <v>1</v>
      </c>
      <c r="P830" s="17" t="n">
        <v>1</v>
      </c>
      <c r="Q830" s="17" t="n">
        <v>1</v>
      </c>
      <c r="R830" s="17" t="n">
        <v>1</v>
      </c>
      <c r="T830" s="17">
        <f>DAY(C830)</f>
        <v/>
      </c>
      <c r="U830" s="17">
        <f>MONTH(C830)</f>
        <v/>
      </c>
    </row>
    <row r="831" hidden="1" ht="22.5" customHeight="1" s="117">
      <c r="A831" s="14" t="n">
        <v>46012.31260061343</v>
      </c>
      <c r="B831" s="17" t="inlineStr">
        <is>
          <t>Nguyễn Hồng Minh</t>
        </is>
      </c>
      <c r="C831" s="16" t="n">
        <v>46011</v>
      </c>
      <c r="D831" s="17" t="n">
        <v>0</v>
      </c>
      <c r="E831" s="17" t="n">
        <v>0</v>
      </c>
      <c r="F831" s="17" t="n">
        <v>1</v>
      </c>
      <c r="G831" s="17" t="n">
        <v>0</v>
      </c>
      <c r="H831" s="17" t="n">
        <v>0</v>
      </c>
      <c r="I831" s="17" t="n">
        <v>0</v>
      </c>
      <c r="J831" s="17" t="n">
        <v>0</v>
      </c>
      <c r="K831" s="17" t="n">
        <v>12</v>
      </c>
      <c r="L831" s="17" t="n">
        <v>0</v>
      </c>
      <c r="M831" s="17" t="n">
        <v>1</v>
      </c>
      <c r="N831" s="17" t="n">
        <v>1</v>
      </c>
      <c r="O831" s="17" t="n">
        <v>0</v>
      </c>
      <c r="P831" s="17" t="n">
        <v>0</v>
      </c>
      <c r="Q831" s="17" t="n">
        <v>5</v>
      </c>
      <c r="R831" s="17" t="n">
        <v>0</v>
      </c>
      <c r="T831" s="17">
        <f>DAY(C831)</f>
        <v/>
      </c>
      <c r="U831" s="17">
        <f>MONTH(C831)</f>
        <v/>
      </c>
    </row>
    <row r="832" hidden="1" ht="22.5" customHeight="1" s="117">
      <c r="A832" s="14" t="n">
        <v>46012.31729915509</v>
      </c>
      <c r="B832" s="17" t="inlineStr">
        <is>
          <t>Đặng Hữu Danh</t>
        </is>
      </c>
      <c r="C832" s="16" t="n">
        <v>46011</v>
      </c>
      <c r="D832" s="17" t="n">
        <v>0</v>
      </c>
      <c r="E832" s="17" t="n">
        <v>0</v>
      </c>
      <c r="F832" s="17" t="n">
        <v>0</v>
      </c>
      <c r="G832" s="17" t="n">
        <v>0</v>
      </c>
      <c r="H832" s="17" t="n">
        <v>0</v>
      </c>
      <c r="I832" s="17" t="n">
        <v>1</v>
      </c>
      <c r="J832" s="17" t="n">
        <v>1</v>
      </c>
      <c r="K832" s="17" t="n">
        <v>7</v>
      </c>
      <c r="L832" s="17" t="n">
        <v>0</v>
      </c>
      <c r="M832" s="17" t="n">
        <v>0</v>
      </c>
      <c r="N832" s="17" t="n">
        <v>0</v>
      </c>
      <c r="O832" s="17" t="n">
        <v>0</v>
      </c>
      <c r="P832" s="17" t="n">
        <v>1</v>
      </c>
      <c r="Q832" s="17" t="n">
        <v>2</v>
      </c>
      <c r="R832" s="17" t="n">
        <v>1</v>
      </c>
      <c r="T832" s="17">
        <f>DAY(C832)</f>
        <v/>
      </c>
      <c r="U832" s="17">
        <f>MONTH(C832)</f>
        <v/>
      </c>
    </row>
    <row r="833" hidden="1" ht="22.5" customHeight="1" s="117">
      <c r="A833" s="14" t="n">
        <v>46012.32682537037</v>
      </c>
      <c r="B833" s="17" t="inlineStr">
        <is>
          <t>Đặng Hoài Anh</t>
        </is>
      </c>
      <c r="C833" s="16" t="n">
        <v>46011</v>
      </c>
      <c r="D833" s="17" t="n">
        <v>0</v>
      </c>
      <c r="E833" s="17" t="n">
        <v>0</v>
      </c>
      <c r="F833" s="17" t="n">
        <v>0</v>
      </c>
      <c r="G833" s="17" t="n">
        <v>0</v>
      </c>
      <c r="H833" s="17" t="n">
        <v>0</v>
      </c>
      <c r="I833" s="17" t="n">
        <v>0</v>
      </c>
      <c r="J833" s="17" t="n">
        <v>0</v>
      </c>
      <c r="K833" s="17" t="n">
        <v>10</v>
      </c>
      <c r="L833" s="17" t="n">
        <v>0</v>
      </c>
      <c r="M833" s="17" t="n">
        <v>0</v>
      </c>
      <c r="N833" s="17" t="n">
        <v>0</v>
      </c>
      <c r="O833" s="17" t="n">
        <v>0</v>
      </c>
      <c r="P833" s="17" t="n">
        <v>0</v>
      </c>
      <c r="Q833" s="17" t="n">
        <v>0</v>
      </c>
      <c r="R833" s="17" t="n">
        <v>0</v>
      </c>
      <c r="T833" s="17">
        <f>DAY(C833)</f>
        <v/>
      </c>
      <c r="U833" s="17">
        <f>MONTH(C833)</f>
        <v/>
      </c>
    </row>
    <row r="834" hidden="1" ht="22.5" customHeight="1" s="117">
      <c r="A834" s="14" t="n">
        <v>46012.33980721065</v>
      </c>
      <c r="B834" s="17" t="inlineStr">
        <is>
          <t>Phan Thành Thái</t>
        </is>
      </c>
      <c r="C834" s="16" t="n">
        <v>46011</v>
      </c>
      <c r="D834" s="17" t="n">
        <v>0</v>
      </c>
      <c r="E834" s="17" t="n">
        <v>0</v>
      </c>
      <c r="F834" s="17" t="n">
        <v>0</v>
      </c>
      <c r="G834" s="17" t="n">
        <v>0</v>
      </c>
      <c r="H834" s="17" t="n">
        <v>0</v>
      </c>
      <c r="I834" s="17" t="n">
        <v>0</v>
      </c>
      <c r="J834" s="17" t="n">
        <v>0</v>
      </c>
      <c r="K834" s="17" t="n">
        <v>6</v>
      </c>
      <c r="L834" s="17" t="n">
        <v>2</v>
      </c>
      <c r="M834" s="17" t="n">
        <v>0</v>
      </c>
      <c r="N834" s="17" t="n">
        <v>0</v>
      </c>
      <c r="O834" s="17" t="n">
        <v>0</v>
      </c>
      <c r="P834" s="17" t="n">
        <v>0</v>
      </c>
      <c r="Q834" s="17" t="n">
        <v>9</v>
      </c>
      <c r="R834" s="17" t="n">
        <v>0</v>
      </c>
      <c r="T834" s="17">
        <f>DAY(C834)</f>
        <v/>
      </c>
      <c r="U834" s="17">
        <f>MONTH(C834)</f>
        <v/>
      </c>
    </row>
    <row r="835" hidden="1" ht="22.5" customHeight="1" s="117">
      <c r="A835" s="14" t="n">
        <v>46012.34266460648</v>
      </c>
      <c r="B835" s="17" t="inlineStr">
        <is>
          <t>Bùi Duy Cường</t>
        </is>
      </c>
      <c r="C835" s="16" t="n">
        <v>46011</v>
      </c>
      <c r="D835" s="17" t="n">
        <v>0</v>
      </c>
      <c r="E835" s="17" t="n">
        <v>0</v>
      </c>
      <c r="F835" s="17" t="n">
        <v>0</v>
      </c>
      <c r="G835" s="17" t="n">
        <v>1</v>
      </c>
      <c r="H835" s="17" t="n">
        <v>1</v>
      </c>
      <c r="I835" s="17" t="n">
        <v>2</v>
      </c>
      <c r="J835" s="17" t="n">
        <v>0</v>
      </c>
      <c r="K835" s="17" t="n">
        <v>12</v>
      </c>
      <c r="L835" s="17" t="n">
        <v>0</v>
      </c>
      <c r="M835" s="17" t="n">
        <v>1</v>
      </c>
      <c r="N835" s="17" t="n">
        <v>1</v>
      </c>
      <c r="O835" s="17" t="n">
        <v>0</v>
      </c>
      <c r="P835" s="17" t="n">
        <v>0</v>
      </c>
      <c r="Q835" s="17" t="n">
        <v>1</v>
      </c>
      <c r="R835" s="17" t="n">
        <v>1</v>
      </c>
      <c r="T835" s="17">
        <f>DAY(C835)</f>
        <v/>
      </c>
      <c r="U835" s="17">
        <f>MONTH(C835)</f>
        <v/>
      </c>
    </row>
    <row r="836" hidden="1" ht="22.5" customHeight="1" s="117">
      <c r="A836" s="14" t="n">
        <v>46012.35582149305</v>
      </c>
      <c r="B836" s="17" t="inlineStr">
        <is>
          <t>Trần Xuân Khoa</t>
        </is>
      </c>
      <c r="C836" s="16" t="n">
        <v>46011</v>
      </c>
      <c r="D836" s="17" t="n">
        <v>0</v>
      </c>
      <c r="E836" s="17" t="n">
        <v>0</v>
      </c>
      <c r="F836" s="17" t="n">
        <v>0</v>
      </c>
      <c r="G836" s="17" t="n">
        <v>0</v>
      </c>
      <c r="H836" s="17" t="n">
        <v>0</v>
      </c>
      <c r="I836" s="17" t="n">
        <v>0</v>
      </c>
      <c r="J836" s="17" t="n">
        <v>0</v>
      </c>
      <c r="K836" s="17" t="n">
        <v>7</v>
      </c>
      <c r="L836" s="17" t="n">
        <v>0</v>
      </c>
      <c r="M836" s="17" t="n">
        <v>0</v>
      </c>
      <c r="N836" s="17" t="n">
        <v>0</v>
      </c>
      <c r="O836" s="17" t="n">
        <v>0</v>
      </c>
      <c r="P836" s="17" t="n">
        <v>1</v>
      </c>
      <c r="Q836" s="17" t="n">
        <v>4</v>
      </c>
      <c r="R836" s="17" t="n">
        <v>0</v>
      </c>
      <c r="T836" s="17">
        <f>DAY(C836)</f>
        <v/>
      </c>
      <c r="U836" s="17">
        <f>MONTH(C836)</f>
        <v/>
      </c>
    </row>
    <row r="837" hidden="1" ht="22.5" customHeight="1" s="117">
      <c r="A837" s="14" t="n">
        <v>46012.35667012732</v>
      </c>
      <c r="B837" s="17" t="inlineStr">
        <is>
          <t>Nguyễn Văn Nhật</t>
        </is>
      </c>
      <c r="C837" s="16" t="n">
        <v>46011</v>
      </c>
      <c r="D837" s="17" t="n">
        <v>0</v>
      </c>
      <c r="E837" s="17" t="n">
        <v>0</v>
      </c>
      <c r="F837" s="17" t="n">
        <v>0</v>
      </c>
      <c r="G837" s="17" t="n">
        <v>0</v>
      </c>
      <c r="H837" s="17" t="n">
        <v>0</v>
      </c>
      <c r="I837" s="17" t="n">
        <v>0</v>
      </c>
      <c r="J837" s="17" t="n">
        <v>0</v>
      </c>
      <c r="K837" s="17" t="n">
        <v>6</v>
      </c>
      <c r="L837" s="17" t="n">
        <v>1</v>
      </c>
      <c r="M837" s="17" t="n">
        <v>0</v>
      </c>
      <c r="N837" s="17" t="n">
        <v>0</v>
      </c>
      <c r="O837" s="17" t="n">
        <v>0</v>
      </c>
      <c r="P837" s="17" t="n">
        <v>1</v>
      </c>
      <c r="Q837" s="17" t="n">
        <v>3</v>
      </c>
      <c r="R837" s="17" t="n">
        <v>0</v>
      </c>
      <c r="T837" s="17">
        <f>DAY(C837)</f>
        <v/>
      </c>
      <c r="U837" s="17">
        <f>MONTH(C837)</f>
        <v/>
      </c>
    </row>
    <row r="838" hidden="1" ht="22.5" customHeight="1" s="117">
      <c r="A838" s="14" t="n">
        <v>46012.3582595949</v>
      </c>
      <c r="B838" s="17" t="inlineStr">
        <is>
          <t>Đào Công Trung</t>
        </is>
      </c>
      <c r="C838" s="16" t="n">
        <v>46011</v>
      </c>
      <c r="D838" s="17" t="n">
        <v>0</v>
      </c>
      <c r="E838" s="17" t="n">
        <v>0</v>
      </c>
      <c r="F838" s="17" t="n">
        <v>0</v>
      </c>
      <c r="G838" s="17" t="n">
        <v>0</v>
      </c>
      <c r="H838" s="17" t="n">
        <v>0</v>
      </c>
      <c r="I838" s="17" t="n">
        <v>0</v>
      </c>
      <c r="J838" s="17" t="n">
        <v>0</v>
      </c>
      <c r="K838" s="17" t="n">
        <v>5</v>
      </c>
      <c r="L838" s="17" t="n">
        <v>0</v>
      </c>
      <c r="M838" s="17" t="n">
        <v>0</v>
      </c>
      <c r="N838" s="17" t="n">
        <v>0</v>
      </c>
      <c r="O838" s="17" t="n">
        <v>0</v>
      </c>
      <c r="P838" s="17" t="n">
        <v>0</v>
      </c>
      <c r="Q838" s="17" t="n">
        <v>0</v>
      </c>
      <c r="R838" s="17" t="n">
        <v>0</v>
      </c>
      <c r="T838" s="17">
        <f>DAY(C838)</f>
        <v/>
      </c>
      <c r="U838" s="17">
        <f>MONTH(C838)</f>
        <v/>
      </c>
    </row>
    <row r="839" hidden="1" ht="22.5" customHeight="1" s="117">
      <c r="A839" s="14" t="n">
        <v>46012.36158327547</v>
      </c>
      <c r="B839" s="17" t="inlineStr">
        <is>
          <t>Lê Văn Hồng</t>
        </is>
      </c>
      <c r="C839" s="16" t="n">
        <v>46011</v>
      </c>
      <c r="D839" s="17" t="n">
        <v>0</v>
      </c>
      <c r="E839" s="17" t="n">
        <v>3</v>
      </c>
      <c r="F839" s="17" t="n">
        <v>0</v>
      </c>
      <c r="G839" s="17" t="n">
        <v>0</v>
      </c>
      <c r="H839" s="17" t="n">
        <v>0</v>
      </c>
      <c r="I839" s="17" t="n">
        <v>0</v>
      </c>
      <c r="J839" s="17" t="n">
        <v>0</v>
      </c>
      <c r="K839" s="17" t="n">
        <v>6</v>
      </c>
      <c r="L839" s="17" t="n">
        <v>0</v>
      </c>
      <c r="M839" s="17" t="n">
        <v>2</v>
      </c>
      <c r="N839" s="17" t="n">
        <v>0</v>
      </c>
      <c r="O839" s="17" t="n">
        <v>0</v>
      </c>
      <c r="P839" s="17" t="n">
        <v>2</v>
      </c>
      <c r="Q839" s="17" t="n">
        <v>3</v>
      </c>
      <c r="R839" s="17" t="n">
        <v>0</v>
      </c>
      <c r="T839" s="17">
        <f>DAY(C839)</f>
        <v/>
      </c>
      <c r="U839" s="17">
        <f>MONTH(C839)</f>
        <v/>
      </c>
    </row>
    <row r="840" hidden="1" ht="22.5" customHeight="1" s="117">
      <c r="A840" s="14" t="n">
        <v>46012.365865625</v>
      </c>
      <c r="B840" s="17" t="inlineStr">
        <is>
          <t>Huỳnh Văn Lực</t>
        </is>
      </c>
      <c r="C840" s="16" t="n">
        <v>46011</v>
      </c>
      <c r="D840" s="17" t="n">
        <v>0</v>
      </c>
      <c r="E840" s="17" t="n">
        <v>1</v>
      </c>
      <c r="F840" s="17" t="n">
        <v>0</v>
      </c>
      <c r="G840" s="17" t="n">
        <v>0</v>
      </c>
      <c r="H840" s="17" t="n">
        <v>0</v>
      </c>
      <c r="I840" s="17" t="n">
        <v>0</v>
      </c>
      <c r="J840" s="17" t="n">
        <v>0</v>
      </c>
      <c r="K840" s="17" t="n">
        <v>5</v>
      </c>
      <c r="L840" s="17" t="n">
        <v>0</v>
      </c>
      <c r="M840" s="17" t="n">
        <v>1</v>
      </c>
      <c r="N840" s="17" t="n">
        <v>0</v>
      </c>
      <c r="O840" s="17" t="n">
        <v>0</v>
      </c>
      <c r="P840" s="17" t="n">
        <v>1</v>
      </c>
      <c r="Q840" s="17" t="n">
        <v>1</v>
      </c>
      <c r="R840" s="17" t="n">
        <v>0</v>
      </c>
      <c r="T840" s="17">
        <f>DAY(C840)</f>
        <v/>
      </c>
      <c r="U840" s="17">
        <f>MONTH(C840)</f>
        <v/>
      </c>
    </row>
    <row r="841" hidden="1" ht="22.5" customHeight="1" s="117">
      <c r="A841" s="14" t="n">
        <v>46012.42313446759</v>
      </c>
      <c r="B841" s="17" t="inlineStr">
        <is>
          <t>Nguyễn Văn Hiệp</t>
        </is>
      </c>
      <c r="C841" s="16" t="n">
        <v>46011</v>
      </c>
      <c r="D841" s="17" t="n">
        <v>0</v>
      </c>
      <c r="E841" s="17" t="n">
        <v>0</v>
      </c>
      <c r="F841" s="17" t="n">
        <v>0</v>
      </c>
      <c r="G841" s="17" t="n">
        <v>0</v>
      </c>
      <c r="H841" s="17" t="n">
        <v>0</v>
      </c>
      <c r="I841" s="17" t="n">
        <v>0</v>
      </c>
      <c r="J841" s="17" t="n">
        <v>0</v>
      </c>
      <c r="K841" s="17" t="n">
        <v>3</v>
      </c>
      <c r="L841" s="17" t="n">
        <v>0</v>
      </c>
      <c r="M841" s="17" t="n">
        <v>0</v>
      </c>
      <c r="N841" s="17" t="n">
        <v>0</v>
      </c>
      <c r="O841" s="17" t="n">
        <v>0</v>
      </c>
      <c r="P841" s="17" t="n">
        <v>1</v>
      </c>
      <c r="Q841" s="17" t="n">
        <v>1</v>
      </c>
      <c r="R841" s="17" t="n">
        <v>1</v>
      </c>
      <c r="T841" s="17">
        <f>DAY(C841)</f>
        <v/>
      </c>
      <c r="U841" s="17">
        <f>MONTH(C841)</f>
        <v/>
      </c>
    </row>
    <row r="842" hidden="1" ht="22.5" customHeight="1" s="117">
      <c r="A842" s="14" t="n">
        <v>46012.89252586805</v>
      </c>
      <c r="B842" s="17" t="inlineStr">
        <is>
          <t>Đặng Hữu Danh</t>
        </is>
      </c>
      <c r="C842" s="16" t="n">
        <v>46012</v>
      </c>
      <c r="D842" s="17" t="n">
        <v>0</v>
      </c>
      <c r="E842" s="17" t="n">
        <v>0</v>
      </c>
      <c r="F842" s="17" t="n">
        <v>0</v>
      </c>
      <c r="G842" s="17" t="n">
        <v>0</v>
      </c>
      <c r="H842" s="17" t="n">
        <v>0</v>
      </c>
      <c r="I842" s="17" t="n">
        <v>1</v>
      </c>
      <c r="J842" s="17" t="n">
        <v>0</v>
      </c>
      <c r="K842" s="17" t="n">
        <v>12</v>
      </c>
      <c r="L842" s="17" t="n">
        <v>2</v>
      </c>
      <c r="M842" s="17" t="n">
        <v>2</v>
      </c>
      <c r="N842" s="17" t="n">
        <v>0</v>
      </c>
      <c r="O842" s="17" t="n">
        <v>0</v>
      </c>
      <c r="P842" s="17" t="n">
        <v>1</v>
      </c>
      <c r="Q842" s="17" t="n">
        <v>2</v>
      </c>
      <c r="R842" s="17" t="n">
        <v>0</v>
      </c>
      <c r="T842" s="17">
        <f>DAY(C842)</f>
        <v/>
      </c>
      <c r="U842" s="17">
        <f>MONTH(C842)</f>
        <v/>
      </c>
    </row>
    <row r="843" hidden="1" ht="22.5" customHeight="1" s="117">
      <c r="A843" s="14" t="n">
        <v>46013.26292725695</v>
      </c>
      <c r="B843" s="17" t="inlineStr">
        <is>
          <t>Phan Thành Thái</t>
        </is>
      </c>
      <c r="C843" s="16" t="n">
        <v>46012</v>
      </c>
      <c r="D843" s="17" t="n">
        <v>1</v>
      </c>
      <c r="E843" s="17" t="n">
        <v>0</v>
      </c>
      <c r="F843" s="17" t="n">
        <v>0</v>
      </c>
      <c r="G843" s="17" t="n">
        <v>0</v>
      </c>
      <c r="H843" s="17" t="n">
        <v>0</v>
      </c>
      <c r="I843" s="17" t="n">
        <v>0</v>
      </c>
      <c r="J843" s="17" t="n">
        <v>0</v>
      </c>
      <c r="K843" s="17" t="n">
        <v>6</v>
      </c>
      <c r="L843" s="17" t="n">
        <v>4</v>
      </c>
      <c r="M843" s="17" t="n">
        <v>1</v>
      </c>
      <c r="N843" s="17" t="n">
        <v>0</v>
      </c>
      <c r="O843" s="17" t="n">
        <v>0</v>
      </c>
      <c r="P843" s="17" t="n">
        <v>1</v>
      </c>
      <c r="Q843" s="17" t="n">
        <v>6</v>
      </c>
      <c r="R843" s="17" t="n">
        <v>0</v>
      </c>
      <c r="T843" s="17">
        <f>DAY(C843)</f>
        <v/>
      </c>
      <c r="U843" s="17">
        <f>MONTH(C843)</f>
        <v/>
      </c>
    </row>
    <row r="844" hidden="1" ht="22.5" customHeight="1" s="117">
      <c r="A844" s="14" t="n">
        <v>46013.26484486111</v>
      </c>
      <c r="B844" s="17" t="inlineStr">
        <is>
          <t>Dương Minh Tiến</t>
        </is>
      </c>
      <c r="C844" s="16" t="n">
        <v>46012</v>
      </c>
      <c r="D844" s="17" t="n">
        <v>0</v>
      </c>
      <c r="E844" s="17" t="n">
        <v>0</v>
      </c>
      <c r="F844" s="17" t="n">
        <v>0</v>
      </c>
      <c r="G844" s="17" t="n">
        <v>0</v>
      </c>
      <c r="H844" s="17" t="n">
        <v>0</v>
      </c>
      <c r="I844" s="17" t="n">
        <v>0</v>
      </c>
      <c r="J844" s="17" t="n">
        <v>0</v>
      </c>
      <c r="K844" s="17" t="n">
        <v>16</v>
      </c>
      <c r="L844" s="17" t="n">
        <v>0</v>
      </c>
      <c r="M844" s="17" t="n">
        <v>0</v>
      </c>
      <c r="N844" s="17" t="n">
        <v>0</v>
      </c>
      <c r="O844" s="17" t="n">
        <v>0</v>
      </c>
      <c r="P844" s="17" t="n">
        <v>0</v>
      </c>
      <c r="Q844" s="17" t="n">
        <v>0</v>
      </c>
      <c r="R844" s="17" t="n">
        <v>0</v>
      </c>
      <c r="T844" s="17">
        <f>DAY(C844)</f>
        <v/>
      </c>
      <c r="U844" s="17">
        <f>MONTH(C844)</f>
        <v/>
      </c>
    </row>
    <row r="845" hidden="1" ht="22.5" customHeight="1" s="117">
      <c r="A845" s="14" t="n">
        <v>46013.26651481482</v>
      </c>
      <c r="B845" s="17" t="inlineStr">
        <is>
          <t>Phan Ngọc Sang</t>
        </is>
      </c>
      <c r="C845" s="16" t="n">
        <v>46012</v>
      </c>
      <c r="D845" s="17" t="n">
        <v>0</v>
      </c>
      <c r="E845" s="17" t="n">
        <v>0</v>
      </c>
      <c r="F845" s="17" t="n">
        <v>0</v>
      </c>
      <c r="G845" s="17" t="n">
        <v>0</v>
      </c>
      <c r="H845" s="17" t="n">
        <v>0</v>
      </c>
      <c r="I845" s="17" t="n">
        <v>1</v>
      </c>
      <c r="J845" s="17" t="n">
        <v>0</v>
      </c>
      <c r="K845" s="17" t="n">
        <v>6</v>
      </c>
      <c r="L845" s="17" t="n">
        <v>0</v>
      </c>
      <c r="M845" s="17" t="n">
        <v>2</v>
      </c>
      <c r="N845" s="17" t="n">
        <v>0</v>
      </c>
      <c r="O845" s="17" t="n">
        <v>0</v>
      </c>
      <c r="P845" s="17" t="n">
        <v>0</v>
      </c>
      <c r="Q845" s="17" t="n">
        <v>2</v>
      </c>
      <c r="R845" s="17" t="n">
        <v>0</v>
      </c>
      <c r="T845" s="17">
        <f>DAY(C845)</f>
        <v/>
      </c>
      <c r="U845" s="17">
        <f>MONTH(C845)</f>
        <v/>
      </c>
    </row>
    <row r="846" hidden="1" ht="22.5" customHeight="1" s="117">
      <c r="A846" s="14" t="n">
        <v>46013.28231471065</v>
      </c>
      <c r="B846" s="17" t="inlineStr">
        <is>
          <t>Trần Trung Giang</t>
        </is>
      </c>
      <c r="C846" s="16" t="n">
        <v>46012</v>
      </c>
      <c r="D846" s="17" t="n">
        <v>0</v>
      </c>
      <c r="E846" s="17" t="n">
        <v>0</v>
      </c>
      <c r="F846" s="17" t="n">
        <v>0</v>
      </c>
      <c r="G846" s="17" t="n">
        <v>0</v>
      </c>
      <c r="H846" s="17" t="n">
        <v>0</v>
      </c>
      <c r="I846" s="17" t="n">
        <v>0</v>
      </c>
      <c r="J846" s="17" t="n">
        <v>0</v>
      </c>
      <c r="K846" s="17" t="n">
        <v>4</v>
      </c>
      <c r="L846" s="17" t="n">
        <v>0</v>
      </c>
      <c r="M846" s="17" t="n">
        <v>0</v>
      </c>
      <c r="N846" s="17" t="n">
        <v>0</v>
      </c>
      <c r="O846" s="17" t="n">
        <v>0</v>
      </c>
      <c r="P846" s="17" t="n">
        <v>0</v>
      </c>
      <c r="Q846" s="17" t="n">
        <v>0</v>
      </c>
      <c r="R846" s="17" t="n">
        <v>0</v>
      </c>
      <c r="T846" s="17">
        <f>DAY(C846)</f>
        <v/>
      </c>
      <c r="U846" s="17">
        <f>MONTH(C846)</f>
        <v/>
      </c>
    </row>
    <row r="847" hidden="1" ht="22.5" customHeight="1" s="117">
      <c r="A847" s="14" t="n">
        <v>46013.28268103009</v>
      </c>
      <c r="B847" s="17" t="inlineStr">
        <is>
          <t>Nguyễn Văn Hiệp</t>
        </is>
      </c>
      <c r="C847" s="16" t="n">
        <v>46012</v>
      </c>
      <c r="D847" s="17" t="n">
        <v>0</v>
      </c>
      <c r="E847" s="17" t="n">
        <v>0</v>
      </c>
      <c r="F847" s="17" t="n">
        <v>0</v>
      </c>
      <c r="G847" s="17" t="n">
        <v>0</v>
      </c>
      <c r="H847" s="17" t="n">
        <v>0</v>
      </c>
      <c r="I847" s="17" t="n">
        <v>0</v>
      </c>
      <c r="J847" s="17" t="n">
        <v>0</v>
      </c>
      <c r="K847" s="17" t="n">
        <v>0</v>
      </c>
      <c r="L847" s="17" t="n">
        <v>0</v>
      </c>
      <c r="M847" s="17" t="n">
        <v>0</v>
      </c>
      <c r="N847" s="17" t="n">
        <v>1</v>
      </c>
      <c r="O847" s="17" t="n">
        <v>0</v>
      </c>
      <c r="P847" s="17" t="n">
        <v>0</v>
      </c>
      <c r="Q847" s="17" t="n">
        <v>0</v>
      </c>
      <c r="R847" s="17" t="n">
        <v>0</v>
      </c>
      <c r="T847" s="17">
        <f>DAY(C847)</f>
        <v/>
      </c>
      <c r="U847" s="17">
        <f>MONTH(C847)</f>
        <v/>
      </c>
    </row>
    <row r="848" hidden="1" ht="22.5" customHeight="1" s="117">
      <c r="A848" s="14" t="n">
        <v>46013.28377695602</v>
      </c>
      <c r="B848" s="17" t="inlineStr">
        <is>
          <t>Vòng Nhật Sang</t>
        </is>
      </c>
      <c r="C848" s="16" t="n">
        <v>46012</v>
      </c>
      <c r="D848" s="17" t="n">
        <v>0</v>
      </c>
      <c r="E848" s="17" t="n">
        <v>0</v>
      </c>
      <c r="F848" s="17" t="n">
        <v>0</v>
      </c>
      <c r="G848" s="17" t="n">
        <v>0</v>
      </c>
      <c r="H848" s="17" t="n">
        <v>0</v>
      </c>
      <c r="I848" s="17" t="n">
        <v>0</v>
      </c>
      <c r="J848" s="17" t="n">
        <v>0</v>
      </c>
      <c r="K848" s="17" t="n">
        <v>10</v>
      </c>
      <c r="L848" s="17" t="n">
        <v>0</v>
      </c>
      <c r="M848" s="17" t="n">
        <v>0</v>
      </c>
      <c r="N848" s="17" t="n">
        <v>0</v>
      </c>
      <c r="O848" s="17" t="n">
        <v>0</v>
      </c>
      <c r="P848" s="17" t="n">
        <v>2</v>
      </c>
      <c r="Q848" s="17" t="n">
        <v>2</v>
      </c>
      <c r="R848" s="17" t="n">
        <v>0</v>
      </c>
      <c r="T848" s="17">
        <f>DAY(C848)</f>
        <v/>
      </c>
      <c r="U848" s="17">
        <f>MONTH(C848)</f>
        <v/>
      </c>
    </row>
    <row r="849" hidden="1" ht="22.5" customHeight="1" s="117">
      <c r="A849" s="14" t="n">
        <v>46013.28403892361</v>
      </c>
      <c r="B849" s="17" t="inlineStr">
        <is>
          <t>Lương Duy Hải</t>
        </is>
      </c>
      <c r="C849" s="16" t="n">
        <v>46012</v>
      </c>
      <c r="D849" s="17" t="n">
        <v>0</v>
      </c>
      <c r="E849" s="17" t="n">
        <v>0</v>
      </c>
      <c r="F849" s="17" t="n">
        <v>0</v>
      </c>
      <c r="G849" s="17" t="n">
        <v>0</v>
      </c>
      <c r="H849" s="17" t="n">
        <v>0</v>
      </c>
      <c r="I849" s="17" t="n">
        <v>0</v>
      </c>
      <c r="J849" s="17" t="n">
        <v>1</v>
      </c>
      <c r="K849" s="17" t="n">
        <v>10</v>
      </c>
      <c r="L849" s="17" t="n">
        <v>0</v>
      </c>
      <c r="M849" s="17" t="n">
        <v>0</v>
      </c>
      <c r="N849" s="17" t="n">
        <v>0</v>
      </c>
      <c r="O849" s="17" t="n">
        <v>0</v>
      </c>
      <c r="P849" s="17" t="n">
        <v>0</v>
      </c>
      <c r="Q849" s="17" t="n">
        <v>2</v>
      </c>
      <c r="R849" s="17" t="n">
        <v>0</v>
      </c>
      <c r="T849" s="17">
        <f>DAY(C849)</f>
        <v/>
      </c>
      <c r="U849" s="17">
        <f>MONTH(C849)</f>
        <v/>
      </c>
    </row>
    <row r="850" hidden="1" ht="22.5" customHeight="1" s="117">
      <c r="A850" s="14" t="n">
        <v>46013.28616524306</v>
      </c>
      <c r="B850" s="17" t="inlineStr">
        <is>
          <t>Nguyễn Quang Anh Tuấn</t>
        </is>
      </c>
      <c r="C850" s="16" t="n">
        <v>46012</v>
      </c>
      <c r="D850" s="17" t="n">
        <v>0</v>
      </c>
      <c r="E850" s="17" t="n">
        <v>0</v>
      </c>
      <c r="F850" s="17" t="n">
        <v>0</v>
      </c>
      <c r="G850" s="17" t="n">
        <v>0</v>
      </c>
      <c r="H850" s="17" t="n">
        <v>0</v>
      </c>
      <c r="I850" s="17" t="n">
        <v>0</v>
      </c>
      <c r="J850" s="17" t="n">
        <v>0</v>
      </c>
      <c r="K850" s="17" t="n">
        <v>15</v>
      </c>
      <c r="L850" s="17" t="n">
        <v>0</v>
      </c>
      <c r="M850" s="17" t="n">
        <v>0</v>
      </c>
      <c r="N850" s="17" t="n">
        <v>0</v>
      </c>
      <c r="O850" s="17" t="n">
        <v>0</v>
      </c>
      <c r="P850" s="17" t="n">
        <v>0</v>
      </c>
      <c r="Q850" s="17" t="n">
        <v>0</v>
      </c>
      <c r="R850" s="17" t="n">
        <v>0</v>
      </c>
      <c r="T850" s="17">
        <f>DAY(C850)</f>
        <v/>
      </c>
      <c r="U850" s="17">
        <f>MONTH(C850)</f>
        <v/>
      </c>
    </row>
    <row r="851" hidden="1" ht="22.5" customHeight="1" s="117">
      <c r="A851" s="14" t="n">
        <v>46013.28743516203</v>
      </c>
      <c r="B851" s="17" t="inlineStr">
        <is>
          <t>Lê Quốc Duy</t>
        </is>
      </c>
      <c r="C851" s="16" t="n">
        <v>46012</v>
      </c>
      <c r="D851" s="17" t="n">
        <v>0</v>
      </c>
      <c r="E851" s="17" t="n">
        <v>0</v>
      </c>
      <c r="F851" s="17" t="n">
        <v>0</v>
      </c>
      <c r="G851" s="17" t="n">
        <v>0</v>
      </c>
      <c r="H851" s="17" t="n">
        <v>0</v>
      </c>
      <c r="I851" s="17" t="n">
        <v>0</v>
      </c>
      <c r="J851" s="17" t="n">
        <v>0</v>
      </c>
      <c r="K851" s="17" t="n">
        <v>8</v>
      </c>
      <c r="L851" s="17" t="n">
        <v>0</v>
      </c>
      <c r="M851" s="17" t="n">
        <v>0</v>
      </c>
      <c r="N851" s="17" t="n">
        <v>0</v>
      </c>
      <c r="O851" s="17" t="n">
        <v>0</v>
      </c>
      <c r="P851" s="17" t="n">
        <v>1</v>
      </c>
      <c r="Q851" s="17" t="n">
        <v>2</v>
      </c>
      <c r="R851" s="17" t="n">
        <v>0</v>
      </c>
      <c r="T851" s="17">
        <f>DAY(C851)</f>
        <v/>
      </c>
      <c r="U851" s="17">
        <f>MONTH(C851)</f>
        <v/>
      </c>
    </row>
    <row r="852" hidden="1" ht="22.5" customHeight="1" s="117">
      <c r="A852" s="14" t="n">
        <v>46013.28875876158</v>
      </c>
      <c r="B852" s="17" t="inlineStr">
        <is>
          <t>Lương Duy Hoàng</t>
        </is>
      </c>
      <c r="C852" s="16" t="n">
        <v>46012</v>
      </c>
      <c r="D852" s="17" t="n">
        <v>0</v>
      </c>
      <c r="E852" s="17" t="n">
        <v>0</v>
      </c>
      <c r="F852" s="17" t="n">
        <v>0</v>
      </c>
      <c r="G852" s="17" t="n">
        <v>0</v>
      </c>
      <c r="H852" s="17" t="n">
        <v>0</v>
      </c>
      <c r="I852" s="17" t="n">
        <v>0</v>
      </c>
      <c r="J852" s="17" t="n">
        <v>0</v>
      </c>
      <c r="K852" s="17" t="n">
        <v>3</v>
      </c>
      <c r="L852" s="17" t="n">
        <v>0</v>
      </c>
      <c r="M852" s="17" t="n">
        <v>0</v>
      </c>
      <c r="N852" s="17" t="n">
        <v>0</v>
      </c>
      <c r="O852" s="17" t="n">
        <v>0</v>
      </c>
      <c r="P852" s="17" t="n">
        <v>0</v>
      </c>
      <c r="Q852" s="17" t="n">
        <v>1</v>
      </c>
      <c r="R852" s="17" t="n">
        <v>0</v>
      </c>
      <c r="T852" s="17">
        <f>DAY(C852)</f>
        <v/>
      </c>
      <c r="U852" s="17">
        <f>MONTH(C852)</f>
        <v/>
      </c>
    </row>
    <row r="853" hidden="1" ht="22.5" customHeight="1" s="117">
      <c r="A853" s="14" t="n">
        <v>46013.28892995371</v>
      </c>
      <c r="B853" s="17" t="inlineStr">
        <is>
          <t>Nguyễn Thành Lâm</t>
        </is>
      </c>
      <c r="C853" s="16" t="n">
        <v>46012</v>
      </c>
      <c r="D853" s="17" t="n">
        <v>0</v>
      </c>
      <c r="E853" s="17" t="n">
        <v>0</v>
      </c>
      <c r="F853" s="17" t="n">
        <v>0</v>
      </c>
      <c r="G853" s="17" t="n">
        <v>0</v>
      </c>
      <c r="H853" s="17" t="n">
        <v>0</v>
      </c>
      <c r="I853" s="17" t="n">
        <v>0</v>
      </c>
      <c r="J853" s="17" t="n">
        <v>0</v>
      </c>
      <c r="K853" s="17" t="n">
        <v>1</v>
      </c>
      <c r="L853" s="17" t="n">
        <v>0</v>
      </c>
      <c r="M853" s="17" t="n">
        <v>1</v>
      </c>
      <c r="N853" s="17" t="n">
        <v>0</v>
      </c>
      <c r="O853" s="17" t="n">
        <v>0</v>
      </c>
      <c r="P853" s="17" t="n">
        <v>1</v>
      </c>
      <c r="Q853" s="17" t="n">
        <v>0</v>
      </c>
      <c r="R853" s="17" t="n">
        <v>0</v>
      </c>
      <c r="T853" s="17">
        <f>DAY(C853)</f>
        <v/>
      </c>
      <c r="U853" s="17">
        <f>MONTH(C853)</f>
        <v/>
      </c>
    </row>
    <row r="854" hidden="1" ht="22.5" customHeight="1" s="117">
      <c r="A854" s="14" t="n">
        <v>46013.28936083333</v>
      </c>
      <c r="B854" s="17" t="inlineStr">
        <is>
          <t>Trần Minh Khánh</t>
        </is>
      </c>
      <c r="C854" s="16" t="n">
        <v>46012</v>
      </c>
      <c r="D854" s="17" t="n">
        <v>0</v>
      </c>
      <c r="E854" s="17" t="n">
        <v>0</v>
      </c>
      <c r="F854" s="17" t="n">
        <v>0</v>
      </c>
      <c r="G854" s="17" t="n">
        <v>0</v>
      </c>
      <c r="H854" s="17" t="n">
        <v>0</v>
      </c>
      <c r="I854" s="17" t="n">
        <v>0</v>
      </c>
      <c r="J854" s="17" t="n">
        <v>0</v>
      </c>
      <c r="K854" s="17" t="n">
        <v>6</v>
      </c>
      <c r="L854" s="17" t="n">
        <v>0</v>
      </c>
      <c r="M854" s="17" t="n">
        <v>0</v>
      </c>
      <c r="N854" s="17" t="n">
        <v>1</v>
      </c>
      <c r="O854" s="17" t="n">
        <v>0</v>
      </c>
      <c r="P854" s="17" t="n">
        <v>1</v>
      </c>
      <c r="Q854" s="17" t="n">
        <v>3</v>
      </c>
      <c r="R854" s="17" t="n">
        <v>0</v>
      </c>
      <c r="T854" s="17">
        <f>DAY(C854)</f>
        <v/>
      </c>
      <c r="U854" s="17">
        <f>MONTH(C854)</f>
        <v/>
      </c>
    </row>
    <row r="855" hidden="1" ht="22.5" customHeight="1" s="117">
      <c r="A855" s="14" t="n">
        <v>46013.29110263889</v>
      </c>
      <c r="B855" s="17" t="inlineStr">
        <is>
          <t>Hồ Thái Minh Trí</t>
        </is>
      </c>
      <c r="C855" s="16" t="n">
        <v>46012</v>
      </c>
      <c r="D855" s="17" t="n">
        <v>0</v>
      </c>
      <c r="E855" s="17" t="n">
        <v>0</v>
      </c>
      <c r="F855" s="17" t="n">
        <v>0</v>
      </c>
      <c r="G855" s="17" t="n">
        <v>0</v>
      </c>
      <c r="H855" s="17" t="n">
        <v>0</v>
      </c>
      <c r="I855" s="17" t="n">
        <v>0</v>
      </c>
      <c r="J855" s="17" t="n">
        <v>0</v>
      </c>
      <c r="K855" s="17" t="n">
        <v>7</v>
      </c>
      <c r="L855" s="17" t="n">
        <v>0</v>
      </c>
      <c r="M855" s="17" t="n">
        <v>0</v>
      </c>
      <c r="N855" s="17" t="n">
        <v>2</v>
      </c>
      <c r="O855" s="17" t="n">
        <v>1</v>
      </c>
      <c r="P855" s="17" t="n">
        <v>0</v>
      </c>
      <c r="Q855" s="17" t="n">
        <v>1</v>
      </c>
      <c r="R855" s="17" t="n">
        <v>0</v>
      </c>
      <c r="T855" s="17">
        <f>DAY(C855)</f>
        <v/>
      </c>
      <c r="U855" s="17">
        <f>MONTH(C855)</f>
        <v/>
      </c>
    </row>
    <row r="856" hidden="1" ht="22.5" customHeight="1" s="117">
      <c r="A856" s="14" t="n">
        <v>46013.29110334491</v>
      </c>
      <c r="B856" s="17" t="inlineStr">
        <is>
          <t>Lê Hồng Phong</t>
        </is>
      </c>
      <c r="C856" s="16" t="n">
        <v>46013</v>
      </c>
      <c r="D856" s="17" t="n">
        <v>1</v>
      </c>
      <c r="E856" s="17" t="n">
        <v>1</v>
      </c>
      <c r="F856" s="17" t="n">
        <v>1</v>
      </c>
      <c r="G856" s="17" t="n">
        <v>0</v>
      </c>
      <c r="H856" s="17" t="n">
        <v>0</v>
      </c>
      <c r="I856" s="17" t="n">
        <v>1</v>
      </c>
      <c r="J856" s="17" t="n">
        <v>1</v>
      </c>
      <c r="K856" s="17" t="n">
        <v>1</v>
      </c>
      <c r="L856" s="17" t="n">
        <v>1</v>
      </c>
      <c r="M856" s="17" t="n">
        <v>1</v>
      </c>
      <c r="N856" s="17" t="n">
        <v>1</v>
      </c>
      <c r="O856" s="17" t="n">
        <v>1</v>
      </c>
      <c r="P856" s="17" t="n">
        <v>1</v>
      </c>
      <c r="Q856" s="17" t="n">
        <v>1</v>
      </c>
      <c r="R856" s="17" t="n">
        <v>1</v>
      </c>
      <c r="T856" s="17">
        <f>DAY(C856)</f>
        <v/>
      </c>
      <c r="U856" s="17">
        <f>MONTH(C856)</f>
        <v/>
      </c>
    </row>
    <row r="857" hidden="1" ht="22.5" customHeight="1" s="117">
      <c r="A857" s="14" t="n">
        <v>46013.29256231481</v>
      </c>
      <c r="B857" s="17" t="inlineStr">
        <is>
          <t>Hồ Xuân Việt</t>
        </is>
      </c>
      <c r="C857" s="16" t="n">
        <v>46012</v>
      </c>
      <c r="D857" s="17" t="n">
        <v>0</v>
      </c>
      <c r="E857" s="17" t="n">
        <v>0</v>
      </c>
      <c r="F857" s="17" t="n">
        <v>0</v>
      </c>
      <c r="G857" s="17" t="n">
        <v>0</v>
      </c>
      <c r="H857" s="17" t="n">
        <v>0</v>
      </c>
      <c r="I857" s="17" t="n">
        <v>0</v>
      </c>
      <c r="J857" s="17" t="n">
        <v>0</v>
      </c>
      <c r="K857" s="17" t="n">
        <v>10</v>
      </c>
      <c r="L857" s="17" t="n">
        <v>0</v>
      </c>
      <c r="M857" s="17" t="n">
        <v>0</v>
      </c>
      <c r="N857" s="17" t="n">
        <v>0</v>
      </c>
      <c r="O857" s="17" t="n">
        <v>0</v>
      </c>
      <c r="P857" s="17" t="n">
        <v>0</v>
      </c>
      <c r="Q857" s="17" t="n">
        <v>1</v>
      </c>
      <c r="R857" s="17" t="n">
        <v>0</v>
      </c>
      <c r="T857" s="17">
        <f>DAY(C857)</f>
        <v/>
      </c>
      <c r="U857" s="17">
        <f>MONTH(C857)</f>
        <v/>
      </c>
    </row>
    <row r="858" hidden="1" ht="22.5" customHeight="1" s="117">
      <c r="A858" s="14" t="n">
        <v>46013.29788131944</v>
      </c>
      <c r="B858" s="17" t="inlineStr">
        <is>
          <t>Trần Xuân Khoa</t>
        </is>
      </c>
      <c r="C858" s="16" t="n">
        <v>46012</v>
      </c>
      <c r="D858" s="17" t="n">
        <v>0</v>
      </c>
      <c r="E858" s="17" t="n">
        <v>0</v>
      </c>
      <c r="F858" s="17" t="n">
        <v>0</v>
      </c>
      <c r="G858" s="17" t="n">
        <v>0</v>
      </c>
      <c r="H858" s="17" t="n">
        <v>0</v>
      </c>
      <c r="I858" s="17" t="n">
        <v>0</v>
      </c>
      <c r="J858" s="17" t="n">
        <v>0</v>
      </c>
      <c r="K858" s="17" t="n">
        <v>15</v>
      </c>
      <c r="L858" s="17" t="n">
        <v>0</v>
      </c>
      <c r="M858" s="17" t="n">
        <v>0</v>
      </c>
      <c r="N858" s="17" t="n">
        <v>0</v>
      </c>
      <c r="O858" s="17" t="n">
        <v>0</v>
      </c>
      <c r="P858" s="17" t="n">
        <v>0</v>
      </c>
      <c r="Q858" s="17" t="n">
        <v>3</v>
      </c>
      <c r="R858" s="17" t="n">
        <v>0</v>
      </c>
      <c r="T858" s="17">
        <f>DAY(C858)</f>
        <v/>
      </c>
      <c r="U858" s="17">
        <f>MONTH(C858)</f>
        <v/>
      </c>
    </row>
    <row r="859" hidden="1" ht="22.5" customHeight="1" s="117">
      <c r="A859" s="14" t="n">
        <v>46013.30584337963</v>
      </c>
      <c r="B859" s="17" t="inlineStr">
        <is>
          <t>Nguyễn Tuấn Anh</t>
        </is>
      </c>
      <c r="C859" s="16" t="n">
        <v>46012</v>
      </c>
      <c r="D859" s="17" t="n">
        <v>0</v>
      </c>
      <c r="E859" s="17" t="n">
        <v>0</v>
      </c>
      <c r="F859" s="17" t="n">
        <v>0</v>
      </c>
      <c r="G859" s="17" t="n">
        <v>0</v>
      </c>
      <c r="H859" s="17" t="n">
        <v>0</v>
      </c>
      <c r="I859" s="17" t="n">
        <v>0</v>
      </c>
      <c r="J859" s="17" t="n">
        <v>0</v>
      </c>
      <c r="K859" s="17" t="n">
        <v>6</v>
      </c>
      <c r="L859" s="17" t="n">
        <v>0</v>
      </c>
      <c r="M859" s="17" t="n">
        <v>0</v>
      </c>
      <c r="N859" s="17" t="n">
        <v>0</v>
      </c>
      <c r="O859" s="17" t="n">
        <v>0</v>
      </c>
      <c r="P859" s="17" t="n">
        <v>0</v>
      </c>
      <c r="Q859" s="17" t="n">
        <v>5</v>
      </c>
      <c r="R859" s="17" t="n">
        <v>0</v>
      </c>
      <c r="T859" s="17">
        <f>DAY(C859)</f>
        <v/>
      </c>
      <c r="U859" s="17">
        <f>MONTH(C859)</f>
        <v/>
      </c>
    </row>
    <row r="860" hidden="1" ht="22.5" customHeight="1" s="117">
      <c r="A860" s="14" t="n">
        <v>46013.30701407407</v>
      </c>
      <c r="B860" s="17" t="inlineStr">
        <is>
          <t>Đặng Hoài Anh</t>
        </is>
      </c>
      <c r="C860" s="16" t="n">
        <v>46012</v>
      </c>
      <c r="D860" s="17" t="n">
        <v>0</v>
      </c>
      <c r="E860" s="17" t="n">
        <v>0</v>
      </c>
      <c r="F860" s="17" t="n">
        <v>0</v>
      </c>
      <c r="G860" s="17" t="n">
        <v>0</v>
      </c>
      <c r="H860" s="17" t="n">
        <v>0</v>
      </c>
      <c r="I860" s="17" t="n">
        <v>0</v>
      </c>
      <c r="J860" s="17" t="n">
        <v>0</v>
      </c>
      <c r="K860" s="17" t="n">
        <v>4</v>
      </c>
      <c r="L860" s="17" t="n">
        <v>0</v>
      </c>
      <c r="M860" s="17" t="n">
        <v>0</v>
      </c>
      <c r="N860" s="17" t="n">
        <v>0</v>
      </c>
      <c r="O860" s="17" t="n">
        <v>0</v>
      </c>
      <c r="P860" s="17" t="n">
        <v>0</v>
      </c>
      <c r="Q860" s="17" t="n">
        <v>0</v>
      </c>
      <c r="R860" s="17" t="n">
        <v>0</v>
      </c>
      <c r="T860" s="17">
        <f>DAY(C860)</f>
        <v/>
      </c>
      <c r="U860" s="17">
        <f>MONTH(C860)</f>
        <v/>
      </c>
    </row>
    <row r="861" hidden="1" ht="22.5" customHeight="1" s="117">
      <c r="A861" s="14" t="n">
        <v>46013.3075697338</v>
      </c>
      <c r="B861" s="17" t="inlineStr">
        <is>
          <t>Huỳnh Văn Lực</t>
        </is>
      </c>
      <c r="C861" s="16" t="n">
        <v>46012</v>
      </c>
      <c r="D861" s="17" t="n">
        <v>0</v>
      </c>
      <c r="E861" s="17" t="n">
        <v>0</v>
      </c>
      <c r="F861" s="17" t="n">
        <v>0</v>
      </c>
      <c r="G861" s="17" t="n">
        <v>0</v>
      </c>
      <c r="H861" s="17" t="n">
        <v>0</v>
      </c>
      <c r="I861" s="17" t="n">
        <v>0</v>
      </c>
      <c r="J861" s="17" t="n">
        <v>0</v>
      </c>
      <c r="K861" s="17" t="n">
        <v>8</v>
      </c>
      <c r="L861" s="17" t="n">
        <v>0</v>
      </c>
      <c r="M861" s="17" t="n">
        <v>0</v>
      </c>
      <c r="N861" s="17" t="n">
        <v>0</v>
      </c>
      <c r="O861" s="17" t="n">
        <v>0</v>
      </c>
      <c r="P861" s="17" t="n">
        <v>0</v>
      </c>
      <c r="Q861" s="17" t="n">
        <v>1</v>
      </c>
      <c r="R861" s="17" t="n">
        <v>0</v>
      </c>
      <c r="T861" s="17">
        <f>DAY(C861)</f>
        <v/>
      </c>
      <c r="U861" s="17">
        <f>MONTH(C861)</f>
        <v/>
      </c>
    </row>
    <row r="862" hidden="1" ht="22.5" customHeight="1" s="117">
      <c r="A862" s="14" t="n">
        <v>46013.30995928241</v>
      </c>
      <c r="B862" s="17" t="inlineStr">
        <is>
          <t>Đào Công Trung</t>
        </is>
      </c>
      <c r="C862" s="16" t="n">
        <v>46012</v>
      </c>
      <c r="D862" s="17" t="n">
        <v>0</v>
      </c>
      <c r="E862" s="17" t="n">
        <v>0</v>
      </c>
      <c r="F862" s="17" t="n">
        <v>0</v>
      </c>
      <c r="G862" s="17" t="n">
        <v>0</v>
      </c>
      <c r="H862" s="17" t="n">
        <v>0</v>
      </c>
      <c r="I862" s="17" t="n">
        <v>0</v>
      </c>
      <c r="J862" s="17" t="n">
        <v>0</v>
      </c>
      <c r="K862" s="17" t="n">
        <v>12</v>
      </c>
      <c r="L862" s="17" t="n">
        <v>0</v>
      </c>
      <c r="M862" s="17" t="n">
        <v>0</v>
      </c>
      <c r="N862" s="17" t="n">
        <v>0</v>
      </c>
      <c r="O862" s="17" t="n">
        <v>0</v>
      </c>
      <c r="P862" s="17" t="n">
        <v>0</v>
      </c>
      <c r="Q862" s="17" t="n">
        <v>3</v>
      </c>
      <c r="R862" s="17" t="n">
        <v>0</v>
      </c>
      <c r="T862" s="17">
        <f>DAY(C862)</f>
        <v/>
      </c>
      <c r="U862" s="17">
        <f>MONTH(C862)</f>
        <v/>
      </c>
    </row>
    <row r="863" hidden="1" ht="22.5" customHeight="1" s="117">
      <c r="A863" s="14" t="n">
        <v>46013.32063732639</v>
      </c>
      <c r="B863" s="17" t="inlineStr">
        <is>
          <t>Nguyễn Văn Nhật</t>
        </is>
      </c>
      <c r="C863" s="16" t="n">
        <v>46012</v>
      </c>
      <c r="D863" s="17" t="n">
        <v>0</v>
      </c>
      <c r="E863" s="17" t="n">
        <v>0</v>
      </c>
      <c r="F863" s="17" t="n">
        <v>0</v>
      </c>
      <c r="G863" s="17" t="n">
        <v>0</v>
      </c>
      <c r="H863" s="17" t="n">
        <v>0</v>
      </c>
      <c r="I863" s="17" t="n">
        <v>0</v>
      </c>
      <c r="J863" s="17" t="n">
        <v>2</v>
      </c>
      <c r="K863" s="17" t="n">
        <v>6</v>
      </c>
      <c r="L863" s="17" t="n">
        <v>0</v>
      </c>
      <c r="M863" s="17" t="n">
        <v>0</v>
      </c>
      <c r="N863" s="17" t="n">
        <v>0</v>
      </c>
      <c r="O863" s="17" t="n">
        <v>0</v>
      </c>
      <c r="P863" s="17" t="n">
        <v>1</v>
      </c>
      <c r="Q863" s="17" t="n">
        <v>2</v>
      </c>
      <c r="R863" s="17" t="n">
        <v>0</v>
      </c>
      <c r="T863" s="17">
        <f>DAY(C863)</f>
        <v/>
      </c>
      <c r="U863" s="17">
        <f>MONTH(C863)</f>
        <v/>
      </c>
    </row>
    <row r="864" hidden="1" ht="22.5" customHeight="1" s="117">
      <c r="A864" s="14" t="n">
        <v>46013.33002672454</v>
      </c>
      <c r="B864" s="17" t="inlineStr">
        <is>
          <t>Bùi Duy Cường</t>
        </is>
      </c>
      <c r="C864" s="16" t="n">
        <v>46012</v>
      </c>
      <c r="D864" s="17" t="n">
        <v>0</v>
      </c>
      <c r="E864" s="17" t="n">
        <v>0</v>
      </c>
      <c r="F864" s="17" t="n">
        <v>0</v>
      </c>
      <c r="G864" s="17" t="n">
        <v>0</v>
      </c>
      <c r="H864" s="17" t="n">
        <v>0</v>
      </c>
      <c r="I864" s="17" t="n">
        <v>0</v>
      </c>
      <c r="J864" s="17" t="n">
        <v>0</v>
      </c>
      <c r="K864" s="17" t="n">
        <v>15</v>
      </c>
      <c r="L864" s="17" t="n">
        <v>0</v>
      </c>
      <c r="M864" s="17" t="n">
        <v>0</v>
      </c>
      <c r="N864" s="17" t="n">
        <v>1</v>
      </c>
      <c r="O864" s="17" t="n">
        <v>0</v>
      </c>
      <c r="P864" s="17" t="n">
        <v>0</v>
      </c>
      <c r="Q864" s="17" t="n">
        <v>0</v>
      </c>
      <c r="R864" s="17" t="n">
        <v>0</v>
      </c>
      <c r="T864" s="17">
        <f>DAY(C864)</f>
        <v/>
      </c>
      <c r="U864" s="17">
        <f>MONTH(C864)</f>
        <v/>
      </c>
    </row>
    <row r="865" hidden="1" ht="22.5" customHeight="1" s="117">
      <c r="A865" s="14" t="n">
        <v>46013.33731204861</v>
      </c>
      <c r="B865" s="17" t="inlineStr">
        <is>
          <t>Nguyễn Hồng Minh</t>
        </is>
      </c>
      <c r="C865" s="16" t="n">
        <v>46012</v>
      </c>
      <c r="D865" s="17" t="n">
        <v>0</v>
      </c>
      <c r="E865" s="17" t="n">
        <v>0</v>
      </c>
      <c r="F865" s="17" t="n">
        <v>1</v>
      </c>
      <c r="G865" s="17" t="n">
        <v>0</v>
      </c>
      <c r="H865" s="17" t="n">
        <v>0</v>
      </c>
      <c r="I865" s="17" t="n">
        <v>3</v>
      </c>
      <c r="J865" s="17" t="n">
        <v>0</v>
      </c>
      <c r="K865" s="17" t="n">
        <v>15</v>
      </c>
      <c r="L865" s="17" t="n">
        <v>0</v>
      </c>
      <c r="M865" s="17" t="n">
        <v>1</v>
      </c>
      <c r="N865" s="17" t="n">
        <v>0</v>
      </c>
      <c r="O865" s="17" t="n">
        <v>0</v>
      </c>
      <c r="P865" s="17" t="n">
        <v>0</v>
      </c>
      <c r="Q865" s="17" t="n">
        <v>4</v>
      </c>
      <c r="R865" s="17" t="n">
        <v>0</v>
      </c>
      <c r="T865" s="17">
        <f>DAY(C865)</f>
        <v/>
      </c>
      <c r="U865" s="17">
        <f>MONTH(C865)</f>
        <v/>
      </c>
    </row>
    <row r="866" hidden="1" ht="22.5" customHeight="1" s="117">
      <c r="A866" s="14" t="n">
        <v>46013.35677067129</v>
      </c>
      <c r="B866" s="17" t="inlineStr">
        <is>
          <t>Lê Văn Hồng</t>
        </is>
      </c>
      <c r="C866" s="16" t="n">
        <v>46012</v>
      </c>
      <c r="D866" s="17" t="n">
        <v>2</v>
      </c>
      <c r="E866" s="17" t="n">
        <v>1</v>
      </c>
      <c r="F866" s="17" t="n">
        <v>0</v>
      </c>
      <c r="G866" s="17" t="n">
        <v>0</v>
      </c>
      <c r="H866" s="17" t="n">
        <v>0</v>
      </c>
      <c r="I866" s="17" t="n">
        <v>0</v>
      </c>
      <c r="J866" s="17" t="n">
        <v>0</v>
      </c>
      <c r="K866" s="17" t="n">
        <v>6</v>
      </c>
      <c r="L866" s="17" t="n">
        <v>0</v>
      </c>
      <c r="M866" s="17" t="n">
        <v>2</v>
      </c>
      <c r="N866" s="17" t="n">
        <v>0</v>
      </c>
      <c r="O866" s="17" t="n">
        <v>0</v>
      </c>
      <c r="P866" s="17" t="n">
        <v>2</v>
      </c>
      <c r="Q866" s="17" t="n">
        <v>3</v>
      </c>
      <c r="R866" s="17" t="n">
        <v>1</v>
      </c>
      <c r="T866" s="17">
        <f>DAY(C866)</f>
        <v/>
      </c>
      <c r="U866" s="17">
        <f>MONTH(C866)</f>
        <v/>
      </c>
    </row>
    <row r="867" hidden="1" ht="22.5" customHeight="1" s="117">
      <c r="A867" s="14" t="n">
        <v>46014.28202423611</v>
      </c>
      <c r="B867" s="17" t="inlineStr">
        <is>
          <t>Dương Minh Tiến</t>
        </is>
      </c>
      <c r="C867" s="16" t="n">
        <v>46013</v>
      </c>
      <c r="D867" s="17" t="n">
        <v>0</v>
      </c>
      <c r="E867" s="17" t="n">
        <v>0</v>
      </c>
      <c r="F867" s="17" t="n">
        <v>0</v>
      </c>
      <c r="G867" s="17" t="n">
        <v>0</v>
      </c>
      <c r="H867" s="17" t="n">
        <v>0</v>
      </c>
      <c r="I867" s="17" t="n">
        <v>0</v>
      </c>
      <c r="J867" s="17" t="n">
        <v>0</v>
      </c>
      <c r="K867" s="17" t="n">
        <v>13</v>
      </c>
      <c r="L867" s="17" t="n">
        <v>0</v>
      </c>
      <c r="M867" s="17" t="n">
        <v>0</v>
      </c>
      <c r="N867" s="17" t="n">
        <v>0</v>
      </c>
      <c r="O867" s="17" t="n">
        <v>0</v>
      </c>
      <c r="P867" s="17" t="n">
        <v>1</v>
      </c>
      <c r="Q867" s="17" t="n">
        <v>0</v>
      </c>
      <c r="R867" s="17" t="n">
        <v>0</v>
      </c>
      <c r="T867" s="17">
        <f>DAY(C867)</f>
        <v/>
      </c>
      <c r="U867" s="17">
        <f>MONTH(C867)</f>
        <v/>
      </c>
    </row>
    <row r="868" hidden="1" ht="22.5" customHeight="1" s="117">
      <c r="A868" s="14" t="n">
        <v>46014.28493412037</v>
      </c>
      <c r="B868" s="17" t="inlineStr">
        <is>
          <t>Nguyễn Văn Hiệp</t>
        </is>
      </c>
      <c r="C868" s="16" t="n">
        <v>46013</v>
      </c>
      <c r="D868" s="17" t="n">
        <v>0</v>
      </c>
      <c r="E868" s="17" t="n">
        <v>1</v>
      </c>
      <c r="F868" s="17" t="n">
        <v>1</v>
      </c>
      <c r="G868" s="17" t="n">
        <v>0</v>
      </c>
      <c r="H868" s="17" t="n">
        <v>0</v>
      </c>
      <c r="I868" s="17" t="n">
        <v>0</v>
      </c>
      <c r="J868" s="17" t="n">
        <v>0</v>
      </c>
      <c r="K868" s="17" t="n">
        <v>2</v>
      </c>
      <c r="L868" s="17" t="n">
        <v>0</v>
      </c>
      <c r="M868" s="17" t="n">
        <v>2</v>
      </c>
      <c r="N868" s="17" t="n">
        <v>0</v>
      </c>
      <c r="O868" s="17" t="n">
        <v>0</v>
      </c>
      <c r="P868" s="17" t="n">
        <v>0</v>
      </c>
      <c r="Q868" s="17" t="n">
        <v>1</v>
      </c>
      <c r="R868" s="17" t="n">
        <v>0</v>
      </c>
      <c r="T868" s="17">
        <f>DAY(C868)</f>
        <v/>
      </c>
      <c r="U868" s="17">
        <f>MONTH(C868)</f>
        <v/>
      </c>
    </row>
    <row r="869" hidden="1" ht="22.5" customHeight="1" s="117">
      <c r="A869" s="14" t="n">
        <v>46014.28702365741</v>
      </c>
      <c r="B869" s="17" t="inlineStr">
        <is>
          <t>Lương Duy Hoàng</t>
        </is>
      </c>
      <c r="C869" s="16" t="n">
        <v>46013</v>
      </c>
      <c r="D869" s="17" t="n">
        <v>1</v>
      </c>
      <c r="E869" s="17" t="n">
        <v>1</v>
      </c>
      <c r="F869" s="17" t="n">
        <v>0</v>
      </c>
      <c r="G869" s="17" t="n">
        <v>1</v>
      </c>
      <c r="H869" s="17" t="n">
        <v>0</v>
      </c>
      <c r="I869" s="17" t="n">
        <v>0</v>
      </c>
      <c r="J869" s="17" t="n">
        <v>0</v>
      </c>
      <c r="K869" s="17" t="n">
        <v>4</v>
      </c>
      <c r="L869" s="17" t="n">
        <v>0</v>
      </c>
      <c r="M869" s="17" t="n">
        <v>1</v>
      </c>
      <c r="N869" s="17" t="n">
        <v>0</v>
      </c>
      <c r="O869" s="17" t="n">
        <v>0</v>
      </c>
      <c r="P869" s="17" t="n">
        <v>1</v>
      </c>
      <c r="Q869" s="17" t="n">
        <v>1</v>
      </c>
      <c r="R869" s="17" t="n">
        <v>0</v>
      </c>
      <c r="T869" s="17">
        <f>DAY(C869)</f>
        <v/>
      </c>
      <c r="U869" s="17">
        <f>MONTH(C869)</f>
        <v/>
      </c>
    </row>
    <row r="870" hidden="1" ht="22.5" customHeight="1" s="117">
      <c r="A870" s="14" t="n">
        <v>46014.29111346065</v>
      </c>
      <c r="B870" s="17" t="inlineStr">
        <is>
          <t>Phan Ngọc Sang</t>
        </is>
      </c>
      <c r="C870" s="16" t="n">
        <v>46013</v>
      </c>
      <c r="D870" s="17" t="n">
        <v>0</v>
      </c>
      <c r="E870" s="17" t="n">
        <v>0</v>
      </c>
      <c r="F870" s="17" t="n">
        <v>0</v>
      </c>
      <c r="G870" s="17" t="n">
        <v>0</v>
      </c>
      <c r="H870" s="17" t="n">
        <v>0</v>
      </c>
      <c r="I870" s="17" t="n">
        <v>1</v>
      </c>
      <c r="J870" s="17" t="n">
        <v>0</v>
      </c>
      <c r="K870" s="17" t="n">
        <v>10</v>
      </c>
      <c r="L870" s="17" t="n">
        <v>0</v>
      </c>
      <c r="M870" s="17" t="n">
        <v>0</v>
      </c>
      <c r="N870" s="17" t="n">
        <v>1</v>
      </c>
      <c r="O870" s="17" t="n">
        <v>0</v>
      </c>
      <c r="P870" s="17" t="n">
        <v>1</v>
      </c>
      <c r="Q870" s="17" t="n">
        <v>2</v>
      </c>
      <c r="R870" s="17" t="n">
        <v>0</v>
      </c>
      <c r="T870" s="17">
        <f>DAY(C870)</f>
        <v/>
      </c>
      <c r="U870" s="17">
        <f>MONTH(C870)</f>
        <v/>
      </c>
    </row>
    <row r="871" hidden="1" ht="22.5" customHeight="1" s="117">
      <c r="A871" s="14" t="n">
        <v>46014.29219623843</v>
      </c>
      <c r="B871" s="17" t="inlineStr">
        <is>
          <t>Hồ Xuân Việt</t>
        </is>
      </c>
      <c r="C871" s="16" t="n">
        <v>46013</v>
      </c>
      <c r="D871" s="17" t="n">
        <v>0</v>
      </c>
      <c r="E871" s="17" t="n">
        <v>0</v>
      </c>
      <c r="F871" s="17" t="n">
        <v>0</v>
      </c>
      <c r="G871" s="17" t="n">
        <v>0</v>
      </c>
      <c r="H871" s="17" t="n">
        <v>2</v>
      </c>
      <c r="I871" s="17" t="n">
        <v>0</v>
      </c>
      <c r="J871" s="17" t="n">
        <v>0</v>
      </c>
      <c r="K871" s="17" t="n">
        <v>10</v>
      </c>
      <c r="L871" s="17" t="n">
        <v>1</v>
      </c>
      <c r="M871" s="17" t="n">
        <v>0</v>
      </c>
      <c r="N871" s="17" t="n">
        <v>0</v>
      </c>
      <c r="O871" s="17" t="n">
        <v>0</v>
      </c>
      <c r="P871" s="17" t="n">
        <v>1</v>
      </c>
      <c r="Q871" s="17" t="n">
        <v>1</v>
      </c>
      <c r="R871" s="17" t="n">
        <v>0</v>
      </c>
      <c r="T871" s="17">
        <f>DAY(C871)</f>
        <v/>
      </c>
      <c r="U871" s="17">
        <f>MONTH(C871)</f>
        <v/>
      </c>
    </row>
    <row r="872" hidden="1" ht="22.5" customHeight="1" s="117">
      <c r="A872" s="14" t="n">
        <v>46014.29436460648</v>
      </c>
      <c r="B872" s="17" t="inlineStr">
        <is>
          <t>Huỳnh Văn Lực</t>
        </is>
      </c>
      <c r="C872" s="16" t="n">
        <v>46013</v>
      </c>
      <c r="D872" s="17" t="n">
        <v>1</v>
      </c>
      <c r="E872" s="17" t="n">
        <v>1</v>
      </c>
      <c r="F872" s="17" t="n">
        <v>0</v>
      </c>
      <c r="G872" s="17" t="n">
        <v>0</v>
      </c>
      <c r="H872" s="17" t="n">
        <v>0</v>
      </c>
      <c r="I872" s="17" t="n">
        <v>1</v>
      </c>
      <c r="J872" s="17" t="n">
        <v>0</v>
      </c>
      <c r="K872" s="17" t="n">
        <v>5</v>
      </c>
      <c r="L872" s="17" t="n">
        <v>0</v>
      </c>
      <c r="M872" s="17" t="n">
        <v>1</v>
      </c>
      <c r="N872" s="17" t="n">
        <v>0</v>
      </c>
      <c r="O872" s="17" t="n">
        <v>0</v>
      </c>
      <c r="P872" s="17" t="n">
        <v>1</v>
      </c>
      <c r="Q872" s="17" t="n">
        <v>1</v>
      </c>
      <c r="R872" s="17" t="n">
        <v>0</v>
      </c>
      <c r="T872" s="17">
        <f>DAY(C872)</f>
        <v/>
      </c>
      <c r="U872" s="17">
        <f>MONTH(C872)</f>
        <v/>
      </c>
    </row>
    <row r="873" hidden="1" ht="22.5" customHeight="1" s="117">
      <c r="A873" s="14" t="n">
        <v>46014.29733570602</v>
      </c>
      <c r="B873" s="17" t="inlineStr">
        <is>
          <t>Trần Trung Giang</t>
        </is>
      </c>
      <c r="C873" s="16" t="n">
        <v>46013</v>
      </c>
      <c r="D873" s="17" t="n">
        <v>0</v>
      </c>
      <c r="E873" s="17" t="n">
        <v>0</v>
      </c>
      <c r="F873" s="17" t="n">
        <v>0</v>
      </c>
      <c r="G873" s="17" t="n">
        <v>2</v>
      </c>
      <c r="H873" s="17" t="n">
        <v>1</v>
      </c>
      <c r="I873" s="17" t="n">
        <v>0</v>
      </c>
      <c r="J873" s="17" t="n">
        <v>0</v>
      </c>
      <c r="K873" s="17" t="n">
        <v>7</v>
      </c>
      <c r="L873" s="17" t="n">
        <v>0</v>
      </c>
      <c r="M873" s="17" t="n">
        <v>0</v>
      </c>
      <c r="N873" s="17" t="n">
        <v>9</v>
      </c>
      <c r="O873" s="17" t="n">
        <v>0</v>
      </c>
      <c r="P873" s="17" t="n">
        <v>0</v>
      </c>
      <c r="Q873" s="17" t="n">
        <v>0</v>
      </c>
      <c r="R873" s="17" t="n">
        <v>0</v>
      </c>
      <c r="T873" s="17">
        <f>DAY(C873)</f>
        <v/>
      </c>
      <c r="U873" s="17">
        <f>MONTH(C873)</f>
        <v/>
      </c>
    </row>
    <row r="874" hidden="1" ht="22.5" customHeight="1" s="117">
      <c r="A874" s="14" t="n">
        <v>46014.29767714121</v>
      </c>
      <c r="B874" s="17" t="inlineStr">
        <is>
          <t>Nguyễn Tuấn Anh</t>
        </is>
      </c>
      <c r="C874" s="16" t="n">
        <v>46013</v>
      </c>
      <c r="D874" s="17" t="n">
        <v>0</v>
      </c>
      <c r="E874" s="17" t="n">
        <v>0</v>
      </c>
      <c r="F874" s="17" t="n">
        <v>0</v>
      </c>
      <c r="G874" s="17" t="n">
        <v>0</v>
      </c>
      <c r="H874" s="17" t="n">
        <v>0</v>
      </c>
      <c r="I874" s="17" t="n">
        <v>0</v>
      </c>
      <c r="J874" s="17" t="n">
        <v>0</v>
      </c>
      <c r="K874" s="17" t="n">
        <v>9</v>
      </c>
      <c r="L874" s="17" t="n">
        <v>0</v>
      </c>
      <c r="M874" s="17" t="n">
        <v>0</v>
      </c>
      <c r="N874" s="17" t="n">
        <v>0</v>
      </c>
      <c r="O874" s="17" t="n">
        <v>0</v>
      </c>
      <c r="P874" s="17" t="n">
        <v>0</v>
      </c>
      <c r="Q874" s="17" t="n">
        <v>5</v>
      </c>
      <c r="R874" s="17" t="n">
        <v>0</v>
      </c>
      <c r="T874" s="17">
        <f>DAY(C874)</f>
        <v/>
      </c>
      <c r="U874" s="17">
        <f>MONTH(C874)</f>
        <v/>
      </c>
    </row>
    <row r="875" hidden="1" ht="22.5" customHeight="1" s="117">
      <c r="A875" s="14" t="n">
        <v>46014.29835952546</v>
      </c>
      <c r="B875" s="17" t="inlineStr">
        <is>
          <t>Nguyễn Quang Anh Tuấn</t>
        </is>
      </c>
      <c r="C875" s="16" t="n">
        <v>46013</v>
      </c>
      <c r="D875" s="17" t="n">
        <v>0</v>
      </c>
      <c r="E875" s="17" t="n">
        <v>0</v>
      </c>
      <c r="F875" s="17" t="n">
        <v>0</v>
      </c>
      <c r="G875" s="17" t="n">
        <v>1</v>
      </c>
      <c r="H875" s="17" t="n">
        <v>0</v>
      </c>
      <c r="I875" s="17" t="n">
        <v>0</v>
      </c>
      <c r="J875" s="17" t="n">
        <v>0</v>
      </c>
      <c r="K875" s="17" t="n">
        <v>7</v>
      </c>
      <c r="L875" s="17" t="n">
        <v>0</v>
      </c>
      <c r="M875" s="17" t="n">
        <v>0</v>
      </c>
      <c r="N875" s="17" t="n">
        <v>1</v>
      </c>
      <c r="O875" s="17" t="n">
        <v>0</v>
      </c>
      <c r="P875" s="17" t="n">
        <v>0</v>
      </c>
      <c r="Q875" s="17" t="n">
        <v>2</v>
      </c>
      <c r="R875" s="17" t="n">
        <v>0</v>
      </c>
      <c r="T875" s="17">
        <f>DAY(C875)</f>
        <v/>
      </c>
      <c r="U875" s="17">
        <f>MONTH(C875)</f>
        <v/>
      </c>
    </row>
    <row r="876" hidden="1" ht="22.5" customHeight="1" s="117">
      <c r="A876" s="14" t="n">
        <v>46014.30000709491</v>
      </c>
      <c r="B876" s="17" t="inlineStr">
        <is>
          <t>Đào Công Trung</t>
        </is>
      </c>
      <c r="C876" s="16" t="n">
        <v>46013</v>
      </c>
      <c r="D876" s="17" t="n">
        <v>0</v>
      </c>
      <c r="E876" s="17" t="n">
        <v>0</v>
      </c>
      <c r="F876" s="17" t="n">
        <v>0</v>
      </c>
      <c r="G876" s="17" t="n">
        <v>1</v>
      </c>
      <c r="H876" s="17" t="n">
        <v>0</v>
      </c>
      <c r="I876" s="17" t="n">
        <v>0</v>
      </c>
      <c r="J876" s="17" t="n">
        <v>0</v>
      </c>
      <c r="K876" s="17" t="n">
        <v>12</v>
      </c>
      <c r="L876" s="17" t="n">
        <v>0</v>
      </c>
      <c r="M876" s="17" t="n">
        <v>0</v>
      </c>
      <c r="N876" s="17" t="n">
        <v>1</v>
      </c>
      <c r="O876" s="17" t="n">
        <v>0</v>
      </c>
      <c r="P876" s="17" t="n">
        <v>1</v>
      </c>
      <c r="Q876" s="17" t="n">
        <v>1</v>
      </c>
      <c r="R876" s="17" t="n">
        <v>0</v>
      </c>
      <c r="T876" s="17">
        <f>DAY(C876)</f>
        <v/>
      </c>
      <c r="U876" s="17">
        <f>MONTH(C876)</f>
        <v/>
      </c>
    </row>
    <row r="877" hidden="1" ht="22.5" customHeight="1" s="117">
      <c r="A877" s="14" t="n">
        <v>46014.30001944445</v>
      </c>
      <c r="B877" s="17" t="inlineStr">
        <is>
          <t>Lê Quốc Duy</t>
        </is>
      </c>
      <c r="C877" s="16" t="n">
        <v>46013</v>
      </c>
      <c r="D877" s="17" t="n">
        <v>0</v>
      </c>
      <c r="E877" s="17" t="n">
        <v>0</v>
      </c>
      <c r="F877" s="17" t="n">
        <v>0</v>
      </c>
      <c r="G877" s="17" t="n">
        <v>0</v>
      </c>
      <c r="H877" s="17" t="n">
        <v>0</v>
      </c>
      <c r="I877" s="17" t="n">
        <v>0</v>
      </c>
      <c r="J877" s="17" t="n">
        <v>1</v>
      </c>
      <c r="K877" s="17" t="n">
        <v>12</v>
      </c>
      <c r="L877" s="17" t="n">
        <v>0</v>
      </c>
      <c r="M877" s="17" t="n">
        <v>1</v>
      </c>
      <c r="N877" s="17" t="n">
        <v>0</v>
      </c>
      <c r="O877" s="17" t="n">
        <v>0</v>
      </c>
      <c r="P877" s="17" t="n">
        <v>1</v>
      </c>
      <c r="Q877" s="17" t="n">
        <v>1</v>
      </c>
      <c r="R877" s="17" t="n">
        <v>1</v>
      </c>
      <c r="T877" s="17">
        <f>DAY(C877)</f>
        <v/>
      </c>
      <c r="U877" s="17">
        <f>MONTH(C877)</f>
        <v/>
      </c>
    </row>
    <row r="878" hidden="1" ht="22.5" customHeight="1" s="117">
      <c r="A878" s="14" t="n">
        <v>46014.30009659722</v>
      </c>
      <c r="B878" s="17" t="inlineStr">
        <is>
          <t>Vòng Nhật Sang</t>
        </is>
      </c>
      <c r="C878" s="16" t="n">
        <v>46013</v>
      </c>
      <c r="D878" s="17" t="n">
        <v>0</v>
      </c>
      <c r="E878" s="17" t="n">
        <v>0</v>
      </c>
      <c r="F878" s="17" t="n">
        <v>0</v>
      </c>
      <c r="G878" s="17" t="n">
        <v>0</v>
      </c>
      <c r="H878" s="17" t="n">
        <v>0</v>
      </c>
      <c r="I878" s="17" t="n">
        <v>0</v>
      </c>
      <c r="J878" s="17" t="n">
        <v>0</v>
      </c>
      <c r="K878" s="17" t="n">
        <v>14</v>
      </c>
      <c r="L878" s="17" t="n">
        <v>0</v>
      </c>
      <c r="M878" s="17" t="n">
        <v>0</v>
      </c>
      <c r="N878" s="17" t="n">
        <v>0</v>
      </c>
      <c r="O878" s="17" t="n">
        <v>0</v>
      </c>
      <c r="P878" s="17" t="n">
        <v>2</v>
      </c>
      <c r="Q878" s="17" t="n">
        <v>2</v>
      </c>
      <c r="R878" s="17" t="n">
        <v>0</v>
      </c>
      <c r="T878" s="17">
        <f>DAY(C878)</f>
        <v/>
      </c>
      <c r="U878" s="17">
        <f>MONTH(C878)</f>
        <v/>
      </c>
    </row>
    <row r="879" hidden="1" ht="22.5" customHeight="1" s="117">
      <c r="A879" s="14" t="n">
        <v>46014.30032119213</v>
      </c>
      <c r="B879" s="17" t="inlineStr">
        <is>
          <t>Hoàng Văn Chất</t>
        </is>
      </c>
      <c r="C879" s="16" t="n">
        <v>46013</v>
      </c>
      <c r="D879" s="17" t="n">
        <v>0</v>
      </c>
      <c r="E879" s="17" t="n">
        <v>0</v>
      </c>
      <c r="F879" s="17" t="n">
        <v>0</v>
      </c>
      <c r="G879" s="17" t="n">
        <v>1</v>
      </c>
      <c r="H879" s="17" t="n">
        <v>1</v>
      </c>
      <c r="I879" s="17" t="n">
        <v>0</v>
      </c>
      <c r="J879" s="17" t="n">
        <v>0</v>
      </c>
      <c r="K879" s="17" t="n">
        <v>20</v>
      </c>
      <c r="L879" s="17" t="n">
        <v>0</v>
      </c>
      <c r="M879" s="17" t="n">
        <v>1</v>
      </c>
      <c r="N879" s="17" t="n">
        <v>1</v>
      </c>
      <c r="O879" s="17" t="n">
        <v>0</v>
      </c>
      <c r="P879" s="17" t="n">
        <v>1</v>
      </c>
      <c r="Q879" s="17" t="n">
        <v>2</v>
      </c>
      <c r="R879" s="17" t="n">
        <v>0</v>
      </c>
      <c r="T879" s="17">
        <f>DAY(C879)</f>
        <v/>
      </c>
      <c r="U879" s="17">
        <f>MONTH(C879)</f>
        <v/>
      </c>
    </row>
    <row r="880" hidden="1" ht="22.5" customHeight="1" s="117">
      <c r="A880" s="14" t="n">
        <v>46014.30046863426</v>
      </c>
      <c r="B880" s="17" t="inlineStr">
        <is>
          <t>Trần Xuân Khoa</t>
        </is>
      </c>
      <c r="C880" s="16" t="n">
        <v>46013</v>
      </c>
      <c r="D880" s="17" t="n">
        <v>1</v>
      </c>
      <c r="E880" s="17" t="n">
        <v>1</v>
      </c>
      <c r="F880" s="17" t="n">
        <v>0</v>
      </c>
      <c r="G880" s="17" t="n">
        <v>0</v>
      </c>
      <c r="H880" s="17" t="n">
        <v>0</v>
      </c>
      <c r="I880" s="17" t="n">
        <v>0</v>
      </c>
      <c r="J880" s="17" t="n">
        <v>0</v>
      </c>
      <c r="K880" s="17" t="n">
        <v>7</v>
      </c>
      <c r="L880" s="17" t="n">
        <v>0</v>
      </c>
      <c r="M880" s="17" t="n">
        <v>0</v>
      </c>
      <c r="N880" s="17" t="n">
        <v>0</v>
      </c>
      <c r="O880" s="17" t="n">
        <v>0</v>
      </c>
      <c r="P880" s="17" t="n">
        <v>2</v>
      </c>
      <c r="Q880" s="17" t="n">
        <v>3</v>
      </c>
      <c r="R880" s="17" t="n">
        <v>0</v>
      </c>
      <c r="T880" s="17">
        <f>DAY(C880)</f>
        <v/>
      </c>
      <c r="U880" s="17">
        <f>MONTH(C880)</f>
        <v/>
      </c>
    </row>
    <row r="881" hidden="1" ht="22.5" customHeight="1" s="117">
      <c r="A881" s="14" t="n">
        <v>46014.30072752315</v>
      </c>
      <c r="B881" s="17" t="inlineStr">
        <is>
          <t>Đặng Hữu Danh</t>
        </is>
      </c>
      <c r="C881" s="16" t="n">
        <v>46013</v>
      </c>
      <c r="D881" s="17" t="n">
        <v>0</v>
      </c>
      <c r="E881" s="17" t="n">
        <v>0</v>
      </c>
      <c r="F881" s="17" t="n">
        <v>0</v>
      </c>
      <c r="G881" s="17" t="n">
        <v>0</v>
      </c>
      <c r="H881" s="17" t="n">
        <v>0</v>
      </c>
      <c r="I881" s="17" t="n">
        <v>1</v>
      </c>
      <c r="J881" s="17" t="n">
        <v>2</v>
      </c>
      <c r="K881" s="17" t="n">
        <v>11</v>
      </c>
      <c r="L881" s="17" t="n">
        <v>0</v>
      </c>
      <c r="M881" s="17" t="n">
        <v>0</v>
      </c>
      <c r="N881" s="17" t="n">
        <v>0</v>
      </c>
      <c r="O881" s="17" t="n">
        <v>0</v>
      </c>
      <c r="P881" s="17" t="n">
        <v>1</v>
      </c>
      <c r="Q881" s="17" t="n">
        <v>2</v>
      </c>
      <c r="R881" s="17" t="n">
        <v>2</v>
      </c>
      <c r="T881" s="17">
        <f>DAY(C881)</f>
        <v/>
      </c>
      <c r="U881" s="17">
        <f>MONTH(C881)</f>
        <v/>
      </c>
    </row>
    <row r="882" hidden="1" ht="22.5" customHeight="1" s="117">
      <c r="A882" s="14" t="n">
        <v>46014.30119907407</v>
      </c>
      <c r="B882" s="17" t="inlineStr">
        <is>
          <t>Trần Minh Khánh</t>
        </is>
      </c>
      <c r="C882" s="16" t="n">
        <v>46013</v>
      </c>
      <c r="D882" s="17" t="n">
        <v>0</v>
      </c>
      <c r="E882" s="17" t="n">
        <v>0</v>
      </c>
      <c r="F882" s="17" t="n">
        <v>0</v>
      </c>
      <c r="G882" s="17" t="n">
        <v>0</v>
      </c>
      <c r="H882" s="17" t="n">
        <v>1</v>
      </c>
      <c r="I882" s="17" t="n">
        <v>0</v>
      </c>
      <c r="J882" s="17" t="n">
        <v>0</v>
      </c>
      <c r="K882" s="17" t="n">
        <v>15</v>
      </c>
      <c r="L882" s="17" t="n">
        <v>0</v>
      </c>
      <c r="M882" s="17" t="n">
        <v>0</v>
      </c>
      <c r="N882" s="17" t="n">
        <v>1</v>
      </c>
      <c r="O882" s="17" t="n">
        <v>0</v>
      </c>
      <c r="P882" s="17" t="n">
        <v>1</v>
      </c>
      <c r="Q882" s="17" t="n">
        <v>2</v>
      </c>
      <c r="R882" s="17" t="n">
        <v>0</v>
      </c>
      <c r="T882" s="17">
        <f>DAY(C882)</f>
        <v/>
      </c>
      <c r="U882" s="17">
        <f>MONTH(C882)</f>
        <v/>
      </c>
    </row>
    <row r="883" hidden="1" ht="22.5" customHeight="1" s="117">
      <c r="A883" s="14" t="n">
        <v>46014.30148296296</v>
      </c>
      <c r="B883" s="17" t="inlineStr">
        <is>
          <t>Phan Thành Thái</t>
        </is>
      </c>
      <c r="C883" s="16" t="n">
        <v>46013</v>
      </c>
      <c r="D883" s="17" t="n">
        <v>0</v>
      </c>
      <c r="E883" s="17" t="n">
        <v>1</v>
      </c>
      <c r="F883" s="17" t="n">
        <v>0</v>
      </c>
      <c r="G883" s="17" t="n">
        <v>0</v>
      </c>
      <c r="H883" s="17" t="n">
        <v>0</v>
      </c>
      <c r="I883" s="17" t="n">
        <v>0</v>
      </c>
      <c r="J883" s="17" t="n">
        <v>0</v>
      </c>
      <c r="K883" s="17" t="n">
        <v>6</v>
      </c>
      <c r="L883" s="17" t="n">
        <v>0</v>
      </c>
      <c r="M883" s="17" t="n">
        <v>1</v>
      </c>
      <c r="N883" s="17" t="n">
        <v>1</v>
      </c>
      <c r="O883" s="17" t="n">
        <v>1</v>
      </c>
      <c r="P883" s="17" t="n">
        <v>1</v>
      </c>
      <c r="Q883" s="17" t="n">
        <v>6</v>
      </c>
      <c r="R883" s="17" t="n">
        <v>0</v>
      </c>
      <c r="T883" s="17">
        <f>DAY(C883)</f>
        <v/>
      </c>
      <c r="U883" s="17">
        <f>MONTH(C883)</f>
        <v/>
      </c>
    </row>
    <row r="884" hidden="1" ht="22.5" customHeight="1" s="117">
      <c r="A884" s="14" t="n">
        <v>46014.30177946759</v>
      </c>
      <c r="B884" s="17" t="inlineStr">
        <is>
          <t>Nguyễn Thành Lâm</t>
        </is>
      </c>
      <c r="C884" s="16" t="n">
        <v>46013</v>
      </c>
      <c r="D884" s="17" t="n">
        <v>0</v>
      </c>
      <c r="E884" s="17" t="n">
        <v>0</v>
      </c>
      <c r="F884" s="17" t="n">
        <v>0</v>
      </c>
      <c r="G884" s="17" t="n">
        <v>0</v>
      </c>
      <c r="H884" s="17" t="n">
        <v>0</v>
      </c>
      <c r="I884" s="17" t="n">
        <v>0</v>
      </c>
      <c r="J884" s="17" t="n">
        <v>0</v>
      </c>
      <c r="K884" s="17" t="n">
        <v>8</v>
      </c>
      <c r="L884" s="17" t="n">
        <v>0</v>
      </c>
      <c r="M884" s="17" t="n">
        <v>1</v>
      </c>
      <c r="N884" s="17" t="n">
        <v>0</v>
      </c>
      <c r="O884" s="17" t="n">
        <v>0</v>
      </c>
      <c r="P884" s="17" t="n">
        <v>0</v>
      </c>
      <c r="Q884" s="17" t="n">
        <v>2</v>
      </c>
      <c r="R884" s="17" t="n">
        <v>0</v>
      </c>
      <c r="T884" s="17">
        <f>DAY(C884)</f>
        <v/>
      </c>
      <c r="U884" s="17">
        <f>MONTH(C884)</f>
        <v/>
      </c>
    </row>
    <row r="885" hidden="1" ht="22.5" customHeight="1" s="117">
      <c r="A885" s="14" t="n">
        <v>46014.30460445602</v>
      </c>
      <c r="B885" s="17" t="inlineStr">
        <is>
          <t>Hồ Thái Minh Trí</t>
        </is>
      </c>
      <c r="C885" s="16" t="n">
        <v>46013</v>
      </c>
      <c r="D885" s="17" t="n">
        <v>0</v>
      </c>
      <c r="E885" s="17" t="n">
        <v>0</v>
      </c>
      <c r="F885" s="17" t="n">
        <v>0</v>
      </c>
      <c r="G885" s="17" t="n">
        <v>0</v>
      </c>
      <c r="H885" s="17" t="n">
        <v>0</v>
      </c>
      <c r="I885" s="17" t="n">
        <v>0</v>
      </c>
      <c r="J885" s="17" t="n">
        <v>0</v>
      </c>
      <c r="K885" s="17" t="n">
        <v>0</v>
      </c>
      <c r="L885" s="17" t="n">
        <v>0</v>
      </c>
      <c r="M885" s="17" t="n">
        <v>0</v>
      </c>
      <c r="N885" s="17" t="n">
        <v>0</v>
      </c>
      <c r="O885" s="17" t="n">
        <v>0</v>
      </c>
      <c r="P885" s="17" t="n">
        <v>0</v>
      </c>
      <c r="Q885" s="17" t="n">
        <v>0</v>
      </c>
      <c r="R885" s="17" t="n">
        <v>0</v>
      </c>
      <c r="T885" s="17">
        <f>DAY(C885)</f>
        <v/>
      </c>
      <c r="U885" s="17">
        <f>MONTH(C885)</f>
        <v/>
      </c>
    </row>
    <row r="886" hidden="1" ht="22.5" customHeight="1" s="117">
      <c r="A886" s="14" t="n">
        <v>46014.30986039352</v>
      </c>
      <c r="B886" s="17" t="inlineStr">
        <is>
          <t>Lê Văn Hồng</t>
        </is>
      </c>
      <c r="C886" s="16" t="inlineStr">
        <is>
          <t>12/22/0025</t>
        </is>
      </c>
      <c r="D886" s="17" t="n">
        <v>0</v>
      </c>
      <c r="E886" s="17" t="n">
        <v>0</v>
      </c>
      <c r="F886" s="17" t="n">
        <v>0</v>
      </c>
      <c r="G886" s="17" t="n">
        <v>0</v>
      </c>
      <c r="H886" s="17" t="n">
        <v>0</v>
      </c>
      <c r="I886" s="17" t="n">
        <v>0</v>
      </c>
      <c r="J886" s="17" t="n">
        <v>0</v>
      </c>
      <c r="K886" s="17" t="n">
        <v>4</v>
      </c>
      <c r="L886" s="17" t="n">
        <v>0</v>
      </c>
      <c r="M886" s="17" t="n">
        <v>2</v>
      </c>
      <c r="N886" s="17" t="n">
        <v>0</v>
      </c>
      <c r="O886" s="17" t="n">
        <v>0</v>
      </c>
      <c r="P886" s="17" t="n">
        <v>2</v>
      </c>
      <c r="Q886" s="17" t="n">
        <v>3</v>
      </c>
      <c r="R886" s="17" t="n">
        <v>0</v>
      </c>
      <c r="T886" s="17">
        <f>DAY(C886)</f>
        <v/>
      </c>
      <c r="U886" s="17">
        <f>MONTH(C886)</f>
        <v/>
      </c>
    </row>
    <row r="887" hidden="1" ht="22.5" customHeight="1" s="117">
      <c r="A887" s="14" t="n">
        <v>46014.30989032408</v>
      </c>
      <c r="B887" s="17" t="inlineStr">
        <is>
          <t>Lê Hồng Phong</t>
        </is>
      </c>
      <c r="C887" s="16" t="n">
        <v>46015</v>
      </c>
      <c r="D887" s="17" t="n">
        <v>1</v>
      </c>
      <c r="E887" s="17" t="n">
        <v>1</v>
      </c>
      <c r="F887" s="17" t="n">
        <v>1</v>
      </c>
      <c r="G887" s="17" t="n">
        <v>0</v>
      </c>
      <c r="H887" s="17" t="n">
        <v>0</v>
      </c>
      <c r="I887" s="17" t="n">
        <v>1</v>
      </c>
      <c r="J887" s="17" t="n">
        <v>1</v>
      </c>
      <c r="K887" s="17" t="n">
        <v>1</v>
      </c>
      <c r="L887" s="17" t="n">
        <v>1</v>
      </c>
      <c r="M887" s="17" t="n">
        <v>1</v>
      </c>
      <c r="N887" s="17" t="n">
        <v>1</v>
      </c>
      <c r="O887" s="17" t="n">
        <v>1</v>
      </c>
      <c r="P887" s="17" t="n">
        <v>1</v>
      </c>
      <c r="Q887" s="17" t="n">
        <v>1</v>
      </c>
      <c r="R887" s="17" t="n">
        <v>1</v>
      </c>
      <c r="T887" s="17">
        <f>DAY(C887)</f>
        <v/>
      </c>
      <c r="U887" s="17">
        <f>MONTH(C887)</f>
        <v/>
      </c>
    </row>
    <row r="888" hidden="1" ht="22.5" customHeight="1" s="117">
      <c r="A888" s="14" t="n">
        <v>46014.31670504629</v>
      </c>
      <c r="B888" s="17" t="inlineStr">
        <is>
          <t>Bùi Duy Cường</t>
        </is>
      </c>
      <c r="C888" s="16" t="n">
        <v>46013</v>
      </c>
      <c r="D888" s="17" t="n">
        <v>0</v>
      </c>
      <c r="E888" s="17" t="n">
        <v>0</v>
      </c>
      <c r="F888" s="17" t="n">
        <v>0</v>
      </c>
      <c r="G888" s="17" t="n">
        <v>1</v>
      </c>
      <c r="H888" s="17" t="n">
        <v>1</v>
      </c>
      <c r="I888" s="17" t="n">
        <v>0</v>
      </c>
      <c r="J888" s="17" t="n">
        <v>0</v>
      </c>
      <c r="K888" s="17" t="n">
        <v>8</v>
      </c>
      <c r="L888" s="17" t="n">
        <v>0</v>
      </c>
      <c r="M888" s="17" t="n">
        <v>1</v>
      </c>
      <c r="N888" s="17" t="n">
        <v>1</v>
      </c>
      <c r="O888" s="17" t="n">
        <v>1</v>
      </c>
      <c r="P888" s="17" t="n">
        <v>0</v>
      </c>
      <c r="Q888" s="17" t="n">
        <v>3</v>
      </c>
      <c r="R888" s="17" t="n">
        <v>1</v>
      </c>
      <c r="T888" s="17">
        <f>DAY(C888)</f>
        <v/>
      </c>
      <c r="U888" s="17">
        <f>MONTH(C888)</f>
        <v/>
      </c>
    </row>
    <row r="889" hidden="1" ht="22.5" customHeight="1" s="117">
      <c r="A889" s="14" t="n">
        <v>46014.3167099537</v>
      </c>
      <c r="B889" s="17" t="inlineStr">
        <is>
          <t>Đặng Hoài Anh</t>
        </is>
      </c>
      <c r="C889" s="16" t="n">
        <v>46013</v>
      </c>
      <c r="D889" s="17" t="n">
        <v>1</v>
      </c>
      <c r="E889" s="17" t="n">
        <v>1</v>
      </c>
      <c r="F889" s="17" t="n">
        <v>0</v>
      </c>
      <c r="G889" s="17" t="n">
        <v>0</v>
      </c>
      <c r="H889" s="17" t="n">
        <v>0</v>
      </c>
      <c r="I889" s="17" t="n">
        <v>0</v>
      </c>
      <c r="J889" s="17" t="n">
        <v>0</v>
      </c>
      <c r="K889" s="17" t="n">
        <v>6</v>
      </c>
      <c r="L889" s="17" t="n">
        <v>0</v>
      </c>
      <c r="M889" s="17" t="n">
        <v>1</v>
      </c>
      <c r="N889" s="17" t="n">
        <v>0</v>
      </c>
      <c r="O889" s="17" t="n">
        <v>0</v>
      </c>
      <c r="P889" s="17" t="n">
        <v>1</v>
      </c>
      <c r="Q889" s="17" t="n">
        <v>2</v>
      </c>
      <c r="R889" s="17" t="n">
        <v>0</v>
      </c>
      <c r="T889" s="17">
        <f>DAY(C889)</f>
        <v/>
      </c>
      <c r="U889" s="17">
        <f>MONTH(C889)</f>
        <v/>
      </c>
    </row>
    <row r="890" hidden="1" ht="22.5" customHeight="1" s="117">
      <c r="A890" s="14" t="n">
        <v>46014.31693313657</v>
      </c>
      <c r="B890" s="17" t="inlineStr">
        <is>
          <t>Nguyễn Văn Nhật</t>
        </is>
      </c>
      <c r="C890" s="16" t="n">
        <v>46013</v>
      </c>
      <c r="D890" s="17" t="n">
        <v>0</v>
      </c>
      <c r="E890" s="17" t="n">
        <v>0</v>
      </c>
      <c r="F890" s="17" t="n">
        <v>0</v>
      </c>
      <c r="G890" s="17" t="n">
        <v>1</v>
      </c>
      <c r="H890" s="17" t="n">
        <v>1</v>
      </c>
      <c r="I890" s="17" t="n">
        <v>0</v>
      </c>
      <c r="J890" s="17" t="n">
        <v>1</v>
      </c>
      <c r="K890" s="17" t="n">
        <v>8</v>
      </c>
      <c r="L890" s="17" t="n">
        <v>0</v>
      </c>
      <c r="M890" s="17" t="n">
        <v>1</v>
      </c>
      <c r="N890" s="17" t="n">
        <v>0</v>
      </c>
      <c r="O890" s="17" t="n">
        <v>0</v>
      </c>
      <c r="P890" s="17" t="n">
        <v>2</v>
      </c>
      <c r="Q890" s="17" t="n">
        <v>1</v>
      </c>
      <c r="R890" s="17" t="n">
        <v>0</v>
      </c>
      <c r="T890" s="17">
        <f>DAY(C890)</f>
        <v/>
      </c>
      <c r="U890" s="17">
        <f>MONTH(C890)</f>
        <v/>
      </c>
    </row>
    <row r="891" hidden="1" ht="22.5" customHeight="1" s="117">
      <c r="A891" s="14" t="n">
        <v>46014.31707611111</v>
      </c>
      <c r="B891" s="17" t="inlineStr">
        <is>
          <t>Nguyễn Hồng Minh</t>
        </is>
      </c>
      <c r="C891" s="16" t="n">
        <v>46013</v>
      </c>
      <c r="D891" s="17" t="n">
        <v>0</v>
      </c>
      <c r="E891" s="17" t="n">
        <v>0</v>
      </c>
      <c r="F891" s="17" t="n">
        <v>1</v>
      </c>
      <c r="G891" s="17" t="n">
        <v>0</v>
      </c>
      <c r="H891" s="17" t="n">
        <v>0</v>
      </c>
      <c r="I891" s="17" t="n">
        <v>2</v>
      </c>
      <c r="J891" s="17" t="n">
        <v>0</v>
      </c>
      <c r="K891" s="17" t="n">
        <v>15</v>
      </c>
      <c r="L891" s="17" t="n">
        <v>0</v>
      </c>
      <c r="M891" s="17" t="n">
        <v>0</v>
      </c>
      <c r="N891" s="17" t="n">
        <v>2</v>
      </c>
      <c r="O891" s="17" t="n">
        <v>1</v>
      </c>
      <c r="P891" s="17" t="n">
        <v>0</v>
      </c>
      <c r="Q891" s="17" t="n">
        <v>5</v>
      </c>
      <c r="R891" s="17" t="n">
        <v>0</v>
      </c>
      <c r="T891" s="17">
        <f>DAY(C891)</f>
        <v/>
      </c>
      <c r="U891" s="17">
        <f>MONTH(C891)</f>
        <v/>
      </c>
    </row>
    <row r="892" hidden="1" ht="22.5" customHeight="1" s="117">
      <c r="A892" s="14" t="n">
        <v>46015.17972591435</v>
      </c>
      <c r="B892" s="17" t="inlineStr">
        <is>
          <t>Hồ Thái Minh Trí</t>
        </is>
      </c>
      <c r="C892" s="16" t="n">
        <v>46014</v>
      </c>
      <c r="D892" s="17" t="n">
        <v>0</v>
      </c>
      <c r="E892" s="17" t="n">
        <v>0</v>
      </c>
      <c r="F892" s="17" t="n">
        <v>0</v>
      </c>
      <c r="G892" s="17" t="n">
        <v>0</v>
      </c>
      <c r="H892" s="17" t="n">
        <v>0</v>
      </c>
      <c r="I892" s="17" t="n">
        <v>0</v>
      </c>
      <c r="J892" s="17" t="n">
        <v>0</v>
      </c>
      <c r="K892" s="17" t="n">
        <v>13</v>
      </c>
      <c r="L892" s="17" t="n">
        <v>0</v>
      </c>
      <c r="M892" s="17" t="n">
        <v>0</v>
      </c>
      <c r="N892" s="17" t="n">
        <v>0</v>
      </c>
      <c r="O892" s="17" t="n">
        <v>0</v>
      </c>
      <c r="P892" s="17" t="n">
        <v>0</v>
      </c>
      <c r="Q892" s="17" t="n">
        <v>0</v>
      </c>
      <c r="R892" s="17" t="n">
        <v>0</v>
      </c>
      <c r="T892" s="17">
        <f>DAY(C892)</f>
        <v/>
      </c>
      <c r="U892" s="17">
        <f>MONTH(C892)</f>
        <v/>
      </c>
    </row>
    <row r="893" hidden="1" ht="22.5" customHeight="1" s="117">
      <c r="A893" s="14" t="n">
        <v>46015.28113715278</v>
      </c>
      <c r="B893" s="17" t="inlineStr">
        <is>
          <t>Phan Thành Thái</t>
        </is>
      </c>
      <c r="C893" s="16" t="n">
        <v>46014</v>
      </c>
      <c r="D893" s="17" t="n">
        <v>0</v>
      </c>
      <c r="E893" s="17" t="n">
        <v>0</v>
      </c>
      <c r="F893" s="17" t="n">
        <v>0</v>
      </c>
      <c r="G893" s="17" t="n">
        <v>1</v>
      </c>
      <c r="H893" s="17" t="n">
        <v>0</v>
      </c>
      <c r="I893" s="17" t="n">
        <v>0</v>
      </c>
      <c r="J893" s="17" t="n">
        <v>0</v>
      </c>
      <c r="K893" s="17" t="n">
        <v>26</v>
      </c>
      <c r="L893" s="17" t="n">
        <v>0</v>
      </c>
      <c r="M893" s="17" t="n">
        <v>0</v>
      </c>
      <c r="N893" s="17" t="n">
        <v>0</v>
      </c>
      <c r="O893" s="17" t="n">
        <v>0</v>
      </c>
      <c r="P893" s="17" t="n">
        <v>2</v>
      </c>
      <c r="Q893" s="17" t="n">
        <v>5</v>
      </c>
      <c r="R893" s="17" t="n">
        <v>0</v>
      </c>
      <c r="T893" s="17">
        <f>DAY(C893)</f>
        <v/>
      </c>
      <c r="U893" s="17">
        <f>MONTH(C893)</f>
        <v/>
      </c>
    </row>
    <row r="894" hidden="1" ht="22.5" customHeight="1" s="117">
      <c r="A894" s="14" t="n">
        <v>46015.28233924769</v>
      </c>
      <c r="B894" s="17" t="inlineStr">
        <is>
          <t>Lê Hồng Phong</t>
        </is>
      </c>
      <c r="C894" s="16" t="n">
        <v>46015</v>
      </c>
      <c r="D894" s="17" t="n">
        <v>1</v>
      </c>
      <c r="E894" s="17" t="n">
        <v>1</v>
      </c>
      <c r="F894" s="17" t="n">
        <v>1</v>
      </c>
      <c r="G894" s="17" t="n">
        <v>0</v>
      </c>
      <c r="H894" s="17" t="n">
        <v>0</v>
      </c>
      <c r="I894" s="17" t="n">
        <v>1</v>
      </c>
      <c r="J894" s="17" t="n">
        <v>1</v>
      </c>
      <c r="K894" s="17" t="n">
        <v>1</v>
      </c>
      <c r="L894" s="17" t="n">
        <v>1</v>
      </c>
      <c r="M894" s="17" t="n">
        <v>1</v>
      </c>
      <c r="N894" s="17" t="n">
        <v>0</v>
      </c>
      <c r="O894" s="17" t="n">
        <v>0</v>
      </c>
      <c r="P894" s="17" t="n">
        <v>0</v>
      </c>
      <c r="Q894" s="17" t="n">
        <v>1</v>
      </c>
      <c r="R894" s="17" t="n">
        <v>1</v>
      </c>
      <c r="T894" s="17">
        <f>DAY(C894)</f>
        <v/>
      </c>
      <c r="U894" s="17">
        <f>MONTH(C894)</f>
        <v/>
      </c>
    </row>
    <row r="895" hidden="1" ht="22.5" customHeight="1" s="117">
      <c r="A895" s="14" t="n">
        <v>46015.28320625</v>
      </c>
      <c r="B895" s="17" t="inlineStr">
        <is>
          <t>Hồ Xuân Việt</t>
        </is>
      </c>
      <c r="C895" s="16" t="n">
        <v>46014</v>
      </c>
      <c r="D895" s="17" t="n">
        <v>0</v>
      </c>
      <c r="E895" s="17" t="n">
        <v>0</v>
      </c>
      <c r="F895" s="17" t="n">
        <v>0</v>
      </c>
      <c r="G895" s="17" t="n">
        <v>0</v>
      </c>
      <c r="H895" s="17" t="n">
        <v>0</v>
      </c>
      <c r="I895" s="17" t="n">
        <v>1</v>
      </c>
      <c r="J895" s="17" t="n">
        <v>0</v>
      </c>
      <c r="K895" s="17" t="n">
        <v>6</v>
      </c>
      <c r="L895" s="17" t="n">
        <v>0</v>
      </c>
      <c r="M895" s="17" t="n">
        <v>0</v>
      </c>
      <c r="N895" s="17" t="n">
        <v>0</v>
      </c>
      <c r="O895" s="17" t="n">
        <v>0</v>
      </c>
      <c r="P895" s="17" t="n">
        <v>0</v>
      </c>
      <c r="Q895" s="17" t="n">
        <v>1</v>
      </c>
      <c r="R895" s="17" t="n">
        <v>0</v>
      </c>
      <c r="T895" s="17">
        <f>DAY(C895)</f>
        <v/>
      </c>
      <c r="U895" s="17">
        <f>MONTH(C895)</f>
        <v/>
      </c>
    </row>
    <row r="896" hidden="1" ht="22.5" customHeight="1" s="117">
      <c r="A896" s="14" t="n">
        <v>46015.28816143519</v>
      </c>
      <c r="B896" s="17" t="inlineStr">
        <is>
          <t>Phan Ngọc Sang</t>
        </is>
      </c>
      <c r="C896" s="16" t="n">
        <v>46014</v>
      </c>
      <c r="D896" s="17" t="n">
        <v>0</v>
      </c>
      <c r="E896" s="17" t="n">
        <v>0</v>
      </c>
      <c r="F896" s="17" t="n">
        <v>0</v>
      </c>
      <c r="G896" s="17" t="n">
        <v>0</v>
      </c>
      <c r="H896" s="17" t="n">
        <v>0</v>
      </c>
      <c r="I896" s="17" t="n">
        <v>1</v>
      </c>
      <c r="J896" s="17" t="n">
        <v>1</v>
      </c>
      <c r="K896" s="17" t="n">
        <v>9</v>
      </c>
      <c r="L896" s="17" t="n">
        <v>0</v>
      </c>
      <c r="M896" s="17" t="n">
        <v>1</v>
      </c>
      <c r="N896" s="17" t="n">
        <v>0</v>
      </c>
      <c r="O896" s="17" t="n">
        <v>0</v>
      </c>
      <c r="P896" s="17" t="n">
        <v>0</v>
      </c>
      <c r="Q896" s="17" t="n">
        <v>2</v>
      </c>
      <c r="R896" s="17" t="n">
        <v>0</v>
      </c>
      <c r="T896" s="17">
        <f>DAY(C896)</f>
        <v/>
      </c>
      <c r="U896" s="17">
        <f>MONTH(C896)</f>
        <v/>
      </c>
    </row>
    <row r="897" hidden="1" ht="22.5" customHeight="1" s="117">
      <c r="A897" s="14" t="n">
        <v>46015.28945100695</v>
      </c>
      <c r="B897" s="17" t="inlineStr">
        <is>
          <t>Đào Công Trung</t>
        </is>
      </c>
      <c r="C897" s="16" t="n">
        <v>46014</v>
      </c>
      <c r="D897" s="17" t="n">
        <v>0</v>
      </c>
      <c r="E897" s="17" t="n">
        <v>0</v>
      </c>
      <c r="F897" s="17" t="n">
        <v>0</v>
      </c>
      <c r="G897" s="17" t="n">
        <v>0</v>
      </c>
      <c r="H897" s="17" t="n">
        <v>0</v>
      </c>
      <c r="I897" s="17" t="n">
        <v>0</v>
      </c>
      <c r="J897" s="17" t="n">
        <v>0</v>
      </c>
      <c r="K897" s="17" t="n">
        <v>12</v>
      </c>
      <c r="L897" s="17" t="n">
        <v>0</v>
      </c>
      <c r="M897" s="17" t="n">
        <v>0</v>
      </c>
      <c r="N897" s="17" t="n">
        <v>3</v>
      </c>
      <c r="O897" s="17" t="n">
        <v>0</v>
      </c>
      <c r="P897" s="17" t="n">
        <v>0</v>
      </c>
      <c r="Q897" s="17" t="n">
        <v>1</v>
      </c>
      <c r="R897" s="17" t="n">
        <v>0</v>
      </c>
      <c r="T897" s="17">
        <f>DAY(C897)</f>
        <v/>
      </c>
      <c r="U897" s="17">
        <f>MONTH(C897)</f>
        <v/>
      </c>
    </row>
    <row r="898" hidden="1" ht="22.5" customHeight="1" s="117">
      <c r="A898" s="14" t="n">
        <v>46015.29073199074</v>
      </c>
      <c r="B898" s="17" t="inlineStr">
        <is>
          <t>Nguyễn Quang Anh Tuấn</t>
        </is>
      </c>
      <c r="C898" s="16" t="n">
        <v>46014</v>
      </c>
      <c r="D898" s="17" t="n">
        <v>0</v>
      </c>
      <c r="E898" s="17" t="n">
        <v>0</v>
      </c>
      <c r="F898" s="17" t="n">
        <v>0</v>
      </c>
      <c r="G898" s="17" t="n">
        <v>0</v>
      </c>
      <c r="H898" s="17" t="n">
        <v>0</v>
      </c>
      <c r="I898" s="17" t="n">
        <v>0</v>
      </c>
      <c r="J898" s="17" t="n">
        <v>0</v>
      </c>
      <c r="K898" s="17" t="n">
        <v>3</v>
      </c>
      <c r="L898" s="17" t="n">
        <v>0</v>
      </c>
      <c r="M898" s="17" t="n">
        <v>0</v>
      </c>
      <c r="N898" s="17" t="n">
        <v>1</v>
      </c>
      <c r="O898" s="17" t="n">
        <v>0</v>
      </c>
      <c r="P898" s="17" t="n">
        <v>0</v>
      </c>
      <c r="Q898" s="17" t="n">
        <v>2</v>
      </c>
      <c r="R898" s="17" t="n">
        <v>0</v>
      </c>
      <c r="T898" s="17">
        <f>DAY(C898)</f>
        <v/>
      </c>
      <c r="U898" s="17">
        <f>MONTH(C898)</f>
        <v/>
      </c>
    </row>
    <row r="899" hidden="1" ht="22.5" customHeight="1" s="117">
      <c r="A899" s="14" t="n">
        <v>46015.29089549769</v>
      </c>
      <c r="B899" s="17" t="inlineStr">
        <is>
          <t>Dương Minh Tiến</t>
        </is>
      </c>
      <c r="C899" s="16" t="n">
        <v>46014</v>
      </c>
      <c r="D899" s="17" t="n">
        <v>0</v>
      </c>
      <c r="E899" s="17" t="n">
        <v>0</v>
      </c>
      <c r="F899" s="17" t="n">
        <v>0</v>
      </c>
      <c r="G899" s="17" t="n">
        <v>0</v>
      </c>
      <c r="H899" s="17" t="n">
        <v>0</v>
      </c>
      <c r="I899" s="17" t="n">
        <v>0</v>
      </c>
      <c r="J899" s="17" t="n">
        <v>0</v>
      </c>
      <c r="K899" s="17" t="n">
        <v>23</v>
      </c>
      <c r="L899" s="17" t="n">
        <v>0</v>
      </c>
      <c r="M899" s="17" t="n">
        <v>0</v>
      </c>
      <c r="N899" s="17" t="n">
        <v>0</v>
      </c>
      <c r="O899" s="17" t="n">
        <v>0</v>
      </c>
      <c r="P899" s="17" t="n">
        <v>1</v>
      </c>
      <c r="Q899" s="17" t="n">
        <v>0</v>
      </c>
      <c r="R899" s="17" t="n">
        <v>0</v>
      </c>
      <c r="T899" s="17">
        <f>DAY(C899)</f>
        <v/>
      </c>
      <c r="U899" s="17">
        <f>MONTH(C899)</f>
        <v/>
      </c>
    </row>
    <row r="900" hidden="1" ht="22.5" customHeight="1" s="117">
      <c r="A900" s="14" t="n">
        <v>46015.29108385416</v>
      </c>
      <c r="B900" s="17" t="inlineStr">
        <is>
          <t>Huỳnh Văn Lực</t>
        </is>
      </c>
      <c r="C900" s="16" t="n">
        <v>46014</v>
      </c>
      <c r="D900" s="17" t="n">
        <v>0</v>
      </c>
      <c r="E900" s="17" t="n">
        <v>0</v>
      </c>
      <c r="F900" s="17" t="n">
        <v>0</v>
      </c>
      <c r="G900" s="17" t="n">
        <v>0</v>
      </c>
      <c r="H900" s="17" t="n">
        <v>0</v>
      </c>
      <c r="I900" s="17" t="n">
        <v>0</v>
      </c>
      <c r="J900" s="17" t="n">
        <v>0</v>
      </c>
      <c r="K900" s="17" t="n">
        <v>4</v>
      </c>
      <c r="L900" s="17" t="n">
        <v>0</v>
      </c>
      <c r="M900" s="17" t="n">
        <v>0</v>
      </c>
      <c r="N900" s="17" t="n">
        <v>0</v>
      </c>
      <c r="O900" s="17" t="n">
        <v>0</v>
      </c>
      <c r="P900" s="17" t="n">
        <v>1</v>
      </c>
      <c r="Q900" s="17" t="n">
        <v>1</v>
      </c>
      <c r="R900" s="17" t="n">
        <v>0</v>
      </c>
      <c r="T900" s="17">
        <f>DAY(C900)</f>
        <v/>
      </c>
      <c r="U900" s="17">
        <f>MONTH(C900)</f>
        <v/>
      </c>
    </row>
    <row r="901" hidden="1" ht="22.5" customHeight="1" s="117">
      <c r="A901" s="14" t="n">
        <v>46015.29206476852</v>
      </c>
      <c r="B901" s="17" t="inlineStr">
        <is>
          <t>Lương Duy Hoàng</t>
        </is>
      </c>
      <c r="C901" s="16" t="n">
        <v>46014</v>
      </c>
      <c r="D901" s="17" t="n">
        <v>0</v>
      </c>
      <c r="E901" s="17" t="n">
        <v>0</v>
      </c>
      <c r="F901" s="17" t="n">
        <v>0</v>
      </c>
      <c r="G901" s="17" t="n">
        <v>0</v>
      </c>
      <c r="H901" s="17" t="n">
        <v>0</v>
      </c>
      <c r="I901" s="17" t="n">
        <v>1</v>
      </c>
      <c r="J901" s="17" t="n">
        <v>0</v>
      </c>
      <c r="K901" s="17" t="n">
        <v>4</v>
      </c>
      <c r="L901" s="17" t="n">
        <v>0</v>
      </c>
      <c r="M901" s="17" t="n">
        <v>0</v>
      </c>
      <c r="N901" s="17" t="n">
        <v>0</v>
      </c>
      <c r="O901" s="17" t="n">
        <v>0</v>
      </c>
      <c r="P901" s="17" t="n">
        <v>0</v>
      </c>
      <c r="Q901" s="17" t="n">
        <v>1</v>
      </c>
      <c r="R901" s="17" t="n">
        <v>0</v>
      </c>
      <c r="T901" s="17">
        <f>DAY(C901)</f>
        <v/>
      </c>
      <c r="U901" s="17">
        <f>MONTH(C901)</f>
        <v/>
      </c>
    </row>
    <row r="902" hidden="1" ht="22.5" customHeight="1" s="117">
      <c r="A902" s="14" t="n">
        <v>46015.29241746528</v>
      </c>
      <c r="B902" s="17" t="inlineStr">
        <is>
          <t>Trần Minh Khánh</t>
        </is>
      </c>
      <c r="C902" s="16" t="n">
        <v>46014</v>
      </c>
      <c r="D902" s="17" t="n">
        <v>0</v>
      </c>
      <c r="E902" s="17" t="n">
        <v>0</v>
      </c>
      <c r="F902" s="17" t="n">
        <v>0</v>
      </c>
      <c r="G902" s="17" t="n">
        <v>1</v>
      </c>
      <c r="H902" s="17" t="n">
        <v>3</v>
      </c>
      <c r="I902" s="17" t="n">
        <v>0</v>
      </c>
      <c r="J902" s="17" t="n">
        <v>0</v>
      </c>
      <c r="K902" s="17" t="n">
        <v>16</v>
      </c>
      <c r="L902" s="17" t="n">
        <v>0</v>
      </c>
      <c r="M902" s="17" t="n">
        <v>0</v>
      </c>
      <c r="N902" s="17" t="n">
        <v>1</v>
      </c>
      <c r="O902" s="17" t="n">
        <v>0</v>
      </c>
      <c r="P902" s="17" t="n">
        <v>0</v>
      </c>
      <c r="Q902" s="17" t="n">
        <v>4</v>
      </c>
      <c r="R902" s="17" t="n">
        <v>0</v>
      </c>
      <c r="T902" s="17">
        <f>DAY(C902)</f>
        <v/>
      </c>
      <c r="U902" s="17">
        <f>MONTH(C902)</f>
        <v/>
      </c>
    </row>
    <row r="903" hidden="1" ht="22.5" customHeight="1" s="117">
      <c r="A903" s="14" t="n">
        <v>46015.29338662037</v>
      </c>
      <c r="B903" s="17" t="inlineStr">
        <is>
          <t>Lê Quốc Duy</t>
        </is>
      </c>
      <c r="C903" s="16" t="n">
        <v>46014</v>
      </c>
      <c r="D903" s="17" t="n">
        <v>0</v>
      </c>
      <c r="E903" s="17" t="n">
        <v>0</v>
      </c>
      <c r="F903" s="17" t="n">
        <v>0</v>
      </c>
      <c r="G903" s="17" t="n">
        <v>0</v>
      </c>
      <c r="H903" s="17" t="n">
        <v>0</v>
      </c>
      <c r="I903" s="17" t="n">
        <v>1</v>
      </c>
      <c r="J903" s="17" t="n">
        <v>0</v>
      </c>
      <c r="K903" s="17" t="n">
        <v>6</v>
      </c>
      <c r="L903" s="17" t="n">
        <v>0</v>
      </c>
      <c r="M903" s="17" t="n">
        <v>0</v>
      </c>
      <c r="N903" s="17" t="n">
        <v>0</v>
      </c>
      <c r="O903" s="17" t="n">
        <v>0</v>
      </c>
      <c r="P903" s="17" t="n">
        <v>1</v>
      </c>
      <c r="Q903" s="17" t="n">
        <v>1</v>
      </c>
      <c r="R903" s="17" t="n">
        <v>0</v>
      </c>
      <c r="T903" s="17">
        <f>DAY(C903)</f>
        <v/>
      </c>
      <c r="U903" s="17">
        <f>MONTH(C903)</f>
        <v/>
      </c>
    </row>
    <row r="904" hidden="1" ht="22.5" customHeight="1" s="117">
      <c r="A904" s="14" t="n">
        <v>46015.29388341435</v>
      </c>
      <c r="B904" s="17" t="inlineStr">
        <is>
          <t>Nguyễn Văn Nhật</t>
        </is>
      </c>
      <c r="C904" s="16" t="n">
        <v>46014</v>
      </c>
      <c r="D904" s="17" t="n">
        <v>0</v>
      </c>
      <c r="E904" s="17" t="n">
        <v>0</v>
      </c>
      <c r="F904" s="17" t="n">
        <v>0</v>
      </c>
      <c r="G904" s="17" t="n">
        <v>0</v>
      </c>
      <c r="H904" s="17" t="n">
        <v>0</v>
      </c>
      <c r="I904" s="17" t="n">
        <v>0</v>
      </c>
      <c r="J904" s="17" t="n">
        <v>1</v>
      </c>
      <c r="K904" s="17" t="n">
        <v>12</v>
      </c>
      <c r="L904" s="17" t="n">
        <v>0</v>
      </c>
      <c r="M904" s="17" t="n">
        <v>0</v>
      </c>
      <c r="N904" s="17" t="n">
        <v>2</v>
      </c>
      <c r="O904" s="17" t="n">
        <v>0</v>
      </c>
      <c r="P904" s="17" t="n">
        <v>1</v>
      </c>
      <c r="Q904" s="17" t="n">
        <v>2</v>
      </c>
      <c r="R904" s="17" t="n">
        <v>0</v>
      </c>
      <c r="T904" s="17">
        <f>DAY(C904)</f>
        <v/>
      </c>
      <c r="U904" s="17">
        <f>MONTH(C904)</f>
        <v/>
      </c>
    </row>
    <row r="905" hidden="1" ht="22.5" customHeight="1" s="117">
      <c r="A905" s="14" t="n">
        <v>46015.29436491898</v>
      </c>
      <c r="B905" s="17" t="inlineStr">
        <is>
          <t>Đặng Hữu Danh</t>
        </is>
      </c>
      <c r="C905" s="16" t="n">
        <v>46014</v>
      </c>
      <c r="D905" s="17" t="n">
        <v>0</v>
      </c>
      <c r="E905" s="17" t="n">
        <v>0</v>
      </c>
      <c r="F905" s="17" t="n">
        <v>0</v>
      </c>
      <c r="G905" s="17" t="n">
        <v>0</v>
      </c>
      <c r="H905" s="17" t="n">
        <v>0</v>
      </c>
      <c r="I905" s="17" t="n">
        <v>1</v>
      </c>
      <c r="J905" s="17" t="n">
        <v>1</v>
      </c>
      <c r="K905" s="17" t="n">
        <v>4</v>
      </c>
      <c r="L905" s="17" t="n">
        <v>0</v>
      </c>
      <c r="M905" s="17" t="n">
        <v>1</v>
      </c>
      <c r="N905" s="17" t="n">
        <v>4</v>
      </c>
      <c r="O905" s="17" t="n">
        <v>0</v>
      </c>
      <c r="P905" s="17" t="n">
        <v>1</v>
      </c>
      <c r="Q905" s="17" t="n">
        <v>3</v>
      </c>
      <c r="R905" s="17" t="n">
        <v>0</v>
      </c>
      <c r="T905" s="17">
        <f>DAY(C905)</f>
        <v/>
      </c>
      <c r="U905" s="17">
        <f>MONTH(C905)</f>
        <v/>
      </c>
    </row>
    <row r="906" hidden="1" ht="22.5" customHeight="1" s="117">
      <c r="A906" s="14" t="n">
        <v>46015.29642289352</v>
      </c>
      <c r="B906" s="17" t="inlineStr">
        <is>
          <t>Trần Trung Giang</t>
        </is>
      </c>
      <c r="C906" s="16" t="n">
        <v>45649</v>
      </c>
      <c r="D906" s="17" t="n">
        <v>0</v>
      </c>
      <c r="E906" s="17" t="n">
        <v>0</v>
      </c>
      <c r="F906" s="17" t="n">
        <v>0</v>
      </c>
      <c r="G906" s="17" t="n">
        <v>0</v>
      </c>
      <c r="H906" s="17" t="n">
        <v>0</v>
      </c>
      <c r="I906" s="17" t="n">
        <v>0</v>
      </c>
      <c r="J906" s="17" t="n">
        <v>0</v>
      </c>
      <c r="K906" s="17" t="n">
        <v>2</v>
      </c>
      <c r="L906" s="17" t="n">
        <v>0</v>
      </c>
      <c r="M906" s="17" t="n">
        <v>0</v>
      </c>
      <c r="N906" s="17" t="n">
        <v>2</v>
      </c>
      <c r="O906" s="17" t="n">
        <v>0</v>
      </c>
      <c r="P906" s="17" t="n">
        <v>0</v>
      </c>
      <c r="Q906" s="17" t="n">
        <v>0</v>
      </c>
      <c r="R906" s="17" t="n">
        <v>0</v>
      </c>
      <c r="T906" s="17">
        <f>DAY(C906)</f>
        <v/>
      </c>
      <c r="U906" s="17">
        <f>MONTH(C906)</f>
        <v/>
      </c>
    </row>
    <row r="907" hidden="1" ht="22.5" customHeight="1" s="117">
      <c r="A907" s="14" t="n">
        <v>46015.29777472222</v>
      </c>
      <c r="B907" s="17" t="inlineStr">
        <is>
          <t>Trần Xuân Khoa</t>
        </is>
      </c>
      <c r="C907" s="16" t="n">
        <v>46014</v>
      </c>
      <c r="D907" s="17" t="n">
        <v>1</v>
      </c>
      <c r="E907" s="17" t="n">
        <v>1</v>
      </c>
      <c r="F907" s="17" t="n">
        <v>0</v>
      </c>
      <c r="G907" s="17" t="n">
        <v>0</v>
      </c>
      <c r="H907" s="17" t="n">
        <v>0</v>
      </c>
      <c r="I907" s="17" t="n">
        <v>0</v>
      </c>
      <c r="J907" s="17" t="n">
        <v>0</v>
      </c>
      <c r="K907" s="17" t="n">
        <v>8</v>
      </c>
      <c r="L907" s="17" t="n">
        <v>0</v>
      </c>
      <c r="M907" s="17" t="n">
        <v>0</v>
      </c>
      <c r="N907" s="17" t="n">
        <v>0</v>
      </c>
      <c r="O907" s="17" t="n">
        <v>0</v>
      </c>
      <c r="P907" s="17" t="n">
        <v>0</v>
      </c>
      <c r="Q907" s="17" t="n">
        <v>2</v>
      </c>
      <c r="R907" s="17" t="n">
        <v>0</v>
      </c>
      <c r="T907" s="17">
        <f>DAY(C907)</f>
        <v/>
      </c>
      <c r="U907" s="17">
        <f>MONTH(C907)</f>
        <v/>
      </c>
    </row>
    <row r="908" hidden="1" ht="22.5" customHeight="1" s="117">
      <c r="A908" s="14" t="n">
        <v>46015.30049425926</v>
      </c>
      <c r="B908" s="17" t="inlineStr">
        <is>
          <t>Vòng Nhật Sang</t>
        </is>
      </c>
      <c r="C908" s="16" t="n">
        <v>46014</v>
      </c>
      <c r="D908" s="17" t="n">
        <v>0</v>
      </c>
      <c r="E908" s="17" t="n">
        <v>0</v>
      </c>
      <c r="F908" s="17" t="n">
        <v>0</v>
      </c>
      <c r="G908" s="17" t="n">
        <v>0</v>
      </c>
      <c r="H908" s="17" t="n">
        <v>0</v>
      </c>
      <c r="I908" s="17" t="n">
        <v>0</v>
      </c>
      <c r="J908" s="17" t="n">
        <v>0</v>
      </c>
      <c r="K908" s="17" t="n">
        <v>4</v>
      </c>
      <c r="L908" s="17" t="n">
        <v>0</v>
      </c>
      <c r="M908" s="17" t="n">
        <v>0</v>
      </c>
      <c r="N908" s="17" t="n">
        <v>0</v>
      </c>
      <c r="O908" s="17" t="n">
        <v>0</v>
      </c>
      <c r="P908" s="17" t="n">
        <v>1</v>
      </c>
      <c r="Q908" s="17" t="n">
        <v>2</v>
      </c>
      <c r="R908" s="17" t="n">
        <v>0</v>
      </c>
      <c r="T908" s="17">
        <f>DAY(C908)</f>
        <v/>
      </c>
      <c r="U908" s="17">
        <f>MONTH(C908)</f>
        <v/>
      </c>
    </row>
    <row r="909" hidden="1" ht="22.5" customHeight="1" s="117">
      <c r="A909" s="14" t="n">
        <v>46015.30345305555</v>
      </c>
      <c r="B909" s="17" t="inlineStr">
        <is>
          <t>Nguyễn Văn Hiệp</t>
        </is>
      </c>
      <c r="C909" s="16" t="n">
        <v>46014</v>
      </c>
      <c r="D909" s="17" t="n">
        <v>0</v>
      </c>
      <c r="E909" s="17" t="n">
        <v>0</v>
      </c>
      <c r="F909" s="17" t="n">
        <v>0</v>
      </c>
      <c r="G909" s="17" t="n">
        <v>0</v>
      </c>
      <c r="H909" s="17" t="n">
        <v>0</v>
      </c>
      <c r="I909" s="17" t="n">
        <v>0</v>
      </c>
      <c r="J909" s="17" t="n">
        <v>0</v>
      </c>
      <c r="K909" s="17" t="n">
        <v>3</v>
      </c>
      <c r="L909" s="17" t="n">
        <v>0</v>
      </c>
      <c r="M909" s="17" t="n">
        <v>0</v>
      </c>
      <c r="N909" s="17" t="n">
        <v>1</v>
      </c>
      <c r="O909" s="17" t="n">
        <v>0</v>
      </c>
      <c r="P909" s="17" t="n">
        <v>0</v>
      </c>
      <c r="Q909" s="17" t="n">
        <v>0</v>
      </c>
      <c r="R909" s="17" t="n">
        <v>0</v>
      </c>
      <c r="T909" s="17">
        <f>DAY(C909)</f>
        <v/>
      </c>
      <c r="U909" s="17">
        <f>MONTH(C909)</f>
        <v/>
      </c>
    </row>
    <row r="910" hidden="1" ht="22.5" customHeight="1" s="117">
      <c r="A910" s="14" t="n">
        <v>46015.30618163195</v>
      </c>
      <c r="B910" s="17" t="inlineStr">
        <is>
          <t>Nguyễn Thành Lâm</t>
        </is>
      </c>
      <c r="C910" s="16" t="n">
        <v>46014</v>
      </c>
      <c r="D910" s="17" t="n">
        <v>0</v>
      </c>
      <c r="E910" s="17" t="n">
        <v>0</v>
      </c>
      <c r="F910" s="17" t="n">
        <v>0</v>
      </c>
      <c r="G910" s="17" t="n">
        <v>0</v>
      </c>
      <c r="H910" s="17" t="n">
        <v>0</v>
      </c>
      <c r="I910" s="17" t="n">
        <v>0</v>
      </c>
      <c r="J910" s="17" t="n">
        <v>0</v>
      </c>
      <c r="K910" s="17" t="n">
        <v>10</v>
      </c>
      <c r="L910" s="17" t="n">
        <v>0</v>
      </c>
      <c r="M910" s="17" t="n">
        <v>0</v>
      </c>
      <c r="N910" s="17" t="n">
        <v>0</v>
      </c>
      <c r="O910" s="17" t="n">
        <v>0</v>
      </c>
      <c r="P910" s="17" t="n">
        <v>1</v>
      </c>
      <c r="Q910" s="17" t="n">
        <v>5</v>
      </c>
      <c r="R910" s="17" t="n">
        <v>0</v>
      </c>
      <c r="T910" s="17">
        <f>DAY(C910)</f>
        <v/>
      </c>
      <c r="U910" s="17">
        <f>MONTH(C910)</f>
        <v/>
      </c>
    </row>
    <row r="911" hidden="1" ht="22.5" customHeight="1" s="117">
      <c r="A911" s="14" t="n">
        <v>46015.3073502199</v>
      </c>
      <c r="B911" s="17" t="inlineStr">
        <is>
          <t>Nguyễn Tuấn Anh</t>
        </is>
      </c>
      <c r="C911" s="16" t="n">
        <v>46014</v>
      </c>
      <c r="D911" s="17" t="n">
        <v>0</v>
      </c>
      <c r="E911" s="17" t="n">
        <v>0</v>
      </c>
      <c r="F911" s="17" t="n">
        <v>0</v>
      </c>
      <c r="G911" s="17" t="n">
        <v>0</v>
      </c>
      <c r="H911" s="17" t="n">
        <v>0</v>
      </c>
      <c r="I911" s="17" t="n">
        <v>0</v>
      </c>
      <c r="J911" s="17" t="n">
        <v>0</v>
      </c>
      <c r="K911" s="17" t="n">
        <v>19</v>
      </c>
      <c r="L911" s="17" t="n">
        <v>0</v>
      </c>
      <c r="M911" s="17" t="n">
        <v>0</v>
      </c>
      <c r="N911" s="17" t="n">
        <v>0</v>
      </c>
      <c r="O911" s="17" t="n">
        <v>0</v>
      </c>
      <c r="P911" s="17" t="n">
        <v>1</v>
      </c>
      <c r="Q911" s="17" t="n">
        <v>2</v>
      </c>
      <c r="R911" s="17" t="n">
        <v>0</v>
      </c>
      <c r="T911" s="17">
        <f>DAY(C911)</f>
        <v/>
      </c>
      <c r="U911" s="17">
        <f>MONTH(C911)</f>
        <v/>
      </c>
    </row>
    <row r="912" hidden="1" ht="22.5" customHeight="1" s="117">
      <c r="A912" s="14" t="n">
        <v>46015.31399587963</v>
      </c>
      <c r="B912" s="17" t="inlineStr">
        <is>
          <t>Lương Duy Hải</t>
        </is>
      </c>
      <c r="C912" s="16" t="n">
        <v>46014</v>
      </c>
      <c r="D912" s="17" t="n">
        <v>1</v>
      </c>
      <c r="E912" s="17" t="n">
        <v>1</v>
      </c>
      <c r="F912" s="17" t="n">
        <v>0</v>
      </c>
      <c r="G912" s="17" t="n">
        <v>0</v>
      </c>
      <c r="H912" s="17" t="n">
        <v>0</v>
      </c>
      <c r="I912" s="17" t="n">
        <v>0</v>
      </c>
      <c r="J912" s="17" t="n">
        <v>1</v>
      </c>
      <c r="K912" s="17" t="n">
        <v>6</v>
      </c>
      <c r="L912" s="17" t="n">
        <v>0</v>
      </c>
      <c r="M912" s="17" t="n">
        <v>1</v>
      </c>
      <c r="N912" s="17" t="n">
        <v>1</v>
      </c>
      <c r="O912" s="17" t="n">
        <v>0</v>
      </c>
      <c r="P912" s="17" t="n">
        <v>0</v>
      </c>
      <c r="Q912" s="17" t="n">
        <v>2</v>
      </c>
      <c r="R912" s="17" t="n">
        <v>0</v>
      </c>
      <c r="T912" s="17">
        <f>DAY(C912)</f>
        <v/>
      </c>
      <c r="U912" s="17">
        <f>MONTH(C912)</f>
        <v/>
      </c>
    </row>
    <row r="913" hidden="1" ht="22.5" customHeight="1" s="117">
      <c r="A913" s="14" t="n">
        <v>46015.31687837963</v>
      </c>
      <c r="B913" s="17" t="inlineStr">
        <is>
          <t>Đặng Hoài Anh</t>
        </is>
      </c>
      <c r="C913" s="16" t="n">
        <v>46014</v>
      </c>
      <c r="D913" s="17" t="n">
        <v>2</v>
      </c>
      <c r="E913" s="17" t="n">
        <v>0</v>
      </c>
      <c r="F913" s="17" t="n">
        <v>0</v>
      </c>
      <c r="G913" s="17" t="n">
        <v>0</v>
      </c>
      <c r="H913" s="17" t="n">
        <v>0</v>
      </c>
      <c r="I913" s="17" t="n">
        <v>0</v>
      </c>
      <c r="J913" s="17" t="n">
        <v>0</v>
      </c>
      <c r="K913" s="17" t="n">
        <v>3</v>
      </c>
      <c r="L913" s="17" t="n">
        <v>0</v>
      </c>
      <c r="M913" s="17" t="n">
        <v>2</v>
      </c>
      <c r="N913" s="17" t="n">
        <v>0</v>
      </c>
      <c r="O913" s="17" t="n">
        <v>0</v>
      </c>
      <c r="P913" s="17" t="n">
        <v>0</v>
      </c>
      <c r="Q913" s="17" t="n">
        <v>1</v>
      </c>
      <c r="R913" s="17" t="n">
        <v>0</v>
      </c>
      <c r="T913" s="17">
        <f>DAY(C913)</f>
        <v/>
      </c>
      <c r="U913" s="17">
        <f>MONTH(C913)</f>
        <v/>
      </c>
    </row>
    <row r="914" hidden="1" ht="22.5" customHeight="1" s="117">
      <c r="A914" s="14" t="n">
        <v>46015.32600737269</v>
      </c>
      <c r="B914" s="17" t="inlineStr">
        <is>
          <t>Bùi Duy Cường</t>
        </is>
      </c>
      <c r="C914" s="16" t="n">
        <v>46014</v>
      </c>
      <c r="D914" s="17" t="n">
        <v>0</v>
      </c>
      <c r="E914" s="17" t="n">
        <v>0</v>
      </c>
      <c r="F914" s="17" t="n">
        <v>0</v>
      </c>
      <c r="G914" s="17" t="n">
        <v>1</v>
      </c>
      <c r="H914" s="17" t="n">
        <v>1</v>
      </c>
      <c r="I914" s="17" t="n">
        <v>0</v>
      </c>
      <c r="J914" s="17" t="n">
        <v>0</v>
      </c>
      <c r="K914" s="17" t="n">
        <v>10</v>
      </c>
      <c r="L914" s="17" t="n">
        <v>0</v>
      </c>
      <c r="M914" s="17" t="n">
        <v>1</v>
      </c>
      <c r="N914" s="17" t="n">
        <v>1</v>
      </c>
      <c r="O914" s="17" t="n">
        <v>1</v>
      </c>
      <c r="P914" s="17" t="n">
        <v>1</v>
      </c>
      <c r="Q914" s="17" t="n">
        <v>2</v>
      </c>
      <c r="R914" s="17" t="n">
        <v>0</v>
      </c>
      <c r="T914" s="17">
        <f>DAY(C914)</f>
        <v/>
      </c>
      <c r="U914" s="17">
        <f>MONTH(C914)</f>
        <v/>
      </c>
    </row>
    <row r="915" hidden="1" ht="22.5" customHeight="1" s="117">
      <c r="A915" s="14" t="n">
        <v>46015.32642527778</v>
      </c>
      <c r="B915" s="17" t="inlineStr">
        <is>
          <t>Nguyễn Hồng Minh</t>
        </is>
      </c>
      <c r="C915" s="16" t="n">
        <v>46014</v>
      </c>
      <c r="D915" s="17" t="n">
        <v>0</v>
      </c>
      <c r="E915" s="17" t="n">
        <v>0</v>
      </c>
      <c r="F915" s="17" t="n">
        <v>0</v>
      </c>
      <c r="G915" s="17" t="n">
        <v>0</v>
      </c>
      <c r="H915" s="17" t="n">
        <v>0</v>
      </c>
      <c r="I915" s="17" t="n">
        <v>0</v>
      </c>
      <c r="J915" s="17" t="n">
        <v>2</v>
      </c>
      <c r="K915" s="17" t="n">
        <v>28</v>
      </c>
      <c r="L915" s="17" t="n">
        <v>0</v>
      </c>
      <c r="M915" s="17" t="n">
        <v>0</v>
      </c>
      <c r="N915" s="17" t="n">
        <v>0</v>
      </c>
      <c r="O915" s="17" t="n">
        <v>0</v>
      </c>
      <c r="P915" s="17" t="n">
        <v>0</v>
      </c>
      <c r="Q915" s="17" t="n">
        <v>4</v>
      </c>
      <c r="R915" s="17" t="n">
        <v>0</v>
      </c>
      <c r="T915" s="17">
        <f>DAY(C915)</f>
        <v/>
      </c>
      <c r="U915" s="17">
        <f>MONTH(C915)</f>
        <v/>
      </c>
    </row>
    <row r="916" hidden="1" ht="22.5" customHeight="1" s="117">
      <c r="A916" s="14" t="n">
        <v>46015.34564342593</v>
      </c>
      <c r="B916" s="17" t="inlineStr">
        <is>
          <t>Lê Văn Hồng</t>
        </is>
      </c>
      <c r="C916" s="16" t="n">
        <v>46014</v>
      </c>
      <c r="D916" s="17" t="n">
        <v>0</v>
      </c>
      <c r="E916" s="17" t="n">
        <v>0</v>
      </c>
      <c r="F916" s="17" t="n">
        <v>0</v>
      </c>
      <c r="G916" s="17" t="n">
        <v>0</v>
      </c>
      <c r="H916" s="17" t="n">
        <v>0</v>
      </c>
      <c r="I916" s="17" t="n">
        <v>0</v>
      </c>
      <c r="J916" s="17" t="n">
        <v>0</v>
      </c>
      <c r="K916" s="17" t="n">
        <v>4</v>
      </c>
      <c r="L916" s="17" t="n">
        <v>0</v>
      </c>
      <c r="M916" s="17" t="n">
        <v>2</v>
      </c>
      <c r="N916" s="17" t="n">
        <v>0</v>
      </c>
      <c r="O916" s="17" t="n">
        <v>0</v>
      </c>
      <c r="P916" s="17" t="n">
        <v>2</v>
      </c>
      <c r="Q916" s="17" t="n">
        <v>3</v>
      </c>
      <c r="R916" s="17" t="n">
        <v>0</v>
      </c>
      <c r="T916" s="17">
        <f>DAY(C916)</f>
        <v/>
      </c>
      <c r="U916" s="17">
        <f>MONTH(C916)</f>
        <v/>
      </c>
    </row>
    <row r="917" hidden="1" ht="22.5" customHeight="1" s="117">
      <c r="A917" s="14" t="n">
        <v>46015.8996058449</v>
      </c>
      <c r="B917" s="17" t="inlineStr">
        <is>
          <t>Lê Quốc Duy</t>
        </is>
      </c>
      <c r="C917" s="16" t="n">
        <v>46015</v>
      </c>
      <c r="D917" s="17" t="n">
        <v>0</v>
      </c>
      <c r="E917" s="17" t="n">
        <v>0</v>
      </c>
      <c r="F917" s="17" t="n">
        <v>0</v>
      </c>
      <c r="G917" s="17" t="n">
        <v>0</v>
      </c>
      <c r="H917" s="17" t="n">
        <v>0</v>
      </c>
      <c r="I917" s="17" t="n">
        <v>0</v>
      </c>
      <c r="J917" s="17" t="n">
        <v>0</v>
      </c>
      <c r="K917" s="17" t="n">
        <v>14</v>
      </c>
      <c r="L917" s="17" t="n">
        <v>0</v>
      </c>
      <c r="M917" s="17" t="n">
        <v>1</v>
      </c>
      <c r="N917" s="17" t="n">
        <v>0</v>
      </c>
      <c r="O917" s="17" t="n">
        <v>0</v>
      </c>
      <c r="P917" s="17" t="n">
        <v>0</v>
      </c>
      <c r="Q917" s="17" t="n">
        <v>1</v>
      </c>
      <c r="R917" s="17" t="n">
        <v>0</v>
      </c>
      <c r="T917" s="17">
        <f>DAY(C917)</f>
        <v/>
      </c>
      <c r="U917" s="17">
        <f>MONTH(C917)</f>
        <v/>
      </c>
    </row>
    <row r="918" hidden="1" ht="22.5" customHeight="1" s="117">
      <c r="A918" s="14" t="n">
        <v>46016.26772043981</v>
      </c>
      <c r="B918" s="17" t="inlineStr">
        <is>
          <t>Phan Thành Thái</t>
        </is>
      </c>
      <c r="C918" s="16" t="n">
        <v>46015</v>
      </c>
      <c r="D918" s="17" t="n">
        <v>1</v>
      </c>
      <c r="E918" s="17" t="n">
        <v>0</v>
      </c>
      <c r="F918" s="17" t="n">
        <v>0</v>
      </c>
      <c r="G918" s="17" t="n">
        <v>0</v>
      </c>
      <c r="H918" s="17" t="n">
        <v>0</v>
      </c>
      <c r="I918" s="17" t="n">
        <v>0</v>
      </c>
      <c r="J918" s="17" t="n">
        <v>0</v>
      </c>
      <c r="K918" s="17" t="n">
        <v>18</v>
      </c>
      <c r="L918" s="17" t="n">
        <v>0</v>
      </c>
      <c r="M918" s="17" t="n">
        <v>1</v>
      </c>
      <c r="N918" s="17" t="n">
        <v>0</v>
      </c>
      <c r="O918" s="17" t="n">
        <v>0</v>
      </c>
      <c r="P918" s="17" t="n">
        <v>1</v>
      </c>
      <c r="Q918" s="17" t="n">
        <v>4</v>
      </c>
      <c r="R918" s="17" t="n">
        <v>0</v>
      </c>
      <c r="T918" s="17">
        <f>DAY(C918)</f>
        <v/>
      </c>
      <c r="U918" s="17">
        <f>MONTH(C918)</f>
        <v/>
      </c>
    </row>
    <row r="919" hidden="1" ht="22.5" customHeight="1" s="117">
      <c r="A919" s="14" t="n">
        <v>46016.28004974537</v>
      </c>
      <c r="B919" s="17" t="inlineStr">
        <is>
          <t>Phan Ngọc Sang</t>
        </is>
      </c>
      <c r="C919" s="16" t="n">
        <v>46015</v>
      </c>
      <c r="D919" s="17" t="n">
        <v>0</v>
      </c>
      <c r="E919" s="17" t="n">
        <v>0</v>
      </c>
      <c r="F919" s="17" t="n">
        <v>0</v>
      </c>
      <c r="G919" s="17" t="n">
        <v>0</v>
      </c>
      <c r="H919" s="17" t="n">
        <v>0</v>
      </c>
      <c r="I919" s="17" t="n">
        <v>0</v>
      </c>
      <c r="J919" s="17" t="n">
        <v>0</v>
      </c>
      <c r="K919" s="17" t="n">
        <v>9</v>
      </c>
      <c r="L919" s="17" t="n">
        <v>0</v>
      </c>
      <c r="M919" s="17" t="n">
        <v>3</v>
      </c>
      <c r="N919" s="17" t="n">
        <v>0</v>
      </c>
      <c r="O919" s="17" t="n">
        <v>0</v>
      </c>
      <c r="P919" s="17" t="n">
        <v>0</v>
      </c>
      <c r="Q919" s="17" t="n">
        <v>2</v>
      </c>
      <c r="R919" s="17" t="n">
        <v>0</v>
      </c>
      <c r="T919" s="17">
        <f>DAY(C919)</f>
        <v/>
      </c>
      <c r="U919" s="17">
        <f>MONTH(C919)</f>
        <v/>
      </c>
    </row>
    <row r="920" hidden="1" ht="22.5" customHeight="1" s="117">
      <c r="A920" s="14" t="n">
        <v>46016.2812774537</v>
      </c>
      <c r="B920" s="17" t="inlineStr">
        <is>
          <t>Lê Hồng Phong</t>
        </is>
      </c>
      <c r="C920" s="16" t="n">
        <v>46016</v>
      </c>
      <c r="D920" s="17" t="n">
        <v>1</v>
      </c>
      <c r="E920" s="17" t="n">
        <v>1</v>
      </c>
      <c r="F920" s="17" t="n">
        <v>1</v>
      </c>
      <c r="G920" s="17" t="n">
        <v>0</v>
      </c>
      <c r="H920" s="17" t="n">
        <v>0</v>
      </c>
      <c r="I920" s="17" t="n">
        <v>1</v>
      </c>
      <c r="J920" s="17" t="n">
        <v>1</v>
      </c>
      <c r="K920" s="17" t="n">
        <v>1</v>
      </c>
      <c r="L920" s="17" t="n">
        <v>1</v>
      </c>
      <c r="M920" s="17" t="n">
        <v>1</v>
      </c>
      <c r="N920" s="17" t="n">
        <v>1</v>
      </c>
      <c r="O920" s="17" t="n">
        <v>1</v>
      </c>
      <c r="P920" s="17" t="n">
        <v>1</v>
      </c>
      <c r="Q920" s="17" t="n">
        <v>1</v>
      </c>
      <c r="R920" s="17" t="n">
        <v>1</v>
      </c>
      <c r="T920" s="17">
        <f>DAY(C920)</f>
        <v/>
      </c>
      <c r="U920" s="17">
        <f>MONTH(C920)</f>
        <v/>
      </c>
    </row>
    <row r="921" hidden="1" ht="22.5" customHeight="1" s="117">
      <c r="A921" s="14" t="n">
        <v>46016.28172658565</v>
      </c>
      <c r="B921" s="17" t="inlineStr">
        <is>
          <t>Vòng Nhật Sang</t>
        </is>
      </c>
      <c r="C921" s="16" t="n">
        <v>46015</v>
      </c>
      <c r="D921" s="17" t="n">
        <v>0</v>
      </c>
      <c r="E921" s="17" t="n">
        <v>0</v>
      </c>
      <c r="F921" s="17" t="n">
        <v>0</v>
      </c>
      <c r="G921" s="17" t="n">
        <v>0</v>
      </c>
      <c r="H921" s="17" t="n">
        <v>0</v>
      </c>
      <c r="I921" s="17" t="n">
        <v>0</v>
      </c>
      <c r="J921" s="17" t="n">
        <v>0</v>
      </c>
      <c r="K921" s="17" t="n">
        <v>2</v>
      </c>
      <c r="L921" s="17" t="n">
        <v>0</v>
      </c>
      <c r="M921" s="17" t="n">
        <v>0</v>
      </c>
      <c r="N921" s="17" t="n">
        <v>0</v>
      </c>
      <c r="O921" s="17" t="n">
        <v>0</v>
      </c>
      <c r="P921" s="17" t="n">
        <v>2</v>
      </c>
      <c r="Q921" s="17" t="n">
        <v>2</v>
      </c>
      <c r="R921" s="17" t="n">
        <v>0</v>
      </c>
      <c r="T921" s="17">
        <f>DAY(C921)</f>
        <v/>
      </c>
      <c r="U921" s="17">
        <f>MONTH(C921)</f>
        <v/>
      </c>
    </row>
    <row r="922" hidden="1" ht="22.5" customHeight="1" s="117">
      <c r="A922" s="14" t="n">
        <v>46016.28221717593</v>
      </c>
      <c r="B922" s="17" t="inlineStr">
        <is>
          <t>Dương Minh Tiến</t>
        </is>
      </c>
      <c r="C922" s="16" t="n">
        <v>46015</v>
      </c>
      <c r="D922" s="17" t="n">
        <v>0</v>
      </c>
      <c r="E922" s="17" t="n">
        <v>0</v>
      </c>
      <c r="F922" s="17" t="n">
        <v>0</v>
      </c>
      <c r="G922" s="17" t="n">
        <v>0</v>
      </c>
      <c r="H922" s="17" t="n">
        <v>0</v>
      </c>
      <c r="I922" s="17" t="n">
        <v>0</v>
      </c>
      <c r="J922" s="17" t="n">
        <v>0</v>
      </c>
      <c r="K922" s="17" t="n">
        <v>15</v>
      </c>
      <c r="L922" s="17" t="n">
        <v>0</v>
      </c>
      <c r="M922" s="17" t="n">
        <v>0</v>
      </c>
      <c r="N922" s="17" t="n">
        <v>0</v>
      </c>
      <c r="O922" s="17" t="n">
        <v>0</v>
      </c>
      <c r="P922" s="17" t="n">
        <v>0</v>
      </c>
      <c r="Q922" s="17" t="n">
        <v>1</v>
      </c>
      <c r="R922" s="17" t="n">
        <v>0</v>
      </c>
      <c r="T922" s="17">
        <f>DAY(C922)</f>
        <v/>
      </c>
      <c r="U922" s="17">
        <f>MONTH(C922)</f>
        <v/>
      </c>
    </row>
    <row r="923" hidden="1" ht="22.5" customHeight="1" s="117">
      <c r="A923" s="14" t="n">
        <v>46016.28243704861</v>
      </c>
      <c r="B923" s="17" t="inlineStr">
        <is>
          <t>Lương Duy Hoàng</t>
        </is>
      </c>
      <c r="C923" s="16" t="n">
        <v>46015</v>
      </c>
      <c r="D923" s="17" t="n">
        <v>0</v>
      </c>
      <c r="E923" s="17" t="n">
        <v>0</v>
      </c>
      <c r="F923" s="17" t="n">
        <v>0</v>
      </c>
      <c r="G923" s="17" t="n">
        <v>0</v>
      </c>
      <c r="H923" s="17" t="n">
        <v>0</v>
      </c>
      <c r="I923" s="17" t="n">
        <v>0</v>
      </c>
      <c r="J923" s="17" t="n">
        <v>0</v>
      </c>
      <c r="K923" s="17" t="n">
        <v>3</v>
      </c>
      <c r="L923" s="17" t="n">
        <v>0</v>
      </c>
      <c r="M923" s="17" t="n">
        <v>0</v>
      </c>
      <c r="N923" s="17" t="n">
        <v>0</v>
      </c>
      <c r="O923" s="17" t="n">
        <v>0</v>
      </c>
      <c r="P923" s="17" t="n">
        <v>0</v>
      </c>
      <c r="Q923" s="17" t="n">
        <v>2</v>
      </c>
      <c r="R923" s="17" t="n">
        <v>0</v>
      </c>
      <c r="T923" s="17">
        <f>DAY(C923)</f>
        <v/>
      </c>
      <c r="U923" s="17">
        <f>MONTH(C923)</f>
        <v/>
      </c>
    </row>
    <row r="924" hidden="1" ht="22.5" customHeight="1" s="117">
      <c r="A924" s="14" t="n">
        <v>46016.28254922454</v>
      </c>
      <c r="B924" s="17" t="inlineStr">
        <is>
          <t>Nguyễn Văn Nhật</t>
        </is>
      </c>
      <c r="C924" s="16" t="n">
        <v>46015</v>
      </c>
      <c r="D924" s="17" t="n">
        <v>0</v>
      </c>
      <c r="E924" s="17" t="n">
        <v>0</v>
      </c>
      <c r="F924" s="17" t="n">
        <v>0</v>
      </c>
      <c r="G924" s="17" t="n">
        <v>0</v>
      </c>
      <c r="H924" s="17" t="n">
        <v>0</v>
      </c>
      <c r="I924" s="17" t="n">
        <v>0</v>
      </c>
      <c r="J924" s="17" t="n">
        <v>1</v>
      </c>
      <c r="K924" s="17" t="n">
        <v>10</v>
      </c>
      <c r="L924" s="17" t="n">
        <v>0</v>
      </c>
      <c r="M924" s="17" t="n">
        <v>1</v>
      </c>
      <c r="N924" s="17" t="n">
        <v>1</v>
      </c>
      <c r="O924" s="17" t="n">
        <v>0</v>
      </c>
      <c r="P924" s="17" t="n">
        <v>0</v>
      </c>
      <c r="Q924" s="17" t="n">
        <v>1</v>
      </c>
      <c r="R924" s="17" t="n">
        <v>0</v>
      </c>
      <c r="T924" s="17">
        <f>DAY(C924)</f>
        <v/>
      </c>
      <c r="U924" s="17">
        <f>MONTH(C924)</f>
        <v/>
      </c>
    </row>
    <row r="925" hidden="1" ht="22.5" customHeight="1" s="117">
      <c r="A925" s="14" t="n">
        <v>46016.28272590278</v>
      </c>
      <c r="B925" s="17" t="inlineStr">
        <is>
          <t>Nguyễn Văn Hiệp</t>
        </is>
      </c>
      <c r="C925" s="16" t="n">
        <v>46015</v>
      </c>
      <c r="D925" s="17" t="n">
        <v>9</v>
      </c>
      <c r="E925" s="17" t="n">
        <v>0</v>
      </c>
      <c r="F925" s="17" t="n">
        <v>0</v>
      </c>
      <c r="G925" s="17" t="n">
        <v>0</v>
      </c>
      <c r="H925" s="17" t="n">
        <v>0</v>
      </c>
      <c r="I925" s="17" t="n">
        <v>0</v>
      </c>
      <c r="J925" s="17" t="n">
        <v>0</v>
      </c>
      <c r="K925" s="17" t="n">
        <v>3</v>
      </c>
      <c r="L925" s="17" t="n">
        <v>0</v>
      </c>
      <c r="M925" s="17" t="n">
        <v>0</v>
      </c>
      <c r="N925" s="17" t="n">
        <v>0</v>
      </c>
      <c r="O925" s="17" t="n">
        <v>0</v>
      </c>
      <c r="P925" s="17" t="n">
        <v>0</v>
      </c>
      <c r="Q925" s="17" t="n">
        <v>0</v>
      </c>
      <c r="R925" s="17" t="n">
        <v>0</v>
      </c>
      <c r="T925" s="17">
        <f>DAY(C925)</f>
        <v/>
      </c>
      <c r="U925" s="17">
        <f>MONTH(C925)</f>
        <v/>
      </c>
    </row>
    <row r="926" hidden="1" ht="22.5" customHeight="1" s="117">
      <c r="A926" s="14" t="n">
        <v>46016.28323509259</v>
      </c>
      <c r="B926" s="17" t="inlineStr">
        <is>
          <t>Trần Trung Giang</t>
        </is>
      </c>
      <c r="C926" s="16" t="n">
        <v>46015</v>
      </c>
      <c r="D926" s="17" t="n">
        <v>0</v>
      </c>
      <c r="E926" s="17" t="n">
        <v>0</v>
      </c>
      <c r="F926" s="17" t="n">
        <v>0</v>
      </c>
      <c r="G926" s="17" t="n">
        <v>0</v>
      </c>
      <c r="H926" s="17" t="n">
        <v>0</v>
      </c>
      <c r="I926" s="17" t="n">
        <v>0</v>
      </c>
      <c r="J926" s="17" t="n">
        <v>0</v>
      </c>
      <c r="K926" s="17" t="n">
        <v>3</v>
      </c>
      <c r="L926" s="17" t="n">
        <v>0</v>
      </c>
      <c r="M926" s="17" t="n">
        <v>0</v>
      </c>
      <c r="N926" s="17" t="n">
        <v>0</v>
      </c>
      <c r="O926" s="17" t="n">
        <v>0</v>
      </c>
      <c r="P926" s="17" t="n">
        <v>0</v>
      </c>
      <c r="Q926" s="17" t="n">
        <v>0</v>
      </c>
      <c r="R926" s="17" t="n">
        <v>0</v>
      </c>
      <c r="T926" s="17">
        <f>DAY(C926)</f>
        <v/>
      </c>
      <c r="U926" s="17">
        <f>MONTH(C926)</f>
        <v/>
      </c>
    </row>
    <row r="927" hidden="1" ht="22.5" customHeight="1" s="117">
      <c r="A927" s="14" t="n">
        <v>46016.28398703704</v>
      </c>
      <c r="B927" s="17" t="inlineStr">
        <is>
          <t>Nguyễn Quang Anh Tuấn</t>
        </is>
      </c>
      <c r="C927" s="16" t="n">
        <v>46015</v>
      </c>
      <c r="D927" s="17" t="n">
        <v>2</v>
      </c>
      <c r="E927" s="17" t="n">
        <v>0</v>
      </c>
      <c r="F927" s="17" t="n">
        <v>0</v>
      </c>
      <c r="G927" s="17" t="n">
        <v>0</v>
      </c>
      <c r="H927" s="17" t="n">
        <v>0</v>
      </c>
      <c r="I927" s="17" t="n">
        <v>0</v>
      </c>
      <c r="J927" s="17" t="n">
        <v>0</v>
      </c>
      <c r="K927" s="17" t="n">
        <v>0</v>
      </c>
      <c r="L927" s="17" t="n">
        <v>0</v>
      </c>
      <c r="M927" s="17" t="n">
        <v>0</v>
      </c>
      <c r="N927" s="17" t="n">
        <v>0</v>
      </c>
      <c r="O927" s="17" t="n">
        <v>0</v>
      </c>
      <c r="P927" s="17" t="n">
        <v>1</v>
      </c>
      <c r="Q927" s="17" t="n">
        <v>2</v>
      </c>
      <c r="R927" s="17" t="n">
        <v>0</v>
      </c>
      <c r="T927" s="17">
        <f>DAY(C927)</f>
        <v/>
      </c>
      <c r="U927" s="17">
        <f>MONTH(C927)</f>
        <v/>
      </c>
    </row>
    <row r="928" hidden="1" ht="22.5" customHeight="1" s="117">
      <c r="A928" s="14" t="n">
        <v>46016.28515895833</v>
      </c>
      <c r="B928" s="17" t="inlineStr">
        <is>
          <t>Trần Minh Khánh</t>
        </is>
      </c>
      <c r="C928" s="16" t="n">
        <v>46015</v>
      </c>
      <c r="D928" s="17" t="n">
        <v>0</v>
      </c>
      <c r="E928" s="17" t="n">
        <v>0</v>
      </c>
      <c r="F928" s="17" t="n">
        <v>0</v>
      </c>
      <c r="G928" s="17" t="n">
        <v>1</v>
      </c>
      <c r="H928" s="17" t="n">
        <v>0</v>
      </c>
      <c r="I928" s="17" t="n">
        <v>0</v>
      </c>
      <c r="J928" s="17" t="n">
        <v>0</v>
      </c>
      <c r="K928" s="17" t="n">
        <v>9</v>
      </c>
      <c r="L928" s="17" t="n">
        <v>0</v>
      </c>
      <c r="M928" s="17" t="n">
        <v>0</v>
      </c>
      <c r="N928" s="17" t="n">
        <v>0</v>
      </c>
      <c r="O928" s="17" t="n">
        <v>0</v>
      </c>
      <c r="P928" s="17" t="n">
        <v>0</v>
      </c>
      <c r="Q928" s="17" t="n">
        <v>4</v>
      </c>
      <c r="R928" s="17" t="n">
        <v>0</v>
      </c>
      <c r="T928" s="17">
        <f>DAY(C928)</f>
        <v/>
      </c>
      <c r="U928" s="17">
        <f>MONTH(C928)</f>
        <v/>
      </c>
    </row>
    <row r="929" hidden="1" ht="22.5" customHeight="1" s="117">
      <c r="A929" s="14" t="n">
        <v>46016.28752877315</v>
      </c>
      <c r="B929" s="17" t="inlineStr">
        <is>
          <t>Đặng Hoài Anh</t>
        </is>
      </c>
      <c r="C929" s="16" t="n">
        <v>46015</v>
      </c>
      <c r="D929" s="17" t="n">
        <v>0</v>
      </c>
      <c r="E929" s="17" t="n">
        <v>0</v>
      </c>
      <c r="F929" s="17" t="n">
        <v>0</v>
      </c>
      <c r="G929" s="17" t="n">
        <v>0</v>
      </c>
      <c r="H929" s="17" t="n">
        <v>0</v>
      </c>
      <c r="I929" s="17" t="n">
        <v>0</v>
      </c>
      <c r="J929" s="17" t="n">
        <v>0</v>
      </c>
      <c r="K929" s="17" t="n">
        <v>10</v>
      </c>
      <c r="L929" s="17" t="n">
        <v>0</v>
      </c>
      <c r="M929" s="17" t="n">
        <v>0</v>
      </c>
      <c r="N929" s="17" t="n">
        <v>0</v>
      </c>
      <c r="O929" s="17" t="n">
        <v>0</v>
      </c>
      <c r="P929" s="17" t="n">
        <v>0</v>
      </c>
      <c r="Q929" s="17" t="n">
        <v>1</v>
      </c>
      <c r="R929" s="17" t="n">
        <v>0</v>
      </c>
      <c r="T929" s="17">
        <f>DAY(C929)</f>
        <v/>
      </c>
      <c r="U929" s="17">
        <f>MONTH(C929)</f>
        <v/>
      </c>
    </row>
    <row r="930" hidden="1" ht="22.5" customHeight="1" s="117">
      <c r="A930" s="14" t="n">
        <v>46016.29036613426</v>
      </c>
      <c r="B930" s="17" t="inlineStr">
        <is>
          <t>Đào Công Trung</t>
        </is>
      </c>
      <c r="C930" s="16" t="n">
        <v>46015</v>
      </c>
      <c r="D930" s="17" t="n">
        <v>0</v>
      </c>
      <c r="E930" s="17" t="n">
        <v>0</v>
      </c>
      <c r="F930" s="17" t="n">
        <v>0</v>
      </c>
      <c r="G930" s="17" t="n">
        <v>0</v>
      </c>
      <c r="H930" s="17" t="n">
        <v>0</v>
      </c>
      <c r="I930" s="17" t="n">
        <v>0</v>
      </c>
      <c r="J930" s="17" t="n">
        <v>0</v>
      </c>
      <c r="K930" s="17" t="n">
        <v>12</v>
      </c>
      <c r="L930" s="17" t="n">
        <v>2</v>
      </c>
      <c r="M930" s="17" t="n">
        <v>1</v>
      </c>
      <c r="N930" s="17" t="n">
        <v>3</v>
      </c>
      <c r="O930" s="17" t="n">
        <v>0</v>
      </c>
      <c r="P930" s="17" t="n">
        <v>0</v>
      </c>
      <c r="Q930" s="17" t="n">
        <v>1</v>
      </c>
      <c r="R930" s="17" t="n">
        <v>0</v>
      </c>
      <c r="T930" s="17">
        <f>DAY(C930)</f>
        <v/>
      </c>
      <c r="U930" s="17">
        <f>MONTH(C930)</f>
        <v/>
      </c>
    </row>
    <row r="931" hidden="1" ht="22.5" customHeight="1" s="117">
      <c r="A931" s="14" t="n">
        <v>46016.29200675926</v>
      </c>
      <c r="B931" s="17" t="inlineStr">
        <is>
          <t>Hồ Thái Minh Trí</t>
        </is>
      </c>
      <c r="C931" s="16" t="n">
        <v>46015</v>
      </c>
      <c r="D931" s="17" t="n">
        <v>0</v>
      </c>
      <c r="E931" s="17" t="n">
        <v>0</v>
      </c>
      <c r="F931" s="17" t="n">
        <v>0</v>
      </c>
      <c r="G931" s="17" t="n">
        <v>0</v>
      </c>
      <c r="H931" s="17" t="n">
        <v>1</v>
      </c>
      <c r="I931" s="17" t="n">
        <v>0</v>
      </c>
      <c r="J931" s="17" t="n">
        <v>0</v>
      </c>
      <c r="K931" s="17" t="n">
        <v>10</v>
      </c>
      <c r="L931" s="17" t="n">
        <v>0</v>
      </c>
      <c r="M931" s="17" t="n">
        <v>2</v>
      </c>
      <c r="N931" s="17" t="n">
        <v>0</v>
      </c>
      <c r="O931" s="17" t="n">
        <v>0</v>
      </c>
      <c r="P931" s="17" t="n">
        <v>0</v>
      </c>
      <c r="Q931" s="17" t="n">
        <v>1</v>
      </c>
      <c r="R931" s="17" t="n">
        <v>0</v>
      </c>
      <c r="T931" s="17">
        <f>DAY(C931)</f>
        <v/>
      </c>
      <c r="U931" s="17">
        <f>MONTH(C931)</f>
        <v/>
      </c>
    </row>
    <row r="932" hidden="1" ht="22.5" customHeight="1" s="117">
      <c r="A932" s="14" t="n">
        <v>46016.29256578704</v>
      </c>
      <c r="B932" s="17" t="inlineStr">
        <is>
          <t>Đặng Hữu Danh</t>
        </is>
      </c>
      <c r="C932" s="16" t="n">
        <v>46015</v>
      </c>
      <c r="D932" s="17" t="n">
        <v>1</v>
      </c>
      <c r="E932" s="17" t="n">
        <v>0</v>
      </c>
      <c r="F932" s="17" t="n">
        <v>0</v>
      </c>
      <c r="G932" s="17" t="n">
        <v>0</v>
      </c>
      <c r="H932" s="17" t="n">
        <v>1</v>
      </c>
      <c r="I932" s="17" t="n">
        <v>1</v>
      </c>
      <c r="J932" s="17" t="n">
        <v>1</v>
      </c>
      <c r="K932" s="17" t="n">
        <v>4</v>
      </c>
      <c r="L932" s="17" t="n">
        <v>0</v>
      </c>
      <c r="M932" s="17" t="n">
        <v>0</v>
      </c>
      <c r="N932" s="17" t="n">
        <v>3</v>
      </c>
      <c r="O932" s="17" t="n">
        <v>0</v>
      </c>
      <c r="P932" s="17" t="n">
        <v>1</v>
      </c>
      <c r="Q932" s="17" t="n">
        <v>2</v>
      </c>
      <c r="R932" s="17" t="n">
        <v>1</v>
      </c>
      <c r="T932" s="17">
        <f>DAY(C932)</f>
        <v/>
      </c>
      <c r="U932" s="17">
        <f>MONTH(C932)</f>
        <v/>
      </c>
    </row>
    <row r="933" hidden="1" ht="22.5" customHeight="1" s="117">
      <c r="A933" s="14" t="n">
        <v>46016.29404893518</v>
      </c>
      <c r="B933" s="17" t="inlineStr">
        <is>
          <t>Huỳnh Văn Lực</t>
        </is>
      </c>
      <c r="C933" s="16" t="n">
        <v>46015</v>
      </c>
      <c r="D933" s="17" t="n">
        <v>0</v>
      </c>
      <c r="E933" s="17" t="n">
        <v>0</v>
      </c>
      <c r="F933" s="17" t="n">
        <v>0</v>
      </c>
      <c r="G933" s="17" t="n">
        <v>0</v>
      </c>
      <c r="H933" s="17" t="n">
        <v>0</v>
      </c>
      <c r="I933" s="17" t="n">
        <v>0</v>
      </c>
      <c r="J933" s="17" t="n">
        <v>0</v>
      </c>
      <c r="K933" s="17" t="n">
        <v>3</v>
      </c>
      <c r="L933" s="17" t="n">
        <v>0</v>
      </c>
      <c r="M933" s="17" t="n">
        <v>0</v>
      </c>
      <c r="N933" s="17" t="n">
        <v>0</v>
      </c>
      <c r="O933" s="17" t="n">
        <v>0</v>
      </c>
      <c r="P933" s="17" t="n">
        <v>1</v>
      </c>
      <c r="Q933" s="17" t="n">
        <v>1</v>
      </c>
      <c r="R933" s="17" t="n">
        <v>0</v>
      </c>
      <c r="T933" s="17">
        <f>DAY(C933)</f>
        <v/>
      </c>
      <c r="U933" s="17">
        <f>MONTH(C933)</f>
        <v/>
      </c>
    </row>
    <row r="934" hidden="1" ht="22.5" customHeight="1" s="117">
      <c r="A934" s="14" t="n">
        <v>46016.30717216435</v>
      </c>
      <c r="B934" s="17" t="inlineStr">
        <is>
          <t>Nguyễn Tuấn Anh</t>
        </is>
      </c>
      <c r="C934" s="16" t="n">
        <v>46015</v>
      </c>
      <c r="D934" s="17" t="n">
        <v>0</v>
      </c>
      <c r="E934" s="17" t="n">
        <v>0</v>
      </c>
      <c r="F934" s="17" t="n">
        <v>0</v>
      </c>
      <c r="G934" s="17" t="n">
        <v>0</v>
      </c>
      <c r="H934" s="17" t="n">
        <v>0</v>
      </c>
      <c r="I934" s="17" t="n">
        <v>0</v>
      </c>
      <c r="J934" s="17" t="n">
        <v>0</v>
      </c>
      <c r="K934" s="17" t="n">
        <v>5</v>
      </c>
      <c r="L934" s="17" t="n">
        <v>0</v>
      </c>
      <c r="M934" s="17" t="n">
        <v>0</v>
      </c>
      <c r="N934" s="17" t="n">
        <v>0</v>
      </c>
      <c r="O934" s="17" t="n">
        <v>0</v>
      </c>
      <c r="P934" s="17" t="n">
        <v>1</v>
      </c>
      <c r="Q934" s="17" t="n">
        <v>2</v>
      </c>
      <c r="R934" s="17" t="n">
        <v>0</v>
      </c>
      <c r="T934" s="17">
        <f>DAY(C934)</f>
        <v/>
      </c>
      <c r="U934" s="17">
        <f>MONTH(C934)</f>
        <v/>
      </c>
    </row>
    <row r="935" hidden="1" ht="22.5" customHeight="1" s="117">
      <c r="A935" s="14" t="n">
        <v>46016.30739824074</v>
      </c>
      <c r="B935" s="17" t="inlineStr">
        <is>
          <t>Hồ Xuân Việt</t>
        </is>
      </c>
      <c r="C935" s="16" t="n">
        <v>46015</v>
      </c>
      <c r="D935" s="17" t="n">
        <v>0</v>
      </c>
      <c r="E935" s="17" t="n">
        <v>0</v>
      </c>
      <c r="F935" s="17" t="n">
        <v>0</v>
      </c>
      <c r="G935" s="17" t="n">
        <v>0</v>
      </c>
      <c r="H935" s="17" t="n">
        <v>0</v>
      </c>
      <c r="I935" s="17" t="n">
        <v>0</v>
      </c>
      <c r="J935" s="17" t="n">
        <v>0</v>
      </c>
      <c r="K935" s="17" t="n">
        <v>6</v>
      </c>
      <c r="L935" s="17" t="n">
        <v>0</v>
      </c>
      <c r="M935" s="17" t="n">
        <v>0</v>
      </c>
      <c r="N935" s="17" t="n">
        <v>0</v>
      </c>
      <c r="O935" s="17" t="n">
        <v>0</v>
      </c>
      <c r="P935" s="17" t="n">
        <v>1</v>
      </c>
      <c r="Q935" s="17" t="n">
        <v>1</v>
      </c>
      <c r="R935" s="17" t="n">
        <v>0</v>
      </c>
      <c r="T935" s="17">
        <f>DAY(C935)</f>
        <v/>
      </c>
      <c r="U935" s="17">
        <f>MONTH(C935)</f>
        <v/>
      </c>
    </row>
    <row r="936" hidden="1" ht="22.5" customHeight="1" s="117">
      <c r="A936" s="14" t="n">
        <v>46016.31018927084</v>
      </c>
      <c r="B936" s="17" t="inlineStr">
        <is>
          <t>Trần Xuân Khoa</t>
        </is>
      </c>
      <c r="C936" s="16" t="n">
        <v>46015</v>
      </c>
      <c r="D936" s="17" t="n">
        <v>0</v>
      </c>
      <c r="E936" s="17" t="n">
        <v>0</v>
      </c>
      <c r="F936" s="17" t="n">
        <v>0</v>
      </c>
      <c r="G936" s="17" t="n">
        <v>0</v>
      </c>
      <c r="H936" s="17" t="n">
        <v>0</v>
      </c>
      <c r="I936" s="17" t="n">
        <v>0</v>
      </c>
      <c r="J936" s="17" t="n">
        <v>0</v>
      </c>
      <c r="K936" s="17" t="n">
        <v>25</v>
      </c>
      <c r="L936" s="17" t="n">
        <v>0</v>
      </c>
      <c r="M936" s="17" t="n">
        <v>0</v>
      </c>
      <c r="N936" s="17" t="n">
        <v>0</v>
      </c>
      <c r="O936" s="17" t="n">
        <v>0</v>
      </c>
      <c r="P936" s="17" t="n">
        <v>1</v>
      </c>
      <c r="Q936" s="17" t="n">
        <v>2</v>
      </c>
      <c r="R936" s="17" t="n">
        <v>0</v>
      </c>
      <c r="T936" s="17">
        <f>DAY(C936)</f>
        <v/>
      </c>
      <c r="U936" s="17">
        <f>MONTH(C936)</f>
        <v/>
      </c>
    </row>
    <row r="937" hidden="1" ht="22.5" customHeight="1" s="117">
      <c r="A937" s="14" t="n">
        <v>46016.315991875</v>
      </c>
      <c r="B937" s="17" t="inlineStr">
        <is>
          <t>Nguyễn Hồng Minh</t>
        </is>
      </c>
      <c r="C937" s="16" t="n">
        <v>46015</v>
      </c>
      <c r="D937" s="17" t="n">
        <v>0</v>
      </c>
      <c r="E937" s="17" t="n">
        <v>0</v>
      </c>
      <c r="F937" s="17" t="n">
        <v>1</v>
      </c>
      <c r="G937" s="17" t="n">
        <v>0</v>
      </c>
      <c r="H937" s="17" t="n">
        <v>0</v>
      </c>
      <c r="I937" s="17" t="n">
        <v>2</v>
      </c>
      <c r="J937" s="17" t="n">
        <v>0</v>
      </c>
      <c r="K937" s="17" t="n">
        <v>10</v>
      </c>
      <c r="L937" s="17" t="n">
        <v>0</v>
      </c>
      <c r="M937" s="17" t="n">
        <v>0</v>
      </c>
      <c r="N937" s="17" t="n">
        <v>3</v>
      </c>
      <c r="O937" s="17" t="n">
        <v>1</v>
      </c>
      <c r="P937" s="17" t="n">
        <v>1</v>
      </c>
      <c r="Q937" s="17" t="n">
        <v>5</v>
      </c>
      <c r="R937" s="17" t="n">
        <v>0</v>
      </c>
      <c r="T937" s="17">
        <f>DAY(C937)</f>
        <v/>
      </c>
      <c r="U937" s="17">
        <f>MONTH(C937)</f>
        <v/>
      </c>
    </row>
    <row r="938" hidden="1" ht="22.5" customHeight="1" s="117">
      <c r="A938" s="14" t="n">
        <v>46016.32052164352</v>
      </c>
      <c r="B938" s="17" t="inlineStr">
        <is>
          <t>Bùi Duy Cường</t>
        </is>
      </c>
      <c r="C938" s="16" t="n">
        <v>46015</v>
      </c>
      <c r="D938" s="17" t="n">
        <v>1</v>
      </c>
      <c r="E938" s="17" t="n">
        <v>1</v>
      </c>
      <c r="F938" s="17" t="n">
        <v>0</v>
      </c>
      <c r="G938" s="17" t="n">
        <v>1</v>
      </c>
      <c r="H938" s="17" t="n">
        <v>1</v>
      </c>
      <c r="I938" s="17" t="n">
        <v>1</v>
      </c>
      <c r="J938" s="17" t="n">
        <v>0</v>
      </c>
      <c r="K938" s="17" t="n">
        <v>8</v>
      </c>
      <c r="L938" s="17" t="n">
        <v>0</v>
      </c>
      <c r="M938" s="17" t="n">
        <v>1</v>
      </c>
      <c r="N938" s="17" t="n">
        <v>1</v>
      </c>
      <c r="O938" s="17" t="n">
        <v>1</v>
      </c>
      <c r="P938" s="17" t="n">
        <v>0</v>
      </c>
      <c r="Q938" s="17" t="n">
        <v>1</v>
      </c>
      <c r="R938" s="17" t="n">
        <v>0</v>
      </c>
      <c r="T938" s="17">
        <f>DAY(C938)</f>
        <v/>
      </c>
      <c r="U938" s="17">
        <f>MONTH(C938)</f>
        <v/>
      </c>
    </row>
    <row r="939" hidden="1" ht="22.5" customHeight="1" s="117">
      <c r="A939" s="14" t="n">
        <v>46016.33012225694</v>
      </c>
      <c r="B939" s="17" t="inlineStr">
        <is>
          <t>Lương Duy Hải</t>
        </is>
      </c>
      <c r="C939" s="16" t="n">
        <v>46015</v>
      </c>
      <c r="D939" s="17" t="n">
        <v>0</v>
      </c>
      <c r="E939" s="17" t="n">
        <v>0</v>
      </c>
      <c r="F939" s="17" t="n">
        <v>0</v>
      </c>
      <c r="G939" s="17" t="n">
        <v>0</v>
      </c>
      <c r="H939" s="17" t="n">
        <v>0</v>
      </c>
      <c r="I939" s="17" t="n">
        <v>0</v>
      </c>
      <c r="J939" s="17" t="n">
        <v>0</v>
      </c>
      <c r="K939" s="17" t="n">
        <v>0</v>
      </c>
      <c r="L939" s="17" t="n">
        <v>6</v>
      </c>
      <c r="M939" s="17" t="n">
        <v>0</v>
      </c>
      <c r="N939" s="17" t="n">
        <v>0</v>
      </c>
      <c r="O939" s="17" t="n">
        <v>0</v>
      </c>
      <c r="P939" s="17" t="n">
        <v>1</v>
      </c>
      <c r="Q939" s="17" t="n">
        <v>0</v>
      </c>
      <c r="R939" s="17" t="n">
        <v>0</v>
      </c>
      <c r="T939" s="17">
        <f>DAY(C939)</f>
        <v/>
      </c>
      <c r="U939" s="17">
        <f>MONTH(C939)</f>
        <v/>
      </c>
    </row>
    <row r="940" hidden="1" ht="22.5" customHeight="1" s="117">
      <c r="A940" s="14" t="n">
        <v>46016.34793291667</v>
      </c>
      <c r="B940" s="17" t="inlineStr">
        <is>
          <t>Lê Văn Hồng</t>
        </is>
      </c>
      <c r="C940" s="16" t="n">
        <v>46015</v>
      </c>
      <c r="D940" s="17" t="n">
        <v>0</v>
      </c>
      <c r="E940" s="17" t="n">
        <v>0</v>
      </c>
      <c r="F940" s="17" t="n">
        <v>0</v>
      </c>
      <c r="G940" s="17" t="n">
        <v>0</v>
      </c>
      <c r="H940" s="17" t="n">
        <v>0</v>
      </c>
      <c r="I940" s="17" t="n">
        <v>0</v>
      </c>
      <c r="J940" s="17" t="n">
        <v>0</v>
      </c>
      <c r="K940" s="17" t="n">
        <v>5</v>
      </c>
      <c r="L940" s="17" t="n">
        <v>0</v>
      </c>
      <c r="M940" s="17" t="n">
        <v>1</v>
      </c>
      <c r="N940" s="17" t="n">
        <v>0</v>
      </c>
      <c r="O940" s="17" t="n">
        <v>0</v>
      </c>
      <c r="P940" s="17" t="n">
        <v>2</v>
      </c>
      <c r="Q940" s="17" t="n">
        <v>4</v>
      </c>
      <c r="R940" s="17" t="n">
        <v>0</v>
      </c>
      <c r="T940" s="17">
        <f>DAY(C940)</f>
        <v/>
      </c>
      <c r="U940" s="17">
        <f>MONTH(C940)</f>
        <v/>
      </c>
    </row>
    <row r="941" hidden="1" ht="22.5" customHeight="1" s="117">
      <c r="A941" s="14" t="n">
        <v>46016.88198702547</v>
      </c>
      <c r="B941" s="17" t="inlineStr">
        <is>
          <t>Lê Quốc Duy</t>
        </is>
      </c>
      <c r="C941" s="16" t="n">
        <v>46016</v>
      </c>
      <c r="D941" s="17" t="n">
        <v>0</v>
      </c>
      <c r="E941" s="17" t="n">
        <v>0</v>
      </c>
      <c r="F941" s="17" t="n">
        <v>0</v>
      </c>
      <c r="G941" s="17" t="n">
        <v>0</v>
      </c>
      <c r="H941" s="17" t="n">
        <v>0</v>
      </c>
      <c r="I941" s="17" t="n">
        <v>0</v>
      </c>
      <c r="J941" s="17" t="n">
        <v>0</v>
      </c>
      <c r="K941" s="17" t="n">
        <v>14</v>
      </c>
      <c r="L941" s="17" t="n">
        <v>0</v>
      </c>
      <c r="M941" s="17" t="n">
        <v>0</v>
      </c>
      <c r="N941" s="17" t="n">
        <v>0</v>
      </c>
      <c r="O941" s="17" t="n">
        <v>0</v>
      </c>
      <c r="P941" s="17" t="n">
        <v>0</v>
      </c>
      <c r="Q941" s="17" t="n">
        <v>1</v>
      </c>
      <c r="R941" s="17" t="n">
        <v>0</v>
      </c>
      <c r="T941" s="17">
        <f>DAY(C941)</f>
        <v/>
      </c>
      <c r="U941" s="17">
        <f>MONTH(C941)</f>
        <v/>
      </c>
    </row>
    <row r="942" hidden="1" ht="22.5" customHeight="1" s="117">
      <c r="A942" s="14" t="n">
        <v>46017.25240400463</v>
      </c>
      <c r="B942" s="17" t="inlineStr">
        <is>
          <t>Lê Hồng Phong</t>
        </is>
      </c>
      <c r="C942" s="16" t="n">
        <v>46017</v>
      </c>
      <c r="D942" s="17" t="n">
        <v>1</v>
      </c>
      <c r="E942" s="17" t="n">
        <v>1</v>
      </c>
      <c r="F942" s="17" t="n">
        <v>1</v>
      </c>
      <c r="G942" s="17" t="n">
        <v>0</v>
      </c>
      <c r="H942" s="17" t="n">
        <v>0</v>
      </c>
      <c r="I942" s="17" t="n">
        <v>1</v>
      </c>
      <c r="J942" s="17" t="n">
        <v>1</v>
      </c>
      <c r="K942" s="17" t="n">
        <v>1</v>
      </c>
      <c r="L942" s="17" t="n">
        <v>1</v>
      </c>
      <c r="M942" s="17" t="n">
        <v>1</v>
      </c>
      <c r="N942" s="17" t="n">
        <v>1</v>
      </c>
      <c r="O942" s="17" t="n">
        <v>1</v>
      </c>
      <c r="P942" s="17" t="n">
        <v>1</v>
      </c>
      <c r="Q942" s="17" t="n">
        <v>1</v>
      </c>
      <c r="R942" s="17" t="n">
        <v>1</v>
      </c>
      <c r="T942" s="17">
        <f>DAY(C942)</f>
        <v/>
      </c>
      <c r="U942" s="17">
        <f>MONTH(C942)</f>
        <v/>
      </c>
    </row>
    <row r="943" hidden="1" ht="22.5" customHeight="1" s="117">
      <c r="A943" s="14" t="n">
        <v>46017.27276988426</v>
      </c>
      <c r="B943" s="17" t="inlineStr">
        <is>
          <t>Nguyễn Văn Hiệp</t>
        </is>
      </c>
      <c r="C943" s="16" t="n">
        <v>46016</v>
      </c>
      <c r="D943" s="17" t="n">
        <v>0</v>
      </c>
      <c r="E943" s="17" t="n">
        <v>0</v>
      </c>
      <c r="F943" s="17" t="n">
        <v>0</v>
      </c>
      <c r="G943" s="17" t="n">
        <v>0</v>
      </c>
      <c r="H943" s="17" t="n">
        <v>0</v>
      </c>
      <c r="I943" s="17" t="n">
        <v>0</v>
      </c>
      <c r="J943" s="17" t="n">
        <v>0</v>
      </c>
      <c r="K943" s="17" t="n">
        <v>0</v>
      </c>
      <c r="L943" s="17" t="n">
        <v>0</v>
      </c>
      <c r="M943" s="17" t="n">
        <v>0</v>
      </c>
      <c r="N943" s="17" t="n">
        <v>0</v>
      </c>
      <c r="O943" s="17" t="n">
        <v>0</v>
      </c>
      <c r="P943" s="17" t="n">
        <v>0</v>
      </c>
      <c r="Q943" s="17" t="n">
        <v>0</v>
      </c>
      <c r="R943" s="17" t="n">
        <v>0</v>
      </c>
      <c r="T943" s="17">
        <f>DAY(C943)</f>
        <v/>
      </c>
      <c r="U943" s="17">
        <f>MONTH(C943)</f>
        <v/>
      </c>
    </row>
    <row r="944" hidden="1" ht="22.5" customHeight="1" s="117">
      <c r="A944" s="14" t="n">
        <v>46017.2864584838</v>
      </c>
      <c r="B944" s="17" t="inlineStr">
        <is>
          <t>Dương Minh Tiến</t>
        </is>
      </c>
      <c r="C944" s="16" t="n">
        <v>46016</v>
      </c>
      <c r="D944" s="17" t="n">
        <v>0</v>
      </c>
      <c r="E944" s="17" t="n">
        <v>0</v>
      </c>
      <c r="F944" s="17" t="n">
        <v>0</v>
      </c>
      <c r="G944" s="17" t="n">
        <v>0</v>
      </c>
      <c r="H944" s="17" t="n">
        <v>0</v>
      </c>
      <c r="I944" s="17" t="n">
        <v>0</v>
      </c>
      <c r="J944" s="17" t="n">
        <v>0</v>
      </c>
      <c r="K944" s="17" t="n">
        <v>8</v>
      </c>
      <c r="L944" s="17" t="n">
        <v>0</v>
      </c>
      <c r="M944" s="17" t="n">
        <v>1</v>
      </c>
      <c r="N944" s="17" t="n">
        <v>0</v>
      </c>
      <c r="O944" s="17" t="n">
        <v>0</v>
      </c>
      <c r="P944" s="17" t="n">
        <v>0</v>
      </c>
      <c r="Q944" s="17" t="n">
        <v>0</v>
      </c>
      <c r="R944" s="17" t="n">
        <v>0</v>
      </c>
      <c r="T944" s="17">
        <f>DAY(C944)</f>
        <v/>
      </c>
      <c r="U944" s="17">
        <f>MONTH(C944)</f>
        <v/>
      </c>
    </row>
    <row r="945" hidden="1" ht="22.5" customHeight="1" s="117">
      <c r="A945" s="14" t="n">
        <v>46017.28731269676</v>
      </c>
      <c r="B945" s="17" t="inlineStr">
        <is>
          <t>Phan Thành Thái</t>
        </is>
      </c>
      <c r="C945" s="16" t="n">
        <v>46016</v>
      </c>
      <c r="D945" s="17" t="n">
        <v>1</v>
      </c>
      <c r="E945" s="17" t="n">
        <v>0</v>
      </c>
      <c r="F945" s="17" t="n">
        <v>0</v>
      </c>
      <c r="G945" s="17" t="n">
        <v>0</v>
      </c>
      <c r="H945" s="17" t="n">
        <v>0</v>
      </c>
      <c r="I945" s="17" t="n">
        <v>0</v>
      </c>
      <c r="J945" s="17" t="n">
        <v>0</v>
      </c>
      <c r="K945" s="17" t="n">
        <v>22</v>
      </c>
      <c r="L945" s="17" t="n">
        <v>0</v>
      </c>
      <c r="M945" s="17" t="n">
        <v>1</v>
      </c>
      <c r="N945" s="17" t="n">
        <v>0</v>
      </c>
      <c r="O945" s="17" t="n">
        <v>0</v>
      </c>
      <c r="P945" s="17" t="n">
        <v>1</v>
      </c>
      <c r="Q945" s="17" t="n">
        <v>4</v>
      </c>
      <c r="R945" s="17" t="n">
        <v>0</v>
      </c>
      <c r="T945" s="17">
        <f>DAY(C945)</f>
        <v/>
      </c>
      <c r="U945" s="17">
        <f>MONTH(C945)</f>
        <v/>
      </c>
    </row>
    <row r="946" hidden="1" ht="22.5" customHeight="1" s="117">
      <c r="A946" s="14" t="n">
        <v>46017.28735055555</v>
      </c>
      <c r="B946" s="17" t="inlineStr">
        <is>
          <t>Nguyễn Tuấn Anh</t>
        </is>
      </c>
      <c r="C946" s="16" t="n">
        <v>46017</v>
      </c>
      <c r="D946" s="17" t="n">
        <v>0</v>
      </c>
      <c r="E946" s="17" t="n">
        <v>0</v>
      </c>
      <c r="F946" s="17" t="n">
        <v>0</v>
      </c>
      <c r="G946" s="17" t="n">
        <v>0</v>
      </c>
      <c r="H946" s="17" t="n">
        <v>0</v>
      </c>
      <c r="I946" s="17" t="n">
        <v>0</v>
      </c>
      <c r="J946" s="17" t="n">
        <v>0</v>
      </c>
      <c r="K946" s="17" t="n">
        <v>9</v>
      </c>
      <c r="L946" s="17" t="n">
        <v>0</v>
      </c>
      <c r="M946" s="17" t="n">
        <v>0</v>
      </c>
      <c r="N946" s="17" t="n">
        <v>0</v>
      </c>
      <c r="O946" s="17" t="n">
        <v>0</v>
      </c>
      <c r="P946" s="17" t="n">
        <v>0</v>
      </c>
      <c r="Q946" s="17" t="n">
        <v>5</v>
      </c>
      <c r="R946" s="17" t="n">
        <v>0</v>
      </c>
      <c r="T946" s="17">
        <f>DAY(C946)</f>
        <v/>
      </c>
      <c r="U946" s="17">
        <f>MONTH(C946)</f>
        <v/>
      </c>
    </row>
    <row r="947" hidden="1" ht="22.5" customHeight="1" s="117">
      <c r="A947" s="14" t="n">
        <v>46017.28860864583</v>
      </c>
      <c r="B947" s="17" t="inlineStr">
        <is>
          <t>Hồ Xuân Việt</t>
        </is>
      </c>
      <c r="C947" s="16" t="n">
        <v>46016</v>
      </c>
      <c r="D947" s="17" t="n">
        <v>0</v>
      </c>
      <c r="E947" s="17" t="n">
        <v>0</v>
      </c>
      <c r="F947" s="17" t="n">
        <v>0</v>
      </c>
      <c r="G947" s="17" t="n">
        <v>0</v>
      </c>
      <c r="H947" s="17" t="n">
        <v>0</v>
      </c>
      <c r="I947" s="17" t="n">
        <v>0</v>
      </c>
      <c r="J947" s="17" t="n">
        <v>0</v>
      </c>
      <c r="K947" s="17" t="n">
        <v>15</v>
      </c>
      <c r="L947" s="17" t="n">
        <v>0</v>
      </c>
      <c r="M947" s="17" t="n">
        <v>0</v>
      </c>
      <c r="N947" s="17" t="n">
        <v>0</v>
      </c>
      <c r="O947" s="17" t="n">
        <v>0</v>
      </c>
      <c r="P947" s="17" t="n">
        <v>0</v>
      </c>
      <c r="Q947" s="17" t="n">
        <v>1</v>
      </c>
      <c r="R947" s="17" t="n">
        <v>0</v>
      </c>
      <c r="T947" s="17">
        <f>DAY(C947)</f>
        <v/>
      </c>
      <c r="U947" s="17">
        <f>MONTH(C947)</f>
        <v/>
      </c>
    </row>
    <row r="948" hidden="1" ht="22.5" customHeight="1" s="117">
      <c r="A948" s="14" t="n">
        <v>46017.29243293982</v>
      </c>
      <c r="B948" s="17" t="inlineStr">
        <is>
          <t>Đào Công Trung</t>
        </is>
      </c>
      <c r="C948" s="16" t="n">
        <v>46016</v>
      </c>
      <c r="D948" s="17" t="n">
        <v>0</v>
      </c>
      <c r="E948" s="17" t="n">
        <v>0</v>
      </c>
      <c r="F948" s="17" t="n">
        <v>0</v>
      </c>
      <c r="G948" s="17" t="n">
        <v>0</v>
      </c>
      <c r="H948" s="17" t="n">
        <v>0</v>
      </c>
      <c r="I948" s="17" t="n">
        <v>0</v>
      </c>
      <c r="J948" s="17" t="n">
        <v>0</v>
      </c>
      <c r="K948" s="17" t="n">
        <v>13</v>
      </c>
      <c r="L948" s="17" t="n">
        <v>0</v>
      </c>
      <c r="M948" s="17" t="n">
        <v>0</v>
      </c>
      <c r="N948" s="17" t="n">
        <v>0</v>
      </c>
      <c r="O948" s="17" t="n">
        <v>0</v>
      </c>
      <c r="P948" s="17" t="n">
        <v>0</v>
      </c>
      <c r="Q948" s="17" t="n">
        <v>1</v>
      </c>
      <c r="R948" s="17" t="n">
        <v>0</v>
      </c>
      <c r="T948" s="17">
        <f>DAY(C948)</f>
        <v/>
      </c>
      <c r="U948" s="17">
        <f>MONTH(C948)</f>
        <v/>
      </c>
    </row>
    <row r="949" hidden="1" ht="22.5" customHeight="1" s="117">
      <c r="A949" s="14" t="n">
        <v>46017.29312109954</v>
      </c>
      <c r="B949" s="17" t="inlineStr">
        <is>
          <t>Trần Trung Giang</t>
        </is>
      </c>
      <c r="C949" s="16" t="n">
        <v>46016</v>
      </c>
      <c r="D949" s="17" t="n">
        <v>0</v>
      </c>
      <c r="E949" s="17" t="n">
        <v>0</v>
      </c>
      <c r="F949" s="17" t="n">
        <v>0</v>
      </c>
      <c r="G949" s="17" t="n">
        <v>0</v>
      </c>
      <c r="H949" s="17" t="n">
        <v>0</v>
      </c>
      <c r="I949" s="17" t="n">
        <v>0</v>
      </c>
      <c r="J949" s="17" t="n">
        <v>0</v>
      </c>
      <c r="K949" s="17" t="n">
        <v>1</v>
      </c>
      <c r="L949" s="17" t="n">
        <v>0</v>
      </c>
      <c r="M949" s="17" t="n">
        <v>0</v>
      </c>
      <c r="N949" s="17" t="n">
        <v>0</v>
      </c>
      <c r="O949" s="17" t="n">
        <v>0</v>
      </c>
      <c r="P949" s="17" t="n">
        <v>0</v>
      </c>
      <c r="Q949" s="17" t="n">
        <v>0</v>
      </c>
      <c r="R949" s="17" t="n">
        <v>0</v>
      </c>
      <c r="T949" s="17">
        <f>DAY(C949)</f>
        <v/>
      </c>
      <c r="U949" s="17">
        <f>MONTH(C949)</f>
        <v/>
      </c>
    </row>
    <row r="950" hidden="1" ht="22.5" customHeight="1" s="117">
      <c r="A950" s="14" t="n">
        <v>46017.29336677083</v>
      </c>
      <c r="B950" s="17" t="inlineStr">
        <is>
          <t>Đặng Hữu Danh</t>
        </is>
      </c>
      <c r="C950" s="16" t="n">
        <v>46016</v>
      </c>
      <c r="D950" s="17" t="n">
        <v>0</v>
      </c>
      <c r="E950" s="17" t="n">
        <v>0</v>
      </c>
      <c r="F950" s="17" t="n">
        <v>0</v>
      </c>
      <c r="G950" s="17" t="n">
        <v>0</v>
      </c>
      <c r="H950" s="17" t="n">
        <v>0</v>
      </c>
      <c r="I950" s="17" t="n">
        <v>0</v>
      </c>
      <c r="J950" s="17" t="n">
        <v>1</v>
      </c>
      <c r="K950" s="17" t="n">
        <v>14</v>
      </c>
      <c r="L950" s="17" t="n">
        <v>0</v>
      </c>
      <c r="M950" s="17" t="n">
        <v>1</v>
      </c>
      <c r="N950" s="17" t="n">
        <v>2</v>
      </c>
      <c r="O950" s="17" t="n">
        <v>0</v>
      </c>
      <c r="P950" s="17" t="n">
        <v>1</v>
      </c>
      <c r="Q950" s="17" t="n">
        <v>3</v>
      </c>
      <c r="R950" s="17" t="n">
        <v>0</v>
      </c>
      <c r="T950" s="17">
        <f>DAY(C950)</f>
        <v/>
      </c>
      <c r="U950" s="17">
        <f>MONTH(C950)</f>
        <v/>
      </c>
    </row>
    <row r="951" hidden="1" ht="22.5" customHeight="1" s="117">
      <c r="A951" s="14" t="n">
        <v>46017.2939124537</v>
      </c>
      <c r="B951" s="17" t="inlineStr">
        <is>
          <t>Đặng Hoài Anh</t>
        </is>
      </c>
      <c r="C951" s="16" t="n">
        <v>46016</v>
      </c>
      <c r="D951" s="17" t="n">
        <v>0</v>
      </c>
      <c r="E951" s="17" t="n">
        <v>0</v>
      </c>
      <c r="F951" s="17" t="n">
        <v>0</v>
      </c>
      <c r="G951" s="17" t="n">
        <v>0</v>
      </c>
      <c r="H951" s="17" t="n">
        <v>0</v>
      </c>
      <c r="I951" s="17" t="n">
        <v>0</v>
      </c>
      <c r="J951" s="17" t="n">
        <v>0</v>
      </c>
      <c r="K951" s="17" t="n">
        <v>0</v>
      </c>
      <c r="L951" s="17" t="n">
        <v>0</v>
      </c>
      <c r="M951" s="17" t="n">
        <v>0</v>
      </c>
      <c r="N951" s="17" t="n">
        <v>0</v>
      </c>
      <c r="O951" s="17" t="n">
        <v>0</v>
      </c>
      <c r="P951" s="17" t="n">
        <v>0</v>
      </c>
      <c r="Q951" s="17" t="n">
        <v>0</v>
      </c>
      <c r="R951" s="17" t="n">
        <v>0</v>
      </c>
      <c r="T951" s="17">
        <f>DAY(C951)</f>
        <v/>
      </c>
      <c r="U951" s="17">
        <f>MONTH(C951)</f>
        <v/>
      </c>
    </row>
    <row r="952" hidden="1" ht="22.5" customHeight="1" s="117">
      <c r="A952" s="14" t="n">
        <v>46017.29483254629</v>
      </c>
      <c r="B952" s="17" t="inlineStr">
        <is>
          <t>Lương Duy Hải</t>
        </is>
      </c>
      <c r="C952" s="16" t="n">
        <v>46016</v>
      </c>
      <c r="D952" s="17" t="n">
        <v>0</v>
      </c>
      <c r="E952" s="17" t="n">
        <v>0</v>
      </c>
      <c r="F952" s="17" t="n">
        <v>0</v>
      </c>
      <c r="G952" s="17" t="n">
        <v>0</v>
      </c>
      <c r="H952" s="17" t="n">
        <v>0</v>
      </c>
      <c r="I952" s="17" t="n">
        <v>0</v>
      </c>
      <c r="J952" s="17" t="n">
        <v>0</v>
      </c>
      <c r="K952" s="17" t="n">
        <v>5</v>
      </c>
      <c r="L952" s="17" t="n">
        <v>0</v>
      </c>
      <c r="M952" s="17" t="n">
        <v>0</v>
      </c>
      <c r="N952" s="17" t="n">
        <v>1</v>
      </c>
      <c r="O952" s="17" t="n">
        <v>0</v>
      </c>
      <c r="P952" s="17" t="n">
        <v>2</v>
      </c>
      <c r="Q952" s="17" t="n">
        <v>4</v>
      </c>
      <c r="R952" s="17" t="n">
        <v>0</v>
      </c>
      <c r="T952" s="17">
        <f>DAY(C952)</f>
        <v/>
      </c>
      <c r="U952" s="17">
        <f>MONTH(C952)</f>
        <v/>
      </c>
    </row>
    <row r="953" hidden="1" ht="22.5" customHeight="1" s="117">
      <c r="A953" s="14" t="n">
        <v>46017.29499512731</v>
      </c>
      <c r="B953" s="17" t="inlineStr">
        <is>
          <t>Hồ Thái Minh Trí</t>
        </is>
      </c>
      <c r="C953" s="16" t="n">
        <v>46016</v>
      </c>
      <c r="D953" s="17" t="n">
        <v>1</v>
      </c>
      <c r="E953" s="17" t="n">
        <v>0</v>
      </c>
      <c r="F953" s="17" t="n">
        <v>2</v>
      </c>
      <c r="G953" s="17" t="n">
        <v>1</v>
      </c>
      <c r="H953" s="17" t="n">
        <v>1</v>
      </c>
      <c r="I953" s="17" t="n">
        <v>0</v>
      </c>
      <c r="J953" s="17" t="n">
        <v>0</v>
      </c>
      <c r="K953" s="17" t="n">
        <v>14</v>
      </c>
      <c r="L953" s="17" t="n">
        <v>0</v>
      </c>
      <c r="M953" s="17" t="n">
        <v>0</v>
      </c>
      <c r="N953" s="17" t="n">
        <v>0</v>
      </c>
      <c r="O953" s="17" t="n">
        <v>0</v>
      </c>
      <c r="P953" s="17" t="n">
        <v>0</v>
      </c>
      <c r="Q953" s="17" t="n">
        <v>0</v>
      </c>
      <c r="R953" s="17" t="n">
        <v>0</v>
      </c>
      <c r="T953" s="17">
        <f>DAY(C953)</f>
        <v/>
      </c>
      <c r="U953" s="17">
        <f>MONTH(C953)</f>
        <v/>
      </c>
    </row>
    <row r="954" hidden="1" ht="22.5" customHeight="1" s="117">
      <c r="A954" s="14" t="n">
        <v>46017.29506456019</v>
      </c>
      <c r="B954" s="17" t="inlineStr">
        <is>
          <t>Phan Ngọc Sang</t>
        </is>
      </c>
      <c r="C954" s="16" t="n">
        <v>46016</v>
      </c>
      <c r="D954" s="17" t="n">
        <v>0</v>
      </c>
      <c r="E954" s="17" t="n">
        <v>0</v>
      </c>
      <c r="F954" s="17" t="n">
        <v>0</v>
      </c>
      <c r="G954" s="17" t="n">
        <v>0</v>
      </c>
      <c r="H954" s="17" t="n">
        <v>0</v>
      </c>
      <c r="I954" s="17" t="n">
        <v>0</v>
      </c>
      <c r="J954" s="17" t="n">
        <v>0</v>
      </c>
      <c r="K954" s="17" t="n">
        <v>10</v>
      </c>
      <c r="L954" s="17" t="n">
        <v>0</v>
      </c>
      <c r="M954" s="17" t="n">
        <v>1</v>
      </c>
      <c r="N954" s="17" t="n">
        <v>2</v>
      </c>
      <c r="O954" s="17" t="n">
        <v>0</v>
      </c>
      <c r="P954" s="17" t="n">
        <v>0</v>
      </c>
      <c r="Q954" s="17" t="n">
        <v>2</v>
      </c>
      <c r="R954" s="17" t="n">
        <v>0</v>
      </c>
      <c r="T954" s="17">
        <f>DAY(C954)</f>
        <v/>
      </c>
      <c r="U954" s="17">
        <f>MONTH(C954)</f>
        <v/>
      </c>
    </row>
    <row r="955" hidden="1" ht="22.5" customHeight="1" s="117">
      <c r="A955" s="14" t="n">
        <v>46017.29825679398</v>
      </c>
      <c r="B955" s="17" t="inlineStr">
        <is>
          <t>Nguyễn Quang Anh Tuấn</t>
        </is>
      </c>
      <c r="C955" s="16" t="n">
        <v>46016</v>
      </c>
      <c r="D955" s="17" t="n">
        <v>0</v>
      </c>
      <c r="E955" s="17" t="n">
        <v>0</v>
      </c>
      <c r="F955" s="17" t="n">
        <v>0</v>
      </c>
      <c r="G955" s="17" t="n">
        <v>0</v>
      </c>
      <c r="H955" s="17" t="n">
        <v>0</v>
      </c>
      <c r="I955" s="17" t="n">
        <v>0</v>
      </c>
      <c r="J955" s="17" t="n">
        <v>0</v>
      </c>
      <c r="K955" s="17" t="n">
        <v>6</v>
      </c>
      <c r="L955" s="17" t="n">
        <v>0</v>
      </c>
      <c r="M955" s="17" t="n">
        <v>0</v>
      </c>
      <c r="N955" s="17" t="n">
        <v>0</v>
      </c>
      <c r="O955" s="17" t="n">
        <v>0</v>
      </c>
      <c r="P955" s="17" t="n">
        <v>1</v>
      </c>
      <c r="Q955" s="17" t="n">
        <v>2</v>
      </c>
      <c r="R955" s="17" t="n">
        <v>0</v>
      </c>
      <c r="T955" s="17">
        <f>DAY(C955)</f>
        <v/>
      </c>
      <c r="U955" s="17">
        <f>MONTH(C955)</f>
        <v/>
      </c>
    </row>
    <row r="956" hidden="1" ht="22.5" customHeight="1" s="117">
      <c r="A956" s="14" t="n">
        <v>46017.30159789352</v>
      </c>
      <c r="B956" s="17" t="inlineStr">
        <is>
          <t>Nguyễn Thành Lâm</t>
        </is>
      </c>
      <c r="C956" s="16" t="n">
        <v>46016</v>
      </c>
      <c r="D956" s="17" t="n">
        <v>0</v>
      </c>
      <c r="E956" s="17" t="n">
        <v>0</v>
      </c>
      <c r="F956" s="17" t="n">
        <v>0</v>
      </c>
      <c r="G956" s="17" t="n">
        <v>0</v>
      </c>
      <c r="H956" s="17" t="n">
        <v>0</v>
      </c>
      <c r="I956" s="17" t="n">
        <v>1</v>
      </c>
      <c r="J956" s="17" t="n">
        <v>2</v>
      </c>
      <c r="K956" s="17" t="n">
        <v>13</v>
      </c>
      <c r="L956" s="17" t="n">
        <v>0</v>
      </c>
      <c r="M956" s="17" t="n">
        <v>0</v>
      </c>
      <c r="N956" s="17" t="n">
        <v>0</v>
      </c>
      <c r="O956" s="17" t="n">
        <v>0</v>
      </c>
      <c r="P956" s="17" t="n">
        <v>0</v>
      </c>
      <c r="Q956" s="17" t="n">
        <v>5</v>
      </c>
      <c r="R956" s="17" t="n">
        <v>0</v>
      </c>
      <c r="T956" s="17">
        <f>DAY(C956)</f>
        <v/>
      </c>
      <c r="U956" s="17">
        <f>MONTH(C956)</f>
        <v/>
      </c>
    </row>
    <row r="957" hidden="1" ht="22.5" customHeight="1" s="117">
      <c r="A957" s="14" t="n">
        <v>46017.30181739583</v>
      </c>
      <c r="B957" s="17" t="inlineStr">
        <is>
          <t>Nguyễn Văn Nhật</t>
        </is>
      </c>
      <c r="C957" s="16" t="n">
        <v>46016</v>
      </c>
      <c r="D957" s="17" t="n">
        <v>1</v>
      </c>
      <c r="E957" s="17" t="n">
        <v>1</v>
      </c>
      <c r="F957" s="17" t="n">
        <v>0</v>
      </c>
      <c r="G957" s="17" t="n">
        <v>0</v>
      </c>
      <c r="H957" s="17" t="n">
        <v>0</v>
      </c>
      <c r="I957" s="17" t="n">
        <v>0</v>
      </c>
      <c r="J957" s="17" t="n">
        <v>0</v>
      </c>
      <c r="K957" s="17" t="n">
        <v>8</v>
      </c>
      <c r="L957" s="17" t="n">
        <v>0</v>
      </c>
      <c r="M957" s="17" t="n">
        <v>2</v>
      </c>
      <c r="N957" s="17" t="n">
        <v>0</v>
      </c>
      <c r="O957" s="17" t="n">
        <v>0</v>
      </c>
      <c r="P957" s="17" t="n">
        <v>2</v>
      </c>
      <c r="Q957" s="17" t="n">
        <v>3</v>
      </c>
      <c r="R957" s="17" t="n">
        <v>0</v>
      </c>
      <c r="T957" s="17">
        <f>DAY(C957)</f>
        <v/>
      </c>
      <c r="U957" s="17">
        <f>MONTH(C957)</f>
        <v/>
      </c>
    </row>
    <row r="958" hidden="1" ht="22.5" customHeight="1" s="117">
      <c r="A958" s="14" t="n">
        <v>46017.31107018518</v>
      </c>
      <c r="B958" s="17" t="inlineStr">
        <is>
          <t>Huỳnh Văn Lực</t>
        </is>
      </c>
      <c r="C958" s="16" t="n">
        <v>46016</v>
      </c>
      <c r="D958" s="17" t="n">
        <v>0</v>
      </c>
      <c r="E958" s="17" t="n">
        <v>0</v>
      </c>
      <c r="F958" s="17" t="n">
        <v>0</v>
      </c>
      <c r="G958" s="17" t="n">
        <v>0</v>
      </c>
      <c r="H958" s="17" t="n">
        <v>1</v>
      </c>
      <c r="I958" s="17" t="n">
        <v>0</v>
      </c>
      <c r="J958" s="17" t="n">
        <v>0</v>
      </c>
      <c r="K958" s="17" t="n">
        <v>7</v>
      </c>
      <c r="L958" s="17" t="n">
        <v>0</v>
      </c>
      <c r="M958" s="17" t="n">
        <v>1</v>
      </c>
      <c r="N958" s="17" t="n">
        <v>0</v>
      </c>
      <c r="O958" s="17" t="n">
        <v>0</v>
      </c>
      <c r="P958" s="17" t="n">
        <v>0</v>
      </c>
      <c r="Q958" s="17" t="n">
        <v>1</v>
      </c>
      <c r="R958" s="17" t="n">
        <v>1</v>
      </c>
      <c r="T958" s="17">
        <f>DAY(C958)</f>
        <v/>
      </c>
      <c r="U958" s="17">
        <f>MONTH(C958)</f>
        <v/>
      </c>
    </row>
    <row r="959" hidden="1" ht="22.5" customHeight="1" s="117">
      <c r="A959" s="14" t="n">
        <v>46017.31426956019</v>
      </c>
      <c r="B959" s="17" t="inlineStr">
        <is>
          <t>Trần Minh Khánh</t>
        </is>
      </c>
      <c r="C959" s="16" t="n">
        <v>46016</v>
      </c>
      <c r="D959" s="17" t="n">
        <v>0</v>
      </c>
      <c r="E959" s="17" t="n">
        <v>0</v>
      </c>
      <c r="F959" s="17" t="n">
        <v>0</v>
      </c>
      <c r="G959" s="17" t="n">
        <v>1</v>
      </c>
      <c r="H959" s="17" t="n">
        <v>2</v>
      </c>
      <c r="I959" s="17" t="n">
        <v>1</v>
      </c>
      <c r="J959" s="17" t="n">
        <v>0</v>
      </c>
      <c r="K959" s="17" t="n">
        <v>18</v>
      </c>
      <c r="L959" s="17" t="n">
        <v>0</v>
      </c>
      <c r="M959" s="17" t="n">
        <v>0</v>
      </c>
      <c r="N959" s="17" t="n">
        <v>2</v>
      </c>
      <c r="O959" s="17" t="n">
        <v>0</v>
      </c>
      <c r="P959" s="17" t="n">
        <v>1</v>
      </c>
      <c r="Q959" s="17" t="n">
        <v>3</v>
      </c>
      <c r="R959" s="17" t="n">
        <v>0</v>
      </c>
      <c r="T959" s="17">
        <f>DAY(C959)</f>
        <v/>
      </c>
      <c r="U959" s="17">
        <f>MONTH(C959)</f>
        <v/>
      </c>
    </row>
    <row r="960" hidden="1" ht="22.5" customHeight="1" s="117">
      <c r="A960" s="14" t="n">
        <v>46017.32010846065</v>
      </c>
      <c r="B960" s="17" t="inlineStr">
        <is>
          <t>Vòng Nhật Sang</t>
        </is>
      </c>
      <c r="C960" s="16" t="n">
        <v>46016</v>
      </c>
      <c r="D960" s="17" t="n">
        <v>0</v>
      </c>
      <c r="E960" s="17" t="n">
        <v>0</v>
      </c>
      <c r="F960" s="17" t="n">
        <v>0</v>
      </c>
      <c r="G960" s="17" t="n">
        <v>0</v>
      </c>
      <c r="H960" s="17" t="n">
        <v>0</v>
      </c>
      <c r="I960" s="17" t="n">
        <v>0</v>
      </c>
      <c r="J960" s="17" t="n">
        <v>0</v>
      </c>
      <c r="K960" s="17" t="n">
        <v>5</v>
      </c>
      <c r="L960" s="17" t="n">
        <v>0</v>
      </c>
      <c r="M960" s="17" t="n">
        <v>0</v>
      </c>
      <c r="N960" s="17" t="n">
        <v>0</v>
      </c>
      <c r="O960" s="17" t="n">
        <v>0</v>
      </c>
      <c r="P960" s="17" t="n">
        <v>2</v>
      </c>
      <c r="Q960" s="17" t="n">
        <v>2</v>
      </c>
      <c r="R960" s="17" t="n">
        <v>0</v>
      </c>
      <c r="T960" s="17">
        <f>DAY(C960)</f>
        <v/>
      </c>
      <c r="U960" s="17">
        <f>MONTH(C960)</f>
        <v/>
      </c>
    </row>
    <row r="961" hidden="1" ht="22.5" customHeight="1" s="117">
      <c r="A961" s="14" t="n">
        <v>46017.32027296296</v>
      </c>
      <c r="B961" s="17" t="inlineStr">
        <is>
          <t>Bùi Duy Cường</t>
        </is>
      </c>
      <c r="C961" s="16" t="n">
        <v>46016</v>
      </c>
      <c r="D961" s="17" t="n">
        <v>0</v>
      </c>
      <c r="E961" s="17" t="n">
        <v>0</v>
      </c>
      <c r="F961" s="17" t="n">
        <v>0</v>
      </c>
      <c r="G961" s="17" t="n">
        <v>1</v>
      </c>
      <c r="H961" s="17" t="n">
        <v>1</v>
      </c>
      <c r="I961" s="17" t="n">
        <v>0</v>
      </c>
      <c r="J961" s="17" t="n">
        <v>0</v>
      </c>
      <c r="K961" s="17" t="n">
        <v>8</v>
      </c>
      <c r="L961" s="17" t="n">
        <v>0</v>
      </c>
      <c r="M961" s="17" t="n">
        <v>1</v>
      </c>
      <c r="N961" s="17" t="n">
        <v>1</v>
      </c>
      <c r="O961" s="17" t="n">
        <v>1</v>
      </c>
      <c r="P961" s="17" t="n">
        <v>0</v>
      </c>
      <c r="Q961" s="17" t="n">
        <v>1</v>
      </c>
      <c r="R961" s="17" t="n">
        <v>2</v>
      </c>
      <c r="T961" s="17">
        <f>DAY(C961)</f>
        <v/>
      </c>
      <c r="U961" s="17">
        <f>MONTH(C961)</f>
        <v/>
      </c>
    </row>
    <row r="962" hidden="1" ht="22.5" customHeight="1" s="117">
      <c r="A962" s="14" t="n">
        <v>46017.32103895833</v>
      </c>
      <c r="B962" s="17" t="inlineStr">
        <is>
          <t>Trần Xuân Khoa</t>
        </is>
      </c>
      <c r="C962" s="16" t="n">
        <v>46016</v>
      </c>
      <c r="D962" s="17" t="n">
        <v>0</v>
      </c>
      <c r="E962" s="17" t="n">
        <v>0</v>
      </c>
      <c r="F962" s="17" t="n">
        <v>0</v>
      </c>
      <c r="G962" s="17" t="n">
        <v>0</v>
      </c>
      <c r="H962" s="17" t="n">
        <v>0</v>
      </c>
      <c r="I962" s="17" t="n">
        <v>0</v>
      </c>
      <c r="J962" s="17" t="n">
        <v>0</v>
      </c>
      <c r="K962" s="17" t="n">
        <v>28</v>
      </c>
      <c r="L962" s="17" t="n">
        <v>0</v>
      </c>
      <c r="M962" s="17" t="n">
        <v>0</v>
      </c>
      <c r="N962" s="17" t="n">
        <v>0</v>
      </c>
      <c r="O962" s="17" t="n">
        <v>0</v>
      </c>
      <c r="P962" s="17" t="n">
        <v>1</v>
      </c>
      <c r="Q962" s="17" t="n">
        <v>2</v>
      </c>
      <c r="R962" s="17" t="n">
        <v>0</v>
      </c>
      <c r="T962" s="17">
        <f>DAY(C962)</f>
        <v/>
      </c>
      <c r="U962" s="17">
        <f>MONTH(C962)</f>
        <v/>
      </c>
    </row>
    <row r="963" hidden="1" ht="22.5" customHeight="1" s="117">
      <c r="A963" s="14" t="n">
        <v>46017.32231143519</v>
      </c>
      <c r="B963" s="17" t="inlineStr">
        <is>
          <t>Nguyễn Hồng Minh</t>
        </is>
      </c>
      <c r="C963" s="16" t="n">
        <v>46016</v>
      </c>
      <c r="D963" s="17" t="n">
        <v>0</v>
      </c>
      <c r="E963" s="17" t="n">
        <v>0</v>
      </c>
      <c r="F963" s="17" t="n">
        <v>1</v>
      </c>
      <c r="G963" s="17" t="n">
        <v>0</v>
      </c>
      <c r="H963" s="17" t="n">
        <v>0</v>
      </c>
      <c r="I963" s="17" t="n">
        <v>0</v>
      </c>
      <c r="J963" s="17" t="n">
        <v>0</v>
      </c>
      <c r="K963" s="17" t="n">
        <v>22</v>
      </c>
      <c r="L963" s="17" t="n">
        <v>0</v>
      </c>
      <c r="M963" s="17" t="n">
        <v>1</v>
      </c>
      <c r="N963" s="17" t="n">
        <v>2</v>
      </c>
      <c r="O963" s="17" t="n">
        <v>1</v>
      </c>
      <c r="P963" s="17" t="n">
        <v>1</v>
      </c>
      <c r="Q963" s="17" t="n">
        <v>4</v>
      </c>
      <c r="R963" s="17" t="n">
        <v>0</v>
      </c>
      <c r="T963" s="17">
        <f>DAY(C963)</f>
        <v/>
      </c>
      <c r="U963" s="17">
        <f>MONTH(C963)</f>
        <v/>
      </c>
    </row>
    <row r="964" hidden="1" ht="22.5" customHeight="1" s="117">
      <c r="A964" s="14" t="n">
        <v>46017.3595509375</v>
      </c>
      <c r="B964" s="17" t="inlineStr">
        <is>
          <t>Lê Văn Hồng</t>
        </is>
      </c>
      <c r="C964" s="16" t="n">
        <v>46016</v>
      </c>
      <c r="D964" s="17" t="n">
        <v>0</v>
      </c>
      <c r="E964" s="17" t="n">
        <v>0</v>
      </c>
      <c r="F964" s="17" t="n">
        <v>0</v>
      </c>
      <c r="G964" s="17" t="n">
        <v>1</v>
      </c>
      <c r="H964" s="17" t="n">
        <v>1</v>
      </c>
      <c r="I964" s="17" t="n">
        <v>0</v>
      </c>
      <c r="J964" s="17" t="n">
        <v>0</v>
      </c>
      <c r="K964" s="17" t="n">
        <v>6</v>
      </c>
      <c r="L964" s="17" t="n">
        <v>0</v>
      </c>
      <c r="M964" s="17" t="n">
        <v>1</v>
      </c>
      <c r="N964" s="17" t="n">
        <v>0</v>
      </c>
      <c r="O964" s="17" t="n">
        <v>0</v>
      </c>
      <c r="P964" s="17" t="n">
        <v>2</v>
      </c>
      <c r="Q964" s="17" t="n">
        <v>4</v>
      </c>
      <c r="R964" s="17" t="n">
        <v>0</v>
      </c>
      <c r="T964" s="17">
        <f>DAY(C964)</f>
        <v/>
      </c>
      <c r="U964" s="17">
        <f>MONTH(C964)</f>
        <v/>
      </c>
    </row>
    <row r="965" hidden="1" ht="22.5" customHeight="1" s="117">
      <c r="A965" s="14" t="n">
        <v>46017.37037778935</v>
      </c>
      <c r="B965" s="17" t="inlineStr">
        <is>
          <t>Lương Duy Hoàng</t>
        </is>
      </c>
      <c r="C965" s="16" t="n">
        <v>46016</v>
      </c>
      <c r="D965" s="17" t="n">
        <v>0</v>
      </c>
      <c r="E965" s="17" t="n">
        <v>0</v>
      </c>
      <c r="F965" s="17" t="n">
        <v>0</v>
      </c>
      <c r="G965" s="17" t="n">
        <v>1</v>
      </c>
      <c r="H965" s="17" t="n">
        <v>0</v>
      </c>
      <c r="I965" s="17" t="n">
        <v>0</v>
      </c>
      <c r="J965" s="17" t="n">
        <v>0</v>
      </c>
      <c r="K965" s="17" t="n">
        <v>4</v>
      </c>
      <c r="L965" s="17" t="n">
        <v>0</v>
      </c>
      <c r="M965" s="17" t="n">
        <v>0</v>
      </c>
      <c r="N965" s="17" t="n">
        <v>0</v>
      </c>
      <c r="O965" s="17" t="n">
        <v>0</v>
      </c>
      <c r="P965" s="17" t="n">
        <v>0</v>
      </c>
      <c r="Q965" s="17" t="n">
        <v>2</v>
      </c>
      <c r="R965" s="17" t="n">
        <v>0</v>
      </c>
      <c r="T965" s="17">
        <f>DAY(C965)</f>
        <v/>
      </c>
      <c r="U965" s="17">
        <f>MONTH(C965)</f>
        <v/>
      </c>
    </row>
    <row r="966" hidden="1" ht="22.5" customHeight="1" s="117">
      <c r="A966" s="14" t="n">
        <v>46017.90030140046</v>
      </c>
      <c r="B966" s="17" t="inlineStr">
        <is>
          <t>Lê Quốc Duy</t>
        </is>
      </c>
      <c r="C966" s="16" t="n">
        <v>46017</v>
      </c>
      <c r="D966" s="17" t="n">
        <v>0</v>
      </c>
      <c r="E966" s="17" t="n">
        <v>0</v>
      </c>
      <c r="F966" s="17" t="n">
        <v>0</v>
      </c>
      <c r="G966" s="17" t="n">
        <v>0</v>
      </c>
      <c r="H966" s="17" t="n">
        <v>0</v>
      </c>
      <c r="I966" s="17" t="n">
        <v>1</v>
      </c>
      <c r="J966" s="17" t="n">
        <v>0</v>
      </c>
      <c r="K966" s="17" t="n">
        <v>18</v>
      </c>
      <c r="L966" s="17" t="n">
        <v>0</v>
      </c>
      <c r="M966" s="17" t="n">
        <v>0</v>
      </c>
      <c r="N966" s="17" t="n">
        <v>0</v>
      </c>
      <c r="O966" s="17" t="n">
        <v>0</v>
      </c>
      <c r="P966" s="17" t="n">
        <v>1</v>
      </c>
      <c r="Q966" s="17" t="n">
        <v>1</v>
      </c>
      <c r="R966" s="17" t="n">
        <v>0</v>
      </c>
      <c r="T966" s="17">
        <f>DAY(C966)</f>
        <v/>
      </c>
      <c r="U966" s="17">
        <f>MONTH(C966)</f>
        <v/>
      </c>
    </row>
    <row r="967" hidden="1" ht="22.5" customHeight="1" s="117">
      <c r="A967" s="14" t="n">
        <v>46017.92175296296</v>
      </c>
      <c r="B967" s="17" t="inlineStr">
        <is>
          <t>Lê Quốc Duy</t>
        </is>
      </c>
      <c r="C967" s="16" t="n">
        <v>46017</v>
      </c>
      <c r="D967" s="17" t="n">
        <v>0</v>
      </c>
      <c r="E967" s="17" t="n">
        <v>0</v>
      </c>
      <c r="F967" s="17" t="n">
        <v>0</v>
      </c>
      <c r="G967" s="17" t="n">
        <v>0</v>
      </c>
      <c r="H967" s="17" t="n">
        <v>0</v>
      </c>
      <c r="I967" s="17" t="n">
        <v>1</v>
      </c>
      <c r="J967" s="17" t="n">
        <v>0</v>
      </c>
      <c r="K967" s="17" t="n">
        <v>18</v>
      </c>
      <c r="L967" s="17" t="n">
        <v>0</v>
      </c>
      <c r="M967" s="17" t="n">
        <v>0</v>
      </c>
      <c r="N967" s="17" t="n">
        <v>0</v>
      </c>
      <c r="O967" s="17" t="n">
        <v>0</v>
      </c>
      <c r="P967" s="17" t="n">
        <v>0</v>
      </c>
      <c r="Q967" s="17" t="n">
        <v>1</v>
      </c>
      <c r="R967" s="17" t="n">
        <v>0</v>
      </c>
      <c r="T967" s="17">
        <f>DAY(C967)</f>
        <v/>
      </c>
      <c r="U967" s="17">
        <f>MONTH(C967)</f>
        <v/>
      </c>
    </row>
    <row r="968" hidden="1" ht="22.5" customHeight="1" s="117">
      <c r="A968" s="14" t="n">
        <v>46018.24539893519</v>
      </c>
      <c r="B968" s="17" t="inlineStr">
        <is>
          <t>Lương Duy Hoàng</t>
        </is>
      </c>
      <c r="C968" s="16" t="n">
        <v>46017</v>
      </c>
      <c r="D968" s="17" t="n">
        <v>0</v>
      </c>
      <c r="E968" s="17" t="n">
        <v>0</v>
      </c>
      <c r="F968" s="17" t="n">
        <v>0</v>
      </c>
      <c r="G968" s="17" t="n">
        <v>0</v>
      </c>
      <c r="H968" s="17" t="n">
        <v>0</v>
      </c>
      <c r="I968" s="17" t="n">
        <v>0</v>
      </c>
      <c r="J968" s="17" t="n">
        <v>0</v>
      </c>
      <c r="K968" s="17" t="n">
        <v>4</v>
      </c>
      <c r="L968" s="17" t="n">
        <v>0</v>
      </c>
      <c r="M968" s="17" t="n">
        <v>0</v>
      </c>
      <c r="N968" s="17" t="n">
        <v>0</v>
      </c>
      <c r="O968" s="17" t="n">
        <v>0</v>
      </c>
      <c r="P968" s="17" t="n">
        <v>1</v>
      </c>
      <c r="Q968" s="17" t="n">
        <v>3</v>
      </c>
      <c r="R968" s="17" t="n">
        <v>0</v>
      </c>
      <c r="T968" s="17">
        <f>DAY(C968)</f>
        <v/>
      </c>
      <c r="U968" s="17">
        <f>MONTH(C968)</f>
        <v/>
      </c>
    </row>
    <row r="969" hidden="1" ht="22.5" customHeight="1" s="117">
      <c r="A969" s="14" t="n">
        <v>46018.27294577546</v>
      </c>
      <c r="B969" s="17" t="inlineStr">
        <is>
          <t>Phan Thành Thái</t>
        </is>
      </c>
      <c r="C969" s="16" t="n">
        <v>46017</v>
      </c>
      <c r="D969" s="17" t="n">
        <v>0</v>
      </c>
      <c r="E969" s="17" t="n">
        <v>0</v>
      </c>
      <c r="F969" s="17" t="n">
        <v>0</v>
      </c>
      <c r="G969" s="17" t="n">
        <v>0</v>
      </c>
      <c r="H969" s="17" t="n">
        <v>0</v>
      </c>
      <c r="I969" s="17" t="n">
        <v>0</v>
      </c>
      <c r="J969" s="17" t="n">
        <v>0</v>
      </c>
      <c r="K969" s="17" t="n">
        <v>18</v>
      </c>
      <c r="L969" s="17" t="n">
        <v>0</v>
      </c>
      <c r="M969" s="17" t="n">
        <v>0</v>
      </c>
      <c r="N969" s="17" t="n">
        <v>3</v>
      </c>
      <c r="O969" s="17" t="n">
        <v>1</v>
      </c>
      <c r="P969" s="17" t="n">
        <v>1</v>
      </c>
      <c r="Q969" s="17" t="n">
        <v>4</v>
      </c>
      <c r="R969" s="17" t="n">
        <v>0</v>
      </c>
      <c r="T969" s="17">
        <f>DAY(C969)</f>
        <v/>
      </c>
      <c r="U969" s="17">
        <f>MONTH(C969)</f>
        <v/>
      </c>
    </row>
    <row r="970" hidden="1" ht="22.5" customHeight="1" s="117">
      <c r="A970" s="14" t="n">
        <v>46018.27474313657</v>
      </c>
      <c r="B970" s="17" t="inlineStr">
        <is>
          <t>Phan Ngọc Sang</t>
        </is>
      </c>
      <c r="C970" s="16" t="n">
        <v>46017</v>
      </c>
      <c r="D970" s="17" t="n">
        <v>0</v>
      </c>
      <c r="E970" s="17" t="n">
        <v>0</v>
      </c>
      <c r="F970" s="17" t="n">
        <v>0</v>
      </c>
      <c r="G970" s="17" t="n">
        <v>0</v>
      </c>
      <c r="H970" s="17" t="n">
        <v>0</v>
      </c>
      <c r="I970" s="17" t="n">
        <v>1</v>
      </c>
      <c r="J970" s="17" t="n">
        <v>0</v>
      </c>
      <c r="K970" s="17" t="n">
        <v>10</v>
      </c>
      <c r="L970" s="17" t="n">
        <v>0</v>
      </c>
      <c r="M970" s="17" t="n">
        <v>1</v>
      </c>
      <c r="N970" s="17" t="n">
        <v>1</v>
      </c>
      <c r="O970" s="17" t="n">
        <v>0</v>
      </c>
      <c r="P970" s="17" t="n">
        <v>0</v>
      </c>
      <c r="Q970" s="17" t="n">
        <v>3</v>
      </c>
      <c r="R970" s="17" t="n">
        <v>0</v>
      </c>
      <c r="T970" s="17">
        <f>DAY(C970)</f>
        <v/>
      </c>
      <c r="U970" s="17">
        <f>MONTH(C970)</f>
        <v/>
      </c>
    </row>
    <row r="971" hidden="1" ht="22.5" customHeight="1" s="117">
      <c r="A971" s="14" t="n">
        <v>46018.27616267361</v>
      </c>
      <c r="B971" s="17" t="inlineStr">
        <is>
          <t>Hồ Xuân Việt</t>
        </is>
      </c>
      <c r="C971" s="16" t="n">
        <v>46017</v>
      </c>
      <c r="D971" s="17" t="n">
        <v>0</v>
      </c>
      <c r="E971" s="17" t="n">
        <v>0</v>
      </c>
      <c r="F971" s="17" t="n">
        <v>0</v>
      </c>
      <c r="G971" s="17" t="n">
        <v>0</v>
      </c>
      <c r="H971" s="17" t="n">
        <v>0</v>
      </c>
      <c r="I971" s="17" t="n">
        <v>0</v>
      </c>
      <c r="J971" s="17" t="n">
        <v>0</v>
      </c>
      <c r="K971" s="17" t="n">
        <v>10</v>
      </c>
      <c r="L971" s="17" t="n">
        <v>0</v>
      </c>
      <c r="M971" s="17" t="n">
        <v>0</v>
      </c>
      <c r="N971" s="17" t="n">
        <v>0</v>
      </c>
      <c r="O971" s="17" t="n">
        <v>0</v>
      </c>
      <c r="P971" s="17" t="n">
        <v>0</v>
      </c>
      <c r="Q971" s="17" t="n">
        <v>2</v>
      </c>
      <c r="R971" s="17" t="n">
        <v>0</v>
      </c>
      <c r="T971" s="17">
        <f>DAY(C971)</f>
        <v/>
      </c>
      <c r="U971" s="17">
        <f>MONTH(C971)</f>
        <v/>
      </c>
    </row>
    <row r="972" hidden="1" ht="22.5" customHeight="1" s="117">
      <c r="A972" s="14" t="n">
        <v>46018.27855346064</v>
      </c>
      <c r="B972" s="17" t="inlineStr">
        <is>
          <t>Trần Minh Khánh</t>
        </is>
      </c>
      <c r="C972" s="16" t="n">
        <v>46017</v>
      </c>
      <c r="D972" s="17" t="n">
        <v>0</v>
      </c>
      <c r="E972" s="17" t="n">
        <v>0</v>
      </c>
      <c r="F972" s="17" t="n">
        <v>0</v>
      </c>
      <c r="G972" s="17" t="n">
        <v>2</v>
      </c>
      <c r="H972" s="17" t="n">
        <v>2</v>
      </c>
      <c r="I972" s="17" t="n">
        <v>2</v>
      </c>
      <c r="J972" s="17" t="n">
        <v>0</v>
      </c>
      <c r="K972" s="17" t="n">
        <v>12</v>
      </c>
      <c r="L972" s="17" t="n">
        <v>0</v>
      </c>
      <c r="M972" s="17" t="n">
        <v>0</v>
      </c>
      <c r="N972" s="17" t="n">
        <v>2</v>
      </c>
      <c r="O972" s="17" t="n">
        <v>0</v>
      </c>
      <c r="P972" s="17" t="n">
        <v>1</v>
      </c>
      <c r="Q972" s="17" t="n">
        <v>3</v>
      </c>
      <c r="R972" s="17" t="n">
        <v>0</v>
      </c>
      <c r="T972" s="17">
        <f>DAY(C972)</f>
        <v/>
      </c>
      <c r="U972" s="17">
        <f>MONTH(C972)</f>
        <v/>
      </c>
    </row>
    <row r="973" hidden="1" ht="22.5" customHeight="1" s="117">
      <c r="A973" s="14" t="n">
        <v>46018.2786908912</v>
      </c>
      <c r="B973" s="17" t="inlineStr">
        <is>
          <t>Dương Minh Tiến</t>
        </is>
      </c>
      <c r="C973" s="16" t="n">
        <v>46017</v>
      </c>
      <c r="D973" s="17" t="n">
        <v>0</v>
      </c>
      <c r="E973" s="17" t="n">
        <v>0</v>
      </c>
      <c r="F973" s="17" t="n">
        <v>0</v>
      </c>
      <c r="G973" s="17" t="n">
        <v>0</v>
      </c>
      <c r="H973" s="17" t="n">
        <v>0</v>
      </c>
      <c r="I973" s="17" t="n">
        <v>0</v>
      </c>
      <c r="J973" s="17" t="n">
        <v>0</v>
      </c>
      <c r="K973" s="17" t="n">
        <v>11</v>
      </c>
      <c r="L973" s="17" t="n">
        <v>0</v>
      </c>
      <c r="M973" s="17" t="n">
        <v>0</v>
      </c>
      <c r="N973" s="17" t="n">
        <v>0</v>
      </c>
      <c r="O973" s="17" t="n">
        <v>0</v>
      </c>
      <c r="P973" s="17" t="n">
        <v>0</v>
      </c>
      <c r="Q973" s="17" t="n">
        <v>0</v>
      </c>
      <c r="R973" s="17" t="n">
        <v>0</v>
      </c>
      <c r="T973" s="17">
        <f>DAY(C973)</f>
        <v/>
      </c>
      <c r="U973" s="17">
        <f>MONTH(C973)</f>
        <v/>
      </c>
    </row>
    <row r="974" hidden="1" ht="22.5" customHeight="1" s="117">
      <c r="A974" s="14" t="n">
        <v>46018.28108467592</v>
      </c>
      <c r="B974" s="17" t="inlineStr">
        <is>
          <t>Trần Xuân Khoa</t>
        </is>
      </c>
      <c r="C974" s="16" t="n">
        <v>46017</v>
      </c>
      <c r="D974" s="17" t="n">
        <v>0</v>
      </c>
      <c r="E974" s="17" t="n">
        <v>0</v>
      </c>
      <c r="F974" s="17" t="n">
        <v>0</v>
      </c>
      <c r="G974" s="17" t="n">
        <v>0</v>
      </c>
      <c r="H974" s="17" t="n">
        <v>0</v>
      </c>
      <c r="I974" s="17" t="n">
        <v>0</v>
      </c>
      <c r="J974" s="17" t="n">
        <v>0</v>
      </c>
      <c r="K974" s="17" t="n">
        <v>15</v>
      </c>
      <c r="L974" s="17" t="n">
        <v>0</v>
      </c>
      <c r="M974" s="17" t="n">
        <v>0</v>
      </c>
      <c r="N974" s="17" t="n">
        <v>0</v>
      </c>
      <c r="O974" s="17" t="n">
        <v>0</v>
      </c>
      <c r="P974" s="17" t="n">
        <v>0</v>
      </c>
      <c r="Q974" s="17" t="n">
        <v>4</v>
      </c>
      <c r="R974" s="17" t="n">
        <v>0</v>
      </c>
      <c r="T974" s="17">
        <f>DAY(C974)</f>
        <v/>
      </c>
      <c r="U974" s="17">
        <f>MONTH(C974)</f>
        <v/>
      </c>
    </row>
    <row r="975" hidden="1" ht="22.5" customHeight="1" s="117">
      <c r="A975" s="14" t="n">
        <v>46018.28122201389</v>
      </c>
      <c r="B975" s="17" t="inlineStr">
        <is>
          <t>Lê Hồng Phong</t>
        </is>
      </c>
      <c r="C975" s="16" t="n">
        <v>46018</v>
      </c>
      <c r="D975" s="17" t="n">
        <v>1</v>
      </c>
      <c r="E975" s="17" t="n">
        <v>1</v>
      </c>
      <c r="F975" s="17" t="n">
        <v>1</v>
      </c>
      <c r="G975" s="17" t="n">
        <v>0</v>
      </c>
      <c r="H975" s="17" t="n">
        <v>0</v>
      </c>
      <c r="I975" s="17" t="n">
        <v>1</v>
      </c>
      <c r="J975" s="17" t="n">
        <v>1</v>
      </c>
      <c r="K975" s="17" t="n">
        <v>1</v>
      </c>
      <c r="L975" s="17" t="n">
        <v>1</v>
      </c>
      <c r="M975" s="17" t="n">
        <v>1</v>
      </c>
      <c r="N975" s="17" t="n">
        <v>1</v>
      </c>
      <c r="O975" s="17" t="n">
        <v>1</v>
      </c>
      <c r="P975" s="17" t="n">
        <v>1</v>
      </c>
      <c r="Q975" s="17" t="n">
        <v>1</v>
      </c>
      <c r="R975" s="17" t="n">
        <v>1</v>
      </c>
      <c r="T975" s="17">
        <f>DAY(C975)</f>
        <v/>
      </c>
      <c r="U975" s="17">
        <f>MONTH(C975)</f>
        <v/>
      </c>
    </row>
    <row r="976" hidden="1" ht="22.5" customHeight="1" s="117">
      <c r="A976" s="14" t="n">
        <v>46018.28468112268</v>
      </c>
      <c r="B976" s="17" t="inlineStr">
        <is>
          <t>Nguyễn Thành Lâm</t>
        </is>
      </c>
      <c r="C976" s="16" t="n">
        <v>46017</v>
      </c>
      <c r="D976" s="17" t="n">
        <v>0</v>
      </c>
      <c r="E976" s="17" t="n">
        <v>0</v>
      </c>
      <c r="F976" s="17" t="n">
        <v>0</v>
      </c>
      <c r="G976" s="17" t="n">
        <v>0</v>
      </c>
      <c r="H976" s="17" t="n">
        <v>0</v>
      </c>
      <c r="I976" s="17" t="n">
        <v>1</v>
      </c>
      <c r="J976" s="17" t="n">
        <v>1</v>
      </c>
      <c r="K976" s="17" t="n">
        <v>12</v>
      </c>
      <c r="L976" s="17" t="n">
        <v>0</v>
      </c>
      <c r="M976" s="17" t="n">
        <v>0</v>
      </c>
      <c r="N976" s="17" t="n">
        <v>0</v>
      </c>
      <c r="O976" s="17" t="n">
        <v>0</v>
      </c>
      <c r="P976" s="17" t="n">
        <v>2</v>
      </c>
      <c r="Q976" s="17" t="n">
        <v>2</v>
      </c>
      <c r="R976" s="17" t="n">
        <v>1</v>
      </c>
      <c r="T976" s="17">
        <f>DAY(C976)</f>
        <v/>
      </c>
      <c r="U976" s="17">
        <f>MONTH(C976)</f>
        <v/>
      </c>
    </row>
    <row r="977" hidden="1" ht="22.5" customHeight="1" s="117">
      <c r="A977" s="14" t="n">
        <v>46018.28635737269</v>
      </c>
      <c r="B977" s="17" t="inlineStr">
        <is>
          <t>Trần Trung Giang</t>
        </is>
      </c>
      <c r="C977" s="16" t="n">
        <v>45652</v>
      </c>
      <c r="D977" s="17" t="n">
        <v>0</v>
      </c>
      <c r="E977" s="17" t="n">
        <v>0</v>
      </c>
      <c r="F977" s="17" t="n">
        <v>0</v>
      </c>
      <c r="G977" s="17" t="n">
        <v>1</v>
      </c>
      <c r="H977" s="17" t="n">
        <v>1</v>
      </c>
      <c r="I977" s="17" t="n">
        <v>0</v>
      </c>
      <c r="J977" s="17" t="n">
        <v>0</v>
      </c>
      <c r="K977" s="17" t="n">
        <v>10</v>
      </c>
      <c r="L977" s="17" t="n">
        <v>0</v>
      </c>
      <c r="M977" s="17" t="n">
        <v>0</v>
      </c>
      <c r="N977" s="17" t="n">
        <v>0</v>
      </c>
      <c r="O977" s="17" t="n">
        <v>0</v>
      </c>
      <c r="P977" s="17" t="n">
        <v>0</v>
      </c>
      <c r="Q977" s="17" t="n">
        <v>0</v>
      </c>
      <c r="R977" s="17" t="n">
        <v>0</v>
      </c>
      <c r="T977" s="17">
        <f>DAY(C977)</f>
        <v/>
      </c>
      <c r="U977" s="17">
        <f>MONTH(C977)</f>
        <v/>
      </c>
    </row>
    <row r="978" hidden="1" ht="22.5" customHeight="1" s="117">
      <c r="A978" s="14" t="n">
        <v>46018.28658214121</v>
      </c>
      <c r="B978" s="17" t="inlineStr">
        <is>
          <t>Hồ Thái Minh Trí</t>
        </is>
      </c>
      <c r="C978" s="16" t="n">
        <v>46017</v>
      </c>
      <c r="D978" s="17" t="n">
        <v>0</v>
      </c>
      <c r="E978" s="17" t="n">
        <v>0</v>
      </c>
      <c r="F978" s="17" t="n">
        <v>0</v>
      </c>
      <c r="G978" s="17" t="n">
        <v>0</v>
      </c>
      <c r="H978" s="17" t="n">
        <v>0</v>
      </c>
      <c r="I978" s="17" t="n">
        <v>0</v>
      </c>
      <c r="J978" s="17" t="n">
        <v>0</v>
      </c>
      <c r="K978" s="17" t="n">
        <v>23</v>
      </c>
      <c r="L978" s="17" t="n">
        <v>0</v>
      </c>
      <c r="M978" s="17" t="n">
        <v>1</v>
      </c>
      <c r="N978" s="17" t="n">
        <v>0</v>
      </c>
      <c r="O978" s="17" t="n">
        <v>0</v>
      </c>
      <c r="P978" s="17" t="n">
        <v>0</v>
      </c>
      <c r="Q978" s="17" t="n">
        <v>2</v>
      </c>
      <c r="R978" s="17" t="n">
        <v>0</v>
      </c>
      <c r="T978" s="17">
        <f>DAY(C978)</f>
        <v/>
      </c>
      <c r="U978" s="17">
        <f>MONTH(C978)</f>
        <v/>
      </c>
    </row>
    <row r="979" hidden="1" ht="22.5" customHeight="1" s="117">
      <c r="A979" s="14" t="n">
        <v>46018.28753819445</v>
      </c>
      <c r="B979" s="17" t="inlineStr">
        <is>
          <t>Nguyễn Quang Anh Tuấn</t>
        </is>
      </c>
      <c r="C979" s="16" t="n">
        <v>46017</v>
      </c>
      <c r="D979" s="17" t="n">
        <v>0</v>
      </c>
      <c r="E979" s="17" t="n">
        <v>0</v>
      </c>
      <c r="F979" s="17" t="n">
        <v>0</v>
      </c>
      <c r="G979" s="17" t="n">
        <v>0</v>
      </c>
      <c r="H979" s="17" t="n">
        <v>0</v>
      </c>
      <c r="I979" s="17" t="n">
        <v>2</v>
      </c>
      <c r="J979" s="17" t="n">
        <v>0</v>
      </c>
      <c r="K979" s="17" t="n">
        <v>10</v>
      </c>
      <c r="L979" s="17" t="n">
        <v>0</v>
      </c>
      <c r="M979" s="17" t="n">
        <v>0</v>
      </c>
      <c r="N979" s="17" t="n">
        <v>0</v>
      </c>
      <c r="O979" s="17" t="n">
        <v>0</v>
      </c>
      <c r="P979" s="17" t="n">
        <v>0</v>
      </c>
      <c r="Q979" s="17" t="n">
        <v>1</v>
      </c>
      <c r="R979" s="17" t="n">
        <v>0</v>
      </c>
      <c r="T979" s="17">
        <f>DAY(C979)</f>
        <v/>
      </c>
      <c r="U979" s="17">
        <f>MONTH(C979)</f>
        <v/>
      </c>
    </row>
    <row r="980" hidden="1" ht="22.5" customHeight="1" s="117">
      <c r="A980" s="14" t="n">
        <v>46018.29598450231</v>
      </c>
      <c r="B980" s="17" t="inlineStr">
        <is>
          <t>Đào Công Trung</t>
        </is>
      </c>
      <c r="C980" s="16" t="n">
        <v>46017</v>
      </c>
      <c r="D980" s="17" t="n">
        <v>0</v>
      </c>
      <c r="E980" s="17" t="n">
        <v>0</v>
      </c>
      <c r="F980" s="17" t="n">
        <v>0</v>
      </c>
      <c r="G980" s="17" t="n">
        <v>0</v>
      </c>
      <c r="H980" s="17" t="n">
        <v>0</v>
      </c>
      <c r="I980" s="17" t="n">
        <v>0</v>
      </c>
      <c r="J980" s="17" t="n">
        <v>0</v>
      </c>
      <c r="K980" s="17" t="n">
        <v>12</v>
      </c>
      <c r="L980" s="17" t="n">
        <v>0</v>
      </c>
      <c r="M980" s="17" t="n">
        <v>0</v>
      </c>
      <c r="N980" s="17" t="n">
        <v>0</v>
      </c>
      <c r="O980" s="17" t="n">
        <v>0</v>
      </c>
      <c r="P980" s="17" t="n">
        <v>0</v>
      </c>
      <c r="Q980" s="17" t="n">
        <v>1</v>
      </c>
      <c r="R980" s="17" t="n">
        <v>0</v>
      </c>
      <c r="T980" s="17">
        <f>DAY(C980)</f>
        <v/>
      </c>
      <c r="U980" s="17">
        <f>MONTH(C980)</f>
        <v/>
      </c>
    </row>
    <row r="981" hidden="1" ht="22.5" customHeight="1" s="117">
      <c r="A981" s="14" t="n">
        <v>46018.30715855324</v>
      </c>
      <c r="B981" s="17" t="inlineStr">
        <is>
          <t>Huỳnh Văn Lực</t>
        </is>
      </c>
      <c r="C981" s="16" t="n">
        <v>46017</v>
      </c>
      <c r="D981" s="17" t="n">
        <v>1</v>
      </c>
      <c r="E981" s="17" t="n">
        <v>0</v>
      </c>
      <c r="F981" s="17" t="n">
        <v>1</v>
      </c>
      <c r="G981" s="17" t="n">
        <v>0</v>
      </c>
      <c r="H981" s="17" t="n">
        <v>0</v>
      </c>
      <c r="I981" s="17" t="n">
        <v>0</v>
      </c>
      <c r="J981" s="17" t="n">
        <v>0</v>
      </c>
      <c r="K981" s="17" t="n">
        <v>2</v>
      </c>
      <c r="L981" s="17" t="n">
        <v>0</v>
      </c>
      <c r="M981" s="17" t="n">
        <v>2</v>
      </c>
      <c r="N981" s="17" t="n">
        <v>0</v>
      </c>
      <c r="O981" s="17" t="n">
        <v>0</v>
      </c>
      <c r="P981" s="17" t="n">
        <v>0</v>
      </c>
      <c r="Q981" s="17" t="n">
        <v>0</v>
      </c>
      <c r="R981" s="17" t="n">
        <v>0</v>
      </c>
      <c r="T981" s="17">
        <f>DAY(C981)</f>
        <v/>
      </c>
      <c r="U981" s="17">
        <f>MONTH(C981)</f>
        <v/>
      </c>
    </row>
    <row r="982" hidden="1" ht="22.5" customHeight="1" s="117">
      <c r="A982" s="14" t="n">
        <v>46018.30874518518</v>
      </c>
      <c r="B982" s="17" t="inlineStr">
        <is>
          <t>Nguyễn Tuấn Anh</t>
        </is>
      </c>
      <c r="C982" s="16" t="n">
        <v>46017</v>
      </c>
      <c r="D982" s="17" t="n">
        <v>1</v>
      </c>
      <c r="E982" s="17" t="n">
        <v>0</v>
      </c>
      <c r="F982" s="17" t="n">
        <v>0</v>
      </c>
      <c r="G982" s="17" t="n">
        <v>0</v>
      </c>
      <c r="H982" s="17" t="n">
        <v>0</v>
      </c>
      <c r="I982" s="17" t="n">
        <v>0</v>
      </c>
      <c r="J982" s="17" t="n">
        <v>0</v>
      </c>
      <c r="K982" s="17" t="n">
        <v>6</v>
      </c>
      <c r="L982" s="17" t="n">
        <v>0</v>
      </c>
      <c r="M982" s="17" t="n">
        <v>0</v>
      </c>
      <c r="N982" s="17" t="n">
        <v>0</v>
      </c>
      <c r="O982" s="17" t="n">
        <v>0</v>
      </c>
      <c r="P982" s="17" t="n">
        <v>3</v>
      </c>
      <c r="Q982" s="17" t="n">
        <v>2</v>
      </c>
      <c r="R982" s="17" t="n">
        <v>0</v>
      </c>
      <c r="T982" s="17">
        <f>DAY(C982)</f>
        <v/>
      </c>
      <c r="U982" s="17">
        <f>MONTH(C982)</f>
        <v/>
      </c>
    </row>
    <row r="983" hidden="1" ht="22.5" customHeight="1" s="117">
      <c r="A983" s="14" t="n">
        <v>46018.31030836805</v>
      </c>
      <c r="B983" s="17" t="inlineStr">
        <is>
          <t>Đặng Hữu Danh</t>
        </is>
      </c>
      <c r="C983" s="16" t="n">
        <v>46017</v>
      </c>
      <c r="D983" s="17" t="n">
        <v>0</v>
      </c>
      <c r="E983" s="17" t="n">
        <v>0</v>
      </c>
      <c r="F983" s="17" t="n">
        <v>0</v>
      </c>
      <c r="G983" s="17" t="n">
        <v>0</v>
      </c>
      <c r="H983" s="17" t="n">
        <v>0</v>
      </c>
      <c r="I983" s="17" t="n">
        <v>1</v>
      </c>
      <c r="J983" s="17" t="n">
        <v>0</v>
      </c>
      <c r="K983" s="17" t="n">
        <v>11</v>
      </c>
      <c r="L983" s="17" t="n">
        <v>0</v>
      </c>
      <c r="M983" s="17" t="n">
        <v>0</v>
      </c>
      <c r="N983" s="17" t="n">
        <v>1</v>
      </c>
      <c r="O983" s="17" t="n">
        <v>0</v>
      </c>
      <c r="P983" s="17" t="n">
        <v>1</v>
      </c>
      <c r="Q983" s="17" t="n">
        <v>3</v>
      </c>
      <c r="R983" s="17" t="n">
        <v>0</v>
      </c>
      <c r="T983" s="17">
        <f>DAY(C983)</f>
        <v/>
      </c>
      <c r="U983" s="17">
        <f>MONTH(C983)</f>
        <v/>
      </c>
    </row>
    <row r="984" hidden="1" ht="22.5" customHeight="1" s="117">
      <c r="A984" s="14" t="n">
        <v>46018.3130149537</v>
      </c>
      <c r="B984" s="17" t="inlineStr">
        <is>
          <t>Vòng Nhật Sang</t>
        </is>
      </c>
      <c r="C984" s="16" t="n">
        <v>46017</v>
      </c>
      <c r="D984" s="17" t="n">
        <v>0</v>
      </c>
      <c r="E984" s="17" t="n">
        <v>0</v>
      </c>
      <c r="F984" s="17" t="n">
        <v>0</v>
      </c>
      <c r="G984" s="17" t="n">
        <v>0</v>
      </c>
      <c r="H984" s="17" t="n">
        <v>0</v>
      </c>
      <c r="I984" s="17" t="n">
        <v>0</v>
      </c>
      <c r="J984" s="17" t="n">
        <v>0</v>
      </c>
      <c r="K984" s="17" t="n">
        <v>2</v>
      </c>
      <c r="L984" s="17" t="n">
        <v>0</v>
      </c>
      <c r="M984" s="17" t="n">
        <v>0</v>
      </c>
      <c r="N984" s="17" t="n">
        <v>0</v>
      </c>
      <c r="O984" s="17" t="n">
        <v>0</v>
      </c>
      <c r="P984" s="17" t="n">
        <v>2</v>
      </c>
      <c r="Q984" s="17" t="n">
        <v>2</v>
      </c>
      <c r="R984" s="17" t="n">
        <v>0</v>
      </c>
      <c r="T984" s="17">
        <f>DAY(C984)</f>
        <v/>
      </c>
      <c r="U984" s="17">
        <f>MONTH(C984)</f>
        <v/>
      </c>
    </row>
    <row r="985" hidden="1" ht="22.5" customHeight="1" s="117">
      <c r="A985" s="14" t="n">
        <v>46018.32067587963</v>
      </c>
      <c r="B985" s="17" t="inlineStr">
        <is>
          <t>Đặng Hoài Anh</t>
        </is>
      </c>
      <c r="C985" s="16" t="n">
        <v>46017</v>
      </c>
      <c r="D985" s="17" t="n">
        <v>0</v>
      </c>
      <c r="E985" s="17" t="n">
        <v>0</v>
      </c>
      <c r="F985" s="17" t="n">
        <v>0</v>
      </c>
      <c r="G985" s="17" t="n">
        <v>0</v>
      </c>
      <c r="H985" s="17" t="n">
        <v>0</v>
      </c>
      <c r="I985" s="17" t="n">
        <v>0</v>
      </c>
      <c r="J985" s="17" t="n">
        <v>0</v>
      </c>
      <c r="K985" s="17" t="n">
        <v>6</v>
      </c>
      <c r="L985" s="17" t="n">
        <v>0</v>
      </c>
      <c r="M985" s="17" t="n">
        <v>0</v>
      </c>
      <c r="N985" s="17" t="n">
        <v>0</v>
      </c>
      <c r="O985" s="17" t="n">
        <v>0</v>
      </c>
      <c r="P985" s="17" t="n">
        <v>0</v>
      </c>
      <c r="Q985" s="17" t="n">
        <v>0</v>
      </c>
      <c r="R985" s="17" t="n">
        <v>0</v>
      </c>
      <c r="T985" s="17">
        <f>DAY(C985)</f>
        <v/>
      </c>
      <c r="U985" s="17">
        <f>MONTH(C985)</f>
        <v/>
      </c>
    </row>
    <row r="986" hidden="1" ht="22.5" customHeight="1" s="117">
      <c r="A986" s="14" t="n">
        <v>46018.32335689814</v>
      </c>
      <c r="B986" s="17" t="inlineStr">
        <is>
          <t>Huỳnh Văn Lực</t>
        </is>
      </c>
      <c r="C986" s="16" t="n">
        <v>46017</v>
      </c>
      <c r="D986" s="17" t="n">
        <v>1</v>
      </c>
      <c r="E986" s="17" t="n">
        <v>0</v>
      </c>
      <c r="F986" s="17" t="n">
        <v>1</v>
      </c>
      <c r="G986" s="17" t="n">
        <v>0</v>
      </c>
      <c r="H986" s="17" t="n">
        <v>0</v>
      </c>
      <c r="I986" s="17" t="n">
        <v>0</v>
      </c>
      <c r="J986" s="17" t="n">
        <v>0</v>
      </c>
      <c r="K986" s="17" t="n">
        <v>4</v>
      </c>
      <c r="L986" s="17" t="n">
        <v>0</v>
      </c>
      <c r="M986" s="17" t="n">
        <v>2</v>
      </c>
      <c r="N986" s="17" t="n">
        <v>0</v>
      </c>
      <c r="O986" s="17" t="n">
        <v>0</v>
      </c>
      <c r="P986" s="17" t="n">
        <v>0</v>
      </c>
      <c r="Q986" s="17" t="n">
        <v>1</v>
      </c>
      <c r="R986" s="17" t="n">
        <v>0</v>
      </c>
      <c r="T986" s="17">
        <f>DAY(C986)</f>
        <v/>
      </c>
      <c r="U986" s="17">
        <f>MONTH(C986)</f>
        <v/>
      </c>
    </row>
    <row r="987" hidden="1" ht="22.5" customHeight="1" s="117">
      <c r="A987" s="14" t="n">
        <v>46018.32357299769</v>
      </c>
      <c r="B987" s="17" t="inlineStr">
        <is>
          <t>Nguyễn Văn Hiệp</t>
        </is>
      </c>
      <c r="C987" s="16" t="n">
        <v>46017</v>
      </c>
      <c r="D987" s="17" t="n">
        <v>0</v>
      </c>
      <c r="E987" s="17" t="n">
        <v>0</v>
      </c>
      <c r="F987" s="17" t="n">
        <v>0</v>
      </c>
      <c r="G987" s="17" t="n">
        <v>1</v>
      </c>
      <c r="H987" s="17" t="n">
        <v>1</v>
      </c>
      <c r="I987" s="17" t="n">
        <v>0</v>
      </c>
      <c r="J987" s="17" t="n">
        <v>0</v>
      </c>
      <c r="K987" s="17" t="n">
        <v>2</v>
      </c>
      <c r="L987" s="17" t="n">
        <v>0</v>
      </c>
      <c r="M987" s="17" t="n">
        <v>1</v>
      </c>
      <c r="N987" s="17" t="n">
        <v>0</v>
      </c>
      <c r="O987" s="17" t="n">
        <v>0</v>
      </c>
      <c r="P987" s="17" t="n">
        <v>0</v>
      </c>
      <c r="Q987" s="17" t="n">
        <v>0</v>
      </c>
      <c r="R987" s="17" t="n">
        <v>0</v>
      </c>
      <c r="T987" s="17">
        <f>DAY(C987)</f>
        <v/>
      </c>
      <c r="U987" s="17">
        <f>MONTH(C987)</f>
        <v/>
      </c>
    </row>
    <row r="988" hidden="1" ht="22.5" customHeight="1" s="117">
      <c r="A988" s="14" t="n">
        <v>46018.33867770834</v>
      </c>
      <c r="B988" s="17" t="inlineStr">
        <is>
          <t>Bùi Duy Cường</t>
        </is>
      </c>
      <c r="C988" s="16" t="n">
        <v>46017</v>
      </c>
      <c r="D988" s="17" t="n">
        <v>0</v>
      </c>
      <c r="E988" s="17" t="n">
        <v>0</v>
      </c>
      <c r="F988" s="17" t="n">
        <v>0</v>
      </c>
      <c r="G988" s="17" t="n">
        <v>0</v>
      </c>
      <c r="H988" s="17" t="n">
        <v>0</v>
      </c>
      <c r="I988" s="17" t="n">
        <v>0</v>
      </c>
      <c r="J988" s="17" t="n">
        <v>0</v>
      </c>
      <c r="K988" s="17" t="n">
        <v>13</v>
      </c>
      <c r="L988" s="17" t="n">
        <v>0</v>
      </c>
      <c r="M988" s="17" t="n">
        <v>0</v>
      </c>
      <c r="N988" s="17" t="n">
        <v>0</v>
      </c>
      <c r="O988" s="17" t="n">
        <v>0</v>
      </c>
      <c r="P988" s="17" t="n">
        <v>2</v>
      </c>
      <c r="Q988" s="17" t="n">
        <v>0</v>
      </c>
      <c r="R988" s="17" t="n">
        <v>2</v>
      </c>
      <c r="T988" s="17">
        <f>DAY(C988)</f>
        <v/>
      </c>
      <c r="U988" s="17">
        <f>MONTH(C988)</f>
        <v/>
      </c>
    </row>
    <row r="989" hidden="1" ht="22.5" customHeight="1" s="117">
      <c r="A989" s="14" t="n">
        <v>46018.35652612268</v>
      </c>
      <c r="B989" s="17" t="inlineStr">
        <is>
          <t>Nguyễn Hồng Minh</t>
        </is>
      </c>
      <c r="C989" s="16" t="n">
        <v>46017</v>
      </c>
      <c r="D989" s="17" t="n">
        <v>0</v>
      </c>
      <c r="E989" s="17" t="n">
        <v>0</v>
      </c>
      <c r="F989" s="17" t="n">
        <v>0</v>
      </c>
      <c r="G989" s="17" t="n">
        <v>0</v>
      </c>
      <c r="H989" s="17" t="n">
        <v>0</v>
      </c>
      <c r="I989" s="17" t="n">
        <v>0</v>
      </c>
      <c r="J989" s="17" t="n">
        <v>0</v>
      </c>
      <c r="K989" s="17" t="n">
        <v>16</v>
      </c>
      <c r="L989" s="17" t="n">
        <v>0</v>
      </c>
      <c r="M989" s="17" t="n">
        <v>0</v>
      </c>
      <c r="N989" s="17" t="n">
        <v>2</v>
      </c>
      <c r="O989" s="17" t="n">
        <v>1</v>
      </c>
      <c r="P989" s="17" t="n">
        <v>0</v>
      </c>
      <c r="Q989" s="17" t="n">
        <v>5</v>
      </c>
      <c r="R989" s="17" t="n">
        <v>0</v>
      </c>
      <c r="T989" s="17">
        <f>DAY(C989)</f>
        <v/>
      </c>
      <c r="U989" s="17">
        <f>MONTH(C989)</f>
        <v/>
      </c>
    </row>
    <row r="990" hidden="1" ht="22.5" customHeight="1" s="117">
      <c r="A990" s="14" t="n">
        <v>46018.36600039352</v>
      </c>
      <c r="B990" s="17" t="inlineStr">
        <is>
          <t>Lê Văn Hồng</t>
        </is>
      </c>
      <c r="C990" s="16" t="n">
        <v>46017</v>
      </c>
      <c r="D990" s="17" t="n">
        <v>0</v>
      </c>
      <c r="E990" s="17" t="n">
        <v>0</v>
      </c>
      <c r="F990" s="17" t="n">
        <v>0</v>
      </c>
      <c r="G990" s="17" t="n">
        <v>1</v>
      </c>
      <c r="H990" s="17" t="n">
        <v>1</v>
      </c>
      <c r="I990" s="17" t="n">
        <v>5</v>
      </c>
      <c r="J990" s="17" t="n">
        <v>0</v>
      </c>
      <c r="K990" s="17" t="n">
        <v>2</v>
      </c>
      <c r="L990" s="17" t="n">
        <v>0</v>
      </c>
      <c r="M990" s="17" t="n">
        <v>0</v>
      </c>
      <c r="N990" s="17" t="n">
        <v>2</v>
      </c>
      <c r="O990" s="17" t="n">
        <v>0</v>
      </c>
      <c r="P990" s="17" t="n">
        <v>2</v>
      </c>
      <c r="Q990" s="17" t="n">
        <v>4</v>
      </c>
      <c r="R990" s="17" t="n">
        <v>0</v>
      </c>
      <c r="T990" s="17">
        <f>DAY(C990)</f>
        <v/>
      </c>
      <c r="U990" s="17">
        <f>MONTH(C990)</f>
        <v/>
      </c>
    </row>
    <row r="991" hidden="1" ht="22.5" customHeight="1" s="117">
      <c r="A991" s="14" t="n">
        <v>46018.93666881944</v>
      </c>
      <c r="B991" s="17" t="inlineStr">
        <is>
          <t>Đặng Hữu Danh</t>
        </is>
      </c>
      <c r="C991" s="16" t="n">
        <v>46018</v>
      </c>
      <c r="D991" s="17" t="n">
        <v>1</v>
      </c>
      <c r="E991" s="17" t="n">
        <v>0</v>
      </c>
      <c r="F991" s="17" t="n">
        <v>0</v>
      </c>
      <c r="G991" s="17" t="n">
        <v>0</v>
      </c>
      <c r="H991" s="17" t="n">
        <v>0</v>
      </c>
      <c r="I991" s="17" t="n">
        <v>1</v>
      </c>
      <c r="J991" s="17" t="n">
        <v>0</v>
      </c>
      <c r="K991" s="17" t="n">
        <v>10</v>
      </c>
      <c r="L991" s="17" t="n">
        <v>0</v>
      </c>
      <c r="M991" s="17" t="n">
        <v>1</v>
      </c>
      <c r="N991" s="17" t="n">
        <v>1</v>
      </c>
      <c r="O991" s="17" t="n">
        <v>0</v>
      </c>
      <c r="P991" s="17" t="n">
        <v>1</v>
      </c>
      <c r="Q991" s="17" t="n">
        <v>3</v>
      </c>
      <c r="R991" s="17" t="n">
        <v>0</v>
      </c>
      <c r="T991" s="17">
        <f>DAY(C991)</f>
        <v/>
      </c>
      <c r="U991" s="17">
        <f>MONTH(C991)</f>
        <v/>
      </c>
    </row>
    <row r="992" hidden="1" ht="22.5" customHeight="1" s="117">
      <c r="A992" s="14" t="n">
        <v>46019.25909634259</v>
      </c>
      <c r="B992" s="17" t="inlineStr">
        <is>
          <t>Phan Thành Thái</t>
        </is>
      </c>
      <c r="C992" s="16" t="n">
        <v>46018</v>
      </c>
      <c r="D992" s="17" t="n">
        <v>0</v>
      </c>
      <c r="E992" s="17" t="n">
        <v>0</v>
      </c>
      <c r="F992" s="17" t="n">
        <v>0</v>
      </c>
      <c r="G992" s="17" t="n">
        <v>1</v>
      </c>
      <c r="H992" s="17" t="n">
        <v>1</v>
      </c>
      <c r="I992" s="17" t="n">
        <v>0</v>
      </c>
      <c r="J992" s="17" t="n">
        <v>1</v>
      </c>
      <c r="K992" s="17" t="n">
        <v>16</v>
      </c>
      <c r="L992" s="17" t="n">
        <v>0</v>
      </c>
      <c r="M992" s="17" t="n">
        <v>1</v>
      </c>
      <c r="N992" s="17" t="n">
        <v>1</v>
      </c>
      <c r="O992" s="17" t="n">
        <v>0</v>
      </c>
      <c r="P992" s="17" t="n">
        <v>1</v>
      </c>
      <c r="Q992" s="17" t="n">
        <v>4</v>
      </c>
      <c r="R992" s="17" t="n">
        <v>0</v>
      </c>
      <c r="T992" s="17">
        <f>DAY(C992)</f>
        <v/>
      </c>
      <c r="U992" s="17">
        <f>MONTH(C992)</f>
        <v/>
      </c>
    </row>
    <row r="993" hidden="1" ht="22.5" customHeight="1" s="117">
      <c r="A993" s="14" t="n">
        <v>46019.26417035879</v>
      </c>
      <c r="B993" s="17" t="inlineStr">
        <is>
          <t>Lê Hồng Phong</t>
        </is>
      </c>
      <c r="C993" s="16" t="n">
        <v>46019</v>
      </c>
      <c r="D993" s="17" t="n">
        <v>1</v>
      </c>
      <c r="E993" s="17" t="n">
        <v>1</v>
      </c>
      <c r="F993" s="17" t="n">
        <v>1</v>
      </c>
      <c r="G993" s="17" t="n">
        <v>0</v>
      </c>
      <c r="H993" s="17" t="n">
        <v>0</v>
      </c>
      <c r="I993" s="17" t="n">
        <v>1</v>
      </c>
      <c r="J993" s="17" t="n">
        <v>1</v>
      </c>
      <c r="K993" s="17" t="n">
        <v>1</v>
      </c>
      <c r="L993" s="17" t="n">
        <v>1</v>
      </c>
      <c r="M993" s="17" t="n">
        <v>1</v>
      </c>
      <c r="N993" s="17" t="n">
        <v>1</v>
      </c>
      <c r="O993" s="17" t="n">
        <v>1</v>
      </c>
      <c r="P993" s="17" t="n">
        <v>1</v>
      </c>
      <c r="Q993" s="17" t="n">
        <v>1</v>
      </c>
      <c r="R993" s="17" t="n">
        <v>1</v>
      </c>
      <c r="T993" s="17">
        <f>DAY(C993)</f>
        <v/>
      </c>
      <c r="U993" s="17">
        <f>MONTH(C993)</f>
        <v/>
      </c>
    </row>
    <row r="994" hidden="1" ht="22.5" customHeight="1" s="117">
      <c r="A994" s="14" t="n">
        <v>46019.26465746528</v>
      </c>
      <c r="B994" s="17" t="inlineStr">
        <is>
          <t>Lương Duy Hoàng</t>
        </is>
      </c>
      <c r="C994" s="16" t="n">
        <v>46018</v>
      </c>
      <c r="D994" s="17" t="n">
        <v>1</v>
      </c>
      <c r="E994" s="17" t="n">
        <v>1</v>
      </c>
      <c r="F994" s="17" t="n">
        <v>0</v>
      </c>
      <c r="G994" s="17" t="n">
        <v>0</v>
      </c>
      <c r="H994" s="17" t="n">
        <v>0</v>
      </c>
      <c r="I994" s="17" t="n">
        <v>1</v>
      </c>
      <c r="J994" s="17" t="n">
        <v>0</v>
      </c>
      <c r="K994" s="17" t="n">
        <v>5</v>
      </c>
      <c r="L994" s="17" t="n">
        <v>0</v>
      </c>
      <c r="M994" s="17" t="n">
        <v>1</v>
      </c>
      <c r="N994" s="17" t="n">
        <v>0</v>
      </c>
      <c r="O994" s="17" t="n">
        <v>0</v>
      </c>
      <c r="P994" s="17" t="n">
        <v>0</v>
      </c>
      <c r="Q994" s="17" t="n">
        <v>4</v>
      </c>
      <c r="R994" s="17" t="n">
        <v>0</v>
      </c>
      <c r="T994" s="17">
        <f>DAY(C994)</f>
        <v/>
      </c>
      <c r="U994" s="17">
        <f>MONTH(C994)</f>
        <v/>
      </c>
    </row>
    <row r="995" hidden="1" ht="22.5" customHeight="1" s="117">
      <c r="A995" s="14" t="n">
        <v>46019.26528532407</v>
      </c>
      <c r="B995" s="17" t="inlineStr">
        <is>
          <t>Dương Minh Tiến</t>
        </is>
      </c>
      <c r="C995" s="16" t="n">
        <v>46018</v>
      </c>
      <c r="D995" s="17" t="n">
        <v>0</v>
      </c>
      <c r="E995" s="17" t="n">
        <v>0</v>
      </c>
      <c r="F995" s="17" t="n">
        <v>0</v>
      </c>
      <c r="G995" s="17" t="n">
        <v>0</v>
      </c>
      <c r="H995" s="17" t="n">
        <v>0</v>
      </c>
      <c r="I995" s="17" t="n">
        <v>0</v>
      </c>
      <c r="J995" s="17" t="n">
        <v>0</v>
      </c>
      <c r="K995" s="17" t="n">
        <v>5</v>
      </c>
      <c r="L995" s="17" t="n">
        <v>0</v>
      </c>
      <c r="M995" s="17" t="n">
        <v>0</v>
      </c>
      <c r="N995" s="17" t="n">
        <v>0</v>
      </c>
      <c r="O995" s="17" t="n">
        <v>0</v>
      </c>
      <c r="P995" s="17" t="n">
        <v>0</v>
      </c>
      <c r="Q995" s="17" t="n">
        <v>0</v>
      </c>
      <c r="R995" s="17" t="n">
        <v>0</v>
      </c>
      <c r="T995" s="17">
        <f>DAY(C995)</f>
        <v/>
      </c>
      <c r="U995" s="17">
        <f>MONTH(C995)</f>
        <v/>
      </c>
    </row>
    <row r="996" hidden="1" ht="22.5" customHeight="1" s="117">
      <c r="A996" s="14" t="n">
        <v>46019.2792853125</v>
      </c>
      <c r="B996" s="17" t="inlineStr">
        <is>
          <t>Trần Minh Khánh</t>
        </is>
      </c>
      <c r="C996" s="16" t="n">
        <v>46018</v>
      </c>
      <c r="D996" s="17" t="n">
        <v>0</v>
      </c>
      <c r="E996" s="17" t="n">
        <v>0</v>
      </c>
      <c r="F996" s="17" t="n">
        <v>0</v>
      </c>
      <c r="G996" s="17" t="n">
        <v>0</v>
      </c>
      <c r="H996" s="17" t="n">
        <v>1</v>
      </c>
      <c r="I996" s="17" t="n">
        <v>1</v>
      </c>
      <c r="J996" s="17" t="n">
        <v>0</v>
      </c>
      <c r="K996" s="17" t="n">
        <v>11</v>
      </c>
      <c r="L996" s="17" t="n">
        <v>0</v>
      </c>
      <c r="M996" s="17" t="n">
        <v>0</v>
      </c>
      <c r="N996" s="17" t="n">
        <v>1</v>
      </c>
      <c r="O996" s="17" t="n">
        <v>0</v>
      </c>
      <c r="P996" s="17" t="n">
        <v>1</v>
      </c>
      <c r="Q996" s="17" t="n">
        <v>2</v>
      </c>
      <c r="R996" s="17" t="n">
        <v>0</v>
      </c>
      <c r="T996" s="17">
        <f>DAY(C996)</f>
        <v/>
      </c>
      <c r="U996" s="17">
        <f>MONTH(C996)</f>
        <v/>
      </c>
    </row>
    <row r="997" hidden="1" ht="22.5" customHeight="1" s="117">
      <c r="A997" s="14" t="n">
        <v>46019.29113475695</v>
      </c>
      <c r="B997" s="17" t="inlineStr">
        <is>
          <t>Lê Quốc Duy</t>
        </is>
      </c>
      <c r="C997" s="16" t="n">
        <v>46018</v>
      </c>
      <c r="D997" s="17" t="n">
        <v>0</v>
      </c>
      <c r="E997" s="17" t="n">
        <v>0</v>
      </c>
      <c r="F997" s="17" t="n">
        <v>0</v>
      </c>
      <c r="G997" s="17" t="n">
        <v>0</v>
      </c>
      <c r="H997" s="17" t="n">
        <v>0</v>
      </c>
      <c r="I997" s="17" t="n">
        <v>0</v>
      </c>
      <c r="J997" s="17" t="n">
        <v>0</v>
      </c>
      <c r="K997" s="17" t="n">
        <v>9</v>
      </c>
      <c r="L997" s="17" t="n">
        <v>0</v>
      </c>
      <c r="M997" s="17" t="n">
        <v>0</v>
      </c>
      <c r="N997" s="17" t="n">
        <v>0</v>
      </c>
      <c r="O997" s="17" t="n">
        <v>0</v>
      </c>
      <c r="P997" s="17" t="n">
        <v>2</v>
      </c>
      <c r="Q997" s="17" t="n">
        <v>2</v>
      </c>
      <c r="R997" s="17" t="n">
        <v>0</v>
      </c>
      <c r="T997" s="17">
        <f>DAY(C997)</f>
        <v/>
      </c>
      <c r="U997" s="17">
        <f>MONTH(C997)</f>
        <v/>
      </c>
    </row>
    <row r="998" hidden="1" ht="22.5" customHeight="1" s="117">
      <c r="A998" s="14" t="n">
        <v>46019.2939927199</v>
      </c>
      <c r="B998" s="17" t="inlineStr">
        <is>
          <t>Nguyễn Văn Hiệp</t>
        </is>
      </c>
      <c r="C998" s="16" t="n">
        <v>46018</v>
      </c>
      <c r="D998" s="17" t="n">
        <v>1</v>
      </c>
      <c r="E998" s="17" t="n">
        <v>0</v>
      </c>
      <c r="F998" s="17" t="n">
        <v>0</v>
      </c>
      <c r="G998" s="17" t="n">
        <v>0</v>
      </c>
      <c r="H998" s="17" t="n">
        <v>0</v>
      </c>
      <c r="I998" s="17" t="n">
        <v>0</v>
      </c>
      <c r="J998" s="17" t="n">
        <v>0</v>
      </c>
      <c r="K998" s="17" t="n">
        <v>1</v>
      </c>
      <c r="L998" s="17" t="n">
        <v>0</v>
      </c>
      <c r="M998" s="17" t="n">
        <v>1</v>
      </c>
      <c r="N998" s="17" t="n">
        <v>0</v>
      </c>
      <c r="O998" s="17" t="n">
        <v>0</v>
      </c>
      <c r="P998" s="17" t="n">
        <v>0</v>
      </c>
      <c r="Q998" s="17" t="n">
        <v>0</v>
      </c>
      <c r="R998" s="17" t="n">
        <v>0</v>
      </c>
      <c r="T998" s="17">
        <f>DAY(C998)</f>
        <v/>
      </c>
      <c r="U998" s="17">
        <f>MONTH(C998)</f>
        <v/>
      </c>
    </row>
    <row r="999" hidden="1" ht="22.5" customHeight="1" s="117">
      <c r="A999" s="14" t="n">
        <v>46019.29480633102</v>
      </c>
      <c r="B999" s="17" t="inlineStr">
        <is>
          <t>Trần Trung Giang</t>
        </is>
      </c>
      <c r="C999" s="16" t="n">
        <v>45653</v>
      </c>
      <c r="D999" s="17" t="n">
        <v>0</v>
      </c>
      <c r="E999" s="17" t="n">
        <v>0</v>
      </c>
      <c r="F999" s="17" t="n">
        <v>0</v>
      </c>
      <c r="G999" s="17" t="n">
        <v>0</v>
      </c>
      <c r="H999" s="17" t="n">
        <v>0</v>
      </c>
      <c r="I999" s="17" t="n">
        <v>0</v>
      </c>
      <c r="J999" s="17" t="n">
        <v>0</v>
      </c>
      <c r="K999" s="17" t="n">
        <v>2</v>
      </c>
      <c r="L999" s="17" t="n">
        <v>0</v>
      </c>
      <c r="M999" s="17" t="n">
        <v>0</v>
      </c>
      <c r="N999" s="17" t="n">
        <v>0</v>
      </c>
      <c r="O999" s="17" t="n">
        <v>0</v>
      </c>
      <c r="P999" s="17" t="n">
        <v>1</v>
      </c>
      <c r="Q999" s="17" t="n">
        <v>0</v>
      </c>
      <c r="R999" s="17" t="n">
        <v>0</v>
      </c>
      <c r="T999" s="17">
        <f>DAY(C999)</f>
        <v/>
      </c>
      <c r="U999" s="17">
        <f>MONTH(C999)</f>
        <v/>
      </c>
    </row>
    <row r="1000" hidden="1" ht="22.5" customHeight="1" s="117">
      <c r="A1000" s="14" t="n">
        <v>46019.29505738426</v>
      </c>
      <c r="B1000" s="17" t="inlineStr">
        <is>
          <t>Hồ Thái Minh Trí</t>
        </is>
      </c>
      <c r="C1000" s="16" t="n">
        <v>46018</v>
      </c>
      <c r="D1000" s="17" t="n">
        <v>0</v>
      </c>
      <c r="E1000" s="17" t="n">
        <v>0</v>
      </c>
      <c r="F1000" s="17" t="n">
        <v>0</v>
      </c>
      <c r="G1000" s="17" t="n">
        <v>0</v>
      </c>
      <c r="H1000" s="17" t="n">
        <v>0</v>
      </c>
      <c r="I1000" s="17" t="n">
        <v>0</v>
      </c>
      <c r="J1000" s="17" t="n">
        <v>0</v>
      </c>
      <c r="K1000" s="17" t="n">
        <v>1</v>
      </c>
      <c r="L1000" s="17" t="n">
        <v>0</v>
      </c>
      <c r="M1000" s="17" t="n">
        <v>0</v>
      </c>
      <c r="N1000" s="17" t="n">
        <v>0</v>
      </c>
      <c r="O1000" s="17" t="n">
        <v>0</v>
      </c>
      <c r="P1000" s="17" t="n">
        <v>0</v>
      </c>
      <c r="Q1000" s="17" t="n">
        <v>5</v>
      </c>
      <c r="R1000" s="17" t="n">
        <v>0</v>
      </c>
      <c r="T1000" s="17">
        <f>DAY(C1000)</f>
        <v/>
      </c>
      <c r="U1000" s="17">
        <f>MONTH(C1000)</f>
        <v/>
      </c>
    </row>
    <row r="1001" hidden="1" ht="22.5" customHeight="1" s="117">
      <c r="A1001" s="14" t="n">
        <v>46019.29553219907</v>
      </c>
      <c r="B1001" s="17" t="inlineStr">
        <is>
          <t>Hồ Xuân Việt</t>
        </is>
      </c>
      <c r="C1001" s="16" t="n">
        <v>46018</v>
      </c>
      <c r="D1001" s="17" t="n">
        <v>0</v>
      </c>
      <c r="E1001" s="18" t="inlineStr">
        <is>
          <t>00</t>
        </is>
      </c>
      <c r="F1001" s="17" t="n">
        <v>0</v>
      </c>
      <c r="G1001" s="17" t="n">
        <v>0</v>
      </c>
      <c r="H1001" s="17" t="n">
        <v>0</v>
      </c>
      <c r="I1001" s="17" t="n">
        <v>0</v>
      </c>
      <c r="J1001" s="17" t="n">
        <v>0</v>
      </c>
      <c r="K1001" s="17" t="n">
        <v>6</v>
      </c>
      <c r="L1001" s="17" t="n">
        <v>0</v>
      </c>
      <c r="M1001" s="17" t="n">
        <v>0</v>
      </c>
      <c r="N1001" s="17" t="n">
        <v>0</v>
      </c>
      <c r="O1001" s="17" t="n">
        <v>0</v>
      </c>
      <c r="P1001" s="17" t="n">
        <v>0</v>
      </c>
      <c r="Q1001" s="17" t="n">
        <v>0</v>
      </c>
      <c r="R1001" s="17" t="n">
        <v>0</v>
      </c>
      <c r="T1001" s="17">
        <f>DAY(C1001)</f>
        <v/>
      </c>
      <c r="U1001" s="17">
        <f>MONTH(C1001)</f>
        <v/>
      </c>
    </row>
    <row r="1002" hidden="1" ht="22.5" customHeight="1" s="117">
      <c r="A1002" s="14" t="n">
        <v>46019.29682483796</v>
      </c>
      <c r="B1002" s="17" t="inlineStr">
        <is>
          <t>Trần Xuân Khoa</t>
        </is>
      </c>
      <c r="C1002" s="16" t="n">
        <v>46018</v>
      </c>
      <c r="D1002" s="17" t="n">
        <v>0</v>
      </c>
      <c r="E1002" s="17" t="n">
        <v>0</v>
      </c>
      <c r="F1002" s="17" t="n">
        <v>0</v>
      </c>
      <c r="G1002" s="17" t="n">
        <v>0</v>
      </c>
      <c r="H1002" s="17" t="n">
        <v>0</v>
      </c>
      <c r="I1002" s="17" t="n">
        <v>0</v>
      </c>
      <c r="J1002" s="17" t="n">
        <v>0</v>
      </c>
      <c r="K1002" s="17" t="n">
        <v>10</v>
      </c>
      <c r="L1002" s="17" t="n">
        <v>0</v>
      </c>
      <c r="M1002" s="17" t="n">
        <v>0</v>
      </c>
      <c r="N1002" s="17" t="n">
        <v>0</v>
      </c>
      <c r="O1002" s="17" t="n">
        <v>0</v>
      </c>
      <c r="P1002" s="17" t="n">
        <v>0</v>
      </c>
      <c r="Q1002" s="17" t="n">
        <v>3</v>
      </c>
      <c r="R1002" s="17" t="n">
        <v>0</v>
      </c>
      <c r="T1002" s="17">
        <f>DAY(C1002)</f>
        <v/>
      </c>
      <c r="U1002" s="17">
        <f>MONTH(C1002)</f>
        <v/>
      </c>
    </row>
    <row r="1003" hidden="1" ht="22.5" customHeight="1" s="117">
      <c r="A1003" s="14" t="n">
        <v>46019.30008679398</v>
      </c>
      <c r="B1003" s="17" t="inlineStr">
        <is>
          <t>Phan Ngọc Sang</t>
        </is>
      </c>
      <c r="C1003" s="16" t="n">
        <v>46018</v>
      </c>
      <c r="D1003" s="17" t="n">
        <v>0</v>
      </c>
      <c r="E1003" s="17" t="n">
        <v>0</v>
      </c>
      <c r="F1003" s="17" t="n">
        <v>0</v>
      </c>
      <c r="G1003" s="17" t="n">
        <v>0</v>
      </c>
      <c r="H1003" s="17" t="n">
        <v>0</v>
      </c>
      <c r="I1003" s="17" t="n">
        <v>0</v>
      </c>
      <c r="J1003" s="17" t="n">
        <v>1</v>
      </c>
      <c r="K1003" s="17" t="n">
        <v>4</v>
      </c>
      <c r="L1003" s="17" t="n">
        <v>0</v>
      </c>
      <c r="M1003" s="17" t="n">
        <v>1</v>
      </c>
      <c r="N1003" s="17" t="n">
        <v>0</v>
      </c>
      <c r="O1003" s="17" t="n">
        <v>0</v>
      </c>
      <c r="P1003" s="17" t="n">
        <v>1</v>
      </c>
      <c r="Q1003" s="17" t="n">
        <v>2</v>
      </c>
      <c r="R1003" s="17" t="n">
        <v>0</v>
      </c>
      <c r="T1003" s="17">
        <f>DAY(C1003)</f>
        <v/>
      </c>
      <c r="U1003" s="17">
        <f>MONTH(C1003)</f>
        <v/>
      </c>
    </row>
    <row r="1004" hidden="1" ht="22.5" customHeight="1" s="117">
      <c r="A1004" s="14" t="n">
        <v>46019.30166802083</v>
      </c>
      <c r="B1004" s="17" t="inlineStr">
        <is>
          <t>Nguyễn Quang Anh Tuấn</t>
        </is>
      </c>
      <c r="C1004" s="16" t="n">
        <v>46018</v>
      </c>
      <c r="D1004" s="17" t="n">
        <v>1</v>
      </c>
      <c r="E1004" s="17" t="n">
        <v>0</v>
      </c>
      <c r="F1004" s="17" t="n">
        <v>0</v>
      </c>
      <c r="G1004" s="17" t="n">
        <v>0</v>
      </c>
      <c r="H1004" s="17" t="n">
        <v>0</v>
      </c>
      <c r="I1004" s="17" t="n">
        <v>0</v>
      </c>
      <c r="J1004" s="17" t="n">
        <v>0</v>
      </c>
      <c r="K1004" s="17" t="n">
        <v>2</v>
      </c>
      <c r="L1004" s="17" t="n">
        <v>0</v>
      </c>
      <c r="M1004" s="17" t="n">
        <v>0</v>
      </c>
      <c r="N1004" s="17" t="n">
        <v>0</v>
      </c>
      <c r="O1004" s="17" t="n">
        <v>0</v>
      </c>
      <c r="P1004" s="17" t="n">
        <v>2</v>
      </c>
      <c r="Q1004" s="17" t="n">
        <v>2</v>
      </c>
      <c r="R1004" s="17" t="n">
        <v>0</v>
      </c>
      <c r="T1004" s="17">
        <f>DAY(C1004)</f>
        <v/>
      </c>
      <c r="U1004" s="17">
        <f>MONTH(C1004)</f>
        <v/>
      </c>
    </row>
    <row r="1005" hidden="1" ht="22.5" customHeight="1" s="117">
      <c r="A1005" s="14" t="n">
        <v>46019.30220961806</v>
      </c>
      <c r="B1005" s="17" t="inlineStr">
        <is>
          <t>Đặng Hoài Anh</t>
        </is>
      </c>
      <c r="C1005" s="16" t="n">
        <v>46018</v>
      </c>
      <c r="D1005" s="17" t="n">
        <v>0</v>
      </c>
      <c r="E1005" s="17" t="n">
        <v>0</v>
      </c>
      <c r="F1005" s="17" t="n">
        <v>0</v>
      </c>
      <c r="G1005" s="17" t="n">
        <v>0</v>
      </c>
      <c r="H1005" s="17" t="n">
        <v>0</v>
      </c>
      <c r="I1005" s="17" t="n">
        <v>0</v>
      </c>
      <c r="J1005" s="17" t="n">
        <v>0</v>
      </c>
      <c r="K1005" s="17" t="n">
        <v>4</v>
      </c>
      <c r="L1005" s="17" t="n">
        <v>0</v>
      </c>
      <c r="M1005" s="17" t="n">
        <v>0</v>
      </c>
      <c r="N1005" s="17" t="n">
        <v>0</v>
      </c>
      <c r="O1005" s="17" t="n">
        <v>0</v>
      </c>
      <c r="P1005" s="17" t="n">
        <v>1</v>
      </c>
      <c r="Q1005" s="17" t="n">
        <v>0</v>
      </c>
      <c r="R1005" s="17" t="n">
        <v>0</v>
      </c>
      <c r="T1005" s="17">
        <f>DAY(C1005)</f>
        <v/>
      </c>
      <c r="U1005" s="17">
        <f>MONTH(C1005)</f>
        <v/>
      </c>
    </row>
    <row r="1006" hidden="1" ht="22.5" customHeight="1" s="117">
      <c r="A1006" s="14" t="n">
        <v>46019.30264601852</v>
      </c>
      <c r="B1006" s="17" t="inlineStr">
        <is>
          <t>Bùi Duy Cường</t>
        </is>
      </c>
      <c r="C1006" s="16" t="n">
        <v>46018</v>
      </c>
      <c r="D1006" s="17" t="n">
        <v>0</v>
      </c>
      <c r="E1006" s="17" t="n">
        <v>0</v>
      </c>
      <c r="F1006" s="17" t="n">
        <v>0</v>
      </c>
      <c r="G1006" s="17" t="n">
        <v>0</v>
      </c>
      <c r="H1006" s="17" t="n">
        <v>0</v>
      </c>
      <c r="I1006" s="17" t="n">
        <v>0</v>
      </c>
      <c r="J1006" s="17" t="n">
        <v>0</v>
      </c>
      <c r="K1006" s="17" t="n">
        <v>2</v>
      </c>
      <c r="L1006" s="17" t="n">
        <v>0</v>
      </c>
      <c r="M1006" s="17" t="n">
        <v>0</v>
      </c>
      <c r="N1006" s="17" t="n">
        <v>0</v>
      </c>
      <c r="O1006" s="17" t="n">
        <v>0</v>
      </c>
      <c r="P1006" s="17" t="n">
        <v>0</v>
      </c>
      <c r="Q1006" s="17" t="n">
        <v>0</v>
      </c>
      <c r="R1006" s="17" t="n">
        <v>0</v>
      </c>
      <c r="T1006" s="17">
        <f>DAY(C1006)</f>
        <v/>
      </c>
      <c r="U1006" s="17">
        <f>MONTH(C1006)</f>
        <v/>
      </c>
    </row>
    <row r="1007" hidden="1" ht="22.5" customHeight="1" s="117">
      <c r="A1007" s="14" t="n">
        <v>46019.30986775463</v>
      </c>
      <c r="B1007" s="17" t="inlineStr">
        <is>
          <t>Đào Công Trung</t>
        </is>
      </c>
      <c r="C1007" s="16" t="n">
        <v>46018</v>
      </c>
      <c r="D1007" s="17" t="n">
        <v>0</v>
      </c>
      <c r="E1007" s="17" t="n">
        <v>0</v>
      </c>
      <c r="F1007" s="17" t="n">
        <v>0</v>
      </c>
      <c r="G1007" s="17" t="n">
        <v>0</v>
      </c>
      <c r="H1007" s="17" t="n">
        <v>0</v>
      </c>
      <c r="I1007" s="17" t="n">
        <v>0</v>
      </c>
      <c r="J1007" s="17" t="n">
        <v>0</v>
      </c>
      <c r="K1007" s="17" t="n">
        <v>9</v>
      </c>
      <c r="L1007" s="17" t="n">
        <v>0</v>
      </c>
      <c r="M1007" s="17" t="n">
        <v>0</v>
      </c>
      <c r="N1007" s="17" t="n">
        <v>0</v>
      </c>
      <c r="O1007" s="17" t="n">
        <v>0</v>
      </c>
      <c r="P1007" s="17" t="n">
        <v>0</v>
      </c>
      <c r="Q1007" s="17" t="n">
        <v>0</v>
      </c>
      <c r="R1007" s="17" t="n">
        <v>0</v>
      </c>
      <c r="T1007" s="17">
        <f>DAY(C1007)</f>
        <v/>
      </c>
      <c r="U1007" s="17">
        <f>MONTH(C1007)</f>
        <v/>
      </c>
    </row>
    <row r="1008" hidden="1" ht="22.5" customHeight="1" s="117">
      <c r="A1008" s="14" t="n">
        <v>46019.31001758102</v>
      </c>
      <c r="B1008" s="17" t="inlineStr">
        <is>
          <t>Nguyễn Tuấn Anh</t>
        </is>
      </c>
      <c r="C1008" s="16" t="n">
        <v>46019</v>
      </c>
      <c r="D1008" s="17" t="n">
        <v>0</v>
      </c>
      <c r="E1008" s="17" t="n">
        <v>0</v>
      </c>
      <c r="F1008" s="17" t="n">
        <v>0</v>
      </c>
      <c r="G1008" s="17" t="n">
        <v>0</v>
      </c>
      <c r="H1008" s="17" t="n">
        <v>0</v>
      </c>
      <c r="I1008" s="17" t="n">
        <v>0</v>
      </c>
      <c r="J1008" s="17" t="n">
        <v>0</v>
      </c>
      <c r="K1008" s="17" t="n">
        <v>5</v>
      </c>
      <c r="L1008" s="17" t="n">
        <v>0</v>
      </c>
      <c r="M1008" s="17" t="n">
        <v>0</v>
      </c>
      <c r="N1008" s="17" t="n">
        <v>0</v>
      </c>
      <c r="O1008" s="17" t="n">
        <v>0</v>
      </c>
      <c r="P1008" s="17" t="n">
        <v>1</v>
      </c>
      <c r="Q1008" s="17" t="n">
        <v>8</v>
      </c>
      <c r="R1008" s="17" t="n">
        <v>0</v>
      </c>
      <c r="T1008" s="17">
        <f>DAY(C1008)</f>
        <v/>
      </c>
      <c r="U1008" s="17">
        <f>MONTH(C1008)</f>
        <v/>
      </c>
    </row>
    <row r="1009" hidden="1" ht="22.5" customHeight="1" s="117">
      <c r="A1009" s="14" t="n">
        <v>46019.31473239583</v>
      </c>
      <c r="B1009" s="17" t="inlineStr">
        <is>
          <t>Nguyễn Thành Lâm</t>
        </is>
      </c>
      <c r="C1009" s="16" t="n">
        <v>46018</v>
      </c>
      <c r="D1009" s="17" t="n">
        <v>1</v>
      </c>
      <c r="E1009" s="17" t="n">
        <v>1</v>
      </c>
      <c r="F1009" s="17" t="n">
        <v>1</v>
      </c>
      <c r="G1009" s="17" t="n">
        <v>0</v>
      </c>
      <c r="H1009" s="17" t="n">
        <v>0</v>
      </c>
      <c r="I1009" s="17" t="n">
        <v>0</v>
      </c>
      <c r="J1009" s="17" t="n">
        <v>0</v>
      </c>
      <c r="K1009" s="17" t="n">
        <v>12</v>
      </c>
      <c r="L1009" s="17" t="n">
        <v>0</v>
      </c>
      <c r="M1009" s="17" t="n">
        <v>1</v>
      </c>
      <c r="N1009" s="17" t="n">
        <v>0</v>
      </c>
      <c r="O1009" s="17" t="n">
        <v>0</v>
      </c>
      <c r="P1009" s="17" t="n">
        <v>0</v>
      </c>
      <c r="Q1009" s="17" t="n">
        <v>2</v>
      </c>
      <c r="R1009" s="17" t="n">
        <v>0</v>
      </c>
      <c r="T1009" s="17">
        <f>DAY(C1009)</f>
        <v/>
      </c>
      <c r="U1009" s="17">
        <f>MONTH(C1009)</f>
        <v/>
      </c>
    </row>
    <row r="1010" hidden="1" ht="22.5" customHeight="1" s="117">
      <c r="A1010" s="14" t="n">
        <v>46019.31551664352</v>
      </c>
      <c r="B1010" s="17" t="inlineStr">
        <is>
          <t>Vòng Nhật Sang</t>
        </is>
      </c>
      <c r="C1010" s="16" t="n">
        <v>46018</v>
      </c>
      <c r="D1010" s="17" t="n">
        <v>0</v>
      </c>
      <c r="E1010" s="17" t="n">
        <v>0</v>
      </c>
      <c r="F1010" s="17" t="n">
        <v>0</v>
      </c>
      <c r="G1010" s="17" t="n">
        <v>0</v>
      </c>
      <c r="H1010" s="17" t="n">
        <v>0</v>
      </c>
      <c r="I1010" s="17" t="n">
        <v>0</v>
      </c>
      <c r="J1010" s="17" t="n">
        <v>6</v>
      </c>
      <c r="K1010" s="17" t="n">
        <v>0</v>
      </c>
      <c r="L1010" s="17" t="n">
        <v>0</v>
      </c>
      <c r="M1010" s="17" t="n">
        <v>0</v>
      </c>
      <c r="N1010" s="17" t="n">
        <v>0</v>
      </c>
      <c r="O1010" s="17" t="n">
        <v>0</v>
      </c>
      <c r="P1010" s="17" t="n">
        <v>2</v>
      </c>
      <c r="Q1010" s="17" t="n">
        <v>2</v>
      </c>
      <c r="R1010" s="17" t="n">
        <v>0</v>
      </c>
      <c r="T1010" s="17">
        <f>DAY(C1010)</f>
        <v/>
      </c>
      <c r="U1010" s="17">
        <f>MONTH(C1010)</f>
        <v/>
      </c>
    </row>
    <row r="1011" hidden="1" ht="22.5" customHeight="1" s="117">
      <c r="A1011" s="14" t="n">
        <v>46019.34788899306</v>
      </c>
      <c r="B1011" s="17" t="inlineStr">
        <is>
          <t>Huỳnh Văn Lực</t>
        </is>
      </c>
      <c r="C1011" s="16" t="n">
        <v>46018</v>
      </c>
      <c r="D1011" s="17" t="n">
        <v>0</v>
      </c>
      <c r="E1011" s="17" t="n">
        <v>0</v>
      </c>
      <c r="F1011" s="17" t="n">
        <v>0</v>
      </c>
      <c r="G1011" s="17" t="n">
        <v>0</v>
      </c>
      <c r="H1011" s="17" t="n">
        <v>0</v>
      </c>
      <c r="I1011" s="17" t="n">
        <v>1</v>
      </c>
      <c r="J1011" s="17" t="n">
        <v>0</v>
      </c>
      <c r="K1011" s="17" t="n">
        <v>2</v>
      </c>
      <c r="L1011" s="17" t="n">
        <v>0</v>
      </c>
      <c r="M1011" s="17" t="n">
        <v>1</v>
      </c>
      <c r="N1011" s="17" t="n">
        <v>1</v>
      </c>
      <c r="O1011" s="17" t="n">
        <v>0</v>
      </c>
      <c r="P1011" s="17" t="n">
        <v>0</v>
      </c>
      <c r="Q1011" s="17" t="n">
        <v>1</v>
      </c>
      <c r="R1011" s="17" t="n">
        <v>0</v>
      </c>
      <c r="T1011" s="17">
        <f>DAY(C1011)</f>
        <v/>
      </c>
      <c r="U1011" s="17">
        <f>MONTH(C1011)</f>
        <v/>
      </c>
    </row>
    <row r="1012" hidden="1" ht="22.5" customHeight="1" s="117">
      <c r="A1012" s="14" t="n">
        <v>46019.36154440972</v>
      </c>
      <c r="B1012" s="17" t="inlineStr">
        <is>
          <t>Lê Văn Hồng</t>
        </is>
      </c>
      <c r="C1012" s="16" t="n">
        <v>46018</v>
      </c>
      <c r="D1012" s="17" t="n">
        <v>0</v>
      </c>
      <c r="E1012" s="17" t="n">
        <v>0</v>
      </c>
      <c r="F1012" s="17" t="n">
        <v>0</v>
      </c>
      <c r="G1012" s="17" t="n">
        <v>1</v>
      </c>
      <c r="H1012" s="17" t="n">
        <v>1</v>
      </c>
      <c r="I1012" s="17" t="n">
        <v>10</v>
      </c>
      <c r="J1012" s="17" t="n">
        <v>0</v>
      </c>
      <c r="K1012" s="17" t="n">
        <v>4</v>
      </c>
      <c r="L1012" s="17" t="n">
        <v>2</v>
      </c>
      <c r="M1012" s="17" t="n">
        <v>1</v>
      </c>
      <c r="N1012" s="17" t="n">
        <v>2</v>
      </c>
      <c r="O1012" s="17" t="n">
        <v>0</v>
      </c>
      <c r="P1012" s="17" t="n">
        <v>2</v>
      </c>
      <c r="Q1012" s="17" t="n">
        <v>5</v>
      </c>
      <c r="R1012" s="17" t="n">
        <v>0</v>
      </c>
      <c r="T1012" s="17">
        <f>DAY(C1012)</f>
        <v/>
      </c>
      <c r="U1012" s="17">
        <f>MONTH(C1012)</f>
        <v/>
      </c>
    </row>
    <row r="1013" hidden="1" ht="22.5" customHeight="1" s="117">
      <c r="A1013" s="14" t="n">
        <v>46019.36881195602</v>
      </c>
      <c r="B1013" s="17" t="inlineStr">
        <is>
          <t>Nguyễn Hồng Minh</t>
        </is>
      </c>
      <c r="C1013" s="16" t="n">
        <v>46018</v>
      </c>
      <c r="D1013" s="17" t="n">
        <v>0</v>
      </c>
      <c r="E1013" s="17" t="n">
        <v>0</v>
      </c>
      <c r="F1013" s="17" t="n">
        <v>0</v>
      </c>
      <c r="G1013" s="17" t="n">
        <v>0</v>
      </c>
      <c r="H1013" s="17" t="n">
        <v>0</v>
      </c>
      <c r="I1013" s="17" t="n">
        <v>1</v>
      </c>
      <c r="J1013" s="17" t="n">
        <v>2</v>
      </c>
      <c r="K1013" s="17" t="n">
        <v>4</v>
      </c>
      <c r="L1013" s="17" t="n">
        <v>0</v>
      </c>
      <c r="M1013" s="17" t="n">
        <v>0</v>
      </c>
      <c r="N1013" s="17" t="n">
        <v>1</v>
      </c>
      <c r="O1013" s="17" t="n">
        <v>0</v>
      </c>
      <c r="P1013" s="17" t="n">
        <v>2</v>
      </c>
      <c r="Q1013" s="17" t="n">
        <v>6</v>
      </c>
      <c r="R1013" s="17" t="n">
        <v>0</v>
      </c>
      <c r="T1013" s="17">
        <f>DAY(C1013)</f>
        <v/>
      </c>
      <c r="U1013" s="17">
        <f>MONTH(C1013)</f>
        <v/>
      </c>
    </row>
    <row r="1014" hidden="1" ht="22.5" customHeight="1" s="117">
      <c r="A1014" s="14" t="n">
        <v>46020.27275543982</v>
      </c>
      <c r="B1014" s="17" t="inlineStr">
        <is>
          <t>Nguyễn Văn Hiệp</t>
        </is>
      </c>
      <c r="C1014" s="16" t="n">
        <v>46019</v>
      </c>
      <c r="D1014" s="17" t="n">
        <v>0</v>
      </c>
      <c r="E1014" s="17" t="n">
        <v>0</v>
      </c>
      <c r="F1014" s="17" t="n">
        <v>0</v>
      </c>
      <c r="G1014" s="17" t="n">
        <v>0</v>
      </c>
      <c r="H1014" s="17" t="n">
        <v>0</v>
      </c>
      <c r="I1014" s="17" t="n">
        <v>0</v>
      </c>
      <c r="J1014" s="17" t="n">
        <v>0</v>
      </c>
      <c r="K1014" s="17" t="n">
        <v>4</v>
      </c>
      <c r="L1014" s="17" t="n">
        <v>0</v>
      </c>
      <c r="M1014" s="17" t="n">
        <v>0</v>
      </c>
      <c r="N1014" s="17" t="n">
        <v>0</v>
      </c>
      <c r="O1014" s="17" t="n">
        <v>0</v>
      </c>
      <c r="P1014" s="17" t="n">
        <v>0</v>
      </c>
      <c r="Q1014" s="17" t="n">
        <v>0</v>
      </c>
      <c r="R1014" s="17" t="n">
        <v>0</v>
      </c>
      <c r="T1014" s="17">
        <f>DAY(C1014)</f>
        <v/>
      </c>
      <c r="U1014" s="17">
        <f>MONTH(C1014)</f>
        <v/>
      </c>
    </row>
    <row r="1015" hidden="1" ht="22.5" customHeight="1" s="117">
      <c r="A1015" s="14" t="n">
        <v>46020.27357851852</v>
      </c>
      <c r="B1015" s="17" t="inlineStr">
        <is>
          <t>Phan Thành Thái</t>
        </is>
      </c>
      <c r="C1015" s="16" t="n">
        <v>46019</v>
      </c>
      <c r="D1015" s="17" t="n">
        <v>1</v>
      </c>
      <c r="E1015" s="17" t="n">
        <v>1</v>
      </c>
      <c r="F1015" s="17" t="n">
        <v>0</v>
      </c>
      <c r="G1015" s="17" t="n">
        <v>1</v>
      </c>
      <c r="H1015" s="17" t="n">
        <v>1</v>
      </c>
      <c r="I1015" s="17" t="n">
        <v>1</v>
      </c>
      <c r="J1015" s="17" t="n">
        <v>0</v>
      </c>
      <c r="K1015" s="17" t="n">
        <v>22</v>
      </c>
      <c r="L1015" s="17" t="n">
        <v>0</v>
      </c>
      <c r="M1015" s="17" t="n">
        <v>1</v>
      </c>
      <c r="N1015" s="17" t="n">
        <v>2</v>
      </c>
      <c r="O1015" s="17" t="n">
        <v>0</v>
      </c>
      <c r="P1015" s="17" t="n">
        <v>0</v>
      </c>
      <c r="Q1015" s="17" t="n">
        <v>5</v>
      </c>
      <c r="R1015" s="17" t="n">
        <v>0</v>
      </c>
      <c r="T1015" s="17">
        <f>DAY(C1015)</f>
        <v/>
      </c>
      <c r="U1015" s="17">
        <f>MONTH(C1015)</f>
        <v/>
      </c>
    </row>
    <row r="1016" hidden="1" ht="22.5" customHeight="1" s="117">
      <c r="A1016" s="14" t="n">
        <v>46020.27360693287</v>
      </c>
      <c r="B1016" s="17" t="inlineStr">
        <is>
          <t>Dương Minh Tiến</t>
        </is>
      </c>
      <c r="C1016" s="16" t="n">
        <v>46019</v>
      </c>
      <c r="D1016" s="17" t="n">
        <v>0</v>
      </c>
      <c r="E1016" s="17" t="n">
        <v>0</v>
      </c>
      <c r="F1016" s="17" t="n">
        <v>0</v>
      </c>
      <c r="G1016" s="17" t="n">
        <v>0</v>
      </c>
      <c r="H1016" s="17" t="n">
        <v>0</v>
      </c>
      <c r="I1016" s="17" t="n">
        <v>0</v>
      </c>
      <c r="J1016" s="17" t="n">
        <v>0</v>
      </c>
      <c r="K1016" s="17" t="n">
        <v>14</v>
      </c>
      <c r="L1016" s="17" t="n">
        <v>0</v>
      </c>
      <c r="M1016" s="17" t="n">
        <v>0</v>
      </c>
      <c r="N1016" s="17" t="n">
        <v>0</v>
      </c>
      <c r="O1016" s="17" t="n">
        <v>0</v>
      </c>
      <c r="P1016" s="17" t="n">
        <v>0</v>
      </c>
      <c r="Q1016" s="17" t="n">
        <v>0</v>
      </c>
      <c r="R1016" s="17" t="n">
        <v>0</v>
      </c>
      <c r="T1016" s="17">
        <f>DAY(C1016)</f>
        <v/>
      </c>
      <c r="U1016" s="17">
        <f>MONTH(C1016)</f>
        <v/>
      </c>
    </row>
    <row r="1017" hidden="1" ht="22.5" customHeight="1" s="117">
      <c r="A1017" s="14" t="n">
        <v>46020.27401172453</v>
      </c>
      <c r="B1017" s="17" t="inlineStr">
        <is>
          <t>Lê Quốc Duy</t>
        </is>
      </c>
      <c r="C1017" s="16" t="n">
        <v>46019</v>
      </c>
      <c r="D1017" s="17" t="n">
        <v>0</v>
      </c>
      <c r="E1017" s="17" t="n">
        <v>0</v>
      </c>
      <c r="F1017" s="17" t="n">
        <v>0</v>
      </c>
      <c r="G1017" s="17" t="n">
        <v>1</v>
      </c>
      <c r="H1017" s="17" t="n">
        <v>1</v>
      </c>
      <c r="I1017" s="17" t="n">
        <v>1</v>
      </c>
      <c r="J1017" s="17" t="n">
        <v>0</v>
      </c>
      <c r="K1017" s="17" t="n">
        <v>12</v>
      </c>
      <c r="L1017" s="17" t="n">
        <v>0</v>
      </c>
      <c r="M1017" s="17" t="n">
        <v>0</v>
      </c>
      <c r="N1017" s="17" t="n">
        <v>2</v>
      </c>
      <c r="O1017" s="17" t="n">
        <v>0</v>
      </c>
      <c r="P1017" s="17" t="n">
        <v>1</v>
      </c>
      <c r="Q1017" s="17" t="n">
        <v>2</v>
      </c>
      <c r="R1017" s="17" t="n">
        <v>0</v>
      </c>
      <c r="T1017" s="17">
        <f>DAY(C1017)</f>
        <v/>
      </c>
      <c r="U1017" s="17">
        <f>MONTH(C1017)</f>
        <v/>
      </c>
    </row>
    <row r="1018" hidden="1" ht="22.5" customHeight="1" s="117">
      <c r="A1018" s="14" t="n">
        <v>46020.27867877315</v>
      </c>
      <c r="B1018" s="17" t="inlineStr">
        <is>
          <t>Phan Ngọc Sang</t>
        </is>
      </c>
      <c r="C1018" s="16" t="n">
        <v>46019</v>
      </c>
      <c r="D1018" s="17" t="n">
        <v>0</v>
      </c>
      <c r="E1018" s="17" t="n">
        <v>0</v>
      </c>
      <c r="F1018" s="17" t="n">
        <v>0</v>
      </c>
      <c r="G1018" s="17" t="n">
        <v>0</v>
      </c>
      <c r="H1018" s="17" t="n">
        <v>0</v>
      </c>
      <c r="I1018" s="17" t="n">
        <v>0</v>
      </c>
      <c r="J1018" s="17" t="n">
        <v>1</v>
      </c>
      <c r="K1018" s="17" t="n">
        <v>14</v>
      </c>
      <c r="L1018" s="17" t="n">
        <v>0</v>
      </c>
      <c r="M1018" s="17" t="n">
        <v>2</v>
      </c>
      <c r="N1018" s="17" t="n">
        <v>1</v>
      </c>
      <c r="O1018" s="17" t="n">
        <v>0</v>
      </c>
      <c r="P1018" s="17" t="n">
        <v>1</v>
      </c>
      <c r="Q1018" s="17" t="n">
        <v>2</v>
      </c>
      <c r="R1018" s="17" t="n">
        <v>0</v>
      </c>
      <c r="T1018" s="17">
        <f>DAY(C1018)</f>
        <v/>
      </c>
      <c r="U1018" s="17">
        <f>MONTH(C1018)</f>
        <v/>
      </c>
    </row>
    <row r="1019" hidden="1" ht="22.5" customHeight="1" s="117">
      <c r="A1019" s="14" t="n">
        <v>46020.27888770834</v>
      </c>
      <c r="B1019" s="17" t="inlineStr">
        <is>
          <t>Đào Công Trung</t>
        </is>
      </c>
      <c r="C1019" s="16" t="n">
        <v>46019</v>
      </c>
      <c r="D1019" s="17" t="n">
        <v>0</v>
      </c>
      <c r="E1019" s="17" t="n">
        <v>0</v>
      </c>
      <c r="F1019" s="17" t="n">
        <v>0</v>
      </c>
      <c r="G1019" s="17" t="n">
        <v>0</v>
      </c>
      <c r="H1019" s="17" t="n">
        <v>0</v>
      </c>
      <c r="I1019" s="17" t="n">
        <v>0</v>
      </c>
      <c r="J1019" s="17" t="n">
        <v>0</v>
      </c>
      <c r="K1019" s="17" t="n">
        <v>12</v>
      </c>
      <c r="L1019" s="17" t="n">
        <v>0</v>
      </c>
      <c r="M1019" s="17" t="n">
        <v>0</v>
      </c>
      <c r="N1019" s="17" t="n">
        <v>2</v>
      </c>
      <c r="O1019" s="17" t="n">
        <v>0</v>
      </c>
      <c r="P1019" s="17" t="n">
        <v>0</v>
      </c>
      <c r="Q1019" s="17" t="n">
        <v>4</v>
      </c>
      <c r="R1019" s="17" t="n">
        <v>0</v>
      </c>
      <c r="T1019" s="17">
        <f>DAY(C1019)</f>
        <v/>
      </c>
      <c r="U1019" s="17">
        <f>MONTH(C1019)</f>
        <v/>
      </c>
    </row>
    <row r="1020" hidden="1" ht="22.5" customHeight="1" s="117">
      <c r="A1020" s="14" t="n">
        <v>46020.27922368055</v>
      </c>
      <c r="B1020" s="17" t="inlineStr">
        <is>
          <t>Trần Minh Khánh</t>
        </is>
      </c>
      <c r="C1020" s="16" t="n">
        <v>46019</v>
      </c>
      <c r="D1020" s="17" t="n">
        <v>1</v>
      </c>
      <c r="E1020" s="17" t="n">
        <v>0</v>
      </c>
      <c r="F1020" s="17" t="n">
        <v>0</v>
      </c>
      <c r="G1020" s="17" t="n">
        <v>0</v>
      </c>
      <c r="H1020" s="17" t="n">
        <v>0</v>
      </c>
      <c r="I1020" s="17" t="n">
        <v>0</v>
      </c>
      <c r="J1020" s="17" t="n">
        <v>0</v>
      </c>
      <c r="K1020" s="17" t="n">
        <v>16</v>
      </c>
      <c r="L1020" s="17" t="n">
        <v>0</v>
      </c>
      <c r="M1020" s="17" t="n">
        <v>0</v>
      </c>
      <c r="N1020" s="17" t="n">
        <v>1</v>
      </c>
      <c r="O1020" s="17" t="n">
        <v>0</v>
      </c>
      <c r="P1020" s="17" t="n">
        <v>0</v>
      </c>
      <c r="Q1020" s="17" t="n">
        <v>3</v>
      </c>
      <c r="R1020" s="17" t="n">
        <v>0</v>
      </c>
      <c r="T1020" s="17">
        <f>DAY(C1020)</f>
        <v/>
      </c>
      <c r="U1020" s="17">
        <f>MONTH(C1020)</f>
        <v/>
      </c>
    </row>
    <row r="1021" hidden="1" ht="22.5" customHeight="1" s="117">
      <c r="A1021" s="14" t="n">
        <v>46020.28032819444</v>
      </c>
      <c r="B1021" s="17" t="inlineStr">
        <is>
          <t>Lương Duy Hoàng</t>
        </is>
      </c>
      <c r="C1021" s="16" t="n">
        <v>46019</v>
      </c>
      <c r="D1021" s="17" t="n">
        <v>0</v>
      </c>
      <c r="E1021" s="17" t="n">
        <v>0</v>
      </c>
      <c r="F1021" s="17" t="n">
        <v>0</v>
      </c>
      <c r="G1021" s="17" t="n">
        <v>0</v>
      </c>
      <c r="H1021" s="17" t="n">
        <v>0</v>
      </c>
      <c r="I1021" s="17" t="n">
        <v>0</v>
      </c>
      <c r="J1021" s="17" t="n">
        <v>0</v>
      </c>
      <c r="K1021" s="17" t="n">
        <v>3</v>
      </c>
      <c r="L1021" s="17" t="n">
        <v>0</v>
      </c>
      <c r="M1021" s="17" t="n">
        <v>0</v>
      </c>
      <c r="N1021" s="17" t="n">
        <v>0</v>
      </c>
      <c r="O1021" s="17" t="n">
        <v>0</v>
      </c>
      <c r="P1021" s="17" t="n">
        <v>1</v>
      </c>
      <c r="Q1021" s="17" t="n">
        <v>1</v>
      </c>
      <c r="R1021" s="17" t="n">
        <v>0</v>
      </c>
      <c r="T1021" s="17">
        <f>DAY(C1021)</f>
        <v/>
      </c>
      <c r="U1021" s="17">
        <f>MONTH(C1021)</f>
        <v/>
      </c>
    </row>
    <row r="1022" hidden="1" ht="22.5" customHeight="1" s="117">
      <c r="A1022" s="14" t="n">
        <v>46020.28097898148</v>
      </c>
      <c r="B1022" s="17" t="inlineStr">
        <is>
          <t>Nguyễn Quang Anh Tuấn</t>
        </is>
      </c>
      <c r="C1022" s="16" t="n">
        <v>46019</v>
      </c>
      <c r="D1022" s="17" t="n">
        <v>0</v>
      </c>
      <c r="E1022" s="17" t="n">
        <v>0</v>
      </c>
      <c r="F1022" s="17" t="n">
        <v>0</v>
      </c>
      <c r="G1022" s="17" t="n">
        <v>0</v>
      </c>
      <c r="H1022" s="17" t="n">
        <v>0</v>
      </c>
      <c r="I1022" s="17" t="n">
        <v>0</v>
      </c>
      <c r="J1022" s="17" t="n">
        <v>0</v>
      </c>
      <c r="K1022" s="17" t="n">
        <v>4</v>
      </c>
      <c r="L1022" s="17" t="n">
        <v>0</v>
      </c>
      <c r="M1022" s="17" t="n">
        <v>0</v>
      </c>
      <c r="N1022" s="17" t="n">
        <v>0</v>
      </c>
      <c r="O1022" s="17" t="n">
        <v>0</v>
      </c>
      <c r="P1022" s="17" t="n">
        <v>0</v>
      </c>
      <c r="Q1022" s="17" t="n">
        <v>0</v>
      </c>
      <c r="R1022" s="17" t="n">
        <v>0</v>
      </c>
      <c r="T1022" s="17">
        <f>DAY(C1022)</f>
        <v/>
      </c>
      <c r="U1022" s="17">
        <f>MONTH(C1022)</f>
        <v/>
      </c>
    </row>
    <row r="1023" hidden="1" ht="22.5" customHeight="1" s="117">
      <c r="A1023" s="14" t="n">
        <v>46020.28243226852</v>
      </c>
      <c r="B1023" s="17" t="inlineStr">
        <is>
          <t>Trần Trung Giang</t>
        </is>
      </c>
      <c r="C1023" s="16" t="n">
        <v>46019</v>
      </c>
      <c r="D1023" s="17" t="n">
        <v>0</v>
      </c>
      <c r="E1023" s="17" t="n">
        <v>0</v>
      </c>
      <c r="F1023" s="17" t="n">
        <v>0</v>
      </c>
      <c r="G1023" s="17" t="n">
        <v>0</v>
      </c>
      <c r="H1023" s="17" t="n">
        <v>0</v>
      </c>
      <c r="I1023" s="17" t="n">
        <v>0</v>
      </c>
      <c r="J1023" s="17" t="n">
        <v>0</v>
      </c>
      <c r="K1023" s="17" t="n">
        <v>0</v>
      </c>
      <c r="L1023" s="17" t="n">
        <v>0</v>
      </c>
      <c r="M1023" s="17" t="n">
        <v>0</v>
      </c>
      <c r="N1023" s="17" t="n">
        <v>0</v>
      </c>
      <c r="O1023" s="17" t="n">
        <v>0</v>
      </c>
      <c r="P1023" s="17" t="n">
        <v>0</v>
      </c>
      <c r="Q1023" s="17" t="n">
        <v>0</v>
      </c>
      <c r="R1023" s="17" t="n">
        <v>0</v>
      </c>
      <c r="T1023" s="17">
        <f>DAY(C1023)</f>
        <v/>
      </c>
      <c r="U1023" s="17">
        <f>MONTH(C1023)</f>
        <v/>
      </c>
    </row>
    <row r="1024" hidden="1" ht="22.5" customHeight="1" s="117">
      <c r="A1024" s="14" t="n">
        <v>46020.28321226852</v>
      </c>
      <c r="B1024" s="17" t="inlineStr">
        <is>
          <t>Vòng Nhật Sang</t>
        </is>
      </c>
      <c r="C1024" s="16" t="n">
        <v>46019</v>
      </c>
      <c r="D1024" s="17" t="n">
        <v>0</v>
      </c>
      <c r="E1024" s="17" t="n">
        <v>0</v>
      </c>
      <c r="F1024" s="17" t="n">
        <v>0</v>
      </c>
      <c r="G1024" s="17" t="n">
        <v>0</v>
      </c>
      <c r="H1024" s="17" t="n">
        <v>0</v>
      </c>
      <c r="I1024" s="17" t="n">
        <v>0</v>
      </c>
      <c r="J1024" s="17" t="n">
        <v>0</v>
      </c>
      <c r="K1024" s="17" t="n">
        <v>0</v>
      </c>
      <c r="L1024" s="17" t="n">
        <v>0</v>
      </c>
      <c r="M1024" s="17" t="n">
        <v>0</v>
      </c>
      <c r="N1024" s="17" t="n">
        <v>0</v>
      </c>
      <c r="O1024" s="17" t="n">
        <v>0</v>
      </c>
      <c r="P1024" s="17" t="n">
        <v>2</v>
      </c>
      <c r="Q1024" s="17" t="n">
        <v>2</v>
      </c>
      <c r="R1024" s="17" t="n">
        <v>0</v>
      </c>
      <c r="T1024" s="17">
        <f>DAY(C1024)</f>
        <v/>
      </c>
      <c r="U1024" s="17">
        <f>MONTH(C1024)</f>
        <v/>
      </c>
    </row>
    <row r="1025" hidden="1" ht="22.5" customHeight="1" s="117">
      <c r="A1025" s="14" t="n">
        <v>46020.28387857639</v>
      </c>
      <c r="B1025" s="17" t="inlineStr">
        <is>
          <t>Huỳnh Văn Lực</t>
        </is>
      </c>
      <c r="C1025" s="16" t="n">
        <v>46019</v>
      </c>
      <c r="D1025" s="17" t="n">
        <v>0</v>
      </c>
      <c r="E1025" s="17" t="n">
        <v>0</v>
      </c>
      <c r="F1025" s="17" t="n">
        <v>0</v>
      </c>
      <c r="G1025" s="17" t="n">
        <v>0</v>
      </c>
      <c r="H1025" s="17" t="n">
        <v>0</v>
      </c>
      <c r="I1025" s="17" t="n">
        <v>1</v>
      </c>
      <c r="J1025" s="17" t="n">
        <v>0</v>
      </c>
      <c r="K1025" s="17" t="n">
        <v>3</v>
      </c>
      <c r="L1025" s="17" t="n">
        <v>0</v>
      </c>
      <c r="M1025" s="17" t="n">
        <v>0</v>
      </c>
      <c r="N1025" s="17" t="n">
        <v>1</v>
      </c>
      <c r="O1025" s="17" t="n">
        <v>0</v>
      </c>
      <c r="P1025" s="17" t="n">
        <v>0</v>
      </c>
      <c r="Q1025" s="17" t="n">
        <v>1</v>
      </c>
      <c r="R1025" s="17" t="n">
        <v>0</v>
      </c>
      <c r="T1025" s="17">
        <f>DAY(C1025)</f>
        <v/>
      </c>
      <c r="U1025" s="17">
        <f>MONTH(C1025)</f>
        <v/>
      </c>
    </row>
    <row r="1026" hidden="1" ht="22.5" customHeight="1" s="117">
      <c r="A1026" s="14" t="n">
        <v>46020.28605427084</v>
      </c>
      <c r="B1026" s="17" t="inlineStr">
        <is>
          <t>Lê Hồng Phong</t>
        </is>
      </c>
      <c r="C1026" s="16" t="n">
        <v>46020</v>
      </c>
      <c r="D1026" s="17" t="n">
        <v>1</v>
      </c>
      <c r="E1026" s="17" t="n">
        <v>1</v>
      </c>
      <c r="F1026" s="17" t="n">
        <v>1</v>
      </c>
      <c r="G1026" s="17" t="n">
        <v>0</v>
      </c>
      <c r="H1026" s="17" t="n">
        <v>0</v>
      </c>
      <c r="I1026" s="17" t="n">
        <v>1</v>
      </c>
      <c r="J1026" s="17" t="n">
        <v>1</v>
      </c>
      <c r="K1026" s="17" t="n">
        <v>1</v>
      </c>
      <c r="L1026" s="17" t="n">
        <v>1</v>
      </c>
      <c r="M1026" s="17" t="n">
        <v>1</v>
      </c>
      <c r="N1026" s="17" t="n">
        <v>1</v>
      </c>
      <c r="O1026" s="17" t="n">
        <v>1</v>
      </c>
      <c r="P1026" s="17" t="n">
        <v>1</v>
      </c>
      <c r="Q1026" s="17" t="n">
        <v>1</v>
      </c>
      <c r="R1026" s="17" t="n">
        <v>1</v>
      </c>
      <c r="T1026" s="17">
        <f>DAY(C1026)</f>
        <v/>
      </c>
      <c r="U1026" s="17">
        <f>MONTH(C1026)</f>
        <v/>
      </c>
    </row>
    <row r="1027" hidden="1" ht="22.5" customHeight="1" s="117">
      <c r="A1027" s="14" t="n">
        <v>46020.29224653935</v>
      </c>
      <c r="B1027" s="17" t="inlineStr">
        <is>
          <t>Nguyễn Thành Lâm</t>
        </is>
      </c>
      <c r="C1027" s="16" t="n">
        <v>46019</v>
      </c>
      <c r="D1027" s="17" t="n">
        <v>0</v>
      </c>
      <c r="E1027" s="17" t="n">
        <v>0</v>
      </c>
      <c r="F1027" s="17" t="n">
        <v>0</v>
      </c>
      <c r="G1027" s="17" t="n">
        <v>0</v>
      </c>
      <c r="H1027" s="17" t="n">
        <v>0</v>
      </c>
      <c r="I1027" s="17" t="n">
        <v>0</v>
      </c>
      <c r="J1027" s="17" t="n">
        <v>0</v>
      </c>
      <c r="K1027" s="17" t="n">
        <v>9</v>
      </c>
      <c r="L1027" s="17" t="n">
        <v>0</v>
      </c>
      <c r="M1027" s="17" t="n">
        <v>0</v>
      </c>
      <c r="N1027" s="17" t="n">
        <v>0</v>
      </c>
      <c r="O1027" s="17" t="n">
        <v>0</v>
      </c>
      <c r="P1027" s="17" t="n">
        <v>0</v>
      </c>
      <c r="Q1027" s="17" t="n">
        <v>2</v>
      </c>
      <c r="R1027" s="17" t="n">
        <v>0</v>
      </c>
      <c r="T1027" s="17">
        <f>DAY(C1027)</f>
        <v/>
      </c>
      <c r="U1027" s="17">
        <f>MONTH(C1027)</f>
        <v/>
      </c>
    </row>
    <row r="1028" hidden="1" ht="22.5" customHeight="1" s="117">
      <c r="A1028" s="14" t="n">
        <v>46020.29390403935</v>
      </c>
      <c r="B1028" s="17" t="inlineStr">
        <is>
          <t>Đặng Hữu Danh</t>
        </is>
      </c>
      <c r="C1028" s="16" t="n">
        <v>46019</v>
      </c>
      <c r="D1028" s="17" t="n">
        <v>0</v>
      </c>
      <c r="E1028" s="17" t="n">
        <v>0</v>
      </c>
      <c r="F1028" s="17" t="n">
        <v>0</v>
      </c>
      <c r="G1028" s="17" t="n">
        <v>0</v>
      </c>
      <c r="H1028" s="17" t="n">
        <v>0</v>
      </c>
      <c r="I1028" s="17" t="n">
        <v>0</v>
      </c>
      <c r="J1028" s="17" t="n">
        <v>0</v>
      </c>
      <c r="K1028" s="17" t="n">
        <v>10</v>
      </c>
      <c r="L1028" s="17" t="n">
        <v>0</v>
      </c>
      <c r="M1028" s="17" t="n">
        <v>0</v>
      </c>
      <c r="N1028" s="17" t="n">
        <v>1</v>
      </c>
      <c r="O1028" s="17" t="n">
        <v>0</v>
      </c>
      <c r="P1028" s="17" t="n">
        <v>1</v>
      </c>
      <c r="Q1028" s="17" t="n">
        <v>2</v>
      </c>
      <c r="R1028" s="17" t="n">
        <v>0</v>
      </c>
      <c r="T1028" s="17">
        <f>DAY(C1028)</f>
        <v/>
      </c>
      <c r="U1028" s="17">
        <f>MONTH(C1028)</f>
        <v/>
      </c>
    </row>
    <row r="1029" hidden="1" ht="22.5" customHeight="1" s="117">
      <c r="A1029" s="14" t="n">
        <v>46020.29431457176</v>
      </c>
      <c r="B1029" s="17" t="inlineStr">
        <is>
          <t>Hồ Xuân Việt</t>
        </is>
      </c>
      <c r="C1029" s="16" t="n">
        <v>46019</v>
      </c>
      <c r="D1029" s="17" t="n">
        <v>0</v>
      </c>
      <c r="E1029" s="17" t="n">
        <v>0</v>
      </c>
      <c r="F1029" s="17" t="n">
        <v>0</v>
      </c>
      <c r="G1029" s="17" t="n">
        <v>0</v>
      </c>
      <c r="H1029" s="17" t="n">
        <v>0</v>
      </c>
      <c r="I1029" s="17" t="n">
        <v>0</v>
      </c>
      <c r="J1029" s="17" t="n">
        <v>0</v>
      </c>
      <c r="K1029" s="17" t="n">
        <v>8</v>
      </c>
      <c r="L1029" s="17" t="n">
        <v>0</v>
      </c>
      <c r="M1029" s="17" t="n">
        <v>0</v>
      </c>
      <c r="N1029" s="17" t="n">
        <v>0</v>
      </c>
      <c r="O1029" s="17" t="n">
        <v>0</v>
      </c>
      <c r="P1029" s="17" t="n">
        <v>0</v>
      </c>
      <c r="Q1029" s="17" t="n">
        <v>0</v>
      </c>
      <c r="R1029" s="17" t="n">
        <v>0</v>
      </c>
      <c r="T1029" s="17">
        <f>DAY(C1029)</f>
        <v/>
      </c>
      <c r="U1029" s="17">
        <f>MONTH(C1029)</f>
        <v/>
      </c>
    </row>
    <row r="1030" hidden="1" ht="22.5" customHeight="1" s="117">
      <c r="A1030" s="14" t="n">
        <v>46020.30567606482</v>
      </c>
      <c r="B1030" s="17" t="inlineStr">
        <is>
          <t>Trần Xuân Khoa</t>
        </is>
      </c>
      <c r="C1030" s="16" t="n">
        <v>46019</v>
      </c>
      <c r="D1030" s="17" t="n">
        <v>1</v>
      </c>
      <c r="E1030" s="17" t="n">
        <v>0</v>
      </c>
      <c r="F1030" s="17" t="n">
        <v>0</v>
      </c>
      <c r="G1030" s="17" t="n">
        <v>0</v>
      </c>
      <c r="H1030" s="17" t="n">
        <v>0</v>
      </c>
      <c r="I1030" s="17" t="n">
        <v>0</v>
      </c>
      <c r="J1030" s="17" t="n">
        <v>0</v>
      </c>
      <c r="K1030" s="17" t="n">
        <v>15</v>
      </c>
      <c r="L1030" s="17" t="n">
        <v>0</v>
      </c>
      <c r="M1030" s="17" t="n">
        <v>0</v>
      </c>
      <c r="N1030" s="17" t="n">
        <v>0</v>
      </c>
      <c r="O1030" s="17" t="n">
        <v>0</v>
      </c>
      <c r="P1030" s="17" t="n">
        <v>0</v>
      </c>
      <c r="Q1030" s="17" t="n">
        <v>3</v>
      </c>
      <c r="R1030" s="17" t="n">
        <v>0</v>
      </c>
      <c r="T1030" s="17">
        <f>DAY(C1030)</f>
        <v/>
      </c>
      <c r="U1030" s="17">
        <f>MONTH(C1030)</f>
        <v/>
      </c>
    </row>
    <row r="1031" hidden="1" ht="22.5" customHeight="1" s="117">
      <c r="A1031" s="14" t="n">
        <v>46020.31155049769</v>
      </c>
      <c r="B1031" s="17" t="inlineStr">
        <is>
          <t>Nguyễn Tuấn Anh</t>
        </is>
      </c>
      <c r="C1031" s="16" t="n">
        <v>46019</v>
      </c>
      <c r="D1031" s="17" t="n">
        <v>0</v>
      </c>
      <c r="E1031" s="17" t="n">
        <v>0</v>
      </c>
      <c r="F1031" s="17" t="n">
        <v>0</v>
      </c>
      <c r="G1031" s="17" t="n">
        <v>0</v>
      </c>
      <c r="H1031" s="17" t="n">
        <v>0</v>
      </c>
      <c r="I1031" s="17" t="n">
        <v>0</v>
      </c>
      <c r="J1031" s="17" t="n">
        <v>0</v>
      </c>
      <c r="K1031" s="17" t="n">
        <v>2</v>
      </c>
      <c r="L1031" s="17" t="n">
        <v>0</v>
      </c>
      <c r="M1031" s="17" t="n">
        <v>0</v>
      </c>
      <c r="N1031" s="17" t="n">
        <v>0</v>
      </c>
      <c r="O1031" s="17" t="n">
        <v>0</v>
      </c>
      <c r="P1031" s="17" t="n">
        <v>0</v>
      </c>
      <c r="Q1031" s="17" t="n">
        <v>5</v>
      </c>
      <c r="R1031" s="17" t="n">
        <v>0</v>
      </c>
      <c r="T1031" s="17">
        <f>DAY(C1031)</f>
        <v/>
      </c>
      <c r="U1031" s="17">
        <f>MONTH(C1031)</f>
        <v/>
      </c>
    </row>
    <row r="1032" hidden="1" ht="22.5" customHeight="1" s="117">
      <c r="A1032" s="14" t="n">
        <v>46020.31760997685</v>
      </c>
      <c r="B1032" s="17" t="inlineStr">
        <is>
          <t>Nguyễn Văn Nhật</t>
        </is>
      </c>
      <c r="C1032" s="16" t="n">
        <v>46019</v>
      </c>
      <c r="D1032" s="17" t="n">
        <v>1</v>
      </c>
      <c r="E1032" s="17" t="n">
        <v>1</v>
      </c>
      <c r="F1032" s="17" t="n">
        <v>0</v>
      </c>
      <c r="G1032" s="17" t="n">
        <v>0</v>
      </c>
      <c r="H1032" s="17" t="n">
        <v>0</v>
      </c>
      <c r="I1032" s="17" t="n">
        <v>0</v>
      </c>
      <c r="J1032" s="17" t="n">
        <v>0</v>
      </c>
      <c r="K1032" s="17" t="n">
        <v>19</v>
      </c>
      <c r="L1032" s="17" t="n">
        <v>0</v>
      </c>
      <c r="M1032" s="17" t="n">
        <v>2</v>
      </c>
      <c r="N1032" s="17" t="n">
        <v>0</v>
      </c>
      <c r="O1032" s="17" t="n">
        <v>0</v>
      </c>
      <c r="P1032" s="17" t="n">
        <v>1</v>
      </c>
      <c r="Q1032" s="17" t="n">
        <v>2</v>
      </c>
      <c r="R1032" s="17" t="n">
        <v>0</v>
      </c>
      <c r="T1032" s="17">
        <f>DAY(C1032)</f>
        <v/>
      </c>
      <c r="U1032" s="17">
        <f>MONTH(C1032)</f>
        <v/>
      </c>
    </row>
    <row r="1033" hidden="1" ht="22.5" customHeight="1" s="117">
      <c r="A1033" s="14" t="n">
        <v>46020.3274289699</v>
      </c>
      <c r="B1033" s="17" t="inlineStr">
        <is>
          <t>Nguyễn Hồng Minh</t>
        </is>
      </c>
      <c r="C1033" s="16" t="n">
        <v>46019</v>
      </c>
      <c r="D1033" s="17" t="n">
        <v>0</v>
      </c>
      <c r="E1033" s="17" t="n">
        <v>0</v>
      </c>
      <c r="F1033" s="17" t="n">
        <v>0</v>
      </c>
      <c r="G1033" s="17" t="n">
        <v>0</v>
      </c>
      <c r="H1033" s="17" t="n">
        <v>0</v>
      </c>
      <c r="I1033" s="17" t="n">
        <v>1</v>
      </c>
      <c r="J1033" s="17" t="n">
        <v>1</v>
      </c>
      <c r="K1033" s="17" t="n">
        <v>9</v>
      </c>
      <c r="L1033" s="17" t="n">
        <v>0</v>
      </c>
      <c r="M1033" s="17" t="n">
        <v>0</v>
      </c>
      <c r="N1033" s="17" t="n">
        <v>4</v>
      </c>
      <c r="O1033" s="17" t="n">
        <v>1</v>
      </c>
      <c r="P1033" s="17" t="n">
        <v>0</v>
      </c>
      <c r="Q1033" s="17" t="n">
        <v>4</v>
      </c>
      <c r="R1033" s="17" t="n">
        <v>0</v>
      </c>
      <c r="T1033" s="17">
        <f>DAY(C1033)</f>
        <v/>
      </c>
      <c r="U1033" s="17">
        <f>MONTH(C1033)</f>
        <v/>
      </c>
    </row>
    <row r="1034" hidden="1" ht="22.5" customHeight="1" s="117">
      <c r="A1034" s="14" t="n">
        <v>46020.37676800926</v>
      </c>
      <c r="B1034" s="17" t="inlineStr">
        <is>
          <t>Hồ Thái Minh Trí</t>
        </is>
      </c>
      <c r="C1034" s="16" t="n">
        <v>46019</v>
      </c>
      <c r="D1034" s="17" t="n">
        <v>0</v>
      </c>
      <c r="E1034" s="17" t="n">
        <v>0</v>
      </c>
      <c r="F1034" s="17" t="n">
        <v>0</v>
      </c>
      <c r="G1034" s="17" t="n">
        <v>0</v>
      </c>
      <c r="H1034" s="17" t="n">
        <v>0</v>
      </c>
      <c r="I1034" s="17" t="n">
        <v>0</v>
      </c>
      <c r="J1034" s="17" t="n">
        <v>0</v>
      </c>
      <c r="K1034" s="17" t="n">
        <v>2</v>
      </c>
      <c r="L1034" s="17" t="n">
        <v>0</v>
      </c>
      <c r="M1034" s="17" t="n">
        <v>0</v>
      </c>
      <c r="N1034" s="17" t="n">
        <v>0</v>
      </c>
      <c r="O1034" s="17" t="n">
        <v>0</v>
      </c>
      <c r="P1034" s="17" t="n">
        <v>0</v>
      </c>
      <c r="Q1034" s="17" t="n">
        <v>2</v>
      </c>
      <c r="R1034" s="17" t="n">
        <v>0</v>
      </c>
      <c r="T1034" s="17">
        <f>DAY(C1034)</f>
        <v/>
      </c>
      <c r="U1034" s="17">
        <f>MONTH(C1034)</f>
        <v/>
      </c>
    </row>
    <row r="1035" hidden="1" ht="22.5" customHeight="1" s="117">
      <c r="A1035" s="14" t="n">
        <v>46020.38658706019</v>
      </c>
      <c r="B1035" s="17" t="inlineStr">
        <is>
          <t>Bùi Duy Cường</t>
        </is>
      </c>
      <c r="C1035" s="16" t="n">
        <v>46019</v>
      </c>
      <c r="D1035" s="17" t="n">
        <v>0</v>
      </c>
      <c r="E1035" s="17" t="n">
        <v>0</v>
      </c>
      <c r="F1035" s="17" t="n">
        <v>0</v>
      </c>
      <c r="G1035" s="17" t="n">
        <v>0</v>
      </c>
      <c r="H1035" s="17" t="n">
        <v>0</v>
      </c>
      <c r="I1035" s="17" t="n">
        <v>0</v>
      </c>
      <c r="J1035" s="17" t="n">
        <v>0</v>
      </c>
      <c r="K1035" s="17" t="n">
        <v>7</v>
      </c>
      <c r="L1035" s="17" t="n">
        <v>0</v>
      </c>
      <c r="M1035" s="17" t="n">
        <v>0</v>
      </c>
      <c r="N1035" s="17" t="n">
        <v>0</v>
      </c>
      <c r="O1035" s="17" t="n">
        <v>0</v>
      </c>
      <c r="P1035" s="17" t="n">
        <v>0</v>
      </c>
      <c r="Q1035" s="17" t="n">
        <v>0</v>
      </c>
      <c r="R1035" s="17" t="n">
        <v>0</v>
      </c>
      <c r="T1035" s="17">
        <f>DAY(C1035)</f>
        <v/>
      </c>
      <c r="U1035" s="17">
        <f>MONTH(C1035)</f>
        <v/>
      </c>
    </row>
    <row r="1036" hidden="1" ht="22.5" customHeight="1" s="117">
      <c r="A1036" s="14" t="n">
        <v>46020.46260018519</v>
      </c>
      <c r="B1036" s="17" t="inlineStr">
        <is>
          <t>Lê Văn Hồng</t>
        </is>
      </c>
      <c r="C1036" s="16" t="n">
        <v>46019</v>
      </c>
      <c r="D1036" s="17" t="n">
        <v>0</v>
      </c>
      <c r="E1036" s="17" t="n">
        <v>0</v>
      </c>
      <c r="F1036" s="17" t="n">
        <v>0</v>
      </c>
      <c r="G1036" s="17" t="n">
        <v>1</v>
      </c>
      <c r="H1036" s="17" t="n">
        <v>1</v>
      </c>
      <c r="I1036" s="17" t="n">
        <v>5</v>
      </c>
      <c r="J1036" s="17" t="n">
        <v>0</v>
      </c>
      <c r="K1036" s="17" t="n">
        <v>0</v>
      </c>
      <c r="L1036" s="17" t="n">
        <v>1</v>
      </c>
      <c r="M1036" s="17" t="n">
        <v>2</v>
      </c>
      <c r="N1036" s="17" t="n">
        <v>4</v>
      </c>
      <c r="O1036" s="17" t="n">
        <v>0</v>
      </c>
      <c r="P1036" s="17" t="n">
        <v>2</v>
      </c>
      <c r="Q1036" s="17" t="n">
        <v>5</v>
      </c>
      <c r="R1036" s="17" t="n">
        <v>0</v>
      </c>
      <c r="T1036" s="17">
        <f>DAY(C1036)</f>
        <v/>
      </c>
      <c r="U1036" s="17">
        <f>MONTH(C1036)</f>
        <v/>
      </c>
    </row>
    <row r="1037" hidden="1" ht="22.5" customHeight="1" s="117">
      <c r="A1037" s="14" t="n">
        <v>46021.27453299768</v>
      </c>
      <c r="B1037" s="17" t="inlineStr">
        <is>
          <t>Phan Thành Thái</t>
        </is>
      </c>
      <c r="C1037" s="16" t="n">
        <v>46020</v>
      </c>
      <c r="D1037" s="17" t="n">
        <v>0</v>
      </c>
      <c r="E1037" s="17" t="n">
        <v>2</v>
      </c>
      <c r="F1037" s="17" t="n">
        <v>0</v>
      </c>
      <c r="G1037" s="17" t="n">
        <v>1</v>
      </c>
      <c r="H1037" s="17" t="n">
        <v>1</v>
      </c>
      <c r="I1037" s="17" t="n">
        <v>0</v>
      </c>
      <c r="J1037" s="17" t="n">
        <v>0</v>
      </c>
      <c r="K1037" s="17" t="n">
        <v>4</v>
      </c>
      <c r="L1037" s="17" t="n">
        <v>0</v>
      </c>
      <c r="M1037" s="17" t="n">
        <v>0</v>
      </c>
      <c r="N1037" s="17" t="n">
        <v>2</v>
      </c>
      <c r="O1037" s="17" t="n">
        <v>0</v>
      </c>
      <c r="P1037" s="17" t="n">
        <v>1</v>
      </c>
      <c r="Q1037" s="17" t="n">
        <v>5</v>
      </c>
      <c r="R1037" s="17" t="n">
        <v>0</v>
      </c>
      <c r="T1037" s="17">
        <f>DAY(C1037)</f>
        <v/>
      </c>
      <c r="U1037" s="17">
        <f>MONTH(C1037)</f>
        <v/>
      </c>
    </row>
    <row r="1038" hidden="1" ht="22.5" customHeight="1" s="117">
      <c r="A1038" s="14" t="n">
        <v>46021.27590578704</v>
      </c>
      <c r="B1038" s="17" t="inlineStr">
        <is>
          <t>Dương Minh Tiến</t>
        </is>
      </c>
      <c r="C1038" s="16" t="n">
        <v>46020</v>
      </c>
      <c r="D1038" s="17" t="n">
        <v>0</v>
      </c>
      <c r="E1038" s="17" t="n">
        <v>3</v>
      </c>
      <c r="F1038" s="17" t="n">
        <v>0</v>
      </c>
      <c r="G1038" s="17" t="n">
        <v>0</v>
      </c>
      <c r="H1038" s="17" t="n">
        <v>0</v>
      </c>
      <c r="I1038" s="17" t="n">
        <v>0</v>
      </c>
      <c r="J1038" s="17" t="n">
        <v>0</v>
      </c>
      <c r="K1038" s="17" t="n">
        <v>2</v>
      </c>
      <c r="L1038" s="17" t="n">
        <v>2</v>
      </c>
      <c r="M1038" s="17" t="n">
        <v>3</v>
      </c>
      <c r="N1038" s="17" t="n">
        <v>0</v>
      </c>
      <c r="O1038" s="17" t="n">
        <v>0</v>
      </c>
      <c r="P1038" s="17" t="n">
        <v>2</v>
      </c>
      <c r="Q1038" s="17" t="n">
        <v>0</v>
      </c>
      <c r="R1038" s="17" t="n">
        <v>0</v>
      </c>
      <c r="T1038" s="17">
        <f>DAY(C1038)</f>
        <v/>
      </c>
      <c r="U1038" s="17">
        <f>MONTH(C1038)</f>
        <v/>
      </c>
    </row>
    <row r="1039" hidden="1" ht="22.5" customHeight="1" s="117">
      <c r="A1039" s="14" t="n">
        <v>46021.27736615741</v>
      </c>
      <c r="B1039" s="17" t="inlineStr">
        <is>
          <t>Phan Ngọc Sang</t>
        </is>
      </c>
      <c r="C1039" s="16" t="n">
        <v>46020</v>
      </c>
      <c r="D1039" s="17" t="n">
        <v>0</v>
      </c>
      <c r="E1039" s="17" t="n">
        <v>0</v>
      </c>
      <c r="F1039" s="17" t="n">
        <v>0</v>
      </c>
      <c r="G1039" s="17" t="n">
        <v>0</v>
      </c>
      <c r="H1039" s="17" t="n">
        <v>0</v>
      </c>
      <c r="I1039" s="17" t="n">
        <v>0</v>
      </c>
      <c r="J1039" s="17" t="n">
        <v>1</v>
      </c>
      <c r="K1039" s="17" t="n">
        <v>5</v>
      </c>
      <c r="L1039" s="17" t="n">
        <v>0</v>
      </c>
      <c r="M1039" s="17" t="n">
        <v>0</v>
      </c>
      <c r="N1039" s="17" t="n">
        <v>0</v>
      </c>
      <c r="O1039" s="17" t="n">
        <v>0</v>
      </c>
      <c r="P1039" s="17" t="n">
        <v>1</v>
      </c>
      <c r="Q1039" s="17" t="n">
        <v>9</v>
      </c>
      <c r="R1039" s="17" t="n">
        <v>0</v>
      </c>
      <c r="T1039" s="17">
        <f>DAY(C1039)</f>
        <v/>
      </c>
      <c r="U1039" s="17">
        <f>MONTH(C1039)</f>
        <v/>
      </c>
    </row>
    <row r="1040" hidden="1" ht="22.5" customHeight="1" s="117">
      <c r="A1040" s="14" t="n">
        <v>46021.2781025463</v>
      </c>
      <c r="B1040" s="17" t="inlineStr">
        <is>
          <t>Nguyễn Văn Hiệp</t>
        </is>
      </c>
      <c r="C1040" s="16" t="n">
        <v>46020</v>
      </c>
      <c r="D1040" s="17" t="n">
        <v>0</v>
      </c>
      <c r="E1040" s="17" t="n">
        <v>0</v>
      </c>
      <c r="F1040" s="17" t="n">
        <v>0</v>
      </c>
      <c r="G1040" s="17" t="n">
        <v>1</v>
      </c>
      <c r="H1040" s="17" t="n">
        <v>0</v>
      </c>
      <c r="I1040" s="17" t="n">
        <v>0</v>
      </c>
      <c r="J1040" s="17" t="n">
        <v>0</v>
      </c>
      <c r="K1040" s="17" t="n">
        <v>0</v>
      </c>
      <c r="L1040" s="17" t="n">
        <v>0</v>
      </c>
      <c r="M1040" s="17" t="n">
        <v>2</v>
      </c>
      <c r="N1040" s="17" t="n">
        <v>0</v>
      </c>
      <c r="O1040" s="17" t="n">
        <v>0</v>
      </c>
      <c r="P1040" s="17" t="n">
        <v>0</v>
      </c>
      <c r="Q1040" s="17" t="n">
        <v>0</v>
      </c>
      <c r="R1040" s="17" t="n">
        <v>0</v>
      </c>
      <c r="T1040" s="17">
        <f>DAY(C1040)</f>
        <v/>
      </c>
      <c r="U1040" s="17">
        <f>MONTH(C1040)</f>
        <v/>
      </c>
    </row>
    <row r="1041" hidden="1" ht="22.5" customHeight="1" s="117">
      <c r="A1041" s="14" t="n">
        <v>46021.27880172454</v>
      </c>
      <c r="B1041" s="17" t="inlineStr">
        <is>
          <t>Lê Quốc Duy</t>
        </is>
      </c>
      <c r="C1041" s="16" t="n">
        <v>46020</v>
      </c>
      <c r="D1041" s="17" t="n">
        <v>0</v>
      </c>
      <c r="E1041" s="17" t="n">
        <v>0</v>
      </c>
      <c r="F1041" s="17" t="n">
        <v>0</v>
      </c>
      <c r="G1041" s="17" t="n">
        <v>0</v>
      </c>
      <c r="H1041" s="17" t="n">
        <v>0</v>
      </c>
      <c r="I1041" s="17" t="n">
        <v>0</v>
      </c>
      <c r="J1041" s="17" t="n">
        <v>0</v>
      </c>
      <c r="K1041" s="17" t="n">
        <v>1</v>
      </c>
      <c r="L1041" s="17" t="n">
        <v>0</v>
      </c>
      <c r="M1041" s="17" t="n">
        <v>0</v>
      </c>
      <c r="N1041" s="17" t="n">
        <v>0</v>
      </c>
      <c r="O1041" s="17" t="n">
        <v>0</v>
      </c>
      <c r="P1041" s="17" t="n">
        <v>1</v>
      </c>
      <c r="Q1041" s="17" t="n">
        <v>1</v>
      </c>
      <c r="R1041" s="17" t="n">
        <v>0</v>
      </c>
      <c r="T1041" s="17">
        <f>DAY(C1041)</f>
        <v/>
      </c>
      <c r="U1041" s="17">
        <f>MONTH(C1041)</f>
        <v/>
      </c>
    </row>
    <row r="1042" hidden="1" ht="22.5" customHeight="1" s="117">
      <c r="A1042" s="14" t="n">
        <v>46021.27920402778</v>
      </c>
      <c r="B1042" s="17" t="inlineStr">
        <is>
          <t>Lê Hồng Phong</t>
        </is>
      </c>
      <c r="C1042" s="16" t="n">
        <v>46021</v>
      </c>
      <c r="D1042" s="17" t="n">
        <v>1</v>
      </c>
      <c r="E1042" s="17" t="n">
        <v>1</v>
      </c>
      <c r="F1042" s="17" t="n">
        <v>1</v>
      </c>
      <c r="G1042" s="17" t="n">
        <v>0</v>
      </c>
      <c r="H1042" s="17" t="n">
        <v>1</v>
      </c>
      <c r="I1042" s="17" t="n">
        <v>1</v>
      </c>
      <c r="J1042" s="17" t="n">
        <v>1</v>
      </c>
      <c r="K1042" s="17" t="n">
        <v>1</v>
      </c>
      <c r="L1042" s="17" t="n">
        <v>1</v>
      </c>
      <c r="M1042" s="17" t="n">
        <v>1</v>
      </c>
      <c r="N1042" s="17" t="n">
        <v>1</v>
      </c>
      <c r="O1042" s="17" t="n">
        <v>1</v>
      </c>
      <c r="P1042" s="17" t="n">
        <v>1</v>
      </c>
      <c r="Q1042" s="17" t="n">
        <v>1</v>
      </c>
      <c r="R1042" s="17" t="n">
        <v>1</v>
      </c>
      <c r="T1042" s="17">
        <f>DAY(C1042)</f>
        <v/>
      </c>
      <c r="U1042" s="17">
        <f>MONTH(C1042)</f>
        <v/>
      </c>
    </row>
    <row r="1043" hidden="1" ht="22.5" customHeight="1" s="117">
      <c r="A1043" s="14" t="n">
        <v>46021.28011261574</v>
      </c>
      <c r="B1043" s="17" t="inlineStr">
        <is>
          <t>Hồ Thái Minh Trí</t>
        </is>
      </c>
      <c r="C1043" s="16" t="n">
        <v>46020</v>
      </c>
      <c r="D1043" s="17" t="n">
        <v>0</v>
      </c>
      <c r="E1043" s="17" t="n">
        <v>0</v>
      </c>
      <c r="F1043" s="17" t="n">
        <v>0</v>
      </c>
      <c r="G1043" s="17" t="n">
        <v>0</v>
      </c>
      <c r="H1043" s="17" t="n">
        <v>0</v>
      </c>
      <c r="I1043" s="17" t="n">
        <v>0</v>
      </c>
      <c r="J1043" s="17" t="n">
        <v>0</v>
      </c>
      <c r="K1043" s="17" t="n">
        <v>13</v>
      </c>
      <c r="L1043" s="17" t="n">
        <v>0</v>
      </c>
      <c r="M1043" s="17" t="n">
        <v>1</v>
      </c>
      <c r="N1043" s="17" t="n">
        <v>0</v>
      </c>
      <c r="O1043" s="17" t="n">
        <v>0</v>
      </c>
      <c r="P1043" s="17" t="n">
        <v>0</v>
      </c>
      <c r="Q1043" s="17" t="n">
        <v>0</v>
      </c>
      <c r="R1043" s="17" t="n">
        <v>0</v>
      </c>
      <c r="T1043" s="17">
        <f>DAY(C1043)</f>
        <v/>
      </c>
      <c r="U1043" s="17">
        <f>MONTH(C1043)</f>
        <v/>
      </c>
    </row>
    <row r="1044" hidden="1" ht="22.5" customHeight="1" s="117">
      <c r="A1044" s="14" t="n">
        <v>46021.28143958333</v>
      </c>
      <c r="B1044" s="17" t="inlineStr">
        <is>
          <t>Huỳnh Văn Lực</t>
        </is>
      </c>
      <c r="C1044" s="16" t="n">
        <v>46020</v>
      </c>
      <c r="D1044" s="17" t="n">
        <v>0</v>
      </c>
      <c r="E1044" s="17" t="n">
        <v>0</v>
      </c>
      <c r="F1044" s="17" t="n">
        <v>0</v>
      </c>
      <c r="G1044" s="17" t="n">
        <v>0</v>
      </c>
      <c r="H1044" s="17" t="n">
        <v>0</v>
      </c>
      <c r="I1044" s="17" t="n">
        <v>0</v>
      </c>
      <c r="J1044" s="17" t="n">
        <v>0</v>
      </c>
      <c r="K1044" s="17" t="n">
        <v>2</v>
      </c>
      <c r="L1044" s="17" t="n">
        <v>0</v>
      </c>
      <c r="M1044" s="17" t="n">
        <v>0</v>
      </c>
      <c r="N1044" s="17" t="n">
        <v>0</v>
      </c>
      <c r="O1044" s="17" t="n">
        <v>0</v>
      </c>
      <c r="P1044" s="17" t="n">
        <v>0</v>
      </c>
      <c r="Q1044" s="17" t="n">
        <v>1</v>
      </c>
      <c r="R1044" s="17" t="n">
        <v>0</v>
      </c>
      <c r="T1044" s="17">
        <f>DAY(C1044)</f>
        <v/>
      </c>
      <c r="U1044" s="17">
        <f>MONTH(C1044)</f>
        <v/>
      </c>
    </row>
    <row r="1045" hidden="1" ht="22.5" customHeight="1" s="117">
      <c r="A1045" s="14" t="n">
        <v>46021.28328574074</v>
      </c>
      <c r="B1045" s="17" t="inlineStr">
        <is>
          <t>Lương Duy Hoàng</t>
        </is>
      </c>
      <c r="C1045" s="16" t="n">
        <v>46020</v>
      </c>
      <c r="D1045" s="17" t="n">
        <v>0</v>
      </c>
      <c r="E1045" s="17" t="n">
        <v>0</v>
      </c>
      <c r="F1045" s="17" t="n">
        <v>0</v>
      </c>
      <c r="G1045" s="17" t="n">
        <v>0</v>
      </c>
      <c r="H1045" s="17" t="n">
        <v>0</v>
      </c>
      <c r="I1045" s="17" t="n">
        <v>1</v>
      </c>
      <c r="J1045" s="17" t="n">
        <v>0</v>
      </c>
      <c r="K1045" s="17" t="n">
        <v>2</v>
      </c>
      <c r="L1045" s="17" t="n">
        <v>0</v>
      </c>
      <c r="M1045" s="17" t="n">
        <v>1</v>
      </c>
      <c r="N1045" s="17" t="n">
        <v>0</v>
      </c>
      <c r="O1045" s="17" t="n">
        <v>0</v>
      </c>
      <c r="P1045" s="17" t="n">
        <v>0</v>
      </c>
      <c r="Q1045" s="17" t="n">
        <v>2</v>
      </c>
      <c r="R1045" s="17" t="n">
        <v>0</v>
      </c>
      <c r="T1045" s="17">
        <f>DAY(C1045)</f>
        <v/>
      </c>
      <c r="U1045" s="17">
        <f>MONTH(C1045)</f>
        <v/>
      </c>
    </row>
    <row r="1046" hidden="1" ht="22.5" customHeight="1" s="117">
      <c r="A1046" s="14" t="n">
        <v>46021.28358347222</v>
      </c>
      <c r="B1046" s="17" t="inlineStr">
        <is>
          <t>Nguyễn Thành Lâm</t>
        </is>
      </c>
      <c r="C1046" s="16" t="n">
        <v>46020</v>
      </c>
      <c r="D1046" s="17" t="n">
        <v>0</v>
      </c>
      <c r="E1046" s="17" t="n">
        <v>0</v>
      </c>
      <c r="F1046" s="17" t="n">
        <v>0</v>
      </c>
      <c r="G1046" s="17" t="n">
        <v>0</v>
      </c>
      <c r="H1046" s="17" t="n">
        <v>0</v>
      </c>
      <c r="I1046" s="17" t="n">
        <v>1</v>
      </c>
      <c r="J1046" s="17" t="n">
        <v>4</v>
      </c>
      <c r="K1046" s="17" t="n">
        <v>7</v>
      </c>
      <c r="L1046" s="17" t="n">
        <v>1</v>
      </c>
      <c r="M1046" s="17" t="n">
        <v>0</v>
      </c>
      <c r="N1046" s="17" t="n">
        <v>0</v>
      </c>
      <c r="O1046" s="17" t="n">
        <v>0</v>
      </c>
      <c r="P1046" s="17" t="n">
        <v>1</v>
      </c>
      <c r="Q1046" s="17" t="n">
        <v>2</v>
      </c>
      <c r="R1046" s="17" t="n">
        <v>0</v>
      </c>
      <c r="T1046" s="17">
        <f>DAY(C1046)</f>
        <v/>
      </c>
      <c r="U1046" s="17">
        <f>MONTH(C1046)</f>
        <v/>
      </c>
    </row>
    <row r="1047" hidden="1" ht="22.5" customHeight="1" s="117">
      <c r="A1047" s="14" t="n">
        <v>46021.28372952546</v>
      </c>
      <c r="B1047" s="17" t="inlineStr">
        <is>
          <t>Trần Minh Khánh</t>
        </is>
      </c>
      <c r="C1047" s="16" t="n">
        <v>46020</v>
      </c>
      <c r="D1047" s="17" t="n">
        <v>0</v>
      </c>
      <c r="E1047" s="17" t="n">
        <v>0</v>
      </c>
      <c r="F1047" s="17" t="n">
        <v>1</v>
      </c>
      <c r="G1047" s="17" t="n">
        <v>0</v>
      </c>
      <c r="H1047" s="17" t="n">
        <v>0</v>
      </c>
      <c r="I1047" s="17" t="n">
        <v>2</v>
      </c>
      <c r="J1047" s="17" t="n">
        <v>0</v>
      </c>
      <c r="K1047" s="17" t="n">
        <v>10</v>
      </c>
      <c r="L1047" s="17" t="n">
        <v>0</v>
      </c>
      <c r="M1047" s="17" t="n">
        <v>0</v>
      </c>
      <c r="N1047" s="17" t="n">
        <v>0</v>
      </c>
      <c r="O1047" s="17" t="n">
        <v>0</v>
      </c>
      <c r="P1047" s="17" t="n">
        <v>0</v>
      </c>
      <c r="Q1047" s="17" t="n">
        <v>2</v>
      </c>
      <c r="R1047" s="17" t="n">
        <v>0</v>
      </c>
      <c r="T1047" s="17">
        <f>DAY(C1047)</f>
        <v/>
      </c>
      <c r="U1047" s="17">
        <f>MONTH(C1047)</f>
        <v/>
      </c>
    </row>
    <row r="1048" hidden="1" ht="22.5" customHeight="1" s="117">
      <c r="A1048" s="14" t="n">
        <v>46021.28406878472</v>
      </c>
      <c r="B1048" s="17" t="inlineStr">
        <is>
          <t>Vòng Nhật Sang</t>
        </is>
      </c>
      <c r="C1048" s="16" t="n">
        <v>46020</v>
      </c>
      <c r="D1048" s="17" t="n">
        <v>0</v>
      </c>
      <c r="E1048" s="17" t="n">
        <v>0</v>
      </c>
      <c r="F1048" s="17" t="n">
        <v>0</v>
      </c>
      <c r="G1048" s="17" t="n">
        <v>0</v>
      </c>
      <c r="H1048" s="17" t="n">
        <v>0</v>
      </c>
      <c r="I1048" s="17" t="n">
        <v>0</v>
      </c>
      <c r="J1048" s="17" t="n">
        <v>1</v>
      </c>
      <c r="K1048" s="17" t="n">
        <v>1</v>
      </c>
      <c r="L1048" s="17" t="n">
        <v>0</v>
      </c>
      <c r="M1048" s="17" t="n">
        <v>0</v>
      </c>
      <c r="N1048" s="17" t="n">
        <v>0</v>
      </c>
      <c r="O1048" s="17" t="n">
        <v>0</v>
      </c>
      <c r="P1048" s="17" t="n">
        <v>1</v>
      </c>
      <c r="Q1048" s="17" t="n">
        <v>2</v>
      </c>
      <c r="R1048" s="17" t="n">
        <v>0</v>
      </c>
      <c r="T1048" s="17">
        <f>DAY(C1048)</f>
        <v/>
      </c>
      <c r="U1048" s="17">
        <f>MONTH(C1048)</f>
        <v/>
      </c>
    </row>
    <row r="1049" hidden="1" ht="22.5" customHeight="1" s="117">
      <c r="A1049" s="14" t="n">
        <v>46021.28490320602</v>
      </c>
      <c r="B1049" s="17" t="inlineStr">
        <is>
          <t>Đào Công Trung</t>
        </is>
      </c>
      <c r="C1049" s="16" t="n">
        <v>46020</v>
      </c>
      <c r="D1049" s="17" t="n">
        <v>1</v>
      </c>
      <c r="E1049" s="17" t="n">
        <v>1</v>
      </c>
      <c r="F1049" s="17" t="n">
        <v>1</v>
      </c>
      <c r="G1049" s="17" t="n">
        <v>0</v>
      </c>
      <c r="H1049" s="17" t="n">
        <v>0</v>
      </c>
      <c r="I1049" s="17" t="n">
        <v>1</v>
      </c>
      <c r="J1049" s="17" t="n">
        <v>0</v>
      </c>
      <c r="K1049" s="17" t="n">
        <v>3</v>
      </c>
      <c r="L1049" s="17" t="n">
        <v>0</v>
      </c>
      <c r="M1049" s="17" t="n">
        <v>1</v>
      </c>
      <c r="N1049" s="17" t="n">
        <v>0</v>
      </c>
      <c r="O1049" s="17" t="n">
        <v>0</v>
      </c>
      <c r="P1049" s="17" t="n">
        <v>3</v>
      </c>
      <c r="Q1049" s="17" t="n">
        <v>4</v>
      </c>
      <c r="R1049" s="17" t="n">
        <v>0</v>
      </c>
      <c r="T1049" s="17">
        <f>DAY(C1049)</f>
        <v/>
      </c>
      <c r="U1049" s="17">
        <f>MONTH(C1049)</f>
        <v/>
      </c>
    </row>
    <row r="1050" hidden="1" ht="22.5" customHeight="1" s="117">
      <c r="A1050" s="14" t="n">
        <v>46021.2850977662</v>
      </c>
      <c r="B1050" s="17" t="inlineStr">
        <is>
          <t>Nguyễn Quang Anh Tuấn</t>
        </is>
      </c>
      <c r="C1050" s="16" t="n">
        <v>46020</v>
      </c>
      <c r="D1050" s="17" t="n">
        <v>0</v>
      </c>
      <c r="E1050" s="17" t="n">
        <v>0</v>
      </c>
      <c r="F1050" s="17" t="n">
        <v>0</v>
      </c>
      <c r="G1050" s="17" t="n">
        <v>0</v>
      </c>
      <c r="H1050" s="17" t="n">
        <v>0</v>
      </c>
      <c r="I1050" s="17" t="n">
        <v>0</v>
      </c>
      <c r="J1050" s="17" t="n">
        <v>0</v>
      </c>
      <c r="K1050" s="17" t="n">
        <v>4</v>
      </c>
      <c r="L1050" s="17" t="n">
        <v>0</v>
      </c>
      <c r="M1050" s="17" t="n">
        <v>0</v>
      </c>
      <c r="N1050" s="17" t="n">
        <v>0</v>
      </c>
      <c r="O1050" s="17" t="n">
        <v>0</v>
      </c>
      <c r="P1050" s="17" t="n">
        <v>0</v>
      </c>
      <c r="Q1050" s="17" t="n">
        <v>1</v>
      </c>
      <c r="R1050" s="17" t="n">
        <v>0</v>
      </c>
      <c r="T1050" s="17">
        <f>DAY(C1050)</f>
        <v/>
      </c>
      <c r="U1050" s="17">
        <f>MONTH(C1050)</f>
        <v/>
      </c>
    </row>
    <row r="1051" hidden="1" ht="22.5" customHeight="1" s="117">
      <c r="A1051" s="14" t="n">
        <v>46021.29452952546</v>
      </c>
      <c r="B1051" s="17" t="inlineStr">
        <is>
          <t>Nguyễn Tuấn Anh</t>
        </is>
      </c>
      <c r="C1051" s="16" t="n">
        <v>46020</v>
      </c>
      <c r="D1051" s="17" t="n">
        <v>1</v>
      </c>
      <c r="E1051" s="17" t="n">
        <v>0</v>
      </c>
      <c r="F1051" s="17" t="n">
        <v>0</v>
      </c>
      <c r="G1051" s="17" t="n">
        <v>0</v>
      </c>
      <c r="H1051" s="17" t="n">
        <v>0</v>
      </c>
      <c r="I1051" s="17" t="n">
        <v>0</v>
      </c>
      <c r="J1051" s="17" t="n">
        <v>0</v>
      </c>
      <c r="K1051" s="17" t="n">
        <v>2</v>
      </c>
      <c r="L1051" s="17" t="n">
        <v>0</v>
      </c>
      <c r="M1051" s="17" t="n">
        <v>0</v>
      </c>
      <c r="N1051" s="17" t="n">
        <v>0</v>
      </c>
      <c r="O1051" s="17" t="n">
        <v>0</v>
      </c>
      <c r="P1051" s="17" t="n">
        <v>0</v>
      </c>
      <c r="Q1051" s="17" t="n">
        <v>6</v>
      </c>
      <c r="R1051" s="17" t="n">
        <v>0</v>
      </c>
      <c r="T1051" s="17">
        <f>DAY(C1051)</f>
        <v/>
      </c>
      <c r="U1051" s="17">
        <f>MONTH(C1051)</f>
        <v/>
      </c>
    </row>
    <row r="1052" hidden="1" ht="22.5" customHeight="1" s="117">
      <c r="A1052" s="14" t="n">
        <v>46021.29647040509</v>
      </c>
      <c r="B1052" s="17" t="inlineStr">
        <is>
          <t>Đặng Hữu Danh</t>
        </is>
      </c>
      <c r="C1052" s="16" t="n">
        <v>46020</v>
      </c>
      <c r="D1052" s="17" t="n">
        <v>0</v>
      </c>
      <c r="E1052" s="17" t="n">
        <v>0</v>
      </c>
      <c r="F1052" s="17" t="n">
        <v>0</v>
      </c>
      <c r="G1052" s="17" t="n">
        <v>0</v>
      </c>
      <c r="H1052" s="17" t="n">
        <v>0</v>
      </c>
      <c r="I1052" s="17" t="n">
        <v>0</v>
      </c>
      <c r="J1052" s="17" t="n">
        <v>3</v>
      </c>
      <c r="K1052" s="17" t="n">
        <v>8</v>
      </c>
      <c r="L1052" s="17" t="n">
        <v>0</v>
      </c>
      <c r="M1052" s="17" t="n">
        <v>1</v>
      </c>
      <c r="N1052" s="17" t="n">
        <v>1</v>
      </c>
      <c r="O1052" s="17" t="n">
        <v>0</v>
      </c>
      <c r="P1052" s="17" t="n">
        <v>1</v>
      </c>
      <c r="Q1052" s="17" t="n">
        <v>2</v>
      </c>
      <c r="R1052" s="17" t="n">
        <v>3</v>
      </c>
      <c r="T1052" s="17">
        <f>DAY(C1052)</f>
        <v/>
      </c>
      <c r="U1052" s="17">
        <f>MONTH(C1052)</f>
        <v/>
      </c>
    </row>
    <row r="1053" hidden="1" ht="22.5" customHeight="1" s="117">
      <c r="A1053" s="14" t="n">
        <v>46021.29733358797</v>
      </c>
      <c r="B1053" s="17" t="inlineStr">
        <is>
          <t>Trần Trung Giang</t>
        </is>
      </c>
      <c r="C1053" s="16" t="n">
        <v>46020</v>
      </c>
      <c r="D1053" s="17" t="n">
        <v>0</v>
      </c>
      <c r="E1053" s="17" t="n">
        <v>0</v>
      </c>
      <c r="F1053" s="17" t="n">
        <v>0</v>
      </c>
      <c r="G1053" s="17" t="n">
        <v>2</v>
      </c>
      <c r="H1053" s="17" t="n">
        <v>1</v>
      </c>
      <c r="I1053" s="17" t="n">
        <v>0</v>
      </c>
      <c r="J1053" s="17" t="n">
        <v>0</v>
      </c>
      <c r="K1053" s="17" t="n">
        <v>0</v>
      </c>
      <c r="L1053" s="17" t="n">
        <v>0</v>
      </c>
      <c r="M1053" s="17" t="n">
        <v>1</v>
      </c>
      <c r="N1053" s="17" t="n">
        <v>0</v>
      </c>
      <c r="O1053" s="17" t="n">
        <v>0</v>
      </c>
      <c r="P1053" s="17" t="n">
        <v>0</v>
      </c>
      <c r="Q1053" s="17" t="n">
        <v>0</v>
      </c>
      <c r="R1053" s="17" t="n">
        <v>0</v>
      </c>
      <c r="T1053" s="17">
        <f>DAY(C1053)</f>
        <v/>
      </c>
      <c r="U1053" s="17">
        <f>MONTH(C1053)</f>
        <v/>
      </c>
    </row>
    <row r="1054" hidden="1" ht="22.5" customHeight="1" s="117">
      <c r="A1054" s="14" t="n">
        <v>46021.29759474537</v>
      </c>
      <c r="B1054" s="17" t="inlineStr">
        <is>
          <t>Đặng Hoài Anh</t>
        </is>
      </c>
      <c r="C1054" s="16" t="n">
        <v>46020</v>
      </c>
      <c r="D1054" s="17" t="n">
        <v>0</v>
      </c>
      <c r="E1054" s="17" t="n">
        <v>0</v>
      </c>
      <c r="F1054" s="17" t="n">
        <v>0</v>
      </c>
      <c r="G1054" s="17" t="n">
        <v>0</v>
      </c>
      <c r="H1054" s="17" t="n">
        <v>0</v>
      </c>
      <c r="I1054" s="17" t="n">
        <v>0</v>
      </c>
      <c r="J1054" s="17" t="n">
        <v>0</v>
      </c>
      <c r="K1054" s="17" t="n">
        <v>0</v>
      </c>
      <c r="L1054" s="17" t="n">
        <v>0</v>
      </c>
      <c r="M1054" s="17" t="n">
        <v>0</v>
      </c>
      <c r="N1054" s="17" t="n">
        <v>0</v>
      </c>
      <c r="O1054" s="17" t="n">
        <v>0</v>
      </c>
      <c r="P1054" s="17" t="n">
        <v>1</v>
      </c>
      <c r="Q1054" s="17" t="n">
        <v>0</v>
      </c>
      <c r="R1054" s="17" t="n">
        <v>0</v>
      </c>
      <c r="T1054" s="17">
        <f>DAY(C1054)</f>
        <v/>
      </c>
      <c r="U1054" s="17">
        <f>MONTH(C1054)</f>
        <v/>
      </c>
    </row>
    <row r="1055" hidden="1" ht="22.5" customHeight="1" s="117">
      <c r="A1055" s="14" t="n">
        <v>46021.30053540509</v>
      </c>
      <c r="B1055" s="17" t="inlineStr">
        <is>
          <t>Hồ Xuân Việt</t>
        </is>
      </c>
      <c r="C1055" s="16" t="n">
        <v>46020</v>
      </c>
      <c r="D1055" s="17" t="n">
        <v>0</v>
      </c>
      <c r="E1055" s="17" t="n">
        <v>0</v>
      </c>
      <c r="F1055" s="17" t="n">
        <v>0</v>
      </c>
      <c r="G1055" s="17" t="n">
        <v>0</v>
      </c>
      <c r="H1055" s="17" t="n">
        <v>0</v>
      </c>
      <c r="I1055" s="17" t="n">
        <v>0</v>
      </c>
      <c r="J1055" s="17" t="n">
        <v>0</v>
      </c>
      <c r="K1055" s="17" t="n">
        <v>0</v>
      </c>
      <c r="L1055" s="17" t="n">
        <v>0</v>
      </c>
      <c r="M1055" s="17" t="n">
        <v>0</v>
      </c>
      <c r="N1055" s="17" t="n">
        <v>0</v>
      </c>
      <c r="O1055" s="17" t="n">
        <v>0</v>
      </c>
      <c r="P1055" s="17" t="n">
        <v>1</v>
      </c>
      <c r="Q1055" s="17" t="n">
        <v>1</v>
      </c>
      <c r="R1055" s="17" t="n">
        <v>0</v>
      </c>
      <c r="T1055" s="17">
        <f>DAY(C1055)</f>
        <v/>
      </c>
      <c r="U1055" s="17">
        <f>MONTH(C1055)</f>
        <v/>
      </c>
    </row>
    <row r="1056" hidden="1" ht="22.5" customHeight="1" s="117">
      <c r="A1056" s="14" t="n">
        <v>46021.31051979167</v>
      </c>
      <c r="B1056" s="17" t="inlineStr">
        <is>
          <t>Trần Xuân Khoa</t>
        </is>
      </c>
      <c r="C1056" s="16" t="n">
        <v>46020</v>
      </c>
      <c r="D1056" s="17" t="n">
        <v>0</v>
      </c>
      <c r="E1056" s="17" t="n">
        <v>0</v>
      </c>
      <c r="F1056" s="17" t="n">
        <v>0</v>
      </c>
      <c r="G1056" s="17" t="n">
        <v>0</v>
      </c>
      <c r="H1056" s="17" t="n">
        <v>0</v>
      </c>
      <c r="I1056" s="17" t="n">
        <v>0</v>
      </c>
      <c r="J1056" s="17" t="n">
        <v>0</v>
      </c>
      <c r="K1056" s="17" t="n">
        <v>24</v>
      </c>
      <c r="L1056" s="17" t="n">
        <v>0</v>
      </c>
      <c r="M1056" s="17" t="n">
        <v>0</v>
      </c>
      <c r="N1056" s="17" t="n">
        <v>0</v>
      </c>
      <c r="O1056" s="17" t="n">
        <v>0</v>
      </c>
      <c r="P1056" s="17" t="n">
        <v>0</v>
      </c>
      <c r="Q1056" s="17" t="n">
        <v>3</v>
      </c>
      <c r="R1056" s="17" t="n">
        <v>0</v>
      </c>
      <c r="T1056" s="17">
        <f>DAY(C1056)</f>
        <v/>
      </c>
      <c r="U1056" s="17">
        <f>MONTH(C1056)</f>
        <v/>
      </c>
    </row>
    <row r="1057" hidden="1" ht="22.5" customHeight="1" s="117">
      <c r="A1057" s="14" t="n">
        <v>46021.33983241898</v>
      </c>
      <c r="B1057" s="17" t="inlineStr">
        <is>
          <t>Nguyễn Hồng Minh</t>
        </is>
      </c>
      <c r="C1057" s="16" t="n">
        <v>46020</v>
      </c>
      <c r="D1057" s="17" t="n">
        <v>0</v>
      </c>
      <c r="E1057" s="17" t="n">
        <v>0</v>
      </c>
      <c r="F1057" s="17" t="n">
        <v>0</v>
      </c>
      <c r="G1057" s="17" t="n">
        <v>0</v>
      </c>
      <c r="H1057" s="17" t="n">
        <v>0</v>
      </c>
      <c r="I1057" s="17" t="n">
        <v>2</v>
      </c>
      <c r="J1057" s="17" t="n">
        <v>1</v>
      </c>
      <c r="K1057" s="17" t="n">
        <v>5</v>
      </c>
      <c r="L1057" s="17" t="n">
        <v>0</v>
      </c>
      <c r="M1057" s="17" t="n">
        <v>0</v>
      </c>
      <c r="N1057" s="17" t="n">
        <v>1</v>
      </c>
      <c r="O1057" s="17" t="n">
        <v>0</v>
      </c>
      <c r="P1057" s="17" t="n">
        <v>0</v>
      </c>
      <c r="Q1057" s="17" t="n">
        <v>5</v>
      </c>
      <c r="R1057" s="17" t="n">
        <v>0</v>
      </c>
      <c r="T1057" s="17">
        <f>DAY(C1057)</f>
        <v/>
      </c>
      <c r="U1057" s="17">
        <f>MONTH(C1057)</f>
        <v/>
      </c>
    </row>
    <row r="1058" hidden="1" ht="22.5" customHeight="1" s="117">
      <c r="A1058" s="14" t="n">
        <v>46021.34734271991</v>
      </c>
      <c r="B1058" s="17" t="inlineStr">
        <is>
          <t>Bùi Duy Cường</t>
        </is>
      </c>
      <c r="C1058" s="16" t="n">
        <v>46020</v>
      </c>
      <c r="D1058" s="17" t="n">
        <v>0</v>
      </c>
      <c r="E1058" s="17" t="n">
        <v>0</v>
      </c>
      <c r="F1058" s="17" t="n">
        <v>0</v>
      </c>
      <c r="G1058" s="17" t="n">
        <v>0</v>
      </c>
      <c r="H1058" s="17" t="n">
        <v>0</v>
      </c>
      <c r="I1058" s="17" t="n">
        <v>0</v>
      </c>
      <c r="J1058" s="17" t="n">
        <v>0</v>
      </c>
      <c r="K1058" s="17" t="n">
        <v>2</v>
      </c>
      <c r="L1058" s="17" t="n">
        <v>0</v>
      </c>
      <c r="M1058" s="17" t="n">
        <v>1</v>
      </c>
      <c r="N1058" s="17" t="n">
        <v>0</v>
      </c>
      <c r="O1058" s="17" t="n">
        <v>0</v>
      </c>
      <c r="P1058" s="17" t="n">
        <v>0</v>
      </c>
      <c r="Q1058" s="17" t="n">
        <v>4</v>
      </c>
      <c r="R1058" s="17" t="n">
        <v>0</v>
      </c>
      <c r="T1058" s="17">
        <f>DAY(C1058)</f>
        <v/>
      </c>
      <c r="U1058" s="17">
        <f>MONTH(C1058)</f>
        <v/>
      </c>
    </row>
    <row r="1059" hidden="1" ht="22.5" customHeight="1" s="117">
      <c r="A1059" s="14" t="n">
        <v>46021.39684059028</v>
      </c>
      <c r="B1059" s="17" t="inlineStr">
        <is>
          <t>Lê Văn Hồng</t>
        </is>
      </c>
      <c r="C1059" s="16" t="n">
        <v>46020</v>
      </c>
      <c r="D1059" s="17" t="n">
        <v>0</v>
      </c>
      <c r="E1059" s="17" t="n">
        <v>0</v>
      </c>
      <c r="F1059" s="17" t="n">
        <v>0</v>
      </c>
      <c r="G1059" s="17" t="n">
        <v>2</v>
      </c>
      <c r="H1059" s="17" t="n">
        <v>3</v>
      </c>
      <c r="I1059" s="17" t="n">
        <v>5</v>
      </c>
      <c r="J1059" s="17" t="n">
        <v>0</v>
      </c>
      <c r="K1059" s="17" t="n">
        <v>1</v>
      </c>
      <c r="L1059" s="17" t="n">
        <v>1</v>
      </c>
      <c r="M1059" s="17" t="n">
        <v>2</v>
      </c>
      <c r="N1059" s="17" t="n">
        <v>4</v>
      </c>
      <c r="O1059" s="17" t="n">
        <v>0</v>
      </c>
      <c r="P1059" s="17" t="n">
        <v>2</v>
      </c>
      <c r="Q1059" s="17" t="n">
        <v>4</v>
      </c>
      <c r="R1059" s="17" t="n">
        <v>0</v>
      </c>
      <c r="T1059" s="17">
        <f>DAY(C1059)</f>
        <v/>
      </c>
      <c r="U1059" s="17">
        <f>MONTH(C1059)</f>
        <v/>
      </c>
    </row>
    <row r="1060" hidden="1" ht="22.5" customHeight="1" s="117">
      <c r="A1060" s="14" t="n">
        <v>46022.27842973379</v>
      </c>
      <c r="B1060" s="17" t="inlineStr">
        <is>
          <t>Phan Thành Thái</t>
        </is>
      </c>
      <c r="C1060" s="16" t="n">
        <v>46021</v>
      </c>
      <c r="D1060" s="17" t="n">
        <v>0</v>
      </c>
      <c r="E1060" s="17" t="n">
        <v>0</v>
      </c>
      <c r="F1060" s="17" t="n">
        <v>0</v>
      </c>
      <c r="G1060" s="17" t="n">
        <v>1</v>
      </c>
      <c r="H1060" s="17" t="n">
        <v>1</v>
      </c>
      <c r="I1060" s="17" t="n">
        <v>0</v>
      </c>
      <c r="J1060" s="17" t="n">
        <v>1</v>
      </c>
      <c r="K1060" s="17" t="n">
        <v>4</v>
      </c>
      <c r="L1060" s="17" t="n">
        <v>0</v>
      </c>
      <c r="M1060" s="17" t="n">
        <v>0</v>
      </c>
      <c r="N1060" s="17" t="n">
        <v>3</v>
      </c>
      <c r="O1060" s="17" t="n">
        <v>0</v>
      </c>
      <c r="P1060" s="17" t="n">
        <v>1</v>
      </c>
      <c r="Q1060" s="17" t="n">
        <v>3</v>
      </c>
      <c r="R1060" s="17" t="n">
        <v>0</v>
      </c>
      <c r="T1060" s="17">
        <f>DAY(C1060)</f>
        <v/>
      </c>
      <c r="U1060" s="17">
        <f>MONTH(C1060)</f>
        <v/>
      </c>
    </row>
    <row r="1061" hidden="1" ht="22.5" customHeight="1" s="117">
      <c r="A1061" s="14" t="n">
        <v>46022.28309292824</v>
      </c>
      <c r="B1061" s="17" t="inlineStr">
        <is>
          <t>Nguyễn Văn Hiệp</t>
        </is>
      </c>
      <c r="C1061" s="16" t="n">
        <v>46021</v>
      </c>
      <c r="D1061" s="17" t="n">
        <v>0</v>
      </c>
      <c r="E1061" s="17" t="n">
        <v>0</v>
      </c>
      <c r="F1061" s="17" t="n">
        <v>0</v>
      </c>
      <c r="G1061" s="17" t="n">
        <v>0</v>
      </c>
      <c r="H1061" s="17" t="n">
        <v>0</v>
      </c>
      <c r="I1061" s="17" t="n">
        <v>2</v>
      </c>
      <c r="J1061" s="17" t="n">
        <v>0</v>
      </c>
      <c r="K1061" s="17" t="n">
        <v>0</v>
      </c>
      <c r="L1061" s="17" t="n">
        <v>0</v>
      </c>
      <c r="M1061" s="17" t="n">
        <v>2</v>
      </c>
      <c r="N1061" s="17" t="n">
        <v>1</v>
      </c>
      <c r="O1061" s="17" t="n">
        <v>0</v>
      </c>
      <c r="P1061" s="17" t="n">
        <v>0</v>
      </c>
      <c r="Q1061" s="17" t="n">
        <v>0</v>
      </c>
      <c r="R1061" s="17" t="n">
        <v>0</v>
      </c>
      <c r="T1061" s="17">
        <f>DAY(C1061)</f>
        <v/>
      </c>
      <c r="U1061" s="17">
        <f>MONTH(C1061)</f>
        <v/>
      </c>
    </row>
    <row r="1062" hidden="1" ht="22.5" customHeight="1" s="117">
      <c r="A1062" s="14" t="n">
        <v>46022.28370400463</v>
      </c>
      <c r="B1062" s="17" t="inlineStr">
        <is>
          <t>Dương Minh Tiến</t>
        </is>
      </c>
      <c r="C1062" s="16" t="n">
        <v>46020</v>
      </c>
      <c r="D1062" s="17" t="n">
        <v>0</v>
      </c>
      <c r="E1062" s="17" t="n">
        <v>0</v>
      </c>
      <c r="F1062" s="17" t="n">
        <v>0</v>
      </c>
      <c r="G1062" s="17" t="n">
        <v>0</v>
      </c>
      <c r="H1062" s="17" t="n">
        <v>0</v>
      </c>
      <c r="I1062" s="17" t="n">
        <v>0</v>
      </c>
      <c r="J1062" s="17" t="n">
        <v>0</v>
      </c>
      <c r="K1062" s="17" t="n">
        <v>3</v>
      </c>
      <c r="L1062" s="17" t="n">
        <v>0</v>
      </c>
      <c r="M1062" s="17" t="n">
        <v>0</v>
      </c>
      <c r="N1062" s="17" t="n">
        <v>0</v>
      </c>
      <c r="O1062" s="17" t="n">
        <v>0</v>
      </c>
      <c r="P1062" s="17" t="n">
        <v>0</v>
      </c>
      <c r="Q1062" s="17" t="n">
        <v>0</v>
      </c>
      <c r="R1062" s="17" t="n">
        <v>0</v>
      </c>
      <c r="T1062" s="17">
        <f>DAY(C1062)</f>
        <v/>
      </c>
      <c r="U1062" s="17">
        <f>MONTH(C1062)</f>
        <v/>
      </c>
    </row>
    <row r="1063" hidden="1" ht="22.5" customHeight="1" s="117">
      <c r="A1063" s="14" t="n">
        <v>46022.28571582176</v>
      </c>
      <c r="B1063" s="17" t="inlineStr">
        <is>
          <t>Trần Xuân Khoa</t>
        </is>
      </c>
      <c r="C1063" s="16" t="n">
        <v>46021</v>
      </c>
      <c r="D1063" s="17" t="n">
        <v>0</v>
      </c>
      <c r="E1063" s="17" t="n">
        <v>0</v>
      </c>
      <c r="F1063" s="17" t="n">
        <v>0</v>
      </c>
      <c r="G1063" s="17" t="n">
        <v>0</v>
      </c>
      <c r="H1063" s="17" t="n">
        <v>1</v>
      </c>
      <c r="I1063" s="17" t="n">
        <v>0</v>
      </c>
      <c r="J1063" s="17" t="n">
        <v>0</v>
      </c>
      <c r="K1063" s="17" t="n">
        <v>10</v>
      </c>
      <c r="L1063" s="17" t="n">
        <v>0</v>
      </c>
      <c r="M1063" s="17" t="n">
        <v>0</v>
      </c>
      <c r="N1063" s="17" t="n">
        <v>0</v>
      </c>
      <c r="O1063" s="17" t="n">
        <v>0</v>
      </c>
      <c r="P1063" s="17" t="n">
        <v>2</v>
      </c>
      <c r="Q1063" s="17" t="n">
        <v>3</v>
      </c>
      <c r="R1063" s="17" t="n">
        <v>0</v>
      </c>
      <c r="T1063" s="17">
        <f>DAY(C1063)</f>
        <v/>
      </c>
      <c r="U1063" s="17">
        <f>MONTH(C1063)</f>
        <v/>
      </c>
    </row>
    <row r="1064" hidden="1" ht="22.5" customHeight="1" s="117">
      <c r="A1064" s="14" t="n">
        <v>46022.28621603009</v>
      </c>
      <c r="B1064" s="17" t="inlineStr">
        <is>
          <t>Lê Hồng Phong</t>
        </is>
      </c>
      <c r="C1064" s="16" t="n">
        <v>46022</v>
      </c>
      <c r="D1064" s="17" t="n">
        <v>1</v>
      </c>
      <c r="E1064" s="17" t="n">
        <v>1</v>
      </c>
      <c r="F1064" s="17" t="n">
        <v>1</v>
      </c>
      <c r="G1064" s="17" t="n">
        <v>0</v>
      </c>
      <c r="H1064" s="17" t="n">
        <v>0</v>
      </c>
      <c r="I1064" s="17" t="n">
        <v>1</v>
      </c>
      <c r="J1064" s="17" t="n">
        <v>1</v>
      </c>
      <c r="K1064" s="17" t="n">
        <v>1</v>
      </c>
      <c r="L1064" s="17" t="n">
        <v>1</v>
      </c>
      <c r="M1064" s="17" t="n">
        <v>1</v>
      </c>
      <c r="N1064" s="17" t="n">
        <v>1</v>
      </c>
      <c r="O1064" s="17" t="n">
        <v>1</v>
      </c>
      <c r="P1064" s="17" t="n">
        <v>1</v>
      </c>
      <c r="Q1064" s="17" t="n">
        <v>1</v>
      </c>
      <c r="R1064" s="17" t="n">
        <v>1</v>
      </c>
      <c r="T1064" s="17">
        <f>DAY(C1064)</f>
        <v/>
      </c>
      <c r="U1064" s="17">
        <f>MONTH(C1064)</f>
        <v/>
      </c>
    </row>
    <row r="1065" hidden="1" ht="22.5" customHeight="1" s="117">
      <c r="A1065" s="14" t="n">
        <v>46022.28805460648</v>
      </c>
      <c r="B1065" s="17" t="inlineStr">
        <is>
          <t>Huỳnh Văn Lực</t>
        </is>
      </c>
      <c r="C1065" s="16" t="n">
        <v>46021</v>
      </c>
      <c r="D1065" s="17" t="n">
        <v>0</v>
      </c>
      <c r="E1065" s="17" t="n">
        <v>0</v>
      </c>
      <c r="F1065" s="17" t="n">
        <v>1</v>
      </c>
      <c r="G1065" s="17" t="n">
        <v>0</v>
      </c>
      <c r="H1065" s="17" t="n">
        <v>0</v>
      </c>
      <c r="I1065" s="17" t="n">
        <v>1</v>
      </c>
      <c r="J1065" s="17" t="n">
        <v>0</v>
      </c>
      <c r="K1065" s="17" t="n">
        <v>1</v>
      </c>
      <c r="L1065" s="17" t="n">
        <v>0</v>
      </c>
      <c r="M1065" s="17" t="n">
        <v>1</v>
      </c>
      <c r="N1065" s="17" t="n">
        <v>0</v>
      </c>
      <c r="O1065" s="17" t="n">
        <v>0</v>
      </c>
      <c r="P1065" s="17" t="n">
        <v>1</v>
      </c>
      <c r="Q1065" s="17" t="n">
        <v>1</v>
      </c>
      <c r="R1065" s="17" t="n">
        <v>0</v>
      </c>
      <c r="T1065" s="17">
        <f>DAY(C1065)</f>
        <v/>
      </c>
      <c r="U1065" s="17">
        <f>MONTH(C1065)</f>
        <v/>
      </c>
    </row>
    <row r="1066" hidden="1" ht="22.5" customHeight="1" s="117">
      <c r="A1066" s="14" t="n">
        <v>46022.28828621528</v>
      </c>
      <c r="B1066" s="17" t="inlineStr">
        <is>
          <t>Lương Duy Hoàng</t>
        </is>
      </c>
      <c r="C1066" s="16" t="n">
        <v>46021</v>
      </c>
      <c r="D1066" s="17" t="n">
        <v>0</v>
      </c>
      <c r="E1066" s="17" t="n">
        <v>0</v>
      </c>
      <c r="F1066" s="17" t="n">
        <v>0</v>
      </c>
      <c r="G1066" s="17" t="n">
        <v>1</v>
      </c>
      <c r="H1066" s="17" t="n">
        <v>0</v>
      </c>
      <c r="I1066" s="17" t="n">
        <v>1</v>
      </c>
      <c r="J1066" s="17" t="n">
        <v>0</v>
      </c>
      <c r="K1066" s="17" t="n">
        <v>1</v>
      </c>
      <c r="L1066" s="17" t="n">
        <v>0</v>
      </c>
      <c r="M1066" s="17" t="n">
        <v>0</v>
      </c>
      <c r="N1066" s="17" t="n">
        <v>0</v>
      </c>
      <c r="O1066" s="17" t="n">
        <v>0</v>
      </c>
      <c r="P1066" s="17" t="n">
        <v>0</v>
      </c>
      <c r="Q1066" s="17" t="n">
        <v>1</v>
      </c>
      <c r="R1066" s="17" t="n">
        <v>0</v>
      </c>
      <c r="T1066" s="17">
        <f>DAY(C1066)</f>
        <v/>
      </c>
      <c r="U1066" s="17">
        <f>MONTH(C1066)</f>
        <v/>
      </c>
    </row>
    <row r="1067" hidden="1" ht="22.5" customHeight="1" s="117">
      <c r="A1067" s="14" t="n">
        <v>46022.28862150463</v>
      </c>
      <c r="B1067" s="17" t="inlineStr">
        <is>
          <t>Vòng Nhật Sang</t>
        </is>
      </c>
      <c r="C1067" s="16" t="n">
        <v>46021</v>
      </c>
      <c r="D1067" s="17" t="n">
        <v>0</v>
      </c>
      <c r="E1067" s="17" t="n">
        <v>0</v>
      </c>
      <c r="F1067" s="17" t="n">
        <v>0</v>
      </c>
      <c r="G1067" s="17" t="n">
        <v>0</v>
      </c>
      <c r="H1067" s="17" t="n">
        <v>0</v>
      </c>
      <c r="I1067" s="17" t="n">
        <v>0</v>
      </c>
      <c r="J1067" s="17" t="n">
        <v>0</v>
      </c>
      <c r="K1067" s="17" t="n">
        <v>1</v>
      </c>
      <c r="L1067" s="17" t="n">
        <v>2</v>
      </c>
      <c r="M1067" s="17" t="n">
        <v>0</v>
      </c>
      <c r="N1067" s="17" t="n">
        <v>0</v>
      </c>
      <c r="O1067" s="17" t="n">
        <v>0</v>
      </c>
      <c r="P1067" s="17" t="n">
        <v>1</v>
      </c>
      <c r="Q1067" s="17" t="n">
        <v>2</v>
      </c>
      <c r="R1067" s="17" t="n">
        <v>0</v>
      </c>
      <c r="T1067" s="17">
        <f>DAY(C1067)</f>
        <v/>
      </c>
      <c r="U1067" s="17">
        <f>MONTH(C1067)</f>
        <v/>
      </c>
    </row>
    <row r="1068" hidden="1" ht="22.5" customHeight="1" s="117">
      <c r="A1068" s="14" t="n">
        <v>46022.28911688658</v>
      </c>
      <c r="B1068" s="17" t="inlineStr">
        <is>
          <t>Hồ Xuân Việt</t>
        </is>
      </c>
      <c r="C1068" s="16" t="n">
        <v>46021</v>
      </c>
      <c r="D1068" s="17" t="n">
        <v>0</v>
      </c>
      <c r="E1068" s="17" t="n">
        <v>0</v>
      </c>
      <c r="F1068" s="17" t="n">
        <v>0</v>
      </c>
      <c r="G1068" s="17" t="n">
        <v>0</v>
      </c>
      <c r="H1068" s="17" t="n">
        <v>0</v>
      </c>
      <c r="I1068" s="17" t="n">
        <v>0</v>
      </c>
      <c r="J1068" s="17" t="n">
        <v>0</v>
      </c>
      <c r="K1068" s="17" t="n">
        <v>10</v>
      </c>
      <c r="L1068" s="17" t="n">
        <v>0</v>
      </c>
      <c r="M1068" s="17" t="n">
        <v>0</v>
      </c>
      <c r="N1068" s="17" t="n">
        <v>0</v>
      </c>
      <c r="O1068" s="17" t="n">
        <v>0</v>
      </c>
      <c r="P1068" s="17" t="n">
        <v>0</v>
      </c>
      <c r="Q1068" s="17" t="n">
        <v>2</v>
      </c>
      <c r="R1068" s="17" t="n">
        <v>0</v>
      </c>
      <c r="T1068" s="17">
        <f>DAY(C1068)</f>
        <v/>
      </c>
      <c r="U1068" s="17">
        <f>MONTH(C1068)</f>
        <v/>
      </c>
    </row>
    <row r="1069" hidden="1" ht="22.5" customHeight="1" s="117">
      <c r="A1069" s="14" t="n">
        <v>46022.29064403935</v>
      </c>
      <c r="B1069" s="17" t="inlineStr">
        <is>
          <t>Nguyễn Thành Lâm</t>
        </is>
      </c>
      <c r="C1069" s="16" t="n">
        <v>46021</v>
      </c>
      <c r="D1069" s="17" t="n">
        <v>0</v>
      </c>
      <c r="E1069" s="17" t="n">
        <v>0</v>
      </c>
      <c r="F1069" s="17" t="n">
        <v>1</v>
      </c>
      <c r="G1069" s="17" t="n">
        <v>0</v>
      </c>
      <c r="H1069" s="17" t="n">
        <v>0</v>
      </c>
      <c r="I1069" s="17" t="n">
        <v>0</v>
      </c>
      <c r="J1069" s="17" t="n">
        <v>0</v>
      </c>
      <c r="K1069" s="17" t="n">
        <v>4</v>
      </c>
      <c r="L1069" s="17" t="n">
        <v>0</v>
      </c>
      <c r="M1069" s="17" t="n">
        <v>0</v>
      </c>
      <c r="N1069" s="17" t="n">
        <v>0</v>
      </c>
      <c r="O1069" s="17" t="n">
        <v>0</v>
      </c>
      <c r="P1069" s="17" t="n">
        <v>0</v>
      </c>
      <c r="Q1069" s="17" t="n">
        <v>4</v>
      </c>
      <c r="R1069" s="17" t="n">
        <v>0</v>
      </c>
      <c r="T1069" s="17">
        <f>DAY(C1069)</f>
        <v/>
      </c>
      <c r="U1069" s="17">
        <f>MONTH(C1069)</f>
        <v/>
      </c>
    </row>
    <row r="1070" hidden="1" ht="22.5" customHeight="1" s="117">
      <c r="A1070" s="14" t="n">
        <v>46022.29127274305</v>
      </c>
      <c r="B1070" s="17" t="inlineStr">
        <is>
          <t>Đặng Hữu Danh</t>
        </is>
      </c>
      <c r="C1070" s="16" t="n">
        <v>46021</v>
      </c>
      <c r="D1070" s="17" t="n">
        <v>0</v>
      </c>
      <c r="E1070" s="17" t="n">
        <v>0</v>
      </c>
      <c r="F1070" s="17" t="n">
        <v>0</v>
      </c>
      <c r="G1070" s="17" t="n">
        <v>0</v>
      </c>
      <c r="H1070" s="17" t="n">
        <v>0</v>
      </c>
      <c r="I1070" s="17" t="n">
        <v>0</v>
      </c>
      <c r="J1070" s="17" t="n">
        <v>2</v>
      </c>
      <c r="K1070" s="17" t="n">
        <v>2</v>
      </c>
      <c r="L1070" s="17" t="n">
        <v>0</v>
      </c>
      <c r="M1070" s="17" t="n">
        <v>1</v>
      </c>
      <c r="N1070" s="17" t="n">
        <v>2</v>
      </c>
      <c r="O1070" s="17" t="n">
        <v>0</v>
      </c>
      <c r="P1070" s="17" t="n">
        <v>2</v>
      </c>
      <c r="Q1070" s="17" t="n">
        <v>2</v>
      </c>
      <c r="R1070" s="17" t="n">
        <v>0</v>
      </c>
      <c r="T1070" s="17">
        <f>DAY(C1070)</f>
        <v/>
      </c>
      <c r="U1070" s="17">
        <f>MONTH(C1070)</f>
        <v/>
      </c>
    </row>
    <row r="1071" hidden="1" ht="22.5" customHeight="1" s="117">
      <c r="A1071" s="14" t="n">
        <v>46022.29411983796</v>
      </c>
      <c r="B1071" s="17" t="inlineStr">
        <is>
          <t>Trần Trung Giang</t>
        </is>
      </c>
      <c r="C1071" s="16" t="n">
        <v>46021</v>
      </c>
      <c r="D1071" s="17" t="n">
        <v>0</v>
      </c>
      <c r="E1071" s="17" t="n">
        <v>0</v>
      </c>
      <c r="F1071" s="17" t="n">
        <v>0</v>
      </c>
      <c r="G1071" s="17" t="n">
        <v>5</v>
      </c>
      <c r="H1071" s="17" t="n">
        <v>1</v>
      </c>
      <c r="I1071" s="17" t="n">
        <v>0</v>
      </c>
      <c r="J1071" s="17" t="n">
        <v>0</v>
      </c>
      <c r="K1071" s="17" t="n">
        <v>0</v>
      </c>
      <c r="L1071" s="17" t="n">
        <v>0</v>
      </c>
      <c r="M1071" s="17" t="n">
        <v>0</v>
      </c>
      <c r="N1071" s="17" t="n">
        <v>0</v>
      </c>
      <c r="O1071" s="17" t="n">
        <v>0</v>
      </c>
      <c r="P1071" s="17" t="n">
        <v>0</v>
      </c>
      <c r="Q1071" s="17" t="n">
        <v>0</v>
      </c>
      <c r="R1071" s="17" t="n">
        <v>0</v>
      </c>
      <c r="T1071" s="17">
        <f>DAY(C1071)</f>
        <v/>
      </c>
      <c r="U1071" s="17">
        <f>MONTH(C1071)</f>
        <v/>
      </c>
    </row>
    <row r="1072" hidden="1" ht="22.5" customHeight="1" s="117">
      <c r="A1072" s="14" t="n">
        <v>46022.29674322917</v>
      </c>
      <c r="B1072" s="17" t="inlineStr">
        <is>
          <t>Đào Công Trung</t>
        </is>
      </c>
      <c r="C1072" s="16" t="n">
        <v>46021</v>
      </c>
      <c r="D1072" s="17" t="n">
        <v>0</v>
      </c>
      <c r="E1072" s="17" t="n">
        <v>0</v>
      </c>
      <c r="F1072" s="17" t="n">
        <v>0</v>
      </c>
      <c r="G1072" s="17" t="n">
        <v>0</v>
      </c>
      <c r="H1072" s="17" t="n">
        <v>0</v>
      </c>
      <c r="I1072" s="17" t="n">
        <v>1</v>
      </c>
      <c r="J1072" s="17" t="n">
        <v>0</v>
      </c>
      <c r="K1072" s="17" t="n">
        <v>2</v>
      </c>
      <c r="L1072" s="17" t="n">
        <v>0</v>
      </c>
      <c r="M1072" s="17" t="n">
        <v>0</v>
      </c>
      <c r="N1072" s="17" t="n">
        <v>1</v>
      </c>
      <c r="O1072" s="17" t="n">
        <v>0</v>
      </c>
      <c r="P1072" s="17" t="n">
        <v>1</v>
      </c>
      <c r="Q1072" s="17" t="n">
        <v>1</v>
      </c>
      <c r="R1072" s="17" t="n">
        <v>0</v>
      </c>
      <c r="T1072" s="17">
        <f>DAY(C1072)</f>
        <v/>
      </c>
      <c r="U1072" s="17">
        <f>MONTH(C1072)</f>
        <v/>
      </c>
    </row>
    <row r="1073" hidden="1" ht="22.5" customHeight="1" s="117">
      <c r="A1073" s="14" t="n">
        <v>46022.29726050926</v>
      </c>
      <c r="B1073" s="17" t="inlineStr">
        <is>
          <t>Nguyễn Tuấn Anh</t>
        </is>
      </c>
      <c r="C1073" s="16" t="n">
        <v>46021</v>
      </c>
      <c r="D1073" s="17" t="n">
        <v>2</v>
      </c>
      <c r="E1073" s="17" t="n">
        <v>1</v>
      </c>
      <c r="F1073" s="17" t="n">
        <v>0</v>
      </c>
      <c r="G1073" s="17" t="n">
        <v>0</v>
      </c>
      <c r="H1073" s="17" t="n">
        <v>0</v>
      </c>
      <c r="I1073" s="17" t="n">
        <v>0</v>
      </c>
      <c r="J1073" s="17" t="n">
        <v>0</v>
      </c>
      <c r="K1073" s="17" t="n">
        <v>2</v>
      </c>
      <c r="L1073" s="17" t="n">
        <v>0</v>
      </c>
      <c r="M1073" s="17" t="n">
        <v>0</v>
      </c>
      <c r="N1073" s="17" t="n">
        <v>0</v>
      </c>
      <c r="O1073" s="17" t="n">
        <v>0</v>
      </c>
      <c r="P1073" s="17" t="n">
        <v>0</v>
      </c>
      <c r="Q1073" s="17" t="n">
        <v>2</v>
      </c>
      <c r="R1073" s="17" t="n">
        <v>0</v>
      </c>
      <c r="T1073" s="17">
        <f>DAY(C1073)</f>
        <v/>
      </c>
      <c r="U1073" s="17">
        <f>MONTH(C1073)</f>
        <v/>
      </c>
    </row>
    <row r="1074" hidden="1" ht="22.5" customHeight="1" s="117">
      <c r="A1074" s="14" t="n">
        <v>46022.29768570602</v>
      </c>
      <c r="B1074" s="17" t="inlineStr">
        <is>
          <t>Phan Ngọc Sang</t>
        </is>
      </c>
      <c r="C1074" s="16" t="n">
        <v>46021</v>
      </c>
      <c r="D1074" s="17" t="n">
        <v>0</v>
      </c>
      <c r="E1074" s="17" t="n">
        <v>0</v>
      </c>
      <c r="F1074" s="17" t="n">
        <v>0</v>
      </c>
      <c r="G1074" s="17" t="n">
        <v>1</v>
      </c>
      <c r="H1074" s="17" t="n">
        <v>1</v>
      </c>
      <c r="I1074" s="17" t="n">
        <v>1</v>
      </c>
      <c r="J1074" s="17" t="n">
        <v>1</v>
      </c>
      <c r="K1074" s="17" t="n">
        <v>2</v>
      </c>
      <c r="L1074" s="17" t="n">
        <v>0</v>
      </c>
      <c r="M1074" s="17" t="n">
        <v>1</v>
      </c>
      <c r="N1074" s="17" t="n">
        <v>1</v>
      </c>
      <c r="O1074" s="17" t="n">
        <v>0</v>
      </c>
      <c r="P1074" s="17" t="n">
        <v>0</v>
      </c>
      <c r="Q1074" s="17" t="n">
        <v>3</v>
      </c>
      <c r="R1074" s="17" t="n">
        <v>0</v>
      </c>
      <c r="T1074" s="17">
        <f>DAY(C1074)</f>
        <v/>
      </c>
      <c r="U1074" s="17">
        <f>MONTH(C1074)</f>
        <v/>
      </c>
    </row>
    <row r="1075" hidden="1" ht="22.5" customHeight="1" s="117">
      <c r="A1075" s="14" t="n">
        <v>46022.3065509838</v>
      </c>
      <c r="B1075" s="17" t="inlineStr">
        <is>
          <t>Nguyễn Quang Anh Tuấn</t>
        </is>
      </c>
      <c r="C1075" s="16" t="n">
        <v>46021</v>
      </c>
      <c r="D1075" s="17" t="n">
        <v>0</v>
      </c>
      <c r="E1075" s="17" t="n">
        <v>0</v>
      </c>
      <c r="F1075" s="17" t="n">
        <v>0</v>
      </c>
      <c r="G1075" s="17" t="n">
        <v>0</v>
      </c>
      <c r="H1075" s="17" t="n">
        <v>0</v>
      </c>
      <c r="I1075" s="17" t="n">
        <v>0</v>
      </c>
      <c r="J1075" s="17" t="n">
        <v>0</v>
      </c>
      <c r="K1075" s="17" t="n">
        <v>2</v>
      </c>
      <c r="L1075" s="17" t="n">
        <v>0</v>
      </c>
      <c r="M1075" s="17" t="n">
        <v>0</v>
      </c>
      <c r="N1075" s="18" t="inlineStr">
        <is>
          <t>01</t>
        </is>
      </c>
      <c r="O1075" s="17" t="n">
        <v>0</v>
      </c>
      <c r="P1075" s="17" t="n">
        <v>0</v>
      </c>
      <c r="Q1075" s="17" t="n">
        <v>2</v>
      </c>
      <c r="R1075" s="17" t="n">
        <v>0</v>
      </c>
      <c r="T1075" s="17">
        <f>DAY(C1075)</f>
        <v/>
      </c>
      <c r="U1075" s="17">
        <f>MONTH(C1075)</f>
        <v/>
      </c>
    </row>
    <row r="1076" hidden="1" ht="22.5" customHeight="1" s="117">
      <c r="A1076" s="14" t="n">
        <v>46022.31802251157</v>
      </c>
      <c r="B1076" s="17" t="inlineStr">
        <is>
          <t>Đặng Hoài Anh</t>
        </is>
      </c>
      <c r="C1076" s="16" t="n">
        <v>46021</v>
      </c>
      <c r="D1076" s="17" t="n">
        <v>0</v>
      </c>
      <c r="E1076" s="17" t="n">
        <v>0</v>
      </c>
      <c r="F1076" s="17" t="n">
        <v>0</v>
      </c>
      <c r="G1076" s="17" t="n">
        <v>0</v>
      </c>
      <c r="H1076" s="17" t="n">
        <v>0</v>
      </c>
      <c r="I1076" s="17" t="n">
        <v>0</v>
      </c>
      <c r="J1076" s="17" t="n">
        <v>0</v>
      </c>
      <c r="K1076" s="17" t="n">
        <v>0</v>
      </c>
      <c r="L1076" s="17" t="n">
        <v>0</v>
      </c>
      <c r="M1076" s="17" t="n">
        <v>0</v>
      </c>
      <c r="N1076" s="17" t="n">
        <v>0</v>
      </c>
      <c r="O1076" s="17" t="n">
        <v>0</v>
      </c>
      <c r="P1076" s="17" t="n">
        <v>1</v>
      </c>
      <c r="Q1076" s="17" t="n">
        <v>0</v>
      </c>
      <c r="R1076" s="17" t="n">
        <v>0</v>
      </c>
      <c r="T1076" s="17">
        <f>DAY(C1076)</f>
        <v/>
      </c>
      <c r="U1076" s="17">
        <f>MONTH(C1076)</f>
        <v/>
      </c>
    </row>
    <row r="1077" hidden="1" ht="22.5" customHeight="1" s="117">
      <c r="A1077" s="14" t="n">
        <v>46022.32100557871</v>
      </c>
      <c r="B1077" s="17" t="inlineStr">
        <is>
          <t>Nguyễn Văn Nhật</t>
        </is>
      </c>
      <c r="C1077" s="16" t="n">
        <v>46021</v>
      </c>
      <c r="D1077" s="17" t="n">
        <v>0</v>
      </c>
      <c r="E1077" s="17" t="n">
        <v>0</v>
      </c>
      <c r="F1077" s="17" t="n">
        <v>0</v>
      </c>
      <c r="G1077" s="17" t="n">
        <v>0</v>
      </c>
      <c r="H1077" s="17" t="n">
        <v>0</v>
      </c>
      <c r="I1077" s="17" t="n">
        <v>0</v>
      </c>
      <c r="J1077" s="17" t="n">
        <v>8</v>
      </c>
      <c r="K1077" s="17" t="n">
        <v>18</v>
      </c>
      <c r="L1077" s="17" t="n">
        <v>0</v>
      </c>
      <c r="M1077" s="17" t="n">
        <v>0</v>
      </c>
      <c r="N1077" s="17" t="n">
        <v>0</v>
      </c>
      <c r="O1077" s="17" t="n">
        <v>0</v>
      </c>
      <c r="P1077" s="17" t="n">
        <v>1</v>
      </c>
      <c r="Q1077" s="17" t="n">
        <v>4</v>
      </c>
      <c r="R1077" s="17" t="n">
        <v>0</v>
      </c>
      <c r="T1077" s="17">
        <f>DAY(C1077)</f>
        <v/>
      </c>
      <c r="U1077" s="17">
        <f>MONTH(C1077)</f>
        <v/>
      </c>
    </row>
    <row r="1078" hidden="1" ht="22.5" customHeight="1" s="117">
      <c r="A1078" s="14" t="n">
        <v>46022.33450005787</v>
      </c>
      <c r="B1078" s="17" t="inlineStr">
        <is>
          <t>Trần Minh Khánh</t>
        </is>
      </c>
      <c r="C1078" s="16" t="n">
        <v>46021</v>
      </c>
      <c r="D1078" s="17" t="n">
        <v>0</v>
      </c>
      <c r="E1078" s="17" t="n">
        <v>0</v>
      </c>
      <c r="F1078" s="17" t="n">
        <v>1</v>
      </c>
      <c r="G1078" s="17" t="n">
        <v>0</v>
      </c>
      <c r="H1078" s="17" t="n">
        <v>0</v>
      </c>
      <c r="I1078" s="17" t="n">
        <v>1</v>
      </c>
      <c r="J1078" s="17" t="n">
        <v>0</v>
      </c>
      <c r="K1078" s="17" t="n">
        <v>14</v>
      </c>
      <c r="L1078" s="17" t="n">
        <v>0</v>
      </c>
      <c r="M1078" s="17" t="n">
        <v>0</v>
      </c>
      <c r="N1078" s="17" t="n">
        <v>0</v>
      </c>
      <c r="O1078" s="17" t="n">
        <v>0</v>
      </c>
      <c r="P1078" s="17" t="n">
        <v>0</v>
      </c>
      <c r="Q1078" s="17" t="n">
        <v>3</v>
      </c>
      <c r="R1078" s="17" t="n">
        <v>0</v>
      </c>
      <c r="T1078" s="17">
        <f>DAY(C1078)</f>
        <v/>
      </c>
      <c r="U1078" s="17">
        <f>MONTH(C1078)</f>
        <v/>
      </c>
    </row>
    <row r="1079" hidden="1" ht="22.5" customHeight="1" s="117">
      <c r="A1079" s="14" t="n">
        <v>46022.33918950232</v>
      </c>
      <c r="B1079" s="17" t="inlineStr">
        <is>
          <t>Bùi Duy Cường</t>
        </is>
      </c>
      <c r="C1079" s="16" t="n">
        <v>46021</v>
      </c>
      <c r="D1079" s="17" t="n">
        <v>0</v>
      </c>
      <c r="E1079" s="17" t="n">
        <v>0</v>
      </c>
      <c r="F1079" s="17" t="n">
        <v>0</v>
      </c>
      <c r="G1079" s="17" t="n">
        <v>0</v>
      </c>
      <c r="H1079" s="17" t="n">
        <v>0</v>
      </c>
      <c r="I1079" s="17" t="n">
        <v>1</v>
      </c>
      <c r="J1079" s="17" t="n">
        <v>0</v>
      </c>
      <c r="K1079" s="17" t="n">
        <v>2</v>
      </c>
      <c r="L1079" s="17" t="n">
        <v>0</v>
      </c>
      <c r="M1079" s="17" t="n">
        <v>0</v>
      </c>
      <c r="N1079" s="17" t="n">
        <v>1</v>
      </c>
      <c r="O1079" s="17" t="n">
        <v>1</v>
      </c>
      <c r="P1079" s="17" t="n">
        <v>0</v>
      </c>
      <c r="Q1079" s="17" t="n">
        <v>1</v>
      </c>
      <c r="R1079" s="17" t="n">
        <v>0</v>
      </c>
      <c r="T1079" s="17">
        <f>DAY(C1079)</f>
        <v/>
      </c>
      <c r="U1079" s="17">
        <f>MONTH(C1079)</f>
        <v/>
      </c>
    </row>
    <row r="1080" hidden="1" ht="22.5" customHeight="1" s="117">
      <c r="A1080" s="14" t="n">
        <v>46022.33989385416</v>
      </c>
      <c r="B1080" s="17" t="inlineStr">
        <is>
          <t>Nguyễn Hồng Minh</t>
        </is>
      </c>
      <c r="C1080" s="16" t="n">
        <v>46021</v>
      </c>
      <c r="D1080" s="17" t="n">
        <v>0</v>
      </c>
      <c r="E1080" s="17" t="n">
        <v>0</v>
      </c>
      <c r="F1080" s="17" t="n">
        <v>0</v>
      </c>
      <c r="G1080" s="17" t="n">
        <v>0</v>
      </c>
      <c r="H1080" s="17" t="n">
        <v>0</v>
      </c>
      <c r="I1080" s="17" t="n">
        <v>5</v>
      </c>
      <c r="J1080" s="17" t="n">
        <v>1</v>
      </c>
      <c r="K1080" s="17" t="n">
        <v>1</v>
      </c>
      <c r="L1080" s="17" t="n">
        <v>0</v>
      </c>
      <c r="M1080" s="17" t="n">
        <v>0</v>
      </c>
      <c r="N1080" s="17" t="n">
        <v>0</v>
      </c>
      <c r="O1080" s="17" t="n">
        <v>0</v>
      </c>
      <c r="P1080" s="17" t="n">
        <v>1</v>
      </c>
      <c r="Q1080" s="17" t="n">
        <v>6</v>
      </c>
      <c r="R1080" s="17" t="n">
        <v>0</v>
      </c>
      <c r="T1080" s="17">
        <f>DAY(C1080)</f>
        <v/>
      </c>
      <c r="U1080" s="17">
        <f>MONTH(C1080)</f>
        <v/>
      </c>
    </row>
    <row r="1081" hidden="1" ht="22.5" customHeight="1" s="117">
      <c r="A1081" s="14" t="n">
        <v>46022.93935793982</v>
      </c>
      <c r="B1081" s="17" t="inlineStr">
        <is>
          <t>Lê Văn Hồng</t>
        </is>
      </c>
      <c r="C1081" s="16" t="n">
        <v>46021</v>
      </c>
      <c r="D1081" s="17" t="n">
        <v>0</v>
      </c>
      <c r="E1081" s="17" t="n">
        <v>0</v>
      </c>
      <c r="F1081" s="17" t="n">
        <v>0</v>
      </c>
      <c r="G1081" s="17" t="n">
        <v>1</v>
      </c>
      <c r="H1081" s="17" t="n">
        <v>1</v>
      </c>
      <c r="I1081" s="17" t="n">
        <v>5</v>
      </c>
      <c r="J1081" s="17" t="n">
        <v>0</v>
      </c>
      <c r="K1081" s="17" t="n">
        <v>2</v>
      </c>
      <c r="L1081" s="17" t="n">
        <v>0</v>
      </c>
      <c r="M1081" s="17" t="n">
        <v>1</v>
      </c>
      <c r="N1081" s="17" t="n">
        <v>1</v>
      </c>
      <c r="O1081" s="17" t="n">
        <v>0</v>
      </c>
      <c r="P1081" s="17" t="n">
        <v>4</v>
      </c>
      <c r="Q1081" s="17" t="n">
        <v>3</v>
      </c>
      <c r="R1081" s="17" t="n">
        <v>0</v>
      </c>
      <c r="T1081" s="17">
        <f>DAY(C1081)</f>
        <v/>
      </c>
      <c r="U1081" s="17">
        <f>MONTH(C1081)</f>
        <v/>
      </c>
    </row>
    <row r="1082" hidden="1" ht="22.5" customHeight="1" s="117">
      <c r="A1082" s="14" t="n">
        <v>46023.28928256944</v>
      </c>
      <c r="B1082" s="17" t="inlineStr">
        <is>
          <t>Phan Ngọc Sang</t>
        </is>
      </c>
      <c r="C1082" s="16" t="n">
        <v>46022</v>
      </c>
      <c r="D1082" s="17" t="n">
        <v>0</v>
      </c>
      <c r="E1082" s="17" t="n">
        <v>0</v>
      </c>
      <c r="F1082" s="17" t="n">
        <v>0</v>
      </c>
      <c r="G1082" s="17" t="n">
        <v>0</v>
      </c>
      <c r="H1082" s="17" t="n">
        <v>0</v>
      </c>
      <c r="I1082" s="17" t="n">
        <v>1</v>
      </c>
      <c r="J1082" s="17" t="n">
        <v>1</v>
      </c>
      <c r="K1082" s="17" t="n">
        <v>3</v>
      </c>
      <c r="L1082" s="17" t="n">
        <v>0</v>
      </c>
      <c r="M1082" s="17" t="n">
        <v>1</v>
      </c>
      <c r="N1082" s="17" t="n">
        <v>1</v>
      </c>
      <c r="O1082" s="17" t="n">
        <v>0</v>
      </c>
      <c r="P1082" s="17" t="n">
        <v>1</v>
      </c>
      <c r="Q1082" s="17" t="n">
        <v>2</v>
      </c>
      <c r="R1082" s="17" t="n">
        <v>0</v>
      </c>
      <c r="T1082" s="17">
        <f>DAY(C1082)</f>
        <v/>
      </c>
      <c r="U1082" s="17">
        <f>MONTH(C1082)</f>
        <v/>
      </c>
    </row>
    <row r="1083" ht="22.5" customHeight="1" s="117">
      <c r="A1083" s="14" t="n">
        <v>46023.29960503472</v>
      </c>
      <c r="B1083" s="17" t="inlineStr">
        <is>
          <t>Lê Hồng Phong</t>
        </is>
      </c>
      <c r="C1083" s="16" t="n">
        <v>46023</v>
      </c>
      <c r="D1083" s="17" t="n">
        <v>1</v>
      </c>
      <c r="E1083" s="17" t="n">
        <v>1</v>
      </c>
      <c r="F1083" s="17" t="n">
        <v>1</v>
      </c>
      <c r="G1083" s="17" t="n">
        <v>0</v>
      </c>
      <c r="H1083" s="17" t="n">
        <v>0</v>
      </c>
      <c r="I1083" s="17" t="n">
        <v>1</v>
      </c>
      <c r="J1083" s="17" t="n">
        <v>1</v>
      </c>
      <c r="K1083" s="17" t="n">
        <v>1</v>
      </c>
      <c r="L1083" s="17" t="n">
        <v>1</v>
      </c>
      <c r="M1083" s="17" t="n">
        <v>1</v>
      </c>
      <c r="N1083" s="17" t="n">
        <v>0</v>
      </c>
      <c r="O1083" s="17" t="n">
        <v>0</v>
      </c>
      <c r="P1083" s="17" t="n">
        <v>1</v>
      </c>
      <c r="Q1083" s="17" t="n">
        <v>1</v>
      </c>
      <c r="R1083" s="17" t="n">
        <v>1</v>
      </c>
      <c r="T1083" s="17">
        <f>DAY(C1083)</f>
        <v/>
      </c>
      <c r="U1083" s="17">
        <f>MONTH(C1083)</f>
        <v/>
      </c>
    </row>
    <row r="1084" hidden="1" ht="22.5" customHeight="1" s="117">
      <c r="A1084" s="14" t="n">
        <v>46023.30117686342</v>
      </c>
      <c r="B1084" s="17" t="inlineStr">
        <is>
          <t>Nguyễn Tuấn Anh</t>
        </is>
      </c>
      <c r="C1084" s="16" t="n">
        <v>46022</v>
      </c>
      <c r="D1084" s="17" t="n">
        <v>2</v>
      </c>
      <c r="E1084" s="17" t="n">
        <v>0</v>
      </c>
      <c r="F1084" s="17" t="n">
        <v>0</v>
      </c>
      <c r="G1084" s="17" t="n">
        <v>0</v>
      </c>
      <c r="H1084" s="17" t="n">
        <v>0</v>
      </c>
      <c r="I1084" s="17" t="n">
        <v>0</v>
      </c>
      <c r="J1084" s="17" t="n">
        <v>0</v>
      </c>
      <c r="K1084" s="17" t="n">
        <v>2</v>
      </c>
      <c r="L1084" s="17" t="n">
        <v>0</v>
      </c>
      <c r="M1084" s="17" t="n">
        <v>0</v>
      </c>
      <c r="N1084" s="17" t="n">
        <v>0</v>
      </c>
      <c r="O1084" s="17" t="n">
        <v>0</v>
      </c>
      <c r="P1084" s="17" t="n">
        <v>0</v>
      </c>
      <c r="Q1084" s="17" t="n">
        <v>6</v>
      </c>
      <c r="R1084" s="17" t="n">
        <v>0</v>
      </c>
      <c r="T1084" s="17">
        <f>DAY(C1084)</f>
        <v/>
      </c>
      <c r="U1084" s="17">
        <f>MONTH(C1084)</f>
        <v/>
      </c>
    </row>
    <row r="1085" hidden="1" ht="22.5" customHeight="1" s="117">
      <c r="A1085" s="14" t="n">
        <v>46023.30559879629</v>
      </c>
      <c r="B1085" s="17" t="inlineStr">
        <is>
          <t>Phan Thành Thái</t>
        </is>
      </c>
      <c r="C1085" s="16" t="n">
        <v>46022</v>
      </c>
      <c r="D1085" s="17" t="n">
        <v>0</v>
      </c>
      <c r="E1085" s="17" t="n">
        <v>0</v>
      </c>
      <c r="F1085" s="17" t="n">
        <v>0</v>
      </c>
      <c r="G1085" s="17" t="n">
        <v>1</v>
      </c>
      <c r="H1085" s="17" t="n">
        <v>1</v>
      </c>
      <c r="I1085" s="17" t="n">
        <v>5</v>
      </c>
      <c r="J1085" s="17" t="n">
        <v>0</v>
      </c>
      <c r="K1085" s="17" t="n">
        <v>4</v>
      </c>
      <c r="L1085" s="17" t="n">
        <v>0</v>
      </c>
      <c r="M1085" s="17" t="n">
        <v>1</v>
      </c>
      <c r="N1085" s="17" t="n">
        <v>2</v>
      </c>
      <c r="O1085" s="17" t="n">
        <v>0</v>
      </c>
      <c r="P1085" s="17" t="n">
        <v>0</v>
      </c>
      <c r="Q1085" s="17" t="n">
        <v>4</v>
      </c>
      <c r="R1085" s="17" t="n">
        <v>0</v>
      </c>
      <c r="T1085" s="17">
        <f>DAY(C1085)</f>
        <v/>
      </c>
      <c r="U1085" s="17">
        <f>MONTH(C1085)</f>
        <v/>
      </c>
    </row>
    <row r="1086" hidden="1" ht="22.5" customHeight="1" s="117">
      <c r="A1086" s="14" t="n">
        <v>46023.30691076389</v>
      </c>
      <c r="B1086" s="17" t="inlineStr">
        <is>
          <t>Hồ Xuân Việt</t>
        </is>
      </c>
      <c r="C1086" s="16" t="n">
        <v>46022</v>
      </c>
      <c r="D1086" s="17" t="n">
        <v>0</v>
      </c>
      <c r="E1086" s="17" t="n">
        <v>4</v>
      </c>
      <c r="F1086" s="17" t="n">
        <v>0</v>
      </c>
      <c r="G1086" s="17" t="n">
        <v>0</v>
      </c>
      <c r="H1086" s="17" t="n">
        <v>0</v>
      </c>
      <c r="I1086" s="17" t="n">
        <v>0</v>
      </c>
      <c r="J1086" s="17" t="n">
        <v>0</v>
      </c>
      <c r="K1086" s="17" t="n">
        <v>2</v>
      </c>
      <c r="L1086" s="17" t="n">
        <v>0</v>
      </c>
      <c r="M1086" s="17" t="n">
        <v>0</v>
      </c>
      <c r="N1086" s="17" t="n">
        <v>0</v>
      </c>
      <c r="O1086" s="17" t="n">
        <v>0</v>
      </c>
      <c r="P1086" s="17" t="n">
        <v>1</v>
      </c>
      <c r="Q1086" s="17" t="n">
        <v>2</v>
      </c>
      <c r="R1086" s="17" t="n">
        <v>0</v>
      </c>
      <c r="T1086" s="17">
        <f>DAY(C1086)</f>
        <v/>
      </c>
      <c r="U1086" s="17">
        <f>MONTH(C1086)</f>
        <v/>
      </c>
    </row>
    <row r="1087" hidden="1" ht="22.5" customHeight="1" s="117">
      <c r="A1087" s="14" t="n">
        <v>46023.3070071412</v>
      </c>
      <c r="B1087" s="17" t="inlineStr">
        <is>
          <t>Lê Quốc Duy</t>
        </is>
      </c>
      <c r="C1087" s="16" t="n">
        <v>46021</v>
      </c>
      <c r="D1087" s="17" t="n">
        <v>0</v>
      </c>
      <c r="E1087" s="17" t="n">
        <v>0</v>
      </c>
      <c r="F1087" s="17" t="n">
        <v>0</v>
      </c>
      <c r="G1087" s="17" t="n">
        <v>0</v>
      </c>
      <c r="H1087" s="17" t="n">
        <v>0</v>
      </c>
      <c r="I1087" s="17" t="n">
        <v>1</v>
      </c>
      <c r="J1087" s="17" t="n">
        <v>0</v>
      </c>
      <c r="K1087" s="17" t="n">
        <v>2</v>
      </c>
      <c r="L1087" s="17" t="n">
        <v>1</v>
      </c>
      <c r="M1087" s="17" t="n">
        <v>0</v>
      </c>
      <c r="N1087" s="17" t="n">
        <v>3</v>
      </c>
      <c r="O1087" s="17" t="n">
        <v>0</v>
      </c>
      <c r="P1087" s="17" t="n">
        <v>1</v>
      </c>
      <c r="Q1087" s="17" t="n">
        <v>1</v>
      </c>
      <c r="R1087" s="17" t="n">
        <v>0</v>
      </c>
      <c r="T1087" s="17">
        <f>DAY(C1087)</f>
        <v/>
      </c>
      <c r="U1087" s="17">
        <f>MONTH(C1087)</f>
        <v/>
      </c>
    </row>
    <row r="1088" hidden="1" ht="22.5" customHeight="1" s="117">
      <c r="A1088" s="14" t="n">
        <v>46023.30773572917</v>
      </c>
      <c r="B1088" s="17" t="inlineStr">
        <is>
          <t>Lê Quốc Duy</t>
        </is>
      </c>
      <c r="C1088" s="16" t="n">
        <v>46022</v>
      </c>
      <c r="D1088" s="17" t="n">
        <v>0</v>
      </c>
      <c r="E1088" s="17" t="n">
        <v>0</v>
      </c>
      <c r="F1088" s="17" t="n">
        <v>0</v>
      </c>
      <c r="G1088" s="17" t="n">
        <v>1</v>
      </c>
      <c r="H1088" s="17" t="n">
        <v>1</v>
      </c>
      <c r="I1088" s="17" t="n">
        <v>20</v>
      </c>
      <c r="J1088" s="17" t="n">
        <v>0</v>
      </c>
      <c r="K1088" s="17" t="n">
        <v>0</v>
      </c>
      <c r="L1088" s="17" t="n">
        <v>2</v>
      </c>
      <c r="M1088" s="17" t="n">
        <v>0</v>
      </c>
      <c r="N1088" s="17" t="n">
        <v>0</v>
      </c>
      <c r="O1088" s="17" t="n">
        <v>0</v>
      </c>
      <c r="P1088" s="17" t="n">
        <v>0</v>
      </c>
      <c r="Q1088" s="17" t="n">
        <v>2</v>
      </c>
      <c r="R1088" s="17" t="n">
        <v>0</v>
      </c>
      <c r="T1088" s="17">
        <f>DAY(C1088)</f>
        <v/>
      </c>
      <c r="U1088" s="17">
        <f>MONTH(C1088)</f>
        <v/>
      </c>
    </row>
    <row r="1089" hidden="1" ht="22.5" customHeight="1" s="117">
      <c r="A1089" s="14" t="n">
        <v>46023.30793539352</v>
      </c>
      <c r="B1089" s="17" t="inlineStr">
        <is>
          <t>Đào Công Trung</t>
        </is>
      </c>
      <c r="C1089" s="16" t="n">
        <v>46022</v>
      </c>
      <c r="D1089" s="17" t="n">
        <v>0</v>
      </c>
      <c r="E1089" s="17" t="n">
        <v>2</v>
      </c>
      <c r="F1089" s="17" t="n">
        <v>0</v>
      </c>
      <c r="G1089" s="17" t="n">
        <v>0</v>
      </c>
      <c r="H1089" s="17" t="n">
        <v>0</v>
      </c>
      <c r="I1089" s="17" t="n">
        <v>20</v>
      </c>
      <c r="J1089" s="17" t="n">
        <v>0</v>
      </c>
      <c r="K1089" s="17" t="n">
        <v>6</v>
      </c>
      <c r="L1089" s="17" t="n">
        <v>0</v>
      </c>
      <c r="M1089" s="17" t="n">
        <v>2</v>
      </c>
      <c r="N1089" s="17" t="n">
        <v>0</v>
      </c>
      <c r="O1089" s="17" t="n">
        <v>0</v>
      </c>
      <c r="P1089" s="17" t="n">
        <v>1</v>
      </c>
      <c r="Q1089" s="17" t="n">
        <v>2</v>
      </c>
      <c r="R1089" s="17" t="n">
        <v>0</v>
      </c>
      <c r="T1089" s="17">
        <f>DAY(C1089)</f>
        <v/>
      </c>
      <c r="U1089" s="17">
        <f>MONTH(C1089)</f>
        <v/>
      </c>
    </row>
    <row r="1090" hidden="1" ht="22.5" customHeight="1" s="117">
      <c r="A1090" s="14" t="n">
        <v>46023.30803489583</v>
      </c>
      <c r="B1090" s="17" t="inlineStr">
        <is>
          <t>Trần Trung Giang</t>
        </is>
      </c>
      <c r="C1090" s="16" t="n">
        <v>46022</v>
      </c>
      <c r="D1090" s="17" t="n">
        <v>0</v>
      </c>
      <c r="E1090" s="17" t="n">
        <v>0</v>
      </c>
      <c r="F1090" s="17" t="n">
        <v>0</v>
      </c>
      <c r="G1090" s="17" t="n">
        <v>1</v>
      </c>
      <c r="H1090" s="17" t="n">
        <v>0</v>
      </c>
      <c r="I1090" s="17" t="n">
        <v>5</v>
      </c>
      <c r="J1090" s="17" t="n">
        <v>0</v>
      </c>
      <c r="K1090" s="17" t="n">
        <v>3</v>
      </c>
      <c r="L1090" s="17" t="n">
        <v>0</v>
      </c>
      <c r="M1090" s="17" t="n">
        <v>0</v>
      </c>
      <c r="N1090" s="17" t="n">
        <v>0</v>
      </c>
      <c r="O1090" s="17" t="n">
        <v>0</v>
      </c>
      <c r="P1090" s="17" t="n">
        <v>0</v>
      </c>
      <c r="Q1090" s="17" t="n">
        <v>0</v>
      </c>
      <c r="R1090" s="17" t="n">
        <v>0</v>
      </c>
      <c r="T1090" s="17">
        <f>DAY(C1090)</f>
        <v/>
      </c>
      <c r="U1090" s="17">
        <f>MONTH(C1090)</f>
        <v/>
      </c>
    </row>
    <row r="1091" hidden="1" ht="22.5" customHeight="1" s="117">
      <c r="A1091" s="14" t="n">
        <v>46023.31228678241</v>
      </c>
      <c r="B1091" s="17" t="inlineStr">
        <is>
          <t>Dương Minh Tiến</t>
        </is>
      </c>
      <c r="C1091" s="16" t="n">
        <v>46022</v>
      </c>
      <c r="D1091" s="17" t="n">
        <v>0</v>
      </c>
      <c r="E1091" s="17" t="n">
        <v>0</v>
      </c>
      <c r="F1091" s="17" t="n">
        <v>1</v>
      </c>
      <c r="G1091" s="17" t="n">
        <v>0</v>
      </c>
      <c r="H1091" s="17" t="n">
        <v>0</v>
      </c>
      <c r="I1091" s="17" t="n">
        <v>20</v>
      </c>
      <c r="J1091" s="17" t="n">
        <v>0</v>
      </c>
      <c r="K1091" s="17" t="n">
        <v>2</v>
      </c>
      <c r="L1091" s="17" t="n">
        <v>0</v>
      </c>
      <c r="M1091" s="17" t="n">
        <v>1</v>
      </c>
      <c r="N1091" s="17" t="n">
        <v>0</v>
      </c>
      <c r="O1091" s="17" t="n">
        <v>0</v>
      </c>
      <c r="P1091" s="17" t="n">
        <v>0</v>
      </c>
      <c r="Q1091" s="17" t="n">
        <v>0</v>
      </c>
      <c r="R1091" s="17" t="n">
        <v>0</v>
      </c>
      <c r="T1091" s="17">
        <f>DAY(C1091)</f>
        <v/>
      </c>
      <c r="U1091" s="17">
        <f>MONTH(C1091)</f>
        <v/>
      </c>
    </row>
    <row r="1092" hidden="1" ht="22.5" customHeight="1" s="117">
      <c r="A1092" s="14" t="n">
        <v>46023.31347033565</v>
      </c>
      <c r="B1092" s="17" t="inlineStr">
        <is>
          <t>Trần Minh Khánh</t>
        </is>
      </c>
      <c r="C1092" s="16" t="n">
        <v>46022</v>
      </c>
      <c r="D1092" s="17" t="n">
        <v>0</v>
      </c>
      <c r="E1092" s="17" t="n">
        <v>0</v>
      </c>
      <c r="F1092" s="17" t="n">
        <v>0</v>
      </c>
      <c r="G1092" s="17" t="n">
        <v>2</v>
      </c>
      <c r="H1092" s="17" t="n">
        <v>6</v>
      </c>
      <c r="I1092" s="17" t="n">
        <v>22</v>
      </c>
      <c r="J1092" s="17" t="n">
        <v>0</v>
      </c>
      <c r="K1092" s="17" t="n">
        <v>3</v>
      </c>
      <c r="L1092" s="17" t="n">
        <v>2</v>
      </c>
      <c r="M1092" s="17" t="n">
        <v>0</v>
      </c>
      <c r="N1092" s="17" t="n">
        <v>2</v>
      </c>
      <c r="O1092" s="17" t="n">
        <v>0</v>
      </c>
      <c r="P1092" s="17" t="n">
        <v>0</v>
      </c>
      <c r="Q1092" s="17" t="n">
        <v>4</v>
      </c>
      <c r="R1092" s="17" t="n">
        <v>0</v>
      </c>
      <c r="T1092" s="17">
        <f>DAY(C1092)</f>
        <v/>
      </c>
      <c r="U1092" s="17">
        <f>MONTH(C1092)</f>
        <v/>
      </c>
    </row>
    <row r="1093" hidden="1" ht="22.5" customHeight="1" s="117">
      <c r="A1093" s="14" t="n">
        <v>46023.31677262732</v>
      </c>
      <c r="B1093" s="17" t="inlineStr">
        <is>
          <t>Đặng Hoài Anh</t>
        </is>
      </c>
      <c r="C1093" s="16" t="n">
        <v>46022</v>
      </c>
      <c r="D1093" s="17" t="n">
        <v>2</v>
      </c>
      <c r="E1093" s="17" t="n">
        <v>1</v>
      </c>
      <c r="F1093" s="17" t="n">
        <v>0</v>
      </c>
      <c r="G1093" s="17" t="n">
        <v>0</v>
      </c>
      <c r="H1093" s="17" t="n">
        <v>0</v>
      </c>
      <c r="I1093" s="17" t="n">
        <v>0</v>
      </c>
      <c r="J1093" s="17" t="n">
        <v>0</v>
      </c>
      <c r="K1093" s="17" t="n">
        <v>0</v>
      </c>
      <c r="L1093" s="17" t="n">
        <v>0</v>
      </c>
      <c r="M1093" s="17" t="n">
        <v>3</v>
      </c>
      <c r="N1093" s="17" t="n">
        <v>0</v>
      </c>
      <c r="O1093" s="17" t="n">
        <v>0</v>
      </c>
      <c r="P1093" s="17" t="n">
        <v>1</v>
      </c>
      <c r="Q1093" s="17" t="n">
        <v>0</v>
      </c>
      <c r="R1093" s="17" t="n">
        <v>0</v>
      </c>
      <c r="T1093" s="17">
        <f>DAY(C1093)</f>
        <v/>
      </c>
      <c r="U1093" s="17">
        <f>MONTH(C1093)</f>
        <v/>
      </c>
    </row>
    <row r="1094" hidden="1" ht="22.5" customHeight="1" s="117">
      <c r="A1094" s="14" t="n">
        <v>46023.32163148148</v>
      </c>
      <c r="B1094" s="17" t="inlineStr">
        <is>
          <t>Nguyễn Quang Anh Tuấn</t>
        </is>
      </c>
      <c r="C1094" s="16" t="n">
        <v>46022</v>
      </c>
      <c r="D1094" s="17" t="n">
        <v>0</v>
      </c>
      <c r="E1094" s="17" t="n">
        <v>0</v>
      </c>
      <c r="F1094" s="17" t="n">
        <v>0</v>
      </c>
      <c r="G1094" s="17" t="n">
        <v>3</v>
      </c>
      <c r="H1094" s="17" t="n">
        <v>2</v>
      </c>
      <c r="I1094" s="17" t="n">
        <v>0</v>
      </c>
      <c r="J1094" s="17" t="n">
        <v>0</v>
      </c>
      <c r="K1094" s="17" t="n">
        <v>0</v>
      </c>
      <c r="L1094" s="17" t="n">
        <v>0</v>
      </c>
      <c r="M1094" s="17" t="n">
        <v>0</v>
      </c>
      <c r="N1094" s="17" t="n">
        <v>3</v>
      </c>
      <c r="O1094" s="17" t="n">
        <v>1</v>
      </c>
      <c r="P1094" s="17" t="n">
        <v>1</v>
      </c>
      <c r="Q1094" s="17" t="n">
        <v>2</v>
      </c>
      <c r="R1094" s="17" t="n">
        <v>1</v>
      </c>
      <c r="T1094" s="17">
        <f>DAY(C1094)</f>
        <v/>
      </c>
      <c r="U1094" s="17">
        <f>MONTH(C1094)</f>
        <v/>
      </c>
    </row>
    <row r="1095" hidden="1" ht="22.5" customHeight="1" s="117">
      <c r="A1095" s="14" t="n">
        <v>46023.32326547454</v>
      </c>
      <c r="B1095" s="17" t="inlineStr">
        <is>
          <t>Trần Xuân Khoa</t>
        </is>
      </c>
      <c r="C1095" s="16" t="n">
        <v>46022</v>
      </c>
      <c r="D1095" s="17" t="n">
        <v>0</v>
      </c>
      <c r="E1095" s="17" t="n">
        <v>4</v>
      </c>
      <c r="F1095" s="17" t="n">
        <v>0</v>
      </c>
      <c r="G1095" s="17" t="n">
        <v>0</v>
      </c>
      <c r="H1095" s="17" t="n">
        <v>0</v>
      </c>
      <c r="I1095" s="17" t="n">
        <v>0</v>
      </c>
      <c r="J1095" s="17" t="n">
        <v>0</v>
      </c>
      <c r="K1095" s="17" t="n">
        <v>15</v>
      </c>
      <c r="L1095" s="17" t="n">
        <v>0</v>
      </c>
      <c r="M1095" s="17" t="n">
        <v>0</v>
      </c>
      <c r="N1095" s="17" t="n">
        <v>0</v>
      </c>
      <c r="O1095" s="17" t="n">
        <v>0</v>
      </c>
      <c r="P1095" s="17" t="n">
        <v>1</v>
      </c>
      <c r="Q1095" s="17" t="n">
        <v>3</v>
      </c>
      <c r="R1095" s="17" t="n">
        <v>0</v>
      </c>
      <c r="T1095" s="17">
        <f>DAY(C1095)</f>
        <v/>
      </c>
      <c r="U1095" s="17">
        <f>MONTH(C1095)</f>
        <v/>
      </c>
    </row>
    <row r="1096" hidden="1" ht="22.5" customHeight="1" s="117">
      <c r="A1096" s="14" t="n">
        <v>46023.32575501157</v>
      </c>
      <c r="B1096" s="17" t="inlineStr">
        <is>
          <t>Vòng Nhật Sang</t>
        </is>
      </c>
      <c r="C1096" s="16" t="n">
        <v>46022</v>
      </c>
      <c r="D1096" s="17" t="n">
        <v>0</v>
      </c>
      <c r="E1096" s="17" t="n">
        <v>0</v>
      </c>
      <c r="F1096" s="17" t="n">
        <v>0</v>
      </c>
      <c r="G1096" s="17" t="n">
        <v>0</v>
      </c>
      <c r="H1096" s="17" t="n">
        <v>0</v>
      </c>
      <c r="I1096" s="17" t="n">
        <v>0</v>
      </c>
      <c r="J1096" s="17" t="n">
        <v>0</v>
      </c>
      <c r="K1096" s="17" t="n">
        <v>2</v>
      </c>
      <c r="L1096" s="17" t="n">
        <v>2</v>
      </c>
      <c r="M1096" s="17" t="n">
        <v>0</v>
      </c>
      <c r="N1096" s="17" t="n">
        <v>0</v>
      </c>
      <c r="O1096" s="17" t="n">
        <v>0</v>
      </c>
      <c r="P1096" s="17" t="n">
        <v>2</v>
      </c>
      <c r="Q1096" s="17" t="n">
        <v>2</v>
      </c>
      <c r="R1096" s="17" t="n">
        <v>0</v>
      </c>
      <c r="T1096" s="17">
        <f>DAY(C1096)</f>
        <v/>
      </c>
      <c r="U1096" s="17">
        <f>MONTH(C1096)</f>
        <v/>
      </c>
    </row>
    <row r="1097" hidden="1" ht="22.5" customHeight="1" s="117">
      <c r="A1097" s="14" t="n">
        <v>46023.329935</v>
      </c>
      <c r="B1097" s="17" t="inlineStr">
        <is>
          <t>Lương Duy Hoàng</t>
        </is>
      </c>
      <c r="C1097" s="16" t="n">
        <v>46022</v>
      </c>
      <c r="D1097" s="17" t="n">
        <v>0</v>
      </c>
      <c r="E1097" s="17" t="n">
        <v>0</v>
      </c>
      <c r="F1097" s="17" t="n">
        <v>0</v>
      </c>
      <c r="G1097" s="17" t="n">
        <v>0</v>
      </c>
      <c r="H1097" s="17" t="n">
        <v>0</v>
      </c>
      <c r="I1097" s="17" t="n">
        <v>0</v>
      </c>
      <c r="J1097" s="17" t="n">
        <v>0</v>
      </c>
      <c r="K1097" s="17" t="n">
        <v>3</v>
      </c>
      <c r="L1097" s="17" t="n">
        <v>0</v>
      </c>
      <c r="M1097" s="17" t="n">
        <v>0</v>
      </c>
      <c r="N1097" s="17" t="n">
        <v>0</v>
      </c>
      <c r="O1097" s="17" t="n">
        <v>0</v>
      </c>
      <c r="P1097" s="17" t="n">
        <v>0</v>
      </c>
      <c r="Q1097" s="17" t="n">
        <v>0</v>
      </c>
      <c r="R1097" s="17" t="n">
        <v>0</v>
      </c>
      <c r="T1097" s="17">
        <f>DAY(C1097)</f>
        <v/>
      </c>
      <c r="U1097" s="17">
        <f>MONTH(C1097)</f>
        <v/>
      </c>
    </row>
    <row r="1098" hidden="1" ht="22.5" customHeight="1" s="117">
      <c r="A1098" s="14" t="n">
        <v>46023.33449107639</v>
      </c>
      <c r="B1098" s="17" t="inlineStr">
        <is>
          <t>Hồ Thái Minh Trí</t>
        </is>
      </c>
      <c r="C1098" s="16" t="n">
        <v>46022</v>
      </c>
      <c r="D1098" s="17" t="n">
        <v>1</v>
      </c>
      <c r="E1098" s="17" t="n">
        <v>1</v>
      </c>
      <c r="F1098" s="17" t="n">
        <v>2</v>
      </c>
      <c r="G1098" s="17" t="n">
        <v>1</v>
      </c>
      <c r="H1098" s="17" t="n">
        <v>1</v>
      </c>
      <c r="I1098" s="17" t="n">
        <v>10</v>
      </c>
      <c r="J1098" s="17" t="n">
        <v>0</v>
      </c>
      <c r="K1098" s="17" t="n">
        <v>4</v>
      </c>
      <c r="L1098" s="17" t="n">
        <v>2</v>
      </c>
      <c r="M1098" s="17" t="n">
        <v>1</v>
      </c>
      <c r="N1098" s="17" t="n">
        <v>3</v>
      </c>
      <c r="O1098" s="17" t="n">
        <v>0</v>
      </c>
      <c r="P1098" s="17" t="n">
        <v>0</v>
      </c>
      <c r="Q1098" s="17" t="n">
        <v>1</v>
      </c>
      <c r="R1098" s="17" t="n">
        <v>0</v>
      </c>
      <c r="T1098" s="17">
        <f>DAY(C1098)</f>
        <v/>
      </c>
      <c r="U1098" s="17">
        <f>MONTH(C1098)</f>
        <v/>
      </c>
    </row>
    <row r="1099" hidden="1" ht="22.5" customHeight="1" s="117">
      <c r="A1099" s="14" t="n">
        <v>46023.33656082176</v>
      </c>
      <c r="B1099" s="17" t="inlineStr">
        <is>
          <t>Nguyễn Hồng Minh</t>
        </is>
      </c>
      <c r="C1099" s="16" t="n">
        <v>46022</v>
      </c>
      <c r="D1099" s="17" t="n">
        <v>0</v>
      </c>
      <c r="E1099" s="17" t="n">
        <v>0</v>
      </c>
      <c r="F1099" s="17" t="n">
        <v>0</v>
      </c>
      <c r="G1099" s="17" t="n">
        <v>2</v>
      </c>
      <c r="H1099" s="17" t="n">
        <v>2</v>
      </c>
      <c r="I1099" s="17" t="n">
        <v>1</v>
      </c>
      <c r="J1099" s="17" t="n">
        <v>0</v>
      </c>
      <c r="K1099" s="17" t="n">
        <v>7</v>
      </c>
      <c r="L1099" s="17" t="n">
        <v>0</v>
      </c>
      <c r="M1099" s="17" t="n">
        <v>0</v>
      </c>
      <c r="N1099" s="17" t="n">
        <v>5</v>
      </c>
      <c r="O1099" s="17" t="n">
        <v>4</v>
      </c>
      <c r="P1099" s="17" t="n">
        <v>0</v>
      </c>
      <c r="Q1099" s="17" t="n">
        <v>4</v>
      </c>
      <c r="R1099" s="17" t="n">
        <v>0</v>
      </c>
      <c r="T1099" s="17">
        <f>DAY(C1099)</f>
        <v/>
      </c>
      <c r="U1099" s="17">
        <f>MONTH(C1099)</f>
        <v/>
      </c>
    </row>
    <row r="1100" hidden="1" ht="22.5" customHeight="1" s="117">
      <c r="A1100" s="14" t="n">
        <v>46023.36377971065</v>
      </c>
      <c r="B1100" s="17" t="inlineStr">
        <is>
          <t>Nguyễn Văn Hiệp</t>
        </is>
      </c>
      <c r="C1100" s="16" t="n">
        <v>46022</v>
      </c>
      <c r="D1100" s="17" t="n">
        <v>0</v>
      </c>
      <c r="E1100" s="17" t="n">
        <v>0</v>
      </c>
      <c r="F1100" s="17" t="n">
        <v>0</v>
      </c>
      <c r="G1100" s="17" t="n">
        <v>0</v>
      </c>
      <c r="H1100" s="17" t="n">
        <v>0</v>
      </c>
      <c r="I1100" s="17" t="n">
        <v>21</v>
      </c>
      <c r="J1100" s="17" t="n">
        <v>2</v>
      </c>
      <c r="K1100" s="17" t="n">
        <v>0</v>
      </c>
      <c r="L1100" s="17" t="n">
        <v>0</v>
      </c>
      <c r="M1100" s="17" t="n">
        <v>0</v>
      </c>
      <c r="N1100" s="17" t="n">
        <v>0</v>
      </c>
      <c r="O1100" s="17" t="n">
        <v>0</v>
      </c>
      <c r="P1100" s="17" t="n">
        <v>0</v>
      </c>
      <c r="Q1100" s="17" t="n">
        <v>0</v>
      </c>
      <c r="R1100" s="17" t="n">
        <v>0</v>
      </c>
      <c r="T1100" s="17">
        <f>DAY(C1100)</f>
        <v/>
      </c>
      <c r="U1100" s="17">
        <f>MONTH(C1100)</f>
        <v/>
      </c>
    </row>
    <row r="1101" ht="22.5" customHeight="1" s="117">
      <c r="A1101" s="14" t="n">
        <v>46023.38047359954</v>
      </c>
      <c r="B1101" s="17" t="inlineStr">
        <is>
          <t>Đặng Hữu Danh</t>
        </is>
      </c>
      <c r="C1101" s="16" t="n">
        <v>46053</v>
      </c>
      <c r="D1101" s="17" t="n">
        <v>1</v>
      </c>
      <c r="E1101" s="17" t="n">
        <v>2</v>
      </c>
      <c r="F1101" s="17" t="n">
        <v>0</v>
      </c>
      <c r="G1101" s="17" t="n">
        <v>0</v>
      </c>
      <c r="H1101" s="17" t="n">
        <v>0</v>
      </c>
      <c r="I1101" s="17" t="n">
        <v>1</v>
      </c>
      <c r="J1101" s="17" t="n">
        <v>0</v>
      </c>
      <c r="K1101" s="17" t="n">
        <v>3</v>
      </c>
      <c r="L1101" s="17" t="n">
        <v>0</v>
      </c>
      <c r="M1101" s="17" t="n">
        <v>1</v>
      </c>
      <c r="N1101" s="17" t="n">
        <v>1</v>
      </c>
      <c r="O1101" s="17" t="n">
        <v>0</v>
      </c>
      <c r="P1101" s="17" t="n">
        <v>1</v>
      </c>
      <c r="Q1101" s="17" t="n">
        <v>2</v>
      </c>
      <c r="R1101" s="17" t="n">
        <v>4</v>
      </c>
      <c r="T1101" s="17">
        <f>DAY(C1101)</f>
        <v/>
      </c>
      <c r="U1101" s="17">
        <f>MONTH(C1101)</f>
        <v/>
      </c>
    </row>
    <row r="1102" hidden="1" ht="22.5" customHeight="1" s="117">
      <c r="A1102" s="14" t="n">
        <v>46023.92938733796</v>
      </c>
      <c r="B1102" s="17" t="inlineStr">
        <is>
          <t>Bùi Duy Cường</t>
        </is>
      </c>
      <c r="C1102" s="16" t="n">
        <v>46022</v>
      </c>
      <c r="D1102" s="17" t="n">
        <v>0</v>
      </c>
      <c r="E1102" s="17" t="n">
        <v>4</v>
      </c>
      <c r="F1102" s="17" t="n">
        <v>0</v>
      </c>
      <c r="G1102" s="17" t="n">
        <v>0</v>
      </c>
      <c r="H1102" s="17" t="n">
        <v>0</v>
      </c>
      <c r="I1102" s="17" t="n">
        <v>0</v>
      </c>
      <c r="J1102" s="17" t="n">
        <v>0</v>
      </c>
      <c r="K1102" s="17" t="n">
        <v>4</v>
      </c>
      <c r="L1102" s="17" t="n">
        <v>0</v>
      </c>
      <c r="M1102" s="17" t="n">
        <v>0</v>
      </c>
      <c r="N1102" s="17" t="n">
        <v>0</v>
      </c>
      <c r="O1102" s="18" t="inlineStr">
        <is>
          <t>00</t>
        </is>
      </c>
      <c r="P1102" s="17" t="n">
        <v>0</v>
      </c>
      <c r="Q1102" s="17" t="n">
        <v>2</v>
      </c>
      <c r="R1102" s="17" t="n">
        <v>0</v>
      </c>
      <c r="T1102" s="17">
        <f>DAY(C1102)</f>
        <v/>
      </c>
      <c r="U1102" s="17">
        <f>MONTH(C1102)</f>
        <v/>
      </c>
    </row>
    <row r="1103" ht="22.5" customHeight="1" s="117">
      <c r="A1103" s="14" t="n">
        <v>46024.29028658564</v>
      </c>
      <c r="B1103" s="17" t="inlineStr">
        <is>
          <t>Lê Hồng Phong</t>
        </is>
      </c>
      <c r="C1103" s="16" t="n">
        <v>46024</v>
      </c>
      <c r="D1103" s="17" t="n">
        <v>1</v>
      </c>
      <c r="E1103" s="17" t="n">
        <v>1</v>
      </c>
      <c r="F1103" s="17" t="n">
        <v>1</v>
      </c>
      <c r="G1103" s="17" t="n">
        <v>0</v>
      </c>
      <c r="H1103" s="17" t="n">
        <v>0</v>
      </c>
      <c r="I1103" s="17" t="n">
        <v>1</v>
      </c>
      <c r="J1103" s="17" t="n">
        <v>1</v>
      </c>
      <c r="K1103" s="17" t="n">
        <v>1</v>
      </c>
      <c r="L1103" s="17" t="n">
        <v>1</v>
      </c>
      <c r="M1103" s="17" t="n">
        <v>1</v>
      </c>
      <c r="N1103" s="17" t="n">
        <v>1</v>
      </c>
      <c r="O1103" s="17" t="n">
        <v>0</v>
      </c>
      <c r="P1103" s="17" t="n">
        <v>1</v>
      </c>
      <c r="Q1103" s="17" t="n">
        <v>1</v>
      </c>
      <c r="R1103" s="17" t="n">
        <v>1</v>
      </c>
      <c r="T1103" s="17">
        <f>DAY(C1103)</f>
        <v/>
      </c>
      <c r="U1103" s="17">
        <f>MONTH(C1103)</f>
        <v/>
      </c>
    </row>
    <row r="1104" ht="22.5" customHeight="1" s="117">
      <c r="A1104" s="14" t="n">
        <v>46024.29880616898</v>
      </c>
      <c r="B1104" s="17" t="inlineStr">
        <is>
          <t>Trần Trung Giang</t>
        </is>
      </c>
      <c r="C1104" s="16" t="n">
        <v>46023</v>
      </c>
      <c r="D1104" s="17" t="n">
        <v>0</v>
      </c>
      <c r="E1104" s="17" t="n">
        <v>0</v>
      </c>
      <c r="F1104" s="17" t="n">
        <v>1</v>
      </c>
      <c r="G1104" s="17" t="n">
        <v>0</v>
      </c>
      <c r="H1104" s="17" t="n">
        <v>0</v>
      </c>
      <c r="I1104" s="17" t="n">
        <v>0</v>
      </c>
      <c r="J1104" s="17" t="n">
        <v>0</v>
      </c>
      <c r="K1104" s="17" t="n">
        <v>1</v>
      </c>
      <c r="L1104" s="17" t="n">
        <v>0</v>
      </c>
      <c r="M1104" s="17" t="n">
        <v>0</v>
      </c>
      <c r="N1104" s="17" t="n">
        <v>0</v>
      </c>
      <c r="O1104" s="17" t="n">
        <v>0</v>
      </c>
      <c r="P1104" s="17" t="n">
        <v>1</v>
      </c>
      <c r="Q1104" s="17" t="n">
        <v>0</v>
      </c>
      <c r="R1104" s="17" t="n">
        <v>0</v>
      </c>
      <c r="T1104" s="17">
        <f>DAY(C1104)</f>
        <v/>
      </c>
      <c r="U1104" s="17">
        <f>MONTH(C1104)</f>
        <v/>
      </c>
    </row>
    <row r="1105" ht="22.5" customHeight="1" s="117">
      <c r="A1105" s="14" t="n">
        <v>46024.29936265046</v>
      </c>
      <c r="B1105" s="17" t="inlineStr">
        <is>
          <t>Nguyễn Tuấn Anh</t>
        </is>
      </c>
      <c r="C1105" s="16" t="n">
        <v>46023</v>
      </c>
      <c r="D1105" s="17" t="n">
        <v>3</v>
      </c>
      <c r="E1105" s="17" t="n">
        <v>0</v>
      </c>
      <c r="F1105" s="17" t="n">
        <v>0</v>
      </c>
      <c r="G1105" s="17" t="n">
        <v>0</v>
      </c>
      <c r="H1105" s="17" t="n">
        <v>0</v>
      </c>
      <c r="I1105" s="17" t="n">
        <v>0</v>
      </c>
      <c r="J1105" s="17" t="n">
        <v>0</v>
      </c>
      <c r="K1105" s="17" t="n">
        <v>5</v>
      </c>
      <c r="L1105" s="17" t="n">
        <v>0</v>
      </c>
      <c r="M1105" s="17" t="n">
        <v>0</v>
      </c>
      <c r="N1105" s="17" t="n">
        <v>0</v>
      </c>
      <c r="O1105" s="17" t="n">
        <v>0</v>
      </c>
      <c r="P1105" s="17" t="n">
        <v>0</v>
      </c>
      <c r="Q1105" s="17" t="n">
        <v>2</v>
      </c>
      <c r="R1105" s="17" t="n">
        <v>0</v>
      </c>
      <c r="T1105" s="17">
        <f>DAY(C1105)</f>
        <v/>
      </c>
      <c r="U1105" s="17">
        <f>MONTH(C1105)</f>
        <v/>
      </c>
    </row>
    <row r="1106" ht="22.5" customHeight="1" s="117">
      <c r="A1106" s="14" t="n">
        <v>46024.30030657408</v>
      </c>
      <c r="B1106" s="17" t="inlineStr">
        <is>
          <t>Dương Minh Tiến</t>
        </is>
      </c>
      <c r="C1106" s="16" t="n">
        <v>46023</v>
      </c>
      <c r="D1106" s="17" t="n">
        <v>0</v>
      </c>
      <c r="E1106" s="17" t="n">
        <v>0</v>
      </c>
      <c r="F1106" s="17" t="n">
        <v>0</v>
      </c>
      <c r="G1106" s="17" t="n">
        <v>0</v>
      </c>
      <c r="H1106" s="17" t="n">
        <v>0</v>
      </c>
      <c r="I1106" s="17" t="n">
        <v>0</v>
      </c>
      <c r="J1106" s="17" t="n">
        <v>0</v>
      </c>
      <c r="K1106" s="17" t="n">
        <v>0</v>
      </c>
      <c r="L1106" s="17" t="n">
        <v>0</v>
      </c>
      <c r="M1106" s="17" t="n">
        <v>0</v>
      </c>
      <c r="N1106" s="17" t="n">
        <v>0</v>
      </c>
      <c r="O1106" s="17" t="n">
        <v>0</v>
      </c>
      <c r="P1106" s="17" t="n">
        <v>1</v>
      </c>
      <c r="Q1106" s="17" t="n">
        <v>1</v>
      </c>
      <c r="R1106" s="17" t="n">
        <v>0</v>
      </c>
      <c r="T1106" s="17">
        <f>DAY(C1106)</f>
        <v/>
      </c>
      <c r="U1106" s="17">
        <f>MONTH(C1106)</f>
        <v/>
      </c>
    </row>
    <row r="1107" ht="22.5" customHeight="1" s="117">
      <c r="A1107" s="14" t="n">
        <v>46024.30107495371</v>
      </c>
      <c r="B1107" s="17" t="inlineStr">
        <is>
          <t>Vòng Nhật Sang</t>
        </is>
      </c>
      <c r="C1107" s="16" t="n">
        <v>46023</v>
      </c>
      <c r="D1107" s="17" t="n">
        <v>0</v>
      </c>
      <c r="E1107" s="17" t="n">
        <v>0</v>
      </c>
      <c r="F1107" s="17" t="n">
        <v>0</v>
      </c>
      <c r="G1107" s="17" t="n">
        <v>0</v>
      </c>
      <c r="H1107" s="17" t="n">
        <v>0</v>
      </c>
      <c r="I1107" s="17" t="n">
        <v>40</v>
      </c>
      <c r="J1107" s="17" t="n">
        <v>0</v>
      </c>
      <c r="K1107" s="17" t="n">
        <v>0</v>
      </c>
      <c r="L1107" s="17" t="n">
        <v>0</v>
      </c>
      <c r="M1107" s="17" t="n">
        <v>0</v>
      </c>
      <c r="N1107" s="17" t="n">
        <v>40</v>
      </c>
      <c r="O1107" s="17" t="n">
        <v>0</v>
      </c>
      <c r="P1107" s="17" t="n">
        <v>1</v>
      </c>
      <c r="Q1107" s="17" t="n">
        <v>2</v>
      </c>
      <c r="R1107" s="17" t="n">
        <v>0</v>
      </c>
      <c r="T1107" s="17">
        <f>DAY(C1107)</f>
        <v/>
      </c>
      <c r="U1107" s="17">
        <f>MONTH(C1107)</f>
        <v/>
      </c>
    </row>
    <row r="1108" ht="22.5" customHeight="1" s="117">
      <c r="A1108" s="14" t="n">
        <v>46024.30110016204</v>
      </c>
      <c r="B1108" s="17" t="inlineStr">
        <is>
          <t>Nguyễn Quang Anh Tuấn</t>
        </is>
      </c>
      <c r="C1108" s="16" t="n">
        <v>46023</v>
      </c>
      <c r="D1108" s="17" t="n">
        <v>1</v>
      </c>
      <c r="E1108" s="17" t="n">
        <v>1</v>
      </c>
      <c r="F1108" s="17" t="n">
        <v>0</v>
      </c>
      <c r="G1108" s="17" t="n">
        <v>0</v>
      </c>
      <c r="H1108" s="17" t="n">
        <v>0</v>
      </c>
      <c r="I1108" s="17" t="n">
        <v>1</v>
      </c>
      <c r="J1108" s="17" t="n">
        <v>0</v>
      </c>
      <c r="K1108" s="17" t="n">
        <v>2</v>
      </c>
      <c r="L1108" s="17" t="n">
        <v>0</v>
      </c>
      <c r="M1108" s="17" t="n">
        <v>0</v>
      </c>
      <c r="N1108" s="17" t="n">
        <v>0</v>
      </c>
      <c r="O1108" s="17" t="n">
        <v>0</v>
      </c>
      <c r="P1108" s="17" t="n">
        <v>1</v>
      </c>
      <c r="Q1108" s="17" t="n">
        <v>1</v>
      </c>
      <c r="R1108" s="17" t="n">
        <v>0</v>
      </c>
      <c r="T1108" s="17">
        <f>DAY(C1108)</f>
        <v/>
      </c>
      <c r="U1108" s="17">
        <f>MONTH(C1108)</f>
        <v/>
      </c>
    </row>
    <row r="1109" ht="22.5" customHeight="1" s="117">
      <c r="A1109" s="14" t="n">
        <v>46024.30204525463</v>
      </c>
      <c r="B1109" s="17" t="inlineStr">
        <is>
          <t>Lê Quốc Duy</t>
        </is>
      </c>
      <c r="C1109" s="16" t="n">
        <v>46023</v>
      </c>
      <c r="D1109" s="17" t="n">
        <v>0</v>
      </c>
      <c r="E1109" s="17" t="n">
        <v>0</v>
      </c>
      <c r="F1109" s="17" t="n">
        <v>0</v>
      </c>
      <c r="G1109" s="17" t="n">
        <v>0</v>
      </c>
      <c r="H1109" s="17" t="n">
        <v>0</v>
      </c>
      <c r="I1109" s="17" t="n">
        <v>0</v>
      </c>
      <c r="J1109" s="17" t="n">
        <v>0</v>
      </c>
      <c r="K1109" s="17" t="n">
        <v>0</v>
      </c>
      <c r="L1109" s="17" t="n">
        <v>0</v>
      </c>
      <c r="M1109" s="17" t="n">
        <v>0</v>
      </c>
      <c r="N1109" s="17" t="n">
        <v>0</v>
      </c>
      <c r="O1109" s="17" t="n">
        <v>0</v>
      </c>
      <c r="P1109" s="17" t="n">
        <v>0</v>
      </c>
      <c r="Q1109" s="18" t="inlineStr">
        <is>
          <t>01</t>
        </is>
      </c>
      <c r="R1109" s="17" t="n">
        <v>0</v>
      </c>
      <c r="T1109" s="17">
        <f>DAY(C1109)</f>
        <v/>
      </c>
      <c r="U1109" s="17">
        <f>MONTH(C1109)</f>
        <v/>
      </c>
    </row>
    <row r="1110" ht="22.5" customHeight="1" s="117">
      <c r="A1110" s="14" t="n">
        <v>46024.30206333334</v>
      </c>
      <c r="B1110" s="17" t="inlineStr">
        <is>
          <t>Phan Ngọc Sang</t>
        </is>
      </c>
      <c r="C1110" s="16" t="n">
        <v>46023</v>
      </c>
      <c r="D1110" s="17" t="n">
        <v>0</v>
      </c>
      <c r="E1110" s="17" t="n">
        <v>0</v>
      </c>
      <c r="F1110" s="17" t="n">
        <v>0</v>
      </c>
      <c r="G1110" s="17" t="n">
        <v>0</v>
      </c>
      <c r="H1110" s="17" t="n">
        <v>0</v>
      </c>
      <c r="I1110" s="17" t="n">
        <v>1</v>
      </c>
      <c r="J1110" s="17" t="n">
        <v>0</v>
      </c>
      <c r="K1110" s="17" t="n">
        <v>0</v>
      </c>
      <c r="L1110" s="17" t="n">
        <v>1</v>
      </c>
      <c r="M1110" s="17" t="n">
        <v>1</v>
      </c>
      <c r="N1110" s="17" t="n">
        <v>0</v>
      </c>
      <c r="O1110" s="17" t="n">
        <v>0</v>
      </c>
      <c r="P1110" s="17" t="n">
        <v>1</v>
      </c>
      <c r="Q1110" s="17" t="n">
        <v>2</v>
      </c>
      <c r="R1110" s="17" t="n">
        <v>0</v>
      </c>
      <c r="T1110" s="17">
        <f>DAY(C1110)</f>
        <v/>
      </c>
      <c r="U1110" s="17">
        <f>MONTH(C1110)</f>
        <v/>
      </c>
    </row>
    <row r="1111" ht="22.5" customHeight="1" s="117">
      <c r="A1111" s="14" t="n">
        <v>46024.30236927083</v>
      </c>
      <c r="B1111" s="17" t="inlineStr">
        <is>
          <t>Nguyễn Văn Hiệp</t>
        </is>
      </c>
      <c r="C1111" s="16" t="n">
        <v>46023</v>
      </c>
      <c r="D1111" s="17" t="n">
        <v>0</v>
      </c>
      <c r="E1111" s="17" t="n">
        <v>9</v>
      </c>
      <c r="F1111" s="17" t="n">
        <v>0</v>
      </c>
      <c r="G1111" s="17" t="n">
        <v>0</v>
      </c>
      <c r="H1111" s="17" t="n">
        <v>0</v>
      </c>
      <c r="I1111" s="17" t="n">
        <v>0</v>
      </c>
      <c r="J1111" s="17" t="n">
        <v>9</v>
      </c>
      <c r="K1111" s="17" t="n">
        <v>0</v>
      </c>
      <c r="L1111" s="17" t="n">
        <v>0</v>
      </c>
      <c r="M1111" s="17" t="n">
        <v>0</v>
      </c>
      <c r="N1111" s="17" t="n">
        <v>0</v>
      </c>
      <c r="O1111" s="17" t="n">
        <v>9</v>
      </c>
      <c r="P1111" s="17" t="n">
        <v>0</v>
      </c>
      <c r="Q1111" s="17" t="n">
        <v>2</v>
      </c>
      <c r="R1111" s="17" t="n">
        <v>0</v>
      </c>
      <c r="T1111" s="17">
        <f>DAY(C1111)</f>
        <v/>
      </c>
      <c r="U1111" s="17">
        <f>MONTH(C1111)</f>
        <v/>
      </c>
    </row>
    <row r="1112" ht="22.5" customHeight="1" s="117">
      <c r="A1112" s="14" t="n">
        <v>46024.30672905093</v>
      </c>
      <c r="B1112" s="17" t="inlineStr">
        <is>
          <t>Đào Công Trung</t>
        </is>
      </c>
      <c r="C1112" s="16" t="n">
        <v>46023</v>
      </c>
      <c r="D1112" s="17" t="n">
        <v>0</v>
      </c>
      <c r="E1112" s="17" t="n">
        <v>0</v>
      </c>
      <c r="F1112" s="17" t="n">
        <v>0</v>
      </c>
      <c r="G1112" s="17" t="n">
        <v>0</v>
      </c>
      <c r="H1112" s="17" t="n">
        <v>0</v>
      </c>
      <c r="I1112" s="17" t="n">
        <v>0</v>
      </c>
      <c r="J1112" s="17" t="n">
        <v>0</v>
      </c>
      <c r="K1112" s="17" t="n">
        <v>0</v>
      </c>
      <c r="L1112" s="17" t="n">
        <v>0</v>
      </c>
      <c r="M1112" s="17" t="n">
        <v>0</v>
      </c>
      <c r="N1112" s="17" t="n">
        <v>0</v>
      </c>
      <c r="O1112" s="17" t="n">
        <v>0</v>
      </c>
      <c r="P1112" s="17" t="n">
        <v>1</v>
      </c>
      <c r="Q1112" s="17" t="n">
        <v>2</v>
      </c>
      <c r="R1112" s="17" t="n">
        <v>0</v>
      </c>
      <c r="T1112" s="17">
        <f>DAY(C1112)</f>
        <v/>
      </c>
      <c r="U1112" s="17">
        <f>MONTH(C1112)</f>
        <v/>
      </c>
    </row>
    <row r="1113" hidden="1" ht="22.5" customHeight="1" s="117">
      <c r="A1113" s="14" t="n">
        <v>46024.30728408565</v>
      </c>
      <c r="B1113" s="17" t="inlineStr">
        <is>
          <t>Nguyễn Thành Lâm</t>
        </is>
      </c>
      <c r="C1113" s="16" t="n">
        <v>45658</v>
      </c>
      <c r="D1113" s="17" t="n">
        <v>0</v>
      </c>
      <c r="E1113" s="17" t="n">
        <v>0</v>
      </c>
      <c r="F1113" s="17" t="n">
        <v>0</v>
      </c>
      <c r="G1113" s="17" t="n">
        <v>0</v>
      </c>
      <c r="H1113" s="17" t="n">
        <v>0</v>
      </c>
      <c r="I1113" s="17" t="n">
        <v>0</v>
      </c>
      <c r="J1113" s="17" t="n">
        <v>0</v>
      </c>
      <c r="K1113" s="17" t="n">
        <v>0</v>
      </c>
      <c r="L1113" s="17" t="n">
        <v>0</v>
      </c>
      <c r="M1113" s="17" t="n">
        <v>0</v>
      </c>
      <c r="N1113" s="17" t="n">
        <v>0</v>
      </c>
      <c r="O1113" s="17" t="n">
        <v>0</v>
      </c>
      <c r="P1113" s="17" t="n">
        <v>0</v>
      </c>
      <c r="Q1113" s="17" t="n">
        <v>0</v>
      </c>
      <c r="R1113" s="17" t="n">
        <v>0</v>
      </c>
      <c r="T1113" s="17">
        <f>DAY(C1113)</f>
        <v/>
      </c>
      <c r="U1113" s="17">
        <f>MONTH(C1113)</f>
        <v/>
      </c>
    </row>
    <row r="1114" ht="22.5" customHeight="1" s="117">
      <c r="A1114" s="14" t="n">
        <v>46024.30877803241</v>
      </c>
      <c r="B1114" s="17" t="inlineStr">
        <is>
          <t>Hồ Xuân Việt</t>
        </is>
      </c>
      <c r="C1114" s="16" t="n">
        <v>46023</v>
      </c>
      <c r="D1114" s="17" t="n">
        <v>0</v>
      </c>
      <c r="E1114" s="17" t="n">
        <v>0</v>
      </c>
      <c r="F1114" s="17" t="n">
        <v>0</v>
      </c>
      <c r="G1114" s="17" t="n">
        <v>0</v>
      </c>
      <c r="H1114" s="17" t="n">
        <v>0</v>
      </c>
      <c r="I1114" s="17" t="n">
        <v>0</v>
      </c>
      <c r="J1114" s="17" t="n">
        <v>0</v>
      </c>
      <c r="K1114" s="17" t="n">
        <v>0</v>
      </c>
      <c r="L1114" s="17" t="n">
        <v>0</v>
      </c>
      <c r="M1114" s="17" t="n">
        <v>0</v>
      </c>
      <c r="N1114" s="17" t="n">
        <v>0</v>
      </c>
      <c r="O1114" s="17" t="n">
        <v>0</v>
      </c>
      <c r="P1114" s="17" t="n">
        <v>0</v>
      </c>
      <c r="Q1114" s="17" t="n">
        <v>0</v>
      </c>
      <c r="R1114" s="17" t="n">
        <v>0</v>
      </c>
      <c r="T1114" s="17">
        <f>DAY(C1114)</f>
        <v/>
      </c>
      <c r="U1114" s="17">
        <f>MONTH(C1114)</f>
        <v/>
      </c>
    </row>
    <row r="1115" ht="22.5" customHeight="1" s="117">
      <c r="A1115" s="14" t="n">
        <v>46024.31013550926</v>
      </c>
      <c r="B1115" s="17" t="inlineStr">
        <is>
          <t>Trần Xuân Khoa</t>
        </is>
      </c>
      <c r="C1115" s="16" t="n">
        <v>46023</v>
      </c>
      <c r="D1115" s="17" t="n">
        <v>1</v>
      </c>
      <c r="E1115" s="17" t="n">
        <v>1</v>
      </c>
      <c r="F1115" s="17" t="n">
        <v>0</v>
      </c>
      <c r="G1115" s="17" t="n">
        <v>0</v>
      </c>
      <c r="H1115" s="17" t="n">
        <v>0</v>
      </c>
      <c r="I1115" s="17" t="n">
        <v>0</v>
      </c>
      <c r="J1115" s="17" t="n">
        <v>0</v>
      </c>
      <c r="K1115" s="17" t="n">
        <v>0</v>
      </c>
      <c r="L1115" s="17" t="n">
        <v>0</v>
      </c>
      <c r="M1115" s="17" t="n">
        <v>0</v>
      </c>
      <c r="N1115" s="17" t="n">
        <v>0</v>
      </c>
      <c r="O1115" s="17" t="n">
        <v>0</v>
      </c>
      <c r="P1115" s="17" t="n">
        <v>0</v>
      </c>
      <c r="Q1115" s="17" t="n">
        <v>3</v>
      </c>
      <c r="R1115" s="17" t="n">
        <v>0</v>
      </c>
      <c r="T1115" s="17">
        <f>DAY(C1115)</f>
        <v/>
      </c>
      <c r="U1115" s="17">
        <f>MONTH(C1115)</f>
        <v/>
      </c>
    </row>
    <row r="1116" ht="22.5" customHeight="1" s="117">
      <c r="A1116" s="14" t="n">
        <v>46024.31381521991</v>
      </c>
      <c r="B1116" s="17" t="inlineStr">
        <is>
          <t>Lương Duy Hoàng</t>
        </is>
      </c>
      <c r="C1116" s="16" t="n">
        <v>46023</v>
      </c>
      <c r="D1116" s="17" t="n">
        <v>0</v>
      </c>
      <c r="E1116" s="17" t="n">
        <v>0</v>
      </c>
      <c r="F1116" s="17" t="n">
        <v>0</v>
      </c>
      <c r="G1116" s="17" t="n">
        <v>0</v>
      </c>
      <c r="H1116" s="17" t="n">
        <v>0</v>
      </c>
      <c r="I1116" s="17" t="n">
        <v>0</v>
      </c>
      <c r="J1116" s="17" t="n">
        <v>0</v>
      </c>
      <c r="K1116" s="17" t="n">
        <v>0</v>
      </c>
      <c r="L1116" s="17" t="n">
        <v>0</v>
      </c>
      <c r="M1116" s="17" t="n">
        <v>0</v>
      </c>
      <c r="N1116" s="17" t="n">
        <v>0</v>
      </c>
      <c r="O1116" s="17" t="n">
        <v>0</v>
      </c>
      <c r="P1116" s="17" t="n">
        <v>1</v>
      </c>
      <c r="Q1116" s="17" t="n">
        <v>0</v>
      </c>
      <c r="R1116" s="17" t="n">
        <v>0</v>
      </c>
      <c r="T1116" s="17">
        <f>DAY(C1116)</f>
        <v/>
      </c>
      <c r="U1116" s="17">
        <f>MONTH(C1116)</f>
        <v/>
      </c>
    </row>
    <row r="1117" ht="22.5" customHeight="1" s="117">
      <c r="A1117" s="14" t="n">
        <v>46024.31682548611</v>
      </c>
      <c r="B1117" s="17" t="inlineStr">
        <is>
          <t>Trần Minh Khánh</t>
        </is>
      </c>
      <c r="C1117" s="16" t="n">
        <v>46023</v>
      </c>
      <c r="D1117" s="17" t="n">
        <v>0</v>
      </c>
      <c r="E1117" s="17" t="n">
        <v>0</v>
      </c>
      <c r="F1117" s="17" t="n">
        <v>0</v>
      </c>
      <c r="G1117" s="17" t="n">
        <v>0</v>
      </c>
      <c r="H1117" s="17" t="n">
        <v>0</v>
      </c>
      <c r="I1117" s="17" t="n">
        <v>0</v>
      </c>
      <c r="J1117" s="17" t="n">
        <v>0</v>
      </c>
      <c r="K1117" s="17" t="n">
        <v>0</v>
      </c>
      <c r="L1117" s="17" t="n">
        <v>0</v>
      </c>
      <c r="M1117" s="17" t="n">
        <v>0</v>
      </c>
      <c r="N1117" s="17" t="n">
        <v>0</v>
      </c>
      <c r="O1117" s="17" t="n">
        <v>0</v>
      </c>
      <c r="P1117" s="17" t="n">
        <v>1</v>
      </c>
      <c r="Q1117" s="17" t="n">
        <v>3</v>
      </c>
      <c r="R1117" s="17" t="n">
        <v>0</v>
      </c>
      <c r="T1117" s="17">
        <f>DAY(C1117)</f>
        <v/>
      </c>
      <c r="U1117" s="17">
        <f>MONTH(C1117)</f>
        <v/>
      </c>
    </row>
    <row r="1118" ht="22.5" customHeight="1" s="117">
      <c r="A1118" s="14" t="n">
        <v>46024.32392519676</v>
      </c>
      <c r="B1118" s="17" t="inlineStr">
        <is>
          <t>Hồ Thái Minh Trí</t>
        </is>
      </c>
      <c r="C1118" s="16" t="n">
        <v>46023</v>
      </c>
      <c r="D1118" s="17" t="n">
        <v>0</v>
      </c>
      <c r="E1118" s="17" t="n">
        <v>0</v>
      </c>
      <c r="F1118" s="17" t="n">
        <v>0</v>
      </c>
      <c r="G1118" s="17" t="n">
        <v>0</v>
      </c>
      <c r="H1118" s="17" t="n">
        <v>0</v>
      </c>
      <c r="I1118" s="17" t="n">
        <v>0</v>
      </c>
      <c r="J1118" s="17" t="n">
        <v>0</v>
      </c>
      <c r="K1118" s="17" t="n">
        <v>2</v>
      </c>
      <c r="L1118" s="17" t="n">
        <v>0</v>
      </c>
      <c r="M1118" s="17" t="n">
        <v>0</v>
      </c>
      <c r="N1118" s="17" t="n">
        <v>0</v>
      </c>
      <c r="O1118" s="17" t="n">
        <v>0</v>
      </c>
      <c r="P1118" s="17" t="n">
        <v>0</v>
      </c>
      <c r="Q1118" s="17" t="n">
        <v>0</v>
      </c>
      <c r="R1118" s="17" t="n">
        <v>0</v>
      </c>
      <c r="T1118" s="17">
        <f>DAY(C1118)</f>
        <v/>
      </c>
      <c r="U1118" s="17">
        <f>MONTH(C1118)</f>
        <v/>
      </c>
    </row>
    <row r="1119" ht="22.5" customHeight="1" s="117">
      <c r="A1119" s="14" t="n">
        <v>46024.33396556713</v>
      </c>
      <c r="B1119" s="17" t="inlineStr">
        <is>
          <t>Lương Duy Hải</t>
        </is>
      </c>
      <c r="C1119" s="16" t="n">
        <v>46023</v>
      </c>
      <c r="D1119" s="17" t="n">
        <v>0</v>
      </c>
      <c r="E1119" s="17" t="n">
        <v>0</v>
      </c>
      <c r="F1119" s="17" t="n">
        <v>0</v>
      </c>
      <c r="G1119" s="17" t="n">
        <v>0</v>
      </c>
      <c r="H1119" s="17" t="n">
        <v>0</v>
      </c>
      <c r="I1119" s="17" t="n">
        <v>0</v>
      </c>
      <c r="J1119" s="17" t="n">
        <v>0</v>
      </c>
      <c r="K1119" s="17" t="n">
        <v>0</v>
      </c>
      <c r="L1119" s="17" t="n">
        <v>1</v>
      </c>
      <c r="M1119" s="17" t="n">
        <v>0</v>
      </c>
      <c r="N1119" s="17" t="n">
        <v>1</v>
      </c>
      <c r="O1119" s="17" t="n">
        <v>0</v>
      </c>
      <c r="P1119" s="17" t="n">
        <v>1</v>
      </c>
      <c r="Q1119" s="17" t="n">
        <v>2</v>
      </c>
      <c r="R1119" s="17" t="n">
        <v>1</v>
      </c>
      <c r="T1119" s="17">
        <f>DAY(C1119)</f>
        <v/>
      </c>
      <c r="U1119" s="17">
        <f>MONTH(C1119)</f>
        <v/>
      </c>
    </row>
    <row r="1120" ht="22.5" customHeight="1" s="117">
      <c r="A1120" s="14" t="n">
        <v>46024.33655008102</v>
      </c>
      <c r="B1120" s="17" t="inlineStr">
        <is>
          <t>Đặng Hữu Danh</t>
        </is>
      </c>
      <c r="C1120" s="16" t="n">
        <v>46023</v>
      </c>
      <c r="D1120" s="17" t="n">
        <v>0</v>
      </c>
      <c r="E1120" s="17" t="n">
        <v>0</v>
      </c>
      <c r="F1120" s="17" t="n">
        <v>0</v>
      </c>
      <c r="G1120" s="17" t="n">
        <v>0</v>
      </c>
      <c r="H1120" s="17" t="n">
        <v>0</v>
      </c>
      <c r="I1120" s="17" t="n">
        <v>0</v>
      </c>
      <c r="J1120" s="17" t="n">
        <v>0</v>
      </c>
      <c r="K1120" s="17" t="n">
        <v>1</v>
      </c>
      <c r="L1120" s="17" t="n">
        <v>0</v>
      </c>
      <c r="M1120" s="17" t="n">
        <v>0</v>
      </c>
      <c r="N1120" s="17" t="n">
        <v>0</v>
      </c>
      <c r="O1120" s="17" t="n">
        <v>0</v>
      </c>
      <c r="P1120" s="17" t="n">
        <v>1</v>
      </c>
      <c r="Q1120" s="17" t="n">
        <v>2</v>
      </c>
      <c r="R1120" s="17" t="n">
        <v>0</v>
      </c>
      <c r="T1120" s="17">
        <f>DAY(C1120)</f>
        <v/>
      </c>
      <c r="U1120" s="17">
        <f>MONTH(C1120)</f>
        <v/>
      </c>
    </row>
    <row r="1121" ht="22.5" customHeight="1" s="117">
      <c r="A1121" s="14" t="n">
        <v>46024.36252311343</v>
      </c>
      <c r="B1121" s="17" t="inlineStr">
        <is>
          <t>Nguyễn Hồng Minh</t>
        </is>
      </c>
      <c r="C1121" s="16" t="n">
        <v>46023</v>
      </c>
      <c r="D1121" s="17" t="n">
        <v>0</v>
      </c>
      <c r="E1121" s="17" t="n">
        <v>0</v>
      </c>
      <c r="F1121" s="17" t="n">
        <v>0</v>
      </c>
      <c r="G1121" s="17" t="n">
        <v>0</v>
      </c>
      <c r="H1121" s="17" t="n">
        <v>0</v>
      </c>
      <c r="I1121" s="17" t="n">
        <v>1</v>
      </c>
      <c r="J1121" s="17" t="n">
        <v>0</v>
      </c>
      <c r="K1121" s="17" t="n">
        <v>4</v>
      </c>
      <c r="L1121" s="17" t="n">
        <v>0</v>
      </c>
      <c r="M1121" s="17" t="n">
        <v>0</v>
      </c>
      <c r="N1121" s="17" t="n">
        <v>1</v>
      </c>
      <c r="O1121" s="17" t="n">
        <v>0</v>
      </c>
      <c r="P1121" s="17" t="n">
        <v>1</v>
      </c>
      <c r="Q1121" s="17" t="n">
        <v>3</v>
      </c>
      <c r="R1121" s="17" t="n">
        <v>0</v>
      </c>
      <c r="T1121" s="17">
        <f>DAY(C1121)</f>
        <v/>
      </c>
      <c r="U1121" s="17">
        <f>MONTH(C1121)</f>
        <v/>
      </c>
    </row>
    <row r="1122" ht="22.5" customHeight="1" s="117">
      <c r="A1122" s="14" t="n">
        <v>46024.36744189815</v>
      </c>
      <c r="B1122" s="17" t="inlineStr">
        <is>
          <t>Huỳnh Văn Lực</t>
        </is>
      </c>
      <c r="C1122" s="16" t="n">
        <v>46023</v>
      </c>
      <c r="D1122" s="17" t="n">
        <v>0</v>
      </c>
      <c r="E1122" s="17" t="n">
        <v>0</v>
      </c>
      <c r="F1122" s="17" t="n">
        <v>0</v>
      </c>
      <c r="G1122" s="17" t="n">
        <v>0</v>
      </c>
      <c r="H1122" s="17" t="n">
        <v>0</v>
      </c>
      <c r="I1122" s="17" t="n">
        <v>0</v>
      </c>
      <c r="J1122" s="17" t="n">
        <v>0</v>
      </c>
      <c r="K1122" s="17" t="n">
        <v>0</v>
      </c>
      <c r="L1122" s="17" t="n">
        <v>0</v>
      </c>
      <c r="M1122" s="17" t="n">
        <v>0</v>
      </c>
      <c r="N1122" s="17" t="n">
        <v>0</v>
      </c>
      <c r="O1122" s="17" t="n">
        <v>0</v>
      </c>
      <c r="P1122" s="17" t="n">
        <v>1</v>
      </c>
      <c r="Q1122" s="17" t="n">
        <v>1</v>
      </c>
      <c r="R1122" s="17" t="n">
        <v>0</v>
      </c>
      <c r="T1122" s="17">
        <f>DAY(C1122)</f>
        <v/>
      </c>
      <c r="U1122" s="17">
        <f>MONTH(C1122)</f>
        <v/>
      </c>
    </row>
    <row r="1123" ht="22.5" customHeight="1" s="117">
      <c r="A1123" s="14" t="n">
        <v>46024.44866767361</v>
      </c>
      <c r="B1123" s="17" t="inlineStr">
        <is>
          <t>Đặng Hoài Anh</t>
        </is>
      </c>
      <c r="C1123" s="16" t="n">
        <v>46023</v>
      </c>
      <c r="D1123" s="17" t="n">
        <v>1</v>
      </c>
      <c r="E1123" s="17" t="n">
        <v>0</v>
      </c>
      <c r="F1123" s="17" t="n">
        <v>0</v>
      </c>
      <c r="G1123" s="17" t="n">
        <v>0</v>
      </c>
      <c r="H1123" s="17" t="n">
        <v>0</v>
      </c>
      <c r="I1123" s="17" t="n">
        <v>0</v>
      </c>
      <c r="J1123" s="17" t="n">
        <v>0</v>
      </c>
      <c r="K1123" s="17" t="n">
        <v>2</v>
      </c>
      <c r="L1123" s="17" t="n">
        <v>0</v>
      </c>
      <c r="M1123" s="17" t="n">
        <v>1</v>
      </c>
      <c r="N1123" s="17" t="n">
        <v>0</v>
      </c>
      <c r="O1123" s="17" t="n">
        <v>0</v>
      </c>
      <c r="P1123" s="17" t="n">
        <v>0</v>
      </c>
      <c r="Q1123" s="17" t="n">
        <v>0</v>
      </c>
      <c r="R1123" s="17" t="n">
        <v>0</v>
      </c>
      <c r="T1123" s="17">
        <f>DAY(C1123)</f>
        <v/>
      </c>
      <c r="U1123" s="17">
        <f>MONTH(C1123)</f>
        <v/>
      </c>
    </row>
    <row r="1124" ht="22.5" customHeight="1" s="117">
      <c r="A1124" s="14" t="n">
        <v>46025.28925633102</v>
      </c>
      <c r="B1124" s="17" t="inlineStr">
        <is>
          <t>Nguyễn Văn Hiệp</t>
        </is>
      </c>
      <c r="C1124" s="16" t="n">
        <v>46024</v>
      </c>
      <c r="D1124" s="17" t="n">
        <v>0</v>
      </c>
      <c r="E1124" s="17" t="n">
        <v>0</v>
      </c>
      <c r="F1124" s="17" t="n">
        <v>0</v>
      </c>
      <c r="G1124" s="17" t="n">
        <v>0</v>
      </c>
      <c r="H1124" s="17" t="n">
        <v>0</v>
      </c>
      <c r="I1124" s="17" t="n">
        <v>0</v>
      </c>
      <c r="J1124" s="17" t="n">
        <v>0</v>
      </c>
      <c r="K1124" s="17" t="n">
        <v>0</v>
      </c>
      <c r="L1124" s="17" t="n">
        <v>0</v>
      </c>
      <c r="M1124" s="17" t="n">
        <v>0</v>
      </c>
      <c r="N1124" s="17" t="n">
        <v>0</v>
      </c>
      <c r="O1124" s="17" t="n">
        <v>0</v>
      </c>
      <c r="P1124" s="17" t="n">
        <v>0</v>
      </c>
      <c r="Q1124" s="17" t="n">
        <v>0</v>
      </c>
      <c r="R1124" s="17" t="n">
        <v>0</v>
      </c>
      <c r="T1124" s="17">
        <f>DAY(C1124)</f>
        <v/>
      </c>
      <c r="U1124" s="17">
        <f>MONTH(C1124)</f>
        <v/>
      </c>
    </row>
    <row r="1125" ht="22.5" customHeight="1" s="117">
      <c r="A1125" s="14" t="n">
        <v>46025.29560011574</v>
      </c>
      <c r="B1125" s="17" t="inlineStr">
        <is>
          <t>Dương Minh Tiến</t>
        </is>
      </c>
      <c r="C1125" s="16" t="n">
        <v>46024</v>
      </c>
      <c r="D1125" s="17" t="n">
        <v>0</v>
      </c>
      <c r="E1125" s="17" t="n">
        <v>0</v>
      </c>
      <c r="F1125" s="17" t="n">
        <v>0</v>
      </c>
      <c r="G1125" s="17" t="n">
        <v>0</v>
      </c>
      <c r="H1125" s="17" t="n">
        <v>0</v>
      </c>
      <c r="I1125" s="17" t="n">
        <v>0</v>
      </c>
      <c r="J1125" s="17" t="n">
        <v>0</v>
      </c>
      <c r="K1125" s="17" t="n">
        <v>0</v>
      </c>
      <c r="L1125" s="17" t="n">
        <v>2</v>
      </c>
      <c r="M1125" s="17" t="n">
        <v>0</v>
      </c>
      <c r="N1125" s="17" t="n">
        <v>0</v>
      </c>
      <c r="O1125" s="17" t="n">
        <v>0</v>
      </c>
      <c r="P1125" s="17" t="n">
        <v>0</v>
      </c>
      <c r="Q1125" s="17" t="n">
        <v>0</v>
      </c>
      <c r="R1125" s="17" t="n">
        <v>0</v>
      </c>
      <c r="T1125" s="17">
        <f>DAY(C1125)</f>
        <v/>
      </c>
      <c r="U1125" s="17">
        <f>MONTH(C1125)</f>
        <v/>
      </c>
    </row>
    <row r="1126" ht="22.5" customHeight="1" s="117">
      <c r="A1126" s="14" t="n">
        <v>46025.29592447916</v>
      </c>
      <c r="B1126" s="17" t="inlineStr">
        <is>
          <t>Hồ Xuân Việt</t>
        </is>
      </c>
      <c r="C1126" s="16" t="n">
        <v>46024</v>
      </c>
      <c r="D1126" s="17" t="n">
        <v>0</v>
      </c>
      <c r="E1126" s="17" t="n">
        <v>0</v>
      </c>
      <c r="F1126" s="17" t="n">
        <v>0</v>
      </c>
      <c r="G1126" s="17" t="n">
        <v>0</v>
      </c>
      <c r="H1126" s="17" t="n">
        <v>0</v>
      </c>
      <c r="I1126" s="17" t="n">
        <v>0</v>
      </c>
      <c r="J1126" s="17" t="n">
        <v>0</v>
      </c>
      <c r="K1126" s="17" t="n">
        <v>0</v>
      </c>
      <c r="L1126" s="17" t="n">
        <v>0</v>
      </c>
      <c r="M1126" s="17" t="n">
        <v>0</v>
      </c>
      <c r="N1126" s="17" t="n">
        <v>0</v>
      </c>
      <c r="O1126" s="17" t="n">
        <v>0</v>
      </c>
      <c r="P1126" s="17" t="n">
        <v>1</v>
      </c>
      <c r="Q1126" s="17" t="n">
        <v>1</v>
      </c>
      <c r="R1126" s="17" t="n">
        <v>0</v>
      </c>
      <c r="T1126" s="17">
        <f>DAY(C1126)</f>
        <v/>
      </c>
      <c r="U1126" s="17">
        <f>MONTH(C1126)</f>
        <v/>
      </c>
    </row>
    <row r="1127" ht="22.5" customHeight="1" s="117">
      <c r="A1127" s="14" t="n">
        <v>46025.29797372685</v>
      </c>
      <c r="B1127" s="17" t="inlineStr">
        <is>
          <t>Trần Trung Giang</t>
        </is>
      </c>
      <c r="C1127" s="16" t="n">
        <v>46024</v>
      </c>
      <c r="D1127" s="17" t="n">
        <v>0</v>
      </c>
      <c r="E1127" s="17" t="n">
        <v>0</v>
      </c>
      <c r="F1127" s="17" t="n">
        <v>0</v>
      </c>
      <c r="G1127" s="17" t="n">
        <v>0</v>
      </c>
      <c r="H1127" s="17" t="n">
        <v>0</v>
      </c>
      <c r="I1127" s="17" t="n">
        <v>0</v>
      </c>
      <c r="J1127" s="17" t="n">
        <v>0</v>
      </c>
      <c r="K1127" s="17" t="n">
        <v>0</v>
      </c>
      <c r="L1127" s="17" t="n">
        <v>0</v>
      </c>
      <c r="M1127" s="17" t="n">
        <v>0</v>
      </c>
      <c r="N1127" s="17" t="n">
        <v>1</v>
      </c>
      <c r="O1127" s="17" t="n">
        <v>0</v>
      </c>
      <c r="P1127" s="17" t="n">
        <v>0</v>
      </c>
      <c r="Q1127" s="17" t="n">
        <v>0</v>
      </c>
      <c r="R1127" s="17" t="n">
        <v>0</v>
      </c>
      <c r="T1127" s="17">
        <f>DAY(C1127)</f>
        <v/>
      </c>
      <c r="U1127" s="17">
        <f>MONTH(C1127)</f>
        <v/>
      </c>
    </row>
    <row r="1128" ht="22.5" customHeight="1" s="117">
      <c r="A1128" s="14" t="n">
        <v>46025.29820107639</v>
      </c>
      <c r="B1128" s="17" t="inlineStr">
        <is>
          <t>Trần Minh Khánh</t>
        </is>
      </c>
      <c r="C1128" s="16" t="n">
        <v>46024</v>
      </c>
      <c r="D1128" s="17" t="n">
        <v>0</v>
      </c>
      <c r="E1128" s="17" t="n">
        <v>0</v>
      </c>
      <c r="F1128" s="17" t="n">
        <v>0</v>
      </c>
      <c r="G1128" s="17" t="n">
        <v>0</v>
      </c>
      <c r="H1128" s="17" t="n">
        <v>0</v>
      </c>
      <c r="I1128" s="17" t="n">
        <v>1</v>
      </c>
      <c r="J1128" s="17" t="n">
        <v>0</v>
      </c>
      <c r="K1128" s="17" t="n">
        <v>0</v>
      </c>
      <c r="L1128" s="17" t="n">
        <v>1</v>
      </c>
      <c r="M1128" s="17" t="n">
        <v>0</v>
      </c>
      <c r="N1128" s="17" t="n">
        <v>0</v>
      </c>
      <c r="O1128" s="17" t="n">
        <v>0</v>
      </c>
      <c r="P1128" s="17" t="n">
        <v>0</v>
      </c>
      <c r="Q1128" s="17" t="n">
        <v>2</v>
      </c>
      <c r="R1128" s="17" t="n">
        <v>0</v>
      </c>
      <c r="T1128" s="17">
        <f>DAY(C1128)</f>
        <v/>
      </c>
      <c r="U1128" s="17">
        <f>MONTH(C1128)</f>
        <v/>
      </c>
    </row>
    <row r="1129" ht="22.5" customHeight="1" s="117">
      <c r="A1129" s="14" t="n">
        <v>46025.29826584491</v>
      </c>
      <c r="B1129" s="17" t="inlineStr">
        <is>
          <t>Phan Thành Thái</t>
        </is>
      </c>
      <c r="C1129" s="16" t="n">
        <v>46024</v>
      </c>
      <c r="D1129" s="17" t="n">
        <v>0</v>
      </c>
      <c r="E1129" s="17" t="n">
        <v>0</v>
      </c>
      <c r="F1129" s="17" t="n">
        <v>0</v>
      </c>
      <c r="G1129" s="17" t="n">
        <v>0</v>
      </c>
      <c r="H1129" s="17" t="n">
        <v>0</v>
      </c>
      <c r="I1129" s="17" t="n">
        <v>3</v>
      </c>
      <c r="J1129" s="17" t="n">
        <v>0</v>
      </c>
      <c r="K1129" s="17" t="n">
        <v>4</v>
      </c>
      <c r="L1129" s="17" t="n">
        <v>0</v>
      </c>
      <c r="M1129" s="17" t="n">
        <v>0</v>
      </c>
      <c r="N1129" s="17" t="n">
        <v>1</v>
      </c>
      <c r="O1129" s="17" t="n">
        <v>0</v>
      </c>
      <c r="P1129" s="17" t="n">
        <v>1</v>
      </c>
      <c r="Q1129" s="17" t="n">
        <v>4</v>
      </c>
      <c r="R1129" s="17" t="n">
        <v>0</v>
      </c>
      <c r="T1129" s="17">
        <f>DAY(C1129)</f>
        <v/>
      </c>
      <c r="U1129" s="17">
        <f>MONTH(C1129)</f>
        <v/>
      </c>
    </row>
    <row r="1130" ht="22.5" customHeight="1" s="117">
      <c r="A1130" s="14" t="n">
        <v>46025.29889302083</v>
      </c>
      <c r="B1130" s="17" t="inlineStr">
        <is>
          <t>Vòng Nhật Sang</t>
        </is>
      </c>
      <c r="C1130" s="16" t="n">
        <v>46024</v>
      </c>
      <c r="D1130" s="17" t="n">
        <v>1</v>
      </c>
      <c r="E1130" s="17" t="n">
        <v>0</v>
      </c>
      <c r="F1130" s="17" t="n">
        <v>0</v>
      </c>
      <c r="G1130" s="17" t="n">
        <v>0</v>
      </c>
      <c r="H1130" s="17" t="n">
        <v>0</v>
      </c>
      <c r="I1130" s="17" t="n">
        <v>0</v>
      </c>
      <c r="J1130" s="17" t="n">
        <v>0</v>
      </c>
      <c r="K1130" s="17" t="n">
        <v>0</v>
      </c>
      <c r="L1130" s="17" t="n">
        <v>0</v>
      </c>
      <c r="M1130" s="17" t="n">
        <v>1</v>
      </c>
      <c r="N1130" s="17" t="n">
        <v>0</v>
      </c>
      <c r="O1130" s="17" t="n">
        <v>0</v>
      </c>
      <c r="P1130" s="17" t="n">
        <v>1</v>
      </c>
      <c r="Q1130" s="17" t="n">
        <v>2</v>
      </c>
      <c r="R1130" s="17" t="n">
        <v>0</v>
      </c>
      <c r="T1130" s="17">
        <f>DAY(C1130)</f>
        <v/>
      </c>
      <c r="U1130" s="17">
        <f>MONTH(C1130)</f>
        <v/>
      </c>
    </row>
    <row r="1131" ht="22.5" customHeight="1" s="117">
      <c r="A1131" s="14" t="n">
        <v>46025.29889834491</v>
      </c>
      <c r="B1131" s="17" t="inlineStr">
        <is>
          <t>Phan Ngọc Sang</t>
        </is>
      </c>
      <c r="C1131" s="16" t="n">
        <v>46024</v>
      </c>
      <c r="D1131" s="17" t="n">
        <v>0</v>
      </c>
      <c r="E1131" s="17" t="n">
        <v>0</v>
      </c>
      <c r="F1131" s="17" t="n">
        <v>0</v>
      </c>
      <c r="G1131" s="17" t="n">
        <v>0</v>
      </c>
      <c r="H1131" s="17" t="n">
        <v>0</v>
      </c>
      <c r="I1131" s="17" t="n">
        <v>0</v>
      </c>
      <c r="J1131" s="17" t="n">
        <v>0</v>
      </c>
      <c r="K1131" s="17" t="n">
        <v>0</v>
      </c>
      <c r="L1131" s="17" t="n">
        <v>1</v>
      </c>
      <c r="M1131" s="17" t="n">
        <v>1</v>
      </c>
      <c r="N1131" s="17" t="n">
        <v>0</v>
      </c>
      <c r="O1131" s="17" t="n">
        <v>0</v>
      </c>
      <c r="P1131" s="17" t="n">
        <v>1</v>
      </c>
      <c r="Q1131" s="17" t="n">
        <v>1</v>
      </c>
      <c r="R1131" s="17" t="n">
        <v>0</v>
      </c>
      <c r="T1131" s="17">
        <f>DAY(C1131)</f>
        <v/>
      </c>
      <c r="U1131" s="17">
        <f>MONTH(C1131)</f>
        <v/>
      </c>
    </row>
    <row r="1132" ht="22.5" customHeight="1" s="117">
      <c r="A1132" s="14" t="n">
        <v>46025.29927984954</v>
      </c>
      <c r="B1132" s="17" t="inlineStr">
        <is>
          <t>Hồ Thái Minh Trí</t>
        </is>
      </c>
      <c r="C1132" s="16" t="n">
        <v>46024</v>
      </c>
      <c r="D1132" s="17" t="n">
        <v>0</v>
      </c>
      <c r="E1132" s="17" t="n">
        <v>0</v>
      </c>
      <c r="F1132" s="17" t="n">
        <v>0</v>
      </c>
      <c r="G1132" s="17" t="n">
        <v>0</v>
      </c>
      <c r="H1132" s="17" t="n">
        <v>0</v>
      </c>
      <c r="I1132" s="17" t="n">
        <v>0</v>
      </c>
      <c r="J1132" s="17" t="n">
        <v>0</v>
      </c>
      <c r="K1132" s="17" t="n">
        <v>0</v>
      </c>
      <c r="L1132" s="17" t="n">
        <v>0</v>
      </c>
      <c r="M1132" s="17" t="n">
        <v>0</v>
      </c>
      <c r="N1132" s="17" t="n">
        <v>0</v>
      </c>
      <c r="O1132" s="17" t="n">
        <v>0</v>
      </c>
      <c r="P1132" s="17" t="n">
        <v>0</v>
      </c>
      <c r="Q1132" s="17" t="n">
        <v>0</v>
      </c>
      <c r="R1132" s="17" t="n">
        <v>0</v>
      </c>
      <c r="T1132" s="17">
        <f>DAY(C1132)</f>
        <v/>
      </c>
      <c r="U1132" s="17">
        <f>MONTH(C1132)</f>
        <v/>
      </c>
    </row>
    <row r="1133" ht="22.5" customHeight="1" s="117">
      <c r="A1133" s="14" t="n">
        <v>46025.30089443287</v>
      </c>
      <c r="B1133" s="17" t="inlineStr">
        <is>
          <t>Nguyễn Thành Lâm</t>
        </is>
      </c>
      <c r="C1133" s="16" t="n">
        <v>46024</v>
      </c>
      <c r="D1133" s="17" t="n">
        <v>1</v>
      </c>
      <c r="E1133" s="17" t="n">
        <v>0</v>
      </c>
      <c r="F1133" s="17" t="n">
        <v>0</v>
      </c>
      <c r="G1133" s="17" t="n">
        <v>0</v>
      </c>
      <c r="H1133" s="17" t="n">
        <v>0</v>
      </c>
      <c r="I1133" s="17" t="n">
        <v>0</v>
      </c>
      <c r="J1133" s="17" t="n">
        <v>0</v>
      </c>
      <c r="K1133" s="17" t="n">
        <v>0</v>
      </c>
      <c r="L1133" s="17" t="n">
        <v>2</v>
      </c>
      <c r="M1133" s="17" t="n">
        <v>1</v>
      </c>
      <c r="N1133" s="17" t="n">
        <v>0</v>
      </c>
      <c r="O1133" s="17" t="n">
        <v>0</v>
      </c>
      <c r="P1133" s="17" t="n">
        <v>0</v>
      </c>
      <c r="Q1133" s="17" t="n">
        <v>1</v>
      </c>
      <c r="R1133" s="17" t="n">
        <v>0</v>
      </c>
      <c r="T1133" s="17">
        <f>DAY(C1133)</f>
        <v/>
      </c>
      <c r="U1133" s="17">
        <f>MONTH(C1133)</f>
        <v/>
      </c>
    </row>
    <row r="1134" ht="22.5" customHeight="1" s="117">
      <c r="A1134" s="14" t="n">
        <v>46025.30202210648</v>
      </c>
      <c r="B1134" s="17" t="inlineStr">
        <is>
          <t>Lương Duy Hoàng</t>
        </is>
      </c>
      <c r="C1134" s="16" t="n">
        <v>46024</v>
      </c>
      <c r="D1134" s="17" t="n">
        <v>0</v>
      </c>
      <c r="E1134" s="17" t="n">
        <v>0</v>
      </c>
      <c r="F1134" s="17" t="n">
        <v>0</v>
      </c>
      <c r="G1134" s="17" t="n">
        <v>0</v>
      </c>
      <c r="H1134" s="17" t="n">
        <v>0</v>
      </c>
      <c r="I1134" s="17" t="n">
        <v>0</v>
      </c>
      <c r="J1134" s="17" t="n">
        <v>0</v>
      </c>
      <c r="K1134" s="17" t="n">
        <v>1</v>
      </c>
      <c r="L1134" s="17" t="n">
        <v>0</v>
      </c>
      <c r="M1134" s="17" t="n">
        <v>0</v>
      </c>
      <c r="N1134" s="17" t="n">
        <v>0</v>
      </c>
      <c r="O1134" s="17" t="n">
        <v>0</v>
      </c>
      <c r="P1134" s="17" t="n">
        <v>2</v>
      </c>
      <c r="Q1134" s="17" t="n">
        <v>1</v>
      </c>
      <c r="R1134" s="17" t="n">
        <v>0</v>
      </c>
      <c r="T1134" s="17">
        <f>DAY(C1134)</f>
        <v/>
      </c>
      <c r="U1134" s="17">
        <f>MONTH(C1134)</f>
        <v/>
      </c>
    </row>
    <row r="1135" ht="22.5" customHeight="1" s="117">
      <c r="A1135" s="14" t="n">
        <v>46025.30282052083</v>
      </c>
      <c r="B1135" s="17" t="inlineStr">
        <is>
          <t>Lê Quốc Duy</t>
        </is>
      </c>
      <c r="C1135" s="16" t="n">
        <v>46024</v>
      </c>
      <c r="D1135" s="17" t="n">
        <v>0</v>
      </c>
      <c r="E1135" s="17" t="n">
        <v>0</v>
      </c>
      <c r="F1135" s="17" t="n">
        <v>0</v>
      </c>
      <c r="G1135" s="17" t="n">
        <v>0</v>
      </c>
      <c r="H1135" s="17" t="n">
        <v>0</v>
      </c>
      <c r="I1135" s="17" t="n">
        <v>0</v>
      </c>
      <c r="J1135" s="17" t="n">
        <v>0</v>
      </c>
      <c r="K1135" s="17" t="n">
        <v>0</v>
      </c>
      <c r="L1135" s="17" t="n">
        <v>0</v>
      </c>
      <c r="M1135" s="17" t="n">
        <v>0</v>
      </c>
      <c r="N1135" s="17" t="n">
        <v>0</v>
      </c>
      <c r="O1135" s="17" t="n">
        <v>0</v>
      </c>
      <c r="P1135" s="17" t="n">
        <v>0</v>
      </c>
      <c r="Q1135" s="17" t="n">
        <v>2</v>
      </c>
      <c r="R1135" s="17" t="n">
        <v>0</v>
      </c>
      <c r="T1135" s="17">
        <f>DAY(C1135)</f>
        <v/>
      </c>
      <c r="U1135" s="17">
        <f>MONTH(C1135)</f>
        <v/>
      </c>
    </row>
    <row r="1136" ht="22.5" customHeight="1" s="117">
      <c r="A1136" s="14" t="n">
        <v>46025.30307420139</v>
      </c>
      <c r="B1136" s="17" t="inlineStr">
        <is>
          <t>Đào Công Trung</t>
        </is>
      </c>
      <c r="C1136" s="16" t="n">
        <v>46024</v>
      </c>
      <c r="D1136" s="17" t="n">
        <v>0</v>
      </c>
      <c r="E1136" s="17" t="n">
        <v>0</v>
      </c>
      <c r="F1136" s="17" t="n">
        <v>0</v>
      </c>
      <c r="G1136" s="17" t="n">
        <v>0</v>
      </c>
      <c r="H1136" s="17" t="n">
        <v>0</v>
      </c>
      <c r="I1136" s="17" t="n">
        <v>0</v>
      </c>
      <c r="J1136" s="17" t="n">
        <v>0</v>
      </c>
      <c r="K1136" s="17" t="n">
        <v>0</v>
      </c>
      <c r="L1136" s="17" t="n">
        <v>0</v>
      </c>
      <c r="M1136" s="17" t="n">
        <v>0</v>
      </c>
      <c r="N1136" s="17" t="n">
        <v>0</v>
      </c>
      <c r="O1136" s="17" t="n">
        <v>0</v>
      </c>
      <c r="P1136" s="17" t="n">
        <v>0</v>
      </c>
      <c r="Q1136" s="17" t="n">
        <v>0</v>
      </c>
      <c r="R1136" s="17" t="n">
        <v>0</v>
      </c>
      <c r="T1136" s="17">
        <f>DAY(C1136)</f>
        <v/>
      </c>
      <c r="U1136" s="17">
        <f>MONTH(C1136)</f>
        <v/>
      </c>
    </row>
    <row r="1137" ht="22.5" customHeight="1" s="117">
      <c r="A1137" s="14" t="n">
        <v>46025.30575885416</v>
      </c>
      <c r="B1137" s="17" t="inlineStr">
        <is>
          <t>Nguyễn Quang Anh Tuấn</t>
        </is>
      </c>
      <c r="C1137" s="16" t="n">
        <v>46024</v>
      </c>
      <c r="D1137" s="17" t="n">
        <v>0</v>
      </c>
      <c r="E1137" s="17" t="n">
        <v>0</v>
      </c>
      <c r="F1137" s="17" t="n">
        <v>0</v>
      </c>
      <c r="G1137" s="17" t="n">
        <v>0</v>
      </c>
      <c r="H1137" s="17" t="n">
        <v>0</v>
      </c>
      <c r="I1137" s="17" t="n">
        <v>3</v>
      </c>
      <c r="J1137" s="17" t="n">
        <v>0</v>
      </c>
      <c r="K1137" s="17" t="n">
        <v>0</v>
      </c>
      <c r="L1137" s="17" t="n">
        <v>0</v>
      </c>
      <c r="M1137" s="17" t="n">
        <v>1</v>
      </c>
      <c r="N1137" s="17" t="n">
        <v>0</v>
      </c>
      <c r="O1137" s="17" t="n">
        <v>0</v>
      </c>
      <c r="P1137" s="17" t="n">
        <v>0</v>
      </c>
      <c r="Q1137" s="17" t="n">
        <v>2</v>
      </c>
      <c r="R1137" s="17" t="n">
        <v>0</v>
      </c>
      <c r="T1137" s="17">
        <f>DAY(C1137)</f>
        <v/>
      </c>
      <c r="U1137" s="17">
        <f>MONTH(C1137)</f>
        <v/>
      </c>
    </row>
    <row r="1138" ht="22.5" customHeight="1" s="117">
      <c r="A1138" s="14" t="n">
        <v>46025.30747149306</v>
      </c>
      <c r="B1138" s="17" t="inlineStr">
        <is>
          <t>Lê Hồng Phong</t>
        </is>
      </c>
      <c r="C1138" s="16" t="n">
        <v>46025</v>
      </c>
      <c r="D1138" s="17" t="n">
        <v>1</v>
      </c>
      <c r="E1138" s="17" t="n">
        <v>1</v>
      </c>
      <c r="F1138" s="17" t="n">
        <v>1</v>
      </c>
      <c r="G1138" s="17" t="n">
        <v>0</v>
      </c>
      <c r="H1138" s="17" t="n">
        <v>0</v>
      </c>
      <c r="I1138" s="17" t="n">
        <v>1</v>
      </c>
      <c r="J1138" s="17" t="n">
        <v>1</v>
      </c>
      <c r="K1138" s="17" t="n">
        <v>1</v>
      </c>
      <c r="L1138" s="17" t="n">
        <v>1</v>
      </c>
      <c r="M1138" s="17" t="n">
        <v>1</v>
      </c>
      <c r="N1138" s="17" t="n">
        <v>1</v>
      </c>
      <c r="O1138" s="17" t="n">
        <v>1</v>
      </c>
      <c r="P1138" s="17" t="n">
        <v>1</v>
      </c>
      <c r="Q1138" s="17" t="n">
        <v>1</v>
      </c>
      <c r="R1138" s="17" t="n">
        <v>1</v>
      </c>
      <c r="T1138" s="17">
        <f>DAY(C1138)</f>
        <v/>
      </c>
      <c r="U1138" s="17">
        <f>MONTH(C1138)</f>
        <v/>
      </c>
    </row>
    <row r="1139" ht="22.5" customHeight="1" s="117">
      <c r="A1139" s="14" t="n">
        <v>46025.31036854166</v>
      </c>
      <c r="B1139" s="17" t="inlineStr">
        <is>
          <t>Huỳnh Văn Lực</t>
        </is>
      </c>
      <c r="C1139" s="16" t="n">
        <v>46024</v>
      </c>
      <c r="D1139" s="17" t="n">
        <v>0</v>
      </c>
      <c r="E1139" s="17" t="n">
        <v>0</v>
      </c>
      <c r="F1139" s="17" t="n">
        <v>0</v>
      </c>
      <c r="G1139" s="17" t="n">
        <v>0</v>
      </c>
      <c r="H1139" s="17" t="n">
        <v>0</v>
      </c>
      <c r="I1139" s="17" t="n">
        <v>0</v>
      </c>
      <c r="J1139" s="17" t="n">
        <v>0</v>
      </c>
      <c r="K1139" s="17" t="n">
        <v>0</v>
      </c>
      <c r="L1139" s="17" t="n">
        <v>0</v>
      </c>
      <c r="M1139" s="17" t="n">
        <v>0</v>
      </c>
      <c r="N1139" s="17" t="n">
        <v>0</v>
      </c>
      <c r="O1139" s="17" t="n">
        <v>0</v>
      </c>
      <c r="P1139" s="17" t="n">
        <v>0</v>
      </c>
      <c r="Q1139" s="17" t="n">
        <v>2</v>
      </c>
      <c r="R1139" s="17" t="n">
        <v>0</v>
      </c>
      <c r="T1139" s="17">
        <f>DAY(C1139)</f>
        <v/>
      </c>
      <c r="U1139" s="17">
        <f>MONTH(C1139)</f>
        <v/>
      </c>
    </row>
    <row r="1140" ht="22.5" customHeight="1" s="117">
      <c r="A1140" s="14" t="n">
        <v>46025.31400015047</v>
      </c>
      <c r="B1140" s="17" t="inlineStr">
        <is>
          <t>Nguyễn Tuấn Anh</t>
        </is>
      </c>
      <c r="C1140" s="16" t="n">
        <v>46024</v>
      </c>
      <c r="D1140" s="17" t="n">
        <v>2</v>
      </c>
      <c r="E1140" s="17" t="n">
        <v>0</v>
      </c>
      <c r="F1140" s="17" t="n">
        <v>0</v>
      </c>
      <c r="G1140" s="17" t="n">
        <v>1</v>
      </c>
      <c r="H1140" s="17" t="n">
        <v>0</v>
      </c>
      <c r="I1140" s="17" t="n">
        <v>0</v>
      </c>
      <c r="J1140" s="17" t="n">
        <v>0</v>
      </c>
      <c r="K1140" s="17" t="n">
        <v>2</v>
      </c>
      <c r="L1140" s="17" t="n">
        <v>0</v>
      </c>
      <c r="M1140" s="17" t="n">
        <v>0</v>
      </c>
      <c r="N1140" s="17" t="n">
        <v>0</v>
      </c>
      <c r="O1140" s="17" t="n">
        <v>0</v>
      </c>
      <c r="P1140" s="17" t="n">
        <v>1</v>
      </c>
      <c r="Q1140" s="17" t="n">
        <v>5</v>
      </c>
      <c r="R1140" s="17" t="n">
        <v>0</v>
      </c>
      <c r="T1140" s="17">
        <f>DAY(C1140)</f>
        <v/>
      </c>
      <c r="U1140" s="17">
        <f>MONTH(C1140)</f>
        <v/>
      </c>
    </row>
    <row r="1141" ht="22.5" customHeight="1" s="117">
      <c r="A1141" s="14" t="n">
        <v>46025.31822083333</v>
      </c>
      <c r="B1141" s="17" t="inlineStr">
        <is>
          <t>Đặng Hữu Danh</t>
        </is>
      </c>
      <c r="C1141" s="16" t="n">
        <v>46024</v>
      </c>
      <c r="D1141" s="17" t="n">
        <v>0</v>
      </c>
      <c r="E1141" s="17" t="n">
        <v>0</v>
      </c>
      <c r="F1141" s="17" t="n">
        <v>0</v>
      </c>
      <c r="G1141" s="17" t="n">
        <v>0</v>
      </c>
      <c r="H1141" s="17" t="n">
        <v>0</v>
      </c>
      <c r="I1141" s="17" t="n">
        <v>0</v>
      </c>
      <c r="J1141" s="17" t="n">
        <v>0</v>
      </c>
      <c r="K1141" s="17" t="n">
        <v>0</v>
      </c>
      <c r="L1141" s="17" t="n">
        <v>0</v>
      </c>
      <c r="M1141" s="17" t="n">
        <v>0</v>
      </c>
      <c r="N1141" s="17" t="n">
        <v>0</v>
      </c>
      <c r="O1141" s="17" t="n">
        <v>0</v>
      </c>
      <c r="P1141" s="17" t="n">
        <v>2</v>
      </c>
      <c r="Q1141" s="17" t="n">
        <v>2</v>
      </c>
      <c r="R1141" s="17" t="n">
        <v>0</v>
      </c>
      <c r="T1141" s="17">
        <f>DAY(C1141)</f>
        <v/>
      </c>
      <c r="U1141" s="17">
        <f>MONTH(C1141)</f>
        <v/>
      </c>
    </row>
    <row r="1142" ht="22.5" customHeight="1" s="117">
      <c r="A1142" s="14" t="n">
        <v>46025.32056813657</v>
      </c>
      <c r="B1142" s="17" t="inlineStr">
        <is>
          <t>Trần Xuân Khoa</t>
        </is>
      </c>
      <c r="C1142" s="16" t="n">
        <v>46024</v>
      </c>
      <c r="D1142" s="17" t="n">
        <v>1</v>
      </c>
      <c r="E1142" s="17" t="n">
        <v>1</v>
      </c>
      <c r="F1142" s="17" t="n">
        <v>0</v>
      </c>
      <c r="G1142" s="17" t="n">
        <v>0</v>
      </c>
      <c r="H1142" s="17" t="n">
        <v>0</v>
      </c>
      <c r="I1142" s="17" t="n">
        <v>0</v>
      </c>
      <c r="J1142" s="17" t="n">
        <v>0</v>
      </c>
      <c r="K1142" s="17" t="n">
        <v>2</v>
      </c>
      <c r="L1142" s="17" t="n">
        <v>0</v>
      </c>
      <c r="M1142" s="17" t="n">
        <v>0</v>
      </c>
      <c r="N1142" s="17" t="n">
        <v>0</v>
      </c>
      <c r="O1142" s="17" t="n">
        <v>0</v>
      </c>
      <c r="P1142" s="17" t="n">
        <v>0</v>
      </c>
      <c r="Q1142" s="17" t="n">
        <v>3</v>
      </c>
      <c r="R1142" s="17" t="n">
        <v>0</v>
      </c>
      <c r="T1142" s="17">
        <f>DAY(C1142)</f>
        <v/>
      </c>
      <c r="U1142" s="17">
        <f>MONTH(C1142)</f>
        <v/>
      </c>
    </row>
    <row r="1143" ht="22.5" customHeight="1" s="117">
      <c r="A1143" s="14" t="n">
        <v>46025.32075875</v>
      </c>
      <c r="B1143" s="17" t="inlineStr">
        <is>
          <t>Bùi Duy Cường</t>
        </is>
      </c>
      <c r="C1143" s="16" t="n">
        <v>46023</v>
      </c>
      <c r="D1143" s="17" t="n">
        <v>0</v>
      </c>
      <c r="E1143" s="17" t="n">
        <v>0</v>
      </c>
      <c r="F1143" s="17" t="n">
        <v>0</v>
      </c>
      <c r="G1143" s="17" t="n">
        <v>0</v>
      </c>
      <c r="H1143" s="17" t="n">
        <v>0</v>
      </c>
      <c r="I1143" s="17" t="n">
        <v>0</v>
      </c>
      <c r="J1143" s="17" t="n">
        <v>0</v>
      </c>
      <c r="K1143" s="17" t="n">
        <v>0</v>
      </c>
      <c r="L1143" s="17" t="n">
        <v>2</v>
      </c>
      <c r="M1143" s="17" t="n">
        <v>0</v>
      </c>
      <c r="N1143" s="17" t="n">
        <v>0</v>
      </c>
      <c r="O1143" s="17" t="n">
        <v>0</v>
      </c>
      <c r="P1143" s="17" t="n">
        <v>0</v>
      </c>
      <c r="Q1143" s="17" t="n">
        <v>4</v>
      </c>
      <c r="R1143" s="17" t="n">
        <v>0</v>
      </c>
      <c r="T1143" s="17">
        <f>DAY(C1143)</f>
        <v/>
      </c>
      <c r="U1143" s="17">
        <f>MONTH(C1143)</f>
        <v/>
      </c>
    </row>
    <row r="1144" ht="22.5" customHeight="1" s="117">
      <c r="A1144" s="14" t="n">
        <v>46025.32127956019</v>
      </c>
      <c r="B1144" s="17" t="inlineStr">
        <is>
          <t>Bùi Duy Cường</t>
        </is>
      </c>
      <c r="C1144" s="16" t="n">
        <v>46024</v>
      </c>
      <c r="D1144" s="17" t="n">
        <v>0</v>
      </c>
      <c r="E1144" s="17" t="n">
        <v>0</v>
      </c>
      <c r="F1144" s="17" t="n">
        <v>0</v>
      </c>
      <c r="G1144" s="17" t="n">
        <v>0</v>
      </c>
      <c r="H1144" s="17" t="n">
        <v>0</v>
      </c>
      <c r="I1144" s="17" t="n">
        <v>0</v>
      </c>
      <c r="J1144" s="17" t="n">
        <v>0</v>
      </c>
      <c r="K1144" s="17" t="n">
        <v>0</v>
      </c>
      <c r="L1144" s="17" t="n">
        <v>4</v>
      </c>
      <c r="M1144" s="17" t="n">
        <v>1</v>
      </c>
      <c r="N1144" s="17" t="n">
        <v>0</v>
      </c>
      <c r="O1144" s="17" t="n">
        <v>0</v>
      </c>
      <c r="P1144" s="17" t="n">
        <v>2</v>
      </c>
      <c r="Q1144" s="17" t="n">
        <v>2</v>
      </c>
      <c r="R1144" s="17" t="n">
        <v>0</v>
      </c>
      <c r="T1144" s="17">
        <f>DAY(C1144)</f>
        <v/>
      </c>
      <c r="U1144" s="17">
        <f>MONTH(C1144)</f>
        <v/>
      </c>
    </row>
    <row r="1145" ht="22.5" customHeight="1" s="117">
      <c r="A1145" s="14" t="n">
        <v>46025.35065172454</v>
      </c>
      <c r="B1145" s="17" t="inlineStr">
        <is>
          <t>Nguyễn Hồng Minh</t>
        </is>
      </c>
      <c r="C1145" s="16" t="n">
        <v>46024</v>
      </c>
      <c r="D1145" s="17" t="n">
        <v>0</v>
      </c>
      <c r="E1145" s="17" t="n">
        <v>0</v>
      </c>
      <c r="F1145" s="17" t="n">
        <v>0</v>
      </c>
      <c r="G1145" s="17" t="n">
        <v>1</v>
      </c>
      <c r="H1145" s="17" t="n">
        <v>1</v>
      </c>
      <c r="I1145" s="17" t="n">
        <v>2</v>
      </c>
      <c r="J1145" s="17" t="n">
        <v>0</v>
      </c>
      <c r="K1145" s="17" t="n">
        <v>1</v>
      </c>
      <c r="L1145" s="17" t="n">
        <v>0</v>
      </c>
      <c r="M1145" s="17" t="n">
        <v>0</v>
      </c>
      <c r="N1145" s="17" t="n">
        <v>1</v>
      </c>
      <c r="O1145" s="17" t="n">
        <v>0</v>
      </c>
      <c r="P1145" s="17" t="n">
        <v>0</v>
      </c>
      <c r="Q1145" s="17" t="n">
        <v>6</v>
      </c>
      <c r="R1145" s="17" t="n">
        <v>0</v>
      </c>
      <c r="T1145" s="17">
        <f>DAY(C1145)</f>
        <v/>
      </c>
      <c r="U1145" s="17">
        <f>MONTH(C1145)</f>
        <v/>
      </c>
    </row>
    <row r="1146" ht="22.5" customHeight="1" s="117">
      <c r="A1146" s="14" t="n">
        <v>46025.35229484954</v>
      </c>
      <c r="B1146" s="17" t="inlineStr">
        <is>
          <t>Đặng Hoài Anh</t>
        </is>
      </c>
      <c r="C1146" s="16" t="n">
        <v>46024</v>
      </c>
      <c r="D1146" s="17" t="n">
        <v>0</v>
      </c>
      <c r="E1146" s="17" t="n">
        <v>0</v>
      </c>
      <c r="F1146" s="17" t="n">
        <v>0</v>
      </c>
      <c r="G1146" s="17" t="n">
        <v>0</v>
      </c>
      <c r="H1146" s="17" t="n">
        <v>0</v>
      </c>
      <c r="I1146" s="17" t="n">
        <v>0</v>
      </c>
      <c r="J1146" s="17" t="n">
        <v>0</v>
      </c>
      <c r="K1146" s="17" t="n">
        <v>0</v>
      </c>
      <c r="L1146" s="17" t="n">
        <v>0</v>
      </c>
      <c r="M1146" s="17" t="n">
        <v>0</v>
      </c>
      <c r="N1146" s="17" t="n">
        <v>0</v>
      </c>
      <c r="O1146" s="17" t="n">
        <v>0</v>
      </c>
      <c r="P1146" s="17" t="n">
        <v>0</v>
      </c>
      <c r="Q1146" s="17" t="n">
        <v>2</v>
      </c>
      <c r="R1146" s="17" t="n">
        <v>0</v>
      </c>
      <c r="T1146" s="17">
        <f>DAY(C1146)</f>
        <v/>
      </c>
      <c r="U1146" s="17">
        <f>MONTH(C1146)</f>
        <v/>
      </c>
    </row>
    <row r="1147" ht="22.5" customHeight="1" s="117">
      <c r="A1147" s="14" t="n">
        <v>46026.28715456019</v>
      </c>
      <c r="B1147" s="17" t="inlineStr">
        <is>
          <t>Phan Ngọc Sang</t>
        </is>
      </c>
      <c r="C1147" s="16" t="n">
        <v>46025</v>
      </c>
      <c r="D1147" s="17" t="n">
        <v>0</v>
      </c>
      <c r="E1147" s="17" t="n">
        <v>0</v>
      </c>
      <c r="F1147" s="17" t="n">
        <v>0</v>
      </c>
      <c r="G1147" s="17" t="n">
        <v>0</v>
      </c>
      <c r="H1147" s="17" t="n">
        <v>0</v>
      </c>
      <c r="I1147" s="17" t="n">
        <v>0</v>
      </c>
      <c r="J1147" s="17" t="n">
        <v>0</v>
      </c>
      <c r="K1147" s="17" t="n">
        <v>3</v>
      </c>
      <c r="L1147" s="17" t="n">
        <v>0</v>
      </c>
      <c r="M1147" s="17" t="n">
        <v>0</v>
      </c>
      <c r="N1147" s="17" t="n">
        <v>0</v>
      </c>
      <c r="O1147" s="17" t="n">
        <v>0</v>
      </c>
      <c r="P1147" s="17" t="n">
        <v>0</v>
      </c>
      <c r="Q1147" s="17" t="n">
        <v>2</v>
      </c>
      <c r="R1147" s="17" t="n">
        <v>0</v>
      </c>
      <c r="T1147" s="17">
        <f>DAY(C1147)</f>
        <v/>
      </c>
      <c r="U1147" s="17">
        <f>MONTH(C1147)</f>
        <v/>
      </c>
    </row>
    <row r="1148" ht="22.5" customHeight="1" s="117">
      <c r="A1148" s="14" t="n">
        <v>46026.29163731482</v>
      </c>
      <c r="B1148" s="17" t="inlineStr">
        <is>
          <t>Hồ Xuân Việt</t>
        </is>
      </c>
      <c r="C1148" s="16" t="n">
        <v>46025</v>
      </c>
      <c r="D1148" s="17" t="n">
        <v>0</v>
      </c>
      <c r="E1148" s="17" t="n">
        <v>0</v>
      </c>
      <c r="F1148" s="17" t="n">
        <v>0</v>
      </c>
      <c r="G1148" s="17" t="n">
        <v>0</v>
      </c>
      <c r="H1148" s="17" t="n">
        <v>0</v>
      </c>
      <c r="I1148" s="17" t="n">
        <v>0</v>
      </c>
      <c r="J1148" s="17" t="n">
        <v>0</v>
      </c>
      <c r="K1148" s="17" t="n">
        <v>2</v>
      </c>
      <c r="L1148" s="17" t="n">
        <v>0</v>
      </c>
      <c r="M1148" s="17" t="n">
        <v>0</v>
      </c>
      <c r="N1148" s="17" t="n">
        <v>0</v>
      </c>
      <c r="O1148" s="17" t="n">
        <v>0</v>
      </c>
      <c r="P1148" s="17" t="n">
        <v>0</v>
      </c>
      <c r="Q1148" s="17" t="n">
        <v>2</v>
      </c>
      <c r="R1148" s="17" t="n">
        <v>0</v>
      </c>
      <c r="T1148" s="17">
        <f>DAY(C1148)</f>
        <v/>
      </c>
      <c r="U1148" s="17">
        <f>MONTH(C1148)</f>
        <v/>
      </c>
    </row>
    <row r="1149" ht="22.5" customHeight="1" s="117">
      <c r="A1149" s="14" t="n">
        <v>46026.29164173611</v>
      </c>
      <c r="B1149" s="17" t="inlineStr">
        <is>
          <t>Dương Minh Tiến</t>
        </is>
      </c>
      <c r="C1149" s="16" t="n">
        <v>46025</v>
      </c>
      <c r="D1149" s="17" t="n">
        <v>0</v>
      </c>
      <c r="E1149" s="17" t="n">
        <v>0</v>
      </c>
      <c r="F1149" s="17" t="n">
        <v>0</v>
      </c>
      <c r="G1149" s="17" t="n">
        <v>0</v>
      </c>
      <c r="H1149" s="17" t="n">
        <v>0</v>
      </c>
      <c r="I1149" s="17" t="n">
        <v>0</v>
      </c>
      <c r="J1149" s="17" t="n">
        <v>0</v>
      </c>
      <c r="K1149" s="17" t="n">
        <v>0</v>
      </c>
      <c r="L1149" s="17" t="n">
        <v>4</v>
      </c>
      <c r="M1149" s="17" t="n">
        <v>0</v>
      </c>
      <c r="N1149" s="17" t="n">
        <v>0</v>
      </c>
      <c r="O1149" s="17" t="n">
        <v>0</v>
      </c>
      <c r="P1149" s="17" t="n">
        <v>0</v>
      </c>
      <c r="Q1149" s="17" t="n">
        <v>0</v>
      </c>
      <c r="R1149" s="17" t="n">
        <v>0</v>
      </c>
      <c r="T1149" s="17">
        <f>DAY(C1149)</f>
        <v/>
      </c>
      <c r="U1149" s="17">
        <f>MONTH(C1149)</f>
        <v/>
      </c>
    </row>
    <row r="1150" ht="22.5" customHeight="1" s="117">
      <c r="A1150" s="14" t="n">
        <v>46026.29379686343</v>
      </c>
      <c r="B1150" s="17" t="inlineStr">
        <is>
          <t>Trần Trung Giang</t>
        </is>
      </c>
      <c r="C1150" s="16" t="n">
        <v>46025</v>
      </c>
      <c r="D1150" s="17" t="n">
        <v>0</v>
      </c>
      <c r="E1150" s="17" t="n">
        <v>0</v>
      </c>
      <c r="F1150" s="17" t="n">
        <v>0</v>
      </c>
      <c r="G1150" s="17" t="n">
        <v>0</v>
      </c>
      <c r="H1150" s="17" t="n">
        <v>0</v>
      </c>
      <c r="I1150" s="17" t="n">
        <v>0</v>
      </c>
      <c r="J1150" s="17" t="n">
        <v>0</v>
      </c>
      <c r="K1150" s="17" t="n">
        <v>4</v>
      </c>
      <c r="L1150" s="17" t="n">
        <v>0</v>
      </c>
      <c r="M1150" s="17" t="n">
        <v>0</v>
      </c>
      <c r="N1150" s="17" t="n">
        <v>0</v>
      </c>
      <c r="O1150" s="17" t="n">
        <v>0</v>
      </c>
      <c r="P1150" s="17" t="n">
        <v>0</v>
      </c>
      <c r="Q1150" s="17" t="n">
        <v>1</v>
      </c>
      <c r="R1150" s="17" t="n">
        <v>0</v>
      </c>
      <c r="T1150" s="17">
        <f>DAY(C1150)</f>
        <v/>
      </c>
      <c r="U1150" s="17">
        <f>MONTH(C1150)</f>
        <v/>
      </c>
    </row>
    <row r="1151" ht="22.5" customHeight="1" s="117">
      <c r="A1151" s="14" t="n">
        <v>46026.29673822917</v>
      </c>
      <c r="B1151" s="17" t="inlineStr">
        <is>
          <t>Phan Thành Thái</t>
        </is>
      </c>
      <c r="C1151" s="16" t="n">
        <v>46025</v>
      </c>
      <c r="D1151" s="17" t="n">
        <v>0</v>
      </c>
      <c r="E1151" s="17" t="n">
        <v>0</v>
      </c>
      <c r="F1151" s="17" t="n">
        <v>0</v>
      </c>
      <c r="G1151" s="17" t="n">
        <v>0</v>
      </c>
      <c r="H1151" s="17" t="n">
        <v>0</v>
      </c>
      <c r="I1151" s="17" t="n">
        <v>3</v>
      </c>
      <c r="J1151" s="17" t="n">
        <v>0</v>
      </c>
      <c r="K1151" s="17" t="n">
        <v>3</v>
      </c>
      <c r="L1151" s="17" t="n">
        <v>2</v>
      </c>
      <c r="M1151" s="17" t="n">
        <v>0</v>
      </c>
      <c r="N1151" s="17" t="n">
        <v>0</v>
      </c>
      <c r="O1151" s="17" t="n">
        <v>0</v>
      </c>
      <c r="P1151" s="17" t="n">
        <v>0</v>
      </c>
      <c r="Q1151" s="17" t="n">
        <v>4</v>
      </c>
      <c r="R1151" s="17" t="n">
        <v>0</v>
      </c>
      <c r="T1151" s="17">
        <f>DAY(C1151)</f>
        <v/>
      </c>
      <c r="U1151" s="17">
        <f>MONTH(C1151)</f>
        <v/>
      </c>
    </row>
    <row r="1152" ht="22.5" customHeight="1" s="117">
      <c r="A1152" s="14" t="n">
        <v>46026.2997958912</v>
      </c>
      <c r="B1152" s="17" t="inlineStr">
        <is>
          <t>Lương Duy Hoàng</t>
        </is>
      </c>
      <c r="C1152" s="16" t="n">
        <v>46025</v>
      </c>
      <c r="D1152" s="17" t="n">
        <v>0</v>
      </c>
      <c r="E1152" s="17" t="n">
        <v>0</v>
      </c>
      <c r="F1152" s="17" t="n">
        <v>0</v>
      </c>
      <c r="G1152" s="17" t="n">
        <v>0</v>
      </c>
      <c r="H1152" s="17" t="n">
        <v>0</v>
      </c>
      <c r="I1152" s="17" t="n">
        <v>0</v>
      </c>
      <c r="J1152" s="17" t="n">
        <v>0</v>
      </c>
      <c r="K1152" s="17" t="n">
        <v>3</v>
      </c>
      <c r="L1152" s="17" t="n">
        <v>1</v>
      </c>
      <c r="M1152" s="17" t="n">
        <v>1</v>
      </c>
      <c r="N1152" s="17" t="n">
        <v>0</v>
      </c>
      <c r="O1152" s="17" t="n">
        <v>0</v>
      </c>
      <c r="P1152" s="17" t="n">
        <v>0</v>
      </c>
      <c r="Q1152" s="17" t="n">
        <v>1</v>
      </c>
      <c r="R1152" s="17" t="n">
        <v>1</v>
      </c>
      <c r="T1152" s="17">
        <f>DAY(C1152)</f>
        <v/>
      </c>
      <c r="U1152" s="17">
        <f>MONTH(C1152)</f>
        <v/>
      </c>
    </row>
    <row r="1153" ht="22.5" customHeight="1" s="117">
      <c r="A1153" s="14" t="n">
        <v>46026.30300038194</v>
      </c>
      <c r="B1153" s="17" t="inlineStr">
        <is>
          <t>Nguyễn Văn Hiệp</t>
        </is>
      </c>
      <c r="C1153" s="16" t="n">
        <v>46025</v>
      </c>
      <c r="D1153" s="17" t="n">
        <v>0</v>
      </c>
      <c r="E1153" s="17" t="n">
        <v>0</v>
      </c>
      <c r="F1153" s="17" t="n">
        <v>0</v>
      </c>
      <c r="G1153" s="17" t="n">
        <v>0</v>
      </c>
      <c r="H1153" s="17" t="n">
        <v>0</v>
      </c>
      <c r="I1153" s="17" t="n">
        <v>0</v>
      </c>
      <c r="J1153" s="17" t="n">
        <v>0</v>
      </c>
      <c r="K1153" s="17" t="n">
        <v>4</v>
      </c>
      <c r="L1153" s="17" t="n">
        <v>0</v>
      </c>
      <c r="M1153" s="17" t="n">
        <v>1</v>
      </c>
      <c r="N1153" s="17" t="n">
        <v>1</v>
      </c>
      <c r="O1153" s="17" t="n">
        <v>0</v>
      </c>
      <c r="P1153" s="17" t="n">
        <v>0</v>
      </c>
      <c r="Q1153" s="17" t="n">
        <v>0</v>
      </c>
      <c r="R1153" s="17" t="n">
        <v>0</v>
      </c>
      <c r="T1153" s="17">
        <f>DAY(C1153)</f>
        <v/>
      </c>
      <c r="U1153" s="17">
        <f>MONTH(C1153)</f>
        <v/>
      </c>
    </row>
    <row r="1154" ht="22.5" customHeight="1" s="117">
      <c r="A1154" s="14" t="n">
        <v>46026.30311560186</v>
      </c>
      <c r="B1154" s="17" t="inlineStr">
        <is>
          <t>Trần Xuân Khoa</t>
        </is>
      </c>
      <c r="C1154" s="16" t="n">
        <v>46025</v>
      </c>
      <c r="D1154" s="17" t="n">
        <v>0</v>
      </c>
      <c r="E1154" s="17" t="n">
        <v>0</v>
      </c>
      <c r="F1154" s="17" t="n">
        <v>0</v>
      </c>
      <c r="G1154" s="17" t="n">
        <v>0</v>
      </c>
      <c r="H1154" s="17" t="n">
        <v>0</v>
      </c>
      <c r="I1154" s="17" t="n">
        <v>0</v>
      </c>
      <c r="J1154" s="17" t="n">
        <v>0</v>
      </c>
      <c r="K1154" s="17" t="n">
        <v>0</v>
      </c>
      <c r="L1154" s="17" t="n">
        <v>5</v>
      </c>
      <c r="M1154" s="17" t="n">
        <v>0</v>
      </c>
      <c r="N1154" s="17" t="n">
        <v>0</v>
      </c>
      <c r="O1154" s="17" t="n">
        <v>0</v>
      </c>
      <c r="P1154" s="17" t="n">
        <v>0</v>
      </c>
      <c r="Q1154" s="17" t="n">
        <v>2</v>
      </c>
      <c r="R1154" s="17" t="n">
        <v>0</v>
      </c>
      <c r="T1154" s="17">
        <f>DAY(C1154)</f>
        <v/>
      </c>
      <c r="U1154" s="17">
        <f>MONTH(C1154)</f>
        <v/>
      </c>
    </row>
    <row r="1155" ht="22.5" customHeight="1" s="117">
      <c r="A1155" s="14" t="n">
        <v>46026.30469010417</v>
      </c>
      <c r="B1155" s="17" t="inlineStr">
        <is>
          <t>Đào Công Trung</t>
        </is>
      </c>
      <c r="C1155" s="16" t="n">
        <v>46025</v>
      </c>
      <c r="D1155" s="17" t="n">
        <v>0</v>
      </c>
      <c r="E1155" s="17" t="n">
        <v>0</v>
      </c>
      <c r="F1155" s="17" t="n">
        <v>0</v>
      </c>
      <c r="G1155" s="17" t="n">
        <v>0</v>
      </c>
      <c r="H1155" s="17" t="n">
        <v>0</v>
      </c>
      <c r="I1155" s="17" t="n">
        <v>0</v>
      </c>
      <c r="J1155" s="17" t="n">
        <v>0</v>
      </c>
      <c r="K1155" s="17" t="n">
        <v>0</v>
      </c>
      <c r="L1155" s="17" t="n">
        <v>4</v>
      </c>
      <c r="M1155" s="17" t="n">
        <v>0</v>
      </c>
      <c r="N1155" s="17" t="n">
        <v>0</v>
      </c>
      <c r="O1155" s="17" t="n">
        <v>0</v>
      </c>
      <c r="P1155" s="17" t="n">
        <v>0</v>
      </c>
      <c r="Q1155" s="17" t="n">
        <v>2</v>
      </c>
      <c r="R1155" s="17" t="n">
        <v>0</v>
      </c>
      <c r="T1155" s="17">
        <f>DAY(C1155)</f>
        <v/>
      </c>
      <c r="U1155" s="17">
        <f>MONTH(C1155)</f>
        <v/>
      </c>
    </row>
    <row r="1156" ht="22.5" customHeight="1" s="117">
      <c r="A1156" s="14" t="n">
        <v>46026.30521876158</v>
      </c>
      <c r="B1156" s="17" t="inlineStr">
        <is>
          <t>Vòng Nhật Sang</t>
        </is>
      </c>
      <c r="C1156" s="16" t="n">
        <v>46025</v>
      </c>
      <c r="D1156" s="17" t="n">
        <v>0</v>
      </c>
      <c r="E1156" s="17" t="n">
        <v>0</v>
      </c>
      <c r="F1156" s="17" t="n">
        <v>0</v>
      </c>
      <c r="G1156" s="17" t="n">
        <v>0</v>
      </c>
      <c r="H1156" s="17" t="n">
        <v>0</v>
      </c>
      <c r="I1156" s="17" t="n">
        <v>0</v>
      </c>
      <c r="J1156" s="17" t="n">
        <v>0</v>
      </c>
      <c r="K1156" s="17" t="n">
        <v>0</v>
      </c>
      <c r="L1156" s="17" t="n">
        <v>0</v>
      </c>
      <c r="M1156" s="17" t="n">
        <v>0</v>
      </c>
      <c r="N1156" s="17" t="n">
        <v>0</v>
      </c>
      <c r="O1156" s="17" t="n">
        <v>0</v>
      </c>
      <c r="P1156" s="17" t="n">
        <v>2</v>
      </c>
      <c r="Q1156" s="17" t="n">
        <v>2</v>
      </c>
      <c r="R1156" s="17" t="n">
        <v>0</v>
      </c>
      <c r="T1156" s="17">
        <f>DAY(C1156)</f>
        <v/>
      </c>
      <c r="U1156" s="17">
        <f>MONTH(C1156)</f>
        <v/>
      </c>
    </row>
    <row r="1157" ht="22.5" customHeight="1" s="117">
      <c r="A1157" s="14" t="n">
        <v>46026.30525047454</v>
      </c>
      <c r="B1157" s="17" t="inlineStr">
        <is>
          <t>Nguyễn Quang Anh Tuấn</t>
        </is>
      </c>
      <c r="C1157" s="16" t="n">
        <v>46025</v>
      </c>
      <c r="D1157" s="17" t="n">
        <v>0</v>
      </c>
      <c r="E1157" s="17" t="n">
        <v>0</v>
      </c>
      <c r="F1157" s="17" t="n">
        <v>0</v>
      </c>
      <c r="G1157" s="17" t="n">
        <v>0</v>
      </c>
      <c r="H1157" s="17" t="n">
        <v>0</v>
      </c>
      <c r="I1157" s="17" t="n">
        <v>4</v>
      </c>
      <c r="J1157" s="17" t="n">
        <v>0</v>
      </c>
      <c r="K1157" s="17" t="n">
        <v>0</v>
      </c>
      <c r="L1157" s="17" t="n">
        <v>0</v>
      </c>
      <c r="M1157" s="17" t="n">
        <v>0</v>
      </c>
      <c r="N1157" s="17" t="n">
        <v>0</v>
      </c>
      <c r="O1157" s="17" t="n">
        <v>0</v>
      </c>
      <c r="P1157" s="17" t="n">
        <v>0</v>
      </c>
      <c r="Q1157" s="17" t="n">
        <v>2</v>
      </c>
      <c r="R1157" s="17" t="n">
        <v>0</v>
      </c>
      <c r="T1157" s="17">
        <f>DAY(C1157)</f>
        <v/>
      </c>
      <c r="U1157" s="17">
        <f>MONTH(C1157)</f>
        <v/>
      </c>
    </row>
    <row r="1158" ht="22.5" customHeight="1" s="117">
      <c r="A1158" s="14" t="n">
        <v>46026.30863480324</v>
      </c>
      <c r="B1158" s="17" t="inlineStr">
        <is>
          <t>Lê Hồng Phong</t>
        </is>
      </c>
      <c r="C1158" s="16" t="n">
        <v>46026</v>
      </c>
      <c r="D1158" s="17" t="n">
        <v>1</v>
      </c>
      <c r="E1158" s="17" t="n">
        <v>1</v>
      </c>
      <c r="F1158" s="17" t="n">
        <v>1</v>
      </c>
      <c r="G1158" s="17" t="n">
        <v>0</v>
      </c>
      <c r="H1158" s="17" t="n">
        <v>0</v>
      </c>
      <c r="I1158" s="17" t="n">
        <v>1</v>
      </c>
      <c r="J1158" s="17" t="n">
        <v>1</v>
      </c>
      <c r="K1158" s="17" t="n">
        <v>1</v>
      </c>
      <c r="L1158" s="17" t="n">
        <v>1</v>
      </c>
      <c r="M1158" s="17" t="n">
        <v>1</v>
      </c>
      <c r="N1158" s="17" t="n">
        <v>1</v>
      </c>
      <c r="O1158" s="17" t="n">
        <v>1</v>
      </c>
      <c r="P1158" s="17" t="n">
        <v>1</v>
      </c>
      <c r="Q1158" s="17" t="n">
        <v>1</v>
      </c>
      <c r="R1158" s="17" t="n">
        <v>1</v>
      </c>
      <c r="T1158" s="17">
        <f>DAY(C1158)</f>
        <v/>
      </c>
      <c r="U1158" s="17">
        <f>MONTH(C1158)</f>
        <v/>
      </c>
    </row>
    <row r="1159" ht="22.5" customHeight="1" s="117">
      <c r="A1159" s="14" t="n">
        <v>46026.31038461805</v>
      </c>
      <c r="B1159" s="17" t="inlineStr">
        <is>
          <t>Lê Quốc Duy</t>
        </is>
      </c>
      <c r="C1159" s="16" t="n">
        <v>46025</v>
      </c>
      <c r="D1159" s="17" t="n">
        <v>1</v>
      </c>
      <c r="E1159" s="17" t="n">
        <v>0</v>
      </c>
      <c r="F1159" s="17" t="n">
        <v>0</v>
      </c>
      <c r="G1159" s="17" t="n">
        <v>0</v>
      </c>
      <c r="H1159" s="17" t="n">
        <v>0</v>
      </c>
      <c r="I1159" s="17" t="n">
        <v>0</v>
      </c>
      <c r="J1159" s="17" t="n">
        <v>0</v>
      </c>
      <c r="K1159" s="17" t="n">
        <v>0</v>
      </c>
      <c r="L1159" s="17" t="n">
        <v>5</v>
      </c>
      <c r="M1159" s="17" t="n">
        <v>1</v>
      </c>
      <c r="N1159" s="17" t="n">
        <v>0</v>
      </c>
      <c r="O1159" s="17" t="n">
        <v>0</v>
      </c>
      <c r="P1159" s="17" t="n">
        <v>1</v>
      </c>
      <c r="Q1159" s="17" t="n">
        <v>2</v>
      </c>
      <c r="R1159" s="17" t="n">
        <v>0</v>
      </c>
      <c r="T1159" s="17">
        <f>DAY(C1159)</f>
        <v/>
      </c>
      <c r="U1159" s="17">
        <f>MONTH(C1159)</f>
        <v/>
      </c>
    </row>
    <row r="1160" ht="22.5" customHeight="1" s="117">
      <c r="A1160" s="14" t="n">
        <v>46026.31489686343</v>
      </c>
      <c r="B1160" s="17" t="inlineStr">
        <is>
          <t>Nguyễn Tuấn Anh</t>
        </is>
      </c>
      <c r="C1160" s="16" t="n">
        <v>46025</v>
      </c>
      <c r="D1160" s="17" t="n">
        <v>0</v>
      </c>
      <c r="E1160" s="17" t="n">
        <v>0</v>
      </c>
      <c r="F1160" s="17" t="n">
        <v>0</v>
      </c>
      <c r="G1160" s="17" t="n">
        <v>0</v>
      </c>
      <c r="H1160" s="17" t="n">
        <v>0</v>
      </c>
      <c r="I1160" s="17" t="n">
        <v>0</v>
      </c>
      <c r="J1160" s="17" t="n">
        <v>0</v>
      </c>
      <c r="K1160" s="17" t="n">
        <v>5</v>
      </c>
      <c r="L1160" s="17" t="n">
        <v>1</v>
      </c>
      <c r="M1160" s="17" t="n">
        <v>0</v>
      </c>
      <c r="N1160" s="17" t="n">
        <v>0</v>
      </c>
      <c r="O1160" s="17" t="n">
        <v>0</v>
      </c>
      <c r="P1160" s="17" t="n">
        <v>0</v>
      </c>
      <c r="Q1160" s="17" t="n">
        <v>2</v>
      </c>
      <c r="R1160" s="17" t="n">
        <v>0</v>
      </c>
      <c r="T1160" s="17">
        <f>DAY(C1160)</f>
        <v/>
      </c>
      <c r="U1160" s="17">
        <f>MONTH(C1160)</f>
        <v/>
      </c>
    </row>
    <row r="1161" hidden="1" ht="22.5" customHeight="1" s="117">
      <c r="A1161" s="14" t="n">
        <v>46026.33220899306</v>
      </c>
      <c r="B1161" s="17" t="inlineStr">
        <is>
          <t>Nguyễn Thành Lâm</t>
        </is>
      </c>
      <c r="C1161" s="16" t="n">
        <v>43833</v>
      </c>
      <c r="D1161" s="17" t="n">
        <v>0</v>
      </c>
      <c r="E1161" s="17" t="n">
        <v>0</v>
      </c>
      <c r="F1161" s="17" t="n">
        <v>0</v>
      </c>
      <c r="G1161" s="17" t="n">
        <v>0</v>
      </c>
      <c r="H1161" s="17" t="n">
        <v>0</v>
      </c>
      <c r="I1161" s="17" t="n">
        <v>0</v>
      </c>
      <c r="J1161" s="17" t="n">
        <v>0</v>
      </c>
      <c r="K1161" s="17" t="n">
        <v>0</v>
      </c>
      <c r="L1161" s="17" t="n">
        <v>2</v>
      </c>
      <c r="M1161" s="17" t="n">
        <v>0</v>
      </c>
      <c r="N1161" s="17" t="n">
        <v>0</v>
      </c>
      <c r="O1161" s="17" t="n">
        <v>0</v>
      </c>
      <c r="P1161" s="17" t="n">
        <v>0</v>
      </c>
      <c r="Q1161" s="17" t="n">
        <v>1</v>
      </c>
      <c r="R1161" s="17" t="n">
        <v>0</v>
      </c>
      <c r="T1161" s="17">
        <f>DAY(C1161)</f>
        <v/>
      </c>
      <c r="U1161" s="17">
        <f>MONTH(C1161)</f>
        <v/>
      </c>
    </row>
    <row r="1162" ht="22.5" customHeight="1" s="117">
      <c r="A1162" s="14" t="n">
        <v>46026.34024668981</v>
      </c>
      <c r="B1162" s="17" t="inlineStr">
        <is>
          <t>Đặng Hữu Danh</t>
        </is>
      </c>
      <c r="C1162" s="16" t="n">
        <v>46025</v>
      </c>
      <c r="D1162" s="17" t="n">
        <v>0</v>
      </c>
      <c r="E1162" s="17" t="n">
        <v>0</v>
      </c>
      <c r="F1162" s="17" t="n">
        <v>0</v>
      </c>
      <c r="G1162" s="17" t="n">
        <v>0</v>
      </c>
      <c r="H1162" s="17" t="n">
        <v>0</v>
      </c>
      <c r="I1162" s="17" t="n">
        <v>0</v>
      </c>
      <c r="J1162" s="17" t="n">
        <v>0</v>
      </c>
      <c r="K1162" s="17" t="n">
        <v>0</v>
      </c>
      <c r="L1162" s="17" t="n">
        <v>3</v>
      </c>
      <c r="M1162" s="17" t="n">
        <v>0</v>
      </c>
      <c r="N1162" s="17" t="n">
        <v>0</v>
      </c>
      <c r="O1162" s="17" t="n">
        <v>0</v>
      </c>
      <c r="P1162" s="17" t="n">
        <v>1</v>
      </c>
      <c r="Q1162" s="17" t="n">
        <v>2</v>
      </c>
      <c r="R1162" s="17" t="n">
        <v>0</v>
      </c>
      <c r="T1162" s="17">
        <f>DAY(C1162)</f>
        <v/>
      </c>
      <c r="U1162" s="17">
        <f>MONTH(C1162)</f>
        <v/>
      </c>
    </row>
    <row r="1163" hidden="1" ht="22.5" customHeight="1" s="117">
      <c r="A1163" s="14" t="n">
        <v>46026.34052473379</v>
      </c>
      <c r="B1163" s="17" t="inlineStr">
        <is>
          <t>Lê Văn Hồng</t>
        </is>
      </c>
      <c r="C1163" s="16" t="inlineStr">
        <is>
          <t>1/3/1026</t>
        </is>
      </c>
      <c r="D1163" s="17" t="n">
        <v>2</v>
      </c>
      <c r="E1163" s="17" t="n">
        <v>0</v>
      </c>
      <c r="F1163" s="17" t="n">
        <v>0</v>
      </c>
      <c r="G1163" s="17" t="n">
        <v>0</v>
      </c>
      <c r="H1163" s="17" t="n">
        <v>0</v>
      </c>
      <c r="I1163" s="17" t="n">
        <v>0</v>
      </c>
      <c r="J1163" s="17" t="n">
        <v>0</v>
      </c>
      <c r="K1163" s="17" t="n">
        <v>5</v>
      </c>
      <c r="L1163" s="17" t="n">
        <v>1</v>
      </c>
      <c r="M1163" s="17" t="n">
        <v>2</v>
      </c>
      <c r="N1163" s="17" t="n">
        <v>0</v>
      </c>
      <c r="O1163" s="17" t="n">
        <v>0</v>
      </c>
      <c r="P1163" s="17" t="n">
        <v>1</v>
      </c>
      <c r="Q1163" s="17" t="n">
        <v>2</v>
      </c>
      <c r="R1163" s="17" t="n">
        <v>0</v>
      </c>
      <c r="T1163" s="17">
        <f>DAY(C1163)</f>
        <v/>
      </c>
      <c r="U1163" s="17">
        <f>MONTH(C1163)</f>
        <v/>
      </c>
    </row>
    <row r="1164" ht="22.5" customHeight="1" s="117">
      <c r="A1164" s="14" t="n">
        <v>46026.34379096065</v>
      </c>
      <c r="B1164" s="17" t="inlineStr">
        <is>
          <t>Nguyễn Hồng Minh</t>
        </is>
      </c>
      <c r="C1164" s="16" t="n">
        <v>46025</v>
      </c>
      <c r="D1164" s="17" t="n">
        <v>0</v>
      </c>
      <c r="E1164" s="17" t="n">
        <v>0</v>
      </c>
      <c r="F1164" s="17" t="n">
        <v>0</v>
      </c>
      <c r="G1164" s="17" t="n">
        <v>0</v>
      </c>
      <c r="H1164" s="17" t="n">
        <v>0</v>
      </c>
      <c r="I1164" s="17" t="n">
        <v>3</v>
      </c>
      <c r="J1164" s="17" t="n">
        <v>0</v>
      </c>
      <c r="K1164" s="17" t="n">
        <v>0</v>
      </c>
      <c r="L1164" s="17" t="n">
        <v>0</v>
      </c>
      <c r="M1164" s="17" t="n">
        <v>1</v>
      </c>
      <c r="N1164" s="17" t="n">
        <v>1</v>
      </c>
      <c r="O1164" s="17" t="n">
        <v>0</v>
      </c>
      <c r="P1164" s="17" t="n">
        <v>0</v>
      </c>
      <c r="Q1164" s="17" t="n">
        <v>5</v>
      </c>
      <c r="R1164" s="17" t="n">
        <v>0</v>
      </c>
      <c r="T1164" s="17">
        <f>DAY(C1164)</f>
        <v/>
      </c>
      <c r="U1164" s="17">
        <f>MONTH(C1164)</f>
        <v/>
      </c>
    </row>
    <row r="1165" ht="22.5" customHeight="1" s="117">
      <c r="A1165" s="14" t="n">
        <v>46026.35432328704</v>
      </c>
      <c r="B1165" s="17" t="inlineStr">
        <is>
          <t>Huỳnh Văn Lực</t>
        </is>
      </c>
      <c r="C1165" s="16" t="n">
        <v>46025</v>
      </c>
      <c r="D1165" s="17" t="n">
        <v>0</v>
      </c>
      <c r="E1165" s="17" t="n">
        <v>0</v>
      </c>
      <c r="F1165" s="17" t="n">
        <v>0</v>
      </c>
      <c r="G1165" s="17" t="n">
        <v>0</v>
      </c>
      <c r="H1165" s="17" t="n">
        <v>0</v>
      </c>
      <c r="I1165" s="17" t="n">
        <v>0</v>
      </c>
      <c r="J1165" s="17" t="n">
        <v>0</v>
      </c>
      <c r="K1165" s="17" t="n">
        <v>1</v>
      </c>
      <c r="L1165" s="17" t="n">
        <v>0</v>
      </c>
      <c r="M1165" s="17" t="n">
        <v>0</v>
      </c>
      <c r="N1165" s="17" t="n">
        <v>0</v>
      </c>
      <c r="O1165" s="17" t="n">
        <v>0</v>
      </c>
      <c r="P1165" s="17" t="n">
        <v>1</v>
      </c>
      <c r="Q1165" s="17" t="n">
        <v>1</v>
      </c>
      <c r="R1165" s="17" t="n">
        <v>0</v>
      </c>
      <c r="T1165" s="17">
        <f>DAY(C1165)</f>
        <v/>
      </c>
      <c r="U1165" s="17">
        <f>MONTH(C1165)</f>
        <v/>
      </c>
    </row>
    <row r="1166" hidden="1" ht="22.5" customHeight="1" s="117">
      <c r="A1166" s="14" t="n">
        <v>46026.36281363426</v>
      </c>
      <c r="B1166" s="17" t="inlineStr">
        <is>
          <t>Hồ Thái Minh Trí</t>
        </is>
      </c>
      <c r="C1166" s="16" t="n">
        <v>45660</v>
      </c>
      <c r="D1166" s="17" t="n">
        <v>0</v>
      </c>
      <c r="E1166" s="17" t="n">
        <v>0</v>
      </c>
      <c r="F1166" s="17" t="n">
        <v>0</v>
      </c>
      <c r="G1166" s="17" t="n">
        <v>1</v>
      </c>
      <c r="H1166" s="17" t="n">
        <v>1</v>
      </c>
      <c r="I1166" s="17" t="n">
        <v>0</v>
      </c>
      <c r="J1166" s="17" t="n">
        <v>0</v>
      </c>
      <c r="K1166" s="17" t="n">
        <v>0</v>
      </c>
      <c r="L1166" s="17" t="n">
        <v>0</v>
      </c>
      <c r="M1166" s="17" t="n">
        <v>1</v>
      </c>
      <c r="N1166" s="17" t="n">
        <v>0</v>
      </c>
      <c r="O1166" s="17" t="n">
        <v>0</v>
      </c>
      <c r="P1166" s="17" t="n">
        <v>0</v>
      </c>
      <c r="Q1166" s="17" t="n">
        <v>3</v>
      </c>
      <c r="R1166" s="17" t="n">
        <v>0</v>
      </c>
      <c r="T1166" s="17">
        <f>DAY(C1166)</f>
        <v/>
      </c>
      <c r="U1166" s="17">
        <f>MONTH(C1166)</f>
        <v/>
      </c>
    </row>
    <row r="1167" ht="22.5" customHeight="1" s="117">
      <c r="A1167" s="14" t="n">
        <v>46026.38020282408</v>
      </c>
      <c r="B1167" s="17" t="inlineStr">
        <is>
          <t>Đặng Hoài Anh</t>
        </is>
      </c>
      <c r="C1167" s="16" t="n">
        <v>46025</v>
      </c>
      <c r="D1167" s="17" t="n">
        <v>0</v>
      </c>
      <c r="E1167" s="17" t="n">
        <v>0</v>
      </c>
      <c r="F1167" s="17" t="n">
        <v>0</v>
      </c>
      <c r="G1167" s="17" t="n">
        <v>0</v>
      </c>
      <c r="H1167" s="17" t="n">
        <v>0</v>
      </c>
      <c r="I1167" s="17" t="n">
        <v>0</v>
      </c>
      <c r="J1167" s="17" t="n">
        <v>0</v>
      </c>
      <c r="K1167" s="17" t="n">
        <v>0</v>
      </c>
      <c r="L1167" s="17" t="n">
        <v>0</v>
      </c>
      <c r="M1167" s="17" t="n">
        <v>0</v>
      </c>
      <c r="N1167" s="17" t="n">
        <v>0</v>
      </c>
      <c r="O1167" s="17" t="n">
        <v>0</v>
      </c>
      <c r="P1167" s="17" t="n">
        <v>0</v>
      </c>
      <c r="Q1167" s="17" t="n">
        <v>1</v>
      </c>
      <c r="R1167" s="17" t="n">
        <v>0</v>
      </c>
      <c r="T1167" s="17">
        <f>DAY(C1167)</f>
        <v/>
      </c>
      <c r="U1167" s="17">
        <f>MONTH(C1167)</f>
        <v/>
      </c>
    </row>
    <row r="1168" ht="22.5" customHeight="1" s="117">
      <c r="A1168" s="14" t="n">
        <v>46026.41667017361</v>
      </c>
      <c r="B1168" s="17" t="inlineStr">
        <is>
          <t>Trần Minh Khánh</t>
        </is>
      </c>
      <c r="C1168" s="16" t="n">
        <v>46025</v>
      </c>
      <c r="D1168" s="17" t="n">
        <v>0</v>
      </c>
      <c r="E1168" s="17" t="n">
        <v>0</v>
      </c>
      <c r="F1168" s="17" t="n">
        <v>0</v>
      </c>
      <c r="G1168" s="17" t="n">
        <v>0</v>
      </c>
      <c r="H1168" s="17" t="n">
        <v>0</v>
      </c>
      <c r="I1168" s="17" t="n">
        <v>1</v>
      </c>
      <c r="J1168" s="17" t="n">
        <v>0</v>
      </c>
      <c r="K1168" s="17" t="n">
        <v>0</v>
      </c>
      <c r="L1168" s="17" t="n">
        <v>3</v>
      </c>
      <c r="M1168" s="17" t="n">
        <v>0</v>
      </c>
      <c r="N1168" s="17" t="n">
        <v>0</v>
      </c>
      <c r="O1168" s="17" t="n">
        <v>0</v>
      </c>
      <c r="P1168" s="17" t="n">
        <v>0</v>
      </c>
      <c r="Q1168" s="17" t="n">
        <v>3</v>
      </c>
      <c r="R1168" s="17" t="n">
        <v>0</v>
      </c>
      <c r="T1168" s="17">
        <f>DAY(C1168)</f>
        <v/>
      </c>
      <c r="U1168" s="17">
        <f>MONTH(C1168)</f>
        <v/>
      </c>
    </row>
    <row r="1169" ht="22.5" customHeight="1" s="117">
      <c r="A1169" s="14" t="n">
        <v>46027.24856855324</v>
      </c>
      <c r="B1169" s="17" t="inlineStr">
        <is>
          <t>Phan Thành Thái</t>
        </is>
      </c>
      <c r="C1169" s="16" t="n">
        <v>46026</v>
      </c>
      <c r="D1169" s="17" t="n">
        <v>0</v>
      </c>
      <c r="E1169" s="17" t="n">
        <v>0</v>
      </c>
      <c r="F1169" s="17" t="n">
        <v>0</v>
      </c>
      <c r="G1169" s="17" t="n">
        <v>0</v>
      </c>
      <c r="H1169" s="17" t="n">
        <v>0</v>
      </c>
      <c r="I1169" s="17" t="n">
        <v>2</v>
      </c>
      <c r="J1169" s="17" t="n">
        <v>0</v>
      </c>
      <c r="K1169" s="17" t="n">
        <v>0</v>
      </c>
      <c r="L1169" s="17" t="n">
        <v>2</v>
      </c>
      <c r="M1169" s="17" t="n">
        <v>0</v>
      </c>
      <c r="N1169" s="17" t="n">
        <v>0</v>
      </c>
      <c r="O1169" s="17" t="n">
        <v>0</v>
      </c>
      <c r="P1169" s="17" t="n">
        <v>1</v>
      </c>
      <c r="Q1169" s="17" t="n">
        <v>6</v>
      </c>
      <c r="R1169" s="17" t="n">
        <v>0</v>
      </c>
      <c r="T1169" s="17">
        <f>DAY(C1169)</f>
        <v/>
      </c>
      <c r="U1169" s="17">
        <f>MONTH(C1169)</f>
        <v/>
      </c>
    </row>
    <row r="1170" ht="22.5" customHeight="1" s="117">
      <c r="A1170" s="14" t="n">
        <v>46027.27639733796</v>
      </c>
      <c r="B1170" s="17" t="inlineStr">
        <is>
          <t>Phan Ngọc Sang</t>
        </is>
      </c>
      <c r="C1170" s="16" t="n">
        <v>46026</v>
      </c>
      <c r="D1170" s="17" t="n">
        <v>0</v>
      </c>
      <c r="E1170" s="17" t="n">
        <v>0</v>
      </c>
      <c r="F1170" s="17" t="n">
        <v>0</v>
      </c>
      <c r="G1170" s="17" t="n">
        <v>0</v>
      </c>
      <c r="H1170" s="17" t="n">
        <v>0</v>
      </c>
      <c r="I1170" s="17" t="n">
        <v>1</v>
      </c>
      <c r="J1170" s="17" t="n">
        <v>0</v>
      </c>
      <c r="K1170" s="17" t="n">
        <v>0</v>
      </c>
      <c r="L1170" s="17" t="n">
        <v>1</v>
      </c>
      <c r="M1170" s="17" t="n">
        <v>1</v>
      </c>
      <c r="N1170" s="17" t="n">
        <v>0</v>
      </c>
      <c r="O1170" s="17" t="n">
        <v>0</v>
      </c>
      <c r="P1170" s="17" t="n">
        <v>0</v>
      </c>
      <c r="Q1170" s="17" t="n">
        <v>1</v>
      </c>
      <c r="R1170" s="17" t="n">
        <v>0</v>
      </c>
      <c r="T1170" s="17">
        <f>DAY(C1170)</f>
        <v/>
      </c>
      <c r="U1170" s="17">
        <f>MONTH(C1170)</f>
        <v/>
      </c>
    </row>
    <row r="1171" ht="22.5" customHeight="1" s="117">
      <c r="A1171" s="14" t="n">
        <v>46027.27783512732</v>
      </c>
      <c r="B1171" s="17" t="inlineStr">
        <is>
          <t>Dương Minh Tiến</t>
        </is>
      </c>
      <c r="C1171" s="16" t="n">
        <v>46026</v>
      </c>
      <c r="D1171" s="17" t="n">
        <v>0</v>
      </c>
      <c r="E1171" s="17" t="n">
        <v>0</v>
      </c>
      <c r="F1171" s="17" t="n">
        <v>0</v>
      </c>
      <c r="G1171" s="17" t="n">
        <v>0</v>
      </c>
      <c r="H1171" s="17" t="n">
        <v>0</v>
      </c>
      <c r="I1171" s="17" t="n">
        <v>0</v>
      </c>
      <c r="J1171" s="17" t="n">
        <v>0</v>
      </c>
      <c r="K1171" s="17" t="n">
        <v>0</v>
      </c>
      <c r="L1171" s="17" t="n">
        <v>4</v>
      </c>
      <c r="M1171" s="17" t="n">
        <v>0</v>
      </c>
      <c r="N1171" s="17" t="n">
        <v>0</v>
      </c>
      <c r="O1171" s="17" t="n">
        <v>0</v>
      </c>
      <c r="P1171" s="17" t="n">
        <v>0</v>
      </c>
      <c r="Q1171" s="17" t="n">
        <v>0</v>
      </c>
      <c r="R1171" s="17" t="n">
        <v>0</v>
      </c>
      <c r="T1171" s="17">
        <f>DAY(C1171)</f>
        <v/>
      </c>
      <c r="U1171" s="17">
        <f>MONTH(C1171)</f>
        <v/>
      </c>
    </row>
    <row r="1172" ht="22.5" customHeight="1" s="117">
      <c r="A1172" s="14" t="n">
        <v>46027.28381530093</v>
      </c>
      <c r="B1172" s="17" t="inlineStr">
        <is>
          <t>Đào Công Trung</t>
        </is>
      </c>
      <c r="C1172" s="16" t="n">
        <v>46026</v>
      </c>
      <c r="D1172" s="17" t="n">
        <v>0</v>
      </c>
      <c r="E1172" s="17" t="n">
        <v>0</v>
      </c>
      <c r="F1172" s="17" t="n">
        <v>0</v>
      </c>
      <c r="G1172" s="17" t="n">
        <v>0</v>
      </c>
      <c r="H1172" s="17" t="n">
        <v>0</v>
      </c>
      <c r="I1172" s="17" t="n">
        <v>0</v>
      </c>
      <c r="J1172" s="17" t="n">
        <v>0</v>
      </c>
      <c r="K1172" s="17" t="n">
        <v>0</v>
      </c>
      <c r="L1172" s="17" t="n">
        <v>4</v>
      </c>
      <c r="M1172" s="17" t="n">
        <v>0</v>
      </c>
      <c r="N1172" s="17" t="n">
        <v>0</v>
      </c>
      <c r="O1172" s="17" t="n">
        <v>0</v>
      </c>
      <c r="P1172" s="17" t="n">
        <v>0</v>
      </c>
      <c r="Q1172" s="17" t="n">
        <v>0</v>
      </c>
      <c r="R1172" s="17" t="n">
        <v>0</v>
      </c>
      <c r="T1172" s="17">
        <f>DAY(C1172)</f>
        <v/>
      </c>
      <c r="U1172" s="17">
        <f>MONTH(C1172)</f>
        <v/>
      </c>
    </row>
    <row r="1173" ht="22.5" customHeight="1" s="117">
      <c r="A1173" s="14" t="n">
        <v>46027.28396594907</v>
      </c>
      <c r="B1173" s="17" t="inlineStr">
        <is>
          <t>Nguyễn Văn Hiệp</t>
        </is>
      </c>
      <c r="C1173" s="16" t="n">
        <v>46026</v>
      </c>
      <c r="D1173" s="17" t="n">
        <v>0</v>
      </c>
      <c r="E1173" s="17" t="n">
        <v>0</v>
      </c>
      <c r="F1173" s="17" t="n">
        <v>0</v>
      </c>
      <c r="G1173" s="17" t="n">
        <v>0</v>
      </c>
      <c r="H1173" s="17" t="n">
        <v>0</v>
      </c>
      <c r="I1173" s="17" t="n">
        <v>0</v>
      </c>
      <c r="J1173" s="17" t="n">
        <v>0</v>
      </c>
      <c r="K1173" s="17" t="n">
        <v>0</v>
      </c>
      <c r="L1173" s="17" t="n">
        <v>0</v>
      </c>
      <c r="M1173" s="17" t="n">
        <v>0</v>
      </c>
      <c r="N1173" s="17" t="n">
        <v>0</v>
      </c>
      <c r="O1173" s="17" t="n">
        <v>0</v>
      </c>
      <c r="P1173" s="17" t="n">
        <v>0</v>
      </c>
      <c r="Q1173" s="17" t="n">
        <v>1</v>
      </c>
      <c r="R1173" s="17" t="n">
        <v>0</v>
      </c>
      <c r="T1173" s="17">
        <f>DAY(C1173)</f>
        <v/>
      </c>
      <c r="U1173" s="17">
        <f>MONTH(C1173)</f>
        <v/>
      </c>
    </row>
    <row r="1174" ht="22.5" customHeight="1" s="117">
      <c r="A1174" s="14" t="n">
        <v>46027.28467793982</v>
      </c>
      <c r="B1174" s="17" t="inlineStr">
        <is>
          <t>Huỳnh Văn Lực</t>
        </is>
      </c>
      <c r="C1174" s="16" t="n">
        <v>46026</v>
      </c>
      <c r="D1174" s="17" t="n">
        <v>0</v>
      </c>
      <c r="E1174" s="17" t="n">
        <v>0</v>
      </c>
      <c r="F1174" s="17" t="n">
        <v>0</v>
      </c>
      <c r="G1174" s="17" t="n">
        <v>0</v>
      </c>
      <c r="H1174" s="17" t="n">
        <v>0</v>
      </c>
      <c r="I1174" s="17" t="n">
        <v>0</v>
      </c>
      <c r="J1174" s="17" t="n">
        <v>0</v>
      </c>
      <c r="K1174" s="17" t="n">
        <v>5</v>
      </c>
      <c r="L1174" s="17" t="n">
        <v>0</v>
      </c>
      <c r="M1174" s="17" t="n">
        <v>0</v>
      </c>
      <c r="N1174" s="17" t="n">
        <v>0</v>
      </c>
      <c r="O1174" s="17" t="n">
        <v>0</v>
      </c>
      <c r="P1174" s="17" t="n">
        <v>0</v>
      </c>
      <c r="Q1174" s="17" t="n">
        <v>1</v>
      </c>
      <c r="R1174" s="17" t="n">
        <v>0</v>
      </c>
      <c r="T1174" s="17">
        <f>DAY(C1174)</f>
        <v/>
      </c>
      <c r="U1174" s="17">
        <f>MONTH(C1174)</f>
        <v/>
      </c>
    </row>
    <row r="1175" ht="22.5" customHeight="1" s="117">
      <c r="A1175" s="14" t="n">
        <v>46027.28576690972</v>
      </c>
      <c r="B1175" s="17" t="inlineStr">
        <is>
          <t>Lê Hồng Phong</t>
        </is>
      </c>
      <c r="C1175" s="16" t="n">
        <v>46027</v>
      </c>
      <c r="D1175" s="17" t="n">
        <v>1</v>
      </c>
      <c r="E1175" s="17" t="n">
        <v>1</v>
      </c>
      <c r="F1175" s="17" t="n">
        <v>1</v>
      </c>
      <c r="G1175" s="17" t="n">
        <v>0</v>
      </c>
      <c r="H1175" s="17" t="n">
        <v>0</v>
      </c>
      <c r="I1175" s="17" t="n">
        <v>1</v>
      </c>
      <c r="J1175" s="17" t="n">
        <v>1</v>
      </c>
      <c r="K1175" s="17" t="n">
        <v>1</v>
      </c>
      <c r="L1175" s="17" t="n">
        <v>1</v>
      </c>
      <c r="M1175" s="17" t="n">
        <v>1</v>
      </c>
      <c r="N1175" s="17" t="n">
        <v>1</v>
      </c>
      <c r="O1175" s="17" t="n">
        <v>0</v>
      </c>
      <c r="P1175" s="17" t="n">
        <v>1</v>
      </c>
      <c r="Q1175" s="17" t="n">
        <v>1</v>
      </c>
      <c r="R1175" s="17" t="n">
        <v>1</v>
      </c>
      <c r="T1175" s="17">
        <f>DAY(C1175)</f>
        <v/>
      </c>
      <c r="U1175" s="17">
        <f>MONTH(C1175)</f>
        <v/>
      </c>
    </row>
    <row r="1176" ht="22.5" customHeight="1" s="117">
      <c r="A1176" s="14" t="n">
        <v>46027.28705116898</v>
      </c>
      <c r="B1176" s="17" t="inlineStr">
        <is>
          <t>Nguyễn Quang Anh Tuấn</t>
        </is>
      </c>
      <c r="C1176" s="16" t="n">
        <v>46026</v>
      </c>
      <c r="D1176" s="17" t="n">
        <v>1</v>
      </c>
      <c r="E1176" s="17" t="n">
        <v>0</v>
      </c>
      <c r="F1176" s="17" t="n">
        <v>0</v>
      </c>
      <c r="G1176" s="17" t="n">
        <v>0</v>
      </c>
      <c r="H1176" s="17" t="n">
        <v>0</v>
      </c>
      <c r="I1176" s="17" t="n">
        <v>0</v>
      </c>
      <c r="J1176" s="17" t="n">
        <v>0</v>
      </c>
      <c r="K1176" s="17" t="n">
        <v>0</v>
      </c>
      <c r="L1176" s="17" t="n">
        <v>0</v>
      </c>
      <c r="M1176" s="17" t="n">
        <v>1</v>
      </c>
      <c r="N1176" s="17" t="n">
        <v>0</v>
      </c>
      <c r="O1176" s="17" t="n">
        <v>0</v>
      </c>
      <c r="P1176" s="17" t="n">
        <v>0</v>
      </c>
      <c r="Q1176" s="17" t="n">
        <v>1</v>
      </c>
      <c r="R1176" s="17" t="n">
        <v>0</v>
      </c>
      <c r="T1176" s="17">
        <f>DAY(C1176)</f>
        <v/>
      </c>
      <c r="U1176" s="17">
        <f>MONTH(C1176)</f>
        <v/>
      </c>
    </row>
    <row r="1177" ht="22.5" customHeight="1" s="117">
      <c r="A1177" s="14" t="n">
        <v>46027.28713719908</v>
      </c>
      <c r="B1177" s="17" t="inlineStr">
        <is>
          <t>Đặng Hữu Danh</t>
        </is>
      </c>
      <c r="C1177" s="16" t="n">
        <v>46026</v>
      </c>
      <c r="D1177" s="17" t="n">
        <v>0</v>
      </c>
      <c r="E1177" s="17" t="n">
        <v>0</v>
      </c>
      <c r="F1177" s="17" t="n">
        <v>0</v>
      </c>
      <c r="G1177" s="17" t="n">
        <v>0</v>
      </c>
      <c r="H1177" s="17" t="n">
        <v>0</v>
      </c>
      <c r="I1177" s="17" t="n">
        <v>0</v>
      </c>
      <c r="J1177" s="17" t="n">
        <v>0</v>
      </c>
      <c r="K1177" s="17" t="n">
        <v>0</v>
      </c>
      <c r="L1177" s="17" t="n">
        <v>5</v>
      </c>
      <c r="M1177" s="17" t="n">
        <v>0</v>
      </c>
      <c r="N1177" s="17" t="n">
        <v>0</v>
      </c>
      <c r="O1177" s="17" t="n">
        <v>0</v>
      </c>
      <c r="P1177" s="17" t="n">
        <v>1</v>
      </c>
      <c r="Q1177" s="17" t="n">
        <v>2</v>
      </c>
      <c r="R1177" s="17" t="n">
        <v>0</v>
      </c>
      <c r="T1177" s="17">
        <f>DAY(C1177)</f>
        <v/>
      </c>
      <c r="U1177" s="17">
        <f>MONTH(C1177)</f>
        <v/>
      </c>
    </row>
    <row r="1178" hidden="1" ht="22.5" customHeight="1" s="117">
      <c r="A1178" s="14" t="n">
        <v>46027.28714597222</v>
      </c>
      <c r="B1178" s="17" t="inlineStr">
        <is>
          <t>Nguyễn Thành Lâm</t>
        </is>
      </c>
      <c r="C1178" s="16" t="n">
        <v>45661</v>
      </c>
      <c r="D1178" s="17" t="n">
        <v>0</v>
      </c>
      <c r="E1178" s="17" t="n">
        <v>0</v>
      </c>
      <c r="F1178" s="17" t="n">
        <v>0</v>
      </c>
      <c r="G1178" s="17" t="n">
        <v>0</v>
      </c>
      <c r="H1178" s="17" t="n">
        <v>0</v>
      </c>
      <c r="I1178" s="17" t="n">
        <v>0</v>
      </c>
      <c r="J1178" s="17" t="n">
        <v>0</v>
      </c>
      <c r="K1178" s="17" t="n">
        <v>2</v>
      </c>
      <c r="L1178" s="17" t="n">
        <v>0</v>
      </c>
      <c r="M1178" s="17" t="n">
        <v>0</v>
      </c>
      <c r="N1178" s="17" t="n">
        <v>0</v>
      </c>
      <c r="O1178" s="17" t="n">
        <v>0</v>
      </c>
      <c r="P1178" s="17" t="n">
        <v>0</v>
      </c>
      <c r="Q1178" s="17" t="n">
        <v>1</v>
      </c>
      <c r="R1178" s="17" t="n">
        <v>0</v>
      </c>
      <c r="T1178" s="17">
        <f>DAY(C1178)</f>
        <v/>
      </c>
      <c r="U1178" s="17">
        <f>MONTH(C1178)</f>
        <v/>
      </c>
    </row>
    <row r="1179" ht="22.5" customHeight="1" s="117">
      <c r="A1179" s="14" t="n">
        <v>46027.28795010417</v>
      </c>
      <c r="B1179" s="17" t="inlineStr">
        <is>
          <t>Hồ Xuân Việt</t>
        </is>
      </c>
      <c r="C1179" s="16" t="n">
        <v>46026</v>
      </c>
      <c r="D1179" s="17" t="n">
        <v>0</v>
      </c>
      <c r="E1179" s="17" t="n">
        <v>0</v>
      </c>
      <c r="F1179" s="17" t="n">
        <v>0</v>
      </c>
      <c r="G1179" s="17" t="n">
        <v>0</v>
      </c>
      <c r="H1179" s="17" t="n">
        <v>0</v>
      </c>
      <c r="I1179" s="17" t="n">
        <v>0</v>
      </c>
      <c r="J1179" s="17" t="n">
        <v>0</v>
      </c>
      <c r="K1179" s="17" t="n">
        <v>0</v>
      </c>
      <c r="L1179" s="17" t="n">
        <v>0</v>
      </c>
      <c r="M1179" s="17" t="n">
        <v>0</v>
      </c>
      <c r="N1179" s="17" t="n">
        <v>0</v>
      </c>
      <c r="O1179" s="17" t="n">
        <v>0</v>
      </c>
      <c r="P1179" s="17" t="n">
        <v>0</v>
      </c>
      <c r="Q1179" s="17" t="n">
        <v>1</v>
      </c>
      <c r="R1179" s="17" t="n">
        <v>0</v>
      </c>
      <c r="T1179" s="17">
        <f>DAY(C1179)</f>
        <v/>
      </c>
      <c r="U1179" s="17">
        <f>MONTH(C1179)</f>
        <v/>
      </c>
    </row>
    <row r="1180" ht="22.5" customHeight="1" s="117">
      <c r="A1180" s="14" t="n">
        <v>46027.28908931713</v>
      </c>
      <c r="B1180" s="17" t="inlineStr">
        <is>
          <t>Trần Trung Giang</t>
        </is>
      </c>
      <c r="C1180" s="16" t="n">
        <v>46026</v>
      </c>
      <c r="D1180" s="17" t="n">
        <v>0</v>
      </c>
      <c r="E1180" s="17" t="n">
        <v>0</v>
      </c>
      <c r="F1180" s="17" t="n">
        <v>0</v>
      </c>
      <c r="G1180" s="17" t="n">
        <v>0</v>
      </c>
      <c r="H1180" s="17" t="n">
        <v>0</v>
      </c>
      <c r="I1180" s="17" t="n">
        <v>0</v>
      </c>
      <c r="J1180" s="17" t="n">
        <v>0</v>
      </c>
      <c r="K1180" s="17" t="n">
        <v>0</v>
      </c>
      <c r="L1180" s="17" t="n">
        <v>0</v>
      </c>
      <c r="M1180" s="17" t="n">
        <v>0</v>
      </c>
      <c r="N1180" s="17" t="n">
        <v>0</v>
      </c>
      <c r="O1180" s="17" t="n">
        <v>0</v>
      </c>
      <c r="P1180" s="17" t="n">
        <v>0</v>
      </c>
      <c r="Q1180" s="17" t="n">
        <v>0</v>
      </c>
      <c r="R1180" s="17" t="n">
        <v>0</v>
      </c>
      <c r="T1180" s="17">
        <f>DAY(C1180)</f>
        <v/>
      </c>
      <c r="U1180" s="17">
        <f>MONTH(C1180)</f>
        <v/>
      </c>
    </row>
    <row r="1181" ht="22.5" customHeight="1" s="117">
      <c r="A1181" s="14" t="n">
        <v>46027.29009921297</v>
      </c>
      <c r="B1181" s="17" t="inlineStr">
        <is>
          <t>Lương Duy Hải</t>
        </is>
      </c>
      <c r="C1181" s="16" t="n">
        <v>46026</v>
      </c>
      <c r="D1181" s="17" t="n">
        <v>0</v>
      </c>
      <c r="E1181" s="17" t="n">
        <v>0</v>
      </c>
      <c r="F1181" s="17" t="n">
        <v>0</v>
      </c>
      <c r="G1181" s="17" t="n">
        <v>0</v>
      </c>
      <c r="H1181" s="17" t="n">
        <v>0</v>
      </c>
      <c r="I1181" s="17" t="n">
        <v>0</v>
      </c>
      <c r="J1181" s="17" t="n">
        <v>0</v>
      </c>
      <c r="K1181" s="17" t="n">
        <v>2</v>
      </c>
      <c r="L1181" s="17" t="n">
        <v>1</v>
      </c>
      <c r="M1181" s="17" t="n">
        <v>1</v>
      </c>
      <c r="N1181" s="17" t="n">
        <v>0</v>
      </c>
      <c r="O1181" s="17" t="n">
        <v>0</v>
      </c>
      <c r="P1181" s="17" t="n">
        <v>1</v>
      </c>
      <c r="Q1181" s="17" t="n">
        <v>2</v>
      </c>
      <c r="R1181" s="17" t="n">
        <v>1</v>
      </c>
      <c r="T1181" s="17">
        <f>DAY(C1181)</f>
        <v/>
      </c>
      <c r="U1181" s="17">
        <f>MONTH(C1181)</f>
        <v/>
      </c>
    </row>
    <row r="1182" ht="22.5" customHeight="1" s="117">
      <c r="A1182" s="14" t="n">
        <v>46027.29077903935</v>
      </c>
      <c r="B1182" s="17" t="inlineStr">
        <is>
          <t>Vòng Nhật Sang</t>
        </is>
      </c>
      <c r="C1182" s="16" t="n">
        <v>46026</v>
      </c>
      <c r="D1182" s="17" t="n">
        <v>0</v>
      </c>
      <c r="E1182" s="17" t="n">
        <v>0</v>
      </c>
      <c r="F1182" s="17" t="n">
        <v>0</v>
      </c>
      <c r="G1182" s="17" t="n">
        <v>0</v>
      </c>
      <c r="H1182" s="17" t="n">
        <v>0</v>
      </c>
      <c r="I1182" s="17" t="n">
        <v>0</v>
      </c>
      <c r="J1182" s="17" t="n">
        <v>0</v>
      </c>
      <c r="K1182" s="17" t="n">
        <v>0</v>
      </c>
      <c r="L1182" s="17" t="n">
        <v>0</v>
      </c>
      <c r="M1182" s="17" t="n">
        <v>0</v>
      </c>
      <c r="N1182" s="17" t="n">
        <v>0</v>
      </c>
      <c r="O1182" s="17" t="n">
        <v>0</v>
      </c>
      <c r="P1182" s="17" t="n">
        <v>1</v>
      </c>
      <c r="Q1182" s="17" t="n">
        <v>2</v>
      </c>
      <c r="R1182" s="17" t="n">
        <v>0</v>
      </c>
      <c r="T1182" s="17">
        <f>DAY(C1182)</f>
        <v/>
      </c>
      <c r="U1182" s="17">
        <f>MONTH(C1182)</f>
        <v/>
      </c>
    </row>
    <row r="1183" ht="22.5" customHeight="1" s="117">
      <c r="A1183" s="14" t="n">
        <v>46027.29446105324</v>
      </c>
      <c r="B1183" s="17" t="inlineStr">
        <is>
          <t>Trần Xuân Khoa</t>
        </is>
      </c>
      <c r="C1183" s="16" t="n">
        <v>46026</v>
      </c>
      <c r="D1183" s="17" t="n">
        <v>0</v>
      </c>
      <c r="E1183" s="17" t="n">
        <v>0</v>
      </c>
      <c r="F1183" s="17" t="n">
        <v>0</v>
      </c>
      <c r="G1183" s="17" t="n">
        <v>0</v>
      </c>
      <c r="H1183" s="17" t="n">
        <v>0</v>
      </c>
      <c r="I1183" s="17" t="n">
        <v>0</v>
      </c>
      <c r="J1183" s="17" t="n">
        <v>0</v>
      </c>
      <c r="K1183" s="17" t="n">
        <v>0</v>
      </c>
      <c r="L1183" s="17" t="n">
        <v>2</v>
      </c>
      <c r="M1183" s="17" t="n">
        <v>0</v>
      </c>
      <c r="N1183" s="17" t="n">
        <v>0</v>
      </c>
      <c r="O1183" s="17" t="n">
        <v>0</v>
      </c>
      <c r="P1183" s="17" t="n">
        <v>1</v>
      </c>
      <c r="Q1183" s="17" t="n">
        <v>2</v>
      </c>
      <c r="R1183" s="17" t="n">
        <v>0</v>
      </c>
      <c r="T1183" s="17">
        <f>DAY(C1183)</f>
        <v/>
      </c>
      <c r="U1183" s="17">
        <f>MONTH(C1183)</f>
        <v/>
      </c>
    </row>
    <row r="1184" ht="22.5" customHeight="1" s="117">
      <c r="A1184" s="14" t="n">
        <v>46027.29723427083</v>
      </c>
      <c r="B1184" s="17" t="inlineStr">
        <is>
          <t>Nguyễn Văn Nhật</t>
        </is>
      </c>
      <c r="C1184" s="16" t="n">
        <v>46026</v>
      </c>
      <c r="D1184" s="17" t="n">
        <v>0</v>
      </c>
      <c r="E1184" s="17" t="n">
        <v>0</v>
      </c>
      <c r="F1184" s="17" t="n">
        <v>0</v>
      </c>
      <c r="G1184" s="17" t="n">
        <v>0</v>
      </c>
      <c r="H1184" s="17" t="n">
        <v>0</v>
      </c>
      <c r="I1184" s="17" t="n">
        <v>0</v>
      </c>
      <c r="J1184" s="17" t="n">
        <v>0</v>
      </c>
      <c r="K1184" s="17" t="n">
        <v>4</v>
      </c>
      <c r="L1184" s="17" t="n">
        <v>0</v>
      </c>
      <c r="M1184" s="17" t="n">
        <v>0</v>
      </c>
      <c r="N1184" s="17" t="n">
        <v>0</v>
      </c>
      <c r="O1184" s="17" t="n">
        <v>0</v>
      </c>
      <c r="P1184" s="17" t="n">
        <v>2</v>
      </c>
      <c r="Q1184" s="17" t="n">
        <v>4</v>
      </c>
      <c r="R1184" s="17" t="n">
        <v>0</v>
      </c>
      <c r="T1184" s="17">
        <f>DAY(C1184)</f>
        <v/>
      </c>
      <c r="U1184" s="17">
        <f>MONTH(C1184)</f>
        <v/>
      </c>
    </row>
    <row r="1185" ht="22.5" customHeight="1" s="117">
      <c r="A1185" s="14" t="n">
        <v>46027.29996839121</v>
      </c>
      <c r="B1185" s="17" t="inlineStr">
        <is>
          <t>Nguyễn Tuấn Anh</t>
        </is>
      </c>
      <c r="C1185" s="16" t="n">
        <v>46026</v>
      </c>
      <c r="D1185" s="17" t="n">
        <v>1</v>
      </c>
      <c r="E1185" s="17" t="n">
        <v>0</v>
      </c>
      <c r="F1185" s="17" t="n">
        <v>0</v>
      </c>
      <c r="G1185" s="17" t="n">
        <v>0</v>
      </c>
      <c r="H1185" s="17" t="n">
        <v>0</v>
      </c>
      <c r="I1185" s="17" t="n">
        <v>0</v>
      </c>
      <c r="J1185" s="17" t="n">
        <v>0</v>
      </c>
      <c r="K1185" s="17" t="n">
        <v>3</v>
      </c>
      <c r="L1185" s="17" t="n">
        <v>1</v>
      </c>
      <c r="M1185" s="17" t="n">
        <v>0</v>
      </c>
      <c r="N1185" s="17" t="n">
        <v>0</v>
      </c>
      <c r="O1185" s="17" t="n">
        <v>0</v>
      </c>
      <c r="P1185" s="17" t="n">
        <v>0</v>
      </c>
      <c r="Q1185" s="17" t="n">
        <v>2</v>
      </c>
      <c r="R1185" s="17" t="n">
        <v>0</v>
      </c>
      <c r="T1185" s="17">
        <f>DAY(C1185)</f>
        <v/>
      </c>
      <c r="U1185" s="17">
        <f>MONTH(C1185)</f>
        <v/>
      </c>
    </row>
    <row r="1186" ht="22.5" customHeight="1" s="117">
      <c r="A1186" s="14" t="n">
        <v>46027.30954961805</v>
      </c>
      <c r="B1186" s="17" t="inlineStr">
        <is>
          <t>Trần Minh Khánh</t>
        </is>
      </c>
      <c r="C1186" s="16" t="n">
        <v>46026</v>
      </c>
      <c r="D1186" s="17" t="n">
        <v>0</v>
      </c>
      <c r="E1186" s="17" t="n">
        <v>0</v>
      </c>
      <c r="F1186" s="17" t="n">
        <v>0</v>
      </c>
      <c r="G1186" s="17" t="n">
        <v>0</v>
      </c>
      <c r="H1186" s="17" t="n">
        <v>0</v>
      </c>
      <c r="I1186" s="17" t="n">
        <v>0</v>
      </c>
      <c r="J1186" s="17" t="n">
        <v>0</v>
      </c>
      <c r="K1186" s="17" t="n">
        <v>2</v>
      </c>
      <c r="L1186" s="17" t="n">
        <v>1</v>
      </c>
      <c r="M1186" s="17" t="n">
        <v>0</v>
      </c>
      <c r="N1186" s="17" t="n">
        <v>0</v>
      </c>
      <c r="O1186" s="17" t="n">
        <v>0</v>
      </c>
      <c r="P1186" s="17" t="n">
        <v>0</v>
      </c>
      <c r="Q1186" s="17" t="n">
        <v>2</v>
      </c>
      <c r="R1186" s="17" t="n">
        <v>0</v>
      </c>
      <c r="T1186" s="17">
        <f>DAY(C1186)</f>
        <v/>
      </c>
      <c r="U1186" s="17">
        <f>MONTH(C1186)</f>
        <v/>
      </c>
    </row>
    <row r="1187" ht="22.5" customHeight="1" s="117">
      <c r="A1187" s="14" t="n">
        <v>46027.318545</v>
      </c>
      <c r="B1187" s="17" t="inlineStr">
        <is>
          <t>Lê Quốc Duy</t>
        </is>
      </c>
      <c r="C1187" s="16" t="n">
        <v>46026</v>
      </c>
      <c r="D1187" s="17" t="n">
        <v>0</v>
      </c>
      <c r="E1187" s="17" t="n">
        <v>0</v>
      </c>
      <c r="F1187" s="17" t="n">
        <v>0</v>
      </c>
      <c r="G1187" s="17" t="n">
        <v>0</v>
      </c>
      <c r="H1187" s="17" t="n">
        <v>0</v>
      </c>
      <c r="I1187" s="17" t="n">
        <v>0</v>
      </c>
      <c r="J1187" s="17" t="n">
        <v>0</v>
      </c>
      <c r="K1187" s="17" t="n">
        <v>0</v>
      </c>
      <c r="L1187" s="17" t="n">
        <v>0</v>
      </c>
      <c r="M1187" s="17" t="n">
        <v>0</v>
      </c>
      <c r="N1187" s="17" t="n">
        <v>0</v>
      </c>
      <c r="O1187" s="17" t="n">
        <v>0</v>
      </c>
      <c r="P1187" s="17" t="n">
        <v>0</v>
      </c>
      <c r="Q1187" s="17" t="n">
        <v>0</v>
      </c>
      <c r="R1187" s="17" t="n">
        <v>0</v>
      </c>
      <c r="T1187" s="17">
        <f>DAY(C1187)</f>
        <v/>
      </c>
      <c r="U1187" s="17">
        <f>MONTH(C1187)</f>
        <v/>
      </c>
    </row>
    <row r="1188" ht="22.5" customHeight="1" s="117">
      <c r="A1188" s="14" t="n">
        <v>46027.33604829861</v>
      </c>
      <c r="B1188" s="17" t="inlineStr">
        <is>
          <t>Lương Duy Hoàng</t>
        </is>
      </c>
      <c r="C1188" s="16" t="n">
        <v>46026</v>
      </c>
      <c r="D1188" s="17" t="n">
        <v>0</v>
      </c>
      <c r="E1188" s="17" t="n">
        <v>0</v>
      </c>
      <c r="F1188" s="17" t="n">
        <v>0</v>
      </c>
      <c r="G1188" s="17" t="n">
        <v>0</v>
      </c>
      <c r="H1188" s="17" t="n">
        <v>0</v>
      </c>
      <c r="I1188" s="17" t="n">
        <v>0</v>
      </c>
      <c r="J1188" s="17" t="n">
        <v>0</v>
      </c>
      <c r="K1188" s="17" t="n">
        <v>4</v>
      </c>
      <c r="L1188" s="17" t="n">
        <v>0</v>
      </c>
      <c r="M1188" s="17" t="n">
        <v>0</v>
      </c>
      <c r="N1188" s="17" t="n">
        <v>0</v>
      </c>
      <c r="O1188" s="17" t="n">
        <v>0</v>
      </c>
      <c r="P1188" s="17" t="n">
        <v>1</v>
      </c>
      <c r="Q1188" s="17" t="n">
        <v>0</v>
      </c>
      <c r="R1188" s="17" t="n">
        <v>0</v>
      </c>
      <c r="T1188" s="17">
        <f>DAY(C1188)</f>
        <v/>
      </c>
      <c r="U1188" s="17">
        <f>MONTH(C1188)</f>
        <v/>
      </c>
    </row>
    <row r="1189" ht="22.5" customHeight="1" s="117">
      <c r="A1189" s="14" t="n">
        <v>46027.345356875</v>
      </c>
      <c r="B1189" s="17" t="inlineStr">
        <is>
          <t>Lê Văn Hồng</t>
        </is>
      </c>
      <c r="C1189" s="16" t="n">
        <v>46026</v>
      </c>
      <c r="D1189" s="17" t="n">
        <v>1</v>
      </c>
      <c r="E1189" s="17" t="n">
        <v>0</v>
      </c>
      <c r="F1189" s="17" t="n">
        <v>0</v>
      </c>
      <c r="G1189" s="17" t="n">
        <v>0</v>
      </c>
      <c r="H1189" s="17" t="n">
        <v>0</v>
      </c>
      <c r="I1189" s="17" t="n">
        <v>0</v>
      </c>
      <c r="J1189" s="17" t="n">
        <v>0</v>
      </c>
      <c r="K1189" s="17" t="n">
        <v>2</v>
      </c>
      <c r="L1189" s="17" t="n">
        <v>1</v>
      </c>
      <c r="M1189" s="17" t="n">
        <v>1</v>
      </c>
      <c r="N1189" s="17" t="n">
        <v>0</v>
      </c>
      <c r="O1189" s="17" t="n">
        <v>0</v>
      </c>
      <c r="P1189" s="17" t="n">
        <v>3</v>
      </c>
      <c r="Q1189" s="17" t="n">
        <v>2</v>
      </c>
      <c r="R1189" s="17" t="n">
        <v>0</v>
      </c>
      <c r="T1189" s="17">
        <f>DAY(C1189)</f>
        <v/>
      </c>
      <c r="U1189" s="17">
        <f>MONTH(C1189)</f>
        <v/>
      </c>
    </row>
    <row r="1190" hidden="1" ht="22.5" customHeight="1" s="117">
      <c r="A1190" s="14" t="n">
        <v>46027.34698680555</v>
      </c>
      <c r="B1190" s="17" t="inlineStr">
        <is>
          <t>Hồ Thái Minh Trí</t>
        </is>
      </c>
      <c r="C1190" s="16" t="n">
        <v>45662</v>
      </c>
      <c r="D1190" s="17" t="n">
        <v>1</v>
      </c>
      <c r="E1190" s="17" t="n">
        <v>1</v>
      </c>
      <c r="F1190" s="17" t="n">
        <v>0</v>
      </c>
      <c r="G1190" s="17" t="n">
        <v>0</v>
      </c>
      <c r="H1190" s="17" t="n">
        <v>0</v>
      </c>
      <c r="I1190" s="17" t="n">
        <v>0</v>
      </c>
      <c r="J1190" s="17" t="n">
        <v>0</v>
      </c>
      <c r="K1190" s="17" t="n">
        <v>0</v>
      </c>
      <c r="L1190" s="17" t="n">
        <v>0</v>
      </c>
      <c r="M1190" s="17" t="n">
        <v>1</v>
      </c>
      <c r="N1190" s="17" t="n">
        <v>0</v>
      </c>
      <c r="O1190" s="17" t="n">
        <v>0</v>
      </c>
      <c r="P1190" s="17" t="n">
        <v>0</v>
      </c>
      <c r="Q1190" s="17" t="n">
        <v>2</v>
      </c>
      <c r="R1190" s="17" t="n">
        <v>0</v>
      </c>
      <c r="T1190" s="17">
        <f>DAY(C1190)</f>
        <v/>
      </c>
      <c r="U1190" s="17">
        <f>MONTH(C1190)</f>
        <v/>
      </c>
    </row>
    <row r="1191" ht="22.5" customHeight="1" s="117">
      <c r="A1191" s="14" t="n">
        <v>46027.3799103588</v>
      </c>
      <c r="B1191" s="17" t="inlineStr">
        <is>
          <t>Nguyễn Hồng Minh</t>
        </is>
      </c>
      <c r="C1191" s="16" t="n">
        <v>46026</v>
      </c>
      <c r="D1191" s="17" t="n">
        <v>0</v>
      </c>
      <c r="E1191" s="17" t="n">
        <v>0</v>
      </c>
      <c r="F1191" s="17" t="n">
        <v>0</v>
      </c>
      <c r="G1191" s="17" t="n">
        <v>0</v>
      </c>
      <c r="I1191" s="17" t="n">
        <v>5</v>
      </c>
      <c r="J1191" s="17" t="n">
        <v>0</v>
      </c>
      <c r="K1191" s="17" t="n">
        <v>0</v>
      </c>
      <c r="L1191" s="17" t="n">
        <v>0</v>
      </c>
      <c r="M1191" s="17" t="n">
        <v>2</v>
      </c>
      <c r="N1191" s="17" t="n">
        <v>2</v>
      </c>
      <c r="O1191" s="17" t="n">
        <v>1</v>
      </c>
      <c r="P1191" s="17" t="n">
        <v>0</v>
      </c>
      <c r="Q1191" s="17" t="n">
        <v>4</v>
      </c>
      <c r="R1191" s="17" t="n">
        <v>0</v>
      </c>
      <c r="T1191" s="17">
        <f>DAY(C1191)</f>
        <v/>
      </c>
      <c r="U1191" s="17">
        <f>MONTH(C1191)</f>
        <v/>
      </c>
    </row>
    <row r="1192" ht="22.5" customHeight="1" s="117">
      <c r="A1192" s="14" t="n">
        <v>46028.26631945602</v>
      </c>
      <c r="B1192" s="17" t="inlineStr">
        <is>
          <t>Lê Hồng Phong</t>
        </is>
      </c>
      <c r="C1192" s="16" t="n">
        <v>46028</v>
      </c>
      <c r="D1192" s="17" t="n">
        <v>1</v>
      </c>
      <c r="E1192" s="17" t="n">
        <v>1</v>
      </c>
      <c r="F1192" s="17" t="n">
        <v>1</v>
      </c>
      <c r="G1192" s="17" t="n">
        <v>0</v>
      </c>
      <c r="H1192" s="17" t="n">
        <v>0</v>
      </c>
      <c r="I1192" s="17" t="n">
        <v>1</v>
      </c>
      <c r="J1192" s="17" t="n">
        <v>1</v>
      </c>
      <c r="K1192" s="17" t="n">
        <v>1</v>
      </c>
      <c r="L1192" s="17" t="n">
        <v>1</v>
      </c>
      <c r="M1192" s="17" t="n">
        <v>1</v>
      </c>
      <c r="N1192" s="17" t="n">
        <v>1</v>
      </c>
      <c r="O1192" s="17" t="n">
        <v>1</v>
      </c>
      <c r="P1192" s="17" t="n">
        <v>1</v>
      </c>
      <c r="Q1192" s="17" t="n">
        <v>1</v>
      </c>
      <c r="R1192" s="17" t="n">
        <v>1</v>
      </c>
      <c r="T1192" s="17">
        <f>DAY(C1192)</f>
        <v/>
      </c>
      <c r="U1192" s="17">
        <f>MONTH(C1192)</f>
        <v/>
      </c>
    </row>
    <row r="1193" ht="22.5" customHeight="1" s="117">
      <c r="A1193" s="14" t="n">
        <v>46028.28397618056</v>
      </c>
      <c r="B1193" s="17" t="inlineStr">
        <is>
          <t>Dương Minh Tiến</t>
        </is>
      </c>
      <c r="C1193" s="16" t="n">
        <v>46027</v>
      </c>
      <c r="D1193" s="17" t="n">
        <v>0</v>
      </c>
      <c r="E1193" s="17" t="n">
        <v>0</v>
      </c>
      <c r="F1193" s="17" t="n">
        <v>0</v>
      </c>
      <c r="G1193" s="17" t="n">
        <v>0</v>
      </c>
      <c r="H1193" s="17" t="n">
        <v>0</v>
      </c>
      <c r="I1193" s="17" t="n">
        <v>0</v>
      </c>
      <c r="J1193" s="17" t="n">
        <v>0</v>
      </c>
      <c r="K1193" s="17" t="n">
        <v>2</v>
      </c>
      <c r="L1193" s="17" t="n">
        <v>0</v>
      </c>
      <c r="M1193" s="17" t="n">
        <v>0</v>
      </c>
      <c r="N1193" s="17" t="n">
        <v>0</v>
      </c>
      <c r="O1193" s="17" t="n">
        <v>0</v>
      </c>
      <c r="P1193" s="17" t="n">
        <v>0</v>
      </c>
      <c r="Q1193" s="17" t="n">
        <v>0</v>
      </c>
      <c r="R1193" s="17" t="n">
        <v>0</v>
      </c>
      <c r="T1193" s="17">
        <f>DAY(C1193)</f>
        <v/>
      </c>
      <c r="U1193" s="17">
        <f>MONTH(C1193)</f>
        <v/>
      </c>
    </row>
    <row r="1194" ht="22.5" customHeight="1" s="117">
      <c r="A1194" s="14" t="n">
        <v>46028.28404865741</v>
      </c>
      <c r="B1194" s="17" t="inlineStr">
        <is>
          <t>Đặng Hoài Anh</t>
        </is>
      </c>
      <c r="C1194" s="16" t="n">
        <v>46027</v>
      </c>
      <c r="D1194" s="17" t="n">
        <v>1</v>
      </c>
      <c r="E1194" s="17" t="n">
        <v>0</v>
      </c>
      <c r="F1194" s="17" t="n">
        <v>0</v>
      </c>
      <c r="G1194" s="17" t="n">
        <v>0</v>
      </c>
      <c r="H1194" s="17" t="n">
        <v>0</v>
      </c>
      <c r="I1194" s="17" t="n">
        <v>0</v>
      </c>
      <c r="J1194" s="17" t="n">
        <v>0</v>
      </c>
      <c r="K1194" s="17" t="n">
        <v>0</v>
      </c>
      <c r="L1194" s="17" t="n">
        <v>1</v>
      </c>
      <c r="M1194" s="17" t="n">
        <v>1</v>
      </c>
      <c r="N1194" s="17" t="n">
        <v>0</v>
      </c>
      <c r="O1194" s="17" t="n">
        <v>0</v>
      </c>
      <c r="P1194" s="17" t="n">
        <v>0</v>
      </c>
      <c r="Q1194" s="17" t="n">
        <v>2</v>
      </c>
      <c r="R1194" s="17" t="n">
        <v>0</v>
      </c>
      <c r="T1194" s="17">
        <f>DAY(C1194)</f>
        <v/>
      </c>
      <c r="U1194" s="17">
        <f>MONTH(C1194)</f>
        <v/>
      </c>
    </row>
    <row r="1195" ht="22.5" customHeight="1" s="117">
      <c r="A1195" s="14" t="n">
        <v>46028.29071037037</v>
      </c>
      <c r="B1195" s="17" t="inlineStr">
        <is>
          <t>Bùi Duy Cường</t>
        </is>
      </c>
      <c r="C1195" s="16" t="n">
        <v>46026</v>
      </c>
      <c r="D1195" s="17" t="n">
        <v>0</v>
      </c>
      <c r="E1195" s="17" t="n">
        <v>0</v>
      </c>
      <c r="F1195" s="17" t="n">
        <v>0</v>
      </c>
      <c r="G1195" s="17" t="n">
        <v>0</v>
      </c>
      <c r="H1195" s="17" t="n">
        <v>0</v>
      </c>
      <c r="I1195" s="17" t="n">
        <v>0</v>
      </c>
      <c r="J1195" s="17" t="n">
        <v>0</v>
      </c>
      <c r="K1195" s="17" t="n">
        <v>2</v>
      </c>
      <c r="L1195" s="17" t="n">
        <v>4</v>
      </c>
      <c r="M1195" s="17" t="n">
        <v>0</v>
      </c>
      <c r="N1195" s="17" t="n">
        <v>0</v>
      </c>
      <c r="O1195" s="17" t="n">
        <v>0</v>
      </c>
      <c r="P1195" s="17" t="n">
        <v>0</v>
      </c>
      <c r="Q1195" s="17" t="n">
        <v>0</v>
      </c>
      <c r="R1195" s="17" t="n">
        <v>0</v>
      </c>
      <c r="T1195" s="17">
        <f>DAY(C1195)</f>
        <v/>
      </c>
      <c r="U1195" s="17">
        <f>MONTH(C1195)</f>
        <v/>
      </c>
    </row>
    <row r="1196" ht="22.5" customHeight="1" s="117">
      <c r="A1196" s="14" t="n">
        <v>46028.29118462963</v>
      </c>
      <c r="B1196" s="17" t="inlineStr">
        <is>
          <t>Bùi Duy Cường</t>
        </is>
      </c>
      <c r="C1196" s="16" t="n">
        <v>46027</v>
      </c>
      <c r="D1196" s="17" t="n">
        <v>0</v>
      </c>
      <c r="E1196" s="17" t="n">
        <v>0</v>
      </c>
      <c r="F1196" s="17" t="n">
        <v>0</v>
      </c>
      <c r="G1196" s="17" t="n">
        <v>0</v>
      </c>
      <c r="H1196" s="17" t="n">
        <v>0</v>
      </c>
      <c r="I1196" s="17" t="n">
        <v>0</v>
      </c>
      <c r="J1196" s="17" t="n">
        <v>0</v>
      </c>
      <c r="K1196" s="17" t="n">
        <v>2</v>
      </c>
      <c r="L1196" s="17" t="n">
        <v>4</v>
      </c>
      <c r="M1196" s="17" t="n">
        <v>0</v>
      </c>
      <c r="N1196" s="17" t="n">
        <v>0</v>
      </c>
      <c r="O1196" s="17" t="n">
        <v>0</v>
      </c>
      <c r="P1196" s="17" t="n">
        <v>0</v>
      </c>
      <c r="Q1196" s="17" t="n">
        <v>0</v>
      </c>
      <c r="R1196" s="17" t="n">
        <v>0</v>
      </c>
      <c r="T1196" s="17">
        <f>DAY(C1196)</f>
        <v/>
      </c>
      <c r="U1196" s="17">
        <f>MONTH(C1196)</f>
        <v/>
      </c>
    </row>
    <row r="1197" ht="22.5" customHeight="1" s="117">
      <c r="A1197" s="14" t="n">
        <v>46028.29137376157</v>
      </c>
      <c r="B1197" s="17" t="inlineStr">
        <is>
          <t>Nguyễn Quang Anh Tuấn</t>
        </is>
      </c>
      <c r="C1197" s="16" t="n">
        <v>46027</v>
      </c>
      <c r="D1197" s="17" t="n">
        <v>1</v>
      </c>
      <c r="E1197" s="17" t="n">
        <v>1</v>
      </c>
      <c r="F1197" s="17" t="n">
        <v>1</v>
      </c>
      <c r="G1197" s="17" t="n">
        <v>0</v>
      </c>
      <c r="H1197" s="17" t="n">
        <v>0</v>
      </c>
      <c r="I1197" s="17" t="n">
        <v>0</v>
      </c>
      <c r="J1197" s="17" t="n">
        <v>0</v>
      </c>
      <c r="K1197" s="17" t="n">
        <v>1</v>
      </c>
      <c r="L1197" s="17" t="n">
        <v>0</v>
      </c>
      <c r="M1197" s="17" t="n">
        <v>1</v>
      </c>
      <c r="N1197" s="17" t="n">
        <v>0</v>
      </c>
      <c r="O1197" s="17" t="n">
        <v>0</v>
      </c>
      <c r="P1197" s="17" t="n">
        <v>1</v>
      </c>
      <c r="Q1197" s="17" t="n">
        <v>2</v>
      </c>
      <c r="R1197" s="17" t="n">
        <v>0</v>
      </c>
      <c r="T1197" s="17">
        <f>DAY(C1197)</f>
        <v/>
      </c>
      <c r="U1197" s="17">
        <f>MONTH(C1197)</f>
        <v/>
      </c>
    </row>
    <row r="1198" ht="22.5" customHeight="1" s="117">
      <c r="A1198" s="14" t="n">
        <v>46028.2916684838</v>
      </c>
      <c r="B1198" s="17" t="inlineStr">
        <is>
          <t>Phan Ngọc Sang</t>
        </is>
      </c>
      <c r="C1198" s="16" t="n">
        <v>46027</v>
      </c>
      <c r="D1198" s="17" t="n">
        <v>0</v>
      </c>
      <c r="E1198" s="17" t="n">
        <v>0</v>
      </c>
      <c r="F1198" s="17" t="n">
        <v>0</v>
      </c>
      <c r="G1198" s="17" t="n">
        <v>0</v>
      </c>
      <c r="H1198" s="17" t="n">
        <v>0</v>
      </c>
      <c r="I1198" s="17" t="n">
        <v>1</v>
      </c>
      <c r="J1198" s="17" t="n">
        <v>0</v>
      </c>
      <c r="K1198" s="17" t="n">
        <v>3</v>
      </c>
      <c r="L1198" s="17" t="n">
        <v>0</v>
      </c>
      <c r="M1198" s="17" t="n">
        <v>2</v>
      </c>
      <c r="N1198" s="17" t="n">
        <v>1</v>
      </c>
      <c r="O1198" s="17" t="n">
        <v>0</v>
      </c>
      <c r="P1198" s="17" t="n">
        <v>1</v>
      </c>
      <c r="Q1198" s="17" t="n">
        <v>2</v>
      </c>
      <c r="R1198" s="17" t="n">
        <v>0</v>
      </c>
      <c r="T1198" s="17">
        <f>DAY(C1198)</f>
        <v/>
      </c>
      <c r="U1198" s="17">
        <f>MONTH(C1198)</f>
        <v/>
      </c>
    </row>
    <row r="1199" ht="22.5" customHeight="1" s="117">
      <c r="A1199" s="14" t="n">
        <v>46028.29272805555</v>
      </c>
      <c r="B1199" s="17" t="inlineStr">
        <is>
          <t>Trần Trung Giang</t>
        </is>
      </c>
      <c r="C1199" s="16" t="n">
        <v>46027</v>
      </c>
      <c r="D1199" s="17" t="n">
        <v>0</v>
      </c>
      <c r="E1199" s="17" t="n">
        <v>0</v>
      </c>
      <c r="F1199" s="17" t="n">
        <v>1</v>
      </c>
      <c r="G1199" s="17" t="n">
        <v>0</v>
      </c>
      <c r="H1199" s="17" t="n">
        <v>0</v>
      </c>
      <c r="I1199" s="17" t="n">
        <v>0</v>
      </c>
      <c r="J1199" s="17" t="n">
        <v>0</v>
      </c>
      <c r="K1199" s="17" t="n">
        <v>7</v>
      </c>
      <c r="L1199" s="17" t="n">
        <v>0</v>
      </c>
      <c r="M1199" s="17" t="n">
        <v>0</v>
      </c>
      <c r="N1199" s="17" t="n">
        <v>0</v>
      </c>
      <c r="O1199" s="17" t="n">
        <v>0</v>
      </c>
      <c r="P1199" s="17" t="n">
        <v>1</v>
      </c>
      <c r="Q1199" s="17" t="n">
        <v>0</v>
      </c>
      <c r="R1199" s="17" t="n">
        <v>0</v>
      </c>
      <c r="T1199" s="17">
        <f>DAY(C1199)</f>
        <v/>
      </c>
      <c r="U1199" s="17">
        <f>MONTH(C1199)</f>
        <v/>
      </c>
    </row>
    <row r="1200" ht="22.5" customHeight="1" s="117">
      <c r="A1200" s="14" t="n">
        <v>46028.29404616898</v>
      </c>
      <c r="B1200" s="17" t="inlineStr">
        <is>
          <t>Vòng Nhật Sang</t>
        </is>
      </c>
      <c r="C1200" s="16" t="n">
        <v>46027</v>
      </c>
      <c r="D1200" s="17" t="n">
        <v>0</v>
      </c>
      <c r="E1200" s="17" t="n">
        <v>0</v>
      </c>
      <c r="F1200" s="17" t="n">
        <v>0</v>
      </c>
      <c r="G1200" s="17" t="n">
        <v>0</v>
      </c>
      <c r="H1200" s="17" t="n">
        <v>0</v>
      </c>
      <c r="I1200" s="17" t="n">
        <v>0</v>
      </c>
      <c r="J1200" s="17" t="n">
        <v>0</v>
      </c>
      <c r="K1200" s="17" t="n">
        <v>1</v>
      </c>
      <c r="L1200" s="17" t="n">
        <v>5</v>
      </c>
      <c r="M1200" s="17" t="n">
        <v>0</v>
      </c>
      <c r="N1200" s="17" t="n">
        <v>3</v>
      </c>
      <c r="O1200" s="17" t="n">
        <v>1</v>
      </c>
      <c r="P1200" s="17" t="n">
        <v>2</v>
      </c>
      <c r="Q1200" s="17" t="n">
        <v>2</v>
      </c>
      <c r="R1200" s="17" t="n">
        <v>0</v>
      </c>
      <c r="T1200" s="17">
        <f>DAY(C1200)</f>
        <v/>
      </c>
      <c r="U1200" s="17">
        <f>MONTH(C1200)</f>
        <v/>
      </c>
    </row>
    <row r="1201" ht="22.5" customHeight="1" s="117">
      <c r="A1201" s="14" t="n">
        <v>46028.2955844676</v>
      </c>
      <c r="B1201" s="17" t="inlineStr">
        <is>
          <t>Hồ Xuân Việt</t>
        </is>
      </c>
      <c r="C1201" s="16" t="n">
        <v>46027</v>
      </c>
      <c r="D1201" s="17" t="n">
        <v>0</v>
      </c>
      <c r="E1201" s="17" t="n">
        <v>0</v>
      </c>
      <c r="F1201" s="17" t="n">
        <v>0</v>
      </c>
      <c r="G1201" s="17" t="n">
        <v>0</v>
      </c>
      <c r="H1201" s="17" t="n">
        <v>0</v>
      </c>
      <c r="I1201" s="17" t="n">
        <v>0</v>
      </c>
      <c r="J1201" s="17" t="n">
        <v>0</v>
      </c>
      <c r="K1201" s="17" t="n">
        <v>0</v>
      </c>
      <c r="L1201" s="17" t="n">
        <v>1</v>
      </c>
      <c r="M1201" s="17" t="n">
        <v>0</v>
      </c>
      <c r="N1201" s="17" t="n">
        <v>0</v>
      </c>
      <c r="O1201" s="17" t="n">
        <v>0</v>
      </c>
      <c r="P1201" s="17" t="n">
        <v>1</v>
      </c>
      <c r="Q1201" s="17" t="n">
        <v>1</v>
      </c>
      <c r="R1201" s="17" t="n">
        <v>0</v>
      </c>
      <c r="T1201" s="17">
        <f>DAY(C1201)</f>
        <v/>
      </c>
      <c r="U1201" s="17">
        <f>MONTH(C1201)</f>
        <v/>
      </c>
    </row>
    <row r="1202" ht="22.5" customHeight="1" s="117">
      <c r="A1202" s="14" t="n">
        <v>46028.29559019676</v>
      </c>
      <c r="B1202" s="17" t="inlineStr">
        <is>
          <t>Nguyễn Văn Hiệp</t>
        </is>
      </c>
      <c r="C1202" s="16" t="n">
        <v>46027</v>
      </c>
      <c r="D1202" s="17" t="n">
        <v>0</v>
      </c>
      <c r="E1202" s="17" t="n">
        <v>0</v>
      </c>
      <c r="F1202" s="17" t="n">
        <v>0</v>
      </c>
      <c r="G1202" s="17" t="n">
        <v>0</v>
      </c>
      <c r="H1202" s="17" t="n">
        <v>0</v>
      </c>
      <c r="I1202" s="17" t="n">
        <v>1</v>
      </c>
      <c r="J1202" s="17" t="n">
        <v>0</v>
      </c>
      <c r="K1202" s="17" t="n">
        <v>2</v>
      </c>
      <c r="L1202" s="17" t="n">
        <v>0</v>
      </c>
      <c r="M1202" s="17" t="n">
        <v>1</v>
      </c>
      <c r="N1202" s="17" t="n">
        <v>0</v>
      </c>
      <c r="O1202" s="17" t="n">
        <v>0</v>
      </c>
      <c r="P1202" s="17" t="n">
        <v>1</v>
      </c>
      <c r="Q1202" s="17" t="n">
        <v>0</v>
      </c>
      <c r="R1202" s="17" t="n">
        <v>0</v>
      </c>
      <c r="T1202" s="17">
        <f>DAY(C1202)</f>
        <v/>
      </c>
      <c r="U1202" s="17">
        <f>MONTH(C1202)</f>
        <v/>
      </c>
    </row>
    <row r="1203" ht="22.5" customHeight="1" s="117">
      <c r="A1203" s="14" t="n">
        <v>46028.2956550463</v>
      </c>
      <c r="B1203" s="17" t="inlineStr">
        <is>
          <t>Lương Duy Hoàng</t>
        </is>
      </c>
      <c r="C1203" s="16" t="n">
        <v>46027</v>
      </c>
      <c r="D1203" s="17" t="n">
        <v>0</v>
      </c>
      <c r="E1203" s="17" t="n">
        <v>0</v>
      </c>
      <c r="F1203" s="17" t="n">
        <v>0</v>
      </c>
      <c r="G1203" s="17" t="n">
        <v>0</v>
      </c>
      <c r="H1203" s="17" t="n">
        <v>0</v>
      </c>
      <c r="I1203" s="17" t="n">
        <v>0</v>
      </c>
      <c r="J1203" s="17" t="n">
        <v>0</v>
      </c>
      <c r="K1203" s="17" t="n">
        <v>2</v>
      </c>
      <c r="L1203" s="17" t="n">
        <v>2</v>
      </c>
      <c r="M1203" s="17" t="n">
        <v>1</v>
      </c>
      <c r="N1203" s="17" t="n">
        <v>0</v>
      </c>
      <c r="O1203" s="17" t="n">
        <v>0</v>
      </c>
      <c r="P1203" s="17" t="n">
        <v>0</v>
      </c>
      <c r="Q1203" s="17" t="n">
        <v>1</v>
      </c>
      <c r="R1203" s="17" t="n">
        <v>0</v>
      </c>
      <c r="T1203" s="17">
        <f>DAY(C1203)</f>
        <v/>
      </c>
      <c r="U1203" s="17">
        <f>MONTH(C1203)</f>
        <v/>
      </c>
    </row>
    <row r="1204" ht="22.5" customHeight="1" s="117">
      <c r="A1204" s="14" t="n">
        <v>46028.29625078704</v>
      </c>
      <c r="B1204" s="17" t="inlineStr">
        <is>
          <t>Nguyễn Thành Lâm</t>
        </is>
      </c>
      <c r="C1204" s="16" t="n">
        <v>46027</v>
      </c>
      <c r="D1204" s="17" t="n">
        <v>0</v>
      </c>
      <c r="E1204" s="17" t="n">
        <v>0</v>
      </c>
      <c r="F1204" s="17" t="n">
        <v>0</v>
      </c>
      <c r="G1204" s="17" t="n">
        <v>0</v>
      </c>
      <c r="H1204" s="17" t="n">
        <v>0</v>
      </c>
      <c r="I1204" s="17" t="n">
        <v>0</v>
      </c>
      <c r="J1204" s="17" t="n">
        <v>0</v>
      </c>
      <c r="K1204" s="17" t="n">
        <v>0</v>
      </c>
      <c r="L1204" s="17" t="n">
        <v>4</v>
      </c>
      <c r="M1204" s="17" t="n">
        <v>0</v>
      </c>
      <c r="N1204" s="17" t="n">
        <v>0</v>
      </c>
      <c r="O1204" s="17" t="n">
        <v>0</v>
      </c>
      <c r="P1204" s="17" t="n">
        <v>1</v>
      </c>
      <c r="Q1204" s="17" t="n">
        <v>3</v>
      </c>
      <c r="R1204" s="17" t="n">
        <v>0</v>
      </c>
      <c r="T1204" s="17">
        <f>DAY(C1204)</f>
        <v/>
      </c>
      <c r="U1204" s="17">
        <f>MONTH(C1204)</f>
        <v/>
      </c>
    </row>
    <row r="1205" hidden="1" ht="22.5" customHeight="1" s="117">
      <c r="A1205" s="14" t="n">
        <v>46028.29922712963</v>
      </c>
      <c r="B1205" s="17" t="inlineStr">
        <is>
          <t>Nguyễn Tuấn Anh</t>
        </is>
      </c>
      <c r="C1205" s="16" t="n">
        <v>45663</v>
      </c>
      <c r="D1205" s="17" t="n">
        <v>2</v>
      </c>
      <c r="E1205" s="17" t="n">
        <v>1</v>
      </c>
      <c r="F1205" s="17" t="n">
        <v>0</v>
      </c>
      <c r="G1205" s="17" t="n">
        <v>1</v>
      </c>
      <c r="H1205" s="17" t="n">
        <v>1</v>
      </c>
      <c r="I1205" s="17" t="n">
        <v>1</v>
      </c>
      <c r="J1205" s="17" t="n">
        <v>0</v>
      </c>
      <c r="K1205" s="17" t="n">
        <v>7</v>
      </c>
      <c r="L1205" s="17" t="n">
        <v>3</v>
      </c>
      <c r="M1205" s="17" t="n">
        <v>0</v>
      </c>
      <c r="N1205" s="17" t="n">
        <v>0</v>
      </c>
      <c r="O1205" s="17" t="n">
        <v>0</v>
      </c>
      <c r="P1205" s="17" t="n">
        <v>0</v>
      </c>
      <c r="Q1205" s="17" t="n">
        <v>5</v>
      </c>
      <c r="R1205" s="17" t="n">
        <v>0</v>
      </c>
      <c r="T1205" s="17">
        <f>DAY(C1205)</f>
        <v/>
      </c>
      <c r="U1205" s="17">
        <f>MONTH(C1205)</f>
        <v/>
      </c>
    </row>
    <row r="1206" ht="22.5" customHeight="1" s="117">
      <c r="A1206" s="14" t="n">
        <v>46028.30211847222</v>
      </c>
      <c r="B1206" s="17" t="inlineStr">
        <is>
          <t>Đào Công Trung</t>
        </is>
      </c>
      <c r="C1206" s="16" t="n">
        <v>46027</v>
      </c>
      <c r="D1206" s="17" t="n">
        <v>1</v>
      </c>
      <c r="E1206" s="17" t="n">
        <v>1</v>
      </c>
      <c r="F1206" s="17" t="n">
        <v>0</v>
      </c>
      <c r="G1206" s="17" t="n">
        <v>0</v>
      </c>
      <c r="H1206" s="17" t="n">
        <v>0</v>
      </c>
      <c r="I1206" s="17" t="n">
        <v>0</v>
      </c>
      <c r="J1206" s="17" t="n">
        <v>0</v>
      </c>
      <c r="K1206" s="17" t="n">
        <v>2</v>
      </c>
      <c r="L1206" s="17" t="n">
        <v>5</v>
      </c>
      <c r="M1206" s="17" t="n">
        <v>1</v>
      </c>
      <c r="N1206" s="17" t="n">
        <v>0</v>
      </c>
      <c r="O1206" s="17" t="n">
        <v>0</v>
      </c>
      <c r="P1206" s="17" t="n">
        <v>0</v>
      </c>
      <c r="Q1206" s="17" t="n">
        <v>0</v>
      </c>
      <c r="R1206" s="17" t="n">
        <v>0</v>
      </c>
      <c r="T1206" s="17">
        <f>DAY(C1206)</f>
        <v/>
      </c>
      <c r="U1206" s="17">
        <f>MONTH(C1206)</f>
        <v/>
      </c>
    </row>
    <row r="1207" ht="22.5" customHeight="1" s="117">
      <c r="A1207" s="14" t="n">
        <v>46028.30252388889</v>
      </c>
      <c r="B1207" s="17" t="inlineStr">
        <is>
          <t>Phan Thành Thái</t>
        </is>
      </c>
      <c r="C1207" s="16" t="n">
        <v>46028</v>
      </c>
      <c r="D1207" s="17" t="n">
        <v>0</v>
      </c>
      <c r="E1207" s="17" t="n">
        <v>0</v>
      </c>
      <c r="F1207" s="17" t="n">
        <v>0</v>
      </c>
      <c r="G1207" s="17" t="n">
        <v>0</v>
      </c>
      <c r="H1207" s="17" t="n">
        <v>0</v>
      </c>
      <c r="I1207" s="17" t="n">
        <v>2</v>
      </c>
      <c r="J1207" s="17" t="n">
        <v>0</v>
      </c>
      <c r="K1207" s="17" t="n">
        <v>2</v>
      </c>
      <c r="L1207" s="17" t="n">
        <v>2</v>
      </c>
      <c r="M1207" s="17" t="n">
        <v>0</v>
      </c>
      <c r="N1207" s="17" t="n">
        <v>0</v>
      </c>
      <c r="O1207" s="17" t="n">
        <v>0</v>
      </c>
      <c r="P1207" s="17" t="n">
        <v>0</v>
      </c>
      <c r="Q1207" s="17" t="n">
        <v>5</v>
      </c>
      <c r="R1207" s="17" t="n">
        <v>0</v>
      </c>
      <c r="T1207" s="17">
        <f>DAY(C1207)</f>
        <v/>
      </c>
      <c r="U1207" s="17">
        <f>MONTH(C1207)</f>
        <v/>
      </c>
    </row>
    <row r="1208" ht="22.5" customHeight="1" s="117">
      <c r="A1208" s="14" t="n">
        <v>46028.30340557871</v>
      </c>
      <c r="B1208" s="17" t="inlineStr">
        <is>
          <t>Trần Minh Khánh</t>
        </is>
      </c>
      <c r="C1208" s="16" t="n">
        <v>46027</v>
      </c>
      <c r="D1208" s="17" t="n">
        <v>1</v>
      </c>
      <c r="E1208" s="17" t="n">
        <v>0</v>
      </c>
      <c r="F1208" s="17" t="n">
        <v>0</v>
      </c>
      <c r="G1208" s="17" t="n">
        <v>0</v>
      </c>
      <c r="H1208" s="17" t="n">
        <v>0</v>
      </c>
      <c r="I1208" s="17" t="n">
        <v>2</v>
      </c>
      <c r="J1208" s="17" t="n">
        <v>0</v>
      </c>
      <c r="K1208" s="17" t="n">
        <v>4</v>
      </c>
      <c r="L1208" s="17" t="n">
        <v>0</v>
      </c>
      <c r="M1208" s="17" t="n">
        <v>0</v>
      </c>
      <c r="N1208" s="17" t="n">
        <v>0</v>
      </c>
      <c r="O1208" s="17" t="n">
        <v>0</v>
      </c>
      <c r="P1208" s="17" t="n">
        <v>0</v>
      </c>
      <c r="Q1208" s="17" t="n">
        <v>3</v>
      </c>
      <c r="R1208" s="17" t="n">
        <v>0</v>
      </c>
      <c r="T1208" s="17">
        <f>DAY(C1208)</f>
        <v/>
      </c>
      <c r="U1208" s="17">
        <f>MONTH(C1208)</f>
        <v/>
      </c>
    </row>
    <row r="1209" ht="22.5" customHeight="1" s="117">
      <c r="A1209" s="14" t="n">
        <v>46028.3055237037</v>
      </c>
      <c r="B1209" s="17" t="inlineStr">
        <is>
          <t>Đặng Hữu Danh</t>
        </is>
      </c>
      <c r="C1209" s="16" t="n">
        <v>46027</v>
      </c>
      <c r="D1209" s="17" t="n">
        <v>0</v>
      </c>
      <c r="E1209" s="17" t="n">
        <v>0</v>
      </c>
      <c r="F1209" s="17" t="n">
        <v>0</v>
      </c>
      <c r="G1209" s="17" t="n">
        <v>0</v>
      </c>
      <c r="H1209" s="17" t="n">
        <v>0</v>
      </c>
      <c r="I1209" s="17" t="n">
        <v>0</v>
      </c>
      <c r="J1209" s="17" t="n">
        <v>0</v>
      </c>
      <c r="K1209" s="17" t="n">
        <v>0</v>
      </c>
      <c r="L1209" s="17" t="n">
        <v>1</v>
      </c>
      <c r="M1209" s="17" t="n">
        <v>0</v>
      </c>
      <c r="N1209" s="17" t="n">
        <v>0</v>
      </c>
      <c r="O1209" s="17" t="n">
        <v>0</v>
      </c>
      <c r="P1209" s="17" t="n">
        <v>1</v>
      </c>
      <c r="Q1209" s="17" t="n">
        <v>2</v>
      </c>
      <c r="R1209" s="17" t="n">
        <v>0</v>
      </c>
      <c r="T1209" s="17">
        <f>DAY(C1209)</f>
        <v/>
      </c>
      <c r="U1209" s="17">
        <f>MONTH(C1209)</f>
        <v/>
      </c>
    </row>
    <row r="1210" ht="22.5" customHeight="1" s="117">
      <c r="A1210" s="14" t="n">
        <v>46028.30940775463</v>
      </c>
      <c r="B1210" s="17" t="inlineStr">
        <is>
          <t>Trần Xuân Khoa</t>
        </is>
      </c>
      <c r="C1210" s="16" t="n">
        <v>46027</v>
      </c>
      <c r="D1210" s="17" t="n">
        <v>0</v>
      </c>
      <c r="E1210" s="17" t="n">
        <v>0</v>
      </c>
      <c r="F1210" s="17" t="n">
        <v>0</v>
      </c>
      <c r="G1210" s="17" t="n">
        <v>0</v>
      </c>
      <c r="H1210" s="17" t="n">
        <v>0</v>
      </c>
      <c r="I1210" s="17" t="n">
        <v>0</v>
      </c>
      <c r="J1210" s="17" t="n">
        <v>0</v>
      </c>
      <c r="K1210" s="17" t="n">
        <v>0</v>
      </c>
      <c r="L1210" s="17" t="n">
        <v>4</v>
      </c>
      <c r="M1210" s="17" t="n">
        <v>0</v>
      </c>
      <c r="N1210" s="17" t="n">
        <v>0</v>
      </c>
      <c r="O1210" s="17" t="n">
        <v>0</v>
      </c>
      <c r="P1210" s="17" t="n">
        <v>2</v>
      </c>
      <c r="Q1210" s="17" t="n">
        <v>2</v>
      </c>
      <c r="R1210" s="17" t="n">
        <v>0</v>
      </c>
      <c r="T1210" s="17">
        <f>DAY(C1210)</f>
        <v/>
      </c>
      <c r="U1210" s="17">
        <f>MONTH(C1210)</f>
        <v/>
      </c>
    </row>
    <row r="1211" ht="22.5" customHeight="1" s="117">
      <c r="A1211" s="14" t="n">
        <v>46028.31843616898</v>
      </c>
      <c r="B1211" s="17" t="inlineStr">
        <is>
          <t>Nguyễn Hồng Minh</t>
        </is>
      </c>
      <c r="C1211" s="16" t="n">
        <v>46027</v>
      </c>
      <c r="D1211" s="17" t="n">
        <v>0</v>
      </c>
      <c r="E1211" s="17" t="n">
        <v>0</v>
      </c>
      <c r="F1211" s="17" t="n">
        <v>0</v>
      </c>
      <c r="G1211" s="17" t="n">
        <v>0</v>
      </c>
      <c r="H1211" s="17" t="n">
        <v>0</v>
      </c>
      <c r="I1211" s="17" t="n">
        <v>3</v>
      </c>
      <c r="J1211" s="17" t="n">
        <v>0</v>
      </c>
      <c r="K1211" s="17" t="n">
        <v>3</v>
      </c>
      <c r="L1211" s="17" t="n">
        <v>0</v>
      </c>
      <c r="M1211" s="17" t="n">
        <v>0</v>
      </c>
      <c r="N1211" s="17" t="n">
        <v>0</v>
      </c>
      <c r="O1211" s="17" t="n">
        <v>0</v>
      </c>
      <c r="P1211" s="17" t="n">
        <v>0</v>
      </c>
      <c r="Q1211" s="17" t="n">
        <v>6</v>
      </c>
      <c r="R1211" s="17" t="n">
        <v>0</v>
      </c>
      <c r="T1211" s="17">
        <f>DAY(C1211)</f>
        <v/>
      </c>
      <c r="U1211" s="17">
        <f>MONTH(C1211)</f>
        <v/>
      </c>
    </row>
    <row r="1212" ht="22.5" customHeight="1" s="117">
      <c r="A1212" s="14" t="n">
        <v>46028.32425092593</v>
      </c>
      <c r="B1212" s="17" t="inlineStr">
        <is>
          <t>Huỳnh Văn Lực</t>
        </is>
      </c>
      <c r="C1212" s="16" t="n">
        <v>46027</v>
      </c>
      <c r="D1212" s="17" t="n">
        <v>0</v>
      </c>
      <c r="E1212" s="17" t="n">
        <v>0</v>
      </c>
      <c r="F1212" s="17" t="n">
        <v>0</v>
      </c>
      <c r="G1212" s="17" t="n">
        <v>0</v>
      </c>
      <c r="H1212" s="17" t="n">
        <v>0</v>
      </c>
      <c r="I1212" s="17" t="n">
        <v>0</v>
      </c>
      <c r="J1212" s="17" t="n">
        <v>0</v>
      </c>
      <c r="K1212" s="17" t="n">
        <v>2</v>
      </c>
      <c r="L1212" s="17" t="n">
        <v>0</v>
      </c>
      <c r="M1212" s="17" t="n">
        <v>0</v>
      </c>
      <c r="N1212" s="17" t="n">
        <v>0</v>
      </c>
      <c r="O1212" s="17" t="n">
        <v>0</v>
      </c>
      <c r="P1212" s="17" t="n">
        <v>1</v>
      </c>
      <c r="Q1212" s="17" t="n">
        <v>1</v>
      </c>
      <c r="R1212" s="17" t="n">
        <v>0</v>
      </c>
      <c r="T1212" s="17">
        <f>DAY(C1212)</f>
        <v/>
      </c>
      <c r="U1212" s="17">
        <f>MONTH(C1212)</f>
        <v/>
      </c>
    </row>
    <row r="1213" ht="22.5" customHeight="1" s="117">
      <c r="A1213" s="14" t="n">
        <v>46028.32532064815</v>
      </c>
      <c r="B1213" s="17" t="inlineStr">
        <is>
          <t>Lê Quốc Duy</t>
        </is>
      </c>
      <c r="C1213" s="16" t="n">
        <v>46027</v>
      </c>
      <c r="D1213" s="17" t="n">
        <v>0</v>
      </c>
      <c r="E1213" s="17" t="n">
        <v>0</v>
      </c>
      <c r="F1213" s="17" t="n">
        <v>0</v>
      </c>
      <c r="G1213" s="17" t="n">
        <v>0</v>
      </c>
      <c r="H1213" s="17" t="n">
        <v>0</v>
      </c>
      <c r="I1213" s="17" t="n">
        <v>0</v>
      </c>
      <c r="J1213" s="17" t="n">
        <v>0</v>
      </c>
      <c r="K1213" s="17" t="n">
        <v>0</v>
      </c>
      <c r="L1213" s="17" t="n">
        <v>2</v>
      </c>
      <c r="M1213" s="17" t="n">
        <v>0</v>
      </c>
      <c r="N1213" s="17" t="n">
        <v>0</v>
      </c>
      <c r="O1213" s="17" t="n">
        <v>0</v>
      </c>
      <c r="P1213" s="17" t="n">
        <v>0</v>
      </c>
      <c r="Q1213" s="17" t="n">
        <v>1</v>
      </c>
      <c r="R1213" s="17" t="n">
        <v>0</v>
      </c>
      <c r="T1213" s="17">
        <f>DAY(C1213)</f>
        <v/>
      </c>
      <c r="U1213" s="17">
        <f>MONTH(C1213)</f>
        <v/>
      </c>
    </row>
    <row r="1214" hidden="1" ht="22.5" customHeight="1" s="117">
      <c r="A1214" s="14" t="n">
        <v>46028.32637008102</v>
      </c>
      <c r="B1214" s="17" t="inlineStr">
        <is>
          <t>Hồ Thái Minh Trí</t>
        </is>
      </c>
      <c r="C1214" s="16" t="n">
        <v>45662</v>
      </c>
      <c r="D1214" s="17" t="n">
        <v>0</v>
      </c>
      <c r="E1214" s="17" t="n">
        <v>0</v>
      </c>
      <c r="F1214" s="17" t="n">
        <v>0</v>
      </c>
      <c r="G1214" s="17" t="n">
        <v>1</v>
      </c>
      <c r="H1214" s="17" t="n">
        <v>1</v>
      </c>
      <c r="I1214" s="17" t="n">
        <v>2</v>
      </c>
      <c r="J1214" s="17" t="n">
        <v>0</v>
      </c>
      <c r="K1214" s="17" t="n">
        <v>0</v>
      </c>
      <c r="L1214" s="17" t="n">
        <v>4</v>
      </c>
      <c r="M1214" s="17" t="n">
        <v>0</v>
      </c>
      <c r="N1214" s="17" t="n">
        <v>0</v>
      </c>
      <c r="O1214" s="17" t="n">
        <v>0</v>
      </c>
      <c r="P1214" s="17" t="n">
        <v>0</v>
      </c>
      <c r="Q1214" s="17" t="n">
        <v>1</v>
      </c>
      <c r="R1214" s="17" t="n">
        <v>0</v>
      </c>
      <c r="T1214" s="17">
        <f>DAY(C1214)</f>
        <v/>
      </c>
      <c r="U1214" s="17">
        <f>MONTH(C1214)</f>
        <v/>
      </c>
    </row>
    <row r="1215" ht="22.5" customHeight="1" s="117">
      <c r="A1215" s="14" t="n">
        <v>46028.33509195602</v>
      </c>
      <c r="B1215" s="17" t="inlineStr">
        <is>
          <t>Lê Văn Hồng</t>
        </is>
      </c>
      <c r="C1215" s="16" t="n">
        <v>46028</v>
      </c>
      <c r="D1215" s="17" t="n">
        <v>1</v>
      </c>
      <c r="E1215" s="17" t="n">
        <v>0</v>
      </c>
      <c r="F1215" s="17" t="n">
        <v>0</v>
      </c>
      <c r="G1215" s="17" t="n">
        <v>0</v>
      </c>
      <c r="H1215" s="17" t="n">
        <v>0</v>
      </c>
      <c r="I1215" s="17" t="n">
        <v>0</v>
      </c>
      <c r="J1215" s="17" t="n">
        <v>0</v>
      </c>
      <c r="K1215" s="17" t="n">
        <v>10</v>
      </c>
      <c r="L1215" s="17" t="n">
        <v>1</v>
      </c>
      <c r="M1215" s="17" t="n">
        <v>1</v>
      </c>
      <c r="N1215" s="17" t="n">
        <v>0</v>
      </c>
      <c r="O1215" s="17" t="n">
        <v>0</v>
      </c>
      <c r="P1215" s="17" t="n">
        <v>3</v>
      </c>
      <c r="Q1215" s="17" t="n">
        <v>3</v>
      </c>
      <c r="R1215" s="17" t="n">
        <v>0</v>
      </c>
      <c r="T1215" s="17">
        <f>DAY(C1215)</f>
        <v/>
      </c>
      <c r="U1215" s="17">
        <f>MONTH(C1215)</f>
        <v/>
      </c>
    </row>
    <row r="1216" ht="22.5" customHeight="1" s="117">
      <c r="A1216" s="14" t="n">
        <v>46029.27917704861</v>
      </c>
      <c r="B1216" s="17" t="inlineStr">
        <is>
          <t>Phan Ngọc Sang</t>
        </is>
      </c>
      <c r="C1216" s="16" t="n">
        <v>46028</v>
      </c>
      <c r="D1216" s="17" t="n">
        <v>0</v>
      </c>
      <c r="E1216" s="17" t="n">
        <v>0</v>
      </c>
      <c r="F1216" s="17" t="n">
        <v>0</v>
      </c>
      <c r="G1216" s="17" t="n">
        <v>1</v>
      </c>
      <c r="H1216" s="17" t="n">
        <v>0</v>
      </c>
      <c r="I1216" s="17" t="n">
        <v>1</v>
      </c>
      <c r="J1216" s="17" t="n">
        <v>0</v>
      </c>
      <c r="K1216" s="17" t="n">
        <v>5</v>
      </c>
      <c r="L1216" s="17" t="n">
        <v>1</v>
      </c>
      <c r="M1216" s="17" t="n">
        <v>1</v>
      </c>
      <c r="N1216" s="17" t="n">
        <v>1</v>
      </c>
      <c r="O1216" s="17" t="n">
        <v>0</v>
      </c>
      <c r="P1216" s="17" t="n">
        <v>1</v>
      </c>
      <c r="Q1216" s="17" t="n">
        <v>1</v>
      </c>
      <c r="R1216" s="17" t="n">
        <v>2</v>
      </c>
      <c r="T1216" s="17">
        <f>DAY(C1216)</f>
        <v/>
      </c>
      <c r="U1216" s="17">
        <f>MONTH(C1216)</f>
        <v/>
      </c>
    </row>
    <row r="1217" ht="22.5" customHeight="1" s="117">
      <c r="A1217" s="14" t="n">
        <v>46029.28347099537</v>
      </c>
      <c r="B1217" s="17" t="inlineStr">
        <is>
          <t>Dương Minh Tiến</t>
        </is>
      </c>
      <c r="C1217" s="16" t="n">
        <v>46028</v>
      </c>
      <c r="D1217" s="17" t="n">
        <v>0</v>
      </c>
      <c r="E1217" s="17" t="n">
        <v>0</v>
      </c>
      <c r="F1217" s="17" t="n">
        <v>0</v>
      </c>
      <c r="G1217" s="17" t="n">
        <v>0</v>
      </c>
      <c r="H1217" s="17" t="n">
        <v>0</v>
      </c>
      <c r="I1217" s="17" t="n">
        <v>0</v>
      </c>
      <c r="J1217" s="17" t="n">
        <v>0</v>
      </c>
      <c r="K1217" s="17" t="n">
        <v>0</v>
      </c>
      <c r="L1217" s="17" t="n">
        <v>5</v>
      </c>
      <c r="M1217" s="17" t="n">
        <v>0</v>
      </c>
      <c r="N1217" s="17" t="n">
        <v>0</v>
      </c>
      <c r="O1217" s="17" t="n">
        <v>0</v>
      </c>
      <c r="P1217" s="17" t="n">
        <v>0</v>
      </c>
      <c r="Q1217" s="17" t="n">
        <v>0</v>
      </c>
      <c r="R1217" s="17" t="n">
        <v>0</v>
      </c>
      <c r="T1217" s="17">
        <f>DAY(C1217)</f>
        <v/>
      </c>
      <c r="U1217" s="17">
        <f>MONTH(C1217)</f>
        <v/>
      </c>
    </row>
    <row r="1218" ht="22.5" customHeight="1" s="117">
      <c r="A1218" s="14" t="n">
        <v>46029.28531927084</v>
      </c>
      <c r="B1218" s="17" t="inlineStr">
        <is>
          <t>Nguyễn Văn Hiệp</t>
        </is>
      </c>
      <c r="C1218" s="16" t="n">
        <v>46028</v>
      </c>
      <c r="D1218" s="17" t="n">
        <v>0</v>
      </c>
      <c r="E1218" s="17" t="n">
        <v>0</v>
      </c>
      <c r="F1218" s="17" t="n">
        <v>0</v>
      </c>
      <c r="G1218" s="17" t="n">
        <v>0</v>
      </c>
      <c r="H1218" s="17" t="n">
        <v>0</v>
      </c>
      <c r="I1218" s="17" t="n">
        <v>0</v>
      </c>
      <c r="J1218" s="17" t="n">
        <v>0</v>
      </c>
      <c r="K1218" s="17" t="n">
        <v>2</v>
      </c>
      <c r="L1218" s="17" t="n">
        <v>0</v>
      </c>
      <c r="M1218" s="17" t="n">
        <v>0</v>
      </c>
      <c r="N1218" s="17" t="n">
        <v>1</v>
      </c>
      <c r="O1218" s="17" t="n">
        <v>0</v>
      </c>
      <c r="P1218" s="17" t="n">
        <v>0</v>
      </c>
      <c r="Q1218" s="17" t="n">
        <v>0</v>
      </c>
      <c r="R1218" s="17" t="n">
        <v>0</v>
      </c>
      <c r="T1218" s="17">
        <f>DAY(C1218)</f>
        <v/>
      </c>
      <c r="U1218" s="17">
        <f>MONTH(C1218)</f>
        <v/>
      </c>
    </row>
    <row r="1219" ht="22.5" customHeight="1" s="117">
      <c r="A1219" s="14" t="n">
        <v>46029.28591140046</v>
      </c>
      <c r="B1219" s="17" t="inlineStr">
        <is>
          <t>Hồ Xuân Việt</t>
        </is>
      </c>
      <c r="C1219" s="16" t="n">
        <v>46028</v>
      </c>
      <c r="D1219" s="17" t="n">
        <v>0</v>
      </c>
      <c r="E1219" s="17" t="n">
        <v>0</v>
      </c>
      <c r="F1219" s="17" t="n">
        <v>0</v>
      </c>
      <c r="G1219" s="17" t="n">
        <v>0</v>
      </c>
      <c r="H1219" s="17" t="n">
        <v>0</v>
      </c>
      <c r="I1219" s="17" t="n">
        <v>0</v>
      </c>
      <c r="J1219" s="17" t="n">
        <v>0</v>
      </c>
      <c r="K1219" s="17" t="n">
        <v>0</v>
      </c>
      <c r="L1219" s="17" t="n">
        <v>0</v>
      </c>
      <c r="M1219" s="17" t="n">
        <v>0</v>
      </c>
      <c r="N1219" s="17" t="n">
        <v>0</v>
      </c>
      <c r="O1219" s="17" t="n">
        <v>0</v>
      </c>
      <c r="P1219" s="17" t="n">
        <v>2</v>
      </c>
      <c r="Q1219" s="17" t="n">
        <v>4</v>
      </c>
      <c r="R1219" s="17" t="n">
        <v>0</v>
      </c>
      <c r="T1219" s="17">
        <f>DAY(C1219)</f>
        <v/>
      </c>
      <c r="U1219" s="17">
        <f>MONTH(C1219)</f>
        <v/>
      </c>
    </row>
    <row r="1220" ht="22.5" customHeight="1" s="117">
      <c r="A1220" s="14" t="n">
        <v>46029.28852483796</v>
      </c>
      <c r="B1220" s="17" t="inlineStr">
        <is>
          <t>Phan Thành Thái</t>
        </is>
      </c>
      <c r="C1220" s="16" t="n">
        <v>46028</v>
      </c>
      <c r="D1220" s="17" t="n">
        <v>0</v>
      </c>
      <c r="E1220" s="17" t="n">
        <v>0</v>
      </c>
      <c r="F1220" s="17" t="n">
        <v>0</v>
      </c>
      <c r="G1220" s="17" t="n">
        <v>0</v>
      </c>
      <c r="H1220" s="17" t="n">
        <v>0</v>
      </c>
      <c r="I1220" s="17" t="n">
        <v>2</v>
      </c>
      <c r="J1220" s="17" t="n">
        <v>0</v>
      </c>
      <c r="K1220" s="17" t="n">
        <v>2</v>
      </c>
      <c r="L1220" s="17" t="n">
        <v>2</v>
      </c>
      <c r="M1220" s="17" t="n">
        <v>0</v>
      </c>
      <c r="N1220" s="17" t="n">
        <v>0</v>
      </c>
      <c r="O1220" s="17" t="n">
        <v>0</v>
      </c>
      <c r="P1220" s="17" t="n">
        <v>1</v>
      </c>
      <c r="Q1220" s="17" t="n">
        <v>5</v>
      </c>
      <c r="R1220" s="17" t="n">
        <v>0</v>
      </c>
      <c r="T1220" s="17">
        <f>DAY(C1220)</f>
        <v/>
      </c>
      <c r="U1220" s="17">
        <f>MONTH(C1220)</f>
        <v/>
      </c>
    </row>
    <row r="1221" ht="22.5" customHeight="1" s="117">
      <c r="A1221" s="14" t="n">
        <v>46029.28915508102</v>
      </c>
      <c r="B1221" s="17" t="inlineStr">
        <is>
          <t>Nguyễn Quang Anh Tuấn</t>
        </is>
      </c>
      <c r="C1221" s="16" t="n">
        <v>46028</v>
      </c>
      <c r="D1221" s="17" t="n">
        <v>0</v>
      </c>
      <c r="E1221" s="17" t="n">
        <v>0</v>
      </c>
      <c r="F1221" s="17" t="n">
        <v>0</v>
      </c>
      <c r="G1221" s="17" t="n">
        <v>0</v>
      </c>
      <c r="H1221" s="17" t="n">
        <v>0</v>
      </c>
      <c r="I1221" s="17" t="n">
        <v>0</v>
      </c>
      <c r="J1221" s="17" t="n">
        <v>0</v>
      </c>
      <c r="K1221" s="17" t="n">
        <v>4</v>
      </c>
      <c r="L1221" s="17" t="n">
        <v>2</v>
      </c>
      <c r="M1221" s="17" t="n">
        <v>1</v>
      </c>
      <c r="N1221" s="17" t="n">
        <v>0</v>
      </c>
      <c r="O1221" s="17" t="n">
        <v>0</v>
      </c>
      <c r="P1221" s="17" t="n">
        <v>0</v>
      </c>
      <c r="Q1221" s="17" t="n">
        <v>1</v>
      </c>
      <c r="R1221" s="17" t="n">
        <v>0</v>
      </c>
      <c r="T1221" s="17">
        <f>DAY(C1221)</f>
        <v/>
      </c>
      <c r="U1221" s="17">
        <f>MONTH(C1221)</f>
        <v/>
      </c>
    </row>
    <row r="1222" ht="22.5" customHeight="1" s="117">
      <c r="A1222" s="14" t="n">
        <v>46029.29085231481</v>
      </c>
      <c r="B1222" s="17" t="inlineStr">
        <is>
          <t>Lương Duy Hoàng</t>
        </is>
      </c>
      <c r="C1222" s="16" t="n">
        <v>46028</v>
      </c>
      <c r="D1222" s="17" t="n">
        <v>0</v>
      </c>
      <c r="E1222" s="17" t="n">
        <v>0</v>
      </c>
      <c r="F1222" s="17" t="n">
        <v>0</v>
      </c>
      <c r="G1222" s="17" t="n">
        <v>0</v>
      </c>
      <c r="H1222" s="17" t="n">
        <v>0</v>
      </c>
      <c r="I1222" s="17" t="n">
        <v>2</v>
      </c>
      <c r="J1222" s="17" t="n">
        <v>0</v>
      </c>
      <c r="K1222" s="17" t="n">
        <v>4</v>
      </c>
      <c r="L1222" s="17" t="n">
        <v>0</v>
      </c>
      <c r="M1222" s="17" t="n">
        <v>0</v>
      </c>
      <c r="N1222" s="17" t="n">
        <v>0</v>
      </c>
      <c r="O1222" s="17" t="n">
        <v>0</v>
      </c>
      <c r="P1222" s="17" t="n">
        <v>0</v>
      </c>
      <c r="Q1222" s="17" t="n">
        <v>1</v>
      </c>
      <c r="R1222" s="17" t="n">
        <v>0</v>
      </c>
      <c r="T1222" s="17">
        <f>DAY(C1222)</f>
        <v/>
      </c>
      <c r="U1222" s="17">
        <f>MONTH(C1222)</f>
        <v/>
      </c>
    </row>
    <row r="1223" hidden="1" ht="22.5" customHeight="1" s="117">
      <c r="A1223" s="14" t="n">
        <v>46029.29141969908</v>
      </c>
      <c r="B1223" s="17" t="inlineStr">
        <is>
          <t>Vòng Nhật Sang</t>
        </is>
      </c>
      <c r="C1223" s="16" t="n">
        <v>45663</v>
      </c>
      <c r="D1223" s="17" t="n">
        <v>1</v>
      </c>
      <c r="E1223" s="17" t="n">
        <v>0</v>
      </c>
      <c r="F1223" s="17" t="n">
        <v>0</v>
      </c>
      <c r="G1223" s="17" t="n">
        <v>0</v>
      </c>
      <c r="H1223" s="17" t="n">
        <v>0</v>
      </c>
      <c r="I1223" s="17" t="n">
        <v>0</v>
      </c>
      <c r="J1223" s="17" t="n">
        <v>0</v>
      </c>
      <c r="K1223" s="17" t="n">
        <v>0</v>
      </c>
      <c r="L1223" s="17" t="n">
        <v>0</v>
      </c>
      <c r="M1223" s="17" t="n">
        <v>1</v>
      </c>
      <c r="N1223" s="17" t="n">
        <v>0</v>
      </c>
      <c r="O1223" s="17" t="n">
        <v>0</v>
      </c>
      <c r="P1223" s="17" t="n">
        <v>2</v>
      </c>
      <c r="Q1223" s="17" t="n">
        <v>2</v>
      </c>
      <c r="R1223" s="17" t="n">
        <v>0</v>
      </c>
      <c r="T1223" s="17">
        <f>DAY(C1223)</f>
        <v/>
      </c>
      <c r="U1223" s="17">
        <f>MONTH(C1223)</f>
        <v/>
      </c>
    </row>
    <row r="1224" ht="22.5" customHeight="1" s="117">
      <c r="A1224" s="14" t="n">
        <v>46029.29260041667</v>
      </c>
      <c r="B1224" s="17" t="inlineStr">
        <is>
          <t>Trần Trung Giang</t>
        </is>
      </c>
      <c r="C1224" s="16" t="n">
        <v>46028</v>
      </c>
      <c r="D1224" s="17" t="n">
        <v>0</v>
      </c>
      <c r="E1224" s="17" t="n">
        <v>0</v>
      </c>
      <c r="F1224" s="17" t="n">
        <v>0</v>
      </c>
      <c r="G1224" s="17" t="n">
        <v>0</v>
      </c>
      <c r="H1224" s="17" t="n">
        <v>0</v>
      </c>
      <c r="I1224" s="17" t="n">
        <v>0</v>
      </c>
      <c r="J1224" s="17" t="n">
        <v>0</v>
      </c>
      <c r="K1224" s="17" t="n">
        <v>3</v>
      </c>
      <c r="L1224" s="17" t="n">
        <v>0</v>
      </c>
      <c r="M1224" s="17" t="n">
        <v>0</v>
      </c>
      <c r="N1224" s="17" t="n">
        <v>0</v>
      </c>
      <c r="O1224" s="17" t="n">
        <v>0</v>
      </c>
      <c r="P1224" s="17" t="n">
        <v>1</v>
      </c>
      <c r="Q1224" s="17" t="n">
        <v>1</v>
      </c>
      <c r="R1224" s="17" t="n">
        <v>0</v>
      </c>
      <c r="T1224" s="17">
        <f>DAY(C1224)</f>
        <v/>
      </c>
      <c r="U1224" s="17">
        <f>MONTH(C1224)</f>
        <v/>
      </c>
    </row>
    <row r="1225" ht="22.5" customHeight="1" s="117">
      <c r="A1225" s="14" t="n">
        <v>46029.2926790625</v>
      </c>
      <c r="B1225" s="17" t="inlineStr">
        <is>
          <t>Lê Hồng Phong</t>
        </is>
      </c>
      <c r="C1225" s="16" t="n">
        <v>46029</v>
      </c>
      <c r="D1225" s="17" t="n">
        <v>1</v>
      </c>
      <c r="E1225" s="17" t="n">
        <v>1</v>
      </c>
      <c r="F1225" s="17" t="n">
        <v>1</v>
      </c>
      <c r="G1225" s="17" t="n">
        <v>0</v>
      </c>
      <c r="H1225" s="17" t="n">
        <v>0</v>
      </c>
      <c r="I1225" s="17" t="n">
        <v>0</v>
      </c>
      <c r="J1225" s="17" t="n">
        <v>1</v>
      </c>
      <c r="K1225" s="17" t="n">
        <v>1</v>
      </c>
      <c r="L1225" s="17" t="n">
        <v>1</v>
      </c>
      <c r="M1225" s="17" t="n">
        <v>1</v>
      </c>
      <c r="N1225" s="17" t="n">
        <v>1</v>
      </c>
      <c r="O1225" s="17" t="n">
        <v>0</v>
      </c>
      <c r="P1225" s="17" t="n">
        <v>1</v>
      </c>
      <c r="Q1225" s="17" t="n">
        <v>1</v>
      </c>
      <c r="R1225" s="17" t="n">
        <v>1</v>
      </c>
      <c r="T1225" s="17">
        <f>DAY(C1225)</f>
        <v/>
      </c>
      <c r="U1225" s="17">
        <f>MONTH(C1225)</f>
        <v/>
      </c>
    </row>
    <row r="1226" hidden="1" ht="22.5" customHeight="1" s="117">
      <c r="A1226" s="14" t="n">
        <v>46029.29589261574</v>
      </c>
      <c r="B1226" s="17" t="inlineStr">
        <is>
          <t>Nguyễn Thành Lâm</t>
        </is>
      </c>
      <c r="C1226" s="16" t="n">
        <v>45663</v>
      </c>
      <c r="D1226" s="17" t="n">
        <v>0</v>
      </c>
      <c r="E1226" s="17" t="n">
        <v>0</v>
      </c>
      <c r="F1226" s="17" t="n">
        <v>0</v>
      </c>
      <c r="G1226" s="17" t="n">
        <v>0</v>
      </c>
      <c r="H1226" s="17" t="n">
        <v>0</v>
      </c>
      <c r="I1226" s="17" t="n">
        <v>0</v>
      </c>
      <c r="J1226" s="17" t="n">
        <v>0</v>
      </c>
      <c r="K1226" s="17" t="n">
        <v>0</v>
      </c>
      <c r="L1226" s="17" t="n">
        <v>2</v>
      </c>
      <c r="M1226" s="17" t="n">
        <v>0</v>
      </c>
      <c r="N1226" s="17" t="n">
        <v>0</v>
      </c>
      <c r="O1226" s="17" t="n">
        <v>0</v>
      </c>
      <c r="P1226" s="17" t="n">
        <v>0</v>
      </c>
      <c r="Q1226" s="17" t="n">
        <v>1</v>
      </c>
      <c r="R1226" s="17" t="n">
        <v>0</v>
      </c>
      <c r="T1226" s="17">
        <f>DAY(C1226)</f>
        <v/>
      </c>
      <c r="U1226" s="17">
        <f>MONTH(C1226)</f>
        <v/>
      </c>
    </row>
    <row r="1227" ht="22.5" customHeight="1" s="117">
      <c r="A1227" s="14" t="n">
        <v>46029.29762450232</v>
      </c>
      <c r="B1227" s="17" t="inlineStr">
        <is>
          <t>Huỳnh Văn Lực</t>
        </is>
      </c>
      <c r="C1227" s="16" t="n">
        <v>46028</v>
      </c>
      <c r="D1227" s="17" t="n">
        <v>0</v>
      </c>
      <c r="E1227" s="17" t="n">
        <v>0</v>
      </c>
      <c r="F1227" s="17" t="n">
        <v>0</v>
      </c>
      <c r="G1227" s="17" t="n">
        <v>0</v>
      </c>
      <c r="H1227" s="17" t="n">
        <v>0</v>
      </c>
      <c r="I1227" s="17" t="n">
        <v>0</v>
      </c>
      <c r="J1227" s="17" t="n">
        <v>0</v>
      </c>
      <c r="K1227" s="17" t="n">
        <v>8</v>
      </c>
      <c r="L1227" s="17" t="n">
        <v>0</v>
      </c>
      <c r="M1227" s="17" t="n">
        <v>0</v>
      </c>
      <c r="N1227" s="17" t="n">
        <v>0</v>
      </c>
      <c r="O1227" s="17" t="n">
        <v>0</v>
      </c>
      <c r="P1227" s="17" t="n">
        <v>1</v>
      </c>
      <c r="Q1227" s="17" t="n">
        <v>1</v>
      </c>
      <c r="R1227" s="17" t="n">
        <v>0</v>
      </c>
      <c r="T1227" s="17">
        <f>DAY(C1227)</f>
        <v/>
      </c>
      <c r="U1227" s="17">
        <f>MONTH(C1227)</f>
        <v/>
      </c>
    </row>
    <row r="1228" ht="22.5" customHeight="1" s="117">
      <c r="A1228" s="14" t="n">
        <v>46029.29832291666</v>
      </c>
      <c r="B1228" s="17" t="inlineStr">
        <is>
          <t>Huỳnh Văn Lực</t>
        </is>
      </c>
      <c r="C1228" s="16" t="n">
        <v>46028</v>
      </c>
      <c r="D1228" s="17" t="n">
        <v>0</v>
      </c>
      <c r="E1228" s="17" t="n">
        <v>0</v>
      </c>
      <c r="F1228" s="17" t="n">
        <v>0</v>
      </c>
      <c r="G1228" s="17" t="n">
        <v>0</v>
      </c>
      <c r="H1228" s="17" t="n">
        <v>0</v>
      </c>
      <c r="I1228" s="17" t="n">
        <v>0</v>
      </c>
      <c r="J1228" s="17" t="n">
        <v>0</v>
      </c>
      <c r="K1228" s="17" t="n">
        <v>8</v>
      </c>
      <c r="L1228" s="17" t="n">
        <v>0</v>
      </c>
      <c r="M1228" s="17" t="n">
        <v>0</v>
      </c>
      <c r="N1228" s="17" t="n">
        <v>0</v>
      </c>
      <c r="O1228" s="17" t="n">
        <v>0</v>
      </c>
      <c r="P1228" s="17" t="n">
        <v>1</v>
      </c>
      <c r="Q1228" s="17" t="n">
        <v>1</v>
      </c>
      <c r="R1228" s="17" t="n">
        <v>0</v>
      </c>
      <c r="T1228" s="17">
        <f>DAY(C1228)</f>
        <v/>
      </c>
      <c r="U1228" s="17">
        <f>MONTH(C1228)</f>
        <v/>
      </c>
    </row>
    <row r="1229" ht="22.5" customHeight="1" s="117">
      <c r="A1229" s="14" t="n">
        <v>46029.29915796296</v>
      </c>
      <c r="B1229" s="17" t="inlineStr">
        <is>
          <t>Đặng Hữu Danh</t>
        </is>
      </c>
      <c r="C1229" s="16" t="n">
        <v>46028</v>
      </c>
      <c r="D1229" s="17" t="n">
        <v>0</v>
      </c>
      <c r="E1229" s="17" t="n">
        <v>0</v>
      </c>
      <c r="F1229" s="17" t="n">
        <v>0</v>
      </c>
      <c r="G1229" s="17" t="n">
        <v>0</v>
      </c>
      <c r="H1229" s="17" t="n">
        <v>0</v>
      </c>
      <c r="I1229" s="17" t="n">
        <v>1</v>
      </c>
      <c r="J1229" s="17" t="n">
        <v>0</v>
      </c>
      <c r="K1229" s="17" t="n">
        <v>0</v>
      </c>
      <c r="L1229" s="17" t="n">
        <v>3</v>
      </c>
      <c r="M1229" s="17" t="n">
        <v>0</v>
      </c>
      <c r="N1229" s="17" t="n">
        <v>0</v>
      </c>
      <c r="O1229" s="17" t="n">
        <v>0</v>
      </c>
      <c r="P1229" s="17" t="n">
        <v>2</v>
      </c>
      <c r="Q1229" s="17" t="n">
        <v>3</v>
      </c>
      <c r="R1229" s="17" t="n">
        <v>0</v>
      </c>
      <c r="T1229" s="17">
        <f>DAY(C1229)</f>
        <v/>
      </c>
      <c r="U1229" s="17">
        <f>MONTH(C1229)</f>
        <v/>
      </c>
    </row>
    <row r="1230" ht="22.5" customHeight="1" s="117">
      <c r="A1230" s="14" t="n">
        <v>46029.29970607639</v>
      </c>
      <c r="B1230" s="17" t="inlineStr">
        <is>
          <t>Đào Công Trung</t>
        </is>
      </c>
      <c r="C1230" s="16" t="n">
        <v>46028</v>
      </c>
      <c r="D1230" s="17" t="n">
        <v>0</v>
      </c>
      <c r="E1230" s="17" t="n">
        <v>0</v>
      </c>
      <c r="F1230" s="17" t="n">
        <v>0</v>
      </c>
      <c r="G1230" s="17" t="n">
        <v>0</v>
      </c>
      <c r="H1230" s="17" t="n">
        <v>0</v>
      </c>
      <c r="I1230" s="17" t="n">
        <v>0</v>
      </c>
      <c r="J1230" s="17" t="n">
        <v>0</v>
      </c>
      <c r="K1230" s="17" t="n">
        <v>4</v>
      </c>
      <c r="L1230" s="17" t="n">
        <v>0</v>
      </c>
      <c r="M1230" s="17" t="n">
        <v>0</v>
      </c>
      <c r="N1230" s="17" t="n">
        <v>0</v>
      </c>
      <c r="O1230" s="17" t="n">
        <v>0</v>
      </c>
      <c r="P1230" s="17" t="n">
        <v>0</v>
      </c>
      <c r="Q1230" s="17" t="n">
        <v>1</v>
      </c>
      <c r="R1230" s="17" t="n">
        <v>0</v>
      </c>
      <c r="T1230" s="17">
        <f>DAY(C1230)</f>
        <v/>
      </c>
      <c r="U1230" s="17">
        <f>MONTH(C1230)</f>
        <v/>
      </c>
    </row>
    <row r="1231" ht="22.5" customHeight="1" s="117">
      <c r="A1231" s="14" t="n">
        <v>46029.30303209491</v>
      </c>
      <c r="B1231" s="17" t="inlineStr">
        <is>
          <t>Đặng Hoài Anh</t>
        </is>
      </c>
      <c r="C1231" s="16" t="n">
        <v>46028</v>
      </c>
      <c r="D1231" s="17" t="n">
        <v>0</v>
      </c>
      <c r="E1231" s="17" t="n">
        <v>0</v>
      </c>
      <c r="F1231" s="17" t="n">
        <v>0</v>
      </c>
      <c r="G1231" s="17" t="n">
        <v>0</v>
      </c>
      <c r="H1231" s="17" t="n">
        <v>0</v>
      </c>
      <c r="I1231" s="17" t="n">
        <v>0</v>
      </c>
      <c r="J1231" s="17" t="n">
        <v>0</v>
      </c>
      <c r="K1231" s="17" t="n">
        <v>0</v>
      </c>
      <c r="L1231" s="17" t="n">
        <v>0</v>
      </c>
      <c r="M1231" s="17" t="n">
        <v>0</v>
      </c>
      <c r="N1231" s="17" t="n">
        <v>0</v>
      </c>
      <c r="O1231" s="17" t="n">
        <v>0</v>
      </c>
      <c r="P1231" s="17" t="n">
        <v>0</v>
      </c>
      <c r="Q1231" s="17" t="n">
        <v>2</v>
      </c>
      <c r="R1231" s="17" t="n">
        <v>0</v>
      </c>
      <c r="T1231" s="17">
        <f>DAY(C1231)</f>
        <v/>
      </c>
      <c r="U1231" s="17">
        <f>MONTH(C1231)</f>
        <v/>
      </c>
    </row>
    <row r="1232" ht="22.5" customHeight="1" s="117">
      <c r="A1232" s="14" t="n">
        <v>46029.31804702547</v>
      </c>
      <c r="B1232" s="17" t="inlineStr">
        <is>
          <t>Bùi Duy Cường</t>
        </is>
      </c>
      <c r="C1232" s="16" t="n">
        <v>46028</v>
      </c>
      <c r="D1232" s="17" t="n">
        <v>0</v>
      </c>
      <c r="E1232" s="17" t="n">
        <v>0</v>
      </c>
      <c r="F1232" s="17" t="n">
        <v>0</v>
      </c>
      <c r="G1232" s="17" t="n">
        <v>1</v>
      </c>
      <c r="H1232" s="17" t="n">
        <v>1</v>
      </c>
      <c r="I1232" s="17" t="n">
        <v>0</v>
      </c>
      <c r="J1232" s="17" t="n">
        <v>0</v>
      </c>
      <c r="K1232" s="17" t="n">
        <v>9</v>
      </c>
      <c r="L1232" s="17" t="n">
        <v>9</v>
      </c>
      <c r="M1232" s="17" t="n">
        <v>1</v>
      </c>
      <c r="N1232" s="17" t="n">
        <v>1</v>
      </c>
      <c r="O1232" s="17" t="n">
        <v>0</v>
      </c>
      <c r="P1232" s="17" t="n">
        <v>0</v>
      </c>
      <c r="Q1232" s="17" t="n">
        <v>0</v>
      </c>
      <c r="R1232" s="17" t="n">
        <v>0</v>
      </c>
      <c r="T1232" s="17">
        <f>DAY(C1232)</f>
        <v/>
      </c>
      <c r="U1232" s="17">
        <f>MONTH(C1232)</f>
        <v/>
      </c>
    </row>
    <row r="1233" ht="22.5" customHeight="1" s="117">
      <c r="A1233" s="14" t="n">
        <v>46029.32216607639</v>
      </c>
      <c r="B1233" s="17" t="inlineStr">
        <is>
          <t>Trần Minh Khánh</t>
        </is>
      </c>
      <c r="C1233" s="16" t="n">
        <v>46028</v>
      </c>
      <c r="D1233" s="17" t="n">
        <v>0</v>
      </c>
      <c r="E1233" s="17" t="n">
        <v>0</v>
      </c>
      <c r="F1233" s="17" t="n">
        <v>0</v>
      </c>
      <c r="G1233" s="17" t="n">
        <v>0</v>
      </c>
      <c r="H1233" s="17" t="n">
        <v>2</v>
      </c>
      <c r="I1233" s="17" t="n">
        <v>2</v>
      </c>
      <c r="J1233" s="17" t="n">
        <v>0</v>
      </c>
      <c r="K1233" s="17" t="n">
        <v>2</v>
      </c>
      <c r="L1233" s="17" t="n">
        <v>1</v>
      </c>
      <c r="M1233" s="17" t="n">
        <v>0</v>
      </c>
      <c r="N1233" s="17" t="n">
        <v>0</v>
      </c>
      <c r="O1233" s="17" t="n">
        <v>0</v>
      </c>
      <c r="P1233" s="17" t="n">
        <v>1</v>
      </c>
      <c r="Q1233" s="17" t="n">
        <v>3</v>
      </c>
      <c r="R1233" s="17" t="n">
        <v>0</v>
      </c>
      <c r="T1233" s="17">
        <f>DAY(C1233)</f>
        <v/>
      </c>
      <c r="U1233" s="17">
        <f>MONTH(C1233)</f>
        <v/>
      </c>
    </row>
    <row r="1234" hidden="1" ht="22.5" customHeight="1" s="117">
      <c r="A1234" s="14" t="n">
        <v>46029.32428585648</v>
      </c>
      <c r="B1234" s="17" t="inlineStr">
        <is>
          <t>Nguyễn Tuấn Anh</t>
        </is>
      </c>
      <c r="C1234" s="16" t="n">
        <v>45663</v>
      </c>
      <c r="D1234" s="17" t="n">
        <v>1</v>
      </c>
      <c r="E1234" s="17" t="n">
        <v>0</v>
      </c>
      <c r="F1234" s="17" t="n">
        <v>0</v>
      </c>
      <c r="G1234" s="17" t="n">
        <v>0</v>
      </c>
      <c r="H1234" s="17" t="n">
        <v>0</v>
      </c>
      <c r="I1234" s="17" t="n">
        <v>2</v>
      </c>
      <c r="J1234" s="17" t="n">
        <v>0</v>
      </c>
      <c r="K1234" s="17" t="n">
        <v>5</v>
      </c>
      <c r="L1234" s="17" t="n">
        <v>1</v>
      </c>
      <c r="M1234" s="17" t="n">
        <v>0</v>
      </c>
      <c r="N1234" s="17" t="n">
        <v>0</v>
      </c>
      <c r="O1234" s="17" t="n">
        <v>0</v>
      </c>
      <c r="P1234" s="17" t="n">
        <v>3</v>
      </c>
      <c r="Q1234" s="17" t="n">
        <v>2</v>
      </c>
      <c r="R1234" s="17" t="n">
        <v>0</v>
      </c>
      <c r="T1234" s="17">
        <f>DAY(C1234)</f>
        <v/>
      </c>
      <c r="U1234" s="17">
        <f>MONTH(C1234)</f>
        <v/>
      </c>
    </row>
    <row r="1235" ht="22.5" customHeight="1" s="117">
      <c r="A1235" s="14" t="n">
        <v>46029.3312075</v>
      </c>
      <c r="B1235" s="17" t="inlineStr">
        <is>
          <t>Lê Quốc Duy</t>
        </is>
      </c>
      <c r="C1235" s="16" t="n">
        <v>46028</v>
      </c>
      <c r="D1235" s="17" t="n">
        <v>0</v>
      </c>
      <c r="E1235" s="17" t="n">
        <v>0</v>
      </c>
      <c r="F1235" s="17" t="n">
        <v>0</v>
      </c>
      <c r="G1235" s="17" t="n">
        <v>0</v>
      </c>
      <c r="H1235" s="17" t="n">
        <v>0</v>
      </c>
      <c r="I1235" s="17" t="n">
        <v>0</v>
      </c>
      <c r="J1235" s="17" t="n">
        <v>0</v>
      </c>
      <c r="K1235" s="17" t="n">
        <v>0</v>
      </c>
      <c r="L1235" s="17" t="n">
        <v>0</v>
      </c>
      <c r="M1235" s="17" t="n">
        <v>0</v>
      </c>
      <c r="N1235" s="17" t="n">
        <v>0</v>
      </c>
      <c r="O1235" s="17" t="n">
        <v>0</v>
      </c>
      <c r="P1235" s="17" t="n">
        <v>1</v>
      </c>
      <c r="Q1235" s="17" t="n">
        <v>3</v>
      </c>
      <c r="R1235" s="17" t="n">
        <v>0</v>
      </c>
      <c r="T1235" s="17">
        <f>DAY(C1235)</f>
        <v/>
      </c>
      <c r="U1235" s="17">
        <f>MONTH(C1235)</f>
        <v/>
      </c>
    </row>
    <row r="1236" ht="22.5" customHeight="1" s="117">
      <c r="A1236" s="14" t="n">
        <v>46029.34141043982</v>
      </c>
      <c r="B1236" s="17" t="inlineStr">
        <is>
          <t>Nguyễn Hồng Minh</t>
        </is>
      </c>
      <c r="C1236" s="16" t="n">
        <v>46028</v>
      </c>
      <c r="D1236" s="17" t="n">
        <v>0</v>
      </c>
      <c r="E1236" s="17" t="n">
        <v>0</v>
      </c>
      <c r="F1236" s="17" t="n">
        <v>0</v>
      </c>
      <c r="G1236" s="17" t="n">
        <v>0</v>
      </c>
      <c r="H1236" s="17" t="n">
        <v>0</v>
      </c>
      <c r="I1236" s="17" t="n">
        <v>4</v>
      </c>
      <c r="J1236" s="17" t="n">
        <v>0</v>
      </c>
      <c r="K1236" s="17" t="n">
        <v>0</v>
      </c>
      <c r="L1236" s="17" t="n">
        <v>2</v>
      </c>
      <c r="M1236" s="17" t="n">
        <v>0</v>
      </c>
      <c r="N1236" s="17" t="n">
        <v>1</v>
      </c>
      <c r="O1236" s="17" t="n">
        <v>0</v>
      </c>
      <c r="P1236" s="17" t="n">
        <v>0</v>
      </c>
      <c r="Q1236" s="17" t="n">
        <v>5</v>
      </c>
      <c r="R1236" s="17" t="n">
        <v>0</v>
      </c>
      <c r="T1236" s="17">
        <f>DAY(C1236)</f>
        <v/>
      </c>
      <c r="U1236" s="17">
        <f>MONTH(C1236)</f>
        <v/>
      </c>
    </row>
    <row r="1237" ht="22.5" customHeight="1" s="117">
      <c r="A1237" s="14" t="n">
        <v>46029.35158902778</v>
      </c>
      <c r="B1237" s="17" t="inlineStr">
        <is>
          <t>Lê Văn Hồng</t>
        </is>
      </c>
      <c r="C1237" s="16" t="n">
        <v>46028</v>
      </c>
      <c r="D1237" s="17" t="n">
        <v>0</v>
      </c>
      <c r="E1237" s="17" t="n">
        <v>0</v>
      </c>
      <c r="F1237" s="17" t="n">
        <v>0</v>
      </c>
      <c r="G1237" s="17" t="n">
        <v>0</v>
      </c>
      <c r="H1237" s="17" t="n">
        <v>0</v>
      </c>
      <c r="I1237" s="17" t="n">
        <v>0</v>
      </c>
      <c r="J1237" s="17" t="n">
        <v>0</v>
      </c>
      <c r="K1237" s="17" t="n">
        <v>7</v>
      </c>
      <c r="L1237" s="17" t="n">
        <v>2</v>
      </c>
      <c r="M1237" s="17" t="n">
        <v>1</v>
      </c>
      <c r="N1237" s="17" t="n">
        <v>0</v>
      </c>
      <c r="O1237" s="17" t="n">
        <v>0</v>
      </c>
      <c r="P1237" s="17" t="n">
        <v>2</v>
      </c>
      <c r="Q1237" s="17" t="n">
        <v>2</v>
      </c>
      <c r="R1237" s="17" t="n">
        <v>0</v>
      </c>
      <c r="T1237" s="17">
        <f>DAY(C1237)</f>
        <v/>
      </c>
      <c r="U1237" s="17">
        <f>MONTH(C1237)</f>
        <v/>
      </c>
    </row>
    <row r="1238" ht="22.5" customHeight="1" s="117">
      <c r="A1238" s="14" t="n">
        <v>46030.265939375</v>
      </c>
      <c r="B1238" s="17" t="inlineStr">
        <is>
          <t>Nguyễn Văn Hiệp</t>
        </is>
      </c>
      <c r="C1238" s="16" t="n">
        <v>46029</v>
      </c>
      <c r="D1238" s="17" t="n">
        <v>0</v>
      </c>
      <c r="E1238" s="17" t="n">
        <v>0</v>
      </c>
      <c r="F1238" s="17" t="n">
        <v>0</v>
      </c>
      <c r="G1238" s="17" t="n">
        <v>0</v>
      </c>
      <c r="H1238" s="17" t="n">
        <v>0</v>
      </c>
      <c r="I1238" s="17" t="n">
        <v>0</v>
      </c>
      <c r="J1238" s="17" t="n">
        <v>0</v>
      </c>
      <c r="K1238" s="17" t="n">
        <v>5</v>
      </c>
      <c r="L1238" s="17" t="n">
        <v>0</v>
      </c>
      <c r="M1238" s="17" t="n">
        <v>0</v>
      </c>
      <c r="N1238" s="17" t="n">
        <v>1</v>
      </c>
      <c r="O1238" s="17" t="n">
        <v>0</v>
      </c>
      <c r="P1238" s="17" t="n">
        <v>0</v>
      </c>
      <c r="Q1238" s="17" t="n">
        <v>0</v>
      </c>
      <c r="R1238" s="17" t="n">
        <v>1</v>
      </c>
      <c r="T1238" s="17">
        <f>DAY(C1238)</f>
        <v/>
      </c>
      <c r="U1238" s="17">
        <f>MONTH(C1238)</f>
        <v/>
      </c>
    </row>
    <row r="1239" ht="22.5" customHeight="1" s="117">
      <c r="A1239" s="14" t="n">
        <v>46030.29621907407</v>
      </c>
      <c r="B1239" s="17" t="inlineStr">
        <is>
          <t>Dương Minh Tiến</t>
        </is>
      </c>
      <c r="C1239" s="16" t="n">
        <v>46029</v>
      </c>
      <c r="D1239" s="17" t="n">
        <v>0</v>
      </c>
      <c r="E1239" s="17" t="n">
        <v>0</v>
      </c>
      <c r="F1239" s="17" t="n">
        <v>0</v>
      </c>
      <c r="G1239" s="17" t="n">
        <v>0</v>
      </c>
      <c r="H1239" s="17" t="n">
        <v>0</v>
      </c>
      <c r="I1239" s="17" t="n">
        <v>0</v>
      </c>
      <c r="J1239" s="17" t="n">
        <v>0</v>
      </c>
      <c r="K1239" s="17" t="n">
        <v>4</v>
      </c>
      <c r="L1239" s="17" t="n">
        <v>0</v>
      </c>
      <c r="M1239" s="17" t="n">
        <v>0</v>
      </c>
      <c r="N1239" s="17" t="n">
        <v>0</v>
      </c>
      <c r="O1239" s="17" t="n">
        <v>0</v>
      </c>
      <c r="P1239" s="17" t="n">
        <v>0</v>
      </c>
      <c r="Q1239" s="17" t="n">
        <v>1</v>
      </c>
      <c r="R1239" s="17" t="n">
        <v>0</v>
      </c>
      <c r="T1239" s="17">
        <f>DAY(C1239)</f>
        <v/>
      </c>
      <c r="U1239" s="17">
        <f>MONTH(C1239)</f>
        <v/>
      </c>
    </row>
    <row r="1240" ht="22.5" customHeight="1" s="117">
      <c r="A1240" s="14" t="n">
        <v>46030.29660783565</v>
      </c>
      <c r="B1240" s="17" t="inlineStr">
        <is>
          <t>Lương Duy Hoàng</t>
        </is>
      </c>
      <c r="C1240" s="16" t="n">
        <v>46029</v>
      </c>
      <c r="D1240" s="17" t="n">
        <v>0</v>
      </c>
      <c r="E1240" s="17" t="n">
        <v>0</v>
      </c>
      <c r="F1240" s="17" t="n">
        <v>0</v>
      </c>
      <c r="G1240" s="17" t="n">
        <v>0</v>
      </c>
      <c r="H1240" s="17" t="n">
        <v>0</v>
      </c>
      <c r="I1240" s="17" t="n">
        <v>1</v>
      </c>
      <c r="J1240" s="17" t="n">
        <v>0</v>
      </c>
      <c r="K1240" s="17" t="n">
        <v>4</v>
      </c>
      <c r="L1240" s="17" t="n">
        <v>2</v>
      </c>
      <c r="M1240" s="17" t="n">
        <v>1</v>
      </c>
      <c r="N1240" s="17" t="n">
        <v>1</v>
      </c>
      <c r="O1240" s="17" t="n">
        <v>0</v>
      </c>
      <c r="P1240" s="17" t="n">
        <v>0</v>
      </c>
      <c r="Q1240" s="17" t="n">
        <v>1</v>
      </c>
      <c r="R1240" s="17" t="n">
        <v>0</v>
      </c>
      <c r="T1240" s="17">
        <f>DAY(C1240)</f>
        <v/>
      </c>
      <c r="U1240" s="17">
        <f>MONTH(C1240)</f>
        <v/>
      </c>
    </row>
    <row r="1241" ht="22.5" customHeight="1" s="117">
      <c r="A1241" s="14" t="n">
        <v>46030.29713469907</v>
      </c>
      <c r="B1241" s="17" t="inlineStr">
        <is>
          <t>Huỳnh Văn Lực</t>
        </is>
      </c>
      <c r="C1241" s="16" t="n">
        <v>46029</v>
      </c>
      <c r="D1241" s="17" t="n">
        <v>1</v>
      </c>
      <c r="E1241" s="17" t="n">
        <v>1</v>
      </c>
      <c r="F1241" s="17" t="n">
        <v>1</v>
      </c>
      <c r="G1241" s="17" t="n">
        <v>0</v>
      </c>
      <c r="H1241" s="17" t="n">
        <v>0</v>
      </c>
      <c r="I1241" s="17" t="n">
        <v>0</v>
      </c>
      <c r="J1241" s="17" t="n">
        <v>0</v>
      </c>
      <c r="K1241" s="17" t="n">
        <v>2</v>
      </c>
      <c r="L1241" s="17" t="n">
        <v>0</v>
      </c>
      <c r="M1241" s="17" t="n">
        <v>1</v>
      </c>
      <c r="N1241" s="17" t="n">
        <v>0</v>
      </c>
      <c r="O1241" s="17" t="n">
        <v>0</v>
      </c>
      <c r="P1241" s="17" t="n">
        <v>1</v>
      </c>
      <c r="Q1241" s="17" t="n">
        <v>1</v>
      </c>
      <c r="R1241" s="17" t="n">
        <v>0</v>
      </c>
      <c r="T1241" s="17">
        <f>DAY(C1241)</f>
        <v/>
      </c>
      <c r="U1241" s="17">
        <f>MONTH(C1241)</f>
        <v/>
      </c>
    </row>
    <row r="1242" ht="22.5" customHeight="1" s="117">
      <c r="A1242" s="14" t="n">
        <v>46030.29857055555</v>
      </c>
      <c r="B1242" s="17" t="inlineStr">
        <is>
          <t>Phan Thành Thái</t>
        </is>
      </c>
      <c r="C1242" s="16" t="n">
        <v>46029</v>
      </c>
      <c r="D1242" s="17" t="n">
        <v>0</v>
      </c>
      <c r="E1242" s="17" t="n">
        <v>0</v>
      </c>
      <c r="F1242" s="17" t="n">
        <v>0</v>
      </c>
      <c r="G1242" s="17" t="n">
        <v>0</v>
      </c>
      <c r="H1242" s="17" t="n">
        <v>0</v>
      </c>
      <c r="I1242" s="17" t="n">
        <v>2</v>
      </c>
      <c r="J1242" s="17" t="n">
        <v>0</v>
      </c>
      <c r="K1242" s="17" t="n">
        <v>6</v>
      </c>
      <c r="L1242" s="17" t="n">
        <v>0</v>
      </c>
      <c r="M1242" s="17" t="n">
        <v>0</v>
      </c>
      <c r="N1242" s="17" t="n">
        <v>1</v>
      </c>
      <c r="O1242" s="17" t="n">
        <v>1</v>
      </c>
      <c r="P1242" s="17" t="n">
        <v>0</v>
      </c>
      <c r="Q1242" s="17" t="n">
        <v>5</v>
      </c>
      <c r="R1242" s="17" t="n">
        <v>0</v>
      </c>
      <c r="T1242" s="17">
        <f>DAY(C1242)</f>
        <v/>
      </c>
      <c r="U1242" s="17">
        <f>MONTH(C1242)</f>
        <v/>
      </c>
    </row>
    <row r="1243" ht="22.5" customHeight="1" s="117">
      <c r="A1243" s="14" t="n">
        <v>46030.30039547454</v>
      </c>
      <c r="B1243" s="17" t="inlineStr">
        <is>
          <t>Đặng Hoài Anh</t>
        </is>
      </c>
      <c r="C1243" s="16" t="n">
        <v>46029</v>
      </c>
      <c r="D1243" s="17" t="n">
        <v>0</v>
      </c>
      <c r="E1243" s="17" t="n">
        <v>0</v>
      </c>
      <c r="F1243" s="17" t="n">
        <v>0</v>
      </c>
      <c r="G1243" s="17" t="n">
        <v>0</v>
      </c>
      <c r="H1243" s="17" t="n">
        <v>0</v>
      </c>
      <c r="I1243" s="17" t="n">
        <v>0</v>
      </c>
      <c r="J1243" s="17" t="n">
        <v>0</v>
      </c>
      <c r="K1243" s="17" t="n">
        <v>4</v>
      </c>
      <c r="L1243" s="17" t="n">
        <v>1</v>
      </c>
      <c r="M1243" s="17" t="n">
        <v>0</v>
      </c>
      <c r="N1243" s="17" t="n">
        <v>0</v>
      </c>
      <c r="O1243" s="17" t="n">
        <v>0</v>
      </c>
      <c r="P1243" s="17" t="n">
        <v>0</v>
      </c>
      <c r="Q1243" s="17" t="n">
        <v>0</v>
      </c>
      <c r="R1243" s="17" t="n">
        <v>1</v>
      </c>
      <c r="T1243" s="17">
        <f>DAY(C1243)</f>
        <v/>
      </c>
      <c r="U1243" s="17">
        <f>MONTH(C1243)</f>
        <v/>
      </c>
    </row>
    <row r="1244" ht="22.5" customHeight="1" s="117">
      <c r="A1244" s="14" t="n">
        <v>46030.30079349537</v>
      </c>
      <c r="B1244" s="17" t="inlineStr">
        <is>
          <t>Hồ Xuân Việt</t>
        </is>
      </c>
      <c r="C1244" s="16" t="n">
        <v>46029</v>
      </c>
      <c r="D1244" s="17" t="n">
        <v>0</v>
      </c>
      <c r="E1244" s="17" t="n">
        <v>0</v>
      </c>
      <c r="F1244" s="17" t="n">
        <v>0</v>
      </c>
      <c r="G1244" s="17" t="n">
        <v>0</v>
      </c>
      <c r="H1244" s="17" t="n">
        <v>0</v>
      </c>
      <c r="I1244" s="17" t="n">
        <v>0</v>
      </c>
      <c r="J1244" s="17" t="n">
        <v>0</v>
      </c>
      <c r="K1244" s="17" t="n">
        <v>0</v>
      </c>
      <c r="L1244" s="17" t="n">
        <v>0</v>
      </c>
      <c r="M1244" s="17" t="n">
        <v>0</v>
      </c>
      <c r="N1244" s="17" t="n">
        <v>0</v>
      </c>
      <c r="O1244" s="17" t="n">
        <v>0</v>
      </c>
      <c r="P1244" s="17" t="n">
        <v>0</v>
      </c>
      <c r="Q1244" s="17" t="n">
        <v>2</v>
      </c>
      <c r="R1244" s="17" t="n">
        <v>0</v>
      </c>
      <c r="T1244" s="17">
        <f>DAY(C1244)</f>
        <v/>
      </c>
      <c r="U1244" s="17">
        <f>MONTH(C1244)</f>
        <v/>
      </c>
    </row>
    <row r="1245" ht="22.5" customHeight="1" s="117">
      <c r="A1245" s="14" t="n">
        <v>46030.30162560185</v>
      </c>
      <c r="B1245" s="17" t="inlineStr">
        <is>
          <t>Nguyễn Quang Anh Tuấn</t>
        </is>
      </c>
      <c r="C1245" s="16" t="n">
        <v>46029</v>
      </c>
      <c r="D1245" s="17" t="n">
        <v>0</v>
      </c>
      <c r="E1245" s="17" t="n">
        <v>0</v>
      </c>
      <c r="F1245" s="17" t="n">
        <v>0</v>
      </c>
      <c r="G1245" s="17" t="n">
        <v>0</v>
      </c>
      <c r="H1245" s="17" t="n">
        <v>0</v>
      </c>
      <c r="I1245" s="17" t="n">
        <v>1</v>
      </c>
      <c r="J1245" s="17" t="n">
        <v>0</v>
      </c>
      <c r="K1245" s="17" t="n">
        <v>4</v>
      </c>
      <c r="L1245" s="17" t="n">
        <v>0</v>
      </c>
      <c r="M1245" s="17" t="n">
        <v>0</v>
      </c>
      <c r="N1245" s="17" t="n">
        <v>0</v>
      </c>
      <c r="O1245" s="17" t="n">
        <v>0</v>
      </c>
      <c r="P1245" s="17" t="n">
        <v>0</v>
      </c>
      <c r="Q1245" s="17" t="n">
        <v>2</v>
      </c>
      <c r="R1245" s="17" t="n">
        <v>0</v>
      </c>
      <c r="T1245" s="17">
        <f>DAY(C1245)</f>
        <v/>
      </c>
      <c r="U1245" s="17">
        <f>MONTH(C1245)</f>
        <v/>
      </c>
    </row>
    <row r="1246" ht="22.5" customHeight="1" s="117">
      <c r="A1246" s="14" t="n">
        <v>46030.30341951389</v>
      </c>
      <c r="B1246" s="17" t="inlineStr">
        <is>
          <t>Phan Ngọc Sang</t>
        </is>
      </c>
      <c r="C1246" s="16" t="n">
        <v>46029</v>
      </c>
      <c r="D1246" s="17" t="n">
        <v>0</v>
      </c>
      <c r="E1246" s="17" t="n">
        <v>0</v>
      </c>
      <c r="F1246" s="17" t="n">
        <v>0</v>
      </c>
      <c r="G1246" s="17" t="n">
        <v>0</v>
      </c>
      <c r="H1246" s="17" t="n">
        <v>0</v>
      </c>
      <c r="I1246" s="17" t="n">
        <v>1</v>
      </c>
      <c r="J1246" s="17" t="n">
        <v>0</v>
      </c>
      <c r="K1246" s="17" t="n">
        <v>2</v>
      </c>
      <c r="L1246" s="17" t="n">
        <v>0</v>
      </c>
      <c r="M1246" s="17" t="n">
        <v>1</v>
      </c>
      <c r="N1246" s="17" t="n">
        <v>2</v>
      </c>
      <c r="O1246" s="17" t="n">
        <v>0</v>
      </c>
      <c r="P1246" s="17" t="n">
        <v>0</v>
      </c>
      <c r="Q1246" s="17" t="n">
        <v>2</v>
      </c>
      <c r="R1246" s="17" t="n">
        <v>0</v>
      </c>
      <c r="T1246" s="17">
        <f>DAY(C1246)</f>
        <v/>
      </c>
      <c r="U1246" s="17">
        <f>MONTH(C1246)</f>
        <v/>
      </c>
    </row>
    <row r="1247" ht="22.5" customHeight="1" s="117">
      <c r="A1247" s="14" t="n">
        <v>46030.30451987268</v>
      </c>
      <c r="B1247" s="17" t="inlineStr">
        <is>
          <t>Trần Trung Giang</t>
        </is>
      </c>
      <c r="C1247" s="16" t="n">
        <v>46029</v>
      </c>
      <c r="D1247" s="17" t="n">
        <v>0</v>
      </c>
      <c r="E1247" s="17" t="n">
        <v>0</v>
      </c>
      <c r="F1247" s="17" t="n">
        <v>0</v>
      </c>
      <c r="G1247" s="17" t="n">
        <v>0</v>
      </c>
      <c r="H1247" s="17" t="n">
        <v>0</v>
      </c>
      <c r="I1247" s="17" t="n">
        <v>0</v>
      </c>
      <c r="J1247" s="17" t="n">
        <v>0</v>
      </c>
      <c r="K1247" s="17" t="n">
        <v>3</v>
      </c>
      <c r="L1247" s="17" t="n">
        <v>0</v>
      </c>
      <c r="M1247" s="17" t="n">
        <v>0</v>
      </c>
      <c r="N1247" s="17" t="n">
        <v>0</v>
      </c>
      <c r="O1247" s="17" t="n">
        <v>0</v>
      </c>
      <c r="P1247" s="17" t="n">
        <v>3</v>
      </c>
      <c r="Q1247" s="17" t="n">
        <v>0</v>
      </c>
      <c r="R1247" s="17" t="n">
        <v>0</v>
      </c>
      <c r="T1247" s="17">
        <f>DAY(C1247)</f>
        <v/>
      </c>
      <c r="U1247" s="17">
        <f>MONTH(C1247)</f>
        <v/>
      </c>
    </row>
    <row r="1248" ht="22.5" customHeight="1" s="117">
      <c r="A1248" s="14" t="n">
        <v>46030.3045775463</v>
      </c>
      <c r="B1248" s="17" t="inlineStr">
        <is>
          <t>Đặng Hữu Danh</t>
        </is>
      </c>
      <c r="C1248" s="16" t="n">
        <v>46029</v>
      </c>
      <c r="D1248" s="17" t="n">
        <v>0</v>
      </c>
      <c r="E1248" s="17" t="n">
        <v>0</v>
      </c>
      <c r="F1248" s="17" t="n">
        <v>0</v>
      </c>
      <c r="G1248" s="17" t="n">
        <v>0</v>
      </c>
      <c r="H1248" s="17" t="n">
        <v>0</v>
      </c>
      <c r="I1248" s="17" t="n">
        <v>0</v>
      </c>
      <c r="J1248" s="17" t="n">
        <v>0</v>
      </c>
      <c r="K1248" s="17" t="n">
        <v>7</v>
      </c>
      <c r="L1248" s="17" t="n">
        <v>0</v>
      </c>
      <c r="M1248" s="17" t="n">
        <v>0</v>
      </c>
      <c r="N1248" s="17" t="n">
        <v>0</v>
      </c>
      <c r="O1248" s="17" t="n">
        <v>0</v>
      </c>
      <c r="P1248" s="17" t="n">
        <v>1</v>
      </c>
      <c r="Q1248" s="17" t="n">
        <v>2</v>
      </c>
      <c r="R1248" s="17" t="n">
        <v>0</v>
      </c>
      <c r="T1248" s="17">
        <f>DAY(C1248)</f>
        <v/>
      </c>
      <c r="U1248" s="17">
        <f>MONTH(C1248)</f>
        <v/>
      </c>
    </row>
    <row r="1249" hidden="1" ht="22.5" customHeight="1" s="117">
      <c r="A1249" s="14" t="n">
        <v>46030.30597354167</v>
      </c>
      <c r="B1249" s="17" t="inlineStr">
        <is>
          <t>Nguyễn Tuấn Anh</t>
        </is>
      </c>
      <c r="C1249" s="16" t="n">
        <v>45664</v>
      </c>
      <c r="D1249" s="17" t="n">
        <v>1</v>
      </c>
      <c r="E1249" s="17" t="n">
        <v>0</v>
      </c>
      <c r="F1249" s="17" t="n">
        <v>0</v>
      </c>
      <c r="G1249" s="17" t="n">
        <v>0</v>
      </c>
      <c r="H1249" s="17" t="n">
        <v>0</v>
      </c>
      <c r="I1249" s="17" t="n">
        <v>2</v>
      </c>
      <c r="J1249" s="17" t="n">
        <v>0</v>
      </c>
      <c r="K1249" s="17" t="n">
        <v>11</v>
      </c>
      <c r="L1249" s="17" t="n">
        <v>9</v>
      </c>
      <c r="M1249" s="17" t="n">
        <v>0</v>
      </c>
      <c r="N1249" s="17" t="n">
        <v>0</v>
      </c>
      <c r="O1249" s="17" t="n">
        <v>0</v>
      </c>
      <c r="P1249" s="17" t="n">
        <v>1</v>
      </c>
      <c r="Q1249" s="17" t="n">
        <v>2</v>
      </c>
      <c r="R1249" s="17" t="n">
        <v>2</v>
      </c>
      <c r="T1249" s="17">
        <f>DAY(C1249)</f>
        <v/>
      </c>
      <c r="U1249" s="17">
        <f>MONTH(C1249)</f>
        <v/>
      </c>
    </row>
    <row r="1250" ht="22.5" customHeight="1" s="117">
      <c r="A1250" s="14" t="n">
        <v>46030.30746736111</v>
      </c>
      <c r="B1250" s="17" t="inlineStr">
        <is>
          <t>Trần Minh Khánh</t>
        </is>
      </c>
      <c r="C1250" s="16" t="n">
        <v>46029</v>
      </c>
      <c r="D1250" s="17" t="n">
        <v>0</v>
      </c>
      <c r="E1250" s="17" t="n">
        <v>0</v>
      </c>
      <c r="F1250" s="17" t="n">
        <v>0</v>
      </c>
      <c r="G1250" s="17" t="n">
        <v>0</v>
      </c>
      <c r="H1250" s="17" t="n">
        <v>0</v>
      </c>
      <c r="I1250" s="17" t="n">
        <v>3</v>
      </c>
      <c r="J1250" s="17" t="n">
        <v>0</v>
      </c>
      <c r="K1250" s="17" t="n">
        <v>0</v>
      </c>
      <c r="L1250" s="17" t="n">
        <v>2</v>
      </c>
      <c r="M1250" s="17" t="n">
        <v>0</v>
      </c>
      <c r="N1250" s="17" t="n">
        <v>0</v>
      </c>
      <c r="O1250" s="17" t="n">
        <v>0</v>
      </c>
      <c r="P1250" s="17" t="n">
        <v>0</v>
      </c>
      <c r="Q1250" s="17" t="n">
        <v>3</v>
      </c>
      <c r="R1250" s="17" t="n">
        <v>0</v>
      </c>
      <c r="T1250" s="17">
        <f>DAY(C1250)</f>
        <v/>
      </c>
      <c r="U1250" s="17">
        <f>MONTH(C1250)</f>
        <v/>
      </c>
    </row>
    <row r="1251" ht="22.5" customHeight="1" s="117">
      <c r="A1251" s="14" t="n">
        <v>46030.30808703704</v>
      </c>
      <c r="B1251" s="17" t="inlineStr">
        <is>
          <t>Vòng Nhật Sang</t>
        </is>
      </c>
      <c r="C1251" s="16" t="n">
        <v>46029</v>
      </c>
      <c r="D1251" s="17" t="n">
        <v>0</v>
      </c>
      <c r="E1251" s="17" t="n">
        <v>0</v>
      </c>
      <c r="F1251" s="17" t="n">
        <v>0</v>
      </c>
      <c r="G1251" s="17" t="n">
        <v>0</v>
      </c>
      <c r="H1251" s="17" t="n">
        <v>0</v>
      </c>
      <c r="I1251" s="17" t="n">
        <v>0</v>
      </c>
      <c r="J1251" s="17" t="n">
        <v>0</v>
      </c>
      <c r="K1251" s="17" t="n">
        <v>22</v>
      </c>
      <c r="L1251" s="17" t="n">
        <v>0</v>
      </c>
      <c r="M1251" s="17" t="n">
        <v>0</v>
      </c>
      <c r="N1251" s="17" t="n">
        <v>0</v>
      </c>
      <c r="O1251" s="17" t="n">
        <v>0</v>
      </c>
      <c r="P1251" s="17" t="n">
        <v>2</v>
      </c>
      <c r="Q1251" s="17" t="n">
        <v>2</v>
      </c>
      <c r="R1251" s="17" t="n">
        <v>0</v>
      </c>
      <c r="T1251" s="17">
        <f>DAY(C1251)</f>
        <v/>
      </c>
      <c r="U1251" s="17">
        <f>MONTH(C1251)</f>
        <v/>
      </c>
    </row>
    <row r="1252" ht="22.5" customHeight="1" s="117">
      <c r="A1252" s="14" t="n">
        <v>46030.30979233796</v>
      </c>
      <c r="B1252" s="17" t="inlineStr">
        <is>
          <t>Lê Hồng Phong</t>
        </is>
      </c>
      <c r="C1252" s="16" t="n">
        <v>46030</v>
      </c>
      <c r="D1252" s="17" t="n">
        <v>1</v>
      </c>
      <c r="E1252" s="17" t="n">
        <v>1</v>
      </c>
      <c r="F1252" s="17" t="n">
        <v>1</v>
      </c>
      <c r="G1252" s="17" t="n">
        <v>0</v>
      </c>
      <c r="H1252" s="17" t="n">
        <v>0</v>
      </c>
      <c r="I1252" s="17" t="n">
        <v>1</v>
      </c>
      <c r="J1252" s="17" t="n">
        <v>1</v>
      </c>
      <c r="K1252" s="17" t="n">
        <v>1</v>
      </c>
      <c r="L1252" s="17" t="n">
        <v>1</v>
      </c>
      <c r="M1252" s="17" t="n">
        <v>1</v>
      </c>
      <c r="N1252" s="17" t="n">
        <v>1</v>
      </c>
      <c r="O1252" s="17" t="n">
        <v>1</v>
      </c>
      <c r="P1252" s="17" t="n">
        <v>1</v>
      </c>
      <c r="Q1252" s="17" t="n">
        <v>1</v>
      </c>
      <c r="R1252" s="17" t="n">
        <v>1</v>
      </c>
      <c r="T1252" s="17">
        <f>DAY(C1252)</f>
        <v/>
      </c>
      <c r="U1252" s="17">
        <f>MONTH(C1252)</f>
        <v/>
      </c>
    </row>
    <row r="1253" ht="22.5" customHeight="1" s="117">
      <c r="A1253" s="14" t="n">
        <v>46030.31633337963</v>
      </c>
      <c r="B1253" s="17" t="inlineStr">
        <is>
          <t>Trần Xuân Khoa</t>
        </is>
      </c>
      <c r="C1253" s="16" t="n">
        <v>46029</v>
      </c>
      <c r="D1253" s="17" t="n">
        <v>0</v>
      </c>
      <c r="E1253" s="17" t="n">
        <v>0</v>
      </c>
      <c r="F1253" s="17" t="n">
        <v>0</v>
      </c>
      <c r="G1253" s="17" t="n">
        <v>0</v>
      </c>
      <c r="H1253" s="17" t="n">
        <v>0</v>
      </c>
      <c r="I1253" s="17" t="n">
        <v>0</v>
      </c>
      <c r="J1253" s="17" t="n">
        <v>0</v>
      </c>
      <c r="K1253" s="17" t="n">
        <v>0</v>
      </c>
      <c r="L1253" s="17" t="n">
        <v>0</v>
      </c>
      <c r="M1253" s="17" t="n">
        <v>0</v>
      </c>
      <c r="N1253" s="17" t="n">
        <v>0</v>
      </c>
      <c r="O1253" s="17" t="n">
        <v>0</v>
      </c>
      <c r="P1253" s="17" t="n">
        <v>1</v>
      </c>
      <c r="Q1253" s="17" t="n">
        <v>2</v>
      </c>
      <c r="R1253" s="17" t="n">
        <v>0</v>
      </c>
      <c r="T1253" s="17">
        <f>DAY(C1253)</f>
        <v/>
      </c>
      <c r="U1253" s="17">
        <f>MONTH(C1253)</f>
        <v/>
      </c>
    </row>
    <row r="1254" ht="22.5" customHeight="1" s="117">
      <c r="A1254" s="14" t="n">
        <v>46030.31710967593</v>
      </c>
      <c r="B1254" s="17" t="inlineStr">
        <is>
          <t>Hồ Thái Minh Trí</t>
        </is>
      </c>
      <c r="C1254" s="16" t="n">
        <v>46029</v>
      </c>
      <c r="D1254" s="17" t="n">
        <v>0</v>
      </c>
      <c r="E1254" s="17" t="n">
        <v>0</v>
      </c>
      <c r="F1254" s="17" t="n">
        <v>0</v>
      </c>
      <c r="G1254" s="17" t="n">
        <v>0</v>
      </c>
      <c r="H1254" s="17" t="n">
        <v>0</v>
      </c>
      <c r="I1254" s="17" t="n">
        <v>0</v>
      </c>
      <c r="J1254" s="17" t="n">
        <v>0</v>
      </c>
      <c r="K1254" s="17" t="n">
        <v>0</v>
      </c>
      <c r="L1254" s="17" t="n">
        <v>0</v>
      </c>
      <c r="M1254" s="17" t="n">
        <v>0</v>
      </c>
      <c r="N1254" s="17" t="n">
        <v>0</v>
      </c>
      <c r="O1254" s="17" t="n">
        <v>0</v>
      </c>
      <c r="P1254" s="17" t="n">
        <v>0</v>
      </c>
      <c r="Q1254" s="17" t="n">
        <v>0</v>
      </c>
      <c r="R1254" s="17" t="n">
        <v>0</v>
      </c>
      <c r="T1254" s="17">
        <f>DAY(C1254)</f>
        <v/>
      </c>
      <c r="U1254" s="17">
        <f>MONTH(C1254)</f>
        <v/>
      </c>
    </row>
    <row r="1255" ht="22.5" customHeight="1" s="117">
      <c r="A1255" s="14" t="n">
        <v>46030.31732885417</v>
      </c>
      <c r="B1255" s="17" t="inlineStr">
        <is>
          <t>Đào Công Trung</t>
        </is>
      </c>
      <c r="C1255" s="16" t="n">
        <v>46029</v>
      </c>
      <c r="D1255" s="17" t="n">
        <v>0</v>
      </c>
      <c r="E1255" s="17" t="n">
        <v>0</v>
      </c>
      <c r="F1255" s="17" t="n">
        <v>0</v>
      </c>
      <c r="G1255" s="17" t="n">
        <v>0</v>
      </c>
      <c r="H1255" s="17" t="n">
        <v>0</v>
      </c>
      <c r="I1255" s="17" t="n">
        <v>0</v>
      </c>
      <c r="J1255" s="17" t="n">
        <v>0</v>
      </c>
      <c r="K1255" s="17" t="n">
        <v>7</v>
      </c>
      <c r="L1255" s="17" t="n">
        <v>0</v>
      </c>
      <c r="M1255" s="17" t="n">
        <v>0</v>
      </c>
      <c r="N1255" s="17" t="n">
        <v>0</v>
      </c>
      <c r="O1255" s="17" t="n">
        <v>0</v>
      </c>
      <c r="P1255" s="17" t="n">
        <v>0</v>
      </c>
      <c r="Q1255" s="17" t="n">
        <v>1</v>
      </c>
      <c r="R1255" s="17" t="n">
        <v>0</v>
      </c>
      <c r="T1255" s="17">
        <f>DAY(C1255)</f>
        <v/>
      </c>
      <c r="U1255" s="17">
        <f>MONTH(C1255)</f>
        <v/>
      </c>
    </row>
    <row r="1256" ht="22.5" customHeight="1" s="117">
      <c r="A1256" s="14" t="n">
        <v>46030.33586381945</v>
      </c>
      <c r="B1256" s="17" t="inlineStr">
        <is>
          <t>Nguyễn Hồng Minh</t>
        </is>
      </c>
      <c r="C1256" s="16" t="n">
        <v>46029</v>
      </c>
      <c r="D1256" s="17" t="n">
        <v>0</v>
      </c>
      <c r="E1256" s="17" t="n">
        <v>0</v>
      </c>
      <c r="F1256" s="17" t="n">
        <v>0</v>
      </c>
      <c r="G1256" s="17" t="n">
        <v>0</v>
      </c>
      <c r="H1256" s="17" t="n">
        <v>0</v>
      </c>
      <c r="I1256" s="17" t="n">
        <v>1</v>
      </c>
      <c r="J1256" s="17" t="n">
        <v>0</v>
      </c>
      <c r="K1256" s="17" t="n">
        <v>1</v>
      </c>
      <c r="L1256" s="17" t="n">
        <v>1</v>
      </c>
      <c r="M1256" s="17" t="n">
        <v>0</v>
      </c>
      <c r="N1256" s="17" t="n">
        <v>1</v>
      </c>
      <c r="O1256" s="17" t="n">
        <v>0</v>
      </c>
      <c r="P1256" s="17" t="n">
        <v>0</v>
      </c>
      <c r="Q1256" s="17" t="n">
        <v>5</v>
      </c>
      <c r="R1256" s="17" t="n">
        <v>2</v>
      </c>
      <c r="T1256" s="17">
        <f>DAY(C1256)</f>
        <v/>
      </c>
      <c r="U1256" s="17">
        <f>MONTH(C1256)</f>
        <v/>
      </c>
    </row>
    <row r="1257" ht="22.5" customHeight="1" s="117">
      <c r="A1257" s="14" t="n">
        <v>46030.34015384259</v>
      </c>
      <c r="B1257" s="17" t="inlineStr">
        <is>
          <t>Bùi Duy Cường</t>
        </is>
      </c>
      <c r="C1257" s="16" t="n">
        <v>46029</v>
      </c>
      <c r="D1257" s="17" t="n">
        <v>0</v>
      </c>
      <c r="E1257" s="17" t="n">
        <v>0</v>
      </c>
      <c r="F1257" s="17" t="n">
        <v>0</v>
      </c>
      <c r="G1257" s="17" t="n">
        <v>0</v>
      </c>
      <c r="H1257" s="17" t="n">
        <v>0</v>
      </c>
      <c r="I1257" s="17" t="n">
        <v>2</v>
      </c>
      <c r="J1257" s="17" t="n">
        <v>0</v>
      </c>
      <c r="K1257" s="17" t="n">
        <v>15</v>
      </c>
      <c r="L1257" s="17" t="n">
        <v>0</v>
      </c>
      <c r="M1257" s="17" t="n">
        <v>0</v>
      </c>
      <c r="N1257" s="17" t="n">
        <v>1</v>
      </c>
      <c r="O1257" s="17" t="n">
        <v>0</v>
      </c>
      <c r="P1257" s="17" t="n">
        <v>0</v>
      </c>
      <c r="Q1257" s="17" t="n">
        <v>0</v>
      </c>
      <c r="R1257" s="17" t="n">
        <v>0</v>
      </c>
      <c r="T1257" s="17">
        <f>DAY(C1257)</f>
        <v/>
      </c>
      <c r="U1257" s="17">
        <f>MONTH(C1257)</f>
        <v/>
      </c>
    </row>
    <row r="1258" ht="22.5" customHeight="1" s="117">
      <c r="A1258" s="14" t="n">
        <v>46030.34284892361</v>
      </c>
      <c r="B1258" s="17" t="inlineStr">
        <is>
          <t>Lương Duy Hải</t>
        </is>
      </c>
      <c r="C1258" s="16" t="n">
        <v>46029</v>
      </c>
      <c r="D1258" s="17" t="n">
        <v>0</v>
      </c>
      <c r="E1258" s="17" t="n">
        <v>0</v>
      </c>
      <c r="F1258" s="17" t="n">
        <v>0</v>
      </c>
      <c r="G1258" s="17" t="n">
        <v>0</v>
      </c>
      <c r="H1258" s="17" t="n">
        <v>0</v>
      </c>
      <c r="I1258" s="17" t="n">
        <v>0</v>
      </c>
      <c r="J1258" s="17" t="n">
        <v>0</v>
      </c>
      <c r="K1258" s="17" t="n">
        <v>4</v>
      </c>
      <c r="L1258" s="17" t="n">
        <v>0</v>
      </c>
      <c r="M1258" s="17" t="n">
        <v>0</v>
      </c>
      <c r="N1258" s="17" t="n">
        <v>0</v>
      </c>
      <c r="O1258" s="17" t="n">
        <v>0</v>
      </c>
      <c r="P1258" s="17" t="n">
        <v>2</v>
      </c>
      <c r="Q1258" s="17" t="n">
        <v>2</v>
      </c>
      <c r="R1258" s="17" t="n">
        <v>1</v>
      </c>
      <c r="T1258" s="17">
        <f>DAY(C1258)</f>
        <v/>
      </c>
      <c r="U1258" s="17">
        <f>MONTH(C1258)</f>
        <v/>
      </c>
    </row>
    <row r="1259" ht="22.5" customHeight="1" s="117">
      <c r="A1259" s="14" t="n">
        <v>46030.37729923611</v>
      </c>
      <c r="B1259" s="17" t="inlineStr">
        <is>
          <t>Lê Quốc Duy</t>
        </is>
      </c>
      <c r="C1259" s="16" t="n">
        <v>46029</v>
      </c>
      <c r="D1259" s="17" t="n">
        <v>0</v>
      </c>
      <c r="E1259" s="17" t="n">
        <v>0</v>
      </c>
      <c r="F1259" s="17" t="n">
        <v>0</v>
      </c>
      <c r="G1259" s="17" t="n">
        <v>0</v>
      </c>
      <c r="H1259" s="17" t="n">
        <v>0</v>
      </c>
      <c r="I1259" s="17" t="n">
        <v>0</v>
      </c>
      <c r="J1259" s="17" t="n">
        <v>0</v>
      </c>
      <c r="K1259" s="17" t="n">
        <v>0</v>
      </c>
      <c r="L1259" s="17" t="n">
        <v>0</v>
      </c>
      <c r="M1259" s="17" t="n">
        <v>0</v>
      </c>
      <c r="N1259" s="17" t="n">
        <v>0</v>
      </c>
      <c r="O1259" s="17" t="n">
        <v>0</v>
      </c>
      <c r="P1259" s="17" t="n">
        <v>0</v>
      </c>
      <c r="Q1259" s="17" t="n">
        <v>0</v>
      </c>
      <c r="R1259" s="17" t="n">
        <v>0</v>
      </c>
      <c r="T1259" s="17">
        <f>DAY(C1259)</f>
        <v/>
      </c>
      <c r="U1259" s="17">
        <f>MONTH(C1259)</f>
        <v/>
      </c>
    </row>
    <row r="1260" ht="22.5" customHeight="1" s="117">
      <c r="A1260" s="14" t="n">
        <v>46030.86857597222</v>
      </c>
      <c r="B1260" s="17" t="inlineStr">
        <is>
          <t>Đặng Hữu Danh</t>
        </is>
      </c>
      <c r="C1260" s="16" t="n">
        <v>46030</v>
      </c>
      <c r="D1260" s="17" t="n">
        <v>0</v>
      </c>
      <c r="E1260" s="17" t="n">
        <v>0</v>
      </c>
      <c r="F1260" s="17" t="n">
        <v>0</v>
      </c>
      <c r="G1260" s="17" t="n">
        <v>0</v>
      </c>
      <c r="H1260" s="17" t="n">
        <v>0</v>
      </c>
      <c r="I1260" s="17" t="n">
        <v>0</v>
      </c>
      <c r="J1260" s="17" t="n">
        <v>0</v>
      </c>
      <c r="K1260" s="17" t="n">
        <v>5</v>
      </c>
      <c r="L1260" s="17" t="n">
        <v>0</v>
      </c>
      <c r="M1260" s="17" t="n">
        <v>0</v>
      </c>
      <c r="N1260" s="17" t="n">
        <v>0</v>
      </c>
      <c r="O1260" s="17" t="n">
        <v>0</v>
      </c>
      <c r="P1260" s="17" t="n">
        <v>1</v>
      </c>
      <c r="Q1260" s="17" t="n">
        <v>2</v>
      </c>
      <c r="R1260" s="17" t="n">
        <v>1</v>
      </c>
      <c r="T1260" s="17">
        <f>DAY(C1260)</f>
        <v/>
      </c>
      <c r="U1260" s="17">
        <f>MONTH(C1260)</f>
        <v/>
      </c>
    </row>
    <row r="1261" hidden="1" ht="22.5" customHeight="1" s="117">
      <c r="A1261" s="14" t="n">
        <v>46031.27950292824</v>
      </c>
      <c r="B1261" s="17" t="inlineStr">
        <is>
          <t>Nguyễn Tuấn Anh</t>
        </is>
      </c>
      <c r="C1261" s="16" t="n">
        <v>45665</v>
      </c>
      <c r="D1261" s="17" t="n">
        <v>0</v>
      </c>
      <c r="E1261" s="17" t="n">
        <v>0</v>
      </c>
      <c r="F1261" s="17" t="n">
        <v>0</v>
      </c>
      <c r="G1261" s="17" t="n">
        <v>1</v>
      </c>
      <c r="H1261" s="17" t="n">
        <v>0</v>
      </c>
      <c r="I1261" s="17" t="n">
        <v>3</v>
      </c>
      <c r="J1261" s="17" t="n">
        <v>0</v>
      </c>
      <c r="K1261" s="17" t="n">
        <v>2</v>
      </c>
      <c r="L1261" s="17" t="n">
        <v>1</v>
      </c>
      <c r="M1261" s="17" t="n">
        <v>0</v>
      </c>
      <c r="N1261" s="17" t="n">
        <v>1</v>
      </c>
      <c r="O1261" s="17" t="n">
        <v>0</v>
      </c>
      <c r="P1261" s="17" t="n">
        <v>0</v>
      </c>
      <c r="Q1261" s="17" t="n">
        <v>2</v>
      </c>
      <c r="R1261" s="17" t="n">
        <v>0</v>
      </c>
      <c r="T1261" s="17">
        <f>DAY(C1261)</f>
        <v/>
      </c>
      <c r="U1261" s="17">
        <f>MONTH(C1261)</f>
        <v/>
      </c>
    </row>
    <row r="1262" ht="22.5" customHeight="1" s="117">
      <c r="A1262" s="14" t="n">
        <v>46031.28868930555</v>
      </c>
      <c r="B1262" s="17" t="inlineStr">
        <is>
          <t>Lê Hồng Phong</t>
        </is>
      </c>
      <c r="C1262" s="16" t="n">
        <v>46031</v>
      </c>
      <c r="D1262" s="17" t="n">
        <v>1</v>
      </c>
      <c r="E1262" s="17" t="n">
        <v>1</v>
      </c>
      <c r="F1262" s="17" t="n">
        <v>1</v>
      </c>
      <c r="G1262" s="17" t="n">
        <v>0</v>
      </c>
      <c r="H1262" s="17" t="n">
        <v>0</v>
      </c>
      <c r="I1262" s="17" t="n">
        <v>1</v>
      </c>
      <c r="J1262" s="17" t="n">
        <v>1</v>
      </c>
      <c r="K1262" s="17" t="n">
        <v>1</v>
      </c>
      <c r="L1262" s="17" t="n">
        <v>1</v>
      </c>
      <c r="M1262" s="17" t="n">
        <v>1</v>
      </c>
      <c r="N1262" s="17" t="n">
        <v>1</v>
      </c>
      <c r="O1262" s="17" t="n">
        <v>1</v>
      </c>
      <c r="P1262" s="17" t="n">
        <v>1</v>
      </c>
      <c r="Q1262" s="17" t="n">
        <v>1</v>
      </c>
      <c r="R1262" s="17" t="n">
        <v>1</v>
      </c>
      <c r="T1262" s="17">
        <f>DAY(C1262)</f>
        <v/>
      </c>
      <c r="U1262" s="17">
        <f>MONTH(C1262)</f>
        <v/>
      </c>
    </row>
    <row r="1263" ht="22.5" customHeight="1" s="117">
      <c r="A1263" s="14" t="n">
        <v>46031.30028123843</v>
      </c>
      <c r="B1263" s="17" t="inlineStr">
        <is>
          <t>Dương Minh Tiến</t>
        </is>
      </c>
      <c r="C1263" s="16" t="n">
        <v>46030</v>
      </c>
      <c r="D1263" s="17" t="n">
        <v>1</v>
      </c>
      <c r="E1263" s="17" t="n">
        <v>1</v>
      </c>
      <c r="F1263" s="17" t="n">
        <v>0</v>
      </c>
      <c r="G1263" s="17" t="n">
        <v>0</v>
      </c>
      <c r="H1263" s="17" t="n">
        <v>0</v>
      </c>
      <c r="I1263" s="17" t="n">
        <v>0</v>
      </c>
      <c r="J1263" s="17" t="n">
        <v>0</v>
      </c>
      <c r="K1263" s="17" t="n">
        <v>3</v>
      </c>
      <c r="L1263" s="17" t="n">
        <v>0</v>
      </c>
      <c r="M1263" s="17" t="n">
        <v>1</v>
      </c>
      <c r="N1263" s="17" t="n">
        <v>0</v>
      </c>
      <c r="O1263" s="17" t="n">
        <v>0</v>
      </c>
      <c r="P1263" s="17" t="n">
        <v>0</v>
      </c>
      <c r="Q1263" s="17" t="n">
        <v>0</v>
      </c>
      <c r="R1263" s="17" t="n">
        <v>0</v>
      </c>
      <c r="T1263" s="17">
        <f>DAY(C1263)</f>
        <v/>
      </c>
      <c r="U1263" s="17">
        <f>MONTH(C1263)</f>
        <v/>
      </c>
    </row>
    <row r="1264" ht="22.5" customHeight="1" s="117">
      <c r="A1264" s="14" t="n">
        <v>46031.30231149305</v>
      </c>
      <c r="B1264" s="17" t="inlineStr">
        <is>
          <t>Nguyễn Văn Hiệp</t>
        </is>
      </c>
      <c r="C1264" s="16" t="n">
        <v>46030</v>
      </c>
      <c r="D1264" s="17" t="n">
        <v>1</v>
      </c>
      <c r="E1264" s="17" t="n">
        <v>0</v>
      </c>
      <c r="F1264" s="17" t="n">
        <v>0</v>
      </c>
      <c r="G1264" s="17" t="n">
        <v>0</v>
      </c>
      <c r="H1264" s="17" t="n">
        <v>0</v>
      </c>
      <c r="I1264" s="17" t="n">
        <v>0</v>
      </c>
      <c r="J1264" s="17" t="n">
        <v>0</v>
      </c>
      <c r="K1264" s="17" t="n">
        <v>1</v>
      </c>
      <c r="L1264" s="17" t="n">
        <v>0</v>
      </c>
      <c r="M1264" s="17" t="n">
        <v>0</v>
      </c>
      <c r="N1264" s="17" t="n">
        <v>0</v>
      </c>
      <c r="O1264" s="17" t="n">
        <v>0</v>
      </c>
      <c r="P1264" s="17" t="n">
        <v>0</v>
      </c>
      <c r="Q1264" s="17" t="n">
        <v>0</v>
      </c>
      <c r="R1264" s="17" t="n">
        <v>0</v>
      </c>
      <c r="T1264" s="17">
        <f>DAY(C1264)</f>
        <v/>
      </c>
      <c r="U1264" s="17">
        <f>MONTH(C1264)</f>
        <v/>
      </c>
    </row>
    <row r="1265" ht="22.5" customHeight="1" s="117">
      <c r="A1265" s="14" t="n">
        <v>46031.30278266204</v>
      </c>
      <c r="B1265" s="17" t="inlineStr">
        <is>
          <t>Đặng Hoài Anh</t>
        </is>
      </c>
      <c r="C1265" s="16" t="n">
        <v>46030</v>
      </c>
      <c r="D1265" s="17" t="n">
        <v>0</v>
      </c>
      <c r="E1265" s="17" t="n">
        <v>0</v>
      </c>
      <c r="F1265" s="17" t="n">
        <v>0</v>
      </c>
      <c r="G1265" s="17" t="n">
        <v>0</v>
      </c>
      <c r="H1265" s="17" t="n">
        <v>0</v>
      </c>
      <c r="I1265" s="17" t="n">
        <v>2</v>
      </c>
      <c r="J1265" s="17" t="n">
        <v>0</v>
      </c>
      <c r="K1265" s="17" t="n">
        <v>0</v>
      </c>
      <c r="L1265" s="17" t="n">
        <v>0</v>
      </c>
      <c r="M1265" s="17" t="n">
        <v>0</v>
      </c>
      <c r="N1265" s="17" t="n">
        <v>0</v>
      </c>
      <c r="O1265" s="17" t="n">
        <v>0</v>
      </c>
      <c r="P1265" s="17" t="n">
        <v>0</v>
      </c>
      <c r="Q1265" s="17" t="n">
        <v>0</v>
      </c>
      <c r="R1265" s="17" t="n">
        <v>0</v>
      </c>
      <c r="T1265" s="17">
        <f>DAY(C1265)</f>
        <v/>
      </c>
      <c r="U1265" s="17">
        <f>MONTH(C1265)</f>
        <v/>
      </c>
    </row>
    <row r="1266" ht="22.5" customHeight="1" s="117">
      <c r="A1266" s="14" t="n">
        <v>46031.30557289352</v>
      </c>
      <c r="B1266" s="17" t="inlineStr">
        <is>
          <t>Trần Minh Khánh</t>
        </is>
      </c>
      <c r="C1266" s="16" t="n">
        <v>46030</v>
      </c>
      <c r="D1266" s="17" t="n">
        <v>0</v>
      </c>
      <c r="E1266" s="17" t="n">
        <v>0</v>
      </c>
      <c r="F1266" s="17" t="n">
        <v>0</v>
      </c>
      <c r="G1266" s="17" t="n">
        <v>0</v>
      </c>
      <c r="H1266" s="17" t="n">
        <v>0</v>
      </c>
      <c r="I1266" s="17" t="n">
        <v>3</v>
      </c>
      <c r="J1266" s="17" t="n">
        <v>0</v>
      </c>
      <c r="K1266" s="17" t="n">
        <v>1</v>
      </c>
      <c r="L1266" s="17" t="n">
        <v>3</v>
      </c>
      <c r="M1266" s="17" t="n">
        <v>0</v>
      </c>
      <c r="N1266" s="17" t="n">
        <v>0</v>
      </c>
      <c r="O1266" s="17" t="n">
        <v>0</v>
      </c>
      <c r="P1266" s="17" t="n">
        <v>1</v>
      </c>
      <c r="Q1266" s="17" t="n">
        <v>5</v>
      </c>
      <c r="R1266" s="17" t="n">
        <v>0</v>
      </c>
      <c r="T1266" s="17">
        <f>DAY(C1266)</f>
        <v/>
      </c>
      <c r="U1266" s="17">
        <f>MONTH(C1266)</f>
        <v/>
      </c>
    </row>
    <row r="1267" ht="22.5" customHeight="1" s="117">
      <c r="A1267" s="14" t="n">
        <v>46031.30829216435</v>
      </c>
      <c r="B1267" s="17" t="inlineStr">
        <is>
          <t>Nguyễn Quang Anh Tuấn</t>
        </is>
      </c>
      <c r="C1267" s="16" t="n">
        <v>46030</v>
      </c>
      <c r="D1267" s="17" t="n">
        <v>0</v>
      </c>
      <c r="E1267" s="17" t="n">
        <v>0</v>
      </c>
      <c r="F1267" s="17" t="n">
        <v>0</v>
      </c>
      <c r="G1267" s="17" t="n">
        <v>0</v>
      </c>
      <c r="H1267" s="17" t="n">
        <v>0</v>
      </c>
      <c r="I1267" s="17" t="n">
        <v>0</v>
      </c>
      <c r="J1267" s="17" t="n">
        <v>0</v>
      </c>
      <c r="K1267" s="17" t="n">
        <v>5</v>
      </c>
      <c r="L1267" s="17" t="n">
        <v>2</v>
      </c>
      <c r="M1267" s="17" t="n">
        <v>0</v>
      </c>
      <c r="N1267" s="17" t="n">
        <v>0</v>
      </c>
      <c r="O1267" s="17" t="n">
        <v>0</v>
      </c>
      <c r="P1267" s="17" t="n">
        <v>0</v>
      </c>
      <c r="Q1267" s="17" t="n">
        <v>2</v>
      </c>
      <c r="R1267" s="17" t="n">
        <v>0</v>
      </c>
      <c r="T1267" s="17">
        <f>DAY(C1267)</f>
        <v/>
      </c>
      <c r="U1267" s="17">
        <f>MONTH(C1267)</f>
        <v/>
      </c>
    </row>
    <row r="1268" ht="22.5" customHeight="1" s="117">
      <c r="A1268" s="14" t="n">
        <v>46031.3117053588</v>
      </c>
      <c r="B1268" s="17" t="inlineStr">
        <is>
          <t>Trần Trung Giang</t>
        </is>
      </c>
      <c r="C1268" s="16" t="n">
        <v>46030</v>
      </c>
      <c r="D1268" s="17" t="n">
        <v>0</v>
      </c>
      <c r="E1268" s="17" t="n">
        <v>0</v>
      </c>
      <c r="F1268" s="17" t="n">
        <v>0</v>
      </c>
      <c r="G1268" s="17" t="n">
        <v>1</v>
      </c>
      <c r="H1268" s="17" t="n">
        <v>2</v>
      </c>
      <c r="I1268" s="17" t="n">
        <v>0</v>
      </c>
      <c r="J1268" s="17" t="n">
        <v>0</v>
      </c>
      <c r="K1268" s="17" t="n">
        <v>8</v>
      </c>
      <c r="L1268" s="17" t="n">
        <v>0</v>
      </c>
      <c r="M1268" s="17" t="n">
        <v>0</v>
      </c>
      <c r="N1268" s="17" t="n">
        <v>1</v>
      </c>
      <c r="O1268" s="17" t="n">
        <v>0</v>
      </c>
      <c r="P1268" s="17" t="n">
        <v>0</v>
      </c>
      <c r="Q1268" s="17" t="n">
        <v>0</v>
      </c>
      <c r="R1268" s="17" t="n">
        <v>1</v>
      </c>
      <c r="T1268" s="17">
        <f>DAY(C1268)</f>
        <v/>
      </c>
      <c r="U1268" s="17">
        <f>MONTH(C1268)</f>
        <v/>
      </c>
    </row>
    <row r="1269" ht="22.5" customHeight="1" s="117">
      <c r="A1269" s="14" t="n">
        <v>46031.31521938658</v>
      </c>
      <c r="B1269" s="17" t="inlineStr">
        <is>
          <t>Hồ Xuân Việt</t>
        </is>
      </c>
      <c r="C1269" s="16" t="n">
        <v>46030</v>
      </c>
      <c r="D1269" s="17" t="n">
        <v>0</v>
      </c>
      <c r="E1269" s="17" t="n">
        <v>0</v>
      </c>
      <c r="F1269" s="17" t="n">
        <v>0</v>
      </c>
      <c r="G1269" s="17" t="n">
        <v>0</v>
      </c>
      <c r="H1269" s="17" t="n">
        <v>0</v>
      </c>
      <c r="I1269" s="17" t="n">
        <v>0</v>
      </c>
      <c r="J1269" s="17" t="n">
        <v>0</v>
      </c>
      <c r="K1269" s="17" t="n">
        <v>1</v>
      </c>
      <c r="L1269" s="17" t="n">
        <v>1</v>
      </c>
      <c r="M1269" s="17" t="n">
        <v>0</v>
      </c>
      <c r="N1269" s="17" t="n">
        <v>0</v>
      </c>
      <c r="O1269" s="17" t="n">
        <v>0</v>
      </c>
      <c r="P1269" s="17" t="n">
        <v>0</v>
      </c>
      <c r="Q1269" s="17" t="n">
        <v>0</v>
      </c>
      <c r="R1269" s="17" t="n">
        <v>0</v>
      </c>
      <c r="T1269" s="17">
        <f>DAY(C1269)</f>
        <v/>
      </c>
      <c r="U1269" s="17">
        <f>MONTH(C1269)</f>
        <v/>
      </c>
    </row>
    <row r="1270" ht="22.5" customHeight="1" s="117">
      <c r="A1270" s="14" t="n">
        <v>46031.31725260417</v>
      </c>
      <c r="B1270" s="17" t="inlineStr">
        <is>
          <t>Lương Duy Hoàng</t>
        </is>
      </c>
      <c r="C1270" s="16" t="n">
        <v>46030</v>
      </c>
      <c r="D1270" s="17" t="n">
        <v>0</v>
      </c>
      <c r="E1270" s="17" t="n">
        <v>0</v>
      </c>
      <c r="F1270" s="17" t="n">
        <v>0</v>
      </c>
      <c r="G1270" s="17" t="n">
        <v>0</v>
      </c>
      <c r="H1270" s="17" t="n">
        <v>0</v>
      </c>
      <c r="I1270" s="17" t="n">
        <v>0</v>
      </c>
      <c r="J1270" s="17" t="n">
        <v>0</v>
      </c>
      <c r="K1270" s="17" t="n">
        <v>4</v>
      </c>
      <c r="L1270" s="17" t="n">
        <v>1</v>
      </c>
      <c r="M1270" s="17" t="n">
        <v>0</v>
      </c>
      <c r="N1270" s="17" t="n">
        <v>0</v>
      </c>
      <c r="O1270" s="17" t="n">
        <v>0</v>
      </c>
      <c r="P1270" s="17" t="n">
        <v>1</v>
      </c>
      <c r="Q1270" s="17" t="n">
        <v>1</v>
      </c>
      <c r="R1270" s="17" t="n">
        <v>0</v>
      </c>
      <c r="T1270" s="17">
        <f>DAY(C1270)</f>
        <v/>
      </c>
      <c r="U1270" s="17">
        <f>MONTH(C1270)</f>
        <v/>
      </c>
    </row>
    <row r="1271" ht="22.5" customHeight="1" s="117">
      <c r="A1271" s="14" t="n">
        <v>46031.31765384259</v>
      </c>
      <c r="B1271" s="17" t="inlineStr">
        <is>
          <t>Hồ Thái Minh Trí</t>
        </is>
      </c>
      <c r="C1271" s="16" t="n">
        <v>46030</v>
      </c>
      <c r="D1271" s="17" t="n">
        <v>0</v>
      </c>
      <c r="E1271" s="17" t="n">
        <v>0</v>
      </c>
      <c r="F1271" s="17" t="n">
        <v>0</v>
      </c>
      <c r="G1271" s="17" t="n">
        <v>0</v>
      </c>
      <c r="H1271" s="17" t="n">
        <v>0</v>
      </c>
      <c r="I1271" s="17" t="n">
        <v>0</v>
      </c>
      <c r="J1271" s="17" t="n">
        <v>0</v>
      </c>
      <c r="K1271" s="17" t="n">
        <v>8</v>
      </c>
      <c r="L1271" s="17" t="n">
        <v>2</v>
      </c>
      <c r="M1271" s="17" t="n">
        <v>1</v>
      </c>
      <c r="N1271" s="17" t="n">
        <v>0</v>
      </c>
      <c r="O1271" s="17" t="n">
        <v>0</v>
      </c>
      <c r="P1271" s="17" t="n">
        <v>0</v>
      </c>
      <c r="Q1271" s="17" t="n">
        <v>2</v>
      </c>
      <c r="R1271" s="17" t="n">
        <v>0</v>
      </c>
      <c r="T1271" s="17">
        <f>DAY(C1271)</f>
        <v/>
      </c>
      <c r="U1271" s="17">
        <f>MONTH(C1271)</f>
        <v/>
      </c>
    </row>
    <row r="1272" ht="22.5" customHeight="1" s="117">
      <c r="A1272" s="14" t="n">
        <v>46031.3176703588</v>
      </c>
      <c r="B1272" s="17" t="inlineStr">
        <is>
          <t>Phan Thành Thái</t>
        </is>
      </c>
      <c r="C1272" s="16" t="n">
        <v>46030</v>
      </c>
      <c r="D1272" s="17" t="n">
        <v>0</v>
      </c>
      <c r="E1272" s="17" t="n">
        <v>0</v>
      </c>
      <c r="F1272" s="17" t="n">
        <v>0</v>
      </c>
      <c r="G1272" s="17" t="n">
        <v>0</v>
      </c>
      <c r="H1272" s="17" t="n">
        <v>0</v>
      </c>
      <c r="I1272" s="17" t="n">
        <v>2</v>
      </c>
      <c r="J1272" s="17" t="n">
        <v>0</v>
      </c>
      <c r="K1272" s="17" t="n">
        <v>7</v>
      </c>
      <c r="L1272" s="17" t="n">
        <v>0</v>
      </c>
      <c r="M1272" s="17" t="n">
        <v>0</v>
      </c>
      <c r="N1272" s="17" t="n">
        <v>0</v>
      </c>
      <c r="O1272" s="17" t="n">
        <v>0</v>
      </c>
      <c r="P1272" s="17" t="n">
        <v>1</v>
      </c>
      <c r="Q1272" s="17" t="n">
        <v>4</v>
      </c>
      <c r="R1272" s="17" t="n">
        <v>0</v>
      </c>
      <c r="T1272" s="17">
        <f>DAY(C1272)</f>
        <v/>
      </c>
      <c r="U1272" s="17">
        <f>MONTH(C1272)</f>
        <v/>
      </c>
    </row>
    <row r="1273" ht="22.5" customHeight="1" s="117">
      <c r="A1273" s="14" t="n">
        <v>46031.31796128472</v>
      </c>
      <c r="B1273" s="17" t="inlineStr">
        <is>
          <t>Vòng Nhật Sang</t>
        </is>
      </c>
      <c r="C1273" s="16" t="n">
        <v>46030</v>
      </c>
      <c r="D1273" s="17" t="n">
        <v>0</v>
      </c>
      <c r="E1273" s="17" t="n">
        <v>0</v>
      </c>
      <c r="F1273" s="17" t="n">
        <v>0</v>
      </c>
      <c r="G1273" s="17" t="n">
        <v>0</v>
      </c>
      <c r="H1273" s="17" t="n">
        <v>0</v>
      </c>
      <c r="I1273" s="17" t="n">
        <v>0</v>
      </c>
      <c r="J1273" s="17" t="n">
        <v>0</v>
      </c>
      <c r="K1273" s="17" t="n">
        <v>5</v>
      </c>
      <c r="L1273" s="17" t="n">
        <v>4</v>
      </c>
      <c r="M1273" s="17" t="n">
        <v>0</v>
      </c>
      <c r="N1273" s="17" t="n">
        <v>0</v>
      </c>
      <c r="O1273" s="17" t="n">
        <v>0</v>
      </c>
      <c r="P1273" s="17" t="n">
        <v>2</v>
      </c>
      <c r="Q1273" s="17" t="n">
        <v>2</v>
      </c>
      <c r="R1273" s="17" t="n">
        <v>0</v>
      </c>
      <c r="T1273" s="17">
        <f>DAY(C1273)</f>
        <v/>
      </c>
      <c r="U1273" s="17">
        <f>MONTH(C1273)</f>
        <v/>
      </c>
    </row>
    <row r="1274" ht="22.5" customHeight="1" s="117">
      <c r="A1274" s="14" t="n">
        <v>46031.32188943287</v>
      </c>
      <c r="B1274" s="17" t="inlineStr">
        <is>
          <t>Huỳnh Văn Lực</t>
        </is>
      </c>
      <c r="C1274" s="16" t="n">
        <v>46030</v>
      </c>
      <c r="D1274" s="17" t="n">
        <v>1</v>
      </c>
      <c r="E1274" s="17" t="n">
        <v>1</v>
      </c>
      <c r="F1274" s="17" t="n">
        <v>1</v>
      </c>
      <c r="G1274" s="17" t="n">
        <v>0</v>
      </c>
      <c r="H1274" s="17" t="n">
        <v>0</v>
      </c>
      <c r="I1274" s="17" t="n">
        <v>0</v>
      </c>
      <c r="J1274" s="17" t="n">
        <v>0</v>
      </c>
      <c r="K1274" s="17" t="n">
        <v>4</v>
      </c>
      <c r="L1274" s="17" t="n">
        <v>0</v>
      </c>
      <c r="M1274" s="17" t="n">
        <v>0</v>
      </c>
      <c r="N1274" s="17" t="n">
        <v>0</v>
      </c>
      <c r="O1274" s="17" t="n">
        <v>0</v>
      </c>
      <c r="P1274" s="17" t="n">
        <v>1</v>
      </c>
      <c r="Q1274" s="17" t="n">
        <v>1</v>
      </c>
      <c r="R1274" s="17" t="n">
        <v>0</v>
      </c>
      <c r="T1274" s="17">
        <f>DAY(C1274)</f>
        <v/>
      </c>
      <c r="U1274" s="17">
        <f>MONTH(C1274)</f>
        <v/>
      </c>
    </row>
    <row r="1275" ht="22.5" customHeight="1" s="117">
      <c r="A1275" s="14" t="n">
        <v>46031.32743885417</v>
      </c>
      <c r="B1275" s="17" t="inlineStr">
        <is>
          <t>Bùi Duy Cường</t>
        </is>
      </c>
      <c r="C1275" s="16" t="n">
        <v>46030</v>
      </c>
      <c r="D1275" s="17" t="n">
        <v>0</v>
      </c>
      <c r="E1275" s="17" t="n">
        <v>0</v>
      </c>
      <c r="F1275" s="17" t="n">
        <v>0</v>
      </c>
      <c r="G1275" s="17" t="n">
        <v>0</v>
      </c>
      <c r="H1275" s="17" t="n">
        <v>0</v>
      </c>
      <c r="I1275" s="17" t="n">
        <v>0</v>
      </c>
      <c r="J1275" s="17" t="n">
        <v>0</v>
      </c>
      <c r="K1275" s="17" t="n">
        <v>10</v>
      </c>
      <c r="L1275" s="17" t="n">
        <v>0</v>
      </c>
      <c r="M1275" s="17" t="n">
        <v>0</v>
      </c>
      <c r="N1275" s="17" t="n">
        <v>0</v>
      </c>
      <c r="O1275" s="17" t="n">
        <v>0</v>
      </c>
      <c r="P1275" s="17" t="n">
        <v>0</v>
      </c>
      <c r="Q1275" s="17" t="n">
        <v>1</v>
      </c>
      <c r="R1275" s="17" t="n">
        <v>0</v>
      </c>
      <c r="T1275" s="17">
        <f>DAY(C1275)</f>
        <v/>
      </c>
      <c r="U1275" s="17">
        <f>MONTH(C1275)</f>
        <v/>
      </c>
    </row>
    <row r="1276" ht="22.5" customHeight="1" s="117">
      <c r="A1276" s="14" t="n">
        <v>46031.32927657408</v>
      </c>
      <c r="B1276" s="17" t="inlineStr">
        <is>
          <t>Nguyễn Hồng Minh</t>
        </is>
      </c>
      <c r="C1276" s="16" t="n">
        <v>46030</v>
      </c>
      <c r="D1276" s="17" t="n">
        <v>0</v>
      </c>
      <c r="E1276" s="17" t="n">
        <v>0</v>
      </c>
      <c r="F1276" s="17" t="n">
        <v>0</v>
      </c>
      <c r="G1276" s="17" t="n">
        <v>0</v>
      </c>
      <c r="H1276" s="17" t="n">
        <v>0</v>
      </c>
      <c r="I1276" s="17" t="n">
        <v>1</v>
      </c>
      <c r="J1276" s="17" t="n">
        <v>0</v>
      </c>
      <c r="K1276" s="17" t="n">
        <v>3</v>
      </c>
      <c r="L1276" s="17" t="n">
        <v>0</v>
      </c>
      <c r="M1276" s="17" t="n">
        <v>0</v>
      </c>
      <c r="N1276" s="17" t="n">
        <v>1</v>
      </c>
      <c r="O1276" s="17" t="n">
        <v>1</v>
      </c>
      <c r="P1276" s="17" t="n">
        <v>0</v>
      </c>
      <c r="Q1276" s="17" t="n">
        <v>5</v>
      </c>
      <c r="R1276" s="17" t="n">
        <v>0</v>
      </c>
      <c r="T1276" s="17">
        <f>DAY(C1276)</f>
        <v/>
      </c>
      <c r="U1276" s="17">
        <f>MONTH(C1276)</f>
        <v/>
      </c>
    </row>
    <row r="1277" ht="22.5" customHeight="1" s="117">
      <c r="A1277" s="14" t="n">
        <v>46031.86827637732</v>
      </c>
      <c r="B1277" s="17" t="inlineStr">
        <is>
          <t>Nguyễn Văn Nhật</t>
        </is>
      </c>
      <c r="C1277" s="16" t="n">
        <v>46029</v>
      </c>
      <c r="D1277" s="17" t="n">
        <v>0</v>
      </c>
      <c r="E1277" s="17" t="n">
        <v>0</v>
      </c>
      <c r="F1277" s="17" t="n">
        <v>0</v>
      </c>
      <c r="G1277" s="17" t="n">
        <v>0</v>
      </c>
      <c r="H1277" s="17" t="n">
        <v>0</v>
      </c>
      <c r="I1277" s="17" t="n">
        <v>0</v>
      </c>
      <c r="J1277" s="17" t="n">
        <v>0</v>
      </c>
      <c r="K1277" s="17" t="n">
        <v>3</v>
      </c>
      <c r="L1277" s="17" t="n">
        <v>4</v>
      </c>
      <c r="M1277" s="17" t="n">
        <v>0</v>
      </c>
      <c r="N1277" s="17" t="n">
        <v>0</v>
      </c>
      <c r="O1277" s="17" t="n">
        <v>0</v>
      </c>
      <c r="P1277" s="17" t="n">
        <v>2</v>
      </c>
      <c r="Q1277" s="17" t="n">
        <v>3</v>
      </c>
      <c r="R1277" s="17" t="n">
        <v>0</v>
      </c>
      <c r="T1277" s="17">
        <f>DAY(C1277)</f>
        <v/>
      </c>
      <c r="U1277" s="17">
        <f>MONTH(C1277)</f>
        <v/>
      </c>
    </row>
    <row r="1278" ht="22.5" customHeight="1" s="117">
      <c r="A1278" s="14" t="n">
        <v>46031.8694940625</v>
      </c>
      <c r="B1278" s="17" t="inlineStr">
        <is>
          <t>Nguyễn Văn Nhật</t>
        </is>
      </c>
      <c r="C1278" s="16" t="n">
        <v>46030</v>
      </c>
      <c r="D1278" s="17" t="n">
        <v>0</v>
      </c>
      <c r="E1278" s="17" t="n">
        <v>0</v>
      </c>
      <c r="F1278" s="17" t="n">
        <v>0</v>
      </c>
      <c r="G1278" s="17" t="n">
        <v>0</v>
      </c>
      <c r="H1278" s="17" t="n">
        <v>0</v>
      </c>
      <c r="I1278" s="17" t="n">
        <v>0</v>
      </c>
      <c r="J1278" s="17" t="n">
        <v>0</v>
      </c>
      <c r="K1278" s="17" t="n">
        <v>2</v>
      </c>
      <c r="L1278" s="17" t="n">
        <v>4</v>
      </c>
      <c r="M1278" s="17" t="n">
        <v>0</v>
      </c>
      <c r="N1278" s="17" t="n">
        <v>0</v>
      </c>
      <c r="O1278" s="17" t="n">
        <v>0</v>
      </c>
      <c r="P1278" s="17" t="n">
        <v>1</v>
      </c>
      <c r="Q1278" s="17" t="n">
        <v>3</v>
      </c>
      <c r="R1278" s="17" t="n">
        <v>0</v>
      </c>
      <c r="T1278" s="17">
        <f>DAY(C1278)</f>
        <v/>
      </c>
      <c r="U1278" s="17">
        <f>MONTH(C1278)</f>
        <v/>
      </c>
    </row>
    <row r="1279" ht="22.5" customHeight="1" s="117">
      <c r="A1279" s="14" t="n">
        <v>46032.26919935185</v>
      </c>
      <c r="B1279" s="17" t="inlineStr">
        <is>
          <t>Lê Quốc Duy</t>
        </is>
      </c>
      <c r="C1279" s="16" t="n">
        <v>46030</v>
      </c>
      <c r="D1279" s="17" t="n">
        <v>0</v>
      </c>
      <c r="E1279" s="17" t="n">
        <v>0</v>
      </c>
      <c r="F1279" s="17" t="n">
        <v>0</v>
      </c>
      <c r="G1279" s="17" t="n">
        <v>0</v>
      </c>
      <c r="H1279" s="17" t="n">
        <v>0</v>
      </c>
      <c r="I1279" s="17" t="n">
        <v>0</v>
      </c>
      <c r="J1279" s="17" t="n">
        <v>0</v>
      </c>
      <c r="K1279" s="17" t="n">
        <v>1</v>
      </c>
      <c r="L1279" s="17" t="n">
        <v>0</v>
      </c>
      <c r="M1279" s="17" t="n">
        <v>0</v>
      </c>
      <c r="N1279" s="17" t="n">
        <v>0</v>
      </c>
      <c r="O1279" s="17" t="n">
        <v>0</v>
      </c>
      <c r="P1279" s="17" t="n">
        <v>0</v>
      </c>
      <c r="Q1279" s="17" t="n">
        <v>1</v>
      </c>
      <c r="R1279" s="17" t="n">
        <v>0</v>
      </c>
      <c r="T1279" s="17">
        <f>DAY(C1279)</f>
        <v/>
      </c>
      <c r="U1279" s="17">
        <f>MONTH(C1279)</f>
        <v/>
      </c>
    </row>
    <row r="1280" ht="22.5" customHeight="1" s="117">
      <c r="A1280" s="14" t="n">
        <v>46032.26994850695</v>
      </c>
      <c r="B1280" s="17" t="inlineStr">
        <is>
          <t>Lê Quốc Duy</t>
        </is>
      </c>
      <c r="C1280" s="16" t="n">
        <v>46031</v>
      </c>
      <c r="D1280" s="17" t="n">
        <v>0</v>
      </c>
      <c r="E1280" s="17" t="n">
        <v>0</v>
      </c>
      <c r="F1280" s="17" t="n">
        <v>0</v>
      </c>
      <c r="G1280" s="17" t="n">
        <v>0</v>
      </c>
      <c r="H1280" s="17" t="n">
        <v>0</v>
      </c>
      <c r="I1280" s="17" t="n">
        <v>0</v>
      </c>
      <c r="J1280" s="17" t="n">
        <v>0</v>
      </c>
      <c r="K1280" s="17" t="n">
        <v>4</v>
      </c>
      <c r="L1280" s="17" t="n">
        <v>0</v>
      </c>
      <c r="M1280" s="17" t="n">
        <v>0</v>
      </c>
      <c r="N1280" s="17" t="n">
        <v>0</v>
      </c>
      <c r="O1280" s="17" t="n">
        <v>0</v>
      </c>
      <c r="P1280" s="17" t="n">
        <v>1</v>
      </c>
      <c r="Q1280" s="17" t="n">
        <v>1</v>
      </c>
      <c r="R1280" s="17" t="n">
        <v>0</v>
      </c>
      <c r="T1280" s="17">
        <f>DAY(C1280)</f>
        <v/>
      </c>
      <c r="U1280" s="17">
        <f>MONTH(C1280)</f>
        <v/>
      </c>
    </row>
    <row r="1281" ht="22.5" customHeight="1" s="117">
      <c r="A1281" s="14" t="n">
        <v>46032.27192862269</v>
      </c>
      <c r="B1281" s="17" t="inlineStr">
        <is>
          <t>Hồ Xuân Việt</t>
        </is>
      </c>
      <c r="C1281" s="16" t="n">
        <v>46031</v>
      </c>
      <c r="D1281" s="17" t="n">
        <v>0</v>
      </c>
      <c r="E1281" s="17" t="n">
        <v>0</v>
      </c>
      <c r="F1281" s="17" t="n">
        <v>0</v>
      </c>
      <c r="G1281" s="17" t="n">
        <v>0</v>
      </c>
      <c r="H1281" s="17" t="n">
        <v>0</v>
      </c>
      <c r="I1281" s="17" t="n">
        <v>0</v>
      </c>
      <c r="J1281" s="17" t="n">
        <v>0</v>
      </c>
      <c r="K1281" s="17" t="n">
        <v>5</v>
      </c>
      <c r="L1281" s="17" t="n">
        <v>0</v>
      </c>
      <c r="M1281" s="17" t="n">
        <v>0</v>
      </c>
      <c r="N1281" s="17" t="n">
        <v>0</v>
      </c>
      <c r="O1281" s="17" t="n">
        <v>0</v>
      </c>
      <c r="P1281" s="17" t="n">
        <v>0</v>
      </c>
      <c r="Q1281" s="17" t="n">
        <v>2</v>
      </c>
      <c r="R1281" s="17" t="n">
        <v>0</v>
      </c>
      <c r="T1281" s="17">
        <f>DAY(C1281)</f>
        <v/>
      </c>
      <c r="U1281" s="17">
        <f>MONTH(C1281)</f>
        <v/>
      </c>
    </row>
    <row r="1282" ht="22.5" customHeight="1" s="117">
      <c r="A1282" s="14" t="n">
        <v>46032.27330396991</v>
      </c>
      <c r="B1282" s="17" t="inlineStr">
        <is>
          <t>Vòng Nhật Sang</t>
        </is>
      </c>
      <c r="C1282" s="16" t="n">
        <v>46031</v>
      </c>
      <c r="D1282" s="17" t="n">
        <v>0</v>
      </c>
      <c r="E1282" s="17" t="n">
        <v>0</v>
      </c>
      <c r="F1282" s="17" t="n">
        <v>0</v>
      </c>
      <c r="G1282" s="17" t="n">
        <v>0</v>
      </c>
      <c r="H1282" s="17" t="n">
        <v>0</v>
      </c>
      <c r="I1282" s="17" t="n">
        <v>0</v>
      </c>
      <c r="J1282" s="17" t="n">
        <v>0</v>
      </c>
      <c r="K1282" s="17" t="n">
        <v>23</v>
      </c>
      <c r="L1282" s="17" t="n">
        <v>0</v>
      </c>
      <c r="M1282" s="17" t="n">
        <v>0</v>
      </c>
      <c r="N1282" s="17" t="n">
        <v>0</v>
      </c>
      <c r="O1282" s="17" t="n">
        <v>0</v>
      </c>
      <c r="P1282" s="17" t="n">
        <v>2</v>
      </c>
      <c r="Q1282" s="17" t="n">
        <v>3</v>
      </c>
      <c r="R1282" s="17" t="n">
        <v>0</v>
      </c>
      <c r="T1282" s="17">
        <f>DAY(C1282)</f>
        <v/>
      </c>
      <c r="U1282" s="17">
        <f>MONTH(C1282)</f>
        <v/>
      </c>
    </row>
    <row r="1283" ht="22.5" customHeight="1" s="117">
      <c r="A1283" s="14" t="n">
        <v>46032.28115670139</v>
      </c>
      <c r="B1283" s="17" t="inlineStr">
        <is>
          <t>Trần Trung Giang</t>
        </is>
      </c>
      <c r="C1283" s="16" t="n">
        <v>46031</v>
      </c>
      <c r="D1283" s="17" t="n">
        <v>1</v>
      </c>
      <c r="E1283" s="17" t="n">
        <v>1</v>
      </c>
      <c r="F1283" s="17" t="n">
        <v>2</v>
      </c>
      <c r="G1283" s="17" t="n">
        <v>0</v>
      </c>
      <c r="H1283" s="17" t="n">
        <v>0</v>
      </c>
      <c r="I1283" s="17" t="n">
        <v>0</v>
      </c>
      <c r="J1283" s="17" t="n">
        <v>0</v>
      </c>
      <c r="K1283" s="17" t="n">
        <v>0</v>
      </c>
      <c r="L1283" s="17" t="n">
        <v>0</v>
      </c>
      <c r="M1283" s="17" t="n">
        <v>1</v>
      </c>
      <c r="N1283" s="17" t="n">
        <v>0</v>
      </c>
      <c r="O1283" s="17" t="n">
        <v>0</v>
      </c>
      <c r="P1283" s="17" t="n">
        <v>1</v>
      </c>
      <c r="Q1283" s="17" t="n">
        <v>1</v>
      </c>
      <c r="R1283" s="17" t="n">
        <v>0</v>
      </c>
      <c r="T1283" s="17">
        <f>DAY(C1283)</f>
        <v/>
      </c>
      <c r="U1283" s="17">
        <f>MONTH(C1283)</f>
        <v/>
      </c>
    </row>
    <row r="1284" ht="22.5" customHeight="1" s="117">
      <c r="A1284" s="14" t="n">
        <v>46032.28120895833</v>
      </c>
      <c r="B1284" s="17" t="inlineStr">
        <is>
          <t>Lê Hồng Phong</t>
        </is>
      </c>
      <c r="C1284" s="16" t="n">
        <v>46032</v>
      </c>
      <c r="D1284" s="17" t="n">
        <v>1</v>
      </c>
      <c r="E1284" s="17" t="n">
        <v>1</v>
      </c>
      <c r="F1284" s="17" t="n">
        <v>1</v>
      </c>
      <c r="G1284" s="17" t="n">
        <v>1</v>
      </c>
      <c r="H1284" s="17" t="n">
        <v>1</v>
      </c>
      <c r="I1284" s="17" t="n">
        <v>1</v>
      </c>
      <c r="J1284" s="17" t="n">
        <v>1</v>
      </c>
      <c r="K1284" s="17" t="n">
        <v>1</v>
      </c>
      <c r="L1284" s="17" t="n">
        <v>1</v>
      </c>
      <c r="M1284" s="17" t="n">
        <v>1</v>
      </c>
      <c r="N1284" s="17" t="n">
        <v>1</v>
      </c>
      <c r="O1284" s="17" t="n">
        <v>1</v>
      </c>
      <c r="P1284" s="17" t="n">
        <v>1</v>
      </c>
      <c r="Q1284" s="17" t="n">
        <v>1</v>
      </c>
      <c r="R1284" s="17" t="n">
        <v>1</v>
      </c>
      <c r="T1284" s="17">
        <f>DAY(C1284)</f>
        <v/>
      </c>
      <c r="U1284" s="17">
        <f>MONTH(C1284)</f>
        <v/>
      </c>
    </row>
    <row r="1285" ht="22.5" customHeight="1" s="117">
      <c r="A1285" s="14" t="n">
        <v>46032.28492777778</v>
      </c>
      <c r="B1285" s="17" t="inlineStr">
        <is>
          <t>Nguyễn Quang Anh Tuấn</t>
        </is>
      </c>
      <c r="C1285" s="16" t="n">
        <v>46031</v>
      </c>
      <c r="D1285" s="17" t="n">
        <v>0</v>
      </c>
      <c r="E1285" s="17" t="n">
        <v>0</v>
      </c>
      <c r="F1285" s="17" t="n">
        <v>0</v>
      </c>
      <c r="G1285" s="17" t="n">
        <v>0</v>
      </c>
      <c r="H1285" s="17" t="n">
        <v>0</v>
      </c>
      <c r="I1285" s="17" t="n">
        <v>0</v>
      </c>
      <c r="J1285" s="17" t="n">
        <v>0</v>
      </c>
      <c r="K1285" s="17" t="n">
        <v>5</v>
      </c>
      <c r="L1285" s="17" t="n">
        <v>1</v>
      </c>
      <c r="M1285" s="17" t="n">
        <v>0</v>
      </c>
      <c r="N1285" s="17" t="n">
        <v>0</v>
      </c>
      <c r="O1285" s="17" t="n">
        <v>0</v>
      </c>
      <c r="P1285" s="17" t="n">
        <v>0</v>
      </c>
      <c r="Q1285" s="17" t="n">
        <v>1</v>
      </c>
      <c r="R1285" s="17" t="n">
        <v>0</v>
      </c>
      <c r="T1285" s="17">
        <f>DAY(C1285)</f>
        <v/>
      </c>
      <c r="U1285" s="17">
        <f>MONTH(C1285)</f>
        <v/>
      </c>
    </row>
    <row r="1286" ht="22.5" customHeight="1" s="117">
      <c r="A1286" s="14" t="n">
        <v>46032.28686108796</v>
      </c>
      <c r="B1286" s="17" t="inlineStr">
        <is>
          <t>Huỳnh Văn Lực</t>
        </is>
      </c>
      <c r="C1286" s="16" t="n">
        <v>46031</v>
      </c>
      <c r="D1286" s="17" t="n">
        <v>0</v>
      </c>
      <c r="E1286" s="17" t="n">
        <v>0</v>
      </c>
      <c r="F1286" s="17" t="n">
        <v>0</v>
      </c>
      <c r="G1286" s="17" t="n">
        <v>0</v>
      </c>
      <c r="H1286" s="17" t="n">
        <v>0</v>
      </c>
      <c r="I1286" s="17" t="n">
        <v>0</v>
      </c>
      <c r="J1286" s="17" t="n">
        <v>0</v>
      </c>
      <c r="K1286" s="17" t="n">
        <v>2</v>
      </c>
      <c r="L1286" s="17" t="n">
        <v>0</v>
      </c>
      <c r="M1286" s="17" t="n">
        <v>0</v>
      </c>
      <c r="N1286" s="17" t="n">
        <v>0</v>
      </c>
      <c r="O1286" s="17" t="n">
        <v>0</v>
      </c>
      <c r="P1286" s="17" t="n">
        <v>1</v>
      </c>
      <c r="Q1286" s="17" t="n">
        <v>1</v>
      </c>
      <c r="R1286" s="17" t="n">
        <v>0</v>
      </c>
      <c r="T1286" s="17">
        <f>DAY(C1286)</f>
        <v/>
      </c>
      <c r="U1286" s="17">
        <f>MONTH(C1286)</f>
        <v/>
      </c>
    </row>
    <row r="1287" ht="22.5" customHeight="1" s="117">
      <c r="A1287" s="14" t="n">
        <v>46032.29107381945</v>
      </c>
      <c r="B1287" s="17" t="inlineStr">
        <is>
          <t>Lương Duy Hoàng</t>
        </is>
      </c>
      <c r="C1287" s="16" t="n">
        <v>46031</v>
      </c>
      <c r="D1287" s="17" t="n">
        <v>0</v>
      </c>
      <c r="E1287" s="17" t="n">
        <v>0</v>
      </c>
      <c r="F1287" s="17" t="n">
        <v>0</v>
      </c>
      <c r="G1287" s="17" t="n">
        <v>0</v>
      </c>
      <c r="H1287" s="17" t="n">
        <v>0</v>
      </c>
      <c r="I1287" s="17" t="n">
        <v>1</v>
      </c>
      <c r="J1287" s="17" t="n">
        <v>0</v>
      </c>
      <c r="K1287" s="17" t="n">
        <v>8</v>
      </c>
      <c r="L1287" s="17" t="n">
        <v>0</v>
      </c>
      <c r="M1287" s="17" t="n">
        <v>1</v>
      </c>
      <c r="N1287" s="17" t="n">
        <v>0</v>
      </c>
      <c r="O1287" s="17" t="n">
        <v>0</v>
      </c>
      <c r="P1287" s="17" t="n">
        <v>0</v>
      </c>
      <c r="Q1287" s="17" t="n">
        <v>1</v>
      </c>
      <c r="R1287" s="17" t="n">
        <v>0</v>
      </c>
      <c r="T1287" s="17">
        <f>DAY(C1287)</f>
        <v/>
      </c>
      <c r="U1287" s="17">
        <f>MONTH(C1287)</f>
        <v/>
      </c>
    </row>
    <row r="1288" ht="22.5" customHeight="1" s="117">
      <c r="A1288" s="14" t="n">
        <v>46032.29376596065</v>
      </c>
      <c r="B1288" s="17" t="inlineStr">
        <is>
          <t>Nguyễn Văn Hiệp</t>
        </is>
      </c>
      <c r="C1288" s="16" t="n">
        <v>46031</v>
      </c>
      <c r="D1288" s="17" t="n">
        <v>0</v>
      </c>
      <c r="E1288" s="17" t="n">
        <v>0</v>
      </c>
      <c r="F1288" s="17" t="n">
        <v>0</v>
      </c>
      <c r="G1288" s="17" t="n">
        <v>0</v>
      </c>
      <c r="H1288" s="17" t="n">
        <v>0</v>
      </c>
      <c r="I1288" s="17" t="n">
        <v>0</v>
      </c>
      <c r="J1288" s="17" t="n">
        <v>0</v>
      </c>
      <c r="K1288" s="17" t="n">
        <v>6</v>
      </c>
      <c r="L1288" s="17" t="n">
        <v>0</v>
      </c>
      <c r="M1288" s="17" t="n">
        <v>1</v>
      </c>
      <c r="N1288" s="17" t="n">
        <v>0</v>
      </c>
      <c r="O1288" s="17" t="n">
        <v>0</v>
      </c>
      <c r="P1288" s="17" t="n">
        <v>1</v>
      </c>
      <c r="Q1288" s="17" t="n">
        <v>0</v>
      </c>
      <c r="R1288" s="17" t="n">
        <v>1</v>
      </c>
      <c r="T1288" s="17">
        <f>DAY(C1288)</f>
        <v/>
      </c>
      <c r="U1288" s="17">
        <f>MONTH(C1288)</f>
        <v/>
      </c>
    </row>
    <row r="1289" ht="22.5" customHeight="1" s="117">
      <c r="A1289" s="14" t="n">
        <v>46032.29520934028</v>
      </c>
      <c r="B1289" s="17" t="inlineStr">
        <is>
          <t>Hồ Thái Minh Trí</t>
        </is>
      </c>
      <c r="C1289" s="16" t="n">
        <v>46031</v>
      </c>
      <c r="D1289" s="17" t="n">
        <v>0</v>
      </c>
      <c r="E1289" s="17" t="n">
        <v>0</v>
      </c>
      <c r="F1289" s="17" t="n">
        <v>0</v>
      </c>
      <c r="G1289" s="17" t="n">
        <v>1</v>
      </c>
      <c r="H1289" s="17" t="n">
        <v>0</v>
      </c>
      <c r="I1289" s="17" t="n">
        <v>0</v>
      </c>
      <c r="J1289" s="17" t="n">
        <v>0</v>
      </c>
      <c r="K1289" s="17" t="n">
        <v>2</v>
      </c>
      <c r="L1289" s="17" t="n">
        <v>2</v>
      </c>
      <c r="M1289" s="17" t="n">
        <v>1</v>
      </c>
      <c r="N1289" s="17" t="n">
        <v>0</v>
      </c>
      <c r="O1289" s="17" t="n">
        <v>0</v>
      </c>
      <c r="P1289" s="17" t="n">
        <v>0</v>
      </c>
      <c r="Q1289" s="17" t="n">
        <v>3</v>
      </c>
      <c r="R1289" s="17" t="n">
        <v>0</v>
      </c>
      <c r="T1289" s="17">
        <f>DAY(C1289)</f>
        <v/>
      </c>
      <c r="U1289" s="17">
        <f>MONTH(C1289)</f>
        <v/>
      </c>
    </row>
    <row r="1290" ht="22.5" customHeight="1" s="117">
      <c r="A1290" s="14" t="n">
        <v>46032.29573725694</v>
      </c>
      <c r="B1290" s="17" t="inlineStr">
        <is>
          <t>Trần Minh Khánh</t>
        </is>
      </c>
      <c r="C1290" s="16" t="n">
        <v>46031</v>
      </c>
      <c r="D1290" s="17" t="n">
        <v>0</v>
      </c>
      <c r="E1290" s="17" t="n">
        <v>0</v>
      </c>
      <c r="F1290" s="17" t="n">
        <v>0</v>
      </c>
      <c r="G1290" s="17" t="n">
        <v>0</v>
      </c>
      <c r="H1290" s="17" t="n">
        <v>0</v>
      </c>
      <c r="I1290" s="17" t="n">
        <v>2</v>
      </c>
      <c r="J1290" s="17" t="n">
        <v>0</v>
      </c>
      <c r="K1290" s="17" t="n">
        <v>5</v>
      </c>
      <c r="L1290" s="17" t="n">
        <v>2</v>
      </c>
      <c r="M1290" s="17" t="n">
        <v>0</v>
      </c>
      <c r="N1290" s="17" t="n">
        <v>0</v>
      </c>
      <c r="O1290" s="17" t="n">
        <v>0</v>
      </c>
      <c r="P1290" s="17" t="n">
        <v>1</v>
      </c>
      <c r="Q1290" s="17" t="n">
        <v>3</v>
      </c>
      <c r="R1290" s="17" t="n">
        <v>0</v>
      </c>
      <c r="T1290" s="17">
        <f>DAY(C1290)</f>
        <v/>
      </c>
      <c r="U1290" s="17">
        <f>MONTH(C1290)</f>
        <v/>
      </c>
    </row>
    <row r="1291" ht="22.5" customHeight="1" s="117">
      <c r="A1291" s="14" t="n">
        <v>46032.29879260417</v>
      </c>
      <c r="B1291" s="17" t="inlineStr">
        <is>
          <t>Đặng Hoài Anh</t>
        </is>
      </c>
      <c r="C1291" s="16" t="n">
        <v>46031</v>
      </c>
      <c r="D1291" s="17" t="n">
        <v>0</v>
      </c>
      <c r="E1291" s="17" t="n">
        <v>0</v>
      </c>
      <c r="F1291" s="17" t="n">
        <v>0</v>
      </c>
      <c r="G1291" s="17" t="n">
        <v>0</v>
      </c>
      <c r="H1291" s="17" t="n">
        <v>0</v>
      </c>
      <c r="I1291" s="17" t="n">
        <v>0</v>
      </c>
      <c r="J1291" s="17" t="n">
        <v>0</v>
      </c>
      <c r="K1291" s="17" t="n">
        <v>2</v>
      </c>
      <c r="L1291" s="17" t="n">
        <v>0</v>
      </c>
      <c r="M1291" s="17" t="n">
        <v>0</v>
      </c>
      <c r="N1291" s="17" t="n">
        <v>0</v>
      </c>
      <c r="O1291" s="17" t="n">
        <v>0</v>
      </c>
      <c r="P1291" s="17" t="n">
        <v>1</v>
      </c>
      <c r="Q1291" s="17" t="n">
        <v>1</v>
      </c>
      <c r="R1291" s="17" t="n">
        <v>0</v>
      </c>
      <c r="T1291" s="17">
        <f>DAY(C1291)</f>
        <v/>
      </c>
      <c r="U1291" s="17">
        <f>MONTH(C1291)</f>
        <v/>
      </c>
    </row>
    <row r="1292" hidden="1" ht="22.5" customHeight="1" s="117">
      <c r="A1292" s="14" t="n">
        <v>46032.30811228009</v>
      </c>
      <c r="B1292" s="17" t="inlineStr">
        <is>
          <t>Nguyễn Tuấn Anh</t>
        </is>
      </c>
      <c r="C1292" s="16" t="n">
        <v>45666</v>
      </c>
      <c r="D1292" s="17" t="n">
        <v>0</v>
      </c>
      <c r="E1292" s="17" t="n">
        <v>0</v>
      </c>
      <c r="F1292" s="17" t="n">
        <v>0</v>
      </c>
      <c r="G1292" s="17" t="n">
        <v>1</v>
      </c>
      <c r="H1292" s="17" t="n">
        <v>1</v>
      </c>
      <c r="I1292" s="17" t="n">
        <v>2</v>
      </c>
      <c r="J1292" s="17" t="n">
        <v>0</v>
      </c>
      <c r="K1292" s="17" t="n">
        <v>2</v>
      </c>
      <c r="L1292" s="17" t="n">
        <v>2</v>
      </c>
      <c r="M1292" s="17" t="n">
        <v>0</v>
      </c>
      <c r="N1292" s="17" t="n">
        <v>0</v>
      </c>
      <c r="O1292" s="17" t="n">
        <v>0</v>
      </c>
      <c r="P1292" s="17" t="n">
        <v>0</v>
      </c>
      <c r="Q1292" s="17" t="n">
        <v>2</v>
      </c>
      <c r="R1292" s="17" t="n">
        <v>0</v>
      </c>
      <c r="T1292" s="17">
        <f>DAY(C1292)</f>
        <v/>
      </c>
      <c r="U1292" s="17">
        <f>MONTH(C1292)</f>
        <v/>
      </c>
    </row>
    <row r="1293" ht="22.5" customHeight="1" s="117">
      <c r="A1293" s="14" t="n">
        <v>46032.32202002315</v>
      </c>
      <c r="B1293" s="17" t="inlineStr">
        <is>
          <t>Dương Minh Tiến</t>
        </is>
      </c>
      <c r="C1293" s="16" t="n">
        <v>46031</v>
      </c>
      <c r="D1293" s="17" t="n">
        <v>0</v>
      </c>
      <c r="E1293" s="17" t="n">
        <v>0</v>
      </c>
      <c r="F1293" s="17" t="n">
        <v>0</v>
      </c>
      <c r="G1293" s="17" t="n">
        <v>0</v>
      </c>
      <c r="H1293" s="17" t="n">
        <v>0</v>
      </c>
      <c r="I1293" s="17" t="n">
        <v>0</v>
      </c>
      <c r="J1293" s="17" t="n">
        <v>0</v>
      </c>
      <c r="K1293" s="17" t="n">
        <v>4</v>
      </c>
      <c r="L1293" s="17" t="n">
        <v>1</v>
      </c>
      <c r="M1293" s="17" t="n">
        <v>0</v>
      </c>
      <c r="N1293" s="17" t="n">
        <v>0</v>
      </c>
      <c r="O1293" s="17" t="n">
        <v>0</v>
      </c>
      <c r="P1293" s="17" t="n">
        <v>0</v>
      </c>
      <c r="Q1293" s="17" t="n">
        <v>1</v>
      </c>
      <c r="R1293" s="17" t="n">
        <v>0</v>
      </c>
      <c r="T1293" s="17">
        <f>DAY(C1293)</f>
        <v/>
      </c>
      <c r="U1293" s="17">
        <f>MONTH(C1293)</f>
        <v/>
      </c>
    </row>
    <row r="1294" ht="22.5" customHeight="1" s="117">
      <c r="A1294" s="14" t="n">
        <v>46032.33338744213</v>
      </c>
      <c r="B1294" s="17" t="inlineStr">
        <is>
          <t>Bùi Duy Cường</t>
        </is>
      </c>
      <c r="C1294" s="16" t="n">
        <v>46031</v>
      </c>
      <c r="D1294" s="17" t="n">
        <v>0</v>
      </c>
      <c r="E1294" s="17" t="n">
        <v>0</v>
      </c>
      <c r="F1294" s="17" t="n">
        <v>0</v>
      </c>
      <c r="G1294" s="17" t="n">
        <v>0</v>
      </c>
      <c r="H1294" s="17" t="n">
        <v>0</v>
      </c>
      <c r="I1294" s="17" t="n">
        <v>0</v>
      </c>
      <c r="J1294" s="17" t="n">
        <v>0</v>
      </c>
      <c r="K1294" s="17" t="n">
        <v>15</v>
      </c>
      <c r="L1294" s="17" t="n">
        <v>0</v>
      </c>
      <c r="M1294" s="17" t="n">
        <v>0</v>
      </c>
      <c r="N1294" s="17" t="n">
        <v>0</v>
      </c>
      <c r="O1294" s="17" t="n">
        <v>0</v>
      </c>
      <c r="P1294" s="17" t="n">
        <v>0</v>
      </c>
      <c r="Q1294" s="17" t="n">
        <v>0</v>
      </c>
      <c r="R1294" s="17" t="n">
        <v>0</v>
      </c>
      <c r="T1294" s="17">
        <f>DAY(C1294)</f>
        <v/>
      </c>
      <c r="U1294" s="17">
        <f>MONTH(C1294)</f>
        <v/>
      </c>
    </row>
    <row r="1295" ht="22.5" customHeight="1" s="117">
      <c r="A1295" s="14" t="n">
        <v>46032.3448399074</v>
      </c>
      <c r="B1295" s="17" t="inlineStr">
        <is>
          <t>Nguyễn Hồng Minh</t>
        </is>
      </c>
      <c r="C1295" s="16" t="n">
        <v>46031</v>
      </c>
      <c r="D1295" s="17" t="n">
        <v>0</v>
      </c>
      <c r="E1295" s="17" t="n">
        <v>0</v>
      </c>
      <c r="F1295" s="17" t="n">
        <v>0</v>
      </c>
      <c r="G1295" s="17" t="n">
        <v>0</v>
      </c>
      <c r="H1295" s="17" t="n">
        <v>0</v>
      </c>
      <c r="I1295" s="17" t="n">
        <v>0</v>
      </c>
      <c r="J1295" s="17" t="n">
        <v>1</v>
      </c>
      <c r="K1295" s="17" t="n">
        <v>2</v>
      </c>
      <c r="L1295" s="17" t="n">
        <v>0</v>
      </c>
      <c r="M1295" s="17" t="n">
        <v>0</v>
      </c>
      <c r="N1295" s="17" t="n">
        <v>1</v>
      </c>
      <c r="O1295" s="17" t="n">
        <v>1</v>
      </c>
      <c r="P1295" s="17" t="n">
        <v>0</v>
      </c>
      <c r="Q1295" s="17" t="n">
        <v>6</v>
      </c>
      <c r="R1295" s="17" t="n">
        <v>0</v>
      </c>
      <c r="T1295" s="17">
        <f>DAY(C1295)</f>
        <v/>
      </c>
      <c r="U1295" s="17">
        <f>MONTH(C1295)</f>
        <v/>
      </c>
    </row>
    <row r="1296" ht="22.5" customHeight="1" s="117">
      <c r="A1296" s="14" t="n">
        <v>46032.34492775463</v>
      </c>
      <c r="B1296" s="17" t="inlineStr">
        <is>
          <t>Lê Văn Hồng</t>
        </is>
      </c>
      <c r="C1296" s="16" t="n">
        <v>46031</v>
      </c>
      <c r="D1296" s="17" t="n">
        <v>1</v>
      </c>
      <c r="E1296" s="17" t="n">
        <v>0</v>
      </c>
      <c r="F1296" s="17" t="n">
        <v>0</v>
      </c>
      <c r="G1296" s="17" t="n">
        <v>0</v>
      </c>
      <c r="H1296" s="17" t="n">
        <v>0</v>
      </c>
      <c r="I1296" s="17" t="n">
        <v>0</v>
      </c>
      <c r="J1296" s="17" t="n">
        <v>0</v>
      </c>
      <c r="K1296" s="17" t="n">
        <v>8</v>
      </c>
      <c r="L1296" s="17" t="n">
        <v>2</v>
      </c>
      <c r="M1296" s="17" t="n">
        <v>1</v>
      </c>
      <c r="N1296" s="17" t="n">
        <v>0</v>
      </c>
      <c r="O1296" s="17" t="n">
        <v>0</v>
      </c>
      <c r="P1296" s="17" t="n">
        <v>1</v>
      </c>
      <c r="Q1296" s="17" t="n">
        <v>4</v>
      </c>
      <c r="R1296" s="17" t="n">
        <v>0</v>
      </c>
      <c r="T1296" s="17">
        <f>DAY(C1296)</f>
        <v/>
      </c>
      <c r="U1296" s="17">
        <f>MONTH(C1296)</f>
        <v/>
      </c>
    </row>
    <row r="1297" ht="22.5" customHeight="1" s="117">
      <c r="A1297" s="14" t="n">
        <v>46032.42956488426</v>
      </c>
      <c r="B1297" s="17" t="inlineStr">
        <is>
          <t>Phan Ngọc Sang</t>
        </is>
      </c>
      <c r="C1297" s="16" t="n">
        <v>46031</v>
      </c>
      <c r="D1297" s="17" t="n">
        <v>0</v>
      </c>
      <c r="E1297" s="17" t="n">
        <v>0</v>
      </c>
      <c r="F1297" s="17" t="n">
        <v>0</v>
      </c>
      <c r="G1297" s="17" t="n">
        <v>0</v>
      </c>
      <c r="H1297" s="17" t="n">
        <v>0</v>
      </c>
      <c r="I1297" s="17" t="n">
        <v>1</v>
      </c>
      <c r="J1297" s="17" t="n">
        <v>0</v>
      </c>
      <c r="K1297" s="17" t="n">
        <v>8</v>
      </c>
      <c r="L1297" s="17" t="n">
        <v>0</v>
      </c>
      <c r="M1297" s="17" t="n">
        <v>1</v>
      </c>
      <c r="N1297" s="17" t="n">
        <v>1</v>
      </c>
      <c r="O1297" s="17" t="n">
        <v>0</v>
      </c>
      <c r="P1297" s="17" t="n">
        <v>0</v>
      </c>
      <c r="Q1297" s="17" t="n">
        <v>2</v>
      </c>
      <c r="R1297" s="17" t="n">
        <v>0</v>
      </c>
      <c r="T1297" s="17">
        <f>DAY(C1297)</f>
        <v/>
      </c>
      <c r="U1297" s="17">
        <f>MONTH(C1297)</f>
        <v/>
      </c>
    </row>
    <row r="1298" ht="22.5" customHeight="1" s="117">
      <c r="A1298" s="14" t="n">
        <v>46032.43050412037</v>
      </c>
      <c r="B1298" s="17" t="inlineStr">
        <is>
          <t>Đặng Hữu Danh</t>
        </is>
      </c>
      <c r="C1298" s="16" t="n">
        <v>46031</v>
      </c>
      <c r="D1298" s="17" t="n">
        <v>0</v>
      </c>
      <c r="E1298" s="17" t="n">
        <v>0</v>
      </c>
      <c r="F1298" s="17" t="n">
        <v>0</v>
      </c>
      <c r="G1298" s="17" t="n">
        <v>0</v>
      </c>
      <c r="H1298" s="17" t="n">
        <v>0</v>
      </c>
      <c r="I1298" s="17" t="n">
        <v>0</v>
      </c>
      <c r="J1298" s="17" t="n">
        <v>0</v>
      </c>
      <c r="K1298" s="17" t="n">
        <v>7</v>
      </c>
      <c r="L1298" s="17" t="n">
        <v>0</v>
      </c>
      <c r="M1298" s="17" t="n">
        <v>2</v>
      </c>
      <c r="N1298" s="17" t="n">
        <v>0</v>
      </c>
      <c r="O1298" s="17" t="n">
        <v>0</v>
      </c>
      <c r="P1298" s="17" t="n">
        <v>1</v>
      </c>
      <c r="Q1298" s="17" t="n">
        <v>2</v>
      </c>
      <c r="R1298" s="17" t="n">
        <v>1</v>
      </c>
      <c r="T1298" s="17">
        <f>DAY(C1298)</f>
        <v/>
      </c>
      <c r="U1298" s="17">
        <f>MONTH(C1298)</f>
        <v/>
      </c>
    </row>
    <row r="1299" ht="22.5" customHeight="1" s="117">
      <c r="A1299" s="14" t="n">
        <v>46033.30483013889</v>
      </c>
      <c r="B1299" s="17" t="inlineStr">
        <is>
          <t>Trần Trung Giang</t>
        </is>
      </c>
      <c r="C1299" s="16" t="n">
        <v>46032</v>
      </c>
      <c r="D1299" s="17" t="n">
        <v>0</v>
      </c>
      <c r="E1299" s="17" t="n">
        <v>0</v>
      </c>
      <c r="F1299" s="17" t="n">
        <v>0</v>
      </c>
      <c r="G1299" s="17" t="n">
        <v>0</v>
      </c>
      <c r="H1299" s="17" t="n">
        <v>0</v>
      </c>
      <c r="I1299" s="17" t="n">
        <v>0</v>
      </c>
      <c r="J1299" s="17" t="n">
        <v>0</v>
      </c>
      <c r="K1299" s="17" t="n">
        <v>4</v>
      </c>
      <c r="L1299" s="17" t="n">
        <v>0</v>
      </c>
      <c r="M1299" s="17" t="n">
        <v>0</v>
      </c>
      <c r="N1299" s="17" t="n">
        <v>0</v>
      </c>
      <c r="O1299" s="17" t="n">
        <v>0</v>
      </c>
      <c r="P1299" s="17" t="n">
        <v>1</v>
      </c>
      <c r="Q1299" s="17" t="n">
        <v>0</v>
      </c>
      <c r="R1299" s="17" t="n">
        <v>0</v>
      </c>
      <c r="T1299" s="17">
        <f>DAY(C1299)</f>
        <v/>
      </c>
      <c r="U1299" s="17">
        <f>MONTH(C1299)</f>
        <v/>
      </c>
    </row>
    <row r="1300" ht="22.5" customHeight="1" s="117">
      <c r="A1300" s="14" t="n">
        <v>46033.3049433912</v>
      </c>
      <c r="B1300" s="17" t="inlineStr">
        <is>
          <t>Nguyễn Tuấn Anh</t>
        </is>
      </c>
      <c r="C1300" s="16" t="n">
        <v>46032</v>
      </c>
      <c r="D1300" s="17" t="n">
        <v>0</v>
      </c>
      <c r="E1300" s="17" t="n">
        <v>0</v>
      </c>
      <c r="F1300" s="17" t="n">
        <v>0</v>
      </c>
      <c r="G1300" s="17" t="n">
        <v>0</v>
      </c>
      <c r="H1300" s="17" t="n">
        <v>0</v>
      </c>
      <c r="I1300" s="17" t="n">
        <v>2</v>
      </c>
      <c r="J1300" s="17" t="n">
        <v>0</v>
      </c>
      <c r="K1300" s="17" t="n">
        <v>8</v>
      </c>
      <c r="L1300" s="17" t="n">
        <v>1</v>
      </c>
      <c r="M1300" s="17" t="n">
        <v>0</v>
      </c>
      <c r="N1300" s="17" t="n">
        <v>1</v>
      </c>
      <c r="O1300" s="17" t="n">
        <v>0</v>
      </c>
      <c r="P1300" s="17" t="n">
        <v>0</v>
      </c>
      <c r="Q1300" s="17" t="n">
        <v>2</v>
      </c>
      <c r="R1300" s="17" t="n">
        <v>0</v>
      </c>
      <c r="T1300" s="17">
        <f>DAY(C1300)</f>
        <v/>
      </c>
      <c r="U1300" s="17">
        <f>MONTH(C1300)</f>
        <v/>
      </c>
    </row>
    <row r="1301" ht="22.5" customHeight="1" s="117">
      <c r="A1301" s="14" t="n">
        <v>46033.3071194213</v>
      </c>
      <c r="B1301" s="17" t="inlineStr">
        <is>
          <t>Lê Hồng Phong</t>
        </is>
      </c>
      <c r="C1301" s="16" t="n">
        <v>46033</v>
      </c>
      <c r="D1301" s="17" t="n">
        <v>1</v>
      </c>
      <c r="E1301" s="17" t="n">
        <v>1</v>
      </c>
      <c r="F1301" s="17" t="n">
        <v>1</v>
      </c>
      <c r="G1301" s="17" t="n">
        <v>1</v>
      </c>
      <c r="H1301" s="17" t="n">
        <v>1</v>
      </c>
      <c r="I1301" s="17" t="n">
        <v>1</v>
      </c>
      <c r="J1301" s="17" t="n">
        <v>1</v>
      </c>
      <c r="K1301" s="17" t="n">
        <v>1</v>
      </c>
      <c r="L1301" s="17" t="n">
        <v>1</v>
      </c>
      <c r="M1301" s="17" t="n">
        <v>1</v>
      </c>
      <c r="N1301" s="17" t="n">
        <v>1</v>
      </c>
      <c r="O1301" s="17" t="n">
        <v>1</v>
      </c>
      <c r="P1301" s="17" t="n">
        <v>1</v>
      </c>
      <c r="Q1301" s="17" t="n">
        <v>1</v>
      </c>
      <c r="R1301" s="17" t="n">
        <v>1</v>
      </c>
      <c r="T1301" s="17">
        <f>DAY(C1301)</f>
        <v/>
      </c>
      <c r="U1301" s="17">
        <f>MONTH(C1301)</f>
        <v/>
      </c>
    </row>
    <row r="1302" ht="22.5" customHeight="1" s="117">
      <c r="A1302" s="14" t="n">
        <v>46033.30794138889</v>
      </c>
      <c r="B1302" s="17" t="inlineStr">
        <is>
          <t>Nguyễn Quang Anh Tuấn</t>
        </is>
      </c>
      <c r="C1302" s="16" t="n">
        <v>46032</v>
      </c>
      <c r="D1302" s="17" t="n">
        <v>1</v>
      </c>
      <c r="E1302" s="17" t="n">
        <v>1</v>
      </c>
      <c r="F1302" s="17" t="n">
        <v>0</v>
      </c>
      <c r="G1302" s="17" t="n">
        <v>0</v>
      </c>
      <c r="H1302" s="17" t="n">
        <v>0</v>
      </c>
      <c r="I1302" s="17" t="n">
        <v>0</v>
      </c>
      <c r="J1302" s="17" t="n">
        <v>0</v>
      </c>
      <c r="K1302" s="17" t="n">
        <v>5</v>
      </c>
      <c r="L1302" s="17" t="n">
        <v>0</v>
      </c>
      <c r="M1302" s="17" t="n">
        <v>1</v>
      </c>
      <c r="N1302" s="17" t="n">
        <v>0</v>
      </c>
      <c r="O1302" s="17" t="n">
        <v>0</v>
      </c>
      <c r="P1302" s="17" t="n">
        <v>0</v>
      </c>
      <c r="Q1302" s="17" t="n">
        <v>1</v>
      </c>
      <c r="R1302" s="17" t="n">
        <v>0</v>
      </c>
      <c r="T1302" s="17">
        <f>DAY(C1302)</f>
        <v/>
      </c>
      <c r="U1302" s="17">
        <f>MONTH(C1302)</f>
        <v/>
      </c>
    </row>
    <row r="1303" ht="22.5" customHeight="1" s="117">
      <c r="A1303" s="14" t="n">
        <v>46033.31044850694</v>
      </c>
      <c r="B1303" s="17" t="inlineStr">
        <is>
          <t>Lương Duy Hoàng</t>
        </is>
      </c>
      <c r="C1303" s="16" t="n">
        <v>46032</v>
      </c>
      <c r="D1303" s="17" t="n">
        <v>0</v>
      </c>
      <c r="E1303" s="17" t="n">
        <v>0</v>
      </c>
      <c r="F1303" s="17" t="n">
        <v>0</v>
      </c>
      <c r="G1303" s="17" t="n">
        <v>0</v>
      </c>
      <c r="H1303" s="17" t="n">
        <v>0</v>
      </c>
      <c r="I1303" s="17" t="n">
        <v>0</v>
      </c>
      <c r="J1303" s="17" t="n">
        <v>0</v>
      </c>
      <c r="K1303" s="17" t="n">
        <v>2</v>
      </c>
      <c r="L1303" s="17" t="n">
        <v>0</v>
      </c>
      <c r="M1303" s="17" t="n">
        <v>1</v>
      </c>
      <c r="N1303" s="17" t="n">
        <v>0</v>
      </c>
      <c r="O1303" s="17" t="n">
        <v>0</v>
      </c>
      <c r="P1303" s="17" t="n">
        <v>0</v>
      </c>
      <c r="Q1303" s="17" t="n">
        <v>2</v>
      </c>
      <c r="R1303" s="17" t="n">
        <v>0</v>
      </c>
      <c r="T1303" s="17">
        <f>DAY(C1303)</f>
        <v/>
      </c>
      <c r="U1303" s="17">
        <f>MONTH(C1303)</f>
        <v/>
      </c>
    </row>
    <row r="1304" ht="22.5" customHeight="1" s="117">
      <c r="A1304" s="14" t="n">
        <v>46033.31440106482</v>
      </c>
      <c r="B1304" s="17" t="inlineStr">
        <is>
          <t>Hồ Xuân Việt</t>
        </is>
      </c>
      <c r="C1304" s="16" t="n">
        <v>46032</v>
      </c>
      <c r="D1304" s="17" t="n">
        <v>0</v>
      </c>
      <c r="E1304" s="17" t="n">
        <v>0</v>
      </c>
      <c r="F1304" s="17" t="n">
        <v>0</v>
      </c>
      <c r="G1304" s="17" t="n">
        <v>0</v>
      </c>
      <c r="H1304" s="17" t="n">
        <v>0</v>
      </c>
      <c r="I1304" s="17" t="n">
        <v>0</v>
      </c>
      <c r="J1304" s="17" t="n">
        <v>0</v>
      </c>
      <c r="K1304" s="17" t="n">
        <v>0</v>
      </c>
      <c r="L1304" s="17" t="n">
        <v>0</v>
      </c>
      <c r="M1304" s="17" t="n">
        <v>0</v>
      </c>
      <c r="N1304" s="17" t="n">
        <v>0</v>
      </c>
      <c r="O1304" s="17" t="n">
        <v>0</v>
      </c>
      <c r="P1304" s="17" t="n">
        <v>0</v>
      </c>
      <c r="Q1304" s="17" t="n">
        <v>1</v>
      </c>
      <c r="R1304" s="17" t="n">
        <v>0</v>
      </c>
      <c r="T1304" s="17">
        <f>DAY(C1304)</f>
        <v/>
      </c>
      <c r="U1304" s="17">
        <f>MONTH(C1304)</f>
        <v/>
      </c>
    </row>
    <row r="1305" ht="22.5" customHeight="1" s="117">
      <c r="A1305" s="14" t="n">
        <v>46033.32433070602</v>
      </c>
      <c r="B1305" s="17" t="inlineStr">
        <is>
          <t>Huỳnh Văn Lực</t>
        </is>
      </c>
      <c r="C1305" s="16" t="n">
        <v>46032</v>
      </c>
      <c r="D1305" s="17" t="n">
        <v>0</v>
      </c>
      <c r="E1305" s="17" t="n">
        <v>0</v>
      </c>
      <c r="F1305" s="17" t="n">
        <v>0</v>
      </c>
      <c r="G1305" s="17" t="n">
        <v>0</v>
      </c>
      <c r="H1305" s="17" t="n">
        <v>0</v>
      </c>
      <c r="I1305" s="17" t="n">
        <v>0</v>
      </c>
      <c r="J1305" s="17" t="n">
        <v>0</v>
      </c>
      <c r="K1305" s="17" t="n">
        <v>0</v>
      </c>
      <c r="L1305" s="17" t="n">
        <v>0</v>
      </c>
      <c r="M1305" s="17" t="n">
        <v>0</v>
      </c>
      <c r="N1305" s="17" t="n">
        <v>0</v>
      </c>
      <c r="O1305" s="17" t="n">
        <v>0</v>
      </c>
      <c r="P1305" s="17" t="n">
        <v>1</v>
      </c>
      <c r="Q1305" s="17" t="n">
        <v>1</v>
      </c>
      <c r="R1305" s="17" t="n">
        <v>0</v>
      </c>
      <c r="T1305" s="17">
        <f>DAY(C1305)</f>
        <v/>
      </c>
      <c r="U1305" s="17">
        <f>MONTH(C1305)</f>
        <v/>
      </c>
    </row>
    <row r="1306" ht="22.5" customHeight="1" s="117">
      <c r="A1306" s="14" t="n">
        <v>46033.32803407407</v>
      </c>
      <c r="B1306" s="17" t="inlineStr">
        <is>
          <t>Trần Minh Khánh</t>
        </is>
      </c>
      <c r="C1306" s="16" t="n">
        <v>46032</v>
      </c>
      <c r="D1306" s="17" t="n">
        <v>0</v>
      </c>
      <c r="E1306" s="17" t="n">
        <v>0</v>
      </c>
      <c r="F1306" s="17" t="n">
        <v>0</v>
      </c>
      <c r="G1306" s="17" t="n">
        <v>0</v>
      </c>
      <c r="H1306" s="17" t="n">
        <v>0</v>
      </c>
      <c r="I1306" s="17" t="n">
        <v>0</v>
      </c>
      <c r="J1306" s="17" t="n">
        <v>0</v>
      </c>
      <c r="K1306" s="17" t="n">
        <v>2</v>
      </c>
      <c r="L1306" s="17" t="n">
        <v>0</v>
      </c>
      <c r="M1306" s="17" t="n">
        <v>0</v>
      </c>
      <c r="N1306" s="17" t="n">
        <v>0</v>
      </c>
      <c r="O1306" s="17" t="n">
        <v>0</v>
      </c>
      <c r="P1306" s="17" t="n">
        <v>0</v>
      </c>
      <c r="Q1306" s="17" t="n">
        <v>2</v>
      </c>
      <c r="R1306" s="17" t="n">
        <v>0</v>
      </c>
      <c r="T1306" s="17">
        <f>DAY(C1306)</f>
        <v/>
      </c>
      <c r="U1306" s="17">
        <f>MONTH(C1306)</f>
        <v/>
      </c>
    </row>
    <row r="1307" ht="22.5" customHeight="1" s="117">
      <c r="A1307" s="14" t="n">
        <v>46033.33470732639</v>
      </c>
      <c r="B1307" s="17" t="inlineStr">
        <is>
          <t>Vòng Nhật Sang</t>
        </is>
      </c>
      <c r="C1307" s="16" t="n">
        <v>46032</v>
      </c>
      <c r="D1307" s="17" t="n">
        <v>0</v>
      </c>
      <c r="E1307" s="17" t="n">
        <v>0</v>
      </c>
      <c r="F1307" s="17" t="n">
        <v>0</v>
      </c>
      <c r="G1307" s="17" t="n">
        <v>0</v>
      </c>
      <c r="H1307" s="17" t="n">
        <v>0</v>
      </c>
      <c r="I1307" s="17" t="n">
        <v>0</v>
      </c>
      <c r="J1307" s="17" t="n">
        <v>0</v>
      </c>
      <c r="K1307" s="17" t="n">
        <v>23</v>
      </c>
      <c r="L1307" s="17" t="n">
        <v>0</v>
      </c>
      <c r="M1307" s="17" t="n">
        <v>0</v>
      </c>
      <c r="N1307" s="17" t="n">
        <v>0</v>
      </c>
      <c r="O1307" s="17" t="n">
        <v>0</v>
      </c>
      <c r="P1307" s="17" t="n">
        <v>2</v>
      </c>
      <c r="Q1307" s="17" t="n">
        <v>3</v>
      </c>
      <c r="R1307" s="17" t="n">
        <v>0</v>
      </c>
      <c r="T1307" s="17">
        <f>DAY(C1307)</f>
        <v/>
      </c>
      <c r="U1307" s="17">
        <f>MONTH(C1307)</f>
        <v/>
      </c>
    </row>
    <row r="1308" ht="22.5" customHeight="1" s="117">
      <c r="A1308" s="14" t="n">
        <v>46033.33658010417</v>
      </c>
      <c r="B1308" s="17" t="inlineStr">
        <is>
          <t>Đặng Hoài Anh</t>
        </is>
      </c>
      <c r="C1308" s="16" t="n">
        <v>46032</v>
      </c>
      <c r="D1308" s="17" t="n">
        <v>0</v>
      </c>
      <c r="E1308" s="17" t="n">
        <v>0</v>
      </c>
      <c r="F1308" s="17" t="n">
        <v>0</v>
      </c>
      <c r="G1308" s="17" t="n">
        <v>0</v>
      </c>
      <c r="H1308" s="17" t="n">
        <v>0</v>
      </c>
      <c r="I1308" s="17" t="n">
        <v>0</v>
      </c>
      <c r="J1308" s="17" t="n">
        <v>0</v>
      </c>
      <c r="K1308" s="17" t="n">
        <v>2</v>
      </c>
      <c r="L1308" s="17" t="n">
        <v>1</v>
      </c>
      <c r="M1308" s="17" t="n">
        <v>0</v>
      </c>
      <c r="N1308" s="17" t="n">
        <v>0</v>
      </c>
      <c r="O1308" s="17" t="n">
        <v>0</v>
      </c>
      <c r="P1308" s="17" t="n">
        <v>0</v>
      </c>
      <c r="Q1308" s="17" t="n">
        <v>2</v>
      </c>
      <c r="R1308" s="17" t="n">
        <v>0</v>
      </c>
      <c r="T1308" s="17">
        <f>DAY(C1308)</f>
        <v/>
      </c>
      <c r="U1308" s="17">
        <f>MONTH(C1308)</f>
        <v/>
      </c>
    </row>
    <row r="1309" ht="22.5" customHeight="1" s="117">
      <c r="A1309" s="14" t="n">
        <v>46033.33841767361</v>
      </c>
      <c r="B1309" s="17" t="inlineStr">
        <is>
          <t>Nguyễn Hồng Minh</t>
        </is>
      </c>
      <c r="C1309" s="16" t="n">
        <v>46032</v>
      </c>
      <c r="D1309" s="17" t="n">
        <v>0</v>
      </c>
      <c r="E1309" s="17" t="n">
        <v>0</v>
      </c>
      <c r="F1309" s="17" t="n">
        <v>0</v>
      </c>
      <c r="G1309" s="17" t="n">
        <v>0</v>
      </c>
      <c r="H1309" s="17" t="n">
        <v>0</v>
      </c>
      <c r="I1309" s="17" t="n">
        <v>0</v>
      </c>
      <c r="J1309" s="17" t="n">
        <v>0</v>
      </c>
      <c r="K1309" s="17" t="n">
        <v>0</v>
      </c>
      <c r="L1309" s="17" t="n">
        <v>0</v>
      </c>
      <c r="M1309" s="17" t="n">
        <v>0</v>
      </c>
      <c r="N1309" s="17" t="n">
        <v>1</v>
      </c>
      <c r="O1309" s="17" t="n">
        <v>0</v>
      </c>
      <c r="P1309" s="17" t="n">
        <v>2</v>
      </c>
      <c r="Q1309" s="17" t="n">
        <v>8</v>
      </c>
      <c r="R1309" s="17" t="n">
        <v>0</v>
      </c>
      <c r="T1309" s="17">
        <f>DAY(C1309)</f>
        <v/>
      </c>
      <c r="U1309" s="17">
        <f>MONTH(C1309)</f>
        <v/>
      </c>
    </row>
    <row r="1310" ht="22.5" customHeight="1" s="117">
      <c r="A1310" s="14" t="n">
        <v>46033.33935539352</v>
      </c>
      <c r="B1310" s="17" t="inlineStr">
        <is>
          <t>Nguyễn Văn Hiệp</t>
        </is>
      </c>
      <c r="C1310" s="16" t="n">
        <v>46032</v>
      </c>
      <c r="D1310" s="17" t="n">
        <v>0</v>
      </c>
      <c r="E1310" s="17" t="n">
        <v>0</v>
      </c>
      <c r="F1310" s="17" t="n">
        <v>0</v>
      </c>
      <c r="G1310" s="17" t="n">
        <v>0</v>
      </c>
      <c r="H1310" s="17" t="n">
        <v>0</v>
      </c>
      <c r="I1310" s="17" t="n">
        <v>0</v>
      </c>
      <c r="J1310" s="17" t="n">
        <v>0</v>
      </c>
      <c r="K1310" s="17" t="n">
        <v>0</v>
      </c>
      <c r="L1310" s="17" t="n">
        <v>0</v>
      </c>
      <c r="M1310" s="17" t="n">
        <v>0</v>
      </c>
      <c r="N1310" s="17" t="n">
        <v>0</v>
      </c>
      <c r="O1310" s="17" t="n">
        <v>0</v>
      </c>
      <c r="P1310" s="17" t="n">
        <v>0</v>
      </c>
      <c r="Q1310" s="17" t="n">
        <v>0</v>
      </c>
      <c r="R1310" s="17" t="n">
        <v>0</v>
      </c>
      <c r="T1310" s="17">
        <f>DAY(C1310)</f>
        <v/>
      </c>
      <c r="U1310" s="17">
        <f>MONTH(C1310)</f>
        <v/>
      </c>
    </row>
    <row r="1311" ht="22.5" customHeight="1" s="117">
      <c r="A1311" s="14" t="n">
        <v>46033.36915188657</v>
      </c>
      <c r="B1311" s="17" t="inlineStr">
        <is>
          <t>Dương Minh Tiến</t>
        </is>
      </c>
      <c r="C1311" s="16" t="n">
        <v>46032</v>
      </c>
      <c r="D1311" s="17" t="n">
        <v>0</v>
      </c>
      <c r="E1311" s="17" t="n">
        <v>0</v>
      </c>
      <c r="F1311" s="17" t="n">
        <v>0</v>
      </c>
      <c r="G1311" s="17" t="n">
        <v>0</v>
      </c>
      <c r="H1311" s="17" t="n">
        <v>0</v>
      </c>
      <c r="I1311" s="17" t="n">
        <v>0</v>
      </c>
      <c r="J1311" s="17" t="n">
        <v>0</v>
      </c>
      <c r="K1311" s="17" t="n">
        <v>9</v>
      </c>
      <c r="L1311" s="17" t="n">
        <v>0</v>
      </c>
      <c r="M1311" s="17" t="n">
        <v>0</v>
      </c>
      <c r="N1311" s="17" t="n">
        <v>0</v>
      </c>
      <c r="O1311" s="17" t="n">
        <v>0</v>
      </c>
      <c r="P1311" s="17" t="n">
        <v>0</v>
      </c>
      <c r="Q1311" s="17" t="n">
        <v>0</v>
      </c>
      <c r="R1311" s="17" t="n">
        <v>0</v>
      </c>
      <c r="T1311" s="17">
        <f>DAY(C1311)</f>
        <v/>
      </c>
      <c r="U1311" s="17">
        <f>MONTH(C1311)</f>
        <v/>
      </c>
    </row>
    <row r="1312" ht="22.5" customHeight="1" s="117">
      <c r="A1312" s="14" t="n">
        <v>46033.75953583333</v>
      </c>
      <c r="B1312" s="17" t="inlineStr">
        <is>
          <t>Phan Ngọc Sang</t>
        </is>
      </c>
      <c r="C1312" s="16" t="n">
        <v>46032</v>
      </c>
      <c r="D1312" s="17" t="n">
        <v>0</v>
      </c>
      <c r="E1312" s="17" t="n">
        <v>0</v>
      </c>
      <c r="F1312" s="17" t="n">
        <v>0</v>
      </c>
      <c r="G1312" s="17" t="n">
        <v>0</v>
      </c>
      <c r="H1312" s="17" t="n">
        <v>0</v>
      </c>
      <c r="I1312" s="17" t="n">
        <v>1</v>
      </c>
      <c r="J1312" s="17" t="n">
        <v>0</v>
      </c>
      <c r="K1312" s="17" t="n">
        <v>10</v>
      </c>
      <c r="L1312" s="17" t="n">
        <v>0</v>
      </c>
      <c r="M1312" s="17" t="n">
        <v>3</v>
      </c>
      <c r="N1312" s="17" t="n">
        <v>1</v>
      </c>
      <c r="O1312" s="18" t="inlineStr">
        <is>
          <t>00</t>
        </is>
      </c>
      <c r="P1312" s="17" t="n">
        <v>0</v>
      </c>
      <c r="Q1312" s="17" t="n">
        <v>2</v>
      </c>
      <c r="R1312" s="17" t="n">
        <v>0</v>
      </c>
      <c r="T1312" s="17">
        <f>DAY(C1312)</f>
        <v/>
      </c>
      <c r="U1312" s="17">
        <f>MONTH(C1312)</f>
        <v/>
      </c>
    </row>
    <row r="1313" ht="22.5" customHeight="1" s="117">
      <c r="A1313" s="14" t="n">
        <v>46034.28269900463</v>
      </c>
      <c r="B1313" s="17" t="inlineStr">
        <is>
          <t>Lương Duy Hoàng</t>
        </is>
      </c>
      <c r="C1313" s="16" t="n">
        <v>46033</v>
      </c>
      <c r="D1313" s="17" t="n">
        <v>1</v>
      </c>
      <c r="E1313" s="17" t="n">
        <v>1</v>
      </c>
      <c r="F1313" s="17" t="n">
        <v>1</v>
      </c>
      <c r="G1313" s="17" t="n">
        <v>0</v>
      </c>
      <c r="H1313" s="17" t="n">
        <v>0</v>
      </c>
      <c r="I1313" s="17" t="n">
        <v>0</v>
      </c>
      <c r="J1313" s="17" t="n">
        <v>0</v>
      </c>
      <c r="K1313" s="17" t="n">
        <v>3</v>
      </c>
      <c r="L1313" s="17" t="n">
        <v>0</v>
      </c>
      <c r="M1313" s="17" t="n">
        <v>1</v>
      </c>
      <c r="N1313" s="17" t="n">
        <v>0</v>
      </c>
      <c r="O1313" s="17" t="n">
        <v>0</v>
      </c>
      <c r="P1313" s="17" t="n">
        <v>0</v>
      </c>
      <c r="Q1313" s="17" t="n">
        <v>1</v>
      </c>
      <c r="R1313" s="17" t="n">
        <v>1</v>
      </c>
      <c r="T1313" s="17">
        <f>DAY(C1313)</f>
        <v/>
      </c>
      <c r="U1313" s="17">
        <f>MONTH(C1313)</f>
        <v/>
      </c>
    </row>
    <row r="1314" ht="22.5" customHeight="1" s="117">
      <c r="A1314" s="14" t="n">
        <v>46034.28700105324</v>
      </c>
      <c r="B1314" s="17" t="inlineStr">
        <is>
          <t>Dương Minh Tiến</t>
        </is>
      </c>
      <c r="C1314" s="16" t="n">
        <v>46033</v>
      </c>
      <c r="D1314" s="17" t="n">
        <v>0</v>
      </c>
      <c r="E1314" s="17" t="n">
        <v>0</v>
      </c>
      <c r="F1314" s="17" t="n">
        <v>0</v>
      </c>
      <c r="G1314" s="17" t="n">
        <v>0</v>
      </c>
      <c r="H1314" s="17" t="n">
        <v>0</v>
      </c>
      <c r="I1314" s="17" t="n">
        <v>0</v>
      </c>
      <c r="J1314" s="17" t="n">
        <v>0</v>
      </c>
      <c r="K1314" s="17" t="n">
        <v>6</v>
      </c>
      <c r="L1314" s="17" t="n">
        <v>0</v>
      </c>
      <c r="M1314" s="17" t="n">
        <v>0</v>
      </c>
      <c r="N1314" s="17" t="n">
        <v>0</v>
      </c>
      <c r="O1314" s="17" t="n">
        <v>0</v>
      </c>
      <c r="P1314" s="17" t="n">
        <v>0</v>
      </c>
      <c r="Q1314" s="17" t="n">
        <v>0</v>
      </c>
      <c r="R1314" s="17" t="n">
        <v>0</v>
      </c>
      <c r="T1314" s="17">
        <f>DAY(C1314)</f>
        <v/>
      </c>
      <c r="U1314" s="17">
        <f>MONTH(C1314)</f>
        <v/>
      </c>
    </row>
    <row r="1315" ht="22.5" customHeight="1" s="117">
      <c r="A1315" s="14" t="n">
        <v>46034.29476967593</v>
      </c>
      <c r="B1315" s="17" t="inlineStr">
        <is>
          <t>Nguyễn Văn Hiệp</t>
        </is>
      </c>
      <c r="C1315" s="16" t="n">
        <v>46033</v>
      </c>
      <c r="D1315" s="17" t="n">
        <v>0</v>
      </c>
      <c r="E1315" s="17" t="n">
        <v>1</v>
      </c>
      <c r="F1315" s="17" t="n">
        <v>0</v>
      </c>
      <c r="G1315" s="17" t="n">
        <v>0</v>
      </c>
      <c r="H1315" s="17" t="n">
        <v>0</v>
      </c>
      <c r="I1315" s="17" t="n">
        <v>1</v>
      </c>
      <c r="J1315" s="17" t="n">
        <v>0</v>
      </c>
      <c r="K1315" s="17" t="n">
        <v>2</v>
      </c>
      <c r="L1315" s="17" t="n">
        <v>0</v>
      </c>
      <c r="M1315" s="17" t="n">
        <v>1</v>
      </c>
      <c r="N1315" s="17" t="n">
        <v>0</v>
      </c>
      <c r="O1315" s="17" t="n">
        <v>0</v>
      </c>
      <c r="P1315" s="17" t="n">
        <v>0</v>
      </c>
      <c r="Q1315" s="17" t="n">
        <v>0</v>
      </c>
      <c r="R1315" s="17" t="n">
        <v>0</v>
      </c>
      <c r="T1315" s="17">
        <f>DAY(C1315)</f>
        <v/>
      </c>
      <c r="U1315" s="17">
        <f>MONTH(C1315)</f>
        <v/>
      </c>
    </row>
    <row r="1316" ht="22.5" customHeight="1" s="117">
      <c r="A1316" s="14" t="n">
        <v>46034.29649299769</v>
      </c>
      <c r="B1316" s="17" t="inlineStr">
        <is>
          <t>Vòng Nhật Sang</t>
        </is>
      </c>
      <c r="C1316" s="16" t="n">
        <v>46033</v>
      </c>
      <c r="D1316" s="17" t="n">
        <v>0</v>
      </c>
      <c r="E1316" s="17" t="n">
        <v>0</v>
      </c>
      <c r="F1316" s="17" t="n">
        <v>0</v>
      </c>
      <c r="G1316" s="17" t="n">
        <v>0</v>
      </c>
      <c r="H1316" s="17" t="n">
        <v>0</v>
      </c>
      <c r="I1316" s="17" t="n">
        <v>0</v>
      </c>
      <c r="J1316" s="17" t="n">
        <v>0</v>
      </c>
      <c r="K1316" s="17" t="n">
        <v>0</v>
      </c>
      <c r="L1316" s="17" t="n">
        <v>0</v>
      </c>
      <c r="M1316" s="17" t="n">
        <v>0</v>
      </c>
      <c r="N1316" s="17" t="n">
        <v>0</v>
      </c>
      <c r="O1316" s="17" t="n">
        <v>0</v>
      </c>
      <c r="P1316" s="17" t="n">
        <v>2</v>
      </c>
      <c r="Q1316" s="17" t="n">
        <v>2</v>
      </c>
      <c r="R1316" s="17" t="n">
        <v>0</v>
      </c>
      <c r="T1316" s="17">
        <f>DAY(C1316)</f>
        <v/>
      </c>
      <c r="U1316" s="17">
        <f>MONTH(C1316)</f>
        <v/>
      </c>
    </row>
    <row r="1317" ht="22.5" customHeight="1" s="117">
      <c r="A1317" s="14" t="n">
        <v>46034.29657989583</v>
      </c>
      <c r="B1317" s="17" t="inlineStr">
        <is>
          <t>Hồ Thái Minh Trí</t>
        </is>
      </c>
      <c r="C1317" s="16" t="n">
        <v>46033</v>
      </c>
      <c r="D1317" s="17" t="n">
        <v>0</v>
      </c>
      <c r="E1317" s="17" t="n">
        <v>0</v>
      </c>
      <c r="F1317" s="17" t="n">
        <v>2</v>
      </c>
      <c r="G1317" s="17" t="n">
        <v>0</v>
      </c>
      <c r="H1317" s="17" t="n">
        <v>0</v>
      </c>
      <c r="I1317" s="17" t="n">
        <v>0</v>
      </c>
      <c r="J1317" s="17" t="n">
        <v>0</v>
      </c>
      <c r="K1317" s="17" t="n">
        <v>10</v>
      </c>
      <c r="L1317" s="17" t="n">
        <v>3</v>
      </c>
      <c r="M1317" s="17" t="n">
        <v>1</v>
      </c>
      <c r="N1317" s="17" t="n">
        <v>0</v>
      </c>
      <c r="O1317" s="17" t="n">
        <v>0</v>
      </c>
      <c r="P1317" s="17" t="n">
        <v>0</v>
      </c>
      <c r="Q1317" s="17" t="n">
        <v>1</v>
      </c>
      <c r="R1317" s="17" t="n">
        <v>0</v>
      </c>
      <c r="T1317" s="17">
        <f>DAY(C1317)</f>
        <v/>
      </c>
      <c r="U1317" s="17">
        <f>MONTH(C1317)</f>
        <v/>
      </c>
    </row>
    <row r="1318" ht="22.5" customHeight="1" s="117">
      <c r="A1318" s="14" t="n">
        <v>46034.29929063658</v>
      </c>
      <c r="B1318" s="17" t="inlineStr">
        <is>
          <t>Đặng Hoài Anh</t>
        </is>
      </c>
      <c r="C1318" s="16" t="n">
        <v>46033</v>
      </c>
      <c r="D1318" s="17" t="n">
        <v>0</v>
      </c>
      <c r="E1318" s="17" t="n">
        <v>0</v>
      </c>
      <c r="F1318" s="17" t="n">
        <v>0</v>
      </c>
      <c r="G1318" s="17" t="n">
        <v>0</v>
      </c>
      <c r="H1318" s="17" t="n">
        <v>0</v>
      </c>
      <c r="I1318" s="17" t="n">
        <v>0</v>
      </c>
      <c r="J1318" s="17" t="n">
        <v>0</v>
      </c>
      <c r="K1318" s="17" t="n">
        <v>3</v>
      </c>
      <c r="L1318" s="17" t="n">
        <v>0</v>
      </c>
      <c r="M1318" s="17" t="n">
        <v>1</v>
      </c>
      <c r="N1318" s="17" t="n">
        <v>0</v>
      </c>
      <c r="O1318" s="17" t="n">
        <v>0</v>
      </c>
      <c r="P1318" s="17" t="n">
        <v>1</v>
      </c>
      <c r="Q1318" s="17" t="n">
        <v>0</v>
      </c>
      <c r="R1318" s="17" t="n">
        <v>0</v>
      </c>
      <c r="T1318" s="17">
        <f>DAY(C1318)</f>
        <v/>
      </c>
      <c r="U1318" s="17">
        <f>MONTH(C1318)</f>
        <v/>
      </c>
    </row>
    <row r="1319" ht="22.5" customHeight="1" s="117">
      <c r="A1319" s="14" t="n">
        <v>46034.30064353009</v>
      </c>
      <c r="B1319" s="17" t="inlineStr">
        <is>
          <t>Huỳnh Văn Lực</t>
        </is>
      </c>
      <c r="C1319" s="16" t="n">
        <v>46033</v>
      </c>
      <c r="D1319" s="17" t="n">
        <v>0</v>
      </c>
      <c r="E1319" s="17" t="n">
        <v>0</v>
      </c>
      <c r="F1319" s="17" t="n">
        <v>0</v>
      </c>
      <c r="G1319" s="17" t="n">
        <v>0</v>
      </c>
      <c r="H1319" s="17" t="n">
        <v>0</v>
      </c>
      <c r="I1319" s="17" t="n">
        <v>0</v>
      </c>
      <c r="J1319" s="17" t="n">
        <v>0</v>
      </c>
      <c r="K1319" s="17" t="n">
        <v>5</v>
      </c>
      <c r="L1319" s="17" t="n">
        <v>0</v>
      </c>
      <c r="M1319" s="17" t="n">
        <v>0</v>
      </c>
      <c r="N1319" s="17" t="n">
        <v>0</v>
      </c>
      <c r="O1319" s="17" t="n">
        <v>0</v>
      </c>
      <c r="P1319" s="17" t="n">
        <v>1</v>
      </c>
      <c r="Q1319" s="17" t="n">
        <v>1</v>
      </c>
      <c r="R1319" s="17" t="n">
        <v>0</v>
      </c>
      <c r="T1319" s="17">
        <f>DAY(C1319)</f>
        <v/>
      </c>
      <c r="U1319" s="17">
        <f>MONTH(C1319)</f>
        <v/>
      </c>
    </row>
    <row r="1320" ht="22.5" customHeight="1" s="117">
      <c r="A1320" s="14" t="n">
        <v>46034.30122243056</v>
      </c>
      <c r="B1320" s="17" t="inlineStr">
        <is>
          <t>Huỳnh Văn Lực</t>
        </is>
      </c>
      <c r="C1320" s="16" t="n">
        <v>46033</v>
      </c>
      <c r="D1320" s="17" t="n">
        <v>0</v>
      </c>
      <c r="E1320" s="17" t="n">
        <v>0</v>
      </c>
      <c r="F1320" s="17" t="n">
        <v>0</v>
      </c>
      <c r="G1320" s="17" t="n">
        <v>0</v>
      </c>
      <c r="H1320" s="17" t="n">
        <v>0</v>
      </c>
      <c r="I1320" s="17" t="n">
        <v>0</v>
      </c>
      <c r="J1320" s="17" t="n">
        <v>0</v>
      </c>
      <c r="K1320" s="17" t="n">
        <v>5</v>
      </c>
      <c r="L1320" s="17" t="n">
        <v>0</v>
      </c>
      <c r="M1320" s="17" t="n">
        <v>0</v>
      </c>
      <c r="N1320" s="17" t="n">
        <v>0</v>
      </c>
      <c r="O1320" s="17" t="n">
        <v>0</v>
      </c>
      <c r="P1320" s="17" t="n">
        <v>1</v>
      </c>
      <c r="Q1320" s="17" t="n">
        <v>1</v>
      </c>
      <c r="R1320" s="17" t="n">
        <v>1</v>
      </c>
      <c r="T1320" s="17">
        <f>DAY(C1320)</f>
        <v/>
      </c>
      <c r="U1320" s="17">
        <f>MONTH(C1320)</f>
        <v/>
      </c>
    </row>
    <row r="1321" ht="22.5" customHeight="1" s="117">
      <c r="A1321" s="14" t="n">
        <v>46034.3014491088</v>
      </c>
      <c r="B1321" s="17" t="inlineStr">
        <is>
          <t>Nguyễn Tuấn Anh</t>
        </is>
      </c>
      <c r="C1321" s="16" t="n">
        <v>46033</v>
      </c>
      <c r="D1321" s="17" t="n">
        <v>0</v>
      </c>
      <c r="E1321" s="17" t="n">
        <v>0</v>
      </c>
      <c r="F1321" s="17" t="n">
        <v>0</v>
      </c>
      <c r="G1321" s="17" t="n">
        <v>0</v>
      </c>
      <c r="H1321" s="17" t="n">
        <v>0</v>
      </c>
      <c r="I1321" s="17" t="n">
        <v>2</v>
      </c>
      <c r="J1321" s="17" t="n">
        <v>0</v>
      </c>
      <c r="K1321" s="17" t="n">
        <v>21</v>
      </c>
      <c r="L1321" s="17" t="n">
        <v>0</v>
      </c>
      <c r="M1321" s="17" t="n">
        <v>0</v>
      </c>
      <c r="N1321" s="17" t="n">
        <v>0</v>
      </c>
      <c r="O1321" s="17" t="n">
        <v>0</v>
      </c>
      <c r="P1321" s="17" t="n">
        <v>0</v>
      </c>
      <c r="Q1321" s="17" t="n">
        <v>2</v>
      </c>
      <c r="R1321" s="17" t="n">
        <v>0</v>
      </c>
      <c r="T1321" s="17">
        <f>DAY(C1321)</f>
        <v/>
      </c>
      <c r="U1321" s="17">
        <f>MONTH(C1321)</f>
        <v/>
      </c>
    </row>
    <row r="1322" ht="22.5" customHeight="1" s="117">
      <c r="A1322" s="14" t="n">
        <v>46034.30265402778</v>
      </c>
      <c r="B1322" s="17" t="inlineStr">
        <is>
          <t>Trần Minh Khánh</t>
        </is>
      </c>
      <c r="C1322" s="16" t="n">
        <v>46033</v>
      </c>
      <c r="D1322" s="17" t="n">
        <v>0</v>
      </c>
      <c r="E1322" s="17" t="n">
        <v>0</v>
      </c>
      <c r="F1322" s="17" t="n">
        <v>0</v>
      </c>
      <c r="G1322" s="17" t="n">
        <v>0</v>
      </c>
      <c r="H1322" s="17" t="n">
        <v>0</v>
      </c>
      <c r="I1322" s="17" t="n">
        <v>2</v>
      </c>
      <c r="J1322" s="17" t="n">
        <v>0</v>
      </c>
      <c r="K1322" s="17" t="n">
        <v>3</v>
      </c>
      <c r="L1322" s="17" t="n">
        <v>0</v>
      </c>
      <c r="M1322" s="17" t="n">
        <v>0</v>
      </c>
      <c r="N1322" s="17" t="n">
        <v>0</v>
      </c>
      <c r="O1322" s="17" t="n">
        <v>0</v>
      </c>
      <c r="P1322" s="17" t="n">
        <v>0</v>
      </c>
      <c r="Q1322" s="17" t="n">
        <v>3</v>
      </c>
      <c r="R1322" s="17" t="n">
        <v>0</v>
      </c>
      <c r="T1322" s="17">
        <f>DAY(C1322)</f>
        <v/>
      </c>
      <c r="U1322" s="17">
        <f>MONTH(C1322)</f>
        <v/>
      </c>
    </row>
    <row r="1323" ht="22.5" customHeight="1" s="117">
      <c r="A1323" s="14" t="n">
        <v>46034.30272112269</v>
      </c>
      <c r="B1323" s="17" t="inlineStr">
        <is>
          <t>Trần Trung Giang</t>
        </is>
      </c>
      <c r="C1323" s="16" t="n">
        <v>46033</v>
      </c>
      <c r="D1323" s="17" t="n">
        <v>0</v>
      </c>
      <c r="E1323" s="17" t="n">
        <v>0</v>
      </c>
      <c r="F1323" s="17" t="n">
        <v>0</v>
      </c>
      <c r="G1323" s="17" t="n">
        <v>0</v>
      </c>
      <c r="H1323" s="17" t="n">
        <v>0</v>
      </c>
      <c r="I1323" s="17" t="n">
        <v>0</v>
      </c>
      <c r="J1323" s="17" t="n">
        <v>0</v>
      </c>
      <c r="K1323" s="17" t="n">
        <v>4</v>
      </c>
      <c r="L1323" s="17" t="n">
        <v>0</v>
      </c>
      <c r="M1323" s="17" t="n">
        <v>0</v>
      </c>
      <c r="N1323" s="17" t="n">
        <v>0</v>
      </c>
      <c r="O1323" s="17" t="n">
        <v>0</v>
      </c>
      <c r="P1323" s="17" t="n">
        <v>1</v>
      </c>
      <c r="Q1323" s="17" t="n">
        <v>0</v>
      </c>
      <c r="R1323" s="17" t="n">
        <v>0</v>
      </c>
      <c r="T1323" s="17">
        <f>DAY(C1323)</f>
        <v/>
      </c>
      <c r="U1323" s="17">
        <f>MONTH(C1323)</f>
        <v/>
      </c>
    </row>
    <row r="1324" ht="22.5" customHeight="1" s="117">
      <c r="A1324" s="14" t="n">
        <v>46034.30315395833</v>
      </c>
      <c r="B1324" s="17" t="inlineStr">
        <is>
          <t>Nguyễn Quang Anh Tuấn</t>
        </is>
      </c>
      <c r="C1324" s="16" t="n">
        <v>46033</v>
      </c>
      <c r="D1324" s="17" t="n">
        <v>0</v>
      </c>
      <c r="E1324" s="17" t="n">
        <v>0</v>
      </c>
      <c r="F1324" s="17" t="n">
        <v>0</v>
      </c>
      <c r="G1324" s="17" t="n">
        <v>0</v>
      </c>
      <c r="H1324" s="17" t="n">
        <v>0</v>
      </c>
      <c r="I1324" s="17" t="n">
        <v>0</v>
      </c>
      <c r="J1324" s="17" t="n">
        <v>0</v>
      </c>
      <c r="K1324" s="17" t="n">
        <v>0</v>
      </c>
      <c r="L1324" s="17" t="n">
        <v>0</v>
      </c>
      <c r="M1324" s="17" t="n">
        <v>3</v>
      </c>
      <c r="N1324" s="17" t="n">
        <v>0</v>
      </c>
      <c r="O1324" s="17" t="n">
        <v>0</v>
      </c>
      <c r="P1324" s="17" t="n">
        <v>0</v>
      </c>
      <c r="Q1324" s="17" t="n">
        <v>1</v>
      </c>
      <c r="R1324" s="17" t="n">
        <v>0</v>
      </c>
      <c r="T1324" s="17">
        <f>DAY(C1324)</f>
        <v/>
      </c>
      <c r="U1324" s="17">
        <f>MONTH(C1324)</f>
        <v/>
      </c>
    </row>
    <row r="1325" ht="22.5" customHeight="1" s="117">
      <c r="A1325" s="14" t="n">
        <v>46034.31849961806</v>
      </c>
      <c r="B1325" s="17" t="inlineStr">
        <is>
          <t>Lê Hồng Phong</t>
        </is>
      </c>
      <c r="C1325" s="16" t="n">
        <v>46034</v>
      </c>
      <c r="D1325" s="17" t="n">
        <v>1</v>
      </c>
      <c r="E1325" s="17" t="n">
        <v>1</v>
      </c>
      <c r="F1325" s="17" t="n">
        <v>1</v>
      </c>
      <c r="G1325" s="17" t="n">
        <v>0</v>
      </c>
      <c r="H1325" s="17" t="n">
        <v>0</v>
      </c>
      <c r="I1325" s="17" t="n">
        <v>1</v>
      </c>
      <c r="J1325" s="17" t="n">
        <v>1</v>
      </c>
      <c r="K1325" s="17" t="n">
        <v>1</v>
      </c>
      <c r="L1325" s="17" t="n">
        <v>1</v>
      </c>
      <c r="M1325" s="17" t="n">
        <v>1</v>
      </c>
      <c r="N1325" s="17" t="n">
        <v>1</v>
      </c>
      <c r="O1325" s="17" t="n">
        <v>1</v>
      </c>
      <c r="P1325" s="17" t="n">
        <v>1</v>
      </c>
      <c r="Q1325" s="17" t="n">
        <v>1</v>
      </c>
      <c r="R1325" s="17" t="n">
        <v>1</v>
      </c>
      <c r="T1325" s="17">
        <f>DAY(C1325)</f>
        <v/>
      </c>
      <c r="U1325" s="17">
        <f>MONTH(C1325)</f>
        <v/>
      </c>
    </row>
    <row r="1326" ht="22.5" customHeight="1" s="117">
      <c r="A1326" s="14" t="n">
        <v>46034.31948769676</v>
      </c>
      <c r="B1326" s="17" t="inlineStr">
        <is>
          <t>Bùi Duy Cường</t>
        </is>
      </c>
      <c r="C1326" s="16" t="n">
        <v>46033</v>
      </c>
      <c r="D1326" s="17" t="n">
        <v>0</v>
      </c>
      <c r="E1326" s="17" t="n">
        <v>0</v>
      </c>
      <c r="F1326" s="17" t="n">
        <v>0</v>
      </c>
      <c r="G1326" s="17" t="n">
        <v>0</v>
      </c>
      <c r="H1326" s="17" t="n">
        <v>0</v>
      </c>
      <c r="I1326" s="17" t="n">
        <v>1</v>
      </c>
      <c r="J1326" s="17" t="n">
        <v>0</v>
      </c>
      <c r="K1326" s="17" t="n">
        <v>12</v>
      </c>
      <c r="L1326" s="17" t="n">
        <v>0</v>
      </c>
      <c r="M1326" s="17" t="n">
        <v>0</v>
      </c>
      <c r="N1326" s="17" t="n">
        <v>0</v>
      </c>
      <c r="O1326" s="17" t="n">
        <v>0</v>
      </c>
      <c r="P1326" s="17" t="n">
        <v>1</v>
      </c>
      <c r="Q1326" s="17" t="n">
        <v>0</v>
      </c>
      <c r="R1326" s="17" t="n">
        <v>1</v>
      </c>
      <c r="T1326" s="17">
        <f>DAY(C1326)</f>
        <v/>
      </c>
      <c r="U1326" s="17">
        <f>MONTH(C1326)</f>
        <v/>
      </c>
    </row>
    <row r="1327" ht="22.5" customHeight="1" s="117">
      <c r="A1327" s="14" t="n">
        <v>46034.32482231482</v>
      </c>
      <c r="B1327" s="17" t="inlineStr">
        <is>
          <t>Hồ Xuân Việt</t>
        </is>
      </c>
      <c r="C1327" s="16" t="n">
        <v>46033</v>
      </c>
      <c r="D1327" s="17" t="n">
        <v>0</v>
      </c>
      <c r="E1327" s="17" t="n">
        <v>0</v>
      </c>
      <c r="F1327" s="17" t="n">
        <v>0</v>
      </c>
      <c r="G1327" s="17" t="n">
        <v>0</v>
      </c>
      <c r="H1327" s="17" t="n">
        <v>0</v>
      </c>
      <c r="I1327" s="17" t="n">
        <v>0</v>
      </c>
      <c r="J1327" s="17" t="n">
        <v>0</v>
      </c>
      <c r="K1327" s="17" t="n">
        <v>14</v>
      </c>
      <c r="L1327" s="17" t="n">
        <v>0</v>
      </c>
      <c r="M1327" s="17" t="n">
        <v>0</v>
      </c>
      <c r="N1327" s="17" t="n">
        <v>0</v>
      </c>
      <c r="O1327" s="17" t="n">
        <v>0</v>
      </c>
      <c r="P1327" s="17" t="n">
        <v>1</v>
      </c>
      <c r="Q1327" s="17" t="n">
        <v>0</v>
      </c>
      <c r="R1327" s="17" t="n">
        <v>0</v>
      </c>
      <c r="T1327" s="17">
        <f>DAY(C1327)</f>
        <v/>
      </c>
      <c r="U1327" s="17">
        <f>MONTH(C1327)</f>
        <v/>
      </c>
    </row>
    <row r="1328" ht="22.5" customHeight="1" s="117">
      <c r="A1328" s="14" t="n">
        <v>46034.3532593287</v>
      </c>
      <c r="B1328" s="17" t="inlineStr">
        <is>
          <t>Nguyễn Hồng Minh</t>
        </is>
      </c>
      <c r="C1328" s="16" t="n">
        <v>46033</v>
      </c>
      <c r="D1328" s="17" t="n">
        <v>0</v>
      </c>
      <c r="E1328" s="17" t="n">
        <v>0</v>
      </c>
      <c r="F1328" s="17" t="n">
        <v>0</v>
      </c>
      <c r="G1328" s="17" t="n">
        <v>0</v>
      </c>
      <c r="H1328" s="17" t="n">
        <v>0</v>
      </c>
      <c r="I1328" s="17" t="n">
        <v>0</v>
      </c>
      <c r="J1328" s="17" t="n">
        <v>0</v>
      </c>
      <c r="K1328" s="17" t="n">
        <v>0</v>
      </c>
      <c r="L1328" s="17" t="n">
        <v>1</v>
      </c>
      <c r="M1328" s="17" t="n">
        <v>0</v>
      </c>
      <c r="N1328" s="17" t="n">
        <v>2</v>
      </c>
      <c r="O1328" s="17" t="n">
        <v>1</v>
      </c>
      <c r="P1328" s="17" t="n">
        <v>1</v>
      </c>
      <c r="Q1328" s="17" t="n">
        <v>4</v>
      </c>
      <c r="R1328" s="17" t="n">
        <v>0</v>
      </c>
      <c r="T1328" s="17">
        <f>DAY(C1328)</f>
        <v/>
      </c>
      <c r="U1328" s="17">
        <f>MONTH(C1328)</f>
        <v/>
      </c>
    </row>
    <row r="1329" ht="22.5" customHeight="1" s="117">
      <c r="A1329" s="14" t="n">
        <v>46034.54927072916</v>
      </c>
      <c r="B1329" s="17" t="inlineStr">
        <is>
          <t>Đặng Hữu Danh</t>
        </is>
      </c>
      <c r="C1329" s="16" t="n">
        <v>46033</v>
      </c>
      <c r="D1329" s="17" t="n">
        <v>0</v>
      </c>
      <c r="E1329" s="17" t="n">
        <v>0</v>
      </c>
      <c r="F1329" s="17" t="n">
        <v>0</v>
      </c>
      <c r="G1329" s="17" t="n">
        <v>0</v>
      </c>
      <c r="H1329" s="17" t="n">
        <v>0</v>
      </c>
      <c r="I1329" s="17" t="n">
        <v>0</v>
      </c>
      <c r="J1329" s="17" t="n">
        <v>0</v>
      </c>
      <c r="K1329" s="17" t="n">
        <v>8</v>
      </c>
      <c r="L1329" s="17" t="n">
        <v>0</v>
      </c>
      <c r="M1329" s="17" t="n">
        <v>0</v>
      </c>
      <c r="N1329" s="17" t="n">
        <v>0</v>
      </c>
      <c r="O1329" s="17" t="n">
        <v>0</v>
      </c>
      <c r="P1329" s="17" t="n">
        <v>1</v>
      </c>
      <c r="Q1329" s="17" t="n">
        <v>2</v>
      </c>
      <c r="R1329" s="17" t="n">
        <v>0</v>
      </c>
      <c r="T1329" s="17">
        <f>DAY(C1329)</f>
        <v/>
      </c>
      <c r="U1329" s="17">
        <f>MONTH(C1329)</f>
        <v/>
      </c>
    </row>
    <row r="1330" ht="22.5" customHeight="1" s="117">
      <c r="A1330" s="14" t="n">
        <v>46034.82178121528</v>
      </c>
      <c r="B1330" s="17" t="inlineStr">
        <is>
          <t>Phan Ngọc Sang</t>
        </is>
      </c>
      <c r="C1330" s="16" t="n">
        <v>46033</v>
      </c>
      <c r="D1330" s="17" t="n">
        <v>0</v>
      </c>
      <c r="E1330" s="17" t="n">
        <v>0</v>
      </c>
      <c r="F1330" s="17" t="n">
        <v>0</v>
      </c>
      <c r="G1330" s="17" t="n">
        <v>0</v>
      </c>
      <c r="H1330" s="17" t="n">
        <v>0</v>
      </c>
      <c r="I1330" s="17" t="n">
        <v>1</v>
      </c>
      <c r="J1330" s="17" t="n">
        <v>0</v>
      </c>
      <c r="K1330" s="17" t="n">
        <v>19</v>
      </c>
      <c r="L1330" s="17" t="n">
        <v>0</v>
      </c>
      <c r="M1330" s="17" t="n">
        <v>1</v>
      </c>
      <c r="N1330" s="17" t="n">
        <v>1</v>
      </c>
      <c r="O1330" s="17" t="n">
        <v>0</v>
      </c>
      <c r="P1330" s="17" t="n">
        <v>0</v>
      </c>
      <c r="Q1330" s="17" t="n">
        <v>2</v>
      </c>
      <c r="R1330" s="17" t="n">
        <v>0</v>
      </c>
      <c r="T1330" s="17">
        <f>DAY(C1330)</f>
        <v/>
      </c>
      <c r="U1330" s="17">
        <f>MONTH(C1330)</f>
        <v/>
      </c>
    </row>
    <row r="1331" ht="22.5" customHeight="1" s="117">
      <c r="A1331" s="14" t="n">
        <v>46035.2983240625</v>
      </c>
      <c r="B1331" s="17" t="inlineStr">
        <is>
          <t>Vòng Nhật Sang</t>
        </is>
      </c>
      <c r="C1331" s="16" t="n">
        <v>46034</v>
      </c>
      <c r="D1331" s="17" t="n">
        <v>0</v>
      </c>
      <c r="E1331" s="17" t="n">
        <v>0</v>
      </c>
      <c r="F1331" s="17" t="n">
        <v>0</v>
      </c>
      <c r="G1331" s="17" t="n">
        <v>0</v>
      </c>
      <c r="H1331" s="17" t="n">
        <v>0</v>
      </c>
      <c r="I1331" s="17" t="n">
        <v>0</v>
      </c>
      <c r="J1331" s="17" t="n">
        <v>0</v>
      </c>
      <c r="K1331" s="17" t="n">
        <v>33</v>
      </c>
      <c r="L1331" s="17" t="n">
        <v>3</v>
      </c>
      <c r="M1331" s="17" t="n">
        <v>0</v>
      </c>
      <c r="N1331" s="17" t="n">
        <v>0</v>
      </c>
      <c r="O1331" s="17" t="n">
        <v>0</v>
      </c>
      <c r="P1331" s="17" t="n">
        <v>2</v>
      </c>
      <c r="Q1331" s="17" t="n">
        <v>3</v>
      </c>
      <c r="R1331" s="17" t="n">
        <v>0</v>
      </c>
      <c r="T1331" s="17">
        <f>DAY(C1331)</f>
        <v/>
      </c>
      <c r="U1331" s="17">
        <f>MONTH(C1331)</f>
        <v/>
      </c>
    </row>
    <row r="1332" ht="22.5" customHeight="1" s="117">
      <c r="A1332" s="14" t="n">
        <v>46035.30024460648</v>
      </c>
      <c r="B1332" s="17" t="inlineStr">
        <is>
          <t>Nguyễn Văn Hiệp</t>
        </is>
      </c>
      <c r="C1332" s="16" t="n">
        <v>46368</v>
      </c>
      <c r="D1332" s="17" t="n">
        <v>0</v>
      </c>
      <c r="E1332" s="17" t="n">
        <v>0</v>
      </c>
      <c r="F1332" s="17" t="n">
        <v>0</v>
      </c>
      <c r="G1332" s="17" t="n">
        <v>0</v>
      </c>
      <c r="H1332" s="17" t="n">
        <v>0</v>
      </c>
      <c r="I1332" s="17" t="n">
        <v>0</v>
      </c>
      <c r="J1332" s="17" t="n">
        <v>0</v>
      </c>
      <c r="K1332" s="17" t="n">
        <v>4</v>
      </c>
      <c r="L1332" s="17" t="n">
        <v>0</v>
      </c>
      <c r="M1332" s="17" t="n">
        <v>0</v>
      </c>
      <c r="N1332" s="17" t="n">
        <v>0</v>
      </c>
      <c r="O1332" s="17" t="n">
        <v>0</v>
      </c>
      <c r="P1332" s="17" t="n">
        <v>0</v>
      </c>
      <c r="Q1332" s="17" t="n">
        <v>0</v>
      </c>
      <c r="R1332" s="17" t="n">
        <v>0</v>
      </c>
      <c r="T1332" s="17">
        <f>DAY(C1332)</f>
        <v/>
      </c>
      <c r="U1332" s="17">
        <f>MONTH(C1332)</f>
        <v/>
      </c>
    </row>
    <row r="1333" ht="22.5" customHeight="1" s="117">
      <c r="A1333" s="14" t="n">
        <v>46035.30064087963</v>
      </c>
      <c r="B1333" s="17" t="inlineStr">
        <is>
          <t>Trần Trung Giang</t>
        </is>
      </c>
      <c r="C1333" s="16" t="n">
        <v>46034</v>
      </c>
      <c r="D1333" s="17" t="n">
        <v>1</v>
      </c>
      <c r="E1333" s="17" t="n">
        <v>1</v>
      </c>
      <c r="F1333" s="17" t="n">
        <v>2</v>
      </c>
      <c r="G1333" s="17" t="n">
        <v>0</v>
      </c>
      <c r="H1333" s="17" t="n">
        <v>0</v>
      </c>
      <c r="I1333" s="17" t="n">
        <v>0</v>
      </c>
      <c r="J1333" s="17" t="n">
        <v>0</v>
      </c>
      <c r="K1333" s="17" t="n">
        <v>6</v>
      </c>
      <c r="L1333" s="17" t="n">
        <v>0</v>
      </c>
      <c r="M1333" s="17" t="n">
        <v>0</v>
      </c>
      <c r="N1333" s="17" t="n">
        <v>0</v>
      </c>
      <c r="O1333" s="17" t="n">
        <v>0</v>
      </c>
      <c r="P1333" s="17" t="n">
        <v>1</v>
      </c>
      <c r="Q1333" s="17" t="n">
        <v>1</v>
      </c>
      <c r="R1333" s="17" t="n">
        <v>0</v>
      </c>
      <c r="T1333" s="17">
        <f>DAY(C1333)</f>
        <v/>
      </c>
      <c r="U1333" s="17">
        <f>MONTH(C1333)</f>
        <v/>
      </c>
    </row>
    <row r="1334" ht="22.5" customHeight="1" s="117">
      <c r="A1334" s="14" t="n">
        <v>46035.3019403125</v>
      </c>
      <c r="B1334" s="17" t="inlineStr">
        <is>
          <t>Nguyễn Quang Anh Tuấn</t>
        </is>
      </c>
      <c r="C1334" s="16" t="n">
        <v>46034</v>
      </c>
      <c r="D1334" s="17" t="n">
        <v>0</v>
      </c>
      <c r="E1334" s="17" t="n">
        <v>0</v>
      </c>
      <c r="F1334" s="17" t="n">
        <v>0</v>
      </c>
      <c r="G1334" s="17" t="n">
        <v>0</v>
      </c>
      <c r="H1334" s="17" t="n">
        <v>0</v>
      </c>
      <c r="I1334" s="17" t="n">
        <v>0</v>
      </c>
      <c r="J1334" s="17" t="n">
        <v>0</v>
      </c>
      <c r="K1334" s="17" t="n">
        <v>4</v>
      </c>
      <c r="L1334" s="17" t="n">
        <v>0</v>
      </c>
      <c r="M1334" s="17" t="n">
        <v>2</v>
      </c>
      <c r="N1334" s="17" t="n">
        <v>0</v>
      </c>
      <c r="O1334" s="17" t="n">
        <v>0</v>
      </c>
      <c r="P1334" s="17" t="n">
        <v>0</v>
      </c>
      <c r="Q1334" s="17" t="n">
        <v>1</v>
      </c>
      <c r="R1334" s="17" t="n">
        <v>0</v>
      </c>
      <c r="T1334" s="17">
        <f>DAY(C1334)</f>
        <v/>
      </c>
      <c r="U1334" s="17">
        <f>MONTH(C1334)</f>
        <v/>
      </c>
    </row>
    <row r="1335" ht="22.5" customHeight="1" s="117">
      <c r="A1335" s="14" t="n">
        <v>46035.3035628588</v>
      </c>
      <c r="B1335" s="17" t="inlineStr">
        <is>
          <t>Nguyễn Tuấn Anh</t>
        </is>
      </c>
      <c r="C1335" s="16" t="n">
        <v>46034</v>
      </c>
      <c r="D1335" s="17" t="n">
        <v>0</v>
      </c>
      <c r="E1335" s="17" t="n">
        <v>0</v>
      </c>
      <c r="F1335" s="17" t="n">
        <v>0</v>
      </c>
      <c r="G1335" s="17" t="n">
        <v>0</v>
      </c>
      <c r="H1335" s="17" t="n">
        <v>0</v>
      </c>
      <c r="I1335" s="17" t="n">
        <v>2</v>
      </c>
      <c r="J1335" s="17" t="n">
        <v>0</v>
      </c>
      <c r="K1335" s="17" t="n">
        <v>53</v>
      </c>
      <c r="L1335" s="17" t="n">
        <v>2</v>
      </c>
      <c r="M1335" s="17" t="n">
        <v>0</v>
      </c>
      <c r="N1335" s="17" t="n">
        <v>0</v>
      </c>
      <c r="O1335" s="17" t="n">
        <v>0</v>
      </c>
      <c r="P1335" s="17" t="n">
        <v>0</v>
      </c>
      <c r="Q1335" s="17" t="n">
        <v>2</v>
      </c>
      <c r="R1335" s="17" t="n">
        <v>0</v>
      </c>
      <c r="T1335" s="17">
        <f>DAY(C1335)</f>
        <v/>
      </c>
      <c r="U1335" s="17">
        <f>MONTH(C1335)</f>
        <v/>
      </c>
    </row>
    <row r="1336" ht="22.5" customHeight="1" s="117">
      <c r="A1336" s="14" t="n">
        <v>46035.30454188657</v>
      </c>
      <c r="B1336" s="17" t="inlineStr">
        <is>
          <t>Lê Hồng Phong</t>
        </is>
      </c>
      <c r="C1336" s="16" t="n">
        <v>46035</v>
      </c>
      <c r="D1336" s="17" t="n">
        <v>1</v>
      </c>
      <c r="E1336" s="17" t="n">
        <v>1</v>
      </c>
      <c r="F1336" s="17" t="n">
        <v>1</v>
      </c>
      <c r="G1336" s="17" t="n">
        <v>0</v>
      </c>
      <c r="H1336" s="17" t="n">
        <v>0</v>
      </c>
      <c r="I1336" s="17" t="n">
        <v>1</v>
      </c>
      <c r="J1336" s="17" t="n">
        <v>1</v>
      </c>
      <c r="K1336" s="17" t="n">
        <v>1</v>
      </c>
      <c r="L1336" s="17" t="n">
        <v>1</v>
      </c>
      <c r="M1336" s="17" t="n">
        <v>1</v>
      </c>
      <c r="N1336" s="17" t="n">
        <v>1</v>
      </c>
      <c r="O1336" s="17" t="n">
        <v>1</v>
      </c>
      <c r="P1336" s="17" t="n">
        <v>1</v>
      </c>
      <c r="Q1336" s="17" t="n">
        <v>1</v>
      </c>
      <c r="R1336" s="17" t="n">
        <v>1</v>
      </c>
      <c r="T1336" s="17">
        <f>DAY(C1336)</f>
        <v/>
      </c>
      <c r="U1336" s="17">
        <f>MONTH(C1336)</f>
        <v/>
      </c>
    </row>
    <row r="1337" ht="22.5" customHeight="1" s="117">
      <c r="A1337" s="14" t="n">
        <v>46035.30504385417</v>
      </c>
      <c r="B1337" s="17" t="inlineStr">
        <is>
          <t>Huỳnh Văn Lực</t>
        </is>
      </c>
      <c r="C1337" s="16" t="n">
        <v>46034</v>
      </c>
      <c r="D1337" s="17" t="n">
        <v>1</v>
      </c>
      <c r="E1337" s="17" t="n">
        <v>1</v>
      </c>
      <c r="F1337" s="17" t="n">
        <v>0</v>
      </c>
      <c r="G1337" s="17" t="n">
        <v>0</v>
      </c>
      <c r="H1337" s="17" t="n">
        <v>0</v>
      </c>
      <c r="I1337" s="17" t="n">
        <v>0</v>
      </c>
      <c r="J1337" s="17" t="n">
        <v>0</v>
      </c>
      <c r="K1337" s="17" t="n">
        <v>2</v>
      </c>
      <c r="L1337" s="17" t="n">
        <v>0</v>
      </c>
      <c r="M1337" s="17" t="n">
        <v>1</v>
      </c>
      <c r="N1337" s="17" t="n">
        <v>0</v>
      </c>
      <c r="O1337" s="17" t="n">
        <v>0</v>
      </c>
      <c r="P1337" s="17" t="n">
        <v>0</v>
      </c>
      <c r="Q1337" s="17" t="n">
        <v>1</v>
      </c>
      <c r="R1337" s="17" t="n">
        <v>1</v>
      </c>
      <c r="T1337" s="17">
        <f>DAY(C1337)</f>
        <v/>
      </c>
      <c r="U1337" s="17">
        <f>MONTH(C1337)</f>
        <v/>
      </c>
    </row>
    <row r="1338" ht="22.5" customHeight="1" s="117">
      <c r="A1338" s="14" t="n">
        <v>46035.30656347222</v>
      </c>
      <c r="B1338" s="17" t="inlineStr">
        <is>
          <t>Đặng Hoài Anh</t>
        </is>
      </c>
      <c r="C1338" s="16" t="n">
        <v>46034</v>
      </c>
      <c r="D1338" s="17" t="n">
        <v>0</v>
      </c>
      <c r="E1338" s="17" t="n">
        <v>0</v>
      </c>
      <c r="F1338" s="17" t="n">
        <v>0</v>
      </c>
      <c r="G1338" s="17" t="n">
        <v>0</v>
      </c>
      <c r="H1338" s="17" t="n">
        <v>0</v>
      </c>
      <c r="I1338" s="17" t="n">
        <v>0</v>
      </c>
      <c r="J1338" s="17" t="n">
        <v>0</v>
      </c>
      <c r="K1338" s="17" t="n">
        <v>0</v>
      </c>
      <c r="L1338" s="17" t="n">
        <v>0</v>
      </c>
      <c r="M1338" s="17" t="n">
        <v>0</v>
      </c>
      <c r="N1338" s="17" t="n">
        <v>0</v>
      </c>
      <c r="O1338" s="17" t="n">
        <v>0</v>
      </c>
      <c r="P1338" s="17" t="n">
        <v>0</v>
      </c>
      <c r="Q1338" s="17" t="n">
        <v>2</v>
      </c>
      <c r="R1338" s="17" t="n">
        <v>0</v>
      </c>
      <c r="T1338" s="17">
        <f>DAY(C1338)</f>
        <v/>
      </c>
      <c r="U1338" s="17">
        <f>MONTH(C1338)</f>
        <v/>
      </c>
    </row>
    <row r="1339" ht="22.5" customHeight="1" s="117">
      <c r="A1339" s="14" t="n">
        <v>46035.30913439815</v>
      </c>
      <c r="B1339" s="17" t="inlineStr">
        <is>
          <t>Hồ Xuân Việt</t>
        </is>
      </c>
      <c r="C1339" s="16" t="n">
        <v>46034</v>
      </c>
      <c r="D1339" s="17" t="n">
        <v>0</v>
      </c>
      <c r="E1339" s="17" t="n">
        <v>0</v>
      </c>
      <c r="F1339" s="17" t="n">
        <v>0</v>
      </c>
      <c r="G1339" s="17" t="n">
        <v>0</v>
      </c>
      <c r="H1339" s="17" t="n">
        <v>0</v>
      </c>
      <c r="I1339" s="17" t="n">
        <v>0</v>
      </c>
      <c r="J1339" s="17" t="n">
        <v>0</v>
      </c>
      <c r="K1339" s="17" t="n">
        <v>7</v>
      </c>
      <c r="L1339" s="17" t="n">
        <v>0</v>
      </c>
      <c r="M1339" s="17" t="n">
        <v>0</v>
      </c>
      <c r="N1339" s="17" t="n">
        <v>0</v>
      </c>
      <c r="O1339" s="17" t="n">
        <v>0</v>
      </c>
      <c r="P1339" s="17" t="n">
        <v>2</v>
      </c>
      <c r="Q1339" s="17" t="n">
        <v>4</v>
      </c>
      <c r="R1339" s="17" t="n">
        <v>0</v>
      </c>
      <c r="T1339" s="17">
        <f>DAY(C1339)</f>
        <v/>
      </c>
      <c r="U1339" s="17">
        <f>MONTH(C1339)</f>
        <v/>
      </c>
    </row>
    <row r="1340" ht="22.5" customHeight="1" s="117">
      <c r="A1340" s="14" t="n">
        <v>46035.31575984954</v>
      </c>
      <c r="B1340" s="17" t="inlineStr">
        <is>
          <t>Dương Minh Tiến</t>
        </is>
      </c>
      <c r="C1340" s="16" t="n">
        <v>46034</v>
      </c>
      <c r="D1340" s="17" t="n">
        <v>0</v>
      </c>
      <c r="E1340" s="17" t="n">
        <v>0</v>
      </c>
      <c r="F1340" s="17" t="n">
        <v>0</v>
      </c>
      <c r="G1340" s="17" t="n">
        <v>0</v>
      </c>
      <c r="H1340" s="17" t="n">
        <v>0</v>
      </c>
      <c r="I1340" s="17" t="n">
        <v>0</v>
      </c>
      <c r="J1340" s="17" t="n">
        <v>0</v>
      </c>
      <c r="K1340" s="17" t="n">
        <v>4</v>
      </c>
      <c r="L1340" s="17" t="n">
        <v>2</v>
      </c>
      <c r="M1340" s="17" t="n">
        <v>2</v>
      </c>
      <c r="N1340" s="17" t="n">
        <v>0</v>
      </c>
      <c r="O1340" s="17" t="n">
        <v>0</v>
      </c>
      <c r="P1340" s="17" t="n">
        <v>0</v>
      </c>
      <c r="Q1340" s="17" t="n">
        <v>0</v>
      </c>
      <c r="R1340" s="17" t="n">
        <v>0</v>
      </c>
      <c r="T1340" s="17">
        <f>DAY(C1340)</f>
        <v/>
      </c>
      <c r="U1340" s="17">
        <f>MONTH(C1340)</f>
        <v/>
      </c>
    </row>
    <row r="1341" ht="22.5" customHeight="1" s="117">
      <c r="A1341" s="14" t="n">
        <v>46035.33955501157</v>
      </c>
      <c r="B1341" s="17" t="inlineStr">
        <is>
          <t>Lương Duy Hoàng</t>
        </is>
      </c>
      <c r="C1341" s="16" t="n">
        <v>46034</v>
      </c>
      <c r="D1341" s="17" t="n">
        <v>0</v>
      </c>
      <c r="E1341" s="17" t="n">
        <v>0</v>
      </c>
      <c r="F1341" s="17" t="n">
        <v>0</v>
      </c>
      <c r="G1341" s="17" t="n">
        <v>0</v>
      </c>
      <c r="H1341" s="17" t="n">
        <v>0</v>
      </c>
      <c r="I1341" s="17" t="n">
        <v>0</v>
      </c>
      <c r="J1341" s="17" t="n">
        <v>0</v>
      </c>
      <c r="K1341" s="17" t="n">
        <v>4</v>
      </c>
      <c r="L1341" s="17" t="n">
        <v>0</v>
      </c>
      <c r="M1341" s="17" t="n">
        <v>1</v>
      </c>
      <c r="N1341" s="17" t="n">
        <v>1</v>
      </c>
      <c r="O1341" s="17" t="n">
        <v>0</v>
      </c>
      <c r="P1341" s="17" t="n">
        <v>2</v>
      </c>
      <c r="Q1341" s="17" t="n">
        <v>4</v>
      </c>
      <c r="R1341" s="17" t="n">
        <v>0</v>
      </c>
      <c r="T1341" s="17">
        <f>DAY(C1341)</f>
        <v/>
      </c>
      <c r="U1341" s="17">
        <f>MONTH(C1341)</f>
        <v/>
      </c>
    </row>
    <row r="1342" ht="22.5" customHeight="1" s="117">
      <c r="A1342" s="14" t="n">
        <v>46035.34451317129</v>
      </c>
      <c r="B1342" s="17" t="inlineStr">
        <is>
          <t>Hồ Thái Minh Trí</t>
        </is>
      </c>
      <c r="C1342" s="16" t="n">
        <v>46034</v>
      </c>
      <c r="D1342" s="17" t="n">
        <v>0</v>
      </c>
      <c r="E1342" s="17" t="n">
        <v>0</v>
      </c>
      <c r="F1342" s="17" t="n">
        <v>0</v>
      </c>
      <c r="G1342" s="17" t="n">
        <v>0</v>
      </c>
      <c r="H1342" s="17" t="n">
        <v>0</v>
      </c>
      <c r="I1342" s="17" t="n">
        <v>0</v>
      </c>
      <c r="J1342" s="17" t="n">
        <v>0</v>
      </c>
      <c r="K1342" s="17" t="n">
        <v>4</v>
      </c>
      <c r="L1342" s="17" t="n">
        <v>0</v>
      </c>
      <c r="M1342" s="17" t="n">
        <v>1</v>
      </c>
      <c r="N1342" s="17" t="n">
        <v>0</v>
      </c>
      <c r="O1342" s="17" t="n">
        <v>0</v>
      </c>
      <c r="P1342" s="17" t="n">
        <v>0</v>
      </c>
      <c r="Q1342" s="17" t="n">
        <v>1</v>
      </c>
      <c r="R1342" s="17" t="n">
        <v>0</v>
      </c>
      <c r="T1342" s="17">
        <f>DAY(C1342)</f>
        <v/>
      </c>
      <c r="U1342" s="17">
        <f>MONTH(C1342)</f>
        <v/>
      </c>
    </row>
    <row r="1343" ht="22.5" customHeight="1" s="117">
      <c r="A1343" s="14" t="n">
        <v>46035.39011440973</v>
      </c>
      <c r="B1343" s="17" t="inlineStr">
        <is>
          <t>Trần Minh Khánh</t>
        </is>
      </c>
      <c r="C1343" s="16" t="n">
        <v>46034</v>
      </c>
      <c r="D1343" s="17" t="n">
        <v>0</v>
      </c>
      <c r="E1343" s="17" t="n">
        <v>0</v>
      </c>
      <c r="F1343" s="17" t="n">
        <v>0</v>
      </c>
      <c r="G1343" s="17" t="n">
        <v>0</v>
      </c>
      <c r="H1343" s="17" t="n">
        <v>1</v>
      </c>
      <c r="I1343" s="17" t="n">
        <v>2</v>
      </c>
      <c r="J1343" s="17" t="n">
        <v>0</v>
      </c>
      <c r="K1343" s="17" t="n">
        <v>3</v>
      </c>
      <c r="L1343" s="17" t="n">
        <v>2</v>
      </c>
      <c r="M1343" s="17" t="n">
        <v>0</v>
      </c>
      <c r="N1343" s="17" t="n">
        <v>0</v>
      </c>
      <c r="O1343" s="17" t="n">
        <v>0</v>
      </c>
      <c r="P1343" s="17" t="n">
        <v>1</v>
      </c>
      <c r="Q1343" s="17" t="n">
        <v>3</v>
      </c>
      <c r="R1343" s="17" t="n">
        <v>2</v>
      </c>
      <c r="T1343" s="17">
        <f>DAY(C1343)</f>
        <v/>
      </c>
      <c r="U1343" s="17">
        <f>MONTH(C1343)</f>
        <v/>
      </c>
    </row>
    <row r="1344" ht="22.5" customHeight="1" s="117">
      <c r="A1344" s="14" t="n">
        <v>46035.40159831019</v>
      </c>
      <c r="B1344" s="17" t="inlineStr">
        <is>
          <t>Nguyễn Hồng Minh</t>
        </is>
      </c>
      <c r="C1344" s="16" t="n">
        <v>46034</v>
      </c>
      <c r="D1344" s="17" t="n">
        <v>0</v>
      </c>
      <c r="E1344" s="17" t="n">
        <v>0</v>
      </c>
      <c r="F1344" s="17" t="n">
        <v>0</v>
      </c>
      <c r="G1344" s="17" t="n">
        <v>0</v>
      </c>
      <c r="H1344" s="17" t="n">
        <v>0</v>
      </c>
      <c r="I1344" s="17" t="n">
        <v>0</v>
      </c>
      <c r="J1344" s="17" t="n">
        <v>0</v>
      </c>
      <c r="K1344" s="17" t="n">
        <v>2</v>
      </c>
      <c r="L1344" s="17" t="n">
        <v>0</v>
      </c>
      <c r="M1344" s="17" t="n">
        <v>0</v>
      </c>
      <c r="N1344" s="17" t="n">
        <v>0</v>
      </c>
      <c r="O1344" s="17" t="n">
        <v>0</v>
      </c>
      <c r="P1344" s="17" t="n">
        <v>2</v>
      </c>
      <c r="Q1344" s="17" t="n">
        <v>4</v>
      </c>
      <c r="R1344" s="17" t="n">
        <v>0</v>
      </c>
      <c r="T1344" s="17">
        <f>DAY(C1344)</f>
        <v/>
      </c>
      <c r="U1344" s="17">
        <f>MONTH(C1344)</f>
        <v/>
      </c>
    </row>
    <row r="1345" ht="22.5" customHeight="1" s="117">
      <c r="A1345" s="14" t="n">
        <v>46036.27170766204</v>
      </c>
      <c r="B1345" s="17" t="inlineStr">
        <is>
          <t>Phan Ngọc Sang</t>
        </is>
      </c>
      <c r="C1345" s="16" t="n">
        <v>46035</v>
      </c>
      <c r="D1345" s="17" t="n">
        <v>0</v>
      </c>
      <c r="E1345" s="17" t="n">
        <v>0</v>
      </c>
      <c r="F1345" s="17" t="n">
        <v>0</v>
      </c>
      <c r="G1345" s="17" t="n">
        <v>0</v>
      </c>
      <c r="H1345" s="17" t="n">
        <v>0</v>
      </c>
      <c r="I1345" s="17" t="n">
        <v>1</v>
      </c>
      <c r="J1345" s="17" t="n">
        <v>1</v>
      </c>
      <c r="K1345" s="17" t="n">
        <v>7</v>
      </c>
      <c r="L1345" s="17" t="n">
        <v>0</v>
      </c>
      <c r="M1345" s="17" t="n">
        <v>1</v>
      </c>
      <c r="N1345" s="17" t="n">
        <v>1</v>
      </c>
      <c r="O1345" s="17" t="n">
        <v>0</v>
      </c>
      <c r="P1345" s="17" t="n">
        <v>1</v>
      </c>
      <c r="Q1345" s="17" t="n">
        <v>1</v>
      </c>
      <c r="R1345" s="17" t="n">
        <v>0</v>
      </c>
      <c r="T1345" s="17">
        <f>DAY(C1345)</f>
        <v/>
      </c>
      <c r="U1345" s="17">
        <f>MONTH(C1345)</f>
        <v/>
      </c>
    </row>
    <row r="1346" ht="22.5" customHeight="1" s="117">
      <c r="A1346" s="14" t="n">
        <v>46036.29308890046</v>
      </c>
      <c r="B1346" s="17" t="inlineStr">
        <is>
          <t>Nguyễn Tuấn Anh</t>
        </is>
      </c>
      <c r="C1346" s="16" t="n">
        <v>46035</v>
      </c>
      <c r="D1346" s="17" t="n">
        <v>0</v>
      </c>
      <c r="E1346" s="17" t="n">
        <v>0</v>
      </c>
      <c r="F1346" s="17" t="n">
        <v>0</v>
      </c>
      <c r="G1346" s="17" t="n">
        <v>0</v>
      </c>
      <c r="H1346" s="17" t="n">
        <v>0</v>
      </c>
      <c r="I1346" s="17" t="n">
        <v>3</v>
      </c>
      <c r="J1346" s="17" t="n">
        <v>0</v>
      </c>
      <c r="K1346" s="17" t="n">
        <v>31</v>
      </c>
      <c r="L1346" s="17" t="n">
        <v>0</v>
      </c>
      <c r="M1346" s="17" t="n">
        <v>0</v>
      </c>
      <c r="N1346" s="17" t="n">
        <v>2</v>
      </c>
      <c r="O1346" s="17" t="n">
        <v>0</v>
      </c>
      <c r="P1346" s="17" t="n">
        <v>0</v>
      </c>
      <c r="Q1346" s="17" t="n">
        <v>0</v>
      </c>
      <c r="R1346" s="17" t="n">
        <v>0</v>
      </c>
      <c r="T1346" s="17">
        <f>DAY(C1346)</f>
        <v/>
      </c>
      <c r="U1346" s="17">
        <f>MONTH(C1346)</f>
        <v/>
      </c>
    </row>
    <row r="1347" ht="22.5" customHeight="1" s="117">
      <c r="A1347" s="14" t="n">
        <v>46036.29452773148</v>
      </c>
      <c r="B1347" s="17" t="inlineStr">
        <is>
          <t>Huỳnh Văn Lực</t>
        </is>
      </c>
      <c r="C1347" s="16" t="n">
        <v>46035</v>
      </c>
      <c r="D1347" s="17" t="n">
        <v>0</v>
      </c>
      <c r="E1347" s="17" t="n">
        <v>0</v>
      </c>
      <c r="F1347" s="17" t="n">
        <v>0</v>
      </c>
      <c r="G1347" s="17" t="n">
        <v>0</v>
      </c>
      <c r="H1347" s="17" t="n">
        <v>0</v>
      </c>
      <c r="I1347" s="17" t="n">
        <v>0</v>
      </c>
      <c r="J1347" s="17" t="n">
        <v>0</v>
      </c>
      <c r="K1347" s="17" t="n">
        <v>2</v>
      </c>
      <c r="L1347" s="17" t="n">
        <v>0</v>
      </c>
      <c r="M1347" s="17" t="n">
        <v>2</v>
      </c>
      <c r="N1347" s="17" t="n">
        <v>0</v>
      </c>
      <c r="O1347" s="17" t="n">
        <v>0</v>
      </c>
      <c r="P1347" s="17" t="n">
        <v>1</v>
      </c>
      <c r="Q1347" s="17" t="n">
        <v>1</v>
      </c>
      <c r="R1347" s="17" t="n">
        <v>0</v>
      </c>
      <c r="T1347" s="17">
        <f>DAY(C1347)</f>
        <v/>
      </c>
      <c r="U1347" s="17">
        <f>MONTH(C1347)</f>
        <v/>
      </c>
    </row>
    <row r="1348" ht="22.5" customHeight="1" s="117">
      <c r="A1348" s="14" t="n">
        <v>46036.29581688657</v>
      </c>
      <c r="B1348" s="17" t="inlineStr">
        <is>
          <t>Nguyễn Quang Anh Tuấn</t>
        </is>
      </c>
      <c r="C1348" s="16" t="n">
        <v>46035</v>
      </c>
      <c r="D1348" s="17" t="n">
        <v>0</v>
      </c>
      <c r="E1348" s="17" t="n">
        <v>0</v>
      </c>
      <c r="F1348" s="17" t="n">
        <v>0</v>
      </c>
      <c r="G1348" s="17" t="n">
        <v>0</v>
      </c>
      <c r="H1348" s="17" t="n">
        <v>0</v>
      </c>
      <c r="I1348" s="17" t="n">
        <v>0</v>
      </c>
      <c r="J1348" s="17" t="n">
        <v>0</v>
      </c>
      <c r="K1348" s="17" t="n">
        <v>9</v>
      </c>
      <c r="L1348" s="17" t="n">
        <v>0</v>
      </c>
      <c r="M1348" s="17" t="n">
        <v>0</v>
      </c>
      <c r="N1348" s="17" t="n">
        <v>0</v>
      </c>
      <c r="O1348" s="17" t="n">
        <v>0</v>
      </c>
      <c r="P1348" s="17" t="n">
        <v>0</v>
      </c>
      <c r="Q1348" s="17" t="n">
        <v>2</v>
      </c>
      <c r="R1348" s="17" t="n">
        <v>0</v>
      </c>
      <c r="T1348" s="17">
        <f>DAY(C1348)</f>
        <v/>
      </c>
      <c r="U1348" s="17">
        <f>MONTH(C1348)</f>
        <v/>
      </c>
    </row>
    <row r="1349" ht="22.5" customHeight="1" s="117">
      <c r="A1349" s="14" t="n">
        <v>46036.2982025926</v>
      </c>
      <c r="B1349" s="17" t="inlineStr">
        <is>
          <t>Trần Trung Giang</t>
        </is>
      </c>
      <c r="C1349" s="16" t="n">
        <v>46035</v>
      </c>
      <c r="D1349" s="17" t="n">
        <v>2</v>
      </c>
      <c r="E1349" s="17" t="n">
        <v>2</v>
      </c>
      <c r="F1349" s="17" t="n">
        <v>4</v>
      </c>
      <c r="G1349" s="17" t="n">
        <v>0</v>
      </c>
      <c r="H1349" s="17" t="n">
        <v>0</v>
      </c>
      <c r="I1349" s="17" t="n">
        <v>0</v>
      </c>
      <c r="J1349" s="17" t="n">
        <v>0</v>
      </c>
      <c r="K1349" s="17" t="n">
        <v>11</v>
      </c>
      <c r="L1349" s="17" t="n">
        <v>0</v>
      </c>
      <c r="M1349" s="17" t="n">
        <v>2</v>
      </c>
      <c r="N1349" s="17" t="n">
        <v>1</v>
      </c>
      <c r="O1349" s="17" t="n">
        <v>0</v>
      </c>
      <c r="P1349" s="17" t="n">
        <v>0</v>
      </c>
      <c r="Q1349" s="17" t="n">
        <v>0</v>
      </c>
      <c r="R1349" s="17" t="n">
        <v>0</v>
      </c>
      <c r="T1349" s="17">
        <f>DAY(C1349)</f>
        <v/>
      </c>
      <c r="U1349" s="17">
        <f>MONTH(C1349)</f>
        <v/>
      </c>
    </row>
    <row r="1350" ht="22.5" customHeight="1" s="117">
      <c r="A1350" s="14" t="n">
        <v>46036.30147936343</v>
      </c>
      <c r="B1350" s="17" t="inlineStr">
        <is>
          <t>Nguyễn Văn Hiệp</t>
        </is>
      </c>
      <c r="C1350" s="16" t="n">
        <v>46369</v>
      </c>
      <c r="D1350" s="17" t="n">
        <v>1</v>
      </c>
      <c r="E1350" s="17" t="n">
        <v>1</v>
      </c>
      <c r="F1350" s="17" t="n">
        <v>1</v>
      </c>
      <c r="G1350" s="17" t="n">
        <v>0</v>
      </c>
      <c r="H1350" s="17" t="n">
        <v>0</v>
      </c>
      <c r="I1350" s="17" t="n">
        <v>0</v>
      </c>
      <c r="J1350" s="17" t="n">
        <v>0</v>
      </c>
      <c r="K1350" s="17" t="n">
        <v>3</v>
      </c>
      <c r="L1350" s="17" t="n">
        <v>0</v>
      </c>
      <c r="M1350" s="17" t="n">
        <v>0</v>
      </c>
      <c r="N1350" s="17" t="n">
        <v>0</v>
      </c>
      <c r="O1350" s="17" t="n">
        <v>0</v>
      </c>
      <c r="P1350" s="17" t="n">
        <v>0</v>
      </c>
      <c r="Q1350" s="17" t="n">
        <v>0</v>
      </c>
      <c r="R1350" s="17" t="n">
        <v>0</v>
      </c>
      <c r="T1350" s="17">
        <f>DAY(C1350)</f>
        <v/>
      </c>
      <c r="U1350" s="17">
        <f>MONTH(C1350)</f>
        <v/>
      </c>
    </row>
    <row r="1351" ht="22.5" customHeight="1" s="117">
      <c r="A1351" s="14" t="n">
        <v>46036.30237252315</v>
      </c>
      <c r="B1351" s="17" t="inlineStr">
        <is>
          <t>Đặng Hoài Anh</t>
        </is>
      </c>
      <c r="C1351" s="16" t="n">
        <v>46035</v>
      </c>
      <c r="D1351" s="17" t="n">
        <v>0</v>
      </c>
      <c r="E1351" s="17" t="n">
        <v>0</v>
      </c>
      <c r="F1351" s="17" t="n">
        <v>0</v>
      </c>
      <c r="G1351" s="17" t="n">
        <v>0</v>
      </c>
      <c r="H1351" s="17" t="n">
        <v>0</v>
      </c>
      <c r="I1351" s="17" t="n">
        <v>0</v>
      </c>
      <c r="J1351" s="17" t="n">
        <v>0</v>
      </c>
      <c r="K1351" s="17" t="n">
        <v>5</v>
      </c>
      <c r="L1351" s="17" t="n">
        <v>0</v>
      </c>
      <c r="M1351" s="17" t="n">
        <v>0</v>
      </c>
      <c r="N1351" s="17" t="n">
        <v>0</v>
      </c>
      <c r="O1351" s="17" t="n">
        <v>0</v>
      </c>
      <c r="P1351" s="17" t="n">
        <v>1</v>
      </c>
      <c r="Q1351" s="17" t="n">
        <v>1</v>
      </c>
      <c r="R1351" s="17" t="n">
        <v>0</v>
      </c>
      <c r="T1351" s="17">
        <f>DAY(C1351)</f>
        <v/>
      </c>
      <c r="U1351" s="17">
        <f>MONTH(C1351)</f>
        <v/>
      </c>
    </row>
    <row r="1352" ht="22.5" customHeight="1" s="117">
      <c r="A1352" s="14" t="n">
        <v>46036.32818517361</v>
      </c>
      <c r="B1352" s="17" t="inlineStr">
        <is>
          <t>Trần Minh Khánh</t>
        </is>
      </c>
      <c r="C1352" s="16" t="n">
        <v>46035</v>
      </c>
      <c r="D1352" s="17" t="n">
        <v>0</v>
      </c>
      <c r="E1352" s="17" t="n">
        <v>1</v>
      </c>
      <c r="F1352" s="17" t="n">
        <v>0</v>
      </c>
      <c r="G1352" s="17" t="n">
        <v>0</v>
      </c>
      <c r="H1352" s="17" t="n">
        <v>0</v>
      </c>
      <c r="I1352" s="17" t="n">
        <v>2</v>
      </c>
      <c r="J1352" s="17" t="n">
        <v>0</v>
      </c>
      <c r="K1352" s="17" t="n">
        <v>3</v>
      </c>
      <c r="L1352" s="17" t="n">
        <v>0</v>
      </c>
      <c r="M1352" s="17" t="n">
        <v>0</v>
      </c>
      <c r="N1352" s="17" t="n">
        <v>0</v>
      </c>
      <c r="O1352" s="17" t="n">
        <v>0</v>
      </c>
      <c r="P1352" s="17" t="n">
        <v>0</v>
      </c>
      <c r="Q1352" s="17" t="n">
        <v>4</v>
      </c>
      <c r="R1352" s="17" t="n">
        <v>0</v>
      </c>
      <c r="T1352" s="17">
        <f>DAY(C1352)</f>
        <v/>
      </c>
      <c r="U1352" s="17">
        <f>MONTH(C1352)</f>
        <v/>
      </c>
    </row>
    <row r="1353" ht="22.5" customHeight="1" s="117">
      <c r="A1353" s="14" t="n">
        <v>46036.35121006944</v>
      </c>
      <c r="B1353" s="17" t="inlineStr">
        <is>
          <t>Nguyễn Hồng Minh</t>
        </is>
      </c>
      <c r="C1353" s="16" t="n">
        <v>46035</v>
      </c>
      <c r="D1353" s="17" t="n">
        <v>0</v>
      </c>
      <c r="E1353" s="17" t="n">
        <v>0</v>
      </c>
      <c r="F1353" s="17" t="n">
        <v>0</v>
      </c>
      <c r="G1353" s="17" t="n">
        <v>0</v>
      </c>
      <c r="H1353" s="17" t="n">
        <v>0</v>
      </c>
      <c r="I1353" s="17" t="n">
        <v>0</v>
      </c>
      <c r="J1353" s="17" t="n">
        <v>0</v>
      </c>
      <c r="K1353" s="17" t="n">
        <v>2</v>
      </c>
      <c r="L1353" s="17" t="n">
        <v>0</v>
      </c>
      <c r="M1353" s="17" t="n">
        <v>1</v>
      </c>
      <c r="N1353" s="17" t="n">
        <v>0</v>
      </c>
      <c r="O1353" s="17" t="n">
        <v>0</v>
      </c>
      <c r="P1353" s="17" t="n">
        <v>1</v>
      </c>
      <c r="Q1353" s="17" t="n">
        <v>6</v>
      </c>
      <c r="R1353" s="17" t="n">
        <v>1</v>
      </c>
      <c r="T1353" s="17">
        <f>DAY(C1353)</f>
        <v/>
      </c>
      <c r="U1353" s="17">
        <f>MONTH(C1353)</f>
        <v/>
      </c>
    </row>
    <row r="1354" ht="22.5" customHeight="1" s="117">
      <c r="A1354" s="14" t="n">
        <v>46036.37734711805</v>
      </c>
      <c r="B1354" s="17" t="inlineStr">
        <is>
          <t>Vòng Nhật Sang</t>
        </is>
      </c>
      <c r="C1354" s="16" t="n">
        <v>46035</v>
      </c>
      <c r="D1354" s="17" t="n">
        <v>0</v>
      </c>
      <c r="E1354" s="17" t="n">
        <v>0</v>
      </c>
      <c r="F1354" s="17" t="n">
        <v>0</v>
      </c>
      <c r="G1354" s="17" t="n">
        <v>0</v>
      </c>
      <c r="H1354" s="17" t="n">
        <v>0</v>
      </c>
      <c r="I1354" s="17" t="n">
        <v>0</v>
      </c>
      <c r="J1354" s="17" t="n">
        <v>0</v>
      </c>
      <c r="K1354" s="17" t="n">
        <v>15</v>
      </c>
      <c r="L1354" s="17" t="n">
        <v>0</v>
      </c>
      <c r="M1354" s="17" t="n">
        <v>1</v>
      </c>
      <c r="N1354" s="17" t="n">
        <v>2</v>
      </c>
      <c r="O1354" s="17" t="n">
        <v>0</v>
      </c>
      <c r="P1354" s="17" t="n">
        <v>2</v>
      </c>
      <c r="Q1354" s="17" t="n">
        <v>2</v>
      </c>
      <c r="R1354" s="17" t="n">
        <v>0</v>
      </c>
      <c r="T1354" s="17">
        <f>DAY(C1354)</f>
        <v/>
      </c>
      <c r="U1354" s="17">
        <f>MONTH(C1354)</f>
        <v/>
      </c>
    </row>
    <row r="1355" ht="22.5" customHeight="1" s="117">
      <c r="A1355" s="14" t="n">
        <v>46036.82780311343</v>
      </c>
      <c r="B1355" s="17" t="inlineStr">
        <is>
          <t>Trần Xuân Khoa</t>
        </is>
      </c>
      <c r="C1355" s="16" t="n">
        <v>46035</v>
      </c>
      <c r="D1355" s="17" t="n">
        <v>1</v>
      </c>
      <c r="E1355" s="17" t="n">
        <v>1</v>
      </c>
      <c r="F1355" s="17" t="n">
        <v>0</v>
      </c>
      <c r="G1355" s="17" t="n">
        <v>0</v>
      </c>
      <c r="H1355" s="17" t="n">
        <v>0</v>
      </c>
      <c r="I1355" s="17" t="n">
        <v>0</v>
      </c>
      <c r="J1355" s="17" t="n">
        <v>0</v>
      </c>
      <c r="K1355" s="17" t="n">
        <v>8</v>
      </c>
      <c r="L1355" s="17" t="n">
        <v>2</v>
      </c>
      <c r="M1355" s="17" t="n">
        <v>0</v>
      </c>
      <c r="N1355" s="17" t="n">
        <v>0</v>
      </c>
      <c r="O1355" s="17" t="n">
        <v>0</v>
      </c>
      <c r="P1355" s="17" t="n">
        <v>1</v>
      </c>
      <c r="Q1355" s="17" t="n">
        <v>3</v>
      </c>
      <c r="R1355" s="17" t="n">
        <v>0</v>
      </c>
      <c r="T1355" s="17">
        <f>DAY(C1355)</f>
        <v/>
      </c>
      <c r="U1355" s="17">
        <f>MONTH(C1355)</f>
        <v/>
      </c>
    </row>
    <row r="1356" ht="22.5" customHeight="1" s="117">
      <c r="A1356" s="14" t="n">
        <v>46037.15572563658</v>
      </c>
      <c r="B1356" s="17" t="inlineStr">
        <is>
          <t>Hồ Thái Minh Trí</t>
        </is>
      </c>
      <c r="C1356" s="16" t="n">
        <v>46035</v>
      </c>
      <c r="D1356" s="17" t="n">
        <v>0</v>
      </c>
      <c r="E1356" s="17" t="n">
        <v>0</v>
      </c>
      <c r="F1356" s="17" t="n">
        <v>0</v>
      </c>
      <c r="G1356" s="17" t="n">
        <v>0</v>
      </c>
      <c r="H1356" s="17" t="n">
        <v>0</v>
      </c>
      <c r="I1356" s="17" t="n">
        <v>0</v>
      </c>
      <c r="J1356" s="17" t="n">
        <v>0</v>
      </c>
      <c r="K1356" s="17" t="n">
        <v>4</v>
      </c>
      <c r="L1356" s="17" t="n">
        <v>0</v>
      </c>
      <c r="M1356" s="17" t="n">
        <v>1</v>
      </c>
      <c r="N1356" s="17" t="n">
        <v>0</v>
      </c>
      <c r="O1356" s="17" t="n">
        <v>0</v>
      </c>
      <c r="P1356" s="17" t="n">
        <v>1</v>
      </c>
      <c r="Q1356" s="17" t="n">
        <v>2</v>
      </c>
      <c r="R1356" s="17" t="n">
        <v>0</v>
      </c>
      <c r="T1356" s="17">
        <f>DAY(C1356)</f>
        <v/>
      </c>
      <c r="U1356" s="17">
        <f>MONTH(C1356)</f>
        <v/>
      </c>
    </row>
    <row r="1357" ht="22.5" customHeight="1" s="117">
      <c r="A1357" s="14" t="n">
        <v>46037.15759237269</v>
      </c>
      <c r="B1357" s="17" t="inlineStr">
        <is>
          <t>Hồ Thái Minh Trí</t>
        </is>
      </c>
      <c r="C1357" s="16" t="n">
        <v>46036</v>
      </c>
      <c r="D1357" s="17" t="n">
        <v>0</v>
      </c>
      <c r="E1357" s="17" t="n">
        <v>0</v>
      </c>
      <c r="F1357" s="17" t="n">
        <v>0</v>
      </c>
      <c r="G1357" s="17" t="n">
        <v>0</v>
      </c>
      <c r="H1357" s="17" t="n">
        <v>0</v>
      </c>
      <c r="I1357" s="17" t="n">
        <v>0</v>
      </c>
      <c r="J1357" s="17" t="n">
        <v>0</v>
      </c>
      <c r="K1357" s="17" t="n">
        <v>0</v>
      </c>
      <c r="L1357" s="17" t="n">
        <v>0</v>
      </c>
      <c r="M1357" s="17" t="n">
        <v>0</v>
      </c>
      <c r="N1357" s="17" t="n">
        <v>0</v>
      </c>
      <c r="O1357" s="17" t="n">
        <v>0</v>
      </c>
      <c r="P1357" s="17" t="n">
        <v>0</v>
      </c>
      <c r="Q1357" s="17" t="n">
        <v>1</v>
      </c>
      <c r="R1357" s="17" t="n">
        <v>0</v>
      </c>
      <c r="T1357" s="17">
        <f>DAY(C1357)</f>
        <v/>
      </c>
      <c r="U1357" s="17">
        <f>MONTH(C1357)</f>
        <v/>
      </c>
    </row>
    <row r="1358" ht="22.5" customHeight="1" s="117">
      <c r="A1358" s="14" t="n">
        <v>46037.27064310185</v>
      </c>
      <c r="B1358" s="17" t="inlineStr">
        <is>
          <t>Trần Xuân Khoa</t>
        </is>
      </c>
      <c r="C1358" s="16" t="n">
        <v>46036</v>
      </c>
      <c r="D1358" s="17" t="n">
        <v>0</v>
      </c>
      <c r="E1358" s="17" t="n">
        <v>0</v>
      </c>
      <c r="F1358" s="17" t="n">
        <v>0</v>
      </c>
      <c r="G1358" s="17" t="n">
        <v>0</v>
      </c>
      <c r="H1358" s="17" t="n">
        <v>0</v>
      </c>
      <c r="I1358" s="17" t="n">
        <v>0</v>
      </c>
      <c r="J1358" s="17" t="n">
        <v>0</v>
      </c>
      <c r="K1358" s="17" t="n">
        <v>6</v>
      </c>
      <c r="L1358" s="17" t="n">
        <v>0</v>
      </c>
      <c r="M1358" s="17" t="n">
        <v>0</v>
      </c>
      <c r="N1358" s="17" t="n">
        <v>0</v>
      </c>
      <c r="O1358" s="17" t="n">
        <v>0</v>
      </c>
      <c r="P1358" s="17" t="n">
        <v>1</v>
      </c>
      <c r="Q1358" s="17" t="n">
        <v>4</v>
      </c>
      <c r="R1358" s="17" t="n">
        <v>0</v>
      </c>
      <c r="T1358" s="17">
        <f>DAY(C1358)</f>
        <v/>
      </c>
      <c r="U1358" s="17">
        <f>MONTH(C1358)</f>
        <v/>
      </c>
    </row>
    <row r="1359" ht="22.5" customHeight="1" s="117">
      <c r="A1359" s="14" t="n">
        <v>46037.2726527662</v>
      </c>
      <c r="B1359" s="17" t="inlineStr">
        <is>
          <t>Vòng Nhật Sang</t>
        </is>
      </c>
      <c r="C1359" s="16" t="n">
        <v>46036</v>
      </c>
      <c r="D1359" s="17" t="n">
        <v>0</v>
      </c>
      <c r="E1359" s="17" t="n">
        <v>0</v>
      </c>
      <c r="F1359" s="17" t="n">
        <v>0</v>
      </c>
      <c r="G1359" s="17" t="n">
        <v>0</v>
      </c>
      <c r="H1359" s="17" t="n">
        <v>0</v>
      </c>
      <c r="I1359" s="17" t="n">
        <v>0</v>
      </c>
      <c r="J1359" s="17" t="n">
        <v>0</v>
      </c>
      <c r="K1359" s="17" t="n">
        <v>8</v>
      </c>
      <c r="L1359" s="17" t="n">
        <v>0</v>
      </c>
      <c r="M1359" s="17" t="n">
        <v>0</v>
      </c>
      <c r="N1359" s="17" t="n">
        <v>0</v>
      </c>
      <c r="O1359" s="17" t="n">
        <v>0</v>
      </c>
      <c r="P1359" s="17" t="n">
        <v>2</v>
      </c>
      <c r="Q1359" s="17" t="n">
        <v>2</v>
      </c>
      <c r="R1359" s="17" t="n">
        <v>0</v>
      </c>
      <c r="T1359" s="17">
        <f>DAY(C1359)</f>
        <v/>
      </c>
      <c r="U1359" s="17">
        <f>MONTH(C1359)</f>
        <v/>
      </c>
    </row>
    <row r="1360" ht="22.5" customHeight="1" s="117">
      <c r="A1360" s="14" t="n">
        <v>46037.29518336806</v>
      </c>
      <c r="B1360" s="17" t="inlineStr">
        <is>
          <t>Phan Ngọc Sang</t>
        </is>
      </c>
      <c r="C1360" s="16" t="n">
        <v>46035</v>
      </c>
      <c r="D1360" s="17" t="n">
        <v>0</v>
      </c>
      <c r="E1360" s="17" t="n">
        <v>0</v>
      </c>
      <c r="F1360" s="17" t="n">
        <v>0</v>
      </c>
      <c r="G1360" s="17" t="n">
        <v>0</v>
      </c>
      <c r="H1360" s="17" t="n">
        <v>0</v>
      </c>
      <c r="I1360" s="17" t="n">
        <v>2</v>
      </c>
      <c r="J1360" s="17" t="n">
        <v>1</v>
      </c>
      <c r="K1360" s="17" t="n">
        <v>7</v>
      </c>
      <c r="L1360" s="17" t="n">
        <v>0</v>
      </c>
      <c r="M1360" s="17" t="n">
        <v>2</v>
      </c>
      <c r="N1360" s="17" t="n">
        <v>2</v>
      </c>
      <c r="O1360" s="17" t="n">
        <v>0</v>
      </c>
      <c r="P1360" s="17" t="n">
        <v>1</v>
      </c>
      <c r="Q1360" s="17" t="n">
        <v>2</v>
      </c>
      <c r="R1360" s="17" t="n">
        <v>0</v>
      </c>
      <c r="T1360" s="17">
        <f>DAY(C1360)</f>
        <v/>
      </c>
      <c r="U1360" s="17">
        <f>MONTH(C1360)</f>
        <v/>
      </c>
    </row>
    <row r="1361" ht="22.5" customHeight="1" s="117">
      <c r="A1361" s="14" t="n">
        <v>46037.29588622685</v>
      </c>
      <c r="B1361" s="17" t="inlineStr">
        <is>
          <t>Phan Ngọc Sang</t>
        </is>
      </c>
      <c r="C1361" s="16" t="n">
        <v>46036</v>
      </c>
      <c r="D1361" s="17" t="n">
        <v>0</v>
      </c>
      <c r="E1361" s="17" t="n">
        <v>0</v>
      </c>
      <c r="F1361" s="17" t="n">
        <v>0</v>
      </c>
      <c r="G1361" s="17" t="n">
        <v>0</v>
      </c>
      <c r="H1361" s="17" t="n">
        <v>0</v>
      </c>
      <c r="I1361" s="17" t="n">
        <v>1</v>
      </c>
      <c r="J1361" s="17" t="n">
        <v>0</v>
      </c>
      <c r="K1361" s="17" t="n">
        <v>11</v>
      </c>
      <c r="L1361" s="17" t="n">
        <v>0</v>
      </c>
      <c r="M1361" s="17" t="n">
        <v>2</v>
      </c>
      <c r="N1361" s="17" t="n">
        <v>1</v>
      </c>
      <c r="O1361" s="17" t="n">
        <v>0</v>
      </c>
      <c r="P1361" s="17" t="n">
        <v>0</v>
      </c>
      <c r="Q1361" s="17" t="n">
        <v>2</v>
      </c>
      <c r="R1361" s="17" t="n">
        <v>0</v>
      </c>
      <c r="T1361" s="17">
        <f>DAY(C1361)</f>
        <v/>
      </c>
      <c r="U1361" s="17">
        <f>MONTH(C1361)</f>
        <v/>
      </c>
    </row>
    <row r="1362" ht="22.5" customHeight="1" s="117">
      <c r="A1362" s="14" t="n">
        <v>46037.29822106481</v>
      </c>
      <c r="B1362" s="17" t="inlineStr">
        <is>
          <t>Huỳnh Văn Lực</t>
        </is>
      </c>
      <c r="C1362" s="16" t="n">
        <v>46036</v>
      </c>
      <c r="D1362" s="17" t="n">
        <v>1</v>
      </c>
      <c r="E1362" s="17" t="n">
        <v>1</v>
      </c>
      <c r="F1362" s="17" t="n">
        <v>1</v>
      </c>
      <c r="G1362" s="17" t="n">
        <v>0</v>
      </c>
      <c r="H1362" s="17" t="n">
        <v>0</v>
      </c>
      <c r="I1362" s="17" t="n">
        <v>0</v>
      </c>
      <c r="J1362" s="17" t="n">
        <v>0</v>
      </c>
      <c r="K1362" s="17" t="n">
        <v>2</v>
      </c>
      <c r="L1362" s="17" t="n">
        <v>0</v>
      </c>
      <c r="M1362" s="17" t="n">
        <v>0</v>
      </c>
      <c r="N1362" s="17" t="n">
        <v>0</v>
      </c>
      <c r="O1362" s="17" t="n">
        <v>0</v>
      </c>
      <c r="P1362" s="17" t="n">
        <v>1</v>
      </c>
      <c r="Q1362" s="17" t="n">
        <v>1</v>
      </c>
      <c r="R1362" s="17" t="n">
        <v>0</v>
      </c>
      <c r="T1362" s="17">
        <f>DAY(C1362)</f>
        <v/>
      </c>
      <c r="U1362" s="17">
        <f>MONTH(C1362)</f>
        <v/>
      </c>
    </row>
    <row r="1363" ht="22.5" customHeight="1" s="117">
      <c r="A1363" s="14" t="n">
        <v>46037.2984865625</v>
      </c>
      <c r="B1363" s="17" t="inlineStr">
        <is>
          <t>Trần Minh Khánh</t>
        </is>
      </c>
      <c r="C1363" s="16" t="n">
        <v>46036</v>
      </c>
      <c r="D1363" s="17" t="n">
        <v>0</v>
      </c>
      <c r="E1363" s="17" t="n">
        <v>1</v>
      </c>
      <c r="F1363" s="17" t="n">
        <v>0</v>
      </c>
      <c r="G1363" s="17" t="n">
        <v>0</v>
      </c>
      <c r="H1363" s="17" t="n">
        <v>0</v>
      </c>
      <c r="I1363" s="17" t="n">
        <v>3</v>
      </c>
      <c r="J1363" s="17" t="n">
        <v>0</v>
      </c>
      <c r="K1363" s="17" t="n">
        <v>4</v>
      </c>
      <c r="L1363" s="17" t="n">
        <v>0</v>
      </c>
      <c r="M1363" s="17" t="n">
        <v>0</v>
      </c>
      <c r="N1363" s="17" t="n">
        <v>1</v>
      </c>
      <c r="O1363" s="17" t="n">
        <v>0</v>
      </c>
      <c r="P1363" s="17" t="n">
        <v>0</v>
      </c>
      <c r="Q1363" s="17" t="n">
        <v>2</v>
      </c>
      <c r="R1363" s="17" t="n">
        <v>0</v>
      </c>
      <c r="T1363" s="17">
        <f>DAY(C1363)</f>
        <v/>
      </c>
      <c r="U1363" s="17">
        <f>MONTH(C1363)</f>
        <v/>
      </c>
    </row>
    <row r="1364" ht="22.5" customHeight="1" s="117">
      <c r="A1364" s="14" t="n">
        <v>46037.30003525463</v>
      </c>
      <c r="B1364" s="17" t="inlineStr">
        <is>
          <t>Nguyễn Tuấn Anh</t>
        </is>
      </c>
      <c r="C1364" s="16" t="n">
        <v>46036</v>
      </c>
      <c r="D1364" s="17" t="n">
        <v>0</v>
      </c>
      <c r="E1364" s="17" t="n">
        <v>0</v>
      </c>
      <c r="F1364" s="17" t="n">
        <v>0</v>
      </c>
      <c r="G1364" s="17" t="n">
        <v>0</v>
      </c>
      <c r="H1364" s="17" t="n">
        <v>0</v>
      </c>
      <c r="I1364" s="17" t="n">
        <v>2</v>
      </c>
      <c r="J1364" s="17" t="n">
        <v>0</v>
      </c>
      <c r="K1364" s="17" t="n">
        <v>28</v>
      </c>
      <c r="L1364" s="17" t="n">
        <v>0</v>
      </c>
      <c r="M1364" s="17" t="n">
        <v>0</v>
      </c>
      <c r="N1364" s="17" t="n">
        <v>0</v>
      </c>
      <c r="O1364" s="17" t="n">
        <v>0</v>
      </c>
      <c r="P1364" s="17" t="n">
        <v>0</v>
      </c>
      <c r="Q1364" s="17" t="n">
        <v>2</v>
      </c>
      <c r="R1364" s="17" t="n">
        <v>0</v>
      </c>
      <c r="T1364" s="17">
        <f>DAY(C1364)</f>
        <v/>
      </c>
      <c r="U1364" s="17">
        <f>MONTH(C1364)</f>
        <v/>
      </c>
    </row>
    <row r="1365" ht="22.5" customHeight="1" s="117">
      <c r="A1365" s="14" t="n">
        <v>46037.30125534722</v>
      </c>
      <c r="B1365" s="17" t="inlineStr">
        <is>
          <t>Nguyễn Quang Anh Tuấn</t>
        </is>
      </c>
      <c r="C1365" s="16" t="n">
        <v>46036</v>
      </c>
      <c r="D1365" s="17" t="n">
        <v>0</v>
      </c>
      <c r="E1365" s="17" t="n">
        <v>0</v>
      </c>
      <c r="F1365" s="17" t="n">
        <v>0</v>
      </c>
      <c r="G1365" s="17" t="n">
        <v>0</v>
      </c>
      <c r="H1365" s="17" t="n">
        <v>0</v>
      </c>
      <c r="I1365" s="17" t="n">
        <v>0</v>
      </c>
      <c r="J1365" s="17" t="n">
        <v>0</v>
      </c>
      <c r="K1365" s="17" t="n">
        <v>5</v>
      </c>
      <c r="L1365" s="17" t="n">
        <v>0</v>
      </c>
      <c r="M1365" s="17" t="n">
        <v>4</v>
      </c>
      <c r="N1365" s="17" t="n">
        <v>0</v>
      </c>
      <c r="O1365" s="17" t="n">
        <v>0</v>
      </c>
      <c r="P1365" s="17" t="n">
        <v>0</v>
      </c>
      <c r="Q1365" s="17" t="n">
        <v>1</v>
      </c>
      <c r="R1365" s="17" t="n">
        <v>0</v>
      </c>
      <c r="T1365" s="17">
        <f>DAY(C1365)</f>
        <v/>
      </c>
      <c r="U1365" s="17">
        <f>MONTH(C1365)</f>
        <v/>
      </c>
    </row>
    <row r="1366" ht="22.5" customHeight="1" s="117">
      <c r="A1366" s="14" t="n">
        <v>46037.30263127315</v>
      </c>
      <c r="B1366" s="17" t="inlineStr">
        <is>
          <t>Đặng Hoài Anh</t>
        </is>
      </c>
      <c r="C1366" s="16" t="n">
        <v>46036</v>
      </c>
      <c r="D1366" s="17" t="n">
        <v>2</v>
      </c>
      <c r="E1366" s="17" t="n">
        <v>2</v>
      </c>
      <c r="F1366" s="17" t="n">
        <v>1</v>
      </c>
      <c r="G1366" s="17" t="n">
        <v>0</v>
      </c>
      <c r="H1366" s="17" t="n">
        <v>0</v>
      </c>
      <c r="I1366" s="17" t="n">
        <v>0</v>
      </c>
      <c r="J1366" s="17" t="n">
        <v>0</v>
      </c>
      <c r="K1366" s="17" t="n">
        <v>2</v>
      </c>
      <c r="L1366" s="17" t="n">
        <v>0</v>
      </c>
      <c r="M1366" s="17" t="n">
        <v>3</v>
      </c>
      <c r="N1366" s="17" t="n">
        <v>0</v>
      </c>
      <c r="O1366" s="17" t="n">
        <v>0</v>
      </c>
      <c r="P1366" s="17" t="n">
        <v>2</v>
      </c>
      <c r="Q1366" s="17" t="n">
        <v>0</v>
      </c>
      <c r="R1366" s="17" t="n">
        <v>0</v>
      </c>
      <c r="T1366" s="17">
        <f>DAY(C1366)</f>
        <v/>
      </c>
      <c r="U1366" s="17">
        <f>MONTH(C1366)</f>
        <v/>
      </c>
    </row>
    <row r="1367" ht="22.5" customHeight="1" s="117">
      <c r="A1367" s="14" t="n">
        <v>46037.3033780787</v>
      </c>
      <c r="B1367" s="17" t="inlineStr">
        <is>
          <t>Trần Trung Giang</t>
        </is>
      </c>
      <c r="C1367" s="16" t="n">
        <v>46036</v>
      </c>
      <c r="D1367" s="17" t="n">
        <v>0</v>
      </c>
      <c r="E1367" s="17" t="n">
        <v>0</v>
      </c>
      <c r="F1367" s="17" t="n">
        <v>0</v>
      </c>
      <c r="G1367" s="17" t="n">
        <v>0</v>
      </c>
      <c r="H1367" s="17" t="n">
        <v>0</v>
      </c>
      <c r="I1367" s="17" t="n">
        <v>0</v>
      </c>
      <c r="J1367" s="17" t="n">
        <v>0</v>
      </c>
      <c r="K1367" s="17" t="n">
        <v>0</v>
      </c>
      <c r="L1367" s="17" t="n">
        <v>0</v>
      </c>
      <c r="M1367" s="17" t="n">
        <v>0</v>
      </c>
      <c r="N1367" s="17" t="n">
        <v>1</v>
      </c>
      <c r="O1367" s="17" t="n">
        <v>0</v>
      </c>
      <c r="P1367" s="17" t="n">
        <v>0</v>
      </c>
      <c r="Q1367" s="17" t="n">
        <v>1</v>
      </c>
      <c r="R1367" s="17" t="n">
        <v>0</v>
      </c>
      <c r="T1367" s="17">
        <f>DAY(C1367)</f>
        <v/>
      </c>
      <c r="U1367" s="17">
        <f>MONTH(C1367)</f>
        <v/>
      </c>
    </row>
    <row r="1368" ht="22.5" customHeight="1" s="117">
      <c r="A1368" s="14" t="n">
        <v>46037.31326005787</v>
      </c>
      <c r="B1368" s="17" t="inlineStr">
        <is>
          <t>Lê Hồng Phong</t>
        </is>
      </c>
      <c r="C1368" s="16" t="n">
        <v>46037</v>
      </c>
      <c r="D1368" s="17" t="n">
        <v>1</v>
      </c>
      <c r="E1368" s="17" t="n">
        <v>1</v>
      </c>
      <c r="F1368" s="17" t="n">
        <v>1</v>
      </c>
      <c r="G1368" s="17" t="n">
        <v>0</v>
      </c>
      <c r="H1368" s="17" t="n">
        <v>0</v>
      </c>
      <c r="I1368" s="17" t="n">
        <v>0</v>
      </c>
      <c r="J1368" s="17" t="n">
        <v>1</v>
      </c>
      <c r="K1368" s="17" t="n">
        <v>1</v>
      </c>
      <c r="L1368" s="17" t="n">
        <v>1</v>
      </c>
      <c r="M1368" s="17" t="n">
        <v>1</v>
      </c>
      <c r="N1368" s="17" t="n">
        <v>1</v>
      </c>
      <c r="O1368" s="17" t="n">
        <v>1</v>
      </c>
      <c r="P1368" s="17" t="n">
        <v>1</v>
      </c>
      <c r="Q1368" s="17" t="n">
        <v>1</v>
      </c>
      <c r="R1368" s="17" t="n">
        <v>1</v>
      </c>
      <c r="T1368" s="17">
        <f>DAY(C1368)</f>
        <v/>
      </c>
      <c r="U1368" s="17">
        <f>MONTH(C1368)</f>
        <v/>
      </c>
    </row>
    <row r="1369" ht="22.5" customHeight="1" s="117">
      <c r="A1369" s="14" t="n">
        <v>46037.31471180556</v>
      </c>
      <c r="B1369" s="17" t="inlineStr">
        <is>
          <t>Lương Duy Hoàng</t>
        </is>
      </c>
      <c r="C1369" s="16" t="n">
        <v>46036</v>
      </c>
      <c r="D1369" s="17" t="n">
        <v>0</v>
      </c>
      <c r="E1369" s="17" t="n">
        <v>0</v>
      </c>
      <c r="F1369" s="17" t="n">
        <v>0</v>
      </c>
      <c r="G1369" s="17" t="n">
        <v>0</v>
      </c>
      <c r="H1369" s="17" t="n">
        <v>0</v>
      </c>
      <c r="I1369" s="17" t="n">
        <v>1</v>
      </c>
      <c r="J1369" s="17" t="n">
        <v>0</v>
      </c>
      <c r="K1369" s="17" t="n">
        <v>4</v>
      </c>
      <c r="L1369" s="17" t="n">
        <v>0</v>
      </c>
      <c r="M1369" s="17" t="n">
        <v>0</v>
      </c>
      <c r="N1369" s="17" t="n">
        <v>0</v>
      </c>
      <c r="O1369" s="17" t="n">
        <v>0</v>
      </c>
      <c r="P1369" s="17" t="n">
        <v>1</v>
      </c>
      <c r="Q1369" s="17" t="n">
        <v>2</v>
      </c>
      <c r="R1369" s="17" t="n">
        <v>1</v>
      </c>
      <c r="T1369" s="17">
        <f>DAY(C1369)</f>
        <v/>
      </c>
      <c r="U1369" s="17">
        <f>MONTH(C1369)</f>
        <v/>
      </c>
    </row>
    <row r="1370" ht="22.5" customHeight="1" s="117">
      <c r="A1370" s="14" t="n">
        <v>46037.31745398148</v>
      </c>
      <c r="B1370" s="17" t="inlineStr">
        <is>
          <t>Nguyễn Văn Hiệp</t>
        </is>
      </c>
      <c r="C1370" s="16" t="n">
        <v>46036</v>
      </c>
      <c r="D1370" s="17" t="n">
        <v>1</v>
      </c>
      <c r="E1370" s="17" t="n">
        <v>1</v>
      </c>
      <c r="F1370" s="17" t="n">
        <v>1</v>
      </c>
      <c r="G1370" s="17" t="n">
        <v>0</v>
      </c>
      <c r="H1370" s="17" t="n">
        <v>0</v>
      </c>
      <c r="I1370" s="17" t="n">
        <v>0</v>
      </c>
      <c r="J1370" s="17" t="n">
        <v>0</v>
      </c>
      <c r="K1370" s="17" t="n">
        <v>0</v>
      </c>
      <c r="L1370" s="17" t="n">
        <v>0</v>
      </c>
      <c r="M1370" s="17" t="n">
        <v>0</v>
      </c>
      <c r="N1370" s="17" t="n">
        <v>0</v>
      </c>
      <c r="O1370" s="17" t="n">
        <v>0</v>
      </c>
      <c r="P1370" s="17" t="n">
        <v>0</v>
      </c>
      <c r="Q1370" s="17" t="n">
        <v>0</v>
      </c>
      <c r="R1370" s="17" t="n">
        <v>0</v>
      </c>
      <c r="T1370" s="17">
        <f>DAY(C1370)</f>
        <v/>
      </c>
      <c r="U1370" s="17">
        <f>MONTH(C1370)</f>
        <v/>
      </c>
    </row>
    <row r="1371" ht="22.5" customHeight="1" s="117">
      <c r="A1371" s="14" t="n">
        <v>46037.32216446759</v>
      </c>
      <c r="B1371" s="17" t="inlineStr">
        <is>
          <t>Bùi Duy Cường</t>
        </is>
      </c>
      <c r="C1371" s="16" t="n">
        <v>46035</v>
      </c>
      <c r="D1371" s="17" t="n">
        <v>1</v>
      </c>
      <c r="E1371" s="17" t="n">
        <v>0</v>
      </c>
      <c r="F1371" s="17" t="n">
        <v>0</v>
      </c>
      <c r="G1371" s="17" t="n">
        <v>0</v>
      </c>
      <c r="H1371" s="17" t="n">
        <v>0</v>
      </c>
      <c r="I1371" s="17" t="n">
        <v>1</v>
      </c>
      <c r="J1371" s="17" t="n">
        <v>0</v>
      </c>
      <c r="K1371" s="17" t="n">
        <v>15</v>
      </c>
      <c r="L1371" s="17" t="n">
        <v>0</v>
      </c>
      <c r="M1371" s="17" t="n">
        <v>1</v>
      </c>
      <c r="N1371" s="17" t="n">
        <v>0</v>
      </c>
      <c r="O1371" s="17" t="n">
        <v>0</v>
      </c>
      <c r="P1371" s="17" t="n">
        <v>0</v>
      </c>
      <c r="Q1371" s="17" t="n">
        <v>1</v>
      </c>
      <c r="R1371" s="17" t="n">
        <v>0</v>
      </c>
      <c r="T1371" s="17">
        <f>DAY(C1371)</f>
        <v/>
      </c>
      <c r="U1371" s="17">
        <f>MONTH(C1371)</f>
        <v/>
      </c>
    </row>
    <row r="1372" ht="22.5" customHeight="1" s="117">
      <c r="A1372" s="14" t="n">
        <v>46037.32283326389</v>
      </c>
      <c r="B1372" s="17" t="inlineStr">
        <is>
          <t>Bùi Duy Cường</t>
        </is>
      </c>
      <c r="C1372" s="16" t="n">
        <v>46036</v>
      </c>
      <c r="D1372" s="17" t="n">
        <v>1</v>
      </c>
      <c r="E1372" s="17" t="n">
        <v>0</v>
      </c>
      <c r="F1372" s="17" t="n">
        <v>0</v>
      </c>
      <c r="G1372" s="17" t="n">
        <v>0</v>
      </c>
      <c r="H1372" s="17" t="n">
        <v>0</v>
      </c>
      <c r="I1372" s="17" t="n">
        <v>0</v>
      </c>
      <c r="J1372" s="17" t="n">
        <v>0</v>
      </c>
      <c r="K1372" s="17" t="n">
        <v>15</v>
      </c>
      <c r="L1372" s="17" t="n">
        <v>0</v>
      </c>
      <c r="M1372" s="17" t="n">
        <v>0</v>
      </c>
      <c r="N1372" s="17" t="n">
        <v>0</v>
      </c>
      <c r="O1372" s="17" t="n">
        <v>0</v>
      </c>
      <c r="P1372" s="17" t="n">
        <v>0</v>
      </c>
      <c r="Q1372" s="17" t="n">
        <v>1</v>
      </c>
      <c r="R1372" s="17" t="n">
        <v>3</v>
      </c>
      <c r="T1372" s="17">
        <f>DAY(C1372)</f>
        <v/>
      </c>
      <c r="U1372" s="17">
        <f>MONTH(C1372)</f>
        <v/>
      </c>
    </row>
    <row r="1373" ht="22.5" customHeight="1" s="117">
      <c r="A1373" s="14" t="n">
        <v>46037.34179621527</v>
      </c>
      <c r="B1373" s="17" t="inlineStr">
        <is>
          <t>Nguyễn Hồng Minh</t>
        </is>
      </c>
      <c r="C1373" s="16" t="n">
        <v>46036</v>
      </c>
      <c r="D1373" s="17" t="n">
        <v>0</v>
      </c>
      <c r="E1373" s="17" t="n">
        <v>0</v>
      </c>
      <c r="F1373" s="17" t="n">
        <v>0</v>
      </c>
      <c r="G1373" s="17" t="n">
        <v>0</v>
      </c>
      <c r="H1373" s="17" t="n">
        <v>0</v>
      </c>
      <c r="I1373" s="17" t="n">
        <v>0</v>
      </c>
      <c r="J1373" s="17" t="n">
        <v>0</v>
      </c>
      <c r="K1373" s="17" t="n">
        <v>1</v>
      </c>
      <c r="L1373" s="17" t="n">
        <v>2</v>
      </c>
      <c r="M1373" s="17" t="n">
        <v>0</v>
      </c>
      <c r="N1373" s="17" t="n">
        <v>1</v>
      </c>
      <c r="O1373" s="17" t="n">
        <v>0</v>
      </c>
      <c r="P1373" s="17" t="n">
        <v>0</v>
      </c>
      <c r="Q1373" s="17" t="n">
        <v>5</v>
      </c>
      <c r="R1373" s="17" t="n">
        <v>0</v>
      </c>
      <c r="T1373" s="17">
        <f>DAY(C1373)</f>
        <v/>
      </c>
      <c r="U1373" s="17">
        <f>MONTH(C1373)</f>
        <v/>
      </c>
    </row>
    <row r="1374" ht="22.5" customHeight="1" s="117">
      <c r="A1374" s="14" t="n">
        <v>46038.28692149305</v>
      </c>
      <c r="B1374" s="17" t="inlineStr">
        <is>
          <t>Lương Duy Hoàng</t>
        </is>
      </c>
      <c r="C1374" s="16" t="n">
        <v>46037</v>
      </c>
      <c r="D1374" s="17" t="n">
        <v>0</v>
      </c>
      <c r="E1374" s="17" t="n">
        <v>0</v>
      </c>
      <c r="F1374" s="17" t="n">
        <v>0</v>
      </c>
      <c r="G1374" s="17" t="n">
        <v>0</v>
      </c>
      <c r="H1374" s="17" t="n">
        <v>0</v>
      </c>
      <c r="I1374" s="17" t="n">
        <v>1</v>
      </c>
      <c r="J1374" s="17" t="n">
        <v>0</v>
      </c>
      <c r="K1374" s="17" t="n">
        <v>6</v>
      </c>
      <c r="L1374" s="17" t="n">
        <v>0</v>
      </c>
      <c r="M1374" s="17" t="n">
        <v>1</v>
      </c>
      <c r="N1374" s="17" t="n">
        <v>0</v>
      </c>
      <c r="O1374" s="17" t="n">
        <v>0</v>
      </c>
      <c r="P1374" s="17" t="n">
        <v>0</v>
      </c>
      <c r="Q1374" s="17" t="n">
        <v>1</v>
      </c>
      <c r="R1374" s="17" t="n">
        <v>0</v>
      </c>
      <c r="T1374" s="17">
        <f>DAY(C1374)</f>
        <v/>
      </c>
      <c r="U1374" s="17">
        <f>MONTH(C1374)</f>
        <v/>
      </c>
    </row>
    <row r="1375" ht="22.5" customHeight="1" s="117">
      <c r="A1375" s="14" t="n">
        <v>46038.29131144676</v>
      </c>
      <c r="B1375" s="17" t="inlineStr">
        <is>
          <t>Vòng Nhật Sang</t>
        </is>
      </c>
      <c r="C1375" s="16" t="n">
        <v>46037</v>
      </c>
      <c r="D1375" s="17" t="n">
        <v>1</v>
      </c>
      <c r="E1375" s="17" t="n">
        <v>0</v>
      </c>
      <c r="F1375" s="17" t="n">
        <v>0</v>
      </c>
      <c r="G1375" s="17" t="n">
        <v>0</v>
      </c>
      <c r="H1375" s="17" t="n">
        <v>0</v>
      </c>
      <c r="I1375" s="17" t="n">
        <v>0</v>
      </c>
      <c r="J1375" s="17" t="n">
        <v>0</v>
      </c>
      <c r="K1375" s="17" t="n">
        <v>9</v>
      </c>
      <c r="L1375" s="17" t="n">
        <v>0</v>
      </c>
      <c r="M1375" s="17" t="n">
        <v>5</v>
      </c>
      <c r="N1375" s="17" t="n">
        <v>0</v>
      </c>
      <c r="O1375" s="17" t="n">
        <v>0</v>
      </c>
      <c r="P1375" s="17" t="n">
        <v>2</v>
      </c>
      <c r="Q1375" s="17" t="n">
        <v>2</v>
      </c>
      <c r="R1375" s="17" t="n">
        <v>0</v>
      </c>
      <c r="T1375" s="17">
        <f>DAY(C1375)</f>
        <v/>
      </c>
      <c r="U1375" s="17">
        <f>MONTH(C1375)</f>
        <v/>
      </c>
    </row>
    <row r="1376" ht="22.5" customHeight="1" s="117">
      <c r="A1376" s="14" t="n">
        <v>46038.29233769676</v>
      </c>
      <c r="B1376" s="17" t="inlineStr">
        <is>
          <t>Nguyễn Quang Anh Tuấn</t>
        </is>
      </c>
      <c r="C1376" s="16" t="n">
        <v>46037</v>
      </c>
      <c r="D1376" s="17" t="n">
        <v>0</v>
      </c>
      <c r="E1376" s="17" t="n">
        <v>0</v>
      </c>
      <c r="F1376" s="17" t="n">
        <v>0</v>
      </c>
      <c r="G1376" s="17" t="n">
        <v>0</v>
      </c>
      <c r="H1376" s="17" t="n">
        <v>0</v>
      </c>
      <c r="I1376" s="17" t="n">
        <v>0</v>
      </c>
      <c r="J1376" s="17" t="n">
        <v>0</v>
      </c>
      <c r="K1376" s="17" t="n">
        <v>6</v>
      </c>
      <c r="L1376" s="17" t="n">
        <v>0</v>
      </c>
      <c r="M1376" s="17" t="n">
        <v>0</v>
      </c>
      <c r="N1376" s="17" t="n">
        <v>0</v>
      </c>
      <c r="O1376" s="17" t="n">
        <v>0</v>
      </c>
      <c r="P1376" s="17" t="n">
        <v>1</v>
      </c>
      <c r="Q1376" s="17" t="n">
        <v>2</v>
      </c>
      <c r="R1376" s="17" t="n">
        <v>0</v>
      </c>
      <c r="T1376" s="17">
        <f>DAY(C1376)</f>
        <v/>
      </c>
      <c r="U1376" s="17">
        <f>MONTH(C1376)</f>
        <v/>
      </c>
    </row>
    <row r="1377" ht="22.5" customHeight="1" s="117">
      <c r="A1377" s="14" t="n">
        <v>46038.29681702546</v>
      </c>
      <c r="B1377" s="17" t="inlineStr">
        <is>
          <t>Huỳnh Văn Lực</t>
        </is>
      </c>
      <c r="C1377" s="16" t="n">
        <v>46037</v>
      </c>
      <c r="D1377" s="17" t="n">
        <v>2</v>
      </c>
      <c r="E1377" s="17" t="n">
        <v>2</v>
      </c>
      <c r="F1377" s="17" t="n">
        <v>2</v>
      </c>
      <c r="G1377" s="17" t="n">
        <v>0</v>
      </c>
      <c r="H1377" s="17" t="n">
        <v>0</v>
      </c>
      <c r="I1377" s="17" t="n">
        <v>0</v>
      </c>
      <c r="J1377" s="17" t="n">
        <v>0</v>
      </c>
      <c r="K1377" s="17" t="n">
        <v>4</v>
      </c>
      <c r="L1377" s="17" t="n">
        <v>0</v>
      </c>
      <c r="M1377" s="17" t="n">
        <v>0</v>
      </c>
      <c r="N1377" s="17" t="n">
        <v>0</v>
      </c>
      <c r="O1377" s="17" t="n">
        <v>0</v>
      </c>
      <c r="P1377" s="17" t="n">
        <v>1</v>
      </c>
      <c r="Q1377" s="17" t="n">
        <v>2</v>
      </c>
      <c r="R1377" s="17" t="n">
        <v>0</v>
      </c>
      <c r="T1377" s="17">
        <f>DAY(C1377)</f>
        <v/>
      </c>
      <c r="U1377" s="17">
        <f>MONTH(C1377)</f>
        <v/>
      </c>
    </row>
    <row r="1378" ht="22.5" customHeight="1" s="117">
      <c r="A1378" s="14" t="n">
        <v>46038.29763341435</v>
      </c>
      <c r="B1378" s="17" t="inlineStr">
        <is>
          <t>Dương Minh Tiến</t>
        </is>
      </c>
      <c r="C1378" s="16" t="n">
        <v>46037</v>
      </c>
      <c r="D1378" s="17" t="n">
        <v>0</v>
      </c>
      <c r="E1378" s="17" t="n">
        <v>0</v>
      </c>
      <c r="F1378" s="17" t="n">
        <v>0</v>
      </c>
      <c r="G1378" s="17" t="n">
        <v>0</v>
      </c>
      <c r="H1378" s="17" t="n">
        <v>0</v>
      </c>
      <c r="I1378" s="17" t="n">
        <v>0</v>
      </c>
      <c r="J1378" s="17" t="n">
        <v>0</v>
      </c>
      <c r="K1378" s="17" t="n">
        <v>10</v>
      </c>
      <c r="L1378" s="17" t="n">
        <v>0</v>
      </c>
      <c r="M1378" s="17" t="n">
        <v>0</v>
      </c>
      <c r="N1378" s="17" t="n">
        <v>0</v>
      </c>
      <c r="O1378" s="17" t="n">
        <v>0</v>
      </c>
      <c r="P1378" s="17" t="n">
        <v>0</v>
      </c>
      <c r="Q1378" s="17" t="n">
        <v>0</v>
      </c>
      <c r="R1378" s="17" t="n">
        <v>0</v>
      </c>
      <c r="T1378" s="17">
        <f>DAY(C1378)</f>
        <v/>
      </c>
      <c r="U1378" s="17">
        <f>MONTH(C1378)</f>
        <v/>
      </c>
    </row>
    <row r="1379" ht="22.5" customHeight="1" s="117">
      <c r="A1379" s="14" t="n">
        <v>46038.30195975694</v>
      </c>
      <c r="B1379" s="17" t="inlineStr">
        <is>
          <t>Nguyễn Tuấn Anh</t>
        </is>
      </c>
      <c r="C1379" s="16" t="n">
        <v>46037</v>
      </c>
      <c r="D1379" s="17" t="n">
        <v>1</v>
      </c>
      <c r="E1379" s="17" t="n">
        <v>0</v>
      </c>
      <c r="F1379" s="17" t="n">
        <v>0</v>
      </c>
      <c r="G1379" s="17" t="n">
        <v>0</v>
      </c>
      <c r="H1379" s="17" t="n">
        <v>0</v>
      </c>
      <c r="I1379" s="17" t="n">
        <v>2</v>
      </c>
      <c r="J1379" s="17" t="n">
        <v>0</v>
      </c>
      <c r="K1379" s="17" t="n">
        <v>17</v>
      </c>
      <c r="L1379" s="17" t="n">
        <v>0</v>
      </c>
      <c r="M1379" s="17" t="n">
        <v>0</v>
      </c>
      <c r="N1379" s="17" t="n">
        <v>0</v>
      </c>
      <c r="O1379" s="17" t="n">
        <v>0</v>
      </c>
      <c r="P1379" s="17" t="n">
        <v>0</v>
      </c>
      <c r="Q1379" s="17" t="n">
        <v>2</v>
      </c>
      <c r="R1379" s="17" t="n">
        <v>0</v>
      </c>
      <c r="T1379" s="17">
        <f>DAY(C1379)</f>
        <v/>
      </c>
      <c r="U1379" s="17">
        <f>MONTH(C1379)</f>
        <v/>
      </c>
    </row>
    <row r="1380" ht="22.5" customHeight="1" s="117">
      <c r="A1380" s="14" t="n">
        <v>46038.30406167824</v>
      </c>
      <c r="B1380" s="17" t="inlineStr">
        <is>
          <t>Đặng Hoài Anh</t>
        </is>
      </c>
      <c r="C1380" s="16" t="n">
        <v>46037</v>
      </c>
      <c r="D1380" s="17" t="n">
        <v>0</v>
      </c>
      <c r="E1380" s="17" t="n">
        <v>0</v>
      </c>
      <c r="F1380" s="17" t="n">
        <v>0</v>
      </c>
      <c r="G1380" s="17" t="n">
        <v>0</v>
      </c>
      <c r="H1380" s="17" t="n">
        <v>0</v>
      </c>
      <c r="I1380" s="17" t="n">
        <v>0</v>
      </c>
      <c r="J1380" s="17" t="n">
        <v>0</v>
      </c>
      <c r="K1380" s="17" t="n">
        <v>4</v>
      </c>
      <c r="L1380" s="17" t="n">
        <v>0</v>
      </c>
      <c r="M1380" s="17" t="n">
        <v>1</v>
      </c>
      <c r="N1380" s="17" t="n">
        <v>0</v>
      </c>
      <c r="O1380" s="17" t="n">
        <v>0</v>
      </c>
      <c r="P1380" s="17" t="n">
        <v>0</v>
      </c>
      <c r="Q1380" s="17" t="n">
        <v>0</v>
      </c>
      <c r="R1380" s="17" t="n">
        <v>0</v>
      </c>
      <c r="T1380" s="17">
        <f>DAY(C1380)</f>
        <v/>
      </c>
      <c r="U1380" s="17">
        <f>MONTH(C1380)</f>
        <v/>
      </c>
    </row>
    <row r="1381" ht="22.5" customHeight="1" s="117">
      <c r="A1381" s="14" t="n">
        <v>46038.31062285879</v>
      </c>
      <c r="B1381" s="17" t="inlineStr">
        <is>
          <t>Trần Trung Giang</t>
        </is>
      </c>
      <c r="C1381" s="16" t="n">
        <v>46037</v>
      </c>
      <c r="D1381" s="17" t="n">
        <v>0</v>
      </c>
      <c r="E1381" s="17" t="n">
        <v>0</v>
      </c>
      <c r="F1381" s="17" t="n">
        <v>0</v>
      </c>
      <c r="G1381" s="17" t="n">
        <v>0</v>
      </c>
      <c r="H1381" s="17" t="n">
        <v>0</v>
      </c>
      <c r="I1381" s="17" t="n">
        <v>0</v>
      </c>
      <c r="J1381" s="17" t="n">
        <v>0</v>
      </c>
      <c r="K1381" s="17" t="n">
        <v>8</v>
      </c>
      <c r="L1381" s="17" t="n">
        <v>0</v>
      </c>
      <c r="M1381" s="17" t="n">
        <v>0</v>
      </c>
      <c r="N1381" s="17" t="n">
        <v>1</v>
      </c>
      <c r="O1381" s="17" t="n">
        <v>0</v>
      </c>
      <c r="P1381" s="17" t="n">
        <v>0</v>
      </c>
      <c r="Q1381" s="17" t="n">
        <v>0</v>
      </c>
      <c r="R1381" s="17" t="n">
        <v>0</v>
      </c>
      <c r="T1381" s="17">
        <f>DAY(C1381)</f>
        <v/>
      </c>
      <c r="U1381" s="17">
        <f>MONTH(C1381)</f>
        <v/>
      </c>
    </row>
    <row r="1382" hidden="1" ht="22.5" customHeight="1" s="117">
      <c r="A1382" s="14" t="n">
        <v>46038.3125068287</v>
      </c>
      <c r="B1382" s="17" t="inlineStr">
        <is>
          <t>Nguyễn Văn Hiệp</t>
        </is>
      </c>
      <c r="C1382" s="16" t="n">
        <v>45672</v>
      </c>
      <c r="D1382" s="17" t="n">
        <v>2</v>
      </c>
      <c r="E1382" s="17" t="n">
        <v>0</v>
      </c>
      <c r="F1382" s="17" t="n">
        <v>0</v>
      </c>
      <c r="G1382" s="17" t="n">
        <v>0</v>
      </c>
      <c r="H1382" s="17" t="n">
        <v>0</v>
      </c>
      <c r="I1382" s="17" t="n">
        <v>0</v>
      </c>
      <c r="J1382" s="17" t="n">
        <v>0</v>
      </c>
      <c r="K1382" s="17" t="n">
        <v>4</v>
      </c>
      <c r="L1382" s="17" t="n">
        <v>0</v>
      </c>
      <c r="M1382" s="17" t="n">
        <v>2</v>
      </c>
      <c r="N1382" s="17" t="n">
        <v>0</v>
      </c>
      <c r="O1382" s="17" t="n">
        <v>0</v>
      </c>
      <c r="P1382" s="17" t="n">
        <v>0</v>
      </c>
      <c r="Q1382" s="17" t="n">
        <v>0</v>
      </c>
      <c r="R1382" s="17" t="n">
        <v>0</v>
      </c>
      <c r="T1382" s="17">
        <f>DAY(C1382)</f>
        <v/>
      </c>
      <c r="U1382" s="17">
        <f>MONTH(C1382)</f>
        <v/>
      </c>
    </row>
    <row r="1383" ht="22.5" customHeight="1" s="117">
      <c r="A1383" s="14" t="n">
        <v>46038.32015136574</v>
      </c>
      <c r="B1383" s="17" t="inlineStr">
        <is>
          <t>Nguyễn Hồng Minh</t>
        </is>
      </c>
      <c r="C1383" s="16" t="n">
        <v>46037</v>
      </c>
      <c r="D1383" s="17" t="n">
        <v>0</v>
      </c>
      <c r="E1383" s="17" t="n">
        <v>0</v>
      </c>
      <c r="F1383" s="17" t="n">
        <v>0</v>
      </c>
      <c r="G1383" s="17" t="n">
        <v>0</v>
      </c>
      <c r="H1383" s="17" t="n">
        <v>0</v>
      </c>
      <c r="I1383" s="17" t="n">
        <v>0</v>
      </c>
      <c r="J1383" s="17" t="n">
        <v>0</v>
      </c>
      <c r="K1383" s="17" t="n">
        <v>15</v>
      </c>
      <c r="L1383" s="17" t="n">
        <v>0</v>
      </c>
      <c r="M1383" s="17" t="n">
        <v>0</v>
      </c>
      <c r="N1383" s="17" t="n">
        <v>0</v>
      </c>
      <c r="O1383" s="17" t="n">
        <v>0</v>
      </c>
      <c r="P1383" s="17" t="n">
        <v>2</v>
      </c>
      <c r="Q1383" s="17" t="n">
        <v>5</v>
      </c>
      <c r="R1383" s="17" t="n">
        <v>0</v>
      </c>
      <c r="T1383" s="17">
        <f>DAY(C1383)</f>
        <v/>
      </c>
      <c r="U1383" s="17">
        <f>MONTH(C1383)</f>
        <v/>
      </c>
    </row>
    <row r="1384" ht="22.5" customHeight="1" s="117">
      <c r="A1384" s="14" t="n">
        <v>46038.33836891204</v>
      </c>
      <c r="B1384" s="17" t="inlineStr">
        <is>
          <t>Lê Hồng Phong</t>
        </is>
      </c>
      <c r="C1384" s="16" t="n">
        <v>46038</v>
      </c>
      <c r="D1384" s="17" t="n">
        <v>1</v>
      </c>
      <c r="E1384" s="17" t="n">
        <v>1</v>
      </c>
      <c r="F1384" s="17" t="n">
        <v>1</v>
      </c>
      <c r="G1384" s="17" t="n">
        <v>1</v>
      </c>
      <c r="H1384" s="17" t="n">
        <v>1</v>
      </c>
      <c r="I1384" s="17" t="n">
        <v>1</v>
      </c>
      <c r="J1384" s="17" t="n">
        <v>1</v>
      </c>
      <c r="K1384" s="17" t="n">
        <v>1</v>
      </c>
      <c r="L1384" s="17" t="n">
        <v>1</v>
      </c>
      <c r="M1384" s="17" t="n">
        <v>1</v>
      </c>
      <c r="N1384" s="17" t="n">
        <v>1</v>
      </c>
      <c r="O1384" s="17" t="n">
        <v>1</v>
      </c>
      <c r="P1384" s="17" t="n">
        <v>1</v>
      </c>
      <c r="Q1384" s="17" t="n">
        <v>1</v>
      </c>
      <c r="R1384" s="17" t="n">
        <v>1</v>
      </c>
      <c r="T1384" s="17">
        <f>DAY(C1384)</f>
        <v/>
      </c>
      <c r="U1384" s="17">
        <f>MONTH(C1384)</f>
        <v/>
      </c>
    </row>
    <row r="1385" ht="22.5" customHeight="1" s="117">
      <c r="A1385" s="14" t="n">
        <v>46038.33843377315</v>
      </c>
      <c r="B1385" s="17" t="inlineStr">
        <is>
          <t>Trần Xuân Khoa</t>
        </is>
      </c>
      <c r="C1385" s="16" t="n">
        <v>46037</v>
      </c>
      <c r="D1385" s="17" t="n">
        <v>0</v>
      </c>
      <c r="E1385" s="17" t="n">
        <v>0</v>
      </c>
      <c r="F1385" s="17" t="n">
        <v>0</v>
      </c>
      <c r="G1385" s="17" t="n">
        <v>0</v>
      </c>
      <c r="H1385" s="17" t="n">
        <v>0</v>
      </c>
      <c r="I1385" s="17" t="n">
        <v>0</v>
      </c>
      <c r="J1385" s="17" t="n">
        <v>0</v>
      </c>
      <c r="K1385" s="17" t="n">
        <v>8</v>
      </c>
      <c r="L1385" s="17" t="n">
        <v>0</v>
      </c>
      <c r="M1385" s="17" t="n">
        <v>0</v>
      </c>
      <c r="N1385" s="17" t="n">
        <v>0</v>
      </c>
      <c r="O1385" s="17" t="n">
        <v>0</v>
      </c>
      <c r="P1385" s="17" t="n">
        <v>1</v>
      </c>
      <c r="Q1385" s="17" t="n">
        <v>2</v>
      </c>
      <c r="R1385" s="17" t="n">
        <v>0</v>
      </c>
      <c r="T1385" s="17">
        <f>DAY(C1385)</f>
        <v/>
      </c>
      <c r="U1385" s="17">
        <f>MONTH(C1385)</f>
        <v/>
      </c>
    </row>
    <row r="1386" ht="22.5" customHeight="1" s="117">
      <c r="A1386" s="14" t="n">
        <v>46039.26622024306</v>
      </c>
      <c r="B1386" s="17" t="inlineStr">
        <is>
          <t>Trần Xuân Khoa</t>
        </is>
      </c>
      <c r="C1386" s="16" t="n">
        <v>46038</v>
      </c>
      <c r="D1386" s="17" t="n">
        <v>0</v>
      </c>
      <c r="E1386" s="17" t="n">
        <v>0</v>
      </c>
      <c r="F1386" s="17" t="n">
        <v>0</v>
      </c>
      <c r="G1386" s="17" t="n">
        <v>0</v>
      </c>
      <c r="H1386" s="17" t="n">
        <v>0</v>
      </c>
      <c r="I1386" s="17" t="n">
        <v>0</v>
      </c>
      <c r="J1386" s="17" t="n">
        <v>0</v>
      </c>
      <c r="K1386" s="17" t="n">
        <v>8</v>
      </c>
      <c r="L1386" s="17" t="n">
        <v>7</v>
      </c>
      <c r="M1386" s="17" t="n">
        <v>0</v>
      </c>
      <c r="N1386" s="17" t="n">
        <v>0</v>
      </c>
      <c r="O1386" s="17" t="n">
        <v>0</v>
      </c>
      <c r="P1386" s="17" t="n">
        <v>1</v>
      </c>
      <c r="Q1386" s="17" t="n">
        <v>3</v>
      </c>
      <c r="R1386" s="17" t="n">
        <v>0</v>
      </c>
      <c r="T1386" s="17">
        <f>DAY(C1386)</f>
        <v/>
      </c>
      <c r="U1386" s="17">
        <f>MONTH(C1386)</f>
        <v/>
      </c>
    </row>
    <row r="1387" ht="22.5" customHeight="1" s="117">
      <c r="A1387" s="14" t="n">
        <v>46039.29342956019</v>
      </c>
      <c r="B1387" s="17" t="inlineStr">
        <is>
          <t>Vòng Nhật Sang</t>
        </is>
      </c>
      <c r="C1387" s="16" t="n">
        <v>46038</v>
      </c>
      <c r="D1387" s="17" t="n">
        <v>1</v>
      </c>
      <c r="E1387" s="17" t="n">
        <v>0</v>
      </c>
      <c r="F1387" s="17" t="n">
        <v>0</v>
      </c>
      <c r="G1387" s="17" t="n">
        <v>0</v>
      </c>
      <c r="H1387" s="17" t="n">
        <v>0</v>
      </c>
      <c r="I1387" s="17" t="n">
        <v>0</v>
      </c>
      <c r="J1387" s="17" t="n">
        <v>0</v>
      </c>
      <c r="K1387" s="17" t="n">
        <v>2</v>
      </c>
      <c r="L1387" s="17" t="n">
        <v>0</v>
      </c>
      <c r="M1387" s="17" t="n">
        <v>1</v>
      </c>
      <c r="N1387" s="17" t="n">
        <v>0</v>
      </c>
      <c r="O1387" s="17" t="n">
        <v>0</v>
      </c>
      <c r="P1387" s="17" t="n">
        <v>2</v>
      </c>
      <c r="Q1387" s="17" t="n">
        <v>2</v>
      </c>
      <c r="R1387" s="17" t="n">
        <v>0</v>
      </c>
      <c r="T1387" s="17">
        <f>DAY(C1387)</f>
        <v/>
      </c>
      <c r="U1387" s="17">
        <f>MONTH(C1387)</f>
        <v/>
      </c>
    </row>
    <row r="1388" ht="22.5" customHeight="1" s="117">
      <c r="A1388" s="14" t="n">
        <v>46039.30224581018</v>
      </c>
      <c r="B1388" s="17" t="inlineStr">
        <is>
          <t>Nguyễn Tuấn Anh</t>
        </is>
      </c>
      <c r="C1388" s="16" t="n">
        <v>46039</v>
      </c>
      <c r="D1388" s="17" t="n">
        <v>1</v>
      </c>
      <c r="E1388" s="17" t="n">
        <v>0</v>
      </c>
      <c r="F1388" s="17" t="n">
        <v>0</v>
      </c>
      <c r="G1388" s="17" t="n">
        <v>0</v>
      </c>
      <c r="H1388" s="17" t="n">
        <v>0</v>
      </c>
      <c r="I1388" s="17" t="n">
        <v>2</v>
      </c>
      <c r="J1388" s="17" t="n">
        <v>0</v>
      </c>
      <c r="K1388" s="17" t="n">
        <v>2</v>
      </c>
      <c r="L1388" s="17" t="n">
        <v>0</v>
      </c>
      <c r="M1388" s="17" t="n">
        <v>0</v>
      </c>
      <c r="N1388" s="17" t="n">
        <v>1</v>
      </c>
      <c r="O1388" s="17" t="n">
        <v>0</v>
      </c>
      <c r="P1388" s="17" t="n">
        <v>0</v>
      </c>
      <c r="Q1388" s="17" t="n">
        <v>2</v>
      </c>
      <c r="R1388" s="17" t="n">
        <v>0</v>
      </c>
      <c r="T1388" s="17">
        <f>DAY(C1388)</f>
        <v/>
      </c>
      <c r="U1388" s="17">
        <f>MONTH(C1388)</f>
        <v/>
      </c>
    </row>
    <row r="1389" ht="22.5" customHeight="1" s="117">
      <c r="A1389" s="14" t="n">
        <v>46039.30270543981</v>
      </c>
      <c r="B1389" s="17" t="inlineStr">
        <is>
          <t>Đặng Hoài Anh</t>
        </is>
      </c>
      <c r="C1389" s="16" t="n">
        <v>46038</v>
      </c>
      <c r="D1389" s="17" t="n">
        <v>0</v>
      </c>
      <c r="E1389" s="17" t="n">
        <v>1</v>
      </c>
      <c r="F1389" s="17" t="n">
        <v>0</v>
      </c>
      <c r="G1389" s="17" t="n">
        <v>0</v>
      </c>
      <c r="H1389" s="17" t="n">
        <v>0</v>
      </c>
      <c r="I1389" s="17" t="n">
        <v>1</v>
      </c>
      <c r="J1389" s="17" t="n">
        <v>0</v>
      </c>
      <c r="K1389" s="17" t="n">
        <v>8</v>
      </c>
      <c r="L1389" s="17" t="n">
        <v>0</v>
      </c>
      <c r="M1389" s="17" t="n">
        <v>1</v>
      </c>
      <c r="N1389" s="17" t="n">
        <v>0</v>
      </c>
      <c r="O1389" s="17" t="n">
        <v>0</v>
      </c>
      <c r="P1389" s="17" t="n">
        <v>0</v>
      </c>
      <c r="Q1389" s="17" t="n">
        <v>0</v>
      </c>
      <c r="R1389" s="17" t="n">
        <v>0</v>
      </c>
      <c r="T1389" s="17">
        <f>DAY(C1389)</f>
        <v/>
      </c>
      <c r="U1389" s="17">
        <f>MONTH(C1389)</f>
        <v/>
      </c>
    </row>
    <row r="1390" ht="22.5" customHeight="1" s="117">
      <c r="A1390" s="14" t="n">
        <v>46039.30417034722</v>
      </c>
      <c r="B1390" s="17" t="inlineStr">
        <is>
          <t>Nguyễn Văn Hiệp</t>
        </is>
      </c>
      <c r="C1390" s="16" t="n">
        <v>46038</v>
      </c>
      <c r="D1390" s="17" t="n">
        <v>0</v>
      </c>
      <c r="E1390" s="17" t="n">
        <v>0</v>
      </c>
      <c r="F1390" s="17" t="n">
        <v>0</v>
      </c>
      <c r="G1390" s="17" t="n">
        <v>0</v>
      </c>
      <c r="H1390" s="17" t="n">
        <v>0</v>
      </c>
      <c r="I1390" s="17" t="n">
        <v>0</v>
      </c>
      <c r="J1390" s="17" t="n">
        <v>0</v>
      </c>
      <c r="K1390" s="17" t="n">
        <v>5</v>
      </c>
      <c r="L1390" s="17" t="n">
        <v>0</v>
      </c>
      <c r="M1390" s="17" t="n">
        <v>0</v>
      </c>
      <c r="N1390" s="17" t="n">
        <v>0</v>
      </c>
      <c r="O1390" s="17" t="n">
        <v>0</v>
      </c>
      <c r="P1390" s="17" t="n">
        <v>0</v>
      </c>
      <c r="Q1390" s="17" t="n">
        <v>1</v>
      </c>
      <c r="R1390" s="17" t="n">
        <v>0</v>
      </c>
      <c r="T1390" s="17">
        <f>DAY(C1390)</f>
        <v/>
      </c>
      <c r="U1390" s="17">
        <f>MONTH(C1390)</f>
        <v/>
      </c>
    </row>
    <row r="1391" ht="22.5" customHeight="1" s="117">
      <c r="A1391" s="14" t="n">
        <v>46039.30931737269</v>
      </c>
      <c r="B1391" s="17" t="inlineStr">
        <is>
          <t>Huỳnh Văn Lực</t>
        </is>
      </c>
      <c r="C1391" s="16" t="n">
        <v>46038</v>
      </c>
      <c r="D1391" s="17" t="n">
        <v>0</v>
      </c>
      <c r="E1391" s="17" t="n">
        <v>0</v>
      </c>
      <c r="F1391" s="17" t="n">
        <v>0</v>
      </c>
      <c r="G1391" s="17" t="n">
        <v>0</v>
      </c>
      <c r="H1391" s="17" t="n">
        <v>0</v>
      </c>
      <c r="I1391" s="17" t="n">
        <v>0</v>
      </c>
      <c r="J1391" s="17" t="n">
        <v>0</v>
      </c>
      <c r="K1391" s="17" t="n">
        <v>2</v>
      </c>
      <c r="L1391" s="17" t="n">
        <v>0</v>
      </c>
      <c r="M1391" s="17" t="n">
        <v>2</v>
      </c>
      <c r="N1391" s="17" t="n">
        <v>0</v>
      </c>
      <c r="O1391" s="17" t="n">
        <v>0</v>
      </c>
      <c r="P1391" s="17" t="n">
        <v>0</v>
      </c>
      <c r="Q1391" s="17" t="n">
        <v>1</v>
      </c>
      <c r="R1391" s="17" t="n">
        <v>0</v>
      </c>
      <c r="T1391" s="17">
        <f>DAY(C1391)</f>
        <v/>
      </c>
      <c r="U1391" s="17">
        <f>MONTH(C1391)</f>
        <v/>
      </c>
    </row>
    <row r="1392" ht="22.5" customHeight="1" s="117">
      <c r="A1392" s="14" t="n">
        <v>46039.31927523148</v>
      </c>
      <c r="B1392" s="17" t="inlineStr">
        <is>
          <t>Nguyễn Quang Anh Tuấn</t>
        </is>
      </c>
      <c r="C1392" s="16" t="n">
        <v>46038</v>
      </c>
      <c r="D1392" s="17" t="n">
        <v>0</v>
      </c>
      <c r="E1392" s="17" t="n">
        <v>0</v>
      </c>
      <c r="F1392" s="17" t="n">
        <v>0</v>
      </c>
      <c r="G1392" s="17" t="n">
        <v>0</v>
      </c>
      <c r="H1392" s="17" t="n">
        <v>0</v>
      </c>
      <c r="I1392" s="17" t="n">
        <v>0</v>
      </c>
      <c r="J1392" s="17" t="n">
        <v>0</v>
      </c>
      <c r="K1392" s="17" t="n">
        <v>5</v>
      </c>
      <c r="L1392" s="17" t="n">
        <v>0</v>
      </c>
      <c r="M1392" s="17" t="n">
        <v>2</v>
      </c>
      <c r="N1392" s="17" t="n">
        <v>0</v>
      </c>
      <c r="O1392" s="17" t="n">
        <v>0</v>
      </c>
      <c r="P1392" s="17" t="n">
        <v>1</v>
      </c>
      <c r="Q1392" s="17" t="n">
        <v>1</v>
      </c>
      <c r="R1392" s="17" t="n">
        <v>0</v>
      </c>
      <c r="T1392" s="17">
        <f>DAY(C1392)</f>
        <v/>
      </c>
      <c r="U1392" s="17">
        <f>MONTH(C1392)</f>
        <v/>
      </c>
    </row>
    <row r="1393" ht="22.5" customHeight="1" s="117">
      <c r="A1393" s="14" t="n">
        <v>46039.32694563657</v>
      </c>
      <c r="B1393" s="17" t="inlineStr">
        <is>
          <t>Trần Trung Giang</t>
        </is>
      </c>
      <c r="C1393" s="16" t="n">
        <v>46039</v>
      </c>
      <c r="D1393" s="17" t="n">
        <v>0</v>
      </c>
      <c r="E1393" s="17" t="n">
        <v>0</v>
      </c>
      <c r="F1393" s="17" t="n">
        <v>0</v>
      </c>
      <c r="G1393" s="17" t="n">
        <v>0</v>
      </c>
      <c r="H1393" s="17" t="n">
        <v>0</v>
      </c>
      <c r="I1393" s="17" t="n">
        <v>0</v>
      </c>
      <c r="J1393" s="17" t="n">
        <v>0</v>
      </c>
      <c r="K1393" s="17" t="n">
        <v>4</v>
      </c>
      <c r="L1393" s="17" t="n">
        <v>0</v>
      </c>
      <c r="M1393" s="17" t="n">
        <v>1</v>
      </c>
      <c r="N1393" s="17" t="n">
        <v>0</v>
      </c>
      <c r="O1393" s="17" t="n">
        <v>0</v>
      </c>
      <c r="P1393" s="17" t="n">
        <v>0</v>
      </c>
      <c r="Q1393" s="17" t="n">
        <v>2</v>
      </c>
      <c r="R1393" s="17" t="n">
        <v>0</v>
      </c>
      <c r="T1393" s="17">
        <f>DAY(C1393)</f>
        <v/>
      </c>
      <c r="U1393" s="17">
        <f>MONTH(C1393)</f>
        <v/>
      </c>
    </row>
    <row r="1394" ht="22.5" customHeight="1" s="117">
      <c r="A1394" s="14" t="n">
        <v>46039.33081611111</v>
      </c>
      <c r="B1394" s="17" t="inlineStr">
        <is>
          <t>Lương Duy Hoàng</t>
        </is>
      </c>
      <c r="C1394" s="16" t="n">
        <v>46038</v>
      </c>
      <c r="D1394" s="17" t="n">
        <v>0</v>
      </c>
      <c r="E1394" s="17" t="n">
        <v>0</v>
      </c>
      <c r="F1394" s="17" t="n">
        <v>0</v>
      </c>
      <c r="G1394" s="17" t="n">
        <v>1</v>
      </c>
      <c r="H1394" s="17" t="n">
        <v>0</v>
      </c>
      <c r="I1394" s="17" t="n">
        <v>0</v>
      </c>
      <c r="J1394" s="17" t="n">
        <v>0</v>
      </c>
      <c r="K1394" s="17" t="n">
        <v>6</v>
      </c>
      <c r="L1394" s="17" t="n">
        <v>0</v>
      </c>
      <c r="M1394" s="17" t="n">
        <v>0</v>
      </c>
      <c r="N1394" s="17" t="n">
        <v>0</v>
      </c>
      <c r="O1394" s="17" t="n">
        <v>0</v>
      </c>
      <c r="P1394" s="17" t="n">
        <v>1</v>
      </c>
      <c r="Q1394" s="17" t="n">
        <v>1</v>
      </c>
      <c r="R1394" s="17" t="n">
        <v>0</v>
      </c>
      <c r="T1394" s="17">
        <f>DAY(C1394)</f>
        <v/>
      </c>
      <c r="U1394" s="17">
        <f>MONTH(C1394)</f>
        <v/>
      </c>
    </row>
    <row r="1395" ht="22.5" customHeight="1" s="117">
      <c r="A1395" s="14" t="n">
        <v>46039.33272571759</v>
      </c>
      <c r="B1395" s="17" t="inlineStr">
        <is>
          <t>Nguyễn Hồng Minh</t>
        </is>
      </c>
      <c r="C1395" s="16" t="n">
        <v>46038</v>
      </c>
      <c r="D1395" s="17" t="n">
        <v>1</v>
      </c>
      <c r="E1395" s="17" t="n">
        <v>1</v>
      </c>
      <c r="F1395" s="17" t="n">
        <v>1</v>
      </c>
      <c r="G1395" s="17" t="n">
        <v>0</v>
      </c>
      <c r="H1395" s="17" t="n">
        <v>0</v>
      </c>
      <c r="I1395" s="17" t="n">
        <v>0</v>
      </c>
      <c r="J1395" s="17" t="n">
        <v>0</v>
      </c>
      <c r="K1395" s="17" t="n">
        <v>10</v>
      </c>
      <c r="L1395" s="17" t="n">
        <v>2</v>
      </c>
      <c r="M1395" s="17" t="n">
        <v>1</v>
      </c>
      <c r="N1395" s="17" t="n">
        <v>0</v>
      </c>
      <c r="O1395" s="17" t="n">
        <v>0</v>
      </c>
      <c r="P1395" s="17" t="n">
        <v>0</v>
      </c>
      <c r="Q1395" s="17" t="n">
        <v>4</v>
      </c>
      <c r="R1395" s="17" t="n">
        <v>0</v>
      </c>
      <c r="T1395" s="17">
        <f>DAY(C1395)</f>
        <v/>
      </c>
      <c r="U1395" s="17">
        <f>MONTH(C1395)</f>
        <v/>
      </c>
    </row>
    <row r="1396" ht="22.5" customHeight="1" s="117">
      <c r="A1396" s="14" t="n">
        <v>46039.37239903935</v>
      </c>
      <c r="B1396" s="17" t="inlineStr">
        <is>
          <t>Lê Hồng Phong</t>
        </is>
      </c>
      <c r="C1396" s="16" t="n">
        <v>46039</v>
      </c>
      <c r="D1396" s="17" t="n">
        <v>1</v>
      </c>
      <c r="E1396" s="17" t="n">
        <v>1</v>
      </c>
      <c r="F1396" s="17" t="n">
        <v>1</v>
      </c>
      <c r="G1396" s="17" t="n">
        <v>1</v>
      </c>
      <c r="H1396" s="17" t="n">
        <v>1</v>
      </c>
      <c r="I1396" s="17" t="n">
        <v>1</v>
      </c>
      <c r="J1396" s="17" t="n">
        <v>1</v>
      </c>
      <c r="K1396" s="17" t="n">
        <v>1</v>
      </c>
      <c r="L1396" s="17" t="n">
        <v>1</v>
      </c>
      <c r="M1396" s="17" t="n">
        <v>1</v>
      </c>
      <c r="N1396" s="17" t="n">
        <v>1</v>
      </c>
      <c r="O1396" s="17" t="n">
        <v>1</v>
      </c>
      <c r="P1396" s="17" t="n">
        <v>1</v>
      </c>
      <c r="Q1396" s="17" t="n">
        <v>1</v>
      </c>
      <c r="R1396" s="17" t="n">
        <v>1</v>
      </c>
      <c r="T1396" s="17">
        <f>DAY(C1396)</f>
        <v/>
      </c>
      <c r="U1396" s="17">
        <f>MONTH(C1396)</f>
        <v/>
      </c>
    </row>
    <row r="1397" ht="22.5" customHeight="1" s="117">
      <c r="A1397" s="14" t="n">
        <v>46040.28140773148</v>
      </c>
      <c r="B1397" s="17" t="inlineStr">
        <is>
          <t>Lê Hồng Phong</t>
        </is>
      </c>
      <c r="C1397" s="16" t="n">
        <v>46040</v>
      </c>
      <c r="D1397" s="17" t="n">
        <v>1</v>
      </c>
      <c r="E1397" s="17" t="n">
        <v>1</v>
      </c>
      <c r="F1397" s="17" t="n">
        <v>1</v>
      </c>
      <c r="G1397" s="17" t="n">
        <v>1</v>
      </c>
      <c r="H1397" s="17" t="n">
        <v>1</v>
      </c>
      <c r="I1397" s="17" t="n">
        <v>1</v>
      </c>
      <c r="J1397" s="17" t="n">
        <v>1</v>
      </c>
      <c r="K1397" s="17" t="n">
        <v>1</v>
      </c>
      <c r="L1397" s="17" t="n">
        <v>1</v>
      </c>
      <c r="M1397" s="17" t="n">
        <v>1</v>
      </c>
      <c r="N1397" s="17" t="n">
        <v>1</v>
      </c>
      <c r="O1397" s="17" t="n">
        <v>1</v>
      </c>
      <c r="P1397" s="17" t="n">
        <v>1</v>
      </c>
      <c r="Q1397" s="17" t="n">
        <v>1</v>
      </c>
      <c r="R1397" s="17" t="n">
        <v>1</v>
      </c>
      <c r="T1397" s="17">
        <f>DAY(C1397)</f>
        <v/>
      </c>
      <c r="U1397" s="17">
        <f>MONTH(C1397)</f>
        <v/>
      </c>
    </row>
    <row r="1398" ht="22.5" customHeight="1" s="117">
      <c r="A1398" s="14" t="n">
        <v>46040.28251861111</v>
      </c>
      <c r="B1398" s="17" t="inlineStr">
        <is>
          <t>Phan Ngọc Sang</t>
        </is>
      </c>
      <c r="C1398" s="16" t="n">
        <v>46038</v>
      </c>
      <c r="D1398" s="17" t="n">
        <v>0</v>
      </c>
      <c r="E1398" s="17" t="n">
        <v>0</v>
      </c>
      <c r="F1398" s="17" t="n">
        <v>0</v>
      </c>
      <c r="G1398" s="17" t="n">
        <v>0</v>
      </c>
      <c r="H1398" s="17" t="n">
        <v>0</v>
      </c>
      <c r="I1398" s="17" t="n">
        <v>2</v>
      </c>
      <c r="J1398" s="17" t="n">
        <v>0</v>
      </c>
      <c r="K1398" s="17" t="n">
        <v>13</v>
      </c>
      <c r="L1398" s="17" t="n">
        <v>2</v>
      </c>
      <c r="M1398" s="17" t="n">
        <v>1</v>
      </c>
      <c r="N1398" s="17" t="n">
        <v>1</v>
      </c>
      <c r="O1398" s="17" t="n">
        <v>0</v>
      </c>
      <c r="P1398" s="17" t="n">
        <v>0</v>
      </c>
      <c r="Q1398" s="17" t="n">
        <v>2</v>
      </c>
      <c r="R1398" s="17" t="n">
        <v>0</v>
      </c>
      <c r="T1398" s="17">
        <f>DAY(C1398)</f>
        <v/>
      </c>
      <c r="U1398" s="17">
        <f>MONTH(C1398)</f>
        <v/>
      </c>
    </row>
    <row r="1399" ht="22.5" customHeight="1" s="117">
      <c r="A1399" s="14" t="n">
        <v>46040.28313814814</v>
      </c>
      <c r="B1399" s="17" t="inlineStr">
        <is>
          <t>Phan Ngọc Sang</t>
        </is>
      </c>
      <c r="C1399" s="16" t="n">
        <v>46039</v>
      </c>
      <c r="D1399" s="17" t="n">
        <v>1</v>
      </c>
      <c r="E1399" s="17" t="n">
        <v>0</v>
      </c>
      <c r="F1399" s="17" t="n">
        <v>0</v>
      </c>
      <c r="G1399" s="17" t="n">
        <v>0</v>
      </c>
      <c r="H1399" s="17" t="n">
        <v>0</v>
      </c>
      <c r="I1399" s="17" t="n">
        <v>0</v>
      </c>
      <c r="J1399" s="17" t="n">
        <v>0</v>
      </c>
      <c r="K1399" s="17" t="n">
        <v>9</v>
      </c>
      <c r="L1399" s="17" t="n">
        <v>0</v>
      </c>
      <c r="M1399" s="17" t="n">
        <v>1</v>
      </c>
      <c r="N1399" s="17" t="n">
        <v>0</v>
      </c>
      <c r="O1399" s="17" t="n">
        <v>0</v>
      </c>
      <c r="P1399" s="17" t="n">
        <v>0</v>
      </c>
      <c r="Q1399" s="17" t="n">
        <v>1</v>
      </c>
      <c r="R1399" s="17" t="n">
        <v>0</v>
      </c>
      <c r="T1399" s="17">
        <f>DAY(C1399)</f>
        <v/>
      </c>
      <c r="U1399" s="17">
        <f>MONTH(C1399)</f>
        <v/>
      </c>
    </row>
    <row r="1400" ht="22.5" customHeight="1" s="117">
      <c r="A1400" s="14" t="n">
        <v>46040.28412577546</v>
      </c>
      <c r="B1400" s="17" t="inlineStr">
        <is>
          <t>Lương Duy Hoàng</t>
        </is>
      </c>
      <c r="C1400" s="16" t="n">
        <v>46039</v>
      </c>
      <c r="D1400" s="17" t="n">
        <v>0</v>
      </c>
      <c r="E1400" s="17" t="n">
        <v>0</v>
      </c>
      <c r="F1400" s="17" t="n">
        <v>0</v>
      </c>
      <c r="G1400" s="17" t="n">
        <v>1</v>
      </c>
      <c r="H1400" s="17" t="n">
        <v>0</v>
      </c>
      <c r="I1400" s="17" t="n">
        <v>6</v>
      </c>
      <c r="J1400" s="17" t="n">
        <v>0</v>
      </c>
      <c r="K1400" s="17" t="n">
        <v>3</v>
      </c>
      <c r="L1400" s="17" t="n">
        <v>0</v>
      </c>
      <c r="M1400" s="17" t="n">
        <v>0</v>
      </c>
      <c r="N1400" s="17" t="n">
        <v>1</v>
      </c>
      <c r="O1400" s="17" t="n">
        <v>0</v>
      </c>
      <c r="P1400" s="17" t="n">
        <v>0</v>
      </c>
      <c r="Q1400" s="17" t="n">
        <v>0</v>
      </c>
      <c r="R1400" s="17" t="n">
        <v>0</v>
      </c>
      <c r="T1400" s="17">
        <f>DAY(C1400)</f>
        <v/>
      </c>
      <c r="U1400" s="17">
        <f>MONTH(C1400)</f>
        <v/>
      </c>
    </row>
    <row r="1401" ht="22.5" customHeight="1" s="117">
      <c r="A1401" s="14" t="n">
        <v>46040.28424836806</v>
      </c>
      <c r="B1401" s="17" t="inlineStr">
        <is>
          <t>Vòng Nhật Sang</t>
        </is>
      </c>
      <c r="C1401" s="16" t="n">
        <v>46039</v>
      </c>
      <c r="D1401" s="17" t="n">
        <v>0</v>
      </c>
      <c r="E1401" s="17" t="n">
        <v>0</v>
      </c>
      <c r="F1401" s="17" t="n">
        <v>0</v>
      </c>
      <c r="G1401" s="17" t="n">
        <v>0</v>
      </c>
      <c r="H1401" s="17" t="n">
        <v>0</v>
      </c>
      <c r="I1401" s="17" t="n">
        <v>0</v>
      </c>
      <c r="J1401" s="17" t="n">
        <v>0</v>
      </c>
      <c r="K1401" s="17" t="n">
        <v>3</v>
      </c>
      <c r="L1401" s="17" t="n">
        <v>0</v>
      </c>
      <c r="M1401" s="17" t="n">
        <v>0</v>
      </c>
      <c r="N1401" s="17" t="n">
        <v>0</v>
      </c>
      <c r="O1401" s="17" t="n">
        <v>0</v>
      </c>
      <c r="P1401" s="17" t="n">
        <v>2</v>
      </c>
      <c r="Q1401" s="17" t="n">
        <v>2</v>
      </c>
      <c r="R1401" s="17" t="n">
        <v>0</v>
      </c>
      <c r="T1401" s="17">
        <f>DAY(C1401)</f>
        <v/>
      </c>
      <c r="U1401" s="17">
        <f>MONTH(C1401)</f>
        <v/>
      </c>
    </row>
    <row r="1402" ht="22.5" customHeight="1" s="117">
      <c r="A1402" s="14" t="n">
        <v>46040.30392081018</v>
      </c>
      <c r="B1402" s="17" t="inlineStr">
        <is>
          <t>Trần Trung Giang</t>
        </is>
      </c>
      <c r="C1402" s="16" t="n">
        <v>46039</v>
      </c>
      <c r="D1402" s="17" t="n">
        <v>0</v>
      </c>
      <c r="E1402" s="17" t="n">
        <v>0</v>
      </c>
      <c r="F1402" s="17" t="n">
        <v>0</v>
      </c>
      <c r="G1402" s="17" t="n">
        <v>0</v>
      </c>
      <c r="H1402" s="17" t="n">
        <v>0</v>
      </c>
      <c r="I1402" s="17" t="n">
        <v>0</v>
      </c>
      <c r="J1402" s="17" t="n">
        <v>0</v>
      </c>
      <c r="K1402" s="17" t="n">
        <v>3</v>
      </c>
      <c r="L1402" s="17" t="n">
        <v>0</v>
      </c>
      <c r="M1402" s="17" t="n">
        <v>0</v>
      </c>
      <c r="N1402" s="17" t="n">
        <v>0</v>
      </c>
      <c r="O1402" s="17" t="n">
        <v>0</v>
      </c>
      <c r="P1402" s="17" t="n">
        <v>0</v>
      </c>
      <c r="Q1402" s="17" t="n">
        <v>0</v>
      </c>
      <c r="R1402" s="17" t="n">
        <v>0</v>
      </c>
      <c r="T1402" s="17">
        <f>DAY(C1402)</f>
        <v/>
      </c>
      <c r="U1402" s="17">
        <f>MONTH(C1402)</f>
        <v/>
      </c>
    </row>
    <row r="1403" ht="22.5" customHeight="1" s="117">
      <c r="A1403" s="14" t="n">
        <v>46040.30615484954</v>
      </c>
      <c r="B1403" s="17" t="inlineStr">
        <is>
          <t>Nguyễn Văn Hiệp</t>
        </is>
      </c>
      <c r="C1403" s="16" t="n">
        <v>46039</v>
      </c>
      <c r="D1403" s="17" t="n">
        <v>0</v>
      </c>
      <c r="E1403" s="17" t="n">
        <v>0</v>
      </c>
      <c r="F1403" s="17" t="n">
        <v>0</v>
      </c>
      <c r="G1403" s="17" t="n">
        <v>0</v>
      </c>
      <c r="H1403" s="17" t="n">
        <v>0</v>
      </c>
      <c r="I1403" s="17" t="n">
        <v>0</v>
      </c>
      <c r="J1403" s="17" t="n">
        <v>0</v>
      </c>
      <c r="K1403" s="17" t="n">
        <v>1</v>
      </c>
      <c r="L1403" s="17" t="n">
        <v>0</v>
      </c>
      <c r="M1403" s="17" t="n">
        <v>0</v>
      </c>
      <c r="N1403" s="17" t="n">
        <v>0</v>
      </c>
      <c r="O1403" s="17" t="n">
        <v>0</v>
      </c>
      <c r="P1403" s="17" t="n">
        <v>0</v>
      </c>
      <c r="Q1403" s="17" t="n">
        <v>0</v>
      </c>
      <c r="R1403" s="17" t="n">
        <v>0</v>
      </c>
      <c r="T1403" s="17">
        <f>DAY(C1403)</f>
        <v/>
      </c>
      <c r="U1403" s="17">
        <f>MONTH(C1403)</f>
        <v/>
      </c>
    </row>
    <row r="1404" ht="22.5" customHeight="1" s="117">
      <c r="A1404" s="14" t="n">
        <v>46040.30696423611</v>
      </c>
      <c r="B1404" s="17" t="inlineStr">
        <is>
          <t>Nguyễn Tuấn Anh</t>
        </is>
      </c>
      <c r="C1404" s="16" t="n">
        <v>46039</v>
      </c>
      <c r="D1404" s="17" t="n">
        <v>0</v>
      </c>
      <c r="E1404" s="17" t="n">
        <v>0</v>
      </c>
      <c r="F1404" s="17" t="n">
        <v>0</v>
      </c>
      <c r="G1404" s="17" t="n">
        <v>0</v>
      </c>
      <c r="H1404" s="17" t="n">
        <v>0</v>
      </c>
      <c r="I1404" s="17" t="n">
        <v>2</v>
      </c>
      <c r="J1404" s="17" t="n">
        <v>0</v>
      </c>
      <c r="K1404" s="17" t="n">
        <v>4</v>
      </c>
      <c r="L1404" s="17" t="n">
        <v>0</v>
      </c>
      <c r="M1404" s="17" t="n">
        <v>0</v>
      </c>
      <c r="N1404" s="17" t="n">
        <v>0</v>
      </c>
      <c r="O1404" s="17" t="n">
        <v>0</v>
      </c>
      <c r="P1404" s="17" t="n">
        <v>1</v>
      </c>
      <c r="Q1404" s="17" t="n">
        <v>2</v>
      </c>
      <c r="R1404" s="17" t="n">
        <v>0</v>
      </c>
      <c r="T1404" s="17">
        <f>DAY(C1404)</f>
        <v/>
      </c>
      <c r="U1404" s="17">
        <f>MONTH(C1404)</f>
        <v/>
      </c>
    </row>
    <row r="1405" ht="22.5" customHeight="1" s="117">
      <c r="A1405" s="14" t="n">
        <v>46040.30732547454</v>
      </c>
      <c r="B1405" s="17" t="inlineStr">
        <is>
          <t>Huỳnh Văn Lực</t>
        </is>
      </c>
      <c r="C1405" s="16" t="n">
        <v>46039</v>
      </c>
      <c r="D1405" s="17" t="n">
        <v>0</v>
      </c>
      <c r="E1405" s="17" t="n">
        <v>0</v>
      </c>
      <c r="F1405" s="17" t="n">
        <v>0</v>
      </c>
      <c r="G1405" s="17" t="n">
        <v>0</v>
      </c>
      <c r="H1405" s="17" t="n">
        <v>0</v>
      </c>
      <c r="I1405" s="17" t="n">
        <v>0</v>
      </c>
      <c r="J1405" s="17" t="n">
        <v>0</v>
      </c>
      <c r="K1405" s="17" t="n">
        <v>4</v>
      </c>
      <c r="L1405" s="17" t="n">
        <v>0</v>
      </c>
      <c r="M1405" s="17" t="n">
        <v>2</v>
      </c>
      <c r="N1405" s="17" t="n">
        <v>0</v>
      </c>
      <c r="O1405" s="17" t="n">
        <v>0</v>
      </c>
      <c r="P1405" s="17" t="n">
        <v>1</v>
      </c>
      <c r="Q1405" s="17" t="n">
        <v>0</v>
      </c>
      <c r="R1405" s="17" t="n">
        <v>0</v>
      </c>
      <c r="T1405" s="17">
        <f>DAY(C1405)</f>
        <v/>
      </c>
      <c r="U1405" s="17">
        <f>MONTH(C1405)</f>
        <v/>
      </c>
    </row>
    <row r="1406" ht="22.5" customHeight="1" s="117">
      <c r="A1406" s="14" t="n">
        <v>46040.30954053241</v>
      </c>
      <c r="B1406" s="17" t="inlineStr">
        <is>
          <t>Trần Xuân Khoa</t>
        </is>
      </c>
      <c r="C1406" s="16" t="n">
        <v>46039</v>
      </c>
      <c r="D1406" s="17" t="n">
        <v>0</v>
      </c>
      <c r="E1406" s="17" t="n">
        <v>0</v>
      </c>
      <c r="F1406" s="17" t="n">
        <v>0</v>
      </c>
      <c r="G1406" s="17" t="n">
        <v>0</v>
      </c>
      <c r="H1406" s="17" t="n">
        <v>0</v>
      </c>
      <c r="I1406" s="17" t="n">
        <v>0</v>
      </c>
      <c r="J1406" s="17" t="n">
        <v>0</v>
      </c>
      <c r="K1406" s="17" t="n">
        <v>7</v>
      </c>
      <c r="L1406" s="17" t="n">
        <v>0</v>
      </c>
      <c r="M1406" s="17" t="n">
        <v>0</v>
      </c>
      <c r="N1406" s="17" t="n">
        <v>0</v>
      </c>
      <c r="O1406" s="17" t="n">
        <v>0</v>
      </c>
      <c r="P1406" s="17" t="n">
        <v>1</v>
      </c>
      <c r="Q1406" s="17" t="n">
        <v>2</v>
      </c>
      <c r="R1406" s="17" t="n">
        <v>0</v>
      </c>
      <c r="T1406" s="17">
        <f>DAY(C1406)</f>
        <v/>
      </c>
      <c r="U1406" s="17">
        <f>MONTH(C1406)</f>
        <v/>
      </c>
    </row>
    <row r="1407" ht="22.5" customHeight="1" s="117">
      <c r="A1407" s="14" t="n">
        <v>46040.3118680787</v>
      </c>
      <c r="B1407" s="17" t="inlineStr">
        <is>
          <t>Nguyễn Quang Anh Tuấn</t>
        </is>
      </c>
      <c r="C1407" s="16" t="n">
        <v>46039</v>
      </c>
      <c r="D1407" s="17" t="n">
        <v>0</v>
      </c>
      <c r="E1407" s="17" t="n">
        <v>0</v>
      </c>
      <c r="F1407" s="17" t="n">
        <v>0</v>
      </c>
      <c r="G1407" s="17" t="n">
        <v>0</v>
      </c>
      <c r="H1407" s="17" t="n">
        <v>0</v>
      </c>
      <c r="I1407" s="17" t="n">
        <v>0</v>
      </c>
      <c r="J1407" s="17" t="n">
        <v>0</v>
      </c>
      <c r="K1407" s="17" t="n">
        <v>8</v>
      </c>
      <c r="L1407" s="17" t="n">
        <v>0</v>
      </c>
      <c r="M1407" s="17" t="n">
        <v>1</v>
      </c>
      <c r="N1407" s="17" t="n">
        <v>0</v>
      </c>
      <c r="O1407" s="17" t="n">
        <v>0</v>
      </c>
      <c r="P1407" s="17" t="n">
        <v>0</v>
      </c>
      <c r="Q1407" s="17" t="n">
        <v>1</v>
      </c>
      <c r="R1407" s="17" t="n">
        <v>0</v>
      </c>
      <c r="T1407" s="17">
        <f>DAY(C1407)</f>
        <v/>
      </c>
      <c r="U1407" s="17">
        <f>MONTH(C1407)</f>
        <v/>
      </c>
    </row>
    <row r="1408" ht="22.5" customHeight="1" s="117">
      <c r="A1408" s="14" t="n">
        <v>46040.32524186343</v>
      </c>
      <c r="B1408" s="17" t="inlineStr">
        <is>
          <t>Đặng Hoài Anh</t>
        </is>
      </c>
      <c r="C1408" s="16" t="n">
        <v>46039</v>
      </c>
      <c r="D1408" s="17" t="n">
        <v>0</v>
      </c>
      <c r="E1408" s="17" t="n">
        <v>0</v>
      </c>
      <c r="F1408" s="17" t="n">
        <v>0</v>
      </c>
      <c r="G1408" s="17" t="n">
        <v>0</v>
      </c>
      <c r="H1408" s="17" t="n">
        <v>0</v>
      </c>
      <c r="I1408" s="17" t="n">
        <v>6</v>
      </c>
      <c r="J1408" s="17" t="n">
        <v>0</v>
      </c>
      <c r="K1408" s="17" t="n">
        <v>4</v>
      </c>
      <c r="L1408" s="17" t="n">
        <v>0</v>
      </c>
      <c r="M1408" s="17" t="n">
        <v>0</v>
      </c>
      <c r="N1408" s="17" t="n">
        <v>0</v>
      </c>
      <c r="O1408" s="17" t="n">
        <v>0</v>
      </c>
      <c r="P1408" s="17" t="n">
        <v>0</v>
      </c>
      <c r="Q1408" s="17" t="n">
        <v>0</v>
      </c>
      <c r="R1408" s="17" t="n">
        <v>0</v>
      </c>
      <c r="T1408" s="17">
        <f>DAY(C1408)</f>
        <v/>
      </c>
      <c r="U1408" s="17">
        <f>MONTH(C1408)</f>
        <v/>
      </c>
    </row>
    <row r="1409" ht="22.5" customHeight="1" s="117">
      <c r="A1409" s="14" t="n">
        <v>46040.39597378473</v>
      </c>
      <c r="B1409" s="17" t="inlineStr">
        <is>
          <t>Nguyễn Hồng Minh</t>
        </is>
      </c>
      <c r="C1409" s="16" t="n">
        <v>46039</v>
      </c>
      <c r="D1409" s="17" t="n">
        <v>0</v>
      </c>
      <c r="E1409" s="17" t="n">
        <v>0</v>
      </c>
      <c r="F1409" s="17" t="n">
        <v>0</v>
      </c>
      <c r="G1409" s="17" t="n">
        <v>0</v>
      </c>
      <c r="H1409" s="17" t="n">
        <v>0</v>
      </c>
      <c r="I1409" s="17" t="n">
        <v>0</v>
      </c>
      <c r="J1409" s="17" t="n">
        <v>0</v>
      </c>
      <c r="K1409" s="17" t="n">
        <v>10</v>
      </c>
      <c r="L1409" s="17" t="n">
        <v>0</v>
      </c>
      <c r="M1409" s="17" t="n">
        <v>1</v>
      </c>
      <c r="N1409" s="17" t="n">
        <v>1</v>
      </c>
      <c r="O1409" s="17" t="n">
        <v>0</v>
      </c>
      <c r="P1409" s="17" t="n">
        <v>0</v>
      </c>
      <c r="Q1409" s="17" t="n">
        <v>6</v>
      </c>
      <c r="R1409" s="17" t="n">
        <v>0</v>
      </c>
      <c r="T1409" s="17">
        <f>DAY(C1409)</f>
        <v/>
      </c>
      <c r="U1409" s="17">
        <f>MONTH(C1409)</f>
        <v/>
      </c>
    </row>
    <row r="1410" ht="22.5" customHeight="1" s="117">
      <c r="A1410" s="14" t="n">
        <v>46040.92565238426</v>
      </c>
      <c r="B1410" s="17" t="inlineStr">
        <is>
          <t>Trần Minh Khánh</t>
        </is>
      </c>
      <c r="C1410" s="16" t="n">
        <v>46040</v>
      </c>
      <c r="D1410" s="17" t="n">
        <v>1</v>
      </c>
      <c r="E1410" s="17" t="n">
        <v>1</v>
      </c>
      <c r="F1410" s="17" t="n">
        <v>1</v>
      </c>
      <c r="G1410" s="17" t="n">
        <v>0</v>
      </c>
      <c r="H1410" s="17" t="n">
        <v>0</v>
      </c>
      <c r="I1410" s="17" t="n">
        <v>1</v>
      </c>
      <c r="J1410" s="17" t="n">
        <v>0</v>
      </c>
      <c r="K1410" s="17" t="n">
        <v>20</v>
      </c>
      <c r="L1410" s="17" t="n">
        <v>0</v>
      </c>
      <c r="M1410" s="17" t="n">
        <v>0</v>
      </c>
      <c r="N1410" s="17" t="n">
        <v>0</v>
      </c>
      <c r="O1410" s="17" t="n">
        <v>0</v>
      </c>
      <c r="P1410" s="17" t="n">
        <v>0</v>
      </c>
      <c r="Q1410" s="17" t="n">
        <v>2</v>
      </c>
      <c r="R1410" s="17" t="n">
        <v>0</v>
      </c>
      <c r="T1410" s="17">
        <f>DAY(C1410)</f>
        <v/>
      </c>
      <c r="U1410" s="17">
        <f>MONTH(C1410)</f>
        <v/>
      </c>
    </row>
    <row r="1411" ht="22.5" customHeight="1" s="117">
      <c r="A1411" s="14" t="n">
        <v>46041.2845959375</v>
      </c>
      <c r="B1411" s="17" t="inlineStr">
        <is>
          <t>Lương Duy Hoàng</t>
        </is>
      </c>
      <c r="C1411" s="16" t="n">
        <v>46040</v>
      </c>
      <c r="D1411" s="17" t="n">
        <v>0</v>
      </c>
      <c r="E1411" s="17" t="n">
        <v>0</v>
      </c>
      <c r="F1411" s="17" t="n">
        <v>0</v>
      </c>
      <c r="G1411" s="17" t="n">
        <v>0</v>
      </c>
      <c r="H1411" s="17" t="n">
        <v>0</v>
      </c>
      <c r="I1411" s="17" t="n">
        <v>2</v>
      </c>
      <c r="J1411" s="17" t="n">
        <v>0</v>
      </c>
      <c r="K1411" s="17" t="n">
        <v>3</v>
      </c>
      <c r="L1411" s="17" t="n">
        <v>0</v>
      </c>
      <c r="M1411" s="17" t="n">
        <v>0</v>
      </c>
      <c r="N1411" s="17" t="n">
        <v>0</v>
      </c>
      <c r="O1411" s="17" t="n">
        <v>0</v>
      </c>
      <c r="P1411" s="17" t="n">
        <v>0</v>
      </c>
      <c r="Q1411" s="17" t="n">
        <v>1</v>
      </c>
      <c r="R1411" s="17" t="n">
        <v>0</v>
      </c>
      <c r="T1411" s="17">
        <f>DAY(C1411)</f>
        <v/>
      </c>
      <c r="U1411" s="17">
        <f>MONTH(C1411)</f>
        <v/>
      </c>
    </row>
    <row r="1412" ht="22.5" customHeight="1" s="117">
      <c r="A1412" s="14" t="n">
        <v>46041.29046174768</v>
      </c>
      <c r="B1412" s="17" t="inlineStr">
        <is>
          <t>Nguyễn Văn Hiệp</t>
        </is>
      </c>
      <c r="C1412" s="16" t="n">
        <v>46040</v>
      </c>
      <c r="D1412" s="17" t="n">
        <v>0</v>
      </c>
      <c r="E1412" s="17" t="n">
        <v>0</v>
      </c>
      <c r="F1412" s="17" t="n">
        <v>0</v>
      </c>
      <c r="G1412" s="17" t="n">
        <v>0</v>
      </c>
      <c r="H1412" s="17" t="n">
        <v>0</v>
      </c>
      <c r="I1412" s="17" t="n">
        <v>1</v>
      </c>
      <c r="J1412" s="17" t="n">
        <v>0</v>
      </c>
      <c r="K1412" s="17" t="n">
        <v>2</v>
      </c>
      <c r="L1412" s="17" t="n">
        <v>0</v>
      </c>
      <c r="M1412" s="17" t="n">
        <v>0</v>
      </c>
      <c r="N1412" s="17" t="n">
        <v>0</v>
      </c>
      <c r="O1412" s="17" t="n">
        <v>0</v>
      </c>
      <c r="P1412" s="17" t="n">
        <v>0</v>
      </c>
      <c r="Q1412" s="17" t="n">
        <v>0</v>
      </c>
      <c r="R1412" s="17" t="n">
        <v>0</v>
      </c>
      <c r="T1412" s="17">
        <f>DAY(C1412)</f>
        <v/>
      </c>
      <c r="U1412" s="17">
        <f>MONTH(C1412)</f>
        <v/>
      </c>
    </row>
    <row r="1413" ht="22.5" customHeight="1" s="117">
      <c r="A1413" s="14" t="n">
        <v>46041.2926887037</v>
      </c>
      <c r="B1413" s="17" t="inlineStr">
        <is>
          <t>Trần Trung Giang</t>
        </is>
      </c>
      <c r="C1413" s="16" t="n">
        <v>46040</v>
      </c>
      <c r="D1413" s="17" t="n">
        <v>1</v>
      </c>
      <c r="E1413" s="17" t="n">
        <v>1</v>
      </c>
      <c r="F1413" s="17" t="n">
        <v>1</v>
      </c>
      <c r="G1413" s="17" t="n">
        <v>0</v>
      </c>
      <c r="H1413" s="17" t="n">
        <v>0</v>
      </c>
      <c r="I1413" s="17" t="n">
        <v>0</v>
      </c>
      <c r="J1413" s="17" t="n">
        <v>0</v>
      </c>
      <c r="K1413" s="17" t="n">
        <v>1</v>
      </c>
      <c r="L1413" s="17" t="n">
        <v>0</v>
      </c>
      <c r="M1413" s="17" t="n">
        <v>1</v>
      </c>
      <c r="N1413" s="17" t="n">
        <v>0</v>
      </c>
      <c r="O1413" s="17" t="n">
        <v>0</v>
      </c>
      <c r="P1413" s="17" t="n">
        <v>0</v>
      </c>
      <c r="Q1413" s="17" t="n">
        <v>0</v>
      </c>
      <c r="R1413" s="17" t="n">
        <v>0</v>
      </c>
      <c r="T1413" s="17">
        <f>DAY(C1413)</f>
        <v/>
      </c>
      <c r="U1413" s="17">
        <f>MONTH(C1413)</f>
        <v/>
      </c>
    </row>
    <row r="1414" ht="22.5" customHeight="1" s="117">
      <c r="A1414" s="14" t="n">
        <v>46041.29530959491</v>
      </c>
      <c r="B1414" s="17" t="inlineStr">
        <is>
          <t>Huỳnh Văn Lực</t>
        </is>
      </c>
      <c r="C1414" s="16" t="n">
        <v>46040</v>
      </c>
      <c r="D1414" s="17" t="n">
        <v>0</v>
      </c>
      <c r="E1414" s="17" t="n">
        <v>0</v>
      </c>
      <c r="F1414" s="17" t="n">
        <v>0</v>
      </c>
      <c r="G1414" s="17" t="n">
        <v>0</v>
      </c>
      <c r="H1414" s="17" t="n">
        <v>0</v>
      </c>
      <c r="I1414" s="17" t="n">
        <v>0</v>
      </c>
      <c r="J1414" s="17" t="n">
        <v>0</v>
      </c>
      <c r="K1414" s="17" t="n">
        <v>4</v>
      </c>
      <c r="L1414" s="17" t="n">
        <v>0</v>
      </c>
      <c r="M1414" s="17" t="n">
        <v>2</v>
      </c>
      <c r="N1414" s="17" t="n">
        <v>0</v>
      </c>
      <c r="O1414" s="17" t="n">
        <v>0</v>
      </c>
      <c r="P1414" s="17" t="n">
        <v>1</v>
      </c>
      <c r="Q1414" s="17" t="n">
        <v>1</v>
      </c>
      <c r="R1414" s="17" t="n">
        <v>0</v>
      </c>
      <c r="T1414" s="17">
        <f>DAY(C1414)</f>
        <v/>
      </c>
      <c r="U1414" s="17">
        <f>MONTH(C1414)</f>
        <v/>
      </c>
    </row>
    <row r="1415" ht="22.5" customHeight="1" s="117">
      <c r="A1415" s="14" t="n">
        <v>46041.30357280093</v>
      </c>
      <c r="B1415" s="17" t="inlineStr">
        <is>
          <t>Nguyễn Tuấn Anh</t>
        </is>
      </c>
      <c r="C1415" s="16" t="n">
        <v>46040</v>
      </c>
      <c r="D1415" s="17" t="n">
        <v>0</v>
      </c>
      <c r="E1415" s="17" t="n">
        <v>0</v>
      </c>
      <c r="F1415" s="17" t="n">
        <v>0</v>
      </c>
      <c r="G1415" s="17" t="n">
        <v>0</v>
      </c>
      <c r="H1415" s="17" t="n">
        <v>0</v>
      </c>
      <c r="I1415" s="17" t="n">
        <v>1</v>
      </c>
      <c r="J1415" s="17" t="n">
        <v>0</v>
      </c>
      <c r="K1415" s="17" t="n">
        <v>5</v>
      </c>
      <c r="L1415" s="17" t="n">
        <v>0</v>
      </c>
      <c r="M1415" s="17" t="n">
        <v>0</v>
      </c>
      <c r="N1415" s="17" t="n">
        <v>0</v>
      </c>
      <c r="O1415" s="17" t="n">
        <v>0</v>
      </c>
      <c r="P1415" s="17" t="n">
        <v>0</v>
      </c>
      <c r="Q1415" s="17" t="n">
        <v>2</v>
      </c>
      <c r="R1415" s="17" t="n">
        <v>0</v>
      </c>
      <c r="T1415" s="17">
        <f>DAY(C1415)</f>
        <v/>
      </c>
      <c r="U1415" s="17">
        <f>MONTH(C1415)</f>
        <v/>
      </c>
    </row>
    <row r="1416" ht="22.5" customHeight="1" s="117">
      <c r="A1416" s="14" t="n">
        <v>46041.30668295139</v>
      </c>
      <c r="B1416" s="17" t="inlineStr">
        <is>
          <t>Đặng Hoài Anh</t>
        </is>
      </c>
      <c r="C1416" s="16" t="n">
        <v>46040</v>
      </c>
      <c r="D1416" s="17" t="n">
        <v>0</v>
      </c>
      <c r="E1416" s="17" t="n">
        <v>0</v>
      </c>
      <c r="F1416" s="17" t="n">
        <v>0</v>
      </c>
      <c r="G1416" s="17" t="n">
        <v>0</v>
      </c>
      <c r="H1416" s="17" t="n">
        <v>0</v>
      </c>
      <c r="I1416" s="17" t="n">
        <v>7</v>
      </c>
      <c r="J1416" s="17" t="n">
        <v>0</v>
      </c>
      <c r="K1416" s="17" t="n">
        <v>10</v>
      </c>
      <c r="L1416" s="17" t="n">
        <v>0</v>
      </c>
      <c r="M1416" s="17" t="n">
        <v>0</v>
      </c>
      <c r="N1416" s="17" t="n">
        <v>0</v>
      </c>
      <c r="O1416" s="17" t="n">
        <v>0</v>
      </c>
      <c r="P1416" s="17" t="n">
        <v>0</v>
      </c>
      <c r="Q1416" s="17" t="n">
        <v>0</v>
      </c>
      <c r="R1416" s="17" t="n">
        <v>0</v>
      </c>
      <c r="T1416" s="17">
        <f>DAY(C1416)</f>
        <v/>
      </c>
      <c r="U1416" s="17">
        <f>MONTH(C1416)</f>
        <v/>
      </c>
    </row>
    <row r="1417" ht="22.5" customHeight="1" s="117">
      <c r="A1417" s="14" t="n">
        <v>46041.30861472222</v>
      </c>
      <c r="B1417" s="17" t="inlineStr">
        <is>
          <t>Nguyễn Quang Anh Tuấn</t>
        </is>
      </c>
      <c r="C1417" s="16" t="n">
        <v>46040</v>
      </c>
      <c r="D1417" s="17" t="n">
        <v>0</v>
      </c>
      <c r="E1417" s="17" t="n">
        <v>0</v>
      </c>
      <c r="F1417" s="17" t="n">
        <v>0</v>
      </c>
      <c r="G1417" s="17" t="n">
        <v>0</v>
      </c>
      <c r="H1417" s="17" t="n">
        <v>0</v>
      </c>
      <c r="I1417" s="17" t="n">
        <v>1</v>
      </c>
      <c r="J1417" s="17" t="n">
        <v>0</v>
      </c>
      <c r="K1417" s="17" t="n">
        <v>5</v>
      </c>
      <c r="L1417" s="17" t="n">
        <v>0</v>
      </c>
      <c r="M1417" s="17" t="n">
        <v>0</v>
      </c>
      <c r="N1417" s="17" t="n">
        <v>0</v>
      </c>
      <c r="O1417" s="17" t="n">
        <v>0</v>
      </c>
      <c r="P1417" s="17" t="n">
        <v>0</v>
      </c>
      <c r="Q1417" s="17" t="n">
        <v>0</v>
      </c>
      <c r="R1417" s="17" t="n">
        <v>0</v>
      </c>
      <c r="T1417" s="17">
        <f>DAY(C1417)</f>
        <v/>
      </c>
      <c r="U1417" s="17">
        <f>MONTH(C1417)</f>
        <v/>
      </c>
    </row>
    <row r="1418" ht="22.5" customHeight="1" s="117">
      <c r="A1418" s="14" t="n">
        <v>46041.31926486111</v>
      </c>
      <c r="B1418" s="17" t="inlineStr">
        <is>
          <t>Lê Hồng Phong</t>
        </is>
      </c>
      <c r="C1418" s="16" t="n">
        <v>46041</v>
      </c>
      <c r="D1418" s="17" t="n">
        <v>1</v>
      </c>
      <c r="E1418" s="17" t="n">
        <v>1</v>
      </c>
      <c r="F1418" s="17" t="n">
        <v>1</v>
      </c>
      <c r="G1418" s="17" t="n">
        <v>1</v>
      </c>
      <c r="H1418" s="17" t="n">
        <v>1</v>
      </c>
      <c r="I1418" s="17" t="n">
        <v>1</v>
      </c>
      <c r="J1418" s="17" t="n">
        <v>1</v>
      </c>
      <c r="K1418" s="17" t="n">
        <v>1</v>
      </c>
      <c r="L1418" s="17" t="n">
        <v>1</v>
      </c>
      <c r="M1418" s="17" t="n">
        <v>1</v>
      </c>
      <c r="N1418" s="17" t="n">
        <v>1</v>
      </c>
      <c r="O1418" s="17" t="n">
        <v>1</v>
      </c>
      <c r="P1418" s="17" t="n">
        <v>1</v>
      </c>
      <c r="Q1418" s="17" t="n">
        <v>1</v>
      </c>
      <c r="R1418" s="17" t="n">
        <v>1</v>
      </c>
      <c r="T1418" s="17">
        <f>DAY(C1418)</f>
        <v/>
      </c>
      <c r="U1418" s="17">
        <f>MONTH(C1418)</f>
        <v/>
      </c>
    </row>
    <row r="1419" ht="22.5" customHeight="1" s="117">
      <c r="A1419" s="14" t="n">
        <v>46041.33816332176</v>
      </c>
      <c r="B1419" s="17" t="inlineStr">
        <is>
          <t>Nguyễn Hồng Minh</t>
        </is>
      </c>
      <c r="C1419" s="16" t="n">
        <v>46040</v>
      </c>
      <c r="D1419" s="17" t="n">
        <v>0</v>
      </c>
      <c r="E1419" s="17" t="n">
        <v>0</v>
      </c>
      <c r="F1419" s="17" t="n">
        <v>0</v>
      </c>
      <c r="G1419" s="17" t="n">
        <v>0</v>
      </c>
      <c r="H1419" s="17" t="n">
        <v>0</v>
      </c>
      <c r="I1419" s="17" t="n">
        <v>0</v>
      </c>
      <c r="J1419" s="17" t="n">
        <v>0</v>
      </c>
      <c r="K1419" s="17" t="n">
        <v>13</v>
      </c>
      <c r="L1419" s="17" t="n">
        <v>0</v>
      </c>
      <c r="M1419" s="17" t="n">
        <v>1</v>
      </c>
      <c r="N1419" s="17" t="n">
        <v>0</v>
      </c>
      <c r="O1419" s="17" t="n">
        <v>0</v>
      </c>
      <c r="P1419" s="17" t="n">
        <v>1</v>
      </c>
      <c r="Q1419" s="17" t="n">
        <v>5</v>
      </c>
      <c r="R1419" s="17" t="n">
        <v>0</v>
      </c>
      <c r="T1419" s="17">
        <f>DAY(C1419)</f>
        <v/>
      </c>
      <c r="U1419" s="17">
        <f>MONTH(C1419)</f>
        <v/>
      </c>
    </row>
    <row r="1420" ht="22.5" customHeight="1" s="117">
      <c r="A1420" s="14" t="n">
        <v>46041.39499142361</v>
      </c>
      <c r="B1420" s="17" t="inlineStr">
        <is>
          <t>Vòng Nhật Sang</t>
        </is>
      </c>
      <c r="C1420" s="16" t="n">
        <v>46040</v>
      </c>
      <c r="D1420" s="17" t="n">
        <v>0</v>
      </c>
      <c r="E1420" s="17" t="n">
        <v>0</v>
      </c>
      <c r="F1420" s="17" t="n">
        <v>0</v>
      </c>
      <c r="G1420" s="17" t="n">
        <v>0</v>
      </c>
      <c r="H1420" s="17" t="n">
        <v>0</v>
      </c>
      <c r="I1420" s="17" t="n">
        <v>0</v>
      </c>
      <c r="J1420" s="17" t="n">
        <v>0</v>
      </c>
      <c r="K1420" s="17" t="n">
        <v>0</v>
      </c>
      <c r="L1420" s="17" t="n">
        <v>0</v>
      </c>
      <c r="M1420" s="17" t="n">
        <v>0</v>
      </c>
      <c r="N1420" s="17" t="n">
        <v>0</v>
      </c>
      <c r="O1420" s="17" t="n">
        <v>0</v>
      </c>
      <c r="P1420" s="17" t="n">
        <v>1</v>
      </c>
      <c r="Q1420" s="17" t="n">
        <v>2</v>
      </c>
      <c r="R1420" s="17" t="n">
        <v>0</v>
      </c>
      <c r="T1420" s="17">
        <f>DAY(C1420)</f>
        <v/>
      </c>
      <c r="U1420" s="17">
        <f>MONTH(C1420)</f>
        <v/>
      </c>
    </row>
    <row r="1421" ht="22.5" customHeight="1" s="117">
      <c r="A1421" s="14" t="n">
        <v>46042.28459292824</v>
      </c>
      <c r="B1421" s="17" t="inlineStr">
        <is>
          <t>Nguyễn Quang Anh Tuấn</t>
        </is>
      </c>
      <c r="C1421" s="16" t="n">
        <v>46041</v>
      </c>
      <c r="D1421" s="17" t="n">
        <v>0</v>
      </c>
      <c r="E1421" s="17" t="n">
        <v>0</v>
      </c>
      <c r="F1421" s="17" t="n">
        <v>0</v>
      </c>
      <c r="G1421" s="17" t="n">
        <v>1</v>
      </c>
      <c r="H1421" s="17" t="n">
        <v>0</v>
      </c>
      <c r="I1421" s="17" t="n">
        <v>0</v>
      </c>
      <c r="J1421" s="17" t="n">
        <v>0</v>
      </c>
      <c r="K1421" s="17" t="n">
        <v>2</v>
      </c>
      <c r="L1421" s="17" t="n">
        <v>0</v>
      </c>
      <c r="M1421" s="17" t="n">
        <v>1</v>
      </c>
      <c r="N1421" s="17" t="n">
        <v>0</v>
      </c>
      <c r="O1421" s="17" t="n">
        <v>0</v>
      </c>
      <c r="P1421" s="17" t="n">
        <v>0</v>
      </c>
      <c r="Q1421" s="17" t="n">
        <v>1</v>
      </c>
      <c r="R1421" s="17" t="n">
        <v>0</v>
      </c>
      <c r="T1421" s="17">
        <f>DAY(C1421)</f>
        <v/>
      </c>
      <c r="U1421" s="17">
        <f>MONTH(C1421)</f>
        <v/>
      </c>
    </row>
    <row r="1422" ht="22.5" customHeight="1" s="117">
      <c r="A1422" s="14" t="n">
        <v>46042.28690180556</v>
      </c>
      <c r="B1422" s="17" t="inlineStr">
        <is>
          <t>Huỳnh Văn Lực</t>
        </is>
      </c>
      <c r="C1422" s="16" t="n">
        <v>46041</v>
      </c>
      <c r="D1422" s="17" t="n">
        <v>0</v>
      </c>
      <c r="E1422" s="17" t="n">
        <v>0</v>
      </c>
      <c r="F1422" s="17" t="n">
        <v>0</v>
      </c>
      <c r="G1422" s="17" t="n">
        <v>0</v>
      </c>
      <c r="H1422" s="17" t="n">
        <v>0</v>
      </c>
      <c r="I1422" s="17" t="n">
        <v>0</v>
      </c>
      <c r="J1422" s="17" t="n">
        <v>0</v>
      </c>
      <c r="K1422" s="17" t="n">
        <v>2</v>
      </c>
      <c r="L1422" s="17" t="n">
        <v>0</v>
      </c>
      <c r="M1422" s="17" t="n">
        <v>0</v>
      </c>
      <c r="N1422" s="17" t="n">
        <v>0</v>
      </c>
      <c r="O1422" s="17" t="n">
        <v>0</v>
      </c>
      <c r="P1422" s="17" t="n">
        <v>0</v>
      </c>
      <c r="Q1422" s="17" t="n">
        <v>1</v>
      </c>
      <c r="R1422" s="17" t="n">
        <v>0</v>
      </c>
      <c r="T1422" s="17">
        <f>DAY(C1422)</f>
        <v/>
      </c>
      <c r="U1422" s="17">
        <f>MONTH(C1422)</f>
        <v/>
      </c>
    </row>
    <row r="1423" ht="22.5" customHeight="1" s="117">
      <c r="A1423" s="14" t="n">
        <v>46042.29172278935</v>
      </c>
      <c r="B1423" s="17" t="inlineStr">
        <is>
          <t>Nguyễn Văn Hiệp</t>
        </is>
      </c>
      <c r="C1423" s="16" t="n">
        <v>46041</v>
      </c>
      <c r="D1423" s="17" t="n">
        <v>0</v>
      </c>
      <c r="E1423" s="17" t="n">
        <v>0</v>
      </c>
      <c r="F1423" s="17" t="n">
        <v>0</v>
      </c>
      <c r="G1423" s="17" t="n">
        <v>0</v>
      </c>
      <c r="H1423" s="17" t="n">
        <v>0</v>
      </c>
      <c r="I1423" s="17" t="n">
        <v>0</v>
      </c>
      <c r="J1423" s="17" t="n">
        <v>0</v>
      </c>
      <c r="K1423" s="17" t="n">
        <v>0</v>
      </c>
      <c r="L1423" s="17" t="n">
        <v>0</v>
      </c>
      <c r="M1423" s="17" t="n">
        <v>0</v>
      </c>
      <c r="N1423" s="17" t="n">
        <v>0</v>
      </c>
      <c r="O1423" s="17" t="n">
        <v>0</v>
      </c>
      <c r="P1423" s="17" t="n">
        <v>0</v>
      </c>
      <c r="Q1423" s="17" t="n">
        <v>0</v>
      </c>
      <c r="R1423" s="17" t="n">
        <v>0</v>
      </c>
      <c r="T1423" s="17">
        <f>DAY(C1423)</f>
        <v/>
      </c>
      <c r="U1423" s="17">
        <f>MONTH(C1423)</f>
        <v/>
      </c>
    </row>
    <row r="1424" ht="22.5" customHeight="1" s="117">
      <c r="A1424" s="14" t="n">
        <v>46042.29391553241</v>
      </c>
      <c r="B1424" s="17" t="inlineStr">
        <is>
          <t>Trần Trung Giang</t>
        </is>
      </c>
      <c r="C1424" s="16" t="n">
        <v>46041</v>
      </c>
      <c r="D1424" s="17" t="n">
        <v>0</v>
      </c>
      <c r="E1424" s="17" t="n">
        <v>0</v>
      </c>
      <c r="F1424" s="17" t="n">
        <v>0</v>
      </c>
      <c r="G1424" s="17" t="n">
        <v>0</v>
      </c>
      <c r="H1424" s="17" t="n">
        <v>0</v>
      </c>
      <c r="I1424" s="17" t="n">
        <v>1</v>
      </c>
      <c r="J1424" s="17" t="n">
        <v>0</v>
      </c>
      <c r="K1424" s="17" t="n">
        <v>0</v>
      </c>
      <c r="L1424" s="17" t="n">
        <v>0</v>
      </c>
      <c r="M1424" s="17" t="n">
        <v>1</v>
      </c>
      <c r="N1424" s="17" t="n">
        <v>1</v>
      </c>
      <c r="O1424" s="17" t="n">
        <v>0</v>
      </c>
      <c r="P1424" s="17" t="n">
        <v>0</v>
      </c>
      <c r="Q1424" s="17" t="n">
        <v>0</v>
      </c>
      <c r="R1424" s="17" t="n">
        <v>0</v>
      </c>
      <c r="T1424" s="17">
        <f>DAY(C1424)</f>
        <v/>
      </c>
      <c r="U1424" s="17">
        <f>MONTH(C1424)</f>
        <v/>
      </c>
    </row>
    <row r="1425" ht="22.5" customHeight="1" s="117">
      <c r="A1425" s="14" t="n">
        <v>46042.29577001157</v>
      </c>
      <c r="B1425" s="17" t="inlineStr">
        <is>
          <t>Lương Duy Hoàng</t>
        </is>
      </c>
      <c r="C1425" s="16" t="n">
        <v>46041</v>
      </c>
      <c r="D1425" s="17" t="n">
        <v>0</v>
      </c>
      <c r="E1425" s="17" t="n">
        <v>0</v>
      </c>
      <c r="F1425" s="17" t="n">
        <v>0</v>
      </c>
      <c r="G1425" s="17" t="n">
        <v>0</v>
      </c>
      <c r="H1425" s="17" t="n">
        <v>0</v>
      </c>
      <c r="I1425" s="17" t="n">
        <v>5</v>
      </c>
      <c r="J1425" s="17" t="n">
        <v>0</v>
      </c>
      <c r="K1425" s="17" t="n">
        <v>4</v>
      </c>
      <c r="L1425" s="17" t="n">
        <v>0</v>
      </c>
      <c r="M1425" s="17" t="n">
        <v>0</v>
      </c>
      <c r="N1425" s="17" t="n">
        <v>1</v>
      </c>
      <c r="O1425" s="17" t="n">
        <v>0</v>
      </c>
      <c r="P1425" s="17" t="n">
        <v>0</v>
      </c>
      <c r="Q1425" s="17" t="n">
        <v>1</v>
      </c>
      <c r="R1425" s="17" t="n">
        <v>1</v>
      </c>
      <c r="T1425" s="17">
        <f>DAY(C1425)</f>
        <v/>
      </c>
      <c r="U1425" s="17">
        <f>MONTH(C1425)</f>
        <v/>
      </c>
    </row>
    <row r="1426" ht="22.5" customHeight="1" s="117">
      <c r="A1426" s="14" t="n">
        <v>46042.3064590162</v>
      </c>
      <c r="B1426" s="17" t="inlineStr">
        <is>
          <t>Nguyễn Tuấn Anh</t>
        </is>
      </c>
      <c r="C1426" s="16" t="n">
        <v>46041</v>
      </c>
      <c r="D1426" s="17" t="n">
        <v>1</v>
      </c>
      <c r="E1426" s="17" t="n">
        <v>0</v>
      </c>
      <c r="F1426" s="17" t="n">
        <v>0</v>
      </c>
      <c r="G1426" s="17" t="n">
        <v>0</v>
      </c>
      <c r="H1426" s="17" t="n">
        <v>0</v>
      </c>
      <c r="I1426" s="17" t="n">
        <v>0</v>
      </c>
      <c r="J1426" s="17" t="n">
        <v>0</v>
      </c>
      <c r="K1426" s="17" t="n">
        <v>11</v>
      </c>
      <c r="L1426" s="17" t="n">
        <v>0</v>
      </c>
      <c r="M1426" s="17" t="n">
        <v>0</v>
      </c>
      <c r="N1426" s="17" t="n">
        <v>0</v>
      </c>
      <c r="O1426" s="17" t="n">
        <v>0</v>
      </c>
      <c r="P1426" s="17" t="n">
        <v>1</v>
      </c>
      <c r="Q1426" s="17" t="n">
        <v>2</v>
      </c>
      <c r="R1426" s="17" t="n">
        <v>0</v>
      </c>
      <c r="T1426" s="17">
        <f>DAY(C1426)</f>
        <v/>
      </c>
      <c r="U1426" s="17">
        <f>MONTH(C1426)</f>
        <v/>
      </c>
    </row>
    <row r="1427" ht="22.5" customHeight="1" s="117">
      <c r="A1427" s="14" t="n">
        <v>46042.31648435185</v>
      </c>
      <c r="B1427" s="17" t="inlineStr">
        <is>
          <t>Trần Xuân Khoa</t>
        </is>
      </c>
      <c r="C1427" s="16" t="n">
        <v>46041</v>
      </c>
      <c r="D1427" s="17" t="n">
        <v>1</v>
      </c>
      <c r="E1427" s="17" t="n">
        <v>1</v>
      </c>
      <c r="F1427" s="17" t="n">
        <v>1</v>
      </c>
      <c r="G1427" s="17" t="n">
        <v>0</v>
      </c>
      <c r="H1427" s="17" t="n">
        <v>0</v>
      </c>
      <c r="I1427" s="17" t="n">
        <v>0</v>
      </c>
      <c r="J1427" s="17" t="n">
        <v>0</v>
      </c>
      <c r="K1427" s="17" t="n">
        <v>2</v>
      </c>
      <c r="L1427" s="17" t="n">
        <v>3</v>
      </c>
      <c r="M1427" s="17" t="n">
        <v>0</v>
      </c>
      <c r="N1427" s="17" t="n">
        <v>0</v>
      </c>
      <c r="O1427" s="17" t="n">
        <v>0</v>
      </c>
      <c r="P1427" s="17" t="n">
        <v>0</v>
      </c>
      <c r="Q1427" s="17" t="n">
        <v>2</v>
      </c>
      <c r="R1427" s="17" t="n">
        <v>0</v>
      </c>
      <c r="T1427" s="17">
        <f>DAY(C1427)</f>
        <v/>
      </c>
      <c r="U1427" s="17">
        <f>MONTH(C1427)</f>
        <v/>
      </c>
    </row>
    <row r="1428" ht="22.5" customHeight="1" s="117">
      <c r="A1428" s="14" t="n">
        <v>46042.32242175926</v>
      </c>
      <c r="B1428" s="17" t="inlineStr">
        <is>
          <t>Lê Hồng Phong</t>
        </is>
      </c>
      <c r="C1428" s="16" t="n">
        <v>46042</v>
      </c>
      <c r="D1428" s="17" t="n">
        <v>1</v>
      </c>
      <c r="E1428" s="17" t="n">
        <v>1</v>
      </c>
      <c r="F1428" s="17" t="n">
        <v>1</v>
      </c>
      <c r="G1428" s="17" t="n">
        <v>1</v>
      </c>
      <c r="H1428" s="17" t="n">
        <v>1</v>
      </c>
      <c r="I1428" s="17" t="n">
        <v>1</v>
      </c>
      <c r="J1428" s="17" t="n">
        <v>1</v>
      </c>
      <c r="K1428" s="17" t="n">
        <v>1</v>
      </c>
      <c r="L1428" s="17" t="n">
        <v>1</v>
      </c>
      <c r="M1428" s="17" t="n">
        <v>1</v>
      </c>
      <c r="N1428" s="17" t="n">
        <v>1</v>
      </c>
      <c r="O1428" s="17" t="n">
        <v>1</v>
      </c>
      <c r="P1428" s="17" t="n">
        <v>1</v>
      </c>
      <c r="Q1428" s="17" t="n">
        <v>1</v>
      </c>
      <c r="R1428" s="17" t="n">
        <v>1</v>
      </c>
      <c r="T1428" s="17">
        <f>DAY(C1428)</f>
        <v/>
      </c>
      <c r="U1428" s="17">
        <f>MONTH(C1428)</f>
        <v/>
      </c>
    </row>
    <row r="1429" ht="22.5" customHeight="1" s="117">
      <c r="A1429" s="14" t="n">
        <v>46042.32792958333</v>
      </c>
      <c r="B1429" s="17" t="inlineStr">
        <is>
          <t>Đặng Hoài Anh</t>
        </is>
      </c>
      <c r="C1429" s="16" t="n">
        <v>46041</v>
      </c>
      <c r="D1429" s="17" t="n">
        <v>0</v>
      </c>
      <c r="E1429" s="17" t="n">
        <v>1</v>
      </c>
      <c r="F1429" s="17" t="n">
        <v>0</v>
      </c>
      <c r="G1429" s="17" t="n">
        <v>0</v>
      </c>
      <c r="H1429" s="17" t="n">
        <v>0</v>
      </c>
      <c r="I1429" s="17" t="n">
        <v>0</v>
      </c>
      <c r="J1429" s="17" t="n">
        <v>0</v>
      </c>
      <c r="K1429" s="17" t="n">
        <v>0</v>
      </c>
      <c r="L1429" s="17" t="n">
        <v>0</v>
      </c>
      <c r="M1429" s="17" t="n">
        <v>2</v>
      </c>
      <c r="N1429" s="17" t="n">
        <v>0</v>
      </c>
      <c r="O1429" s="17" t="n">
        <v>0</v>
      </c>
      <c r="P1429" s="17" t="n">
        <v>0</v>
      </c>
      <c r="Q1429" s="17" t="n">
        <v>0</v>
      </c>
      <c r="R1429" s="17" t="n">
        <v>0</v>
      </c>
      <c r="T1429" s="17">
        <f>DAY(C1429)</f>
        <v/>
      </c>
      <c r="U1429" s="17">
        <f>MONTH(C1429)</f>
        <v/>
      </c>
    </row>
    <row r="1430" ht="22.5" customHeight="1" s="117">
      <c r="A1430" s="14" t="n">
        <v>46042.32856918981</v>
      </c>
      <c r="B1430" s="17" t="inlineStr">
        <is>
          <t>Nguyễn Hồng Minh</t>
        </is>
      </c>
      <c r="C1430" s="16" t="n">
        <v>46041</v>
      </c>
      <c r="D1430" s="17" t="n">
        <v>1</v>
      </c>
      <c r="E1430" s="17" t="n">
        <v>0</v>
      </c>
      <c r="F1430" s="17" t="n">
        <v>0</v>
      </c>
      <c r="G1430" s="17" t="n">
        <v>0</v>
      </c>
      <c r="H1430" s="17" t="n">
        <v>0</v>
      </c>
      <c r="I1430" s="17" t="n">
        <v>0</v>
      </c>
      <c r="J1430" s="17" t="n">
        <v>0</v>
      </c>
      <c r="K1430" s="17" t="n">
        <v>18</v>
      </c>
      <c r="L1430" s="17" t="n">
        <v>0</v>
      </c>
      <c r="M1430" s="17" t="n">
        <v>0</v>
      </c>
      <c r="N1430" s="17" t="n">
        <v>1</v>
      </c>
      <c r="O1430" s="17" t="n">
        <v>0</v>
      </c>
      <c r="P1430" s="17" t="n">
        <v>0</v>
      </c>
      <c r="Q1430" s="17" t="n">
        <v>4</v>
      </c>
      <c r="R1430" s="17" t="n">
        <v>0</v>
      </c>
      <c r="T1430" s="17">
        <f>DAY(C1430)</f>
        <v/>
      </c>
      <c r="U1430" s="17">
        <f>MONTH(C1430)</f>
        <v/>
      </c>
    </row>
    <row r="1431" ht="22.5" customHeight="1" s="117">
      <c r="A1431" s="14" t="n">
        <v>46043.29101636574</v>
      </c>
      <c r="B1431" s="17" t="inlineStr">
        <is>
          <t>Lê Hồng Phong</t>
        </is>
      </c>
      <c r="C1431" s="16" t="n">
        <v>46043</v>
      </c>
      <c r="D1431" s="17" t="n">
        <v>1</v>
      </c>
      <c r="E1431" s="17" t="n">
        <v>1</v>
      </c>
      <c r="F1431" s="17" t="n">
        <v>1</v>
      </c>
      <c r="G1431" s="17" t="n">
        <v>1</v>
      </c>
      <c r="H1431" s="17" t="n">
        <v>1</v>
      </c>
      <c r="I1431" s="17" t="n">
        <v>1</v>
      </c>
      <c r="J1431" s="17" t="n">
        <v>1</v>
      </c>
      <c r="K1431" s="17" t="n">
        <v>1</v>
      </c>
      <c r="L1431" s="17" t="n">
        <v>1</v>
      </c>
      <c r="M1431" s="17" t="n">
        <v>1</v>
      </c>
      <c r="N1431" s="17" t="n">
        <v>1</v>
      </c>
      <c r="O1431" s="17" t="n">
        <v>1</v>
      </c>
      <c r="P1431" s="17" t="n">
        <v>1</v>
      </c>
      <c r="Q1431" s="17" t="n">
        <v>1</v>
      </c>
      <c r="R1431" s="17" t="n">
        <v>1</v>
      </c>
      <c r="T1431" s="17">
        <f>DAY(C1431)</f>
        <v/>
      </c>
      <c r="U1431" s="17">
        <f>MONTH(C1431)</f>
        <v/>
      </c>
    </row>
    <row r="1432" ht="22.5" customHeight="1" s="117">
      <c r="A1432" s="14" t="n">
        <v>46043.2989488426</v>
      </c>
      <c r="B1432" s="17" t="inlineStr">
        <is>
          <t>Lương Duy Hoàng</t>
        </is>
      </c>
      <c r="C1432" s="16" t="n">
        <v>46042</v>
      </c>
      <c r="D1432" s="17" t="n">
        <v>0</v>
      </c>
      <c r="E1432" s="17" t="n">
        <v>0</v>
      </c>
      <c r="F1432" s="17" t="n">
        <v>0</v>
      </c>
      <c r="G1432" s="17" t="n">
        <v>0</v>
      </c>
      <c r="H1432" s="17" t="n">
        <v>0</v>
      </c>
      <c r="I1432" s="17" t="n">
        <v>1</v>
      </c>
      <c r="J1432" s="17" t="n">
        <v>0</v>
      </c>
      <c r="K1432" s="17" t="n">
        <v>3</v>
      </c>
      <c r="L1432" s="17" t="n">
        <v>0</v>
      </c>
      <c r="M1432" s="17" t="n">
        <v>0</v>
      </c>
      <c r="N1432" s="17" t="n">
        <v>0</v>
      </c>
      <c r="O1432" s="17" t="n">
        <v>0</v>
      </c>
      <c r="P1432" s="17" t="n">
        <v>0</v>
      </c>
      <c r="Q1432" s="17" t="n">
        <v>2</v>
      </c>
      <c r="R1432" s="17" t="n">
        <v>0</v>
      </c>
      <c r="T1432" s="17">
        <f>DAY(C1432)</f>
        <v/>
      </c>
      <c r="U1432" s="17">
        <f>MONTH(C1432)</f>
        <v/>
      </c>
    </row>
    <row r="1433" ht="22.5" customHeight="1" s="117">
      <c r="A1433" s="14" t="n">
        <v>46043.30400712963</v>
      </c>
      <c r="B1433" s="17" t="inlineStr">
        <is>
          <t>Nguyễn Quang Anh Tuấn</t>
        </is>
      </c>
      <c r="C1433" s="16" t="n">
        <v>46042</v>
      </c>
      <c r="D1433" s="17" t="n">
        <v>0</v>
      </c>
      <c r="E1433" s="17" t="n">
        <v>0</v>
      </c>
      <c r="F1433" s="17" t="n">
        <v>0</v>
      </c>
      <c r="G1433" s="17" t="n">
        <v>1</v>
      </c>
      <c r="H1433" s="17" t="n">
        <v>0</v>
      </c>
      <c r="I1433" s="17" t="n">
        <v>0</v>
      </c>
      <c r="J1433" s="17" t="n">
        <v>0</v>
      </c>
      <c r="K1433" s="17" t="n">
        <v>2</v>
      </c>
      <c r="L1433" s="17" t="n">
        <v>1</v>
      </c>
      <c r="M1433" s="17" t="n">
        <v>0</v>
      </c>
      <c r="N1433" s="17" t="n">
        <v>0</v>
      </c>
      <c r="O1433" s="17" t="n">
        <v>0</v>
      </c>
      <c r="P1433" s="17" t="n">
        <v>0</v>
      </c>
      <c r="Q1433" s="17" t="n">
        <v>0</v>
      </c>
      <c r="R1433" s="17" t="n">
        <v>0</v>
      </c>
      <c r="T1433" s="17">
        <f>DAY(C1433)</f>
        <v/>
      </c>
      <c r="U1433" s="17">
        <f>MONTH(C1433)</f>
        <v/>
      </c>
    </row>
    <row r="1434" ht="22.5" customHeight="1" s="117">
      <c r="A1434" s="14" t="n">
        <v>46043.3055215625</v>
      </c>
      <c r="B1434" s="17" t="inlineStr">
        <is>
          <t>Nguyễn Tuấn Anh</t>
        </is>
      </c>
      <c r="C1434" s="16" t="n">
        <v>46042</v>
      </c>
      <c r="D1434" s="17" t="n">
        <v>0</v>
      </c>
      <c r="E1434" s="17" t="n">
        <v>0</v>
      </c>
      <c r="F1434" s="17" t="n">
        <v>0</v>
      </c>
      <c r="G1434" s="17" t="n">
        <v>0</v>
      </c>
      <c r="H1434" s="17" t="n">
        <v>0</v>
      </c>
      <c r="I1434" s="17" t="n">
        <v>0</v>
      </c>
      <c r="J1434" s="17" t="n">
        <v>0</v>
      </c>
      <c r="K1434" s="17" t="n">
        <v>2</v>
      </c>
      <c r="L1434" s="17" t="n">
        <v>0</v>
      </c>
      <c r="M1434" s="17" t="n">
        <v>0</v>
      </c>
      <c r="N1434" s="17" t="n">
        <v>0</v>
      </c>
      <c r="O1434" s="17" t="n">
        <v>0</v>
      </c>
      <c r="P1434" s="17" t="n">
        <v>0</v>
      </c>
      <c r="Q1434" s="17" t="n">
        <v>2</v>
      </c>
      <c r="R1434" s="17" t="n">
        <v>0</v>
      </c>
      <c r="T1434" s="17">
        <f>DAY(C1434)</f>
        <v/>
      </c>
      <c r="U1434" s="17">
        <f>MONTH(C1434)</f>
        <v/>
      </c>
    </row>
    <row r="1435" ht="22.5" customHeight="1" s="117">
      <c r="A1435" s="14" t="n">
        <v>46043.30727569445</v>
      </c>
      <c r="B1435" s="17" t="inlineStr">
        <is>
          <t>Huỳnh Văn Lực</t>
        </is>
      </c>
      <c r="C1435" s="16" t="n">
        <v>46042</v>
      </c>
      <c r="D1435" s="17" t="n">
        <v>0</v>
      </c>
      <c r="E1435" s="17" t="n">
        <v>0</v>
      </c>
      <c r="F1435" s="17" t="n">
        <v>3</v>
      </c>
      <c r="G1435" s="17" t="n">
        <v>0</v>
      </c>
      <c r="H1435" s="17" t="n">
        <v>0</v>
      </c>
      <c r="I1435" s="17" t="n">
        <v>0</v>
      </c>
      <c r="J1435" s="17" t="n">
        <v>0</v>
      </c>
      <c r="K1435" s="17" t="n">
        <v>9</v>
      </c>
      <c r="L1435" s="17" t="n">
        <v>0</v>
      </c>
      <c r="M1435" s="17" t="n">
        <v>3</v>
      </c>
      <c r="N1435" s="17" t="n">
        <v>0</v>
      </c>
      <c r="O1435" s="17" t="n">
        <v>0</v>
      </c>
      <c r="P1435" s="17" t="n">
        <v>1</v>
      </c>
      <c r="Q1435" s="17" t="n">
        <v>1</v>
      </c>
      <c r="R1435" s="17" t="n">
        <v>0</v>
      </c>
      <c r="T1435" s="17">
        <f>DAY(C1435)</f>
        <v/>
      </c>
      <c r="U1435" s="17">
        <f>MONTH(C1435)</f>
        <v/>
      </c>
    </row>
    <row r="1436" ht="22.5" customHeight="1" s="117">
      <c r="A1436" s="14" t="n">
        <v>46043.30899103009</v>
      </c>
      <c r="B1436" s="17" t="inlineStr">
        <is>
          <t>Nguyễn Văn Hiệp</t>
        </is>
      </c>
      <c r="C1436" s="16" t="n">
        <v>46042</v>
      </c>
      <c r="D1436" s="17" t="n">
        <v>0</v>
      </c>
      <c r="E1436" s="17" t="n">
        <v>1</v>
      </c>
      <c r="F1436" s="17" t="n">
        <v>0</v>
      </c>
      <c r="G1436" s="17" t="n">
        <v>0</v>
      </c>
      <c r="H1436" s="17" t="n">
        <v>0</v>
      </c>
      <c r="I1436" s="17" t="n">
        <v>0</v>
      </c>
      <c r="J1436" s="17" t="n">
        <v>0</v>
      </c>
      <c r="K1436" s="17" t="n">
        <v>0</v>
      </c>
      <c r="L1436" s="17" t="n">
        <v>0</v>
      </c>
      <c r="M1436" s="17" t="n">
        <v>1</v>
      </c>
      <c r="N1436" s="17" t="n">
        <v>0</v>
      </c>
      <c r="O1436" s="17" t="n">
        <v>0</v>
      </c>
      <c r="P1436" s="17" t="n">
        <v>1</v>
      </c>
      <c r="Q1436" s="17" t="n">
        <v>0</v>
      </c>
      <c r="R1436" s="17" t="n">
        <v>0</v>
      </c>
      <c r="T1436" s="17">
        <f>DAY(C1436)</f>
        <v/>
      </c>
      <c r="U1436" s="17">
        <f>MONTH(C1436)</f>
        <v/>
      </c>
    </row>
    <row r="1437" ht="22.5" customHeight="1" s="117">
      <c r="A1437" s="14" t="n">
        <v>46043.30973262731</v>
      </c>
      <c r="B1437" s="17" t="inlineStr">
        <is>
          <t>Trần Trung Giang</t>
        </is>
      </c>
      <c r="C1437" s="16" t="n">
        <v>46042</v>
      </c>
      <c r="D1437" s="17" t="n">
        <v>0</v>
      </c>
      <c r="E1437" s="17" t="n">
        <v>0</v>
      </c>
      <c r="F1437" s="17" t="n">
        <v>0</v>
      </c>
      <c r="G1437" s="17" t="n">
        <v>0</v>
      </c>
      <c r="H1437" s="17" t="n">
        <v>0</v>
      </c>
      <c r="I1437" s="17" t="n">
        <v>0</v>
      </c>
      <c r="J1437" s="17" t="n">
        <v>0</v>
      </c>
      <c r="K1437" s="17" t="n">
        <v>0</v>
      </c>
      <c r="L1437" s="17" t="n">
        <v>0</v>
      </c>
      <c r="M1437" s="17" t="n">
        <v>0</v>
      </c>
      <c r="N1437" s="17" t="n">
        <v>1</v>
      </c>
      <c r="O1437" s="17" t="n">
        <v>0</v>
      </c>
      <c r="P1437" s="17" t="n">
        <v>0</v>
      </c>
      <c r="Q1437" s="17" t="n">
        <v>0</v>
      </c>
      <c r="R1437" s="17" t="n">
        <v>0</v>
      </c>
      <c r="T1437" s="17">
        <f>DAY(C1437)</f>
        <v/>
      </c>
      <c r="U1437" s="17">
        <f>MONTH(C1437)</f>
        <v/>
      </c>
    </row>
    <row r="1438" ht="22.5" customHeight="1" s="117">
      <c r="A1438" s="14" t="n">
        <v>46043.31742516204</v>
      </c>
      <c r="B1438" s="17" t="inlineStr">
        <is>
          <t>Trần Xuân Khoa</t>
        </is>
      </c>
      <c r="C1438" s="16" t="n">
        <v>46042</v>
      </c>
      <c r="D1438" s="17" t="n">
        <v>0</v>
      </c>
      <c r="E1438" s="17" t="n">
        <v>0</v>
      </c>
      <c r="F1438" s="17" t="n">
        <v>0</v>
      </c>
      <c r="G1438" s="17" t="n">
        <v>0</v>
      </c>
      <c r="H1438" s="17" t="n">
        <v>0</v>
      </c>
      <c r="I1438" s="17" t="n">
        <v>0</v>
      </c>
      <c r="J1438" s="17" t="n">
        <v>0</v>
      </c>
      <c r="K1438" s="17" t="n">
        <v>10</v>
      </c>
      <c r="L1438" s="17" t="n">
        <v>0</v>
      </c>
      <c r="M1438" s="17" t="n">
        <v>0</v>
      </c>
      <c r="N1438" s="17" t="n">
        <v>0</v>
      </c>
      <c r="O1438" s="17" t="n">
        <v>0</v>
      </c>
      <c r="P1438" s="17" t="n">
        <v>1</v>
      </c>
      <c r="Q1438" s="17" t="n">
        <v>3</v>
      </c>
      <c r="R1438" s="17" t="n">
        <v>0</v>
      </c>
      <c r="T1438" s="17">
        <f>DAY(C1438)</f>
        <v/>
      </c>
      <c r="U1438" s="17">
        <f>MONTH(C1438)</f>
        <v/>
      </c>
    </row>
    <row r="1439" ht="22.5" customHeight="1" s="117">
      <c r="A1439" s="14" t="n">
        <v>46043.32728458333</v>
      </c>
      <c r="B1439" s="17" t="inlineStr">
        <is>
          <t>Đặng Hoài Anh</t>
        </is>
      </c>
      <c r="C1439" s="16" t="n">
        <v>46042</v>
      </c>
      <c r="D1439" s="17" t="n">
        <v>0</v>
      </c>
      <c r="E1439" s="17" t="n">
        <v>0</v>
      </c>
      <c r="F1439" s="17" t="n">
        <v>0</v>
      </c>
      <c r="G1439" s="17" t="n">
        <v>0</v>
      </c>
      <c r="H1439" s="17" t="n">
        <v>0</v>
      </c>
      <c r="I1439" s="17" t="n">
        <v>0</v>
      </c>
      <c r="J1439" s="17" t="n">
        <v>0</v>
      </c>
      <c r="K1439" s="17" t="n">
        <v>0</v>
      </c>
      <c r="L1439" s="17" t="n">
        <v>0</v>
      </c>
      <c r="M1439" s="17" t="n">
        <v>0</v>
      </c>
      <c r="N1439" s="17" t="n">
        <v>0</v>
      </c>
      <c r="O1439" s="17" t="n">
        <v>0</v>
      </c>
      <c r="P1439" s="17" t="n">
        <v>0</v>
      </c>
      <c r="Q1439" s="17" t="n">
        <v>0</v>
      </c>
      <c r="R1439" s="17" t="n">
        <v>0</v>
      </c>
      <c r="T1439" s="17">
        <f>DAY(C1439)</f>
        <v/>
      </c>
      <c r="U1439" s="17">
        <f>MONTH(C1439)</f>
        <v/>
      </c>
    </row>
    <row r="1440" ht="22.5" customHeight="1" s="117">
      <c r="A1440" s="14" t="n">
        <v>46043.40981291667</v>
      </c>
      <c r="B1440" s="17" t="inlineStr">
        <is>
          <t>Nguyễn Hồng Minh</t>
        </is>
      </c>
      <c r="C1440" s="16" t="n">
        <v>46042</v>
      </c>
      <c r="D1440" s="17" t="n">
        <v>2</v>
      </c>
      <c r="E1440" s="17" t="n">
        <v>0</v>
      </c>
      <c r="F1440" s="17" t="n">
        <v>1</v>
      </c>
      <c r="G1440" s="17" t="n">
        <v>0</v>
      </c>
      <c r="H1440" s="17" t="n">
        <v>0</v>
      </c>
      <c r="I1440" s="17" t="n">
        <v>1</v>
      </c>
      <c r="J1440" s="17" t="n">
        <v>0</v>
      </c>
      <c r="K1440" s="17" t="n">
        <v>13</v>
      </c>
      <c r="L1440" s="17" t="n">
        <v>0</v>
      </c>
      <c r="M1440" s="17" t="n">
        <v>2</v>
      </c>
      <c r="N1440" s="17" t="n">
        <v>1</v>
      </c>
      <c r="O1440" s="17" t="n">
        <v>0</v>
      </c>
      <c r="P1440" s="17" t="n">
        <v>0</v>
      </c>
      <c r="Q1440" s="17" t="n">
        <v>3</v>
      </c>
      <c r="R1440" s="17" t="n">
        <v>0</v>
      </c>
      <c r="T1440" s="17">
        <f>DAY(C1440)</f>
        <v/>
      </c>
      <c r="U1440" s="17">
        <f>MONTH(C1440)</f>
        <v/>
      </c>
    </row>
    <row r="1441" ht="22.5" customHeight="1" s="117">
      <c r="A1441" s="14" t="n">
        <v>46043.43070614583</v>
      </c>
      <c r="B1441" s="17" t="inlineStr">
        <is>
          <t>Vòng Nhật Sang</t>
        </is>
      </c>
      <c r="C1441" s="16" t="n">
        <v>46042</v>
      </c>
      <c r="D1441" s="17" t="n">
        <v>0</v>
      </c>
      <c r="E1441" s="17" t="n">
        <v>0</v>
      </c>
      <c r="F1441" s="17" t="n">
        <v>0</v>
      </c>
      <c r="G1441" s="17" t="n">
        <v>0</v>
      </c>
      <c r="H1441" s="17" t="n">
        <v>0</v>
      </c>
      <c r="I1441" s="17" t="n">
        <v>0</v>
      </c>
      <c r="J1441" s="17" t="n">
        <v>0</v>
      </c>
      <c r="K1441" s="17" t="n">
        <v>2</v>
      </c>
      <c r="L1441" s="17" t="n">
        <v>0</v>
      </c>
      <c r="M1441" s="17" t="n">
        <v>2</v>
      </c>
      <c r="N1441" s="17" t="n">
        <v>0</v>
      </c>
      <c r="O1441" s="17" t="n">
        <v>0</v>
      </c>
      <c r="P1441" s="17" t="n">
        <v>2</v>
      </c>
      <c r="Q1441" s="17" t="n">
        <v>2</v>
      </c>
      <c r="R1441" s="17" t="n">
        <v>0</v>
      </c>
      <c r="T1441" s="17">
        <f>DAY(C1441)</f>
        <v/>
      </c>
      <c r="U1441" s="17">
        <f>MONTH(C1441)</f>
        <v/>
      </c>
    </row>
    <row r="1442" ht="22.5" customHeight="1" s="117">
      <c r="A1442" s="14" t="n">
        <v>46044.28012430556</v>
      </c>
      <c r="B1442" s="17" t="inlineStr">
        <is>
          <t>Đặng Hoài Anh</t>
        </is>
      </c>
      <c r="C1442" s="16" t="n">
        <v>46043</v>
      </c>
      <c r="D1442" s="17" t="n">
        <v>0</v>
      </c>
      <c r="E1442" s="17" t="n">
        <v>0</v>
      </c>
      <c r="F1442" s="17" t="n">
        <v>0</v>
      </c>
      <c r="G1442" s="17" t="n">
        <v>0</v>
      </c>
      <c r="H1442" s="17" t="n">
        <v>0</v>
      </c>
      <c r="I1442" s="17" t="n">
        <v>0</v>
      </c>
      <c r="J1442" s="17" t="n">
        <v>0</v>
      </c>
      <c r="K1442" s="17" t="n">
        <v>0</v>
      </c>
      <c r="L1442" s="17" t="n">
        <v>0</v>
      </c>
      <c r="M1442" s="17" t="n">
        <v>0</v>
      </c>
      <c r="N1442" s="17" t="n">
        <v>1</v>
      </c>
      <c r="O1442" s="17" t="n">
        <v>0</v>
      </c>
      <c r="P1442" s="17" t="n">
        <v>0</v>
      </c>
      <c r="Q1442" s="17" t="n">
        <v>0</v>
      </c>
      <c r="R1442" s="17" t="n">
        <v>0</v>
      </c>
      <c r="T1442" s="17">
        <f>DAY(C1442)</f>
        <v/>
      </c>
      <c r="U1442" s="17">
        <f>MONTH(C1442)</f>
        <v/>
      </c>
    </row>
    <row r="1443" ht="22.5" customHeight="1" s="117">
      <c r="A1443" s="14" t="n">
        <v>46044.28890641204</v>
      </c>
      <c r="B1443" s="17" t="inlineStr">
        <is>
          <t>Trần Trung Giang</t>
        </is>
      </c>
      <c r="C1443" s="16" t="n">
        <v>46043</v>
      </c>
      <c r="D1443" s="17" t="n">
        <v>0</v>
      </c>
      <c r="E1443" s="17" t="n">
        <v>0</v>
      </c>
      <c r="F1443" s="17" t="n">
        <v>0</v>
      </c>
      <c r="G1443" s="17" t="n">
        <v>0</v>
      </c>
      <c r="H1443" s="17" t="n">
        <v>0</v>
      </c>
      <c r="I1443" s="17" t="n">
        <v>0</v>
      </c>
      <c r="J1443" s="17" t="n">
        <v>0</v>
      </c>
      <c r="K1443" s="17" t="n">
        <v>2</v>
      </c>
      <c r="L1443" s="17" t="n">
        <v>0</v>
      </c>
      <c r="M1443" s="17" t="n">
        <v>0</v>
      </c>
      <c r="N1443" s="17" t="n">
        <v>0</v>
      </c>
      <c r="O1443" s="17" t="n">
        <v>1</v>
      </c>
      <c r="P1443" s="17" t="n">
        <v>0</v>
      </c>
      <c r="Q1443" s="17" t="n">
        <v>1</v>
      </c>
      <c r="R1443" s="17" t="n">
        <v>0</v>
      </c>
      <c r="T1443" s="17">
        <f>DAY(C1443)</f>
        <v/>
      </c>
      <c r="U1443" s="17">
        <f>MONTH(C1443)</f>
        <v/>
      </c>
    </row>
    <row r="1444" ht="22.5" customHeight="1" s="117">
      <c r="A1444" s="14" t="n">
        <v>46044.289994375</v>
      </c>
      <c r="B1444" s="17" t="inlineStr">
        <is>
          <t>Nguyễn Văn Hiệp</t>
        </is>
      </c>
      <c r="C1444" s="16" t="n">
        <v>46043</v>
      </c>
      <c r="D1444" s="17" t="n">
        <v>0</v>
      </c>
      <c r="E1444" s="17" t="n">
        <v>0</v>
      </c>
      <c r="F1444" s="17" t="n">
        <v>0</v>
      </c>
      <c r="G1444" s="17" t="n">
        <v>0</v>
      </c>
      <c r="H1444" s="17" t="n">
        <v>0</v>
      </c>
      <c r="I1444" s="17" t="n">
        <v>2</v>
      </c>
      <c r="J1444" s="17" t="n">
        <v>0</v>
      </c>
      <c r="K1444" s="17" t="n">
        <v>0</v>
      </c>
      <c r="L1444" s="17" t="n">
        <v>0</v>
      </c>
      <c r="M1444" s="17" t="n">
        <v>0</v>
      </c>
      <c r="N1444" s="17" t="n">
        <v>0</v>
      </c>
      <c r="O1444" s="17" t="n">
        <v>0</v>
      </c>
      <c r="P1444" s="17" t="n">
        <v>0</v>
      </c>
      <c r="Q1444" s="17" t="n">
        <v>0</v>
      </c>
      <c r="R1444" s="17" t="n">
        <v>0</v>
      </c>
      <c r="T1444" s="17">
        <f>DAY(C1444)</f>
        <v/>
      </c>
      <c r="U1444" s="17">
        <f>MONTH(C1444)</f>
        <v/>
      </c>
    </row>
    <row r="1445" ht="22.5" customHeight="1" s="117">
      <c r="A1445" s="14" t="n">
        <v>46044.2934655787</v>
      </c>
      <c r="B1445" s="17" t="inlineStr">
        <is>
          <t>Huỳnh Văn Lực</t>
        </is>
      </c>
      <c r="C1445" s="16" t="n">
        <v>46043</v>
      </c>
      <c r="D1445" s="17" t="n">
        <v>0</v>
      </c>
      <c r="E1445" s="17" t="n">
        <v>0</v>
      </c>
      <c r="F1445" s="17" t="n">
        <v>0</v>
      </c>
      <c r="G1445" s="17" t="n">
        <v>1</v>
      </c>
      <c r="H1445" s="17" t="n">
        <v>0</v>
      </c>
      <c r="I1445" s="17" t="n">
        <v>0</v>
      </c>
      <c r="J1445" s="17" t="n">
        <v>0</v>
      </c>
      <c r="K1445" s="17" t="n">
        <v>4</v>
      </c>
      <c r="L1445" s="17" t="n">
        <v>0</v>
      </c>
      <c r="M1445" s="17" t="n">
        <v>0</v>
      </c>
      <c r="N1445" s="17" t="n">
        <v>3</v>
      </c>
      <c r="O1445" s="17" t="n">
        <v>0</v>
      </c>
      <c r="P1445" s="17" t="n">
        <v>1</v>
      </c>
      <c r="Q1445" s="17" t="n">
        <v>1</v>
      </c>
      <c r="R1445" s="17" t="n">
        <v>0</v>
      </c>
      <c r="T1445" s="17">
        <f>DAY(C1445)</f>
        <v/>
      </c>
      <c r="U1445" s="17">
        <f>MONTH(C1445)</f>
        <v/>
      </c>
    </row>
    <row r="1446" ht="22.5" customHeight="1" s="117">
      <c r="A1446" s="14" t="n">
        <v>46044.29350828704</v>
      </c>
      <c r="B1446" s="17" t="inlineStr">
        <is>
          <t>Nguyễn Quang Anh Tuấn</t>
        </is>
      </c>
      <c r="C1446" s="16" t="n">
        <v>46043</v>
      </c>
      <c r="D1446" s="17" t="n">
        <v>1</v>
      </c>
      <c r="E1446" s="17" t="n">
        <v>0</v>
      </c>
      <c r="F1446" s="17" t="n">
        <v>0</v>
      </c>
      <c r="G1446" s="17" t="n">
        <v>0</v>
      </c>
      <c r="H1446" s="17" t="n">
        <v>0</v>
      </c>
      <c r="I1446" s="17" t="n">
        <v>0</v>
      </c>
      <c r="J1446" s="17" t="n">
        <v>0</v>
      </c>
      <c r="K1446" s="17" t="n">
        <v>5</v>
      </c>
      <c r="L1446" s="17" t="n">
        <v>0</v>
      </c>
      <c r="M1446" s="17" t="n">
        <v>1</v>
      </c>
      <c r="N1446" s="17" t="n">
        <v>0</v>
      </c>
      <c r="O1446" s="17" t="n">
        <v>0</v>
      </c>
      <c r="P1446" s="17" t="n">
        <v>0</v>
      </c>
      <c r="Q1446" s="17" t="n">
        <v>2</v>
      </c>
      <c r="R1446" s="17" t="n">
        <v>0</v>
      </c>
      <c r="T1446" s="17">
        <f>DAY(C1446)</f>
        <v/>
      </c>
      <c r="U1446" s="17">
        <f>MONTH(C1446)</f>
        <v/>
      </c>
    </row>
    <row r="1447" ht="22.5" customHeight="1" s="117">
      <c r="A1447" s="14" t="n">
        <v>46044.30761938657</v>
      </c>
      <c r="B1447" s="17" t="inlineStr">
        <is>
          <t>Nguyễn Tuấn Anh</t>
        </is>
      </c>
      <c r="C1447" s="16" t="n">
        <v>46043</v>
      </c>
      <c r="D1447" s="17" t="n">
        <v>0</v>
      </c>
      <c r="E1447" s="17" t="n">
        <v>0</v>
      </c>
      <c r="F1447" s="17" t="n">
        <v>0</v>
      </c>
      <c r="G1447" s="17" t="n">
        <v>0</v>
      </c>
      <c r="H1447" s="17" t="n">
        <v>0</v>
      </c>
      <c r="I1447" s="17" t="n">
        <v>2</v>
      </c>
      <c r="J1447" s="17" t="n">
        <v>0</v>
      </c>
      <c r="K1447" s="17" t="n">
        <v>5</v>
      </c>
      <c r="L1447" s="17" t="n">
        <v>0</v>
      </c>
      <c r="M1447" s="17" t="n">
        <v>0</v>
      </c>
      <c r="N1447" s="17" t="n">
        <v>0</v>
      </c>
      <c r="O1447" s="17" t="n">
        <v>0</v>
      </c>
      <c r="P1447" s="17" t="n">
        <v>0</v>
      </c>
      <c r="Q1447" s="17" t="n">
        <v>2</v>
      </c>
      <c r="R1447" s="17" t="n">
        <v>0</v>
      </c>
      <c r="T1447" s="17">
        <f>DAY(C1447)</f>
        <v/>
      </c>
      <c r="U1447" s="17">
        <f>MONTH(C1447)</f>
        <v/>
      </c>
    </row>
    <row r="1448" ht="22.5" customHeight="1" s="117">
      <c r="A1448" s="14" t="n">
        <v>46044.31369925926</v>
      </c>
      <c r="B1448" s="17" t="inlineStr">
        <is>
          <t>Lê Hồng Phong</t>
        </is>
      </c>
      <c r="C1448" s="16" t="n">
        <v>46044</v>
      </c>
      <c r="D1448" s="17" t="n">
        <v>1</v>
      </c>
      <c r="E1448" s="17" t="n">
        <v>1</v>
      </c>
      <c r="F1448" s="17" t="n">
        <v>1</v>
      </c>
      <c r="G1448" s="17" t="n">
        <v>1</v>
      </c>
      <c r="H1448" s="17" t="n">
        <v>1</v>
      </c>
      <c r="I1448" s="17" t="n">
        <v>1</v>
      </c>
      <c r="J1448" s="17" t="n">
        <v>1</v>
      </c>
      <c r="K1448" s="17" t="n">
        <v>1</v>
      </c>
      <c r="L1448" s="17" t="n">
        <v>1</v>
      </c>
      <c r="M1448" s="17" t="n">
        <v>1</v>
      </c>
      <c r="N1448" s="17" t="n">
        <v>1</v>
      </c>
      <c r="O1448" s="17" t="n">
        <v>1</v>
      </c>
      <c r="P1448" s="17" t="n">
        <v>1</v>
      </c>
      <c r="Q1448" s="17" t="n">
        <v>1</v>
      </c>
      <c r="R1448" s="17" t="n">
        <v>1</v>
      </c>
      <c r="T1448" s="17">
        <f>DAY(C1448)</f>
        <v/>
      </c>
      <c r="U1448" s="17">
        <f>MONTH(C1448)</f>
        <v/>
      </c>
    </row>
    <row r="1449" ht="22.5" customHeight="1" s="117">
      <c r="A1449" s="14" t="n">
        <v>46044.32676025463</v>
      </c>
      <c r="B1449" s="17" t="inlineStr">
        <is>
          <t>Vòng Nhật Sang</t>
        </is>
      </c>
      <c r="C1449" s="16" t="n">
        <v>46043</v>
      </c>
      <c r="D1449" s="17" t="n">
        <v>1</v>
      </c>
      <c r="E1449" s="17" t="n">
        <v>0</v>
      </c>
      <c r="F1449" s="17" t="n">
        <v>0</v>
      </c>
      <c r="G1449" s="17" t="n">
        <v>0</v>
      </c>
      <c r="H1449" s="17" t="n">
        <v>0</v>
      </c>
      <c r="I1449" s="17" t="n">
        <v>0</v>
      </c>
      <c r="J1449" s="17" t="n">
        <v>0</v>
      </c>
      <c r="K1449" s="17" t="n">
        <v>3</v>
      </c>
      <c r="L1449" s="17" t="n">
        <v>0</v>
      </c>
      <c r="M1449" s="17" t="n">
        <v>1</v>
      </c>
      <c r="N1449" s="17" t="n">
        <v>0</v>
      </c>
      <c r="O1449" s="17" t="n">
        <v>0</v>
      </c>
      <c r="P1449" s="17" t="n">
        <v>2</v>
      </c>
      <c r="Q1449" s="17" t="n">
        <v>0</v>
      </c>
      <c r="R1449" s="17" t="n">
        <v>0</v>
      </c>
      <c r="T1449" s="17">
        <f>DAY(C1449)</f>
        <v/>
      </c>
      <c r="U1449" s="17">
        <f>MONTH(C1449)</f>
        <v/>
      </c>
    </row>
    <row r="1450" ht="22.5" customHeight="1" s="117">
      <c r="A1450" s="14" t="n">
        <v>46044.32807900463</v>
      </c>
      <c r="B1450" s="17" t="inlineStr">
        <is>
          <t>Lương Duy Hoàng</t>
        </is>
      </c>
      <c r="C1450" s="16" t="n">
        <v>46043</v>
      </c>
      <c r="D1450" s="17" t="n">
        <v>0</v>
      </c>
      <c r="E1450" s="17" t="n">
        <v>1</v>
      </c>
      <c r="F1450" s="17" t="n">
        <v>0</v>
      </c>
      <c r="G1450" s="17" t="n">
        <v>0</v>
      </c>
      <c r="H1450" s="17" t="n">
        <v>0</v>
      </c>
      <c r="I1450" s="17" t="n">
        <v>1</v>
      </c>
      <c r="J1450" s="17" t="n">
        <v>0</v>
      </c>
      <c r="K1450" s="17" t="n">
        <v>3</v>
      </c>
      <c r="L1450" s="17" t="n">
        <v>0</v>
      </c>
      <c r="M1450" s="17" t="n">
        <v>1</v>
      </c>
      <c r="N1450" s="17" t="n">
        <v>0</v>
      </c>
      <c r="O1450" s="17" t="n">
        <v>0</v>
      </c>
      <c r="P1450" s="17" t="n">
        <v>0</v>
      </c>
      <c r="Q1450" s="17" t="n">
        <v>1</v>
      </c>
      <c r="R1450" s="17" t="n">
        <v>0</v>
      </c>
      <c r="T1450" s="17">
        <f>DAY(C1450)</f>
        <v/>
      </c>
      <c r="U1450" s="17">
        <f>MONTH(C1450)</f>
        <v/>
      </c>
    </row>
    <row r="1451" ht="22.5" customHeight="1" s="117">
      <c r="A1451" s="14" t="n">
        <v>46044.36583101852</v>
      </c>
      <c r="B1451" s="17" t="inlineStr">
        <is>
          <t>Nguyễn Hồng Minh</t>
        </is>
      </c>
      <c r="C1451" s="16" t="n">
        <v>46043</v>
      </c>
      <c r="D1451" s="17" t="n">
        <v>1</v>
      </c>
      <c r="E1451" s="17" t="n">
        <v>1</v>
      </c>
      <c r="F1451" s="17" t="n">
        <v>0</v>
      </c>
      <c r="G1451" s="17" t="n">
        <v>0</v>
      </c>
      <c r="H1451" s="17" t="n">
        <v>0</v>
      </c>
      <c r="I1451" s="17" t="n">
        <v>0</v>
      </c>
      <c r="J1451" s="17" t="n">
        <v>0</v>
      </c>
      <c r="K1451" s="17" t="n">
        <v>14</v>
      </c>
      <c r="L1451" s="17" t="n">
        <v>0</v>
      </c>
      <c r="M1451" s="17" t="n">
        <v>0</v>
      </c>
      <c r="N1451" s="17" t="n">
        <v>0</v>
      </c>
      <c r="O1451" s="17" t="n">
        <v>0</v>
      </c>
      <c r="P1451" s="17" t="n">
        <v>2</v>
      </c>
      <c r="Q1451" s="17" t="n">
        <v>5</v>
      </c>
      <c r="R1451" s="17" t="n">
        <v>0</v>
      </c>
      <c r="T1451" s="17">
        <f>DAY(C1451)</f>
        <v/>
      </c>
      <c r="U1451" s="17">
        <f>MONTH(C1451)</f>
        <v/>
      </c>
    </row>
    <row r="1452" ht="22.5" customHeight="1" s="117">
      <c r="A1452" s="14" t="n">
        <v>46045.27849876157</v>
      </c>
      <c r="B1452" s="17" t="inlineStr">
        <is>
          <t>Trần Xuân Khoa</t>
        </is>
      </c>
      <c r="C1452" s="16" t="n">
        <v>46044</v>
      </c>
      <c r="D1452" s="17" t="n">
        <v>0</v>
      </c>
      <c r="E1452" s="17" t="n">
        <v>0</v>
      </c>
      <c r="F1452" s="17" t="n">
        <v>0</v>
      </c>
      <c r="G1452" s="17" t="n">
        <v>0</v>
      </c>
      <c r="H1452" s="17" t="n">
        <v>0</v>
      </c>
      <c r="I1452" s="17" t="n">
        <v>0</v>
      </c>
      <c r="J1452" s="17" t="n">
        <v>0</v>
      </c>
      <c r="K1452" s="17" t="n">
        <v>15</v>
      </c>
      <c r="L1452" s="17" t="n">
        <v>5</v>
      </c>
      <c r="M1452" s="17" t="n">
        <v>0</v>
      </c>
      <c r="N1452" s="17" t="n">
        <v>0</v>
      </c>
      <c r="O1452" s="17" t="n">
        <v>0</v>
      </c>
      <c r="P1452" s="17" t="n">
        <v>0</v>
      </c>
      <c r="Q1452" s="17" t="n">
        <v>2</v>
      </c>
      <c r="R1452" s="17" t="n">
        <v>0</v>
      </c>
      <c r="T1452" s="17">
        <f>DAY(C1452)</f>
        <v/>
      </c>
      <c r="U1452" s="17">
        <f>MONTH(C1452)</f>
        <v/>
      </c>
    </row>
    <row r="1453" ht="22.5" customHeight="1" s="117">
      <c r="A1453" s="14" t="n">
        <v>46045.28378372685</v>
      </c>
      <c r="B1453" s="17" t="inlineStr">
        <is>
          <t>Lương Duy Hoàng</t>
        </is>
      </c>
      <c r="C1453" s="16" t="n">
        <v>46044</v>
      </c>
      <c r="D1453" s="17" t="n">
        <v>0</v>
      </c>
      <c r="E1453" s="17" t="n">
        <v>0</v>
      </c>
      <c r="F1453" s="17" t="n">
        <v>0</v>
      </c>
      <c r="G1453" s="17" t="n">
        <v>0</v>
      </c>
      <c r="H1453" s="17" t="n">
        <v>0</v>
      </c>
      <c r="I1453" s="17" t="n">
        <v>0</v>
      </c>
      <c r="J1453" s="17" t="n">
        <v>0</v>
      </c>
      <c r="K1453" s="17" t="n">
        <v>4</v>
      </c>
      <c r="L1453" s="17" t="n">
        <v>0</v>
      </c>
      <c r="M1453" s="17" t="n">
        <v>1</v>
      </c>
      <c r="N1453" s="17" t="n">
        <v>0</v>
      </c>
      <c r="O1453" s="17" t="n">
        <v>0</v>
      </c>
      <c r="P1453" s="17" t="n">
        <v>0</v>
      </c>
      <c r="Q1453" s="17" t="n">
        <v>3</v>
      </c>
      <c r="R1453" s="17" t="n">
        <v>0</v>
      </c>
      <c r="T1453" s="17">
        <f>DAY(C1453)</f>
        <v/>
      </c>
      <c r="U1453" s="17">
        <f>MONTH(C1453)</f>
        <v/>
      </c>
    </row>
    <row r="1454" ht="22.5" customHeight="1" s="117">
      <c r="A1454" s="14" t="n">
        <v>46045.28522361111</v>
      </c>
      <c r="B1454" s="17" t="inlineStr">
        <is>
          <t>Huỳnh Văn Lực</t>
        </is>
      </c>
      <c r="C1454" s="16" t="n">
        <v>46044</v>
      </c>
      <c r="D1454" s="17" t="n">
        <v>0</v>
      </c>
      <c r="E1454" s="17" t="n">
        <v>0</v>
      </c>
      <c r="F1454" s="17" t="n">
        <v>0</v>
      </c>
      <c r="G1454" s="17" t="n">
        <v>0</v>
      </c>
      <c r="H1454" s="17" t="n">
        <v>0</v>
      </c>
      <c r="I1454" s="17" t="n">
        <v>0</v>
      </c>
      <c r="J1454" s="17" t="n">
        <v>0</v>
      </c>
      <c r="K1454" s="17" t="n">
        <v>3</v>
      </c>
      <c r="L1454" s="17" t="n">
        <v>0</v>
      </c>
      <c r="M1454" s="17" t="n">
        <v>0</v>
      </c>
      <c r="N1454" s="17" t="n">
        <v>0</v>
      </c>
      <c r="O1454" s="17" t="n">
        <v>0</v>
      </c>
      <c r="P1454" s="17" t="n">
        <v>1</v>
      </c>
      <c r="Q1454" s="17" t="n">
        <v>1</v>
      </c>
      <c r="R1454" s="17" t="n">
        <v>0</v>
      </c>
      <c r="T1454" s="17">
        <f>DAY(C1454)</f>
        <v/>
      </c>
      <c r="U1454" s="17">
        <f>MONTH(C1454)</f>
        <v/>
      </c>
    </row>
    <row r="1455" ht="22.5" customHeight="1" s="117">
      <c r="A1455" s="14" t="n">
        <v>46045.29085462963</v>
      </c>
      <c r="B1455" s="17" t="inlineStr">
        <is>
          <t>Nguyễn Quang Anh Tuấn</t>
        </is>
      </c>
      <c r="C1455" s="16" t="n">
        <v>46044</v>
      </c>
      <c r="D1455" s="17" t="n">
        <v>1</v>
      </c>
      <c r="E1455" s="17" t="n">
        <v>0</v>
      </c>
      <c r="F1455" s="17" t="n">
        <v>0</v>
      </c>
      <c r="G1455" s="17" t="n">
        <v>0</v>
      </c>
      <c r="H1455" s="17" t="n">
        <v>0</v>
      </c>
      <c r="I1455" s="17" t="n">
        <v>0</v>
      </c>
      <c r="J1455" s="17" t="n">
        <v>0</v>
      </c>
      <c r="K1455" s="17" t="n">
        <v>2</v>
      </c>
      <c r="L1455" s="17" t="n">
        <v>0</v>
      </c>
      <c r="M1455" s="17" t="n">
        <v>1</v>
      </c>
      <c r="N1455" s="17" t="n">
        <v>0</v>
      </c>
      <c r="O1455" s="17" t="n">
        <v>0</v>
      </c>
      <c r="P1455" s="17" t="n">
        <v>1</v>
      </c>
      <c r="Q1455" s="17" t="n">
        <v>2</v>
      </c>
      <c r="R1455" s="17" t="n">
        <v>0</v>
      </c>
      <c r="T1455" s="17">
        <f>DAY(C1455)</f>
        <v/>
      </c>
      <c r="U1455" s="17">
        <f>MONTH(C1455)</f>
        <v/>
      </c>
    </row>
    <row r="1456" ht="22.5" customHeight="1" s="117">
      <c r="A1456" s="14" t="n">
        <v>46045.29155025463</v>
      </c>
      <c r="B1456" s="17" t="inlineStr">
        <is>
          <t>Lê Hồng Phong</t>
        </is>
      </c>
      <c r="C1456" s="16" t="n">
        <v>46045</v>
      </c>
      <c r="D1456" s="17" t="n">
        <v>1</v>
      </c>
      <c r="E1456" s="17" t="n">
        <v>1</v>
      </c>
      <c r="F1456" s="17" t="n">
        <v>1</v>
      </c>
      <c r="G1456" s="17" t="n">
        <v>1</v>
      </c>
      <c r="H1456" s="17" t="n">
        <v>1</v>
      </c>
      <c r="I1456" s="17" t="n">
        <v>1</v>
      </c>
      <c r="J1456" s="17" t="n">
        <v>1</v>
      </c>
      <c r="K1456" s="17" t="n">
        <v>1</v>
      </c>
      <c r="L1456" s="17" t="n">
        <v>1</v>
      </c>
      <c r="M1456" s="17" t="n">
        <v>1</v>
      </c>
      <c r="N1456" s="17" t="n">
        <v>1</v>
      </c>
      <c r="O1456" s="17" t="n">
        <v>1</v>
      </c>
      <c r="P1456" s="17" t="n">
        <v>1</v>
      </c>
      <c r="Q1456" s="17" t="n">
        <v>1</v>
      </c>
      <c r="R1456" s="17" t="n">
        <v>1</v>
      </c>
      <c r="T1456" s="17">
        <f>DAY(C1456)</f>
        <v/>
      </c>
      <c r="U1456" s="17">
        <f>MONTH(C1456)</f>
        <v/>
      </c>
    </row>
    <row r="1457" ht="22.5" customHeight="1" s="117">
      <c r="A1457" s="14" t="n">
        <v>46045.30145305555</v>
      </c>
      <c r="B1457" s="17" t="inlineStr">
        <is>
          <t>Đặng Hoài Anh</t>
        </is>
      </c>
      <c r="C1457" s="16" t="n">
        <v>46044</v>
      </c>
      <c r="D1457" s="17" t="n">
        <v>0</v>
      </c>
      <c r="E1457" s="17" t="n">
        <v>0</v>
      </c>
      <c r="F1457" s="17" t="n">
        <v>0</v>
      </c>
      <c r="G1457" s="17" t="n">
        <v>0</v>
      </c>
      <c r="H1457" s="17" t="n">
        <v>0</v>
      </c>
      <c r="I1457" s="17" t="n">
        <v>0</v>
      </c>
      <c r="J1457" s="17" t="n">
        <v>0</v>
      </c>
      <c r="K1457" s="17" t="n">
        <v>2</v>
      </c>
      <c r="L1457" s="17" t="n">
        <v>0</v>
      </c>
      <c r="M1457" s="17" t="n">
        <v>0</v>
      </c>
      <c r="N1457" s="17" t="n">
        <v>0</v>
      </c>
      <c r="O1457" s="17" t="n">
        <v>0</v>
      </c>
      <c r="P1457" s="17" t="n">
        <v>0</v>
      </c>
      <c r="Q1457" s="17" t="n">
        <v>0</v>
      </c>
      <c r="R1457" s="17" t="n">
        <v>0</v>
      </c>
      <c r="T1457" s="17">
        <f>DAY(C1457)</f>
        <v/>
      </c>
      <c r="U1457" s="17">
        <f>MONTH(C1457)</f>
        <v/>
      </c>
    </row>
    <row r="1458" ht="22.5" customHeight="1" s="117">
      <c r="A1458" s="14" t="n">
        <v>46045.30311273148</v>
      </c>
      <c r="B1458" s="17" t="inlineStr">
        <is>
          <t>Nguyễn Tuấn Anh</t>
        </is>
      </c>
      <c r="C1458" s="16" t="n">
        <v>46044</v>
      </c>
      <c r="D1458" s="17" t="n">
        <v>0</v>
      </c>
      <c r="E1458" s="17" t="n">
        <v>0</v>
      </c>
      <c r="F1458" s="17" t="n">
        <v>0</v>
      </c>
      <c r="G1458" s="17" t="n">
        <v>0</v>
      </c>
      <c r="H1458" s="17" t="n">
        <v>0</v>
      </c>
      <c r="I1458" s="17" t="n">
        <v>2</v>
      </c>
      <c r="J1458" s="17" t="n">
        <v>0</v>
      </c>
      <c r="K1458" s="17" t="n">
        <v>4</v>
      </c>
      <c r="L1458" s="17" t="n">
        <v>0</v>
      </c>
      <c r="M1458" s="17" t="n">
        <v>0</v>
      </c>
      <c r="N1458" s="17" t="n">
        <v>0</v>
      </c>
      <c r="O1458" s="17" t="n">
        <v>0</v>
      </c>
      <c r="P1458" s="17" t="n">
        <v>0</v>
      </c>
      <c r="Q1458" s="17" t="n">
        <v>2</v>
      </c>
      <c r="R1458" s="17" t="n">
        <v>0</v>
      </c>
      <c r="T1458" s="17">
        <f>DAY(C1458)</f>
        <v/>
      </c>
      <c r="U1458" s="17">
        <f>MONTH(C1458)</f>
        <v/>
      </c>
    </row>
    <row r="1459" ht="22.5" customHeight="1" s="117">
      <c r="A1459" s="14" t="n">
        <v>46045.30356440973</v>
      </c>
      <c r="B1459" s="17" t="inlineStr">
        <is>
          <t>Nguyễn Văn Hiệp</t>
        </is>
      </c>
      <c r="C1459" s="16" t="n">
        <v>46044</v>
      </c>
      <c r="D1459" s="17" t="n">
        <v>0</v>
      </c>
      <c r="E1459" s="17" t="n">
        <v>0</v>
      </c>
      <c r="F1459" s="17" t="n">
        <v>0</v>
      </c>
      <c r="G1459" s="17" t="n">
        <v>0</v>
      </c>
      <c r="H1459" s="17" t="n">
        <v>0</v>
      </c>
      <c r="I1459" s="17" t="n">
        <v>2</v>
      </c>
      <c r="J1459" s="17" t="n">
        <v>0</v>
      </c>
      <c r="K1459" s="17" t="n">
        <v>2</v>
      </c>
      <c r="L1459" s="17" t="n">
        <v>0</v>
      </c>
      <c r="M1459" s="17" t="n">
        <v>0</v>
      </c>
      <c r="N1459" s="17" t="n">
        <v>0</v>
      </c>
      <c r="O1459" s="17" t="n">
        <v>0</v>
      </c>
      <c r="P1459" s="17" t="n">
        <v>0</v>
      </c>
      <c r="Q1459" s="17" t="n">
        <v>2</v>
      </c>
      <c r="R1459" s="17" t="n">
        <v>0</v>
      </c>
      <c r="T1459" s="17">
        <f>DAY(C1459)</f>
        <v/>
      </c>
      <c r="U1459" s="17">
        <f>MONTH(C1459)</f>
        <v/>
      </c>
    </row>
    <row r="1460" ht="22.5" customHeight="1" s="117">
      <c r="A1460" s="14" t="n">
        <v>46045.30496667824</v>
      </c>
      <c r="B1460" s="17" t="inlineStr">
        <is>
          <t>Trần Trung Giang</t>
        </is>
      </c>
      <c r="C1460" s="16" t="n">
        <v>46044</v>
      </c>
      <c r="D1460" s="17" t="n">
        <v>0</v>
      </c>
      <c r="E1460" s="17" t="n">
        <v>0</v>
      </c>
      <c r="F1460" s="17" t="n">
        <v>0</v>
      </c>
      <c r="G1460" s="17" t="n">
        <v>0</v>
      </c>
      <c r="H1460" s="17" t="n">
        <v>0</v>
      </c>
      <c r="I1460" s="17" t="n">
        <v>0</v>
      </c>
      <c r="J1460" s="17" t="n">
        <v>0</v>
      </c>
      <c r="K1460" s="17" t="n">
        <v>0</v>
      </c>
      <c r="L1460" s="17" t="n">
        <v>0</v>
      </c>
      <c r="M1460" s="17" t="n">
        <v>0</v>
      </c>
      <c r="N1460" s="17" t="n">
        <v>1</v>
      </c>
      <c r="O1460" s="17" t="n">
        <v>0</v>
      </c>
      <c r="P1460" s="17" t="n">
        <v>2</v>
      </c>
      <c r="Q1460" s="17" t="n">
        <v>1</v>
      </c>
      <c r="R1460" s="17" t="n">
        <v>0</v>
      </c>
      <c r="T1460" s="17">
        <f>DAY(C1460)</f>
        <v/>
      </c>
      <c r="U1460" s="17">
        <f>MONTH(C1460)</f>
        <v/>
      </c>
    </row>
    <row r="1461" ht="22.5" customHeight="1" s="117">
      <c r="A1461" s="14" t="n">
        <v>46045.30682265046</v>
      </c>
      <c r="B1461" s="17" t="inlineStr">
        <is>
          <t>Vòng Nhật Sang</t>
        </is>
      </c>
      <c r="C1461" s="16" t="n">
        <v>46044</v>
      </c>
      <c r="D1461" s="17" t="n">
        <v>0</v>
      </c>
      <c r="E1461" s="17" t="n">
        <v>0</v>
      </c>
      <c r="F1461" s="17" t="n">
        <v>0</v>
      </c>
      <c r="G1461" s="17" t="n">
        <v>0</v>
      </c>
      <c r="H1461" s="17" t="n">
        <v>0</v>
      </c>
      <c r="I1461" s="17" t="n">
        <v>0</v>
      </c>
      <c r="J1461" s="17" t="n">
        <v>0</v>
      </c>
      <c r="K1461" s="17" t="n">
        <v>4</v>
      </c>
      <c r="L1461" s="17" t="n">
        <v>0</v>
      </c>
      <c r="M1461" s="17" t="n">
        <v>0</v>
      </c>
      <c r="N1461" s="17" t="n">
        <v>0</v>
      </c>
      <c r="O1461" s="17" t="n">
        <v>0</v>
      </c>
      <c r="P1461" s="17" t="n">
        <v>2</v>
      </c>
      <c r="Q1461" s="17" t="n">
        <v>2</v>
      </c>
      <c r="R1461" s="17" t="n">
        <v>0</v>
      </c>
      <c r="T1461" s="17">
        <f>DAY(C1461)</f>
        <v/>
      </c>
      <c r="U1461" s="17">
        <f>MONTH(C1461)</f>
        <v/>
      </c>
    </row>
    <row r="1462" ht="22.5" customHeight="1" s="117">
      <c r="A1462" s="14" t="n">
        <v>46045.36394709491</v>
      </c>
      <c r="B1462" s="17" t="inlineStr">
        <is>
          <t>Nguyễn Hồng Minh</t>
        </is>
      </c>
      <c r="C1462" s="16" t="n">
        <v>46044</v>
      </c>
      <c r="D1462" s="17" t="n">
        <v>1</v>
      </c>
      <c r="E1462" s="17" t="n">
        <v>1</v>
      </c>
      <c r="F1462" s="17" t="n">
        <v>2</v>
      </c>
      <c r="G1462" s="17" t="n">
        <v>0</v>
      </c>
      <c r="H1462" s="17" t="n">
        <v>0</v>
      </c>
      <c r="I1462" s="17" t="n">
        <v>1</v>
      </c>
      <c r="J1462" s="17" t="n">
        <v>0</v>
      </c>
      <c r="K1462" s="17" t="n">
        <v>5</v>
      </c>
      <c r="L1462" s="17" t="n">
        <v>0</v>
      </c>
      <c r="M1462" s="17" t="n">
        <v>1</v>
      </c>
      <c r="N1462" s="17" t="n">
        <v>1</v>
      </c>
      <c r="O1462" s="17" t="n">
        <v>0</v>
      </c>
      <c r="P1462" s="17" t="n">
        <v>1</v>
      </c>
      <c r="Q1462" s="17" t="n">
        <v>6</v>
      </c>
      <c r="R1462" s="17" t="n">
        <v>0</v>
      </c>
      <c r="T1462" s="17">
        <f>DAY(C1462)</f>
        <v/>
      </c>
      <c r="U1462" s="17">
        <f>MONTH(C1462)</f>
        <v/>
      </c>
    </row>
    <row r="1463" ht="22.5" customHeight="1" s="117">
      <c r="A1463" s="14" t="n">
        <v>46046.29494642361</v>
      </c>
      <c r="B1463" s="17" t="inlineStr">
        <is>
          <t>Trần Xuân Khoa</t>
        </is>
      </c>
      <c r="C1463" s="16" t="n">
        <v>46045</v>
      </c>
      <c r="D1463" s="17" t="n">
        <v>0</v>
      </c>
      <c r="E1463" s="17" t="n">
        <v>0</v>
      </c>
      <c r="F1463" s="17" t="n">
        <v>0</v>
      </c>
      <c r="G1463" s="17" t="n">
        <v>0</v>
      </c>
      <c r="H1463" s="17" t="n">
        <v>0</v>
      </c>
      <c r="I1463" s="17" t="n">
        <v>0</v>
      </c>
      <c r="J1463" s="17" t="n">
        <v>0</v>
      </c>
      <c r="K1463" s="17" t="n">
        <v>10</v>
      </c>
      <c r="L1463" s="17" t="n">
        <v>0</v>
      </c>
      <c r="M1463" s="17" t="n">
        <v>0</v>
      </c>
      <c r="N1463" s="17" t="n">
        <v>0</v>
      </c>
      <c r="O1463" s="17" t="n">
        <v>0</v>
      </c>
      <c r="P1463" s="17" t="n">
        <v>0</v>
      </c>
      <c r="Q1463" s="17" t="n">
        <v>3</v>
      </c>
      <c r="R1463" s="17" t="n">
        <v>0</v>
      </c>
      <c r="T1463" s="17">
        <f>DAY(C1463)</f>
        <v/>
      </c>
      <c r="U1463" s="17">
        <f>MONTH(C1463)</f>
        <v/>
      </c>
    </row>
    <row r="1464" ht="22.5" customHeight="1" s="117">
      <c r="A1464" s="14" t="n">
        <v>46046.2950713426</v>
      </c>
      <c r="B1464" s="17" t="inlineStr">
        <is>
          <t>Trần Minh Khánh</t>
        </is>
      </c>
      <c r="C1464" s="16" t="n">
        <v>46045</v>
      </c>
      <c r="D1464" s="17" t="n">
        <v>1</v>
      </c>
      <c r="E1464" s="17" t="n">
        <v>0</v>
      </c>
      <c r="F1464" s="17" t="n">
        <v>1</v>
      </c>
      <c r="G1464" s="17" t="n">
        <v>0</v>
      </c>
      <c r="H1464" s="17" t="n">
        <v>0</v>
      </c>
      <c r="I1464" s="17" t="n">
        <v>1</v>
      </c>
      <c r="J1464" s="17" t="n">
        <v>0</v>
      </c>
      <c r="K1464" s="17" t="n">
        <v>19</v>
      </c>
      <c r="L1464" s="17" t="n">
        <v>0</v>
      </c>
      <c r="M1464" s="17" t="n">
        <v>0</v>
      </c>
      <c r="N1464" s="17" t="n">
        <v>3</v>
      </c>
      <c r="O1464" s="17" t="n">
        <v>0</v>
      </c>
      <c r="P1464" s="17" t="n">
        <v>0</v>
      </c>
      <c r="Q1464" s="17" t="n">
        <v>2</v>
      </c>
      <c r="R1464" s="17" t="n">
        <v>0</v>
      </c>
      <c r="T1464" s="17">
        <f>DAY(C1464)</f>
        <v/>
      </c>
      <c r="U1464" s="17">
        <f>MONTH(C1464)</f>
        <v/>
      </c>
    </row>
    <row r="1465" ht="22.5" customHeight="1" s="117">
      <c r="A1465" s="14" t="n">
        <v>46046.29702358796</v>
      </c>
      <c r="B1465" s="17" t="inlineStr">
        <is>
          <t>Lương Duy Hoàng</t>
        </is>
      </c>
      <c r="C1465" s="16" t="n">
        <v>46045</v>
      </c>
      <c r="D1465" s="17" t="n">
        <v>0</v>
      </c>
      <c r="E1465" s="17" t="n">
        <v>0</v>
      </c>
      <c r="F1465" s="17" t="n">
        <v>0</v>
      </c>
      <c r="G1465" s="17" t="n">
        <v>0</v>
      </c>
      <c r="H1465" s="17" t="n">
        <v>0</v>
      </c>
      <c r="I1465" s="17" t="n">
        <v>0</v>
      </c>
      <c r="J1465" s="17" t="n">
        <v>0</v>
      </c>
      <c r="K1465" s="17" t="n">
        <v>3</v>
      </c>
      <c r="L1465" s="17" t="n">
        <v>0</v>
      </c>
      <c r="M1465" s="17" t="n">
        <v>1</v>
      </c>
      <c r="N1465" s="17" t="n">
        <v>0</v>
      </c>
      <c r="O1465" s="17" t="n">
        <v>0</v>
      </c>
      <c r="P1465" s="17" t="n">
        <v>1</v>
      </c>
      <c r="Q1465" s="17" t="n">
        <v>2</v>
      </c>
      <c r="R1465" s="17" t="n">
        <v>0</v>
      </c>
      <c r="T1465" s="17">
        <f>DAY(C1465)</f>
        <v/>
      </c>
      <c r="U1465" s="17">
        <f>MONTH(C1465)</f>
        <v/>
      </c>
    </row>
    <row r="1466" ht="22.5" customHeight="1" s="117">
      <c r="A1466" s="14" t="n">
        <v>46046.29833137731</v>
      </c>
      <c r="B1466" s="17" t="inlineStr">
        <is>
          <t>Lê Hồng Phong</t>
        </is>
      </c>
      <c r="C1466" s="16" t="n">
        <v>46046</v>
      </c>
      <c r="D1466" s="17" t="n">
        <v>1</v>
      </c>
      <c r="E1466" s="17" t="n">
        <v>1</v>
      </c>
      <c r="F1466" s="17" t="n">
        <v>1</v>
      </c>
      <c r="G1466" s="17" t="n">
        <v>1</v>
      </c>
      <c r="H1466" s="17" t="n">
        <v>1</v>
      </c>
      <c r="I1466" s="17" t="n">
        <v>1</v>
      </c>
      <c r="J1466" s="17" t="n">
        <v>1</v>
      </c>
      <c r="K1466" s="17" t="n">
        <v>1</v>
      </c>
      <c r="L1466" s="17" t="n">
        <v>1</v>
      </c>
      <c r="M1466" s="17" t="n">
        <v>1</v>
      </c>
      <c r="N1466" s="17" t="n">
        <v>1</v>
      </c>
      <c r="O1466" s="17" t="n">
        <v>1</v>
      </c>
      <c r="P1466" s="17" t="n">
        <v>1</v>
      </c>
      <c r="Q1466" s="17" t="n">
        <v>1</v>
      </c>
      <c r="R1466" s="17" t="n">
        <v>1</v>
      </c>
      <c r="T1466" s="17">
        <f>DAY(C1466)</f>
        <v/>
      </c>
      <c r="U1466" s="17">
        <f>MONTH(C1466)</f>
        <v/>
      </c>
    </row>
    <row r="1467" ht="22.5" customHeight="1" s="117">
      <c r="A1467" s="14" t="n">
        <v>46046.31257136574</v>
      </c>
      <c r="B1467" s="17" t="inlineStr">
        <is>
          <t>Nguyễn Tuấn Anh</t>
        </is>
      </c>
      <c r="C1467" s="16" t="n">
        <v>46045</v>
      </c>
      <c r="D1467" s="17" t="n">
        <v>0</v>
      </c>
      <c r="E1467" s="17" t="n">
        <v>0</v>
      </c>
      <c r="F1467" s="17" t="n">
        <v>0</v>
      </c>
      <c r="G1467" s="17" t="n">
        <v>0</v>
      </c>
      <c r="H1467" s="17" t="n">
        <v>0</v>
      </c>
      <c r="I1467" s="17" t="n">
        <v>2</v>
      </c>
      <c r="J1467" s="17" t="n">
        <v>0</v>
      </c>
      <c r="K1467" s="17" t="n">
        <v>5</v>
      </c>
      <c r="L1467" s="17" t="n">
        <v>0</v>
      </c>
      <c r="M1467" s="17" t="n">
        <v>0</v>
      </c>
      <c r="N1467" s="17" t="n">
        <v>0</v>
      </c>
      <c r="O1467" s="17" t="n">
        <v>0</v>
      </c>
      <c r="P1467" s="17" t="n">
        <v>0</v>
      </c>
      <c r="Q1467" s="17" t="n">
        <v>2</v>
      </c>
      <c r="R1467" s="17" t="n">
        <v>0</v>
      </c>
      <c r="T1467" s="17">
        <f>DAY(C1467)</f>
        <v/>
      </c>
      <c r="U1467" s="17">
        <f>MONTH(C1467)</f>
        <v/>
      </c>
    </row>
    <row r="1468" ht="22.5" customHeight="1" s="117">
      <c r="A1468" s="14" t="n">
        <v>46046.3237966088</v>
      </c>
      <c r="B1468" s="17" t="inlineStr">
        <is>
          <t>Trần Trung Giang</t>
        </is>
      </c>
      <c r="C1468" s="16" t="n">
        <v>46045</v>
      </c>
      <c r="D1468" s="17" t="n">
        <v>0</v>
      </c>
      <c r="E1468" s="17" t="n">
        <v>0</v>
      </c>
      <c r="F1468" s="17" t="n">
        <v>0</v>
      </c>
      <c r="G1468" s="17" t="n">
        <v>0</v>
      </c>
      <c r="H1468" s="17" t="n">
        <v>0</v>
      </c>
      <c r="I1468" s="17" t="n">
        <v>0</v>
      </c>
      <c r="J1468" s="17" t="n">
        <v>0</v>
      </c>
      <c r="K1468" s="17" t="n">
        <v>2</v>
      </c>
      <c r="L1468" s="17" t="n">
        <v>0</v>
      </c>
      <c r="M1468" s="17" t="n">
        <v>0</v>
      </c>
      <c r="N1468" s="17" t="n">
        <v>0</v>
      </c>
      <c r="O1468" s="17" t="n">
        <v>0</v>
      </c>
      <c r="P1468" s="17" t="n">
        <v>1</v>
      </c>
      <c r="Q1468" s="17" t="n">
        <v>0</v>
      </c>
      <c r="R1468" s="17" t="n">
        <v>0</v>
      </c>
      <c r="T1468" s="17">
        <f>DAY(C1468)</f>
        <v/>
      </c>
      <c r="U1468" s="17">
        <f>MONTH(C1468)</f>
        <v/>
      </c>
    </row>
    <row r="1469" ht="22.5" customHeight="1" s="117">
      <c r="A1469" s="14" t="n">
        <v>46046.32651991898</v>
      </c>
      <c r="B1469" s="17" t="inlineStr">
        <is>
          <t>Huỳnh Văn Lực</t>
        </is>
      </c>
      <c r="C1469" s="16" t="n">
        <v>46045</v>
      </c>
      <c r="D1469" s="17" t="n">
        <v>0</v>
      </c>
      <c r="E1469" s="17" t="n">
        <v>0</v>
      </c>
      <c r="F1469" s="17" t="n">
        <v>0</v>
      </c>
      <c r="G1469" s="17" t="n">
        <v>0</v>
      </c>
      <c r="H1469" s="17" t="n">
        <v>0</v>
      </c>
      <c r="I1469" s="17" t="n">
        <v>0</v>
      </c>
      <c r="J1469" s="17" t="n">
        <v>0</v>
      </c>
      <c r="K1469" s="17" t="n">
        <v>3</v>
      </c>
      <c r="L1469" s="17" t="n">
        <v>0</v>
      </c>
      <c r="M1469" s="17" t="n">
        <v>0</v>
      </c>
      <c r="N1469" s="17" t="n">
        <v>0</v>
      </c>
      <c r="O1469" s="17" t="n">
        <v>0</v>
      </c>
      <c r="P1469" s="17" t="n">
        <v>0</v>
      </c>
      <c r="Q1469" s="17" t="n">
        <v>1</v>
      </c>
      <c r="R1469" s="17" t="n">
        <v>0</v>
      </c>
      <c r="T1469" s="17">
        <f>DAY(C1469)</f>
        <v/>
      </c>
      <c r="U1469" s="17">
        <f>MONTH(C1469)</f>
        <v/>
      </c>
    </row>
    <row r="1470" ht="22.5" customHeight="1" s="117">
      <c r="A1470" s="14" t="n">
        <v>46046.33271591435</v>
      </c>
      <c r="B1470" s="17" t="inlineStr">
        <is>
          <t>Nguyễn Văn Hiệp</t>
        </is>
      </c>
      <c r="C1470" s="16" t="n">
        <v>46045</v>
      </c>
      <c r="D1470" s="17" t="n">
        <v>0</v>
      </c>
      <c r="E1470" s="17" t="n">
        <v>0</v>
      </c>
      <c r="F1470" s="17" t="n">
        <v>0</v>
      </c>
      <c r="G1470" s="17" t="n">
        <v>0</v>
      </c>
      <c r="H1470" s="17" t="n">
        <v>0</v>
      </c>
      <c r="I1470" s="17" t="n">
        <v>1</v>
      </c>
      <c r="J1470" s="17" t="n">
        <v>0</v>
      </c>
      <c r="K1470" s="17" t="n">
        <v>0</v>
      </c>
      <c r="L1470" s="17" t="n">
        <v>0</v>
      </c>
      <c r="M1470" s="17" t="n">
        <v>0</v>
      </c>
      <c r="N1470" s="17" t="n">
        <v>0</v>
      </c>
      <c r="O1470" s="17" t="n">
        <v>0</v>
      </c>
      <c r="P1470" s="17" t="n">
        <v>0</v>
      </c>
      <c r="Q1470" s="17" t="n">
        <v>1</v>
      </c>
      <c r="R1470" s="17" t="n">
        <v>0</v>
      </c>
      <c r="T1470" s="17">
        <f>DAY(C1470)</f>
        <v/>
      </c>
      <c r="U1470" s="17">
        <f>MONTH(C1470)</f>
        <v/>
      </c>
    </row>
    <row r="1471" ht="22.5" customHeight="1" s="117">
      <c r="A1471" s="14" t="n">
        <v>46046.34487008102</v>
      </c>
      <c r="B1471" s="17" t="inlineStr">
        <is>
          <t>Nguyễn Hồng Minh</t>
        </is>
      </c>
      <c r="C1471" s="16" t="n">
        <v>46045</v>
      </c>
      <c r="D1471" s="17" t="n">
        <v>1</v>
      </c>
      <c r="E1471" s="17" t="n">
        <v>1</v>
      </c>
      <c r="F1471" s="17" t="n">
        <v>2</v>
      </c>
      <c r="G1471" s="17" t="n">
        <v>0</v>
      </c>
      <c r="H1471" s="17" t="n">
        <v>0</v>
      </c>
      <c r="I1471" s="17" t="n">
        <v>0</v>
      </c>
      <c r="J1471" s="17" t="n">
        <v>0</v>
      </c>
      <c r="K1471" s="17" t="n">
        <v>10</v>
      </c>
      <c r="L1471" s="17" t="n">
        <v>0</v>
      </c>
      <c r="M1471" s="17" t="n">
        <v>1</v>
      </c>
      <c r="N1471" s="17" t="n">
        <v>0</v>
      </c>
      <c r="O1471" s="17" t="n">
        <v>0</v>
      </c>
      <c r="P1471" s="17" t="n">
        <v>0</v>
      </c>
      <c r="Q1471" s="17" t="n">
        <v>5</v>
      </c>
      <c r="R1471" s="17" t="n">
        <v>0</v>
      </c>
      <c r="T1471" s="17">
        <f>DAY(C1471)</f>
        <v/>
      </c>
      <c r="U1471" s="17">
        <f>MONTH(C1471)</f>
        <v/>
      </c>
    </row>
    <row r="1472" ht="22.5" customHeight="1" s="117">
      <c r="A1472" s="14" t="n">
        <v>46046.34728077547</v>
      </c>
      <c r="B1472" s="17" t="inlineStr">
        <is>
          <t>Nguyễn Quang Anh Tuấn</t>
        </is>
      </c>
      <c r="C1472" s="16" t="n">
        <v>46045</v>
      </c>
      <c r="D1472" s="17" t="n">
        <v>0</v>
      </c>
      <c r="E1472" s="17" t="n">
        <v>0</v>
      </c>
      <c r="F1472" s="17" t="n">
        <v>0</v>
      </c>
      <c r="G1472" s="17" t="n">
        <v>0</v>
      </c>
      <c r="H1472" s="17" t="n">
        <v>0</v>
      </c>
      <c r="I1472" s="17" t="n">
        <v>0</v>
      </c>
      <c r="J1472" s="17" t="n">
        <v>0</v>
      </c>
      <c r="K1472" s="17" t="n">
        <v>7</v>
      </c>
      <c r="L1472" s="17" t="n">
        <v>0</v>
      </c>
      <c r="M1472" s="17" t="n">
        <v>1</v>
      </c>
      <c r="N1472" s="17" t="n">
        <v>0</v>
      </c>
      <c r="O1472" s="17" t="n">
        <v>0</v>
      </c>
      <c r="P1472" s="17" t="n">
        <v>0</v>
      </c>
      <c r="Q1472" s="17" t="n">
        <v>0</v>
      </c>
      <c r="R1472" s="17" t="n">
        <v>0</v>
      </c>
      <c r="T1472" s="17">
        <f>DAY(C1472)</f>
        <v/>
      </c>
      <c r="U1472" s="17">
        <f>MONTH(C1472)</f>
        <v/>
      </c>
    </row>
    <row r="1473" ht="22.5" customHeight="1" s="117">
      <c r="A1473" s="14" t="n">
        <v>46047.30319430555</v>
      </c>
      <c r="B1473" s="17" t="inlineStr">
        <is>
          <t>Trần Xuân Khoa</t>
        </is>
      </c>
      <c r="C1473" s="16" t="n">
        <v>46046</v>
      </c>
      <c r="D1473" s="17" t="n">
        <v>0</v>
      </c>
      <c r="E1473" s="17" t="n">
        <v>0</v>
      </c>
      <c r="F1473" s="17" t="n">
        <v>0</v>
      </c>
      <c r="G1473" s="17" t="n">
        <v>0</v>
      </c>
      <c r="H1473" s="17" t="n">
        <v>0</v>
      </c>
      <c r="I1473" s="17" t="n">
        <v>0</v>
      </c>
      <c r="J1473" s="17" t="n">
        <v>0</v>
      </c>
      <c r="K1473" s="17" t="n">
        <v>20</v>
      </c>
      <c r="L1473" s="17" t="n">
        <v>0</v>
      </c>
      <c r="M1473" s="17" t="n">
        <v>0</v>
      </c>
      <c r="N1473" s="17" t="n">
        <v>0</v>
      </c>
      <c r="O1473" s="17" t="n">
        <v>0</v>
      </c>
      <c r="P1473" s="17" t="n">
        <v>0</v>
      </c>
      <c r="Q1473" s="17" t="n">
        <v>2</v>
      </c>
      <c r="R1473" s="17" t="n">
        <v>0</v>
      </c>
      <c r="T1473" s="17">
        <f>DAY(C1473)</f>
        <v/>
      </c>
      <c r="U1473" s="17">
        <f>MONTH(C1473)</f>
        <v/>
      </c>
    </row>
    <row r="1474" ht="22.5" customHeight="1" s="117">
      <c r="A1474" s="14" t="n">
        <v>46047.3049334838</v>
      </c>
      <c r="B1474" s="17" t="inlineStr">
        <is>
          <t>Trần Trung Giang</t>
        </is>
      </c>
      <c r="C1474" s="16" t="n">
        <v>46046</v>
      </c>
      <c r="D1474" s="17" t="n">
        <v>0</v>
      </c>
      <c r="E1474" s="17" t="n">
        <v>0</v>
      </c>
      <c r="F1474" s="17" t="n">
        <v>0</v>
      </c>
      <c r="G1474" s="17" t="n">
        <v>0</v>
      </c>
      <c r="H1474" s="17" t="n">
        <v>0</v>
      </c>
      <c r="I1474" s="17" t="n">
        <v>0</v>
      </c>
      <c r="J1474" s="17" t="n">
        <v>0</v>
      </c>
      <c r="K1474" s="17" t="n">
        <v>5</v>
      </c>
      <c r="L1474" s="17" t="n">
        <v>0</v>
      </c>
      <c r="M1474" s="17" t="n">
        <v>1</v>
      </c>
      <c r="N1474" s="17" t="n">
        <v>0</v>
      </c>
      <c r="O1474" s="17" t="n">
        <v>0</v>
      </c>
      <c r="P1474" s="17" t="n">
        <v>0</v>
      </c>
      <c r="Q1474" s="17" t="n">
        <v>0</v>
      </c>
      <c r="R1474" s="17" t="n">
        <v>0</v>
      </c>
      <c r="T1474" s="17">
        <f>DAY(C1474)</f>
        <v/>
      </c>
      <c r="U1474" s="17">
        <f>MONTH(C1474)</f>
        <v/>
      </c>
    </row>
    <row r="1475" ht="22.5" customHeight="1" s="117">
      <c r="A1475" s="14" t="n">
        <v>46047.30599556713</v>
      </c>
      <c r="B1475" s="17" t="inlineStr">
        <is>
          <t>Huỳnh Văn Lực</t>
        </is>
      </c>
      <c r="C1475" s="16" t="n">
        <v>46046</v>
      </c>
      <c r="D1475" s="17" t="n">
        <v>0</v>
      </c>
      <c r="E1475" s="17" t="n">
        <v>0</v>
      </c>
      <c r="F1475" s="17" t="n">
        <v>0</v>
      </c>
      <c r="G1475" s="17" t="n">
        <v>0</v>
      </c>
      <c r="H1475" s="17" t="n">
        <v>0</v>
      </c>
      <c r="I1475" s="17" t="n">
        <v>0</v>
      </c>
      <c r="J1475" s="17" t="n">
        <v>0</v>
      </c>
      <c r="K1475" s="17" t="n">
        <v>0</v>
      </c>
      <c r="L1475" s="17" t="n">
        <v>0</v>
      </c>
      <c r="M1475" s="17" t="n">
        <v>0</v>
      </c>
      <c r="N1475" s="17" t="n">
        <v>0</v>
      </c>
      <c r="O1475" s="17" t="n">
        <v>0</v>
      </c>
      <c r="P1475" s="17" t="n">
        <v>0</v>
      </c>
      <c r="Q1475" s="17" t="n">
        <v>1</v>
      </c>
      <c r="R1475" s="17" t="n">
        <v>0</v>
      </c>
      <c r="T1475" s="17">
        <f>DAY(C1475)</f>
        <v/>
      </c>
      <c r="U1475" s="17">
        <f>MONTH(C1475)</f>
        <v/>
      </c>
    </row>
    <row r="1476" ht="22.5" customHeight="1" s="117">
      <c r="A1476" s="14" t="n">
        <v>46047.30686189815</v>
      </c>
      <c r="B1476" s="17" t="inlineStr">
        <is>
          <t>Lê Hồng Phong</t>
        </is>
      </c>
      <c r="C1476" s="16" t="n">
        <v>46047</v>
      </c>
      <c r="D1476" s="17" t="n">
        <v>1</v>
      </c>
      <c r="E1476" s="17" t="n">
        <v>1</v>
      </c>
      <c r="F1476" s="17" t="n">
        <v>1</v>
      </c>
      <c r="G1476" s="17" t="n">
        <v>1</v>
      </c>
      <c r="H1476" s="17" t="n">
        <v>1</v>
      </c>
      <c r="I1476" s="17" t="n">
        <v>1</v>
      </c>
      <c r="J1476" s="17" t="n">
        <v>1</v>
      </c>
      <c r="K1476" s="17" t="n">
        <v>1</v>
      </c>
      <c r="L1476" s="17" t="n">
        <v>1</v>
      </c>
      <c r="M1476" s="17" t="n">
        <v>1</v>
      </c>
      <c r="N1476" s="17" t="n">
        <v>1</v>
      </c>
      <c r="O1476" s="17" t="n">
        <v>1</v>
      </c>
      <c r="P1476" s="17" t="n">
        <v>1</v>
      </c>
      <c r="Q1476" s="17" t="n">
        <v>1</v>
      </c>
      <c r="R1476" s="17" t="n">
        <v>1</v>
      </c>
      <c r="T1476" s="17">
        <f>DAY(C1476)</f>
        <v/>
      </c>
      <c r="U1476" s="17">
        <f>MONTH(C1476)</f>
        <v/>
      </c>
    </row>
    <row r="1477" ht="22.5" customHeight="1" s="117">
      <c r="A1477" s="14" t="n">
        <v>46047.3071337037</v>
      </c>
      <c r="B1477" s="17" t="inlineStr">
        <is>
          <t>Nguyễn Tuấn Anh</t>
        </is>
      </c>
      <c r="C1477" s="16" t="n">
        <v>46046</v>
      </c>
      <c r="D1477" s="17" t="n">
        <v>0</v>
      </c>
      <c r="E1477" s="17" t="n">
        <v>0</v>
      </c>
      <c r="F1477" s="17" t="n">
        <v>0</v>
      </c>
      <c r="G1477" s="17" t="n">
        <v>0</v>
      </c>
      <c r="H1477" s="17" t="n">
        <v>0</v>
      </c>
      <c r="I1477" s="17" t="n">
        <v>2</v>
      </c>
      <c r="J1477" s="17" t="n">
        <v>0</v>
      </c>
      <c r="K1477" s="17" t="n">
        <v>2</v>
      </c>
      <c r="L1477" s="17" t="n">
        <v>1</v>
      </c>
      <c r="M1477" s="17" t="n">
        <v>0</v>
      </c>
      <c r="N1477" s="17" t="n">
        <v>0</v>
      </c>
      <c r="O1477" s="17" t="n">
        <v>0</v>
      </c>
      <c r="P1477" s="17" t="n">
        <v>0</v>
      </c>
      <c r="Q1477" s="17" t="n">
        <v>2</v>
      </c>
      <c r="R1477" s="17" t="n">
        <v>0</v>
      </c>
      <c r="T1477" s="17">
        <f>DAY(C1477)</f>
        <v/>
      </c>
      <c r="U1477" s="17">
        <f>MONTH(C1477)</f>
        <v/>
      </c>
    </row>
    <row r="1478" ht="22.5" customHeight="1" s="117">
      <c r="A1478" s="14" t="n">
        <v>46047.30979664352</v>
      </c>
      <c r="B1478" s="17" t="inlineStr">
        <is>
          <t>Lương Duy Hoàng</t>
        </is>
      </c>
      <c r="C1478" s="16" t="n">
        <v>46046</v>
      </c>
      <c r="D1478" s="17" t="n">
        <v>0</v>
      </c>
      <c r="E1478" s="17" t="n">
        <v>0</v>
      </c>
      <c r="F1478" s="17" t="n">
        <v>0</v>
      </c>
      <c r="G1478" s="17" t="n">
        <v>0</v>
      </c>
      <c r="H1478" s="17" t="n">
        <v>0</v>
      </c>
      <c r="I1478" s="17" t="n">
        <v>1</v>
      </c>
      <c r="J1478" s="17" t="n">
        <v>0</v>
      </c>
      <c r="K1478" s="17" t="n">
        <v>3</v>
      </c>
      <c r="L1478" s="17" t="n">
        <v>0</v>
      </c>
      <c r="M1478" s="17" t="n">
        <v>0</v>
      </c>
      <c r="N1478" s="17" t="n">
        <v>0</v>
      </c>
      <c r="O1478" s="17" t="n">
        <v>0</v>
      </c>
      <c r="P1478" s="17" t="n">
        <v>0</v>
      </c>
      <c r="Q1478" s="17" t="n">
        <v>0</v>
      </c>
      <c r="R1478" s="17" t="n">
        <v>0</v>
      </c>
      <c r="T1478" s="17">
        <f>DAY(C1478)</f>
        <v/>
      </c>
      <c r="U1478" s="17">
        <f>MONTH(C1478)</f>
        <v/>
      </c>
    </row>
    <row r="1479" ht="22.5" customHeight="1" s="117">
      <c r="A1479" s="14" t="n">
        <v>46047.31437023148</v>
      </c>
      <c r="B1479" s="17" t="inlineStr">
        <is>
          <t>Nguyễn Quang Anh Tuấn</t>
        </is>
      </c>
      <c r="C1479" s="16" t="n">
        <v>46046</v>
      </c>
      <c r="D1479" s="17" t="n">
        <v>0</v>
      </c>
      <c r="E1479" s="17" t="n">
        <v>0</v>
      </c>
      <c r="F1479" s="17" t="n">
        <v>0</v>
      </c>
      <c r="G1479" s="17" t="n">
        <v>0</v>
      </c>
      <c r="H1479" s="17" t="n">
        <v>0</v>
      </c>
      <c r="I1479" s="17" t="n">
        <v>0</v>
      </c>
      <c r="J1479" s="17" t="n">
        <v>0</v>
      </c>
      <c r="K1479" s="17" t="n">
        <v>0</v>
      </c>
      <c r="L1479" s="17" t="n">
        <v>0</v>
      </c>
      <c r="M1479" s="17" t="n">
        <v>0</v>
      </c>
      <c r="N1479" s="17" t="n">
        <v>0</v>
      </c>
      <c r="O1479" s="17" t="n">
        <v>0</v>
      </c>
      <c r="P1479" s="17" t="n">
        <v>0</v>
      </c>
      <c r="Q1479" s="17" t="n">
        <v>2</v>
      </c>
      <c r="R1479" s="17" t="n">
        <v>0</v>
      </c>
      <c r="T1479" s="17">
        <f>DAY(C1479)</f>
        <v/>
      </c>
      <c r="U1479" s="17">
        <f>MONTH(C1479)</f>
        <v/>
      </c>
    </row>
    <row r="1480" ht="22.5" customHeight="1" s="117">
      <c r="A1480" s="14" t="n">
        <v>46047.31862440972</v>
      </c>
      <c r="B1480" s="17" t="inlineStr">
        <is>
          <t>Trần Minh Khánh</t>
        </is>
      </c>
      <c r="C1480" s="16" t="n">
        <v>46046</v>
      </c>
      <c r="D1480" s="17" t="n">
        <v>1</v>
      </c>
      <c r="E1480" s="17" t="n">
        <v>0</v>
      </c>
      <c r="F1480" s="17" t="n">
        <v>1</v>
      </c>
      <c r="G1480" s="17" t="n">
        <v>0</v>
      </c>
      <c r="H1480" s="17" t="n">
        <v>0</v>
      </c>
      <c r="I1480" s="17" t="n">
        <v>0</v>
      </c>
      <c r="J1480" s="17" t="n">
        <v>0</v>
      </c>
      <c r="K1480" s="17" t="n">
        <v>12</v>
      </c>
      <c r="L1480" s="17" t="n">
        <v>0</v>
      </c>
      <c r="M1480" s="17" t="n">
        <v>0</v>
      </c>
      <c r="N1480" s="17" t="n">
        <v>0</v>
      </c>
      <c r="O1480" s="17" t="n">
        <v>0</v>
      </c>
      <c r="P1480" s="17" t="n">
        <v>0</v>
      </c>
      <c r="Q1480" s="17" t="n">
        <v>2</v>
      </c>
      <c r="R1480" s="17" t="n">
        <v>0</v>
      </c>
      <c r="T1480" s="17">
        <f>DAY(C1480)</f>
        <v/>
      </c>
      <c r="U1480" s="17">
        <f>MONTH(C1480)</f>
        <v/>
      </c>
    </row>
    <row r="1481" ht="22.5" customHeight="1" s="117">
      <c r="A1481" s="14" t="n">
        <v>46047.32791059028</v>
      </c>
      <c r="B1481" s="17" t="inlineStr">
        <is>
          <t>Nguyễn Văn Hiệp</t>
        </is>
      </c>
      <c r="C1481" s="16" t="n">
        <v>46046</v>
      </c>
      <c r="D1481" s="17" t="n">
        <v>0</v>
      </c>
      <c r="E1481" s="17" t="n">
        <v>0</v>
      </c>
      <c r="F1481" s="17" t="n">
        <v>0</v>
      </c>
      <c r="G1481" s="17" t="n">
        <v>0</v>
      </c>
      <c r="H1481" s="17" t="n">
        <v>0</v>
      </c>
      <c r="I1481" s="17" t="n">
        <v>1</v>
      </c>
      <c r="J1481" s="17" t="n">
        <v>0</v>
      </c>
      <c r="K1481" s="17" t="n">
        <v>0</v>
      </c>
      <c r="L1481" s="17" t="n">
        <v>0</v>
      </c>
      <c r="M1481" s="17" t="n">
        <v>0</v>
      </c>
      <c r="N1481" s="17" t="n">
        <v>0</v>
      </c>
      <c r="O1481" s="17" t="n">
        <v>0</v>
      </c>
      <c r="P1481" s="17" t="n">
        <v>1</v>
      </c>
      <c r="Q1481" s="17" t="n">
        <v>2</v>
      </c>
      <c r="R1481" s="17" t="n">
        <v>0</v>
      </c>
      <c r="T1481" s="17">
        <f>DAY(C1481)</f>
        <v/>
      </c>
      <c r="U1481" s="17">
        <f>MONTH(C1481)</f>
        <v/>
      </c>
    </row>
    <row r="1482" ht="22.5" customHeight="1" s="117">
      <c r="A1482" s="14" t="n">
        <v>46047.35252636574</v>
      </c>
      <c r="B1482" s="17" t="inlineStr">
        <is>
          <t>Đặng Hoài Anh</t>
        </is>
      </c>
      <c r="C1482" s="16" t="n">
        <v>46046</v>
      </c>
      <c r="D1482" s="17" t="n">
        <v>0</v>
      </c>
      <c r="E1482" s="17" t="n">
        <v>0</v>
      </c>
      <c r="F1482" s="17" t="n">
        <v>0</v>
      </c>
      <c r="G1482" s="17" t="n">
        <v>0</v>
      </c>
      <c r="H1482" s="17" t="n">
        <v>0</v>
      </c>
      <c r="I1482" s="17" t="n">
        <v>0</v>
      </c>
      <c r="J1482" s="17" t="n">
        <v>0</v>
      </c>
      <c r="K1482" s="17" t="n">
        <v>0</v>
      </c>
      <c r="L1482" s="17" t="n">
        <v>0</v>
      </c>
      <c r="M1482" s="17" t="n">
        <v>0</v>
      </c>
      <c r="N1482" s="17" t="n">
        <v>0</v>
      </c>
      <c r="O1482" s="17" t="n">
        <v>0</v>
      </c>
      <c r="P1482" s="17" t="n">
        <v>0</v>
      </c>
      <c r="Q1482" s="17" t="n">
        <v>1</v>
      </c>
      <c r="R1482" s="17" t="n">
        <v>0</v>
      </c>
      <c r="T1482" s="17">
        <f>DAY(C1482)</f>
        <v/>
      </c>
      <c r="U1482" s="17">
        <f>MONTH(C1482)</f>
        <v/>
      </c>
    </row>
    <row r="1483" ht="22.5" customHeight="1" s="117">
      <c r="A1483" s="14" t="n">
        <v>46047.35373421296</v>
      </c>
      <c r="B1483" s="17" t="inlineStr">
        <is>
          <t>Nguyễn Hồng Minh</t>
        </is>
      </c>
      <c r="C1483" s="16" t="n">
        <v>46046</v>
      </c>
      <c r="D1483" s="17" t="n">
        <v>2</v>
      </c>
      <c r="E1483" s="17" t="n">
        <v>2</v>
      </c>
      <c r="F1483" s="17" t="n">
        <v>0</v>
      </c>
      <c r="G1483" s="17" t="n">
        <v>0</v>
      </c>
      <c r="H1483" s="17" t="n">
        <v>0</v>
      </c>
      <c r="I1483" s="17" t="n">
        <v>0</v>
      </c>
      <c r="J1483" s="17" t="n">
        <v>0</v>
      </c>
      <c r="K1483" s="17" t="n">
        <v>9</v>
      </c>
      <c r="L1483" s="17" t="n">
        <v>0</v>
      </c>
      <c r="M1483" s="17" t="n">
        <v>2</v>
      </c>
      <c r="N1483" s="17" t="n">
        <v>0</v>
      </c>
      <c r="O1483" s="17" t="n">
        <v>2</v>
      </c>
      <c r="P1483" s="17" t="n">
        <v>0</v>
      </c>
      <c r="Q1483" s="17" t="n">
        <v>4</v>
      </c>
      <c r="R1483" s="17" t="n">
        <v>0</v>
      </c>
      <c r="T1483" s="17">
        <f>DAY(C1483)</f>
        <v/>
      </c>
      <c r="U1483" s="17">
        <f>MONTH(C1483)</f>
        <v/>
      </c>
    </row>
    <row r="1484" ht="22.5" customHeight="1" s="117">
      <c r="A1484" s="14" t="n">
        <v>46048.28162233796</v>
      </c>
      <c r="B1484" s="17" t="inlineStr">
        <is>
          <t>Vòng Nhật Sang</t>
        </is>
      </c>
      <c r="C1484" s="16" t="n">
        <v>46046</v>
      </c>
      <c r="D1484" s="17" t="n">
        <v>0</v>
      </c>
      <c r="E1484" s="17" t="n">
        <v>0</v>
      </c>
      <c r="F1484" s="17" t="n">
        <v>0</v>
      </c>
      <c r="G1484" s="17" t="n">
        <v>0</v>
      </c>
      <c r="H1484" s="17" t="n">
        <v>0</v>
      </c>
      <c r="I1484" s="17" t="n">
        <v>0</v>
      </c>
      <c r="J1484" s="17" t="n">
        <v>0</v>
      </c>
      <c r="K1484" s="17" t="n">
        <v>2</v>
      </c>
      <c r="L1484" s="17" t="n">
        <v>0</v>
      </c>
      <c r="M1484" s="17" t="n">
        <v>4</v>
      </c>
      <c r="N1484" s="17" t="n">
        <v>0</v>
      </c>
      <c r="O1484" s="17" t="n">
        <v>0</v>
      </c>
      <c r="P1484" s="17" t="n">
        <v>2</v>
      </c>
      <c r="Q1484" s="17" t="n">
        <v>2</v>
      </c>
      <c r="R1484" s="17" t="n">
        <v>0</v>
      </c>
      <c r="T1484" s="17">
        <f>DAY(C1484)</f>
        <v/>
      </c>
      <c r="U1484" s="17">
        <f>MONTH(C1484)</f>
        <v/>
      </c>
    </row>
    <row r="1485" ht="22.5" customHeight="1" s="117">
      <c r="A1485" s="14" t="n">
        <v>46048.28209393519</v>
      </c>
      <c r="B1485" s="17" t="inlineStr">
        <is>
          <t>Vòng Nhật Sang</t>
        </is>
      </c>
      <c r="C1485" s="16" t="n">
        <v>46047</v>
      </c>
      <c r="D1485" s="17" t="n">
        <v>0</v>
      </c>
      <c r="E1485" s="17" t="n">
        <v>0</v>
      </c>
      <c r="F1485" s="17" t="n">
        <v>0</v>
      </c>
      <c r="G1485" s="17" t="n">
        <v>0</v>
      </c>
      <c r="H1485" s="17" t="n">
        <v>0</v>
      </c>
      <c r="I1485" s="17" t="n">
        <v>0</v>
      </c>
      <c r="J1485" s="17" t="n">
        <v>0</v>
      </c>
      <c r="K1485" s="17" t="n">
        <v>7</v>
      </c>
      <c r="L1485" s="17" t="n">
        <v>0</v>
      </c>
      <c r="M1485" s="17" t="n">
        <v>0</v>
      </c>
      <c r="N1485" s="17" t="n">
        <v>0</v>
      </c>
      <c r="O1485" s="17" t="n">
        <v>0</v>
      </c>
      <c r="P1485" s="17" t="n">
        <v>2</v>
      </c>
      <c r="Q1485" s="17" t="n">
        <v>1</v>
      </c>
      <c r="R1485" s="17" t="n">
        <v>0</v>
      </c>
      <c r="T1485" s="17">
        <f>DAY(C1485)</f>
        <v/>
      </c>
      <c r="U1485" s="17">
        <f>MONTH(C1485)</f>
        <v/>
      </c>
    </row>
    <row r="1486" ht="22.5" customHeight="1" s="117">
      <c r="A1486" s="14" t="n">
        <v>46048.29037328704</v>
      </c>
      <c r="B1486" s="17" t="inlineStr">
        <is>
          <t>Nguyễn Văn Hiệp</t>
        </is>
      </c>
      <c r="C1486" s="16" t="n">
        <v>46047</v>
      </c>
      <c r="D1486" s="17" t="n">
        <v>0</v>
      </c>
      <c r="E1486" s="17" t="n">
        <v>0</v>
      </c>
      <c r="F1486" s="17" t="n">
        <v>0</v>
      </c>
      <c r="G1486" s="17" t="n">
        <v>0</v>
      </c>
      <c r="H1486" s="17" t="n">
        <v>0</v>
      </c>
      <c r="I1486" s="17" t="n">
        <v>1</v>
      </c>
      <c r="J1486" s="17" t="n">
        <v>0</v>
      </c>
      <c r="K1486" s="17" t="n">
        <v>1</v>
      </c>
      <c r="L1486" s="17" t="n">
        <v>0</v>
      </c>
      <c r="M1486" s="17" t="n">
        <v>0</v>
      </c>
      <c r="N1486" s="17" t="n">
        <v>0</v>
      </c>
      <c r="O1486" s="17" t="n">
        <v>0</v>
      </c>
      <c r="P1486" s="17" t="n">
        <v>0</v>
      </c>
      <c r="Q1486" s="17" t="n">
        <v>1</v>
      </c>
      <c r="R1486" s="17" t="n">
        <v>0</v>
      </c>
      <c r="T1486" s="17">
        <f>DAY(C1486)</f>
        <v/>
      </c>
      <c r="U1486" s="17">
        <f>MONTH(C1486)</f>
        <v/>
      </c>
    </row>
    <row r="1487" ht="22.5" customHeight="1" s="117">
      <c r="A1487" s="14" t="n">
        <v>46048.29157563658</v>
      </c>
      <c r="B1487" s="17" t="inlineStr">
        <is>
          <t>Trần Trung Giang</t>
        </is>
      </c>
      <c r="C1487" s="16" t="n">
        <v>46047</v>
      </c>
      <c r="D1487" s="17" t="n">
        <v>0</v>
      </c>
      <c r="E1487" s="17" t="n">
        <v>0</v>
      </c>
      <c r="F1487" s="17" t="n">
        <v>0</v>
      </c>
      <c r="G1487" s="17" t="n">
        <v>0</v>
      </c>
      <c r="H1487" s="17" t="n">
        <v>0</v>
      </c>
      <c r="I1487" s="17" t="n">
        <v>0</v>
      </c>
      <c r="J1487" s="17" t="n">
        <v>0</v>
      </c>
      <c r="K1487" s="17" t="n">
        <v>5</v>
      </c>
      <c r="L1487" s="17" t="n">
        <v>0</v>
      </c>
      <c r="M1487" s="17" t="n">
        <v>1</v>
      </c>
      <c r="N1487" s="17" t="n">
        <v>0</v>
      </c>
      <c r="O1487" s="17" t="n">
        <v>0</v>
      </c>
      <c r="P1487" s="17" t="n">
        <v>0</v>
      </c>
      <c r="Q1487" s="17" t="n">
        <v>0</v>
      </c>
      <c r="R1487" s="17" t="n">
        <v>0</v>
      </c>
      <c r="T1487" s="17">
        <f>DAY(C1487)</f>
        <v/>
      </c>
      <c r="U1487" s="17">
        <f>MONTH(C1487)</f>
        <v/>
      </c>
    </row>
    <row r="1488" ht="22.5" customHeight="1" s="117">
      <c r="A1488" s="14" t="n">
        <v>46048.29224591435</v>
      </c>
      <c r="B1488" s="17" t="inlineStr">
        <is>
          <t>Nguyễn Quang Anh Tuấn</t>
        </is>
      </c>
      <c r="C1488" s="16" t="n">
        <v>46047</v>
      </c>
      <c r="D1488" s="17" t="n">
        <v>0</v>
      </c>
      <c r="E1488" s="17" t="n">
        <v>0</v>
      </c>
      <c r="F1488" s="17" t="n">
        <v>0</v>
      </c>
      <c r="G1488" s="17" t="n">
        <v>0</v>
      </c>
      <c r="H1488" s="17" t="n">
        <v>0</v>
      </c>
      <c r="I1488" s="17" t="n">
        <v>0</v>
      </c>
      <c r="J1488" s="17" t="n">
        <v>0</v>
      </c>
      <c r="K1488" s="17" t="n">
        <v>4</v>
      </c>
      <c r="L1488" s="17" t="n">
        <v>0</v>
      </c>
      <c r="M1488" s="17" t="n">
        <v>0</v>
      </c>
      <c r="N1488" s="17" t="n">
        <v>0</v>
      </c>
      <c r="O1488" s="17" t="n">
        <v>0</v>
      </c>
      <c r="P1488" s="17" t="n">
        <v>0</v>
      </c>
      <c r="Q1488" s="17" t="n">
        <v>3</v>
      </c>
      <c r="R1488" s="17" t="n">
        <v>0</v>
      </c>
      <c r="T1488" s="17">
        <f>DAY(C1488)</f>
        <v/>
      </c>
      <c r="U1488" s="17">
        <f>MONTH(C1488)</f>
        <v/>
      </c>
    </row>
    <row r="1489" ht="22.5" customHeight="1" s="117">
      <c r="A1489" s="14" t="n">
        <v>46048.29530128472</v>
      </c>
      <c r="B1489" s="17" t="inlineStr">
        <is>
          <t>Huỳnh Văn Lực</t>
        </is>
      </c>
      <c r="C1489" s="16" t="n">
        <v>46047</v>
      </c>
      <c r="D1489" s="17" t="n">
        <v>0</v>
      </c>
      <c r="E1489" s="17" t="n">
        <v>0</v>
      </c>
      <c r="F1489" s="17" t="n">
        <v>0</v>
      </c>
      <c r="G1489" s="17" t="n">
        <v>0</v>
      </c>
      <c r="H1489" s="17" t="n">
        <v>0</v>
      </c>
      <c r="I1489" s="17" t="n">
        <v>0</v>
      </c>
      <c r="J1489" s="17" t="n">
        <v>0</v>
      </c>
      <c r="K1489" s="17" t="n">
        <v>0</v>
      </c>
      <c r="L1489" s="17" t="n">
        <v>0</v>
      </c>
      <c r="M1489" s="17" t="n">
        <v>0</v>
      </c>
      <c r="N1489" s="17" t="n">
        <v>0</v>
      </c>
      <c r="O1489" s="17" t="n">
        <v>0</v>
      </c>
      <c r="P1489" s="17" t="n">
        <v>0</v>
      </c>
      <c r="Q1489" s="17" t="n">
        <v>1</v>
      </c>
      <c r="R1489" s="17" t="n">
        <v>0</v>
      </c>
      <c r="T1489" s="17">
        <f>DAY(C1489)</f>
        <v/>
      </c>
      <c r="U1489" s="17">
        <f>MONTH(C1489)</f>
        <v/>
      </c>
    </row>
    <row r="1490" ht="22.5" customHeight="1" s="117">
      <c r="A1490" s="14" t="n">
        <v>46048.29868664352</v>
      </c>
      <c r="B1490" s="17" t="inlineStr">
        <is>
          <t>Nguyễn Tuấn Anh</t>
        </is>
      </c>
      <c r="C1490" s="16" t="n">
        <v>46047</v>
      </c>
      <c r="D1490" s="17" t="n">
        <v>0</v>
      </c>
      <c r="E1490" s="17" t="n">
        <v>0</v>
      </c>
      <c r="F1490" s="17" t="n">
        <v>0</v>
      </c>
      <c r="G1490" s="17" t="n">
        <v>0</v>
      </c>
      <c r="H1490" s="17" t="n">
        <v>0</v>
      </c>
      <c r="I1490" s="17" t="n">
        <v>2</v>
      </c>
      <c r="J1490" s="17" t="n">
        <v>0</v>
      </c>
      <c r="K1490" s="17" t="n">
        <v>2</v>
      </c>
      <c r="L1490" s="17" t="n">
        <v>0</v>
      </c>
      <c r="M1490" s="17" t="n">
        <v>0</v>
      </c>
      <c r="N1490" s="17" t="n">
        <v>0</v>
      </c>
      <c r="O1490" s="17" t="n">
        <v>0</v>
      </c>
      <c r="P1490" s="17" t="n">
        <v>1</v>
      </c>
      <c r="Q1490" s="17" t="n">
        <v>2</v>
      </c>
      <c r="R1490" s="17" t="n">
        <v>0</v>
      </c>
      <c r="T1490" s="17">
        <f>DAY(C1490)</f>
        <v/>
      </c>
      <c r="U1490" s="17">
        <f>MONTH(C1490)</f>
        <v/>
      </c>
    </row>
    <row r="1491" ht="22.5" customHeight="1" s="117">
      <c r="A1491" s="14" t="n">
        <v>46048.3020591088</v>
      </c>
      <c r="B1491" s="17" t="inlineStr">
        <is>
          <t>Trần Xuân Khoa</t>
        </is>
      </c>
      <c r="C1491" s="16" t="n">
        <v>46047</v>
      </c>
      <c r="D1491" s="17" t="n">
        <v>0</v>
      </c>
      <c r="E1491" s="17" t="n">
        <v>0</v>
      </c>
      <c r="F1491" s="17" t="n">
        <v>0</v>
      </c>
      <c r="G1491" s="17" t="n">
        <v>0</v>
      </c>
      <c r="H1491" s="17" t="n">
        <v>0</v>
      </c>
      <c r="I1491" s="17" t="n">
        <v>0</v>
      </c>
      <c r="J1491" s="17" t="n">
        <v>0</v>
      </c>
      <c r="K1491" s="17" t="n">
        <v>20</v>
      </c>
      <c r="L1491" s="17" t="n">
        <v>0</v>
      </c>
      <c r="M1491" s="17" t="n">
        <v>0</v>
      </c>
      <c r="N1491" s="17" t="n">
        <v>0</v>
      </c>
      <c r="O1491" s="17" t="n">
        <v>0</v>
      </c>
      <c r="P1491" s="17" t="n">
        <v>0</v>
      </c>
      <c r="Q1491" s="17" t="n">
        <v>2</v>
      </c>
      <c r="R1491" s="17" t="n">
        <v>0</v>
      </c>
      <c r="T1491" s="17">
        <f>DAY(C1491)</f>
        <v/>
      </c>
      <c r="U1491" s="17">
        <f>MONTH(C1491)</f>
        <v/>
      </c>
    </row>
    <row r="1492" ht="22.5" customHeight="1" s="117">
      <c r="A1492" s="14" t="n">
        <v>46048.30807783565</v>
      </c>
      <c r="B1492" s="17" t="inlineStr">
        <is>
          <t>Đặng Hoài Anh</t>
        </is>
      </c>
      <c r="C1492" s="16" t="n">
        <v>46047</v>
      </c>
      <c r="D1492" s="17" t="n">
        <v>0</v>
      </c>
      <c r="E1492" s="17" t="n">
        <v>0</v>
      </c>
      <c r="F1492" s="17" t="n">
        <v>0</v>
      </c>
      <c r="G1492" s="17" t="n">
        <v>0</v>
      </c>
      <c r="H1492" s="17" t="n">
        <v>0</v>
      </c>
      <c r="I1492" s="17" t="n">
        <v>0</v>
      </c>
      <c r="J1492" s="17" t="n">
        <v>0</v>
      </c>
      <c r="K1492" s="17" t="n">
        <v>0</v>
      </c>
      <c r="L1492" s="17" t="n">
        <v>0</v>
      </c>
      <c r="M1492" s="17" t="n">
        <v>0</v>
      </c>
      <c r="N1492" s="17" t="n">
        <v>0</v>
      </c>
      <c r="O1492" s="17" t="n">
        <v>0</v>
      </c>
      <c r="P1492" s="17" t="n">
        <v>0</v>
      </c>
      <c r="Q1492" s="17" t="n">
        <v>1</v>
      </c>
      <c r="R1492" s="17" t="n">
        <v>0</v>
      </c>
      <c r="T1492" s="17">
        <f>DAY(C1492)</f>
        <v/>
      </c>
      <c r="U1492" s="17">
        <f>MONTH(C1492)</f>
        <v/>
      </c>
    </row>
    <row r="1493" ht="22.5" customHeight="1" s="117">
      <c r="A1493" s="14" t="n">
        <v>46048.31560453703</v>
      </c>
      <c r="B1493" s="17" t="inlineStr">
        <is>
          <t>Lê Hồng Phong</t>
        </is>
      </c>
      <c r="C1493" s="16" t="n">
        <v>46048</v>
      </c>
      <c r="D1493" s="17" t="n">
        <v>1</v>
      </c>
      <c r="E1493" s="17" t="n">
        <v>1</v>
      </c>
      <c r="F1493" s="17" t="n">
        <v>1</v>
      </c>
      <c r="G1493" s="17" t="n">
        <v>1</v>
      </c>
      <c r="H1493" s="17" t="n">
        <v>1</v>
      </c>
      <c r="I1493" s="17" t="n">
        <v>1</v>
      </c>
      <c r="J1493" s="17" t="n">
        <v>1</v>
      </c>
      <c r="K1493" s="17" t="n">
        <v>1</v>
      </c>
      <c r="L1493" s="17" t="n">
        <v>1</v>
      </c>
      <c r="M1493" s="17" t="n">
        <v>1</v>
      </c>
      <c r="N1493" s="17" t="n">
        <v>1</v>
      </c>
      <c r="O1493" s="17" t="n">
        <v>1</v>
      </c>
      <c r="P1493" s="17" t="n">
        <v>1</v>
      </c>
      <c r="Q1493" s="17" t="n">
        <v>1</v>
      </c>
      <c r="R1493" s="17" t="n">
        <v>1</v>
      </c>
      <c r="T1493" s="17">
        <f>DAY(C1493)</f>
        <v/>
      </c>
      <c r="U1493" s="17">
        <f>MONTH(C1493)</f>
        <v/>
      </c>
    </row>
    <row r="1494" ht="22.5" customHeight="1" s="117">
      <c r="A1494" s="14" t="n">
        <v>46048.36173189815</v>
      </c>
      <c r="B1494" s="17" t="inlineStr">
        <is>
          <t>Nguyễn Hồng Minh</t>
        </is>
      </c>
      <c r="C1494" s="16" t="n">
        <v>46047</v>
      </c>
      <c r="D1494" s="17" t="n">
        <v>0</v>
      </c>
      <c r="E1494" s="17" t="n">
        <v>0</v>
      </c>
      <c r="F1494" s="17" t="n">
        <v>0</v>
      </c>
      <c r="G1494" s="17" t="n">
        <v>0</v>
      </c>
      <c r="H1494" s="17" t="n">
        <v>0</v>
      </c>
      <c r="I1494" s="17" t="n">
        <v>0</v>
      </c>
      <c r="J1494" s="17" t="n">
        <v>0</v>
      </c>
      <c r="K1494" s="17" t="n">
        <v>35</v>
      </c>
      <c r="L1494" s="17" t="n">
        <v>0</v>
      </c>
      <c r="M1494" s="17" t="n">
        <v>0</v>
      </c>
      <c r="N1494" s="17" t="n">
        <v>1</v>
      </c>
      <c r="O1494" s="17" t="n">
        <v>1</v>
      </c>
      <c r="P1494" s="17" t="n">
        <v>1</v>
      </c>
      <c r="Q1494" s="17" t="n">
        <v>5</v>
      </c>
      <c r="R1494" s="17" t="n">
        <v>0</v>
      </c>
      <c r="T1494" s="17">
        <f>DAY(C1494)</f>
        <v/>
      </c>
      <c r="U1494" s="17">
        <f>MONTH(C1494)</f>
        <v/>
      </c>
    </row>
    <row r="1495" hidden="1" ht="22.5" customHeight="1" s="117">
      <c r="A1495" s="14" t="n">
        <v>46048.64308828703</v>
      </c>
      <c r="B1495" s="17" t="inlineStr">
        <is>
          <t>Dương Minh Tiến</t>
        </is>
      </c>
      <c r="C1495" s="16" t="n">
        <v>45682</v>
      </c>
      <c r="D1495" s="17" t="n">
        <v>0</v>
      </c>
      <c r="E1495" s="17" t="n">
        <v>0</v>
      </c>
      <c r="F1495" s="17" t="n">
        <v>0</v>
      </c>
      <c r="G1495" s="17" t="n">
        <v>0</v>
      </c>
      <c r="H1495" s="17" t="n">
        <v>0</v>
      </c>
      <c r="I1495" s="17" t="n">
        <v>0</v>
      </c>
      <c r="J1495" s="17" t="n">
        <v>0</v>
      </c>
      <c r="K1495" s="17" t="n">
        <v>14</v>
      </c>
      <c r="L1495" s="17" t="n">
        <v>0</v>
      </c>
      <c r="M1495" s="17" t="n">
        <v>0</v>
      </c>
      <c r="N1495" s="17" t="n">
        <v>0</v>
      </c>
      <c r="O1495" s="17" t="n">
        <v>0</v>
      </c>
      <c r="P1495" s="17" t="n">
        <v>0</v>
      </c>
      <c r="Q1495" s="17" t="n">
        <v>0</v>
      </c>
      <c r="R1495" s="17" t="n">
        <v>0</v>
      </c>
      <c r="T1495" s="17">
        <f>DAY(C1495)</f>
        <v/>
      </c>
      <c r="U1495" s="17">
        <f>MONTH(C1495)</f>
        <v/>
      </c>
    </row>
    <row r="1496" ht="22.5" customHeight="1" s="117">
      <c r="A1496" s="14" t="n">
        <v>46049.28407847222</v>
      </c>
      <c r="B1496" s="17" t="inlineStr">
        <is>
          <t>Lương Duy Hoàng</t>
        </is>
      </c>
      <c r="C1496" s="16" t="n">
        <v>46047</v>
      </c>
      <c r="D1496" s="17" t="n">
        <v>0</v>
      </c>
      <c r="E1496" s="17" t="n">
        <v>0</v>
      </c>
      <c r="F1496" s="17" t="n">
        <v>0</v>
      </c>
      <c r="G1496" s="17" t="n">
        <v>0</v>
      </c>
      <c r="H1496" s="17" t="n">
        <v>0</v>
      </c>
      <c r="I1496" s="17" t="n">
        <v>0</v>
      </c>
      <c r="J1496" s="17" t="n">
        <v>0</v>
      </c>
      <c r="K1496" s="17" t="n">
        <v>2</v>
      </c>
      <c r="L1496" s="17" t="n">
        <v>1</v>
      </c>
      <c r="M1496" s="17" t="n">
        <v>0</v>
      </c>
      <c r="N1496" s="17" t="n">
        <v>0</v>
      </c>
      <c r="O1496" s="17" t="n">
        <v>0</v>
      </c>
      <c r="P1496" s="17" t="n">
        <v>0</v>
      </c>
      <c r="Q1496" s="17" t="n">
        <v>1</v>
      </c>
      <c r="R1496" s="17" t="n">
        <v>0</v>
      </c>
      <c r="T1496" s="17">
        <f>DAY(C1496)</f>
        <v/>
      </c>
      <c r="U1496" s="17">
        <f>MONTH(C1496)</f>
        <v/>
      </c>
    </row>
    <row r="1497" ht="22.5" customHeight="1" s="117">
      <c r="A1497" s="14" t="n">
        <v>46049.28468368055</v>
      </c>
      <c r="B1497" s="17" t="inlineStr">
        <is>
          <t>Lương Duy Hoàng</t>
        </is>
      </c>
      <c r="C1497" s="16" t="n">
        <v>46048</v>
      </c>
      <c r="D1497" s="17" t="n">
        <v>0</v>
      </c>
      <c r="E1497" s="17" t="n">
        <v>0</v>
      </c>
      <c r="F1497" s="17" t="n">
        <v>0</v>
      </c>
      <c r="G1497" s="17" t="n">
        <v>0</v>
      </c>
      <c r="H1497" s="17" t="n">
        <v>0</v>
      </c>
      <c r="I1497" s="17" t="n">
        <v>0</v>
      </c>
      <c r="J1497" s="17" t="n">
        <v>0</v>
      </c>
      <c r="K1497" s="17" t="n">
        <v>8</v>
      </c>
      <c r="L1497" s="17" t="n">
        <v>0</v>
      </c>
      <c r="M1497" s="17" t="n">
        <v>2</v>
      </c>
      <c r="N1497" s="17" t="n">
        <v>0</v>
      </c>
      <c r="O1497" s="17" t="n">
        <v>0</v>
      </c>
      <c r="P1497" s="17" t="n">
        <v>0</v>
      </c>
      <c r="Q1497" s="17" t="n">
        <v>2</v>
      </c>
      <c r="R1497" s="17" t="n">
        <v>0</v>
      </c>
      <c r="T1497" s="17">
        <f>DAY(C1497)</f>
        <v/>
      </c>
      <c r="U1497" s="17">
        <f>MONTH(C1497)</f>
        <v/>
      </c>
    </row>
    <row r="1498" ht="22.5" customHeight="1" s="117">
      <c r="A1498" s="14" t="n">
        <v>46049.28660325232</v>
      </c>
      <c r="B1498" s="17" t="inlineStr">
        <is>
          <t>Trần Xuân Khoa</t>
        </is>
      </c>
      <c r="C1498" s="16" t="n">
        <v>46048</v>
      </c>
      <c r="D1498" s="17" t="n">
        <v>0</v>
      </c>
      <c r="E1498" s="17" t="n">
        <v>0</v>
      </c>
      <c r="F1498" s="17" t="n">
        <v>0</v>
      </c>
      <c r="G1498" s="17" t="n">
        <v>0</v>
      </c>
      <c r="H1498" s="17" t="n">
        <v>0</v>
      </c>
      <c r="I1498" s="17" t="n">
        <v>0</v>
      </c>
      <c r="J1498" s="17" t="n">
        <v>0</v>
      </c>
      <c r="K1498" s="17" t="n">
        <v>0</v>
      </c>
      <c r="L1498" s="17" t="n">
        <v>0</v>
      </c>
      <c r="M1498" s="17" t="n">
        <v>0</v>
      </c>
      <c r="N1498" s="17" t="n">
        <v>0</v>
      </c>
      <c r="O1498" s="17" t="n">
        <v>0</v>
      </c>
      <c r="P1498" s="17" t="n">
        <v>1</v>
      </c>
      <c r="Q1498" s="17" t="n">
        <v>2</v>
      </c>
      <c r="R1498" s="17" t="n">
        <v>0</v>
      </c>
      <c r="T1498" s="17">
        <f>DAY(C1498)</f>
        <v/>
      </c>
      <c r="U1498" s="17">
        <f>MONTH(C1498)</f>
        <v/>
      </c>
    </row>
    <row r="1499" ht="22.5" customHeight="1" s="117">
      <c r="A1499" s="14" t="n">
        <v>46049.28976528935</v>
      </c>
      <c r="B1499" s="17" t="inlineStr">
        <is>
          <t>Nguyễn Văn Hiệp</t>
        </is>
      </c>
      <c r="C1499" s="16" t="n">
        <v>46048</v>
      </c>
      <c r="D1499" s="17" t="n">
        <v>0</v>
      </c>
      <c r="E1499" s="17" t="n">
        <v>0</v>
      </c>
      <c r="F1499" s="17" t="n">
        <v>0</v>
      </c>
      <c r="G1499" s="17" t="n">
        <v>0</v>
      </c>
      <c r="H1499" s="17" t="n">
        <v>0</v>
      </c>
      <c r="I1499" s="17" t="n">
        <v>0</v>
      </c>
      <c r="J1499" s="17" t="n">
        <v>0</v>
      </c>
      <c r="K1499" s="17" t="n">
        <v>0</v>
      </c>
      <c r="L1499" s="17" t="n">
        <v>0</v>
      </c>
      <c r="M1499" s="17" t="n">
        <v>0</v>
      </c>
      <c r="N1499" s="17" t="n">
        <v>0</v>
      </c>
      <c r="O1499" s="17" t="n">
        <v>0</v>
      </c>
      <c r="P1499" s="17" t="n">
        <v>0</v>
      </c>
      <c r="Q1499" s="17" t="n">
        <v>0</v>
      </c>
      <c r="R1499" s="17" t="n">
        <v>0</v>
      </c>
      <c r="T1499" s="17">
        <f>DAY(C1499)</f>
        <v/>
      </c>
      <c r="U1499" s="17">
        <f>MONTH(C1499)</f>
        <v/>
      </c>
    </row>
    <row r="1500" ht="22.5" customHeight="1" s="117">
      <c r="A1500" s="14" t="n">
        <v>46049.29195702546</v>
      </c>
      <c r="B1500" s="17" t="inlineStr">
        <is>
          <t>Trần Trung Giang</t>
        </is>
      </c>
      <c r="C1500" s="16" t="n">
        <v>46048</v>
      </c>
      <c r="D1500" s="17" t="n">
        <v>0</v>
      </c>
      <c r="E1500" s="17" t="n">
        <v>0</v>
      </c>
      <c r="F1500" s="17" t="n">
        <v>0</v>
      </c>
      <c r="G1500" s="17" t="n">
        <v>3</v>
      </c>
      <c r="H1500" s="17" t="n">
        <v>1</v>
      </c>
      <c r="I1500" s="17" t="n">
        <v>0</v>
      </c>
      <c r="J1500" s="17" t="n">
        <v>0</v>
      </c>
      <c r="K1500" s="17" t="n">
        <v>6</v>
      </c>
      <c r="L1500" s="17" t="n">
        <v>0</v>
      </c>
      <c r="M1500" s="17" t="n">
        <v>0</v>
      </c>
      <c r="N1500" s="17" t="n">
        <v>0</v>
      </c>
      <c r="O1500" s="17" t="n">
        <v>0</v>
      </c>
      <c r="P1500" s="17" t="n">
        <v>0</v>
      </c>
      <c r="Q1500" s="17" t="n">
        <v>1</v>
      </c>
      <c r="R1500" s="17" t="n">
        <v>0</v>
      </c>
      <c r="T1500" s="17">
        <f>DAY(C1500)</f>
        <v/>
      </c>
      <c r="U1500" s="17">
        <f>MONTH(C1500)</f>
        <v/>
      </c>
    </row>
    <row r="1501" ht="22.5" customHeight="1" s="117">
      <c r="A1501" s="14" t="n">
        <v>46049.2928546875</v>
      </c>
      <c r="B1501" s="17" t="inlineStr">
        <is>
          <t>Nguyễn Quang Anh Tuấn</t>
        </is>
      </c>
      <c r="C1501" s="16" t="n">
        <v>46048</v>
      </c>
      <c r="D1501" s="17" t="n">
        <v>0</v>
      </c>
      <c r="E1501" s="17" t="n">
        <v>0</v>
      </c>
      <c r="F1501" s="17" t="n">
        <v>0</v>
      </c>
      <c r="G1501" s="17" t="n">
        <v>0</v>
      </c>
      <c r="H1501" s="17" t="n">
        <v>0</v>
      </c>
      <c r="I1501" s="17" t="n">
        <v>0</v>
      </c>
      <c r="J1501" s="17" t="n">
        <v>0</v>
      </c>
      <c r="K1501" s="17" t="n">
        <v>0</v>
      </c>
      <c r="L1501" s="17" t="n">
        <v>0</v>
      </c>
      <c r="M1501" s="17" t="n">
        <v>0</v>
      </c>
      <c r="N1501" s="17" t="n">
        <v>0</v>
      </c>
      <c r="O1501" s="17" t="n">
        <v>0</v>
      </c>
      <c r="P1501" s="17" t="n">
        <v>0</v>
      </c>
      <c r="Q1501" s="17" t="n">
        <v>3</v>
      </c>
      <c r="R1501" s="17" t="n">
        <v>0</v>
      </c>
      <c r="T1501" s="17">
        <f>DAY(C1501)</f>
        <v/>
      </c>
      <c r="U1501" s="17">
        <f>MONTH(C1501)</f>
        <v/>
      </c>
    </row>
    <row r="1502" ht="22.5" customHeight="1" s="117">
      <c r="A1502" s="14" t="n">
        <v>46049.30119863426</v>
      </c>
      <c r="B1502" s="17" t="inlineStr">
        <is>
          <t>Nguyễn Tuấn Anh</t>
        </is>
      </c>
      <c r="C1502" s="16" t="n">
        <v>46048</v>
      </c>
      <c r="D1502" s="17" t="n">
        <v>0</v>
      </c>
      <c r="E1502" s="17" t="n">
        <v>0</v>
      </c>
      <c r="F1502" s="17" t="n">
        <v>0</v>
      </c>
      <c r="G1502" s="17" t="n">
        <v>2</v>
      </c>
      <c r="H1502" s="17" t="n">
        <v>1</v>
      </c>
      <c r="I1502" s="17" t="n">
        <v>2</v>
      </c>
      <c r="J1502" s="17" t="n">
        <v>0</v>
      </c>
      <c r="K1502" s="17" t="n">
        <v>2</v>
      </c>
      <c r="L1502" s="17" t="n">
        <v>0</v>
      </c>
      <c r="M1502" s="17" t="n">
        <v>0</v>
      </c>
      <c r="N1502" s="17" t="n">
        <v>2</v>
      </c>
      <c r="O1502" s="17" t="n">
        <v>0</v>
      </c>
      <c r="P1502" s="17" t="n">
        <v>0</v>
      </c>
      <c r="Q1502" s="17" t="n">
        <v>2</v>
      </c>
      <c r="R1502" s="17" t="n">
        <v>0</v>
      </c>
      <c r="T1502" s="17">
        <f>DAY(C1502)</f>
        <v/>
      </c>
      <c r="U1502" s="17">
        <f>MONTH(C1502)</f>
        <v/>
      </c>
    </row>
    <row r="1503" ht="22.5" customHeight="1" s="117">
      <c r="A1503" s="14" t="n">
        <v>46049.30122569444</v>
      </c>
      <c r="B1503" s="17" t="inlineStr">
        <is>
          <t>Đặng Hoài Anh</t>
        </is>
      </c>
      <c r="C1503" s="16" t="n">
        <v>46048</v>
      </c>
      <c r="D1503" s="17" t="n">
        <v>2</v>
      </c>
      <c r="E1503" s="17" t="n">
        <v>2</v>
      </c>
      <c r="F1503" s="17" t="n">
        <v>0</v>
      </c>
      <c r="G1503" s="17" t="n">
        <v>0</v>
      </c>
      <c r="H1503" s="17" t="n">
        <v>0</v>
      </c>
      <c r="I1503" s="17" t="n">
        <v>0</v>
      </c>
      <c r="J1503" s="17" t="n">
        <v>0</v>
      </c>
      <c r="K1503" s="17" t="n">
        <v>0</v>
      </c>
      <c r="L1503" s="17" t="n">
        <v>0</v>
      </c>
      <c r="M1503" s="17" t="n">
        <v>2</v>
      </c>
      <c r="N1503" s="17" t="n">
        <v>0</v>
      </c>
      <c r="O1503" s="17" t="n">
        <v>0</v>
      </c>
      <c r="P1503" s="17" t="n">
        <v>0</v>
      </c>
      <c r="Q1503" s="17" t="n">
        <v>0</v>
      </c>
      <c r="R1503" s="17" t="n">
        <v>0</v>
      </c>
      <c r="T1503" s="17">
        <f>DAY(C1503)</f>
        <v/>
      </c>
      <c r="U1503" s="17">
        <f>MONTH(C1503)</f>
        <v/>
      </c>
    </row>
    <row r="1504" ht="22.5" customHeight="1" s="117">
      <c r="A1504" s="14" t="n">
        <v>46049.3094584375</v>
      </c>
      <c r="B1504" s="17" t="inlineStr">
        <is>
          <t>Lê Hồng Phong</t>
        </is>
      </c>
      <c r="C1504" s="16" t="n">
        <v>46049</v>
      </c>
      <c r="D1504" s="17" t="n">
        <v>1</v>
      </c>
      <c r="E1504" s="17" t="n">
        <v>1</v>
      </c>
      <c r="F1504" s="17" t="n">
        <v>1</v>
      </c>
      <c r="G1504" s="17" t="n">
        <v>1</v>
      </c>
      <c r="H1504" s="17" t="n">
        <v>1</v>
      </c>
      <c r="I1504" s="17" t="n">
        <v>1</v>
      </c>
      <c r="J1504" s="17" t="n">
        <v>1</v>
      </c>
      <c r="K1504" s="17" t="n">
        <v>1</v>
      </c>
      <c r="L1504" s="17" t="n">
        <v>1</v>
      </c>
      <c r="M1504" s="17" t="n">
        <v>1</v>
      </c>
      <c r="N1504" s="17" t="n">
        <v>1</v>
      </c>
      <c r="O1504" s="17" t="n">
        <v>1</v>
      </c>
      <c r="P1504" s="17" t="n">
        <v>1</v>
      </c>
      <c r="Q1504" s="17" t="n">
        <v>1</v>
      </c>
      <c r="R1504" s="17" t="n">
        <v>1</v>
      </c>
      <c r="T1504" s="17">
        <f>DAY(C1504)</f>
        <v/>
      </c>
      <c r="U1504" s="17">
        <f>MONTH(C1504)</f>
        <v/>
      </c>
    </row>
    <row r="1505" ht="22.5" customHeight="1" s="117">
      <c r="A1505" s="14" t="n">
        <v>46049.33526699074</v>
      </c>
      <c r="B1505" s="17" t="inlineStr">
        <is>
          <t>Nguyễn Hồng Minh</t>
        </is>
      </c>
      <c r="C1505" s="16" t="n">
        <v>46048</v>
      </c>
      <c r="D1505" s="17" t="n">
        <v>1</v>
      </c>
      <c r="E1505" s="17" t="n">
        <v>1</v>
      </c>
      <c r="F1505" s="17" t="n">
        <v>1</v>
      </c>
      <c r="G1505" s="17" t="n">
        <v>0</v>
      </c>
      <c r="H1505" s="17" t="n">
        <v>0</v>
      </c>
      <c r="I1505" s="17" t="n">
        <v>0</v>
      </c>
      <c r="J1505" s="17" t="n">
        <v>0</v>
      </c>
      <c r="K1505" s="17" t="n">
        <v>4</v>
      </c>
      <c r="L1505" s="17" t="n">
        <v>0</v>
      </c>
      <c r="M1505" s="17" t="n">
        <v>1</v>
      </c>
      <c r="N1505" s="17" t="n">
        <v>1</v>
      </c>
      <c r="O1505" s="17" t="n">
        <v>1</v>
      </c>
      <c r="P1505" s="17" t="n">
        <v>0</v>
      </c>
      <c r="Q1505" s="17" t="n">
        <v>4</v>
      </c>
      <c r="R1505" s="17" t="n">
        <v>0</v>
      </c>
      <c r="T1505" s="17">
        <f>DAY(C1505)</f>
        <v/>
      </c>
      <c r="U1505" s="17">
        <f>MONTH(C1505)</f>
        <v/>
      </c>
    </row>
    <row r="1506" ht="22.5" customHeight="1" s="117">
      <c r="A1506" s="14" t="n">
        <v>46049.34807116898</v>
      </c>
      <c r="B1506" s="17" t="inlineStr">
        <is>
          <t>Huỳnh Văn Lực</t>
        </is>
      </c>
      <c r="C1506" s="16" t="n">
        <v>46048</v>
      </c>
      <c r="D1506" s="17" t="n">
        <v>1</v>
      </c>
      <c r="E1506" s="17" t="n">
        <v>1</v>
      </c>
      <c r="F1506" s="17" t="n">
        <v>1</v>
      </c>
      <c r="G1506" s="17" t="n">
        <v>0</v>
      </c>
      <c r="H1506" s="17" t="n">
        <v>0</v>
      </c>
      <c r="I1506" s="17" t="n">
        <v>0</v>
      </c>
      <c r="J1506" s="17" t="n">
        <v>0</v>
      </c>
      <c r="K1506" s="17" t="n">
        <v>0</v>
      </c>
      <c r="L1506" s="17" t="n">
        <v>0</v>
      </c>
      <c r="M1506" s="17" t="n">
        <v>1</v>
      </c>
      <c r="N1506" s="17" t="n">
        <v>0</v>
      </c>
      <c r="O1506" s="17" t="n">
        <v>0</v>
      </c>
      <c r="P1506" s="17" t="n">
        <v>0</v>
      </c>
      <c r="Q1506" s="17" t="n">
        <v>1</v>
      </c>
      <c r="R1506" s="17" t="n">
        <v>0</v>
      </c>
      <c r="T1506" s="17">
        <f>DAY(C1506)</f>
        <v/>
      </c>
      <c r="U1506" s="17">
        <f>MONTH(C1506)</f>
        <v/>
      </c>
    </row>
    <row r="1507" ht="22.5" customHeight="1" s="117">
      <c r="A1507" s="14" t="n">
        <v>46049.56453280093</v>
      </c>
      <c r="B1507" s="17" t="inlineStr">
        <is>
          <t>Dương Minh Tiến</t>
        </is>
      </c>
      <c r="C1507" s="16" t="n">
        <v>46049</v>
      </c>
      <c r="D1507" s="17" t="n">
        <v>0</v>
      </c>
      <c r="E1507" s="17" t="n">
        <v>0</v>
      </c>
      <c r="F1507" s="17" t="n">
        <v>0</v>
      </c>
      <c r="G1507" s="17" t="n">
        <v>0</v>
      </c>
      <c r="H1507" s="17" t="n">
        <v>0</v>
      </c>
      <c r="I1507" s="17" t="n">
        <v>0</v>
      </c>
      <c r="J1507" s="17" t="n">
        <v>0</v>
      </c>
      <c r="K1507" s="17" t="n">
        <v>2</v>
      </c>
      <c r="L1507" s="17" t="n">
        <v>0</v>
      </c>
      <c r="M1507" s="17" t="n">
        <v>0</v>
      </c>
      <c r="N1507" s="17" t="n">
        <v>0</v>
      </c>
      <c r="O1507" s="17" t="n">
        <v>0</v>
      </c>
      <c r="P1507" s="17" t="n">
        <v>1</v>
      </c>
      <c r="Q1507" s="17" t="n">
        <v>0</v>
      </c>
      <c r="R1507" s="17" t="n">
        <v>0</v>
      </c>
      <c r="T1507" s="17">
        <f>DAY(C1507)</f>
        <v/>
      </c>
      <c r="U1507" s="17">
        <f>MONTH(C1507)</f>
        <v/>
      </c>
    </row>
    <row r="1508" ht="22.5" customHeight="1" s="117">
      <c r="A1508" s="14" t="n">
        <v>46050.28676549769</v>
      </c>
      <c r="B1508" s="17" t="inlineStr">
        <is>
          <t>Trần Trung Giang</t>
        </is>
      </c>
      <c r="C1508" s="16" t="n">
        <v>46049</v>
      </c>
      <c r="D1508" s="17" t="n">
        <v>0</v>
      </c>
      <c r="E1508" s="17" t="n">
        <v>0</v>
      </c>
      <c r="F1508" s="17" t="n">
        <v>0</v>
      </c>
      <c r="G1508" s="17" t="n">
        <v>0</v>
      </c>
      <c r="H1508" s="17" t="n">
        <v>0</v>
      </c>
      <c r="I1508" s="17" t="n">
        <v>0</v>
      </c>
      <c r="J1508" s="17" t="n">
        <v>0</v>
      </c>
      <c r="K1508" s="17" t="n">
        <v>2</v>
      </c>
      <c r="L1508" s="17" t="n">
        <v>0</v>
      </c>
      <c r="M1508" s="17" t="n">
        <v>0</v>
      </c>
      <c r="N1508" s="17" t="n">
        <v>0</v>
      </c>
      <c r="O1508" s="17" t="n">
        <v>0</v>
      </c>
      <c r="P1508" s="17" t="n">
        <v>0</v>
      </c>
      <c r="Q1508" s="17" t="n">
        <v>1</v>
      </c>
      <c r="R1508" s="17" t="n">
        <v>0</v>
      </c>
      <c r="T1508" s="17">
        <f>DAY(C1508)</f>
        <v/>
      </c>
      <c r="U1508" s="17">
        <f>MONTH(C1508)</f>
        <v/>
      </c>
    </row>
    <row r="1509" ht="22.5" customHeight="1" s="117">
      <c r="A1509" s="14" t="n">
        <v>46050.28833996528</v>
      </c>
      <c r="B1509" s="17" t="inlineStr">
        <is>
          <t>Nguyễn Quang Anh Tuấn</t>
        </is>
      </c>
      <c r="C1509" s="16" t="n">
        <v>46049</v>
      </c>
      <c r="D1509" s="17" t="n">
        <v>0</v>
      </c>
      <c r="E1509" s="17" t="n">
        <v>0</v>
      </c>
      <c r="F1509" s="17" t="n">
        <v>0</v>
      </c>
      <c r="G1509" s="17" t="n">
        <v>0</v>
      </c>
      <c r="H1509" s="17" t="n">
        <v>0</v>
      </c>
      <c r="I1509" s="17" t="n">
        <v>0</v>
      </c>
      <c r="J1509" s="17" t="n">
        <v>0</v>
      </c>
      <c r="K1509" s="17" t="n">
        <v>3</v>
      </c>
      <c r="L1509" s="17" t="n">
        <v>0</v>
      </c>
      <c r="M1509" s="17" t="n">
        <v>0</v>
      </c>
      <c r="N1509" s="17" t="n">
        <v>0</v>
      </c>
      <c r="O1509" s="17" t="n">
        <v>0</v>
      </c>
      <c r="P1509" s="17" t="n">
        <v>1</v>
      </c>
      <c r="Q1509" s="17" t="n">
        <v>2</v>
      </c>
      <c r="R1509" s="17" t="n">
        <v>0</v>
      </c>
      <c r="T1509" s="17">
        <f>DAY(C1509)</f>
        <v/>
      </c>
      <c r="U1509" s="17">
        <f>MONTH(C1509)</f>
        <v/>
      </c>
    </row>
    <row r="1510" ht="22.5" customHeight="1" s="117">
      <c r="A1510" s="14" t="n">
        <v>46050.29168509259</v>
      </c>
      <c r="B1510" s="17" t="inlineStr">
        <is>
          <t>Lê Hồng Phong</t>
        </is>
      </c>
      <c r="C1510" s="16" t="n">
        <v>46050</v>
      </c>
      <c r="D1510" s="17" t="n">
        <v>1</v>
      </c>
      <c r="E1510" s="17" t="n">
        <v>1</v>
      </c>
      <c r="F1510" s="17" t="n">
        <v>1</v>
      </c>
      <c r="G1510" s="17" t="n">
        <v>1</v>
      </c>
      <c r="H1510" s="17" t="n">
        <v>1</v>
      </c>
      <c r="I1510" s="17" t="n">
        <v>1</v>
      </c>
      <c r="J1510" s="17" t="n">
        <v>1</v>
      </c>
      <c r="K1510" s="17" t="n">
        <v>1</v>
      </c>
      <c r="L1510" s="17" t="n">
        <v>1</v>
      </c>
      <c r="M1510" s="17" t="n">
        <v>1</v>
      </c>
      <c r="N1510" s="17" t="n">
        <v>1</v>
      </c>
      <c r="O1510" s="17" t="n">
        <v>1</v>
      </c>
      <c r="P1510" s="17" t="n">
        <v>1</v>
      </c>
      <c r="Q1510" s="17" t="n">
        <v>1</v>
      </c>
      <c r="R1510" s="17" t="n">
        <v>1</v>
      </c>
      <c r="T1510" s="17">
        <f>DAY(C1510)</f>
        <v/>
      </c>
      <c r="U1510" s="17">
        <f>MONTH(C1510)</f>
        <v/>
      </c>
    </row>
    <row r="1511" ht="22.5" customHeight="1" s="117">
      <c r="A1511" s="14" t="n">
        <v>46050.2953640162</v>
      </c>
      <c r="B1511" s="17" t="inlineStr">
        <is>
          <t>Nguyễn Văn Hiệp</t>
        </is>
      </c>
      <c r="C1511" s="16" t="n">
        <v>46049</v>
      </c>
      <c r="D1511" s="17" t="n">
        <v>1</v>
      </c>
      <c r="E1511" s="17" t="n">
        <v>0</v>
      </c>
      <c r="F1511" s="17" t="n">
        <v>0</v>
      </c>
      <c r="G1511" s="17" t="n">
        <v>0</v>
      </c>
      <c r="H1511" s="17" t="n">
        <v>0</v>
      </c>
      <c r="I1511" s="17" t="n">
        <v>1</v>
      </c>
      <c r="J1511" s="17" t="n">
        <v>0</v>
      </c>
      <c r="K1511" s="17" t="n">
        <v>0</v>
      </c>
      <c r="L1511" s="17" t="n">
        <v>0</v>
      </c>
      <c r="M1511" s="17" t="n">
        <v>1</v>
      </c>
      <c r="N1511" s="17" t="n">
        <v>0</v>
      </c>
      <c r="O1511" s="17" t="n">
        <v>0</v>
      </c>
      <c r="P1511" s="17" t="n">
        <v>0</v>
      </c>
      <c r="Q1511" s="17" t="n">
        <v>0</v>
      </c>
      <c r="R1511" s="17" t="n">
        <v>0</v>
      </c>
      <c r="T1511" s="17">
        <f>DAY(C1511)</f>
        <v/>
      </c>
      <c r="U1511" s="17">
        <f>MONTH(C1511)</f>
        <v/>
      </c>
    </row>
    <row r="1512" ht="22.5" customHeight="1" s="117">
      <c r="A1512" s="14" t="n">
        <v>46050.29622592593</v>
      </c>
      <c r="B1512" s="17" t="inlineStr">
        <is>
          <t>Lương Duy Hoàng</t>
        </is>
      </c>
      <c r="C1512" s="16" t="n">
        <v>46049</v>
      </c>
      <c r="D1512" s="17" t="n">
        <v>0</v>
      </c>
      <c r="E1512" s="17" t="n">
        <v>0</v>
      </c>
      <c r="F1512" s="17" t="n">
        <v>0</v>
      </c>
      <c r="G1512" s="17" t="n">
        <v>0</v>
      </c>
      <c r="H1512" s="17" t="n">
        <v>0</v>
      </c>
      <c r="I1512" s="17" t="n">
        <v>0</v>
      </c>
      <c r="J1512" s="17" t="n">
        <v>0</v>
      </c>
      <c r="K1512" s="17" t="n">
        <v>4</v>
      </c>
      <c r="L1512" s="17" t="n">
        <v>0</v>
      </c>
      <c r="M1512" s="17" t="n">
        <v>2</v>
      </c>
      <c r="N1512" s="17" t="n">
        <v>0</v>
      </c>
      <c r="O1512" s="17" t="n">
        <v>0</v>
      </c>
      <c r="P1512" s="17" t="n">
        <v>0</v>
      </c>
      <c r="Q1512" s="17" t="n">
        <v>1</v>
      </c>
      <c r="R1512" s="17" t="n">
        <v>0</v>
      </c>
      <c r="T1512" s="17">
        <f>DAY(C1512)</f>
        <v/>
      </c>
      <c r="U1512" s="17">
        <f>MONTH(C1512)</f>
        <v/>
      </c>
    </row>
    <row r="1513" ht="22.5" customHeight="1" s="117">
      <c r="A1513" s="14" t="n">
        <v>46050.29795902778</v>
      </c>
      <c r="B1513" s="17" t="inlineStr">
        <is>
          <t>Trần Xuân Khoa</t>
        </is>
      </c>
      <c r="C1513" s="16" t="n">
        <v>46049</v>
      </c>
      <c r="D1513" s="17" t="n">
        <v>1</v>
      </c>
      <c r="E1513" s="17" t="n">
        <v>1</v>
      </c>
      <c r="F1513" s="17" t="n">
        <v>1</v>
      </c>
      <c r="G1513" s="17" t="n">
        <v>0</v>
      </c>
      <c r="H1513" s="17" t="n">
        <v>0</v>
      </c>
      <c r="I1513" s="17" t="n">
        <v>0</v>
      </c>
      <c r="J1513" s="17" t="n">
        <v>0</v>
      </c>
      <c r="K1513" s="17" t="n">
        <v>1</v>
      </c>
      <c r="L1513" s="17" t="n">
        <v>0</v>
      </c>
      <c r="M1513" s="17" t="n">
        <v>0</v>
      </c>
      <c r="N1513" s="17" t="n">
        <v>0</v>
      </c>
      <c r="O1513" s="17" t="n">
        <v>0</v>
      </c>
      <c r="P1513" s="17" t="n">
        <v>0</v>
      </c>
      <c r="Q1513" s="17" t="n">
        <v>2</v>
      </c>
      <c r="R1513" s="17" t="n">
        <v>0</v>
      </c>
      <c r="T1513" s="17">
        <f>DAY(C1513)</f>
        <v/>
      </c>
      <c r="U1513" s="17">
        <f>MONTH(C1513)</f>
        <v/>
      </c>
    </row>
    <row r="1514" ht="22.5" customHeight="1" s="117">
      <c r="A1514" s="14" t="n">
        <v>46050.30365903935</v>
      </c>
      <c r="B1514" s="17" t="inlineStr">
        <is>
          <t>Nguyễn Tuấn Anh</t>
        </is>
      </c>
      <c r="C1514" s="16" t="n">
        <v>46049</v>
      </c>
      <c r="D1514" s="17" t="n">
        <v>0</v>
      </c>
      <c r="E1514" s="17" t="n">
        <v>0</v>
      </c>
      <c r="F1514" s="17" t="n">
        <v>0</v>
      </c>
      <c r="G1514" s="17" t="n">
        <v>0</v>
      </c>
      <c r="H1514" s="17" t="n">
        <v>0</v>
      </c>
      <c r="I1514" s="17" t="n">
        <v>2</v>
      </c>
      <c r="J1514" s="17" t="n">
        <v>0</v>
      </c>
      <c r="K1514" s="17" t="n">
        <v>7</v>
      </c>
      <c r="L1514" s="17" t="n">
        <v>0</v>
      </c>
      <c r="M1514" s="17" t="n">
        <v>0</v>
      </c>
      <c r="N1514" s="17" t="n">
        <v>2</v>
      </c>
      <c r="O1514" s="17" t="n">
        <v>0</v>
      </c>
      <c r="P1514" s="17" t="n">
        <v>0</v>
      </c>
      <c r="Q1514" s="17" t="n">
        <v>2</v>
      </c>
      <c r="R1514" s="17" t="n">
        <v>0</v>
      </c>
      <c r="T1514" s="17">
        <f>DAY(C1514)</f>
        <v/>
      </c>
      <c r="U1514" s="17">
        <f>MONTH(C1514)</f>
        <v/>
      </c>
    </row>
    <row r="1515" ht="22.5" customHeight="1" s="117">
      <c r="A1515" s="14" t="n">
        <v>46050.30478877314</v>
      </c>
      <c r="B1515" s="17" t="inlineStr">
        <is>
          <t>Đặng Hoài Anh</t>
        </is>
      </c>
      <c r="C1515" s="16" t="n">
        <v>46049</v>
      </c>
      <c r="D1515" s="17" t="n">
        <v>0</v>
      </c>
      <c r="E1515" s="17" t="n">
        <v>0</v>
      </c>
      <c r="F1515" s="17" t="n">
        <v>0</v>
      </c>
      <c r="G1515" s="17" t="n">
        <v>1</v>
      </c>
      <c r="H1515" s="17" t="n">
        <v>1</v>
      </c>
      <c r="I1515" s="17" t="n">
        <v>0</v>
      </c>
      <c r="J1515" s="17" t="n">
        <v>0</v>
      </c>
      <c r="K1515" s="17" t="n">
        <v>2</v>
      </c>
      <c r="L1515" s="17" t="n">
        <v>1</v>
      </c>
      <c r="M1515" s="17" t="n">
        <v>0</v>
      </c>
      <c r="N1515" s="17" t="n">
        <v>0</v>
      </c>
      <c r="O1515" s="17" t="n">
        <v>0</v>
      </c>
      <c r="P1515" s="17" t="n">
        <v>0</v>
      </c>
      <c r="Q1515" s="17" t="n">
        <v>1</v>
      </c>
      <c r="R1515" s="17" t="n">
        <v>0</v>
      </c>
      <c r="T1515" s="17">
        <f>DAY(C1515)</f>
        <v/>
      </c>
      <c r="U1515" s="17">
        <f>MONTH(C1515)</f>
        <v/>
      </c>
    </row>
    <row r="1516" ht="22.5" customHeight="1" s="117">
      <c r="A1516" s="14" t="n">
        <v>46050.31492244213</v>
      </c>
      <c r="B1516" s="17" t="inlineStr">
        <is>
          <t>Vòng Nhật Sang</t>
        </is>
      </c>
      <c r="C1516" s="16" t="n">
        <v>46049</v>
      </c>
      <c r="D1516" s="17" t="n">
        <v>0</v>
      </c>
      <c r="E1516" s="17" t="n">
        <v>0</v>
      </c>
      <c r="F1516" s="17" t="n">
        <v>0</v>
      </c>
      <c r="G1516" s="17" t="n">
        <v>0</v>
      </c>
      <c r="H1516" s="17" t="n">
        <v>0</v>
      </c>
      <c r="I1516" s="17" t="n">
        <v>0</v>
      </c>
      <c r="J1516" s="17" t="n">
        <v>0</v>
      </c>
      <c r="K1516" s="17" t="n">
        <v>0</v>
      </c>
      <c r="L1516" s="17" t="n">
        <v>0</v>
      </c>
      <c r="M1516" s="17" t="n">
        <v>0</v>
      </c>
      <c r="N1516" s="17" t="n">
        <v>0</v>
      </c>
      <c r="O1516" s="17" t="n">
        <v>0</v>
      </c>
      <c r="P1516" s="17" t="n">
        <v>3</v>
      </c>
      <c r="Q1516" s="17" t="n">
        <v>3</v>
      </c>
      <c r="R1516" s="17" t="n">
        <v>0</v>
      </c>
      <c r="T1516" s="17">
        <f>DAY(C1516)</f>
        <v/>
      </c>
      <c r="U1516" s="17">
        <f>MONTH(C1516)</f>
        <v/>
      </c>
    </row>
    <row r="1517" ht="22.5" customHeight="1" s="117">
      <c r="A1517" s="14" t="n">
        <v>46050.32040973379</v>
      </c>
      <c r="B1517" s="17" t="inlineStr">
        <is>
          <t>Huỳnh Văn Lực</t>
        </is>
      </c>
      <c r="C1517" s="16" t="n">
        <v>46049</v>
      </c>
      <c r="D1517" s="17" t="n">
        <v>0</v>
      </c>
      <c r="E1517" s="17" t="n">
        <v>0</v>
      </c>
      <c r="F1517" s="17" t="n">
        <v>0</v>
      </c>
      <c r="G1517" s="17" t="n">
        <v>0</v>
      </c>
      <c r="H1517" s="17" t="n">
        <v>0</v>
      </c>
      <c r="I1517" s="17" t="n">
        <v>0</v>
      </c>
      <c r="J1517" s="17" t="n">
        <v>0</v>
      </c>
      <c r="K1517" s="17" t="n">
        <v>0</v>
      </c>
      <c r="L1517" s="17" t="n">
        <v>0</v>
      </c>
      <c r="M1517" s="17" t="n">
        <v>0</v>
      </c>
      <c r="N1517" s="17" t="n">
        <v>0</v>
      </c>
      <c r="O1517" s="17" t="n">
        <v>0</v>
      </c>
      <c r="P1517" s="17" t="n">
        <v>0</v>
      </c>
      <c r="Q1517" s="17" t="n">
        <v>1</v>
      </c>
      <c r="R1517" s="17" t="n">
        <v>0</v>
      </c>
      <c r="T1517" s="17">
        <f>DAY(C1517)</f>
        <v/>
      </c>
      <c r="U1517" s="17">
        <f>MONTH(C1517)</f>
        <v/>
      </c>
    </row>
    <row r="1518" ht="22.5" customHeight="1" s="117">
      <c r="A1518" s="14" t="n">
        <v>46050.32257517361</v>
      </c>
      <c r="B1518" s="17" t="inlineStr">
        <is>
          <t>Nguyễn Hồng Minh</t>
        </is>
      </c>
      <c r="C1518" s="16" t="n">
        <v>46049</v>
      </c>
      <c r="D1518" s="17" t="n">
        <v>1</v>
      </c>
      <c r="E1518" s="17" t="n">
        <v>1</v>
      </c>
      <c r="F1518" s="17" t="n">
        <v>1</v>
      </c>
      <c r="G1518" s="17" t="n">
        <v>0</v>
      </c>
      <c r="H1518" s="17" t="n">
        <v>0</v>
      </c>
      <c r="I1518" s="17" t="n">
        <v>2</v>
      </c>
      <c r="J1518" s="17" t="n">
        <v>0</v>
      </c>
      <c r="K1518" s="17" t="n">
        <v>3</v>
      </c>
      <c r="L1518" s="17" t="n">
        <v>0</v>
      </c>
      <c r="M1518" s="17" t="n">
        <v>1</v>
      </c>
      <c r="N1518" s="17" t="n">
        <v>0</v>
      </c>
      <c r="O1518" s="17" t="n">
        <v>1</v>
      </c>
      <c r="P1518" s="17" t="n">
        <v>0</v>
      </c>
      <c r="Q1518" s="17" t="n">
        <v>6</v>
      </c>
      <c r="R1518" s="17" t="n">
        <v>0</v>
      </c>
      <c r="T1518" s="17">
        <f>DAY(C1518)</f>
        <v/>
      </c>
      <c r="U1518" s="17">
        <f>MONTH(C1518)</f>
        <v/>
      </c>
    </row>
    <row r="1519" ht="22.5" customHeight="1" s="117">
      <c r="A1519" s="14" t="n">
        <v>46051.28292710648</v>
      </c>
      <c r="B1519" s="17" t="inlineStr">
        <is>
          <t>Lương Duy Hoàng</t>
        </is>
      </c>
      <c r="C1519" s="16" t="n">
        <v>46050</v>
      </c>
      <c r="D1519" s="17" t="n">
        <v>0</v>
      </c>
      <c r="E1519" s="17" t="n">
        <v>0</v>
      </c>
      <c r="F1519" s="17" t="n">
        <v>0</v>
      </c>
      <c r="G1519" s="17" t="n">
        <v>0</v>
      </c>
      <c r="H1519" s="17" t="n">
        <v>0</v>
      </c>
      <c r="I1519" s="17" t="n">
        <v>0</v>
      </c>
      <c r="J1519" s="17" t="n">
        <v>0</v>
      </c>
      <c r="K1519" s="17" t="n">
        <v>3</v>
      </c>
      <c r="L1519" s="17" t="n">
        <v>0</v>
      </c>
      <c r="M1519" s="17" t="n">
        <v>0</v>
      </c>
      <c r="N1519" s="17" t="n">
        <v>0</v>
      </c>
      <c r="O1519" s="17" t="n">
        <v>0</v>
      </c>
      <c r="P1519" s="17" t="n">
        <v>0</v>
      </c>
      <c r="Q1519" s="17" t="n">
        <v>2</v>
      </c>
      <c r="R1519" s="17" t="n">
        <v>0</v>
      </c>
      <c r="T1519" s="17">
        <f>DAY(C1519)</f>
        <v/>
      </c>
      <c r="U1519" s="17">
        <f>MONTH(C1519)</f>
        <v/>
      </c>
    </row>
    <row r="1520" ht="22.5" customHeight="1" s="117">
      <c r="A1520" s="14" t="n">
        <v>46051.28355043982</v>
      </c>
      <c r="B1520" s="17" t="inlineStr">
        <is>
          <t>Lê Hồng Phong</t>
        </is>
      </c>
      <c r="C1520" s="16" t="n">
        <v>46051</v>
      </c>
      <c r="D1520" s="17" t="n">
        <v>1</v>
      </c>
      <c r="E1520" s="17" t="n">
        <v>1</v>
      </c>
      <c r="F1520" s="17" t="n">
        <v>1</v>
      </c>
      <c r="G1520" s="17" t="n">
        <v>1</v>
      </c>
      <c r="H1520" s="17" t="n">
        <v>1</v>
      </c>
      <c r="I1520" s="17" t="n">
        <v>1</v>
      </c>
      <c r="J1520" s="17" t="n">
        <v>1</v>
      </c>
      <c r="K1520" s="17" t="n">
        <v>1</v>
      </c>
      <c r="L1520" s="17" t="n">
        <v>1</v>
      </c>
      <c r="M1520" s="17" t="n">
        <v>1</v>
      </c>
      <c r="N1520" s="17" t="n">
        <v>1</v>
      </c>
      <c r="O1520" s="17" t="n">
        <v>1</v>
      </c>
      <c r="P1520" s="17" t="n">
        <v>1</v>
      </c>
      <c r="Q1520" s="17" t="n">
        <v>1</v>
      </c>
      <c r="R1520" s="17" t="n">
        <v>1</v>
      </c>
      <c r="T1520" s="17">
        <f>DAY(C1520)</f>
        <v/>
      </c>
      <c r="U1520" s="17">
        <f>MONTH(C1520)</f>
        <v/>
      </c>
    </row>
    <row r="1521" ht="22.5" customHeight="1" s="117">
      <c r="A1521" s="14" t="n">
        <v>46051.28835119213</v>
      </c>
      <c r="B1521" s="17" t="inlineStr">
        <is>
          <t>Trần Trung Giang</t>
        </is>
      </c>
      <c r="C1521" s="16" t="n">
        <v>46050</v>
      </c>
      <c r="D1521" s="17" t="n">
        <v>0</v>
      </c>
      <c r="E1521" s="17" t="n">
        <v>0</v>
      </c>
      <c r="F1521" s="17" t="n">
        <v>0</v>
      </c>
      <c r="G1521" s="17" t="n">
        <v>0</v>
      </c>
      <c r="H1521" s="17" t="n">
        <v>0</v>
      </c>
      <c r="I1521" s="17" t="n">
        <v>0</v>
      </c>
      <c r="J1521" s="17" t="n">
        <v>0</v>
      </c>
      <c r="K1521" s="17" t="n">
        <v>0</v>
      </c>
      <c r="L1521" s="17" t="n">
        <v>0</v>
      </c>
      <c r="M1521" s="17" t="n">
        <v>0</v>
      </c>
      <c r="N1521" s="17" t="n">
        <v>0</v>
      </c>
      <c r="O1521" s="17" t="n">
        <v>0</v>
      </c>
      <c r="P1521" s="17" t="n">
        <v>1</v>
      </c>
      <c r="Q1521" s="17" t="n">
        <v>0</v>
      </c>
      <c r="R1521" s="17" t="n">
        <v>0</v>
      </c>
      <c r="T1521" s="17">
        <f>DAY(C1521)</f>
        <v/>
      </c>
      <c r="U1521" s="17">
        <f>MONTH(C1521)</f>
        <v/>
      </c>
    </row>
    <row r="1522" ht="22.5" customHeight="1" s="117">
      <c r="A1522" s="14" t="n">
        <v>46051.30171849537</v>
      </c>
      <c r="B1522" s="17" t="inlineStr">
        <is>
          <t>Nguyễn Văn Hiệp</t>
        </is>
      </c>
      <c r="C1522" s="16" t="n">
        <v>46050</v>
      </c>
      <c r="D1522" s="17" t="n">
        <v>0</v>
      </c>
      <c r="E1522" s="17" t="n">
        <v>0</v>
      </c>
      <c r="F1522" s="17" t="n">
        <v>0</v>
      </c>
      <c r="G1522" s="17" t="n">
        <v>0</v>
      </c>
      <c r="H1522" s="17" t="n">
        <v>0</v>
      </c>
      <c r="I1522" s="17" t="n">
        <v>0</v>
      </c>
      <c r="J1522" s="17" t="n">
        <v>0</v>
      </c>
      <c r="K1522" s="17" t="n">
        <v>0</v>
      </c>
      <c r="L1522" s="17" t="n">
        <v>0</v>
      </c>
      <c r="M1522" s="17" t="n">
        <v>0</v>
      </c>
      <c r="N1522" s="17" t="n">
        <v>0</v>
      </c>
      <c r="O1522" s="17" t="n">
        <v>0</v>
      </c>
      <c r="P1522" s="17" t="n">
        <v>0</v>
      </c>
      <c r="Q1522" s="17" t="n">
        <v>0</v>
      </c>
      <c r="R1522" s="17" t="n">
        <v>0</v>
      </c>
      <c r="T1522" s="17">
        <f>DAY(C1522)</f>
        <v/>
      </c>
      <c r="U1522" s="17">
        <f>MONTH(C1522)</f>
        <v/>
      </c>
    </row>
    <row r="1523" ht="22.5" customHeight="1" s="117">
      <c r="A1523" s="14" t="n">
        <v>46051.30269761574</v>
      </c>
      <c r="B1523" s="17" t="inlineStr">
        <is>
          <t>Nguyễn Quang Anh Tuấn</t>
        </is>
      </c>
      <c r="C1523" s="16" t="n">
        <v>46050</v>
      </c>
      <c r="D1523" s="17" t="n">
        <v>1</v>
      </c>
      <c r="E1523" s="17" t="n">
        <v>0</v>
      </c>
      <c r="F1523" s="17" t="n">
        <v>0</v>
      </c>
      <c r="G1523" s="17" t="n">
        <v>0</v>
      </c>
      <c r="H1523" s="17" t="n">
        <v>0</v>
      </c>
      <c r="I1523" s="17" t="n">
        <v>0</v>
      </c>
      <c r="J1523" s="17" t="n">
        <v>0</v>
      </c>
      <c r="K1523" s="17" t="n">
        <v>0</v>
      </c>
      <c r="L1523" s="17" t="n">
        <v>0</v>
      </c>
      <c r="M1523" s="17" t="n">
        <v>2</v>
      </c>
      <c r="N1523" s="17" t="n">
        <v>0</v>
      </c>
      <c r="O1523" s="17" t="n">
        <v>0</v>
      </c>
      <c r="P1523" s="17" t="n">
        <v>0</v>
      </c>
      <c r="Q1523" s="17" t="n">
        <v>2</v>
      </c>
      <c r="R1523" s="17" t="n">
        <v>0</v>
      </c>
      <c r="T1523" s="17">
        <f>DAY(C1523)</f>
        <v/>
      </c>
      <c r="U1523" s="17">
        <f>MONTH(C1523)</f>
        <v/>
      </c>
    </row>
    <row r="1524" ht="22.5" customHeight="1" s="117">
      <c r="A1524" s="14" t="n">
        <v>46051.30278724537</v>
      </c>
      <c r="B1524" s="17" t="inlineStr">
        <is>
          <t>Nguyễn Tuấn Anh</t>
        </is>
      </c>
      <c r="C1524" s="16" t="n">
        <v>46051</v>
      </c>
      <c r="D1524" s="17" t="n">
        <v>0</v>
      </c>
      <c r="E1524" s="17" t="n">
        <v>0</v>
      </c>
      <c r="F1524" s="17" t="n">
        <v>0</v>
      </c>
      <c r="G1524" s="17" t="n">
        <v>0</v>
      </c>
      <c r="H1524" s="17" t="n">
        <v>1</v>
      </c>
      <c r="I1524" s="17" t="n">
        <v>1</v>
      </c>
      <c r="J1524" s="17" t="n">
        <v>0</v>
      </c>
      <c r="K1524" s="17" t="n">
        <v>2</v>
      </c>
      <c r="L1524" s="17" t="n">
        <v>0</v>
      </c>
      <c r="M1524" s="17" t="n">
        <v>0</v>
      </c>
      <c r="N1524" s="17" t="n">
        <v>0</v>
      </c>
      <c r="O1524" s="17" t="n">
        <v>0</v>
      </c>
      <c r="P1524" s="17" t="n">
        <v>0</v>
      </c>
      <c r="Q1524" s="17" t="n">
        <v>5</v>
      </c>
      <c r="R1524" s="17" t="n">
        <v>0</v>
      </c>
      <c r="T1524" s="17">
        <f>DAY(C1524)</f>
        <v/>
      </c>
      <c r="U1524" s="17">
        <f>MONTH(C1524)</f>
        <v/>
      </c>
    </row>
    <row r="1525" ht="22.5" customHeight="1" s="117">
      <c r="A1525" s="14" t="n">
        <v>46051.3057439699</v>
      </c>
      <c r="B1525" s="17" t="inlineStr">
        <is>
          <t>Đặng Hoài Anh</t>
        </is>
      </c>
      <c r="C1525" s="16" t="n">
        <v>46050</v>
      </c>
      <c r="D1525" s="17" t="n">
        <v>0</v>
      </c>
      <c r="E1525" s="17" t="n">
        <v>0</v>
      </c>
      <c r="F1525" s="17" t="n">
        <v>0</v>
      </c>
      <c r="G1525" s="17" t="n">
        <v>0</v>
      </c>
      <c r="H1525" s="17" t="n">
        <v>0</v>
      </c>
      <c r="I1525" s="17" t="n">
        <v>1</v>
      </c>
      <c r="J1525" s="17" t="n">
        <v>0</v>
      </c>
      <c r="K1525" s="17" t="n">
        <v>0</v>
      </c>
      <c r="L1525" s="17" t="n">
        <v>0</v>
      </c>
      <c r="M1525" s="17" t="n">
        <v>0</v>
      </c>
      <c r="N1525" s="17" t="n">
        <v>0</v>
      </c>
      <c r="O1525" s="17" t="n">
        <v>0</v>
      </c>
      <c r="P1525" s="17" t="n">
        <v>0</v>
      </c>
      <c r="Q1525" s="17" t="n">
        <v>0</v>
      </c>
      <c r="R1525" s="17" t="n">
        <v>0</v>
      </c>
      <c r="T1525" s="17">
        <f>DAY(C1525)</f>
        <v/>
      </c>
      <c r="U1525" s="17">
        <f>MONTH(C1525)</f>
        <v/>
      </c>
    </row>
    <row r="1526" ht="22.5" customHeight="1" s="117">
      <c r="A1526" s="14" t="n">
        <v>46051.31613901621</v>
      </c>
      <c r="B1526" s="17" t="inlineStr">
        <is>
          <t>Huỳnh Văn Lực</t>
        </is>
      </c>
      <c r="C1526" s="16" t="n">
        <v>46050</v>
      </c>
      <c r="D1526" s="17" t="n">
        <v>1</v>
      </c>
      <c r="E1526" s="17" t="n">
        <v>1</v>
      </c>
      <c r="F1526" s="17" t="n">
        <v>0</v>
      </c>
      <c r="G1526" s="17" t="n">
        <v>0</v>
      </c>
      <c r="H1526" s="17" t="n">
        <v>0</v>
      </c>
      <c r="I1526" s="17" t="n">
        <v>0</v>
      </c>
      <c r="J1526" s="17" t="n">
        <v>0</v>
      </c>
      <c r="K1526" s="17" t="n">
        <v>2</v>
      </c>
      <c r="L1526" s="17" t="n">
        <v>0</v>
      </c>
      <c r="M1526" s="17" t="n">
        <v>0</v>
      </c>
      <c r="N1526" s="17" t="n">
        <v>0</v>
      </c>
      <c r="O1526" s="17" t="n">
        <v>0</v>
      </c>
      <c r="P1526" s="17" t="n">
        <v>2</v>
      </c>
      <c r="Q1526" s="17" t="n">
        <v>1</v>
      </c>
      <c r="R1526" s="17" t="n">
        <v>0</v>
      </c>
      <c r="T1526" s="17">
        <f>DAY(C1526)</f>
        <v/>
      </c>
      <c r="U1526" s="17">
        <f>MONTH(C1526)</f>
        <v/>
      </c>
    </row>
    <row r="1527" ht="22.5" customHeight="1" s="117">
      <c r="A1527" s="14" t="n">
        <v>46051.32265488426</v>
      </c>
      <c r="B1527" s="17" t="inlineStr">
        <is>
          <t>Nguyễn Hồng Minh</t>
        </is>
      </c>
      <c r="C1527" s="16" t="n">
        <v>46050</v>
      </c>
      <c r="D1527" s="17" t="n">
        <v>1</v>
      </c>
      <c r="E1527" s="17" t="n">
        <v>1</v>
      </c>
      <c r="F1527" s="17" t="n">
        <v>1</v>
      </c>
      <c r="G1527" s="17" t="n">
        <v>0</v>
      </c>
      <c r="H1527" s="17" t="n">
        <v>0</v>
      </c>
      <c r="I1527" s="17" t="n">
        <v>1</v>
      </c>
      <c r="J1527" s="17" t="n">
        <v>0</v>
      </c>
      <c r="K1527" s="17" t="n">
        <v>2</v>
      </c>
      <c r="L1527" s="17" t="n">
        <v>2</v>
      </c>
      <c r="M1527" s="17" t="n">
        <v>1</v>
      </c>
      <c r="N1527" s="17" t="n">
        <v>0</v>
      </c>
      <c r="O1527" s="17" t="n">
        <v>0</v>
      </c>
      <c r="P1527" s="17" t="n">
        <v>0</v>
      </c>
      <c r="Q1527" s="17" t="n">
        <v>3</v>
      </c>
      <c r="R1527" s="17" t="n">
        <v>0</v>
      </c>
      <c r="T1527" s="17">
        <f>DAY(C1527)</f>
        <v/>
      </c>
      <c r="U1527" s="17">
        <f>MONTH(C1527)</f>
        <v/>
      </c>
    </row>
    <row r="1528" ht="22.5" customHeight="1" s="117">
      <c r="A1528" s="14" t="n">
        <v>46051.32428622685</v>
      </c>
      <c r="B1528" s="17" t="inlineStr">
        <is>
          <t>Trần Xuân Khoa</t>
        </is>
      </c>
      <c r="C1528" s="16" t="n">
        <v>46050</v>
      </c>
      <c r="D1528" s="17" t="n">
        <v>0</v>
      </c>
      <c r="E1528" s="17" t="n">
        <v>0</v>
      </c>
      <c r="F1528" s="17" t="n">
        <v>0</v>
      </c>
      <c r="G1528" s="17" t="n">
        <v>0</v>
      </c>
      <c r="H1528" s="17" t="n">
        <v>0</v>
      </c>
      <c r="I1528" s="17" t="n">
        <v>0</v>
      </c>
      <c r="J1528" s="17" t="n">
        <v>0</v>
      </c>
      <c r="K1528" s="17" t="n">
        <v>11</v>
      </c>
      <c r="L1528" s="17" t="n">
        <v>0</v>
      </c>
      <c r="M1528" s="17" t="n">
        <v>0</v>
      </c>
      <c r="N1528" s="17" t="n">
        <v>0</v>
      </c>
      <c r="O1528" s="17" t="n">
        <v>0</v>
      </c>
      <c r="P1528" s="17" t="n">
        <v>0</v>
      </c>
      <c r="Q1528" s="17" t="n">
        <v>3</v>
      </c>
      <c r="R1528" s="17" t="n">
        <v>0</v>
      </c>
      <c r="T1528" s="17">
        <f>DAY(C1528)</f>
        <v/>
      </c>
      <c r="U1528" s="17">
        <f>MONTH(C1528)</f>
        <v/>
      </c>
    </row>
    <row r="1529" ht="22.5" customHeight="1" s="117">
      <c r="A1529" s="14" t="n">
        <v>46051.33468817129</v>
      </c>
      <c r="B1529" s="17" t="inlineStr">
        <is>
          <t>Vòng Nhật Sang</t>
        </is>
      </c>
      <c r="C1529" s="16" t="n">
        <v>46050</v>
      </c>
      <c r="D1529" s="17" t="n">
        <v>0</v>
      </c>
      <c r="E1529" s="17" t="n">
        <v>0</v>
      </c>
      <c r="F1529" s="17" t="n">
        <v>0</v>
      </c>
      <c r="G1529" s="17" t="n">
        <v>0</v>
      </c>
      <c r="H1529" s="17" t="n">
        <v>0</v>
      </c>
      <c r="I1529" s="17" t="n">
        <v>0</v>
      </c>
      <c r="J1529" s="17" t="n">
        <v>0</v>
      </c>
      <c r="K1529" s="17" t="n">
        <v>2</v>
      </c>
      <c r="L1529" s="17" t="n">
        <v>0</v>
      </c>
      <c r="M1529" s="17" t="n">
        <v>0</v>
      </c>
      <c r="N1529" s="17" t="n">
        <v>0</v>
      </c>
      <c r="O1529" s="17" t="n">
        <v>0</v>
      </c>
      <c r="P1529" s="17" t="n">
        <v>2</v>
      </c>
      <c r="Q1529" s="17" t="n">
        <v>2</v>
      </c>
      <c r="R1529" s="17" t="n">
        <v>0</v>
      </c>
      <c r="T1529" s="17">
        <f>DAY(C1529)</f>
        <v/>
      </c>
      <c r="U1529" s="17">
        <f>MONTH(C1529)</f>
        <v/>
      </c>
    </row>
    <row r="1530" ht="22.5" customHeight="1" s="117">
      <c r="A1530" s="14" t="n">
        <v>46052.28716324074</v>
      </c>
      <c r="B1530" s="17" t="inlineStr">
        <is>
          <t>Lương Duy Hoàng</t>
        </is>
      </c>
      <c r="C1530" s="16" t="n">
        <v>46051</v>
      </c>
      <c r="D1530" s="17" t="n">
        <v>0</v>
      </c>
      <c r="E1530" s="17" t="n">
        <v>0</v>
      </c>
      <c r="F1530" s="17" t="n">
        <v>0</v>
      </c>
      <c r="G1530" s="17" t="n">
        <v>0</v>
      </c>
      <c r="H1530" s="17" t="n">
        <v>0</v>
      </c>
      <c r="I1530" s="17" t="n">
        <v>1</v>
      </c>
      <c r="J1530" s="17" t="n">
        <v>0</v>
      </c>
      <c r="K1530" s="17" t="n">
        <v>3</v>
      </c>
      <c r="L1530" s="17" t="n">
        <v>0</v>
      </c>
      <c r="M1530" s="17" t="n">
        <v>0</v>
      </c>
      <c r="N1530" s="17" t="n">
        <v>0</v>
      </c>
      <c r="O1530" s="17" t="n">
        <v>0</v>
      </c>
      <c r="P1530" s="17" t="n">
        <v>0</v>
      </c>
      <c r="Q1530" s="17" t="n">
        <v>3</v>
      </c>
      <c r="R1530" s="17" t="n">
        <v>0</v>
      </c>
      <c r="T1530" s="17">
        <f>DAY(C1530)</f>
        <v/>
      </c>
      <c r="U1530" s="17">
        <f>MONTH(C1530)</f>
        <v/>
      </c>
    </row>
    <row r="1531" ht="22.5" customHeight="1" s="117">
      <c r="A1531" s="14" t="n">
        <v>46052.29185940972</v>
      </c>
      <c r="B1531" s="17" t="inlineStr">
        <is>
          <t>Nguyễn Văn Hiệp</t>
        </is>
      </c>
      <c r="C1531" s="16" t="n">
        <v>46051</v>
      </c>
      <c r="D1531" s="17" t="n">
        <v>0</v>
      </c>
      <c r="E1531" s="17" t="n">
        <v>0</v>
      </c>
      <c r="F1531" s="17" t="n">
        <v>0</v>
      </c>
      <c r="G1531" s="17" t="n">
        <v>0</v>
      </c>
      <c r="H1531" s="17" t="n">
        <v>0</v>
      </c>
      <c r="I1531" s="17" t="n">
        <v>0</v>
      </c>
      <c r="J1531" s="17" t="n">
        <v>0</v>
      </c>
      <c r="K1531" s="17" t="n">
        <v>0</v>
      </c>
      <c r="L1531" s="17" t="n">
        <v>0</v>
      </c>
      <c r="M1531" s="17" t="n">
        <v>2</v>
      </c>
      <c r="N1531" s="17" t="n">
        <v>0</v>
      </c>
      <c r="O1531" s="17" t="n">
        <v>0</v>
      </c>
      <c r="P1531" s="17" t="n">
        <v>0</v>
      </c>
      <c r="Q1531" s="17" t="n">
        <v>0</v>
      </c>
      <c r="R1531" s="17" t="n">
        <v>0</v>
      </c>
      <c r="T1531" s="17">
        <f>DAY(C1531)</f>
        <v/>
      </c>
      <c r="U1531" s="17">
        <f>MONTH(C1531)</f>
        <v/>
      </c>
    </row>
    <row r="1532" ht="22.5" customHeight="1" s="117">
      <c r="A1532" s="14" t="n">
        <v>46052.29207386574</v>
      </c>
      <c r="B1532" s="17" t="inlineStr">
        <is>
          <t>Nguyễn Quang Anh Tuấn</t>
        </is>
      </c>
      <c r="C1532" s="16" t="n">
        <v>46051</v>
      </c>
      <c r="D1532" s="17" t="n">
        <v>0</v>
      </c>
      <c r="E1532" s="17" t="n">
        <v>0</v>
      </c>
      <c r="F1532" s="17" t="n">
        <v>0</v>
      </c>
      <c r="G1532" s="17" t="n">
        <v>0</v>
      </c>
      <c r="H1532" s="17" t="n">
        <v>0</v>
      </c>
      <c r="I1532" s="17" t="n">
        <v>0</v>
      </c>
      <c r="J1532" s="17" t="n">
        <v>0</v>
      </c>
      <c r="K1532" s="17" t="n">
        <v>0</v>
      </c>
      <c r="L1532" s="17" t="n">
        <v>0</v>
      </c>
      <c r="M1532" s="17" t="n">
        <v>2</v>
      </c>
      <c r="N1532" s="17" t="n">
        <v>0</v>
      </c>
      <c r="O1532" s="17" t="n">
        <v>0</v>
      </c>
      <c r="P1532" s="17" t="n">
        <v>0</v>
      </c>
      <c r="Q1532" s="17" t="n">
        <v>2</v>
      </c>
      <c r="R1532" s="17" t="n">
        <v>0</v>
      </c>
      <c r="T1532" s="17">
        <f>DAY(C1532)</f>
        <v/>
      </c>
      <c r="U1532" s="17">
        <f>MONTH(C1532)</f>
        <v/>
      </c>
    </row>
    <row r="1533" ht="22.5" customHeight="1" s="117">
      <c r="A1533" s="14" t="n">
        <v>46052.29714826389</v>
      </c>
      <c r="B1533" s="17" t="inlineStr">
        <is>
          <t>Huỳnh Văn Lực</t>
        </is>
      </c>
      <c r="C1533" s="16" t="n">
        <v>46051</v>
      </c>
      <c r="D1533" s="17" t="n">
        <v>0</v>
      </c>
      <c r="E1533" s="17" t="n">
        <v>0</v>
      </c>
      <c r="F1533" s="17" t="n">
        <v>0</v>
      </c>
      <c r="G1533" s="17" t="n">
        <v>1</v>
      </c>
      <c r="H1533" s="17" t="n">
        <v>0</v>
      </c>
      <c r="I1533" s="17" t="n">
        <v>0</v>
      </c>
      <c r="J1533" s="17" t="n">
        <v>0</v>
      </c>
      <c r="K1533" s="17" t="n">
        <v>0</v>
      </c>
      <c r="L1533" s="17" t="n">
        <v>0</v>
      </c>
      <c r="M1533" s="17" t="n">
        <v>0</v>
      </c>
      <c r="N1533" s="17" t="n">
        <v>0</v>
      </c>
      <c r="O1533" s="17" t="n">
        <v>0</v>
      </c>
      <c r="P1533" s="17" t="n">
        <v>0</v>
      </c>
      <c r="Q1533" s="17" t="n">
        <v>0</v>
      </c>
      <c r="R1533" s="17" t="n">
        <v>0</v>
      </c>
      <c r="T1533" s="17">
        <f>DAY(C1533)</f>
        <v/>
      </c>
      <c r="U1533" s="17">
        <f>MONTH(C1533)</f>
        <v/>
      </c>
    </row>
    <row r="1534" ht="22.5" customHeight="1" s="117">
      <c r="A1534" s="14" t="n">
        <v>46052.30608115741</v>
      </c>
      <c r="B1534" s="17" t="inlineStr">
        <is>
          <t>Trần Trung Giang</t>
        </is>
      </c>
      <c r="C1534" s="16" t="n">
        <v>46051</v>
      </c>
      <c r="D1534" s="17" t="n">
        <v>0</v>
      </c>
      <c r="E1534" s="17" t="n">
        <v>0</v>
      </c>
      <c r="F1534" s="17" t="n">
        <v>0</v>
      </c>
      <c r="G1534" s="17" t="n">
        <v>1</v>
      </c>
      <c r="H1534" s="17" t="n">
        <v>1</v>
      </c>
      <c r="I1534" s="17" t="n">
        <v>0</v>
      </c>
      <c r="J1534" s="17" t="n">
        <v>0</v>
      </c>
      <c r="K1534" s="17" t="n">
        <v>4</v>
      </c>
      <c r="L1534" s="17" t="n">
        <v>0</v>
      </c>
      <c r="M1534" s="17" t="n">
        <v>1</v>
      </c>
      <c r="N1534" s="17" t="n">
        <v>0</v>
      </c>
      <c r="O1534" s="17" t="n">
        <v>0</v>
      </c>
      <c r="P1534" s="17" t="n">
        <v>1</v>
      </c>
      <c r="Q1534" s="17" t="n">
        <v>0</v>
      </c>
      <c r="R1534" s="17" t="n">
        <v>0</v>
      </c>
      <c r="T1534" s="17">
        <f>DAY(C1534)</f>
        <v/>
      </c>
      <c r="U1534" s="17">
        <f>MONTH(C1534)</f>
        <v/>
      </c>
    </row>
    <row r="1535" ht="22.5" customHeight="1" s="117">
      <c r="A1535" s="14" t="n">
        <v>46052.30713553241</v>
      </c>
      <c r="B1535" s="17" t="inlineStr">
        <is>
          <t>Trần Xuân Khoa</t>
        </is>
      </c>
      <c r="C1535" s="16" t="n">
        <v>46051</v>
      </c>
      <c r="D1535" s="17" t="n">
        <v>1</v>
      </c>
      <c r="E1535" s="17" t="n">
        <v>0</v>
      </c>
      <c r="F1535" s="17" t="n">
        <v>0</v>
      </c>
      <c r="G1535" s="17" t="n">
        <v>0</v>
      </c>
      <c r="H1535" s="17" t="n">
        <v>0</v>
      </c>
      <c r="I1535" s="17" t="n">
        <v>0</v>
      </c>
      <c r="J1535" s="17" t="n">
        <v>0</v>
      </c>
      <c r="K1535" s="17" t="n">
        <v>2</v>
      </c>
      <c r="L1535" s="17" t="n">
        <v>0</v>
      </c>
      <c r="M1535" s="17" t="n">
        <v>0</v>
      </c>
      <c r="N1535" s="17" t="n">
        <v>0</v>
      </c>
      <c r="O1535" s="17" t="n">
        <v>0</v>
      </c>
      <c r="P1535" s="17" t="n">
        <v>0</v>
      </c>
      <c r="Q1535" s="17" t="n">
        <v>3</v>
      </c>
      <c r="R1535" s="17" t="n">
        <v>0</v>
      </c>
      <c r="T1535" s="17">
        <f>DAY(C1535)</f>
        <v/>
      </c>
      <c r="U1535" s="17">
        <f>MONTH(C1535)</f>
        <v/>
      </c>
    </row>
    <row r="1536" ht="22.5" customHeight="1" s="117">
      <c r="A1536" s="14" t="n">
        <v>46052.31227234954</v>
      </c>
      <c r="B1536" s="17" t="inlineStr">
        <is>
          <t>Nguyễn Tuấn Anh</t>
        </is>
      </c>
      <c r="C1536" s="16" t="n">
        <v>46051</v>
      </c>
      <c r="D1536" s="17" t="n">
        <v>0</v>
      </c>
      <c r="E1536" s="17" t="n">
        <v>2</v>
      </c>
      <c r="F1536" s="17" t="n">
        <v>2</v>
      </c>
      <c r="G1536" s="17" t="n">
        <v>1</v>
      </c>
      <c r="H1536" s="17" t="n">
        <v>1</v>
      </c>
      <c r="I1536" s="17" t="n">
        <v>2</v>
      </c>
      <c r="J1536" s="17" t="n">
        <v>0</v>
      </c>
      <c r="K1536" s="17" t="n">
        <v>2</v>
      </c>
      <c r="L1536" s="17" t="n">
        <v>0</v>
      </c>
      <c r="M1536" s="17" t="n">
        <v>0</v>
      </c>
      <c r="N1536" s="17" t="n">
        <v>1</v>
      </c>
      <c r="O1536" s="17" t="n">
        <v>0</v>
      </c>
      <c r="P1536" s="17" t="n">
        <v>0</v>
      </c>
      <c r="Q1536" s="17" t="n">
        <v>2</v>
      </c>
      <c r="R1536" s="17" t="n">
        <v>0</v>
      </c>
      <c r="T1536" s="17">
        <f>DAY(C1536)</f>
        <v/>
      </c>
      <c r="U1536" s="17">
        <f>MONTH(C1536)</f>
        <v/>
      </c>
    </row>
    <row r="1537" ht="22.5" customHeight="1" s="117">
      <c r="A1537" s="14" t="n">
        <v>46052.31700561343</v>
      </c>
      <c r="B1537" s="17" t="inlineStr">
        <is>
          <t>Đặng Hoài Anh</t>
        </is>
      </c>
      <c r="C1537" s="16" t="n">
        <v>46051</v>
      </c>
      <c r="D1537" s="17" t="n">
        <v>1</v>
      </c>
      <c r="E1537" s="17" t="n">
        <v>1</v>
      </c>
      <c r="F1537" s="17" t="n">
        <v>0</v>
      </c>
      <c r="G1537" s="17" t="n">
        <v>0</v>
      </c>
      <c r="H1537" s="17" t="n">
        <v>0</v>
      </c>
      <c r="I1537" s="17" t="n">
        <v>0</v>
      </c>
      <c r="J1537" s="17" t="n">
        <v>0</v>
      </c>
      <c r="K1537" s="17" t="n">
        <v>0</v>
      </c>
      <c r="L1537" s="17" t="n">
        <v>0</v>
      </c>
      <c r="M1537" s="17" t="n">
        <v>1</v>
      </c>
      <c r="N1537" s="17" t="n">
        <v>1</v>
      </c>
      <c r="O1537" s="17" t="n">
        <v>0</v>
      </c>
      <c r="P1537" s="17" t="n">
        <v>0</v>
      </c>
      <c r="Q1537" s="17" t="n">
        <v>1</v>
      </c>
      <c r="R1537" s="17" t="n">
        <v>0</v>
      </c>
      <c r="T1537" s="17">
        <f>DAY(C1537)</f>
        <v/>
      </c>
      <c r="U1537" s="17">
        <f>MONTH(C1537)</f>
        <v/>
      </c>
    </row>
    <row r="1538" ht="22.5" customHeight="1" s="117">
      <c r="A1538" s="14" t="n">
        <v>46052.33068414352</v>
      </c>
      <c r="B1538" s="17" t="inlineStr">
        <is>
          <t>Lê Hồng Phong</t>
        </is>
      </c>
      <c r="C1538" s="16" t="n">
        <v>46052</v>
      </c>
      <c r="D1538" s="17" t="n">
        <v>1</v>
      </c>
      <c r="E1538" s="17" t="n">
        <v>1</v>
      </c>
      <c r="F1538" s="17" t="n">
        <v>1</v>
      </c>
      <c r="G1538" s="17" t="n">
        <v>1</v>
      </c>
      <c r="H1538" s="17" t="n">
        <v>1</v>
      </c>
      <c r="I1538" s="17" t="n">
        <v>1</v>
      </c>
      <c r="J1538" s="17" t="n">
        <v>1</v>
      </c>
      <c r="K1538" s="17" t="n">
        <v>1</v>
      </c>
      <c r="L1538" s="17" t="n">
        <v>1</v>
      </c>
      <c r="M1538" s="17" t="n">
        <v>1</v>
      </c>
      <c r="N1538" s="17" t="n">
        <v>1</v>
      </c>
      <c r="O1538" s="17" t="n">
        <v>1</v>
      </c>
      <c r="P1538" s="17" t="n">
        <v>1</v>
      </c>
      <c r="Q1538" s="17" t="n">
        <v>1</v>
      </c>
      <c r="R1538" s="17" t="n">
        <v>1</v>
      </c>
      <c r="T1538" s="17">
        <f>DAY(C1538)</f>
        <v/>
      </c>
      <c r="U1538" s="17">
        <f>MONTH(C1538)</f>
        <v/>
      </c>
    </row>
    <row r="1539" ht="22.5" customHeight="1" s="117">
      <c r="A1539" s="14" t="n">
        <v>46052.3778181713</v>
      </c>
      <c r="B1539" s="17" t="inlineStr">
        <is>
          <t>Nguyễn Hồng Minh</t>
        </is>
      </c>
      <c r="C1539" s="16" t="n">
        <v>46051</v>
      </c>
      <c r="D1539" s="17" t="n">
        <v>0</v>
      </c>
      <c r="E1539" s="17" t="n">
        <v>0</v>
      </c>
      <c r="F1539" s="17" t="n">
        <v>0</v>
      </c>
      <c r="G1539" s="17" t="n">
        <v>0</v>
      </c>
      <c r="H1539" s="17" t="n">
        <v>0</v>
      </c>
      <c r="I1539" s="17" t="n">
        <v>2</v>
      </c>
      <c r="J1539" s="17" t="n">
        <v>0</v>
      </c>
      <c r="K1539" s="17" t="n">
        <v>2</v>
      </c>
      <c r="L1539" s="17" t="n">
        <v>0</v>
      </c>
      <c r="M1539" s="17" t="n">
        <v>1</v>
      </c>
      <c r="N1539" s="17" t="n">
        <v>1</v>
      </c>
      <c r="O1539" s="17" t="n">
        <v>0</v>
      </c>
      <c r="P1539" s="17" t="n">
        <v>0</v>
      </c>
      <c r="Q1539" s="17" t="n">
        <v>5</v>
      </c>
      <c r="R1539" s="17" t="n">
        <v>0</v>
      </c>
      <c r="T1539" s="17">
        <f>DAY(C1539)</f>
        <v/>
      </c>
      <c r="U1539" s="17">
        <f>MONTH(C1539)</f>
        <v/>
      </c>
    </row>
    <row r="1540" ht="22.5" customHeight="1" s="117">
      <c r="A1540" s="14" t="n">
        <v>46053.28645869213</v>
      </c>
      <c r="B1540" s="17" t="inlineStr">
        <is>
          <t>Lương Duy Hoàng</t>
        </is>
      </c>
      <c r="C1540" s="16" t="n">
        <v>46052</v>
      </c>
      <c r="D1540" s="17" t="n">
        <v>0</v>
      </c>
      <c r="E1540" s="17" t="n">
        <v>0</v>
      </c>
      <c r="F1540" s="17" t="n">
        <v>1</v>
      </c>
      <c r="G1540" s="17" t="n">
        <v>0</v>
      </c>
      <c r="H1540" s="17" t="n">
        <v>0</v>
      </c>
      <c r="I1540" s="17" t="n">
        <v>0</v>
      </c>
      <c r="J1540" s="17" t="n">
        <v>0</v>
      </c>
      <c r="K1540" s="17" t="n">
        <v>0</v>
      </c>
      <c r="L1540" s="17" t="n">
        <v>3</v>
      </c>
      <c r="M1540" s="17" t="n">
        <v>2</v>
      </c>
      <c r="N1540" s="17" t="n">
        <v>1</v>
      </c>
      <c r="O1540" s="17" t="n">
        <v>1</v>
      </c>
      <c r="P1540" s="17" t="n">
        <v>1</v>
      </c>
      <c r="Q1540" s="17" t="n">
        <v>1</v>
      </c>
      <c r="R1540" s="17" t="n">
        <v>0</v>
      </c>
      <c r="T1540" s="17">
        <f>DAY(C1540)</f>
        <v/>
      </c>
      <c r="U1540" s="17">
        <f>MONTH(C1540)</f>
        <v/>
      </c>
    </row>
    <row r="1541" ht="22.5" customHeight="1" s="117">
      <c r="A1541" s="14" t="n">
        <v>46053.29467049769</v>
      </c>
      <c r="B1541" s="17" t="inlineStr">
        <is>
          <t>Lê Hồng Phong</t>
        </is>
      </c>
      <c r="C1541" s="16" t="n">
        <v>46053</v>
      </c>
      <c r="D1541" s="17" t="n">
        <v>1</v>
      </c>
      <c r="E1541" s="17" t="n">
        <v>1</v>
      </c>
      <c r="F1541" s="17" t="n">
        <v>1</v>
      </c>
      <c r="G1541" s="17" t="n">
        <v>1</v>
      </c>
      <c r="H1541" s="17" t="n">
        <v>1</v>
      </c>
      <c r="I1541" s="17" t="n">
        <v>1</v>
      </c>
      <c r="J1541" s="17" t="n">
        <v>1</v>
      </c>
      <c r="K1541" s="17" t="n">
        <v>1</v>
      </c>
      <c r="L1541" s="17" t="n">
        <v>1</v>
      </c>
      <c r="M1541" s="17" t="n">
        <v>1</v>
      </c>
      <c r="N1541" s="17" t="n">
        <v>1</v>
      </c>
      <c r="O1541" s="17" t="n">
        <v>1</v>
      </c>
      <c r="P1541" s="17" t="n">
        <v>1</v>
      </c>
      <c r="Q1541" s="17" t="n">
        <v>1</v>
      </c>
      <c r="R1541" s="17" t="n">
        <v>1</v>
      </c>
      <c r="T1541" s="17">
        <f>DAY(C1541)</f>
        <v/>
      </c>
      <c r="U1541" s="17">
        <f>MONTH(C1541)</f>
        <v/>
      </c>
    </row>
    <row r="1542" ht="22.5" customHeight="1" s="117">
      <c r="A1542" s="14" t="n">
        <v>46053.30057287037</v>
      </c>
      <c r="B1542" s="17" t="inlineStr">
        <is>
          <t>Nguyễn Tuấn Anh</t>
        </is>
      </c>
      <c r="C1542" s="16" t="n">
        <v>46052</v>
      </c>
      <c r="D1542" s="17" t="n">
        <v>0</v>
      </c>
      <c r="E1542" s="17" t="n">
        <v>0</v>
      </c>
      <c r="F1542" s="17" t="n">
        <v>0</v>
      </c>
      <c r="G1542" s="17" t="n">
        <v>0</v>
      </c>
      <c r="H1542" s="17" t="n">
        <v>0</v>
      </c>
      <c r="I1542" s="17" t="n">
        <v>1</v>
      </c>
      <c r="J1542" s="17" t="n">
        <v>0</v>
      </c>
      <c r="K1542" s="17" t="n">
        <v>2</v>
      </c>
      <c r="L1542" s="17" t="n">
        <v>0</v>
      </c>
      <c r="M1542" s="17" t="n">
        <v>0</v>
      </c>
      <c r="N1542" s="17" t="n">
        <v>2</v>
      </c>
      <c r="O1542" s="17" t="n">
        <v>0</v>
      </c>
      <c r="P1542" s="17" t="n">
        <v>0</v>
      </c>
      <c r="Q1542" s="17" t="n">
        <v>2</v>
      </c>
      <c r="R1542" s="17" t="n">
        <v>0</v>
      </c>
      <c r="T1542" s="17">
        <f>DAY(C1542)</f>
        <v/>
      </c>
      <c r="U1542" s="17">
        <f>MONTH(C1542)</f>
        <v/>
      </c>
    </row>
    <row r="1543" ht="22.5" customHeight="1" s="117">
      <c r="A1543" s="14" t="n">
        <v>46053.30190215278</v>
      </c>
      <c r="B1543" s="17" t="inlineStr">
        <is>
          <t>Nguyễn Quang Anh Tuấn</t>
        </is>
      </c>
      <c r="C1543" s="16" t="n">
        <v>46052</v>
      </c>
      <c r="D1543" s="17" t="n">
        <v>0</v>
      </c>
      <c r="E1543" s="17" t="n">
        <v>0</v>
      </c>
      <c r="F1543" s="17" t="n">
        <v>0</v>
      </c>
      <c r="G1543" s="17" t="n">
        <v>0</v>
      </c>
      <c r="H1543" s="17" t="n">
        <v>0</v>
      </c>
      <c r="I1543" s="17" t="n">
        <v>0</v>
      </c>
      <c r="J1543" s="17" t="n">
        <v>0</v>
      </c>
      <c r="K1543" s="17" t="n">
        <v>0</v>
      </c>
      <c r="L1543" s="17" t="n">
        <v>0</v>
      </c>
      <c r="M1543" s="17" t="n">
        <v>2</v>
      </c>
      <c r="N1543" s="17" t="n">
        <v>0</v>
      </c>
      <c r="O1543" s="17" t="n">
        <v>0</v>
      </c>
      <c r="P1543" s="17" t="n">
        <v>0</v>
      </c>
      <c r="Q1543" s="17" t="n">
        <v>2</v>
      </c>
      <c r="R1543" s="17" t="n">
        <v>0</v>
      </c>
      <c r="T1543" s="17">
        <f>DAY(C1543)</f>
        <v/>
      </c>
      <c r="U1543" s="17">
        <f>MONTH(C1543)</f>
        <v/>
      </c>
    </row>
    <row r="1544" ht="22.5" customHeight="1" s="117">
      <c r="A1544" s="14" t="n">
        <v>46053.30233936343</v>
      </c>
      <c r="B1544" s="17" t="inlineStr">
        <is>
          <t>Đặng Hoài Anh</t>
        </is>
      </c>
      <c r="C1544" s="16" t="n">
        <v>46052</v>
      </c>
      <c r="D1544" s="17" t="n">
        <v>1</v>
      </c>
      <c r="E1544" s="17" t="n">
        <v>0</v>
      </c>
      <c r="F1544" s="17" t="n">
        <v>1</v>
      </c>
      <c r="G1544" s="17" t="n">
        <v>0</v>
      </c>
      <c r="H1544" s="17" t="n">
        <v>0</v>
      </c>
      <c r="I1544" s="17" t="n">
        <v>0</v>
      </c>
      <c r="J1544" s="17" t="n">
        <v>0</v>
      </c>
      <c r="K1544" s="17" t="n">
        <v>0</v>
      </c>
      <c r="L1544" s="17" t="n">
        <v>0</v>
      </c>
      <c r="M1544" s="17" t="n">
        <v>1</v>
      </c>
      <c r="N1544" s="17" t="n">
        <v>0</v>
      </c>
      <c r="O1544" s="17" t="n">
        <v>0</v>
      </c>
      <c r="P1544" s="17" t="n">
        <v>0</v>
      </c>
      <c r="Q1544" s="17" t="n">
        <v>1</v>
      </c>
      <c r="R1544" s="17" t="n">
        <v>0</v>
      </c>
      <c r="T1544" s="17">
        <f>DAY(C1544)</f>
        <v/>
      </c>
      <c r="U1544" s="17">
        <f>MONTH(C1544)</f>
        <v/>
      </c>
    </row>
    <row r="1545" ht="22.5" customHeight="1" s="117">
      <c r="A1545" s="14" t="n">
        <v>46053.30518246528</v>
      </c>
      <c r="B1545" s="17" t="inlineStr">
        <is>
          <t>Huỳnh Văn Lực</t>
        </is>
      </c>
      <c r="C1545" s="16" t="n">
        <v>46052</v>
      </c>
      <c r="D1545" s="17" t="n">
        <v>0</v>
      </c>
      <c r="E1545" s="17" t="n">
        <v>0</v>
      </c>
      <c r="F1545" s="17" t="n">
        <v>0</v>
      </c>
      <c r="G1545" s="17" t="n">
        <v>0</v>
      </c>
      <c r="H1545" s="17" t="n">
        <v>0</v>
      </c>
      <c r="I1545" s="17" t="n">
        <v>0</v>
      </c>
      <c r="J1545" s="17" t="n">
        <v>0</v>
      </c>
      <c r="K1545" s="17" t="n">
        <v>2</v>
      </c>
      <c r="L1545" s="17" t="n">
        <v>0</v>
      </c>
      <c r="M1545" s="17" t="n">
        <v>4</v>
      </c>
      <c r="N1545" s="17" t="n">
        <v>0</v>
      </c>
      <c r="O1545" s="17" t="n">
        <v>0</v>
      </c>
      <c r="P1545" s="17" t="n">
        <v>0</v>
      </c>
      <c r="Q1545" s="17" t="n">
        <v>1</v>
      </c>
      <c r="R1545" s="17" t="n">
        <v>0</v>
      </c>
      <c r="T1545" s="17">
        <f>DAY(C1545)</f>
        <v/>
      </c>
      <c r="U1545" s="17">
        <f>MONTH(C1545)</f>
        <v/>
      </c>
    </row>
    <row r="1546" ht="22.5" customHeight="1" s="117">
      <c r="A1546" s="14" t="n">
        <v>46053.3105878588</v>
      </c>
      <c r="B1546" s="17" t="inlineStr">
        <is>
          <t>Nguyễn Văn Hiệp</t>
        </is>
      </c>
      <c r="C1546" s="16" t="n">
        <v>46052</v>
      </c>
      <c r="D1546" s="17" t="n">
        <v>0</v>
      </c>
      <c r="E1546" s="17" t="n">
        <v>0</v>
      </c>
      <c r="F1546" s="17" t="n">
        <v>0</v>
      </c>
      <c r="G1546" s="17" t="n">
        <v>0</v>
      </c>
      <c r="H1546" s="17" t="n">
        <v>0</v>
      </c>
      <c r="I1546" s="17" t="n">
        <v>0</v>
      </c>
      <c r="J1546" s="17" t="n">
        <v>0</v>
      </c>
      <c r="K1546" s="17" t="n">
        <v>0</v>
      </c>
      <c r="L1546" s="17" t="n">
        <v>0</v>
      </c>
      <c r="M1546" s="17" t="n">
        <v>0</v>
      </c>
      <c r="N1546" s="17" t="n">
        <v>0</v>
      </c>
      <c r="O1546" s="17" t="n">
        <v>0</v>
      </c>
      <c r="P1546" s="17" t="n">
        <v>1</v>
      </c>
      <c r="Q1546" s="17" t="n">
        <v>0</v>
      </c>
      <c r="R1546" s="17" t="n">
        <v>0</v>
      </c>
      <c r="T1546" s="17">
        <f>DAY(C1546)</f>
        <v/>
      </c>
      <c r="U1546" s="17">
        <f>MONTH(C1546)</f>
        <v/>
      </c>
    </row>
    <row r="1547" ht="22.5" customHeight="1" s="117">
      <c r="A1547" s="14" t="n">
        <v>46053.32846491898</v>
      </c>
      <c r="B1547" s="17" t="inlineStr">
        <is>
          <t>Trần Trung Giang</t>
        </is>
      </c>
      <c r="C1547" s="16" t="n">
        <v>46052</v>
      </c>
      <c r="D1547" s="17" t="n">
        <v>0</v>
      </c>
      <c r="E1547" s="17" t="n">
        <v>0</v>
      </c>
      <c r="F1547" s="17" t="n">
        <v>0</v>
      </c>
      <c r="G1547" s="17" t="n">
        <v>0</v>
      </c>
      <c r="H1547" s="17" t="n">
        <v>0</v>
      </c>
      <c r="I1547" s="17" t="n">
        <v>0</v>
      </c>
      <c r="J1547" s="17" t="n">
        <v>0</v>
      </c>
      <c r="K1547" s="17" t="n">
        <v>0</v>
      </c>
      <c r="L1547" s="17" t="n">
        <v>0</v>
      </c>
      <c r="M1547" s="17" t="n">
        <v>0</v>
      </c>
      <c r="N1547" s="17" t="n">
        <v>0</v>
      </c>
      <c r="O1547" s="17" t="n">
        <v>0</v>
      </c>
      <c r="P1547" s="17" t="n">
        <v>0</v>
      </c>
      <c r="Q1547" s="17" t="n">
        <v>1</v>
      </c>
      <c r="R1547" s="17" t="n">
        <v>0</v>
      </c>
      <c r="T1547" s="17">
        <f>DAY(C1547)</f>
        <v/>
      </c>
      <c r="U1547" s="17">
        <f>MONTH(C1547)</f>
        <v/>
      </c>
    </row>
    <row r="1548" ht="22.5" customHeight="1" s="117">
      <c r="A1548" s="14" t="n">
        <v>46053.33254122685</v>
      </c>
      <c r="B1548" s="17" t="inlineStr">
        <is>
          <t>Trần Xuân Khoa</t>
        </is>
      </c>
      <c r="C1548" s="16" t="n">
        <v>46052</v>
      </c>
      <c r="D1548" s="17" t="n">
        <v>1</v>
      </c>
      <c r="E1548" s="17" t="n">
        <v>1</v>
      </c>
      <c r="F1548" s="17" t="n">
        <v>0</v>
      </c>
      <c r="G1548" s="17" t="n">
        <v>0</v>
      </c>
      <c r="H1548" s="17" t="n">
        <v>0</v>
      </c>
      <c r="I1548" s="17" t="n">
        <v>0</v>
      </c>
      <c r="J1548" s="17" t="n">
        <v>0</v>
      </c>
      <c r="K1548" s="17" t="n">
        <v>2</v>
      </c>
      <c r="L1548" s="17" t="n">
        <v>0</v>
      </c>
      <c r="M1548" s="17" t="n">
        <v>0</v>
      </c>
      <c r="N1548" s="17" t="n">
        <v>0</v>
      </c>
      <c r="O1548" s="17" t="n">
        <v>0</v>
      </c>
      <c r="P1548" s="17" t="n">
        <v>0</v>
      </c>
      <c r="Q1548" s="17" t="n">
        <v>2</v>
      </c>
      <c r="R1548" s="17" t="n">
        <v>0</v>
      </c>
      <c r="T1548" s="17">
        <f>DAY(C1548)</f>
        <v/>
      </c>
      <c r="U1548" s="17">
        <f>MONTH(C1548)</f>
        <v/>
      </c>
    </row>
    <row r="1549" ht="22.5" customHeight="1" s="117">
      <c r="A1549" s="14" t="n">
        <v>46053.33409747685</v>
      </c>
      <c r="B1549" s="17" t="inlineStr">
        <is>
          <t>Vòng Nhật Sang</t>
        </is>
      </c>
      <c r="C1549" s="16" t="n">
        <v>46052</v>
      </c>
      <c r="D1549" s="17" t="n">
        <v>0</v>
      </c>
      <c r="E1549" s="17" t="n">
        <v>0</v>
      </c>
      <c r="F1549" s="17" t="n">
        <v>2</v>
      </c>
      <c r="G1549" s="17" t="n">
        <v>0</v>
      </c>
      <c r="H1549" s="17" t="n">
        <v>0</v>
      </c>
      <c r="I1549" s="17" t="n">
        <v>0</v>
      </c>
      <c r="J1549" s="17" t="n">
        <v>0</v>
      </c>
      <c r="K1549" s="17" t="n">
        <v>4</v>
      </c>
      <c r="L1549" s="17" t="n">
        <v>0</v>
      </c>
      <c r="M1549" s="17" t="n">
        <v>2</v>
      </c>
      <c r="N1549" s="17" t="n">
        <v>0</v>
      </c>
      <c r="O1549" s="17" t="n">
        <v>0</v>
      </c>
      <c r="P1549" s="17" t="n">
        <v>0</v>
      </c>
      <c r="Q1549" s="17" t="n">
        <v>2</v>
      </c>
      <c r="R1549" s="17" t="n">
        <v>0</v>
      </c>
      <c r="T1549" s="17">
        <f>DAY(C1549)</f>
        <v/>
      </c>
      <c r="U1549" s="17">
        <f>MONTH(C1549)</f>
        <v/>
      </c>
    </row>
    <row r="1550" ht="22.5" customHeight="1" s="117">
      <c r="A1550" s="14" t="n">
        <v>46053.37544648148</v>
      </c>
      <c r="B1550" s="17" t="inlineStr">
        <is>
          <t>Nguyễn Hồng Minh</t>
        </is>
      </c>
      <c r="C1550" s="16" t="n">
        <v>46052</v>
      </c>
      <c r="D1550" s="17" t="n">
        <v>0</v>
      </c>
      <c r="E1550" s="17" t="n">
        <v>0</v>
      </c>
      <c r="F1550" s="17" t="n">
        <v>2</v>
      </c>
      <c r="G1550" s="17" t="n">
        <v>0</v>
      </c>
      <c r="H1550" s="17" t="n">
        <v>0</v>
      </c>
      <c r="I1550" s="17" t="n">
        <v>1</v>
      </c>
      <c r="J1550" s="17" t="n">
        <v>0</v>
      </c>
      <c r="K1550" s="17" t="n">
        <v>2</v>
      </c>
      <c r="L1550" s="17" t="n">
        <v>0</v>
      </c>
      <c r="M1550" s="17" t="n">
        <v>3</v>
      </c>
      <c r="N1550" s="17" t="n">
        <v>0</v>
      </c>
      <c r="O1550" s="17" t="n">
        <v>0</v>
      </c>
      <c r="P1550" s="17" t="n">
        <v>0</v>
      </c>
      <c r="Q1550" s="17" t="n">
        <v>4</v>
      </c>
      <c r="R1550" s="17" t="n">
        <v>0</v>
      </c>
      <c r="T1550" s="17">
        <f>DAY(C1550)</f>
        <v/>
      </c>
      <c r="U1550" s="17">
        <f>MONTH(C1550)</f>
        <v/>
      </c>
    </row>
    <row r="1551" ht="22.5" customHeight="1" s="117">
      <c r="A1551" s="14" t="n">
        <v>46054.30262126157</v>
      </c>
      <c r="B1551" s="17" t="inlineStr">
        <is>
          <t>Lê Hồng Phong</t>
        </is>
      </c>
      <c r="C1551" s="16" t="n">
        <v>46054</v>
      </c>
      <c r="D1551" s="17" t="n">
        <v>1</v>
      </c>
      <c r="E1551" s="17" t="n">
        <v>1</v>
      </c>
      <c r="F1551" s="17" t="n">
        <v>1</v>
      </c>
      <c r="G1551" s="17" t="n">
        <v>1</v>
      </c>
      <c r="H1551" s="17" t="n">
        <v>1</v>
      </c>
      <c r="I1551" s="17" t="n">
        <v>1</v>
      </c>
      <c r="J1551" s="17" t="n">
        <v>1</v>
      </c>
      <c r="K1551" s="17" t="n">
        <v>1</v>
      </c>
      <c r="L1551" s="17" t="n">
        <v>1</v>
      </c>
      <c r="M1551" s="17" t="n">
        <v>1</v>
      </c>
      <c r="N1551" s="17" t="n">
        <v>1</v>
      </c>
      <c r="O1551" s="17" t="n">
        <v>1</v>
      </c>
      <c r="P1551" s="17" t="n">
        <v>1</v>
      </c>
      <c r="Q1551" s="17" t="n">
        <v>1</v>
      </c>
      <c r="R1551" s="17" t="n">
        <v>1</v>
      </c>
      <c r="T1551" s="17">
        <f>DAY(C1551)</f>
        <v/>
      </c>
      <c r="U1551" s="17">
        <f>MONTH(C1551)</f>
        <v/>
      </c>
    </row>
    <row r="1552" ht="22.5" customHeight="1" s="117">
      <c r="A1552" s="14" t="n">
        <v>46054.3038415625</v>
      </c>
      <c r="B1552" s="17" t="inlineStr">
        <is>
          <t>Nguyễn Văn Hiệp</t>
        </is>
      </c>
      <c r="C1552" s="16" t="n">
        <v>46053</v>
      </c>
      <c r="D1552" s="17" t="n">
        <v>0</v>
      </c>
      <c r="E1552" s="17" t="n">
        <v>0</v>
      </c>
      <c r="F1552" s="17" t="n">
        <v>3</v>
      </c>
      <c r="G1552" s="17" t="n">
        <v>0</v>
      </c>
      <c r="H1552" s="17" t="n">
        <v>0</v>
      </c>
      <c r="I1552" s="17" t="n">
        <v>9</v>
      </c>
      <c r="J1552" s="17" t="n">
        <v>0</v>
      </c>
      <c r="K1552" s="17" t="n">
        <v>2</v>
      </c>
      <c r="L1552" s="17" t="n">
        <v>0</v>
      </c>
      <c r="M1552" s="17" t="n">
        <v>0</v>
      </c>
      <c r="N1552" s="17" t="n">
        <v>0</v>
      </c>
      <c r="O1552" s="17" t="n">
        <v>0</v>
      </c>
      <c r="P1552" s="17" t="n">
        <v>9</v>
      </c>
      <c r="Q1552" s="17" t="n">
        <v>0</v>
      </c>
      <c r="R1552" s="17" t="n">
        <v>0</v>
      </c>
      <c r="T1552" s="17">
        <f>DAY(C1552)</f>
        <v/>
      </c>
      <c r="U1552" s="17">
        <f>MONTH(C1552)</f>
        <v/>
      </c>
    </row>
    <row r="1553" ht="22.5" customHeight="1" s="117">
      <c r="A1553" s="14" t="n">
        <v>46054.30514570602</v>
      </c>
      <c r="B1553" s="17" t="inlineStr">
        <is>
          <t>Đặng Hoài Anh</t>
        </is>
      </c>
      <c r="C1553" s="16" t="n">
        <v>46053</v>
      </c>
      <c r="D1553" s="17" t="n">
        <v>0</v>
      </c>
      <c r="E1553" s="17" t="n">
        <v>0</v>
      </c>
      <c r="F1553" s="17" t="n">
        <v>3</v>
      </c>
      <c r="G1553" s="17" t="n">
        <v>0</v>
      </c>
      <c r="H1553" s="17" t="n">
        <v>0</v>
      </c>
      <c r="I1553" s="17" t="n">
        <v>0</v>
      </c>
      <c r="J1553" s="17" t="n">
        <v>0</v>
      </c>
      <c r="K1553" s="17" t="n">
        <v>0</v>
      </c>
      <c r="L1553" s="17" t="n">
        <v>0</v>
      </c>
      <c r="M1553" s="17" t="n">
        <v>3</v>
      </c>
      <c r="N1553" s="17" t="n">
        <v>0</v>
      </c>
      <c r="O1553" s="17" t="n">
        <v>0</v>
      </c>
      <c r="P1553" s="17" t="n">
        <v>0</v>
      </c>
      <c r="Q1553" s="17" t="n">
        <v>0</v>
      </c>
      <c r="R1553" s="17" t="n">
        <v>0</v>
      </c>
      <c r="T1553" s="17">
        <f>DAY(C1553)</f>
        <v/>
      </c>
      <c r="U1553" s="17">
        <f>MONTH(C1553)</f>
        <v/>
      </c>
    </row>
    <row r="1554" ht="22.5" customHeight="1" s="117">
      <c r="A1554" s="14" t="n">
        <v>46054.31401383102</v>
      </c>
      <c r="B1554" s="17" t="inlineStr">
        <is>
          <t>Trần Trung Giang</t>
        </is>
      </c>
      <c r="C1554" s="16" t="n">
        <v>46053</v>
      </c>
      <c r="D1554" s="17" t="n">
        <v>0</v>
      </c>
      <c r="E1554" s="17" t="n">
        <v>0</v>
      </c>
      <c r="F1554" s="17" t="n">
        <v>0</v>
      </c>
      <c r="G1554" s="17" t="n">
        <v>0</v>
      </c>
      <c r="H1554" s="17" t="n">
        <v>0</v>
      </c>
      <c r="I1554" s="17" t="n">
        <v>0</v>
      </c>
      <c r="J1554" s="17" t="n">
        <v>0</v>
      </c>
      <c r="K1554" s="17" t="n">
        <v>0</v>
      </c>
      <c r="L1554" s="17" t="n">
        <v>0</v>
      </c>
      <c r="M1554" s="17" t="n">
        <v>0</v>
      </c>
      <c r="N1554" s="17" t="n">
        <v>0</v>
      </c>
      <c r="O1554" s="17" t="n">
        <v>0</v>
      </c>
      <c r="P1554" s="17" t="n">
        <v>0</v>
      </c>
      <c r="Q1554" s="17" t="n">
        <v>0</v>
      </c>
      <c r="R1554" s="17" t="n">
        <v>0</v>
      </c>
      <c r="T1554" s="17">
        <f>DAY(C1554)</f>
        <v/>
      </c>
      <c r="U1554" s="17">
        <f>MONTH(C1554)</f>
        <v/>
      </c>
    </row>
    <row r="1555" ht="22.5" customHeight="1" s="117">
      <c r="A1555" s="14" t="n">
        <v>46054.32007918981</v>
      </c>
      <c r="B1555" s="17" t="inlineStr">
        <is>
          <t>Vòng Nhật Sang</t>
        </is>
      </c>
      <c r="C1555" s="16" t="n">
        <v>46053</v>
      </c>
      <c r="D1555" s="17" t="n">
        <v>0</v>
      </c>
      <c r="E1555" s="17" t="n">
        <v>0</v>
      </c>
      <c r="F1555" s="17" t="n">
        <v>0</v>
      </c>
      <c r="G1555" s="17" t="n">
        <v>0</v>
      </c>
      <c r="H1555" s="17" t="n">
        <v>0</v>
      </c>
      <c r="I1555" s="17" t="n">
        <v>0</v>
      </c>
      <c r="J1555" s="17" t="n">
        <v>0</v>
      </c>
      <c r="K1555" s="17" t="n">
        <v>0</v>
      </c>
      <c r="L1555" s="17" t="n">
        <v>0</v>
      </c>
      <c r="M1555" s="17" t="n">
        <v>0</v>
      </c>
      <c r="N1555" s="17" t="n">
        <v>0</v>
      </c>
      <c r="O1555" s="17" t="n">
        <v>0</v>
      </c>
      <c r="P1555" s="17" t="n">
        <v>3</v>
      </c>
      <c r="Q1555" s="17" t="n">
        <v>2</v>
      </c>
      <c r="R1555" s="17" t="n">
        <v>0</v>
      </c>
      <c r="T1555" s="17">
        <f>DAY(C1555)</f>
        <v/>
      </c>
      <c r="U1555" s="17">
        <f>MONTH(C1555)</f>
        <v/>
      </c>
    </row>
    <row r="1556" ht="22.5" customHeight="1" s="117">
      <c r="A1556" s="14" t="n">
        <v>46054.3215722801</v>
      </c>
      <c r="B1556" s="17" t="inlineStr">
        <is>
          <t>Nguyễn Quang Anh Tuấn</t>
        </is>
      </c>
      <c r="C1556" s="16" t="n">
        <v>46053</v>
      </c>
      <c r="D1556" s="17" t="n">
        <v>0</v>
      </c>
      <c r="E1556" s="17" t="n">
        <v>0</v>
      </c>
      <c r="F1556" s="17" t="n">
        <v>0</v>
      </c>
      <c r="G1556" s="17" t="n">
        <v>0</v>
      </c>
      <c r="H1556" s="17" t="n">
        <v>0</v>
      </c>
      <c r="I1556" s="17" t="n">
        <v>0</v>
      </c>
      <c r="J1556" s="17" t="n">
        <v>0</v>
      </c>
      <c r="K1556" s="17" t="n">
        <v>0</v>
      </c>
      <c r="L1556" s="17" t="n">
        <v>0</v>
      </c>
      <c r="M1556" s="17" t="n">
        <v>2</v>
      </c>
      <c r="N1556" s="17" t="n">
        <v>0</v>
      </c>
      <c r="O1556" s="17" t="n">
        <v>4</v>
      </c>
      <c r="P1556" s="17" t="n">
        <v>2</v>
      </c>
      <c r="Q1556" s="17" t="n">
        <v>2</v>
      </c>
      <c r="R1556" s="17" t="n">
        <v>0</v>
      </c>
      <c r="T1556" s="17">
        <f>DAY(C1556)</f>
        <v/>
      </c>
      <c r="U1556" s="17">
        <f>MONTH(C1556)</f>
        <v/>
      </c>
    </row>
    <row r="1557" ht="22.5" customHeight="1" s="117">
      <c r="A1557" s="14" t="n">
        <v>46054.32238769676</v>
      </c>
      <c r="B1557" s="17" t="inlineStr">
        <is>
          <t>Nguyễn Tuấn Anh</t>
        </is>
      </c>
      <c r="C1557" s="16" t="n">
        <v>46053</v>
      </c>
      <c r="D1557" s="17" t="n">
        <v>1</v>
      </c>
      <c r="E1557" s="17" t="n">
        <v>0</v>
      </c>
      <c r="F1557" s="17" t="n">
        <v>0</v>
      </c>
      <c r="G1557" s="17" t="n">
        <v>0</v>
      </c>
      <c r="H1557" s="17" t="n">
        <v>0</v>
      </c>
      <c r="I1557" s="17" t="n">
        <v>2</v>
      </c>
      <c r="J1557" s="17" t="n">
        <v>0</v>
      </c>
      <c r="K1557" s="17" t="n">
        <v>2</v>
      </c>
      <c r="L1557" s="17" t="n">
        <v>1</v>
      </c>
      <c r="M1557" s="17" t="n">
        <v>0</v>
      </c>
      <c r="N1557" s="17" t="n">
        <v>0</v>
      </c>
      <c r="O1557" s="17" t="n">
        <v>0</v>
      </c>
      <c r="P1557" s="17" t="n">
        <v>0</v>
      </c>
      <c r="Q1557" s="17" t="n">
        <v>5</v>
      </c>
      <c r="R1557" s="17" t="n">
        <v>0</v>
      </c>
      <c r="T1557" s="17">
        <f>DAY(C1557)</f>
        <v/>
      </c>
      <c r="U1557" s="17">
        <f>MONTH(C1557)</f>
        <v/>
      </c>
    </row>
    <row r="1558" ht="22.5" customHeight="1" s="117">
      <c r="A1558" s="14" t="n">
        <v>46054.34677510417</v>
      </c>
      <c r="B1558" s="17" t="inlineStr">
        <is>
          <t>Nguyễn Hồng Minh</t>
        </is>
      </c>
      <c r="C1558" s="16" t="n">
        <v>46053</v>
      </c>
      <c r="D1558" s="17" t="n">
        <v>0</v>
      </c>
      <c r="E1558" s="17" t="n">
        <v>0</v>
      </c>
      <c r="F1558" s="17" t="n">
        <v>0</v>
      </c>
      <c r="G1558" s="17" t="n">
        <v>0</v>
      </c>
      <c r="H1558" s="17" t="n">
        <v>0</v>
      </c>
      <c r="I1558" s="17" t="n">
        <v>0</v>
      </c>
      <c r="J1558" s="17" t="n">
        <v>1</v>
      </c>
      <c r="K1558" s="17" t="n">
        <v>4</v>
      </c>
      <c r="L1558" s="17" t="n">
        <v>0</v>
      </c>
      <c r="M1558" s="17" t="n">
        <v>2</v>
      </c>
      <c r="N1558" s="17" t="n">
        <v>0</v>
      </c>
      <c r="O1558" s="17" t="n">
        <v>0</v>
      </c>
      <c r="P1558" s="17" t="n">
        <v>1</v>
      </c>
      <c r="Q1558" s="17" t="n">
        <v>6</v>
      </c>
      <c r="R1558" s="17" t="n">
        <v>0</v>
      </c>
      <c r="T1558" s="17">
        <f>DAY(C1558)</f>
        <v/>
      </c>
      <c r="U1558" s="17">
        <f>MONTH(C1558)</f>
        <v/>
      </c>
    </row>
    <row r="1559" ht="22.5" customHeight="1" s="117">
      <c r="A1559" s="14" t="n">
        <v>46054.3650508912</v>
      </c>
      <c r="B1559" s="17" t="inlineStr">
        <is>
          <t>Huỳnh Văn Lực</t>
        </is>
      </c>
      <c r="C1559" s="16" t="n">
        <v>46053</v>
      </c>
      <c r="D1559" s="17" t="n">
        <v>0</v>
      </c>
      <c r="E1559" s="17" t="n">
        <v>0</v>
      </c>
      <c r="F1559" s="17" t="n">
        <v>0</v>
      </c>
      <c r="G1559" s="17" t="n">
        <v>0</v>
      </c>
      <c r="H1559" s="17" t="n">
        <v>0</v>
      </c>
      <c r="I1559" s="17" t="n">
        <v>0</v>
      </c>
      <c r="J1559" s="17" t="n">
        <v>0</v>
      </c>
      <c r="K1559" s="17" t="n">
        <v>0</v>
      </c>
      <c r="L1559" s="17" t="n">
        <v>0</v>
      </c>
      <c r="M1559" s="17" t="n">
        <v>0</v>
      </c>
      <c r="N1559" s="17" t="n">
        <v>0</v>
      </c>
      <c r="O1559" s="17" t="n">
        <v>0</v>
      </c>
      <c r="P1559" s="17" t="n">
        <v>0</v>
      </c>
      <c r="Q1559" s="17" t="n">
        <v>1</v>
      </c>
      <c r="R1559" s="17" t="n">
        <v>0</v>
      </c>
      <c r="T1559" s="17">
        <f>DAY(C1559)</f>
        <v/>
      </c>
      <c r="U1559" s="17">
        <f>MONTH(C1559)</f>
        <v/>
      </c>
    </row>
    <row r="1560" ht="22.5" customHeight="1" s="117">
      <c r="A1560" s="14" t="n">
        <v>46055.28221630787</v>
      </c>
      <c r="B1560" s="17" t="inlineStr">
        <is>
          <t>Lương Duy Hoàng</t>
        </is>
      </c>
      <c r="C1560" s="16" t="n">
        <v>46054</v>
      </c>
      <c r="D1560" s="17" t="n">
        <v>0</v>
      </c>
      <c r="E1560" s="17" t="n">
        <v>0</v>
      </c>
      <c r="F1560" s="17" t="n">
        <v>0</v>
      </c>
      <c r="G1560" s="17" t="n">
        <v>0</v>
      </c>
      <c r="H1560" s="17" t="n">
        <v>0</v>
      </c>
      <c r="I1560" s="17" t="n">
        <v>0</v>
      </c>
      <c r="J1560" s="17" t="n">
        <v>0</v>
      </c>
      <c r="K1560" s="17" t="n">
        <v>0</v>
      </c>
      <c r="L1560" s="17" t="n">
        <v>1</v>
      </c>
      <c r="M1560" s="17" t="n">
        <v>0</v>
      </c>
      <c r="N1560" s="17" t="n">
        <v>0</v>
      </c>
      <c r="O1560" s="17" t="n">
        <v>0</v>
      </c>
      <c r="P1560" s="17" t="n">
        <v>0</v>
      </c>
      <c r="Q1560" s="17" t="n">
        <v>0</v>
      </c>
      <c r="R1560" s="17" t="n">
        <v>0</v>
      </c>
      <c r="T1560" s="17">
        <f>DAY(C1560)</f>
        <v/>
      </c>
      <c r="U1560" s="17">
        <f>MONTH(C1560)</f>
        <v/>
      </c>
    </row>
    <row r="1561" ht="22.5" customHeight="1" s="117">
      <c r="A1561" s="14" t="n">
        <v>46055.28301394676</v>
      </c>
      <c r="B1561" s="17" t="inlineStr">
        <is>
          <t>Trần Xuân Khoa</t>
        </is>
      </c>
      <c r="C1561" s="16" t="n">
        <v>46054</v>
      </c>
      <c r="D1561" s="17" t="n">
        <v>0</v>
      </c>
      <c r="E1561" s="17" t="n">
        <v>0</v>
      </c>
      <c r="F1561" s="17" t="n">
        <v>0</v>
      </c>
      <c r="G1561" s="17" t="n">
        <v>0</v>
      </c>
      <c r="H1561" s="17" t="n">
        <v>0</v>
      </c>
      <c r="I1561" s="17" t="n">
        <v>0</v>
      </c>
      <c r="J1561" s="17" t="n">
        <v>0</v>
      </c>
      <c r="K1561" s="17" t="n">
        <v>0</v>
      </c>
      <c r="L1561" s="17" t="n">
        <v>0</v>
      </c>
      <c r="M1561" s="17" t="n">
        <v>0</v>
      </c>
      <c r="N1561" s="17" t="n">
        <v>0</v>
      </c>
      <c r="O1561" s="17" t="n">
        <v>0</v>
      </c>
      <c r="P1561" s="17" t="n">
        <v>1</v>
      </c>
      <c r="Q1561" s="17" t="n">
        <v>2</v>
      </c>
      <c r="R1561" s="17" t="n">
        <v>0</v>
      </c>
      <c r="T1561" s="17">
        <f>DAY(C1561)</f>
        <v/>
      </c>
      <c r="U1561" s="17">
        <f>MONTH(C1561)</f>
        <v/>
      </c>
    </row>
    <row r="1562" ht="22.5" customHeight="1" s="117">
      <c r="A1562" s="14" t="n">
        <v>46055.28537710648</v>
      </c>
      <c r="B1562" s="17" t="inlineStr">
        <is>
          <t>Trần Trung Giang</t>
        </is>
      </c>
      <c r="C1562" s="16" t="n">
        <v>46054</v>
      </c>
      <c r="D1562" s="17" t="n">
        <v>2</v>
      </c>
      <c r="E1562" s="17" t="n">
        <v>1</v>
      </c>
      <c r="F1562" s="17" t="n">
        <v>4</v>
      </c>
      <c r="G1562" s="17" t="n">
        <v>1</v>
      </c>
      <c r="H1562" s="17" t="n">
        <v>1</v>
      </c>
      <c r="I1562" s="17" t="n">
        <v>0</v>
      </c>
      <c r="J1562" s="17" t="n">
        <v>0</v>
      </c>
      <c r="K1562" s="17" t="n">
        <v>0</v>
      </c>
      <c r="L1562" s="17" t="n">
        <v>0</v>
      </c>
      <c r="M1562" s="17" t="n">
        <v>3</v>
      </c>
      <c r="N1562" s="17" t="n">
        <v>0</v>
      </c>
      <c r="O1562" s="17" t="n">
        <v>0</v>
      </c>
      <c r="P1562" s="17" t="n">
        <v>0</v>
      </c>
      <c r="Q1562" s="17" t="n">
        <v>0</v>
      </c>
      <c r="R1562" s="17" t="n">
        <v>0</v>
      </c>
      <c r="T1562" s="17">
        <f>DAY(C1562)</f>
        <v/>
      </c>
      <c r="U1562" s="17">
        <f>MONTH(C1562)</f>
        <v/>
      </c>
    </row>
    <row r="1563" ht="22.5" customHeight="1" s="117">
      <c r="A1563" s="14" t="n">
        <v>46055.28730431713</v>
      </c>
      <c r="B1563" s="17" t="inlineStr">
        <is>
          <t>Nguyễn Văn Hiệp</t>
        </is>
      </c>
      <c r="C1563" s="16" t="n">
        <v>46054</v>
      </c>
      <c r="D1563" s="17" t="n">
        <v>0</v>
      </c>
      <c r="E1563" s="17" t="n">
        <v>0</v>
      </c>
      <c r="F1563" s="17" t="n">
        <v>0</v>
      </c>
      <c r="G1563" s="17" t="n">
        <v>0</v>
      </c>
      <c r="H1563" s="17" t="n">
        <v>0</v>
      </c>
      <c r="I1563" s="17" t="n">
        <v>0</v>
      </c>
      <c r="J1563" s="17" t="n">
        <v>0</v>
      </c>
      <c r="K1563" s="17" t="n">
        <v>4</v>
      </c>
      <c r="L1563" s="17" t="n">
        <v>0</v>
      </c>
      <c r="M1563" s="17" t="n">
        <v>0</v>
      </c>
      <c r="N1563" s="17" t="n">
        <v>0</v>
      </c>
      <c r="O1563" s="17" t="n">
        <v>0</v>
      </c>
      <c r="P1563" s="17" t="n">
        <v>0</v>
      </c>
      <c r="Q1563" s="17" t="n">
        <v>1</v>
      </c>
      <c r="R1563" s="17" t="n">
        <v>0</v>
      </c>
      <c r="T1563" s="17">
        <f>DAY(C1563)</f>
        <v/>
      </c>
      <c r="U1563" s="17">
        <f>MONTH(C1563)</f>
        <v/>
      </c>
    </row>
    <row r="1564" ht="22.5" customHeight="1" s="117">
      <c r="A1564" s="14" t="n">
        <v>46055.29050394676</v>
      </c>
      <c r="B1564" s="17" t="inlineStr">
        <is>
          <t>Lê Hồng Phong</t>
        </is>
      </c>
      <c r="C1564" s="16" t="n">
        <v>46055</v>
      </c>
      <c r="D1564" s="17" t="n">
        <v>1</v>
      </c>
      <c r="E1564" s="17" t="n">
        <v>1</v>
      </c>
      <c r="F1564" s="17" t="n">
        <v>1</v>
      </c>
      <c r="G1564" s="17" t="n">
        <v>1</v>
      </c>
      <c r="H1564" s="17" t="n">
        <v>1</v>
      </c>
      <c r="I1564" s="17" t="n">
        <v>1</v>
      </c>
      <c r="J1564" s="17" t="n">
        <v>1</v>
      </c>
      <c r="K1564" s="17" t="n">
        <v>1</v>
      </c>
      <c r="L1564" s="17" t="n">
        <v>1</v>
      </c>
      <c r="M1564" s="17" t="n">
        <v>1</v>
      </c>
      <c r="N1564" s="17" t="n">
        <v>1</v>
      </c>
      <c r="O1564" s="17" t="n">
        <v>1</v>
      </c>
      <c r="P1564" s="17" t="n">
        <v>1</v>
      </c>
      <c r="Q1564" s="17" t="n">
        <v>1</v>
      </c>
      <c r="R1564" s="17" t="n">
        <v>1</v>
      </c>
      <c r="T1564" s="17">
        <f>DAY(C1564)</f>
        <v/>
      </c>
      <c r="U1564" s="17">
        <f>MONTH(C1564)</f>
        <v/>
      </c>
    </row>
    <row r="1565" ht="22.5" customHeight="1" s="117">
      <c r="A1565" s="14" t="n">
        <v>46055.30912613426</v>
      </c>
      <c r="B1565" s="17" t="inlineStr">
        <is>
          <t>Nguyễn Tuấn Anh</t>
        </is>
      </c>
      <c r="C1565" s="16" t="n">
        <v>46054</v>
      </c>
      <c r="D1565" s="17" t="n">
        <v>0</v>
      </c>
      <c r="E1565" s="17" t="n">
        <v>0</v>
      </c>
      <c r="F1565" s="17" t="n">
        <v>0</v>
      </c>
      <c r="G1565" s="17" t="n">
        <v>0</v>
      </c>
      <c r="H1565" s="17" t="n">
        <v>0</v>
      </c>
      <c r="I1565" s="17" t="n">
        <v>1</v>
      </c>
      <c r="J1565" s="17" t="n">
        <v>0</v>
      </c>
      <c r="K1565" s="17" t="n">
        <v>1</v>
      </c>
      <c r="L1565" s="17" t="n">
        <v>0</v>
      </c>
      <c r="M1565" s="17" t="n">
        <v>0</v>
      </c>
      <c r="N1565" s="17" t="n">
        <v>0</v>
      </c>
      <c r="O1565" s="17" t="n">
        <v>0</v>
      </c>
      <c r="P1565" s="17" t="n">
        <v>0</v>
      </c>
      <c r="Q1565" s="17" t="n">
        <v>2</v>
      </c>
      <c r="R1565" s="17" t="n">
        <v>0</v>
      </c>
      <c r="T1565" s="17">
        <f>DAY(C1565)</f>
        <v/>
      </c>
      <c r="U1565" s="17">
        <f>MONTH(C1565)</f>
        <v/>
      </c>
    </row>
    <row r="1566" ht="22.5" customHeight="1" s="117">
      <c r="A1566" s="14" t="n">
        <v>46055.31015385417</v>
      </c>
      <c r="B1566" s="17" t="inlineStr">
        <is>
          <t>Nguyễn Quang Anh Tuấn</t>
        </is>
      </c>
      <c r="C1566" s="16" t="n">
        <v>46054</v>
      </c>
      <c r="D1566" s="17" t="n">
        <v>0</v>
      </c>
      <c r="E1566" s="17" t="n">
        <v>0</v>
      </c>
      <c r="F1566" s="17" t="n">
        <v>0</v>
      </c>
      <c r="G1566" s="17" t="n">
        <v>0</v>
      </c>
      <c r="H1566" s="17" t="n">
        <v>0</v>
      </c>
      <c r="I1566" s="17" t="n">
        <v>0</v>
      </c>
      <c r="J1566" s="17" t="n">
        <v>0</v>
      </c>
      <c r="K1566" s="17" t="n">
        <v>0</v>
      </c>
      <c r="L1566" s="17" t="n">
        <v>0</v>
      </c>
      <c r="M1566" s="17" t="n">
        <v>0</v>
      </c>
      <c r="N1566" s="17" t="n">
        <v>0</v>
      </c>
      <c r="O1566" s="17" t="n">
        <v>0</v>
      </c>
      <c r="P1566" s="17" t="n">
        <v>0</v>
      </c>
      <c r="Q1566" s="17" t="n">
        <v>1</v>
      </c>
      <c r="R1566" s="17" t="n">
        <v>0</v>
      </c>
      <c r="T1566" s="17">
        <f>DAY(C1566)</f>
        <v/>
      </c>
      <c r="U1566" s="17">
        <f>MONTH(C1566)</f>
        <v/>
      </c>
    </row>
    <row r="1567" ht="22.5" customHeight="1" s="117">
      <c r="A1567" s="14" t="n">
        <v>46055.3133646412</v>
      </c>
      <c r="B1567" s="17" t="inlineStr">
        <is>
          <t>Huỳnh Văn Lực</t>
        </is>
      </c>
      <c r="C1567" s="16" t="n">
        <v>46054</v>
      </c>
      <c r="D1567" s="17" t="n">
        <v>0</v>
      </c>
      <c r="E1567" s="17" t="n">
        <v>0</v>
      </c>
      <c r="F1567" s="17" t="n">
        <v>0</v>
      </c>
      <c r="G1567" s="17" t="n">
        <v>0</v>
      </c>
      <c r="H1567" s="17" t="n">
        <v>0</v>
      </c>
      <c r="I1567" s="17" t="n">
        <v>0</v>
      </c>
      <c r="J1567" s="17" t="n">
        <v>0</v>
      </c>
      <c r="K1567" s="17" t="n">
        <v>0</v>
      </c>
      <c r="L1567" s="17" t="n">
        <v>0</v>
      </c>
      <c r="M1567" s="17" t="n">
        <v>0</v>
      </c>
      <c r="N1567" s="17" t="n">
        <v>0</v>
      </c>
      <c r="O1567" s="17" t="n">
        <v>0</v>
      </c>
      <c r="P1567" s="17" t="n">
        <v>0</v>
      </c>
      <c r="Q1567" s="17" t="n">
        <v>0</v>
      </c>
      <c r="R1567" s="17" t="n">
        <v>0</v>
      </c>
      <c r="T1567" s="17">
        <f>DAY(C1567)</f>
        <v/>
      </c>
      <c r="U1567" s="17">
        <f>MONTH(C1567)</f>
        <v/>
      </c>
    </row>
    <row r="1568" ht="22.5" customHeight="1" s="117">
      <c r="A1568" s="14" t="n">
        <v>46055.32456217593</v>
      </c>
      <c r="B1568" s="17" t="inlineStr">
        <is>
          <t>Đặng Hoài Anh</t>
        </is>
      </c>
      <c r="C1568" s="16" t="n">
        <v>46054</v>
      </c>
      <c r="D1568" s="17" t="n">
        <v>0</v>
      </c>
      <c r="E1568" s="17" t="n">
        <v>0</v>
      </c>
      <c r="F1568" s="17" t="n">
        <v>0</v>
      </c>
      <c r="G1568" s="17" t="n">
        <v>0</v>
      </c>
      <c r="H1568" s="17" t="n">
        <v>0</v>
      </c>
      <c r="I1568" s="17" t="n">
        <v>0</v>
      </c>
      <c r="J1568" s="17" t="n">
        <v>0</v>
      </c>
      <c r="K1568" s="17" t="n">
        <v>0</v>
      </c>
      <c r="L1568" s="17" t="n">
        <v>0</v>
      </c>
      <c r="M1568" s="17" t="n">
        <v>0</v>
      </c>
      <c r="N1568" s="17" t="n">
        <v>1</v>
      </c>
      <c r="O1568" s="17" t="n">
        <v>2</v>
      </c>
      <c r="P1568" s="17" t="n">
        <v>0</v>
      </c>
      <c r="Q1568" s="17" t="n">
        <v>0</v>
      </c>
      <c r="R1568" s="17" t="n">
        <v>0</v>
      </c>
      <c r="T1568" s="17">
        <f>DAY(C1568)</f>
        <v/>
      </c>
      <c r="U1568" s="17">
        <f>MONTH(C1568)</f>
        <v/>
      </c>
    </row>
    <row r="1569" ht="22.5" customHeight="1" s="117">
      <c r="A1569" s="14" t="n">
        <v>46055.3450647338</v>
      </c>
      <c r="B1569" s="17" t="inlineStr">
        <is>
          <t>Nguyễn Hồng Minh</t>
        </is>
      </c>
      <c r="C1569" s="16" t="n">
        <v>46054</v>
      </c>
      <c r="D1569" s="17" t="n">
        <v>0</v>
      </c>
      <c r="E1569" s="17" t="n">
        <v>1</v>
      </c>
      <c r="F1569" s="17" t="n">
        <v>0</v>
      </c>
      <c r="G1569" s="17" t="n">
        <v>1</v>
      </c>
      <c r="H1569" s="17" t="n">
        <v>1</v>
      </c>
      <c r="I1569" s="17" t="n">
        <v>0</v>
      </c>
      <c r="J1569" s="17" t="n">
        <v>0</v>
      </c>
      <c r="K1569" s="17" t="n">
        <v>3</v>
      </c>
      <c r="L1569" s="17" t="n">
        <v>0</v>
      </c>
      <c r="M1569" s="17" t="n">
        <v>1</v>
      </c>
      <c r="N1569" s="17" t="n">
        <v>0</v>
      </c>
      <c r="O1569" s="17" t="n">
        <v>0</v>
      </c>
      <c r="P1569" s="17" t="n">
        <v>0</v>
      </c>
      <c r="Q1569" s="17" t="n">
        <v>4</v>
      </c>
      <c r="R1569" s="17" t="n">
        <v>0</v>
      </c>
      <c r="T1569" s="17">
        <f>DAY(C1569)</f>
        <v/>
      </c>
      <c r="U1569" s="17">
        <f>MONTH(C1569)</f>
        <v/>
      </c>
    </row>
    <row r="1570" ht="22.5" customHeight="1" s="117">
      <c r="A1570" s="14" t="n">
        <v>46056.28726212963</v>
      </c>
      <c r="B1570" s="17" t="inlineStr">
        <is>
          <t>Huỳnh Văn Lực</t>
        </is>
      </c>
      <c r="C1570" s="16" t="n">
        <v>46055</v>
      </c>
      <c r="D1570" s="17" t="n">
        <v>0</v>
      </c>
      <c r="E1570" s="17" t="n">
        <v>0</v>
      </c>
      <c r="F1570" s="17" t="n">
        <v>0</v>
      </c>
      <c r="G1570" s="17" t="n">
        <v>0</v>
      </c>
      <c r="H1570" s="17" t="n">
        <v>0</v>
      </c>
      <c r="I1570" s="17" t="n">
        <v>0</v>
      </c>
      <c r="J1570" s="17" t="n">
        <v>0</v>
      </c>
      <c r="K1570" s="17" t="n">
        <v>4</v>
      </c>
      <c r="L1570" s="17" t="n">
        <v>0</v>
      </c>
      <c r="M1570" s="17" t="n">
        <v>1</v>
      </c>
      <c r="N1570" s="17" t="n">
        <v>0</v>
      </c>
      <c r="O1570" s="17" t="n">
        <v>0</v>
      </c>
      <c r="P1570" s="17" t="n">
        <v>0</v>
      </c>
      <c r="Q1570" s="17" t="n">
        <v>2</v>
      </c>
      <c r="R1570" s="17" t="n">
        <v>0</v>
      </c>
      <c r="T1570" s="17">
        <f>DAY(C1570)</f>
        <v/>
      </c>
      <c r="U1570" s="17">
        <f>MONTH(C1570)</f>
        <v/>
      </c>
    </row>
    <row r="1571" ht="22.5" customHeight="1" s="117">
      <c r="A1571" s="14" t="n">
        <v>46056.29100784722</v>
      </c>
      <c r="B1571" s="17" t="inlineStr">
        <is>
          <t>Trần Trung Giang</t>
        </is>
      </c>
      <c r="C1571" s="16" t="n">
        <v>46055</v>
      </c>
      <c r="D1571" s="17" t="n">
        <v>1</v>
      </c>
      <c r="E1571" s="17" t="n">
        <v>0</v>
      </c>
      <c r="F1571" s="17" t="n">
        <v>0</v>
      </c>
      <c r="G1571" s="17" t="n">
        <v>0</v>
      </c>
      <c r="H1571" s="17" t="n">
        <v>0</v>
      </c>
      <c r="I1571" s="17" t="n">
        <v>0</v>
      </c>
      <c r="J1571" s="17" t="n">
        <v>0</v>
      </c>
      <c r="K1571" s="17" t="n">
        <v>6</v>
      </c>
      <c r="L1571" s="17" t="n">
        <v>0</v>
      </c>
      <c r="M1571" s="17" t="n">
        <v>0</v>
      </c>
      <c r="N1571" s="17" t="n">
        <v>1</v>
      </c>
      <c r="O1571" s="17" t="n">
        <v>0</v>
      </c>
      <c r="P1571" s="17" t="n">
        <v>1</v>
      </c>
      <c r="Q1571" s="17" t="n">
        <v>1</v>
      </c>
      <c r="R1571" s="17" t="n">
        <v>0</v>
      </c>
      <c r="T1571" s="17">
        <f>DAY(C1571)</f>
        <v/>
      </c>
      <c r="U1571" s="17">
        <f>MONTH(C1571)</f>
        <v/>
      </c>
    </row>
    <row r="1572" ht="22.5" customHeight="1" s="117">
      <c r="A1572" s="14" t="n">
        <v>46056.29452530092</v>
      </c>
      <c r="B1572" s="17" t="inlineStr">
        <is>
          <t>Nguyễn Tuấn Anh</t>
        </is>
      </c>
      <c r="C1572" s="16" t="n">
        <v>46055</v>
      </c>
      <c r="D1572" s="17" t="n">
        <v>1</v>
      </c>
      <c r="E1572" s="17" t="n">
        <v>1</v>
      </c>
      <c r="F1572" s="17" t="n">
        <v>0</v>
      </c>
      <c r="G1572" s="17" t="n">
        <v>0</v>
      </c>
      <c r="H1572" s="17" t="n">
        <v>0</v>
      </c>
      <c r="I1572" s="17" t="n">
        <v>2</v>
      </c>
      <c r="J1572" s="17" t="n">
        <v>0</v>
      </c>
      <c r="K1572" s="17" t="n">
        <v>3</v>
      </c>
      <c r="L1572" s="17" t="n">
        <v>2</v>
      </c>
      <c r="M1572" s="17" t="n">
        <v>0</v>
      </c>
      <c r="N1572" s="17" t="n">
        <v>0</v>
      </c>
      <c r="O1572" s="17" t="n">
        <v>0</v>
      </c>
      <c r="P1572" s="17" t="n">
        <v>0</v>
      </c>
      <c r="Q1572" s="17" t="n">
        <v>2</v>
      </c>
      <c r="R1572" s="17" t="n">
        <v>0</v>
      </c>
      <c r="T1572" s="17">
        <f>DAY(C1572)</f>
        <v/>
      </c>
      <c r="U1572" s="17">
        <f>MONTH(C1572)</f>
        <v/>
      </c>
    </row>
    <row r="1573" ht="22.5" customHeight="1" s="117">
      <c r="A1573" s="14" t="n">
        <v>46056.30274971065</v>
      </c>
      <c r="B1573" s="17" t="inlineStr">
        <is>
          <t>Nguyễn Văn Hiệp</t>
        </is>
      </c>
      <c r="C1573" s="16" t="n">
        <v>46055</v>
      </c>
      <c r="D1573" s="17" t="n">
        <v>0</v>
      </c>
      <c r="E1573" s="17" t="n">
        <v>0</v>
      </c>
      <c r="F1573" s="17" t="n">
        <v>0</v>
      </c>
      <c r="G1573" s="17" t="n">
        <v>0</v>
      </c>
      <c r="H1573" s="17" t="n">
        <v>0</v>
      </c>
      <c r="I1573" s="17" t="n">
        <v>1</v>
      </c>
      <c r="J1573" s="17" t="n">
        <v>0</v>
      </c>
      <c r="K1573" s="17" t="n">
        <v>0</v>
      </c>
      <c r="L1573" s="17" t="n">
        <v>0</v>
      </c>
      <c r="M1573" s="17" t="n">
        <v>0</v>
      </c>
      <c r="N1573" s="17" t="n">
        <v>0</v>
      </c>
      <c r="O1573" s="17" t="n">
        <v>0</v>
      </c>
      <c r="P1573" s="17" t="n">
        <v>1</v>
      </c>
      <c r="Q1573" s="17" t="n">
        <v>0</v>
      </c>
      <c r="R1573" s="17" t="n">
        <v>0</v>
      </c>
      <c r="T1573" s="17">
        <f>DAY(C1573)</f>
        <v/>
      </c>
      <c r="U1573" s="17">
        <f>MONTH(C1573)</f>
        <v/>
      </c>
    </row>
    <row r="1574" ht="22.5" customHeight="1" s="117">
      <c r="A1574" s="14" t="n">
        <v>46056.30805196759</v>
      </c>
      <c r="B1574" s="17" t="inlineStr">
        <is>
          <t>Nguyễn Quang Anh Tuấn</t>
        </is>
      </c>
      <c r="C1574" s="16" t="n">
        <v>46055</v>
      </c>
      <c r="D1574" s="17" t="n">
        <v>0</v>
      </c>
      <c r="E1574" s="17" t="n">
        <v>0</v>
      </c>
      <c r="F1574" s="17" t="n">
        <v>0</v>
      </c>
      <c r="G1574" s="17" t="n">
        <v>0</v>
      </c>
      <c r="H1574" s="17" t="n">
        <v>0</v>
      </c>
      <c r="I1574" s="17" t="n">
        <v>0</v>
      </c>
      <c r="J1574" s="17" t="n">
        <v>0</v>
      </c>
      <c r="K1574" s="17" t="n">
        <v>3</v>
      </c>
      <c r="L1574" s="17" t="n">
        <v>0</v>
      </c>
      <c r="M1574" s="17" t="n">
        <v>0</v>
      </c>
      <c r="N1574" s="17" t="n">
        <v>0</v>
      </c>
      <c r="O1574" s="17" t="n">
        <v>0</v>
      </c>
      <c r="P1574" s="17" t="n">
        <v>0</v>
      </c>
      <c r="Q1574" s="17" t="n">
        <v>2</v>
      </c>
      <c r="R1574" s="17" t="n">
        <v>0</v>
      </c>
      <c r="T1574" s="17">
        <f>DAY(C1574)</f>
        <v/>
      </c>
      <c r="U1574" s="17">
        <f>MONTH(C1574)</f>
        <v/>
      </c>
    </row>
    <row r="1575" ht="22.5" customHeight="1" s="117">
      <c r="A1575" s="14" t="n">
        <v>46056.32039680555</v>
      </c>
      <c r="B1575" s="17" t="inlineStr">
        <is>
          <t>Lê Hồng Phong</t>
        </is>
      </c>
      <c r="C1575" s="16" t="n">
        <v>46056</v>
      </c>
      <c r="D1575" s="17" t="n">
        <v>1</v>
      </c>
      <c r="E1575" s="17" t="n">
        <v>1</v>
      </c>
      <c r="F1575" s="17" t="n">
        <v>1</v>
      </c>
      <c r="G1575" s="17" t="n">
        <v>1</v>
      </c>
      <c r="H1575" s="17" t="n">
        <v>1</v>
      </c>
      <c r="I1575" s="17" t="n">
        <v>1</v>
      </c>
      <c r="J1575" s="17" t="n">
        <v>1</v>
      </c>
      <c r="K1575" s="17" t="n">
        <v>1</v>
      </c>
      <c r="L1575" s="17" t="n">
        <v>1</v>
      </c>
      <c r="M1575" s="17" t="n">
        <v>1</v>
      </c>
      <c r="N1575" s="17" t="n">
        <v>1</v>
      </c>
      <c r="O1575" s="17" t="n">
        <v>1</v>
      </c>
      <c r="P1575" s="17" t="n">
        <v>1</v>
      </c>
      <c r="Q1575" s="17" t="n">
        <v>1</v>
      </c>
      <c r="R1575" s="17" t="n">
        <v>1</v>
      </c>
      <c r="T1575" s="17">
        <f>DAY(C1575)</f>
        <v/>
      </c>
      <c r="U1575" s="17">
        <f>MONTH(C1575)</f>
        <v/>
      </c>
    </row>
    <row r="1576" ht="22.5" customHeight="1" s="117">
      <c r="A1576" s="14" t="n">
        <v>46056.33655454861</v>
      </c>
      <c r="B1576" s="17" t="inlineStr">
        <is>
          <t>Đặng Hoài Anh</t>
        </is>
      </c>
      <c r="C1576" s="16" t="n">
        <v>46055</v>
      </c>
      <c r="D1576" s="17" t="n">
        <v>0</v>
      </c>
      <c r="E1576" s="17" t="n">
        <v>0</v>
      </c>
      <c r="F1576" s="17" t="n">
        <v>0</v>
      </c>
      <c r="G1576" s="17" t="n">
        <v>0</v>
      </c>
      <c r="H1576" s="17" t="n">
        <v>0</v>
      </c>
      <c r="I1576" s="17" t="n">
        <v>0</v>
      </c>
      <c r="J1576" s="17" t="n">
        <v>0</v>
      </c>
      <c r="K1576" s="17" t="n">
        <v>2</v>
      </c>
      <c r="L1576" s="17" t="n">
        <v>0</v>
      </c>
      <c r="M1576" s="17" t="n">
        <v>0</v>
      </c>
      <c r="N1576" s="17" t="n">
        <v>0</v>
      </c>
      <c r="O1576" s="17" t="n">
        <v>0</v>
      </c>
      <c r="P1576" s="17" t="n">
        <v>0</v>
      </c>
      <c r="Q1576" s="17" t="n">
        <v>0</v>
      </c>
      <c r="R1576" s="17" t="n">
        <v>0</v>
      </c>
      <c r="T1576" s="17">
        <f>DAY(C1576)</f>
        <v/>
      </c>
      <c r="U1576" s="17">
        <f>MONTH(C1576)</f>
        <v/>
      </c>
    </row>
    <row r="1577" ht="22.5" customHeight="1" s="117">
      <c r="A1577" s="14" t="n">
        <v>46056.34165043981</v>
      </c>
      <c r="B1577" s="17" t="inlineStr">
        <is>
          <t>Nguyễn Hồng Minh</t>
        </is>
      </c>
      <c r="C1577" s="16" t="n">
        <v>46055</v>
      </c>
      <c r="D1577" s="17" t="n">
        <v>1</v>
      </c>
      <c r="E1577" s="17" t="n">
        <v>1</v>
      </c>
      <c r="F1577" s="17" t="n">
        <v>1</v>
      </c>
      <c r="G1577" s="17" t="n">
        <v>0</v>
      </c>
      <c r="H1577" s="17" t="n">
        <v>0</v>
      </c>
      <c r="I1577" s="17" t="n">
        <v>0</v>
      </c>
      <c r="J1577" s="17" t="n">
        <v>0</v>
      </c>
      <c r="K1577" s="17" t="n">
        <v>0</v>
      </c>
      <c r="L1577" s="17" t="n">
        <v>2</v>
      </c>
      <c r="M1577" s="17" t="n">
        <v>1</v>
      </c>
      <c r="N1577" s="17" t="n">
        <v>0</v>
      </c>
      <c r="O1577" s="17" t="n">
        <v>0</v>
      </c>
      <c r="P1577" s="17" t="n">
        <v>0</v>
      </c>
      <c r="Q1577" s="17" t="n">
        <v>5</v>
      </c>
      <c r="R1577" s="17" t="n">
        <v>0</v>
      </c>
      <c r="T1577" s="17">
        <f>DAY(C1577)</f>
        <v/>
      </c>
      <c r="U1577" s="17">
        <f>MONTH(C1577)</f>
        <v/>
      </c>
    </row>
    <row r="1578" ht="22.5" customHeight="1" s="117">
      <c r="A1578" s="14" t="n">
        <v>46057.28989075231</v>
      </c>
      <c r="B1578" s="17" t="inlineStr">
        <is>
          <t>Lương Duy Hoàng</t>
        </is>
      </c>
      <c r="C1578" s="16" t="n">
        <v>46056</v>
      </c>
      <c r="D1578" s="17" t="n">
        <v>0</v>
      </c>
      <c r="E1578" s="17" t="n">
        <v>0</v>
      </c>
      <c r="F1578" s="17" t="n">
        <v>0</v>
      </c>
      <c r="G1578" s="17" t="n">
        <v>0</v>
      </c>
      <c r="H1578" s="17" t="n">
        <v>0</v>
      </c>
      <c r="I1578" s="17" t="n">
        <v>0</v>
      </c>
      <c r="J1578" s="17" t="n">
        <v>0</v>
      </c>
      <c r="K1578" s="17" t="n">
        <v>3</v>
      </c>
      <c r="L1578" s="17" t="n">
        <v>0</v>
      </c>
      <c r="M1578" s="17" t="n">
        <v>1</v>
      </c>
      <c r="N1578" s="17" t="n">
        <v>0</v>
      </c>
      <c r="O1578" s="17" t="n">
        <v>0</v>
      </c>
      <c r="P1578" s="17" t="n">
        <v>0</v>
      </c>
      <c r="Q1578" s="17" t="n">
        <v>1</v>
      </c>
      <c r="R1578" s="17" t="n">
        <v>0</v>
      </c>
      <c r="T1578" s="17">
        <f>DAY(C1578)</f>
        <v/>
      </c>
      <c r="U1578" s="17">
        <f>MONTH(C1578)</f>
        <v/>
      </c>
    </row>
    <row r="1579" ht="22.5" customHeight="1" s="117">
      <c r="A1579" s="14" t="n">
        <v>46057.29897909722</v>
      </c>
      <c r="B1579" s="17" t="inlineStr">
        <is>
          <t>Nguyễn Tuấn Anh</t>
        </is>
      </c>
      <c r="C1579" s="16" t="n">
        <v>46056</v>
      </c>
      <c r="D1579" s="17" t="n">
        <v>0</v>
      </c>
      <c r="E1579" s="17" t="n">
        <v>0</v>
      </c>
      <c r="F1579" s="17" t="n">
        <v>1</v>
      </c>
      <c r="G1579" s="17" t="n">
        <v>0</v>
      </c>
      <c r="H1579" s="17" t="n">
        <v>0</v>
      </c>
      <c r="I1579" s="17" t="n">
        <v>1</v>
      </c>
      <c r="J1579" s="17" t="n">
        <v>0</v>
      </c>
      <c r="K1579" s="17" t="n">
        <v>8</v>
      </c>
      <c r="L1579" s="17" t="n">
        <v>0</v>
      </c>
      <c r="M1579" s="17" t="n">
        <v>0</v>
      </c>
      <c r="N1579" s="17" t="n">
        <v>0</v>
      </c>
      <c r="O1579" s="17" t="n">
        <v>0</v>
      </c>
      <c r="P1579" s="17" t="n">
        <v>1</v>
      </c>
      <c r="Q1579" s="17" t="n">
        <v>2</v>
      </c>
      <c r="R1579" s="17" t="n">
        <v>0</v>
      </c>
      <c r="T1579" s="17">
        <f>DAY(C1579)</f>
        <v/>
      </c>
      <c r="U1579" s="17">
        <f>MONTH(C1579)</f>
        <v/>
      </c>
    </row>
    <row r="1580" ht="22.5" customHeight="1" s="117">
      <c r="A1580" s="14" t="n">
        <v>46057.302228125</v>
      </c>
      <c r="B1580" s="17" t="inlineStr">
        <is>
          <t>Trần Trung Giang</t>
        </is>
      </c>
      <c r="C1580" s="16" t="n">
        <v>46056</v>
      </c>
      <c r="D1580" s="17" t="n">
        <v>0</v>
      </c>
      <c r="E1580" s="17" t="n">
        <v>0</v>
      </c>
      <c r="F1580" s="17" t="n">
        <v>0</v>
      </c>
      <c r="G1580" s="17" t="n">
        <v>0</v>
      </c>
      <c r="H1580" s="17" t="n">
        <v>0</v>
      </c>
      <c r="I1580" s="17" t="n">
        <v>0</v>
      </c>
      <c r="J1580" s="17" t="n">
        <v>0</v>
      </c>
      <c r="K1580" s="17" t="n">
        <v>4</v>
      </c>
      <c r="L1580" s="17" t="n">
        <v>0</v>
      </c>
      <c r="M1580" s="17" t="n">
        <v>0</v>
      </c>
      <c r="N1580" s="17" t="n">
        <v>0</v>
      </c>
      <c r="O1580" s="17" t="n">
        <v>1</v>
      </c>
      <c r="P1580" s="17" t="n">
        <v>0</v>
      </c>
      <c r="Q1580" s="17" t="n">
        <v>0</v>
      </c>
      <c r="R1580" s="17" t="n">
        <v>0</v>
      </c>
      <c r="T1580" s="17">
        <f>DAY(C1580)</f>
        <v/>
      </c>
      <c r="U1580" s="17">
        <f>MONTH(C1580)</f>
        <v/>
      </c>
    </row>
    <row r="1581" ht="22.5" customHeight="1" s="117">
      <c r="A1581" s="14" t="n">
        <v>46057.3023094676</v>
      </c>
      <c r="B1581" s="17" t="inlineStr">
        <is>
          <t>Nguyễn Văn Hiệp</t>
        </is>
      </c>
      <c r="C1581" s="16" t="n">
        <v>46056</v>
      </c>
      <c r="D1581" s="17" t="n">
        <v>0</v>
      </c>
      <c r="E1581" s="17" t="n">
        <v>0</v>
      </c>
      <c r="F1581" s="17" t="n">
        <v>0</v>
      </c>
      <c r="G1581" s="17" t="n">
        <v>0</v>
      </c>
      <c r="H1581" s="17" t="n">
        <v>0</v>
      </c>
      <c r="I1581" s="17" t="n">
        <v>1</v>
      </c>
      <c r="J1581" s="17" t="n">
        <v>0</v>
      </c>
      <c r="K1581" s="17" t="n">
        <v>7</v>
      </c>
      <c r="L1581" s="17" t="n">
        <v>0</v>
      </c>
      <c r="M1581" s="17" t="n">
        <v>0</v>
      </c>
      <c r="N1581" s="17" t="n">
        <v>0</v>
      </c>
      <c r="O1581" s="17" t="n">
        <v>0</v>
      </c>
      <c r="P1581" s="17" t="n">
        <v>0</v>
      </c>
      <c r="Q1581" s="17" t="n">
        <v>0</v>
      </c>
      <c r="R1581" s="17" t="n">
        <v>0</v>
      </c>
      <c r="T1581" s="17">
        <f>DAY(C1581)</f>
        <v/>
      </c>
      <c r="U1581" s="17">
        <f>MONTH(C1581)</f>
        <v/>
      </c>
    </row>
    <row r="1582" ht="22.5" customHeight="1" s="117">
      <c r="A1582" s="14" t="n">
        <v>46057.31054400463</v>
      </c>
      <c r="B1582" s="17" t="inlineStr">
        <is>
          <t>Nguyễn Quang Anh Tuấn</t>
        </is>
      </c>
      <c r="C1582" s="16" t="n">
        <v>46056</v>
      </c>
      <c r="D1582" s="17" t="n">
        <v>0</v>
      </c>
      <c r="E1582" s="17" t="n">
        <v>0</v>
      </c>
      <c r="F1582" s="17" t="n">
        <v>0</v>
      </c>
      <c r="G1582" s="17" t="n">
        <v>0</v>
      </c>
      <c r="H1582" s="17" t="n">
        <v>0</v>
      </c>
      <c r="I1582" s="17" t="n">
        <v>0</v>
      </c>
      <c r="J1582" s="17" t="n">
        <v>0</v>
      </c>
      <c r="K1582" s="17" t="n">
        <v>0</v>
      </c>
      <c r="L1582" s="17" t="n">
        <v>0</v>
      </c>
      <c r="M1582" s="17" t="n">
        <v>1</v>
      </c>
      <c r="N1582" s="17" t="n">
        <v>0</v>
      </c>
      <c r="O1582" s="17" t="n">
        <v>0</v>
      </c>
      <c r="P1582" s="17" t="n">
        <v>0</v>
      </c>
      <c r="Q1582" s="17" t="n">
        <v>2</v>
      </c>
      <c r="R1582" s="17" t="n">
        <v>0</v>
      </c>
      <c r="T1582" s="17">
        <f>DAY(C1582)</f>
        <v/>
      </c>
      <c r="U1582" s="17">
        <f>MONTH(C1582)</f>
        <v/>
      </c>
    </row>
    <row r="1583" ht="22.5" customHeight="1" s="117">
      <c r="A1583" s="14" t="n">
        <v>46057.31344006945</v>
      </c>
      <c r="B1583" s="17" t="inlineStr">
        <is>
          <t>Đặng Hoài Anh</t>
        </is>
      </c>
      <c r="C1583" s="16" t="n">
        <v>46056</v>
      </c>
      <c r="D1583" s="17" t="n">
        <v>0</v>
      </c>
      <c r="E1583" s="17" t="n">
        <v>0</v>
      </c>
      <c r="F1583" s="17" t="n">
        <v>0</v>
      </c>
      <c r="G1583" s="17" t="n">
        <v>0</v>
      </c>
      <c r="H1583" s="17" t="n">
        <v>0</v>
      </c>
      <c r="I1583" s="17" t="n">
        <v>0</v>
      </c>
      <c r="J1583" s="17" t="n">
        <v>0</v>
      </c>
      <c r="K1583" s="17" t="n">
        <v>0</v>
      </c>
      <c r="L1583" s="17" t="n">
        <v>0</v>
      </c>
      <c r="M1583" s="17" t="n">
        <v>0</v>
      </c>
      <c r="N1583" s="17" t="n">
        <v>0</v>
      </c>
      <c r="O1583" s="17" t="n">
        <v>0</v>
      </c>
      <c r="P1583" s="17" t="n">
        <v>0</v>
      </c>
      <c r="Q1583" s="17" t="n">
        <v>0</v>
      </c>
      <c r="R1583" s="17" t="n">
        <v>0</v>
      </c>
      <c r="T1583" s="17">
        <f>DAY(C1583)</f>
        <v/>
      </c>
      <c r="U1583" s="17">
        <f>MONTH(C1583)</f>
        <v/>
      </c>
    </row>
    <row r="1584" ht="22.5" customHeight="1" s="117">
      <c r="A1584" s="14" t="n">
        <v>46057.33191298611</v>
      </c>
      <c r="B1584" s="17" t="inlineStr">
        <is>
          <t>Lê Hồng Phong</t>
        </is>
      </c>
      <c r="C1584" s="16" t="n">
        <v>46057</v>
      </c>
      <c r="D1584" s="17" t="n">
        <v>1</v>
      </c>
      <c r="E1584" s="17" t="n">
        <v>1</v>
      </c>
      <c r="F1584" s="17" t="n">
        <v>1</v>
      </c>
      <c r="G1584" s="17" t="n">
        <v>1</v>
      </c>
      <c r="H1584" s="17" t="n">
        <v>1</v>
      </c>
      <c r="I1584" s="17" t="n">
        <v>1</v>
      </c>
      <c r="J1584" s="17" t="n">
        <v>1</v>
      </c>
      <c r="K1584" s="17" t="n">
        <v>1</v>
      </c>
      <c r="L1584" s="17" t="n">
        <v>1</v>
      </c>
      <c r="M1584" s="17" t="n">
        <v>1</v>
      </c>
      <c r="N1584" s="17" t="n">
        <v>1</v>
      </c>
      <c r="O1584" s="17" t="n">
        <v>1</v>
      </c>
      <c r="P1584" s="17" t="n">
        <v>1</v>
      </c>
      <c r="Q1584" s="17" t="n">
        <v>1</v>
      </c>
      <c r="R1584" s="17" t="n">
        <v>1</v>
      </c>
      <c r="T1584" s="17">
        <f>DAY(C1584)</f>
        <v/>
      </c>
      <c r="U1584" s="17">
        <f>MONTH(C1584)</f>
        <v/>
      </c>
    </row>
    <row r="1585" ht="22.5" customHeight="1" s="117">
      <c r="A1585" s="14" t="n">
        <v>46057.34502809028</v>
      </c>
      <c r="B1585" s="17" t="inlineStr">
        <is>
          <t>Vòng Nhật Sang</t>
        </is>
      </c>
      <c r="C1585" s="16" t="n">
        <v>46056</v>
      </c>
      <c r="D1585" s="17" t="n">
        <v>0</v>
      </c>
      <c r="E1585" s="17" t="n">
        <v>0</v>
      </c>
      <c r="F1585" s="17" t="n">
        <v>0</v>
      </c>
      <c r="G1585" s="17" t="n">
        <v>0</v>
      </c>
      <c r="H1585" s="17" t="n">
        <v>0</v>
      </c>
      <c r="I1585" s="17" t="n">
        <v>0</v>
      </c>
      <c r="J1585" s="17" t="n">
        <v>0</v>
      </c>
      <c r="K1585" s="17" t="n">
        <v>26</v>
      </c>
      <c r="L1585" s="17" t="n">
        <v>0</v>
      </c>
      <c r="M1585" s="17" t="n">
        <v>0</v>
      </c>
      <c r="N1585" s="17" t="n">
        <v>0</v>
      </c>
      <c r="O1585" s="17" t="n">
        <v>0</v>
      </c>
      <c r="P1585" s="17" t="n">
        <v>2</v>
      </c>
      <c r="Q1585" s="17" t="n">
        <v>2</v>
      </c>
      <c r="R1585" s="17" t="n">
        <v>0</v>
      </c>
      <c r="T1585" s="17">
        <f>DAY(C1585)</f>
        <v/>
      </c>
      <c r="U1585" s="17">
        <f>MONTH(C1585)</f>
        <v/>
      </c>
    </row>
    <row r="1586" ht="22.5" customHeight="1" s="117">
      <c r="A1586" s="14" t="n">
        <v>46057.36834282408</v>
      </c>
      <c r="B1586" s="17" t="inlineStr">
        <is>
          <t>Nguyễn Hồng Minh</t>
        </is>
      </c>
      <c r="C1586" s="16" t="n">
        <v>46056</v>
      </c>
      <c r="D1586" s="17" t="n">
        <v>0</v>
      </c>
      <c r="E1586" s="17" t="n">
        <v>0</v>
      </c>
      <c r="F1586" s="17" t="n">
        <v>0</v>
      </c>
      <c r="G1586" s="17" t="n">
        <v>0</v>
      </c>
      <c r="H1586" s="17" t="n">
        <v>0</v>
      </c>
      <c r="I1586" s="17" t="n">
        <v>0</v>
      </c>
      <c r="J1586" s="17" t="n">
        <v>0</v>
      </c>
      <c r="K1586" s="17" t="n">
        <v>0</v>
      </c>
      <c r="L1586" s="17" t="n">
        <v>3</v>
      </c>
      <c r="M1586" s="17" t="n">
        <v>2</v>
      </c>
      <c r="N1586" s="17" t="n">
        <v>0</v>
      </c>
      <c r="O1586" s="17" t="n">
        <v>0</v>
      </c>
      <c r="P1586" s="17" t="n">
        <v>1</v>
      </c>
      <c r="Q1586" s="17" t="n">
        <v>3</v>
      </c>
      <c r="R1586" s="17" t="n">
        <v>0</v>
      </c>
      <c r="T1586" s="17">
        <f>DAY(C1586)</f>
        <v/>
      </c>
      <c r="U1586" s="17">
        <f>MONTH(C1586)</f>
        <v/>
      </c>
    </row>
    <row r="1587" ht="22.5" customHeight="1" s="117">
      <c r="A1587" s="14" t="n">
        <v>46058.26331898148</v>
      </c>
      <c r="B1587" s="17" t="inlineStr">
        <is>
          <t>Nguyễn Văn Hiệp</t>
        </is>
      </c>
      <c r="C1587" s="16" t="n">
        <v>46057</v>
      </c>
      <c r="D1587" s="17" t="n">
        <v>0</v>
      </c>
      <c r="E1587" s="17" t="n">
        <v>0</v>
      </c>
      <c r="F1587" s="17" t="n">
        <v>0</v>
      </c>
      <c r="G1587" s="17" t="n">
        <v>0</v>
      </c>
      <c r="H1587" s="17" t="n">
        <v>0</v>
      </c>
      <c r="I1587" s="17" t="n">
        <v>0</v>
      </c>
      <c r="J1587" s="17" t="n">
        <v>0</v>
      </c>
      <c r="K1587" s="17" t="n">
        <v>8</v>
      </c>
      <c r="L1587" s="17" t="n">
        <v>0</v>
      </c>
      <c r="M1587" s="17" t="n">
        <v>0</v>
      </c>
      <c r="N1587" s="17" t="n">
        <v>0</v>
      </c>
      <c r="O1587" s="17" t="n">
        <v>0</v>
      </c>
      <c r="P1587" s="17" t="n">
        <v>1</v>
      </c>
      <c r="Q1587" s="17" t="n">
        <v>0</v>
      </c>
      <c r="R1587" s="17" t="n">
        <v>0</v>
      </c>
      <c r="T1587" s="17">
        <f>DAY(C1587)</f>
        <v/>
      </c>
      <c r="U1587" s="17">
        <f>MONTH(C1587)</f>
        <v/>
      </c>
    </row>
    <row r="1588" ht="22.5" customHeight="1" s="117">
      <c r="A1588" s="14" t="n">
        <v>46058.28148451389</v>
      </c>
      <c r="B1588" s="17" t="inlineStr">
        <is>
          <t>Nguyễn Quang Anh Tuấn</t>
        </is>
      </c>
      <c r="C1588" s="16" t="n">
        <v>46057</v>
      </c>
      <c r="D1588" s="17" t="n">
        <v>1</v>
      </c>
      <c r="E1588" s="17" t="n">
        <v>1</v>
      </c>
      <c r="F1588" s="17" t="n">
        <v>0</v>
      </c>
      <c r="G1588" s="17" t="n">
        <v>0</v>
      </c>
      <c r="H1588" s="17" t="n">
        <v>0</v>
      </c>
      <c r="I1588" s="17" t="n">
        <v>0</v>
      </c>
      <c r="J1588" s="17" t="n">
        <v>0</v>
      </c>
      <c r="K1588" s="17" t="n">
        <v>0</v>
      </c>
      <c r="L1588" s="17" t="n">
        <v>0</v>
      </c>
      <c r="M1588" s="17" t="n">
        <v>2</v>
      </c>
      <c r="N1588" s="17" t="n">
        <v>0</v>
      </c>
      <c r="O1588" s="17" t="n">
        <v>0</v>
      </c>
      <c r="P1588" s="17" t="n">
        <v>0</v>
      </c>
      <c r="Q1588" s="17" t="n">
        <v>0</v>
      </c>
      <c r="R1588" s="17" t="n">
        <v>0</v>
      </c>
      <c r="T1588" s="17">
        <f>DAY(C1588)</f>
        <v/>
      </c>
      <c r="U1588" s="17">
        <f>MONTH(C1588)</f>
        <v/>
      </c>
    </row>
    <row r="1589" ht="22.5" customHeight="1" s="117">
      <c r="A1589" s="14" t="n">
        <v>46058.29116236111</v>
      </c>
      <c r="B1589" s="17" t="inlineStr">
        <is>
          <t>Lương Duy Hoàng</t>
        </is>
      </c>
      <c r="C1589" s="16" t="n">
        <v>46057</v>
      </c>
      <c r="D1589" s="17" t="n">
        <v>0</v>
      </c>
      <c r="E1589" s="17" t="n">
        <v>0</v>
      </c>
      <c r="F1589" s="17" t="n">
        <v>0</v>
      </c>
      <c r="G1589" s="17" t="n">
        <v>0</v>
      </c>
      <c r="H1589" s="17" t="n">
        <v>0</v>
      </c>
      <c r="I1589" s="17" t="n">
        <v>0</v>
      </c>
      <c r="J1589" s="17" t="n">
        <v>0</v>
      </c>
      <c r="K1589" s="17" t="n">
        <v>3</v>
      </c>
      <c r="L1589" s="17" t="n">
        <v>0</v>
      </c>
      <c r="M1589" s="17" t="n">
        <v>1</v>
      </c>
      <c r="N1589" s="17" t="n">
        <v>0</v>
      </c>
      <c r="O1589" s="17" t="n">
        <v>0</v>
      </c>
      <c r="P1589" s="17" t="n">
        <v>0</v>
      </c>
      <c r="Q1589" s="17" t="n">
        <v>1</v>
      </c>
      <c r="R1589" s="17" t="n">
        <v>0</v>
      </c>
      <c r="T1589" s="17">
        <f>DAY(C1589)</f>
        <v/>
      </c>
      <c r="U1589" s="17">
        <f>MONTH(C1589)</f>
        <v/>
      </c>
    </row>
    <row r="1590" ht="22.5" customHeight="1" s="117">
      <c r="A1590" s="14" t="n">
        <v>46058.29959527778</v>
      </c>
      <c r="B1590" s="17" t="inlineStr">
        <is>
          <t>Huỳnh Văn Lực</t>
        </is>
      </c>
      <c r="C1590" s="16" t="n">
        <v>46057</v>
      </c>
      <c r="D1590" s="17" t="n">
        <v>0</v>
      </c>
      <c r="E1590" s="17" t="n">
        <v>0</v>
      </c>
      <c r="F1590" s="17" t="n">
        <v>0</v>
      </c>
      <c r="G1590" s="17" t="n">
        <v>0</v>
      </c>
      <c r="H1590" s="17" t="n">
        <v>0</v>
      </c>
      <c r="I1590" s="17" t="n">
        <v>0</v>
      </c>
      <c r="J1590" s="17" t="n">
        <v>0</v>
      </c>
      <c r="K1590" s="17" t="n">
        <v>1</v>
      </c>
      <c r="L1590" s="17" t="n">
        <v>0</v>
      </c>
      <c r="M1590" s="17" t="n">
        <v>0</v>
      </c>
      <c r="N1590" s="17" t="n">
        <v>0</v>
      </c>
      <c r="O1590" s="17" t="n">
        <v>0</v>
      </c>
      <c r="P1590" s="17" t="n">
        <v>1</v>
      </c>
      <c r="Q1590" s="17" t="n">
        <v>1</v>
      </c>
      <c r="R1590" s="17" t="n">
        <v>0</v>
      </c>
      <c r="T1590" s="17">
        <f>DAY(C1590)</f>
        <v/>
      </c>
      <c r="U1590" s="17">
        <f>MONTH(C1590)</f>
        <v/>
      </c>
    </row>
    <row r="1591" ht="22.5" customHeight="1" s="117">
      <c r="A1591" s="14" t="n">
        <v>46058.30296056713</v>
      </c>
      <c r="B1591" s="17" t="inlineStr">
        <is>
          <t>Nguyễn Tuấn Anh</t>
        </is>
      </c>
      <c r="C1591" s="16" t="n">
        <v>46057</v>
      </c>
      <c r="D1591" s="17" t="n">
        <v>2</v>
      </c>
      <c r="E1591" s="17" t="n">
        <v>0</v>
      </c>
      <c r="F1591" s="17" t="n">
        <v>0</v>
      </c>
      <c r="G1591" s="17" t="n">
        <v>0</v>
      </c>
      <c r="H1591" s="17" t="n">
        <v>0</v>
      </c>
      <c r="I1591" s="17" t="n">
        <v>2</v>
      </c>
      <c r="J1591" s="17" t="n">
        <v>0</v>
      </c>
      <c r="K1591" s="17" t="n">
        <v>12</v>
      </c>
      <c r="L1591" s="17" t="n">
        <v>0</v>
      </c>
      <c r="M1591" s="17" t="n">
        <v>0</v>
      </c>
      <c r="N1591" s="17" t="n">
        <v>0</v>
      </c>
      <c r="O1591" s="17" t="n">
        <v>0</v>
      </c>
      <c r="P1591" s="17" t="n">
        <v>0</v>
      </c>
      <c r="Q1591" s="17" t="n">
        <v>2</v>
      </c>
      <c r="R1591" s="17" t="n">
        <v>0</v>
      </c>
      <c r="T1591" s="17">
        <f>DAY(C1591)</f>
        <v/>
      </c>
      <c r="U1591" s="17">
        <f>MONTH(C1591)</f>
        <v/>
      </c>
    </row>
    <row r="1592" ht="22.5" customHeight="1" s="117">
      <c r="A1592" s="14" t="n">
        <v>46058.30510288195</v>
      </c>
      <c r="B1592" s="17" t="inlineStr">
        <is>
          <t>Trần Xuân Khoa</t>
        </is>
      </c>
      <c r="C1592" s="16" t="n">
        <v>46057</v>
      </c>
      <c r="D1592" s="17" t="n">
        <v>1</v>
      </c>
      <c r="E1592" s="17" t="n">
        <v>1</v>
      </c>
      <c r="F1592" s="17" t="n">
        <v>1</v>
      </c>
      <c r="G1592" s="17" t="n">
        <v>0</v>
      </c>
      <c r="H1592" s="17" t="n">
        <v>0</v>
      </c>
      <c r="I1592" s="17" t="n">
        <v>0</v>
      </c>
      <c r="J1592" s="17" t="n">
        <v>0</v>
      </c>
      <c r="K1592" s="17" t="n">
        <v>0</v>
      </c>
      <c r="L1592" s="17" t="n">
        <v>0</v>
      </c>
      <c r="M1592" s="17" t="n">
        <v>0</v>
      </c>
      <c r="N1592" s="17" t="n">
        <v>0</v>
      </c>
      <c r="O1592" s="17" t="n">
        <v>0</v>
      </c>
      <c r="P1592" s="17" t="n">
        <v>1</v>
      </c>
      <c r="Q1592" s="17" t="n">
        <v>2</v>
      </c>
      <c r="R1592" s="17" t="n">
        <v>0</v>
      </c>
      <c r="T1592" s="17">
        <f>DAY(C1592)</f>
        <v/>
      </c>
      <c r="U1592" s="17">
        <f>MONTH(C1592)</f>
        <v/>
      </c>
    </row>
    <row r="1593" ht="22.5" customHeight="1" s="117">
      <c r="A1593" s="14" t="n">
        <v>46058.30826434028</v>
      </c>
      <c r="B1593" s="17" t="inlineStr">
        <is>
          <t>Trần Trung Giang</t>
        </is>
      </c>
      <c r="C1593" s="16" t="n">
        <v>46057</v>
      </c>
      <c r="D1593" s="17" t="n">
        <v>0</v>
      </c>
      <c r="E1593" s="17" t="n">
        <v>0</v>
      </c>
      <c r="F1593" s="17" t="n">
        <v>0</v>
      </c>
      <c r="G1593" s="17" t="n">
        <v>0</v>
      </c>
      <c r="H1593" s="17" t="n">
        <v>0</v>
      </c>
      <c r="I1593" s="17" t="n">
        <v>0</v>
      </c>
      <c r="J1593" s="17" t="n">
        <v>0</v>
      </c>
      <c r="K1593" s="17" t="n">
        <v>4</v>
      </c>
      <c r="L1593" s="17" t="n">
        <v>0</v>
      </c>
      <c r="M1593" s="17" t="n">
        <v>0</v>
      </c>
      <c r="N1593" s="17" t="n">
        <v>0</v>
      </c>
      <c r="O1593" s="17" t="n">
        <v>1</v>
      </c>
      <c r="P1593" s="17" t="n">
        <v>0</v>
      </c>
      <c r="Q1593" s="17" t="n">
        <v>0</v>
      </c>
      <c r="R1593" s="17" t="n">
        <v>0</v>
      </c>
      <c r="T1593" s="17">
        <f>DAY(C1593)</f>
        <v/>
      </c>
      <c r="U1593" s="17">
        <f>MONTH(C1593)</f>
        <v/>
      </c>
    </row>
    <row r="1594" ht="22.5" customHeight="1" s="117">
      <c r="A1594" s="14" t="n">
        <v>46058.31416853009</v>
      </c>
      <c r="B1594" s="17" t="inlineStr">
        <is>
          <t>Lê Hồng Phong</t>
        </is>
      </c>
      <c r="C1594" s="16" t="n">
        <v>46058</v>
      </c>
      <c r="D1594" s="17" t="n">
        <v>1</v>
      </c>
      <c r="E1594" s="17" t="n">
        <v>1</v>
      </c>
      <c r="F1594" s="17" t="n">
        <v>1</v>
      </c>
      <c r="G1594" s="17" t="n">
        <v>1</v>
      </c>
      <c r="H1594" s="17" t="n">
        <v>1</v>
      </c>
      <c r="I1594" s="17" t="n">
        <v>1</v>
      </c>
      <c r="J1594" s="17" t="n">
        <v>1</v>
      </c>
      <c r="K1594" s="17" t="n">
        <v>1</v>
      </c>
      <c r="L1594" s="17" t="n">
        <v>1</v>
      </c>
      <c r="M1594" s="17" t="n">
        <v>1</v>
      </c>
      <c r="N1594" s="17" t="n">
        <v>1</v>
      </c>
      <c r="O1594" s="17" t="n">
        <v>1</v>
      </c>
      <c r="P1594" s="17" t="n">
        <v>1</v>
      </c>
      <c r="Q1594" s="17" t="n">
        <v>1</v>
      </c>
      <c r="R1594" s="17" t="n">
        <v>1</v>
      </c>
      <c r="T1594" s="17">
        <f>DAY(C1594)</f>
        <v/>
      </c>
      <c r="U1594" s="17">
        <f>MONTH(C1594)</f>
        <v/>
      </c>
    </row>
    <row r="1595" ht="22.5" customHeight="1" s="117">
      <c r="A1595" s="14" t="n">
        <v>46058.3161021875</v>
      </c>
      <c r="B1595" s="17" t="inlineStr">
        <is>
          <t>Đặng Hoài Anh</t>
        </is>
      </c>
      <c r="C1595" s="16" t="n">
        <v>46057</v>
      </c>
      <c r="D1595" s="17" t="n">
        <v>0</v>
      </c>
      <c r="E1595" s="17" t="n">
        <v>0</v>
      </c>
      <c r="F1595" s="17" t="n">
        <v>0</v>
      </c>
      <c r="G1595" s="17" t="n">
        <v>0</v>
      </c>
      <c r="H1595" s="17" t="n">
        <v>0</v>
      </c>
      <c r="I1595" s="17" t="n">
        <v>0</v>
      </c>
      <c r="J1595" s="17" t="n">
        <v>0</v>
      </c>
      <c r="K1595" s="17" t="n">
        <v>9</v>
      </c>
      <c r="L1595" s="17" t="n">
        <v>0</v>
      </c>
      <c r="M1595" s="17" t="n">
        <v>1</v>
      </c>
      <c r="N1595" s="17" t="n">
        <v>0</v>
      </c>
      <c r="O1595" s="17" t="n">
        <v>0</v>
      </c>
      <c r="P1595" s="17" t="n">
        <v>0</v>
      </c>
      <c r="Q1595" s="17" t="n">
        <v>0</v>
      </c>
      <c r="R1595" s="17" t="n">
        <v>0</v>
      </c>
      <c r="T1595" s="17">
        <f>DAY(C1595)</f>
        <v/>
      </c>
      <c r="U1595" s="17">
        <f>MONTH(C1595)</f>
        <v/>
      </c>
    </row>
    <row r="1596" ht="22.5" customHeight="1" s="117">
      <c r="A1596" s="14" t="n">
        <v>46058.37752883102</v>
      </c>
      <c r="B1596" s="17" t="inlineStr">
        <is>
          <t>Nguyễn Hồng Minh</t>
        </is>
      </c>
      <c r="C1596" s="16" t="n">
        <v>46057</v>
      </c>
      <c r="D1596" s="17" t="n">
        <v>2</v>
      </c>
      <c r="E1596" s="17" t="n">
        <v>2</v>
      </c>
      <c r="F1596" s="17" t="n">
        <v>2</v>
      </c>
      <c r="G1596" s="17" t="n">
        <v>0</v>
      </c>
      <c r="H1596" s="17" t="n">
        <v>0</v>
      </c>
      <c r="I1596" s="17" t="n">
        <v>0</v>
      </c>
      <c r="J1596" s="17" t="n">
        <v>0</v>
      </c>
      <c r="K1596" s="17" t="n">
        <v>0</v>
      </c>
      <c r="L1596" s="17" t="n">
        <v>1</v>
      </c>
      <c r="M1596" s="17" t="n">
        <v>0</v>
      </c>
      <c r="N1596" s="17" t="n">
        <v>0</v>
      </c>
      <c r="O1596" s="17" t="n">
        <v>0</v>
      </c>
      <c r="P1596" s="17" t="n">
        <v>1</v>
      </c>
      <c r="Q1596" s="17" t="n">
        <v>6</v>
      </c>
      <c r="R1596" s="17" t="n">
        <v>0</v>
      </c>
      <c r="T1596" s="17">
        <f>DAY(C1596)</f>
        <v/>
      </c>
      <c r="U1596" s="17">
        <f>MONTH(C1596)</f>
        <v/>
      </c>
    </row>
    <row r="1597" ht="22.5" customHeight="1" s="117">
      <c r="A1597" s="14" t="n">
        <v>46059.28304599537</v>
      </c>
      <c r="B1597" s="17" t="inlineStr">
        <is>
          <t>Huỳnh Văn Lực</t>
        </is>
      </c>
      <c r="C1597" s="16" t="n">
        <v>46058</v>
      </c>
      <c r="D1597" s="17" t="n">
        <v>0</v>
      </c>
      <c r="E1597" s="17" t="n">
        <v>0</v>
      </c>
      <c r="F1597" s="17" t="n">
        <v>0</v>
      </c>
      <c r="G1597" s="17" t="n">
        <v>0</v>
      </c>
      <c r="H1597" s="17" t="n">
        <v>0</v>
      </c>
      <c r="I1597" s="17" t="n">
        <v>0</v>
      </c>
      <c r="J1597" s="17" t="n">
        <v>0</v>
      </c>
      <c r="K1597" s="17" t="n">
        <v>3</v>
      </c>
      <c r="L1597" s="17" t="n">
        <v>0</v>
      </c>
      <c r="M1597" s="17" t="n">
        <v>0</v>
      </c>
      <c r="N1597" s="17" t="n">
        <v>0</v>
      </c>
      <c r="O1597" s="17" t="n">
        <v>0</v>
      </c>
      <c r="P1597" s="17" t="n">
        <v>0</v>
      </c>
      <c r="Q1597" s="17" t="n">
        <v>3</v>
      </c>
      <c r="R1597" s="17" t="n">
        <v>0</v>
      </c>
      <c r="T1597" s="17">
        <f>DAY(C1597)</f>
        <v/>
      </c>
      <c r="U1597" s="17">
        <f>MONTH(C1597)</f>
        <v/>
      </c>
    </row>
    <row r="1598" ht="22.5" customHeight="1" s="117">
      <c r="A1598" s="14" t="n">
        <v>46059.28401226852</v>
      </c>
      <c r="B1598" s="17" t="inlineStr">
        <is>
          <t>Nguyễn Quang Anh Tuấn</t>
        </is>
      </c>
      <c r="C1598" s="16" t="n">
        <v>46058</v>
      </c>
      <c r="D1598" s="17" t="n">
        <v>0</v>
      </c>
      <c r="E1598" s="17" t="n">
        <v>0</v>
      </c>
      <c r="F1598" s="17" t="n">
        <v>0</v>
      </c>
      <c r="G1598" s="17" t="n">
        <v>0</v>
      </c>
      <c r="H1598" s="17" t="n">
        <v>1</v>
      </c>
      <c r="I1598" s="17" t="n">
        <v>0</v>
      </c>
      <c r="J1598" s="17" t="n">
        <v>0</v>
      </c>
      <c r="K1598" s="17" t="n">
        <v>12</v>
      </c>
      <c r="L1598" s="17" t="n">
        <v>0</v>
      </c>
      <c r="M1598" s="17" t="n">
        <v>2</v>
      </c>
      <c r="N1598" s="17" t="n">
        <v>0</v>
      </c>
      <c r="O1598" s="17" t="n">
        <v>0</v>
      </c>
      <c r="P1598" s="17" t="n">
        <v>0</v>
      </c>
      <c r="Q1598" s="17" t="n">
        <v>2</v>
      </c>
      <c r="R1598" s="17" t="n">
        <v>0</v>
      </c>
      <c r="T1598" s="17">
        <f>DAY(C1598)</f>
        <v/>
      </c>
      <c r="U1598" s="17">
        <f>MONTH(C1598)</f>
        <v/>
      </c>
    </row>
    <row r="1599" ht="22.5" customHeight="1" s="117">
      <c r="A1599" s="14" t="n">
        <v>46059.28626775463</v>
      </c>
      <c r="B1599" s="17" t="inlineStr">
        <is>
          <t>Nguyễn Văn Hiệp</t>
        </is>
      </c>
      <c r="C1599" s="16" t="n">
        <v>46058</v>
      </c>
      <c r="D1599" s="17" t="n">
        <v>0</v>
      </c>
      <c r="E1599" s="17" t="n">
        <v>0</v>
      </c>
      <c r="F1599" s="17" t="n">
        <v>0</v>
      </c>
      <c r="G1599" s="17" t="n">
        <v>0</v>
      </c>
      <c r="H1599" s="17" t="n">
        <v>0</v>
      </c>
      <c r="I1599" s="17" t="n">
        <v>1</v>
      </c>
      <c r="J1599" s="17" t="n">
        <v>0</v>
      </c>
      <c r="K1599" s="17" t="n">
        <v>4</v>
      </c>
      <c r="L1599" s="17" t="n">
        <v>0</v>
      </c>
      <c r="M1599" s="17" t="n">
        <v>0</v>
      </c>
      <c r="N1599" s="17" t="n">
        <v>1</v>
      </c>
      <c r="O1599" s="17" t="n">
        <v>0</v>
      </c>
      <c r="P1599" s="17" t="n">
        <v>0</v>
      </c>
      <c r="Q1599" s="17" t="n">
        <v>0</v>
      </c>
      <c r="R1599" s="17" t="n">
        <v>0</v>
      </c>
      <c r="T1599" s="17">
        <f>DAY(C1599)</f>
        <v/>
      </c>
      <c r="U1599" s="17">
        <f>MONTH(C1599)</f>
        <v/>
      </c>
    </row>
    <row r="1600" ht="22.5" customHeight="1" s="117">
      <c r="A1600" s="14" t="n">
        <v>46059.28654027778</v>
      </c>
      <c r="B1600" s="17" t="inlineStr">
        <is>
          <t>Trần Trung Giang</t>
        </is>
      </c>
      <c r="C1600" s="16" t="n">
        <v>46058</v>
      </c>
      <c r="D1600" s="17" t="n">
        <v>0</v>
      </c>
      <c r="E1600" s="17" t="n">
        <v>0</v>
      </c>
      <c r="F1600" s="17" t="n">
        <v>0</v>
      </c>
      <c r="G1600" s="17" t="n">
        <v>0</v>
      </c>
      <c r="H1600" s="17" t="n">
        <v>0</v>
      </c>
      <c r="I1600" s="17" t="n">
        <v>0</v>
      </c>
      <c r="J1600" s="17" t="n">
        <v>0</v>
      </c>
      <c r="K1600" s="17" t="n">
        <v>6</v>
      </c>
      <c r="L1600" s="17" t="n">
        <v>2</v>
      </c>
      <c r="M1600" s="17" t="n">
        <v>9</v>
      </c>
      <c r="N1600" s="17" t="n">
        <v>0</v>
      </c>
      <c r="O1600" s="17" t="n">
        <v>0</v>
      </c>
      <c r="P1600" s="17" t="n">
        <v>0</v>
      </c>
      <c r="Q1600" s="17" t="n">
        <v>0</v>
      </c>
      <c r="R1600" s="17" t="n">
        <v>0</v>
      </c>
      <c r="T1600" s="17">
        <f>DAY(C1600)</f>
        <v/>
      </c>
      <c r="U1600" s="17">
        <f>MONTH(C1600)</f>
        <v/>
      </c>
    </row>
    <row r="1601" ht="22.5" customHeight="1" s="117">
      <c r="A1601" s="14" t="n">
        <v>46059.29530155093</v>
      </c>
      <c r="B1601" s="17" t="inlineStr">
        <is>
          <t>Đặng Hoài Anh</t>
        </is>
      </c>
      <c r="C1601" s="16" t="n">
        <v>46058</v>
      </c>
      <c r="D1601" s="17" t="n">
        <v>0</v>
      </c>
      <c r="E1601" s="17" t="n">
        <v>0</v>
      </c>
      <c r="F1601" s="17" t="n">
        <v>0</v>
      </c>
      <c r="G1601" s="17" t="n">
        <v>0</v>
      </c>
      <c r="H1601" s="17" t="n">
        <v>0</v>
      </c>
      <c r="I1601" s="17" t="n">
        <v>0</v>
      </c>
      <c r="J1601" s="17" t="n">
        <v>0</v>
      </c>
      <c r="K1601" s="17" t="n">
        <v>3</v>
      </c>
      <c r="L1601" s="17" t="n">
        <v>0</v>
      </c>
      <c r="M1601" s="17" t="n">
        <v>0</v>
      </c>
      <c r="N1601" s="17" t="n">
        <v>0</v>
      </c>
      <c r="O1601" s="17" t="n">
        <v>0</v>
      </c>
      <c r="P1601" s="17" t="n">
        <v>0</v>
      </c>
      <c r="Q1601" s="17" t="n">
        <v>1</v>
      </c>
      <c r="R1601" s="17" t="n">
        <v>0</v>
      </c>
      <c r="T1601" s="17">
        <f>DAY(C1601)</f>
        <v/>
      </c>
      <c r="U1601" s="17">
        <f>MONTH(C1601)</f>
        <v/>
      </c>
    </row>
    <row r="1602" ht="22.5" customHeight="1" s="117">
      <c r="A1602" s="14" t="n">
        <v>46059.31008082176</v>
      </c>
      <c r="B1602" s="17" t="inlineStr">
        <is>
          <t>Nguyễn Tuấn Anh</t>
        </is>
      </c>
      <c r="C1602" s="16" t="n">
        <v>46058</v>
      </c>
      <c r="D1602" s="17" t="n">
        <v>0</v>
      </c>
      <c r="E1602" s="17" t="n">
        <v>0</v>
      </c>
      <c r="F1602" s="17" t="n">
        <v>0</v>
      </c>
      <c r="G1602" s="17" t="n">
        <v>0</v>
      </c>
      <c r="H1602" s="17" t="n">
        <v>1</v>
      </c>
      <c r="I1602" s="17" t="n">
        <v>2</v>
      </c>
      <c r="J1602" s="17" t="n">
        <v>0</v>
      </c>
      <c r="K1602" s="17" t="n">
        <v>37</v>
      </c>
      <c r="L1602" s="17" t="n">
        <v>0</v>
      </c>
      <c r="M1602" s="17" t="n">
        <v>0</v>
      </c>
      <c r="N1602" s="17" t="n">
        <v>0</v>
      </c>
      <c r="O1602" s="17" t="n">
        <v>0</v>
      </c>
      <c r="P1602" s="17" t="n">
        <v>0</v>
      </c>
      <c r="Q1602" s="17" t="n">
        <v>2</v>
      </c>
      <c r="R1602" s="17" t="n">
        <v>0</v>
      </c>
      <c r="T1602" s="17">
        <f>DAY(C1602)</f>
        <v/>
      </c>
      <c r="U1602" s="17">
        <f>MONTH(C1602)</f>
        <v/>
      </c>
    </row>
    <row r="1603" ht="22.5" customHeight="1" s="117">
      <c r="A1603" s="14" t="n">
        <v>46059.32464203703</v>
      </c>
      <c r="B1603" s="17" t="inlineStr">
        <is>
          <t>Lê Hồng Phong</t>
        </is>
      </c>
      <c r="C1603" s="16" t="n">
        <v>46059</v>
      </c>
      <c r="D1603" s="17" t="n">
        <v>1</v>
      </c>
      <c r="E1603" s="17" t="n">
        <v>1</v>
      </c>
      <c r="F1603" s="17" t="n">
        <v>1</v>
      </c>
      <c r="G1603" s="17" t="n">
        <v>1</v>
      </c>
      <c r="H1603" s="17" t="n">
        <v>1</v>
      </c>
      <c r="I1603" s="17" t="n">
        <v>1</v>
      </c>
      <c r="J1603" s="17" t="n">
        <v>1</v>
      </c>
      <c r="K1603" s="17" t="n">
        <v>1</v>
      </c>
      <c r="L1603" s="17" t="n">
        <v>1</v>
      </c>
      <c r="M1603" s="17" t="n">
        <v>1</v>
      </c>
      <c r="N1603" s="17" t="n">
        <v>1</v>
      </c>
      <c r="O1603" s="17" t="n">
        <v>1</v>
      </c>
      <c r="P1603" s="17" t="n">
        <v>1</v>
      </c>
      <c r="Q1603" s="17" t="n">
        <v>1</v>
      </c>
      <c r="R1603" s="17" t="n">
        <v>1</v>
      </c>
      <c r="T1603" s="17">
        <f>DAY(C1603)</f>
        <v/>
      </c>
      <c r="U1603" s="17">
        <f>MONTH(C1603)</f>
        <v/>
      </c>
    </row>
    <row r="1604" ht="22.5" customHeight="1" s="117">
      <c r="A1604" s="14" t="n">
        <v>46059.3973512037</v>
      </c>
      <c r="B1604" s="17" t="inlineStr">
        <is>
          <t>Nguyễn Hồng Minh</t>
        </is>
      </c>
      <c r="C1604" s="16" t="n">
        <v>46058</v>
      </c>
      <c r="D1604" s="17" t="n">
        <v>0</v>
      </c>
      <c r="E1604" s="17" t="n">
        <v>0</v>
      </c>
      <c r="F1604" s="17" t="n">
        <v>0</v>
      </c>
      <c r="G1604" s="17" t="n">
        <v>0</v>
      </c>
      <c r="H1604" s="17" t="n">
        <v>0</v>
      </c>
      <c r="I1604" s="17" t="n">
        <v>1</v>
      </c>
      <c r="J1604" s="17" t="n">
        <v>0</v>
      </c>
      <c r="K1604" s="17" t="n">
        <v>8</v>
      </c>
      <c r="L1604" s="17" t="n">
        <v>0</v>
      </c>
      <c r="M1604" s="17" t="n">
        <v>1</v>
      </c>
      <c r="N1604" s="17" t="n">
        <v>1</v>
      </c>
      <c r="O1604" s="17" t="n">
        <v>0</v>
      </c>
      <c r="P1604" s="17" t="n">
        <v>2</v>
      </c>
      <c r="Q1604" s="17" t="n">
        <v>5</v>
      </c>
      <c r="R1604" s="17" t="n">
        <v>0</v>
      </c>
      <c r="T1604" s="17">
        <f>DAY(C1604)</f>
        <v/>
      </c>
      <c r="U1604" s="17">
        <f>MONTH(C1604)</f>
        <v/>
      </c>
    </row>
    <row r="1605" ht="22.5" customHeight="1" s="117">
      <c r="A1605" s="14" t="n">
        <v>46060.28176829861</v>
      </c>
      <c r="B1605" s="17" t="inlineStr">
        <is>
          <t>Lê Hồng Phong</t>
        </is>
      </c>
      <c r="C1605" s="16" t="n">
        <v>46060</v>
      </c>
      <c r="D1605" s="17" t="n">
        <v>1</v>
      </c>
      <c r="E1605" s="17" t="n">
        <v>1</v>
      </c>
      <c r="F1605" s="17" t="n">
        <v>1</v>
      </c>
      <c r="G1605" s="17" t="n">
        <v>1</v>
      </c>
      <c r="H1605" s="17" t="n">
        <v>1</v>
      </c>
      <c r="I1605" s="17" t="n">
        <v>1</v>
      </c>
      <c r="J1605" s="17" t="n">
        <v>1</v>
      </c>
      <c r="K1605" s="17" t="n">
        <v>1</v>
      </c>
      <c r="L1605" s="17" t="n">
        <v>1</v>
      </c>
      <c r="M1605" s="17" t="n">
        <v>1</v>
      </c>
      <c r="N1605" s="17" t="n">
        <v>1</v>
      </c>
      <c r="O1605" s="17" t="n">
        <v>1</v>
      </c>
      <c r="P1605" s="17" t="n">
        <v>1</v>
      </c>
      <c r="Q1605" s="17" t="n">
        <v>1</v>
      </c>
      <c r="R1605" s="17" t="n">
        <v>1</v>
      </c>
      <c r="T1605" s="17">
        <f>DAY(C1605)</f>
        <v/>
      </c>
      <c r="U1605" s="17">
        <f>MONTH(C1605)</f>
        <v/>
      </c>
    </row>
    <row r="1606" ht="22.5" customHeight="1" s="117">
      <c r="A1606" s="14" t="n">
        <v>46060.28249574074</v>
      </c>
      <c r="B1606" s="17" t="inlineStr">
        <is>
          <t>Nguyễn Văn Hiệp</t>
        </is>
      </c>
      <c r="C1606" s="16" t="n">
        <v>46059</v>
      </c>
      <c r="D1606" s="17" t="n">
        <v>1</v>
      </c>
      <c r="E1606" s="17" t="n">
        <v>0</v>
      </c>
      <c r="F1606" s="17" t="n">
        <v>0</v>
      </c>
      <c r="G1606" s="17" t="n">
        <v>0</v>
      </c>
      <c r="H1606" s="17" t="n">
        <v>9</v>
      </c>
      <c r="I1606" s="17" t="n">
        <v>0</v>
      </c>
      <c r="J1606" s="17" t="n">
        <v>0</v>
      </c>
      <c r="K1606" s="17" t="n">
        <v>4</v>
      </c>
      <c r="L1606" s="17" t="n">
        <v>0</v>
      </c>
      <c r="M1606" s="17" t="n">
        <v>1</v>
      </c>
      <c r="N1606" s="17" t="n">
        <v>0</v>
      </c>
      <c r="O1606" s="17" t="n">
        <v>0</v>
      </c>
      <c r="P1606" s="17" t="n">
        <v>0</v>
      </c>
      <c r="Q1606" s="17" t="n">
        <v>2</v>
      </c>
      <c r="R1606" s="17" t="n">
        <v>0</v>
      </c>
      <c r="T1606" s="17">
        <f>DAY(C1606)</f>
        <v/>
      </c>
      <c r="U1606" s="17">
        <f>MONTH(C1606)</f>
        <v/>
      </c>
    </row>
    <row r="1607" ht="22.5" customHeight="1" s="117">
      <c r="A1607" s="14" t="n">
        <v>46060.29037921297</v>
      </c>
      <c r="B1607" s="17" t="inlineStr">
        <is>
          <t>Lương Duy Hoàng</t>
        </is>
      </c>
      <c r="C1607" s="16" t="n">
        <v>46059</v>
      </c>
      <c r="D1607" s="17" t="n">
        <v>0</v>
      </c>
      <c r="E1607" s="17" t="n">
        <v>0</v>
      </c>
      <c r="F1607" s="17" t="n">
        <v>2</v>
      </c>
      <c r="G1607" s="17" t="n">
        <v>0</v>
      </c>
      <c r="H1607" s="17" t="n">
        <v>0</v>
      </c>
      <c r="I1607" s="17" t="n">
        <v>0</v>
      </c>
      <c r="J1607" s="17" t="n">
        <v>0</v>
      </c>
      <c r="K1607" s="17" t="n">
        <v>5</v>
      </c>
      <c r="L1607" s="17" t="n">
        <v>0</v>
      </c>
      <c r="M1607" s="17" t="n">
        <v>1</v>
      </c>
      <c r="N1607" s="17" t="n">
        <v>0</v>
      </c>
      <c r="O1607" s="17" t="n">
        <v>0</v>
      </c>
      <c r="P1607" s="17" t="n">
        <v>0</v>
      </c>
      <c r="Q1607" s="17" t="n">
        <v>1</v>
      </c>
      <c r="R1607" s="17" t="n">
        <v>0</v>
      </c>
      <c r="T1607" s="17">
        <f>DAY(C1607)</f>
        <v/>
      </c>
      <c r="U1607" s="17">
        <f>MONTH(C1607)</f>
        <v/>
      </c>
    </row>
    <row r="1608" ht="22.5" customHeight="1" s="117">
      <c r="A1608" s="14" t="n">
        <v>46060.29196496528</v>
      </c>
      <c r="B1608" s="17" t="inlineStr">
        <is>
          <t>Nguyễn Tuấn Anh</t>
        </is>
      </c>
      <c r="C1608" s="16" t="n">
        <v>46059</v>
      </c>
      <c r="D1608" s="17" t="n">
        <v>1</v>
      </c>
      <c r="E1608" s="17" t="n">
        <v>0</v>
      </c>
      <c r="F1608" s="17" t="n">
        <v>0</v>
      </c>
      <c r="G1608" s="17" t="n">
        <v>0</v>
      </c>
      <c r="H1608" s="17" t="n">
        <v>0</v>
      </c>
      <c r="I1608" s="17" t="n">
        <v>1</v>
      </c>
      <c r="J1608" s="17" t="n">
        <v>0</v>
      </c>
      <c r="K1608" s="17" t="n">
        <v>18</v>
      </c>
      <c r="L1608" s="17" t="n">
        <v>0</v>
      </c>
      <c r="M1608" s="17" t="n">
        <v>0</v>
      </c>
      <c r="N1608" s="17" t="n">
        <v>0</v>
      </c>
      <c r="O1608" s="17" t="n">
        <v>0</v>
      </c>
      <c r="P1608" s="17" t="n">
        <v>1</v>
      </c>
      <c r="Q1608" s="17" t="n">
        <v>2</v>
      </c>
      <c r="R1608" s="17" t="n">
        <v>0</v>
      </c>
      <c r="T1608" s="17">
        <f>DAY(C1608)</f>
        <v/>
      </c>
      <c r="U1608" s="17">
        <f>MONTH(C1608)</f>
        <v/>
      </c>
    </row>
    <row r="1609" ht="22.5" customHeight="1" s="117">
      <c r="A1609" s="14" t="n">
        <v>46060.29460987268</v>
      </c>
      <c r="B1609" s="17" t="inlineStr">
        <is>
          <t>Đặng Hoài Anh</t>
        </is>
      </c>
      <c r="C1609" s="16" t="n">
        <v>46059</v>
      </c>
      <c r="D1609" s="17" t="n">
        <v>0</v>
      </c>
      <c r="E1609" s="17" t="n">
        <v>0</v>
      </c>
      <c r="F1609" s="17" t="n">
        <v>0</v>
      </c>
      <c r="G1609" s="17" t="n">
        <v>0</v>
      </c>
      <c r="H1609" s="17" t="n">
        <v>0</v>
      </c>
      <c r="I1609" s="17" t="n">
        <v>0</v>
      </c>
      <c r="J1609" s="17" t="n">
        <v>0</v>
      </c>
      <c r="K1609" s="17" t="n">
        <v>0</v>
      </c>
      <c r="L1609" s="17" t="n">
        <v>0</v>
      </c>
      <c r="M1609" s="17" t="n">
        <v>1</v>
      </c>
      <c r="N1609" s="17" t="n">
        <v>0</v>
      </c>
      <c r="O1609" s="17" t="n">
        <v>0</v>
      </c>
      <c r="P1609" s="17" t="n">
        <v>0</v>
      </c>
      <c r="Q1609" s="17" t="n">
        <v>0</v>
      </c>
      <c r="R1609" s="17" t="n">
        <v>0</v>
      </c>
      <c r="T1609" s="17">
        <f>DAY(C1609)</f>
        <v/>
      </c>
      <c r="U1609" s="17">
        <f>MONTH(C1609)</f>
        <v/>
      </c>
    </row>
    <row r="1610" ht="22.5" customHeight="1" s="117">
      <c r="A1610" s="14" t="n">
        <v>46060.29531487269</v>
      </c>
      <c r="B1610" s="17" t="inlineStr">
        <is>
          <t>Nguyễn Quang Anh Tuấn</t>
        </is>
      </c>
      <c r="C1610" s="16" t="n">
        <v>46059</v>
      </c>
      <c r="D1610" s="17" t="n">
        <v>0</v>
      </c>
      <c r="E1610" s="17" t="n">
        <v>0</v>
      </c>
      <c r="F1610" s="17" t="n">
        <v>0</v>
      </c>
      <c r="G1610" s="17" t="n">
        <v>0</v>
      </c>
      <c r="H1610" s="17" t="n">
        <v>0</v>
      </c>
      <c r="I1610" s="17" t="n">
        <v>0</v>
      </c>
      <c r="J1610" s="17" t="n">
        <v>0</v>
      </c>
      <c r="K1610" s="17" t="n">
        <v>17</v>
      </c>
      <c r="L1610" s="17" t="n">
        <v>0</v>
      </c>
      <c r="M1610" s="17" t="n">
        <v>0</v>
      </c>
      <c r="N1610" s="17" t="n">
        <v>0</v>
      </c>
      <c r="O1610" s="17" t="n">
        <v>0</v>
      </c>
      <c r="P1610" s="17" t="n">
        <v>0</v>
      </c>
      <c r="Q1610" s="17" t="n">
        <v>0</v>
      </c>
      <c r="R1610" s="17" t="n">
        <v>0</v>
      </c>
      <c r="T1610" s="17">
        <f>DAY(C1610)</f>
        <v/>
      </c>
      <c r="U1610" s="17">
        <f>MONTH(C1610)</f>
        <v/>
      </c>
    </row>
    <row r="1611" ht="22.5" customHeight="1" s="117">
      <c r="A1611" s="14" t="n">
        <v>46060.30891792824</v>
      </c>
      <c r="B1611" s="17" t="inlineStr">
        <is>
          <t>Huỳnh Văn Lực</t>
        </is>
      </c>
      <c r="C1611" s="16" t="n">
        <v>46059</v>
      </c>
      <c r="D1611" s="17" t="n">
        <v>0</v>
      </c>
      <c r="E1611" s="17" t="n">
        <v>0</v>
      </c>
      <c r="F1611" s="17" t="n">
        <v>0</v>
      </c>
      <c r="G1611" s="17" t="n">
        <v>0</v>
      </c>
      <c r="H1611" s="17" t="n">
        <v>0</v>
      </c>
      <c r="I1611" s="17" t="n">
        <v>0</v>
      </c>
      <c r="J1611" s="17" t="n">
        <v>0</v>
      </c>
      <c r="K1611" s="17" t="n">
        <v>6</v>
      </c>
      <c r="L1611" s="17" t="n">
        <v>0</v>
      </c>
      <c r="M1611" s="17" t="n">
        <v>0</v>
      </c>
      <c r="N1611" s="17" t="n">
        <v>0</v>
      </c>
      <c r="O1611" s="17" t="n">
        <v>0</v>
      </c>
      <c r="P1611" s="17" t="n">
        <v>0</v>
      </c>
      <c r="Q1611" s="17" t="n">
        <v>2</v>
      </c>
      <c r="R1611" s="17" t="n">
        <v>0</v>
      </c>
      <c r="T1611" s="17">
        <f>DAY(C1611)</f>
        <v/>
      </c>
      <c r="U1611" s="17">
        <f>MONTH(C1611)</f>
        <v/>
      </c>
    </row>
    <row r="1612" ht="22.5" customHeight="1" s="117">
      <c r="A1612" s="14" t="n">
        <v>46060.31274184028</v>
      </c>
      <c r="B1612" s="17" t="inlineStr">
        <is>
          <t>Trần Trung Giang</t>
        </is>
      </c>
      <c r="C1612" s="16" t="n">
        <v>46059</v>
      </c>
      <c r="D1612" s="17" t="n">
        <v>0</v>
      </c>
      <c r="E1612" s="17" t="n">
        <v>0</v>
      </c>
      <c r="F1612" s="17" t="n">
        <v>0</v>
      </c>
      <c r="G1612" s="17" t="n">
        <v>0</v>
      </c>
      <c r="H1612" s="17" t="n">
        <v>0</v>
      </c>
      <c r="I1612" s="17" t="n">
        <v>0</v>
      </c>
      <c r="J1612" s="17" t="n">
        <v>0</v>
      </c>
      <c r="K1612" s="17" t="n">
        <v>11</v>
      </c>
      <c r="L1612" s="17" t="n">
        <v>0</v>
      </c>
      <c r="M1612" s="17" t="n">
        <v>2</v>
      </c>
      <c r="N1612" s="17" t="n">
        <v>0</v>
      </c>
      <c r="O1612" s="17" t="n">
        <v>0</v>
      </c>
      <c r="P1612" s="17" t="n">
        <v>0</v>
      </c>
      <c r="Q1612" s="17" t="n">
        <v>0</v>
      </c>
      <c r="R1612" s="17" t="n">
        <v>0</v>
      </c>
      <c r="T1612" s="17">
        <f>DAY(C1612)</f>
        <v/>
      </c>
      <c r="U1612" s="17">
        <f>MONTH(C1612)</f>
        <v/>
      </c>
    </row>
    <row r="1613" ht="22.5" customHeight="1" s="117">
      <c r="A1613" s="14" t="n">
        <v>46060.3200770949</v>
      </c>
      <c r="B1613" s="17" t="inlineStr">
        <is>
          <t>Trần Xuân Khoa</t>
        </is>
      </c>
      <c r="C1613" s="16" t="n">
        <v>46059</v>
      </c>
      <c r="D1613" s="17" t="n">
        <v>0</v>
      </c>
      <c r="E1613" s="17" t="n">
        <v>0</v>
      </c>
      <c r="F1613" s="17" t="n">
        <v>0</v>
      </c>
      <c r="G1613" s="17" t="n">
        <v>0</v>
      </c>
      <c r="H1613" s="17" t="n">
        <v>0</v>
      </c>
      <c r="I1613" s="17" t="n">
        <v>0</v>
      </c>
      <c r="J1613" s="17" t="n">
        <v>0</v>
      </c>
      <c r="K1613" s="17" t="n">
        <v>0</v>
      </c>
      <c r="L1613" s="17" t="n">
        <v>5</v>
      </c>
      <c r="M1613" s="17" t="n">
        <v>0</v>
      </c>
      <c r="N1613" s="17" t="n">
        <v>0</v>
      </c>
      <c r="O1613" s="17" t="n">
        <v>0</v>
      </c>
      <c r="P1613" s="17" t="n">
        <v>1</v>
      </c>
      <c r="Q1613" s="17" t="n">
        <v>3</v>
      </c>
      <c r="R1613" s="17" t="n">
        <v>0</v>
      </c>
      <c r="T1613" s="17">
        <f>DAY(C1613)</f>
        <v/>
      </c>
      <c r="U1613" s="17">
        <f>MONTH(C1613)</f>
        <v/>
      </c>
    </row>
    <row r="1614" ht="22.5" customHeight="1" s="117">
      <c r="A1614" s="14" t="n">
        <v>46060.38223284722</v>
      </c>
      <c r="B1614" s="17" t="inlineStr">
        <is>
          <t>Nguyễn Hồng Minh</t>
        </is>
      </c>
      <c r="C1614" s="16" t="n">
        <v>46059</v>
      </c>
      <c r="D1614" s="17" t="n">
        <v>2</v>
      </c>
      <c r="E1614" s="17" t="n">
        <v>2</v>
      </c>
      <c r="F1614" s="17" t="n">
        <v>1</v>
      </c>
      <c r="G1614" s="17" t="n">
        <v>0</v>
      </c>
      <c r="H1614" s="17" t="n">
        <v>0</v>
      </c>
      <c r="I1614" s="17" t="n">
        <v>0</v>
      </c>
      <c r="J1614" s="17" t="n">
        <v>0</v>
      </c>
      <c r="K1614" s="17" t="n">
        <v>0</v>
      </c>
      <c r="L1614" s="17" t="n">
        <v>0</v>
      </c>
      <c r="M1614" s="17" t="n">
        <v>2</v>
      </c>
      <c r="N1614" s="17" t="n">
        <v>2</v>
      </c>
      <c r="O1614" s="17" t="n">
        <v>0</v>
      </c>
      <c r="P1614" s="17" t="n">
        <v>2</v>
      </c>
      <c r="Q1614" s="17" t="n">
        <v>3</v>
      </c>
      <c r="R1614" s="17" t="n">
        <v>0</v>
      </c>
      <c r="T1614" s="17">
        <f>DAY(C1614)</f>
        <v/>
      </c>
      <c r="U1614" s="17">
        <f>MONTH(C1614)</f>
        <v/>
      </c>
    </row>
    <row r="1615" ht="22.5" customHeight="1" s="117">
      <c r="A1615" s="14" t="n">
        <v>46061.27141305555</v>
      </c>
      <c r="B1615" s="17" t="inlineStr">
        <is>
          <t>Lương Duy Hoàng</t>
        </is>
      </c>
      <c r="C1615" s="16" t="n">
        <v>46060</v>
      </c>
      <c r="D1615" s="17" t="n">
        <v>0</v>
      </c>
      <c r="E1615" s="17" t="n">
        <v>0</v>
      </c>
      <c r="F1615" s="17" t="n">
        <v>0</v>
      </c>
      <c r="G1615" s="17" t="n">
        <v>0</v>
      </c>
      <c r="H1615" s="17" t="n">
        <v>0</v>
      </c>
      <c r="I1615" s="17" t="n">
        <v>0</v>
      </c>
      <c r="J1615" s="17" t="n">
        <v>0</v>
      </c>
      <c r="K1615" s="17" t="n">
        <v>4</v>
      </c>
      <c r="L1615" s="17" t="n">
        <v>0</v>
      </c>
      <c r="M1615" s="17" t="n">
        <v>0</v>
      </c>
      <c r="N1615" s="17" t="n">
        <v>0</v>
      </c>
      <c r="O1615" s="17" t="n">
        <v>0</v>
      </c>
      <c r="P1615" s="17" t="n">
        <v>0</v>
      </c>
      <c r="Q1615" s="17" t="n">
        <v>2</v>
      </c>
      <c r="R1615" s="17" t="n">
        <v>0</v>
      </c>
      <c r="T1615" s="17">
        <f>DAY(C1615)</f>
        <v/>
      </c>
      <c r="U1615" s="17">
        <f>MONTH(C1615)</f>
        <v/>
      </c>
    </row>
    <row r="1616" hidden="1" ht="22.5" customHeight="1" s="117">
      <c r="A1616" s="14" t="n">
        <v>46061.27750755787</v>
      </c>
      <c r="B1616" s="17" t="inlineStr">
        <is>
          <t>Nguyễn Văn Hiệp</t>
        </is>
      </c>
      <c r="C1616" s="16" t="n">
        <v>45695</v>
      </c>
      <c r="D1616" s="17" t="n">
        <v>0</v>
      </c>
      <c r="E1616" s="17" t="n">
        <v>0</v>
      </c>
      <c r="F1616" s="17" t="n">
        <v>0</v>
      </c>
      <c r="G1616" s="17" t="n">
        <v>0</v>
      </c>
      <c r="H1616" s="17" t="n">
        <v>0</v>
      </c>
      <c r="I1616" s="17" t="n">
        <v>0</v>
      </c>
      <c r="J1616" s="17" t="n">
        <v>0</v>
      </c>
      <c r="K1616" s="17" t="n">
        <v>8</v>
      </c>
      <c r="L1616" s="17" t="n">
        <v>0</v>
      </c>
      <c r="M1616" s="17" t="n">
        <v>0</v>
      </c>
      <c r="N1616" s="17" t="n">
        <v>0</v>
      </c>
      <c r="O1616" s="17" t="n">
        <v>0</v>
      </c>
      <c r="P1616" s="17" t="n">
        <v>1</v>
      </c>
      <c r="Q1616" s="17" t="n">
        <v>0</v>
      </c>
      <c r="R1616" s="17" t="n">
        <v>0</v>
      </c>
      <c r="T1616" s="17">
        <f>DAY(C1616)</f>
        <v/>
      </c>
      <c r="U1616" s="17">
        <f>MONTH(C1616)</f>
        <v/>
      </c>
    </row>
    <row r="1617" ht="22.5" customHeight="1" s="117">
      <c r="A1617" s="14" t="n">
        <v>46061.29461420139</v>
      </c>
      <c r="B1617" s="17" t="inlineStr">
        <is>
          <t>Trần Trung Giang</t>
        </is>
      </c>
      <c r="C1617" s="16" t="n">
        <v>46060</v>
      </c>
      <c r="D1617" s="17" t="n">
        <v>0</v>
      </c>
      <c r="E1617" s="17" t="n">
        <v>0</v>
      </c>
      <c r="F1617" s="17" t="n">
        <v>0</v>
      </c>
      <c r="G1617" s="17" t="n">
        <v>1</v>
      </c>
      <c r="H1617" s="17" t="n">
        <v>1</v>
      </c>
      <c r="I1617" s="17" t="n">
        <v>0</v>
      </c>
      <c r="J1617" s="17" t="n">
        <v>0</v>
      </c>
      <c r="K1617" s="17" t="n">
        <v>5</v>
      </c>
      <c r="L1617" s="17" t="n">
        <v>0</v>
      </c>
      <c r="M1617" s="17" t="n">
        <v>0</v>
      </c>
      <c r="N1617" s="17" t="n">
        <v>0</v>
      </c>
      <c r="O1617" s="17" t="n">
        <v>0</v>
      </c>
      <c r="P1617" s="17" t="n">
        <v>1</v>
      </c>
      <c r="Q1617" s="17" t="n">
        <v>1</v>
      </c>
      <c r="R1617" s="17" t="n">
        <v>0</v>
      </c>
      <c r="T1617" s="17">
        <f>DAY(C1617)</f>
        <v/>
      </c>
      <c r="U1617" s="17">
        <f>MONTH(C1617)</f>
        <v/>
      </c>
    </row>
    <row r="1618" ht="22.5" customHeight="1" s="117">
      <c r="A1618" s="14" t="n">
        <v>46061.2989460301</v>
      </c>
      <c r="B1618" s="17" t="inlineStr">
        <is>
          <t>Nguyễn Quang Anh Tuấn</t>
        </is>
      </c>
      <c r="C1618" s="16" t="n">
        <v>46060</v>
      </c>
      <c r="D1618" s="17" t="n">
        <v>0</v>
      </c>
      <c r="E1618" s="17" t="n">
        <v>0</v>
      </c>
      <c r="F1618" s="17" t="n">
        <v>0</v>
      </c>
      <c r="G1618" s="17" t="n">
        <v>0</v>
      </c>
      <c r="H1618" s="17" t="n">
        <v>0</v>
      </c>
      <c r="I1618" s="17" t="n">
        <v>0</v>
      </c>
      <c r="J1618" s="17" t="n">
        <v>0</v>
      </c>
      <c r="K1618" s="17" t="n">
        <v>11</v>
      </c>
      <c r="L1618" s="17" t="n">
        <v>0</v>
      </c>
      <c r="M1618" s="17" t="n">
        <v>4</v>
      </c>
      <c r="N1618" s="17" t="n">
        <v>0</v>
      </c>
      <c r="O1618" s="17" t="n">
        <v>0</v>
      </c>
      <c r="P1618" s="17" t="n">
        <v>0</v>
      </c>
      <c r="Q1618" s="17" t="n">
        <v>2</v>
      </c>
      <c r="R1618" s="17" t="n">
        <v>0</v>
      </c>
      <c r="T1618" s="17">
        <f>DAY(C1618)</f>
        <v/>
      </c>
      <c r="U1618" s="17">
        <f>MONTH(C1618)</f>
        <v/>
      </c>
    </row>
    <row r="1619" ht="22.5" customHeight="1" s="117">
      <c r="A1619" s="14" t="n">
        <v>46061.29998185185</v>
      </c>
      <c r="B1619" s="17" t="inlineStr">
        <is>
          <t>Huỳnh Văn Lực</t>
        </is>
      </c>
      <c r="C1619" s="16" t="n">
        <v>46060</v>
      </c>
      <c r="D1619" s="17" t="n">
        <v>0</v>
      </c>
      <c r="E1619" s="17" t="n">
        <v>0</v>
      </c>
      <c r="F1619" s="17" t="n">
        <v>0</v>
      </c>
      <c r="G1619" s="17" t="n">
        <v>0</v>
      </c>
      <c r="H1619" s="17" t="n">
        <v>0</v>
      </c>
      <c r="I1619" s="17" t="n">
        <v>0</v>
      </c>
      <c r="J1619" s="17" t="n">
        <v>0</v>
      </c>
      <c r="K1619" s="17" t="n">
        <v>2</v>
      </c>
      <c r="L1619" s="17" t="n">
        <v>0</v>
      </c>
      <c r="M1619" s="17" t="n">
        <v>0</v>
      </c>
      <c r="N1619" s="17" t="n">
        <v>0</v>
      </c>
      <c r="O1619" s="17" t="n">
        <v>0</v>
      </c>
      <c r="P1619" s="17" t="n">
        <v>1</v>
      </c>
      <c r="Q1619" s="17" t="n">
        <v>0</v>
      </c>
      <c r="R1619" s="17" t="n">
        <v>0</v>
      </c>
      <c r="T1619" s="17">
        <f>DAY(C1619)</f>
        <v/>
      </c>
      <c r="U1619" s="17">
        <f>MONTH(C1619)</f>
        <v/>
      </c>
    </row>
    <row r="1620" ht="22.5" customHeight="1" s="117">
      <c r="A1620" s="14" t="n">
        <v>46061.30253001158</v>
      </c>
      <c r="B1620" s="17" t="inlineStr">
        <is>
          <t>Đặng Hoài Anh</t>
        </is>
      </c>
      <c r="C1620" s="16" t="n">
        <v>46060</v>
      </c>
      <c r="D1620" s="17" t="n">
        <v>0</v>
      </c>
      <c r="E1620" s="17" t="n">
        <v>0</v>
      </c>
      <c r="F1620" s="17" t="n">
        <v>0</v>
      </c>
      <c r="G1620" s="17" t="n">
        <v>0</v>
      </c>
      <c r="H1620" s="17" t="n">
        <v>0</v>
      </c>
      <c r="I1620" s="17" t="n">
        <v>0</v>
      </c>
      <c r="J1620" s="17" t="n">
        <v>0</v>
      </c>
      <c r="K1620" s="17" t="n">
        <v>1</v>
      </c>
      <c r="L1620" s="17" t="n">
        <v>0</v>
      </c>
      <c r="M1620" s="17" t="n">
        <v>0</v>
      </c>
      <c r="N1620" s="17" t="n">
        <v>0</v>
      </c>
      <c r="O1620" s="17" t="n">
        <v>0</v>
      </c>
      <c r="P1620" s="17" t="n">
        <v>0</v>
      </c>
      <c r="Q1620" s="17" t="n">
        <v>0</v>
      </c>
      <c r="R1620" s="17" t="n">
        <v>0</v>
      </c>
      <c r="T1620" s="17">
        <f>DAY(C1620)</f>
        <v/>
      </c>
      <c r="U1620" s="17">
        <f>MONTH(C1620)</f>
        <v/>
      </c>
    </row>
    <row r="1621" ht="22.5" customHeight="1" s="117">
      <c r="A1621" s="14" t="n">
        <v>46061.31306940972</v>
      </c>
      <c r="B1621" s="17" t="inlineStr">
        <is>
          <t>Nguyễn Tuấn Anh</t>
        </is>
      </c>
      <c r="C1621" s="16" t="n">
        <v>46060</v>
      </c>
      <c r="D1621" s="17" t="n">
        <v>1</v>
      </c>
      <c r="E1621" s="17" t="n">
        <v>0</v>
      </c>
      <c r="F1621" s="17" t="n">
        <v>0</v>
      </c>
      <c r="G1621" s="17" t="n">
        <v>0</v>
      </c>
      <c r="H1621" s="17" t="n">
        <v>0</v>
      </c>
      <c r="I1621" s="17" t="n">
        <v>1</v>
      </c>
      <c r="J1621" s="17" t="n">
        <v>0</v>
      </c>
      <c r="K1621" s="17" t="n">
        <v>18</v>
      </c>
      <c r="L1621" s="17" t="n">
        <v>4</v>
      </c>
      <c r="M1621" s="17" t="n">
        <v>0</v>
      </c>
      <c r="N1621" s="17" t="n">
        <v>0</v>
      </c>
      <c r="O1621" s="17" t="n">
        <v>0</v>
      </c>
      <c r="P1621" s="17" t="n">
        <v>1</v>
      </c>
      <c r="Q1621" s="17" t="n">
        <v>2</v>
      </c>
      <c r="R1621" s="17" t="n">
        <v>0</v>
      </c>
      <c r="T1621" s="17">
        <f>DAY(C1621)</f>
        <v/>
      </c>
      <c r="U1621" s="17">
        <f>MONTH(C1621)</f>
        <v/>
      </c>
    </row>
    <row r="1622" ht="22.5" customHeight="1" s="117">
      <c r="A1622" s="14" t="n">
        <v>46061.32407877315</v>
      </c>
      <c r="B1622" s="17" t="inlineStr">
        <is>
          <t>Lê Hồng Phong</t>
        </is>
      </c>
      <c r="C1622" s="16" t="n">
        <v>46061</v>
      </c>
      <c r="D1622" s="17" t="n">
        <v>1</v>
      </c>
      <c r="E1622" s="17" t="n">
        <v>1</v>
      </c>
      <c r="F1622" s="17" t="n">
        <v>1</v>
      </c>
      <c r="G1622" s="17" t="n">
        <v>1</v>
      </c>
      <c r="H1622" s="17" t="n">
        <v>1</v>
      </c>
      <c r="I1622" s="17" t="n">
        <v>1</v>
      </c>
      <c r="J1622" s="17" t="n">
        <v>1</v>
      </c>
      <c r="K1622" s="17" t="n">
        <v>1</v>
      </c>
      <c r="L1622" s="17" t="n">
        <v>1</v>
      </c>
      <c r="M1622" s="17" t="n">
        <v>1</v>
      </c>
      <c r="N1622" s="17" t="n">
        <v>1</v>
      </c>
      <c r="O1622" s="17" t="n">
        <v>1</v>
      </c>
      <c r="P1622" s="17" t="n">
        <v>1</v>
      </c>
      <c r="Q1622" s="17" t="n">
        <v>1</v>
      </c>
      <c r="R1622" s="17" t="n">
        <v>1</v>
      </c>
      <c r="T1622" s="17">
        <f>DAY(C1622)</f>
        <v/>
      </c>
      <c r="U1622" s="17">
        <f>MONTH(C1622)</f>
        <v/>
      </c>
    </row>
    <row r="1623" ht="22.5" customHeight="1" s="117">
      <c r="A1623" s="14" t="n">
        <v>46061.38288313658</v>
      </c>
      <c r="B1623" s="17" t="inlineStr">
        <is>
          <t>Nguyễn Hồng Minh</t>
        </is>
      </c>
      <c r="C1623" s="16" t="n">
        <v>46060</v>
      </c>
      <c r="D1623" s="17" t="n">
        <v>1</v>
      </c>
      <c r="E1623" s="17" t="n">
        <v>1</v>
      </c>
      <c r="F1623" s="17" t="n">
        <v>1</v>
      </c>
      <c r="G1623" s="17" t="n">
        <v>0</v>
      </c>
      <c r="H1623" s="17" t="n">
        <v>0</v>
      </c>
      <c r="I1623" s="17" t="n">
        <v>1</v>
      </c>
      <c r="J1623" s="17" t="n">
        <v>0</v>
      </c>
      <c r="K1623" s="17" t="n">
        <v>2</v>
      </c>
      <c r="L1623" s="17" t="n">
        <v>1</v>
      </c>
      <c r="M1623" s="17" t="n">
        <v>1</v>
      </c>
      <c r="N1623" s="17" t="n">
        <v>0</v>
      </c>
      <c r="O1623" s="17" t="n">
        <v>0</v>
      </c>
      <c r="P1623" s="17" t="n">
        <v>9</v>
      </c>
      <c r="Q1623" s="17" t="n">
        <v>6</v>
      </c>
      <c r="R1623" s="17" t="n">
        <v>0</v>
      </c>
      <c r="T1623" s="17">
        <f>DAY(C1623)</f>
        <v/>
      </c>
      <c r="U1623" s="17">
        <f>MONTH(C1623)</f>
        <v/>
      </c>
    </row>
    <row r="1624" ht="22.5" customHeight="1" s="117">
      <c r="A1624" s="14" t="n">
        <v>46062.28687947916</v>
      </c>
      <c r="B1624" s="17" t="inlineStr">
        <is>
          <t>Đặng Hoài Anh</t>
        </is>
      </c>
      <c r="C1624" s="16" t="n">
        <v>46061</v>
      </c>
      <c r="D1624" s="17" t="n">
        <v>0</v>
      </c>
      <c r="E1624" s="17" t="n">
        <v>0</v>
      </c>
      <c r="F1624" s="17" t="n">
        <v>0</v>
      </c>
      <c r="G1624" s="17" t="n">
        <v>0</v>
      </c>
      <c r="H1624" s="17" t="n">
        <v>0</v>
      </c>
      <c r="I1624" s="17" t="n">
        <v>0</v>
      </c>
      <c r="J1624" s="17" t="n">
        <v>0</v>
      </c>
      <c r="K1624" s="17" t="n">
        <v>10</v>
      </c>
      <c r="L1624" s="17" t="n">
        <v>0</v>
      </c>
      <c r="M1624" s="17" t="n">
        <v>0</v>
      </c>
      <c r="N1624" s="17" t="n">
        <v>0</v>
      </c>
      <c r="O1624" s="17" t="n">
        <v>0</v>
      </c>
      <c r="P1624" s="17" t="n">
        <v>0</v>
      </c>
      <c r="Q1624" s="17" t="n">
        <v>0</v>
      </c>
      <c r="R1624" s="17" t="n">
        <v>0</v>
      </c>
      <c r="T1624" s="17">
        <f>DAY(C1624)</f>
        <v/>
      </c>
      <c r="U1624" s="17">
        <f>MONTH(C1624)</f>
        <v/>
      </c>
    </row>
    <row r="1625" ht="22.5" customHeight="1" s="117">
      <c r="A1625" s="14" t="n">
        <v>46062.28744604166</v>
      </c>
      <c r="B1625" s="17" t="inlineStr">
        <is>
          <t>Trần Trung Giang</t>
        </is>
      </c>
      <c r="C1625" s="16" t="n">
        <v>46061</v>
      </c>
      <c r="D1625" s="17" t="n">
        <v>1</v>
      </c>
      <c r="E1625" s="17" t="n">
        <v>1</v>
      </c>
      <c r="F1625" s="17" t="n">
        <v>1</v>
      </c>
      <c r="G1625" s="17" t="n">
        <v>0</v>
      </c>
      <c r="H1625" s="17" t="n">
        <v>0</v>
      </c>
      <c r="I1625" s="17" t="n">
        <v>0</v>
      </c>
      <c r="J1625" s="17" t="n">
        <v>0</v>
      </c>
      <c r="K1625" s="17" t="n">
        <v>5</v>
      </c>
      <c r="L1625" s="17" t="n">
        <v>0</v>
      </c>
      <c r="M1625" s="17" t="n">
        <v>0</v>
      </c>
      <c r="N1625" s="17" t="n">
        <v>0</v>
      </c>
      <c r="O1625" s="17" t="n">
        <v>0</v>
      </c>
      <c r="P1625" s="17" t="n">
        <v>1</v>
      </c>
      <c r="Q1625" s="17" t="n">
        <v>0</v>
      </c>
      <c r="R1625" s="17" t="n">
        <v>0</v>
      </c>
      <c r="T1625" s="17">
        <f>DAY(C1625)</f>
        <v/>
      </c>
      <c r="U1625" s="17">
        <f>MONTH(C1625)</f>
        <v/>
      </c>
    </row>
    <row r="1626" hidden="1" ht="22.5" customHeight="1" s="117">
      <c r="A1626" s="14" t="n">
        <v>46062.28984635416</v>
      </c>
      <c r="B1626" s="17" t="inlineStr">
        <is>
          <t>Nguyễn Văn Hiệp</t>
        </is>
      </c>
      <c r="C1626" s="16" t="n">
        <v>414955</v>
      </c>
      <c r="D1626" s="17" t="n">
        <v>0</v>
      </c>
      <c r="E1626" s="17" t="n">
        <v>0</v>
      </c>
      <c r="F1626" s="17" t="n">
        <v>0</v>
      </c>
      <c r="G1626" s="17" t="n">
        <v>0</v>
      </c>
      <c r="H1626" s="17" t="n">
        <v>0</v>
      </c>
      <c r="I1626" s="17" t="n">
        <v>0</v>
      </c>
      <c r="J1626" s="17" t="n">
        <v>9</v>
      </c>
      <c r="K1626" s="17" t="n">
        <v>20</v>
      </c>
      <c r="L1626" s="17" t="n">
        <v>0</v>
      </c>
      <c r="M1626" s="17" t="n">
        <v>0</v>
      </c>
      <c r="N1626" s="17" t="n">
        <v>0</v>
      </c>
      <c r="O1626" s="17" t="n">
        <v>0</v>
      </c>
      <c r="P1626" s="17" t="n">
        <v>0</v>
      </c>
      <c r="Q1626" s="17" t="n">
        <v>0</v>
      </c>
      <c r="R1626" s="17" t="n">
        <v>0</v>
      </c>
      <c r="T1626" s="17">
        <f>DAY(C1626)</f>
        <v/>
      </c>
      <c r="U1626" s="17">
        <f>MONTH(C1626)</f>
        <v/>
      </c>
    </row>
    <row r="1627" ht="22.5" customHeight="1" s="117">
      <c r="A1627" s="14" t="n">
        <v>46062.29037186343</v>
      </c>
      <c r="B1627" s="17" t="inlineStr">
        <is>
          <t>Nguyễn Quang Anh Tuấn</t>
        </is>
      </c>
      <c r="C1627" s="16" t="n">
        <v>46061</v>
      </c>
      <c r="D1627" s="17" t="n">
        <v>0</v>
      </c>
      <c r="E1627" s="17" t="n">
        <v>0</v>
      </c>
      <c r="F1627" s="17" t="n">
        <v>0</v>
      </c>
      <c r="G1627" s="17" t="n">
        <v>0</v>
      </c>
      <c r="H1627" s="17" t="n">
        <v>0</v>
      </c>
      <c r="I1627" s="17" t="n">
        <v>0</v>
      </c>
      <c r="J1627" s="17" t="n">
        <v>0</v>
      </c>
      <c r="K1627" s="17" t="n">
        <v>9</v>
      </c>
      <c r="L1627" s="17" t="n">
        <v>0</v>
      </c>
      <c r="M1627" s="17" t="n">
        <v>5</v>
      </c>
      <c r="N1627" s="17" t="n">
        <v>0</v>
      </c>
      <c r="O1627" s="17" t="n">
        <v>0</v>
      </c>
      <c r="P1627" s="17" t="n">
        <v>0</v>
      </c>
      <c r="Q1627" s="17" t="n">
        <v>3</v>
      </c>
      <c r="R1627" s="17" t="n">
        <v>0</v>
      </c>
      <c r="T1627" s="17">
        <f>DAY(C1627)</f>
        <v/>
      </c>
      <c r="U1627" s="17">
        <f>MONTH(C1627)</f>
        <v/>
      </c>
    </row>
    <row r="1628" ht="22.5" customHeight="1" s="117">
      <c r="A1628" s="14" t="n">
        <v>46062.29071168981</v>
      </c>
      <c r="B1628" s="17" t="inlineStr">
        <is>
          <t>Huỳnh Văn Lực</t>
        </is>
      </c>
      <c r="C1628" s="16" t="n">
        <v>46061</v>
      </c>
      <c r="D1628" s="17" t="n">
        <v>0</v>
      </c>
      <c r="E1628" s="17" t="n">
        <v>0</v>
      </c>
      <c r="F1628" s="17" t="n">
        <v>0</v>
      </c>
      <c r="G1628" s="17" t="n">
        <v>0</v>
      </c>
      <c r="H1628" s="17" t="n">
        <v>0</v>
      </c>
      <c r="I1628" s="17" t="n">
        <v>0</v>
      </c>
      <c r="J1628" s="17" t="n">
        <v>0</v>
      </c>
      <c r="K1628" s="17" t="n">
        <v>12</v>
      </c>
      <c r="L1628" s="17" t="n">
        <v>0</v>
      </c>
      <c r="M1628" s="17" t="n">
        <v>0</v>
      </c>
      <c r="N1628" s="17" t="n">
        <v>0</v>
      </c>
      <c r="O1628" s="17" t="n">
        <v>0</v>
      </c>
      <c r="P1628" s="17" t="n">
        <v>1</v>
      </c>
      <c r="Q1628" s="17" t="n">
        <v>1</v>
      </c>
      <c r="R1628" s="17" t="n">
        <v>0</v>
      </c>
      <c r="T1628" s="17">
        <f>DAY(C1628)</f>
        <v/>
      </c>
      <c r="U1628" s="17">
        <f>MONTH(C1628)</f>
        <v/>
      </c>
    </row>
    <row r="1629" ht="22.5" customHeight="1" s="117">
      <c r="A1629" s="14" t="n">
        <v>46062.29760259259</v>
      </c>
      <c r="B1629" s="17" t="inlineStr">
        <is>
          <t>Nguyễn Tuấn Anh</t>
        </is>
      </c>
      <c r="C1629" s="16" t="n">
        <v>46061</v>
      </c>
      <c r="D1629" s="17" t="n">
        <v>0</v>
      </c>
      <c r="E1629" s="17" t="n">
        <v>0</v>
      </c>
      <c r="F1629" s="17" t="n">
        <v>0</v>
      </c>
      <c r="G1629" s="17" t="n">
        <v>0</v>
      </c>
      <c r="H1629" s="17" t="n">
        <v>0</v>
      </c>
      <c r="I1629" s="17" t="n">
        <v>1</v>
      </c>
      <c r="J1629" s="17" t="n">
        <v>0</v>
      </c>
      <c r="K1629" s="17" t="n">
        <v>7</v>
      </c>
      <c r="L1629" s="17" t="n">
        <v>0</v>
      </c>
      <c r="M1629" s="17" t="n">
        <v>0</v>
      </c>
      <c r="N1629" s="17" t="n">
        <v>0</v>
      </c>
      <c r="O1629" s="17" t="n">
        <v>0</v>
      </c>
      <c r="P1629" s="17" t="n">
        <v>0</v>
      </c>
      <c r="Q1629" s="17" t="n">
        <v>5</v>
      </c>
      <c r="R1629" s="17" t="n">
        <v>0</v>
      </c>
      <c r="T1629" s="17">
        <f>DAY(C1629)</f>
        <v/>
      </c>
      <c r="U1629" s="17">
        <f>MONTH(C1629)</f>
        <v/>
      </c>
    </row>
    <row r="1630" ht="22.5" customHeight="1" s="117">
      <c r="A1630" s="14" t="n">
        <v>46062.30618393519</v>
      </c>
      <c r="B1630" s="17" t="inlineStr">
        <is>
          <t>Lê Hồng Phong</t>
        </is>
      </c>
      <c r="C1630" s="16" t="n">
        <v>46062</v>
      </c>
      <c r="D1630" s="17" t="n">
        <v>1</v>
      </c>
      <c r="E1630" s="17" t="n">
        <v>1</v>
      </c>
      <c r="F1630" s="17" t="n">
        <v>1</v>
      </c>
      <c r="G1630" s="17" t="n">
        <v>1</v>
      </c>
      <c r="H1630" s="17" t="n">
        <v>1</v>
      </c>
      <c r="I1630" s="17" t="n">
        <v>1</v>
      </c>
      <c r="J1630" s="17" t="n">
        <v>1</v>
      </c>
      <c r="K1630" s="17" t="n">
        <v>1</v>
      </c>
      <c r="L1630" s="17" t="n">
        <v>1</v>
      </c>
      <c r="M1630" s="17" t="n">
        <v>1</v>
      </c>
      <c r="N1630" s="17" t="n">
        <v>1</v>
      </c>
      <c r="O1630" s="17" t="n">
        <v>1</v>
      </c>
      <c r="P1630" s="17" t="n">
        <v>1</v>
      </c>
      <c r="Q1630" s="17" t="n">
        <v>1</v>
      </c>
      <c r="R1630" s="17" t="n">
        <v>1</v>
      </c>
      <c r="T1630" s="17">
        <f>DAY(C1630)</f>
        <v/>
      </c>
      <c r="U1630" s="17">
        <f>MONTH(C1630)</f>
        <v/>
      </c>
    </row>
    <row r="1631" ht="22.5" customHeight="1" s="117">
      <c r="A1631" s="14" t="n">
        <v>46062.32990755787</v>
      </c>
      <c r="B1631" s="17" t="inlineStr">
        <is>
          <t>Lương Duy Hoàng</t>
        </is>
      </c>
      <c r="C1631" s="16" t="n">
        <v>46061</v>
      </c>
      <c r="D1631" s="17" t="n">
        <v>0</v>
      </c>
      <c r="E1631" s="17" t="n">
        <v>0</v>
      </c>
      <c r="F1631" s="17" t="n">
        <v>0</v>
      </c>
      <c r="G1631" s="17" t="n">
        <v>0</v>
      </c>
      <c r="H1631" s="17" t="n">
        <v>0</v>
      </c>
      <c r="I1631" s="17" t="n">
        <v>0</v>
      </c>
      <c r="J1631" s="17" t="n">
        <v>0</v>
      </c>
      <c r="K1631" s="17" t="n">
        <v>2</v>
      </c>
      <c r="L1631" s="17" t="n">
        <v>0</v>
      </c>
      <c r="M1631" s="17" t="n">
        <v>0</v>
      </c>
      <c r="N1631" s="17" t="n">
        <v>0</v>
      </c>
      <c r="O1631" s="17" t="n">
        <v>0</v>
      </c>
      <c r="P1631" s="17" t="n">
        <v>0</v>
      </c>
      <c r="Q1631" s="17" t="n">
        <v>4</v>
      </c>
      <c r="R1631" s="17" t="n">
        <v>0</v>
      </c>
      <c r="T1631" s="17">
        <f>DAY(C1631)</f>
        <v/>
      </c>
      <c r="U1631" s="17">
        <f>MONTH(C1631)</f>
        <v/>
      </c>
    </row>
    <row r="1632" ht="22.5" customHeight="1" s="117">
      <c r="A1632" s="14" t="n">
        <v>46062.36992103009</v>
      </c>
      <c r="B1632" s="17" t="inlineStr">
        <is>
          <t>Nguyễn Hồng Minh</t>
        </is>
      </c>
      <c r="C1632" s="16" t="n">
        <v>46061</v>
      </c>
      <c r="D1632" s="17" t="n">
        <v>2</v>
      </c>
      <c r="E1632" s="17" t="n">
        <v>2</v>
      </c>
      <c r="F1632" s="17" t="n">
        <v>2</v>
      </c>
      <c r="G1632" s="17" t="n">
        <v>0</v>
      </c>
      <c r="H1632" s="17" t="n">
        <v>0</v>
      </c>
      <c r="I1632" s="17" t="n">
        <v>1</v>
      </c>
      <c r="J1632" s="17" t="n">
        <v>0</v>
      </c>
      <c r="K1632" s="17" t="n">
        <v>0</v>
      </c>
      <c r="L1632" s="17" t="n">
        <v>0</v>
      </c>
      <c r="M1632" s="17" t="n">
        <v>2</v>
      </c>
      <c r="N1632" s="17" t="n">
        <v>0</v>
      </c>
      <c r="O1632" s="17" t="n">
        <v>0</v>
      </c>
      <c r="P1632" s="17" t="n">
        <v>1</v>
      </c>
      <c r="Q1632" s="17" t="n">
        <v>7</v>
      </c>
      <c r="R1632" s="17" t="n">
        <v>0</v>
      </c>
      <c r="T1632" s="17">
        <f>DAY(C1632)</f>
        <v/>
      </c>
      <c r="U1632" s="17">
        <f>MONTH(C1632)</f>
        <v/>
      </c>
    </row>
    <row r="1633" ht="22.5" customHeight="1" s="117">
      <c r="A1633" s="14" t="n">
        <v>46063.2865284375</v>
      </c>
      <c r="B1633" s="17" t="inlineStr">
        <is>
          <t>Lương Duy Hoàng</t>
        </is>
      </c>
      <c r="C1633" s="16" t="n">
        <v>46062</v>
      </c>
      <c r="D1633" s="17" t="n">
        <v>1</v>
      </c>
      <c r="E1633" s="17" t="n">
        <v>1</v>
      </c>
      <c r="F1633" s="17" t="n">
        <v>1</v>
      </c>
      <c r="G1633" s="17" t="n">
        <v>0</v>
      </c>
      <c r="H1633" s="17" t="n">
        <v>0</v>
      </c>
      <c r="I1633" s="17" t="n">
        <v>0</v>
      </c>
      <c r="J1633" s="17" t="n">
        <v>0</v>
      </c>
      <c r="K1633" s="17" t="n">
        <v>4</v>
      </c>
      <c r="L1633" s="17" t="n">
        <v>0</v>
      </c>
      <c r="M1633" s="17" t="n">
        <v>1</v>
      </c>
      <c r="N1633" s="17" t="n">
        <v>0</v>
      </c>
      <c r="O1633" s="17" t="n">
        <v>0</v>
      </c>
      <c r="P1633" s="17" t="n">
        <v>0</v>
      </c>
      <c r="Q1633" s="17" t="n">
        <v>3</v>
      </c>
      <c r="R1633" s="17" t="n">
        <v>0</v>
      </c>
      <c r="T1633" s="17">
        <f>DAY(C1633)</f>
        <v/>
      </c>
      <c r="U1633" s="17">
        <f>MONTH(C1633)</f>
        <v/>
      </c>
    </row>
    <row r="1634" ht="22.5" customHeight="1" s="117">
      <c r="A1634" s="14" t="n">
        <v>46063.29371456018</v>
      </c>
      <c r="B1634" s="17" t="inlineStr">
        <is>
          <t>Trần Xuân Khoa</t>
        </is>
      </c>
      <c r="C1634" s="16" t="n">
        <v>46062</v>
      </c>
      <c r="D1634" s="17" t="n">
        <v>0</v>
      </c>
      <c r="E1634" s="17" t="n">
        <v>0</v>
      </c>
      <c r="F1634" s="17" t="n">
        <v>0</v>
      </c>
      <c r="G1634" s="17" t="n">
        <v>0</v>
      </c>
      <c r="H1634" s="17" t="n">
        <v>0</v>
      </c>
      <c r="I1634" s="17" t="n">
        <v>0</v>
      </c>
      <c r="J1634" s="17" t="n">
        <v>0</v>
      </c>
      <c r="K1634" s="17" t="n">
        <v>7</v>
      </c>
      <c r="L1634" s="17" t="n">
        <v>0</v>
      </c>
      <c r="M1634" s="17" t="n">
        <v>0</v>
      </c>
      <c r="N1634" s="17" t="n">
        <v>0</v>
      </c>
      <c r="O1634" s="17" t="n">
        <v>0</v>
      </c>
      <c r="P1634" s="17" t="n">
        <v>1</v>
      </c>
      <c r="Q1634" s="17" t="n">
        <v>3</v>
      </c>
      <c r="R1634" s="17" t="n">
        <v>0</v>
      </c>
      <c r="T1634" s="17">
        <f>DAY(C1634)</f>
        <v/>
      </c>
      <c r="U1634" s="17">
        <f>MONTH(C1634)</f>
        <v/>
      </c>
    </row>
    <row r="1635" ht="22.5" customHeight="1" s="117">
      <c r="A1635" s="14" t="n">
        <v>46063.29430427084</v>
      </c>
      <c r="B1635" s="17" t="inlineStr">
        <is>
          <t>Nguyễn Quang Anh Tuấn</t>
        </is>
      </c>
      <c r="C1635" s="16" t="n">
        <v>46062</v>
      </c>
      <c r="D1635" s="17" t="n">
        <v>1</v>
      </c>
      <c r="E1635" s="17" t="n">
        <v>1</v>
      </c>
      <c r="F1635" s="17" t="n">
        <v>0</v>
      </c>
      <c r="G1635" s="17" t="n">
        <v>0</v>
      </c>
      <c r="H1635" s="17" t="n">
        <v>0</v>
      </c>
      <c r="I1635" s="17" t="n">
        <v>0</v>
      </c>
      <c r="J1635" s="17" t="n">
        <v>0</v>
      </c>
      <c r="K1635" s="17" t="n">
        <v>17</v>
      </c>
      <c r="L1635" s="17" t="n">
        <v>0</v>
      </c>
      <c r="M1635" s="17" t="n">
        <v>5</v>
      </c>
      <c r="N1635" s="17" t="n">
        <v>0</v>
      </c>
      <c r="O1635" s="17" t="n">
        <v>0</v>
      </c>
      <c r="P1635" s="17" t="n">
        <v>1</v>
      </c>
      <c r="Q1635" s="17" t="n">
        <v>1</v>
      </c>
      <c r="R1635" s="17" t="n">
        <v>0</v>
      </c>
      <c r="T1635" s="17">
        <f>DAY(C1635)</f>
        <v/>
      </c>
      <c r="U1635" s="17">
        <f>MONTH(C1635)</f>
        <v/>
      </c>
    </row>
    <row r="1636" ht="22.5" customHeight="1" s="117">
      <c r="A1636" s="14" t="n">
        <v>46063.29445872685</v>
      </c>
      <c r="B1636" s="17" t="inlineStr">
        <is>
          <t>Đặng Hoài Anh</t>
        </is>
      </c>
      <c r="C1636" s="16" t="n">
        <v>46062</v>
      </c>
      <c r="D1636" s="17" t="n">
        <v>5</v>
      </c>
      <c r="E1636" s="17" t="n">
        <v>4</v>
      </c>
      <c r="F1636" s="17" t="n">
        <v>0</v>
      </c>
      <c r="G1636" s="17" t="n">
        <v>0</v>
      </c>
      <c r="H1636" s="17" t="n">
        <v>0</v>
      </c>
      <c r="I1636" s="17" t="n">
        <v>0</v>
      </c>
      <c r="J1636" s="17" t="n">
        <v>0</v>
      </c>
      <c r="K1636" s="17" t="n">
        <v>0</v>
      </c>
      <c r="L1636" s="17" t="n">
        <v>0</v>
      </c>
      <c r="M1636" s="17" t="n">
        <v>5</v>
      </c>
      <c r="N1636" s="17" t="n">
        <v>0</v>
      </c>
      <c r="O1636" s="17" t="n">
        <v>0</v>
      </c>
      <c r="P1636" s="17" t="n">
        <v>0</v>
      </c>
      <c r="Q1636" s="17" t="n">
        <v>1</v>
      </c>
      <c r="R1636" s="17" t="n">
        <v>0</v>
      </c>
      <c r="T1636" s="17">
        <f>DAY(C1636)</f>
        <v/>
      </c>
      <c r="U1636" s="17">
        <f>MONTH(C1636)</f>
        <v/>
      </c>
    </row>
    <row r="1637" ht="22.5" customHeight="1" s="117">
      <c r="A1637" s="14" t="n">
        <v>46063.29453912037</v>
      </c>
      <c r="B1637" s="17" t="inlineStr">
        <is>
          <t>Nguyễn Tuấn Anh</t>
        </is>
      </c>
      <c r="C1637" s="16" t="n">
        <v>46062</v>
      </c>
      <c r="D1637" s="17" t="n">
        <v>0</v>
      </c>
      <c r="E1637" s="17" t="n">
        <v>0</v>
      </c>
      <c r="F1637" s="17" t="n">
        <v>2</v>
      </c>
      <c r="G1637" s="17" t="n">
        <v>0</v>
      </c>
      <c r="H1637" s="17" t="n">
        <v>0</v>
      </c>
      <c r="I1637" s="17" t="n">
        <v>1</v>
      </c>
      <c r="J1637" s="17" t="n">
        <v>0</v>
      </c>
      <c r="K1637" s="17" t="n">
        <v>12</v>
      </c>
      <c r="L1637" s="17" t="n">
        <v>1</v>
      </c>
      <c r="M1637" s="17" t="n">
        <v>0</v>
      </c>
      <c r="N1637" s="17" t="n">
        <v>0</v>
      </c>
      <c r="O1637" s="17" t="n">
        <v>0</v>
      </c>
      <c r="P1637" s="17" t="n">
        <v>0</v>
      </c>
      <c r="Q1637" s="17" t="n">
        <v>2</v>
      </c>
      <c r="R1637" s="17" t="n">
        <v>0</v>
      </c>
      <c r="T1637" s="17">
        <f>DAY(C1637)</f>
        <v/>
      </c>
      <c r="U1637" s="17">
        <f>MONTH(C1637)</f>
        <v/>
      </c>
    </row>
    <row r="1638" ht="22.5" customHeight="1" s="117">
      <c r="A1638" s="14" t="n">
        <v>46063.29626256944</v>
      </c>
      <c r="B1638" s="17" t="inlineStr">
        <is>
          <t>Lê Hồng Phong</t>
        </is>
      </c>
      <c r="C1638" s="16" t="n">
        <v>46032</v>
      </c>
      <c r="D1638" s="17" t="n">
        <v>1</v>
      </c>
      <c r="E1638" s="17" t="n">
        <v>1</v>
      </c>
      <c r="F1638" s="17" t="n">
        <v>1</v>
      </c>
      <c r="G1638" s="17" t="n">
        <v>1</v>
      </c>
      <c r="H1638" s="17" t="n">
        <v>1</v>
      </c>
      <c r="I1638" s="17" t="n">
        <v>1</v>
      </c>
      <c r="J1638" s="17" t="n">
        <v>1</v>
      </c>
      <c r="K1638" s="17" t="n">
        <v>1</v>
      </c>
      <c r="L1638" s="17" t="n">
        <v>1</v>
      </c>
      <c r="M1638" s="17" t="n">
        <v>1</v>
      </c>
      <c r="N1638" s="17" t="n">
        <v>1</v>
      </c>
      <c r="O1638" s="17" t="n">
        <v>1</v>
      </c>
      <c r="P1638" s="17" t="n">
        <v>1</v>
      </c>
      <c r="Q1638" s="17" t="n">
        <v>1</v>
      </c>
      <c r="R1638" s="17" t="n">
        <v>1</v>
      </c>
      <c r="T1638" s="17">
        <f>DAY(C1638)</f>
        <v/>
      </c>
      <c r="U1638" s="17">
        <f>MONTH(C1638)</f>
        <v/>
      </c>
    </row>
    <row r="1639" ht="22.5" customHeight="1" s="117">
      <c r="A1639" s="14" t="n">
        <v>46063.30425719907</v>
      </c>
      <c r="B1639" s="17" t="inlineStr">
        <is>
          <t>Nguyễn Văn Hiệp</t>
        </is>
      </c>
      <c r="C1639" s="16" t="n">
        <v>46062</v>
      </c>
      <c r="D1639" s="17" t="n">
        <v>0</v>
      </c>
      <c r="E1639" s="17" t="n">
        <v>0</v>
      </c>
      <c r="F1639" s="17" t="n">
        <v>0</v>
      </c>
      <c r="G1639" s="17" t="n">
        <v>0</v>
      </c>
      <c r="H1639" s="17" t="n">
        <v>0</v>
      </c>
      <c r="I1639" s="17" t="n">
        <v>0</v>
      </c>
      <c r="J1639" s="17" t="n">
        <v>0</v>
      </c>
      <c r="K1639" s="17" t="n">
        <v>3</v>
      </c>
      <c r="L1639" s="17" t="n">
        <v>0</v>
      </c>
      <c r="M1639" s="17" t="n">
        <v>0</v>
      </c>
      <c r="N1639" s="17" t="n">
        <v>0</v>
      </c>
      <c r="O1639" s="17" t="n">
        <v>0</v>
      </c>
      <c r="P1639" s="17" t="n">
        <v>0</v>
      </c>
      <c r="Q1639" s="17" t="n">
        <v>0</v>
      </c>
      <c r="R1639" s="17" t="n">
        <v>0</v>
      </c>
      <c r="T1639" s="17">
        <f>DAY(C1639)</f>
        <v/>
      </c>
      <c r="U1639" s="17">
        <f>MONTH(C1639)</f>
        <v/>
      </c>
    </row>
    <row r="1640" ht="22.5" customHeight="1" s="117">
      <c r="A1640" s="14" t="n">
        <v>46063.30833759259</v>
      </c>
      <c r="B1640" s="17" t="inlineStr">
        <is>
          <t>Trần Trung Giang</t>
        </is>
      </c>
      <c r="C1640" s="16" t="n">
        <v>46062</v>
      </c>
      <c r="D1640" s="17" t="n">
        <v>0</v>
      </c>
      <c r="E1640" s="17" t="n">
        <v>0</v>
      </c>
      <c r="F1640" s="17" t="n">
        <v>0</v>
      </c>
      <c r="G1640" s="17" t="n">
        <v>0</v>
      </c>
      <c r="H1640" s="17" t="n">
        <v>0</v>
      </c>
      <c r="I1640" s="17" t="n">
        <v>0</v>
      </c>
      <c r="J1640" s="17" t="n">
        <v>0</v>
      </c>
      <c r="K1640" s="17" t="n">
        <v>0</v>
      </c>
      <c r="L1640" s="17" t="n">
        <v>0</v>
      </c>
      <c r="M1640" s="17" t="n">
        <v>1</v>
      </c>
      <c r="N1640" s="17" t="n">
        <v>0</v>
      </c>
      <c r="O1640" s="17" t="n">
        <v>0</v>
      </c>
      <c r="P1640" s="17" t="n">
        <v>0</v>
      </c>
      <c r="Q1640" s="17" t="n">
        <v>1</v>
      </c>
      <c r="R1640" s="17" t="n">
        <v>0</v>
      </c>
      <c r="T1640" s="17">
        <f>DAY(C1640)</f>
        <v/>
      </c>
      <c r="U1640" s="17">
        <f>MONTH(C1640)</f>
        <v/>
      </c>
    </row>
    <row r="1641" ht="22.5" customHeight="1" s="117">
      <c r="A1641" s="14" t="n">
        <v>46063.31837508102</v>
      </c>
      <c r="B1641" s="17" t="inlineStr">
        <is>
          <t>Huỳnh Văn Lực</t>
        </is>
      </c>
      <c r="C1641" s="16" t="n">
        <v>46062</v>
      </c>
      <c r="D1641" s="17" t="n">
        <v>0</v>
      </c>
      <c r="E1641" s="17" t="n">
        <v>0</v>
      </c>
      <c r="F1641" s="17" t="n">
        <v>0</v>
      </c>
      <c r="G1641" s="17" t="n">
        <v>0</v>
      </c>
      <c r="H1641" s="17" t="n">
        <v>0</v>
      </c>
      <c r="I1641" s="17" t="n">
        <v>0</v>
      </c>
      <c r="J1641" s="17" t="n">
        <v>0</v>
      </c>
      <c r="K1641" s="17" t="n">
        <v>6</v>
      </c>
      <c r="L1641" s="17" t="n">
        <v>0</v>
      </c>
      <c r="M1641" s="17" t="n">
        <v>0</v>
      </c>
      <c r="N1641" s="17" t="n">
        <v>0</v>
      </c>
      <c r="O1641" s="17" t="n">
        <v>0</v>
      </c>
      <c r="P1641" s="17" t="n">
        <v>1</v>
      </c>
      <c r="Q1641" s="17" t="n">
        <v>1</v>
      </c>
      <c r="R1641" s="17" t="n">
        <v>0</v>
      </c>
      <c r="T1641" s="17">
        <f>DAY(C1641)</f>
        <v/>
      </c>
      <c r="U1641" s="17">
        <f>MONTH(C1641)</f>
        <v/>
      </c>
    </row>
    <row r="1642" ht="22.5" customHeight="1" s="117">
      <c r="A1642" s="14" t="n">
        <v>46063.36184256944</v>
      </c>
      <c r="B1642" s="17" t="inlineStr">
        <is>
          <t>Nguyễn Hồng Minh</t>
        </is>
      </c>
      <c r="C1642" s="16" t="n">
        <v>46062</v>
      </c>
      <c r="D1642" s="17" t="n">
        <v>1</v>
      </c>
      <c r="E1642" s="17" t="n">
        <v>1</v>
      </c>
      <c r="F1642" s="17" t="n">
        <v>1</v>
      </c>
      <c r="G1642" s="17" t="n">
        <v>0</v>
      </c>
      <c r="H1642" s="17" t="n">
        <v>0</v>
      </c>
      <c r="I1642" s="17" t="n">
        <v>1</v>
      </c>
      <c r="J1642" s="17" t="n">
        <v>0</v>
      </c>
      <c r="K1642" s="17" t="n">
        <v>12</v>
      </c>
      <c r="L1642" s="17" t="n">
        <v>0</v>
      </c>
      <c r="M1642" s="17" t="n">
        <v>1</v>
      </c>
      <c r="N1642" s="17" t="n">
        <v>0</v>
      </c>
      <c r="O1642" s="17" t="n">
        <v>0</v>
      </c>
      <c r="P1642" s="17" t="n">
        <v>0</v>
      </c>
      <c r="Q1642" s="17" t="n">
        <v>5</v>
      </c>
      <c r="R1642" s="17" t="n">
        <v>0</v>
      </c>
      <c r="T1642" s="17">
        <f>DAY(C1642)</f>
        <v/>
      </c>
      <c r="U1642" s="17">
        <f>MONTH(C1642)</f>
        <v/>
      </c>
    </row>
    <row r="1643" ht="22.5" customHeight="1" s="117">
      <c r="A1643" s="14" t="n">
        <v>46064.27856460648</v>
      </c>
      <c r="B1643" s="17" t="inlineStr">
        <is>
          <t>Trần Xuân Khoa</t>
        </is>
      </c>
      <c r="C1643" s="16" t="n">
        <v>46063</v>
      </c>
      <c r="D1643" s="17" t="n">
        <v>0</v>
      </c>
      <c r="E1643" s="17" t="n">
        <v>0</v>
      </c>
      <c r="F1643" s="17" t="n">
        <v>0</v>
      </c>
      <c r="G1643" s="17" t="n">
        <v>0</v>
      </c>
      <c r="H1643" s="17" t="n">
        <v>0</v>
      </c>
      <c r="I1643" s="17" t="n">
        <v>0</v>
      </c>
      <c r="J1643" s="17" t="n">
        <v>0</v>
      </c>
      <c r="K1643" s="17" t="n">
        <v>10</v>
      </c>
      <c r="L1643" s="17" t="n">
        <v>0</v>
      </c>
      <c r="M1643" s="17" t="n">
        <v>0</v>
      </c>
      <c r="N1643" s="17" t="n">
        <v>0</v>
      </c>
      <c r="O1643" s="17" t="n">
        <v>0</v>
      </c>
      <c r="P1643" s="17" t="n">
        <v>2</v>
      </c>
      <c r="Q1643" s="17" t="n">
        <v>3</v>
      </c>
      <c r="R1643" s="17" t="n">
        <v>0</v>
      </c>
      <c r="T1643" s="17">
        <f>DAY(C1643)</f>
        <v/>
      </c>
      <c r="U1643" s="17">
        <f>MONTH(C1643)</f>
        <v/>
      </c>
    </row>
    <row r="1644" ht="22.5" customHeight="1" s="117">
      <c r="A1644" s="14" t="n">
        <v>46064.29862681713</v>
      </c>
      <c r="B1644" s="17" t="inlineStr">
        <is>
          <t>Đặng Hoài Anh</t>
        </is>
      </c>
      <c r="C1644" s="16" t="n">
        <v>46063</v>
      </c>
      <c r="D1644" s="17" t="n">
        <v>0</v>
      </c>
      <c r="E1644" s="17" t="n">
        <v>2</v>
      </c>
      <c r="F1644" s="17" t="n">
        <v>0</v>
      </c>
      <c r="G1644" s="17" t="n">
        <v>0</v>
      </c>
      <c r="H1644" s="17" t="n">
        <v>0</v>
      </c>
      <c r="I1644" s="17" t="n">
        <v>0</v>
      </c>
      <c r="J1644" s="17" t="n">
        <v>0</v>
      </c>
      <c r="K1644" s="17" t="n">
        <v>1</v>
      </c>
      <c r="L1644" s="17" t="n">
        <v>0</v>
      </c>
      <c r="M1644" s="17" t="n">
        <v>0</v>
      </c>
      <c r="N1644" s="17" t="n">
        <v>0</v>
      </c>
      <c r="O1644" s="17" t="n">
        <v>0</v>
      </c>
      <c r="P1644" s="17" t="n">
        <v>1</v>
      </c>
      <c r="Q1644" s="17" t="n">
        <v>1</v>
      </c>
      <c r="R1644" s="17" t="n">
        <v>0</v>
      </c>
      <c r="T1644" s="17">
        <f>DAY(C1644)</f>
        <v/>
      </c>
      <c r="U1644" s="17">
        <f>MONTH(C1644)</f>
        <v/>
      </c>
    </row>
    <row r="1645" ht="22.5" customHeight="1" s="117">
      <c r="A1645" s="14" t="n">
        <v>46064.30131935185</v>
      </c>
      <c r="B1645" s="17" t="inlineStr">
        <is>
          <t>Lê Hồng Phong</t>
        </is>
      </c>
      <c r="C1645" s="16" t="n">
        <v>46064</v>
      </c>
      <c r="D1645" s="17" t="n">
        <v>1</v>
      </c>
      <c r="E1645" s="17" t="n">
        <v>1</v>
      </c>
      <c r="F1645" s="17" t="n">
        <v>1</v>
      </c>
      <c r="G1645" s="17" t="n">
        <v>1</v>
      </c>
      <c r="H1645" s="17" t="n">
        <v>1</v>
      </c>
      <c r="I1645" s="17" t="n">
        <v>1</v>
      </c>
      <c r="J1645" s="17" t="n">
        <v>1</v>
      </c>
      <c r="K1645" s="17" t="n">
        <v>1</v>
      </c>
      <c r="L1645" s="17" t="n">
        <v>1</v>
      </c>
      <c r="M1645" s="17" t="n">
        <v>1</v>
      </c>
      <c r="N1645" s="17" t="n">
        <v>1</v>
      </c>
      <c r="O1645" s="17" t="n">
        <v>1</v>
      </c>
      <c r="P1645" s="17" t="n">
        <v>1</v>
      </c>
      <c r="Q1645" s="17" t="n">
        <v>1</v>
      </c>
      <c r="R1645" s="17" t="n">
        <v>1</v>
      </c>
      <c r="T1645" s="17">
        <f>DAY(C1645)</f>
        <v/>
      </c>
      <c r="U1645" s="17">
        <f>MONTH(C1645)</f>
        <v/>
      </c>
    </row>
    <row r="1646" ht="22.5" customHeight="1" s="117">
      <c r="A1646" s="14" t="n">
        <v>46064.30241346065</v>
      </c>
      <c r="B1646" s="17" t="inlineStr">
        <is>
          <t>Trần Trung Giang</t>
        </is>
      </c>
      <c r="C1646" s="16" t="n">
        <v>46063</v>
      </c>
      <c r="D1646" s="17" t="n">
        <v>0</v>
      </c>
      <c r="E1646" s="17" t="n">
        <v>0</v>
      </c>
      <c r="F1646" s="17" t="n">
        <v>0</v>
      </c>
      <c r="G1646" s="17" t="n">
        <v>2</v>
      </c>
      <c r="H1646" s="17" t="n">
        <v>0</v>
      </c>
      <c r="I1646" s="17" t="n">
        <v>0</v>
      </c>
      <c r="J1646" s="17" t="n">
        <v>0</v>
      </c>
      <c r="K1646" s="17" t="n">
        <v>6</v>
      </c>
      <c r="L1646" s="17" t="n">
        <v>0</v>
      </c>
      <c r="M1646" s="17" t="n">
        <v>1</v>
      </c>
      <c r="N1646" s="17" t="n">
        <v>0</v>
      </c>
      <c r="O1646" s="17" t="n">
        <v>0</v>
      </c>
      <c r="P1646" s="17" t="n">
        <v>1</v>
      </c>
      <c r="Q1646" s="17" t="n">
        <v>0</v>
      </c>
      <c r="R1646" s="17" t="n">
        <v>0</v>
      </c>
      <c r="T1646" s="17">
        <f>DAY(C1646)</f>
        <v/>
      </c>
      <c r="U1646" s="17">
        <f>MONTH(C1646)</f>
        <v/>
      </c>
    </row>
    <row r="1647" ht="22.5" customHeight="1" s="117">
      <c r="A1647" s="14" t="n">
        <v>46064.30319094907</v>
      </c>
      <c r="B1647" s="17" t="inlineStr">
        <is>
          <t>Nguyễn Văn Hiệp</t>
        </is>
      </c>
      <c r="C1647" s="16" t="n">
        <v>46063</v>
      </c>
      <c r="D1647" s="17" t="n">
        <v>0</v>
      </c>
      <c r="E1647" s="17" t="n">
        <v>0</v>
      </c>
      <c r="F1647" s="17" t="n">
        <v>1</v>
      </c>
      <c r="G1647" s="17" t="n">
        <v>0</v>
      </c>
      <c r="H1647" s="17" t="n">
        <v>0</v>
      </c>
      <c r="I1647" s="17" t="n">
        <v>0</v>
      </c>
      <c r="J1647" s="17" t="n">
        <v>0</v>
      </c>
      <c r="K1647" s="17" t="n">
        <v>2</v>
      </c>
      <c r="L1647" s="17" t="n">
        <v>0</v>
      </c>
      <c r="M1647" s="17" t="n">
        <v>1</v>
      </c>
      <c r="N1647" s="17" t="n">
        <v>1</v>
      </c>
      <c r="O1647" s="17" t="n">
        <v>0</v>
      </c>
      <c r="P1647" s="17" t="n">
        <v>0</v>
      </c>
      <c r="Q1647" s="17" t="n">
        <v>0</v>
      </c>
      <c r="R1647" s="17" t="n">
        <v>0</v>
      </c>
      <c r="T1647" s="17">
        <f>DAY(C1647)</f>
        <v/>
      </c>
      <c r="U1647" s="17">
        <f>MONTH(C1647)</f>
        <v/>
      </c>
    </row>
    <row r="1648" ht="22.5" customHeight="1" s="117">
      <c r="A1648" s="14" t="n">
        <v>46064.30587048611</v>
      </c>
      <c r="B1648" s="17" t="inlineStr">
        <is>
          <t>Nguyễn Tuấn Anh</t>
        </is>
      </c>
      <c r="C1648" s="16" t="n">
        <v>46063</v>
      </c>
      <c r="D1648" s="17" t="n">
        <v>0</v>
      </c>
      <c r="E1648" s="17" t="n">
        <v>0</v>
      </c>
      <c r="F1648" s="17" t="n">
        <v>0</v>
      </c>
      <c r="G1648" s="17" t="n">
        <v>0</v>
      </c>
      <c r="H1648" s="17" t="n">
        <v>0</v>
      </c>
      <c r="I1648" s="17" t="n">
        <v>1</v>
      </c>
      <c r="J1648" s="17" t="n">
        <v>0</v>
      </c>
      <c r="K1648" s="17" t="n">
        <v>2</v>
      </c>
      <c r="L1648" s="17" t="n">
        <v>1</v>
      </c>
      <c r="M1648" s="17" t="n">
        <v>0</v>
      </c>
      <c r="N1648" s="17" t="n">
        <v>0</v>
      </c>
      <c r="O1648" s="17" t="n">
        <v>0</v>
      </c>
      <c r="P1648" s="17" t="n">
        <v>0</v>
      </c>
      <c r="Q1648" s="17" t="n">
        <v>2</v>
      </c>
      <c r="R1648" s="17" t="n">
        <v>0</v>
      </c>
      <c r="T1648" s="17">
        <f>DAY(C1648)</f>
        <v/>
      </c>
      <c r="U1648" s="17">
        <f>MONTH(C1648)</f>
        <v/>
      </c>
    </row>
    <row r="1649" ht="22.5" customHeight="1" s="117">
      <c r="A1649" s="14" t="n">
        <v>46064.3068628125</v>
      </c>
      <c r="B1649" s="17" t="inlineStr">
        <is>
          <t>Lương Duy Hoàng</t>
        </is>
      </c>
      <c r="C1649" s="16" t="n">
        <v>46063</v>
      </c>
      <c r="D1649" s="17" t="n">
        <v>1</v>
      </c>
      <c r="E1649" s="17" t="n">
        <v>1</v>
      </c>
      <c r="F1649" s="17" t="n">
        <v>1</v>
      </c>
      <c r="G1649" s="17" t="n">
        <v>0</v>
      </c>
      <c r="H1649" s="17" t="n">
        <v>0</v>
      </c>
      <c r="I1649" s="17" t="n">
        <v>0</v>
      </c>
      <c r="J1649" s="17" t="n">
        <v>0</v>
      </c>
      <c r="K1649" s="17" t="n">
        <v>4</v>
      </c>
      <c r="L1649" s="17" t="n">
        <v>0</v>
      </c>
      <c r="M1649" s="17" t="n">
        <v>1</v>
      </c>
      <c r="N1649" s="17" t="n">
        <v>0</v>
      </c>
      <c r="O1649" s="17" t="n">
        <v>0</v>
      </c>
      <c r="P1649" s="17" t="n">
        <v>0</v>
      </c>
      <c r="Q1649" s="17" t="n">
        <v>1</v>
      </c>
      <c r="R1649" s="17" t="n">
        <v>0</v>
      </c>
      <c r="T1649" s="17">
        <f>DAY(C1649)</f>
        <v/>
      </c>
      <c r="U1649" s="17">
        <f>MONTH(C1649)</f>
        <v/>
      </c>
    </row>
    <row r="1650" ht="22.5" customHeight="1" s="117">
      <c r="A1650" s="14" t="n">
        <v>46064.32098429398</v>
      </c>
      <c r="B1650" s="17" t="inlineStr">
        <is>
          <t>Nguyễn Quang Anh Tuấn</t>
        </is>
      </c>
      <c r="C1650" s="16" t="n">
        <v>46063</v>
      </c>
      <c r="D1650" s="17" t="n">
        <v>1</v>
      </c>
      <c r="E1650" s="17" t="n">
        <v>1</v>
      </c>
      <c r="F1650" s="17" t="n">
        <v>1</v>
      </c>
      <c r="G1650" s="17" t="n">
        <v>0</v>
      </c>
      <c r="H1650" s="17" t="n">
        <v>0</v>
      </c>
      <c r="I1650" s="17" t="n">
        <v>0</v>
      </c>
      <c r="J1650" s="17" t="n">
        <v>0</v>
      </c>
      <c r="K1650" s="17" t="n">
        <v>10</v>
      </c>
      <c r="L1650" s="17" t="n">
        <v>0</v>
      </c>
      <c r="M1650" s="17" t="n">
        <v>2</v>
      </c>
      <c r="N1650" s="17" t="n">
        <v>0</v>
      </c>
      <c r="O1650" s="17" t="n">
        <v>0</v>
      </c>
      <c r="P1650" s="17" t="n">
        <v>1</v>
      </c>
      <c r="Q1650" s="17" t="n">
        <v>2</v>
      </c>
      <c r="R1650" s="17" t="n">
        <v>0</v>
      </c>
      <c r="T1650" s="17">
        <f>DAY(C1650)</f>
        <v/>
      </c>
      <c r="U1650" s="17">
        <f>MONTH(C1650)</f>
        <v/>
      </c>
    </row>
    <row r="1651" ht="22.5" customHeight="1" s="117">
      <c r="A1651" s="14" t="n">
        <v>46064.32744603009</v>
      </c>
      <c r="B1651" s="17" t="inlineStr">
        <is>
          <t>Huỳnh Văn Lực</t>
        </is>
      </c>
      <c r="C1651" s="16" t="n">
        <v>46063</v>
      </c>
      <c r="D1651" s="17" t="n">
        <v>0</v>
      </c>
      <c r="E1651" s="17" t="n">
        <v>0</v>
      </c>
      <c r="F1651" s="17" t="n">
        <v>0</v>
      </c>
      <c r="G1651" s="17" t="n">
        <v>0</v>
      </c>
      <c r="H1651" s="17" t="n">
        <v>0</v>
      </c>
      <c r="I1651" s="17" t="n">
        <v>0</v>
      </c>
      <c r="J1651" s="17" t="n">
        <v>0</v>
      </c>
      <c r="K1651" s="17" t="n">
        <v>4</v>
      </c>
      <c r="L1651" s="17" t="n">
        <v>0</v>
      </c>
      <c r="M1651" s="17" t="n">
        <v>0</v>
      </c>
      <c r="N1651" s="17" t="n">
        <v>0</v>
      </c>
      <c r="O1651" s="17" t="n">
        <v>0</v>
      </c>
      <c r="P1651" s="17" t="n">
        <v>0</v>
      </c>
      <c r="Q1651" s="17" t="n">
        <v>1</v>
      </c>
      <c r="R1651" s="17" t="n">
        <v>0</v>
      </c>
      <c r="T1651" s="17">
        <f>DAY(C1651)</f>
        <v/>
      </c>
      <c r="U1651" s="17">
        <f>MONTH(C1651)</f>
        <v/>
      </c>
    </row>
    <row r="1652" ht="22.5" customHeight="1" s="117">
      <c r="A1652" s="14" t="n">
        <v>46064.38466113426</v>
      </c>
      <c r="B1652" s="17" t="inlineStr">
        <is>
          <t>Nguyễn Hồng Minh</t>
        </is>
      </c>
      <c r="C1652" s="16" t="n">
        <v>46063</v>
      </c>
      <c r="D1652" s="17" t="n">
        <v>2</v>
      </c>
      <c r="E1652" s="17" t="n">
        <v>2</v>
      </c>
      <c r="F1652" s="17" t="n">
        <v>2</v>
      </c>
      <c r="G1652" s="17" t="n">
        <v>0</v>
      </c>
      <c r="H1652" s="17" t="n">
        <v>0</v>
      </c>
      <c r="I1652" s="17" t="n">
        <v>0</v>
      </c>
      <c r="J1652" s="17" t="n">
        <v>0</v>
      </c>
      <c r="K1652" s="17" t="n">
        <v>6</v>
      </c>
      <c r="L1652" s="17" t="n">
        <v>0</v>
      </c>
      <c r="M1652" s="17" t="n">
        <v>2</v>
      </c>
      <c r="N1652" s="17" t="n">
        <v>0</v>
      </c>
      <c r="O1652" s="17" t="n">
        <v>0</v>
      </c>
      <c r="P1652" s="17" t="n">
        <v>0</v>
      </c>
      <c r="Q1652" s="17" t="n">
        <v>4</v>
      </c>
      <c r="R1652" s="17" t="n">
        <v>0</v>
      </c>
      <c r="T1652" s="17">
        <f>DAY(C1652)</f>
        <v/>
      </c>
      <c r="U1652" s="17">
        <f>MONTH(C1652)</f>
        <v/>
      </c>
    </row>
    <row r="1653" ht="22.5" customHeight="1" s="117">
      <c r="A1653" s="14" t="n">
        <v>46065.27956376157</v>
      </c>
      <c r="B1653" s="17" t="inlineStr">
        <is>
          <t>Lương Duy Hoàng</t>
        </is>
      </c>
      <c r="C1653" s="16" t="n">
        <v>46064</v>
      </c>
      <c r="D1653" s="17" t="n">
        <v>0</v>
      </c>
      <c r="E1653" s="17" t="n">
        <v>0</v>
      </c>
      <c r="F1653" s="17" t="n">
        <v>0</v>
      </c>
      <c r="G1653" s="17" t="n">
        <v>0</v>
      </c>
      <c r="H1653" s="17" t="n">
        <v>0</v>
      </c>
      <c r="I1653" s="17" t="n">
        <v>0</v>
      </c>
      <c r="J1653" s="17" t="n">
        <v>0</v>
      </c>
      <c r="K1653" s="17" t="n">
        <v>3</v>
      </c>
      <c r="L1653" s="17" t="n">
        <v>0</v>
      </c>
      <c r="M1653" s="17" t="n">
        <v>0</v>
      </c>
      <c r="N1653" s="17" t="n">
        <v>0</v>
      </c>
      <c r="O1653" s="17" t="n">
        <v>0</v>
      </c>
      <c r="P1653" s="17" t="n">
        <v>1</v>
      </c>
      <c r="Q1653" s="17" t="n">
        <v>4</v>
      </c>
      <c r="R1653" s="17" t="n">
        <v>0</v>
      </c>
      <c r="T1653" s="17">
        <f>DAY(C1653)</f>
        <v/>
      </c>
      <c r="U1653" s="17">
        <f>MONTH(C1653)</f>
        <v/>
      </c>
    </row>
    <row r="1654" ht="22.5" customHeight="1" s="117">
      <c r="A1654" s="14" t="n">
        <v>46065.29655856481</v>
      </c>
      <c r="B1654" s="17" t="inlineStr">
        <is>
          <t>Nguyễn Văn Hiệp</t>
        </is>
      </c>
      <c r="C1654" s="16" t="n">
        <v>46064</v>
      </c>
      <c r="D1654" s="17" t="n">
        <v>1</v>
      </c>
      <c r="E1654" s="17" t="n">
        <v>1</v>
      </c>
      <c r="F1654" s="17" t="n">
        <v>2</v>
      </c>
      <c r="G1654" s="17" t="n">
        <v>0</v>
      </c>
      <c r="H1654" s="17" t="n">
        <v>0</v>
      </c>
      <c r="I1654" s="17" t="n">
        <v>0</v>
      </c>
      <c r="J1654" s="17" t="n">
        <v>0</v>
      </c>
      <c r="K1654" s="17" t="n">
        <v>0</v>
      </c>
      <c r="L1654" s="17" t="n">
        <v>0</v>
      </c>
      <c r="M1654" s="17" t="n">
        <v>9</v>
      </c>
      <c r="N1654" s="17" t="n">
        <v>0</v>
      </c>
      <c r="O1654" s="17" t="n">
        <v>0</v>
      </c>
      <c r="P1654" s="17" t="n">
        <v>0</v>
      </c>
      <c r="Q1654" s="17" t="n">
        <v>0</v>
      </c>
      <c r="R1654" s="17" t="n">
        <v>1</v>
      </c>
      <c r="T1654" s="17">
        <f>DAY(C1654)</f>
        <v/>
      </c>
      <c r="U1654" s="17">
        <f>MONTH(C1654)</f>
        <v/>
      </c>
    </row>
    <row r="1655" ht="22.5" customHeight="1" s="117">
      <c r="A1655" s="14" t="n">
        <v>46065.29688012732</v>
      </c>
      <c r="B1655" s="17" t="inlineStr">
        <is>
          <t>Lê Hồng Phong</t>
        </is>
      </c>
      <c r="C1655" s="16" t="n">
        <v>46065</v>
      </c>
      <c r="D1655" s="17" t="n">
        <v>1</v>
      </c>
      <c r="E1655" s="17" t="n">
        <v>1</v>
      </c>
      <c r="F1655" s="17" t="n">
        <v>1</v>
      </c>
      <c r="G1655" s="17" t="n">
        <v>1</v>
      </c>
      <c r="H1655" s="17" t="n">
        <v>1</v>
      </c>
      <c r="I1655" s="17" t="n">
        <v>1</v>
      </c>
      <c r="J1655" s="17" t="n">
        <v>1</v>
      </c>
      <c r="K1655" s="17" t="n">
        <v>1</v>
      </c>
      <c r="L1655" s="17" t="n">
        <v>1</v>
      </c>
      <c r="M1655" s="17" t="n">
        <v>1</v>
      </c>
      <c r="N1655" s="17" t="n">
        <v>1</v>
      </c>
      <c r="O1655" s="17" t="n">
        <v>1</v>
      </c>
      <c r="P1655" s="17" t="n">
        <v>1</v>
      </c>
      <c r="Q1655" s="17" t="n">
        <v>1</v>
      </c>
      <c r="R1655" s="17" t="n">
        <v>1</v>
      </c>
      <c r="T1655" s="17">
        <f>DAY(C1655)</f>
        <v/>
      </c>
      <c r="U1655" s="17">
        <f>MONTH(C1655)</f>
        <v/>
      </c>
    </row>
    <row r="1656" ht="22.5" customHeight="1" s="117">
      <c r="A1656" s="14" t="n">
        <v>46065.2985555324</v>
      </c>
      <c r="B1656" s="17" t="inlineStr">
        <is>
          <t>Trần Trung Giang</t>
        </is>
      </c>
      <c r="C1656" s="16" t="n">
        <v>46064</v>
      </c>
      <c r="D1656" s="17" t="n">
        <v>1</v>
      </c>
      <c r="E1656" s="17" t="n">
        <v>0</v>
      </c>
      <c r="F1656" s="17" t="n">
        <v>0</v>
      </c>
      <c r="G1656" s="17" t="n">
        <v>0</v>
      </c>
      <c r="H1656" s="17" t="n">
        <v>0</v>
      </c>
      <c r="I1656" s="17" t="n">
        <v>0</v>
      </c>
      <c r="J1656" s="17" t="n">
        <v>0</v>
      </c>
      <c r="K1656" s="17" t="n">
        <v>5</v>
      </c>
      <c r="L1656" s="17" t="n">
        <v>0</v>
      </c>
      <c r="M1656" s="17" t="n">
        <v>1</v>
      </c>
      <c r="N1656" s="17" t="n">
        <v>1</v>
      </c>
      <c r="O1656" s="17" t="n">
        <v>0</v>
      </c>
      <c r="P1656" s="17" t="n">
        <v>1</v>
      </c>
      <c r="Q1656" s="17" t="n">
        <v>0</v>
      </c>
      <c r="R1656" s="17" t="n">
        <v>0</v>
      </c>
      <c r="T1656" s="17">
        <f>DAY(C1656)</f>
        <v/>
      </c>
      <c r="U1656" s="17">
        <f>MONTH(C1656)</f>
        <v/>
      </c>
    </row>
    <row r="1657" ht="22.5" customHeight="1" s="117">
      <c r="A1657" s="14" t="n">
        <v>46065.30127804398</v>
      </c>
      <c r="B1657" s="17" t="inlineStr">
        <is>
          <t>Nguyễn Tuấn Anh</t>
        </is>
      </c>
      <c r="C1657" s="16" t="n">
        <v>46064</v>
      </c>
      <c r="D1657" s="17" t="n">
        <v>0</v>
      </c>
      <c r="E1657" s="17" t="n">
        <v>0</v>
      </c>
      <c r="F1657" s="17" t="n">
        <v>0</v>
      </c>
      <c r="G1657" s="17" t="n">
        <v>0</v>
      </c>
      <c r="H1657" s="17" t="n">
        <v>0</v>
      </c>
      <c r="I1657" s="17" t="n">
        <v>1</v>
      </c>
      <c r="J1657" s="17" t="n">
        <v>0</v>
      </c>
      <c r="K1657" s="17" t="n">
        <v>4</v>
      </c>
      <c r="L1657" s="17" t="n">
        <v>0</v>
      </c>
      <c r="M1657" s="17" t="n">
        <v>0</v>
      </c>
      <c r="N1657" s="17" t="n">
        <v>0</v>
      </c>
      <c r="O1657" s="17" t="n">
        <v>0</v>
      </c>
      <c r="P1657" s="17" t="n">
        <v>1</v>
      </c>
      <c r="Q1657" s="17" t="n">
        <v>2</v>
      </c>
      <c r="R1657" s="17" t="n">
        <v>2</v>
      </c>
      <c r="T1657" s="17">
        <f>DAY(C1657)</f>
        <v/>
      </c>
      <c r="U1657" s="17">
        <f>MONTH(C1657)</f>
        <v/>
      </c>
    </row>
    <row r="1658" ht="22.5" customHeight="1" s="117">
      <c r="A1658" s="14" t="n">
        <v>46065.30224196759</v>
      </c>
      <c r="B1658" s="17" t="inlineStr">
        <is>
          <t>Đặng Hoài Anh</t>
        </is>
      </c>
      <c r="C1658" s="16" t="n">
        <v>46064</v>
      </c>
      <c r="D1658" s="17" t="n">
        <v>1</v>
      </c>
      <c r="E1658" s="17" t="n">
        <v>0</v>
      </c>
      <c r="F1658" s="17" t="n">
        <v>0</v>
      </c>
      <c r="G1658" s="17" t="n">
        <v>0</v>
      </c>
      <c r="H1658" s="17" t="n">
        <v>0</v>
      </c>
      <c r="I1658" s="17" t="n">
        <v>0</v>
      </c>
      <c r="J1658" s="17" t="n">
        <v>0</v>
      </c>
      <c r="K1658" s="17" t="n">
        <v>1</v>
      </c>
      <c r="L1658" s="17" t="n">
        <v>0</v>
      </c>
      <c r="M1658" s="17" t="n">
        <v>2</v>
      </c>
      <c r="N1658" s="17" t="n">
        <v>0</v>
      </c>
      <c r="O1658" s="17" t="n">
        <v>0</v>
      </c>
      <c r="P1658" s="17" t="n">
        <v>5</v>
      </c>
      <c r="Q1658" s="17" t="n">
        <v>3</v>
      </c>
      <c r="R1658" s="17" t="n">
        <v>0</v>
      </c>
      <c r="T1658" s="17">
        <f>DAY(C1658)</f>
        <v/>
      </c>
      <c r="U1658" s="17">
        <f>MONTH(C1658)</f>
        <v/>
      </c>
    </row>
    <row r="1659" ht="22.5" customHeight="1" s="117">
      <c r="A1659" s="14" t="n">
        <v>46065.30532855324</v>
      </c>
      <c r="B1659" s="17" t="inlineStr">
        <is>
          <t>Nguyễn Quang Anh Tuấn</t>
        </is>
      </c>
      <c r="C1659" s="16" t="n">
        <v>46064</v>
      </c>
      <c r="D1659" s="17" t="n">
        <v>0</v>
      </c>
      <c r="E1659" s="17" t="n">
        <v>0</v>
      </c>
      <c r="F1659" s="17" t="n">
        <v>0</v>
      </c>
      <c r="G1659" s="17" t="n">
        <v>0</v>
      </c>
      <c r="H1659" s="17" t="n">
        <v>0</v>
      </c>
      <c r="I1659" s="17" t="n">
        <v>0</v>
      </c>
      <c r="J1659" s="17" t="n">
        <v>0</v>
      </c>
      <c r="K1659" s="17" t="n">
        <v>0</v>
      </c>
      <c r="L1659" s="17" t="n">
        <v>0</v>
      </c>
      <c r="M1659" s="17" t="n">
        <v>2</v>
      </c>
      <c r="N1659" s="17" t="n">
        <v>0</v>
      </c>
      <c r="O1659" s="17" t="n">
        <v>0</v>
      </c>
      <c r="P1659" s="17" t="n">
        <v>0</v>
      </c>
      <c r="Q1659" s="17" t="n">
        <v>1</v>
      </c>
      <c r="R1659" s="17" t="n">
        <v>0</v>
      </c>
      <c r="T1659" s="17">
        <f>DAY(C1659)</f>
        <v/>
      </c>
      <c r="U1659" s="17">
        <f>MONTH(C1659)</f>
        <v/>
      </c>
    </row>
    <row r="1660" ht="22.5" customHeight="1" s="117">
      <c r="A1660" s="14" t="n">
        <v>46065.31197833333</v>
      </c>
      <c r="B1660" s="17" t="inlineStr">
        <is>
          <t>Huỳnh Văn Lực</t>
        </is>
      </c>
      <c r="C1660" s="16" t="n">
        <v>46064</v>
      </c>
      <c r="D1660" s="17" t="n">
        <v>0</v>
      </c>
      <c r="E1660" s="17" t="n">
        <v>0</v>
      </c>
      <c r="F1660" s="17" t="n">
        <v>0</v>
      </c>
      <c r="G1660" s="17" t="n">
        <v>0</v>
      </c>
      <c r="H1660" s="17" t="n">
        <v>0</v>
      </c>
      <c r="I1660" s="17" t="n">
        <v>0</v>
      </c>
      <c r="J1660" s="17" t="n">
        <v>0</v>
      </c>
      <c r="K1660" s="17" t="n">
        <v>3</v>
      </c>
      <c r="L1660" s="17" t="n">
        <v>0</v>
      </c>
      <c r="M1660" s="17" t="n">
        <v>0</v>
      </c>
      <c r="N1660" s="17" t="n">
        <v>0</v>
      </c>
      <c r="O1660" s="17" t="n">
        <v>0</v>
      </c>
      <c r="P1660" s="17" t="n">
        <v>0</v>
      </c>
      <c r="Q1660" s="17" t="n">
        <v>0</v>
      </c>
      <c r="R1660" s="17" t="n">
        <v>0</v>
      </c>
      <c r="T1660" s="17">
        <f>DAY(C1660)</f>
        <v/>
      </c>
      <c r="U1660" s="17">
        <f>MONTH(C1660)</f>
        <v/>
      </c>
    </row>
    <row r="1661" ht="22.5" customHeight="1" s="117">
      <c r="A1661" s="14" t="n">
        <v>46065.38123195602</v>
      </c>
      <c r="B1661" s="17" t="inlineStr">
        <is>
          <t>Nguyễn Hồng Minh</t>
        </is>
      </c>
      <c r="C1661" s="16" t="n">
        <v>46064</v>
      </c>
      <c r="D1661" s="17" t="n">
        <v>1</v>
      </c>
      <c r="E1661" s="17" t="n">
        <v>1</v>
      </c>
      <c r="F1661" s="17" t="n">
        <v>0</v>
      </c>
      <c r="G1661" s="17" t="n">
        <v>0</v>
      </c>
      <c r="H1661" s="17" t="n">
        <v>0</v>
      </c>
      <c r="I1661" s="17" t="n">
        <v>0</v>
      </c>
      <c r="J1661" s="17" t="n">
        <v>0</v>
      </c>
      <c r="K1661" s="17" t="n">
        <v>6</v>
      </c>
      <c r="L1661" s="17" t="n">
        <v>0</v>
      </c>
      <c r="M1661" s="17" t="n">
        <v>1</v>
      </c>
      <c r="N1661" s="17" t="n">
        <v>0</v>
      </c>
      <c r="O1661" s="17" t="n">
        <v>0</v>
      </c>
      <c r="P1661" s="17" t="n">
        <v>1</v>
      </c>
      <c r="Q1661" s="17" t="n">
        <v>5</v>
      </c>
      <c r="R1661" s="17" t="n">
        <v>0</v>
      </c>
      <c r="T1661" s="17">
        <f>DAY(C1661)</f>
        <v/>
      </c>
      <c r="U1661" s="17">
        <f>MONTH(C1661)</f>
        <v/>
      </c>
    </row>
    <row r="1662" ht="22.5" customHeight="1" s="117">
      <c r="A1662" s="14" t="n">
        <v>46066.29069628472</v>
      </c>
      <c r="B1662" s="17" t="inlineStr">
        <is>
          <t>Nguyễn Tuấn Anh</t>
        </is>
      </c>
      <c r="C1662" s="16" t="n">
        <v>46065</v>
      </c>
      <c r="D1662" s="17" t="n">
        <v>0</v>
      </c>
      <c r="E1662" s="17" t="n">
        <v>0</v>
      </c>
      <c r="F1662" s="17" t="n">
        <v>0</v>
      </c>
      <c r="G1662" s="17" t="n">
        <v>0</v>
      </c>
      <c r="H1662" s="17" t="n">
        <v>0</v>
      </c>
      <c r="I1662" s="17" t="n">
        <v>1</v>
      </c>
      <c r="J1662" s="17" t="n">
        <v>0</v>
      </c>
      <c r="K1662" s="17" t="n">
        <v>2</v>
      </c>
      <c r="L1662" s="17" t="n">
        <v>0</v>
      </c>
      <c r="M1662" s="17" t="n">
        <v>0</v>
      </c>
      <c r="N1662" s="17" t="n">
        <v>0</v>
      </c>
      <c r="O1662" s="17" t="n">
        <v>0</v>
      </c>
      <c r="P1662" s="17" t="n">
        <v>0</v>
      </c>
      <c r="Q1662" s="17" t="n">
        <v>2</v>
      </c>
      <c r="R1662" s="17" t="n">
        <v>0</v>
      </c>
      <c r="T1662" s="17">
        <f>DAY(C1662)</f>
        <v/>
      </c>
      <c r="U1662" s="17">
        <f>MONTH(C1662)</f>
        <v/>
      </c>
    </row>
    <row r="1663" ht="22.5" customHeight="1" s="117">
      <c r="A1663" s="14" t="n">
        <v>46066.29279945602</v>
      </c>
      <c r="B1663" s="17" t="inlineStr">
        <is>
          <t>Lê Hồng Phong</t>
        </is>
      </c>
      <c r="C1663" s="16" t="n">
        <v>46066</v>
      </c>
      <c r="D1663" s="17" t="n">
        <v>1</v>
      </c>
      <c r="E1663" s="17" t="n">
        <v>1</v>
      </c>
      <c r="F1663" s="17" t="n">
        <v>1</v>
      </c>
      <c r="G1663" s="17" t="n">
        <v>1</v>
      </c>
      <c r="H1663" s="17" t="n">
        <v>1</v>
      </c>
      <c r="I1663" s="17" t="n">
        <v>1</v>
      </c>
      <c r="J1663" s="17" t="n">
        <v>1</v>
      </c>
      <c r="K1663" s="17" t="n">
        <v>1</v>
      </c>
      <c r="L1663" s="17" t="n">
        <v>1</v>
      </c>
      <c r="M1663" s="17" t="n">
        <v>1</v>
      </c>
      <c r="N1663" s="17" t="n">
        <v>1</v>
      </c>
      <c r="O1663" s="17" t="n">
        <v>1</v>
      </c>
      <c r="P1663" s="17" t="n">
        <v>1</v>
      </c>
      <c r="Q1663" s="17" t="n">
        <v>1</v>
      </c>
      <c r="R1663" s="17" t="n">
        <v>1</v>
      </c>
      <c r="T1663" s="17">
        <f>DAY(C1663)</f>
        <v/>
      </c>
      <c r="U1663" s="17">
        <f>MONTH(C1663)</f>
        <v/>
      </c>
    </row>
    <row r="1664" ht="22.5" customHeight="1" s="117">
      <c r="A1664" s="14" t="n">
        <v>46066.295549375</v>
      </c>
      <c r="B1664" s="17" t="inlineStr">
        <is>
          <t>Đặng Hoài Anh</t>
        </is>
      </c>
      <c r="C1664" s="16" t="n">
        <v>46065</v>
      </c>
      <c r="D1664" s="17" t="n">
        <v>0</v>
      </c>
      <c r="E1664" s="17" t="n">
        <v>0</v>
      </c>
      <c r="F1664" s="17" t="n">
        <v>0</v>
      </c>
      <c r="G1664" s="17" t="n">
        <v>0</v>
      </c>
      <c r="H1664" s="17" t="n">
        <v>0</v>
      </c>
      <c r="I1664" s="17" t="n">
        <v>0</v>
      </c>
      <c r="J1664" s="17" t="n">
        <v>0</v>
      </c>
      <c r="K1664" s="17" t="n">
        <v>4</v>
      </c>
      <c r="L1664" s="17" t="n">
        <v>0</v>
      </c>
      <c r="M1664" s="17" t="n">
        <v>2</v>
      </c>
      <c r="N1664" s="17" t="n">
        <v>0</v>
      </c>
      <c r="O1664" s="17" t="n">
        <v>0</v>
      </c>
      <c r="P1664" s="17" t="n">
        <v>0</v>
      </c>
      <c r="Q1664" s="17" t="n">
        <v>0</v>
      </c>
      <c r="R1664" s="17" t="n">
        <v>1</v>
      </c>
      <c r="T1664" s="17">
        <f>DAY(C1664)</f>
        <v/>
      </c>
      <c r="U1664" s="17">
        <f>MONTH(C1664)</f>
        <v/>
      </c>
    </row>
    <row r="1665" ht="22.5" customHeight="1" s="117">
      <c r="A1665" s="14" t="n">
        <v>46066.30438001158</v>
      </c>
      <c r="B1665" s="17" t="inlineStr">
        <is>
          <t>Huỳnh Văn Lực</t>
        </is>
      </c>
      <c r="C1665" s="16" t="n">
        <v>46065</v>
      </c>
      <c r="D1665" s="17" t="n">
        <v>0</v>
      </c>
      <c r="E1665" s="17" t="n">
        <v>0</v>
      </c>
      <c r="F1665" s="17" t="n">
        <v>0</v>
      </c>
      <c r="G1665" s="17" t="n">
        <v>0</v>
      </c>
      <c r="H1665" s="17" t="n">
        <v>0</v>
      </c>
      <c r="I1665" s="17" t="n">
        <v>0</v>
      </c>
      <c r="J1665" s="17" t="n">
        <v>0</v>
      </c>
      <c r="K1665" s="17" t="n">
        <v>7</v>
      </c>
      <c r="L1665" s="17" t="n">
        <v>0</v>
      </c>
      <c r="M1665" s="17" t="n">
        <v>1</v>
      </c>
      <c r="N1665" s="17" t="n">
        <v>0</v>
      </c>
      <c r="O1665" s="17" t="n">
        <v>0</v>
      </c>
      <c r="P1665" s="17" t="n">
        <v>0</v>
      </c>
      <c r="Q1665" s="17" t="n">
        <v>1</v>
      </c>
      <c r="R1665" s="17" t="n">
        <v>0</v>
      </c>
      <c r="T1665" s="17">
        <f>DAY(C1665)</f>
        <v/>
      </c>
      <c r="U1665" s="17">
        <f>MONTH(C1665)</f>
        <v/>
      </c>
    </row>
    <row r="1666" ht="22.5" customHeight="1" s="117">
      <c r="A1666" s="14" t="n">
        <v>46066.3092303588</v>
      </c>
      <c r="B1666" s="17" t="inlineStr">
        <is>
          <t>Trần Trung Giang</t>
        </is>
      </c>
      <c r="C1666" s="16" t="n">
        <v>46065</v>
      </c>
      <c r="D1666" s="17" t="n">
        <v>0</v>
      </c>
      <c r="E1666" s="17" t="n">
        <v>0</v>
      </c>
      <c r="F1666" s="17" t="n">
        <v>0</v>
      </c>
      <c r="G1666" s="17" t="n">
        <v>0</v>
      </c>
      <c r="H1666" s="17" t="n">
        <v>0</v>
      </c>
      <c r="I1666" s="17" t="n">
        <v>0</v>
      </c>
      <c r="J1666" s="17" t="n">
        <v>0</v>
      </c>
      <c r="K1666" s="17" t="n">
        <v>0</v>
      </c>
      <c r="L1666" s="17" t="n">
        <v>0</v>
      </c>
      <c r="M1666" s="17" t="n">
        <v>0</v>
      </c>
      <c r="N1666" s="17" t="n">
        <v>0</v>
      </c>
      <c r="O1666" s="17" t="n">
        <v>0</v>
      </c>
      <c r="P1666" s="17" t="n">
        <v>0</v>
      </c>
      <c r="Q1666" s="17" t="n">
        <v>9</v>
      </c>
      <c r="R1666" s="17" t="n">
        <v>0</v>
      </c>
      <c r="T1666" s="17">
        <f>DAY(C1666)</f>
        <v/>
      </c>
      <c r="U1666" s="17">
        <f>MONTH(C1666)</f>
        <v/>
      </c>
    </row>
    <row r="1667" ht="22.5" customHeight="1" s="117">
      <c r="A1667" s="14" t="n">
        <v>46066.3104433449</v>
      </c>
      <c r="B1667" s="17" t="inlineStr">
        <is>
          <t>Trần Trung Giang</t>
        </is>
      </c>
      <c r="C1667" s="16" t="n">
        <v>46065</v>
      </c>
      <c r="D1667" s="17" t="n">
        <v>0</v>
      </c>
      <c r="E1667" s="17" t="n">
        <v>0</v>
      </c>
      <c r="F1667" s="17" t="n">
        <v>0</v>
      </c>
      <c r="G1667" s="17" t="n">
        <v>0</v>
      </c>
      <c r="H1667" s="17" t="n">
        <v>0</v>
      </c>
      <c r="I1667" s="17" t="n">
        <v>0</v>
      </c>
      <c r="J1667" s="17" t="n">
        <v>0</v>
      </c>
      <c r="K1667" s="17" t="n">
        <v>0</v>
      </c>
      <c r="L1667" s="17" t="n">
        <v>0</v>
      </c>
      <c r="M1667" s="17" t="n">
        <v>0</v>
      </c>
      <c r="N1667" s="17" t="n">
        <v>0</v>
      </c>
      <c r="O1667" s="17" t="n">
        <v>0</v>
      </c>
      <c r="P1667" s="17" t="n">
        <v>0</v>
      </c>
      <c r="Q1667" s="17" t="n">
        <v>0</v>
      </c>
      <c r="R1667" s="17" t="n">
        <v>0</v>
      </c>
      <c r="T1667" s="17">
        <f>DAY(C1667)</f>
        <v/>
      </c>
      <c r="U1667" s="17">
        <f>MONTH(C1667)</f>
        <v/>
      </c>
    </row>
    <row r="1668" ht="22.5" customHeight="1" s="117">
      <c r="A1668" s="14" t="n">
        <v>46066.31554962963</v>
      </c>
      <c r="B1668" s="17" t="inlineStr">
        <is>
          <t>Nguyễn Quang Anh Tuấn</t>
        </is>
      </c>
      <c r="C1668" s="16" t="n">
        <v>46065</v>
      </c>
      <c r="D1668" s="17" t="n">
        <v>0</v>
      </c>
      <c r="E1668" s="17" t="n">
        <v>0</v>
      </c>
      <c r="F1668" s="17" t="n">
        <v>0</v>
      </c>
      <c r="G1668" s="17" t="n">
        <v>0</v>
      </c>
      <c r="H1668" s="17" t="n">
        <v>0</v>
      </c>
      <c r="I1668" s="17" t="n">
        <v>0</v>
      </c>
      <c r="J1668" s="17" t="n">
        <v>0</v>
      </c>
      <c r="K1668" s="17" t="n">
        <v>0</v>
      </c>
      <c r="L1668" s="17" t="n">
        <v>0</v>
      </c>
      <c r="M1668" s="17" t="n">
        <v>0</v>
      </c>
      <c r="N1668" s="17" t="n">
        <v>0</v>
      </c>
      <c r="O1668" s="17" t="n">
        <v>0</v>
      </c>
      <c r="P1668" s="17" t="n">
        <v>0</v>
      </c>
      <c r="Q1668" s="17" t="n">
        <v>2</v>
      </c>
      <c r="R1668" s="17" t="n">
        <v>0</v>
      </c>
      <c r="T1668" s="17">
        <f>DAY(C1668)</f>
        <v/>
      </c>
      <c r="U1668" s="17">
        <f>MONTH(C1668)</f>
        <v/>
      </c>
    </row>
    <row r="1669" ht="22.5" customHeight="1" s="117">
      <c r="A1669" s="14" t="n">
        <v>46066.37710972222</v>
      </c>
      <c r="B1669" s="17" t="inlineStr">
        <is>
          <t>Nguyễn Văn Hiệp</t>
        </is>
      </c>
      <c r="C1669" s="16" t="n">
        <v>46065</v>
      </c>
      <c r="D1669" s="17" t="n">
        <v>1</v>
      </c>
      <c r="E1669" s="17" t="n">
        <v>0</v>
      </c>
      <c r="F1669" s="17" t="n">
        <v>0</v>
      </c>
      <c r="G1669" s="17" t="n">
        <v>0</v>
      </c>
      <c r="H1669" s="17" t="n">
        <v>0</v>
      </c>
      <c r="I1669" s="17" t="n">
        <v>0</v>
      </c>
      <c r="J1669" s="17" t="n">
        <v>0</v>
      </c>
      <c r="K1669" s="17" t="n">
        <v>0</v>
      </c>
      <c r="L1669" s="17" t="n">
        <v>0</v>
      </c>
      <c r="M1669" s="17" t="n">
        <v>0</v>
      </c>
      <c r="N1669" s="17" t="n">
        <v>0</v>
      </c>
      <c r="O1669" s="17" t="n">
        <v>0</v>
      </c>
      <c r="P1669" s="17" t="n">
        <v>1</v>
      </c>
      <c r="Q1669" s="17" t="n">
        <v>0</v>
      </c>
      <c r="R1669" s="17" t="n">
        <v>0</v>
      </c>
      <c r="T1669" s="17">
        <f>DAY(C1669)</f>
        <v/>
      </c>
      <c r="U1669" s="17">
        <f>MONTH(C1669)</f>
        <v/>
      </c>
    </row>
    <row r="1670" ht="22.5" customHeight="1" s="117">
      <c r="A1670" s="14" t="n">
        <v>46066.38013493056</v>
      </c>
      <c r="B1670" s="17" t="inlineStr">
        <is>
          <t>Nguyễn Hồng Minh</t>
        </is>
      </c>
      <c r="C1670" s="16" t="n">
        <v>46065</v>
      </c>
      <c r="D1670" s="17" t="n">
        <v>1</v>
      </c>
      <c r="E1670" s="17" t="n">
        <v>1</v>
      </c>
      <c r="F1670" s="17" t="n">
        <v>1</v>
      </c>
      <c r="G1670" s="17" t="n">
        <v>1</v>
      </c>
      <c r="H1670" s="17" t="n">
        <v>1</v>
      </c>
      <c r="I1670" s="17" t="n">
        <v>0</v>
      </c>
      <c r="J1670" s="17" t="n">
        <v>0</v>
      </c>
      <c r="K1670" s="17" t="n">
        <v>15</v>
      </c>
      <c r="L1670" s="17" t="n">
        <v>0</v>
      </c>
      <c r="M1670" s="17" t="n">
        <v>1</v>
      </c>
      <c r="N1670" s="17" t="n">
        <v>0</v>
      </c>
      <c r="O1670" s="17" t="n">
        <v>0</v>
      </c>
      <c r="P1670" s="17" t="n">
        <v>0</v>
      </c>
      <c r="Q1670" s="17" t="n">
        <v>3</v>
      </c>
      <c r="R1670" s="17" t="n">
        <v>0</v>
      </c>
      <c r="T1670" s="17">
        <f>DAY(C1670)</f>
        <v/>
      </c>
      <c r="U1670" s="17">
        <f>MONTH(C1670)</f>
        <v/>
      </c>
    </row>
    <row r="1671" ht="22.5" customHeight="1" s="117">
      <c r="A1671" s="14" t="n">
        <v>46067.28736728009</v>
      </c>
      <c r="B1671" s="17" t="inlineStr">
        <is>
          <t>Lê Hồng Phong</t>
        </is>
      </c>
      <c r="C1671" s="16" t="n">
        <v>46067</v>
      </c>
      <c r="D1671" s="17" t="n">
        <v>1</v>
      </c>
      <c r="E1671" s="17" t="n">
        <v>1</v>
      </c>
      <c r="F1671" s="17" t="n">
        <v>1</v>
      </c>
      <c r="G1671" s="17" t="n">
        <v>1</v>
      </c>
      <c r="H1671" s="17" t="n">
        <v>1</v>
      </c>
      <c r="I1671" s="17" t="n">
        <v>1</v>
      </c>
      <c r="J1671" s="17" t="n">
        <v>1</v>
      </c>
      <c r="K1671" s="17" t="n">
        <v>1</v>
      </c>
      <c r="L1671" s="17" t="n">
        <v>1</v>
      </c>
      <c r="M1671" s="17" t="n">
        <v>1</v>
      </c>
      <c r="N1671" s="17" t="n">
        <v>1</v>
      </c>
      <c r="O1671" s="17" t="n">
        <v>1</v>
      </c>
      <c r="P1671" s="17" t="n">
        <v>1</v>
      </c>
      <c r="Q1671" s="17" t="n">
        <v>1</v>
      </c>
      <c r="R1671" s="17" t="n">
        <v>1</v>
      </c>
      <c r="T1671" s="17">
        <f>DAY(C1671)</f>
        <v/>
      </c>
      <c r="U1671" s="17">
        <f>MONTH(C1671)</f>
        <v/>
      </c>
    </row>
    <row r="1672" ht="22.5" customHeight="1" s="117">
      <c r="A1672" s="14" t="n">
        <v>46067.29051177084</v>
      </c>
      <c r="B1672" s="17" t="inlineStr">
        <is>
          <t>Lương Duy Hoàng</t>
        </is>
      </c>
      <c r="C1672" s="16" t="n">
        <v>46066</v>
      </c>
      <c r="D1672" s="17" t="n">
        <v>0</v>
      </c>
      <c r="E1672" s="17" t="n">
        <v>0</v>
      </c>
      <c r="F1672" s="17" t="n">
        <v>1</v>
      </c>
      <c r="G1672" s="17" t="n">
        <v>0</v>
      </c>
      <c r="H1672" s="17" t="n">
        <v>0</v>
      </c>
      <c r="I1672" s="17" t="n">
        <v>0</v>
      </c>
      <c r="J1672" s="17" t="n">
        <v>0</v>
      </c>
      <c r="K1672" s="17" t="n">
        <v>2</v>
      </c>
      <c r="L1672" s="17" t="n">
        <v>0</v>
      </c>
      <c r="M1672" s="17" t="n">
        <v>0</v>
      </c>
      <c r="N1672" s="17" t="n">
        <v>0</v>
      </c>
      <c r="O1672" s="17" t="n">
        <v>0</v>
      </c>
      <c r="P1672" s="17" t="n">
        <v>0</v>
      </c>
      <c r="Q1672" s="17" t="n">
        <v>1</v>
      </c>
      <c r="R1672" s="17" t="n">
        <v>0</v>
      </c>
      <c r="T1672" s="17">
        <f>DAY(C1672)</f>
        <v/>
      </c>
      <c r="U1672" s="17">
        <f>MONTH(C1672)</f>
        <v/>
      </c>
    </row>
    <row r="1673" ht="22.5" customHeight="1" s="117">
      <c r="A1673" s="14" t="n">
        <v>46067.29354283565</v>
      </c>
      <c r="B1673" s="17" t="inlineStr">
        <is>
          <t>Đặng Hoài Anh</t>
        </is>
      </c>
      <c r="C1673" s="16" t="n">
        <v>46066</v>
      </c>
      <c r="D1673" s="17" t="n">
        <v>0</v>
      </c>
      <c r="E1673" s="17" t="n">
        <v>1</v>
      </c>
      <c r="F1673" s="17" t="n">
        <v>0</v>
      </c>
      <c r="G1673" s="17" t="n">
        <v>0</v>
      </c>
      <c r="H1673" s="17" t="n">
        <v>0</v>
      </c>
      <c r="I1673" s="17" t="n">
        <v>0</v>
      </c>
      <c r="J1673" s="17" t="n">
        <v>0</v>
      </c>
      <c r="K1673" s="17" t="n">
        <v>4</v>
      </c>
      <c r="L1673" s="17" t="n">
        <v>0</v>
      </c>
      <c r="M1673" s="17" t="n">
        <v>1</v>
      </c>
      <c r="N1673" s="17" t="n">
        <v>1</v>
      </c>
      <c r="O1673" s="17" t="n">
        <v>0</v>
      </c>
      <c r="P1673" s="17" t="n">
        <v>1</v>
      </c>
      <c r="Q1673" s="17" t="n">
        <v>0</v>
      </c>
      <c r="R1673" s="17" t="n">
        <v>1</v>
      </c>
      <c r="T1673" s="17">
        <f>DAY(C1673)</f>
        <v/>
      </c>
      <c r="U1673" s="17">
        <f>MONTH(C1673)</f>
        <v/>
      </c>
    </row>
    <row r="1674" ht="22.5" customHeight="1" s="117">
      <c r="A1674" s="14" t="n">
        <v>46067.29439317129</v>
      </c>
      <c r="B1674" s="17" t="inlineStr">
        <is>
          <t>Huỳnh Văn Lực</t>
        </is>
      </c>
      <c r="C1674" s="16" t="n">
        <v>46066</v>
      </c>
      <c r="D1674" s="17" t="n">
        <v>0</v>
      </c>
      <c r="E1674" s="17" t="n">
        <v>0</v>
      </c>
      <c r="F1674" s="17" t="n">
        <v>0</v>
      </c>
      <c r="G1674" s="17" t="n">
        <v>1</v>
      </c>
      <c r="H1674" s="17" t="n">
        <v>0</v>
      </c>
      <c r="I1674" s="17" t="n">
        <v>0</v>
      </c>
      <c r="J1674" s="17" t="n">
        <v>0</v>
      </c>
      <c r="K1674" s="17" t="n">
        <v>3</v>
      </c>
      <c r="L1674" s="17" t="n">
        <v>0</v>
      </c>
      <c r="M1674" s="17" t="n">
        <v>0</v>
      </c>
      <c r="N1674" s="17" t="n">
        <v>0</v>
      </c>
      <c r="O1674" s="17" t="n">
        <v>0</v>
      </c>
      <c r="P1674" s="17" t="n">
        <v>1</v>
      </c>
      <c r="Q1674" s="17" t="n">
        <v>1</v>
      </c>
      <c r="R1674" s="17" t="n">
        <v>0</v>
      </c>
      <c r="T1674" s="17">
        <f>DAY(C1674)</f>
        <v/>
      </c>
      <c r="U1674" s="17">
        <f>MONTH(C1674)</f>
        <v/>
      </c>
    </row>
    <row r="1675" ht="22.5" customHeight="1" s="117">
      <c r="A1675" s="14" t="n">
        <v>46067.29687765046</v>
      </c>
      <c r="B1675" s="17" t="inlineStr">
        <is>
          <t>Trần Trung Giang</t>
        </is>
      </c>
      <c r="C1675" s="16" t="n">
        <v>46066</v>
      </c>
      <c r="D1675" s="17" t="n">
        <v>0</v>
      </c>
      <c r="E1675" s="17" t="n">
        <v>0</v>
      </c>
      <c r="F1675" s="17" t="n">
        <v>0</v>
      </c>
      <c r="G1675" s="17" t="n">
        <v>0</v>
      </c>
      <c r="H1675" s="17" t="n">
        <v>0</v>
      </c>
      <c r="I1675" s="17" t="n">
        <v>0</v>
      </c>
      <c r="J1675" s="17" t="n">
        <v>0</v>
      </c>
      <c r="K1675" s="17" t="n">
        <v>0</v>
      </c>
      <c r="L1675" s="17" t="n">
        <v>0</v>
      </c>
      <c r="M1675" s="17" t="n">
        <v>0</v>
      </c>
      <c r="N1675" s="17" t="n">
        <v>0</v>
      </c>
      <c r="O1675" s="17" t="n">
        <v>0</v>
      </c>
      <c r="P1675" s="17" t="n">
        <v>0</v>
      </c>
      <c r="Q1675" s="17" t="n">
        <v>1</v>
      </c>
      <c r="R1675" s="17" t="n">
        <v>0</v>
      </c>
      <c r="T1675" s="17">
        <f>DAY(C1675)</f>
        <v/>
      </c>
      <c r="U1675" s="17">
        <f>MONTH(C1675)</f>
        <v/>
      </c>
    </row>
    <row r="1676" ht="22.5" customHeight="1" s="117">
      <c r="A1676" s="14" t="n">
        <v>46067.3004065625</v>
      </c>
      <c r="B1676" s="17" t="inlineStr">
        <is>
          <t>Nguyễn Quang Anh Tuấn</t>
        </is>
      </c>
      <c r="C1676" s="16" t="n">
        <v>46066</v>
      </c>
      <c r="D1676" s="17" t="n">
        <v>0</v>
      </c>
      <c r="E1676" s="17" t="n">
        <v>0</v>
      </c>
      <c r="F1676" s="17" t="n">
        <v>0</v>
      </c>
      <c r="G1676" s="17" t="n">
        <v>0</v>
      </c>
      <c r="H1676" s="17" t="n">
        <v>0</v>
      </c>
      <c r="I1676" s="17" t="n">
        <v>0</v>
      </c>
      <c r="J1676" s="17" t="n">
        <v>0</v>
      </c>
      <c r="K1676" s="17" t="n">
        <v>9</v>
      </c>
      <c r="L1676" s="17" t="n">
        <v>0</v>
      </c>
      <c r="M1676" s="17" t="n">
        <v>3</v>
      </c>
      <c r="N1676" s="17" t="n">
        <v>0</v>
      </c>
      <c r="O1676" s="17" t="n">
        <v>0</v>
      </c>
      <c r="P1676" s="17" t="n">
        <v>0</v>
      </c>
      <c r="Q1676" s="17" t="n">
        <v>2</v>
      </c>
      <c r="R1676" s="17" t="n">
        <v>0</v>
      </c>
      <c r="T1676" s="17">
        <f>DAY(C1676)</f>
        <v/>
      </c>
      <c r="U1676" s="17">
        <f>MONTH(C1676)</f>
        <v/>
      </c>
    </row>
    <row r="1677" ht="22.5" customHeight="1" s="117">
      <c r="A1677" s="14" t="n">
        <v>46067.30134620371</v>
      </c>
      <c r="B1677" s="17" t="inlineStr">
        <is>
          <t>Nguyễn Tuấn Anh</t>
        </is>
      </c>
      <c r="C1677" s="16" t="n">
        <v>46066</v>
      </c>
      <c r="D1677" s="17" t="n">
        <v>1</v>
      </c>
      <c r="E1677" s="17" t="n">
        <v>1</v>
      </c>
      <c r="F1677" s="17" t="n">
        <v>0</v>
      </c>
      <c r="G1677" s="17" t="n">
        <v>0</v>
      </c>
      <c r="H1677" s="17" t="n">
        <v>0</v>
      </c>
      <c r="I1677" s="17" t="n">
        <v>0</v>
      </c>
      <c r="J1677" s="17" t="n">
        <v>0</v>
      </c>
      <c r="K1677" s="17" t="n">
        <v>11</v>
      </c>
      <c r="L1677" s="17" t="n">
        <v>0</v>
      </c>
      <c r="M1677" s="17" t="n">
        <v>0</v>
      </c>
      <c r="N1677" s="17" t="n">
        <v>0</v>
      </c>
      <c r="O1677" s="17" t="n">
        <v>0</v>
      </c>
      <c r="P1677" s="17" t="n">
        <v>1</v>
      </c>
      <c r="Q1677" s="17" t="n">
        <v>2</v>
      </c>
      <c r="R1677" s="17" t="n">
        <v>0</v>
      </c>
      <c r="T1677" s="17">
        <f>DAY(C1677)</f>
        <v/>
      </c>
      <c r="U1677" s="17">
        <f>MONTH(C1677)</f>
        <v/>
      </c>
    </row>
    <row r="1678" ht="22.5" customHeight="1" s="117">
      <c r="A1678" s="14" t="n">
        <v>46067.31034253472</v>
      </c>
      <c r="B1678" s="17" t="inlineStr">
        <is>
          <t>Nguyễn Văn Hiệp</t>
        </is>
      </c>
      <c r="C1678" s="16" t="n">
        <v>46066</v>
      </c>
      <c r="D1678" s="17" t="n">
        <v>0</v>
      </c>
      <c r="E1678" s="17" t="n">
        <v>0</v>
      </c>
      <c r="F1678" s="17" t="n">
        <v>0</v>
      </c>
      <c r="G1678" s="17" t="n">
        <v>0</v>
      </c>
      <c r="H1678" s="17" t="n">
        <v>1</v>
      </c>
      <c r="I1678" s="17" t="n">
        <v>0</v>
      </c>
      <c r="J1678" s="17" t="n">
        <v>0</v>
      </c>
      <c r="K1678" s="17" t="n">
        <v>1</v>
      </c>
      <c r="L1678" s="17" t="n">
        <v>0</v>
      </c>
      <c r="M1678" s="17" t="n">
        <v>1</v>
      </c>
      <c r="N1678" s="17" t="n">
        <v>0</v>
      </c>
      <c r="O1678" s="17" t="n">
        <v>0</v>
      </c>
      <c r="P1678" s="17" t="n">
        <v>0</v>
      </c>
      <c r="Q1678" s="17" t="n">
        <v>0</v>
      </c>
      <c r="R1678" s="17" t="n">
        <v>0</v>
      </c>
      <c r="T1678" s="17">
        <f>DAY(C1678)</f>
        <v/>
      </c>
      <c r="U1678" s="17">
        <f>MONTH(C1678)</f>
        <v/>
      </c>
    </row>
    <row r="1679" ht="22.5" customHeight="1" s="117">
      <c r="A1679" s="14" t="n">
        <v>46067.35062782407</v>
      </c>
      <c r="B1679" s="17" t="inlineStr">
        <is>
          <t>Nguyễn Hồng Minh</t>
        </is>
      </c>
      <c r="C1679" s="16" t="n">
        <v>46066</v>
      </c>
      <c r="D1679" s="17" t="n">
        <v>9</v>
      </c>
      <c r="E1679" s="17" t="n">
        <v>0</v>
      </c>
      <c r="F1679" s="17" t="n">
        <v>0</v>
      </c>
      <c r="G1679" s="17" t="n">
        <v>0</v>
      </c>
      <c r="H1679" s="17" t="n">
        <v>0</v>
      </c>
      <c r="I1679" s="17" t="n">
        <v>2</v>
      </c>
      <c r="J1679" s="17" t="n">
        <v>0</v>
      </c>
      <c r="K1679" s="17" t="n">
        <v>16</v>
      </c>
      <c r="L1679" s="17" t="n">
        <v>0</v>
      </c>
      <c r="M1679" s="17" t="n">
        <v>0</v>
      </c>
      <c r="N1679" s="17" t="n">
        <v>1</v>
      </c>
      <c r="O1679" s="17" t="n">
        <v>0</v>
      </c>
      <c r="P1679" s="17" t="n">
        <v>9</v>
      </c>
      <c r="Q1679" s="17" t="n">
        <v>5</v>
      </c>
      <c r="R1679" s="17" t="n">
        <v>0</v>
      </c>
      <c r="T1679" s="17">
        <f>DAY(C1679)</f>
        <v/>
      </c>
      <c r="U1679" s="17">
        <f>MONTH(C1679)</f>
        <v/>
      </c>
    </row>
    <row r="1680" ht="22.5" customHeight="1" s="117">
      <c r="A1680" s="14" t="n">
        <v>46068.27737949074</v>
      </c>
      <c r="B1680" s="17" t="inlineStr">
        <is>
          <t>Nguyễn Văn Hiệp</t>
        </is>
      </c>
      <c r="C1680" s="16" t="n">
        <v>46067</v>
      </c>
      <c r="D1680" s="17" t="n">
        <v>0</v>
      </c>
      <c r="E1680" s="17" t="n">
        <v>0</v>
      </c>
      <c r="F1680" s="17" t="n">
        <v>0</v>
      </c>
      <c r="G1680" s="17" t="n">
        <v>0</v>
      </c>
      <c r="H1680" s="17" t="n">
        <v>0</v>
      </c>
      <c r="I1680" s="17" t="n">
        <v>0</v>
      </c>
      <c r="J1680" s="17" t="n">
        <v>0</v>
      </c>
      <c r="K1680" s="17" t="n">
        <v>2</v>
      </c>
      <c r="L1680" s="17" t="n">
        <v>0</v>
      </c>
      <c r="M1680" s="17" t="n">
        <v>0</v>
      </c>
      <c r="N1680" s="17" t="n">
        <v>0</v>
      </c>
      <c r="O1680" s="17" t="n">
        <v>0</v>
      </c>
      <c r="P1680" s="17" t="n">
        <v>0</v>
      </c>
      <c r="Q1680" s="17" t="n">
        <v>1</v>
      </c>
      <c r="R1680" s="17" t="n">
        <v>0</v>
      </c>
      <c r="T1680" s="17">
        <f>DAY(C1680)</f>
        <v/>
      </c>
      <c r="U1680" s="17">
        <f>MONTH(C1680)</f>
        <v/>
      </c>
    </row>
    <row r="1681" ht="22.5" customHeight="1" s="117">
      <c r="A1681" s="14" t="n">
        <v>46068.28671298611</v>
      </c>
      <c r="B1681" s="17" t="inlineStr">
        <is>
          <t>Lê Hồng Phong</t>
        </is>
      </c>
      <c r="C1681" s="16" t="n">
        <v>46068</v>
      </c>
      <c r="D1681" s="17" t="n">
        <v>1</v>
      </c>
      <c r="E1681" s="17" t="n">
        <v>1</v>
      </c>
      <c r="F1681" s="17" t="n">
        <v>1</v>
      </c>
      <c r="G1681" s="17" t="n">
        <v>1</v>
      </c>
      <c r="H1681" s="17" t="n">
        <v>1</v>
      </c>
      <c r="I1681" s="17" t="n">
        <v>1</v>
      </c>
      <c r="J1681" s="17" t="n">
        <v>1</v>
      </c>
      <c r="K1681" s="17" t="n">
        <v>1</v>
      </c>
      <c r="L1681" s="17" t="n">
        <v>1</v>
      </c>
      <c r="M1681" s="17" t="n">
        <v>1</v>
      </c>
      <c r="N1681" s="17" t="n">
        <v>1</v>
      </c>
      <c r="O1681" s="17" t="n">
        <v>1</v>
      </c>
      <c r="P1681" s="17" t="n">
        <v>1</v>
      </c>
      <c r="Q1681" s="17" t="n">
        <v>1</v>
      </c>
      <c r="R1681" s="17" t="n">
        <v>1</v>
      </c>
      <c r="T1681" s="17">
        <f>DAY(C1681)</f>
        <v/>
      </c>
      <c r="U1681" s="17">
        <f>MONTH(C1681)</f>
        <v/>
      </c>
    </row>
    <row r="1682" ht="22.5" customHeight="1" s="117">
      <c r="A1682" s="14" t="n">
        <v>46068.30739369213</v>
      </c>
      <c r="B1682" s="17" t="inlineStr">
        <is>
          <t>Nguyễn Tuấn Anh</t>
        </is>
      </c>
      <c r="C1682" s="16" t="n">
        <v>46067</v>
      </c>
      <c r="D1682" s="17" t="n">
        <v>0</v>
      </c>
      <c r="E1682" s="17" t="n">
        <v>0</v>
      </c>
      <c r="F1682" s="17" t="n">
        <v>0</v>
      </c>
      <c r="G1682" s="17" t="n">
        <v>0</v>
      </c>
      <c r="H1682" s="17" t="n">
        <v>0</v>
      </c>
      <c r="I1682" s="17" t="n">
        <v>1</v>
      </c>
      <c r="J1682" s="17" t="n">
        <v>0</v>
      </c>
      <c r="K1682" s="17" t="n">
        <v>9</v>
      </c>
      <c r="L1682" s="17" t="n">
        <v>0</v>
      </c>
      <c r="M1682" s="17" t="n">
        <v>0</v>
      </c>
      <c r="N1682" s="17" t="n">
        <v>0</v>
      </c>
      <c r="O1682" s="17" t="n">
        <v>0</v>
      </c>
      <c r="P1682" s="17" t="n">
        <v>0</v>
      </c>
      <c r="Q1682" s="17" t="n">
        <v>2</v>
      </c>
      <c r="R1682" s="17" t="n">
        <v>0</v>
      </c>
      <c r="T1682" s="17">
        <f>DAY(C1682)</f>
        <v/>
      </c>
      <c r="U1682" s="17">
        <f>MONTH(C1682)</f>
        <v/>
      </c>
    </row>
    <row r="1683" ht="22.5" customHeight="1" s="117">
      <c r="A1683" s="14" t="n">
        <v>46068.30893363426</v>
      </c>
      <c r="B1683" s="17" t="inlineStr">
        <is>
          <t>Huỳnh Văn Lực</t>
        </is>
      </c>
      <c r="C1683" s="16" t="n">
        <v>46067</v>
      </c>
      <c r="D1683" s="17" t="n">
        <v>1</v>
      </c>
      <c r="E1683" s="17" t="n">
        <v>1</v>
      </c>
      <c r="F1683" s="17" t="n">
        <v>1</v>
      </c>
      <c r="G1683" s="17" t="n">
        <v>0</v>
      </c>
      <c r="H1683" s="17" t="n">
        <v>0</v>
      </c>
      <c r="I1683" s="17" t="n">
        <v>0</v>
      </c>
      <c r="J1683" s="17" t="n">
        <v>0</v>
      </c>
      <c r="K1683" s="17" t="n">
        <v>7</v>
      </c>
      <c r="L1683" s="17" t="n">
        <v>0</v>
      </c>
      <c r="M1683" s="17" t="n">
        <v>1</v>
      </c>
      <c r="N1683" s="17" t="n">
        <v>0</v>
      </c>
      <c r="O1683" s="17" t="n">
        <v>0</v>
      </c>
      <c r="P1683" s="17" t="n">
        <v>1</v>
      </c>
      <c r="Q1683" s="17" t="n">
        <v>0</v>
      </c>
      <c r="R1683" s="17" t="n">
        <v>0</v>
      </c>
      <c r="T1683" s="17">
        <f>DAY(C1683)</f>
        <v/>
      </c>
      <c r="U1683" s="17">
        <f>MONTH(C1683)</f>
        <v/>
      </c>
    </row>
    <row r="1684" ht="22.5" customHeight="1" s="117">
      <c r="A1684" s="14" t="n">
        <v>46068.31079387732</v>
      </c>
      <c r="B1684" s="17" t="inlineStr">
        <is>
          <t>Nguyễn Quang Anh Tuấn</t>
        </is>
      </c>
      <c r="C1684" s="16" t="n">
        <v>46067</v>
      </c>
      <c r="D1684" s="17" t="n">
        <v>1</v>
      </c>
      <c r="E1684" s="17" t="n">
        <v>1</v>
      </c>
      <c r="F1684" s="17" t="n">
        <v>0</v>
      </c>
      <c r="G1684" s="17" t="n">
        <v>0</v>
      </c>
      <c r="H1684" s="17" t="n">
        <v>0</v>
      </c>
      <c r="I1684" s="17" t="n">
        <v>0</v>
      </c>
      <c r="J1684" s="17" t="n">
        <v>0</v>
      </c>
      <c r="K1684" s="17" t="n">
        <v>8</v>
      </c>
      <c r="L1684" s="17" t="n">
        <v>0</v>
      </c>
      <c r="M1684" s="17" t="n">
        <v>1</v>
      </c>
      <c r="N1684" s="17" t="n">
        <v>0</v>
      </c>
      <c r="O1684" s="17" t="n">
        <v>0</v>
      </c>
      <c r="P1684" s="17" t="n">
        <v>0</v>
      </c>
      <c r="Q1684" s="17" t="n">
        <v>2</v>
      </c>
      <c r="R1684" s="17" t="n">
        <v>0</v>
      </c>
      <c r="T1684" s="17">
        <f>DAY(C1684)</f>
        <v/>
      </c>
      <c r="U1684" s="17">
        <f>MONTH(C1684)</f>
        <v/>
      </c>
    </row>
    <row r="1685" ht="22.5" customHeight="1" s="117">
      <c r="A1685" s="14" t="n">
        <v>46068.32284038194</v>
      </c>
      <c r="B1685" s="17" t="inlineStr">
        <is>
          <t>Trần Trung Giang</t>
        </is>
      </c>
      <c r="C1685" s="16" t="n">
        <v>46067</v>
      </c>
      <c r="D1685" s="17" t="n">
        <v>0</v>
      </c>
      <c r="E1685" s="17" t="n">
        <v>0</v>
      </c>
      <c r="F1685" s="17" t="n">
        <v>0</v>
      </c>
      <c r="G1685" s="17" t="n">
        <v>0</v>
      </c>
      <c r="H1685" s="17" t="n">
        <v>0</v>
      </c>
      <c r="I1685" s="17" t="n">
        <v>0</v>
      </c>
      <c r="J1685" s="17" t="n">
        <v>0</v>
      </c>
      <c r="K1685" s="17" t="n">
        <v>2</v>
      </c>
      <c r="L1685" s="17" t="n">
        <v>0</v>
      </c>
      <c r="M1685" s="17" t="n">
        <v>0</v>
      </c>
      <c r="N1685" s="17" t="n">
        <v>0</v>
      </c>
      <c r="O1685" s="17" t="n">
        <v>0</v>
      </c>
      <c r="P1685" s="17" t="n">
        <v>0</v>
      </c>
      <c r="Q1685" s="17" t="n">
        <v>1</v>
      </c>
      <c r="R1685" s="17" t="n">
        <v>0</v>
      </c>
      <c r="T1685" s="17">
        <f>DAY(C1685)</f>
        <v/>
      </c>
      <c r="U1685" s="17">
        <f>MONTH(C1685)</f>
        <v/>
      </c>
    </row>
    <row r="1686" ht="22.5" customHeight="1" s="117">
      <c r="A1686" s="14" t="n">
        <v>46068.32996700231</v>
      </c>
      <c r="B1686" s="17" t="inlineStr">
        <is>
          <t>Đặng Hoài Anh</t>
        </is>
      </c>
      <c r="C1686" s="16" t="n">
        <v>46067</v>
      </c>
      <c r="D1686" s="17" t="n">
        <v>2</v>
      </c>
      <c r="E1686" s="17" t="n">
        <v>0</v>
      </c>
      <c r="F1686" s="17" t="n">
        <v>0</v>
      </c>
      <c r="G1686" s="17" t="n">
        <v>0</v>
      </c>
      <c r="H1686" s="17" t="n">
        <v>0</v>
      </c>
      <c r="I1686" s="17" t="n">
        <v>0</v>
      </c>
      <c r="J1686" s="17" t="n">
        <v>0</v>
      </c>
      <c r="K1686" s="17" t="n">
        <v>7</v>
      </c>
      <c r="L1686" s="17" t="n">
        <v>0</v>
      </c>
      <c r="M1686" s="17" t="n">
        <v>2</v>
      </c>
      <c r="N1686" s="17" t="n">
        <v>0</v>
      </c>
      <c r="O1686" s="17" t="n">
        <v>0</v>
      </c>
      <c r="P1686" s="17" t="n">
        <v>0</v>
      </c>
      <c r="Q1686" s="17" t="n">
        <v>0</v>
      </c>
      <c r="R1686" s="17" t="n">
        <v>1</v>
      </c>
      <c r="T1686" s="17">
        <f>DAY(C1686)</f>
        <v/>
      </c>
      <c r="U1686" s="17">
        <f>MONTH(C1686)</f>
        <v/>
      </c>
    </row>
    <row r="1687" ht="22.5" customHeight="1" s="117">
      <c r="A1687" s="14" t="n">
        <v>46068.41038210648</v>
      </c>
      <c r="B1687" s="17" t="inlineStr">
        <is>
          <t>Nguyễn Hồng Minh</t>
        </is>
      </c>
      <c r="C1687" s="16" t="n">
        <v>46067</v>
      </c>
      <c r="D1687" s="17" t="n">
        <v>0</v>
      </c>
      <c r="E1687" s="17" t="n">
        <v>0</v>
      </c>
      <c r="F1687" s="17" t="n">
        <v>0</v>
      </c>
      <c r="G1687" s="17" t="n">
        <v>0</v>
      </c>
      <c r="H1687" s="17" t="n">
        <v>0</v>
      </c>
      <c r="I1687" s="17" t="n">
        <v>1</v>
      </c>
      <c r="J1687" s="17" t="n">
        <v>0</v>
      </c>
      <c r="K1687" s="17" t="n">
        <v>24</v>
      </c>
      <c r="L1687" s="17" t="n">
        <v>0</v>
      </c>
      <c r="M1687" s="17" t="n">
        <v>1</v>
      </c>
      <c r="N1687" s="17" t="n">
        <v>0</v>
      </c>
      <c r="O1687" s="17" t="n">
        <v>0</v>
      </c>
      <c r="P1687" s="17" t="n">
        <v>1</v>
      </c>
      <c r="Q1687" s="17" t="n">
        <v>4</v>
      </c>
      <c r="R1687" s="17" t="n">
        <v>0</v>
      </c>
      <c r="T1687" s="17">
        <f>DAY(C1687)</f>
        <v/>
      </c>
      <c r="U1687" s="17">
        <f>MONTH(C1687)</f>
        <v/>
      </c>
    </row>
    <row r="1688" ht="22.5" customHeight="1" s="117">
      <c r="A1688" s="14" t="n">
        <v>46069.28440856482</v>
      </c>
      <c r="B1688" s="17" t="inlineStr">
        <is>
          <t>Lê Hồng Phong</t>
        </is>
      </c>
      <c r="C1688" s="16" t="n">
        <v>46069</v>
      </c>
      <c r="D1688" s="17" t="n">
        <v>1</v>
      </c>
      <c r="E1688" s="17" t="n">
        <v>1</v>
      </c>
      <c r="F1688" s="17" t="n">
        <v>1</v>
      </c>
      <c r="G1688" s="17" t="n">
        <v>1</v>
      </c>
      <c r="H1688" s="17" t="n">
        <v>1</v>
      </c>
      <c r="I1688" s="17" t="n">
        <v>1</v>
      </c>
      <c r="J1688" s="17" t="n">
        <v>1</v>
      </c>
      <c r="K1688" s="17" t="n">
        <v>1</v>
      </c>
      <c r="L1688" s="17" t="n">
        <v>1</v>
      </c>
      <c r="M1688" s="17" t="n">
        <v>1</v>
      </c>
      <c r="N1688" s="17" t="n">
        <v>1</v>
      </c>
      <c r="O1688" s="17" t="n">
        <v>1</v>
      </c>
      <c r="P1688" s="17" t="n">
        <v>1</v>
      </c>
      <c r="Q1688" s="17" t="n">
        <v>1</v>
      </c>
      <c r="R1688" s="17" t="n">
        <v>1</v>
      </c>
      <c r="T1688" s="17">
        <f>DAY(C1688)</f>
        <v/>
      </c>
      <c r="U1688" s="17">
        <f>MONTH(C1688)</f>
        <v/>
      </c>
    </row>
    <row r="1689" ht="22.5" customHeight="1" s="117">
      <c r="A1689" s="14" t="n">
        <v>46069.29147947916</v>
      </c>
      <c r="B1689" s="17" t="inlineStr">
        <is>
          <t>Nguyễn Văn Hiệp</t>
        </is>
      </c>
      <c r="C1689" s="16" t="n">
        <v>46068</v>
      </c>
      <c r="D1689" s="17" t="n">
        <v>0</v>
      </c>
      <c r="E1689" s="17" t="n">
        <v>0</v>
      </c>
      <c r="F1689" s="17" t="n">
        <v>0</v>
      </c>
      <c r="G1689" s="17" t="n">
        <v>0</v>
      </c>
      <c r="H1689" s="17" t="n">
        <v>0</v>
      </c>
      <c r="I1689" s="17" t="n">
        <v>0</v>
      </c>
      <c r="J1689" s="17" t="n">
        <v>0</v>
      </c>
      <c r="K1689" s="17" t="n">
        <v>0</v>
      </c>
      <c r="L1689" s="17" t="n">
        <v>0</v>
      </c>
      <c r="M1689" s="17" t="n">
        <v>0</v>
      </c>
      <c r="N1689" s="17" t="n">
        <v>0</v>
      </c>
      <c r="O1689" s="17" t="n">
        <v>0</v>
      </c>
      <c r="P1689" s="17" t="n">
        <v>9</v>
      </c>
      <c r="Q1689" s="17" t="n">
        <v>1</v>
      </c>
      <c r="R1689" s="17" t="n">
        <v>0</v>
      </c>
      <c r="T1689" s="17">
        <f>DAY(C1689)</f>
        <v/>
      </c>
      <c r="U1689" s="17">
        <f>MONTH(C1689)</f>
        <v/>
      </c>
    </row>
    <row r="1690" ht="22.5" customHeight="1" s="117">
      <c r="A1690" s="14" t="n">
        <v>46069.30067754629</v>
      </c>
      <c r="B1690" s="17" t="inlineStr">
        <is>
          <t>Nguyễn Tuấn Anh</t>
        </is>
      </c>
      <c r="C1690" s="16" t="n">
        <v>46068</v>
      </c>
      <c r="D1690" s="17" t="n">
        <v>0</v>
      </c>
      <c r="E1690" s="17" t="n">
        <v>0</v>
      </c>
      <c r="F1690" s="17" t="n">
        <v>0</v>
      </c>
      <c r="G1690" s="17" t="n">
        <v>0</v>
      </c>
      <c r="H1690" s="17" t="n">
        <v>0</v>
      </c>
      <c r="I1690" s="17" t="n">
        <v>1</v>
      </c>
      <c r="J1690" s="17" t="n">
        <v>0</v>
      </c>
      <c r="K1690" s="17" t="n">
        <v>15</v>
      </c>
      <c r="L1690" s="17" t="n">
        <v>0</v>
      </c>
      <c r="M1690" s="17" t="n">
        <v>0</v>
      </c>
      <c r="N1690" s="17" t="n">
        <v>0</v>
      </c>
      <c r="O1690" s="17" t="n">
        <v>0</v>
      </c>
      <c r="P1690" s="17" t="n">
        <v>0</v>
      </c>
      <c r="Q1690" s="17" t="n">
        <v>2</v>
      </c>
      <c r="R1690" s="17" t="n">
        <v>0</v>
      </c>
      <c r="T1690" s="17">
        <f>DAY(C1690)</f>
        <v/>
      </c>
      <c r="U1690" s="17">
        <f>MONTH(C1690)</f>
        <v/>
      </c>
    </row>
    <row r="1691" ht="22.5" customHeight="1" s="117">
      <c r="A1691" s="14" t="n">
        <v>46069.31594065972</v>
      </c>
      <c r="B1691" s="17" t="inlineStr">
        <is>
          <t>Trần Trung Giang</t>
        </is>
      </c>
      <c r="C1691" s="16" t="n">
        <v>46068</v>
      </c>
      <c r="D1691" s="17" t="n">
        <v>0</v>
      </c>
      <c r="E1691" s="17" t="n">
        <v>0</v>
      </c>
      <c r="F1691" s="17" t="n">
        <v>0</v>
      </c>
      <c r="G1691" s="17" t="n">
        <v>0</v>
      </c>
      <c r="H1691" s="17" t="n">
        <v>0</v>
      </c>
      <c r="I1691" s="17" t="n">
        <v>0</v>
      </c>
      <c r="J1691" s="17" t="n">
        <v>0</v>
      </c>
      <c r="K1691" s="17" t="n">
        <v>0</v>
      </c>
      <c r="L1691" s="17" t="n">
        <v>0</v>
      </c>
      <c r="M1691" s="17" t="n">
        <v>0</v>
      </c>
      <c r="N1691" s="17" t="n">
        <v>0</v>
      </c>
      <c r="O1691" s="17" t="n">
        <v>0</v>
      </c>
      <c r="P1691" s="17" t="n">
        <v>0</v>
      </c>
      <c r="Q1691" s="17" t="n">
        <v>1</v>
      </c>
      <c r="R1691" s="17" t="n">
        <v>0</v>
      </c>
      <c r="T1691" s="17">
        <f>DAY(C1691)</f>
        <v/>
      </c>
      <c r="U1691" s="17">
        <f>MONTH(C1691)</f>
        <v/>
      </c>
    </row>
    <row r="1692" ht="22.5" customHeight="1" s="117">
      <c r="A1692" s="14" t="n">
        <v>46069.33427366898</v>
      </c>
      <c r="B1692" s="17" t="inlineStr">
        <is>
          <t>Nguyễn Quang Anh Tuấn</t>
        </is>
      </c>
      <c r="C1692" s="16" t="n">
        <v>46068</v>
      </c>
      <c r="D1692" s="17" t="n">
        <v>0</v>
      </c>
      <c r="E1692" s="17" t="n">
        <v>0</v>
      </c>
      <c r="F1692" s="17" t="n">
        <v>0</v>
      </c>
      <c r="G1692" s="17" t="n">
        <v>0</v>
      </c>
      <c r="H1692" s="17" t="n">
        <v>0</v>
      </c>
      <c r="I1692" s="17" t="n">
        <v>0</v>
      </c>
      <c r="J1692" s="17" t="n">
        <v>0</v>
      </c>
      <c r="K1692" s="17" t="n">
        <v>4</v>
      </c>
      <c r="L1692" s="17" t="n">
        <v>0</v>
      </c>
      <c r="M1692" s="17" t="n">
        <v>0</v>
      </c>
      <c r="N1692" s="17" t="n">
        <v>0</v>
      </c>
      <c r="O1692" s="17" t="n">
        <v>0</v>
      </c>
      <c r="P1692" s="17" t="n">
        <v>0</v>
      </c>
      <c r="Q1692" s="17" t="n">
        <v>0</v>
      </c>
      <c r="R1692" s="17" t="n">
        <v>0</v>
      </c>
      <c r="T1692" s="17">
        <f>DAY(C1692)</f>
        <v/>
      </c>
      <c r="U1692" s="17">
        <f>MONTH(C1692)</f>
        <v/>
      </c>
    </row>
    <row r="1693" ht="22.5" customHeight="1" s="117">
      <c r="A1693" s="14" t="n">
        <v>46069.33567967593</v>
      </c>
      <c r="B1693" s="17" t="inlineStr">
        <is>
          <t>Đặng Hoài Anh</t>
        </is>
      </c>
      <c r="C1693" s="16" t="n">
        <v>46068</v>
      </c>
      <c r="D1693" s="17" t="n">
        <v>0</v>
      </c>
      <c r="E1693" s="17" t="n">
        <v>0</v>
      </c>
      <c r="F1693" s="17" t="n">
        <v>0</v>
      </c>
      <c r="G1693" s="17" t="n">
        <v>0</v>
      </c>
      <c r="H1693" s="17" t="n">
        <v>0</v>
      </c>
      <c r="I1693" s="17" t="n">
        <v>0</v>
      </c>
      <c r="J1693" s="17" t="n">
        <v>0</v>
      </c>
      <c r="K1693" s="17" t="n">
        <v>0</v>
      </c>
      <c r="L1693" s="17" t="n">
        <v>0</v>
      </c>
      <c r="M1693" s="17" t="n">
        <v>0</v>
      </c>
      <c r="N1693" s="17" t="n">
        <v>0</v>
      </c>
      <c r="O1693" s="17" t="n">
        <v>0</v>
      </c>
      <c r="P1693" s="17" t="n">
        <v>0</v>
      </c>
      <c r="Q1693" s="17" t="n">
        <v>0</v>
      </c>
      <c r="R1693" s="17" t="n">
        <v>0</v>
      </c>
      <c r="T1693" s="17">
        <f>DAY(C1693)</f>
        <v/>
      </c>
      <c r="U1693" s="17">
        <f>MONTH(C1693)</f>
        <v/>
      </c>
    </row>
    <row r="1694" ht="22.5" customHeight="1" s="117">
      <c r="A1694" s="14" t="n">
        <v>46069.36835053241</v>
      </c>
      <c r="B1694" s="17" t="inlineStr">
        <is>
          <t>Nguyễn Hồng Minh</t>
        </is>
      </c>
      <c r="C1694" s="16" t="n">
        <v>46068</v>
      </c>
      <c r="D1694" s="17" t="n">
        <v>1</v>
      </c>
      <c r="E1694" s="17" t="n">
        <v>1</v>
      </c>
      <c r="F1694" s="17" t="n">
        <v>1</v>
      </c>
      <c r="G1694" s="17" t="n">
        <v>0</v>
      </c>
      <c r="H1694" s="17" t="n">
        <v>0</v>
      </c>
      <c r="I1694" s="17" t="n">
        <v>0</v>
      </c>
      <c r="J1694" s="17" t="n">
        <v>0</v>
      </c>
      <c r="K1694" s="17" t="n">
        <v>30</v>
      </c>
      <c r="L1694" s="17" t="n">
        <v>0</v>
      </c>
      <c r="M1694" s="17" t="n">
        <v>1</v>
      </c>
      <c r="N1694" s="17" t="n">
        <v>0</v>
      </c>
      <c r="O1694" s="17" t="n">
        <v>0</v>
      </c>
      <c r="P1694" s="17" t="n">
        <v>0</v>
      </c>
      <c r="Q1694" s="17" t="n">
        <v>4</v>
      </c>
      <c r="R1694" s="17" t="n">
        <v>0</v>
      </c>
      <c r="T1694" s="17">
        <f>DAY(C1694)</f>
        <v/>
      </c>
      <c r="U1694" s="17">
        <f>MONTH(C1694)</f>
        <v/>
      </c>
    </row>
    <row r="1695" ht="22.5" customHeight="1" s="117">
      <c r="A1695" s="14" t="n">
        <v>46070.30867965278</v>
      </c>
      <c r="B1695" s="17" t="inlineStr">
        <is>
          <t>Nguyễn Văn Hiệp</t>
        </is>
      </c>
      <c r="C1695" s="16" t="n">
        <v>46069</v>
      </c>
      <c r="D1695" s="17" t="n">
        <v>0</v>
      </c>
      <c r="E1695" s="17" t="n">
        <v>0</v>
      </c>
      <c r="F1695" s="17" t="n">
        <v>0</v>
      </c>
      <c r="G1695" s="17" t="n">
        <v>0</v>
      </c>
      <c r="H1695" s="17" t="n">
        <v>0</v>
      </c>
      <c r="I1695" s="17" t="n">
        <v>1</v>
      </c>
      <c r="J1695" s="17" t="n">
        <v>0</v>
      </c>
      <c r="K1695" s="17" t="n">
        <v>0</v>
      </c>
      <c r="L1695" s="17" t="n">
        <v>0</v>
      </c>
      <c r="M1695" s="17" t="n">
        <v>0</v>
      </c>
      <c r="N1695" s="17" t="n">
        <v>0</v>
      </c>
      <c r="O1695" s="17" t="n">
        <v>0</v>
      </c>
      <c r="P1695" s="17" t="n">
        <v>0</v>
      </c>
      <c r="Q1695" s="17" t="n">
        <v>2</v>
      </c>
      <c r="R1695" s="17" t="n">
        <v>0</v>
      </c>
      <c r="T1695" s="17">
        <f>DAY(C1695)</f>
        <v/>
      </c>
      <c r="U1695" s="17">
        <f>MONTH(C1695)</f>
        <v/>
      </c>
    </row>
    <row r="1696" ht="22.5" customHeight="1" s="117">
      <c r="A1696" s="14" t="n">
        <v>46070.43179667824</v>
      </c>
      <c r="B1696" s="17" t="inlineStr">
        <is>
          <t>Trần Trung Giang</t>
        </is>
      </c>
      <c r="C1696" s="16" t="n">
        <v>46069</v>
      </c>
      <c r="D1696" s="17" t="n">
        <v>0</v>
      </c>
      <c r="E1696" s="17" t="n">
        <v>0</v>
      </c>
      <c r="F1696" s="17" t="n">
        <v>0</v>
      </c>
      <c r="G1696" s="17" t="n">
        <v>0</v>
      </c>
      <c r="H1696" s="17" t="n">
        <v>0</v>
      </c>
      <c r="I1696" s="17" t="n">
        <v>0</v>
      </c>
      <c r="J1696" s="17" t="n">
        <v>0</v>
      </c>
      <c r="K1696" s="17" t="n">
        <v>0</v>
      </c>
      <c r="L1696" s="17" t="n">
        <v>0</v>
      </c>
      <c r="M1696" s="17" t="n">
        <v>0</v>
      </c>
      <c r="N1696" s="17" t="n">
        <v>0</v>
      </c>
      <c r="O1696" s="17" t="n">
        <v>0</v>
      </c>
      <c r="P1696" s="17" t="n">
        <v>0</v>
      </c>
      <c r="Q1696" s="17" t="n">
        <v>0</v>
      </c>
      <c r="R1696" s="17" t="n">
        <v>0</v>
      </c>
      <c r="T1696" s="17">
        <f>DAY(C1696)</f>
        <v/>
      </c>
      <c r="U1696" s="17">
        <f>MONTH(C1696)</f>
        <v/>
      </c>
    </row>
    <row r="1697" ht="22.5" customHeight="1" s="117">
      <c r="A1697" s="14" t="n">
        <v>46071.54370976852</v>
      </c>
      <c r="B1697" s="17" t="inlineStr">
        <is>
          <t>Trần Trung Giang</t>
        </is>
      </c>
      <c r="C1697" s="16" t="n">
        <v>46070</v>
      </c>
      <c r="D1697" s="17" t="n">
        <v>0</v>
      </c>
      <c r="E1697" s="17" t="n">
        <v>0</v>
      </c>
      <c r="F1697" s="17" t="n">
        <v>0</v>
      </c>
      <c r="G1697" s="17" t="n">
        <v>0</v>
      </c>
      <c r="H1697" s="17" t="n">
        <v>0</v>
      </c>
      <c r="I1697" s="17" t="n">
        <v>0</v>
      </c>
      <c r="J1697" s="17" t="n">
        <v>0</v>
      </c>
      <c r="K1697" s="17" t="n">
        <v>0</v>
      </c>
      <c r="L1697" s="17" t="n">
        <v>0</v>
      </c>
      <c r="M1697" s="17" t="n">
        <v>0</v>
      </c>
      <c r="N1697" s="17" t="n">
        <v>0</v>
      </c>
      <c r="O1697" s="17" t="n">
        <v>0</v>
      </c>
      <c r="P1697" s="17" t="n">
        <v>0</v>
      </c>
      <c r="Q1697" s="17" t="n">
        <v>0</v>
      </c>
      <c r="R1697" s="17" t="n">
        <v>0</v>
      </c>
      <c r="T1697" s="17">
        <f>DAY(C1697)</f>
        <v/>
      </c>
      <c r="U1697" s="17">
        <f>MONTH(C1697)</f>
        <v/>
      </c>
    </row>
    <row r="1698" ht="22.5" customHeight="1" s="117">
      <c r="A1698" s="14" t="n">
        <v>46073.360626875</v>
      </c>
      <c r="B1698" s="17" t="inlineStr">
        <is>
          <t>Trần Trung Giang</t>
        </is>
      </c>
      <c r="C1698" s="16" t="n">
        <v>46072</v>
      </c>
      <c r="D1698" s="17" t="n">
        <v>0</v>
      </c>
      <c r="E1698" s="17" t="n">
        <v>0</v>
      </c>
      <c r="F1698" s="17" t="n">
        <v>0</v>
      </c>
      <c r="G1698" s="17" t="n">
        <v>0</v>
      </c>
      <c r="H1698" s="17" t="n">
        <v>0</v>
      </c>
      <c r="I1698" s="17" t="n">
        <v>0</v>
      </c>
      <c r="J1698" s="17" t="n">
        <v>0</v>
      </c>
      <c r="K1698" s="17" t="n">
        <v>0</v>
      </c>
      <c r="L1698" s="17" t="n">
        <v>0</v>
      </c>
      <c r="M1698" s="17" t="n">
        <v>0</v>
      </c>
      <c r="N1698" s="17" t="n">
        <v>0</v>
      </c>
      <c r="O1698" s="17" t="n">
        <v>0</v>
      </c>
      <c r="P1698" s="17" t="n">
        <v>0</v>
      </c>
      <c r="Q1698" s="17" t="n">
        <v>1</v>
      </c>
      <c r="R1698" s="17" t="n">
        <v>0</v>
      </c>
      <c r="T1698" s="17">
        <f>DAY(C1698)</f>
        <v/>
      </c>
      <c r="U1698" s="17">
        <f>MONTH(C1698)</f>
        <v/>
      </c>
    </row>
    <row r="1699" ht="22.5" customHeight="1" s="117">
      <c r="A1699" s="14" t="n">
        <v>46074.3470641551</v>
      </c>
      <c r="B1699" s="17" t="inlineStr">
        <is>
          <t>Trần Trung Giang</t>
        </is>
      </c>
      <c r="C1699" s="16" t="n">
        <v>46073</v>
      </c>
      <c r="D1699" s="17" t="n">
        <v>0</v>
      </c>
      <c r="E1699" s="17" t="n">
        <v>0</v>
      </c>
      <c r="F1699" s="17" t="n">
        <v>0</v>
      </c>
      <c r="G1699" s="17" t="n">
        <v>0</v>
      </c>
      <c r="H1699" s="17" t="n">
        <v>0</v>
      </c>
      <c r="I1699" s="17" t="n">
        <v>0</v>
      </c>
      <c r="J1699" s="17" t="n">
        <v>0</v>
      </c>
      <c r="K1699" s="17" t="n">
        <v>0</v>
      </c>
      <c r="L1699" s="17" t="n">
        <v>0</v>
      </c>
      <c r="M1699" s="17" t="n">
        <v>0</v>
      </c>
      <c r="N1699" s="17" t="n">
        <v>0</v>
      </c>
      <c r="O1699" s="17" t="n">
        <v>0</v>
      </c>
      <c r="P1699" s="17" t="n">
        <v>0</v>
      </c>
      <c r="Q1699" s="17" t="n">
        <v>1</v>
      </c>
      <c r="R1699" s="17" t="n">
        <v>0</v>
      </c>
      <c r="T1699" s="17">
        <f>DAY(C1699)</f>
        <v/>
      </c>
      <c r="U1699" s="17">
        <f>MONTH(C1699)</f>
        <v/>
      </c>
    </row>
    <row r="1700" ht="22.5" customHeight="1" s="117">
      <c r="A1700" s="14" t="n">
        <v>46075.30860127315</v>
      </c>
      <c r="B1700" s="17" t="inlineStr">
        <is>
          <t>Nguyễn Tuấn Anh</t>
        </is>
      </c>
      <c r="C1700" s="16" t="n">
        <v>46074</v>
      </c>
      <c r="D1700" s="17" t="n">
        <v>0</v>
      </c>
      <c r="E1700" s="17" t="n">
        <v>0</v>
      </c>
      <c r="F1700" s="17" t="n">
        <v>0</v>
      </c>
      <c r="G1700" s="17" t="n">
        <v>0</v>
      </c>
      <c r="H1700" s="17" t="n">
        <v>0</v>
      </c>
      <c r="I1700" s="17" t="n">
        <v>0</v>
      </c>
      <c r="J1700" s="17" t="n">
        <v>0</v>
      </c>
      <c r="K1700" s="17" t="n">
        <v>2</v>
      </c>
      <c r="L1700" s="17" t="n">
        <v>0</v>
      </c>
      <c r="M1700" s="17" t="n">
        <v>0</v>
      </c>
      <c r="N1700" s="17" t="n">
        <v>0</v>
      </c>
      <c r="O1700" s="17" t="n">
        <v>0</v>
      </c>
      <c r="P1700" s="17" t="n">
        <v>0</v>
      </c>
      <c r="Q1700" s="17" t="n">
        <v>2</v>
      </c>
      <c r="R1700" s="17" t="n">
        <v>0</v>
      </c>
      <c r="T1700" s="17">
        <f>DAY(C1700)</f>
        <v/>
      </c>
      <c r="U1700" s="17">
        <f>MONTH(C1700)</f>
        <v/>
      </c>
    </row>
    <row r="1701" ht="22.5" customHeight="1" s="117">
      <c r="A1701" s="14" t="n">
        <v>46075.38433688657</v>
      </c>
      <c r="B1701" s="17" t="inlineStr">
        <is>
          <t>Trần Trung Giang</t>
        </is>
      </c>
      <c r="C1701" s="16" t="n">
        <v>46074</v>
      </c>
      <c r="D1701" s="17" t="n">
        <v>0</v>
      </c>
      <c r="E1701" s="17" t="n">
        <v>0</v>
      </c>
      <c r="F1701" s="17" t="n">
        <v>0</v>
      </c>
      <c r="G1701" s="17" t="n">
        <v>0</v>
      </c>
      <c r="H1701" s="17" t="n">
        <v>0</v>
      </c>
      <c r="I1701" s="17" t="n">
        <v>0</v>
      </c>
      <c r="J1701" s="17" t="n">
        <v>0</v>
      </c>
      <c r="K1701" s="17" t="n">
        <v>0</v>
      </c>
      <c r="L1701" s="17" t="n">
        <v>0</v>
      </c>
      <c r="M1701" s="17" t="n">
        <v>0</v>
      </c>
      <c r="N1701" s="17" t="n">
        <v>0</v>
      </c>
      <c r="O1701" s="17" t="n">
        <v>0</v>
      </c>
      <c r="P1701" s="17" t="n">
        <v>0</v>
      </c>
      <c r="Q1701" s="17" t="n">
        <v>0</v>
      </c>
      <c r="R1701" s="17" t="n">
        <v>0</v>
      </c>
      <c r="T1701" s="17">
        <f>DAY(C1701)</f>
        <v/>
      </c>
      <c r="U1701" s="17">
        <f>MONTH(C1701)</f>
        <v/>
      </c>
    </row>
    <row r="1702" ht="22.5" customHeight="1" s="117">
      <c r="A1702" s="14" t="n">
        <v>46076.31114751157</v>
      </c>
      <c r="B1702" s="17" t="inlineStr">
        <is>
          <t>Nguyễn Tuấn Anh</t>
        </is>
      </c>
      <c r="C1702" s="16" t="n">
        <v>46075</v>
      </c>
      <c r="D1702" s="17" t="n">
        <v>1</v>
      </c>
      <c r="E1702" s="17" t="n">
        <v>1</v>
      </c>
      <c r="F1702" s="17" t="n">
        <v>0</v>
      </c>
      <c r="G1702" s="17" t="n">
        <v>0</v>
      </c>
      <c r="H1702" s="17" t="n">
        <v>0</v>
      </c>
      <c r="I1702" s="17" t="n">
        <v>1</v>
      </c>
      <c r="J1702" s="17" t="n">
        <v>0</v>
      </c>
      <c r="K1702" s="17" t="n">
        <v>2</v>
      </c>
      <c r="L1702" s="17" t="n">
        <v>0</v>
      </c>
      <c r="M1702" s="17" t="n">
        <v>0</v>
      </c>
      <c r="N1702" s="17" t="n">
        <v>2</v>
      </c>
      <c r="O1702" s="17" t="n">
        <v>0</v>
      </c>
      <c r="P1702" s="17" t="n">
        <v>0</v>
      </c>
      <c r="Q1702" s="17" t="n">
        <v>2</v>
      </c>
      <c r="R1702" s="17" t="n">
        <v>0</v>
      </c>
      <c r="T1702" s="17">
        <f>DAY(C1702)</f>
        <v/>
      </c>
      <c r="U1702" s="17">
        <f>MONTH(C1702)</f>
        <v/>
      </c>
    </row>
    <row r="1703" ht="22.5" customHeight="1" s="117">
      <c r="A1703" s="14" t="n">
        <v>46076.31753134259</v>
      </c>
      <c r="B1703" s="17" t="inlineStr">
        <is>
          <t>Trần Trung Giang</t>
        </is>
      </c>
      <c r="C1703" s="16" t="n">
        <v>46075</v>
      </c>
      <c r="D1703" s="17" t="n">
        <v>0</v>
      </c>
      <c r="E1703" s="17" t="n">
        <v>0</v>
      </c>
      <c r="F1703" s="17" t="n">
        <v>0</v>
      </c>
      <c r="G1703" s="17" t="n">
        <v>0</v>
      </c>
      <c r="H1703" s="17" t="n">
        <v>0</v>
      </c>
      <c r="I1703" s="17" t="n">
        <v>0</v>
      </c>
      <c r="J1703" s="17" t="n">
        <v>0</v>
      </c>
      <c r="K1703" s="17" t="n">
        <v>0</v>
      </c>
      <c r="L1703" s="17" t="n">
        <v>0</v>
      </c>
      <c r="M1703" s="17" t="n">
        <v>0</v>
      </c>
      <c r="N1703" s="17" t="n">
        <v>0</v>
      </c>
      <c r="O1703" s="17" t="n">
        <v>0</v>
      </c>
      <c r="P1703" s="17" t="n">
        <v>0</v>
      </c>
      <c r="Q1703" s="17" t="n">
        <v>1</v>
      </c>
      <c r="R1703" s="17" t="n">
        <v>0</v>
      </c>
      <c r="T1703" s="17">
        <f>DAY(C1703)</f>
        <v/>
      </c>
      <c r="U1703" s="17">
        <f>MONTH(C1703)</f>
        <v/>
      </c>
    </row>
    <row r="1704" ht="22.5" customHeight="1" s="117">
      <c r="A1704" s="14" t="n">
        <v>46076.32474851852</v>
      </c>
      <c r="B1704" s="17" t="inlineStr">
        <is>
          <t>Nguyễn Văn Hiệp</t>
        </is>
      </c>
      <c r="C1704" s="16" t="n">
        <v>46075</v>
      </c>
      <c r="D1704" s="17" t="n">
        <v>0</v>
      </c>
      <c r="E1704" s="17" t="n">
        <v>0</v>
      </c>
      <c r="F1704" s="17" t="n">
        <v>0</v>
      </c>
      <c r="G1704" s="17" t="n">
        <v>0</v>
      </c>
      <c r="H1704" s="17" t="n">
        <v>0</v>
      </c>
      <c r="I1704" s="17" t="n">
        <v>0</v>
      </c>
      <c r="J1704" s="17" t="n">
        <v>0</v>
      </c>
      <c r="K1704" s="17" t="n">
        <v>6</v>
      </c>
      <c r="L1704" s="17" t="n">
        <v>0</v>
      </c>
      <c r="M1704" s="17" t="n">
        <v>0</v>
      </c>
      <c r="N1704" s="17" t="n">
        <v>0</v>
      </c>
      <c r="O1704" s="17" t="n">
        <v>0</v>
      </c>
      <c r="P1704" s="17" t="n">
        <v>0</v>
      </c>
      <c r="Q1704" s="17" t="n">
        <v>0</v>
      </c>
      <c r="R1704" s="17" t="n">
        <v>0</v>
      </c>
      <c r="T1704" s="17">
        <f>DAY(C1704)</f>
        <v/>
      </c>
      <c r="U1704" s="17">
        <f>MONTH(C1704)</f>
        <v/>
      </c>
    </row>
    <row r="1705" ht="22.5" customHeight="1" s="117">
      <c r="A1705" s="14" t="n">
        <v>46076.32539121528</v>
      </c>
      <c r="B1705" s="17" t="inlineStr">
        <is>
          <t>Đặng Hoài Anh</t>
        </is>
      </c>
      <c r="C1705" s="16" t="n">
        <v>46075</v>
      </c>
      <c r="D1705" s="17" t="n">
        <v>0</v>
      </c>
      <c r="E1705" s="17" t="n">
        <v>0</v>
      </c>
      <c r="F1705" s="17" t="n">
        <v>0</v>
      </c>
      <c r="G1705" s="17" t="n">
        <v>0</v>
      </c>
      <c r="H1705" s="17" t="n">
        <v>0</v>
      </c>
      <c r="I1705" s="17" t="n">
        <v>0</v>
      </c>
      <c r="J1705" s="17" t="n">
        <v>0</v>
      </c>
      <c r="K1705" s="17" t="n">
        <v>0</v>
      </c>
      <c r="L1705" s="17" t="n">
        <v>0</v>
      </c>
      <c r="M1705" s="17" t="n">
        <v>0</v>
      </c>
      <c r="N1705" s="17" t="n">
        <v>0</v>
      </c>
      <c r="O1705" s="17" t="n">
        <v>0</v>
      </c>
      <c r="P1705" s="17" t="n">
        <v>0</v>
      </c>
      <c r="Q1705" s="17" t="n">
        <v>1</v>
      </c>
      <c r="R1705" s="17" t="n">
        <v>0</v>
      </c>
      <c r="T1705" s="17">
        <f>DAY(C1705)</f>
        <v/>
      </c>
      <c r="U1705" s="17">
        <f>MONTH(C1705)</f>
        <v/>
      </c>
    </row>
    <row r="1706" ht="22.5" customHeight="1" s="117">
      <c r="A1706" s="14" t="n">
        <v>46076.32852793981</v>
      </c>
      <c r="B1706" s="17" t="inlineStr">
        <is>
          <t>Huỳnh Văn Lực</t>
        </is>
      </c>
      <c r="C1706" s="16" t="n">
        <v>46075</v>
      </c>
      <c r="D1706" s="17" t="n">
        <v>0</v>
      </c>
      <c r="E1706" s="17" t="n">
        <v>0</v>
      </c>
      <c r="F1706" s="17" t="n">
        <v>0</v>
      </c>
      <c r="G1706" s="17" t="n">
        <v>0</v>
      </c>
      <c r="H1706" s="17" t="n">
        <v>0</v>
      </c>
      <c r="I1706" s="17" t="n">
        <v>0</v>
      </c>
      <c r="J1706" s="17" t="n">
        <v>0</v>
      </c>
      <c r="K1706" s="17" t="n">
        <v>0</v>
      </c>
      <c r="L1706" s="17" t="n">
        <v>0</v>
      </c>
      <c r="M1706" s="17" t="n">
        <v>0</v>
      </c>
      <c r="N1706" s="17" t="n">
        <v>0</v>
      </c>
      <c r="O1706" s="17" t="n">
        <v>0</v>
      </c>
      <c r="P1706" s="17" t="n">
        <v>0</v>
      </c>
      <c r="Q1706" s="17" t="n">
        <v>1</v>
      </c>
      <c r="R1706" s="17" t="n">
        <v>0</v>
      </c>
      <c r="T1706" s="17">
        <f>DAY(C1706)</f>
        <v/>
      </c>
      <c r="U1706" s="17">
        <f>MONTH(C1706)</f>
        <v/>
      </c>
    </row>
    <row r="1707" ht="22.5" customHeight="1" s="117">
      <c r="A1707" s="14" t="n">
        <v>46076.32914273148</v>
      </c>
      <c r="B1707" s="17" t="inlineStr">
        <is>
          <t>Nguyễn Quang Anh Tuấn</t>
        </is>
      </c>
      <c r="C1707" s="16" t="n">
        <v>46075</v>
      </c>
      <c r="D1707" s="17" t="n">
        <v>0</v>
      </c>
      <c r="E1707" s="17" t="n">
        <v>0</v>
      </c>
      <c r="F1707" s="17" t="n">
        <v>0</v>
      </c>
      <c r="G1707" s="17" t="n">
        <v>0</v>
      </c>
      <c r="H1707" s="17" t="n">
        <v>0</v>
      </c>
      <c r="I1707" s="17" t="n">
        <v>0</v>
      </c>
      <c r="J1707" s="17" t="n">
        <v>0</v>
      </c>
      <c r="K1707" s="17" t="n">
        <v>0</v>
      </c>
      <c r="L1707" s="17" t="n">
        <v>0</v>
      </c>
      <c r="M1707" s="17" t="n">
        <v>0</v>
      </c>
      <c r="N1707" s="17" t="n">
        <v>0</v>
      </c>
      <c r="O1707" s="17" t="n">
        <v>0</v>
      </c>
      <c r="P1707" s="17" t="n">
        <v>0</v>
      </c>
      <c r="Q1707" s="17" t="n">
        <v>2</v>
      </c>
      <c r="R1707" s="17" t="n">
        <v>0</v>
      </c>
      <c r="T1707" s="17">
        <f>DAY(C1707)</f>
        <v/>
      </c>
      <c r="U1707" s="17">
        <f>MONTH(C1707)</f>
        <v/>
      </c>
    </row>
    <row r="1708" ht="22.5" customHeight="1" s="117">
      <c r="A1708" s="14" t="n">
        <v>46077.28245549768</v>
      </c>
      <c r="B1708" s="17" t="inlineStr">
        <is>
          <t>Huỳnh Văn Lực</t>
        </is>
      </c>
      <c r="C1708" s="16" t="n">
        <v>46076</v>
      </c>
      <c r="D1708" s="17" t="n">
        <v>0</v>
      </c>
      <c r="E1708" s="17" t="n">
        <v>0</v>
      </c>
      <c r="F1708" s="17" t="n">
        <v>0</v>
      </c>
      <c r="G1708" s="17" t="n">
        <v>0</v>
      </c>
      <c r="H1708" s="17" t="n">
        <v>0</v>
      </c>
      <c r="I1708" s="17" t="n">
        <v>0</v>
      </c>
      <c r="J1708" s="17" t="n">
        <v>0</v>
      </c>
      <c r="K1708" s="17" t="n">
        <v>0</v>
      </c>
      <c r="L1708" s="17" t="n">
        <v>0</v>
      </c>
      <c r="M1708" s="17" t="n">
        <v>0</v>
      </c>
      <c r="N1708" s="17" t="n">
        <v>0</v>
      </c>
      <c r="O1708" s="17" t="n">
        <v>0</v>
      </c>
      <c r="P1708" s="17" t="n">
        <v>0</v>
      </c>
      <c r="Q1708" s="17" t="n">
        <v>0</v>
      </c>
      <c r="R1708" s="17" t="n">
        <v>0</v>
      </c>
      <c r="T1708" s="17">
        <f>DAY(C1708)</f>
        <v/>
      </c>
      <c r="U1708" s="17">
        <f>MONTH(C1708)</f>
        <v/>
      </c>
    </row>
    <row r="1709" ht="22.5" customHeight="1" s="117">
      <c r="A1709" s="14" t="n">
        <v>46077.29444438657</v>
      </c>
      <c r="B1709" s="17" t="inlineStr">
        <is>
          <t>Nguyễn Văn Hiệp</t>
        </is>
      </c>
      <c r="C1709" s="16" t="n">
        <v>46076</v>
      </c>
      <c r="D1709" s="17" t="n">
        <v>0</v>
      </c>
      <c r="E1709" s="17" t="n">
        <v>0</v>
      </c>
      <c r="F1709" s="17" t="n">
        <v>0</v>
      </c>
      <c r="G1709" s="17" t="n">
        <v>0</v>
      </c>
      <c r="H1709" s="17" t="n">
        <v>0</v>
      </c>
      <c r="I1709" s="17" t="n">
        <v>0</v>
      </c>
      <c r="J1709" s="17" t="n">
        <v>0</v>
      </c>
      <c r="K1709" s="17" t="n">
        <v>12</v>
      </c>
      <c r="L1709" s="17" t="n">
        <v>0</v>
      </c>
      <c r="M1709" s="17" t="n">
        <v>0</v>
      </c>
      <c r="N1709" s="17" t="n">
        <v>0</v>
      </c>
      <c r="O1709" s="17" t="n">
        <v>0</v>
      </c>
      <c r="P1709" s="17" t="n">
        <v>0</v>
      </c>
      <c r="Q1709" s="17" t="n">
        <v>0</v>
      </c>
      <c r="R1709" s="17" t="n">
        <v>0</v>
      </c>
      <c r="T1709" s="17">
        <f>DAY(C1709)</f>
        <v/>
      </c>
      <c r="U1709" s="17">
        <f>MONTH(C1709)</f>
        <v/>
      </c>
    </row>
    <row r="1710" ht="22.5" customHeight="1" s="117">
      <c r="A1710" s="14" t="n">
        <v>46077.2954108449</v>
      </c>
      <c r="B1710" s="17" t="inlineStr">
        <is>
          <t>Nguyễn Quang Anh Tuấn</t>
        </is>
      </c>
      <c r="C1710" s="16" t="n">
        <v>46076</v>
      </c>
      <c r="D1710" s="17" t="n">
        <v>0</v>
      </c>
      <c r="E1710" s="17" t="n">
        <v>0</v>
      </c>
      <c r="F1710" s="17" t="n">
        <v>0</v>
      </c>
      <c r="G1710" s="17" t="n">
        <v>1</v>
      </c>
      <c r="H1710" s="17" t="n">
        <v>1</v>
      </c>
      <c r="I1710" s="17" t="n">
        <v>0</v>
      </c>
      <c r="J1710" s="17" t="n">
        <v>0</v>
      </c>
      <c r="K1710" s="17" t="n">
        <v>4</v>
      </c>
      <c r="L1710" s="17" t="n">
        <v>0</v>
      </c>
      <c r="M1710" s="17" t="n">
        <v>0</v>
      </c>
      <c r="N1710" s="17" t="n">
        <v>0</v>
      </c>
      <c r="O1710" s="17" t="n">
        <v>0</v>
      </c>
      <c r="P1710" s="17" t="n">
        <v>0</v>
      </c>
      <c r="Q1710" s="17" t="n">
        <v>4</v>
      </c>
      <c r="R1710" s="17" t="n">
        <v>0</v>
      </c>
      <c r="T1710" s="17">
        <f>DAY(C1710)</f>
        <v/>
      </c>
      <c r="U1710" s="17">
        <f>MONTH(C1710)</f>
        <v/>
      </c>
    </row>
    <row r="1711" ht="22.5" customHeight="1" s="117">
      <c r="A1711" s="14" t="n">
        <v>46077.29879658564</v>
      </c>
      <c r="B1711" s="17" t="inlineStr">
        <is>
          <t>Trần Trung Giang</t>
        </is>
      </c>
      <c r="C1711" s="16" t="n">
        <v>46076</v>
      </c>
      <c r="D1711" s="17" t="n">
        <v>0</v>
      </c>
      <c r="E1711" s="17" t="n">
        <v>0</v>
      </c>
      <c r="F1711" s="17" t="n">
        <v>0</v>
      </c>
      <c r="G1711" s="17" t="n">
        <v>0</v>
      </c>
      <c r="H1711" s="17" t="n">
        <v>0</v>
      </c>
      <c r="I1711" s="17" t="n">
        <v>0</v>
      </c>
      <c r="J1711" s="17" t="n">
        <v>0</v>
      </c>
      <c r="K1711" s="17" t="n">
        <v>0</v>
      </c>
      <c r="L1711" s="17" t="n">
        <v>0</v>
      </c>
      <c r="M1711" s="17" t="n">
        <v>0</v>
      </c>
      <c r="N1711" s="17" t="n">
        <v>0</v>
      </c>
      <c r="O1711" s="17" t="n">
        <v>0</v>
      </c>
      <c r="P1711" s="17" t="n">
        <v>2</v>
      </c>
      <c r="Q1711" s="17" t="n">
        <v>3</v>
      </c>
      <c r="R1711" s="17" t="n">
        <v>0</v>
      </c>
      <c r="T1711" s="17">
        <f>DAY(C1711)</f>
        <v/>
      </c>
      <c r="U1711" s="17">
        <f>MONTH(C1711)</f>
        <v/>
      </c>
    </row>
    <row r="1712" ht="22.5" customHeight="1" s="117">
      <c r="A1712" s="14" t="n">
        <v>46077.30224078704</v>
      </c>
      <c r="B1712" s="17" t="inlineStr">
        <is>
          <t>Đặng Hoài Anh</t>
        </is>
      </c>
      <c r="C1712" s="16" t="n">
        <v>46076</v>
      </c>
      <c r="D1712" s="17" t="n">
        <v>0</v>
      </c>
      <c r="E1712" s="17" t="n">
        <v>0</v>
      </c>
      <c r="F1712" s="17" t="n">
        <v>0</v>
      </c>
      <c r="G1712" s="17" t="n">
        <v>0</v>
      </c>
      <c r="H1712" s="17" t="n">
        <v>0</v>
      </c>
      <c r="I1712" s="17" t="n">
        <v>0</v>
      </c>
      <c r="J1712" s="17" t="n">
        <v>0</v>
      </c>
      <c r="K1712" s="17" t="n">
        <v>10</v>
      </c>
      <c r="L1712" s="17" t="n">
        <v>0</v>
      </c>
      <c r="M1712" s="17" t="n">
        <v>0</v>
      </c>
      <c r="N1712" s="17" t="n">
        <v>1</v>
      </c>
      <c r="O1712" s="17" t="n">
        <v>0</v>
      </c>
      <c r="P1712" s="17" t="n">
        <v>1</v>
      </c>
      <c r="Q1712" s="17" t="n">
        <v>1</v>
      </c>
      <c r="R1712" s="17" t="n">
        <v>0</v>
      </c>
      <c r="T1712" s="17">
        <f>DAY(C1712)</f>
        <v/>
      </c>
      <c r="U1712" s="17">
        <f>MONTH(C1712)</f>
        <v/>
      </c>
    </row>
    <row r="1713" ht="22.5" customHeight="1" s="117">
      <c r="A1713" s="14" t="n">
        <v>46077.31118586806</v>
      </c>
      <c r="B1713" s="17" t="inlineStr">
        <is>
          <t>Nguyễn Tuấn Anh</t>
        </is>
      </c>
      <c r="C1713" s="16" t="n">
        <v>46076</v>
      </c>
      <c r="D1713" s="17" t="n">
        <v>0</v>
      </c>
      <c r="E1713" s="17" t="n">
        <v>0</v>
      </c>
      <c r="F1713" s="17" t="n">
        <v>0</v>
      </c>
      <c r="G1713" s="17" t="n">
        <v>0</v>
      </c>
      <c r="H1713" s="17" t="n">
        <v>0</v>
      </c>
      <c r="I1713" s="17" t="n">
        <v>2</v>
      </c>
      <c r="J1713" s="17" t="n">
        <v>0</v>
      </c>
      <c r="K1713" s="17" t="n">
        <v>2</v>
      </c>
      <c r="L1713" s="17" t="n">
        <v>0</v>
      </c>
      <c r="M1713" s="17" t="n">
        <v>0</v>
      </c>
      <c r="N1713" s="17" t="n">
        <v>2</v>
      </c>
      <c r="O1713" s="17" t="n">
        <v>0</v>
      </c>
      <c r="P1713" s="17" t="n">
        <v>0</v>
      </c>
      <c r="Q1713" s="17" t="n">
        <v>2</v>
      </c>
      <c r="R1713" s="17" t="n">
        <v>0</v>
      </c>
      <c r="T1713" s="17">
        <f>DAY(C1713)</f>
        <v/>
      </c>
      <c r="U1713" s="17">
        <f>MONTH(C1713)</f>
        <v/>
      </c>
    </row>
    <row r="1714" ht="22.5" customHeight="1" s="117">
      <c r="A1714" s="14" t="n">
        <v>46078.28129715277</v>
      </c>
      <c r="B1714" s="17" t="inlineStr">
        <is>
          <t>Nguyễn Văn Hiệp</t>
        </is>
      </c>
      <c r="C1714" s="16" t="n">
        <v>46077</v>
      </c>
      <c r="D1714" s="17" t="n">
        <v>0</v>
      </c>
      <c r="E1714" s="17" t="n">
        <v>0</v>
      </c>
      <c r="F1714" s="17" t="n">
        <v>0</v>
      </c>
      <c r="G1714" s="17" t="n">
        <v>0</v>
      </c>
      <c r="H1714" s="17" t="n">
        <v>0</v>
      </c>
      <c r="I1714" s="17" t="n">
        <v>0</v>
      </c>
      <c r="J1714" s="17" t="n">
        <v>0</v>
      </c>
      <c r="K1714" s="17" t="n">
        <v>2</v>
      </c>
      <c r="L1714" s="17" t="n">
        <v>0</v>
      </c>
      <c r="M1714" s="17" t="n">
        <v>0</v>
      </c>
      <c r="N1714" s="17" t="n">
        <v>0</v>
      </c>
      <c r="O1714" s="17" t="n">
        <v>0</v>
      </c>
      <c r="P1714" s="17" t="n">
        <v>1</v>
      </c>
      <c r="Q1714" s="17" t="n">
        <v>0</v>
      </c>
      <c r="R1714" s="17" t="n">
        <v>0</v>
      </c>
      <c r="T1714" s="17">
        <f>DAY(C1714)</f>
        <v/>
      </c>
      <c r="U1714" s="17">
        <f>MONTH(C1714)</f>
        <v/>
      </c>
    </row>
    <row r="1715" ht="22.5" customHeight="1" s="117">
      <c r="A1715" s="14" t="n">
        <v>46078.29432695602</v>
      </c>
      <c r="B1715" s="17" t="inlineStr">
        <is>
          <t>Trần Trung Giang</t>
        </is>
      </c>
      <c r="C1715" s="16" t="n">
        <v>46077</v>
      </c>
      <c r="D1715" s="17" t="n">
        <v>0</v>
      </c>
      <c r="E1715" s="17" t="n">
        <v>0</v>
      </c>
      <c r="F1715" s="17" t="n">
        <v>0</v>
      </c>
      <c r="G1715" s="17" t="n">
        <v>0</v>
      </c>
      <c r="H1715" s="17" t="n">
        <v>0</v>
      </c>
      <c r="I1715" s="17" t="n">
        <v>0</v>
      </c>
      <c r="J1715" s="17" t="n">
        <v>0</v>
      </c>
      <c r="K1715" s="17" t="n">
        <v>0</v>
      </c>
      <c r="L1715" s="17" t="n">
        <v>0</v>
      </c>
      <c r="M1715" s="17" t="n">
        <v>0</v>
      </c>
      <c r="N1715" s="17" t="n">
        <v>0</v>
      </c>
      <c r="O1715" s="17" t="n">
        <v>0</v>
      </c>
      <c r="P1715" s="17" t="n">
        <v>1</v>
      </c>
      <c r="Q1715" s="17" t="n">
        <v>0</v>
      </c>
      <c r="R1715" s="17" t="n">
        <v>0</v>
      </c>
      <c r="T1715" s="17">
        <f>DAY(C1715)</f>
        <v/>
      </c>
      <c r="U1715" s="17">
        <f>MONTH(C1715)</f>
        <v/>
      </c>
    </row>
    <row r="1716" ht="22.5" customHeight="1" s="117">
      <c r="A1716" s="14" t="n">
        <v>46078.29541861111</v>
      </c>
      <c r="B1716" s="17" t="inlineStr">
        <is>
          <t>Huỳnh Văn Lực</t>
        </is>
      </c>
      <c r="C1716" s="16" t="n">
        <v>46077</v>
      </c>
      <c r="D1716" s="17" t="n">
        <v>0</v>
      </c>
      <c r="E1716" s="17" t="n">
        <v>0</v>
      </c>
      <c r="F1716" s="17" t="n">
        <v>0</v>
      </c>
      <c r="G1716" s="17" t="n">
        <v>0</v>
      </c>
      <c r="H1716" s="17" t="n">
        <v>0</v>
      </c>
      <c r="I1716" s="17" t="n">
        <v>0</v>
      </c>
      <c r="J1716" s="17" t="n">
        <v>0</v>
      </c>
      <c r="K1716" s="17" t="n">
        <v>1</v>
      </c>
      <c r="L1716" s="17" t="n">
        <v>0</v>
      </c>
      <c r="M1716" s="17" t="n">
        <v>0</v>
      </c>
      <c r="N1716" s="17" t="n">
        <v>0</v>
      </c>
      <c r="O1716" s="17" t="n">
        <v>0</v>
      </c>
      <c r="P1716" s="17" t="n">
        <v>3</v>
      </c>
      <c r="Q1716" s="17" t="n">
        <v>0</v>
      </c>
      <c r="R1716" s="17" t="n">
        <v>2</v>
      </c>
      <c r="T1716" s="17">
        <f>DAY(C1716)</f>
        <v/>
      </c>
      <c r="U1716" s="17">
        <f>MONTH(C1716)</f>
        <v/>
      </c>
    </row>
    <row r="1717" ht="22.5" customHeight="1" s="117">
      <c r="A1717" s="14" t="n">
        <v>46078.29661431713</v>
      </c>
      <c r="B1717" s="17" t="inlineStr">
        <is>
          <t>Nguyễn Quang Anh Tuấn</t>
        </is>
      </c>
      <c r="C1717" s="16" t="n">
        <v>46077</v>
      </c>
      <c r="D1717" s="17" t="n">
        <v>0</v>
      </c>
      <c r="E1717" s="17" t="n">
        <v>0</v>
      </c>
      <c r="F1717" s="17" t="n">
        <v>0</v>
      </c>
      <c r="G1717" s="17" t="n">
        <v>0</v>
      </c>
      <c r="H1717" s="17" t="n">
        <v>0</v>
      </c>
      <c r="I1717" s="17" t="n">
        <v>0</v>
      </c>
      <c r="J1717" s="17" t="n">
        <v>0</v>
      </c>
      <c r="K1717" s="17" t="n">
        <v>0</v>
      </c>
      <c r="L1717" s="17" t="n">
        <v>0</v>
      </c>
      <c r="M1717" s="17" t="n">
        <v>0</v>
      </c>
      <c r="N1717" s="17" t="n">
        <v>1</v>
      </c>
      <c r="O1717" s="17" t="n">
        <v>0</v>
      </c>
      <c r="P1717" s="17" t="n">
        <v>0</v>
      </c>
      <c r="Q1717" s="17" t="n">
        <v>2</v>
      </c>
      <c r="R1717" s="17" t="n">
        <v>0</v>
      </c>
      <c r="T1717" s="17">
        <f>DAY(C1717)</f>
        <v/>
      </c>
      <c r="U1717" s="17">
        <f>MONTH(C1717)</f>
        <v/>
      </c>
    </row>
    <row r="1718" ht="22.5" customHeight="1" s="117">
      <c r="A1718" s="14" t="n">
        <v>46078.30226652777</v>
      </c>
      <c r="B1718" s="17" t="inlineStr">
        <is>
          <t>Đặng Hoài Anh</t>
        </is>
      </c>
      <c r="C1718" s="16" t="n">
        <v>46077</v>
      </c>
      <c r="D1718" s="17" t="n">
        <v>0</v>
      </c>
      <c r="E1718" s="17" t="n">
        <v>0</v>
      </c>
      <c r="F1718" s="17" t="n">
        <v>0</v>
      </c>
      <c r="G1718" s="17" t="n">
        <v>0</v>
      </c>
      <c r="H1718" s="17" t="n">
        <v>0</v>
      </c>
      <c r="I1718" s="17" t="n">
        <v>0</v>
      </c>
      <c r="J1718" s="17" t="n">
        <v>0</v>
      </c>
      <c r="K1718" s="17" t="n">
        <v>0</v>
      </c>
      <c r="L1718" s="17" t="n">
        <v>0</v>
      </c>
      <c r="M1718" s="17" t="n">
        <v>0</v>
      </c>
      <c r="N1718" s="17" t="n">
        <v>0</v>
      </c>
      <c r="O1718" s="17" t="n">
        <v>0</v>
      </c>
      <c r="P1718" s="17" t="n">
        <v>0</v>
      </c>
      <c r="Q1718" s="17" t="n">
        <v>0</v>
      </c>
      <c r="R1718" s="17" t="n">
        <v>0</v>
      </c>
      <c r="T1718" s="17">
        <f>DAY(C1718)</f>
        <v/>
      </c>
      <c r="U1718" s="17">
        <f>MONTH(C1718)</f>
        <v/>
      </c>
    </row>
    <row r="1719" ht="22.5" customHeight="1" s="117">
      <c r="A1719" s="14" t="n">
        <v>46078.30794190972</v>
      </c>
      <c r="B1719" s="17" t="inlineStr">
        <is>
          <t>Nguyễn Tuấn Anh</t>
        </is>
      </c>
      <c r="C1719" s="16" t="n">
        <v>46077</v>
      </c>
      <c r="D1719" s="17" t="n">
        <v>0</v>
      </c>
      <c r="E1719" s="17" t="n">
        <v>0</v>
      </c>
      <c r="F1719" s="17" t="n">
        <v>0</v>
      </c>
      <c r="G1719" s="17" t="n">
        <v>0</v>
      </c>
      <c r="H1719" s="17" t="n">
        <v>0</v>
      </c>
      <c r="I1719" s="17" t="n">
        <v>2</v>
      </c>
      <c r="J1719" s="17" t="n">
        <v>0</v>
      </c>
      <c r="K1719" s="17" t="n">
        <v>2</v>
      </c>
      <c r="L1719" s="17" t="n">
        <v>0</v>
      </c>
      <c r="M1719" s="17" t="n">
        <v>0</v>
      </c>
      <c r="N1719" s="17" t="n">
        <v>2</v>
      </c>
      <c r="O1719" s="17" t="n">
        <v>0</v>
      </c>
      <c r="P1719" s="17" t="n">
        <v>2</v>
      </c>
      <c r="Q1719" s="17" t="n">
        <v>2</v>
      </c>
      <c r="R1719" s="17" t="n">
        <v>0</v>
      </c>
      <c r="T1719" s="17">
        <f>DAY(C1719)</f>
        <v/>
      </c>
      <c r="U1719" s="17">
        <f>MONTH(C1719)</f>
        <v/>
      </c>
    </row>
    <row r="1720" ht="22.5" customHeight="1" s="117">
      <c r="A1720" s="14" t="n">
        <v>46079.30068214121</v>
      </c>
      <c r="B1720" s="17" t="inlineStr">
        <is>
          <t>Huỳnh Văn Lực</t>
        </is>
      </c>
      <c r="C1720" s="16" t="n">
        <v>46078</v>
      </c>
      <c r="D1720" s="17" t="n">
        <v>0</v>
      </c>
      <c r="E1720" s="17" t="n">
        <v>0</v>
      </c>
      <c r="F1720" s="17" t="n">
        <v>0</v>
      </c>
      <c r="G1720" s="17" t="n">
        <v>0</v>
      </c>
      <c r="H1720" s="17" t="n">
        <v>0</v>
      </c>
      <c r="I1720" s="17" t="n">
        <v>0</v>
      </c>
      <c r="J1720" s="17" t="n">
        <v>0</v>
      </c>
      <c r="K1720" s="17" t="n">
        <v>0</v>
      </c>
      <c r="L1720" s="17" t="n">
        <v>0</v>
      </c>
      <c r="M1720" s="17" t="n">
        <v>0</v>
      </c>
      <c r="N1720" s="17" t="n">
        <v>0</v>
      </c>
      <c r="O1720" s="17" t="n">
        <v>0</v>
      </c>
      <c r="P1720" s="17" t="n">
        <v>0</v>
      </c>
      <c r="Q1720" s="17" t="n">
        <v>0</v>
      </c>
      <c r="R1720" s="17" t="n">
        <v>0</v>
      </c>
      <c r="T1720" s="17">
        <f>DAY(C1720)</f>
        <v/>
      </c>
      <c r="U1720" s="17">
        <f>MONTH(C1720)</f>
        <v/>
      </c>
    </row>
    <row r="1721" ht="22.5" customHeight="1" s="117">
      <c r="A1721" s="14" t="n">
        <v>46079.30278516204</v>
      </c>
      <c r="B1721" s="17" t="inlineStr">
        <is>
          <t>Trần Trung Giang</t>
        </is>
      </c>
      <c r="C1721" s="16" t="n">
        <v>46078</v>
      </c>
      <c r="D1721" s="17" t="n">
        <v>0</v>
      </c>
      <c r="E1721" s="17" t="n">
        <v>0</v>
      </c>
      <c r="F1721" s="17" t="n">
        <v>0</v>
      </c>
      <c r="G1721" s="17" t="n">
        <v>0</v>
      </c>
      <c r="H1721" s="17" t="n">
        <v>0</v>
      </c>
      <c r="I1721" s="17" t="n">
        <v>0</v>
      </c>
      <c r="J1721" s="17" t="n">
        <v>0</v>
      </c>
      <c r="K1721" s="17" t="n">
        <v>0</v>
      </c>
      <c r="L1721" s="17" t="n">
        <v>0</v>
      </c>
      <c r="M1721" s="17" t="n">
        <v>0</v>
      </c>
      <c r="N1721" s="17" t="n">
        <v>0</v>
      </c>
      <c r="O1721" s="17" t="n">
        <v>0</v>
      </c>
      <c r="P1721" s="17" t="n">
        <v>1</v>
      </c>
      <c r="Q1721" s="17" t="n">
        <v>0</v>
      </c>
      <c r="R1721" s="17" t="n">
        <v>0</v>
      </c>
      <c r="T1721" s="17">
        <f>DAY(C1721)</f>
        <v/>
      </c>
      <c r="U1721" s="17">
        <f>MONTH(C1721)</f>
        <v/>
      </c>
    </row>
    <row r="1722" ht="22.5" customHeight="1" s="117">
      <c r="A1722" s="14" t="n">
        <v>46079.30424493056</v>
      </c>
      <c r="B1722" s="17" t="inlineStr">
        <is>
          <t>Nguyễn Văn Hiệp</t>
        </is>
      </c>
      <c r="C1722" s="16" t="n">
        <v>46078</v>
      </c>
      <c r="D1722" s="17" t="n">
        <v>0</v>
      </c>
      <c r="E1722" s="17" t="n">
        <v>0</v>
      </c>
      <c r="F1722" s="17" t="n">
        <v>0</v>
      </c>
      <c r="G1722" s="17" t="n">
        <v>0</v>
      </c>
      <c r="H1722" s="17" t="n">
        <v>0</v>
      </c>
      <c r="I1722" s="17" t="n">
        <v>0</v>
      </c>
      <c r="J1722" s="17" t="n">
        <v>0</v>
      </c>
      <c r="K1722" s="17" t="n">
        <v>1</v>
      </c>
      <c r="L1722" s="17" t="n">
        <v>0</v>
      </c>
      <c r="M1722" s="17" t="n">
        <v>0</v>
      </c>
      <c r="N1722" s="17" t="n">
        <v>0</v>
      </c>
      <c r="O1722" s="17" t="n">
        <v>0</v>
      </c>
      <c r="P1722" s="17" t="n">
        <v>0</v>
      </c>
      <c r="Q1722" s="17" t="n">
        <v>1</v>
      </c>
      <c r="R1722" s="17" t="n">
        <v>0</v>
      </c>
      <c r="T1722" s="17">
        <f>DAY(C1722)</f>
        <v/>
      </c>
      <c r="U1722" s="17">
        <f>MONTH(C1722)</f>
        <v/>
      </c>
    </row>
    <row r="1723" ht="22.5" customHeight="1" s="117">
      <c r="A1723" s="14" t="n">
        <v>46079.30480689815</v>
      </c>
      <c r="B1723" s="17" t="inlineStr">
        <is>
          <t>Nguyễn Quang Anh Tuấn</t>
        </is>
      </c>
      <c r="C1723" s="16" t="n">
        <v>46078</v>
      </c>
      <c r="D1723" s="17" t="n">
        <v>1</v>
      </c>
      <c r="E1723" s="17" t="n">
        <v>0</v>
      </c>
      <c r="F1723" s="17" t="n">
        <v>0</v>
      </c>
      <c r="G1723" s="17" t="n">
        <v>0</v>
      </c>
      <c r="H1723" s="17" t="n">
        <v>0</v>
      </c>
      <c r="I1723" s="17" t="n">
        <v>0</v>
      </c>
      <c r="J1723" s="17" t="n">
        <v>0</v>
      </c>
      <c r="K1723" s="17" t="n">
        <v>4</v>
      </c>
      <c r="L1723" s="17" t="n">
        <v>0</v>
      </c>
      <c r="M1723" s="17" t="n">
        <v>1</v>
      </c>
      <c r="N1723" s="17" t="n">
        <v>0</v>
      </c>
      <c r="O1723" s="17" t="n">
        <v>0</v>
      </c>
      <c r="P1723" s="17" t="n">
        <v>0</v>
      </c>
      <c r="Q1723" s="17" t="n">
        <v>2</v>
      </c>
      <c r="R1723" s="17" t="n">
        <v>0</v>
      </c>
      <c r="T1723" s="17">
        <f>DAY(C1723)</f>
        <v/>
      </c>
      <c r="U1723" s="17">
        <f>MONTH(C1723)</f>
        <v/>
      </c>
    </row>
    <row r="1724" ht="22.5" customHeight="1" s="117">
      <c r="A1724" s="14" t="n">
        <v>46079.30643236111</v>
      </c>
      <c r="B1724" s="17" t="inlineStr">
        <is>
          <t>Đặng Hoài Anh</t>
        </is>
      </c>
      <c r="C1724" s="16" t="n">
        <v>46078</v>
      </c>
      <c r="D1724" s="17" t="n">
        <v>0</v>
      </c>
      <c r="E1724" s="17" t="n">
        <v>0</v>
      </c>
      <c r="F1724" s="17" t="n">
        <v>0</v>
      </c>
      <c r="G1724" s="17" t="n">
        <v>0</v>
      </c>
      <c r="H1724" s="17" t="n">
        <v>0</v>
      </c>
      <c r="I1724" s="17" t="n">
        <v>0</v>
      </c>
      <c r="J1724" s="17" t="n">
        <v>0</v>
      </c>
      <c r="K1724" s="17" t="n">
        <v>4</v>
      </c>
      <c r="L1724" s="17" t="n">
        <v>0</v>
      </c>
      <c r="M1724" s="17" t="n">
        <v>0</v>
      </c>
      <c r="N1724" s="17" t="n">
        <v>0</v>
      </c>
      <c r="O1724" s="17" t="n">
        <v>0</v>
      </c>
      <c r="P1724" s="17" t="n">
        <v>0</v>
      </c>
      <c r="Q1724" s="17" t="n">
        <v>1</v>
      </c>
      <c r="R1724" s="17" t="n">
        <v>0</v>
      </c>
      <c r="T1724" s="17">
        <f>DAY(C1724)</f>
        <v/>
      </c>
      <c r="U1724" s="17">
        <f>MONTH(C1724)</f>
        <v/>
      </c>
    </row>
    <row r="1725" ht="22.5" customHeight="1" s="117">
      <c r="A1725" s="14" t="n">
        <v>46079.3147553588</v>
      </c>
      <c r="B1725" s="17" t="inlineStr">
        <is>
          <t>Nguyễn Tuấn Anh</t>
        </is>
      </c>
      <c r="C1725" s="16" t="n">
        <v>46078</v>
      </c>
      <c r="D1725" s="17" t="n">
        <v>1</v>
      </c>
      <c r="E1725" s="17" t="n">
        <v>0</v>
      </c>
      <c r="F1725" s="17" t="n">
        <v>1</v>
      </c>
      <c r="G1725" s="17" t="n">
        <v>0</v>
      </c>
      <c r="H1725" s="17" t="n">
        <v>0</v>
      </c>
      <c r="I1725" s="17" t="n">
        <v>2</v>
      </c>
      <c r="J1725" s="17" t="n">
        <v>0</v>
      </c>
      <c r="K1725" s="17" t="n">
        <v>2</v>
      </c>
      <c r="L1725" s="17" t="n">
        <v>0</v>
      </c>
      <c r="M1725" s="17" t="n">
        <v>0</v>
      </c>
      <c r="N1725" s="17" t="n">
        <v>2</v>
      </c>
      <c r="O1725" s="17" t="n">
        <v>0</v>
      </c>
      <c r="P1725" s="17" t="n">
        <v>0</v>
      </c>
      <c r="Q1725" s="17" t="n">
        <v>2</v>
      </c>
      <c r="R1725" s="17" t="n">
        <v>0</v>
      </c>
      <c r="T1725" s="17">
        <f>DAY(C1725)</f>
        <v/>
      </c>
      <c r="U1725" s="17">
        <f>MONTH(C1725)</f>
        <v/>
      </c>
    </row>
    <row r="1726" ht="22.5" customHeight="1" s="117">
      <c r="A1726" s="14" t="n">
        <v>46080.28292795139</v>
      </c>
      <c r="B1726" s="17" t="inlineStr">
        <is>
          <t>Huỳnh Văn Lực</t>
        </is>
      </c>
      <c r="C1726" s="16" t="n">
        <v>46079</v>
      </c>
      <c r="D1726" s="17" t="n">
        <v>0</v>
      </c>
      <c r="E1726" s="17" t="n">
        <v>0</v>
      </c>
      <c r="F1726" s="17" t="n">
        <v>0</v>
      </c>
      <c r="G1726" s="17" t="n">
        <v>0</v>
      </c>
      <c r="H1726" s="17" t="n">
        <v>0</v>
      </c>
      <c r="I1726" s="17" t="n">
        <v>0</v>
      </c>
      <c r="J1726" s="17" t="n">
        <v>0</v>
      </c>
      <c r="K1726" s="17" t="n">
        <v>2</v>
      </c>
      <c r="L1726" s="17" t="n">
        <v>0</v>
      </c>
      <c r="M1726" s="17" t="n">
        <v>0</v>
      </c>
      <c r="N1726" s="17" t="n">
        <v>0</v>
      </c>
      <c r="O1726" s="17" t="n">
        <v>0</v>
      </c>
      <c r="P1726" s="17" t="n">
        <v>0</v>
      </c>
      <c r="Q1726" s="17" t="n">
        <v>0</v>
      </c>
      <c r="R1726" s="17" t="n">
        <v>0</v>
      </c>
      <c r="T1726" s="17">
        <f>DAY(C1726)</f>
        <v/>
      </c>
      <c r="U1726" s="17">
        <f>MONTH(C1726)</f>
        <v/>
      </c>
    </row>
    <row r="1727" ht="22.5" customHeight="1" s="117">
      <c r="A1727" s="14" t="n">
        <v>46080.28845054398</v>
      </c>
      <c r="B1727" s="17" t="inlineStr">
        <is>
          <t>Nguyễn Văn Hiệp</t>
        </is>
      </c>
      <c r="C1727" s="16" t="n">
        <v>46079</v>
      </c>
      <c r="D1727" s="17" t="n">
        <v>0</v>
      </c>
      <c r="E1727" s="17" t="n">
        <v>0</v>
      </c>
      <c r="F1727" s="17" t="n">
        <v>0</v>
      </c>
      <c r="G1727" s="17" t="n">
        <v>0</v>
      </c>
      <c r="H1727" s="17" t="n">
        <v>0</v>
      </c>
      <c r="I1727" s="17" t="n">
        <v>0</v>
      </c>
      <c r="J1727" s="17" t="n">
        <v>0</v>
      </c>
      <c r="K1727" s="17" t="n">
        <v>3</v>
      </c>
      <c r="L1727" s="17" t="n">
        <v>0</v>
      </c>
      <c r="M1727" s="17" t="n">
        <v>5</v>
      </c>
      <c r="N1727" s="17" t="n">
        <v>0</v>
      </c>
      <c r="O1727" s="17" t="n">
        <v>0</v>
      </c>
      <c r="P1727" s="17" t="n">
        <v>0</v>
      </c>
      <c r="Q1727" s="17" t="n">
        <v>0</v>
      </c>
      <c r="R1727" s="17" t="n">
        <v>0</v>
      </c>
      <c r="T1727" s="17">
        <f>DAY(C1727)</f>
        <v/>
      </c>
      <c r="U1727" s="17">
        <f>MONTH(C1727)</f>
        <v/>
      </c>
    </row>
    <row r="1728" ht="22.5" customHeight="1" s="117">
      <c r="A1728" s="14" t="n">
        <v>46080.28968070602</v>
      </c>
      <c r="B1728" s="17" t="inlineStr">
        <is>
          <t>Nguyễn Quang Anh Tuấn</t>
        </is>
      </c>
      <c r="C1728" s="16" t="n">
        <v>46079</v>
      </c>
      <c r="D1728" s="17" t="n">
        <v>0</v>
      </c>
      <c r="E1728" s="17" t="n">
        <v>0</v>
      </c>
      <c r="F1728" s="17" t="n">
        <v>0</v>
      </c>
      <c r="G1728" s="17" t="n">
        <v>0</v>
      </c>
      <c r="H1728" s="17" t="n">
        <v>0</v>
      </c>
      <c r="I1728" s="17" t="n">
        <v>0</v>
      </c>
      <c r="J1728" s="17" t="n">
        <v>0</v>
      </c>
      <c r="K1728" s="17" t="n">
        <v>0</v>
      </c>
      <c r="L1728" s="17" t="n">
        <v>0</v>
      </c>
      <c r="M1728" s="17" t="n">
        <v>0</v>
      </c>
      <c r="N1728" s="17" t="n">
        <v>0</v>
      </c>
      <c r="O1728" s="17" t="n">
        <v>0</v>
      </c>
      <c r="P1728" s="17" t="n">
        <v>1</v>
      </c>
      <c r="Q1728" s="17" t="n">
        <v>1</v>
      </c>
      <c r="R1728" s="17" t="n">
        <v>0</v>
      </c>
      <c r="T1728" s="17">
        <f>DAY(C1728)</f>
        <v/>
      </c>
      <c r="U1728" s="17">
        <f>MONTH(C1728)</f>
        <v/>
      </c>
    </row>
    <row r="1729" ht="22.5" customHeight="1" s="117">
      <c r="A1729" s="14" t="n">
        <v>46080.29421351852</v>
      </c>
      <c r="B1729" s="17" t="inlineStr">
        <is>
          <t>Đặng Hoài Anh</t>
        </is>
      </c>
      <c r="C1729" s="16" t="n">
        <v>46079</v>
      </c>
      <c r="D1729" s="17" t="n">
        <v>0</v>
      </c>
      <c r="E1729" s="17" t="n">
        <v>0</v>
      </c>
      <c r="F1729" s="17" t="n">
        <v>0</v>
      </c>
      <c r="G1729" s="17" t="n">
        <v>0</v>
      </c>
      <c r="H1729" s="17" t="n">
        <v>0</v>
      </c>
      <c r="I1729" s="17" t="n">
        <v>0</v>
      </c>
      <c r="J1729" s="17" t="n">
        <v>0</v>
      </c>
      <c r="K1729" s="17" t="n">
        <v>5</v>
      </c>
      <c r="L1729" s="17" t="n">
        <v>0</v>
      </c>
      <c r="M1729" s="17" t="n">
        <v>0</v>
      </c>
      <c r="N1729" s="17" t="n">
        <v>0</v>
      </c>
      <c r="O1729" s="17" t="n">
        <v>0</v>
      </c>
      <c r="P1729" s="17" t="n">
        <v>0</v>
      </c>
      <c r="Q1729" s="17" t="n">
        <v>1</v>
      </c>
      <c r="R1729" s="17" t="n">
        <v>0</v>
      </c>
      <c r="T1729" s="17">
        <f>DAY(C1729)</f>
        <v/>
      </c>
      <c r="U1729" s="17">
        <f>MONTH(C1729)</f>
        <v/>
      </c>
    </row>
    <row r="1730" ht="22.5" customHeight="1" s="117">
      <c r="A1730" s="14" t="n">
        <v>46080.29936604167</v>
      </c>
      <c r="B1730" s="17" t="inlineStr">
        <is>
          <t>Trần Trung Giang</t>
        </is>
      </c>
      <c r="C1730" s="16" t="n">
        <v>46079</v>
      </c>
      <c r="D1730" s="17" t="n">
        <v>0</v>
      </c>
      <c r="E1730" s="17" t="n">
        <v>0</v>
      </c>
      <c r="F1730" s="17" t="n">
        <v>0</v>
      </c>
      <c r="G1730" s="17" t="n">
        <v>0</v>
      </c>
      <c r="H1730" s="17" t="n">
        <v>0</v>
      </c>
      <c r="I1730" s="17" t="n">
        <v>0</v>
      </c>
      <c r="J1730" s="17" t="n">
        <v>0</v>
      </c>
      <c r="K1730" s="17" t="n">
        <v>0</v>
      </c>
      <c r="L1730" s="17" t="n">
        <v>0</v>
      </c>
      <c r="M1730" s="17" t="n">
        <v>0</v>
      </c>
      <c r="N1730" s="17" t="n">
        <v>0</v>
      </c>
      <c r="O1730" s="17" t="n">
        <v>0</v>
      </c>
      <c r="P1730" s="17" t="n">
        <v>1</v>
      </c>
      <c r="Q1730" s="17" t="n">
        <v>1</v>
      </c>
      <c r="R1730" s="17" t="n">
        <v>0</v>
      </c>
      <c r="T1730" s="17">
        <f>DAY(C1730)</f>
        <v/>
      </c>
      <c r="U1730" s="17">
        <f>MONTH(C1730)</f>
        <v/>
      </c>
    </row>
    <row r="1731" ht="22.5" customHeight="1" s="117">
      <c r="A1731" s="14" t="n">
        <v>46080.30030532408</v>
      </c>
      <c r="B1731" s="17" t="inlineStr">
        <is>
          <t>Nguyễn Tuấn Anh</t>
        </is>
      </c>
      <c r="C1731" s="16" t="n">
        <v>46079</v>
      </c>
      <c r="D1731" s="17" t="n">
        <v>1</v>
      </c>
      <c r="E1731" s="17" t="n">
        <v>1</v>
      </c>
      <c r="F1731" s="17" t="n">
        <v>1</v>
      </c>
      <c r="G1731" s="17" t="n">
        <v>0</v>
      </c>
      <c r="H1731" s="17" t="n">
        <v>0</v>
      </c>
      <c r="I1731" s="17" t="n">
        <v>2</v>
      </c>
      <c r="J1731" s="17" t="n">
        <v>0</v>
      </c>
      <c r="K1731" s="17" t="n">
        <v>2</v>
      </c>
      <c r="L1731" s="17" t="n">
        <v>0</v>
      </c>
      <c r="M1731" s="17" t="n">
        <v>0</v>
      </c>
      <c r="N1731" s="17" t="n">
        <v>0</v>
      </c>
      <c r="O1731" s="17" t="n">
        <v>0</v>
      </c>
      <c r="P1731" s="17" t="n">
        <v>0</v>
      </c>
      <c r="Q1731" s="17" t="n">
        <v>5</v>
      </c>
      <c r="R1731" s="17" t="n">
        <v>0</v>
      </c>
      <c r="T1731" s="17">
        <f>DAY(C1731)</f>
        <v/>
      </c>
      <c r="U1731" s="17">
        <f>MONTH(C1731)</f>
        <v/>
      </c>
    </row>
    <row r="1732" ht="22.5" customHeight="1" s="117">
      <c r="A1732" s="14" t="n">
        <v>46081.29841246528</v>
      </c>
      <c r="B1732" s="17" t="inlineStr">
        <is>
          <t>Đặng Hoài Anh</t>
        </is>
      </c>
      <c r="C1732" s="16" t="n">
        <v>46080</v>
      </c>
      <c r="D1732" s="17" t="n">
        <v>0</v>
      </c>
      <c r="E1732" s="17" t="n">
        <v>0</v>
      </c>
      <c r="F1732" s="17" t="n">
        <v>0</v>
      </c>
      <c r="G1732" s="17" t="n">
        <v>0</v>
      </c>
      <c r="H1732" s="17" t="n">
        <v>0</v>
      </c>
      <c r="I1732" s="17" t="n">
        <v>0</v>
      </c>
      <c r="J1732" s="17" t="n">
        <v>0</v>
      </c>
      <c r="K1732" s="17" t="n">
        <v>2</v>
      </c>
      <c r="L1732" s="17" t="n">
        <v>0</v>
      </c>
      <c r="M1732" s="17" t="n">
        <v>0</v>
      </c>
      <c r="N1732" s="17" t="n">
        <v>0</v>
      </c>
      <c r="O1732" s="17" t="n">
        <v>0</v>
      </c>
      <c r="P1732" s="17" t="n">
        <v>0</v>
      </c>
      <c r="Q1732" s="17" t="n">
        <v>0</v>
      </c>
      <c r="R1732" s="17" t="n">
        <v>0</v>
      </c>
      <c r="T1732" s="17">
        <f>DAY(C1732)</f>
        <v/>
      </c>
      <c r="U1732" s="17">
        <f>MONTH(C1732)</f>
        <v/>
      </c>
    </row>
    <row r="1733" ht="22.5" customHeight="1" s="117">
      <c r="A1733" s="14" t="n">
        <v>46081.29980475694</v>
      </c>
      <c r="B1733" s="17" t="inlineStr">
        <is>
          <t>Huỳnh Văn Lực</t>
        </is>
      </c>
      <c r="C1733" s="16" t="n">
        <v>46080</v>
      </c>
      <c r="D1733" s="17" t="n">
        <v>0</v>
      </c>
      <c r="E1733" s="17" t="n">
        <v>0</v>
      </c>
      <c r="F1733" s="17" t="n">
        <v>0</v>
      </c>
      <c r="G1733" s="17" t="n">
        <v>0</v>
      </c>
      <c r="H1733" s="17" t="n">
        <v>0</v>
      </c>
      <c r="I1733" s="17" t="n">
        <v>0</v>
      </c>
      <c r="J1733" s="17" t="n">
        <v>0</v>
      </c>
      <c r="K1733" s="17" t="n">
        <v>0</v>
      </c>
      <c r="L1733" s="17" t="n">
        <v>0</v>
      </c>
      <c r="M1733" s="17" t="n">
        <v>1</v>
      </c>
      <c r="N1733" s="17" t="n">
        <v>0</v>
      </c>
      <c r="O1733" s="17" t="n">
        <v>0</v>
      </c>
      <c r="P1733" s="17" t="n">
        <v>0</v>
      </c>
      <c r="Q1733" s="17" t="n">
        <v>0</v>
      </c>
      <c r="R1733" s="17" t="n">
        <v>0</v>
      </c>
      <c r="T1733" s="17">
        <f>DAY(C1733)</f>
        <v/>
      </c>
      <c r="U1733" s="17">
        <f>MONTH(C1733)</f>
        <v/>
      </c>
    </row>
    <row r="1734" ht="22.5" customHeight="1" s="117">
      <c r="A1734" s="14" t="n">
        <v>46081.30019331018</v>
      </c>
      <c r="B1734" s="17" t="inlineStr">
        <is>
          <t>Nguyễn Quang Anh Tuấn</t>
        </is>
      </c>
      <c r="C1734" s="16" t="n">
        <v>46080</v>
      </c>
      <c r="D1734" s="17" t="n">
        <v>0</v>
      </c>
      <c r="E1734" s="17" t="n">
        <v>0</v>
      </c>
      <c r="F1734" s="17" t="n">
        <v>0</v>
      </c>
      <c r="G1734" s="17" t="n">
        <v>1</v>
      </c>
      <c r="H1734" s="17" t="n">
        <v>0</v>
      </c>
      <c r="I1734" s="17" t="n">
        <v>0</v>
      </c>
      <c r="J1734" s="17" t="n">
        <v>0</v>
      </c>
      <c r="K1734" s="17" t="n">
        <v>7</v>
      </c>
      <c r="L1734" s="17" t="n">
        <v>7</v>
      </c>
      <c r="M1734" s="17" t="n">
        <v>0</v>
      </c>
      <c r="N1734" s="17" t="n">
        <v>1</v>
      </c>
      <c r="O1734" s="17" t="n">
        <v>0</v>
      </c>
      <c r="P1734" s="17" t="n">
        <v>0</v>
      </c>
      <c r="Q1734" s="17" t="n">
        <v>2</v>
      </c>
      <c r="R1734" s="17" t="n">
        <v>0</v>
      </c>
      <c r="T1734" s="17">
        <f>DAY(C1734)</f>
        <v/>
      </c>
      <c r="U1734" s="17">
        <f>MONTH(C1734)</f>
        <v/>
      </c>
    </row>
    <row r="1735" ht="22.5" customHeight="1" s="117">
      <c r="A1735" s="14" t="n">
        <v>46081.30032821759</v>
      </c>
      <c r="B1735" s="17" t="inlineStr">
        <is>
          <t>Nguyễn Tuấn Anh</t>
        </is>
      </c>
      <c r="C1735" s="16" t="n">
        <v>46080</v>
      </c>
      <c r="D1735" s="17" t="n">
        <v>1</v>
      </c>
      <c r="E1735" s="17" t="n">
        <v>0</v>
      </c>
      <c r="F1735" s="17" t="n">
        <v>0</v>
      </c>
      <c r="G1735" s="17" t="n">
        <v>2</v>
      </c>
      <c r="H1735" s="17" t="n">
        <v>1</v>
      </c>
      <c r="I1735" s="17" t="n">
        <v>0</v>
      </c>
      <c r="J1735" s="17" t="n">
        <v>0</v>
      </c>
      <c r="K1735" s="17" t="n">
        <v>7</v>
      </c>
      <c r="L1735" s="17" t="n">
        <v>0</v>
      </c>
      <c r="M1735" s="17" t="n">
        <v>0</v>
      </c>
      <c r="N1735" s="17" t="n">
        <v>2</v>
      </c>
      <c r="O1735" s="17" t="n">
        <v>0</v>
      </c>
      <c r="P1735" s="17" t="n">
        <v>1</v>
      </c>
      <c r="Q1735" s="17" t="n">
        <v>8</v>
      </c>
      <c r="R1735" s="17" t="n">
        <v>0</v>
      </c>
      <c r="T1735" s="17">
        <f>DAY(C1735)</f>
        <v/>
      </c>
      <c r="U1735" s="17">
        <f>MONTH(C1735)</f>
        <v/>
      </c>
    </row>
    <row r="1736" ht="22.5" customHeight="1" s="117">
      <c r="A1736" s="14" t="n">
        <v>46081.32011708333</v>
      </c>
      <c r="B1736" s="17" t="inlineStr">
        <is>
          <t>Trần Trung Giang</t>
        </is>
      </c>
      <c r="C1736" s="16" t="n">
        <v>46080</v>
      </c>
      <c r="D1736" s="17" t="n">
        <v>0</v>
      </c>
      <c r="E1736" s="17" t="n">
        <v>0</v>
      </c>
      <c r="F1736" s="17" t="n">
        <v>0</v>
      </c>
      <c r="G1736" s="17" t="n">
        <v>0</v>
      </c>
      <c r="H1736" s="17" t="n">
        <v>0</v>
      </c>
      <c r="I1736" s="17" t="n">
        <v>0</v>
      </c>
      <c r="J1736" s="17" t="n">
        <v>0</v>
      </c>
      <c r="K1736" s="17" t="n">
        <v>2</v>
      </c>
      <c r="L1736" s="17" t="n">
        <v>0</v>
      </c>
      <c r="M1736" s="17" t="n">
        <v>0</v>
      </c>
      <c r="N1736" s="17" t="n">
        <v>2</v>
      </c>
      <c r="O1736" s="17" t="n">
        <v>0</v>
      </c>
      <c r="P1736" s="17" t="n">
        <v>0</v>
      </c>
      <c r="Q1736" s="17" t="n">
        <v>0</v>
      </c>
      <c r="R1736" s="17" t="n">
        <v>0</v>
      </c>
      <c r="T1736" s="17">
        <f>DAY(C1736)</f>
        <v/>
      </c>
      <c r="U1736" s="17">
        <f>MONTH(C1736)</f>
        <v/>
      </c>
    </row>
    <row r="1737" ht="22.5" customHeight="1" s="117">
      <c r="A1737" s="14" t="n">
        <v>46081.3320109375</v>
      </c>
      <c r="B1737" s="17" t="inlineStr">
        <is>
          <t>Nguyễn Văn Hiệp</t>
        </is>
      </c>
      <c r="C1737" s="16" t="n">
        <v>46080</v>
      </c>
      <c r="D1737" s="17" t="n">
        <v>0</v>
      </c>
      <c r="E1737" s="17" t="n">
        <v>0</v>
      </c>
      <c r="F1737" s="17" t="n">
        <v>9</v>
      </c>
      <c r="G1737" s="17" t="n">
        <v>0</v>
      </c>
      <c r="H1737" s="17" t="n">
        <v>9</v>
      </c>
      <c r="I1737" s="17" t="n">
        <v>0</v>
      </c>
      <c r="J1737" s="17" t="n">
        <v>0</v>
      </c>
      <c r="K1737" s="17" t="n">
        <v>0</v>
      </c>
      <c r="L1737" s="17" t="n">
        <v>0</v>
      </c>
      <c r="M1737" s="17" t="n">
        <v>0</v>
      </c>
      <c r="N1737" s="17" t="n">
        <v>0</v>
      </c>
      <c r="O1737" s="17" t="n">
        <v>0</v>
      </c>
      <c r="P1737" s="17" t="n">
        <v>0</v>
      </c>
      <c r="Q1737" s="17" t="n">
        <v>1</v>
      </c>
      <c r="R1737" s="17" t="n">
        <v>0</v>
      </c>
      <c r="T1737" s="17">
        <f>DAY(C1737)</f>
        <v/>
      </c>
      <c r="U1737" s="17">
        <f>MONTH(C1737)</f>
        <v/>
      </c>
    </row>
    <row r="1738" ht="22.5" customHeight="1" s="117">
      <c r="A1738" s="14" t="n">
        <v>46082.31200379629</v>
      </c>
      <c r="B1738" s="17" t="inlineStr">
        <is>
          <t>Nguyễn Tuấn Anh</t>
        </is>
      </c>
      <c r="C1738" s="16" t="n">
        <v>46081</v>
      </c>
      <c r="D1738" s="17" t="n">
        <v>1</v>
      </c>
      <c r="E1738" s="17" t="n">
        <v>0</v>
      </c>
      <c r="F1738" s="17" t="n">
        <v>0</v>
      </c>
      <c r="G1738" s="17" t="n">
        <v>1</v>
      </c>
      <c r="H1738" s="17" t="n">
        <v>1</v>
      </c>
      <c r="I1738" s="17" t="n">
        <v>1</v>
      </c>
      <c r="J1738" s="17" t="n">
        <v>0</v>
      </c>
      <c r="K1738" s="17" t="n">
        <v>2</v>
      </c>
      <c r="L1738" s="17" t="n">
        <v>0</v>
      </c>
      <c r="M1738" s="17" t="n">
        <v>0</v>
      </c>
      <c r="N1738" s="17" t="n">
        <v>3</v>
      </c>
      <c r="O1738" s="17" t="n">
        <v>9</v>
      </c>
      <c r="P1738" s="17" t="n">
        <v>0</v>
      </c>
      <c r="Q1738" s="17" t="n">
        <v>5</v>
      </c>
      <c r="R1738" s="17" t="n">
        <v>0</v>
      </c>
      <c r="T1738" s="17">
        <f>DAY(C1738)</f>
        <v/>
      </c>
      <c r="U1738" s="17">
        <f>MONTH(C1738)</f>
        <v/>
      </c>
    </row>
    <row r="1739" ht="22.5" customHeight="1" s="117">
      <c r="A1739" s="14" t="n">
        <v>46082.31322450232</v>
      </c>
      <c r="B1739" s="17" t="inlineStr">
        <is>
          <t>Đặng Hoài Anh</t>
        </is>
      </c>
      <c r="C1739" s="16" t="n">
        <v>46081</v>
      </c>
      <c r="D1739" s="17" t="n">
        <v>0</v>
      </c>
      <c r="E1739" s="17" t="n">
        <v>0</v>
      </c>
      <c r="F1739" s="17" t="n">
        <v>3</v>
      </c>
      <c r="G1739" s="17" t="n">
        <v>0</v>
      </c>
      <c r="H1739" s="17" t="n">
        <v>0</v>
      </c>
      <c r="I1739" s="17" t="n">
        <v>0</v>
      </c>
      <c r="J1739" s="17" t="n">
        <v>0</v>
      </c>
      <c r="K1739" s="17" t="n">
        <v>0</v>
      </c>
      <c r="L1739" s="17" t="n">
        <v>0</v>
      </c>
      <c r="M1739" s="17" t="n">
        <v>3</v>
      </c>
      <c r="N1739" s="17" t="n">
        <v>0</v>
      </c>
      <c r="O1739" s="17" t="n">
        <v>0</v>
      </c>
      <c r="P1739" s="17" t="n">
        <v>0</v>
      </c>
      <c r="Q1739" s="17" t="n">
        <v>0</v>
      </c>
      <c r="R1739" s="17" t="n">
        <v>0</v>
      </c>
      <c r="T1739" s="17">
        <f>DAY(C1739)</f>
        <v/>
      </c>
      <c r="U1739" s="17">
        <f>MONTH(C1739)</f>
        <v/>
      </c>
    </row>
    <row r="1740" ht="22.5" customHeight="1" s="117">
      <c r="A1740" s="14" t="n">
        <v>46082.31469471065</v>
      </c>
      <c r="B1740" s="17" t="inlineStr">
        <is>
          <t>Trần Trung Giang</t>
        </is>
      </c>
      <c r="C1740" s="16" t="n">
        <v>46081</v>
      </c>
      <c r="D1740" s="17" t="n">
        <v>0</v>
      </c>
      <c r="E1740" s="17" t="n">
        <v>0</v>
      </c>
      <c r="F1740" s="17" t="n">
        <v>0</v>
      </c>
      <c r="G1740" s="17" t="n">
        <v>1</v>
      </c>
      <c r="H1740" s="17" t="n">
        <v>1</v>
      </c>
      <c r="I1740" s="17" t="n">
        <v>0</v>
      </c>
      <c r="J1740" s="17" t="n">
        <v>0</v>
      </c>
      <c r="K1740" s="17" t="n">
        <v>4</v>
      </c>
      <c r="L1740" s="17" t="n">
        <v>0</v>
      </c>
      <c r="M1740" s="17" t="n">
        <v>0</v>
      </c>
      <c r="N1740" s="17" t="n">
        <v>1</v>
      </c>
      <c r="O1740" s="17" t="n">
        <v>0</v>
      </c>
      <c r="P1740" s="17" t="n">
        <v>1</v>
      </c>
      <c r="Q1740" s="17" t="n">
        <v>0</v>
      </c>
      <c r="R1740" s="17" t="n">
        <v>0</v>
      </c>
      <c r="T1740" s="17">
        <f>DAY(C1740)</f>
        <v/>
      </c>
      <c r="U1740" s="17">
        <f>MONTH(C1740)</f>
        <v/>
      </c>
    </row>
    <row r="1741" ht="22.5" customHeight="1" s="117">
      <c r="A1741" s="14" t="n">
        <v>46082.31876782407</v>
      </c>
      <c r="B1741" s="17" t="inlineStr">
        <is>
          <t>Huỳnh Văn Lực</t>
        </is>
      </c>
      <c r="C1741" s="16" t="n">
        <v>46081</v>
      </c>
      <c r="D1741" s="17" t="n">
        <v>1</v>
      </c>
      <c r="E1741" s="17" t="n">
        <v>1</v>
      </c>
      <c r="F1741" s="17" t="n">
        <v>1</v>
      </c>
      <c r="G1741" s="17" t="n">
        <v>1</v>
      </c>
      <c r="H1741" s="17" t="n">
        <v>1</v>
      </c>
      <c r="I1741" s="17" t="n">
        <v>1</v>
      </c>
      <c r="J1741" s="17" t="n">
        <v>1</v>
      </c>
      <c r="K1741" s="17" t="n">
        <v>2</v>
      </c>
      <c r="L1741" s="17" t="n">
        <v>1</v>
      </c>
      <c r="M1741" s="17" t="n">
        <v>1</v>
      </c>
      <c r="N1741" s="17" t="n">
        <v>1</v>
      </c>
      <c r="O1741" s="17" t="n">
        <v>1</v>
      </c>
      <c r="P1741" s="17" t="n">
        <v>1</v>
      </c>
      <c r="Q1741" s="17" t="n">
        <v>0</v>
      </c>
      <c r="R1741" s="17" t="n">
        <v>0</v>
      </c>
      <c r="T1741" s="17">
        <f>DAY(C1741)</f>
        <v/>
      </c>
      <c r="U1741" s="17">
        <f>MONTH(C1741)</f>
        <v/>
      </c>
    </row>
    <row r="1742" ht="22.5" customHeight="1" s="117">
      <c r="A1742" s="14" t="n">
        <v>46082.31969512731</v>
      </c>
      <c r="B1742" s="17" t="inlineStr">
        <is>
          <t>Nguyễn Quang Anh Tuấn</t>
        </is>
      </c>
      <c r="C1742" s="16" t="n">
        <v>46081</v>
      </c>
      <c r="D1742" s="17" t="n">
        <v>0</v>
      </c>
      <c r="E1742" s="17" t="n">
        <v>0</v>
      </c>
      <c r="F1742" s="17" t="n">
        <v>0</v>
      </c>
      <c r="G1742" s="17" t="n">
        <v>0</v>
      </c>
      <c r="H1742" s="17" t="n">
        <v>0</v>
      </c>
      <c r="I1742" s="17" t="n">
        <v>0</v>
      </c>
      <c r="J1742" s="17" t="n">
        <v>0</v>
      </c>
      <c r="K1742" s="17" t="n">
        <v>0</v>
      </c>
      <c r="L1742" s="17" t="n">
        <v>0</v>
      </c>
      <c r="M1742" s="17" t="n">
        <v>5</v>
      </c>
      <c r="N1742" s="17" t="n">
        <v>0</v>
      </c>
      <c r="O1742" s="17" t="n">
        <v>0</v>
      </c>
      <c r="P1742" s="17" t="n">
        <v>0</v>
      </c>
      <c r="Q1742" s="17" t="n">
        <v>2</v>
      </c>
      <c r="R1742" s="17" t="n">
        <v>0</v>
      </c>
      <c r="T1742" s="17">
        <f>DAY(C1742)</f>
        <v/>
      </c>
      <c r="U1742" s="17">
        <f>MONTH(C1742)</f>
        <v/>
      </c>
    </row>
    <row r="1743" ht="22.5" customHeight="1" s="117">
      <c r="A1743" s="14" t="n">
        <v>46082.32027271991</v>
      </c>
      <c r="B1743" s="17" t="inlineStr">
        <is>
          <t>Nguyễn Văn Hiệp</t>
        </is>
      </c>
      <c r="C1743" s="16" t="n">
        <v>46081</v>
      </c>
      <c r="D1743" s="17" t="n">
        <v>0</v>
      </c>
      <c r="E1743" s="17" t="n">
        <v>0</v>
      </c>
      <c r="F1743" s="17" t="n">
        <v>0</v>
      </c>
      <c r="G1743" s="17" t="n">
        <v>0</v>
      </c>
      <c r="H1743" s="17" t="n">
        <v>0</v>
      </c>
      <c r="I1743" s="17" t="n">
        <v>0</v>
      </c>
      <c r="J1743" s="17" t="n">
        <v>0</v>
      </c>
      <c r="K1743" s="17" t="n">
        <v>2</v>
      </c>
      <c r="L1743" s="17" t="n">
        <v>0</v>
      </c>
      <c r="M1743" s="17" t="n">
        <v>0</v>
      </c>
      <c r="N1743" s="17" t="n">
        <v>0</v>
      </c>
      <c r="O1743" s="17" t="n">
        <v>0</v>
      </c>
      <c r="P1743" s="17" t="n">
        <v>0</v>
      </c>
      <c r="Q1743" s="17" t="n">
        <v>0</v>
      </c>
      <c r="R1743" s="17" t="n">
        <v>0</v>
      </c>
      <c r="T1743" s="17">
        <f>DAY(C1743)</f>
        <v/>
      </c>
      <c r="U1743" s="17">
        <f>MONTH(C1743)</f>
        <v/>
      </c>
    </row>
    <row r="1744" ht="22.5" customHeight="1" s="117">
      <c r="A1744" s="14" t="n">
        <v>46083.29496216435</v>
      </c>
      <c r="B1744" s="17" t="inlineStr">
        <is>
          <t>Nguyễn Văn Hiệp</t>
        </is>
      </c>
      <c r="C1744" s="16" t="n">
        <v>46082</v>
      </c>
      <c r="D1744" s="17" t="n">
        <v>0</v>
      </c>
      <c r="E1744" s="17" t="n">
        <v>0</v>
      </c>
      <c r="F1744" s="17" t="n">
        <v>0</v>
      </c>
      <c r="G1744" s="17" t="n">
        <v>0</v>
      </c>
      <c r="H1744" s="17" t="n">
        <v>0</v>
      </c>
      <c r="I1744" s="17" t="n">
        <v>0</v>
      </c>
      <c r="J1744" s="17" t="n">
        <v>0</v>
      </c>
      <c r="K1744" s="17" t="n">
        <v>2</v>
      </c>
      <c r="L1744" s="17" t="n">
        <v>0</v>
      </c>
      <c r="M1744" s="17" t="n">
        <v>2</v>
      </c>
      <c r="N1744" s="17" t="n">
        <v>0</v>
      </c>
      <c r="O1744" s="17" t="n">
        <v>0</v>
      </c>
      <c r="P1744" s="17" t="n">
        <v>0</v>
      </c>
      <c r="Q1744" s="17" t="n">
        <v>1</v>
      </c>
      <c r="R1744" s="17" t="n">
        <v>0</v>
      </c>
      <c r="T1744" s="17">
        <f>DAY(C1744)</f>
        <v/>
      </c>
      <c r="U1744" s="17">
        <f>MONTH(C1744)</f>
        <v/>
      </c>
    </row>
    <row r="1745" ht="22.5" customHeight="1" s="117">
      <c r="A1745" s="14" t="n">
        <v>46083.30147616898</v>
      </c>
      <c r="B1745" s="17" t="inlineStr">
        <is>
          <t>Nguyễn Tuấn Anh</t>
        </is>
      </c>
      <c r="C1745" s="16" t="n">
        <v>46082</v>
      </c>
      <c r="D1745" s="17" t="n">
        <v>0</v>
      </c>
      <c r="E1745" s="17" t="n">
        <v>0</v>
      </c>
      <c r="F1745" s="17" t="n">
        <v>0</v>
      </c>
      <c r="G1745" s="17" t="n">
        <v>0</v>
      </c>
      <c r="H1745" s="17" t="n">
        <v>0</v>
      </c>
      <c r="I1745" s="17" t="n">
        <v>2</v>
      </c>
      <c r="J1745" s="17" t="n">
        <v>0</v>
      </c>
      <c r="K1745" s="17" t="n">
        <v>2</v>
      </c>
      <c r="L1745" s="17" t="n">
        <v>0</v>
      </c>
      <c r="M1745" s="17" t="n">
        <v>0</v>
      </c>
      <c r="N1745" s="17" t="n">
        <v>0</v>
      </c>
      <c r="O1745" s="17" t="n">
        <v>0</v>
      </c>
      <c r="P1745" s="17" t="n">
        <v>0</v>
      </c>
      <c r="Q1745" s="17" t="n">
        <v>2</v>
      </c>
      <c r="R1745" s="17" t="n">
        <v>0</v>
      </c>
      <c r="T1745" s="17">
        <f>DAY(C1745)</f>
        <v/>
      </c>
      <c r="U1745" s="17">
        <f>MONTH(C1745)</f>
        <v/>
      </c>
    </row>
    <row r="1746" ht="22.5" customHeight="1" s="117">
      <c r="A1746" s="14" t="n">
        <v>46083.30417517361</v>
      </c>
      <c r="B1746" s="17" t="inlineStr">
        <is>
          <t>Trần Trung Giang</t>
        </is>
      </c>
      <c r="C1746" s="16" t="n">
        <v>46082</v>
      </c>
      <c r="D1746" s="17" t="n">
        <v>1</v>
      </c>
      <c r="E1746" s="17" t="n">
        <v>0</v>
      </c>
      <c r="F1746" s="17" t="n">
        <v>1</v>
      </c>
      <c r="G1746" s="17" t="n">
        <v>0</v>
      </c>
      <c r="H1746" s="17" t="n">
        <v>0</v>
      </c>
      <c r="I1746" s="17" t="n">
        <v>0</v>
      </c>
      <c r="J1746" s="17" t="n">
        <v>0</v>
      </c>
      <c r="K1746" s="17" t="n">
        <v>1</v>
      </c>
      <c r="L1746" s="17" t="n">
        <v>1</v>
      </c>
      <c r="M1746" s="17" t="n">
        <v>1</v>
      </c>
      <c r="N1746" s="17" t="n">
        <v>0</v>
      </c>
      <c r="O1746" s="17" t="n">
        <v>0</v>
      </c>
      <c r="P1746" s="17" t="n">
        <v>1</v>
      </c>
      <c r="Q1746" s="17" t="n">
        <v>0</v>
      </c>
      <c r="R1746" s="17" t="n">
        <v>0</v>
      </c>
      <c r="T1746" s="17">
        <f>DAY(C1746)</f>
        <v/>
      </c>
      <c r="U1746" s="17">
        <f>MONTH(C1746)</f>
        <v/>
      </c>
    </row>
    <row r="1747" ht="22.5" customHeight="1" s="117">
      <c r="A1747" s="14" t="n">
        <v>46083.30525856482</v>
      </c>
      <c r="B1747" s="17" t="inlineStr">
        <is>
          <t>Đặng Hoài Anh</t>
        </is>
      </c>
      <c r="C1747" s="16" t="n">
        <v>46082</v>
      </c>
      <c r="D1747" s="17" t="n">
        <v>0</v>
      </c>
      <c r="E1747" s="17" t="n">
        <v>0</v>
      </c>
      <c r="F1747" s="17" t="n">
        <v>0</v>
      </c>
      <c r="G1747" s="17" t="n">
        <v>0</v>
      </c>
      <c r="H1747" s="17" t="n">
        <v>0</v>
      </c>
      <c r="I1747" s="17" t="n">
        <v>0</v>
      </c>
      <c r="J1747" s="17" t="n">
        <v>0</v>
      </c>
      <c r="K1747" s="17" t="n">
        <v>1</v>
      </c>
      <c r="L1747" s="17" t="n">
        <v>0</v>
      </c>
      <c r="M1747" s="17" t="n">
        <v>0</v>
      </c>
      <c r="N1747" s="17" t="n">
        <v>0</v>
      </c>
      <c r="O1747" s="17" t="n">
        <v>0</v>
      </c>
      <c r="P1747" s="17" t="n">
        <v>0</v>
      </c>
      <c r="Q1747" s="17" t="n">
        <v>0</v>
      </c>
      <c r="R1747" s="17" t="n">
        <v>0</v>
      </c>
      <c r="T1747" s="17">
        <f>DAY(C1747)</f>
        <v/>
      </c>
      <c r="U1747" s="17">
        <f>MONTH(C1747)</f>
        <v/>
      </c>
    </row>
    <row r="1748" ht="22.5" customHeight="1" s="117">
      <c r="A1748" s="14" t="n">
        <v>46083.30934209491</v>
      </c>
      <c r="B1748" s="17" t="inlineStr">
        <is>
          <t>Nguyễn Quang Anh Tuấn</t>
        </is>
      </c>
      <c r="C1748" s="16" t="n">
        <v>46082</v>
      </c>
      <c r="D1748" s="17" t="n">
        <v>0</v>
      </c>
      <c r="E1748" s="17" t="n">
        <v>0</v>
      </c>
      <c r="F1748" s="17" t="n">
        <v>0</v>
      </c>
      <c r="G1748" s="17" t="n">
        <v>0</v>
      </c>
      <c r="H1748" s="17" t="n">
        <v>0</v>
      </c>
      <c r="I1748" s="17" t="n">
        <v>0</v>
      </c>
      <c r="J1748" s="17" t="n">
        <v>0</v>
      </c>
      <c r="K1748" s="17" t="n">
        <v>0</v>
      </c>
      <c r="L1748" s="17" t="n">
        <v>2</v>
      </c>
      <c r="M1748" s="17" t="n">
        <v>0</v>
      </c>
      <c r="N1748" s="17" t="n">
        <v>0</v>
      </c>
      <c r="O1748" s="17" t="n">
        <v>0</v>
      </c>
      <c r="P1748" s="17" t="n">
        <v>1</v>
      </c>
      <c r="Q1748" s="17" t="n">
        <v>2</v>
      </c>
      <c r="R1748" s="17" t="n">
        <v>0</v>
      </c>
      <c r="T1748" s="17">
        <f>DAY(C1748)</f>
        <v/>
      </c>
      <c r="U1748" s="17">
        <f>MONTH(C1748)</f>
        <v/>
      </c>
    </row>
    <row r="1749" ht="22.5" customHeight="1" s="117">
      <c r="A1749" s="14" t="n">
        <v>46083.36372541667</v>
      </c>
      <c r="B1749" s="17" t="inlineStr">
        <is>
          <t>Huỳnh Văn Lực</t>
        </is>
      </c>
      <c r="C1749" s="16" t="n">
        <v>46082</v>
      </c>
      <c r="D1749" s="17" t="n">
        <v>0</v>
      </c>
      <c r="E1749" s="17" t="n">
        <v>0</v>
      </c>
      <c r="F1749" s="17" t="n">
        <v>0</v>
      </c>
      <c r="G1749" s="17" t="n">
        <v>0</v>
      </c>
      <c r="H1749" s="17" t="n">
        <v>0</v>
      </c>
      <c r="I1749" s="17" t="n">
        <v>0</v>
      </c>
      <c r="J1749" s="17" t="n">
        <v>0</v>
      </c>
      <c r="K1749" s="17" t="n">
        <v>0</v>
      </c>
      <c r="L1749" s="17" t="n">
        <v>0</v>
      </c>
      <c r="M1749" s="17" t="n">
        <v>0</v>
      </c>
      <c r="N1749" s="17" t="n">
        <v>0</v>
      </c>
      <c r="O1749" s="17" t="n">
        <v>0</v>
      </c>
      <c r="P1749" s="17" t="n">
        <v>1</v>
      </c>
      <c r="Q1749" s="17" t="n">
        <v>0</v>
      </c>
      <c r="R1749" s="17" t="n">
        <v>0</v>
      </c>
      <c r="T1749" s="17">
        <f>DAY(C1749)</f>
        <v/>
      </c>
      <c r="U1749" s="17">
        <f>MONTH(C1749)</f>
        <v/>
      </c>
    </row>
    <row r="1750" ht="22.5" customHeight="1" s="117">
      <c r="A1750" s="14" t="n">
        <v>46084.29582510416</v>
      </c>
      <c r="B1750" s="17" t="inlineStr">
        <is>
          <t>Nguyễn Văn Hiệp</t>
        </is>
      </c>
      <c r="C1750" s="16" t="n">
        <v>46083</v>
      </c>
      <c r="D1750" s="17" t="n">
        <v>0</v>
      </c>
      <c r="E1750" s="17" t="n">
        <v>0</v>
      </c>
      <c r="F1750" s="17" t="n">
        <v>0</v>
      </c>
      <c r="G1750" s="17" t="n">
        <v>0</v>
      </c>
      <c r="H1750" s="17" t="n">
        <v>0</v>
      </c>
      <c r="I1750" s="17" t="n">
        <v>0</v>
      </c>
      <c r="J1750" s="17" t="n">
        <v>0</v>
      </c>
      <c r="K1750" s="17" t="n">
        <v>1</v>
      </c>
      <c r="L1750" s="17" t="n">
        <v>3</v>
      </c>
      <c r="M1750" s="17" t="n">
        <v>0</v>
      </c>
      <c r="N1750" s="17" t="n">
        <v>0</v>
      </c>
      <c r="O1750" s="17" t="n">
        <v>0</v>
      </c>
      <c r="P1750" s="17" t="n">
        <v>0</v>
      </c>
      <c r="Q1750" s="17" t="n">
        <v>0</v>
      </c>
      <c r="R1750" s="17" t="n">
        <v>0</v>
      </c>
      <c r="T1750" s="17">
        <f>DAY(C1750)</f>
        <v/>
      </c>
      <c r="U1750" s="17">
        <f>MONTH(C1750)</f>
        <v/>
      </c>
    </row>
    <row r="1751" ht="22.5" customHeight="1" s="117">
      <c r="A1751" s="14" t="n">
        <v>46084.29969358796</v>
      </c>
      <c r="B1751" s="17" t="inlineStr">
        <is>
          <t>Nguyễn Tuấn Anh</t>
        </is>
      </c>
      <c r="C1751" s="16" t="n">
        <v>46083</v>
      </c>
      <c r="D1751" s="17" t="n">
        <v>1</v>
      </c>
      <c r="E1751" s="17" t="n">
        <v>1</v>
      </c>
      <c r="F1751" s="17" t="n">
        <v>0</v>
      </c>
      <c r="G1751" s="17" t="n">
        <v>0</v>
      </c>
      <c r="H1751" s="17" t="n">
        <v>0</v>
      </c>
      <c r="I1751" s="17" t="n">
        <v>2</v>
      </c>
      <c r="J1751" s="17" t="n">
        <v>0</v>
      </c>
      <c r="K1751" s="17" t="n">
        <v>2</v>
      </c>
      <c r="L1751" s="17" t="n">
        <v>1</v>
      </c>
      <c r="M1751" s="17" t="n">
        <v>0</v>
      </c>
      <c r="N1751" s="17" t="n">
        <v>0</v>
      </c>
      <c r="O1751" s="17" t="n">
        <v>0</v>
      </c>
      <c r="P1751" s="17" t="n">
        <v>2</v>
      </c>
      <c r="Q1751" s="17" t="n">
        <v>2</v>
      </c>
      <c r="R1751" s="17" t="n">
        <v>0</v>
      </c>
      <c r="T1751" s="17">
        <f>DAY(C1751)</f>
        <v/>
      </c>
      <c r="U1751" s="17">
        <f>MONTH(C1751)</f>
        <v/>
      </c>
    </row>
    <row r="1752" ht="22.5" customHeight="1" s="117">
      <c r="A1752" s="14" t="n">
        <v>46084.30261548611</v>
      </c>
      <c r="B1752" s="17" t="inlineStr">
        <is>
          <t>Đặng Hoài Anh</t>
        </is>
      </c>
      <c r="C1752" s="16" t="n">
        <v>46083</v>
      </c>
      <c r="D1752" s="17" t="n">
        <v>0</v>
      </c>
      <c r="E1752" s="17" t="n">
        <v>0</v>
      </c>
      <c r="F1752" s="17" t="n">
        <v>0</v>
      </c>
      <c r="G1752" s="17" t="n">
        <v>0</v>
      </c>
      <c r="H1752" s="17" t="n">
        <v>0</v>
      </c>
      <c r="I1752" s="17" t="n">
        <v>0</v>
      </c>
      <c r="J1752" s="17" t="n">
        <v>0</v>
      </c>
      <c r="K1752" s="17" t="n">
        <v>1</v>
      </c>
      <c r="L1752" s="17" t="n">
        <v>0</v>
      </c>
      <c r="M1752" s="17" t="n">
        <v>0</v>
      </c>
      <c r="N1752" s="17" t="n">
        <v>0</v>
      </c>
      <c r="O1752" s="17" t="n">
        <v>0</v>
      </c>
      <c r="P1752" s="17" t="n">
        <v>0</v>
      </c>
      <c r="Q1752" s="17" t="n">
        <v>1</v>
      </c>
      <c r="R1752" s="17" t="n">
        <v>0</v>
      </c>
      <c r="T1752" s="17">
        <f>DAY(C1752)</f>
        <v/>
      </c>
      <c r="U1752" s="17">
        <f>MONTH(C1752)</f>
        <v/>
      </c>
    </row>
    <row r="1753" ht="22.5" customHeight="1" s="117">
      <c r="A1753" s="14" t="n">
        <v>46084.30306606481</v>
      </c>
      <c r="B1753" s="17" t="inlineStr">
        <is>
          <t>Trần Trung Giang</t>
        </is>
      </c>
      <c r="C1753" s="16" t="n">
        <v>46083</v>
      </c>
      <c r="D1753" s="17" t="n">
        <v>1</v>
      </c>
      <c r="E1753" s="17" t="n">
        <v>1</v>
      </c>
      <c r="F1753" s="17" t="n">
        <v>1</v>
      </c>
      <c r="G1753" s="17" t="n">
        <v>0</v>
      </c>
      <c r="H1753" s="17" t="n">
        <v>0</v>
      </c>
      <c r="I1753" s="17" t="n">
        <v>0</v>
      </c>
      <c r="J1753" s="17" t="n">
        <v>0</v>
      </c>
      <c r="K1753" s="17" t="n">
        <v>8</v>
      </c>
      <c r="L1753" s="17" t="n">
        <v>0</v>
      </c>
      <c r="M1753" s="17" t="n">
        <v>1</v>
      </c>
      <c r="N1753" s="17" t="n">
        <v>0</v>
      </c>
      <c r="O1753" s="17" t="n">
        <v>0</v>
      </c>
      <c r="P1753" s="17" t="n">
        <v>0</v>
      </c>
      <c r="Q1753" s="17" t="n">
        <v>0</v>
      </c>
      <c r="R1753" s="17" t="n">
        <v>0</v>
      </c>
      <c r="T1753" s="17">
        <f>DAY(C1753)</f>
        <v/>
      </c>
      <c r="U1753" s="17">
        <f>MONTH(C1753)</f>
        <v/>
      </c>
    </row>
    <row r="1754" ht="22.5" customHeight="1" s="117">
      <c r="A1754" s="14" t="n">
        <v>46084.30765319445</v>
      </c>
      <c r="B1754" s="17" t="inlineStr">
        <is>
          <t>Nguyễn Quang Anh Tuấn</t>
        </is>
      </c>
      <c r="C1754" s="16" t="n">
        <v>46083</v>
      </c>
      <c r="D1754" s="17" t="n">
        <v>1</v>
      </c>
      <c r="E1754" s="17" t="n">
        <v>0</v>
      </c>
      <c r="F1754" s="17" t="n">
        <v>1</v>
      </c>
      <c r="G1754" s="17" t="n">
        <v>0</v>
      </c>
      <c r="H1754" s="17" t="n">
        <v>1</v>
      </c>
      <c r="I1754" s="17" t="n">
        <v>0</v>
      </c>
      <c r="J1754" s="17" t="n">
        <v>0</v>
      </c>
      <c r="K1754" s="17" t="n">
        <v>6</v>
      </c>
      <c r="L1754" s="17" t="n">
        <v>0</v>
      </c>
      <c r="M1754" s="17" t="n">
        <v>2</v>
      </c>
      <c r="N1754" s="17" t="n">
        <v>0</v>
      </c>
      <c r="O1754" s="17" t="n">
        <v>0</v>
      </c>
      <c r="P1754" s="17" t="n">
        <v>0</v>
      </c>
      <c r="Q1754" s="17" t="n">
        <v>2</v>
      </c>
      <c r="R1754" s="17" t="n">
        <v>0</v>
      </c>
      <c r="T1754" s="17">
        <f>DAY(C1754)</f>
        <v/>
      </c>
      <c r="U1754" s="17">
        <f>MONTH(C1754)</f>
        <v/>
      </c>
    </row>
    <row r="1755" ht="22.5" customHeight="1" s="117">
      <c r="A1755" s="14" t="n">
        <v>46084.33209097222</v>
      </c>
      <c r="B1755" s="17" t="inlineStr">
        <is>
          <t>Huỳnh Văn Lực</t>
        </is>
      </c>
      <c r="C1755" s="16" t="n">
        <v>46083</v>
      </c>
      <c r="D1755" s="17" t="n">
        <v>0</v>
      </c>
      <c r="E1755" s="17" t="n">
        <v>0</v>
      </c>
      <c r="F1755" s="17" t="n">
        <v>0</v>
      </c>
      <c r="G1755" s="17" t="n">
        <v>0</v>
      </c>
      <c r="H1755" s="17" t="n">
        <v>0</v>
      </c>
      <c r="I1755" s="17" t="n">
        <v>0</v>
      </c>
      <c r="J1755" s="17" t="n">
        <v>0</v>
      </c>
      <c r="K1755" s="17" t="n">
        <v>0</v>
      </c>
      <c r="L1755" s="17" t="n">
        <v>2</v>
      </c>
      <c r="M1755" s="17" t="n">
        <v>0</v>
      </c>
      <c r="N1755" s="17" t="n">
        <v>0</v>
      </c>
      <c r="O1755" s="17" t="n">
        <v>0</v>
      </c>
      <c r="P1755" s="17" t="n">
        <v>1</v>
      </c>
      <c r="Q1755" s="17" t="n">
        <v>1</v>
      </c>
      <c r="R1755" s="17" t="n">
        <v>0</v>
      </c>
      <c r="T1755" s="17">
        <f>DAY(C1755)</f>
        <v/>
      </c>
      <c r="U1755" s="17">
        <f>MONTH(C1755)</f>
        <v/>
      </c>
    </row>
    <row r="1756" ht="22.5" customHeight="1" s="117">
      <c r="A1756" s="14" t="n">
        <v>46085.29136981481</v>
      </c>
      <c r="B1756" s="17" t="inlineStr">
        <is>
          <t>Trần Trung Giang</t>
        </is>
      </c>
      <c r="C1756" s="16" t="n">
        <v>46084</v>
      </c>
      <c r="D1756" s="17" t="n">
        <v>0</v>
      </c>
      <c r="E1756" s="17" t="n">
        <v>0</v>
      </c>
      <c r="F1756" s="17" t="n">
        <v>0</v>
      </c>
      <c r="G1756" s="17" t="n">
        <v>0</v>
      </c>
      <c r="H1756" s="17" t="n">
        <v>0</v>
      </c>
      <c r="I1756" s="17" t="n">
        <v>0</v>
      </c>
      <c r="J1756" s="17" t="n">
        <v>0</v>
      </c>
      <c r="K1756" s="17" t="n">
        <v>6</v>
      </c>
      <c r="L1756" s="17" t="n">
        <v>0</v>
      </c>
      <c r="M1756" s="17" t="n">
        <v>1</v>
      </c>
      <c r="N1756" s="17" t="n">
        <v>0</v>
      </c>
      <c r="O1756" s="17" t="n">
        <v>0</v>
      </c>
      <c r="P1756" s="17" t="n">
        <v>0</v>
      </c>
      <c r="Q1756" s="17" t="n">
        <v>0</v>
      </c>
      <c r="R1756" s="17" t="n">
        <v>0</v>
      </c>
      <c r="T1756" s="17">
        <f>DAY(C1756)</f>
        <v/>
      </c>
      <c r="U1756" s="17">
        <f>MONTH(C1756)</f>
        <v/>
      </c>
    </row>
    <row r="1757" ht="22.5" customHeight="1" s="117">
      <c r="A1757" s="14" t="n">
        <v>46085.29517209491</v>
      </c>
      <c r="B1757" s="17" t="inlineStr">
        <is>
          <t>Nguyễn Văn Hiệp</t>
        </is>
      </c>
      <c r="C1757" s="16" t="n">
        <v>46084</v>
      </c>
      <c r="D1757" s="17" t="n">
        <v>0</v>
      </c>
      <c r="E1757" s="17" t="n">
        <v>0</v>
      </c>
      <c r="F1757" s="17" t="n">
        <v>0</v>
      </c>
      <c r="G1757" s="17" t="n">
        <v>0</v>
      </c>
      <c r="H1757" s="17" t="n">
        <v>0</v>
      </c>
      <c r="I1757" s="17" t="n">
        <v>0</v>
      </c>
      <c r="J1757" s="17" t="n">
        <v>0</v>
      </c>
      <c r="K1757" s="17" t="n">
        <v>0</v>
      </c>
      <c r="L1757" s="17" t="n">
        <v>0</v>
      </c>
      <c r="M1757" s="17" t="n">
        <v>0</v>
      </c>
      <c r="N1757" s="17" t="n">
        <v>0</v>
      </c>
      <c r="O1757" s="17" t="n">
        <v>0</v>
      </c>
      <c r="P1757" s="17" t="n">
        <v>0</v>
      </c>
      <c r="Q1757" s="17" t="n">
        <v>0</v>
      </c>
      <c r="R1757" s="17" t="n">
        <v>0</v>
      </c>
      <c r="T1757" s="17">
        <f>DAY(C1757)</f>
        <v/>
      </c>
      <c r="U1757" s="17">
        <f>MONTH(C1757)</f>
        <v/>
      </c>
    </row>
    <row r="1758" ht="22.5" customHeight="1" s="117">
      <c r="A1758" s="14" t="n">
        <v>46085.29717027778</v>
      </c>
      <c r="B1758" s="17" t="inlineStr">
        <is>
          <t>Nguyễn Quang Anh Tuấn</t>
        </is>
      </c>
      <c r="C1758" s="16" t="n">
        <v>46084</v>
      </c>
      <c r="D1758" s="17" t="n">
        <v>1</v>
      </c>
      <c r="E1758" s="17" t="n">
        <v>1</v>
      </c>
      <c r="F1758" s="17" t="n">
        <v>1</v>
      </c>
      <c r="G1758" s="17" t="n">
        <v>0</v>
      </c>
      <c r="H1758" s="17" t="n">
        <v>0</v>
      </c>
      <c r="I1758" s="17" t="n">
        <v>0</v>
      </c>
      <c r="J1758" s="17" t="n">
        <v>0</v>
      </c>
      <c r="K1758" s="17" t="n">
        <v>2</v>
      </c>
      <c r="L1758" s="17" t="n">
        <v>0</v>
      </c>
      <c r="M1758" s="17" t="n">
        <v>1</v>
      </c>
      <c r="N1758" s="17" t="n">
        <v>0</v>
      </c>
      <c r="O1758" s="17" t="n">
        <v>0</v>
      </c>
      <c r="P1758" s="17" t="n">
        <v>0</v>
      </c>
      <c r="Q1758" s="17" t="n">
        <v>1</v>
      </c>
      <c r="R1758" s="17" t="n">
        <v>0</v>
      </c>
      <c r="T1758" s="17">
        <f>DAY(C1758)</f>
        <v/>
      </c>
      <c r="U1758" s="17">
        <f>MONTH(C1758)</f>
        <v/>
      </c>
    </row>
    <row r="1759" ht="22.5" customHeight="1" s="117">
      <c r="A1759" s="14" t="n">
        <v>46085.3020230787</v>
      </c>
      <c r="B1759" s="17" t="inlineStr">
        <is>
          <t>Đặng Hoài Anh</t>
        </is>
      </c>
      <c r="C1759" s="16" t="n">
        <v>46084</v>
      </c>
      <c r="D1759" s="17" t="n">
        <v>1</v>
      </c>
      <c r="E1759" s="17" t="n">
        <v>1</v>
      </c>
      <c r="F1759" s="17" t="n">
        <v>1</v>
      </c>
      <c r="G1759" s="17" t="n">
        <v>0</v>
      </c>
      <c r="H1759" s="17" t="n">
        <v>0</v>
      </c>
      <c r="I1759" s="17" t="n">
        <v>0</v>
      </c>
      <c r="J1759" s="17" t="n">
        <v>0</v>
      </c>
      <c r="K1759" s="17" t="n">
        <v>0</v>
      </c>
      <c r="L1759" s="17" t="n">
        <v>0</v>
      </c>
      <c r="M1759" s="17" t="n">
        <v>1</v>
      </c>
      <c r="N1759" s="17" t="n">
        <v>0</v>
      </c>
      <c r="O1759" s="17" t="n">
        <v>0</v>
      </c>
      <c r="P1759" s="17" t="n">
        <v>0</v>
      </c>
      <c r="Q1759" s="17" t="n">
        <v>1</v>
      </c>
      <c r="R1759" s="17" t="n">
        <v>0</v>
      </c>
      <c r="T1759" s="17">
        <f>DAY(C1759)</f>
        <v/>
      </c>
      <c r="U1759" s="17">
        <f>MONTH(C1759)</f>
        <v/>
      </c>
    </row>
    <row r="1760" ht="22.5" customHeight="1" s="117">
      <c r="A1760" s="14" t="n">
        <v>46085.30887435185</v>
      </c>
      <c r="B1760" s="17" t="inlineStr">
        <is>
          <t>Nguyễn Tuấn Anh</t>
        </is>
      </c>
      <c r="C1760" s="16" t="n">
        <v>46084</v>
      </c>
      <c r="D1760" s="17" t="n">
        <v>0</v>
      </c>
      <c r="E1760" s="17" t="n">
        <v>0</v>
      </c>
      <c r="F1760" s="17" t="n">
        <v>0</v>
      </c>
      <c r="G1760" s="17" t="n">
        <v>0</v>
      </c>
      <c r="H1760" s="17" t="n">
        <v>1</v>
      </c>
      <c r="I1760" s="17" t="n">
        <v>1</v>
      </c>
      <c r="J1760" s="17" t="n">
        <v>0</v>
      </c>
      <c r="K1760" s="17" t="n">
        <v>3</v>
      </c>
      <c r="L1760" s="17" t="n">
        <v>0</v>
      </c>
      <c r="M1760" s="17" t="n">
        <v>0</v>
      </c>
      <c r="N1760" s="17" t="n">
        <v>0</v>
      </c>
      <c r="O1760" s="17" t="n">
        <v>0</v>
      </c>
      <c r="P1760" s="17" t="n">
        <v>2</v>
      </c>
      <c r="Q1760" s="17" t="n">
        <v>2</v>
      </c>
      <c r="R1760" s="17" t="n">
        <v>0</v>
      </c>
      <c r="T1760" s="17">
        <f>DAY(C1760)</f>
        <v/>
      </c>
      <c r="U1760" s="17">
        <f>MONTH(C1760)</f>
        <v/>
      </c>
    </row>
    <row r="1761" ht="22.5" customHeight="1" s="117">
      <c r="A1761" s="14" t="n">
        <v>46085.3160612037</v>
      </c>
      <c r="B1761" s="17" t="inlineStr">
        <is>
          <t>Huỳnh Văn Lực</t>
        </is>
      </c>
      <c r="C1761" s="16" t="n">
        <v>46084</v>
      </c>
      <c r="D1761" s="17" t="n">
        <v>0</v>
      </c>
      <c r="E1761" s="17" t="n">
        <v>0</v>
      </c>
      <c r="F1761" s="17" t="n">
        <v>0</v>
      </c>
      <c r="G1761" s="17" t="n">
        <v>0</v>
      </c>
      <c r="H1761" s="17" t="n">
        <v>0</v>
      </c>
      <c r="I1761" s="17" t="n">
        <v>0</v>
      </c>
      <c r="J1761" s="17" t="n">
        <v>0</v>
      </c>
      <c r="K1761" s="17" t="n">
        <v>2</v>
      </c>
      <c r="L1761" s="17" t="n">
        <v>2</v>
      </c>
      <c r="M1761" s="17" t="n">
        <v>0</v>
      </c>
      <c r="N1761" s="17" t="n">
        <v>0</v>
      </c>
      <c r="O1761" s="17" t="n">
        <v>0</v>
      </c>
      <c r="P1761" s="17" t="n">
        <v>1</v>
      </c>
      <c r="Q1761" s="17" t="n">
        <v>1</v>
      </c>
      <c r="R1761" s="17" t="n">
        <v>0</v>
      </c>
      <c r="T1761" s="17">
        <f>DAY(C1761)</f>
        <v/>
      </c>
      <c r="U1761" s="17">
        <f>MONTH(C1761)</f>
        <v/>
      </c>
    </row>
    <row r="1762" ht="22.5" customHeight="1" s="117">
      <c r="A1762" s="14" t="n">
        <v>46086.28046197916</v>
      </c>
      <c r="B1762" s="17" t="inlineStr">
        <is>
          <t>Trần Trung Giang</t>
        </is>
      </c>
      <c r="C1762" s="16" t="n">
        <v>46085</v>
      </c>
      <c r="D1762" s="17" t="n">
        <v>0</v>
      </c>
      <c r="E1762" s="17" t="n">
        <v>0</v>
      </c>
      <c r="F1762" s="17" t="n">
        <v>0</v>
      </c>
      <c r="G1762" s="17" t="n">
        <v>0</v>
      </c>
      <c r="H1762" s="17" t="n">
        <v>0</v>
      </c>
      <c r="I1762" s="17" t="n">
        <v>0</v>
      </c>
      <c r="J1762" s="17" t="n">
        <v>0</v>
      </c>
      <c r="K1762" s="17" t="n">
        <v>10</v>
      </c>
      <c r="L1762" s="17" t="n">
        <v>0</v>
      </c>
      <c r="M1762" s="17" t="n">
        <v>1</v>
      </c>
      <c r="N1762" s="17" t="n">
        <v>0</v>
      </c>
      <c r="O1762" s="17" t="n">
        <v>0</v>
      </c>
      <c r="P1762" s="17" t="n">
        <v>0</v>
      </c>
      <c r="Q1762" s="17" t="n">
        <v>0</v>
      </c>
      <c r="R1762" s="17" t="n">
        <v>0</v>
      </c>
      <c r="T1762" s="17">
        <f>DAY(C1762)</f>
        <v/>
      </c>
      <c r="U1762" s="17">
        <f>MONTH(C1762)</f>
        <v/>
      </c>
    </row>
    <row r="1763" ht="22.5" customHeight="1" s="117">
      <c r="A1763" s="14" t="n">
        <v>46086.28371839121</v>
      </c>
      <c r="B1763" s="17" t="inlineStr">
        <is>
          <t>Huỳnh Văn Lực</t>
        </is>
      </c>
      <c r="C1763" s="16" t="n">
        <v>46085</v>
      </c>
      <c r="D1763" s="17" t="n">
        <v>0</v>
      </c>
      <c r="E1763" s="17" t="n">
        <v>0</v>
      </c>
      <c r="F1763" s="17" t="n">
        <v>0</v>
      </c>
      <c r="G1763" s="17" t="n">
        <v>0</v>
      </c>
      <c r="H1763" s="17" t="n">
        <v>0</v>
      </c>
      <c r="I1763" s="17" t="n">
        <v>0</v>
      </c>
      <c r="J1763" s="17" t="n">
        <v>0</v>
      </c>
      <c r="K1763" s="17" t="n">
        <v>4</v>
      </c>
      <c r="L1763" s="17" t="n">
        <v>0</v>
      </c>
      <c r="M1763" s="17" t="n">
        <v>0</v>
      </c>
      <c r="N1763" s="17" t="n">
        <v>0</v>
      </c>
      <c r="O1763" s="17" t="n">
        <v>0</v>
      </c>
      <c r="P1763" s="17" t="n">
        <v>3</v>
      </c>
      <c r="Q1763" s="17" t="n">
        <v>0</v>
      </c>
      <c r="R1763" s="17" t="n">
        <v>0</v>
      </c>
      <c r="T1763" s="17">
        <f>DAY(C1763)</f>
        <v/>
      </c>
      <c r="U1763" s="17">
        <f>MONTH(C1763)</f>
        <v/>
      </c>
    </row>
    <row r="1764" ht="22.5" customHeight="1" s="117">
      <c r="A1764" s="14" t="n">
        <v>46086.29166841435</v>
      </c>
      <c r="B1764" s="17" t="inlineStr">
        <is>
          <t>Nguyễn Quang Anh Tuấn</t>
        </is>
      </c>
      <c r="C1764" s="16" t="n">
        <v>46085</v>
      </c>
      <c r="D1764" s="17" t="n">
        <v>1</v>
      </c>
      <c r="E1764" s="17" t="n">
        <v>1</v>
      </c>
      <c r="F1764" s="17" t="n">
        <v>1</v>
      </c>
      <c r="G1764" s="17" t="n">
        <v>0</v>
      </c>
      <c r="H1764" s="17" t="n">
        <v>0</v>
      </c>
      <c r="I1764" s="17" t="n">
        <v>0</v>
      </c>
      <c r="J1764" s="17" t="n">
        <v>0</v>
      </c>
      <c r="K1764" s="17" t="n">
        <v>1</v>
      </c>
      <c r="L1764" s="17" t="n">
        <v>0</v>
      </c>
      <c r="M1764" s="17" t="n">
        <v>0</v>
      </c>
      <c r="N1764" s="17" t="n">
        <v>0</v>
      </c>
      <c r="O1764" s="17" t="n">
        <v>0</v>
      </c>
      <c r="P1764" s="17" t="n">
        <v>0</v>
      </c>
      <c r="Q1764" s="17" t="n">
        <v>1</v>
      </c>
      <c r="R1764" s="17" t="n">
        <v>0</v>
      </c>
      <c r="T1764" s="17">
        <f>DAY(C1764)</f>
        <v/>
      </c>
      <c r="U1764" s="17">
        <f>MONTH(C1764)</f>
        <v/>
      </c>
    </row>
    <row r="1765" ht="22.5" customHeight="1" s="117">
      <c r="A1765" s="14" t="n">
        <v>46086.29861518519</v>
      </c>
      <c r="B1765" s="17" t="inlineStr">
        <is>
          <t>Nguyễn Tuấn Anh</t>
        </is>
      </c>
      <c r="C1765" s="16" t="n">
        <v>46085</v>
      </c>
      <c r="D1765" s="17" t="n">
        <v>1</v>
      </c>
      <c r="E1765" s="17" t="n">
        <v>1</v>
      </c>
      <c r="F1765" s="17" t="n">
        <v>1</v>
      </c>
      <c r="G1765" s="17" t="n">
        <v>0</v>
      </c>
      <c r="H1765" s="17" t="n">
        <v>0</v>
      </c>
      <c r="I1765" s="17" t="n">
        <v>0</v>
      </c>
      <c r="J1765" s="17" t="n">
        <v>0</v>
      </c>
      <c r="K1765" s="17" t="n">
        <v>1</v>
      </c>
      <c r="L1765" s="17" t="n">
        <v>2</v>
      </c>
      <c r="M1765" s="17" t="n">
        <v>0</v>
      </c>
      <c r="N1765" s="17" t="n">
        <v>0</v>
      </c>
      <c r="O1765" s="17" t="n">
        <v>0</v>
      </c>
      <c r="P1765" s="17" t="n">
        <v>2</v>
      </c>
      <c r="Q1765" s="17" t="n">
        <v>2</v>
      </c>
      <c r="R1765" s="17" t="n">
        <v>0</v>
      </c>
      <c r="T1765" s="17">
        <f>DAY(C1765)</f>
        <v/>
      </c>
      <c r="U1765" s="17">
        <f>MONTH(C1765)</f>
        <v/>
      </c>
    </row>
    <row r="1766" ht="22.5" customHeight="1" s="117">
      <c r="A1766" s="14" t="n">
        <v>46086.29956105324</v>
      </c>
      <c r="B1766" s="17" t="inlineStr">
        <is>
          <t>Nguyễn Văn Hiệp</t>
        </is>
      </c>
      <c r="C1766" s="16" t="n">
        <v>46085</v>
      </c>
      <c r="D1766" s="17" t="n">
        <v>1</v>
      </c>
      <c r="E1766" s="17" t="n">
        <v>1</v>
      </c>
      <c r="F1766" s="17" t="n">
        <v>2</v>
      </c>
      <c r="G1766" s="17" t="n">
        <v>0</v>
      </c>
      <c r="H1766" s="17" t="n">
        <v>0</v>
      </c>
      <c r="I1766" s="17" t="n">
        <v>0</v>
      </c>
      <c r="J1766" s="17" t="n">
        <v>0</v>
      </c>
      <c r="K1766" s="17" t="n">
        <v>0</v>
      </c>
      <c r="L1766" s="17" t="n">
        <v>0</v>
      </c>
      <c r="M1766" s="17" t="n">
        <v>0</v>
      </c>
      <c r="N1766" s="17" t="n">
        <v>9</v>
      </c>
      <c r="O1766" s="17" t="n">
        <v>0</v>
      </c>
      <c r="P1766" s="17" t="n">
        <v>0</v>
      </c>
      <c r="Q1766" s="17" t="n">
        <v>1</v>
      </c>
      <c r="R1766" s="17" t="n">
        <v>0</v>
      </c>
      <c r="T1766" s="17">
        <f>DAY(C1766)</f>
        <v/>
      </c>
      <c r="U1766" s="17">
        <f>MONTH(C1766)</f>
        <v/>
      </c>
    </row>
    <row r="1767" ht="22.5" customHeight="1" s="117">
      <c r="A1767" s="14" t="n">
        <v>46086.30219841435</v>
      </c>
      <c r="B1767" s="17" t="inlineStr">
        <is>
          <t>Đặng Hoài Anh</t>
        </is>
      </c>
      <c r="C1767" s="16" t="n">
        <v>46085</v>
      </c>
      <c r="D1767" s="17" t="n">
        <v>2</v>
      </c>
      <c r="E1767" s="17" t="n">
        <v>2</v>
      </c>
      <c r="F1767" s="17" t="n">
        <v>2</v>
      </c>
      <c r="G1767" s="17" t="n">
        <v>0</v>
      </c>
      <c r="H1767" s="17" t="n">
        <v>0</v>
      </c>
      <c r="I1767" s="17" t="n">
        <v>0</v>
      </c>
      <c r="J1767" s="17" t="n">
        <v>0</v>
      </c>
      <c r="K1767" s="17" t="n">
        <v>0</v>
      </c>
      <c r="L1767" s="17" t="n">
        <v>0</v>
      </c>
      <c r="M1767" s="17" t="n">
        <v>4</v>
      </c>
      <c r="N1767" s="17" t="n">
        <v>0</v>
      </c>
      <c r="O1767" s="17" t="n">
        <v>0</v>
      </c>
      <c r="P1767" s="17" t="n">
        <v>0</v>
      </c>
      <c r="Q1767" s="17" t="n">
        <v>0</v>
      </c>
      <c r="R1767" s="17" t="n">
        <v>0</v>
      </c>
      <c r="T1767" s="17">
        <f>DAY(C1767)</f>
        <v/>
      </c>
      <c r="U1767" s="17">
        <f>MONTH(C1767)</f>
        <v/>
      </c>
    </row>
    <row r="1768" ht="22.5" customHeight="1" s="117">
      <c r="A1768" s="14" t="n">
        <v>46087.28695585648</v>
      </c>
      <c r="B1768" s="17" t="inlineStr">
        <is>
          <t>Nguyễn Quang Anh Tuấn</t>
        </is>
      </c>
      <c r="C1768" s="16" t="n">
        <v>46086</v>
      </c>
      <c r="D1768" s="17" t="n">
        <v>0</v>
      </c>
      <c r="E1768" s="17" t="n">
        <v>0</v>
      </c>
      <c r="F1768" s="17" t="n">
        <v>0</v>
      </c>
      <c r="G1768" s="17" t="n">
        <v>0</v>
      </c>
      <c r="H1768" s="17" t="n">
        <v>0</v>
      </c>
      <c r="I1768" s="17" t="n">
        <v>0</v>
      </c>
      <c r="J1768" s="17" t="n">
        <v>0</v>
      </c>
      <c r="K1768" s="17" t="n">
        <v>6</v>
      </c>
      <c r="L1768" s="17" t="n">
        <v>0</v>
      </c>
      <c r="M1768" s="17" t="n">
        <v>1</v>
      </c>
      <c r="N1768" s="17" t="n">
        <v>0</v>
      </c>
      <c r="O1768" s="17" t="n">
        <v>0</v>
      </c>
      <c r="P1768" s="17" t="n">
        <v>0</v>
      </c>
      <c r="Q1768" s="17" t="n">
        <v>1</v>
      </c>
      <c r="R1768" s="17" t="n">
        <v>0</v>
      </c>
      <c r="T1768" s="17">
        <f>DAY(C1768)</f>
        <v/>
      </c>
      <c r="U1768" s="17">
        <f>MONTH(C1768)</f>
        <v/>
      </c>
    </row>
    <row r="1769" ht="22.5" customHeight="1" s="117">
      <c r="A1769" s="14" t="n">
        <v>46087.30115152778</v>
      </c>
      <c r="B1769" s="17" t="inlineStr">
        <is>
          <t>Nguyễn Tuấn Anh</t>
        </is>
      </c>
      <c r="C1769" s="16" t="n">
        <v>46086</v>
      </c>
      <c r="D1769" s="17" t="n">
        <v>0</v>
      </c>
      <c r="E1769" s="17" t="n">
        <v>0</v>
      </c>
      <c r="F1769" s="17" t="n">
        <v>0</v>
      </c>
      <c r="G1769" s="17" t="n">
        <v>0</v>
      </c>
      <c r="H1769" s="17" t="n">
        <v>0</v>
      </c>
      <c r="I1769" s="17" t="n">
        <v>1</v>
      </c>
      <c r="J1769" s="17" t="n">
        <v>0</v>
      </c>
      <c r="K1769" s="17" t="n">
        <v>2</v>
      </c>
      <c r="L1769" s="17" t="n">
        <v>0</v>
      </c>
      <c r="M1769" s="17" t="n">
        <v>0</v>
      </c>
      <c r="N1769" s="17" t="n">
        <v>0</v>
      </c>
      <c r="O1769" s="17" t="n">
        <v>0</v>
      </c>
      <c r="P1769" s="17" t="n">
        <v>1</v>
      </c>
      <c r="Q1769" s="17" t="n">
        <v>2</v>
      </c>
      <c r="R1769" s="17" t="n">
        <v>0</v>
      </c>
      <c r="T1769" s="17">
        <f>DAY(C1769)</f>
        <v/>
      </c>
      <c r="U1769" s="17">
        <f>MONTH(C1769)</f>
        <v/>
      </c>
    </row>
    <row r="1770" ht="22.5" customHeight="1" s="117">
      <c r="A1770" s="14" t="n">
        <v>46087.31465611111</v>
      </c>
      <c r="B1770" s="17" t="inlineStr">
        <is>
          <t>Trần Trung Giang</t>
        </is>
      </c>
      <c r="C1770" s="16" t="n">
        <v>46086</v>
      </c>
      <c r="D1770" s="17" t="n">
        <v>0</v>
      </c>
      <c r="E1770" s="17" t="n">
        <v>0</v>
      </c>
      <c r="F1770" s="17" t="n">
        <v>0</v>
      </c>
      <c r="G1770" s="17" t="n">
        <v>0</v>
      </c>
      <c r="H1770" s="17" t="n">
        <v>0</v>
      </c>
      <c r="I1770" s="17" t="n">
        <v>0</v>
      </c>
      <c r="J1770" s="17" t="n">
        <v>0</v>
      </c>
      <c r="K1770" s="17" t="n">
        <v>2</v>
      </c>
      <c r="L1770" s="17" t="n">
        <v>0</v>
      </c>
      <c r="M1770" s="17" t="n">
        <v>0</v>
      </c>
      <c r="N1770" s="17" t="n">
        <v>0</v>
      </c>
      <c r="O1770" s="17" t="n">
        <v>0</v>
      </c>
      <c r="P1770" s="17" t="n">
        <v>0</v>
      </c>
      <c r="Q1770" s="17" t="n">
        <v>0</v>
      </c>
      <c r="R1770" s="17" t="n">
        <v>0</v>
      </c>
      <c r="T1770" s="17">
        <f>DAY(C1770)</f>
        <v/>
      </c>
      <c r="U1770" s="17">
        <f>MONTH(C1770)</f>
        <v/>
      </c>
    </row>
    <row r="1771" ht="22.5" customHeight="1" s="117">
      <c r="A1771" s="14" t="n">
        <v>46087.31812773148</v>
      </c>
      <c r="B1771" s="17" t="inlineStr">
        <is>
          <t>Nguyễn Văn Hiệp</t>
        </is>
      </c>
      <c r="C1771" s="16" t="n">
        <v>46086</v>
      </c>
      <c r="D1771" s="17" t="n">
        <v>1</v>
      </c>
      <c r="E1771" s="17" t="n">
        <v>1</v>
      </c>
      <c r="F1771" s="17" t="n">
        <v>2</v>
      </c>
      <c r="G1771" s="17" t="n">
        <v>0</v>
      </c>
      <c r="H1771" s="17" t="n">
        <v>0</v>
      </c>
      <c r="I1771" s="17" t="n">
        <v>0</v>
      </c>
      <c r="J1771" s="17" t="n">
        <v>0</v>
      </c>
      <c r="K1771" s="17" t="n">
        <v>1</v>
      </c>
      <c r="L1771" s="17" t="n">
        <v>1</v>
      </c>
      <c r="M1771" s="17" t="n">
        <v>0</v>
      </c>
      <c r="N1771" s="17" t="n">
        <v>1</v>
      </c>
      <c r="O1771" s="17" t="n">
        <v>0</v>
      </c>
      <c r="P1771" s="17" t="n">
        <v>0</v>
      </c>
      <c r="Q1771" s="17" t="n">
        <v>0</v>
      </c>
      <c r="R1771" s="17" t="n">
        <v>0</v>
      </c>
      <c r="T1771" s="17">
        <f>DAY(C1771)</f>
        <v/>
      </c>
      <c r="U1771" s="17">
        <f>MONTH(C1771)</f>
        <v/>
      </c>
    </row>
    <row r="1772" ht="22.5" customHeight="1" s="117">
      <c r="A1772" s="14" t="n">
        <v>46087.34333496528</v>
      </c>
      <c r="B1772" s="17" t="inlineStr">
        <is>
          <t>Đặng Hoài Anh</t>
        </is>
      </c>
      <c r="C1772" s="16" t="n">
        <v>46086</v>
      </c>
      <c r="D1772" s="17" t="n">
        <v>0</v>
      </c>
      <c r="E1772" s="17" t="n">
        <v>0</v>
      </c>
      <c r="F1772" s="17" t="n">
        <v>0</v>
      </c>
      <c r="G1772" s="17" t="n">
        <v>0</v>
      </c>
      <c r="H1772" s="17" t="n">
        <v>0</v>
      </c>
      <c r="I1772" s="17" t="n">
        <v>0</v>
      </c>
      <c r="J1772" s="17" t="n">
        <v>0</v>
      </c>
      <c r="K1772" s="17" t="n">
        <v>0</v>
      </c>
      <c r="L1772" s="17" t="n">
        <v>0</v>
      </c>
      <c r="M1772" s="17" t="n">
        <v>1</v>
      </c>
      <c r="N1772" s="17" t="n">
        <v>0</v>
      </c>
      <c r="O1772" s="17" t="n">
        <v>0</v>
      </c>
      <c r="P1772" s="17" t="n">
        <v>0</v>
      </c>
      <c r="Q1772" s="17" t="n">
        <v>0</v>
      </c>
      <c r="R1772" s="17" t="n">
        <v>0</v>
      </c>
      <c r="T1772" s="17">
        <f>DAY(C1772)</f>
        <v/>
      </c>
      <c r="U1772" s="17">
        <f>MONTH(C1772)</f>
        <v/>
      </c>
    </row>
    <row r="1773" ht="22.5" customHeight="1" s="117">
      <c r="A1773" s="14" t="n">
        <v>46088.29645121528</v>
      </c>
      <c r="B1773" s="17" t="inlineStr">
        <is>
          <t>Đặng Hoài Anh</t>
        </is>
      </c>
      <c r="C1773" s="16" t="n">
        <v>46087</v>
      </c>
      <c r="D1773" s="17" t="n">
        <v>0</v>
      </c>
      <c r="E1773" s="17" t="n">
        <v>0</v>
      </c>
      <c r="F1773" s="17" t="n">
        <v>0</v>
      </c>
      <c r="G1773" s="17" t="n">
        <v>0</v>
      </c>
      <c r="H1773" s="17" t="n">
        <v>0</v>
      </c>
      <c r="I1773" s="17" t="n">
        <v>0</v>
      </c>
      <c r="J1773" s="17" t="n">
        <v>0</v>
      </c>
      <c r="K1773" s="17" t="n">
        <v>0</v>
      </c>
      <c r="L1773" s="17" t="n">
        <v>0</v>
      </c>
      <c r="M1773" s="17" t="n">
        <v>1</v>
      </c>
      <c r="N1773" s="17" t="n">
        <v>0</v>
      </c>
      <c r="O1773" s="17" t="n">
        <v>0</v>
      </c>
      <c r="P1773" s="17" t="n">
        <v>1</v>
      </c>
      <c r="Q1773" s="17" t="n">
        <v>1</v>
      </c>
      <c r="R1773" s="17" t="n">
        <v>0</v>
      </c>
      <c r="T1773" s="17">
        <f>DAY(C1773)</f>
        <v/>
      </c>
      <c r="U1773" s="17">
        <f>MONTH(C1773)</f>
        <v/>
      </c>
    </row>
    <row r="1774" ht="22.5" customHeight="1" s="117">
      <c r="A1774" s="14" t="n">
        <v>46088.29777859954</v>
      </c>
      <c r="B1774" s="17" t="inlineStr">
        <is>
          <t>Nguyễn Tuấn Anh</t>
        </is>
      </c>
      <c r="C1774" s="16" t="n">
        <v>46087</v>
      </c>
      <c r="D1774" s="17" t="n">
        <v>3</v>
      </c>
      <c r="E1774" s="17" t="n">
        <v>0</v>
      </c>
      <c r="F1774" s="17" t="n">
        <v>0</v>
      </c>
      <c r="G1774" s="17" t="n">
        <v>1</v>
      </c>
      <c r="H1774" s="17" t="n">
        <v>1</v>
      </c>
      <c r="I1774" s="17" t="n">
        <v>2</v>
      </c>
      <c r="J1774" s="17" t="n">
        <v>0</v>
      </c>
      <c r="K1774" s="17" t="n">
        <v>6</v>
      </c>
      <c r="L1774" s="17" t="n">
        <v>0</v>
      </c>
      <c r="M1774" s="17" t="n">
        <v>0</v>
      </c>
      <c r="N1774" s="17" t="n">
        <v>1</v>
      </c>
      <c r="O1774" s="17" t="n">
        <v>0</v>
      </c>
      <c r="P1774" s="17" t="n">
        <v>1</v>
      </c>
      <c r="Q1774" s="17" t="n">
        <v>2</v>
      </c>
      <c r="R1774" s="17" t="n">
        <v>0</v>
      </c>
      <c r="T1774" s="17">
        <f>DAY(C1774)</f>
        <v/>
      </c>
      <c r="U1774" s="17">
        <f>MONTH(C1774)</f>
        <v/>
      </c>
    </row>
    <row r="1775" ht="22.5" customHeight="1" s="117">
      <c r="A1775" s="14" t="n">
        <v>46088.29920993056</v>
      </c>
      <c r="B1775" s="17" t="inlineStr">
        <is>
          <t>Nguyễn Quang Anh Tuấn</t>
        </is>
      </c>
      <c r="C1775" s="16" t="n">
        <v>46087</v>
      </c>
      <c r="D1775" s="17" t="n">
        <v>0</v>
      </c>
      <c r="E1775" s="17" t="n">
        <v>0</v>
      </c>
      <c r="F1775" s="17" t="n">
        <v>0</v>
      </c>
      <c r="G1775" s="17" t="n">
        <v>0</v>
      </c>
      <c r="H1775" s="17" t="n">
        <v>0</v>
      </c>
      <c r="I1775" s="17" t="n">
        <v>0</v>
      </c>
      <c r="J1775" s="17" t="n">
        <v>0</v>
      </c>
      <c r="K1775" s="17" t="n">
        <v>0</v>
      </c>
      <c r="L1775" s="17" t="n">
        <v>0</v>
      </c>
      <c r="M1775" s="17" t="n">
        <v>0</v>
      </c>
      <c r="N1775" s="17" t="n">
        <v>0</v>
      </c>
      <c r="O1775" s="17" t="n">
        <v>0</v>
      </c>
      <c r="P1775" s="17" t="n">
        <v>0</v>
      </c>
      <c r="Q1775" s="17" t="n">
        <v>1</v>
      </c>
      <c r="R1775" s="17" t="n">
        <v>0</v>
      </c>
      <c r="T1775" s="17">
        <f>DAY(C1775)</f>
        <v/>
      </c>
      <c r="U1775" s="17">
        <f>MONTH(C1775)</f>
        <v/>
      </c>
    </row>
    <row r="1776" ht="22.5" customHeight="1" s="117">
      <c r="A1776" s="14" t="n">
        <v>46088.30778951389</v>
      </c>
      <c r="B1776" s="17" t="inlineStr">
        <is>
          <t>Nguyễn Văn Hiệp</t>
        </is>
      </c>
      <c r="C1776" s="16" t="n">
        <v>46087</v>
      </c>
      <c r="D1776" s="17" t="n">
        <v>0</v>
      </c>
      <c r="E1776" s="17" t="n">
        <v>0</v>
      </c>
      <c r="F1776" s="17" t="n">
        <v>0</v>
      </c>
      <c r="G1776" s="17" t="n">
        <v>0</v>
      </c>
      <c r="H1776" s="17" t="n">
        <v>0</v>
      </c>
      <c r="I1776" s="17" t="n">
        <v>0</v>
      </c>
      <c r="J1776" s="17" t="n">
        <v>0</v>
      </c>
      <c r="K1776" s="17" t="n">
        <v>0</v>
      </c>
      <c r="L1776" s="17" t="n">
        <v>0</v>
      </c>
      <c r="M1776" s="17" t="n">
        <v>0</v>
      </c>
      <c r="N1776" s="17" t="n">
        <v>0</v>
      </c>
      <c r="O1776" s="17" t="n">
        <v>9</v>
      </c>
      <c r="P1776" s="17" t="n">
        <v>0</v>
      </c>
      <c r="Q1776" s="17" t="n">
        <v>1</v>
      </c>
      <c r="R1776" s="17" t="n">
        <v>1</v>
      </c>
      <c r="T1776" s="17">
        <f>DAY(C1776)</f>
        <v/>
      </c>
      <c r="U1776" s="17">
        <f>MONTH(C1776)</f>
        <v/>
      </c>
    </row>
    <row r="1777" ht="22.5" customHeight="1" s="117">
      <c r="A1777" s="14" t="n">
        <v>46088.3147137037</v>
      </c>
      <c r="B1777" s="17" t="inlineStr">
        <is>
          <t>Trần Trung Giang</t>
        </is>
      </c>
      <c r="C1777" s="16" t="n">
        <v>46087</v>
      </c>
      <c r="D1777" s="17" t="n">
        <v>0</v>
      </c>
      <c r="E1777" s="17" t="n">
        <v>0</v>
      </c>
      <c r="F1777" s="17" t="n">
        <v>0</v>
      </c>
      <c r="G1777" s="17" t="n">
        <v>0</v>
      </c>
      <c r="H1777" s="17" t="n">
        <v>0</v>
      </c>
      <c r="I1777" s="17" t="n">
        <v>0</v>
      </c>
      <c r="J1777" s="17" t="n">
        <v>0</v>
      </c>
      <c r="K1777" s="17" t="n">
        <v>11</v>
      </c>
      <c r="L1777" s="17" t="n">
        <v>0</v>
      </c>
      <c r="M1777" s="17" t="n">
        <v>0</v>
      </c>
      <c r="N1777" s="17" t="n">
        <v>0</v>
      </c>
      <c r="O1777" s="17" t="n">
        <v>0</v>
      </c>
      <c r="P1777" s="17" t="n">
        <v>0</v>
      </c>
      <c r="Q1777" s="17" t="n">
        <v>0</v>
      </c>
      <c r="R1777" s="17" t="n">
        <v>0</v>
      </c>
      <c r="T1777" s="17">
        <f>DAY(C1777)</f>
        <v/>
      </c>
      <c r="U1777" s="17">
        <f>MONTH(C1777)</f>
        <v/>
      </c>
    </row>
    <row r="1778" ht="22.5" customHeight="1" s="117">
      <c r="A1778" s="14" t="n">
        <v>46088.3244106713</v>
      </c>
      <c r="B1778" s="17" t="inlineStr">
        <is>
          <t>Huỳnh Văn Lực</t>
        </is>
      </c>
      <c r="C1778" s="16" t="n">
        <v>46087</v>
      </c>
      <c r="D1778" s="17" t="n">
        <v>0</v>
      </c>
      <c r="E1778" s="17" t="n">
        <v>0</v>
      </c>
      <c r="F1778" s="17" t="n">
        <v>0</v>
      </c>
      <c r="G1778" s="17" t="n">
        <v>1</v>
      </c>
      <c r="H1778" s="17" t="n">
        <v>0</v>
      </c>
      <c r="I1778" s="17" t="n">
        <v>0</v>
      </c>
      <c r="J1778" s="17" t="n">
        <v>0</v>
      </c>
      <c r="K1778" s="17" t="n">
        <v>4</v>
      </c>
      <c r="L1778" s="17" t="n">
        <v>0</v>
      </c>
      <c r="M1778" s="17" t="n">
        <v>0</v>
      </c>
      <c r="N1778" s="17" t="n">
        <v>0</v>
      </c>
      <c r="O1778" s="17" t="n">
        <v>0</v>
      </c>
      <c r="P1778" s="17" t="n">
        <v>1</v>
      </c>
      <c r="Q1778" s="17" t="n">
        <v>1</v>
      </c>
      <c r="R1778" s="17" t="n">
        <v>0</v>
      </c>
      <c r="T1778" s="17">
        <f>DAY(C1778)</f>
        <v/>
      </c>
      <c r="U1778" s="17">
        <f>MONTH(C1778)</f>
        <v/>
      </c>
    </row>
    <row r="1779" ht="22.5" customHeight="1" s="117">
      <c r="A1779" s="14" t="n">
        <v>46089.29926535879</v>
      </c>
      <c r="B1779" s="17" t="inlineStr">
        <is>
          <t>Nguyễn Văn Hiệp</t>
        </is>
      </c>
      <c r="C1779" s="16" t="n">
        <v>46088</v>
      </c>
      <c r="D1779" s="17" t="n">
        <v>0</v>
      </c>
      <c r="E1779" s="17" t="n">
        <v>0</v>
      </c>
      <c r="F1779" s="17" t="n">
        <v>0</v>
      </c>
      <c r="G1779" s="17" t="n">
        <v>1</v>
      </c>
      <c r="H1779" s="17" t="n">
        <v>1</v>
      </c>
      <c r="I1779" s="17" t="n">
        <v>0</v>
      </c>
      <c r="J1779" s="17" t="n">
        <v>0</v>
      </c>
      <c r="K1779" s="17" t="n">
        <v>6</v>
      </c>
      <c r="L1779" s="17" t="n">
        <v>0</v>
      </c>
      <c r="M1779" s="17" t="n">
        <v>0</v>
      </c>
      <c r="N1779" s="17" t="n">
        <v>0</v>
      </c>
      <c r="O1779" s="17" t="n">
        <v>0</v>
      </c>
      <c r="P1779" s="17" t="n">
        <v>0</v>
      </c>
      <c r="Q1779" s="17" t="n">
        <v>0</v>
      </c>
      <c r="R1779" s="17" t="n">
        <v>0</v>
      </c>
      <c r="T1779" s="17">
        <f>DAY(C1779)</f>
        <v/>
      </c>
      <c r="U1779" s="17">
        <f>MONTH(C1779)</f>
        <v/>
      </c>
    </row>
    <row r="1780" ht="22.5" customHeight="1" s="117">
      <c r="A1780" s="14" t="n">
        <v>46089.30398225695</v>
      </c>
      <c r="B1780" s="17" t="inlineStr">
        <is>
          <t>Nguyễn Tuấn Anh</t>
        </is>
      </c>
      <c r="C1780" s="16" t="n">
        <v>46088</v>
      </c>
      <c r="D1780" s="17" t="n">
        <v>1</v>
      </c>
      <c r="E1780" s="17" t="n">
        <v>1</v>
      </c>
      <c r="F1780" s="17" t="n">
        <v>0</v>
      </c>
      <c r="G1780" s="17" t="n">
        <v>0</v>
      </c>
      <c r="H1780" s="17" t="n">
        <v>0</v>
      </c>
      <c r="I1780" s="17" t="n">
        <v>0</v>
      </c>
      <c r="J1780" s="17" t="n">
        <v>0</v>
      </c>
      <c r="K1780" s="17" t="n">
        <v>4</v>
      </c>
      <c r="L1780" s="17" t="n">
        <v>0</v>
      </c>
      <c r="M1780" s="17" t="n">
        <v>0</v>
      </c>
      <c r="N1780" s="17" t="n">
        <v>0</v>
      </c>
      <c r="O1780" s="17" t="n">
        <v>0</v>
      </c>
      <c r="P1780" s="17" t="n">
        <v>0</v>
      </c>
      <c r="Q1780" s="17" t="n">
        <v>2</v>
      </c>
      <c r="R1780" s="17" t="n">
        <v>0</v>
      </c>
      <c r="T1780" s="17">
        <f>DAY(C1780)</f>
        <v/>
      </c>
      <c r="U1780" s="17">
        <f>MONTH(C1780)</f>
        <v/>
      </c>
    </row>
    <row r="1781" ht="22.5" customHeight="1" s="117">
      <c r="A1781" s="14" t="n">
        <v>46089.30844686343</v>
      </c>
      <c r="B1781" s="17" t="inlineStr">
        <is>
          <t>Trần Trung Giang</t>
        </is>
      </c>
      <c r="C1781" s="16" t="n">
        <v>46088</v>
      </c>
      <c r="D1781" s="17" t="n">
        <v>0</v>
      </c>
      <c r="E1781" s="17" t="n">
        <v>0</v>
      </c>
      <c r="F1781" s="17" t="n">
        <v>0</v>
      </c>
      <c r="G1781" s="17" t="n">
        <v>0</v>
      </c>
      <c r="H1781" s="17" t="n">
        <v>0</v>
      </c>
      <c r="I1781" s="17" t="n">
        <v>0</v>
      </c>
      <c r="J1781" s="17" t="n">
        <v>0</v>
      </c>
      <c r="K1781" s="17" t="n">
        <v>4</v>
      </c>
      <c r="L1781" s="17" t="n">
        <v>0</v>
      </c>
      <c r="M1781" s="17" t="n">
        <v>0</v>
      </c>
      <c r="N1781" s="17" t="n">
        <v>0</v>
      </c>
      <c r="O1781" s="17" t="n">
        <v>0</v>
      </c>
      <c r="P1781" s="17" t="n">
        <v>0</v>
      </c>
      <c r="Q1781" s="17" t="n">
        <v>0</v>
      </c>
      <c r="R1781" s="17" t="n">
        <v>0</v>
      </c>
      <c r="T1781" s="17">
        <f>DAY(C1781)</f>
        <v/>
      </c>
      <c r="U1781" s="17">
        <f>MONTH(C1781)</f>
        <v/>
      </c>
    </row>
    <row r="1782" ht="22.5" customHeight="1" s="117">
      <c r="A1782" s="14" t="n">
        <v>46089.32988923611</v>
      </c>
      <c r="B1782" s="17" t="inlineStr">
        <is>
          <t>Đặng Hoài Anh</t>
        </is>
      </c>
      <c r="C1782" s="16" t="n">
        <v>46088</v>
      </c>
      <c r="D1782" s="17" t="n">
        <v>0</v>
      </c>
      <c r="E1782" s="17" t="n">
        <v>0</v>
      </c>
      <c r="F1782" s="17" t="n">
        <v>1</v>
      </c>
      <c r="G1782" s="17" t="n">
        <v>0</v>
      </c>
      <c r="H1782" s="17" t="n">
        <v>0</v>
      </c>
      <c r="I1782" s="17" t="n">
        <v>0</v>
      </c>
      <c r="J1782" s="17" t="n">
        <v>0</v>
      </c>
      <c r="K1782" s="17" t="n">
        <v>1</v>
      </c>
      <c r="L1782" s="17" t="n">
        <v>0</v>
      </c>
      <c r="M1782" s="17" t="n">
        <v>1</v>
      </c>
      <c r="N1782" s="17" t="n">
        <v>0</v>
      </c>
      <c r="O1782" s="17" t="n">
        <v>0</v>
      </c>
      <c r="P1782" s="17" t="n">
        <v>1</v>
      </c>
      <c r="Q1782" s="17" t="n">
        <v>0</v>
      </c>
      <c r="R1782" s="17" t="n">
        <v>0</v>
      </c>
      <c r="T1782" s="17">
        <f>DAY(C1782)</f>
        <v/>
      </c>
      <c r="U1782" s="17">
        <f>MONTH(C1782)</f>
        <v/>
      </c>
    </row>
    <row r="1783" ht="22.5" customHeight="1" s="117">
      <c r="A1783" s="14" t="n">
        <v>46090.29569366898</v>
      </c>
      <c r="B1783" s="17" t="inlineStr">
        <is>
          <t>Nguyễn Văn Hiệp</t>
        </is>
      </c>
      <c r="C1783" s="16" t="n">
        <v>46089</v>
      </c>
      <c r="D1783" s="17" t="n">
        <v>0</v>
      </c>
      <c r="E1783" s="17" t="n">
        <v>0</v>
      </c>
      <c r="F1783" s="17" t="n">
        <v>0</v>
      </c>
      <c r="G1783" s="17" t="n">
        <v>0</v>
      </c>
      <c r="H1783" s="17" t="n">
        <v>0</v>
      </c>
      <c r="I1783" s="17" t="n">
        <v>0</v>
      </c>
      <c r="J1783" s="17" t="n">
        <v>0</v>
      </c>
      <c r="K1783" s="17" t="n">
        <v>0</v>
      </c>
      <c r="L1783" s="17" t="n">
        <v>0</v>
      </c>
      <c r="M1783" s="17" t="n">
        <v>0</v>
      </c>
      <c r="N1783" s="17" t="n">
        <v>0</v>
      </c>
      <c r="O1783" s="17" t="n">
        <v>0</v>
      </c>
      <c r="P1783" s="17" t="n">
        <v>1</v>
      </c>
      <c r="Q1783" s="17" t="n">
        <v>0</v>
      </c>
      <c r="R1783" s="17" t="n">
        <v>0</v>
      </c>
      <c r="T1783" s="17">
        <f>DAY(C1783)</f>
        <v/>
      </c>
      <c r="U1783" s="17">
        <f>MONTH(C1783)</f>
        <v/>
      </c>
    </row>
    <row r="1784" ht="22.5" customHeight="1" s="117">
      <c r="A1784" s="14" t="n">
        <v>46090.29852024306</v>
      </c>
      <c r="B1784" s="17" t="inlineStr">
        <is>
          <t>Nguyễn Tuấn Anh</t>
        </is>
      </c>
      <c r="C1784" s="16" t="n">
        <v>46089</v>
      </c>
      <c r="D1784" s="17" t="n">
        <v>0</v>
      </c>
      <c r="E1784" s="17" t="n">
        <v>0</v>
      </c>
      <c r="F1784" s="17" t="n">
        <v>0</v>
      </c>
      <c r="G1784" s="17" t="n">
        <v>0</v>
      </c>
      <c r="H1784" s="17" t="n">
        <v>0</v>
      </c>
      <c r="I1784" s="17" t="n">
        <v>2</v>
      </c>
      <c r="J1784" s="17" t="n">
        <v>0</v>
      </c>
      <c r="K1784" s="17" t="n">
        <v>4</v>
      </c>
      <c r="L1784" s="17" t="n">
        <v>0</v>
      </c>
      <c r="M1784" s="17" t="n">
        <v>0</v>
      </c>
      <c r="N1784" s="17" t="n">
        <v>0</v>
      </c>
      <c r="O1784" s="17" t="n">
        <v>0</v>
      </c>
      <c r="P1784" s="17" t="n">
        <v>1</v>
      </c>
      <c r="Q1784" s="17" t="n">
        <v>2</v>
      </c>
      <c r="R1784" s="17" t="n">
        <v>0</v>
      </c>
      <c r="T1784" s="17">
        <f>DAY(C1784)</f>
        <v/>
      </c>
      <c r="U1784" s="17">
        <f>MONTH(C1784)</f>
        <v/>
      </c>
    </row>
    <row r="1785" ht="22.5" customHeight="1" s="117">
      <c r="A1785" s="14" t="n">
        <v>46090.30951238426</v>
      </c>
      <c r="B1785" s="17" t="inlineStr">
        <is>
          <t>Đặng Hoài Anh</t>
        </is>
      </c>
      <c r="C1785" s="16" t="n">
        <v>46089</v>
      </c>
      <c r="D1785" s="17" t="n">
        <v>0</v>
      </c>
      <c r="E1785" s="17" t="n">
        <v>0</v>
      </c>
      <c r="F1785" s="17" t="n">
        <v>0</v>
      </c>
      <c r="G1785" s="17" t="n">
        <v>0</v>
      </c>
      <c r="H1785" s="17" t="n">
        <v>0</v>
      </c>
      <c r="I1785" s="17" t="n">
        <v>0</v>
      </c>
      <c r="J1785" s="17" t="n">
        <v>0</v>
      </c>
      <c r="K1785" s="17" t="n">
        <v>0</v>
      </c>
      <c r="L1785" s="17" t="n">
        <v>0</v>
      </c>
      <c r="M1785" s="17" t="n">
        <v>0</v>
      </c>
      <c r="N1785" s="17" t="n">
        <v>0</v>
      </c>
      <c r="O1785" s="17" t="n">
        <v>0</v>
      </c>
      <c r="P1785" s="17" t="n">
        <v>2</v>
      </c>
      <c r="Q1785" s="17" t="n">
        <v>1</v>
      </c>
      <c r="R1785" s="17" t="n">
        <v>0</v>
      </c>
      <c r="T1785" s="17">
        <f>DAY(C1785)</f>
        <v/>
      </c>
      <c r="U1785" s="17">
        <f>MONTH(C1785)</f>
        <v/>
      </c>
    </row>
    <row r="1786" ht="22.5" customHeight="1" s="117">
      <c r="A1786" s="14" t="n">
        <v>46090.31805386574</v>
      </c>
      <c r="B1786" s="17" t="inlineStr">
        <is>
          <t>Trần Trung Giang</t>
        </is>
      </c>
      <c r="C1786" s="16" t="n">
        <v>46089</v>
      </c>
      <c r="D1786" s="17" t="n">
        <v>0</v>
      </c>
      <c r="E1786" s="17" t="n">
        <v>0</v>
      </c>
      <c r="F1786" s="17" t="n">
        <v>0</v>
      </c>
      <c r="G1786" s="17" t="n">
        <v>0</v>
      </c>
      <c r="H1786" s="17" t="n">
        <v>0</v>
      </c>
      <c r="I1786" s="17" t="n">
        <v>0</v>
      </c>
      <c r="J1786" s="17" t="n">
        <v>0</v>
      </c>
      <c r="K1786" s="17" t="n">
        <v>2</v>
      </c>
      <c r="L1786" s="17" t="n">
        <v>0</v>
      </c>
      <c r="M1786" s="17" t="n">
        <v>0</v>
      </c>
      <c r="N1786" s="17" t="n">
        <v>0</v>
      </c>
      <c r="O1786" s="17" t="n">
        <v>0</v>
      </c>
      <c r="P1786" s="17" t="n">
        <v>2</v>
      </c>
      <c r="Q1786" s="17" t="n">
        <v>0</v>
      </c>
      <c r="R1786" s="17" t="n">
        <v>0</v>
      </c>
      <c r="T1786" s="17">
        <f>DAY(C1786)</f>
        <v/>
      </c>
      <c r="U1786" s="17">
        <f>MONTH(C1786)</f>
        <v/>
      </c>
    </row>
    <row r="1787" ht="22.5" customHeight="1" s="117">
      <c r="A1787" s="14" t="n">
        <v>46090.96153841435</v>
      </c>
      <c r="B1787" s="17" t="inlineStr">
        <is>
          <t>Trần Minh Khánh</t>
        </is>
      </c>
      <c r="C1787" s="16" t="n">
        <v>46090</v>
      </c>
      <c r="D1787" s="17" t="n">
        <v>1</v>
      </c>
      <c r="E1787" s="17" t="n">
        <v>0</v>
      </c>
      <c r="F1787" s="17" t="n">
        <v>0</v>
      </c>
      <c r="G1787" s="17" t="n">
        <v>0</v>
      </c>
      <c r="H1787" s="17" t="n">
        <v>0</v>
      </c>
      <c r="I1787" s="17" t="n">
        <v>0</v>
      </c>
      <c r="J1787" s="17" t="n">
        <v>0</v>
      </c>
      <c r="K1787" s="17" t="n">
        <v>2</v>
      </c>
      <c r="L1787" s="17" t="n">
        <v>0</v>
      </c>
      <c r="M1787" s="17" t="n">
        <v>0</v>
      </c>
      <c r="N1787" s="17" t="n">
        <v>0</v>
      </c>
      <c r="O1787" s="17" t="n">
        <v>0</v>
      </c>
      <c r="P1787" s="17" t="n">
        <v>2</v>
      </c>
      <c r="Q1787" s="17" t="n">
        <v>4</v>
      </c>
      <c r="R1787" s="17" t="n">
        <v>0</v>
      </c>
      <c r="T1787" s="17">
        <f>DAY(C1787)</f>
        <v/>
      </c>
      <c r="U1787" s="17">
        <f>MONTH(C1787)</f>
        <v/>
      </c>
    </row>
    <row r="1788" ht="22.5" customHeight="1" s="117">
      <c r="A1788" s="14" t="n">
        <v>46091.30927866898</v>
      </c>
      <c r="B1788" s="17" t="inlineStr">
        <is>
          <t>Nguyễn Văn Hiệp</t>
        </is>
      </c>
      <c r="C1788" s="16" t="n">
        <v>46090</v>
      </c>
      <c r="D1788" s="17" t="n">
        <v>0</v>
      </c>
      <c r="E1788" s="17" t="n">
        <v>0</v>
      </c>
      <c r="F1788" s="17" t="n">
        <v>0</v>
      </c>
      <c r="G1788" s="17" t="n">
        <v>0</v>
      </c>
      <c r="H1788" s="17" t="n">
        <v>0</v>
      </c>
      <c r="I1788" s="17" t="n">
        <v>0</v>
      </c>
      <c r="J1788" s="17" t="n">
        <v>0</v>
      </c>
      <c r="K1788" s="17" t="n">
        <v>9</v>
      </c>
      <c r="L1788" s="17" t="n">
        <v>0</v>
      </c>
      <c r="M1788" s="17" t="n">
        <v>0</v>
      </c>
      <c r="N1788" s="17" t="n">
        <v>0</v>
      </c>
      <c r="O1788" s="17" t="n">
        <v>0</v>
      </c>
      <c r="P1788" s="17" t="n">
        <v>0</v>
      </c>
      <c r="Q1788" s="17" t="n">
        <v>0</v>
      </c>
      <c r="R1788" s="17" t="n">
        <v>0</v>
      </c>
      <c r="T1788" s="17">
        <f>DAY(C1788)</f>
        <v/>
      </c>
      <c r="U1788" s="17">
        <f>MONTH(C1788)</f>
        <v/>
      </c>
    </row>
    <row r="1789" ht="22.5" customHeight="1" s="117">
      <c r="A1789" s="14" t="n">
        <v>46091.31015179398</v>
      </c>
      <c r="B1789" s="17" t="inlineStr">
        <is>
          <t>Trần Trung Giang</t>
        </is>
      </c>
      <c r="C1789" s="16" t="n">
        <v>46090</v>
      </c>
      <c r="D1789" s="17" t="n">
        <v>0</v>
      </c>
      <c r="E1789" s="17" t="n">
        <v>0</v>
      </c>
      <c r="F1789" s="17" t="n">
        <v>0</v>
      </c>
      <c r="G1789" s="17" t="n">
        <v>0</v>
      </c>
      <c r="H1789" s="17" t="n">
        <v>0</v>
      </c>
      <c r="I1789" s="17" t="n">
        <v>0</v>
      </c>
      <c r="J1789" s="17" t="n">
        <v>0</v>
      </c>
      <c r="K1789" s="17" t="n">
        <v>0</v>
      </c>
      <c r="L1789" s="17" t="n">
        <v>0</v>
      </c>
      <c r="M1789" s="17" t="n">
        <v>0</v>
      </c>
      <c r="N1789" s="17" t="n">
        <v>0</v>
      </c>
      <c r="O1789" s="17" t="n">
        <v>0</v>
      </c>
      <c r="P1789" s="17" t="n">
        <v>0</v>
      </c>
      <c r="Q1789" s="17" t="n">
        <v>0</v>
      </c>
      <c r="R1789" s="17" t="n">
        <v>2</v>
      </c>
      <c r="T1789" s="17">
        <f>DAY(C1789)</f>
        <v/>
      </c>
      <c r="U1789" s="17">
        <f>MONTH(C1789)</f>
        <v/>
      </c>
    </row>
    <row r="1790" ht="22.5" customHeight="1" s="117">
      <c r="A1790" s="14" t="n">
        <v>46091.31213342593</v>
      </c>
      <c r="B1790" s="17" t="inlineStr">
        <is>
          <t>Nguyễn Tuấn Anh</t>
        </is>
      </c>
      <c r="C1790" s="16" t="n">
        <v>46090</v>
      </c>
      <c r="D1790" s="17" t="n">
        <v>0</v>
      </c>
      <c r="E1790" s="17" t="n">
        <v>0</v>
      </c>
      <c r="F1790" s="17" t="n">
        <v>0</v>
      </c>
      <c r="G1790" s="17" t="n">
        <v>0</v>
      </c>
      <c r="H1790" s="17" t="n">
        <v>0</v>
      </c>
      <c r="I1790" s="17" t="n">
        <v>2</v>
      </c>
      <c r="J1790" s="17" t="n">
        <v>0</v>
      </c>
      <c r="K1790" s="17" t="n">
        <v>22</v>
      </c>
      <c r="L1790" s="17" t="n">
        <v>0</v>
      </c>
      <c r="M1790" s="17" t="n">
        <v>0</v>
      </c>
      <c r="N1790" s="17" t="n">
        <v>2</v>
      </c>
      <c r="O1790" s="17" t="n">
        <v>0</v>
      </c>
      <c r="P1790" s="17" t="n">
        <v>0</v>
      </c>
      <c r="Q1790" s="17" t="n">
        <v>8</v>
      </c>
      <c r="R1790" s="17" t="n">
        <v>0</v>
      </c>
      <c r="T1790" s="17">
        <f>DAY(C1790)</f>
        <v/>
      </c>
      <c r="U1790" s="17">
        <f>MONTH(C1790)</f>
        <v/>
      </c>
    </row>
    <row r="1791" ht="22.5" customHeight="1" s="117">
      <c r="A1791" s="14" t="n">
        <v>46091.31345206018</v>
      </c>
      <c r="B1791" s="17" t="inlineStr">
        <is>
          <t>Đặng Hoài Anh</t>
        </is>
      </c>
      <c r="C1791" s="16" t="n">
        <v>46090</v>
      </c>
      <c r="D1791" s="17" t="n">
        <v>0</v>
      </c>
      <c r="E1791" s="17" t="n">
        <v>0</v>
      </c>
      <c r="F1791" s="17" t="n">
        <v>0</v>
      </c>
      <c r="G1791" s="17" t="n">
        <v>0</v>
      </c>
      <c r="H1791" s="17" t="n">
        <v>0</v>
      </c>
      <c r="I1791" s="17" t="n">
        <v>0</v>
      </c>
      <c r="J1791" s="17" t="n">
        <v>0</v>
      </c>
      <c r="K1791" s="17" t="n">
        <v>2</v>
      </c>
      <c r="L1791" s="17" t="n">
        <v>0</v>
      </c>
      <c r="M1791" s="17" t="n">
        <v>0</v>
      </c>
      <c r="N1791" s="17" t="n">
        <v>0</v>
      </c>
      <c r="O1791" s="17" t="n">
        <v>0</v>
      </c>
      <c r="P1791" s="17" t="n">
        <v>0</v>
      </c>
      <c r="Q1791" s="17" t="n">
        <v>0</v>
      </c>
      <c r="R1791" s="17" t="n">
        <v>0</v>
      </c>
      <c r="T1791" s="17">
        <f>DAY(C1791)</f>
        <v/>
      </c>
      <c r="U1791" s="17">
        <f>MONTH(C1791)</f>
        <v/>
      </c>
    </row>
    <row r="1792" ht="22.5" customHeight="1" s="117">
      <c r="A1792" s="14" t="n">
        <v>46092.29559097222</v>
      </c>
      <c r="B1792" s="17" t="inlineStr">
        <is>
          <t>Nguyễn Văn Hiệp</t>
        </is>
      </c>
      <c r="C1792" s="16" t="n">
        <v>46091</v>
      </c>
      <c r="D1792" s="17" t="n">
        <v>0</v>
      </c>
      <c r="E1792" s="17" t="n">
        <v>0</v>
      </c>
      <c r="F1792" s="17" t="n">
        <v>0</v>
      </c>
      <c r="G1792" s="17" t="n">
        <v>0</v>
      </c>
      <c r="H1792" s="17" t="n">
        <v>0</v>
      </c>
      <c r="I1792" s="17" t="n">
        <v>0</v>
      </c>
      <c r="J1792" s="17" t="n">
        <v>0</v>
      </c>
      <c r="K1792" s="17" t="n">
        <v>6</v>
      </c>
      <c r="L1792" s="17" t="n">
        <v>0</v>
      </c>
      <c r="M1792" s="17" t="n">
        <v>0</v>
      </c>
      <c r="N1792" s="17" t="n">
        <v>0</v>
      </c>
      <c r="O1792" s="17" t="n">
        <v>0</v>
      </c>
      <c r="P1792" s="17" t="n">
        <v>0</v>
      </c>
      <c r="Q1792" s="17" t="n">
        <v>2</v>
      </c>
      <c r="R1792" s="17" t="n">
        <v>0</v>
      </c>
      <c r="T1792" s="17">
        <f>DAY(C1792)</f>
        <v/>
      </c>
      <c r="U1792" s="17">
        <f>MONTH(C1792)</f>
        <v/>
      </c>
    </row>
    <row r="1793" ht="22.5" customHeight="1" s="117">
      <c r="A1793" s="14" t="n">
        <v>46092.29698989583</v>
      </c>
      <c r="B1793" s="17" t="inlineStr">
        <is>
          <t>Nguyễn Tuấn Anh</t>
        </is>
      </c>
      <c r="C1793" s="16" t="n">
        <v>46092</v>
      </c>
      <c r="D1793" s="17" t="n">
        <v>1</v>
      </c>
      <c r="E1793" s="17" t="n">
        <v>0</v>
      </c>
      <c r="F1793" s="17" t="n">
        <v>0</v>
      </c>
      <c r="G1793" s="17" t="n">
        <v>0</v>
      </c>
      <c r="H1793" s="17" t="n">
        <v>0</v>
      </c>
      <c r="I1793" s="17" t="n">
        <v>2</v>
      </c>
      <c r="J1793" s="17" t="n">
        <v>0</v>
      </c>
      <c r="K1793" s="17" t="n">
        <v>35</v>
      </c>
      <c r="L1793" s="17" t="n">
        <v>0</v>
      </c>
      <c r="M1793" s="17" t="n">
        <v>0</v>
      </c>
      <c r="N1793" s="17" t="n">
        <v>0</v>
      </c>
      <c r="O1793" s="17" t="n">
        <v>0</v>
      </c>
      <c r="P1793" s="17" t="n">
        <v>1</v>
      </c>
      <c r="Q1793" s="17" t="n">
        <v>2</v>
      </c>
      <c r="R1793" s="17" t="n">
        <v>0</v>
      </c>
      <c r="T1793" s="17">
        <f>DAY(C1793)</f>
        <v/>
      </c>
      <c r="U1793" s="17">
        <f>MONTH(C1793)</f>
        <v/>
      </c>
    </row>
    <row r="1794" ht="22.5" customHeight="1" s="117">
      <c r="A1794" s="14" t="n">
        <v>46092.30817658565</v>
      </c>
      <c r="B1794" s="17" t="inlineStr">
        <is>
          <t>Trần Trung Giang</t>
        </is>
      </c>
      <c r="C1794" s="16" t="n">
        <v>46091</v>
      </c>
      <c r="D1794" s="17" t="n">
        <v>0</v>
      </c>
      <c r="E1794" s="17" t="n">
        <v>0</v>
      </c>
      <c r="F1794" s="17" t="n">
        <v>0</v>
      </c>
      <c r="G1794" s="17" t="n">
        <v>1</v>
      </c>
      <c r="H1794" s="17" t="n">
        <v>0</v>
      </c>
      <c r="I1794" s="17" t="n">
        <v>0</v>
      </c>
      <c r="J1794" s="17" t="n">
        <v>0</v>
      </c>
      <c r="K1794" s="17" t="n">
        <v>7</v>
      </c>
      <c r="L1794" s="17" t="n">
        <v>0</v>
      </c>
      <c r="M1794" s="17" t="n">
        <v>0</v>
      </c>
      <c r="N1794" s="17" t="n">
        <v>0</v>
      </c>
      <c r="O1794" s="17" t="n">
        <v>0</v>
      </c>
      <c r="P1794" s="17" t="n">
        <v>2</v>
      </c>
      <c r="Q1794" s="17" t="n">
        <v>0</v>
      </c>
      <c r="R1794" s="17" t="n">
        <v>1</v>
      </c>
      <c r="T1794" s="17">
        <f>DAY(C1794)</f>
        <v/>
      </c>
      <c r="U1794" s="17">
        <f>MONTH(C1794)</f>
        <v/>
      </c>
    </row>
    <row r="1795" ht="22.5" customHeight="1" s="117">
      <c r="A1795" s="14" t="n">
        <v>46092.33688045139</v>
      </c>
      <c r="B1795" s="17" t="inlineStr">
        <is>
          <t>Đặng Hoài Anh</t>
        </is>
      </c>
      <c r="C1795" s="16" t="n">
        <v>46091</v>
      </c>
      <c r="D1795" s="17" t="n">
        <v>0</v>
      </c>
      <c r="E1795" s="17" t="n">
        <v>0</v>
      </c>
      <c r="F1795" s="17" t="n">
        <v>0</v>
      </c>
      <c r="G1795" s="17" t="n">
        <v>0</v>
      </c>
      <c r="H1795" s="17" t="n">
        <v>0</v>
      </c>
      <c r="I1795" s="17" t="n">
        <v>0</v>
      </c>
      <c r="J1795" s="17" t="n">
        <v>0</v>
      </c>
      <c r="K1795" s="17" t="n">
        <v>4</v>
      </c>
      <c r="L1795" s="17" t="n">
        <v>0</v>
      </c>
      <c r="M1795" s="17" t="n">
        <v>0</v>
      </c>
      <c r="N1795" s="17" t="n">
        <v>0</v>
      </c>
      <c r="O1795" s="17" t="n">
        <v>0</v>
      </c>
      <c r="P1795" s="17" t="n">
        <v>1</v>
      </c>
      <c r="Q1795" s="17" t="n">
        <v>1</v>
      </c>
      <c r="R1795" s="17" t="n">
        <v>0</v>
      </c>
      <c r="T1795" s="17">
        <f>DAY(C1795)</f>
        <v/>
      </c>
      <c r="U1795" s="17">
        <f>MONTH(C1795)</f>
        <v/>
      </c>
    </row>
    <row r="1796" ht="22.5" customHeight="1" s="117">
      <c r="A1796" s="14" t="n">
        <v>46093.26832451389</v>
      </c>
      <c r="B1796" s="17" t="inlineStr">
        <is>
          <t>Nguyễn Văn Hiệp</t>
        </is>
      </c>
      <c r="C1796" s="16" t="n">
        <v>46092</v>
      </c>
      <c r="D1796" s="17" t="n">
        <v>0</v>
      </c>
      <c r="E1796" s="17" t="n">
        <v>0</v>
      </c>
      <c r="F1796" s="17" t="n">
        <v>0</v>
      </c>
      <c r="G1796" s="17" t="n">
        <v>0</v>
      </c>
      <c r="H1796" s="17" t="n">
        <v>0</v>
      </c>
      <c r="I1796" s="17" t="n">
        <v>0</v>
      </c>
      <c r="J1796" s="17" t="n">
        <v>0</v>
      </c>
      <c r="K1796" s="17" t="n">
        <v>6</v>
      </c>
      <c r="L1796" s="17" t="n">
        <v>0</v>
      </c>
      <c r="M1796" s="17" t="n">
        <v>0</v>
      </c>
      <c r="N1796" s="17" t="n">
        <v>0</v>
      </c>
      <c r="O1796" s="17" t="n">
        <v>0</v>
      </c>
      <c r="P1796" s="17" t="n">
        <v>0</v>
      </c>
      <c r="Q1796" s="17" t="n">
        <v>0</v>
      </c>
      <c r="R1796" s="17" t="n">
        <v>0</v>
      </c>
      <c r="T1796" s="17">
        <f>DAY(C1796)</f>
        <v/>
      </c>
      <c r="U1796" s="17">
        <f>MONTH(C1796)</f>
        <v/>
      </c>
    </row>
    <row r="1797" ht="22.5" customHeight="1" s="117">
      <c r="A1797" s="14" t="n">
        <v>46093.29560912037</v>
      </c>
      <c r="B1797" s="17" t="inlineStr">
        <is>
          <t>Nguyễn Tuấn Anh</t>
        </is>
      </c>
      <c r="C1797" s="16" t="n">
        <v>46092</v>
      </c>
      <c r="D1797" s="17" t="n">
        <v>0</v>
      </c>
      <c r="E1797" s="17" t="n">
        <v>0</v>
      </c>
      <c r="F1797" s="17" t="n">
        <v>0</v>
      </c>
      <c r="G1797" s="17" t="n">
        <v>0</v>
      </c>
      <c r="H1797" s="17" t="n">
        <v>0</v>
      </c>
      <c r="I1797" s="17" t="n">
        <v>2</v>
      </c>
      <c r="J1797" s="17" t="n">
        <v>0</v>
      </c>
      <c r="K1797" s="17" t="n">
        <v>48</v>
      </c>
      <c r="L1797" s="17" t="n">
        <v>0</v>
      </c>
      <c r="M1797" s="17" t="n">
        <v>0</v>
      </c>
      <c r="N1797" s="17" t="n">
        <v>0</v>
      </c>
      <c r="O1797" s="17" t="n">
        <v>0</v>
      </c>
      <c r="P1797" s="17" t="n">
        <v>0</v>
      </c>
      <c r="Q1797" s="17" t="n">
        <v>2</v>
      </c>
      <c r="R1797" s="17" t="n">
        <v>0</v>
      </c>
      <c r="T1797" s="17">
        <f>DAY(C1797)</f>
        <v/>
      </c>
      <c r="U1797" s="17">
        <f>MONTH(C1797)</f>
        <v/>
      </c>
    </row>
    <row r="1798" ht="22.5" customHeight="1" s="117">
      <c r="A1798" s="14" t="n">
        <v>46093.31504993056</v>
      </c>
      <c r="B1798" s="17" t="inlineStr">
        <is>
          <t>Trần Trung Giang</t>
        </is>
      </c>
      <c r="C1798" s="16" t="n">
        <v>46092</v>
      </c>
      <c r="D1798" s="17" t="n">
        <v>0</v>
      </c>
      <c r="E1798" s="17" t="n">
        <v>0</v>
      </c>
      <c r="F1798" s="17" t="n">
        <v>0</v>
      </c>
      <c r="G1798" s="17" t="n">
        <v>0</v>
      </c>
      <c r="H1798" s="17" t="n">
        <v>0</v>
      </c>
      <c r="I1798" s="17" t="n">
        <v>0</v>
      </c>
      <c r="J1798" s="17" t="n">
        <v>0</v>
      </c>
      <c r="K1798" s="17" t="n">
        <v>2</v>
      </c>
      <c r="L1798" s="17" t="n">
        <v>0</v>
      </c>
      <c r="M1798" s="17" t="n">
        <v>1</v>
      </c>
      <c r="N1798" s="17" t="n">
        <v>0</v>
      </c>
      <c r="O1798" s="17" t="n">
        <v>0</v>
      </c>
      <c r="P1798" s="17" t="n">
        <v>0</v>
      </c>
      <c r="Q1798" s="17" t="n">
        <v>0</v>
      </c>
      <c r="R1798" s="17" t="n">
        <v>0</v>
      </c>
      <c r="T1798" s="17">
        <f>DAY(C1798)</f>
        <v/>
      </c>
      <c r="U1798" s="17">
        <f>MONTH(C1798)</f>
        <v/>
      </c>
    </row>
    <row r="1799" ht="22.5" customHeight="1" s="117">
      <c r="A1799" s="14" t="n">
        <v>46093.31912658565</v>
      </c>
      <c r="B1799" s="17" t="inlineStr">
        <is>
          <t>Đặng Hoài Anh</t>
        </is>
      </c>
      <c r="C1799" s="16" t="n">
        <v>46092</v>
      </c>
      <c r="D1799" s="17" t="n">
        <v>1</v>
      </c>
      <c r="E1799" s="17" t="n">
        <v>1</v>
      </c>
      <c r="F1799" s="17" t="n">
        <v>0</v>
      </c>
      <c r="G1799" s="17" t="n">
        <v>0</v>
      </c>
      <c r="H1799" s="17" t="n">
        <v>0</v>
      </c>
      <c r="I1799" s="17" t="n">
        <v>0</v>
      </c>
      <c r="J1799" s="17" t="n">
        <v>0</v>
      </c>
      <c r="K1799" s="17" t="n">
        <v>8</v>
      </c>
      <c r="L1799" s="17" t="n">
        <v>0</v>
      </c>
      <c r="M1799" s="17" t="n">
        <v>1</v>
      </c>
      <c r="N1799" s="17" t="n">
        <v>0</v>
      </c>
      <c r="O1799" s="17" t="n">
        <v>0</v>
      </c>
      <c r="P1799" s="17" t="n">
        <v>1</v>
      </c>
      <c r="Q1799" s="17" t="n">
        <v>1</v>
      </c>
      <c r="R1799" s="17" t="n">
        <v>0</v>
      </c>
      <c r="T1799" s="17">
        <f>DAY(C1799)</f>
        <v/>
      </c>
      <c r="U1799" s="17">
        <f>MONTH(C1799)</f>
        <v/>
      </c>
    </row>
    <row r="1800" ht="22.5" customHeight="1" s="117">
      <c r="A1800" s="14" t="n">
        <v>46094.2735030787</v>
      </c>
      <c r="B1800" s="17" t="inlineStr">
        <is>
          <t>Nguyễn Văn Hiệp</t>
        </is>
      </c>
      <c r="C1800" s="16" t="n">
        <v>46093</v>
      </c>
      <c r="D1800" s="17" t="n">
        <v>0</v>
      </c>
      <c r="E1800" s="17" t="n">
        <v>0</v>
      </c>
      <c r="F1800" s="17" t="n">
        <v>0</v>
      </c>
      <c r="G1800" s="17" t="n">
        <v>0</v>
      </c>
      <c r="H1800" s="17" t="n">
        <v>0</v>
      </c>
      <c r="I1800" s="17" t="n">
        <v>0</v>
      </c>
      <c r="J1800" s="17" t="n">
        <v>0</v>
      </c>
      <c r="K1800" s="17" t="n">
        <v>2</v>
      </c>
      <c r="L1800" s="17" t="n">
        <v>0</v>
      </c>
      <c r="M1800" s="17" t="n">
        <v>0</v>
      </c>
      <c r="N1800" s="17" t="n">
        <v>0</v>
      </c>
      <c r="O1800" s="17" t="n">
        <v>0</v>
      </c>
      <c r="P1800" s="17" t="n">
        <v>0</v>
      </c>
      <c r="Q1800" s="17" t="n">
        <v>0</v>
      </c>
      <c r="R1800" s="17" t="n">
        <v>0</v>
      </c>
      <c r="T1800" s="17">
        <f>DAY(C1800)</f>
        <v/>
      </c>
      <c r="U1800" s="17">
        <f>MONTH(C1800)</f>
        <v/>
      </c>
    </row>
    <row r="1801" ht="22.5" customHeight="1" s="117">
      <c r="A1801" s="14" t="n">
        <v>46094.30123341435</v>
      </c>
      <c r="B1801" s="17" t="inlineStr">
        <is>
          <t>Nguyễn Tuấn Anh</t>
        </is>
      </c>
      <c r="C1801" s="16" t="n">
        <v>46093</v>
      </c>
      <c r="D1801" s="17" t="n">
        <v>0</v>
      </c>
      <c r="E1801" s="17" t="n">
        <v>0</v>
      </c>
      <c r="F1801" s="17" t="n">
        <v>0</v>
      </c>
      <c r="G1801" s="17" t="n">
        <v>0</v>
      </c>
      <c r="H1801" s="17" t="n">
        <v>0</v>
      </c>
      <c r="I1801" s="17" t="n">
        <v>2</v>
      </c>
      <c r="J1801" s="17" t="n">
        <v>0</v>
      </c>
      <c r="K1801" s="17" t="n">
        <v>15</v>
      </c>
      <c r="L1801" s="17" t="n">
        <v>0</v>
      </c>
      <c r="M1801" s="17" t="n">
        <v>0</v>
      </c>
      <c r="N1801" s="17" t="n">
        <v>0</v>
      </c>
      <c r="O1801" s="17" t="n">
        <v>0</v>
      </c>
      <c r="P1801" s="17" t="n">
        <v>1</v>
      </c>
      <c r="Q1801" s="17" t="n">
        <v>2</v>
      </c>
      <c r="R1801" s="17" t="n">
        <v>0</v>
      </c>
      <c r="T1801" s="17">
        <f>DAY(C1801)</f>
        <v/>
      </c>
      <c r="U1801" s="17">
        <f>MONTH(C1801)</f>
        <v/>
      </c>
    </row>
    <row r="1802" ht="22.5" customHeight="1" s="117">
      <c r="A1802" s="14" t="n">
        <v>46094.32367806713</v>
      </c>
      <c r="B1802" s="17" t="inlineStr">
        <is>
          <t>Đặng Hoài Anh</t>
        </is>
      </c>
      <c r="C1802" s="16" t="n">
        <v>46093</v>
      </c>
      <c r="D1802" s="17" t="n">
        <v>0</v>
      </c>
      <c r="E1802" s="17" t="n">
        <v>0</v>
      </c>
      <c r="F1802" s="17" t="n">
        <v>0</v>
      </c>
      <c r="G1802" s="17" t="n">
        <v>0</v>
      </c>
      <c r="H1802" s="17" t="n">
        <v>0</v>
      </c>
      <c r="I1802" s="17" t="n">
        <v>0</v>
      </c>
      <c r="J1802" s="17" t="n">
        <v>0</v>
      </c>
      <c r="K1802" s="17" t="n">
        <v>0</v>
      </c>
      <c r="L1802" s="17" t="n">
        <v>0</v>
      </c>
      <c r="M1802" s="17" t="n">
        <v>0</v>
      </c>
      <c r="N1802" s="17" t="n">
        <v>0</v>
      </c>
      <c r="O1802" s="17" t="n">
        <v>0</v>
      </c>
      <c r="P1802" s="17" t="n">
        <v>0</v>
      </c>
      <c r="Q1802" s="17" t="n">
        <v>1</v>
      </c>
      <c r="R1802" s="17" t="n">
        <v>0</v>
      </c>
      <c r="T1802" s="17">
        <f>DAY(C1802)</f>
        <v/>
      </c>
      <c r="U1802" s="17">
        <f>MONTH(C1802)</f>
        <v/>
      </c>
    </row>
    <row r="1803" ht="22.5" customHeight="1" s="117">
      <c r="A1803" s="14" t="n">
        <v>46095.29860856482</v>
      </c>
      <c r="B1803" s="17" t="inlineStr">
        <is>
          <t>Nguyễn Tuấn Anh</t>
        </is>
      </c>
      <c r="C1803" s="16" t="n">
        <v>46094</v>
      </c>
      <c r="D1803" s="17" t="n">
        <v>1</v>
      </c>
      <c r="E1803" s="17" t="n">
        <v>1</v>
      </c>
      <c r="F1803" s="17" t="n">
        <v>1</v>
      </c>
      <c r="G1803" s="17" t="n">
        <v>0</v>
      </c>
      <c r="H1803" s="17" t="n">
        <v>0</v>
      </c>
      <c r="I1803" s="17" t="n">
        <v>2</v>
      </c>
      <c r="J1803" s="17" t="n">
        <v>0</v>
      </c>
      <c r="K1803" s="17" t="n">
        <v>4</v>
      </c>
      <c r="L1803" s="17" t="n">
        <v>0</v>
      </c>
      <c r="M1803" s="17" t="n">
        <v>0</v>
      </c>
      <c r="N1803" s="17" t="n">
        <v>0</v>
      </c>
      <c r="O1803" s="17" t="n">
        <v>0</v>
      </c>
      <c r="P1803" s="17" t="n">
        <v>0</v>
      </c>
      <c r="Q1803" s="17" t="n">
        <v>2</v>
      </c>
      <c r="R1803" s="17" t="n">
        <v>0</v>
      </c>
      <c r="T1803" s="17">
        <f>DAY(C1803)</f>
        <v/>
      </c>
      <c r="U1803" s="17">
        <f>MONTH(C1803)</f>
        <v/>
      </c>
    </row>
    <row r="1804" ht="22.5" customHeight="1" s="117">
      <c r="A1804" s="14" t="n">
        <v>46096.29057568287</v>
      </c>
      <c r="B1804" s="17" t="inlineStr">
        <is>
          <t>Trần Trung Giang</t>
        </is>
      </c>
      <c r="C1804" s="16" t="n">
        <v>46095</v>
      </c>
      <c r="D1804" s="17" t="n">
        <v>0</v>
      </c>
      <c r="E1804" s="17" t="n">
        <v>0</v>
      </c>
      <c r="F1804" s="17" t="n">
        <v>0</v>
      </c>
      <c r="G1804" s="17" t="n">
        <v>0</v>
      </c>
      <c r="H1804" s="17" t="n">
        <v>0</v>
      </c>
      <c r="I1804" s="17" t="n">
        <v>0</v>
      </c>
      <c r="J1804" s="17" t="n">
        <v>0</v>
      </c>
      <c r="K1804" s="17" t="n">
        <v>0</v>
      </c>
      <c r="L1804" s="17" t="n">
        <v>0</v>
      </c>
      <c r="M1804" s="17" t="n">
        <v>0</v>
      </c>
      <c r="N1804" s="17" t="n">
        <v>0</v>
      </c>
      <c r="O1804" s="17" t="n">
        <v>0</v>
      </c>
      <c r="P1804" s="17" t="n">
        <v>0</v>
      </c>
      <c r="Q1804" s="17" t="n">
        <v>0</v>
      </c>
      <c r="R1804" s="17" t="n">
        <v>0</v>
      </c>
      <c r="T1804" s="17">
        <f>DAY(C1804)</f>
        <v/>
      </c>
      <c r="U1804" s="17">
        <f>MONTH(C1804)</f>
        <v/>
      </c>
    </row>
    <row r="1805" ht="22.5" customHeight="1" s="117">
      <c r="A1805" s="14" t="n">
        <v>46096.30674952547</v>
      </c>
      <c r="B1805" s="17" t="inlineStr">
        <is>
          <t>Nguyễn Tuấn Anh</t>
        </is>
      </c>
      <c r="C1805" s="16" t="n">
        <v>46095</v>
      </c>
      <c r="D1805" s="17" t="n">
        <v>1</v>
      </c>
      <c r="E1805" s="17" t="n">
        <v>1</v>
      </c>
      <c r="F1805" s="17" t="n">
        <v>0</v>
      </c>
      <c r="G1805" s="17" t="n">
        <v>0</v>
      </c>
      <c r="H1805" s="17" t="n">
        <v>0</v>
      </c>
      <c r="I1805" s="17" t="n">
        <v>2</v>
      </c>
      <c r="J1805" s="17" t="n">
        <v>0</v>
      </c>
      <c r="K1805" s="17" t="n">
        <v>13</v>
      </c>
      <c r="L1805" s="17" t="n">
        <v>0</v>
      </c>
      <c r="M1805" s="17" t="n">
        <v>0</v>
      </c>
      <c r="N1805" s="17" t="n">
        <v>0</v>
      </c>
      <c r="O1805" s="17" t="n">
        <v>0</v>
      </c>
      <c r="P1805" s="17" t="n">
        <v>0</v>
      </c>
      <c r="Q1805" s="17" t="n">
        <v>6</v>
      </c>
      <c r="R1805" s="17" t="n">
        <v>0</v>
      </c>
      <c r="T1805" s="17">
        <f>DAY(C1805)</f>
        <v/>
      </c>
      <c r="U1805" s="17">
        <f>MONTH(C1805)</f>
        <v/>
      </c>
    </row>
    <row r="1806" ht="22.5" customHeight="1" s="117">
      <c r="A1806" s="14" t="n">
        <v>46096.31332475694</v>
      </c>
      <c r="B1806" s="17" t="inlineStr">
        <is>
          <t>Nguyễn Văn Hiệp</t>
        </is>
      </c>
      <c r="C1806" s="16" t="n">
        <v>46095</v>
      </c>
      <c r="D1806" s="17" t="n">
        <v>0</v>
      </c>
      <c r="E1806" s="17" t="n">
        <v>1</v>
      </c>
      <c r="F1806" s="17" t="n">
        <v>0</v>
      </c>
      <c r="G1806" s="17" t="n">
        <v>0</v>
      </c>
      <c r="H1806" s="17" t="n">
        <v>0</v>
      </c>
      <c r="I1806" s="17" t="n">
        <v>0</v>
      </c>
      <c r="J1806" s="17" t="n">
        <v>0</v>
      </c>
      <c r="K1806" s="17" t="n">
        <v>0</v>
      </c>
      <c r="L1806" s="17" t="n">
        <v>0</v>
      </c>
      <c r="M1806" s="17" t="n">
        <v>1</v>
      </c>
      <c r="N1806" s="17" t="n">
        <v>0</v>
      </c>
      <c r="O1806" s="17" t="n">
        <v>0</v>
      </c>
      <c r="P1806" s="17" t="n">
        <v>1</v>
      </c>
      <c r="Q1806" s="17" t="n">
        <v>2</v>
      </c>
      <c r="R1806" s="17" t="n">
        <v>0</v>
      </c>
      <c r="T1806" s="17">
        <f>DAY(C1806)</f>
        <v/>
      </c>
      <c r="U1806" s="17">
        <f>MONTH(C1806)</f>
        <v/>
      </c>
    </row>
    <row r="1807" ht="22.5" customHeight="1" s="117">
      <c r="A1807" s="14" t="n">
        <v>46097.30266311343</v>
      </c>
      <c r="B1807" s="17" t="inlineStr">
        <is>
          <t>Đặng Hoài Anh</t>
        </is>
      </c>
      <c r="C1807" s="16" t="n">
        <v>46096</v>
      </c>
      <c r="D1807" s="17" t="n">
        <v>0</v>
      </c>
      <c r="E1807" s="17" t="n">
        <v>0</v>
      </c>
      <c r="F1807" s="17" t="n">
        <v>0</v>
      </c>
      <c r="G1807" s="17" t="n">
        <v>0</v>
      </c>
      <c r="H1807" s="17" t="n">
        <v>0</v>
      </c>
      <c r="I1807" s="17" t="n">
        <v>0</v>
      </c>
      <c r="J1807" s="17" t="n">
        <v>0</v>
      </c>
      <c r="K1807" s="17" t="n">
        <v>11</v>
      </c>
      <c r="L1807" s="17" t="n">
        <v>0</v>
      </c>
      <c r="M1807" s="17" t="n">
        <v>0</v>
      </c>
      <c r="N1807" s="17" t="n">
        <v>0</v>
      </c>
      <c r="O1807" s="17" t="n">
        <v>0</v>
      </c>
      <c r="P1807" s="17" t="n">
        <v>1</v>
      </c>
      <c r="Q1807" s="17" t="n">
        <v>0</v>
      </c>
      <c r="R1807" s="17" t="n">
        <v>0</v>
      </c>
      <c r="T1807" s="17">
        <f>DAY(C1807)</f>
        <v/>
      </c>
      <c r="U1807" s="17">
        <f>MONTH(C1807)</f>
        <v/>
      </c>
    </row>
    <row r="1808" ht="22.5" customHeight="1" s="117">
      <c r="A1808" s="14" t="n">
        <v>46097.30347527777</v>
      </c>
      <c r="B1808" s="17" t="inlineStr">
        <is>
          <t>Nguyễn Văn Hiệp</t>
        </is>
      </c>
      <c r="C1808" s="16" t="n">
        <v>46096</v>
      </c>
      <c r="D1808" s="17" t="n">
        <v>0</v>
      </c>
      <c r="E1808" s="17" t="n">
        <v>0</v>
      </c>
      <c r="F1808" s="17" t="n">
        <v>0</v>
      </c>
      <c r="G1808" s="17" t="n">
        <v>0</v>
      </c>
      <c r="H1808" s="17" t="n">
        <v>0</v>
      </c>
      <c r="I1808" s="17" t="n">
        <v>0</v>
      </c>
      <c r="J1808" s="17" t="n">
        <v>0</v>
      </c>
      <c r="K1808" s="17" t="n">
        <v>7</v>
      </c>
      <c r="L1808" s="17" t="n">
        <v>0</v>
      </c>
      <c r="M1808" s="17" t="n">
        <v>1</v>
      </c>
      <c r="N1808" s="17" t="n">
        <v>0</v>
      </c>
      <c r="O1808" s="17" t="n">
        <v>0</v>
      </c>
      <c r="P1808" s="17" t="n">
        <v>0</v>
      </c>
      <c r="Q1808" s="17" t="n">
        <v>1</v>
      </c>
      <c r="R1808" s="17" t="n">
        <v>0</v>
      </c>
      <c r="T1808" s="17">
        <f>DAY(C1808)</f>
        <v/>
      </c>
      <c r="U1808" s="17">
        <f>MONTH(C1808)</f>
        <v/>
      </c>
    </row>
    <row r="1809" ht="22.5" customHeight="1" s="117">
      <c r="A1809" s="14" t="n">
        <v>46097.3046906713</v>
      </c>
      <c r="B1809" s="17" t="inlineStr">
        <is>
          <t>Trần Trung Giang</t>
        </is>
      </c>
      <c r="C1809" s="16" t="n">
        <v>46096</v>
      </c>
      <c r="D1809" s="17" t="n">
        <v>0</v>
      </c>
      <c r="E1809" s="17" t="n">
        <v>0</v>
      </c>
      <c r="F1809" s="17" t="n">
        <v>0</v>
      </c>
      <c r="G1809" s="17" t="n">
        <v>0</v>
      </c>
      <c r="H1809" s="17" t="n">
        <v>0</v>
      </c>
      <c r="I1809" s="17" t="n">
        <v>0</v>
      </c>
      <c r="J1809" s="17" t="n">
        <v>0</v>
      </c>
      <c r="K1809" s="17" t="n">
        <v>0</v>
      </c>
      <c r="L1809" s="17" t="n">
        <v>0</v>
      </c>
      <c r="M1809" s="17" t="n">
        <v>0</v>
      </c>
      <c r="N1809" s="17" t="n">
        <v>0</v>
      </c>
      <c r="O1809" s="17" t="n">
        <v>0</v>
      </c>
      <c r="P1809" s="17" t="n">
        <v>0</v>
      </c>
      <c r="Q1809" s="17" t="n">
        <v>0</v>
      </c>
      <c r="R1809" s="17" t="n">
        <v>0</v>
      </c>
      <c r="T1809" s="17">
        <f>DAY(C1809)</f>
        <v/>
      </c>
      <c r="U1809" s="17">
        <f>MONTH(C1809)</f>
        <v/>
      </c>
    </row>
    <row r="1810" ht="22.5" customHeight="1" s="117">
      <c r="A1810" s="14" t="n">
        <v>46097.31882792824</v>
      </c>
      <c r="B1810" s="17" t="inlineStr">
        <is>
          <t>Nguyễn Tuấn Anh</t>
        </is>
      </c>
      <c r="C1810" s="16" t="n">
        <v>46096</v>
      </c>
      <c r="D1810" s="17" t="n">
        <v>0</v>
      </c>
      <c r="E1810" s="17" t="n">
        <v>0</v>
      </c>
      <c r="F1810" s="17" t="n">
        <v>0</v>
      </c>
      <c r="G1810" s="17" t="n">
        <v>0</v>
      </c>
      <c r="H1810" s="17" t="n">
        <v>0</v>
      </c>
      <c r="I1810" s="17" t="n">
        <v>2</v>
      </c>
      <c r="J1810" s="17" t="n">
        <v>0</v>
      </c>
      <c r="K1810" s="17" t="n">
        <v>3</v>
      </c>
      <c r="L1810" s="17" t="n">
        <v>0</v>
      </c>
      <c r="M1810" s="17" t="n">
        <v>0</v>
      </c>
      <c r="N1810" s="17" t="n">
        <v>0</v>
      </c>
      <c r="O1810" s="17" t="n">
        <v>0</v>
      </c>
      <c r="P1810" s="17" t="n">
        <v>0</v>
      </c>
      <c r="Q1810" s="17" t="n">
        <v>2</v>
      </c>
      <c r="R1810" s="17" t="n">
        <v>0</v>
      </c>
      <c r="T1810" s="17">
        <f>DAY(C1810)</f>
        <v/>
      </c>
      <c r="U1810" s="17">
        <f>MONTH(C1810)</f>
        <v/>
      </c>
    </row>
    <row r="1811" ht="22.5" customHeight="1" s="117">
      <c r="A1811" s="14" t="n">
        <v>46098.29878640046</v>
      </c>
      <c r="B1811" s="17" t="inlineStr">
        <is>
          <t>Nguyễn Tuấn Anh</t>
        </is>
      </c>
      <c r="C1811" s="16" t="n">
        <v>46097</v>
      </c>
      <c r="D1811" s="17" t="n">
        <v>0</v>
      </c>
      <c r="E1811" s="17" t="n">
        <v>0</v>
      </c>
      <c r="F1811" s="17" t="n">
        <v>0</v>
      </c>
      <c r="G1811" s="17" t="n">
        <v>0</v>
      </c>
      <c r="H1811" s="17" t="n">
        <v>0</v>
      </c>
      <c r="I1811" s="17" t="n">
        <v>2</v>
      </c>
      <c r="J1811" s="17" t="n">
        <v>0</v>
      </c>
      <c r="K1811" s="17" t="n">
        <v>5</v>
      </c>
      <c r="L1811" s="17" t="n">
        <v>0</v>
      </c>
      <c r="M1811" s="17" t="n">
        <v>0</v>
      </c>
      <c r="N1811" s="17" t="n">
        <v>0</v>
      </c>
      <c r="O1811" s="17" t="n">
        <v>0</v>
      </c>
      <c r="P1811" s="17" t="n">
        <v>1</v>
      </c>
      <c r="Q1811" s="17" t="n">
        <v>2</v>
      </c>
      <c r="R1811" s="17" t="n">
        <v>0</v>
      </c>
      <c r="T1811" s="17">
        <f>DAY(C1811)</f>
        <v/>
      </c>
      <c r="U1811" s="17">
        <f>MONTH(C1811)</f>
        <v/>
      </c>
    </row>
    <row r="1812" ht="22.5" customHeight="1" s="117">
      <c r="A1812" s="14" t="n">
        <v>46098.30426967593</v>
      </c>
      <c r="B1812" s="17" t="inlineStr">
        <is>
          <t>Nguyễn Văn Hiệp</t>
        </is>
      </c>
      <c r="C1812" s="16" t="n">
        <v>46097</v>
      </c>
      <c r="D1812" s="17" t="n">
        <v>1</v>
      </c>
      <c r="E1812" s="17" t="n">
        <v>0</v>
      </c>
      <c r="F1812" s="17" t="n">
        <v>0</v>
      </c>
      <c r="G1812" s="17" t="n">
        <v>0</v>
      </c>
      <c r="H1812" s="17" t="n">
        <v>0</v>
      </c>
      <c r="I1812" s="17" t="n">
        <v>0</v>
      </c>
      <c r="J1812" s="17" t="n">
        <v>0</v>
      </c>
      <c r="K1812" s="17" t="n">
        <v>8</v>
      </c>
      <c r="L1812" s="17" t="n">
        <v>0</v>
      </c>
      <c r="M1812" s="17" t="n">
        <v>1</v>
      </c>
      <c r="N1812" s="17" t="n">
        <v>0</v>
      </c>
      <c r="O1812" s="17" t="n">
        <v>0</v>
      </c>
      <c r="P1812" s="17" t="n">
        <v>0</v>
      </c>
      <c r="Q1812" s="17" t="n">
        <v>0</v>
      </c>
      <c r="R1812" s="17" t="n">
        <v>0</v>
      </c>
      <c r="T1812" s="17">
        <f>DAY(C1812)</f>
        <v/>
      </c>
      <c r="U1812" s="17">
        <f>MONTH(C1812)</f>
        <v/>
      </c>
    </row>
    <row r="1813" ht="22.5" customHeight="1" s="117">
      <c r="A1813" s="14" t="n">
        <v>46098.68482998843</v>
      </c>
      <c r="B1813" s="17" t="inlineStr">
        <is>
          <t>Trần Trung Giang</t>
        </is>
      </c>
      <c r="C1813" s="16" t="n">
        <v>46097</v>
      </c>
      <c r="D1813" s="17" t="n">
        <v>0</v>
      </c>
      <c r="E1813" s="17" t="n">
        <v>0</v>
      </c>
      <c r="F1813" s="17" t="n">
        <v>0</v>
      </c>
      <c r="G1813" s="17" t="n">
        <v>2</v>
      </c>
      <c r="H1813" s="17" t="n">
        <v>1</v>
      </c>
      <c r="I1813" s="17" t="n">
        <v>0</v>
      </c>
      <c r="J1813" s="17" t="n">
        <v>0</v>
      </c>
      <c r="K1813" s="17" t="n">
        <v>0</v>
      </c>
      <c r="L1813" s="17" t="n">
        <v>0</v>
      </c>
      <c r="M1813" s="17" t="n">
        <v>0</v>
      </c>
      <c r="N1813" s="17" t="n">
        <v>0</v>
      </c>
      <c r="O1813" s="17" t="n">
        <v>0</v>
      </c>
      <c r="P1813" s="17" t="n">
        <v>1</v>
      </c>
      <c r="Q1813" s="17" t="n">
        <v>0</v>
      </c>
      <c r="R1813" s="17" t="n">
        <v>0</v>
      </c>
      <c r="T1813" s="17">
        <f>DAY(C1813)</f>
        <v/>
      </c>
      <c r="U1813" s="17">
        <f>MONTH(C1813)</f>
        <v/>
      </c>
    </row>
    <row r="1814" ht="22.5" customHeight="1" s="117">
      <c r="A1814" s="14" t="n">
        <v>46099.29570012732</v>
      </c>
      <c r="B1814" s="17" t="inlineStr">
        <is>
          <t>Nguyễn Tuấn Anh</t>
        </is>
      </c>
      <c r="C1814" s="16" t="n">
        <v>46098</v>
      </c>
      <c r="D1814" s="17" t="n">
        <v>1</v>
      </c>
      <c r="E1814" s="17" t="n">
        <v>1</v>
      </c>
      <c r="F1814" s="17" t="n">
        <v>1</v>
      </c>
      <c r="G1814" s="17" t="n">
        <v>0</v>
      </c>
      <c r="H1814" s="17" t="n">
        <v>0</v>
      </c>
      <c r="I1814" s="17" t="n">
        <v>2</v>
      </c>
      <c r="J1814" s="17" t="n">
        <v>0</v>
      </c>
      <c r="K1814" s="17" t="n">
        <v>5</v>
      </c>
      <c r="L1814" s="17" t="n">
        <v>0</v>
      </c>
      <c r="M1814" s="17" t="n">
        <v>0</v>
      </c>
      <c r="N1814" s="17" t="n">
        <v>0</v>
      </c>
      <c r="O1814" s="17" t="n">
        <v>0</v>
      </c>
      <c r="P1814" s="17" t="n">
        <v>0</v>
      </c>
      <c r="Q1814" s="17" t="n">
        <v>2</v>
      </c>
      <c r="R1814" s="17" t="n">
        <v>0</v>
      </c>
      <c r="T1814" s="17">
        <f>DAY(C1814)</f>
        <v/>
      </c>
      <c r="U1814" s="17">
        <f>MONTH(C1814)</f>
        <v/>
      </c>
    </row>
    <row r="1815" ht="22.5" customHeight="1" s="117">
      <c r="A1815" s="14" t="n">
        <v>46099.30994422454</v>
      </c>
      <c r="B1815" s="17" t="inlineStr">
        <is>
          <t>Nguyễn Văn Hiệp</t>
        </is>
      </c>
      <c r="C1815" s="16" t="n">
        <v>46098</v>
      </c>
      <c r="D1815" s="17" t="n">
        <v>0</v>
      </c>
      <c r="E1815" s="17" t="n">
        <v>0</v>
      </c>
      <c r="F1815" s="17" t="n">
        <v>0</v>
      </c>
      <c r="G1815" s="17" t="n">
        <v>0</v>
      </c>
      <c r="H1815" s="17" t="n">
        <v>0</v>
      </c>
      <c r="I1815" s="17" t="n">
        <v>1</v>
      </c>
      <c r="J1815" s="17" t="n">
        <v>0</v>
      </c>
      <c r="K1815" s="17" t="n">
        <v>0</v>
      </c>
      <c r="L1815" s="17" t="n">
        <v>0</v>
      </c>
      <c r="M1815" s="17" t="n">
        <v>0</v>
      </c>
      <c r="N1815" s="17" t="n">
        <v>0</v>
      </c>
      <c r="O1815" s="17" t="n">
        <v>0</v>
      </c>
      <c r="P1815" s="17" t="n">
        <v>0</v>
      </c>
      <c r="Q1815" s="17" t="n">
        <v>1</v>
      </c>
      <c r="R1815" s="17" t="n">
        <v>0</v>
      </c>
      <c r="T1815" s="17">
        <f>DAY(C1815)</f>
        <v/>
      </c>
      <c r="U1815" s="17">
        <f>MONTH(C1815)</f>
        <v/>
      </c>
    </row>
    <row r="1816" ht="22.5" customHeight="1" s="117">
      <c r="A1816" s="14" t="n">
        <v>46099.32960174768</v>
      </c>
      <c r="B1816" s="17" t="inlineStr">
        <is>
          <t>Trần Trung Giang</t>
        </is>
      </c>
      <c r="C1816" s="16" t="n">
        <v>46098</v>
      </c>
      <c r="D1816" s="17" t="n">
        <v>0</v>
      </c>
      <c r="E1816" s="17" t="n">
        <v>0</v>
      </c>
      <c r="F1816" s="17" t="n">
        <v>1</v>
      </c>
      <c r="G1816" s="17" t="n">
        <v>1</v>
      </c>
      <c r="H1816" s="17" t="n">
        <v>0</v>
      </c>
      <c r="I1816" s="17" t="n">
        <v>0</v>
      </c>
      <c r="J1816" s="17" t="n">
        <v>0</v>
      </c>
      <c r="K1816" s="17" t="n">
        <v>2</v>
      </c>
      <c r="L1816" s="17" t="n">
        <v>0</v>
      </c>
      <c r="M1816" s="17" t="n">
        <v>0</v>
      </c>
      <c r="N1816" s="17" t="n">
        <v>0</v>
      </c>
      <c r="O1816" s="17" t="n">
        <v>0</v>
      </c>
      <c r="P1816" s="17" t="n">
        <v>0</v>
      </c>
      <c r="Q1816" s="17" t="n">
        <v>0</v>
      </c>
      <c r="R1816" s="17" t="n">
        <v>0</v>
      </c>
      <c r="T1816" s="17">
        <f>DAY(C1816)</f>
        <v/>
      </c>
      <c r="U1816" s="17">
        <f>MONTH(C1816)</f>
        <v/>
      </c>
    </row>
    <row r="1817" ht="22.5" customHeight="1" s="117">
      <c r="A1817" s="14" t="n">
        <v>46100.29880208334</v>
      </c>
      <c r="B1817" s="17" t="inlineStr">
        <is>
          <t>Nguyễn Văn Hiệp</t>
        </is>
      </c>
      <c r="C1817" s="16" t="n">
        <v>46099</v>
      </c>
      <c r="D1817" s="17" t="n">
        <v>0</v>
      </c>
      <c r="E1817" s="17" t="n">
        <v>0</v>
      </c>
      <c r="F1817" s="17" t="n">
        <v>0</v>
      </c>
      <c r="G1817" s="17" t="n">
        <v>0</v>
      </c>
      <c r="H1817" s="17" t="n">
        <v>0</v>
      </c>
      <c r="I1817" s="17" t="n">
        <v>0</v>
      </c>
      <c r="J1817" s="17" t="n">
        <v>0</v>
      </c>
      <c r="K1817" s="17" t="n">
        <v>4</v>
      </c>
      <c r="L1817" s="17" t="n">
        <v>0</v>
      </c>
      <c r="M1817" s="17" t="n">
        <v>0</v>
      </c>
      <c r="N1817" s="17" t="n">
        <v>0</v>
      </c>
      <c r="O1817" s="17" t="n">
        <v>0</v>
      </c>
      <c r="P1817" s="17" t="n">
        <v>0</v>
      </c>
      <c r="Q1817" s="17" t="n">
        <v>0</v>
      </c>
      <c r="R1817" s="17" t="n">
        <v>0</v>
      </c>
      <c r="T1817" s="17">
        <f>DAY(C1817)</f>
        <v/>
      </c>
      <c r="U1817" s="17">
        <f>MONTH(C1817)</f>
        <v/>
      </c>
    </row>
    <row r="1818" ht="22.5" customHeight="1" s="117">
      <c r="A1818" s="14" t="n">
        <v>46100.29926901621</v>
      </c>
      <c r="B1818" s="17" t="inlineStr">
        <is>
          <t>Nguyễn Tuấn Anh</t>
        </is>
      </c>
      <c r="C1818" s="16" t="n">
        <v>46099</v>
      </c>
      <c r="D1818" s="17" t="n">
        <v>0</v>
      </c>
      <c r="E1818" s="17" t="n">
        <v>0</v>
      </c>
      <c r="F1818" s="17" t="n">
        <v>3</v>
      </c>
      <c r="G1818" s="17" t="n">
        <v>0</v>
      </c>
      <c r="H1818" s="17" t="n">
        <v>0</v>
      </c>
      <c r="I1818" s="17" t="n">
        <v>2</v>
      </c>
      <c r="J1818" s="17" t="n">
        <v>0</v>
      </c>
      <c r="K1818" s="17" t="n">
        <v>4</v>
      </c>
      <c r="L1818" s="17" t="n">
        <v>0</v>
      </c>
      <c r="M1818" s="17" t="n">
        <v>0</v>
      </c>
      <c r="N1818" s="17" t="n">
        <v>0</v>
      </c>
      <c r="O1818" s="17" t="n">
        <v>0</v>
      </c>
      <c r="P1818" s="17" t="n">
        <v>0</v>
      </c>
      <c r="Q1818" s="17" t="n">
        <v>2</v>
      </c>
      <c r="R1818" s="17" t="n">
        <v>0</v>
      </c>
      <c r="T1818" s="17">
        <f>DAY(C1818)</f>
        <v/>
      </c>
      <c r="U1818" s="17">
        <f>MONTH(C1818)</f>
        <v/>
      </c>
    </row>
    <row r="1819" ht="22.5" customHeight="1" s="117">
      <c r="A1819" s="14" t="n">
        <v>46100.30255461806</v>
      </c>
      <c r="B1819" s="17" t="inlineStr">
        <is>
          <t>Đặng Hoài Anh</t>
        </is>
      </c>
      <c r="C1819" s="16" t="n">
        <v>46099</v>
      </c>
      <c r="D1819" s="17" t="n">
        <v>0</v>
      </c>
      <c r="E1819" s="17" t="n">
        <v>0</v>
      </c>
      <c r="F1819" s="17" t="n">
        <v>0</v>
      </c>
      <c r="G1819" s="17" t="n">
        <v>2</v>
      </c>
      <c r="H1819" s="17" t="n">
        <v>1</v>
      </c>
      <c r="I1819" s="17" t="n">
        <v>0</v>
      </c>
      <c r="J1819" s="17" t="n">
        <v>0</v>
      </c>
      <c r="K1819" s="17" t="n">
        <v>0</v>
      </c>
      <c r="L1819" s="17" t="n">
        <v>0</v>
      </c>
      <c r="M1819" s="17" t="n">
        <v>0</v>
      </c>
      <c r="N1819" s="17" t="n">
        <v>2</v>
      </c>
      <c r="O1819" s="17" t="n">
        <v>0</v>
      </c>
      <c r="P1819" s="17" t="n">
        <v>0</v>
      </c>
      <c r="Q1819" s="17" t="n">
        <v>0</v>
      </c>
      <c r="R1819" s="17" t="n">
        <v>0</v>
      </c>
      <c r="T1819" s="17">
        <f>DAY(C1819)</f>
        <v/>
      </c>
      <c r="U1819" s="17">
        <f>MONTH(C1819)</f>
        <v/>
      </c>
    </row>
    <row r="1820" ht="22.5" customHeight="1" s="117">
      <c r="A1820" s="14" t="n">
        <v>46100.31706601852</v>
      </c>
      <c r="B1820" s="17" t="inlineStr">
        <is>
          <t>Trần Trung Giang</t>
        </is>
      </c>
      <c r="C1820" s="16" t="n">
        <v>46099</v>
      </c>
      <c r="D1820" s="17" t="n">
        <v>0</v>
      </c>
      <c r="E1820" s="17" t="n">
        <v>0</v>
      </c>
      <c r="F1820" s="17" t="n">
        <v>0</v>
      </c>
      <c r="G1820" s="17" t="n">
        <v>0</v>
      </c>
      <c r="H1820" s="17" t="n">
        <v>0</v>
      </c>
      <c r="I1820" s="17" t="n">
        <v>0</v>
      </c>
      <c r="J1820" s="17" t="n">
        <v>0</v>
      </c>
      <c r="K1820" s="17" t="n">
        <v>0</v>
      </c>
      <c r="L1820" s="17" t="n">
        <v>0</v>
      </c>
      <c r="M1820" s="17" t="n">
        <v>1</v>
      </c>
      <c r="N1820" s="17" t="n">
        <v>0</v>
      </c>
      <c r="O1820" s="17" t="n">
        <v>0</v>
      </c>
      <c r="P1820" s="17" t="n">
        <v>0</v>
      </c>
      <c r="Q1820" s="17" t="n">
        <v>0</v>
      </c>
      <c r="R1820" s="17" t="n">
        <v>0</v>
      </c>
      <c r="T1820" s="17">
        <f>DAY(C1820)</f>
        <v/>
      </c>
      <c r="U1820" s="17">
        <f>MONTH(C1820)</f>
        <v/>
      </c>
    </row>
    <row r="1821" ht="22.5" customHeight="1" s="117">
      <c r="A1821" s="14" t="n">
        <v>46101.29569378472</v>
      </c>
      <c r="B1821" s="17" t="inlineStr">
        <is>
          <t>Nguyễn Tuấn Anh</t>
        </is>
      </c>
      <c r="C1821" s="16" t="n">
        <v>46100</v>
      </c>
      <c r="D1821" s="17" t="n">
        <v>1</v>
      </c>
      <c r="E1821" s="17" t="n">
        <v>1</v>
      </c>
      <c r="F1821" s="17" t="n">
        <v>1</v>
      </c>
      <c r="G1821" s="17" t="n">
        <v>0</v>
      </c>
      <c r="H1821" s="17" t="n">
        <v>0</v>
      </c>
      <c r="I1821" s="17" t="n">
        <v>2</v>
      </c>
      <c r="J1821" s="17" t="n">
        <v>0</v>
      </c>
      <c r="K1821" s="17" t="n">
        <v>2</v>
      </c>
      <c r="L1821" s="17" t="n">
        <v>0</v>
      </c>
      <c r="M1821" s="17" t="n">
        <v>0</v>
      </c>
      <c r="N1821" s="17" t="n">
        <v>0</v>
      </c>
      <c r="O1821" s="17" t="n">
        <v>0</v>
      </c>
      <c r="P1821" s="17" t="n">
        <v>0</v>
      </c>
      <c r="Q1821" s="17" t="n">
        <v>8</v>
      </c>
      <c r="R1821" s="17" t="n">
        <v>0</v>
      </c>
      <c r="T1821" s="17">
        <f>DAY(C1821)</f>
        <v/>
      </c>
      <c r="U1821" s="17">
        <f>MONTH(C1821)</f>
        <v/>
      </c>
    </row>
    <row r="1822" ht="22.5" customHeight="1" s="117">
      <c r="A1822" s="14" t="n">
        <v>46101.30018810185</v>
      </c>
      <c r="B1822" s="17" t="inlineStr">
        <is>
          <t>Nguyễn Văn Hiệp</t>
        </is>
      </c>
      <c r="C1822" s="16" t="n">
        <v>46100</v>
      </c>
      <c r="D1822" s="17" t="n">
        <v>0</v>
      </c>
      <c r="E1822" s="17" t="n">
        <v>0</v>
      </c>
      <c r="F1822" s="17" t="n">
        <v>0</v>
      </c>
      <c r="G1822" s="17" t="n">
        <v>0</v>
      </c>
      <c r="H1822" s="17" t="n">
        <v>0</v>
      </c>
      <c r="I1822" s="17" t="n">
        <v>0</v>
      </c>
      <c r="J1822" s="17" t="n">
        <v>0</v>
      </c>
      <c r="K1822" s="17" t="n">
        <v>0</v>
      </c>
      <c r="L1822" s="17" t="n">
        <v>0</v>
      </c>
      <c r="M1822" s="17" t="n">
        <v>0</v>
      </c>
      <c r="N1822" s="17" t="n">
        <v>0</v>
      </c>
      <c r="O1822" s="17" t="n">
        <v>0</v>
      </c>
      <c r="P1822" s="17" t="n">
        <v>1</v>
      </c>
      <c r="Q1822" s="17" t="n">
        <v>1</v>
      </c>
      <c r="R1822" s="17" t="n">
        <v>0</v>
      </c>
      <c r="T1822" s="17">
        <f>DAY(C1822)</f>
        <v/>
      </c>
      <c r="U1822" s="17">
        <f>MONTH(C1822)</f>
        <v/>
      </c>
    </row>
    <row r="1823" ht="22.5" customHeight="1" s="117">
      <c r="A1823" s="14" t="n">
        <v>46101.31426297453</v>
      </c>
      <c r="B1823" s="17" t="inlineStr">
        <is>
          <t>Trần Trung Giang</t>
        </is>
      </c>
      <c r="C1823" s="16" t="n">
        <v>46100</v>
      </c>
      <c r="D1823" s="17" t="n">
        <v>0</v>
      </c>
      <c r="E1823" s="17" t="n">
        <v>0</v>
      </c>
      <c r="F1823" s="17" t="n">
        <v>1</v>
      </c>
      <c r="G1823" s="17" t="n">
        <v>0</v>
      </c>
      <c r="H1823" s="17" t="n">
        <v>0</v>
      </c>
      <c r="I1823" s="17" t="n">
        <v>0</v>
      </c>
      <c r="J1823" s="17" t="n">
        <v>0</v>
      </c>
      <c r="K1823" s="17" t="n">
        <v>4</v>
      </c>
      <c r="L1823" s="17" t="n">
        <v>0</v>
      </c>
      <c r="M1823" s="17" t="n">
        <v>1</v>
      </c>
      <c r="N1823" s="17" t="n">
        <v>0</v>
      </c>
      <c r="O1823" s="17" t="n">
        <v>0</v>
      </c>
      <c r="P1823" s="17" t="n">
        <v>1</v>
      </c>
      <c r="Q1823" s="17" t="n">
        <v>0</v>
      </c>
      <c r="R1823" s="17" t="n">
        <v>0</v>
      </c>
      <c r="T1823" s="17">
        <f>DAY(C1823)</f>
        <v/>
      </c>
      <c r="U1823" s="17">
        <f>MONTH(C1823)</f>
        <v/>
      </c>
    </row>
    <row r="1824" ht="22.5" customHeight="1" s="117">
      <c r="A1824" s="14" t="n">
        <v>46101.32075143518</v>
      </c>
      <c r="B1824" s="17" t="inlineStr">
        <is>
          <t>Đặng Hoài Anh</t>
        </is>
      </c>
      <c r="C1824" s="16" t="n">
        <v>46100</v>
      </c>
      <c r="D1824" s="17" t="n">
        <v>0</v>
      </c>
      <c r="E1824" s="17" t="n">
        <v>0</v>
      </c>
      <c r="F1824" s="17" t="n">
        <v>0</v>
      </c>
      <c r="G1824" s="17" t="n">
        <v>0</v>
      </c>
      <c r="H1824" s="17" t="n">
        <v>0</v>
      </c>
      <c r="I1824" s="17" t="n">
        <v>1</v>
      </c>
      <c r="J1824" s="17" t="n">
        <v>0</v>
      </c>
      <c r="K1824" s="17" t="n">
        <v>0</v>
      </c>
      <c r="L1824" s="17" t="n">
        <v>0</v>
      </c>
      <c r="M1824" s="17" t="n">
        <v>0</v>
      </c>
      <c r="N1824" s="17" t="n">
        <v>0</v>
      </c>
      <c r="O1824" s="17" t="n">
        <v>0</v>
      </c>
      <c r="P1824" s="17" t="n">
        <v>1</v>
      </c>
      <c r="Q1824" s="17" t="n">
        <v>0</v>
      </c>
      <c r="R1824" s="17" t="n">
        <v>0</v>
      </c>
      <c r="T1824" s="17">
        <f>DAY(C1824)</f>
        <v/>
      </c>
      <c r="U1824" s="17">
        <f>MONTH(C1824)</f>
        <v/>
      </c>
    </row>
    <row r="1825" ht="22.5" customHeight="1" s="117">
      <c r="A1825" s="14" t="n">
        <v>46102.31020275463</v>
      </c>
      <c r="B1825" s="17" t="inlineStr">
        <is>
          <t>Đặng Hoài Anh</t>
        </is>
      </c>
      <c r="C1825" s="16" t="n">
        <v>46101</v>
      </c>
      <c r="D1825" s="17" t="n">
        <v>0</v>
      </c>
      <c r="E1825" s="17" t="n">
        <v>0</v>
      </c>
      <c r="F1825" s="17" t="n">
        <v>0</v>
      </c>
      <c r="G1825" s="17" t="n">
        <v>0</v>
      </c>
      <c r="H1825" s="17" t="n">
        <v>0</v>
      </c>
      <c r="I1825" s="17" t="n">
        <v>0</v>
      </c>
      <c r="J1825" s="17" t="n">
        <v>0</v>
      </c>
      <c r="K1825" s="17" t="n">
        <v>2</v>
      </c>
      <c r="L1825" s="17" t="n">
        <v>0</v>
      </c>
      <c r="M1825" s="17" t="n">
        <v>0</v>
      </c>
      <c r="N1825" s="17" t="n">
        <v>0</v>
      </c>
      <c r="O1825" s="17" t="n">
        <v>0</v>
      </c>
      <c r="P1825" s="17" t="n">
        <v>0</v>
      </c>
      <c r="Q1825" s="17" t="n">
        <v>1</v>
      </c>
      <c r="R1825" s="17" t="n">
        <v>0</v>
      </c>
      <c r="T1825" s="17">
        <f>DAY(C1825)</f>
        <v/>
      </c>
      <c r="U1825" s="17">
        <f>MONTH(C1825)</f>
        <v/>
      </c>
    </row>
    <row r="1826" ht="22.5" customHeight="1" s="117">
      <c r="A1826" s="14" t="n">
        <v>46102.3183825463</v>
      </c>
      <c r="B1826" s="17" t="inlineStr">
        <is>
          <t>Nguyễn Văn Hiệp</t>
        </is>
      </c>
      <c r="C1826" s="16" t="n">
        <v>46101</v>
      </c>
      <c r="D1826" s="17" t="n">
        <v>3</v>
      </c>
      <c r="E1826" s="17" t="n">
        <v>1</v>
      </c>
      <c r="F1826" s="17" t="n">
        <v>1</v>
      </c>
      <c r="G1826" s="17" t="n">
        <v>0</v>
      </c>
      <c r="H1826" s="17" t="n">
        <v>0</v>
      </c>
      <c r="I1826" s="17" t="n">
        <v>0</v>
      </c>
      <c r="J1826" s="17" t="n">
        <v>0</v>
      </c>
      <c r="K1826" s="17" t="n">
        <v>0</v>
      </c>
      <c r="L1826" s="17" t="n">
        <v>0</v>
      </c>
      <c r="M1826" s="17" t="n">
        <v>3</v>
      </c>
      <c r="N1826" s="17" t="n">
        <v>0</v>
      </c>
      <c r="O1826" s="17" t="n">
        <v>0</v>
      </c>
      <c r="P1826" s="17" t="n">
        <v>0</v>
      </c>
      <c r="Q1826" s="17" t="n">
        <v>0</v>
      </c>
      <c r="R1826" s="17" t="n">
        <v>0</v>
      </c>
      <c r="T1826" s="17">
        <f>DAY(C1826)</f>
        <v/>
      </c>
      <c r="U1826" s="17">
        <f>MONTH(C1826)</f>
        <v/>
      </c>
    </row>
    <row r="1827" ht="22.5" customHeight="1" s="117">
      <c r="A1827" s="14" t="n">
        <v>46102.32391335648</v>
      </c>
      <c r="B1827" s="17" t="inlineStr">
        <is>
          <t>Nguyễn Tuấn Anh</t>
        </is>
      </c>
      <c r="C1827" s="16" t="n">
        <v>46101</v>
      </c>
      <c r="D1827" s="17" t="n">
        <v>1</v>
      </c>
      <c r="E1827" s="17" t="n">
        <v>1</v>
      </c>
      <c r="F1827" s="17" t="n">
        <v>2</v>
      </c>
      <c r="G1827" s="17" t="n">
        <v>0</v>
      </c>
      <c r="H1827" s="17" t="n">
        <v>0</v>
      </c>
      <c r="I1827" s="17" t="n">
        <v>2</v>
      </c>
      <c r="J1827" s="17" t="n">
        <v>0</v>
      </c>
      <c r="K1827" s="17" t="n">
        <v>8</v>
      </c>
      <c r="L1827" s="17" t="n">
        <v>0</v>
      </c>
      <c r="M1827" s="17" t="n">
        <v>0</v>
      </c>
      <c r="N1827" s="17" t="n">
        <v>0</v>
      </c>
      <c r="O1827" s="17" t="n">
        <v>0</v>
      </c>
      <c r="P1827" s="17" t="n">
        <v>1</v>
      </c>
      <c r="Q1827" s="17" t="n">
        <v>2</v>
      </c>
      <c r="R1827" s="17" t="n">
        <v>0</v>
      </c>
      <c r="T1827" s="17">
        <f>DAY(C1827)</f>
        <v/>
      </c>
      <c r="U1827" s="17">
        <f>MONTH(C1827)</f>
        <v/>
      </c>
    </row>
    <row r="1828" ht="22.5" customHeight="1" s="117">
      <c r="A1828" s="14" t="n">
        <v>46102.35990834491</v>
      </c>
      <c r="B1828" s="17" t="inlineStr">
        <is>
          <t>Trần Trung Giang</t>
        </is>
      </c>
      <c r="C1828" s="16" t="n">
        <v>46101</v>
      </c>
      <c r="D1828" s="17" t="n">
        <v>0</v>
      </c>
      <c r="E1828" s="17" t="n">
        <v>0</v>
      </c>
      <c r="F1828" s="17" t="n">
        <v>0</v>
      </c>
      <c r="G1828" s="17" t="n">
        <v>0</v>
      </c>
      <c r="H1828" s="17" t="n">
        <v>0</v>
      </c>
      <c r="I1828" s="17" t="n">
        <v>0</v>
      </c>
      <c r="J1828" s="17" t="n">
        <v>0</v>
      </c>
      <c r="K1828" s="17" t="n">
        <v>2</v>
      </c>
      <c r="L1828" s="17" t="n">
        <v>0</v>
      </c>
      <c r="M1828" s="17" t="n">
        <v>0</v>
      </c>
      <c r="N1828" s="17" t="n">
        <v>0</v>
      </c>
      <c r="O1828" s="17" t="n">
        <v>0</v>
      </c>
      <c r="P1828" s="17" t="n">
        <v>0</v>
      </c>
      <c r="Q1828" s="17" t="n">
        <v>0</v>
      </c>
      <c r="R1828" s="17" t="n">
        <v>0</v>
      </c>
      <c r="T1828" s="17">
        <f>DAY(C1828)</f>
        <v/>
      </c>
      <c r="U1828" s="17">
        <f>MONTH(C1828)</f>
        <v/>
      </c>
    </row>
    <row r="1829" ht="22.5" customHeight="1" s="117">
      <c r="A1829" s="14" t="n">
        <v>46103.31284381945</v>
      </c>
      <c r="B1829" s="17" t="inlineStr">
        <is>
          <t>Trần Trung Giang</t>
        </is>
      </c>
      <c r="C1829" s="16" t="n">
        <v>46102</v>
      </c>
      <c r="D1829" s="17" t="n">
        <v>0</v>
      </c>
      <c r="E1829" s="17" t="n">
        <v>0</v>
      </c>
      <c r="F1829" s="17" t="n">
        <v>0</v>
      </c>
      <c r="G1829" s="17" t="n">
        <v>0</v>
      </c>
      <c r="H1829" s="17" t="n">
        <v>0</v>
      </c>
      <c r="I1829" s="17" t="n">
        <v>0</v>
      </c>
      <c r="J1829" s="17" t="n">
        <v>0</v>
      </c>
      <c r="K1829" s="17" t="n">
        <v>0</v>
      </c>
      <c r="L1829" s="17" t="n">
        <v>0</v>
      </c>
      <c r="M1829" s="17" t="n">
        <v>0</v>
      </c>
      <c r="N1829" s="17" t="n">
        <v>0</v>
      </c>
      <c r="O1829" s="17" t="n">
        <v>0</v>
      </c>
      <c r="P1829" s="17" t="n">
        <v>0</v>
      </c>
      <c r="Q1829" s="17" t="n">
        <v>1</v>
      </c>
      <c r="R1829" s="17" t="n">
        <v>0</v>
      </c>
      <c r="T1829" s="17">
        <f>DAY(C1829)</f>
        <v/>
      </c>
      <c r="U1829" s="17">
        <f>MONTH(C1829)</f>
        <v/>
      </c>
    </row>
    <row r="1830" ht="22.5" customHeight="1" s="117">
      <c r="A1830" s="14" t="n">
        <v>46103.32876435185</v>
      </c>
      <c r="B1830" s="17" t="inlineStr">
        <is>
          <t>Nguyễn Văn Hiệp</t>
        </is>
      </c>
      <c r="C1830" s="16" t="n">
        <v>46102</v>
      </c>
      <c r="D1830" s="17" t="n">
        <v>0</v>
      </c>
      <c r="E1830" s="17" t="n">
        <v>0</v>
      </c>
      <c r="F1830" s="17" t="n">
        <v>0</v>
      </c>
      <c r="G1830" s="17" t="n">
        <v>0</v>
      </c>
      <c r="H1830" s="17" t="n">
        <v>0</v>
      </c>
      <c r="I1830" s="17" t="n">
        <v>0</v>
      </c>
      <c r="J1830" s="17" t="n">
        <v>0</v>
      </c>
      <c r="K1830" s="17" t="n">
        <v>0</v>
      </c>
      <c r="L1830" s="17" t="n">
        <v>0</v>
      </c>
      <c r="M1830" s="17" t="n">
        <v>0</v>
      </c>
      <c r="N1830" s="17" t="n">
        <v>0</v>
      </c>
      <c r="O1830" s="17" t="n">
        <v>0</v>
      </c>
      <c r="P1830" s="17" t="n">
        <v>0</v>
      </c>
      <c r="Q1830" s="17" t="n">
        <v>2</v>
      </c>
      <c r="R1830" s="17" t="n">
        <v>0</v>
      </c>
      <c r="T1830" s="17">
        <f>DAY(C1830)</f>
        <v/>
      </c>
      <c r="U1830" s="17">
        <f>MONTH(C1830)</f>
        <v/>
      </c>
    </row>
    <row r="1831" ht="22.5" customHeight="1" s="117">
      <c r="A1831" s="14" t="n">
        <v>46103.35738780093</v>
      </c>
      <c r="B1831" s="17" t="inlineStr">
        <is>
          <t>Đặng Hoài Anh</t>
        </is>
      </c>
      <c r="C1831" s="16" t="n">
        <v>46102</v>
      </c>
      <c r="D1831" s="17" t="n">
        <v>0</v>
      </c>
      <c r="E1831" s="17" t="n">
        <v>0</v>
      </c>
      <c r="F1831" s="17" t="n">
        <v>0</v>
      </c>
      <c r="G1831" s="17" t="n">
        <v>0</v>
      </c>
      <c r="H1831" s="17" t="n">
        <v>0</v>
      </c>
      <c r="I1831" s="17" t="n">
        <v>0</v>
      </c>
      <c r="J1831" s="17" t="n">
        <v>0</v>
      </c>
      <c r="K1831" s="17" t="n">
        <v>2</v>
      </c>
      <c r="L1831" s="17" t="n">
        <v>0</v>
      </c>
      <c r="M1831" s="17" t="n">
        <v>0</v>
      </c>
      <c r="N1831" s="17" t="n">
        <v>0</v>
      </c>
      <c r="O1831" s="17" t="n">
        <v>0</v>
      </c>
      <c r="P1831" s="17" t="n">
        <v>0</v>
      </c>
      <c r="Q1831" s="17" t="n">
        <v>0</v>
      </c>
      <c r="R1831" s="17" t="n">
        <v>0</v>
      </c>
      <c r="T1831" s="17">
        <f>DAY(C1831)</f>
        <v/>
      </c>
      <c r="U1831" s="17">
        <f>MONTH(C1831)</f>
        <v/>
      </c>
    </row>
    <row r="1832" ht="22.5" customHeight="1" s="117">
      <c r="A1832" s="14" t="n">
        <v>46104.30649829861</v>
      </c>
      <c r="B1832" s="17" t="inlineStr">
        <is>
          <t>Nguyễn Văn Hiệp</t>
        </is>
      </c>
      <c r="C1832" s="16" t="n">
        <v>46103</v>
      </c>
      <c r="D1832" s="17" t="n">
        <v>0</v>
      </c>
      <c r="E1832" s="17" t="n">
        <v>0</v>
      </c>
      <c r="F1832" s="17" t="n">
        <v>0</v>
      </c>
      <c r="G1832" s="17" t="n">
        <v>0</v>
      </c>
      <c r="H1832" s="17" t="n">
        <v>0</v>
      </c>
      <c r="I1832" s="17" t="n">
        <v>0</v>
      </c>
      <c r="J1832" s="17" t="n">
        <v>0</v>
      </c>
      <c r="K1832" s="17" t="n">
        <v>3</v>
      </c>
      <c r="L1832" s="17" t="n">
        <v>0</v>
      </c>
      <c r="M1832" s="17" t="n">
        <v>0</v>
      </c>
      <c r="N1832" s="17" t="n">
        <v>0</v>
      </c>
      <c r="O1832" s="17" t="n">
        <v>0</v>
      </c>
      <c r="P1832" s="17" t="n">
        <v>0</v>
      </c>
      <c r="Q1832" s="17" t="n">
        <v>0</v>
      </c>
      <c r="R1832" s="17" t="n">
        <v>0</v>
      </c>
      <c r="T1832" s="17">
        <f>DAY(C1832)</f>
        <v/>
      </c>
      <c r="U1832" s="17">
        <f>MONTH(C1832)</f>
        <v/>
      </c>
    </row>
    <row r="1833" ht="22.5" customHeight="1" s="117">
      <c r="A1833" s="14" t="n">
        <v>46104.31596763889</v>
      </c>
      <c r="B1833" s="17" t="inlineStr">
        <is>
          <t>Nguyễn Tuấn Anh</t>
        </is>
      </c>
      <c r="C1833" s="16" t="n">
        <v>46103</v>
      </c>
      <c r="D1833" s="17" t="n">
        <v>1</v>
      </c>
      <c r="E1833" s="17" t="n">
        <v>1</v>
      </c>
      <c r="F1833" s="17" t="n">
        <v>1</v>
      </c>
      <c r="G1833" s="17" t="n">
        <v>0</v>
      </c>
      <c r="H1833" s="17" t="n">
        <v>0</v>
      </c>
      <c r="I1833" s="17" t="n">
        <v>0</v>
      </c>
      <c r="J1833" s="17" t="n">
        <v>0</v>
      </c>
      <c r="K1833" s="17" t="n">
        <v>6</v>
      </c>
      <c r="L1833" s="17" t="n">
        <v>0</v>
      </c>
      <c r="M1833" s="17" t="n">
        <v>0</v>
      </c>
      <c r="N1833" s="17" t="n">
        <v>0</v>
      </c>
      <c r="O1833" s="17" t="n">
        <v>0</v>
      </c>
      <c r="P1833" s="17" t="n">
        <v>0</v>
      </c>
      <c r="Q1833" s="17" t="n">
        <v>2</v>
      </c>
      <c r="R1833" s="17" t="n">
        <v>0</v>
      </c>
      <c r="T1833" s="17">
        <f>DAY(C1833)</f>
        <v/>
      </c>
      <c r="U1833" s="17">
        <f>MONTH(C1833)</f>
        <v/>
      </c>
    </row>
    <row r="1834" ht="22.5" customHeight="1" s="117">
      <c r="A1834" s="14" t="n">
        <v>46104.31725133102</v>
      </c>
      <c r="B1834" s="17" t="inlineStr">
        <is>
          <t>Trần Trung Giang</t>
        </is>
      </c>
      <c r="C1834" s="16" t="n">
        <v>46103</v>
      </c>
      <c r="D1834" s="17" t="n">
        <v>0</v>
      </c>
      <c r="E1834" s="17" t="n">
        <v>0</v>
      </c>
      <c r="F1834" s="17" t="n">
        <v>0</v>
      </c>
      <c r="G1834" s="17" t="n">
        <v>0</v>
      </c>
      <c r="H1834" s="17" t="n">
        <v>0</v>
      </c>
      <c r="I1834" s="17" t="n">
        <v>0</v>
      </c>
      <c r="J1834" s="17" t="n">
        <v>0</v>
      </c>
      <c r="K1834" s="17" t="n">
        <v>0</v>
      </c>
      <c r="L1834" s="17" t="n">
        <v>0</v>
      </c>
      <c r="M1834" s="17" t="n">
        <v>0</v>
      </c>
      <c r="N1834" s="17" t="n">
        <v>0</v>
      </c>
      <c r="O1834" s="17" t="n">
        <v>0</v>
      </c>
      <c r="P1834" s="17" t="n">
        <v>0</v>
      </c>
      <c r="Q1834" s="17" t="n">
        <v>2</v>
      </c>
      <c r="R1834" s="17" t="n">
        <v>0</v>
      </c>
      <c r="T1834" s="17">
        <f>DAY(C1834)</f>
        <v/>
      </c>
      <c r="U1834" s="17">
        <f>MONTH(C1834)</f>
        <v/>
      </c>
    </row>
    <row r="1835" ht="22.5" customHeight="1" s="117">
      <c r="A1835" s="14" t="n">
        <v>46104.38260313658</v>
      </c>
      <c r="B1835" s="17" t="inlineStr">
        <is>
          <t>Đặng Hoài Anh</t>
        </is>
      </c>
      <c r="C1835" s="16" t="n">
        <v>46103</v>
      </c>
      <c r="D1835" s="17" t="n">
        <v>0</v>
      </c>
      <c r="E1835" s="17" t="n">
        <v>0</v>
      </c>
      <c r="F1835" s="17" t="n">
        <v>0</v>
      </c>
      <c r="G1835" s="17" t="n">
        <v>0</v>
      </c>
      <c r="H1835" s="17" t="n">
        <v>0</v>
      </c>
      <c r="I1835" s="17" t="n">
        <v>0</v>
      </c>
      <c r="J1835" s="17" t="n">
        <v>0</v>
      </c>
      <c r="K1835" s="17" t="n">
        <v>2</v>
      </c>
      <c r="L1835" s="17" t="n">
        <v>0</v>
      </c>
      <c r="M1835" s="17" t="n">
        <v>0</v>
      </c>
      <c r="N1835" s="17" t="n">
        <v>0</v>
      </c>
      <c r="O1835" s="17" t="n">
        <v>0</v>
      </c>
      <c r="P1835" s="17" t="n">
        <v>0</v>
      </c>
      <c r="Q1835" s="17" t="n">
        <v>1</v>
      </c>
      <c r="R1835" s="17" t="n">
        <v>0</v>
      </c>
      <c r="T1835" s="17">
        <f>DAY(C1835)</f>
        <v/>
      </c>
      <c r="U1835" s="17">
        <f>MONTH(C1835)</f>
        <v/>
      </c>
    </row>
    <row r="1836" ht="22.5" customHeight="1" s="117">
      <c r="A1836" s="14" t="n">
        <v>46105.29081251157</v>
      </c>
      <c r="B1836" s="17" t="inlineStr">
        <is>
          <t>Nguyễn Văn Hiệp</t>
        </is>
      </c>
      <c r="C1836" s="16" t="n">
        <v>46104</v>
      </c>
      <c r="D1836" s="17" t="n">
        <v>0</v>
      </c>
      <c r="E1836" s="17" t="n">
        <v>0</v>
      </c>
      <c r="F1836" s="17" t="n">
        <v>0</v>
      </c>
      <c r="G1836" s="17" t="n">
        <v>0</v>
      </c>
      <c r="H1836" s="17" t="n">
        <v>0</v>
      </c>
      <c r="I1836" s="17" t="n">
        <v>0</v>
      </c>
      <c r="J1836" s="17" t="n">
        <v>0</v>
      </c>
      <c r="K1836" s="17" t="n">
        <v>0</v>
      </c>
      <c r="L1836" s="17" t="n">
        <v>0</v>
      </c>
      <c r="M1836" s="17" t="n">
        <v>0</v>
      </c>
      <c r="N1836" s="17" t="n">
        <v>1</v>
      </c>
      <c r="O1836" s="17" t="n">
        <v>0</v>
      </c>
      <c r="P1836" s="17" t="n">
        <v>0</v>
      </c>
      <c r="Q1836" s="17" t="n">
        <v>0</v>
      </c>
      <c r="R1836" s="17" t="n">
        <v>0</v>
      </c>
      <c r="T1836" s="17">
        <f>DAY(C1836)</f>
        <v/>
      </c>
      <c r="U1836" s="17">
        <f>MONTH(C1836)</f>
        <v/>
      </c>
    </row>
    <row r="1837" hidden="1" ht="22.5" customHeight="1" s="117">
      <c r="A1837" s="14" t="n">
        <v>46105.30670966435</v>
      </c>
      <c r="B1837" s="17" t="inlineStr">
        <is>
          <t>Trần Trung Giang</t>
        </is>
      </c>
      <c r="C1837" s="16" t="n">
        <v>45374</v>
      </c>
      <c r="D1837" s="17" t="n">
        <v>0</v>
      </c>
      <c r="E1837" s="17" t="n">
        <v>0</v>
      </c>
      <c r="F1837" s="17" t="n">
        <v>0</v>
      </c>
      <c r="G1837" s="17" t="n">
        <v>1</v>
      </c>
      <c r="H1837" s="17" t="n">
        <v>0</v>
      </c>
      <c r="I1837" s="17" t="n">
        <v>0</v>
      </c>
      <c r="J1837" s="17" t="n">
        <v>0</v>
      </c>
      <c r="K1837" s="17" t="n">
        <v>0</v>
      </c>
      <c r="L1837" s="17" t="n">
        <v>0</v>
      </c>
      <c r="M1837" s="17" t="n">
        <v>0</v>
      </c>
      <c r="N1837" s="17" t="n">
        <v>0</v>
      </c>
      <c r="O1837" s="17" t="n">
        <v>0</v>
      </c>
      <c r="P1837" s="17" t="n">
        <v>0</v>
      </c>
      <c r="Q1837" s="17" t="n">
        <v>0</v>
      </c>
      <c r="R1837" s="17" t="n">
        <v>0</v>
      </c>
      <c r="T1837" s="17">
        <f>DAY(C1837)</f>
        <v/>
      </c>
      <c r="U1837" s="17">
        <f>MONTH(C1837)</f>
        <v/>
      </c>
    </row>
    <row r="1838" ht="22.5" customHeight="1" s="117">
      <c r="A1838" s="14" t="n">
        <v>46106.30079726852</v>
      </c>
      <c r="B1838" s="17" t="inlineStr">
        <is>
          <t>Nguyễn Văn Hiệp</t>
        </is>
      </c>
      <c r="C1838" s="16" t="n">
        <v>46105</v>
      </c>
      <c r="D1838" s="17" t="n">
        <v>0</v>
      </c>
      <c r="E1838" s="17" t="n">
        <v>0</v>
      </c>
      <c r="F1838" s="17" t="n">
        <v>0</v>
      </c>
      <c r="G1838" s="17" t="n">
        <v>0</v>
      </c>
      <c r="H1838" s="17" t="n">
        <v>0</v>
      </c>
      <c r="I1838" s="17" t="n">
        <v>0</v>
      </c>
      <c r="J1838" s="17" t="n">
        <v>0</v>
      </c>
      <c r="K1838" s="17" t="n">
        <v>2</v>
      </c>
      <c r="L1838" s="17" t="n">
        <v>0</v>
      </c>
      <c r="M1838" s="17" t="n">
        <v>1</v>
      </c>
      <c r="N1838" s="17" t="n">
        <v>0</v>
      </c>
      <c r="O1838" s="17" t="n">
        <v>0</v>
      </c>
      <c r="P1838" s="17" t="n">
        <v>0</v>
      </c>
      <c r="Q1838" s="17" t="n">
        <v>0</v>
      </c>
      <c r="R1838" s="17" t="n">
        <v>0</v>
      </c>
      <c r="T1838" s="17">
        <f>DAY(C1838)</f>
        <v/>
      </c>
      <c r="U1838" s="17">
        <f>MONTH(C1838)</f>
        <v/>
      </c>
    </row>
    <row r="1839" ht="22.5" customHeight="1" s="117">
      <c r="A1839" s="14" t="n">
        <v>46107.31888157407</v>
      </c>
      <c r="B1839" s="17" t="inlineStr">
        <is>
          <t>Trần Trung Giang</t>
        </is>
      </c>
      <c r="C1839" s="16" t="n">
        <v>46106</v>
      </c>
      <c r="D1839" s="17" t="n">
        <v>0</v>
      </c>
      <c r="E1839" s="17" t="n">
        <v>0</v>
      </c>
      <c r="F1839" s="17" t="n">
        <v>0</v>
      </c>
      <c r="G1839" s="17" t="n">
        <v>0</v>
      </c>
      <c r="H1839" s="17" t="n">
        <v>0</v>
      </c>
      <c r="I1839" s="17" t="n">
        <v>0</v>
      </c>
      <c r="J1839" s="17" t="n">
        <v>0</v>
      </c>
      <c r="K1839" s="17" t="n">
        <v>0</v>
      </c>
      <c r="L1839" s="17" t="n">
        <v>0</v>
      </c>
      <c r="M1839" s="17" t="n">
        <v>0</v>
      </c>
      <c r="N1839" s="17" t="n">
        <v>0</v>
      </c>
      <c r="O1839" s="17" t="n">
        <v>0</v>
      </c>
      <c r="P1839" s="17" t="n">
        <v>0</v>
      </c>
      <c r="Q1839" s="17" t="n">
        <v>1</v>
      </c>
      <c r="R1839" s="17" t="n">
        <v>0</v>
      </c>
      <c r="T1839" s="17">
        <f>DAY(C1839)</f>
        <v/>
      </c>
      <c r="U1839" s="17">
        <f>MONTH(C1839)</f>
        <v/>
      </c>
    </row>
    <row r="1840" ht="22.5" customHeight="1" s="117">
      <c r="A1840" s="14" t="n">
        <v>46107.32371650463</v>
      </c>
      <c r="B1840" s="17" t="inlineStr">
        <is>
          <t>Nguyễn Văn Hiệp</t>
        </is>
      </c>
      <c r="C1840" s="16" t="n">
        <v>46106</v>
      </c>
      <c r="D1840" s="17" t="n">
        <v>0</v>
      </c>
      <c r="E1840" s="17" t="n">
        <v>0</v>
      </c>
      <c r="F1840" s="17" t="n">
        <v>0</v>
      </c>
      <c r="G1840" s="17" t="n">
        <v>0</v>
      </c>
      <c r="H1840" s="17" t="n">
        <v>0</v>
      </c>
      <c r="I1840" s="17" t="n">
        <v>0</v>
      </c>
      <c r="J1840" s="17" t="n">
        <v>0</v>
      </c>
      <c r="K1840" s="17" t="n">
        <v>7</v>
      </c>
      <c r="L1840" s="17" t="n">
        <v>1</v>
      </c>
      <c r="M1840" s="17" t="n">
        <v>0</v>
      </c>
      <c r="N1840" s="17" t="n">
        <v>0</v>
      </c>
      <c r="O1840" s="17" t="n">
        <v>0</v>
      </c>
      <c r="P1840" s="17" t="n">
        <v>0</v>
      </c>
      <c r="Q1840" s="17" t="n">
        <v>0</v>
      </c>
      <c r="R1840" s="17" t="n">
        <v>0</v>
      </c>
      <c r="T1840" s="17">
        <f>DAY(C1840)</f>
        <v/>
      </c>
      <c r="U1840" s="17">
        <f>MONTH(C1840)</f>
        <v/>
      </c>
    </row>
    <row r="1841" ht="22.5" customHeight="1" s="117">
      <c r="A1841" s="14" t="n">
        <v>46108.30558591435</v>
      </c>
      <c r="B1841" s="17" t="inlineStr">
        <is>
          <t>Nguyễn Văn Hiệp</t>
        </is>
      </c>
      <c r="C1841" s="16" t="n">
        <v>46107</v>
      </c>
      <c r="D1841" s="17" t="n">
        <v>0</v>
      </c>
      <c r="E1841" s="17" t="n">
        <v>0</v>
      </c>
      <c r="F1841" s="17" t="n">
        <v>0</v>
      </c>
      <c r="G1841" s="17" t="n">
        <v>0</v>
      </c>
      <c r="H1841" s="17" t="n">
        <v>0</v>
      </c>
      <c r="I1841" s="17" t="n">
        <v>2</v>
      </c>
      <c r="J1841" s="17" t="n">
        <v>0</v>
      </c>
      <c r="K1841" s="17" t="n">
        <v>2</v>
      </c>
      <c r="L1841" s="17" t="n">
        <v>0</v>
      </c>
      <c r="M1841" s="17" t="n">
        <v>0</v>
      </c>
      <c r="N1841" s="17" t="n">
        <v>3</v>
      </c>
      <c r="O1841" s="17" t="n">
        <v>0</v>
      </c>
      <c r="P1841" s="17" t="n">
        <v>0</v>
      </c>
      <c r="Q1841" s="17" t="n">
        <v>0</v>
      </c>
      <c r="R1841" s="17" t="n">
        <v>0</v>
      </c>
      <c r="T1841" s="17">
        <f>DAY(C1841)</f>
        <v/>
      </c>
      <c r="U1841" s="17">
        <f>MONTH(C1841)</f>
        <v/>
      </c>
    </row>
    <row r="1842" ht="22.5" customHeight="1" s="117">
      <c r="A1842" s="14" t="n">
        <v>46108.3065002662</v>
      </c>
      <c r="B1842" s="17" t="inlineStr">
        <is>
          <t>Nguyễn Tuấn Anh</t>
        </is>
      </c>
      <c r="C1842" s="16" t="n">
        <v>46106</v>
      </c>
      <c r="D1842" s="17" t="n">
        <v>1</v>
      </c>
      <c r="E1842" s="17" t="n">
        <v>0</v>
      </c>
      <c r="F1842" s="17" t="n">
        <v>0</v>
      </c>
      <c r="G1842" s="17" t="n">
        <v>0</v>
      </c>
      <c r="H1842" s="17" t="n">
        <v>0</v>
      </c>
      <c r="I1842" s="17" t="n">
        <v>2</v>
      </c>
      <c r="J1842" s="17" t="n">
        <v>0</v>
      </c>
      <c r="K1842" s="17" t="n">
        <v>8</v>
      </c>
      <c r="L1842" s="17" t="n">
        <v>0</v>
      </c>
      <c r="M1842" s="17" t="n">
        <v>0</v>
      </c>
      <c r="N1842" s="17" t="n">
        <v>0</v>
      </c>
      <c r="O1842" s="17" t="n">
        <v>0</v>
      </c>
      <c r="P1842" s="17" t="n">
        <v>2</v>
      </c>
      <c r="Q1842" s="17" t="n">
        <v>2</v>
      </c>
      <c r="R1842" s="17" t="n">
        <v>0</v>
      </c>
      <c r="T1842" s="17">
        <f>DAY(C1842)</f>
        <v/>
      </c>
      <c r="U1842" s="17">
        <f>MONTH(C1842)</f>
        <v/>
      </c>
    </row>
    <row r="1843" ht="22.5" customHeight="1" s="117">
      <c r="A1843" s="14" t="n">
        <v>46108.30707261574</v>
      </c>
      <c r="B1843" s="17" t="inlineStr">
        <is>
          <t>Nguyễn Tuấn Anh</t>
        </is>
      </c>
      <c r="C1843" s="16" t="n">
        <v>46107</v>
      </c>
      <c r="D1843" s="17" t="n">
        <v>0</v>
      </c>
      <c r="E1843" s="17" t="n">
        <v>0</v>
      </c>
      <c r="F1843" s="17" t="n">
        <v>0</v>
      </c>
      <c r="G1843" s="17" t="n">
        <v>0</v>
      </c>
      <c r="H1843" s="17" t="n">
        <v>0</v>
      </c>
      <c r="I1843" s="17" t="n">
        <v>2</v>
      </c>
      <c r="J1843" s="17" t="n">
        <v>0</v>
      </c>
      <c r="K1843" s="17" t="n">
        <v>5</v>
      </c>
      <c r="L1843" s="17" t="n">
        <v>0</v>
      </c>
      <c r="M1843" s="17" t="n">
        <v>0</v>
      </c>
      <c r="N1843" s="17" t="n">
        <v>0</v>
      </c>
      <c r="O1843" s="17" t="n">
        <v>0</v>
      </c>
      <c r="P1843" s="17" t="n">
        <v>1</v>
      </c>
      <c r="Q1843" s="17" t="n">
        <v>2</v>
      </c>
      <c r="R1843" s="17" t="n">
        <v>0</v>
      </c>
      <c r="T1843" s="17">
        <f>DAY(C1843)</f>
        <v/>
      </c>
      <c r="U1843" s="17">
        <f>MONTH(C1843)</f>
        <v/>
      </c>
    </row>
    <row r="1844" ht="22.5" customHeight="1" s="117">
      <c r="A1844" s="14" t="n">
        <v>46108.3232365625</v>
      </c>
      <c r="B1844" s="17" t="inlineStr">
        <is>
          <t>Trần Trung Giang</t>
        </is>
      </c>
      <c r="C1844" s="16" t="n">
        <v>46107</v>
      </c>
      <c r="D1844" s="17" t="n">
        <v>0</v>
      </c>
      <c r="E1844" s="17" t="n">
        <v>0</v>
      </c>
      <c r="F1844" s="17" t="n">
        <v>0</v>
      </c>
      <c r="G1844" s="17" t="n">
        <v>0</v>
      </c>
      <c r="H1844" s="17" t="n">
        <v>0</v>
      </c>
      <c r="I1844" s="17" t="n">
        <v>0</v>
      </c>
      <c r="J1844" s="17" t="n">
        <v>0</v>
      </c>
      <c r="K1844" s="17" t="n">
        <v>0</v>
      </c>
      <c r="L1844" s="17" t="n">
        <v>0</v>
      </c>
      <c r="M1844" s="17" t="n">
        <v>0</v>
      </c>
      <c r="N1844" s="17" t="n">
        <v>0</v>
      </c>
      <c r="O1844" s="17" t="n">
        <v>0</v>
      </c>
      <c r="P1844" s="17" t="n">
        <v>0</v>
      </c>
      <c r="Q1844" s="17" t="n">
        <v>0</v>
      </c>
      <c r="R1844" s="17" t="n">
        <v>0</v>
      </c>
      <c r="T1844" s="17">
        <f>DAY(C1844)</f>
        <v/>
      </c>
      <c r="U1844" s="17">
        <f>MONTH(C1844)</f>
        <v/>
      </c>
    </row>
    <row r="1845" ht="22.5" customHeight="1" s="117">
      <c r="A1845" s="14" t="n">
        <v>46109.2994697338</v>
      </c>
      <c r="B1845" s="17" t="inlineStr">
        <is>
          <t>Nguyễn Tuấn Anh</t>
        </is>
      </c>
      <c r="C1845" s="16" t="n">
        <v>46108</v>
      </c>
      <c r="D1845" s="17" t="n">
        <v>0</v>
      </c>
      <c r="E1845" s="17" t="n">
        <v>0</v>
      </c>
      <c r="F1845" s="17" t="n">
        <v>0</v>
      </c>
      <c r="G1845" s="17" t="n">
        <v>0</v>
      </c>
      <c r="H1845" s="17" t="n">
        <v>0</v>
      </c>
      <c r="I1845" s="17" t="n">
        <v>2</v>
      </c>
      <c r="J1845" s="17" t="n">
        <v>0</v>
      </c>
      <c r="K1845" s="17" t="n">
        <v>2</v>
      </c>
      <c r="L1845" s="17" t="n">
        <v>0</v>
      </c>
      <c r="M1845" s="17" t="n">
        <v>0</v>
      </c>
      <c r="N1845" s="17" t="n">
        <v>0</v>
      </c>
      <c r="O1845" s="17" t="n">
        <v>0</v>
      </c>
      <c r="P1845" s="17" t="n">
        <v>0</v>
      </c>
      <c r="Q1845" s="17" t="n">
        <v>2</v>
      </c>
      <c r="R1845" s="17" t="n">
        <v>0</v>
      </c>
      <c r="T1845" s="17">
        <f>DAY(C1845)</f>
        <v/>
      </c>
      <c r="U1845" s="17">
        <f>MONTH(C1845)</f>
        <v/>
      </c>
    </row>
    <row r="1846" ht="22.5" customHeight="1" s="117">
      <c r="A1846" s="14" t="n">
        <v>46109.30373900463</v>
      </c>
      <c r="B1846" s="17" t="inlineStr">
        <is>
          <t>Nguyễn Văn Hiệp</t>
        </is>
      </c>
      <c r="C1846" s="16" t="n">
        <v>46108</v>
      </c>
      <c r="D1846" s="17" t="n">
        <v>0</v>
      </c>
      <c r="E1846" s="17" t="n">
        <v>0</v>
      </c>
      <c r="F1846" s="17" t="n">
        <v>0</v>
      </c>
      <c r="G1846" s="17" t="n">
        <v>0</v>
      </c>
      <c r="H1846" s="17" t="n">
        <v>0</v>
      </c>
      <c r="I1846" s="17" t="n">
        <v>0</v>
      </c>
      <c r="J1846" s="17" t="n">
        <v>9</v>
      </c>
      <c r="K1846" s="17" t="n">
        <v>4</v>
      </c>
      <c r="L1846" s="17" t="n">
        <v>0</v>
      </c>
      <c r="M1846" s="17" t="n">
        <v>0</v>
      </c>
      <c r="N1846" s="17" t="n">
        <v>0</v>
      </c>
      <c r="O1846" s="17" t="n">
        <v>0</v>
      </c>
      <c r="P1846" s="17" t="n">
        <v>0</v>
      </c>
      <c r="Q1846" s="17" t="n">
        <v>0</v>
      </c>
      <c r="R1846" s="17" t="n">
        <v>0</v>
      </c>
      <c r="T1846" s="17">
        <f>DAY(C1846)</f>
        <v/>
      </c>
      <c r="U1846" s="17">
        <f>MONTH(C1846)</f>
        <v/>
      </c>
    </row>
    <row r="1847" ht="22.5" customHeight="1" s="117">
      <c r="A1847" s="14" t="n">
        <v>46109.30900512732</v>
      </c>
      <c r="B1847" s="17" t="inlineStr">
        <is>
          <t>Trần Trung Giang</t>
        </is>
      </c>
      <c r="C1847" s="16" t="n">
        <v>46108</v>
      </c>
      <c r="D1847" s="17" t="n">
        <v>0</v>
      </c>
      <c r="E1847" s="17" t="n">
        <v>0</v>
      </c>
      <c r="F1847" s="17" t="n">
        <v>0</v>
      </c>
      <c r="G1847" s="17" t="n">
        <v>0</v>
      </c>
      <c r="H1847" s="17" t="n">
        <v>0</v>
      </c>
      <c r="I1847" s="17" t="n">
        <v>0</v>
      </c>
      <c r="J1847" s="17" t="n">
        <v>0</v>
      </c>
      <c r="K1847" s="17" t="n">
        <v>0</v>
      </c>
      <c r="L1847" s="17" t="n">
        <v>0</v>
      </c>
      <c r="M1847" s="17" t="n">
        <v>0</v>
      </c>
      <c r="N1847" s="17" t="n">
        <v>0</v>
      </c>
      <c r="O1847" s="17" t="n">
        <v>0</v>
      </c>
      <c r="P1847" s="17" t="n">
        <v>0</v>
      </c>
      <c r="Q1847" s="17" t="n">
        <v>0</v>
      </c>
      <c r="R1847" s="17" t="n">
        <v>0</v>
      </c>
      <c r="T1847" s="17">
        <f>DAY(C1847)</f>
        <v/>
      </c>
      <c r="U1847" s="17">
        <f>MONTH(C1847)</f>
        <v/>
      </c>
    </row>
    <row r="1848" ht="22.5" customHeight="1" s="117">
      <c r="A1848" s="14" t="n">
        <v>46110.31463085648</v>
      </c>
      <c r="B1848" s="17" t="inlineStr">
        <is>
          <t>Trần Trung Giang</t>
        </is>
      </c>
      <c r="C1848" s="16" t="n">
        <v>46109</v>
      </c>
      <c r="D1848" s="17" t="n">
        <v>0</v>
      </c>
      <c r="E1848" s="17" t="n">
        <v>1</v>
      </c>
      <c r="F1848" s="17" t="n">
        <v>1</v>
      </c>
      <c r="G1848" s="17" t="n">
        <v>0</v>
      </c>
      <c r="H1848" s="17" t="n">
        <v>0</v>
      </c>
      <c r="I1848" s="17" t="n">
        <v>0</v>
      </c>
      <c r="J1848" s="17" t="n">
        <v>0</v>
      </c>
      <c r="K1848" s="17" t="n">
        <v>2</v>
      </c>
      <c r="L1848" s="17" t="n">
        <v>0</v>
      </c>
      <c r="M1848" s="17" t="n">
        <v>2</v>
      </c>
      <c r="N1848" s="17" t="n">
        <v>0</v>
      </c>
      <c r="O1848" s="17" t="n">
        <v>0</v>
      </c>
      <c r="P1848" s="17" t="n">
        <v>0</v>
      </c>
      <c r="Q1848" s="17" t="n">
        <v>2</v>
      </c>
      <c r="R1848" s="17" t="n">
        <v>0</v>
      </c>
      <c r="T1848" s="17">
        <f>DAY(C1848)</f>
        <v/>
      </c>
      <c r="U1848" s="17">
        <f>MONTH(C1848)</f>
        <v/>
      </c>
    </row>
    <row r="1849" ht="22.5" customHeight="1" s="117">
      <c r="A1849" s="14" t="n">
        <v>46110.31887841435</v>
      </c>
      <c r="B1849" s="17" t="inlineStr">
        <is>
          <t>Nguyễn Văn Hiệp</t>
        </is>
      </c>
      <c r="C1849" s="16" t="n">
        <v>46109</v>
      </c>
      <c r="D1849" s="17" t="n">
        <v>1</v>
      </c>
      <c r="E1849" s="17" t="n">
        <v>1</v>
      </c>
      <c r="F1849" s="17" t="n">
        <v>0</v>
      </c>
      <c r="G1849" s="17" t="n">
        <v>0</v>
      </c>
      <c r="H1849" s="17" t="n">
        <v>0</v>
      </c>
      <c r="I1849" s="17" t="n">
        <v>0</v>
      </c>
      <c r="J1849" s="17" t="n">
        <v>0</v>
      </c>
      <c r="K1849" s="17" t="n">
        <v>2</v>
      </c>
      <c r="L1849" s="17" t="n">
        <v>0</v>
      </c>
      <c r="M1849" s="17" t="n">
        <v>2</v>
      </c>
      <c r="N1849" s="17" t="n">
        <v>0</v>
      </c>
      <c r="O1849" s="17" t="n">
        <v>0</v>
      </c>
      <c r="P1849" s="17" t="n">
        <v>0</v>
      </c>
      <c r="Q1849" s="17" t="n">
        <v>0</v>
      </c>
      <c r="R1849" s="17" t="n">
        <v>0</v>
      </c>
      <c r="T1849" s="17">
        <f>DAY(C1849)</f>
        <v/>
      </c>
      <c r="U1849" s="17">
        <f>MONTH(C1849)</f>
        <v/>
      </c>
    </row>
    <row r="1850" ht="22.5" customHeight="1" s="117">
      <c r="A1850" s="14" t="n">
        <v>46111.30363157408</v>
      </c>
      <c r="B1850" s="17" t="inlineStr">
        <is>
          <t>Nguyễn Văn Hiệp</t>
        </is>
      </c>
      <c r="C1850" s="16" t="n">
        <v>46110</v>
      </c>
      <c r="D1850" s="17" t="n">
        <v>0</v>
      </c>
      <c r="E1850" s="17" t="n">
        <v>0</v>
      </c>
      <c r="F1850" s="17" t="n">
        <v>0</v>
      </c>
      <c r="G1850" s="17" t="n">
        <v>0</v>
      </c>
      <c r="H1850" s="17" t="n">
        <v>0</v>
      </c>
      <c r="I1850" s="17" t="n">
        <v>0</v>
      </c>
      <c r="J1850" s="17" t="n">
        <v>0</v>
      </c>
      <c r="K1850" s="17" t="n">
        <v>0</v>
      </c>
      <c r="L1850" s="17" t="n">
        <v>0</v>
      </c>
      <c r="M1850" s="17" t="n">
        <v>0</v>
      </c>
      <c r="N1850" s="17" t="n">
        <v>0</v>
      </c>
      <c r="O1850" s="17" t="n">
        <v>0</v>
      </c>
      <c r="P1850" s="17" t="n">
        <v>0</v>
      </c>
      <c r="Q1850" s="17" t="n">
        <v>1</v>
      </c>
      <c r="R1850" s="17" t="n">
        <v>0</v>
      </c>
      <c r="T1850" s="17">
        <f>DAY(C1850)</f>
        <v/>
      </c>
      <c r="U1850" s="17">
        <f>MONTH(C1850)</f>
        <v/>
      </c>
    </row>
    <row r="1851" ht="22.5" customHeight="1" s="117">
      <c r="A1851" s="14" t="n">
        <v>46111.31848237268</v>
      </c>
      <c r="B1851" s="17" t="inlineStr">
        <is>
          <t>Nguyễn Tuấn Anh</t>
        </is>
      </c>
      <c r="C1851" s="16" t="n">
        <v>46110</v>
      </c>
      <c r="D1851" s="17" t="n">
        <v>1</v>
      </c>
      <c r="E1851" s="17" t="n">
        <v>1</v>
      </c>
      <c r="F1851" s="17" t="n">
        <v>1</v>
      </c>
      <c r="G1851" s="17" t="n">
        <v>0</v>
      </c>
      <c r="H1851" s="17" t="n">
        <v>0</v>
      </c>
      <c r="I1851" s="17" t="n">
        <v>2</v>
      </c>
      <c r="J1851" s="17" t="n">
        <v>0</v>
      </c>
      <c r="K1851" s="17" t="n">
        <v>2</v>
      </c>
      <c r="L1851" s="17" t="n">
        <v>0</v>
      </c>
      <c r="M1851" s="17" t="n">
        <v>0</v>
      </c>
      <c r="N1851" s="17" t="n">
        <v>2</v>
      </c>
      <c r="O1851" s="17" t="n">
        <v>0</v>
      </c>
      <c r="P1851" s="17" t="n">
        <v>1</v>
      </c>
      <c r="Q1851" s="17" t="n">
        <v>2</v>
      </c>
      <c r="R1851" s="17" t="n">
        <v>0</v>
      </c>
      <c r="T1851" s="17">
        <f>DAY(C1851)</f>
        <v/>
      </c>
      <c r="U1851" s="17">
        <f>MONTH(C1851)</f>
        <v/>
      </c>
    </row>
    <row r="1852" ht="22.5" customHeight="1" s="117">
      <c r="A1852" s="14" t="n">
        <v>46111.31900672454</v>
      </c>
      <c r="B1852" s="17" t="inlineStr">
        <is>
          <t>Nguyễn Tuấn Anh</t>
        </is>
      </c>
      <c r="C1852" s="16" t="n">
        <v>46109</v>
      </c>
      <c r="D1852" s="17" t="n">
        <v>1</v>
      </c>
      <c r="E1852" s="17" t="n">
        <v>1</v>
      </c>
      <c r="F1852" s="17" t="n">
        <v>0</v>
      </c>
      <c r="G1852" s="17" t="n">
        <v>0</v>
      </c>
      <c r="H1852" s="17" t="n">
        <v>0</v>
      </c>
      <c r="I1852" s="17" t="n">
        <v>0</v>
      </c>
      <c r="J1852" s="17" t="n">
        <v>0</v>
      </c>
      <c r="K1852" s="17" t="n">
        <v>2</v>
      </c>
      <c r="L1852" s="17" t="n">
        <v>0</v>
      </c>
      <c r="M1852" s="17" t="n">
        <v>0</v>
      </c>
      <c r="N1852" s="17" t="n">
        <v>1</v>
      </c>
      <c r="O1852" s="17" t="n">
        <v>0</v>
      </c>
      <c r="P1852" s="17" t="n">
        <v>2</v>
      </c>
      <c r="Q1852" s="17" t="n">
        <v>2</v>
      </c>
      <c r="R1852" s="17" t="n">
        <v>0</v>
      </c>
      <c r="T1852" s="17">
        <f>DAY(C1852)</f>
        <v/>
      </c>
      <c r="U1852" s="17">
        <f>MONTH(C1852)</f>
        <v/>
      </c>
    </row>
    <row r="1853" ht="22.5" customHeight="1" s="117">
      <c r="A1853" s="14" t="n">
        <v>46111.62604288194</v>
      </c>
      <c r="B1853" s="17" t="inlineStr">
        <is>
          <t>Trần Trung Giang</t>
        </is>
      </c>
      <c r="C1853" s="16" t="n">
        <v>46110</v>
      </c>
      <c r="D1853" s="17" t="n">
        <v>0</v>
      </c>
      <c r="E1853" s="17" t="n">
        <v>0</v>
      </c>
      <c r="F1853" s="17" t="n">
        <v>0</v>
      </c>
      <c r="G1853" s="17" t="n">
        <v>2</v>
      </c>
      <c r="H1853" s="17" t="n">
        <v>1</v>
      </c>
      <c r="I1853" s="17" t="n">
        <v>0</v>
      </c>
      <c r="J1853" s="17" t="n">
        <v>0</v>
      </c>
      <c r="K1853" s="17" t="n">
        <v>2</v>
      </c>
      <c r="L1853" s="17" t="n">
        <v>0</v>
      </c>
      <c r="M1853" s="17" t="n">
        <v>0</v>
      </c>
      <c r="N1853" s="17" t="n">
        <v>0</v>
      </c>
      <c r="O1853" s="17" t="n">
        <v>0</v>
      </c>
      <c r="P1853" s="17" t="n">
        <v>0</v>
      </c>
      <c r="Q1853" s="17" t="n">
        <v>0</v>
      </c>
      <c r="R1853" s="17" t="n">
        <v>0</v>
      </c>
      <c r="T1853" s="17">
        <f>DAY(C1853)</f>
        <v/>
      </c>
      <c r="U1853" s="17">
        <f>MONTH(C1853)</f>
        <v/>
      </c>
    </row>
    <row r="1854" ht="22.5" customHeight="1" s="117">
      <c r="A1854" s="14" t="n">
        <v>46112.27659186342</v>
      </c>
      <c r="B1854" s="17" t="inlineStr">
        <is>
          <t>Nguyễn Văn Hiệp</t>
        </is>
      </c>
      <c r="C1854" s="16" t="n">
        <v>46111</v>
      </c>
      <c r="D1854" s="17" t="n">
        <v>0</v>
      </c>
      <c r="E1854" s="17" t="n">
        <v>0</v>
      </c>
      <c r="F1854" s="17" t="n">
        <v>0</v>
      </c>
      <c r="G1854" s="17" t="n">
        <v>0</v>
      </c>
      <c r="H1854" s="17" t="n">
        <v>0</v>
      </c>
      <c r="I1854" s="17" t="n">
        <v>0</v>
      </c>
      <c r="J1854" s="17" t="n">
        <v>0</v>
      </c>
      <c r="K1854" s="17" t="n">
        <v>5</v>
      </c>
      <c r="L1854" s="17" t="n">
        <v>0</v>
      </c>
      <c r="M1854" s="17" t="n">
        <v>0</v>
      </c>
      <c r="N1854" s="17" t="n">
        <v>0</v>
      </c>
      <c r="O1854" s="17" t="n">
        <v>0</v>
      </c>
      <c r="P1854" s="17" t="n">
        <v>1</v>
      </c>
      <c r="Q1854" s="17" t="n">
        <v>0</v>
      </c>
      <c r="R1854" s="17" t="n">
        <v>0</v>
      </c>
      <c r="T1854" s="17">
        <f>DAY(C1854)</f>
        <v/>
      </c>
      <c r="U1854" s="17">
        <f>MONTH(C1854)</f>
        <v/>
      </c>
    </row>
    <row r="1855" ht="22.5" customHeight="1" s="117">
      <c r="A1855" s="14" t="n">
        <v>46112.3003137037</v>
      </c>
      <c r="B1855" s="17" t="inlineStr">
        <is>
          <t>Nguyễn Tuấn Anh</t>
        </is>
      </c>
      <c r="C1855" s="16" t="n">
        <v>46111</v>
      </c>
      <c r="D1855" s="17" t="n">
        <v>1</v>
      </c>
      <c r="E1855" s="17" t="n">
        <v>1</v>
      </c>
      <c r="F1855" s="17" t="n">
        <v>1</v>
      </c>
      <c r="G1855" s="17" t="n">
        <v>0</v>
      </c>
      <c r="H1855" s="17" t="n">
        <v>0</v>
      </c>
      <c r="I1855" s="17" t="n">
        <v>2</v>
      </c>
      <c r="J1855" s="17" t="n">
        <v>0</v>
      </c>
      <c r="K1855" s="17" t="n">
        <v>2</v>
      </c>
      <c r="L1855" s="17" t="n">
        <v>0</v>
      </c>
      <c r="M1855" s="17" t="n">
        <v>0</v>
      </c>
      <c r="N1855" s="17" t="n">
        <v>0</v>
      </c>
      <c r="O1855" s="17" t="n">
        <v>0</v>
      </c>
      <c r="P1855" s="17" t="n">
        <v>1</v>
      </c>
      <c r="Q1855" s="17" t="n">
        <v>2</v>
      </c>
      <c r="R1855" s="17" t="n">
        <v>0</v>
      </c>
      <c r="T1855" s="17">
        <f>DAY(C1855)</f>
        <v/>
      </c>
      <c r="U1855" s="17">
        <f>MONTH(C1855)</f>
        <v/>
      </c>
    </row>
    <row r="1856" ht="22.5" customHeight="1" s="117">
      <c r="A1856" s="14" t="n">
        <v>46113.3025324074</v>
      </c>
      <c r="B1856" s="17" t="inlineStr">
        <is>
          <t>Nguyễn Văn Hiệp</t>
        </is>
      </c>
      <c r="C1856" s="16" t="n">
        <v>46112</v>
      </c>
      <c r="D1856" s="17" t="n">
        <v>0</v>
      </c>
      <c r="E1856" s="17" t="n">
        <v>0</v>
      </c>
      <c r="F1856" s="17" t="n">
        <v>0</v>
      </c>
      <c r="G1856" s="17" t="n">
        <v>0</v>
      </c>
      <c r="H1856" s="17" t="n">
        <v>0</v>
      </c>
      <c r="I1856" s="17" t="n">
        <v>0</v>
      </c>
      <c r="J1856" s="17" t="n">
        <v>0</v>
      </c>
      <c r="K1856" s="17" t="n">
        <v>2</v>
      </c>
      <c r="L1856" s="17" t="n">
        <v>0</v>
      </c>
      <c r="M1856" s="17" t="n">
        <v>0</v>
      </c>
      <c r="N1856" s="17" t="n">
        <v>0</v>
      </c>
      <c r="O1856" s="17" t="n">
        <v>0</v>
      </c>
      <c r="P1856" s="17" t="n">
        <v>0</v>
      </c>
      <c r="Q1856" s="17" t="n">
        <v>0</v>
      </c>
      <c r="R1856" s="17" t="n">
        <v>0</v>
      </c>
      <c r="T1856" s="17">
        <f>DAY(C1856)</f>
        <v/>
      </c>
      <c r="U1856" s="17">
        <f>MONTH(C1856)</f>
        <v/>
      </c>
    </row>
    <row r="1857" ht="22.5" customHeight="1" s="117">
      <c r="A1857" s="14" t="n">
        <v>46113.42580005787</v>
      </c>
      <c r="B1857" s="17" t="inlineStr">
        <is>
          <t>Trần Trung Giang</t>
        </is>
      </c>
      <c r="C1857" s="16" t="n">
        <v>46112</v>
      </c>
      <c r="D1857" s="17" t="n">
        <v>1</v>
      </c>
      <c r="E1857" s="17" t="n">
        <v>1</v>
      </c>
      <c r="F1857" s="17" t="n">
        <v>1</v>
      </c>
      <c r="G1857" s="17" t="n">
        <v>0</v>
      </c>
      <c r="H1857" s="17" t="n">
        <v>0</v>
      </c>
      <c r="I1857" s="17" t="n">
        <v>0</v>
      </c>
      <c r="J1857" s="17" t="n">
        <v>0</v>
      </c>
      <c r="K1857" s="17" t="n">
        <v>0</v>
      </c>
      <c r="L1857" s="17" t="n">
        <v>0</v>
      </c>
      <c r="M1857" s="17" t="n">
        <v>3</v>
      </c>
      <c r="N1857" s="17" t="n">
        <v>0</v>
      </c>
      <c r="O1857" s="17" t="n">
        <v>0</v>
      </c>
      <c r="P1857" s="17" t="n">
        <v>0</v>
      </c>
      <c r="Q1857" s="17" t="n">
        <v>2</v>
      </c>
      <c r="R1857" s="17" t="n">
        <v>0</v>
      </c>
      <c r="T1857" s="17">
        <f>DAY(C1857)</f>
        <v/>
      </c>
      <c r="U1857" s="17">
        <f>MONTH(C1857)</f>
        <v/>
      </c>
    </row>
    <row r="1858" ht="22.5" customHeight="1" s="117">
      <c r="A1858" s="14" t="n">
        <v>46114.2773637963</v>
      </c>
      <c r="B1858" s="17" t="inlineStr">
        <is>
          <t>Lê Quốc Duy</t>
        </is>
      </c>
      <c r="C1858" s="16" t="n">
        <v>46113</v>
      </c>
      <c r="D1858" s="17" t="n">
        <v>0</v>
      </c>
      <c r="E1858" s="17" t="n">
        <v>0</v>
      </c>
      <c r="F1858" s="17" t="n">
        <v>0</v>
      </c>
      <c r="G1858" s="17" t="n">
        <v>2</v>
      </c>
      <c r="H1858" s="17" t="n">
        <v>1</v>
      </c>
      <c r="I1858" s="17" t="n">
        <v>0</v>
      </c>
      <c r="J1858" s="17" t="n">
        <v>0</v>
      </c>
      <c r="K1858" s="17" t="n">
        <v>0</v>
      </c>
      <c r="L1858" s="17" t="n">
        <v>0</v>
      </c>
      <c r="M1858" s="17" t="n">
        <v>0</v>
      </c>
      <c r="N1858" s="17" t="n">
        <v>0</v>
      </c>
      <c r="O1858" s="17" t="n">
        <v>0</v>
      </c>
      <c r="P1858" s="17" t="n">
        <v>0</v>
      </c>
      <c r="Q1858" s="17" t="n">
        <v>0</v>
      </c>
      <c r="R1858" s="17" t="n">
        <v>0</v>
      </c>
      <c r="T1858" s="17">
        <f>DAY(C1858)</f>
        <v/>
      </c>
      <c r="U1858" s="17">
        <f>MONTH(C1858)</f>
        <v/>
      </c>
    </row>
    <row r="1859" ht="22.5" customHeight="1" s="117">
      <c r="A1859" s="14" t="n">
        <v>46114.28741591435</v>
      </c>
      <c r="B1859" s="17" t="inlineStr">
        <is>
          <t>Lê Hồng Phong</t>
        </is>
      </c>
      <c r="C1859" s="16" t="n">
        <v>46114</v>
      </c>
      <c r="D1859" s="17" t="n">
        <v>1</v>
      </c>
      <c r="E1859" s="17" t="n">
        <v>1</v>
      </c>
      <c r="F1859" s="17" t="n">
        <v>1</v>
      </c>
      <c r="G1859" s="17" t="n">
        <v>0</v>
      </c>
      <c r="H1859" s="17" t="n">
        <v>0</v>
      </c>
      <c r="I1859" s="17" t="n">
        <v>1</v>
      </c>
      <c r="J1859" s="17" t="n">
        <v>1</v>
      </c>
      <c r="K1859" s="17" t="n">
        <v>1</v>
      </c>
      <c r="L1859" s="17" t="n">
        <v>1</v>
      </c>
      <c r="M1859" s="17" t="n">
        <v>1</v>
      </c>
      <c r="N1859" s="17" t="n">
        <v>1</v>
      </c>
      <c r="O1859" s="17" t="n">
        <v>1</v>
      </c>
      <c r="P1859" s="17" t="n">
        <v>1</v>
      </c>
      <c r="Q1859" s="17" t="n">
        <v>1</v>
      </c>
      <c r="R1859" s="17" t="n">
        <v>1</v>
      </c>
      <c r="T1859" s="17">
        <f>DAY(C1859)</f>
        <v/>
      </c>
      <c r="U1859" s="17">
        <f>MONTH(C1859)</f>
        <v/>
      </c>
    </row>
    <row r="1860" ht="22.5" customHeight="1" s="117">
      <c r="A1860" s="14" t="n">
        <v>46114.28744903935</v>
      </c>
      <c r="B1860" s="17" t="inlineStr">
        <is>
          <t>Trần Trung Giang</t>
        </is>
      </c>
      <c r="C1860" s="16" t="n">
        <v>46113</v>
      </c>
      <c r="D1860" s="17" t="n">
        <v>2</v>
      </c>
      <c r="E1860" s="17" t="n">
        <v>2</v>
      </c>
      <c r="F1860" s="17" t="n">
        <v>2</v>
      </c>
      <c r="G1860" s="17" t="n">
        <v>0</v>
      </c>
      <c r="H1860" s="17" t="n">
        <v>0</v>
      </c>
      <c r="I1860" s="17" t="n">
        <v>0</v>
      </c>
      <c r="J1860" s="17" t="n">
        <v>0</v>
      </c>
      <c r="K1860" s="17" t="n">
        <v>2</v>
      </c>
      <c r="L1860" s="17" t="n">
        <v>0</v>
      </c>
      <c r="M1860" s="17" t="n">
        <v>2</v>
      </c>
      <c r="N1860" s="17" t="n">
        <v>0</v>
      </c>
      <c r="O1860" s="17" t="n">
        <v>0</v>
      </c>
      <c r="P1860" s="17" t="n">
        <v>2</v>
      </c>
      <c r="Q1860" s="17" t="n">
        <v>0</v>
      </c>
      <c r="R1860" s="17" t="n">
        <v>0</v>
      </c>
      <c r="T1860" s="17">
        <f>DAY(C1860)</f>
        <v/>
      </c>
      <c r="U1860" s="17">
        <f>MONTH(C1860)</f>
        <v/>
      </c>
    </row>
    <row r="1861" ht="22.5" customHeight="1" s="117">
      <c r="A1861" s="14" t="n">
        <v>46114.28959655092</v>
      </c>
      <c r="B1861" s="17" t="inlineStr">
        <is>
          <t>Nguyễn Văn Hiệp</t>
        </is>
      </c>
      <c r="C1861" s="16" t="n">
        <v>46113</v>
      </c>
      <c r="D1861" s="17" t="n">
        <v>0</v>
      </c>
      <c r="E1861" s="17" t="n">
        <v>0</v>
      </c>
      <c r="F1861" s="17" t="n">
        <v>2</v>
      </c>
      <c r="G1861" s="17" t="n">
        <v>0</v>
      </c>
      <c r="H1861" s="17" t="n">
        <v>0</v>
      </c>
      <c r="I1861" s="17" t="n">
        <v>0</v>
      </c>
      <c r="J1861" s="17" t="n">
        <v>0</v>
      </c>
      <c r="K1861" s="17" t="n">
        <v>4</v>
      </c>
      <c r="L1861" s="17" t="n">
        <v>0</v>
      </c>
      <c r="M1861" s="17" t="n">
        <v>0</v>
      </c>
      <c r="N1861" s="17" t="n">
        <v>0</v>
      </c>
      <c r="O1861" s="17" t="n">
        <v>0</v>
      </c>
      <c r="P1861" s="17" t="n">
        <v>0</v>
      </c>
      <c r="Q1861" s="17" t="n">
        <v>0</v>
      </c>
      <c r="R1861" s="17" t="n">
        <v>0</v>
      </c>
      <c r="T1861" s="17">
        <f>DAY(C1861)</f>
        <v/>
      </c>
      <c r="U1861" s="17">
        <f>MONTH(C1861)</f>
        <v/>
      </c>
    </row>
    <row r="1862" ht="22.5" customHeight="1" s="117">
      <c r="A1862" s="14" t="n">
        <v>46114.29495472222</v>
      </c>
      <c r="B1862" s="17" t="inlineStr">
        <is>
          <t>Bùi Duy Cường</t>
        </is>
      </c>
      <c r="C1862" s="16" t="n">
        <v>46113</v>
      </c>
      <c r="D1862" s="17" t="n">
        <v>0</v>
      </c>
      <c r="E1862" s="17" t="n">
        <v>0</v>
      </c>
      <c r="F1862" s="17" t="n">
        <v>0</v>
      </c>
      <c r="G1862" s="17" t="n">
        <v>3</v>
      </c>
      <c r="H1862" s="17" t="n">
        <v>2</v>
      </c>
      <c r="I1862" s="17" t="n">
        <v>0</v>
      </c>
      <c r="J1862" s="17" t="n">
        <v>1</v>
      </c>
      <c r="K1862" s="17" t="n">
        <v>0</v>
      </c>
      <c r="L1862" s="17" t="n">
        <v>0</v>
      </c>
      <c r="M1862" s="17" t="n">
        <v>0</v>
      </c>
      <c r="N1862" s="17" t="n">
        <v>0</v>
      </c>
      <c r="O1862" s="17" t="n">
        <v>0</v>
      </c>
      <c r="P1862" s="17" t="n">
        <v>0</v>
      </c>
      <c r="Q1862" s="17" t="n">
        <v>0</v>
      </c>
      <c r="R1862" s="17" t="n">
        <v>0</v>
      </c>
      <c r="T1862" s="17">
        <f>DAY(C1862)</f>
        <v/>
      </c>
      <c r="U1862" s="17">
        <f>MONTH(C1862)</f>
        <v/>
      </c>
    </row>
    <row r="1863" ht="22.5" customHeight="1" s="117">
      <c r="A1863" s="14" t="n">
        <v>46114.30187070602</v>
      </c>
      <c r="B1863" s="17" t="inlineStr">
        <is>
          <t>Lương Duy Hải</t>
        </is>
      </c>
      <c r="C1863" s="16" t="n">
        <v>46113</v>
      </c>
      <c r="D1863" s="17" t="n">
        <v>0</v>
      </c>
      <c r="E1863" s="17" t="n">
        <v>0</v>
      </c>
      <c r="F1863" s="17" t="n">
        <v>0</v>
      </c>
      <c r="G1863" s="17" t="n">
        <v>1</v>
      </c>
      <c r="H1863" s="17" t="n">
        <v>1</v>
      </c>
      <c r="I1863" s="17" t="n">
        <v>0</v>
      </c>
      <c r="J1863" s="17" t="n">
        <v>0</v>
      </c>
      <c r="K1863" s="17" t="n">
        <v>2</v>
      </c>
      <c r="L1863" s="17" t="n">
        <v>0</v>
      </c>
      <c r="M1863" s="17" t="n">
        <v>0</v>
      </c>
      <c r="N1863" s="17" t="n">
        <v>1</v>
      </c>
      <c r="O1863" s="17" t="n">
        <v>0</v>
      </c>
      <c r="P1863" s="17" t="n">
        <v>2</v>
      </c>
      <c r="Q1863" s="17" t="n">
        <v>4</v>
      </c>
      <c r="R1863" s="17" t="n">
        <v>0</v>
      </c>
      <c r="T1863" s="17">
        <f>DAY(C1863)</f>
        <v/>
      </c>
      <c r="U1863" s="17">
        <f>MONTH(C1863)</f>
        <v/>
      </c>
    </row>
    <row r="1864" ht="22.5" customHeight="1" s="117">
      <c r="A1864" s="14" t="n">
        <v>46114.30267262732</v>
      </c>
      <c r="B1864" s="17" t="inlineStr">
        <is>
          <t>Đặng Hoài Anh</t>
        </is>
      </c>
      <c r="C1864" s="16" t="n">
        <v>46113</v>
      </c>
      <c r="D1864" s="17" t="n">
        <v>0</v>
      </c>
      <c r="E1864" s="17" t="n">
        <v>0</v>
      </c>
      <c r="F1864" s="17" t="n">
        <v>0</v>
      </c>
      <c r="G1864" s="17" t="n">
        <v>1</v>
      </c>
      <c r="H1864" s="17" t="n">
        <v>0</v>
      </c>
      <c r="I1864" s="17" t="n">
        <v>0</v>
      </c>
      <c r="J1864" s="17" t="n">
        <v>0</v>
      </c>
      <c r="K1864" s="17" t="n">
        <v>0</v>
      </c>
      <c r="L1864" s="17" t="n">
        <v>0</v>
      </c>
      <c r="M1864" s="17" t="n">
        <v>0</v>
      </c>
      <c r="N1864" s="17" t="n">
        <v>0</v>
      </c>
      <c r="O1864" s="17" t="n">
        <v>0</v>
      </c>
      <c r="P1864" s="17" t="n">
        <v>0</v>
      </c>
      <c r="Q1864" s="17" t="n">
        <v>1</v>
      </c>
      <c r="R1864" s="17" t="n">
        <v>0</v>
      </c>
      <c r="T1864" s="17">
        <f>DAY(C1864)</f>
        <v/>
      </c>
      <c r="U1864" s="17">
        <f>MONTH(C1864)</f>
        <v/>
      </c>
    </row>
    <row r="1865" hidden="1" ht="22.5" customHeight="1" s="117">
      <c r="A1865" s="14" t="n">
        <v>46114.31095974537</v>
      </c>
      <c r="B1865" s="17" t="inlineStr">
        <is>
          <t>Nguyễn Tuấn Anh</t>
        </is>
      </c>
      <c r="C1865" s="16" t="n">
        <v>45748</v>
      </c>
      <c r="D1865" s="17" t="n">
        <v>0</v>
      </c>
      <c r="E1865" s="17" t="n">
        <v>0</v>
      </c>
      <c r="F1865" s="17" t="n">
        <v>0</v>
      </c>
      <c r="G1865" s="17" t="n">
        <v>0</v>
      </c>
      <c r="H1865" s="17" t="n">
        <v>0</v>
      </c>
      <c r="I1865" s="17" t="n">
        <v>2</v>
      </c>
      <c r="J1865" s="17" t="n">
        <v>0</v>
      </c>
      <c r="K1865" s="17" t="n">
        <v>2</v>
      </c>
      <c r="L1865" s="17" t="n">
        <v>0</v>
      </c>
      <c r="M1865" s="17" t="n">
        <v>0</v>
      </c>
      <c r="N1865" s="17" t="n">
        <v>0</v>
      </c>
      <c r="O1865" s="17" t="n">
        <v>0</v>
      </c>
      <c r="P1865" s="17" t="n">
        <v>0</v>
      </c>
      <c r="Q1865" s="17" t="n">
        <v>2</v>
      </c>
      <c r="R1865" s="17" t="n">
        <v>0</v>
      </c>
      <c r="T1865" s="17">
        <f>DAY(C1865)</f>
        <v/>
      </c>
      <c r="U1865" s="17">
        <f>MONTH(C1865)</f>
        <v/>
      </c>
    </row>
    <row r="1866" ht="22.5" customHeight="1" s="117">
      <c r="A1866" s="14" t="n">
        <v>46114.31638314815</v>
      </c>
      <c r="B1866" s="17" t="inlineStr">
        <is>
          <t>Nguyễn Quang Anh Tuấn</t>
        </is>
      </c>
      <c r="C1866" s="16" t="n">
        <v>46113</v>
      </c>
      <c r="D1866" s="17" t="n">
        <v>0</v>
      </c>
      <c r="E1866" s="17" t="n">
        <v>0</v>
      </c>
      <c r="F1866" s="17" t="n">
        <v>2</v>
      </c>
      <c r="G1866" s="17" t="n">
        <v>0</v>
      </c>
      <c r="H1866" s="17" t="n">
        <v>0</v>
      </c>
      <c r="I1866" s="17" t="n">
        <v>0</v>
      </c>
      <c r="J1866" s="17" t="n">
        <v>0</v>
      </c>
      <c r="K1866" s="17" t="n">
        <v>0</v>
      </c>
      <c r="L1866" s="17" t="n">
        <v>0</v>
      </c>
      <c r="M1866" s="17" t="n">
        <v>2</v>
      </c>
      <c r="N1866" s="17" t="n">
        <v>0</v>
      </c>
      <c r="O1866" s="17" t="n">
        <v>0</v>
      </c>
      <c r="P1866" s="17" t="n">
        <v>0</v>
      </c>
      <c r="Q1866" s="17" t="n">
        <v>2</v>
      </c>
      <c r="R1866" s="17" t="n">
        <v>0</v>
      </c>
      <c r="T1866" s="17">
        <f>DAY(C1866)</f>
        <v/>
      </c>
      <c r="U1866" s="17">
        <f>MONTH(C1866)</f>
        <v/>
      </c>
    </row>
    <row r="1867" ht="22.5" customHeight="1" s="117">
      <c r="A1867" s="14" t="n">
        <v>46114.31709578704</v>
      </c>
      <c r="B1867" s="17" t="inlineStr">
        <is>
          <t>Dương Minh Tiến</t>
        </is>
      </c>
      <c r="C1867" s="16" t="n">
        <v>46113</v>
      </c>
      <c r="D1867" s="17" t="n">
        <v>1</v>
      </c>
      <c r="E1867" s="17" t="n">
        <v>0</v>
      </c>
      <c r="F1867" s="17" t="n">
        <v>0</v>
      </c>
      <c r="G1867" s="17" t="n">
        <v>0</v>
      </c>
      <c r="H1867" s="17" t="n">
        <v>0</v>
      </c>
      <c r="I1867" s="17" t="n">
        <v>0</v>
      </c>
      <c r="J1867" s="17" t="n">
        <v>0</v>
      </c>
      <c r="K1867" s="17" t="n">
        <v>3</v>
      </c>
      <c r="L1867" s="17" t="n">
        <v>2</v>
      </c>
      <c r="M1867" s="17" t="n">
        <v>0</v>
      </c>
      <c r="N1867" s="17" t="n">
        <v>0</v>
      </c>
      <c r="O1867" s="17" t="n">
        <v>0</v>
      </c>
      <c r="P1867" s="17" t="n">
        <v>1</v>
      </c>
      <c r="Q1867" s="17" t="n">
        <v>0</v>
      </c>
      <c r="R1867" s="17" t="n">
        <v>0</v>
      </c>
      <c r="T1867" s="17">
        <f>DAY(C1867)</f>
        <v/>
      </c>
      <c r="U1867" s="17">
        <f>MONTH(C1867)</f>
        <v/>
      </c>
    </row>
    <row r="1868" ht="22.5" customHeight="1" s="117">
      <c r="A1868" s="14" t="n">
        <v>46114.31922396991</v>
      </c>
      <c r="B1868" s="17" t="inlineStr">
        <is>
          <t>Vòng Nhật Sang</t>
        </is>
      </c>
      <c r="C1868" s="16" t="n">
        <v>46113</v>
      </c>
      <c r="D1868" s="17" t="n">
        <v>1</v>
      </c>
      <c r="E1868" s="17" t="n">
        <v>0</v>
      </c>
      <c r="F1868" s="17" t="n">
        <v>0</v>
      </c>
      <c r="G1868" s="17" t="n">
        <v>0</v>
      </c>
      <c r="H1868" s="17" t="n">
        <v>0</v>
      </c>
      <c r="I1868" s="17" t="n">
        <v>0</v>
      </c>
      <c r="J1868" s="17" t="n">
        <v>0</v>
      </c>
      <c r="K1868" s="17" t="n">
        <v>2</v>
      </c>
      <c r="L1868" s="17" t="n">
        <v>0</v>
      </c>
      <c r="M1868" s="17" t="n">
        <v>2</v>
      </c>
      <c r="N1868" s="17" t="n">
        <v>0</v>
      </c>
      <c r="O1868" s="17" t="n">
        <v>0</v>
      </c>
      <c r="P1868" s="17" t="n">
        <v>0</v>
      </c>
      <c r="Q1868" s="17" t="n">
        <v>1</v>
      </c>
      <c r="R1868" s="17" t="n">
        <v>0</v>
      </c>
      <c r="T1868" s="17">
        <f>DAY(C1868)</f>
        <v/>
      </c>
      <c r="U1868" s="17">
        <f>MONTH(C1868)</f>
        <v/>
      </c>
    </row>
    <row r="1869" ht="22.5" customHeight="1" s="117">
      <c r="A1869" s="14" t="n">
        <v>46114.3205515162</v>
      </c>
      <c r="B1869" s="17" t="inlineStr">
        <is>
          <t>Trần Minh Khánh</t>
        </is>
      </c>
      <c r="C1869" s="16" t="n">
        <v>46113</v>
      </c>
      <c r="D1869" s="17" t="n">
        <v>1</v>
      </c>
      <c r="E1869" s="17" t="n">
        <v>0</v>
      </c>
      <c r="F1869" s="17" t="n">
        <v>0</v>
      </c>
      <c r="G1869" s="17" t="n">
        <v>1</v>
      </c>
      <c r="H1869" s="17" t="n">
        <v>0</v>
      </c>
      <c r="I1869" s="17" t="n">
        <v>0</v>
      </c>
      <c r="J1869" s="17" t="n">
        <v>0</v>
      </c>
      <c r="K1869" s="17" t="n">
        <v>0</v>
      </c>
      <c r="L1869" s="17" t="n">
        <v>0</v>
      </c>
      <c r="M1869" s="17" t="n">
        <v>0</v>
      </c>
      <c r="N1869" s="17" t="n">
        <v>0</v>
      </c>
      <c r="O1869" s="17" t="n">
        <v>0</v>
      </c>
      <c r="P1869" s="17" t="n">
        <v>2</v>
      </c>
      <c r="Q1869" s="17" t="n">
        <v>3</v>
      </c>
      <c r="R1869" s="17" t="n">
        <v>0</v>
      </c>
      <c r="T1869" s="17">
        <f>DAY(C1869)</f>
        <v/>
      </c>
      <c r="U1869" s="17">
        <f>MONTH(C1869)</f>
        <v/>
      </c>
    </row>
    <row r="1870" ht="22.5" customHeight="1" s="117">
      <c r="A1870" s="14" t="n">
        <v>46114.32102834491</v>
      </c>
      <c r="B1870" s="17" t="inlineStr">
        <is>
          <t>Phan Ngọc Sang</t>
        </is>
      </c>
      <c r="C1870" s="16" t="n">
        <v>46113</v>
      </c>
      <c r="D1870" s="17" t="n">
        <v>0</v>
      </c>
      <c r="E1870" s="17" t="n">
        <v>0</v>
      </c>
      <c r="F1870" s="17" t="n">
        <v>0</v>
      </c>
      <c r="G1870" s="17" t="n">
        <v>1</v>
      </c>
      <c r="I1870" s="17" t="n">
        <v>1</v>
      </c>
      <c r="J1870" s="17" t="n">
        <v>0</v>
      </c>
      <c r="K1870" s="17" t="n">
        <v>2</v>
      </c>
      <c r="L1870" s="17" t="n">
        <v>0</v>
      </c>
      <c r="M1870" s="17" t="n">
        <v>0</v>
      </c>
      <c r="N1870" s="17" t="n">
        <v>1</v>
      </c>
      <c r="O1870" s="17" t="n">
        <v>0</v>
      </c>
      <c r="P1870" s="17" t="n">
        <v>2</v>
      </c>
      <c r="Q1870" s="17" t="n">
        <v>1</v>
      </c>
      <c r="R1870" s="17" t="n">
        <v>0</v>
      </c>
      <c r="T1870" s="17">
        <f>DAY(C1870)</f>
        <v/>
      </c>
      <c r="U1870" s="17">
        <f>MONTH(C1870)</f>
        <v/>
      </c>
    </row>
    <row r="1871" ht="22.5" customHeight="1" s="117">
      <c r="A1871" s="14" t="n">
        <v>46114.32123325232</v>
      </c>
      <c r="B1871" s="17" t="inlineStr">
        <is>
          <t>Nguyễn Văn Nhật</t>
        </is>
      </c>
      <c r="C1871" s="16" t="n">
        <v>46114</v>
      </c>
      <c r="D1871" s="17" t="n">
        <v>0</v>
      </c>
      <c r="E1871" s="17" t="n">
        <v>0</v>
      </c>
      <c r="F1871" s="17" t="n">
        <v>0</v>
      </c>
      <c r="G1871" s="17" t="n">
        <v>0</v>
      </c>
      <c r="H1871" s="17" t="n">
        <v>0</v>
      </c>
      <c r="I1871" s="17" t="n">
        <v>0</v>
      </c>
      <c r="J1871" s="17" t="n">
        <v>0</v>
      </c>
      <c r="K1871" s="17" t="n">
        <v>0</v>
      </c>
      <c r="L1871" s="17" t="n">
        <v>0</v>
      </c>
      <c r="M1871" s="17" t="n">
        <v>0</v>
      </c>
      <c r="N1871" s="17" t="n">
        <v>0</v>
      </c>
      <c r="O1871" s="17" t="n">
        <v>1</v>
      </c>
      <c r="P1871" s="17" t="n">
        <v>1</v>
      </c>
      <c r="Q1871" s="17" t="n">
        <v>3</v>
      </c>
      <c r="R1871" s="17" t="n">
        <v>0</v>
      </c>
      <c r="T1871" s="17">
        <f>DAY(C1871)</f>
        <v/>
      </c>
      <c r="U1871" s="17">
        <f>MONTH(C1871)</f>
        <v/>
      </c>
    </row>
    <row r="1872" ht="22.5" customHeight="1" s="117">
      <c r="A1872" s="14" t="n">
        <v>46114.32154648148</v>
      </c>
      <c r="B1872" s="17" t="inlineStr">
        <is>
          <t>Nguyễn Thành Lâm</t>
        </is>
      </c>
      <c r="C1872" s="16" t="n">
        <v>46114</v>
      </c>
      <c r="D1872" s="17" t="n">
        <v>0</v>
      </c>
      <c r="E1872" s="17" t="n">
        <v>0</v>
      </c>
      <c r="F1872" s="17" t="n">
        <v>0</v>
      </c>
      <c r="G1872" s="17" t="n">
        <v>0</v>
      </c>
      <c r="H1872" s="17" t="n">
        <v>0</v>
      </c>
      <c r="I1872" s="17" t="n">
        <v>0</v>
      </c>
      <c r="J1872" s="17" t="n">
        <v>0</v>
      </c>
      <c r="K1872" s="17" t="n">
        <v>0</v>
      </c>
      <c r="L1872" s="17" t="n">
        <v>0</v>
      </c>
      <c r="M1872" s="17" t="n">
        <v>1</v>
      </c>
      <c r="N1872" s="17" t="n">
        <v>0</v>
      </c>
      <c r="O1872" s="17" t="n">
        <v>0</v>
      </c>
      <c r="P1872" s="17" t="n">
        <v>1</v>
      </c>
      <c r="Q1872" s="17" t="n">
        <v>1</v>
      </c>
      <c r="R1872" s="17" t="n">
        <v>0</v>
      </c>
      <c r="T1872" s="17">
        <f>DAY(C1872)</f>
        <v/>
      </c>
      <c r="U1872" s="17">
        <f>MONTH(C1872)</f>
        <v/>
      </c>
    </row>
    <row r="1873" ht="22.5" customHeight="1" s="117">
      <c r="A1873" s="14" t="n">
        <v>46114.32225356482</v>
      </c>
      <c r="B1873" s="17" t="inlineStr">
        <is>
          <t>Phan Thành Thái</t>
        </is>
      </c>
      <c r="C1873" s="16" t="n">
        <v>46113</v>
      </c>
      <c r="D1873" s="17" t="n">
        <v>1</v>
      </c>
      <c r="E1873" s="17" t="n">
        <v>0</v>
      </c>
      <c r="F1873" s="17" t="n">
        <v>0</v>
      </c>
      <c r="G1873" s="17" t="n">
        <v>0</v>
      </c>
      <c r="H1873" s="17" t="n">
        <v>0</v>
      </c>
      <c r="I1873" s="17" t="n">
        <v>0</v>
      </c>
      <c r="J1873" s="17" t="n">
        <v>0</v>
      </c>
      <c r="K1873" s="17" t="n">
        <v>0</v>
      </c>
      <c r="L1873" s="17" t="n">
        <v>0</v>
      </c>
      <c r="M1873" s="17" t="n">
        <v>1</v>
      </c>
      <c r="N1873" s="17" t="n">
        <v>0</v>
      </c>
      <c r="O1873" s="17" t="n">
        <v>0</v>
      </c>
      <c r="P1873" s="17" t="n">
        <v>1</v>
      </c>
      <c r="Q1873" s="17" t="n">
        <v>4</v>
      </c>
      <c r="R1873" s="17" t="n">
        <v>0</v>
      </c>
      <c r="T1873" s="17">
        <f>DAY(C1873)</f>
        <v/>
      </c>
      <c r="U1873" s="17">
        <f>MONTH(C1873)</f>
        <v/>
      </c>
    </row>
    <row r="1874" ht="22.5" customHeight="1" s="117">
      <c r="A1874" s="14" t="n">
        <v>46114.32300833333</v>
      </c>
      <c r="B1874" s="17" t="inlineStr">
        <is>
          <t>Lương Duy Hoàng</t>
        </is>
      </c>
      <c r="C1874" s="16" t="n">
        <v>46114</v>
      </c>
      <c r="D1874" s="17" t="n">
        <v>0</v>
      </c>
      <c r="E1874" s="17" t="n">
        <v>0</v>
      </c>
      <c r="F1874" s="17" t="n">
        <v>0</v>
      </c>
      <c r="G1874" s="17" t="n">
        <v>0</v>
      </c>
      <c r="H1874" s="17" t="n">
        <v>0</v>
      </c>
      <c r="I1874" s="17" t="n">
        <v>0</v>
      </c>
      <c r="J1874" s="17" t="n">
        <v>0</v>
      </c>
      <c r="K1874" s="17" t="n">
        <v>3</v>
      </c>
      <c r="L1874" s="17" t="n">
        <v>0</v>
      </c>
      <c r="M1874" s="17" t="n">
        <v>0</v>
      </c>
      <c r="N1874" s="17" t="n">
        <v>0</v>
      </c>
      <c r="O1874" s="17" t="n">
        <v>0</v>
      </c>
      <c r="P1874" s="17" t="n">
        <v>1</v>
      </c>
      <c r="Q1874" s="17" t="n">
        <v>1</v>
      </c>
      <c r="R1874" s="17" t="n">
        <v>0</v>
      </c>
      <c r="T1874" s="17">
        <f>DAY(C1874)</f>
        <v/>
      </c>
      <c r="U1874" s="17">
        <f>MONTH(C1874)</f>
        <v/>
      </c>
    </row>
    <row r="1875" ht="22.5" customHeight="1" s="117">
      <c r="A1875" s="14" t="n">
        <v>46114.32303883102</v>
      </c>
      <c r="B1875" s="17" t="inlineStr">
        <is>
          <t>Đào Công Trung</t>
        </is>
      </c>
      <c r="C1875" s="16" t="n">
        <v>46114</v>
      </c>
      <c r="D1875" s="17" t="n">
        <v>0</v>
      </c>
      <c r="E1875" s="17" t="n">
        <v>0</v>
      </c>
      <c r="F1875" s="17" t="n">
        <v>0</v>
      </c>
      <c r="G1875" s="17" t="n">
        <v>0</v>
      </c>
      <c r="H1875" s="17" t="n">
        <v>0</v>
      </c>
      <c r="I1875" s="17" t="n">
        <v>0</v>
      </c>
      <c r="J1875" s="17" t="n">
        <v>0</v>
      </c>
      <c r="K1875" s="17" t="n">
        <v>0</v>
      </c>
      <c r="L1875" s="17" t="n">
        <v>3</v>
      </c>
      <c r="M1875" s="17" t="n">
        <v>0</v>
      </c>
      <c r="N1875" s="17" t="n">
        <v>0</v>
      </c>
      <c r="O1875" s="17" t="n">
        <v>0</v>
      </c>
      <c r="P1875" s="17" t="n">
        <v>3</v>
      </c>
      <c r="Q1875" s="17" t="n">
        <v>1</v>
      </c>
      <c r="R1875" s="17" t="n">
        <v>0</v>
      </c>
      <c r="T1875" s="17">
        <f>DAY(C1875)</f>
        <v/>
      </c>
      <c r="U1875" s="17">
        <f>MONTH(C1875)</f>
        <v/>
      </c>
    </row>
    <row r="1876" ht="22.5" customHeight="1" s="117">
      <c r="A1876" s="14" t="n">
        <v>46114.32324460648</v>
      </c>
      <c r="B1876" s="17" t="inlineStr">
        <is>
          <t>Nguyễn Thành Lâm</t>
        </is>
      </c>
      <c r="C1876" s="16" t="n">
        <v>46113</v>
      </c>
      <c r="D1876" s="17" t="n">
        <v>1</v>
      </c>
      <c r="E1876" s="17" t="n">
        <v>0</v>
      </c>
      <c r="F1876" s="17" t="n">
        <v>0</v>
      </c>
      <c r="G1876" s="17" t="n">
        <v>0</v>
      </c>
      <c r="H1876" s="17" t="n">
        <v>0</v>
      </c>
      <c r="I1876" s="17" t="n">
        <v>0</v>
      </c>
      <c r="J1876" s="17" t="n">
        <v>0</v>
      </c>
      <c r="K1876" s="17" t="n">
        <v>0</v>
      </c>
      <c r="L1876" s="17" t="n">
        <v>2</v>
      </c>
      <c r="M1876" s="17" t="n">
        <v>1</v>
      </c>
      <c r="N1876" s="17" t="n">
        <v>0</v>
      </c>
      <c r="O1876" s="17" t="n">
        <v>0</v>
      </c>
      <c r="P1876" s="17" t="n">
        <v>0</v>
      </c>
      <c r="Q1876" s="17" t="n">
        <v>2</v>
      </c>
      <c r="R1876" s="17" t="n">
        <v>0</v>
      </c>
      <c r="T1876" s="17">
        <f>DAY(C1876)</f>
        <v/>
      </c>
      <c r="U1876" s="17">
        <f>MONTH(C1876)</f>
        <v/>
      </c>
    </row>
    <row r="1877" ht="22.5" customHeight="1" s="117">
      <c r="A1877" s="14" t="n">
        <v>46114.32461774306</v>
      </c>
      <c r="B1877" s="17" t="inlineStr">
        <is>
          <t>Đặng Hữu Danh</t>
        </is>
      </c>
      <c r="C1877" s="16" t="n">
        <v>46113</v>
      </c>
      <c r="D1877" s="17" t="n">
        <v>0</v>
      </c>
      <c r="E1877" s="17" t="n">
        <v>0</v>
      </c>
      <c r="F1877" s="17" t="n">
        <v>0</v>
      </c>
      <c r="G1877" s="17" t="n">
        <v>0</v>
      </c>
      <c r="H1877" s="17" t="n">
        <v>0</v>
      </c>
      <c r="I1877" s="17" t="n">
        <v>0</v>
      </c>
      <c r="J1877" s="17" t="n">
        <v>0</v>
      </c>
      <c r="K1877" s="17" t="n">
        <v>0</v>
      </c>
      <c r="L1877" s="17" t="n">
        <v>0</v>
      </c>
      <c r="M1877" s="17" t="n">
        <v>0</v>
      </c>
      <c r="N1877" s="17" t="n">
        <v>0</v>
      </c>
      <c r="O1877" s="17" t="n">
        <v>0</v>
      </c>
      <c r="P1877" s="17" t="n">
        <v>2</v>
      </c>
      <c r="Q1877" s="17" t="n">
        <v>4</v>
      </c>
      <c r="R1877" s="17" t="n">
        <v>0</v>
      </c>
      <c r="T1877" s="17">
        <f>DAY(C1877)</f>
        <v/>
      </c>
      <c r="U1877" s="17">
        <f>MONTH(C1877)</f>
        <v/>
      </c>
    </row>
    <row r="1878" ht="22.5" customHeight="1" s="117">
      <c r="A1878" s="14" t="n">
        <v>46114.32518041666</v>
      </c>
      <c r="B1878" s="17" t="inlineStr">
        <is>
          <t>Hồ Thái Minh Trí</t>
        </is>
      </c>
      <c r="C1878" s="16" t="n">
        <v>46113</v>
      </c>
      <c r="D1878" s="17" t="n">
        <v>0</v>
      </c>
      <c r="E1878" s="17" t="n">
        <v>0</v>
      </c>
      <c r="F1878" s="17" t="n">
        <v>0</v>
      </c>
      <c r="G1878" s="17" t="n">
        <v>0</v>
      </c>
      <c r="H1878" s="17" t="n">
        <v>0</v>
      </c>
      <c r="I1878" s="17" t="n">
        <v>0</v>
      </c>
      <c r="J1878" s="17" t="n">
        <v>0</v>
      </c>
      <c r="K1878" s="17" t="n">
        <v>0</v>
      </c>
      <c r="L1878" s="17" t="n">
        <v>1</v>
      </c>
      <c r="M1878" s="17" t="n">
        <v>1</v>
      </c>
      <c r="N1878" s="17" t="n">
        <v>0</v>
      </c>
      <c r="O1878" s="17" t="n">
        <v>0</v>
      </c>
      <c r="P1878" s="17" t="n">
        <v>0</v>
      </c>
      <c r="Q1878" s="17" t="n">
        <v>0</v>
      </c>
      <c r="R1878" s="17" t="n">
        <v>0</v>
      </c>
      <c r="T1878" s="17">
        <f>DAY(C1878)</f>
        <v/>
      </c>
      <c r="U1878" s="17">
        <f>MONTH(C1878)</f>
        <v/>
      </c>
    </row>
    <row r="1879" ht="22.5" customHeight="1" s="117">
      <c r="A1879" s="14" t="n">
        <v>46114.32895133102</v>
      </c>
      <c r="B1879" s="17" t="inlineStr">
        <is>
          <t>Lê Văn Hồng</t>
        </is>
      </c>
      <c r="C1879" s="16" t="n">
        <v>46113</v>
      </c>
      <c r="D1879" s="17" t="n">
        <v>0</v>
      </c>
      <c r="E1879" s="17" t="n">
        <v>0</v>
      </c>
      <c r="F1879" s="17" t="n">
        <v>0</v>
      </c>
      <c r="G1879" s="17" t="n">
        <v>0</v>
      </c>
      <c r="H1879" s="17" t="n">
        <v>2</v>
      </c>
      <c r="I1879" s="17" t="n">
        <v>0</v>
      </c>
      <c r="J1879" s="17" t="n">
        <v>0</v>
      </c>
      <c r="K1879" s="17" t="n">
        <v>0</v>
      </c>
      <c r="L1879" s="17" t="n">
        <v>2</v>
      </c>
      <c r="M1879" s="17" t="n">
        <v>0</v>
      </c>
      <c r="N1879" s="17" t="n">
        <v>0</v>
      </c>
      <c r="O1879" s="17" t="n">
        <v>0</v>
      </c>
      <c r="P1879" s="17" t="n">
        <v>0</v>
      </c>
      <c r="Q1879" s="17" t="n">
        <v>3</v>
      </c>
      <c r="R1879" s="17" t="n">
        <v>0</v>
      </c>
      <c r="T1879" s="17">
        <f>DAY(C1879)</f>
        <v/>
      </c>
      <c r="U1879" s="17">
        <f>MONTH(C1879)</f>
        <v/>
      </c>
    </row>
    <row r="1880" ht="22.5" customHeight="1" s="117">
      <c r="A1880" s="14" t="n">
        <v>46114.33012965278</v>
      </c>
      <c r="B1880" s="17" t="inlineStr">
        <is>
          <t>Lê Hồng Phong</t>
        </is>
      </c>
      <c r="C1880" s="16" t="n">
        <v>46113</v>
      </c>
      <c r="D1880" s="17" t="n">
        <v>1</v>
      </c>
      <c r="E1880" s="17" t="n">
        <v>1</v>
      </c>
      <c r="F1880" s="17" t="n">
        <v>1</v>
      </c>
      <c r="G1880" s="17" t="n">
        <v>0</v>
      </c>
      <c r="H1880" s="17" t="n">
        <v>0</v>
      </c>
      <c r="I1880" s="17" t="n">
        <v>1</v>
      </c>
      <c r="J1880" s="17" t="n">
        <v>1</v>
      </c>
      <c r="K1880" s="17" t="n">
        <v>1</v>
      </c>
      <c r="L1880" s="17" t="n">
        <v>1</v>
      </c>
      <c r="M1880" s="17" t="n">
        <v>1</v>
      </c>
      <c r="N1880" s="17" t="n">
        <v>1</v>
      </c>
      <c r="O1880" s="17" t="n">
        <v>1</v>
      </c>
      <c r="P1880" s="17" t="n">
        <v>1</v>
      </c>
      <c r="Q1880" s="17" t="n">
        <v>1</v>
      </c>
      <c r="R1880" s="17" t="n">
        <v>1</v>
      </c>
      <c r="T1880" s="17">
        <f>DAY(C1880)</f>
        <v/>
      </c>
      <c r="U1880" s="17">
        <f>MONTH(C1880)</f>
        <v/>
      </c>
    </row>
    <row r="1881" ht="22.5" customHeight="1" s="117">
      <c r="A1881" s="14" t="n">
        <v>46114.33107099537</v>
      </c>
      <c r="B1881" s="17" t="inlineStr">
        <is>
          <t>Trần Xuân Khoa</t>
        </is>
      </c>
      <c r="C1881" s="16" t="n">
        <v>46113</v>
      </c>
      <c r="D1881" s="17" t="n">
        <v>0</v>
      </c>
      <c r="E1881" s="17" t="n">
        <v>0</v>
      </c>
      <c r="F1881" s="17" t="n">
        <v>0</v>
      </c>
      <c r="G1881" s="17" t="n">
        <v>0</v>
      </c>
      <c r="H1881" s="17" t="n">
        <v>0</v>
      </c>
      <c r="I1881" s="17" t="n">
        <v>0</v>
      </c>
      <c r="J1881" s="17" t="n">
        <v>0</v>
      </c>
      <c r="K1881" s="17" t="n">
        <v>0</v>
      </c>
      <c r="L1881" s="17" t="n">
        <v>0</v>
      </c>
      <c r="M1881" s="17" t="n">
        <v>0</v>
      </c>
      <c r="N1881" s="17" t="n">
        <v>0</v>
      </c>
      <c r="O1881" s="17" t="n">
        <v>0</v>
      </c>
      <c r="P1881" s="17" t="n">
        <v>2</v>
      </c>
      <c r="Q1881" s="17" t="n">
        <v>3</v>
      </c>
      <c r="R1881" s="17" t="n">
        <v>0</v>
      </c>
      <c r="T1881" s="17">
        <f>DAY(C1881)</f>
        <v/>
      </c>
      <c r="U1881" s="17">
        <f>MONTH(C1881)</f>
        <v/>
      </c>
    </row>
    <row r="1882" ht="22.5" customHeight="1" s="117">
      <c r="A1882" s="14" t="n">
        <v>46114.36455320602</v>
      </c>
      <c r="B1882" s="17" t="inlineStr">
        <is>
          <t>Huỳnh Văn Lực</t>
        </is>
      </c>
      <c r="C1882" s="16" t="n">
        <v>46113</v>
      </c>
      <c r="D1882" s="17" t="n">
        <v>1</v>
      </c>
      <c r="E1882" s="17" t="n">
        <v>0</v>
      </c>
      <c r="F1882" s="17" t="n">
        <v>0</v>
      </c>
      <c r="G1882" s="17" t="n">
        <v>0</v>
      </c>
      <c r="H1882" s="17" t="n">
        <v>0</v>
      </c>
      <c r="I1882" s="17" t="n">
        <v>0</v>
      </c>
      <c r="J1882" s="17" t="n">
        <v>0</v>
      </c>
      <c r="K1882" s="17" t="n">
        <v>2</v>
      </c>
      <c r="L1882" s="17" t="n">
        <v>1</v>
      </c>
      <c r="M1882" s="17" t="n">
        <v>0</v>
      </c>
      <c r="N1882" s="17" t="n">
        <v>0</v>
      </c>
      <c r="O1882" s="17" t="n">
        <v>0</v>
      </c>
      <c r="P1882" s="17" t="n">
        <v>1</v>
      </c>
      <c r="Q1882" s="17" t="n">
        <v>1</v>
      </c>
      <c r="R1882" s="17" t="n">
        <v>0</v>
      </c>
      <c r="T1882" s="17">
        <f>DAY(C1882)</f>
        <v/>
      </c>
      <c r="U1882" s="17">
        <f>MONTH(C1882)</f>
        <v/>
      </c>
    </row>
    <row r="1883" ht="22.5" customHeight="1" s="117">
      <c r="A1883" s="14" t="n">
        <v>46114.3768790625</v>
      </c>
      <c r="B1883" s="17" t="inlineStr">
        <is>
          <t>Huỳnh Văn Lực</t>
        </is>
      </c>
      <c r="C1883" s="16" t="n">
        <v>46112</v>
      </c>
      <c r="D1883" s="17" t="n">
        <v>0</v>
      </c>
      <c r="E1883" s="17" t="n">
        <v>0</v>
      </c>
      <c r="F1883" s="17" t="n">
        <v>0</v>
      </c>
      <c r="G1883" s="17" t="n">
        <v>0</v>
      </c>
      <c r="H1883" s="17" t="n">
        <v>0</v>
      </c>
      <c r="I1883" s="17" t="n">
        <v>0</v>
      </c>
      <c r="J1883" s="17" t="n">
        <v>0</v>
      </c>
      <c r="K1883" s="17" t="n">
        <v>0</v>
      </c>
      <c r="L1883" s="17" t="n">
        <v>0</v>
      </c>
      <c r="M1883" s="17" t="n">
        <v>0</v>
      </c>
      <c r="N1883" s="17" t="n">
        <v>0</v>
      </c>
      <c r="O1883" s="17" t="n">
        <v>0</v>
      </c>
      <c r="P1883" s="17" t="n">
        <v>2</v>
      </c>
      <c r="Q1883" s="17" t="n">
        <v>1</v>
      </c>
      <c r="R1883" s="17" t="n">
        <v>0</v>
      </c>
      <c r="T1883" s="17">
        <f>DAY(C1883)</f>
        <v/>
      </c>
      <c r="U1883" s="17">
        <f>MONTH(C1883)</f>
        <v/>
      </c>
    </row>
    <row r="1884" ht="22.5" customHeight="1" s="117">
      <c r="A1884" s="14" t="n">
        <v>46114.91747494213</v>
      </c>
      <c r="B1884" s="17" t="inlineStr">
        <is>
          <t>Trần Minh Khánh</t>
        </is>
      </c>
      <c r="C1884" s="16" t="n">
        <v>46114</v>
      </c>
      <c r="D1884" s="17" t="n">
        <v>0</v>
      </c>
      <c r="E1884" s="17" t="n">
        <v>0</v>
      </c>
      <c r="F1884" s="17" t="n">
        <v>0</v>
      </c>
      <c r="G1884" s="17" t="n">
        <v>0</v>
      </c>
      <c r="H1884" s="17" t="n">
        <v>0</v>
      </c>
      <c r="I1884" s="17" t="n">
        <v>0</v>
      </c>
      <c r="J1884" s="17" t="n">
        <v>0</v>
      </c>
      <c r="K1884" s="17" t="n">
        <v>2</v>
      </c>
      <c r="L1884" s="17" t="n">
        <v>0</v>
      </c>
      <c r="M1884" s="17" t="n">
        <v>2</v>
      </c>
      <c r="N1884" s="17" t="n">
        <v>0</v>
      </c>
      <c r="O1884" s="17" t="n">
        <v>0</v>
      </c>
      <c r="P1884" s="17" t="n">
        <v>0</v>
      </c>
      <c r="Q1884" s="17" t="n">
        <v>5</v>
      </c>
      <c r="R1884" s="17" t="n">
        <v>0</v>
      </c>
      <c r="T1884" s="17">
        <f>DAY(C1884)</f>
        <v/>
      </c>
      <c r="U1884" s="17">
        <f>MONTH(C1884)</f>
        <v/>
      </c>
    </row>
    <row r="1885" ht="22.5" customHeight="1" s="117">
      <c r="A1885" s="14" t="n">
        <v>46115.26161355324</v>
      </c>
      <c r="B1885" s="17" t="inlineStr">
        <is>
          <t>Phan Ngọc Sang</t>
        </is>
      </c>
      <c r="C1885" s="16" t="n">
        <v>46114</v>
      </c>
      <c r="D1885" s="17" t="n">
        <v>1</v>
      </c>
      <c r="E1885" s="17" t="n">
        <v>1</v>
      </c>
      <c r="F1885" s="17" t="n">
        <v>0</v>
      </c>
      <c r="G1885" s="17" t="n">
        <v>0</v>
      </c>
      <c r="H1885" s="17" t="n">
        <v>0</v>
      </c>
      <c r="I1885" s="17" t="n">
        <v>1</v>
      </c>
      <c r="J1885" s="17" t="n">
        <v>1</v>
      </c>
      <c r="K1885" s="17" t="n">
        <v>0</v>
      </c>
      <c r="L1885" s="17" t="n">
        <v>0</v>
      </c>
      <c r="M1885" s="17" t="n">
        <v>3</v>
      </c>
      <c r="N1885" s="17" t="n">
        <v>0</v>
      </c>
      <c r="O1885" s="17" t="n">
        <v>0</v>
      </c>
      <c r="P1885" s="17" t="n">
        <v>1</v>
      </c>
      <c r="Q1885" s="17" t="n">
        <v>2</v>
      </c>
      <c r="R1885" s="17" t="n">
        <v>0</v>
      </c>
      <c r="T1885" s="17">
        <f>DAY(C1885)</f>
        <v/>
      </c>
      <c r="U1885" s="17">
        <f>MONTH(C1885)</f>
        <v/>
      </c>
    </row>
    <row r="1886" ht="22.5" customHeight="1" s="117">
      <c r="A1886" s="14" t="n">
        <v>46115.26927912037</v>
      </c>
      <c r="B1886" s="17" t="inlineStr">
        <is>
          <t>Vòng Nhật Sang</t>
        </is>
      </c>
      <c r="C1886" s="16" t="n">
        <v>46114</v>
      </c>
      <c r="D1886" s="17" t="n">
        <v>0</v>
      </c>
      <c r="E1886" s="17" t="n">
        <v>0</v>
      </c>
      <c r="F1886" s="17" t="n">
        <v>0</v>
      </c>
      <c r="G1886" s="17" t="n">
        <v>0</v>
      </c>
      <c r="H1886" s="17" t="n">
        <v>0</v>
      </c>
      <c r="I1886" s="17" t="n">
        <v>0</v>
      </c>
      <c r="J1886" s="17" t="n">
        <v>0</v>
      </c>
      <c r="K1886" s="17" t="n">
        <v>0</v>
      </c>
      <c r="L1886" s="17" t="n">
        <v>0</v>
      </c>
      <c r="M1886" s="17" t="n">
        <v>3</v>
      </c>
      <c r="N1886" s="17" t="n">
        <v>0</v>
      </c>
      <c r="O1886" s="17" t="n">
        <v>0</v>
      </c>
      <c r="P1886" s="17" t="n">
        <v>1</v>
      </c>
      <c r="Q1886" s="17" t="n">
        <v>2</v>
      </c>
      <c r="R1886" s="17" t="n">
        <v>0</v>
      </c>
      <c r="T1886" s="17">
        <f>DAY(C1886)</f>
        <v/>
      </c>
      <c r="U1886" s="17">
        <f>MONTH(C1886)</f>
        <v/>
      </c>
    </row>
    <row r="1887" ht="22.5" customHeight="1" s="117">
      <c r="A1887" s="14" t="n">
        <v>46115.27912684028</v>
      </c>
      <c r="B1887" s="17" t="inlineStr">
        <is>
          <t>Đặng Hoài Anh</t>
        </is>
      </c>
      <c r="C1887" s="16" t="n">
        <v>46114</v>
      </c>
      <c r="D1887" s="17" t="n">
        <v>0</v>
      </c>
      <c r="E1887" s="17" t="n">
        <v>0</v>
      </c>
      <c r="F1887" s="17" t="n">
        <v>0</v>
      </c>
      <c r="G1887" s="17" t="n">
        <v>0</v>
      </c>
      <c r="H1887" s="17" t="n">
        <v>0</v>
      </c>
      <c r="I1887" s="17" t="n">
        <v>0</v>
      </c>
      <c r="J1887" s="17" t="n">
        <v>0</v>
      </c>
      <c r="K1887" s="17" t="n">
        <v>0</v>
      </c>
      <c r="L1887" s="17" t="n">
        <v>0</v>
      </c>
      <c r="M1887" s="17" t="n">
        <v>0</v>
      </c>
      <c r="N1887" s="17" t="n">
        <v>1</v>
      </c>
      <c r="O1887" s="17" t="n">
        <v>0</v>
      </c>
      <c r="P1887" s="17" t="n">
        <v>0</v>
      </c>
      <c r="Q1887" s="17" t="n">
        <v>0</v>
      </c>
      <c r="R1887" s="17" t="n">
        <v>0</v>
      </c>
      <c r="T1887" s="17">
        <f>DAY(C1887)</f>
        <v/>
      </c>
      <c r="U1887" s="17">
        <f>MONTH(C1887)</f>
        <v/>
      </c>
    </row>
    <row r="1888" ht="22.5" customHeight="1" s="117">
      <c r="A1888" s="14" t="n">
        <v>46115.2870781713</v>
      </c>
      <c r="B1888" s="17" t="inlineStr">
        <is>
          <t>Nguyễn Văn Hiệp</t>
        </is>
      </c>
      <c r="C1888" s="16" t="n">
        <v>46114</v>
      </c>
      <c r="D1888" s="17" t="n">
        <v>1</v>
      </c>
      <c r="E1888" s="17" t="n">
        <v>0</v>
      </c>
      <c r="F1888" s="17" t="n">
        <v>0</v>
      </c>
      <c r="G1888" s="17" t="n">
        <v>0</v>
      </c>
      <c r="H1888" s="17" t="n">
        <v>0</v>
      </c>
      <c r="I1888" s="17" t="n">
        <v>0</v>
      </c>
      <c r="J1888" s="17" t="n">
        <v>0</v>
      </c>
      <c r="K1888" s="17" t="n">
        <v>0</v>
      </c>
      <c r="L1888" s="17" t="n">
        <v>9</v>
      </c>
      <c r="M1888" s="17" t="n">
        <v>1</v>
      </c>
      <c r="N1888" s="17" t="n">
        <v>0</v>
      </c>
      <c r="O1888" s="17" t="n">
        <v>0</v>
      </c>
      <c r="P1888" s="17" t="n">
        <v>0</v>
      </c>
      <c r="Q1888" s="17" t="n">
        <v>0</v>
      </c>
      <c r="R1888" s="17" t="n">
        <v>0</v>
      </c>
      <c r="T1888" s="17">
        <f>DAY(C1888)</f>
        <v/>
      </c>
      <c r="U1888" s="17">
        <f>MONTH(C1888)</f>
        <v/>
      </c>
    </row>
    <row r="1889" ht="22.5" customHeight="1" s="117">
      <c r="A1889" s="14" t="n">
        <v>46115.28861644676</v>
      </c>
      <c r="B1889" s="17" t="inlineStr">
        <is>
          <t>Nguyễn Tuấn Anh</t>
        </is>
      </c>
      <c r="C1889" s="16" t="n">
        <v>46114</v>
      </c>
      <c r="D1889" s="17" t="n">
        <v>0</v>
      </c>
      <c r="E1889" s="17" t="n">
        <v>0</v>
      </c>
      <c r="F1889" s="17" t="n">
        <v>0</v>
      </c>
      <c r="G1889" s="17" t="n">
        <v>0</v>
      </c>
      <c r="H1889" s="17" t="n">
        <v>0</v>
      </c>
      <c r="I1889" s="17" t="n">
        <v>0</v>
      </c>
      <c r="J1889" s="17" t="n">
        <v>0</v>
      </c>
      <c r="K1889" s="17" t="n">
        <v>2</v>
      </c>
      <c r="L1889" s="17" t="n">
        <v>0</v>
      </c>
      <c r="M1889" s="17" t="n">
        <v>0</v>
      </c>
      <c r="N1889" s="17" t="n">
        <v>0</v>
      </c>
      <c r="O1889" s="17" t="n">
        <v>0</v>
      </c>
      <c r="P1889" s="17" t="n">
        <v>1</v>
      </c>
      <c r="Q1889" s="17" t="n">
        <v>2</v>
      </c>
      <c r="R1889" s="17" t="n">
        <v>0</v>
      </c>
      <c r="T1889" s="17">
        <f>DAY(C1889)</f>
        <v/>
      </c>
      <c r="U1889" s="17">
        <f>MONTH(C1889)</f>
        <v/>
      </c>
    </row>
    <row r="1890" ht="22.5" customHeight="1" s="117">
      <c r="A1890" s="14" t="n">
        <v>46115.2907877662</v>
      </c>
      <c r="B1890" s="17" t="inlineStr">
        <is>
          <t>Nguyễn Văn Nhật</t>
        </is>
      </c>
      <c r="C1890" s="16" t="n">
        <v>46114</v>
      </c>
      <c r="D1890" s="17" t="n">
        <v>0</v>
      </c>
      <c r="E1890" s="17" t="n">
        <v>0</v>
      </c>
      <c r="F1890" s="17" t="n">
        <v>0</v>
      </c>
      <c r="G1890" s="17" t="n">
        <v>0</v>
      </c>
      <c r="H1890" s="17" t="n">
        <v>0</v>
      </c>
      <c r="I1890" s="17" t="n">
        <v>0</v>
      </c>
      <c r="J1890" s="17" t="n">
        <v>0</v>
      </c>
      <c r="K1890" s="17" t="n">
        <v>0</v>
      </c>
      <c r="L1890" s="17" t="n">
        <v>0</v>
      </c>
      <c r="M1890" s="17" t="n">
        <v>0</v>
      </c>
      <c r="N1890" s="17" t="n">
        <v>0</v>
      </c>
      <c r="O1890" s="17" t="n">
        <v>1</v>
      </c>
      <c r="P1890" s="17" t="n">
        <v>1</v>
      </c>
      <c r="Q1890" s="17" t="n">
        <v>3</v>
      </c>
      <c r="R1890" s="17" t="n">
        <v>0</v>
      </c>
      <c r="T1890" s="17">
        <f>DAY(C1890)</f>
        <v/>
      </c>
      <c r="U1890" s="17">
        <f>MONTH(C1890)</f>
        <v/>
      </c>
    </row>
    <row r="1891" ht="22.5" customHeight="1" s="117">
      <c r="A1891" s="14" t="n">
        <v>46115.29222982639</v>
      </c>
      <c r="B1891" s="17" t="inlineStr">
        <is>
          <t>Nguyễn Quang Anh Tuấn</t>
        </is>
      </c>
      <c r="C1891" s="16" t="n">
        <v>46114</v>
      </c>
      <c r="D1891" s="17" t="n">
        <v>1</v>
      </c>
      <c r="E1891" s="17" t="n">
        <v>1</v>
      </c>
      <c r="F1891" s="17" t="n">
        <v>1</v>
      </c>
      <c r="G1891" s="17" t="n">
        <v>0</v>
      </c>
      <c r="H1891" s="17" t="n">
        <v>0</v>
      </c>
      <c r="I1891" s="17" t="n">
        <v>0</v>
      </c>
      <c r="J1891" s="17" t="n">
        <v>0</v>
      </c>
      <c r="K1891" s="17" t="n">
        <v>0</v>
      </c>
      <c r="L1891" s="17" t="n">
        <v>0</v>
      </c>
      <c r="M1891" s="17" t="n">
        <v>1</v>
      </c>
      <c r="N1891" s="17" t="n">
        <v>0</v>
      </c>
      <c r="O1891" s="17" t="n">
        <v>0</v>
      </c>
      <c r="P1891" s="17" t="n">
        <v>0</v>
      </c>
      <c r="Q1891" s="17" t="n">
        <v>1</v>
      </c>
      <c r="R1891" s="17" t="n">
        <v>0</v>
      </c>
      <c r="T1891" s="17">
        <f>DAY(C1891)</f>
        <v/>
      </c>
      <c r="U1891" s="17">
        <f>MONTH(C1891)</f>
        <v/>
      </c>
    </row>
    <row r="1892" ht="22.5" customHeight="1" s="117">
      <c r="A1892" s="14" t="n">
        <v>46115.29245487269</v>
      </c>
      <c r="B1892" s="17" t="inlineStr">
        <is>
          <t>Phan Thành Thái</t>
        </is>
      </c>
      <c r="C1892" s="16" t="n">
        <v>46114</v>
      </c>
      <c r="D1892" s="17" t="n">
        <v>2</v>
      </c>
      <c r="E1892" s="17" t="n">
        <v>0</v>
      </c>
      <c r="F1892" s="17" t="n">
        <v>1</v>
      </c>
      <c r="G1892" s="17" t="n">
        <v>0</v>
      </c>
      <c r="H1892" s="17" t="n">
        <v>0</v>
      </c>
      <c r="I1892" s="17" t="n">
        <v>0</v>
      </c>
      <c r="J1892" s="17" t="n">
        <v>0</v>
      </c>
      <c r="K1892" s="17" t="n">
        <v>0</v>
      </c>
      <c r="L1892" s="17" t="n">
        <v>0</v>
      </c>
      <c r="M1892" s="17" t="n">
        <v>2</v>
      </c>
      <c r="N1892" s="17" t="n">
        <v>0</v>
      </c>
      <c r="O1892" s="17" t="n">
        <v>0</v>
      </c>
      <c r="P1892" s="17" t="n">
        <v>0</v>
      </c>
      <c r="Q1892" s="17" t="n">
        <v>5</v>
      </c>
      <c r="R1892" s="17" t="n">
        <v>0</v>
      </c>
      <c r="T1892" s="17">
        <f>DAY(C1892)</f>
        <v/>
      </c>
      <c r="U1892" s="17">
        <f>MONTH(C1892)</f>
        <v/>
      </c>
    </row>
    <row r="1893" ht="22.5" customHeight="1" s="117">
      <c r="A1893" s="14" t="n">
        <v>46115.29733401621</v>
      </c>
      <c r="B1893" s="17" t="inlineStr">
        <is>
          <t>Trần Trung Giang</t>
        </is>
      </c>
      <c r="C1893" s="16" t="n">
        <v>46114</v>
      </c>
      <c r="D1893" s="17" t="n">
        <v>0</v>
      </c>
      <c r="E1893" s="17" t="n">
        <v>0</v>
      </c>
      <c r="F1893" s="17" t="n">
        <v>0</v>
      </c>
      <c r="G1893" s="17" t="n">
        <v>0</v>
      </c>
      <c r="H1893" s="17" t="n">
        <v>0</v>
      </c>
      <c r="I1893" s="17" t="n">
        <v>0</v>
      </c>
      <c r="J1893" s="17" t="n">
        <v>0</v>
      </c>
      <c r="K1893" s="17" t="n">
        <v>0</v>
      </c>
      <c r="L1893" s="17" t="n">
        <v>0</v>
      </c>
      <c r="M1893" s="17" t="n">
        <v>1</v>
      </c>
      <c r="N1893" s="17" t="n">
        <v>0</v>
      </c>
      <c r="O1893" s="17" t="n">
        <v>0</v>
      </c>
      <c r="P1893" s="17" t="n">
        <v>1</v>
      </c>
      <c r="Q1893" s="17" t="n">
        <v>1</v>
      </c>
      <c r="R1893" s="17" t="n">
        <v>0</v>
      </c>
      <c r="T1893" s="17">
        <f>DAY(C1893)</f>
        <v/>
      </c>
      <c r="U1893" s="17">
        <f>MONTH(C1893)</f>
        <v/>
      </c>
    </row>
    <row r="1894" ht="22.5" customHeight="1" s="117">
      <c r="A1894" s="14" t="n">
        <v>46115.30317909722</v>
      </c>
      <c r="B1894" s="17" t="inlineStr">
        <is>
          <t>Đặng Hữu Danh</t>
        </is>
      </c>
      <c r="C1894" s="16" t="n">
        <v>46114</v>
      </c>
      <c r="D1894" s="17" t="n">
        <v>0</v>
      </c>
      <c r="E1894" s="17" t="n">
        <v>0</v>
      </c>
      <c r="F1894" s="17" t="n">
        <v>0</v>
      </c>
      <c r="G1894" s="17" t="n">
        <v>0</v>
      </c>
      <c r="H1894" s="17" t="n">
        <v>0</v>
      </c>
      <c r="I1894" s="17" t="n">
        <v>0</v>
      </c>
      <c r="J1894" s="17" t="n">
        <v>0</v>
      </c>
      <c r="K1894" s="17" t="n">
        <v>0</v>
      </c>
      <c r="L1894" s="17" t="n">
        <v>0</v>
      </c>
      <c r="M1894" s="17" t="n">
        <v>0</v>
      </c>
      <c r="N1894" s="17" t="n">
        <v>0</v>
      </c>
      <c r="O1894" s="17" t="n">
        <v>0</v>
      </c>
      <c r="P1894" s="17" t="n">
        <v>3</v>
      </c>
      <c r="Q1894" s="17" t="n">
        <v>2</v>
      </c>
      <c r="R1894" s="17" t="n">
        <v>0</v>
      </c>
      <c r="T1894" s="17">
        <f>DAY(C1894)</f>
        <v/>
      </c>
      <c r="U1894" s="17">
        <f>MONTH(C1894)</f>
        <v/>
      </c>
    </row>
    <row r="1895" ht="22.5" customHeight="1" s="117">
      <c r="A1895" s="14" t="n">
        <v>46115.30610539352</v>
      </c>
      <c r="B1895" s="17" t="inlineStr">
        <is>
          <t>Dương Minh Tiến</t>
        </is>
      </c>
      <c r="C1895" s="16" t="n">
        <v>46114</v>
      </c>
      <c r="D1895" s="17" t="n">
        <v>0</v>
      </c>
      <c r="E1895" s="17" t="n">
        <v>0</v>
      </c>
      <c r="F1895" s="17" t="n">
        <v>9</v>
      </c>
      <c r="G1895" s="17" t="n">
        <v>0</v>
      </c>
      <c r="H1895" s="17" t="n">
        <v>9</v>
      </c>
      <c r="I1895" s="17" t="n">
        <v>0</v>
      </c>
      <c r="J1895" s="17" t="n">
        <v>0</v>
      </c>
      <c r="K1895" s="17" t="n">
        <v>2</v>
      </c>
      <c r="L1895" s="17" t="n">
        <v>0</v>
      </c>
      <c r="M1895" s="17" t="n">
        <v>0</v>
      </c>
      <c r="N1895" s="17" t="n">
        <v>0</v>
      </c>
      <c r="O1895" s="17" t="n">
        <v>0</v>
      </c>
      <c r="P1895" s="17" t="n">
        <v>1</v>
      </c>
      <c r="Q1895" s="17" t="n">
        <v>0</v>
      </c>
      <c r="R1895" s="17" t="n">
        <v>0</v>
      </c>
      <c r="T1895" s="17">
        <f>DAY(C1895)</f>
        <v/>
      </c>
      <c r="U1895" s="17">
        <f>MONTH(C1895)</f>
        <v/>
      </c>
    </row>
    <row r="1896" ht="22.5" customHeight="1" s="117">
      <c r="A1896" s="14" t="n">
        <v>46115.33165310185</v>
      </c>
      <c r="B1896" s="17" t="inlineStr">
        <is>
          <t>Lê Quốc Duy</t>
        </is>
      </c>
      <c r="C1896" s="16" t="n">
        <v>46114</v>
      </c>
      <c r="D1896" s="17" t="n">
        <v>0</v>
      </c>
      <c r="E1896" s="17" t="n">
        <v>0</v>
      </c>
      <c r="F1896" s="17" t="n">
        <v>0</v>
      </c>
      <c r="G1896" s="17" t="n">
        <v>0</v>
      </c>
      <c r="H1896" s="17" t="n">
        <v>0</v>
      </c>
      <c r="I1896" s="17" t="n">
        <v>0</v>
      </c>
      <c r="J1896" s="17" t="n">
        <v>0</v>
      </c>
      <c r="K1896" s="17" t="n">
        <v>0</v>
      </c>
      <c r="L1896" s="17" t="n">
        <v>0</v>
      </c>
      <c r="M1896" s="17" t="n">
        <v>1</v>
      </c>
      <c r="N1896" s="17" t="n">
        <v>0</v>
      </c>
      <c r="O1896" s="17" t="n">
        <v>0</v>
      </c>
      <c r="P1896" s="17" t="n">
        <v>0</v>
      </c>
      <c r="Q1896" s="17" t="n">
        <v>0</v>
      </c>
      <c r="R1896" s="17" t="n">
        <v>0</v>
      </c>
      <c r="T1896" s="17">
        <f>DAY(C1896)</f>
        <v/>
      </c>
      <c r="U1896" s="17">
        <f>MONTH(C1896)</f>
        <v/>
      </c>
    </row>
    <row r="1897" ht="22.5" customHeight="1" s="117">
      <c r="A1897" s="14" t="n">
        <v>46115.33229991898</v>
      </c>
      <c r="B1897" s="17" t="inlineStr">
        <is>
          <t>Hồ Thái Minh Trí</t>
        </is>
      </c>
      <c r="C1897" s="16" t="n">
        <v>46114</v>
      </c>
      <c r="D1897" s="17" t="n">
        <v>0</v>
      </c>
      <c r="E1897" s="17" t="n">
        <v>0</v>
      </c>
      <c r="F1897" s="17" t="n">
        <v>0</v>
      </c>
      <c r="G1897" s="17" t="n">
        <v>0</v>
      </c>
      <c r="H1897" s="17" t="n">
        <v>0</v>
      </c>
      <c r="I1897" s="17" t="n">
        <v>0</v>
      </c>
      <c r="J1897" s="17" t="n">
        <v>0</v>
      </c>
      <c r="K1897" s="17" t="n">
        <v>0</v>
      </c>
      <c r="L1897" s="17" t="n">
        <v>0</v>
      </c>
      <c r="M1897" s="17" t="n">
        <v>0</v>
      </c>
      <c r="N1897" s="17" t="n">
        <v>0</v>
      </c>
      <c r="O1897" s="17" t="n">
        <v>0</v>
      </c>
      <c r="P1897" s="17" t="n">
        <v>0</v>
      </c>
      <c r="Q1897" s="17" t="n">
        <v>1</v>
      </c>
      <c r="R1897" s="17" t="n">
        <v>0</v>
      </c>
      <c r="T1897" s="17">
        <f>DAY(C1897)</f>
        <v/>
      </c>
      <c r="U1897" s="17">
        <f>MONTH(C1897)</f>
        <v/>
      </c>
    </row>
    <row r="1898" ht="22.5" customHeight="1" s="117">
      <c r="A1898" s="14" t="n">
        <v>46115.33263262732</v>
      </c>
      <c r="B1898" s="17" t="inlineStr">
        <is>
          <t>Lê Văn Hồng</t>
        </is>
      </c>
      <c r="C1898" s="16" t="n">
        <v>46114</v>
      </c>
      <c r="D1898" s="17" t="n">
        <v>0</v>
      </c>
      <c r="E1898" s="17" t="n">
        <v>0</v>
      </c>
      <c r="F1898" s="17" t="n">
        <v>0</v>
      </c>
      <c r="G1898" s="17" t="n">
        <v>0</v>
      </c>
      <c r="H1898" s="17" t="n">
        <v>0</v>
      </c>
      <c r="I1898" s="17" t="n">
        <v>0</v>
      </c>
      <c r="J1898" s="17" t="n">
        <v>0</v>
      </c>
      <c r="K1898" s="17" t="n">
        <v>6</v>
      </c>
      <c r="L1898" s="17" t="n">
        <v>1</v>
      </c>
      <c r="M1898" s="17" t="n">
        <v>0</v>
      </c>
      <c r="N1898" s="17" t="n">
        <v>0</v>
      </c>
      <c r="O1898" s="17" t="n">
        <v>0</v>
      </c>
      <c r="P1898" s="17" t="n">
        <v>0</v>
      </c>
      <c r="Q1898" s="17" t="n">
        <v>3</v>
      </c>
      <c r="R1898" s="17" t="n">
        <v>0</v>
      </c>
      <c r="T1898" s="17">
        <f>DAY(C1898)</f>
        <v/>
      </c>
      <c r="U1898" s="17">
        <f>MONTH(C1898)</f>
        <v/>
      </c>
    </row>
    <row r="1899" ht="22.5" customHeight="1" s="117">
      <c r="A1899" s="14" t="n">
        <v>46115.34112637732</v>
      </c>
      <c r="B1899" s="17" t="inlineStr">
        <is>
          <t>Huỳnh Văn Lực</t>
        </is>
      </c>
      <c r="C1899" s="16" t="n">
        <v>46114</v>
      </c>
      <c r="D1899" s="17" t="n">
        <v>0</v>
      </c>
      <c r="E1899" s="17" t="n">
        <v>0</v>
      </c>
      <c r="F1899" s="17" t="n">
        <v>0</v>
      </c>
      <c r="G1899" s="17" t="n">
        <v>0</v>
      </c>
      <c r="H1899" s="17" t="n">
        <v>0</v>
      </c>
      <c r="I1899" s="17" t="n">
        <v>0</v>
      </c>
      <c r="J1899" s="17" t="n">
        <v>0</v>
      </c>
      <c r="K1899" s="17" t="n">
        <v>1</v>
      </c>
      <c r="L1899" s="17" t="n">
        <v>0</v>
      </c>
      <c r="M1899" s="17" t="n">
        <v>0</v>
      </c>
      <c r="N1899" s="17" t="n">
        <v>0</v>
      </c>
      <c r="O1899" s="17" t="n">
        <v>0</v>
      </c>
      <c r="P1899" s="17" t="n">
        <v>1</v>
      </c>
      <c r="Q1899" s="17" t="n">
        <v>0</v>
      </c>
      <c r="R1899" s="17" t="n">
        <v>0</v>
      </c>
      <c r="T1899" s="17">
        <f>DAY(C1899)</f>
        <v/>
      </c>
      <c r="U1899" s="17">
        <f>MONTH(C1899)</f>
        <v/>
      </c>
    </row>
    <row r="1900" ht="22.5" customHeight="1" s="117">
      <c r="A1900" s="14" t="n">
        <v>46115.34451380787</v>
      </c>
      <c r="B1900" s="17" t="inlineStr">
        <is>
          <t>Lê Hồng Phong</t>
        </is>
      </c>
      <c r="C1900" s="16" t="n">
        <v>46115</v>
      </c>
      <c r="D1900" s="17" t="n">
        <v>1</v>
      </c>
      <c r="E1900" s="17" t="n">
        <v>1</v>
      </c>
      <c r="F1900" s="17" t="n">
        <v>1</v>
      </c>
      <c r="G1900" s="17" t="n">
        <v>1</v>
      </c>
      <c r="H1900" s="17" t="n">
        <v>1</v>
      </c>
      <c r="I1900" s="17" t="n">
        <v>1</v>
      </c>
      <c r="J1900" s="17" t="n">
        <v>1</v>
      </c>
      <c r="K1900" s="17" t="n">
        <v>1</v>
      </c>
      <c r="L1900" s="17" t="n">
        <v>1</v>
      </c>
      <c r="M1900" s="17" t="n">
        <v>1</v>
      </c>
      <c r="N1900" s="17" t="n">
        <v>1</v>
      </c>
      <c r="O1900" s="17" t="n">
        <v>1</v>
      </c>
      <c r="P1900" s="17" t="n">
        <v>1</v>
      </c>
      <c r="Q1900" s="17" t="n">
        <v>1</v>
      </c>
      <c r="R1900" s="17" t="n">
        <v>1</v>
      </c>
      <c r="T1900" s="17">
        <f>DAY(C1900)</f>
        <v/>
      </c>
      <c r="U1900" s="17">
        <f>MONTH(C1900)</f>
        <v/>
      </c>
    </row>
    <row r="1901" ht="22.5" customHeight="1" s="117">
      <c r="A1901" s="14" t="n">
        <v>46115.34563328703</v>
      </c>
      <c r="B1901" s="17" t="inlineStr">
        <is>
          <t>Bùi Duy Cường</t>
        </is>
      </c>
      <c r="C1901" s="16" t="n">
        <v>46114</v>
      </c>
      <c r="D1901" s="17" t="n">
        <v>2</v>
      </c>
      <c r="E1901" s="17" t="n">
        <v>1</v>
      </c>
      <c r="F1901" s="17" t="n">
        <v>1</v>
      </c>
      <c r="G1901" s="17" t="n">
        <v>2</v>
      </c>
      <c r="H1901" s="17" t="n">
        <v>0</v>
      </c>
      <c r="I1901" s="17" t="n">
        <v>0</v>
      </c>
      <c r="J1901" s="17" t="n">
        <v>0</v>
      </c>
      <c r="K1901" s="17" t="n">
        <v>0</v>
      </c>
      <c r="L1901" s="17" t="n">
        <v>0</v>
      </c>
      <c r="M1901" s="17" t="n">
        <v>2</v>
      </c>
      <c r="N1901" s="17" t="n">
        <v>0</v>
      </c>
      <c r="O1901" s="17" t="n">
        <v>0</v>
      </c>
      <c r="P1901" s="17" t="n">
        <v>0</v>
      </c>
      <c r="Q1901" s="17" t="n">
        <v>0</v>
      </c>
      <c r="R1901" s="17" t="n">
        <v>0</v>
      </c>
      <c r="T1901" s="17">
        <f>DAY(C1901)</f>
        <v/>
      </c>
      <c r="U1901" s="17">
        <f>MONTH(C1901)</f>
        <v/>
      </c>
    </row>
    <row r="1902" ht="22.5" customHeight="1" s="117">
      <c r="A1902" s="14" t="n">
        <v>46115.3520565625</v>
      </c>
      <c r="B1902" s="17" t="inlineStr">
        <is>
          <t>Đào Công Trung</t>
        </is>
      </c>
      <c r="C1902" s="16" t="n">
        <v>46113</v>
      </c>
      <c r="D1902" s="17" t="n">
        <v>0</v>
      </c>
      <c r="E1902" s="17" t="n">
        <v>0</v>
      </c>
      <c r="F1902" s="17" t="n">
        <v>0</v>
      </c>
      <c r="G1902" s="17" t="n">
        <v>0</v>
      </c>
      <c r="H1902" s="17" t="n">
        <v>0</v>
      </c>
      <c r="I1902" s="17" t="n">
        <v>0</v>
      </c>
      <c r="J1902" s="17" t="n">
        <v>0</v>
      </c>
      <c r="K1902" s="17" t="n">
        <v>2</v>
      </c>
      <c r="L1902" s="17" t="n">
        <v>2</v>
      </c>
      <c r="M1902" s="17" t="n">
        <v>1</v>
      </c>
      <c r="N1902" s="17" t="n">
        <v>1</v>
      </c>
      <c r="O1902" s="17" t="n">
        <v>1</v>
      </c>
      <c r="P1902" s="17" t="n">
        <v>2</v>
      </c>
      <c r="Q1902" s="17" t="n">
        <v>2</v>
      </c>
      <c r="R1902" s="17" t="n">
        <v>2</v>
      </c>
      <c r="T1902" s="17">
        <f>DAY(C1902)</f>
        <v/>
      </c>
      <c r="U1902" s="17">
        <f>MONTH(C1902)</f>
        <v/>
      </c>
    </row>
    <row r="1903" ht="22.5" customHeight="1" s="117">
      <c r="A1903" s="14" t="n">
        <v>46115.35234229167</v>
      </c>
      <c r="B1903" s="17" t="inlineStr">
        <is>
          <t>Trần Xuân Khoa</t>
        </is>
      </c>
      <c r="C1903" s="16" t="n">
        <v>46114</v>
      </c>
      <c r="D1903" s="17" t="n">
        <v>0</v>
      </c>
      <c r="E1903" s="17" t="n">
        <v>0</v>
      </c>
      <c r="F1903" s="17" t="n">
        <v>0</v>
      </c>
      <c r="G1903" s="17" t="n">
        <v>0</v>
      </c>
      <c r="H1903" s="17" t="n">
        <v>0</v>
      </c>
      <c r="I1903" s="17" t="n">
        <v>0</v>
      </c>
      <c r="J1903" s="17" t="n">
        <v>0</v>
      </c>
      <c r="K1903" s="17" t="n">
        <v>0</v>
      </c>
      <c r="L1903" s="17" t="n">
        <v>0</v>
      </c>
      <c r="M1903" s="17" t="n">
        <v>0</v>
      </c>
      <c r="N1903" s="17" t="n">
        <v>0</v>
      </c>
      <c r="O1903" s="17" t="n">
        <v>0</v>
      </c>
      <c r="P1903" s="17" t="n">
        <v>1</v>
      </c>
      <c r="Q1903" s="17" t="n">
        <v>2</v>
      </c>
      <c r="R1903" s="17" t="n">
        <v>0</v>
      </c>
      <c r="T1903" s="17">
        <f>DAY(C1903)</f>
        <v/>
      </c>
      <c r="U1903" s="17">
        <f>MONTH(C1903)</f>
        <v/>
      </c>
    </row>
    <row r="1904" ht="22.5" customHeight="1" s="117">
      <c r="A1904" s="14" t="n">
        <v>46115.35303313658</v>
      </c>
      <c r="B1904" s="17" t="inlineStr">
        <is>
          <t>Lương Duy Hải</t>
        </is>
      </c>
      <c r="C1904" s="16" t="n">
        <v>46114</v>
      </c>
      <c r="D1904" s="17" t="n">
        <v>0</v>
      </c>
      <c r="E1904" s="17" t="n">
        <v>0</v>
      </c>
      <c r="F1904" s="17" t="n">
        <v>0</v>
      </c>
      <c r="G1904" s="17" t="n">
        <v>0</v>
      </c>
      <c r="H1904" s="17" t="n">
        <v>0</v>
      </c>
      <c r="I1904" s="17" t="n">
        <v>0</v>
      </c>
      <c r="J1904" s="17" t="n">
        <v>0</v>
      </c>
      <c r="K1904" s="17" t="n">
        <v>0</v>
      </c>
      <c r="L1904" s="17" t="n">
        <v>4</v>
      </c>
      <c r="M1904" s="17" t="n">
        <v>0</v>
      </c>
      <c r="N1904" s="17" t="n">
        <v>0</v>
      </c>
      <c r="O1904" s="17" t="n">
        <v>0</v>
      </c>
      <c r="P1904" s="17" t="n">
        <v>1</v>
      </c>
      <c r="Q1904" s="17" t="n">
        <v>3</v>
      </c>
      <c r="R1904" s="17" t="n">
        <v>2</v>
      </c>
      <c r="T1904" s="17">
        <f>DAY(C1904)</f>
        <v/>
      </c>
      <c r="U1904" s="17">
        <f>MONTH(C1904)</f>
        <v/>
      </c>
    </row>
    <row r="1905" ht="22.5" customHeight="1" s="117">
      <c r="A1905" s="14" t="n">
        <v>46115.35307653935</v>
      </c>
      <c r="B1905" s="17" t="inlineStr">
        <is>
          <t>Đào Công Trung</t>
        </is>
      </c>
      <c r="C1905" s="16" t="n">
        <v>46115</v>
      </c>
      <c r="D1905" s="17" t="n">
        <v>1</v>
      </c>
      <c r="E1905" s="17" t="n">
        <v>1</v>
      </c>
      <c r="F1905" s="17" t="n">
        <v>0</v>
      </c>
      <c r="G1905" s="17" t="n">
        <v>0</v>
      </c>
      <c r="H1905" s="17" t="n">
        <v>0</v>
      </c>
      <c r="I1905" s="17" t="n">
        <v>0</v>
      </c>
      <c r="J1905" s="17" t="n">
        <v>0</v>
      </c>
      <c r="K1905" s="17" t="n">
        <v>0</v>
      </c>
      <c r="L1905" s="17" t="n">
        <v>0</v>
      </c>
      <c r="M1905" s="17" t="n">
        <v>0</v>
      </c>
      <c r="N1905" s="17" t="n">
        <v>0</v>
      </c>
      <c r="O1905" s="17" t="n">
        <v>0</v>
      </c>
      <c r="P1905" s="17" t="n">
        <v>2</v>
      </c>
      <c r="Q1905" s="17" t="n">
        <v>2</v>
      </c>
      <c r="R1905" s="17" t="n">
        <v>1</v>
      </c>
      <c r="T1905" s="17">
        <f>DAY(C1905)</f>
        <v/>
      </c>
      <c r="U1905" s="17">
        <f>MONTH(C1905)</f>
        <v/>
      </c>
    </row>
    <row r="1906" ht="22.5" customHeight="1" s="117">
      <c r="A1906" s="14" t="n">
        <v>46115.36277930556</v>
      </c>
      <c r="B1906" s="17" t="inlineStr">
        <is>
          <t>Lương Duy Hoàng</t>
        </is>
      </c>
      <c r="C1906" s="16" t="n">
        <v>46114</v>
      </c>
      <c r="D1906" s="17" t="n">
        <v>0</v>
      </c>
      <c r="E1906" s="17" t="n">
        <v>0</v>
      </c>
      <c r="F1906" s="17" t="n">
        <v>0</v>
      </c>
      <c r="G1906" s="17" t="n">
        <v>1</v>
      </c>
      <c r="H1906" s="17" t="n">
        <v>1</v>
      </c>
      <c r="I1906" s="17" t="n">
        <v>0</v>
      </c>
      <c r="J1906" s="17" t="n">
        <v>0</v>
      </c>
      <c r="K1906" s="17" t="n">
        <v>5</v>
      </c>
      <c r="L1906" s="17" t="n">
        <v>0</v>
      </c>
      <c r="M1906" s="17" t="n">
        <v>0</v>
      </c>
      <c r="N1906" s="17" t="n">
        <v>1</v>
      </c>
      <c r="O1906" s="17" t="n">
        <v>0</v>
      </c>
      <c r="P1906" s="17" t="n">
        <v>1</v>
      </c>
      <c r="Q1906" s="17" t="n">
        <v>1</v>
      </c>
      <c r="R1906" s="17" t="n">
        <v>0</v>
      </c>
      <c r="T1906" s="17">
        <f>DAY(C1906)</f>
        <v/>
      </c>
      <c r="U1906" s="17">
        <f>MONTH(C1906)</f>
        <v/>
      </c>
    </row>
    <row r="1907" ht="22.5" customHeight="1" s="117">
      <c r="A1907" s="14" t="n">
        <v>46115.36735438657</v>
      </c>
      <c r="B1907" s="17" t="inlineStr">
        <is>
          <t>Hồ Xuân Việt</t>
        </is>
      </c>
      <c r="C1907" s="16" t="n">
        <v>46114</v>
      </c>
      <c r="D1907" s="17" t="n">
        <v>0</v>
      </c>
      <c r="E1907" s="17" t="n">
        <v>0</v>
      </c>
      <c r="F1907" s="17" t="n">
        <v>0</v>
      </c>
      <c r="G1907" s="17" t="n">
        <v>0</v>
      </c>
      <c r="H1907" s="17" t="n">
        <v>0</v>
      </c>
      <c r="I1907" s="17" t="n">
        <v>0</v>
      </c>
      <c r="J1907" s="17" t="n">
        <v>0</v>
      </c>
      <c r="K1907" s="17" t="n">
        <v>0</v>
      </c>
      <c r="L1907" s="17" t="n">
        <v>0</v>
      </c>
      <c r="M1907" s="17" t="n">
        <v>0</v>
      </c>
      <c r="N1907" s="17" t="n">
        <v>0</v>
      </c>
      <c r="O1907" s="17" t="n">
        <v>0</v>
      </c>
      <c r="P1907" s="17" t="n">
        <v>0</v>
      </c>
      <c r="Q1907" s="17" t="n">
        <v>1</v>
      </c>
      <c r="R1907" s="17" t="n">
        <v>0</v>
      </c>
      <c r="T1907" s="17">
        <f>DAY(C1907)</f>
        <v/>
      </c>
      <c r="U1907" s="17">
        <f>MONTH(C1907)</f>
        <v/>
      </c>
    </row>
    <row r="1908" ht="22.5" customHeight="1" s="117">
      <c r="A1908" s="14" t="n">
        <v>46115.41535956018</v>
      </c>
      <c r="B1908" s="17" t="inlineStr">
        <is>
          <t>Hồ Xuân Việt</t>
        </is>
      </c>
      <c r="C1908" s="16" t="n">
        <v>46113</v>
      </c>
      <c r="D1908" s="17" t="n">
        <v>0</v>
      </c>
      <c r="E1908" s="17" t="n">
        <v>0</v>
      </c>
      <c r="F1908" s="17" t="n">
        <v>0</v>
      </c>
      <c r="G1908" s="17" t="n">
        <v>0</v>
      </c>
      <c r="H1908" s="17" t="n">
        <v>0</v>
      </c>
      <c r="I1908" s="17" t="n">
        <v>0</v>
      </c>
      <c r="J1908" s="17" t="n">
        <v>0</v>
      </c>
      <c r="K1908" s="17" t="n">
        <v>0</v>
      </c>
      <c r="L1908" s="17" t="n">
        <v>0</v>
      </c>
      <c r="M1908" s="17" t="n">
        <v>0</v>
      </c>
      <c r="N1908" s="17" t="n">
        <v>0</v>
      </c>
      <c r="O1908" s="17" t="n">
        <v>0</v>
      </c>
      <c r="P1908" s="17" t="n">
        <v>0</v>
      </c>
      <c r="Q1908" s="17" t="n">
        <v>1</v>
      </c>
      <c r="R1908" s="17" t="n">
        <v>0</v>
      </c>
      <c r="T1908" s="17">
        <f>DAY(C1908)</f>
        <v/>
      </c>
      <c r="U1908" s="17">
        <f>MONTH(C1908)</f>
        <v/>
      </c>
    </row>
    <row r="1909" ht="22.5" customHeight="1" s="117">
      <c r="A1909" s="14" t="n">
        <v>46115.42317479166</v>
      </c>
      <c r="B1909" s="17" t="inlineStr">
        <is>
          <t>Hoàng Văn Chất</t>
        </is>
      </c>
      <c r="C1909" s="16" t="n">
        <v>46114</v>
      </c>
      <c r="D1909" s="17" t="n">
        <v>0</v>
      </c>
      <c r="E1909" s="17" t="n">
        <v>0</v>
      </c>
      <c r="F1909" s="17" t="n">
        <v>0</v>
      </c>
      <c r="G1909" s="17" t="n">
        <v>0</v>
      </c>
      <c r="H1909" s="17" t="n">
        <v>0</v>
      </c>
      <c r="I1909" s="17" t="n">
        <v>0</v>
      </c>
      <c r="J1909" s="17" t="n">
        <v>0</v>
      </c>
      <c r="K1909" s="17" t="n">
        <v>0</v>
      </c>
      <c r="L1909" s="17" t="n">
        <v>0</v>
      </c>
      <c r="M1909" s="17" t="n">
        <v>1</v>
      </c>
      <c r="N1909" s="17" t="n">
        <v>0</v>
      </c>
      <c r="O1909" s="17" t="n">
        <v>0</v>
      </c>
      <c r="P1909" s="17" t="n">
        <v>0</v>
      </c>
      <c r="Q1909" s="17" t="n">
        <v>3</v>
      </c>
      <c r="R1909" s="17" t="n">
        <v>0</v>
      </c>
      <c r="T1909" s="17">
        <f>DAY(C1909)</f>
        <v/>
      </c>
      <c r="U1909" s="17">
        <f>MONTH(C1909)</f>
        <v/>
      </c>
    </row>
    <row r="1910" ht="22.5" customHeight="1" s="117">
      <c r="A1910" s="14" t="n">
        <v>46115.47575212963</v>
      </c>
      <c r="B1910" s="17" t="inlineStr">
        <is>
          <t>Nguyễn Hồng Minh</t>
        </is>
      </c>
      <c r="C1910" s="16" t="n">
        <v>46113</v>
      </c>
      <c r="D1910" s="17" t="n">
        <v>0</v>
      </c>
      <c r="E1910" s="17" t="n">
        <v>0</v>
      </c>
      <c r="F1910" s="17" t="n">
        <v>0</v>
      </c>
      <c r="G1910" s="17" t="n">
        <v>1</v>
      </c>
      <c r="H1910" s="17" t="n">
        <v>1</v>
      </c>
      <c r="I1910" s="17" t="n">
        <v>0</v>
      </c>
      <c r="J1910" s="17" t="n">
        <v>0</v>
      </c>
      <c r="K1910" s="17" t="n">
        <v>0</v>
      </c>
      <c r="L1910" s="17" t="n">
        <v>0</v>
      </c>
      <c r="M1910" s="17" t="n">
        <v>0</v>
      </c>
      <c r="N1910" s="17" t="n">
        <v>0</v>
      </c>
      <c r="O1910" s="17" t="n">
        <v>0</v>
      </c>
      <c r="P1910" s="17" t="n">
        <v>0</v>
      </c>
      <c r="Q1910" s="17" t="n">
        <v>1</v>
      </c>
      <c r="R1910" s="17" t="n">
        <v>0</v>
      </c>
      <c r="T1910" s="17">
        <f>DAY(C1910)</f>
        <v/>
      </c>
      <c r="U1910" s="17">
        <f>MONTH(C1910)</f>
        <v/>
      </c>
    </row>
    <row r="1911" ht="22.5" customHeight="1" s="117">
      <c r="A1911" s="14" t="n">
        <v>46115.4794609375</v>
      </c>
      <c r="B1911" s="17" t="inlineStr">
        <is>
          <t>Nguyễn Hồng Minh</t>
        </is>
      </c>
      <c r="C1911" s="16" t="n">
        <v>46114</v>
      </c>
      <c r="D1911" s="17" t="n">
        <v>0</v>
      </c>
      <c r="E1911" s="17" t="n">
        <v>0</v>
      </c>
      <c r="F1911" s="17" t="n">
        <v>0</v>
      </c>
      <c r="G1911" s="17" t="n">
        <v>0</v>
      </c>
      <c r="H1911" s="17" t="n">
        <v>0</v>
      </c>
      <c r="I1911" s="17" t="n">
        <v>0</v>
      </c>
      <c r="J1911" s="17" t="n">
        <v>0</v>
      </c>
      <c r="K1911" s="17" t="n">
        <v>0</v>
      </c>
      <c r="L1911" s="17" t="n">
        <v>2</v>
      </c>
      <c r="M1911" s="17" t="n">
        <v>0</v>
      </c>
      <c r="N1911" s="17" t="n">
        <v>0</v>
      </c>
      <c r="O1911" s="17" t="n">
        <v>0</v>
      </c>
      <c r="P1911" s="17" t="n">
        <v>0</v>
      </c>
      <c r="Q1911" s="17" t="n">
        <v>1</v>
      </c>
      <c r="R1911" s="17" t="n">
        <v>0</v>
      </c>
      <c r="T1911" s="17">
        <f>DAY(C1911)</f>
        <v/>
      </c>
      <c r="U1911" s="17">
        <f>MONTH(C1911)</f>
        <v/>
      </c>
    </row>
    <row r="1912" ht="12.75" customHeight="1" s="117">
      <c r="A1912" s="91" t="n"/>
      <c r="B1912" s="91" t="n"/>
      <c r="C1912" s="19" t="n"/>
      <c r="D1912" s="91" t="n"/>
      <c r="E1912" s="91" t="n"/>
      <c r="F1912" s="91" t="n"/>
      <c r="G1912" s="91" t="n"/>
      <c r="H1912" s="91" t="n"/>
      <c r="I1912" s="91" t="n"/>
      <c r="J1912" s="91" t="n"/>
      <c r="K1912" s="91" t="n"/>
      <c r="L1912" s="91" t="n"/>
      <c r="M1912" s="91" t="n"/>
      <c r="N1912" s="91" t="n"/>
      <c r="O1912" s="91" t="n"/>
      <c r="P1912" s="91" t="n"/>
      <c r="Q1912" s="91" t="n"/>
      <c r="R1912" s="91" t="n"/>
      <c r="S1912" s="91" t="n"/>
      <c r="T1912" s="49">
        <f>DAY(C1912)</f>
        <v/>
      </c>
      <c r="U1912" s="49">
        <f>MONTH(C1912)</f>
        <v/>
      </c>
      <c r="V1912" s="26" t="n">
        <v>2025</v>
      </c>
      <c r="W1912" s="91" t="n"/>
      <c r="X1912" s="91" t="n"/>
      <c r="Y1912" s="91" t="n"/>
      <c r="Z1912" s="91" t="n"/>
    </row>
    <row r="1913" ht="12.75" customHeight="1" s="117">
      <c r="A1913" s="91" t="n"/>
      <c r="B1913" s="91" t="n"/>
      <c r="C1913" s="91" t="n"/>
      <c r="D1913" s="91" t="n"/>
      <c r="E1913" s="91" t="n"/>
      <c r="F1913" s="91" t="n"/>
      <c r="G1913" s="91" t="n"/>
      <c r="H1913" s="91" t="n"/>
      <c r="I1913" s="91" t="n"/>
      <c r="J1913" s="91" t="n"/>
      <c r="K1913" s="91" t="n"/>
      <c r="L1913" s="91" t="n"/>
      <c r="M1913" s="91" t="n"/>
      <c r="N1913" s="91" t="n"/>
      <c r="O1913" s="91" t="n"/>
      <c r="P1913" s="91" t="n"/>
      <c r="Q1913" s="91" t="n"/>
      <c r="R1913" s="91" t="n"/>
      <c r="S1913" s="91" t="n"/>
      <c r="T1913" s="49">
        <f>DAY(C1913)</f>
        <v/>
      </c>
      <c r="U1913" s="49">
        <f>MONTH(C1913)</f>
        <v/>
      </c>
      <c r="V1913" s="26" t="n">
        <v>2025</v>
      </c>
      <c r="W1913" s="91" t="n"/>
      <c r="X1913" s="91" t="n"/>
      <c r="Y1913" s="91" t="n"/>
      <c r="Z1913" s="91" t="n"/>
    </row>
    <row r="1914" ht="12.75" customHeight="1" s="117">
      <c r="A1914" s="91" t="n"/>
      <c r="B1914" s="91" t="n"/>
      <c r="C1914" s="91" t="n"/>
      <c r="D1914" s="91" t="n"/>
      <c r="E1914" s="91" t="n"/>
      <c r="F1914" s="91" t="n"/>
      <c r="G1914" s="91" t="n"/>
      <c r="H1914" s="91" t="n"/>
      <c r="I1914" s="91" t="n"/>
      <c r="J1914" s="91" t="n"/>
      <c r="K1914" s="91" t="n"/>
      <c r="L1914" s="91" t="n"/>
      <c r="M1914" s="91" t="n"/>
      <c r="N1914" s="91" t="n"/>
      <c r="O1914" s="91" t="n"/>
      <c r="P1914" s="91" t="n"/>
      <c r="Q1914" s="91" t="n"/>
      <c r="R1914" s="91" t="n"/>
      <c r="S1914" s="91" t="n"/>
      <c r="T1914" s="49">
        <f>DAY(C1914)</f>
        <v/>
      </c>
      <c r="U1914" s="49">
        <f>MONTH(C1914)</f>
        <v/>
      </c>
      <c r="V1914" s="26" t="n">
        <v>2025</v>
      </c>
      <c r="W1914" s="91" t="n"/>
      <c r="X1914" s="91" t="n"/>
      <c r="Y1914" s="91" t="n"/>
      <c r="Z1914" s="91" t="n"/>
    </row>
    <row r="1915" ht="12.75" customHeight="1" s="117">
      <c r="A1915" s="91" t="n"/>
      <c r="B1915" s="91" t="n"/>
      <c r="C1915" s="91" t="n"/>
      <c r="D1915" s="91" t="n"/>
      <c r="E1915" s="91" t="n"/>
      <c r="F1915" s="91" t="n"/>
      <c r="G1915" s="91" t="n"/>
      <c r="H1915" s="91" t="n"/>
      <c r="I1915" s="91" t="n"/>
      <c r="J1915" s="91" t="n"/>
      <c r="K1915" s="91" t="n"/>
      <c r="L1915" s="91" t="n"/>
      <c r="M1915" s="91" t="n"/>
      <c r="N1915" s="91" t="n"/>
      <c r="O1915" s="91" t="n"/>
      <c r="P1915" s="91" t="n"/>
      <c r="Q1915" s="91" t="n"/>
      <c r="R1915" s="91" t="n"/>
      <c r="S1915" s="91" t="n"/>
      <c r="T1915" s="49">
        <f>DAY(C1915)</f>
        <v/>
      </c>
      <c r="U1915" s="49">
        <f>MONTH(C1915)</f>
        <v/>
      </c>
      <c r="V1915" s="26" t="n">
        <v>2025</v>
      </c>
      <c r="W1915" s="91" t="n"/>
      <c r="X1915" s="91" t="n"/>
      <c r="Y1915" s="91" t="n"/>
      <c r="Z1915" s="91" t="n"/>
    </row>
    <row r="1916" ht="12.75" customHeight="1" s="117">
      <c r="A1916" s="91" t="n"/>
      <c r="B1916" s="91" t="n"/>
      <c r="C1916" s="91" t="n"/>
      <c r="D1916" s="91" t="n"/>
      <c r="E1916" s="91" t="n"/>
      <c r="F1916" s="91" t="n"/>
      <c r="G1916" s="91" t="n"/>
      <c r="H1916" s="91" t="n"/>
      <c r="I1916" s="91" t="n"/>
      <c r="J1916" s="91" t="n"/>
      <c r="K1916" s="91" t="n"/>
      <c r="L1916" s="91" t="n"/>
      <c r="M1916" s="91" t="n"/>
      <c r="N1916" s="91" t="n"/>
      <c r="O1916" s="91" t="n"/>
      <c r="P1916" s="91" t="n"/>
      <c r="Q1916" s="91" t="n"/>
      <c r="R1916" s="91" t="n"/>
      <c r="S1916" s="91" t="n"/>
      <c r="T1916" s="49">
        <f>DAY(C1916)</f>
        <v/>
      </c>
      <c r="U1916" s="49">
        <f>MONTH(C1916)</f>
        <v/>
      </c>
      <c r="V1916" s="26" t="n">
        <v>2025</v>
      </c>
      <c r="W1916" s="91" t="n"/>
      <c r="X1916" s="91" t="n"/>
      <c r="Y1916" s="91" t="n"/>
      <c r="Z1916" s="91" t="n"/>
    </row>
    <row r="1917" ht="12.75" customHeight="1" s="117">
      <c r="A1917" s="91" t="n"/>
      <c r="B1917" s="91" t="n"/>
      <c r="C1917" s="91" t="n"/>
      <c r="D1917" s="91" t="n"/>
      <c r="E1917" s="91" t="n"/>
      <c r="F1917" s="91" t="n"/>
      <c r="G1917" s="91" t="n"/>
      <c r="H1917" s="91" t="n"/>
      <c r="I1917" s="91" t="n"/>
      <c r="J1917" s="91" t="n"/>
      <c r="K1917" s="91" t="n"/>
      <c r="L1917" s="91" t="n"/>
      <c r="M1917" s="91" t="n"/>
      <c r="N1917" s="91" t="n"/>
      <c r="O1917" s="91" t="n"/>
      <c r="P1917" s="91" t="n"/>
      <c r="Q1917" s="91" t="n"/>
      <c r="R1917" s="91" t="n"/>
      <c r="S1917" s="91" t="n"/>
      <c r="T1917" s="49">
        <f>DAY(C1917)</f>
        <v/>
      </c>
      <c r="U1917" s="49">
        <f>MONTH(C1917)</f>
        <v/>
      </c>
      <c r="V1917" s="26" t="n">
        <v>2025</v>
      </c>
      <c r="W1917" s="91" t="n"/>
      <c r="X1917" s="91" t="n"/>
      <c r="Y1917" s="91" t="n"/>
      <c r="Z1917" s="91" t="n"/>
    </row>
    <row r="1918" ht="12.75" customHeight="1" s="117">
      <c r="A1918" s="91" t="n"/>
      <c r="B1918" s="91" t="n"/>
      <c r="C1918" s="91" t="n"/>
      <c r="D1918" s="91" t="n"/>
      <c r="E1918" s="91" t="n"/>
      <c r="F1918" s="91" t="n"/>
      <c r="G1918" s="91" t="n"/>
      <c r="H1918" s="91" t="n"/>
      <c r="I1918" s="91" t="n"/>
      <c r="J1918" s="91" t="n"/>
      <c r="K1918" s="91" t="n"/>
      <c r="L1918" s="91" t="n"/>
      <c r="M1918" s="91" t="n"/>
      <c r="N1918" s="91" t="n"/>
      <c r="O1918" s="91" t="n"/>
      <c r="P1918" s="91" t="n"/>
      <c r="Q1918" s="91" t="n"/>
      <c r="R1918" s="91" t="n"/>
      <c r="S1918" s="91" t="n"/>
      <c r="T1918" s="49">
        <f>DAY(C1918)</f>
        <v/>
      </c>
      <c r="U1918" s="49">
        <f>MONTH(C1918)</f>
        <v/>
      </c>
      <c r="V1918" s="26" t="n">
        <v>2025</v>
      </c>
      <c r="W1918" s="91" t="n"/>
      <c r="X1918" s="91" t="n"/>
      <c r="Y1918" s="91" t="n"/>
      <c r="Z1918" s="91" t="n"/>
    </row>
    <row r="1919" ht="12.75" customHeight="1" s="117">
      <c r="A1919" s="91" t="n"/>
      <c r="B1919" s="91" t="n"/>
      <c r="C1919" s="91" t="n"/>
      <c r="D1919" s="91" t="n"/>
      <c r="E1919" s="91" t="n"/>
      <c r="F1919" s="91" t="n"/>
      <c r="G1919" s="91" t="n"/>
      <c r="H1919" s="91" t="n"/>
      <c r="I1919" s="91" t="n"/>
      <c r="J1919" s="91" t="n"/>
      <c r="K1919" s="91" t="n"/>
      <c r="L1919" s="91" t="n"/>
      <c r="M1919" s="91" t="n"/>
      <c r="N1919" s="91" t="n"/>
      <c r="O1919" s="91" t="n"/>
      <c r="P1919" s="91" t="n"/>
      <c r="Q1919" s="91" t="n"/>
      <c r="R1919" s="91" t="n"/>
      <c r="S1919" s="91" t="n"/>
      <c r="T1919" s="49">
        <f>DAY(C1919)</f>
        <v/>
      </c>
      <c r="U1919" s="49">
        <f>MONTH(C1919)</f>
        <v/>
      </c>
      <c r="V1919" s="26" t="n">
        <v>2025</v>
      </c>
      <c r="W1919" s="91" t="n"/>
      <c r="X1919" s="91" t="n"/>
      <c r="Y1919" s="91" t="n"/>
      <c r="Z1919" s="91" t="n"/>
    </row>
    <row r="1920" ht="12.75" customHeight="1" s="117">
      <c r="A1920" s="91" t="n"/>
      <c r="B1920" s="91" t="n"/>
      <c r="C1920" s="91" t="n"/>
      <c r="D1920" s="91" t="n"/>
      <c r="E1920" s="91" t="n"/>
      <c r="F1920" s="91" t="n"/>
      <c r="G1920" s="91" t="n"/>
      <c r="H1920" s="91" t="n"/>
      <c r="I1920" s="91" t="n"/>
      <c r="J1920" s="91" t="n"/>
      <c r="K1920" s="91" t="n"/>
      <c r="L1920" s="91" t="n"/>
      <c r="M1920" s="91" t="n"/>
      <c r="N1920" s="91" t="n"/>
      <c r="O1920" s="91" t="n"/>
      <c r="P1920" s="91" t="n"/>
      <c r="Q1920" s="91" t="n"/>
      <c r="R1920" s="91" t="n"/>
      <c r="S1920" s="91" t="n"/>
      <c r="T1920" s="49">
        <f>DAY(C1920)</f>
        <v/>
      </c>
      <c r="U1920" s="49">
        <f>MONTH(C1920)</f>
        <v/>
      </c>
      <c r="V1920" s="26" t="n">
        <v>2025</v>
      </c>
      <c r="W1920" s="91" t="n"/>
      <c r="X1920" s="91" t="n"/>
      <c r="Y1920" s="91" t="n"/>
      <c r="Z1920" s="91" t="n"/>
    </row>
    <row r="1921" ht="12.75" customHeight="1" s="117">
      <c r="A1921" s="91" t="n"/>
      <c r="B1921" s="91" t="n"/>
      <c r="C1921" s="91" t="n"/>
      <c r="D1921" s="91" t="n"/>
      <c r="E1921" s="91" t="n"/>
      <c r="F1921" s="91" t="n"/>
      <c r="G1921" s="91" t="n"/>
      <c r="H1921" s="91" t="n"/>
      <c r="I1921" s="91" t="n"/>
      <c r="J1921" s="91" t="n"/>
      <c r="K1921" s="91" t="n"/>
      <c r="L1921" s="91" t="n"/>
      <c r="M1921" s="91" t="n"/>
      <c r="N1921" s="91" t="n"/>
      <c r="O1921" s="91" t="n"/>
      <c r="P1921" s="91" t="n"/>
      <c r="Q1921" s="91" t="n"/>
      <c r="R1921" s="91" t="n"/>
      <c r="S1921" s="91" t="n"/>
      <c r="T1921" s="49">
        <f>DAY(C1921)</f>
        <v/>
      </c>
      <c r="U1921" s="49">
        <f>MONTH(C1921)</f>
        <v/>
      </c>
      <c r="V1921" s="26" t="n">
        <v>2025</v>
      </c>
      <c r="W1921" s="91" t="n"/>
      <c r="X1921" s="91" t="n"/>
      <c r="Y1921" s="91" t="n"/>
      <c r="Z1921" s="91" t="n"/>
    </row>
    <row r="1922" ht="12.75" customHeight="1" s="117">
      <c r="A1922" s="91" t="n"/>
      <c r="B1922" s="91" t="n"/>
      <c r="C1922" s="91" t="n"/>
      <c r="D1922" s="91" t="n"/>
      <c r="E1922" s="91" t="n"/>
      <c r="F1922" s="91" t="n"/>
      <c r="G1922" s="91" t="n"/>
      <c r="H1922" s="91" t="n"/>
      <c r="I1922" s="91" t="n"/>
      <c r="J1922" s="91" t="n"/>
      <c r="K1922" s="91" t="n"/>
      <c r="L1922" s="91" t="n"/>
      <c r="M1922" s="91" t="n"/>
      <c r="N1922" s="91" t="n"/>
      <c r="O1922" s="91" t="n"/>
      <c r="P1922" s="91" t="n"/>
      <c r="Q1922" s="91" t="n"/>
      <c r="R1922" s="91" t="n"/>
      <c r="S1922" s="91" t="n"/>
      <c r="T1922" s="49">
        <f>DAY(C1922)</f>
        <v/>
      </c>
      <c r="U1922" s="49">
        <f>MONTH(C1922)</f>
        <v/>
      </c>
      <c r="V1922" s="26" t="n">
        <v>2025</v>
      </c>
      <c r="W1922" s="91" t="n"/>
      <c r="X1922" s="91" t="n"/>
      <c r="Y1922" s="91" t="n"/>
      <c r="Z1922" s="91" t="n"/>
    </row>
    <row r="1923" ht="12.75" customHeight="1" s="117">
      <c r="A1923" s="91" t="n"/>
      <c r="B1923" s="91" t="n"/>
      <c r="C1923" s="91" t="n"/>
      <c r="D1923" s="91" t="n"/>
      <c r="E1923" s="91" t="n"/>
      <c r="F1923" s="91" t="n"/>
      <c r="G1923" s="91" t="n"/>
      <c r="H1923" s="91" t="n"/>
      <c r="I1923" s="91" t="n"/>
      <c r="J1923" s="91" t="n"/>
      <c r="K1923" s="91" t="n"/>
      <c r="L1923" s="91" t="n"/>
      <c r="M1923" s="91" t="n"/>
      <c r="N1923" s="91" t="n"/>
      <c r="O1923" s="91" t="n"/>
      <c r="P1923" s="91" t="n"/>
      <c r="Q1923" s="91" t="n"/>
      <c r="R1923" s="91" t="n"/>
      <c r="S1923" s="91" t="n"/>
      <c r="T1923" s="49">
        <f>DAY(C1923)</f>
        <v/>
      </c>
      <c r="U1923" s="49">
        <f>MONTH(C1923)</f>
        <v/>
      </c>
      <c r="V1923" s="26" t="n">
        <v>2025</v>
      </c>
      <c r="W1923" s="91" t="n"/>
      <c r="X1923" s="91" t="n"/>
      <c r="Y1923" s="91" t="n"/>
      <c r="Z1923" s="91" t="n"/>
    </row>
    <row r="1924" ht="12.75" customHeight="1" s="117">
      <c r="A1924" s="91" t="n"/>
      <c r="B1924" s="91" t="n"/>
      <c r="C1924" s="91" t="n"/>
      <c r="D1924" s="91" t="n"/>
      <c r="E1924" s="91" t="n"/>
      <c r="F1924" s="91" t="n"/>
      <c r="G1924" s="91" t="n"/>
      <c r="H1924" s="91" t="n"/>
      <c r="I1924" s="91" t="n"/>
      <c r="J1924" s="91" t="n"/>
      <c r="K1924" s="91" t="n"/>
      <c r="L1924" s="91" t="n"/>
      <c r="M1924" s="91" t="n"/>
      <c r="N1924" s="91" t="n"/>
      <c r="O1924" s="91" t="n"/>
      <c r="P1924" s="91" t="n"/>
      <c r="Q1924" s="91" t="n"/>
      <c r="R1924" s="91" t="n"/>
      <c r="S1924" s="91" t="n"/>
      <c r="T1924" s="49">
        <f>DAY(C1924)</f>
        <v/>
      </c>
      <c r="U1924" s="49">
        <f>MONTH(C1924)</f>
        <v/>
      </c>
      <c r="V1924" s="26" t="n">
        <v>2025</v>
      </c>
      <c r="W1924" s="91" t="n"/>
      <c r="X1924" s="91" t="n"/>
      <c r="Y1924" s="91" t="n"/>
      <c r="Z1924" s="91" t="n"/>
    </row>
    <row r="1925" ht="12.75" customHeight="1" s="117">
      <c r="A1925" s="91" t="n"/>
      <c r="B1925" s="91" t="n"/>
      <c r="C1925" s="91" t="n"/>
      <c r="D1925" s="91" t="n"/>
      <c r="E1925" s="91" t="n"/>
      <c r="F1925" s="91" t="n"/>
      <c r="G1925" s="91" t="n"/>
      <c r="H1925" s="91" t="n"/>
      <c r="I1925" s="91" t="n"/>
      <c r="J1925" s="91" t="n"/>
      <c r="K1925" s="91" t="n"/>
      <c r="L1925" s="91" t="n"/>
      <c r="M1925" s="91" t="n"/>
      <c r="N1925" s="91" t="n"/>
      <c r="O1925" s="91" t="n"/>
      <c r="P1925" s="91" t="n"/>
      <c r="Q1925" s="91" t="n"/>
      <c r="R1925" s="91" t="n"/>
      <c r="S1925" s="91" t="n"/>
      <c r="T1925" s="49">
        <f>DAY(C1925)</f>
        <v/>
      </c>
      <c r="U1925" s="49">
        <f>MONTH(C1925)</f>
        <v/>
      </c>
      <c r="V1925" s="26" t="n">
        <v>2025</v>
      </c>
      <c r="W1925" s="91" t="n"/>
      <c r="X1925" s="91" t="n"/>
      <c r="Y1925" s="91" t="n"/>
      <c r="Z1925" s="91" t="n"/>
    </row>
    <row r="1926" ht="12.75" customHeight="1" s="117">
      <c r="A1926" s="91" t="n"/>
      <c r="B1926" s="91" t="n"/>
      <c r="C1926" s="91" t="n"/>
      <c r="D1926" s="91" t="n"/>
      <c r="E1926" s="91" t="n"/>
      <c r="F1926" s="91" t="n"/>
      <c r="G1926" s="91" t="n"/>
      <c r="H1926" s="91" t="n"/>
      <c r="I1926" s="91" t="n"/>
      <c r="J1926" s="91" t="n"/>
      <c r="K1926" s="91" t="n"/>
      <c r="L1926" s="91" t="n"/>
      <c r="M1926" s="91" t="n"/>
      <c r="N1926" s="91" t="n"/>
      <c r="O1926" s="91" t="n"/>
      <c r="P1926" s="91" t="n"/>
      <c r="Q1926" s="91" t="n"/>
      <c r="R1926" s="91" t="n"/>
      <c r="S1926" s="91" t="n"/>
      <c r="T1926" s="49">
        <f>DAY(C1926)</f>
        <v/>
      </c>
      <c r="U1926" s="49">
        <f>MONTH(C1926)</f>
        <v/>
      </c>
      <c r="V1926" s="26" t="n">
        <v>2025</v>
      </c>
      <c r="W1926" s="91" t="n"/>
      <c r="X1926" s="91" t="n"/>
      <c r="Y1926" s="91" t="n"/>
      <c r="Z1926" s="91" t="n"/>
    </row>
    <row r="1927" ht="12.75" customHeight="1" s="117">
      <c r="A1927" s="91" t="n"/>
      <c r="B1927" s="91" t="n"/>
      <c r="C1927" s="91" t="n"/>
      <c r="D1927" s="91" t="n"/>
      <c r="E1927" s="91" t="n"/>
      <c r="F1927" s="91" t="n"/>
      <c r="G1927" s="91" t="n"/>
      <c r="H1927" s="91" t="n"/>
      <c r="I1927" s="91" t="n"/>
      <c r="J1927" s="91" t="n"/>
      <c r="K1927" s="91" t="n"/>
      <c r="L1927" s="91" t="n"/>
      <c r="M1927" s="91" t="n"/>
      <c r="N1927" s="91" t="n"/>
      <c r="O1927" s="91" t="n"/>
      <c r="P1927" s="91" t="n"/>
      <c r="Q1927" s="91" t="n"/>
      <c r="R1927" s="91" t="n"/>
      <c r="S1927" s="91" t="n"/>
      <c r="T1927" s="49">
        <f>DAY(C1927)</f>
        <v/>
      </c>
      <c r="U1927" s="49">
        <f>MONTH(C1927)</f>
        <v/>
      </c>
      <c r="V1927" s="26" t="n">
        <v>2025</v>
      </c>
      <c r="W1927" s="91" t="n"/>
      <c r="X1927" s="91" t="n"/>
      <c r="Y1927" s="91" t="n"/>
      <c r="Z1927" s="91" t="n"/>
    </row>
    <row r="1928" ht="12.75" customHeight="1" s="117">
      <c r="A1928" s="91" t="n"/>
      <c r="B1928" s="91" t="n"/>
      <c r="C1928" s="91" t="n"/>
      <c r="D1928" s="91" t="n"/>
      <c r="E1928" s="91" t="n"/>
      <c r="F1928" s="91" t="n"/>
      <c r="G1928" s="91" t="n"/>
      <c r="H1928" s="91" t="n"/>
      <c r="I1928" s="91" t="n"/>
      <c r="J1928" s="91" t="n"/>
      <c r="K1928" s="91" t="n"/>
      <c r="L1928" s="91" t="n"/>
      <c r="M1928" s="91" t="n"/>
      <c r="N1928" s="91" t="n"/>
      <c r="O1928" s="91" t="n"/>
      <c r="P1928" s="91" t="n"/>
      <c r="Q1928" s="91" t="n"/>
      <c r="R1928" s="91" t="n"/>
      <c r="S1928" s="91" t="n"/>
      <c r="T1928" s="49">
        <f>DAY(C1928)</f>
        <v/>
      </c>
      <c r="U1928" s="49">
        <f>MONTH(C1928)</f>
        <v/>
      </c>
      <c r="V1928" s="26" t="n">
        <v>2025</v>
      </c>
      <c r="W1928" s="91" t="n"/>
      <c r="X1928" s="91" t="n"/>
      <c r="Y1928" s="91" t="n"/>
      <c r="Z1928" s="91" t="n"/>
    </row>
    <row r="1929" ht="12.75" customHeight="1" s="117">
      <c r="A1929" s="91" t="n"/>
      <c r="B1929" s="91" t="n"/>
      <c r="C1929" s="91" t="n"/>
      <c r="D1929" s="91" t="n"/>
      <c r="E1929" s="91" t="n"/>
      <c r="F1929" s="91" t="n"/>
      <c r="G1929" s="91" t="n"/>
      <c r="H1929" s="91" t="n"/>
      <c r="I1929" s="91" t="n"/>
      <c r="J1929" s="91" t="n"/>
      <c r="K1929" s="91" t="n"/>
      <c r="L1929" s="91" t="n"/>
      <c r="M1929" s="91" t="n"/>
      <c r="N1929" s="91" t="n"/>
      <c r="O1929" s="91" t="n"/>
      <c r="P1929" s="91" t="n"/>
      <c r="Q1929" s="91" t="n"/>
      <c r="R1929" s="91" t="n"/>
      <c r="S1929" s="91" t="n"/>
      <c r="T1929" s="49">
        <f>DAY(C1929)</f>
        <v/>
      </c>
      <c r="U1929" s="49">
        <f>MONTH(C1929)</f>
        <v/>
      </c>
      <c r="V1929" s="26" t="n">
        <v>2025</v>
      </c>
      <c r="W1929" s="91" t="n"/>
      <c r="X1929" s="91" t="n"/>
      <c r="Y1929" s="91" t="n"/>
      <c r="Z1929" s="91" t="n"/>
    </row>
    <row r="1930" ht="12.75" customHeight="1" s="117">
      <c r="A1930" s="91" t="n"/>
      <c r="B1930" s="91" t="n"/>
      <c r="C1930" s="91" t="n"/>
      <c r="D1930" s="91" t="n"/>
      <c r="E1930" s="91" t="n"/>
      <c r="F1930" s="91" t="n"/>
      <c r="G1930" s="91" t="n"/>
      <c r="H1930" s="91" t="n"/>
      <c r="I1930" s="91" t="n"/>
      <c r="J1930" s="91" t="n"/>
      <c r="K1930" s="91" t="n"/>
      <c r="L1930" s="91" t="n"/>
      <c r="M1930" s="91" t="n"/>
      <c r="N1930" s="91" t="n"/>
      <c r="O1930" s="91" t="n"/>
      <c r="P1930" s="91" t="n"/>
      <c r="Q1930" s="91" t="n"/>
      <c r="R1930" s="91" t="n"/>
      <c r="S1930" s="91" t="n"/>
      <c r="T1930" s="49">
        <f>DAY(C1930)</f>
        <v/>
      </c>
      <c r="U1930" s="49">
        <f>MONTH(C1930)</f>
        <v/>
      </c>
      <c r="V1930" s="26" t="n">
        <v>2025</v>
      </c>
      <c r="W1930" s="91" t="n"/>
      <c r="X1930" s="91" t="n"/>
      <c r="Y1930" s="91" t="n"/>
      <c r="Z1930" s="91" t="n"/>
    </row>
    <row r="1931" ht="12.75" customHeight="1" s="117">
      <c r="A1931" s="91" t="n"/>
      <c r="B1931" s="91" t="n"/>
      <c r="C1931" s="91" t="n"/>
      <c r="D1931" s="91" t="n"/>
      <c r="E1931" s="91" t="n"/>
      <c r="F1931" s="91" t="n"/>
      <c r="G1931" s="91" t="n"/>
      <c r="H1931" s="91" t="n"/>
      <c r="I1931" s="91" t="n"/>
      <c r="J1931" s="91" t="n"/>
      <c r="K1931" s="91" t="n"/>
      <c r="L1931" s="91" t="n"/>
      <c r="M1931" s="91" t="n"/>
      <c r="N1931" s="91" t="n"/>
      <c r="O1931" s="91" t="n"/>
      <c r="P1931" s="91" t="n"/>
      <c r="Q1931" s="91" t="n"/>
      <c r="R1931" s="91" t="n"/>
      <c r="S1931" s="91" t="n"/>
      <c r="T1931" s="49">
        <f>DAY(C1931)</f>
        <v/>
      </c>
      <c r="U1931" s="49">
        <f>MONTH(C1931)</f>
        <v/>
      </c>
      <c r="V1931" s="26" t="n">
        <v>2025</v>
      </c>
      <c r="W1931" s="91" t="n"/>
      <c r="X1931" s="91" t="n"/>
      <c r="Y1931" s="91" t="n"/>
      <c r="Z1931" s="91" t="n"/>
    </row>
    <row r="1932" ht="12.75" customHeight="1" s="117">
      <c r="A1932" s="91" t="n"/>
      <c r="B1932" s="91" t="n"/>
      <c r="C1932" s="91" t="n"/>
      <c r="D1932" s="91" t="n"/>
      <c r="E1932" s="91" t="n"/>
      <c r="F1932" s="91" t="n"/>
      <c r="G1932" s="91" t="n"/>
      <c r="H1932" s="91" t="n"/>
      <c r="I1932" s="91" t="n"/>
      <c r="J1932" s="91" t="n"/>
      <c r="K1932" s="91" t="n"/>
      <c r="L1932" s="91" t="n"/>
      <c r="M1932" s="91" t="n"/>
      <c r="N1932" s="91" t="n"/>
      <c r="O1932" s="91" t="n"/>
      <c r="P1932" s="91" t="n"/>
      <c r="Q1932" s="91" t="n"/>
      <c r="R1932" s="91" t="n"/>
      <c r="S1932" s="91" t="n"/>
      <c r="T1932" s="49">
        <f>DAY(C1932)</f>
        <v/>
      </c>
      <c r="U1932" s="49">
        <f>MONTH(C1932)</f>
        <v/>
      </c>
      <c r="V1932" s="26" t="n">
        <v>2025</v>
      </c>
      <c r="W1932" s="91" t="n"/>
      <c r="X1932" s="91" t="n"/>
      <c r="Y1932" s="91" t="n"/>
      <c r="Z1932" s="91" t="n"/>
    </row>
    <row r="1933" ht="12.75" customHeight="1" s="117">
      <c r="A1933" s="91" t="n"/>
      <c r="B1933" s="91" t="n"/>
      <c r="C1933" s="91" t="n"/>
      <c r="D1933" s="91" t="n"/>
      <c r="E1933" s="91" t="n"/>
      <c r="F1933" s="91" t="n"/>
      <c r="G1933" s="91" t="n"/>
      <c r="H1933" s="91" t="n"/>
      <c r="I1933" s="91" t="n"/>
      <c r="J1933" s="91" t="n"/>
      <c r="K1933" s="91" t="n"/>
      <c r="L1933" s="91" t="n"/>
      <c r="M1933" s="91" t="n"/>
      <c r="N1933" s="91" t="n"/>
      <c r="O1933" s="91" t="n"/>
      <c r="P1933" s="91" t="n"/>
      <c r="Q1933" s="91" t="n"/>
      <c r="R1933" s="91" t="n"/>
      <c r="S1933" s="91" t="n"/>
      <c r="T1933" s="49">
        <f>DAY(C1933)</f>
        <v/>
      </c>
      <c r="U1933" s="49">
        <f>MONTH(C1933)</f>
        <v/>
      </c>
      <c r="V1933" s="26" t="n">
        <v>2025</v>
      </c>
      <c r="W1933" s="91" t="n"/>
      <c r="X1933" s="91" t="n"/>
      <c r="Y1933" s="91" t="n"/>
      <c r="Z1933" s="91" t="n"/>
    </row>
    <row r="1934" ht="12.75" customHeight="1" s="117">
      <c r="A1934" s="91" t="n"/>
      <c r="B1934" s="91" t="n"/>
      <c r="C1934" s="91" t="n"/>
      <c r="D1934" s="91" t="n"/>
      <c r="E1934" s="91" t="n"/>
      <c r="F1934" s="91" t="n"/>
      <c r="G1934" s="91" t="n"/>
      <c r="H1934" s="91" t="n"/>
      <c r="I1934" s="91" t="n"/>
      <c r="J1934" s="91" t="n"/>
      <c r="K1934" s="91" t="n"/>
      <c r="L1934" s="91" t="n"/>
      <c r="M1934" s="91" t="n"/>
      <c r="N1934" s="91" t="n"/>
      <c r="O1934" s="91" t="n"/>
      <c r="P1934" s="91" t="n"/>
      <c r="Q1934" s="91" t="n"/>
      <c r="R1934" s="91" t="n"/>
      <c r="S1934" s="91" t="n"/>
      <c r="T1934" s="49">
        <f>DAY(C1934)</f>
        <v/>
      </c>
      <c r="U1934" s="49">
        <f>MONTH(C1934)</f>
        <v/>
      </c>
      <c r="V1934" s="26" t="n">
        <v>2025</v>
      </c>
      <c r="W1934" s="91" t="n"/>
      <c r="X1934" s="91" t="n"/>
      <c r="Y1934" s="91" t="n"/>
      <c r="Z1934" s="91" t="n"/>
    </row>
    <row r="1935" ht="12.75" customHeight="1" s="117">
      <c r="A1935" s="91" t="n"/>
      <c r="B1935" s="91" t="n"/>
      <c r="C1935" s="91" t="n"/>
      <c r="D1935" s="91" t="n"/>
      <c r="E1935" s="91" t="n"/>
      <c r="F1935" s="91" t="n"/>
      <c r="G1935" s="91" t="n"/>
      <c r="H1935" s="91" t="n"/>
      <c r="I1935" s="91" t="n"/>
      <c r="J1935" s="91" t="n"/>
      <c r="K1935" s="91" t="n"/>
      <c r="L1935" s="91" t="n"/>
      <c r="M1935" s="91" t="n"/>
      <c r="N1935" s="91" t="n"/>
      <c r="O1935" s="91" t="n"/>
      <c r="P1935" s="91" t="n"/>
      <c r="Q1935" s="91" t="n"/>
      <c r="R1935" s="91" t="n"/>
      <c r="S1935" s="91" t="n"/>
      <c r="T1935" s="49">
        <f>DAY(C1935)</f>
        <v/>
      </c>
      <c r="U1935" s="49">
        <f>MONTH(C1935)</f>
        <v/>
      </c>
      <c r="V1935" s="26" t="n">
        <v>2025</v>
      </c>
      <c r="W1935" s="91" t="n"/>
      <c r="X1935" s="91" t="n"/>
      <c r="Y1935" s="91" t="n"/>
      <c r="Z1935" s="91" t="n"/>
    </row>
    <row r="1936" ht="12.75" customHeight="1" s="117">
      <c r="A1936" s="91" t="n"/>
      <c r="B1936" s="91" t="n"/>
      <c r="C1936" s="91" t="n"/>
      <c r="D1936" s="91" t="n"/>
      <c r="E1936" s="91" t="n"/>
      <c r="F1936" s="91" t="n"/>
      <c r="G1936" s="91" t="n"/>
      <c r="H1936" s="91" t="n"/>
      <c r="I1936" s="91" t="n"/>
      <c r="J1936" s="91" t="n"/>
      <c r="K1936" s="91" t="n"/>
      <c r="L1936" s="91" t="n"/>
      <c r="M1936" s="91" t="n"/>
      <c r="N1936" s="91" t="n"/>
      <c r="O1936" s="91" t="n"/>
      <c r="P1936" s="91" t="n"/>
      <c r="Q1936" s="91" t="n"/>
      <c r="R1936" s="91" t="n"/>
      <c r="S1936" s="91" t="n"/>
      <c r="T1936" s="49">
        <f>DAY(C1936)</f>
        <v/>
      </c>
      <c r="U1936" s="49">
        <f>MONTH(C1936)</f>
        <v/>
      </c>
      <c r="V1936" s="26" t="n">
        <v>2025</v>
      </c>
      <c r="W1936" s="91" t="n"/>
      <c r="X1936" s="91" t="n"/>
      <c r="Y1936" s="91" t="n"/>
      <c r="Z1936" s="91" t="n"/>
    </row>
    <row r="1937" ht="12.75" customHeight="1" s="117">
      <c r="A1937" s="91" t="n"/>
      <c r="B1937" s="91" t="n"/>
      <c r="C1937" s="91" t="n"/>
      <c r="D1937" s="91" t="n"/>
      <c r="E1937" s="91" t="n"/>
      <c r="F1937" s="91" t="n"/>
      <c r="G1937" s="91" t="n"/>
      <c r="H1937" s="91" t="n"/>
      <c r="I1937" s="91" t="n"/>
      <c r="J1937" s="91" t="n"/>
      <c r="K1937" s="91" t="n"/>
      <c r="L1937" s="91" t="n"/>
      <c r="M1937" s="91" t="n"/>
      <c r="N1937" s="91" t="n"/>
      <c r="O1937" s="91" t="n"/>
      <c r="P1937" s="91" t="n"/>
      <c r="Q1937" s="91" t="n"/>
      <c r="R1937" s="91" t="n"/>
      <c r="S1937" s="91" t="n"/>
      <c r="T1937" s="49">
        <f>DAY(C1937)</f>
        <v/>
      </c>
      <c r="U1937" s="49">
        <f>MONTH(C1937)</f>
        <v/>
      </c>
      <c r="V1937" s="26" t="n">
        <v>2025</v>
      </c>
      <c r="W1937" s="91" t="n"/>
      <c r="X1937" s="91" t="n"/>
      <c r="Y1937" s="91" t="n"/>
      <c r="Z1937" s="91" t="n"/>
    </row>
    <row r="1938" ht="12.75" customHeight="1" s="117">
      <c r="A1938" s="91" t="n"/>
      <c r="B1938" s="91" t="n"/>
      <c r="C1938" s="91" t="n"/>
      <c r="D1938" s="91" t="n"/>
      <c r="E1938" s="91" t="n"/>
      <c r="F1938" s="91" t="n"/>
      <c r="G1938" s="91" t="n"/>
      <c r="H1938" s="91" t="n"/>
      <c r="I1938" s="91" t="n"/>
      <c r="J1938" s="91" t="n"/>
      <c r="K1938" s="91" t="n"/>
      <c r="L1938" s="91" t="n"/>
      <c r="M1938" s="91" t="n"/>
      <c r="N1938" s="91" t="n"/>
      <c r="O1938" s="91" t="n"/>
      <c r="P1938" s="91" t="n"/>
      <c r="Q1938" s="91" t="n"/>
      <c r="R1938" s="91" t="n"/>
      <c r="S1938" s="91" t="n"/>
      <c r="T1938" s="49">
        <f>DAY(C1938)</f>
        <v/>
      </c>
      <c r="U1938" s="49">
        <f>MONTH(C1938)</f>
        <v/>
      </c>
      <c r="V1938" s="26" t="n">
        <v>2025</v>
      </c>
      <c r="W1938" s="91" t="n"/>
      <c r="X1938" s="91" t="n"/>
      <c r="Y1938" s="91" t="n"/>
      <c r="Z1938" s="91" t="n"/>
    </row>
    <row r="1939" ht="12.75" customHeight="1" s="117">
      <c r="A1939" s="91" t="n"/>
      <c r="B1939" s="91" t="n"/>
      <c r="C1939" s="91" t="n"/>
      <c r="D1939" s="91" t="n"/>
      <c r="E1939" s="91" t="n"/>
      <c r="F1939" s="91" t="n"/>
      <c r="G1939" s="91" t="n"/>
      <c r="H1939" s="91" t="n"/>
      <c r="I1939" s="91" t="n"/>
      <c r="J1939" s="91" t="n"/>
      <c r="K1939" s="91" t="n"/>
      <c r="L1939" s="91" t="n"/>
      <c r="M1939" s="91" t="n"/>
      <c r="N1939" s="91" t="n"/>
      <c r="O1939" s="91" t="n"/>
      <c r="P1939" s="91" t="n"/>
      <c r="Q1939" s="91" t="n"/>
      <c r="R1939" s="91" t="n"/>
      <c r="S1939" s="91" t="n"/>
      <c r="T1939" s="49">
        <f>DAY(C1939)</f>
        <v/>
      </c>
      <c r="U1939" s="49">
        <f>MONTH(C1939)</f>
        <v/>
      </c>
      <c r="V1939" s="26" t="n">
        <v>2025</v>
      </c>
      <c r="W1939" s="91" t="n"/>
      <c r="X1939" s="91" t="n"/>
      <c r="Y1939" s="91" t="n"/>
      <c r="Z1939" s="91" t="n"/>
    </row>
    <row r="1940" ht="12.75" customHeight="1" s="117">
      <c r="A1940" s="91" t="n"/>
      <c r="B1940" s="91" t="n"/>
      <c r="C1940" s="91" t="n"/>
      <c r="D1940" s="91" t="n"/>
      <c r="E1940" s="91" t="n"/>
      <c r="F1940" s="91" t="n"/>
      <c r="G1940" s="91" t="n"/>
      <c r="H1940" s="91" t="n"/>
      <c r="I1940" s="91" t="n"/>
      <c r="J1940" s="91" t="n"/>
      <c r="K1940" s="91" t="n"/>
      <c r="L1940" s="91" t="n"/>
      <c r="M1940" s="91" t="n"/>
      <c r="N1940" s="91" t="n"/>
      <c r="O1940" s="91" t="n"/>
      <c r="P1940" s="91" t="n"/>
      <c r="Q1940" s="91" t="n"/>
      <c r="R1940" s="91" t="n"/>
      <c r="S1940" s="91" t="n"/>
      <c r="T1940" s="49">
        <f>DAY(C1940)</f>
        <v/>
      </c>
      <c r="U1940" s="49">
        <f>MONTH(C1940)</f>
        <v/>
      </c>
      <c r="V1940" s="26" t="n">
        <v>2025</v>
      </c>
      <c r="W1940" s="91" t="n"/>
      <c r="X1940" s="91" t="n"/>
      <c r="Y1940" s="91" t="n"/>
      <c r="Z1940" s="91" t="n"/>
    </row>
    <row r="1941" ht="12.75" customHeight="1" s="117">
      <c r="A1941" s="91" t="n"/>
      <c r="B1941" s="91" t="n"/>
      <c r="C1941" s="91" t="n"/>
      <c r="D1941" s="91" t="n"/>
      <c r="E1941" s="91" t="n"/>
      <c r="F1941" s="91" t="n"/>
      <c r="G1941" s="91" t="n"/>
      <c r="H1941" s="91" t="n"/>
      <c r="I1941" s="91" t="n"/>
      <c r="J1941" s="91" t="n"/>
      <c r="K1941" s="91" t="n"/>
      <c r="L1941" s="91" t="n"/>
      <c r="M1941" s="91" t="n"/>
      <c r="N1941" s="91" t="n"/>
      <c r="O1941" s="91" t="n"/>
      <c r="P1941" s="91" t="n"/>
      <c r="Q1941" s="91" t="n"/>
      <c r="R1941" s="91" t="n"/>
      <c r="S1941" s="91" t="n"/>
      <c r="T1941" s="49">
        <f>DAY(C1941)</f>
        <v/>
      </c>
      <c r="U1941" s="49">
        <f>MONTH(C1941)</f>
        <v/>
      </c>
      <c r="V1941" s="26" t="n">
        <v>2025</v>
      </c>
      <c r="W1941" s="91" t="n"/>
      <c r="X1941" s="91" t="n"/>
      <c r="Y1941" s="91" t="n"/>
      <c r="Z1941" s="91" t="n"/>
    </row>
    <row r="1942" ht="12.75" customHeight="1" s="117">
      <c r="A1942" s="91" t="n"/>
      <c r="B1942" s="91" t="n"/>
      <c r="C1942" s="91" t="n"/>
      <c r="D1942" s="91" t="n"/>
      <c r="E1942" s="91" t="n"/>
      <c r="F1942" s="91" t="n"/>
      <c r="G1942" s="91" t="n"/>
      <c r="H1942" s="91" t="n"/>
      <c r="I1942" s="91" t="n"/>
      <c r="J1942" s="91" t="n"/>
      <c r="K1942" s="91" t="n"/>
      <c r="L1942" s="91" t="n"/>
      <c r="M1942" s="91" t="n"/>
      <c r="N1942" s="91" t="n"/>
      <c r="O1942" s="91" t="n"/>
      <c r="P1942" s="91" t="n"/>
      <c r="Q1942" s="91" t="n"/>
      <c r="R1942" s="91" t="n"/>
      <c r="S1942" s="91" t="n"/>
      <c r="T1942" s="49">
        <f>DAY(C1942)</f>
        <v/>
      </c>
      <c r="U1942" s="49">
        <f>MONTH(C1942)</f>
        <v/>
      </c>
      <c r="V1942" s="26" t="n">
        <v>2025</v>
      </c>
      <c r="W1942" s="91" t="n"/>
      <c r="X1942" s="91" t="n"/>
      <c r="Y1942" s="91" t="n"/>
      <c r="Z1942" s="91" t="n"/>
    </row>
    <row r="1943" ht="12.75" customHeight="1" s="117">
      <c r="A1943" s="91" t="n"/>
      <c r="B1943" s="91" t="n"/>
      <c r="C1943" s="91" t="n"/>
      <c r="D1943" s="91" t="n"/>
      <c r="E1943" s="91" t="n"/>
      <c r="F1943" s="91" t="n"/>
      <c r="G1943" s="91" t="n"/>
      <c r="H1943" s="91" t="n"/>
      <c r="I1943" s="91" t="n"/>
      <c r="J1943" s="91" t="n"/>
      <c r="K1943" s="91" t="n"/>
      <c r="L1943" s="91" t="n"/>
      <c r="M1943" s="91" t="n"/>
      <c r="N1943" s="91" t="n"/>
      <c r="O1943" s="91" t="n"/>
      <c r="P1943" s="91" t="n"/>
      <c r="Q1943" s="91" t="n"/>
      <c r="R1943" s="91" t="n"/>
      <c r="S1943" s="91" t="n"/>
      <c r="T1943" s="49">
        <f>DAY(C1943)</f>
        <v/>
      </c>
      <c r="U1943" s="49">
        <f>MONTH(C1943)</f>
        <v/>
      </c>
      <c r="V1943" s="26" t="n">
        <v>2025</v>
      </c>
      <c r="W1943" s="91" t="n"/>
      <c r="X1943" s="91" t="n"/>
      <c r="Y1943" s="91" t="n"/>
      <c r="Z1943" s="91" t="n"/>
    </row>
    <row r="1944" ht="12.75" customHeight="1" s="117">
      <c r="A1944" s="91" t="n"/>
      <c r="B1944" s="91" t="n"/>
      <c r="C1944" s="91" t="n"/>
      <c r="D1944" s="91" t="n"/>
      <c r="E1944" s="91" t="n"/>
      <c r="F1944" s="91" t="n"/>
      <c r="G1944" s="91" t="n"/>
      <c r="H1944" s="91" t="n"/>
      <c r="I1944" s="91" t="n"/>
      <c r="J1944" s="91" t="n"/>
      <c r="K1944" s="91" t="n"/>
      <c r="L1944" s="91" t="n"/>
      <c r="M1944" s="91" t="n"/>
      <c r="N1944" s="91" t="n"/>
      <c r="O1944" s="91" t="n"/>
      <c r="P1944" s="91" t="n"/>
      <c r="Q1944" s="91" t="n"/>
      <c r="R1944" s="91" t="n"/>
      <c r="S1944" s="91" t="n"/>
      <c r="T1944" s="49">
        <f>DAY(C1944)</f>
        <v/>
      </c>
      <c r="U1944" s="49">
        <f>MONTH(C1944)</f>
        <v/>
      </c>
      <c r="V1944" s="26" t="n">
        <v>2025</v>
      </c>
      <c r="W1944" s="91" t="n"/>
      <c r="X1944" s="91" t="n"/>
      <c r="Y1944" s="91" t="n"/>
      <c r="Z1944" s="91" t="n"/>
    </row>
    <row r="1945" ht="12.75" customHeight="1" s="117">
      <c r="A1945" s="91" t="n"/>
      <c r="B1945" s="91" t="n"/>
      <c r="C1945" s="91" t="n"/>
      <c r="D1945" s="91" t="n"/>
      <c r="E1945" s="91" t="n"/>
      <c r="F1945" s="91" t="n"/>
      <c r="G1945" s="91" t="n"/>
      <c r="H1945" s="91" t="n"/>
      <c r="I1945" s="91" t="n"/>
      <c r="J1945" s="91" t="n"/>
      <c r="K1945" s="91" t="n"/>
      <c r="L1945" s="91" t="n"/>
      <c r="M1945" s="91" t="n"/>
      <c r="N1945" s="91" t="n"/>
      <c r="O1945" s="91" t="n"/>
      <c r="P1945" s="91" t="n"/>
      <c r="Q1945" s="91" t="n"/>
      <c r="R1945" s="91" t="n"/>
      <c r="S1945" s="91" t="n"/>
      <c r="T1945" s="49">
        <f>DAY(C1945)</f>
        <v/>
      </c>
      <c r="U1945" s="49">
        <f>MONTH(C1945)</f>
        <v/>
      </c>
      <c r="V1945" s="26" t="n">
        <v>2025</v>
      </c>
      <c r="W1945" s="91" t="n"/>
      <c r="X1945" s="91" t="n"/>
      <c r="Y1945" s="91" t="n"/>
      <c r="Z1945" s="91" t="n"/>
    </row>
    <row r="1946" ht="12.75" customHeight="1" s="117">
      <c r="A1946" s="91" t="n"/>
      <c r="B1946" s="91" t="n"/>
      <c r="C1946" s="91" t="n"/>
      <c r="D1946" s="91" t="n"/>
      <c r="E1946" s="91" t="n"/>
      <c r="F1946" s="91" t="n"/>
      <c r="G1946" s="91" t="n"/>
      <c r="H1946" s="91" t="n"/>
      <c r="I1946" s="91" t="n"/>
      <c r="J1946" s="91" t="n"/>
      <c r="K1946" s="91" t="n"/>
      <c r="L1946" s="91" t="n"/>
      <c r="M1946" s="91" t="n"/>
      <c r="N1946" s="91" t="n"/>
      <c r="O1946" s="91" t="n"/>
      <c r="P1946" s="91" t="n"/>
      <c r="Q1946" s="91" t="n"/>
      <c r="R1946" s="91" t="n"/>
      <c r="S1946" s="91" t="n"/>
      <c r="T1946" s="49">
        <f>DAY(C1946)</f>
        <v/>
      </c>
      <c r="U1946" s="49">
        <f>MONTH(C1946)</f>
        <v/>
      </c>
      <c r="V1946" s="26" t="n">
        <v>2025</v>
      </c>
      <c r="W1946" s="91" t="n"/>
      <c r="X1946" s="91" t="n"/>
      <c r="Y1946" s="91" t="n"/>
      <c r="Z1946" s="91" t="n"/>
    </row>
    <row r="1947" ht="12.75" customHeight="1" s="117">
      <c r="A1947" s="91" t="n"/>
      <c r="B1947" s="91" t="n"/>
      <c r="C1947" s="91" t="n"/>
      <c r="D1947" s="91" t="n"/>
      <c r="E1947" s="91" t="n"/>
      <c r="F1947" s="91" t="n"/>
      <c r="G1947" s="91" t="n"/>
      <c r="H1947" s="91" t="n"/>
      <c r="I1947" s="91" t="n"/>
      <c r="J1947" s="91" t="n"/>
      <c r="K1947" s="91" t="n"/>
      <c r="L1947" s="91" t="n"/>
      <c r="M1947" s="91" t="n"/>
      <c r="N1947" s="91" t="n"/>
      <c r="O1947" s="91" t="n"/>
      <c r="P1947" s="91" t="n"/>
      <c r="Q1947" s="91" t="n"/>
      <c r="R1947" s="91" t="n"/>
      <c r="S1947" s="91" t="n"/>
      <c r="T1947" s="49">
        <f>DAY(C1947)</f>
        <v/>
      </c>
      <c r="U1947" s="49">
        <f>MONTH(C1947)</f>
        <v/>
      </c>
      <c r="V1947" s="26" t="n">
        <v>2025</v>
      </c>
      <c r="W1947" s="91" t="n"/>
      <c r="X1947" s="91" t="n"/>
      <c r="Y1947" s="91" t="n"/>
      <c r="Z1947" s="91" t="n"/>
    </row>
    <row r="1948" ht="12.75" customHeight="1" s="117">
      <c r="A1948" s="91" t="n"/>
      <c r="B1948" s="91" t="n"/>
      <c r="C1948" s="91" t="n"/>
      <c r="D1948" s="91" t="n"/>
      <c r="E1948" s="91" t="n"/>
      <c r="F1948" s="91" t="n"/>
      <c r="G1948" s="91" t="n"/>
      <c r="H1948" s="91" t="n"/>
      <c r="I1948" s="91" t="n"/>
      <c r="J1948" s="91" t="n"/>
      <c r="K1948" s="91" t="n"/>
      <c r="L1948" s="91" t="n"/>
      <c r="M1948" s="91" t="n"/>
      <c r="N1948" s="91" t="n"/>
      <c r="O1948" s="91" t="n"/>
      <c r="P1948" s="91" t="n"/>
      <c r="Q1948" s="91" t="n"/>
      <c r="R1948" s="91" t="n"/>
      <c r="S1948" s="91" t="n"/>
      <c r="T1948" s="49">
        <f>DAY(C1948)</f>
        <v/>
      </c>
      <c r="U1948" s="49">
        <f>MONTH(C1948)</f>
        <v/>
      </c>
      <c r="V1948" s="26" t="n">
        <v>2025</v>
      </c>
      <c r="W1948" s="91" t="n"/>
      <c r="X1948" s="91" t="n"/>
      <c r="Y1948" s="91" t="n"/>
      <c r="Z1948" s="91" t="n"/>
    </row>
    <row r="1949" ht="12.75" customHeight="1" s="117">
      <c r="A1949" s="91" t="n"/>
      <c r="B1949" s="91" t="n"/>
      <c r="C1949" s="91" t="n"/>
      <c r="D1949" s="91" t="n"/>
      <c r="E1949" s="91" t="n"/>
      <c r="F1949" s="91" t="n"/>
      <c r="G1949" s="91" t="n"/>
      <c r="H1949" s="91" t="n"/>
      <c r="I1949" s="91" t="n"/>
      <c r="J1949" s="91" t="n"/>
      <c r="K1949" s="91" t="n"/>
      <c r="L1949" s="91" t="n"/>
      <c r="M1949" s="91" t="n"/>
      <c r="N1949" s="91" t="n"/>
      <c r="O1949" s="91" t="n"/>
      <c r="P1949" s="91" t="n"/>
      <c r="Q1949" s="91" t="n"/>
      <c r="R1949" s="91" t="n"/>
      <c r="S1949" s="91" t="n"/>
      <c r="T1949" s="49">
        <f>DAY(C1949)</f>
        <v/>
      </c>
      <c r="U1949" s="49">
        <f>MONTH(C1949)</f>
        <v/>
      </c>
      <c r="V1949" s="26" t="n">
        <v>2025</v>
      </c>
      <c r="W1949" s="91" t="n"/>
      <c r="X1949" s="91" t="n"/>
      <c r="Y1949" s="91" t="n"/>
      <c r="Z1949" s="91" t="n"/>
    </row>
    <row r="1950" ht="12.75" customHeight="1" s="117">
      <c r="A1950" s="91" t="n"/>
      <c r="B1950" s="91" t="n"/>
      <c r="C1950" s="91" t="n"/>
      <c r="D1950" s="91" t="n"/>
      <c r="E1950" s="91" t="n"/>
      <c r="F1950" s="91" t="n"/>
      <c r="G1950" s="91" t="n"/>
      <c r="H1950" s="91" t="n"/>
      <c r="I1950" s="91" t="n"/>
      <c r="J1950" s="91" t="n"/>
      <c r="K1950" s="91" t="n"/>
      <c r="L1950" s="91" t="n"/>
      <c r="M1950" s="91" t="n"/>
      <c r="N1950" s="91" t="n"/>
      <c r="O1950" s="91" t="n"/>
      <c r="P1950" s="91" t="n"/>
      <c r="Q1950" s="91" t="n"/>
      <c r="R1950" s="91" t="n"/>
      <c r="S1950" s="91" t="n"/>
      <c r="T1950" s="49">
        <f>DAY(C1950)</f>
        <v/>
      </c>
      <c r="U1950" s="49">
        <f>MONTH(C1950)</f>
        <v/>
      </c>
      <c r="V1950" s="26" t="n">
        <v>2025</v>
      </c>
      <c r="W1950" s="91" t="n"/>
      <c r="X1950" s="91" t="n"/>
      <c r="Y1950" s="91" t="n"/>
      <c r="Z1950" s="91" t="n"/>
    </row>
    <row r="1951" ht="12.75" customHeight="1" s="117">
      <c r="A1951" s="91" t="n"/>
      <c r="B1951" s="91" t="n"/>
      <c r="C1951" s="91" t="n"/>
      <c r="D1951" s="91" t="n"/>
      <c r="E1951" s="91" t="n"/>
      <c r="F1951" s="91" t="n"/>
      <c r="G1951" s="91" t="n"/>
      <c r="H1951" s="91" t="n"/>
      <c r="I1951" s="91" t="n"/>
      <c r="J1951" s="91" t="n"/>
      <c r="K1951" s="91" t="n"/>
      <c r="L1951" s="91" t="n"/>
      <c r="M1951" s="91" t="n"/>
      <c r="N1951" s="91" t="n"/>
      <c r="O1951" s="91" t="n"/>
      <c r="P1951" s="91" t="n"/>
      <c r="Q1951" s="91" t="n"/>
      <c r="R1951" s="91" t="n"/>
      <c r="S1951" s="91" t="n"/>
      <c r="T1951" s="49">
        <f>DAY(C1951)</f>
        <v/>
      </c>
      <c r="U1951" s="49">
        <f>MONTH(C1951)</f>
        <v/>
      </c>
      <c r="V1951" s="26" t="n">
        <v>2025</v>
      </c>
      <c r="W1951" s="91" t="n"/>
      <c r="X1951" s="91" t="n"/>
      <c r="Y1951" s="91" t="n"/>
      <c r="Z1951" s="91" t="n"/>
    </row>
    <row r="1952" ht="12.75" customHeight="1" s="117">
      <c r="A1952" s="91" t="n"/>
      <c r="B1952" s="91" t="n"/>
      <c r="C1952" s="91" t="n"/>
      <c r="D1952" s="91" t="n"/>
      <c r="E1952" s="91" t="n"/>
      <c r="F1952" s="91" t="n"/>
      <c r="G1952" s="91" t="n"/>
      <c r="H1952" s="91" t="n"/>
      <c r="I1952" s="91" t="n"/>
      <c r="J1952" s="91" t="n"/>
      <c r="K1952" s="91" t="n"/>
      <c r="L1952" s="91" t="n"/>
      <c r="M1952" s="91" t="n"/>
      <c r="N1952" s="91" t="n"/>
      <c r="O1952" s="91" t="n"/>
      <c r="P1952" s="91" t="n"/>
      <c r="Q1952" s="91" t="n"/>
      <c r="R1952" s="91" t="n"/>
      <c r="S1952" s="91" t="n"/>
      <c r="T1952" s="49">
        <f>DAY(C1952)</f>
        <v/>
      </c>
      <c r="U1952" s="49">
        <f>MONTH(C1952)</f>
        <v/>
      </c>
      <c r="V1952" s="26" t="n">
        <v>2025</v>
      </c>
      <c r="W1952" s="91" t="n"/>
      <c r="X1952" s="91" t="n"/>
      <c r="Y1952" s="91" t="n"/>
      <c r="Z1952" s="91" t="n"/>
    </row>
    <row r="1953" ht="12.75" customHeight="1" s="117">
      <c r="A1953" s="91" t="n"/>
      <c r="B1953" s="91" t="n"/>
      <c r="C1953" s="91" t="n"/>
      <c r="D1953" s="91" t="n"/>
      <c r="E1953" s="91" t="n"/>
      <c r="F1953" s="91" t="n"/>
      <c r="G1953" s="91" t="n"/>
      <c r="H1953" s="91" t="n"/>
      <c r="I1953" s="91" t="n"/>
      <c r="J1953" s="91" t="n"/>
      <c r="K1953" s="91" t="n"/>
      <c r="L1953" s="91" t="n"/>
      <c r="M1953" s="91" t="n"/>
      <c r="N1953" s="91" t="n"/>
      <c r="O1953" s="91" t="n"/>
      <c r="P1953" s="91" t="n"/>
      <c r="Q1953" s="91" t="n"/>
      <c r="R1953" s="91" t="n"/>
      <c r="S1953" s="91" t="n"/>
      <c r="T1953" s="49">
        <f>DAY(C1953)</f>
        <v/>
      </c>
      <c r="U1953" s="49">
        <f>MONTH(C1953)</f>
        <v/>
      </c>
      <c r="V1953" s="26" t="n">
        <v>2025</v>
      </c>
      <c r="W1953" s="91" t="n"/>
      <c r="X1953" s="91" t="n"/>
      <c r="Y1953" s="91" t="n"/>
      <c r="Z1953" s="91" t="n"/>
    </row>
    <row r="1954" ht="12.75" customHeight="1" s="117">
      <c r="A1954" s="91" t="n"/>
      <c r="B1954" s="91" t="n"/>
      <c r="C1954" s="91" t="n"/>
      <c r="D1954" s="91" t="n"/>
      <c r="E1954" s="91" t="n"/>
      <c r="F1954" s="91" t="n"/>
      <c r="G1954" s="91" t="n"/>
      <c r="H1954" s="91" t="n"/>
      <c r="I1954" s="91" t="n"/>
      <c r="J1954" s="91" t="n"/>
      <c r="K1954" s="91" t="n"/>
      <c r="L1954" s="91" t="n"/>
      <c r="M1954" s="91" t="n"/>
      <c r="N1954" s="91" t="n"/>
      <c r="O1954" s="91" t="n"/>
      <c r="P1954" s="91" t="n"/>
      <c r="Q1954" s="91" t="n"/>
      <c r="R1954" s="91" t="n"/>
      <c r="S1954" s="91" t="n"/>
      <c r="T1954" s="49">
        <f>DAY(C1954)</f>
        <v/>
      </c>
      <c r="U1954" s="49">
        <f>MONTH(C1954)</f>
        <v/>
      </c>
      <c r="V1954" s="26" t="n">
        <v>2025</v>
      </c>
      <c r="W1954" s="91" t="n"/>
      <c r="X1954" s="91" t="n"/>
      <c r="Y1954" s="91" t="n"/>
      <c r="Z1954" s="91" t="n"/>
    </row>
    <row r="1955" ht="12.75" customHeight="1" s="117">
      <c r="A1955" s="91" t="n"/>
      <c r="B1955" s="91" t="n"/>
      <c r="C1955" s="91" t="n"/>
      <c r="D1955" s="91" t="n"/>
      <c r="E1955" s="91" t="n"/>
      <c r="F1955" s="91" t="n"/>
      <c r="G1955" s="91" t="n"/>
      <c r="H1955" s="91" t="n"/>
      <c r="I1955" s="91" t="n"/>
      <c r="J1955" s="91" t="n"/>
      <c r="K1955" s="91" t="n"/>
      <c r="L1955" s="91" t="n"/>
      <c r="M1955" s="91" t="n"/>
      <c r="N1955" s="91" t="n"/>
      <c r="O1955" s="91" t="n"/>
      <c r="P1955" s="91" t="n"/>
      <c r="Q1955" s="91" t="n"/>
      <c r="R1955" s="91" t="n"/>
      <c r="S1955" s="91" t="n"/>
      <c r="T1955" s="49">
        <f>DAY(C1955)</f>
        <v/>
      </c>
      <c r="U1955" s="49">
        <f>MONTH(C1955)</f>
        <v/>
      </c>
      <c r="V1955" s="26" t="n">
        <v>2025</v>
      </c>
      <c r="W1955" s="91" t="n"/>
      <c r="X1955" s="91" t="n"/>
      <c r="Y1955" s="91" t="n"/>
      <c r="Z1955" s="91" t="n"/>
    </row>
    <row r="1956" ht="12.75" customHeight="1" s="117">
      <c r="A1956" s="91" t="n"/>
      <c r="B1956" s="91" t="n"/>
      <c r="C1956" s="91" t="n"/>
      <c r="D1956" s="91" t="n"/>
      <c r="E1956" s="91" t="n"/>
      <c r="F1956" s="91" t="n"/>
      <c r="G1956" s="91" t="n"/>
      <c r="H1956" s="91" t="n"/>
      <c r="I1956" s="91" t="n"/>
      <c r="J1956" s="91" t="n"/>
      <c r="K1956" s="91" t="n"/>
      <c r="L1956" s="91" t="n"/>
      <c r="M1956" s="91" t="n"/>
      <c r="N1956" s="91" t="n"/>
      <c r="O1956" s="91" t="n"/>
      <c r="P1956" s="91" t="n"/>
      <c r="Q1956" s="91" t="n"/>
      <c r="R1956" s="91" t="n"/>
      <c r="S1956" s="91" t="n"/>
      <c r="T1956" s="49">
        <f>DAY(C1956)</f>
        <v/>
      </c>
      <c r="U1956" s="49">
        <f>MONTH(C1956)</f>
        <v/>
      </c>
      <c r="V1956" s="26" t="n">
        <v>2025</v>
      </c>
      <c r="W1956" s="91" t="n"/>
      <c r="X1956" s="91" t="n"/>
      <c r="Y1956" s="91" t="n"/>
      <c r="Z1956" s="91" t="n"/>
    </row>
    <row r="1957" ht="12.75" customHeight="1" s="117">
      <c r="A1957" s="91" t="n"/>
      <c r="B1957" s="91" t="n"/>
      <c r="C1957" s="91" t="n"/>
      <c r="D1957" s="91" t="n"/>
      <c r="E1957" s="91" t="n"/>
      <c r="F1957" s="91" t="n"/>
      <c r="G1957" s="91" t="n"/>
      <c r="H1957" s="91" t="n"/>
      <c r="I1957" s="91" t="n"/>
      <c r="J1957" s="91" t="n"/>
      <c r="K1957" s="91" t="n"/>
      <c r="L1957" s="91" t="n"/>
      <c r="M1957" s="91" t="n"/>
      <c r="N1957" s="91" t="n"/>
      <c r="O1957" s="91" t="n"/>
      <c r="P1957" s="91" t="n"/>
      <c r="Q1957" s="91" t="n"/>
      <c r="R1957" s="91" t="n"/>
      <c r="S1957" s="91" t="n"/>
      <c r="T1957" s="49">
        <f>DAY(C1957)</f>
        <v/>
      </c>
      <c r="U1957" s="49">
        <f>MONTH(C1957)</f>
        <v/>
      </c>
      <c r="V1957" s="26" t="n">
        <v>2025</v>
      </c>
      <c r="W1957" s="91" t="n"/>
      <c r="X1957" s="91" t="n"/>
      <c r="Y1957" s="91" t="n"/>
      <c r="Z1957" s="91" t="n"/>
    </row>
    <row r="1958" ht="12.75" customHeight="1" s="117">
      <c r="A1958" s="91" t="n"/>
      <c r="B1958" s="91" t="n"/>
      <c r="C1958" s="91" t="n"/>
      <c r="D1958" s="91" t="n"/>
      <c r="E1958" s="91" t="n"/>
      <c r="F1958" s="91" t="n"/>
      <c r="G1958" s="91" t="n"/>
      <c r="H1958" s="91" t="n"/>
      <c r="I1958" s="91" t="n"/>
      <c r="J1958" s="91" t="n"/>
      <c r="K1958" s="91" t="n"/>
      <c r="L1958" s="91" t="n"/>
      <c r="M1958" s="91" t="n"/>
      <c r="N1958" s="91" t="n"/>
      <c r="O1958" s="91" t="n"/>
      <c r="P1958" s="91" t="n"/>
      <c r="Q1958" s="91" t="n"/>
      <c r="R1958" s="91" t="n"/>
      <c r="S1958" s="91" t="n"/>
      <c r="T1958" s="49">
        <f>DAY(C1958)</f>
        <v/>
      </c>
      <c r="U1958" s="49">
        <f>MONTH(C1958)</f>
        <v/>
      </c>
      <c r="V1958" s="26" t="n">
        <v>2025</v>
      </c>
      <c r="W1958" s="91" t="n"/>
      <c r="X1958" s="91" t="n"/>
      <c r="Y1958" s="91" t="n"/>
      <c r="Z1958" s="91" t="n"/>
    </row>
    <row r="1959" ht="12.75" customHeight="1" s="117">
      <c r="A1959" s="91" t="n"/>
      <c r="B1959" s="91" t="n"/>
      <c r="C1959" s="91" t="n"/>
      <c r="D1959" s="91" t="n"/>
      <c r="E1959" s="91" t="n"/>
      <c r="F1959" s="91" t="n"/>
      <c r="G1959" s="91" t="n"/>
      <c r="H1959" s="91" t="n"/>
      <c r="I1959" s="91" t="n"/>
      <c r="J1959" s="91" t="n"/>
      <c r="K1959" s="91" t="n"/>
      <c r="L1959" s="91" t="n"/>
      <c r="M1959" s="91" t="n"/>
      <c r="N1959" s="91" t="n"/>
      <c r="O1959" s="91" t="n"/>
      <c r="P1959" s="91" t="n"/>
      <c r="Q1959" s="91" t="n"/>
      <c r="R1959" s="91" t="n"/>
      <c r="S1959" s="91" t="n"/>
      <c r="T1959" s="49">
        <f>DAY(C1959)</f>
        <v/>
      </c>
      <c r="U1959" s="49">
        <f>MONTH(C1959)</f>
        <v/>
      </c>
      <c r="V1959" s="26" t="n">
        <v>2025</v>
      </c>
      <c r="W1959" s="91" t="n"/>
      <c r="X1959" s="91" t="n"/>
      <c r="Y1959" s="91" t="n"/>
      <c r="Z1959" s="91" t="n"/>
    </row>
    <row r="1960" ht="12.75" customHeight="1" s="117">
      <c r="A1960" s="91" t="n"/>
      <c r="B1960" s="91" t="n"/>
      <c r="C1960" s="91" t="n"/>
      <c r="D1960" s="91" t="n"/>
      <c r="E1960" s="91" t="n"/>
      <c r="F1960" s="91" t="n"/>
      <c r="G1960" s="91" t="n"/>
      <c r="H1960" s="91" t="n"/>
      <c r="I1960" s="91" t="n"/>
      <c r="J1960" s="91" t="n"/>
      <c r="K1960" s="91" t="n"/>
      <c r="L1960" s="91" t="n"/>
      <c r="M1960" s="91" t="n"/>
      <c r="N1960" s="91" t="n"/>
      <c r="O1960" s="91" t="n"/>
      <c r="P1960" s="91" t="n"/>
      <c r="Q1960" s="91" t="n"/>
      <c r="R1960" s="91" t="n"/>
      <c r="S1960" s="91" t="n"/>
      <c r="T1960" s="49">
        <f>DAY(C1960)</f>
        <v/>
      </c>
      <c r="U1960" s="49">
        <f>MONTH(C1960)</f>
        <v/>
      </c>
      <c r="V1960" s="26" t="n">
        <v>2025</v>
      </c>
      <c r="W1960" s="91" t="n"/>
      <c r="X1960" s="91" t="n"/>
      <c r="Y1960" s="91" t="n"/>
      <c r="Z1960" s="91" t="n"/>
    </row>
    <row r="1961" ht="12.75" customHeight="1" s="117">
      <c r="A1961" s="91" t="n"/>
      <c r="B1961" s="91" t="n"/>
      <c r="C1961" s="91" t="n"/>
      <c r="D1961" s="91" t="n"/>
      <c r="E1961" s="91" t="n"/>
      <c r="F1961" s="91" t="n"/>
      <c r="G1961" s="91" t="n"/>
      <c r="H1961" s="91" t="n"/>
      <c r="I1961" s="91" t="n"/>
      <c r="J1961" s="91" t="n"/>
      <c r="K1961" s="91" t="n"/>
      <c r="L1961" s="91" t="n"/>
      <c r="M1961" s="91" t="n"/>
      <c r="N1961" s="91" t="n"/>
      <c r="O1961" s="91" t="n"/>
      <c r="P1961" s="91" t="n"/>
      <c r="Q1961" s="91" t="n"/>
      <c r="R1961" s="91" t="n"/>
      <c r="S1961" s="91" t="n"/>
      <c r="T1961" s="49">
        <f>DAY(C1961)</f>
        <v/>
      </c>
      <c r="U1961" s="49">
        <f>MONTH(C1961)</f>
        <v/>
      </c>
      <c r="V1961" s="26" t="n">
        <v>2025</v>
      </c>
      <c r="W1961" s="91" t="n"/>
      <c r="X1961" s="91" t="n"/>
      <c r="Y1961" s="91" t="n"/>
      <c r="Z1961" s="91" t="n"/>
    </row>
    <row r="1962" ht="12.75" customHeight="1" s="117">
      <c r="A1962" s="91" t="n"/>
      <c r="B1962" s="91" t="n"/>
      <c r="C1962" s="91" t="n"/>
      <c r="D1962" s="91" t="n"/>
      <c r="E1962" s="91" t="n"/>
      <c r="F1962" s="91" t="n"/>
      <c r="G1962" s="91" t="n"/>
      <c r="H1962" s="91" t="n"/>
      <c r="I1962" s="91" t="n"/>
      <c r="J1962" s="91" t="n"/>
      <c r="K1962" s="91" t="n"/>
      <c r="L1962" s="91" t="n"/>
      <c r="M1962" s="91" t="n"/>
      <c r="N1962" s="91" t="n"/>
      <c r="O1962" s="91" t="n"/>
      <c r="P1962" s="91" t="n"/>
      <c r="Q1962" s="91" t="n"/>
      <c r="R1962" s="91" t="n"/>
      <c r="S1962" s="91" t="n"/>
      <c r="T1962" s="49">
        <f>DAY(C1962)</f>
        <v/>
      </c>
      <c r="U1962" s="49">
        <f>MONTH(C1962)</f>
        <v/>
      </c>
      <c r="V1962" s="26" t="n">
        <v>2025</v>
      </c>
      <c r="W1962" s="91" t="n"/>
      <c r="X1962" s="91" t="n"/>
      <c r="Y1962" s="91" t="n"/>
      <c r="Z1962" s="91" t="n"/>
    </row>
    <row r="1963" ht="12.75" customHeight="1" s="117">
      <c r="A1963" s="91" t="n"/>
      <c r="B1963" s="91" t="n"/>
      <c r="C1963" s="91" t="n"/>
      <c r="D1963" s="91" t="n"/>
      <c r="E1963" s="91" t="n"/>
      <c r="F1963" s="91" t="n"/>
      <c r="G1963" s="91" t="n"/>
      <c r="H1963" s="91" t="n"/>
      <c r="I1963" s="91" t="n"/>
      <c r="J1963" s="91" t="n"/>
      <c r="K1963" s="91" t="n"/>
      <c r="L1963" s="91" t="n"/>
      <c r="M1963" s="91" t="n"/>
      <c r="N1963" s="91" t="n"/>
      <c r="O1963" s="91" t="n"/>
      <c r="P1963" s="91" t="n"/>
      <c r="Q1963" s="91" t="n"/>
      <c r="R1963" s="91" t="n"/>
      <c r="S1963" s="91" t="n"/>
      <c r="T1963" s="49">
        <f>DAY(C1963)</f>
        <v/>
      </c>
      <c r="U1963" s="49">
        <f>MONTH(C1963)</f>
        <v/>
      </c>
      <c r="V1963" s="26" t="n">
        <v>2025</v>
      </c>
      <c r="W1963" s="91" t="n"/>
      <c r="X1963" s="91" t="n"/>
      <c r="Y1963" s="91" t="n"/>
      <c r="Z1963" s="91" t="n"/>
    </row>
    <row r="1964" ht="12.75" customHeight="1" s="117">
      <c r="A1964" s="91" t="n"/>
      <c r="B1964" s="91" t="n"/>
      <c r="C1964" s="91" t="n"/>
      <c r="D1964" s="91" t="n"/>
      <c r="E1964" s="91" t="n"/>
      <c r="F1964" s="91" t="n"/>
      <c r="G1964" s="91" t="n"/>
      <c r="H1964" s="91" t="n"/>
      <c r="I1964" s="91" t="n"/>
      <c r="J1964" s="91" t="n"/>
      <c r="K1964" s="91" t="n"/>
      <c r="L1964" s="91" t="n"/>
      <c r="M1964" s="91" t="n"/>
      <c r="N1964" s="91" t="n"/>
      <c r="O1964" s="91" t="n"/>
      <c r="P1964" s="91" t="n"/>
      <c r="Q1964" s="91" t="n"/>
      <c r="R1964" s="91" t="n"/>
      <c r="S1964" s="91" t="n"/>
      <c r="T1964" s="49">
        <f>DAY(C1964)</f>
        <v/>
      </c>
      <c r="U1964" s="49">
        <f>MONTH(C1964)</f>
        <v/>
      </c>
      <c r="V1964" s="26" t="n">
        <v>2025</v>
      </c>
      <c r="W1964" s="91" t="n"/>
      <c r="X1964" s="91" t="n"/>
      <c r="Y1964" s="91" t="n"/>
      <c r="Z1964" s="91" t="n"/>
    </row>
    <row r="1965" ht="12.75" customHeight="1" s="117">
      <c r="A1965" s="91" t="n"/>
      <c r="B1965" s="91" t="n"/>
      <c r="C1965" s="91" t="n"/>
      <c r="D1965" s="91" t="n"/>
      <c r="E1965" s="91" t="n"/>
      <c r="F1965" s="91" t="n"/>
      <c r="G1965" s="91" t="n"/>
      <c r="H1965" s="91" t="n"/>
      <c r="I1965" s="91" t="n"/>
      <c r="J1965" s="91" t="n"/>
      <c r="K1965" s="91" t="n"/>
      <c r="L1965" s="91" t="n"/>
      <c r="M1965" s="91" t="n"/>
      <c r="N1965" s="91" t="n"/>
      <c r="O1965" s="91" t="n"/>
      <c r="P1965" s="91" t="n"/>
      <c r="Q1965" s="91" t="n"/>
      <c r="R1965" s="91" t="n"/>
      <c r="S1965" s="91" t="n"/>
      <c r="T1965" s="49">
        <f>DAY(C1965)</f>
        <v/>
      </c>
      <c r="U1965" s="49">
        <f>MONTH(C1965)</f>
        <v/>
      </c>
      <c r="V1965" s="26" t="n">
        <v>2025</v>
      </c>
      <c r="W1965" s="91" t="n"/>
      <c r="X1965" s="91" t="n"/>
      <c r="Y1965" s="91" t="n"/>
      <c r="Z1965" s="91" t="n"/>
    </row>
    <row r="1966" ht="12.75" customHeight="1" s="117">
      <c r="A1966" s="91" t="n"/>
      <c r="B1966" s="91" t="n"/>
      <c r="C1966" s="91" t="n"/>
      <c r="D1966" s="91" t="n"/>
      <c r="E1966" s="91" t="n"/>
      <c r="F1966" s="91" t="n"/>
      <c r="G1966" s="91" t="n"/>
      <c r="H1966" s="91" t="n"/>
      <c r="I1966" s="91" t="n"/>
      <c r="J1966" s="91" t="n"/>
      <c r="K1966" s="91" t="n"/>
      <c r="L1966" s="91" t="n"/>
      <c r="M1966" s="91" t="n"/>
      <c r="N1966" s="91" t="n"/>
      <c r="O1966" s="91" t="n"/>
      <c r="P1966" s="91" t="n"/>
      <c r="Q1966" s="91" t="n"/>
      <c r="R1966" s="91" t="n"/>
      <c r="S1966" s="91" t="n"/>
      <c r="T1966" s="49">
        <f>DAY(C1966)</f>
        <v/>
      </c>
      <c r="U1966" s="49">
        <f>MONTH(C1966)</f>
        <v/>
      </c>
      <c r="V1966" s="26" t="n">
        <v>2025</v>
      </c>
      <c r="W1966" s="91" t="n"/>
      <c r="X1966" s="91" t="n"/>
      <c r="Y1966" s="91" t="n"/>
      <c r="Z1966" s="91" t="n"/>
    </row>
    <row r="1967" ht="12.75" customHeight="1" s="117">
      <c r="A1967" s="91" t="n"/>
      <c r="B1967" s="91" t="n"/>
      <c r="C1967" s="91" t="n"/>
      <c r="D1967" s="91" t="n"/>
      <c r="E1967" s="91" t="n"/>
      <c r="F1967" s="91" t="n"/>
      <c r="G1967" s="91" t="n"/>
      <c r="H1967" s="91" t="n"/>
      <c r="I1967" s="91" t="n"/>
      <c r="J1967" s="91" t="n"/>
      <c r="K1967" s="91" t="n"/>
      <c r="L1967" s="91" t="n"/>
      <c r="M1967" s="91" t="n"/>
      <c r="N1967" s="91" t="n"/>
      <c r="O1967" s="91" t="n"/>
      <c r="P1967" s="91" t="n"/>
      <c r="Q1967" s="91" t="n"/>
      <c r="R1967" s="91" t="n"/>
      <c r="S1967" s="91" t="n"/>
      <c r="T1967" s="49">
        <f>DAY(C1967)</f>
        <v/>
      </c>
      <c r="U1967" s="49">
        <f>MONTH(C1967)</f>
        <v/>
      </c>
      <c r="V1967" s="26" t="n">
        <v>2025</v>
      </c>
      <c r="W1967" s="91" t="n"/>
      <c r="X1967" s="91" t="n"/>
      <c r="Y1967" s="91" t="n"/>
      <c r="Z1967" s="91" t="n"/>
    </row>
    <row r="1968" ht="12.75" customHeight="1" s="117">
      <c r="A1968" s="91" t="n"/>
      <c r="B1968" s="91" t="n"/>
      <c r="C1968" s="91" t="n"/>
      <c r="D1968" s="91" t="n"/>
      <c r="E1968" s="91" t="n"/>
      <c r="F1968" s="91" t="n"/>
      <c r="G1968" s="91" t="n"/>
      <c r="H1968" s="91" t="n"/>
      <c r="I1968" s="91" t="n"/>
      <c r="J1968" s="91" t="n"/>
      <c r="K1968" s="91" t="n"/>
      <c r="L1968" s="91" t="n"/>
      <c r="M1968" s="91" t="n"/>
      <c r="N1968" s="91" t="n"/>
      <c r="O1968" s="91" t="n"/>
      <c r="P1968" s="91" t="n"/>
      <c r="Q1968" s="91" t="n"/>
      <c r="R1968" s="91" t="n"/>
      <c r="S1968" s="91" t="n"/>
      <c r="T1968" s="49">
        <f>DAY(C1968)</f>
        <v/>
      </c>
      <c r="U1968" s="49">
        <f>MONTH(C1968)</f>
        <v/>
      </c>
      <c r="V1968" s="26" t="n">
        <v>2025</v>
      </c>
      <c r="W1968" s="91" t="n"/>
      <c r="X1968" s="91" t="n"/>
      <c r="Y1968" s="91" t="n"/>
      <c r="Z1968" s="91" t="n"/>
    </row>
    <row r="1969" ht="12.75" customHeight="1" s="117">
      <c r="A1969" s="91" t="n"/>
      <c r="B1969" s="91" t="n"/>
      <c r="C1969" s="91" t="n"/>
      <c r="D1969" s="91" t="n"/>
      <c r="E1969" s="91" t="n"/>
      <c r="F1969" s="91" t="n"/>
      <c r="G1969" s="91" t="n"/>
      <c r="H1969" s="91" t="n"/>
      <c r="I1969" s="91" t="n"/>
      <c r="J1969" s="91" t="n"/>
      <c r="K1969" s="91" t="n"/>
      <c r="L1969" s="91" t="n"/>
      <c r="M1969" s="91" t="n"/>
      <c r="N1969" s="91" t="n"/>
      <c r="O1969" s="91" t="n"/>
      <c r="P1969" s="91" t="n"/>
      <c r="Q1969" s="91" t="n"/>
      <c r="R1969" s="91" t="n"/>
      <c r="S1969" s="91" t="n"/>
      <c r="T1969" s="49">
        <f>DAY(C1969)</f>
        <v/>
      </c>
      <c r="U1969" s="49">
        <f>MONTH(C1969)</f>
        <v/>
      </c>
      <c r="V1969" s="26" t="n">
        <v>2025</v>
      </c>
      <c r="W1969" s="91" t="n"/>
      <c r="X1969" s="91" t="n"/>
      <c r="Y1969" s="91" t="n"/>
      <c r="Z1969" s="91" t="n"/>
    </row>
    <row r="1970" ht="12.75" customHeight="1" s="117">
      <c r="A1970" s="91" t="n"/>
      <c r="B1970" s="91" t="n"/>
      <c r="C1970" s="91" t="n"/>
      <c r="D1970" s="91" t="n"/>
      <c r="E1970" s="91" t="n"/>
      <c r="F1970" s="91" t="n"/>
      <c r="G1970" s="91" t="n"/>
      <c r="H1970" s="91" t="n"/>
      <c r="I1970" s="91" t="n"/>
      <c r="J1970" s="91" t="n"/>
      <c r="K1970" s="91" t="n"/>
      <c r="L1970" s="91" t="n"/>
      <c r="M1970" s="91" t="n"/>
      <c r="N1970" s="91" t="n"/>
      <c r="O1970" s="91" t="n"/>
      <c r="P1970" s="91" t="n"/>
      <c r="Q1970" s="91" t="n"/>
      <c r="R1970" s="91" t="n"/>
      <c r="S1970" s="91" t="n"/>
      <c r="T1970" s="49">
        <f>DAY(C1970)</f>
        <v/>
      </c>
      <c r="U1970" s="49">
        <f>MONTH(C1970)</f>
        <v/>
      </c>
      <c r="V1970" s="26" t="n">
        <v>2025</v>
      </c>
      <c r="W1970" s="91" t="n"/>
      <c r="X1970" s="91" t="n"/>
      <c r="Y1970" s="91" t="n"/>
      <c r="Z1970" s="91" t="n"/>
    </row>
    <row r="1971" ht="12.75" customHeight="1" s="117">
      <c r="A1971" s="91" t="n"/>
      <c r="B1971" s="91" t="n"/>
      <c r="C1971" s="91" t="n"/>
      <c r="D1971" s="91" t="n"/>
      <c r="E1971" s="91" t="n"/>
      <c r="F1971" s="91" t="n"/>
      <c r="G1971" s="91" t="n"/>
      <c r="H1971" s="91" t="n"/>
      <c r="I1971" s="91" t="n"/>
      <c r="J1971" s="91" t="n"/>
      <c r="K1971" s="91" t="n"/>
      <c r="L1971" s="91" t="n"/>
      <c r="M1971" s="91" t="n"/>
      <c r="N1971" s="91" t="n"/>
      <c r="O1971" s="91" t="n"/>
      <c r="P1971" s="91" t="n"/>
      <c r="Q1971" s="91" t="n"/>
      <c r="R1971" s="91" t="n"/>
      <c r="S1971" s="91" t="n"/>
      <c r="T1971" s="49">
        <f>DAY(C1971)</f>
        <v/>
      </c>
      <c r="U1971" s="49">
        <f>MONTH(C1971)</f>
        <v/>
      </c>
      <c r="V1971" s="26" t="n">
        <v>2025</v>
      </c>
      <c r="W1971" s="91" t="n"/>
      <c r="X1971" s="91" t="n"/>
      <c r="Y1971" s="91" t="n"/>
      <c r="Z1971" s="91" t="n"/>
    </row>
    <row r="1972" ht="12.75" customHeight="1" s="117">
      <c r="A1972" s="91" t="n"/>
      <c r="B1972" s="91" t="n"/>
      <c r="C1972" s="91" t="n"/>
      <c r="D1972" s="91" t="n"/>
      <c r="E1972" s="91" t="n"/>
      <c r="F1972" s="91" t="n"/>
      <c r="G1972" s="91" t="n"/>
      <c r="H1972" s="91" t="n"/>
      <c r="I1972" s="91" t="n"/>
      <c r="J1972" s="91" t="n"/>
      <c r="K1972" s="91" t="n"/>
      <c r="L1972" s="91" t="n"/>
      <c r="M1972" s="91" t="n"/>
      <c r="N1972" s="91" t="n"/>
      <c r="O1972" s="91" t="n"/>
      <c r="P1972" s="91" t="n"/>
      <c r="Q1972" s="91" t="n"/>
      <c r="R1972" s="91" t="n"/>
      <c r="S1972" s="91" t="n"/>
      <c r="T1972" s="49">
        <f>DAY(C1972)</f>
        <v/>
      </c>
      <c r="U1972" s="49">
        <f>MONTH(C1972)</f>
        <v/>
      </c>
      <c r="V1972" s="26" t="n">
        <v>2025</v>
      </c>
      <c r="W1972" s="91" t="n"/>
      <c r="X1972" s="91" t="n"/>
      <c r="Y1972" s="91" t="n"/>
      <c r="Z1972" s="91" t="n"/>
    </row>
    <row r="1973" ht="12.75" customHeight="1" s="117">
      <c r="A1973" s="91" t="n"/>
      <c r="B1973" s="91" t="n"/>
      <c r="C1973" s="91" t="n"/>
      <c r="D1973" s="91" t="n"/>
      <c r="E1973" s="91" t="n"/>
      <c r="F1973" s="91" t="n"/>
      <c r="G1973" s="91" t="n"/>
      <c r="H1973" s="91" t="n"/>
      <c r="I1973" s="91" t="n"/>
      <c r="J1973" s="91" t="n"/>
      <c r="K1973" s="91" t="n"/>
      <c r="L1973" s="91" t="n"/>
      <c r="M1973" s="91" t="n"/>
      <c r="N1973" s="91" t="n"/>
      <c r="O1973" s="91" t="n"/>
      <c r="P1973" s="91" t="n"/>
      <c r="Q1973" s="91" t="n"/>
      <c r="R1973" s="91" t="n"/>
      <c r="S1973" s="91" t="n"/>
      <c r="T1973" s="49">
        <f>DAY(C1973)</f>
        <v/>
      </c>
      <c r="U1973" s="49">
        <f>MONTH(C1973)</f>
        <v/>
      </c>
      <c r="V1973" s="26" t="n">
        <v>2025</v>
      </c>
      <c r="W1973" s="91" t="n"/>
      <c r="X1973" s="91" t="n"/>
      <c r="Y1973" s="91" t="n"/>
      <c r="Z1973" s="91" t="n"/>
    </row>
    <row r="1974" ht="12.75" customHeight="1" s="117">
      <c r="A1974" s="91" t="n"/>
      <c r="B1974" s="91" t="n"/>
      <c r="C1974" s="91" t="n"/>
      <c r="D1974" s="91" t="n"/>
      <c r="E1974" s="91" t="n"/>
      <c r="F1974" s="91" t="n"/>
      <c r="G1974" s="91" t="n"/>
      <c r="H1974" s="91" t="n"/>
      <c r="I1974" s="91" t="n"/>
      <c r="J1974" s="91" t="n"/>
      <c r="K1974" s="91" t="n"/>
      <c r="L1974" s="91" t="n"/>
      <c r="M1974" s="91" t="n"/>
      <c r="N1974" s="91" t="n"/>
      <c r="O1974" s="91" t="n"/>
      <c r="P1974" s="91" t="n"/>
      <c r="Q1974" s="91" t="n"/>
      <c r="R1974" s="91" t="n"/>
      <c r="S1974" s="91" t="n"/>
      <c r="T1974" s="49">
        <f>DAY(C1974)</f>
        <v/>
      </c>
      <c r="U1974" s="49">
        <f>MONTH(C1974)</f>
        <v/>
      </c>
      <c r="V1974" s="26" t="n">
        <v>2025</v>
      </c>
      <c r="W1974" s="91" t="n"/>
      <c r="X1974" s="91" t="n"/>
      <c r="Y1974" s="91" t="n"/>
      <c r="Z1974" s="91" t="n"/>
    </row>
    <row r="1975" ht="12.75" customHeight="1" s="117">
      <c r="A1975" s="91" t="n"/>
      <c r="B1975" s="91" t="n"/>
      <c r="C1975" s="91" t="n"/>
      <c r="D1975" s="91" t="n"/>
      <c r="E1975" s="91" t="n"/>
      <c r="F1975" s="91" t="n"/>
      <c r="G1975" s="91" t="n"/>
      <c r="H1975" s="91" t="n"/>
      <c r="I1975" s="91" t="n"/>
      <c r="J1975" s="91" t="n"/>
      <c r="K1975" s="91" t="n"/>
      <c r="L1975" s="91" t="n"/>
      <c r="M1975" s="91" t="n"/>
      <c r="N1975" s="91" t="n"/>
      <c r="O1975" s="91" t="n"/>
      <c r="P1975" s="91" t="n"/>
      <c r="Q1975" s="91" t="n"/>
      <c r="R1975" s="91" t="n"/>
      <c r="S1975" s="91" t="n"/>
      <c r="T1975" s="49">
        <f>DAY(C1975)</f>
        <v/>
      </c>
      <c r="U1975" s="49">
        <f>MONTH(C1975)</f>
        <v/>
      </c>
      <c r="V1975" s="26" t="n">
        <v>2025</v>
      </c>
      <c r="W1975" s="91" t="n"/>
      <c r="X1975" s="91" t="n"/>
      <c r="Y1975" s="91" t="n"/>
      <c r="Z1975" s="91" t="n"/>
    </row>
    <row r="1976" ht="12.75" customHeight="1" s="117">
      <c r="A1976" s="91" t="n"/>
      <c r="B1976" s="91" t="n"/>
      <c r="C1976" s="91" t="n"/>
      <c r="D1976" s="91" t="n"/>
      <c r="E1976" s="91" t="n"/>
      <c r="F1976" s="91" t="n"/>
      <c r="G1976" s="91" t="n"/>
      <c r="H1976" s="91" t="n"/>
      <c r="I1976" s="91" t="n"/>
      <c r="J1976" s="91" t="n"/>
      <c r="K1976" s="91" t="n"/>
      <c r="L1976" s="91" t="n"/>
      <c r="M1976" s="91" t="n"/>
      <c r="N1976" s="91" t="n"/>
      <c r="O1976" s="91" t="n"/>
      <c r="P1976" s="91" t="n"/>
      <c r="Q1976" s="91" t="n"/>
      <c r="R1976" s="91" t="n"/>
      <c r="S1976" s="91" t="n"/>
      <c r="T1976" s="49">
        <f>DAY(C1976)</f>
        <v/>
      </c>
      <c r="U1976" s="49">
        <f>MONTH(C1976)</f>
        <v/>
      </c>
      <c r="V1976" s="26" t="n">
        <v>2025</v>
      </c>
      <c r="W1976" s="91" t="n"/>
      <c r="X1976" s="91" t="n"/>
      <c r="Y1976" s="91" t="n"/>
      <c r="Z1976" s="91" t="n"/>
    </row>
    <row r="1977" ht="12.75" customHeight="1" s="117">
      <c r="A1977" s="91" t="n"/>
      <c r="B1977" s="91" t="n"/>
      <c r="C1977" s="91" t="n"/>
      <c r="D1977" s="91" t="n"/>
      <c r="E1977" s="91" t="n"/>
      <c r="F1977" s="91" t="n"/>
      <c r="G1977" s="91" t="n"/>
      <c r="H1977" s="91" t="n"/>
      <c r="I1977" s="91" t="n"/>
      <c r="J1977" s="91" t="n"/>
      <c r="K1977" s="91" t="n"/>
      <c r="L1977" s="91" t="n"/>
      <c r="M1977" s="91" t="n"/>
      <c r="N1977" s="91" t="n"/>
      <c r="O1977" s="91" t="n"/>
      <c r="P1977" s="91" t="n"/>
      <c r="Q1977" s="91" t="n"/>
      <c r="R1977" s="91" t="n"/>
      <c r="S1977" s="91" t="n"/>
      <c r="T1977" s="49">
        <f>DAY(C1977)</f>
        <v/>
      </c>
      <c r="U1977" s="49">
        <f>MONTH(C1977)</f>
        <v/>
      </c>
      <c r="V1977" s="26" t="n">
        <v>2025</v>
      </c>
      <c r="W1977" s="91" t="n"/>
      <c r="X1977" s="91" t="n"/>
      <c r="Y1977" s="91" t="n"/>
      <c r="Z1977" s="91" t="n"/>
    </row>
    <row r="1978" ht="12.75" customHeight="1" s="117">
      <c r="A1978" s="91" t="n"/>
      <c r="B1978" s="91" t="n"/>
      <c r="C1978" s="91" t="n"/>
      <c r="D1978" s="91" t="n"/>
      <c r="E1978" s="91" t="n"/>
      <c r="F1978" s="91" t="n"/>
      <c r="G1978" s="91" t="n"/>
      <c r="H1978" s="91" t="n"/>
      <c r="I1978" s="91" t="n"/>
      <c r="J1978" s="91" t="n"/>
      <c r="K1978" s="91" t="n"/>
      <c r="L1978" s="91" t="n"/>
      <c r="M1978" s="91" t="n"/>
      <c r="N1978" s="91" t="n"/>
      <c r="O1978" s="91" t="n"/>
      <c r="P1978" s="91" t="n"/>
      <c r="Q1978" s="91" t="n"/>
      <c r="R1978" s="91" t="n"/>
      <c r="S1978" s="91" t="n"/>
      <c r="T1978" s="49">
        <f>DAY(C1978)</f>
        <v/>
      </c>
      <c r="U1978" s="49">
        <f>MONTH(C1978)</f>
        <v/>
      </c>
      <c r="V1978" s="26" t="n">
        <v>2025</v>
      </c>
      <c r="W1978" s="91" t="n"/>
      <c r="X1978" s="91" t="n"/>
      <c r="Y1978" s="91" t="n"/>
      <c r="Z1978" s="91" t="n"/>
    </row>
    <row r="1979" ht="12.75" customHeight="1" s="117">
      <c r="A1979" s="91" t="n"/>
      <c r="B1979" s="91" t="n"/>
      <c r="C1979" s="91" t="n"/>
      <c r="D1979" s="91" t="n"/>
      <c r="E1979" s="91" t="n"/>
      <c r="F1979" s="91" t="n"/>
      <c r="G1979" s="91" t="n"/>
      <c r="H1979" s="91" t="n"/>
      <c r="I1979" s="91" t="n"/>
      <c r="J1979" s="91" t="n"/>
      <c r="K1979" s="91" t="n"/>
      <c r="L1979" s="91" t="n"/>
      <c r="M1979" s="91" t="n"/>
      <c r="N1979" s="91" t="n"/>
      <c r="O1979" s="91" t="n"/>
      <c r="P1979" s="91" t="n"/>
      <c r="Q1979" s="91" t="n"/>
      <c r="R1979" s="91" t="n"/>
      <c r="S1979" s="91" t="n"/>
      <c r="T1979" s="49">
        <f>DAY(C1979)</f>
        <v/>
      </c>
      <c r="U1979" s="49">
        <f>MONTH(C1979)</f>
        <v/>
      </c>
      <c r="V1979" s="26" t="n">
        <v>2025</v>
      </c>
      <c r="W1979" s="91" t="n"/>
      <c r="X1979" s="91" t="n"/>
      <c r="Y1979" s="91" t="n"/>
      <c r="Z1979" s="91" t="n"/>
    </row>
    <row r="1980" ht="12.75" customHeight="1" s="117">
      <c r="A1980" s="91" t="n"/>
      <c r="B1980" s="91" t="n"/>
      <c r="C1980" s="91" t="n"/>
      <c r="D1980" s="91" t="n"/>
      <c r="E1980" s="91" t="n"/>
      <c r="F1980" s="91" t="n"/>
      <c r="G1980" s="91" t="n"/>
      <c r="H1980" s="91" t="n"/>
      <c r="I1980" s="91" t="n"/>
      <c r="J1980" s="91" t="n"/>
      <c r="K1980" s="91" t="n"/>
      <c r="L1980" s="91" t="n"/>
      <c r="M1980" s="91" t="n"/>
      <c r="N1980" s="91" t="n"/>
      <c r="O1980" s="91" t="n"/>
      <c r="P1980" s="91" t="n"/>
      <c r="Q1980" s="91" t="n"/>
      <c r="R1980" s="91" t="n"/>
      <c r="S1980" s="91" t="n"/>
      <c r="T1980" s="49">
        <f>DAY(C1980)</f>
        <v/>
      </c>
      <c r="U1980" s="49">
        <f>MONTH(C1980)</f>
        <v/>
      </c>
      <c r="V1980" s="26" t="n">
        <v>2025</v>
      </c>
      <c r="W1980" s="91" t="n"/>
      <c r="X1980" s="91" t="n"/>
      <c r="Y1980" s="91" t="n"/>
      <c r="Z1980" s="91" t="n"/>
    </row>
    <row r="1981" ht="12.75" customHeight="1" s="117">
      <c r="A1981" s="91" t="n"/>
      <c r="B1981" s="91" t="n"/>
      <c r="C1981" s="91" t="n"/>
      <c r="D1981" s="91" t="n"/>
      <c r="E1981" s="91" t="n"/>
      <c r="F1981" s="91" t="n"/>
      <c r="G1981" s="91" t="n"/>
      <c r="H1981" s="91" t="n"/>
      <c r="I1981" s="91" t="n"/>
      <c r="J1981" s="91" t="n"/>
      <c r="K1981" s="91" t="n"/>
      <c r="L1981" s="91" t="n"/>
      <c r="M1981" s="91" t="n"/>
      <c r="N1981" s="91" t="n"/>
      <c r="O1981" s="91" t="n"/>
      <c r="P1981" s="91" t="n"/>
      <c r="Q1981" s="91" t="n"/>
      <c r="R1981" s="91" t="n"/>
      <c r="S1981" s="91" t="n"/>
      <c r="T1981" s="49">
        <f>DAY(C1981)</f>
        <v/>
      </c>
      <c r="U1981" s="49">
        <f>MONTH(C1981)</f>
        <v/>
      </c>
      <c r="V1981" s="26" t="n">
        <v>2025</v>
      </c>
      <c r="W1981" s="91" t="n"/>
      <c r="X1981" s="91" t="n"/>
      <c r="Y1981" s="91" t="n"/>
      <c r="Z1981" s="91" t="n"/>
    </row>
    <row r="1982" ht="12.75" customHeight="1" s="117">
      <c r="A1982" s="91" t="n"/>
      <c r="B1982" s="91" t="n"/>
      <c r="C1982" s="91" t="n"/>
      <c r="D1982" s="91" t="n"/>
      <c r="E1982" s="91" t="n"/>
      <c r="F1982" s="91" t="n"/>
      <c r="G1982" s="91" t="n"/>
      <c r="H1982" s="91" t="n"/>
      <c r="I1982" s="91" t="n"/>
      <c r="J1982" s="91" t="n"/>
      <c r="K1982" s="91" t="n"/>
      <c r="L1982" s="91" t="n"/>
      <c r="M1982" s="91" t="n"/>
      <c r="N1982" s="91" t="n"/>
      <c r="O1982" s="91" t="n"/>
      <c r="P1982" s="91" t="n"/>
      <c r="Q1982" s="91" t="n"/>
      <c r="R1982" s="91" t="n"/>
      <c r="S1982" s="91" t="n"/>
      <c r="T1982" s="49">
        <f>DAY(C1982)</f>
        <v/>
      </c>
      <c r="U1982" s="49">
        <f>MONTH(C1982)</f>
        <v/>
      </c>
      <c r="V1982" s="26" t="n">
        <v>2025</v>
      </c>
      <c r="W1982" s="91" t="n"/>
      <c r="X1982" s="91" t="n"/>
      <c r="Y1982" s="91" t="n"/>
      <c r="Z1982" s="91" t="n"/>
    </row>
    <row r="1983" ht="12.75" customHeight="1" s="117">
      <c r="A1983" s="91" t="n"/>
      <c r="B1983" s="91" t="n"/>
      <c r="C1983" s="91" t="n"/>
      <c r="D1983" s="91" t="n"/>
      <c r="E1983" s="91" t="n"/>
      <c r="F1983" s="91" t="n"/>
      <c r="G1983" s="91" t="n"/>
      <c r="H1983" s="91" t="n"/>
      <c r="I1983" s="91" t="n"/>
      <c r="J1983" s="91" t="n"/>
      <c r="K1983" s="91" t="n"/>
      <c r="L1983" s="91" t="n"/>
      <c r="M1983" s="91" t="n"/>
      <c r="N1983" s="91" t="n"/>
      <c r="O1983" s="91" t="n"/>
      <c r="P1983" s="91" t="n"/>
      <c r="Q1983" s="91" t="n"/>
      <c r="R1983" s="91" t="n"/>
      <c r="S1983" s="91" t="n"/>
      <c r="T1983" s="49">
        <f>DAY(C1983)</f>
        <v/>
      </c>
      <c r="U1983" s="49">
        <f>MONTH(C1983)</f>
        <v/>
      </c>
      <c r="V1983" s="26" t="n">
        <v>2025</v>
      </c>
      <c r="W1983" s="91" t="n"/>
      <c r="X1983" s="91" t="n"/>
      <c r="Y1983" s="91" t="n"/>
      <c r="Z1983" s="91" t="n"/>
    </row>
    <row r="1984" ht="12.75" customHeight="1" s="117">
      <c r="A1984" s="91" t="n"/>
      <c r="B1984" s="91" t="n"/>
      <c r="C1984" s="91" t="n"/>
      <c r="D1984" s="91" t="n"/>
      <c r="E1984" s="91" t="n"/>
      <c r="F1984" s="91" t="n"/>
      <c r="G1984" s="91" t="n"/>
      <c r="H1984" s="91" t="n"/>
      <c r="I1984" s="91" t="n"/>
      <c r="J1984" s="91" t="n"/>
      <c r="K1984" s="91" t="n"/>
      <c r="L1984" s="91" t="n"/>
      <c r="M1984" s="91" t="n"/>
      <c r="N1984" s="91" t="n"/>
      <c r="O1984" s="91" t="n"/>
      <c r="P1984" s="91" t="n"/>
      <c r="Q1984" s="91" t="n"/>
      <c r="R1984" s="91" t="n"/>
      <c r="S1984" s="91" t="n"/>
      <c r="T1984" s="49">
        <f>DAY(C1984)</f>
        <v/>
      </c>
      <c r="U1984" s="49">
        <f>MONTH(C1984)</f>
        <v/>
      </c>
      <c r="V1984" s="26" t="n">
        <v>2025</v>
      </c>
      <c r="W1984" s="91" t="n"/>
      <c r="X1984" s="91" t="n"/>
      <c r="Y1984" s="91" t="n"/>
      <c r="Z1984" s="91" t="n"/>
    </row>
    <row r="1985" ht="12.75" customHeight="1" s="117">
      <c r="A1985" s="91" t="n"/>
      <c r="B1985" s="91" t="n"/>
      <c r="C1985" s="91" t="n"/>
      <c r="D1985" s="91" t="n"/>
      <c r="E1985" s="91" t="n"/>
      <c r="F1985" s="91" t="n"/>
      <c r="G1985" s="91" t="n"/>
      <c r="H1985" s="91" t="n"/>
      <c r="I1985" s="91" t="n"/>
      <c r="J1985" s="91" t="n"/>
      <c r="K1985" s="91" t="n"/>
      <c r="L1985" s="91" t="n"/>
      <c r="M1985" s="91" t="n"/>
      <c r="N1985" s="91" t="n"/>
      <c r="O1985" s="91" t="n"/>
      <c r="P1985" s="91" t="n"/>
      <c r="Q1985" s="91" t="n"/>
      <c r="R1985" s="91" t="n"/>
      <c r="S1985" s="91" t="n"/>
      <c r="T1985" s="49">
        <f>DAY(C1985)</f>
        <v/>
      </c>
      <c r="U1985" s="49">
        <f>MONTH(C1985)</f>
        <v/>
      </c>
      <c r="V1985" s="26" t="n">
        <v>2025</v>
      </c>
      <c r="W1985" s="91" t="n"/>
      <c r="X1985" s="91" t="n"/>
      <c r="Y1985" s="91" t="n"/>
      <c r="Z1985" s="91" t="n"/>
    </row>
    <row r="1986" ht="12.75" customHeight="1" s="117">
      <c r="A1986" s="91" t="n"/>
      <c r="B1986" s="91" t="n"/>
      <c r="C1986" s="91" t="n"/>
      <c r="D1986" s="91" t="n"/>
      <c r="E1986" s="91" t="n"/>
      <c r="F1986" s="91" t="n"/>
      <c r="G1986" s="91" t="n"/>
      <c r="H1986" s="91" t="n"/>
      <c r="I1986" s="91" t="n"/>
      <c r="J1986" s="91" t="n"/>
      <c r="K1986" s="91" t="n"/>
      <c r="L1986" s="91" t="n"/>
      <c r="M1986" s="91" t="n"/>
      <c r="N1986" s="91" t="n"/>
      <c r="O1986" s="91" t="n"/>
      <c r="P1986" s="91" t="n"/>
      <c r="Q1986" s="91" t="n"/>
      <c r="R1986" s="91" t="n"/>
      <c r="S1986" s="91" t="n"/>
      <c r="T1986" s="49">
        <f>DAY(C1986)</f>
        <v/>
      </c>
      <c r="U1986" s="49">
        <f>MONTH(C1986)</f>
        <v/>
      </c>
      <c r="V1986" s="26" t="n">
        <v>2025</v>
      </c>
      <c r="W1986" s="91" t="n"/>
      <c r="X1986" s="91" t="n"/>
      <c r="Y1986" s="91" t="n"/>
      <c r="Z1986" s="91" t="n"/>
    </row>
    <row r="1987" ht="12.75" customHeight="1" s="117">
      <c r="A1987" s="91" t="n"/>
      <c r="B1987" s="91" t="n"/>
      <c r="C1987" s="91" t="n"/>
      <c r="D1987" s="91" t="n"/>
      <c r="E1987" s="91" t="n"/>
      <c r="F1987" s="91" t="n"/>
      <c r="G1987" s="91" t="n"/>
      <c r="H1987" s="91" t="n"/>
      <c r="I1987" s="91" t="n"/>
      <c r="J1987" s="91" t="n"/>
      <c r="K1987" s="91" t="n"/>
      <c r="L1987" s="91" t="n"/>
      <c r="M1987" s="91" t="n"/>
      <c r="N1987" s="91" t="n"/>
      <c r="O1987" s="91" t="n"/>
      <c r="P1987" s="91" t="n"/>
      <c r="Q1987" s="91" t="n"/>
      <c r="R1987" s="91" t="n"/>
      <c r="S1987" s="91" t="n"/>
      <c r="T1987" s="49">
        <f>DAY(C1987)</f>
        <v/>
      </c>
      <c r="U1987" s="49">
        <f>MONTH(C1987)</f>
        <v/>
      </c>
      <c r="V1987" s="26" t="n">
        <v>2025</v>
      </c>
      <c r="W1987" s="91" t="n"/>
      <c r="X1987" s="91" t="n"/>
      <c r="Y1987" s="91" t="n"/>
      <c r="Z1987" s="91" t="n"/>
    </row>
    <row r="1988" ht="12.75" customHeight="1" s="117">
      <c r="A1988" s="91" t="n"/>
      <c r="B1988" s="91" t="n"/>
      <c r="C1988" s="91" t="n"/>
      <c r="D1988" s="91" t="n"/>
      <c r="E1988" s="91" t="n"/>
      <c r="F1988" s="91" t="n"/>
      <c r="G1988" s="91" t="n"/>
      <c r="H1988" s="91" t="n"/>
      <c r="I1988" s="91" t="n"/>
      <c r="J1988" s="91" t="n"/>
      <c r="K1988" s="91" t="n"/>
      <c r="L1988" s="91" t="n"/>
      <c r="M1988" s="91" t="n"/>
      <c r="N1988" s="91" t="n"/>
      <c r="O1988" s="91" t="n"/>
      <c r="P1988" s="91" t="n"/>
      <c r="Q1988" s="91" t="n"/>
      <c r="R1988" s="91" t="n"/>
      <c r="S1988" s="91" t="n"/>
      <c r="T1988" s="49">
        <f>DAY(C1988)</f>
        <v/>
      </c>
      <c r="U1988" s="49">
        <f>MONTH(C1988)</f>
        <v/>
      </c>
      <c r="V1988" s="26" t="n">
        <v>2025</v>
      </c>
      <c r="W1988" s="91" t="n"/>
      <c r="X1988" s="91" t="n"/>
      <c r="Y1988" s="91" t="n"/>
      <c r="Z1988" s="91" t="n"/>
    </row>
    <row r="1989" ht="12.75" customHeight="1" s="117">
      <c r="A1989" s="91" t="n"/>
      <c r="B1989" s="91" t="n"/>
      <c r="C1989" s="91" t="n"/>
      <c r="D1989" s="91" t="n"/>
      <c r="E1989" s="91" t="n"/>
      <c r="F1989" s="91" t="n"/>
      <c r="G1989" s="91" t="n"/>
      <c r="H1989" s="91" t="n"/>
      <c r="I1989" s="91" t="n"/>
      <c r="J1989" s="91" t="n"/>
      <c r="K1989" s="91" t="n"/>
      <c r="L1989" s="91" t="n"/>
      <c r="M1989" s="91" t="n"/>
      <c r="N1989" s="91" t="n"/>
      <c r="O1989" s="91" t="n"/>
      <c r="P1989" s="91" t="n"/>
      <c r="Q1989" s="91" t="n"/>
      <c r="R1989" s="91" t="n"/>
      <c r="S1989" s="91" t="n"/>
      <c r="T1989" s="49">
        <f>DAY(C1989)</f>
        <v/>
      </c>
      <c r="U1989" s="49">
        <f>MONTH(C1989)</f>
        <v/>
      </c>
      <c r="V1989" s="26" t="n">
        <v>2025</v>
      </c>
      <c r="W1989" s="91" t="n"/>
      <c r="X1989" s="91" t="n"/>
      <c r="Y1989" s="91" t="n"/>
      <c r="Z1989" s="91" t="n"/>
    </row>
    <row r="1990" ht="12.75" customHeight="1" s="117">
      <c r="A1990" s="91" t="n"/>
      <c r="B1990" s="91" t="n"/>
      <c r="C1990" s="91" t="n"/>
      <c r="D1990" s="91" t="n"/>
      <c r="E1990" s="91" t="n"/>
      <c r="F1990" s="91" t="n"/>
      <c r="G1990" s="91" t="n"/>
      <c r="H1990" s="91" t="n"/>
      <c r="I1990" s="91" t="n"/>
      <c r="J1990" s="91" t="n"/>
      <c r="K1990" s="91" t="n"/>
      <c r="L1990" s="91" t="n"/>
      <c r="M1990" s="91" t="n"/>
      <c r="N1990" s="91" t="n"/>
      <c r="O1990" s="91" t="n"/>
      <c r="P1990" s="91" t="n"/>
      <c r="Q1990" s="91" t="n"/>
      <c r="R1990" s="91" t="n"/>
      <c r="S1990" s="91" t="n"/>
      <c r="T1990" s="49">
        <f>DAY(C1990)</f>
        <v/>
      </c>
      <c r="U1990" s="49">
        <f>MONTH(C1990)</f>
        <v/>
      </c>
      <c r="V1990" s="26" t="n">
        <v>2025</v>
      </c>
      <c r="W1990" s="91" t="n"/>
      <c r="X1990" s="91" t="n"/>
      <c r="Y1990" s="91" t="n"/>
      <c r="Z1990" s="91" t="n"/>
    </row>
    <row r="1991" ht="12.75" customHeight="1" s="117">
      <c r="A1991" s="91" t="n"/>
      <c r="B1991" s="91" t="n"/>
      <c r="C1991" s="91" t="n"/>
      <c r="D1991" s="91" t="n"/>
      <c r="E1991" s="91" t="n"/>
      <c r="F1991" s="91" t="n"/>
      <c r="G1991" s="91" t="n"/>
      <c r="H1991" s="91" t="n"/>
      <c r="I1991" s="91" t="n"/>
      <c r="J1991" s="91" t="n"/>
      <c r="K1991" s="91" t="n"/>
      <c r="L1991" s="91" t="n"/>
      <c r="M1991" s="91" t="n"/>
      <c r="N1991" s="91" t="n"/>
      <c r="O1991" s="91" t="n"/>
      <c r="P1991" s="91" t="n"/>
      <c r="Q1991" s="91" t="n"/>
      <c r="R1991" s="91" t="n"/>
      <c r="S1991" s="91" t="n"/>
      <c r="T1991" s="49">
        <f>DAY(C1991)</f>
        <v/>
      </c>
      <c r="U1991" s="49">
        <f>MONTH(C1991)</f>
        <v/>
      </c>
      <c r="V1991" s="26" t="n">
        <v>2025</v>
      </c>
      <c r="W1991" s="91" t="n"/>
      <c r="X1991" s="91" t="n"/>
      <c r="Y1991" s="91" t="n"/>
      <c r="Z1991" s="91" t="n"/>
    </row>
    <row r="1992" ht="12.75" customHeight="1" s="117">
      <c r="A1992" s="91" t="n"/>
      <c r="B1992" s="91" t="n"/>
      <c r="C1992" s="91" t="n"/>
      <c r="D1992" s="91" t="n"/>
      <c r="E1992" s="91" t="n"/>
      <c r="F1992" s="91" t="n"/>
      <c r="G1992" s="91" t="n"/>
      <c r="H1992" s="91" t="n"/>
      <c r="I1992" s="91" t="n"/>
      <c r="J1992" s="91" t="n"/>
      <c r="K1992" s="91" t="n"/>
      <c r="L1992" s="91" t="n"/>
      <c r="M1992" s="91" t="n"/>
      <c r="N1992" s="91" t="n"/>
      <c r="O1992" s="91" t="n"/>
      <c r="P1992" s="91" t="n"/>
      <c r="Q1992" s="91" t="n"/>
      <c r="R1992" s="91" t="n"/>
      <c r="S1992" s="91" t="n"/>
      <c r="T1992" s="49">
        <f>DAY(C1992)</f>
        <v/>
      </c>
      <c r="U1992" s="49">
        <f>MONTH(C1992)</f>
        <v/>
      </c>
      <c r="V1992" s="26" t="n">
        <v>2025</v>
      </c>
      <c r="W1992" s="91" t="n"/>
      <c r="X1992" s="91" t="n"/>
      <c r="Y1992" s="91" t="n"/>
      <c r="Z1992" s="91" t="n"/>
    </row>
    <row r="1993" ht="12.75" customHeight="1" s="117">
      <c r="A1993" s="91" t="n"/>
      <c r="B1993" s="91" t="n"/>
      <c r="C1993" s="91" t="n"/>
      <c r="D1993" s="91" t="n"/>
      <c r="E1993" s="91" t="n"/>
      <c r="F1993" s="91" t="n"/>
      <c r="G1993" s="91" t="n"/>
      <c r="H1993" s="91" t="n"/>
      <c r="I1993" s="91" t="n"/>
      <c r="J1993" s="91" t="n"/>
      <c r="K1993" s="91" t="n"/>
      <c r="L1993" s="91" t="n"/>
      <c r="M1993" s="91" t="n"/>
      <c r="N1993" s="91" t="n"/>
      <c r="O1993" s="91" t="n"/>
      <c r="P1993" s="91" t="n"/>
      <c r="Q1993" s="91" t="n"/>
      <c r="R1993" s="91" t="n"/>
      <c r="S1993" s="91" t="n"/>
      <c r="T1993" s="49">
        <f>DAY(C1993)</f>
        <v/>
      </c>
      <c r="U1993" s="49">
        <f>MONTH(C1993)</f>
        <v/>
      </c>
      <c r="V1993" s="26" t="n">
        <v>2025</v>
      </c>
      <c r="W1993" s="91" t="n"/>
      <c r="X1993" s="91" t="n"/>
      <c r="Y1993" s="91" t="n"/>
      <c r="Z1993" s="91" t="n"/>
    </row>
    <row r="1994" ht="12.75" customHeight="1" s="117">
      <c r="A1994" s="91" t="n"/>
      <c r="B1994" s="91" t="n"/>
      <c r="C1994" s="91" t="n"/>
      <c r="D1994" s="91" t="n"/>
      <c r="E1994" s="91" t="n"/>
      <c r="F1994" s="91" t="n"/>
      <c r="G1994" s="91" t="n"/>
      <c r="H1994" s="91" t="n"/>
      <c r="I1994" s="91" t="n"/>
      <c r="J1994" s="91" t="n"/>
      <c r="K1994" s="91" t="n"/>
      <c r="L1994" s="91" t="n"/>
      <c r="M1994" s="91" t="n"/>
      <c r="N1994" s="91" t="n"/>
      <c r="O1994" s="91" t="n"/>
      <c r="P1994" s="91" t="n"/>
      <c r="Q1994" s="91" t="n"/>
      <c r="R1994" s="91" t="n"/>
      <c r="S1994" s="91" t="n"/>
      <c r="T1994" s="49">
        <f>DAY(C1994)</f>
        <v/>
      </c>
      <c r="U1994" s="49">
        <f>MONTH(C1994)</f>
        <v/>
      </c>
      <c r="V1994" s="26" t="n">
        <v>2025</v>
      </c>
      <c r="W1994" s="91" t="n"/>
      <c r="X1994" s="91" t="n"/>
      <c r="Y1994" s="91" t="n"/>
      <c r="Z1994" s="91" t="n"/>
    </row>
    <row r="1995" ht="12.75" customHeight="1" s="117">
      <c r="A1995" s="91" t="n"/>
      <c r="B1995" s="91" t="n"/>
      <c r="C1995" s="91" t="n"/>
      <c r="D1995" s="91" t="n"/>
      <c r="E1995" s="91" t="n"/>
      <c r="F1995" s="91" t="n"/>
      <c r="G1995" s="91" t="n"/>
      <c r="H1995" s="91" t="n"/>
      <c r="I1995" s="91" t="n"/>
      <c r="J1995" s="91" t="n"/>
      <c r="K1995" s="91" t="n"/>
      <c r="L1995" s="91" t="n"/>
      <c r="M1995" s="91" t="n"/>
      <c r="N1995" s="91" t="n"/>
      <c r="O1995" s="91" t="n"/>
      <c r="P1995" s="91" t="n"/>
      <c r="Q1995" s="91" t="n"/>
      <c r="R1995" s="91" t="n"/>
      <c r="S1995" s="91" t="n"/>
      <c r="T1995" s="49">
        <f>DAY(C1995)</f>
        <v/>
      </c>
      <c r="U1995" s="49">
        <f>MONTH(C1995)</f>
        <v/>
      </c>
      <c r="V1995" s="26" t="n">
        <v>2025</v>
      </c>
      <c r="W1995" s="91" t="n"/>
      <c r="X1995" s="91" t="n"/>
      <c r="Y1995" s="91" t="n"/>
      <c r="Z1995" s="91" t="n"/>
    </row>
    <row r="1996" ht="12.75" customHeight="1" s="117">
      <c r="A1996" s="91" t="n"/>
      <c r="B1996" s="91" t="n"/>
      <c r="C1996" s="91" t="n"/>
      <c r="D1996" s="91" t="n"/>
      <c r="E1996" s="91" t="n"/>
      <c r="F1996" s="91" t="n"/>
      <c r="G1996" s="91" t="n"/>
      <c r="H1996" s="91" t="n"/>
      <c r="I1996" s="91" t="n"/>
      <c r="J1996" s="91" t="n"/>
      <c r="K1996" s="91" t="n"/>
      <c r="L1996" s="91" t="n"/>
      <c r="M1996" s="91" t="n"/>
      <c r="N1996" s="91" t="n"/>
      <c r="O1996" s="91" t="n"/>
      <c r="P1996" s="91" t="n"/>
      <c r="Q1996" s="91" t="n"/>
      <c r="R1996" s="91" t="n"/>
      <c r="S1996" s="91" t="n"/>
      <c r="T1996" s="49">
        <f>DAY(C1996)</f>
        <v/>
      </c>
      <c r="U1996" s="49">
        <f>MONTH(C1996)</f>
        <v/>
      </c>
      <c r="V1996" s="26" t="n">
        <v>2025</v>
      </c>
      <c r="W1996" s="91" t="n"/>
      <c r="X1996" s="91" t="n"/>
      <c r="Y1996" s="91" t="n"/>
      <c r="Z1996" s="91" t="n"/>
    </row>
    <row r="1997" ht="12.75" customHeight="1" s="117">
      <c r="A1997" s="91" t="n"/>
      <c r="B1997" s="91" t="n"/>
      <c r="C1997" s="91" t="n"/>
      <c r="D1997" s="91" t="n"/>
      <c r="E1997" s="91" t="n"/>
      <c r="F1997" s="91" t="n"/>
      <c r="G1997" s="91" t="n"/>
      <c r="H1997" s="91" t="n"/>
      <c r="I1997" s="91" t="n"/>
      <c r="J1997" s="91" t="n"/>
      <c r="K1997" s="91" t="n"/>
      <c r="L1997" s="91" t="n"/>
      <c r="M1997" s="91" t="n"/>
      <c r="N1997" s="91" t="n"/>
      <c r="O1997" s="91" t="n"/>
      <c r="P1997" s="91" t="n"/>
      <c r="Q1997" s="91" t="n"/>
      <c r="R1997" s="91" t="n"/>
      <c r="S1997" s="91" t="n"/>
      <c r="T1997" s="49">
        <f>DAY(C1997)</f>
        <v/>
      </c>
      <c r="U1997" s="49">
        <f>MONTH(C1997)</f>
        <v/>
      </c>
      <c r="V1997" s="26" t="n">
        <v>2025</v>
      </c>
      <c r="W1997" s="91" t="n"/>
      <c r="X1997" s="91" t="n"/>
      <c r="Y1997" s="91" t="n"/>
      <c r="Z1997" s="91" t="n"/>
    </row>
    <row r="1998" ht="12.75" customHeight="1" s="117">
      <c r="A1998" s="91" t="n"/>
      <c r="B1998" s="91" t="n"/>
      <c r="C1998" s="91" t="n"/>
      <c r="D1998" s="91" t="n"/>
      <c r="E1998" s="91" t="n"/>
      <c r="F1998" s="91" t="n"/>
      <c r="G1998" s="91" t="n"/>
      <c r="H1998" s="91" t="n"/>
      <c r="I1998" s="91" t="n"/>
      <c r="J1998" s="91" t="n"/>
      <c r="K1998" s="91" t="n"/>
      <c r="L1998" s="91" t="n"/>
      <c r="M1998" s="91" t="n"/>
      <c r="N1998" s="91" t="n"/>
      <c r="O1998" s="91" t="n"/>
      <c r="P1998" s="91" t="n"/>
      <c r="Q1998" s="91" t="n"/>
      <c r="R1998" s="91" t="n"/>
      <c r="S1998" s="91" t="n"/>
      <c r="T1998" s="49">
        <f>DAY(C1998)</f>
        <v/>
      </c>
      <c r="U1998" s="49">
        <f>MONTH(C1998)</f>
        <v/>
      </c>
      <c r="V1998" s="26" t="n">
        <v>2025</v>
      </c>
      <c r="W1998" s="91" t="n"/>
      <c r="X1998" s="91" t="n"/>
      <c r="Y1998" s="91" t="n"/>
      <c r="Z1998" s="91" t="n"/>
    </row>
    <row r="1999" ht="12.75" customHeight="1" s="117">
      <c r="A1999" s="91" t="n"/>
      <c r="B1999" s="91" t="n"/>
      <c r="C1999" s="91" t="n"/>
      <c r="D1999" s="91" t="n"/>
      <c r="E1999" s="91" t="n"/>
      <c r="F1999" s="91" t="n"/>
      <c r="G1999" s="91" t="n"/>
      <c r="H1999" s="91" t="n"/>
      <c r="I1999" s="91" t="n"/>
      <c r="J1999" s="91" t="n"/>
      <c r="K1999" s="91" t="n"/>
      <c r="L1999" s="91" t="n"/>
      <c r="M1999" s="91" t="n"/>
      <c r="N1999" s="91" t="n"/>
      <c r="O1999" s="91" t="n"/>
      <c r="P1999" s="91" t="n"/>
      <c r="Q1999" s="91" t="n"/>
      <c r="R1999" s="91" t="n"/>
      <c r="S1999" s="91" t="n"/>
      <c r="T1999" s="49">
        <f>DAY(C1999)</f>
        <v/>
      </c>
      <c r="U1999" s="49">
        <f>MONTH(C1999)</f>
        <v/>
      </c>
      <c r="V1999" s="26" t="n">
        <v>2025</v>
      </c>
      <c r="W1999" s="91" t="n"/>
      <c r="X1999" s="91" t="n"/>
      <c r="Y1999" s="91" t="n"/>
      <c r="Z1999" s="91" t="n"/>
    </row>
    <row r="2000" ht="12.75" customHeight="1" s="117">
      <c r="A2000" s="91" t="n"/>
      <c r="B2000" s="91" t="n"/>
      <c r="C2000" s="91" t="n"/>
      <c r="D2000" s="91" t="n"/>
      <c r="E2000" s="91" t="n"/>
      <c r="F2000" s="91" t="n"/>
      <c r="G2000" s="91" t="n"/>
      <c r="H2000" s="91" t="n"/>
      <c r="I2000" s="91" t="n"/>
      <c r="J2000" s="91" t="n"/>
      <c r="K2000" s="91" t="n"/>
      <c r="L2000" s="91" t="n"/>
      <c r="M2000" s="91" t="n"/>
      <c r="N2000" s="91" t="n"/>
      <c r="O2000" s="91" t="n"/>
      <c r="P2000" s="91" t="n"/>
      <c r="Q2000" s="91" t="n"/>
      <c r="R2000" s="91" t="n"/>
      <c r="S2000" s="91" t="n"/>
      <c r="T2000" s="49">
        <f>DAY(C2000)</f>
        <v/>
      </c>
      <c r="U2000" s="49">
        <f>MONTH(C2000)</f>
        <v/>
      </c>
      <c r="V2000" s="26" t="n">
        <v>2025</v>
      </c>
      <c r="W2000" s="91" t="n"/>
      <c r="X2000" s="91" t="n"/>
      <c r="Y2000" s="91" t="n"/>
      <c r="Z2000" s="91" t="n"/>
    </row>
    <row r="2001" ht="12.75" customHeight="1" s="117">
      <c r="A2001" s="91" t="n"/>
      <c r="B2001" s="91" t="n"/>
      <c r="C2001" s="91" t="n"/>
      <c r="D2001" s="91" t="n"/>
      <c r="E2001" s="91" t="n"/>
      <c r="F2001" s="91" t="n"/>
      <c r="G2001" s="91" t="n"/>
      <c r="H2001" s="91" t="n"/>
      <c r="I2001" s="91" t="n"/>
      <c r="J2001" s="91" t="n"/>
      <c r="K2001" s="91" t="n"/>
      <c r="L2001" s="91" t="n"/>
      <c r="M2001" s="91" t="n"/>
      <c r="N2001" s="91" t="n"/>
      <c r="O2001" s="91" t="n"/>
      <c r="P2001" s="91" t="n"/>
      <c r="Q2001" s="91" t="n"/>
      <c r="R2001" s="91" t="n"/>
      <c r="S2001" s="91" t="n"/>
      <c r="T2001" s="49">
        <f>DAY(C2001)</f>
        <v/>
      </c>
      <c r="U2001" s="49">
        <f>MONTH(C2001)</f>
        <v/>
      </c>
      <c r="V2001" s="26" t="n">
        <v>2025</v>
      </c>
      <c r="W2001" s="91" t="n"/>
      <c r="X2001" s="91" t="n"/>
      <c r="Y2001" s="91" t="n"/>
      <c r="Z2001" s="91" t="n"/>
    </row>
    <row r="2002" ht="12.75" customHeight="1" s="117">
      <c r="A2002" s="91" t="n"/>
      <c r="B2002" s="91" t="n"/>
      <c r="C2002" s="91" t="n"/>
      <c r="D2002" s="91" t="n"/>
      <c r="E2002" s="91" t="n"/>
      <c r="F2002" s="91" t="n"/>
      <c r="G2002" s="91" t="n"/>
      <c r="H2002" s="91" t="n"/>
      <c r="I2002" s="91" t="n"/>
      <c r="J2002" s="91" t="n"/>
      <c r="K2002" s="91" t="n"/>
      <c r="L2002" s="91" t="n"/>
      <c r="M2002" s="91" t="n"/>
      <c r="N2002" s="91" t="n"/>
      <c r="O2002" s="91" t="n"/>
      <c r="P2002" s="91" t="n"/>
      <c r="Q2002" s="91" t="n"/>
      <c r="R2002" s="91" t="n"/>
      <c r="S2002" s="91" t="n"/>
      <c r="T2002" s="49">
        <f>DAY(C2002)</f>
        <v/>
      </c>
      <c r="U2002" s="49">
        <f>MONTH(C2002)</f>
        <v/>
      </c>
      <c r="V2002" s="26" t="n">
        <v>2025</v>
      </c>
      <c r="W2002" s="91" t="n"/>
      <c r="X2002" s="91" t="n"/>
      <c r="Y2002" s="91" t="n"/>
      <c r="Z2002" s="91" t="n"/>
    </row>
    <row r="2003" ht="12.75" customHeight="1" s="117">
      <c r="A2003" s="91" t="n"/>
      <c r="B2003" s="91" t="n"/>
      <c r="C2003" s="91" t="n"/>
      <c r="D2003" s="91" t="n"/>
      <c r="E2003" s="91" t="n"/>
      <c r="F2003" s="91" t="n"/>
      <c r="G2003" s="91" t="n"/>
      <c r="H2003" s="91" t="n"/>
      <c r="I2003" s="91" t="n"/>
      <c r="J2003" s="91" t="n"/>
      <c r="K2003" s="91" t="n"/>
      <c r="L2003" s="91" t="n"/>
      <c r="M2003" s="91" t="n"/>
      <c r="N2003" s="91" t="n"/>
      <c r="O2003" s="91" t="n"/>
      <c r="P2003" s="91" t="n"/>
      <c r="Q2003" s="91" t="n"/>
      <c r="R2003" s="91" t="n"/>
      <c r="S2003" s="91" t="n"/>
      <c r="T2003" s="49">
        <f>DAY(C2003)</f>
        <v/>
      </c>
      <c r="U2003" s="49">
        <f>MONTH(C2003)</f>
        <v/>
      </c>
      <c r="V2003" s="26" t="n">
        <v>2025</v>
      </c>
      <c r="W2003" s="91" t="n"/>
      <c r="X2003" s="91" t="n"/>
      <c r="Y2003" s="91" t="n"/>
      <c r="Z2003" s="91" t="n"/>
    </row>
    <row r="2004" ht="12.75" customHeight="1" s="117">
      <c r="A2004" s="91" t="n"/>
      <c r="B2004" s="91" t="n"/>
      <c r="C2004" s="91" t="n"/>
      <c r="D2004" s="91" t="n"/>
      <c r="E2004" s="91" t="n"/>
      <c r="F2004" s="91" t="n"/>
      <c r="G2004" s="91" t="n"/>
      <c r="H2004" s="91" t="n"/>
      <c r="I2004" s="91" t="n"/>
      <c r="J2004" s="91" t="n"/>
      <c r="K2004" s="91" t="n"/>
      <c r="L2004" s="91" t="n"/>
      <c r="M2004" s="91" t="n"/>
      <c r="N2004" s="91" t="n"/>
      <c r="O2004" s="91" t="n"/>
      <c r="P2004" s="91" t="n"/>
      <c r="Q2004" s="91" t="n"/>
      <c r="R2004" s="91" t="n"/>
      <c r="S2004" s="91" t="n"/>
      <c r="T2004" s="49">
        <f>DAY(C2004)</f>
        <v/>
      </c>
      <c r="U2004" s="49">
        <f>MONTH(C2004)</f>
        <v/>
      </c>
      <c r="V2004" s="26" t="n">
        <v>2025</v>
      </c>
      <c r="W2004" s="91" t="n"/>
      <c r="X2004" s="91" t="n"/>
      <c r="Y2004" s="91" t="n"/>
      <c r="Z2004" s="91" t="n"/>
    </row>
    <row r="2005" ht="12.75" customHeight="1" s="117">
      <c r="A2005" s="91" t="n"/>
      <c r="B2005" s="91" t="n"/>
      <c r="C2005" s="91" t="n"/>
      <c r="D2005" s="91" t="n"/>
      <c r="E2005" s="91" t="n"/>
      <c r="F2005" s="91" t="n"/>
      <c r="G2005" s="91" t="n"/>
      <c r="H2005" s="91" t="n"/>
      <c r="I2005" s="91" t="n"/>
      <c r="J2005" s="91" t="n"/>
      <c r="K2005" s="91" t="n"/>
      <c r="L2005" s="91" t="n"/>
      <c r="M2005" s="91" t="n"/>
      <c r="N2005" s="91" t="n"/>
      <c r="O2005" s="91" t="n"/>
      <c r="P2005" s="91" t="n"/>
      <c r="Q2005" s="91" t="n"/>
      <c r="R2005" s="91" t="n"/>
      <c r="S2005" s="91" t="n"/>
      <c r="T2005" s="49">
        <f>DAY(C2005)</f>
        <v/>
      </c>
      <c r="U2005" s="49">
        <f>MONTH(C2005)</f>
        <v/>
      </c>
      <c r="V2005" s="26" t="n">
        <v>2025</v>
      </c>
      <c r="W2005" s="91" t="n"/>
      <c r="X2005" s="91" t="n"/>
      <c r="Y2005" s="91" t="n"/>
      <c r="Z2005" s="91" t="n"/>
    </row>
    <row r="2006" ht="12.75" customHeight="1" s="117">
      <c r="A2006" s="91" t="n"/>
      <c r="B2006" s="91" t="n"/>
      <c r="C2006" s="91" t="n"/>
      <c r="D2006" s="91" t="n"/>
      <c r="E2006" s="91" t="n"/>
      <c r="F2006" s="91" t="n"/>
      <c r="G2006" s="91" t="n"/>
      <c r="H2006" s="91" t="n"/>
      <c r="I2006" s="91" t="n"/>
      <c r="J2006" s="91" t="n"/>
      <c r="K2006" s="91" t="n"/>
      <c r="L2006" s="91" t="n"/>
      <c r="M2006" s="91" t="n"/>
      <c r="N2006" s="91" t="n"/>
      <c r="O2006" s="91" t="n"/>
      <c r="P2006" s="91" t="n"/>
      <c r="Q2006" s="91" t="n"/>
      <c r="R2006" s="91" t="n"/>
      <c r="S2006" s="91" t="n"/>
      <c r="T2006" s="49">
        <f>DAY(C2006)</f>
        <v/>
      </c>
      <c r="U2006" s="49">
        <f>MONTH(C2006)</f>
        <v/>
      </c>
      <c r="V2006" s="26" t="n">
        <v>2025</v>
      </c>
      <c r="W2006" s="91" t="n"/>
      <c r="X2006" s="91" t="n"/>
      <c r="Y2006" s="91" t="n"/>
      <c r="Z2006" s="91" t="n"/>
    </row>
    <row r="2007" ht="12.75" customHeight="1" s="117">
      <c r="A2007" s="91" t="n"/>
      <c r="B2007" s="91" t="n"/>
      <c r="C2007" s="91" t="n"/>
      <c r="D2007" s="91" t="n"/>
      <c r="E2007" s="91" t="n"/>
      <c r="F2007" s="91" t="n"/>
      <c r="G2007" s="91" t="n"/>
      <c r="H2007" s="91" t="n"/>
      <c r="I2007" s="91" t="n"/>
      <c r="J2007" s="91" t="n"/>
      <c r="K2007" s="91" t="n"/>
      <c r="L2007" s="91" t="n"/>
      <c r="M2007" s="91" t="n"/>
      <c r="N2007" s="91" t="n"/>
      <c r="O2007" s="91" t="n"/>
      <c r="P2007" s="91" t="n"/>
      <c r="Q2007" s="91" t="n"/>
      <c r="R2007" s="91" t="n"/>
      <c r="S2007" s="91" t="n"/>
      <c r="T2007" s="49">
        <f>DAY(C2007)</f>
        <v/>
      </c>
      <c r="U2007" s="49">
        <f>MONTH(C2007)</f>
        <v/>
      </c>
      <c r="V2007" s="26" t="n">
        <v>2025</v>
      </c>
      <c r="W2007" s="91" t="n"/>
      <c r="X2007" s="91" t="n"/>
      <c r="Y2007" s="91" t="n"/>
      <c r="Z2007" s="91" t="n"/>
    </row>
    <row r="2008" ht="12.75" customHeight="1" s="117">
      <c r="A2008" s="91" t="n"/>
      <c r="B2008" s="91" t="n"/>
      <c r="C2008" s="91" t="n"/>
      <c r="D2008" s="91" t="n"/>
      <c r="E2008" s="91" t="n"/>
      <c r="F2008" s="91" t="n"/>
      <c r="G2008" s="91" t="n"/>
      <c r="H2008" s="91" t="n"/>
      <c r="I2008" s="91" t="n"/>
      <c r="J2008" s="91" t="n"/>
      <c r="K2008" s="91" t="n"/>
      <c r="L2008" s="91" t="n"/>
      <c r="M2008" s="91" t="n"/>
      <c r="N2008" s="91" t="n"/>
      <c r="O2008" s="91" t="n"/>
      <c r="P2008" s="91" t="n"/>
      <c r="Q2008" s="91" t="n"/>
      <c r="R2008" s="91" t="n"/>
      <c r="S2008" s="91" t="n"/>
      <c r="T2008" s="49">
        <f>DAY(C2008)</f>
        <v/>
      </c>
      <c r="U2008" s="49">
        <f>MONTH(C2008)</f>
        <v/>
      </c>
      <c r="V2008" s="26" t="n">
        <v>2025</v>
      </c>
      <c r="W2008" s="91" t="n"/>
      <c r="X2008" s="91" t="n"/>
      <c r="Y2008" s="91" t="n"/>
      <c r="Z2008" s="91" t="n"/>
    </row>
    <row r="2009" ht="12.75" customHeight="1" s="117">
      <c r="A2009" s="91" t="n"/>
      <c r="B2009" s="91" t="n"/>
      <c r="C2009" s="91" t="n"/>
      <c r="D2009" s="91" t="n"/>
      <c r="E2009" s="91" t="n"/>
      <c r="F2009" s="91" t="n"/>
      <c r="G2009" s="91" t="n"/>
      <c r="H2009" s="91" t="n"/>
      <c r="I2009" s="91" t="n"/>
      <c r="J2009" s="91" t="n"/>
      <c r="K2009" s="91" t="n"/>
      <c r="L2009" s="91" t="n"/>
      <c r="M2009" s="91" t="n"/>
      <c r="N2009" s="91" t="n"/>
      <c r="O2009" s="91" t="n"/>
      <c r="P2009" s="91" t="n"/>
      <c r="Q2009" s="91" t="n"/>
      <c r="R2009" s="91" t="n"/>
      <c r="S2009" s="91" t="n"/>
      <c r="T2009" s="49">
        <f>DAY(C2009)</f>
        <v/>
      </c>
      <c r="U2009" s="49">
        <f>MONTH(C2009)</f>
        <v/>
      </c>
      <c r="V2009" s="26" t="n">
        <v>2025</v>
      </c>
      <c r="W2009" s="91" t="n"/>
      <c r="X2009" s="91" t="n"/>
      <c r="Y2009" s="91" t="n"/>
      <c r="Z2009" s="91" t="n"/>
    </row>
    <row r="2010" ht="12.75" customHeight="1" s="117">
      <c r="A2010" s="91" t="n"/>
      <c r="B2010" s="91" t="n"/>
      <c r="C2010" s="91" t="n"/>
      <c r="D2010" s="91" t="n"/>
      <c r="E2010" s="91" t="n"/>
      <c r="F2010" s="91" t="n"/>
      <c r="G2010" s="91" t="n"/>
      <c r="H2010" s="91" t="n"/>
      <c r="I2010" s="91" t="n"/>
      <c r="J2010" s="91" t="n"/>
      <c r="K2010" s="91" t="n"/>
      <c r="L2010" s="91" t="n"/>
      <c r="M2010" s="91" t="n"/>
      <c r="N2010" s="91" t="n"/>
      <c r="O2010" s="91" t="n"/>
      <c r="P2010" s="91" t="n"/>
      <c r="Q2010" s="91" t="n"/>
      <c r="R2010" s="91" t="n"/>
      <c r="S2010" s="91" t="n"/>
      <c r="T2010" s="49">
        <f>DAY(C2010)</f>
        <v/>
      </c>
      <c r="U2010" s="49">
        <f>MONTH(C2010)</f>
        <v/>
      </c>
      <c r="V2010" s="26" t="n">
        <v>2025</v>
      </c>
      <c r="W2010" s="91" t="n"/>
      <c r="X2010" s="91" t="n"/>
      <c r="Y2010" s="91" t="n"/>
      <c r="Z2010" s="91" t="n"/>
    </row>
    <row r="2011" ht="12.75" customHeight="1" s="117">
      <c r="A2011" s="91" t="n"/>
      <c r="B2011" s="91" t="n"/>
      <c r="C2011" s="91" t="n"/>
      <c r="D2011" s="91" t="n"/>
      <c r="E2011" s="91" t="n"/>
      <c r="F2011" s="91" t="n"/>
      <c r="G2011" s="91" t="n"/>
      <c r="H2011" s="91" t="n"/>
      <c r="I2011" s="91" t="n"/>
      <c r="J2011" s="91" t="n"/>
      <c r="K2011" s="91" t="n"/>
      <c r="L2011" s="91" t="n"/>
      <c r="M2011" s="91" t="n"/>
      <c r="N2011" s="91" t="n"/>
      <c r="O2011" s="91" t="n"/>
      <c r="P2011" s="91" t="n"/>
      <c r="Q2011" s="91" t="n"/>
      <c r="R2011" s="91" t="n"/>
      <c r="S2011" s="91" t="n"/>
      <c r="T2011" s="49">
        <f>DAY(C2011)</f>
        <v/>
      </c>
      <c r="U2011" s="49">
        <f>MONTH(C2011)</f>
        <v/>
      </c>
      <c r="V2011" s="26" t="n">
        <v>2025</v>
      </c>
      <c r="W2011" s="91" t="n"/>
      <c r="X2011" s="91" t="n"/>
      <c r="Y2011" s="91" t="n"/>
      <c r="Z2011" s="91" t="n"/>
    </row>
    <row r="2012" ht="12.75" customHeight="1" s="117">
      <c r="A2012" s="91" t="n"/>
      <c r="B2012" s="91" t="n"/>
      <c r="C2012" s="91" t="n"/>
      <c r="D2012" s="91" t="n"/>
      <c r="E2012" s="91" t="n"/>
      <c r="F2012" s="91" t="n"/>
      <c r="G2012" s="91" t="n"/>
      <c r="H2012" s="91" t="n"/>
      <c r="I2012" s="91" t="n"/>
      <c r="J2012" s="91" t="n"/>
      <c r="K2012" s="91" t="n"/>
      <c r="L2012" s="91" t="n"/>
      <c r="M2012" s="91" t="n"/>
      <c r="N2012" s="91" t="n"/>
      <c r="O2012" s="91" t="n"/>
      <c r="P2012" s="91" t="n"/>
      <c r="Q2012" s="91" t="n"/>
      <c r="R2012" s="91" t="n"/>
      <c r="S2012" s="91" t="n"/>
      <c r="T2012" s="49">
        <f>DAY(C2012)</f>
        <v/>
      </c>
      <c r="U2012" s="49">
        <f>MONTH(C2012)</f>
        <v/>
      </c>
      <c r="V2012" s="26" t="n">
        <v>2025</v>
      </c>
      <c r="W2012" s="91" t="n"/>
      <c r="X2012" s="91" t="n"/>
      <c r="Y2012" s="91" t="n"/>
      <c r="Z2012" s="91" t="n"/>
    </row>
    <row r="2013" ht="12.75" customHeight="1" s="117">
      <c r="A2013" s="91" t="n"/>
      <c r="B2013" s="91" t="n"/>
      <c r="C2013" s="91" t="n"/>
      <c r="D2013" s="91" t="n"/>
      <c r="E2013" s="91" t="n"/>
      <c r="F2013" s="91" t="n"/>
      <c r="G2013" s="91" t="n"/>
      <c r="H2013" s="91" t="n"/>
      <c r="I2013" s="91" t="n"/>
      <c r="J2013" s="91" t="n"/>
      <c r="K2013" s="91" t="n"/>
      <c r="L2013" s="91" t="n"/>
      <c r="M2013" s="91" t="n"/>
      <c r="N2013" s="91" t="n"/>
      <c r="O2013" s="91" t="n"/>
      <c r="P2013" s="91" t="n"/>
      <c r="Q2013" s="91" t="n"/>
      <c r="R2013" s="91" t="n"/>
      <c r="S2013" s="91" t="n"/>
      <c r="T2013" s="49">
        <f>DAY(C2013)</f>
        <v/>
      </c>
      <c r="U2013" s="49">
        <f>MONTH(C2013)</f>
        <v/>
      </c>
      <c r="V2013" s="26" t="n">
        <v>2025</v>
      </c>
      <c r="W2013" s="91" t="n"/>
      <c r="X2013" s="91" t="n"/>
      <c r="Y2013" s="91" t="n"/>
      <c r="Z2013" s="91" t="n"/>
    </row>
    <row r="2014" ht="12.75" customHeight="1" s="117">
      <c r="A2014" s="91" t="n"/>
      <c r="B2014" s="91" t="n"/>
      <c r="C2014" s="91" t="n"/>
      <c r="D2014" s="91" t="n"/>
      <c r="E2014" s="91" t="n"/>
      <c r="F2014" s="91" t="n"/>
      <c r="G2014" s="91" t="n"/>
      <c r="H2014" s="91" t="n"/>
      <c r="I2014" s="91" t="n"/>
      <c r="J2014" s="91" t="n"/>
      <c r="K2014" s="91" t="n"/>
      <c r="L2014" s="91" t="n"/>
      <c r="M2014" s="91" t="n"/>
      <c r="N2014" s="91" t="n"/>
      <c r="O2014" s="91" t="n"/>
      <c r="P2014" s="91" t="n"/>
      <c r="Q2014" s="91" t="n"/>
      <c r="R2014" s="91" t="n"/>
      <c r="S2014" s="91" t="n"/>
      <c r="T2014" s="49">
        <f>DAY(C2014)</f>
        <v/>
      </c>
      <c r="U2014" s="49">
        <f>MONTH(C2014)</f>
        <v/>
      </c>
      <c r="V2014" s="26" t="n">
        <v>2025</v>
      </c>
      <c r="W2014" s="91" t="n"/>
      <c r="X2014" s="91" t="n"/>
      <c r="Y2014" s="91" t="n"/>
      <c r="Z2014" s="91" t="n"/>
    </row>
    <row r="2015" ht="12.75" customHeight="1" s="117">
      <c r="A2015" s="91" t="n"/>
      <c r="B2015" s="91" t="n"/>
      <c r="C2015" s="91" t="n"/>
      <c r="D2015" s="91" t="n"/>
      <c r="E2015" s="91" t="n"/>
      <c r="F2015" s="91" t="n"/>
      <c r="G2015" s="91" t="n"/>
      <c r="H2015" s="91" t="n"/>
      <c r="I2015" s="91" t="n"/>
      <c r="J2015" s="91" t="n"/>
      <c r="K2015" s="91" t="n"/>
      <c r="L2015" s="91" t="n"/>
      <c r="M2015" s="91" t="n"/>
      <c r="N2015" s="91" t="n"/>
      <c r="O2015" s="91" t="n"/>
      <c r="P2015" s="91" t="n"/>
      <c r="Q2015" s="91" t="n"/>
      <c r="R2015" s="91" t="n"/>
      <c r="S2015" s="91" t="n"/>
      <c r="T2015" s="49">
        <f>DAY(C2015)</f>
        <v/>
      </c>
      <c r="U2015" s="49">
        <f>MONTH(C2015)</f>
        <v/>
      </c>
      <c r="V2015" s="26" t="n">
        <v>2025</v>
      </c>
      <c r="W2015" s="91" t="n"/>
      <c r="X2015" s="91" t="n"/>
      <c r="Y2015" s="91" t="n"/>
      <c r="Z2015" s="91" t="n"/>
    </row>
    <row r="2016" ht="12.75" customHeight="1" s="117">
      <c r="A2016" s="91" t="n"/>
      <c r="B2016" s="91" t="n"/>
      <c r="C2016" s="91" t="n"/>
      <c r="D2016" s="91" t="n"/>
      <c r="E2016" s="91" t="n"/>
      <c r="F2016" s="91" t="n"/>
      <c r="G2016" s="91" t="n"/>
      <c r="H2016" s="91" t="n"/>
      <c r="I2016" s="91" t="n"/>
      <c r="J2016" s="91" t="n"/>
      <c r="K2016" s="91" t="n"/>
      <c r="L2016" s="91" t="n"/>
      <c r="M2016" s="91" t="n"/>
      <c r="N2016" s="91" t="n"/>
      <c r="O2016" s="91" t="n"/>
      <c r="P2016" s="91" t="n"/>
      <c r="Q2016" s="91" t="n"/>
      <c r="R2016" s="91" t="n"/>
      <c r="S2016" s="91" t="n"/>
      <c r="T2016" s="49">
        <f>DAY(C2016)</f>
        <v/>
      </c>
      <c r="U2016" s="49">
        <f>MONTH(C2016)</f>
        <v/>
      </c>
      <c r="V2016" s="26" t="n">
        <v>2025</v>
      </c>
      <c r="W2016" s="91" t="n"/>
      <c r="X2016" s="91" t="n"/>
      <c r="Y2016" s="91" t="n"/>
      <c r="Z2016" s="91" t="n"/>
    </row>
    <row r="2017" ht="12.75" customHeight="1" s="117">
      <c r="A2017" s="91" t="n"/>
      <c r="B2017" s="91" t="n"/>
      <c r="C2017" s="91" t="n"/>
      <c r="D2017" s="91" t="n"/>
      <c r="E2017" s="91" t="n"/>
      <c r="F2017" s="91" t="n"/>
      <c r="G2017" s="91" t="n"/>
      <c r="H2017" s="91" t="n"/>
      <c r="I2017" s="91" t="n"/>
      <c r="J2017" s="91" t="n"/>
      <c r="K2017" s="91" t="n"/>
      <c r="L2017" s="91" t="n"/>
      <c r="M2017" s="91" t="n"/>
      <c r="N2017" s="91" t="n"/>
      <c r="O2017" s="91" t="n"/>
      <c r="P2017" s="91" t="n"/>
      <c r="Q2017" s="91" t="n"/>
      <c r="R2017" s="91" t="n"/>
      <c r="S2017" s="91" t="n"/>
      <c r="T2017" s="49">
        <f>DAY(C2017)</f>
        <v/>
      </c>
      <c r="U2017" s="49">
        <f>MONTH(C2017)</f>
        <v/>
      </c>
      <c r="V2017" s="26" t="n">
        <v>2025</v>
      </c>
      <c r="W2017" s="91" t="n"/>
      <c r="X2017" s="91" t="n"/>
      <c r="Y2017" s="91" t="n"/>
      <c r="Z2017" s="91" t="n"/>
    </row>
    <row r="2018" ht="12.75" customHeight="1" s="117">
      <c r="A2018" s="91" t="n"/>
      <c r="B2018" s="91" t="n"/>
      <c r="C2018" s="91" t="n"/>
      <c r="D2018" s="91" t="n"/>
      <c r="E2018" s="91" t="n"/>
      <c r="F2018" s="91" t="n"/>
      <c r="G2018" s="91" t="n"/>
      <c r="H2018" s="91" t="n"/>
      <c r="I2018" s="91" t="n"/>
      <c r="J2018" s="91" t="n"/>
      <c r="K2018" s="91" t="n"/>
      <c r="L2018" s="91" t="n"/>
      <c r="M2018" s="91" t="n"/>
      <c r="N2018" s="91" t="n"/>
      <c r="O2018" s="91" t="n"/>
      <c r="P2018" s="91" t="n"/>
      <c r="Q2018" s="91" t="n"/>
      <c r="R2018" s="91" t="n"/>
      <c r="S2018" s="91" t="n"/>
      <c r="T2018" s="49">
        <f>DAY(C2018)</f>
        <v/>
      </c>
      <c r="U2018" s="49">
        <f>MONTH(C2018)</f>
        <v/>
      </c>
      <c r="V2018" s="26" t="n">
        <v>2025</v>
      </c>
      <c r="W2018" s="91" t="n"/>
      <c r="X2018" s="91" t="n"/>
      <c r="Y2018" s="91" t="n"/>
      <c r="Z2018" s="91" t="n"/>
    </row>
    <row r="2019" ht="12.75" customHeight="1" s="117">
      <c r="A2019" s="91" t="n"/>
      <c r="B2019" s="91" t="n"/>
      <c r="C2019" s="91" t="n"/>
      <c r="D2019" s="91" t="n"/>
      <c r="E2019" s="91" t="n"/>
      <c r="F2019" s="91" t="n"/>
      <c r="G2019" s="91" t="n"/>
      <c r="H2019" s="91" t="n"/>
      <c r="I2019" s="91" t="n"/>
      <c r="J2019" s="91" t="n"/>
      <c r="K2019" s="91" t="n"/>
      <c r="L2019" s="91" t="n"/>
      <c r="M2019" s="91" t="n"/>
      <c r="N2019" s="91" t="n"/>
      <c r="O2019" s="91" t="n"/>
      <c r="P2019" s="91" t="n"/>
      <c r="Q2019" s="91" t="n"/>
      <c r="R2019" s="91" t="n"/>
      <c r="S2019" s="91" t="n"/>
      <c r="T2019" s="49">
        <f>DAY(C2019)</f>
        <v/>
      </c>
      <c r="U2019" s="49">
        <f>MONTH(C2019)</f>
        <v/>
      </c>
      <c r="V2019" s="26" t="n">
        <v>2025</v>
      </c>
      <c r="W2019" s="91" t="n"/>
      <c r="X2019" s="91" t="n"/>
      <c r="Y2019" s="91" t="n"/>
      <c r="Z2019" s="91" t="n"/>
    </row>
    <row r="2020" ht="12.75" customHeight="1" s="117">
      <c r="A2020" s="91" t="n"/>
      <c r="B2020" s="91" t="n"/>
      <c r="C2020" s="91" t="n"/>
      <c r="D2020" s="91" t="n"/>
      <c r="E2020" s="91" t="n"/>
      <c r="F2020" s="91" t="n"/>
      <c r="G2020" s="91" t="n"/>
      <c r="H2020" s="91" t="n"/>
      <c r="I2020" s="91" t="n"/>
      <c r="J2020" s="91" t="n"/>
      <c r="K2020" s="91" t="n"/>
      <c r="L2020" s="91" t="n"/>
      <c r="M2020" s="91" t="n"/>
      <c r="N2020" s="91" t="n"/>
      <c r="O2020" s="91" t="n"/>
      <c r="P2020" s="91" t="n"/>
      <c r="Q2020" s="91" t="n"/>
      <c r="R2020" s="91" t="n"/>
      <c r="S2020" s="91" t="n"/>
      <c r="T2020" s="49">
        <f>DAY(C2020)</f>
        <v/>
      </c>
      <c r="U2020" s="49">
        <f>MONTH(C2020)</f>
        <v/>
      </c>
      <c r="V2020" s="26" t="n">
        <v>2025</v>
      </c>
      <c r="W2020" s="91" t="n"/>
      <c r="X2020" s="91" t="n"/>
      <c r="Y2020" s="91" t="n"/>
      <c r="Z2020" s="91" t="n"/>
    </row>
    <row r="2021" ht="12.75" customHeight="1" s="117">
      <c r="A2021" s="91" t="n"/>
      <c r="B2021" s="91" t="n"/>
      <c r="C2021" s="91" t="n"/>
      <c r="D2021" s="91" t="n"/>
      <c r="E2021" s="91" t="n"/>
      <c r="F2021" s="91" t="n"/>
      <c r="G2021" s="91" t="n"/>
      <c r="H2021" s="91" t="n"/>
      <c r="I2021" s="91" t="n"/>
      <c r="J2021" s="91" t="n"/>
      <c r="K2021" s="91" t="n"/>
      <c r="L2021" s="91" t="n"/>
      <c r="M2021" s="91" t="n"/>
      <c r="N2021" s="91" t="n"/>
      <c r="O2021" s="91" t="n"/>
      <c r="P2021" s="91" t="n"/>
      <c r="Q2021" s="91" t="n"/>
      <c r="R2021" s="91" t="n"/>
      <c r="S2021" s="91" t="n"/>
      <c r="T2021" s="49">
        <f>DAY(C2021)</f>
        <v/>
      </c>
      <c r="U2021" s="49">
        <f>MONTH(C2021)</f>
        <v/>
      </c>
      <c r="V2021" s="26" t="n">
        <v>2025</v>
      </c>
      <c r="W2021" s="91" t="n"/>
      <c r="X2021" s="91" t="n"/>
      <c r="Y2021" s="91" t="n"/>
      <c r="Z2021" s="91" t="n"/>
    </row>
    <row r="2022" ht="12.75" customHeight="1" s="117">
      <c r="A2022" s="91" t="n"/>
      <c r="B2022" s="91" t="n"/>
      <c r="C2022" s="91" t="n"/>
      <c r="D2022" s="91" t="n"/>
      <c r="E2022" s="91" t="n"/>
      <c r="F2022" s="91" t="n"/>
      <c r="G2022" s="91" t="n"/>
      <c r="H2022" s="91" t="n"/>
      <c r="I2022" s="91" t="n"/>
      <c r="J2022" s="91" t="n"/>
      <c r="K2022" s="91" t="n"/>
      <c r="L2022" s="91" t="n"/>
      <c r="M2022" s="91" t="n"/>
      <c r="N2022" s="91" t="n"/>
      <c r="O2022" s="91" t="n"/>
      <c r="P2022" s="91" t="n"/>
      <c r="Q2022" s="91" t="n"/>
      <c r="R2022" s="91" t="n"/>
      <c r="S2022" s="91" t="n"/>
      <c r="T2022" s="49">
        <f>DAY(C2022)</f>
        <v/>
      </c>
      <c r="U2022" s="49">
        <f>MONTH(C2022)</f>
        <v/>
      </c>
      <c r="V2022" s="26" t="n">
        <v>2025</v>
      </c>
      <c r="W2022" s="91" t="n"/>
      <c r="X2022" s="91" t="n"/>
      <c r="Y2022" s="91" t="n"/>
      <c r="Z2022" s="91" t="n"/>
    </row>
    <row r="2023" ht="12.75" customHeight="1" s="117">
      <c r="A2023" s="91" t="n"/>
      <c r="B2023" s="91" t="n"/>
      <c r="C2023" s="91" t="n"/>
      <c r="D2023" s="91" t="n"/>
      <c r="E2023" s="91" t="n"/>
      <c r="F2023" s="91" t="n"/>
      <c r="G2023" s="91" t="n"/>
      <c r="H2023" s="91" t="n"/>
      <c r="I2023" s="91" t="n"/>
      <c r="J2023" s="91" t="n"/>
      <c r="K2023" s="91" t="n"/>
      <c r="L2023" s="91" t="n"/>
      <c r="M2023" s="91" t="n"/>
      <c r="N2023" s="91" t="n"/>
      <c r="O2023" s="91" t="n"/>
      <c r="P2023" s="91" t="n"/>
      <c r="Q2023" s="91" t="n"/>
      <c r="R2023" s="91" t="n"/>
      <c r="S2023" s="91" t="n"/>
      <c r="T2023" s="49">
        <f>DAY(C2023)</f>
        <v/>
      </c>
      <c r="U2023" s="49">
        <f>MONTH(C2023)</f>
        <v/>
      </c>
      <c r="V2023" s="26" t="n">
        <v>2025</v>
      </c>
      <c r="W2023" s="91" t="n"/>
      <c r="X2023" s="91" t="n"/>
      <c r="Y2023" s="91" t="n"/>
      <c r="Z2023" s="91" t="n"/>
    </row>
    <row r="2024" ht="12.75" customHeight="1" s="117">
      <c r="A2024" s="91" t="n"/>
      <c r="B2024" s="91" t="n"/>
      <c r="C2024" s="91" t="n"/>
      <c r="D2024" s="91" t="n"/>
      <c r="E2024" s="91" t="n"/>
      <c r="F2024" s="91" t="n"/>
      <c r="G2024" s="91" t="n"/>
      <c r="H2024" s="91" t="n"/>
      <c r="I2024" s="91" t="n"/>
      <c r="J2024" s="91" t="n"/>
      <c r="K2024" s="91" t="n"/>
      <c r="L2024" s="91" t="n"/>
      <c r="M2024" s="91" t="n"/>
      <c r="N2024" s="91" t="n"/>
      <c r="O2024" s="91" t="n"/>
      <c r="P2024" s="91" t="n"/>
      <c r="Q2024" s="91" t="n"/>
      <c r="R2024" s="91" t="n"/>
      <c r="S2024" s="91" t="n"/>
      <c r="T2024" s="49">
        <f>DAY(C2024)</f>
        <v/>
      </c>
      <c r="U2024" s="49">
        <f>MONTH(C2024)</f>
        <v/>
      </c>
      <c r="V2024" s="26" t="n">
        <v>2025</v>
      </c>
      <c r="W2024" s="91" t="n"/>
      <c r="X2024" s="91" t="n"/>
      <c r="Y2024" s="91" t="n"/>
      <c r="Z2024" s="91" t="n"/>
    </row>
    <row r="2025" ht="12.75" customHeight="1" s="117">
      <c r="A2025" s="91" t="n"/>
      <c r="B2025" s="91" t="n"/>
      <c r="C2025" s="91" t="n"/>
      <c r="D2025" s="91" t="n"/>
      <c r="E2025" s="91" t="n"/>
      <c r="F2025" s="91" t="n"/>
      <c r="G2025" s="91" t="n"/>
      <c r="H2025" s="91" t="n"/>
      <c r="I2025" s="91" t="n"/>
      <c r="J2025" s="91" t="n"/>
      <c r="K2025" s="91" t="n"/>
      <c r="L2025" s="91" t="n"/>
      <c r="M2025" s="91" t="n"/>
      <c r="N2025" s="91" t="n"/>
      <c r="O2025" s="91" t="n"/>
      <c r="P2025" s="91" t="n"/>
      <c r="Q2025" s="91" t="n"/>
      <c r="R2025" s="91" t="n"/>
      <c r="S2025" s="91" t="n"/>
      <c r="T2025" s="49">
        <f>DAY(C2025)</f>
        <v/>
      </c>
      <c r="U2025" s="49">
        <f>MONTH(C2025)</f>
        <v/>
      </c>
      <c r="V2025" s="26" t="n">
        <v>2025</v>
      </c>
      <c r="W2025" s="91" t="n"/>
      <c r="X2025" s="91" t="n"/>
      <c r="Y2025" s="91" t="n"/>
      <c r="Z2025" s="91" t="n"/>
    </row>
    <row r="2026" ht="12.75" customHeight="1" s="117">
      <c r="A2026" s="91" t="n"/>
      <c r="B2026" s="91" t="n"/>
      <c r="C2026" s="91" t="n"/>
      <c r="D2026" s="91" t="n"/>
      <c r="E2026" s="91" t="n"/>
      <c r="F2026" s="91" t="n"/>
      <c r="G2026" s="91" t="n"/>
      <c r="H2026" s="91" t="n"/>
      <c r="I2026" s="91" t="n"/>
      <c r="J2026" s="91" t="n"/>
      <c r="K2026" s="91" t="n"/>
      <c r="L2026" s="91" t="n"/>
      <c r="M2026" s="91" t="n"/>
      <c r="N2026" s="91" t="n"/>
      <c r="O2026" s="91" t="n"/>
      <c r="P2026" s="91" t="n"/>
      <c r="Q2026" s="91" t="n"/>
      <c r="R2026" s="91" t="n"/>
      <c r="S2026" s="91" t="n"/>
      <c r="T2026" s="49">
        <f>DAY(C2026)</f>
        <v/>
      </c>
      <c r="U2026" s="49">
        <f>MONTH(C2026)</f>
        <v/>
      </c>
      <c r="V2026" s="26" t="n">
        <v>2025</v>
      </c>
      <c r="W2026" s="91" t="n"/>
      <c r="X2026" s="91" t="n"/>
      <c r="Y2026" s="91" t="n"/>
      <c r="Z2026" s="91" t="n"/>
    </row>
    <row r="2027" ht="12.75" customHeight="1" s="117">
      <c r="A2027" s="91" t="n"/>
      <c r="B2027" s="91" t="n"/>
      <c r="C2027" s="91" t="n"/>
      <c r="D2027" s="91" t="n"/>
      <c r="E2027" s="91" t="n"/>
      <c r="F2027" s="91" t="n"/>
      <c r="G2027" s="91" t="n"/>
      <c r="H2027" s="91" t="n"/>
      <c r="I2027" s="91" t="n"/>
      <c r="J2027" s="91" t="n"/>
      <c r="K2027" s="91" t="n"/>
      <c r="L2027" s="91" t="n"/>
      <c r="M2027" s="91" t="n"/>
      <c r="N2027" s="91" t="n"/>
      <c r="O2027" s="91" t="n"/>
      <c r="P2027" s="91" t="n"/>
      <c r="Q2027" s="91" t="n"/>
      <c r="R2027" s="91" t="n"/>
      <c r="S2027" s="91" t="n"/>
      <c r="T2027" s="49">
        <f>DAY(C2027)</f>
        <v/>
      </c>
      <c r="U2027" s="49">
        <f>MONTH(C2027)</f>
        <v/>
      </c>
      <c r="V2027" s="26" t="n">
        <v>2025</v>
      </c>
      <c r="W2027" s="91" t="n"/>
      <c r="X2027" s="91" t="n"/>
      <c r="Y2027" s="91" t="n"/>
      <c r="Z2027" s="91" t="n"/>
    </row>
    <row r="2028" ht="12.75" customHeight="1" s="117">
      <c r="A2028" s="91" t="n"/>
      <c r="B2028" s="91" t="n"/>
      <c r="C2028" s="91" t="n"/>
      <c r="D2028" s="91" t="n"/>
      <c r="E2028" s="91" t="n"/>
      <c r="F2028" s="91" t="n"/>
      <c r="G2028" s="91" t="n"/>
      <c r="H2028" s="91" t="n"/>
      <c r="I2028" s="91" t="n"/>
      <c r="J2028" s="91" t="n"/>
      <c r="K2028" s="91" t="n"/>
      <c r="L2028" s="91" t="n"/>
      <c r="M2028" s="91" t="n"/>
      <c r="N2028" s="91" t="n"/>
      <c r="O2028" s="91" t="n"/>
      <c r="P2028" s="91" t="n"/>
      <c r="Q2028" s="91" t="n"/>
      <c r="R2028" s="91" t="n"/>
      <c r="S2028" s="91" t="n"/>
      <c r="T2028" s="49">
        <f>DAY(C2028)</f>
        <v/>
      </c>
      <c r="U2028" s="49">
        <f>MONTH(C2028)</f>
        <v/>
      </c>
      <c r="V2028" s="26" t="n">
        <v>2025</v>
      </c>
      <c r="W2028" s="91" t="n"/>
      <c r="X2028" s="91" t="n"/>
      <c r="Y2028" s="91" t="n"/>
      <c r="Z2028" s="91" t="n"/>
    </row>
    <row r="2029" ht="12.75" customHeight="1" s="117">
      <c r="A2029" s="91" t="n"/>
      <c r="B2029" s="91" t="n"/>
      <c r="C2029" s="91" t="n"/>
      <c r="D2029" s="91" t="n"/>
      <c r="E2029" s="91" t="n"/>
      <c r="F2029" s="91" t="n"/>
      <c r="G2029" s="91" t="n"/>
      <c r="H2029" s="91" t="n"/>
      <c r="I2029" s="91" t="n"/>
      <c r="J2029" s="91" t="n"/>
      <c r="K2029" s="91" t="n"/>
      <c r="L2029" s="91" t="n"/>
      <c r="M2029" s="91" t="n"/>
      <c r="N2029" s="91" t="n"/>
      <c r="O2029" s="91" t="n"/>
      <c r="P2029" s="91" t="n"/>
      <c r="Q2029" s="91" t="n"/>
      <c r="R2029" s="91" t="n"/>
      <c r="S2029" s="91" t="n"/>
      <c r="T2029" s="49">
        <f>DAY(C2029)</f>
        <v/>
      </c>
      <c r="U2029" s="49">
        <f>MONTH(C2029)</f>
        <v/>
      </c>
      <c r="V2029" s="26" t="n">
        <v>2025</v>
      </c>
      <c r="W2029" s="91" t="n"/>
      <c r="X2029" s="91" t="n"/>
      <c r="Y2029" s="91" t="n"/>
      <c r="Z2029" s="91" t="n"/>
    </row>
    <row r="2030" ht="12.75" customHeight="1" s="117">
      <c r="A2030" s="91" t="n"/>
      <c r="B2030" s="91" t="n"/>
      <c r="C2030" s="91" t="n"/>
      <c r="D2030" s="91" t="n"/>
      <c r="E2030" s="91" t="n"/>
      <c r="F2030" s="91" t="n"/>
      <c r="G2030" s="91" t="n"/>
      <c r="H2030" s="91" t="n"/>
      <c r="I2030" s="91" t="n"/>
      <c r="J2030" s="91" t="n"/>
      <c r="K2030" s="91" t="n"/>
      <c r="L2030" s="91" t="n"/>
      <c r="M2030" s="91" t="n"/>
      <c r="N2030" s="91" t="n"/>
      <c r="O2030" s="91" t="n"/>
      <c r="P2030" s="91" t="n"/>
      <c r="Q2030" s="91" t="n"/>
      <c r="R2030" s="91" t="n"/>
      <c r="S2030" s="91" t="n"/>
      <c r="T2030" s="49">
        <f>DAY(C2030)</f>
        <v/>
      </c>
      <c r="U2030" s="49">
        <f>MONTH(C2030)</f>
        <v/>
      </c>
      <c r="V2030" s="26" t="n">
        <v>2025</v>
      </c>
      <c r="W2030" s="91" t="n"/>
      <c r="X2030" s="91" t="n"/>
      <c r="Y2030" s="91" t="n"/>
      <c r="Z2030" s="91" t="n"/>
    </row>
    <row r="2031" ht="12.75" customHeight="1" s="117">
      <c r="A2031" s="91" t="n"/>
      <c r="B2031" s="91" t="n"/>
      <c r="C2031" s="91" t="n"/>
      <c r="D2031" s="91" t="n"/>
      <c r="E2031" s="91" t="n"/>
      <c r="F2031" s="91" t="n"/>
      <c r="G2031" s="91" t="n"/>
      <c r="H2031" s="91" t="n"/>
      <c r="I2031" s="91" t="n"/>
      <c r="J2031" s="91" t="n"/>
      <c r="K2031" s="91" t="n"/>
      <c r="L2031" s="91" t="n"/>
      <c r="M2031" s="91" t="n"/>
      <c r="N2031" s="91" t="n"/>
      <c r="O2031" s="91" t="n"/>
      <c r="P2031" s="91" t="n"/>
      <c r="Q2031" s="91" t="n"/>
      <c r="R2031" s="91" t="n"/>
      <c r="S2031" s="91" t="n"/>
      <c r="T2031" s="49">
        <f>DAY(C2031)</f>
        <v/>
      </c>
      <c r="U2031" s="49">
        <f>MONTH(C2031)</f>
        <v/>
      </c>
      <c r="V2031" s="26" t="n">
        <v>2025</v>
      </c>
      <c r="W2031" s="91" t="n"/>
      <c r="X2031" s="91" t="n"/>
      <c r="Y2031" s="91" t="n"/>
      <c r="Z2031" s="91" t="n"/>
    </row>
    <row r="2032" ht="12.75" customHeight="1" s="117">
      <c r="A2032" s="91" t="n"/>
      <c r="B2032" s="91" t="n"/>
      <c r="C2032" s="91" t="n"/>
      <c r="D2032" s="91" t="n"/>
      <c r="E2032" s="91" t="n"/>
      <c r="F2032" s="91" t="n"/>
      <c r="G2032" s="91" t="n"/>
      <c r="H2032" s="91" t="n"/>
      <c r="I2032" s="91" t="n"/>
      <c r="J2032" s="91" t="n"/>
      <c r="K2032" s="91" t="n"/>
      <c r="L2032" s="91" t="n"/>
      <c r="M2032" s="91" t="n"/>
      <c r="N2032" s="91" t="n"/>
      <c r="O2032" s="91" t="n"/>
      <c r="P2032" s="91" t="n"/>
      <c r="Q2032" s="91" t="n"/>
      <c r="R2032" s="91" t="n"/>
      <c r="S2032" s="91" t="n"/>
      <c r="T2032" s="49">
        <f>DAY(C2032)</f>
        <v/>
      </c>
      <c r="U2032" s="49">
        <f>MONTH(C2032)</f>
        <v/>
      </c>
      <c r="V2032" s="26" t="n">
        <v>2025</v>
      </c>
      <c r="W2032" s="91" t="n"/>
      <c r="X2032" s="91" t="n"/>
      <c r="Y2032" s="91" t="n"/>
      <c r="Z2032" s="91" t="n"/>
    </row>
    <row r="2033" ht="12.75" customHeight="1" s="117">
      <c r="A2033" s="91" t="n"/>
      <c r="B2033" s="91" t="n"/>
      <c r="C2033" s="91" t="n"/>
      <c r="D2033" s="91" t="n"/>
      <c r="E2033" s="91" t="n"/>
      <c r="F2033" s="91" t="n"/>
      <c r="G2033" s="91" t="n"/>
      <c r="H2033" s="91" t="n"/>
      <c r="I2033" s="91" t="n"/>
      <c r="J2033" s="91" t="n"/>
      <c r="K2033" s="91" t="n"/>
      <c r="L2033" s="91" t="n"/>
      <c r="M2033" s="91" t="n"/>
      <c r="N2033" s="91" t="n"/>
      <c r="O2033" s="91" t="n"/>
      <c r="P2033" s="91" t="n"/>
      <c r="Q2033" s="91" t="n"/>
      <c r="R2033" s="91" t="n"/>
      <c r="S2033" s="91" t="n"/>
      <c r="T2033" s="49">
        <f>DAY(C2033)</f>
        <v/>
      </c>
      <c r="U2033" s="49">
        <f>MONTH(C2033)</f>
        <v/>
      </c>
      <c r="V2033" s="26" t="n">
        <v>2025</v>
      </c>
      <c r="W2033" s="91" t="n"/>
      <c r="X2033" s="91" t="n"/>
      <c r="Y2033" s="91" t="n"/>
      <c r="Z2033" s="91" t="n"/>
    </row>
    <row r="2034" ht="12.75" customHeight="1" s="117">
      <c r="A2034" s="91" t="n"/>
      <c r="B2034" s="91" t="n"/>
      <c r="C2034" s="91" t="n"/>
      <c r="D2034" s="91" t="n"/>
      <c r="E2034" s="91" t="n"/>
      <c r="F2034" s="91" t="n"/>
      <c r="G2034" s="91" t="n"/>
      <c r="H2034" s="91" t="n"/>
      <c r="I2034" s="91" t="n"/>
      <c r="J2034" s="91" t="n"/>
      <c r="K2034" s="91" t="n"/>
      <c r="L2034" s="91" t="n"/>
      <c r="M2034" s="91" t="n"/>
      <c r="N2034" s="91" t="n"/>
      <c r="O2034" s="91" t="n"/>
      <c r="P2034" s="91" t="n"/>
      <c r="Q2034" s="91" t="n"/>
      <c r="R2034" s="91" t="n"/>
      <c r="S2034" s="91" t="n"/>
      <c r="T2034" s="49">
        <f>DAY(C2034)</f>
        <v/>
      </c>
      <c r="U2034" s="49">
        <f>MONTH(C2034)</f>
        <v/>
      </c>
      <c r="V2034" s="26" t="n">
        <v>2025</v>
      </c>
      <c r="W2034" s="91" t="n"/>
      <c r="X2034" s="91" t="n"/>
      <c r="Y2034" s="91" t="n"/>
      <c r="Z2034" s="91" t="n"/>
    </row>
    <row r="2035" ht="12.75" customHeight="1" s="117">
      <c r="A2035" s="91" t="n"/>
      <c r="B2035" s="91" t="n"/>
      <c r="C2035" s="91" t="n"/>
      <c r="D2035" s="91" t="n"/>
      <c r="E2035" s="91" t="n"/>
      <c r="F2035" s="91" t="n"/>
      <c r="G2035" s="91" t="n"/>
      <c r="H2035" s="91" t="n"/>
      <c r="I2035" s="91" t="n"/>
      <c r="J2035" s="91" t="n"/>
      <c r="K2035" s="91" t="n"/>
      <c r="L2035" s="91" t="n"/>
      <c r="M2035" s="91" t="n"/>
      <c r="N2035" s="91" t="n"/>
      <c r="O2035" s="91" t="n"/>
      <c r="P2035" s="91" t="n"/>
      <c r="Q2035" s="91" t="n"/>
      <c r="R2035" s="91" t="n"/>
      <c r="S2035" s="91" t="n"/>
      <c r="T2035" s="49">
        <f>DAY(C2035)</f>
        <v/>
      </c>
      <c r="U2035" s="49">
        <f>MONTH(C2035)</f>
        <v/>
      </c>
      <c r="V2035" s="26" t="n">
        <v>2025</v>
      </c>
      <c r="W2035" s="91" t="n"/>
      <c r="X2035" s="91" t="n"/>
      <c r="Y2035" s="91" t="n"/>
      <c r="Z2035" s="91" t="n"/>
    </row>
    <row r="2036" ht="12.75" customHeight="1" s="117">
      <c r="A2036" s="91" t="n"/>
      <c r="B2036" s="91" t="n"/>
      <c r="C2036" s="91" t="n"/>
      <c r="D2036" s="91" t="n"/>
      <c r="E2036" s="91" t="n"/>
      <c r="F2036" s="91" t="n"/>
      <c r="G2036" s="91" t="n"/>
      <c r="H2036" s="91" t="n"/>
      <c r="I2036" s="91" t="n"/>
      <c r="J2036" s="91" t="n"/>
      <c r="K2036" s="91" t="n"/>
      <c r="L2036" s="91" t="n"/>
      <c r="M2036" s="91" t="n"/>
      <c r="N2036" s="91" t="n"/>
      <c r="O2036" s="91" t="n"/>
      <c r="P2036" s="91" t="n"/>
      <c r="Q2036" s="91" t="n"/>
      <c r="R2036" s="91" t="n"/>
      <c r="S2036" s="91" t="n"/>
      <c r="T2036" s="49">
        <f>DAY(C2036)</f>
        <v/>
      </c>
      <c r="U2036" s="49">
        <f>MONTH(C2036)</f>
        <v/>
      </c>
      <c r="V2036" s="26" t="n">
        <v>2025</v>
      </c>
      <c r="W2036" s="91" t="n"/>
      <c r="X2036" s="91" t="n"/>
      <c r="Y2036" s="91" t="n"/>
      <c r="Z2036" s="91" t="n"/>
    </row>
    <row r="2037" ht="12.75" customHeight="1" s="117">
      <c r="A2037" s="91" t="n"/>
      <c r="B2037" s="91" t="n"/>
      <c r="C2037" s="91" t="n"/>
      <c r="D2037" s="91" t="n"/>
      <c r="E2037" s="91" t="n"/>
      <c r="F2037" s="91" t="n"/>
      <c r="G2037" s="91" t="n"/>
      <c r="H2037" s="91" t="n"/>
      <c r="I2037" s="91" t="n"/>
      <c r="J2037" s="91" t="n"/>
      <c r="K2037" s="91" t="n"/>
      <c r="L2037" s="91" t="n"/>
      <c r="M2037" s="91" t="n"/>
      <c r="N2037" s="91" t="n"/>
      <c r="O2037" s="91" t="n"/>
      <c r="P2037" s="91" t="n"/>
      <c r="Q2037" s="91" t="n"/>
      <c r="R2037" s="91" t="n"/>
      <c r="S2037" s="91" t="n"/>
      <c r="T2037" s="49">
        <f>DAY(C2037)</f>
        <v/>
      </c>
      <c r="U2037" s="49">
        <f>MONTH(C2037)</f>
        <v/>
      </c>
      <c r="V2037" s="26" t="n">
        <v>2025</v>
      </c>
      <c r="W2037" s="91" t="n"/>
      <c r="X2037" s="91" t="n"/>
      <c r="Y2037" s="91" t="n"/>
      <c r="Z2037" s="91" t="n"/>
    </row>
    <row r="2038" ht="12.75" customHeight="1" s="117">
      <c r="A2038" s="91" t="n"/>
      <c r="B2038" s="91" t="n"/>
      <c r="C2038" s="91" t="n"/>
      <c r="D2038" s="91" t="n"/>
      <c r="E2038" s="91" t="n"/>
      <c r="F2038" s="91" t="n"/>
      <c r="G2038" s="91" t="n"/>
      <c r="H2038" s="91" t="n"/>
      <c r="I2038" s="91" t="n"/>
      <c r="J2038" s="91" t="n"/>
      <c r="K2038" s="91" t="n"/>
      <c r="L2038" s="91" t="n"/>
      <c r="M2038" s="91" t="n"/>
      <c r="N2038" s="91" t="n"/>
      <c r="O2038" s="91" t="n"/>
      <c r="P2038" s="91" t="n"/>
      <c r="Q2038" s="91" t="n"/>
      <c r="R2038" s="91" t="n"/>
      <c r="S2038" s="91" t="n"/>
      <c r="T2038" s="49">
        <f>DAY(C2038)</f>
        <v/>
      </c>
      <c r="U2038" s="49">
        <f>MONTH(C2038)</f>
        <v/>
      </c>
      <c r="V2038" s="26" t="n">
        <v>2025</v>
      </c>
      <c r="W2038" s="91" t="n"/>
      <c r="X2038" s="91" t="n"/>
      <c r="Y2038" s="91" t="n"/>
      <c r="Z2038" s="91" t="n"/>
    </row>
    <row r="2039" ht="12.75" customHeight="1" s="117">
      <c r="A2039" s="91" t="n"/>
      <c r="B2039" s="91" t="n"/>
      <c r="C2039" s="91" t="n"/>
      <c r="D2039" s="91" t="n"/>
      <c r="E2039" s="91" t="n"/>
      <c r="F2039" s="91" t="n"/>
      <c r="G2039" s="91" t="n"/>
      <c r="H2039" s="91" t="n"/>
      <c r="I2039" s="91" t="n"/>
      <c r="J2039" s="91" t="n"/>
      <c r="K2039" s="91" t="n"/>
      <c r="L2039" s="91" t="n"/>
      <c r="M2039" s="91" t="n"/>
      <c r="N2039" s="91" t="n"/>
      <c r="O2039" s="91" t="n"/>
      <c r="P2039" s="91" t="n"/>
      <c r="Q2039" s="91" t="n"/>
      <c r="R2039" s="91" t="n"/>
      <c r="S2039" s="91" t="n"/>
      <c r="T2039" s="49">
        <f>DAY(C2039)</f>
        <v/>
      </c>
      <c r="U2039" s="49">
        <f>MONTH(C2039)</f>
        <v/>
      </c>
      <c r="V2039" s="26" t="n">
        <v>2025</v>
      </c>
      <c r="W2039" s="91" t="n"/>
      <c r="X2039" s="91" t="n"/>
      <c r="Y2039" s="91" t="n"/>
      <c r="Z2039" s="91" t="n"/>
    </row>
    <row r="2040" ht="12.75" customHeight="1" s="117">
      <c r="A2040" s="91" t="n"/>
      <c r="B2040" s="91" t="n"/>
      <c r="C2040" s="91" t="n"/>
      <c r="D2040" s="91" t="n"/>
      <c r="E2040" s="91" t="n"/>
      <c r="F2040" s="91" t="n"/>
      <c r="G2040" s="91" t="n"/>
      <c r="H2040" s="91" t="n"/>
      <c r="I2040" s="91" t="n"/>
      <c r="J2040" s="91" t="n"/>
      <c r="K2040" s="91" t="n"/>
      <c r="L2040" s="91" t="n"/>
      <c r="M2040" s="91" t="n"/>
      <c r="N2040" s="91" t="n"/>
      <c r="O2040" s="91" t="n"/>
      <c r="P2040" s="91" t="n"/>
      <c r="Q2040" s="91" t="n"/>
      <c r="R2040" s="91" t="n"/>
      <c r="S2040" s="91" t="n"/>
      <c r="T2040" s="49">
        <f>DAY(C2040)</f>
        <v/>
      </c>
      <c r="U2040" s="49">
        <f>MONTH(C2040)</f>
        <v/>
      </c>
      <c r="V2040" s="26" t="n">
        <v>2025</v>
      </c>
      <c r="W2040" s="91" t="n"/>
      <c r="X2040" s="91" t="n"/>
      <c r="Y2040" s="91" t="n"/>
      <c r="Z2040" s="91" t="n"/>
    </row>
    <row r="2041" ht="12.75" customHeight="1" s="117">
      <c r="A2041" s="91" t="n"/>
      <c r="B2041" s="91" t="n"/>
      <c r="C2041" s="91" t="n"/>
      <c r="D2041" s="91" t="n"/>
      <c r="E2041" s="91" t="n"/>
      <c r="F2041" s="91" t="n"/>
      <c r="G2041" s="91" t="n"/>
      <c r="H2041" s="91" t="n"/>
      <c r="I2041" s="91" t="n"/>
      <c r="J2041" s="91" t="n"/>
      <c r="K2041" s="91" t="n"/>
      <c r="L2041" s="91" t="n"/>
      <c r="M2041" s="91" t="n"/>
      <c r="N2041" s="91" t="n"/>
      <c r="O2041" s="91" t="n"/>
      <c r="P2041" s="91" t="n"/>
      <c r="Q2041" s="91" t="n"/>
      <c r="R2041" s="91" t="n"/>
      <c r="S2041" s="91" t="n"/>
      <c r="T2041" s="49">
        <f>DAY(C2041)</f>
        <v/>
      </c>
      <c r="U2041" s="49">
        <f>MONTH(C2041)</f>
        <v/>
      </c>
      <c r="V2041" s="26" t="n">
        <v>2025</v>
      </c>
      <c r="W2041" s="91" t="n"/>
      <c r="X2041" s="91" t="n"/>
      <c r="Y2041" s="91" t="n"/>
      <c r="Z2041" s="91" t="n"/>
    </row>
    <row r="2042" ht="12.75" customHeight="1" s="117">
      <c r="A2042" s="91" t="n"/>
      <c r="B2042" s="91" t="n"/>
      <c r="C2042" s="91" t="n"/>
      <c r="D2042" s="91" t="n"/>
      <c r="E2042" s="91" t="n"/>
      <c r="F2042" s="91" t="n"/>
      <c r="G2042" s="91" t="n"/>
      <c r="H2042" s="91" t="n"/>
      <c r="I2042" s="91" t="n"/>
      <c r="J2042" s="91" t="n"/>
      <c r="K2042" s="91" t="n"/>
      <c r="L2042" s="91" t="n"/>
      <c r="M2042" s="91" t="n"/>
      <c r="N2042" s="91" t="n"/>
      <c r="O2042" s="91" t="n"/>
      <c r="P2042" s="91" t="n"/>
      <c r="Q2042" s="91" t="n"/>
      <c r="R2042" s="91" t="n"/>
      <c r="S2042" s="91" t="n"/>
      <c r="T2042" s="49">
        <f>DAY(C2042)</f>
        <v/>
      </c>
      <c r="U2042" s="49">
        <f>MONTH(C2042)</f>
        <v/>
      </c>
      <c r="V2042" s="26" t="n">
        <v>2025</v>
      </c>
      <c r="W2042" s="91" t="n"/>
      <c r="X2042" s="91" t="n"/>
      <c r="Y2042" s="91" t="n"/>
      <c r="Z2042" s="91" t="n"/>
    </row>
    <row r="2043" ht="12.75" customHeight="1" s="117">
      <c r="A2043" s="91" t="n"/>
      <c r="B2043" s="91" t="n"/>
      <c r="C2043" s="91" t="n"/>
      <c r="D2043" s="91" t="n"/>
      <c r="E2043" s="91" t="n"/>
      <c r="F2043" s="91" t="n"/>
      <c r="G2043" s="91" t="n"/>
      <c r="H2043" s="91" t="n"/>
      <c r="I2043" s="91" t="n"/>
      <c r="J2043" s="91" t="n"/>
      <c r="K2043" s="91" t="n"/>
      <c r="L2043" s="91" t="n"/>
      <c r="M2043" s="91" t="n"/>
      <c r="N2043" s="91" t="n"/>
      <c r="O2043" s="91" t="n"/>
      <c r="P2043" s="91" t="n"/>
      <c r="Q2043" s="91" t="n"/>
      <c r="R2043" s="91" t="n"/>
      <c r="S2043" s="91" t="n"/>
      <c r="T2043" s="49">
        <f>DAY(C2043)</f>
        <v/>
      </c>
      <c r="U2043" s="49">
        <f>MONTH(C2043)</f>
        <v/>
      </c>
      <c r="V2043" s="26" t="n">
        <v>2025</v>
      </c>
      <c r="W2043" s="91" t="n"/>
      <c r="X2043" s="91" t="n"/>
      <c r="Y2043" s="91" t="n"/>
      <c r="Z2043" s="91" t="n"/>
    </row>
    <row r="2044" ht="12.75" customHeight="1" s="117">
      <c r="A2044" s="91" t="n"/>
      <c r="B2044" s="91" t="n"/>
      <c r="C2044" s="91" t="n"/>
      <c r="D2044" s="91" t="n"/>
      <c r="E2044" s="91" t="n"/>
      <c r="F2044" s="91" t="n"/>
      <c r="G2044" s="91" t="n"/>
      <c r="H2044" s="91" t="n"/>
      <c r="I2044" s="91" t="n"/>
      <c r="J2044" s="91" t="n"/>
      <c r="K2044" s="91" t="n"/>
      <c r="L2044" s="91" t="n"/>
      <c r="M2044" s="91" t="n"/>
      <c r="N2044" s="91" t="n"/>
      <c r="O2044" s="91" t="n"/>
      <c r="P2044" s="91" t="n"/>
      <c r="Q2044" s="91" t="n"/>
      <c r="R2044" s="91" t="n"/>
      <c r="S2044" s="91" t="n"/>
      <c r="T2044" s="49">
        <f>DAY(C2044)</f>
        <v/>
      </c>
      <c r="U2044" s="49">
        <f>MONTH(C2044)</f>
        <v/>
      </c>
      <c r="V2044" s="26" t="n">
        <v>2025</v>
      </c>
      <c r="W2044" s="91" t="n"/>
      <c r="X2044" s="91" t="n"/>
      <c r="Y2044" s="91" t="n"/>
      <c r="Z2044" s="91" t="n"/>
    </row>
    <row r="2045" ht="12.75" customHeight="1" s="117">
      <c r="A2045" s="91" t="n"/>
      <c r="B2045" s="91" t="n"/>
      <c r="C2045" s="91" t="n"/>
      <c r="D2045" s="91" t="n"/>
      <c r="E2045" s="91" t="n"/>
      <c r="F2045" s="91" t="n"/>
      <c r="G2045" s="91" t="n"/>
      <c r="H2045" s="91" t="n"/>
      <c r="I2045" s="91" t="n"/>
      <c r="J2045" s="91" t="n"/>
      <c r="K2045" s="91" t="n"/>
      <c r="L2045" s="91" t="n"/>
      <c r="M2045" s="91" t="n"/>
      <c r="N2045" s="91" t="n"/>
      <c r="O2045" s="91" t="n"/>
      <c r="P2045" s="91" t="n"/>
      <c r="Q2045" s="91" t="n"/>
      <c r="R2045" s="91" t="n"/>
      <c r="S2045" s="91" t="n"/>
      <c r="T2045" s="49">
        <f>DAY(C2045)</f>
        <v/>
      </c>
      <c r="U2045" s="49">
        <f>MONTH(C2045)</f>
        <v/>
      </c>
      <c r="V2045" s="26" t="n">
        <v>2025</v>
      </c>
      <c r="W2045" s="91" t="n"/>
      <c r="X2045" s="91" t="n"/>
      <c r="Y2045" s="91" t="n"/>
      <c r="Z2045" s="91" t="n"/>
    </row>
    <row r="2046" ht="12.75" customHeight="1" s="117">
      <c r="A2046" s="91" t="n"/>
      <c r="B2046" s="91" t="n"/>
      <c r="C2046" s="91" t="n"/>
      <c r="D2046" s="91" t="n"/>
      <c r="E2046" s="91" t="n"/>
      <c r="F2046" s="91" t="n"/>
      <c r="G2046" s="91" t="n"/>
      <c r="H2046" s="91" t="n"/>
      <c r="I2046" s="91" t="n"/>
      <c r="J2046" s="91" t="n"/>
      <c r="K2046" s="91" t="n"/>
      <c r="L2046" s="91" t="n"/>
      <c r="M2046" s="91" t="n"/>
      <c r="N2046" s="91" t="n"/>
      <c r="O2046" s="91" t="n"/>
      <c r="P2046" s="91" t="n"/>
      <c r="Q2046" s="91" t="n"/>
      <c r="R2046" s="91" t="n"/>
      <c r="S2046" s="91" t="n"/>
      <c r="T2046" s="49">
        <f>DAY(C2046)</f>
        <v/>
      </c>
      <c r="U2046" s="49">
        <f>MONTH(C2046)</f>
        <v/>
      </c>
      <c r="V2046" s="26" t="n">
        <v>2025</v>
      </c>
      <c r="W2046" s="91" t="n"/>
      <c r="X2046" s="91" t="n"/>
      <c r="Y2046" s="91" t="n"/>
      <c r="Z2046" s="91" t="n"/>
    </row>
    <row r="2047" ht="12.75" customHeight="1" s="117">
      <c r="A2047" s="91" t="n"/>
      <c r="B2047" s="91" t="n"/>
      <c r="C2047" s="91" t="n"/>
      <c r="D2047" s="91" t="n"/>
      <c r="E2047" s="91" t="n"/>
      <c r="F2047" s="91" t="n"/>
      <c r="G2047" s="91" t="n"/>
      <c r="H2047" s="91" t="n"/>
      <c r="I2047" s="91" t="n"/>
      <c r="J2047" s="91" t="n"/>
      <c r="K2047" s="91" t="n"/>
      <c r="L2047" s="91" t="n"/>
      <c r="M2047" s="91" t="n"/>
      <c r="N2047" s="91" t="n"/>
      <c r="O2047" s="91" t="n"/>
      <c r="P2047" s="91" t="n"/>
      <c r="Q2047" s="91" t="n"/>
      <c r="R2047" s="91" t="n"/>
      <c r="S2047" s="91" t="n"/>
      <c r="T2047" s="49">
        <f>DAY(C2047)</f>
        <v/>
      </c>
      <c r="U2047" s="49">
        <f>MONTH(C2047)</f>
        <v/>
      </c>
      <c r="V2047" s="26" t="n">
        <v>2025</v>
      </c>
      <c r="W2047" s="91" t="n"/>
      <c r="X2047" s="91" t="n"/>
      <c r="Y2047" s="91" t="n"/>
      <c r="Z2047" s="91" t="n"/>
    </row>
    <row r="2048" ht="12.75" customHeight="1" s="117">
      <c r="A2048" s="91" t="n"/>
      <c r="B2048" s="91" t="n"/>
      <c r="C2048" s="91" t="n"/>
      <c r="D2048" s="91" t="n"/>
      <c r="E2048" s="91" t="n"/>
      <c r="F2048" s="91" t="n"/>
      <c r="G2048" s="91" t="n"/>
      <c r="H2048" s="91" t="n"/>
      <c r="I2048" s="91" t="n"/>
      <c r="J2048" s="91" t="n"/>
      <c r="K2048" s="91" t="n"/>
      <c r="L2048" s="91" t="n"/>
      <c r="M2048" s="91" t="n"/>
      <c r="N2048" s="91" t="n"/>
      <c r="O2048" s="91" t="n"/>
      <c r="P2048" s="91" t="n"/>
      <c r="Q2048" s="91" t="n"/>
      <c r="R2048" s="91" t="n"/>
      <c r="S2048" s="91" t="n"/>
      <c r="T2048" s="49">
        <f>DAY(C2048)</f>
        <v/>
      </c>
      <c r="U2048" s="49">
        <f>MONTH(C2048)</f>
        <v/>
      </c>
      <c r="V2048" s="26" t="n">
        <v>2025</v>
      </c>
      <c r="W2048" s="91" t="n"/>
      <c r="X2048" s="91" t="n"/>
      <c r="Y2048" s="91" t="n"/>
      <c r="Z2048" s="91" t="n"/>
    </row>
    <row r="2049" ht="12.75" customHeight="1" s="117">
      <c r="A2049" s="91" t="n"/>
      <c r="B2049" s="91" t="n"/>
      <c r="C2049" s="91" t="n"/>
      <c r="D2049" s="91" t="n"/>
      <c r="E2049" s="91" t="n"/>
      <c r="F2049" s="91" t="n"/>
      <c r="G2049" s="91" t="n"/>
      <c r="H2049" s="91" t="n"/>
      <c r="I2049" s="91" t="n"/>
      <c r="J2049" s="91" t="n"/>
      <c r="K2049" s="91" t="n"/>
      <c r="L2049" s="91" t="n"/>
      <c r="M2049" s="91" t="n"/>
      <c r="N2049" s="91" t="n"/>
      <c r="O2049" s="91" t="n"/>
      <c r="P2049" s="91" t="n"/>
      <c r="Q2049" s="91" t="n"/>
      <c r="R2049" s="91" t="n"/>
      <c r="S2049" s="91" t="n"/>
      <c r="T2049" s="49">
        <f>DAY(C2049)</f>
        <v/>
      </c>
      <c r="U2049" s="49">
        <f>MONTH(C2049)</f>
        <v/>
      </c>
      <c r="V2049" s="26" t="n">
        <v>2025</v>
      </c>
      <c r="W2049" s="91" t="n"/>
      <c r="X2049" s="91" t="n"/>
      <c r="Y2049" s="91" t="n"/>
      <c r="Z2049" s="91" t="n"/>
    </row>
    <row r="2050" ht="12.75" customHeight="1" s="117">
      <c r="A2050" s="91" t="n"/>
      <c r="B2050" s="91" t="n"/>
      <c r="C2050" s="91" t="n"/>
      <c r="D2050" s="91" t="n"/>
      <c r="E2050" s="91" t="n"/>
      <c r="F2050" s="91" t="n"/>
      <c r="G2050" s="91" t="n"/>
      <c r="H2050" s="91" t="n"/>
      <c r="I2050" s="91" t="n"/>
      <c r="J2050" s="91" t="n"/>
      <c r="K2050" s="91" t="n"/>
      <c r="L2050" s="91" t="n"/>
      <c r="M2050" s="91" t="n"/>
      <c r="N2050" s="91" t="n"/>
      <c r="O2050" s="91" t="n"/>
      <c r="P2050" s="91" t="n"/>
      <c r="Q2050" s="91" t="n"/>
      <c r="R2050" s="91" t="n"/>
      <c r="S2050" s="91" t="n"/>
      <c r="T2050" s="49">
        <f>DAY(C2050)</f>
        <v/>
      </c>
      <c r="U2050" s="49">
        <f>MONTH(C2050)</f>
        <v/>
      </c>
      <c r="V2050" s="26" t="n">
        <v>2025</v>
      </c>
      <c r="W2050" s="91" t="n"/>
      <c r="X2050" s="91" t="n"/>
      <c r="Y2050" s="91" t="n"/>
      <c r="Z2050" s="91" t="n"/>
    </row>
    <row r="2051" ht="12.75" customHeight="1" s="117">
      <c r="A2051" s="91" t="n"/>
      <c r="B2051" s="91" t="n"/>
      <c r="C2051" s="91" t="n"/>
      <c r="D2051" s="91" t="n"/>
      <c r="E2051" s="91" t="n"/>
      <c r="F2051" s="91" t="n"/>
      <c r="G2051" s="91" t="n"/>
      <c r="H2051" s="91" t="n"/>
      <c r="I2051" s="91" t="n"/>
      <c r="J2051" s="91" t="n"/>
      <c r="K2051" s="91" t="n"/>
      <c r="L2051" s="91" t="n"/>
      <c r="M2051" s="91" t="n"/>
      <c r="N2051" s="91" t="n"/>
      <c r="O2051" s="91" t="n"/>
      <c r="P2051" s="91" t="n"/>
      <c r="Q2051" s="91" t="n"/>
      <c r="R2051" s="91" t="n"/>
      <c r="S2051" s="91" t="n"/>
      <c r="T2051" s="49">
        <f>DAY(C2051)</f>
        <v/>
      </c>
      <c r="U2051" s="49">
        <f>MONTH(C2051)</f>
        <v/>
      </c>
      <c r="V2051" s="26" t="n">
        <v>2025</v>
      </c>
      <c r="W2051" s="91" t="n"/>
      <c r="X2051" s="91" t="n"/>
      <c r="Y2051" s="91" t="n"/>
      <c r="Z2051" s="91" t="n"/>
    </row>
    <row r="2052" ht="12.75" customHeight="1" s="117">
      <c r="A2052" s="91" t="n"/>
      <c r="B2052" s="91" t="n"/>
      <c r="C2052" s="91" t="n"/>
      <c r="D2052" s="91" t="n"/>
      <c r="E2052" s="91" t="n"/>
      <c r="F2052" s="91" t="n"/>
      <c r="G2052" s="91" t="n"/>
      <c r="H2052" s="91" t="n"/>
      <c r="I2052" s="91" t="n"/>
      <c r="J2052" s="91" t="n"/>
      <c r="K2052" s="91" t="n"/>
      <c r="L2052" s="91" t="n"/>
      <c r="M2052" s="91" t="n"/>
      <c r="N2052" s="91" t="n"/>
      <c r="O2052" s="91" t="n"/>
      <c r="P2052" s="91" t="n"/>
      <c r="Q2052" s="91" t="n"/>
      <c r="R2052" s="91" t="n"/>
      <c r="S2052" s="91" t="n"/>
      <c r="T2052" s="49">
        <f>DAY(C2052)</f>
        <v/>
      </c>
      <c r="U2052" s="49">
        <f>MONTH(C2052)</f>
        <v/>
      </c>
      <c r="V2052" s="26" t="n">
        <v>2025</v>
      </c>
      <c r="W2052" s="91" t="n"/>
      <c r="X2052" s="91" t="n"/>
      <c r="Y2052" s="91" t="n"/>
      <c r="Z2052" s="91" t="n"/>
    </row>
    <row r="2053" ht="12.75" customHeight="1" s="117">
      <c r="A2053" s="91" t="n"/>
      <c r="B2053" s="91" t="n"/>
      <c r="C2053" s="91" t="n"/>
      <c r="D2053" s="91" t="n"/>
      <c r="E2053" s="91" t="n"/>
      <c r="F2053" s="91" t="n"/>
      <c r="G2053" s="91" t="n"/>
      <c r="H2053" s="91" t="n"/>
      <c r="I2053" s="91" t="n"/>
      <c r="J2053" s="91" t="n"/>
      <c r="K2053" s="91" t="n"/>
      <c r="L2053" s="91" t="n"/>
      <c r="M2053" s="91" t="n"/>
      <c r="N2053" s="91" t="n"/>
      <c r="O2053" s="91" t="n"/>
      <c r="P2053" s="91" t="n"/>
      <c r="Q2053" s="91" t="n"/>
      <c r="R2053" s="91" t="n"/>
      <c r="S2053" s="91" t="n"/>
      <c r="T2053" s="49">
        <f>DAY(C2053)</f>
        <v/>
      </c>
      <c r="U2053" s="49">
        <f>MONTH(C2053)</f>
        <v/>
      </c>
      <c r="V2053" s="26" t="n">
        <v>2025</v>
      </c>
      <c r="W2053" s="91" t="n"/>
      <c r="X2053" s="91" t="n"/>
      <c r="Y2053" s="91" t="n"/>
      <c r="Z2053" s="91" t="n"/>
    </row>
    <row r="2054" ht="12.75" customHeight="1" s="117">
      <c r="A2054" s="91" t="n"/>
      <c r="B2054" s="91" t="n"/>
      <c r="C2054" s="91" t="n"/>
      <c r="D2054" s="91" t="n"/>
      <c r="E2054" s="91" t="n"/>
      <c r="F2054" s="91" t="n"/>
      <c r="G2054" s="91" t="n"/>
      <c r="H2054" s="91" t="n"/>
      <c r="I2054" s="91" t="n"/>
      <c r="J2054" s="91" t="n"/>
      <c r="K2054" s="91" t="n"/>
      <c r="L2054" s="91" t="n"/>
      <c r="M2054" s="91" t="n"/>
      <c r="N2054" s="91" t="n"/>
      <c r="O2054" s="91" t="n"/>
      <c r="P2054" s="91" t="n"/>
      <c r="Q2054" s="91" t="n"/>
      <c r="R2054" s="91" t="n"/>
      <c r="S2054" s="91" t="n"/>
      <c r="T2054" s="49">
        <f>DAY(C2054)</f>
        <v/>
      </c>
      <c r="U2054" s="49">
        <f>MONTH(C2054)</f>
        <v/>
      </c>
      <c r="V2054" s="26" t="n">
        <v>2025</v>
      </c>
      <c r="W2054" s="91" t="n"/>
      <c r="X2054" s="91" t="n"/>
      <c r="Y2054" s="91" t="n"/>
      <c r="Z2054" s="91" t="n"/>
    </row>
    <row r="2055" ht="12.75" customHeight="1" s="117">
      <c r="A2055" s="91" t="n"/>
      <c r="B2055" s="91" t="n"/>
      <c r="C2055" s="91" t="n"/>
      <c r="D2055" s="91" t="n"/>
      <c r="E2055" s="91" t="n"/>
      <c r="F2055" s="91" t="n"/>
      <c r="G2055" s="91" t="n"/>
      <c r="H2055" s="91" t="n"/>
      <c r="I2055" s="91" t="n"/>
      <c r="J2055" s="91" t="n"/>
      <c r="K2055" s="91" t="n"/>
      <c r="L2055" s="91" t="n"/>
      <c r="M2055" s="91" t="n"/>
      <c r="N2055" s="91" t="n"/>
      <c r="O2055" s="91" t="n"/>
      <c r="P2055" s="91" t="n"/>
      <c r="Q2055" s="91" t="n"/>
      <c r="R2055" s="91" t="n"/>
      <c r="S2055" s="91" t="n"/>
      <c r="T2055" s="49">
        <f>DAY(C2055)</f>
        <v/>
      </c>
      <c r="U2055" s="49">
        <f>MONTH(C2055)</f>
        <v/>
      </c>
      <c r="V2055" s="26" t="n">
        <v>2025</v>
      </c>
      <c r="W2055" s="91" t="n"/>
      <c r="X2055" s="91" t="n"/>
      <c r="Y2055" s="91" t="n"/>
      <c r="Z2055" s="91" t="n"/>
    </row>
    <row r="2056" ht="12.75" customHeight="1" s="117">
      <c r="A2056" s="91" t="n"/>
      <c r="B2056" s="91" t="n"/>
      <c r="C2056" s="91" t="n"/>
      <c r="D2056" s="91" t="n"/>
      <c r="E2056" s="91" t="n"/>
      <c r="F2056" s="91" t="n"/>
      <c r="G2056" s="91" t="n"/>
      <c r="H2056" s="91" t="n"/>
      <c r="I2056" s="91" t="n"/>
      <c r="J2056" s="91" t="n"/>
      <c r="K2056" s="91" t="n"/>
      <c r="L2056" s="91" t="n"/>
      <c r="M2056" s="91" t="n"/>
      <c r="N2056" s="91" t="n"/>
      <c r="O2056" s="91" t="n"/>
      <c r="P2056" s="91" t="n"/>
      <c r="Q2056" s="91" t="n"/>
      <c r="R2056" s="91" t="n"/>
      <c r="S2056" s="91" t="n"/>
      <c r="T2056" s="49">
        <f>DAY(C2056)</f>
        <v/>
      </c>
      <c r="U2056" s="49">
        <f>MONTH(C2056)</f>
        <v/>
      </c>
      <c r="V2056" s="26" t="n">
        <v>2025</v>
      </c>
      <c r="W2056" s="91" t="n"/>
      <c r="X2056" s="91" t="n"/>
      <c r="Y2056" s="91" t="n"/>
      <c r="Z2056" s="91" t="n"/>
    </row>
    <row r="2057" ht="12.75" customHeight="1" s="117">
      <c r="A2057" s="91" t="n"/>
      <c r="B2057" s="91" t="n"/>
      <c r="C2057" s="91" t="n"/>
      <c r="D2057" s="91" t="n"/>
      <c r="E2057" s="91" t="n"/>
      <c r="F2057" s="91" t="n"/>
      <c r="G2057" s="91" t="n"/>
      <c r="H2057" s="91" t="n"/>
      <c r="I2057" s="91" t="n"/>
      <c r="J2057" s="91" t="n"/>
      <c r="K2057" s="91" t="n"/>
      <c r="L2057" s="91" t="n"/>
      <c r="M2057" s="91" t="n"/>
      <c r="N2057" s="91" t="n"/>
      <c r="O2057" s="91" t="n"/>
      <c r="P2057" s="91" t="n"/>
      <c r="Q2057" s="91" t="n"/>
      <c r="R2057" s="91" t="n"/>
      <c r="S2057" s="91" t="n"/>
      <c r="T2057" s="49">
        <f>DAY(C2057)</f>
        <v/>
      </c>
      <c r="U2057" s="49">
        <f>MONTH(C2057)</f>
        <v/>
      </c>
      <c r="V2057" s="91" t="n"/>
      <c r="W2057" s="91" t="n"/>
      <c r="X2057" s="91" t="n"/>
      <c r="Y2057" s="91" t="n"/>
      <c r="Z2057" s="91" t="n"/>
    </row>
    <row r="2058" ht="12.75" customHeight="1" s="117">
      <c r="A2058" s="91" t="n"/>
      <c r="B2058" s="91" t="n"/>
      <c r="C2058" s="91" t="n"/>
      <c r="D2058" s="91" t="n"/>
      <c r="E2058" s="91" t="n"/>
      <c r="F2058" s="91" t="n"/>
      <c r="G2058" s="91" t="n"/>
      <c r="H2058" s="91" t="n"/>
      <c r="I2058" s="91" t="n"/>
      <c r="J2058" s="91" t="n"/>
      <c r="K2058" s="91" t="n"/>
      <c r="L2058" s="91" t="n"/>
      <c r="M2058" s="91" t="n"/>
      <c r="N2058" s="91" t="n"/>
      <c r="O2058" s="91" t="n"/>
      <c r="P2058" s="91" t="n"/>
      <c r="Q2058" s="91" t="n"/>
      <c r="R2058" s="91" t="n"/>
      <c r="S2058" s="91" t="n"/>
      <c r="T2058" s="49">
        <f>DAY(C2058)</f>
        <v/>
      </c>
      <c r="U2058" s="49">
        <f>MONTH(C2058)</f>
        <v/>
      </c>
      <c r="V2058" s="91" t="n"/>
      <c r="W2058" s="91" t="n"/>
      <c r="X2058" s="91" t="n"/>
      <c r="Y2058" s="91" t="n"/>
      <c r="Z2058" s="91" t="n"/>
    </row>
    <row r="2059" ht="12.75" customHeight="1" s="117">
      <c r="A2059" s="91" t="n"/>
      <c r="B2059" s="91" t="n"/>
      <c r="C2059" s="91" t="n"/>
      <c r="D2059" s="91" t="n"/>
      <c r="E2059" s="91" t="n"/>
      <c r="F2059" s="91" t="n"/>
      <c r="G2059" s="91" t="n"/>
      <c r="H2059" s="91" t="n"/>
      <c r="I2059" s="91" t="n"/>
      <c r="J2059" s="91" t="n"/>
      <c r="K2059" s="91" t="n"/>
      <c r="L2059" s="91" t="n"/>
      <c r="M2059" s="91" t="n"/>
      <c r="N2059" s="91" t="n"/>
      <c r="O2059" s="91" t="n"/>
      <c r="P2059" s="91" t="n"/>
      <c r="Q2059" s="91" t="n"/>
      <c r="R2059" s="91" t="n"/>
      <c r="S2059" s="91" t="n"/>
      <c r="T2059" s="49">
        <f>DAY(C2059)</f>
        <v/>
      </c>
      <c r="U2059" s="49">
        <f>MONTH(C2059)</f>
        <v/>
      </c>
      <c r="V2059" s="91" t="n"/>
      <c r="W2059" s="91" t="n"/>
      <c r="X2059" s="91" t="n"/>
      <c r="Y2059" s="91" t="n"/>
      <c r="Z2059" s="91" t="n"/>
    </row>
    <row r="2060" ht="12.75" customHeight="1" s="117">
      <c r="A2060" s="91" t="n"/>
      <c r="B2060" s="91" t="n"/>
      <c r="C2060" s="91" t="n"/>
      <c r="D2060" s="91" t="n"/>
      <c r="E2060" s="91" t="n"/>
      <c r="F2060" s="91" t="n"/>
      <c r="G2060" s="91" t="n"/>
      <c r="H2060" s="91" t="n"/>
      <c r="I2060" s="91" t="n"/>
      <c r="J2060" s="91" t="n"/>
      <c r="K2060" s="91" t="n"/>
      <c r="L2060" s="91" t="n"/>
      <c r="M2060" s="91" t="n"/>
      <c r="N2060" s="91" t="n"/>
      <c r="O2060" s="91" t="n"/>
      <c r="P2060" s="91" t="n"/>
      <c r="Q2060" s="91" t="n"/>
      <c r="R2060" s="91" t="n"/>
      <c r="S2060" s="91" t="n"/>
      <c r="T2060" s="49">
        <f>DAY(C2060)</f>
        <v/>
      </c>
      <c r="U2060" s="49">
        <f>MONTH(C2060)</f>
        <v/>
      </c>
      <c r="V2060" s="91" t="n"/>
      <c r="W2060" s="91" t="n"/>
      <c r="X2060" s="91" t="n"/>
      <c r="Y2060" s="91" t="n"/>
      <c r="Z2060" s="91" t="n"/>
    </row>
    <row r="2061" ht="12.75" customHeight="1" s="117">
      <c r="A2061" s="91" t="n"/>
      <c r="B2061" s="91" t="n"/>
      <c r="C2061" s="91" t="n"/>
      <c r="D2061" s="91" t="n"/>
      <c r="E2061" s="91" t="n"/>
      <c r="F2061" s="91" t="n"/>
      <c r="G2061" s="91" t="n"/>
      <c r="H2061" s="91" t="n"/>
      <c r="I2061" s="91" t="n"/>
      <c r="J2061" s="91" t="n"/>
      <c r="K2061" s="91" t="n"/>
      <c r="L2061" s="91" t="n"/>
      <c r="M2061" s="91" t="n"/>
      <c r="N2061" s="91" t="n"/>
      <c r="O2061" s="91" t="n"/>
      <c r="P2061" s="91" t="n"/>
      <c r="Q2061" s="91" t="n"/>
      <c r="R2061" s="91" t="n"/>
      <c r="S2061" s="91" t="n"/>
      <c r="T2061" s="49">
        <f>DAY(C2061)</f>
        <v/>
      </c>
      <c r="U2061" s="49">
        <f>MONTH(C2061)</f>
        <v/>
      </c>
      <c r="V2061" s="91" t="n"/>
      <c r="W2061" s="91" t="n"/>
      <c r="X2061" s="91" t="n"/>
      <c r="Y2061" s="91" t="n"/>
      <c r="Z2061" s="91" t="n"/>
    </row>
    <row r="2062" ht="12.75" customHeight="1" s="117">
      <c r="A2062" s="91" t="n"/>
      <c r="B2062" s="91" t="n"/>
      <c r="C2062" s="91" t="n"/>
      <c r="D2062" s="91" t="n"/>
      <c r="E2062" s="91" t="n"/>
      <c r="F2062" s="91" t="n"/>
      <c r="G2062" s="91" t="n"/>
      <c r="H2062" s="91" t="n"/>
      <c r="I2062" s="91" t="n"/>
      <c r="J2062" s="91" t="n"/>
      <c r="K2062" s="91" t="n"/>
      <c r="L2062" s="91" t="n"/>
      <c r="M2062" s="91" t="n"/>
      <c r="N2062" s="91" t="n"/>
      <c r="O2062" s="91" t="n"/>
      <c r="P2062" s="91" t="n"/>
      <c r="Q2062" s="91" t="n"/>
      <c r="R2062" s="91" t="n"/>
      <c r="S2062" s="91" t="n"/>
      <c r="T2062" s="49">
        <f>DAY(C2062)</f>
        <v/>
      </c>
      <c r="U2062" s="49">
        <f>MONTH(C2062)</f>
        <v/>
      </c>
      <c r="V2062" s="91" t="n"/>
      <c r="W2062" s="91" t="n"/>
      <c r="X2062" s="91" t="n"/>
      <c r="Y2062" s="91" t="n"/>
      <c r="Z2062" s="91" t="n"/>
    </row>
    <row r="2063" ht="12.75" customHeight="1" s="117">
      <c r="A2063" s="91" t="n"/>
      <c r="B2063" s="91" t="n"/>
      <c r="C2063" s="91" t="n"/>
      <c r="D2063" s="91" t="n"/>
      <c r="E2063" s="91" t="n"/>
      <c r="F2063" s="91" t="n"/>
      <c r="G2063" s="91" t="n"/>
      <c r="H2063" s="91" t="n"/>
      <c r="I2063" s="91" t="n"/>
      <c r="J2063" s="91" t="n"/>
      <c r="K2063" s="91" t="n"/>
      <c r="L2063" s="91" t="n"/>
      <c r="M2063" s="91" t="n"/>
      <c r="N2063" s="91" t="n"/>
      <c r="O2063" s="91" t="n"/>
      <c r="P2063" s="91" t="n"/>
      <c r="Q2063" s="91" t="n"/>
      <c r="R2063" s="91" t="n"/>
      <c r="S2063" s="91" t="n"/>
      <c r="T2063" s="49">
        <f>DAY(C2063)</f>
        <v/>
      </c>
      <c r="U2063" s="49">
        <f>MONTH(C2063)</f>
        <v/>
      </c>
      <c r="V2063" s="91" t="n"/>
      <c r="W2063" s="91" t="n"/>
      <c r="X2063" s="91" t="n"/>
      <c r="Y2063" s="91" t="n"/>
      <c r="Z2063" s="91" t="n"/>
    </row>
    <row r="2064" ht="12.75" customHeight="1" s="117">
      <c r="A2064" s="91" t="n"/>
      <c r="B2064" s="91" t="n"/>
      <c r="C2064" s="91" t="n"/>
      <c r="D2064" s="91" t="n"/>
      <c r="E2064" s="91" t="n"/>
      <c r="F2064" s="91" t="n"/>
      <c r="G2064" s="91" t="n"/>
      <c r="H2064" s="91" t="n"/>
      <c r="I2064" s="91" t="n"/>
      <c r="J2064" s="91" t="n"/>
      <c r="K2064" s="91" t="n"/>
      <c r="L2064" s="91" t="n"/>
      <c r="M2064" s="91" t="n"/>
      <c r="N2064" s="91" t="n"/>
      <c r="O2064" s="91" t="n"/>
      <c r="P2064" s="91" t="n"/>
      <c r="Q2064" s="91" t="n"/>
      <c r="R2064" s="91" t="n"/>
      <c r="S2064" s="91" t="n"/>
      <c r="T2064" s="49">
        <f>DAY(C2064)</f>
        <v/>
      </c>
      <c r="U2064" s="49">
        <f>MONTH(C2064)</f>
        <v/>
      </c>
      <c r="V2064" s="91" t="n"/>
      <c r="W2064" s="91" t="n"/>
      <c r="X2064" s="91" t="n"/>
      <c r="Y2064" s="91" t="n"/>
      <c r="Z2064" s="91" t="n"/>
    </row>
    <row r="2065" ht="12.75" customHeight="1" s="117">
      <c r="A2065" s="91" t="n"/>
      <c r="B2065" s="91" t="n"/>
      <c r="C2065" s="91" t="n"/>
      <c r="D2065" s="91" t="n"/>
      <c r="E2065" s="91" t="n"/>
      <c r="F2065" s="91" t="n"/>
      <c r="G2065" s="91" t="n"/>
      <c r="H2065" s="91" t="n"/>
      <c r="I2065" s="91" t="n"/>
      <c r="J2065" s="91" t="n"/>
      <c r="K2065" s="91" t="n"/>
      <c r="L2065" s="91" t="n"/>
      <c r="M2065" s="91" t="n"/>
      <c r="N2065" s="91" t="n"/>
      <c r="O2065" s="91" t="n"/>
      <c r="P2065" s="91" t="n"/>
      <c r="Q2065" s="91" t="n"/>
      <c r="R2065" s="91" t="n"/>
      <c r="S2065" s="91" t="n"/>
      <c r="T2065" s="49">
        <f>DAY(C2065)</f>
        <v/>
      </c>
      <c r="U2065" s="49">
        <f>MONTH(C2065)</f>
        <v/>
      </c>
      <c r="V2065" s="91" t="n"/>
      <c r="W2065" s="91" t="n"/>
      <c r="X2065" s="91" t="n"/>
      <c r="Y2065" s="91" t="n"/>
      <c r="Z2065" s="91" t="n"/>
    </row>
    <row r="2066" ht="12.75" customHeight="1" s="117">
      <c r="A2066" s="91" t="n"/>
      <c r="B2066" s="91" t="n"/>
      <c r="C2066" s="91" t="n"/>
      <c r="D2066" s="91" t="n"/>
      <c r="E2066" s="91" t="n"/>
      <c r="F2066" s="91" t="n"/>
      <c r="G2066" s="91" t="n"/>
      <c r="H2066" s="91" t="n"/>
      <c r="I2066" s="91" t="n"/>
      <c r="J2066" s="91" t="n"/>
      <c r="K2066" s="91" t="n"/>
      <c r="L2066" s="91" t="n"/>
      <c r="M2066" s="91" t="n"/>
      <c r="N2066" s="91" t="n"/>
      <c r="O2066" s="91" t="n"/>
      <c r="P2066" s="91" t="n"/>
      <c r="Q2066" s="91" t="n"/>
      <c r="R2066" s="91" t="n"/>
      <c r="S2066" s="91" t="n"/>
      <c r="T2066" s="49">
        <f>DAY(C2066)</f>
        <v/>
      </c>
      <c r="U2066" s="49">
        <f>MONTH(C2066)</f>
        <v/>
      </c>
      <c r="V2066" s="91" t="n"/>
      <c r="W2066" s="91" t="n"/>
      <c r="X2066" s="91" t="n"/>
      <c r="Y2066" s="91" t="n"/>
      <c r="Z2066" s="91" t="n"/>
    </row>
    <row r="2067" ht="12.75" customHeight="1" s="117">
      <c r="A2067" s="91" t="n"/>
      <c r="B2067" s="91" t="n"/>
      <c r="C2067" s="91" t="n"/>
      <c r="D2067" s="91" t="n"/>
      <c r="E2067" s="91" t="n"/>
      <c r="F2067" s="91" t="n"/>
      <c r="G2067" s="91" t="n"/>
      <c r="H2067" s="91" t="n"/>
      <c r="I2067" s="91" t="n"/>
      <c r="J2067" s="91" t="n"/>
      <c r="K2067" s="91" t="n"/>
      <c r="L2067" s="91" t="n"/>
      <c r="M2067" s="91" t="n"/>
      <c r="N2067" s="91" t="n"/>
      <c r="O2067" s="91" t="n"/>
      <c r="P2067" s="91" t="n"/>
      <c r="Q2067" s="91" t="n"/>
      <c r="R2067" s="91" t="n"/>
      <c r="S2067" s="91" t="n"/>
      <c r="T2067" s="49">
        <f>DAY(C2067)</f>
        <v/>
      </c>
      <c r="U2067" s="49">
        <f>MONTH(C2067)</f>
        <v/>
      </c>
      <c r="V2067" s="91" t="n"/>
      <c r="W2067" s="91" t="n"/>
      <c r="X2067" s="91" t="n"/>
      <c r="Y2067" s="91" t="n"/>
      <c r="Z2067" s="91" t="n"/>
    </row>
    <row r="2068" ht="12.75" customHeight="1" s="117">
      <c r="A2068" s="91" t="n"/>
      <c r="B2068" s="91" t="n"/>
      <c r="C2068" s="91" t="n"/>
      <c r="D2068" s="91" t="n"/>
      <c r="E2068" s="91" t="n"/>
      <c r="F2068" s="91" t="n"/>
      <c r="G2068" s="91" t="n"/>
      <c r="H2068" s="91" t="n"/>
      <c r="I2068" s="91" t="n"/>
      <c r="J2068" s="91" t="n"/>
      <c r="K2068" s="91" t="n"/>
      <c r="L2068" s="91" t="n"/>
      <c r="M2068" s="91" t="n"/>
      <c r="N2068" s="91" t="n"/>
      <c r="O2068" s="91" t="n"/>
      <c r="P2068" s="91" t="n"/>
      <c r="Q2068" s="91" t="n"/>
      <c r="R2068" s="91" t="n"/>
      <c r="S2068" s="91" t="n"/>
      <c r="T2068" s="49">
        <f>DAY(C2068)</f>
        <v/>
      </c>
      <c r="U2068" s="49">
        <f>MONTH(C2068)</f>
        <v/>
      </c>
      <c r="V2068" s="91" t="n"/>
      <c r="W2068" s="91" t="n"/>
      <c r="X2068" s="91" t="n"/>
      <c r="Y2068" s="91" t="n"/>
      <c r="Z2068" s="91" t="n"/>
    </row>
    <row r="2069" ht="12.75" customHeight="1" s="117">
      <c r="A2069" s="91" t="n"/>
      <c r="B2069" s="91" t="n"/>
      <c r="C2069" s="91" t="n"/>
      <c r="D2069" s="91" t="n"/>
      <c r="E2069" s="91" t="n"/>
      <c r="F2069" s="91" t="n"/>
      <c r="G2069" s="91" t="n"/>
      <c r="H2069" s="91" t="n"/>
      <c r="I2069" s="91" t="n"/>
      <c r="J2069" s="91" t="n"/>
      <c r="K2069" s="91" t="n"/>
      <c r="L2069" s="91" t="n"/>
      <c r="M2069" s="91" t="n"/>
      <c r="N2069" s="91" t="n"/>
      <c r="O2069" s="91" t="n"/>
      <c r="P2069" s="91" t="n"/>
      <c r="Q2069" s="91" t="n"/>
      <c r="R2069" s="91" t="n"/>
      <c r="S2069" s="91" t="n"/>
      <c r="T2069" s="49">
        <f>DAY(C2069)</f>
        <v/>
      </c>
      <c r="U2069" s="49">
        <f>MONTH(C2069)</f>
        <v/>
      </c>
      <c r="V2069" s="91" t="n"/>
      <c r="W2069" s="91" t="n"/>
      <c r="X2069" s="91" t="n"/>
      <c r="Y2069" s="91" t="n"/>
      <c r="Z2069" s="91" t="n"/>
    </row>
    <row r="2070" ht="12.75" customHeight="1" s="117">
      <c r="A2070" s="91" t="n"/>
      <c r="B2070" s="91" t="n"/>
      <c r="C2070" s="91" t="n"/>
      <c r="D2070" s="91" t="n"/>
      <c r="E2070" s="91" t="n"/>
      <c r="F2070" s="91" t="n"/>
      <c r="G2070" s="91" t="n"/>
      <c r="H2070" s="91" t="n"/>
      <c r="I2070" s="91" t="n"/>
      <c r="J2070" s="91" t="n"/>
      <c r="K2070" s="91" t="n"/>
      <c r="L2070" s="91" t="n"/>
      <c r="M2070" s="91" t="n"/>
      <c r="N2070" s="91" t="n"/>
      <c r="O2070" s="91" t="n"/>
      <c r="P2070" s="91" t="n"/>
      <c r="Q2070" s="91" t="n"/>
      <c r="R2070" s="91" t="n"/>
      <c r="S2070" s="91" t="n"/>
      <c r="T2070" s="49">
        <f>DAY(C2070)</f>
        <v/>
      </c>
      <c r="U2070" s="49">
        <f>MONTH(C2070)</f>
        <v/>
      </c>
      <c r="V2070" s="91" t="n"/>
      <c r="W2070" s="91" t="n"/>
      <c r="X2070" s="91" t="n"/>
      <c r="Y2070" s="91" t="n"/>
      <c r="Z2070" s="91" t="n"/>
    </row>
    <row r="2071" ht="12.75" customHeight="1" s="117">
      <c r="A2071" s="91" t="n"/>
      <c r="B2071" s="91" t="n"/>
      <c r="C2071" s="91" t="n"/>
      <c r="D2071" s="91" t="n"/>
      <c r="E2071" s="91" t="n"/>
      <c r="F2071" s="91" t="n"/>
      <c r="G2071" s="91" t="n"/>
      <c r="H2071" s="91" t="n"/>
      <c r="I2071" s="91" t="n"/>
      <c r="J2071" s="91" t="n"/>
      <c r="K2071" s="91" t="n"/>
      <c r="L2071" s="91" t="n"/>
      <c r="M2071" s="91" t="n"/>
      <c r="N2071" s="91" t="n"/>
      <c r="O2071" s="91" t="n"/>
      <c r="P2071" s="91" t="n"/>
      <c r="Q2071" s="91" t="n"/>
      <c r="R2071" s="91" t="n"/>
      <c r="S2071" s="91" t="n"/>
      <c r="T2071" s="49">
        <f>DAY(C2071)</f>
        <v/>
      </c>
      <c r="U2071" s="49">
        <f>MONTH(C2071)</f>
        <v/>
      </c>
      <c r="V2071" s="91" t="n"/>
      <c r="W2071" s="91" t="n"/>
      <c r="X2071" s="91" t="n"/>
      <c r="Y2071" s="91" t="n"/>
      <c r="Z2071" s="91" t="n"/>
    </row>
    <row r="2072" ht="12.75" customHeight="1" s="117">
      <c r="A2072" s="91" t="n"/>
      <c r="B2072" s="91" t="n"/>
      <c r="C2072" s="91" t="n"/>
      <c r="D2072" s="91" t="n"/>
      <c r="E2072" s="91" t="n"/>
      <c r="F2072" s="91" t="n"/>
      <c r="G2072" s="91" t="n"/>
      <c r="H2072" s="91" t="n"/>
      <c r="I2072" s="91" t="n"/>
      <c r="J2072" s="91" t="n"/>
      <c r="K2072" s="91" t="n"/>
      <c r="L2072" s="91" t="n"/>
      <c r="M2072" s="91" t="n"/>
      <c r="N2072" s="91" t="n"/>
      <c r="O2072" s="91" t="n"/>
      <c r="P2072" s="91" t="n"/>
      <c r="Q2072" s="91" t="n"/>
      <c r="R2072" s="91" t="n"/>
      <c r="S2072" s="91" t="n"/>
      <c r="T2072" s="49">
        <f>DAY(C2072)</f>
        <v/>
      </c>
      <c r="U2072" s="49">
        <f>MONTH(C2072)</f>
        <v/>
      </c>
      <c r="V2072" s="91" t="n"/>
      <c r="W2072" s="91" t="n"/>
      <c r="X2072" s="91" t="n"/>
      <c r="Y2072" s="91" t="n"/>
      <c r="Z2072" s="91" t="n"/>
    </row>
    <row r="2073" ht="12.75" customHeight="1" s="117">
      <c r="A2073" s="91" t="n"/>
      <c r="B2073" s="91" t="n"/>
      <c r="C2073" s="91" t="n"/>
      <c r="D2073" s="91" t="n"/>
      <c r="E2073" s="91" t="n"/>
      <c r="F2073" s="91" t="n"/>
      <c r="G2073" s="91" t="n"/>
      <c r="H2073" s="91" t="n"/>
      <c r="I2073" s="91" t="n"/>
      <c r="J2073" s="91" t="n"/>
      <c r="K2073" s="91" t="n"/>
      <c r="L2073" s="91" t="n"/>
      <c r="M2073" s="91" t="n"/>
      <c r="N2073" s="91" t="n"/>
      <c r="O2073" s="91" t="n"/>
      <c r="P2073" s="91" t="n"/>
      <c r="Q2073" s="91" t="n"/>
      <c r="R2073" s="91" t="n"/>
      <c r="S2073" s="91" t="n"/>
      <c r="T2073" s="49">
        <f>DAY(C2073)</f>
        <v/>
      </c>
      <c r="U2073" s="49">
        <f>MONTH(C2073)</f>
        <v/>
      </c>
      <c r="V2073" s="91" t="n"/>
      <c r="W2073" s="91" t="n"/>
      <c r="X2073" s="91" t="n"/>
      <c r="Y2073" s="91" t="n"/>
      <c r="Z2073" s="91" t="n"/>
    </row>
    <row r="2074" ht="12.75" customHeight="1" s="117">
      <c r="A2074" s="91" t="n"/>
      <c r="B2074" s="91" t="n"/>
      <c r="C2074" s="91" t="n"/>
      <c r="D2074" s="91" t="n"/>
      <c r="E2074" s="91" t="n"/>
      <c r="F2074" s="91" t="n"/>
      <c r="G2074" s="91" t="n"/>
      <c r="H2074" s="91" t="n"/>
      <c r="I2074" s="91" t="n"/>
      <c r="J2074" s="91" t="n"/>
      <c r="K2074" s="91" t="n"/>
      <c r="L2074" s="91" t="n"/>
      <c r="M2074" s="91" t="n"/>
      <c r="N2074" s="91" t="n"/>
      <c r="O2074" s="91" t="n"/>
      <c r="P2074" s="91" t="n"/>
      <c r="Q2074" s="91" t="n"/>
      <c r="R2074" s="91" t="n"/>
      <c r="S2074" s="91" t="n"/>
      <c r="T2074" s="49">
        <f>DAY(C2074)</f>
        <v/>
      </c>
      <c r="U2074" s="49">
        <f>MONTH(C2074)</f>
        <v/>
      </c>
      <c r="V2074" s="91" t="n"/>
      <c r="W2074" s="91" t="n"/>
      <c r="X2074" s="91" t="n"/>
      <c r="Y2074" s="91" t="n"/>
      <c r="Z2074" s="91" t="n"/>
    </row>
    <row r="2075" ht="12.75" customHeight="1" s="117">
      <c r="A2075" s="91" t="n"/>
      <c r="B2075" s="91" t="n"/>
      <c r="C2075" s="91" t="n"/>
      <c r="D2075" s="91" t="n"/>
      <c r="E2075" s="91" t="n"/>
      <c r="F2075" s="91" t="n"/>
      <c r="G2075" s="91" t="n"/>
      <c r="H2075" s="91" t="n"/>
      <c r="I2075" s="91" t="n"/>
      <c r="J2075" s="91" t="n"/>
      <c r="K2075" s="91" t="n"/>
      <c r="L2075" s="91" t="n"/>
      <c r="M2075" s="91" t="n"/>
      <c r="N2075" s="91" t="n"/>
      <c r="O2075" s="91" t="n"/>
      <c r="P2075" s="91" t="n"/>
      <c r="Q2075" s="91" t="n"/>
      <c r="R2075" s="91" t="n"/>
      <c r="S2075" s="91" t="n"/>
      <c r="T2075" s="49">
        <f>DAY(C2075)</f>
        <v/>
      </c>
      <c r="U2075" s="49">
        <f>MONTH(C2075)</f>
        <v/>
      </c>
      <c r="V2075" s="91" t="n"/>
      <c r="W2075" s="91" t="n"/>
      <c r="X2075" s="91" t="n"/>
      <c r="Y2075" s="91" t="n"/>
      <c r="Z2075" s="91" t="n"/>
    </row>
    <row r="2076" ht="12.75" customHeight="1" s="117">
      <c r="A2076" s="91" t="n"/>
      <c r="B2076" s="91" t="n"/>
      <c r="C2076" s="91" t="n"/>
      <c r="D2076" s="91" t="n"/>
      <c r="E2076" s="91" t="n"/>
      <c r="F2076" s="91" t="n"/>
      <c r="G2076" s="91" t="n"/>
      <c r="H2076" s="91" t="n"/>
      <c r="I2076" s="91" t="n"/>
      <c r="J2076" s="91" t="n"/>
      <c r="K2076" s="91" t="n"/>
      <c r="L2076" s="91" t="n"/>
      <c r="M2076" s="91" t="n"/>
      <c r="N2076" s="91" t="n"/>
      <c r="O2076" s="91" t="n"/>
      <c r="P2076" s="91" t="n"/>
      <c r="Q2076" s="91" t="n"/>
      <c r="R2076" s="91" t="n"/>
      <c r="S2076" s="91" t="n"/>
      <c r="T2076" s="49">
        <f>DAY(C2076)</f>
        <v/>
      </c>
      <c r="U2076" s="49">
        <f>MONTH(C2076)</f>
        <v/>
      </c>
      <c r="V2076" s="91" t="n"/>
      <c r="W2076" s="91" t="n"/>
      <c r="X2076" s="91" t="n"/>
      <c r="Y2076" s="91" t="n"/>
      <c r="Z2076" s="91" t="n"/>
    </row>
    <row r="2077" ht="12.75" customHeight="1" s="117">
      <c r="A2077" s="91" t="n"/>
      <c r="B2077" s="91" t="n"/>
      <c r="C2077" s="91" t="n"/>
      <c r="D2077" s="91" t="n"/>
      <c r="E2077" s="91" t="n"/>
      <c r="F2077" s="91" t="n"/>
      <c r="G2077" s="91" t="n"/>
      <c r="H2077" s="91" t="n"/>
      <c r="I2077" s="91" t="n"/>
      <c r="J2077" s="91" t="n"/>
      <c r="K2077" s="91" t="n"/>
      <c r="L2077" s="91" t="n"/>
      <c r="M2077" s="91" t="n"/>
      <c r="N2077" s="91" t="n"/>
      <c r="O2077" s="91" t="n"/>
      <c r="P2077" s="91" t="n"/>
      <c r="Q2077" s="91" t="n"/>
      <c r="R2077" s="91" t="n"/>
      <c r="S2077" s="91" t="n"/>
      <c r="T2077" s="49">
        <f>DAY(C2077)</f>
        <v/>
      </c>
      <c r="U2077" s="49">
        <f>MONTH(C2077)</f>
        <v/>
      </c>
      <c r="V2077" s="91" t="n"/>
      <c r="W2077" s="91" t="n"/>
      <c r="X2077" s="91" t="n"/>
      <c r="Y2077" s="91" t="n"/>
      <c r="Z2077" s="91" t="n"/>
    </row>
    <row r="2078" ht="12.75" customHeight="1" s="117">
      <c r="A2078" s="91" t="n"/>
      <c r="B2078" s="91" t="n"/>
      <c r="C2078" s="91" t="n"/>
      <c r="D2078" s="91" t="n"/>
      <c r="E2078" s="91" t="n"/>
      <c r="F2078" s="91" t="n"/>
      <c r="G2078" s="91" t="n"/>
      <c r="H2078" s="91" t="n"/>
      <c r="I2078" s="91" t="n"/>
      <c r="J2078" s="91" t="n"/>
      <c r="K2078" s="91" t="n"/>
      <c r="L2078" s="91" t="n"/>
      <c r="M2078" s="91" t="n"/>
      <c r="N2078" s="91" t="n"/>
      <c r="O2078" s="91" t="n"/>
      <c r="P2078" s="91" t="n"/>
      <c r="Q2078" s="91" t="n"/>
      <c r="R2078" s="91" t="n"/>
      <c r="S2078" s="91" t="n"/>
      <c r="T2078" s="49">
        <f>DAY(C2078)</f>
        <v/>
      </c>
      <c r="U2078" s="49">
        <f>MONTH(C2078)</f>
        <v/>
      </c>
      <c r="V2078" s="91" t="n"/>
      <c r="W2078" s="91" t="n"/>
      <c r="X2078" s="91" t="n"/>
      <c r="Y2078" s="91" t="n"/>
      <c r="Z2078" s="91" t="n"/>
    </row>
    <row r="2079" ht="12.75" customHeight="1" s="117">
      <c r="A2079" s="91" t="n"/>
      <c r="B2079" s="91" t="n"/>
      <c r="C2079" s="91" t="n"/>
      <c r="D2079" s="91" t="n"/>
      <c r="E2079" s="91" t="n"/>
      <c r="F2079" s="91" t="n"/>
      <c r="G2079" s="91" t="n"/>
      <c r="H2079" s="91" t="n"/>
      <c r="I2079" s="91" t="n"/>
      <c r="J2079" s="91" t="n"/>
      <c r="K2079" s="91" t="n"/>
      <c r="L2079" s="91" t="n"/>
      <c r="M2079" s="91" t="n"/>
      <c r="N2079" s="91" t="n"/>
      <c r="O2079" s="91" t="n"/>
      <c r="P2079" s="91" t="n"/>
      <c r="Q2079" s="91" t="n"/>
      <c r="R2079" s="91" t="n"/>
      <c r="S2079" s="91" t="n"/>
      <c r="T2079" s="49">
        <f>DAY(C2079)</f>
        <v/>
      </c>
      <c r="U2079" s="49">
        <f>MONTH(C2079)</f>
        <v/>
      </c>
      <c r="V2079" s="91" t="n"/>
      <c r="W2079" s="91" t="n"/>
      <c r="X2079" s="91" t="n"/>
      <c r="Y2079" s="91" t="n"/>
      <c r="Z2079" s="91" t="n"/>
    </row>
    <row r="2080" ht="12.75" customHeight="1" s="117">
      <c r="A2080" s="91" t="n"/>
      <c r="B2080" s="91" t="n"/>
      <c r="C2080" s="91" t="n"/>
      <c r="D2080" s="91" t="n"/>
      <c r="E2080" s="91" t="n"/>
      <c r="F2080" s="91" t="n"/>
      <c r="G2080" s="91" t="n"/>
      <c r="H2080" s="91" t="n"/>
      <c r="I2080" s="91" t="n"/>
      <c r="J2080" s="91" t="n"/>
      <c r="K2080" s="91" t="n"/>
      <c r="L2080" s="91" t="n"/>
      <c r="M2080" s="91" t="n"/>
      <c r="N2080" s="91" t="n"/>
      <c r="O2080" s="91" t="n"/>
      <c r="P2080" s="91" t="n"/>
      <c r="Q2080" s="91" t="n"/>
      <c r="R2080" s="91" t="n"/>
      <c r="S2080" s="91" t="n"/>
      <c r="T2080" s="49">
        <f>DAY(C2080)</f>
        <v/>
      </c>
      <c r="U2080" s="49">
        <f>MONTH(C2080)</f>
        <v/>
      </c>
      <c r="V2080" s="91" t="n"/>
      <c r="W2080" s="91" t="n"/>
      <c r="X2080" s="91" t="n"/>
      <c r="Y2080" s="91" t="n"/>
      <c r="Z2080" s="91" t="n"/>
    </row>
    <row r="2081" ht="12.75" customHeight="1" s="117">
      <c r="A2081" s="91" t="n"/>
      <c r="B2081" s="91" t="n"/>
      <c r="C2081" s="91" t="n"/>
      <c r="D2081" s="91" t="n"/>
      <c r="E2081" s="91" t="n"/>
      <c r="F2081" s="91" t="n"/>
      <c r="G2081" s="91" t="n"/>
      <c r="H2081" s="91" t="n"/>
      <c r="I2081" s="91" t="n"/>
      <c r="J2081" s="91" t="n"/>
      <c r="K2081" s="91" t="n"/>
      <c r="L2081" s="91" t="n"/>
      <c r="M2081" s="91" t="n"/>
      <c r="N2081" s="91" t="n"/>
      <c r="O2081" s="91" t="n"/>
      <c r="P2081" s="91" t="n"/>
      <c r="Q2081" s="91" t="n"/>
      <c r="R2081" s="91" t="n"/>
      <c r="S2081" s="91" t="n"/>
      <c r="T2081" s="49">
        <f>DAY(C2081)</f>
        <v/>
      </c>
      <c r="U2081" s="49">
        <f>MONTH(C2081)</f>
        <v/>
      </c>
      <c r="V2081" s="91" t="n"/>
      <c r="W2081" s="91" t="n"/>
      <c r="X2081" s="91" t="n"/>
      <c r="Y2081" s="91" t="n"/>
      <c r="Z2081" s="91" t="n"/>
    </row>
    <row r="2082" ht="12.75" customHeight="1" s="117">
      <c r="A2082" s="91" t="n"/>
      <c r="B2082" s="91" t="n"/>
      <c r="C2082" s="91" t="n"/>
      <c r="D2082" s="91" t="n"/>
      <c r="E2082" s="91" t="n"/>
      <c r="F2082" s="91" t="n"/>
      <c r="G2082" s="91" t="n"/>
      <c r="H2082" s="91" t="n"/>
      <c r="I2082" s="91" t="n"/>
      <c r="J2082" s="91" t="n"/>
      <c r="K2082" s="91" t="n"/>
      <c r="L2082" s="91" t="n"/>
      <c r="M2082" s="91" t="n"/>
      <c r="N2082" s="91" t="n"/>
      <c r="O2082" s="91" t="n"/>
      <c r="P2082" s="91" t="n"/>
      <c r="Q2082" s="91" t="n"/>
      <c r="R2082" s="91" t="n"/>
      <c r="S2082" s="91" t="n"/>
      <c r="T2082" s="49">
        <f>DAY(C2082)</f>
        <v/>
      </c>
      <c r="U2082" s="49">
        <f>MONTH(C2082)</f>
        <v/>
      </c>
      <c r="V2082" s="91" t="n"/>
      <c r="W2082" s="91" t="n"/>
      <c r="X2082" s="91" t="n"/>
      <c r="Y2082" s="91" t="n"/>
      <c r="Z2082" s="91" t="n"/>
    </row>
    <row r="2083" ht="12.75" customHeight="1" s="117">
      <c r="A2083" s="91" t="n"/>
      <c r="B2083" s="91" t="n"/>
      <c r="C2083" s="91" t="n"/>
      <c r="D2083" s="91" t="n"/>
      <c r="E2083" s="91" t="n"/>
      <c r="F2083" s="91" t="n"/>
      <c r="G2083" s="91" t="n"/>
      <c r="H2083" s="91" t="n"/>
      <c r="I2083" s="91" t="n"/>
      <c r="J2083" s="91" t="n"/>
      <c r="K2083" s="91" t="n"/>
      <c r="L2083" s="91" t="n"/>
      <c r="M2083" s="91" t="n"/>
      <c r="N2083" s="91" t="n"/>
      <c r="O2083" s="91" t="n"/>
      <c r="P2083" s="91" t="n"/>
      <c r="Q2083" s="91" t="n"/>
      <c r="R2083" s="91" t="n"/>
      <c r="S2083" s="91" t="n"/>
      <c r="T2083" s="49">
        <f>DAY(C2083)</f>
        <v/>
      </c>
      <c r="U2083" s="49">
        <f>MONTH(C2083)</f>
        <v/>
      </c>
      <c r="V2083" s="91" t="n"/>
      <c r="W2083" s="91" t="n"/>
      <c r="X2083" s="91" t="n"/>
      <c r="Y2083" s="91" t="n"/>
      <c r="Z2083" s="91" t="n"/>
    </row>
    <row r="2084" ht="12.75" customHeight="1" s="117">
      <c r="A2084" s="91" t="n"/>
      <c r="B2084" s="91" t="n"/>
      <c r="C2084" s="91" t="n"/>
      <c r="D2084" s="91" t="n"/>
      <c r="E2084" s="91" t="n"/>
      <c r="F2084" s="91" t="n"/>
      <c r="G2084" s="91" t="n"/>
      <c r="H2084" s="91" t="n"/>
      <c r="I2084" s="91" t="n"/>
      <c r="J2084" s="91" t="n"/>
      <c r="K2084" s="91" t="n"/>
      <c r="L2084" s="91" t="n"/>
      <c r="M2084" s="91" t="n"/>
      <c r="N2084" s="91" t="n"/>
      <c r="O2084" s="91" t="n"/>
      <c r="P2084" s="91" t="n"/>
      <c r="Q2084" s="91" t="n"/>
      <c r="R2084" s="91" t="n"/>
      <c r="S2084" s="91" t="n"/>
      <c r="T2084" s="49">
        <f>DAY(C2084)</f>
        <v/>
      </c>
      <c r="U2084" s="49">
        <f>MONTH(C2084)</f>
        <v/>
      </c>
      <c r="V2084" s="91" t="n"/>
      <c r="W2084" s="91" t="n"/>
      <c r="X2084" s="91" t="n"/>
      <c r="Y2084" s="91" t="n"/>
      <c r="Z2084" s="91" t="n"/>
    </row>
    <row r="2085" ht="12.75" customHeight="1" s="117">
      <c r="A2085" s="91" t="n"/>
      <c r="B2085" s="91" t="n"/>
      <c r="C2085" s="91" t="n"/>
      <c r="D2085" s="91" t="n"/>
      <c r="E2085" s="91" t="n"/>
      <c r="F2085" s="91" t="n"/>
      <c r="G2085" s="91" t="n"/>
      <c r="H2085" s="91" t="n"/>
      <c r="I2085" s="91" t="n"/>
      <c r="J2085" s="91" t="n"/>
      <c r="K2085" s="91" t="n"/>
      <c r="L2085" s="91" t="n"/>
      <c r="M2085" s="91" t="n"/>
      <c r="N2085" s="91" t="n"/>
      <c r="O2085" s="91" t="n"/>
      <c r="P2085" s="91" t="n"/>
      <c r="Q2085" s="91" t="n"/>
      <c r="R2085" s="91" t="n"/>
      <c r="S2085" s="91" t="n"/>
      <c r="T2085" s="49">
        <f>DAY(C2085)</f>
        <v/>
      </c>
      <c r="U2085" s="49">
        <f>MONTH(C2085)</f>
        <v/>
      </c>
      <c r="V2085" s="91" t="n"/>
      <c r="W2085" s="91" t="n"/>
      <c r="X2085" s="91" t="n"/>
      <c r="Y2085" s="91" t="n"/>
      <c r="Z2085" s="91" t="n"/>
    </row>
    <row r="2086" ht="12.75" customHeight="1" s="117">
      <c r="A2086" s="91" t="n"/>
      <c r="B2086" s="91" t="n"/>
      <c r="C2086" s="91" t="n"/>
      <c r="D2086" s="91" t="n"/>
      <c r="E2086" s="91" t="n"/>
      <c r="F2086" s="91" t="n"/>
      <c r="G2086" s="91" t="n"/>
      <c r="H2086" s="91" t="n"/>
      <c r="I2086" s="91" t="n"/>
      <c r="J2086" s="91" t="n"/>
      <c r="K2086" s="91" t="n"/>
      <c r="L2086" s="91" t="n"/>
      <c r="M2086" s="91" t="n"/>
      <c r="N2086" s="91" t="n"/>
      <c r="O2086" s="91" t="n"/>
      <c r="P2086" s="91" t="n"/>
      <c r="Q2086" s="91" t="n"/>
      <c r="R2086" s="91" t="n"/>
      <c r="S2086" s="91" t="n"/>
      <c r="T2086" s="49">
        <f>DAY(C2086)</f>
        <v/>
      </c>
      <c r="U2086" s="49">
        <f>MONTH(C2086)</f>
        <v/>
      </c>
      <c r="V2086" s="91" t="n"/>
      <c r="W2086" s="91" t="n"/>
      <c r="X2086" s="91" t="n"/>
      <c r="Y2086" s="91" t="n"/>
      <c r="Z2086" s="91" t="n"/>
    </row>
    <row r="2087" ht="12.75" customHeight="1" s="117">
      <c r="A2087" s="91" t="n"/>
      <c r="B2087" s="91" t="n"/>
      <c r="C2087" s="91" t="n"/>
      <c r="D2087" s="91" t="n"/>
      <c r="E2087" s="91" t="n"/>
      <c r="F2087" s="91" t="n"/>
      <c r="G2087" s="91" t="n"/>
      <c r="H2087" s="91" t="n"/>
      <c r="I2087" s="91" t="n"/>
      <c r="J2087" s="91" t="n"/>
      <c r="K2087" s="91" t="n"/>
      <c r="L2087" s="91" t="n"/>
      <c r="M2087" s="91" t="n"/>
      <c r="N2087" s="91" t="n"/>
      <c r="O2087" s="91" t="n"/>
      <c r="P2087" s="91" t="n"/>
      <c r="Q2087" s="91" t="n"/>
      <c r="R2087" s="91" t="n"/>
      <c r="S2087" s="91" t="n"/>
      <c r="T2087" s="49">
        <f>DAY(C2087)</f>
        <v/>
      </c>
      <c r="U2087" s="49">
        <f>MONTH(C2087)</f>
        <v/>
      </c>
      <c r="V2087" s="91" t="n"/>
      <c r="W2087" s="91" t="n"/>
      <c r="X2087" s="91" t="n"/>
      <c r="Y2087" s="91" t="n"/>
      <c r="Z2087" s="91" t="n"/>
    </row>
    <row r="2088" ht="12.75" customHeight="1" s="117">
      <c r="A2088" s="91" t="n"/>
      <c r="B2088" s="91" t="n"/>
      <c r="C2088" s="91" t="n"/>
      <c r="D2088" s="91" t="n"/>
      <c r="E2088" s="91" t="n"/>
      <c r="F2088" s="91" t="n"/>
      <c r="G2088" s="91" t="n"/>
      <c r="H2088" s="91" t="n"/>
      <c r="I2088" s="91" t="n"/>
      <c r="J2088" s="91" t="n"/>
      <c r="K2088" s="91" t="n"/>
      <c r="L2088" s="91" t="n"/>
      <c r="M2088" s="91" t="n"/>
      <c r="N2088" s="91" t="n"/>
      <c r="O2088" s="91" t="n"/>
      <c r="P2088" s="91" t="n"/>
      <c r="Q2088" s="91" t="n"/>
      <c r="R2088" s="91" t="n"/>
      <c r="S2088" s="91" t="n"/>
      <c r="T2088" s="49">
        <f>DAY(C2088)</f>
        <v/>
      </c>
      <c r="U2088" s="49">
        <f>MONTH(C2088)</f>
        <v/>
      </c>
      <c r="V2088" s="91" t="n"/>
      <c r="W2088" s="91" t="n"/>
      <c r="X2088" s="91" t="n"/>
      <c r="Y2088" s="91" t="n"/>
      <c r="Z2088" s="91" t="n"/>
    </row>
    <row r="2089" ht="12.75" customHeight="1" s="117">
      <c r="A2089" s="91" t="n"/>
      <c r="B2089" s="91" t="n"/>
      <c r="C2089" s="91" t="n"/>
      <c r="D2089" s="91" t="n"/>
      <c r="E2089" s="91" t="n"/>
      <c r="F2089" s="91" t="n"/>
      <c r="G2089" s="91" t="n"/>
      <c r="H2089" s="91" t="n"/>
      <c r="I2089" s="91" t="n"/>
      <c r="J2089" s="91" t="n"/>
      <c r="K2089" s="91" t="n"/>
      <c r="L2089" s="91" t="n"/>
      <c r="M2089" s="91" t="n"/>
      <c r="N2089" s="91" t="n"/>
      <c r="O2089" s="91" t="n"/>
      <c r="P2089" s="91" t="n"/>
      <c r="Q2089" s="91" t="n"/>
      <c r="R2089" s="91" t="n"/>
      <c r="S2089" s="91" t="n"/>
      <c r="T2089" s="49">
        <f>DAY(C2089)</f>
        <v/>
      </c>
      <c r="U2089" s="49">
        <f>MONTH(C2089)</f>
        <v/>
      </c>
      <c r="V2089" s="91" t="n"/>
      <c r="W2089" s="91" t="n"/>
      <c r="X2089" s="91" t="n"/>
      <c r="Y2089" s="91" t="n"/>
      <c r="Z2089" s="91" t="n"/>
    </row>
    <row r="2090" ht="12.75" customHeight="1" s="117">
      <c r="A2090" s="91" t="n"/>
      <c r="B2090" s="91" t="n"/>
      <c r="C2090" s="91" t="n"/>
      <c r="D2090" s="91" t="n"/>
      <c r="E2090" s="91" t="n"/>
      <c r="F2090" s="91" t="n"/>
      <c r="G2090" s="91" t="n"/>
      <c r="H2090" s="91" t="n"/>
      <c r="I2090" s="91" t="n"/>
      <c r="J2090" s="91" t="n"/>
      <c r="K2090" s="91" t="n"/>
      <c r="L2090" s="91" t="n"/>
      <c r="M2090" s="91" t="n"/>
      <c r="N2090" s="91" t="n"/>
      <c r="O2090" s="91" t="n"/>
      <c r="P2090" s="91" t="n"/>
      <c r="Q2090" s="91" t="n"/>
      <c r="R2090" s="91" t="n"/>
      <c r="S2090" s="91" t="n"/>
      <c r="T2090" s="49">
        <f>DAY(C2090)</f>
        <v/>
      </c>
      <c r="U2090" s="49">
        <f>MONTH(C2090)</f>
        <v/>
      </c>
      <c r="V2090" s="91" t="n"/>
      <c r="W2090" s="91" t="n"/>
      <c r="X2090" s="91" t="n"/>
      <c r="Y2090" s="91" t="n"/>
      <c r="Z2090" s="91" t="n"/>
    </row>
    <row r="2091" ht="12.75" customHeight="1" s="117">
      <c r="A2091" s="91" t="n"/>
      <c r="B2091" s="91" t="n"/>
      <c r="C2091" s="91" t="n"/>
      <c r="D2091" s="91" t="n"/>
      <c r="E2091" s="91" t="n"/>
      <c r="F2091" s="91" t="n"/>
      <c r="G2091" s="91" t="n"/>
      <c r="H2091" s="91" t="n"/>
      <c r="I2091" s="91" t="n"/>
      <c r="J2091" s="91" t="n"/>
      <c r="K2091" s="91" t="n"/>
      <c r="L2091" s="91" t="n"/>
      <c r="M2091" s="91" t="n"/>
      <c r="N2091" s="91" t="n"/>
      <c r="O2091" s="91" t="n"/>
      <c r="P2091" s="91" t="n"/>
      <c r="Q2091" s="91" t="n"/>
      <c r="R2091" s="91" t="n"/>
      <c r="S2091" s="91" t="n"/>
      <c r="T2091" s="49">
        <f>DAY(C2091)</f>
        <v/>
      </c>
      <c r="U2091" s="49">
        <f>MONTH(C2091)</f>
        <v/>
      </c>
      <c r="V2091" s="91" t="n"/>
      <c r="W2091" s="91" t="n"/>
      <c r="X2091" s="91" t="n"/>
      <c r="Y2091" s="91" t="n"/>
      <c r="Z2091" s="91" t="n"/>
    </row>
    <row r="2092" ht="12.75" customHeight="1" s="117">
      <c r="A2092" s="91" t="n"/>
      <c r="B2092" s="91" t="n"/>
      <c r="C2092" s="91" t="n"/>
      <c r="D2092" s="91" t="n"/>
      <c r="E2092" s="91" t="n"/>
      <c r="F2092" s="91" t="n"/>
      <c r="G2092" s="91" t="n"/>
      <c r="H2092" s="91" t="n"/>
      <c r="I2092" s="91" t="n"/>
      <c r="J2092" s="91" t="n"/>
      <c r="K2092" s="91" t="n"/>
      <c r="L2092" s="91" t="n"/>
      <c r="M2092" s="91" t="n"/>
      <c r="N2092" s="91" t="n"/>
      <c r="O2092" s="91" t="n"/>
      <c r="P2092" s="91" t="n"/>
      <c r="Q2092" s="91" t="n"/>
      <c r="R2092" s="91" t="n"/>
      <c r="S2092" s="91" t="n"/>
      <c r="T2092" s="49">
        <f>DAY(C2092)</f>
        <v/>
      </c>
      <c r="U2092" s="49">
        <f>MONTH(C2092)</f>
        <v/>
      </c>
      <c r="V2092" s="91" t="n"/>
      <c r="W2092" s="91" t="n"/>
      <c r="X2092" s="91" t="n"/>
      <c r="Y2092" s="91" t="n"/>
      <c r="Z2092" s="91" t="n"/>
    </row>
    <row r="2093" ht="12.75" customHeight="1" s="117">
      <c r="A2093" s="91" t="n"/>
      <c r="B2093" s="91" t="n"/>
      <c r="C2093" s="91" t="n"/>
      <c r="D2093" s="91" t="n"/>
      <c r="E2093" s="91" t="n"/>
      <c r="F2093" s="91" t="n"/>
      <c r="G2093" s="91" t="n"/>
      <c r="H2093" s="91" t="n"/>
      <c r="I2093" s="91" t="n"/>
      <c r="J2093" s="91" t="n"/>
      <c r="K2093" s="91" t="n"/>
      <c r="L2093" s="91" t="n"/>
      <c r="M2093" s="91" t="n"/>
      <c r="N2093" s="91" t="n"/>
      <c r="O2093" s="91" t="n"/>
      <c r="P2093" s="91" t="n"/>
      <c r="Q2093" s="91" t="n"/>
      <c r="R2093" s="91" t="n"/>
      <c r="S2093" s="91" t="n"/>
      <c r="T2093" s="49">
        <f>DAY(C2093)</f>
        <v/>
      </c>
      <c r="U2093" s="49">
        <f>MONTH(C2093)</f>
        <v/>
      </c>
      <c r="V2093" s="91" t="n"/>
      <c r="W2093" s="91" t="n"/>
      <c r="X2093" s="91" t="n"/>
      <c r="Y2093" s="91" t="n"/>
      <c r="Z2093" s="91" t="n"/>
    </row>
    <row r="2094" ht="12.75" customHeight="1" s="117">
      <c r="A2094" s="91" t="n"/>
      <c r="B2094" s="91" t="n"/>
      <c r="C2094" s="91" t="n"/>
      <c r="D2094" s="91" t="n"/>
      <c r="E2094" s="91" t="n"/>
      <c r="F2094" s="91" t="n"/>
      <c r="G2094" s="91" t="n"/>
      <c r="H2094" s="91" t="n"/>
      <c r="I2094" s="91" t="n"/>
      <c r="J2094" s="91" t="n"/>
      <c r="K2094" s="91" t="n"/>
      <c r="L2094" s="91" t="n"/>
      <c r="M2094" s="91" t="n"/>
      <c r="N2094" s="91" t="n"/>
      <c r="O2094" s="91" t="n"/>
      <c r="P2094" s="91" t="n"/>
      <c r="Q2094" s="91" t="n"/>
      <c r="R2094" s="91" t="n"/>
      <c r="S2094" s="91" t="n"/>
      <c r="T2094" s="49">
        <f>DAY(C2094)</f>
        <v/>
      </c>
      <c r="U2094" s="49">
        <f>MONTH(C2094)</f>
        <v/>
      </c>
      <c r="V2094" s="91" t="n"/>
      <c r="W2094" s="91" t="n"/>
      <c r="X2094" s="91" t="n"/>
      <c r="Y2094" s="91" t="n"/>
      <c r="Z2094" s="91" t="n"/>
    </row>
    <row r="2095" ht="12.75" customHeight="1" s="117">
      <c r="A2095" s="91" t="n"/>
      <c r="B2095" s="91" t="n"/>
      <c r="C2095" s="91" t="n"/>
      <c r="D2095" s="91" t="n"/>
      <c r="E2095" s="91" t="n"/>
      <c r="F2095" s="91" t="n"/>
      <c r="G2095" s="91" t="n"/>
      <c r="H2095" s="91" t="n"/>
      <c r="I2095" s="91" t="n"/>
      <c r="J2095" s="91" t="n"/>
      <c r="K2095" s="91" t="n"/>
      <c r="L2095" s="91" t="n"/>
      <c r="M2095" s="91" t="n"/>
      <c r="N2095" s="91" t="n"/>
      <c r="O2095" s="91" t="n"/>
      <c r="P2095" s="91" t="n"/>
      <c r="Q2095" s="91" t="n"/>
      <c r="R2095" s="91" t="n"/>
      <c r="S2095" s="91" t="n"/>
      <c r="T2095" s="49">
        <f>DAY(C2095)</f>
        <v/>
      </c>
      <c r="U2095" s="49">
        <f>MONTH(C2095)</f>
        <v/>
      </c>
      <c r="V2095" s="91" t="n"/>
      <c r="W2095" s="91" t="n"/>
      <c r="X2095" s="91" t="n"/>
      <c r="Y2095" s="91" t="n"/>
      <c r="Z2095" s="91" t="n"/>
    </row>
    <row r="2096" ht="12.75" customHeight="1" s="117">
      <c r="A2096" s="91" t="n"/>
      <c r="B2096" s="91" t="n"/>
      <c r="C2096" s="91" t="n"/>
      <c r="D2096" s="91" t="n"/>
      <c r="E2096" s="91" t="n"/>
      <c r="F2096" s="91" t="n"/>
      <c r="G2096" s="91" t="n"/>
      <c r="H2096" s="91" t="n"/>
      <c r="I2096" s="91" t="n"/>
      <c r="J2096" s="91" t="n"/>
      <c r="K2096" s="91" t="n"/>
      <c r="L2096" s="91" t="n"/>
      <c r="M2096" s="91" t="n"/>
      <c r="N2096" s="91" t="n"/>
      <c r="O2096" s="91" t="n"/>
      <c r="P2096" s="91" t="n"/>
      <c r="Q2096" s="91" t="n"/>
      <c r="R2096" s="91" t="n"/>
      <c r="S2096" s="91" t="n"/>
      <c r="T2096" s="49">
        <f>DAY(C2096)</f>
        <v/>
      </c>
      <c r="U2096" s="49">
        <f>MONTH(C2096)</f>
        <v/>
      </c>
      <c r="V2096" s="91" t="n"/>
      <c r="W2096" s="91" t="n"/>
      <c r="X2096" s="91" t="n"/>
      <c r="Y2096" s="91" t="n"/>
      <c r="Z2096" s="91" t="n"/>
    </row>
    <row r="2097" ht="12.75" customHeight="1" s="117">
      <c r="A2097" s="91" t="n"/>
      <c r="B2097" s="91" t="n"/>
      <c r="C2097" s="91" t="n"/>
      <c r="D2097" s="91" t="n"/>
      <c r="E2097" s="91" t="n"/>
      <c r="F2097" s="91" t="n"/>
      <c r="G2097" s="91" t="n"/>
      <c r="H2097" s="91" t="n"/>
      <c r="I2097" s="91" t="n"/>
      <c r="J2097" s="91" t="n"/>
      <c r="K2097" s="91" t="n"/>
      <c r="L2097" s="91" t="n"/>
      <c r="M2097" s="91" t="n"/>
      <c r="N2097" s="91" t="n"/>
      <c r="O2097" s="91" t="n"/>
      <c r="P2097" s="91" t="n"/>
      <c r="Q2097" s="91" t="n"/>
      <c r="R2097" s="91" t="n"/>
      <c r="S2097" s="91" t="n"/>
      <c r="T2097" s="49">
        <f>DAY(C2097)</f>
        <v/>
      </c>
      <c r="U2097" s="49">
        <f>MONTH(C2097)</f>
        <v/>
      </c>
      <c r="V2097" s="91" t="n"/>
      <c r="W2097" s="91" t="n"/>
      <c r="X2097" s="91" t="n"/>
      <c r="Y2097" s="91" t="n"/>
      <c r="Z2097" s="91" t="n"/>
    </row>
    <row r="2098" ht="12.75" customHeight="1" s="117">
      <c r="A2098" s="91" t="n"/>
      <c r="B2098" s="91" t="n"/>
      <c r="C2098" s="91" t="n"/>
      <c r="D2098" s="91" t="n"/>
      <c r="E2098" s="91" t="n"/>
      <c r="F2098" s="91" t="n"/>
      <c r="G2098" s="91" t="n"/>
      <c r="H2098" s="91" t="n"/>
      <c r="I2098" s="91" t="n"/>
      <c r="J2098" s="91" t="n"/>
      <c r="K2098" s="91" t="n"/>
      <c r="L2098" s="91" t="n"/>
      <c r="M2098" s="91" t="n"/>
      <c r="N2098" s="91" t="n"/>
      <c r="O2098" s="91" t="n"/>
      <c r="P2098" s="91" t="n"/>
      <c r="Q2098" s="91" t="n"/>
      <c r="R2098" s="91" t="n"/>
      <c r="S2098" s="91" t="n"/>
      <c r="T2098" s="49">
        <f>DAY(C2098)</f>
        <v/>
      </c>
      <c r="U2098" s="49">
        <f>MONTH(C2098)</f>
        <v/>
      </c>
      <c r="V2098" s="91" t="n"/>
      <c r="W2098" s="91" t="n"/>
      <c r="X2098" s="91" t="n"/>
      <c r="Y2098" s="91" t="n"/>
      <c r="Z2098" s="91" t="n"/>
    </row>
    <row r="2099" ht="12.75" customHeight="1" s="117">
      <c r="A2099" s="91" t="n"/>
      <c r="B2099" s="91" t="n"/>
      <c r="C2099" s="91" t="n"/>
      <c r="D2099" s="91" t="n"/>
      <c r="E2099" s="91" t="n"/>
      <c r="F2099" s="91" t="n"/>
      <c r="G2099" s="91" t="n"/>
      <c r="H2099" s="91" t="n"/>
      <c r="I2099" s="91" t="n"/>
      <c r="J2099" s="91" t="n"/>
      <c r="K2099" s="91" t="n"/>
      <c r="L2099" s="91" t="n"/>
      <c r="M2099" s="91" t="n"/>
      <c r="N2099" s="91" t="n"/>
      <c r="O2099" s="91" t="n"/>
      <c r="P2099" s="91" t="n"/>
      <c r="Q2099" s="91" t="n"/>
      <c r="R2099" s="91" t="n"/>
      <c r="S2099" s="91" t="n"/>
      <c r="T2099" s="49">
        <f>DAY(C2099)</f>
        <v/>
      </c>
      <c r="U2099" s="49">
        <f>MONTH(C2099)</f>
        <v/>
      </c>
      <c r="V2099" s="91" t="n"/>
      <c r="W2099" s="91" t="n"/>
      <c r="X2099" s="91" t="n"/>
      <c r="Y2099" s="91" t="n"/>
      <c r="Z2099" s="91" t="n"/>
    </row>
    <row r="2100" ht="12.75" customHeight="1" s="117">
      <c r="A2100" s="91" t="n"/>
      <c r="B2100" s="91" t="n"/>
      <c r="C2100" s="91" t="n"/>
      <c r="D2100" s="91" t="n"/>
      <c r="E2100" s="91" t="n"/>
      <c r="F2100" s="91" t="n"/>
      <c r="G2100" s="91" t="n"/>
      <c r="H2100" s="91" t="n"/>
      <c r="I2100" s="91" t="n"/>
      <c r="J2100" s="91" t="n"/>
      <c r="K2100" s="91" t="n"/>
      <c r="L2100" s="91" t="n"/>
      <c r="M2100" s="91" t="n"/>
      <c r="N2100" s="91" t="n"/>
      <c r="O2100" s="91" t="n"/>
      <c r="P2100" s="91" t="n"/>
      <c r="Q2100" s="91" t="n"/>
      <c r="R2100" s="91" t="n"/>
      <c r="S2100" s="91" t="n"/>
      <c r="T2100" s="49">
        <f>DAY(C2100)</f>
        <v/>
      </c>
      <c r="U2100" s="49">
        <f>MONTH(C2100)</f>
        <v/>
      </c>
      <c r="V2100" s="91" t="n"/>
      <c r="W2100" s="91" t="n"/>
      <c r="X2100" s="91" t="n"/>
      <c r="Y2100" s="91" t="n"/>
      <c r="Z2100" s="91" t="n"/>
    </row>
    <row r="2101" ht="12.75" customHeight="1" s="117">
      <c r="A2101" s="91" t="n"/>
      <c r="B2101" s="91" t="n"/>
      <c r="C2101" s="91" t="n"/>
      <c r="D2101" s="91" t="n"/>
      <c r="E2101" s="91" t="n"/>
      <c r="F2101" s="91" t="n"/>
      <c r="G2101" s="91" t="n"/>
      <c r="H2101" s="91" t="n"/>
      <c r="I2101" s="91" t="n"/>
      <c r="J2101" s="91" t="n"/>
      <c r="K2101" s="91" t="n"/>
      <c r="L2101" s="91" t="n"/>
      <c r="M2101" s="91" t="n"/>
      <c r="N2101" s="91" t="n"/>
      <c r="O2101" s="91" t="n"/>
      <c r="P2101" s="91" t="n"/>
      <c r="Q2101" s="91" t="n"/>
      <c r="R2101" s="91" t="n"/>
      <c r="S2101" s="91" t="n"/>
      <c r="T2101" s="49">
        <f>DAY(C2101)</f>
        <v/>
      </c>
      <c r="U2101" s="49">
        <f>MONTH(C2101)</f>
        <v/>
      </c>
      <c r="V2101" s="91" t="n"/>
      <c r="W2101" s="91" t="n"/>
      <c r="X2101" s="91" t="n"/>
      <c r="Y2101" s="91" t="n"/>
      <c r="Z2101" s="91" t="n"/>
    </row>
    <row r="2102" ht="12.75" customHeight="1" s="117">
      <c r="A2102" s="91" t="n"/>
      <c r="B2102" s="91" t="n"/>
      <c r="C2102" s="91" t="n"/>
      <c r="D2102" s="91" t="n"/>
      <c r="E2102" s="91" t="n"/>
      <c r="F2102" s="91" t="n"/>
      <c r="G2102" s="91" t="n"/>
      <c r="H2102" s="91" t="n"/>
      <c r="I2102" s="91" t="n"/>
      <c r="J2102" s="91" t="n"/>
      <c r="K2102" s="91" t="n"/>
      <c r="L2102" s="91" t="n"/>
      <c r="M2102" s="91" t="n"/>
      <c r="N2102" s="91" t="n"/>
      <c r="O2102" s="91" t="n"/>
      <c r="P2102" s="91" t="n"/>
      <c r="Q2102" s="91" t="n"/>
      <c r="R2102" s="91" t="n"/>
      <c r="S2102" s="91" t="n"/>
      <c r="T2102" s="49">
        <f>DAY(C2102)</f>
        <v/>
      </c>
      <c r="U2102" s="49">
        <f>MONTH(C2102)</f>
        <v/>
      </c>
      <c r="V2102" s="91" t="n"/>
      <c r="W2102" s="91" t="n"/>
      <c r="X2102" s="91" t="n"/>
      <c r="Y2102" s="91" t="n"/>
      <c r="Z2102" s="91" t="n"/>
    </row>
    <row r="2103" ht="12.75" customHeight="1" s="117">
      <c r="A2103" s="91" t="n"/>
      <c r="B2103" s="91" t="n"/>
      <c r="C2103" s="91" t="n"/>
      <c r="D2103" s="91" t="n"/>
      <c r="E2103" s="91" t="n"/>
      <c r="F2103" s="91" t="n"/>
      <c r="G2103" s="91" t="n"/>
      <c r="H2103" s="91" t="n"/>
      <c r="I2103" s="91" t="n"/>
      <c r="J2103" s="91" t="n"/>
      <c r="K2103" s="91" t="n"/>
      <c r="L2103" s="91" t="n"/>
      <c r="M2103" s="91" t="n"/>
      <c r="N2103" s="91" t="n"/>
      <c r="O2103" s="91" t="n"/>
      <c r="P2103" s="91" t="n"/>
      <c r="Q2103" s="91" t="n"/>
      <c r="R2103" s="91" t="n"/>
      <c r="S2103" s="91" t="n"/>
      <c r="T2103" s="49">
        <f>DAY(C2103)</f>
        <v/>
      </c>
      <c r="U2103" s="49">
        <f>MONTH(C2103)</f>
        <v/>
      </c>
      <c r="V2103" s="91" t="n"/>
      <c r="W2103" s="91" t="n"/>
      <c r="X2103" s="91" t="n"/>
      <c r="Y2103" s="91" t="n"/>
      <c r="Z2103" s="91" t="n"/>
    </row>
    <row r="2104" ht="12.75" customHeight="1" s="117">
      <c r="A2104" s="91" t="n"/>
      <c r="B2104" s="91" t="n"/>
      <c r="C2104" s="91" t="n"/>
      <c r="D2104" s="91" t="n"/>
      <c r="E2104" s="91" t="n"/>
      <c r="F2104" s="91" t="n"/>
      <c r="G2104" s="91" t="n"/>
      <c r="H2104" s="91" t="n"/>
      <c r="I2104" s="91" t="n"/>
      <c r="J2104" s="91" t="n"/>
      <c r="K2104" s="91" t="n"/>
      <c r="L2104" s="91" t="n"/>
      <c r="M2104" s="91" t="n"/>
      <c r="N2104" s="91" t="n"/>
      <c r="O2104" s="91" t="n"/>
      <c r="P2104" s="91" t="n"/>
      <c r="Q2104" s="91" t="n"/>
      <c r="R2104" s="91" t="n"/>
      <c r="S2104" s="91" t="n"/>
      <c r="T2104" s="49">
        <f>DAY(C2104)</f>
        <v/>
      </c>
      <c r="U2104" s="49">
        <f>MONTH(C2104)</f>
        <v/>
      </c>
      <c r="V2104" s="91" t="n"/>
      <c r="W2104" s="91" t="n"/>
      <c r="X2104" s="91" t="n"/>
      <c r="Y2104" s="91" t="n"/>
      <c r="Z2104" s="91" t="n"/>
    </row>
    <row r="2105" ht="12.75" customHeight="1" s="117">
      <c r="A2105" s="91" t="n"/>
      <c r="B2105" s="91" t="n"/>
      <c r="C2105" s="91" t="n"/>
      <c r="D2105" s="91" t="n"/>
      <c r="E2105" s="91" t="n"/>
      <c r="F2105" s="91" t="n"/>
      <c r="G2105" s="91" t="n"/>
      <c r="H2105" s="91" t="n"/>
      <c r="I2105" s="91" t="n"/>
      <c r="J2105" s="91" t="n"/>
      <c r="K2105" s="91" t="n"/>
      <c r="L2105" s="91" t="n"/>
      <c r="M2105" s="91" t="n"/>
      <c r="N2105" s="91" t="n"/>
      <c r="O2105" s="91" t="n"/>
      <c r="P2105" s="91" t="n"/>
      <c r="Q2105" s="91" t="n"/>
      <c r="R2105" s="91" t="n"/>
      <c r="S2105" s="91" t="n"/>
      <c r="T2105" s="49">
        <f>DAY(C2105)</f>
        <v/>
      </c>
      <c r="U2105" s="49">
        <f>MONTH(C2105)</f>
        <v/>
      </c>
      <c r="V2105" s="91" t="n"/>
      <c r="W2105" s="91" t="n"/>
      <c r="X2105" s="91" t="n"/>
      <c r="Y2105" s="91" t="n"/>
      <c r="Z2105" s="91" t="n"/>
    </row>
    <row r="2106" ht="12.75" customHeight="1" s="117">
      <c r="A2106" s="91" t="n"/>
      <c r="B2106" s="91" t="n"/>
      <c r="C2106" s="91" t="n"/>
      <c r="D2106" s="91" t="n"/>
      <c r="E2106" s="91" t="n"/>
      <c r="F2106" s="91" t="n"/>
      <c r="G2106" s="91" t="n"/>
      <c r="H2106" s="91" t="n"/>
      <c r="I2106" s="91" t="n"/>
      <c r="J2106" s="91" t="n"/>
      <c r="K2106" s="91" t="n"/>
      <c r="L2106" s="91" t="n"/>
      <c r="M2106" s="91" t="n"/>
      <c r="N2106" s="91" t="n"/>
      <c r="O2106" s="91" t="n"/>
      <c r="P2106" s="91" t="n"/>
      <c r="Q2106" s="91" t="n"/>
      <c r="R2106" s="91" t="n"/>
      <c r="S2106" s="91" t="n"/>
      <c r="T2106" s="49">
        <f>DAY(C2106)</f>
        <v/>
      </c>
      <c r="U2106" s="22">
        <f>MONTH(C2106)</f>
        <v/>
      </c>
      <c r="V2106" s="91" t="n"/>
      <c r="W2106" s="91" t="n"/>
      <c r="X2106" s="91" t="n"/>
      <c r="Y2106" s="91" t="n"/>
      <c r="Z2106" s="91" t="n"/>
    </row>
    <row r="2107" ht="12.75" customHeight="1" s="117">
      <c r="A2107" s="91" t="n"/>
      <c r="B2107" s="91" t="n"/>
      <c r="C2107" s="91" t="n"/>
      <c r="D2107" s="91" t="n"/>
      <c r="E2107" s="91" t="n"/>
      <c r="F2107" s="91" t="n"/>
      <c r="G2107" s="91" t="n"/>
      <c r="H2107" s="91" t="n"/>
      <c r="I2107" s="91" t="n"/>
      <c r="J2107" s="91" t="n"/>
      <c r="K2107" s="91" t="n"/>
      <c r="L2107" s="91" t="n"/>
      <c r="M2107" s="91" t="n"/>
      <c r="N2107" s="91" t="n"/>
      <c r="O2107" s="91" t="n"/>
      <c r="P2107" s="91" t="n"/>
      <c r="Q2107" s="91" t="n"/>
      <c r="R2107" s="91" t="n"/>
      <c r="S2107" s="91" t="n"/>
      <c r="T2107" s="49">
        <f>DAY(C2107)</f>
        <v/>
      </c>
      <c r="U2107" s="22">
        <f>MONTH(C2107)</f>
        <v/>
      </c>
      <c r="V2107" s="91" t="n"/>
      <c r="W2107" s="91" t="n"/>
      <c r="X2107" s="91" t="n"/>
      <c r="Y2107" s="91" t="n"/>
      <c r="Z2107" s="91" t="n"/>
    </row>
    <row r="2108" ht="12.75" customHeight="1" s="117">
      <c r="A2108" s="91" t="n"/>
      <c r="B2108" s="91" t="n"/>
      <c r="C2108" s="91" t="n"/>
      <c r="D2108" s="91" t="n"/>
      <c r="E2108" s="91" t="n"/>
      <c r="F2108" s="91" t="n"/>
      <c r="G2108" s="91" t="n"/>
      <c r="H2108" s="91" t="n"/>
      <c r="I2108" s="91" t="n"/>
      <c r="J2108" s="91" t="n"/>
      <c r="K2108" s="91" t="n"/>
      <c r="L2108" s="91" t="n"/>
      <c r="M2108" s="91" t="n"/>
      <c r="N2108" s="91" t="n"/>
      <c r="O2108" s="91" t="n"/>
      <c r="P2108" s="91" t="n"/>
      <c r="Q2108" s="91" t="n"/>
      <c r="R2108" s="91" t="n"/>
      <c r="S2108" s="91" t="n"/>
      <c r="T2108" s="49">
        <f>DAY(C2108)</f>
        <v/>
      </c>
      <c r="U2108" s="22">
        <f>MONTH(C2108)</f>
        <v/>
      </c>
      <c r="V2108" s="91" t="n"/>
      <c r="W2108" s="91" t="n"/>
      <c r="X2108" s="91" t="n"/>
      <c r="Y2108" s="91" t="n"/>
      <c r="Z2108" s="91" t="n"/>
    </row>
    <row r="2109" ht="12.75" customHeight="1" s="117">
      <c r="A2109" s="91" t="n"/>
      <c r="B2109" s="91" t="n"/>
      <c r="C2109" s="91" t="n"/>
      <c r="D2109" s="91" t="n"/>
      <c r="E2109" s="91" t="n"/>
      <c r="F2109" s="91" t="n"/>
      <c r="G2109" s="91" t="n"/>
      <c r="H2109" s="91" t="n"/>
      <c r="I2109" s="91" t="n"/>
      <c r="J2109" s="91" t="n"/>
      <c r="K2109" s="91" t="n"/>
      <c r="L2109" s="91" t="n"/>
      <c r="M2109" s="91" t="n"/>
      <c r="N2109" s="91" t="n"/>
      <c r="O2109" s="91" t="n"/>
      <c r="P2109" s="91" t="n"/>
      <c r="Q2109" s="91" t="n"/>
      <c r="R2109" s="91" t="n"/>
      <c r="S2109" s="91" t="n"/>
      <c r="T2109" s="49">
        <f>DAY(C2109)</f>
        <v/>
      </c>
      <c r="U2109" s="22">
        <f>MONTH(C2109)</f>
        <v/>
      </c>
      <c r="V2109" s="91" t="n"/>
      <c r="W2109" s="91" t="n"/>
      <c r="X2109" s="91" t="n"/>
      <c r="Y2109" s="91" t="n"/>
      <c r="Z2109" s="91" t="n"/>
    </row>
    <row r="2110" ht="12.75" customHeight="1" s="117">
      <c r="A2110" s="91" t="n"/>
      <c r="B2110" s="91" t="n"/>
      <c r="C2110" s="91" t="n"/>
      <c r="D2110" s="91" t="n"/>
      <c r="E2110" s="91" t="n"/>
      <c r="F2110" s="91" t="n"/>
      <c r="G2110" s="91" t="n"/>
      <c r="H2110" s="91" t="n"/>
      <c r="I2110" s="91" t="n"/>
      <c r="J2110" s="91" t="n"/>
      <c r="K2110" s="91" t="n"/>
      <c r="L2110" s="91" t="n"/>
      <c r="M2110" s="91" t="n"/>
      <c r="N2110" s="91" t="n"/>
      <c r="O2110" s="91" t="n"/>
      <c r="P2110" s="91" t="n"/>
      <c r="Q2110" s="91" t="n"/>
      <c r="R2110" s="91" t="n"/>
      <c r="S2110" s="91" t="n"/>
      <c r="T2110" s="49">
        <f>DAY(C2110)</f>
        <v/>
      </c>
      <c r="U2110" s="22">
        <f>MONTH(C2110)</f>
        <v/>
      </c>
      <c r="V2110" s="91" t="n"/>
      <c r="W2110" s="91" t="n"/>
      <c r="X2110" s="91" t="n"/>
      <c r="Y2110" s="91" t="n"/>
      <c r="Z2110" s="91" t="n"/>
    </row>
    <row r="2111" ht="12.75" customHeight="1" s="117">
      <c r="A2111" s="91" t="n"/>
      <c r="B2111" s="91" t="n"/>
      <c r="C2111" s="91" t="n"/>
      <c r="D2111" s="91" t="n"/>
      <c r="E2111" s="91" t="n"/>
      <c r="F2111" s="91" t="n"/>
      <c r="G2111" s="91" t="n"/>
      <c r="H2111" s="91" t="n"/>
      <c r="I2111" s="91" t="n"/>
      <c r="J2111" s="91" t="n"/>
      <c r="K2111" s="91" t="n"/>
      <c r="L2111" s="91" t="n"/>
      <c r="M2111" s="91" t="n"/>
      <c r="N2111" s="91" t="n"/>
      <c r="O2111" s="91" t="n"/>
      <c r="P2111" s="91" t="n"/>
      <c r="Q2111" s="91" t="n"/>
      <c r="R2111" s="91" t="n"/>
      <c r="S2111" s="91" t="n"/>
      <c r="T2111" s="49">
        <f>DAY(C2111)</f>
        <v/>
      </c>
      <c r="U2111" s="22">
        <f>MONTH(C2111)</f>
        <v/>
      </c>
      <c r="V2111" s="91" t="n"/>
      <c r="W2111" s="91" t="n"/>
      <c r="X2111" s="91" t="n"/>
      <c r="Y2111" s="91" t="n"/>
      <c r="Z2111" s="91" t="n"/>
    </row>
    <row r="2112" ht="12.75" customHeight="1" s="117">
      <c r="A2112" s="91" t="n"/>
      <c r="B2112" s="91" t="n"/>
      <c r="C2112" s="91" t="n"/>
      <c r="D2112" s="91" t="n"/>
      <c r="E2112" s="91" t="n"/>
      <c r="F2112" s="91" t="n"/>
      <c r="G2112" s="91" t="n"/>
      <c r="H2112" s="91" t="n"/>
      <c r="I2112" s="91" t="n"/>
      <c r="J2112" s="91" t="n"/>
      <c r="K2112" s="91" t="n"/>
      <c r="L2112" s="91" t="n"/>
      <c r="M2112" s="91" t="n"/>
      <c r="N2112" s="91" t="n"/>
      <c r="O2112" s="91" t="n"/>
      <c r="P2112" s="91" t="n"/>
      <c r="Q2112" s="91" t="n"/>
      <c r="R2112" s="91" t="n"/>
      <c r="S2112" s="91" t="n"/>
      <c r="T2112" s="49">
        <f>DAY(C2112)</f>
        <v/>
      </c>
      <c r="U2112" s="22">
        <f>MONTH(C2112)</f>
        <v/>
      </c>
      <c r="V2112" s="91" t="n"/>
      <c r="W2112" s="91" t="n"/>
      <c r="X2112" s="91" t="n"/>
      <c r="Y2112" s="91" t="n"/>
      <c r="Z2112" s="91" t="n"/>
    </row>
    <row r="2113" ht="12.75" customHeight="1" s="117">
      <c r="A2113" s="91" t="n"/>
      <c r="B2113" s="91" t="n"/>
      <c r="C2113" s="91" t="n"/>
      <c r="D2113" s="91" t="n"/>
      <c r="E2113" s="91" t="n"/>
      <c r="F2113" s="91" t="n"/>
      <c r="G2113" s="91" t="n"/>
      <c r="H2113" s="91" t="n"/>
      <c r="I2113" s="91" t="n"/>
      <c r="J2113" s="91" t="n"/>
      <c r="K2113" s="91" t="n"/>
      <c r="L2113" s="91" t="n"/>
      <c r="M2113" s="91" t="n"/>
      <c r="N2113" s="91" t="n"/>
      <c r="O2113" s="91" t="n"/>
      <c r="P2113" s="91" t="n"/>
      <c r="Q2113" s="91" t="n"/>
      <c r="R2113" s="91" t="n"/>
      <c r="S2113" s="91" t="n"/>
      <c r="T2113" s="49">
        <f>DAY(C2113)</f>
        <v/>
      </c>
      <c r="U2113" s="22">
        <f>MONTH(C2113)</f>
        <v/>
      </c>
      <c r="V2113" s="91" t="n"/>
      <c r="W2113" s="91" t="n"/>
      <c r="X2113" s="91" t="n"/>
      <c r="Y2113" s="91" t="n"/>
      <c r="Z2113" s="91" t="n"/>
    </row>
    <row r="2114" ht="12.75" customHeight="1" s="117">
      <c r="A2114" s="91" t="n"/>
      <c r="B2114" s="91" t="n"/>
      <c r="C2114" s="91" t="n"/>
      <c r="D2114" s="91" t="n"/>
      <c r="E2114" s="91" t="n"/>
      <c r="F2114" s="91" t="n"/>
      <c r="G2114" s="91" t="n"/>
      <c r="H2114" s="91" t="n"/>
      <c r="I2114" s="91" t="n"/>
      <c r="J2114" s="91" t="n"/>
      <c r="K2114" s="91" t="n"/>
      <c r="L2114" s="91" t="n"/>
      <c r="M2114" s="91" t="n"/>
      <c r="N2114" s="91" t="n"/>
      <c r="O2114" s="91" t="n"/>
      <c r="P2114" s="91" t="n"/>
      <c r="Q2114" s="91" t="n"/>
      <c r="R2114" s="91" t="n"/>
      <c r="S2114" s="91" t="n"/>
      <c r="T2114" s="49">
        <f>DAY(C2114)</f>
        <v/>
      </c>
      <c r="U2114" s="22">
        <f>MONTH(C2114)</f>
        <v/>
      </c>
      <c r="V2114" s="91" t="n"/>
      <c r="W2114" s="91" t="n"/>
      <c r="X2114" s="91" t="n"/>
      <c r="Y2114" s="91" t="n"/>
      <c r="Z2114" s="91" t="n"/>
    </row>
    <row r="2115" ht="12.75" customHeight="1" s="117">
      <c r="A2115" s="91" t="n"/>
      <c r="B2115" s="91" t="n"/>
      <c r="C2115" s="91" t="n"/>
      <c r="D2115" s="91" t="n"/>
      <c r="E2115" s="91" t="n"/>
      <c r="F2115" s="91" t="n"/>
      <c r="G2115" s="91" t="n"/>
      <c r="H2115" s="91" t="n"/>
      <c r="I2115" s="91" t="n"/>
      <c r="J2115" s="91" t="n"/>
      <c r="K2115" s="91" t="n"/>
      <c r="L2115" s="91" t="n"/>
      <c r="M2115" s="91" t="n"/>
      <c r="N2115" s="91" t="n"/>
      <c r="O2115" s="91" t="n"/>
      <c r="P2115" s="91" t="n"/>
      <c r="Q2115" s="91" t="n"/>
      <c r="R2115" s="91" t="n"/>
      <c r="S2115" s="91" t="n"/>
      <c r="T2115" s="49">
        <f>DAY(C2115)</f>
        <v/>
      </c>
      <c r="U2115" s="22">
        <f>MONTH(C2115)</f>
        <v/>
      </c>
      <c r="V2115" s="91" t="n"/>
      <c r="W2115" s="91" t="n"/>
      <c r="X2115" s="91" t="n"/>
      <c r="Y2115" s="91" t="n"/>
      <c r="Z2115" s="91" t="n"/>
    </row>
    <row r="2116" ht="12.75" customHeight="1" s="117">
      <c r="A2116" s="91" t="n"/>
      <c r="B2116" s="91" t="n"/>
      <c r="C2116" s="91" t="n"/>
      <c r="D2116" s="91" t="n"/>
      <c r="E2116" s="91" t="n"/>
      <c r="F2116" s="91" t="n"/>
      <c r="G2116" s="91" t="n"/>
      <c r="H2116" s="91" t="n"/>
      <c r="I2116" s="91" t="n"/>
      <c r="J2116" s="91" t="n"/>
      <c r="K2116" s="91" t="n"/>
      <c r="L2116" s="91" t="n"/>
      <c r="M2116" s="91" t="n"/>
      <c r="N2116" s="91" t="n"/>
      <c r="O2116" s="91" t="n"/>
      <c r="P2116" s="91" t="n"/>
      <c r="Q2116" s="91" t="n"/>
      <c r="R2116" s="91" t="n"/>
      <c r="S2116" s="91" t="n"/>
      <c r="T2116" s="49">
        <f>DAY(C2116)</f>
        <v/>
      </c>
      <c r="U2116" s="22">
        <f>MONTH(C2116)</f>
        <v/>
      </c>
      <c r="V2116" s="91" t="n"/>
      <c r="W2116" s="91" t="n"/>
      <c r="X2116" s="91" t="n"/>
      <c r="Y2116" s="91" t="n"/>
      <c r="Z2116" s="91" t="n"/>
    </row>
    <row r="2117" ht="12.75" customHeight="1" s="117">
      <c r="A2117" s="91" t="n"/>
      <c r="B2117" s="91" t="n"/>
      <c r="C2117" s="91" t="n"/>
      <c r="D2117" s="91" t="n"/>
      <c r="E2117" s="91" t="n"/>
      <c r="F2117" s="91" t="n"/>
      <c r="G2117" s="91" t="n"/>
      <c r="H2117" s="91" t="n"/>
      <c r="I2117" s="91" t="n"/>
      <c r="J2117" s="91" t="n"/>
      <c r="K2117" s="91" t="n"/>
      <c r="L2117" s="91" t="n"/>
      <c r="M2117" s="91" t="n"/>
      <c r="N2117" s="91" t="n"/>
      <c r="O2117" s="91" t="n"/>
      <c r="P2117" s="91" t="n"/>
      <c r="Q2117" s="91" t="n"/>
      <c r="R2117" s="91" t="n"/>
      <c r="S2117" s="91" t="n"/>
      <c r="T2117" s="49">
        <f>DAY(C2117)</f>
        <v/>
      </c>
      <c r="U2117" s="22">
        <f>MONTH(C2117)</f>
        <v/>
      </c>
      <c r="V2117" s="91" t="n"/>
      <c r="W2117" s="91" t="n"/>
      <c r="X2117" s="91" t="n"/>
      <c r="Y2117" s="91" t="n"/>
      <c r="Z2117" s="91" t="n"/>
    </row>
    <row r="2118" ht="12.75" customHeight="1" s="117">
      <c r="A2118" s="91" t="n"/>
      <c r="B2118" s="91" t="n"/>
      <c r="C2118" s="91" t="n"/>
      <c r="D2118" s="91" t="n"/>
      <c r="E2118" s="91" t="n"/>
      <c r="F2118" s="91" t="n"/>
      <c r="G2118" s="91" t="n"/>
      <c r="H2118" s="91" t="n"/>
      <c r="I2118" s="91" t="n"/>
      <c r="J2118" s="91" t="n"/>
      <c r="K2118" s="91" t="n"/>
      <c r="L2118" s="91" t="n"/>
      <c r="M2118" s="91" t="n"/>
      <c r="N2118" s="91" t="n"/>
      <c r="O2118" s="91" t="n"/>
      <c r="P2118" s="91" t="n"/>
      <c r="Q2118" s="91" t="n"/>
      <c r="R2118" s="91" t="n"/>
      <c r="S2118" s="91" t="n"/>
      <c r="T2118" s="49">
        <f>DAY(C2118)</f>
        <v/>
      </c>
      <c r="U2118" s="22">
        <f>MONTH(C2118)</f>
        <v/>
      </c>
      <c r="V2118" s="91" t="n"/>
      <c r="W2118" s="91" t="n"/>
      <c r="X2118" s="91" t="n"/>
      <c r="Y2118" s="91" t="n"/>
      <c r="Z2118" s="91" t="n"/>
    </row>
    <row r="2119" ht="12.75" customHeight="1" s="117">
      <c r="A2119" s="91" t="n"/>
      <c r="B2119" s="91" t="n"/>
      <c r="C2119" s="91" t="n"/>
      <c r="D2119" s="91" t="n"/>
      <c r="E2119" s="91" t="n"/>
      <c r="F2119" s="91" t="n"/>
      <c r="G2119" s="91" t="n"/>
      <c r="H2119" s="91" t="n"/>
      <c r="I2119" s="91" t="n"/>
      <c r="J2119" s="91" t="n"/>
      <c r="K2119" s="91" t="n"/>
      <c r="L2119" s="91" t="n"/>
      <c r="M2119" s="91" t="n"/>
      <c r="N2119" s="91" t="n"/>
      <c r="O2119" s="91" t="n"/>
      <c r="P2119" s="91" t="n"/>
      <c r="Q2119" s="91" t="n"/>
      <c r="R2119" s="91" t="n"/>
      <c r="S2119" s="91" t="n"/>
      <c r="T2119" s="49">
        <f>DAY(C2119)</f>
        <v/>
      </c>
      <c r="U2119" s="22">
        <f>MONTH(C2119)</f>
        <v/>
      </c>
      <c r="V2119" s="91" t="n"/>
      <c r="W2119" s="91" t="n"/>
      <c r="X2119" s="91" t="n"/>
      <c r="Y2119" s="91" t="n"/>
      <c r="Z2119" s="91" t="n"/>
    </row>
    <row r="2120" ht="12.75" customHeight="1" s="117">
      <c r="A2120" s="91" t="n"/>
      <c r="B2120" s="91" t="n"/>
      <c r="C2120" s="91" t="n"/>
      <c r="D2120" s="91" t="n"/>
      <c r="E2120" s="91" t="n"/>
      <c r="F2120" s="91" t="n"/>
      <c r="G2120" s="91" t="n"/>
      <c r="H2120" s="91" t="n"/>
      <c r="I2120" s="91" t="n"/>
      <c r="J2120" s="91" t="n"/>
      <c r="K2120" s="91" t="n"/>
      <c r="L2120" s="91" t="n"/>
      <c r="M2120" s="91" t="n"/>
      <c r="N2120" s="91" t="n"/>
      <c r="O2120" s="91" t="n"/>
      <c r="P2120" s="91" t="n"/>
      <c r="Q2120" s="91" t="n"/>
      <c r="R2120" s="91" t="n"/>
      <c r="S2120" s="91" t="n"/>
      <c r="T2120" s="49">
        <f>DAY(C2120)</f>
        <v/>
      </c>
      <c r="U2120" s="22">
        <f>MONTH(C2120)</f>
        <v/>
      </c>
      <c r="V2120" s="91" t="n"/>
      <c r="W2120" s="91" t="n"/>
      <c r="X2120" s="91" t="n"/>
      <c r="Y2120" s="91" t="n"/>
      <c r="Z2120" s="91" t="n"/>
    </row>
    <row r="2121" ht="12.75" customHeight="1" s="117">
      <c r="A2121" s="91" t="n"/>
      <c r="B2121" s="91" t="n"/>
      <c r="C2121" s="91" t="n"/>
      <c r="D2121" s="91" t="n"/>
      <c r="E2121" s="91" t="n"/>
      <c r="F2121" s="91" t="n"/>
      <c r="G2121" s="91" t="n"/>
      <c r="H2121" s="91" t="n"/>
      <c r="I2121" s="91" t="n"/>
      <c r="J2121" s="91" t="n"/>
      <c r="K2121" s="91" t="n"/>
      <c r="L2121" s="91" t="n"/>
      <c r="M2121" s="91" t="n"/>
      <c r="N2121" s="91" t="n"/>
      <c r="O2121" s="91" t="n"/>
      <c r="P2121" s="91" t="n"/>
      <c r="Q2121" s="91" t="n"/>
      <c r="R2121" s="91" t="n"/>
      <c r="S2121" s="91" t="n"/>
      <c r="T2121" s="49">
        <f>DAY(C2121)</f>
        <v/>
      </c>
      <c r="U2121" s="22">
        <f>MONTH(C2121)</f>
        <v/>
      </c>
      <c r="V2121" s="91" t="n"/>
      <c r="W2121" s="91" t="n"/>
      <c r="X2121" s="91" t="n"/>
      <c r="Y2121" s="91" t="n"/>
      <c r="Z2121" s="91" t="n"/>
    </row>
    <row r="2122" ht="12.75" customHeight="1" s="117">
      <c r="A2122" s="91" t="n"/>
      <c r="B2122" s="91" t="n"/>
      <c r="C2122" s="91" t="n"/>
      <c r="D2122" s="91" t="n"/>
      <c r="E2122" s="91" t="n"/>
      <c r="F2122" s="91" t="n"/>
      <c r="G2122" s="91" t="n"/>
      <c r="H2122" s="91" t="n"/>
      <c r="I2122" s="91" t="n"/>
      <c r="J2122" s="91" t="n"/>
      <c r="K2122" s="91" t="n"/>
      <c r="L2122" s="91" t="n"/>
      <c r="M2122" s="91" t="n"/>
      <c r="N2122" s="91" t="n"/>
      <c r="O2122" s="91" t="n"/>
      <c r="P2122" s="91" t="n"/>
      <c r="Q2122" s="91" t="n"/>
      <c r="R2122" s="91" t="n"/>
      <c r="S2122" s="91" t="n"/>
      <c r="T2122" s="49">
        <f>DAY(C2122)</f>
        <v/>
      </c>
      <c r="U2122" s="22">
        <f>MONTH(C2122)</f>
        <v/>
      </c>
      <c r="V2122" s="91" t="n"/>
      <c r="W2122" s="91" t="n"/>
      <c r="X2122" s="91" t="n"/>
      <c r="Y2122" s="91" t="n"/>
      <c r="Z2122" s="91" t="n"/>
    </row>
    <row r="2123" ht="12.75" customHeight="1" s="117">
      <c r="A2123" s="91" t="n"/>
      <c r="B2123" s="91" t="n"/>
      <c r="C2123" s="91" t="n"/>
      <c r="D2123" s="91" t="n"/>
      <c r="E2123" s="91" t="n"/>
      <c r="F2123" s="91" t="n"/>
      <c r="G2123" s="91" t="n"/>
      <c r="H2123" s="91" t="n"/>
      <c r="I2123" s="91" t="n"/>
      <c r="J2123" s="91" t="n"/>
      <c r="K2123" s="91" t="n"/>
      <c r="L2123" s="91" t="n"/>
      <c r="M2123" s="91" t="n"/>
      <c r="N2123" s="91" t="n"/>
      <c r="O2123" s="91" t="n"/>
      <c r="P2123" s="91" t="n"/>
      <c r="Q2123" s="91" t="n"/>
      <c r="R2123" s="91" t="n"/>
      <c r="S2123" s="91" t="n"/>
      <c r="T2123" s="49">
        <f>DAY(C2123)</f>
        <v/>
      </c>
      <c r="U2123" s="22">
        <f>MONTH(C2123)</f>
        <v/>
      </c>
      <c r="V2123" s="91" t="n"/>
      <c r="W2123" s="91" t="n"/>
      <c r="X2123" s="91" t="n"/>
      <c r="Y2123" s="91" t="n"/>
      <c r="Z2123" s="91" t="n"/>
    </row>
    <row r="2124" ht="12.75" customHeight="1" s="117">
      <c r="A2124" s="91" t="n"/>
      <c r="B2124" s="91" t="n"/>
      <c r="C2124" s="91" t="n"/>
      <c r="D2124" s="91" t="n"/>
      <c r="E2124" s="91" t="n"/>
      <c r="F2124" s="91" t="n"/>
      <c r="G2124" s="91" t="n"/>
      <c r="H2124" s="91" t="n"/>
      <c r="I2124" s="91" t="n"/>
      <c r="J2124" s="91" t="n"/>
      <c r="K2124" s="91" t="n"/>
      <c r="L2124" s="91" t="n"/>
      <c r="M2124" s="91" t="n"/>
      <c r="N2124" s="91" t="n"/>
      <c r="O2124" s="91" t="n"/>
      <c r="P2124" s="91" t="n"/>
      <c r="Q2124" s="91" t="n"/>
      <c r="R2124" s="91" t="n"/>
      <c r="S2124" s="91" t="n"/>
      <c r="T2124" s="49">
        <f>DAY(C2124)</f>
        <v/>
      </c>
      <c r="U2124" s="22">
        <f>MONTH(C2124)</f>
        <v/>
      </c>
      <c r="V2124" s="91" t="n"/>
      <c r="W2124" s="91" t="n"/>
      <c r="X2124" s="91" t="n"/>
      <c r="Y2124" s="91" t="n"/>
      <c r="Z2124" s="91" t="n"/>
    </row>
    <row r="2125" ht="12.75" customHeight="1" s="117">
      <c r="A2125" s="91" t="n"/>
      <c r="B2125" s="91" t="n"/>
      <c r="C2125" s="91" t="n"/>
      <c r="D2125" s="91" t="n"/>
      <c r="E2125" s="91" t="n"/>
      <c r="F2125" s="91" t="n"/>
      <c r="G2125" s="91" t="n"/>
      <c r="H2125" s="91" t="n"/>
      <c r="I2125" s="91" t="n"/>
      <c r="J2125" s="91" t="n"/>
      <c r="K2125" s="91" t="n"/>
      <c r="L2125" s="91" t="n"/>
      <c r="M2125" s="91" t="n"/>
      <c r="N2125" s="91" t="n"/>
      <c r="O2125" s="91" t="n"/>
      <c r="P2125" s="91" t="n"/>
      <c r="Q2125" s="91" t="n"/>
      <c r="R2125" s="91" t="n"/>
      <c r="S2125" s="91" t="n"/>
      <c r="T2125" s="49">
        <f>DAY(C2125)</f>
        <v/>
      </c>
      <c r="U2125" s="22">
        <f>MONTH(C2125)</f>
        <v/>
      </c>
      <c r="V2125" s="91" t="n"/>
      <c r="W2125" s="91" t="n"/>
      <c r="X2125" s="91" t="n"/>
      <c r="Y2125" s="91" t="n"/>
      <c r="Z2125" s="91" t="n"/>
    </row>
    <row r="2126" ht="12.75" customHeight="1" s="117">
      <c r="A2126" s="91" t="n"/>
      <c r="B2126" s="91" t="n"/>
      <c r="C2126" s="91" t="n"/>
      <c r="D2126" s="91" t="n"/>
      <c r="E2126" s="91" t="n"/>
      <c r="F2126" s="91" t="n"/>
      <c r="G2126" s="91" t="n"/>
      <c r="H2126" s="91" t="n"/>
      <c r="I2126" s="91" t="n"/>
      <c r="J2126" s="91" t="n"/>
      <c r="K2126" s="91" t="n"/>
      <c r="L2126" s="91" t="n"/>
      <c r="M2126" s="91" t="n"/>
      <c r="N2126" s="91" t="n"/>
      <c r="O2126" s="91" t="n"/>
      <c r="P2126" s="91" t="n"/>
      <c r="Q2126" s="91" t="n"/>
      <c r="R2126" s="91" t="n"/>
      <c r="S2126" s="91" t="n"/>
      <c r="T2126" s="49">
        <f>DAY(C2126)</f>
        <v/>
      </c>
      <c r="U2126" s="22">
        <f>MONTH(C2126)</f>
        <v/>
      </c>
      <c r="V2126" s="91" t="n"/>
      <c r="W2126" s="91" t="n"/>
      <c r="X2126" s="91" t="n"/>
      <c r="Y2126" s="91" t="n"/>
      <c r="Z2126" s="91" t="n"/>
    </row>
    <row r="2127" ht="12.75" customHeight="1" s="117">
      <c r="A2127" s="91" t="n"/>
      <c r="B2127" s="91" t="n"/>
      <c r="C2127" s="91" t="n"/>
      <c r="D2127" s="91" t="n"/>
      <c r="E2127" s="91" t="n"/>
      <c r="F2127" s="91" t="n"/>
      <c r="G2127" s="91" t="n"/>
      <c r="H2127" s="91" t="n"/>
      <c r="I2127" s="91" t="n"/>
      <c r="J2127" s="91" t="n"/>
      <c r="K2127" s="91" t="n"/>
      <c r="L2127" s="91" t="n"/>
      <c r="M2127" s="91" t="n"/>
      <c r="N2127" s="91" t="n"/>
      <c r="O2127" s="91" t="n"/>
      <c r="P2127" s="91" t="n"/>
      <c r="Q2127" s="91" t="n"/>
      <c r="R2127" s="91" t="n"/>
      <c r="S2127" s="91" t="n"/>
      <c r="T2127" s="49">
        <f>DAY(C2127)</f>
        <v/>
      </c>
      <c r="U2127" s="22">
        <f>MONTH(C2127)</f>
        <v/>
      </c>
      <c r="V2127" s="91" t="n"/>
      <c r="W2127" s="91" t="n"/>
      <c r="X2127" s="91" t="n"/>
      <c r="Y2127" s="91" t="n"/>
      <c r="Z2127" s="91" t="n"/>
    </row>
    <row r="2128" ht="12.75" customHeight="1" s="117">
      <c r="A2128" s="91" t="n"/>
      <c r="B2128" s="91" t="n"/>
      <c r="C2128" s="91" t="n"/>
      <c r="D2128" s="91" t="n"/>
      <c r="E2128" s="91" t="n"/>
      <c r="F2128" s="91" t="n"/>
      <c r="G2128" s="91" t="n"/>
      <c r="H2128" s="91" t="n"/>
      <c r="I2128" s="91" t="n"/>
      <c r="J2128" s="91" t="n"/>
      <c r="K2128" s="91" t="n"/>
      <c r="L2128" s="91" t="n"/>
      <c r="M2128" s="91" t="n"/>
      <c r="N2128" s="91" t="n"/>
      <c r="O2128" s="91" t="n"/>
      <c r="P2128" s="91" t="n"/>
      <c r="Q2128" s="91" t="n"/>
      <c r="R2128" s="91" t="n"/>
      <c r="S2128" s="91" t="n"/>
      <c r="T2128" s="49">
        <f>DAY(C2128)</f>
        <v/>
      </c>
      <c r="U2128" s="22">
        <f>MONTH(C2128)</f>
        <v/>
      </c>
      <c r="V2128" s="91" t="n"/>
      <c r="W2128" s="91" t="n"/>
      <c r="X2128" s="91" t="n"/>
      <c r="Y2128" s="91" t="n"/>
      <c r="Z2128" s="91" t="n"/>
    </row>
    <row r="2129" ht="12.75" customHeight="1" s="117">
      <c r="A2129" s="91" t="n"/>
      <c r="B2129" s="91" t="n"/>
      <c r="C2129" s="91" t="n"/>
      <c r="D2129" s="91" t="n"/>
      <c r="E2129" s="91" t="n"/>
      <c r="F2129" s="91" t="n"/>
      <c r="G2129" s="91" t="n"/>
      <c r="H2129" s="91" t="n"/>
      <c r="I2129" s="91" t="n"/>
      <c r="J2129" s="91" t="n"/>
      <c r="K2129" s="91" t="n"/>
      <c r="L2129" s="91" t="n"/>
      <c r="M2129" s="91" t="n"/>
      <c r="N2129" s="91" t="n"/>
      <c r="O2129" s="91" t="n"/>
      <c r="P2129" s="91" t="n"/>
      <c r="Q2129" s="91" t="n"/>
      <c r="R2129" s="91" t="n"/>
      <c r="S2129" s="91" t="n"/>
      <c r="T2129" s="49">
        <f>DAY(C2129)</f>
        <v/>
      </c>
      <c r="U2129" s="22">
        <f>MONTH(C2129)</f>
        <v/>
      </c>
      <c r="V2129" s="91" t="n"/>
      <c r="W2129" s="91" t="n"/>
      <c r="X2129" s="91" t="n"/>
      <c r="Y2129" s="91" t="n"/>
      <c r="Z2129" s="91" t="n"/>
    </row>
    <row r="2130" ht="12.75" customHeight="1" s="117">
      <c r="A2130" s="91" t="n"/>
      <c r="B2130" s="91" t="n"/>
      <c r="C2130" s="91" t="n"/>
      <c r="D2130" s="91" t="n"/>
      <c r="E2130" s="91" t="n"/>
      <c r="F2130" s="91" t="n"/>
      <c r="G2130" s="91" t="n"/>
      <c r="H2130" s="91" t="n"/>
      <c r="I2130" s="91" t="n"/>
      <c r="J2130" s="91" t="n"/>
      <c r="K2130" s="91" t="n"/>
      <c r="L2130" s="91" t="n"/>
      <c r="M2130" s="91" t="n"/>
      <c r="N2130" s="91" t="n"/>
      <c r="O2130" s="91" t="n"/>
      <c r="P2130" s="91" t="n"/>
      <c r="Q2130" s="91" t="n"/>
      <c r="R2130" s="91" t="n"/>
      <c r="S2130" s="91" t="n"/>
      <c r="T2130" s="49">
        <f>DAY(C2130)</f>
        <v/>
      </c>
      <c r="U2130" s="22">
        <f>MONTH(C2130)</f>
        <v/>
      </c>
      <c r="V2130" s="91" t="n"/>
      <c r="W2130" s="91" t="n"/>
      <c r="X2130" s="91" t="n"/>
      <c r="Y2130" s="91" t="n"/>
      <c r="Z2130" s="91" t="n"/>
    </row>
    <row r="2131" ht="12.75" customHeight="1" s="117">
      <c r="A2131" s="91" t="n"/>
      <c r="B2131" s="91" t="n"/>
      <c r="C2131" s="91" t="n"/>
      <c r="D2131" s="91" t="n"/>
      <c r="E2131" s="91" t="n"/>
      <c r="F2131" s="91" t="n"/>
      <c r="G2131" s="91" t="n"/>
      <c r="H2131" s="91" t="n"/>
      <c r="I2131" s="91" t="n"/>
      <c r="J2131" s="91" t="n"/>
      <c r="K2131" s="91" t="n"/>
      <c r="L2131" s="91" t="n"/>
      <c r="M2131" s="91" t="n"/>
      <c r="N2131" s="91" t="n"/>
      <c r="O2131" s="91" t="n"/>
      <c r="P2131" s="91" t="n"/>
      <c r="Q2131" s="91" t="n"/>
      <c r="R2131" s="91" t="n"/>
      <c r="S2131" s="91" t="n"/>
      <c r="T2131" s="49">
        <f>DAY(C2131)</f>
        <v/>
      </c>
      <c r="U2131" s="22">
        <f>MONTH(C2131)</f>
        <v/>
      </c>
      <c r="V2131" s="91" t="n"/>
      <c r="W2131" s="91" t="n"/>
      <c r="X2131" s="91" t="n"/>
      <c r="Y2131" s="91" t="n"/>
      <c r="Z2131" s="91" t="n"/>
    </row>
    <row r="2132" ht="12.75" customHeight="1" s="117">
      <c r="A2132" s="91" t="n"/>
      <c r="B2132" s="91" t="n"/>
      <c r="C2132" s="91" t="n"/>
      <c r="D2132" s="91" t="n"/>
      <c r="E2132" s="91" t="n"/>
      <c r="F2132" s="91" t="n"/>
      <c r="G2132" s="91" t="n"/>
      <c r="H2132" s="91" t="n"/>
      <c r="I2132" s="91" t="n"/>
      <c r="J2132" s="91" t="n"/>
      <c r="K2132" s="91" t="n"/>
      <c r="L2132" s="91" t="n"/>
      <c r="M2132" s="91" t="n"/>
      <c r="N2132" s="91" t="n"/>
      <c r="O2132" s="91" t="n"/>
      <c r="P2132" s="91" t="n"/>
      <c r="Q2132" s="91" t="n"/>
      <c r="R2132" s="91" t="n"/>
      <c r="S2132" s="91" t="n"/>
      <c r="T2132" s="49">
        <f>DAY(C2132)</f>
        <v/>
      </c>
      <c r="U2132" s="22">
        <f>MONTH(C2132)</f>
        <v/>
      </c>
      <c r="V2132" s="91" t="n"/>
      <c r="W2132" s="91" t="n"/>
      <c r="X2132" s="91" t="n"/>
      <c r="Y2132" s="91" t="n"/>
      <c r="Z2132" s="91" t="n"/>
    </row>
    <row r="2133" ht="12.75" customHeight="1" s="117">
      <c r="A2133" s="91" t="n"/>
      <c r="B2133" s="91" t="n"/>
      <c r="C2133" s="91" t="n"/>
      <c r="D2133" s="91" t="n"/>
      <c r="E2133" s="91" t="n"/>
      <c r="F2133" s="91" t="n"/>
      <c r="G2133" s="91" t="n"/>
      <c r="H2133" s="91" t="n"/>
      <c r="I2133" s="91" t="n"/>
      <c r="J2133" s="91" t="n"/>
      <c r="K2133" s="91" t="n"/>
      <c r="L2133" s="91" t="n"/>
      <c r="M2133" s="91" t="n"/>
      <c r="N2133" s="91" t="n"/>
      <c r="O2133" s="91" t="n"/>
      <c r="P2133" s="91" t="n"/>
      <c r="Q2133" s="91" t="n"/>
      <c r="R2133" s="91" t="n"/>
      <c r="S2133" s="91" t="n"/>
      <c r="T2133" s="49">
        <f>DAY(C2133)</f>
        <v/>
      </c>
      <c r="U2133" s="22">
        <f>MONTH(C2133)</f>
        <v/>
      </c>
      <c r="V2133" s="91" t="n"/>
      <c r="W2133" s="91" t="n"/>
      <c r="X2133" s="91" t="n"/>
      <c r="Y2133" s="91" t="n"/>
      <c r="Z2133" s="91" t="n"/>
    </row>
    <row r="2134" ht="12.75" customHeight="1" s="117">
      <c r="A2134" s="91" t="n"/>
      <c r="B2134" s="91" t="n"/>
      <c r="C2134" s="91" t="n"/>
      <c r="D2134" s="91" t="n"/>
      <c r="E2134" s="91" t="n"/>
      <c r="F2134" s="91" t="n"/>
      <c r="G2134" s="91" t="n"/>
      <c r="H2134" s="91" t="n"/>
      <c r="I2134" s="91" t="n"/>
      <c r="J2134" s="91" t="n"/>
      <c r="K2134" s="91" t="n"/>
      <c r="L2134" s="91" t="n"/>
      <c r="M2134" s="91" t="n"/>
      <c r="N2134" s="91" t="n"/>
      <c r="O2134" s="91" t="n"/>
      <c r="P2134" s="91" t="n"/>
      <c r="Q2134" s="91" t="n"/>
      <c r="R2134" s="91" t="n"/>
      <c r="S2134" s="91" t="n"/>
      <c r="T2134" s="49">
        <f>DAY(C2134)</f>
        <v/>
      </c>
      <c r="U2134" s="22">
        <f>MONTH(C2134)</f>
        <v/>
      </c>
      <c r="V2134" s="91" t="n"/>
      <c r="W2134" s="91" t="n"/>
      <c r="X2134" s="91" t="n"/>
      <c r="Y2134" s="91" t="n"/>
      <c r="Z2134" s="91" t="n"/>
    </row>
    <row r="2135" ht="12.75" customHeight="1" s="117">
      <c r="A2135" s="91" t="n"/>
      <c r="B2135" s="91" t="n"/>
      <c r="C2135" s="91" t="n"/>
      <c r="D2135" s="91" t="n"/>
      <c r="E2135" s="91" t="n"/>
      <c r="F2135" s="91" t="n"/>
      <c r="G2135" s="91" t="n"/>
      <c r="H2135" s="91" t="n"/>
      <c r="I2135" s="91" t="n"/>
      <c r="J2135" s="91" t="n"/>
      <c r="K2135" s="91" t="n"/>
      <c r="L2135" s="91" t="n"/>
      <c r="M2135" s="91" t="n"/>
      <c r="N2135" s="91" t="n"/>
      <c r="O2135" s="91" t="n"/>
      <c r="P2135" s="91" t="n"/>
      <c r="Q2135" s="91" t="n"/>
      <c r="R2135" s="91" t="n"/>
      <c r="S2135" s="91" t="n"/>
      <c r="T2135" s="49">
        <f>DAY(C2135)</f>
        <v/>
      </c>
      <c r="U2135" s="22">
        <f>MONTH(C2135)</f>
        <v/>
      </c>
      <c r="V2135" s="91" t="n"/>
      <c r="W2135" s="91" t="n"/>
      <c r="X2135" s="91" t="n"/>
      <c r="Y2135" s="91" t="n"/>
      <c r="Z2135" s="91" t="n"/>
    </row>
    <row r="2136" ht="12.75" customHeight="1" s="117">
      <c r="A2136" s="91" t="n"/>
      <c r="B2136" s="91" t="n"/>
      <c r="C2136" s="91" t="n"/>
      <c r="D2136" s="91" t="n"/>
      <c r="E2136" s="91" t="n"/>
      <c r="F2136" s="91" t="n"/>
      <c r="G2136" s="91" t="n"/>
      <c r="H2136" s="91" t="n"/>
      <c r="I2136" s="91" t="n"/>
      <c r="J2136" s="91" t="n"/>
      <c r="K2136" s="91" t="n"/>
      <c r="L2136" s="91" t="n"/>
      <c r="M2136" s="91" t="n"/>
      <c r="N2136" s="91" t="n"/>
      <c r="O2136" s="91" t="n"/>
      <c r="P2136" s="91" t="n"/>
      <c r="Q2136" s="91" t="n"/>
      <c r="R2136" s="91" t="n"/>
      <c r="S2136" s="91" t="n"/>
      <c r="T2136" s="49">
        <f>DAY(C2136)</f>
        <v/>
      </c>
      <c r="U2136" s="22">
        <f>MONTH(C2136)</f>
        <v/>
      </c>
      <c r="V2136" s="91" t="n"/>
      <c r="W2136" s="91" t="n"/>
      <c r="X2136" s="91" t="n"/>
      <c r="Y2136" s="91" t="n"/>
      <c r="Z2136" s="91" t="n"/>
    </row>
    <row r="2137" ht="12.75" customHeight="1" s="117">
      <c r="A2137" s="91" t="n"/>
      <c r="B2137" s="91" t="n"/>
      <c r="C2137" s="91" t="n"/>
      <c r="D2137" s="91" t="n"/>
      <c r="E2137" s="91" t="n"/>
      <c r="F2137" s="91" t="n"/>
      <c r="G2137" s="91" t="n"/>
      <c r="H2137" s="91" t="n"/>
      <c r="I2137" s="91" t="n"/>
      <c r="J2137" s="91" t="n"/>
      <c r="K2137" s="91" t="n"/>
      <c r="L2137" s="91" t="n"/>
      <c r="M2137" s="91" t="n"/>
      <c r="N2137" s="91" t="n"/>
      <c r="O2137" s="91" t="n"/>
      <c r="P2137" s="91" t="n"/>
      <c r="Q2137" s="91" t="n"/>
      <c r="R2137" s="91" t="n"/>
      <c r="S2137" s="91" t="n"/>
      <c r="T2137" s="49">
        <f>DAY(C2137)</f>
        <v/>
      </c>
      <c r="U2137" s="22">
        <f>MONTH(C2137)</f>
        <v/>
      </c>
      <c r="V2137" s="91" t="n"/>
      <c r="W2137" s="91" t="n"/>
      <c r="X2137" s="91" t="n"/>
      <c r="Y2137" s="91" t="n"/>
      <c r="Z2137" s="91" t="n"/>
    </row>
    <row r="2138" ht="12.75" customHeight="1" s="117">
      <c r="A2138" s="91" t="n"/>
      <c r="B2138" s="91" t="n"/>
      <c r="C2138" s="91" t="n"/>
      <c r="D2138" s="91" t="n"/>
      <c r="E2138" s="91" t="n"/>
      <c r="F2138" s="91" t="n"/>
      <c r="G2138" s="91" t="n"/>
      <c r="H2138" s="91" t="n"/>
      <c r="I2138" s="91" t="n"/>
      <c r="J2138" s="91" t="n"/>
      <c r="K2138" s="91" t="n"/>
      <c r="L2138" s="91" t="n"/>
      <c r="M2138" s="91" t="n"/>
      <c r="N2138" s="91" t="n"/>
      <c r="O2138" s="91" t="n"/>
      <c r="P2138" s="91" t="n"/>
      <c r="Q2138" s="91" t="n"/>
      <c r="R2138" s="91" t="n"/>
      <c r="S2138" s="91" t="n"/>
      <c r="T2138" s="49">
        <f>DAY(C2138)</f>
        <v/>
      </c>
      <c r="U2138" s="22">
        <f>MONTH(C2138)</f>
        <v/>
      </c>
      <c r="V2138" s="91" t="n"/>
      <c r="W2138" s="91" t="n"/>
      <c r="X2138" s="91" t="n"/>
      <c r="Y2138" s="91" t="n"/>
      <c r="Z2138" s="91" t="n"/>
    </row>
    <row r="2139" ht="12.75" customHeight="1" s="117">
      <c r="A2139" s="91" t="n"/>
      <c r="B2139" s="91" t="n"/>
      <c r="C2139" s="91" t="n"/>
      <c r="D2139" s="91" t="n"/>
      <c r="E2139" s="91" t="n"/>
      <c r="F2139" s="91" t="n"/>
      <c r="G2139" s="91" t="n"/>
      <c r="H2139" s="91" t="n"/>
      <c r="I2139" s="91" t="n"/>
      <c r="J2139" s="91" t="n"/>
      <c r="K2139" s="91" t="n"/>
      <c r="L2139" s="91" t="n"/>
      <c r="M2139" s="91" t="n"/>
      <c r="N2139" s="91" t="n"/>
      <c r="O2139" s="91" t="n"/>
      <c r="P2139" s="91" t="n"/>
      <c r="Q2139" s="91" t="n"/>
      <c r="R2139" s="91" t="n"/>
      <c r="S2139" s="91" t="n"/>
      <c r="T2139" s="49">
        <f>DAY(C2139)</f>
        <v/>
      </c>
      <c r="U2139" s="22">
        <f>MONTH(C2139)</f>
        <v/>
      </c>
      <c r="V2139" s="91" t="n"/>
      <c r="W2139" s="91" t="n"/>
      <c r="X2139" s="91" t="n"/>
      <c r="Y2139" s="91" t="n"/>
      <c r="Z2139" s="91" t="n"/>
    </row>
    <row r="2140" ht="12.75" customHeight="1" s="117">
      <c r="A2140" s="91" t="n"/>
      <c r="B2140" s="91" t="n"/>
      <c r="C2140" s="91" t="n"/>
      <c r="D2140" s="91" t="n"/>
      <c r="E2140" s="91" t="n"/>
      <c r="F2140" s="91" t="n"/>
      <c r="G2140" s="91" t="n"/>
      <c r="H2140" s="91" t="n"/>
      <c r="I2140" s="91" t="n"/>
      <c r="J2140" s="91" t="n"/>
      <c r="K2140" s="91" t="n"/>
      <c r="L2140" s="91" t="n"/>
      <c r="M2140" s="91" t="n"/>
      <c r="N2140" s="91" t="n"/>
      <c r="O2140" s="91" t="n"/>
      <c r="P2140" s="91" t="n"/>
      <c r="Q2140" s="91" t="n"/>
      <c r="R2140" s="91" t="n"/>
      <c r="S2140" s="91" t="n"/>
      <c r="T2140" s="49">
        <f>DAY(C2140)</f>
        <v/>
      </c>
      <c r="U2140" s="22">
        <f>MONTH(C2140)</f>
        <v/>
      </c>
      <c r="V2140" s="91" t="n"/>
      <c r="W2140" s="91" t="n"/>
      <c r="X2140" s="91" t="n"/>
      <c r="Y2140" s="91" t="n"/>
      <c r="Z2140" s="91" t="n"/>
    </row>
    <row r="2141" ht="12.75" customHeight="1" s="117">
      <c r="A2141" s="91" t="n"/>
      <c r="B2141" s="91" t="n"/>
      <c r="C2141" s="91" t="n"/>
      <c r="D2141" s="91" t="n"/>
      <c r="E2141" s="91" t="n"/>
      <c r="F2141" s="91" t="n"/>
      <c r="G2141" s="91" t="n"/>
      <c r="H2141" s="91" t="n"/>
      <c r="I2141" s="91" t="n"/>
      <c r="J2141" s="91" t="n"/>
      <c r="K2141" s="91" t="n"/>
      <c r="L2141" s="91" t="n"/>
      <c r="M2141" s="91" t="n"/>
      <c r="N2141" s="91" t="n"/>
      <c r="O2141" s="91" t="n"/>
      <c r="P2141" s="91" t="n"/>
      <c r="Q2141" s="91" t="n"/>
      <c r="R2141" s="91" t="n"/>
      <c r="S2141" s="91" t="n"/>
      <c r="T2141" s="49">
        <f>DAY(C2141)</f>
        <v/>
      </c>
      <c r="U2141" s="22">
        <f>MONTH(C2141)</f>
        <v/>
      </c>
      <c r="V2141" s="91" t="n"/>
      <c r="W2141" s="91" t="n"/>
      <c r="X2141" s="91" t="n"/>
      <c r="Y2141" s="91" t="n"/>
      <c r="Z2141" s="91" t="n"/>
    </row>
    <row r="2142" ht="12.75" customHeight="1" s="117">
      <c r="A2142" s="91" t="n"/>
      <c r="B2142" s="91" t="n"/>
      <c r="C2142" s="91" t="n"/>
      <c r="D2142" s="91" t="n"/>
      <c r="E2142" s="91" t="n"/>
      <c r="F2142" s="91" t="n"/>
      <c r="G2142" s="91" t="n"/>
      <c r="H2142" s="91" t="n"/>
      <c r="I2142" s="91" t="n"/>
      <c r="J2142" s="91" t="n"/>
      <c r="K2142" s="91" t="n"/>
      <c r="L2142" s="91" t="n"/>
      <c r="M2142" s="91" t="n"/>
      <c r="N2142" s="91" t="n"/>
      <c r="O2142" s="91" t="n"/>
      <c r="P2142" s="91" t="n"/>
      <c r="Q2142" s="91" t="n"/>
      <c r="R2142" s="91" t="n"/>
      <c r="S2142" s="91" t="n"/>
      <c r="T2142" s="49">
        <f>DAY(C2142)</f>
        <v/>
      </c>
      <c r="U2142" s="22">
        <f>MONTH(C2142)</f>
        <v/>
      </c>
      <c r="V2142" s="91" t="n"/>
      <c r="W2142" s="91" t="n"/>
      <c r="X2142" s="91" t="n"/>
      <c r="Y2142" s="91" t="n"/>
      <c r="Z2142" s="91" t="n"/>
    </row>
    <row r="2143" ht="12.75" customHeight="1" s="117">
      <c r="A2143" s="91" t="n"/>
      <c r="B2143" s="91" t="n"/>
      <c r="C2143" s="91" t="n"/>
      <c r="D2143" s="91" t="n"/>
      <c r="E2143" s="91" t="n"/>
      <c r="F2143" s="91" t="n"/>
      <c r="G2143" s="91" t="n"/>
      <c r="H2143" s="91" t="n"/>
      <c r="I2143" s="91" t="n"/>
      <c r="J2143" s="91" t="n"/>
      <c r="K2143" s="91" t="n"/>
      <c r="L2143" s="91" t="n"/>
      <c r="M2143" s="91" t="n"/>
      <c r="N2143" s="91" t="n"/>
      <c r="O2143" s="91" t="n"/>
      <c r="P2143" s="91" t="n"/>
      <c r="Q2143" s="91" t="n"/>
      <c r="R2143" s="91" t="n"/>
      <c r="S2143" s="91" t="n"/>
      <c r="T2143" s="49">
        <f>DAY(C2143)</f>
        <v/>
      </c>
      <c r="U2143" s="22">
        <f>MONTH(C2143)</f>
        <v/>
      </c>
      <c r="V2143" s="91" t="n"/>
      <c r="W2143" s="91" t="n"/>
      <c r="X2143" s="91" t="n"/>
      <c r="Y2143" s="91" t="n"/>
      <c r="Z2143" s="91" t="n"/>
    </row>
    <row r="2144" ht="12.75" customHeight="1" s="117">
      <c r="A2144" s="91" t="n"/>
      <c r="B2144" s="91" t="n"/>
      <c r="C2144" s="91" t="n"/>
      <c r="D2144" s="91" t="n"/>
      <c r="E2144" s="91" t="n"/>
      <c r="F2144" s="91" t="n"/>
      <c r="G2144" s="91" t="n"/>
      <c r="H2144" s="91" t="n"/>
      <c r="I2144" s="91" t="n"/>
      <c r="J2144" s="91" t="n"/>
      <c r="K2144" s="91" t="n"/>
      <c r="L2144" s="91" t="n"/>
      <c r="M2144" s="91" t="n"/>
      <c r="N2144" s="91" t="n"/>
      <c r="O2144" s="91" t="n"/>
      <c r="P2144" s="91" t="n"/>
      <c r="Q2144" s="91" t="n"/>
      <c r="R2144" s="91" t="n"/>
      <c r="S2144" s="91" t="n"/>
      <c r="T2144" s="49">
        <f>DAY(C2144)</f>
        <v/>
      </c>
      <c r="U2144" s="22">
        <f>MONTH(C2144)</f>
        <v/>
      </c>
      <c r="V2144" s="91" t="n"/>
      <c r="W2144" s="91" t="n"/>
      <c r="X2144" s="91" t="n"/>
      <c r="Y2144" s="91" t="n"/>
      <c r="Z2144" s="91" t="n"/>
    </row>
    <row r="2145" ht="12.75" customHeight="1" s="117">
      <c r="A2145" s="91" t="n"/>
      <c r="B2145" s="91" t="n"/>
      <c r="C2145" s="91" t="n"/>
      <c r="D2145" s="91" t="n"/>
      <c r="E2145" s="91" t="n"/>
      <c r="F2145" s="91" t="n"/>
      <c r="G2145" s="91" t="n"/>
      <c r="H2145" s="91" t="n"/>
      <c r="I2145" s="91" t="n"/>
      <c r="J2145" s="91" t="n"/>
      <c r="K2145" s="91" t="n"/>
      <c r="L2145" s="91" t="n"/>
      <c r="M2145" s="91" t="n"/>
      <c r="N2145" s="91" t="n"/>
      <c r="O2145" s="91" t="n"/>
      <c r="P2145" s="91" t="n"/>
      <c r="Q2145" s="91" t="n"/>
      <c r="R2145" s="91" t="n"/>
      <c r="S2145" s="91" t="n"/>
      <c r="T2145" s="49">
        <f>DAY(C2145)</f>
        <v/>
      </c>
      <c r="U2145" s="22">
        <f>MONTH(C2145)</f>
        <v/>
      </c>
      <c r="V2145" s="91" t="n"/>
      <c r="W2145" s="91" t="n"/>
      <c r="X2145" s="91" t="n"/>
      <c r="Y2145" s="91" t="n"/>
      <c r="Z2145" s="91" t="n"/>
    </row>
    <row r="2146" ht="12.75" customHeight="1" s="117">
      <c r="A2146" s="91" t="n"/>
      <c r="B2146" s="91" t="n"/>
      <c r="C2146" s="91" t="n"/>
      <c r="D2146" s="91" t="n"/>
      <c r="E2146" s="91" t="n"/>
      <c r="F2146" s="91" t="n"/>
      <c r="G2146" s="91" t="n"/>
      <c r="H2146" s="91" t="n"/>
      <c r="I2146" s="91" t="n"/>
      <c r="J2146" s="91" t="n"/>
      <c r="K2146" s="91" t="n"/>
      <c r="L2146" s="91" t="n"/>
      <c r="M2146" s="91" t="n"/>
      <c r="N2146" s="91" t="n"/>
      <c r="O2146" s="91" t="n"/>
      <c r="P2146" s="91" t="n"/>
      <c r="Q2146" s="91" t="n"/>
      <c r="R2146" s="91" t="n"/>
      <c r="S2146" s="91" t="n"/>
      <c r="T2146" s="49">
        <f>DAY(C2146)</f>
        <v/>
      </c>
      <c r="U2146" s="22">
        <f>MONTH(C2146)</f>
        <v/>
      </c>
      <c r="V2146" s="91" t="n"/>
      <c r="W2146" s="91" t="n"/>
      <c r="X2146" s="91" t="n"/>
      <c r="Y2146" s="91" t="n"/>
      <c r="Z2146" s="91" t="n"/>
    </row>
    <row r="2147" ht="12.75" customHeight="1" s="117">
      <c r="A2147" s="91" t="n"/>
      <c r="B2147" s="91" t="n"/>
      <c r="C2147" s="91" t="n"/>
      <c r="D2147" s="91" t="n"/>
      <c r="E2147" s="91" t="n"/>
      <c r="F2147" s="91" t="n"/>
      <c r="G2147" s="91" t="n"/>
      <c r="H2147" s="91" t="n"/>
      <c r="I2147" s="91" t="n"/>
      <c r="J2147" s="91" t="n"/>
      <c r="K2147" s="91" t="n"/>
      <c r="L2147" s="91" t="n"/>
      <c r="M2147" s="91" t="n"/>
      <c r="N2147" s="91" t="n"/>
      <c r="O2147" s="91" t="n"/>
      <c r="P2147" s="91" t="n"/>
      <c r="Q2147" s="91" t="n"/>
      <c r="R2147" s="91" t="n"/>
      <c r="S2147" s="91" t="n"/>
      <c r="T2147" s="49">
        <f>DAY(C2147)</f>
        <v/>
      </c>
      <c r="U2147" s="22">
        <f>MONTH(C2147)</f>
        <v/>
      </c>
      <c r="V2147" s="91" t="n"/>
      <c r="W2147" s="91" t="n"/>
      <c r="X2147" s="91" t="n"/>
      <c r="Y2147" s="91" t="n"/>
      <c r="Z2147" s="91" t="n"/>
    </row>
    <row r="2148" ht="12.75" customHeight="1" s="117">
      <c r="A2148" s="91" t="n"/>
      <c r="B2148" s="91" t="n"/>
      <c r="C2148" s="91" t="n"/>
      <c r="D2148" s="91" t="n"/>
      <c r="E2148" s="91" t="n"/>
      <c r="F2148" s="91" t="n"/>
      <c r="G2148" s="91" t="n"/>
      <c r="H2148" s="91" t="n"/>
      <c r="I2148" s="91" t="n"/>
      <c r="J2148" s="91" t="n"/>
      <c r="K2148" s="91" t="n"/>
      <c r="L2148" s="91" t="n"/>
      <c r="M2148" s="91" t="n"/>
      <c r="N2148" s="91" t="n"/>
      <c r="O2148" s="91" t="n"/>
      <c r="P2148" s="91" t="n"/>
      <c r="Q2148" s="91" t="n"/>
      <c r="R2148" s="91" t="n"/>
      <c r="S2148" s="91" t="n"/>
      <c r="T2148" s="49">
        <f>DAY(C2148)</f>
        <v/>
      </c>
      <c r="U2148" s="22">
        <f>MONTH(C2148)</f>
        <v/>
      </c>
      <c r="V2148" s="91" t="n"/>
      <c r="W2148" s="91" t="n"/>
      <c r="X2148" s="91" t="n"/>
      <c r="Y2148" s="91" t="n"/>
      <c r="Z2148" s="91" t="n"/>
    </row>
    <row r="2149" ht="12.75" customHeight="1" s="117">
      <c r="A2149" s="91" t="n"/>
      <c r="B2149" s="91" t="n"/>
      <c r="C2149" s="91" t="n"/>
      <c r="D2149" s="91" t="n"/>
      <c r="E2149" s="91" t="n"/>
      <c r="F2149" s="91" t="n"/>
      <c r="G2149" s="91" t="n"/>
      <c r="H2149" s="91" t="n"/>
      <c r="I2149" s="91" t="n"/>
      <c r="J2149" s="91" t="n"/>
      <c r="K2149" s="91" t="n"/>
      <c r="L2149" s="91" t="n"/>
      <c r="M2149" s="91" t="n"/>
      <c r="N2149" s="91" t="n"/>
      <c r="O2149" s="91" t="n"/>
      <c r="P2149" s="91" t="n"/>
      <c r="Q2149" s="91" t="n"/>
      <c r="R2149" s="91" t="n"/>
      <c r="S2149" s="91" t="n"/>
      <c r="T2149" s="49">
        <f>DAY(C2149)</f>
        <v/>
      </c>
      <c r="U2149" s="22">
        <f>MONTH(C2149)</f>
        <v/>
      </c>
      <c r="V2149" s="91" t="n"/>
      <c r="W2149" s="91" t="n"/>
      <c r="X2149" s="91" t="n"/>
      <c r="Y2149" s="91" t="n"/>
      <c r="Z2149" s="91" t="n"/>
    </row>
    <row r="2150" ht="12.75" customHeight="1" s="117">
      <c r="A2150" s="91" t="n"/>
      <c r="B2150" s="91" t="n"/>
      <c r="C2150" s="91" t="n"/>
      <c r="D2150" s="91" t="n"/>
      <c r="E2150" s="91" t="n"/>
      <c r="F2150" s="91" t="n"/>
      <c r="G2150" s="91" t="n"/>
      <c r="H2150" s="91" t="n"/>
      <c r="I2150" s="91" t="n"/>
      <c r="J2150" s="91" t="n"/>
      <c r="K2150" s="91" t="n"/>
      <c r="L2150" s="91" t="n"/>
      <c r="M2150" s="91" t="n"/>
      <c r="N2150" s="91" t="n"/>
      <c r="O2150" s="91" t="n"/>
      <c r="P2150" s="91" t="n"/>
      <c r="Q2150" s="91" t="n"/>
      <c r="R2150" s="91" t="n"/>
      <c r="S2150" s="91" t="n"/>
      <c r="T2150" s="49">
        <f>DAY(C2150)</f>
        <v/>
      </c>
      <c r="U2150" s="22">
        <f>MONTH(C2150)</f>
        <v/>
      </c>
      <c r="V2150" s="91" t="n"/>
      <c r="W2150" s="91" t="n"/>
      <c r="X2150" s="91" t="n"/>
      <c r="Y2150" s="91" t="n"/>
      <c r="Z2150" s="91" t="n"/>
    </row>
    <row r="2151" ht="12.75" customHeight="1" s="117">
      <c r="A2151" s="91" t="n"/>
      <c r="B2151" s="91" t="n"/>
      <c r="C2151" s="91" t="n"/>
      <c r="D2151" s="91" t="n"/>
      <c r="E2151" s="91" t="n"/>
      <c r="F2151" s="91" t="n"/>
      <c r="G2151" s="91" t="n"/>
      <c r="H2151" s="91" t="n"/>
      <c r="I2151" s="91" t="n"/>
      <c r="J2151" s="91" t="n"/>
      <c r="K2151" s="91" t="n"/>
      <c r="L2151" s="91" t="n"/>
      <c r="M2151" s="91" t="n"/>
      <c r="N2151" s="91" t="n"/>
      <c r="O2151" s="91" t="n"/>
      <c r="P2151" s="91" t="n"/>
      <c r="Q2151" s="91" t="n"/>
      <c r="R2151" s="91" t="n"/>
      <c r="S2151" s="91" t="n"/>
      <c r="T2151" s="49">
        <f>DAY(C2151)</f>
        <v/>
      </c>
      <c r="U2151" s="22">
        <f>MONTH(C2151)</f>
        <v/>
      </c>
      <c r="V2151" s="91" t="n"/>
      <c r="W2151" s="91" t="n"/>
      <c r="X2151" s="91" t="n"/>
      <c r="Y2151" s="91" t="n"/>
      <c r="Z2151" s="91" t="n"/>
    </row>
    <row r="2152" ht="12.75" customHeight="1" s="117">
      <c r="A2152" s="91" t="n"/>
      <c r="B2152" s="91" t="n"/>
      <c r="C2152" s="91" t="n"/>
      <c r="D2152" s="91" t="n"/>
      <c r="E2152" s="91" t="n"/>
      <c r="F2152" s="91" t="n"/>
      <c r="G2152" s="91" t="n"/>
      <c r="H2152" s="91" t="n"/>
      <c r="I2152" s="91" t="n"/>
      <c r="J2152" s="91" t="n"/>
      <c r="K2152" s="91" t="n"/>
      <c r="L2152" s="91" t="n"/>
      <c r="M2152" s="91" t="n"/>
      <c r="N2152" s="91" t="n"/>
      <c r="O2152" s="91" t="n"/>
      <c r="P2152" s="91" t="n"/>
      <c r="Q2152" s="91" t="n"/>
      <c r="R2152" s="91" t="n"/>
      <c r="S2152" s="91" t="n"/>
      <c r="T2152" s="49">
        <f>DAY(C2152)</f>
        <v/>
      </c>
      <c r="U2152" s="22">
        <f>MONTH(C2152)</f>
        <v/>
      </c>
      <c r="V2152" s="91" t="n"/>
      <c r="W2152" s="91" t="n"/>
      <c r="X2152" s="91" t="n"/>
      <c r="Y2152" s="91" t="n"/>
      <c r="Z2152" s="91" t="n"/>
    </row>
    <row r="2153" ht="12.75" customHeight="1" s="117">
      <c r="A2153" s="91" t="n"/>
      <c r="B2153" s="91" t="n"/>
      <c r="C2153" s="91" t="n"/>
      <c r="D2153" s="91" t="n"/>
      <c r="E2153" s="91" t="n"/>
      <c r="F2153" s="91" t="n"/>
      <c r="G2153" s="91" t="n"/>
      <c r="H2153" s="91" t="n"/>
      <c r="I2153" s="91" t="n"/>
      <c r="J2153" s="91" t="n"/>
      <c r="K2153" s="91" t="n"/>
      <c r="L2153" s="91" t="n"/>
      <c r="M2153" s="91" t="n"/>
      <c r="N2153" s="91" t="n"/>
      <c r="O2153" s="91" t="n"/>
      <c r="P2153" s="91" t="n"/>
      <c r="Q2153" s="91" t="n"/>
      <c r="R2153" s="91" t="n"/>
      <c r="S2153" s="91" t="n"/>
      <c r="T2153" s="49">
        <f>DAY(C2153)</f>
        <v/>
      </c>
      <c r="U2153" s="22">
        <f>MONTH(C2153)</f>
        <v/>
      </c>
      <c r="V2153" s="91" t="n"/>
      <c r="W2153" s="91" t="n"/>
      <c r="X2153" s="91" t="n"/>
      <c r="Y2153" s="91" t="n"/>
      <c r="Z2153" s="91" t="n"/>
    </row>
    <row r="2154" ht="12.75" customHeight="1" s="117">
      <c r="A2154" s="91" t="n"/>
      <c r="B2154" s="91" t="n"/>
      <c r="C2154" s="91" t="n"/>
      <c r="D2154" s="91" t="n"/>
      <c r="E2154" s="91" t="n"/>
      <c r="F2154" s="91" t="n"/>
      <c r="G2154" s="91" t="n"/>
      <c r="H2154" s="91" t="n"/>
      <c r="I2154" s="91" t="n"/>
      <c r="J2154" s="91" t="n"/>
      <c r="K2154" s="91" t="n"/>
      <c r="L2154" s="91" t="n"/>
      <c r="M2154" s="91" t="n"/>
      <c r="N2154" s="91" t="n"/>
      <c r="O2154" s="91" t="n"/>
      <c r="P2154" s="91" t="n"/>
      <c r="Q2154" s="91" t="n"/>
      <c r="R2154" s="91" t="n"/>
      <c r="S2154" s="91" t="n"/>
      <c r="T2154" s="49">
        <f>DAY(C2154)</f>
        <v/>
      </c>
      <c r="U2154" s="22">
        <f>MONTH(C2154)</f>
        <v/>
      </c>
      <c r="V2154" s="91" t="n"/>
      <c r="W2154" s="91" t="n"/>
      <c r="X2154" s="91" t="n"/>
      <c r="Y2154" s="91" t="n"/>
      <c r="Z2154" s="91" t="n"/>
    </row>
    <row r="2155" ht="12.75" customHeight="1" s="117">
      <c r="A2155" s="91" t="n"/>
      <c r="B2155" s="91" t="n"/>
      <c r="C2155" s="91" t="n"/>
      <c r="D2155" s="91" t="n"/>
      <c r="E2155" s="91" t="n"/>
      <c r="F2155" s="91" t="n"/>
      <c r="G2155" s="91" t="n"/>
      <c r="H2155" s="91" t="n"/>
      <c r="I2155" s="91" t="n"/>
      <c r="J2155" s="91" t="n"/>
      <c r="K2155" s="91" t="n"/>
      <c r="L2155" s="91" t="n"/>
      <c r="M2155" s="91" t="n"/>
      <c r="N2155" s="91" t="n"/>
      <c r="O2155" s="91" t="n"/>
      <c r="P2155" s="91" t="n"/>
      <c r="Q2155" s="91" t="n"/>
      <c r="R2155" s="91" t="n"/>
      <c r="S2155" s="91" t="n"/>
      <c r="T2155" s="49">
        <f>DAY(C2155)</f>
        <v/>
      </c>
      <c r="U2155" s="22">
        <f>MONTH(C2155)</f>
        <v/>
      </c>
      <c r="V2155" s="91" t="n"/>
      <c r="W2155" s="91" t="n"/>
      <c r="X2155" s="91" t="n"/>
      <c r="Y2155" s="91" t="n"/>
      <c r="Z2155" s="91" t="n"/>
    </row>
    <row r="2156" ht="12.75" customHeight="1" s="117">
      <c r="A2156" s="91" t="n"/>
      <c r="B2156" s="91" t="n"/>
      <c r="C2156" s="91" t="n"/>
      <c r="D2156" s="91" t="n"/>
      <c r="E2156" s="91" t="n"/>
      <c r="F2156" s="91" t="n"/>
      <c r="G2156" s="91" t="n"/>
      <c r="H2156" s="91" t="n"/>
      <c r="I2156" s="91" t="n"/>
      <c r="J2156" s="91" t="n"/>
      <c r="K2156" s="91" t="n"/>
      <c r="L2156" s="91" t="n"/>
      <c r="M2156" s="91" t="n"/>
      <c r="N2156" s="91" t="n"/>
      <c r="O2156" s="91" t="n"/>
      <c r="P2156" s="91" t="n"/>
      <c r="Q2156" s="91" t="n"/>
      <c r="R2156" s="91" t="n"/>
      <c r="S2156" s="91" t="n"/>
      <c r="T2156" s="49">
        <f>DAY(C2156)</f>
        <v/>
      </c>
      <c r="U2156" s="22">
        <f>MONTH(C2156)</f>
        <v/>
      </c>
      <c r="V2156" s="91" t="n"/>
      <c r="W2156" s="91" t="n"/>
      <c r="X2156" s="91" t="n"/>
      <c r="Y2156" s="91" t="n"/>
      <c r="Z2156" s="91" t="n"/>
    </row>
    <row r="2157" ht="12.75" customHeight="1" s="117">
      <c r="A2157" s="91" t="n"/>
      <c r="B2157" s="91" t="n"/>
      <c r="C2157" s="91" t="n"/>
      <c r="D2157" s="91" t="n"/>
      <c r="E2157" s="91" t="n"/>
      <c r="F2157" s="91" t="n"/>
      <c r="G2157" s="91" t="n"/>
      <c r="H2157" s="91" t="n"/>
      <c r="I2157" s="91" t="n"/>
      <c r="J2157" s="91" t="n"/>
      <c r="K2157" s="91" t="n"/>
      <c r="L2157" s="91" t="n"/>
      <c r="M2157" s="91" t="n"/>
      <c r="N2157" s="91" t="n"/>
      <c r="O2157" s="91" t="n"/>
      <c r="P2157" s="91" t="n"/>
      <c r="Q2157" s="91" t="n"/>
      <c r="R2157" s="91" t="n"/>
      <c r="S2157" s="91" t="n"/>
      <c r="T2157" s="49">
        <f>DAY(C2157)</f>
        <v/>
      </c>
      <c r="U2157" s="22">
        <f>MONTH(C2157)</f>
        <v/>
      </c>
      <c r="V2157" s="91" t="n"/>
      <c r="W2157" s="91" t="n"/>
      <c r="X2157" s="91" t="n"/>
      <c r="Y2157" s="91" t="n"/>
      <c r="Z2157" s="91" t="n"/>
    </row>
    <row r="2158" ht="12.75" customHeight="1" s="117">
      <c r="A2158" s="91" t="n"/>
      <c r="B2158" s="91" t="n"/>
      <c r="C2158" s="91" t="n"/>
      <c r="D2158" s="91" t="n"/>
      <c r="E2158" s="91" t="n"/>
      <c r="F2158" s="91" t="n"/>
      <c r="G2158" s="91" t="n"/>
      <c r="H2158" s="91" t="n"/>
      <c r="I2158" s="91" t="n"/>
      <c r="J2158" s="91" t="n"/>
      <c r="K2158" s="91" t="n"/>
      <c r="L2158" s="91" t="n"/>
      <c r="M2158" s="91" t="n"/>
      <c r="N2158" s="91" t="n"/>
      <c r="O2158" s="91" t="n"/>
      <c r="P2158" s="91" t="n"/>
      <c r="Q2158" s="91" t="n"/>
      <c r="R2158" s="91" t="n"/>
      <c r="S2158" s="91" t="n"/>
      <c r="T2158" s="49">
        <f>DAY(C2158)</f>
        <v/>
      </c>
      <c r="U2158" s="22">
        <f>MONTH(C2158)</f>
        <v/>
      </c>
      <c r="V2158" s="91" t="n"/>
      <c r="W2158" s="91" t="n"/>
      <c r="X2158" s="91" t="n"/>
      <c r="Y2158" s="91" t="n"/>
      <c r="Z2158" s="91" t="n"/>
    </row>
    <row r="2159" ht="12.75" customHeight="1" s="117">
      <c r="A2159" s="91" t="n"/>
      <c r="B2159" s="91" t="n"/>
      <c r="C2159" s="91" t="n"/>
      <c r="D2159" s="91" t="n"/>
      <c r="E2159" s="91" t="n"/>
      <c r="F2159" s="91" t="n"/>
      <c r="G2159" s="91" t="n"/>
      <c r="H2159" s="91" t="n"/>
      <c r="I2159" s="91" t="n"/>
      <c r="J2159" s="91" t="n"/>
      <c r="K2159" s="91" t="n"/>
      <c r="L2159" s="91" t="n"/>
      <c r="M2159" s="91" t="n"/>
      <c r="N2159" s="91" t="n"/>
      <c r="O2159" s="91" t="n"/>
      <c r="P2159" s="91" t="n"/>
      <c r="Q2159" s="91" t="n"/>
      <c r="R2159" s="91" t="n"/>
      <c r="S2159" s="91" t="n"/>
      <c r="T2159" s="49">
        <f>DAY(C2159)</f>
        <v/>
      </c>
      <c r="U2159" s="22">
        <f>MONTH(C2159)</f>
        <v/>
      </c>
      <c r="V2159" s="91" t="n"/>
      <c r="W2159" s="91" t="n"/>
      <c r="X2159" s="91" t="n"/>
      <c r="Y2159" s="91" t="n"/>
      <c r="Z2159" s="91" t="n"/>
    </row>
    <row r="2160" ht="12.75" customHeight="1" s="117">
      <c r="A2160" s="91" t="n"/>
      <c r="B2160" s="91" t="n"/>
      <c r="C2160" s="91" t="n"/>
      <c r="D2160" s="91" t="n"/>
      <c r="E2160" s="91" t="n"/>
      <c r="F2160" s="91" t="n"/>
      <c r="G2160" s="91" t="n"/>
      <c r="H2160" s="91" t="n"/>
      <c r="I2160" s="91" t="n"/>
      <c r="J2160" s="91" t="n"/>
      <c r="K2160" s="91" t="n"/>
      <c r="L2160" s="91" t="n"/>
      <c r="M2160" s="91" t="n"/>
      <c r="N2160" s="91" t="n"/>
      <c r="O2160" s="91" t="n"/>
      <c r="P2160" s="91" t="n"/>
      <c r="Q2160" s="91" t="n"/>
      <c r="R2160" s="91" t="n"/>
      <c r="S2160" s="91" t="n"/>
      <c r="T2160" s="49">
        <f>DAY(C2160)</f>
        <v/>
      </c>
      <c r="U2160" s="22">
        <f>MONTH(C2160)</f>
        <v/>
      </c>
      <c r="V2160" s="91" t="n"/>
      <c r="W2160" s="91" t="n"/>
      <c r="X2160" s="91" t="n"/>
      <c r="Y2160" s="91" t="n"/>
      <c r="Z2160" s="91" t="n"/>
    </row>
    <row r="2161" ht="12.75" customHeight="1" s="117">
      <c r="A2161" s="91" t="n"/>
      <c r="B2161" s="91" t="n"/>
      <c r="C2161" s="91" t="n"/>
      <c r="D2161" s="91" t="n"/>
      <c r="E2161" s="91" t="n"/>
      <c r="F2161" s="91" t="n"/>
      <c r="G2161" s="91" t="n"/>
      <c r="H2161" s="91" t="n"/>
      <c r="I2161" s="91" t="n"/>
      <c r="J2161" s="91" t="n"/>
      <c r="K2161" s="91" t="n"/>
      <c r="L2161" s="91" t="n"/>
      <c r="M2161" s="91" t="n"/>
      <c r="N2161" s="91" t="n"/>
      <c r="O2161" s="91" t="n"/>
      <c r="P2161" s="91" t="n"/>
      <c r="Q2161" s="91" t="n"/>
      <c r="R2161" s="91" t="n"/>
      <c r="S2161" s="91" t="n"/>
      <c r="T2161" s="49">
        <f>DAY(C2161)</f>
        <v/>
      </c>
      <c r="U2161" s="22">
        <f>MONTH(C2161)</f>
        <v/>
      </c>
      <c r="V2161" s="91" t="n"/>
      <c r="W2161" s="91" t="n"/>
      <c r="X2161" s="91" t="n"/>
      <c r="Y2161" s="91" t="n"/>
      <c r="Z2161" s="91" t="n"/>
    </row>
    <row r="2162" ht="12.75" customHeight="1" s="117">
      <c r="A2162" s="91" t="n"/>
      <c r="B2162" s="91" t="n"/>
      <c r="C2162" s="91" t="n"/>
      <c r="D2162" s="91" t="n"/>
      <c r="E2162" s="91" t="n"/>
      <c r="F2162" s="91" t="n"/>
      <c r="G2162" s="91" t="n"/>
      <c r="H2162" s="91" t="n"/>
      <c r="I2162" s="91" t="n"/>
      <c r="J2162" s="91" t="n"/>
      <c r="K2162" s="91" t="n"/>
      <c r="L2162" s="91" t="n"/>
      <c r="M2162" s="91" t="n"/>
      <c r="N2162" s="91" t="n"/>
      <c r="O2162" s="91" t="n"/>
      <c r="P2162" s="91" t="n"/>
      <c r="Q2162" s="91" t="n"/>
      <c r="R2162" s="91" t="n"/>
      <c r="S2162" s="91" t="n"/>
      <c r="T2162" s="49">
        <f>DAY(C2162)</f>
        <v/>
      </c>
      <c r="U2162" s="22">
        <f>MONTH(C2162)</f>
        <v/>
      </c>
      <c r="V2162" s="91" t="n"/>
      <c r="W2162" s="91" t="n"/>
      <c r="X2162" s="91" t="n"/>
      <c r="Y2162" s="91" t="n"/>
      <c r="Z2162" s="91" t="n"/>
    </row>
    <row r="2163" ht="12.75" customHeight="1" s="117">
      <c r="A2163" s="91" t="n"/>
      <c r="B2163" s="91" t="n"/>
      <c r="C2163" s="91" t="n"/>
      <c r="D2163" s="91" t="n"/>
      <c r="E2163" s="91" t="n"/>
      <c r="F2163" s="91" t="n"/>
      <c r="G2163" s="91" t="n"/>
      <c r="H2163" s="91" t="n"/>
      <c r="I2163" s="91" t="n"/>
      <c r="J2163" s="91" t="n"/>
      <c r="K2163" s="91" t="n"/>
      <c r="L2163" s="91" t="n"/>
      <c r="M2163" s="91" t="n"/>
      <c r="N2163" s="91" t="n"/>
      <c r="O2163" s="91" t="n"/>
      <c r="P2163" s="91" t="n"/>
      <c r="Q2163" s="91" t="n"/>
      <c r="R2163" s="91" t="n"/>
      <c r="S2163" s="91" t="n"/>
      <c r="T2163" s="49">
        <f>DAY(C2163)</f>
        <v/>
      </c>
      <c r="U2163" s="22">
        <f>MONTH(C2163)</f>
        <v/>
      </c>
      <c r="V2163" s="91" t="n"/>
      <c r="W2163" s="91" t="n"/>
      <c r="X2163" s="91" t="n"/>
      <c r="Y2163" s="91" t="n"/>
      <c r="Z2163" s="91" t="n"/>
    </row>
    <row r="2164" ht="12.75" customHeight="1" s="117">
      <c r="A2164" s="91" t="n"/>
      <c r="B2164" s="91" t="n"/>
      <c r="C2164" s="91" t="n"/>
      <c r="D2164" s="91" t="n"/>
      <c r="E2164" s="91" t="n"/>
      <c r="F2164" s="91" t="n"/>
      <c r="G2164" s="91" t="n"/>
      <c r="H2164" s="91" t="n"/>
      <c r="I2164" s="91" t="n"/>
      <c r="J2164" s="91" t="n"/>
      <c r="K2164" s="91" t="n"/>
      <c r="L2164" s="91" t="n"/>
      <c r="M2164" s="91" t="n"/>
      <c r="N2164" s="91" t="n"/>
      <c r="O2164" s="91" t="n"/>
      <c r="P2164" s="91" t="n"/>
      <c r="Q2164" s="91" t="n"/>
      <c r="R2164" s="91" t="n"/>
      <c r="S2164" s="91" t="n"/>
      <c r="T2164" s="49">
        <f>DAY(C2164)</f>
        <v/>
      </c>
      <c r="U2164" s="22">
        <f>MONTH(C2164)</f>
        <v/>
      </c>
      <c r="V2164" s="91" t="n"/>
      <c r="W2164" s="91" t="n"/>
      <c r="X2164" s="91" t="n"/>
      <c r="Y2164" s="91" t="n"/>
      <c r="Z2164" s="91" t="n"/>
    </row>
    <row r="2165" ht="12.75" customHeight="1" s="117">
      <c r="A2165" s="91" t="n"/>
      <c r="B2165" s="91" t="n"/>
      <c r="C2165" s="91" t="n"/>
      <c r="D2165" s="91" t="n"/>
      <c r="E2165" s="91" t="n"/>
      <c r="F2165" s="91" t="n"/>
      <c r="G2165" s="91" t="n"/>
      <c r="H2165" s="91" t="n"/>
      <c r="I2165" s="91" t="n"/>
      <c r="J2165" s="91" t="n"/>
      <c r="K2165" s="91" t="n"/>
      <c r="L2165" s="91" t="n"/>
      <c r="M2165" s="91" t="n"/>
      <c r="N2165" s="91" t="n"/>
      <c r="O2165" s="91" t="n"/>
      <c r="P2165" s="91" t="n"/>
      <c r="Q2165" s="91" t="n"/>
      <c r="R2165" s="91" t="n"/>
      <c r="S2165" s="91" t="n"/>
      <c r="T2165" s="49">
        <f>DAY(C2165)</f>
        <v/>
      </c>
      <c r="U2165" s="22">
        <f>MONTH(C2165)</f>
        <v/>
      </c>
      <c r="V2165" s="91" t="n"/>
      <c r="W2165" s="91" t="n"/>
      <c r="X2165" s="91" t="n"/>
      <c r="Y2165" s="91" t="n"/>
      <c r="Z2165" s="91" t="n"/>
    </row>
    <row r="2166" ht="12.75" customHeight="1" s="117">
      <c r="A2166" s="91" t="n"/>
      <c r="B2166" s="91" t="n"/>
      <c r="C2166" s="91" t="n"/>
      <c r="D2166" s="91" t="n"/>
      <c r="E2166" s="91" t="n"/>
      <c r="F2166" s="91" t="n"/>
      <c r="G2166" s="91" t="n"/>
      <c r="H2166" s="91" t="n"/>
      <c r="I2166" s="91" t="n"/>
      <c r="J2166" s="91" t="n"/>
      <c r="K2166" s="91" t="n"/>
      <c r="L2166" s="91" t="n"/>
      <c r="M2166" s="91" t="n"/>
      <c r="N2166" s="91" t="n"/>
      <c r="O2166" s="91" t="n"/>
      <c r="P2166" s="91" t="n"/>
      <c r="Q2166" s="91" t="n"/>
      <c r="R2166" s="91" t="n"/>
      <c r="S2166" s="91" t="n"/>
      <c r="T2166" s="49">
        <f>DAY(C2166)</f>
        <v/>
      </c>
      <c r="U2166" s="22">
        <f>MONTH(C2166)</f>
        <v/>
      </c>
      <c r="V2166" s="91" t="n"/>
      <c r="W2166" s="91" t="n"/>
      <c r="X2166" s="91" t="n"/>
      <c r="Y2166" s="91" t="n"/>
      <c r="Z2166" s="91" t="n"/>
    </row>
    <row r="2167" ht="12.75" customHeight="1" s="117">
      <c r="A2167" s="91" t="n"/>
      <c r="B2167" s="91" t="n"/>
      <c r="C2167" s="91" t="n"/>
      <c r="D2167" s="91" t="n"/>
      <c r="E2167" s="91" t="n"/>
      <c r="F2167" s="91" t="n"/>
      <c r="G2167" s="91" t="n"/>
      <c r="H2167" s="91" t="n"/>
      <c r="I2167" s="91" t="n"/>
      <c r="J2167" s="91" t="n"/>
      <c r="K2167" s="91" t="n"/>
      <c r="L2167" s="91" t="n"/>
      <c r="M2167" s="91" t="n"/>
      <c r="N2167" s="91" t="n"/>
      <c r="O2167" s="91" t="n"/>
      <c r="P2167" s="91" t="n"/>
      <c r="Q2167" s="91" t="n"/>
      <c r="R2167" s="91" t="n"/>
      <c r="S2167" s="91" t="n"/>
      <c r="T2167" s="49">
        <f>DAY(C2167)</f>
        <v/>
      </c>
      <c r="U2167" s="22">
        <f>MONTH(C2167)</f>
        <v/>
      </c>
      <c r="V2167" s="91" t="n"/>
      <c r="W2167" s="91" t="n"/>
      <c r="X2167" s="91" t="n"/>
      <c r="Y2167" s="91" t="n"/>
      <c r="Z2167" s="91" t="n"/>
    </row>
    <row r="2168" ht="12.75" customHeight="1" s="117">
      <c r="A2168" s="91" t="n"/>
      <c r="B2168" s="91" t="n"/>
      <c r="C2168" s="91" t="n"/>
      <c r="D2168" s="91" t="n"/>
      <c r="E2168" s="91" t="n"/>
      <c r="F2168" s="91" t="n"/>
      <c r="G2168" s="91" t="n"/>
      <c r="H2168" s="91" t="n"/>
      <c r="I2168" s="91" t="n"/>
      <c r="J2168" s="91" t="n"/>
      <c r="K2168" s="91" t="n"/>
      <c r="L2168" s="91" t="n"/>
      <c r="M2168" s="91" t="n"/>
      <c r="N2168" s="91" t="n"/>
      <c r="O2168" s="91" t="n"/>
      <c r="P2168" s="91" t="n"/>
      <c r="Q2168" s="91" t="n"/>
      <c r="R2168" s="91" t="n"/>
      <c r="S2168" s="91" t="n"/>
      <c r="T2168" s="49">
        <f>DAY(C2168)</f>
        <v/>
      </c>
      <c r="U2168" s="22">
        <f>MONTH(C2168)</f>
        <v/>
      </c>
      <c r="V2168" s="91" t="n"/>
      <c r="W2168" s="91" t="n"/>
      <c r="X2168" s="91" t="n"/>
      <c r="Y2168" s="91" t="n"/>
      <c r="Z2168" s="91" t="n"/>
    </row>
    <row r="2169" ht="12.75" customHeight="1" s="117">
      <c r="A2169" s="91" t="n"/>
      <c r="B2169" s="91" t="n"/>
      <c r="C2169" s="91" t="n"/>
      <c r="D2169" s="91" t="n"/>
      <c r="E2169" s="91" t="n"/>
      <c r="F2169" s="91" t="n"/>
      <c r="G2169" s="91" t="n"/>
      <c r="H2169" s="91" t="n"/>
      <c r="I2169" s="91" t="n"/>
      <c r="J2169" s="91" t="n"/>
      <c r="K2169" s="91" t="n"/>
      <c r="L2169" s="91" t="n"/>
      <c r="M2169" s="91" t="n"/>
      <c r="N2169" s="91" t="n"/>
      <c r="O2169" s="91" t="n"/>
      <c r="P2169" s="91" t="n"/>
      <c r="Q2169" s="91" t="n"/>
      <c r="R2169" s="91" t="n"/>
      <c r="S2169" s="91" t="n"/>
      <c r="T2169" s="49">
        <f>DAY(C2169)</f>
        <v/>
      </c>
      <c r="U2169" s="22">
        <f>MONTH(C2169)</f>
        <v/>
      </c>
      <c r="V2169" s="91" t="n"/>
      <c r="W2169" s="91" t="n"/>
      <c r="X2169" s="91" t="n"/>
      <c r="Y2169" s="91" t="n"/>
      <c r="Z2169" s="91" t="n"/>
    </row>
    <row r="2170" ht="12.75" customHeight="1" s="117">
      <c r="A2170" s="91" t="n"/>
      <c r="B2170" s="91" t="n"/>
      <c r="C2170" s="91" t="n"/>
      <c r="D2170" s="91" t="n"/>
      <c r="E2170" s="91" t="n"/>
      <c r="F2170" s="91" t="n"/>
      <c r="G2170" s="91" t="n"/>
      <c r="H2170" s="91" t="n"/>
      <c r="I2170" s="91" t="n"/>
      <c r="J2170" s="91" t="n"/>
      <c r="K2170" s="91" t="n"/>
      <c r="L2170" s="91" t="n"/>
      <c r="M2170" s="91" t="n"/>
      <c r="N2170" s="91" t="n"/>
      <c r="O2170" s="91" t="n"/>
      <c r="P2170" s="91" t="n"/>
      <c r="Q2170" s="91" t="n"/>
      <c r="R2170" s="91" t="n"/>
      <c r="S2170" s="91" t="n"/>
      <c r="T2170" s="49">
        <f>DAY(C2170)</f>
        <v/>
      </c>
      <c r="U2170" s="22">
        <f>MONTH(C2170)</f>
        <v/>
      </c>
      <c r="V2170" s="91" t="n"/>
      <c r="W2170" s="91" t="n"/>
      <c r="X2170" s="91" t="n"/>
      <c r="Y2170" s="91" t="n"/>
      <c r="Z2170" s="91" t="n"/>
    </row>
    <row r="2171" ht="12.75" customHeight="1" s="117">
      <c r="A2171" s="91" t="n"/>
      <c r="B2171" s="91" t="n"/>
      <c r="C2171" s="91" t="n"/>
      <c r="D2171" s="91" t="n"/>
      <c r="E2171" s="91" t="n"/>
      <c r="F2171" s="91" t="n"/>
      <c r="G2171" s="91" t="n"/>
      <c r="H2171" s="91" t="n"/>
      <c r="I2171" s="91" t="n"/>
      <c r="J2171" s="91" t="n"/>
      <c r="K2171" s="91" t="n"/>
      <c r="L2171" s="91" t="n"/>
      <c r="M2171" s="91" t="n"/>
      <c r="N2171" s="91" t="n"/>
      <c r="O2171" s="91" t="n"/>
      <c r="P2171" s="91" t="n"/>
      <c r="Q2171" s="91" t="n"/>
      <c r="R2171" s="91" t="n"/>
      <c r="S2171" s="91" t="n"/>
      <c r="T2171" s="49">
        <f>DAY(C2171)</f>
        <v/>
      </c>
      <c r="U2171" s="22">
        <f>MONTH(C2171)</f>
        <v/>
      </c>
      <c r="V2171" s="91" t="n"/>
      <c r="W2171" s="91" t="n"/>
      <c r="X2171" s="91" t="n"/>
      <c r="Y2171" s="91" t="n"/>
      <c r="Z2171" s="91" t="n"/>
    </row>
    <row r="2172" ht="12.75" customHeight="1" s="117">
      <c r="A2172" s="91" t="n"/>
      <c r="B2172" s="91" t="n"/>
      <c r="C2172" s="91" t="n"/>
      <c r="D2172" s="91" t="n"/>
      <c r="E2172" s="91" t="n"/>
      <c r="F2172" s="91" t="n"/>
      <c r="G2172" s="91" t="n"/>
      <c r="H2172" s="91" t="n"/>
      <c r="I2172" s="91" t="n"/>
      <c r="J2172" s="91" t="n"/>
      <c r="K2172" s="91" t="n"/>
      <c r="L2172" s="91" t="n"/>
      <c r="M2172" s="91" t="n"/>
      <c r="N2172" s="91" t="n"/>
      <c r="O2172" s="91" t="n"/>
      <c r="P2172" s="91" t="n"/>
      <c r="Q2172" s="91" t="n"/>
      <c r="R2172" s="91" t="n"/>
      <c r="S2172" s="91" t="n"/>
      <c r="T2172" s="49">
        <f>DAY(C2172)</f>
        <v/>
      </c>
      <c r="U2172" s="22">
        <f>MONTH(C2172)</f>
        <v/>
      </c>
      <c r="V2172" s="91" t="n"/>
      <c r="W2172" s="91" t="n"/>
      <c r="X2172" s="91" t="n"/>
      <c r="Y2172" s="91" t="n"/>
      <c r="Z2172" s="91" t="n"/>
    </row>
    <row r="2173" ht="12.75" customHeight="1" s="117">
      <c r="A2173" s="91" t="n"/>
      <c r="B2173" s="91" t="n"/>
      <c r="C2173" s="91" t="n"/>
      <c r="D2173" s="91" t="n"/>
      <c r="E2173" s="91" t="n"/>
      <c r="F2173" s="91" t="n"/>
      <c r="G2173" s="91" t="n"/>
      <c r="H2173" s="91" t="n"/>
      <c r="I2173" s="91" t="n"/>
      <c r="J2173" s="91" t="n"/>
      <c r="K2173" s="91" t="n"/>
      <c r="L2173" s="91" t="n"/>
      <c r="M2173" s="91" t="n"/>
      <c r="N2173" s="91" t="n"/>
      <c r="O2173" s="91" t="n"/>
      <c r="P2173" s="91" t="n"/>
      <c r="Q2173" s="91" t="n"/>
      <c r="R2173" s="91" t="n"/>
      <c r="S2173" s="91" t="n"/>
      <c r="T2173" s="49">
        <f>DAY(C2173)</f>
        <v/>
      </c>
      <c r="U2173" s="22">
        <f>MONTH(C2173)</f>
        <v/>
      </c>
      <c r="V2173" s="91" t="n"/>
      <c r="W2173" s="91" t="n"/>
      <c r="X2173" s="91" t="n"/>
      <c r="Y2173" s="91" t="n"/>
      <c r="Z2173" s="91" t="n"/>
    </row>
    <row r="2174" ht="12.75" customHeight="1" s="117">
      <c r="A2174" s="91" t="n"/>
      <c r="B2174" s="91" t="n"/>
      <c r="C2174" s="91" t="n"/>
      <c r="D2174" s="91" t="n"/>
      <c r="E2174" s="91" t="n"/>
      <c r="F2174" s="91" t="n"/>
      <c r="G2174" s="91" t="n"/>
      <c r="H2174" s="91" t="n"/>
      <c r="I2174" s="91" t="n"/>
      <c r="J2174" s="91" t="n"/>
      <c r="K2174" s="91" t="n"/>
      <c r="L2174" s="91" t="n"/>
      <c r="M2174" s="91" t="n"/>
      <c r="N2174" s="91" t="n"/>
      <c r="O2174" s="91" t="n"/>
      <c r="P2174" s="91" t="n"/>
      <c r="Q2174" s="91" t="n"/>
      <c r="R2174" s="91" t="n"/>
      <c r="S2174" s="91" t="n"/>
      <c r="T2174" s="49">
        <f>DAY(C2174)</f>
        <v/>
      </c>
      <c r="U2174" s="22">
        <f>MONTH(C2174)</f>
        <v/>
      </c>
      <c r="V2174" s="91" t="n"/>
      <c r="W2174" s="91" t="n"/>
      <c r="X2174" s="91" t="n"/>
      <c r="Y2174" s="91" t="n"/>
      <c r="Z2174" s="91" t="n"/>
    </row>
    <row r="2175" ht="12.75" customHeight="1" s="117">
      <c r="A2175" s="91" t="n"/>
      <c r="B2175" s="91" t="n"/>
      <c r="C2175" s="91" t="n"/>
      <c r="D2175" s="91" t="n"/>
      <c r="E2175" s="91" t="n"/>
      <c r="F2175" s="91" t="n"/>
      <c r="G2175" s="91" t="n"/>
      <c r="H2175" s="91" t="n"/>
      <c r="I2175" s="91" t="n"/>
      <c r="J2175" s="91" t="n"/>
      <c r="K2175" s="91" t="n"/>
      <c r="L2175" s="91" t="n"/>
      <c r="M2175" s="91" t="n"/>
      <c r="N2175" s="91" t="n"/>
      <c r="O2175" s="91" t="n"/>
      <c r="P2175" s="91" t="n"/>
      <c r="Q2175" s="91" t="n"/>
      <c r="R2175" s="91" t="n"/>
      <c r="S2175" s="91" t="n"/>
      <c r="T2175" s="49">
        <f>DAY(C2175)</f>
        <v/>
      </c>
      <c r="U2175" s="22">
        <f>MONTH(C2175)</f>
        <v/>
      </c>
      <c r="V2175" s="91" t="n"/>
      <c r="W2175" s="91" t="n"/>
      <c r="X2175" s="91" t="n"/>
      <c r="Y2175" s="91" t="n"/>
      <c r="Z2175" s="91" t="n"/>
    </row>
    <row r="2176" ht="12.75" customHeight="1" s="117">
      <c r="A2176" s="91" t="n"/>
      <c r="B2176" s="91" t="n"/>
      <c r="C2176" s="91" t="n"/>
      <c r="D2176" s="91" t="n"/>
      <c r="E2176" s="91" t="n"/>
      <c r="F2176" s="91" t="n"/>
      <c r="G2176" s="91" t="n"/>
      <c r="H2176" s="91" t="n"/>
      <c r="I2176" s="91" t="n"/>
      <c r="J2176" s="91" t="n"/>
      <c r="K2176" s="91" t="n"/>
      <c r="L2176" s="91" t="n"/>
      <c r="M2176" s="91" t="n"/>
      <c r="N2176" s="91" t="n"/>
      <c r="O2176" s="91" t="n"/>
      <c r="P2176" s="91" t="n"/>
      <c r="Q2176" s="91" t="n"/>
      <c r="R2176" s="91" t="n"/>
      <c r="S2176" s="91" t="n"/>
      <c r="T2176" s="49">
        <f>DAY(C2176)</f>
        <v/>
      </c>
      <c r="U2176" s="22">
        <f>MONTH(C2176)</f>
        <v/>
      </c>
      <c r="V2176" s="91" t="n"/>
      <c r="W2176" s="91" t="n"/>
      <c r="X2176" s="91" t="n"/>
      <c r="Y2176" s="91" t="n"/>
      <c r="Z2176" s="91" t="n"/>
    </row>
    <row r="2177" ht="12.75" customHeight="1" s="117">
      <c r="A2177" s="91" t="n"/>
      <c r="B2177" s="91" t="n"/>
      <c r="C2177" s="91" t="n"/>
      <c r="D2177" s="91" t="n"/>
      <c r="E2177" s="91" t="n"/>
      <c r="F2177" s="91" t="n"/>
      <c r="G2177" s="91" t="n"/>
      <c r="H2177" s="91" t="n"/>
      <c r="I2177" s="91" t="n"/>
      <c r="J2177" s="91" t="n"/>
      <c r="K2177" s="91" t="n"/>
      <c r="L2177" s="91" t="n"/>
      <c r="M2177" s="91" t="n"/>
      <c r="N2177" s="91" t="n"/>
      <c r="O2177" s="91" t="n"/>
      <c r="P2177" s="91" t="n"/>
      <c r="Q2177" s="91" t="n"/>
      <c r="R2177" s="91" t="n"/>
      <c r="S2177" s="91" t="n"/>
      <c r="T2177" s="49">
        <f>DAY(C2177)</f>
        <v/>
      </c>
      <c r="U2177" s="22">
        <f>MONTH(C2177)</f>
        <v/>
      </c>
      <c r="V2177" s="91" t="n"/>
      <c r="W2177" s="91" t="n"/>
      <c r="X2177" s="91" t="n"/>
      <c r="Y2177" s="91" t="n"/>
      <c r="Z2177" s="91" t="n"/>
    </row>
    <row r="2178" ht="12.75" customHeight="1" s="117">
      <c r="A2178" s="91" t="n"/>
      <c r="B2178" s="91" t="n"/>
      <c r="C2178" s="91" t="n"/>
      <c r="D2178" s="91" t="n"/>
      <c r="E2178" s="91" t="n"/>
      <c r="F2178" s="91" t="n"/>
      <c r="G2178" s="91" t="n"/>
      <c r="H2178" s="91" t="n"/>
      <c r="I2178" s="91" t="n"/>
      <c r="J2178" s="91" t="n"/>
      <c r="K2178" s="91" t="n"/>
      <c r="L2178" s="91" t="n"/>
      <c r="M2178" s="91" t="n"/>
      <c r="N2178" s="91" t="n"/>
      <c r="O2178" s="91" t="n"/>
      <c r="P2178" s="91" t="n"/>
      <c r="Q2178" s="91" t="n"/>
      <c r="R2178" s="91" t="n"/>
      <c r="S2178" s="91" t="n"/>
      <c r="T2178" s="49">
        <f>DAY(C2178)</f>
        <v/>
      </c>
      <c r="U2178" s="22">
        <f>MONTH(C2178)</f>
        <v/>
      </c>
      <c r="V2178" s="91" t="n"/>
      <c r="W2178" s="91" t="n"/>
      <c r="X2178" s="91" t="n"/>
      <c r="Y2178" s="91" t="n"/>
      <c r="Z2178" s="91" t="n"/>
    </row>
    <row r="2179" ht="12.75" customHeight="1" s="117">
      <c r="A2179" s="91" t="n"/>
      <c r="B2179" s="91" t="n"/>
      <c r="C2179" s="91" t="n"/>
      <c r="D2179" s="91" t="n"/>
      <c r="E2179" s="91" t="n"/>
      <c r="F2179" s="91" t="n"/>
      <c r="G2179" s="91" t="n"/>
      <c r="H2179" s="91" t="n"/>
      <c r="I2179" s="91" t="n"/>
      <c r="J2179" s="91" t="n"/>
      <c r="K2179" s="91" t="n"/>
      <c r="L2179" s="91" t="n"/>
      <c r="M2179" s="91" t="n"/>
      <c r="N2179" s="91" t="n"/>
      <c r="O2179" s="91" t="n"/>
      <c r="P2179" s="91" t="n"/>
      <c r="Q2179" s="91" t="n"/>
      <c r="R2179" s="91" t="n"/>
      <c r="S2179" s="91" t="n"/>
      <c r="T2179" s="49">
        <f>DAY(C2179)</f>
        <v/>
      </c>
      <c r="U2179" s="22">
        <f>MONTH(C2179)</f>
        <v/>
      </c>
      <c r="V2179" s="91" t="n"/>
      <c r="W2179" s="91" t="n"/>
      <c r="X2179" s="91" t="n"/>
      <c r="Y2179" s="91" t="n"/>
      <c r="Z2179" s="91" t="n"/>
    </row>
    <row r="2180" ht="12.75" customHeight="1" s="117">
      <c r="A2180" s="91" t="n"/>
      <c r="B2180" s="91" t="n"/>
      <c r="C2180" s="91" t="n"/>
      <c r="D2180" s="91" t="n"/>
      <c r="E2180" s="91" t="n"/>
      <c r="F2180" s="91" t="n"/>
      <c r="G2180" s="91" t="n"/>
      <c r="H2180" s="91" t="n"/>
      <c r="I2180" s="91" t="n"/>
      <c r="J2180" s="91" t="n"/>
      <c r="K2180" s="91" t="n"/>
      <c r="L2180" s="91" t="n"/>
      <c r="M2180" s="91" t="n"/>
      <c r="N2180" s="91" t="n"/>
      <c r="O2180" s="91" t="n"/>
      <c r="P2180" s="91" t="n"/>
      <c r="Q2180" s="91" t="n"/>
      <c r="R2180" s="91" t="n"/>
      <c r="S2180" s="91" t="n"/>
      <c r="T2180" s="49">
        <f>DAY(C2180)</f>
        <v/>
      </c>
      <c r="U2180" s="22">
        <f>MONTH(C2180)</f>
        <v/>
      </c>
      <c r="V2180" s="91" t="n"/>
      <c r="W2180" s="91" t="n"/>
      <c r="X2180" s="91" t="n"/>
      <c r="Y2180" s="91" t="n"/>
      <c r="Z2180" s="91" t="n"/>
    </row>
    <row r="2181" ht="12.75" customHeight="1" s="117">
      <c r="A2181" s="91" t="n"/>
      <c r="B2181" s="91" t="n"/>
      <c r="C2181" s="91" t="n"/>
      <c r="D2181" s="91" t="n"/>
      <c r="E2181" s="91" t="n"/>
      <c r="F2181" s="91" t="n"/>
      <c r="G2181" s="91" t="n"/>
      <c r="H2181" s="91" t="n"/>
      <c r="I2181" s="91" t="n"/>
      <c r="J2181" s="91" t="n"/>
      <c r="K2181" s="91" t="n"/>
      <c r="L2181" s="91" t="n"/>
      <c r="M2181" s="91" t="n"/>
      <c r="N2181" s="91" t="n"/>
      <c r="O2181" s="91" t="n"/>
      <c r="P2181" s="91" t="n"/>
      <c r="Q2181" s="91" t="n"/>
      <c r="R2181" s="91" t="n"/>
      <c r="S2181" s="91" t="n"/>
      <c r="T2181" s="49">
        <f>DAY(C2181)</f>
        <v/>
      </c>
      <c r="U2181" s="22">
        <f>MONTH(C2181)</f>
        <v/>
      </c>
      <c r="V2181" s="91" t="n"/>
      <c r="W2181" s="91" t="n"/>
      <c r="X2181" s="91" t="n"/>
      <c r="Y2181" s="91" t="n"/>
      <c r="Z2181" s="91" t="n"/>
    </row>
    <row r="2182" ht="12.75" customHeight="1" s="117">
      <c r="A2182" s="91" t="n"/>
      <c r="B2182" s="91" t="n"/>
      <c r="C2182" s="91" t="n"/>
      <c r="D2182" s="91" t="n"/>
      <c r="E2182" s="91" t="n"/>
      <c r="F2182" s="91" t="n"/>
      <c r="G2182" s="91" t="n"/>
      <c r="H2182" s="91" t="n"/>
      <c r="I2182" s="91" t="n"/>
      <c r="J2182" s="91" t="n"/>
      <c r="K2182" s="91" t="n"/>
      <c r="L2182" s="91" t="n"/>
      <c r="M2182" s="91" t="n"/>
      <c r="N2182" s="91" t="n"/>
      <c r="O2182" s="91" t="n"/>
      <c r="P2182" s="91" t="n"/>
      <c r="Q2182" s="91" t="n"/>
      <c r="R2182" s="91" t="n"/>
      <c r="S2182" s="91" t="n"/>
      <c r="T2182" s="49">
        <f>DAY(C2182)</f>
        <v/>
      </c>
      <c r="U2182" s="22">
        <f>MONTH(C2182)</f>
        <v/>
      </c>
      <c r="V2182" s="91" t="n"/>
      <c r="W2182" s="91" t="n"/>
      <c r="X2182" s="91" t="n"/>
      <c r="Y2182" s="91" t="n"/>
      <c r="Z2182" s="91" t="n"/>
    </row>
    <row r="2183" ht="12.75" customHeight="1" s="117">
      <c r="A2183" s="91" t="n"/>
      <c r="B2183" s="91" t="n"/>
      <c r="C2183" s="91" t="n"/>
      <c r="D2183" s="91" t="n"/>
      <c r="E2183" s="91" t="n"/>
      <c r="F2183" s="91" t="n"/>
      <c r="G2183" s="91" t="n"/>
      <c r="H2183" s="91" t="n"/>
      <c r="I2183" s="91" t="n"/>
      <c r="J2183" s="91" t="n"/>
      <c r="K2183" s="91" t="n"/>
      <c r="L2183" s="91" t="n"/>
      <c r="M2183" s="91" t="n"/>
      <c r="N2183" s="91" t="n"/>
      <c r="O2183" s="91" t="n"/>
      <c r="P2183" s="91" t="n"/>
      <c r="Q2183" s="91" t="n"/>
      <c r="R2183" s="91" t="n"/>
      <c r="S2183" s="91" t="n"/>
      <c r="T2183" s="49">
        <f>DAY(C2183)</f>
        <v/>
      </c>
      <c r="U2183" s="22">
        <f>MONTH(C2183)</f>
        <v/>
      </c>
      <c r="V2183" s="91" t="n"/>
      <c r="W2183" s="91" t="n"/>
      <c r="X2183" s="91" t="n"/>
      <c r="Y2183" s="91" t="n"/>
      <c r="Z2183" s="91" t="n"/>
    </row>
    <row r="2184" ht="12.75" customHeight="1" s="117">
      <c r="A2184" s="91" t="n"/>
      <c r="B2184" s="91" t="n"/>
      <c r="C2184" s="91" t="n"/>
      <c r="D2184" s="91" t="n"/>
      <c r="E2184" s="91" t="n"/>
      <c r="F2184" s="91" t="n"/>
      <c r="G2184" s="91" t="n"/>
      <c r="H2184" s="91" t="n"/>
      <c r="I2184" s="91" t="n"/>
      <c r="J2184" s="91" t="n"/>
      <c r="K2184" s="91" t="n"/>
      <c r="L2184" s="91" t="n"/>
      <c r="M2184" s="91" t="n"/>
      <c r="N2184" s="91" t="n"/>
      <c r="O2184" s="91" t="n"/>
      <c r="P2184" s="91" t="n"/>
      <c r="Q2184" s="91" t="n"/>
      <c r="R2184" s="91" t="n"/>
      <c r="S2184" s="91" t="n"/>
      <c r="T2184" s="49">
        <f>DAY(C2184)</f>
        <v/>
      </c>
      <c r="U2184" s="22">
        <f>MONTH(C2184)</f>
        <v/>
      </c>
      <c r="V2184" s="91" t="n"/>
      <c r="W2184" s="91" t="n"/>
      <c r="X2184" s="91" t="n"/>
      <c r="Y2184" s="91" t="n"/>
      <c r="Z2184" s="91" t="n"/>
    </row>
    <row r="2185" ht="12.75" customHeight="1" s="117">
      <c r="A2185" s="91" t="n"/>
      <c r="B2185" s="91" t="n"/>
      <c r="C2185" s="91" t="n"/>
      <c r="D2185" s="91" t="n"/>
      <c r="E2185" s="91" t="n"/>
      <c r="F2185" s="91" t="n"/>
      <c r="G2185" s="91" t="n"/>
      <c r="H2185" s="91" t="n"/>
      <c r="I2185" s="91" t="n"/>
      <c r="J2185" s="91" t="n"/>
      <c r="K2185" s="91" t="n"/>
      <c r="L2185" s="91" t="n"/>
      <c r="M2185" s="91" t="n"/>
      <c r="N2185" s="91" t="n"/>
      <c r="O2185" s="91" t="n"/>
      <c r="P2185" s="91" t="n"/>
      <c r="Q2185" s="91" t="n"/>
      <c r="R2185" s="91" t="n"/>
      <c r="S2185" s="91" t="n"/>
      <c r="T2185" s="49">
        <f>DAY(C2185)</f>
        <v/>
      </c>
      <c r="U2185" s="22">
        <f>MONTH(C2185)</f>
        <v/>
      </c>
      <c r="V2185" s="91" t="n"/>
      <c r="W2185" s="91" t="n"/>
      <c r="X2185" s="91" t="n"/>
      <c r="Y2185" s="91" t="n"/>
      <c r="Z2185" s="91" t="n"/>
    </row>
    <row r="2186" ht="12.75" customHeight="1" s="117">
      <c r="A2186" s="91" t="n"/>
      <c r="B2186" s="91" t="n"/>
      <c r="C2186" s="91" t="n"/>
      <c r="D2186" s="91" t="n"/>
      <c r="E2186" s="91" t="n"/>
      <c r="F2186" s="91" t="n"/>
      <c r="G2186" s="91" t="n"/>
      <c r="H2186" s="91" t="n"/>
      <c r="I2186" s="91" t="n"/>
      <c r="J2186" s="91" t="n"/>
      <c r="K2186" s="91" t="n"/>
      <c r="L2186" s="91" t="n"/>
      <c r="M2186" s="91" t="n"/>
      <c r="N2186" s="91" t="n"/>
      <c r="O2186" s="91" t="n"/>
      <c r="P2186" s="91" t="n"/>
      <c r="Q2186" s="91" t="n"/>
      <c r="R2186" s="91" t="n"/>
      <c r="S2186" s="91" t="n"/>
      <c r="T2186" s="49">
        <f>DAY(C2186)</f>
        <v/>
      </c>
      <c r="U2186" s="22">
        <f>MONTH(C2186)</f>
        <v/>
      </c>
      <c r="V2186" s="91" t="n"/>
      <c r="W2186" s="91" t="n"/>
      <c r="X2186" s="91" t="n"/>
      <c r="Y2186" s="91" t="n"/>
      <c r="Z2186" s="91" t="n"/>
    </row>
    <row r="2187" ht="12.75" customHeight="1" s="117">
      <c r="A2187" s="91" t="n"/>
      <c r="B2187" s="91" t="n"/>
      <c r="C2187" s="91" t="n"/>
      <c r="D2187" s="91" t="n"/>
      <c r="E2187" s="91" t="n"/>
      <c r="F2187" s="91" t="n"/>
      <c r="G2187" s="91" t="n"/>
      <c r="H2187" s="91" t="n"/>
      <c r="I2187" s="91" t="n"/>
      <c r="J2187" s="91" t="n"/>
      <c r="K2187" s="91" t="n"/>
      <c r="L2187" s="91" t="n"/>
      <c r="M2187" s="91" t="n"/>
      <c r="N2187" s="91" t="n"/>
      <c r="O2187" s="91" t="n"/>
      <c r="P2187" s="91" t="n"/>
      <c r="Q2187" s="91" t="n"/>
      <c r="R2187" s="91" t="n"/>
      <c r="S2187" s="91" t="n"/>
      <c r="T2187" s="49">
        <f>DAY(C2187)</f>
        <v/>
      </c>
      <c r="U2187" s="22">
        <f>MONTH(C2187)</f>
        <v/>
      </c>
      <c r="V2187" s="91" t="n"/>
      <c r="W2187" s="91" t="n"/>
      <c r="X2187" s="91" t="n"/>
      <c r="Y2187" s="91" t="n"/>
      <c r="Z2187" s="91" t="n"/>
    </row>
    <row r="2188" ht="12.75" customHeight="1" s="117">
      <c r="A2188" s="91" t="n"/>
      <c r="B2188" s="91" t="n"/>
      <c r="C2188" s="91" t="n"/>
      <c r="D2188" s="91" t="n"/>
      <c r="E2188" s="91" t="n"/>
      <c r="F2188" s="91" t="n"/>
      <c r="G2188" s="91" t="n"/>
      <c r="H2188" s="91" t="n"/>
      <c r="I2188" s="91" t="n"/>
      <c r="J2188" s="91" t="n"/>
      <c r="K2188" s="91" t="n"/>
      <c r="L2188" s="91" t="n"/>
      <c r="M2188" s="91" t="n"/>
      <c r="N2188" s="91" t="n"/>
      <c r="O2188" s="91" t="n"/>
      <c r="P2188" s="91" t="n"/>
      <c r="Q2188" s="91" t="n"/>
      <c r="R2188" s="91" t="n"/>
      <c r="S2188" s="91" t="n"/>
      <c r="T2188" s="49">
        <f>DAY(C2188)</f>
        <v/>
      </c>
      <c r="U2188" s="22">
        <f>MONTH(C2188)</f>
        <v/>
      </c>
      <c r="V2188" s="91" t="n"/>
      <c r="W2188" s="91" t="n"/>
      <c r="X2188" s="91" t="n"/>
      <c r="Y2188" s="91" t="n"/>
      <c r="Z2188" s="91" t="n"/>
    </row>
    <row r="2189" ht="12.75" customHeight="1" s="117">
      <c r="A2189" s="91" t="n"/>
      <c r="B2189" s="91" t="n"/>
      <c r="C2189" s="91" t="n"/>
      <c r="D2189" s="91" t="n"/>
      <c r="E2189" s="91" t="n"/>
      <c r="F2189" s="91" t="n"/>
      <c r="G2189" s="91" t="n"/>
      <c r="H2189" s="91" t="n"/>
      <c r="I2189" s="91" t="n"/>
      <c r="J2189" s="91" t="n"/>
      <c r="K2189" s="91" t="n"/>
      <c r="L2189" s="91" t="n"/>
      <c r="M2189" s="91" t="n"/>
      <c r="N2189" s="91" t="n"/>
      <c r="O2189" s="91" t="n"/>
      <c r="P2189" s="91" t="n"/>
      <c r="Q2189" s="91" t="n"/>
      <c r="R2189" s="91" t="n"/>
      <c r="S2189" s="91" t="n"/>
      <c r="T2189" s="49">
        <f>DAY(C2189)</f>
        <v/>
      </c>
      <c r="U2189" s="22">
        <f>MONTH(C2189)</f>
        <v/>
      </c>
      <c r="V2189" s="91" t="n"/>
      <c r="W2189" s="91" t="n"/>
      <c r="X2189" s="91" t="n"/>
      <c r="Y2189" s="91" t="n"/>
      <c r="Z2189" s="91" t="n"/>
    </row>
    <row r="2190" ht="12.75" customHeight="1" s="117">
      <c r="A2190" s="91" t="n"/>
      <c r="B2190" s="91" t="n"/>
      <c r="C2190" s="91" t="n"/>
      <c r="D2190" s="91" t="n"/>
      <c r="E2190" s="91" t="n"/>
      <c r="F2190" s="91" t="n"/>
      <c r="G2190" s="91" t="n"/>
      <c r="H2190" s="91" t="n"/>
      <c r="I2190" s="91" t="n"/>
      <c r="J2190" s="91" t="n"/>
      <c r="K2190" s="91" t="n"/>
      <c r="L2190" s="91" t="n"/>
      <c r="M2190" s="91" t="n"/>
      <c r="N2190" s="91" t="n"/>
      <c r="O2190" s="91" t="n"/>
      <c r="P2190" s="91" t="n"/>
      <c r="Q2190" s="91" t="n"/>
      <c r="R2190" s="91" t="n"/>
      <c r="S2190" s="91" t="n"/>
      <c r="T2190" s="49">
        <f>DAY(C2190)</f>
        <v/>
      </c>
      <c r="U2190" s="22">
        <f>MONTH(C2190)</f>
        <v/>
      </c>
      <c r="V2190" s="91" t="n"/>
      <c r="W2190" s="91" t="n"/>
      <c r="X2190" s="91" t="n"/>
      <c r="Y2190" s="91" t="n"/>
      <c r="Z2190" s="91" t="n"/>
    </row>
    <row r="2191" ht="12.75" customHeight="1" s="117">
      <c r="A2191" s="91" t="n"/>
      <c r="B2191" s="91" t="n"/>
      <c r="C2191" s="91" t="n"/>
      <c r="D2191" s="91" t="n"/>
      <c r="E2191" s="91" t="n"/>
      <c r="F2191" s="91" t="n"/>
      <c r="G2191" s="91" t="n"/>
      <c r="H2191" s="91" t="n"/>
      <c r="I2191" s="91" t="n"/>
      <c r="J2191" s="91" t="n"/>
      <c r="K2191" s="91" t="n"/>
      <c r="L2191" s="91" t="n"/>
      <c r="M2191" s="91" t="n"/>
      <c r="N2191" s="91" t="n"/>
      <c r="O2191" s="91" t="n"/>
      <c r="P2191" s="91" t="n"/>
      <c r="Q2191" s="91" t="n"/>
      <c r="R2191" s="91" t="n"/>
      <c r="S2191" s="91" t="n"/>
      <c r="T2191" s="49">
        <f>DAY(C2191)</f>
        <v/>
      </c>
      <c r="U2191" s="22">
        <f>MONTH(C2191)</f>
        <v/>
      </c>
      <c r="V2191" s="91" t="n"/>
      <c r="W2191" s="91" t="n"/>
      <c r="X2191" s="91" t="n"/>
      <c r="Y2191" s="91" t="n"/>
      <c r="Z2191" s="91" t="n"/>
    </row>
    <row r="2192" ht="12.75" customHeight="1" s="117">
      <c r="A2192" s="91" t="n"/>
      <c r="B2192" s="91" t="n"/>
      <c r="C2192" s="91" t="n"/>
      <c r="D2192" s="91" t="n"/>
      <c r="E2192" s="91" t="n"/>
      <c r="F2192" s="91" t="n"/>
      <c r="G2192" s="91" t="n"/>
      <c r="H2192" s="91" t="n"/>
      <c r="I2192" s="91" t="n"/>
      <c r="J2192" s="91" t="n"/>
      <c r="K2192" s="91" t="n"/>
      <c r="L2192" s="91" t="n"/>
      <c r="M2192" s="91" t="n"/>
      <c r="N2192" s="91" t="n"/>
      <c r="O2192" s="91" t="n"/>
      <c r="P2192" s="91" t="n"/>
      <c r="Q2192" s="91" t="n"/>
      <c r="R2192" s="91" t="n"/>
      <c r="S2192" s="91" t="n"/>
      <c r="T2192" s="49">
        <f>DAY(C2192)</f>
        <v/>
      </c>
      <c r="U2192" s="22">
        <f>MONTH(C2192)</f>
        <v/>
      </c>
      <c r="V2192" s="91" t="n"/>
      <c r="W2192" s="91" t="n"/>
      <c r="X2192" s="91" t="n"/>
      <c r="Y2192" s="91" t="n"/>
      <c r="Z2192" s="91" t="n"/>
    </row>
    <row r="2193" ht="12.75" customHeight="1" s="117">
      <c r="A2193" s="91" t="n"/>
      <c r="B2193" s="91" t="n"/>
      <c r="C2193" s="91" t="n"/>
      <c r="D2193" s="91" t="n"/>
      <c r="E2193" s="91" t="n"/>
      <c r="F2193" s="91" t="n"/>
      <c r="G2193" s="91" t="n"/>
      <c r="H2193" s="91" t="n"/>
      <c r="I2193" s="91" t="n"/>
      <c r="J2193" s="91" t="n"/>
      <c r="K2193" s="91" t="n"/>
      <c r="L2193" s="91" t="n"/>
      <c r="M2193" s="91" t="n"/>
      <c r="N2193" s="91" t="n"/>
      <c r="O2193" s="91" t="n"/>
      <c r="P2193" s="91" t="n"/>
      <c r="Q2193" s="91" t="n"/>
      <c r="R2193" s="91" t="n"/>
      <c r="S2193" s="91" t="n"/>
      <c r="T2193" s="49">
        <f>DAY(C2193)</f>
        <v/>
      </c>
      <c r="U2193" s="22">
        <f>MONTH(C2193)</f>
        <v/>
      </c>
      <c r="V2193" s="91" t="n"/>
      <c r="W2193" s="91" t="n"/>
      <c r="X2193" s="91" t="n"/>
      <c r="Y2193" s="91" t="n"/>
      <c r="Z2193" s="91" t="n"/>
    </row>
    <row r="2194" ht="12.75" customHeight="1" s="117">
      <c r="A2194" s="91" t="n"/>
      <c r="B2194" s="91" t="n"/>
      <c r="C2194" s="91" t="n"/>
      <c r="D2194" s="91" t="n"/>
      <c r="E2194" s="91" t="n"/>
      <c r="F2194" s="91" t="n"/>
      <c r="G2194" s="91" t="n"/>
      <c r="H2194" s="91" t="n"/>
      <c r="I2194" s="91" t="n"/>
      <c r="J2194" s="91" t="n"/>
      <c r="K2194" s="91" t="n"/>
      <c r="L2194" s="91" t="n"/>
      <c r="M2194" s="91" t="n"/>
      <c r="N2194" s="91" t="n"/>
      <c r="O2194" s="91" t="n"/>
      <c r="P2194" s="91" t="n"/>
      <c r="Q2194" s="91" t="n"/>
      <c r="R2194" s="91" t="n"/>
      <c r="S2194" s="91" t="n"/>
      <c r="T2194" s="49">
        <f>DAY(C2194)</f>
        <v/>
      </c>
      <c r="U2194" s="22">
        <f>MONTH(C2194)</f>
        <v/>
      </c>
      <c r="V2194" s="91" t="n"/>
      <c r="W2194" s="91" t="n"/>
      <c r="X2194" s="91" t="n"/>
      <c r="Y2194" s="91" t="n"/>
      <c r="Z2194" s="91" t="n"/>
    </row>
    <row r="2195" ht="12.75" customHeight="1" s="117">
      <c r="A2195" s="91" t="n"/>
      <c r="B2195" s="91" t="n"/>
      <c r="C2195" s="91" t="n"/>
      <c r="D2195" s="91" t="n"/>
      <c r="E2195" s="91" t="n"/>
      <c r="F2195" s="91" t="n"/>
      <c r="G2195" s="91" t="n"/>
      <c r="H2195" s="91" t="n"/>
      <c r="I2195" s="91" t="n"/>
      <c r="J2195" s="91" t="n"/>
      <c r="K2195" s="91" t="n"/>
      <c r="L2195" s="91" t="n"/>
      <c r="M2195" s="91" t="n"/>
      <c r="N2195" s="91" t="n"/>
      <c r="O2195" s="91" t="n"/>
      <c r="P2195" s="91" t="n"/>
      <c r="Q2195" s="91" t="n"/>
      <c r="R2195" s="91" t="n"/>
      <c r="S2195" s="91" t="n"/>
      <c r="T2195" s="49">
        <f>DAY(C2195)</f>
        <v/>
      </c>
      <c r="U2195" s="22">
        <f>MONTH(C2195)</f>
        <v/>
      </c>
      <c r="V2195" s="91" t="n"/>
      <c r="W2195" s="91" t="n"/>
      <c r="X2195" s="91" t="n"/>
      <c r="Y2195" s="91" t="n"/>
      <c r="Z2195" s="91" t="n"/>
    </row>
    <row r="2196" ht="12.75" customHeight="1" s="117">
      <c r="A2196" s="91" t="n"/>
      <c r="B2196" s="91" t="n"/>
      <c r="C2196" s="91" t="n"/>
      <c r="D2196" s="91" t="n"/>
      <c r="E2196" s="91" t="n"/>
      <c r="F2196" s="91" t="n"/>
      <c r="G2196" s="91" t="n"/>
      <c r="H2196" s="91" t="n"/>
      <c r="I2196" s="91" t="n"/>
      <c r="J2196" s="91" t="n"/>
      <c r="K2196" s="91" t="n"/>
      <c r="L2196" s="91" t="n"/>
      <c r="M2196" s="91" t="n"/>
      <c r="N2196" s="91" t="n"/>
      <c r="O2196" s="91" t="n"/>
      <c r="P2196" s="91" t="n"/>
      <c r="Q2196" s="91" t="n"/>
      <c r="R2196" s="91" t="n"/>
      <c r="S2196" s="91" t="n"/>
      <c r="T2196" s="49">
        <f>DAY(C2196)</f>
        <v/>
      </c>
      <c r="U2196" s="22">
        <f>MONTH(C2196)</f>
        <v/>
      </c>
      <c r="V2196" s="91" t="n"/>
      <c r="W2196" s="91" t="n"/>
      <c r="X2196" s="91" t="n"/>
      <c r="Y2196" s="91" t="n"/>
      <c r="Z2196" s="91" t="n"/>
    </row>
    <row r="2197" ht="12.75" customHeight="1" s="117">
      <c r="A2197" s="91" t="n"/>
      <c r="B2197" s="91" t="n"/>
      <c r="C2197" s="91" t="n"/>
      <c r="D2197" s="91" t="n"/>
      <c r="E2197" s="91" t="n"/>
      <c r="F2197" s="91" t="n"/>
      <c r="G2197" s="91" t="n"/>
      <c r="H2197" s="91" t="n"/>
      <c r="I2197" s="91" t="n"/>
      <c r="J2197" s="91" t="n"/>
      <c r="K2197" s="91" t="n"/>
      <c r="L2197" s="91" t="n"/>
      <c r="M2197" s="91" t="n"/>
      <c r="N2197" s="91" t="n"/>
      <c r="O2197" s="91" t="n"/>
      <c r="P2197" s="91" t="n"/>
      <c r="Q2197" s="91" t="n"/>
      <c r="R2197" s="91" t="n"/>
      <c r="S2197" s="91" t="n"/>
      <c r="T2197" s="49">
        <f>DAY(C2197)</f>
        <v/>
      </c>
      <c r="U2197" s="22">
        <f>MONTH(C2197)</f>
        <v/>
      </c>
      <c r="V2197" s="91" t="n"/>
      <c r="W2197" s="91" t="n"/>
      <c r="X2197" s="91" t="n"/>
      <c r="Y2197" s="91" t="n"/>
      <c r="Z2197" s="91" t="n"/>
    </row>
    <row r="2198" ht="12.75" customHeight="1" s="117">
      <c r="A2198" s="91" t="n"/>
      <c r="B2198" s="91" t="n"/>
      <c r="C2198" s="91" t="n"/>
      <c r="D2198" s="91" t="n"/>
      <c r="E2198" s="91" t="n"/>
      <c r="F2198" s="91" t="n"/>
      <c r="G2198" s="91" t="n"/>
      <c r="H2198" s="91" t="n"/>
      <c r="I2198" s="91" t="n"/>
      <c r="J2198" s="91" t="n"/>
      <c r="K2198" s="91" t="n"/>
      <c r="L2198" s="91" t="n"/>
      <c r="M2198" s="91" t="n"/>
      <c r="N2198" s="91" t="n"/>
      <c r="O2198" s="91" t="n"/>
      <c r="P2198" s="91" t="n"/>
      <c r="Q2198" s="91" t="n"/>
      <c r="R2198" s="91" t="n"/>
      <c r="S2198" s="91" t="n"/>
      <c r="T2198" s="49">
        <f>DAY(C2198)</f>
        <v/>
      </c>
      <c r="U2198" s="22">
        <f>MONTH(C2198)</f>
        <v/>
      </c>
      <c r="V2198" s="91" t="n"/>
      <c r="W2198" s="91" t="n"/>
      <c r="X2198" s="91" t="n"/>
      <c r="Y2198" s="91" t="n"/>
      <c r="Z2198" s="91" t="n"/>
    </row>
    <row r="2199" ht="12.75" customHeight="1" s="117">
      <c r="A2199" s="91" t="n"/>
      <c r="B2199" s="91" t="n"/>
      <c r="C2199" s="91" t="n"/>
      <c r="D2199" s="91" t="n"/>
      <c r="E2199" s="91" t="n"/>
      <c r="F2199" s="91" t="n"/>
      <c r="G2199" s="91" t="n"/>
      <c r="H2199" s="91" t="n"/>
      <c r="I2199" s="91" t="n"/>
      <c r="J2199" s="91" t="n"/>
      <c r="K2199" s="91" t="n"/>
      <c r="L2199" s="91" t="n"/>
      <c r="M2199" s="91" t="n"/>
      <c r="N2199" s="91" t="n"/>
      <c r="O2199" s="91" t="n"/>
      <c r="P2199" s="91" t="n"/>
      <c r="Q2199" s="91" t="n"/>
      <c r="R2199" s="91" t="n"/>
      <c r="S2199" s="91" t="n"/>
      <c r="T2199" s="49">
        <f>DAY(C2199)</f>
        <v/>
      </c>
      <c r="U2199" s="22">
        <f>MONTH(C2199)</f>
        <v/>
      </c>
      <c r="V2199" s="91" t="n"/>
      <c r="W2199" s="91" t="n"/>
      <c r="X2199" s="91" t="n"/>
      <c r="Y2199" s="91" t="n"/>
      <c r="Z2199" s="91" t="n"/>
    </row>
    <row r="2200" ht="12.75" customHeight="1" s="117">
      <c r="A2200" s="91" t="n"/>
      <c r="B2200" s="91" t="n"/>
      <c r="C2200" s="91" t="n"/>
      <c r="D2200" s="91" t="n"/>
      <c r="E2200" s="91" t="n"/>
      <c r="F2200" s="91" t="n"/>
      <c r="G2200" s="91" t="n"/>
      <c r="H2200" s="91" t="n"/>
      <c r="I2200" s="91" t="n"/>
      <c r="J2200" s="91" t="n"/>
      <c r="K2200" s="91" t="n"/>
      <c r="L2200" s="91" t="n"/>
      <c r="M2200" s="91" t="n"/>
      <c r="N2200" s="91" t="n"/>
      <c r="O2200" s="91" t="n"/>
      <c r="P2200" s="91" t="n"/>
      <c r="Q2200" s="91" t="n"/>
      <c r="R2200" s="91" t="n"/>
      <c r="S2200" s="91" t="n"/>
      <c r="T2200" s="49">
        <f>DAY(C2200)</f>
        <v/>
      </c>
      <c r="U2200" s="22">
        <f>MONTH(C2200)</f>
        <v/>
      </c>
      <c r="V2200" s="91" t="n"/>
      <c r="W2200" s="91" t="n"/>
      <c r="X2200" s="91" t="n"/>
      <c r="Y2200" s="91" t="n"/>
      <c r="Z2200" s="91" t="n"/>
    </row>
    <row r="2201" ht="12.75" customHeight="1" s="117">
      <c r="A2201" s="91" t="n"/>
      <c r="B2201" s="91" t="n"/>
      <c r="C2201" s="91" t="n"/>
      <c r="D2201" s="91" t="n"/>
      <c r="E2201" s="91" t="n"/>
      <c r="F2201" s="91" t="n"/>
      <c r="G2201" s="91" t="n"/>
      <c r="H2201" s="91" t="n"/>
      <c r="I2201" s="91" t="n"/>
      <c r="J2201" s="91" t="n"/>
      <c r="K2201" s="91" t="n"/>
      <c r="L2201" s="91" t="n"/>
      <c r="M2201" s="91" t="n"/>
      <c r="N2201" s="91" t="n"/>
      <c r="O2201" s="91" t="n"/>
      <c r="P2201" s="91" t="n"/>
      <c r="Q2201" s="91" t="n"/>
      <c r="R2201" s="91" t="n"/>
      <c r="S2201" s="91" t="n"/>
      <c r="T2201" s="49">
        <f>DAY(C2201)</f>
        <v/>
      </c>
      <c r="U2201" s="22">
        <f>MONTH(C2201)</f>
        <v/>
      </c>
      <c r="V2201" s="91" t="n"/>
      <c r="W2201" s="91" t="n"/>
      <c r="X2201" s="91" t="n"/>
      <c r="Y2201" s="91" t="n"/>
      <c r="Z2201" s="91" t="n"/>
    </row>
    <row r="2202" ht="12.75" customHeight="1" s="117">
      <c r="A2202" s="91" t="n"/>
      <c r="B2202" s="91" t="n"/>
      <c r="C2202" s="91" t="n"/>
      <c r="D2202" s="91" t="n"/>
      <c r="E2202" s="91" t="n"/>
      <c r="F2202" s="91" t="n"/>
      <c r="G2202" s="91" t="n"/>
      <c r="H2202" s="91" t="n"/>
      <c r="I2202" s="91" t="n"/>
      <c r="J2202" s="91" t="n"/>
      <c r="K2202" s="91" t="n"/>
      <c r="L2202" s="91" t="n"/>
      <c r="M2202" s="91" t="n"/>
      <c r="N2202" s="91" t="n"/>
      <c r="O2202" s="91" t="n"/>
      <c r="P2202" s="91" t="n"/>
      <c r="Q2202" s="91" t="n"/>
      <c r="R2202" s="91" t="n"/>
      <c r="S2202" s="91" t="n"/>
      <c r="T2202" s="49">
        <f>DAY(C2202)</f>
        <v/>
      </c>
      <c r="U2202" s="22">
        <f>MONTH(C2202)</f>
        <v/>
      </c>
      <c r="V2202" s="91" t="n"/>
      <c r="W2202" s="91" t="n"/>
      <c r="X2202" s="91" t="n"/>
      <c r="Y2202" s="91" t="n"/>
      <c r="Z2202" s="91" t="n"/>
    </row>
    <row r="2203" ht="12.75" customHeight="1" s="117">
      <c r="A2203" s="91" t="n"/>
      <c r="B2203" s="91" t="n"/>
      <c r="C2203" s="91" t="n"/>
      <c r="D2203" s="91" t="n"/>
      <c r="E2203" s="91" t="n"/>
      <c r="F2203" s="91" t="n"/>
      <c r="G2203" s="91" t="n"/>
      <c r="H2203" s="91" t="n"/>
      <c r="I2203" s="91" t="n"/>
      <c r="J2203" s="91" t="n"/>
      <c r="K2203" s="91" t="n"/>
      <c r="L2203" s="91" t="n"/>
      <c r="M2203" s="91" t="n"/>
      <c r="N2203" s="91" t="n"/>
      <c r="O2203" s="91" t="n"/>
      <c r="P2203" s="91" t="n"/>
      <c r="Q2203" s="91" t="n"/>
      <c r="R2203" s="91" t="n"/>
      <c r="S2203" s="91" t="n"/>
      <c r="T2203" s="49">
        <f>DAY(C2203)</f>
        <v/>
      </c>
      <c r="U2203" s="22">
        <f>MONTH(C2203)</f>
        <v/>
      </c>
      <c r="V2203" s="91" t="n"/>
      <c r="W2203" s="91" t="n"/>
      <c r="X2203" s="91" t="n"/>
      <c r="Y2203" s="91" t="n"/>
      <c r="Z2203" s="91" t="n"/>
    </row>
    <row r="2204" ht="12.75" customHeight="1" s="117">
      <c r="A2204" s="91" t="n"/>
      <c r="B2204" s="91" t="n"/>
      <c r="C2204" s="91" t="n"/>
      <c r="D2204" s="91" t="n"/>
      <c r="E2204" s="91" t="n"/>
      <c r="F2204" s="91" t="n"/>
      <c r="G2204" s="91" t="n"/>
      <c r="H2204" s="91" t="n"/>
      <c r="I2204" s="91" t="n"/>
      <c r="J2204" s="91" t="n"/>
      <c r="K2204" s="91" t="n"/>
      <c r="L2204" s="91" t="n"/>
      <c r="M2204" s="91" t="n"/>
      <c r="N2204" s="91" t="n"/>
      <c r="O2204" s="91" t="n"/>
      <c r="P2204" s="91" t="n"/>
      <c r="Q2204" s="91" t="n"/>
      <c r="R2204" s="91" t="n"/>
      <c r="S2204" s="91" t="n"/>
      <c r="T2204" s="49">
        <f>DAY(C2204)</f>
        <v/>
      </c>
      <c r="U2204" s="22">
        <f>MONTH(C2204)</f>
        <v/>
      </c>
      <c r="V2204" s="91" t="n"/>
      <c r="W2204" s="91" t="n"/>
      <c r="X2204" s="91" t="n"/>
      <c r="Y2204" s="91" t="n"/>
      <c r="Z2204" s="91" t="n"/>
    </row>
    <row r="2205" ht="12.75" customHeight="1" s="117">
      <c r="A2205" s="91" t="n"/>
      <c r="B2205" s="91" t="n"/>
      <c r="C2205" s="91" t="n"/>
      <c r="D2205" s="91" t="n"/>
      <c r="E2205" s="91" t="n"/>
      <c r="F2205" s="91" t="n"/>
      <c r="G2205" s="91" t="n"/>
      <c r="H2205" s="91" t="n"/>
      <c r="I2205" s="91" t="n"/>
      <c r="J2205" s="91" t="n"/>
      <c r="K2205" s="91" t="n"/>
      <c r="L2205" s="91" t="n"/>
      <c r="M2205" s="91" t="n"/>
      <c r="N2205" s="91" t="n"/>
      <c r="O2205" s="91" t="n"/>
      <c r="P2205" s="91" t="n"/>
      <c r="Q2205" s="91" t="n"/>
      <c r="R2205" s="91" t="n"/>
      <c r="S2205" s="91" t="n"/>
      <c r="T2205" s="49">
        <f>DAY(C2205)</f>
        <v/>
      </c>
      <c r="U2205" s="22">
        <f>MONTH(C2205)</f>
        <v/>
      </c>
      <c r="V2205" s="91" t="n"/>
      <c r="W2205" s="91" t="n"/>
      <c r="X2205" s="91" t="n"/>
      <c r="Y2205" s="91" t="n"/>
      <c r="Z2205" s="91" t="n"/>
    </row>
    <row r="2206" ht="12.75" customHeight="1" s="117">
      <c r="A2206" s="91" t="n"/>
      <c r="B2206" s="91" t="n"/>
      <c r="C2206" s="91" t="n"/>
      <c r="D2206" s="91" t="n"/>
      <c r="E2206" s="91" t="n"/>
      <c r="F2206" s="91" t="n"/>
      <c r="G2206" s="91" t="n"/>
      <c r="H2206" s="91" t="n"/>
      <c r="I2206" s="91" t="n"/>
      <c r="J2206" s="91" t="n"/>
      <c r="K2206" s="91" t="n"/>
      <c r="L2206" s="91" t="n"/>
      <c r="M2206" s="91" t="n"/>
      <c r="N2206" s="91" t="n"/>
      <c r="O2206" s="91" t="n"/>
      <c r="P2206" s="91" t="n"/>
      <c r="Q2206" s="91" t="n"/>
      <c r="R2206" s="91" t="n"/>
      <c r="S2206" s="91" t="n"/>
      <c r="T2206" s="49">
        <f>DAY(C2206)</f>
        <v/>
      </c>
      <c r="U2206" s="22">
        <f>MONTH(C2206)</f>
        <v/>
      </c>
      <c r="V2206" s="91" t="n"/>
      <c r="W2206" s="91" t="n"/>
      <c r="X2206" s="91" t="n"/>
      <c r="Y2206" s="91" t="n"/>
      <c r="Z2206" s="91" t="n"/>
    </row>
    <row r="2207" ht="12.75" customHeight="1" s="117">
      <c r="A2207" s="91" t="n"/>
      <c r="B2207" s="91" t="n"/>
      <c r="C2207" s="91" t="n"/>
      <c r="D2207" s="91" t="n"/>
      <c r="E2207" s="91" t="n"/>
      <c r="F2207" s="91" t="n"/>
      <c r="G2207" s="91" t="n"/>
      <c r="H2207" s="91" t="n"/>
      <c r="I2207" s="91" t="n"/>
      <c r="J2207" s="91" t="n"/>
      <c r="K2207" s="91" t="n"/>
      <c r="L2207" s="91" t="n"/>
      <c r="M2207" s="91" t="n"/>
      <c r="N2207" s="91" t="n"/>
      <c r="O2207" s="91" t="n"/>
      <c r="P2207" s="91" t="n"/>
      <c r="Q2207" s="91" t="n"/>
      <c r="R2207" s="91" t="n"/>
      <c r="S2207" s="91" t="n"/>
      <c r="T2207" s="49">
        <f>DAY(C2207)</f>
        <v/>
      </c>
      <c r="U2207" s="22">
        <f>MONTH(C2207)</f>
        <v/>
      </c>
      <c r="V2207" s="91" t="n"/>
      <c r="W2207" s="91" t="n"/>
      <c r="X2207" s="91" t="n"/>
      <c r="Y2207" s="91" t="n"/>
      <c r="Z2207" s="91" t="n"/>
    </row>
    <row r="2208" ht="12.75" customHeight="1" s="117">
      <c r="A2208" s="91" t="n"/>
      <c r="B2208" s="91" t="n"/>
      <c r="C2208" s="91" t="n"/>
      <c r="D2208" s="91" t="n"/>
      <c r="E2208" s="91" t="n"/>
      <c r="F2208" s="91" t="n"/>
      <c r="G2208" s="91" t="n"/>
      <c r="H2208" s="91" t="n"/>
      <c r="I2208" s="91" t="n"/>
      <c r="J2208" s="91" t="n"/>
      <c r="K2208" s="91" t="n"/>
      <c r="L2208" s="91" t="n"/>
      <c r="M2208" s="91" t="n"/>
      <c r="N2208" s="91" t="n"/>
      <c r="O2208" s="91" t="n"/>
      <c r="P2208" s="91" t="n"/>
      <c r="Q2208" s="91" t="n"/>
      <c r="R2208" s="91" t="n"/>
      <c r="S2208" s="91" t="n"/>
      <c r="T2208" s="49">
        <f>DAY(C2208)</f>
        <v/>
      </c>
      <c r="U2208" s="22">
        <f>MONTH(C2208)</f>
        <v/>
      </c>
      <c r="V2208" s="91" t="n"/>
      <c r="W2208" s="91" t="n"/>
      <c r="X2208" s="91" t="n"/>
      <c r="Y2208" s="91" t="n"/>
      <c r="Z2208" s="91" t="n"/>
    </row>
    <row r="2209" ht="12.75" customHeight="1" s="117">
      <c r="A2209" s="91" t="n"/>
      <c r="B2209" s="91" t="n"/>
      <c r="C2209" s="91" t="n"/>
      <c r="D2209" s="91" t="n"/>
      <c r="E2209" s="91" t="n"/>
      <c r="F2209" s="91" t="n"/>
      <c r="G2209" s="91" t="n"/>
      <c r="H2209" s="91" t="n"/>
      <c r="I2209" s="91" t="n"/>
      <c r="J2209" s="91" t="n"/>
      <c r="K2209" s="91" t="n"/>
      <c r="L2209" s="91" t="n"/>
      <c r="M2209" s="91" t="n"/>
      <c r="N2209" s="91" t="n"/>
      <c r="O2209" s="91" t="n"/>
      <c r="P2209" s="91" t="n"/>
      <c r="Q2209" s="91" t="n"/>
      <c r="R2209" s="91" t="n"/>
      <c r="S2209" s="91" t="n"/>
      <c r="T2209" s="49">
        <f>DAY(C2209)</f>
        <v/>
      </c>
      <c r="U2209" s="22">
        <f>MONTH(C2209)</f>
        <v/>
      </c>
      <c r="V2209" s="91" t="n"/>
      <c r="W2209" s="91" t="n"/>
      <c r="X2209" s="91" t="n"/>
      <c r="Y2209" s="91" t="n"/>
      <c r="Z2209" s="91" t="n"/>
    </row>
    <row r="2210" ht="12.75" customHeight="1" s="117">
      <c r="A2210" s="91" t="n"/>
      <c r="B2210" s="91" t="n"/>
      <c r="C2210" s="91" t="n"/>
      <c r="D2210" s="91" t="n"/>
      <c r="E2210" s="91" t="n"/>
      <c r="F2210" s="91" t="n"/>
      <c r="G2210" s="91" t="n"/>
      <c r="H2210" s="91" t="n"/>
      <c r="I2210" s="91" t="n"/>
      <c r="J2210" s="91" t="n"/>
      <c r="K2210" s="91" t="n"/>
      <c r="L2210" s="91" t="n"/>
      <c r="M2210" s="91" t="n"/>
      <c r="N2210" s="91" t="n"/>
      <c r="O2210" s="91" t="n"/>
      <c r="P2210" s="91" t="n"/>
      <c r="Q2210" s="91" t="n"/>
      <c r="R2210" s="91" t="n"/>
      <c r="S2210" s="91" t="n"/>
      <c r="T2210" s="49">
        <f>DAY(C2210)</f>
        <v/>
      </c>
      <c r="U2210" s="22">
        <f>MONTH(C2210)</f>
        <v/>
      </c>
      <c r="V2210" s="91" t="n"/>
      <c r="W2210" s="91" t="n"/>
      <c r="X2210" s="91" t="n"/>
      <c r="Y2210" s="91" t="n"/>
      <c r="Z2210" s="91" t="n"/>
    </row>
    <row r="2211" ht="12.75" customHeight="1" s="117">
      <c r="A2211" s="91" t="n"/>
      <c r="B2211" s="91" t="n"/>
      <c r="C2211" s="91" t="n"/>
      <c r="D2211" s="91" t="n"/>
      <c r="E2211" s="91" t="n"/>
      <c r="F2211" s="91" t="n"/>
      <c r="G2211" s="91" t="n"/>
      <c r="H2211" s="91" t="n"/>
      <c r="I2211" s="91" t="n"/>
      <c r="J2211" s="91" t="n"/>
      <c r="K2211" s="91" t="n"/>
      <c r="L2211" s="91" t="n"/>
      <c r="M2211" s="91" t="n"/>
      <c r="N2211" s="91" t="n"/>
      <c r="O2211" s="91" t="n"/>
      <c r="P2211" s="91" t="n"/>
      <c r="Q2211" s="91" t="n"/>
      <c r="R2211" s="91" t="n"/>
      <c r="S2211" s="91" t="n"/>
      <c r="T2211" s="49">
        <f>DAY(C2211)</f>
        <v/>
      </c>
      <c r="U2211" s="22">
        <f>MONTH(C2211)</f>
        <v/>
      </c>
      <c r="V2211" s="91" t="n"/>
      <c r="W2211" s="91" t="n"/>
      <c r="X2211" s="91" t="n"/>
      <c r="Y2211" s="91" t="n"/>
      <c r="Z2211" s="91" t="n"/>
    </row>
    <row r="2212" ht="12.75" customHeight="1" s="117">
      <c r="A2212" s="91" t="n"/>
      <c r="B2212" s="91" t="n"/>
      <c r="C2212" s="91" t="n"/>
      <c r="D2212" s="91" t="n"/>
      <c r="E2212" s="91" t="n"/>
      <c r="F2212" s="91" t="n"/>
      <c r="G2212" s="91" t="n"/>
      <c r="H2212" s="91" t="n"/>
      <c r="I2212" s="91" t="n"/>
      <c r="J2212" s="91" t="n"/>
      <c r="K2212" s="91" t="n"/>
      <c r="L2212" s="91" t="n"/>
      <c r="M2212" s="91" t="n"/>
      <c r="N2212" s="91" t="n"/>
      <c r="O2212" s="91" t="n"/>
      <c r="P2212" s="91" t="n"/>
      <c r="Q2212" s="91" t="n"/>
      <c r="R2212" s="91" t="n"/>
      <c r="S2212" s="91" t="n"/>
      <c r="T2212" s="49">
        <f>DAY(C2212)</f>
        <v/>
      </c>
      <c r="U2212" s="22">
        <f>MONTH(C2212)</f>
        <v/>
      </c>
      <c r="V2212" s="91" t="n"/>
      <c r="W2212" s="91" t="n"/>
      <c r="X2212" s="91" t="n"/>
      <c r="Y2212" s="91" t="n"/>
      <c r="Z2212" s="91" t="n"/>
    </row>
    <row r="2213" ht="12.75" customHeight="1" s="117">
      <c r="A2213" s="91" t="n"/>
      <c r="B2213" s="91" t="n"/>
      <c r="C2213" s="91" t="n"/>
      <c r="D2213" s="91" t="n"/>
      <c r="E2213" s="91" t="n"/>
      <c r="F2213" s="91" t="n"/>
      <c r="G2213" s="91" t="n"/>
      <c r="H2213" s="91" t="n"/>
      <c r="I2213" s="91" t="n"/>
      <c r="J2213" s="91" t="n"/>
      <c r="K2213" s="91" t="n"/>
      <c r="L2213" s="91" t="n"/>
      <c r="M2213" s="91" t="n"/>
      <c r="N2213" s="91" t="n"/>
      <c r="O2213" s="91" t="n"/>
      <c r="P2213" s="91" t="n"/>
      <c r="Q2213" s="91" t="n"/>
      <c r="R2213" s="91" t="n"/>
      <c r="S2213" s="91" t="n"/>
      <c r="T2213" s="49">
        <f>DAY(C2213)</f>
        <v/>
      </c>
      <c r="U2213" s="22">
        <f>MONTH(C2213)</f>
        <v/>
      </c>
      <c r="V2213" s="91" t="n"/>
      <c r="W2213" s="91" t="n"/>
      <c r="X2213" s="91" t="n"/>
      <c r="Y2213" s="91" t="n"/>
      <c r="Z2213" s="91" t="n"/>
    </row>
    <row r="2214" ht="12.75" customHeight="1" s="117">
      <c r="A2214" s="91" t="n"/>
      <c r="B2214" s="91" t="n"/>
      <c r="C2214" s="91" t="n"/>
      <c r="D2214" s="91" t="n"/>
      <c r="E2214" s="91" t="n"/>
      <c r="F2214" s="91" t="n"/>
      <c r="G2214" s="91" t="n"/>
      <c r="H2214" s="91" t="n"/>
      <c r="I2214" s="91" t="n"/>
      <c r="J2214" s="91" t="n"/>
      <c r="K2214" s="91" t="n"/>
      <c r="L2214" s="91" t="n"/>
      <c r="M2214" s="91" t="n"/>
      <c r="N2214" s="91" t="n"/>
      <c r="O2214" s="91" t="n"/>
      <c r="P2214" s="91" t="n"/>
      <c r="Q2214" s="91" t="n"/>
      <c r="R2214" s="91" t="n"/>
      <c r="S2214" s="91" t="n"/>
      <c r="T2214" s="49">
        <f>DAY(C2214)</f>
        <v/>
      </c>
      <c r="U2214" s="22">
        <f>MONTH(C2214)</f>
        <v/>
      </c>
      <c r="V2214" s="91" t="n"/>
      <c r="W2214" s="91" t="n"/>
      <c r="X2214" s="91" t="n"/>
      <c r="Y2214" s="91" t="n"/>
      <c r="Z2214" s="91" t="n"/>
    </row>
    <row r="2215" ht="12.75" customHeight="1" s="117">
      <c r="A2215" s="91" t="n"/>
      <c r="B2215" s="91" t="n"/>
      <c r="C2215" s="91" t="n"/>
      <c r="D2215" s="91" t="n"/>
      <c r="E2215" s="91" t="n"/>
      <c r="F2215" s="91" t="n"/>
      <c r="G2215" s="91" t="n"/>
      <c r="H2215" s="91" t="n"/>
      <c r="I2215" s="91" t="n"/>
      <c r="J2215" s="91" t="n"/>
      <c r="K2215" s="91" t="n"/>
      <c r="L2215" s="91" t="n"/>
      <c r="M2215" s="91" t="n"/>
      <c r="N2215" s="91" t="n"/>
      <c r="O2215" s="91" t="n"/>
      <c r="P2215" s="91" t="n"/>
      <c r="Q2215" s="91" t="n"/>
      <c r="R2215" s="91" t="n"/>
      <c r="S2215" s="91" t="n"/>
      <c r="T2215" s="49">
        <f>DAY(C2215)</f>
        <v/>
      </c>
      <c r="U2215" s="22">
        <f>MONTH(C2215)</f>
        <v/>
      </c>
      <c r="V2215" s="91" t="n"/>
      <c r="W2215" s="91" t="n"/>
      <c r="X2215" s="91" t="n"/>
      <c r="Y2215" s="91" t="n"/>
      <c r="Z2215" s="91" t="n"/>
    </row>
    <row r="2216" ht="12.75" customHeight="1" s="117">
      <c r="A2216" s="91" t="n"/>
      <c r="B2216" s="91" t="n"/>
      <c r="C2216" s="91" t="n"/>
      <c r="D2216" s="91" t="n"/>
      <c r="E2216" s="91" t="n"/>
      <c r="F2216" s="91" t="n"/>
      <c r="G2216" s="91" t="n"/>
      <c r="H2216" s="91" t="n"/>
      <c r="I2216" s="91" t="n"/>
      <c r="J2216" s="91" t="n"/>
      <c r="K2216" s="91" t="n"/>
      <c r="L2216" s="91" t="n"/>
      <c r="M2216" s="91" t="n"/>
      <c r="N2216" s="91" t="n"/>
      <c r="O2216" s="91" t="n"/>
      <c r="P2216" s="91" t="n"/>
      <c r="Q2216" s="91" t="n"/>
      <c r="R2216" s="91" t="n"/>
      <c r="S2216" s="91" t="n"/>
      <c r="T2216" s="49">
        <f>DAY(C2216)</f>
        <v/>
      </c>
      <c r="U2216" s="22">
        <f>MONTH(C2216)</f>
        <v/>
      </c>
      <c r="V2216" s="91" t="n"/>
      <c r="W2216" s="91" t="n"/>
      <c r="X2216" s="91" t="n"/>
      <c r="Y2216" s="91" t="n"/>
      <c r="Z2216" s="91" t="n"/>
    </row>
    <row r="2217" ht="12.75" customHeight="1" s="117">
      <c r="A2217" s="91" t="n"/>
      <c r="B2217" s="91" t="n"/>
      <c r="C2217" s="91" t="n"/>
      <c r="D2217" s="91" t="n"/>
      <c r="E2217" s="91" t="n"/>
      <c r="F2217" s="91" t="n"/>
      <c r="G2217" s="91" t="n"/>
      <c r="H2217" s="91" t="n"/>
      <c r="I2217" s="91" t="n"/>
      <c r="J2217" s="91" t="n"/>
      <c r="K2217" s="91" t="n"/>
      <c r="L2217" s="91" t="n"/>
      <c r="M2217" s="91" t="n"/>
      <c r="N2217" s="91" t="n"/>
      <c r="O2217" s="91" t="n"/>
      <c r="P2217" s="91" t="n"/>
      <c r="Q2217" s="91" t="n"/>
      <c r="R2217" s="91" t="n"/>
      <c r="S2217" s="91" t="n"/>
      <c r="T2217" s="49">
        <f>DAY(C2217)</f>
        <v/>
      </c>
      <c r="U2217" s="22">
        <f>MONTH(C2217)</f>
        <v/>
      </c>
      <c r="V2217" s="91" t="n"/>
      <c r="W2217" s="91" t="n"/>
      <c r="X2217" s="91" t="n"/>
      <c r="Y2217" s="91" t="n"/>
      <c r="Z2217" s="91" t="n"/>
    </row>
    <row r="2218" ht="12.75" customHeight="1" s="117">
      <c r="A2218" s="91" t="n"/>
      <c r="B2218" s="91" t="n"/>
      <c r="C2218" s="91" t="n"/>
      <c r="D2218" s="91" t="n"/>
      <c r="E2218" s="91" t="n"/>
      <c r="F2218" s="91" t="n"/>
      <c r="G2218" s="91" t="n"/>
      <c r="H2218" s="91" t="n"/>
      <c r="I2218" s="91" t="n"/>
      <c r="J2218" s="91" t="n"/>
      <c r="K2218" s="91" t="n"/>
      <c r="L2218" s="91" t="n"/>
      <c r="M2218" s="91" t="n"/>
      <c r="N2218" s="91" t="n"/>
      <c r="O2218" s="91" t="n"/>
      <c r="P2218" s="91" t="n"/>
      <c r="Q2218" s="91" t="n"/>
      <c r="R2218" s="91" t="n"/>
      <c r="S2218" s="91" t="n"/>
      <c r="T2218" s="49">
        <f>DAY(C2218)</f>
        <v/>
      </c>
      <c r="U2218" s="22">
        <f>MONTH(C2218)</f>
        <v/>
      </c>
      <c r="V2218" s="91" t="n"/>
      <c r="W2218" s="91" t="n"/>
      <c r="X2218" s="91" t="n"/>
      <c r="Y2218" s="91" t="n"/>
      <c r="Z2218" s="91" t="n"/>
    </row>
    <row r="2219" ht="12.75" customHeight="1" s="117">
      <c r="A2219" s="91" t="n"/>
      <c r="B2219" s="91" t="n"/>
      <c r="C2219" s="91" t="n"/>
      <c r="D2219" s="91" t="n"/>
      <c r="E2219" s="91" t="n"/>
      <c r="F2219" s="91" t="n"/>
      <c r="G2219" s="91" t="n"/>
      <c r="H2219" s="91" t="n"/>
      <c r="I2219" s="91" t="n"/>
      <c r="J2219" s="91" t="n"/>
      <c r="K2219" s="91" t="n"/>
      <c r="L2219" s="91" t="n"/>
      <c r="M2219" s="91" t="n"/>
      <c r="N2219" s="91" t="n"/>
      <c r="O2219" s="91" t="n"/>
      <c r="P2219" s="91" t="n"/>
      <c r="Q2219" s="91" t="n"/>
      <c r="R2219" s="91" t="n"/>
      <c r="S2219" s="91" t="n"/>
      <c r="T2219" s="49">
        <f>DAY(C2219)</f>
        <v/>
      </c>
      <c r="U2219" s="22">
        <f>MONTH(C2219)</f>
        <v/>
      </c>
      <c r="V2219" s="91" t="n"/>
      <c r="W2219" s="91" t="n"/>
      <c r="X2219" s="91" t="n"/>
      <c r="Y2219" s="91" t="n"/>
      <c r="Z2219" s="91" t="n"/>
    </row>
    <row r="2220" ht="12.75" customHeight="1" s="117">
      <c r="A2220" s="91" t="n"/>
      <c r="B2220" s="91" t="n"/>
      <c r="C2220" s="91" t="n"/>
      <c r="D2220" s="91" t="n"/>
      <c r="E2220" s="91" t="n"/>
      <c r="F2220" s="91" t="n"/>
      <c r="G2220" s="91" t="n"/>
      <c r="H2220" s="91" t="n"/>
      <c r="I2220" s="91" t="n"/>
      <c r="J2220" s="91" t="n"/>
      <c r="K2220" s="91" t="n"/>
      <c r="L2220" s="91" t="n"/>
      <c r="M2220" s="91" t="n"/>
      <c r="N2220" s="91" t="n"/>
      <c r="O2220" s="91" t="n"/>
      <c r="P2220" s="91" t="n"/>
      <c r="Q2220" s="91" t="n"/>
      <c r="R2220" s="91" t="n"/>
      <c r="S2220" s="91" t="n"/>
      <c r="T2220" s="49">
        <f>DAY(C2220)</f>
        <v/>
      </c>
      <c r="U2220" s="22">
        <f>MONTH(C2220)</f>
        <v/>
      </c>
      <c r="V2220" s="91" t="n"/>
      <c r="W2220" s="91" t="n"/>
      <c r="X2220" s="91" t="n"/>
      <c r="Y2220" s="91" t="n"/>
      <c r="Z2220" s="91" t="n"/>
    </row>
    <row r="2221" ht="12.75" customHeight="1" s="117">
      <c r="A2221" s="91" t="n"/>
      <c r="B2221" s="91" t="n"/>
      <c r="C2221" s="91" t="n"/>
      <c r="D2221" s="91" t="n"/>
      <c r="E2221" s="91" t="n"/>
      <c r="F2221" s="91" t="n"/>
      <c r="G2221" s="91" t="n"/>
      <c r="H2221" s="91" t="n"/>
      <c r="I2221" s="91" t="n"/>
      <c r="J2221" s="91" t="n"/>
      <c r="K2221" s="91" t="n"/>
      <c r="L2221" s="91" t="n"/>
      <c r="M2221" s="91" t="n"/>
      <c r="N2221" s="91" t="n"/>
      <c r="O2221" s="91" t="n"/>
      <c r="P2221" s="91" t="n"/>
      <c r="Q2221" s="91" t="n"/>
      <c r="R2221" s="91" t="n"/>
      <c r="S2221" s="91" t="n"/>
      <c r="T2221" s="49">
        <f>DAY(C2221)</f>
        <v/>
      </c>
      <c r="U2221" s="22">
        <f>MONTH(C2221)</f>
        <v/>
      </c>
      <c r="V2221" s="91" t="n"/>
      <c r="W2221" s="91" t="n"/>
      <c r="X2221" s="91" t="n"/>
      <c r="Y2221" s="91" t="n"/>
      <c r="Z2221" s="91" t="n"/>
    </row>
    <row r="2222" ht="12.75" customHeight="1" s="117">
      <c r="A2222" s="91" t="n"/>
      <c r="B2222" s="91" t="n"/>
      <c r="C2222" s="91" t="n"/>
      <c r="D2222" s="91" t="n"/>
      <c r="E2222" s="91" t="n"/>
      <c r="F2222" s="91" t="n"/>
      <c r="G2222" s="91" t="n"/>
      <c r="H2222" s="91" t="n"/>
      <c r="I2222" s="91" t="n"/>
      <c r="J2222" s="91" t="n"/>
      <c r="K2222" s="91" t="n"/>
      <c r="L2222" s="91" t="n"/>
      <c r="M2222" s="91" t="n"/>
      <c r="N2222" s="91" t="n"/>
      <c r="O2222" s="91" t="n"/>
      <c r="P2222" s="91" t="n"/>
      <c r="Q2222" s="91" t="n"/>
      <c r="R2222" s="91" t="n"/>
      <c r="S2222" s="91" t="n"/>
      <c r="T2222" s="25">
        <f>DAY(C2222)</f>
        <v/>
      </c>
      <c r="U2222" s="22">
        <f>MONTH(C2222)</f>
        <v/>
      </c>
      <c r="V2222" s="91" t="n"/>
      <c r="W2222" s="91" t="n"/>
      <c r="X2222" s="91" t="n"/>
      <c r="Y2222" s="91" t="n"/>
      <c r="Z2222" s="91" t="n"/>
    </row>
    <row r="2223" ht="12.75" customHeight="1" s="117">
      <c r="A2223" s="91" t="n"/>
      <c r="B2223" s="91" t="n"/>
      <c r="C2223" s="91" t="n"/>
      <c r="D2223" s="91" t="n"/>
      <c r="E2223" s="91" t="n"/>
      <c r="F2223" s="91" t="n"/>
      <c r="G2223" s="91" t="n"/>
      <c r="H2223" s="91" t="n"/>
      <c r="I2223" s="91" t="n"/>
      <c r="J2223" s="91" t="n"/>
      <c r="K2223" s="91" t="n"/>
      <c r="L2223" s="91" t="n"/>
      <c r="M2223" s="91" t="n"/>
      <c r="N2223" s="91" t="n"/>
      <c r="O2223" s="91" t="n"/>
      <c r="P2223" s="91" t="n"/>
      <c r="Q2223" s="91" t="n"/>
      <c r="R2223" s="91" t="n"/>
      <c r="S2223" s="91" t="n"/>
      <c r="T2223" s="25">
        <f>DAY(C2223)</f>
        <v/>
      </c>
      <c r="U2223" s="22">
        <f>MONTH(C2223)</f>
        <v/>
      </c>
      <c r="V2223" s="91" t="n"/>
      <c r="W2223" s="91" t="n"/>
      <c r="X2223" s="91" t="n"/>
      <c r="Y2223" s="91" t="n"/>
      <c r="Z2223" s="91" t="n"/>
    </row>
    <row r="2224" ht="12.75" customHeight="1" s="117">
      <c r="A2224" s="91" t="n"/>
      <c r="B2224" s="91" t="n"/>
      <c r="C2224" s="91" t="n"/>
      <c r="D2224" s="91" t="n"/>
      <c r="E2224" s="91" t="n"/>
      <c r="F2224" s="91" t="n"/>
      <c r="G2224" s="91" t="n"/>
      <c r="H2224" s="91" t="n"/>
      <c r="I2224" s="91" t="n"/>
      <c r="J2224" s="91" t="n"/>
      <c r="K2224" s="91" t="n"/>
      <c r="L2224" s="91" t="n"/>
      <c r="M2224" s="91" t="n"/>
      <c r="N2224" s="91" t="n"/>
      <c r="O2224" s="91" t="n"/>
      <c r="P2224" s="91" t="n"/>
      <c r="Q2224" s="91" t="n"/>
      <c r="R2224" s="91" t="n"/>
      <c r="S2224" s="91" t="n"/>
      <c r="T2224" s="25">
        <f>DAY(C2224)</f>
        <v/>
      </c>
      <c r="U2224" s="22">
        <f>MONTH(C2224)</f>
        <v/>
      </c>
      <c r="V2224" s="91" t="n"/>
      <c r="W2224" s="91" t="n"/>
      <c r="X2224" s="91" t="n"/>
      <c r="Y2224" s="91" t="n"/>
      <c r="Z2224" s="91" t="n"/>
    </row>
    <row r="2225" ht="12.75" customHeight="1" s="117">
      <c r="A2225" s="91" t="n"/>
      <c r="B2225" s="91" t="n"/>
      <c r="C2225" s="91" t="n"/>
      <c r="D2225" s="91" t="n"/>
      <c r="E2225" s="91" t="n"/>
      <c r="F2225" s="91" t="n"/>
      <c r="G2225" s="91" t="n"/>
      <c r="H2225" s="91" t="n"/>
      <c r="I2225" s="91" t="n"/>
      <c r="J2225" s="91" t="n"/>
      <c r="K2225" s="91" t="n"/>
      <c r="L2225" s="91" t="n"/>
      <c r="M2225" s="91" t="n"/>
      <c r="N2225" s="91" t="n"/>
      <c r="O2225" s="91" t="n"/>
      <c r="P2225" s="91" t="n"/>
      <c r="Q2225" s="91" t="n"/>
      <c r="R2225" s="91" t="n"/>
      <c r="S2225" s="91" t="n"/>
      <c r="T2225" s="25">
        <f>DAY(C2225)</f>
        <v/>
      </c>
      <c r="U2225" s="22">
        <f>MONTH(C2225)</f>
        <v/>
      </c>
      <c r="V2225" s="91" t="n"/>
      <c r="W2225" s="91" t="n"/>
      <c r="X2225" s="91" t="n"/>
      <c r="Y2225" s="91" t="n"/>
      <c r="Z2225" s="91" t="n"/>
    </row>
    <row r="2226" ht="12.75" customHeight="1" s="117">
      <c r="A2226" s="91" t="n"/>
      <c r="B2226" s="91" t="n"/>
      <c r="C2226" s="91" t="n"/>
      <c r="D2226" s="91" t="n"/>
      <c r="E2226" s="91" t="n"/>
      <c r="F2226" s="91" t="n"/>
      <c r="G2226" s="91" t="n"/>
      <c r="H2226" s="91" t="n"/>
      <c r="I2226" s="91" t="n"/>
      <c r="J2226" s="91" t="n"/>
      <c r="K2226" s="91" t="n"/>
      <c r="L2226" s="91" t="n"/>
      <c r="M2226" s="91" t="n"/>
      <c r="N2226" s="91" t="n"/>
      <c r="O2226" s="91" t="n"/>
      <c r="P2226" s="91" t="n"/>
      <c r="Q2226" s="91" t="n"/>
      <c r="R2226" s="91" t="n"/>
      <c r="S2226" s="91" t="n"/>
      <c r="T2226" s="25">
        <f>DAY(C2226)</f>
        <v/>
      </c>
      <c r="U2226" s="22">
        <f>MONTH(C2226)</f>
        <v/>
      </c>
      <c r="V2226" s="91" t="n"/>
      <c r="W2226" s="91" t="n"/>
      <c r="X2226" s="91" t="n"/>
      <c r="Y2226" s="91" t="n"/>
      <c r="Z2226" s="91" t="n"/>
    </row>
    <row r="2227" ht="12.75" customHeight="1" s="117">
      <c r="A2227" s="91" t="n"/>
      <c r="B2227" s="91" t="n"/>
      <c r="C2227" s="91" t="n"/>
      <c r="D2227" s="91" t="n"/>
      <c r="E2227" s="91" t="n"/>
      <c r="F2227" s="91" t="n"/>
      <c r="G2227" s="91" t="n"/>
      <c r="H2227" s="91" t="n"/>
      <c r="I2227" s="91" t="n"/>
      <c r="J2227" s="91" t="n"/>
      <c r="K2227" s="91" t="n"/>
      <c r="L2227" s="91" t="n"/>
      <c r="M2227" s="91" t="n"/>
      <c r="N2227" s="91" t="n"/>
      <c r="O2227" s="91" t="n"/>
      <c r="P2227" s="91" t="n"/>
      <c r="Q2227" s="91" t="n"/>
      <c r="R2227" s="91" t="n"/>
      <c r="S2227" s="91" t="n"/>
      <c r="T2227" s="25">
        <f>DAY(C2227)</f>
        <v/>
      </c>
      <c r="U2227" s="22">
        <f>MONTH(C2227)</f>
        <v/>
      </c>
      <c r="V2227" s="91" t="n"/>
      <c r="W2227" s="91" t="n"/>
      <c r="X2227" s="91" t="n"/>
      <c r="Y2227" s="91" t="n"/>
      <c r="Z2227" s="91" t="n"/>
    </row>
    <row r="2228" ht="12.75" customHeight="1" s="117">
      <c r="A2228" s="91" t="n"/>
      <c r="B2228" s="91" t="n"/>
      <c r="C2228" s="91" t="n"/>
      <c r="D2228" s="91" t="n"/>
      <c r="E2228" s="91" t="n"/>
      <c r="F2228" s="91" t="n"/>
      <c r="G2228" s="91" t="n"/>
      <c r="H2228" s="91" t="n"/>
      <c r="I2228" s="91" t="n"/>
      <c r="J2228" s="91" t="n"/>
      <c r="K2228" s="91" t="n"/>
      <c r="L2228" s="91" t="n"/>
      <c r="M2228" s="91" t="n"/>
      <c r="N2228" s="91" t="n"/>
      <c r="O2228" s="91" t="n"/>
      <c r="P2228" s="91" t="n"/>
      <c r="Q2228" s="91" t="n"/>
      <c r="R2228" s="91" t="n"/>
      <c r="S2228" s="91" t="n"/>
      <c r="T2228" s="25">
        <f>DAY(C2228)</f>
        <v/>
      </c>
      <c r="U2228" s="22">
        <f>MONTH(C2228)</f>
        <v/>
      </c>
      <c r="V2228" s="91" t="n"/>
      <c r="W2228" s="91" t="n"/>
      <c r="X2228" s="91" t="n"/>
      <c r="Y2228" s="91" t="n"/>
      <c r="Z2228" s="91" t="n"/>
    </row>
    <row r="2229" ht="12.75" customHeight="1" s="117">
      <c r="A2229" s="91" t="n"/>
      <c r="B2229" s="91" t="n"/>
      <c r="C2229" s="91" t="n"/>
      <c r="D2229" s="91" t="n"/>
      <c r="E2229" s="91" t="n"/>
      <c r="F2229" s="91" t="n"/>
      <c r="G2229" s="91" t="n"/>
      <c r="H2229" s="91" t="n"/>
      <c r="I2229" s="91" t="n"/>
      <c r="J2229" s="91" t="n"/>
      <c r="K2229" s="91" t="n"/>
      <c r="L2229" s="91" t="n"/>
      <c r="M2229" s="91" t="n"/>
      <c r="N2229" s="91" t="n"/>
      <c r="O2229" s="91" t="n"/>
      <c r="P2229" s="91" t="n"/>
      <c r="Q2229" s="91" t="n"/>
      <c r="R2229" s="91" t="n"/>
      <c r="S2229" s="91" t="n"/>
      <c r="T2229" s="25">
        <f>DAY(C2229)</f>
        <v/>
      </c>
      <c r="U2229" s="22">
        <f>MONTH(C2229)</f>
        <v/>
      </c>
      <c r="V2229" s="91" t="n"/>
      <c r="W2229" s="91" t="n"/>
      <c r="X2229" s="91" t="n"/>
      <c r="Y2229" s="91" t="n"/>
      <c r="Z2229" s="91" t="n"/>
    </row>
    <row r="2230" ht="12.75" customHeight="1" s="117">
      <c r="A2230" s="91" t="n"/>
      <c r="B2230" s="91" t="n"/>
      <c r="C2230" s="91" t="n"/>
      <c r="D2230" s="91" t="n"/>
      <c r="E2230" s="91" t="n"/>
      <c r="F2230" s="91" t="n"/>
      <c r="G2230" s="91" t="n"/>
      <c r="H2230" s="91" t="n"/>
      <c r="I2230" s="91" t="n"/>
      <c r="J2230" s="91" t="n"/>
      <c r="K2230" s="91" t="n"/>
      <c r="L2230" s="91" t="n"/>
      <c r="M2230" s="91" t="n"/>
      <c r="N2230" s="91" t="n"/>
      <c r="O2230" s="91" t="n"/>
      <c r="P2230" s="91" t="n"/>
      <c r="Q2230" s="91" t="n"/>
      <c r="R2230" s="91" t="n"/>
      <c r="S2230" s="91" t="n"/>
      <c r="T2230" s="25">
        <f>DAY(C2230)</f>
        <v/>
      </c>
      <c r="U2230" s="22">
        <f>MONTH(C2230)</f>
        <v/>
      </c>
      <c r="V2230" s="91" t="n"/>
      <c r="W2230" s="91" t="n"/>
      <c r="X2230" s="91" t="n"/>
      <c r="Y2230" s="91" t="n"/>
      <c r="Z2230" s="91" t="n"/>
    </row>
    <row r="2231" ht="12.75" customHeight="1" s="117">
      <c r="A2231" s="91" t="n"/>
      <c r="B2231" s="91" t="n"/>
      <c r="C2231" s="91" t="n"/>
      <c r="D2231" s="91" t="n"/>
      <c r="E2231" s="91" t="n"/>
      <c r="F2231" s="91" t="n"/>
      <c r="G2231" s="91" t="n"/>
      <c r="H2231" s="91" t="n"/>
      <c r="I2231" s="91" t="n"/>
      <c r="J2231" s="91" t="n"/>
      <c r="K2231" s="91" t="n"/>
      <c r="L2231" s="91" t="n"/>
      <c r="M2231" s="91" t="n"/>
      <c r="N2231" s="91" t="n"/>
      <c r="O2231" s="91" t="n"/>
      <c r="P2231" s="91" t="n"/>
      <c r="Q2231" s="91" t="n"/>
      <c r="R2231" s="91" t="n"/>
      <c r="S2231" s="91" t="n"/>
      <c r="T2231" s="25">
        <f>DAY(C2231)</f>
        <v/>
      </c>
      <c r="U2231" s="22">
        <f>MONTH(C2231)</f>
        <v/>
      </c>
      <c r="V2231" s="91" t="n"/>
      <c r="W2231" s="91" t="n"/>
      <c r="X2231" s="91" t="n"/>
      <c r="Y2231" s="91" t="n"/>
      <c r="Z2231" s="91" t="n"/>
    </row>
    <row r="2232" ht="12.75" customHeight="1" s="117">
      <c r="A2232" s="91" t="n"/>
      <c r="B2232" s="91" t="n"/>
      <c r="C2232" s="91" t="n"/>
      <c r="D2232" s="91" t="n"/>
      <c r="E2232" s="91" t="n"/>
      <c r="F2232" s="91" t="n"/>
      <c r="G2232" s="91" t="n"/>
      <c r="H2232" s="91" t="n"/>
      <c r="I2232" s="91" t="n"/>
      <c r="J2232" s="91" t="n"/>
      <c r="K2232" s="91" t="n"/>
      <c r="L2232" s="91" t="n"/>
      <c r="M2232" s="91" t="n"/>
      <c r="N2232" s="91" t="n"/>
      <c r="O2232" s="91" t="n"/>
      <c r="P2232" s="91" t="n"/>
      <c r="Q2232" s="91" t="n"/>
      <c r="R2232" s="91" t="n"/>
      <c r="S2232" s="91" t="n"/>
      <c r="T2232" s="25">
        <f>DAY(C2232)</f>
        <v/>
      </c>
      <c r="U2232" s="22">
        <f>MONTH(C2232)</f>
        <v/>
      </c>
      <c r="V2232" s="91" t="n"/>
      <c r="W2232" s="91" t="n"/>
      <c r="X2232" s="91" t="n"/>
      <c r="Y2232" s="91" t="n"/>
      <c r="Z2232" s="91" t="n"/>
    </row>
    <row r="2233" ht="12.75" customHeight="1" s="117">
      <c r="A2233" s="91" t="n"/>
      <c r="B2233" s="91" t="n"/>
      <c r="C2233" s="91" t="n"/>
      <c r="D2233" s="91" t="n"/>
      <c r="E2233" s="91" t="n"/>
      <c r="F2233" s="91" t="n"/>
      <c r="G2233" s="91" t="n"/>
      <c r="H2233" s="91" t="n"/>
      <c r="I2233" s="91" t="n"/>
      <c r="J2233" s="91" t="n"/>
      <c r="K2233" s="91" t="n"/>
      <c r="L2233" s="91" t="n"/>
      <c r="M2233" s="91" t="n"/>
      <c r="N2233" s="91" t="n"/>
      <c r="O2233" s="91" t="n"/>
      <c r="P2233" s="91" t="n"/>
      <c r="Q2233" s="91" t="n"/>
      <c r="R2233" s="91" t="n"/>
      <c r="S2233" s="91" t="n"/>
      <c r="T2233" s="25">
        <f>DAY(C2233)</f>
        <v/>
      </c>
      <c r="U2233" s="22">
        <f>MONTH(C2233)</f>
        <v/>
      </c>
      <c r="V2233" s="91" t="n"/>
      <c r="W2233" s="91" t="n"/>
      <c r="X2233" s="91" t="n"/>
      <c r="Y2233" s="91" t="n"/>
      <c r="Z2233" s="91" t="n"/>
    </row>
    <row r="2234" ht="12.75" customHeight="1" s="117">
      <c r="A2234" s="91" t="n"/>
      <c r="B2234" s="91" t="n"/>
      <c r="C2234" s="91" t="n"/>
      <c r="D2234" s="91" t="n"/>
      <c r="E2234" s="91" t="n"/>
      <c r="F2234" s="91" t="n"/>
      <c r="G2234" s="91" t="n"/>
      <c r="H2234" s="91" t="n"/>
      <c r="I2234" s="91" t="n"/>
      <c r="J2234" s="91" t="n"/>
      <c r="K2234" s="91" t="n"/>
      <c r="L2234" s="91" t="n"/>
      <c r="M2234" s="91" t="n"/>
      <c r="N2234" s="91" t="n"/>
      <c r="O2234" s="91" t="n"/>
      <c r="P2234" s="91" t="n"/>
      <c r="Q2234" s="91" t="n"/>
      <c r="R2234" s="91" t="n"/>
      <c r="S2234" s="91" t="n"/>
      <c r="T2234" s="25">
        <f>DAY(C2234)</f>
        <v/>
      </c>
      <c r="U2234" s="22">
        <f>MONTH(C2234)</f>
        <v/>
      </c>
      <c r="V2234" s="91" t="n"/>
      <c r="W2234" s="91" t="n"/>
      <c r="X2234" s="91" t="n"/>
      <c r="Y2234" s="91" t="n"/>
      <c r="Z2234" s="91" t="n"/>
    </row>
    <row r="2235" ht="12.75" customHeight="1" s="117">
      <c r="A2235" s="91" t="n"/>
      <c r="B2235" s="91" t="n"/>
      <c r="C2235" s="91" t="n"/>
      <c r="D2235" s="91" t="n"/>
      <c r="E2235" s="91" t="n"/>
      <c r="F2235" s="91" t="n"/>
      <c r="G2235" s="91" t="n"/>
      <c r="H2235" s="91" t="n"/>
      <c r="I2235" s="91" t="n"/>
      <c r="J2235" s="91" t="n"/>
      <c r="K2235" s="91" t="n"/>
      <c r="L2235" s="91" t="n"/>
      <c r="M2235" s="91" t="n"/>
      <c r="N2235" s="91" t="n"/>
      <c r="O2235" s="91" t="n"/>
      <c r="P2235" s="91" t="n"/>
      <c r="Q2235" s="91" t="n"/>
      <c r="R2235" s="91" t="n"/>
      <c r="S2235" s="91" t="n"/>
      <c r="T2235" s="25">
        <f>DAY(C2235)</f>
        <v/>
      </c>
      <c r="U2235" s="22">
        <f>MONTH(C2235)</f>
        <v/>
      </c>
      <c r="V2235" s="91" t="n"/>
      <c r="W2235" s="91" t="n"/>
      <c r="X2235" s="91" t="n"/>
      <c r="Y2235" s="91" t="n"/>
      <c r="Z2235" s="91" t="n"/>
    </row>
    <row r="2236" ht="12.75" customHeight="1" s="117">
      <c r="A2236" s="91" t="n"/>
      <c r="B2236" s="91" t="n"/>
      <c r="C2236" s="91" t="n"/>
      <c r="D2236" s="91" t="n"/>
      <c r="E2236" s="91" t="n"/>
      <c r="F2236" s="91" t="n"/>
      <c r="G2236" s="91" t="n"/>
      <c r="H2236" s="91" t="n"/>
      <c r="I2236" s="91" t="n"/>
      <c r="J2236" s="91" t="n"/>
      <c r="K2236" s="91" t="n"/>
      <c r="L2236" s="91" t="n"/>
      <c r="M2236" s="91" t="n"/>
      <c r="N2236" s="91" t="n"/>
      <c r="O2236" s="91" t="n"/>
      <c r="P2236" s="91" t="n"/>
      <c r="Q2236" s="91" t="n"/>
      <c r="R2236" s="91" t="n"/>
      <c r="S2236" s="91" t="n"/>
      <c r="T2236" s="25">
        <f>DAY(C2236)</f>
        <v/>
      </c>
      <c r="U2236" s="22">
        <f>MONTH(C2236)</f>
        <v/>
      </c>
      <c r="V2236" s="91" t="n"/>
      <c r="W2236" s="91" t="n"/>
      <c r="X2236" s="91" t="n"/>
      <c r="Y2236" s="91" t="n"/>
      <c r="Z2236" s="91" t="n"/>
    </row>
    <row r="2237" ht="12.75" customHeight="1" s="117">
      <c r="A2237" s="91" t="n"/>
      <c r="B2237" s="91" t="n"/>
      <c r="C2237" s="91" t="n"/>
      <c r="D2237" s="91" t="n"/>
      <c r="E2237" s="91" t="n"/>
      <c r="F2237" s="91" t="n"/>
      <c r="G2237" s="91" t="n"/>
      <c r="H2237" s="91" t="n"/>
      <c r="I2237" s="91" t="n"/>
      <c r="J2237" s="91" t="n"/>
      <c r="K2237" s="91" t="n"/>
      <c r="L2237" s="91" t="n"/>
      <c r="M2237" s="91" t="n"/>
      <c r="N2237" s="91" t="n"/>
      <c r="O2237" s="91" t="n"/>
      <c r="P2237" s="91" t="n"/>
      <c r="Q2237" s="91" t="n"/>
      <c r="R2237" s="91" t="n"/>
      <c r="S2237" s="91" t="n"/>
      <c r="T2237" s="25">
        <f>DAY(C2237)</f>
        <v/>
      </c>
      <c r="U2237" s="22">
        <f>MONTH(C2237)</f>
        <v/>
      </c>
      <c r="V2237" s="91" t="n"/>
      <c r="W2237" s="91" t="n"/>
      <c r="X2237" s="91" t="n"/>
      <c r="Y2237" s="91" t="n"/>
      <c r="Z2237" s="91" t="n"/>
    </row>
    <row r="2238" ht="12.75" customHeight="1" s="117">
      <c r="A2238" s="91" t="n"/>
      <c r="B2238" s="91" t="n"/>
      <c r="C2238" s="91" t="n"/>
      <c r="D2238" s="91" t="n"/>
      <c r="E2238" s="91" t="n"/>
      <c r="F2238" s="91" t="n"/>
      <c r="G2238" s="91" t="n"/>
      <c r="H2238" s="91" t="n"/>
      <c r="I2238" s="91" t="n"/>
      <c r="J2238" s="91" t="n"/>
      <c r="K2238" s="91" t="n"/>
      <c r="L2238" s="91" t="n"/>
      <c r="M2238" s="91" t="n"/>
      <c r="N2238" s="91" t="n"/>
      <c r="O2238" s="91" t="n"/>
      <c r="P2238" s="91" t="n"/>
      <c r="Q2238" s="91" t="n"/>
      <c r="R2238" s="91" t="n"/>
      <c r="S2238" s="91" t="n"/>
      <c r="T2238" s="25">
        <f>DAY(C2238)</f>
        <v/>
      </c>
      <c r="U2238" s="22">
        <f>MONTH(C2238)</f>
        <v/>
      </c>
      <c r="V2238" s="91" t="n"/>
      <c r="W2238" s="91" t="n"/>
      <c r="X2238" s="91" t="n"/>
      <c r="Y2238" s="91" t="n"/>
      <c r="Z2238" s="91" t="n"/>
    </row>
    <row r="2239" ht="12.75" customHeight="1" s="117">
      <c r="A2239" s="91" t="n"/>
      <c r="B2239" s="91" t="n"/>
      <c r="C2239" s="91" t="n"/>
      <c r="D2239" s="91" t="n"/>
      <c r="E2239" s="91" t="n"/>
      <c r="F2239" s="91" t="n"/>
      <c r="G2239" s="91" t="n"/>
      <c r="H2239" s="91" t="n"/>
      <c r="I2239" s="91" t="n"/>
      <c r="J2239" s="91" t="n"/>
      <c r="K2239" s="91" t="n"/>
      <c r="L2239" s="91" t="n"/>
      <c r="M2239" s="91" t="n"/>
      <c r="N2239" s="91" t="n"/>
      <c r="O2239" s="91" t="n"/>
      <c r="P2239" s="91" t="n"/>
      <c r="Q2239" s="91" t="n"/>
      <c r="R2239" s="91" t="n"/>
      <c r="S2239" s="91" t="n"/>
      <c r="T2239" s="25">
        <f>DAY(C2239)</f>
        <v/>
      </c>
      <c r="U2239" s="22">
        <f>MONTH(C2239)</f>
        <v/>
      </c>
      <c r="V2239" s="91" t="n"/>
      <c r="W2239" s="91" t="n"/>
      <c r="X2239" s="91" t="n"/>
      <c r="Y2239" s="91" t="n"/>
      <c r="Z2239" s="91" t="n"/>
    </row>
    <row r="2240" ht="12.75" customHeight="1" s="117">
      <c r="A2240" s="91" t="n"/>
      <c r="B2240" s="91" t="n"/>
      <c r="C2240" s="91" t="n"/>
      <c r="D2240" s="91" t="n"/>
      <c r="E2240" s="91" t="n"/>
      <c r="F2240" s="91" t="n"/>
      <c r="G2240" s="91" t="n"/>
      <c r="H2240" s="91" t="n"/>
      <c r="I2240" s="91" t="n"/>
      <c r="J2240" s="91" t="n"/>
      <c r="K2240" s="91" t="n"/>
      <c r="L2240" s="91" t="n"/>
      <c r="M2240" s="91" t="n"/>
      <c r="N2240" s="91" t="n"/>
      <c r="O2240" s="91" t="n"/>
      <c r="P2240" s="91" t="n"/>
      <c r="Q2240" s="91" t="n"/>
      <c r="R2240" s="91" t="n"/>
      <c r="S2240" s="91" t="n"/>
      <c r="T2240" s="25">
        <f>DAY(C2240)</f>
        <v/>
      </c>
      <c r="U2240" s="22">
        <f>MONTH(C2240)</f>
        <v/>
      </c>
      <c r="V2240" s="91" t="n"/>
      <c r="W2240" s="91" t="n"/>
      <c r="X2240" s="91" t="n"/>
      <c r="Y2240" s="91" t="n"/>
      <c r="Z2240" s="91" t="n"/>
    </row>
    <row r="2241" ht="12.75" customHeight="1" s="117">
      <c r="A2241" s="91" t="n"/>
      <c r="B2241" s="91" t="n"/>
      <c r="C2241" s="91" t="n"/>
      <c r="D2241" s="91" t="n"/>
      <c r="E2241" s="91" t="n"/>
      <c r="F2241" s="91" t="n"/>
      <c r="G2241" s="91" t="n"/>
      <c r="H2241" s="91" t="n"/>
      <c r="I2241" s="91" t="n"/>
      <c r="J2241" s="91" t="n"/>
      <c r="K2241" s="91" t="n"/>
      <c r="L2241" s="91" t="n"/>
      <c r="M2241" s="91" t="n"/>
      <c r="N2241" s="91" t="n"/>
      <c r="O2241" s="91" t="n"/>
      <c r="P2241" s="91" t="n"/>
      <c r="Q2241" s="91" t="n"/>
      <c r="R2241" s="91" t="n"/>
      <c r="S2241" s="91" t="n"/>
      <c r="T2241" s="25">
        <f>DAY(C2241)</f>
        <v/>
      </c>
      <c r="U2241" s="22">
        <f>MONTH(C2241)</f>
        <v/>
      </c>
      <c r="V2241" s="91" t="n"/>
      <c r="W2241" s="91" t="n"/>
      <c r="X2241" s="91" t="n"/>
      <c r="Y2241" s="91" t="n"/>
      <c r="Z2241" s="91" t="n"/>
    </row>
    <row r="2242" ht="12.75" customHeight="1" s="117">
      <c r="A2242" s="91" t="n"/>
      <c r="B2242" s="91" t="n"/>
      <c r="C2242" s="91" t="n"/>
      <c r="D2242" s="91" t="n"/>
      <c r="E2242" s="91" t="n"/>
      <c r="F2242" s="91" t="n"/>
      <c r="G2242" s="91" t="n"/>
      <c r="H2242" s="91" t="n"/>
      <c r="I2242" s="91" t="n"/>
      <c r="J2242" s="91" t="n"/>
      <c r="K2242" s="91" t="n"/>
      <c r="L2242" s="91" t="n"/>
      <c r="M2242" s="91" t="n"/>
      <c r="N2242" s="91" t="n"/>
      <c r="O2242" s="91" t="n"/>
      <c r="P2242" s="91" t="n"/>
      <c r="Q2242" s="91" t="n"/>
      <c r="R2242" s="91" t="n"/>
      <c r="S2242" s="91" t="n"/>
      <c r="T2242" s="25">
        <f>DAY(C2242)</f>
        <v/>
      </c>
      <c r="U2242" s="22">
        <f>MONTH(C2242)</f>
        <v/>
      </c>
      <c r="V2242" s="91" t="n"/>
      <c r="W2242" s="91" t="n"/>
      <c r="X2242" s="91" t="n"/>
      <c r="Y2242" s="91" t="n"/>
      <c r="Z2242" s="91" t="n"/>
    </row>
    <row r="2243" ht="12.75" customHeight="1" s="117">
      <c r="A2243" s="91" t="n"/>
      <c r="B2243" s="91" t="n"/>
      <c r="C2243" s="91" t="n"/>
      <c r="D2243" s="91" t="n"/>
      <c r="E2243" s="91" t="n"/>
      <c r="F2243" s="91" t="n"/>
      <c r="G2243" s="91" t="n"/>
      <c r="H2243" s="91" t="n"/>
      <c r="I2243" s="91" t="n"/>
      <c r="J2243" s="91" t="n"/>
      <c r="K2243" s="91" t="n"/>
      <c r="L2243" s="91" t="n"/>
      <c r="M2243" s="91" t="n"/>
      <c r="N2243" s="91" t="n"/>
      <c r="O2243" s="91" t="n"/>
      <c r="P2243" s="91" t="n"/>
      <c r="Q2243" s="91" t="n"/>
      <c r="R2243" s="91" t="n"/>
      <c r="S2243" s="91" t="n"/>
      <c r="T2243" s="25">
        <f>DAY(C2243)</f>
        <v/>
      </c>
      <c r="U2243" s="22">
        <f>MONTH(C2243)</f>
        <v/>
      </c>
      <c r="V2243" s="91" t="n"/>
      <c r="W2243" s="91" t="n"/>
      <c r="X2243" s="91" t="n"/>
      <c r="Y2243" s="91" t="n"/>
      <c r="Z2243" s="91" t="n"/>
    </row>
    <row r="2244" ht="12.75" customHeight="1" s="117">
      <c r="A2244" s="91" t="n"/>
      <c r="B2244" s="91" t="n"/>
      <c r="C2244" s="91" t="n"/>
      <c r="D2244" s="91" t="n"/>
      <c r="E2244" s="91" t="n"/>
      <c r="F2244" s="91" t="n"/>
      <c r="G2244" s="91" t="n"/>
      <c r="H2244" s="91" t="n"/>
      <c r="I2244" s="91" t="n"/>
      <c r="J2244" s="91" t="n"/>
      <c r="K2244" s="91" t="n"/>
      <c r="L2244" s="91" t="n"/>
      <c r="M2244" s="91" t="n"/>
      <c r="N2244" s="91" t="n"/>
      <c r="O2244" s="91" t="n"/>
      <c r="P2244" s="91" t="n"/>
      <c r="Q2244" s="91" t="n"/>
      <c r="R2244" s="91" t="n"/>
      <c r="S2244" s="91" t="n"/>
      <c r="T2244" s="25">
        <f>DAY(C2244)</f>
        <v/>
      </c>
      <c r="U2244" s="22">
        <f>MONTH(C2244)</f>
        <v/>
      </c>
      <c r="V2244" s="91" t="n"/>
      <c r="W2244" s="91" t="n"/>
      <c r="X2244" s="91" t="n"/>
      <c r="Y2244" s="91" t="n"/>
      <c r="Z2244" s="91" t="n"/>
    </row>
    <row r="2245" ht="12.75" customHeight="1" s="117">
      <c r="A2245" s="91" t="n"/>
      <c r="B2245" s="91" t="n"/>
      <c r="C2245" s="91" t="n"/>
      <c r="D2245" s="91" t="n"/>
      <c r="E2245" s="91" t="n"/>
      <c r="F2245" s="91" t="n"/>
      <c r="G2245" s="91" t="n"/>
      <c r="H2245" s="91" t="n"/>
      <c r="I2245" s="91" t="n"/>
      <c r="J2245" s="91" t="n"/>
      <c r="K2245" s="91" t="n"/>
      <c r="L2245" s="91" t="n"/>
      <c r="M2245" s="91" t="n"/>
      <c r="N2245" s="91" t="n"/>
      <c r="O2245" s="91" t="n"/>
      <c r="P2245" s="91" t="n"/>
      <c r="Q2245" s="91" t="n"/>
      <c r="R2245" s="91" t="n"/>
      <c r="S2245" s="91" t="n"/>
      <c r="T2245" s="25">
        <f>DAY(C2245)</f>
        <v/>
      </c>
      <c r="U2245" s="22">
        <f>MONTH(C2245)</f>
        <v/>
      </c>
      <c r="V2245" s="91" t="n"/>
      <c r="W2245" s="91" t="n"/>
      <c r="X2245" s="91" t="n"/>
      <c r="Y2245" s="91" t="n"/>
      <c r="Z2245" s="91" t="n"/>
    </row>
    <row r="2246" ht="12.75" customHeight="1" s="117">
      <c r="A2246" s="91" t="n"/>
      <c r="B2246" s="91" t="n"/>
      <c r="C2246" s="91" t="n"/>
      <c r="D2246" s="91" t="n"/>
      <c r="E2246" s="91" t="n"/>
      <c r="F2246" s="91" t="n"/>
      <c r="G2246" s="91" t="n"/>
      <c r="H2246" s="91" t="n"/>
      <c r="I2246" s="91" t="n"/>
      <c r="J2246" s="91" t="n"/>
      <c r="K2246" s="91" t="n"/>
      <c r="L2246" s="91" t="n"/>
      <c r="M2246" s="91" t="n"/>
      <c r="N2246" s="91" t="n"/>
      <c r="O2246" s="91" t="n"/>
      <c r="P2246" s="91" t="n"/>
      <c r="Q2246" s="91" t="n"/>
      <c r="R2246" s="91" t="n"/>
      <c r="S2246" s="91" t="n"/>
      <c r="T2246" s="25">
        <f>DAY(C2246)</f>
        <v/>
      </c>
      <c r="U2246" s="22">
        <f>MONTH(C2246)</f>
        <v/>
      </c>
      <c r="V2246" s="91" t="n"/>
      <c r="W2246" s="91" t="n"/>
      <c r="X2246" s="91" t="n"/>
      <c r="Y2246" s="91" t="n"/>
      <c r="Z2246" s="91" t="n"/>
    </row>
    <row r="2247" ht="12.75" customHeight="1" s="117">
      <c r="A2247" s="91" t="n"/>
      <c r="B2247" s="91" t="n"/>
      <c r="C2247" s="91" t="n"/>
      <c r="D2247" s="91" t="n"/>
      <c r="E2247" s="91" t="n"/>
      <c r="F2247" s="91" t="n"/>
      <c r="G2247" s="91" t="n"/>
      <c r="H2247" s="91" t="n"/>
      <c r="I2247" s="91" t="n"/>
      <c r="J2247" s="91" t="n"/>
      <c r="K2247" s="91" t="n"/>
      <c r="L2247" s="91" t="n"/>
      <c r="M2247" s="91" t="n"/>
      <c r="N2247" s="91" t="n"/>
      <c r="O2247" s="91" t="n"/>
      <c r="P2247" s="91" t="n"/>
      <c r="Q2247" s="91" t="n"/>
      <c r="R2247" s="91" t="n"/>
      <c r="S2247" s="91" t="n"/>
      <c r="T2247" s="25">
        <f>DAY(C2247)</f>
        <v/>
      </c>
      <c r="U2247" s="22">
        <f>MONTH(C2247)</f>
        <v/>
      </c>
      <c r="V2247" s="91" t="n"/>
      <c r="W2247" s="91" t="n"/>
      <c r="X2247" s="91" t="n"/>
      <c r="Y2247" s="91" t="n"/>
      <c r="Z2247" s="91" t="n"/>
    </row>
    <row r="2248" ht="12.75" customHeight="1" s="117">
      <c r="A2248" s="91" t="n"/>
      <c r="B2248" s="91" t="n"/>
      <c r="C2248" s="91" t="n"/>
      <c r="D2248" s="91" t="n"/>
      <c r="E2248" s="91" t="n"/>
      <c r="F2248" s="91" t="n"/>
      <c r="G2248" s="91" t="n"/>
      <c r="H2248" s="91" t="n"/>
      <c r="I2248" s="91" t="n"/>
      <c r="J2248" s="91" t="n"/>
      <c r="K2248" s="91" t="n"/>
      <c r="L2248" s="91" t="n"/>
      <c r="M2248" s="91" t="n"/>
      <c r="N2248" s="91" t="n"/>
      <c r="O2248" s="91" t="n"/>
      <c r="P2248" s="91" t="n"/>
      <c r="Q2248" s="91" t="n"/>
      <c r="R2248" s="91" t="n"/>
      <c r="S2248" s="91" t="n"/>
      <c r="T2248" s="25">
        <f>DAY(C2248)</f>
        <v/>
      </c>
      <c r="U2248" s="22">
        <f>MONTH(C2248)</f>
        <v/>
      </c>
      <c r="V2248" s="91" t="n"/>
      <c r="W2248" s="91" t="n"/>
      <c r="X2248" s="91" t="n"/>
      <c r="Y2248" s="91" t="n"/>
      <c r="Z2248" s="91" t="n"/>
    </row>
    <row r="2249" ht="12.75" customHeight="1" s="117">
      <c r="A2249" s="91" t="n"/>
      <c r="B2249" s="91" t="n"/>
      <c r="C2249" s="91" t="n"/>
      <c r="D2249" s="91" t="n"/>
      <c r="E2249" s="91" t="n"/>
      <c r="F2249" s="91" t="n"/>
      <c r="G2249" s="91" t="n"/>
      <c r="H2249" s="91" t="n"/>
      <c r="I2249" s="91" t="n"/>
      <c r="J2249" s="91" t="n"/>
      <c r="K2249" s="91" t="n"/>
      <c r="L2249" s="91" t="n"/>
      <c r="M2249" s="91" t="n"/>
      <c r="N2249" s="91" t="n"/>
      <c r="O2249" s="91" t="n"/>
      <c r="P2249" s="91" t="n"/>
      <c r="Q2249" s="91" t="n"/>
      <c r="R2249" s="91" t="n"/>
      <c r="S2249" s="91" t="n"/>
      <c r="T2249" s="25">
        <f>DAY(C2249)</f>
        <v/>
      </c>
      <c r="U2249" s="22">
        <f>MONTH(C2249)</f>
        <v/>
      </c>
      <c r="V2249" s="91" t="n"/>
      <c r="W2249" s="91" t="n"/>
      <c r="X2249" s="91" t="n"/>
      <c r="Y2249" s="91" t="n"/>
      <c r="Z2249" s="91" t="n"/>
    </row>
    <row r="2250" ht="12.75" customHeight="1" s="117">
      <c r="A2250" s="91" t="n"/>
      <c r="B2250" s="91" t="n"/>
      <c r="C2250" s="91" t="n"/>
      <c r="D2250" s="91" t="n"/>
      <c r="E2250" s="91" t="n"/>
      <c r="F2250" s="91" t="n"/>
      <c r="G2250" s="91" t="n"/>
      <c r="H2250" s="91" t="n"/>
      <c r="I2250" s="91" t="n"/>
      <c r="J2250" s="91" t="n"/>
      <c r="K2250" s="91" t="n"/>
      <c r="L2250" s="91" t="n"/>
      <c r="M2250" s="91" t="n"/>
      <c r="N2250" s="91" t="n"/>
      <c r="O2250" s="91" t="n"/>
      <c r="P2250" s="91" t="n"/>
      <c r="Q2250" s="91" t="n"/>
      <c r="R2250" s="91" t="n"/>
      <c r="S2250" s="91" t="n"/>
      <c r="T2250" s="25">
        <f>DAY(C2250)</f>
        <v/>
      </c>
      <c r="U2250" s="22">
        <f>MONTH(C2250)</f>
        <v/>
      </c>
      <c r="V2250" s="91" t="n"/>
      <c r="W2250" s="91" t="n"/>
      <c r="X2250" s="91" t="n"/>
      <c r="Y2250" s="91" t="n"/>
      <c r="Z2250" s="91" t="n"/>
    </row>
    <row r="2251" ht="12.75" customHeight="1" s="117">
      <c r="A2251" s="91" t="n"/>
      <c r="B2251" s="91" t="n"/>
      <c r="C2251" s="91" t="n"/>
      <c r="D2251" s="91" t="n"/>
      <c r="E2251" s="91" t="n"/>
      <c r="F2251" s="91" t="n"/>
      <c r="G2251" s="91" t="n"/>
      <c r="H2251" s="91" t="n"/>
      <c r="I2251" s="91" t="n"/>
      <c r="J2251" s="91" t="n"/>
      <c r="K2251" s="91" t="n"/>
      <c r="L2251" s="91" t="n"/>
      <c r="M2251" s="91" t="n"/>
      <c r="N2251" s="91" t="n"/>
      <c r="O2251" s="91" t="n"/>
      <c r="P2251" s="91" t="n"/>
      <c r="Q2251" s="91" t="n"/>
      <c r="R2251" s="91" t="n"/>
      <c r="S2251" s="91" t="n"/>
      <c r="T2251" s="25">
        <f>DAY(C2251)</f>
        <v/>
      </c>
      <c r="U2251" s="22">
        <f>MONTH(C2251)</f>
        <v/>
      </c>
      <c r="V2251" s="91" t="n"/>
      <c r="W2251" s="91" t="n"/>
      <c r="X2251" s="91" t="n"/>
      <c r="Y2251" s="91" t="n"/>
      <c r="Z2251" s="91" t="n"/>
    </row>
    <row r="2252" ht="12.75" customHeight="1" s="117">
      <c r="A2252" s="91" t="n"/>
      <c r="B2252" s="91" t="n"/>
      <c r="C2252" s="91" t="n"/>
      <c r="D2252" s="91" t="n"/>
      <c r="E2252" s="91" t="n"/>
      <c r="F2252" s="91" t="n"/>
      <c r="G2252" s="91" t="n"/>
      <c r="H2252" s="91" t="n"/>
      <c r="I2252" s="91" t="n"/>
      <c r="J2252" s="91" t="n"/>
      <c r="K2252" s="91" t="n"/>
      <c r="L2252" s="91" t="n"/>
      <c r="M2252" s="91" t="n"/>
      <c r="N2252" s="91" t="n"/>
      <c r="O2252" s="91" t="n"/>
      <c r="P2252" s="91" t="n"/>
      <c r="Q2252" s="91" t="n"/>
      <c r="R2252" s="91" t="n"/>
      <c r="S2252" s="91" t="n"/>
      <c r="T2252" s="25">
        <f>DAY(C2252)</f>
        <v/>
      </c>
      <c r="U2252" s="22">
        <f>MONTH(C2252)</f>
        <v/>
      </c>
      <c r="V2252" s="91" t="n"/>
      <c r="W2252" s="91" t="n"/>
      <c r="X2252" s="91" t="n"/>
      <c r="Y2252" s="91" t="n"/>
      <c r="Z2252" s="91" t="n"/>
    </row>
    <row r="2253" ht="12.75" customHeight="1" s="117">
      <c r="A2253" s="91" t="n"/>
      <c r="B2253" s="91" t="n"/>
      <c r="C2253" s="91" t="n"/>
      <c r="D2253" s="91" t="n"/>
      <c r="E2253" s="91" t="n"/>
      <c r="F2253" s="91" t="n"/>
      <c r="G2253" s="91" t="n"/>
      <c r="H2253" s="91" t="n"/>
      <c r="I2253" s="91" t="n"/>
      <c r="J2253" s="91" t="n"/>
      <c r="K2253" s="91" t="n"/>
      <c r="L2253" s="91" t="n"/>
      <c r="M2253" s="91" t="n"/>
      <c r="N2253" s="91" t="n"/>
      <c r="O2253" s="91" t="n"/>
      <c r="P2253" s="91" t="n"/>
      <c r="Q2253" s="91" t="n"/>
      <c r="R2253" s="91" t="n"/>
      <c r="S2253" s="91" t="n"/>
      <c r="T2253" s="25">
        <f>DAY(C2253)</f>
        <v/>
      </c>
      <c r="U2253" s="22">
        <f>MONTH(C2253)</f>
        <v/>
      </c>
      <c r="V2253" s="91" t="n"/>
      <c r="W2253" s="91" t="n"/>
      <c r="X2253" s="91" t="n"/>
      <c r="Y2253" s="91" t="n"/>
      <c r="Z2253" s="91" t="n"/>
    </row>
    <row r="2254" ht="12.75" customHeight="1" s="117">
      <c r="A2254" s="91" t="n"/>
      <c r="B2254" s="91" t="n"/>
      <c r="C2254" s="91" t="n"/>
      <c r="D2254" s="91" t="n"/>
      <c r="E2254" s="91" t="n"/>
      <c r="F2254" s="91" t="n"/>
      <c r="G2254" s="91" t="n"/>
      <c r="H2254" s="91" t="n"/>
      <c r="I2254" s="91" t="n"/>
      <c r="J2254" s="91" t="n"/>
      <c r="K2254" s="91" t="n"/>
      <c r="L2254" s="91" t="n"/>
      <c r="M2254" s="91" t="n"/>
      <c r="N2254" s="91" t="n"/>
      <c r="O2254" s="91" t="n"/>
      <c r="P2254" s="91" t="n"/>
      <c r="Q2254" s="91" t="n"/>
      <c r="R2254" s="91" t="n"/>
      <c r="S2254" s="91" t="n"/>
      <c r="T2254" s="25">
        <f>DAY(C2254)</f>
        <v/>
      </c>
      <c r="U2254" s="22">
        <f>MONTH(C2254)</f>
        <v/>
      </c>
      <c r="V2254" s="91" t="n"/>
      <c r="W2254" s="91" t="n"/>
      <c r="X2254" s="91" t="n"/>
      <c r="Y2254" s="91" t="n"/>
      <c r="Z2254" s="91" t="n"/>
    </row>
    <row r="2255" ht="12.75" customHeight="1" s="117">
      <c r="A2255" s="91" t="n"/>
      <c r="B2255" s="91" t="n"/>
      <c r="C2255" s="91" t="n"/>
      <c r="D2255" s="91" t="n"/>
      <c r="E2255" s="91" t="n"/>
      <c r="F2255" s="91" t="n"/>
      <c r="G2255" s="91" t="n"/>
      <c r="H2255" s="91" t="n"/>
      <c r="I2255" s="91" t="n"/>
      <c r="J2255" s="91" t="n"/>
      <c r="K2255" s="91" t="n"/>
      <c r="L2255" s="91" t="n"/>
      <c r="M2255" s="91" t="n"/>
      <c r="N2255" s="91" t="n"/>
      <c r="O2255" s="91" t="n"/>
      <c r="P2255" s="91" t="n"/>
      <c r="Q2255" s="91" t="n"/>
      <c r="R2255" s="91" t="n"/>
      <c r="S2255" s="91" t="n"/>
      <c r="T2255" s="25">
        <f>DAY(C2255)</f>
        <v/>
      </c>
      <c r="U2255" s="22">
        <f>MONTH(C2255)</f>
        <v/>
      </c>
      <c r="V2255" s="91" t="n"/>
      <c r="W2255" s="91" t="n"/>
      <c r="X2255" s="91" t="n"/>
      <c r="Y2255" s="91" t="n"/>
      <c r="Z2255" s="91" t="n"/>
    </row>
    <row r="2256" ht="12.75" customHeight="1" s="117">
      <c r="A2256" s="91" t="n"/>
      <c r="B2256" s="91" t="n"/>
      <c r="C2256" s="91" t="n"/>
      <c r="D2256" s="91" t="n"/>
      <c r="E2256" s="91" t="n"/>
      <c r="F2256" s="91" t="n"/>
      <c r="G2256" s="91" t="n"/>
      <c r="H2256" s="91" t="n"/>
      <c r="I2256" s="91" t="n"/>
      <c r="J2256" s="91" t="n"/>
      <c r="K2256" s="91" t="n"/>
      <c r="L2256" s="91" t="n"/>
      <c r="M2256" s="91" t="n"/>
      <c r="N2256" s="91" t="n"/>
      <c r="O2256" s="91" t="n"/>
      <c r="P2256" s="91" t="n"/>
      <c r="Q2256" s="91" t="n"/>
      <c r="R2256" s="91" t="n"/>
      <c r="S2256" s="91" t="n"/>
      <c r="T2256" s="25">
        <f>DAY(C2256)</f>
        <v/>
      </c>
      <c r="U2256" s="22">
        <f>MONTH(C2256)</f>
        <v/>
      </c>
      <c r="V2256" s="91" t="n"/>
      <c r="W2256" s="91" t="n"/>
      <c r="X2256" s="91" t="n"/>
      <c r="Y2256" s="91" t="n"/>
      <c r="Z2256" s="91" t="n"/>
    </row>
    <row r="2257" ht="12.75" customHeight="1" s="117">
      <c r="A2257" s="91" t="n"/>
      <c r="B2257" s="91" t="n"/>
      <c r="C2257" s="91" t="n"/>
      <c r="D2257" s="91" t="n"/>
      <c r="E2257" s="91" t="n"/>
      <c r="F2257" s="91" t="n"/>
      <c r="G2257" s="91" t="n"/>
      <c r="H2257" s="91" t="n"/>
      <c r="I2257" s="91" t="n"/>
      <c r="J2257" s="91" t="n"/>
      <c r="K2257" s="91" t="n"/>
      <c r="L2257" s="91" t="n"/>
      <c r="M2257" s="91" t="n"/>
      <c r="N2257" s="91" t="n"/>
      <c r="O2257" s="91" t="n"/>
      <c r="P2257" s="91" t="n"/>
      <c r="Q2257" s="91" t="n"/>
      <c r="R2257" s="91" t="n"/>
      <c r="S2257" s="91" t="n"/>
      <c r="T2257" s="25">
        <f>DAY(C2257)</f>
        <v/>
      </c>
      <c r="U2257" s="22">
        <f>MONTH(C2257)</f>
        <v/>
      </c>
      <c r="V2257" s="91" t="n"/>
      <c r="W2257" s="91" t="n"/>
      <c r="X2257" s="91" t="n"/>
      <c r="Y2257" s="91" t="n"/>
      <c r="Z2257" s="91" t="n"/>
    </row>
    <row r="2258" ht="12.75" customHeight="1" s="117">
      <c r="A2258" s="91" t="n"/>
      <c r="B2258" s="91" t="n"/>
      <c r="C2258" s="91" t="n"/>
      <c r="D2258" s="91" t="n"/>
      <c r="E2258" s="91" t="n"/>
      <c r="F2258" s="91" t="n"/>
      <c r="G2258" s="91" t="n"/>
      <c r="H2258" s="91" t="n"/>
      <c r="I2258" s="91" t="n"/>
      <c r="J2258" s="91" t="n"/>
      <c r="K2258" s="91" t="n"/>
      <c r="L2258" s="91" t="n"/>
      <c r="M2258" s="91" t="n"/>
      <c r="N2258" s="91" t="n"/>
      <c r="O2258" s="91" t="n"/>
      <c r="P2258" s="91" t="n"/>
      <c r="Q2258" s="91" t="n"/>
      <c r="R2258" s="91" t="n"/>
      <c r="S2258" s="91" t="n"/>
      <c r="T2258" s="25">
        <f>DAY(C2258)</f>
        <v/>
      </c>
      <c r="U2258" s="22">
        <f>MONTH(C2258)</f>
        <v/>
      </c>
      <c r="V2258" s="91" t="n"/>
      <c r="W2258" s="91" t="n"/>
      <c r="X2258" s="91" t="n"/>
      <c r="Y2258" s="91" t="n"/>
      <c r="Z2258" s="91" t="n"/>
    </row>
    <row r="2259" ht="12.75" customHeight="1" s="117">
      <c r="A2259" s="91" t="n"/>
      <c r="B2259" s="91" t="n"/>
      <c r="C2259" s="91" t="n"/>
      <c r="D2259" s="91" t="n"/>
      <c r="E2259" s="91" t="n"/>
      <c r="F2259" s="91" t="n"/>
      <c r="G2259" s="91" t="n"/>
      <c r="H2259" s="91" t="n"/>
      <c r="I2259" s="91" t="n"/>
      <c r="J2259" s="91" t="n"/>
      <c r="K2259" s="91" t="n"/>
      <c r="L2259" s="91" t="n"/>
      <c r="M2259" s="91" t="n"/>
      <c r="N2259" s="91" t="n"/>
      <c r="O2259" s="91" t="n"/>
      <c r="P2259" s="91" t="n"/>
      <c r="Q2259" s="91" t="n"/>
      <c r="R2259" s="91" t="n"/>
      <c r="S2259" s="91" t="n"/>
      <c r="T2259" s="25">
        <f>DAY(C2259)</f>
        <v/>
      </c>
      <c r="U2259" s="22">
        <f>MONTH(C2259)</f>
        <v/>
      </c>
      <c r="V2259" s="91" t="n"/>
      <c r="W2259" s="91" t="n"/>
      <c r="X2259" s="91" t="n"/>
      <c r="Y2259" s="91" t="n"/>
      <c r="Z2259" s="91" t="n"/>
    </row>
    <row r="2260" ht="12.75" customHeight="1" s="117">
      <c r="A2260" s="91" t="n"/>
      <c r="B2260" s="91" t="n"/>
      <c r="C2260" s="91" t="n"/>
      <c r="D2260" s="91" t="n"/>
      <c r="E2260" s="91" t="n"/>
      <c r="F2260" s="91" t="n"/>
      <c r="G2260" s="91" t="n"/>
      <c r="H2260" s="91" t="n"/>
      <c r="I2260" s="91" t="n"/>
      <c r="J2260" s="91" t="n"/>
      <c r="K2260" s="91" t="n"/>
      <c r="L2260" s="91" t="n"/>
      <c r="M2260" s="91" t="n"/>
      <c r="N2260" s="91" t="n"/>
      <c r="O2260" s="91" t="n"/>
      <c r="P2260" s="91" t="n"/>
      <c r="Q2260" s="91" t="n"/>
      <c r="R2260" s="91" t="n"/>
      <c r="S2260" s="91" t="n"/>
      <c r="T2260" s="25">
        <f>DAY(C2260)</f>
        <v/>
      </c>
      <c r="U2260" s="22">
        <f>MONTH(C2260)</f>
        <v/>
      </c>
      <c r="V2260" s="91" t="n"/>
      <c r="W2260" s="91" t="n"/>
      <c r="X2260" s="91" t="n"/>
      <c r="Y2260" s="91" t="n"/>
      <c r="Z2260" s="91" t="n"/>
    </row>
    <row r="2261" ht="12.75" customHeight="1" s="117">
      <c r="A2261" s="91" t="n"/>
      <c r="B2261" s="91" t="n"/>
      <c r="C2261" s="91" t="n"/>
      <c r="D2261" s="91" t="n"/>
      <c r="E2261" s="91" t="n"/>
      <c r="F2261" s="91" t="n"/>
      <c r="G2261" s="91" t="n"/>
      <c r="H2261" s="91" t="n"/>
      <c r="I2261" s="91" t="n"/>
      <c r="J2261" s="91" t="n"/>
      <c r="K2261" s="91" t="n"/>
      <c r="L2261" s="91" t="n"/>
      <c r="M2261" s="91" t="n"/>
      <c r="N2261" s="91" t="n"/>
      <c r="O2261" s="91" t="n"/>
      <c r="P2261" s="91" t="n"/>
      <c r="Q2261" s="91" t="n"/>
      <c r="R2261" s="91" t="n"/>
      <c r="S2261" s="91" t="n"/>
      <c r="T2261" s="25">
        <f>DAY(C2261)</f>
        <v/>
      </c>
      <c r="U2261" s="22">
        <f>MONTH(C2261)</f>
        <v/>
      </c>
      <c r="V2261" s="91" t="n"/>
      <c r="W2261" s="91" t="n"/>
      <c r="X2261" s="91" t="n"/>
      <c r="Y2261" s="91" t="n"/>
      <c r="Z2261" s="91" t="n"/>
    </row>
    <row r="2262" ht="12.75" customHeight="1" s="117">
      <c r="A2262" s="91" t="n"/>
      <c r="B2262" s="91" t="n"/>
      <c r="C2262" s="91" t="n"/>
      <c r="D2262" s="91" t="n"/>
      <c r="E2262" s="91" t="n"/>
      <c r="F2262" s="91" t="n"/>
      <c r="G2262" s="91" t="n"/>
      <c r="H2262" s="91" t="n"/>
      <c r="I2262" s="91" t="n"/>
      <c r="J2262" s="91" t="n"/>
      <c r="K2262" s="91" t="n"/>
      <c r="L2262" s="91" t="n"/>
      <c r="M2262" s="91" t="n"/>
      <c r="N2262" s="91" t="n"/>
      <c r="O2262" s="91" t="n"/>
      <c r="P2262" s="91" t="n"/>
      <c r="Q2262" s="91" t="n"/>
      <c r="R2262" s="91" t="n"/>
      <c r="S2262" s="91" t="n"/>
      <c r="T2262" s="25">
        <f>DAY(C2262)</f>
        <v/>
      </c>
      <c r="U2262" s="22">
        <f>MONTH(C2262)</f>
        <v/>
      </c>
      <c r="V2262" s="91" t="n"/>
      <c r="W2262" s="91" t="n"/>
      <c r="X2262" s="91" t="n"/>
      <c r="Y2262" s="91" t="n"/>
      <c r="Z2262" s="91" t="n"/>
    </row>
    <row r="2263" ht="12.75" customHeight="1" s="117">
      <c r="A2263" s="91" t="n"/>
      <c r="B2263" s="91" t="n"/>
      <c r="C2263" s="91" t="n"/>
      <c r="D2263" s="91" t="n"/>
      <c r="E2263" s="91" t="n"/>
      <c r="F2263" s="91" t="n"/>
      <c r="G2263" s="91" t="n"/>
      <c r="H2263" s="91" t="n"/>
      <c r="I2263" s="91" t="n"/>
      <c r="J2263" s="91" t="n"/>
      <c r="K2263" s="91" t="n"/>
      <c r="L2263" s="91" t="n"/>
      <c r="M2263" s="91" t="n"/>
      <c r="N2263" s="91" t="n"/>
      <c r="O2263" s="91" t="n"/>
      <c r="P2263" s="91" t="n"/>
      <c r="Q2263" s="91" t="n"/>
      <c r="R2263" s="91" t="n"/>
      <c r="S2263" s="91" t="n"/>
      <c r="T2263" s="25">
        <f>DAY(C2263)</f>
        <v/>
      </c>
      <c r="U2263" s="22">
        <f>MONTH(C2263)</f>
        <v/>
      </c>
      <c r="V2263" s="91" t="n"/>
      <c r="W2263" s="91" t="n"/>
      <c r="X2263" s="91" t="n"/>
      <c r="Y2263" s="91" t="n"/>
      <c r="Z2263" s="91" t="n"/>
    </row>
    <row r="2264" ht="12.75" customHeight="1" s="117">
      <c r="A2264" s="91" t="n"/>
      <c r="B2264" s="91" t="n"/>
      <c r="C2264" s="91" t="n"/>
      <c r="D2264" s="91" t="n"/>
      <c r="E2264" s="91" t="n"/>
      <c r="F2264" s="91" t="n"/>
      <c r="G2264" s="91" t="n"/>
      <c r="H2264" s="91" t="n"/>
      <c r="I2264" s="91" t="n"/>
      <c r="J2264" s="91" t="n"/>
      <c r="K2264" s="91" t="n"/>
      <c r="L2264" s="91" t="n"/>
      <c r="M2264" s="91" t="n"/>
      <c r="N2264" s="91" t="n"/>
      <c r="O2264" s="91" t="n"/>
      <c r="P2264" s="91" t="n"/>
      <c r="Q2264" s="91" t="n"/>
      <c r="R2264" s="91" t="n"/>
      <c r="S2264" s="91" t="n"/>
      <c r="T2264" s="25">
        <f>DAY(C2264)</f>
        <v/>
      </c>
      <c r="U2264" s="22">
        <f>MONTH(C2264)</f>
        <v/>
      </c>
      <c r="V2264" s="91" t="n"/>
      <c r="W2264" s="91" t="n"/>
      <c r="X2264" s="91" t="n"/>
      <c r="Y2264" s="91" t="n"/>
      <c r="Z2264" s="91" t="n"/>
    </row>
    <row r="2265" ht="12.75" customHeight="1" s="117">
      <c r="A2265" s="91" t="n"/>
      <c r="B2265" s="91" t="n"/>
      <c r="C2265" s="91" t="n"/>
      <c r="D2265" s="91" t="n"/>
      <c r="E2265" s="91" t="n"/>
      <c r="F2265" s="91" t="n"/>
      <c r="G2265" s="91" t="n"/>
      <c r="H2265" s="91" t="n"/>
      <c r="I2265" s="91" t="n"/>
      <c r="J2265" s="91" t="n"/>
      <c r="K2265" s="91" t="n"/>
      <c r="L2265" s="91" t="n"/>
      <c r="M2265" s="91" t="n"/>
      <c r="N2265" s="91" t="n"/>
      <c r="O2265" s="91" t="n"/>
      <c r="P2265" s="91" t="n"/>
      <c r="Q2265" s="91" t="n"/>
      <c r="R2265" s="91" t="n"/>
      <c r="S2265" s="91" t="n"/>
      <c r="T2265" s="25">
        <f>DAY(C2265)</f>
        <v/>
      </c>
      <c r="U2265" s="22">
        <f>MONTH(C2265)</f>
        <v/>
      </c>
      <c r="V2265" s="91" t="n"/>
      <c r="W2265" s="91" t="n"/>
      <c r="X2265" s="91" t="n"/>
      <c r="Y2265" s="91" t="n"/>
      <c r="Z2265" s="91" t="n"/>
    </row>
    <row r="2266" ht="12.75" customHeight="1" s="117">
      <c r="A2266" s="91" t="n"/>
      <c r="B2266" s="91" t="n"/>
      <c r="C2266" s="91" t="n"/>
      <c r="D2266" s="91" t="n"/>
      <c r="E2266" s="91" t="n"/>
      <c r="F2266" s="91" t="n"/>
      <c r="G2266" s="91" t="n"/>
      <c r="H2266" s="91" t="n"/>
      <c r="I2266" s="91" t="n"/>
      <c r="J2266" s="91" t="n"/>
      <c r="K2266" s="91" t="n"/>
      <c r="L2266" s="91" t="n"/>
      <c r="M2266" s="91" t="n"/>
      <c r="N2266" s="91" t="n"/>
      <c r="O2266" s="91" t="n"/>
      <c r="P2266" s="91" t="n"/>
      <c r="Q2266" s="91" t="n"/>
      <c r="R2266" s="91" t="n"/>
      <c r="S2266" s="91" t="n"/>
      <c r="T2266" s="25">
        <f>DAY(C2266)</f>
        <v/>
      </c>
      <c r="U2266" s="22">
        <f>MONTH(C2266)</f>
        <v/>
      </c>
      <c r="V2266" s="91" t="n"/>
      <c r="W2266" s="91" t="n"/>
      <c r="X2266" s="91" t="n"/>
      <c r="Y2266" s="91" t="n"/>
      <c r="Z2266" s="91" t="n"/>
    </row>
    <row r="2267" ht="12.75" customHeight="1" s="117">
      <c r="A2267" s="91" t="n"/>
      <c r="B2267" s="91" t="n"/>
      <c r="C2267" s="91" t="n"/>
      <c r="D2267" s="91" t="n"/>
      <c r="E2267" s="91" t="n"/>
      <c r="F2267" s="91" t="n"/>
      <c r="G2267" s="91" t="n"/>
      <c r="H2267" s="91" t="n"/>
      <c r="I2267" s="91" t="n"/>
      <c r="J2267" s="91" t="n"/>
      <c r="K2267" s="91" t="n"/>
      <c r="L2267" s="91" t="n"/>
      <c r="M2267" s="91" t="n"/>
      <c r="N2267" s="91" t="n"/>
      <c r="O2267" s="91" t="n"/>
      <c r="P2267" s="91" t="n"/>
      <c r="Q2267" s="91" t="n"/>
      <c r="R2267" s="91" t="n"/>
      <c r="S2267" s="91" t="n"/>
      <c r="T2267" s="25">
        <f>DAY(C2267)</f>
        <v/>
      </c>
      <c r="U2267" s="22">
        <f>MONTH(C2267)</f>
        <v/>
      </c>
      <c r="V2267" s="91" t="n"/>
      <c r="W2267" s="91" t="n"/>
      <c r="X2267" s="91" t="n"/>
      <c r="Y2267" s="91" t="n"/>
      <c r="Z2267" s="91" t="n"/>
    </row>
    <row r="2268" ht="12.75" customHeight="1" s="117">
      <c r="A2268" s="91" t="n"/>
      <c r="B2268" s="91" t="n"/>
      <c r="C2268" s="91" t="n"/>
      <c r="D2268" s="91" t="n"/>
      <c r="E2268" s="91" t="n"/>
      <c r="F2268" s="91" t="n"/>
      <c r="G2268" s="91" t="n"/>
      <c r="H2268" s="91" t="n"/>
      <c r="I2268" s="91" t="n"/>
      <c r="J2268" s="91" t="n"/>
      <c r="K2268" s="91" t="n"/>
      <c r="L2268" s="91" t="n"/>
      <c r="M2268" s="91" t="n"/>
      <c r="N2268" s="91" t="n"/>
      <c r="O2268" s="91" t="n"/>
      <c r="P2268" s="91" t="n"/>
      <c r="Q2268" s="91" t="n"/>
      <c r="R2268" s="91" t="n"/>
      <c r="S2268" s="91" t="n"/>
      <c r="T2268" s="25">
        <f>DAY(C2268)</f>
        <v/>
      </c>
      <c r="U2268" s="22">
        <f>MONTH(C2268)</f>
        <v/>
      </c>
      <c r="V2268" s="91" t="n"/>
      <c r="W2268" s="91" t="n"/>
      <c r="X2268" s="91" t="n"/>
      <c r="Y2268" s="91" t="n"/>
      <c r="Z2268" s="91" t="n"/>
    </row>
    <row r="2269" ht="12.75" customHeight="1" s="117">
      <c r="A2269" s="91" t="n"/>
      <c r="B2269" s="91" t="n"/>
      <c r="C2269" s="91" t="n"/>
      <c r="D2269" s="91" t="n"/>
      <c r="E2269" s="91" t="n"/>
      <c r="F2269" s="91" t="n"/>
      <c r="G2269" s="91" t="n"/>
      <c r="H2269" s="91" t="n"/>
      <c r="I2269" s="91" t="n"/>
      <c r="J2269" s="91" t="n"/>
      <c r="K2269" s="91" t="n"/>
      <c r="L2269" s="91" t="n"/>
      <c r="M2269" s="91" t="n"/>
      <c r="N2269" s="91" t="n"/>
      <c r="O2269" s="91" t="n"/>
      <c r="P2269" s="91" t="n"/>
      <c r="Q2269" s="91" t="n"/>
      <c r="R2269" s="91" t="n"/>
      <c r="S2269" s="91" t="n"/>
      <c r="T2269" s="25">
        <f>DAY(C2269)</f>
        <v/>
      </c>
      <c r="U2269" s="22">
        <f>MONTH(C2269)</f>
        <v/>
      </c>
      <c r="V2269" s="91" t="n"/>
      <c r="W2269" s="91" t="n"/>
      <c r="X2269" s="91" t="n"/>
      <c r="Y2269" s="91" t="n"/>
      <c r="Z2269" s="91" t="n"/>
    </row>
    <row r="2270" ht="12.75" customHeight="1" s="117">
      <c r="A2270" s="91" t="n"/>
      <c r="B2270" s="91" t="n"/>
      <c r="C2270" s="91" t="n"/>
      <c r="D2270" s="91" t="n"/>
      <c r="E2270" s="91" t="n"/>
      <c r="F2270" s="91" t="n"/>
      <c r="G2270" s="91" t="n"/>
      <c r="H2270" s="91" t="n"/>
      <c r="I2270" s="91" t="n"/>
      <c r="J2270" s="91" t="n"/>
      <c r="K2270" s="91" t="n"/>
      <c r="L2270" s="91" t="n"/>
      <c r="M2270" s="91" t="n"/>
      <c r="N2270" s="91" t="n"/>
      <c r="O2270" s="91" t="n"/>
      <c r="P2270" s="91" t="n"/>
      <c r="Q2270" s="91" t="n"/>
      <c r="R2270" s="91" t="n"/>
      <c r="S2270" s="91" t="n"/>
      <c r="T2270" s="25">
        <f>DAY(C2270)</f>
        <v/>
      </c>
      <c r="U2270" s="22">
        <f>MONTH(C2270)</f>
        <v/>
      </c>
      <c r="V2270" s="91" t="n"/>
      <c r="W2270" s="91" t="n"/>
      <c r="X2270" s="91" t="n"/>
      <c r="Y2270" s="91" t="n"/>
      <c r="Z2270" s="91" t="n"/>
    </row>
    <row r="2271" ht="12.75" customHeight="1" s="117">
      <c r="A2271" s="91" t="n"/>
      <c r="B2271" s="91" t="n"/>
      <c r="C2271" s="91" t="n"/>
      <c r="D2271" s="91" t="n"/>
      <c r="E2271" s="91" t="n"/>
      <c r="F2271" s="91" t="n"/>
      <c r="G2271" s="91" t="n"/>
      <c r="H2271" s="91" t="n"/>
      <c r="I2271" s="91" t="n"/>
      <c r="J2271" s="91" t="n"/>
      <c r="K2271" s="91" t="n"/>
      <c r="L2271" s="91" t="n"/>
      <c r="M2271" s="91" t="n"/>
      <c r="N2271" s="91" t="n"/>
      <c r="O2271" s="91" t="n"/>
      <c r="P2271" s="91" t="n"/>
      <c r="Q2271" s="91" t="n"/>
      <c r="R2271" s="91" t="n"/>
      <c r="S2271" s="91" t="n"/>
      <c r="T2271" s="25">
        <f>DAY(C2271)</f>
        <v/>
      </c>
      <c r="U2271" s="22">
        <f>MONTH(C2271)</f>
        <v/>
      </c>
      <c r="V2271" s="91" t="n"/>
      <c r="W2271" s="91" t="n"/>
      <c r="X2271" s="91" t="n"/>
      <c r="Y2271" s="91" t="n"/>
      <c r="Z2271" s="91" t="n"/>
    </row>
    <row r="2272" ht="12.75" customHeight="1" s="117">
      <c r="A2272" s="91" t="n"/>
      <c r="B2272" s="91" t="n"/>
      <c r="C2272" s="91" t="n"/>
      <c r="D2272" s="91" t="n"/>
      <c r="E2272" s="91" t="n"/>
      <c r="F2272" s="91" t="n"/>
      <c r="G2272" s="91" t="n"/>
      <c r="H2272" s="91" t="n"/>
      <c r="I2272" s="91" t="n"/>
      <c r="J2272" s="91" t="n"/>
      <c r="K2272" s="91" t="n"/>
      <c r="L2272" s="91" t="n"/>
      <c r="M2272" s="91" t="n"/>
      <c r="N2272" s="91" t="n"/>
      <c r="O2272" s="91" t="n"/>
      <c r="P2272" s="91" t="n"/>
      <c r="Q2272" s="91" t="n"/>
      <c r="R2272" s="91" t="n"/>
      <c r="S2272" s="91" t="n"/>
      <c r="T2272" s="25">
        <f>DAY(C2272)</f>
        <v/>
      </c>
      <c r="U2272" s="22">
        <f>MONTH(C2272)</f>
        <v/>
      </c>
      <c r="V2272" s="91" t="n"/>
      <c r="W2272" s="91" t="n"/>
      <c r="X2272" s="91" t="n"/>
      <c r="Y2272" s="91" t="n"/>
      <c r="Z2272" s="91" t="n"/>
    </row>
    <row r="2273" ht="12.75" customHeight="1" s="117">
      <c r="A2273" s="91" t="n"/>
      <c r="B2273" s="91" t="n"/>
      <c r="C2273" s="91" t="n"/>
      <c r="D2273" s="91" t="n"/>
      <c r="E2273" s="91" t="n"/>
      <c r="F2273" s="91" t="n"/>
      <c r="G2273" s="91" t="n"/>
      <c r="H2273" s="91" t="n"/>
      <c r="I2273" s="91" t="n"/>
      <c r="J2273" s="91" t="n"/>
      <c r="K2273" s="91" t="n"/>
      <c r="L2273" s="91" t="n"/>
      <c r="M2273" s="91" t="n"/>
      <c r="N2273" s="91" t="n"/>
      <c r="O2273" s="91" t="n"/>
      <c r="P2273" s="91" t="n"/>
      <c r="Q2273" s="91" t="n"/>
      <c r="R2273" s="91" t="n"/>
      <c r="S2273" s="91" t="n"/>
      <c r="T2273" s="25">
        <f>DAY(C2273)</f>
        <v/>
      </c>
      <c r="U2273" s="22">
        <f>MONTH(C2273)</f>
        <v/>
      </c>
      <c r="V2273" s="91" t="n"/>
      <c r="W2273" s="91" t="n"/>
      <c r="X2273" s="91" t="n"/>
      <c r="Y2273" s="91" t="n"/>
      <c r="Z2273" s="91" t="n"/>
    </row>
    <row r="2274" ht="12.75" customHeight="1" s="117">
      <c r="A2274" s="91" t="n"/>
      <c r="B2274" s="91" t="n"/>
      <c r="C2274" s="91" t="n"/>
      <c r="D2274" s="91" t="n"/>
      <c r="E2274" s="91" t="n"/>
      <c r="F2274" s="91" t="n"/>
      <c r="G2274" s="91" t="n"/>
      <c r="H2274" s="91" t="n"/>
      <c r="I2274" s="91" t="n"/>
      <c r="J2274" s="91" t="n"/>
      <c r="K2274" s="91" t="n"/>
      <c r="L2274" s="91" t="n"/>
      <c r="M2274" s="91" t="n"/>
      <c r="N2274" s="91" t="n"/>
      <c r="O2274" s="91" t="n"/>
      <c r="P2274" s="91" t="n"/>
      <c r="Q2274" s="91" t="n"/>
      <c r="R2274" s="91" t="n"/>
      <c r="S2274" s="91" t="n"/>
      <c r="T2274" s="25">
        <f>DAY(C2274)</f>
        <v/>
      </c>
      <c r="U2274" s="22">
        <f>MONTH(C2274)</f>
        <v/>
      </c>
      <c r="V2274" s="91" t="n"/>
      <c r="W2274" s="91" t="n"/>
      <c r="X2274" s="91" t="n"/>
      <c r="Y2274" s="91" t="n"/>
      <c r="Z2274" s="91" t="n"/>
    </row>
    <row r="2275" ht="12.75" customHeight="1" s="117">
      <c r="A2275" s="91" t="n"/>
      <c r="B2275" s="91" t="n"/>
      <c r="C2275" s="91" t="n"/>
      <c r="D2275" s="91" t="n"/>
      <c r="E2275" s="91" t="n"/>
      <c r="F2275" s="91" t="n"/>
      <c r="G2275" s="91" t="n"/>
      <c r="H2275" s="91" t="n"/>
      <c r="I2275" s="91" t="n"/>
      <c r="J2275" s="91" t="n"/>
      <c r="K2275" s="91" t="n"/>
      <c r="L2275" s="91" t="n"/>
      <c r="M2275" s="91" t="n"/>
      <c r="N2275" s="91" t="n"/>
      <c r="O2275" s="91" t="n"/>
      <c r="P2275" s="91" t="n"/>
      <c r="Q2275" s="91" t="n"/>
      <c r="R2275" s="91" t="n"/>
      <c r="S2275" s="91" t="n"/>
      <c r="T2275" s="25">
        <f>DAY(C2275)</f>
        <v/>
      </c>
      <c r="U2275" s="22">
        <f>MONTH(C2275)</f>
        <v/>
      </c>
      <c r="V2275" s="91" t="n"/>
      <c r="W2275" s="91" t="n"/>
      <c r="X2275" s="91" t="n"/>
      <c r="Y2275" s="91" t="n"/>
      <c r="Z2275" s="91" t="n"/>
    </row>
    <row r="2276" ht="12.75" customHeight="1" s="117">
      <c r="A2276" s="91" t="n"/>
      <c r="B2276" s="91" t="n"/>
      <c r="C2276" s="91" t="n"/>
      <c r="D2276" s="91" t="n"/>
      <c r="E2276" s="91" t="n"/>
      <c r="F2276" s="91" t="n"/>
      <c r="G2276" s="91" t="n"/>
      <c r="H2276" s="91" t="n"/>
      <c r="I2276" s="91" t="n"/>
      <c r="J2276" s="91" t="n"/>
      <c r="K2276" s="91" t="n"/>
      <c r="L2276" s="91" t="n"/>
      <c r="M2276" s="91" t="n"/>
      <c r="N2276" s="91" t="n"/>
      <c r="O2276" s="91" t="n"/>
      <c r="P2276" s="91" t="n"/>
      <c r="Q2276" s="91" t="n"/>
      <c r="R2276" s="91" t="n"/>
      <c r="S2276" s="91" t="n"/>
      <c r="T2276" s="25">
        <f>DAY(C2276)</f>
        <v/>
      </c>
      <c r="U2276" s="22">
        <f>MONTH(C2276)</f>
        <v/>
      </c>
      <c r="V2276" s="91" t="n"/>
      <c r="W2276" s="91" t="n"/>
      <c r="X2276" s="91" t="n"/>
      <c r="Y2276" s="91" t="n"/>
      <c r="Z2276" s="91" t="n"/>
    </row>
    <row r="2277" ht="12.75" customHeight="1" s="117">
      <c r="A2277" s="91" t="n"/>
      <c r="B2277" s="91" t="n"/>
      <c r="C2277" s="91" t="n"/>
      <c r="D2277" s="91" t="n"/>
      <c r="E2277" s="91" t="n"/>
      <c r="F2277" s="91" t="n"/>
      <c r="G2277" s="91" t="n"/>
      <c r="H2277" s="91" t="n"/>
      <c r="I2277" s="91" t="n"/>
      <c r="J2277" s="91" t="n"/>
      <c r="K2277" s="91" t="n"/>
      <c r="L2277" s="91" t="n"/>
      <c r="M2277" s="91" t="n"/>
      <c r="N2277" s="91" t="n"/>
      <c r="O2277" s="91" t="n"/>
      <c r="P2277" s="91" t="n"/>
      <c r="Q2277" s="91" t="n"/>
      <c r="R2277" s="91" t="n"/>
      <c r="S2277" s="91" t="n"/>
      <c r="T2277" s="25">
        <f>DAY(C2277)</f>
        <v/>
      </c>
      <c r="U2277" s="22">
        <f>MONTH(C2277)</f>
        <v/>
      </c>
      <c r="V2277" s="91" t="n"/>
      <c r="W2277" s="91" t="n"/>
      <c r="X2277" s="91" t="n"/>
      <c r="Y2277" s="91" t="n"/>
      <c r="Z2277" s="91" t="n"/>
    </row>
    <row r="2278" ht="12.75" customHeight="1" s="117">
      <c r="A2278" s="91" t="n"/>
      <c r="B2278" s="91" t="n"/>
      <c r="C2278" s="91" t="n"/>
      <c r="D2278" s="91" t="n"/>
      <c r="E2278" s="91" t="n"/>
      <c r="F2278" s="91" t="n"/>
      <c r="G2278" s="91" t="n"/>
      <c r="H2278" s="91" t="n"/>
      <c r="I2278" s="91" t="n"/>
      <c r="J2278" s="91" t="n"/>
      <c r="K2278" s="91" t="n"/>
      <c r="L2278" s="91" t="n"/>
      <c r="M2278" s="91" t="n"/>
      <c r="N2278" s="91" t="n"/>
      <c r="O2278" s="91" t="n"/>
      <c r="P2278" s="91" t="n"/>
      <c r="Q2278" s="91" t="n"/>
      <c r="R2278" s="91" t="n"/>
      <c r="S2278" s="91" t="n"/>
      <c r="T2278" s="25">
        <f>DAY(C2278)</f>
        <v/>
      </c>
      <c r="U2278" s="22">
        <f>MONTH(C2278)</f>
        <v/>
      </c>
      <c r="V2278" s="91" t="n"/>
      <c r="W2278" s="91" t="n"/>
      <c r="X2278" s="91" t="n"/>
      <c r="Y2278" s="91" t="n"/>
      <c r="Z2278" s="91" t="n"/>
    </row>
    <row r="2279" ht="12.75" customHeight="1" s="117">
      <c r="A2279" s="91" t="n"/>
      <c r="B2279" s="91" t="n"/>
      <c r="C2279" s="91" t="n"/>
      <c r="D2279" s="91" t="n"/>
      <c r="E2279" s="91" t="n"/>
      <c r="F2279" s="91" t="n"/>
      <c r="G2279" s="91" t="n"/>
      <c r="H2279" s="91" t="n"/>
      <c r="I2279" s="91" t="n"/>
      <c r="J2279" s="91" t="n"/>
      <c r="K2279" s="91" t="n"/>
      <c r="L2279" s="91" t="n"/>
      <c r="M2279" s="91" t="n"/>
      <c r="N2279" s="91" t="n"/>
      <c r="O2279" s="91" t="n"/>
      <c r="P2279" s="91" t="n"/>
      <c r="Q2279" s="91" t="n"/>
      <c r="R2279" s="91" t="n"/>
      <c r="S2279" s="91" t="n"/>
      <c r="T2279" s="25">
        <f>DAY(C2279)</f>
        <v/>
      </c>
      <c r="U2279" s="22">
        <f>MONTH(C2279)</f>
        <v/>
      </c>
      <c r="V2279" s="91" t="n"/>
      <c r="W2279" s="91" t="n"/>
      <c r="X2279" s="91" t="n"/>
      <c r="Y2279" s="91" t="n"/>
      <c r="Z2279" s="91" t="n"/>
    </row>
    <row r="2280" ht="12.75" customHeight="1" s="117">
      <c r="A2280" s="91" t="n"/>
      <c r="B2280" s="91" t="n"/>
      <c r="C2280" s="91" t="n"/>
      <c r="D2280" s="91" t="n"/>
      <c r="E2280" s="91" t="n"/>
      <c r="F2280" s="91" t="n"/>
      <c r="G2280" s="91" t="n"/>
      <c r="H2280" s="91" t="n"/>
      <c r="I2280" s="91" t="n"/>
      <c r="J2280" s="91" t="n"/>
      <c r="K2280" s="91" t="n"/>
      <c r="L2280" s="91" t="n"/>
      <c r="M2280" s="91" t="n"/>
      <c r="N2280" s="91" t="n"/>
      <c r="O2280" s="91" t="n"/>
      <c r="P2280" s="91" t="n"/>
      <c r="Q2280" s="91" t="n"/>
      <c r="R2280" s="91" t="n"/>
      <c r="S2280" s="91" t="n"/>
      <c r="T2280" s="25">
        <f>DAY(C2280)</f>
        <v/>
      </c>
      <c r="U2280" s="22">
        <f>MONTH(C2280)</f>
        <v/>
      </c>
      <c r="V2280" s="91" t="n"/>
      <c r="W2280" s="91" t="n"/>
      <c r="X2280" s="91" t="n"/>
      <c r="Y2280" s="91" t="n"/>
      <c r="Z2280" s="91" t="n"/>
    </row>
    <row r="2281" ht="12.75" customHeight="1" s="117">
      <c r="A2281" s="91" t="n"/>
      <c r="B2281" s="91" t="n"/>
      <c r="C2281" s="91" t="n"/>
      <c r="D2281" s="91" t="n"/>
      <c r="E2281" s="91" t="n"/>
      <c r="F2281" s="91" t="n"/>
      <c r="G2281" s="91" t="n"/>
      <c r="H2281" s="91" t="n"/>
      <c r="I2281" s="91" t="n"/>
      <c r="J2281" s="91" t="n"/>
      <c r="K2281" s="91" t="n"/>
      <c r="L2281" s="91" t="n"/>
      <c r="M2281" s="91" t="n"/>
      <c r="N2281" s="91" t="n"/>
      <c r="O2281" s="91" t="n"/>
      <c r="P2281" s="91" t="n"/>
      <c r="Q2281" s="91" t="n"/>
      <c r="R2281" s="91" t="n"/>
      <c r="S2281" s="91" t="n"/>
      <c r="T2281" s="25">
        <f>DAY(C2281)</f>
        <v/>
      </c>
      <c r="U2281" s="22">
        <f>MONTH(C2281)</f>
        <v/>
      </c>
      <c r="V2281" s="91" t="n"/>
      <c r="W2281" s="91" t="n"/>
      <c r="X2281" s="91" t="n"/>
      <c r="Y2281" s="91" t="n"/>
      <c r="Z2281" s="91" t="n"/>
    </row>
    <row r="2282" ht="12.75" customHeight="1" s="117">
      <c r="A2282" s="91" t="n"/>
      <c r="B2282" s="91" t="n"/>
      <c r="C2282" s="91" t="n"/>
      <c r="D2282" s="91" t="n"/>
      <c r="E2282" s="91" t="n"/>
      <c r="F2282" s="91" t="n"/>
      <c r="G2282" s="91" t="n"/>
      <c r="H2282" s="91" t="n"/>
      <c r="I2282" s="91" t="n"/>
      <c r="J2282" s="91" t="n"/>
      <c r="K2282" s="91" t="n"/>
      <c r="L2282" s="91" t="n"/>
      <c r="M2282" s="91" t="n"/>
      <c r="N2282" s="91" t="n"/>
      <c r="O2282" s="91" t="n"/>
      <c r="P2282" s="91" t="n"/>
      <c r="Q2282" s="91" t="n"/>
      <c r="R2282" s="91" t="n"/>
      <c r="S2282" s="91" t="n"/>
      <c r="T2282" s="25">
        <f>DAY(C2282)</f>
        <v/>
      </c>
      <c r="U2282" s="22">
        <f>MONTH(C2282)</f>
        <v/>
      </c>
      <c r="V2282" s="91" t="n"/>
      <c r="W2282" s="91" t="n"/>
      <c r="X2282" s="91" t="n"/>
      <c r="Y2282" s="91" t="n"/>
      <c r="Z2282" s="91" t="n"/>
    </row>
    <row r="2283" ht="12.75" customHeight="1" s="117">
      <c r="A2283" s="91" t="n"/>
      <c r="B2283" s="91" t="n"/>
      <c r="C2283" s="91" t="n"/>
      <c r="D2283" s="91" t="n"/>
      <c r="E2283" s="91" t="n"/>
      <c r="F2283" s="91" t="n"/>
      <c r="G2283" s="91" t="n"/>
      <c r="H2283" s="91" t="n"/>
      <c r="I2283" s="91" t="n"/>
      <c r="J2283" s="91" t="n"/>
      <c r="K2283" s="91" t="n"/>
      <c r="L2283" s="91" t="n"/>
      <c r="M2283" s="91" t="n"/>
      <c r="N2283" s="91" t="n"/>
      <c r="O2283" s="91" t="n"/>
      <c r="P2283" s="91" t="n"/>
      <c r="Q2283" s="91" t="n"/>
      <c r="R2283" s="91" t="n"/>
      <c r="S2283" s="91" t="n"/>
      <c r="T2283" s="25">
        <f>DAY(C2283)</f>
        <v/>
      </c>
      <c r="U2283" s="22">
        <f>MONTH(C2283)</f>
        <v/>
      </c>
      <c r="V2283" s="91" t="n"/>
      <c r="W2283" s="91" t="n"/>
      <c r="X2283" s="91" t="n"/>
      <c r="Y2283" s="91" t="n"/>
      <c r="Z2283" s="91" t="n"/>
    </row>
    <row r="2284" ht="12.75" customHeight="1" s="117">
      <c r="A2284" s="91" t="n"/>
      <c r="B2284" s="91" t="n"/>
      <c r="C2284" s="91" t="n"/>
      <c r="D2284" s="91" t="n"/>
      <c r="E2284" s="91" t="n"/>
      <c r="F2284" s="91" t="n"/>
      <c r="G2284" s="91" t="n"/>
      <c r="H2284" s="91" t="n"/>
      <c r="I2284" s="91" t="n"/>
      <c r="J2284" s="91" t="n"/>
      <c r="K2284" s="91" t="n"/>
      <c r="L2284" s="91" t="n"/>
      <c r="M2284" s="91" t="n"/>
      <c r="N2284" s="91" t="n"/>
      <c r="O2284" s="91" t="n"/>
      <c r="P2284" s="91" t="n"/>
      <c r="Q2284" s="91" t="n"/>
      <c r="R2284" s="91" t="n"/>
      <c r="S2284" s="91" t="n"/>
      <c r="T2284" s="25">
        <f>DAY(C2284)</f>
        <v/>
      </c>
      <c r="U2284" s="22">
        <f>MONTH(C2284)</f>
        <v/>
      </c>
      <c r="V2284" s="91" t="n"/>
      <c r="W2284" s="91" t="n"/>
      <c r="X2284" s="91" t="n"/>
      <c r="Y2284" s="91" t="n"/>
      <c r="Z2284" s="91" t="n"/>
    </row>
    <row r="2285" ht="12.75" customHeight="1" s="117">
      <c r="A2285" s="91" t="n"/>
      <c r="B2285" s="91" t="n"/>
      <c r="C2285" s="91" t="n"/>
      <c r="D2285" s="91" t="n"/>
      <c r="E2285" s="91" t="n"/>
      <c r="F2285" s="91" t="n"/>
      <c r="G2285" s="91" t="n"/>
      <c r="H2285" s="91" t="n"/>
      <c r="I2285" s="91" t="n"/>
      <c r="J2285" s="91" t="n"/>
      <c r="K2285" s="91" t="n"/>
      <c r="L2285" s="91" t="n"/>
      <c r="M2285" s="91" t="n"/>
      <c r="N2285" s="91" t="n"/>
      <c r="O2285" s="91" t="n"/>
      <c r="P2285" s="91" t="n"/>
      <c r="Q2285" s="91" t="n"/>
      <c r="R2285" s="91" t="n"/>
      <c r="S2285" s="91" t="n"/>
      <c r="T2285" s="25">
        <f>DAY(C2285)</f>
        <v/>
      </c>
      <c r="U2285" s="22">
        <f>MONTH(C2285)</f>
        <v/>
      </c>
      <c r="V2285" s="91" t="n"/>
      <c r="W2285" s="91" t="n"/>
      <c r="X2285" s="91" t="n"/>
      <c r="Y2285" s="91" t="n"/>
      <c r="Z2285" s="91" t="n"/>
    </row>
    <row r="2286" ht="12.75" customHeight="1" s="117">
      <c r="A2286" s="91" t="n"/>
      <c r="B2286" s="91" t="n"/>
      <c r="C2286" s="91" t="n"/>
      <c r="D2286" s="91" t="n"/>
      <c r="E2286" s="91" t="n"/>
      <c r="F2286" s="91" t="n"/>
      <c r="G2286" s="91" t="n"/>
      <c r="H2286" s="91" t="n"/>
      <c r="I2286" s="91" t="n"/>
      <c r="J2286" s="91" t="n"/>
      <c r="K2286" s="91" t="n"/>
      <c r="L2286" s="91" t="n"/>
      <c r="M2286" s="91" t="n"/>
      <c r="N2286" s="91" t="n"/>
      <c r="O2286" s="91" t="n"/>
      <c r="P2286" s="91" t="n"/>
      <c r="Q2286" s="91" t="n"/>
      <c r="R2286" s="91" t="n"/>
      <c r="S2286" s="91" t="n"/>
      <c r="T2286" s="25">
        <f>DAY(C2286)</f>
        <v/>
      </c>
      <c r="U2286" s="22">
        <f>MONTH(C2286)</f>
        <v/>
      </c>
      <c r="V2286" s="91" t="n"/>
      <c r="W2286" s="91" t="n"/>
      <c r="X2286" s="91" t="n"/>
      <c r="Y2286" s="91" t="n"/>
      <c r="Z2286" s="91" t="n"/>
    </row>
    <row r="2287" ht="12.75" customHeight="1" s="117">
      <c r="A2287" s="91" t="n"/>
      <c r="B2287" s="91" t="n"/>
      <c r="C2287" s="91" t="n"/>
      <c r="D2287" s="91" t="n"/>
      <c r="E2287" s="91" t="n"/>
      <c r="F2287" s="91" t="n"/>
      <c r="G2287" s="91" t="n"/>
      <c r="H2287" s="91" t="n"/>
      <c r="I2287" s="91" t="n"/>
      <c r="J2287" s="91" t="n"/>
      <c r="K2287" s="91" t="n"/>
      <c r="L2287" s="91" t="n"/>
      <c r="M2287" s="91" t="n"/>
      <c r="N2287" s="91" t="n"/>
      <c r="O2287" s="91" t="n"/>
      <c r="P2287" s="91" t="n"/>
      <c r="Q2287" s="91" t="n"/>
      <c r="R2287" s="91" t="n"/>
      <c r="S2287" s="91" t="n"/>
      <c r="T2287" s="25">
        <f>DAY(C2287)</f>
        <v/>
      </c>
      <c r="U2287" s="22">
        <f>MONTH(C2287)</f>
        <v/>
      </c>
      <c r="V2287" s="91" t="n"/>
      <c r="W2287" s="91" t="n"/>
      <c r="X2287" s="91" t="n"/>
      <c r="Y2287" s="91" t="n"/>
      <c r="Z2287" s="91" t="n"/>
    </row>
    <row r="2288" ht="12.75" customHeight="1" s="117">
      <c r="A2288" s="91" t="n"/>
      <c r="B2288" s="91" t="n"/>
      <c r="C2288" s="91" t="n"/>
      <c r="D2288" s="91" t="n"/>
      <c r="E2288" s="91" t="n"/>
      <c r="F2288" s="91" t="n"/>
      <c r="G2288" s="91" t="n"/>
      <c r="H2288" s="91" t="n"/>
      <c r="I2288" s="91" t="n"/>
      <c r="J2288" s="91" t="n"/>
      <c r="K2288" s="91" t="n"/>
      <c r="L2288" s="91" t="n"/>
      <c r="M2288" s="91" t="n"/>
      <c r="N2288" s="91" t="n"/>
      <c r="O2288" s="91" t="n"/>
      <c r="P2288" s="91" t="n"/>
      <c r="Q2288" s="91" t="n"/>
      <c r="R2288" s="91" t="n"/>
      <c r="S2288" s="91" t="n"/>
      <c r="T2288" s="25">
        <f>DAY(C2288)</f>
        <v/>
      </c>
      <c r="U2288" s="22">
        <f>MONTH(C2288)</f>
        <v/>
      </c>
      <c r="V2288" s="91" t="n"/>
      <c r="W2288" s="91" t="n"/>
      <c r="X2288" s="91" t="n"/>
      <c r="Y2288" s="91" t="n"/>
      <c r="Z2288" s="91" t="n"/>
    </row>
    <row r="2289" ht="12.75" customHeight="1" s="117">
      <c r="A2289" s="91" t="n"/>
      <c r="B2289" s="91" t="n"/>
      <c r="C2289" s="91" t="n"/>
      <c r="D2289" s="91" t="n"/>
      <c r="E2289" s="91" t="n"/>
      <c r="F2289" s="91" t="n"/>
      <c r="G2289" s="91" t="n"/>
      <c r="H2289" s="91" t="n"/>
      <c r="I2289" s="91" t="n"/>
      <c r="J2289" s="91" t="n"/>
      <c r="K2289" s="91" t="n"/>
      <c r="L2289" s="91" t="n"/>
      <c r="M2289" s="91" t="n"/>
      <c r="N2289" s="91" t="n"/>
      <c r="O2289" s="91" t="n"/>
      <c r="P2289" s="91" t="n"/>
      <c r="Q2289" s="91" t="n"/>
      <c r="R2289" s="91" t="n"/>
      <c r="S2289" s="91" t="n"/>
      <c r="T2289" s="25">
        <f>DAY(C2289)</f>
        <v/>
      </c>
      <c r="U2289" s="22">
        <f>MONTH(C2289)</f>
        <v/>
      </c>
      <c r="V2289" s="91" t="n"/>
      <c r="W2289" s="91" t="n"/>
      <c r="X2289" s="91" t="n"/>
      <c r="Y2289" s="91" t="n"/>
      <c r="Z2289" s="91" t="n"/>
    </row>
    <row r="2290" ht="12.75" customHeight="1" s="117">
      <c r="A2290" s="91" t="n"/>
      <c r="B2290" s="91" t="n"/>
      <c r="C2290" s="91" t="n"/>
      <c r="D2290" s="91" t="n"/>
      <c r="E2290" s="91" t="n"/>
      <c r="F2290" s="91" t="n"/>
      <c r="G2290" s="91" t="n"/>
      <c r="H2290" s="91" t="n"/>
      <c r="I2290" s="91" t="n"/>
      <c r="J2290" s="91" t="n"/>
      <c r="K2290" s="91" t="n"/>
      <c r="L2290" s="91" t="n"/>
      <c r="M2290" s="91" t="n"/>
      <c r="N2290" s="91" t="n"/>
      <c r="O2290" s="91" t="n"/>
      <c r="P2290" s="91" t="n"/>
      <c r="Q2290" s="91" t="n"/>
      <c r="R2290" s="91" t="n"/>
      <c r="S2290" s="91" t="n"/>
      <c r="T2290" s="25">
        <f>DAY(C2290)</f>
        <v/>
      </c>
      <c r="U2290" s="22">
        <f>MONTH(C2290)</f>
        <v/>
      </c>
      <c r="V2290" s="91" t="n"/>
      <c r="W2290" s="91" t="n"/>
      <c r="X2290" s="91" t="n"/>
      <c r="Y2290" s="91" t="n"/>
      <c r="Z2290" s="91" t="n"/>
    </row>
    <row r="2291" ht="12.75" customHeight="1" s="117">
      <c r="A2291" s="91" t="n"/>
      <c r="B2291" s="91" t="n"/>
      <c r="C2291" s="91" t="n"/>
      <c r="D2291" s="91" t="n"/>
      <c r="E2291" s="91" t="n"/>
      <c r="F2291" s="91" t="n"/>
      <c r="G2291" s="91" t="n"/>
      <c r="H2291" s="91" t="n"/>
      <c r="I2291" s="91" t="n"/>
      <c r="J2291" s="91" t="n"/>
      <c r="K2291" s="91" t="n"/>
      <c r="L2291" s="91" t="n"/>
      <c r="M2291" s="91" t="n"/>
      <c r="N2291" s="91" t="n"/>
      <c r="O2291" s="91" t="n"/>
      <c r="P2291" s="91" t="n"/>
      <c r="Q2291" s="91" t="n"/>
      <c r="R2291" s="91" t="n"/>
      <c r="S2291" s="91" t="n"/>
      <c r="T2291" s="25">
        <f>DAY(C2291)</f>
        <v/>
      </c>
      <c r="U2291" s="22">
        <f>MONTH(C2291)</f>
        <v/>
      </c>
      <c r="V2291" s="91" t="n"/>
      <c r="W2291" s="91" t="n"/>
      <c r="X2291" s="91" t="n"/>
      <c r="Y2291" s="91" t="n"/>
      <c r="Z2291" s="91" t="n"/>
    </row>
    <row r="2292" ht="12.75" customHeight="1" s="117">
      <c r="A2292" s="91" t="n"/>
      <c r="B2292" s="91" t="n"/>
      <c r="C2292" s="91" t="n"/>
      <c r="D2292" s="91" t="n"/>
      <c r="E2292" s="91" t="n"/>
      <c r="F2292" s="91" t="n"/>
      <c r="G2292" s="91" t="n"/>
      <c r="H2292" s="91" t="n"/>
      <c r="I2292" s="91" t="n"/>
      <c r="J2292" s="91" t="n"/>
      <c r="K2292" s="91" t="n"/>
      <c r="L2292" s="91" t="n"/>
      <c r="M2292" s="91" t="n"/>
      <c r="N2292" s="91" t="n"/>
      <c r="O2292" s="91" t="n"/>
      <c r="P2292" s="91" t="n"/>
      <c r="Q2292" s="91" t="n"/>
      <c r="R2292" s="91" t="n"/>
      <c r="S2292" s="91" t="n"/>
      <c r="T2292" s="25">
        <f>DAY(C2292)</f>
        <v/>
      </c>
      <c r="U2292" s="22">
        <f>MONTH(C2292)</f>
        <v/>
      </c>
      <c r="V2292" s="91" t="n"/>
      <c r="W2292" s="91" t="n"/>
      <c r="X2292" s="91" t="n"/>
      <c r="Y2292" s="91" t="n"/>
      <c r="Z2292" s="91" t="n"/>
    </row>
    <row r="2293" ht="12.75" customHeight="1" s="117">
      <c r="A2293" s="91" t="n"/>
      <c r="B2293" s="91" t="n"/>
      <c r="C2293" s="91" t="n"/>
      <c r="D2293" s="91" t="n"/>
      <c r="E2293" s="91" t="n"/>
      <c r="F2293" s="91" t="n"/>
      <c r="G2293" s="91" t="n"/>
      <c r="H2293" s="91" t="n"/>
      <c r="I2293" s="91" t="n"/>
      <c r="J2293" s="91" t="n"/>
      <c r="K2293" s="91" t="n"/>
      <c r="L2293" s="91" t="n"/>
      <c r="M2293" s="91" t="n"/>
      <c r="N2293" s="91" t="n"/>
      <c r="O2293" s="91" t="n"/>
      <c r="P2293" s="91" t="n"/>
      <c r="Q2293" s="91" t="n"/>
      <c r="R2293" s="91" t="n"/>
      <c r="S2293" s="91" t="n"/>
      <c r="T2293" s="25">
        <f>DAY(C2293)</f>
        <v/>
      </c>
      <c r="U2293" s="22">
        <f>MONTH(C2293)</f>
        <v/>
      </c>
      <c r="V2293" s="91" t="n"/>
      <c r="W2293" s="91" t="n"/>
      <c r="X2293" s="91" t="n"/>
      <c r="Y2293" s="91" t="n"/>
      <c r="Z2293" s="91" t="n"/>
    </row>
    <row r="2294" ht="12.75" customHeight="1" s="117">
      <c r="A2294" s="91" t="n"/>
      <c r="B2294" s="91" t="n"/>
      <c r="C2294" s="91" t="n"/>
      <c r="D2294" s="91" t="n"/>
      <c r="E2294" s="91" t="n"/>
      <c r="F2294" s="91" t="n"/>
      <c r="G2294" s="91" t="n"/>
      <c r="H2294" s="91" t="n"/>
      <c r="I2294" s="91" t="n"/>
      <c r="J2294" s="91" t="n"/>
      <c r="K2294" s="91" t="n"/>
      <c r="L2294" s="91" t="n"/>
      <c r="M2294" s="91" t="n"/>
      <c r="N2294" s="91" t="n"/>
      <c r="O2294" s="91" t="n"/>
      <c r="P2294" s="91" t="n"/>
      <c r="Q2294" s="91" t="n"/>
      <c r="R2294" s="91" t="n"/>
      <c r="S2294" s="91" t="n"/>
      <c r="T2294" s="25">
        <f>DAY(C2294)</f>
        <v/>
      </c>
      <c r="U2294" s="22">
        <f>MONTH(C2294)</f>
        <v/>
      </c>
      <c r="V2294" s="91" t="n"/>
      <c r="W2294" s="91" t="n"/>
      <c r="X2294" s="91" t="n"/>
      <c r="Y2294" s="91" t="n"/>
      <c r="Z2294" s="91" t="n"/>
    </row>
    <row r="2295" ht="12.75" customHeight="1" s="117">
      <c r="A2295" s="91" t="n"/>
      <c r="B2295" s="91" t="n"/>
      <c r="C2295" s="91" t="n"/>
      <c r="D2295" s="91" t="n"/>
      <c r="E2295" s="91" t="n"/>
      <c r="F2295" s="91" t="n"/>
      <c r="G2295" s="91" t="n"/>
      <c r="H2295" s="91" t="n"/>
      <c r="I2295" s="91" t="n"/>
      <c r="J2295" s="91" t="n"/>
      <c r="K2295" s="91" t="n"/>
      <c r="L2295" s="91" t="n"/>
      <c r="M2295" s="91" t="n"/>
      <c r="N2295" s="91" t="n"/>
      <c r="O2295" s="91" t="n"/>
      <c r="P2295" s="91" t="n"/>
      <c r="Q2295" s="91" t="n"/>
      <c r="R2295" s="91" t="n"/>
      <c r="S2295" s="91" t="n"/>
      <c r="T2295" s="25">
        <f>DAY(C2295)</f>
        <v/>
      </c>
      <c r="U2295" s="22">
        <f>MONTH(C2295)</f>
        <v/>
      </c>
      <c r="V2295" s="91" t="n"/>
      <c r="W2295" s="91" t="n"/>
      <c r="X2295" s="91" t="n"/>
      <c r="Y2295" s="91" t="n"/>
      <c r="Z2295" s="91" t="n"/>
    </row>
    <row r="2296" ht="12.75" customHeight="1" s="117">
      <c r="A2296" s="91" t="n"/>
      <c r="B2296" s="91" t="n"/>
      <c r="C2296" s="91" t="n"/>
      <c r="D2296" s="91" t="n"/>
      <c r="E2296" s="91" t="n"/>
      <c r="F2296" s="91" t="n"/>
      <c r="G2296" s="91" t="n"/>
      <c r="H2296" s="91" t="n"/>
      <c r="I2296" s="91" t="n"/>
      <c r="J2296" s="91" t="n"/>
      <c r="K2296" s="91" t="n"/>
      <c r="L2296" s="91" t="n"/>
      <c r="M2296" s="91" t="n"/>
      <c r="N2296" s="91" t="n"/>
      <c r="O2296" s="91" t="n"/>
      <c r="P2296" s="91" t="n"/>
      <c r="Q2296" s="91" t="n"/>
      <c r="R2296" s="91" t="n"/>
      <c r="S2296" s="91" t="n"/>
      <c r="T2296" s="25">
        <f>DAY(C2296)</f>
        <v/>
      </c>
      <c r="U2296" s="22">
        <f>MONTH(C2296)</f>
        <v/>
      </c>
      <c r="V2296" s="91" t="n"/>
      <c r="W2296" s="91" t="n"/>
      <c r="X2296" s="91" t="n"/>
      <c r="Y2296" s="91" t="n"/>
      <c r="Z2296" s="91" t="n"/>
    </row>
    <row r="2297" ht="12.75" customHeight="1" s="117">
      <c r="A2297" s="91" t="n"/>
      <c r="B2297" s="91" t="n"/>
      <c r="C2297" s="91" t="n"/>
      <c r="D2297" s="91" t="n"/>
      <c r="E2297" s="91" t="n"/>
      <c r="F2297" s="91" t="n"/>
      <c r="G2297" s="91" t="n"/>
      <c r="H2297" s="91" t="n"/>
      <c r="I2297" s="91" t="n"/>
      <c r="J2297" s="91" t="n"/>
      <c r="K2297" s="91" t="n"/>
      <c r="L2297" s="91" t="n"/>
      <c r="M2297" s="91" t="n"/>
      <c r="N2297" s="91" t="n"/>
      <c r="O2297" s="91" t="n"/>
      <c r="P2297" s="91" t="n"/>
      <c r="Q2297" s="91" t="n"/>
      <c r="R2297" s="91" t="n"/>
      <c r="S2297" s="91" t="n"/>
      <c r="T2297" s="25">
        <f>DAY(C2297)</f>
        <v/>
      </c>
      <c r="U2297" s="22">
        <f>MONTH(C2297)</f>
        <v/>
      </c>
      <c r="V2297" s="91" t="n"/>
      <c r="W2297" s="91" t="n"/>
      <c r="X2297" s="91" t="n"/>
      <c r="Y2297" s="91" t="n"/>
      <c r="Z2297" s="91" t="n"/>
    </row>
    <row r="2298" ht="12.75" customHeight="1" s="117">
      <c r="A2298" s="91" t="n"/>
      <c r="B2298" s="91" t="n"/>
      <c r="C2298" s="91" t="n"/>
      <c r="D2298" s="91" t="n"/>
      <c r="E2298" s="91" t="n"/>
      <c r="F2298" s="91" t="n"/>
      <c r="G2298" s="91" t="n"/>
      <c r="H2298" s="91" t="n"/>
      <c r="I2298" s="91" t="n"/>
      <c r="J2298" s="91" t="n"/>
      <c r="K2298" s="91" t="n"/>
      <c r="L2298" s="91" t="n"/>
      <c r="M2298" s="91" t="n"/>
      <c r="N2298" s="91" t="n"/>
      <c r="O2298" s="91" t="n"/>
      <c r="P2298" s="91" t="n"/>
      <c r="Q2298" s="91" t="n"/>
      <c r="R2298" s="91" t="n"/>
      <c r="S2298" s="91" t="n"/>
      <c r="T2298" s="25">
        <f>DAY(C2298)</f>
        <v/>
      </c>
      <c r="U2298" s="22">
        <f>MONTH(C2298)</f>
        <v/>
      </c>
      <c r="V2298" s="91" t="n"/>
      <c r="W2298" s="91" t="n"/>
      <c r="X2298" s="91" t="n"/>
      <c r="Y2298" s="91" t="n"/>
      <c r="Z2298" s="91" t="n"/>
    </row>
    <row r="2299" ht="12.75" customHeight="1" s="117">
      <c r="A2299" s="91" t="n"/>
      <c r="B2299" s="91" t="n"/>
      <c r="C2299" s="91" t="n"/>
      <c r="D2299" s="91" t="n"/>
      <c r="E2299" s="91" t="n"/>
      <c r="F2299" s="91" t="n"/>
      <c r="G2299" s="91" t="n"/>
      <c r="H2299" s="91" t="n"/>
      <c r="I2299" s="91" t="n"/>
      <c r="J2299" s="91" t="n"/>
      <c r="K2299" s="91" t="n"/>
      <c r="L2299" s="91" t="n"/>
      <c r="M2299" s="91" t="n"/>
      <c r="N2299" s="91" t="n"/>
      <c r="O2299" s="91" t="n"/>
      <c r="P2299" s="91" t="n"/>
      <c r="Q2299" s="91" t="n"/>
      <c r="R2299" s="91" t="n"/>
      <c r="S2299" s="91" t="n"/>
      <c r="T2299" s="25">
        <f>DAY(C2299)</f>
        <v/>
      </c>
      <c r="U2299" s="22">
        <f>MONTH(C2299)</f>
        <v/>
      </c>
      <c r="V2299" s="91" t="n"/>
      <c r="W2299" s="91" t="n"/>
      <c r="X2299" s="91" t="n"/>
      <c r="Y2299" s="91" t="n"/>
      <c r="Z2299" s="91" t="n"/>
    </row>
    <row r="2300" ht="12.75" customHeight="1" s="117">
      <c r="A2300" s="91" t="n"/>
      <c r="B2300" s="91" t="n"/>
      <c r="C2300" s="91" t="n"/>
      <c r="D2300" s="91" t="n"/>
      <c r="E2300" s="91" t="n"/>
      <c r="F2300" s="91" t="n"/>
      <c r="G2300" s="91" t="n"/>
      <c r="H2300" s="91" t="n"/>
      <c r="I2300" s="91" t="n"/>
      <c r="J2300" s="91" t="n"/>
      <c r="K2300" s="91" t="n"/>
      <c r="L2300" s="91" t="n"/>
      <c r="M2300" s="91" t="n"/>
      <c r="N2300" s="91" t="n"/>
      <c r="O2300" s="91" t="n"/>
      <c r="P2300" s="91" t="n"/>
      <c r="Q2300" s="91" t="n"/>
      <c r="R2300" s="91" t="n"/>
      <c r="S2300" s="91" t="n"/>
      <c r="T2300" s="25">
        <f>DAY(C2300)</f>
        <v/>
      </c>
      <c r="U2300" s="22">
        <f>MONTH(C2300)</f>
        <v/>
      </c>
      <c r="V2300" s="91" t="n"/>
      <c r="W2300" s="91" t="n"/>
      <c r="X2300" s="91" t="n"/>
      <c r="Y2300" s="91" t="n"/>
      <c r="Z2300" s="91" t="n"/>
    </row>
    <row r="2301" ht="12.75" customHeight="1" s="117">
      <c r="A2301" s="91" t="n"/>
      <c r="B2301" s="91" t="n"/>
      <c r="C2301" s="91" t="n"/>
      <c r="D2301" s="91" t="n"/>
      <c r="E2301" s="91" t="n"/>
      <c r="F2301" s="91" t="n"/>
      <c r="G2301" s="91" t="n"/>
      <c r="H2301" s="91" t="n"/>
      <c r="I2301" s="91" t="n"/>
      <c r="J2301" s="91" t="n"/>
      <c r="K2301" s="91" t="n"/>
      <c r="L2301" s="91" t="n"/>
      <c r="M2301" s="91" t="n"/>
      <c r="N2301" s="91" t="n"/>
      <c r="O2301" s="91" t="n"/>
      <c r="P2301" s="91" t="n"/>
      <c r="Q2301" s="91" t="n"/>
      <c r="R2301" s="91" t="n"/>
      <c r="S2301" s="91" t="n"/>
      <c r="T2301" s="25">
        <f>DAY(C2301)</f>
        <v/>
      </c>
      <c r="U2301" s="22">
        <f>MONTH(C2301)</f>
        <v/>
      </c>
      <c r="V2301" s="91" t="n"/>
      <c r="W2301" s="91" t="n"/>
      <c r="X2301" s="91" t="n"/>
      <c r="Y2301" s="91" t="n"/>
      <c r="Z2301" s="91" t="n"/>
    </row>
    <row r="2302" ht="12.75" customHeight="1" s="117">
      <c r="A2302" s="91" t="n"/>
      <c r="B2302" s="91" t="n"/>
      <c r="C2302" s="91" t="n"/>
      <c r="D2302" s="91" t="n"/>
      <c r="E2302" s="91" t="n"/>
      <c r="F2302" s="91" t="n"/>
      <c r="G2302" s="91" t="n"/>
      <c r="H2302" s="91" t="n"/>
      <c r="I2302" s="91" t="n"/>
      <c r="J2302" s="91" t="n"/>
      <c r="K2302" s="91" t="n"/>
      <c r="L2302" s="91" t="n"/>
      <c r="M2302" s="91" t="n"/>
      <c r="N2302" s="91" t="n"/>
      <c r="O2302" s="91" t="n"/>
      <c r="P2302" s="91" t="n"/>
      <c r="Q2302" s="91" t="n"/>
      <c r="R2302" s="91" t="n"/>
      <c r="S2302" s="91" t="n"/>
      <c r="T2302" s="25">
        <f>DAY(C2302)</f>
        <v/>
      </c>
      <c r="U2302" s="22">
        <f>MONTH(C2302)</f>
        <v/>
      </c>
      <c r="V2302" s="91" t="n"/>
      <c r="W2302" s="91" t="n"/>
      <c r="X2302" s="91" t="n"/>
      <c r="Y2302" s="91" t="n"/>
      <c r="Z2302" s="91" t="n"/>
    </row>
    <row r="2303" ht="12.75" customHeight="1" s="117">
      <c r="A2303" s="91" t="n"/>
      <c r="B2303" s="91" t="n"/>
      <c r="C2303" s="91" t="n"/>
      <c r="D2303" s="91" t="n"/>
      <c r="E2303" s="91" t="n"/>
      <c r="F2303" s="91" t="n"/>
      <c r="G2303" s="91" t="n"/>
      <c r="H2303" s="91" t="n"/>
      <c r="I2303" s="91" t="n"/>
      <c r="J2303" s="91" t="n"/>
      <c r="K2303" s="91" t="n"/>
      <c r="L2303" s="91" t="n"/>
      <c r="M2303" s="91" t="n"/>
      <c r="N2303" s="91" t="n"/>
      <c r="O2303" s="91" t="n"/>
      <c r="P2303" s="91" t="n"/>
      <c r="Q2303" s="91" t="n"/>
      <c r="R2303" s="91" t="n"/>
      <c r="S2303" s="91" t="n"/>
      <c r="T2303" s="25">
        <f>DAY(C2303)</f>
        <v/>
      </c>
      <c r="U2303" s="22">
        <f>MONTH(C2303)</f>
        <v/>
      </c>
      <c r="V2303" s="91" t="n"/>
      <c r="W2303" s="91" t="n"/>
      <c r="X2303" s="91" t="n"/>
      <c r="Y2303" s="91" t="n"/>
      <c r="Z2303" s="91" t="n"/>
    </row>
    <row r="2304" ht="12.75" customHeight="1" s="117">
      <c r="A2304" s="91" t="n"/>
      <c r="B2304" s="91" t="n"/>
      <c r="C2304" s="91" t="n"/>
      <c r="D2304" s="91" t="n"/>
      <c r="E2304" s="91" t="n"/>
      <c r="F2304" s="91" t="n"/>
      <c r="G2304" s="91" t="n"/>
      <c r="H2304" s="91" t="n"/>
      <c r="I2304" s="91" t="n"/>
      <c r="J2304" s="91" t="n"/>
      <c r="K2304" s="91" t="n"/>
      <c r="L2304" s="91" t="n"/>
      <c r="M2304" s="91" t="n"/>
      <c r="N2304" s="91" t="n"/>
      <c r="O2304" s="91" t="n"/>
      <c r="P2304" s="91" t="n"/>
      <c r="Q2304" s="91" t="n"/>
      <c r="R2304" s="91" t="n"/>
      <c r="S2304" s="91" t="n"/>
      <c r="T2304" s="25">
        <f>DAY(C2304)</f>
        <v/>
      </c>
      <c r="U2304" s="22">
        <f>MONTH(C2304)</f>
        <v/>
      </c>
      <c r="V2304" s="91" t="n"/>
      <c r="W2304" s="91" t="n"/>
      <c r="X2304" s="91" t="n"/>
      <c r="Y2304" s="91" t="n"/>
      <c r="Z2304" s="91" t="n"/>
    </row>
    <row r="2305" ht="12.75" customHeight="1" s="117">
      <c r="A2305" s="91" t="n"/>
      <c r="B2305" s="91" t="n"/>
      <c r="C2305" s="91" t="n"/>
      <c r="D2305" s="91" t="n"/>
      <c r="E2305" s="91" t="n"/>
      <c r="F2305" s="91" t="n"/>
      <c r="G2305" s="91" t="n"/>
      <c r="H2305" s="91" t="n"/>
      <c r="I2305" s="91" t="n"/>
      <c r="J2305" s="91" t="n"/>
      <c r="K2305" s="91" t="n"/>
      <c r="L2305" s="91" t="n"/>
      <c r="M2305" s="91" t="n"/>
      <c r="N2305" s="91" t="n"/>
      <c r="O2305" s="91" t="n"/>
      <c r="P2305" s="91" t="n"/>
      <c r="Q2305" s="91" t="n"/>
      <c r="R2305" s="91" t="n"/>
      <c r="S2305" s="91" t="n"/>
      <c r="T2305" s="25">
        <f>DAY(C2305)</f>
        <v/>
      </c>
      <c r="U2305" s="22">
        <f>MONTH(C2305)</f>
        <v/>
      </c>
      <c r="V2305" s="91" t="n"/>
      <c r="W2305" s="91" t="n"/>
      <c r="X2305" s="91" t="n"/>
      <c r="Y2305" s="91" t="n"/>
      <c r="Z2305" s="91" t="n"/>
    </row>
    <row r="2306" ht="12.75" customHeight="1" s="117">
      <c r="A2306" s="91" t="n"/>
      <c r="B2306" s="91" t="n"/>
      <c r="C2306" s="91" t="n"/>
      <c r="D2306" s="91" t="n"/>
      <c r="E2306" s="91" t="n"/>
      <c r="F2306" s="91" t="n"/>
      <c r="G2306" s="91" t="n"/>
      <c r="H2306" s="91" t="n"/>
      <c r="I2306" s="91" t="n"/>
      <c r="J2306" s="91" t="n"/>
      <c r="K2306" s="91" t="n"/>
      <c r="L2306" s="91" t="n"/>
      <c r="M2306" s="91" t="n"/>
      <c r="N2306" s="91" t="n"/>
      <c r="O2306" s="91" t="n"/>
      <c r="P2306" s="91" t="n"/>
      <c r="Q2306" s="91" t="n"/>
      <c r="R2306" s="91" t="n"/>
      <c r="S2306" s="91" t="n"/>
      <c r="T2306" s="25">
        <f>DAY(C2306)</f>
        <v/>
      </c>
      <c r="U2306" s="22">
        <f>MONTH(C2306)</f>
        <v/>
      </c>
      <c r="V2306" s="91" t="n"/>
      <c r="W2306" s="91" t="n"/>
      <c r="X2306" s="91" t="n"/>
      <c r="Y2306" s="91" t="n"/>
      <c r="Z2306" s="91" t="n"/>
    </row>
    <row r="2307" ht="12.75" customHeight="1" s="117">
      <c r="A2307" s="91" t="n"/>
      <c r="B2307" s="91" t="n"/>
      <c r="C2307" s="91" t="n"/>
      <c r="D2307" s="91" t="n"/>
      <c r="E2307" s="91" t="n"/>
      <c r="F2307" s="91" t="n"/>
      <c r="G2307" s="91" t="n"/>
      <c r="H2307" s="91" t="n"/>
      <c r="I2307" s="91" t="n"/>
      <c r="J2307" s="91" t="n"/>
      <c r="K2307" s="91" t="n"/>
      <c r="L2307" s="91" t="n"/>
      <c r="M2307" s="91" t="n"/>
      <c r="N2307" s="91" t="n"/>
      <c r="O2307" s="91" t="n"/>
      <c r="P2307" s="91" t="n"/>
      <c r="Q2307" s="91" t="n"/>
      <c r="R2307" s="91" t="n"/>
      <c r="S2307" s="91" t="n"/>
      <c r="T2307" s="25">
        <f>DAY(C2307)</f>
        <v/>
      </c>
      <c r="U2307" s="22">
        <f>MONTH(C2307)</f>
        <v/>
      </c>
      <c r="V2307" s="91" t="n"/>
      <c r="W2307" s="91" t="n"/>
      <c r="X2307" s="91" t="n"/>
      <c r="Y2307" s="91" t="n"/>
      <c r="Z2307" s="91" t="n"/>
    </row>
    <row r="2308" ht="12.75" customHeight="1" s="117">
      <c r="A2308" s="91" t="n"/>
      <c r="B2308" s="91" t="n"/>
      <c r="C2308" s="91" t="n"/>
      <c r="D2308" s="91" t="n"/>
      <c r="E2308" s="91" t="n"/>
      <c r="F2308" s="91" t="n"/>
      <c r="G2308" s="91" t="n"/>
      <c r="H2308" s="91" t="n"/>
      <c r="I2308" s="91" t="n"/>
      <c r="J2308" s="91" t="n"/>
      <c r="K2308" s="91" t="n"/>
      <c r="L2308" s="91" t="n"/>
      <c r="M2308" s="91" t="n"/>
      <c r="N2308" s="91" t="n"/>
      <c r="O2308" s="91" t="n"/>
      <c r="P2308" s="91" t="n"/>
      <c r="Q2308" s="91" t="n"/>
      <c r="R2308" s="91" t="n"/>
      <c r="S2308" s="91" t="n"/>
      <c r="T2308" s="25">
        <f>DAY(C2308)</f>
        <v/>
      </c>
      <c r="U2308" s="22">
        <f>MONTH(C2308)</f>
        <v/>
      </c>
      <c r="V2308" s="91" t="n"/>
      <c r="W2308" s="91" t="n"/>
      <c r="X2308" s="91" t="n"/>
      <c r="Y2308" s="91" t="n"/>
      <c r="Z2308" s="91" t="n"/>
    </row>
    <row r="2309" ht="12.75" customHeight="1" s="117">
      <c r="A2309" s="91" t="n"/>
      <c r="B2309" s="91" t="n"/>
      <c r="C2309" s="91" t="n"/>
      <c r="D2309" s="91" t="n"/>
      <c r="E2309" s="91" t="n"/>
      <c r="F2309" s="91" t="n"/>
      <c r="G2309" s="91" t="n"/>
      <c r="H2309" s="91" t="n"/>
      <c r="I2309" s="91" t="n"/>
      <c r="J2309" s="91" t="n"/>
      <c r="K2309" s="91" t="n"/>
      <c r="L2309" s="91" t="n"/>
      <c r="M2309" s="91" t="n"/>
      <c r="N2309" s="91" t="n"/>
      <c r="O2309" s="91" t="n"/>
      <c r="P2309" s="91" t="n"/>
      <c r="Q2309" s="91" t="n"/>
      <c r="R2309" s="91" t="n"/>
      <c r="S2309" s="91" t="n"/>
      <c r="T2309" s="25">
        <f>DAY(C2309)</f>
        <v/>
      </c>
      <c r="U2309" s="22">
        <f>MONTH(C2309)</f>
        <v/>
      </c>
      <c r="V2309" s="91" t="n"/>
      <c r="W2309" s="91" t="n"/>
      <c r="X2309" s="91" t="n"/>
      <c r="Y2309" s="91" t="n"/>
      <c r="Z2309" s="91" t="n"/>
    </row>
    <row r="2310" ht="12.75" customHeight="1" s="117">
      <c r="A2310" s="91" t="n"/>
      <c r="B2310" s="91" t="n"/>
      <c r="C2310" s="91" t="n"/>
      <c r="D2310" s="91" t="n"/>
      <c r="E2310" s="91" t="n"/>
      <c r="F2310" s="91" t="n"/>
      <c r="G2310" s="91" t="n"/>
      <c r="H2310" s="91" t="n"/>
      <c r="I2310" s="91" t="n"/>
      <c r="J2310" s="91" t="n"/>
      <c r="K2310" s="91" t="n"/>
      <c r="L2310" s="91" t="n"/>
      <c r="M2310" s="91" t="n"/>
      <c r="N2310" s="91" t="n"/>
      <c r="O2310" s="91" t="n"/>
      <c r="P2310" s="91" t="n"/>
      <c r="Q2310" s="91" t="n"/>
      <c r="R2310" s="91" t="n"/>
      <c r="S2310" s="91" t="n"/>
      <c r="T2310" s="25">
        <f>DAY(C2310)</f>
        <v/>
      </c>
      <c r="U2310" s="22">
        <f>MONTH(C2310)</f>
        <v/>
      </c>
      <c r="V2310" s="91" t="n"/>
      <c r="W2310" s="91" t="n"/>
      <c r="X2310" s="91" t="n"/>
      <c r="Y2310" s="91" t="n"/>
      <c r="Z2310" s="91" t="n"/>
    </row>
    <row r="2311" ht="12.75" customHeight="1" s="117">
      <c r="A2311" s="91" t="n"/>
      <c r="B2311" s="91" t="n"/>
      <c r="C2311" s="91" t="n"/>
      <c r="D2311" s="91" t="n"/>
      <c r="E2311" s="91" t="n"/>
      <c r="F2311" s="91" t="n"/>
      <c r="G2311" s="91" t="n"/>
      <c r="H2311" s="91" t="n"/>
      <c r="I2311" s="91" t="n"/>
      <c r="J2311" s="91" t="n"/>
      <c r="K2311" s="91" t="n"/>
      <c r="L2311" s="91" t="n"/>
      <c r="M2311" s="91" t="n"/>
      <c r="N2311" s="91" t="n"/>
      <c r="O2311" s="91" t="n"/>
      <c r="P2311" s="91" t="n"/>
      <c r="Q2311" s="91" t="n"/>
      <c r="R2311" s="91" t="n"/>
      <c r="S2311" s="91" t="n"/>
      <c r="T2311" s="25">
        <f>DAY(C2311)</f>
        <v/>
      </c>
      <c r="U2311" s="22">
        <f>MONTH(C2311)</f>
        <v/>
      </c>
      <c r="V2311" s="91" t="n"/>
      <c r="W2311" s="91" t="n"/>
      <c r="X2311" s="91" t="n"/>
      <c r="Y2311" s="91" t="n"/>
      <c r="Z2311" s="91" t="n"/>
    </row>
    <row r="2312" ht="12.75" customHeight="1" s="117">
      <c r="A2312" s="91" t="n"/>
      <c r="B2312" s="91" t="n"/>
      <c r="C2312" s="91" t="n"/>
      <c r="D2312" s="91" t="n"/>
      <c r="E2312" s="91" t="n"/>
      <c r="F2312" s="91" t="n"/>
      <c r="G2312" s="91" t="n"/>
      <c r="H2312" s="91" t="n"/>
      <c r="I2312" s="91" t="n"/>
      <c r="J2312" s="91" t="n"/>
      <c r="K2312" s="91" t="n"/>
      <c r="L2312" s="91" t="n"/>
      <c r="M2312" s="91" t="n"/>
      <c r="N2312" s="91" t="n"/>
      <c r="O2312" s="91" t="n"/>
      <c r="P2312" s="91" t="n"/>
      <c r="Q2312" s="91" t="n"/>
      <c r="R2312" s="91" t="n"/>
      <c r="S2312" s="91" t="n"/>
      <c r="T2312" s="25">
        <f>DAY(C2312)</f>
        <v/>
      </c>
      <c r="U2312" s="22">
        <f>MONTH(C2312)</f>
        <v/>
      </c>
      <c r="V2312" s="91" t="n"/>
      <c r="W2312" s="91" t="n"/>
      <c r="X2312" s="91" t="n"/>
      <c r="Y2312" s="91" t="n"/>
      <c r="Z2312" s="91" t="n"/>
    </row>
    <row r="2313" ht="12.75" customHeight="1" s="117">
      <c r="A2313" s="91" t="n"/>
      <c r="B2313" s="91" t="n"/>
      <c r="C2313" s="91" t="n"/>
      <c r="D2313" s="91" t="n"/>
      <c r="E2313" s="91" t="n"/>
      <c r="F2313" s="91" t="n"/>
      <c r="G2313" s="91" t="n"/>
      <c r="H2313" s="91" t="n"/>
      <c r="I2313" s="91" t="n"/>
      <c r="J2313" s="91" t="n"/>
      <c r="K2313" s="91" t="n"/>
      <c r="L2313" s="91" t="n"/>
      <c r="M2313" s="91" t="n"/>
      <c r="N2313" s="91" t="n"/>
      <c r="O2313" s="91" t="n"/>
      <c r="P2313" s="91" t="n"/>
      <c r="Q2313" s="91" t="n"/>
      <c r="R2313" s="91" t="n"/>
      <c r="S2313" s="91" t="n"/>
      <c r="T2313" s="25">
        <f>DAY(C2313)</f>
        <v/>
      </c>
      <c r="U2313" s="22">
        <f>MONTH(C2313)</f>
        <v/>
      </c>
      <c r="V2313" s="91" t="n"/>
      <c r="W2313" s="91" t="n"/>
      <c r="X2313" s="91" t="n"/>
      <c r="Y2313" s="91" t="n"/>
      <c r="Z2313" s="91" t="n"/>
    </row>
    <row r="2314" ht="12.75" customHeight="1" s="117">
      <c r="A2314" s="91" t="n"/>
      <c r="B2314" s="91" t="n"/>
      <c r="C2314" s="91" t="n"/>
      <c r="D2314" s="91" t="n"/>
      <c r="E2314" s="91" t="n"/>
      <c r="F2314" s="91" t="n"/>
      <c r="G2314" s="91" t="n"/>
      <c r="H2314" s="91" t="n"/>
      <c r="I2314" s="91" t="n"/>
      <c r="J2314" s="91" t="n"/>
      <c r="K2314" s="91" t="n"/>
      <c r="L2314" s="91" t="n"/>
      <c r="M2314" s="91" t="n"/>
      <c r="N2314" s="91" t="n"/>
      <c r="O2314" s="91" t="n"/>
      <c r="P2314" s="91" t="n"/>
      <c r="Q2314" s="91" t="n"/>
      <c r="R2314" s="91" t="n"/>
      <c r="S2314" s="91" t="n"/>
      <c r="T2314" s="25">
        <f>DAY(C2314)</f>
        <v/>
      </c>
      <c r="U2314" s="22">
        <f>MONTH(C2314)</f>
        <v/>
      </c>
      <c r="V2314" s="91" t="n"/>
      <c r="W2314" s="91" t="n"/>
      <c r="X2314" s="91" t="n"/>
      <c r="Y2314" s="91" t="n"/>
      <c r="Z2314" s="91" t="n"/>
    </row>
    <row r="2315" ht="12.75" customHeight="1" s="117">
      <c r="A2315" s="91" t="n"/>
      <c r="B2315" s="91" t="n"/>
      <c r="C2315" s="91" t="n"/>
      <c r="D2315" s="91" t="n"/>
      <c r="E2315" s="91" t="n"/>
      <c r="F2315" s="91" t="n"/>
      <c r="G2315" s="91" t="n"/>
      <c r="H2315" s="91" t="n"/>
      <c r="I2315" s="91" t="n"/>
      <c r="J2315" s="91" t="n"/>
      <c r="K2315" s="91" t="n"/>
      <c r="L2315" s="91" t="n"/>
      <c r="M2315" s="91" t="n"/>
      <c r="N2315" s="91" t="n"/>
      <c r="O2315" s="91" t="n"/>
      <c r="P2315" s="91" t="n"/>
      <c r="Q2315" s="91" t="n"/>
      <c r="R2315" s="91" t="n"/>
      <c r="S2315" s="91" t="n"/>
      <c r="T2315" s="25">
        <f>DAY(C2315)</f>
        <v/>
      </c>
      <c r="U2315" s="22">
        <f>MONTH(C2315)</f>
        <v/>
      </c>
      <c r="V2315" s="91" t="n"/>
      <c r="W2315" s="91" t="n"/>
      <c r="X2315" s="91" t="n"/>
      <c r="Y2315" s="91" t="n"/>
      <c r="Z2315" s="91" t="n"/>
    </row>
    <row r="2316" ht="12.75" customHeight="1" s="117">
      <c r="A2316" s="91" t="n"/>
      <c r="B2316" s="91" t="n"/>
      <c r="C2316" s="91" t="n"/>
      <c r="D2316" s="91" t="n"/>
      <c r="E2316" s="91" t="n"/>
      <c r="F2316" s="91" t="n"/>
      <c r="G2316" s="91" t="n"/>
      <c r="H2316" s="91" t="n"/>
      <c r="I2316" s="91" t="n"/>
      <c r="J2316" s="91" t="n"/>
      <c r="K2316" s="91" t="n"/>
      <c r="L2316" s="91" t="n"/>
      <c r="M2316" s="91" t="n"/>
      <c r="N2316" s="91" t="n"/>
      <c r="O2316" s="91" t="n"/>
      <c r="P2316" s="91" t="n"/>
      <c r="Q2316" s="91" t="n"/>
      <c r="R2316" s="91" t="n"/>
      <c r="S2316" s="91" t="n"/>
      <c r="T2316" s="25">
        <f>DAY(C2316)</f>
        <v/>
      </c>
      <c r="U2316" s="22">
        <f>MONTH(C2316)</f>
        <v/>
      </c>
      <c r="V2316" s="91" t="n"/>
      <c r="W2316" s="91" t="n"/>
      <c r="X2316" s="91" t="n"/>
      <c r="Y2316" s="91" t="n"/>
      <c r="Z2316" s="91" t="n"/>
    </row>
    <row r="2317" ht="12.75" customHeight="1" s="117">
      <c r="A2317" s="91" t="n"/>
      <c r="B2317" s="91" t="n"/>
      <c r="C2317" s="91" t="n"/>
      <c r="D2317" s="91" t="n"/>
      <c r="E2317" s="91" t="n"/>
      <c r="F2317" s="91" t="n"/>
      <c r="G2317" s="91" t="n"/>
      <c r="H2317" s="91" t="n"/>
      <c r="I2317" s="91" t="n"/>
      <c r="J2317" s="91" t="n"/>
      <c r="K2317" s="91" t="n"/>
      <c r="L2317" s="91" t="n"/>
      <c r="M2317" s="91" t="n"/>
      <c r="N2317" s="91" t="n"/>
      <c r="O2317" s="91" t="n"/>
      <c r="P2317" s="91" t="n"/>
      <c r="Q2317" s="91" t="n"/>
      <c r="R2317" s="91" t="n"/>
      <c r="S2317" s="91" t="n"/>
      <c r="T2317" s="25">
        <f>DAY(C2317)</f>
        <v/>
      </c>
      <c r="U2317" s="22">
        <f>MONTH(C2317)</f>
        <v/>
      </c>
      <c r="V2317" s="91" t="n"/>
      <c r="W2317" s="91" t="n"/>
      <c r="X2317" s="91" t="n"/>
      <c r="Y2317" s="91" t="n"/>
      <c r="Z2317" s="91" t="n"/>
    </row>
    <row r="2318" ht="12.75" customHeight="1" s="117">
      <c r="A2318" s="91" t="n"/>
      <c r="B2318" s="91" t="n"/>
      <c r="C2318" s="91" t="n"/>
      <c r="D2318" s="91" t="n"/>
      <c r="E2318" s="91" t="n"/>
      <c r="F2318" s="91" t="n"/>
      <c r="G2318" s="91" t="n"/>
      <c r="H2318" s="91" t="n"/>
      <c r="I2318" s="91" t="n"/>
      <c r="J2318" s="91" t="n"/>
      <c r="K2318" s="91" t="n"/>
      <c r="L2318" s="91" t="n"/>
      <c r="M2318" s="91" t="n"/>
      <c r="N2318" s="91" t="n"/>
      <c r="O2318" s="91" t="n"/>
      <c r="P2318" s="91" t="n"/>
      <c r="Q2318" s="91" t="n"/>
      <c r="R2318" s="91" t="n"/>
      <c r="S2318" s="91" t="n"/>
      <c r="T2318" s="25">
        <f>DAY(C2318)</f>
        <v/>
      </c>
      <c r="U2318" s="22">
        <f>MONTH(C2318)</f>
        <v/>
      </c>
      <c r="V2318" s="91" t="n"/>
      <c r="W2318" s="91" t="n"/>
      <c r="X2318" s="91" t="n"/>
      <c r="Y2318" s="91" t="n"/>
      <c r="Z2318" s="91" t="n"/>
    </row>
    <row r="2319" ht="12.75" customHeight="1" s="117">
      <c r="A2319" s="91" t="n"/>
      <c r="B2319" s="91" t="n"/>
      <c r="C2319" s="91" t="n"/>
      <c r="D2319" s="91" t="n"/>
      <c r="E2319" s="91" t="n"/>
      <c r="F2319" s="91" t="n"/>
      <c r="G2319" s="91" t="n"/>
      <c r="H2319" s="91" t="n"/>
      <c r="I2319" s="91" t="n"/>
      <c r="J2319" s="91" t="n"/>
      <c r="K2319" s="91" t="n"/>
      <c r="L2319" s="91" t="n"/>
      <c r="M2319" s="91" t="n"/>
      <c r="N2319" s="91" t="n"/>
      <c r="O2319" s="91" t="n"/>
      <c r="P2319" s="91" t="n"/>
      <c r="Q2319" s="91" t="n"/>
      <c r="R2319" s="91" t="n"/>
      <c r="S2319" s="91" t="n"/>
      <c r="T2319" s="25">
        <f>DAY(C2319)</f>
        <v/>
      </c>
      <c r="U2319" s="22">
        <f>MONTH(C2319)</f>
        <v/>
      </c>
      <c r="V2319" s="91" t="n"/>
      <c r="W2319" s="91" t="n"/>
      <c r="X2319" s="91" t="n"/>
      <c r="Y2319" s="91" t="n"/>
      <c r="Z2319" s="91" t="n"/>
    </row>
    <row r="2320" ht="12.75" customHeight="1" s="117">
      <c r="A2320" s="91" t="n"/>
      <c r="B2320" s="91" t="n"/>
      <c r="C2320" s="91" t="n"/>
      <c r="D2320" s="91" t="n"/>
      <c r="E2320" s="91" t="n"/>
      <c r="F2320" s="91" t="n"/>
      <c r="G2320" s="91" t="n"/>
      <c r="H2320" s="91" t="n"/>
      <c r="I2320" s="91" t="n"/>
      <c r="J2320" s="91" t="n"/>
      <c r="K2320" s="91" t="n"/>
      <c r="L2320" s="91" t="n"/>
      <c r="M2320" s="91" t="n"/>
      <c r="N2320" s="91" t="n"/>
      <c r="O2320" s="91" t="n"/>
      <c r="P2320" s="91" t="n"/>
      <c r="Q2320" s="91" t="n"/>
      <c r="R2320" s="91" t="n"/>
      <c r="S2320" s="91" t="n"/>
      <c r="T2320" s="25">
        <f>DAY(C2320)</f>
        <v/>
      </c>
      <c r="U2320" s="22">
        <f>MONTH(C2320)</f>
        <v/>
      </c>
      <c r="V2320" s="91" t="n"/>
      <c r="W2320" s="91" t="n"/>
      <c r="X2320" s="91" t="n"/>
      <c r="Y2320" s="91" t="n"/>
      <c r="Z2320" s="91" t="n"/>
    </row>
    <row r="2321" ht="12.75" customHeight="1" s="117">
      <c r="A2321" s="91" t="n"/>
      <c r="B2321" s="91" t="n"/>
      <c r="C2321" s="91" t="n"/>
      <c r="D2321" s="91" t="n"/>
      <c r="E2321" s="91" t="n"/>
      <c r="F2321" s="91" t="n"/>
      <c r="G2321" s="91" t="n"/>
      <c r="H2321" s="91" t="n"/>
      <c r="I2321" s="91" t="n"/>
      <c r="J2321" s="91" t="n"/>
      <c r="K2321" s="91" t="n"/>
      <c r="L2321" s="91" t="n"/>
      <c r="M2321" s="91" t="n"/>
      <c r="N2321" s="91" t="n"/>
      <c r="O2321" s="91" t="n"/>
      <c r="P2321" s="91" t="n"/>
      <c r="Q2321" s="91" t="n"/>
      <c r="R2321" s="91" t="n"/>
      <c r="S2321" s="91" t="n"/>
      <c r="T2321" s="25">
        <f>DAY(C2321)</f>
        <v/>
      </c>
      <c r="U2321" s="22">
        <f>MONTH(C2321)</f>
        <v/>
      </c>
      <c r="V2321" s="91" t="n"/>
      <c r="W2321" s="91" t="n"/>
      <c r="X2321" s="91" t="n"/>
      <c r="Y2321" s="91" t="n"/>
      <c r="Z2321" s="91" t="n"/>
    </row>
    <row r="2322" ht="12.75" customHeight="1" s="117">
      <c r="A2322" s="91" t="n"/>
      <c r="B2322" s="91" t="n"/>
      <c r="C2322" s="91" t="n"/>
      <c r="D2322" s="91" t="n"/>
      <c r="E2322" s="91" t="n"/>
      <c r="F2322" s="91" t="n"/>
      <c r="G2322" s="91" t="n"/>
      <c r="H2322" s="91" t="n"/>
      <c r="I2322" s="91" t="n"/>
      <c r="J2322" s="91" t="n"/>
      <c r="K2322" s="91" t="n"/>
      <c r="L2322" s="91" t="n"/>
      <c r="M2322" s="91" t="n"/>
      <c r="N2322" s="91" t="n"/>
      <c r="O2322" s="91" t="n"/>
      <c r="P2322" s="91" t="n"/>
      <c r="Q2322" s="91" t="n"/>
      <c r="R2322" s="91" t="n"/>
      <c r="S2322" s="91" t="n"/>
      <c r="T2322" s="25">
        <f>DAY(C2322)</f>
        <v/>
      </c>
      <c r="U2322" s="22">
        <f>MONTH(C2322)</f>
        <v/>
      </c>
      <c r="V2322" s="91" t="n"/>
      <c r="W2322" s="91" t="n"/>
      <c r="X2322" s="91" t="n"/>
      <c r="Y2322" s="91" t="n"/>
      <c r="Z2322" s="91" t="n"/>
    </row>
    <row r="2323" ht="12.75" customHeight="1" s="117">
      <c r="A2323" s="91" t="n"/>
      <c r="B2323" s="91" t="n"/>
      <c r="C2323" s="91" t="n"/>
      <c r="D2323" s="91" t="n"/>
      <c r="E2323" s="91" t="n"/>
      <c r="F2323" s="91" t="n"/>
      <c r="G2323" s="91" t="n"/>
      <c r="H2323" s="91" t="n"/>
      <c r="I2323" s="91" t="n"/>
      <c r="J2323" s="91" t="n"/>
      <c r="K2323" s="91" t="n"/>
      <c r="L2323" s="91" t="n"/>
      <c r="M2323" s="91" t="n"/>
      <c r="N2323" s="91" t="n"/>
      <c r="O2323" s="91" t="n"/>
      <c r="P2323" s="91" t="n"/>
      <c r="Q2323" s="91" t="n"/>
      <c r="R2323" s="91" t="n"/>
      <c r="S2323" s="91" t="n"/>
      <c r="T2323" s="25">
        <f>DAY(C2323)</f>
        <v/>
      </c>
      <c r="U2323" s="22">
        <f>MONTH(C2323)</f>
        <v/>
      </c>
      <c r="V2323" s="91" t="n"/>
      <c r="W2323" s="91" t="n"/>
      <c r="X2323" s="91" t="n"/>
      <c r="Y2323" s="91" t="n"/>
      <c r="Z2323" s="91" t="n"/>
    </row>
    <row r="2324" ht="12.75" customHeight="1" s="117">
      <c r="A2324" s="91" t="n"/>
      <c r="B2324" s="91" t="n"/>
      <c r="C2324" s="91" t="n"/>
      <c r="D2324" s="91" t="n"/>
      <c r="E2324" s="91" t="n"/>
      <c r="F2324" s="91" t="n"/>
      <c r="G2324" s="91" t="n"/>
      <c r="H2324" s="91" t="n"/>
      <c r="I2324" s="91" t="n"/>
      <c r="J2324" s="91" t="n"/>
      <c r="K2324" s="91" t="n"/>
      <c r="L2324" s="91" t="n"/>
      <c r="M2324" s="91" t="n"/>
      <c r="N2324" s="91" t="n"/>
      <c r="O2324" s="91" t="n"/>
      <c r="P2324" s="91" t="n"/>
      <c r="Q2324" s="91" t="n"/>
      <c r="R2324" s="91" t="n"/>
      <c r="S2324" s="91" t="n"/>
      <c r="T2324" s="25">
        <f>DAY(C2324)</f>
        <v/>
      </c>
      <c r="U2324" s="22">
        <f>MONTH(C2324)</f>
        <v/>
      </c>
      <c r="V2324" s="91" t="n"/>
      <c r="W2324" s="91" t="n"/>
      <c r="X2324" s="91" t="n"/>
      <c r="Y2324" s="91" t="n"/>
      <c r="Z2324" s="91" t="n"/>
    </row>
    <row r="2325" ht="12.75" customHeight="1" s="117">
      <c r="A2325" s="91" t="n"/>
      <c r="B2325" s="91" t="n"/>
      <c r="C2325" s="91" t="n"/>
      <c r="D2325" s="91" t="n"/>
      <c r="E2325" s="91" t="n"/>
      <c r="F2325" s="91" t="n"/>
      <c r="G2325" s="91" t="n"/>
      <c r="H2325" s="91" t="n"/>
      <c r="I2325" s="91" t="n"/>
      <c r="J2325" s="91" t="n"/>
      <c r="K2325" s="91" t="n"/>
      <c r="L2325" s="91" t="n"/>
      <c r="M2325" s="91" t="n"/>
      <c r="N2325" s="91" t="n"/>
      <c r="O2325" s="91" t="n"/>
      <c r="P2325" s="91" t="n"/>
      <c r="Q2325" s="91" t="n"/>
      <c r="R2325" s="91" t="n"/>
      <c r="S2325" s="91" t="n"/>
      <c r="T2325" s="25">
        <f>DAY(C2325)</f>
        <v/>
      </c>
      <c r="U2325" s="22">
        <f>MONTH(C2325)</f>
        <v/>
      </c>
      <c r="V2325" s="91" t="n"/>
      <c r="W2325" s="91" t="n"/>
      <c r="X2325" s="91" t="n"/>
      <c r="Y2325" s="91" t="n"/>
      <c r="Z2325" s="91" t="n"/>
    </row>
    <row r="2326" ht="12.75" customHeight="1" s="117">
      <c r="A2326" s="91" t="n"/>
      <c r="B2326" s="91" t="n"/>
      <c r="C2326" s="91" t="n"/>
      <c r="D2326" s="91" t="n"/>
      <c r="E2326" s="91" t="n"/>
      <c r="F2326" s="91" t="n"/>
      <c r="G2326" s="91" t="n"/>
      <c r="H2326" s="91" t="n"/>
      <c r="I2326" s="91" t="n"/>
      <c r="J2326" s="91" t="n"/>
      <c r="K2326" s="91" t="n"/>
      <c r="L2326" s="91" t="n"/>
      <c r="M2326" s="91" t="n"/>
      <c r="N2326" s="91" t="n"/>
      <c r="O2326" s="91" t="n"/>
      <c r="P2326" s="91" t="n"/>
      <c r="Q2326" s="91" t="n"/>
      <c r="R2326" s="91" t="n"/>
      <c r="S2326" s="91" t="n"/>
      <c r="T2326" s="25">
        <f>DAY(C2326)</f>
        <v/>
      </c>
      <c r="U2326" s="22">
        <f>MONTH(C2326)</f>
        <v/>
      </c>
      <c r="V2326" s="91" t="n"/>
      <c r="W2326" s="91" t="n"/>
      <c r="X2326" s="91" t="n"/>
      <c r="Y2326" s="91" t="n"/>
      <c r="Z2326" s="91" t="n"/>
    </row>
    <row r="2327" ht="12.75" customHeight="1" s="117">
      <c r="A2327" s="91" t="n"/>
      <c r="B2327" s="91" t="n"/>
      <c r="C2327" s="91" t="n"/>
      <c r="D2327" s="91" t="n"/>
      <c r="E2327" s="91" t="n"/>
      <c r="F2327" s="91" t="n"/>
      <c r="G2327" s="91" t="n"/>
      <c r="H2327" s="91" t="n"/>
      <c r="I2327" s="91" t="n"/>
      <c r="J2327" s="91" t="n"/>
      <c r="K2327" s="91" t="n"/>
      <c r="L2327" s="91" t="n"/>
      <c r="M2327" s="91" t="n"/>
      <c r="N2327" s="91" t="n"/>
      <c r="O2327" s="91" t="n"/>
      <c r="P2327" s="91" t="n"/>
      <c r="Q2327" s="91" t="n"/>
      <c r="R2327" s="91" t="n"/>
      <c r="S2327" s="91" t="n"/>
      <c r="T2327" s="25">
        <f>DAY(C2327)</f>
        <v/>
      </c>
      <c r="U2327" s="22">
        <f>MONTH(C2327)</f>
        <v/>
      </c>
      <c r="V2327" s="91" t="n"/>
      <c r="W2327" s="91" t="n"/>
      <c r="X2327" s="91" t="n"/>
      <c r="Y2327" s="91" t="n"/>
      <c r="Z2327" s="91" t="n"/>
    </row>
    <row r="2328" ht="12.75" customHeight="1" s="117">
      <c r="A2328" s="91" t="n"/>
      <c r="B2328" s="91" t="n"/>
      <c r="C2328" s="91" t="n"/>
      <c r="D2328" s="91" t="n"/>
      <c r="E2328" s="91" t="n"/>
      <c r="F2328" s="91" t="n"/>
      <c r="G2328" s="91" t="n"/>
      <c r="H2328" s="91" t="n"/>
      <c r="I2328" s="91" t="n"/>
      <c r="J2328" s="91" t="n"/>
      <c r="K2328" s="91" t="n"/>
      <c r="L2328" s="91" t="n"/>
      <c r="M2328" s="91" t="n"/>
      <c r="N2328" s="91" t="n"/>
      <c r="O2328" s="91" t="n"/>
      <c r="P2328" s="91" t="n"/>
      <c r="Q2328" s="91" t="n"/>
      <c r="R2328" s="91" t="n"/>
      <c r="S2328" s="91" t="n"/>
      <c r="T2328" s="25">
        <f>DAY(C2328)</f>
        <v/>
      </c>
      <c r="U2328" s="22">
        <f>MONTH(C2328)</f>
        <v/>
      </c>
      <c r="V2328" s="91" t="n"/>
      <c r="W2328" s="91" t="n"/>
      <c r="X2328" s="91" t="n"/>
      <c r="Y2328" s="91" t="n"/>
      <c r="Z2328" s="91" t="n"/>
    </row>
    <row r="2329" ht="12.75" customHeight="1" s="117">
      <c r="A2329" s="91" t="n"/>
      <c r="B2329" s="91" t="n"/>
      <c r="C2329" s="91" t="n"/>
      <c r="D2329" s="91" t="n"/>
      <c r="E2329" s="91" t="n"/>
      <c r="F2329" s="91" t="n"/>
      <c r="G2329" s="91" t="n"/>
      <c r="H2329" s="91" t="n"/>
      <c r="I2329" s="91" t="n"/>
      <c r="J2329" s="91" t="n"/>
      <c r="K2329" s="91" t="n"/>
      <c r="L2329" s="91" t="n"/>
      <c r="M2329" s="91" t="n"/>
      <c r="N2329" s="91" t="n"/>
      <c r="O2329" s="91" t="n"/>
      <c r="P2329" s="91" t="n"/>
      <c r="Q2329" s="91" t="n"/>
      <c r="R2329" s="91" t="n"/>
      <c r="S2329" s="91" t="n"/>
      <c r="T2329" s="25">
        <f>DAY(C2329)</f>
        <v/>
      </c>
      <c r="U2329" s="22">
        <f>MONTH(C2329)</f>
        <v/>
      </c>
      <c r="V2329" s="91" t="n"/>
      <c r="W2329" s="91" t="n"/>
      <c r="X2329" s="91" t="n"/>
      <c r="Y2329" s="91" t="n"/>
      <c r="Z2329" s="91" t="n"/>
    </row>
    <row r="2330" ht="12.75" customHeight="1" s="117">
      <c r="A2330" s="91" t="n"/>
      <c r="B2330" s="91" t="n"/>
      <c r="C2330" s="91" t="n"/>
      <c r="D2330" s="91" t="n"/>
      <c r="E2330" s="91" t="n"/>
      <c r="F2330" s="91" t="n"/>
      <c r="G2330" s="91" t="n"/>
      <c r="H2330" s="91" t="n"/>
      <c r="I2330" s="91" t="n"/>
      <c r="J2330" s="91" t="n"/>
      <c r="K2330" s="91" t="n"/>
      <c r="L2330" s="91" t="n"/>
      <c r="M2330" s="91" t="n"/>
      <c r="N2330" s="91" t="n"/>
      <c r="O2330" s="91" t="n"/>
      <c r="P2330" s="91" t="n"/>
      <c r="Q2330" s="91" t="n"/>
      <c r="R2330" s="91" t="n"/>
      <c r="S2330" s="91" t="n"/>
      <c r="T2330" s="25">
        <f>DAY(C2330)</f>
        <v/>
      </c>
      <c r="U2330" s="22">
        <f>MONTH(C2330)</f>
        <v/>
      </c>
      <c r="V2330" s="91" t="n"/>
      <c r="W2330" s="91" t="n"/>
      <c r="X2330" s="91" t="n"/>
      <c r="Y2330" s="91" t="n"/>
      <c r="Z2330" s="91" t="n"/>
    </row>
    <row r="2331" ht="12.75" customHeight="1" s="117">
      <c r="A2331" s="91" t="n"/>
      <c r="B2331" s="91" t="n"/>
      <c r="C2331" s="91" t="n"/>
      <c r="D2331" s="91" t="n"/>
      <c r="E2331" s="91" t="n"/>
      <c r="F2331" s="91" t="n"/>
      <c r="G2331" s="91" t="n"/>
      <c r="H2331" s="91" t="n"/>
      <c r="I2331" s="91" t="n"/>
      <c r="J2331" s="91" t="n"/>
      <c r="K2331" s="91" t="n"/>
      <c r="L2331" s="91" t="n"/>
      <c r="M2331" s="91" t="n"/>
      <c r="N2331" s="91" t="n"/>
      <c r="O2331" s="91" t="n"/>
      <c r="P2331" s="91" t="n"/>
      <c r="Q2331" s="91" t="n"/>
      <c r="R2331" s="91" t="n"/>
      <c r="S2331" s="91" t="n"/>
      <c r="T2331" s="25">
        <f>DAY(C2331)</f>
        <v/>
      </c>
      <c r="U2331" s="22">
        <f>MONTH(C2331)</f>
        <v/>
      </c>
      <c r="V2331" s="91" t="n"/>
      <c r="W2331" s="91" t="n"/>
      <c r="X2331" s="91" t="n"/>
      <c r="Y2331" s="91" t="n"/>
      <c r="Z2331" s="91" t="n"/>
    </row>
    <row r="2332" ht="12.75" customHeight="1" s="117">
      <c r="A2332" s="91" t="n"/>
      <c r="B2332" s="91" t="n"/>
      <c r="C2332" s="91" t="n"/>
      <c r="D2332" s="91" t="n"/>
      <c r="E2332" s="91" t="n"/>
      <c r="F2332" s="91" t="n"/>
      <c r="G2332" s="91" t="n"/>
      <c r="H2332" s="91" t="n"/>
      <c r="I2332" s="91" t="n"/>
      <c r="J2332" s="91" t="n"/>
      <c r="K2332" s="91" t="n"/>
      <c r="L2332" s="91" t="n"/>
      <c r="M2332" s="91" t="n"/>
      <c r="N2332" s="91" t="n"/>
      <c r="O2332" s="91" t="n"/>
      <c r="P2332" s="91" t="n"/>
      <c r="Q2332" s="91" t="n"/>
      <c r="R2332" s="91" t="n"/>
      <c r="S2332" s="91" t="n"/>
      <c r="T2332" s="25">
        <f>DAY(C2332)</f>
        <v/>
      </c>
      <c r="U2332" s="22">
        <f>MONTH(C2332)</f>
        <v/>
      </c>
      <c r="V2332" s="91" t="n"/>
      <c r="W2332" s="91" t="n"/>
      <c r="X2332" s="91" t="n"/>
      <c r="Y2332" s="91" t="n"/>
      <c r="Z2332" s="91" t="n"/>
    </row>
    <row r="2333" ht="12.75" customHeight="1" s="117">
      <c r="A2333" s="91" t="n"/>
      <c r="B2333" s="91" t="n"/>
      <c r="C2333" s="91" t="n"/>
      <c r="D2333" s="91" t="n"/>
      <c r="E2333" s="91" t="n"/>
      <c r="F2333" s="91" t="n"/>
      <c r="G2333" s="91" t="n"/>
      <c r="H2333" s="91" t="n"/>
      <c r="I2333" s="91" t="n"/>
      <c r="J2333" s="91" t="n"/>
      <c r="K2333" s="91" t="n"/>
      <c r="L2333" s="91" t="n"/>
      <c r="M2333" s="91" t="n"/>
      <c r="N2333" s="91" t="n"/>
      <c r="O2333" s="91" t="n"/>
      <c r="P2333" s="91" t="n"/>
      <c r="Q2333" s="91" t="n"/>
      <c r="R2333" s="91" t="n"/>
      <c r="S2333" s="91" t="n"/>
      <c r="T2333" s="25">
        <f>DAY(C2333)</f>
        <v/>
      </c>
      <c r="U2333" s="22">
        <f>MONTH(C2333)</f>
        <v/>
      </c>
      <c r="V2333" s="91" t="n"/>
      <c r="W2333" s="91" t="n"/>
      <c r="X2333" s="91" t="n"/>
      <c r="Y2333" s="91" t="n"/>
      <c r="Z2333" s="91" t="n"/>
    </row>
    <row r="2334" ht="12.75" customHeight="1" s="117">
      <c r="A2334" s="91" t="n"/>
      <c r="B2334" s="91" t="n"/>
      <c r="C2334" s="91" t="n"/>
      <c r="D2334" s="91" t="n"/>
      <c r="E2334" s="91" t="n"/>
      <c r="F2334" s="91" t="n"/>
      <c r="G2334" s="91" t="n"/>
      <c r="H2334" s="91" t="n"/>
      <c r="I2334" s="91" t="n"/>
      <c r="J2334" s="91" t="n"/>
      <c r="K2334" s="91" t="n"/>
      <c r="L2334" s="91" t="n"/>
      <c r="M2334" s="91" t="n"/>
      <c r="N2334" s="91" t="n"/>
      <c r="O2334" s="91" t="n"/>
      <c r="P2334" s="91" t="n"/>
      <c r="Q2334" s="91" t="n"/>
      <c r="R2334" s="91" t="n"/>
      <c r="S2334" s="91" t="n"/>
      <c r="T2334" s="25">
        <f>DAY(C2334)</f>
        <v/>
      </c>
      <c r="U2334" s="22">
        <f>MONTH(C2334)</f>
        <v/>
      </c>
      <c r="V2334" s="91" t="n"/>
      <c r="W2334" s="91" t="n"/>
      <c r="X2334" s="91" t="n"/>
      <c r="Y2334" s="91" t="n"/>
      <c r="Z2334" s="91" t="n"/>
    </row>
    <row r="2335" ht="12.75" customHeight="1" s="117">
      <c r="A2335" s="91" t="n"/>
      <c r="B2335" s="91" t="n"/>
      <c r="C2335" s="91" t="n"/>
      <c r="D2335" s="91" t="n"/>
      <c r="E2335" s="91" t="n"/>
      <c r="F2335" s="91" t="n"/>
      <c r="G2335" s="91" t="n"/>
      <c r="H2335" s="91" t="n"/>
      <c r="I2335" s="91" t="n"/>
      <c r="J2335" s="91" t="n"/>
      <c r="K2335" s="91" t="n"/>
      <c r="L2335" s="91" t="n"/>
      <c r="M2335" s="91" t="n"/>
      <c r="N2335" s="91" t="n"/>
      <c r="O2335" s="91" t="n"/>
      <c r="P2335" s="91" t="n"/>
      <c r="Q2335" s="91" t="n"/>
      <c r="R2335" s="91" t="n"/>
      <c r="S2335" s="91" t="n"/>
      <c r="T2335" s="25">
        <f>DAY(C2335)</f>
        <v/>
      </c>
      <c r="U2335" s="22">
        <f>MONTH(C2335)</f>
        <v/>
      </c>
      <c r="V2335" s="91" t="n"/>
      <c r="W2335" s="91" t="n"/>
      <c r="X2335" s="91" t="n"/>
      <c r="Y2335" s="91" t="n"/>
      <c r="Z2335" s="91" t="n"/>
    </row>
    <row r="2336" ht="12.75" customHeight="1" s="117">
      <c r="A2336" s="91" t="n"/>
      <c r="B2336" s="91" t="n"/>
      <c r="C2336" s="91" t="n"/>
      <c r="D2336" s="91" t="n"/>
      <c r="E2336" s="91" t="n"/>
      <c r="F2336" s="91" t="n"/>
      <c r="G2336" s="91" t="n"/>
      <c r="H2336" s="91" t="n"/>
      <c r="I2336" s="91" t="n"/>
      <c r="J2336" s="91" t="n"/>
      <c r="K2336" s="91" t="n"/>
      <c r="L2336" s="91" t="n"/>
      <c r="M2336" s="91" t="n"/>
      <c r="N2336" s="91" t="n"/>
      <c r="O2336" s="91" t="n"/>
      <c r="P2336" s="91" t="n"/>
      <c r="Q2336" s="91" t="n"/>
      <c r="R2336" s="91" t="n"/>
      <c r="S2336" s="91" t="n"/>
      <c r="T2336" s="25">
        <f>DAY(C2336)</f>
        <v/>
      </c>
      <c r="U2336" s="22">
        <f>MONTH(C2336)</f>
        <v/>
      </c>
      <c r="V2336" s="91" t="n"/>
      <c r="W2336" s="91" t="n"/>
      <c r="X2336" s="91" t="n"/>
      <c r="Y2336" s="91" t="n"/>
      <c r="Z2336" s="91" t="n"/>
    </row>
    <row r="2337" ht="12.75" customHeight="1" s="117">
      <c r="A2337" s="91" t="n"/>
      <c r="B2337" s="91" t="n"/>
      <c r="C2337" s="91" t="n"/>
      <c r="D2337" s="91" t="n"/>
      <c r="E2337" s="91" t="n"/>
      <c r="F2337" s="91" t="n"/>
      <c r="G2337" s="91" t="n"/>
      <c r="H2337" s="91" t="n"/>
      <c r="I2337" s="91" t="n"/>
      <c r="J2337" s="91" t="n"/>
      <c r="K2337" s="91" t="n"/>
      <c r="L2337" s="91" t="n"/>
      <c r="M2337" s="91" t="n"/>
      <c r="N2337" s="91" t="n"/>
      <c r="O2337" s="91" t="n"/>
      <c r="P2337" s="91" t="n"/>
      <c r="Q2337" s="91" t="n"/>
      <c r="R2337" s="91" t="n"/>
      <c r="S2337" s="91" t="n"/>
      <c r="T2337" s="25">
        <f>DAY(C2337)</f>
        <v/>
      </c>
      <c r="U2337" s="22">
        <f>MONTH(C2337)</f>
        <v/>
      </c>
      <c r="V2337" s="91" t="n"/>
      <c r="W2337" s="91" t="n"/>
      <c r="X2337" s="91" t="n"/>
      <c r="Y2337" s="91" t="n"/>
      <c r="Z2337" s="91" t="n"/>
    </row>
    <row r="2338" ht="12.75" customHeight="1" s="117">
      <c r="A2338" s="91" t="n"/>
      <c r="B2338" s="91" t="n"/>
      <c r="C2338" s="91" t="n"/>
      <c r="D2338" s="91" t="n"/>
      <c r="E2338" s="91" t="n"/>
      <c r="F2338" s="91" t="n"/>
      <c r="G2338" s="91" t="n"/>
      <c r="H2338" s="91" t="n"/>
      <c r="I2338" s="91" t="n"/>
      <c r="J2338" s="91" t="n"/>
      <c r="K2338" s="91" t="n"/>
      <c r="L2338" s="91" t="n"/>
      <c r="M2338" s="91" t="n"/>
      <c r="N2338" s="91" t="n"/>
      <c r="O2338" s="91" t="n"/>
      <c r="P2338" s="91" t="n"/>
      <c r="Q2338" s="91" t="n"/>
      <c r="R2338" s="91" t="n"/>
      <c r="S2338" s="91" t="n"/>
      <c r="T2338" s="25">
        <f>DAY(C2338)</f>
        <v/>
      </c>
      <c r="U2338" s="22">
        <f>MONTH(C2338)</f>
        <v/>
      </c>
      <c r="V2338" s="91" t="n"/>
      <c r="W2338" s="91" t="n"/>
      <c r="X2338" s="91" t="n"/>
      <c r="Y2338" s="91" t="n"/>
      <c r="Z2338" s="91" t="n"/>
    </row>
    <row r="2339" ht="12.75" customHeight="1" s="117">
      <c r="A2339" s="91" t="n"/>
      <c r="B2339" s="91" t="n"/>
      <c r="C2339" s="91" t="n"/>
      <c r="D2339" s="91" t="n"/>
      <c r="E2339" s="91" t="n"/>
      <c r="F2339" s="91" t="n"/>
      <c r="G2339" s="91" t="n"/>
      <c r="H2339" s="91" t="n"/>
      <c r="I2339" s="91" t="n"/>
      <c r="J2339" s="91" t="n"/>
      <c r="K2339" s="91" t="n"/>
      <c r="L2339" s="91" t="n"/>
      <c r="M2339" s="91" t="n"/>
      <c r="N2339" s="91" t="n"/>
      <c r="O2339" s="91" t="n"/>
      <c r="P2339" s="91" t="n"/>
      <c r="Q2339" s="91" t="n"/>
      <c r="R2339" s="91" t="n"/>
      <c r="S2339" s="91" t="n"/>
      <c r="T2339" s="25">
        <f>DAY(C2339)</f>
        <v/>
      </c>
      <c r="U2339" s="22">
        <f>MONTH(C2339)</f>
        <v/>
      </c>
      <c r="V2339" s="91" t="n"/>
      <c r="W2339" s="91" t="n"/>
      <c r="X2339" s="91" t="n"/>
      <c r="Y2339" s="91" t="n"/>
      <c r="Z2339" s="91" t="n"/>
    </row>
    <row r="2340" ht="12.75" customHeight="1" s="117">
      <c r="A2340" s="91" t="n"/>
      <c r="B2340" s="91" t="n"/>
      <c r="C2340" s="91" t="n"/>
      <c r="D2340" s="91" t="n"/>
      <c r="E2340" s="91" t="n"/>
      <c r="F2340" s="91" t="n"/>
      <c r="G2340" s="91" t="n"/>
      <c r="H2340" s="91" t="n"/>
      <c r="I2340" s="91" t="n"/>
      <c r="J2340" s="91" t="n"/>
      <c r="K2340" s="91" t="n"/>
      <c r="L2340" s="91" t="n"/>
      <c r="M2340" s="91" t="n"/>
      <c r="N2340" s="91" t="n"/>
      <c r="O2340" s="91" t="n"/>
      <c r="P2340" s="91" t="n"/>
      <c r="Q2340" s="91" t="n"/>
      <c r="R2340" s="91" t="n"/>
      <c r="S2340" s="91" t="n"/>
      <c r="T2340" s="25">
        <f>DAY(C2340)</f>
        <v/>
      </c>
      <c r="U2340" s="22">
        <f>MONTH(C2340)</f>
        <v/>
      </c>
      <c r="V2340" s="91" t="n"/>
      <c r="W2340" s="91" t="n"/>
      <c r="X2340" s="91" t="n"/>
      <c r="Y2340" s="91" t="n"/>
      <c r="Z2340" s="91" t="n"/>
    </row>
    <row r="2341" ht="12.75" customHeight="1" s="117">
      <c r="A2341" s="91" t="n"/>
      <c r="B2341" s="91" t="n"/>
      <c r="C2341" s="91" t="n"/>
      <c r="D2341" s="91" t="n"/>
      <c r="E2341" s="91" t="n"/>
      <c r="F2341" s="91" t="n"/>
      <c r="G2341" s="91" t="n"/>
      <c r="H2341" s="91" t="n"/>
      <c r="I2341" s="91" t="n"/>
      <c r="J2341" s="91" t="n"/>
      <c r="K2341" s="91" t="n"/>
      <c r="L2341" s="91" t="n"/>
      <c r="M2341" s="91" t="n"/>
      <c r="N2341" s="91" t="n"/>
      <c r="O2341" s="91" t="n"/>
      <c r="P2341" s="91" t="n"/>
      <c r="Q2341" s="91" t="n"/>
      <c r="R2341" s="91" t="n"/>
      <c r="S2341" s="91" t="n"/>
      <c r="T2341" s="25">
        <f>DAY(C2341)</f>
        <v/>
      </c>
      <c r="U2341" s="22">
        <f>MONTH(C2341)</f>
        <v/>
      </c>
      <c r="V2341" s="91" t="n"/>
      <c r="W2341" s="91" t="n"/>
      <c r="X2341" s="91" t="n"/>
      <c r="Y2341" s="91" t="n"/>
      <c r="Z2341" s="91" t="n"/>
    </row>
    <row r="2342" ht="12.75" customHeight="1" s="117">
      <c r="A2342" s="91" t="n"/>
      <c r="B2342" s="91" t="n"/>
      <c r="C2342" s="91" t="n"/>
      <c r="D2342" s="91" t="n"/>
      <c r="E2342" s="91" t="n"/>
      <c r="F2342" s="91" t="n"/>
      <c r="G2342" s="91" t="n"/>
      <c r="H2342" s="91" t="n"/>
      <c r="I2342" s="91" t="n"/>
      <c r="J2342" s="91" t="n"/>
      <c r="K2342" s="91" t="n"/>
      <c r="L2342" s="91" t="n"/>
      <c r="M2342" s="91" t="n"/>
      <c r="N2342" s="91" t="n"/>
      <c r="O2342" s="91" t="n"/>
      <c r="P2342" s="91" t="n"/>
      <c r="Q2342" s="91" t="n"/>
      <c r="R2342" s="91" t="n"/>
      <c r="S2342" s="91" t="n"/>
      <c r="T2342" s="25">
        <f>DAY(C2342)</f>
        <v/>
      </c>
      <c r="U2342" s="22">
        <f>MONTH(C2342)</f>
        <v/>
      </c>
      <c r="V2342" s="91" t="n"/>
      <c r="W2342" s="91" t="n"/>
      <c r="X2342" s="91" t="n"/>
      <c r="Y2342" s="91" t="n"/>
      <c r="Z2342" s="91" t="n"/>
    </row>
    <row r="2343" ht="12.75" customHeight="1" s="117">
      <c r="A2343" s="91" t="n"/>
      <c r="B2343" s="91" t="n"/>
      <c r="C2343" s="91" t="n"/>
      <c r="D2343" s="91" t="n"/>
      <c r="E2343" s="91" t="n"/>
      <c r="F2343" s="91" t="n"/>
      <c r="G2343" s="91" t="n"/>
      <c r="H2343" s="91" t="n"/>
      <c r="I2343" s="91" t="n"/>
      <c r="J2343" s="91" t="n"/>
      <c r="K2343" s="91" t="n"/>
      <c r="L2343" s="91" t="n"/>
      <c r="M2343" s="91" t="n"/>
      <c r="N2343" s="91" t="n"/>
      <c r="O2343" s="91" t="n"/>
      <c r="P2343" s="91" t="n"/>
      <c r="Q2343" s="91" t="n"/>
      <c r="R2343" s="91" t="n"/>
      <c r="S2343" s="91" t="n"/>
      <c r="T2343" s="25">
        <f>DAY(C2343)</f>
        <v/>
      </c>
      <c r="U2343" s="22">
        <f>MONTH(C2343)</f>
        <v/>
      </c>
      <c r="V2343" s="91" t="n"/>
      <c r="W2343" s="91" t="n"/>
      <c r="X2343" s="91" t="n"/>
      <c r="Y2343" s="91" t="n"/>
      <c r="Z2343" s="91" t="n"/>
    </row>
    <row r="2344" ht="12.75" customHeight="1" s="117">
      <c r="A2344" s="91" t="n"/>
      <c r="B2344" s="91" t="n"/>
      <c r="C2344" s="91" t="n"/>
      <c r="D2344" s="91" t="n"/>
      <c r="E2344" s="91" t="n"/>
      <c r="F2344" s="91" t="n"/>
      <c r="G2344" s="91" t="n"/>
      <c r="H2344" s="91" t="n"/>
      <c r="I2344" s="91" t="n"/>
      <c r="J2344" s="91" t="n"/>
      <c r="K2344" s="91" t="n"/>
      <c r="L2344" s="91" t="n"/>
      <c r="M2344" s="91" t="n"/>
      <c r="N2344" s="91" t="n"/>
      <c r="O2344" s="91" t="n"/>
      <c r="P2344" s="91" t="n"/>
      <c r="Q2344" s="91" t="n"/>
      <c r="R2344" s="91" t="n"/>
      <c r="S2344" s="91" t="n"/>
      <c r="T2344" s="25">
        <f>DAY(C2344)</f>
        <v/>
      </c>
      <c r="U2344" s="22">
        <f>MONTH(C2344)</f>
        <v/>
      </c>
      <c r="V2344" s="91" t="n"/>
      <c r="W2344" s="91" t="n"/>
      <c r="X2344" s="91" t="n"/>
      <c r="Y2344" s="91" t="n"/>
      <c r="Z2344" s="91" t="n"/>
    </row>
    <row r="2345" ht="12.75" customHeight="1" s="117">
      <c r="A2345" s="91" t="n"/>
      <c r="B2345" s="91" t="n"/>
      <c r="C2345" s="91" t="n"/>
      <c r="D2345" s="91" t="n"/>
      <c r="E2345" s="91" t="n"/>
      <c r="F2345" s="91" t="n"/>
      <c r="G2345" s="91" t="n"/>
      <c r="H2345" s="91" t="n"/>
      <c r="I2345" s="91" t="n"/>
      <c r="J2345" s="91" t="n"/>
      <c r="K2345" s="91" t="n"/>
      <c r="L2345" s="91" t="n"/>
      <c r="M2345" s="91" t="n"/>
      <c r="N2345" s="91" t="n"/>
      <c r="O2345" s="91" t="n"/>
      <c r="P2345" s="91" t="n"/>
      <c r="Q2345" s="91" t="n"/>
      <c r="R2345" s="91" t="n"/>
      <c r="S2345" s="91" t="n"/>
      <c r="T2345" s="25">
        <f>DAY(C2345)</f>
        <v/>
      </c>
      <c r="U2345" s="22">
        <f>MONTH(C2345)</f>
        <v/>
      </c>
      <c r="V2345" s="91" t="n"/>
      <c r="W2345" s="91" t="n"/>
      <c r="X2345" s="91" t="n"/>
      <c r="Y2345" s="91" t="n"/>
      <c r="Z2345" s="91" t="n"/>
    </row>
    <row r="2346" ht="12.75" customHeight="1" s="117">
      <c r="A2346" s="91" t="n"/>
      <c r="B2346" s="91" t="n"/>
      <c r="C2346" s="91" t="n"/>
      <c r="D2346" s="91" t="n"/>
      <c r="E2346" s="91" t="n"/>
      <c r="F2346" s="91" t="n"/>
      <c r="G2346" s="91" t="n"/>
      <c r="H2346" s="91" t="n"/>
      <c r="I2346" s="91" t="n"/>
      <c r="J2346" s="91" t="n"/>
      <c r="K2346" s="91" t="n"/>
      <c r="L2346" s="91" t="n"/>
      <c r="M2346" s="91" t="n"/>
      <c r="N2346" s="91" t="n"/>
      <c r="O2346" s="91" t="n"/>
      <c r="P2346" s="91" t="n"/>
      <c r="Q2346" s="91" t="n"/>
      <c r="R2346" s="91" t="n"/>
      <c r="S2346" s="91" t="n"/>
      <c r="T2346" s="25">
        <f>DAY(C2346)</f>
        <v/>
      </c>
      <c r="U2346" s="22">
        <f>MONTH(C2346)</f>
        <v/>
      </c>
      <c r="V2346" s="91" t="n"/>
      <c r="W2346" s="91" t="n"/>
      <c r="X2346" s="91" t="n"/>
      <c r="Y2346" s="91" t="n"/>
      <c r="Z2346" s="91" t="n"/>
    </row>
    <row r="2347" ht="12.75" customHeight="1" s="117">
      <c r="A2347" s="91" t="n"/>
      <c r="B2347" s="91" t="n"/>
      <c r="C2347" s="91" t="n"/>
      <c r="D2347" s="91" t="n"/>
      <c r="E2347" s="91" t="n"/>
      <c r="F2347" s="91" t="n"/>
      <c r="G2347" s="91" t="n"/>
      <c r="H2347" s="91" t="n"/>
      <c r="I2347" s="91" t="n"/>
      <c r="J2347" s="91" t="n"/>
      <c r="K2347" s="91" t="n"/>
      <c r="L2347" s="91" t="n"/>
      <c r="M2347" s="91" t="n"/>
      <c r="N2347" s="91" t="n"/>
      <c r="O2347" s="91" t="n"/>
      <c r="P2347" s="91" t="n"/>
      <c r="Q2347" s="91" t="n"/>
      <c r="R2347" s="91" t="n"/>
      <c r="S2347" s="91" t="n"/>
      <c r="T2347" s="25">
        <f>DAY(C2347)</f>
        <v/>
      </c>
      <c r="U2347" s="22">
        <f>MONTH(C2347)</f>
        <v/>
      </c>
      <c r="V2347" s="91" t="n"/>
      <c r="W2347" s="91" t="n"/>
      <c r="X2347" s="91" t="n"/>
      <c r="Y2347" s="91" t="n"/>
      <c r="Z2347" s="91" t="n"/>
    </row>
    <row r="2348" ht="12.75" customHeight="1" s="117">
      <c r="A2348" s="91" t="n"/>
      <c r="B2348" s="91" t="n"/>
      <c r="C2348" s="91" t="n"/>
      <c r="D2348" s="91" t="n"/>
      <c r="E2348" s="91" t="n"/>
      <c r="F2348" s="91" t="n"/>
      <c r="G2348" s="91" t="n"/>
      <c r="H2348" s="91" t="n"/>
      <c r="I2348" s="91" t="n"/>
      <c r="J2348" s="91" t="n"/>
      <c r="K2348" s="91" t="n"/>
      <c r="L2348" s="91" t="n"/>
      <c r="M2348" s="91" t="n"/>
      <c r="N2348" s="91" t="n"/>
      <c r="O2348" s="91" t="n"/>
      <c r="P2348" s="91" t="n"/>
      <c r="Q2348" s="91" t="n"/>
      <c r="R2348" s="91" t="n"/>
      <c r="S2348" s="91" t="n"/>
      <c r="T2348" s="25">
        <f>DAY(C2348)</f>
        <v/>
      </c>
      <c r="U2348" s="22">
        <f>MONTH(C2348)</f>
        <v/>
      </c>
      <c r="V2348" s="91" t="n"/>
      <c r="W2348" s="91" t="n"/>
      <c r="X2348" s="91" t="n"/>
      <c r="Y2348" s="91" t="n"/>
      <c r="Z2348" s="91" t="n"/>
    </row>
    <row r="2349" ht="12.75" customHeight="1" s="117">
      <c r="A2349" s="91" t="n"/>
      <c r="B2349" s="91" t="n"/>
      <c r="C2349" s="91" t="n"/>
      <c r="D2349" s="91" t="n"/>
      <c r="E2349" s="91" t="n"/>
      <c r="F2349" s="91" t="n"/>
      <c r="G2349" s="91" t="n"/>
      <c r="H2349" s="91" t="n"/>
      <c r="I2349" s="91" t="n"/>
      <c r="J2349" s="91" t="n"/>
      <c r="K2349" s="91" t="n"/>
      <c r="L2349" s="91" t="n"/>
      <c r="M2349" s="91" t="n"/>
      <c r="N2349" s="91" t="n"/>
      <c r="O2349" s="91" t="n"/>
      <c r="P2349" s="91" t="n"/>
      <c r="Q2349" s="91" t="n"/>
      <c r="R2349" s="91" t="n"/>
      <c r="S2349" s="91" t="n"/>
      <c r="T2349" s="25">
        <f>DAY(C2349)</f>
        <v/>
      </c>
      <c r="U2349" s="22">
        <f>MONTH(C2349)</f>
        <v/>
      </c>
      <c r="V2349" s="91" t="n"/>
      <c r="W2349" s="91" t="n"/>
      <c r="X2349" s="91" t="n"/>
      <c r="Y2349" s="91" t="n"/>
      <c r="Z2349" s="91" t="n"/>
    </row>
    <row r="2350" ht="12.75" customHeight="1" s="117">
      <c r="A2350" s="91" t="n"/>
      <c r="B2350" s="91" t="n"/>
      <c r="C2350" s="91" t="n"/>
      <c r="D2350" s="91" t="n"/>
      <c r="E2350" s="91" t="n"/>
      <c r="F2350" s="91" t="n"/>
      <c r="G2350" s="91" t="n"/>
      <c r="H2350" s="91" t="n"/>
      <c r="I2350" s="91" t="n"/>
      <c r="J2350" s="91" t="n"/>
      <c r="K2350" s="91" t="n"/>
      <c r="L2350" s="91" t="n"/>
      <c r="M2350" s="91" t="n"/>
      <c r="N2350" s="91" t="n"/>
      <c r="O2350" s="91" t="n"/>
      <c r="P2350" s="91" t="n"/>
      <c r="Q2350" s="91" t="n"/>
      <c r="R2350" s="91" t="n"/>
      <c r="S2350" s="91" t="n"/>
      <c r="T2350" s="25">
        <f>DAY(C2350)</f>
        <v/>
      </c>
      <c r="U2350" s="22">
        <f>MONTH(C2350)</f>
        <v/>
      </c>
      <c r="V2350" s="91" t="n"/>
      <c r="W2350" s="91" t="n"/>
      <c r="X2350" s="91" t="n"/>
      <c r="Y2350" s="91" t="n"/>
      <c r="Z2350" s="91" t="n"/>
    </row>
    <row r="2351" ht="12.75" customHeight="1" s="117">
      <c r="A2351" s="91" t="n"/>
      <c r="B2351" s="91" t="n"/>
      <c r="C2351" s="91" t="n"/>
      <c r="D2351" s="91" t="n"/>
      <c r="E2351" s="91" t="n"/>
      <c r="F2351" s="91" t="n"/>
      <c r="G2351" s="91" t="n"/>
      <c r="H2351" s="91" t="n"/>
      <c r="I2351" s="91" t="n"/>
      <c r="J2351" s="91" t="n"/>
      <c r="K2351" s="91" t="n"/>
      <c r="L2351" s="91" t="n"/>
      <c r="M2351" s="91" t="n"/>
      <c r="N2351" s="91" t="n"/>
      <c r="O2351" s="91" t="n"/>
      <c r="P2351" s="91" t="n"/>
      <c r="Q2351" s="91" t="n"/>
      <c r="R2351" s="91" t="n"/>
      <c r="S2351" s="91" t="n"/>
      <c r="T2351" s="25">
        <f>DAY(C2351)</f>
        <v/>
      </c>
      <c r="U2351" s="22">
        <f>MONTH(C2351)</f>
        <v/>
      </c>
      <c r="V2351" s="91" t="n"/>
      <c r="W2351" s="91" t="n"/>
      <c r="X2351" s="91" t="n"/>
      <c r="Y2351" s="91" t="n"/>
      <c r="Z2351" s="91" t="n"/>
    </row>
    <row r="2352" ht="12.75" customHeight="1" s="117">
      <c r="A2352" s="91" t="n"/>
      <c r="B2352" s="91" t="n"/>
      <c r="C2352" s="91" t="n"/>
      <c r="D2352" s="91" t="n"/>
      <c r="E2352" s="91" t="n"/>
      <c r="F2352" s="91" t="n"/>
      <c r="G2352" s="91" t="n"/>
      <c r="H2352" s="91" t="n"/>
      <c r="I2352" s="91" t="n"/>
      <c r="J2352" s="91" t="n"/>
      <c r="K2352" s="91" t="n"/>
      <c r="L2352" s="91" t="n"/>
      <c r="M2352" s="91" t="n"/>
      <c r="N2352" s="91" t="n"/>
      <c r="O2352" s="91" t="n"/>
      <c r="P2352" s="91" t="n"/>
      <c r="Q2352" s="91" t="n"/>
      <c r="R2352" s="91" t="n"/>
      <c r="S2352" s="91" t="n"/>
      <c r="T2352" s="25">
        <f>DAY(C2352)</f>
        <v/>
      </c>
      <c r="U2352" s="22">
        <f>MONTH(C2352)</f>
        <v/>
      </c>
      <c r="V2352" s="91" t="n"/>
      <c r="W2352" s="91" t="n"/>
      <c r="X2352" s="91" t="n"/>
      <c r="Y2352" s="91" t="n"/>
      <c r="Z2352" s="91" t="n"/>
    </row>
    <row r="2353" ht="12.75" customHeight="1" s="117">
      <c r="A2353" s="91" t="n"/>
      <c r="B2353" s="91" t="n"/>
      <c r="C2353" s="91" t="n"/>
      <c r="D2353" s="91" t="n"/>
      <c r="E2353" s="91" t="n"/>
      <c r="F2353" s="91" t="n"/>
      <c r="G2353" s="91" t="n"/>
      <c r="H2353" s="91" t="n"/>
      <c r="I2353" s="91" t="n"/>
      <c r="J2353" s="91" t="n"/>
      <c r="K2353" s="91" t="n"/>
      <c r="L2353" s="91" t="n"/>
      <c r="M2353" s="91" t="n"/>
      <c r="N2353" s="91" t="n"/>
      <c r="O2353" s="91" t="n"/>
      <c r="P2353" s="91" t="n"/>
      <c r="Q2353" s="91" t="n"/>
      <c r="R2353" s="91" t="n"/>
      <c r="S2353" s="91" t="n"/>
      <c r="T2353" s="25">
        <f>DAY(C2353)</f>
        <v/>
      </c>
      <c r="U2353" s="22">
        <f>MONTH(C2353)</f>
        <v/>
      </c>
      <c r="V2353" s="91" t="n"/>
      <c r="W2353" s="91" t="n"/>
      <c r="X2353" s="91" t="n"/>
      <c r="Y2353" s="91" t="n"/>
      <c r="Z2353" s="91" t="n"/>
    </row>
    <row r="2354" ht="12.75" customHeight="1" s="117">
      <c r="A2354" s="91" t="n"/>
      <c r="B2354" s="91" t="n"/>
      <c r="C2354" s="91" t="n"/>
      <c r="D2354" s="91" t="n"/>
      <c r="E2354" s="91" t="n"/>
      <c r="F2354" s="91" t="n"/>
      <c r="G2354" s="91" t="n"/>
      <c r="H2354" s="91" t="n"/>
      <c r="I2354" s="91" t="n"/>
      <c r="J2354" s="91" t="n"/>
      <c r="K2354" s="91" t="n"/>
      <c r="L2354" s="91" t="n"/>
      <c r="M2354" s="91" t="n"/>
      <c r="N2354" s="91" t="n"/>
      <c r="O2354" s="91" t="n"/>
      <c r="P2354" s="91" t="n"/>
      <c r="Q2354" s="91" t="n"/>
      <c r="R2354" s="91" t="n"/>
      <c r="S2354" s="91" t="n"/>
      <c r="T2354" s="25">
        <f>DAY(C2354)</f>
        <v/>
      </c>
      <c r="U2354" s="22">
        <f>MONTH(C2354)</f>
        <v/>
      </c>
      <c r="V2354" s="91" t="n"/>
      <c r="W2354" s="91" t="n"/>
      <c r="X2354" s="91" t="n"/>
      <c r="Y2354" s="91" t="n"/>
      <c r="Z2354" s="91" t="n"/>
    </row>
    <row r="2355" ht="12.75" customHeight="1" s="117">
      <c r="A2355" s="91" t="n"/>
      <c r="B2355" s="91" t="n"/>
      <c r="C2355" s="91" t="n"/>
      <c r="D2355" s="91" t="n"/>
      <c r="E2355" s="91" t="n"/>
      <c r="F2355" s="91" t="n"/>
      <c r="G2355" s="91" t="n"/>
      <c r="H2355" s="91" t="n"/>
      <c r="I2355" s="91" t="n"/>
      <c r="J2355" s="91" t="n"/>
      <c r="K2355" s="91" t="n"/>
      <c r="L2355" s="91" t="n"/>
      <c r="M2355" s="91" t="n"/>
      <c r="N2355" s="91" t="n"/>
      <c r="O2355" s="91" t="n"/>
      <c r="P2355" s="91" t="n"/>
      <c r="Q2355" s="91" t="n"/>
      <c r="R2355" s="91" t="n"/>
      <c r="S2355" s="91" t="n"/>
      <c r="T2355" s="25">
        <f>DAY(C2355)</f>
        <v/>
      </c>
      <c r="U2355" s="22">
        <f>MONTH(C2355)</f>
        <v/>
      </c>
      <c r="V2355" s="91" t="n"/>
      <c r="W2355" s="91" t="n"/>
      <c r="X2355" s="91" t="n"/>
      <c r="Y2355" s="91" t="n"/>
      <c r="Z2355" s="91" t="n"/>
    </row>
    <row r="2356" ht="12.75" customHeight="1" s="117">
      <c r="A2356" s="91" t="n"/>
      <c r="B2356" s="91" t="n"/>
      <c r="C2356" s="91" t="n"/>
      <c r="D2356" s="91" t="n"/>
      <c r="E2356" s="91" t="n"/>
      <c r="F2356" s="91" t="n"/>
      <c r="G2356" s="91" t="n"/>
      <c r="H2356" s="91" t="n"/>
      <c r="I2356" s="91" t="n"/>
      <c r="J2356" s="91" t="n"/>
      <c r="K2356" s="91" t="n"/>
      <c r="L2356" s="91" t="n"/>
      <c r="M2356" s="91" t="n"/>
      <c r="N2356" s="91" t="n"/>
      <c r="O2356" s="91" t="n"/>
      <c r="P2356" s="91" t="n"/>
      <c r="Q2356" s="91" t="n"/>
      <c r="R2356" s="91" t="n"/>
      <c r="S2356" s="91" t="n"/>
      <c r="T2356" s="25">
        <f>DAY(C2356)</f>
        <v/>
      </c>
      <c r="U2356" s="22">
        <f>MONTH(C2356)</f>
        <v/>
      </c>
      <c r="V2356" s="91" t="n"/>
      <c r="W2356" s="91" t="n"/>
      <c r="X2356" s="91" t="n"/>
      <c r="Y2356" s="91" t="n"/>
      <c r="Z2356" s="91" t="n"/>
    </row>
    <row r="2357" ht="12.75" customHeight="1" s="117">
      <c r="A2357" s="91" t="n"/>
      <c r="B2357" s="91" t="n"/>
      <c r="C2357" s="91" t="n"/>
      <c r="D2357" s="91" t="n"/>
      <c r="E2357" s="91" t="n"/>
      <c r="F2357" s="91" t="n"/>
      <c r="G2357" s="91" t="n"/>
      <c r="H2357" s="91" t="n"/>
      <c r="I2357" s="91" t="n"/>
      <c r="J2357" s="91" t="n"/>
      <c r="K2357" s="91" t="n"/>
      <c r="L2357" s="91" t="n"/>
      <c r="M2357" s="91" t="n"/>
      <c r="N2357" s="91" t="n"/>
      <c r="O2357" s="91" t="n"/>
      <c r="P2357" s="91" t="n"/>
      <c r="Q2357" s="91" t="n"/>
      <c r="R2357" s="91" t="n"/>
      <c r="S2357" s="91" t="n"/>
      <c r="T2357" s="25">
        <f>DAY(C2357)</f>
        <v/>
      </c>
      <c r="U2357" s="22">
        <f>MONTH(C2357)</f>
        <v/>
      </c>
      <c r="V2357" s="91" t="n"/>
      <c r="W2357" s="91" t="n"/>
      <c r="X2357" s="91" t="n"/>
      <c r="Y2357" s="91" t="n"/>
      <c r="Z2357" s="91" t="n"/>
    </row>
    <row r="2358" ht="12.75" customHeight="1" s="117">
      <c r="A2358" s="91" t="n"/>
      <c r="B2358" s="91" t="n"/>
      <c r="C2358" s="91" t="n"/>
      <c r="D2358" s="91" t="n"/>
      <c r="E2358" s="91" t="n"/>
      <c r="F2358" s="91" t="n"/>
      <c r="G2358" s="91" t="n"/>
      <c r="H2358" s="91" t="n"/>
      <c r="I2358" s="91" t="n"/>
      <c r="J2358" s="91" t="n"/>
      <c r="K2358" s="91" t="n"/>
      <c r="L2358" s="91" t="n"/>
      <c r="M2358" s="91" t="n"/>
      <c r="N2358" s="91" t="n"/>
      <c r="O2358" s="91" t="n"/>
      <c r="P2358" s="91" t="n"/>
      <c r="Q2358" s="91" t="n"/>
      <c r="R2358" s="91" t="n"/>
      <c r="S2358" s="91" t="n"/>
      <c r="T2358" s="25">
        <f>DAY(C2358)</f>
        <v/>
      </c>
      <c r="U2358" s="22">
        <f>MONTH(C2358)</f>
        <v/>
      </c>
      <c r="V2358" s="91" t="n"/>
      <c r="W2358" s="91" t="n"/>
      <c r="X2358" s="91" t="n"/>
      <c r="Y2358" s="91" t="n"/>
      <c r="Z2358" s="91" t="n"/>
    </row>
    <row r="2359" ht="12.75" customHeight="1" s="117">
      <c r="A2359" s="91" t="n"/>
      <c r="B2359" s="91" t="n"/>
      <c r="C2359" s="91" t="n"/>
      <c r="D2359" s="91" t="n"/>
      <c r="E2359" s="91" t="n"/>
      <c r="F2359" s="91" t="n"/>
      <c r="G2359" s="91" t="n"/>
      <c r="H2359" s="91" t="n"/>
      <c r="I2359" s="91" t="n"/>
      <c r="J2359" s="91" t="n"/>
      <c r="K2359" s="91" t="n"/>
      <c r="L2359" s="91" t="n"/>
      <c r="M2359" s="91" t="n"/>
      <c r="N2359" s="91" t="n"/>
      <c r="O2359" s="91" t="n"/>
      <c r="P2359" s="91" t="n"/>
      <c r="Q2359" s="91" t="n"/>
      <c r="R2359" s="91" t="n"/>
      <c r="S2359" s="91" t="n"/>
      <c r="T2359" s="25">
        <f>DAY(C2359)</f>
        <v/>
      </c>
      <c r="U2359" s="22">
        <f>MONTH(C2359)</f>
        <v/>
      </c>
      <c r="V2359" s="91" t="n"/>
      <c r="W2359" s="91" t="n"/>
      <c r="X2359" s="91" t="n"/>
      <c r="Y2359" s="91" t="n"/>
      <c r="Z2359" s="91" t="n"/>
    </row>
    <row r="2360" ht="12.75" customHeight="1" s="117">
      <c r="A2360" s="91" t="n"/>
      <c r="B2360" s="91" t="n"/>
      <c r="C2360" s="91" t="n"/>
      <c r="D2360" s="91" t="n"/>
      <c r="E2360" s="91" t="n"/>
      <c r="F2360" s="91" t="n"/>
      <c r="G2360" s="91" t="n"/>
      <c r="H2360" s="91" t="n"/>
      <c r="I2360" s="91" t="n"/>
      <c r="J2360" s="91" t="n"/>
      <c r="K2360" s="91" t="n"/>
      <c r="L2360" s="91" t="n"/>
      <c r="M2360" s="91" t="n"/>
      <c r="N2360" s="91" t="n"/>
      <c r="O2360" s="91" t="n"/>
      <c r="P2360" s="91" t="n"/>
      <c r="Q2360" s="91" t="n"/>
      <c r="R2360" s="91" t="n"/>
      <c r="S2360" s="91" t="n"/>
      <c r="T2360" s="25">
        <f>DAY(C2360)</f>
        <v/>
      </c>
      <c r="U2360" s="22">
        <f>MONTH(C2360)</f>
        <v/>
      </c>
      <c r="V2360" s="91" t="n"/>
      <c r="W2360" s="91" t="n"/>
      <c r="X2360" s="91" t="n"/>
      <c r="Y2360" s="91" t="n"/>
      <c r="Z2360" s="91" t="n"/>
    </row>
    <row r="2361" ht="12.75" customHeight="1" s="117">
      <c r="A2361" s="91" t="n"/>
      <c r="B2361" s="91" t="n"/>
      <c r="C2361" s="91" t="n"/>
      <c r="D2361" s="91" t="n"/>
      <c r="E2361" s="91" t="n"/>
      <c r="F2361" s="91" t="n"/>
      <c r="G2361" s="91" t="n"/>
      <c r="H2361" s="91" t="n"/>
      <c r="I2361" s="91" t="n"/>
      <c r="J2361" s="91" t="n"/>
      <c r="K2361" s="91" t="n"/>
      <c r="L2361" s="91" t="n"/>
      <c r="M2361" s="91" t="n"/>
      <c r="N2361" s="91" t="n"/>
      <c r="O2361" s="91" t="n"/>
      <c r="P2361" s="91" t="n"/>
      <c r="Q2361" s="91" t="n"/>
      <c r="R2361" s="91" t="n"/>
      <c r="S2361" s="91" t="n"/>
      <c r="T2361" s="25">
        <f>DAY(C2361)</f>
        <v/>
      </c>
      <c r="U2361" s="22">
        <f>MONTH(C2361)</f>
        <v/>
      </c>
      <c r="V2361" s="91" t="n"/>
      <c r="W2361" s="91" t="n"/>
      <c r="X2361" s="91" t="n"/>
      <c r="Y2361" s="91" t="n"/>
      <c r="Z2361" s="91" t="n"/>
    </row>
    <row r="2362" ht="12.75" customHeight="1" s="117">
      <c r="A2362" s="91" t="n"/>
      <c r="B2362" s="91" t="n"/>
      <c r="C2362" s="91" t="n"/>
      <c r="D2362" s="91" t="n"/>
      <c r="E2362" s="91" t="n"/>
      <c r="F2362" s="91" t="n"/>
      <c r="G2362" s="91" t="n"/>
      <c r="H2362" s="91" t="n"/>
      <c r="I2362" s="91" t="n"/>
      <c r="J2362" s="91" t="n"/>
      <c r="K2362" s="91" t="n"/>
      <c r="L2362" s="91" t="n"/>
      <c r="M2362" s="91" t="n"/>
      <c r="N2362" s="91" t="n"/>
      <c r="O2362" s="91" t="n"/>
      <c r="P2362" s="91" t="n"/>
      <c r="Q2362" s="91" t="n"/>
      <c r="R2362" s="91" t="n"/>
      <c r="S2362" s="91" t="n"/>
      <c r="T2362" s="25">
        <f>DAY(C2362)</f>
        <v/>
      </c>
      <c r="U2362" s="22">
        <f>MONTH(C2362)</f>
        <v/>
      </c>
      <c r="V2362" s="91" t="n"/>
      <c r="W2362" s="91" t="n"/>
      <c r="X2362" s="91" t="n"/>
      <c r="Y2362" s="91" t="n"/>
      <c r="Z2362" s="91" t="n"/>
    </row>
    <row r="2363" ht="12.75" customHeight="1" s="117">
      <c r="A2363" s="91" t="n"/>
      <c r="B2363" s="91" t="n"/>
      <c r="C2363" s="91" t="n"/>
      <c r="D2363" s="91" t="n"/>
      <c r="E2363" s="91" t="n"/>
      <c r="F2363" s="91" t="n"/>
      <c r="G2363" s="91" t="n"/>
      <c r="H2363" s="91" t="n"/>
      <c r="I2363" s="91" t="n"/>
      <c r="J2363" s="91" t="n"/>
      <c r="K2363" s="91" t="n"/>
      <c r="L2363" s="91" t="n"/>
      <c r="M2363" s="91" t="n"/>
      <c r="N2363" s="91" t="n"/>
      <c r="O2363" s="91" t="n"/>
      <c r="P2363" s="91" t="n"/>
      <c r="Q2363" s="91" t="n"/>
      <c r="R2363" s="91" t="n"/>
      <c r="S2363" s="91" t="n"/>
      <c r="T2363" s="25">
        <f>DAY(C2363)</f>
        <v/>
      </c>
      <c r="U2363" s="22">
        <f>MONTH(C2363)</f>
        <v/>
      </c>
      <c r="V2363" s="91" t="n"/>
      <c r="W2363" s="91" t="n"/>
      <c r="X2363" s="91" t="n"/>
      <c r="Y2363" s="91" t="n"/>
      <c r="Z2363" s="91" t="n"/>
    </row>
    <row r="2364" ht="12.75" customHeight="1" s="117">
      <c r="A2364" s="91" t="n"/>
      <c r="B2364" s="91" t="n"/>
      <c r="C2364" s="91" t="n"/>
      <c r="D2364" s="91" t="n"/>
      <c r="E2364" s="91" t="n"/>
      <c r="F2364" s="91" t="n"/>
      <c r="G2364" s="91" t="n"/>
      <c r="H2364" s="91" t="n"/>
      <c r="I2364" s="91" t="n"/>
      <c r="J2364" s="91" t="n"/>
      <c r="K2364" s="91" t="n"/>
      <c r="L2364" s="91" t="n"/>
      <c r="M2364" s="91" t="n"/>
      <c r="N2364" s="91" t="n"/>
      <c r="O2364" s="91" t="n"/>
      <c r="P2364" s="91" t="n"/>
      <c r="Q2364" s="91" t="n"/>
      <c r="R2364" s="91" t="n"/>
      <c r="S2364" s="91" t="n"/>
      <c r="T2364" s="25">
        <f>DAY(C2364)</f>
        <v/>
      </c>
      <c r="U2364" s="22">
        <f>MONTH(C2364)</f>
        <v/>
      </c>
      <c r="V2364" s="91" t="n"/>
      <c r="W2364" s="91" t="n"/>
      <c r="X2364" s="91" t="n"/>
      <c r="Y2364" s="91" t="n"/>
      <c r="Z2364" s="91" t="n"/>
    </row>
    <row r="2365" ht="12.75" customHeight="1" s="117">
      <c r="A2365" s="91" t="n"/>
      <c r="B2365" s="91" t="n"/>
      <c r="C2365" s="91" t="n"/>
      <c r="D2365" s="91" t="n"/>
      <c r="E2365" s="91" t="n"/>
      <c r="F2365" s="91" t="n"/>
      <c r="G2365" s="91" t="n"/>
      <c r="H2365" s="91" t="n"/>
      <c r="I2365" s="91" t="n"/>
      <c r="J2365" s="91" t="n"/>
      <c r="K2365" s="91" t="n"/>
      <c r="L2365" s="91" t="n"/>
      <c r="M2365" s="91" t="n"/>
      <c r="N2365" s="91" t="n"/>
      <c r="O2365" s="91" t="n"/>
      <c r="P2365" s="91" t="n"/>
      <c r="Q2365" s="91" t="n"/>
      <c r="R2365" s="91" t="n"/>
      <c r="S2365" s="91" t="n"/>
      <c r="T2365" s="25">
        <f>DAY(C2365)</f>
        <v/>
      </c>
      <c r="U2365" s="22">
        <f>MONTH(C2365)</f>
        <v/>
      </c>
      <c r="V2365" s="91" t="n"/>
      <c r="W2365" s="91" t="n"/>
      <c r="X2365" s="91" t="n"/>
      <c r="Y2365" s="91" t="n"/>
      <c r="Z2365" s="91" t="n"/>
    </row>
    <row r="2366" ht="12.75" customHeight="1" s="117">
      <c r="A2366" s="91" t="n"/>
      <c r="B2366" s="91" t="n"/>
      <c r="C2366" s="91" t="n"/>
      <c r="D2366" s="91" t="n"/>
      <c r="E2366" s="91" t="n"/>
      <c r="F2366" s="91" t="n"/>
      <c r="G2366" s="91" t="n"/>
      <c r="H2366" s="91" t="n"/>
      <c r="I2366" s="91" t="n"/>
      <c r="J2366" s="91" t="n"/>
      <c r="K2366" s="91" t="n"/>
      <c r="L2366" s="91" t="n"/>
      <c r="M2366" s="91" t="n"/>
      <c r="N2366" s="91" t="n"/>
      <c r="O2366" s="91" t="n"/>
      <c r="P2366" s="91" t="n"/>
      <c r="Q2366" s="91" t="n"/>
      <c r="R2366" s="91" t="n"/>
      <c r="S2366" s="91" t="n"/>
      <c r="T2366" s="25">
        <f>DAY(C2366)</f>
        <v/>
      </c>
      <c r="U2366" s="22">
        <f>MONTH(C2366)</f>
        <v/>
      </c>
      <c r="V2366" s="91" t="n"/>
      <c r="W2366" s="91" t="n"/>
      <c r="X2366" s="91" t="n"/>
      <c r="Y2366" s="91" t="n"/>
      <c r="Z2366" s="91" t="n"/>
    </row>
    <row r="2367" ht="12.75" customHeight="1" s="117">
      <c r="A2367" s="91" t="n"/>
      <c r="B2367" s="91" t="n"/>
      <c r="C2367" s="91" t="n"/>
      <c r="D2367" s="91" t="n"/>
      <c r="E2367" s="91" t="n"/>
      <c r="F2367" s="91" t="n"/>
      <c r="G2367" s="91" t="n"/>
      <c r="H2367" s="91" t="n"/>
      <c r="I2367" s="91" t="n"/>
      <c r="J2367" s="91" t="n"/>
      <c r="K2367" s="91" t="n"/>
      <c r="L2367" s="91" t="n"/>
      <c r="M2367" s="91" t="n"/>
      <c r="N2367" s="91" t="n"/>
      <c r="O2367" s="91" t="n"/>
      <c r="P2367" s="91" t="n"/>
      <c r="Q2367" s="91" t="n"/>
      <c r="R2367" s="91" t="n"/>
      <c r="S2367" s="91" t="n"/>
      <c r="T2367" s="25">
        <f>DAY(C2367)</f>
        <v/>
      </c>
      <c r="U2367" s="22">
        <f>MONTH(C2367)</f>
        <v/>
      </c>
      <c r="V2367" s="91" t="n"/>
      <c r="W2367" s="91" t="n"/>
      <c r="X2367" s="91" t="n"/>
      <c r="Y2367" s="91" t="n"/>
      <c r="Z2367" s="91" t="n"/>
    </row>
    <row r="2368" ht="12.75" customHeight="1" s="117">
      <c r="A2368" s="91" t="n"/>
      <c r="B2368" s="91" t="n"/>
      <c r="C2368" s="91" t="n"/>
      <c r="D2368" s="91" t="n"/>
      <c r="E2368" s="91" t="n"/>
      <c r="F2368" s="91" t="n"/>
      <c r="G2368" s="91" t="n"/>
      <c r="H2368" s="91" t="n"/>
      <c r="I2368" s="91" t="n"/>
      <c r="J2368" s="91" t="n"/>
      <c r="K2368" s="91" t="n"/>
      <c r="L2368" s="91" t="n"/>
      <c r="M2368" s="91" t="n"/>
      <c r="N2368" s="91" t="n"/>
      <c r="O2368" s="91" t="n"/>
      <c r="P2368" s="91" t="n"/>
      <c r="Q2368" s="91" t="n"/>
      <c r="R2368" s="91" t="n"/>
      <c r="S2368" s="91" t="n"/>
      <c r="T2368" s="25">
        <f>DAY(C2368)</f>
        <v/>
      </c>
      <c r="U2368" s="22">
        <f>MONTH(C2368)</f>
        <v/>
      </c>
      <c r="V2368" s="91" t="n"/>
      <c r="W2368" s="91" t="n"/>
      <c r="X2368" s="91" t="n"/>
      <c r="Y2368" s="91" t="n"/>
      <c r="Z2368" s="91" t="n"/>
    </row>
    <row r="2369" ht="12.75" customHeight="1" s="117">
      <c r="A2369" s="91" t="n"/>
      <c r="B2369" s="91" t="n"/>
      <c r="C2369" s="91" t="n"/>
      <c r="D2369" s="91" t="n"/>
      <c r="E2369" s="91" t="n"/>
      <c r="F2369" s="91" t="n"/>
      <c r="G2369" s="91" t="n"/>
      <c r="H2369" s="91" t="n"/>
      <c r="I2369" s="91" t="n"/>
      <c r="J2369" s="91" t="n"/>
      <c r="K2369" s="91" t="n"/>
      <c r="L2369" s="91" t="n"/>
      <c r="M2369" s="91" t="n"/>
      <c r="N2369" s="91" t="n"/>
      <c r="O2369" s="91" t="n"/>
      <c r="P2369" s="91" t="n"/>
      <c r="Q2369" s="91" t="n"/>
      <c r="R2369" s="91" t="n"/>
      <c r="S2369" s="91" t="n"/>
      <c r="T2369" s="25">
        <f>DAY(C2369)</f>
        <v/>
      </c>
      <c r="U2369" s="22">
        <f>MONTH(C2369)</f>
        <v/>
      </c>
      <c r="V2369" s="91" t="n"/>
      <c r="W2369" s="91" t="n"/>
      <c r="X2369" s="91" t="n"/>
      <c r="Y2369" s="91" t="n"/>
      <c r="Z2369" s="91" t="n"/>
    </row>
    <row r="2370" ht="12.75" customHeight="1" s="117">
      <c r="A2370" s="91" t="n"/>
      <c r="B2370" s="91" t="n"/>
      <c r="C2370" s="91" t="n"/>
      <c r="D2370" s="91" t="n"/>
      <c r="E2370" s="91" t="n"/>
      <c r="F2370" s="91" t="n"/>
      <c r="G2370" s="91" t="n"/>
      <c r="H2370" s="91" t="n"/>
      <c r="I2370" s="91" t="n"/>
      <c r="J2370" s="91" t="n"/>
      <c r="K2370" s="91" t="n"/>
      <c r="L2370" s="91" t="n"/>
      <c r="M2370" s="91" t="n"/>
      <c r="N2370" s="91" t="n"/>
      <c r="O2370" s="91" t="n"/>
      <c r="P2370" s="91" t="n"/>
      <c r="Q2370" s="91" t="n"/>
      <c r="R2370" s="91" t="n"/>
      <c r="S2370" s="91" t="n"/>
      <c r="T2370" s="25">
        <f>DAY(C2370)</f>
        <v/>
      </c>
      <c r="U2370" s="22">
        <f>MONTH(C2370)</f>
        <v/>
      </c>
      <c r="V2370" s="91" t="n"/>
      <c r="W2370" s="91" t="n"/>
      <c r="X2370" s="91" t="n"/>
      <c r="Y2370" s="91" t="n"/>
      <c r="Z2370" s="91" t="n"/>
    </row>
    <row r="2371" ht="12.75" customHeight="1" s="117">
      <c r="A2371" s="91" t="n"/>
      <c r="B2371" s="91" t="n"/>
      <c r="C2371" s="91" t="n"/>
      <c r="D2371" s="91" t="n"/>
      <c r="E2371" s="91" t="n"/>
      <c r="F2371" s="91" t="n"/>
      <c r="G2371" s="91" t="n"/>
      <c r="H2371" s="91" t="n"/>
      <c r="I2371" s="91" t="n"/>
      <c r="J2371" s="91" t="n"/>
      <c r="K2371" s="91" t="n"/>
      <c r="L2371" s="91" t="n"/>
      <c r="M2371" s="91" t="n"/>
      <c r="N2371" s="91" t="n"/>
      <c r="O2371" s="91" t="n"/>
      <c r="P2371" s="91" t="n"/>
      <c r="Q2371" s="91" t="n"/>
      <c r="R2371" s="91" t="n"/>
      <c r="S2371" s="91" t="n"/>
      <c r="T2371" s="25">
        <f>DAY(C2371)</f>
        <v/>
      </c>
      <c r="U2371" s="22">
        <f>MONTH(C2371)</f>
        <v/>
      </c>
      <c r="V2371" s="91" t="n"/>
      <c r="W2371" s="91" t="n"/>
      <c r="X2371" s="91" t="n"/>
      <c r="Y2371" s="91" t="n"/>
      <c r="Z2371" s="91" t="n"/>
    </row>
    <row r="2372" ht="12.75" customHeight="1" s="117">
      <c r="A2372" s="91" t="n"/>
      <c r="B2372" s="91" t="n"/>
      <c r="C2372" s="91" t="n"/>
      <c r="D2372" s="91" t="n"/>
      <c r="E2372" s="91" t="n"/>
      <c r="F2372" s="91" t="n"/>
      <c r="G2372" s="91" t="n"/>
      <c r="H2372" s="91" t="n"/>
      <c r="I2372" s="91" t="n"/>
      <c r="J2372" s="91" t="n"/>
      <c r="K2372" s="91" t="n"/>
      <c r="L2372" s="91" t="n"/>
      <c r="M2372" s="91" t="n"/>
      <c r="N2372" s="91" t="n"/>
      <c r="O2372" s="91" t="n"/>
      <c r="P2372" s="91" t="n"/>
      <c r="Q2372" s="91" t="n"/>
      <c r="R2372" s="91" t="n"/>
      <c r="S2372" s="91" t="n"/>
      <c r="T2372" s="25">
        <f>DAY(C2372)</f>
        <v/>
      </c>
      <c r="U2372" s="22">
        <f>MONTH(C2372)</f>
        <v/>
      </c>
      <c r="V2372" s="91" t="n"/>
      <c r="W2372" s="91" t="n"/>
      <c r="X2372" s="91" t="n"/>
      <c r="Y2372" s="91" t="n"/>
      <c r="Z2372" s="91" t="n"/>
    </row>
    <row r="2373" ht="12.75" customHeight="1" s="117">
      <c r="A2373" s="91" t="n"/>
      <c r="B2373" s="91" t="n"/>
      <c r="C2373" s="91" t="n"/>
      <c r="D2373" s="91" t="n"/>
      <c r="E2373" s="91" t="n"/>
      <c r="F2373" s="91" t="n"/>
      <c r="G2373" s="91" t="n"/>
      <c r="H2373" s="91" t="n"/>
      <c r="I2373" s="91" t="n"/>
      <c r="J2373" s="91" t="n"/>
      <c r="K2373" s="91" t="n"/>
      <c r="L2373" s="91" t="n"/>
      <c r="M2373" s="91" t="n"/>
      <c r="N2373" s="91" t="n"/>
      <c r="O2373" s="91" t="n"/>
      <c r="P2373" s="91" t="n"/>
      <c r="Q2373" s="91" t="n"/>
      <c r="R2373" s="91" t="n"/>
      <c r="S2373" s="91" t="n"/>
      <c r="T2373" s="25">
        <f>DAY(C2373)</f>
        <v/>
      </c>
      <c r="U2373" s="22">
        <f>MONTH(C2373)</f>
        <v/>
      </c>
      <c r="V2373" s="91" t="n"/>
      <c r="W2373" s="91" t="n"/>
      <c r="X2373" s="91" t="n"/>
      <c r="Y2373" s="91" t="n"/>
      <c r="Z2373" s="91" t="n"/>
    </row>
    <row r="2374" ht="12.75" customHeight="1" s="117">
      <c r="A2374" s="91" t="n"/>
      <c r="B2374" s="91" t="n"/>
      <c r="C2374" s="91" t="n"/>
      <c r="D2374" s="91" t="n"/>
      <c r="E2374" s="91" t="n"/>
      <c r="F2374" s="91" t="n"/>
      <c r="G2374" s="91" t="n"/>
      <c r="H2374" s="91" t="n"/>
      <c r="I2374" s="91" t="n"/>
      <c r="J2374" s="91" t="n"/>
      <c r="K2374" s="91" t="n"/>
      <c r="L2374" s="91" t="n"/>
      <c r="M2374" s="91" t="n"/>
      <c r="N2374" s="91" t="n"/>
      <c r="O2374" s="91" t="n"/>
      <c r="P2374" s="91" t="n"/>
      <c r="Q2374" s="91" t="n"/>
      <c r="R2374" s="91" t="n"/>
      <c r="S2374" s="91" t="n"/>
      <c r="T2374" s="25">
        <f>DAY(C2374)</f>
        <v/>
      </c>
      <c r="U2374" s="22">
        <f>MONTH(C2374)</f>
        <v/>
      </c>
      <c r="V2374" s="91" t="n"/>
      <c r="W2374" s="91" t="n"/>
      <c r="X2374" s="91" t="n"/>
      <c r="Y2374" s="91" t="n"/>
      <c r="Z2374" s="91" t="n"/>
    </row>
    <row r="2375" ht="12.75" customHeight="1" s="117">
      <c r="A2375" s="91" t="n"/>
      <c r="B2375" s="91" t="n"/>
      <c r="C2375" s="91" t="n"/>
      <c r="D2375" s="91" t="n"/>
      <c r="E2375" s="91" t="n"/>
      <c r="F2375" s="91" t="n"/>
      <c r="G2375" s="91" t="n"/>
      <c r="H2375" s="91" t="n"/>
      <c r="I2375" s="91" t="n"/>
      <c r="J2375" s="91" t="n"/>
      <c r="K2375" s="91" t="n"/>
      <c r="L2375" s="91" t="n"/>
      <c r="M2375" s="91" t="n"/>
      <c r="N2375" s="91" t="n"/>
      <c r="O2375" s="91" t="n"/>
      <c r="P2375" s="91" t="n"/>
      <c r="Q2375" s="91" t="n"/>
      <c r="R2375" s="91" t="n"/>
      <c r="S2375" s="91" t="n"/>
      <c r="T2375" s="25">
        <f>DAY(C2375)</f>
        <v/>
      </c>
      <c r="U2375" s="22">
        <f>MONTH(C2375)</f>
        <v/>
      </c>
      <c r="V2375" s="91" t="n"/>
      <c r="W2375" s="91" t="n"/>
      <c r="X2375" s="91" t="n"/>
      <c r="Y2375" s="91" t="n"/>
      <c r="Z2375" s="91" t="n"/>
    </row>
    <row r="2376" ht="12.75" customHeight="1" s="117">
      <c r="A2376" s="91" t="n"/>
      <c r="B2376" s="91" t="n"/>
      <c r="C2376" s="91" t="n"/>
      <c r="D2376" s="91" t="n"/>
      <c r="E2376" s="91" t="n"/>
      <c r="F2376" s="91" t="n"/>
      <c r="G2376" s="91" t="n"/>
      <c r="H2376" s="91" t="n"/>
      <c r="I2376" s="91" t="n"/>
      <c r="J2376" s="91" t="n"/>
      <c r="K2376" s="91" t="n"/>
      <c r="L2376" s="91" t="n"/>
      <c r="M2376" s="91" t="n"/>
      <c r="N2376" s="91" t="n"/>
      <c r="O2376" s="91" t="n"/>
      <c r="P2376" s="91" t="n"/>
      <c r="Q2376" s="91" t="n"/>
      <c r="R2376" s="91" t="n"/>
      <c r="S2376" s="91" t="n"/>
      <c r="T2376" s="25">
        <f>DAY(C2376)</f>
        <v/>
      </c>
      <c r="U2376" s="22">
        <f>MONTH(C2376)</f>
        <v/>
      </c>
      <c r="V2376" s="91" t="n"/>
      <c r="W2376" s="91" t="n"/>
      <c r="X2376" s="91" t="n"/>
      <c r="Y2376" s="91" t="n"/>
      <c r="Z2376" s="91" t="n"/>
    </row>
    <row r="2377" ht="12.75" customHeight="1" s="117">
      <c r="A2377" s="91" t="n"/>
      <c r="B2377" s="91" t="n"/>
      <c r="C2377" s="91" t="n"/>
      <c r="D2377" s="91" t="n"/>
      <c r="E2377" s="91" t="n"/>
      <c r="F2377" s="91" t="n"/>
      <c r="G2377" s="91" t="n"/>
      <c r="H2377" s="91" t="n"/>
      <c r="I2377" s="91" t="n"/>
      <c r="J2377" s="91" t="n"/>
      <c r="K2377" s="91" t="n"/>
      <c r="L2377" s="91" t="n"/>
      <c r="M2377" s="91" t="n"/>
      <c r="N2377" s="91" t="n"/>
      <c r="O2377" s="91" t="n"/>
      <c r="P2377" s="91" t="n"/>
      <c r="Q2377" s="91" t="n"/>
      <c r="R2377" s="91" t="n"/>
      <c r="S2377" s="91" t="n"/>
      <c r="T2377" s="25">
        <f>DAY(C2377)</f>
        <v/>
      </c>
      <c r="U2377" s="22">
        <f>MONTH(C2377)</f>
        <v/>
      </c>
      <c r="V2377" s="91" t="n"/>
      <c r="W2377" s="91" t="n"/>
      <c r="X2377" s="91" t="n"/>
      <c r="Y2377" s="91" t="n"/>
      <c r="Z2377" s="91" t="n"/>
    </row>
    <row r="2378" ht="12.75" customHeight="1" s="117">
      <c r="A2378" s="91" t="n"/>
      <c r="B2378" s="91" t="n"/>
      <c r="C2378" s="91" t="n"/>
      <c r="D2378" s="91" t="n"/>
      <c r="E2378" s="91" t="n"/>
      <c r="F2378" s="91" t="n"/>
      <c r="G2378" s="91" t="n"/>
      <c r="H2378" s="91" t="n"/>
      <c r="I2378" s="91" t="n"/>
      <c r="J2378" s="91" t="n"/>
      <c r="K2378" s="91" t="n"/>
      <c r="L2378" s="91" t="n"/>
      <c r="M2378" s="91" t="n"/>
      <c r="N2378" s="91" t="n"/>
      <c r="O2378" s="91" t="n"/>
      <c r="P2378" s="91" t="n"/>
      <c r="Q2378" s="91" t="n"/>
      <c r="R2378" s="91" t="n"/>
      <c r="S2378" s="91" t="n"/>
      <c r="T2378" s="25">
        <f>DAY(C2378)</f>
        <v/>
      </c>
      <c r="U2378" s="22">
        <f>MONTH(C2378)</f>
        <v/>
      </c>
      <c r="V2378" s="91" t="n"/>
      <c r="W2378" s="91" t="n"/>
      <c r="X2378" s="91" t="n"/>
      <c r="Y2378" s="91" t="n"/>
      <c r="Z2378" s="91" t="n"/>
    </row>
    <row r="2379" ht="12.75" customHeight="1" s="117">
      <c r="A2379" s="91" t="n"/>
      <c r="B2379" s="91" t="n"/>
      <c r="C2379" s="91" t="n"/>
      <c r="D2379" s="91" t="n"/>
      <c r="E2379" s="91" t="n"/>
      <c r="F2379" s="91" t="n"/>
      <c r="G2379" s="91" t="n"/>
      <c r="H2379" s="91" t="n"/>
      <c r="I2379" s="91" t="n"/>
      <c r="J2379" s="91" t="n"/>
      <c r="K2379" s="91" t="n"/>
      <c r="L2379" s="91" t="n"/>
      <c r="M2379" s="91" t="n"/>
      <c r="N2379" s="91" t="n"/>
      <c r="O2379" s="91" t="n"/>
      <c r="P2379" s="91" t="n"/>
      <c r="Q2379" s="91" t="n"/>
      <c r="R2379" s="91" t="n"/>
      <c r="S2379" s="91" t="n"/>
      <c r="T2379" s="25">
        <f>DAY(C2379)</f>
        <v/>
      </c>
      <c r="U2379" s="22">
        <f>MONTH(C2379)</f>
        <v/>
      </c>
      <c r="V2379" s="91" t="n"/>
      <c r="W2379" s="91" t="n"/>
      <c r="X2379" s="91" t="n"/>
      <c r="Y2379" s="91" t="n"/>
      <c r="Z2379" s="91" t="n"/>
    </row>
    <row r="2380" ht="12.75" customHeight="1" s="117">
      <c r="A2380" s="91" t="n"/>
      <c r="B2380" s="91" t="n"/>
      <c r="C2380" s="91" t="n"/>
      <c r="D2380" s="91" t="n"/>
      <c r="E2380" s="91" t="n"/>
      <c r="F2380" s="91" t="n"/>
      <c r="G2380" s="91" t="n"/>
      <c r="H2380" s="91" t="n"/>
      <c r="I2380" s="91" t="n"/>
      <c r="J2380" s="91" t="n"/>
      <c r="K2380" s="91" t="n"/>
      <c r="L2380" s="91" t="n"/>
      <c r="M2380" s="91" t="n"/>
      <c r="N2380" s="91" t="n"/>
      <c r="O2380" s="91" t="n"/>
      <c r="P2380" s="91" t="n"/>
      <c r="Q2380" s="91" t="n"/>
      <c r="R2380" s="91" t="n"/>
      <c r="S2380" s="91" t="n"/>
      <c r="T2380" s="25">
        <f>DAY(C2380)</f>
        <v/>
      </c>
      <c r="U2380" s="22">
        <f>MONTH(C2380)</f>
        <v/>
      </c>
      <c r="V2380" s="91" t="n"/>
      <c r="W2380" s="91" t="n"/>
      <c r="X2380" s="91" t="n"/>
      <c r="Y2380" s="91" t="n"/>
      <c r="Z2380" s="91" t="n"/>
    </row>
    <row r="2381" ht="12.75" customHeight="1" s="117">
      <c r="A2381" s="91" t="n"/>
      <c r="B2381" s="91" t="n"/>
      <c r="C2381" s="91" t="n"/>
      <c r="D2381" s="91" t="n"/>
      <c r="E2381" s="91" t="n"/>
      <c r="F2381" s="91" t="n"/>
      <c r="G2381" s="91" t="n"/>
      <c r="H2381" s="91" t="n"/>
      <c r="I2381" s="91" t="n"/>
      <c r="J2381" s="91" t="n"/>
      <c r="K2381" s="91" t="n"/>
      <c r="L2381" s="91" t="n"/>
      <c r="M2381" s="91" t="n"/>
      <c r="N2381" s="91" t="n"/>
      <c r="O2381" s="91" t="n"/>
      <c r="P2381" s="91" t="n"/>
      <c r="Q2381" s="91" t="n"/>
      <c r="R2381" s="91" t="n"/>
      <c r="S2381" s="91" t="n"/>
      <c r="T2381" s="25">
        <f>DAY(C2381)</f>
        <v/>
      </c>
      <c r="U2381" s="22">
        <f>MONTH(C2381)</f>
        <v/>
      </c>
      <c r="V2381" s="91" t="n"/>
      <c r="W2381" s="91" t="n"/>
      <c r="X2381" s="91" t="n"/>
      <c r="Y2381" s="91" t="n"/>
      <c r="Z2381" s="91" t="n"/>
    </row>
    <row r="2382" ht="12.75" customHeight="1" s="117">
      <c r="A2382" s="91" t="n"/>
      <c r="B2382" s="91" t="n"/>
      <c r="C2382" s="91" t="n"/>
      <c r="D2382" s="91" t="n"/>
      <c r="E2382" s="91" t="n"/>
      <c r="F2382" s="91" t="n"/>
      <c r="G2382" s="91" t="n"/>
      <c r="H2382" s="91" t="n"/>
      <c r="I2382" s="91" t="n"/>
      <c r="J2382" s="91" t="n"/>
      <c r="K2382" s="91" t="n"/>
      <c r="L2382" s="91" t="n"/>
      <c r="M2382" s="91" t="n"/>
      <c r="N2382" s="91" t="n"/>
      <c r="O2382" s="91" t="n"/>
      <c r="P2382" s="91" t="n"/>
      <c r="Q2382" s="91" t="n"/>
      <c r="R2382" s="91" t="n"/>
      <c r="S2382" s="91" t="n"/>
      <c r="T2382" s="25">
        <f>DAY(C2382)</f>
        <v/>
      </c>
      <c r="U2382" s="22">
        <f>MONTH(C2382)</f>
        <v/>
      </c>
      <c r="V2382" s="91" t="n"/>
      <c r="W2382" s="91" t="n"/>
      <c r="X2382" s="91" t="n"/>
      <c r="Y2382" s="91" t="n"/>
      <c r="Z2382" s="91" t="n"/>
    </row>
    <row r="2383" ht="12.75" customHeight="1" s="117">
      <c r="A2383" s="91" t="n"/>
      <c r="B2383" s="91" t="n"/>
      <c r="C2383" s="91" t="n"/>
      <c r="D2383" s="91" t="n"/>
      <c r="E2383" s="91" t="n"/>
      <c r="F2383" s="91" t="n"/>
      <c r="G2383" s="91" t="n"/>
      <c r="H2383" s="91" t="n"/>
      <c r="I2383" s="91" t="n"/>
      <c r="J2383" s="91" t="n"/>
      <c r="K2383" s="91" t="n"/>
      <c r="L2383" s="91" t="n"/>
      <c r="M2383" s="91" t="n"/>
      <c r="N2383" s="91" t="n"/>
      <c r="O2383" s="91" t="n"/>
      <c r="P2383" s="91" t="n"/>
      <c r="Q2383" s="91" t="n"/>
      <c r="R2383" s="91" t="n"/>
      <c r="S2383" s="91" t="n"/>
      <c r="T2383" s="25">
        <f>DAY(C2383)</f>
        <v/>
      </c>
      <c r="U2383" s="22">
        <f>MONTH(C2383)</f>
        <v/>
      </c>
      <c r="V2383" s="91" t="n"/>
      <c r="W2383" s="91" t="n"/>
      <c r="X2383" s="91" t="n"/>
      <c r="Y2383" s="91" t="n"/>
      <c r="Z2383" s="91" t="n"/>
    </row>
    <row r="2384" ht="12.75" customHeight="1" s="117">
      <c r="A2384" s="91" t="n"/>
      <c r="B2384" s="91" t="n"/>
      <c r="C2384" s="91" t="n"/>
      <c r="D2384" s="91" t="n"/>
      <c r="E2384" s="91" t="n"/>
      <c r="F2384" s="91" t="n"/>
      <c r="G2384" s="91" t="n"/>
      <c r="H2384" s="91" t="n"/>
      <c r="I2384" s="91" t="n"/>
      <c r="J2384" s="91" t="n"/>
      <c r="K2384" s="91" t="n"/>
      <c r="L2384" s="91" t="n"/>
      <c r="M2384" s="91" t="n"/>
      <c r="N2384" s="91" t="n"/>
      <c r="O2384" s="91" t="n"/>
      <c r="P2384" s="91" t="n"/>
      <c r="Q2384" s="91" t="n"/>
      <c r="R2384" s="91" t="n"/>
      <c r="S2384" s="91" t="n"/>
      <c r="T2384" s="25">
        <f>DAY(C2384)</f>
        <v/>
      </c>
      <c r="U2384" s="22">
        <f>MONTH(C2384)</f>
        <v/>
      </c>
      <c r="V2384" s="91" t="n"/>
      <c r="W2384" s="91" t="n"/>
      <c r="X2384" s="91" t="n"/>
      <c r="Y2384" s="91" t="n"/>
      <c r="Z2384" s="91" t="n"/>
    </row>
    <row r="2385" ht="12.75" customHeight="1" s="117">
      <c r="A2385" s="91" t="n"/>
      <c r="B2385" s="91" t="n"/>
      <c r="C2385" s="91" t="n"/>
      <c r="D2385" s="91" t="n"/>
      <c r="E2385" s="91" t="n"/>
      <c r="F2385" s="91" t="n"/>
      <c r="G2385" s="91" t="n"/>
      <c r="H2385" s="91" t="n"/>
      <c r="I2385" s="91" t="n"/>
      <c r="J2385" s="91" t="n"/>
      <c r="K2385" s="91" t="n"/>
      <c r="L2385" s="91" t="n"/>
      <c r="M2385" s="91" t="n"/>
      <c r="N2385" s="91" t="n"/>
      <c r="O2385" s="91" t="n"/>
      <c r="P2385" s="91" t="n"/>
      <c r="Q2385" s="91" t="n"/>
      <c r="R2385" s="91" t="n"/>
      <c r="S2385" s="91" t="n"/>
      <c r="T2385" s="25">
        <f>DAY(C2385)</f>
        <v/>
      </c>
      <c r="U2385" s="22">
        <f>MONTH(C2385)</f>
        <v/>
      </c>
      <c r="V2385" s="91" t="n"/>
      <c r="W2385" s="91" t="n"/>
      <c r="X2385" s="91" t="n"/>
      <c r="Y2385" s="91" t="n"/>
      <c r="Z2385" s="91" t="n"/>
    </row>
    <row r="2386" ht="12.75" customHeight="1" s="117">
      <c r="A2386" s="91" t="n"/>
      <c r="B2386" s="91" t="n"/>
      <c r="C2386" s="91" t="n"/>
      <c r="D2386" s="91" t="n"/>
      <c r="E2386" s="91" t="n"/>
      <c r="F2386" s="91" t="n"/>
      <c r="G2386" s="91" t="n"/>
      <c r="H2386" s="91" t="n"/>
      <c r="I2386" s="91" t="n"/>
      <c r="J2386" s="91" t="n"/>
      <c r="K2386" s="91" t="n"/>
      <c r="L2386" s="91" t="n"/>
      <c r="M2386" s="91" t="n"/>
      <c r="N2386" s="91" t="n"/>
      <c r="O2386" s="91" t="n"/>
      <c r="P2386" s="91" t="n"/>
      <c r="Q2386" s="91" t="n"/>
      <c r="R2386" s="91" t="n"/>
      <c r="S2386" s="91" t="n"/>
      <c r="T2386" s="25">
        <f>DAY(C2386)</f>
        <v/>
      </c>
      <c r="U2386" s="22">
        <f>MONTH(C2386)</f>
        <v/>
      </c>
      <c r="V2386" s="91" t="n"/>
      <c r="W2386" s="91" t="n"/>
      <c r="X2386" s="91" t="n"/>
      <c r="Y2386" s="91" t="n"/>
      <c r="Z2386" s="91" t="n"/>
    </row>
    <row r="2387" ht="12.75" customHeight="1" s="117">
      <c r="A2387" s="91" t="n"/>
      <c r="B2387" s="91" t="n"/>
      <c r="C2387" s="91" t="n"/>
      <c r="D2387" s="91" t="n"/>
      <c r="E2387" s="91" t="n"/>
      <c r="F2387" s="91" t="n"/>
      <c r="G2387" s="91" t="n"/>
      <c r="H2387" s="91" t="n"/>
      <c r="I2387" s="91" t="n"/>
      <c r="J2387" s="91" t="n"/>
      <c r="K2387" s="91" t="n"/>
      <c r="L2387" s="91" t="n"/>
      <c r="M2387" s="91" t="n"/>
      <c r="N2387" s="91" t="n"/>
      <c r="O2387" s="91" t="n"/>
      <c r="P2387" s="91" t="n"/>
      <c r="Q2387" s="91" t="n"/>
      <c r="R2387" s="91" t="n"/>
      <c r="S2387" s="91" t="n"/>
      <c r="T2387" s="25">
        <f>DAY(C2387)</f>
        <v/>
      </c>
      <c r="U2387" s="22">
        <f>MONTH(C2387)</f>
        <v/>
      </c>
      <c r="V2387" s="91" t="n"/>
      <c r="W2387" s="91" t="n"/>
      <c r="X2387" s="91" t="n"/>
      <c r="Y2387" s="91" t="n"/>
      <c r="Z2387" s="91" t="n"/>
    </row>
    <row r="2388" ht="12.75" customHeight="1" s="117">
      <c r="A2388" s="91" t="n"/>
      <c r="B2388" s="91" t="n"/>
      <c r="C2388" s="91" t="n"/>
      <c r="D2388" s="91" t="n"/>
      <c r="E2388" s="91" t="n"/>
      <c r="F2388" s="91" t="n"/>
      <c r="G2388" s="91" t="n"/>
      <c r="H2388" s="91" t="n"/>
      <c r="I2388" s="91" t="n"/>
      <c r="J2388" s="91" t="n"/>
      <c r="K2388" s="91" t="n"/>
      <c r="L2388" s="91" t="n"/>
      <c r="M2388" s="91" t="n"/>
      <c r="N2388" s="91" t="n"/>
      <c r="O2388" s="91" t="n"/>
      <c r="P2388" s="91" t="n"/>
      <c r="Q2388" s="91" t="n"/>
      <c r="R2388" s="91" t="n"/>
      <c r="S2388" s="91" t="n"/>
      <c r="T2388" s="25">
        <f>DAY(C2388)</f>
        <v/>
      </c>
      <c r="U2388" s="22">
        <f>MONTH(C2388)</f>
        <v/>
      </c>
      <c r="V2388" s="91" t="n"/>
      <c r="W2388" s="91" t="n"/>
      <c r="X2388" s="91" t="n"/>
      <c r="Y2388" s="91" t="n"/>
      <c r="Z2388" s="91" t="n"/>
    </row>
    <row r="2389" ht="12.75" customHeight="1" s="117">
      <c r="A2389" s="91" t="n"/>
      <c r="B2389" s="91" t="n"/>
      <c r="C2389" s="91" t="n"/>
      <c r="D2389" s="91" t="n"/>
      <c r="E2389" s="91" t="n"/>
      <c r="F2389" s="91" t="n"/>
      <c r="G2389" s="91" t="n"/>
      <c r="H2389" s="91" t="n"/>
      <c r="I2389" s="91" t="n"/>
      <c r="J2389" s="91" t="n"/>
      <c r="K2389" s="91" t="n"/>
      <c r="L2389" s="91" t="n"/>
      <c r="M2389" s="91" t="n"/>
      <c r="N2389" s="91" t="n"/>
      <c r="O2389" s="91" t="n"/>
      <c r="P2389" s="91" t="n"/>
      <c r="Q2389" s="91" t="n"/>
      <c r="R2389" s="91" t="n"/>
      <c r="S2389" s="91" t="n"/>
      <c r="T2389" s="25">
        <f>DAY(C2389)</f>
        <v/>
      </c>
      <c r="U2389" s="22">
        <f>MONTH(C2389)</f>
        <v/>
      </c>
      <c r="V2389" s="91" t="n"/>
      <c r="W2389" s="91" t="n"/>
      <c r="X2389" s="91" t="n"/>
      <c r="Y2389" s="91" t="n"/>
      <c r="Z2389" s="91" t="n"/>
    </row>
    <row r="2390" ht="12.75" customHeight="1" s="117">
      <c r="A2390" s="91" t="n"/>
      <c r="B2390" s="91" t="n"/>
      <c r="C2390" s="91" t="n"/>
      <c r="D2390" s="91" t="n"/>
      <c r="E2390" s="91" t="n"/>
      <c r="F2390" s="91" t="n"/>
      <c r="G2390" s="91" t="n"/>
      <c r="H2390" s="91" t="n"/>
      <c r="I2390" s="91" t="n"/>
      <c r="J2390" s="91" t="n"/>
      <c r="K2390" s="91" t="n"/>
      <c r="L2390" s="91" t="n"/>
      <c r="M2390" s="91" t="n"/>
      <c r="N2390" s="91" t="n"/>
      <c r="O2390" s="91" t="n"/>
      <c r="P2390" s="91" t="n"/>
      <c r="Q2390" s="91" t="n"/>
      <c r="R2390" s="91" t="n"/>
      <c r="S2390" s="91" t="n"/>
      <c r="T2390" s="25">
        <f>DAY(C2390)</f>
        <v/>
      </c>
      <c r="U2390" s="22">
        <f>MONTH(C2390)</f>
        <v/>
      </c>
      <c r="V2390" s="91" t="n"/>
      <c r="W2390" s="91" t="n"/>
      <c r="X2390" s="91" t="n"/>
      <c r="Y2390" s="91" t="n"/>
      <c r="Z2390" s="91" t="n"/>
    </row>
    <row r="2391" ht="12.75" customHeight="1" s="117">
      <c r="A2391" s="91" t="n"/>
      <c r="B2391" s="91" t="n"/>
      <c r="C2391" s="91" t="n"/>
      <c r="D2391" s="91" t="n"/>
      <c r="E2391" s="91" t="n"/>
      <c r="F2391" s="91" t="n"/>
      <c r="G2391" s="91" t="n"/>
      <c r="H2391" s="91" t="n"/>
      <c r="I2391" s="91" t="n"/>
      <c r="J2391" s="91" t="n"/>
      <c r="K2391" s="91" t="n"/>
      <c r="L2391" s="91" t="n"/>
      <c r="M2391" s="91" t="n"/>
      <c r="N2391" s="91" t="n"/>
      <c r="O2391" s="91" t="n"/>
      <c r="P2391" s="91" t="n"/>
      <c r="Q2391" s="91" t="n"/>
      <c r="R2391" s="91" t="n"/>
      <c r="S2391" s="91" t="n"/>
      <c r="T2391" s="25">
        <f>DAY(C2391)</f>
        <v/>
      </c>
      <c r="U2391" s="22">
        <f>MONTH(C2391)</f>
        <v/>
      </c>
      <c r="V2391" s="91" t="n"/>
      <c r="W2391" s="91" t="n"/>
      <c r="X2391" s="91" t="n"/>
      <c r="Y2391" s="91" t="n"/>
      <c r="Z2391" s="91" t="n"/>
    </row>
    <row r="2392" ht="12.75" customHeight="1" s="117">
      <c r="A2392" s="91" t="n"/>
      <c r="B2392" s="91" t="n"/>
      <c r="C2392" s="91" t="n"/>
      <c r="D2392" s="91" t="n"/>
      <c r="E2392" s="91" t="n"/>
      <c r="F2392" s="91" t="n"/>
      <c r="G2392" s="91" t="n"/>
      <c r="H2392" s="91" t="n"/>
      <c r="I2392" s="91" t="n"/>
      <c r="J2392" s="91" t="n"/>
      <c r="K2392" s="91" t="n"/>
      <c r="L2392" s="91" t="n"/>
      <c r="M2392" s="91" t="n"/>
      <c r="N2392" s="91" t="n"/>
      <c r="O2392" s="91" t="n"/>
      <c r="P2392" s="91" t="n"/>
      <c r="Q2392" s="91" t="n"/>
      <c r="R2392" s="91" t="n"/>
      <c r="S2392" s="91" t="n"/>
      <c r="T2392" s="25">
        <f>DAY(C2392)</f>
        <v/>
      </c>
      <c r="U2392" s="22">
        <f>MONTH(C2392)</f>
        <v/>
      </c>
      <c r="V2392" s="91" t="n"/>
      <c r="W2392" s="91" t="n"/>
      <c r="X2392" s="91" t="n"/>
      <c r="Y2392" s="91" t="n"/>
      <c r="Z2392" s="91" t="n"/>
    </row>
    <row r="2393" ht="12.75" customHeight="1" s="117">
      <c r="A2393" s="91" t="n"/>
      <c r="B2393" s="91" t="n"/>
      <c r="C2393" s="91" t="n"/>
      <c r="D2393" s="91" t="n"/>
      <c r="E2393" s="91" t="n"/>
      <c r="F2393" s="91" t="n"/>
      <c r="G2393" s="91" t="n"/>
      <c r="H2393" s="91" t="n"/>
      <c r="I2393" s="91" t="n"/>
      <c r="J2393" s="91" t="n"/>
      <c r="K2393" s="91" t="n"/>
      <c r="L2393" s="91" t="n"/>
      <c r="M2393" s="91" t="n"/>
      <c r="N2393" s="91" t="n"/>
      <c r="O2393" s="91" t="n"/>
      <c r="P2393" s="91" t="n"/>
      <c r="Q2393" s="91" t="n"/>
      <c r="R2393" s="91" t="n"/>
      <c r="S2393" s="91" t="n"/>
      <c r="T2393" s="25">
        <f>DAY(C2393)</f>
        <v/>
      </c>
      <c r="U2393" s="22">
        <f>MONTH(C2393)</f>
        <v/>
      </c>
      <c r="V2393" s="91" t="n"/>
      <c r="W2393" s="91" t="n"/>
      <c r="X2393" s="91" t="n"/>
      <c r="Y2393" s="91" t="n"/>
      <c r="Z2393" s="91" t="n"/>
    </row>
    <row r="2394" ht="12.75" customHeight="1" s="117">
      <c r="A2394" s="91" t="n"/>
      <c r="B2394" s="91" t="n"/>
      <c r="C2394" s="91" t="n"/>
      <c r="D2394" s="91" t="n"/>
      <c r="E2394" s="91" t="n"/>
      <c r="F2394" s="91" t="n"/>
      <c r="G2394" s="91" t="n"/>
      <c r="H2394" s="91" t="n"/>
      <c r="I2394" s="91" t="n"/>
      <c r="J2394" s="91" t="n"/>
      <c r="K2394" s="91" t="n"/>
      <c r="L2394" s="91" t="n"/>
      <c r="M2394" s="91" t="n"/>
      <c r="N2394" s="91" t="n"/>
      <c r="O2394" s="91" t="n"/>
      <c r="P2394" s="91" t="n"/>
      <c r="Q2394" s="91" t="n"/>
      <c r="R2394" s="91" t="n"/>
      <c r="S2394" s="91" t="n"/>
      <c r="T2394" s="25">
        <f>DAY(C2394)</f>
        <v/>
      </c>
      <c r="U2394" s="22">
        <f>MONTH(C2394)</f>
        <v/>
      </c>
      <c r="V2394" s="91" t="n"/>
      <c r="W2394" s="91" t="n"/>
      <c r="X2394" s="91" t="n"/>
      <c r="Y2394" s="91" t="n"/>
      <c r="Z2394" s="91" t="n"/>
    </row>
    <row r="2395" ht="12.75" customHeight="1" s="117">
      <c r="A2395" s="91" t="n"/>
      <c r="B2395" s="91" t="n"/>
      <c r="C2395" s="91" t="n"/>
      <c r="D2395" s="91" t="n"/>
      <c r="E2395" s="91" t="n"/>
      <c r="F2395" s="91" t="n"/>
      <c r="G2395" s="91" t="n"/>
      <c r="H2395" s="91" t="n"/>
      <c r="I2395" s="91" t="n"/>
      <c r="J2395" s="91" t="n"/>
      <c r="K2395" s="91" t="n"/>
      <c r="L2395" s="91" t="n"/>
      <c r="M2395" s="91" t="n"/>
      <c r="N2395" s="91" t="n"/>
      <c r="O2395" s="91" t="n"/>
      <c r="P2395" s="91" t="n"/>
      <c r="Q2395" s="91" t="n"/>
      <c r="R2395" s="91" t="n"/>
      <c r="S2395" s="91" t="n"/>
      <c r="T2395" s="25">
        <f>DAY(C2395)</f>
        <v/>
      </c>
      <c r="U2395" s="22">
        <f>MONTH(C2395)</f>
        <v/>
      </c>
      <c r="V2395" s="91" t="n"/>
      <c r="W2395" s="91" t="n"/>
      <c r="X2395" s="91" t="n"/>
      <c r="Y2395" s="91" t="n"/>
      <c r="Z2395" s="91" t="n"/>
    </row>
    <row r="2396" ht="12.75" customHeight="1" s="117">
      <c r="A2396" s="91" t="n"/>
      <c r="B2396" s="91" t="n"/>
      <c r="C2396" s="91" t="n"/>
      <c r="D2396" s="91" t="n"/>
      <c r="E2396" s="91" t="n"/>
      <c r="F2396" s="91" t="n"/>
      <c r="G2396" s="91" t="n"/>
      <c r="H2396" s="91" t="n"/>
      <c r="I2396" s="91" t="n"/>
      <c r="J2396" s="91" t="n"/>
      <c r="K2396" s="91" t="n"/>
      <c r="L2396" s="91" t="n"/>
      <c r="M2396" s="91" t="n"/>
      <c r="N2396" s="91" t="n"/>
      <c r="O2396" s="91" t="n"/>
      <c r="P2396" s="91" t="n"/>
      <c r="Q2396" s="91" t="n"/>
      <c r="R2396" s="91" t="n"/>
      <c r="S2396" s="91" t="n"/>
      <c r="T2396" s="25">
        <f>DAY(C2396)</f>
        <v/>
      </c>
      <c r="U2396" s="22">
        <f>MONTH(C2396)</f>
        <v/>
      </c>
      <c r="V2396" s="91" t="n"/>
      <c r="W2396" s="91" t="n"/>
      <c r="X2396" s="91" t="n"/>
      <c r="Y2396" s="91" t="n"/>
      <c r="Z2396" s="91" t="n"/>
    </row>
    <row r="2397" ht="12.75" customHeight="1" s="117">
      <c r="A2397" s="91" t="n"/>
      <c r="B2397" s="91" t="n"/>
      <c r="C2397" s="91" t="n"/>
      <c r="D2397" s="91" t="n"/>
      <c r="E2397" s="91" t="n"/>
      <c r="F2397" s="91" t="n"/>
      <c r="G2397" s="91" t="n"/>
      <c r="H2397" s="91" t="n"/>
      <c r="I2397" s="91" t="n"/>
      <c r="J2397" s="91" t="n"/>
      <c r="K2397" s="91" t="n"/>
      <c r="L2397" s="91" t="n"/>
      <c r="M2397" s="91" t="n"/>
      <c r="N2397" s="91" t="n"/>
      <c r="O2397" s="91" t="n"/>
      <c r="P2397" s="91" t="n"/>
      <c r="Q2397" s="91" t="n"/>
      <c r="R2397" s="91" t="n"/>
      <c r="S2397" s="91" t="n"/>
      <c r="T2397" s="25">
        <f>DAY(C2397)</f>
        <v/>
      </c>
      <c r="U2397" s="22">
        <f>MONTH(C2397)</f>
        <v/>
      </c>
      <c r="V2397" s="91" t="n"/>
      <c r="W2397" s="91" t="n"/>
      <c r="X2397" s="91" t="n"/>
      <c r="Y2397" s="91" t="n"/>
      <c r="Z2397" s="91" t="n"/>
    </row>
    <row r="2398" ht="12.75" customHeight="1" s="117">
      <c r="A2398" s="91" t="n"/>
      <c r="B2398" s="91" t="n"/>
      <c r="C2398" s="91" t="n"/>
      <c r="D2398" s="91" t="n"/>
      <c r="E2398" s="91" t="n"/>
      <c r="F2398" s="91" t="n"/>
      <c r="G2398" s="91" t="n"/>
      <c r="H2398" s="91" t="n"/>
      <c r="I2398" s="91" t="n"/>
      <c r="J2398" s="91" t="n"/>
      <c r="K2398" s="91" t="n"/>
      <c r="L2398" s="91" t="n"/>
      <c r="M2398" s="91" t="n"/>
      <c r="N2398" s="91" t="n"/>
      <c r="O2398" s="91" t="n"/>
      <c r="P2398" s="91" t="n"/>
      <c r="Q2398" s="91" t="n"/>
      <c r="R2398" s="91" t="n"/>
      <c r="S2398" s="91" t="n"/>
      <c r="T2398" s="25">
        <f>DAY(C2398)</f>
        <v/>
      </c>
      <c r="U2398" s="22">
        <f>MONTH(C2398)</f>
        <v/>
      </c>
      <c r="V2398" s="91" t="n"/>
      <c r="W2398" s="91" t="n"/>
      <c r="X2398" s="91" t="n"/>
      <c r="Y2398" s="91" t="n"/>
      <c r="Z2398" s="91" t="n"/>
    </row>
    <row r="2399" ht="12.75" customHeight="1" s="117">
      <c r="A2399" s="91" t="n"/>
      <c r="B2399" s="91" t="n"/>
      <c r="C2399" s="91" t="n"/>
      <c r="D2399" s="91" t="n"/>
      <c r="E2399" s="91" t="n"/>
      <c r="F2399" s="91" t="n"/>
      <c r="G2399" s="91" t="n"/>
      <c r="H2399" s="91" t="n"/>
      <c r="I2399" s="91" t="n"/>
      <c r="J2399" s="91" t="n"/>
      <c r="K2399" s="91" t="n"/>
      <c r="L2399" s="91" t="n"/>
      <c r="M2399" s="91" t="n"/>
      <c r="N2399" s="91" t="n"/>
      <c r="O2399" s="91" t="n"/>
      <c r="P2399" s="91" t="n"/>
      <c r="Q2399" s="91" t="n"/>
      <c r="R2399" s="91" t="n"/>
      <c r="S2399" s="91" t="n"/>
      <c r="T2399" s="25">
        <f>DAY(C2399)</f>
        <v/>
      </c>
      <c r="U2399" s="22">
        <f>MONTH(C2399)</f>
        <v/>
      </c>
      <c r="V2399" s="91" t="n"/>
      <c r="W2399" s="91" t="n"/>
      <c r="X2399" s="91" t="n"/>
      <c r="Y2399" s="91" t="n"/>
      <c r="Z2399" s="91" t="n"/>
    </row>
    <row r="2400" ht="12.75" customHeight="1" s="117">
      <c r="A2400" s="91" t="n"/>
      <c r="B2400" s="91" t="n"/>
      <c r="C2400" s="91" t="n"/>
      <c r="D2400" s="91" t="n"/>
      <c r="E2400" s="91" t="n"/>
      <c r="F2400" s="91" t="n"/>
      <c r="G2400" s="91" t="n"/>
      <c r="H2400" s="91" t="n"/>
      <c r="I2400" s="91" t="n"/>
      <c r="J2400" s="91" t="n"/>
      <c r="K2400" s="91" t="n"/>
      <c r="L2400" s="91" t="n"/>
      <c r="M2400" s="91" t="n"/>
      <c r="N2400" s="91" t="n"/>
      <c r="O2400" s="91" t="n"/>
      <c r="P2400" s="91" t="n"/>
      <c r="Q2400" s="91" t="n"/>
      <c r="R2400" s="91" t="n"/>
      <c r="S2400" s="91" t="n"/>
      <c r="T2400" s="25">
        <f>DAY(C2400)</f>
        <v/>
      </c>
      <c r="U2400" s="22">
        <f>MONTH(C2400)</f>
        <v/>
      </c>
      <c r="V2400" s="91" t="n"/>
      <c r="W2400" s="91" t="n"/>
      <c r="X2400" s="91" t="n"/>
      <c r="Y2400" s="91" t="n"/>
      <c r="Z2400" s="91" t="n"/>
    </row>
    <row r="2401" ht="12.75" customHeight="1" s="117">
      <c r="A2401" s="91" t="n"/>
      <c r="B2401" s="91" t="n"/>
      <c r="C2401" s="91" t="n"/>
      <c r="D2401" s="91" t="n"/>
      <c r="E2401" s="91" t="n"/>
      <c r="F2401" s="91" t="n"/>
      <c r="G2401" s="91" t="n"/>
      <c r="H2401" s="91" t="n"/>
      <c r="I2401" s="91" t="n"/>
      <c r="J2401" s="91" t="n"/>
      <c r="K2401" s="91" t="n"/>
      <c r="L2401" s="91" t="n"/>
      <c r="M2401" s="91" t="n"/>
      <c r="N2401" s="91" t="n"/>
      <c r="O2401" s="91" t="n"/>
      <c r="P2401" s="91" t="n"/>
      <c r="Q2401" s="91" t="n"/>
      <c r="R2401" s="91" t="n"/>
      <c r="S2401" s="91" t="n"/>
      <c r="T2401" s="25">
        <f>DAY(C2401)</f>
        <v/>
      </c>
      <c r="U2401" s="22">
        <f>MONTH(C2401)</f>
        <v/>
      </c>
      <c r="V2401" s="91" t="n"/>
      <c r="W2401" s="91" t="n"/>
      <c r="X2401" s="91" t="n"/>
      <c r="Y2401" s="91" t="n"/>
      <c r="Z2401" s="91" t="n"/>
    </row>
    <row r="2402" ht="12.75" customHeight="1" s="117">
      <c r="A2402" s="91" t="n"/>
      <c r="B2402" s="91" t="n"/>
      <c r="C2402" s="91" t="n"/>
      <c r="D2402" s="91" t="n"/>
      <c r="E2402" s="91" t="n"/>
      <c r="F2402" s="91" t="n"/>
      <c r="G2402" s="91" t="n"/>
      <c r="H2402" s="91" t="n"/>
      <c r="I2402" s="91" t="n"/>
      <c r="J2402" s="91" t="n"/>
      <c r="K2402" s="91" t="n"/>
      <c r="L2402" s="91" t="n"/>
      <c r="M2402" s="91" t="n"/>
      <c r="N2402" s="91" t="n"/>
      <c r="O2402" s="91" t="n"/>
      <c r="P2402" s="91" t="n"/>
      <c r="Q2402" s="91" t="n"/>
      <c r="R2402" s="91" t="n"/>
      <c r="S2402" s="91" t="n"/>
      <c r="T2402" s="25">
        <f>DAY(C2402)</f>
        <v/>
      </c>
      <c r="U2402" s="22">
        <f>MONTH(C2402)</f>
        <v/>
      </c>
      <c r="V2402" s="91" t="n"/>
      <c r="W2402" s="91" t="n"/>
      <c r="X2402" s="91" t="n"/>
      <c r="Y2402" s="91" t="n"/>
      <c r="Z2402" s="91" t="n"/>
    </row>
    <row r="2403" ht="12.75" customHeight="1" s="117">
      <c r="A2403" s="91" t="n"/>
      <c r="B2403" s="91" t="n"/>
      <c r="C2403" s="91" t="n"/>
      <c r="D2403" s="91" t="n"/>
      <c r="E2403" s="91" t="n"/>
      <c r="F2403" s="91" t="n"/>
      <c r="G2403" s="91" t="n"/>
      <c r="H2403" s="91" t="n"/>
      <c r="I2403" s="91" t="n"/>
      <c r="J2403" s="91" t="n"/>
      <c r="K2403" s="91" t="n"/>
      <c r="L2403" s="91" t="n"/>
      <c r="M2403" s="91" t="n"/>
      <c r="N2403" s="91" t="n"/>
      <c r="O2403" s="91" t="n"/>
      <c r="P2403" s="91" t="n"/>
      <c r="Q2403" s="91" t="n"/>
      <c r="R2403" s="91" t="n"/>
      <c r="S2403" s="91" t="n"/>
      <c r="T2403" s="25">
        <f>DAY(C2403)</f>
        <v/>
      </c>
      <c r="U2403" s="22">
        <f>MONTH(C2403)</f>
        <v/>
      </c>
      <c r="V2403" s="91" t="n"/>
      <c r="W2403" s="91" t="n"/>
      <c r="X2403" s="91" t="n"/>
      <c r="Y2403" s="91" t="n"/>
      <c r="Z2403" s="91" t="n"/>
    </row>
    <row r="2404" ht="12.75" customHeight="1" s="117">
      <c r="A2404" s="91" t="n"/>
      <c r="B2404" s="91" t="n"/>
      <c r="C2404" s="91" t="n"/>
      <c r="D2404" s="91" t="n"/>
      <c r="E2404" s="91" t="n"/>
      <c r="F2404" s="91" t="n"/>
      <c r="G2404" s="91" t="n"/>
      <c r="H2404" s="91" t="n"/>
      <c r="I2404" s="91" t="n"/>
      <c r="J2404" s="91" t="n"/>
      <c r="K2404" s="91" t="n"/>
      <c r="L2404" s="91" t="n"/>
      <c r="M2404" s="91" t="n"/>
      <c r="N2404" s="91" t="n"/>
      <c r="O2404" s="91" t="n"/>
      <c r="P2404" s="91" t="n"/>
      <c r="Q2404" s="91" t="n"/>
      <c r="R2404" s="91" t="n"/>
      <c r="S2404" s="91" t="n"/>
      <c r="T2404" s="25">
        <f>DAY(C2404)</f>
        <v/>
      </c>
      <c r="U2404" s="22">
        <f>MONTH(C2404)</f>
        <v/>
      </c>
      <c r="V2404" s="91" t="n"/>
      <c r="W2404" s="91" t="n"/>
      <c r="X2404" s="91" t="n"/>
      <c r="Y2404" s="91" t="n"/>
      <c r="Z2404" s="91" t="n"/>
    </row>
    <row r="2405" ht="12.75" customHeight="1" s="117">
      <c r="A2405" s="91" t="n"/>
      <c r="B2405" s="91" t="n"/>
      <c r="C2405" s="91" t="n"/>
      <c r="D2405" s="91" t="n"/>
      <c r="E2405" s="91" t="n"/>
      <c r="F2405" s="91" t="n"/>
      <c r="G2405" s="91" t="n"/>
      <c r="H2405" s="91" t="n"/>
      <c r="I2405" s="91" t="n"/>
      <c r="J2405" s="91" t="n"/>
      <c r="K2405" s="91" t="n"/>
      <c r="L2405" s="91" t="n"/>
      <c r="M2405" s="91" t="n"/>
      <c r="N2405" s="91" t="n"/>
      <c r="O2405" s="91" t="n"/>
      <c r="P2405" s="91" t="n"/>
      <c r="Q2405" s="91" t="n"/>
      <c r="R2405" s="91" t="n"/>
      <c r="S2405" s="91" t="n"/>
      <c r="T2405" s="25">
        <f>DAY(C2405)</f>
        <v/>
      </c>
      <c r="U2405" s="22">
        <f>MONTH(C2405)</f>
        <v/>
      </c>
      <c r="V2405" s="91" t="n"/>
      <c r="W2405" s="91" t="n"/>
      <c r="X2405" s="91" t="n"/>
      <c r="Y2405" s="91" t="n"/>
      <c r="Z2405" s="91" t="n"/>
    </row>
    <row r="2406" ht="12.75" customHeight="1" s="117">
      <c r="A2406" s="91" t="n"/>
      <c r="B2406" s="91" t="n"/>
      <c r="C2406" s="91" t="n"/>
      <c r="D2406" s="91" t="n"/>
      <c r="E2406" s="91" t="n"/>
      <c r="F2406" s="91" t="n"/>
      <c r="G2406" s="91" t="n"/>
      <c r="H2406" s="91" t="n"/>
      <c r="I2406" s="91" t="n"/>
      <c r="J2406" s="91" t="n"/>
      <c r="K2406" s="91" t="n"/>
      <c r="L2406" s="91" t="n"/>
      <c r="M2406" s="91" t="n"/>
      <c r="N2406" s="91" t="n"/>
      <c r="O2406" s="91" t="n"/>
      <c r="P2406" s="91" t="n"/>
      <c r="Q2406" s="91" t="n"/>
      <c r="R2406" s="91" t="n"/>
      <c r="S2406" s="91" t="n"/>
      <c r="T2406" s="25">
        <f>DAY(C2406)</f>
        <v/>
      </c>
      <c r="U2406" s="22">
        <f>MONTH(C2406)</f>
        <v/>
      </c>
      <c r="V2406" s="91" t="n"/>
      <c r="W2406" s="91" t="n"/>
      <c r="X2406" s="91" t="n"/>
      <c r="Y2406" s="91" t="n"/>
      <c r="Z2406" s="91" t="n"/>
    </row>
    <row r="2407" ht="12.75" customHeight="1" s="117">
      <c r="A2407" s="91" t="n"/>
      <c r="B2407" s="91" t="n"/>
      <c r="C2407" s="91" t="n"/>
      <c r="D2407" s="91" t="n"/>
      <c r="E2407" s="91" t="n"/>
      <c r="F2407" s="91" t="n"/>
      <c r="G2407" s="91" t="n"/>
      <c r="H2407" s="91" t="n"/>
      <c r="I2407" s="91" t="n"/>
      <c r="J2407" s="91" t="n"/>
      <c r="K2407" s="91" t="n"/>
      <c r="L2407" s="91" t="n"/>
      <c r="M2407" s="91" t="n"/>
      <c r="N2407" s="91" t="n"/>
      <c r="O2407" s="91" t="n"/>
      <c r="P2407" s="91" t="n"/>
      <c r="Q2407" s="91" t="n"/>
      <c r="R2407" s="91" t="n"/>
      <c r="S2407" s="91" t="n"/>
      <c r="T2407" s="25">
        <f>DAY(C2407)</f>
        <v/>
      </c>
      <c r="U2407" s="22">
        <f>MONTH(C2407)</f>
        <v/>
      </c>
      <c r="V2407" s="91" t="n"/>
      <c r="W2407" s="91" t="n"/>
      <c r="X2407" s="91" t="n"/>
      <c r="Y2407" s="91" t="n"/>
      <c r="Z2407" s="91" t="n"/>
    </row>
    <row r="2408" ht="12.75" customHeight="1" s="117">
      <c r="A2408" s="91" t="n"/>
      <c r="B2408" s="91" t="n"/>
      <c r="C2408" s="91" t="n"/>
      <c r="D2408" s="91" t="n"/>
      <c r="E2408" s="91" t="n"/>
      <c r="F2408" s="91" t="n"/>
      <c r="G2408" s="91" t="n"/>
      <c r="H2408" s="91" t="n"/>
      <c r="I2408" s="91" t="n"/>
      <c r="J2408" s="91" t="n"/>
      <c r="K2408" s="91" t="n"/>
      <c r="L2408" s="91" t="n"/>
      <c r="M2408" s="91" t="n"/>
      <c r="N2408" s="91" t="n"/>
      <c r="O2408" s="91" t="n"/>
      <c r="P2408" s="91" t="n"/>
      <c r="Q2408" s="91" t="n"/>
      <c r="R2408" s="91" t="n"/>
      <c r="S2408" s="91" t="n"/>
      <c r="T2408" s="25">
        <f>DAY(C2408)</f>
        <v/>
      </c>
      <c r="U2408" s="22">
        <f>MONTH(C2408)</f>
        <v/>
      </c>
      <c r="V2408" s="91" t="n"/>
      <c r="W2408" s="91" t="n"/>
      <c r="X2408" s="91" t="n"/>
      <c r="Y2408" s="91" t="n"/>
      <c r="Z2408" s="91" t="n"/>
    </row>
    <row r="2409" ht="12.75" customHeight="1" s="117">
      <c r="A2409" s="91" t="n"/>
      <c r="B2409" s="91" t="n"/>
      <c r="C2409" s="91" t="n"/>
      <c r="D2409" s="91" t="n"/>
      <c r="E2409" s="91" t="n"/>
      <c r="F2409" s="91" t="n"/>
      <c r="G2409" s="91" t="n"/>
      <c r="H2409" s="91" t="n"/>
      <c r="I2409" s="91" t="n"/>
      <c r="J2409" s="91" t="n"/>
      <c r="K2409" s="91" t="n"/>
      <c r="L2409" s="91" t="n"/>
      <c r="M2409" s="91" t="n"/>
      <c r="N2409" s="91" t="n"/>
      <c r="O2409" s="91" t="n"/>
      <c r="P2409" s="91" t="n"/>
      <c r="Q2409" s="91" t="n"/>
      <c r="R2409" s="91" t="n"/>
      <c r="S2409" s="91" t="n"/>
      <c r="T2409" s="25">
        <f>DAY(C2409)</f>
        <v/>
      </c>
      <c r="U2409" s="22">
        <f>MONTH(C2409)</f>
        <v/>
      </c>
      <c r="V2409" s="91" t="n"/>
      <c r="W2409" s="91" t="n"/>
      <c r="X2409" s="91" t="n"/>
      <c r="Y2409" s="91" t="n"/>
      <c r="Z2409" s="91" t="n"/>
    </row>
    <row r="2410" ht="12.75" customHeight="1" s="117">
      <c r="A2410" s="91" t="n"/>
      <c r="B2410" s="91" t="n"/>
      <c r="C2410" s="91" t="n"/>
      <c r="D2410" s="91" t="n"/>
      <c r="E2410" s="91" t="n"/>
      <c r="F2410" s="91" t="n"/>
      <c r="G2410" s="91" t="n"/>
      <c r="H2410" s="91" t="n"/>
      <c r="I2410" s="91" t="n"/>
      <c r="J2410" s="91" t="n"/>
      <c r="K2410" s="91" t="n"/>
      <c r="L2410" s="91" t="n"/>
      <c r="M2410" s="91" t="n"/>
      <c r="N2410" s="91" t="n"/>
      <c r="O2410" s="91" t="n"/>
      <c r="P2410" s="91" t="n"/>
      <c r="Q2410" s="91" t="n"/>
      <c r="R2410" s="91" t="n"/>
      <c r="S2410" s="91" t="n"/>
      <c r="T2410" s="25">
        <f>DAY(C2410)</f>
        <v/>
      </c>
      <c r="U2410" s="22">
        <f>MONTH(C2410)</f>
        <v/>
      </c>
      <c r="V2410" s="91" t="n"/>
      <c r="W2410" s="91" t="n"/>
      <c r="X2410" s="91" t="n"/>
      <c r="Y2410" s="91" t="n"/>
      <c r="Z2410" s="91" t="n"/>
    </row>
    <row r="2411" ht="12.75" customHeight="1" s="117">
      <c r="A2411" s="91" t="n"/>
      <c r="B2411" s="91" t="n"/>
      <c r="C2411" s="91" t="n"/>
      <c r="D2411" s="91" t="n"/>
      <c r="E2411" s="91" t="n"/>
      <c r="F2411" s="91" t="n"/>
      <c r="G2411" s="91" t="n"/>
      <c r="H2411" s="91" t="n"/>
      <c r="I2411" s="91" t="n"/>
      <c r="J2411" s="91" t="n"/>
      <c r="K2411" s="91" t="n"/>
      <c r="L2411" s="91" t="n"/>
      <c r="M2411" s="91" t="n"/>
      <c r="N2411" s="91" t="n"/>
      <c r="O2411" s="91" t="n"/>
      <c r="P2411" s="91" t="n"/>
      <c r="Q2411" s="91" t="n"/>
      <c r="R2411" s="91" t="n"/>
      <c r="S2411" s="91" t="n"/>
      <c r="T2411" s="25">
        <f>DAY(C2411)</f>
        <v/>
      </c>
      <c r="U2411" s="22">
        <f>MONTH(C2411)</f>
        <v/>
      </c>
      <c r="V2411" s="91" t="n"/>
      <c r="W2411" s="91" t="n"/>
      <c r="X2411" s="91" t="n"/>
      <c r="Y2411" s="91" t="n"/>
      <c r="Z2411" s="91" t="n"/>
    </row>
    <row r="2412" ht="12.75" customHeight="1" s="117">
      <c r="A2412" s="91" t="n"/>
      <c r="B2412" s="91" t="n"/>
      <c r="C2412" s="91" t="n"/>
      <c r="D2412" s="91" t="n"/>
      <c r="E2412" s="91" t="n"/>
      <c r="F2412" s="91" t="n"/>
      <c r="G2412" s="91" t="n"/>
      <c r="H2412" s="91" t="n"/>
      <c r="I2412" s="91" t="n"/>
      <c r="J2412" s="91" t="n"/>
      <c r="K2412" s="91" t="n"/>
      <c r="L2412" s="91" t="n"/>
      <c r="M2412" s="91" t="n"/>
      <c r="N2412" s="91" t="n"/>
      <c r="O2412" s="91" t="n"/>
      <c r="P2412" s="91" t="n"/>
      <c r="Q2412" s="91" t="n"/>
      <c r="R2412" s="91" t="n"/>
      <c r="S2412" s="91" t="n"/>
      <c r="T2412" s="25">
        <f>DAY(C2412)</f>
        <v/>
      </c>
      <c r="U2412" s="22">
        <f>MONTH(C2412)</f>
        <v/>
      </c>
      <c r="V2412" s="91" t="n"/>
      <c r="W2412" s="91" t="n"/>
      <c r="X2412" s="91" t="n"/>
      <c r="Y2412" s="91" t="n"/>
      <c r="Z2412" s="91" t="n"/>
    </row>
    <row r="2413" ht="12.75" customHeight="1" s="117">
      <c r="A2413" s="91" t="n"/>
      <c r="B2413" s="91" t="n"/>
      <c r="C2413" s="91" t="n"/>
      <c r="D2413" s="91" t="n"/>
      <c r="E2413" s="91" t="n"/>
      <c r="F2413" s="91" t="n"/>
      <c r="G2413" s="91" t="n"/>
      <c r="H2413" s="91" t="n"/>
      <c r="I2413" s="91" t="n"/>
      <c r="J2413" s="91" t="n"/>
      <c r="K2413" s="91" t="n"/>
      <c r="L2413" s="91" t="n"/>
      <c r="M2413" s="91" t="n"/>
      <c r="N2413" s="91" t="n"/>
      <c r="O2413" s="91" t="n"/>
      <c r="P2413" s="91" t="n"/>
      <c r="Q2413" s="91" t="n"/>
      <c r="R2413" s="91" t="n"/>
      <c r="S2413" s="91" t="n"/>
      <c r="T2413" s="25">
        <f>DAY(C2413)</f>
        <v/>
      </c>
      <c r="U2413" s="22">
        <f>MONTH(C2413)</f>
        <v/>
      </c>
      <c r="V2413" s="91" t="n"/>
      <c r="W2413" s="91" t="n"/>
      <c r="X2413" s="91" t="n"/>
      <c r="Y2413" s="91" t="n"/>
      <c r="Z2413" s="91" t="n"/>
    </row>
    <row r="2414" ht="12.75" customHeight="1" s="117">
      <c r="A2414" s="91" t="n"/>
      <c r="B2414" s="91" t="n"/>
      <c r="C2414" s="91" t="n"/>
      <c r="D2414" s="91" t="n"/>
      <c r="E2414" s="91" t="n"/>
      <c r="F2414" s="91" t="n"/>
      <c r="G2414" s="91" t="n"/>
      <c r="H2414" s="91" t="n"/>
      <c r="I2414" s="91" t="n"/>
      <c r="J2414" s="91" t="n"/>
      <c r="K2414" s="91" t="n"/>
      <c r="L2414" s="91" t="n"/>
      <c r="M2414" s="91" t="n"/>
      <c r="N2414" s="91" t="n"/>
      <c r="O2414" s="91" t="n"/>
      <c r="P2414" s="91" t="n"/>
      <c r="Q2414" s="91" t="n"/>
      <c r="R2414" s="91" t="n"/>
      <c r="S2414" s="91" t="n"/>
      <c r="T2414" s="25">
        <f>DAY(C2414)</f>
        <v/>
      </c>
      <c r="U2414" s="22">
        <f>MONTH(C2414)</f>
        <v/>
      </c>
      <c r="V2414" s="91" t="n"/>
      <c r="W2414" s="91" t="n"/>
      <c r="X2414" s="91" t="n"/>
      <c r="Y2414" s="91" t="n"/>
      <c r="Z2414" s="91" t="n"/>
    </row>
    <row r="2415" ht="12.75" customHeight="1" s="117">
      <c r="A2415" s="91" t="n"/>
      <c r="B2415" s="91" t="n"/>
      <c r="C2415" s="91" t="n"/>
      <c r="D2415" s="91" t="n"/>
      <c r="E2415" s="91" t="n"/>
      <c r="F2415" s="91" t="n"/>
      <c r="G2415" s="91" t="n"/>
      <c r="H2415" s="91" t="n"/>
      <c r="I2415" s="91" t="n"/>
      <c r="J2415" s="91" t="n"/>
      <c r="K2415" s="91" t="n"/>
      <c r="L2415" s="91" t="n"/>
      <c r="M2415" s="91" t="n"/>
      <c r="N2415" s="91" t="n"/>
      <c r="O2415" s="91" t="n"/>
      <c r="P2415" s="91" t="n"/>
      <c r="Q2415" s="91" t="n"/>
      <c r="R2415" s="91" t="n"/>
      <c r="S2415" s="91" t="n"/>
      <c r="T2415" s="25">
        <f>DAY(C2415)</f>
        <v/>
      </c>
      <c r="U2415" s="22">
        <f>MONTH(C2415)</f>
        <v/>
      </c>
      <c r="V2415" s="91" t="n"/>
      <c r="W2415" s="91" t="n"/>
      <c r="X2415" s="91" t="n"/>
      <c r="Y2415" s="91" t="n"/>
      <c r="Z2415" s="91" t="n"/>
    </row>
    <row r="2416" ht="12.75" customHeight="1" s="117">
      <c r="A2416" s="91" t="n"/>
      <c r="B2416" s="91" t="n"/>
      <c r="C2416" s="91" t="n"/>
      <c r="D2416" s="91" t="n"/>
      <c r="E2416" s="91" t="n"/>
      <c r="F2416" s="91" t="n"/>
      <c r="G2416" s="91" t="n"/>
      <c r="H2416" s="91" t="n"/>
      <c r="I2416" s="91" t="n"/>
      <c r="J2416" s="91" t="n"/>
      <c r="K2416" s="91" t="n"/>
      <c r="L2416" s="91" t="n"/>
      <c r="M2416" s="91" t="n"/>
      <c r="N2416" s="91" t="n"/>
      <c r="O2416" s="91" t="n"/>
      <c r="P2416" s="91" t="n"/>
      <c r="Q2416" s="91" t="n"/>
      <c r="R2416" s="91" t="n"/>
      <c r="S2416" s="91" t="n"/>
      <c r="T2416" s="25">
        <f>DAY(C2416)</f>
        <v/>
      </c>
      <c r="U2416" s="22">
        <f>MONTH(C2416)</f>
        <v/>
      </c>
      <c r="V2416" s="91" t="n"/>
      <c r="W2416" s="91" t="n"/>
      <c r="X2416" s="91" t="n"/>
      <c r="Y2416" s="91" t="n"/>
      <c r="Z2416" s="91" t="n"/>
    </row>
    <row r="2417" ht="12.75" customHeight="1" s="117">
      <c r="A2417" s="91" t="n"/>
      <c r="B2417" s="91" t="n"/>
      <c r="C2417" s="91" t="n"/>
      <c r="D2417" s="91" t="n"/>
      <c r="E2417" s="91" t="n"/>
      <c r="F2417" s="91" t="n"/>
      <c r="G2417" s="91" t="n"/>
      <c r="H2417" s="91" t="n"/>
      <c r="I2417" s="91" t="n"/>
      <c r="J2417" s="91" t="n"/>
      <c r="K2417" s="91" t="n"/>
      <c r="L2417" s="91" t="n"/>
      <c r="M2417" s="91" t="n"/>
      <c r="N2417" s="91" t="n"/>
      <c r="O2417" s="91" t="n"/>
      <c r="P2417" s="91" t="n"/>
      <c r="Q2417" s="91" t="n"/>
      <c r="R2417" s="91" t="n"/>
      <c r="S2417" s="91" t="n"/>
      <c r="T2417" s="25">
        <f>DAY(C2417)</f>
        <v/>
      </c>
      <c r="U2417" s="22">
        <f>MONTH(C2417)</f>
        <v/>
      </c>
      <c r="V2417" s="91" t="n"/>
      <c r="W2417" s="91" t="n"/>
      <c r="X2417" s="91" t="n"/>
      <c r="Y2417" s="91" t="n"/>
      <c r="Z2417" s="91" t="n"/>
    </row>
    <row r="2418" ht="12.75" customHeight="1" s="117">
      <c r="A2418" s="91" t="n"/>
      <c r="B2418" s="91" t="n"/>
      <c r="C2418" s="91" t="n"/>
      <c r="D2418" s="91" t="n"/>
      <c r="E2418" s="91" t="n"/>
      <c r="F2418" s="91" t="n"/>
      <c r="G2418" s="91" t="n"/>
      <c r="H2418" s="91" t="n"/>
      <c r="I2418" s="91" t="n"/>
      <c r="J2418" s="91" t="n"/>
      <c r="K2418" s="91" t="n"/>
      <c r="L2418" s="91" t="n"/>
      <c r="M2418" s="91" t="n"/>
      <c r="N2418" s="91" t="n"/>
      <c r="O2418" s="91" t="n"/>
      <c r="P2418" s="91" t="n"/>
      <c r="Q2418" s="91" t="n"/>
      <c r="R2418" s="91" t="n"/>
      <c r="S2418" s="91" t="n"/>
      <c r="T2418" s="25">
        <f>DAY(C2418)</f>
        <v/>
      </c>
      <c r="U2418" s="22">
        <f>MONTH(C2418)</f>
        <v/>
      </c>
      <c r="V2418" s="91" t="n"/>
      <c r="W2418" s="91" t="n"/>
      <c r="X2418" s="91" t="n"/>
      <c r="Y2418" s="91" t="n"/>
      <c r="Z2418" s="91" t="n"/>
    </row>
    <row r="2419" ht="12.75" customHeight="1" s="117">
      <c r="A2419" s="91" t="n"/>
      <c r="B2419" s="91" t="n"/>
      <c r="C2419" s="91" t="n"/>
      <c r="D2419" s="91" t="n"/>
      <c r="E2419" s="91" t="n"/>
      <c r="F2419" s="91" t="n"/>
      <c r="G2419" s="91" t="n"/>
      <c r="H2419" s="91" t="n"/>
      <c r="I2419" s="91" t="n"/>
      <c r="J2419" s="91" t="n"/>
      <c r="K2419" s="91" t="n"/>
      <c r="L2419" s="91" t="n"/>
      <c r="M2419" s="91" t="n"/>
      <c r="N2419" s="91" t="n"/>
      <c r="O2419" s="91" t="n"/>
      <c r="P2419" s="91" t="n"/>
      <c r="Q2419" s="91" t="n"/>
      <c r="R2419" s="91" t="n"/>
      <c r="S2419" s="91" t="n"/>
      <c r="T2419" s="25">
        <f>DAY(C2419)</f>
        <v/>
      </c>
      <c r="U2419" s="22">
        <f>MONTH(C2419)</f>
        <v/>
      </c>
      <c r="V2419" s="91" t="n"/>
      <c r="W2419" s="91" t="n"/>
      <c r="X2419" s="91" t="n"/>
      <c r="Y2419" s="91" t="n"/>
      <c r="Z2419" s="91" t="n"/>
    </row>
    <row r="2420" ht="12.75" customHeight="1" s="117">
      <c r="A2420" s="91" t="n"/>
      <c r="B2420" s="91" t="n"/>
      <c r="C2420" s="91" t="n"/>
      <c r="D2420" s="91" t="n"/>
      <c r="E2420" s="91" t="n"/>
      <c r="F2420" s="91" t="n"/>
      <c r="G2420" s="91" t="n"/>
      <c r="H2420" s="91" t="n"/>
      <c r="I2420" s="91" t="n"/>
      <c r="J2420" s="91" t="n"/>
      <c r="K2420" s="91" t="n"/>
      <c r="L2420" s="91" t="n"/>
      <c r="M2420" s="91" t="n"/>
      <c r="N2420" s="91" t="n"/>
      <c r="O2420" s="91" t="n"/>
      <c r="P2420" s="91" t="n"/>
      <c r="Q2420" s="91" t="n"/>
      <c r="R2420" s="91" t="n"/>
      <c r="S2420" s="91" t="n"/>
      <c r="T2420" s="25">
        <f>DAY(C2420)</f>
        <v/>
      </c>
      <c r="U2420" s="22">
        <f>MONTH(C2420)</f>
        <v/>
      </c>
      <c r="V2420" s="91" t="n"/>
      <c r="W2420" s="91" t="n"/>
      <c r="X2420" s="91" t="n"/>
      <c r="Y2420" s="91" t="n"/>
      <c r="Z2420" s="91" t="n"/>
    </row>
    <row r="2421" ht="12.75" customHeight="1" s="117">
      <c r="A2421" s="91" t="n"/>
      <c r="B2421" s="91" t="n"/>
      <c r="C2421" s="91" t="n"/>
      <c r="D2421" s="91" t="n"/>
      <c r="E2421" s="91" t="n"/>
      <c r="F2421" s="91" t="n"/>
      <c r="G2421" s="91" t="n"/>
      <c r="H2421" s="91" t="n"/>
      <c r="I2421" s="91" t="n"/>
      <c r="J2421" s="91" t="n"/>
      <c r="K2421" s="91" t="n"/>
      <c r="L2421" s="91" t="n"/>
      <c r="M2421" s="91" t="n"/>
      <c r="N2421" s="91" t="n"/>
      <c r="O2421" s="91" t="n"/>
      <c r="P2421" s="91" t="n"/>
      <c r="Q2421" s="91" t="n"/>
      <c r="R2421" s="91" t="n"/>
      <c r="S2421" s="91" t="n"/>
      <c r="T2421" s="25">
        <f>DAY(C2421)</f>
        <v/>
      </c>
      <c r="U2421" s="22">
        <f>MONTH(C2421)</f>
        <v/>
      </c>
      <c r="V2421" s="91" t="n"/>
      <c r="W2421" s="91" t="n"/>
      <c r="X2421" s="91" t="n"/>
      <c r="Y2421" s="91" t="n"/>
      <c r="Z2421" s="91" t="n"/>
    </row>
    <row r="2422" ht="12.75" customHeight="1" s="117">
      <c r="A2422" s="91" t="n"/>
      <c r="B2422" s="91" t="n"/>
      <c r="C2422" s="91" t="n"/>
      <c r="D2422" s="91" t="n"/>
      <c r="E2422" s="91" t="n"/>
      <c r="F2422" s="91" t="n"/>
      <c r="G2422" s="91" t="n"/>
      <c r="H2422" s="91" t="n"/>
      <c r="I2422" s="91" t="n"/>
      <c r="J2422" s="91" t="n"/>
      <c r="K2422" s="91" t="n"/>
      <c r="L2422" s="91" t="n"/>
      <c r="M2422" s="91" t="n"/>
      <c r="N2422" s="91" t="n"/>
      <c r="O2422" s="91" t="n"/>
      <c r="P2422" s="91" t="n"/>
      <c r="Q2422" s="91" t="n"/>
      <c r="R2422" s="91" t="n"/>
      <c r="S2422" s="91" t="n"/>
      <c r="T2422" s="25">
        <f>DAY(C2422)</f>
        <v/>
      </c>
      <c r="U2422" s="22">
        <f>MONTH(C2422)</f>
        <v/>
      </c>
      <c r="V2422" s="91" t="n"/>
      <c r="W2422" s="91" t="n"/>
      <c r="X2422" s="91" t="n"/>
      <c r="Y2422" s="91" t="n"/>
      <c r="Z2422" s="91" t="n"/>
    </row>
    <row r="2423" ht="12.75" customHeight="1" s="117">
      <c r="A2423" s="91" t="n"/>
      <c r="B2423" s="91" t="n"/>
      <c r="C2423" s="91" t="n"/>
      <c r="D2423" s="91" t="n"/>
      <c r="E2423" s="91" t="n"/>
      <c r="F2423" s="91" t="n"/>
      <c r="G2423" s="91" t="n"/>
      <c r="H2423" s="91" t="n"/>
      <c r="I2423" s="91" t="n"/>
      <c r="J2423" s="91" t="n"/>
      <c r="K2423" s="91" t="n"/>
      <c r="L2423" s="91" t="n"/>
      <c r="M2423" s="91" t="n"/>
      <c r="N2423" s="91" t="n"/>
      <c r="O2423" s="91" t="n"/>
      <c r="P2423" s="91" t="n"/>
      <c r="Q2423" s="91" t="n"/>
      <c r="R2423" s="91" t="n"/>
      <c r="S2423" s="91" t="n"/>
      <c r="T2423" s="25">
        <f>DAY(C2423)</f>
        <v/>
      </c>
      <c r="U2423" s="22">
        <f>MONTH(C2423)</f>
        <v/>
      </c>
      <c r="V2423" s="91" t="n"/>
      <c r="W2423" s="91" t="n"/>
      <c r="X2423" s="91" t="n"/>
      <c r="Y2423" s="91" t="n"/>
      <c r="Z2423" s="91" t="n"/>
    </row>
    <row r="2424" ht="12.75" customHeight="1" s="117">
      <c r="A2424" s="91" t="n"/>
      <c r="B2424" s="91" t="n"/>
      <c r="C2424" s="91" t="n"/>
      <c r="D2424" s="91" t="n"/>
      <c r="E2424" s="91" t="n"/>
      <c r="F2424" s="91" t="n"/>
      <c r="G2424" s="91" t="n"/>
      <c r="H2424" s="91" t="n"/>
      <c r="I2424" s="91" t="n"/>
      <c r="J2424" s="91" t="n"/>
      <c r="K2424" s="91" t="n"/>
      <c r="L2424" s="91" t="n"/>
      <c r="M2424" s="91" t="n"/>
      <c r="N2424" s="91" t="n"/>
      <c r="O2424" s="91" t="n"/>
      <c r="P2424" s="91" t="n"/>
      <c r="Q2424" s="91" t="n"/>
      <c r="R2424" s="91" t="n"/>
      <c r="S2424" s="91" t="n"/>
      <c r="T2424" s="25">
        <f>DAY(C2424)</f>
        <v/>
      </c>
      <c r="U2424" s="22">
        <f>MONTH(C2424)</f>
        <v/>
      </c>
      <c r="V2424" s="91" t="n"/>
      <c r="W2424" s="91" t="n"/>
      <c r="X2424" s="91" t="n"/>
      <c r="Y2424" s="91" t="n"/>
      <c r="Z2424" s="91" t="n"/>
    </row>
    <row r="2425" ht="12.75" customHeight="1" s="117">
      <c r="A2425" s="91" t="n"/>
      <c r="B2425" s="91" t="n"/>
      <c r="C2425" s="91" t="n"/>
      <c r="D2425" s="91" t="n"/>
      <c r="E2425" s="91" t="n"/>
      <c r="F2425" s="91" t="n"/>
      <c r="G2425" s="91" t="n"/>
      <c r="H2425" s="91" t="n"/>
      <c r="I2425" s="91" t="n"/>
      <c r="J2425" s="91" t="n"/>
      <c r="K2425" s="91" t="n"/>
      <c r="L2425" s="91" t="n"/>
      <c r="M2425" s="91" t="n"/>
      <c r="N2425" s="91" t="n"/>
      <c r="O2425" s="91" t="n"/>
      <c r="P2425" s="91" t="n"/>
      <c r="Q2425" s="91" t="n"/>
      <c r="R2425" s="91" t="n"/>
      <c r="S2425" s="91" t="n"/>
      <c r="T2425" s="25">
        <f>DAY(C2425)</f>
        <v/>
      </c>
      <c r="U2425" s="22">
        <f>MONTH(C2425)</f>
        <v/>
      </c>
      <c r="V2425" s="91" t="n"/>
      <c r="W2425" s="91" t="n"/>
      <c r="X2425" s="91" t="n"/>
      <c r="Y2425" s="91" t="n"/>
      <c r="Z2425" s="91" t="n"/>
    </row>
    <row r="2426" ht="12.75" customHeight="1" s="117">
      <c r="A2426" s="91" t="n"/>
      <c r="B2426" s="91" t="n"/>
      <c r="C2426" s="91" t="n"/>
      <c r="D2426" s="91" t="n"/>
      <c r="E2426" s="91" t="n"/>
      <c r="F2426" s="91" t="n"/>
      <c r="G2426" s="91" t="n"/>
      <c r="H2426" s="91" t="n"/>
      <c r="I2426" s="91" t="n"/>
      <c r="J2426" s="91" t="n"/>
      <c r="K2426" s="91" t="n"/>
      <c r="L2426" s="91" t="n"/>
      <c r="M2426" s="91" t="n"/>
      <c r="N2426" s="91" t="n"/>
      <c r="O2426" s="91" t="n"/>
      <c r="P2426" s="91" t="n"/>
      <c r="Q2426" s="91" t="n"/>
      <c r="R2426" s="91" t="n"/>
      <c r="S2426" s="91" t="n"/>
      <c r="T2426" s="25">
        <f>DAY(C2426)</f>
        <v/>
      </c>
      <c r="U2426" s="22">
        <f>MONTH(C2426)</f>
        <v/>
      </c>
      <c r="V2426" s="91" t="n"/>
      <c r="W2426" s="91" t="n"/>
      <c r="X2426" s="91" t="n"/>
      <c r="Y2426" s="91" t="n"/>
      <c r="Z2426" s="91" t="n"/>
    </row>
    <row r="2427" ht="12.75" customHeight="1" s="117">
      <c r="A2427" s="91" t="n"/>
      <c r="B2427" s="91" t="n"/>
      <c r="C2427" s="91" t="n"/>
      <c r="D2427" s="91" t="n"/>
      <c r="E2427" s="91" t="n"/>
      <c r="F2427" s="91" t="n"/>
      <c r="G2427" s="91" t="n"/>
      <c r="H2427" s="91" t="n"/>
      <c r="I2427" s="91" t="n"/>
      <c r="J2427" s="91" t="n"/>
      <c r="K2427" s="91" t="n"/>
      <c r="L2427" s="91" t="n"/>
      <c r="M2427" s="91" t="n"/>
      <c r="N2427" s="91" t="n"/>
      <c r="O2427" s="91" t="n"/>
      <c r="P2427" s="91" t="n"/>
      <c r="Q2427" s="91" t="n"/>
      <c r="R2427" s="91" t="n"/>
      <c r="S2427" s="91" t="n"/>
      <c r="T2427" s="25">
        <f>DAY(C2427)</f>
        <v/>
      </c>
      <c r="U2427" s="22">
        <f>MONTH(C2427)</f>
        <v/>
      </c>
      <c r="V2427" s="91" t="n"/>
      <c r="W2427" s="91" t="n"/>
      <c r="X2427" s="91" t="n"/>
      <c r="Y2427" s="91" t="n"/>
      <c r="Z2427" s="91" t="n"/>
    </row>
    <row r="2428" ht="12.75" customHeight="1" s="117">
      <c r="A2428" s="91" t="n"/>
      <c r="B2428" s="91" t="n"/>
      <c r="C2428" s="91" t="n"/>
      <c r="D2428" s="91" t="n"/>
      <c r="E2428" s="91" t="n"/>
      <c r="F2428" s="91" t="n"/>
      <c r="G2428" s="91" t="n"/>
      <c r="H2428" s="91" t="n"/>
      <c r="I2428" s="91" t="n"/>
      <c r="J2428" s="91" t="n"/>
      <c r="K2428" s="91" t="n"/>
      <c r="L2428" s="91" t="n"/>
      <c r="M2428" s="91" t="n"/>
      <c r="N2428" s="91" t="n"/>
      <c r="O2428" s="91" t="n"/>
      <c r="P2428" s="91" t="n"/>
      <c r="Q2428" s="91" t="n"/>
      <c r="R2428" s="91" t="n"/>
      <c r="S2428" s="91" t="n"/>
      <c r="T2428" s="25">
        <f>DAY(C2428)</f>
        <v/>
      </c>
      <c r="U2428" s="22">
        <f>MONTH(C2428)</f>
        <v/>
      </c>
      <c r="V2428" s="91" t="n"/>
      <c r="W2428" s="91" t="n"/>
      <c r="X2428" s="91" t="n"/>
      <c r="Y2428" s="91" t="n"/>
      <c r="Z2428" s="91" t="n"/>
    </row>
    <row r="2429" ht="12.75" customHeight="1" s="117">
      <c r="A2429" s="91" t="n"/>
      <c r="B2429" s="91" t="n"/>
      <c r="C2429" s="91" t="n"/>
      <c r="D2429" s="91" t="n"/>
      <c r="E2429" s="91" t="n"/>
      <c r="F2429" s="91" t="n"/>
      <c r="G2429" s="91" t="n"/>
      <c r="H2429" s="91" t="n"/>
      <c r="I2429" s="91" t="n"/>
      <c r="J2429" s="91" t="n"/>
      <c r="K2429" s="91" t="n"/>
      <c r="L2429" s="91" t="n"/>
      <c r="M2429" s="91" t="n"/>
      <c r="N2429" s="91" t="n"/>
      <c r="O2429" s="91" t="n"/>
      <c r="P2429" s="91" t="n"/>
      <c r="Q2429" s="91" t="n"/>
      <c r="R2429" s="91" t="n"/>
      <c r="S2429" s="91" t="n"/>
      <c r="T2429" s="25">
        <f>DAY(C2429)</f>
        <v/>
      </c>
      <c r="U2429" s="22">
        <f>MONTH(C2429)</f>
        <v/>
      </c>
      <c r="V2429" s="91" t="n"/>
      <c r="W2429" s="91" t="n"/>
      <c r="X2429" s="91" t="n"/>
      <c r="Y2429" s="91" t="n"/>
      <c r="Z2429" s="91" t="n"/>
    </row>
    <row r="2430" ht="12.75" customHeight="1" s="117">
      <c r="A2430" s="91" t="n"/>
      <c r="B2430" s="91" t="n"/>
      <c r="C2430" s="91" t="n"/>
      <c r="D2430" s="91" t="n"/>
      <c r="E2430" s="91" t="n"/>
      <c r="F2430" s="91" t="n"/>
      <c r="G2430" s="91" t="n"/>
      <c r="H2430" s="91" t="n"/>
      <c r="I2430" s="91" t="n"/>
      <c r="J2430" s="91" t="n"/>
      <c r="K2430" s="91" t="n"/>
      <c r="L2430" s="91" t="n"/>
      <c r="M2430" s="91" t="n"/>
      <c r="N2430" s="91" t="n"/>
      <c r="O2430" s="91" t="n"/>
      <c r="P2430" s="91" t="n"/>
      <c r="Q2430" s="91" t="n"/>
      <c r="R2430" s="91" t="n"/>
      <c r="S2430" s="91" t="n"/>
      <c r="T2430" s="25">
        <f>DAY(C2430)</f>
        <v/>
      </c>
      <c r="U2430" s="22">
        <f>MONTH(C2430)</f>
        <v/>
      </c>
      <c r="V2430" s="91" t="n"/>
      <c r="W2430" s="91" t="n"/>
      <c r="X2430" s="91" t="n"/>
      <c r="Y2430" s="91" t="n"/>
      <c r="Z2430" s="91" t="n"/>
    </row>
    <row r="2431" ht="12.75" customHeight="1" s="117">
      <c r="A2431" s="91" t="n"/>
      <c r="B2431" s="91" t="n"/>
      <c r="C2431" s="91" t="n"/>
      <c r="D2431" s="91" t="n"/>
      <c r="E2431" s="91" t="n"/>
      <c r="F2431" s="91" t="n"/>
      <c r="G2431" s="91" t="n"/>
      <c r="H2431" s="91" t="n"/>
      <c r="I2431" s="91" t="n"/>
      <c r="J2431" s="91" t="n"/>
      <c r="K2431" s="91" t="n"/>
      <c r="L2431" s="91" t="n"/>
      <c r="M2431" s="91" t="n"/>
      <c r="N2431" s="91" t="n"/>
      <c r="O2431" s="91" t="n"/>
      <c r="P2431" s="91" t="n"/>
      <c r="Q2431" s="91" t="n"/>
      <c r="R2431" s="91" t="n"/>
      <c r="S2431" s="91" t="n"/>
      <c r="T2431" s="25">
        <f>DAY(C2431)</f>
        <v/>
      </c>
      <c r="U2431" s="22">
        <f>MONTH(C2431)</f>
        <v/>
      </c>
      <c r="V2431" s="91" t="n"/>
      <c r="W2431" s="91" t="n"/>
      <c r="X2431" s="91" t="n"/>
      <c r="Y2431" s="91" t="n"/>
      <c r="Z2431" s="91" t="n"/>
    </row>
    <row r="2432" ht="12.75" customHeight="1" s="117">
      <c r="A2432" s="91" t="n"/>
      <c r="B2432" s="91" t="n"/>
      <c r="C2432" s="91" t="n"/>
      <c r="D2432" s="91" t="n"/>
      <c r="E2432" s="91" t="n"/>
      <c r="F2432" s="91" t="n"/>
      <c r="G2432" s="91" t="n"/>
      <c r="H2432" s="91" t="n"/>
      <c r="I2432" s="91" t="n"/>
      <c r="J2432" s="91" t="n"/>
      <c r="K2432" s="91" t="n"/>
      <c r="L2432" s="91" t="n"/>
      <c r="M2432" s="91" t="n"/>
      <c r="N2432" s="91" t="n"/>
      <c r="O2432" s="91" t="n"/>
      <c r="P2432" s="91" t="n"/>
      <c r="Q2432" s="91" t="n"/>
      <c r="R2432" s="91" t="n"/>
      <c r="S2432" s="91" t="n"/>
      <c r="T2432" s="25">
        <f>DAY(C2432)</f>
        <v/>
      </c>
      <c r="U2432" s="22">
        <f>MONTH(C2432)</f>
        <v/>
      </c>
      <c r="V2432" s="91" t="n"/>
      <c r="W2432" s="91" t="n"/>
      <c r="X2432" s="91" t="n"/>
      <c r="Y2432" s="91" t="n"/>
      <c r="Z2432" s="91" t="n"/>
    </row>
    <row r="2433" ht="12.75" customHeight="1" s="117">
      <c r="A2433" s="91" t="n"/>
      <c r="B2433" s="91" t="n"/>
      <c r="C2433" s="91" t="n"/>
      <c r="D2433" s="91" t="n"/>
      <c r="E2433" s="91" t="n"/>
      <c r="F2433" s="91" t="n"/>
      <c r="G2433" s="91" t="n"/>
      <c r="H2433" s="91" t="n"/>
      <c r="I2433" s="91" t="n"/>
      <c r="J2433" s="91" t="n"/>
      <c r="K2433" s="91" t="n"/>
      <c r="L2433" s="91" t="n"/>
      <c r="M2433" s="91" t="n"/>
      <c r="N2433" s="91" t="n"/>
      <c r="O2433" s="91" t="n"/>
      <c r="P2433" s="91" t="n"/>
      <c r="Q2433" s="91" t="n"/>
      <c r="R2433" s="91" t="n"/>
      <c r="S2433" s="91" t="n"/>
      <c r="T2433" s="25">
        <f>DAY(C2433)</f>
        <v/>
      </c>
      <c r="U2433" s="22">
        <f>MONTH(C2433)</f>
        <v/>
      </c>
      <c r="V2433" s="91" t="n"/>
      <c r="W2433" s="91" t="n"/>
      <c r="X2433" s="91" t="n"/>
      <c r="Y2433" s="91" t="n"/>
      <c r="Z2433" s="91" t="n"/>
    </row>
    <row r="2434" ht="12.75" customHeight="1" s="117">
      <c r="A2434" s="91" t="n"/>
      <c r="B2434" s="91" t="n"/>
      <c r="C2434" s="91" t="n"/>
      <c r="D2434" s="91" t="n"/>
      <c r="E2434" s="91" t="n"/>
      <c r="F2434" s="91" t="n"/>
      <c r="G2434" s="91" t="n"/>
      <c r="H2434" s="91" t="n"/>
      <c r="I2434" s="91" t="n"/>
      <c r="J2434" s="91" t="n"/>
      <c r="K2434" s="91" t="n"/>
      <c r="L2434" s="91" t="n"/>
      <c r="M2434" s="91" t="n"/>
      <c r="N2434" s="91" t="n"/>
      <c r="O2434" s="91" t="n"/>
      <c r="P2434" s="91" t="n"/>
      <c r="Q2434" s="91" t="n"/>
      <c r="R2434" s="91" t="n"/>
      <c r="S2434" s="91" t="n"/>
      <c r="T2434" s="25">
        <f>DAY(C2434)</f>
        <v/>
      </c>
      <c r="U2434" s="22">
        <f>MONTH(C2434)</f>
        <v/>
      </c>
      <c r="V2434" s="91" t="n"/>
      <c r="W2434" s="91" t="n"/>
      <c r="X2434" s="91" t="n"/>
      <c r="Y2434" s="91" t="n"/>
      <c r="Z2434" s="91" t="n"/>
    </row>
    <row r="2435" ht="12.75" customHeight="1" s="117">
      <c r="A2435" s="91" t="n"/>
      <c r="B2435" s="91" t="n"/>
      <c r="C2435" s="91" t="n"/>
      <c r="D2435" s="91" t="n"/>
      <c r="E2435" s="91" t="n"/>
      <c r="F2435" s="91" t="n"/>
      <c r="G2435" s="91" t="n"/>
      <c r="H2435" s="91" t="n"/>
      <c r="I2435" s="91" t="n"/>
      <c r="J2435" s="91" t="n"/>
      <c r="K2435" s="91" t="n"/>
      <c r="L2435" s="91" t="n"/>
      <c r="M2435" s="91" t="n"/>
      <c r="N2435" s="91" t="n"/>
      <c r="O2435" s="91" t="n"/>
      <c r="P2435" s="91" t="n"/>
      <c r="Q2435" s="91" t="n"/>
      <c r="R2435" s="91" t="n"/>
      <c r="S2435" s="91" t="n"/>
      <c r="T2435" s="25">
        <f>DAY(C2435)</f>
        <v/>
      </c>
      <c r="U2435" s="22">
        <f>MONTH(C2435)</f>
        <v/>
      </c>
      <c r="V2435" s="91" t="n"/>
      <c r="W2435" s="91" t="n"/>
      <c r="X2435" s="91" t="n"/>
      <c r="Y2435" s="91" t="n"/>
      <c r="Z2435" s="91" t="n"/>
    </row>
    <row r="2436" ht="12.75" customHeight="1" s="117">
      <c r="A2436" s="91" t="n"/>
      <c r="B2436" s="91" t="n"/>
      <c r="C2436" s="91" t="n"/>
      <c r="D2436" s="91" t="n"/>
      <c r="E2436" s="91" t="n"/>
      <c r="F2436" s="91" t="n"/>
      <c r="G2436" s="91" t="n"/>
      <c r="H2436" s="91" t="n"/>
      <c r="I2436" s="91" t="n"/>
      <c r="J2436" s="91" t="n"/>
      <c r="K2436" s="91" t="n"/>
      <c r="L2436" s="91" t="n"/>
      <c r="M2436" s="91" t="n"/>
      <c r="N2436" s="91" t="n"/>
      <c r="O2436" s="91" t="n"/>
      <c r="P2436" s="91" t="n"/>
      <c r="Q2436" s="91" t="n"/>
      <c r="R2436" s="91" t="n"/>
      <c r="S2436" s="91" t="n"/>
      <c r="T2436" s="25">
        <f>DAY(C2436)</f>
        <v/>
      </c>
      <c r="U2436" s="22">
        <f>MONTH(C2436)</f>
        <v/>
      </c>
      <c r="V2436" s="91" t="n"/>
      <c r="W2436" s="91" t="n"/>
      <c r="X2436" s="91" t="n"/>
      <c r="Y2436" s="91" t="n"/>
      <c r="Z2436" s="91" t="n"/>
    </row>
    <row r="2437" ht="12.75" customHeight="1" s="117">
      <c r="A2437" s="91" t="n"/>
      <c r="B2437" s="91" t="n"/>
      <c r="C2437" s="91" t="n"/>
      <c r="D2437" s="91" t="n"/>
      <c r="E2437" s="91" t="n"/>
      <c r="F2437" s="91" t="n"/>
      <c r="G2437" s="91" t="n"/>
      <c r="H2437" s="91" t="n"/>
      <c r="I2437" s="91" t="n"/>
      <c r="J2437" s="91" t="n"/>
      <c r="K2437" s="91" t="n"/>
      <c r="L2437" s="91" t="n"/>
      <c r="M2437" s="91" t="n"/>
      <c r="N2437" s="91" t="n"/>
      <c r="O2437" s="91" t="n"/>
      <c r="P2437" s="91" t="n"/>
      <c r="Q2437" s="91" t="n"/>
      <c r="R2437" s="91" t="n"/>
      <c r="S2437" s="91" t="n"/>
      <c r="T2437" s="25">
        <f>DAY(C2437)</f>
        <v/>
      </c>
      <c r="U2437" s="22">
        <f>MONTH(C2437)</f>
        <v/>
      </c>
      <c r="V2437" s="91" t="n"/>
      <c r="W2437" s="91" t="n"/>
      <c r="X2437" s="91" t="n"/>
      <c r="Y2437" s="91" t="n"/>
      <c r="Z2437" s="91" t="n"/>
    </row>
    <row r="2438" ht="12.75" customHeight="1" s="117">
      <c r="A2438" s="91" t="n"/>
      <c r="B2438" s="91" t="n"/>
      <c r="C2438" s="91" t="n"/>
      <c r="D2438" s="91" t="n"/>
      <c r="E2438" s="91" t="n"/>
      <c r="F2438" s="91" t="n"/>
      <c r="G2438" s="91" t="n"/>
      <c r="H2438" s="91" t="n"/>
      <c r="I2438" s="91" t="n"/>
      <c r="J2438" s="91" t="n"/>
      <c r="K2438" s="91" t="n"/>
      <c r="L2438" s="91" t="n"/>
      <c r="M2438" s="91" t="n"/>
      <c r="N2438" s="91" t="n"/>
      <c r="O2438" s="91" t="n"/>
      <c r="P2438" s="91" t="n"/>
      <c r="Q2438" s="91" t="n"/>
      <c r="R2438" s="91" t="n"/>
      <c r="S2438" s="91" t="n"/>
      <c r="T2438" s="25">
        <f>DAY(C2438)</f>
        <v/>
      </c>
      <c r="U2438" s="22">
        <f>MONTH(C2438)</f>
        <v/>
      </c>
      <c r="V2438" s="91" t="n"/>
      <c r="W2438" s="91" t="n"/>
      <c r="X2438" s="91" t="n"/>
      <c r="Y2438" s="91" t="n"/>
      <c r="Z2438" s="91" t="n"/>
    </row>
    <row r="2439" ht="12.75" customHeight="1" s="117">
      <c r="A2439" s="91" t="n"/>
      <c r="B2439" s="91" t="n"/>
      <c r="C2439" s="91" t="n"/>
      <c r="D2439" s="91" t="n"/>
      <c r="E2439" s="91" t="n"/>
      <c r="F2439" s="91" t="n"/>
      <c r="G2439" s="91" t="n"/>
      <c r="H2439" s="91" t="n"/>
      <c r="I2439" s="91" t="n"/>
      <c r="J2439" s="91" t="n"/>
      <c r="K2439" s="91" t="n"/>
      <c r="L2439" s="91" t="n"/>
      <c r="M2439" s="91" t="n"/>
      <c r="N2439" s="91" t="n"/>
      <c r="O2439" s="91" t="n"/>
      <c r="P2439" s="91" t="n"/>
      <c r="Q2439" s="91" t="n"/>
      <c r="R2439" s="91" t="n"/>
      <c r="S2439" s="91" t="n"/>
      <c r="T2439" s="25">
        <f>DAY(C2439)</f>
        <v/>
      </c>
      <c r="U2439" s="22">
        <f>MONTH(C2439)</f>
        <v/>
      </c>
      <c r="V2439" s="91" t="n"/>
      <c r="W2439" s="91" t="n"/>
      <c r="X2439" s="91" t="n"/>
      <c r="Y2439" s="91" t="n"/>
      <c r="Z2439" s="91" t="n"/>
    </row>
    <row r="2440" ht="12.75" customHeight="1" s="117">
      <c r="A2440" s="91" t="n"/>
      <c r="B2440" s="91" t="n"/>
      <c r="C2440" s="91" t="n"/>
      <c r="D2440" s="91" t="n"/>
      <c r="E2440" s="91" t="n"/>
      <c r="F2440" s="91" t="n"/>
      <c r="G2440" s="91" t="n"/>
      <c r="H2440" s="91" t="n"/>
      <c r="I2440" s="91" t="n"/>
      <c r="J2440" s="91" t="n"/>
      <c r="K2440" s="91" t="n"/>
      <c r="L2440" s="91" t="n"/>
      <c r="M2440" s="91" t="n"/>
      <c r="N2440" s="91" t="n"/>
      <c r="O2440" s="91" t="n"/>
      <c r="P2440" s="91" t="n"/>
      <c r="Q2440" s="91" t="n"/>
      <c r="R2440" s="91" t="n"/>
      <c r="S2440" s="91" t="n"/>
      <c r="T2440" s="25">
        <f>DAY(C2440)</f>
        <v/>
      </c>
      <c r="U2440" s="22">
        <f>MONTH(C2440)</f>
        <v/>
      </c>
      <c r="V2440" s="91" t="n"/>
      <c r="W2440" s="91" t="n"/>
      <c r="X2440" s="91" t="n"/>
      <c r="Y2440" s="91" t="n"/>
      <c r="Z2440" s="91" t="n"/>
    </row>
    <row r="2441" ht="12.75" customHeight="1" s="117">
      <c r="A2441" s="91" t="n"/>
      <c r="B2441" s="91" t="n"/>
      <c r="C2441" s="91" t="n"/>
      <c r="D2441" s="91" t="n"/>
      <c r="E2441" s="91" t="n"/>
      <c r="F2441" s="91" t="n"/>
      <c r="G2441" s="91" t="n"/>
      <c r="H2441" s="91" t="n"/>
      <c r="I2441" s="91" t="n"/>
      <c r="J2441" s="91" t="n"/>
      <c r="K2441" s="91" t="n"/>
      <c r="L2441" s="91" t="n"/>
      <c r="M2441" s="91" t="n"/>
      <c r="N2441" s="91" t="n"/>
      <c r="O2441" s="91" t="n"/>
      <c r="P2441" s="91" t="n"/>
      <c r="Q2441" s="91" t="n"/>
      <c r="R2441" s="91" t="n"/>
      <c r="S2441" s="91" t="n"/>
      <c r="T2441" s="25">
        <f>DAY(C2441)</f>
        <v/>
      </c>
      <c r="U2441" s="22">
        <f>MONTH(C2441)</f>
        <v/>
      </c>
      <c r="V2441" s="91" t="n"/>
      <c r="W2441" s="91" t="n"/>
      <c r="X2441" s="91" t="n"/>
      <c r="Y2441" s="91" t="n"/>
      <c r="Z2441" s="91" t="n"/>
    </row>
    <row r="2442" ht="12.75" customHeight="1" s="117">
      <c r="A2442" s="91" t="n"/>
      <c r="B2442" s="91" t="n"/>
      <c r="C2442" s="91" t="n"/>
      <c r="D2442" s="91" t="n"/>
      <c r="E2442" s="91" t="n"/>
      <c r="F2442" s="91" t="n"/>
      <c r="G2442" s="91" t="n"/>
      <c r="H2442" s="91" t="n"/>
      <c r="I2442" s="91" t="n"/>
      <c r="J2442" s="91" t="n"/>
      <c r="K2442" s="91" t="n"/>
      <c r="L2442" s="91" t="n"/>
      <c r="M2442" s="91" t="n"/>
      <c r="N2442" s="91" t="n"/>
      <c r="O2442" s="91" t="n"/>
      <c r="P2442" s="91" t="n"/>
      <c r="Q2442" s="91" t="n"/>
      <c r="R2442" s="91" t="n"/>
      <c r="S2442" s="91" t="n"/>
      <c r="T2442" s="25">
        <f>DAY(C2442)</f>
        <v/>
      </c>
      <c r="U2442" s="22">
        <f>MONTH(C2442)</f>
        <v/>
      </c>
      <c r="V2442" s="91" t="n"/>
      <c r="W2442" s="91" t="n"/>
      <c r="X2442" s="91" t="n"/>
      <c r="Y2442" s="91" t="n"/>
      <c r="Z2442" s="91" t="n"/>
    </row>
    <row r="2443" ht="12.75" customHeight="1" s="117">
      <c r="A2443" s="91" t="n"/>
      <c r="B2443" s="91" t="n"/>
      <c r="C2443" s="91" t="n"/>
      <c r="D2443" s="91" t="n"/>
      <c r="E2443" s="91" t="n"/>
      <c r="F2443" s="91" t="n"/>
      <c r="G2443" s="91" t="n"/>
      <c r="H2443" s="91" t="n"/>
      <c r="I2443" s="91" t="n"/>
      <c r="J2443" s="91" t="n"/>
      <c r="K2443" s="91" t="n"/>
      <c r="L2443" s="91" t="n"/>
      <c r="M2443" s="91" t="n"/>
      <c r="N2443" s="91" t="n"/>
      <c r="O2443" s="91" t="n"/>
      <c r="P2443" s="91" t="n"/>
      <c r="Q2443" s="91" t="n"/>
      <c r="R2443" s="91" t="n"/>
      <c r="S2443" s="91" t="n"/>
      <c r="T2443" s="25">
        <f>DAY(C2443)</f>
        <v/>
      </c>
      <c r="U2443" s="22">
        <f>MONTH(C2443)</f>
        <v/>
      </c>
      <c r="V2443" s="91" t="n"/>
      <c r="W2443" s="91" t="n"/>
      <c r="X2443" s="91" t="n"/>
      <c r="Y2443" s="91" t="n"/>
      <c r="Z2443" s="91" t="n"/>
    </row>
    <row r="2444" ht="12.75" customHeight="1" s="117">
      <c r="A2444" s="91" t="n"/>
      <c r="B2444" s="91" t="n"/>
      <c r="C2444" s="91" t="n"/>
      <c r="D2444" s="91" t="n"/>
      <c r="E2444" s="91" t="n"/>
      <c r="F2444" s="91" t="n"/>
      <c r="G2444" s="91" t="n"/>
      <c r="H2444" s="91" t="n"/>
      <c r="I2444" s="91" t="n"/>
      <c r="J2444" s="91" t="n"/>
      <c r="K2444" s="91" t="n"/>
      <c r="L2444" s="91" t="n"/>
      <c r="M2444" s="91" t="n"/>
      <c r="N2444" s="91" t="n"/>
      <c r="O2444" s="91" t="n"/>
      <c r="P2444" s="91" t="n"/>
      <c r="Q2444" s="91" t="n"/>
      <c r="R2444" s="91" t="n"/>
      <c r="S2444" s="91" t="n"/>
      <c r="T2444" s="25">
        <f>DAY(C2444)</f>
        <v/>
      </c>
      <c r="U2444" s="22">
        <f>MONTH(C2444)</f>
        <v/>
      </c>
      <c r="V2444" s="91" t="n"/>
      <c r="W2444" s="91" t="n"/>
      <c r="X2444" s="91" t="n"/>
      <c r="Y2444" s="91" t="n"/>
      <c r="Z2444" s="91" t="n"/>
    </row>
    <row r="2445" ht="12.75" customHeight="1" s="117">
      <c r="A2445" s="91" t="n"/>
      <c r="B2445" s="91" t="n"/>
      <c r="C2445" s="91" t="n"/>
      <c r="D2445" s="91" t="n"/>
      <c r="E2445" s="91" t="n"/>
      <c r="F2445" s="91" t="n"/>
      <c r="G2445" s="91" t="n"/>
      <c r="H2445" s="91" t="n"/>
      <c r="I2445" s="91" t="n"/>
      <c r="J2445" s="91" t="n"/>
      <c r="K2445" s="91" t="n"/>
      <c r="L2445" s="91" t="n"/>
      <c r="M2445" s="91" t="n"/>
      <c r="N2445" s="91" t="n"/>
      <c r="O2445" s="91" t="n"/>
      <c r="P2445" s="91" t="n"/>
      <c r="Q2445" s="91" t="n"/>
      <c r="R2445" s="91" t="n"/>
      <c r="S2445" s="91" t="n"/>
      <c r="T2445" s="25">
        <f>DAY(C2445)</f>
        <v/>
      </c>
      <c r="U2445" s="22">
        <f>MONTH(C2445)</f>
        <v/>
      </c>
      <c r="V2445" s="91" t="n"/>
      <c r="W2445" s="91" t="n"/>
      <c r="X2445" s="91" t="n"/>
      <c r="Y2445" s="91" t="n"/>
      <c r="Z2445" s="91" t="n"/>
    </row>
    <row r="2446" ht="12.75" customHeight="1" s="117">
      <c r="A2446" s="91" t="n"/>
      <c r="B2446" s="91" t="n"/>
      <c r="C2446" s="91" t="n"/>
      <c r="D2446" s="91" t="n"/>
      <c r="E2446" s="91" t="n"/>
      <c r="F2446" s="91" t="n"/>
      <c r="G2446" s="91" t="n"/>
      <c r="H2446" s="91" t="n"/>
      <c r="I2446" s="91" t="n"/>
      <c r="J2446" s="91" t="n"/>
      <c r="K2446" s="91" t="n"/>
      <c r="L2446" s="91" t="n"/>
      <c r="M2446" s="91" t="n"/>
      <c r="N2446" s="91" t="n"/>
      <c r="O2446" s="91" t="n"/>
      <c r="P2446" s="91" t="n"/>
      <c r="Q2446" s="91" t="n"/>
      <c r="R2446" s="91" t="n"/>
      <c r="S2446" s="91" t="n"/>
      <c r="T2446" s="25">
        <f>DAY(C2446)</f>
        <v/>
      </c>
      <c r="U2446" s="22">
        <f>MONTH(C2446)</f>
        <v/>
      </c>
      <c r="V2446" s="91" t="n"/>
      <c r="W2446" s="91" t="n"/>
      <c r="X2446" s="91" t="n"/>
      <c r="Y2446" s="91" t="n"/>
      <c r="Z2446" s="91" t="n"/>
    </row>
    <row r="2447" ht="12.75" customHeight="1" s="117">
      <c r="A2447" s="91" t="n"/>
      <c r="B2447" s="91" t="n"/>
      <c r="C2447" s="91" t="n"/>
      <c r="D2447" s="91" t="n"/>
      <c r="E2447" s="91" t="n"/>
      <c r="F2447" s="91" t="n"/>
      <c r="G2447" s="91" t="n"/>
      <c r="H2447" s="91" t="n"/>
      <c r="I2447" s="91" t="n"/>
      <c r="J2447" s="91" t="n"/>
      <c r="K2447" s="91" t="n"/>
      <c r="L2447" s="91" t="n"/>
      <c r="M2447" s="91" t="n"/>
      <c r="N2447" s="91" t="n"/>
      <c r="O2447" s="91" t="n"/>
      <c r="P2447" s="91" t="n"/>
      <c r="Q2447" s="91" t="n"/>
      <c r="R2447" s="91" t="n"/>
      <c r="S2447" s="91" t="n"/>
      <c r="T2447" s="25">
        <f>DAY(C2447)</f>
        <v/>
      </c>
      <c r="U2447" s="22">
        <f>MONTH(C2447)</f>
        <v/>
      </c>
      <c r="V2447" s="91" t="n"/>
      <c r="W2447" s="91" t="n"/>
      <c r="X2447" s="91" t="n"/>
      <c r="Y2447" s="91" t="n"/>
      <c r="Z2447" s="91" t="n"/>
    </row>
    <row r="2448" ht="12.75" customHeight="1" s="117">
      <c r="A2448" s="91" t="n"/>
      <c r="B2448" s="91" t="n"/>
      <c r="C2448" s="91" t="n"/>
      <c r="D2448" s="91" t="n"/>
      <c r="E2448" s="91" t="n"/>
      <c r="F2448" s="91" t="n"/>
      <c r="G2448" s="91" t="n"/>
      <c r="H2448" s="91" t="n"/>
      <c r="I2448" s="91" t="n"/>
      <c r="J2448" s="91" t="n"/>
      <c r="K2448" s="91" t="n"/>
      <c r="L2448" s="91" t="n"/>
      <c r="M2448" s="91" t="n"/>
      <c r="N2448" s="91" t="n"/>
      <c r="O2448" s="91" t="n"/>
      <c r="P2448" s="91" t="n"/>
      <c r="Q2448" s="91" t="n"/>
      <c r="R2448" s="91" t="n"/>
      <c r="S2448" s="91" t="n"/>
      <c r="T2448" s="25">
        <f>DAY(C2448)</f>
        <v/>
      </c>
      <c r="U2448" s="22">
        <f>MONTH(C2448)</f>
        <v/>
      </c>
      <c r="V2448" s="91" t="n"/>
      <c r="W2448" s="91" t="n"/>
      <c r="X2448" s="91" t="n"/>
      <c r="Y2448" s="91" t="n"/>
      <c r="Z2448" s="91" t="n"/>
    </row>
    <row r="2449" ht="12.75" customHeight="1" s="117">
      <c r="A2449" s="91" t="n"/>
      <c r="B2449" s="91" t="n"/>
      <c r="C2449" s="91" t="n"/>
      <c r="D2449" s="91" t="n"/>
      <c r="E2449" s="91" t="n"/>
      <c r="F2449" s="91" t="n"/>
      <c r="G2449" s="91" t="n"/>
      <c r="H2449" s="91" t="n"/>
      <c r="I2449" s="91" t="n"/>
      <c r="J2449" s="91" t="n"/>
      <c r="K2449" s="91" t="n"/>
      <c r="L2449" s="91" t="n"/>
      <c r="M2449" s="91" t="n"/>
      <c r="N2449" s="91" t="n"/>
      <c r="O2449" s="91" t="n"/>
      <c r="P2449" s="91" t="n"/>
      <c r="Q2449" s="91" t="n"/>
      <c r="R2449" s="91" t="n"/>
      <c r="S2449" s="91" t="n"/>
      <c r="T2449" s="25">
        <f>DAY(C2449)</f>
        <v/>
      </c>
      <c r="U2449" s="22">
        <f>MONTH(C2449)</f>
        <v/>
      </c>
      <c r="V2449" s="91" t="n"/>
      <c r="W2449" s="91" t="n"/>
      <c r="X2449" s="91" t="n"/>
      <c r="Y2449" s="91" t="n"/>
      <c r="Z2449" s="91" t="n"/>
    </row>
    <row r="2450" ht="12.75" customHeight="1" s="117">
      <c r="A2450" s="91" t="n"/>
      <c r="B2450" s="91" t="n"/>
      <c r="C2450" s="91" t="n"/>
      <c r="D2450" s="91" t="n"/>
      <c r="E2450" s="91" t="n"/>
      <c r="F2450" s="91" t="n"/>
      <c r="G2450" s="91" t="n"/>
      <c r="H2450" s="91" t="n"/>
      <c r="I2450" s="91" t="n"/>
      <c r="J2450" s="91" t="n"/>
      <c r="K2450" s="91" t="n"/>
      <c r="L2450" s="91" t="n"/>
      <c r="M2450" s="91" t="n"/>
      <c r="N2450" s="91" t="n"/>
      <c r="O2450" s="91" t="n"/>
      <c r="P2450" s="91" t="n"/>
      <c r="Q2450" s="91" t="n"/>
      <c r="R2450" s="91" t="n"/>
      <c r="S2450" s="91" t="n"/>
      <c r="T2450" s="25">
        <f>DAY(C2450)</f>
        <v/>
      </c>
      <c r="U2450" s="22">
        <f>MONTH(C2450)</f>
        <v/>
      </c>
      <c r="V2450" s="91" t="n"/>
      <c r="W2450" s="91" t="n"/>
      <c r="X2450" s="91" t="n"/>
      <c r="Y2450" s="91" t="n"/>
      <c r="Z2450" s="91" t="n"/>
    </row>
    <row r="2451" ht="12.75" customHeight="1" s="117">
      <c r="A2451" s="91" t="n"/>
      <c r="B2451" s="91" t="n"/>
      <c r="C2451" s="91" t="n"/>
      <c r="D2451" s="91" t="n"/>
      <c r="E2451" s="91" t="n"/>
      <c r="F2451" s="91" t="n"/>
      <c r="G2451" s="91" t="n"/>
      <c r="H2451" s="91" t="n"/>
      <c r="I2451" s="91" t="n"/>
      <c r="J2451" s="91" t="n"/>
      <c r="K2451" s="91" t="n"/>
      <c r="L2451" s="91" t="n"/>
      <c r="M2451" s="91" t="n"/>
      <c r="N2451" s="91" t="n"/>
      <c r="O2451" s="91" t="n"/>
      <c r="P2451" s="91" t="n"/>
      <c r="Q2451" s="91" t="n"/>
      <c r="R2451" s="91" t="n"/>
      <c r="S2451" s="91" t="n"/>
      <c r="T2451" s="25">
        <f>DAY(C2451)</f>
        <v/>
      </c>
      <c r="U2451" s="22">
        <f>MONTH(C2451)</f>
        <v/>
      </c>
      <c r="V2451" s="91" t="n"/>
      <c r="W2451" s="91" t="n"/>
      <c r="X2451" s="91" t="n"/>
      <c r="Y2451" s="91" t="n"/>
      <c r="Z2451" s="91" t="n"/>
    </row>
    <row r="2452" ht="12.75" customHeight="1" s="117">
      <c r="A2452" s="91" t="n"/>
      <c r="B2452" s="91" t="n"/>
      <c r="C2452" s="91" t="n"/>
      <c r="D2452" s="91" t="n"/>
      <c r="E2452" s="91" t="n"/>
      <c r="F2452" s="91" t="n"/>
      <c r="G2452" s="91" t="n"/>
      <c r="H2452" s="91" t="n"/>
      <c r="I2452" s="91" t="n"/>
      <c r="J2452" s="91" t="n"/>
      <c r="K2452" s="91" t="n"/>
      <c r="L2452" s="91" t="n"/>
      <c r="M2452" s="91" t="n"/>
      <c r="N2452" s="91" t="n"/>
      <c r="O2452" s="91" t="n"/>
      <c r="P2452" s="91" t="n"/>
      <c r="Q2452" s="91" t="n"/>
      <c r="R2452" s="91" t="n"/>
      <c r="S2452" s="91" t="n"/>
      <c r="T2452" s="25">
        <f>DAY(C2452)</f>
        <v/>
      </c>
      <c r="U2452" s="22">
        <f>MONTH(C2452)</f>
        <v/>
      </c>
      <c r="V2452" s="91" t="n"/>
      <c r="W2452" s="91" t="n"/>
      <c r="X2452" s="91" t="n"/>
      <c r="Y2452" s="91" t="n"/>
      <c r="Z2452" s="91" t="n"/>
    </row>
    <row r="2453" ht="12.75" customHeight="1" s="117">
      <c r="A2453" s="91" t="n"/>
      <c r="B2453" s="91" t="n"/>
      <c r="C2453" s="91" t="n"/>
      <c r="D2453" s="91" t="n"/>
      <c r="E2453" s="91" t="n"/>
      <c r="F2453" s="91" t="n"/>
      <c r="G2453" s="91" t="n"/>
      <c r="H2453" s="91" t="n"/>
      <c r="I2453" s="91" t="n"/>
      <c r="J2453" s="91" t="n"/>
      <c r="K2453" s="91" t="n"/>
      <c r="L2453" s="91" t="n"/>
      <c r="M2453" s="91" t="n"/>
      <c r="N2453" s="91" t="n"/>
      <c r="O2453" s="91" t="n"/>
      <c r="P2453" s="91" t="n"/>
      <c r="Q2453" s="91" t="n"/>
      <c r="R2453" s="91" t="n"/>
      <c r="S2453" s="91" t="n"/>
      <c r="T2453" s="25">
        <f>DAY(C2453)</f>
        <v/>
      </c>
      <c r="U2453" s="22">
        <f>MONTH(C2453)</f>
        <v/>
      </c>
      <c r="V2453" s="91" t="n"/>
      <c r="W2453" s="91" t="n"/>
      <c r="X2453" s="91" t="n"/>
      <c r="Y2453" s="91" t="n"/>
      <c r="Z2453" s="91" t="n"/>
    </row>
    <row r="2454" ht="12.75" customHeight="1" s="117">
      <c r="A2454" s="91" t="n"/>
      <c r="B2454" s="91" t="n"/>
      <c r="C2454" s="91" t="n"/>
      <c r="D2454" s="91" t="n"/>
      <c r="E2454" s="91" t="n"/>
      <c r="F2454" s="91" t="n"/>
      <c r="G2454" s="91" t="n"/>
      <c r="H2454" s="91" t="n"/>
      <c r="I2454" s="91" t="n"/>
      <c r="J2454" s="91" t="n"/>
      <c r="K2454" s="91" t="n"/>
      <c r="L2454" s="91" t="n"/>
      <c r="M2454" s="91" t="n"/>
      <c r="N2454" s="91" t="n"/>
      <c r="O2454" s="91" t="n"/>
      <c r="P2454" s="91" t="n"/>
      <c r="Q2454" s="91" t="n"/>
      <c r="R2454" s="91" t="n"/>
      <c r="S2454" s="91" t="n"/>
      <c r="T2454" s="25">
        <f>DAY(C2454)</f>
        <v/>
      </c>
      <c r="U2454" s="22">
        <f>MONTH(C2454)</f>
        <v/>
      </c>
      <c r="V2454" s="91" t="n"/>
      <c r="W2454" s="91" t="n"/>
      <c r="X2454" s="91" t="n"/>
      <c r="Y2454" s="91" t="n"/>
      <c r="Z2454" s="91" t="n"/>
    </row>
    <row r="2455" ht="12.75" customHeight="1" s="117">
      <c r="A2455" s="91" t="n"/>
      <c r="B2455" s="91" t="n"/>
      <c r="C2455" s="91" t="n"/>
      <c r="D2455" s="91" t="n"/>
      <c r="E2455" s="91" t="n"/>
      <c r="F2455" s="91" t="n"/>
      <c r="G2455" s="91" t="n"/>
      <c r="H2455" s="91" t="n"/>
      <c r="I2455" s="91" t="n"/>
      <c r="J2455" s="91" t="n"/>
      <c r="K2455" s="91" t="n"/>
      <c r="L2455" s="91" t="n"/>
      <c r="M2455" s="91" t="n"/>
      <c r="N2455" s="91" t="n"/>
      <c r="O2455" s="91" t="n"/>
      <c r="P2455" s="91" t="n"/>
      <c r="Q2455" s="91" t="n"/>
      <c r="R2455" s="91" t="n"/>
      <c r="S2455" s="91" t="n"/>
      <c r="T2455" s="25">
        <f>DAY(C2455)</f>
        <v/>
      </c>
      <c r="U2455" s="22">
        <f>MONTH(C2455)</f>
        <v/>
      </c>
      <c r="V2455" s="91" t="n"/>
      <c r="W2455" s="91" t="n"/>
      <c r="X2455" s="91" t="n"/>
      <c r="Y2455" s="91" t="n"/>
      <c r="Z2455" s="91" t="n"/>
    </row>
    <row r="2456" ht="12.75" customHeight="1" s="117">
      <c r="A2456" s="91" t="n"/>
      <c r="B2456" s="91" t="n"/>
      <c r="C2456" s="91" t="n"/>
      <c r="D2456" s="91" t="n"/>
      <c r="E2456" s="91" t="n"/>
      <c r="F2456" s="91" t="n"/>
      <c r="G2456" s="91" t="n"/>
      <c r="H2456" s="91" t="n"/>
      <c r="I2456" s="91" t="n"/>
      <c r="J2456" s="91" t="n"/>
      <c r="K2456" s="91" t="n"/>
      <c r="L2456" s="91" t="n"/>
      <c r="M2456" s="91" t="n"/>
      <c r="N2456" s="91" t="n"/>
      <c r="O2456" s="91" t="n"/>
      <c r="P2456" s="91" t="n"/>
      <c r="Q2456" s="91" t="n"/>
      <c r="R2456" s="91" t="n"/>
      <c r="S2456" s="91" t="n"/>
      <c r="T2456" s="25">
        <f>DAY(C2456)</f>
        <v/>
      </c>
      <c r="U2456" s="22">
        <f>MONTH(C2456)</f>
        <v/>
      </c>
      <c r="V2456" s="91" t="n"/>
      <c r="W2456" s="91" t="n"/>
      <c r="X2456" s="91" t="n"/>
      <c r="Y2456" s="91" t="n"/>
      <c r="Z2456" s="91" t="n"/>
    </row>
    <row r="2457" ht="12.75" customHeight="1" s="117">
      <c r="A2457" s="91" t="n"/>
      <c r="B2457" s="91" t="n"/>
      <c r="C2457" s="91" t="n"/>
      <c r="D2457" s="91" t="n"/>
      <c r="E2457" s="91" t="n"/>
      <c r="F2457" s="91" t="n"/>
      <c r="G2457" s="91" t="n"/>
      <c r="H2457" s="91" t="n"/>
      <c r="I2457" s="91" t="n"/>
      <c r="J2457" s="91" t="n"/>
      <c r="K2457" s="91" t="n"/>
      <c r="L2457" s="91" t="n"/>
      <c r="M2457" s="91" t="n"/>
      <c r="N2457" s="91" t="n"/>
      <c r="O2457" s="91" t="n"/>
      <c r="P2457" s="91" t="n"/>
      <c r="Q2457" s="91" t="n"/>
      <c r="R2457" s="91" t="n"/>
      <c r="S2457" s="91" t="n"/>
      <c r="T2457" s="25">
        <f>DAY(C2457)</f>
        <v/>
      </c>
      <c r="U2457" s="22">
        <f>MONTH(C2457)</f>
        <v/>
      </c>
      <c r="V2457" s="91" t="n"/>
      <c r="W2457" s="91" t="n"/>
      <c r="X2457" s="91" t="n"/>
      <c r="Y2457" s="91" t="n"/>
      <c r="Z2457" s="91" t="n"/>
    </row>
    <row r="2458" ht="12.75" customHeight="1" s="117">
      <c r="A2458" s="91" t="n"/>
      <c r="B2458" s="91" t="n"/>
      <c r="C2458" s="91" t="n"/>
      <c r="D2458" s="91" t="n"/>
      <c r="E2458" s="91" t="n"/>
      <c r="F2458" s="91" t="n"/>
      <c r="G2458" s="91" t="n"/>
      <c r="H2458" s="91" t="n"/>
      <c r="I2458" s="91" t="n"/>
      <c r="J2458" s="91" t="n"/>
      <c r="K2458" s="91" t="n"/>
      <c r="L2458" s="91" t="n"/>
      <c r="M2458" s="91" t="n"/>
      <c r="N2458" s="91" t="n"/>
      <c r="O2458" s="91" t="n"/>
      <c r="P2458" s="91" t="n"/>
      <c r="Q2458" s="91" t="n"/>
      <c r="R2458" s="91" t="n"/>
      <c r="S2458" s="91" t="n"/>
      <c r="T2458" s="25">
        <f>DAY(C2458)</f>
        <v/>
      </c>
      <c r="U2458" s="22">
        <f>MONTH(C2458)</f>
        <v/>
      </c>
      <c r="V2458" s="91" t="n"/>
      <c r="W2458" s="91" t="n"/>
      <c r="X2458" s="91" t="n"/>
      <c r="Y2458" s="91" t="n"/>
      <c r="Z2458" s="91" t="n"/>
    </row>
    <row r="2459" ht="12.75" customHeight="1" s="117">
      <c r="A2459" s="91" t="n"/>
      <c r="B2459" s="91" t="n"/>
      <c r="C2459" s="91" t="n"/>
      <c r="D2459" s="91" t="n"/>
      <c r="E2459" s="91" t="n"/>
      <c r="F2459" s="91" t="n"/>
      <c r="G2459" s="91" t="n"/>
      <c r="H2459" s="91" t="n"/>
      <c r="I2459" s="91" t="n"/>
      <c r="J2459" s="91" t="n"/>
      <c r="K2459" s="91" t="n"/>
      <c r="L2459" s="91" t="n"/>
      <c r="M2459" s="91" t="n"/>
      <c r="N2459" s="91" t="n"/>
      <c r="O2459" s="91" t="n"/>
      <c r="P2459" s="91" t="n"/>
      <c r="Q2459" s="91" t="n"/>
      <c r="R2459" s="91" t="n"/>
      <c r="S2459" s="91" t="n"/>
      <c r="T2459" s="25">
        <f>DAY(C2459)</f>
        <v/>
      </c>
      <c r="U2459" s="22">
        <f>MONTH(C2459)</f>
        <v/>
      </c>
      <c r="V2459" s="91" t="n"/>
      <c r="W2459" s="91" t="n"/>
      <c r="X2459" s="91" t="n"/>
      <c r="Y2459" s="91" t="n"/>
      <c r="Z2459" s="91" t="n"/>
    </row>
    <row r="2460" ht="12.75" customHeight="1" s="117">
      <c r="A2460" s="91" t="n"/>
      <c r="B2460" s="91" t="n"/>
      <c r="C2460" s="91" t="n"/>
      <c r="D2460" s="91" t="n"/>
      <c r="E2460" s="91" t="n"/>
      <c r="F2460" s="91" t="n"/>
      <c r="G2460" s="91" t="n"/>
      <c r="H2460" s="91" t="n"/>
      <c r="I2460" s="91" t="n"/>
      <c r="J2460" s="91" t="n"/>
      <c r="K2460" s="91" t="n"/>
      <c r="L2460" s="91" t="n"/>
      <c r="M2460" s="91" t="n"/>
      <c r="N2460" s="91" t="n"/>
      <c r="O2460" s="91" t="n"/>
      <c r="P2460" s="91" t="n"/>
      <c r="Q2460" s="91" t="n"/>
      <c r="R2460" s="91" t="n"/>
      <c r="S2460" s="91" t="n"/>
      <c r="T2460" s="25">
        <f>DAY(C2460)</f>
        <v/>
      </c>
      <c r="U2460" s="22">
        <f>MONTH(C2460)</f>
        <v/>
      </c>
      <c r="V2460" s="91" t="n"/>
      <c r="W2460" s="91" t="n"/>
      <c r="X2460" s="91" t="n"/>
      <c r="Y2460" s="91" t="n"/>
      <c r="Z2460" s="91" t="n"/>
    </row>
    <row r="2461" ht="12.75" customHeight="1" s="117">
      <c r="A2461" s="91" t="n"/>
      <c r="B2461" s="91" t="n"/>
      <c r="C2461" s="91" t="n"/>
      <c r="D2461" s="91" t="n"/>
      <c r="E2461" s="91" t="n"/>
      <c r="F2461" s="91" t="n"/>
      <c r="G2461" s="91" t="n"/>
      <c r="H2461" s="91" t="n"/>
      <c r="I2461" s="91" t="n"/>
      <c r="J2461" s="91" t="n"/>
      <c r="K2461" s="91" t="n"/>
      <c r="L2461" s="91" t="n"/>
      <c r="M2461" s="91" t="n"/>
      <c r="N2461" s="91" t="n"/>
      <c r="O2461" s="91" t="n"/>
      <c r="P2461" s="91" t="n"/>
      <c r="Q2461" s="91" t="n"/>
      <c r="R2461" s="91" t="n"/>
      <c r="S2461" s="91" t="n"/>
      <c r="T2461" s="25">
        <f>DAY(C2461)</f>
        <v/>
      </c>
      <c r="U2461" s="22">
        <f>MONTH(C2461)</f>
        <v/>
      </c>
      <c r="V2461" s="91" t="n"/>
      <c r="W2461" s="91" t="n"/>
      <c r="X2461" s="91" t="n"/>
      <c r="Y2461" s="91" t="n"/>
      <c r="Z2461" s="91" t="n"/>
    </row>
    <row r="2462" ht="12.75" customHeight="1" s="117">
      <c r="A2462" s="91" t="n"/>
      <c r="B2462" s="91" t="n"/>
      <c r="C2462" s="91" t="n"/>
      <c r="D2462" s="91" t="n"/>
      <c r="E2462" s="91" t="n"/>
      <c r="F2462" s="91" t="n"/>
      <c r="G2462" s="91" t="n"/>
      <c r="H2462" s="91" t="n"/>
      <c r="I2462" s="91" t="n"/>
      <c r="J2462" s="91" t="n"/>
      <c r="K2462" s="91" t="n"/>
      <c r="L2462" s="91" t="n"/>
      <c r="M2462" s="91" t="n"/>
      <c r="N2462" s="91" t="n"/>
      <c r="O2462" s="91" t="n"/>
      <c r="P2462" s="91" t="n"/>
      <c r="Q2462" s="91" t="n"/>
      <c r="R2462" s="91" t="n"/>
      <c r="S2462" s="91" t="n"/>
      <c r="T2462" s="25">
        <f>DAY(C2462)</f>
        <v/>
      </c>
      <c r="U2462" s="22">
        <f>MONTH(C2462)</f>
        <v/>
      </c>
      <c r="V2462" s="91" t="n"/>
      <c r="W2462" s="91" t="n"/>
      <c r="X2462" s="91" t="n"/>
      <c r="Y2462" s="91" t="n"/>
      <c r="Z2462" s="91" t="n"/>
    </row>
    <row r="2463" ht="12.75" customHeight="1" s="117">
      <c r="A2463" s="91" t="n"/>
      <c r="B2463" s="91" t="n"/>
      <c r="C2463" s="91" t="n"/>
      <c r="D2463" s="91" t="n"/>
      <c r="E2463" s="91" t="n"/>
      <c r="F2463" s="91" t="n"/>
      <c r="G2463" s="91" t="n"/>
      <c r="H2463" s="91" t="n"/>
      <c r="I2463" s="91" t="n"/>
      <c r="J2463" s="91" t="n"/>
      <c r="K2463" s="91" t="n"/>
      <c r="L2463" s="91" t="n"/>
      <c r="M2463" s="91" t="n"/>
      <c r="N2463" s="91" t="n"/>
      <c r="O2463" s="91" t="n"/>
      <c r="P2463" s="91" t="n"/>
      <c r="Q2463" s="91" t="n"/>
      <c r="R2463" s="91" t="n"/>
      <c r="S2463" s="91" t="n"/>
      <c r="T2463" s="25">
        <f>DAY(C2463)</f>
        <v/>
      </c>
      <c r="U2463" s="22">
        <f>MONTH(C2463)</f>
        <v/>
      </c>
      <c r="V2463" s="91" t="n"/>
      <c r="W2463" s="91" t="n"/>
      <c r="X2463" s="91" t="n"/>
      <c r="Y2463" s="91" t="n"/>
      <c r="Z2463" s="91" t="n"/>
    </row>
    <row r="2464" ht="12.75" customHeight="1" s="117">
      <c r="A2464" s="91" t="n"/>
      <c r="B2464" s="91" t="n"/>
      <c r="C2464" s="91" t="n"/>
      <c r="D2464" s="91" t="n"/>
      <c r="E2464" s="91" t="n"/>
      <c r="F2464" s="91" t="n"/>
      <c r="G2464" s="91" t="n"/>
      <c r="H2464" s="91" t="n"/>
      <c r="I2464" s="91" t="n"/>
      <c r="J2464" s="91" t="n"/>
      <c r="K2464" s="91" t="n"/>
      <c r="L2464" s="91" t="n"/>
      <c r="M2464" s="91" t="n"/>
      <c r="N2464" s="91" t="n"/>
      <c r="O2464" s="91" t="n"/>
      <c r="P2464" s="91" t="n"/>
      <c r="Q2464" s="91" t="n"/>
      <c r="R2464" s="91" t="n"/>
      <c r="S2464" s="91" t="n"/>
      <c r="T2464" s="25">
        <f>DAY(C2464)</f>
        <v/>
      </c>
      <c r="U2464" s="22">
        <f>MONTH(C2464)</f>
        <v/>
      </c>
      <c r="V2464" s="91" t="n"/>
      <c r="W2464" s="91" t="n"/>
      <c r="X2464" s="91" t="n"/>
      <c r="Y2464" s="91" t="n"/>
      <c r="Z2464" s="91" t="n"/>
    </row>
    <row r="2465" ht="12.75" customHeight="1" s="117">
      <c r="A2465" s="91" t="n"/>
      <c r="B2465" s="91" t="n"/>
      <c r="C2465" s="91" t="n"/>
      <c r="D2465" s="91" t="n"/>
      <c r="E2465" s="91" t="n"/>
      <c r="F2465" s="91" t="n"/>
      <c r="G2465" s="91" t="n"/>
      <c r="H2465" s="91" t="n"/>
      <c r="I2465" s="91" t="n"/>
      <c r="J2465" s="91" t="n"/>
      <c r="K2465" s="91" t="n"/>
      <c r="L2465" s="91" t="n"/>
      <c r="M2465" s="91" t="n"/>
      <c r="N2465" s="91" t="n"/>
      <c r="O2465" s="91" t="n"/>
      <c r="P2465" s="91" t="n"/>
      <c r="Q2465" s="91" t="n"/>
      <c r="R2465" s="91" t="n"/>
      <c r="S2465" s="91" t="n"/>
      <c r="T2465" s="25">
        <f>DAY(C2465)</f>
        <v/>
      </c>
      <c r="U2465" s="22">
        <f>MONTH(C2465)</f>
        <v/>
      </c>
      <c r="V2465" s="91" t="n"/>
      <c r="W2465" s="91" t="n"/>
      <c r="X2465" s="91" t="n"/>
      <c r="Y2465" s="91" t="n"/>
      <c r="Z2465" s="91" t="n"/>
    </row>
    <row r="2466" ht="12.75" customHeight="1" s="117">
      <c r="A2466" s="91" t="n"/>
      <c r="B2466" s="91" t="n"/>
      <c r="C2466" s="91" t="n"/>
      <c r="D2466" s="91" t="n"/>
      <c r="E2466" s="91" t="n"/>
      <c r="F2466" s="91" t="n"/>
      <c r="G2466" s="91" t="n"/>
      <c r="H2466" s="91" t="n"/>
      <c r="I2466" s="91" t="n"/>
      <c r="J2466" s="91" t="n"/>
      <c r="K2466" s="91" t="n"/>
      <c r="L2466" s="91" t="n"/>
      <c r="M2466" s="91" t="n"/>
      <c r="N2466" s="91" t="n"/>
      <c r="O2466" s="91" t="n"/>
      <c r="P2466" s="91" t="n"/>
      <c r="Q2466" s="91" t="n"/>
      <c r="R2466" s="91" t="n"/>
      <c r="S2466" s="91" t="n"/>
      <c r="T2466" s="25">
        <f>DAY(C2466)</f>
        <v/>
      </c>
      <c r="U2466" s="22">
        <f>MONTH(C2466)</f>
        <v/>
      </c>
      <c r="V2466" s="91" t="n"/>
      <c r="W2466" s="91" t="n"/>
      <c r="X2466" s="91" t="n"/>
      <c r="Y2466" s="91" t="n"/>
      <c r="Z2466" s="91" t="n"/>
    </row>
    <row r="2467" ht="12.75" customHeight="1" s="117">
      <c r="A2467" s="91" t="n"/>
      <c r="B2467" s="91" t="n"/>
      <c r="C2467" s="91" t="n"/>
      <c r="D2467" s="91" t="n"/>
      <c r="E2467" s="91" t="n"/>
      <c r="F2467" s="91" t="n"/>
      <c r="G2467" s="91" t="n"/>
      <c r="H2467" s="91" t="n"/>
      <c r="I2467" s="91" t="n"/>
      <c r="J2467" s="91" t="n"/>
      <c r="K2467" s="91" t="n"/>
      <c r="L2467" s="91" t="n"/>
      <c r="M2467" s="91" t="n"/>
      <c r="N2467" s="91" t="n"/>
      <c r="O2467" s="91" t="n"/>
      <c r="P2467" s="91" t="n"/>
      <c r="Q2467" s="91" t="n"/>
      <c r="R2467" s="91" t="n"/>
      <c r="S2467" s="91" t="n"/>
      <c r="T2467" s="25">
        <f>DAY(C2467)</f>
        <v/>
      </c>
      <c r="U2467" s="22">
        <f>MONTH(C2467)</f>
        <v/>
      </c>
      <c r="V2467" s="91" t="n"/>
      <c r="W2467" s="91" t="n"/>
      <c r="X2467" s="91" t="n"/>
      <c r="Y2467" s="91" t="n"/>
      <c r="Z2467" s="91" t="n"/>
    </row>
    <row r="2468" ht="12.75" customHeight="1" s="117">
      <c r="A2468" s="91" t="n"/>
      <c r="B2468" s="91" t="n"/>
      <c r="C2468" s="91" t="n"/>
      <c r="D2468" s="91" t="n"/>
      <c r="E2468" s="91" t="n"/>
      <c r="F2468" s="91" t="n"/>
      <c r="G2468" s="91" t="n"/>
      <c r="H2468" s="91" t="n"/>
      <c r="I2468" s="91" t="n"/>
      <c r="J2468" s="91" t="n"/>
      <c r="K2468" s="91" t="n"/>
      <c r="L2468" s="91" t="n"/>
      <c r="M2468" s="91" t="n"/>
      <c r="N2468" s="91" t="n"/>
      <c r="O2468" s="91" t="n"/>
      <c r="P2468" s="91" t="n"/>
      <c r="Q2468" s="91" t="n"/>
      <c r="R2468" s="91" t="n"/>
      <c r="S2468" s="91" t="n"/>
      <c r="T2468" s="25">
        <f>DAY(C2468)</f>
        <v/>
      </c>
      <c r="U2468" s="22">
        <f>MONTH(C2468)</f>
        <v/>
      </c>
      <c r="V2468" s="91" t="n"/>
      <c r="W2468" s="91" t="n"/>
      <c r="X2468" s="91" t="n"/>
      <c r="Y2468" s="91" t="n"/>
      <c r="Z2468" s="91" t="n"/>
    </row>
    <row r="2469" ht="12.75" customHeight="1" s="117">
      <c r="A2469" s="91" t="n"/>
      <c r="B2469" s="91" t="n"/>
      <c r="C2469" s="91" t="n"/>
      <c r="D2469" s="91" t="n"/>
      <c r="E2469" s="91" t="n"/>
      <c r="F2469" s="91" t="n"/>
      <c r="G2469" s="91" t="n"/>
      <c r="H2469" s="91" t="n"/>
      <c r="I2469" s="91" t="n"/>
      <c r="J2469" s="91" t="n"/>
      <c r="K2469" s="91" t="n"/>
      <c r="L2469" s="91" t="n"/>
      <c r="M2469" s="91" t="n"/>
      <c r="N2469" s="91" t="n"/>
      <c r="O2469" s="91" t="n"/>
      <c r="P2469" s="91" t="n"/>
      <c r="Q2469" s="91" t="n"/>
      <c r="R2469" s="91" t="n"/>
      <c r="S2469" s="91" t="n"/>
      <c r="T2469" s="25">
        <f>DAY(C2469)</f>
        <v/>
      </c>
      <c r="U2469" s="22">
        <f>MONTH(C2469)</f>
        <v/>
      </c>
      <c r="V2469" s="91" t="n"/>
      <c r="W2469" s="91" t="n"/>
      <c r="X2469" s="91" t="n"/>
      <c r="Y2469" s="91" t="n"/>
      <c r="Z2469" s="91" t="n"/>
    </row>
    <row r="2470" ht="12.75" customHeight="1" s="117">
      <c r="A2470" s="91" t="n"/>
      <c r="B2470" s="91" t="n"/>
      <c r="C2470" s="91" t="n"/>
      <c r="D2470" s="91" t="n"/>
      <c r="E2470" s="91" t="n"/>
      <c r="F2470" s="91" t="n"/>
      <c r="G2470" s="91" t="n"/>
      <c r="H2470" s="91" t="n"/>
      <c r="I2470" s="91" t="n"/>
      <c r="J2470" s="91" t="n"/>
      <c r="K2470" s="91" t="n"/>
      <c r="L2470" s="91" t="n"/>
      <c r="M2470" s="91" t="n"/>
      <c r="N2470" s="91" t="n"/>
      <c r="O2470" s="91" t="n"/>
      <c r="P2470" s="91" t="n"/>
      <c r="Q2470" s="91" t="n"/>
      <c r="R2470" s="91" t="n"/>
      <c r="S2470" s="91" t="n"/>
      <c r="T2470" s="25">
        <f>DAY(C2470)</f>
        <v/>
      </c>
      <c r="U2470" s="22">
        <f>MONTH(C2470)</f>
        <v/>
      </c>
      <c r="V2470" s="91" t="n"/>
      <c r="W2470" s="91" t="n"/>
      <c r="X2470" s="91" t="n"/>
      <c r="Y2470" s="91" t="n"/>
      <c r="Z2470" s="91" t="n"/>
    </row>
    <row r="2471" ht="12.75" customHeight="1" s="117">
      <c r="A2471" s="91" t="n"/>
      <c r="B2471" s="91" t="n"/>
      <c r="C2471" s="91" t="n"/>
      <c r="D2471" s="91" t="n"/>
      <c r="E2471" s="91" t="n"/>
      <c r="F2471" s="91" t="n"/>
      <c r="G2471" s="91" t="n"/>
      <c r="H2471" s="91" t="n"/>
      <c r="I2471" s="91" t="n"/>
      <c r="J2471" s="91" t="n"/>
      <c r="K2471" s="91" t="n"/>
      <c r="L2471" s="91" t="n"/>
      <c r="M2471" s="91" t="n"/>
      <c r="N2471" s="91" t="n"/>
      <c r="O2471" s="91" t="n"/>
      <c r="P2471" s="91" t="n"/>
      <c r="Q2471" s="91" t="n"/>
      <c r="R2471" s="91" t="n"/>
      <c r="S2471" s="91" t="n"/>
      <c r="T2471" s="25">
        <f>DAY(C2471)</f>
        <v/>
      </c>
      <c r="U2471" s="22">
        <f>MONTH(C2471)</f>
        <v/>
      </c>
      <c r="V2471" s="91" t="n"/>
      <c r="W2471" s="91" t="n"/>
      <c r="X2471" s="91" t="n"/>
      <c r="Y2471" s="91" t="n"/>
      <c r="Z2471" s="91" t="n"/>
    </row>
    <row r="2472" ht="12.75" customHeight="1" s="117">
      <c r="A2472" s="91" t="n"/>
      <c r="B2472" s="91" t="n"/>
      <c r="C2472" s="91" t="n"/>
      <c r="D2472" s="91" t="n"/>
      <c r="E2472" s="91" t="n"/>
      <c r="F2472" s="91" t="n"/>
      <c r="G2472" s="91" t="n"/>
      <c r="H2472" s="91" t="n"/>
      <c r="I2472" s="91" t="n"/>
      <c r="J2472" s="91" t="n"/>
      <c r="K2472" s="91" t="n"/>
      <c r="L2472" s="91" t="n"/>
      <c r="M2472" s="91" t="n"/>
      <c r="N2472" s="91" t="n"/>
      <c r="O2472" s="91" t="n"/>
      <c r="P2472" s="91" t="n"/>
      <c r="Q2472" s="91" t="n"/>
      <c r="R2472" s="91" t="n"/>
      <c r="S2472" s="91" t="n"/>
      <c r="T2472" s="25">
        <f>DAY(C2472)</f>
        <v/>
      </c>
      <c r="U2472" s="22">
        <f>MONTH(C2472)</f>
        <v/>
      </c>
      <c r="V2472" s="91" t="n"/>
      <c r="W2472" s="91" t="n"/>
      <c r="X2472" s="91" t="n"/>
      <c r="Y2472" s="91" t="n"/>
      <c r="Z2472" s="91" t="n"/>
    </row>
    <row r="2473" ht="12.75" customHeight="1" s="117">
      <c r="A2473" s="91" t="n"/>
      <c r="B2473" s="91" t="n"/>
      <c r="C2473" s="91" t="n"/>
      <c r="D2473" s="91" t="n"/>
      <c r="E2473" s="91" t="n"/>
      <c r="F2473" s="91" t="n"/>
      <c r="G2473" s="91" t="n"/>
      <c r="H2473" s="91" t="n"/>
      <c r="I2473" s="91" t="n"/>
      <c r="J2473" s="91" t="n"/>
      <c r="K2473" s="91" t="n"/>
      <c r="L2473" s="91" t="n"/>
      <c r="M2473" s="91" t="n"/>
      <c r="N2473" s="91" t="n"/>
      <c r="O2473" s="91" t="n"/>
      <c r="P2473" s="91" t="n"/>
      <c r="Q2473" s="91" t="n"/>
      <c r="R2473" s="91" t="n"/>
      <c r="S2473" s="91" t="n"/>
      <c r="T2473" s="25">
        <f>DAY(C2473)</f>
        <v/>
      </c>
      <c r="U2473" s="22">
        <f>MONTH(C2473)</f>
        <v/>
      </c>
      <c r="V2473" s="91" t="n"/>
      <c r="W2473" s="91" t="n"/>
      <c r="X2473" s="91" t="n"/>
      <c r="Y2473" s="91" t="n"/>
      <c r="Z2473" s="91" t="n"/>
    </row>
    <row r="2474" ht="12.75" customHeight="1" s="117">
      <c r="A2474" s="91" t="n"/>
      <c r="B2474" s="91" t="n"/>
      <c r="C2474" s="91" t="n"/>
      <c r="D2474" s="91" t="n"/>
      <c r="E2474" s="91" t="n"/>
      <c r="F2474" s="91" t="n"/>
      <c r="G2474" s="91" t="n"/>
      <c r="H2474" s="91" t="n"/>
      <c r="I2474" s="91" t="n"/>
      <c r="J2474" s="91" t="n"/>
      <c r="K2474" s="91" t="n"/>
      <c r="L2474" s="91" t="n"/>
      <c r="M2474" s="91" t="n"/>
      <c r="N2474" s="91" t="n"/>
      <c r="O2474" s="91" t="n"/>
      <c r="P2474" s="91" t="n"/>
      <c r="Q2474" s="91" t="n"/>
      <c r="R2474" s="91" t="n"/>
      <c r="S2474" s="91" t="n"/>
      <c r="T2474" s="25">
        <f>DAY(C2474)</f>
        <v/>
      </c>
      <c r="U2474" s="22">
        <f>MONTH(C2474)</f>
        <v/>
      </c>
      <c r="V2474" s="91" t="n"/>
      <c r="W2474" s="91" t="n"/>
      <c r="X2474" s="91" t="n"/>
      <c r="Y2474" s="91" t="n"/>
      <c r="Z2474" s="91" t="n"/>
    </row>
    <row r="2475" ht="12.75" customHeight="1" s="117">
      <c r="A2475" s="91" t="n"/>
      <c r="B2475" s="91" t="n"/>
      <c r="C2475" s="91" t="n"/>
      <c r="D2475" s="91" t="n"/>
      <c r="E2475" s="91" t="n"/>
      <c r="F2475" s="91" t="n"/>
      <c r="G2475" s="91" t="n"/>
      <c r="H2475" s="91" t="n"/>
      <c r="I2475" s="91" t="n"/>
      <c r="J2475" s="91" t="n"/>
      <c r="K2475" s="91" t="n"/>
      <c r="L2475" s="91" t="n"/>
      <c r="M2475" s="91" t="n"/>
      <c r="N2475" s="91" t="n"/>
      <c r="O2475" s="91" t="n"/>
      <c r="P2475" s="91" t="n"/>
      <c r="Q2475" s="91" t="n"/>
      <c r="R2475" s="91" t="n"/>
      <c r="S2475" s="91" t="n"/>
      <c r="T2475" s="25">
        <f>DAY(C2475)</f>
        <v/>
      </c>
      <c r="U2475" s="22">
        <f>MONTH(C2475)</f>
        <v/>
      </c>
      <c r="V2475" s="91" t="n"/>
      <c r="W2475" s="91" t="n"/>
      <c r="X2475" s="91" t="n"/>
      <c r="Y2475" s="91" t="n"/>
      <c r="Z2475" s="91" t="n"/>
    </row>
    <row r="2476" ht="12.75" customHeight="1" s="117">
      <c r="A2476" s="91" t="n"/>
      <c r="B2476" s="91" t="n"/>
      <c r="C2476" s="91" t="n"/>
      <c r="D2476" s="91" t="n"/>
      <c r="E2476" s="91" t="n"/>
      <c r="F2476" s="91" t="n"/>
      <c r="G2476" s="91" t="n"/>
      <c r="H2476" s="91" t="n"/>
      <c r="I2476" s="91" t="n"/>
      <c r="J2476" s="91" t="n"/>
      <c r="K2476" s="91" t="n"/>
      <c r="L2476" s="91" t="n"/>
      <c r="M2476" s="91" t="n"/>
      <c r="N2476" s="91" t="n"/>
      <c r="O2476" s="91" t="n"/>
      <c r="P2476" s="91" t="n"/>
      <c r="Q2476" s="91" t="n"/>
      <c r="R2476" s="91" t="n"/>
      <c r="S2476" s="91" t="n"/>
      <c r="T2476" s="25">
        <f>DAY(C2476)</f>
        <v/>
      </c>
      <c r="U2476" s="22">
        <f>MONTH(C2476)</f>
        <v/>
      </c>
      <c r="V2476" s="91" t="n"/>
      <c r="W2476" s="91" t="n"/>
      <c r="X2476" s="91" t="n"/>
      <c r="Y2476" s="91" t="n"/>
      <c r="Z2476" s="91" t="n"/>
    </row>
    <row r="2477" ht="12.75" customHeight="1" s="117">
      <c r="A2477" s="91" t="n"/>
      <c r="B2477" s="91" t="n"/>
      <c r="C2477" s="91" t="n"/>
      <c r="D2477" s="91" t="n"/>
      <c r="E2477" s="91" t="n"/>
      <c r="F2477" s="91" t="n"/>
      <c r="G2477" s="91" t="n"/>
      <c r="H2477" s="91" t="n"/>
      <c r="I2477" s="91" t="n"/>
      <c r="J2477" s="91" t="n"/>
      <c r="K2477" s="91" t="n"/>
      <c r="L2477" s="91" t="n"/>
      <c r="M2477" s="91" t="n"/>
      <c r="N2477" s="91" t="n"/>
      <c r="O2477" s="91" t="n"/>
      <c r="P2477" s="91" t="n"/>
      <c r="Q2477" s="91" t="n"/>
      <c r="R2477" s="91" t="n"/>
      <c r="S2477" s="91" t="n"/>
      <c r="T2477" s="25">
        <f>DAY(C2477)</f>
        <v/>
      </c>
      <c r="U2477" s="22">
        <f>MONTH(C2477)</f>
        <v/>
      </c>
      <c r="V2477" s="91" t="n"/>
      <c r="W2477" s="91" t="n"/>
      <c r="X2477" s="91" t="n"/>
      <c r="Y2477" s="91" t="n"/>
      <c r="Z2477" s="91" t="n"/>
    </row>
    <row r="2478" ht="12.75" customHeight="1" s="117">
      <c r="A2478" s="91" t="n"/>
      <c r="B2478" s="91" t="n"/>
      <c r="C2478" s="91" t="n"/>
      <c r="D2478" s="91" t="n"/>
      <c r="E2478" s="91" t="n"/>
      <c r="F2478" s="91" t="n"/>
      <c r="G2478" s="91" t="n"/>
      <c r="H2478" s="91" t="n"/>
      <c r="I2478" s="91" t="n"/>
      <c r="J2478" s="91" t="n"/>
      <c r="K2478" s="91" t="n"/>
      <c r="L2478" s="91" t="n"/>
      <c r="M2478" s="91" t="n"/>
      <c r="N2478" s="91" t="n"/>
      <c r="O2478" s="91" t="n"/>
      <c r="P2478" s="91" t="n"/>
      <c r="Q2478" s="91" t="n"/>
      <c r="R2478" s="91" t="n"/>
      <c r="S2478" s="91" t="n"/>
      <c r="T2478" s="25">
        <f>DAY(C2478)</f>
        <v/>
      </c>
      <c r="U2478" s="22">
        <f>MONTH(C2478)</f>
        <v/>
      </c>
      <c r="V2478" s="91" t="n"/>
      <c r="W2478" s="91" t="n"/>
      <c r="X2478" s="91" t="n"/>
      <c r="Y2478" s="91" t="n"/>
      <c r="Z2478" s="91" t="n"/>
    </row>
    <row r="2479" ht="12.75" customHeight="1" s="117">
      <c r="A2479" s="91" t="n"/>
      <c r="B2479" s="91" t="n"/>
      <c r="C2479" s="91" t="n"/>
      <c r="D2479" s="91" t="n"/>
      <c r="E2479" s="91" t="n"/>
      <c r="F2479" s="91" t="n"/>
      <c r="G2479" s="91" t="n"/>
      <c r="H2479" s="91" t="n"/>
      <c r="I2479" s="91" t="n"/>
      <c r="J2479" s="91" t="n"/>
      <c r="K2479" s="91" t="n"/>
      <c r="L2479" s="91" t="n"/>
      <c r="M2479" s="91" t="n"/>
      <c r="N2479" s="91" t="n"/>
      <c r="O2479" s="91" t="n"/>
      <c r="P2479" s="91" t="n"/>
      <c r="Q2479" s="91" t="n"/>
      <c r="R2479" s="91" t="n"/>
      <c r="S2479" s="91" t="n"/>
      <c r="T2479" s="25">
        <f>DAY(C2479)</f>
        <v/>
      </c>
      <c r="U2479" s="22">
        <f>MONTH(C2479)</f>
        <v/>
      </c>
      <c r="V2479" s="91" t="n"/>
      <c r="W2479" s="91" t="n"/>
      <c r="X2479" s="91" t="n"/>
      <c r="Y2479" s="91" t="n"/>
      <c r="Z2479" s="91" t="n"/>
    </row>
    <row r="2480" ht="12.75" customHeight="1" s="117">
      <c r="A2480" s="91" t="n"/>
      <c r="B2480" s="91" t="n"/>
      <c r="C2480" s="91" t="n"/>
      <c r="D2480" s="91" t="n"/>
      <c r="E2480" s="91" t="n"/>
      <c r="F2480" s="91" t="n"/>
      <c r="G2480" s="91" t="n"/>
      <c r="H2480" s="91" t="n"/>
      <c r="I2480" s="91" t="n"/>
      <c r="J2480" s="91" t="n"/>
      <c r="K2480" s="91" t="n"/>
      <c r="L2480" s="91" t="n"/>
      <c r="M2480" s="91" t="n"/>
      <c r="N2480" s="91" t="n"/>
      <c r="O2480" s="91" t="n"/>
      <c r="P2480" s="91" t="n"/>
      <c r="Q2480" s="91" t="n"/>
      <c r="R2480" s="91" t="n"/>
      <c r="S2480" s="91" t="n"/>
      <c r="T2480" s="25">
        <f>DAY(C2480)</f>
        <v/>
      </c>
      <c r="U2480" s="22">
        <f>MONTH(C2480)</f>
        <v/>
      </c>
      <c r="V2480" s="91" t="n"/>
      <c r="W2480" s="91" t="n"/>
      <c r="X2480" s="91" t="n"/>
      <c r="Y2480" s="91" t="n"/>
      <c r="Z2480" s="91" t="n"/>
    </row>
    <row r="2481" ht="12.75" customHeight="1" s="117">
      <c r="A2481" s="91" t="n"/>
      <c r="B2481" s="91" t="n"/>
      <c r="C2481" s="91" t="n"/>
      <c r="D2481" s="91" t="n"/>
      <c r="E2481" s="91" t="n"/>
      <c r="F2481" s="91" t="n"/>
      <c r="G2481" s="91" t="n"/>
      <c r="H2481" s="91" t="n"/>
      <c r="I2481" s="91" t="n"/>
      <c r="J2481" s="91" t="n"/>
      <c r="K2481" s="91" t="n"/>
      <c r="L2481" s="91" t="n"/>
      <c r="M2481" s="91" t="n"/>
      <c r="N2481" s="91" t="n"/>
      <c r="O2481" s="91" t="n"/>
      <c r="P2481" s="91" t="n"/>
      <c r="Q2481" s="91" t="n"/>
      <c r="R2481" s="91" t="n"/>
      <c r="S2481" s="91" t="n"/>
      <c r="T2481" s="25">
        <f>DAY(C2481)</f>
        <v/>
      </c>
      <c r="U2481" s="22">
        <f>MONTH(C2481)</f>
        <v/>
      </c>
      <c r="V2481" s="91" t="n"/>
      <c r="W2481" s="91" t="n"/>
      <c r="X2481" s="91" t="n"/>
      <c r="Y2481" s="91" t="n"/>
      <c r="Z2481" s="91" t="n"/>
    </row>
    <row r="2482" ht="12.75" customHeight="1" s="117">
      <c r="A2482" s="91" t="n"/>
      <c r="B2482" s="91" t="n"/>
      <c r="C2482" s="91" t="n"/>
      <c r="D2482" s="91" t="n"/>
      <c r="E2482" s="91" t="n"/>
      <c r="F2482" s="91" t="n"/>
      <c r="G2482" s="91" t="n"/>
      <c r="H2482" s="91" t="n"/>
      <c r="I2482" s="91" t="n"/>
      <c r="J2482" s="91" t="n"/>
      <c r="K2482" s="91" t="n"/>
      <c r="L2482" s="91" t="n"/>
      <c r="M2482" s="91" t="n"/>
      <c r="N2482" s="91" t="n"/>
      <c r="O2482" s="91" t="n"/>
      <c r="P2482" s="91" t="n"/>
      <c r="Q2482" s="91" t="n"/>
      <c r="R2482" s="91" t="n"/>
      <c r="S2482" s="91" t="n"/>
      <c r="T2482" s="25">
        <f>DAY(C2482)</f>
        <v/>
      </c>
      <c r="U2482" s="22">
        <f>MONTH(C2482)</f>
        <v/>
      </c>
      <c r="V2482" s="91" t="n"/>
      <c r="W2482" s="91" t="n"/>
      <c r="X2482" s="91" t="n"/>
      <c r="Y2482" s="91" t="n"/>
      <c r="Z2482" s="91" t="n"/>
    </row>
    <row r="2483" ht="12.75" customHeight="1" s="117">
      <c r="A2483" s="91" t="n"/>
      <c r="B2483" s="91" t="n"/>
      <c r="C2483" s="91" t="n"/>
      <c r="D2483" s="91" t="n"/>
      <c r="E2483" s="91" t="n"/>
      <c r="F2483" s="91" t="n"/>
      <c r="G2483" s="91" t="n"/>
      <c r="H2483" s="91" t="n"/>
      <c r="I2483" s="91" t="n"/>
      <c r="J2483" s="91" t="n"/>
      <c r="K2483" s="91" t="n"/>
      <c r="L2483" s="91" t="n"/>
      <c r="M2483" s="91" t="n"/>
      <c r="N2483" s="91" t="n"/>
      <c r="O2483" s="91" t="n"/>
      <c r="P2483" s="91" t="n"/>
      <c r="Q2483" s="91" t="n"/>
      <c r="R2483" s="91" t="n"/>
      <c r="S2483" s="91" t="n"/>
      <c r="T2483" s="25">
        <f>DAY(C2483)</f>
        <v/>
      </c>
      <c r="U2483" s="22">
        <f>MONTH(C2483)</f>
        <v/>
      </c>
      <c r="V2483" s="91" t="n"/>
      <c r="W2483" s="91" t="n"/>
      <c r="X2483" s="91" t="n"/>
      <c r="Y2483" s="91" t="n"/>
      <c r="Z2483" s="91" t="n"/>
    </row>
    <row r="2484" ht="12.75" customHeight="1" s="117">
      <c r="A2484" s="91" t="n"/>
      <c r="B2484" s="91" t="n"/>
      <c r="C2484" s="91" t="n"/>
      <c r="D2484" s="91" t="n"/>
      <c r="E2484" s="91" t="n"/>
      <c r="F2484" s="91" t="n"/>
      <c r="G2484" s="91" t="n"/>
      <c r="H2484" s="91" t="n"/>
      <c r="I2484" s="91" t="n"/>
      <c r="J2484" s="91" t="n"/>
      <c r="K2484" s="91" t="n"/>
      <c r="L2484" s="91" t="n"/>
      <c r="M2484" s="91" t="n"/>
      <c r="N2484" s="91" t="n"/>
      <c r="O2484" s="91" t="n"/>
      <c r="P2484" s="91" t="n"/>
      <c r="Q2484" s="91" t="n"/>
      <c r="R2484" s="91" t="n"/>
      <c r="S2484" s="91" t="n"/>
      <c r="T2484" s="25">
        <f>DAY(C2484)</f>
        <v/>
      </c>
      <c r="U2484" s="22">
        <f>MONTH(C2484)</f>
        <v/>
      </c>
      <c r="V2484" s="91" t="n"/>
      <c r="W2484" s="91" t="n"/>
      <c r="X2484" s="91" t="n"/>
      <c r="Y2484" s="91" t="n"/>
      <c r="Z2484" s="91" t="n"/>
    </row>
    <row r="2485" ht="12.75" customHeight="1" s="117">
      <c r="A2485" s="91" t="n"/>
      <c r="B2485" s="91" t="n"/>
      <c r="C2485" s="91" t="n"/>
      <c r="D2485" s="91" t="n"/>
      <c r="E2485" s="91" t="n"/>
      <c r="F2485" s="91" t="n"/>
      <c r="G2485" s="91" t="n"/>
      <c r="H2485" s="91" t="n"/>
      <c r="I2485" s="91" t="n"/>
      <c r="J2485" s="91" t="n"/>
      <c r="K2485" s="91" t="n"/>
      <c r="L2485" s="91" t="n"/>
      <c r="M2485" s="91" t="n"/>
      <c r="N2485" s="91" t="n"/>
      <c r="O2485" s="91" t="n"/>
      <c r="P2485" s="91" t="n"/>
      <c r="Q2485" s="91" t="n"/>
      <c r="R2485" s="91" t="n"/>
      <c r="S2485" s="91" t="n"/>
      <c r="T2485" s="25">
        <f>DAY(C2485)</f>
        <v/>
      </c>
      <c r="U2485" s="22">
        <f>MONTH(C2485)</f>
        <v/>
      </c>
      <c r="V2485" s="91" t="n"/>
      <c r="W2485" s="91" t="n"/>
      <c r="X2485" s="91" t="n"/>
      <c r="Y2485" s="91" t="n"/>
      <c r="Z2485" s="91" t="n"/>
    </row>
    <row r="2486" ht="12.75" customHeight="1" s="117">
      <c r="A2486" s="91" t="n"/>
      <c r="B2486" s="91" t="n"/>
      <c r="C2486" s="91" t="n"/>
      <c r="D2486" s="91" t="n"/>
      <c r="E2486" s="91" t="n"/>
      <c r="F2486" s="91" t="n"/>
      <c r="G2486" s="91" t="n"/>
      <c r="H2486" s="91" t="n"/>
      <c r="I2486" s="91" t="n"/>
      <c r="J2486" s="91" t="n"/>
      <c r="K2486" s="91" t="n"/>
      <c r="L2486" s="91" t="n"/>
      <c r="M2486" s="91" t="n"/>
      <c r="N2486" s="91" t="n"/>
      <c r="O2486" s="91" t="n"/>
      <c r="P2486" s="91" t="n"/>
      <c r="Q2486" s="91" t="n"/>
      <c r="R2486" s="91" t="n"/>
      <c r="S2486" s="91" t="n"/>
      <c r="T2486" s="25">
        <f>DAY(C2486)</f>
        <v/>
      </c>
      <c r="U2486" s="22">
        <f>MONTH(C2486)</f>
        <v/>
      </c>
      <c r="V2486" s="91" t="n"/>
      <c r="W2486" s="91" t="n"/>
      <c r="X2486" s="91" t="n"/>
      <c r="Y2486" s="91" t="n"/>
      <c r="Z2486" s="91" t="n"/>
    </row>
    <row r="2487" ht="12.75" customHeight="1" s="117">
      <c r="A2487" s="91" t="n"/>
      <c r="B2487" s="91" t="n"/>
      <c r="C2487" s="91" t="n"/>
      <c r="D2487" s="91" t="n"/>
      <c r="E2487" s="91" t="n"/>
      <c r="F2487" s="91" t="n"/>
      <c r="G2487" s="91" t="n"/>
      <c r="H2487" s="91" t="n"/>
      <c r="I2487" s="91" t="n"/>
      <c r="J2487" s="91" t="n"/>
      <c r="K2487" s="91" t="n"/>
      <c r="L2487" s="91" t="n"/>
      <c r="M2487" s="91" t="n"/>
      <c r="N2487" s="91" t="n"/>
      <c r="O2487" s="91" t="n"/>
      <c r="P2487" s="91" t="n"/>
      <c r="Q2487" s="91" t="n"/>
      <c r="R2487" s="91" t="n"/>
      <c r="S2487" s="91" t="n"/>
      <c r="T2487" s="25">
        <f>DAY(C2487)</f>
        <v/>
      </c>
      <c r="U2487" s="22">
        <f>MONTH(C2487)</f>
        <v/>
      </c>
      <c r="V2487" s="91" t="n"/>
      <c r="W2487" s="91" t="n"/>
      <c r="X2487" s="91" t="n"/>
      <c r="Y2487" s="91" t="n"/>
      <c r="Z2487" s="91" t="n"/>
    </row>
    <row r="2488" ht="12.75" customHeight="1" s="117">
      <c r="A2488" s="91" t="n"/>
      <c r="B2488" s="91" t="n"/>
      <c r="C2488" s="91" t="n"/>
      <c r="D2488" s="91" t="n"/>
      <c r="E2488" s="91" t="n"/>
      <c r="F2488" s="91" t="n"/>
      <c r="G2488" s="91" t="n"/>
      <c r="H2488" s="91" t="n"/>
      <c r="I2488" s="91" t="n"/>
      <c r="J2488" s="91" t="n"/>
      <c r="K2488" s="91" t="n"/>
      <c r="L2488" s="91" t="n"/>
      <c r="M2488" s="91" t="n"/>
      <c r="N2488" s="91" t="n"/>
      <c r="O2488" s="91" t="n"/>
      <c r="P2488" s="91" t="n"/>
      <c r="Q2488" s="91" t="n"/>
      <c r="R2488" s="91" t="n"/>
      <c r="S2488" s="91" t="n"/>
      <c r="T2488" s="25">
        <f>DAY(C2488)</f>
        <v/>
      </c>
      <c r="U2488" s="22">
        <f>MONTH(C2488)</f>
        <v/>
      </c>
      <c r="V2488" s="91" t="n"/>
      <c r="W2488" s="91" t="n"/>
      <c r="X2488" s="91" t="n"/>
      <c r="Y2488" s="91" t="n"/>
      <c r="Z2488" s="91" t="n"/>
    </row>
    <row r="2489" ht="12.75" customHeight="1" s="117">
      <c r="A2489" s="91" t="n"/>
      <c r="B2489" s="91" t="n"/>
      <c r="C2489" s="91" t="n"/>
      <c r="D2489" s="91" t="n"/>
      <c r="E2489" s="91" t="n"/>
      <c r="F2489" s="91" t="n"/>
      <c r="G2489" s="91" t="n"/>
      <c r="H2489" s="91" t="n"/>
      <c r="I2489" s="91" t="n"/>
      <c r="J2489" s="91" t="n"/>
      <c r="K2489" s="91" t="n"/>
      <c r="L2489" s="91" t="n"/>
      <c r="M2489" s="91" t="n"/>
      <c r="N2489" s="91" t="n"/>
      <c r="O2489" s="91" t="n"/>
      <c r="P2489" s="91" t="n"/>
      <c r="Q2489" s="91" t="n"/>
      <c r="R2489" s="91" t="n"/>
      <c r="S2489" s="91" t="n"/>
      <c r="T2489" s="25">
        <f>DAY(C2489)</f>
        <v/>
      </c>
      <c r="U2489" s="22">
        <f>MONTH(C2489)</f>
        <v/>
      </c>
      <c r="V2489" s="91" t="n"/>
      <c r="W2489" s="91" t="n"/>
      <c r="X2489" s="91" t="n"/>
      <c r="Y2489" s="91" t="n"/>
      <c r="Z2489" s="91" t="n"/>
    </row>
    <row r="2490" ht="12.75" customHeight="1" s="117">
      <c r="A2490" s="91" t="n"/>
      <c r="B2490" s="91" t="n"/>
      <c r="C2490" s="91" t="n"/>
      <c r="D2490" s="91" t="n"/>
      <c r="E2490" s="91" t="n"/>
      <c r="F2490" s="91" t="n"/>
      <c r="G2490" s="91" t="n"/>
      <c r="H2490" s="91" t="n"/>
      <c r="I2490" s="91" t="n"/>
      <c r="J2490" s="91" t="n"/>
      <c r="K2490" s="91" t="n"/>
      <c r="L2490" s="91" t="n"/>
      <c r="M2490" s="91" t="n"/>
      <c r="N2490" s="91" t="n"/>
      <c r="O2490" s="91" t="n"/>
      <c r="P2490" s="91" t="n"/>
      <c r="Q2490" s="91" t="n"/>
      <c r="R2490" s="91" t="n"/>
      <c r="S2490" s="91" t="n"/>
      <c r="T2490" s="25">
        <f>DAY(C2490)</f>
        <v/>
      </c>
      <c r="U2490" s="22">
        <f>MONTH(C2490)</f>
        <v/>
      </c>
      <c r="V2490" s="91" t="n"/>
      <c r="W2490" s="91" t="n"/>
      <c r="X2490" s="91" t="n"/>
      <c r="Y2490" s="91" t="n"/>
      <c r="Z2490" s="91" t="n"/>
    </row>
    <row r="2491" ht="12.75" customHeight="1" s="117">
      <c r="A2491" s="91" t="n"/>
      <c r="B2491" s="91" t="n"/>
      <c r="C2491" s="91" t="n"/>
      <c r="D2491" s="91" t="n"/>
      <c r="E2491" s="91" t="n"/>
      <c r="F2491" s="91" t="n"/>
      <c r="G2491" s="91" t="n"/>
      <c r="H2491" s="91" t="n"/>
      <c r="I2491" s="91" t="n"/>
      <c r="J2491" s="91" t="n"/>
      <c r="K2491" s="91" t="n"/>
      <c r="L2491" s="91" t="n"/>
      <c r="M2491" s="91" t="n"/>
      <c r="N2491" s="91" t="n"/>
      <c r="O2491" s="91" t="n"/>
      <c r="P2491" s="91" t="n"/>
      <c r="Q2491" s="91" t="n"/>
      <c r="R2491" s="91" t="n"/>
      <c r="S2491" s="91" t="n"/>
      <c r="T2491" s="25">
        <f>DAY(C2491)</f>
        <v/>
      </c>
      <c r="U2491" s="22">
        <f>MONTH(C2491)</f>
        <v/>
      </c>
      <c r="V2491" s="91" t="n"/>
      <c r="W2491" s="91" t="n"/>
      <c r="X2491" s="91" t="n"/>
      <c r="Y2491" s="91" t="n"/>
      <c r="Z2491" s="91" t="n"/>
    </row>
    <row r="2492" ht="12.75" customHeight="1" s="117">
      <c r="A2492" s="91" t="n"/>
      <c r="B2492" s="91" t="n"/>
      <c r="C2492" s="91" t="n"/>
      <c r="D2492" s="91" t="n"/>
      <c r="E2492" s="91" t="n"/>
      <c r="F2492" s="91" t="n"/>
      <c r="G2492" s="91" t="n"/>
      <c r="H2492" s="91" t="n"/>
      <c r="I2492" s="91" t="n"/>
      <c r="J2492" s="91" t="n"/>
      <c r="K2492" s="91" t="n"/>
      <c r="L2492" s="91" t="n"/>
      <c r="M2492" s="91" t="n"/>
      <c r="N2492" s="91" t="n"/>
      <c r="O2492" s="91" t="n"/>
      <c r="P2492" s="91" t="n"/>
      <c r="Q2492" s="91" t="n"/>
      <c r="R2492" s="91" t="n"/>
      <c r="S2492" s="91" t="n"/>
      <c r="T2492" s="25">
        <f>DAY(C2492)</f>
        <v/>
      </c>
      <c r="U2492" s="22">
        <f>MONTH(C2492)</f>
        <v/>
      </c>
      <c r="V2492" s="91" t="n"/>
      <c r="W2492" s="91" t="n"/>
      <c r="X2492" s="91" t="n"/>
      <c r="Y2492" s="91" t="n"/>
      <c r="Z2492" s="91" t="n"/>
    </row>
    <row r="2493" ht="12.75" customHeight="1" s="117">
      <c r="A2493" s="91" t="n"/>
      <c r="B2493" s="91" t="n"/>
      <c r="C2493" s="91" t="n"/>
      <c r="D2493" s="91" t="n"/>
      <c r="E2493" s="91" t="n"/>
      <c r="F2493" s="91" t="n"/>
      <c r="G2493" s="91" t="n"/>
      <c r="H2493" s="91" t="n"/>
      <c r="I2493" s="91" t="n"/>
      <c r="J2493" s="91" t="n"/>
      <c r="K2493" s="91" t="n"/>
      <c r="L2493" s="91" t="n"/>
      <c r="M2493" s="91" t="n"/>
      <c r="N2493" s="91" t="n"/>
      <c r="O2493" s="91" t="n"/>
      <c r="P2493" s="91" t="n"/>
      <c r="Q2493" s="91" t="n"/>
      <c r="R2493" s="91" t="n"/>
      <c r="S2493" s="91" t="n"/>
      <c r="T2493" s="25">
        <f>DAY(C2493)</f>
        <v/>
      </c>
      <c r="U2493" s="22">
        <f>MONTH(C2493)</f>
        <v/>
      </c>
      <c r="V2493" s="91" t="n"/>
      <c r="W2493" s="91" t="n"/>
      <c r="X2493" s="91" t="n"/>
      <c r="Y2493" s="91" t="n"/>
      <c r="Z2493" s="91" t="n"/>
    </row>
    <row r="2494" ht="12.75" customHeight="1" s="117">
      <c r="A2494" s="91" t="n"/>
      <c r="B2494" s="91" t="n"/>
      <c r="C2494" s="91" t="n"/>
      <c r="D2494" s="91" t="n"/>
      <c r="E2494" s="91" t="n"/>
      <c r="F2494" s="91" t="n"/>
      <c r="G2494" s="91" t="n"/>
      <c r="H2494" s="91" t="n"/>
      <c r="I2494" s="91" t="n"/>
      <c r="J2494" s="91" t="n"/>
      <c r="K2494" s="91" t="n"/>
      <c r="L2494" s="91" t="n"/>
      <c r="M2494" s="91" t="n"/>
      <c r="N2494" s="91" t="n"/>
      <c r="O2494" s="91" t="n"/>
      <c r="P2494" s="91" t="n"/>
      <c r="Q2494" s="91" t="n"/>
      <c r="R2494" s="91" t="n"/>
      <c r="S2494" s="91" t="n"/>
      <c r="T2494" s="25">
        <f>DAY(C2494)</f>
        <v/>
      </c>
      <c r="U2494" s="22">
        <f>MONTH(C2494)</f>
        <v/>
      </c>
      <c r="V2494" s="91" t="n"/>
      <c r="W2494" s="91" t="n"/>
      <c r="X2494" s="91" t="n"/>
      <c r="Y2494" s="91" t="n"/>
      <c r="Z2494" s="91" t="n"/>
    </row>
    <row r="2495" ht="12.75" customHeight="1" s="117">
      <c r="A2495" s="91" t="n"/>
      <c r="B2495" s="91" t="n"/>
      <c r="C2495" s="91" t="n"/>
      <c r="D2495" s="91" t="n"/>
      <c r="E2495" s="91" t="n"/>
      <c r="F2495" s="91" t="n"/>
      <c r="G2495" s="91" t="n"/>
      <c r="H2495" s="91" t="n"/>
      <c r="I2495" s="91" t="n"/>
      <c r="J2495" s="91" t="n"/>
      <c r="K2495" s="91" t="n"/>
      <c r="L2495" s="91" t="n"/>
      <c r="M2495" s="91" t="n"/>
      <c r="N2495" s="91" t="n"/>
      <c r="O2495" s="91" t="n"/>
      <c r="P2495" s="91" t="n"/>
      <c r="Q2495" s="91" t="n"/>
      <c r="R2495" s="91" t="n"/>
      <c r="S2495" s="91" t="n"/>
      <c r="T2495" s="25">
        <f>DAY(C2495)</f>
        <v/>
      </c>
      <c r="U2495" s="22">
        <f>MONTH(C2495)</f>
        <v/>
      </c>
      <c r="V2495" s="91" t="n"/>
      <c r="W2495" s="91" t="n"/>
      <c r="X2495" s="91" t="n"/>
      <c r="Y2495" s="91" t="n"/>
      <c r="Z2495" s="91" t="n"/>
    </row>
    <row r="2496" ht="12.75" customHeight="1" s="117">
      <c r="A2496" s="91" t="n"/>
      <c r="B2496" s="91" t="n"/>
      <c r="C2496" s="91" t="n"/>
      <c r="D2496" s="91" t="n"/>
      <c r="E2496" s="91" t="n"/>
      <c r="F2496" s="91" t="n"/>
      <c r="G2496" s="91" t="n"/>
      <c r="H2496" s="91" t="n"/>
      <c r="I2496" s="91" t="n"/>
      <c r="J2496" s="91" t="n"/>
      <c r="K2496" s="91" t="n"/>
      <c r="L2496" s="91" t="n"/>
      <c r="M2496" s="91" t="n"/>
      <c r="N2496" s="91" t="n"/>
      <c r="O2496" s="91" t="n"/>
      <c r="P2496" s="91" t="n"/>
      <c r="Q2496" s="91" t="n"/>
      <c r="R2496" s="91" t="n"/>
      <c r="S2496" s="91" t="n"/>
      <c r="T2496" s="25">
        <f>DAY(C2496)</f>
        <v/>
      </c>
      <c r="U2496" s="22">
        <f>MONTH(C2496)</f>
        <v/>
      </c>
      <c r="V2496" s="91" t="n"/>
      <c r="W2496" s="91" t="n"/>
      <c r="X2496" s="91" t="n"/>
      <c r="Y2496" s="91" t="n"/>
      <c r="Z2496" s="91" t="n"/>
    </row>
    <row r="2497" ht="12.75" customHeight="1" s="117">
      <c r="A2497" s="91" t="n"/>
      <c r="B2497" s="91" t="n"/>
      <c r="C2497" s="91" t="n"/>
      <c r="D2497" s="91" t="n"/>
      <c r="E2497" s="91" t="n"/>
      <c r="F2497" s="91" t="n"/>
      <c r="G2497" s="91" t="n"/>
      <c r="H2497" s="91" t="n"/>
      <c r="I2497" s="91" t="n"/>
      <c r="J2497" s="91" t="n"/>
      <c r="K2497" s="91" t="n"/>
      <c r="L2497" s="91" t="n"/>
      <c r="M2497" s="91" t="n"/>
      <c r="N2497" s="91" t="n"/>
      <c r="O2497" s="91" t="n"/>
      <c r="P2497" s="91" t="n"/>
      <c r="Q2497" s="91" t="n"/>
      <c r="R2497" s="91" t="n"/>
      <c r="S2497" s="91" t="n"/>
      <c r="T2497" s="25">
        <f>DAY(C2497)</f>
        <v/>
      </c>
      <c r="U2497" s="22">
        <f>MONTH(C2497)</f>
        <v/>
      </c>
      <c r="V2497" s="91" t="n"/>
      <c r="W2497" s="91" t="n"/>
      <c r="X2497" s="91" t="n"/>
      <c r="Y2497" s="91" t="n"/>
      <c r="Z2497" s="91" t="n"/>
    </row>
    <row r="2498" ht="12.75" customHeight="1" s="117">
      <c r="A2498" s="91" t="n"/>
      <c r="B2498" s="91" t="n"/>
      <c r="C2498" s="91" t="n"/>
      <c r="D2498" s="91" t="n"/>
      <c r="E2498" s="91" t="n"/>
      <c r="F2498" s="91" t="n"/>
      <c r="G2498" s="91" t="n"/>
      <c r="H2498" s="91" t="n"/>
      <c r="I2498" s="91" t="n"/>
      <c r="J2498" s="91" t="n"/>
      <c r="K2498" s="91" t="n"/>
      <c r="L2498" s="91" t="n"/>
      <c r="M2498" s="91" t="n"/>
      <c r="N2498" s="91" t="n"/>
      <c r="O2498" s="91" t="n"/>
      <c r="P2498" s="91" t="n"/>
      <c r="Q2498" s="91" t="n"/>
      <c r="R2498" s="91" t="n"/>
      <c r="S2498" s="91" t="n"/>
      <c r="T2498" s="25">
        <f>DAY(C2498)</f>
        <v/>
      </c>
      <c r="U2498" s="22">
        <f>MONTH(C2498)</f>
        <v/>
      </c>
      <c r="V2498" s="91" t="n"/>
      <c r="W2498" s="91" t="n"/>
      <c r="X2498" s="91" t="n"/>
      <c r="Y2498" s="91" t="n"/>
      <c r="Z2498" s="91" t="n"/>
    </row>
    <row r="2499" ht="12.75" customHeight="1" s="117">
      <c r="A2499" s="91" t="n"/>
      <c r="B2499" s="91" t="n"/>
      <c r="C2499" s="91" t="n"/>
      <c r="D2499" s="91" t="n"/>
      <c r="E2499" s="91" t="n"/>
      <c r="F2499" s="91" t="n"/>
      <c r="G2499" s="91" t="n"/>
      <c r="H2499" s="91" t="n"/>
      <c r="I2499" s="91" t="n"/>
      <c r="J2499" s="91" t="n"/>
      <c r="K2499" s="91" t="n"/>
      <c r="L2499" s="91" t="n"/>
      <c r="M2499" s="91" t="n"/>
      <c r="N2499" s="91" t="n"/>
      <c r="O2499" s="91" t="n"/>
      <c r="P2499" s="91" t="n"/>
      <c r="Q2499" s="91" t="n"/>
      <c r="R2499" s="91" t="n"/>
      <c r="S2499" s="91" t="n"/>
      <c r="T2499" s="25">
        <f>DAY(C2499)</f>
        <v/>
      </c>
      <c r="U2499" s="22">
        <f>MONTH(C2499)</f>
        <v/>
      </c>
      <c r="V2499" s="91" t="n"/>
      <c r="W2499" s="91" t="n"/>
      <c r="X2499" s="91" t="n"/>
      <c r="Y2499" s="91" t="n"/>
      <c r="Z2499" s="91" t="n"/>
    </row>
    <row r="2500" ht="12.75" customHeight="1" s="117">
      <c r="A2500" s="91" t="n"/>
      <c r="B2500" s="91" t="n"/>
      <c r="C2500" s="91" t="n"/>
      <c r="D2500" s="91" t="n"/>
      <c r="E2500" s="91" t="n"/>
      <c r="F2500" s="91" t="n"/>
      <c r="G2500" s="91" t="n"/>
      <c r="H2500" s="91" t="n"/>
      <c r="I2500" s="91" t="n"/>
      <c r="J2500" s="91" t="n"/>
      <c r="K2500" s="91" t="n"/>
      <c r="L2500" s="91" t="n"/>
      <c r="M2500" s="91" t="n"/>
      <c r="N2500" s="91" t="n"/>
      <c r="O2500" s="91" t="n"/>
      <c r="P2500" s="91" t="n"/>
      <c r="Q2500" s="91" t="n"/>
      <c r="R2500" s="91" t="n"/>
      <c r="S2500" s="91" t="n"/>
      <c r="T2500" s="25">
        <f>DAY(C2500)</f>
        <v/>
      </c>
      <c r="U2500" s="22">
        <f>MONTH(C2500)</f>
        <v/>
      </c>
      <c r="V2500" s="91" t="n"/>
      <c r="W2500" s="91" t="n"/>
      <c r="X2500" s="91" t="n"/>
      <c r="Y2500" s="91" t="n"/>
      <c r="Z2500" s="91" t="n"/>
    </row>
    <row r="2501" ht="12.75" customHeight="1" s="117">
      <c r="A2501" s="91" t="n"/>
      <c r="B2501" s="91" t="n"/>
      <c r="C2501" s="91" t="n"/>
      <c r="D2501" s="91" t="n"/>
      <c r="E2501" s="91" t="n"/>
      <c r="F2501" s="91" t="n"/>
      <c r="G2501" s="91" t="n"/>
      <c r="H2501" s="91" t="n"/>
      <c r="I2501" s="91" t="n"/>
      <c r="J2501" s="91" t="n"/>
      <c r="K2501" s="91" t="n"/>
      <c r="L2501" s="91" t="n"/>
      <c r="M2501" s="91" t="n"/>
      <c r="N2501" s="91" t="n"/>
      <c r="O2501" s="91" t="n"/>
      <c r="P2501" s="91" t="n"/>
      <c r="Q2501" s="91" t="n"/>
      <c r="R2501" s="91" t="n"/>
      <c r="S2501" s="91" t="n"/>
      <c r="T2501" s="25">
        <f>DAY(C2501)</f>
        <v/>
      </c>
      <c r="U2501" s="22">
        <f>MONTH(C2501)</f>
        <v/>
      </c>
      <c r="V2501" s="91" t="n"/>
      <c r="W2501" s="91" t="n"/>
      <c r="X2501" s="91" t="n"/>
      <c r="Y2501" s="91" t="n"/>
      <c r="Z2501" s="91" t="n"/>
    </row>
    <row r="2502" ht="12.75" customHeight="1" s="117">
      <c r="A2502" s="91" t="n"/>
      <c r="B2502" s="91" t="n"/>
      <c r="C2502" s="91" t="n"/>
      <c r="D2502" s="91" t="n"/>
      <c r="E2502" s="91" t="n"/>
      <c r="F2502" s="91" t="n"/>
      <c r="G2502" s="91" t="n"/>
      <c r="H2502" s="91" t="n"/>
      <c r="I2502" s="91" t="n"/>
      <c r="J2502" s="91" t="n"/>
      <c r="K2502" s="91" t="n"/>
      <c r="L2502" s="91" t="n"/>
      <c r="M2502" s="91" t="n"/>
      <c r="N2502" s="91" t="n"/>
      <c r="O2502" s="91" t="n"/>
      <c r="P2502" s="91" t="n"/>
      <c r="Q2502" s="91" t="n"/>
      <c r="R2502" s="91" t="n"/>
      <c r="S2502" s="91" t="n"/>
      <c r="T2502" s="25">
        <f>DAY(C2502)</f>
        <v/>
      </c>
      <c r="U2502" s="22">
        <f>MONTH(C2502)</f>
        <v/>
      </c>
      <c r="V2502" s="91" t="n"/>
      <c r="W2502" s="91" t="n"/>
      <c r="X2502" s="91" t="n"/>
      <c r="Y2502" s="91" t="n"/>
      <c r="Z2502" s="91" t="n"/>
    </row>
    <row r="2503" ht="12.75" customHeight="1" s="117">
      <c r="A2503" s="91" t="n"/>
      <c r="B2503" s="91" t="n"/>
      <c r="C2503" s="91" t="n"/>
      <c r="D2503" s="91" t="n"/>
      <c r="E2503" s="91" t="n"/>
      <c r="F2503" s="91" t="n"/>
      <c r="G2503" s="91" t="n"/>
      <c r="H2503" s="91" t="n"/>
      <c r="I2503" s="91" t="n"/>
      <c r="J2503" s="91" t="n"/>
      <c r="K2503" s="91" t="n"/>
      <c r="L2503" s="91" t="n"/>
      <c r="M2503" s="91" t="n"/>
      <c r="N2503" s="91" t="n"/>
      <c r="O2503" s="91" t="n"/>
      <c r="P2503" s="91" t="n"/>
      <c r="Q2503" s="91" t="n"/>
      <c r="R2503" s="91" t="n"/>
      <c r="S2503" s="91" t="n"/>
      <c r="T2503" s="25">
        <f>DAY(C2503)</f>
        <v/>
      </c>
      <c r="U2503" s="22">
        <f>MONTH(C2503)</f>
        <v/>
      </c>
      <c r="V2503" s="91" t="n"/>
      <c r="W2503" s="91" t="n"/>
      <c r="X2503" s="91" t="n"/>
      <c r="Y2503" s="91" t="n"/>
      <c r="Z2503" s="91" t="n"/>
    </row>
    <row r="2504" ht="12.75" customHeight="1" s="117">
      <c r="A2504" s="91" t="n"/>
      <c r="B2504" s="91" t="n"/>
      <c r="C2504" s="91" t="n"/>
      <c r="D2504" s="91" t="n"/>
      <c r="E2504" s="91" t="n"/>
      <c r="F2504" s="91" t="n"/>
      <c r="G2504" s="91" t="n"/>
      <c r="H2504" s="91" t="n"/>
      <c r="I2504" s="91" t="n"/>
      <c r="J2504" s="91" t="n"/>
      <c r="K2504" s="91" t="n"/>
      <c r="L2504" s="91" t="n"/>
      <c r="M2504" s="91" t="n"/>
      <c r="N2504" s="91" t="n"/>
      <c r="O2504" s="91" t="n"/>
      <c r="P2504" s="91" t="n"/>
      <c r="Q2504" s="91" t="n"/>
      <c r="R2504" s="91" t="n"/>
      <c r="S2504" s="91" t="n"/>
      <c r="T2504" s="25">
        <f>DAY(C2504)</f>
        <v/>
      </c>
      <c r="U2504" s="22">
        <f>MONTH(C2504)</f>
        <v/>
      </c>
      <c r="V2504" s="91" t="n"/>
      <c r="W2504" s="91" t="n"/>
      <c r="X2504" s="91" t="n"/>
      <c r="Y2504" s="91" t="n"/>
      <c r="Z2504" s="91" t="n"/>
    </row>
    <row r="2505" ht="12.75" customHeight="1" s="117">
      <c r="A2505" s="91" t="n"/>
      <c r="B2505" s="91" t="n"/>
      <c r="C2505" s="91" t="n"/>
      <c r="D2505" s="91" t="n"/>
      <c r="E2505" s="91" t="n"/>
      <c r="F2505" s="91" t="n"/>
      <c r="G2505" s="91" t="n"/>
      <c r="H2505" s="91" t="n"/>
      <c r="I2505" s="91" t="n"/>
      <c r="J2505" s="91" t="n"/>
      <c r="K2505" s="91" t="n"/>
      <c r="L2505" s="91" t="n"/>
      <c r="M2505" s="91" t="n"/>
      <c r="N2505" s="91" t="n"/>
      <c r="O2505" s="91" t="n"/>
      <c r="P2505" s="91" t="n"/>
      <c r="Q2505" s="91" t="n"/>
      <c r="R2505" s="91" t="n"/>
      <c r="S2505" s="91" t="n"/>
      <c r="T2505" s="25">
        <f>DAY(C2505)</f>
        <v/>
      </c>
      <c r="U2505" s="22">
        <f>MONTH(C2505)</f>
        <v/>
      </c>
      <c r="V2505" s="91" t="n"/>
      <c r="W2505" s="91" t="n"/>
      <c r="X2505" s="91" t="n"/>
      <c r="Y2505" s="91" t="n"/>
      <c r="Z2505" s="91" t="n"/>
    </row>
    <row r="2506" ht="12.75" customHeight="1" s="117">
      <c r="A2506" s="91" t="n"/>
      <c r="B2506" s="91" t="n"/>
      <c r="C2506" s="91" t="n"/>
      <c r="D2506" s="91" t="n"/>
      <c r="E2506" s="91" t="n"/>
      <c r="F2506" s="91" t="n"/>
      <c r="G2506" s="91" t="n"/>
      <c r="H2506" s="91" t="n"/>
      <c r="I2506" s="91" t="n"/>
      <c r="J2506" s="91" t="n"/>
      <c r="K2506" s="91" t="n"/>
      <c r="L2506" s="91" t="n"/>
      <c r="M2506" s="91" t="n"/>
      <c r="N2506" s="91" t="n"/>
      <c r="O2506" s="91" t="n"/>
      <c r="P2506" s="91" t="n"/>
      <c r="Q2506" s="91" t="n"/>
      <c r="R2506" s="91" t="n"/>
      <c r="S2506" s="91" t="n"/>
      <c r="T2506" s="25">
        <f>DAY(C2506)</f>
        <v/>
      </c>
      <c r="U2506" s="22">
        <f>MONTH(C2506)</f>
        <v/>
      </c>
      <c r="V2506" s="91" t="n"/>
      <c r="W2506" s="91" t="n"/>
      <c r="X2506" s="91" t="n"/>
      <c r="Y2506" s="91" t="n"/>
      <c r="Z2506" s="91" t="n"/>
    </row>
    <row r="2507" ht="12.75" customHeight="1" s="117">
      <c r="A2507" s="91" t="n"/>
      <c r="B2507" s="91" t="n"/>
      <c r="C2507" s="91" t="n"/>
      <c r="D2507" s="91" t="n"/>
      <c r="E2507" s="91" t="n"/>
      <c r="F2507" s="91" t="n"/>
      <c r="G2507" s="91" t="n"/>
      <c r="H2507" s="91" t="n"/>
      <c r="I2507" s="91" t="n"/>
      <c r="J2507" s="91" t="n"/>
      <c r="K2507" s="91" t="n"/>
      <c r="L2507" s="91" t="n"/>
      <c r="M2507" s="91" t="n"/>
      <c r="N2507" s="91" t="n"/>
      <c r="O2507" s="91" t="n"/>
      <c r="P2507" s="91" t="n"/>
      <c r="Q2507" s="91" t="n"/>
      <c r="R2507" s="91" t="n"/>
      <c r="S2507" s="91" t="n"/>
      <c r="T2507" s="25">
        <f>DAY(C2507)</f>
        <v/>
      </c>
      <c r="U2507" s="22">
        <f>MONTH(C2507)</f>
        <v/>
      </c>
      <c r="V2507" s="91" t="n"/>
      <c r="W2507" s="91" t="n"/>
      <c r="X2507" s="91" t="n"/>
      <c r="Y2507" s="91" t="n"/>
      <c r="Z2507" s="91" t="n"/>
    </row>
    <row r="2508" ht="12.75" customHeight="1" s="117">
      <c r="A2508" s="91" t="n"/>
      <c r="B2508" s="91" t="n"/>
      <c r="C2508" s="91" t="n"/>
      <c r="D2508" s="91" t="n"/>
      <c r="E2508" s="91" t="n"/>
      <c r="F2508" s="91" t="n"/>
      <c r="G2508" s="91" t="n"/>
      <c r="H2508" s="91" t="n"/>
      <c r="I2508" s="91" t="n"/>
      <c r="J2508" s="91" t="n"/>
      <c r="K2508" s="91" t="n"/>
      <c r="L2508" s="91" t="n"/>
      <c r="M2508" s="91" t="n"/>
      <c r="N2508" s="91" t="n"/>
      <c r="O2508" s="91" t="n"/>
      <c r="P2508" s="91" t="n"/>
      <c r="Q2508" s="91" t="n"/>
      <c r="R2508" s="91" t="n"/>
      <c r="S2508" s="91" t="n"/>
      <c r="T2508" s="25">
        <f>DAY(C2508)</f>
        <v/>
      </c>
      <c r="U2508" s="22">
        <f>MONTH(C2508)</f>
        <v/>
      </c>
      <c r="V2508" s="91" t="n"/>
      <c r="W2508" s="91" t="n"/>
      <c r="X2508" s="91" t="n"/>
      <c r="Y2508" s="91" t="n"/>
      <c r="Z2508" s="91" t="n"/>
    </row>
    <row r="2509" ht="12.75" customHeight="1" s="117">
      <c r="A2509" s="91" t="n"/>
      <c r="B2509" s="91" t="n"/>
      <c r="C2509" s="91" t="n"/>
      <c r="D2509" s="91" t="n"/>
      <c r="E2509" s="91" t="n"/>
      <c r="F2509" s="91" t="n"/>
      <c r="G2509" s="91" t="n"/>
      <c r="H2509" s="91" t="n"/>
      <c r="I2509" s="91" t="n"/>
      <c r="J2509" s="91" t="n"/>
      <c r="K2509" s="91" t="n"/>
      <c r="L2509" s="91" t="n"/>
      <c r="M2509" s="91" t="n"/>
      <c r="N2509" s="91" t="n"/>
      <c r="O2509" s="91" t="n"/>
      <c r="P2509" s="91" t="n"/>
      <c r="Q2509" s="91" t="n"/>
      <c r="R2509" s="91" t="n"/>
      <c r="S2509" s="91" t="n"/>
      <c r="T2509" s="25">
        <f>DAY(C2509)</f>
        <v/>
      </c>
      <c r="U2509" s="22">
        <f>MONTH(C2509)</f>
        <v/>
      </c>
      <c r="V2509" s="91" t="n"/>
      <c r="W2509" s="91" t="n"/>
      <c r="X2509" s="91" t="n"/>
      <c r="Y2509" s="91" t="n"/>
      <c r="Z2509" s="91" t="n"/>
    </row>
    <row r="2510" ht="12.75" customHeight="1" s="117">
      <c r="A2510" s="91" t="n"/>
      <c r="B2510" s="91" t="n"/>
      <c r="C2510" s="91" t="n"/>
      <c r="D2510" s="91" t="n"/>
      <c r="E2510" s="91" t="n"/>
      <c r="F2510" s="91" t="n"/>
      <c r="G2510" s="91" t="n"/>
      <c r="H2510" s="91" t="n"/>
      <c r="I2510" s="91" t="n"/>
      <c r="J2510" s="91" t="n"/>
      <c r="K2510" s="91" t="n"/>
      <c r="L2510" s="91" t="n"/>
      <c r="M2510" s="91" t="n"/>
      <c r="N2510" s="91" t="n"/>
      <c r="O2510" s="91" t="n"/>
      <c r="P2510" s="91" t="n"/>
      <c r="Q2510" s="91" t="n"/>
      <c r="R2510" s="91" t="n"/>
      <c r="S2510" s="91" t="n"/>
      <c r="T2510" s="25">
        <f>DAY(C2510)</f>
        <v/>
      </c>
      <c r="U2510" s="22">
        <f>MONTH(C2510)</f>
        <v/>
      </c>
      <c r="V2510" s="91" t="n"/>
      <c r="W2510" s="91" t="n"/>
      <c r="X2510" s="91" t="n"/>
      <c r="Y2510" s="91" t="n"/>
      <c r="Z2510" s="91" t="n"/>
    </row>
    <row r="2511" ht="12.75" customHeight="1" s="117">
      <c r="A2511" s="91" t="n"/>
      <c r="B2511" s="91" t="n"/>
      <c r="C2511" s="91" t="n"/>
      <c r="D2511" s="91" t="n"/>
      <c r="E2511" s="91" t="n"/>
      <c r="F2511" s="91" t="n"/>
      <c r="G2511" s="91" t="n"/>
      <c r="H2511" s="91" t="n"/>
      <c r="I2511" s="91" t="n"/>
      <c r="J2511" s="91" t="n"/>
      <c r="K2511" s="91" t="n"/>
      <c r="L2511" s="91" t="n"/>
      <c r="M2511" s="91" t="n"/>
      <c r="N2511" s="91" t="n"/>
      <c r="O2511" s="91" t="n"/>
      <c r="P2511" s="91" t="n"/>
      <c r="Q2511" s="91" t="n"/>
      <c r="R2511" s="91" t="n"/>
      <c r="S2511" s="91" t="n"/>
      <c r="T2511" s="25">
        <f>DAY(C2511)</f>
        <v/>
      </c>
      <c r="U2511" s="22">
        <f>MONTH(C2511)</f>
        <v/>
      </c>
      <c r="V2511" s="91" t="n"/>
      <c r="W2511" s="91" t="n"/>
      <c r="X2511" s="91" t="n"/>
      <c r="Y2511" s="91" t="n"/>
      <c r="Z2511" s="91" t="n"/>
    </row>
    <row r="2512" ht="12.75" customHeight="1" s="117">
      <c r="A2512" s="91" t="n"/>
      <c r="B2512" s="91" t="n"/>
      <c r="C2512" s="91" t="n"/>
      <c r="D2512" s="91" t="n"/>
      <c r="E2512" s="91" t="n"/>
      <c r="F2512" s="91" t="n"/>
      <c r="G2512" s="91" t="n"/>
      <c r="H2512" s="91" t="n"/>
      <c r="I2512" s="91" t="n"/>
      <c r="J2512" s="91" t="n"/>
      <c r="K2512" s="91" t="n"/>
      <c r="L2512" s="91" t="n"/>
      <c r="M2512" s="91" t="n"/>
      <c r="N2512" s="91" t="n"/>
      <c r="O2512" s="91" t="n"/>
      <c r="P2512" s="91" t="n"/>
      <c r="Q2512" s="91" t="n"/>
      <c r="R2512" s="91" t="n"/>
      <c r="S2512" s="91" t="n"/>
      <c r="T2512" s="25">
        <f>DAY(C2512)</f>
        <v/>
      </c>
      <c r="U2512" s="22">
        <f>MONTH(C2512)</f>
        <v/>
      </c>
      <c r="V2512" s="91" t="n"/>
      <c r="W2512" s="91" t="n"/>
      <c r="X2512" s="91" t="n"/>
      <c r="Y2512" s="91" t="n"/>
      <c r="Z2512" s="91" t="n"/>
    </row>
    <row r="2513" ht="12.75" customHeight="1" s="117">
      <c r="A2513" s="91" t="n"/>
      <c r="B2513" s="91" t="n"/>
      <c r="C2513" s="91" t="n"/>
      <c r="D2513" s="91" t="n"/>
      <c r="E2513" s="91" t="n"/>
      <c r="F2513" s="91" t="n"/>
      <c r="G2513" s="91" t="n"/>
      <c r="H2513" s="91" t="n"/>
      <c r="I2513" s="91" t="n"/>
      <c r="J2513" s="91" t="n"/>
      <c r="K2513" s="91" t="n"/>
      <c r="L2513" s="91" t="n"/>
      <c r="M2513" s="91" t="n"/>
      <c r="N2513" s="91" t="n"/>
      <c r="O2513" s="91" t="n"/>
      <c r="P2513" s="91" t="n"/>
      <c r="Q2513" s="91" t="n"/>
      <c r="R2513" s="91" t="n"/>
      <c r="S2513" s="91" t="n"/>
      <c r="T2513" s="25">
        <f>DAY(C2513)</f>
        <v/>
      </c>
      <c r="U2513" s="22">
        <f>MONTH(C2513)</f>
        <v/>
      </c>
      <c r="V2513" s="91" t="n"/>
      <c r="W2513" s="91" t="n"/>
      <c r="X2513" s="91" t="n"/>
      <c r="Y2513" s="91" t="n"/>
      <c r="Z2513" s="91" t="n"/>
    </row>
    <row r="2514" ht="12.75" customHeight="1" s="117">
      <c r="A2514" s="91" t="n"/>
      <c r="B2514" s="91" t="n"/>
      <c r="C2514" s="91" t="n"/>
      <c r="D2514" s="91" t="n"/>
      <c r="E2514" s="91" t="n"/>
      <c r="F2514" s="91" t="n"/>
      <c r="G2514" s="91" t="n"/>
      <c r="H2514" s="91" t="n"/>
      <c r="I2514" s="91" t="n"/>
      <c r="J2514" s="91" t="n"/>
      <c r="K2514" s="91" t="n"/>
      <c r="L2514" s="91" t="n"/>
      <c r="M2514" s="91" t="n"/>
      <c r="N2514" s="91" t="n"/>
      <c r="O2514" s="91" t="n"/>
      <c r="P2514" s="91" t="n"/>
      <c r="Q2514" s="91" t="n"/>
      <c r="R2514" s="91" t="n"/>
      <c r="S2514" s="91" t="n"/>
      <c r="T2514" s="25">
        <f>DAY(C2514)</f>
        <v/>
      </c>
      <c r="U2514" s="22">
        <f>MONTH(C2514)</f>
        <v/>
      </c>
      <c r="V2514" s="91" t="n"/>
      <c r="W2514" s="91" t="n"/>
      <c r="X2514" s="91" t="n"/>
      <c r="Y2514" s="91" t="n"/>
      <c r="Z2514" s="91" t="n"/>
    </row>
    <row r="2515" ht="12.75" customHeight="1" s="117">
      <c r="A2515" s="91" t="n"/>
      <c r="B2515" s="91" t="n"/>
      <c r="C2515" s="91" t="n"/>
      <c r="D2515" s="91" t="n"/>
      <c r="E2515" s="91" t="n"/>
      <c r="F2515" s="91" t="n"/>
      <c r="G2515" s="91" t="n"/>
      <c r="H2515" s="91" t="n"/>
      <c r="I2515" s="91" t="n"/>
      <c r="J2515" s="91" t="n"/>
      <c r="K2515" s="91" t="n"/>
      <c r="L2515" s="91" t="n"/>
      <c r="M2515" s="91" t="n"/>
      <c r="N2515" s="91" t="n"/>
      <c r="O2515" s="91" t="n"/>
      <c r="P2515" s="91" t="n"/>
      <c r="Q2515" s="91" t="n"/>
      <c r="R2515" s="91" t="n"/>
      <c r="S2515" s="91" t="n"/>
      <c r="T2515" s="25">
        <f>DAY(C2515)</f>
        <v/>
      </c>
      <c r="U2515" s="22">
        <f>MONTH(C2515)</f>
        <v/>
      </c>
      <c r="V2515" s="91" t="n"/>
      <c r="W2515" s="91" t="n"/>
      <c r="X2515" s="91" t="n"/>
      <c r="Y2515" s="91" t="n"/>
      <c r="Z2515" s="91" t="n"/>
    </row>
    <row r="2516" ht="12.75" customHeight="1" s="117">
      <c r="A2516" s="91" t="n"/>
      <c r="B2516" s="91" t="n"/>
      <c r="C2516" s="91" t="n"/>
      <c r="D2516" s="91" t="n"/>
      <c r="E2516" s="91" t="n"/>
      <c r="F2516" s="91" t="n"/>
      <c r="G2516" s="91" t="n"/>
      <c r="H2516" s="91" t="n"/>
      <c r="I2516" s="91" t="n"/>
      <c r="J2516" s="91" t="n"/>
      <c r="K2516" s="91" t="n"/>
      <c r="L2516" s="91" t="n"/>
      <c r="M2516" s="91" t="n"/>
      <c r="N2516" s="91" t="n"/>
      <c r="O2516" s="91" t="n"/>
      <c r="P2516" s="91" t="n"/>
      <c r="Q2516" s="91" t="n"/>
      <c r="R2516" s="91" t="n"/>
      <c r="S2516" s="91" t="n"/>
      <c r="T2516" s="25">
        <f>DAY(C2516)</f>
        <v/>
      </c>
      <c r="U2516" s="22">
        <f>MONTH(C2516)</f>
        <v/>
      </c>
      <c r="V2516" s="91" t="n"/>
      <c r="W2516" s="91" t="n"/>
      <c r="X2516" s="91" t="n"/>
      <c r="Y2516" s="91" t="n"/>
      <c r="Z2516" s="91" t="n"/>
    </row>
    <row r="2517" ht="12.75" customHeight="1" s="117">
      <c r="A2517" s="91" t="n"/>
      <c r="B2517" s="91" t="n"/>
      <c r="C2517" s="91" t="n"/>
      <c r="D2517" s="91" t="n"/>
      <c r="E2517" s="91" t="n"/>
      <c r="F2517" s="91" t="n"/>
      <c r="G2517" s="91" t="n"/>
      <c r="H2517" s="91" t="n"/>
      <c r="I2517" s="91" t="n"/>
      <c r="J2517" s="91" t="n"/>
      <c r="K2517" s="91" t="n"/>
      <c r="L2517" s="91" t="n"/>
      <c r="M2517" s="91" t="n"/>
      <c r="N2517" s="91" t="n"/>
      <c r="O2517" s="91" t="n"/>
      <c r="P2517" s="91" t="n"/>
      <c r="Q2517" s="91" t="n"/>
      <c r="R2517" s="91" t="n"/>
      <c r="S2517" s="91" t="n"/>
      <c r="T2517" s="25">
        <f>DAY(C2517)</f>
        <v/>
      </c>
      <c r="U2517" s="22">
        <f>MONTH(C2517)</f>
        <v/>
      </c>
      <c r="V2517" s="91" t="n"/>
      <c r="W2517" s="91" t="n"/>
      <c r="X2517" s="91" t="n"/>
      <c r="Y2517" s="91" t="n"/>
      <c r="Z2517" s="91" t="n"/>
    </row>
    <row r="2518" ht="12.75" customHeight="1" s="117">
      <c r="A2518" s="91" t="n"/>
      <c r="B2518" s="91" t="n"/>
      <c r="C2518" s="91" t="n"/>
      <c r="D2518" s="91" t="n"/>
      <c r="E2518" s="91" t="n"/>
      <c r="F2518" s="91" t="n"/>
      <c r="G2518" s="91" t="n"/>
      <c r="H2518" s="91" t="n"/>
      <c r="I2518" s="91" t="n"/>
      <c r="J2518" s="91" t="n"/>
      <c r="K2518" s="91" t="n"/>
      <c r="L2518" s="91" t="n"/>
      <c r="M2518" s="91" t="n"/>
      <c r="N2518" s="91" t="n"/>
      <c r="O2518" s="91" t="n"/>
      <c r="P2518" s="91" t="n"/>
      <c r="Q2518" s="91" t="n"/>
      <c r="R2518" s="91" t="n"/>
      <c r="S2518" s="91" t="n"/>
      <c r="T2518" s="25">
        <f>DAY(C2518)</f>
        <v/>
      </c>
      <c r="U2518" s="22">
        <f>MONTH(C2518)</f>
        <v/>
      </c>
      <c r="V2518" s="91" t="n"/>
      <c r="W2518" s="91" t="n"/>
      <c r="X2518" s="91" t="n"/>
      <c r="Y2518" s="91" t="n"/>
      <c r="Z2518" s="91" t="n"/>
    </row>
    <row r="2519" ht="12.75" customHeight="1" s="117">
      <c r="A2519" s="91" t="n"/>
      <c r="B2519" s="91" t="n"/>
      <c r="C2519" s="91" t="n"/>
      <c r="D2519" s="91" t="n"/>
      <c r="E2519" s="91" t="n"/>
      <c r="F2519" s="91" t="n"/>
      <c r="G2519" s="91" t="n"/>
      <c r="H2519" s="91" t="n"/>
      <c r="I2519" s="91" t="n"/>
      <c r="J2519" s="91" t="n"/>
      <c r="K2519" s="91" t="n"/>
      <c r="L2519" s="91" t="n"/>
      <c r="M2519" s="91" t="n"/>
      <c r="N2519" s="91" t="n"/>
      <c r="O2519" s="91" t="n"/>
      <c r="P2519" s="91" t="n"/>
      <c r="Q2519" s="91" t="n"/>
      <c r="R2519" s="91" t="n"/>
      <c r="S2519" s="91" t="n"/>
      <c r="T2519" s="25">
        <f>DAY(C2519)</f>
        <v/>
      </c>
      <c r="U2519" s="22">
        <f>MONTH(C2519)</f>
        <v/>
      </c>
      <c r="V2519" s="91" t="n"/>
      <c r="W2519" s="91" t="n"/>
      <c r="X2519" s="91" t="n"/>
      <c r="Y2519" s="91" t="n"/>
      <c r="Z2519" s="91" t="n"/>
    </row>
    <row r="2520" ht="12.75" customHeight="1" s="117">
      <c r="A2520" s="91" t="n"/>
      <c r="B2520" s="91" t="n"/>
      <c r="C2520" s="91" t="n"/>
      <c r="D2520" s="91" t="n"/>
      <c r="E2520" s="91" t="n"/>
      <c r="F2520" s="91" t="n"/>
      <c r="G2520" s="91" t="n"/>
      <c r="H2520" s="91" t="n"/>
      <c r="I2520" s="91" t="n"/>
      <c r="J2520" s="91" t="n"/>
      <c r="K2520" s="91" t="n"/>
      <c r="L2520" s="91" t="n"/>
      <c r="M2520" s="91" t="n"/>
      <c r="N2520" s="91" t="n"/>
      <c r="O2520" s="91" t="n"/>
      <c r="P2520" s="91" t="n"/>
      <c r="Q2520" s="91" t="n"/>
      <c r="R2520" s="91" t="n"/>
      <c r="S2520" s="91" t="n"/>
      <c r="T2520" s="25">
        <f>DAY(C2520)</f>
        <v/>
      </c>
      <c r="U2520" s="22">
        <f>MONTH(C2520)</f>
        <v/>
      </c>
      <c r="V2520" s="91" t="n"/>
      <c r="W2520" s="91" t="n"/>
      <c r="X2520" s="91" t="n"/>
      <c r="Y2520" s="91" t="n"/>
      <c r="Z2520" s="91" t="n"/>
    </row>
    <row r="2521" ht="12.75" customHeight="1" s="117">
      <c r="A2521" s="91" t="n"/>
      <c r="B2521" s="91" t="n"/>
      <c r="C2521" s="91" t="n"/>
      <c r="D2521" s="91" t="n"/>
      <c r="E2521" s="91" t="n"/>
      <c r="F2521" s="91" t="n"/>
      <c r="G2521" s="91" t="n"/>
      <c r="H2521" s="91" t="n"/>
      <c r="I2521" s="91" t="n"/>
      <c r="J2521" s="91" t="n"/>
      <c r="K2521" s="91" t="n"/>
      <c r="L2521" s="91" t="n"/>
      <c r="M2521" s="91" t="n"/>
      <c r="N2521" s="91" t="n"/>
      <c r="O2521" s="91" t="n"/>
      <c r="P2521" s="91" t="n"/>
      <c r="Q2521" s="91" t="n"/>
      <c r="R2521" s="91" t="n"/>
      <c r="S2521" s="91" t="n"/>
      <c r="T2521" s="25">
        <f>DAY(C2521)</f>
        <v/>
      </c>
      <c r="U2521" s="22">
        <f>MONTH(C2521)</f>
        <v/>
      </c>
      <c r="V2521" s="91" t="n"/>
      <c r="W2521" s="91" t="n"/>
      <c r="X2521" s="91" t="n"/>
      <c r="Y2521" s="91" t="n"/>
      <c r="Z2521" s="91" t="n"/>
    </row>
    <row r="2522" ht="12.75" customHeight="1" s="117">
      <c r="A2522" s="91" t="n"/>
      <c r="B2522" s="91" t="n"/>
      <c r="C2522" s="91" t="n"/>
      <c r="D2522" s="91" t="n"/>
      <c r="E2522" s="91" t="n"/>
      <c r="F2522" s="91" t="n"/>
      <c r="G2522" s="91" t="n"/>
      <c r="H2522" s="91" t="n"/>
      <c r="I2522" s="91" t="n"/>
      <c r="J2522" s="91" t="n"/>
      <c r="K2522" s="91" t="n"/>
      <c r="L2522" s="91" t="n"/>
      <c r="M2522" s="91" t="n"/>
      <c r="N2522" s="91" t="n"/>
      <c r="O2522" s="91" t="n"/>
      <c r="P2522" s="91" t="n"/>
      <c r="Q2522" s="91" t="n"/>
      <c r="R2522" s="91" t="n"/>
      <c r="S2522" s="91" t="n"/>
      <c r="T2522" s="25">
        <f>DAY(C2522)</f>
        <v/>
      </c>
      <c r="U2522" s="22">
        <f>MONTH(C2522)</f>
        <v/>
      </c>
      <c r="V2522" s="91" t="n"/>
      <c r="W2522" s="91" t="n"/>
      <c r="X2522" s="91" t="n"/>
      <c r="Y2522" s="91" t="n"/>
      <c r="Z2522" s="91" t="n"/>
    </row>
    <row r="2523" ht="12.75" customHeight="1" s="117">
      <c r="A2523" s="91" t="n"/>
      <c r="B2523" s="91" t="n"/>
      <c r="C2523" s="91" t="n"/>
      <c r="D2523" s="91" t="n"/>
      <c r="E2523" s="91" t="n"/>
      <c r="F2523" s="91" t="n"/>
      <c r="G2523" s="91" t="n"/>
      <c r="H2523" s="91" t="n"/>
      <c r="I2523" s="91" t="n"/>
      <c r="J2523" s="91" t="n"/>
      <c r="K2523" s="91" t="n"/>
      <c r="L2523" s="91" t="n"/>
      <c r="M2523" s="91" t="n"/>
      <c r="N2523" s="91" t="n"/>
      <c r="O2523" s="91" t="n"/>
      <c r="P2523" s="91" t="n"/>
      <c r="Q2523" s="91" t="n"/>
      <c r="R2523" s="91" t="n"/>
      <c r="S2523" s="91" t="n"/>
      <c r="T2523" s="25">
        <f>DAY(C2523)</f>
        <v/>
      </c>
      <c r="U2523" s="22">
        <f>MONTH(C2523)</f>
        <v/>
      </c>
      <c r="V2523" s="91" t="n"/>
      <c r="W2523" s="91" t="n"/>
      <c r="X2523" s="91" t="n"/>
      <c r="Y2523" s="91" t="n"/>
      <c r="Z2523" s="91" t="n"/>
    </row>
    <row r="2524" ht="12.75" customHeight="1" s="117">
      <c r="A2524" s="91" t="n"/>
      <c r="B2524" s="91" t="n"/>
      <c r="C2524" s="91" t="n"/>
      <c r="D2524" s="91" t="n"/>
      <c r="E2524" s="91" t="n"/>
      <c r="F2524" s="91" t="n"/>
      <c r="G2524" s="91" t="n"/>
      <c r="H2524" s="91" t="n"/>
      <c r="I2524" s="91" t="n"/>
      <c r="J2524" s="91" t="n"/>
      <c r="K2524" s="91" t="n"/>
      <c r="L2524" s="91" t="n"/>
      <c r="M2524" s="91" t="n"/>
      <c r="N2524" s="91" t="n"/>
      <c r="O2524" s="91" t="n"/>
      <c r="P2524" s="91" t="n"/>
      <c r="Q2524" s="91" t="n"/>
      <c r="R2524" s="91" t="n"/>
      <c r="S2524" s="91" t="n"/>
      <c r="T2524" s="25">
        <f>DAY(C2524)</f>
        <v/>
      </c>
      <c r="U2524" s="22">
        <f>MONTH(C2524)</f>
        <v/>
      </c>
      <c r="V2524" s="91" t="n"/>
      <c r="W2524" s="91" t="n"/>
      <c r="X2524" s="91" t="n"/>
      <c r="Y2524" s="91" t="n"/>
      <c r="Z2524" s="91" t="n"/>
    </row>
    <row r="2525" ht="12.75" customHeight="1" s="117">
      <c r="A2525" s="91" t="n"/>
      <c r="B2525" s="91" t="n"/>
      <c r="C2525" s="91" t="n"/>
      <c r="D2525" s="91" t="n"/>
      <c r="E2525" s="91" t="n"/>
      <c r="F2525" s="91" t="n"/>
      <c r="G2525" s="91" t="n"/>
      <c r="H2525" s="91" t="n"/>
      <c r="I2525" s="91" t="n"/>
      <c r="J2525" s="91" t="n"/>
      <c r="K2525" s="91" t="n"/>
      <c r="L2525" s="91" t="n"/>
      <c r="M2525" s="91" t="n"/>
      <c r="N2525" s="91" t="n"/>
      <c r="O2525" s="91" t="n"/>
      <c r="P2525" s="91" t="n"/>
      <c r="Q2525" s="91" t="n"/>
      <c r="R2525" s="91" t="n"/>
      <c r="S2525" s="91" t="n"/>
      <c r="T2525" s="25">
        <f>DAY(C2525)</f>
        <v/>
      </c>
      <c r="U2525" s="22">
        <f>MONTH(C2525)</f>
        <v/>
      </c>
      <c r="V2525" s="91" t="n"/>
      <c r="W2525" s="91" t="n"/>
      <c r="X2525" s="91" t="n"/>
      <c r="Y2525" s="91" t="n"/>
      <c r="Z2525" s="91" t="n"/>
    </row>
    <row r="2526" ht="12.75" customHeight="1" s="117">
      <c r="A2526" s="91" t="n"/>
      <c r="B2526" s="91" t="n"/>
      <c r="C2526" s="91" t="n"/>
      <c r="D2526" s="91" t="n"/>
      <c r="E2526" s="91" t="n"/>
      <c r="F2526" s="91" t="n"/>
      <c r="G2526" s="91" t="n"/>
      <c r="H2526" s="91" t="n"/>
      <c r="I2526" s="91" t="n"/>
      <c r="J2526" s="91" t="n"/>
      <c r="K2526" s="91" t="n"/>
      <c r="L2526" s="91" t="n"/>
      <c r="M2526" s="91" t="n"/>
      <c r="N2526" s="91" t="n"/>
      <c r="O2526" s="91" t="n"/>
      <c r="P2526" s="91" t="n"/>
      <c r="Q2526" s="91" t="n"/>
      <c r="R2526" s="91" t="n"/>
      <c r="S2526" s="91" t="n"/>
      <c r="T2526" s="25">
        <f>DAY(C2526)</f>
        <v/>
      </c>
      <c r="U2526" s="22">
        <f>MONTH(C2526)</f>
        <v/>
      </c>
      <c r="V2526" s="91" t="n"/>
      <c r="W2526" s="91" t="n"/>
      <c r="X2526" s="91" t="n"/>
      <c r="Y2526" s="91" t="n"/>
      <c r="Z2526" s="91" t="n"/>
    </row>
    <row r="2527" ht="12.75" customHeight="1" s="117">
      <c r="A2527" s="91" t="n"/>
      <c r="B2527" s="91" t="n"/>
      <c r="C2527" s="91" t="n"/>
      <c r="D2527" s="91" t="n"/>
      <c r="E2527" s="91" t="n"/>
      <c r="F2527" s="91" t="n"/>
      <c r="G2527" s="91" t="n"/>
      <c r="H2527" s="91" t="n"/>
      <c r="I2527" s="91" t="n"/>
      <c r="J2527" s="91" t="n"/>
      <c r="K2527" s="91" t="n"/>
      <c r="L2527" s="91" t="n"/>
      <c r="M2527" s="91" t="n"/>
      <c r="N2527" s="91" t="n"/>
      <c r="O2527" s="91" t="n"/>
      <c r="P2527" s="91" t="n"/>
      <c r="Q2527" s="91" t="n"/>
      <c r="R2527" s="91" t="n"/>
      <c r="S2527" s="91" t="n"/>
      <c r="T2527" s="25">
        <f>DAY(C2527)</f>
        <v/>
      </c>
      <c r="U2527" s="22">
        <f>MONTH(C2527)</f>
        <v/>
      </c>
      <c r="V2527" s="91" t="n"/>
      <c r="W2527" s="91" t="n"/>
      <c r="X2527" s="91" t="n"/>
      <c r="Y2527" s="91" t="n"/>
      <c r="Z2527" s="91" t="n"/>
    </row>
    <row r="2528" ht="12.75" customHeight="1" s="117">
      <c r="A2528" s="91" t="n"/>
      <c r="B2528" s="91" t="n"/>
      <c r="C2528" s="91" t="n"/>
      <c r="D2528" s="91" t="n"/>
      <c r="E2528" s="91" t="n"/>
      <c r="F2528" s="91" t="n"/>
      <c r="G2528" s="91" t="n"/>
      <c r="H2528" s="91" t="n"/>
      <c r="I2528" s="91" t="n"/>
      <c r="J2528" s="91" t="n"/>
      <c r="K2528" s="91" t="n"/>
      <c r="L2528" s="91" t="n"/>
      <c r="M2528" s="91" t="n"/>
      <c r="N2528" s="91" t="n"/>
      <c r="O2528" s="91" t="n"/>
      <c r="P2528" s="91" t="n"/>
      <c r="Q2528" s="91" t="n"/>
      <c r="R2528" s="91" t="n"/>
      <c r="S2528" s="91" t="n"/>
      <c r="T2528" s="25">
        <f>DAY(C2528)</f>
        <v/>
      </c>
      <c r="U2528" s="22">
        <f>MONTH(C2528)</f>
        <v/>
      </c>
      <c r="V2528" s="91" t="n"/>
      <c r="W2528" s="91" t="n"/>
      <c r="X2528" s="91" t="n"/>
      <c r="Y2528" s="91" t="n"/>
      <c r="Z2528" s="91" t="n"/>
    </row>
    <row r="2529" ht="12.75" customHeight="1" s="117">
      <c r="A2529" s="91" t="n"/>
      <c r="B2529" s="91" t="n"/>
      <c r="C2529" s="91" t="n"/>
      <c r="D2529" s="91" t="n"/>
      <c r="E2529" s="91" t="n"/>
      <c r="F2529" s="91" t="n"/>
      <c r="G2529" s="91" t="n"/>
      <c r="H2529" s="91" t="n"/>
      <c r="I2529" s="91" t="n"/>
      <c r="J2529" s="91" t="n"/>
      <c r="K2529" s="91" t="n"/>
      <c r="L2529" s="91" t="n"/>
      <c r="M2529" s="91" t="n"/>
      <c r="N2529" s="91" t="n"/>
      <c r="O2529" s="91" t="n"/>
      <c r="P2529" s="91" t="n"/>
      <c r="Q2529" s="91" t="n"/>
      <c r="R2529" s="91" t="n"/>
      <c r="S2529" s="91" t="n"/>
      <c r="T2529" s="25">
        <f>DAY(C2529)</f>
        <v/>
      </c>
      <c r="U2529" s="22">
        <f>MONTH(C2529)</f>
        <v/>
      </c>
      <c r="V2529" s="91" t="n"/>
      <c r="W2529" s="91" t="n"/>
      <c r="X2529" s="91" t="n"/>
      <c r="Y2529" s="91" t="n"/>
      <c r="Z2529" s="91" t="n"/>
    </row>
    <row r="2530" ht="12.75" customHeight="1" s="117">
      <c r="A2530" s="91" t="n"/>
      <c r="B2530" s="91" t="n"/>
      <c r="C2530" s="91" t="n"/>
      <c r="D2530" s="91" t="n"/>
      <c r="E2530" s="91" t="n"/>
      <c r="F2530" s="91" t="n"/>
      <c r="G2530" s="91" t="n"/>
      <c r="H2530" s="91" t="n"/>
      <c r="I2530" s="91" t="n"/>
      <c r="J2530" s="91" t="n"/>
      <c r="K2530" s="91" t="n"/>
      <c r="L2530" s="91" t="n"/>
      <c r="M2530" s="91" t="n"/>
      <c r="N2530" s="91" t="n"/>
      <c r="O2530" s="91" t="n"/>
      <c r="P2530" s="91" t="n"/>
      <c r="Q2530" s="91" t="n"/>
      <c r="R2530" s="91" t="n"/>
      <c r="S2530" s="91" t="n"/>
      <c r="T2530" s="25">
        <f>DAY(C2530)</f>
        <v/>
      </c>
      <c r="U2530" s="22">
        <f>MONTH(C2530)</f>
        <v/>
      </c>
      <c r="V2530" s="91" t="n"/>
      <c r="W2530" s="91" t="n"/>
      <c r="X2530" s="91" t="n"/>
      <c r="Y2530" s="91" t="n"/>
      <c r="Z2530" s="91" t="n"/>
    </row>
    <row r="2531" ht="12.75" customHeight="1" s="117">
      <c r="A2531" s="91" t="n"/>
      <c r="B2531" s="91" t="n"/>
      <c r="C2531" s="91" t="n"/>
      <c r="D2531" s="91" t="n"/>
      <c r="E2531" s="91" t="n"/>
      <c r="F2531" s="91" t="n"/>
      <c r="G2531" s="91" t="n"/>
      <c r="H2531" s="91" t="n"/>
      <c r="I2531" s="91" t="n"/>
      <c r="J2531" s="91" t="n"/>
      <c r="K2531" s="91" t="n"/>
      <c r="L2531" s="91" t="n"/>
      <c r="M2531" s="91" t="n"/>
      <c r="N2531" s="91" t="n"/>
      <c r="O2531" s="91" t="n"/>
      <c r="P2531" s="91" t="n"/>
      <c r="Q2531" s="91" t="n"/>
      <c r="R2531" s="91" t="n"/>
      <c r="S2531" s="91" t="n"/>
      <c r="T2531" s="25">
        <f>DAY(C2531)</f>
        <v/>
      </c>
      <c r="U2531" s="22">
        <f>MONTH(C2531)</f>
        <v/>
      </c>
      <c r="V2531" s="91" t="n"/>
      <c r="W2531" s="91" t="n"/>
      <c r="X2531" s="91" t="n"/>
      <c r="Y2531" s="91" t="n"/>
      <c r="Z2531" s="91" t="n"/>
    </row>
    <row r="2532" ht="12.75" customHeight="1" s="117">
      <c r="A2532" s="91" t="n"/>
      <c r="B2532" s="91" t="n"/>
      <c r="C2532" s="91" t="n"/>
      <c r="D2532" s="91" t="n"/>
      <c r="E2532" s="91" t="n"/>
      <c r="F2532" s="91" t="n"/>
      <c r="G2532" s="91" t="n"/>
      <c r="H2532" s="91" t="n"/>
      <c r="I2532" s="91" t="n"/>
      <c r="J2532" s="91" t="n"/>
      <c r="K2532" s="91" t="n"/>
      <c r="L2532" s="91" t="n"/>
      <c r="M2532" s="91" t="n"/>
      <c r="N2532" s="91" t="n"/>
      <c r="O2532" s="91" t="n"/>
      <c r="P2532" s="91" t="n"/>
      <c r="Q2532" s="91" t="n"/>
      <c r="R2532" s="91" t="n"/>
      <c r="S2532" s="91" t="n"/>
      <c r="T2532" s="25">
        <f>DAY(C2532)</f>
        <v/>
      </c>
      <c r="U2532" s="22">
        <f>MONTH(C2532)</f>
        <v/>
      </c>
      <c r="V2532" s="91" t="n"/>
      <c r="W2532" s="91" t="n"/>
      <c r="X2532" s="91" t="n"/>
      <c r="Y2532" s="91" t="n"/>
      <c r="Z2532" s="91" t="n"/>
    </row>
    <row r="2533" ht="12.75" customHeight="1" s="117">
      <c r="A2533" s="91" t="n"/>
      <c r="B2533" s="91" t="n"/>
      <c r="C2533" s="91" t="n"/>
      <c r="D2533" s="91" t="n"/>
      <c r="E2533" s="91" t="n"/>
      <c r="F2533" s="91" t="n"/>
      <c r="G2533" s="91" t="n"/>
      <c r="H2533" s="91" t="n"/>
      <c r="I2533" s="91" t="n"/>
      <c r="J2533" s="91" t="n"/>
      <c r="K2533" s="91" t="n"/>
      <c r="L2533" s="91" t="n"/>
      <c r="M2533" s="91" t="n"/>
      <c r="N2533" s="91" t="n"/>
      <c r="O2533" s="91" t="n"/>
      <c r="P2533" s="91" t="n"/>
      <c r="Q2533" s="91" t="n"/>
      <c r="R2533" s="91" t="n"/>
      <c r="S2533" s="91" t="n"/>
      <c r="T2533" s="25">
        <f>DAY(C2533)</f>
        <v/>
      </c>
      <c r="U2533" s="22">
        <f>MONTH(C2533)</f>
        <v/>
      </c>
      <c r="V2533" s="91" t="n"/>
      <c r="W2533" s="91" t="n"/>
      <c r="X2533" s="91" t="n"/>
      <c r="Y2533" s="91" t="n"/>
      <c r="Z2533" s="91" t="n"/>
    </row>
    <row r="2534" ht="12.75" customHeight="1" s="117">
      <c r="A2534" s="91" t="n"/>
      <c r="B2534" s="91" t="n"/>
      <c r="C2534" s="91" t="n"/>
      <c r="D2534" s="91" t="n"/>
      <c r="E2534" s="91" t="n"/>
      <c r="F2534" s="91" t="n"/>
      <c r="G2534" s="91" t="n"/>
      <c r="H2534" s="91" t="n"/>
      <c r="I2534" s="91" t="n"/>
      <c r="J2534" s="91" t="n"/>
      <c r="K2534" s="91" t="n"/>
      <c r="L2534" s="91" t="n"/>
      <c r="M2534" s="91" t="n"/>
      <c r="N2534" s="91" t="n"/>
      <c r="O2534" s="91" t="n"/>
      <c r="P2534" s="91" t="n"/>
      <c r="Q2534" s="91" t="n"/>
      <c r="R2534" s="91" t="n"/>
      <c r="S2534" s="91" t="n"/>
      <c r="T2534" s="25">
        <f>DAY(C2534)</f>
        <v/>
      </c>
      <c r="U2534" s="22">
        <f>MONTH(C2534)</f>
        <v/>
      </c>
      <c r="V2534" s="91" t="n"/>
      <c r="W2534" s="91" t="n"/>
      <c r="X2534" s="91" t="n"/>
      <c r="Y2534" s="91" t="n"/>
      <c r="Z2534" s="91" t="n"/>
    </row>
    <row r="2535" ht="12.75" customHeight="1" s="117">
      <c r="A2535" s="91" t="n"/>
      <c r="B2535" s="91" t="n"/>
      <c r="C2535" s="91" t="n"/>
      <c r="D2535" s="91" t="n"/>
      <c r="E2535" s="91" t="n"/>
      <c r="F2535" s="91" t="n"/>
      <c r="G2535" s="91" t="n"/>
      <c r="H2535" s="91" t="n"/>
      <c r="I2535" s="91" t="n"/>
      <c r="J2535" s="91" t="n"/>
      <c r="K2535" s="91" t="n"/>
      <c r="L2535" s="91" t="n"/>
      <c r="M2535" s="91" t="n"/>
      <c r="N2535" s="91" t="n"/>
      <c r="O2535" s="91" t="n"/>
      <c r="P2535" s="91" t="n"/>
      <c r="Q2535" s="91" t="n"/>
      <c r="R2535" s="91" t="n"/>
      <c r="S2535" s="91" t="n"/>
      <c r="T2535" s="25">
        <f>DAY(C2535)</f>
        <v/>
      </c>
      <c r="U2535" s="22">
        <f>MONTH(C2535)</f>
        <v/>
      </c>
      <c r="V2535" s="91" t="n"/>
      <c r="W2535" s="91" t="n"/>
      <c r="X2535" s="91" t="n"/>
      <c r="Y2535" s="91" t="n"/>
      <c r="Z2535" s="91" t="n"/>
    </row>
    <row r="2536" ht="12.75" customHeight="1" s="117">
      <c r="A2536" s="91" t="n"/>
      <c r="B2536" s="91" t="n"/>
      <c r="C2536" s="91" t="n"/>
      <c r="D2536" s="91" t="n"/>
      <c r="E2536" s="91" t="n"/>
      <c r="F2536" s="91" t="n"/>
      <c r="G2536" s="91" t="n"/>
      <c r="H2536" s="91" t="n"/>
      <c r="I2536" s="91" t="n"/>
      <c r="J2536" s="91" t="n"/>
      <c r="K2536" s="91" t="n"/>
      <c r="L2536" s="91" t="n"/>
      <c r="M2536" s="91" t="n"/>
      <c r="N2536" s="91" t="n"/>
      <c r="O2536" s="91" t="n"/>
      <c r="P2536" s="91" t="n"/>
      <c r="Q2536" s="91" t="n"/>
      <c r="R2536" s="91" t="n"/>
      <c r="S2536" s="91" t="n"/>
      <c r="T2536" s="25">
        <f>DAY(C2536)</f>
        <v/>
      </c>
      <c r="U2536" s="22">
        <f>MONTH(C2536)</f>
        <v/>
      </c>
      <c r="V2536" s="91" t="n"/>
      <c r="W2536" s="91" t="n"/>
      <c r="X2536" s="91" t="n"/>
      <c r="Y2536" s="91" t="n"/>
      <c r="Z2536" s="91" t="n"/>
    </row>
    <row r="2537" ht="12.75" customHeight="1" s="117">
      <c r="A2537" s="91" t="n"/>
      <c r="B2537" s="91" t="n"/>
      <c r="C2537" s="91" t="n"/>
      <c r="D2537" s="91" t="n"/>
      <c r="E2537" s="91" t="n"/>
      <c r="F2537" s="91" t="n"/>
      <c r="G2537" s="91" t="n"/>
      <c r="H2537" s="91" t="n"/>
      <c r="I2537" s="91" t="n"/>
      <c r="J2537" s="91" t="n"/>
      <c r="K2537" s="91" t="n"/>
      <c r="L2537" s="91" t="n"/>
      <c r="M2537" s="91" t="n"/>
      <c r="N2537" s="91" t="n"/>
      <c r="O2537" s="91" t="n"/>
      <c r="P2537" s="91" t="n"/>
      <c r="Q2537" s="91" t="n"/>
      <c r="R2537" s="91" t="n"/>
      <c r="S2537" s="91" t="n"/>
      <c r="T2537" s="25">
        <f>DAY(C2537)</f>
        <v/>
      </c>
      <c r="U2537" s="22">
        <f>MONTH(C2537)</f>
        <v/>
      </c>
      <c r="V2537" s="91" t="n"/>
      <c r="W2537" s="91" t="n"/>
      <c r="X2537" s="91" t="n"/>
      <c r="Y2537" s="91" t="n"/>
      <c r="Z2537" s="91" t="n"/>
    </row>
    <row r="2538" ht="12.75" customHeight="1" s="117">
      <c r="A2538" s="91" t="n"/>
      <c r="B2538" s="91" t="n"/>
      <c r="C2538" s="91" t="n"/>
      <c r="D2538" s="91" t="n"/>
      <c r="E2538" s="91" t="n"/>
      <c r="F2538" s="91" t="n"/>
      <c r="G2538" s="91" t="n"/>
      <c r="H2538" s="91" t="n"/>
      <c r="I2538" s="91" t="n"/>
      <c r="J2538" s="91" t="n"/>
      <c r="K2538" s="91" t="n"/>
      <c r="L2538" s="91" t="n"/>
      <c r="M2538" s="91" t="n"/>
      <c r="N2538" s="91" t="n"/>
      <c r="O2538" s="91" t="n"/>
      <c r="P2538" s="91" t="n"/>
      <c r="Q2538" s="91" t="n"/>
      <c r="R2538" s="91" t="n"/>
      <c r="S2538" s="91" t="n"/>
      <c r="T2538" s="25">
        <f>DAY(C2538)</f>
        <v/>
      </c>
      <c r="U2538" s="22">
        <f>MONTH(C2538)</f>
        <v/>
      </c>
      <c r="V2538" s="91" t="n"/>
      <c r="W2538" s="91" t="n"/>
      <c r="X2538" s="91" t="n"/>
      <c r="Y2538" s="91" t="n"/>
      <c r="Z2538" s="91" t="n"/>
    </row>
    <row r="2539" ht="12.75" customHeight="1" s="117">
      <c r="A2539" s="91" t="n"/>
      <c r="B2539" s="91" t="n"/>
      <c r="C2539" s="91" t="n"/>
      <c r="D2539" s="91" t="n"/>
      <c r="E2539" s="91" t="n"/>
      <c r="F2539" s="91" t="n"/>
      <c r="G2539" s="91" t="n"/>
      <c r="H2539" s="91" t="n"/>
      <c r="I2539" s="91" t="n"/>
      <c r="J2539" s="91" t="n"/>
      <c r="K2539" s="91" t="n"/>
      <c r="L2539" s="91" t="n"/>
      <c r="M2539" s="91" t="n"/>
      <c r="N2539" s="91" t="n"/>
      <c r="O2539" s="91" t="n"/>
      <c r="P2539" s="91" t="n"/>
      <c r="Q2539" s="91" t="n"/>
      <c r="R2539" s="91" t="n"/>
      <c r="S2539" s="91" t="n"/>
      <c r="T2539" s="25">
        <f>DAY(C2539)</f>
        <v/>
      </c>
      <c r="U2539" s="22">
        <f>MONTH(C2539)</f>
        <v/>
      </c>
      <c r="V2539" s="91" t="n"/>
      <c r="W2539" s="91" t="n"/>
      <c r="X2539" s="91" t="n"/>
      <c r="Y2539" s="91" t="n"/>
      <c r="Z2539" s="91" t="n"/>
    </row>
    <row r="2540" ht="12.75" customHeight="1" s="117">
      <c r="A2540" s="91" t="n"/>
      <c r="B2540" s="91" t="n"/>
      <c r="C2540" s="91" t="n"/>
      <c r="D2540" s="91" t="n"/>
      <c r="E2540" s="91" t="n"/>
      <c r="F2540" s="91" t="n"/>
      <c r="G2540" s="91" t="n"/>
      <c r="H2540" s="91" t="n"/>
      <c r="I2540" s="91" t="n"/>
      <c r="J2540" s="91" t="n"/>
      <c r="K2540" s="91" t="n"/>
      <c r="L2540" s="91" t="n"/>
      <c r="M2540" s="91" t="n"/>
      <c r="N2540" s="91" t="n"/>
      <c r="O2540" s="91" t="n"/>
      <c r="P2540" s="91" t="n"/>
      <c r="Q2540" s="91" t="n"/>
      <c r="R2540" s="91" t="n"/>
      <c r="S2540" s="91" t="n"/>
      <c r="T2540" s="25">
        <f>DAY(C2540)</f>
        <v/>
      </c>
      <c r="U2540" s="22">
        <f>MONTH(C2540)</f>
        <v/>
      </c>
      <c r="V2540" s="91" t="n"/>
      <c r="W2540" s="91" t="n"/>
      <c r="X2540" s="91" t="n"/>
      <c r="Y2540" s="91" t="n"/>
      <c r="Z2540" s="91" t="n"/>
    </row>
    <row r="2541" ht="12.75" customHeight="1" s="117">
      <c r="A2541" s="91" t="n"/>
      <c r="B2541" s="91" t="n"/>
      <c r="C2541" s="91" t="n"/>
      <c r="D2541" s="91" t="n"/>
      <c r="E2541" s="91" t="n"/>
      <c r="F2541" s="91" t="n"/>
      <c r="G2541" s="91" t="n"/>
      <c r="H2541" s="91" t="n"/>
      <c r="I2541" s="91" t="n"/>
      <c r="J2541" s="91" t="n"/>
      <c r="K2541" s="91" t="n"/>
      <c r="L2541" s="91" t="n"/>
      <c r="M2541" s="91" t="n"/>
      <c r="N2541" s="91" t="n"/>
      <c r="O2541" s="91" t="n"/>
      <c r="P2541" s="91" t="n"/>
      <c r="Q2541" s="91" t="n"/>
      <c r="R2541" s="91" t="n"/>
      <c r="S2541" s="91" t="n"/>
      <c r="T2541" s="25">
        <f>DAY(C2541)</f>
        <v/>
      </c>
      <c r="U2541" s="22">
        <f>MONTH(C2541)</f>
        <v/>
      </c>
      <c r="V2541" s="91" t="n"/>
      <c r="W2541" s="91" t="n"/>
      <c r="X2541" s="91" t="n"/>
      <c r="Y2541" s="91" t="n"/>
      <c r="Z2541" s="91" t="n"/>
    </row>
    <row r="2542" ht="12.75" customHeight="1" s="117">
      <c r="A2542" s="91" t="n"/>
      <c r="B2542" s="91" t="n"/>
      <c r="C2542" s="91" t="n"/>
      <c r="D2542" s="91" t="n"/>
      <c r="E2542" s="91" t="n"/>
      <c r="F2542" s="91" t="n"/>
      <c r="G2542" s="91" t="n"/>
      <c r="H2542" s="91" t="n"/>
      <c r="I2542" s="91" t="n"/>
      <c r="J2542" s="91" t="n"/>
      <c r="K2542" s="91" t="n"/>
      <c r="L2542" s="91" t="n"/>
      <c r="M2542" s="91" t="n"/>
      <c r="N2542" s="91" t="n"/>
      <c r="O2542" s="91" t="n"/>
      <c r="P2542" s="91" t="n"/>
      <c r="Q2542" s="91" t="n"/>
      <c r="R2542" s="91" t="n"/>
      <c r="S2542" s="91" t="n"/>
      <c r="T2542" s="25">
        <f>DAY(C2542)</f>
        <v/>
      </c>
      <c r="U2542" s="22">
        <f>MONTH(C2542)</f>
        <v/>
      </c>
      <c r="V2542" s="91" t="n"/>
      <c r="W2542" s="91" t="n"/>
      <c r="X2542" s="91" t="n"/>
      <c r="Y2542" s="91" t="n"/>
      <c r="Z2542" s="91" t="n"/>
    </row>
    <row r="2543" ht="12.75" customHeight="1" s="117">
      <c r="A2543" s="91" t="n"/>
      <c r="B2543" s="91" t="n"/>
      <c r="C2543" s="91" t="n"/>
      <c r="D2543" s="91" t="n"/>
      <c r="E2543" s="91" t="n"/>
      <c r="F2543" s="91" t="n"/>
      <c r="G2543" s="91" t="n"/>
      <c r="H2543" s="91" t="n"/>
      <c r="I2543" s="91" t="n"/>
      <c r="J2543" s="91" t="n"/>
      <c r="K2543" s="91" t="n"/>
      <c r="L2543" s="91" t="n"/>
      <c r="M2543" s="91" t="n"/>
      <c r="N2543" s="91" t="n"/>
      <c r="O2543" s="91" t="n"/>
      <c r="P2543" s="91" t="n"/>
      <c r="Q2543" s="91" t="n"/>
      <c r="R2543" s="91" t="n"/>
      <c r="S2543" s="91" t="n"/>
      <c r="T2543" s="25">
        <f>DAY(C2543)</f>
        <v/>
      </c>
      <c r="U2543" s="22">
        <f>MONTH(C2543)</f>
        <v/>
      </c>
      <c r="V2543" s="91" t="n"/>
      <c r="W2543" s="91" t="n"/>
      <c r="X2543" s="91" t="n"/>
      <c r="Y2543" s="91" t="n"/>
      <c r="Z2543" s="91" t="n"/>
    </row>
    <row r="2544" ht="12.75" customHeight="1" s="117">
      <c r="A2544" s="91" t="n"/>
      <c r="B2544" s="91" t="n"/>
      <c r="C2544" s="91" t="n"/>
      <c r="D2544" s="91" t="n"/>
      <c r="E2544" s="91" t="n"/>
      <c r="F2544" s="91" t="n"/>
      <c r="G2544" s="91" t="n"/>
      <c r="H2544" s="91" t="n"/>
      <c r="I2544" s="91" t="n"/>
      <c r="J2544" s="91" t="n"/>
      <c r="K2544" s="91" t="n"/>
      <c r="L2544" s="91" t="n"/>
      <c r="M2544" s="91" t="n"/>
      <c r="N2544" s="91" t="n"/>
      <c r="O2544" s="91" t="n"/>
      <c r="P2544" s="91" t="n"/>
      <c r="Q2544" s="91" t="n"/>
      <c r="R2544" s="91" t="n"/>
      <c r="S2544" s="91" t="n"/>
      <c r="T2544" s="25">
        <f>DAY(C2544)</f>
        <v/>
      </c>
      <c r="U2544" s="22">
        <f>MONTH(C2544)</f>
        <v/>
      </c>
      <c r="V2544" s="91" t="n"/>
      <c r="W2544" s="91" t="n"/>
      <c r="X2544" s="91" t="n"/>
      <c r="Y2544" s="91" t="n"/>
      <c r="Z2544" s="91" t="n"/>
    </row>
    <row r="2545" ht="12.75" customHeight="1" s="117">
      <c r="A2545" s="91" t="n"/>
      <c r="B2545" s="91" t="n"/>
      <c r="C2545" s="91" t="n"/>
      <c r="D2545" s="91" t="n"/>
      <c r="E2545" s="91" t="n"/>
      <c r="F2545" s="91" t="n"/>
      <c r="G2545" s="91" t="n"/>
      <c r="H2545" s="91" t="n"/>
      <c r="I2545" s="91" t="n"/>
      <c r="J2545" s="91" t="n"/>
      <c r="K2545" s="91" t="n"/>
      <c r="L2545" s="91" t="n"/>
      <c r="M2545" s="91" t="n"/>
      <c r="N2545" s="91" t="n"/>
      <c r="O2545" s="91" t="n"/>
      <c r="P2545" s="91" t="n"/>
      <c r="Q2545" s="91" t="n"/>
      <c r="R2545" s="91" t="n"/>
      <c r="S2545" s="91" t="n"/>
      <c r="T2545" s="25">
        <f>DAY(C2545)</f>
        <v/>
      </c>
      <c r="U2545" s="22">
        <f>MONTH(C2545)</f>
        <v/>
      </c>
      <c r="V2545" s="91" t="n"/>
      <c r="W2545" s="91" t="n"/>
      <c r="X2545" s="91" t="n"/>
      <c r="Y2545" s="91" t="n"/>
      <c r="Z2545" s="91" t="n"/>
    </row>
    <row r="2546" ht="12.75" customHeight="1" s="117">
      <c r="A2546" s="91" t="n"/>
      <c r="B2546" s="91" t="n"/>
      <c r="C2546" s="91" t="n"/>
      <c r="D2546" s="91" t="n"/>
      <c r="E2546" s="91" t="n"/>
      <c r="F2546" s="91" t="n"/>
      <c r="G2546" s="91" t="n"/>
      <c r="H2546" s="91" t="n"/>
      <c r="I2546" s="91" t="n"/>
      <c r="J2546" s="91" t="n"/>
      <c r="K2546" s="91" t="n"/>
      <c r="L2546" s="91" t="n"/>
      <c r="M2546" s="91" t="n"/>
      <c r="N2546" s="91" t="n"/>
      <c r="O2546" s="91" t="n"/>
      <c r="P2546" s="91" t="n"/>
      <c r="Q2546" s="91" t="n"/>
      <c r="R2546" s="91" t="n"/>
      <c r="S2546" s="91" t="n"/>
      <c r="T2546" s="25">
        <f>DAY(C2546)</f>
        <v/>
      </c>
      <c r="U2546" s="22">
        <f>MONTH(C2546)</f>
        <v/>
      </c>
      <c r="V2546" s="91" t="n"/>
      <c r="W2546" s="91" t="n"/>
      <c r="X2546" s="91" t="n"/>
      <c r="Y2546" s="91" t="n"/>
      <c r="Z2546" s="91" t="n"/>
    </row>
    <row r="2547" ht="12.75" customHeight="1" s="117">
      <c r="A2547" s="91" t="n"/>
      <c r="B2547" s="91" t="n"/>
      <c r="C2547" s="91" t="n"/>
      <c r="D2547" s="91" t="n"/>
      <c r="E2547" s="91" t="n"/>
      <c r="F2547" s="91" t="n"/>
      <c r="G2547" s="91" t="n"/>
      <c r="H2547" s="91" t="n"/>
      <c r="I2547" s="91" t="n"/>
      <c r="J2547" s="91" t="n"/>
      <c r="K2547" s="91" t="n"/>
      <c r="L2547" s="91" t="n"/>
      <c r="M2547" s="91" t="n"/>
      <c r="N2547" s="91" t="n"/>
      <c r="O2547" s="91" t="n"/>
      <c r="P2547" s="91" t="n"/>
      <c r="Q2547" s="91" t="n"/>
      <c r="R2547" s="91" t="n"/>
      <c r="S2547" s="91" t="n"/>
      <c r="T2547" s="25">
        <f>DAY(C2547)</f>
        <v/>
      </c>
      <c r="U2547" s="22">
        <f>MONTH(C2547)</f>
        <v/>
      </c>
      <c r="V2547" s="91" t="n"/>
      <c r="W2547" s="91" t="n"/>
      <c r="X2547" s="91" t="n"/>
      <c r="Y2547" s="91" t="n"/>
      <c r="Z2547" s="91" t="n"/>
    </row>
    <row r="2548" ht="12.75" customHeight="1" s="117">
      <c r="A2548" s="91" t="n"/>
      <c r="B2548" s="91" t="n"/>
      <c r="C2548" s="91" t="n"/>
      <c r="D2548" s="91" t="n"/>
      <c r="E2548" s="91" t="n"/>
      <c r="F2548" s="91" t="n"/>
      <c r="G2548" s="91" t="n"/>
      <c r="H2548" s="91" t="n"/>
      <c r="I2548" s="91" t="n"/>
      <c r="J2548" s="91" t="n"/>
      <c r="K2548" s="91" t="n"/>
      <c r="L2548" s="91" t="n"/>
      <c r="M2548" s="91" t="n"/>
      <c r="N2548" s="91" t="n"/>
      <c r="O2548" s="91" t="n"/>
      <c r="P2548" s="91" t="n"/>
      <c r="Q2548" s="91" t="n"/>
      <c r="R2548" s="91" t="n"/>
      <c r="S2548" s="91" t="n"/>
      <c r="T2548" s="25">
        <f>DAY(C2548)</f>
        <v/>
      </c>
      <c r="U2548" s="22">
        <f>MONTH(C2548)</f>
        <v/>
      </c>
      <c r="V2548" s="91" t="n"/>
      <c r="W2548" s="91" t="n"/>
      <c r="X2548" s="91" t="n"/>
      <c r="Y2548" s="91" t="n"/>
      <c r="Z2548" s="91" t="n"/>
    </row>
    <row r="2549" ht="12.75" customHeight="1" s="117">
      <c r="A2549" s="91" t="n"/>
      <c r="B2549" s="91" t="n"/>
      <c r="C2549" s="91" t="n"/>
      <c r="D2549" s="91" t="n"/>
      <c r="E2549" s="91" t="n"/>
      <c r="F2549" s="91" t="n"/>
      <c r="G2549" s="91" t="n"/>
      <c r="H2549" s="91" t="n"/>
      <c r="I2549" s="91" t="n"/>
      <c r="J2549" s="91" t="n"/>
      <c r="K2549" s="91" t="n"/>
      <c r="L2549" s="91" t="n"/>
      <c r="M2549" s="91" t="n"/>
      <c r="N2549" s="91" t="n"/>
      <c r="O2549" s="91" t="n"/>
      <c r="P2549" s="91" t="n"/>
      <c r="Q2549" s="91" t="n"/>
      <c r="R2549" s="91" t="n"/>
      <c r="S2549" s="91" t="n"/>
      <c r="T2549" s="25">
        <f>DAY(C2549)</f>
        <v/>
      </c>
      <c r="U2549" s="22">
        <f>MONTH(C2549)</f>
        <v/>
      </c>
      <c r="V2549" s="91" t="n"/>
      <c r="W2549" s="91" t="n"/>
      <c r="X2549" s="91" t="n"/>
      <c r="Y2549" s="91" t="n"/>
      <c r="Z2549" s="91" t="n"/>
    </row>
    <row r="2550" ht="12.75" customHeight="1" s="117">
      <c r="A2550" s="91" t="n"/>
      <c r="B2550" s="91" t="n"/>
      <c r="C2550" s="91" t="n"/>
      <c r="D2550" s="91" t="n"/>
      <c r="E2550" s="91" t="n"/>
      <c r="F2550" s="91" t="n"/>
      <c r="G2550" s="91" t="n"/>
      <c r="H2550" s="91" t="n"/>
      <c r="I2550" s="91" t="n"/>
      <c r="J2550" s="91" t="n"/>
      <c r="K2550" s="91" t="n"/>
      <c r="L2550" s="91" t="n"/>
      <c r="M2550" s="91" t="n"/>
      <c r="N2550" s="91" t="n"/>
      <c r="O2550" s="91" t="n"/>
      <c r="P2550" s="91" t="n"/>
      <c r="Q2550" s="91" t="n"/>
      <c r="R2550" s="91" t="n"/>
      <c r="S2550" s="91" t="n"/>
      <c r="T2550" s="25">
        <f>DAY(C2550)</f>
        <v/>
      </c>
      <c r="U2550" s="22">
        <f>MONTH(C2550)</f>
        <v/>
      </c>
      <c r="V2550" s="91" t="n"/>
      <c r="W2550" s="91" t="n"/>
      <c r="X2550" s="91" t="n"/>
      <c r="Y2550" s="91" t="n"/>
      <c r="Z2550" s="91" t="n"/>
    </row>
    <row r="2551" ht="12.75" customHeight="1" s="117">
      <c r="A2551" s="91" t="n"/>
      <c r="B2551" s="91" t="n"/>
      <c r="C2551" s="91" t="n"/>
      <c r="D2551" s="91" t="n"/>
      <c r="E2551" s="91" t="n"/>
      <c r="F2551" s="91" t="n"/>
      <c r="G2551" s="91" t="n"/>
      <c r="H2551" s="91" t="n"/>
      <c r="I2551" s="91" t="n"/>
      <c r="J2551" s="91" t="n"/>
      <c r="K2551" s="91" t="n"/>
      <c r="L2551" s="91" t="n"/>
      <c r="M2551" s="91" t="n"/>
      <c r="N2551" s="91" t="n"/>
      <c r="O2551" s="91" t="n"/>
      <c r="P2551" s="91" t="n"/>
      <c r="Q2551" s="91" t="n"/>
      <c r="R2551" s="91" t="n"/>
      <c r="S2551" s="91" t="n"/>
      <c r="T2551" s="25">
        <f>DAY(C2551)</f>
        <v/>
      </c>
      <c r="U2551" s="22">
        <f>MONTH(C2551)</f>
        <v/>
      </c>
      <c r="V2551" s="91" t="n"/>
      <c r="W2551" s="91" t="n"/>
      <c r="X2551" s="91" t="n"/>
      <c r="Y2551" s="91" t="n"/>
      <c r="Z2551" s="91" t="n"/>
    </row>
    <row r="2552" ht="12.75" customHeight="1" s="117">
      <c r="A2552" s="91" t="n"/>
      <c r="B2552" s="91" t="n"/>
      <c r="C2552" s="91" t="n"/>
      <c r="D2552" s="91" t="n"/>
      <c r="E2552" s="91" t="n"/>
      <c r="F2552" s="91" t="n"/>
      <c r="G2552" s="91" t="n"/>
      <c r="H2552" s="91" t="n"/>
      <c r="I2552" s="91" t="n"/>
      <c r="J2552" s="91" t="n"/>
      <c r="K2552" s="91" t="n"/>
      <c r="L2552" s="91" t="n"/>
      <c r="M2552" s="91" t="n"/>
      <c r="N2552" s="91" t="n"/>
      <c r="O2552" s="91" t="n"/>
      <c r="P2552" s="91" t="n"/>
      <c r="Q2552" s="91" t="n"/>
      <c r="R2552" s="91" t="n"/>
      <c r="S2552" s="91" t="n"/>
      <c r="T2552" s="25">
        <f>DAY(C2552)</f>
        <v/>
      </c>
      <c r="U2552" s="22">
        <f>MONTH(C2552)</f>
        <v/>
      </c>
      <c r="V2552" s="91" t="n"/>
      <c r="W2552" s="91" t="n"/>
      <c r="X2552" s="91" t="n"/>
      <c r="Y2552" s="91" t="n"/>
      <c r="Z2552" s="91" t="n"/>
    </row>
    <row r="2553" ht="12.75" customHeight="1" s="117">
      <c r="A2553" s="91" t="n"/>
      <c r="B2553" s="91" t="n"/>
      <c r="C2553" s="91" t="n"/>
      <c r="D2553" s="91" t="n"/>
      <c r="E2553" s="91" t="n"/>
      <c r="F2553" s="91" t="n"/>
      <c r="G2553" s="91" t="n"/>
      <c r="H2553" s="91" t="n"/>
      <c r="I2553" s="91" t="n"/>
      <c r="J2553" s="91" t="n"/>
      <c r="K2553" s="91" t="n"/>
      <c r="L2553" s="91" t="n"/>
      <c r="M2553" s="91" t="n"/>
      <c r="N2553" s="91" t="n"/>
      <c r="O2553" s="91" t="n"/>
      <c r="P2553" s="91" t="n"/>
      <c r="Q2553" s="91" t="n"/>
      <c r="R2553" s="91" t="n"/>
      <c r="S2553" s="91" t="n"/>
      <c r="T2553" s="25">
        <f>DAY(C2553)</f>
        <v/>
      </c>
      <c r="U2553" s="22">
        <f>MONTH(C2553)</f>
        <v/>
      </c>
      <c r="V2553" s="91" t="n"/>
      <c r="W2553" s="91" t="n"/>
      <c r="X2553" s="91" t="n"/>
      <c r="Y2553" s="91" t="n"/>
      <c r="Z2553" s="91" t="n"/>
    </row>
    <row r="2554" ht="12.75" customHeight="1" s="117">
      <c r="A2554" s="91" t="n"/>
      <c r="B2554" s="91" t="n"/>
      <c r="C2554" s="91" t="n"/>
      <c r="D2554" s="91" t="n"/>
      <c r="E2554" s="91" t="n"/>
      <c r="F2554" s="91" t="n"/>
      <c r="G2554" s="91" t="n"/>
      <c r="H2554" s="91" t="n"/>
      <c r="I2554" s="91" t="n"/>
      <c r="J2554" s="91" t="n"/>
      <c r="K2554" s="91" t="n"/>
      <c r="L2554" s="91" t="n"/>
      <c r="M2554" s="91" t="n"/>
      <c r="N2554" s="91" t="n"/>
      <c r="O2554" s="91" t="n"/>
      <c r="P2554" s="91" t="n"/>
      <c r="Q2554" s="91" t="n"/>
      <c r="R2554" s="91" t="n"/>
      <c r="S2554" s="91" t="n"/>
      <c r="T2554" s="25">
        <f>DAY(C2554)</f>
        <v/>
      </c>
      <c r="U2554" s="22">
        <f>MONTH(C2554)</f>
        <v/>
      </c>
      <c r="V2554" s="91" t="n"/>
      <c r="W2554" s="91" t="n"/>
      <c r="X2554" s="91" t="n"/>
      <c r="Y2554" s="91" t="n"/>
      <c r="Z2554" s="91" t="n"/>
    </row>
    <row r="2555" ht="12.75" customHeight="1" s="117">
      <c r="A2555" s="91" t="n"/>
      <c r="B2555" s="91" t="n"/>
      <c r="C2555" s="91" t="n"/>
      <c r="D2555" s="91" t="n"/>
      <c r="E2555" s="91" t="n"/>
      <c r="F2555" s="91" t="n"/>
      <c r="G2555" s="91" t="n"/>
      <c r="H2555" s="91" t="n"/>
      <c r="I2555" s="91" t="n"/>
      <c r="J2555" s="91" t="n"/>
      <c r="K2555" s="91" t="n"/>
      <c r="L2555" s="91" t="n"/>
      <c r="M2555" s="91" t="n"/>
      <c r="N2555" s="91" t="n"/>
      <c r="O2555" s="91" t="n"/>
      <c r="P2555" s="91" t="n"/>
      <c r="Q2555" s="91" t="n"/>
      <c r="R2555" s="91" t="n"/>
      <c r="S2555" s="91" t="n"/>
      <c r="T2555" s="25">
        <f>DAY(C2555)</f>
        <v/>
      </c>
      <c r="U2555" s="22">
        <f>MONTH(C2555)</f>
        <v/>
      </c>
      <c r="V2555" s="91" t="n"/>
      <c r="W2555" s="91" t="n"/>
      <c r="X2555" s="91" t="n"/>
      <c r="Y2555" s="91" t="n"/>
      <c r="Z2555" s="91" t="n"/>
    </row>
    <row r="2556" ht="12.75" customHeight="1" s="117">
      <c r="A2556" s="91" t="n"/>
      <c r="B2556" s="91" t="n"/>
      <c r="C2556" s="91" t="n"/>
      <c r="D2556" s="91" t="n"/>
      <c r="E2556" s="91" t="n"/>
      <c r="F2556" s="91" t="n"/>
      <c r="G2556" s="91" t="n"/>
      <c r="H2556" s="91" t="n"/>
      <c r="I2556" s="91" t="n"/>
      <c r="J2556" s="91" t="n"/>
      <c r="K2556" s="91" t="n"/>
      <c r="L2556" s="91" t="n"/>
      <c r="M2556" s="91" t="n"/>
      <c r="N2556" s="91" t="n"/>
      <c r="O2556" s="91" t="n"/>
      <c r="P2556" s="91" t="n"/>
      <c r="Q2556" s="91" t="n"/>
      <c r="R2556" s="91" t="n"/>
      <c r="S2556" s="91" t="n"/>
      <c r="T2556" s="25">
        <f>DAY(C2556)</f>
        <v/>
      </c>
      <c r="U2556" s="22">
        <f>MONTH(C2556)</f>
        <v/>
      </c>
      <c r="V2556" s="91" t="n"/>
      <c r="W2556" s="91" t="n"/>
      <c r="X2556" s="91" t="n"/>
      <c r="Y2556" s="91" t="n"/>
      <c r="Z2556" s="91" t="n"/>
    </row>
    <row r="2557" ht="12.75" customHeight="1" s="117">
      <c r="A2557" s="91" t="n"/>
      <c r="B2557" s="91" t="n"/>
      <c r="C2557" s="91" t="n"/>
      <c r="D2557" s="91" t="n"/>
      <c r="E2557" s="91" t="n"/>
      <c r="F2557" s="91" t="n"/>
      <c r="G2557" s="91" t="n"/>
      <c r="H2557" s="91" t="n"/>
      <c r="I2557" s="91" t="n"/>
      <c r="J2557" s="91" t="n"/>
      <c r="K2557" s="91" t="n"/>
      <c r="L2557" s="91" t="n"/>
      <c r="M2557" s="91" t="n"/>
      <c r="N2557" s="91" t="n"/>
      <c r="O2557" s="91" t="n"/>
      <c r="P2557" s="91" t="n"/>
      <c r="Q2557" s="91" t="n"/>
      <c r="R2557" s="91" t="n"/>
      <c r="S2557" s="91" t="n"/>
      <c r="T2557" s="25">
        <f>DAY(C2557)</f>
        <v/>
      </c>
      <c r="U2557" s="22">
        <f>MONTH(C2557)</f>
        <v/>
      </c>
      <c r="V2557" s="91" t="n"/>
      <c r="W2557" s="91" t="n"/>
      <c r="X2557" s="91" t="n"/>
      <c r="Y2557" s="91" t="n"/>
      <c r="Z2557" s="91" t="n"/>
    </row>
    <row r="2558" ht="12.75" customHeight="1" s="117">
      <c r="A2558" s="91" t="n"/>
      <c r="B2558" s="91" t="n"/>
      <c r="C2558" s="91" t="n"/>
      <c r="D2558" s="91" t="n"/>
      <c r="E2558" s="91" t="n"/>
      <c r="F2558" s="91" t="n"/>
      <c r="G2558" s="91" t="n"/>
      <c r="H2558" s="91" t="n"/>
      <c r="I2558" s="91" t="n"/>
      <c r="J2558" s="91" t="n"/>
      <c r="K2558" s="91" t="n"/>
      <c r="L2558" s="91" t="n"/>
      <c r="M2558" s="91" t="n"/>
      <c r="N2558" s="91" t="n"/>
      <c r="O2558" s="91" t="n"/>
      <c r="P2558" s="91" t="n"/>
      <c r="Q2558" s="91" t="n"/>
      <c r="R2558" s="91" t="n"/>
      <c r="S2558" s="91" t="n"/>
      <c r="T2558" s="25">
        <f>DAY(C2558)</f>
        <v/>
      </c>
      <c r="U2558" s="22">
        <f>MONTH(C2558)</f>
        <v/>
      </c>
      <c r="V2558" s="91" t="n"/>
      <c r="W2558" s="91" t="n"/>
      <c r="X2558" s="91" t="n"/>
      <c r="Y2558" s="91" t="n"/>
      <c r="Z2558" s="91" t="n"/>
    </row>
    <row r="2559" ht="12.75" customHeight="1" s="117">
      <c r="A2559" s="91" t="n"/>
      <c r="B2559" s="91" t="n"/>
      <c r="C2559" s="91" t="n"/>
      <c r="D2559" s="91" t="n"/>
      <c r="E2559" s="91" t="n"/>
      <c r="F2559" s="91" t="n"/>
      <c r="G2559" s="91" t="n"/>
      <c r="H2559" s="91" t="n"/>
      <c r="I2559" s="91" t="n"/>
      <c r="J2559" s="91" t="n"/>
      <c r="K2559" s="91" t="n"/>
      <c r="L2559" s="91" t="n"/>
      <c r="M2559" s="91" t="n"/>
      <c r="N2559" s="91" t="n"/>
      <c r="O2559" s="91" t="n"/>
      <c r="P2559" s="91" t="n"/>
      <c r="Q2559" s="91" t="n"/>
      <c r="R2559" s="91" t="n"/>
      <c r="S2559" s="91" t="n"/>
      <c r="T2559" s="25">
        <f>DAY(C2559)</f>
        <v/>
      </c>
      <c r="U2559" s="22">
        <f>MONTH(C2559)</f>
        <v/>
      </c>
      <c r="V2559" s="91" t="n"/>
      <c r="W2559" s="91" t="n"/>
      <c r="X2559" s="91" t="n"/>
      <c r="Y2559" s="91" t="n"/>
      <c r="Z2559" s="91" t="n"/>
    </row>
    <row r="2560" ht="12.75" customHeight="1" s="117">
      <c r="A2560" s="91" t="n"/>
      <c r="B2560" s="91" t="n"/>
      <c r="C2560" s="91" t="n"/>
      <c r="D2560" s="91" t="n"/>
      <c r="E2560" s="91" t="n"/>
      <c r="F2560" s="91" t="n"/>
      <c r="G2560" s="91" t="n"/>
      <c r="H2560" s="91" t="n"/>
      <c r="I2560" s="91" t="n"/>
      <c r="J2560" s="91" t="n"/>
      <c r="K2560" s="91" t="n"/>
      <c r="L2560" s="91" t="n"/>
      <c r="M2560" s="91" t="n"/>
      <c r="N2560" s="91" t="n"/>
      <c r="O2560" s="91" t="n"/>
      <c r="P2560" s="91" t="n"/>
      <c r="Q2560" s="91" t="n"/>
      <c r="R2560" s="91" t="n"/>
      <c r="S2560" s="91" t="n"/>
      <c r="T2560" s="25">
        <f>DAY(C2560)</f>
        <v/>
      </c>
      <c r="U2560" s="22">
        <f>MONTH(C2560)</f>
        <v/>
      </c>
      <c r="V2560" s="91" t="n"/>
      <c r="W2560" s="91" t="n"/>
      <c r="X2560" s="91" t="n"/>
      <c r="Y2560" s="91" t="n"/>
      <c r="Z2560" s="91" t="n"/>
    </row>
    <row r="2561" ht="12.75" customHeight="1" s="117">
      <c r="A2561" s="91" t="n"/>
      <c r="B2561" s="91" t="n"/>
      <c r="C2561" s="91" t="n"/>
      <c r="D2561" s="91" t="n"/>
      <c r="E2561" s="91" t="n"/>
      <c r="F2561" s="91" t="n"/>
      <c r="G2561" s="91" t="n"/>
      <c r="H2561" s="91" t="n"/>
      <c r="I2561" s="91" t="n"/>
      <c r="J2561" s="91" t="n"/>
      <c r="K2561" s="91" t="n"/>
      <c r="L2561" s="91" t="n"/>
      <c r="M2561" s="91" t="n"/>
      <c r="N2561" s="91" t="n"/>
      <c r="O2561" s="91" t="n"/>
      <c r="P2561" s="91" t="n"/>
      <c r="Q2561" s="91" t="n"/>
      <c r="R2561" s="91" t="n"/>
      <c r="S2561" s="91" t="n"/>
      <c r="T2561" s="25">
        <f>DAY(C2561)</f>
        <v/>
      </c>
      <c r="U2561" s="22">
        <f>MONTH(C2561)</f>
        <v/>
      </c>
      <c r="V2561" s="91" t="n"/>
      <c r="W2561" s="91" t="n"/>
      <c r="X2561" s="91" t="n"/>
      <c r="Y2561" s="91" t="n"/>
      <c r="Z2561" s="91" t="n"/>
    </row>
    <row r="2562" ht="12.75" customHeight="1" s="117">
      <c r="A2562" s="91" t="n"/>
      <c r="B2562" s="91" t="n"/>
      <c r="C2562" s="91" t="n"/>
      <c r="D2562" s="91" t="n"/>
      <c r="E2562" s="91" t="n"/>
      <c r="F2562" s="91" t="n"/>
      <c r="G2562" s="91" t="n"/>
      <c r="H2562" s="91" t="n"/>
      <c r="I2562" s="91" t="n"/>
      <c r="J2562" s="91" t="n"/>
      <c r="K2562" s="91" t="n"/>
      <c r="L2562" s="91" t="n"/>
      <c r="M2562" s="91" t="n"/>
      <c r="N2562" s="91" t="n"/>
      <c r="O2562" s="91" t="n"/>
      <c r="P2562" s="91" t="n"/>
      <c r="Q2562" s="91" t="n"/>
      <c r="R2562" s="91" t="n"/>
      <c r="S2562" s="91" t="n"/>
      <c r="T2562" s="25">
        <f>DAY(C2562)</f>
        <v/>
      </c>
      <c r="U2562" s="22">
        <f>MONTH(C2562)</f>
        <v/>
      </c>
      <c r="V2562" s="91" t="n"/>
      <c r="W2562" s="91" t="n"/>
      <c r="X2562" s="91" t="n"/>
      <c r="Y2562" s="91" t="n"/>
      <c r="Z2562" s="91" t="n"/>
    </row>
    <row r="2563" ht="12.75" customHeight="1" s="117">
      <c r="A2563" s="91" t="n"/>
      <c r="B2563" s="91" t="n"/>
      <c r="C2563" s="91" t="n"/>
      <c r="D2563" s="91" t="n"/>
      <c r="E2563" s="91" t="n"/>
      <c r="F2563" s="91" t="n"/>
      <c r="G2563" s="91" t="n"/>
      <c r="H2563" s="91" t="n"/>
      <c r="I2563" s="91" t="n"/>
      <c r="J2563" s="91" t="n"/>
      <c r="K2563" s="91" t="n"/>
      <c r="L2563" s="91" t="n"/>
      <c r="M2563" s="91" t="n"/>
      <c r="N2563" s="91" t="n"/>
      <c r="O2563" s="91" t="n"/>
      <c r="P2563" s="91" t="n"/>
      <c r="Q2563" s="91" t="n"/>
      <c r="R2563" s="91" t="n"/>
      <c r="S2563" s="91" t="n"/>
      <c r="T2563" s="25">
        <f>DAY(C2563)</f>
        <v/>
      </c>
      <c r="U2563" s="22">
        <f>MONTH(C2563)</f>
        <v/>
      </c>
      <c r="V2563" s="91" t="n"/>
      <c r="W2563" s="91" t="n"/>
      <c r="X2563" s="91" t="n"/>
      <c r="Y2563" s="91" t="n"/>
      <c r="Z2563" s="91" t="n"/>
    </row>
    <row r="2564" ht="12.75" customHeight="1" s="117">
      <c r="A2564" s="91" t="n"/>
      <c r="B2564" s="91" t="n"/>
      <c r="C2564" s="91" t="n"/>
      <c r="D2564" s="91" t="n"/>
      <c r="E2564" s="91" t="n"/>
      <c r="F2564" s="91" t="n"/>
      <c r="G2564" s="91" t="n"/>
      <c r="H2564" s="91" t="n"/>
      <c r="I2564" s="91" t="n"/>
      <c r="J2564" s="91" t="n"/>
      <c r="K2564" s="91" t="n"/>
      <c r="L2564" s="91" t="n"/>
      <c r="M2564" s="91" t="n"/>
      <c r="N2564" s="91" t="n"/>
      <c r="O2564" s="91" t="n"/>
      <c r="P2564" s="91" t="n"/>
      <c r="Q2564" s="91" t="n"/>
      <c r="R2564" s="91" t="n"/>
      <c r="S2564" s="91" t="n"/>
      <c r="T2564" s="25">
        <f>DAY(C2564)</f>
        <v/>
      </c>
      <c r="U2564" s="22">
        <f>MONTH(C2564)</f>
        <v/>
      </c>
      <c r="V2564" s="91" t="n"/>
      <c r="W2564" s="91" t="n"/>
      <c r="X2564" s="91" t="n"/>
      <c r="Y2564" s="91" t="n"/>
      <c r="Z2564" s="91" t="n"/>
    </row>
    <row r="2565" ht="12.75" customHeight="1" s="117">
      <c r="A2565" s="91" t="n"/>
      <c r="B2565" s="91" t="n"/>
      <c r="C2565" s="91" t="n"/>
      <c r="D2565" s="91" t="n"/>
      <c r="E2565" s="91" t="n"/>
      <c r="F2565" s="91" t="n"/>
      <c r="G2565" s="91" t="n"/>
      <c r="H2565" s="91" t="n"/>
      <c r="I2565" s="91" t="n"/>
      <c r="J2565" s="91" t="n"/>
      <c r="K2565" s="91" t="n"/>
      <c r="L2565" s="91" t="n"/>
      <c r="M2565" s="91" t="n"/>
      <c r="N2565" s="91" t="n"/>
      <c r="O2565" s="91" t="n"/>
      <c r="P2565" s="91" t="n"/>
      <c r="Q2565" s="91" t="n"/>
      <c r="R2565" s="91" t="n"/>
      <c r="S2565" s="91" t="n"/>
      <c r="T2565" s="25">
        <f>DAY(C2565)</f>
        <v/>
      </c>
      <c r="U2565" s="22">
        <f>MONTH(C2565)</f>
        <v/>
      </c>
      <c r="V2565" s="91" t="n"/>
      <c r="W2565" s="91" t="n"/>
      <c r="X2565" s="91" t="n"/>
      <c r="Y2565" s="91" t="n"/>
      <c r="Z2565" s="91" t="n"/>
    </row>
    <row r="2566" ht="12.75" customHeight="1" s="117">
      <c r="A2566" s="91" t="n"/>
      <c r="B2566" s="91" t="n"/>
      <c r="C2566" s="91" t="n"/>
      <c r="D2566" s="91" t="n"/>
      <c r="E2566" s="91" t="n"/>
      <c r="F2566" s="91" t="n"/>
      <c r="G2566" s="91" t="n"/>
      <c r="H2566" s="91" t="n"/>
      <c r="I2566" s="91" t="n"/>
      <c r="J2566" s="91" t="n"/>
      <c r="K2566" s="91" t="n"/>
      <c r="L2566" s="91" t="n"/>
      <c r="M2566" s="91" t="n"/>
      <c r="N2566" s="91" t="n"/>
      <c r="O2566" s="91" t="n"/>
      <c r="P2566" s="91" t="n"/>
      <c r="Q2566" s="91" t="n"/>
      <c r="R2566" s="91" t="n"/>
      <c r="S2566" s="91" t="n"/>
      <c r="T2566" s="25">
        <f>DAY(C2566)</f>
        <v/>
      </c>
      <c r="U2566" s="22">
        <f>MONTH(C2566)</f>
        <v/>
      </c>
      <c r="V2566" s="91" t="n"/>
      <c r="W2566" s="91" t="n"/>
      <c r="X2566" s="91" t="n"/>
      <c r="Y2566" s="91" t="n"/>
      <c r="Z2566" s="91" t="n"/>
    </row>
    <row r="2567" ht="12.75" customHeight="1" s="117">
      <c r="A2567" s="91" t="n"/>
      <c r="B2567" s="91" t="n"/>
      <c r="C2567" s="91" t="n"/>
      <c r="D2567" s="91" t="n"/>
      <c r="E2567" s="91" t="n"/>
      <c r="F2567" s="91" t="n"/>
      <c r="G2567" s="91" t="n"/>
      <c r="H2567" s="91" t="n"/>
      <c r="I2567" s="91" t="n"/>
      <c r="J2567" s="91" t="n"/>
      <c r="K2567" s="91" t="n"/>
      <c r="L2567" s="91" t="n"/>
      <c r="M2567" s="91" t="n"/>
      <c r="N2567" s="91" t="n"/>
      <c r="O2567" s="91" t="n"/>
      <c r="P2567" s="91" t="n"/>
      <c r="Q2567" s="91" t="n"/>
      <c r="R2567" s="91" t="n"/>
      <c r="S2567" s="91" t="n"/>
      <c r="T2567" s="25">
        <f>DAY(C2567)</f>
        <v/>
      </c>
      <c r="U2567" s="22">
        <f>MONTH(C2567)</f>
        <v/>
      </c>
      <c r="V2567" s="91" t="n"/>
      <c r="W2567" s="91" t="n"/>
      <c r="X2567" s="91" t="n"/>
      <c r="Y2567" s="91" t="n"/>
      <c r="Z2567" s="91" t="n"/>
    </row>
    <row r="2568" ht="12.75" customHeight="1" s="117">
      <c r="A2568" s="91" t="n"/>
      <c r="B2568" s="91" t="n"/>
      <c r="C2568" s="91" t="n"/>
      <c r="D2568" s="91" t="n"/>
      <c r="E2568" s="91" t="n"/>
      <c r="F2568" s="91" t="n"/>
      <c r="G2568" s="91" t="n"/>
      <c r="H2568" s="91" t="n"/>
      <c r="I2568" s="91" t="n"/>
      <c r="J2568" s="91" t="n"/>
      <c r="K2568" s="91" t="n"/>
      <c r="L2568" s="91" t="n"/>
      <c r="M2568" s="91" t="n"/>
      <c r="N2568" s="91" t="n"/>
      <c r="O2568" s="91" t="n"/>
      <c r="P2568" s="91" t="n"/>
      <c r="Q2568" s="91" t="n"/>
      <c r="R2568" s="91" t="n"/>
      <c r="S2568" s="91" t="n"/>
      <c r="T2568" s="25">
        <f>DAY(C2568)</f>
        <v/>
      </c>
      <c r="U2568" s="22">
        <f>MONTH(C2568)</f>
        <v/>
      </c>
      <c r="V2568" s="91" t="n"/>
      <c r="W2568" s="91" t="n"/>
      <c r="X2568" s="91" t="n"/>
      <c r="Y2568" s="91" t="n"/>
      <c r="Z2568" s="91" t="n"/>
    </row>
    <row r="2569" ht="12.75" customHeight="1" s="117">
      <c r="A2569" s="91" t="n"/>
      <c r="B2569" s="91" t="n"/>
      <c r="C2569" s="91" t="n"/>
      <c r="D2569" s="91" t="n"/>
      <c r="E2569" s="91" t="n"/>
      <c r="F2569" s="91" t="n"/>
      <c r="G2569" s="91" t="n"/>
      <c r="H2569" s="91" t="n"/>
      <c r="I2569" s="91" t="n"/>
      <c r="J2569" s="91" t="n"/>
      <c r="K2569" s="91" t="n"/>
      <c r="L2569" s="91" t="n"/>
      <c r="M2569" s="91" t="n"/>
      <c r="N2569" s="91" t="n"/>
      <c r="O2569" s="91" t="n"/>
      <c r="P2569" s="91" t="n"/>
      <c r="Q2569" s="91" t="n"/>
      <c r="R2569" s="91" t="n"/>
      <c r="S2569" s="91" t="n"/>
      <c r="T2569" s="25">
        <f>DAY(C2569)</f>
        <v/>
      </c>
      <c r="U2569" s="22">
        <f>MONTH(C2569)</f>
        <v/>
      </c>
      <c r="V2569" s="91" t="n"/>
      <c r="W2569" s="91" t="n"/>
      <c r="X2569" s="91" t="n"/>
      <c r="Y2569" s="91" t="n"/>
      <c r="Z2569" s="91" t="n"/>
    </row>
    <row r="2570" ht="12.75" customHeight="1" s="117">
      <c r="A2570" s="91" t="n"/>
      <c r="B2570" s="91" t="n"/>
      <c r="C2570" s="91" t="n"/>
      <c r="D2570" s="91" t="n"/>
      <c r="E2570" s="91" t="n"/>
      <c r="F2570" s="91" t="n"/>
      <c r="G2570" s="91" t="n"/>
      <c r="H2570" s="91" t="n"/>
      <c r="I2570" s="91" t="n"/>
      <c r="J2570" s="91" t="n"/>
      <c r="K2570" s="91" t="n"/>
      <c r="L2570" s="91" t="n"/>
      <c r="M2570" s="91" t="n"/>
      <c r="N2570" s="91" t="n"/>
      <c r="O2570" s="91" t="n"/>
      <c r="P2570" s="91" t="n"/>
      <c r="Q2570" s="91" t="n"/>
      <c r="R2570" s="91" t="n"/>
      <c r="S2570" s="91" t="n"/>
      <c r="T2570" s="25">
        <f>DAY(C2570)</f>
        <v/>
      </c>
      <c r="U2570" s="22">
        <f>MONTH(C2570)</f>
        <v/>
      </c>
      <c r="V2570" s="91" t="n"/>
      <c r="W2570" s="91" t="n"/>
      <c r="X2570" s="91" t="n"/>
      <c r="Y2570" s="91" t="n"/>
      <c r="Z2570" s="91" t="n"/>
    </row>
    <row r="2571" ht="12.75" customHeight="1" s="117">
      <c r="A2571" s="91" t="n"/>
      <c r="B2571" s="91" t="n"/>
      <c r="C2571" s="91" t="n"/>
      <c r="D2571" s="91" t="n"/>
      <c r="E2571" s="91" t="n"/>
      <c r="F2571" s="91" t="n"/>
      <c r="G2571" s="91" t="n"/>
      <c r="H2571" s="91" t="n"/>
      <c r="I2571" s="91" t="n"/>
      <c r="J2571" s="91" t="n"/>
      <c r="K2571" s="91" t="n"/>
      <c r="L2571" s="91" t="n"/>
      <c r="M2571" s="91" t="n"/>
      <c r="N2571" s="91" t="n"/>
      <c r="O2571" s="91" t="n"/>
      <c r="P2571" s="91" t="n"/>
      <c r="Q2571" s="91" t="n"/>
      <c r="R2571" s="91" t="n"/>
      <c r="S2571" s="91" t="n"/>
      <c r="T2571" s="25">
        <f>DAY(C2571)</f>
        <v/>
      </c>
      <c r="U2571" s="22">
        <f>MONTH(C2571)</f>
        <v/>
      </c>
      <c r="V2571" s="91" t="n"/>
      <c r="W2571" s="91" t="n"/>
      <c r="X2571" s="91" t="n"/>
      <c r="Y2571" s="91" t="n"/>
      <c r="Z2571" s="91" t="n"/>
    </row>
    <row r="2572" ht="12.75" customHeight="1" s="117">
      <c r="A2572" s="91" t="n"/>
      <c r="B2572" s="91" t="n"/>
      <c r="C2572" s="91" t="n"/>
      <c r="D2572" s="91" t="n"/>
      <c r="E2572" s="91" t="n"/>
      <c r="F2572" s="91" t="n"/>
      <c r="G2572" s="91" t="n"/>
      <c r="H2572" s="91" t="n"/>
      <c r="I2572" s="91" t="n"/>
      <c r="J2572" s="91" t="n"/>
      <c r="K2572" s="91" t="n"/>
      <c r="L2572" s="91" t="n"/>
      <c r="M2572" s="91" t="n"/>
      <c r="N2572" s="91" t="n"/>
      <c r="O2572" s="91" t="n"/>
      <c r="P2572" s="91" t="n"/>
      <c r="Q2572" s="91" t="n"/>
      <c r="R2572" s="91" t="n"/>
      <c r="S2572" s="91" t="n"/>
      <c r="T2572" s="25">
        <f>DAY(C2572)</f>
        <v/>
      </c>
      <c r="U2572" s="22">
        <f>MONTH(C2572)</f>
        <v/>
      </c>
      <c r="V2572" s="91" t="n"/>
      <c r="W2572" s="91" t="n"/>
      <c r="X2572" s="91" t="n"/>
      <c r="Y2572" s="91" t="n"/>
      <c r="Z2572" s="91" t="n"/>
    </row>
    <row r="2573" ht="12.75" customHeight="1" s="117">
      <c r="A2573" s="91" t="n"/>
      <c r="B2573" s="91" t="n"/>
      <c r="C2573" s="91" t="n"/>
      <c r="D2573" s="91" t="n"/>
      <c r="E2573" s="91" t="n"/>
      <c r="F2573" s="91" t="n"/>
      <c r="G2573" s="91" t="n"/>
      <c r="H2573" s="91" t="n"/>
      <c r="I2573" s="91" t="n"/>
      <c r="J2573" s="91" t="n"/>
      <c r="K2573" s="91" t="n"/>
      <c r="L2573" s="91" t="n"/>
      <c r="M2573" s="91" t="n"/>
      <c r="N2573" s="91" t="n"/>
      <c r="O2573" s="91" t="n"/>
      <c r="P2573" s="91" t="n"/>
      <c r="Q2573" s="91" t="n"/>
      <c r="R2573" s="91" t="n"/>
      <c r="S2573" s="91" t="n"/>
      <c r="T2573" s="25">
        <f>DAY(C2573)</f>
        <v/>
      </c>
      <c r="U2573" s="22">
        <f>MONTH(C2573)</f>
        <v/>
      </c>
      <c r="V2573" s="91" t="n"/>
      <c r="W2573" s="91" t="n"/>
      <c r="X2573" s="91" t="n"/>
      <c r="Y2573" s="91" t="n"/>
      <c r="Z2573" s="91" t="n"/>
    </row>
    <row r="2574" ht="12.75" customHeight="1" s="117">
      <c r="A2574" s="91" t="n"/>
      <c r="B2574" s="91" t="n"/>
      <c r="C2574" s="91" t="n"/>
      <c r="D2574" s="91" t="n"/>
      <c r="E2574" s="91" t="n"/>
      <c r="F2574" s="91" t="n"/>
      <c r="G2574" s="91" t="n"/>
      <c r="H2574" s="91" t="n"/>
      <c r="I2574" s="91" t="n"/>
      <c r="J2574" s="91" t="n"/>
      <c r="K2574" s="91" t="n"/>
      <c r="L2574" s="91" t="n"/>
      <c r="M2574" s="91" t="n"/>
      <c r="N2574" s="91" t="n"/>
      <c r="O2574" s="91" t="n"/>
      <c r="P2574" s="91" t="n"/>
      <c r="Q2574" s="91" t="n"/>
      <c r="R2574" s="91" t="n"/>
      <c r="S2574" s="91" t="n"/>
      <c r="T2574" s="25">
        <f>DAY(C2574)</f>
        <v/>
      </c>
      <c r="U2574" s="22">
        <f>MONTH(C2574)</f>
        <v/>
      </c>
      <c r="V2574" s="91" t="n"/>
      <c r="W2574" s="91" t="n"/>
      <c r="X2574" s="91" t="n"/>
      <c r="Y2574" s="91" t="n"/>
      <c r="Z2574" s="91" t="n"/>
    </row>
    <row r="2575" ht="12.75" customHeight="1" s="117">
      <c r="A2575" s="91" t="n"/>
      <c r="B2575" s="91" t="n"/>
      <c r="C2575" s="91" t="n"/>
      <c r="D2575" s="91" t="n"/>
      <c r="E2575" s="91" t="n"/>
      <c r="F2575" s="91" t="n"/>
      <c r="G2575" s="91" t="n"/>
      <c r="H2575" s="91" t="n"/>
      <c r="I2575" s="91" t="n"/>
      <c r="J2575" s="91" t="n"/>
      <c r="K2575" s="91" t="n"/>
      <c r="L2575" s="91" t="n"/>
      <c r="M2575" s="91" t="n"/>
      <c r="N2575" s="91" t="n"/>
      <c r="O2575" s="91" t="n"/>
      <c r="P2575" s="91" t="n"/>
      <c r="Q2575" s="91" t="n"/>
      <c r="R2575" s="91" t="n"/>
      <c r="S2575" s="91" t="n"/>
      <c r="T2575" s="25">
        <f>DAY(C2575)</f>
        <v/>
      </c>
      <c r="U2575" s="22">
        <f>MONTH(C2575)</f>
        <v/>
      </c>
      <c r="V2575" s="91" t="n"/>
      <c r="W2575" s="91" t="n"/>
      <c r="X2575" s="91" t="n"/>
      <c r="Y2575" s="91" t="n"/>
      <c r="Z2575" s="91" t="n"/>
    </row>
    <row r="2576" ht="12.75" customHeight="1" s="117">
      <c r="A2576" s="91" t="n"/>
      <c r="B2576" s="91" t="n"/>
      <c r="C2576" s="91" t="n"/>
      <c r="D2576" s="91" t="n"/>
      <c r="E2576" s="91" t="n"/>
      <c r="F2576" s="91" t="n"/>
      <c r="G2576" s="91" t="n"/>
      <c r="H2576" s="91" t="n"/>
      <c r="I2576" s="91" t="n"/>
      <c r="J2576" s="91" t="n"/>
      <c r="K2576" s="91" t="n"/>
      <c r="L2576" s="91" t="n"/>
      <c r="M2576" s="91" t="n"/>
      <c r="N2576" s="91" t="n"/>
      <c r="O2576" s="91" t="n"/>
      <c r="P2576" s="91" t="n"/>
      <c r="Q2576" s="91" t="n"/>
      <c r="R2576" s="91" t="n"/>
      <c r="S2576" s="91" t="n"/>
      <c r="T2576" s="25">
        <f>DAY(C2576)</f>
        <v/>
      </c>
      <c r="U2576" s="22">
        <f>MONTH(C2576)</f>
        <v/>
      </c>
      <c r="V2576" s="91" t="n"/>
      <c r="W2576" s="91" t="n"/>
      <c r="X2576" s="91" t="n"/>
      <c r="Y2576" s="91" t="n"/>
      <c r="Z2576" s="91" t="n"/>
    </row>
    <row r="2577" ht="12.75" customHeight="1" s="117">
      <c r="A2577" s="91" t="n"/>
      <c r="B2577" s="91" t="n"/>
      <c r="C2577" s="91" t="n"/>
      <c r="D2577" s="91" t="n"/>
      <c r="E2577" s="91" t="n"/>
      <c r="F2577" s="91" t="n"/>
      <c r="G2577" s="91" t="n"/>
      <c r="H2577" s="91" t="n"/>
      <c r="I2577" s="91" t="n"/>
      <c r="J2577" s="91" t="n"/>
      <c r="K2577" s="91" t="n"/>
      <c r="L2577" s="91" t="n"/>
      <c r="M2577" s="91" t="n"/>
      <c r="N2577" s="91" t="n"/>
      <c r="O2577" s="91" t="n"/>
      <c r="P2577" s="91" t="n"/>
      <c r="Q2577" s="91" t="n"/>
      <c r="R2577" s="91" t="n"/>
      <c r="S2577" s="91" t="n"/>
      <c r="T2577" s="25">
        <f>DAY(C2577)</f>
        <v/>
      </c>
      <c r="U2577" s="22">
        <f>MONTH(C2577)</f>
        <v/>
      </c>
      <c r="V2577" s="91" t="n"/>
      <c r="W2577" s="91" t="n"/>
      <c r="X2577" s="91" t="n"/>
      <c r="Y2577" s="91" t="n"/>
      <c r="Z2577" s="91" t="n"/>
    </row>
    <row r="2578" ht="12.75" customHeight="1" s="117">
      <c r="A2578" s="91" t="n"/>
      <c r="B2578" s="91" t="n"/>
      <c r="C2578" s="91" t="n"/>
      <c r="D2578" s="91" t="n"/>
      <c r="E2578" s="91" t="n"/>
      <c r="F2578" s="91" t="n"/>
      <c r="G2578" s="91" t="n"/>
      <c r="H2578" s="91" t="n"/>
      <c r="I2578" s="91" t="n"/>
      <c r="J2578" s="91" t="n"/>
      <c r="K2578" s="91" t="n"/>
      <c r="L2578" s="91" t="n"/>
      <c r="M2578" s="91" t="n"/>
      <c r="N2578" s="91" t="n"/>
      <c r="O2578" s="91" t="n"/>
      <c r="P2578" s="91" t="n"/>
      <c r="Q2578" s="91" t="n"/>
      <c r="R2578" s="91" t="n"/>
      <c r="S2578" s="91" t="n"/>
      <c r="T2578" s="25">
        <f>DAY(C2578)</f>
        <v/>
      </c>
      <c r="U2578" s="22">
        <f>MONTH(C2578)</f>
        <v/>
      </c>
      <c r="V2578" s="91" t="n"/>
      <c r="W2578" s="91" t="n"/>
      <c r="X2578" s="91" t="n"/>
      <c r="Y2578" s="91" t="n"/>
      <c r="Z2578" s="91" t="n"/>
    </row>
    <row r="2579" ht="12.75" customHeight="1" s="117">
      <c r="A2579" s="91" t="n"/>
      <c r="B2579" s="91" t="n"/>
      <c r="C2579" s="91" t="n"/>
      <c r="D2579" s="91" t="n"/>
      <c r="E2579" s="91" t="n"/>
      <c r="F2579" s="91" t="n"/>
      <c r="G2579" s="91" t="n"/>
      <c r="H2579" s="91" t="n"/>
      <c r="I2579" s="91" t="n"/>
      <c r="J2579" s="91" t="n"/>
      <c r="K2579" s="91" t="n"/>
      <c r="L2579" s="91" t="n"/>
      <c r="M2579" s="91" t="n"/>
      <c r="N2579" s="91" t="n"/>
      <c r="O2579" s="91" t="n"/>
      <c r="P2579" s="91" t="n"/>
      <c r="Q2579" s="91" t="n"/>
      <c r="R2579" s="91" t="n"/>
      <c r="S2579" s="91" t="n"/>
      <c r="T2579" s="25">
        <f>DAY(C2579)</f>
        <v/>
      </c>
      <c r="U2579" s="22">
        <f>MONTH(C2579)</f>
        <v/>
      </c>
      <c r="V2579" s="91" t="n"/>
      <c r="W2579" s="91" t="n"/>
      <c r="X2579" s="91" t="n"/>
      <c r="Y2579" s="91" t="n"/>
      <c r="Z2579" s="91" t="n"/>
    </row>
    <row r="2580" ht="12.75" customHeight="1" s="117">
      <c r="A2580" s="91" t="n"/>
      <c r="B2580" s="91" t="n"/>
      <c r="C2580" s="91" t="n"/>
      <c r="D2580" s="91" t="n"/>
      <c r="E2580" s="91" t="n"/>
      <c r="F2580" s="91" t="n"/>
      <c r="G2580" s="91" t="n"/>
      <c r="H2580" s="91" t="n"/>
      <c r="I2580" s="91" t="n"/>
      <c r="J2580" s="91" t="n"/>
      <c r="K2580" s="91" t="n"/>
      <c r="L2580" s="91" t="n"/>
      <c r="M2580" s="91" t="n"/>
      <c r="N2580" s="91" t="n"/>
      <c r="O2580" s="91" t="n"/>
      <c r="P2580" s="91" t="n"/>
      <c r="Q2580" s="91" t="n"/>
      <c r="R2580" s="91" t="n"/>
      <c r="S2580" s="91" t="n"/>
      <c r="T2580" s="25">
        <f>DAY(C2580)</f>
        <v/>
      </c>
      <c r="U2580" s="22">
        <f>MONTH(C2580)</f>
        <v/>
      </c>
      <c r="V2580" s="91" t="n"/>
      <c r="W2580" s="91" t="n"/>
      <c r="X2580" s="91" t="n"/>
      <c r="Y2580" s="91" t="n"/>
      <c r="Z2580" s="91" t="n"/>
    </row>
    <row r="2581" ht="12.75" customHeight="1" s="117">
      <c r="A2581" s="91" t="n"/>
      <c r="B2581" s="91" t="n"/>
      <c r="C2581" s="91" t="n"/>
      <c r="D2581" s="91" t="n"/>
      <c r="E2581" s="91" t="n"/>
      <c r="F2581" s="91" t="n"/>
      <c r="G2581" s="91" t="n"/>
      <c r="H2581" s="91" t="n"/>
      <c r="I2581" s="91" t="n"/>
      <c r="J2581" s="91" t="n"/>
      <c r="K2581" s="91" t="n"/>
      <c r="L2581" s="91" t="n"/>
      <c r="M2581" s="91" t="n"/>
      <c r="N2581" s="91" t="n"/>
      <c r="O2581" s="91" t="n"/>
      <c r="P2581" s="91" t="n"/>
      <c r="Q2581" s="91" t="n"/>
      <c r="R2581" s="91" t="n"/>
      <c r="S2581" s="91" t="n"/>
      <c r="T2581" s="25">
        <f>DAY(C2581)</f>
        <v/>
      </c>
      <c r="U2581" s="22">
        <f>MONTH(C2581)</f>
        <v/>
      </c>
      <c r="V2581" s="91" t="n"/>
      <c r="W2581" s="91" t="n"/>
      <c r="X2581" s="91" t="n"/>
      <c r="Y2581" s="91" t="n"/>
      <c r="Z2581" s="91" t="n"/>
    </row>
    <row r="2582" ht="12.75" customHeight="1" s="117">
      <c r="A2582" s="91" t="n"/>
      <c r="B2582" s="91" t="n"/>
      <c r="C2582" s="91" t="n"/>
      <c r="D2582" s="91" t="n"/>
      <c r="E2582" s="91" t="n"/>
      <c r="F2582" s="91" t="n"/>
      <c r="G2582" s="91" t="n"/>
      <c r="H2582" s="91" t="n"/>
      <c r="I2582" s="91" t="n"/>
      <c r="J2582" s="91" t="n"/>
      <c r="K2582" s="91" t="n"/>
      <c r="L2582" s="91" t="n"/>
      <c r="M2582" s="91" t="n"/>
      <c r="N2582" s="91" t="n"/>
      <c r="O2582" s="91" t="n"/>
      <c r="P2582" s="91" t="n"/>
      <c r="Q2582" s="91" t="n"/>
      <c r="R2582" s="91" t="n"/>
      <c r="S2582" s="91" t="n"/>
      <c r="T2582" s="25">
        <f>DAY(C2582)</f>
        <v/>
      </c>
      <c r="U2582" s="22">
        <f>MONTH(C2582)</f>
        <v/>
      </c>
      <c r="V2582" s="91" t="n"/>
      <c r="W2582" s="91" t="n"/>
      <c r="X2582" s="91" t="n"/>
      <c r="Y2582" s="91" t="n"/>
      <c r="Z2582" s="91" t="n"/>
    </row>
    <row r="2583" ht="12.75" customHeight="1" s="117">
      <c r="A2583" s="91" t="n"/>
      <c r="B2583" s="91" t="n"/>
      <c r="C2583" s="91" t="n"/>
      <c r="D2583" s="91" t="n"/>
      <c r="E2583" s="91" t="n"/>
      <c r="F2583" s="91" t="n"/>
      <c r="G2583" s="91" t="n"/>
      <c r="H2583" s="91" t="n"/>
      <c r="I2583" s="91" t="n"/>
      <c r="J2583" s="91" t="n"/>
      <c r="K2583" s="91" t="n"/>
      <c r="L2583" s="91" t="n"/>
      <c r="M2583" s="91" t="n"/>
      <c r="N2583" s="91" t="n"/>
      <c r="O2583" s="91" t="n"/>
      <c r="P2583" s="91" t="n"/>
      <c r="Q2583" s="91" t="n"/>
      <c r="R2583" s="91" t="n"/>
      <c r="S2583" s="91" t="n"/>
      <c r="T2583" s="25">
        <f>DAY(C2583)</f>
        <v/>
      </c>
      <c r="U2583" s="22">
        <f>MONTH(C2583)</f>
        <v/>
      </c>
      <c r="V2583" s="91" t="n"/>
      <c r="W2583" s="91" t="n"/>
      <c r="X2583" s="91" t="n"/>
      <c r="Y2583" s="91" t="n"/>
      <c r="Z2583" s="91" t="n"/>
    </row>
    <row r="2584" ht="12.75" customHeight="1" s="117">
      <c r="A2584" s="91" t="n"/>
      <c r="B2584" s="91" t="n"/>
      <c r="C2584" s="91" t="n"/>
      <c r="D2584" s="91" t="n"/>
      <c r="E2584" s="91" t="n"/>
      <c r="F2584" s="91" t="n"/>
      <c r="G2584" s="91" t="n"/>
      <c r="H2584" s="91" t="n"/>
      <c r="I2584" s="91" t="n"/>
      <c r="J2584" s="91" t="n"/>
      <c r="K2584" s="91" t="n"/>
      <c r="L2584" s="91" t="n"/>
      <c r="M2584" s="91" t="n"/>
      <c r="N2584" s="91" t="n"/>
      <c r="O2584" s="91" t="n"/>
      <c r="P2584" s="91" t="n"/>
      <c r="Q2584" s="91" t="n"/>
      <c r="R2584" s="91" t="n"/>
      <c r="S2584" s="91" t="n"/>
      <c r="T2584" s="25">
        <f>DAY(C2584)</f>
        <v/>
      </c>
      <c r="U2584" s="22">
        <f>MONTH(C2584)</f>
        <v/>
      </c>
      <c r="V2584" s="91" t="n"/>
      <c r="W2584" s="91" t="n"/>
      <c r="X2584" s="91" t="n"/>
      <c r="Y2584" s="91" t="n"/>
      <c r="Z2584" s="91" t="n"/>
    </row>
    <row r="2585" ht="12.75" customHeight="1" s="117">
      <c r="A2585" s="91" t="n"/>
      <c r="B2585" s="91" t="n"/>
      <c r="C2585" s="91" t="n"/>
      <c r="D2585" s="91" t="n"/>
      <c r="E2585" s="91" t="n"/>
      <c r="F2585" s="91" t="n"/>
      <c r="G2585" s="91" t="n"/>
      <c r="H2585" s="91" t="n"/>
      <c r="I2585" s="91" t="n"/>
      <c r="J2585" s="91" t="n"/>
      <c r="K2585" s="91" t="n"/>
      <c r="L2585" s="91" t="n"/>
      <c r="M2585" s="91" t="n"/>
      <c r="N2585" s="91" t="n"/>
      <c r="O2585" s="91" t="n"/>
      <c r="P2585" s="91" t="n"/>
      <c r="Q2585" s="91" t="n"/>
      <c r="R2585" s="91" t="n"/>
      <c r="S2585" s="91" t="n"/>
      <c r="T2585" s="25">
        <f>DAY(C2585)</f>
        <v/>
      </c>
      <c r="U2585" s="22">
        <f>MONTH(C2585)</f>
        <v/>
      </c>
      <c r="V2585" s="91" t="n"/>
      <c r="W2585" s="91" t="n"/>
      <c r="X2585" s="91" t="n"/>
      <c r="Y2585" s="91" t="n"/>
      <c r="Z2585" s="91" t="n"/>
    </row>
    <row r="2586" ht="12.75" customHeight="1" s="117">
      <c r="A2586" s="91" t="n"/>
      <c r="B2586" s="91" t="n"/>
      <c r="C2586" s="91" t="n"/>
      <c r="D2586" s="91" t="n"/>
      <c r="E2586" s="91" t="n"/>
      <c r="F2586" s="91" t="n"/>
      <c r="G2586" s="91" t="n"/>
      <c r="H2586" s="91" t="n"/>
      <c r="I2586" s="91" t="n"/>
      <c r="J2586" s="91" t="n"/>
      <c r="K2586" s="91" t="n"/>
      <c r="L2586" s="91" t="n"/>
      <c r="M2586" s="91" t="n"/>
      <c r="N2586" s="91" t="n"/>
      <c r="O2586" s="91" t="n"/>
      <c r="P2586" s="91" t="n"/>
      <c r="Q2586" s="91" t="n"/>
      <c r="R2586" s="91" t="n"/>
      <c r="S2586" s="91" t="n"/>
      <c r="T2586" s="25">
        <f>DAY(C2586)</f>
        <v/>
      </c>
      <c r="U2586" s="22">
        <f>MONTH(C2586)</f>
        <v/>
      </c>
      <c r="V2586" s="91" t="n"/>
      <c r="W2586" s="91" t="n"/>
      <c r="X2586" s="91" t="n"/>
      <c r="Y2586" s="91" t="n"/>
      <c r="Z2586" s="91" t="n"/>
    </row>
    <row r="2587" ht="12.75" customHeight="1" s="117">
      <c r="A2587" s="91" t="n"/>
      <c r="B2587" s="91" t="n"/>
      <c r="C2587" s="91" t="n"/>
      <c r="D2587" s="91" t="n"/>
      <c r="E2587" s="91" t="n"/>
      <c r="F2587" s="91" t="n"/>
      <c r="G2587" s="91" t="n"/>
      <c r="H2587" s="91" t="n"/>
      <c r="I2587" s="91" t="n"/>
      <c r="J2587" s="91" t="n"/>
      <c r="K2587" s="91" t="n"/>
      <c r="L2587" s="91" t="n"/>
      <c r="M2587" s="91" t="n"/>
      <c r="N2587" s="91" t="n"/>
      <c r="O2587" s="91" t="n"/>
      <c r="P2587" s="91" t="n"/>
      <c r="Q2587" s="91" t="n"/>
      <c r="R2587" s="91" t="n"/>
      <c r="S2587" s="91" t="n"/>
      <c r="T2587" s="25">
        <f>DAY(C2587)</f>
        <v/>
      </c>
      <c r="U2587" s="22">
        <f>MONTH(C2587)</f>
        <v/>
      </c>
      <c r="V2587" s="91" t="n"/>
      <c r="W2587" s="91" t="n"/>
      <c r="X2587" s="91" t="n"/>
      <c r="Y2587" s="91" t="n"/>
      <c r="Z2587" s="91" t="n"/>
    </row>
    <row r="2588" ht="12.75" customHeight="1" s="117">
      <c r="A2588" s="91" t="n"/>
      <c r="B2588" s="91" t="n"/>
      <c r="C2588" s="91" t="n"/>
      <c r="D2588" s="91" t="n"/>
      <c r="E2588" s="91" t="n"/>
      <c r="F2588" s="91" t="n"/>
      <c r="G2588" s="91" t="n"/>
      <c r="H2588" s="91" t="n"/>
      <c r="I2588" s="91" t="n"/>
      <c r="J2588" s="91" t="n"/>
      <c r="K2588" s="91" t="n"/>
      <c r="L2588" s="91" t="n"/>
      <c r="M2588" s="91" t="n"/>
      <c r="N2588" s="91" t="n"/>
      <c r="O2588" s="91" t="n"/>
      <c r="P2588" s="91" t="n"/>
      <c r="Q2588" s="91" t="n"/>
      <c r="R2588" s="91" t="n"/>
      <c r="S2588" s="91" t="n"/>
      <c r="T2588" s="25">
        <f>DAY(C2588)</f>
        <v/>
      </c>
      <c r="U2588" s="22">
        <f>MONTH(C2588)</f>
        <v/>
      </c>
      <c r="V2588" s="91" t="n"/>
      <c r="W2588" s="91" t="n"/>
      <c r="X2588" s="91" t="n"/>
      <c r="Y2588" s="91" t="n"/>
      <c r="Z2588" s="91" t="n"/>
    </row>
    <row r="2589" ht="12.75" customHeight="1" s="117">
      <c r="A2589" s="91" t="n"/>
      <c r="B2589" s="91" t="n"/>
      <c r="C2589" s="91" t="n"/>
      <c r="D2589" s="91" t="n"/>
      <c r="E2589" s="91" t="n"/>
      <c r="F2589" s="91" t="n"/>
      <c r="G2589" s="91" t="n"/>
      <c r="H2589" s="91" t="n"/>
      <c r="I2589" s="91" t="n"/>
      <c r="J2589" s="91" t="n"/>
      <c r="K2589" s="91" t="n"/>
      <c r="L2589" s="91" t="n"/>
      <c r="M2589" s="91" t="n"/>
      <c r="N2589" s="91" t="n"/>
      <c r="O2589" s="91" t="n"/>
      <c r="P2589" s="91" t="n"/>
      <c r="Q2589" s="91" t="n"/>
      <c r="R2589" s="91" t="n"/>
      <c r="S2589" s="91" t="n"/>
      <c r="T2589" s="25">
        <f>DAY(C2589)</f>
        <v/>
      </c>
      <c r="U2589" s="22">
        <f>MONTH(C2589)</f>
        <v/>
      </c>
      <c r="V2589" s="91" t="n"/>
      <c r="W2589" s="91" t="n"/>
      <c r="X2589" s="91" t="n"/>
      <c r="Y2589" s="91" t="n"/>
      <c r="Z2589" s="91" t="n"/>
    </row>
    <row r="2590" ht="12.75" customHeight="1" s="117">
      <c r="A2590" s="91" t="n"/>
      <c r="B2590" s="91" t="n"/>
      <c r="C2590" s="91" t="n"/>
      <c r="D2590" s="91" t="n"/>
      <c r="E2590" s="91" t="n"/>
      <c r="F2590" s="91" t="n"/>
      <c r="G2590" s="91" t="n"/>
      <c r="H2590" s="91" t="n"/>
      <c r="I2590" s="91" t="n"/>
      <c r="J2590" s="91" t="n"/>
      <c r="K2590" s="91" t="n"/>
      <c r="L2590" s="91" t="n"/>
      <c r="M2590" s="91" t="n"/>
      <c r="N2590" s="91" t="n"/>
      <c r="O2590" s="91" t="n"/>
      <c r="P2590" s="91" t="n"/>
      <c r="Q2590" s="91" t="n"/>
      <c r="R2590" s="91" t="n"/>
      <c r="S2590" s="91" t="n"/>
      <c r="T2590" s="25">
        <f>DAY(C2590)</f>
        <v/>
      </c>
      <c r="U2590" s="22">
        <f>MONTH(C2590)</f>
        <v/>
      </c>
      <c r="V2590" s="91" t="n"/>
      <c r="W2590" s="91" t="n"/>
      <c r="X2590" s="91" t="n"/>
      <c r="Y2590" s="91" t="n"/>
      <c r="Z2590" s="91" t="n"/>
    </row>
    <row r="2591" ht="12.75" customHeight="1" s="117">
      <c r="A2591" s="91" t="n"/>
      <c r="B2591" s="91" t="n"/>
      <c r="C2591" s="91" t="n"/>
      <c r="D2591" s="91" t="n"/>
      <c r="E2591" s="91" t="n"/>
      <c r="F2591" s="91" t="n"/>
      <c r="G2591" s="91" t="n"/>
      <c r="H2591" s="91" t="n"/>
      <c r="I2591" s="91" t="n"/>
      <c r="J2591" s="91" t="n"/>
      <c r="K2591" s="91" t="n"/>
      <c r="L2591" s="91" t="n"/>
      <c r="M2591" s="91" t="n"/>
      <c r="N2591" s="91" t="n"/>
      <c r="O2591" s="91" t="n"/>
      <c r="P2591" s="91" t="n"/>
      <c r="Q2591" s="91" t="n"/>
      <c r="R2591" s="91" t="n"/>
      <c r="S2591" s="91" t="n"/>
      <c r="T2591" s="25">
        <f>DAY(C2591)</f>
        <v/>
      </c>
      <c r="U2591" s="22">
        <f>MONTH(C2591)</f>
        <v/>
      </c>
      <c r="V2591" s="91" t="n"/>
      <c r="W2591" s="91" t="n"/>
      <c r="X2591" s="91" t="n"/>
      <c r="Y2591" s="91" t="n"/>
      <c r="Z2591" s="91" t="n"/>
    </row>
    <row r="2592" ht="12.75" customHeight="1" s="117">
      <c r="A2592" s="91" t="n"/>
      <c r="B2592" s="91" t="n"/>
      <c r="C2592" s="91" t="n"/>
      <c r="D2592" s="91" t="n"/>
      <c r="E2592" s="91" t="n"/>
      <c r="F2592" s="91" t="n"/>
      <c r="G2592" s="91" t="n"/>
      <c r="H2592" s="91" t="n"/>
      <c r="I2592" s="91" t="n"/>
      <c r="J2592" s="91" t="n"/>
      <c r="K2592" s="91" t="n"/>
      <c r="L2592" s="91" t="n"/>
      <c r="M2592" s="91" t="n"/>
      <c r="N2592" s="91" t="n"/>
      <c r="O2592" s="91" t="n"/>
      <c r="P2592" s="91" t="n"/>
      <c r="Q2592" s="91" t="n"/>
      <c r="R2592" s="91" t="n"/>
      <c r="S2592" s="91" t="n"/>
      <c r="T2592" s="25">
        <f>DAY(C2592)</f>
        <v/>
      </c>
      <c r="U2592" s="22">
        <f>MONTH(C2592)</f>
        <v/>
      </c>
      <c r="V2592" s="91" t="n"/>
      <c r="W2592" s="91" t="n"/>
      <c r="X2592" s="91" t="n"/>
      <c r="Y2592" s="91" t="n"/>
      <c r="Z2592" s="91" t="n"/>
    </row>
    <row r="2593" ht="12.75" customHeight="1" s="117">
      <c r="A2593" s="91" t="n"/>
      <c r="B2593" s="91" t="n"/>
      <c r="C2593" s="91" t="n"/>
      <c r="D2593" s="91" t="n"/>
      <c r="E2593" s="91" t="n"/>
      <c r="F2593" s="91" t="n"/>
      <c r="G2593" s="91" t="n"/>
      <c r="H2593" s="91" t="n"/>
      <c r="I2593" s="91" t="n"/>
      <c r="J2593" s="91" t="n"/>
      <c r="K2593" s="91" t="n"/>
      <c r="L2593" s="91" t="n"/>
      <c r="M2593" s="91" t="n"/>
      <c r="N2593" s="91" t="n"/>
      <c r="O2593" s="91" t="n"/>
      <c r="P2593" s="91" t="n"/>
      <c r="Q2593" s="91" t="n"/>
      <c r="R2593" s="91" t="n"/>
      <c r="S2593" s="91" t="n"/>
      <c r="T2593" s="25">
        <f>DAY(C2593)</f>
        <v/>
      </c>
      <c r="U2593" s="22">
        <f>MONTH(C2593)</f>
        <v/>
      </c>
      <c r="V2593" s="91" t="n"/>
      <c r="W2593" s="91" t="n"/>
      <c r="X2593" s="91" t="n"/>
      <c r="Y2593" s="91" t="n"/>
      <c r="Z2593" s="91" t="n"/>
    </row>
    <row r="2594" ht="12.75" customHeight="1" s="117">
      <c r="A2594" s="91" t="n"/>
      <c r="B2594" s="91" t="n"/>
      <c r="C2594" s="91" t="n"/>
      <c r="D2594" s="91" t="n"/>
      <c r="E2594" s="91" t="n"/>
      <c r="F2594" s="91" t="n"/>
      <c r="G2594" s="91" t="n"/>
      <c r="H2594" s="91" t="n"/>
      <c r="I2594" s="91" t="n"/>
      <c r="J2594" s="91" t="n"/>
      <c r="K2594" s="91" t="n"/>
      <c r="L2594" s="91" t="n"/>
      <c r="M2594" s="91" t="n"/>
      <c r="N2594" s="91" t="n"/>
      <c r="O2594" s="91" t="n"/>
      <c r="P2594" s="91" t="n"/>
      <c r="Q2594" s="91" t="n"/>
      <c r="R2594" s="91" t="n"/>
      <c r="S2594" s="91" t="n"/>
      <c r="T2594" s="25">
        <f>DAY(C2594)</f>
        <v/>
      </c>
      <c r="U2594" s="22">
        <f>MONTH(C2594)</f>
        <v/>
      </c>
      <c r="V2594" s="91" t="n"/>
      <c r="W2594" s="91" t="n"/>
      <c r="X2594" s="91" t="n"/>
      <c r="Y2594" s="91" t="n"/>
      <c r="Z2594" s="91" t="n"/>
    </row>
    <row r="2595" ht="12.75" customHeight="1" s="117">
      <c r="A2595" s="91" t="n"/>
      <c r="B2595" s="91" t="n"/>
      <c r="C2595" s="91" t="n"/>
      <c r="D2595" s="91" t="n"/>
      <c r="E2595" s="91" t="n"/>
      <c r="F2595" s="91" t="n"/>
      <c r="G2595" s="91" t="n"/>
      <c r="H2595" s="91" t="n"/>
      <c r="I2595" s="91" t="n"/>
      <c r="J2595" s="91" t="n"/>
      <c r="K2595" s="91" t="n"/>
      <c r="L2595" s="91" t="n"/>
      <c r="M2595" s="91" t="n"/>
      <c r="N2595" s="91" t="n"/>
      <c r="O2595" s="91" t="n"/>
      <c r="P2595" s="91" t="n"/>
      <c r="Q2595" s="91" t="n"/>
      <c r="R2595" s="91" t="n"/>
      <c r="S2595" s="91" t="n"/>
      <c r="T2595" s="25">
        <f>DAY(C2595)</f>
        <v/>
      </c>
      <c r="U2595" s="22">
        <f>MONTH(C2595)</f>
        <v/>
      </c>
      <c r="V2595" s="91" t="n"/>
      <c r="W2595" s="91" t="n"/>
      <c r="X2595" s="91" t="n"/>
      <c r="Y2595" s="91" t="n"/>
      <c r="Z2595" s="91" t="n"/>
    </row>
    <row r="2596" ht="12.75" customHeight="1" s="117">
      <c r="A2596" s="91" t="n"/>
      <c r="B2596" s="91" t="n"/>
      <c r="C2596" s="91" t="n"/>
      <c r="D2596" s="91" t="n"/>
      <c r="E2596" s="91" t="n"/>
      <c r="F2596" s="91" t="n"/>
      <c r="G2596" s="91" t="n"/>
      <c r="H2596" s="91" t="n"/>
      <c r="I2596" s="91" t="n"/>
      <c r="J2596" s="91" t="n"/>
      <c r="K2596" s="91" t="n"/>
      <c r="L2596" s="91" t="n"/>
      <c r="M2596" s="91" t="n"/>
      <c r="N2596" s="91" t="n"/>
      <c r="O2596" s="91" t="n"/>
      <c r="P2596" s="91" t="n"/>
      <c r="Q2596" s="91" t="n"/>
      <c r="R2596" s="91" t="n"/>
      <c r="S2596" s="91" t="n"/>
      <c r="T2596" s="25">
        <f>DAY(C2596)</f>
        <v/>
      </c>
      <c r="U2596" s="22">
        <f>MONTH(C2596)</f>
        <v/>
      </c>
      <c r="V2596" s="91" t="n"/>
      <c r="W2596" s="91" t="n"/>
      <c r="X2596" s="91" t="n"/>
      <c r="Y2596" s="91" t="n"/>
      <c r="Z2596" s="91" t="n"/>
    </row>
    <row r="2597" ht="12.75" customHeight="1" s="117">
      <c r="A2597" s="91" t="n"/>
      <c r="B2597" s="91" t="n"/>
      <c r="C2597" s="91" t="n"/>
      <c r="D2597" s="91" t="n"/>
      <c r="E2597" s="91" t="n"/>
      <c r="F2597" s="91" t="n"/>
      <c r="G2597" s="91" t="n"/>
      <c r="H2597" s="91" t="n"/>
      <c r="I2597" s="91" t="n"/>
      <c r="J2597" s="91" t="n"/>
      <c r="K2597" s="91" t="n"/>
      <c r="L2597" s="91" t="n"/>
      <c r="M2597" s="91" t="n"/>
      <c r="N2597" s="91" t="n"/>
      <c r="O2597" s="91" t="n"/>
      <c r="P2597" s="91" t="n"/>
      <c r="Q2597" s="91" t="n"/>
      <c r="R2597" s="91" t="n"/>
      <c r="S2597" s="91" t="n"/>
      <c r="T2597" s="25">
        <f>DAY(C2597)</f>
        <v/>
      </c>
      <c r="U2597" s="22">
        <f>MONTH(C2597)</f>
        <v/>
      </c>
      <c r="V2597" s="91" t="n"/>
      <c r="W2597" s="91" t="n"/>
      <c r="X2597" s="91" t="n"/>
      <c r="Y2597" s="91" t="n"/>
      <c r="Z2597" s="91" t="n"/>
    </row>
    <row r="2598" ht="12.75" customHeight="1" s="117">
      <c r="A2598" s="91" t="n"/>
      <c r="B2598" s="91" t="n"/>
      <c r="C2598" s="91" t="n"/>
      <c r="D2598" s="91" t="n"/>
      <c r="E2598" s="91" t="n"/>
      <c r="F2598" s="91" t="n"/>
      <c r="G2598" s="91" t="n"/>
      <c r="H2598" s="91" t="n"/>
      <c r="I2598" s="91" t="n"/>
      <c r="J2598" s="91" t="n"/>
      <c r="K2598" s="91" t="n"/>
      <c r="L2598" s="91" t="n"/>
      <c r="M2598" s="91" t="n"/>
      <c r="N2598" s="91" t="n"/>
      <c r="O2598" s="91" t="n"/>
      <c r="P2598" s="91" t="n"/>
      <c r="Q2598" s="91" t="n"/>
      <c r="R2598" s="91" t="n"/>
      <c r="S2598" s="91" t="n"/>
      <c r="T2598" s="25">
        <f>DAY(C2598)</f>
        <v/>
      </c>
      <c r="U2598" s="22">
        <f>MONTH(C2598)</f>
        <v/>
      </c>
      <c r="V2598" s="91" t="n"/>
      <c r="W2598" s="91" t="n"/>
      <c r="X2598" s="91" t="n"/>
      <c r="Y2598" s="91" t="n"/>
      <c r="Z2598" s="91" t="n"/>
    </row>
    <row r="2599" ht="12.75" customHeight="1" s="117">
      <c r="A2599" s="91" t="n"/>
      <c r="B2599" s="91" t="n"/>
      <c r="C2599" s="91" t="n"/>
      <c r="D2599" s="91" t="n"/>
      <c r="E2599" s="91" t="n"/>
      <c r="F2599" s="91" t="n"/>
      <c r="G2599" s="91" t="n"/>
      <c r="H2599" s="91" t="n"/>
      <c r="I2599" s="91" t="n"/>
      <c r="J2599" s="91" t="n"/>
      <c r="K2599" s="91" t="n"/>
      <c r="L2599" s="91" t="n"/>
      <c r="M2599" s="91" t="n"/>
      <c r="N2599" s="91" t="n"/>
      <c r="O2599" s="91" t="n"/>
      <c r="P2599" s="91" t="n"/>
      <c r="Q2599" s="91" t="n"/>
      <c r="R2599" s="91" t="n"/>
      <c r="S2599" s="91" t="n"/>
      <c r="T2599" s="25">
        <f>DAY(C2599)</f>
        <v/>
      </c>
      <c r="U2599" s="22">
        <f>MONTH(C2599)</f>
        <v/>
      </c>
      <c r="V2599" s="91" t="n"/>
      <c r="W2599" s="91" t="n"/>
      <c r="X2599" s="91" t="n"/>
      <c r="Y2599" s="91" t="n"/>
      <c r="Z2599" s="91" t="n"/>
    </row>
    <row r="2600" ht="12.75" customHeight="1" s="117">
      <c r="A2600" s="91" t="n"/>
      <c r="B2600" s="91" t="n"/>
      <c r="C2600" s="91" t="n"/>
      <c r="D2600" s="91" t="n"/>
      <c r="E2600" s="91" t="n"/>
      <c r="F2600" s="91" t="n"/>
      <c r="G2600" s="91" t="n"/>
      <c r="H2600" s="91" t="n"/>
      <c r="I2600" s="91" t="n"/>
      <c r="J2600" s="91" t="n"/>
      <c r="K2600" s="91" t="n"/>
      <c r="L2600" s="91" t="n"/>
      <c r="M2600" s="91" t="n"/>
      <c r="N2600" s="91" t="n"/>
      <c r="O2600" s="91" t="n"/>
      <c r="P2600" s="91" t="n"/>
      <c r="Q2600" s="91" t="n"/>
      <c r="R2600" s="91" t="n"/>
      <c r="S2600" s="91" t="n"/>
      <c r="T2600" s="25">
        <f>DAY(C2600)</f>
        <v/>
      </c>
      <c r="U2600" s="22">
        <f>MONTH(C2600)</f>
        <v/>
      </c>
      <c r="V2600" s="91" t="n"/>
      <c r="W2600" s="91" t="n"/>
      <c r="X2600" s="91" t="n"/>
      <c r="Y2600" s="91" t="n"/>
      <c r="Z2600" s="91" t="n"/>
    </row>
    <row r="2601" ht="12.75" customHeight="1" s="117">
      <c r="A2601" s="91" t="n"/>
      <c r="B2601" s="91" t="n"/>
      <c r="C2601" s="91" t="n"/>
      <c r="D2601" s="91" t="n"/>
      <c r="E2601" s="91" t="n"/>
      <c r="F2601" s="91" t="n"/>
      <c r="G2601" s="91" t="n"/>
      <c r="H2601" s="91" t="n"/>
      <c r="I2601" s="91" t="n"/>
      <c r="J2601" s="91" t="n"/>
      <c r="K2601" s="91" t="n"/>
      <c r="L2601" s="91" t="n"/>
      <c r="M2601" s="91" t="n"/>
      <c r="N2601" s="91" t="n"/>
      <c r="O2601" s="91" t="n"/>
      <c r="P2601" s="91" t="n"/>
      <c r="Q2601" s="91" t="n"/>
      <c r="R2601" s="91" t="n"/>
      <c r="S2601" s="91" t="n"/>
      <c r="T2601" s="25">
        <f>DAY(C2601)</f>
        <v/>
      </c>
      <c r="U2601" s="22">
        <f>MONTH(C2601)</f>
        <v/>
      </c>
      <c r="V2601" s="91" t="n"/>
      <c r="W2601" s="91" t="n"/>
      <c r="X2601" s="91" t="n"/>
      <c r="Y2601" s="91" t="n"/>
      <c r="Z2601" s="91" t="n"/>
    </row>
    <row r="2602" ht="12.75" customHeight="1" s="117">
      <c r="A2602" s="91" t="n"/>
      <c r="B2602" s="91" t="n"/>
      <c r="C2602" s="91" t="n"/>
      <c r="D2602" s="91" t="n"/>
      <c r="E2602" s="91" t="n"/>
      <c r="F2602" s="91" t="n"/>
      <c r="G2602" s="91" t="n"/>
      <c r="H2602" s="91" t="n"/>
      <c r="I2602" s="91" t="n"/>
      <c r="J2602" s="91" t="n"/>
      <c r="K2602" s="91" t="n"/>
      <c r="L2602" s="91" t="n"/>
      <c r="M2602" s="91" t="n"/>
      <c r="N2602" s="91" t="n"/>
      <c r="O2602" s="91" t="n"/>
      <c r="P2602" s="91" t="n"/>
      <c r="Q2602" s="91" t="n"/>
      <c r="R2602" s="91" t="n"/>
      <c r="S2602" s="91" t="n"/>
      <c r="T2602" s="25">
        <f>DAY(C2602)</f>
        <v/>
      </c>
      <c r="U2602" s="22">
        <f>MONTH(C2602)</f>
        <v/>
      </c>
      <c r="V2602" s="91" t="n"/>
      <c r="W2602" s="91" t="n"/>
      <c r="X2602" s="91" t="n"/>
      <c r="Y2602" s="91" t="n"/>
      <c r="Z2602" s="91" t="n"/>
    </row>
    <row r="2603" ht="12.75" customHeight="1" s="117">
      <c r="A2603" s="91" t="n"/>
      <c r="B2603" s="91" t="n"/>
      <c r="C2603" s="91" t="n"/>
      <c r="D2603" s="91" t="n"/>
      <c r="E2603" s="91" t="n"/>
      <c r="F2603" s="91" t="n"/>
      <c r="G2603" s="91" t="n"/>
      <c r="H2603" s="91" t="n"/>
      <c r="I2603" s="91" t="n"/>
      <c r="J2603" s="91" t="n"/>
      <c r="K2603" s="91" t="n"/>
      <c r="L2603" s="91" t="n"/>
      <c r="M2603" s="91" t="n"/>
      <c r="N2603" s="91" t="n"/>
      <c r="O2603" s="91" t="n"/>
      <c r="P2603" s="91" t="n"/>
      <c r="Q2603" s="91" t="n"/>
      <c r="R2603" s="91" t="n"/>
      <c r="S2603" s="91" t="n"/>
      <c r="T2603" s="25">
        <f>DAY(C2603)</f>
        <v/>
      </c>
      <c r="U2603" s="22">
        <f>MONTH(C2603)</f>
        <v/>
      </c>
      <c r="V2603" s="91" t="n"/>
      <c r="W2603" s="91" t="n"/>
      <c r="X2603" s="91" t="n"/>
      <c r="Y2603" s="91" t="n"/>
      <c r="Z2603" s="91" t="n"/>
    </row>
    <row r="2604" ht="12.75" customHeight="1" s="117">
      <c r="A2604" s="91" t="n"/>
      <c r="B2604" s="91" t="n"/>
      <c r="C2604" s="91" t="n"/>
      <c r="D2604" s="91" t="n"/>
      <c r="E2604" s="91" t="n"/>
      <c r="F2604" s="91" t="n"/>
      <c r="G2604" s="91" t="n"/>
      <c r="H2604" s="91" t="n"/>
      <c r="I2604" s="91" t="n"/>
      <c r="J2604" s="91" t="n"/>
      <c r="K2604" s="91" t="n"/>
      <c r="L2604" s="91" t="n"/>
      <c r="M2604" s="91" t="n"/>
      <c r="N2604" s="91" t="n"/>
      <c r="O2604" s="91" t="n"/>
      <c r="P2604" s="91" t="n"/>
      <c r="Q2604" s="91" t="n"/>
      <c r="R2604" s="91" t="n"/>
      <c r="S2604" s="91" t="n"/>
      <c r="T2604" s="25">
        <f>DAY(C2604)</f>
        <v/>
      </c>
      <c r="U2604" s="22">
        <f>MONTH(C2604)</f>
        <v/>
      </c>
      <c r="V2604" s="91" t="n"/>
      <c r="W2604" s="91" t="n"/>
      <c r="X2604" s="91" t="n"/>
      <c r="Y2604" s="91" t="n"/>
      <c r="Z2604" s="91" t="n"/>
    </row>
    <row r="2605" ht="12.75" customHeight="1" s="117">
      <c r="A2605" s="91" t="n"/>
      <c r="B2605" s="91" t="n"/>
      <c r="C2605" s="91" t="n"/>
      <c r="D2605" s="91" t="n"/>
      <c r="E2605" s="91" t="n"/>
      <c r="F2605" s="91" t="n"/>
      <c r="G2605" s="91" t="n"/>
      <c r="H2605" s="91" t="n"/>
      <c r="I2605" s="91" t="n"/>
      <c r="J2605" s="91" t="n"/>
      <c r="K2605" s="91" t="n"/>
      <c r="L2605" s="91" t="n"/>
      <c r="M2605" s="91" t="n"/>
      <c r="N2605" s="91" t="n"/>
      <c r="O2605" s="91" t="n"/>
      <c r="P2605" s="91" t="n"/>
      <c r="Q2605" s="91" t="n"/>
      <c r="R2605" s="91" t="n"/>
      <c r="S2605" s="91" t="n"/>
      <c r="T2605" s="25">
        <f>DAY(C2605)</f>
        <v/>
      </c>
      <c r="U2605" s="22">
        <f>MONTH(C2605)</f>
        <v/>
      </c>
      <c r="V2605" s="91" t="n"/>
      <c r="W2605" s="91" t="n"/>
      <c r="X2605" s="91" t="n"/>
      <c r="Y2605" s="91" t="n"/>
      <c r="Z2605" s="91" t="n"/>
    </row>
    <row r="2606" ht="12.75" customHeight="1" s="117">
      <c r="A2606" s="91" t="n"/>
      <c r="B2606" s="91" t="n"/>
      <c r="C2606" s="91" t="n"/>
      <c r="D2606" s="91" t="n"/>
      <c r="E2606" s="91" t="n"/>
      <c r="F2606" s="91" t="n"/>
      <c r="G2606" s="91" t="n"/>
      <c r="H2606" s="91" t="n"/>
      <c r="I2606" s="91" t="n"/>
      <c r="J2606" s="91" t="n"/>
      <c r="K2606" s="91" t="n"/>
      <c r="L2606" s="91" t="n"/>
      <c r="M2606" s="91" t="n"/>
      <c r="N2606" s="91" t="n"/>
      <c r="O2606" s="91" t="n"/>
      <c r="P2606" s="91" t="n"/>
      <c r="Q2606" s="91" t="n"/>
      <c r="R2606" s="91" t="n"/>
      <c r="S2606" s="91" t="n"/>
      <c r="T2606" s="25">
        <f>DAY(C2606)</f>
        <v/>
      </c>
      <c r="U2606" s="22">
        <f>MONTH(C2606)</f>
        <v/>
      </c>
      <c r="V2606" s="91" t="n"/>
      <c r="W2606" s="91" t="n"/>
      <c r="X2606" s="91" t="n"/>
      <c r="Y2606" s="91" t="n"/>
      <c r="Z2606" s="91" t="n"/>
    </row>
    <row r="2607" ht="12.75" customHeight="1" s="117">
      <c r="A2607" s="91" t="n"/>
      <c r="B2607" s="91" t="n"/>
      <c r="C2607" s="91" t="n"/>
      <c r="D2607" s="91" t="n"/>
      <c r="E2607" s="91" t="n"/>
      <c r="F2607" s="91" t="n"/>
      <c r="G2607" s="91" t="n"/>
      <c r="H2607" s="91" t="n"/>
      <c r="I2607" s="91" t="n"/>
      <c r="J2607" s="91" t="n"/>
      <c r="K2607" s="91" t="n"/>
      <c r="L2607" s="91" t="n"/>
      <c r="M2607" s="91" t="n"/>
      <c r="N2607" s="91" t="n"/>
      <c r="O2607" s="91" t="n"/>
      <c r="P2607" s="91" t="n"/>
      <c r="Q2607" s="91" t="n"/>
      <c r="R2607" s="91" t="n"/>
      <c r="S2607" s="91" t="n"/>
      <c r="T2607" s="25">
        <f>DAY(C2607)</f>
        <v/>
      </c>
      <c r="U2607" s="22">
        <f>MONTH(C2607)</f>
        <v/>
      </c>
      <c r="V2607" s="91" t="n"/>
      <c r="W2607" s="91" t="n"/>
      <c r="X2607" s="91" t="n"/>
      <c r="Y2607" s="91" t="n"/>
      <c r="Z2607" s="91" t="n"/>
    </row>
    <row r="2608" ht="12.75" customHeight="1" s="117">
      <c r="A2608" s="91" t="n"/>
      <c r="B2608" s="91" t="n"/>
      <c r="C2608" s="91" t="n"/>
      <c r="D2608" s="91" t="n"/>
      <c r="E2608" s="91" t="n"/>
      <c r="F2608" s="91" t="n"/>
      <c r="G2608" s="91" t="n"/>
      <c r="H2608" s="91" t="n"/>
      <c r="I2608" s="91" t="n"/>
      <c r="J2608" s="91" t="n"/>
      <c r="K2608" s="91" t="n"/>
      <c r="L2608" s="91" t="n"/>
      <c r="M2608" s="91" t="n"/>
      <c r="N2608" s="91" t="n"/>
      <c r="O2608" s="91" t="n"/>
      <c r="P2608" s="91" t="n"/>
      <c r="Q2608" s="91" t="n"/>
      <c r="R2608" s="91" t="n"/>
      <c r="S2608" s="91" t="n"/>
      <c r="T2608" s="25">
        <f>DAY(C2608)</f>
        <v/>
      </c>
      <c r="U2608" s="22">
        <f>MONTH(C2608)</f>
        <v/>
      </c>
      <c r="V2608" s="91" t="n"/>
      <c r="W2608" s="91" t="n"/>
      <c r="X2608" s="91" t="n"/>
      <c r="Y2608" s="91" t="n"/>
      <c r="Z2608" s="91" t="n"/>
    </row>
    <row r="2609" ht="12.75" customHeight="1" s="117">
      <c r="A2609" s="91" t="n"/>
      <c r="B2609" s="91" t="n"/>
      <c r="C2609" s="91" t="n"/>
      <c r="D2609" s="91" t="n"/>
      <c r="E2609" s="91" t="n"/>
      <c r="F2609" s="91" t="n"/>
      <c r="G2609" s="91" t="n"/>
      <c r="H2609" s="91" t="n"/>
      <c r="I2609" s="91" t="n"/>
      <c r="J2609" s="91" t="n"/>
      <c r="K2609" s="91" t="n"/>
      <c r="L2609" s="91" t="n"/>
      <c r="M2609" s="91" t="n"/>
      <c r="N2609" s="91" t="n"/>
      <c r="O2609" s="91" t="n"/>
      <c r="P2609" s="91" t="n"/>
      <c r="Q2609" s="91" t="n"/>
      <c r="R2609" s="91" t="n"/>
      <c r="S2609" s="91" t="n"/>
      <c r="T2609" s="25">
        <f>DAY(C2609)</f>
        <v/>
      </c>
      <c r="U2609" s="22">
        <f>MONTH(C2609)</f>
        <v/>
      </c>
      <c r="V2609" s="91" t="n"/>
      <c r="W2609" s="91" t="n"/>
      <c r="X2609" s="91" t="n"/>
      <c r="Y2609" s="91" t="n"/>
      <c r="Z2609" s="91" t="n"/>
    </row>
    <row r="2610" ht="12.75" customHeight="1" s="117">
      <c r="A2610" s="91" t="n"/>
      <c r="B2610" s="91" t="n"/>
      <c r="C2610" s="91" t="n"/>
      <c r="D2610" s="91" t="n"/>
      <c r="E2610" s="91" t="n"/>
      <c r="F2610" s="91" t="n"/>
      <c r="G2610" s="91" t="n"/>
      <c r="H2610" s="91" t="n"/>
      <c r="I2610" s="91" t="n"/>
      <c r="J2610" s="91" t="n"/>
      <c r="K2610" s="91" t="n"/>
      <c r="L2610" s="91" t="n"/>
      <c r="M2610" s="91" t="n"/>
      <c r="N2610" s="91" t="n"/>
      <c r="O2610" s="91" t="n"/>
      <c r="P2610" s="91" t="n"/>
      <c r="Q2610" s="91" t="n"/>
      <c r="R2610" s="91" t="n"/>
      <c r="S2610" s="91" t="n"/>
      <c r="T2610" s="25">
        <f>DAY(C2610)</f>
        <v/>
      </c>
      <c r="U2610" s="22">
        <f>MONTH(C2610)</f>
        <v/>
      </c>
      <c r="V2610" s="91" t="n"/>
      <c r="W2610" s="91" t="n"/>
      <c r="X2610" s="91" t="n"/>
      <c r="Y2610" s="91" t="n"/>
      <c r="Z2610" s="91" t="n"/>
    </row>
    <row r="2611" ht="12.75" customHeight="1" s="117">
      <c r="A2611" s="91" t="n"/>
      <c r="B2611" s="91" t="n"/>
      <c r="C2611" s="91" t="n"/>
      <c r="D2611" s="91" t="n"/>
      <c r="E2611" s="91" t="n"/>
      <c r="F2611" s="91" t="n"/>
      <c r="G2611" s="91" t="n"/>
      <c r="H2611" s="91" t="n"/>
      <c r="I2611" s="91" t="n"/>
      <c r="J2611" s="91" t="n"/>
      <c r="K2611" s="91" t="n"/>
      <c r="L2611" s="91" t="n"/>
      <c r="M2611" s="91" t="n"/>
      <c r="N2611" s="91" t="n"/>
      <c r="O2611" s="91" t="n"/>
      <c r="P2611" s="91" t="n"/>
      <c r="Q2611" s="91" t="n"/>
      <c r="R2611" s="91" t="n"/>
      <c r="S2611" s="91" t="n"/>
      <c r="T2611" s="25">
        <f>DAY(C2611)</f>
        <v/>
      </c>
      <c r="U2611" s="22">
        <f>MONTH(C2611)</f>
        <v/>
      </c>
      <c r="V2611" s="91" t="n"/>
      <c r="W2611" s="91" t="n"/>
      <c r="X2611" s="91" t="n"/>
      <c r="Y2611" s="91" t="n"/>
      <c r="Z2611" s="91" t="n"/>
    </row>
    <row r="2612" ht="12.75" customHeight="1" s="117">
      <c r="A2612" s="91" t="n"/>
      <c r="B2612" s="91" t="n"/>
      <c r="C2612" s="91" t="n"/>
      <c r="D2612" s="91" t="n"/>
      <c r="E2612" s="91" t="n"/>
      <c r="F2612" s="91" t="n"/>
      <c r="G2612" s="91" t="n"/>
      <c r="H2612" s="91" t="n"/>
      <c r="I2612" s="91" t="n"/>
      <c r="J2612" s="91" t="n"/>
      <c r="K2612" s="91" t="n"/>
      <c r="L2612" s="91" t="n"/>
      <c r="M2612" s="91" t="n"/>
      <c r="N2612" s="91" t="n"/>
      <c r="O2612" s="91" t="n"/>
      <c r="P2612" s="91" t="n"/>
      <c r="Q2612" s="91" t="n"/>
      <c r="R2612" s="91" t="n"/>
      <c r="S2612" s="91" t="n"/>
      <c r="T2612" s="25">
        <f>DAY(C2612)</f>
        <v/>
      </c>
      <c r="U2612" s="22">
        <f>MONTH(C2612)</f>
        <v/>
      </c>
      <c r="V2612" s="91" t="n"/>
      <c r="W2612" s="91" t="n"/>
      <c r="X2612" s="91" t="n"/>
      <c r="Y2612" s="91" t="n"/>
      <c r="Z2612" s="91" t="n"/>
    </row>
    <row r="2613" ht="12.75" customHeight="1" s="117">
      <c r="A2613" s="91" t="n"/>
      <c r="B2613" s="91" t="n"/>
      <c r="C2613" s="91" t="n"/>
      <c r="D2613" s="91" t="n"/>
      <c r="E2613" s="91" t="n"/>
      <c r="F2613" s="91" t="n"/>
      <c r="G2613" s="91" t="n"/>
      <c r="H2613" s="91" t="n"/>
      <c r="I2613" s="91" t="n"/>
      <c r="J2613" s="91" t="n"/>
      <c r="K2613" s="91" t="n"/>
      <c r="L2613" s="91" t="n"/>
      <c r="M2613" s="91" t="n"/>
      <c r="N2613" s="91" t="n"/>
      <c r="O2613" s="91" t="n"/>
      <c r="P2613" s="91" t="n"/>
      <c r="Q2613" s="91" t="n"/>
      <c r="R2613" s="91" t="n"/>
      <c r="S2613" s="91" t="n"/>
      <c r="T2613" s="25">
        <f>DAY(C2613)</f>
        <v/>
      </c>
      <c r="U2613" s="22">
        <f>MONTH(C2613)</f>
        <v/>
      </c>
      <c r="V2613" s="91" t="n"/>
      <c r="W2613" s="91" t="n"/>
      <c r="X2613" s="91" t="n"/>
      <c r="Y2613" s="91" t="n"/>
      <c r="Z2613" s="91" t="n"/>
    </row>
    <row r="2614" ht="12.75" customHeight="1" s="117">
      <c r="A2614" s="91" t="n"/>
      <c r="B2614" s="91" t="n"/>
      <c r="C2614" s="91" t="n"/>
      <c r="D2614" s="91" t="n"/>
      <c r="E2614" s="91" t="n"/>
      <c r="F2614" s="91" t="n"/>
      <c r="G2614" s="91" t="n"/>
      <c r="H2614" s="91" t="n"/>
      <c r="I2614" s="91" t="n"/>
      <c r="J2614" s="91" t="n"/>
      <c r="K2614" s="91" t="n"/>
      <c r="L2614" s="91" t="n"/>
      <c r="M2614" s="91" t="n"/>
      <c r="N2614" s="91" t="n"/>
      <c r="O2614" s="91" t="n"/>
      <c r="P2614" s="91" t="n"/>
      <c r="Q2614" s="91" t="n"/>
      <c r="R2614" s="91" t="n"/>
      <c r="S2614" s="91" t="n"/>
      <c r="T2614" s="25">
        <f>DAY(C2614)</f>
        <v/>
      </c>
      <c r="U2614" s="22">
        <f>MONTH(C2614)</f>
        <v/>
      </c>
      <c r="V2614" s="91" t="n"/>
      <c r="W2614" s="91" t="n"/>
      <c r="X2614" s="91" t="n"/>
      <c r="Y2614" s="91" t="n"/>
      <c r="Z2614" s="91" t="n"/>
    </row>
    <row r="2615" ht="12.75" customHeight="1" s="117">
      <c r="A2615" s="91" t="n"/>
      <c r="B2615" s="91" t="n"/>
      <c r="C2615" s="91" t="n"/>
      <c r="D2615" s="91" t="n"/>
      <c r="E2615" s="91" t="n"/>
      <c r="F2615" s="91" t="n"/>
      <c r="G2615" s="91" t="n"/>
      <c r="H2615" s="91" t="n"/>
      <c r="I2615" s="91" t="n"/>
      <c r="J2615" s="91" t="n"/>
      <c r="K2615" s="91" t="n"/>
      <c r="L2615" s="91" t="n"/>
      <c r="M2615" s="91" t="n"/>
      <c r="N2615" s="91" t="n"/>
      <c r="O2615" s="91" t="n"/>
      <c r="P2615" s="91" t="n"/>
      <c r="Q2615" s="91" t="n"/>
      <c r="R2615" s="91" t="n"/>
      <c r="S2615" s="91" t="n"/>
      <c r="T2615" s="25">
        <f>DAY(C2615)</f>
        <v/>
      </c>
      <c r="U2615" s="22">
        <f>MONTH(C2615)</f>
        <v/>
      </c>
      <c r="V2615" s="91" t="n"/>
      <c r="W2615" s="91" t="n"/>
      <c r="X2615" s="91" t="n"/>
      <c r="Y2615" s="91" t="n"/>
      <c r="Z2615" s="91" t="n"/>
    </row>
    <row r="2616" ht="12.75" customHeight="1" s="117">
      <c r="A2616" s="91" t="n"/>
      <c r="B2616" s="91" t="n"/>
      <c r="C2616" s="91" t="n"/>
      <c r="D2616" s="91" t="n"/>
      <c r="E2616" s="91" t="n"/>
      <c r="F2616" s="91" t="n"/>
      <c r="G2616" s="91" t="n"/>
      <c r="H2616" s="91" t="n"/>
      <c r="I2616" s="91" t="n"/>
      <c r="J2616" s="91" t="n"/>
      <c r="K2616" s="91" t="n"/>
      <c r="L2616" s="91" t="n"/>
      <c r="M2616" s="91" t="n"/>
      <c r="N2616" s="91" t="n"/>
      <c r="O2616" s="91" t="n"/>
      <c r="P2616" s="91" t="n"/>
      <c r="Q2616" s="91" t="n"/>
      <c r="R2616" s="91" t="n"/>
      <c r="S2616" s="91" t="n"/>
      <c r="T2616" s="25">
        <f>DAY(C2616)</f>
        <v/>
      </c>
      <c r="U2616" s="22">
        <f>MONTH(C2616)</f>
        <v/>
      </c>
      <c r="V2616" s="91" t="n"/>
      <c r="W2616" s="91" t="n"/>
      <c r="X2616" s="91" t="n"/>
      <c r="Y2616" s="91" t="n"/>
      <c r="Z2616" s="91" t="n"/>
    </row>
    <row r="2617" ht="12.75" customHeight="1" s="117">
      <c r="A2617" s="91" t="n"/>
      <c r="B2617" s="91" t="n"/>
      <c r="C2617" s="91" t="n"/>
      <c r="D2617" s="91" t="n"/>
      <c r="E2617" s="91" t="n"/>
      <c r="F2617" s="91" t="n"/>
      <c r="G2617" s="91" t="n"/>
      <c r="H2617" s="91" t="n"/>
      <c r="I2617" s="91" t="n"/>
      <c r="J2617" s="91" t="n"/>
      <c r="K2617" s="91" t="n"/>
      <c r="L2617" s="91" t="n"/>
      <c r="M2617" s="91" t="n"/>
      <c r="N2617" s="91" t="n"/>
      <c r="O2617" s="91" t="n"/>
      <c r="P2617" s="91" t="n"/>
      <c r="Q2617" s="91" t="n"/>
      <c r="R2617" s="91" t="n"/>
      <c r="S2617" s="91" t="n"/>
      <c r="T2617" s="25">
        <f>DAY(C2617)</f>
        <v/>
      </c>
      <c r="U2617" s="22">
        <f>MONTH(C2617)</f>
        <v/>
      </c>
      <c r="V2617" s="91" t="n"/>
      <c r="W2617" s="91" t="n"/>
      <c r="X2617" s="91" t="n"/>
      <c r="Y2617" s="91" t="n"/>
      <c r="Z2617" s="91" t="n"/>
    </row>
    <row r="2618" ht="12.75" customHeight="1" s="117">
      <c r="A2618" s="91" t="n"/>
      <c r="B2618" s="91" t="n"/>
      <c r="C2618" s="91" t="n"/>
      <c r="D2618" s="91" t="n"/>
      <c r="E2618" s="91" t="n"/>
      <c r="F2618" s="91" t="n"/>
      <c r="G2618" s="91" t="n"/>
      <c r="H2618" s="91" t="n"/>
      <c r="I2618" s="91" t="n"/>
      <c r="J2618" s="91" t="n"/>
      <c r="K2618" s="91" t="n"/>
      <c r="L2618" s="91" t="n"/>
      <c r="M2618" s="91" t="n"/>
      <c r="N2618" s="91" t="n"/>
      <c r="O2618" s="91" t="n"/>
      <c r="P2618" s="91" t="n"/>
      <c r="Q2618" s="91" t="n"/>
      <c r="R2618" s="91" t="n"/>
      <c r="S2618" s="91" t="n"/>
      <c r="T2618" s="25">
        <f>DAY(C2618)</f>
        <v/>
      </c>
      <c r="U2618" s="22">
        <f>MONTH(C2618)</f>
        <v/>
      </c>
      <c r="V2618" s="91" t="n"/>
      <c r="W2618" s="91" t="n"/>
      <c r="X2618" s="91" t="n"/>
      <c r="Y2618" s="91" t="n"/>
      <c r="Z2618" s="91" t="n"/>
    </row>
    <row r="2619" ht="12.75" customHeight="1" s="117">
      <c r="A2619" s="91" t="n"/>
      <c r="B2619" s="91" t="n"/>
      <c r="C2619" s="91" t="n"/>
      <c r="D2619" s="91" t="n"/>
      <c r="E2619" s="91" t="n"/>
      <c r="F2619" s="91" t="n"/>
      <c r="G2619" s="91" t="n"/>
      <c r="H2619" s="91" t="n"/>
      <c r="I2619" s="91" t="n"/>
      <c r="J2619" s="91" t="n"/>
      <c r="K2619" s="91" t="n"/>
      <c r="L2619" s="91" t="n"/>
      <c r="M2619" s="91" t="n"/>
      <c r="N2619" s="91" t="n"/>
      <c r="O2619" s="91" t="n"/>
      <c r="P2619" s="91" t="n"/>
      <c r="Q2619" s="91" t="n"/>
      <c r="R2619" s="91" t="n"/>
      <c r="S2619" s="91" t="n"/>
      <c r="T2619" s="25">
        <f>DAY(C2619)</f>
        <v/>
      </c>
      <c r="U2619" s="22">
        <f>MONTH(C2619)</f>
        <v/>
      </c>
      <c r="V2619" s="91" t="n"/>
      <c r="W2619" s="91" t="n"/>
      <c r="X2619" s="91" t="n"/>
      <c r="Y2619" s="91" t="n"/>
      <c r="Z2619" s="91" t="n"/>
    </row>
    <row r="2620" ht="12.75" customHeight="1" s="117">
      <c r="A2620" s="91" t="n"/>
      <c r="B2620" s="91" t="n"/>
      <c r="C2620" s="91" t="n"/>
      <c r="D2620" s="91" t="n"/>
      <c r="E2620" s="91" t="n"/>
      <c r="F2620" s="91" t="n"/>
      <c r="G2620" s="91" t="n"/>
      <c r="H2620" s="91" t="n"/>
      <c r="I2620" s="91" t="n"/>
      <c r="J2620" s="91" t="n"/>
      <c r="K2620" s="91" t="n"/>
      <c r="L2620" s="91" t="n"/>
      <c r="M2620" s="91" t="n"/>
      <c r="N2620" s="91" t="n"/>
      <c r="O2620" s="91" t="n"/>
      <c r="P2620" s="91" t="n"/>
      <c r="Q2620" s="91" t="n"/>
      <c r="R2620" s="91" t="n"/>
      <c r="S2620" s="91" t="n"/>
      <c r="T2620" s="25">
        <f>DAY(C2620)</f>
        <v/>
      </c>
      <c r="U2620" s="22">
        <f>MONTH(C2620)</f>
        <v/>
      </c>
      <c r="V2620" s="91" t="n"/>
      <c r="W2620" s="91" t="n"/>
      <c r="X2620" s="91" t="n"/>
      <c r="Y2620" s="91" t="n"/>
      <c r="Z2620" s="91" t="n"/>
    </row>
    <row r="2621" ht="12.75" customHeight="1" s="117">
      <c r="A2621" s="91" t="n"/>
      <c r="B2621" s="91" t="n"/>
      <c r="C2621" s="91" t="n"/>
      <c r="D2621" s="91" t="n"/>
      <c r="E2621" s="91" t="n"/>
      <c r="F2621" s="91" t="n"/>
      <c r="G2621" s="91" t="n"/>
      <c r="H2621" s="91" t="n"/>
      <c r="I2621" s="91" t="n"/>
      <c r="J2621" s="91" t="n"/>
      <c r="K2621" s="91" t="n"/>
      <c r="L2621" s="91" t="n"/>
      <c r="M2621" s="91" t="n"/>
      <c r="N2621" s="91" t="n"/>
      <c r="O2621" s="91" t="n"/>
      <c r="P2621" s="91" t="n"/>
      <c r="Q2621" s="91" t="n"/>
      <c r="R2621" s="91" t="n"/>
      <c r="S2621" s="91" t="n"/>
      <c r="T2621" s="25">
        <f>DAY(C2621)</f>
        <v/>
      </c>
      <c r="U2621" s="22">
        <f>MONTH(C2621)</f>
        <v/>
      </c>
      <c r="V2621" s="91" t="n"/>
      <c r="W2621" s="91" t="n"/>
      <c r="X2621" s="91" t="n"/>
      <c r="Y2621" s="91" t="n"/>
      <c r="Z2621" s="91" t="n"/>
    </row>
    <row r="2622" ht="12.75" customHeight="1" s="117">
      <c r="A2622" s="91" t="n"/>
      <c r="B2622" s="91" t="n"/>
      <c r="C2622" s="91" t="n"/>
      <c r="D2622" s="91" t="n"/>
      <c r="E2622" s="91" t="n"/>
      <c r="F2622" s="91" t="n"/>
      <c r="G2622" s="91" t="n"/>
      <c r="H2622" s="91" t="n"/>
      <c r="I2622" s="91" t="n"/>
      <c r="J2622" s="91" t="n"/>
      <c r="K2622" s="91" t="n"/>
      <c r="L2622" s="91" t="n"/>
      <c r="M2622" s="91" t="n"/>
      <c r="N2622" s="91" t="n"/>
      <c r="O2622" s="91" t="n"/>
      <c r="P2622" s="91" t="n"/>
      <c r="Q2622" s="91" t="n"/>
      <c r="R2622" s="91" t="n"/>
      <c r="S2622" s="91" t="n"/>
      <c r="T2622" s="25">
        <f>DAY(C2622)</f>
        <v/>
      </c>
      <c r="U2622" s="22">
        <f>MONTH(C2622)</f>
        <v/>
      </c>
      <c r="V2622" s="91" t="n"/>
      <c r="W2622" s="91" t="n"/>
      <c r="X2622" s="91" t="n"/>
      <c r="Y2622" s="91" t="n"/>
      <c r="Z2622" s="91" t="n"/>
    </row>
    <row r="2623" ht="12.75" customHeight="1" s="117">
      <c r="A2623" s="91" t="n"/>
      <c r="B2623" s="91" t="n"/>
      <c r="C2623" s="91" t="n"/>
      <c r="D2623" s="91" t="n"/>
      <c r="E2623" s="91" t="n"/>
      <c r="F2623" s="91" t="n"/>
      <c r="G2623" s="91" t="n"/>
      <c r="H2623" s="91" t="n"/>
      <c r="I2623" s="91" t="n"/>
      <c r="J2623" s="91" t="n"/>
      <c r="K2623" s="91" t="n"/>
      <c r="L2623" s="91" t="n"/>
      <c r="M2623" s="91" t="n"/>
      <c r="N2623" s="91" t="n"/>
      <c r="O2623" s="91" t="n"/>
      <c r="P2623" s="91" t="n"/>
      <c r="Q2623" s="91" t="n"/>
      <c r="R2623" s="91" t="n"/>
      <c r="S2623" s="91" t="n"/>
      <c r="T2623" s="25">
        <f>DAY(C2623)</f>
        <v/>
      </c>
      <c r="U2623" s="22">
        <f>MONTH(C2623)</f>
        <v/>
      </c>
      <c r="V2623" s="91" t="n"/>
      <c r="W2623" s="91" t="n"/>
      <c r="X2623" s="91" t="n"/>
      <c r="Y2623" s="91" t="n"/>
      <c r="Z2623" s="91" t="n"/>
    </row>
    <row r="2624" ht="12.75" customHeight="1" s="117">
      <c r="A2624" s="91" t="n"/>
      <c r="B2624" s="91" t="n"/>
      <c r="C2624" s="91" t="n"/>
      <c r="D2624" s="91" t="n"/>
      <c r="E2624" s="91" t="n"/>
      <c r="F2624" s="91" t="n"/>
      <c r="G2624" s="91" t="n"/>
      <c r="H2624" s="91" t="n"/>
      <c r="I2624" s="91" t="n"/>
      <c r="J2624" s="91" t="n"/>
      <c r="K2624" s="91" t="n"/>
      <c r="L2624" s="91" t="n"/>
      <c r="M2624" s="91" t="n"/>
      <c r="N2624" s="91" t="n"/>
      <c r="O2624" s="91" t="n"/>
      <c r="P2624" s="91" t="n"/>
      <c r="Q2624" s="91" t="n"/>
      <c r="R2624" s="91" t="n"/>
      <c r="S2624" s="91" t="n"/>
      <c r="T2624" s="25">
        <f>DAY(C2624)</f>
        <v/>
      </c>
      <c r="U2624" s="22">
        <f>MONTH(C2624)</f>
        <v/>
      </c>
      <c r="V2624" s="91" t="n"/>
      <c r="W2624" s="91" t="n"/>
      <c r="X2624" s="91" t="n"/>
      <c r="Y2624" s="91" t="n"/>
      <c r="Z2624" s="91" t="n"/>
    </row>
    <row r="2625" ht="12.75" customHeight="1" s="117">
      <c r="A2625" s="91" t="n"/>
      <c r="B2625" s="91" t="n"/>
      <c r="C2625" s="91" t="n"/>
      <c r="D2625" s="91" t="n"/>
      <c r="E2625" s="91" t="n"/>
      <c r="F2625" s="91" t="n"/>
      <c r="G2625" s="91" t="n"/>
      <c r="H2625" s="91" t="n"/>
      <c r="I2625" s="91" t="n"/>
      <c r="J2625" s="91" t="n"/>
      <c r="K2625" s="91" t="n"/>
      <c r="L2625" s="91" t="n"/>
      <c r="M2625" s="91" t="n"/>
      <c r="N2625" s="91" t="n"/>
      <c r="O2625" s="91" t="n"/>
      <c r="P2625" s="91" t="n"/>
      <c r="Q2625" s="91" t="n"/>
      <c r="R2625" s="91" t="n"/>
      <c r="S2625" s="91" t="n"/>
      <c r="T2625" s="25">
        <f>DAY(C2625)</f>
        <v/>
      </c>
      <c r="U2625" s="22">
        <f>MONTH(C2625)</f>
        <v/>
      </c>
      <c r="V2625" s="91" t="n"/>
      <c r="W2625" s="91" t="n"/>
      <c r="X2625" s="91" t="n"/>
      <c r="Y2625" s="91" t="n"/>
      <c r="Z2625" s="91" t="n"/>
    </row>
    <row r="2626" ht="12.75" customHeight="1" s="117">
      <c r="A2626" s="91" t="n"/>
      <c r="B2626" s="91" t="n"/>
      <c r="C2626" s="91" t="n"/>
      <c r="D2626" s="91" t="n"/>
      <c r="E2626" s="91" t="n"/>
      <c r="F2626" s="91" t="n"/>
      <c r="G2626" s="91" t="n"/>
      <c r="H2626" s="91" t="n"/>
      <c r="I2626" s="91" t="n"/>
      <c r="J2626" s="91" t="n"/>
      <c r="K2626" s="91" t="n"/>
      <c r="L2626" s="91" t="n"/>
      <c r="M2626" s="91" t="n"/>
      <c r="N2626" s="91" t="n"/>
      <c r="O2626" s="91" t="n"/>
      <c r="P2626" s="91" t="n"/>
      <c r="Q2626" s="91" t="n"/>
      <c r="R2626" s="91" t="n"/>
      <c r="S2626" s="91" t="n"/>
      <c r="T2626" s="25">
        <f>DAY(C2626)</f>
        <v/>
      </c>
      <c r="U2626" s="22">
        <f>MONTH(C2626)</f>
        <v/>
      </c>
      <c r="V2626" s="91" t="n"/>
      <c r="W2626" s="91" t="n"/>
      <c r="X2626" s="91" t="n"/>
      <c r="Y2626" s="91" t="n"/>
      <c r="Z2626" s="91" t="n"/>
    </row>
    <row r="2627" ht="12.75" customHeight="1" s="117">
      <c r="A2627" s="91" t="n"/>
      <c r="B2627" s="91" t="n"/>
      <c r="C2627" s="91" t="n"/>
      <c r="D2627" s="91" t="n"/>
      <c r="E2627" s="91" t="n"/>
      <c r="F2627" s="91" t="n"/>
      <c r="G2627" s="91" t="n"/>
      <c r="H2627" s="91" t="n"/>
      <c r="I2627" s="91" t="n"/>
      <c r="J2627" s="91" t="n"/>
      <c r="K2627" s="91" t="n"/>
      <c r="L2627" s="91" t="n"/>
      <c r="M2627" s="91" t="n"/>
      <c r="N2627" s="91" t="n"/>
      <c r="O2627" s="91" t="n"/>
      <c r="P2627" s="91" t="n"/>
      <c r="Q2627" s="91" t="n"/>
      <c r="R2627" s="91" t="n"/>
      <c r="S2627" s="91" t="n"/>
      <c r="T2627" s="25">
        <f>DAY(C2627)</f>
        <v/>
      </c>
      <c r="U2627" s="22">
        <f>MONTH(C2627)</f>
        <v/>
      </c>
      <c r="V2627" s="91" t="n"/>
      <c r="W2627" s="91" t="n"/>
      <c r="X2627" s="91" t="n"/>
      <c r="Y2627" s="91" t="n"/>
      <c r="Z2627" s="91" t="n"/>
    </row>
    <row r="2628" ht="12.75" customHeight="1" s="117">
      <c r="A2628" s="91" t="n"/>
      <c r="B2628" s="91" t="n"/>
      <c r="C2628" s="91" t="n"/>
      <c r="D2628" s="91" t="n"/>
      <c r="E2628" s="91" t="n"/>
      <c r="F2628" s="91" t="n"/>
      <c r="G2628" s="91" t="n"/>
      <c r="H2628" s="91" t="n"/>
      <c r="I2628" s="91" t="n"/>
      <c r="J2628" s="91" t="n"/>
      <c r="K2628" s="91" t="n"/>
      <c r="L2628" s="91" t="n"/>
      <c r="M2628" s="91" t="n"/>
      <c r="N2628" s="91" t="n"/>
      <c r="O2628" s="91" t="n"/>
      <c r="P2628" s="91" t="n"/>
      <c r="Q2628" s="91" t="n"/>
      <c r="R2628" s="91" t="n"/>
      <c r="S2628" s="91" t="n"/>
      <c r="T2628" s="25">
        <f>DAY(C2628)</f>
        <v/>
      </c>
      <c r="U2628" s="22">
        <f>MONTH(C2628)</f>
        <v/>
      </c>
      <c r="V2628" s="91" t="n"/>
      <c r="W2628" s="91" t="n"/>
      <c r="X2628" s="91" t="n"/>
      <c r="Y2628" s="91" t="n"/>
      <c r="Z2628" s="91" t="n"/>
    </row>
    <row r="2629" ht="12.75" customHeight="1" s="117">
      <c r="A2629" s="91" t="n"/>
      <c r="B2629" s="91" t="n"/>
      <c r="C2629" s="91" t="n"/>
      <c r="D2629" s="91" t="n"/>
      <c r="E2629" s="91" t="n"/>
      <c r="F2629" s="91" t="n"/>
      <c r="G2629" s="91" t="n"/>
      <c r="H2629" s="91" t="n"/>
      <c r="I2629" s="91" t="n"/>
      <c r="J2629" s="91" t="n"/>
      <c r="K2629" s="91" t="n"/>
      <c r="L2629" s="91" t="n"/>
      <c r="M2629" s="91" t="n"/>
      <c r="N2629" s="91" t="n"/>
      <c r="O2629" s="91" t="n"/>
      <c r="P2629" s="91" t="n"/>
      <c r="Q2629" s="91" t="n"/>
      <c r="R2629" s="91" t="n"/>
      <c r="S2629" s="91" t="n"/>
      <c r="T2629" s="25">
        <f>DAY(C2629)</f>
        <v/>
      </c>
      <c r="U2629" s="22">
        <f>MONTH(C2629)</f>
        <v/>
      </c>
      <c r="V2629" s="91" t="n"/>
      <c r="W2629" s="91" t="n"/>
      <c r="X2629" s="91" t="n"/>
      <c r="Y2629" s="91" t="n"/>
      <c r="Z2629" s="91" t="n"/>
    </row>
    <row r="2630" ht="12.75" customHeight="1" s="117">
      <c r="A2630" s="91" t="n"/>
      <c r="B2630" s="91" t="n"/>
      <c r="C2630" s="91" t="n"/>
      <c r="D2630" s="91" t="n"/>
      <c r="E2630" s="91" t="n"/>
      <c r="F2630" s="91" t="n"/>
      <c r="G2630" s="91" t="n"/>
      <c r="H2630" s="91" t="n"/>
      <c r="I2630" s="91" t="n"/>
      <c r="J2630" s="91" t="n"/>
      <c r="K2630" s="91" t="n"/>
      <c r="L2630" s="91" t="n"/>
      <c r="M2630" s="91" t="n"/>
      <c r="N2630" s="91" t="n"/>
      <c r="O2630" s="91" t="n"/>
      <c r="P2630" s="91" t="n"/>
      <c r="Q2630" s="91" t="n"/>
      <c r="R2630" s="91" t="n"/>
      <c r="S2630" s="91" t="n"/>
      <c r="T2630" s="25">
        <f>DAY(C2630)</f>
        <v/>
      </c>
      <c r="U2630" s="22">
        <f>MONTH(C2630)</f>
        <v/>
      </c>
      <c r="V2630" s="91" t="n"/>
      <c r="W2630" s="91" t="n"/>
      <c r="X2630" s="91" t="n"/>
      <c r="Y2630" s="91" t="n"/>
      <c r="Z2630" s="91" t="n"/>
    </row>
    <row r="2631" ht="12.75" customHeight="1" s="117">
      <c r="A2631" s="91" t="n"/>
      <c r="B2631" s="91" t="n"/>
      <c r="C2631" s="91" t="n"/>
      <c r="D2631" s="91" t="n"/>
      <c r="E2631" s="91" t="n"/>
      <c r="F2631" s="91" t="n"/>
      <c r="G2631" s="91" t="n"/>
      <c r="H2631" s="91" t="n"/>
      <c r="I2631" s="91" t="n"/>
      <c r="J2631" s="91" t="n"/>
      <c r="K2631" s="91" t="n"/>
      <c r="L2631" s="91" t="n"/>
      <c r="M2631" s="91" t="n"/>
      <c r="N2631" s="91" t="n"/>
      <c r="O2631" s="91" t="n"/>
      <c r="P2631" s="91" t="n"/>
      <c r="Q2631" s="91" t="n"/>
      <c r="R2631" s="91" t="n"/>
      <c r="S2631" s="91" t="n"/>
      <c r="T2631" s="25">
        <f>DAY(C2631)</f>
        <v/>
      </c>
      <c r="U2631" s="22">
        <f>MONTH(C2631)</f>
        <v/>
      </c>
      <c r="V2631" s="91" t="n"/>
      <c r="W2631" s="91" t="n"/>
      <c r="X2631" s="91" t="n"/>
      <c r="Y2631" s="91" t="n"/>
      <c r="Z2631" s="91" t="n"/>
    </row>
    <row r="2632" ht="12.75" customHeight="1" s="117">
      <c r="A2632" s="91" t="n"/>
      <c r="B2632" s="91" t="n"/>
      <c r="C2632" s="91" t="n"/>
      <c r="D2632" s="91" t="n"/>
      <c r="E2632" s="91" t="n"/>
      <c r="F2632" s="91" t="n"/>
      <c r="G2632" s="91" t="n"/>
      <c r="H2632" s="91" t="n"/>
      <c r="I2632" s="91" t="n"/>
      <c r="J2632" s="91" t="n"/>
      <c r="K2632" s="91" t="n"/>
      <c r="L2632" s="91" t="n"/>
      <c r="M2632" s="91" t="n"/>
      <c r="N2632" s="91" t="n"/>
      <c r="O2632" s="91" t="n"/>
      <c r="P2632" s="91" t="n"/>
      <c r="Q2632" s="91" t="n"/>
      <c r="R2632" s="91" t="n"/>
      <c r="S2632" s="91" t="n"/>
      <c r="T2632" s="25">
        <f>DAY(C2632)</f>
        <v/>
      </c>
      <c r="U2632" s="22">
        <f>MONTH(C2632)</f>
        <v/>
      </c>
      <c r="V2632" s="91" t="n"/>
      <c r="W2632" s="91" t="n"/>
      <c r="X2632" s="91" t="n"/>
      <c r="Y2632" s="91" t="n"/>
      <c r="Z2632" s="91" t="n"/>
    </row>
    <row r="2633" ht="12.75" customHeight="1" s="117">
      <c r="A2633" s="91" t="n"/>
      <c r="B2633" s="91" t="n"/>
      <c r="C2633" s="91" t="n"/>
      <c r="D2633" s="91" t="n"/>
      <c r="E2633" s="91" t="n"/>
      <c r="F2633" s="91" t="n"/>
      <c r="G2633" s="91" t="n"/>
      <c r="H2633" s="91" t="n"/>
      <c r="I2633" s="91" t="n"/>
      <c r="J2633" s="91" t="n"/>
      <c r="K2633" s="91" t="n"/>
      <c r="L2633" s="91" t="n"/>
      <c r="M2633" s="91" t="n"/>
      <c r="N2633" s="91" t="n"/>
      <c r="O2633" s="91" t="n"/>
      <c r="P2633" s="91" t="n"/>
      <c r="Q2633" s="91" t="n"/>
      <c r="R2633" s="91" t="n"/>
      <c r="S2633" s="91" t="n"/>
      <c r="T2633" s="25">
        <f>DAY(C2633)</f>
        <v/>
      </c>
      <c r="U2633" s="22">
        <f>MONTH(C2633)</f>
        <v/>
      </c>
      <c r="V2633" s="91" t="n"/>
      <c r="W2633" s="91" t="n"/>
      <c r="X2633" s="91" t="n"/>
      <c r="Y2633" s="91" t="n"/>
      <c r="Z2633" s="91" t="n"/>
    </row>
    <row r="2634" ht="12.75" customHeight="1" s="117">
      <c r="A2634" s="91" t="n"/>
      <c r="B2634" s="91" t="n"/>
      <c r="C2634" s="91" t="n"/>
      <c r="D2634" s="91" t="n"/>
      <c r="E2634" s="91" t="n"/>
      <c r="F2634" s="91" t="n"/>
      <c r="G2634" s="91" t="n"/>
      <c r="H2634" s="91" t="n"/>
      <c r="I2634" s="91" t="n"/>
      <c r="J2634" s="91" t="n"/>
      <c r="K2634" s="91" t="n"/>
      <c r="L2634" s="91" t="n"/>
      <c r="M2634" s="91" t="n"/>
      <c r="N2634" s="91" t="n"/>
      <c r="O2634" s="91" t="n"/>
      <c r="P2634" s="91" t="n"/>
      <c r="Q2634" s="91" t="n"/>
      <c r="R2634" s="91" t="n"/>
      <c r="S2634" s="91" t="n"/>
      <c r="T2634" s="25">
        <f>DAY(C2634)</f>
        <v/>
      </c>
      <c r="U2634" s="22">
        <f>MONTH(C2634)</f>
        <v/>
      </c>
      <c r="V2634" s="91" t="n"/>
      <c r="W2634" s="91" t="n"/>
      <c r="X2634" s="91" t="n"/>
      <c r="Y2634" s="91" t="n"/>
      <c r="Z2634" s="91" t="n"/>
    </row>
    <row r="2635" ht="12.75" customHeight="1" s="117">
      <c r="A2635" s="91" t="n"/>
      <c r="B2635" s="91" t="n"/>
      <c r="C2635" s="91" t="n"/>
      <c r="D2635" s="91" t="n"/>
      <c r="E2635" s="91" t="n"/>
      <c r="F2635" s="91" t="n"/>
      <c r="G2635" s="91" t="n"/>
      <c r="H2635" s="91" t="n"/>
      <c r="I2635" s="91" t="n"/>
      <c r="J2635" s="91" t="n"/>
      <c r="K2635" s="91" t="n"/>
      <c r="L2635" s="91" t="n"/>
      <c r="M2635" s="91" t="n"/>
      <c r="N2635" s="91" t="n"/>
      <c r="O2635" s="91" t="n"/>
      <c r="P2635" s="91" t="n"/>
      <c r="Q2635" s="91" t="n"/>
      <c r="R2635" s="91" t="n"/>
      <c r="S2635" s="91" t="n"/>
      <c r="T2635" s="25">
        <f>DAY(C2635)</f>
        <v/>
      </c>
      <c r="U2635" s="22">
        <f>MONTH(C2635)</f>
        <v/>
      </c>
      <c r="V2635" s="91" t="n"/>
      <c r="W2635" s="91" t="n"/>
      <c r="X2635" s="91" t="n"/>
      <c r="Y2635" s="91" t="n"/>
      <c r="Z2635" s="91" t="n"/>
    </row>
    <row r="2636" ht="12.75" customHeight="1" s="117">
      <c r="A2636" s="91" t="n"/>
      <c r="B2636" s="91" t="n"/>
      <c r="C2636" s="91" t="n"/>
      <c r="D2636" s="91" t="n"/>
      <c r="E2636" s="91" t="n"/>
      <c r="F2636" s="91" t="n"/>
      <c r="G2636" s="91" t="n"/>
      <c r="H2636" s="91" t="n"/>
      <c r="I2636" s="91" t="n"/>
      <c r="J2636" s="91" t="n"/>
      <c r="K2636" s="91" t="n"/>
      <c r="L2636" s="91" t="n"/>
      <c r="M2636" s="91" t="n"/>
      <c r="N2636" s="91" t="n"/>
      <c r="O2636" s="91" t="n"/>
      <c r="P2636" s="91" t="n"/>
      <c r="Q2636" s="91" t="n"/>
      <c r="R2636" s="91" t="n"/>
      <c r="S2636" s="91" t="n"/>
      <c r="T2636" s="25">
        <f>DAY(C2636)</f>
        <v/>
      </c>
      <c r="U2636" s="22">
        <f>MONTH(C2636)</f>
        <v/>
      </c>
      <c r="V2636" s="91" t="n"/>
      <c r="W2636" s="91" t="n"/>
      <c r="X2636" s="91" t="n"/>
      <c r="Y2636" s="91" t="n"/>
      <c r="Z2636" s="91" t="n"/>
    </row>
    <row r="2637" ht="12.75" customHeight="1" s="117">
      <c r="A2637" s="91" t="n"/>
      <c r="B2637" s="91" t="n"/>
      <c r="C2637" s="91" t="n"/>
      <c r="D2637" s="91" t="n"/>
      <c r="E2637" s="91" t="n"/>
      <c r="F2637" s="91" t="n"/>
      <c r="G2637" s="91" t="n"/>
      <c r="H2637" s="91" t="n"/>
      <c r="I2637" s="91" t="n"/>
      <c r="J2637" s="91" t="n"/>
      <c r="K2637" s="91" t="n"/>
      <c r="L2637" s="91" t="n"/>
      <c r="M2637" s="91" t="n"/>
      <c r="N2637" s="91" t="n"/>
      <c r="O2637" s="91" t="n"/>
      <c r="P2637" s="91" t="n"/>
      <c r="Q2637" s="91" t="n"/>
      <c r="R2637" s="91" t="n"/>
      <c r="S2637" s="91" t="n"/>
      <c r="T2637" s="25">
        <f>DAY(C2637)</f>
        <v/>
      </c>
      <c r="U2637" s="22">
        <f>MONTH(C2637)</f>
        <v/>
      </c>
      <c r="V2637" s="91" t="n"/>
      <c r="W2637" s="91" t="n"/>
      <c r="X2637" s="91" t="n"/>
      <c r="Y2637" s="91" t="n"/>
      <c r="Z2637" s="91" t="n"/>
    </row>
    <row r="2638" ht="12.75" customHeight="1" s="117">
      <c r="A2638" s="91" t="n"/>
      <c r="B2638" s="91" t="n"/>
      <c r="C2638" s="91" t="n"/>
      <c r="D2638" s="91" t="n"/>
      <c r="E2638" s="91" t="n"/>
      <c r="F2638" s="91" t="n"/>
      <c r="G2638" s="91" t="n"/>
      <c r="H2638" s="91" t="n"/>
      <c r="I2638" s="91" t="n"/>
      <c r="J2638" s="91" t="n"/>
      <c r="K2638" s="91" t="n"/>
      <c r="L2638" s="91" t="n"/>
      <c r="M2638" s="91" t="n"/>
      <c r="N2638" s="91" t="n"/>
      <c r="O2638" s="91" t="n"/>
      <c r="P2638" s="91" t="n"/>
      <c r="Q2638" s="91" t="n"/>
      <c r="R2638" s="91" t="n"/>
      <c r="S2638" s="91" t="n"/>
      <c r="T2638" s="25">
        <f>DAY(C2638)</f>
        <v/>
      </c>
      <c r="U2638" s="22">
        <f>MONTH(C2638)</f>
        <v/>
      </c>
      <c r="V2638" s="91" t="n"/>
      <c r="W2638" s="91" t="n"/>
      <c r="X2638" s="91" t="n"/>
      <c r="Y2638" s="91" t="n"/>
      <c r="Z2638" s="91" t="n"/>
    </row>
    <row r="2639" ht="12.75" customHeight="1" s="117">
      <c r="A2639" s="91" t="n"/>
      <c r="B2639" s="91" t="n"/>
      <c r="C2639" s="91" t="n"/>
      <c r="D2639" s="91" t="n"/>
      <c r="E2639" s="91" t="n"/>
      <c r="F2639" s="91" t="n"/>
      <c r="G2639" s="91" t="n"/>
      <c r="H2639" s="91" t="n"/>
      <c r="I2639" s="91" t="n"/>
      <c r="J2639" s="91" t="n"/>
      <c r="K2639" s="91" t="n"/>
      <c r="L2639" s="91" t="n"/>
      <c r="M2639" s="91" t="n"/>
      <c r="N2639" s="91" t="n"/>
      <c r="O2639" s="91" t="n"/>
      <c r="P2639" s="91" t="n"/>
      <c r="Q2639" s="91" t="n"/>
      <c r="R2639" s="91" t="n"/>
      <c r="S2639" s="91" t="n"/>
      <c r="T2639" s="25">
        <f>DAY(C2639)</f>
        <v/>
      </c>
      <c r="U2639" s="22">
        <f>MONTH(C2639)</f>
        <v/>
      </c>
      <c r="V2639" s="91" t="n"/>
      <c r="W2639" s="91" t="n"/>
      <c r="X2639" s="91" t="n"/>
      <c r="Y2639" s="91" t="n"/>
      <c r="Z2639" s="91" t="n"/>
    </row>
    <row r="2640" ht="12.75" customHeight="1" s="117">
      <c r="A2640" s="91" t="n"/>
      <c r="B2640" s="91" t="n"/>
      <c r="C2640" s="91" t="n"/>
      <c r="D2640" s="91" t="n"/>
      <c r="E2640" s="91" t="n"/>
      <c r="F2640" s="91" t="n"/>
      <c r="G2640" s="91" t="n"/>
      <c r="H2640" s="91" t="n"/>
      <c r="I2640" s="91" t="n"/>
      <c r="J2640" s="91" t="n"/>
      <c r="K2640" s="91" t="n"/>
      <c r="L2640" s="91" t="n"/>
      <c r="M2640" s="91" t="n"/>
      <c r="N2640" s="91" t="n"/>
      <c r="O2640" s="91" t="n"/>
      <c r="P2640" s="91" t="n"/>
      <c r="Q2640" s="91" t="n"/>
      <c r="R2640" s="91" t="n"/>
      <c r="S2640" s="91" t="n"/>
      <c r="T2640" s="25">
        <f>DAY(C2640)</f>
        <v/>
      </c>
      <c r="U2640" s="22">
        <f>MONTH(C2640)</f>
        <v/>
      </c>
      <c r="V2640" s="91" t="n"/>
      <c r="W2640" s="91" t="n"/>
      <c r="X2640" s="91" t="n"/>
      <c r="Y2640" s="91" t="n"/>
      <c r="Z2640" s="91" t="n"/>
    </row>
    <row r="2641" ht="12.75" customHeight="1" s="117">
      <c r="A2641" s="91" t="n"/>
      <c r="B2641" s="91" t="n"/>
      <c r="C2641" s="91" t="n"/>
      <c r="D2641" s="91" t="n"/>
      <c r="E2641" s="91" t="n"/>
      <c r="F2641" s="91" t="n"/>
      <c r="G2641" s="91" t="n"/>
      <c r="H2641" s="91" t="n"/>
      <c r="I2641" s="91" t="n"/>
      <c r="J2641" s="91" t="n"/>
      <c r="K2641" s="91" t="n"/>
      <c r="L2641" s="91" t="n"/>
      <c r="M2641" s="91" t="n"/>
      <c r="N2641" s="91" t="n"/>
      <c r="O2641" s="91" t="n"/>
      <c r="P2641" s="91" t="n"/>
      <c r="Q2641" s="91" t="n"/>
      <c r="R2641" s="91" t="n"/>
      <c r="S2641" s="91" t="n"/>
      <c r="T2641" s="25">
        <f>DAY(C2641)</f>
        <v/>
      </c>
      <c r="U2641" s="22">
        <f>MONTH(C2641)</f>
        <v/>
      </c>
      <c r="V2641" s="91" t="n"/>
      <c r="W2641" s="91" t="n"/>
      <c r="X2641" s="91" t="n"/>
      <c r="Y2641" s="91" t="n"/>
      <c r="Z2641" s="91" t="n"/>
    </row>
    <row r="2642" ht="12.75" customHeight="1" s="117">
      <c r="A2642" s="91" t="n"/>
      <c r="B2642" s="91" t="n"/>
      <c r="C2642" s="91" t="n"/>
      <c r="D2642" s="91" t="n"/>
      <c r="E2642" s="91" t="n"/>
      <c r="F2642" s="91" t="n"/>
      <c r="G2642" s="91" t="n"/>
      <c r="H2642" s="91" t="n"/>
      <c r="I2642" s="91" t="n"/>
      <c r="J2642" s="91" t="n"/>
      <c r="K2642" s="91" t="n"/>
      <c r="L2642" s="91" t="n"/>
      <c r="M2642" s="91" t="n"/>
      <c r="N2642" s="91" t="n"/>
      <c r="O2642" s="91" t="n"/>
      <c r="P2642" s="91" t="n"/>
      <c r="Q2642" s="91" t="n"/>
      <c r="R2642" s="91" t="n"/>
      <c r="S2642" s="91" t="n"/>
      <c r="T2642" s="25">
        <f>DAY(C2642)</f>
        <v/>
      </c>
      <c r="U2642" s="22">
        <f>MONTH(C2642)</f>
        <v/>
      </c>
      <c r="V2642" s="91" t="n"/>
      <c r="W2642" s="91" t="n"/>
      <c r="X2642" s="91" t="n"/>
      <c r="Y2642" s="91" t="n"/>
      <c r="Z2642" s="91" t="n"/>
    </row>
    <row r="2643" ht="12.75" customHeight="1" s="117">
      <c r="A2643" s="91" t="n"/>
      <c r="B2643" s="91" t="n"/>
      <c r="C2643" s="91" t="n"/>
      <c r="D2643" s="91" t="n"/>
      <c r="E2643" s="91" t="n"/>
      <c r="F2643" s="91" t="n"/>
      <c r="G2643" s="91" t="n"/>
      <c r="H2643" s="91" t="n"/>
      <c r="I2643" s="91" t="n"/>
      <c r="J2643" s="91" t="n"/>
      <c r="K2643" s="91" t="n"/>
      <c r="L2643" s="91" t="n"/>
      <c r="M2643" s="91" t="n"/>
      <c r="N2643" s="91" t="n"/>
      <c r="O2643" s="91" t="n"/>
      <c r="P2643" s="91" t="n"/>
      <c r="Q2643" s="91" t="n"/>
      <c r="R2643" s="91" t="n"/>
      <c r="S2643" s="91" t="n"/>
      <c r="T2643" s="25">
        <f>DAY(C2643)</f>
        <v/>
      </c>
      <c r="U2643" s="22">
        <f>MONTH(C2643)</f>
        <v/>
      </c>
      <c r="V2643" s="91" t="n"/>
      <c r="W2643" s="91" t="n"/>
      <c r="X2643" s="91" t="n"/>
      <c r="Y2643" s="91" t="n"/>
      <c r="Z2643" s="91" t="n"/>
    </row>
    <row r="2644" ht="12.75" customHeight="1" s="117">
      <c r="A2644" s="91" t="n"/>
      <c r="B2644" s="91" t="n"/>
      <c r="C2644" s="91" t="n"/>
      <c r="D2644" s="91" t="n"/>
      <c r="E2644" s="91" t="n"/>
      <c r="F2644" s="91" t="n"/>
      <c r="G2644" s="91" t="n"/>
      <c r="H2644" s="91" t="n"/>
      <c r="I2644" s="91" t="n"/>
      <c r="J2644" s="91" t="n"/>
      <c r="K2644" s="91" t="n"/>
      <c r="L2644" s="91" t="n"/>
      <c r="M2644" s="91" t="n"/>
      <c r="N2644" s="91" t="n"/>
      <c r="O2644" s="91" t="n"/>
      <c r="P2644" s="91" t="n"/>
      <c r="Q2644" s="91" t="n"/>
      <c r="R2644" s="91" t="n"/>
      <c r="S2644" s="91" t="n"/>
      <c r="T2644" s="25">
        <f>DAY(C2644)</f>
        <v/>
      </c>
      <c r="U2644" s="22">
        <f>MONTH(C2644)</f>
        <v/>
      </c>
      <c r="V2644" s="91" t="n"/>
      <c r="W2644" s="91" t="n"/>
      <c r="X2644" s="91" t="n"/>
      <c r="Y2644" s="91" t="n"/>
      <c r="Z2644" s="91" t="n"/>
    </row>
    <row r="2645" ht="12.75" customHeight="1" s="117">
      <c r="A2645" s="91" t="n"/>
      <c r="B2645" s="91" t="n"/>
      <c r="C2645" s="91" t="n"/>
      <c r="D2645" s="91" t="n"/>
      <c r="E2645" s="91" t="n"/>
      <c r="F2645" s="91" t="n"/>
      <c r="G2645" s="91" t="n"/>
      <c r="H2645" s="91" t="n"/>
      <c r="I2645" s="91" t="n"/>
      <c r="J2645" s="91" t="n"/>
      <c r="K2645" s="91" t="n"/>
      <c r="L2645" s="91" t="n"/>
      <c r="M2645" s="91" t="n"/>
      <c r="N2645" s="91" t="n"/>
      <c r="O2645" s="91" t="n"/>
      <c r="P2645" s="91" t="n"/>
      <c r="Q2645" s="91" t="n"/>
      <c r="R2645" s="91" t="n"/>
      <c r="S2645" s="91" t="n"/>
      <c r="T2645" s="25">
        <f>DAY(C2645)</f>
        <v/>
      </c>
      <c r="U2645" s="22">
        <f>MONTH(C2645)</f>
        <v/>
      </c>
      <c r="V2645" s="91" t="n"/>
      <c r="W2645" s="91" t="n"/>
      <c r="X2645" s="91" t="n"/>
      <c r="Y2645" s="91" t="n"/>
      <c r="Z2645" s="91" t="n"/>
    </row>
    <row r="2646" ht="12.75" customHeight="1" s="117">
      <c r="A2646" s="91" t="n"/>
      <c r="B2646" s="91" t="n"/>
      <c r="C2646" s="91" t="n"/>
      <c r="D2646" s="91" t="n"/>
      <c r="E2646" s="91" t="n"/>
      <c r="F2646" s="91" t="n"/>
      <c r="G2646" s="91" t="n"/>
      <c r="H2646" s="91" t="n"/>
      <c r="I2646" s="91" t="n"/>
      <c r="J2646" s="91" t="n"/>
      <c r="K2646" s="91" t="n"/>
      <c r="L2646" s="91" t="n"/>
      <c r="M2646" s="91" t="n"/>
      <c r="N2646" s="91" t="n"/>
      <c r="O2646" s="91" t="n"/>
      <c r="P2646" s="91" t="n"/>
      <c r="Q2646" s="91" t="n"/>
      <c r="R2646" s="91" t="n"/>
      <c r="S2646" s="91" t="n"/>
      <c r="T2646" s="25">
        <f>DAY(C2646)</f>
        <v/>
      </c>
      <c r="U2646" s="22">
        <f>MONTH(C2646)</f>
        <v/>
      </c>
      <c r="V2646" s="91" t="n"/>
      <c r="W2646" s="91" t="n"/>
      <c r="X2646" s="91" t="n"/>
      <c r="Y2646" s="91" t="n"/>
      <c r="Z2646" s="91" t="n"/>
    </row>
    <row r="2647" ht="12.75" customHeight="1" s="117">
      <c r="A2647" s="91" t="n"/>
      <c r="B2647" s="91" t="n"/>
      <c r="C2647" s="91" t="n"/>
      <c r="D2647" s="91" t="n"/>
      <c r="E2647" s="91" t="n"/>
      <c r="F2647" s="91" t="n"/>
      <c r="G2647" s="91" t="n"/>
      <c r="H2647" s="91" t="n"/>
      <c r="I2647" s="91" t="n"/>
      <c r="J2647" s="91" t="n"/>
      <c r="K2647" s="91" t="n"/>
      <c r="L2647" s="91" t="n"/>
      <c r="M2647" s="91" t="n"/>
      <c r="N2647" s="91" t="n"/>
      <c r="O2647" s="91" t="n"/>
      <c r="P2647" s="91" t="n"/>
      <c r="Q2647" s="91" t="n"/>
      <c r="R2647" s="91" t="n"/>
      <c r="S2647" s="91" t="n"/>
      <c r="T2647" s="25">
        <f>DAY(C2647)</f>
        <v/>
      </c>
      <c r="U2647" s="22">
        <f>MONTH(C2647)</f>
        <v/>
      </c>
      <c r="V2647" s="91" t="n"/>
      <c r="W2647" s="91" t="n"/>
      <c r="X2647" s="91" t="n"/>
      <c r="Y2647" s="91" t="n"/>
      <c r="Z2647" s="91" t="n"/>
    </row>
    <row r="2648" ht="12.75" customHeight="1" s="117">
      <c r="A2648" s="91" t="n"/>
      <c r="B2648" s="91" t="n"/>
      <c r="C2648" s="91" t="n"/>
      <c r="D2648" s="91" t="n"/>
      <c r="E2648" s="91" t="n"/>
      <c r="F2648" s="91" t="n"/>
      <c r="G2648" s="91" t="n"/>
      <c r="H2648" s="91" t="n"/>
      <c r="I2648" s="91" t="n"/>
      <c r="J2648" s="91" t="n"/>
      <c r="K2648" s="91" t="n"/>
      <c r="L2648" s="91" t="n"/>
      <c r="M2648" s="91" t="n"/>
      <c r="N2648" s="91" t="n"/>
      <c r="O2648" s="91" t="n"/>
      <c r="P2648" s="91" t="n"/>
      <c r="Q2648" s="91" t="n"/>
      <c r="R2648" s="91" t="n"/>
      <c r="S2648" s="91" t="n"/>
      <c r="T2648" s="25">
        <f>DAY(C2648)</f>
        <v/>
      </c>
      <c r="U2648" s="22">
        <f>MONTH(C2648)</f>
        <v/>
      </c>
      <c r="V2648" s="91" t="n"/>
      <c r="W2648" s="91" t="n"/>
      <c r="X2648" s="91" t="n"/>
      <c r="Y2648" s="91" t="n"/>
      <c r="Z2648" s="91" t="n"/>
    </row>
    <row r="2649" ht="12.75" customHeight="1" s="117">
      <c r="A2649" s="91" t="n"/>
      <c r="B2649" s="91" t="n"/>
      <c r="C2649" s="91" t="n"/>
      <c r="D2649" s="91" t="n"/>
      <c r="E2649" s="91" t="n"/>
      <c r="F2649" s="91" t="n"/>
      <c r="G2649" s="91" t="n"/>
      <c r="H2649" s="91" t="n"/>
      <c r="I2649" s="91" t="n"/>
      <c r="J2649" s="91" t="n"/>
      <c r="K2649" s="91" t="n"/>
      <c r="L2649" s="91" t="n"/>
      <c r="M2649" s="91" t="n"/>
      <c r="N2649" s="91" t="n"/>
      <c r="O2649" s="91" t="n"/>
      <c r="P2649" s="91" t="n"/>
      <c r="Q2649" s="91" t="n"/>
      <c r="R2649" s="91" t="n"/>
      <c r="S2649" s="91" t="n"/>
      <c r="T2649" s="25">
        <f>DAY(C2649)</f>
        <v/>
      </c>
      <c r="U2649" s="22">
        <f>MONTH(C2649)</f>
        <v/>
      </c>
      <c r="V2649" s="91" t="n"/>
      <c r="W2649" s="91" t="n"/>
      <c r="X2649" s="91" t="n"/>
      <c r="Y2649" s="91" t="n"/>
      <c r="Z2649" s="91" t="n"/>
    </row>
    <row r="2650" ht="12.75" customHeight="1" s="117">
      <c r="A2650" s="91" t="n"/>
      <c r="B2650" s="91" t="n"/>
      <c r="C2650" s="91" t="n"/>
      <c r="D2650" s="91" t="n"/>
      <c r="E2650" s="91" t="n"/>
      <c r="F2650" s="91" t="n"/>
      <c r="G2650" s="91" t="n"/>
      <c r="H2650" s="91" t="n"/>
      <c r="I2650" s="91" t="n"/>
      <c r="J2650" s="91" t="n"/>
      <c r="K2650" s="91" t="n"/>
      <c r="L2650" s="91" t="n"/>
      <c r="M2650" s="91" t="n"/>
      <c r="N2650" s="91" t="n"/>
      <c r="O2650" s="91" t="n"/>
      <c r="P2650" s="91" t="n"/>
      <c r="Q2650" s="91" t="n"/>
      <c r="R2650" s="91" t="n"/>
      <c r="S2650" s="91" t="n"/>
      <c r="T2650" s="25">
        <f>DAY(C2650)</f>
        <v/>
      </c>
      <c r="U2650" s="22">
        <f>MONTH(C2650)</f>
        <v/>
      </c>
      <c r="V2650" s="91" t="n"/>
      <c r="W2650" s="91" t="n"/>
      <c r="X2650" s="91" t="n"/>
      <c r="Y2650" s="91" t="n"/>
      <c r="Z2650" s="91" t="n"/>
    </row>
    <row r="2651" ht="12.75" customHeight="1" s="117">
      <c r="A2651" s="91" t="n"/>
      <c r="B2651" s="91" t="n"/>
      <c r="C2651" s="91" t="n"/>
      <c r="D2651" s="91" t="n"/>
      <c r="E2651" s="91" t="n"/>
      <c r="F2651" s="91" t="n"/>
      <c r="G2651" s="91" t="n"/>
      <c r="H2651" s="91" t="n"/>
      <c r="I2651" s="91" t="n"/>
      <c r="J2651" s="91" t="n"/>
      <c r="K2651" s="91" t="n"/>
      <c r="L2651" s="91" t="n"/>
      <c r="M2651" s="91" t="n"/>
      <c r="N2651" s="91" t="n"/>
      <c r="O2651" s="91" t="n"/>
      <c r="P2651" s="91" t="n"/>
      <c r="Q2651" s="91" t="n"/>
      <c r="R2651" s="91" t="n"/>
      <c r="S2651" s="91" t="n"/>
      <c r="T2651" s="25">
        <f>DAY(C2651)</f>
        <v/>
      </c>
      <c r="U2651" s="22">
        <f>MONTH(C2651)</f>
        <v/>
      </c>
      <c r="V2651" s="91" t="n"/>
      <c r="W2651" s="91" t="n"/>
      <c r="X2651" s="91" t="n"/>
      <c r="Y2651" s="91" t="n"/>
      <c r="Z2651" s="91" t="n"/>
    </row>
    <row r="2652" ht="12.75" customHeight="1" s="117">
      <c r="A2652" s="91" t="n"/>
      <c r="B2652" s="91" t="n"/>
      <c r="C2652" s="91" t="n"/>
      <c r="D2652" s="91" t="n"/>
      <c r="E2652" s="91" t="n"/>
      <c r="F2652" s="91" t="n"/>
      <c r="G2652" s="91" t="n"/>
      <c r="H2652" s="91" t="n"/>
      <c r="I2652" s="91" t="n"/>
      <c r="J2652" s="91" t="n"/>
      <c r="K2652" s="91" t="n"/>
      <c r="L2652" s="91" t="n"/>
      <c r="M2652" s="91" t="n"/>
      <c r="N2652" s="91" t="n"/>
      <c r="O2652" s="91" t="n"/>
      <c r="P2652" s="91" t="n"/>
      <c r="Q2652" s="91" t="n"/>
      <c r="R2652" s="91" t="n"/>
      <c r="S2652" s="91" t="n"/>
      <c r="T2652" s="25">
        <f>DAY(C2652)</f>
        <v/>
      </c>
      <c r="U2652" s="22">
        <f>MONTH(C2652)</f>
        <v/>
      </c>
      <c r="V2652" s="91" t="n"/>
      <c r="W2652" s="91" t="n"/>
      <c r="X2652" s="91" t="n"/>
      <c r="Y2652" s="91" t="n"/>
      <c r="Z2652" s="91" t="n"/>
    </row>
    <row r="2653" ht="12.75" customHeight="1" s="117">
      <c r="A2653" s="91" t="n"/>
      <c r="B2653" s="91" t="n"/>
      <c r="C2653" s="91" t="n"/>
      <c r="D2653" s="91" t="n"/>
      <c r="E2653" s="91" t="n"/>
      <c r="F2653" s="91" t="n"/>
      <c r="G2653" s="91" t="n"/>
      <c r="H2653" s="91" t="n"/>
      <c r="I2653" s="91" t="n"/>
      <c r="J2653" s="91" t="n"/>
      <c r="K2653" s="91" t="n"/>
      <c r="L2653" s="91" t="n"/>
      <c r="M2653" s="91" t="n"/>
      <c r="N2653" s="91" t="n"/>
      <c r="O2653" s="91" t="n"/>
      <c r="P2653" s="91" t="n"/>
      <c r="Q2653" s="91" t="n"/>
      <c r="R2653" s="91" t="n"/>
      <c r="S2653" s="91" t="n"/>
      <c r="T2653" s="25">
        <f>DAY(C2653)</f>
        <v/>
      </c>
      <c r="U2653" s="22">
        <f>MONTH(C2653)</f>
        <v/>
      </c>
      <c r="V2653" s="91" t="n"/>
      <c r="W2653" s="91" t="n"/>
      <c r="X2653" s="91" t="n"/>
      <c r="Y2653" s="91" t="n"/>
      <c r="Z2653" s="91" t="n"/>
    </row>
    <row r="2654" ht="12.75" customHeight="1" s="117">
      <c r="A2654" s="91" t="n"/>
      <c r="B2654" s="91" t="n"/>
      <c r="C2654" s="91" t="n"/>
      <c r="D2654" s="91" t="n"/>
      <c r="E2654" s="91" t="n"/>
      <c r="F2654" s="91" t="n"/>
      <c r="G2654" s="91" t="n"/>
      <c r="H2654" s="91" t="n"/>
      <c r="I2654" s="91" t="n"/>
      <c r="J2654" s="91" t="n"/>
      <c r="K2654" s="91" t="n"/>
      <c r="L2654" s="91" t="n"/>
      <c r="M2654" s="91" t="n"/>
      <c r="N2654" s="91" t="n"/>
      <c r="O2654" s="91" t="n"/>
      <c r="P2654" s="91" t="n"/>
      <c r="Q2654" s="91" t="n"/>
      <c r="R2654" s="91" t="n"/>
      <c r="S2654" s="91" t="n"/>
      <c r="T2654" s="25">
        <f>DAY(C2654)</f>
        <v/>
      </c>
      <c r="U2654" s="22">
        <f>MONTH(C2654)</f>
        <v/>
      </c>
      <c r="V2654" s="91" t="n"/>
      <c r="W2654" s="91" t="n"/>
      <c r="X2654" s="91" t="n"/>
      <c r="Y2654" s="91" t="n"/>
      <c r="Z2654" s="91" t="n"/>
    </row>
    <row r="2655" ht="12.75" customHeight="1" s="117">
      <c r="A2655" s="91" t="n"/>
      <c r="B2655" s="91" t="n"/>
      <c r="C2655" s="91" t="n"/>
      <c r="D2655" s="91" t="n"/>
      <c r="E2655" s="91" t="n"/>
      <c r="F2655" s="91" t="n"/>
      <c r="G2655" s="91" t="n"/>
      <c r="H2655" s="91" t="n"/>
      <c r="I2655" s="91" t="n"/>
      <c r="J2655" s="91" t="n"/>
      <c r="K2655" s="91" t="n"/>
      <c r="L2655" s="91" t="n"/>
      <c r="M2655" s="91" t="n"/>
      <c r="N2655" s="91" t="n"/>
      <c r="O2655" s="91" t="n"/>
      <c r="P2655" s="91" t="n"/>
      <c r="Q2655" s="91" t="n"/>
      <c r="R2655" s="91" t="n"/>
      <c r="S2655" s="91" t="n"/>
      <c r="T2655" s="25">
        <f>DAY(C2655)</f>
        <v/>
      </c>
      <c r="U2655" s="22">
        <f>MONTH(C2655)</f>
        <v/>
      </c>
      <c r="V2655" s="91" t="n"/>
      <c r="W2655" s="91" t="n"/>
      <c r="X2655" s="91" t="n"/>
      <c r="Y2655" s="91" t="n"/>
      <c r="Z2655" s="91" t="n"/>
    </row>
    <row r="2656" ht="12.75" customHeight="1" s="117">
      <c r="A2656" s="91" t="n"/>
      <c r="B2656" s="91" t="n"/>
      <c r="C2656" s="91" t="n"/>
      <c r="D2656" s="91" t="n"/>
      <c r="E2656" s="91" t="n"/>
      <c r="F2656" s="91" t="n"/>
      <c r="G2656" s="91" t="n"/>
      <c r="H2656" s="91" t="n"/>
      <c r="I2656" s="91" t="n"/>
      <c r="J2656" s="91" t="n"/>
      <c r="K2656" s="91" t="n"/>
      <c r="L2656" s="91" t="n"/>
      <c r="M2656" s="91" t="n"/>
      <c r="N2656" s="91" t="n"/>
      <c r="O2656" s="91" t="n"/>
      <c r="P2656" s="91" t="n"/>
      <c r="Q2656" s="91" t="n"/>
      <c r="R2656" s="91" t="n"/>
      <c r="S2656" s="91" t="n"/>
      <c r="T2656" s="25">
        <f>DAY(C2656)</f>
        <v/>
      </c>
      <c r="U2656" s="22">
        <f>MONTH(C2656)</f>
        <v/>
      </c>
      <c r="V2656" s="91" t="n"/>
      <c r="W2656" s="91" t="n"/>
      <c r="X2656" s="91" t="n"/>
      <c r="Y2656" s="91" t="n"/>
      <c r="Z2656" s="91" t="n"/>
    </row>
    <row r="2657" ht="12.75" customHeight="1" s="117">
      <c r="A2657" s="91" t="n"/>
      <c r="B2657" s="91" t="n"/>
      <c r="C2657" s="91" t="n"/>
      <c r="D2657" s="91" t="n"/>
      <c r="E2657" s="91" t="n"/>
      <c r="F2657" s="91" t="n"/>
      <c r="G2657" s="91" t="n"/>
      <c r="H2657" s="91" t="n"/>
      <c r="I2657" s="91" t="n"/>
      <c r="J2657" s="91" t="n"/>
      <c r="K2657" s="91" t="n"/>
      <c r="L2657" s="91" t="n"/>
      <c r="M2657" s="91" t="n"/>
      <c r="N2657" s="91" t="n"/>
      <c r="O2657" s="91" t="n"/>
      <c r="P2657" s="91" t="n"/>
      <c r="Q2657" s="91" t="n"/>
      <c r="R2657" s="91" t="n"/>
      <c r="S2657" s="91" t="n"/>
      <c r="T2657" s="25">
        <f>DAY(C2657)</f>
        <v/>
      </c>
      <c r="U2657" s="22">
        <f>MONTH(C2657)</f>
        <v/>
      </c>
      <c r="V2657" s="91" t="n"/>
      <c r="W2657" s="91" t="n"/>
      <c r="X2657" s="91" t="n"/>
      <c r="Y2657" s="91" t="n"/>
      <c r="Z2657" s="91" t="n"/>
    </row>
    <row r="2658" ht="12.75" customHeight="1" s="117">
      <c r="A2658" s="91" t="n"/>
      <c r="B2658" s="91" t="n"/>
      <c r="C2658" s="91" t="n"/>
      <c r="D2658" s="91" t="n"/>
      <c r="E2658" s="91" t="n"/>
      <c r="F2658" s="91" t="n"/>
      <c r="G2658" s="91" t="n"/>
      <c r="H2658" s="91" t="n"/>
      <c r="I2658" s="91" t="n"/>
      <c r="J2658" s="91" t="n"/>
      <c r="K2658" s="91" t="n"/>
      <c r="L2658" s="91" t="n"/>
      <c r="M2658" s="91" t="n"/>
      <c r="N2658" s="91" t="n"/>
      <c r="O2658" s="91" t="n"/>
      <c r="P2658" s="91" t="n"/>
      <c r="Q2658" s="91" t="n"/>
      <c r="R2658" s="91" t="n"/>
      <c r="S2658" s="91" t="n"/>
      <c r="T2658" s="25">
        <f>DAY(C2658)</f>
        <v/>
      </c>
      <c r="U2658" s="22">
        <f>MONTH(C2658)</f>
        <v/>
      </c>
      <c r="V2658" s="91" t="n"/>
      <c r="W2658" s="91" t="n"/>
      <c r="X2658" s="91" t="n"/>
      <c r="Y2658" s="91" t="n"/>
      <c r="Z2658" s="91" t="n"/>
    </row>
    <row r="2659" ht="12.75" customHeight="1" s="117">
      <c r="A2659" s="91" t="n"/>
      <c r="B2659" s="91" t="n"/>
      <c r="C2659" s="91" t="n"/>
      <c r="D2659" s="91" t="n"/>
      <c r="E2659" s="91" t="n"/>
      <c r="F2659" s="91" t="n"/>
      <c r="G2659" s="91" t="n"/>
      <c r="H2659" s="91" t="n"/>
      <c r="I2659" s="91" t="n"/>
      <c r="J2659" s="91" t="n"/>
      <c r="K2659" s="91" t="n"/>
      <c r="L2659" s="91" t="n"/>
      <c r="M2659" s="91" t="n"/>
      <c r="N2659" s="91" t="n"/>
      <c r="O2659" s="91" t="n"/>
      <c r="P2659" s="91" t="n"/>
      <c r="Q2659" s="91" t="n"/>
      <c r="R2659" s="91" t="n"/>
      <c r="S2659" s="91" t="n"/>
      <c r="T2659" s="25">
        <f>DAY(C2659)</f>
        <v/>
      </c>
      <c r="U2659" s="22">
        <f>MONTH(C2659)</f>
        <v/>
      </c>
      <c r="V2659" s="91" t="n"/>
      <c r="W2659" s="91" t="n"/>
      <c r="X2659" s="91" t="n"/>
      <c r="Y2659" s="91" t="n"/>
      <c r="Z2659" s="91" t="n"/>
    </row>
    <row r="2660" ht="12.75" customHeight="1" s="117">
      <c r="A2660" s="91" t="n"/>
      <c r="B2660" s="91" t="n"/>
      <c r="C2660" s="91" t="n"/>
      <c r="D2660" s="91" t="n"/>
      <c r="E2660" s="91" t="n"/>
      <c r="F2660" s="91" t="n"/>
      <c r="G2660" s="91" t="n"/>
      <c r="H2660" s="91" t="n"/>
      <c r="I2660" s="91" t="n"/>
      <c r="J2660" s="91" t="n"/>
      <c r="K2660" s="91" t="n"/>
      <c r="L2660" s="91" t="n"/>
      <c r="M2660" s="91" t="n"/>
      <c r="N2660" s="91" t="n"/>
      <c r="O2660" s="91" t="n"/>
      <c r="P2660" s="91" t="n"/>
      <c r="Q2660" s="91" t="n"/>
      <c r="R2660" s="91" t="n"/>
      <c r="S2660" s="91" t="n"/>
      <c r="T2660" s="25">
        <f>DAY(C2660)</f>
        <v/>
      </c>
      <c r="U2660" s="22">
        <f>MONTH(C2660)</f>
        <v/>
      </c>
      <c r="V2660" s="91" t="n"/>
      <c r="W2660" s="91" t="n"/>
      <c r="X2660" s="91" t="n"/>
      <c r="Y2660" s="91" t="n"/>
      <c r="Z2660" s="91" t="n"/>
    </row>
    <row r="2661" ht="12.75" customHeight="1" s="117">
      <c r="A2661" s="91" t="n"/>
      <c r="B2661" s="91" t="n"/>
      <c r="C2661" s="91" t="n"/>
      <c r="D2661" s="91" t="n"/>
      <c r="E2661" s="91" t="n"/>
      <c r="F2661" s="91" t="n"/>
      <c r="G2661" s="91" t="n"/>
      <c r="H2661" s="91" t="n"/>
      <c r="I2661" s="91" t="n"/>
      <c r="J2661" s="91" t="n"/>
      <c r="K2661" s="91" t="n"/>
      <c r="L2661" s="91" t="n"/>
      <c r="M2661" s="91" t="n"/>
      <c r="N2661" s="91" t="n"/>
      <c r="O2661" s="91" t="n"/>
      <c r="P2661" s="91" t="n"/>
      <c r="Q2661" s="91" t="n"/>
      <c r="R2661" s="91" t="n"/>
      <c r="S2661" s="91" t="n"/>
      <c r="T2661" s="25">
        <f>DAY(C2661)</f>
        <v/>
      </c>
      <c r="U2661" s="22">
        <f>MONTH(C2661)</f>
        <v/>
      </c>
      <c r="V2661" s="91" t="n"/>
      <c r="W2661" s="91" t="n"/>
      <c r="X2661" s="91" t="n"/>
      <c r="Y2661" s="91" t="n"/>
      <c r="Z2661" s="91" t="n"/>
    </row>
    <row r="2662" ht="12.75" customHeight="1" s="117">
      <c r="A2662" s="91" t="n"/>
      <c r="B2662" s="91" t="n"/>
      <c r="C2662" s="91" t="n"/>
      <c r="D2662" s="91" t="n"/>
      <c r="E2662" s="91" t="n"/>
      <c r="F2662" s="91" t="n"/>
      <c r="G2662" s="91" t="n"/>
      <c r="H2662" s="91" t="n"/>
      <c r="I2662" s="91" t="n"/>
      <c r="J2662" s="91" t="n"/>
      <c r="K2662" s="91" t="n"/>
      <c r="L2662" s="91" t="n"/>
      <c r="M2662" s="91" t="n"/>
      <c r="N2662" s="91" t="n"/>
      <c r="O2662" s="91" t="n"/>
      <c r="P2662" s="91" t="n"/>
      <c r="Q2662" s="91" t="n"/>
      <c r="R2662" s="91" t="n"/>
      <c r="S2662" s="91" t="n"/>
      <c r="T2662" s="25">
        <f>DAY(C2662)</f>
        <v/>
      </c>
      <c r="U2662" s="22">
        <f>MONTH(C2662)</f>
        <v/>
      </c>
      <c r="V2662" s="91" t="n"/>
      <c r="W2662" s="91" t="n"/>
      <c r="X2662" s="91" t="n"/>
      <c r="Y2662" s="91" t="n"/>
      <c r="Z2662" s="91" t="n"/>
    </row>
    <row r="2663" ht="12.75" customHeight="1" s="117">
      <c r="A2663" s="91" t="n"/>
      <c r="B2663" s="91" t="n"/>
      <c r="C2663" s="91" t="n"/>
      <c r="D2663" s="91" t="n"/>
      <c r="E2663" s="91" t="n"/>
      <c r="F2663" s="91" t="n"/>
      <c r="G2663" s="91" t="n"/>
      <c r="H2663" s="91" t="n"/>
      <c r="I2663" s="91" t="n"/>
      <c r="J2663" s="91" t="n"/>
      <c r="K2663" s="91" t="n"/>
      <c r="L2663" s="91" t="n"/>
      <c r="M2663" s="91" t="n"/>
      <c r="N2663" s="91" t="n"/>
      <c r="O2663" s="91" t="n"/>
      <c r="P2663" s="91" t="n"/>
      <c r="Q2663" s="91" t="n"/>
      <c r="R2663" s="91" t="n"/>
      <c r="S2663" s="91" t="n"/>
      <c r="T2663" s="25">
        <f>DAY(C2663)</f>
        <v/>
      </c>
      <c r="U2663" s="22">
        <f>MONTH(C2663)</f>
        <v/>
      </c>
      <c r="V2663" s="91" t="n"/>
      <c r="W2663" s="91" t="n"/>
      <c r="X2663" s="91" t="n"/>
      <c r="Y2663" s="91" t="n"/>
      <c r="Z2663" s="91" t="n"/>
    </row>
    <row r="2664" ht="12.75" customHeight="1" s="117">
      <c r="A2664" s="91" t="n"/>
      <c r="B2664" s="91" t="n"/>
      <c r="C2664" s="91" t="n"/>
      <c r="D2664" s="91" t="n"/>
      <c r="E2664" s="91" t="n"/>
      <c r="F2664" s="91" t="n"/>
      <c r="G2664" s="91" t="n"/>
      <c r="H2664" s="91" t="n"/>
      <c r="I2664" s="91" t="n"/>
      <c r="J2664" s="91" t="n"/>
      <c r="K2664" s="91" t="n"/>
      <c r="L2664" s="91" t="n"/>
      <c r="M2664" s="91" t="n"/>
      <c r="N2664" s="91" t="n"/>
      <c r="O2664" s="91" t="n"/>
      <c r="P2664" s="91" t="n"/>
      <c r="Q2664" s="91" t="n"/>
      <c r="R2664" s="91" t="n"/>
      <c r="S2664" s="91" t="n"/>
      <c r="T2664" s="25">
        <f>DAY(C2664)</f>
        <v/>
      </c>
      <c r="U2664" s="22">
        <f>MONTH(C2664)</f>
        <v/>
      </c>
      <c r="V2664" s="91" t="n"/>
      <c r="W2664" s="91" t="n"/>
      <c r="X2664" s="91" t="n"/>
      <c r="Y2664" s="91" t="n"/>
      <c r="Z2664" s="91" t="n"/>
    </row>
    <row r="2665" ht="12.75" customHeight="1" s="117">
      <c r="A2665" s="91" t="n"/>
      <c r="B2665" s="91" t="n"/>
      <c r="C2665" s="91" t="n"/>
      <c r="D2665" s="91" t="n"/>
      <c r="E2665" s="91" t="n"/>
      <c r="F2665" s="91" t="n"/>
      <c r="G2665" s="91" t="n"/>
      <c r="H2665" s="91" t="n"/>
      <c r="I2665" s="91" t="n"/>
      <c r="J2665" s="91" t="n"/>
      <c r="K2665" s="91" t="n"/>
      <c r="L2665" s="91" t="n"/>
      <c r="M2665" s="91" t="n"/>
      <c r="N2665" s="91" t="n"/>
      <c r="O2665" s="91" t="n"/>
      <c r="P2665" s="91" t="n"/>
      <c r="Q2665" s="91" t="n"/>
      <c r="R2665" s="91" t="n"/>
      <c r="S2665" s="91" t="n"/>
      <c r="T2665" s="25">
        <f>DAY(C2665)</f>
        <v/>
      </c>
      <c r="U2665" s="22">
        <f>MONTH(C2665)</f>
        <v/>
      </c>
      <c r="V2665" s="91" t="n"/>
      <c r="W2665" s="91" t="n"/>
      <c r="X2665" s="91" t="n"/>
      <c r="Y2665" s="91" t="n"/>
      <c r="Z2665" s="91" t="n"/>
    </row>
    <row r="2666" ht="12.75" customHeight="1" s="117">
      <c r="A2666" s="91" t="n"/>
      <c r="B2666" s="91" t="n"/>
      <c r="C2666" s="91" t="n"/>
      <c r="D2666" s="91" t="n"/>
      <c r="E2666" s="91" t="n"/>
      <c r="F2666" s="91" t="n"/>
      <c r="G2666" s="91" t="n"/>
      <c r="H2666" s="91" t="n"/>
      <c r="I2666" s="91" t="n"/>
      <c r="J2666" s="91" t="n"/>
      <c r="K2666" s="91" t="n"/>
      <c r="L2666" s="91" t="n"/>
      <c r="M2666" s="91" t="n"/>
      <c r="N2666" s="91" t="n"/>
      <c r="O2666" s="91" t="n"/>
      <c r="P2666" s="91" t="n"/>
      <c r="Q2666" s="91" t="n"/>
      <c r="R2666" s="91" t="n"/>
      <c r="S2666" s="91" t="n"/>
      <c r="T2666" s="25">
        <f>DAY(C2666)</f>
        <v/>
      </c>
      <c r="U2666" s="22">
        <f>MONTH(C2666)</f>
        <v/>
      </c>
      <c r="V2666" s="91" t="n"/>
      <c r="W2666" s="91" t="n"/>
      <c r="X2666" s="91" t="n"/>
      <c r="Y2666" s="91" t="n"/>
      <c r="Z2666" s="91" t="n"/>
    </row>
    <row r="2667" ht="12.75" customHeight="1" s="117">
      <c r="A2667" s="91" t="n"/>
      <c r="B2667" s="91" t="n"/>
      <c r="C2667" s="91" t="n"/>
      <c r="D2667" s="91" t="n"/>
      <c r="E2667" s="91" t="n"/>
      <c r="F2667" s="91" t="n"/>
      <c r="G2667" s="91" t="n"/>
      <c r="H2667" s="91" t="n"/>
      <c r="I2667" s="91" t="n"/>
      <c r="J2667" s="91" t="n"/>
      <c r="K2667" s="91" t="n"/>
      <c r="L2667" s="91" t="n"/>
      <c r="M2667" s="91" t="n"/>
      <c r="N2667" s="91" t="n"/>
      <c r="O2667" s="91" t="n"/>
      <c r="P2667" s="91" t="n"/>
      <c r="Q2667" s="91" t="n"/>
      <c r="R2667" s="91" t="n"/>
      <c r="S2667" s="91" t="n"/>
      <c r="T2667" s="25">
        <f>DAY(C2667)</f>
        <v/>
      </c>
      <c r="U2667" s="22">
        <f>MONTH(C2667)</f>
        <v/>
      </c>
      <c r="V2667" s="91" t="n"/>
      <c r="W2667" s="91" t="n"/>
      <c r="X2667" s="91" t="n"/>
      <c r="Y2667" s="91" t="n"/>
      <c r="Z2667" s="91" t="n"/>
    </row>
    <row r="2668" ht="12.75" customHeight="1" s="117">
      <c r="A2668" s="91" t="n"/>
      <c r="B2668" s="91" t="n"/>
      <c r="C2668" s="91" t="n"/>
      <c r="D2668" s="91" t="n"/>
      <c r="E2668" s="91" t="n"/>
      <c r="F2668" s="91" t="n"/>
      <c r="G2668" s="91" t="n"/>
      <c r="H2668" s="91" t="n"/>
      <c r="I2668" s="91" t="n"/>
      <c r="J2668" s="91" t="n"/>
      <c r="K2668" s="91" t="n"/>
      <c r="L2668" s="91" t="n"/>
      <c r="M2668" s="91" t="n"/>
      <c r="N2668" s="91" t="n"/>
      <c r="O2668" s="91" t="n"/>
      <c r="P2668" s="91" t="n"/>
      <c r="Q2668" s="91" t="n"/>
      <c r="R2668" s="91" t="n"/>
      <c r="S2668" s="91" t="n"/>
      <c r="T2668" s="25">
        <f>DAY(C2668)</f>
        <v/>
      </c>
      <c r="U2668" s="22">
        <f>MONTH(C2668)</f>
        <v/>
      </c>
      <c r="V2668" s="91" t="n"/>
      <c r="W2668" s="91" t="n"/>
      <c r="X2668" s="91" t="n"/>
      <c r="Y2668" s="91" t="n"/>
      <c r="Z2668" s="91" t="n"/>
    </row>
    <row r="2669" ht="12.75" customHeight="1" s="117">
      <c r="A2669" s="91" t="n"/>
      <c r="B2669" s="91" t="n"/>
      <c r="C2669" s="91" t="n"/>
      <c r="D2669" s="91" t="n"/>
      <c r="E2669" s="91" t="n"/>
      <c r="F2669" s="91" t="n"/>
      <c r="G2669" s="91" t="n"/>
      <c r="H2669" s="91" t="n"/>
      <c r="I2669" s="91" t="n"/>
      <c r="J2669" s="91" t="n"/>
      <c r="K2669" s="91" t="n"/>
      <c r="L2669" s="91" t="n"/>
      <c r="M2669" s="91" t="n"/>
      <c r="N2669" s="91" t="n"/>
      <c r="O2669" s="91" t="n"/>
      <c r="P2669" s="91" t="n"/>
      <c r="Q2669" s="91" t="n"/>
      <c r="R2669" s="91" t="n"/>
      <c r="S2669" s="91" t="n"/>
      <c r="T2669" s="25">
        <f>DAY(C2669)</f>
        <v/>
      </c>
      <c r="U2669" s="22">
        <f>MONTH(C2669)</f>
        <v/>
      </c>
      <c r="V2669" s="91" t="n"/>
      <c r="W2669" s="91" t="n"/>
      <c r="X2669" s="91" t="n"/>
      <c r="Y2669" s="91" t="n"/>
      <c r="Z2669" s="91" t="n"/>
    </row>
    <row r="2670" ht="12.75" customHeight="1" s="117">
      <c r="A2670" s="91" t="n"/>
      <c r="B2670" s="91" t="n"/>
      <c r="C2670" s="91" t="n"/>
      <c r="D2670" s="91" t="n"/>
      <c r="E2670" s="91" t="n"/>
      <c r="F2670" s="91" t="n"/>
      <c r="G2670" s="91" t="n"/>
      <c r="H2670" s="91" t="n"/>
      <c r="I2670" s="91" t="n"/>
      <c r="J2670" s="91" t="n"/>
      <c r="K2670" s="91" t="n"/>
      <c r="L2670" s="91" t="n"/>
      <c r="M2670" s="91" t="n"/>
      <c r="N2670" s="91" t="n"/>
      <c r="O2670" s="91" t="n"/>
      <c r="P2670" s="91" t="n"/>
      <c r="Q2670" s="91" t="n"/>
      <c r="R2670" s="91" t="n"/>
      <c r="S2670" s="91" t="n"/>
      <c r="T2670" s="25">
        <f>DAY(C2670)</f>
        <v/>
      </c>
      <c r="U2670" s="22">
        <f>MONTH(C2670)</f>
        <v/>
      </c>
      <c r="V2670" s="91" t="n"/>
      <c r="W2670" s="91" t="n"/>
      <c r="X2670" s="91" t="n"/>
      <c r="Y2670" s="91" t="n"/>
      <c r="Z2670" s="91" t="n"/>
    </row>
    <row r="2671" ht="12.75" customHeight="1" s="117">
      <c r="A2671" s="91" t="n"/>
      <c r="B2671" s="91" t="n"/>
      <c r="C2671" s="91" t="n"/>
      <c r="D2671" s="91" t="n"/>
      <c r="E2671" s="91" t="n"/>
      <c r="F2671" s="91" t="n"/>
      <c r="G2671" s="91" t="n"/>
      <c r="H2671" s="91" t="n"/>
      <c r="I2671" s="91" t="n"/>
      <c r="J2671" s="91" t="n"/>
      <c r="K2671" s="91" t="n"/>
      <c r="L2671" s="91" t="n"/>
      <c r="M2671" s="91" t="n"/>
      <c r="N2671" s="91" t="n"/>
      <c r="O2671" s="91" t="n"/>
      <c r="P2671" s="91" t="n"/>
      <c r="Q2671" s="91" t="n"/>
      <c r="R2671" s="91" t="n"/>
      <c r="S2671" s="91" t="n"/>
      <c r="T2671" s="25">
        <f>DAY(C2671)</f>
        <v/>
      </c>
      <c r="U2671" s="22">
        <f>MONTH(C2671)</f>
        <v/>
      </c>
      <c r="V2671" s="91" t="n"/>
      <c r="W2671" s="91" t="n"/>
      <c r="X2671" s="91" t="n"/>
      <c r="Y2671" s="91" t="n"/>
      <c r="Z2671" s="91" t="n"/>
    </row>
    <row r="2672" ht="12.75" customHeight="1" s="117">
      <c r="A2672" s="91" t="n"/>
      <c r="B2672" s="91" t="n"/>
      <c r="C2672" s="91" t="n"/>
      <c r="D2672" s="91" t="n"/>
      <c r="E2672" s="91" t="n"/>
      <c r="F2672" s="91" t="n"/>
      <c r="G2672" s="91" t="n"/>
      <c r="H2672" s="91" t="n"/>
      <c r="I2672" s="91" t="n"/>
      <c r="J2672" s="91" t="n"/>
      <c r="K2672" s="91" t="n"/>
      <c r="L2672" s="91" t="n"/>
      <c r="M2672" s="91" t="n"/>
      <c r="N2672" s="91" t="n"/>
      <c r="O2672" s="91" t="n"/>
      <c r="P2672" s="91" t="n"/>
      <c r="Q2672" s="91" t="n"/>
      <c r="R2672" s="91" t="n"/>
      <c r="S2672" s="91" t="n"/>
      <c r="T2672" s="25">
        <f>DAY(C2672)</f>
        <v/>
      </c>
      <c r="U2672" s="22">
        <f>MONTH(C2672)</f>
        <v/>
      </c>
      <c r="V2672" s="91" t="n"/>
      <c r="W2672" s="91" t="n"/>
      <c r="X2672" s="91" t="n"/>
      <c r="Y2672" s="91" t="n"/>
      <c r="Z2672" s="91" t="n"/>
    </row>
    <row r="2673" ht="12.75" customHeight="1" s="117">
      <c r="A2673" s="91" t="n"/>
      <c r="B2673" s="91" t="n"/>
      <c r="C2673" s="91" t="n"/>
      <c r="D2673" s="91" t="n"/>
      <c r="E2673" s="91" t="n"/>
      <c r="F2673" s="91" t="n"/>
      <c r="G2673" s="91" t="n"/>
      <c r="H2673" s="91" t="n"/>
      <c r="I2673" s="91" t="n"/>
      <c r="J2673" s="91" t="n"/>
      <c r="K2673" s="91" t="n"/>
      <c r="L2673" s="91" t="n"/>
      <c r="M2673" s="91" t="n"/>
      <c r="N2673" s="91" t="n"/>
      <c r="O2673" s="91" t="n"/>
      <c r="P2673" s="91" t="n"/>
      <c r="Q2673" s="91" t="n"/>
      <c r="R2673" s="91" t="n"/>
      <c r="S2673" s="91" t="n"/>
      <c r="T2673" s="25">
        <f>DAY(C2673)</f>
        <v/>
      </c>
      <c r="U2673" s="22">
        <f>MONTH(C2673)</f>
        <v/>
      </c>
      <c r="V2673" s="91" t="n"/>
      <c r="W2673" s="91" t="n"/>
      <c r="X2673" s="91" t="n"/>
      <c r="Y2673" s="91" t="n"/>
      <c r="Z2673" s="91" t="n"/>
    </row>
    <row r="2674" ht="12.75" customHeight="1" s="117">
      <c r="A2674" s="91" t="n"/>
      <c r="B2674" s="91" t="n"/>
      <c r="C2674" s="91" t="n"/>
      <c r="D2674" s="91" t="n"/>
      <c r="E2674" s="91" t="n"/>
      <c r="F2674" s="91" t="n"/>
      <c r="G2674" s="91" t="n"/>
      <c r="H2674" s="91" t="n"/>
      <c r="I2674" s="91" t="n"/>
      <c r="J2674" s="91" t="n"/>
      <c r="K2674" s="91" t="n"/>
      <c r="L2674" s="91" t="n"/>
      <c r="M2674" s="91" t="n"/>
      <c r="N2674" s="91" t="n"/>
      <c r="O2674" s="91" t="n"/>
      <c r="P2674" s="91" t="n"/>
      <c r="Q2674" s="91" t="n"/>
      <c r="R2674" s="91" t="n"/>
      <c r="S2674" s="91" t="n"/>
      <c r="T2674" s="25">
        <f>DAY(C2674)</f>
        <v/>
      </c>
      <c r="U2674" s="22">
        <f>MONTH(C2674)</f>
        <v/>
      </c>
      <c r="V2674" s="91" t="n"/>
      <c r="W2674" s="91" t="n"/>
      <c r="X2674" s="91" t="n"/>
      <c r="Y2674" s="91" t="n"/>
      <c r="Z2674" s="91" t="n"/>
    </row>
    <row r="2675" ht="12.75" customHeight="1" s="117">
      <c r="A2675" s="91" t="n"/>
      <c r="B2675" s="91" t="n"/>
      <c r="C2675" s="91" t="n"/>
      <c r="D2675" s="91" t="n"/>
      <c r="E2675" s="91" t="n"/>
      <c r="F2675" s="91" t="n"/>
      <c r="G2675" s="91" t="n"/>
      <c r="H2675" s="91" t="n"/>
      <c r="I2675" s="91" t="n"/>
      <c r="J2675" s="91" t="n"/>
      <c r="K2675" s="91" t="n"/>
      <c r="L2675" s="91" t="n"/>
      <c r="M2675" s="91" t="n"/>
      <c r="N2675" s="91" t="n"/>
      <c r="O2675" s="91" t="n"/>
      <c r="P2675" s="91" t="n"/>
      <c r="Q2675" s="91" t="n"/>
      <c r="R2675" s="91" t="n"/>
      <c r="S2675" s="91" t="n"/>
      <c r="T2675" s="25">
        <f>DAY(C2675)</f>
        <v/>
      </c>
      <c r="U2675" s="22">
        <f>MONTH(C2675)</f>
        <v/>
      </c>
      <c r="V2675" s="91" t="n"/>
      <c r="W2675" s="91" t="n"/>
      <c r="X2675" s="91" t="n"/>
      <c r="Y2675" s="91" t="n"/>
      <c r="Z2675" s="91" t="n"/>
    </row>
    <row r="2676" ht="12.75" customHeight="1" s="117">
      <c r="A2676" s="91" t="n"/>
      <c r="B2676" s="91" t="n"/>
      <c r="C2676" s="91" t="n"/>
      <c r="D2676" s="91" t="n"/>
      <c r="E2676" s="91" t="n"/>
      <c r="F2676" s="91" t="n"/>
      <c r="G2676" s="91" t="n"/>
      <c r="H2676" s="91" t="n"/>
      <c r="I2676" s="91" t="n"/>
      <c r="J2676" s="91" t="n"/>
      <c r="K2676" s="91" t="n"/>
      <c r="L2676" s="91" t="n"/>
      <c r="M2676" s="91" t="n"/>
      <c r="N2676" s="91" t="n"/>
      <c r="O2676" s="91" t="n"/>
      <c r="P2676" s="91" t="n"/>
      <c r="Q2676" s="91" t="n"/>
      <c r="R2676" s="91" t="n"/>
      <c r="S2676" s="91" t="n"/>
      <c r="T2676" s="25">
        <f>DAY(C2676)</f>
        <v/>
      </c>
      <c r="U2676" s="22">
        <f>MONTH(C2676)</f>
        <v/>
      </c>
      <c r="V2676" s="91" t="n"/>
      <c r="W2676" s="91" t="n"/>
      <c r="X2676" s="91" t="n"/>
      <c r="Y2676" s="91" t="n"/>
      <c r="Z2676" s="91" t="n"/>
    </row>
    <row r="2677" ht="12.75" customHeight="1" s="117">
      <c r="A2677" s="91" t="n"/>
      <c r="B2677" s="91" t="n"/>
      <c r="C2677" s="91" t="n"/>
      <c r="D2677" s="91" t="n"/>
      <c r="E2677" s="91" t="n"/>
      <c r="F2677" s="91" t="n"/>
      <c r="G2677" s="91" t="n"/>
      <c r="H2677" s="91" t="n"/>
      <c r="I2677" s="91" t="n"/>
      <c r="J2677" s="91" t="n"/>
      <c r="K2677" s="91" t="n"/>
      <c r="L2677" s="91" t="n"/>
      <c r="M2677" s="91" t="n"/>
      <c r="N2677" s="91" t="n"/>
      <c r="O2677" s="91" t="n"/>
      <c r="P2677" s="91" t="n"/>
      <c r="Q2677" s="91" t="n"/>
      <c r="R2677" s="91" t="n"/>
      <c r="S2677" s="91" t="n"/>
      <c r="T2677" s="25">
        <f>DAY(C2677)</f>
        <v/>
      </c>
      <c r="U2677" s="22">
        <f>MONTH(C2677)</f>
        <v/>
      </c>
      <c r="V2677" s="91" t="n"/>
      <c r="W2677" s="91" t="n"/>
      <c r="X2677" s="91" t="n"/>
      <c r="Y2677" s="91" t="n"/>
      <c r="Z2677" s="91" t="n"/>
    </row>
    <row r="2678" ht="12.75" customHeight="1" s="117">
      <c r="A2678" s="91" t="n"/>
      <c r="B2678" s="91" t="n"/>
      <c r="C2678" s="91" t="n"/>
      <c r="D2678" s="91" t="n"/>
      <c r="E2678" s="91" t="n"/>
      <c r="F2678" s="91" t="n"/>
      <c r="G2678" s="91" t="n"/>
      <c r="H2678" s="91" t="n"/>
      <c r="I2678" s="91" t="n"/>
      <c r="J2678" s="91" t="n"/>
      <c r="K2678" s="91" t="n"/>
      <c r="L2678" s="91" t="n"/>
      <c r="M2678" s="91" t="n"/>
      <c r="N2678" s="91" t="n"/>
      <c r="O2678" s="91" t="n"/>
      <c r="P2678" s="91" t="n"/>
      <c r="Q2678" s="91" t="n"/>
      <c r="R2678" s="91" t="n"/>
      <c r="S2678" s="91" t="n"/>
      <c r="T2678" s="25">
        <f>DAY(C2678)</f>
        <v/>
      </c>
      <c r="U2678" s="22">
        <f>MONTH(C2678)</f>
        <v/>
      </c>
      <c r="V2678" s="91" t="n"/>
      <c r="W2678" s="91" t="n"/>
      <c r="X2678" s="91" t="n"/>
      <c r="Y2678" s="91" t="n"/>
      <c r="Z2678" s="91" t="n"/>
    </row>
    <row r="2679" ht="12.75" customHeight="1" s="117">
      <c r="A2679" s="91" t="n"/>
      <c r="B2679" s="91" t="n"/>
      <c r="C2679" s="91" t="n"/>
      <c r="D2679" s="91" t="n"/>
      <c r="E2679" s="91" t="n"/>
      <c r="F2679" s="91" t="n"/>
      <c r="G2679" s="91" t="n"/>
      <c r="H2679" s="91" t="n"/>
      <c r="I2679" s="91" t="n"/>
      <c r="J2679" s="91" t="n"/>
      <c r="K2679" s="91" t="n"/>
      <c r="L2679" s="91" t="n"/>
      <c r="M2679" s="91" t="n"/>
      <c r="N2679" s="91" t="n"/>
      <c r="O2679" s="91" t="n"/>
      <c r="P2679" s="91" t="n"/>
      <c r="Q2679" s="91" t="n"/>
      <c r="R2679" s="91" t="n"/>
      <c r="S2679" s="91" t="n"/>
      <c r="T2679" s="25">
        <f>DAY(C2679)</f>
        <v/>
      </c>
      <c r="U2679" s="22">
        <f>MONTH(C2679)</f>
        <v/>
      </c>
      <c r="V2679" s="91" t="n"/>
      <c r="W2679" s="91" t="n"/>
      <c r="X2679" s="91" t="n"/>
      <c r="Y2679" s="91" t="n"/>
      <c r="Z2679" s="91" t="n"/>
    </row>
    <row r="2680" ht="12.75" customHeight="1" s="117">
      <c r="A2680" s="91" t="n"/>
      <c r="B2680" s="91" t="n"/>
      <c r="C2680" s="91" t="n"/>
      <c r="D2680" s="91" t="n"/>
      <c r="E2680" s="91" t="n"/>
      <c r="F2680" s="91" t="n"/>
      <c r="G2680" s="91" t="n"/>
      <c r="H2680" s="91" t="n"/>
      <c r="I2680" s="91" t="n"/>
      <c r="J2680" s="91" t="n"/>
      <c r="K2680" s="91" t="n"/>
      <c r="L2680" s="91" t="n"/>
      <c r="M2680" s="91" t="n"/>
      <c r="N2680" s="91" t="n"/>
      <c r="O2680" s="91" t="n"/>
      <c r="P2680" s="91" t="n"/>
      <c r="Q2680" s="91" t="n"/>
      <c r="R2680" s="91" t="n"/>
      <c r="S2680" s="91" t="n"/>
      <c r="T2680" s="25">
        <f>DAY(C2680)</f>
        <v/>
      </c>
      <c r="U2680" s="22">
        <f>MONTH(C2680)</f>
        <v/>
      </c>
      <c r="V2680" s="91" t="n"/>
      <c r="W2680" s="91" t="n"/>
      <c r="X2680" s="91" t="n"/>
      <c r="Y2680" s="91" t="n"/>
      <c r="Z2680" s="91" t="n"/>
    </row>
    <row r="2681" ht="12.75" customHeight="1" s="117">
      <c r="A2681" s="91" t="n"/>
      <c r="B2681" s="91" t="n"/>
      <c r="C2681" s="91" t="n"/>
      <c r="D2681" s="91" t="n"/>
      <c r="E2681" s="91" t="n"/>
      <c r="F2681" s="91" t="n"/>
      <c r="G2681" s="91" t="n"/>
      <c r="H2681" s="91" t="n"/>
      <c r="I2681" s="91" t="n"/>
      <c r="J2681" s="91" t="n"/>
      <c r="K2681" s="91" t="n"/>
      <c r="L2681" s="91" t="n"/>
      <c r="M2681" s="91" t="n"/>
      <c r="N2681" s="91" t="n"/>
      <c r="O2681" s="91" t="n"/>
      <c r="P2681" s="91" t="n"/>
      <c r="Q2681" s="91" t="n"/>
      <c r="R2681" s="91" t="n"/>
      <c r="S2681" s="91" t="n"/>
      <c r="T2681" s="25">
        <f>DAY(C2681)</f>
        <v/>
      </c>
      <c r="U2681" s="22">
        <f>MONTH(C2681)</f>
        <v/>
      </c>
      <c r="V2681" s="91" t="n"/>
      <c r="W2681" s="91" t="n"/>
      <c r="X2681" s="91" t="n"/>
      <c r="Y2681" s="91" t="n"/>
      <c r="Z2681" s="91" t="n"/>
    </row>
    <row r="2682" ht="12.75" customHeight="1" s="117">
      <c r="A2682" s="91" t="n"/>
      <c r="B2682" s="91" t="n"/>
      <c r="C2682" s="91" t="n"/>
      <c r="D2682" s="91" t="n"/>
      <c r="E2682" s="91" t="n"/>
      <c r="F2682" s="91" t="n"/>
      <c r="G2682" s="91" t="n"/>
      <c r="H2682" s="91" t="n"/>
      <c r="I2682" s="91" t="n"/>
      <c r="J2682" s="91" t="n"/>
      <c r="K2682" s="91" t="n"/>
      <c r="L2682" s="91" t="n"/>
      <c r="M2682" s="91" t="n"/>
      <c r="N2682" s="91" t="n"/>
      <c r="O2682" s="91" t="n"/>
      <c r="P2682" s="91" t="n"/>
      <c r="Q2682" s="91" t="n"/>
      <c r="R2682" s="91" t="n"/>
      <c r="S2682" s="91" t="n"/>
      <c r="T2682" s="25">
        <f>DAY(C2682)</f>
        <v/>
      </c>
      <c r="U2682" s="22">
        <f>MONTH(C2682)</f>
        <v/>
      </c>
      <c r="V2682" s="91" t="n"/>
      <c r="W2682" s="91" t="n"/>
      <c r="X2682" s="91" t="n"/>
      <c r="Y2682" s="91" t="n"/>
      <c r="Z2682" s="91" t="n"/>
    </row>
    <row r="2683" ht="12.75" customHeight="1" s="117">
      <c r="A2683" s="91" t="n"/>
      <c r="B2683" s="91" t="n"/>
      <c r="C2683" s="91" t="n"/>
      <c r="D2683" s="91" t="n"/>
      <c r="E2683" s="91" t="n"/>
      <c r="F2683" s="91" t="n"/>
      <c r="G2683" s="91" t="n"/>
      <c r="H2683" s="91" t="n"/>
      <c r="I2683" s="91" t="n"/>
      <c r="J2683" s="91" t="n"/>
      <c r="K2683" s="91" t="n"/>
      <c r="L2683" s="91" t="n"/>
      <c r="M2683" s="91" t="n"/>
      <c r="N2683" s="91" t="n"/>
      <c r="O2683" s="91" t="n"/>
      <c r="P2683" s="91" t="n"/>
      <c r="Q2683" s="91" t="n"/>
      <c r="R2683" s="91" t="n"/>
      <c r="S2683" s="91" t="n"/>
      <c r="T2683" s="25">
        <f>DAY(C2683)</f>
        <v/>
      </c>
      <c r="U2683" s="22">
        <f>MONTH(C2683)</f>
        <v/>
      </c>
      <c r="V2683" s="91" t="n"/>
      <c r="W2683" s="91" t="n"/>
      <c r="X2683" s="91" t="n"/>
      <c r="Y2683" s="91" t="n"/>
      <c r="Z2683" s="91" t="n"/>
    </row>
    <row r="2684" ht="12.75" customHeight="1" s="117">
      <c r="A2684" s="91" t="n"/>
      <c r="B2684" s="91" t="n"/>
      <c r="C2684" s="91" t="n"/>
      <c r="D2684" s="91" t="n"/>
      <c r="E2684" s="91" t="n"/>
      <c r="F2684" s="91" t="n"/>
      <c r="G2684" s="91" t="n"/>
      <c r="H2684" s="91" t="n"/>
      <c r="I2684" s="91" t="n"/>
      <c r="J2684" s="91" t="n"/>
      <c r="K2684" s="91" t="n"/>
      <c r="L2684" s="91" t="n"/>
      <c r="M2684" s="91" t="n"/>
      <c r="N2684" s="91" t="n"/>
      <c r="O2684" s="91" t="n"/>
      <c r="P2684" s="91" t="n"/>
      <c r="Q2684" s="91" t="n"/>
      <c r="R2684" s="91" t="n"/>
      <c r="S2684" s="91" t="n"/>
      <c r="T2684" s="25">
        <f>DAY(C2684)</f>
        <v/>
      </c>
      <c r="U2684" s="22">
        <f>MONTH(C2684)</f>
        <v/>
      </c>
      <c r="V2684" s="91" t="n"/>
      <c r="W2684" s="91" t="n"/>
      <c r="X2684" s="91" t="n"/>
      <c r="Y2684" s="91" t="n"/>
      <c r="Z2684" s="91" t="n"/>
    </row>
    <row r="2685" ht="12.75" customHeight="1" s="117">
      <c r="A2685" s="91" t="n"/>
      <c r="B2685" s="91" t="n"/>
      <c r="C2685" s="91" t="n"/>
      <c r="D2685" s="91" t="n"/>
      <c r="E2685" s="91" t="n"/>
      <c r="F2685" s="91" t="n"/>
      <c r="G2685" s="91" t="n"/>
      <c r="H2685" s="91" t="n"/>
      <c r="I2685" s="91" t="n"/>
      <c r="J2685" s="91" t="n"/>
      <c r="K2685" s="91" t="n"/>
      <c r="L2685" s="91" t="n"/>
      <c r="M2685" s="91" t="n"/>
      <c r="N2685" s="91" t="n"/>
      <c r="O2685" s="91" t="n"/>
      <c r="P2685" s="91" t="n"/>
      <c r="Q2685" s="91" t="n"/>
      <c r="R2685" s="91" t="n"/>
      <c r="S2685" s="91" t="n"/>
      <c r="T2685" s="25">
        <f>DAY(C2685)</f>
        <v/>
      </c>
      <c r="U2685" s="22">
        <f>MONTH(C2685)</f>
        <v/>
      </c>
      <c r="V2685" s="91" t="n"/>
      <c r="W2685" s="91" t="n"/>
      <c r="X2685" s="91" t="n"/>
      <c r="Y2685" s="91" t="n"/>
      <c r="Z2685" s="91" t="n"/>
    </row>
    <row r="2686" ht="12.75" customHeight="1" s="117">
      <c r="A2686" s="91" t="n"/>
      <c r="B2686" s="91" t="n"/>
      <c r="C2686" s="91" t="n"/>
      <c r="D2686" s="91" t="n"/>
      <c r="E2686" s="91" t="n"/>
      <c r="F2686" s="91" t="n"/>
      <c r="G2686" s="91" t="n"/>
      <c r="H2686" s="91" t="n"/>
      <c r="I2686" s="91" t="n"/>
      <c r="J2686" s="91" t="n"/>
      <c r="K2686" s="91" t="n"/>
      <c r="L2686" s="91" t="n"/>
      <c r="M2686" s="91" t="n"/>
      <c r="N2686" s="91" t="n"/>
      <c r="O2686" s="91" t="n"/>
      <c r="P2686" s="91" t="n"/>
      <c r="Q2686" s="91" t="n"/>
      <c r="R2686" s="91" t="n"/>
      <c r="S2686" s="91" t="n"/>
      <c r="T2686" s="25">
        <f>DAY(C2686)</f>
        <v/>
      </c>
      <c r="U2686" s="22">
        <f>MONTH(C2686)</f>
        <v/>
      </c>
      <c r="V2686" s="91" t="n"/>
      <c r="W2686" s="91" t="n"/>
      <c r="X2686" s="91" t="n"/>
      <c r="Y2686" s="91" t="n"/>
      <c r="Z2686" s="91" t="n"/>
    </row>
    <row r="2687" ht="12.75" customHeight="1" s="117">
      <c r="A2687" s="91" t="n"/>
      <c r="B2687" s="91" t="n"/>
      <c r="C2687" s="91" t="n"/>
      <c r="D2687" s="91" t="n"/>
      <c r="E2687" s="91" t="n"/>
      <c r="F2687" s="91" t="n"/>
      <c r="G2687" s="91" t="n"/>
      <c r="H2687" s="91" t="n"/>
      <c r="I2687" s="91" t="n"/>
      <c r="J2687" s="91" t="n"/>
      <c r="K2687" s="91" t="n"/>
      <c r="L2687" s="91" t="n"/>
      <c r="M2687" s="91" t="n"/>
      <c r="N2687" s="91" t="n"/>
      <c r="O2687" s="91" t="n"/>
      <c r="P2687" s="91" t="n"/>
      <c r="Q2687" s="91" t="n"/>
      <c r="R2687" s="91" t="n"/>
      <c r="S2687" s="91" t="n"/>
      <c r="T2687" s="25">
        <f>DAY(C2687)</f>
        <v/>
      </c>
      <c r="U2687" s="22">
        <f>MONTH(C2687)</f>
        <v/>
      </c>
      <c r="V2687" s="91" t="n"/>
      <c r="W2687" s="91" t="n"/>
      <c r="X2687" s="91" t="n"/>
      <c r="Y2687" s="91" t="n"/>
      <c r="Z2687" s="91" t="n"/>
    </row>
    <row r="2688" ht="12.75" customHeight="1" s="117">
      <c r="A2688" s="91" t="n"/>
      <c r="B2688" s="91" t="n"/>
      <c r="C2688" s="91" t="n"/>
      <c r="D2688" s="91" t="n"/>
      <c r="E2688" s="91" t="n"/>
      <c r="F2688" s="91" t="n"/>
      <c r="G2688" s="91" t="n"/>
      <c r="H2688" s="91" t="n"/>
      <c r="I2688" s="91" t="n"/>
      <c r="J2688" s="91" t="n"/>
      <c r="K2688" s="91" t="n"/>
      <c r="L2688" s="91" t="n"/>
      <c r="M2688" s="91" t="n"/>
      <c r="N2688" s="91" t="n"/>
      <c r="O2688" s="91" t="n"/>
      <c r="P2688" s="91" t="n"/>
      <c r="Q2688" s="91" t="n"/>
      <c r="R2688" s="91" t="n"/>
      <c r="S2688" s="91" t="n"/>
      <c r="T2688" s="25">
        <f>DAY(C2688)</f>
        <v/>
      </c>
      <c r="U2688" s="22">
        <f>MONTH(C2688)</f>
        <v/>
      </c>
      <c r="V2688" s="91" t="n"/>
      <c r="W2688" s="91" t="n"/>
      <c r="X2688" s="91" t="n"/>
      <c r="Y2688" s="91" t="n"/>
      <c r="Z2688" s="91" t="n"/>
    </row>
    <row r="2689" ht="12.75" customHeight="1" s="117">
      <c r="A2689" s="91" t="n"/>
      <c r="B2689" s="91" t="n"/>
      <c r="C2689" s="91" t="n"/>
      <c r="D2689" s="91" t="n"/>
      <c r="E2689" s="91" t="n"/>
      <c r="F2689" s="91" t="n"/>
      <c r="G2689" s="91" t="n"/>
      <c r="H2689" s="91" t="n"/>
      <c r="I2689" s="91" t="n"/>
      <c r="J2689" s="91" t="n"/>
      <c r="K2689" s="91" t="n"/>
      <c r="L2689" s="91" t="n"/>
      <c r="M2689" s="91" t="n"/>
      <c r="N2689" s="91" t="n"/>
      <c r="O2689" s="91" t="n"/>
      <c r="P2689" s="91" t="n"/>
      <c r="Q2689" s="91" t="n"/>
      <c r="R2689" s="91" t="n"/>
      <c r="S2689" s="91" t="n"/>
      <c r="T2689" s="25">
        <f>DAY(C2689)</f>
        <v/>
      </c>
      <c r="U2689" s="22">
        <f>MONTH(C2689)</f>
        <v/>
      </c>
      <c r="V2689" s="91" t="n"/>
      <c r="W2689" s="91" t="n"/>
      <c r="X2689" s="91" t="n"/>
      <c r="Y2689" s="91" t="n"/>
      <c r="Z2689" s="91" t="n"/>
    </row>
    <row r="2690" ht="12.75" customHeight="1" s="117">
      <c r="A2690" s="91" t="n"/>
      <c r="B2690" s="91" t="n"/>
      <c r="C2690" s="91" t="n"/>
      <c r="D2690" s="91" t="n"/>
      <c r="E2690" s="91" t="n"/>
      <c r="F2690" s="91" t="n"/>
      <c r="G2690" s="91" t="n"/>
      <c r="H2690" s="91" t="n"/>
      <c r="I2690" s="91" t="n"/>
      <c r="J2690" s="91" t="n"/>
      <c r="K2690" s="91" t="n"/>
      <c r="L2690" s="91" t="n"/>
      <c r="M2690" s="91" t="n"/>
      <c r="N2690" s="91" t="n"/>
      <c r="O2690" s="91" t="n"/>
      <c r="P2690" s="91" t="n"/>
      <c r="Q2690" s="91" t="n"/>
      <c r="R2690" s="91" t="n"/>
      <c r="S2690" s="91" t="n"/>
      <c r="T2690" s="25">
        <f>DAY(C2690)</f>
        <v/>
      </c>
      <c r="U2690" s="22">
        <f>MONTH(C2690)</f>
        <v/>
      </c>
      <c r="V2690" s="91" t="n"/>
      <c r="W2690" s="91" t="n"/>
      <c r="X2690" s="91" t="n"/>
      <c r="Y2690" s="91" t="n"/>
      <c r="Z2690" s="91" t="n"/>
    </row>
    <row r="2691" ht="12.75" customHeight="1" s="117">
      <c r="A2691" s="91" t="n"/>
      <c r="B2691" s="91" t="n"/>
      <c r="C2691" s="91" t="n"/>
      <c r="D2691" s="91" t="n"/>
      <c r="E2691" s="91" t="n"/>
      <c r="F2691" s="91" t="n"/>
      <c r="G2691" s="91" t="n"/>
      <c r="H2691" s="91" t="n"/>
      <c r="I2691" s="91" t="n"/>
      <c r="J2691" s="91" t="n"/>
      <c r="K2691" s="91" t="n"/>
      <c r="L2691" s="91" t="n"/>
      <c r="M2691" s="91" t="n"/>
      <c r="N2691" s="91" t="n"/>
      <c r="O2691" s="91" t="n"/>
      <c r="P2691" s="91" t="n"/>
      <c r="Q2691" s="91" t="n"/>
      <c r="R2691" s="91" t="n"/>
      <c r="S2691" s="91" t="n"/>
      <c r="T2691" s="25">
        <f>DAY(C2691)</f>
        <v/>
      </c>
      <c r="U2691" s="22">
        <f>MONTH(C2691)</f>
        <v/>
      </c>
      <c r="V2691" s="91" t="n"/>
      <c r="W2691" s="91" t="n"/>
      <c r="X2691" s="91" t="n"/>
      <c r="Y2691" s="91" t="n"/>
      <c r="Z2691" s="91" t="n"/>
    </row>
    <row r="2692" ht="12.75" customHeight="1" s="117">
      <c r="A2692" s="91" t="n"/>
      <c r="B2692" s="91" t="n"/>
      <c r="C2692" s="91" t="n"/>
      <c r="D2692" s="91" t="n"/>
      <c r="E2692" s="91" t="n"/>
      <c r="F2692" s="91" t="n"/>
      <c r="G2692" s="91" t="n"/>
      <c r="H2692" s="91" t="n"/>
      <c r="I2692" s="91" t="n"/>
      <c r="J2692" s="91" t="n"/>
      <c r="K2692" s="91" t="n"/>
      <c r="L2692" s="91" t="n"/>
      <c r="M2692" s="91" t="n"/>
      <c r="N2692" s="91" t="n"/>
      <c r="O2692" s="91" t="n"/>
      <c r="P2692" s="91" t="n"/>
      <c r="Q2692" s="91" t="n"/>
      <c r="R2692" s="91" t="n"/>
      <c r="S2692" s="91" t="n"/>
      <c r="T2692" s="25">
        <f>DAY(C2692)</f>
        <v/>
      </c>
      <c r="U2692" s="22">
        <f>MONTH(C2692)</f>
        <v/>
      </c>
      <c r="V2692" s="91" t="n"/>
      <c r="W2692" s="91" t="n"/>
      <c r="X2692" s="91" t="n"/>
      <c r="Y2692" s="91" t="n"/>
      <c r="Z2692" s="91" t="n"/>
    </row>
    <row r="2693" ht="12.75" customHeight="1" s="117">
      <c r="A2693" s="91" t="n"/>
      <c r="B2693" s="91" t="n"/>
      <c r="C2693" s="91" t="n"/>
      <c r="D2693" s="91" t="n"/>
      <c r="E2693" s="91" t="n"/>
      <c r="F2693" s="91" t="n"/>
      <c r="G2693" s="91" t="n"/>
      <c r="H2693" s="91" t="n"/>
      <c r="I2693" s="91" t="n"/>
      <c r="J2693" s="91" t="n"/>
      <c r="K2693" s="91" t="n"/>
      <c r="L2693" s="91" t="n"/>
      <c r="M2693" s="91" t="n"/>
      <c r="N2693" s="91" t="n"/>
      <c r="O2693" s="91" t="n"/>
      <c r="P2693" s="91" t="n"/>
      <c r="Q2693" s="91" t="n"/>
      <c r="R2693" s="91" t="n"/>
      <c r="S2693" s="91" t="n"/>
      <c r="T2693" s="25">
        <f>DAY(C2693)</f>
        <v/>
      </c>
      <c r="U2693" s="22">
        <f>MONTH(C2693)</f>
        <v/>
      </c>
      <c r="V2693" s="91" t="n"/>
      <c r="W2693" s="91" t="n"/>
      <c r="X2693" s="91" t="n"/>
      <c r="Y2693" s="91" t="n"/>
      <c r="Z2693" s="91" t="n"/>
    </row>
    <row r="2694" ht="12.75" customHeight="1" s="117">
      <c r="A2694" s="91" t="n"/>
      <c r="B2694" s="91" t="n"/>
      <c r="C2694" s="91" t="n"/>
      <c r="D2694" s="91" t="n"/>
      <c r="E2694" s="91" t="n"/>
      <c r="F2694" s="91" t="n"/>
      <c r="G2694" s="91" t="n"/>
      <c r="H2694" s="91" t="n"/>
      <c r="I2694" s="91" t="n"/>
      <c r="J2694" s="91" t="n"/>
      <c r="K2694" s="91" t="n"/>
      <c r="L2694" s="91" t="n"/>
      <c r="M2694" s="91" t="n"/>
      <c r="N2694" s="91" t="n"/>
      <c r="O2694" s="91" t="n"/>
      <c r="P2694" s="91" t="n"/>
      <c r="Q2694" s="91" t="n"/>
      <c r="R2694" s="91" t="n"/>
      <c r="S2694" s="91" t="n"/>
      <c r="T2694" s="25">
        <f>DAY(C2694)</f>
        <v/>
      </c>
      <c r="U2694" s="22">
        <f>MONTH(C2694)</f>
        <v/>
      </c>
      <c r="V2694" s="91" t="n"/>
      <c r="W2694" s="91" t="n"/>
      <c r="X2694" s="91" t="n"/>
      <c r="Y2694" s="91" t="n"/>
      <c r="Z2694" s="91" t="n"/>
    </row>
    <row r="2695" ht="12.75" customHeight="1" s="117">
      <c r="A2695" s="91" t="n"/>
      <c r="B2695" s="91" t="n"/>
      <c r="C2695" s="91" t="n"/>
      <c r="D2695" s="91" t="n"/>
      <c r="E2695" s="91" t="n"/>
      <c r="F2695" s="91" t="n"/>
      <c r="G2695" s="91" t="n"/>
      <c r="H2695" s="91" t="n"/>
      <c r="I2695" s="91" t="n"/>
      <c r="J2695" s="91" t="n"/>
      <c r="K2695" s="91" t="n"/>
      <c r="L2695" s="91" t="n"/>
      <c r="M2695" s="91" t="n"/>
      <c r="N2695" s="91" t="n"/>
      <c r="O2695" s="91" t="n"/>
      <c r="P2695" s="91" t="n"/>
      <c r="Q2695" s="91" t="n"/>
      <c r="R2695" s="91" t="n"/>
      <c r="S2695" s="91" t="n"/>
      <c r="T2695" s="25">
        <f>DAY(C2695)</f>
        <v/>
      </c>
      <c r="U2695" s="22">
        <f>MONTH(C2695)</f>
        <v/>
      </c>
      <c r="V2695" s="91" t="n"/>
      <c r="W2695" s="91" t="n"/>
      <c r="X2695" s="91" t="n"/>
      <c r="Y2695" s="91" t="n"/>
      <c r="Z2695" s="91" t="n"/>
    </row>
    <row r="2696" ht="12.75" customHeight="1" s="117">
      <c r="A2696" s="91" t="n"/>
      <c r="B2696" s="91" t="n"/>
      <c r="C2696" s="91" t="n"/>
      <c r="D2696" s="91" t="n"/>
      <c r="E2696" s="91" t="n"/>
      <c r="F2696" s="91" t="n"/>
      <c r="G2696" s="91" t="n"/>
      <c r="H2696" s="91" t="n"/>
      <c r="I2696" s="91" t="n"/>
      <c r="J2696" s="91" t="n"/>
      <c r="K2696" s="91" t="n"/>
      <c r="L2696" s="91" t="n"/>
      <c r="M2696" s="91" t="n"/>
      <c r="N2696" s="91" t="n"/>
      <c r="O2696" s="91" t="n"/>
      <c r="P2696" s="91" t="n"/>
      <c r="Q2696" s="91" t="n"/>
      <c r="R2696" s="91" t="n"/>
      <c r="S2696" s="91" t="n"/>
      <c r="T2696" s="25">
        <f>DAY(C2696)</f>
        <v/>
      </c>
      <c r="U2696" s="22">
        <f>MONTH(C2696)</f>
        <v/>
      </c>
      <c r="V2696" s="91" t="n"/>
      <c r="W2696" s="91" t="n"/>
      <c r="X2696" s="91" t="n"/>
      <c r="Y2696" s="91" t="n"/>
      <c r="Z2696" s="91" t="n"/>
    </row>
    <row r="2697" ht="12.75" customHeight="1" s="117">
      <c r="A2697" s="91" t="n"/>
      <c r="B2697" s="91" t="n"/>
      <c r="C2697" s="91" t="n"/>
      <c r="D2697" s="91" t="n"/>
      <c r="E2697" s="91" t="n"/>
      <c r="F2697" s="91" t="n"/>
      <c r="G2697" s="91" t="n"/>
      <c r="H2697" s="91" t="n"/>
      <c r="I2697" s="91" t="n"/>
      <c r="J2697" s="91" t="n"/>
      <c r="K2697" s="91" t="n"/>
      <c r="L2697" s="91" t="n"/>
      <c r="M2697" s="91" t="n"/>
      <c r="N2697" s="91" t="n"/>
      <c r="O2697" s="91" t="n"/>
      <c r="P2697" s="91" t="n"/>
      <c r="Q2697" s="91" t="n"/>
      <c r="R2697" s="91" t="n"/>
      <c r="S2697" s="91" t="n"/>
      <c r="T2697" s="25">
        <f>DAY(C2697)</f>
        <v/>
      </c>
      <c r="U2697" s="22">
        <f>MONTH(C2697)</f>
        <v/>
      </c>
      <c r="V2697" s="91" t="n"/>
      <c r="W2697" s="91" t="n"/>
      <c r="X2697" s="91" t="n"/>
      <c r="Y2697" s="91" t="n"/>
      <c r="Z2697" s="91" t="n"/>
    </row>
    <row r="2698" ht="12.75" customHeight="1" s="117">
      <c r="A2698" s="91" t="n"/>
      <c r="B2698" s="91" t="n"/>
      <c r="C2698" s="91" t="n"/>
      <c r="D2698" s="91" t="n"/>
      <c r="E2698" s="91" t="n"/>
      <c r="F2698" s="91" t="n"/>
      <c r="G2698" s="91" t="n"/>
      <c r="H2698" s="91" t="n"/>
      <c r="I2698" s="91" t="n"/>
      <c r="J2698" s="91" t="n"/>
      <c r="K2698" s="91" t="n"/>
      <c r="L2698" s="91" t="n"/>
      <c r="M2698" s="91" t="n"/>
      <c r="N2698" s="91" t="n"/>
      <c r="O2698" s="91" t="n"/>
      <c r="P2698" s="91" t="n"/>
      <c r="Q2698" s="91" t="n"/>
      <c r="R2698" s="91" t="n"/>
      <c r="S2698" s="91" t="n"/>
      <c r="T2698" s="25">
        <f>DAY(C2698)</f>
        <v/>
      </c>
      <c r="U2698" s="22">
        <f>MONTH(C2698)</f>
        <v/>
      </c>
      <c r="V2698" s="91" t="n"/>
      <c r="W2698" s="91" t="n"/>
      <c r="X2698" s="91" t="n"/>
      <c r="Y2698" s="91" t="n"/>
      <c r="Z2698" s="91" t="n"/>
    </row>
    <row r="2699" ht="12.75" customHeight="1" s="117">
      <c r="A2699" s="91" t="n"/>
      <c r="B2699" s="91" t="n"/>
      <c r="C2699" s="91" t="n"/>
      <c r="D2699" s="91" t="n"/>
      <c r="E2699" s="91" t="n"/>
      <c r="F2699" s="91" t="n"/>
      <c r="G2699" s="91" t="n"/>
      <c r="H2699" s="91" t="n"/>
      <c r="I2699" s="91" t="n"/>
      <c r="J2699" s="91" t="n"/>
      <c r="K2699" s="91" t="n"/>
      <c r="L2699" s="91" t="n"/>
      <c r="M2699" s="91" t="n"/>
      <c r="N2699" s="91" t="n"/>
      <c r="O2699" s="91" t="n"/>
      <c r="P2699" s="91" t="n"/>
      <c r="Q2699" s="91" t="n"/>
      <c r="R2699" s="91" t="n"/>
      <c r="S2699" s="91" t="n"/>
      <c r="T2699" s="25">
        <f>DAY(C2699)</f>
        <v/>
      </c>
      <c r="U2699" s="22">
        <f>MONTH(C2699)</f>
        <v/>
      </c>
      <c r="V2699" s="91" t="n"/>
      <c r="W2699" s="91" t="n"/>
      <c r="X2699" s="91" t="n"/>
      <c r="Y2699" s="91" t="n"/>
      <c r="Z2699" s="91" t="n"/>
    </row>
    <row r="2700" ht="12.75" customHeight="1" s="117">
      <c r="A2700" s="91" t="n"/>
      <c r="B2700" s="91" t="n"/>
      <c r="C2700" s="91" t="n"/>
      <c r="D2700" s="91" t="n"/>
      <c r="E2700" s="91" t="n"/>
      <c r="F2700" s="91" t="n"/>
      <c r="G2700" s="91" t="n"/>
      <c r="H2700" s="91" t="n"/>
      <c r="I2700" s="91" t="n"/>
      <c r="J2700" s="91" t="n"/>
      <c r="K2700" s="91" t="n"/>
      <c r="L2700" s="91" t="n"/>
      <c r="M2700" s="91" t="n"/>
      <c r="N2700" s="91" t="n"/>
      <c r="O2700" s="91" t="n"/>
      <c r="P2700" s="91" t="n"/>
      <c r="Q2700" s="91" t="n"/>
      <c r="R2700" s="91" t="n"/>
      <c r="S2700" s="91" t="n"/>
      <c r="T2700" s="25">
        <f>DAY(C2700)</f>
        <v/>
      </c>
      <c r="U2700" s="22">
        <f>MONTH(C2700)</f>
        <v/>
      </c>
      <c r="V2700" s="91" t="n"/>
      <c r="W2700" s="91" t="n"/>
      <c r="X2700" s="91" t="n"/>
      <c r="Y2700" s="91" t="n"/>
      <c r="Z2700" s="91" t="n"/>
    </row>
    <row r="2701" ht="12.75" customHeight="1" s="117">
      <c r="A2701" s="91" t="n"/>
      <c r="B2701" s="91" t="n"/>
      <c r="C2701" s="91" t="n"/>
      <c r="D2701" s="91" t="n"/>
      <c r="E2701" s="91" t="n"/>
      <c r="F2701" s="91" t="n"/>
      <c r="G2701" s="91" t="n"/>
      <c r="H2701" s="91" t="n"/>
      <c r="I2701" s="91" t="n"/>
      <c r="J2701" s="91" t="n"/>
      <c r="K2701" s="91" t="n"/>
      <c r="L2701" s="91" t="n"/>
      <c r="M2701" s="91" t="n"/>
      <c r="N2701" s="91" t="n"/>
      <c r="O2701" s="91" t="n"/>
      <c r="P2701" s="91" t="n"/>
      <c r="Q2701" s="91" t="n"/>
      <c r="R2701" s="91" t="n"/>
      <c r="S2701" s="91" t="n"/>
      <c r="T2701" s="25">
        <f>DAY(C2701)</f>
        <v/>
      </c>
      <c r="U2701" s="22">
        <f>MONTH(C2701)</f>
        <v/>
      </c>
      <c r="V2701" s="91" t="n"/>
      <c r="W2701" s="91" t="n"/>
      <c r="X2701" s="91" t="n"/>
      <c r="Y2701" s="91" t="n"/>
      <c r="Z2701" s="91" t="n"/>
    </row>
    <row r="2702" ht="12.75" customHeight="1" s="117">
      <c r="A2702" s="91" t="n"/>
      <c r="B2702" s="91" t="n"/>
      <c r="C2702" s="91" t="n"/>
      <c r="D2702" s="91" t="n"/>
      <c r="E2702" s="91" t="n"/>
      <c r="F2702" s="91" t="n"/>
      <c r="G2702" s="91" t="n"/>
      <c r="H2702" s="91" t="n"/>
      <c r="I2702" s="91" t="n"/>
      <c r="J2702" s="91" t="n"/>
      <c r="K2702" s="91" t="n"/>
      <c r="L2702" s="91" t="n"/>
      <c r="M2702" s="91" t="n"/>
      <c r="N2702" s="91" t="n"/>
      <c r="O2702" s="91" t="n"/>
      <c r="P2702" s="91" t="n"/>
      <c r="Q2702" s="91" t="n"/>
      <c r="R2702" s="91" t="n"/>
      <c r="S2702" s="91" t="n"/>
      <c r="T2702" s="25">
        <f>DAY(C2702)</f>
        <v/>
      </c>
      <c r="U2702" s="22">
        <f>MONTH(C2702)</f>
        <v/>
      </c>
      <c r="V2702" s="91" t="n"/>
      <c r="W2702" s="91" t="n"/>
      <c r="X2702" s="91" t="n"/>
      <c r="Y2702" s="91" t="n"/>
      <c r="Z2702" s="91" t="n"/>
    </row>
    <row r="2703" ht="12.75" customHeight="1" s="117">
      <c r="A2703" s="91" t="n"/>
      <c r="B2703" s="91" t="n"/>
      <c r="C2703" s="91" t="n"/>
      <c r="D2703" s="91" t="n"/>
      <c r="E2703" s="91" t="n"/>
      <c r="F2703" s="91" t="n"/>
      <c r="G2703" s="91" t="n"/>
      <c r="H2703" s="91" t="n"/>
      <c r="I2703" s="91" t="n"/>
      <c r="J2703" s="91" t="n"/>
      <c r="K2703" s="91" t="n"/>
      <c r="L2703" s="91" t="n"/>
      <c r="M2703" s="91" t="n"/>
      <c r="N2703" s="91" t="n"/>
      <c r="O2703" s="91" t="n"/>
      <c r="P2703" s="91" t="n"/>
      <c r="Q2703" s="91" t="n"/>
      <c r="R2703" s="91" t="n"/>
      <c r="S2703" s="91" t="n"/>
      <c r="T2703" s="25">
        <f>DAY(C2703)</f>
        <v/>
      </c>
      <c r="U2703" s="22">
        <f>MONTH(C2703)</f>
        <v/>
      </c>
      <c r="V2703" s="91" t="n"/>
      <c r="W2703" s="91" t="n"/>
      <c r="X2703" s="91" t="n"/>
      <c r="Y2703" s="91" t="n"/>
      <c r="Z2703" s="91" t="n"/>
    </row>
    <row r="2704" ht="12.75" customHeight="1" s="117">
      <c r="A2704" s="91" t="n"/>
      <c r="B2704" s="91" t="n"/>
      <c r="C2704" s="91" t="n"/>
      <c r="D2704" s="91" t="n"/>
      <c r="E2704" s="91" t="n"/>
      <c r="F2704" s="91" t="n"/>
      <c r="G2704" s="91" t="n"/>
      <c r="H2704" s="91" t="n"/>
      <c r="I2704" s="91" t="n"/>
      <c r="J2704" s="91" t="n"/>
      <c r="K2704" s="91" t="n"/>
      <c r="L2704" s="91" t="n"/>
      <c r="M2704" s="91" t="n"/>
      <c r="N2704" s="91" t="n"/>
      <c r="O2704" s="91" t="n"/>
      <c r="P2704" s="91" t="n"/>
      <c r="Q2704" s="91" t="n"/>
      <c r="R2704" s="91" t="n"/>
      <c r="S2704" s="91" t="n"/>
      <c r="T2704" s="25">
        <f>DAY(C2704)</f>
        <v/>
      </c>
      <c r="U2704" s="22">
        <f>MONTH(C2704)</f>
        <v/>
      </c>
      <c r="V2704" s="91" t="n"/>
      <c r="W2704" s="91" t="n"/>
      <c r="X2704" s="91" t="n"/>
      <c r="Y2704" s="91" t="n"/>
      <c r="Z2704" s="91" t="n"/>
    </row>
    <row r="2705" ht="12.75" customHeight="1" s="117">
      <c r="A2705" s="91" t="n"/>
      <c r="B2705" s="91" t="n"/>
      <c r="C2705" s="91" t="n"/>
      <c r="D2705" s="91" t="n"/>
      <c r="E2705" s="91" t="n"/>
      <c r="F2705" s="91" t="n"/>
      <c r="G2705" s="91" t="n"/>
      <c r="H2705" s="91" t="n"/>
      <c r="I2705" s="91" t="n"/>
      <c r="J2705" s="91" t="n"/>
      <c r="K2705" s="91" t="n"/>
      <c r="L2705" s="91" t="n"/>
      <c r="M2705" s="91" t="n"/>
      <c r="N2705" s="91" t="n"/>
      <c r="O2705" s="91" t="n"/>
      <c r="P2705" s="91" t="n"/>
      <c r="Q2705" s="91" t="n"/>
      <c r="R2705" s="91" t="n"/>
      <c r="S2705" s="91" t="n"/>
      <c r="T2705" s="25">
        <f>DAY(C2705)</f>
        <v/>
      </c>
      <c r="U2705" s="22">
        <f>MONTH(C2705)</f>
        <v/>
      </c>
      <c r="V2705" s="91" t="n"/>
      <c r="W2705" s="91" t="n"/>
      <c r="X2705" s="91" t="n"/>
      <c r="Y2705" s="91" t="n"/>
      <c r="Z2705" s="91" t="n"/>
    </row>
    <row r="2706" ht="12.75" customHeight="1" s="117">
      <c r="A2706" s="91" t="n"/>
      <c r="B2706" s="91" t="n"/>
      <c r="C2706" s="91" t="n"/>
      <c r="D2706" s="91" t="n"/>
      <c r="E2706" s="91" t="n"/>
      <c r="F2706" s="91" t="n"/>
      <c r="G2706" s="91" t="n"/>
      <c r="H2706" s="91" t="n"/>
      <c r="I2706" s="91" t="n"/>
      <c r="J2706" s="91" t="n"/>
      <c r="K2706" s="91" t="n"/>
      <c r="L2706" s="91" t="n"/>
      <c r="M2706" s="91" t="n"/>
      <c r="N2706" s="91" t="n"/>
      <c r="O2706" s="91" t="n"/>
      <c r="P2706" s="91" t="n"/>
      <c r="Q2706" s="91" t="n"/>
      <c r="R2706" s="91" t="n"/>
      <c r="S2706" s="91" t="n"/>
      <c r="T2706" s="25">
        <f>DAY(C2706)</f>
        <v/>
      </c>
      <c r="U2706" s="22">
        <f>MONTH(C2706)</f>
        <v/>
      </c>
      <c r="V2706" s="91" t="n"/>
      <c r="W2706" s="91" t="n"/>
      <c r="X2706" s="91" t="n"/>
      <c r="Y2706" s="91" t="n"/>
      <c r="Z2706" s="91" t="n"/>
    </row>
    <row r="2707" ht="12.75" customHeight="1" s="117">
      <c r="A2707" s="91" t="n"/>
      <c r="B2707" s="91" t="n"/>
      <c r="C2707" s="91" t="n"/>
      <c r="D2707" s="91" t="n"/>
      <c r="E2707" s="91" t="n"/>
      <c r="F2707" s="91" t="n"/>
      <c r="G2707" s="91" t="n"/>
      <c r="H2707" s="91" t="n"/>
      <c r="I2707" s="91" t="n"/>
      <c r="J2707" s="91" t="n"/>
      <c r="K2707" s="91" t="n"/>
      <c r="L2707" s="91" t="n"/>
      <c r="M2707" s="91" t="n"/>
      <c r="N2707" s="91" t="n"/>
      <c r="O2707" s="91" t="n"/>
      <c r="P2707" s="91" t="n"/>
      <c r="Q2707" s="91" t="n"/>
      <c r="R2707" s="91" t="n"/>
      <c r="S2707" s="91" t="n"/>
      <c r="T2707" s="25">
        <f>DAY(C2707)</f>
        <v/>
      </c>
      <c r="U2707" s="22">
        <f>MONTH(C2707)</f>
        <v/>
      </c>
      <c r="V2707" s="91" t="n"/>
      <c r="W2707" s="91" t="n"/>
      <c r="X2707" s="91" t="n"/>
      <c r="Y2707" s="91" t="n"/>
      <c r="Z2707" s="91" t="n"/>
    </row>
    <row r="2708" ht="12.75" customHeight="1" s="117">
      <c r="A2708" s="91" t="n"/>
      <c r="B2708" s="91" t="n"/>
      <c r="C2708" s="91" t="n"/>
      <c r="D2708" s="91" t="n"/>
      <c r="E2708" s="91" t="n"/>
      <c r="F2708" s="91" t="n"/>
      <c r="G2708" s="91" t="n"/>
      <c r="H2708" s="91" t="n"/>
      <c r="I2708" s="91" t="n"/>
      <c r="J2708" s="91" t="n"/>
      <c r="K2708" s="91" t="n"/>
      <c r="L2708" s="91" t="n"/>
      <c r="M2708" s="91" t="n"/>
      <c r="N2708" s="91" t="n"/>
      <c r="O2708" s="91" t="n"/>
      <c r="P2708" s="91" t="n"/>
      <c r="Q2708" s="91" t="n"/>
      <c r="R2708" s="91" t="n"/>
      <c r="S2708" s="91" t="n"/>
      <c r="T2708" s="25">
        <f>DAY(C2708)</f>
        <v/>
      </c>
      <c r="U2708" s="22">
        <f>MONTH(C2708)</f>
        <v/>
      </c>
      <c r="V2708" s="91" t="n"/>
      <c r="W2708" s="91" t="n"/>
      <c r="X2708" s="91" t="n"/>
      <c r="Y2708" s="91" t="n"/>
      <c r="Z2708" s="91" t="n"/>
    </row>
    <row r="2709" ht="12.75" customHeight="1" s="117">
      <c r="A2709" s="91" t="n"/>
      <c r="B2709" s="91" t="n"/>
      <c r="C2709" s="91" t="n"/>
      <c r="D2709" s="91" t="n"/>
      <c r="E2709" s="91" t="n"/>
      <c r="F2709" s="91" t="n"/>
      <c r="G2709" s="91" t="n"/>
      <c r="H2709" s="91" t="n"/>
      <c r="I2709" s="91" t="n"/>
      <c r="J2709" s="91" t="n"/>
      <c r="K2709" s="91" t="n"/>
      <c r="L2709" s="91" t="n"/>
      <c r="M2709" s="91" t="n"/>
      <c r="N2709" s="91" t="n"/>
      <c r="O2709" s="91" t="n"/>
      <c r="P2709" s="91" t="n"/>
      <c r="Q2709" s="91" t="n"/>
      <c r="R2709" s="91" t="n"/>
      <c r="S2709" s="91" t="n"/>
      <c r="T2709" s="25">
        <f>DAY(C2709)</f>
        <v/>
      </c>
      <c r="U2709" s="22">
        <f>MONTH(C2709)</f>
        <v/>
      </c>
      <c r="V2709" s="91" t="n"/>
      <c r="W2709" s="91" t="n"/>
      <c r="X2709" s="91" t="n"/>
      <c r="Y2709" s="91" t="n"/>
      <c r="Z2709" s="91" t="n"/>
    </row>
    <row r="2710" ht="12.75" customHeight="1" s="117">
      <c r="A2710" s="91" t="n"/>
      <c r="B2710" s="91" t="n"/>
      <c r="C2710" s="91" t="n"/>
      <c r="D2710" s="91" t="n"/>
      <c r="E2710" s="91" t="n"/>
      <c r="F2710" s="91" t="n"/>
      <c r="G2710" s="91" t="n"/>
      <c r="H2710" s="91" t="n"/>
      <c r="I2710" s="91" t="n"/>
      <c r="J2710" s="91" t="n"/>
      <c r="K2710" s="91" t="n"/>
      <c r="L2710" s="91" t="n"/>
      <c r="M2710" s="91" t="n"/>
      <c r="N2710" s="91" t="n"/>
      <c r="O2710" s="91" t="n"/>
      <c r="P2710" s="91" t="n"/>
      <c r="Q2710" s="91" t="n"/>
      <c r="R2710" s="91" t="n"/>
      <c r="S2710" s="91" t="n"/>
      <c r="T2710" s="25">
        <f>DAY(C2710)</f>
        <v/>
      </c>
      <c r="U2710" s="22">
        <f>MONTH(C2710)</f>
        <v/>
      </c>
      <c r="V2710" s="91" t="n"/>
      <c r="W2710" s="91" t="n"/>
      <c r="X2710" s="91" t="n"/>
      <c r="Y2710" s="91" t="n"/>
      <c r="Z2710" s="91" t="n"/>
    </row>
    <row r="2711" ht="12.75" customHeight="1" s="117">
      <c r="A2711" s="91" t="n"/>
      <c r="B2711" s="91" t="n"/>
      <c r="C2711" s="91" t="n"/>
      <c r="D2711" s="91" t="n"/>
      <c r="E2711" s="91" t="n"/>
      <c r="F2711" s="91" t="n"/>
      <c r="G2711" s="91" t="n"/>
      <c r="H2711" s="91" t="n"/>
      <c r="I2711" s="91" t="n"/>
      <c r="J2711" s="91" t="n"/>
      <c r="K2711" s="91" t="n"/>
      <c r="L2711" s="91" t="n"/>
      <c r="M2711" s="91" t="n"/>
      <c r="N2711" s="91" t="n"/>
      <c r="O2711" s="91" t="n"/>
      <c r="P2711" s="91" t="n"/>
      <c r="Q2711" s="91" t="n"/>
      <c r="R2711" s="91" t="n"/>
      <c r="S2711" s="91" t="n"/>
      <c r="T2711" s="25">
        <f>DAY(C2711)</f>
        <v/>
      </c>
      <c r="U2711" s="22">
        <f>MONTH(C2711)</f>
        <v/>
      </c>
      <c r="V2711" s="91" t="n"/>
      <c r="W2711" s="91" t="n"/>
      <c r="X2711" s="91" t="n"/>
      <c r="Y2711" s="91" t="n"/>
      <c r="Z2711" s="91" t="n"/>
    </row>
    <row r="2712" ht="12.75" customHeight="1" s="117">
      <c r="A2712" s="91" t="n"/>
      <c r="B2712" s="91" t="n"/>
      <c r="C2712" s="91" t="n"/>
      <c r="D2712" s="91" t="n"/>
      <c r="E2712" s="91" t="n"/>
      <c r="F2712" s="91" t="n"/>
      <c r="G2712" s="91" t="n"/>
      <c r="H2712" s="91" t="n"/>
      <c r="I2712" s="91" t="n"/>
      <c r="J2712" s="91" t="n"/>
      <c r="K2712" s="91" t="n"/>
      <c r="L2712" s="91" t="n"/>
      <c r="M2712" s="91" t="n"/>
      <c r="N2712" s="91" t="n"/>
      <c r="O2712" s="91" t="n"/>
      <c r="P2712" s="91" t="n"/>
      <c r="Q2712" s="91" t="n"/>
      <c r="R2712" s="91" t="n"/>
      <c r="S2712" s="91" t="n"/>
      <c r="T2712" s="25">
        <f>DAY(C2712)</f>
        <v/>
      </c>
      <c r="U2712" s="22">
        <f>MONTH(C2712)</f>
        <v/>
      </c>
      <c r="V2712" s="91" t="n"/>
      <c r="W2712" s="91" t="n"/>
      <c r="X2712" s="91" t="n"/>
      <c r="Y2712" s="91" t="n"/>
      <c r="Z2712" s="91" t="n"/>
    </row>
    <row r="2713" ht="12.75" customHeight="1" s="117">
      <c r="A2713" s="91" t="n"/>
      <c r="B2713" s="91" t="n"/>
      <c r="C2713" s="91" t="n"/>
      <c r="D2713" s="91" t="n"/>
      <c r="E2713" s="91" t="n"/>
      <c r="F2713" s="91" t="n"/>
      <c r="G2713" s="91" t="n"/>
      <c r="H2713" s="91" t="n"/>
      <c r="I2713" s="91" t="n"/>
      <c r="J2713" s="91" t="n"/>
      <c r="K2713" s="91" t="n"/>
      <c r="L2713" s="91" t="n"/>
      <c r="M2713" s="91" t="n"/>
      <c r="N2713" s="91" t="n"/>
      <c r="O2713" s="91" t="n"/>
      <c r="P2713" s="91" t="n"/>
      <c r="Q2713" s="91" t="n"/>
      <c r="R2713" s="91" t="n"/>
      <c r="S2713" s="91" t="n"/>
      <c r="T2713" s="25">
        <f>DAY(C2713)</f>
        <v/>
      </c>
      <c r="U2713" s="22">
        <f>MONTH(C2713)</f>
        <v/>
      </c>
      <c r="V2713" s="91" t="n"/>
      <c r="W2713" s="91" t="n"/>
      <c r="X2713" s="91" t="n"/>
      <c r="Y2713" s="91" t="n"/>
      <c r="Z2713" s="91" t="n"/>
    </row>
    <row r="2714" ht="12.75" customHeight="1" s="117">
      <c r="A2714" s="91" t="n"/>
      <c r="B2714" s="91" t="n"/>
      <c r="C2714" s="91" t="n"/>
      <c r="D2714" s="91" t="n"/>
      <c r="E2714" s="91" t="n"/>
      <c r="F2714" s="91" t="n"/>
      <c r="G2714" s="91" t="n"/>
      <c r="H2714" s="91" t="n"/>
      <c r="I2714" s="91" t="n"/>
      <c r="J2714" s="91" t="n"/>
      <c r="K2714" s="91" t="n"/>
      <c r="L2714" s="91" t="n"/>
      <c r="M2714" s="91" t="n"/>
      <c r="N2714" s="91" t="n"/>
      <c r="O2714" s="91" t="n"/>
      <c r="P2714" s="91" t="n"/>
      <c r="Q2714" s="91" t="n"/>
      <c r="R2714" s="91" t="n"/>
      <c r="S2714" s="91" t="n"/>
      <c r="T2714" s="25">
        <f>DAY(C2714)</f>
        <v/>
      </c>
      <c r="U2714" s="22">
        <f>MONTH(C2714)</f>
        <v/>
      </c>
      <c r="V2714" s="91" t="n"/>
      <c r="W2714" s="91" t="n"/>
      <c r="X2714" s="91" t="n"/>
      <c r="Y2714" s="91" t="n"/>
      <c r="Z2714" s="91" t="n"/>
    </row>
    <row r="2715" ht="12.75" customHeight="1" s="117">
      <c r="A2715" s="91" t="n"/>
      <c r="B2715" s="91" t="n"/>
      <c r="C2715" s="91" t="n"/>
      <c r="D2715" s="91" t="n"/>
      <c r="E2715" s="91" t="n"/>
      <c r="F2715" s="91" t="n"/>
      <c r="G2715" s="91" t="n"/>
      <c r="H2715" s="91" t="n"/>
      <c r="I2715" s="91" t="n"/>
      <c r="J2715" s="91" t="n"/>
      <c r="K2715" s="91" t="n"/>
      <c r="L2715" s="91" t="n"/>
      <c r="M2715" s="91" t="n"/>
      <c r="N2715" s="91" t="n"/>
      <c r="O2715" s="91" t="n"/>
      <c r="P2715" s="91" t="n"/>
      <c r="Q2715" s="91" t="n"/>
      <c r="R2715" s="91" t="n"/>
      <c r="S2715" s="91" t="n"/>
      <c r="T2715" s="25">
        <f>DAY(C2715)</f>
        <v/>
      </c>
      <c r="U2715" s="22">
        <f>MONTH(C2715)</f>
        <v/>
      </c>
      <c r="V2715" s="91" t="n"/>
      <c r="W2715" s="91" t="n"/>
      <c r="X2715" s="91" t="n"/>
      <c r="Y2715" s="91" t="n"/>
      <c r="Z2715" s="91" t="n"/>
    </row>
    <row r="2716" ht="12.75" customHeight="1" s="117">
      <c r="A2716" s="91" t="n"/>
      <c r="B2716" s="91" t="n"/>
      <c r="C2716" s="91" t="n"/>
      <c r="D2716" s="91" t="n"/>
      <c r="E2716" s="91" t="n"/>
      <c r="F2716" s="91" t="n"/>
      <c r="G2716" s="91" t="n"/>
      <c r="H2716" s="91" t="n"/>
      <c r="I2716" s="91" t="n"/>
      <c r="J2716" s="91" t="n"/>
      <c r="K2716" s="91" t="n"/>
      <c r="L2716" s="91" t="n"/>
      <c r="M2716" s="91" t="n"/>
      <c r="N2716" s="91" t="n"/>
      <c r="O2716" s="91" t="n"/>
      <c r="P2716" s="91" t="n"/>
      <c r="Q2716" s="91" t="n"/>
      <c r="R2716" s="91" t="n"/>
      <c r="S2716" s="91" t="n"/>
      <c r="T2716" s="25">
        <f>DAY(C2716)</f>
        <v/>
      </c>
      <c r="U2716" s="22">
        <f>MONTH(C2716)</f>
        <v/>
      </c>
      <c r="V2716" s="91" t="n"/>
      <c r="W2716" s="91" t="n"/>
      <c r="X2716" s="91" t="n"/>
      <c r="Y2716" s="91" t="n"/>
      <c r="Z2716" s="91" t="n"/>
    </row>
    <row r="2717" ht="12.75" customHeight="1" s="117">
      <c r="A2717" s="91" t="n"/>
      <c r="B2717" s="91" t="n"/>
      <c r="C2717" s="91" t="n"/>
      <c r="D2717" s="91" t="n"/>
      <c r="E2717" s="91" t="n"/>
      <c r="F2717" s="91" t="n"/>
      <c r="G2717" s="91" t="n"/>
      <c r="H2717" s="91" t="n"/>
      <c r="I2717" s="91" t="n"/>
      <c r="J2717" s="91" t="n"/>
      <c r="K2717" s="91" t="n"/>
      <c r="L2717" s="91" t="n"/>
      <c r="M2717" s="91" t="n"/>
      <c r="N2717" s="91" t="n"/>
      <c r="O2717" s="91" t="n"/>
      <c r="P2717" s="91" t="n"/>
      <c r="Q2717" s="91" t="n"/>
      <c r="R2717" s="91" t="n"/>
      <c r="S2717" s="91" t="n"/>
      <c r="T2717" s="25">
        <f>DAY(C2717)</f>
        <v/>
      </c>
      <c r="U2717" s="22">
        <f>MONTH(C2717)</f>
        <v/>
      </c>
      <c r="V2717" s="91" t="n"/>
      <c r="W2717" s="91" t="n"/>
      <c r="X2717" s="91" t="n"/>
      <c r="Y2717" s="91" t="n"/>
      <c r="Z2717" s="91" t="n"/>
    </row>
    <row r="2718" ht="12.75" customHeight="1" s="117">
      <c r="A2718" s="91" t="n"/>
      <c r="B2718" s="91" t="n"/>
      <c r="C2718" s="91" t="n"/>
      <c r="D2718" s="91" t="n"/>
      <c r="E2718" s="91" t="n"/>
      <c r="F2718" s="91" t="n"/>
      <c r="G2718" s="91" t="n"/>
      <c r="H2718" s="91" t="n"/>
      <c r="I2718" s="91" t="n"/>
      <c r="J2718" s="91" t="n"/>
      <c r="K2718" s="91" t="n"/>
      <c r="L2718" s="91" t="n"/>
      <c r="M2718" s="91" t="n"/>
      <c r="N2718" s="91" t="n"/>
      <c r="O2718" s="91" t="n"/>
      <c r="P2718" s="91" t="n"/>
      <c r="Q2718" s="91" t="n"/>
      <c r="R2718" s="91" t="n"/>
      <c r="S2718" s="91" t="n"/>
      <c r="T2718" s="25">
        <f>DAY(C2718)</f>
        <v/>
      </c>
      <c r="U2718" s="22">
        <f>MONTH(C2718)</f>
        <v/>
      </c>
      <c r="V2718" s="91" t="n"/>
      <c r="W2718" s="91" t="n"/>
      <c r="X2718" s="91" t="n"/>
      <c r="Y2718" s="91" t="n"/>
      <c r="Z2718" s="91" t="n"/>
    </row>
    <row r="2719" ht="12.75" customHeight="1" s="117">
      <c r="A2719" s="91" t="n"/>
      <c r="B2719" s="91" t="n"/>
      <c r="C2719" s="91" t="n"/>
      <c r="D2719" s="91" t="n"/>
      <c r="E2719" s="91" t="n"/>
      <c r="F2719" s="91" t="n"/>
      <c r="G2719" s="91" t="n"/>
      <c r="H2719" s="91" t="n"/>
      <c r="I2719" s="91" t="n"/>
      <c r="J2719" s="91" t="n"/>
      <c r="K2719" s="91" t="n"/>
      <c r="L2719" s="91" t="n"/>
      <c r="M2719" s="91" t="n"/>
      <c r="N2719" s="91" t="n"/>
      <c r="O2719" s="91" t="n"/>
      <c r="P2719" s="91" t="n"/>
      <c r="Q2719" s="91" t="n"/>
      <c r="R2719" s="91" t="n"/>
      <c r="S2719" s="91" t="n"/>
      <c r="T2719" s="25">
        <f>DAY(C2719)</f>
        <v/>
      </c>
      <c r="U2719" s="22">
        <f>MONTH(C2719)</f>
        <v/>
      </c>
      <c r="V2719" s="91" t="n"/>
      <c r="W2719" s="91" t="n"/>
      <c r="X2719" s="91" t="n"/>
      <c r="Y2719" s="91" t="n"/>
      <c r="Z2719" s="91" t="n"/>
    </row>
    <row r="2720" ht="12.75" customHeight="1" s="117">
      <c r="A2720" s="91" t="n"/>
      <c r="B2720" s="91" t="n"/>
      <c r="C2720" s="91" t="n"/>
      <c r="D2720" s="91" t="n"/>
      <c r="E2720" s="91" t="n"/>
      <c r="F2720" s="91" t="n"/>
      <c r="G2720" s="91" t="n"/>
      <c r="H2720" s="91" t="n"/>
      <c r="I2720" s="91" t="n"/>
      <c r="J2720" s="91" t="n"/>
      <c r="K2720" s="91" t="n"/>
      <c r="L2720" s="91" t="n"/>
      <c r="M2720" s="91" t="n"/>
      <c r="N2720" s="91" t="n"/>
      <c r="O2720" s="91" t="n"/>
      <c r="P2720" s="91" t="n"/>
      <c r="Q2720" s="91" t="n"/>
      <c r="R2720" s="91" t="n"/>
      <c r="S2720" s="91" t="n"/>
      <c r="T2720" s="25">
        <f>DAY(C2720)</f>
        <v/>
      </c>
      <c r="U2720" s="22">
        <f>MONTH(C2720)</f>
        <v/>
      </c>
      <c r="V2720" s="91" t="n"/>
      <c r="W2720" s="91" t="n"/>
      <c r="X2720" s="91" t="n"/>
      <c r="Y2720" s="91" t="n"/>
      <c r="Z2720" s="91" t="n"/>
    </row>
    <row r="2721" ht="12.75" customHeight="1" s="117">
      <c r="A2721" s="91" t="n"/>
      <c r="B2721" s="91" t="n"/>
      <c r="C2721" s="91" t="n"/>
      <c r="D2721" s="91" t="n"/>
      <c r="E2721" s="91" t="n"/>
      <c r="F2721" s="91" t="n"/>
      <c r="G2721" s="91" t="n"/>
      <c r="H2721" s="91" t="n"/>
      <c r="I2721" s="91" t="n"/>
      <c r="J2721" s="91" t="n"/>
      <c r="K2721" s="91" t="n"/>
      <c r="L2721" s="91" t="n"/>
      <c r="M2721" s="91" t="n"/>
      <c r="N2721" s="91" t="n"/>
      <c r="O2721" s="91" t="n"/>
      <c r="P2721" s="91" t="n"/>
      <c r="Q2721" s="91" t="n"/>
      <c r="R2721" s="91" t="n"/>
      <c r="S2721" s="91" t="n"/>
      <c r="T2721" s="25">
        <f>DAY(C2721)</f>
        <v/>
      </c>
      <c r="U2721" s="22">
        <f>MONTH(C2721)</f>
        <v/>
      </c>
      <c r="V2721" s="91" t="n"/>
      <c r="W2721" s="91" t="n"/>
      <c r="X2721" s="91" t="n"/>
      <c r="Y2721" s="91" t="n"/>
      <c r="Z2721" s="91" t="n"/>
    </row>
    <row r="2722" ht="12.75" customHeight="1" s="117">
      <c r="A2722" s="91" t="n"/>
      <c r="B2722" s="91" t="n"/>
      <c r="C2722" s="91" t="n"/>
      <c r="D2722" s="91" t="n"/>
      <c r="E2722" s="91" t="n"/>
      <c r="F2722" s="91" t="n"/>
      <c r="G2722" s="91" t="n"/>
      <c r="H2722" s="91" t="n"/>
      <c r="I2722" s="91" t="n"/>
      <c r="J2722" s="91" t="n"/>
      <c r="K2722" s="91" t="n"/>
      <c r="L2722" s="91" t="n"/>
      <c r="M2722" s="91" t="n"/>
      <c r="N2722" s="91" t="n"/>
      <c r="O2722" s="91" t="n"/>
      <c r="P2722" s="91" t="n"/>
      <c r="Q2722" s="91" t="n"/>
      <c r="R2722" s="91" t="n"/>
      <c r="S2722" s="91" t="n"/>
      <c r="T2722" s="25">
        <f>DAY(C2722)</f>
        <v/>
      </c>
      <c r="U2722" s="22">
        <f>MONTH(C2722)</f>
        <v/>
      </c>
      <c r="V2722" s="91" t="n"/>
      <c r="W2722" s="91" t="n"/>
      <c r="X2722" s="91" t="n"/>
      <c r="Y2722" s="91" t="n"/>
      <c r="Z2722" s="91" t="n"/>
    </row>
    <row r="2723" ht="12.75" customHeight="1" s="117">
      <c r="A2723" s="91" t="n"/>
      <c r="B2723" s="91" t="n"/>
      <c r="C2723" s="91" t="n"/>
      <c r="D2723" s="91" t="n"/>
      <c r="E2723" s="91" t="n"/>
      <c r="F2723" s="91" t="n"/>
      <c r="G2723" s="91" t="n"/>
      <c r="H2723" s="91" t="n"/>
      <c r="I2723" s="91" t="n"/>
      <c r="J2723" s="91" t="n"/>
      <c r="K2723" s="91" t="n"/>
      <c r="L2723" s="91" t="n"/>
      <c r="M2723" s="91" t="n"/>
      <c r="N2723" s="91" t="n"/>
      <c r="O2723" s="91" t="n"/>
      <c r="P2723" s="91" t="n"/>
      <c r="Q2723" s="91" t="n"/>
      <c r="R2723" s="91" t="n"/>
      <c r="S2723" s="91" t="n"/>
      <c r="T2723" s="25">
        <f>DAY(C2723)</f>
        <v/>
      </c>
      <c r="U2723" s="22">
        <f>MONTH(C2723)</f>
        <v/>
      </c>
      <c r="V2723" s="91" t="n"/>
      <c r="W2723" s="91" t="n"/>
      <c r="X2723" s="91" t="n"/>
      <c r="Y2723" s="91" t="n"/>
      <c r="Z2723" s="91" t="n"/>
    </row>
    <row r="2724" ht="12.75" customHeight="1" s="117">
      <c r="A2724" s="91" t="n"/>
      <c r="B2724" s="91" t="n"/>
      <c r="C2724" s="91" t="n"/>
      <c r="D2724" s="91" t="n"/>
      <c r="E2724" s="91" t="n"/>
      <c r="F2724" s="91" t="n"/>
      <c r="G2724" s="91" t="n"/>
      <c r="H2724" s="91" t="n"/>
      <c r="I2724" s="91" t="n"/>
      <c r="J2724" s="91" t="n"/>
      <c r="K2724" s="91" t="n"/>
      <c r="L2724" s="91" t="n"/>
      <c r="M2724" s="91" t="n"/>
      <c r="N2724" s="91" t="n"/>
      <c r="O2724" s="91" t="n"/>
      <c r="P2724" s="91" t="n"/>
      <c r="Q2724" s="91" t="n"/>
      <c r="R2724" s="91" t="n"/>
      <c r="S2724" s="91" t="n"/>
      <c r="T2724" s="25">
        <f>DAY(C2724)</f>
        <v/>
      </c>
      <c r="U2724" s="22">
        <f>MONTH(C2724)</f>
        <v/>
      </c>
      <c r="V2724" s="91" t="n"/>
      <c r="W2724" s="91" t="n"/>
      <c r="X2724" s="91" t="n"/>
      <c r="Y2724" s="91" t="n"/>
      <c r="Z2724" s="91" t="n"/>
    </row>
    <row r="2725" ht="12.75" customHeight="1" s="117">
      <c r="A2725" s="91" t="n"/>
      <c r="B2725" s="91" t="n"/>
      <c r="C2725" s="91" t="n"/>
      <c r="D2725" s="91" t="n"/>
      <c r="E2725" s="91" t="n"/>
      <c r="F2725" s="91" t="n"/>
      <c r="G2725" s="91" t="n"/>
      <c r="H2725" s="91" t="n"/>
      <c r="I2725" s="91" t="n"/>
      <c r="J2725" s="91" t="n"/>
      <c r="K2725" s="91" t="n"/>
      <c r="L2725" s="91" t="n"/>
      <c r="M2725" s="91" t="n"/>
      <c r="N2725" s="91" t="n"/>
      <c r="O2725" s="91" t="n"/>
      <c r="P2725" s="91" t="n"/>
      <c r="Q2725" s="91" t="n"/>
      <c r="R2725" s="91" t="n"/>
      <c r="S2725" s="91" t="n"/>
      <c r="T2725" s="25">
        <f>DAY(C2725)</f>
        <v/>
      </c>
      <c r="U2725" s="22">
        <f>MONTH(C2725)</f>
        <v/>
      </c>
      <c r="V2725" s="91" t="n"/>
      <c r="W2725" s="91" t="n"/>
      <c r="X2725" s="91" t="n"/>
      <c r="Y2725" s="91" t="n"/>
      <c r="Z2725" s="91" t="n"/>
    </row>
    <row r="2726" ht="12.75" customHeight="1" s="117">
      <c r="A2726" s="91" t="n"/>
      <c r="B2726" s="91" t="n"/>
      <c r="C2726" s="91" t="n"/>
      <c r="D2726" s="91" t="n"/>
      <c r="E2726" s="91" t="n"/>
      <c r="F2726" s="91" t="n"/>
      <c r="G2726" s="91" t="n"/>
      <c r="H2726" s="91" t="n"/>
      <c r="I2726" s="91" t="n"/>
      <c r="J2726" s="91" t="n"/>
      <c r="K2726" s="91" t="n"/>
      <c r="L2726" s="91" t="n"/>
      <c r="M2726" s="91" t="n"/>
      <c r="N2726" s="91" t="n"/>
      <c r="O2726" s="91" t="n"/>
      <c r="P2726" s="91" t="n"/>
      <c r="Q2726" s="91" t="n"/>
      <c r="R2726" s="91" t="n"/>
      <c r="S2726" s="91" t="n"/>
      <c r="T2726" s="25">
        <f>DAY(C2726)</f>
        <v/>
      </c>
      <c r="U2726" s="22">
        <f>MONTH(C2726)</f>
        <v/>
      </c>
      <c r="V2726" s="91" t="n"/>
      <c r="W2726" s="91" t="n"/>
      <c r="X2726" s="91" t="n"/>
      <c r="Y2726" s="91" t="n"/>
      <c r="Z2726" s="91" t="n"/>
    </row>
    <row r="2727" ht="12.75" customHeight="1" s="117">
      <c r="A2727" s="91" t="n"/>
      <c r="B2727" s="91" t="n"/>
      <c r="C2727" s="91" t="n"/>
      <c r="D2727" s="91" t="n"/>
      <c r="E2727" s="91" t="n"/>
      <c r="F2727" s="91" t="n"/>
      <c r="G2727" s="91" t="n"/>
      <c r="H2727" s="91" t="n"/>
      <c r="I2727" s="91" t="n"/>
      <c r="J2727" s="91" t="n"/>
      <c r="K2727" s="91" t="n"/>
      <c r="L2727" s="91" t="n"/>
      <c r="M2727" s="91" t="n"/>
      <c r="N2727" s="91" t="n"/>
      <c r="O2727" s="91" t="n"/>
      <c r="P2727" s="91" t="n"/>
      <c r="Q2727" s="91" t="n"/>
      <c r="R2727" s="91" t="n"/>
      <c r="S2727" s="91" t="n"/>
      <c r="T2727" s="25">
        <f>DAY(C2727)</f>
        <v/>
      </c>
      <c r="U2727" s="22">
        <f>MONTH(C2727)</f>
        <v/>
      </c>
      <c r="V2727" s="91" t="n"/>
      <c r="W2727" s="91" t="n"/>
      <c r="X2727" s="91" t="n"/>
      <c r="Y2727" s="91" t="n"/>
      <c r="Z2727" s="91" t="n"/>
    </row>
    <row r="2728" ht="12.75" customHeight="1" s="117">
      <c r="A2728" s="91" t="n"/>
      <c r="B2728" s="91" t="n"/>
      <c r="C2728" s="91" t="n"/>
      <c r="D2728" s="91" t="n"/>
      <c r="E2728" s="91" t="n"/>
      <c r="F2728" s="91" t="n"/>
      <c r="G2728" s="91" t="n"/>
      <c r="H2728" s="91" t="n"/>
      <c r="I2728" s="91" t="n"/>
      <c r="J2728" s="91" t="n"/>
      <c r="K2728" s="91" t="n"/>
      <c r="L2728" s="91" t="n"/>
      <c r="M2728" s="91" t="n"/>
      <c r="N2728" s="91" t="n"/>
      <c r="O2728" s="91" t="n"/>
      <c r="P2728" s="91" t="n"/>
      <c r="Q2728" s="91" t="n"/>
      <c r="R2728" s="91" t="n"/>
      <c r="S2728" s="91" t="n"/>
      <c r="T2728" s="25">
        <f>DAY(C2728)</f>
        <v/>
      </c>
      <c r="U2728" s="22">
        <f>MONTH(C2728)</f>
        <v/>
      </c>
      <c r="V2728" s="91" t="n"/>
      <c r="W2728" s="91" t="n"/>
      <c r="X2728" s="91" t="n"/>
      <c r="Y2728" s="91" t="n"/>
      <c r="Z2728" s="91" t="n"/>
    </row>
    <row r="2729" ht="12.75" customHeight="1" s="117">
      <c r="A2729" s="91" t="n"/>
      <c r="B2729" s="91" t="n"/>
      <c r="C2729" s="91" t="n"/>
      <c r="D2729" s="91" t="n"/>
      <c r="E2729" s="91" t="n"/>
      <c r="F2729" s="91" t="n"/>
      <c r="G2729" s="91" t="n"/>
      <c r="H2729" s="91" t="n"/>
      <c r="I2729" s="91" t="n"/>
      <c r="J2729" s="91" t="n"/>
      <c r="K2729" s="91" t="n"/>
      <c r="L2729" s="91" t="n"/>
      <c r="M2729" s="91" t="n"/>
      <c r="N2729" s="91" t="n"/>
      <c r="O2729" s="91" t="n"/>
      <c r="P2729" s="91" t="n"/>
      <c r="Q2729" s="91" t="n"/>
      <c r="R2729" s="91" t="n"/>
      <c r="S2729" s="91" t="n"/>
      <c r="T2729" s="25">
        <f>DAY(C2729)</f>
        <v/>
      </c>
      <c r="U2729" s="22">
        <f>MONTH(C2729)</f>
        <v/>
      </c>
      <c r="V2729" s="91" t="n"/>
      <c r="W2729" s="91" t="n"/>
      <c r="X2729" s="91" t="n"/>
      <c r="Y2729" s="91" t="n"/>
      <c r="Z2729" s="91" t="n"/>
    </row>
    <row r="2730" ht="12.75" customHeight="1" s="117">
      <c r="A2730" s="91" t="n"/>
      <c r="B2730" s="91" t="n"/>
      <c r="C2730" s="91" t="n"/>
      <c r="D2730" s="91" t="n"/>
      <c r="E2730" s="91" t="n"/>
      <c r="F2730" s="91" t="n"/>
      <c r="G2730" s="91" t="n"/>
      <c r="H2730" s="91" t="n"/>
      <c r="I2730" s="91" t="n"/>
      <c r="J2730" s="91" t="n"/>
      <c r="K2730" s="91" t="n"/>
      <c r="L2730" s="91" t="n"/>
      <c r="M2730" s="91" t="n"/>
      <c r="N2730" s="91" t="n"/>
      <c r="O2730" s="91" t="n"/>
      <c r="P2730" s="91" t="n"/>
      <c r="Q2730" s="91" t="n"/>
      <c r="R2730" s="91" t="n"/>
      <c r="S2730" s="91" t="n"/>
      <c r="T2730" s="25">
        <f>DAY(C2730)</f>
        <v/>
      </c>
      <c r="U2730" s="22">
        <f>MONTH(C2730)</f>
        <v/>
      </c>
      <c r="V2730" s="91" t="n"/>
      <c r="W2730" s="91" t="n"/>
      <c r="X2730" s="91" t="n"/>
      <c r="Y2730" s="91" t="n"/>
      <c r="Z2730" s="91" t="n"/>
    </row>
    <row r="2731" ht="12.75" customHeight="1" s="117">
      <c r="A2731" s="91" t="n"/>
      <c r="B2731" s="91" t="n"/>
      <c r="C2731" s="91" t="n"/>
      <c r="D2731" s="91" t="n"/>
      <c r="E2731" s="91" t="n"/>
      <c r="F2731" s="91" t="n"/>
      <c r="G2731" s="91" t="n"/>
      <c r="H2731" s="91" t="n"/>
      <c r="I2731" s="91" t="n"/>
      <c r="J2731" s="91" t="n"/>
      <c r="K2731" s="91" t="n"/>
      <c r="L2731" s="91" t="n"/>
      <c r="M2731" s="91" t="n"/>
      <c r="N2731" s="91" t="n"/>
      <c r="O2731" s="91" t="n"/>
      <c r="P2731" s="91" t="n"/>
      <c r="Q2731" s="91" t="n"/>
      <c r="R2731" s="91" t="n"/>
      <c r="S2731" s="91" t="n"/>
      <c r="T2731" s="25">
        <f>DAY(C2731)</f>
        <v/>
      </c>
      <c r="U2731" s="22">
        <f>MONTH(C2731)</f>
        <v/>
      </c>
      <c r="V2731" s="91" t="n"/>
      <c r="W2731" s="91" t="n"/>
      <c r="X2731" s="91" t="n"/>
      <c r="Y2731" s="91" t="n"/>
      <c r="Z2731" s="91" t="n"/>
    </row>
    <row r="2732" ht="12.75" customHeight="1" s="117">
      <c r="A2732" s="91" t="n"/>
      <c r="B2732" s="91" t="n"/>
      <c r="C2732" s="91" t="n"/>
      <c r="D2732" s="91" t="n"/>
      <c r="E2732" s="91" t="n"/>
      <c r="F2732" s="91" t="n"/>
      <c r="G2732" s="91" t="n"/>
      <c r="H2732" s="91" t="n"/>
      <c r="I2732" s="91" t="n"/>
      <c r="J2732" s="91" t="n"/>
      <c r="K2732" s="91" t="n"/>
      <c r="L2732" s="91" t="n"/>
      <c r="M2732" s="91" t="n"/>
      <c r="N2732" s="91" t="n"/>
      <c r="O2732" s="91" t="n"/>
      <c r="P2732" s="91" t="n"/>
      <c r="Q2732" s="91" t="n"/>
      <c r="R2732" s="91" t="n"/>
      <c r="S2732" s="91" t="n"/>
      <c r="T2732" s="25">
        <f>DAY(C2732)</f>
        <v/>
      </c>
      <c r="U2732" s="22">
        <f>MONTH(C2732)</f>
        <v/>
      </c>
      <c r="V2732" s="91" t="n"/>
      <c r="W2732" s="91" t="n"/>
      <c r="X2732" s="91" t="n"/>
      <c r="Y2732" s="91" t="n"/>
      <c r="Z2732" s="91" t="n"/>
    </row>
    <row r="2733" ht="12.75" customHeight="1" s="117">
      <c r="A2733" s="91" t="n"/>
      <c r="B2733" s="91" t="n"/>
      <c r="C2733" s="91" t="n"/>
      <c r="D2733" s="91" t="n"/>
      <c r="E2733" s="91" t="n"/>
      <c r="F2733" s="91" t="n"/>
      <c r="G2733" s="91" t="n"/>
      <c r="H2733" s="91" t="n"/>
      <c r="I2733" s="91" t="n"/>
      <c r="J2733" s="91" t="n"/>
      <c r="K2733" s="91" t="n"/>
      <c r="L2733" s="91" t="n"/>
      <c r="M2733" s="91" t="n"/>
      <c r="N2733" s="91" t="n"/>
      <c r="O2733" s="91" t="n"/>
      <c r="P2733" s="91" t="n"/>
      <c r="Q2733" s="91" t="n"/>
      <c r="R2733" s="91" t="n"/>
      <c r="S2733" s="91" t="n"/>
      <c r="T2733" s="25">
        <f>DAY(C2733)</f>
        <v/>
      </c>
      <c r="U2733" s="22">
        <f>MONTH(C2733)</f>
        <v/>
      </c>
      <c r="V2733" s="91" t="n"/>
      <c r="W2733" s="91" t="n"/>
      <c r="X2733" s="91" t="n"/>
      <c r="Y2733" s="91" t="n"/>
      <c r="Z2733" s="91" t="n"/>
    </row>
    <row r="2734" ht="12.75" customHeight="1" s="117">
      <c r="A2734" s="91" t="n"/>
      <c r="B2734" s="91" t="n"/>
      <c r="C2734" s="91" t="n"/>
      <c r="D2734" s="91" t="n"/>
      <c r="E2734" s="91" t="n"/>
      <c r="F2734" s="91" t="n"/>
      <c r="G2734" s="91" t="n"/>
      <c r="H2734" s="91" t="n"/>
      <c r="I2734" s="91" t="n"/>
      <c r="J2734" s="91" t="n"/>
      <c r="K2734" s="91" t="n"/>
      <c r="L2734" s="91" t="n"/>
      <c r="M2734" s="91" t="n"/>
      <c r="N2734" s="91" t="n"/>
      <c r="O2734" s="91" t="n"/>
      <c r="P2734" s="91" t="n"/>
      <c r="Q2734" s="91" t="n"/>
      <c r="R2734" s="91" t="n"/>
      <c r="S2734" s="91" t="n"/>
      <c r="T2734" s="25">
        <f>DAY(C2734)</f>
        <v/>
      </c>
      <c r="U2734" s="22">
        <f>MONTH(C2734)</f>
        <v/>
      </c>
      <c r="V2734" s="91" t="n"/>
      <c r="W2734" s="91" t="n"/>
      <c r="X2734" s="91" t="n"/>
      <c r="Y2734" s="91" t="n"/>
      <c r="Z2734" s="91" t="n"/>
    </row>
    <row r="2735" ht="12.75" customHeight="1" s="117">
      <c r="A2735" s="91" t="n"/>
      <c r="B2735" s="91" t="n"/>
      <c r="C2735" s="91" t="n"/>
      <c r="D2735" s="91" t="n"/>
      <c r="E2735" s="91" t="n"/>
      <c r="F2735" s="91" t="n"/>
      <c r="G2735" s="91" t="n"/>
      <c r="H2735" s="91" t="n"/>
      <c r="I2735" s="91" t="n"/>
      <c r="J2735" s="91" t="n"/>
      <c r="K2735" s="91" t="n"/>
      <c r="L2735" s="91" t="n"/>
      <c r="M2735" s="91" t="n"/>
      <c r="N2735" s="91" t="n"/>
      <c r="O2735" s="91" t="n"/>
      <c r="P2735" s="91" t="n"/>
      <c r="Q2735" s="91" t="n"/>
      <c r="R2735" s="91" t="n"/>
      <c r="S2735" s="91" t="n"/>
      <c r="T2735" s="25">
        <f>DAY(C2735)</f>
        <v/>
      </c>
      <c r="U2735" s="22">
        <f>MONTH(C2735)</f>
        <v/>
      </c>
      <c r="V2735" s="91" t="n"/>
      <c r="W2735" s="91" t="n"/>
      <c r="X2735" s="91" t="n"/>
      <c r="Y2735" s="91" t="n"/>
      <c r="Z2735" s="91" t="n"/>
    </row>
    <row r="2736" ht="12.75" customHeight="1" s="117">
      <c r="A2736" s="91" t="n"/>
      <c r="B2736" s="91" t="n"/>
      <c r="C2736" s="91" t="n"/>
      <c r="D2736" s="91" t="n"/>
      <c r="E2736" s="91" t="n"/>
      <c r="F2736" s="91" t="n"/>
      <c r="G2736" s="91" t="n"/>
      <c r="H2736" s="91" t="n"/>
      <c r="I2736" s="91" t="n"/>
      <c r="J2736" s="91" t="n"/>
      <c r="K2736" s="91" t="n"/>
      <c r="L2736" s="91" t="n"/>
      <c r="M2736" s="91" t="n"/>
      <c r="N2736" s="91" t="n"/>
      <c r="O2736" s="91" t="n"/>
      <c r="P2736" s="91" t="n"/>
      <c r="Q2736" s="91" t="n"/>
      <c r="R2736" s="91" t="n"/>
      <c r="S2736" s="91" t="n"/>
      <c r="T2736" s="25">
        <f>DAY(C2736)</f>
        <v/>
      </c>
      <c r="U2736" s="22">
        <f>MONTH(C2736)</f>
        <v/>
      </c>
      <c r="V2736" s="91" t="n"/>
      <c r="W2736" s="91" t="n"/>
      <c r="X2736" s="91" t="n"/>
      <c r="Y2736" s="91" t="n"/>
      <c r="Z2736" s="91" t="n"/>
    </row>
    <row r="2737" ht="12.75" customHeight="1" s="117">
      <c r="A2737" s="91" t="n"/>
      <c r="B2737" s="91" t="n"/>
      <c r="C2737" s="91" t="n"/>
      <c r="D2737" s="91" t="n"/>
      <c r="E2737" s="91" t="n"/>
      <c r="F2737" s="91" t="n"/>
      <c r="G2737" s="91" t="n"/>
      <c r="H2737" s="91" t="n"/>
      <c r="I2737" s="91" t="n"/>
      <c r="J2737" s="91" t="n"/>
      <c r="K2737" s="91" t="n"/>
      <c r="L2737" s="91" t="n"/>
      <c r="M2737" s="91" t="n"/>
      <c r="N2737" s="91" t="n"/>
      <c r="O2737" s="91" t="n"/>
      <c r="P2737" s="91" t="n"/>
      <c r="Q2737" s="91" t="n"/>
      <c r="R2737" s="91" t="n"/>
      <c r="S2737" s="91" t="n"/>
      <c r="T2737" s="25">
        <f>DAY(C2737)</f>
        <v/>
      </c>
      <c r="U2737" s="22">
        <f>MONTH(C2737)</f>
        <v/>
      </c>
      <c r="V2737" s="91" t="n"/>
      <c r="W2737" s="91" t="n"/>
      <c r="X2737" s="91" t="n"/>
      <c r="Y2737" s="91" t="n"/>
      <c r="Z2737" s="91" t="n"/>
    </row>
    <row r="2738" ht="12.75" customHeight="1" s="117">
      <c r="A2738" s="91" t="n"/>
      <c r="B2738" s="91" t="n"/>
      <c r="C2738" s="91" t="n"/>
      <c r="D2738" s="91" t="n"/>
      <c r="E2738" s="91" t="n"/>
      <c r="F2738" s="91" t="n"/>
      <c r="G2738" s="91" t="n"/>
      <c r="H2738" s="91" t="n"/>
      <c r="I2738" s="91" t="n"/>
      <c r="J2738" s="91" t="n"/>
      <c r="K2738" s="91" t="n"/>
      <c r="L2738" s="91" t="n"/>
      <c r="M2738" s="91" t="n"/>
      <c r="N2738" s="91" t="n"/>
      <c r="O2738" s="91" t="n"/>
      <c r="P2738" s="91" t="n"/>
      <c r="Q2738" s="91" t="n"/>
      <c r="R2738" s="91" t="n"/>
      <c r="S2738" s="91" t="n"/>
      <c r="T2738" s="25">
        <f>DAY(C2738)</f>
        <v/>
      </c>
      <c r="U2738" s="22">
        <f>MONTH(C2738)</f>
        <v/>
      </c>
      <c r="V2738" s="91" t="n"/>
      <c r="W2738" s="91" t="n"/>
      <c r="X2738" s="91" t="n"/>
      <c r="Y2738" s="91" t="n"/>
      <c r="Z2738" s="91" t="n"/>
    </row>
    <row r="2739" ht="12.75" customHeight="1" s="117">
      <c r="A2739" s="91" t="n"/>
      <c r="B2739" s="91" t="n"/>
      <c r="C2739" s="91" t="n"/>
      <c r="D2739" s="91" t="n"/>
      <c r="E2739" s="91" t="n"/>
      <c r="F2739" s="91" t="n"/>
      <c r="G2739" s="91" t="n"/>
      <c r="H2739" s="91" t="n"/>
      <c r="I2739" s="91" t="n"/>
      <c r="J2739" s="91" t="n"/>
      <c r="K2739" s="91" t="n"/>
      <c r="L2739" s="91" t="n"/>
      <c r="M2739" s="91" t="n"/>
      <c r="N2739" s="91" t="n"/>
      <c r="O2739" s="91" t="n"/>
      <c r="P2739" s="91" t="n"/>
      <c r="Q2739" s="91" t="n"/>
      <c r="R2739" s="91" t="n"/>
      <c r="S2739" s="91" t="n"/>
      <c r="T2739" s="25">
        <f>DAY(C2739)</f>
        <v/>
      </c>
      <c r="U2739" s="22">
        <f>MONTH(C2739)</f>
        <v/>
      </c>
      <c r="V2739" s="91" t="n"/>
      <c r="W2739" s="91" t="n"/>
      <c r="X2739" s="91" t="n"/>
      <c r="Y2739" s="91" t="n"/>
      <c r="Z2739" s="91" t="n"/>
    </row>
    <row r="2740" ht="12.75" customHeight="1" s="117">
      <c r="A2740" s="91" t="n"/>
      <c r="B2740" s="91" t="n"/>
      <c r="C2740" s="91" t="n"/>
      <c r="D2740" s="91" t="n"/>
      <c r="E2740" s="91" t="n"/>
      <c r="F2740" s="91" t="n"/>
      <c r="G2740" s="91" t="n"/>
      <c r="H2740" s="91" t="n"/>
      <c r="I2740" s="91" t="n"/>
      <c r="J2740" s="91" t="n"/>
      <c r="K2740" s="91" t="n"/>
      <c r="L2740" s="91" t="n"/>
      <c r="M2740" s="91" t="n"/>
      <c r="N2740" s="91" t="n"/>
      <c r="O2740" s="91" t="n"/>
      <c r="P2740" s="91" t="n"/>
      <c r="Q2740" s="91" t="n"/>
      <c r="R2740" s="91" t="n"/>
      <c r="S2740" s="91" t="n"/>
      <c r="T2740" s="25">
        <f>DAY(C2740)</f>
        <v/>
      </c>
      <c r="U2740" s="22">
        <f>MONTH(C2740)</f>
        <v/>
      </c>
      <c r="V2740" s="91" t="n"/>
      <c r="W2740" s="91" t="n"/>
      <c r="X2740" s="91" t="n"/>
      <c r="Y2740" s="91" t="n"/>
      <c r="Z2740" s="91" t="n"/>
    </row>
    <row r="2741" ht="12.75" customHeight="1" s="117">
      <c r="A2741" s="91" t="n"/>
      <c r="B2741" s="91" t="n"/>
      <c r="C2741" s="91" t="n"/>
      <c r="D2741" s="91" t="n"/>
      <c r="E2741" s="91" t="n"/>
      <c r="F2741" s="91" t="n"/>
      <c r="G2741" s="91" t="n"/>
      <c r="H2741" s="91" t="n"/>
      <c r="I2741" s="91" t="n"/>
      <c r="J2741" s="91" t="n"/>
      <c r="K2741" s="91" t="n"/>
      <c r="L2741" s="91" t="n"/>
      <c r="M2741" s="91" t="n"/>
      <c r="N2741" s="91" t="n"/>
      <c r="O2741" s="91" t="n"/>
      <c r="P2741" s="91" t="n"/>
      <c r="Q2741" s="91" t="n"/>
      <c r="R2741" s="91" t="n"/>
      <c r="S2741" s="91" t="n"/>
      <c r="T2741" s="25">
        <f>DAY(C2741)</f>
        <v/>
      </c>
      <c r="U2741" s="22">
        <f>MONTH(C2741)</f>
        <v/>
      </c>
      <c r="V2741" s="91" t="n"/>
      <c r="W2741" s="91" t="n"/>
      <c r="X2741" s="91" t="n"/>
      <c r="Y2741" s="91" t="n"/>
      <c r="Z2741" s="91" t="n"/>
    </row>
    <row r="2742" ht="12.75" customHeight="1" s="117">
      <c r="A2742" s="91" t="n"/>
      <c r="B2742" s="91" t="n"/>
      <c r="C2742" s="91" t="n"/>
      <c r="D2742" s="91" t="n"/>
      <c r="E2742" s="91" t="n"/>
      <c r="F2742" s="91" t="n"/>
      <c r="G2742" s="91" t="n"/>
      <c r="H2742" s="91" t="n"/>
      <c r="I2742" s="91" t="n"/>
      <c r="J2742" s="91" t="n"/>
      <c r="K2742" s="91" t="n"/>
      <c r="L2742" s="91" t="n"/>
      <c r="M2742" s="91" t="n"/>
      <c r="N2742" s="91" t="n"/>
      <c r="O2742" s="91" t="n"/>
      <c r="P2742" s="91" t="n"/>
      <c r="Q2742" s="91" t="n"/>
      <c r="R2742" s="91" t="n"/>
      <c r="S2742" s="91" t="n"/>
      <c r="T2742" s="25">
        <f>DAY(C2742)</f>
        <v/>
      </c>
      <c r="U2742" s="22">
        <f>MONTH(C2742)</f>
        <v/>
      </c>
      <c r="V2742" s="91" t="n"/>
      <c r="W2742" s="91" t="n"/>
      <c r="X2742" s="91" t="n"/>
      <c r="Y2742" s="91" t="n"/>
      <c r="Z2742" s="91" t="n"/>
    </row>
    <row r="2743" ht="12.75" customHeight="1" s="117">
      <c r="A2743" s="91" t="n"/>
      <c r="B2743" s="91" t="n"/>
      <c r="C2743" s="91" t="n"/>
      <c r="D2743" s="91" t="n"/>
      <c r="E2743" s="91" t="n"/>
      <c r="F2743" s="91" t="n"/>
      <c r="G2743" s="91" t="n"/>
      <c r="H2743" s="91" t="n"/>
      <c r="I2743" s="91" t="n"/>
      <c r="J2743" s="91" t="n"/>
      <c r="K2743" s="91" t="n"/>
      <c r="L2743" s="91" t="n"/>
      <c r="M2743" s="91" t="n"/>
      <c r="N2743" s="91" t="n"/>
      <c r="O2743" s="91" t="n"/>
      <c r="P2743" s="91" t="n"/>
      <c r="Q2743" s="91" t="n"/>
      <c r="R2743" s="91" t="n"/>
      <c r="S2743" s="91" t="n"/>
      <c r="T2743" s="25">
        <f>DAY(C2743)</f>
        <v/>
      </c>
      <c r="U2743" s="22">
        <f>MONTH(C2743)</f>
        <v/>
      </c>
      <c r="V2743" s="91" t="n"/>
      <c r="W2743" s="91" t="n"/>
      <c r="X2743" s="91" t="n"/>
      <c r="Y2743" s="91" t="n"/>
      <c r="Z2743" s="91" t="n"/>
    </row>
    <row r="2744" ht="12.75" customHeight="1" s="117">
      <c r="A2744" s="91" t="n"/>
      <c r="B2744" s="91" t="n"/>
      <c r="C2744" s="91" t="n"/>
      <c r="D2744" s="91" t="n"/>
      <c r="E2744" s="91" t="n"/>
      <c r="F2744" s="91" t="n"/>
      <c r="G2744" s="91" t="n"/>
      <c r="H2744" s="91" t="n"/>
      <c r="I2744" s="91" t="n"/>
      <c r="J2744" s="91" t="n"/>
      <c r="K2744" s="91" t="n"/>
      <c r="L2744" s="91" t="n"/>
      <c r="M2744" s="91" t="n"/>
      <c r="N2744" s="91" t="n"/>
      <c r="O2744" s="91" t="n"/>
      <c r="P2744" s="91" t="n"/>
      <c r="Q2744" s="91" t="n"/>
      <c r="R2744" s="91" t="n"/>
      <c r="S2744" s="91" t="n"/>
      <c r="T2744" s="25">
        <f>DAY(C2744)</f>
        <v/>
      </c>
      <c r="U2744" s="22">
        <f>MONTH(C2744)</f>
        <v/>
      </c>
      <c r="V2744" s="91" t="n"/>
      <c r="W2744" s="91" t="n"/>
      <c r="X2744" s="91" t="n"/>
      <c r="Y2744" s="91" t="n"/>
      <c r="Z2744" s="91" t="n"/>
    </row>
    <row r="2745" ht="12.75" customHeight="1" s="117">
      <c r="A2745" s="91" t="n"/>
      <c r="B2745" s="91" t="n"/>
      <c r="C2745" s="91" t="n"/>
      <c r="D2745" s="91" t="n"/>
      <c r="E2745" s="91" t="n"/>
      <c r="F2745" s="91" t="n"/>
      <c r="G2745" s="91" t="n"/>
      <c r="H2745" s="91" t="n"/>
      <c r="I2745" s="91" t="n"/>
      <c r="J2745" s="91" t="n"/>
      <c r="K2745" s="91" t="n"/>
      <c r="L2745" s="91" t="n"/>
      <c r="M2745" s="91" t="n"/>
      <c r="N2745" s="91" t="n"/>
      <c r="O2745" s="91" t="n"/>
      <c r="P2745" s="91" t="n"/>
      <c r="Q2745" s="91" t="n"/>
      <c r="R2745" s="91" t="n"/>
      <c r="S2745" s="91" t="n"/>
      <c r="T2745" s="25">
        <f>DAY(C2745)</f>
        <v/>
      </c>
      <c r="U2745" s="22">
        <f>MONTH(C2745)</f>
        <v/>
      </c>
      <c r="V2745" s="91" t="n"/>
      <c r="W2745" s="91" t="n"/>
      <c r="X2745" s="91" t="n"/>
      <c r="Y2745" s="91" t="n"/>
      <c r="Z2745" s="91" t="n"/>
    </row>
    <row r="2746" ht="12.75" customHeight="1" s="117">
      <c r="A2746" s="91" t="n"/>
      <c r="B2746" s="91" t="n"/>
      <c r="C2746" s="91" t="n"/>
      <c r="D2746" s="91" t="n"/>
      <c r="E2746" s="91" t="n"/>
      <c r="F2746" s="91" t="n"/>
      <c r="G2746" s="91" t="n"/>
      <c r="H2746" s="91" t="n"/>
      <c r="I2746" s="91" t="n"/>
      <c r="J2746" s="91" t="n"/>
      <c r="K2746" s="91" t="n"/>
      <c r="L2746" s="91" t="n"/>
      <c r="M2746" s="91" t="n"/>
      <c r="N2746" s="91" t="n"/>
      <c r="O2746" s="91" t="n"/>
      <c r="P2746" s="91" t="n"/>
      <c r="Q2746" s="91" t="n"/>
      <c r="R2746" s="91" t="n"/>
      <c r="S2746" s="91" t="n"/>
      <c r="T2746" s="25">
        <f>DAY(C2746)</f>
        <v/>
      </c>
      <c r="U2746" s="22">
        <f>MONTH(C2746)</f>
        <v/>
      </c>
      <c r="V2746" s="91" t="n"/>
      <c r="W2746" s="91" t="n"/>
      <c r="X2746" s="91" t="n"/>
      <c r="Y2746" s="91" t="n"/>
      <c r="Z2746" s="91" t="n"/>
    </row>
    <row r="2747" ht="12.75" customHeight="1" s="117">
      <c r="A2747" s="91" t="n"/>
      <c r="B2747" s="91" t="n"/>
      <c r="C2747" s="91" t="n"/>
      <c r="D2747" s="91" t="n"/>
      <c r="E2747" s="91" t="n"/>
      <c r="F2747" s="91" t="n"/>
      <c r="G2747" s="91" t="n"/>
      <c r="H2747" s="91" t="n"/>
      <c r="I2747" s="91" t="n"/>
      <c r="J2747" s="91" t="n"/>
      <c r="K2747" s="91" t="n"/>
      <c r="L2747" s="91" t="n"/>
      <c r="M2747" s="91" t="n"/>
      <c r="N2747" s="91" t="n"/>
      <c r="O2747" s="91" t="n"/>
      <c r="P2747" s="91" t="n"/>
      <c r="Q2747" s="91" t="n"/>
      <c r="R2747" s="91" t="n"/>
      <c r="S2747" s="91" t="n"/>
      <c r="T2747" s="25">
        <f>DAY(C2747)</f>
        <v/>
      </c>
      <c r="U2747" s="22">
        <f>MONTH(C2747)</f>
        <v/>
      </c>
      <c r="V2747" s="91" t="n"/>
      <c r="W2747" s="91" t="n"/>
      <c r="X2747" s="91" t="n"/>
      <c r="Y2747" s="91" t="n"/>
      <c r="Z2747" s="91" t="n"/>
    </row>
    <row r="2748" ht="12.75" customHeight="1" s="117">
      <c r="A2748" s="91" t="n"/>
      <c r="B2748" s="91" t="n"/>
      <c r="C2748" s="91" t="n"/>
      <c r="D2748" s="91" t="n"/>
      <c r="E2748" s="91" t="n"/>
      <c r="F2748" s="91" t="n"/>
      <c r="G2748" s="91" t="n"/>
      <c r="H2748" s="91" t="n"/>
      <c r="I2748" s="91" t="n"/>
      <c r="J2748" s="91" t="n"/>
      <c r="K2748" s="91" t="n"/>
      <c r="L2748" s="91" t="n"/>
      <c r="M2748" s="91" t="n"/>
      <c r="N2748" s="91" t="n"/>
      <c r="O2748" s="91" t="n"/>
      <c r="P2748" s="91" t="n"/>
      <c r="Q2748" s="91" t="n"/>
      <c r="R2748" s="91" t="n"/>
      <c r="S2748" s="91" t="n"/>
      <c r="T2748" s="25">
        <f>DAY(C2748)</f>
        <v/>
      </c>
      <c r="U2748" s="22">
        <f>MONTH(C2748)</f>
        <v/>
      </c>
      <c r="V2748" s="91" t="n"/>
      <c r="W2748" s="91" t="n"/>
      <c r="X2748" s="91" t="n"/>
      <c r="Y2748" s="91" t="n"/>
      <c r="Z2748" s="91" t="n"/>
    </row>
    <row r="2749" ht="12.75" customHeight="1" s="117">
      <c r="A2749" s="91" t="n"/>
      <c r="B2749" s="91" t="n"/>
      <c r="C2749" s="91" t="n"/>
      <c r="D2749" s="91" t="n"/>
      <c r="E2749" s="91" t="n"/>
      <c r="F2749" s="91" t="n"/>
      <c r="G2749" s="91" t="n"/>
      <c r="H2749" s="91" t="n"/>
      <c r="I2749" s="91" t="n"/>
      <c r="J2749" s="91" t="n"/>
      <c r="K2749" s="91" t="n"/>
      <c r="L2749" s="91" t="n"/>
      <c r="M2749" s="91" t="n"/>
      <c r="N2749" s="91" t="n"/>
      <c r="O2749" s="91" t="n"/>
      <c r="P2749" s="91" t="n"/>
      <c r="Q2749" s="91" t="n"/>
      <c r="R2749" s="91" t="n"/>
      <c r="S2749" s="91" t="n"/>
      <c r="T2749" s="25">
        <f>DAY(C2749)</f>
        <v/>
      </c>
      <c r="U2749" s="22">
        <f>MONTH(C2749)</f>
        <v/>
      </c>
      <c r="V2749" s="91" t="n"/>
      <c r="W2749" s="91" t="n"/>
      <c r="X2749" s="91" t="n"/>
      <c r="Y2749" s="91" t="n"/>
      <c r="Z2749" s="91" t="n"/>
    </row>
    <row r="2750" ht="12.75" customHeight="1" s="117">
      <c r="A2750" s="91" t="n"/>
      <c r="B2750" s="91" t="n"/>
      <c r="C2750" s="91" t="n"/>
      <c r="D2750" s="91" t="n"/>
      <c r="E2750" s="91" t="n"/>
      <c r="F2750" s="91" t="n"/>
      <c r="G2750" s="91" t="n"/>
      <c r="H2750" s="91" t="n"/>
      <c r="I2750" s="91" t="n"/>
      <c r="J2750" s="91" t="n"/>
      <c r="K2750" s="91" t="n"/>
      <c r="L2750" s="91" t="n"/>
      <c r="M2750" s="91" t="n"/>
      <c r="N2750" s="91" t="n"/>
      <c r="O2750" s="91" t="n"/>
      <c r="P2750" s="91" t="n"/>
      <c r="Q2750" s="91" t="n"/>
      <c r="R2750" s="91" t="n"/>
      <c r="S2750" s="91" t="n"/>
      <c r="T2750" s="25">
        <f>DAY(C2750)</f>
        <v/>
      </c>
      <c r="U2750" s="22">
        <f>MONTH(C2750)</f>
        <v/>
      </c>
      <c r="V2750" s="91" t="n"/>
      <c r="W2750" s="91" t="n"/>
      <c r="X2750" s="91" t="n"/>
      <c r="Y2750" s="91" t="n"/>
      <c r="Z2750" s="91" t="n"/>
    </row>
    <row r="2751" ht="12.75" customHeight="1" s="117">
      <c r="A2751" s="91" t="n"/>
      <c r="B2751" s="91" t="n"/>
      <c r="C2751" s="91" t="n"/>
      <c r="D2751" s="91" t="n"/>
      <c r="E2751" s="91" t="n"/>
      <c r="F2751" s="91" t="n"/>
      <c r="G2751" s="91" t="n"/>
      <c r="H2751" s="91" t="n"/>
      <c r="I2751" s="91" t="n"/>
      <c r="J2751" s="91" t="n"/>
      <c r="K2751" s="91" t="n"/>
      <c r="L2751" s="91" t="n"/>
      <c r="M2751" s="91" t="n"/>
      <c r="N2751" s="91" t="n"/>
      <c r="O2751" s="91" t="n"/>
      <c r="P2751" s="91" t="n"/>
      <c r="Q2751" s="91" t="n"/>
      <c r="R2751" s="91" t="n"/>
      <c r="S2751" s="91" t="n"/>
      <c r="T2751" s="25">
        <f>DAY(C2751)</f>
        <v/>
      </c>
      <c r="U2751" s="22">
        <f>MONTH(C2751)</f>
        <v/>
      </c>
      <c r="V2751" s="91" t="n"/>
      <c r="W2751" s="91" t="n"/>
      <c r="X2751" s="91" t="n"/>
      <c r="Y2751" s="91" t="n"/>
      <c r="Z2751" s="91" t="n"/>
    </row>
    <row r="2752" ht="12.75" customHeight="1" s="117">
      <c r="A2752" s="91" t="n"/>
      <c r="B2752" s="91" t="n"/>
      <c r="C2752" s="91" t="n"/>
      <c r="D2752" s="91" t="n"/>
      <c r="E2752" s="91" t="n"/>
      <c r="F2752" s="91" t="n"/>
      <c r="G2752" s="91" t="n"/>
      <c r="H2752" s="91" t="n"/>
      <c r="I2752" s="91" t="n"/>
      <c r="J2752" s="91" t="n"/>
      <c r="K2752" s="91" t="n"/>
      <c r="L2752" s="91" t="n"/>
      <c r="M2752" s="91" t="n"/>
      <c r="N2752" s="91" t="n"/>
      <c r="O2752" s="91" t="n"/>
      <c r="P2752" s="91" t="n"/>
      <c r="Q2752" s="91" t="n"/>
      <c r="R2752" s="91" t="n"/>
      <c r="S2752" s="91" t="n"/>
      <c r="T2752" s="25">
        <f>DAY(C2752)</f>
        <v/>
      </c>
      <c r="U2752" s="22">
        <f>MONTH(C2752)</f>
        <v/>
      </c>
      <c r="V2752" s="91" t="n"/>
      <c r="W2752" s="91" t="n"/>
      <c r="X2752" s="91" t="n"/>
      <c r="Y2752" s="91" t="n"/>
      <c r="Z2752" s="91" t="n"/>
    </row>
    <row r="2753" ht="12.75" customHeight="1" s="117">
      <c r="A2753" s="91" t="n"/>
      <c r="B2753" s="91" t="n"/>
      <c r="C2753" s="91" t="n"/>
      <c r="D2753" s="91" t="n"/>
      <c r="E2753" s="91" t="n"/>
      <c r="F2753" s="91" t="n"/>
      <c r="G2753" s="91" t="n"/>
      <c r="H2753" s="91" t="n"/>
      <c r="I2753" s="91" t="n"/>
      <c r="J2753" s="91" t="n"/>
      <c r="K2753" s="91" t="n"/>
      <c r="L2753" s="91" t="n"/>
      <c r="M2753" s="91" t="n"/>
      <c r="N2753" s="91" t="n"/>
      <c r="O2753" s="91" t="n"/>
      <c r="P2753" s="91" t="n"/>
      <c r="Q2753" s="91" t="n"/>
      <c r="R2753" s="91" t="n"/>
      <c r="S2753" s="91" t="n"/>
      <c r="T2753" s="25">
        <f>DAY(C2753)</f>
        <v/>
      </c>
      <c r="U2753" s="22">
        <f>MONTH(C2753)</f>
        <v/>
      </c>
      <c r="V2753" s="91" t="n"/>
      <c r="W2753" s="91" t="n"/>
      <c r="X2753" s="91" t="n"/>
      <c r="Y2753" s="91" t="n"/>
      <c r="Z2753" s="91" t="n"/>
    </row>
    <row r="2754" ht="12.75" customHeight="1" s="117">
      <c r="A2754" s="91" t="n"/>
      <c r="B2754" s="91" t="n"/>
      <c r="C2754" s="91" t="n"/>
      <c r="D2754" s="91" t="n"/>
      <c r="E2754" s="91" t="n"/>
      <c r="F2754" s="91" t="n"/>
      <c r="G2754" s="91" t="n"/>
      <c r="H2754" s="91" t="n"/>
      <c r="I2754" s="91" t="n"/>
      <c r="J2754" s="91" t="n"/>
      <c r="K2754" s="91" t="n"/>
      <c r="L2754" s="91" t="n"/>
      <c r="M2754" s="91" t="n"/>
      <c r="N2754" s="91" t="n"/>
      <c r="O2754" s="91" t="n"/>
      <c r="P2754" s="91" t="n"/>
      <c r="Q2754" s="91" t="n"/>
      <c r="R2754" s="91" t="n"/>
      <c r="S2754" s="91" t="n"/>
      <c r="T2754" s="25">
        <f>DAY(C2754)</f>
        <v/>
      </c>
      <c r="U2754" s="22">
        <f>MONTH(C2754)</f>
        <v/>
      </c>
      <c r="V2754" s="91" t="n"/>
      <c r="W2754" s="91" t="n"/>
      <c r="X2754" s="91" t="n"/>
      <c r="Y2754" s="91" t="n"/>
      <c r="Z2754" s="91" t="n"/>
    </row>
    <row r="2755" ht="12.75" customHeight="1" s="117">
      <c r="A2755" s="91" t="n"/>
      <c r="B2755" s="91" t="n"/>
      <c r="C2755" s="91" t="n"/>
      <c r="D2755" s="91" t="n"/>
      <c r="E2755" s="91" t="n"/>
      <c r="F2755" s="91" t="n"/>
      <c r="G2755" s="91" t="n"/>
      <c r="H2755" s="91" t="n"/>
      <c r="I2755" s="91" t="n"/>
      <c r="J2755" s="91" t="n"/>
      <c r="K2755" s="91" t="n"/>
      <c r="L2755" s="91" t="n"/>
      <c r="M2755" s="91" t="n"/>
      <c r="N2755" s="91" t="n"/>
      <c r="O2755" s="91" t="n"/>
      <c r="P2755" s="91" t="n"/>
      <c r="Q2755" s="91" t="n"/>
      <c r="R2755" s="91" t="n"/>
      <c r="S2755" s="91" t="n"/>
      <c r="T2755" s="25">
        <f>DAY(C2755)</f>
        <v/>
      </c>
      <c r="U2755" s="22">
        <f>MONTH(C2755)</f>
        <v/>
      </c>
      <c r="V2755" s="91" t="n"/>
      <c r="W2755" s="91" t="n"/>
      <c r="X2755" s="91" t="n"/>
      <c r="Y2755" s="91" t="n"/>
      <c r="Z2755" s="91" t="n"/>
    </row>
    <row r="2756" ht="12.75" customHeight="1" s="117">
      <c r="A2756" s="91" t="n"/>
      <c r="B2756" s="91" t="n"/>
      <c r="C2756" s="91" t="n"/>
      <c r="D2756" s="91" t="n"/>
      <c r="E2756" s="91" t="n"/>
      <c r="F2756" s="91" t="n"/>
      <c r="G2756" s="91" t="n"/>
      <c r="H2756" s="91" t="n"/>
      <c r="I2756" s="91" t="n"/>
      <c r="J2756" s="91" t="n"/>
      <c r="K2756" s="91" t="n"/>
      <c r="L2756" s="91" t="n"/>
      <c r="M2756" s="91" t="n"/>
      <c r="N2756" s="91" t="n"/>
      <c r="O2756" s="91" t="n"/>
      <c r="P2756" s="91" t="n"/>
      <c r="Q2756" s="91" t="n"/>
      <c r="R2756" s="91" t="n"/>
      <c r="S2756" s="91" t="n"/>
      <c r="T2756" s="25">
        <f>DAY(C2756)</f>
        <v/>
      </c>
      <c r="U2756" s="22">
        <f>MONTH(C2756)</f>
        <v/>
      </c>
      <c r="V2756" s="91" t="n"/>
      <c r="W2756" s="91" t="n"/>
      <c r="X2756" s="91" t="n"/>
      <c r="Y2756" s="91" t="n"/>
      <c r="Z2756" s="91" t="n"/>
    </row>
    <row r="2757" ht="12.75" customHeight="1" s="117">
      <c r="A2757" s="91" t="n"/>
      <c r="B2757" s="91" t="n"/>
      <c r="C2757" s="91" t="n"/>
      <c r="D2757" s="91" t="n"/>
      <c r="E2757" s="91" t="n"/>
      <c r="F2757" s="91" t="n"/>
      <c r="G2757" s="91" t="n"/>
      <c r="H2757" s="91" t="n"/>
      <c r="I2757" s="91" t="n"/>
      <c r="J2757" s="91" t="n"/>
      <c r="K2757" s="91" t="n"/>
      <c r="L2757" s="91" t="n"/>
      <c r="M2757" s="91" t="n"/>
      <c r="N2757" s="91" t="n"/>
      <c r="O2757" s="91" t="n"/>
      <c r="P2757" s="91" t="n"/>
      <c r="Q2757" s="91" t="n"/>
      <c r="R2757" s="91" t="n"/>
      <c r="S2757" s="91" t="n"/>
      <c r="T2757" s="25">
        <f>DAY(C2757)</f>
        <v/>
      </c>
      <c r="U2757" s="22">
        <f>MONTH(C2757)</f>
        <v/>
      </c>
      <c r="V2757" s="91" t="n"/>
      <c r="W2757" s="91" t="n"/>
      <c r="X2757" s="91" t="n"/>
      <c r="Y2757" s="91" t="n"/>
      <c r="Z2757" s="91" t="n"/>
    </row>
    <row r="2758" ht="12.75" customHeight="1" s="117">
      <c r="A2758" s="91" t="n"/>
      <c r="B2758" s="91" t="n"/>
      <c r="C2758" s="91" t="n"/>
      <c r="D2758" s="91" t="n"/>
      <c r="E2758" s="91" t="n"/>
      <c r="F2758" s="91" t="n"/>
      <c r="G2758" s="91" t="n"/>
      <c r="H2758" s="91" t="n"/>
      <c r="I2758" s="91" t="n"/>
      <c r="J2758" s="91" t="n"/>
      <c r="K2758" s="91" t="n"/>
      <c r="L2758" s="91" t="n"/>
      <c r="M2758" s="91" t="n"/>
      <c r="N2758" s="91" t="n"/>
      <c r="O2758" s="91" t="n"/>
      <c r="P2758" s="91" t="n"/>
      <c r="Q2758" s="91" t="n"/>
      <c r="R2758" s="91" t="n"/>
      <c r="S2758" s="91" t="n"/>
      <c r="T2758" s="25">
        <f>DAY(C2758)</f>
        <v/>
      </c>
      <c r="U2758" s="22">
        <f>MONTH(C2758)</f>
        <v/>
      </c>
      <c r="V2758" s="91" t="n"/>
      <c r="W2758" s="91" t="n"/>
      <c r="X2758" s="91" t="n"/>
      <c r="Y2758" s="91" t="n"/>
      <c r="Z2758" s="91" t="n"/>
    </row>
    <row r="2759" ht="12.75" customHeight="1" s="117">
      <c r="A2759" s="91" t="n"/>
      <c r="B2759" s="91" t="n"/>
      <c r="C2759" s="91" t="n"/>
      <c r="D2759" s="91" t="n"/>
      <c r="E2759" s="91" t="n"/>
      <c r="F2759" s="91" t="n"/>
      <c r="G2759" s="91" t="n"/>
      <c r="H2759" s="91" t="n"/>
      <c r="I2759" s="91" t="n"/>
      <c r="J2759" s="91" t="n"/>
      <c r="K2759" s="91" t="n"/>
      <c r="L2759" s="91" t="n"/>
      <c r="M2759" s="91" t="n"/>
      <c r="N2759" s="91" t="n"/>
      <c r="O2759" s="91" t="n"/>
      <c r="P2759" s="91" t="n"/>
      <c r="Q2759" s="91" t="n"/>
      <c r="R2759" s="91" t="n"/>
      <c r="S2759" s="91" t="n"/>
      <c r="T2759" s="25">
        <f>DAY(C2759)</f>
        <v/>
      </c>
      <c r="U2759" s="22">
        <f>MONTH(C2759)</f>
        <v/>
      </c>
      <c r="V2759" s="91" t="n"/>
      <c r="W2759" s="91" t="n"/>
      <c r="X2759" s="91" t="n"/>
      <c r="Y2759" s="91" t="n"/>
      <c r="Z2759" s="91" t="n"/>
    </row>
    <row r="2760" ht="12.75" customHeight="1" s="117">
      <c r="A2760" s="91" t="n"/>
      <c r="B2760" s="91" t="n"/>
      <c r="C2760" s="91" t="n"/>
      <c r="D2760" s="91" t="n"/>
      <c r="E2760" s="91" t="n"/>
      <c r="F2760" s="91" t="n"/>
      <c r="G2760" s="91" t="n"/>
      <c r="H2760" s="91" t="n"/>
      <c r="I2760" s="91" t="n"/>
      <c r="J2760" s="91" t="n"/>
      <c r="K2760" s="91" t="n"/>
      <c r="L2760" s="91" t="n"/>
      <c r="M2760" s="91" t="n"/>
      <c r="N2760" s="91" t="n"/>
      <c r="O2760" s="91" t="n"/>
      <c r="P2760" s="91" t="n"/>
      <c r="Q2760" s="91" t="n"/>
      <c r="R2760" s="91" t="n"/>
      <c r="S2760" s="91" t="n"/>
      <c r="T2760" s="25">
        <f>DAY(C2760)</f>
        <v/>
      </c>
      <c r="U2760" s="22">
        <f>MONTH(C2760)</f>
        <v/>
      </c>
      <c r="V2760" s="91" t="n"/>
      <c r="W2760" s="91" t="n"/>
      <c r="X2760" s="91" t="n"/>
      <c r="Y2760" s="91" t="n"/>
      <c r="Z2760" s="91" t="n"/>
    </row>
    <row r="2761" ht="12.75" customHeight="1" s="117">
      <c r="A2761" s="91" t="n"/>
      <c r="B2761" s="91" t="n"/>
      <c r="C2761" s="91" t="n"/>
      <c r="D2761" s="91" t="n"/>
      <c r="E2761" s="91" t="n"/>
      <c r="F2761" s="91" t="n"/>
      <c r="G2761" s="91" t="n"/>
      <c r="H2761" s="91" t="n"/>
      <c r="I2761" s="91" t="n"/>
      <c r="J2761" s="91" t="n"/>
      <c r="K2761" s="91" t="n"/>
      <c r="L2761" s="91" t="n"/>
      <c r="M2761" s="91" t="n"/>
      <c r="N2761" s="91" t="n"/>
      <c r="O2761" s="91" t="n"/>
      <c r="P2761" s="91" t="n"/>
      <c r="Q2761" s="91" t="n"/>
      <c r="R2761" s="91" t="n"/>
      <c r="S2761" s="91" t="n"/>
      <c r="T2761" s="25">
        <f>DAY(C2761)</f>
        <v/>
      </c>
      <c r="U2761" s="22">
        <f>MONTH(C2761)</f>
        <v/>
      </c>
      <c r="V2761" s="91" t="n"/>
      <c r="W2761" s="91" t="n"/>
      <c r="X2761" s="91" t="n"/>
      <c r="Y2761" s="91" t="n"/>
      <c r="Z2761" s="91" t="n"/>
    </row>
    <row r="2762" ht="12.75" customHeight="1" s="117">
      <c r="A2762" s="91" t="n"/>
      <c r="B2762" s="91" t="n"/>
      <c r="C2762" s="91" t="n"/>
      <c r="D2762" s="91" t="n"/>
      <c r="E2762" s="91" t="n"/>
      <c r="F2762" s="91" t="n"/>
      <c r="G2762" s="91" t="n"/>
      <c r="H2762" s="91" t="n"/>
      <c r="I2762" s="91" t="n"/>
      <c r="J2762" s="91" t="n"/>
      <c r="K2762" s="91" t="n"/>
      <c r="L2762" s="91" t="n"/>
      <c r="M2762" s="91" t="n"/>
      <c r="N2762" s="91" t="n"/>
      <c r="O2762" s="91" t="n"/>
      <c r="P2762" s="91" t="n"/>
      <c r="Q2762" s="91" t="n"/>
      <c r="R2762" s="91" t="n"/>
      <c r="S2762" s="91" t="n"/>
      <c r="T2762" s="25">
        <f>DAY(C2762)</f>
        <v/>
      </c>
      <c r="U2762" s="22">
        <f>MONTH(C2762)</f>
        <v/>
      </c>
      <c r="V2762" s="91" t="n"/>
      <c r="W2762" s="91" t="n"/>
      <c r="X2762" s="91" t="n"/>
      <c r="Y2762" s="91" t="n"/>
      <c r="Z2762" s="91" t="n"/>
    </row>
    <row r="2763" ht="12.75" customHeight="1" s="117">
      <c r="A2763" s="91" t="n"/>
      <c r="B2763" s="91" t="n"/>
      <c r="C2763" s="91" t="n"/>
      <c r="D2763" s="91" t="n"/>
      <c r="E2763" s="91" t="n"/>
      <c r="F2763" s="91" t="n"/>
      <c r="G2763" s="91" t="n"/>
      <c r="H2763" s="91" t="n"/>
      <c r="I2763" s="91" t="n"/>
      <c r="J2763" s="91" t="n"/>
      <c r="K2763" s="91" t="n"/>
      <c r="L2763" s="91" t="n"/>
      <c r="M2763" s="91" t="n"/>
      <c r="N2763" s="91" t="n"/>
      <c r="O2763" s="91" t="n"/>
      <c r="P2763" s="91" t="n"/>
      <c r="Q2763" s="91" t="n"/>
      <c r="R2763" s="91" t="n"/>
      <c r="S2763" s="91" t="n"/>
      <c r="T2763" s="25">
        <f>DAY(C2763)</f>
        <v/>
      </c>
      <c r="U2763" s="22">
        <f>MONTH(C2763)</f>
        <v/>
      </c>
      <c r="V2763" s="91" t="n"/>
      <c r="W2763" s="91" t="n"/>
      <c r="X2763" s="91" t="n"/>
      <c r="Y2763" s="91" t="n"/>
      <c r="Z2763" s="91" t="n"/>
    </row>
    <row r="2764" ht="12.75" customHeight="1" s="117">
      <c r="A2764" s="91" t="n"/>
      <c r="B2764" s="91" t="n"/>
      <c r="C2764" s="91" t="n"/>
      <c r="D2764" s="91" t="n"/>
      <c r="E2764" s="91" t="n"/>
      <c r="F2764" s="91" t="n"/>
      <c r="G2764" s="91" t="n"/>
      <c r="H2764" s="91" t="n"/>
      <c r="I2764" s="91" t="n"/>
      <c r="J2764" s="91" t="n"/>
      <c r="K2764" s="91" t="n"/>
      <c r="L2764" s="91" t="n"/>
      <c r="M2764" s="91" t="n"/>
      <c r="N2764" s="91" t="n"/>
      <c r="O2764" s="91" t="n"/>
      <c r="P2764" s="91" t="n"/>
      <c r="Q2764" s="91" t="n"/>
      <c r="R2764" s="91" t="n"/>
      <c r="S2764" s="91" t="n"/>
      <c r="T2764" s="25">
        <f>DAY(C2764)</f>
        <v/>
      </c>
      <c r="U2764" s="22">
        <f>MONTH(C2764)</f>
        <v/>
      </c>
      <c r="V2764" s="91" t="n"/>
      <c r="W2764" s="91" t="n"/>
      <c r="X2764" s="91" t="n"/>
      <c r="Y2764" s="91" t="n"/>
      <c r="Z2764" s="91" t="n"/>
    </row>
    <row r="2765" ht="12.75" customHeight="1" s="117">
      <c r="A2765" s="91" t="n"/>
      <c r="B2765" s="91" t="n"/>
      <c r="C2765" s="91" t="n"/>
      <c r="D2765" s="91" t="n"/>
      <c r="E2765" s="91" t="n"/>
      <c r="F2765" s="91" t="n"/>
      <c r="G2765" s="91" t="n"/>
      <c r="H2765" s="91" t="n"/>
      <c r="I2765" s="91" t="n"/>
      <c r="J2765" s="91" t="n"/>
      <c r="K2765" s="91" t="n"/>
      <c r="L2765" s="91" t="n"/>
      <c r="M2765" s="91" t="n"/>
      <c r="N2765" s="91" t="n"/>
      <c r="O2765" s="91" t="n"/>
      <c r="P2765" s="91" t="n"/>
      <c r="Q2765" s="91" t="n"/>
      <c r="R2765" s="91" t="n"/>
      <c r="S2765" s="91" t="n"/>
      <c r="T2765" s="25">
        <f>DAY(C2765)</f>
        <v/>
      </c>
      <c r="U2765" s="22">
        <f>MONTH(C2765)</f>
        <v/>
      </c>
      <c r="V2765" s="91" t="n"/>
      <c r="W2765" s="91" t="n"/>
      <c r="X2765" s="91" t="n"/>
      <c r="Y2765" s="91" t="n"/>
      <c r="Z2765" s="91" t="n"/>
    </row>
    <row r="2766" ht="12.75" customHeight="1" s="117">
      <c r="A2766" s="91" t="n"/>
      <c r="B2766" s="91" t="n"/>
      <c r="C2766" s="91" t="n"/>
      <c r="D2766" s="91" t="n"/>
      <c r="E2766" s="91" t="n"/>
      <c r="F2766" s="91" t="n"/>
      <c r="G2766" s="91" t="n"/>
      <c r="H2766" s="91" t="n"/>
      <c r="I2766" s="91" t="n"/>
      <c r="J2766" s="91" t="n"/>
      <c r="K2766" s="91" t="n"/>
      <c r="L2766" s="91" t="n"/>
      <c r="M2766" s="91" t="n"/>
      <c r="N2766" s="91" t="n"/>
      <c r="O2766" s="91" t="n"/>
      <c r="P2766" s="91" t="n"/>
      <c r="Q2766" s="91" t="n"/>
      <c r="R2766" s="91" t="n"/>
      <c r="S2766" s="91" t="n"/>
      <c r="T2766" s="25">
        <f>DAY(C2766)</f>
        <v/>
      </c>
      <c r="U2766" s="22">
        <f>MONTH(C2766)</f>
        <v/>
      </c>
      <c r="V2766" s="91" t="n"/>
      <c r="W2766" s="91" t="n"/>
      <c r="X2766" s="91" t="n"/>
      <c r="Y2766" s="91" t="n"/>
      <c r="Z2766" s="91" t="n"/>
    </row>
    <row r="2767" ht="12.75" customHeight="1" s="117">
      <c r="A2767" s="91" t="n"/>
      <c r="B2767" s="91" t="n"/>
      <c r="C2767" s="91" t="n"/>
      <c r="D2767" s="91" t="n"/>
      <c r="E2767" s="91" t="n"/>
      <c r="F2767" s="91" t="n"/>
      <c r="G2767" s="91" t="n"/>
      <c r="H2767" s="91" t="n"/>
      <c r="I2767" s="91" t="n"/>
      <c r="J2767" s="91" t="n"/>
      <c r="K2767" s="91" t="n"/>
      <c r="L2767" s="91" t="n"/>
      <c r="M2767" s="91" t="n"/>
      <c r="N2767" s="91" t="n"/>
      <c r="O2767" s="91" t="n"/>
      <c r="P2767" s="91" t="n"/>
      <c r="Q2767" s="91" t="n"/>
      <c r="R2767" s="91" t="n"/>
      <c r="S2767" s="91" t="n"/>
      <c r="T2767" s="25">
        <f>DAY(C2767)</f>
        <v/>
      </c>
      <c r="U2767" s="22">
        <f>MONTH(C2767)</f>
        <v/>
      </c>
      <c r="V2767" s="91" t="n"/>
      <c r="W2767" s="91" t="n"/>
      <c r="X2767" s="91" t="n"/>
      <c r="Y2767" s="91" t="n"/>
      <c r="Z2767" s="91" t="n"/>
    </row>
    <row r="2768" ht="12.75" customHeight="1" s="117">
      <c r="A2768" s="91" t="n"/>
      <c r="B2768" s="91" t="n"/>
      <c r="C2768" s="91" t="n"/>
      <c r="D2768" s="91" t="n"/>
      <c r="E2768" s="91" t="n"/>
      <c r="F2768" s="91" t="n"/>
      <c r="G2768" s="91" t="n"/>
      <c r="H2768" s="91" t="n"/>
      <c r="I2768" s="91" t="n"/>
      <c r="J2768" s="91" t="n"/>
      <c r="K2768" s="91" t="n"/>
      <c r="L2768" s="91" t="n"/>
      <c r="M2768" s="91" t="n"/>
      <c r="N2768" s="91" t="n"/>
      <c r="O2768" s="91" t="n"/>
      <c r="P2768" s="91" t="n"/>
      <c r="Q2768" s="91" t="n"/>
      <c r="R2768" s="91" t="n"/>
      <c r="S2768" s="91" t="n"/>
      <c r="T2768" s="25">
        <f>DAY(C2768)</f>
        <v/>
      </c>
      <c r="U2768" s="22">
        <f>MONTH(C2768)</f>
        <v/>
      </c>
      <c r="V2768" s="91" t="n"/>
      <c r="W2768" s="91" t="n"/>
      <c r="X2768" s="91" t="n"/>
      <c r="Y2768" s="91" t="n"/>
      <c r="Z2768" s="91" t="n"/>
    </row>
    <row r="2769" ht="12.75" customHeight="1" s="117">
      <c r="A2769" s="91" t="n"/>
      <c r="B2769" s="91" t="n"/>
      <c r="C2769" s="91" t="n"/>
      <c r="D2769" s="91" t="n"/>
      <c r="E2769" s="91" t="n"/>
      <c r="F2769" s="91" t="n"/>
      <c r="G2769" s="91" t="n"/>
      <c r="H2769" s="91" t="n"/>
      <c r="I2769" s="91" t="n"/>
      <c r="J2769" s="91" t="n"/>
      <c r="K2769" s="91" t="n"/>
      <c r="L2769" s="91" t="n"/>
      <c r="M2769" s="91" t="n"/>
      <c r="N2769" s="91" t="n"/>
      <c r="O2769" s="91" t="n"/>
      <c r="P2769" s="91" t="n"/>
      <c r="Q2769" s="91" t="n"/>
      <c r="R2769" s="91" t="n"/>
      <c r="S2769" s="91" t="n"/>
      <c r="T2769" s="25">
        <f>DAY(C2769)</f>
        <v/>
      </c>
      <c r="U2769" s="22">
        <f>MONTH(C2769)</f>
        <v/>
      </c>
      <c r="V2769" s="91" t="n"/>
      <c r="W2769" s="91" t="n"/>
      <c r="X2769" s="91" t="n"/>
      <c r="Y2769" s="91" t="n"/>
      <c r="Z2769" s="91" t="n"/>
    </row>
    <row r="2770" ht="12.75" customHeight="1" s="117">
      <c r="A2770" s="91" t="n"/>
      <c r="B2770" s="91" t="n"/>
      <c r="C2770" s="91" t="n"/>
      <c r="D2770" s="91" t="n"/>
      <c r="E2770" s="91" t="n"/>
      <c r="F2770" s="91" t="n"/>
      <c r="G2770" s="91" t="n"/>
      <c r="H2770" s="91" t="n"/>
      <c r="I2770" s="91" t="n"/>
      <c r="J2770" s="91" t="n"/>
      <c r="K2770" s="91" t="n"/>
      <c r="L2770" s="91" t="n"/>
      <c r="M2770" s="91" t="n"/>
      <c r="N2770" s="91" t="n"/>
      <c r="O2770" s="91" t="n"/>
      <c r="P2770" s="91" t="n"/>
      <c r="Q2770" s="91" t="n"/>
      <c r="R2770" s="91" t="n"/>
      <c r="S2770" s="91" t="n"/>
      <c r="T2770" s="25">
        <f>DAY(C2770)</f>
        <v/>
      </c>
      <c r="U2770" s="22">
        <f>MONTH(C2770)</f>
        <v/>
      </c>
      <c r="V2770" s="91" t="n"/>
      <c r="W2770" s="91" t="n"/>
      <c r="X2770" s="91" t="n"/>
      <c r="Y2770" s="91" t="n"/>
      <c r="Z2770" s="91" t="n"/>
    </row>
    <row r="2771" ht="12.75" customHeight="1" s="117">
      <c r="A2771" s="91" t="n"/>
      <c r="B2771" s="91" t="n"/>
      <c r="C2771" s="91" t="n"/>
      <c r="D2771" s="91" t="n"/>
      <c r="E2771" s="91" t="n"/>
      <c r="F2771" s="91" t="n"/>
      <c r="G2771" s="91" t="n"/>
      <c r="H2771" s="91" t="n"/>
      <c r="I2771" s="91" t="n"/>
      <c r="J2771" s="91" t="n"/>
      <c r="K2771" s="91" t="n"/>
      <c r="L2771" s="91" t="n"/>
      <c r="M2771" s="91" t="n"/>
      <c r="N2771" s="91" t="n"/>
      <c r="O2771" s="91" t="n"/>
      <c r="P2771" s="91" t="n"/>
      <c r="Q2771" s="91" t="n"/>
      <c r="R2771" s="91" t="n"/>
      <c r="S2771" s="91" t="n"/>
      <c r="T2771" s="25">
        <f>DAY(C2771)</f>
        <v/>
      </c>
      <c r="U2771" s="22">
        <f>MONTH(C2771)</f>
        <v/>
      </c>
      <c r="V2771" s="91" t="n"/>
      <c r="W2771" s="91" t="n"/>
      <c r="X2771" s="91" t="n"/>
      <c r="Y2771" s="91" t="n"/>
      <c r="Z2771" s="91" t="n"/>
    </row>
    <row r="2772" ht="12.75" customHeight="1" s="117">
      <c r="A2772" s="91" t="n"/>
      <c r="B2772" s="91" t="n"/>
      <c r="C2772" s="91" t="n"/>
      <c r="D2772" s="91" t="n"/>
      <c r="E2772" s="91" t="n"/>
      <c r="F2772" s="91" t="n"/>
      <c r="G2772" s="91" t="n"/>
      <c r="H2772" s="91" t="n"/>
      <c r="I2772" s="91" t="n"/>
      <c r="J2772" s="91" t="n"/>
      <c r="K2772" s="91" t="n"/>
      <c r="L2772" s="91" t="n"/>
      <c r="M2772" s="91" t="n"/>
      <c r="N2772" s="91" t="n"/>
      <c r="O2772" s="91" t="n"/>
      <c r="P2772" s="91" t="n"/>
      <c r="Q2772" s="91" t="n"/>
      <c r="R2772" s="91" t="n"/>
      <c r="S2772" s="91" t="n"/>
      <c r="T2772" s="25">
        <f>DAY(C2772)</f>
        <v/>
      </c>
      <c r="U2772" s="22">
        <f>MONTH(C2772)</f>
        <v/>
      </c>
      <c r="V2772" s="91" t="n"/>
      <c r="W2772" s="91" t="n"/>
      <c r="X2772" s="91" t="n"/>
      <c r="Y2772" s="91" t="n"/>
      <c r="Z2772" s="91" t="n"/>
    </row>
    <row r="2773" ht="12.75" customHeight="1" s="117">
      <c r="A2773" s="91" t="n"/>
      <c r="B2773" s="91" t="n"/>
      <c r="C2773" s="91" t="n"/>
      <c r="D2773" s="91" t="n"/>
      <c r="E2773" s="91" t="n"/>
      <c r="F2773" s="91" t="n"/>
      <c r="G2773" s="91" t="n"/>
      <c r="H2773" s="91" t="n"/>
      <c r="I2773" s="91" t="n"/>
      <c r="J2773" s="91" t="n"/>
      <c r="K2773" s="91" t="n"/>
      <c r="L2773" s="91" t="n"/>
      <c r="M2773" s="91" t="n"/>
      <c r="N2773" s="91" t="n"/>
      <c r="O2773" s="91" t="n"/>
      <c r="P2773" s="91" t="n"/>
      <c r="Q2773" s="91" t="n"/>
      <c r="R2773" s="91" t="n"/>
      <c r="S2773" s="91" t="n"/>
      <c r="T2773" s="25">
        <f>DAY(C2773)</f>
        <v/>
      </c>
      <c r="U2773" s="22">
        <f>MONTH(C2773)</f>
        <v/>
      </c>
      <c r="V2773" s="91" t="n"/>
      <c r="W2773" s="91" t="n"/>
      <c r="X2773" s="91" t="n"/>
      <c r="Y2773" s="91" t="n"/>
      <c r="Z2773" s="91" t="n"/>
    </row>
    <row r="2774" ht="12.75" customHeight="1" s="117">
      <c r="A2774" s="91" t="n"/>
      <c r="B2774" s="91" t="n"/>
      <c r="C2774" s="91" t="n"/>
      <c r="D2774" s="91" t="n"/>
      <c r="E2774" s="91" t="n"/>
      <c r="F2774" s="91" t="n"/>
      <c r="G2774" s="91" t="n"/>
      <c r="H2774" s="91" t="n"/>
      <c r="I2774" s="91" t="n"/>
      <c r="J2774" s="91" t="n"/>
      <c r="K2774" s="91" t="n"/>
      <c r="L2774" s="91" t="n"/>
      <c r="M2774" s="91" t="n"/>
      <c r="N2774" s="91" t="n"/>
      <c r="O2774" s="91" t="n"/>
      <c r="P2774" s="91" t="n"/>
      <c r="Q2774" s="91" t="n"/>
      <c r="R2774" s="91" t="n"/>
      <c r="S2774" s="91" t="n"/>
      <c r="T2774" s="25">
        <f>DAY(C2774)</f>
        <v/>
      </c>
      <c r="U2774" s="22">
        <f>MONTH(C2774)</f>
        <v/>
      </c>
      <c r="V2774" s="91" t="n"/>
      <c r="W2774" s="91" t="n"/>
      <c r="X2774" s="91" t="n"/>
      <c r="Y2774" s="91" t="n"/>
      <c r="Z2774" s="91" t="n"/>
    </row>
    <row r="2775" ht="12.75" customHeight="1" s="117">
      <c r="A2775" s="91" t="n"/>
      <c r="B2775" s="91" t="n"/>
      <c r="C2775" s="91" t="n"/>
      <c r="D2775" s="91" t="n"/>
      <c r="E2775" s="91" t="n"/>
      <c r="F2775" s="91" t="n"/>
      <c r="G2775" s="91" t="n"/>
      <c r="H2775" s="91" t="n"/>
      <c r="I2775" s="91" t="n"/>
      <c r="J2775" s="91" t="n"/>
      <c r="K2775" s="91" t="n"/>
      <c r="L2775" s="91" t="n"/>
      <c r="M2775" s="91" t="n"/>
      <c r="N2775" s="91" t="n"/>
      <c r="O2775" s="91" t="n"/>
      <c r="P2775" s="91" t="n"/>
      <c r="Q2775" s="91" t="n"/>
      <c r="R2775" s="91" t="n"/>
      <c r="S2775" s="91" t="n"/>
      <c r="T2775" s="25">
        <f>DAY(C2775)</f>
        <v/>
      </c>
      <c r="U2775" s="22">
        <f>MONTH(C2775)</f>
        <v/>
      </c>
      <c r="V2775" s="91" t="n"/>
      <c r="W2775" s="91" t="n"/>
      <c r="X2775" s="91" t="n"/>
      <c r="Y2775" s="91" t="n"/>
      <c r="Z2775" s="91" t="n"/>
    </row>
    <row r="2776" ht="12.75" customHeight="1" s="117">
      <c r="A2776" s="91" t="n"/>
      <c r="B2776" s="91" t="n"/>
      <c r="C2776" s="91" t="n"/>
      <c r="D2776" s="91" t="n"/>
      <c r="E2776" s="91" t="n"/>
      <c r="F2776" s="91" t="n"/>
      <c r="G2776" s="91" t="n"/>
      <c r="H2776" s="91" t="n"/>
      <c r="I2776" s="91" t="n"/>
      <c r="J2776" s="91" t="n"/>
      <c r="K2776" s="91" t="n"/>
      <c r="L2776" s="91" t="n"/>
      <c r="M2776" s="91" t="n"/>
      <c r="N2776" s="91" t="n"/>
      <c r="O2776" s="91" t="n"/>
      <c r="P2776" s="91" t="n"/>
      <c r="Q2776" s="91" t="n"/>
      <c r="R2776" s="91" t="n"/>
      <c r="S2776" s="91" t="n"/>
      <c r="T2776" s="25">
        <f>DAY(C2776)</f>
        <v/>
      </c>
      <c r="U2776" s="22">
        <f>MONTH(C2776)</f>
        <v/>
      </c>
      <c r="V2776" s="91" t="n"/>
      <c r="W2776" s="91" t="n"/>
      <c r="X2776" s="91" t="n"/>
      <c r="Y2776" s="91" t="n"/>
      <c r="Z2776" s="91" t="n"/>
    </row>
    <row r="2777" ht="12.75" customHeight="1" s="117">
      <c r="A2777" s="91" t="n"/>
      <c r="B2777" s="91" t="n"/>
      <c r="C2777" s="91" t="n"/>
      <c r="D2777" s="91" t="n"/>
      <c r="E2777" s="91" t="n"/>
      <c r="F2777" s="91" t="n"/>
      <c r="G2777" s="91" t="n"/>
      <c r="H2777" s="91" t="n"/>
      <c r="I2777" s="91" t="n"/>
      <c r="J2777" s="91" t="n"/>
      <c r="K2777" s="91" t="n"/>
      <c r="L2777" s="91" t="n"/>
      <c r="M2777" s="91" t="n"/>
      <c r="N2777" s="91" t="n"/>
      <c r="O2777" s="91" t="n"/>
      <c r="P2777" s="91" t="n"/>
      <c r="Q2777" s="91" t="n"/>
      <c r="R2777" s="91" t="n"/>
      <c r="S2777" s="91" t="n"/>
      <c r="T2777" s="25">
        <f>DAY(C2777)</f>
        <v/>
      </c>
      <c r="U2777" s="22">
        <f>MONTH(C2777)</f>
        <v/>
      </c>
      <c r="V2777" s="91" t="n"/>
      <c r="W2777" s="91" t="n"/>
      <c r="X2777" s="91" t="n"/>
      <c r="Y2777" s="91" t="n"/>
      <c r="Z2777" s="91" t="n"/>
    </row>
    <row r="2778" ht="12.75" customHeight="1" s="117">
      <c r="A2778" s="91" t="n"/>
      <c r="B2778" s="91" t="n"/>
      <c r="C2778" s="91" t="n"/>
      <c r="D2778" s="91" t="n"/>
      <c r="E2778" s="91" t="n"/>
      <c r="F2778" s="91" t="n"/>
      <c r="G2778" s="91" t="n"/>
      <c r="H2778" s="91" t="n"/>
      <c r="I2778" s="91" t="n"/>
      <c r="J2778" s="91" t="n"/>
      <c r="K2778" s="91" t="n"/>
      <c r="L2778" s="91" t="n"/>
      <c r="M2778" s="91" t="n"/>
      <c r="N2778" s="91" t="n"/>
      <c r="O2778" s="91" t="n"/>
      <c r="P2778" s="91" t="n"/>
      <c r="Q2778" s="91" t="n"/>
      <c r="R2778" s="91" t="n"/>
      <c r="S2778" s="91" t="n"/>
      <c r="T2778" s="25">
        <f>DAY(C2778)</f>
        <v/>
      </c>
      <c r="U2778" s="22">
        <f>MONTH(C2778)</f>
        <v/>
      </c>
      <c r="V2778" s="91" t="n"/>
      <c r="W2778" s="91" t="n"/>
      <c r="X2778" s="91" t="n"/>
      <c r="Y2778" s="91" t="n"/>
      <c r="Z2778" s="91" t="n"/>
    </row>
    <row r="2779" ht="12.75" customHeight="1" s="117">
      <c r="A2779" s="91" t="n"/>
      <c r="B2779" s="91" t="n"/>
      <c r="C2779" s="91" t="n"/>
      <c r="D2779" s="91" t="n"/>
      <c r="E2779" s="91" t="n"/>
      <c r="F2779" s="91" t="n"/>
      <c r="G2779" s="91" t="n"/>
      <c r="H2779" s="91" t="n"/>
      <c r="I2779" s="91" t="n"/>
      <c r="J2779" s="91" t="n"/>
      <c r="K2779" s="91" t="n"/>
      <c r="L2779" s="91" t="n"/>
      <c r="M2779" s="91" t="n"/>
      <c r="N2779" s="91" t="n"/>
      <c r="O2779" s="91" t="n"/>
      <c r="P2779" s="91" t="n"/>
      <c r="Q2779" s="91" t="n"/>
      <c r="R2779" s="91" t="n"/>
      <c r="S2779" s="91" t="n"/>
      <c r="T2779" s="25">
        <f>DAY(C2779)</f>
        <v/>
      </c>
      <c r="U2779" s="22">
        <f>MONTH(C2779)</f>
        <v/>
      </c>
      <c r="V2779" s="91" t="n"/>
      <c r="W2779" s="91" t="n"/>
      <c r="X2779" s="91" t="n"/>
      <c r="Y2779" s="91" t="n"/>
      <c r="Z2779" s="91" t="n"/>
    </row>
    <row r="2780" ht="12.75" customHeight="1" s="117">
      <c r="A2780" s="91" t="n"/>
      <c r="B2780" s="91" t="n"/>
      <c r="C2780" s="91" t="n"/>
      <c r="D2780" s="91" t="n"/>
      <c r="E2780" s="91" t="n"/>
      <c r="F2780" s="91" t="n"/>
      <c r="G2780" s="91" t="n"/>
      <c r="H2780" s="91" t="n"/>
      <c r="I2780" s="91" t="n"/>
      <c r="J2780" s="91" t="n"/>
      <c r="K2780" s="91" t="n"/>
      <c r="L2780" s="91" t="n"/>
      <c r="M2780" s="91" t="n"/>
      <c r="N2780" s="91" t="n"/>
      <c r="O2780" s="91" t="n"/>
      <c r="P2780" s="91" t="n"/>
      <c r="Q2780" s="91" t="n"/>
      <c r="R2780" s="91" t="n"/>
      <c r="S2780" s="91" t="n"/>
      <c r="T2780" s="25">
        <f>DAY(C2780)</f>
        <v/>
      </c>
      <c r="U2780" s="22">
        <f>MONTH(C2780)</f>
        <v/>
      </c>
      <c r="V2780" s="91" t="n"/>
      <c r="W2780" s="91" t="n"/>
      <c r="X2780" s="91" t="n"/>
      <c r="Y2780" s="91" t="n"/>
      <c r="Z2780" s="91" t="n"/>
    </row>
    <row r="2781" ht="12.75" customHeight="1" s="117">
      <c r="A2781" s="91" t="n"/>
      <c r="B2781" s="91" t="n"/>
      <c r="C2781" s="91" t="n"/>
      <c r="D2781" s="91" t="n"/>
      <c r="E2781" s="91" t="n"/>
      <c r="F2781" s="91" t="n"/>
      <c r="G2781" s="91" t="n"/>
      <c r="H2781" s="91" t="n"/>
      <c r="I2781" s="91" t="n"/>
      <c r="J2781" s="91" t="n"/>
      <c r="K2781" s="91" t="n"/>
      <c r="L2781" s="91" t="n"/>
      <c r="M2781" s="91" t="n"/>
      <c r="N2781" s="91" t="n"/>
      <c r="O2781" s="91" t="n"/>
      <c r="P2781" s="91" t="n"/>
      <c r="Q2781" s="91" t="n"/>
      <c r="R2781" s="91" t="n"/>
      <c r="S2781" s="91" t="n"/>
      <c r="T2781" s="25">
        <f>DAY(C2781)</f>
        <v/>
      </c>
      <c r="U2781" s="22">
        <f>MONTH(C2781)</f>
        <v/>
      </c>
      <c r="V2781" s="91" t="n"/>
      <c r="W2781" s="91" t="n"/>
      <c r="X2781" s="91" t="n"/>
      <c r="Y2781" s="91" t="n"/>
      <c r="Z2781" s="91" t="n"/>
    </row>
    <row r="2782" ht="12.75" customHeight="1" s="117">
      <c r="A2782" s="91" t="n"/>
      <c r="B2782" s="91" t="n"/>
      <c r="C2782" s="91" t="n"/>
      <c r="D2782" s="91" t="n"/>
      <c r="E2782" s="91" t="n"/>
      <c r="F2782" s="91" t="n"/>
      <c r="G2782" s="91" t="n"/>
      <c r="H2782" s="91" t="n"/>
      <c r="I2782" s="91" t="n"/>
      <c r="J2782" s="91" t="n"/>
      <c r="K2782" s="91" t="n"/>
      <c r="L2782" s="91" t="n"/>
      <c r="M2782" s="91" t="n"/>
      <c r="N2782" s="91" t="n"/>
      <c r="O2782" s="91" t="n"/>
      <c r="P2782" s="91" t="n"/>
      <c r="Q2782" s="91" t="n"/>
      <c r="R2782" s="91" t="n"/>
      <c r="S2782" s="91" t="n"/>
      <c r="T2782" s="25">
        <f>DAY(C2782)</f>
        <v/>
      </c>
      <c r="U2782" s="22">
        <f>MONTH(C2782)</f>
        <v/>
      </c>
      <c r="V2782" s="91" t="n"/>
      <c r="W2782" s="91" t="n"/>
      <c r="X2782" s="91" t="n"/>
      <c r="Y2782" s="91" t="n"/>
      <c r="Z2782" s="91" t="n"/>
    </row>
    <row r="2783" ht="12.75" customHeight="1" s="117">
      <c r="A2783" s="91" t="n"/>
      <c r="B2783" s="91" t="n"/>
      <c r="C2783" s="91" t="n"/>
      <c r="D2783" s="91" t="n"/>
      <c r="E2783" s="91" t="n"/>
      <c r="F2783" s="91" t="n"/>
      <c r="G2783" s="91" t="n"/>
      <c r="H2783" s="91" t="n"/>
      <c r="I2783" s="91" t="n"/>
      <c r="J2783" s="91" t="n"/>
      <c r="K2783" s="91" t="n"/>
      <c r="L2783" s="91" t="n"/>
      <c r="M2783" s="91" t="n"/>
      <c r="N2783" s="91" t="n"/>
      <c r="O2783" s="91" t="n"/>
      <c r="P2783" s="91" t="n"/>
      <c r="Q2783" s="91" t="n"/>
      <c r="R2783" s="91" t="n"/>
      <c r="S2783" s="91" t="n"/>
      <c r="T2783" s="25">
        <f>DAY(C2783)</f>
        <v/>
      </c>
      <c r="U2783" s="22">
        <f>MONTH(C2783)</f>
        <v/>
      </c>
      <c r="V2783" s="91" t="n"/>
      <c r="W2783" s="91" t="n"/>
      <c r="X2783" s="91" t="n"/>
      <c r="Y2783" s="91" t="n"/>
      <c r="Z2783" s="91" t="n"/>
    </row>
    <row r="2784" ht="12.75" customHeight="1" s="117">
      <c r="A2784" s="91" t="n"/>
      <c r="B2784" s="91" t="n"/>
      <c r="C2784" s="91" t="n"/>
      <c r="D2784" s="91" t="n"/>
      <c r="E2784" s="91" t="n"/>
      <c r="F2784" s="91" t="n"/>
      <c r="G2784" s="91" t="n"/>
      <c r="H2784" s="91" t="n"/>
      <c r="I2784" s="91" t="n"/>
      <c r="J2784" s="91" t="n"/>
      <c r="K2784" s="91" t="n"/>
      <c r="L2784" s="91" t="n"/>
      <c r="M2784" s="91" t="n"/>
      <c r="N2784" s="91" t="n"/>
      <c r="O2784" s="91" t="n"/>
      <c r="P2784" s="91" t="n"/>
      <c r="Q2784" s="91" t="n"/>
      <c r="R2784" s="91" t="n"/>
      <c r="S2784" s="91" t="n"/>
      <c r="T2784" s="25">
        <f>DAY(C2784)</f>
        <v/>
      </c>
      <c r="U2784" s="22">
        <f>MONTH(C2784)</f>
        <v/>
      </c>
      <c r="V2784" s="91" t="n"/>
      <c r="W2784" s="91" t="n"/>
      <c r="X2784" s="91" t="n"/>
      <c r="Y2784" s="91" t="n"/>
      <c r="Z2784" s="91" t="n"/>
    </row>
    <row r="2785" ht="12.75" customHeight="1" s="117">
      <c r="A2785" s="91" t="n"/>
      <c r="B2785" s="91" t="n"/>
      <c r="C2785" s="91" t="n"/>
      <c r="D2785" s="91" t="n"/>
      <c r="E2785" s="91" t="n"/>
      <c r="F2785" s="91" t="n"/>
      <c r="G2785" s="91" t="n"/>
      <c r="H2785" s="91" t="n"/>
      <c r="I2785" s="91" t="n"/>
      <c r="J2785" s="91" t="n"/>
      <c r="K2785" s="91" t="n"/>
      <c r="L2785" s="91" t="n"/>
      <c r="M2785" s="91" t="n"/>
      <c r="N2785" s="91" t="n"/>
      <c r="O2785" s="91" t="n"/>
      <c r="P2785" s="91" t="n"/>
      <c r="Q2785" s="91" t="n"/>
      <c r="R2785" s="91" t="n"/>
      <c r="S2785" s="91" t="n"/>
      <c r="T2785" s="25">
        <f>DAY(C2785)</f>
        <v/>
      </c>
      <c r="U2785" s="22">
        <f>MONTH(C2785)</f>
        <v/>
      </c>
      <c r="V2785" s="91" t="n"/>
      <c r="W2785" s="91" t="n"/>
      <c r="X2785" s="91" t="n"/>
      <c r="Y2785" s="91" t="n"/>
      <c r="Z2785" s="91" t="n"/>
    </row>
    <row r="2786" ht="12.75" customHeight="1" s="117">
      <c r="A2786" s="91" t="n"/>
      <c r="B2786" s="91" t="n"/>
      <c r="C2786" s="91" t="n"/>
      <c r="D2786" s="91" t="n"/>
      <c r="E2786" s="91" t="n"/>
      <c r="F2786" s="91" t="n"/>
      <c r="G2786" s="91" t="n"/>
      <c r="H2786" s="91" t="n"/>
      <c r="I2786" s="91" t="n"/>
      <c r="J2786" s="91" t="n"/>
      <c r="K2786" s="91" t="n"/>
      <c r="L2786" s="91" t="n"/>
      <c r="M2786" s="91" t="n"/>
      <c r="N2786" s="91" t="n"/>
      <c r="O2786" s="91" t="n"/>
      <c r="P2786" s="91" t="n"/>
      <c r="Q2786" s="91" t="n"/>
      <c r="R2786" s="91" t="n"/>
      <c r="S2786" s="91" t="n"/>
      <c r="T2786" s="25">
        <f>DAY(C2786)</f>
        <v/>
      </c>
      <c r="U2786" s="22">
        <f>MONTH(C2786)</f>
        <v/>
      </c>
      <c r="V2786" s="91" t="n"/>
      <c r="W2786" s="91" t="n"/>
      <c r="X2786" s="91" t="n"/>
      <c r="Y2786" s="91" t="n"/>
      <c r="Z2786" s="91" t="n"/>
    </row>
    <row r="2787" ht="12.75" customHeight="1" s="117">
      <c r="A2787" s="91" t="n"/>
      <c r="B2787" s="91" t="n"/>
      <c r="C2787" s="91" t="n"/>
      <c r="D2787" s="91" t="n"/>
      <c r="E2787" s="91" t="n"/>
      <c r="F2787" s="91" t="n"/>
      <c r="G2787" s="91" t="n"/>
      <c r="H2787" s="91" t="n"/>
      <c r="I2787" s="91" t="n"/>
      <c r="J2787" s="91" t="n"/>
      <c r="K2787" s="91" t="n"/>
      <c r="L2787" s="91" t="n"/>
      <c r="M2787" s="91" t="n"/>
      <c r="N2787" s="91" t="n"/>
      <c r="O2787" s="91" t="n"/>
      <c r="P2787" s="91" t="n"/>
      <c r="Q2787" s="91" t="n"/>
      <c r="R2787" s="91" t="n"/>
      <c r="S2787" s="91" t="n"/>
      <c r="T2787" s="25">
        <f>DAY(C2787)</f>
        <v/>
      </c>
      <c r="U2787" s="22">
        <f>MONTH(C2787)</f>
        <v/>
      </c>
      <c r="V2787" s="91" t="n"/>
      <c r="W2787" s="91" t="n"/>
      <c r="X2787" s="91" t="n"/>
      <c r="Y2787" s="91" t="n"/>
      <c r="Z2787" s="91" t="n"/>
    </row>
    <row r="2788" ht="12.75" customHeight="1" s="117">
      <c r="A2788" s="91" t="n"/>
      <c r="B2788" s="91" t="n"/>
      <c r="C2788" s="91" t="n"/>
      <c r="D2788" s="91" t="n"/>
      <c r="E2788" s="91" t="n"/>
      <c r="F2788" s="91" t="n"/>
      <c r="G2788" s="91" t="n"/>
      <c r="H2788" s="91" t="n"/>
      <c r="I2788" s="91" t="n"/>
      <c r="J2788" s="91" t="n"/>
      <c r="K2788" s="91" t="n"/>
      <c r="L2788" s="91" t="n"/>
      <c r="M2788" s="91" t="n"/>
      <c r="N2788" s="91" t="n"/>
      <c r="O2788" s="91" t="n"/>
      <c r="P2788" s="91" t="n"/>
      <c r="Q2788" s="91" t="n"/>
      <c r="R2788" s="91" t="n"/>
      <c r="S2788" s="91" t="n"/>
      <c r="T2788" s="25">
        <f>DAY(C2788)</f>
        <v/>
      </c>
      <c r="U2788" s="22">
        <f>MONTH(C2788)</f>
        <v/>
      </c>
      <c r="V2788" s="91" t="n"/>
      <c r="W2788" s="91" t="n"/>
      <c r="X2788" s="91" t="n"/>
      <c r="Y2788" s="91" t="n"/>
      <c r="Z2788" s="91" t="n"/>
    </row>
    <row r="2789" ht="12.75" customHeight="1" s="117">
      <c r="A2789" s="91" t="n"/>
      <c r="B2789" s="91" t="n"/>
      <c r="C2789" s="91" t="n"/>
      <c r="D2789" s="91" t="n"/>
      <c r="E2789" s="91" t="n"/>
      <c r="F2789" s="91" t="n"/>
      <c r="G2789" s="91" t="n"/>
      <c r="H2789" s="91" t="n"/>
      <c r="I2789" s="91" t="n"/>
      <c r="J2789" s="91" t="n"/>
      <c r="K2789" s="91" t="n"/>
      <c r="L2789" s="91" t="n"/>
      <c r="M2789" s="91" t="n"/>
      <c r="N2789" s="91" t="n"/>
      <c r="O2789" s="91" t="n"/>
      <c r="P2789" s="91" t="n"/>
      <c r="Q2789" s="91" t="n"/>
      <c r="R2789" s="91" t="n"/>
      <c r="S2789" s="91" t="n"/>
      <c r="T2789" s="25">
        <f>DAY(C2789)</f>
        <v/>
      </c>
      <c r="U2789" s="22">
        <f>MONTH(C2789)</f>
        <v/>
      </c>
      <c r="V2789" s="91" t="n"/>
      <c r="W2789" s="91" t="n"/>
      <c r="X2789" s="91" t="n"/>
      <c r="Y2789" s="91" t="n"/>
      <c r="Z2789" s="91" t="n"/>
    </row>
    <row r="2790" ht="12.75" customHeight="1" s="117">
      <c r="A2790" s="91" t="n"/>
      <c r="B2790" s="91" t="n"/>
      <c r="C2790" s="91" t="n"/>
      <c r="D2790" s="91" t="n"/>
      <c r="E2790" s="91" t="n"/>
      <c r="F2790" s="91" t="n"/>
      <c r="G2790" s="91" t="n"/>
      <c r="H2790" s="91" t="n"/>
      <c r="I2790" s="91" t="n"/>
      <c r="J2790" s="91" t="n"/>
      <c r="K2790" s="91" t="n"/>
      <c r="L2790" s="91" t="n"/>
      <c r="M2790" s="91" t="n"/>
      <c r="N2790" s="91" t="n"/>
      <c r="O2790" s="91" t="n"/>
      <c r="P2790" s="91" t="n"/>
      <c r="Q2790" s="91" t="n"/>
      <c r="R2790" s="91" t="n"/>
      <c r="S2790" s="91" t="n"/>
      <c r="T2790" s="25">
        <f>DAY(C2790)</f>
        <v/>
      </c>
      <c r="U2790" s="22">
        <f>MONTH(C2790)</f>
        <v/>
      </c>
      <c r="V2790" s="91" t="n"/>
      <c r="W2790" s="91" t="n"/>
      <c r="X2790" s="91" t="n"/>
      <c r="Y2790" s="91" t="n"/>
      <c r="Z2790" s="91" t="n"/>
    </row>
    <row r="2791" ht="12.75" customHeight="1" s="117">
      <c r="A2791" s="91" t="n"/>
      <c r="B2791" s="91" t="n"/>
      <c r="C2791" s="91" t="n"/>
      <c r="D2791" s="91" t="n"/>
      <c r="E2791" s="91" t="n"/>
      <c r="F2791" s="91" t="n"/>
      <c r="G2791" s="91" t="n"/>
      <c r="H2791" s="91" t="n"/>
      <c r="I2791" s="91" t="n"/>
      <c r="J2791" s="91" t="n"/>
      <c r="K2791" s="91" t="n"/>
      <c r="L2791" s="91" t="n"/>
      <c r="M2791" s="91" t="n"/>
      <c r="N2791" s="91" t="n"/>
      <c r="O2791" s="91" t="n"/>
      <c r="P2791" s="91" t="n"/>
      <c r="Q2791" s="91" t="n"/>
      <c r="R2791" s="91" t="n"/>
      <c r="S2791" s="91" t="n"/>
      <c r="T2791" s="25">
        <f>DAY(C2791)</f>
        <v/>
      </c>
      <c r="U2791" s="22">
        <f>MONTH(C2791)</f>
        <v/>
      </c>
      <c r="V2791" s="91" t="n"/>
      <c r="W2791" s="91" t="n"/>
      <c r="X2791" s="91" t="n"/>
      <c r="Y2791" s="91" t="n"/>
      <c r="Z2791" s="91" t="n"/>
    </row>
    <row r="2792" ht="12.75" customHeight="1" s="117">
      <c r="A2792" s="91" t="n"/>
      <c r="B2792" s="91" t="n"/>
      <c r="C2792" s="91" t="n"/>
      <c r="D2792" s="91" t="n"/>
      <c r="E2792" s="91" t="n"/>
      <c r="F2792" s="91" t="n"/>
      <c r="G2792" s="91" t="n"/>
      <c r="H2792" s="91" t="n"/>
      <c r="I2792" s="91" t="n"/>
      <c r="J2792" s="91" t="n"/>
      <c r="K2792" s="91" t="n"/>
      <c r="L2792" s="91" t="n"/>
      <c r="M2792" s="91" t="n"/>
      <c r="N2792" s="91" t="n"/>
      <c r="O2792" s="91" t="n"/>
      <c r="P2792" s="91" t="n"/>
      <c r="Q2792" s="91" t="n"/>
      <c r="R2792" s="91" t="n"/>
      <c r="S2792" s="91" t="n"/>
      <c r="T2792" s="25">
        <f>DAY(C2792)</f>
        <v/>
      </c>
      <c r="U2792" s="22">
        <f>MONTH(C2792)</f>
        <v/>
      </c>
      <c r="V2792" s="91" t="n"/>
      <c r="W2792" s="91" t="n"/>
      <c r="X2792" s="91" t="n"/>
      <c r="Y2792" s="91" t="n"/>
      <c r="Z2792" s="91" t="n"/>
    </row>
    <row r="2793" ht="12.75" customHeight="1" s="117">
      <c r="A2793" s="91" t="n"/>
      <c r="B2793" s="91" t="n"/>
      <c r="C2793" s="91" t="n"/>
      <c r="D2793" s="91" t="n"/>
      <c r="E2793" s="91" t="n"/>
      <c r="F2793" s="91" t="n"/>
      <c r="G2793" s="91" t="n"/>
      <c r="H2793" s="91" t="n"/>
      <c r="I2793" s="91" t="n"/>
      <c r="J2793" s="91" t="n"/>
      <c r="K2793" s="91" t="n"/>
      <c r="L2793" s="91" t="n"/>
      <c r="M2793" s="91" t="n"/>
      <c r="N2793" s="91" t="n"/>
      <c r="O2793" s="91" t="n"/>
      <c r="P2793" s="91" t="n"/>
      <c r="Q2793" s="91" t="n"/>
      <c r="R2793" s="91" t="n"/>
      <c r="S2793" s="91" t="n"/>
      <c r="T2793" s="25">
        <f>DAY(C2793)</f>
        <v/>
      </c>
      <c r="U2793" s="22">
        <f>MONTH(C2793)</f>
        <v/>
      </c>
      <c r="V2793" s="91" t="n"/>
      <c r="W2793" s="91" t="n"/>
      <c r="X2793" s="91" t="n"/>
      <c r="Y2793" s="91" t="n"/>
      <c r="Z2793" s="91" t="n"/>
    </row>
    <row r="2794" ht="12.75" customHeight="1" s="117">
      <c r="A2794" s="91" t="n"/>
      <c r="B2794" s="91" t="n"/>
      <c r="C2794" s="91" t="n"/>
      <c r="D2794" s="91" t="n"/>
      <c r="E2794" s="91" t="n"/>
      <c r="F2794" s="91" t="n"/>
      <c r="G2794" s="91" t="n"/>
      <c r="H2794" s="91" t="n"/>
      <c r="I2794" s="91" t="n"/>
      <c r="J2794" s="91" t="n"/>
      <c r="K2794" s="91" t="n"/>
      <c r="L2794" s="91" t="n"/>
      <c r="M2794" s="91" t="n"/>
      <c r="N2794" s="91" t="n"/>
      <c r="O2794" s="91" t="n"/>
      <c r="P2794" s="91" t="n"/>
      <c r="Q2794" s="91" t="n"/>
      <c r="R2794" s="91" t="n"/>
      <c r="S2794" s="91" t="n"/>
      <c r="T2794" s="25">
        <f>DAY(C2794)</f>
        <v/>
      </c>
      <c r="U2794" s="22">
        <f>MONTH(C2794)</f>
        <v/>
      </c>
      <c r="V2794" s="91" t="n"/>
      <c r="W2794" s="91" t="n"/>
      <c r="X2794" s="91" t="n"/>
      <c r="Y2794" s="91" t="n"/>
      <c r="Z2794" s="91" t="n"/>
    </row>
    <row r="2795" ht="12.75" customHeight="1" s="117">
      <c r="A2795" s="91" t="n"/>
      <c r="B2795" s="91" t="n"/>
      <c r="C2795" s="91" t="n"/>
      <c r="D2795" s="91" t="n"/>
      <c r="E2795" s="91" t="n"/>
      <c r="F2795" s="91" t="n"/>
      <c r="G2795" s="91" t="n"/>
      <c r="H2795" s="91" t="n"/>
      <c r="I2795" s="91" t="n"/>
      <c r="J2795" s="91" t="n"/>
      <c r="K2795" s="91" t="n"/>
      <c r="L2795" s="91" t="n"/>
      <c r="M2795" s="91" t="n"/>
      <c r="N2795" s="91" t="n"/>
      <c r="O2795" s="91" t="n"/>
      <c r="P2795" s="91" t="n"/>
      <c r="Q2795" s="91" t="n"/>
      <c r="R2795" s="91" t="n"/>
      <c r="S2795" s="91" t="n"/>
      <c r="T2795" s="25">
        <f>DAY(C2795)</f>
        <v/>
      </c>
      <c r="U2795" s="22">
        <f>MONTH(C2795)</f>
        <v/>
      </c>
      <c r="V2795" s="91" t="n"/>
      <c r="W2795" s="91" t="n"/>
      <c r="X2795" s="91" t="n"/>
      <c r="Y2795" s="91" t="n"/>
      <c r="Z2795" s="91" t="n"/>
    </row>
    <row r="2796" ht="12.75" customHeight="1" s="117">
      <c r="A2796" s="91" t="n"/>
      <c r="B2796" s="91" t="n"/>
      <c r="C2796" s="91" t="n"/>
      <c r="D2796" s="91" t="n"/>
      <c r="E2796" s="91" t="n"/>
      <c r="F2796" s="91" t="n"/>
      <c r="G2796" s="91" t="n"/>
      <c r="H2796" s="91" t="n"/>
      <c r="I2796" s="91" t="n"/>
      <c r="J2796" s="91" t="n"/>
      <c r="K2796" s="91" t="n"/>
      <c r="L2796" s="91" t="n"/>
      <c r="M2796" s="91" t="n"/>
      <c r="N2796" s="91" t="n"/>
      <c r="O2796" s="91" t="n"/>
      <c r="P2796" s="91" t="n"/>
      <c r="Q2796" s="91" t="n"/>
      <c r="R2796" s="91" t="n"/>
      <c r="S2796" s="91" t="n"/>
      <c r="T2796" s="25">
        <f>DAY(C2796)</f>
        <v/>
      </c>
      <c r="U2796" s="22">
        <f>MONTH(C2796)</f>
        <v/>
      </c>
      <c r="V2796" s="91" t="n"/>
      <c r="W2796" s="91" t="n"/>
      <c r="X2796" s="91" t="n"/>
      <c r="Y2796" s="91" t="n"/>
      <c r="Z2796" s="91" t="n"/>
    </row>
    <row r="2797" ht="12.75" customHeight="1" s="117">
      <c r="A2797" s="91" t="n"/>
      <c r="B2797" s="91" t="n"/>
      <c r="C2797" s="91" t="n"/>
      <c r="D2797" s="91" t="n"/>
      <c r="E2797" s="91" t="n"/>
      <c r="F2797" s="91" t="n"/>
      <c r="G2797" s="91" t="n"/>
      <c r="H2797" s="91" t="n"/>
      <c r="I2797" s="91" t="n"/>
      <c r="J2797" s="91" t="n"/>
      <c r="K2797" s="91" t="n"/>
      <c r="L2797" s="91" t="n"/>
      <c r="M2797" s="91" t="n"/>
      <c r="N2797" s="91" t="n"/>
      <c r="O2797" s="91" t="n"/>
      <c r="P2797" s="91" t="n"/>
      <c r="Q2797" s="91" t="n"/>
      <c r="R2797" s="91" t="n"/>
      <c r="S2797" s="91" t="n"/>
      <c r="T2797" s="25">
        <f>DAY(C2797)</f>
        <v/>
      </c>
      <c r="U2797" s="22">
        <f>MONTH(C2797)</f>
        <v/>
      </c>
      <c r="V2797" s="91" t="n"/>
      <c r="W2797" s="91" t="n"/>
      <c r="X2797" s="91" t="n"/>
      <c r="Y2797" s="91" t="n"/>
      <c r="Z2797" s="91" t="n"/>
    </row>
    <row r="2798" ht="12.75" customHeight="1" s="117">
      <c r="A2798" s="91" t="n"/>
      <c r="B2798" s="91" t="n"/>
      <c r="C2798" s="91" t="n"/>
      <c r="D2798" s="91" t="n"/>
      <c r="E2798" s="91" t="n"/>
      <c r="F2798" s="91" t="n"/>
      <c r="G2798" s="91" t="n"/>
      <c r="H2798" s="91" t="n"/>
      <c r="I2798" s="91" t="n"/>
      <c r="J2798" s="91" t="n"/>
      <c r="K2798" s="91" t="n"/>
      <c r="L2798" s="91" t="n"/>
      <c r="M2798" s="91" t="n"/>
      <c r="N2798" s="91" t="n"/>
      <c r="O2798" s="91" t="n"/>
      <c r="P2798" s="91" t="n"/>
      <c r="Q2798" s="91" t="n"/>
      <c r="R2798" s="91" t="n"/>
      <c r="S2798" s="91" t="n"/>
      <c r="T2798" s="25">
        <f>DAY(C2798)</f>
        <v/>
      </c>
      <c r="U2798" s="22">
        <f>MONTH(C2798)</f>
        <v/>
      </c>
      <c r="V2798" s="91" t="n"/>
      <c r="W2798" s="91" t="n"/>
      <c r="X2798" s="91" t="n"/>
      <c r="Y2798" s="91" t="n"/>
      <c r="Z2798" s="91" t="n"/>
    </row>
    <row r="2799" ht="12.75" customHeight="1" s="117">
      <c r="A2799" s="91" t="n"/>
      <c r="B2799" s="91" t="n"/>
      <c r="C2799" s="91" t="n"/>
      <c r="D2799" s="91" t="n"/>
      <c r="E2799" s="91" t="n"/>
      <c r="F2799" s="91" t="n"/>
      <c r="G2799" s="91" t="n"/>
      <c r="H2799" s="91" t="n"/>
      <c r="I2799" s="91" t="n"/>
      <c r="J2799" s="91" t="n"/>
      <c r="K2799" s="91" t="n"/>
      <c r="L2799" s="91" t="n"/>
      <c r="M2799" s="91" t="n"/>
      <c r="N2799" s="91" t="n"/>
      <c r="O2799" s="91" t="n"/>
      <c r="P2799" s="91" t="n"/>
      <c r="Q2799" s="91" t="n"/>
      <c r="R2799" s="91" t="n"/>
      <c r="S2799" s="91" t="n"/>
      <c r="T2799" s="25">
        <f>DAY(C2799)</f>
        <v/>
      </c>
      <c r="U2799" s="22">
        <f>MONTH(C2799)</f>
        <v/>
      </c>
      <c r="V2799" s="91" t="n"/>
      <c r="W2799" s="91" t="n"/>
      <c r="X2799" s="91" t="n"/>
      <c r="Y2799" s="91" t="n"/>
      <c r="Z2799" s="91" t="n"/>
    </row>
    <row r="2800" ht="12.75" customHeight="1" s="117">
      <c r="A2800" s="91" t="n"/>
      <c r="B2800" s="91" t="n"/>
      <c r="C2800" s="91" t="n"/>
      <c r="D2800" s="91" t="n"/>
      <c r="E2800" s="91" t="n"/>
      <c r="F2800" s="91" t="n"/>
      <c r="G2800" s="91" t="n"/>
      <c r="H2800" s="91" t="n"/>
      <c r="I2800" s="91" t="n"/>
      <c r="J2800" s="91" t="n"/>
      <c r="K2800" s="91" t="n"/>
      <c r="L2800" s="91" t="n"/>
      <c r="M2800" s="91" t="n"/>
      <c r="N2800" s="91" t="n"/>
      <c r="O2800" s="91" t="n"/>
      <c r="P2800" s="91" t="n"/>
      <c r="Q2800" s="91" t="n"/>
      <c r="R2800" s="91" t="n"/>
      <c r="S2800" s="91" t="n"/>
      <c r="T2800" s="25">
        <f>DAY(C2800)</f>
        <v/>
      </c>
      <c r="U2800" s="22">
        <f>MONTH(C2800)</f>
        <v/>
      </c>
      <c r="V2800" s="91" t="n"/>
      <c r="W2800" s="91" t="n"/>
      <c r="X2800" s="91" t="n"/>
      <c r="Y2800" s="91" t="n"/>
      <c r="Z2800" s="91" t="n"/>
    </row>
    <row r="2801" ht="12.75" customHeight="1" s="117">
      <c r="A2801" s="91" t="n"/>
      <c r="B2801" s="91" t="n"/>
      <c r="C2801" s="91" t="n"/>
      <c r="D2801" s="91" t="n"/>
      <c r="E2801" s="91" t="n"/>
      <c r="F2801" s="91" t="n"/>
      <c r="G2801" s="91" t="n"/>
      <c r="H2801" s="91" t="n"/>
      <c r="I2801" s="91" t="n"/>
      <c r="J2801" s="91" t="n"/>
      <c r="K2801" s="91" t="n"/>
      <c r="L2801" s="91" t="n"/>
      <c r="M2801" s="91" t="n"/>
      <c r="N2801" s="91" t="n"/>
      <c r="O2801" s="91" t="n"/>
      <c r="P2801" s="91" t="n"/>
      <c r="Q2801" s="91" t="n"/>
      <c r="R2801" s="91" t="n"/>
      <c r="S2801" s="91" t="n"/>
      <c r="T2801" s="25">
        <f>DAY(C2801)</f>
        <v/>
      </c>
      <c r="U2801" s="22">
        <f>MONTH(C2801)</f>
        <v/>
      </c>
      <c r="V2801" s="91" t="n"/>
      <c r="W2801" s="91" t="n"/>
      <c r="X2801" s="91" t="n"/>
      <c r="Y2801" s="91" t="n"/>
      <c r="Z2801" s="91" t="n"/>
    </row>
    <row r="2802" ht="12.75" customHeight="1" s="117">
      <c r="A2802" s="91" t="n"/>
      <c r="B2802" s="91" t="n"/>
      <c r="C2802" s="91" t="n"/>
      <c r="D2802" s="91" t="n"/>
      <c r="E2802" s="91" t="n"/>
      <c r="F2802" s="91" t="n"/>
      <c r="G2802" s="91" t="n"/>
      <c r="H2802" s="91" t="n"/>
      <c r="I2802" s="91" t="n"/>
      <c r="J2802" s="91" t="n"/>
      <c r="K2802" s="91" t="n"/>
      <c r="L2802" s="91" t="n"/>
      <c r="M2802" s="91" t="n"/>
      <c r="N2802" s="91" t="n"/>
      <c r="O2802" s="91" t="n"/>
      <c r="P2802" s="91" t="n"/>
      <c r="Q2802" s="91" t="n"/>
      <c r="R2802" s="91" t="n"/>
      <c r="S2802" s="91" t="n"/>
      <c r="T2802" s="25">
        <f>DAY(C2802)</f>
        <v/>
      </c>
      <c r="U2802" s="22">
        <f>MONTH(C2802)</f>
        <v/>
      </c>
      <c r="V2802" s="91" t="n"/>
      <c r="W2802" s="91" t="n"/>
      <c r="X2802" s="91" t="n"/>
      <c r="Y2802" s="91" t="n"/>
      <c r="Z2802" s="91" t="n"/>
    </row>
    <row r="2803" ht="12.75" customHeight="1" s="117">
      <c r="A2803" s="91" t="n"/>
      <c r="B2803" s="91" t="n"/>
      <c r="C2803" s="91" t="n"/>
      <c r="D2803" s="91" t="n"/>
      <c r="E2803" s="91" t="n"/>
      <c r="F2803" s="91" t="n"/>
      <c r="G2803" s="91" t="n"/>
      <c r="H2803" s="91" t="n"/>
      <c r="I2803" s="91" t="n"/>
      <c r="J2803" s="91" t="n"/>
      <c r="K2803" s="91" t="n"/>
      <c r="L2803" s="91" t="n"/>
      <c r="M2803" s="91" t="n"/>
      <c r="N2803" s="91" t="n"/>
      <c r="O2803" s="91" t="n"/>
      <c r="P2803" s="91" t="n"/>
      <c r="Q2803" s="91" t="n"/>
      <c r="R2803" s="91" t="n"/>
      <c r="S2803" s="91" t="n"/>
      <c r="T2803" s="25">
        <f>DAY(C2803)</f>
        <v/>
      </c>
      <c r="U2803" s="22">
        <f>MONTH(C2803)</f>
        <v/>
      </c>
      <c r="V2803" s="91" t="n"/>
      <c r="W2803" s="91" t="n"/>
      <c r="X2803" s="91" t="n"/>
      <c r="Y2803" s="91" t="n"/>
      <c r="Z2803" s="91" t="n"/>
    </row>
    <row r="2804" ht="12.75" customHeight="1" s="117">
      <c r="A2804" s="91" t="n"/>
      <c r="B2804" s="91" t="n"/>
      <c r="C2804" s="91" t="n"/>
      <c r="D2804" s="91" t="n"/>
      <c r="E2804" s="91" t="n"/>
      <c r="F2804" s="91" t="n"/>
      <c r="G2804" s="91" t="n"/>
      <c r="H2804" s="91" t="n"/>
      <c r="I2804" s="91" t="n"/>
      <c r="J2804" s="91" t="n"/>
      <c r="K2804" s="91" t="n"/>
      <c r="L2804" s="91" t="n"/>
      <c r="M2804" s="91" t="n"/>
      <c r="N2804" s="91" t="n"/>
      <c r="O2804" s="91" t="n"/>
      <c r="P2804" s="91" t="n"/>
      <c r="Q2804" s="91" t="n"/>
      <c r="R2804" s="91" t="n"/>
      <c r="S2804" s="91" t="n"/>
      <c r="T2804" s="25">
        <f>DAY(C2804)</f>
        <v/>
      </c>
      <c r="U2804" s="22">
        <f>MONTH(C2804)</f>
        <v/>
      </c>
      <c r="V2804" s="91" t="n"/>
      <c r="W2804" s="91" t="n"/>
      <c r="X2804" s="91" t="n"/>
      <c r="Y2804" s="91" t="n"/>
      <c r="Z2804" s="91" t="n"/>
    </row>
    <row r="2805" ht="12.75" customHeight="1" s="117">
      <c r="A2805" s="91" t="n"/>
      <c r="B2805" s="91" t="n"/>
      <c r="C2805" s="91" t="n"/>
      <c r="D2805" s="91" t="n"/>
      <c r="E2805" s="91" t="n"/>
      <c r="F2805" s="91" t="n"/>
      <c r="G2805" s="91" t="n"/>
      <c r="H2805" s="91" t="n"/>
      <c r="I2805" s="91" t="n"/>
      <c r="J2805" s="91" t="n"/>
      <c r="K2805" s="91" t="n"/>
      <c r="L2805" s="91" t="n"/>
      <c r="M2805" s="91" t="n"/>
      <c r="N2805" s="91" t="n"/>
      <c r="O2805" s="91" t="n"/>
      <c r="P2805" s="91" t="n"/>
      <c r="Q2805" s="91" t="n"/>
      <c r="R2805" s="91" t="n"/>
      <c r="S2805" s="91" t="n"/>
      <c r="T2805" s="25">
        <f>DAY(C2805)</f>
        <v/>
      </c>
      <c r="U2805" s="22">
        <f>MONTH(C2805)</f>
        <v/>
      </c>
      <c r="V2805" s="91" t="n"/>
      <c r="W2805" s="91" t="n"/>
      <c r="X2805" s="91" t="n"/>
      <c r="Y2805" s="91" t="n"/>
      <c r="Z2805" s="91" t="n"/>
    </row>
    <row r="2806" ht="12.75" customHeight="1" s="117">
      <c r="A2806" s="91" t="n"/>
      <c r="B2806" s="91" t="n"/>
      <c r="C2806" s="91" t="n"/>
      <c r="D2806" s="91" t="n"/>
      <c r="E2806" s="91" t="n"/>
      <c r="F2806" s="91" t="n"/>
      <c r="G2806" s="91" t="n"/>
      <c r="H2806" s="91" t="n"/>
      <c r="I2806" s="91" t="n"/>
      <c r="J2806" s="91" t="n"/>
      <c r="K2806" s="91" t="n"/>
      <c r="L2806" s="91" t="n"/>
      <c r="M2806" s="91" t="n"/>
      <c r="N2806" s="91" t="n"/>
      <c r="O2806" s="91" t="n"/>
      <c r="P2806" s="91" t="n"/>
      <c r="Q2806" s="91" t="n"/>
      <c r="R2806" s="91" t="n"/>
      <c r="S2806" s="91" t="n"/>
      <c r="T2806" s="25">
        <f>DAY(C2806)</f>
        <v/>
      </c>
      <c r="U2806" s="22">
        <f>MONTH(C2806)</f>
        <v/>
      </c>
      <c r="V2806" s="91" t="n"/>
      <c r="W2806" s="91" t="n"/>
      <c r="X2806" s="91" t="n"/>
      <c r="Y2806" s="91" t="n"/>
      <c r="Z2806" s="91" t="n"/>
    </row>
    <row r="2807" ht="12.75" customHeight="1" s="117">
      <c r="A2807" s="91" t="n"/>
      <c r="B2807" s="91" t="n"/>
      <c r="C2807" s="91" t="n"/>
      <c r="D2807" s="91" t="n"/>
      <c r="E2807" s="91" t="n"/>
      <c r="F2807" s="91" t="n"/>
      <c r="G2807" s="91" t="n"/>
      <c r="H2807" s="91" t="n"/>
      <c r="I2807" s="91" t="n"/>
      <c r="J2807" s="91" t="n"/>
      <c r="K2807" s="91" t="n"/>
      <c r="L2807" s="91" t="n"/>
      <c r="M2807" s="91" t="n"/>
      <c r="N2807" s="91" t="n"/>
      <c r="O2807" s="91" t="n"/>
      <c r="P2807" s="91" t="n"/>
      <c r="Q2807" s="91" t="n"/>
      <c r="R2807" s="91" t="n"/>
      <c r="S2807" s="91" t="n"/>
      <c r="T2807" s="25">
        <f>DAY(C2807)</f>
        <v/>
      </c>
      <c r="U2807" s="22">
        <f>MONTH(C2807)</f>
        <v/>
      </c>
      <c r="V2807" s="91" t="n"/>
      <c r="W2807" s="91" t="n"/>
      <c r="X2807" s="91" t="n"/>
      <c r="Y2807" s="91" t="n"/>
      <c r="Z2807" s="91" t="n"/>
    </row>
    <row r="2808" ht="12.75" customHeight="1" s="117">
      <c r="A2808" s="91" t="n"/>
      <c r="B2808" s="91" t="n"/>
      <c r="C2808" s="91" t="n"/>
      <c r="D2808" s="91" t="n"/>
      <c r="E2808" s="91" t="n"/>
      <c r="F2808" s="91" t="n"/>
      <c r="G2808" s="91" t="n"/>
      <c r="H2808" s="91" t="n"/>
      <c r="I2808" s="91" t="n"/>
      <c r="J2808" s="91" t="n"/>
      <c r="K2808" s="91" t="n"/>
      <c r="L2808" s="91" t="n"/>
      <c r="M2808" s="91" t="n"/>
      <c r="N2808" s="91" t="n"/>
      <c r="O2808" s="91" t="n"/>
      <c r="P2808" s="91" t="n"/>
      <c r="Q2808" s="91" t="n"/>
      <c r="R2808" s="91" t="n"/>
      <c r="S2808" s="91" t="n"/>
      <c r="T2808" s="25">
        <f>DAY(C2808)</f>
        <v/>
      </c>
      <c r="U2808" s="22">
        <f>MONTH(C2808)</f>
        <v/>
      </c>
      <c r="V2808" s="91" t="n"/>
      <c r="W2808" s="91" t="n"/>
      <c r="X2808" s="91" t="n"/>
      <c r="Y2808" s="91" t="n"/>
      <c r="Z2808" s="91" t="n"/>
    </row>
    <row r="2809" ht="12.75" customHeight="1" s="117">
      <c r="A2809" s="91" t="n"/>
      <c r="B2809" s="91" t="n"/>
      <c r="C2809" s="91" t="n"/>
      <c r="D2809" s="91" t="n"/>
      <c r="E2809" s="91" t="n"/>
      <c r="F2809" s="91" t="n"/>
      <c r="G2809" s="91" t="n"/>
      <c r="H2809" s="91" t="n"/>
      <c r="I2809" s="91" t="n"/>
      <c r="J2809" s="91" t="n"/>
      <c r="K2809" s="91" t="n"/>
      <c r="L2809" s="91" t="n"/>
      <c r="M2809" s="91" t="n"/>
      <c r="N2809" s="91" t="n"/>
      <c r="O2809" s="91" t="n"/>
      <c r="P2809" s="91" t="n"/>
      <c r="Q2809" s="91" t="n"/>
      <c r="R2809" s="91" t="n"/>
      <c r="S2809" s="91" t="n"/>
      <c r="T2809" s="25">
        <f>DAY(C2809)</f>
        <v/>
      </c>
      <c r="U2809" s="22">
        <f>MONTH(C2809)</f>
        <v/>
      </c>
      <c r="V2809" s="91" t="n"/>
      <c r="W2809" s="91" t="n"/>
      <c r="X2809" s="91" t="n"/>
      <c r="Y2809" s="91" t="n"/>
      <c r="Z2809" s="91" t="n"/>
    </row>
    <row r="2810" ht="12.75" customHeight="1" s="117">
      <c r="A2810" s="91" t="n"/>
      <c r="B2810" s="91" t="n"/>
      <c r="C2810" s="91" t="n"/>
      <c r="D2810" s="91" t="n"/>
      <c r="E2810" s="91" t="n"/>
      <c r="F2810" s="91" t="n"/>
      <c r="G2810" s="91" t="n"/>
      <c r="H2810" s="91" t="n"/>
      <c r="I2810" s="91" t="n"/>
      <c r="J2810" s="91" t="n"/>
      <c r="K2810" s="91" t="n"/>
      <c r="L2810" s="91" t="n"/>
      <c r="M2810" s="91" t="n"/>
      <c r="N2810" s="91" t="n"/>
      <c r="O2810" s="91" t="n"/>
      <c r="P2810" s="91" t="n"/>
      <c r="Q2810" s="91" t="n"/>
      <c r="R2810" s="91" t="n"/>
      <c r="S2810" s="91" t="n"/>
      <c r="T2810" s="25">
        <f>DAY(C2810)</f>
        <v/>
      </c>
      <c r="U2810" s="22">
        <f>MONTH(C2810)</f>
        <v/>
      </c>
      <c r="V2810" s="91" t="n"/>
      <c r="W2810" s="91" t="n"/>
      <c r="X2810" s="91" t="n"/>
      <c r="Y2810" s="91" t="n"/>
      <c r="Z2810" s="91" t="n"/>
    </row>
    <row r="2811" ht="12.75" customHeight="1" s="117">
      <c r="A2811" s="91" t="n"/>
      <c r="B2811" s="91" t="n"/>
      <c r="C2811" s="91" t="n"/>
      <c r="D2811" s="91" t="n"/>
      <c r="E2811" s="91" t="n"/>
      <c r="F2811" s="91" t="n"/>
      <c r="G2811" s="91" t="n"/>
      <c r="H2811" s="91" t="n"/>
      <c r="I2811" s="91" t="n"/>
      <c r="J2811" s="91" t="n"/>
      <c r="K2811" s="91" t="n"/>
      <c r="L2811" s="91" t="n"/>
      <c r="M2811" s="91" t="n"/>
      <c r="N2811" s="91" t="n"/>
      <c r="O2811" s="91" t="n"/>
      <c r="P2811" s="91" t="n"/>
      <c r="Q2811" s="91" t="n"/>
      <c r="R2811" s="91" t="n"/>
      <c r="S2811" s="91" t="n"/>
      <c r="T2811" s="25">
        <f>DAY(C2811)</f>
        <v/>
      </c>
      <c r="U2811" s="22">
        <f>MONTH(C2811)</f>
        <v/>
      </c>
      <c r="V2811" s="91" t="n"/>
      <c r="W2811" s="91" t="n"/>
      <c r="X2811" s="91" t="n"/>
      <c r="Y2811" s="91" t="n"/>
      <c r="Z2811" s="91" t="n"/>
    </row>
    <row r="2812" ht="12.75" customHeight="1" s="117">
      <c r="A2812" s="91" t="n"/>
      <c r="B2812" s="91" t="n"/>
      <c r="C2812" s="91" t="n"/>
      <c r="D2812" s="91" t="n"/>
      <c r="E2812" s="91" t="n"/>
      <c r="F2812" s="91" t="n"/>
      <c r="G2812" s="91" t="n"/>
      <c r="H2812" s="91" t="n"/>
      <c r="I2812" s="91" t="n"/>
      <c r="J2812" s="91" t="n"/>
      <c r="K2812" s="91" t="n"/>
      <c r="L2812" s="91" t="n"/>
      <c r="M2812" s="91" t="n"/>
      <c r="N2812" s="91" t="n"/>
      <c r="O2812" s="91" t="n"/>
      <c r="P2812" s="91" t="n"/>
      <c r="Q2812" s="91" t="n"/>
      <c r="R2812" s="91" t="n"/>
      <c r="S2812" s="91" t="n"/>
      <c r="T2812" s="25">
        <f>DAY(C2812)</f>
        <v/>
      </c>
      <c r="U2812" s="22">
        <f>MONTH(C2812)</f>
        <v/>
      </c>
      <c r="V2812" s="91" t="n"/>
      <c r="W2812" s="91" t="n"/>
      <c r="X2812" s="91" t="n"/>
      <c r="Y2812" s="91" t="n"/>
      <c r="Z2812" s="91" t="n"/>
    </row>
    <row r="2813" ht="12.75" customHeight="1" s="117">
      <c r="A2813" s="91" t="n"/>
      <c r="B2813" s="91" t="n"/>
      <c r="C2813" s="91" t="n"/>
      <c r="D2813" s="91" t="n"/>
      <c r="E2813" s="91" t="n"/>
      <c r="F2813" s="91" t="n"/>
      <c r="G2813" s="91" t="n"/>
      <c r="H2813" s="91" t="n"/>
      <c r="I2813" s="91" t="n"/>
      <c r="J2813" s="91" t="n"/>
      <c r="K2813" s="91" t="n"/>
      <c r="L2813" s="91" t="n"/>
      <c r="M2813" s="91" t="n"/>
      <c r="N2813" s="91" t="n"/>
      <c r="O2813" s="91" t="n"/>
      <c r="P2813" s="91" t="n"/>
      <c r="Q2813" s="91" t="n"/>
      <c r="R2813" s="91" t="n"/>
      <c r="S2813" s="91" t="n"/>
      <c r="T2813" s="25">
        <f>DAY(C2813)</f>
        <v/>
      </c>
      <c r="U2813" s="22">
        <f>MONTH(C2813)</f>
        <v/>
      </c>
      <c r="V2813" s="91" t="n"/>
      <c r="W2813" s="91" t="n"/>
      <c r="X2813" s="91" t="n"/>
      <c r="Y2813" s="91" t="n"/>
      <c r="Z2813" s="91" t="n"/>
    </row>
    <row r="2814" ht="12.75" customHeight="1" s="117">
      <c r="A2814" s="91" t="n"/>
      <c r="B2814" s="91" t="n"/>
      <c r="C2814" s="91" t="n"/>
      <c r="D2814" s="91" t="n"/>
      <c r="E2814" s="91" t="n"/>
      <c r="F2814" s="91" t="n"/>
      <c r="G2814" s="91" t="n"/>
      <c r="H2814" s="91" t="n"/>
      <c r="I2814" s="91" t="n"/>
      <c r="J2814" s="91" t="n"/>
      <c r="K2814" s="91" t="n"/>
      <c r="L2814" s="91" t="n"/>
      <c r="M2814" s="91" t="n"/>
      <c r="N2814" s="91" t="n"/>
      <c r="O2814" s="91" t="n"/>
      <c r="P2814" s="91" t="n"/>
      <c r="Q2814" s="91" t="n"/>
      <c r="R2814" s="91" t="n"/>
      <c r="S2814" s="91" t="n"/>
      <c r="T2814" s="25">
        <f>DAY(C2814)</f>
        <v/>
      </c>
      <c r="U2814" s="22">
        <f>MONTH(C2814)</f>
        <v/>
      </c>
      <c r="V2814" s="91" t="n"/>
      <c r="W2814" s="91" t="n"/>
      <c r="X2814" s="91" t="n"/>
      <c r="Y2814" s="91" t="n"/>
      <c r="Z2814" s="91" t="n"/>
    </row>
    <row r="2815" ht="12.75" customHeight="1" s="117">
      <c r="A2815" s="91" t="n"/>
      <c r="B2815" s="91" t="n"/>
      <c r="C2815" s="91" t="n"/>
      <c r="D2815" s="91" t="n"/>
      <c r="E2815" s="91" t="n"/>
      <c r="F2815" s="91" t="n"/>
      <c r="G2815" s="91" t="n"/>
      <c r="H2815" s="91" t="n"/>
      <c r="I2815" s="91" t="n"/>
      <c r="J2815" s="91" t="n"/>
      <c r="K2815" s="91" t="n"/>
      <c r="L2815" s="91" t="n"/>
      <c r="M2815" s="91" t="n"/>
      <c r="N2815" s="91" t="n"/>
      <c r="O2815" s="91" t="n"/>
      <c r="P2815" s="91" t="n"/>
      <c r="Q2815" s="91" t="n"/>
      <c r="R2815" s="91" t="n"/>
      <c r="S2815" s="91" t="n"/>
      <c r="T2815" s="25">
        <f>DAY(C2815)</f>
        <v/>
      </c>
      <c r="U2815" s="22">
        <f>MONTH(C2815)</f>
        <v/>
      </c>
      <c r="V2815" s="91" t="n"/>
      <c r="W2815" s="91" t="n"/>
      <c r="X2815" s="91" t="n"/>
      <c r="Y2815" s="91" t="n"/>
      <c r="Z2815" s="91" t="n"/>
    </row>
    <row r="2816" ht="12.75" customHeight="1" s="117">
      <c r="A2816" s="91" t="n"/>
      <c r="B2816" s="91" t="n"/>
      <c r="C2816" s="91" t="n"/>
      <c r="D2816" s="91" t="n"/>
      <c r="E2816" s="91" t="n"/>
      <c r="F2816" s="91" t="n"/>
      <c r="G2816" s="91" t="n"/>
      <c r="H2816" s="91" t="n"/>
      <c r="I2816" s="91" t="n"/>
      <c r="J2816" s="91" t="n"/>
      <c r="K2816" s="91" t="n"/>
      <c r="L2816" s="91" t="n"/>
      <c r="M2816" s="91" t="n"/>
      <c r="N2816" s="91" t="n"/>
      <c r="O2816" s="91" t="n"/>
      <c r="P2816" s="91" t="n"/>
      <c r="Q2816" s="91" t="n"/>
      <c r="R2816" s="91" t="n"/>
      <c r="S2816" s="91" t="n"/>
      <c r="T2816" s="25">
        <f>DAY(C2816)</f>
        <v/>
      </c>
      <c r="U2816" s="22">
        <f>MONTH(C2816)</f>
        <v/>
      </c>
      <c r="V2816" s="91" t="n"/>
      <c r="W2816" s="91" t="n"/>
      <c r="X2816" s="91" t="n"/>
      <c r="Y2816" s="91" t="n"/>
      <c r="Z2816" s="91" t="n"/>
    </row>
    <row r="2817" ht="12.75" customHeight="1" s="117">
      <c r="A2817" s="91" t="n"/>
      <c r="B2817" s="91" t="n"/>
      <c r="C2817" s="91" t="n"/>
      <c r="D2817" s="91" t="n"/>
      <c r="E2817" s="91" t="n"/>
      <c r="F2817" s="91" t="n"/>
      <c r="G2817" s="91" t="n"/>
      <c r="H2817" s="91" t="n"/>
      <c r="I2817" s="91" t="n"/>
      <c r="J2817" s="91" t="n"/>
      <c r="K2817" s="91" t="n"/>
      <c r="L2817" s="91" t="n"/>
      <c r="M2817" s="91" t="n"/>
      <c r="N2817" s="91" t="n"/>
      <c r="O2817" s="91" t="n"/>
      <c r="P2817" s="91" t="n"/>
      <c r="Q2817" s="91" t="n"/>
      <c r="R2817" s="91" t="n"/>
      <c r="S2817" s="91" t="n"/>
      <c r="T2817" s="25">
        <f>DAY(C2817)</f>
        <v/>
      </c>
      <c r="U2817" s="22">
        <f>MONTH(C2817)</f>
        <v/>
      </c>
      <c r="V2817" s="91" t="n"/>
      <c r="W2817" s="91" t="n"/>
      <c r="X2817" s="91" t="n"/>
      <c r="Y2817" s="91" t="n"/>
      <c r="Z2817" s="91" t="n"/>
    </row>
    <row r="2818" ht="12.75" customHeight="1" s="117">
      <c r="A2818" s="91" t="n"/>
      <c r="B2818" s="91" t="n"/>
      <c r="C2818" s="91" t="n"/>
      <c r="D2818" s="91" t="n"/>
      <c r="E2818" s="91" t="n"/>
      <c r="F2818" s="91" t="n"/>
      <c r="G2818" s="91" t="n"/>
      <c r="H2818" s="91" t="n"/>
      <c r="I2818" s="91" t="n"/>
      <c r="J2818" s="91" t="n"/>
      <c r="K2818" s="91" t="n"/>
      <c r="L2818" s="91" t="n"/>
      <c r="M2818" s="91" t="n"/>
      <c r="N2818" s="91" t="n"/>
      <c r="O2818" s="91" t="n"/>
      <c r="P2818" s="91" t="n"/>
      <c r="Q2818" s="91" t="n"/>
      <c r="R2818" s="91" t="n"/>
      <c r="S2818" s="91" t="n"/>
      <c r="T2818" s="25">
        <f>DAY(C2818)</f>
        <v/>
      </c>
      <c r="U2818" s="22">
        <f>MONTH(C2818)</f>
        <v/>
      </c>
      <c r="V2818" s="91" t="n"/>
      <c r="W2818" s="91" t="n"/>
      <c r="X2818" s="91" t="n"/>
      <c r="Y2818" s="91" t="n"/>
      <c r="Z2818" s="91" t="n"/>
    </row>
    <row r="2819" ht="12.75" customHeight="1" s="117">
      <c r="A2819" s="91" t="n"/>
      <c r="B2819" s="91" t="n"/>
      <c r="C2819" s="91" t="n"/>
      <c r="D2819" s="91" t="n"/>
      <c r="E2819" s="91" t="n"/>
      <c r="F2819" s="91" t="n"/>
      <c r="G2819" s="91" t="n"/>
      <c r="H2819" s="91" t="n"/>
      <c r="I2819" s="91" t="n"/>
      <c r="J2819" s="91" t="n"/>
      <c r="K2819" s="91" t="n"/>
      <c r="L2819" s="91" t="n"/>
      <c r="M2819" s="91" t="n"/>
      <c r="N2819" s="91" t="n"/>
      <c r="O2819" s="91" t="n"/>
      <c r="P2819" s="91" t="n"/>
      <c r="Q2819" s="91" t="n"/>
      <c r="R2819" s="91" t="n"/>
      <c r="S2819" s="91" t="n"/>
      <c r="T2819" s="25">
        <f>DAY(C2819)</f>
        <v/>
      </c>
      <c r="U2819" s="22">
        <f>MONTH(C2819)</f>
        <v/>
      </c>
      <c r="V2819" s="91" t="n"/>
      <c r="W2819" s="91" t="n"/>
      <c r="X2819" s="91" t="n"/>
      <c r="Y2819" s="91" t="n"/>
      <c r="Z2819" s="91" t="n"/>
    </row>
    <row r="2820" ht="12.75" customHeight="1" s="117">
      <c r="A2820" s="91" t="n"/>
      <c r="B2820" s="91" t="n"/>
      <c r="C2820" s="91" t="n"/>
      <c r="D2820" s="91" t="n"/>
      <c r="E2820" s="91" t="n"/>
      <c r="F2820" s="91" t="n"/>
      <c r="G2820" s="91" t="n"/>
      <c r="H2820" s="91" t="n"/>
      <c r="I2820" s="91" t="n"/>
      <c r="J2820" s="91" t="n"/>
      <c r="K2820" s="91" t="n"/>
      <c r="L2820" s="91" t="n"/>
      <c r="M2820" s="91" t="n"/>
      <c r="N2820" s="91" t="n"/>
      <c r="O2820" s="91" t="n"/>
      <c r="P2820" s="91" t="n"/>
      <c r="Q2820" s="91" t="n"/>
      <c r="R2820" s="91" t="n"/>
      <c r="S2820" s="91" t="n"/>
      <c r="T2820" s="25">
        <f>DAY(C2820)</f>
        <v/>
      </c>
      <c r="U2820" s="22">
        <f>MONTH(C2820)</f>
        <v/>
      </c>
      <c r="V2820" s="91" t="n"/>
      <c r="W2820" s="91" t="n"/>
      <c r="X2820" s="91" t="n"/>
      <c r="Y2820" s="91" t="n"/>
      <c r="Z2820" s="91" t="n"/>
    </row>
    <row r="2821" ht="12.75" customHeight="1" s="117">
      <c r="A2821" s="91" t="n"/>
      <c r="B2821" s="91" t="n"/>
      <c r="C2821" s="91" t="n"/>
      <c r="D2821" s="91" t="n"/>
      <c r="E2821" s="91" t="n"/>
      <c r="F2821" s="91" t="n"/>
      <c r="G2821" s="91" t="n"/>
      <c r="H2821" s="91" t="n"/>
      <c r="I2821" s="91" t="n"/>
      <c r="J2821" s="91" t="n"/>
      <c r="K2821" s="91" t="n"/>
      <c r="L2821" s="91" t="n"/>
      <c r="M2821" s="91" t="n"/>
      <c r="N2821" s="91" t="n"/>
      <c r="O2821" s="91" t="n"/>
      <c r="P2821" s="91" t="n"/>
      <c r="Q2821" s="91" t="n"/>
      <c r="R2821" s="91" t="n"/>
      <c r="S2821" s="91" t="n"/>
      <c r="T2821" s="25">
        <f>DAY(C2821)</f>
        <v/>
      </c>
      <c r="U2821" s="22">
        <f>MONTH(C2821)</f>
        <v/>
      </c>
      <c r="V2821" s="91" t="n"/>
      <c r="W2821" s="91" t="n"/>
      <c r="X2821" s="91" t="n"/>
      <c r="Y2821" s="91" t="n"/>
      <c r="Z2821" s="91" t="n"/>
    </row>
    <row r="2822" ht="12.75" customHeight="1" s="117">
      <c r="A2822" s="91" t="n"/>
      <c r="B2822" s="91" t="n"/>
      <c r="C2822" s="91" t="n"/>
      <c r="D2822" s="91" t="n"/>
      <c r="E2822" s="91" t="n"/>
      <c r="F2822" s="91" t="n"/>
      <c r="G2822" s="91" t="n"/>
      <c r="H2822" s="91" t="n"/>
      <c r="I2822" s="91" t="n"/>
      <c r="J2822" s="91" t="n"/>
      <c r="K2822" s="91" t="n"/>
      <c r="L2822" s="91" t="n"/>
      <c r="M2822" s="91" t="n"/>
      <c r="N2822" s="91" t="n"/>
      <c r="O2822" s="91" t="n"/>
      <c r="P2822" s="91" t="n"/>
      <c r="Q2822" s="91" t="n"/>
      <c r="R2822" s="91" t="n"/>
      <c r="S2822" s="91" t="n"/>
      <c r="T2822" s="25">
        <f>DAY(C2822)</f>
        <v/>
      </c>
      <c r="U2822" s="22">
        <f>MONTH(C2822)</f>
        <v/>
      </c>
      <c r="V2822" s="91" t="n"/>
      <c r="W2822" s="91" t="n"/>
      <c r="X2822" s="91" t="n"/>
      <c r="Y2822" s="91" t="n"/>
      <c r="Z2822" s="91" t="n"/>
    </row>
    <row r="2823" ht="12.75" customHeight="1" s="117">
      <c r="A2823" s="91" t="n"/>
      <c r="B2823" s="91" t="n"/>
      <c r="C2823" s="91" t="n"/>
      <c r="D2823" s="91" t="n"/>
      <c r="E2823" s="91" t="n"/>
      <c r="F2823" s="91" t="n"/>
      <c r="G2823" s="91" t="n"/>
      <c r="H2823" s="91" t="n"/>
      <c r="I2823" s="91" t="n"/>
      <c r="J2823" s="91" t="n"/>
      <c r="K2823" s="91" t="n"/>
      <c r="L2823" s="91" t="n"/>
      <c r="M2823" s="91" t="n"/>
      <c r="N2823" s="91" t="n"/>
      <c r="O2823" s="91" t="n"/>
      <c r="P2823" s="91" t="n"/>
      <c r="Q2823" s="91" t="n"/>
      <c r="R2823" s="91" t="n"/>
      <c r="S2823" s="91" t="n"/>
      <c r="T2823" s="25">
        <f>DAY(C2823)</f>
        <v/>
      </c>
      <c r="U2823" s="22">
        <f>MONTH(C2823)</f>
        <v/>
      </c>
      <c r="V2823" s="91" t="n"/>
      <c r="W2823" s="91" t="n"/>
      <c r="X2823" s="91" t="n"/>
      <c r="Y2823" s="91" t="n"/>
      <c r="Z2823" s="91" t="n"/>
    </row>
    <row r="2824" ht="12.75" customHeight="1" s="117">
      <c r="A2824" s="91" t="n"/>
      <c r="B2824" s="91" t="n"/>
      <c r="C2824" s="91" t="n"/>
      <c r="D2824" s="91" t="n"/>
      <c r="E2824" s="91" t="n"/>
      <c r="F2824" s="91" t="n"/>
      <c r="G2824" s="91" t="n"/>
      <c r="H2824" s="91" t="n"/>
      <c r="I2824" s="91" t="n"/>
      <c r="J2824" s="91" t="n"/>
      <c r="K2824" s="91" t="n"/>
      <c r="L2824" s="91" t="n"/>
      <c r="M2824" s="91" t="n"/>
      <c r="N2824" s="91" t="n"/>
      <c r="O2824" s="91" t="n"/>
      <c r="P2824" s="91" t="n"/>
      <c r="Q2824" s="91" t="n"/>
      <c r="R2824" s="91" t="n"/>
      <c r="S2824" s="91" t="n"/>
      <c r="T2824" s="25">
        <f>DAY(C2824)</f>
        <v/>
      </c>
      <c r="U2824" s="22">
        <f>MONTH(C2824)</f>
        <v/>
      </c>
      <c r="V2824" s="91" t="n"/>
      <c r="W2824" s="91" t="n"/>
      <c r="X2824" s="91" t="n"/>
      <c r="Y2824" s="91" t="n"/>
      <c r="Z2824" s="91" t="n"/>
    </row>
    <row r="2825" ht="12.75" customHeight="1" s="117">
      <c r="A2825" s="91" t="n"/>
      <c r="B2825" s="91" t="n"/>
      <c r="C2825" s="91" t="n"/>
      <c r="D2825" s="91" t="n"/>
      <c r="E2825" s="91" t="n"/>
      <c r="F2825" s="91" t="n"/>
      <c r="G2825" s="91" t="n"/>
      <c r="H2825" s="91" t="n"/>
      <c r="I2825" s="91" t="n"/>
      <c r="J2825" s="91" t="n"/>
      <c r="K2825" s="91" t="n"/>
      <c r="L2825" s="91" t="n"/>
      <c r="M2825" s="91" t="n"/>
      <c r="N2825" s="91" t="n"/>
      <c r="O2825" s="91" t="n"/>
      <c r="P2825" s="91" t="n"/>
      <c r="Q2825" s="91" t="n"/>
      <c r="R2825" s="91" t="n"/>
      <c r="S2825" s="91" t="n"/>
      <c r="T2825" s="25">
        <f>DAY(C2825)</f>
        <v/>
      </c>
      <c r="U2825" s="22">
        <f>MONTH(C2825)</f>
        <v/>
      </c>
      <c r="V2825" s="91" t="n"/>
      <c r="W2825" s="91" t="n"/>
      <c r="X2825" s="91" t="n"/>
      <c r="Y2825" s="91" t="n"/>
      <c r="Z2825" s="91" t="n"/>
    </row>
    <row r="2826" ht="12.75" customHeight="1" s="117">
      <c r="A2826" s="91" t="n"/>
      <c r="B2826" s="91" t="n"/>
      <c r="C2826" s="91" t="n"/>
      <c r="D2826" s="91" t="n"/>
      <c r="E2826" s="91" t="n"/>
      <c r="F2826" s="91" t="n"/>
      <c r="G2826" s="91" t="n"/>
      <c r="H2826" s="91" t="n"/>
      <c r="I2826" s="91" t="n"/>
      <c r="J2826" s="91" t="n"/>
      <c r="K2826" s="91" t="n"/>
      <c r="L2826" s="91" t="n"/>
      <c r="M2826" s="91" t="n"/>
      <c r="N2826" s="91" t="n"/>
      <c r="O2826" s="91" t="n"/>
      <c r="P2826" s="91" t="n"/>
      <c r="Q2826" s="91" t="n"/>
      <c r="R2826" s="91" t="n"/>
      <c r="S2826" s="91" t="n"/>
      <c r="T2826" s="25">
        <f>DAY(C2826)</f>
        <v/>
      </c>
      <c r="U2826" s="22">
        <f>MONTH(C2826)</f>
        <v/>
      </c>
      <c r="V2826" s="91" t="n"/>
      <c r="W2826" s="91" t="n"/>
      <c r="X2826" s="91" t="n"/>
      <c r="Y2826" s="91" t="n"/>
      <c r="Z2826" s="91" t="n"/>
    </row>
    <row r="2827" ht="12.75" customHeight="1" s="117">
      <c r="A2827" s="91" t="n"/>
      <c r="B2827" s="91" t="n"/>
      <c r="C2827" s="91" t="n"/>
      <c r="D2827" s="91" t="n"/>
      <c r="E2827" s="91" t="n"/>
      <c r="F2827" s="91" t="n"/>
      <c r="G2827" s="91" t="n"/>
      <c r="H2827" s="91" t="n"/>
      <c r="I2827" s="91" t="n"/>
      <c r="J2827" s="91" t="n"/>
      <c r="K2827" s="91" t="n"/>
      <c r="L2827" s="91" t="n"/>
      <c r="M2827" s="91" t="n"/>
      <c r="N2827" s="91" t="n"/>
      <c r="O2827" s="91" t="n"/>
      <c r="P2827" s="91" t="n"/>
      <c r="Q2827" s="91" t="n"/>
      <c r="R2827" s="91" t="n"/>
      <c r="S2827" s="91" t="n"/>
      <c r="T2827" s="25">
        <f>DAY(C2827)</f>
        <v/>
      </c>
      <c r="U2827" s="22">
        <f>MONTH(C2827)</f>
        <v/>
      </c>
      <c r="V2827" s="91" t="n"/>
      <c r="W2827" s="91" t="n"/>
      <c r="X2827" s="91" t="n"/>
      <c r="Y2827" s="91" t="n"/>
      <c r="Z2827" s="91" t="n"/>
    </row>
    <row r="2828" ht="12.75" customHeight="1" s="117">
      <c r="A2828" s="91" t="n"/>
      <c r="B2828" s="91" t="n"/>
      <c r="C2828" s="91" t="n"/>
      <c r="D2828" s="91" t="n"/>
      <c r="E2828" s="91" t="n"/>
      <c r="F2828" s="91" t="n"/>
      <c r="G2828" s="91" t="n"/>
      <c r="H2828" s="91" t="n"/>
      <c r="I2828" s="91" t="n"/>
      <c r="J2828" s="91" t="n"/>
      <c r="K2828" s="91" t="n"/>
      <c r="L2828" s="91" t="n"/>
      <c r="M2828" s="91" t="n"/>
      <c r="N2828" s="91" t="n"/>
      <c r="O2828" s="91" t="n"/>
      <c r="P2828" s="91" t="n"/>
      <c r="Q2828" s="91" t="n"/>
      <c r="R2828" s="91" t="n"/>
      <c r="S2828" s="91" t="n"/>
      <c r="T2828" s="25">
        <f>DAY(C2828)</f>
        <v/>
      </c>
      <c r="U2828" s="22">
        <f>MONTH(C2828)</f>
        <v/>
      </c>
      <c r="V2828" s="91" t="n"/>
      <c r="W2828" s="91" t="n"/>
      <c r="X2828" s="91" t="n"/>
      <c r="Y2828" s="91" t="n"/>
      <c r="Z2828" s="91" t="n"/>
    </row>
    <row r="2829" ht="12.75" customHeight="1" s="117">
      <c r="A2829" s="91" t="n"/>
      <c r="B2829" s="91" t="n"/>
      <c r="C2829" s="91" t="n"/>
      <c r="D2829" s="91" t="n"/>
      <c r="E2829" s="91" t="n"/>
      <c r="F2829" s="91" t="n"/>
      <c r="G2829" s="91" t="n"/>
      <c r="H2829" s="91" t="n"/>
      <c r="I2829" s="91" t="n"/>
      <c r="J2829" s="91" t="n"/>
      <c r="K2829" s="91" t="n"/>
      <c r="L2829" s="91" t="n"/>
      <c r="M2829" s="91" t="n"/>
      <c r="N2829" s="91" t="n"/>
      <c r="O2829" s="91" t="n"/>
      <c r="P2829" s="91" t="n"/>
      <c r="Q2829" s="91" t="n"/>
      <c r="R2829" s="91" t="n"/>
      <c r="S2829" s="91" t="n"/>
      <c r="T2829" s="25">
        <f>DAY(C2829)</f>
        <v/>
      </c>
      <c r="U2829" s="22">
        <f>MONTH(C2829)</f>
        <v/>
      </c>
      <c r="V2829" s="91" t="n"/>
      <c r="W2829" s="91" t="n"/>
      <c r="X2829" s="91" t="n"/>
      <c r="Y2829" s="91" t="n"/>
      <c r="Z2829" s="91" t="n"/>
    </row>
    <row r="2830" ht="12.75" customHeight="1" s="117">
      <c r="A2830" s="91" t="n"/>
      <c r="B2830" s="91" t="n"/>
      <c r="C2830" s="91" t="n"/>
      <c r="D2830" s="91" t="n"/>
      <c r="E2830" s="91" t="n"/>
      <c r="F2830" s="91" t="n"/>
      <c r="G2830" s="91" t="n"/>
      <c r="H2830" s="91" t="n"/>
      <c r="I2830" s="91" t="n"/>
      <c r="J2830" s="91" t="n"/>
      <c r="K2830" s="91" t="n"/>
      <c r="L2830" s="91" t="n"/>
      <c r="M2830" s="91" t="n"/>
      <c r="N2830" s="91" t="n"/>
      <c r="O2830" s="91" t="n"/>
      <c r="P2830" s="91" t="n"/>
      <c r="Q2830" s="91" t="n"/>
      <c r="R2830" s="91" t="n"/>
      <c r="S2830" s="91" t="n"/>
      <c r="T2830" s="25">
        <f>DAY(C2830)</f>
        <v/>
      </c>
      <c r="U2830" s="22">
        <f>MONTH(C2830)</f>
        <v/>
      </c>
      <c r="V2830" s="91" t="n"/>
      <c r="W2830" s="91" t="n"/>
      <c r="X2830" s="91" t="n"/>
      <c r="Y2830" s="91" t="n"/>
      <c r="Z2830" s="91" t="n"/>
    </row>
    <row r="2831" ht="12.75" customHeight="1" s="117">
      <c r="A2831" s="91" t="n"/>
      <c r="B2831" s="91" t="n"/>
      <c r="C2831" s="91" t="n"/>
      <c r="D2831" s="91" t="n"/>
      <c r="E2831" s="91" t="n"/>
      <c r="F2831" s="91" t="n"/>
      <c r="G2831" s="91" t="n"/>
      <c r="H2831" s="91" t="n"/>
      <c r="I2831" s="91" t="n"/>
      <c r="J2831" s="91" t="n"/>
      <c r="K2831" s="91" t="n"/>
      <c r="L2831" s="91" t="n"/>
      <c r="M2831" s="91" t="n"/>
      <c r="N2831" s="91" t="n"/>
      <c r="O2831" s="91" t="n"/>
      <c r="P2831" s="91" t="n"/>
      <c r="Q2831" s="91" t="n"/>
      <c r="R2831" s="91" t="n"/>
      <c r="S2831" s="91" t="n"/>
      <c r="T2831" s="25">
        <f>DAY(C2831)</f>
        <v/>
      </c>
      <c r="U2831" s="22">
        <f>MONTH(C2831)</f>
        <v/>
      </c>
      <c r="V2831" s="91" t="n"/>
      <c r="W2831" s="91" t="n"/>
      <c r="X2831" s="91" t="n"/>
      <c r="Y2831" s="91" t="n"/>
      <c r="Z2831" s="91" t="n"/>
    </row>
    <row r="2832" ht="12.75" customHeight="1" s="117">
      <c r="A2832" s="91" t="n"/>
      <c r="B2832" s="91" t="n"/>
      <c r="C2832" s="91" t="n"/>
      <c r="D2832" s="91" t="n"/>
      <c r="E2832" s="91" t="n"/>
      <c r="F2832" s="91" t="n"/>
      <c r="G2832" s="91" t="n"/>
      <c r="H2832" s="91" t="n"/>
      <c r="I2832" s="91" t="n"/>
      <c r="J2832" s="91" t="n"/>
      <c r="K2832" s="91" t="n"/>
      <c r="L2832" s="91" t="n"/>
      <c r="M2832" s="91" t="n"/>
      <c r="N2832" s="91" t="n"/>
      <c r="O2832" s="91" t="n"/>
      <c r="P2832" s="91" t="n"/>
      <c r="Q2832" s="91" t="n"/>
      <c r="R2832" s="91" t="n"/>
      <c r="S2832" s="91" t="n"/>
      <c r="T2832" s="25">
        <f>DAY(C2832)</f>
        <v/>
      </c>
      <c r="U2832" s="22">
        <f>MONTH(C2832)</f>
        <v/>
      </c>
      <c r="V2832" s="91" t="n"/>
      <c r="W2832" s="91" t="n"/>
      <c r="X2832" s="91" t="n"/>
      <c r="Y2832" s="91" t="n"/>
      <c r="Z2832" s="91" t="n"/>
    </row>
    <row r="2833" ht="12.75" customHeight="1" s="117">
      <c r="A2833" s="91" t="n"/>
      <c r="B2833" s="91" t="n"/>
      <c r="C2833" s="91" t="n"/>
      <c r="D2833" s="91" t="n"/>
      <c r="E2833" s="91" t="n"/>
      <c r="F2833" s="91" t="n"/>
      <c r="G2833" s="91" t="n"/>
      <c r="H2833" s="91" t="n"/>
      <c r="I2833" s="91" t="n"/>
      <c r="J2833" s="91" t="n"/>
      <c r="K2833" s="91" t="n"/>
      <c r="L2833" s="91" t="n"/>
      <c r="M2833" s="91" t="n"/>
      <c r="N2833" s="91" t="n"/>
      <c r="O2833" s="91" t="n"/>
      <c r="P2833" s="91" t="n"/>
      <c r="Q2833" s="91" t="n"/>
      <c r="R2833" s="91" t="n"/>
      <c r="S2833" s="91" t="n"/>
      <c r="T2833" s="25">
        <f>DAY(C2833)</f>
        <v/>
      </c>
      <c r="U2833" s="22">
        <f>MONTH(C2833)</f>
        <v/>
      </c>
      <c r="V2833" s="91" t="n"/>
      <c r="W2833" s="91" t="n"/>
      <c r="X2833" s="91" t="n"/>
      <c r="Y2833" s="91" t="n"/>
      <c r="Z2833" s="91" t="n"/>
    </row>
    <row r="2834" ht="12.75" customHeight="1" s="117">
      <c r="A2834" s="91" t="n"/>
      <c r="B2834" s="91" t="n"/>
      <c r="C2834" s="91" t="n"/>
      <c r="D2834" s="91" t="n"/>
      <c r="E2834" s="91" t="n"/>
      <c r="F2834" s="91" t="n"/>
      <c r="G2834" s="91" t="n"/>
      <c r="H2834" s="91" t="n"/>
      <c r="I2834" s="91" t="n"/>
      <c r="J2834" s="91" t="n"/>
      <c r="K2834" s="91" t="n"/>
      <c r="L2834" s="91" t="n"/>
      <c r="M2834" s="91" t="n"/>
      <c r="N2834" s="91" t="n"/>
      <c r="O2834" s="91" t="n"/>
      <c r="P2834" s="91" t="n"/>
      <c r="Q2834" s="91" t="n"/>
      <c r="R2834" s="91" t="n"/>
      <c r="S2834" s="91" t="n"/>
      <c r="T2834" s="25">
        <f>DAY(C2834)</f>
        <v/>
      </c>
      <c r="U2834" s="22">
        <f>MONTH(C2834)</f>
        <v/>
      </c>
      <c r="V2834" s="91" t="n"/>
      <c r="W2834" s="91" t="n"/>
      <c r="X2834" s="91" t="n"/>
      <c r="Y2834" s="91" t="n"/>
      <c r="Z2834" s="91" t="n"/>
    </row>
    <row r="2835" ht="12.75" customHeight="1" s="117">
      <c r="A2835" s="91" t="n"/>
      <c r="B2835" s="91" t="n"/>
      <c r="C2835" s="91" t="n"/>
      <c r="D2835" s="91" t="n"/>
      <c r="E2835" s="91" t="n"/>
      <c r="F2835" s="91" t="n"/>
      <c r="G2835" s="91" t="n"/>
      <c r="H2835" s="91" t="n"/>
      <c r="I2835" s="91" t="n"/>
      <c r="J2835" s="91" t="n"/>
      <c r="K2835" s="91" t="n"/>
      <c r="L2835" s="91" t="n"/>
      <c r="M2835" s="91" t="n"/>
      <c r="N2835" s="91" t="n"/>
      <c r="O2835" s="91" t="n"/>
      <c r="P2835" s="91" t="n"/>
      <c r="Q2835" s="91" t="n"/>
      <c r="R2835" s="91" t="n"/>
      <c r="S2835" s="91" t="n"/>
      <c r="T2835" s="25">
        <f>DAY(C2835)</f>
        <v/>
      </c>
      <c r="U2835" s="22">
        <f>MONTH(C2835)</f>
        <v/>
      </c>
      <c r="V2835" s="91" t="n"/>
      <c r="W2835" s="91" t="n"/>
      <c r="X2835" s="91" t="n"/>
      <c r="Y2835" s="91" t="n"/>
      <c r="Z2835" s="91" t="n"/>
    </row>
    <row r="2836" ht="12.75" customHeight="1" s="117">
      <c r="A2836" s="91" t="n"/>
      <c r="B2836" s="91" t="n"/>
      <c r="C2836" s="91" t="n"/>
      <c r="D2836" s="91" t="n"/>
      <c r="E2836" s="91" t="n"/>
      <c r="F2836" s="91" t="n"/>
      <c r="G2836" s="91" t="n"/>
      <c r="H2836" s="91" t="n"/>
      <c r="I2836" s="91" t="n"/>
      <c r="J2836" s="91" t="n"/>
      <c r="K2836" s="91" t="n"/>
      <c r="L2836" s="91" t="n"/>
      <c r="M2836" s="91" t="n"/>
      <c r="N2836" s="91" t="n"/>
      <c r="O2836" s="91" t="n"/>
      <c r="P2836" s="91" t="n"/>
      <c r="Q2836" s="91" t="n"/>
      <c r="R2836" s="91" t="n"/>
      <c r="S2836" s="91" t="n"/>
      <c r="T2836" s="25">
        <f>DAY(C2836)</f>
        <v/>
      </c>
      <c r="U2836" s="22">
        <f>MONTH(C2836)</f>
        <v/>
      </c>
      <c r="V2836" s="91" t="n"/>
      <c r="W2836" s="91" t="n"/>
      <c r="X2836" s="91" t="n"/>
      <c r="Y2836" s="91" t="n"/>
      <c r="Z2836" s="91" t="n"/>
    </row>
    <row r="2837" ht="12.75" customHeight="1" s="117">
      <c r="A2837" s="91" t="n"/>
      <c r="B2837" s="91" t="n"/>
      <c r="C2837" s="91" t="n"/>
      <c r="D2837" s="91" t="n"/>
      <c r="E2837" s="91" t="n"/>
      <c r="F2837" s="91" t="n"/>
      <c r="G2837" s="91" t="n"/>
      <c r="H2837" s="91" t="n"/>
      <c r="I2837" s="91" t="n"/>
      <c r="J2837" s="91" t="n"/>
      <c r="K2837" s="91" t="n"/>
      <c r="L2837" s="91" t="n"/>
      <c r="M2837" s="91" t="n"/>
      <c r="N2837" s="91" t="n"/>
      <c r="O2837" s="91" t="n"/>
      <c r="P2837" s="91" t="n"/>
      <c r="Q2837" s="91" t="n"/>
      <c r="R2837" s="91" t="n"/>
      <c r="S2837" s="91" t="n"/>
      <c r="T2837" s="25">
        <f>DAY(C2837)</f>
        <v/>
      </c>
      <c r="U2837" s="22">
        <f>MONTH(C2837)</f>
        <v/>
      </c>
      <c r="V2837" s="91" t="n"/>
      <c r="W2837" s="91" t="n"/>
      <c r="X2837" s="91" t="n"/>
      <c r="Y2837" s="91" t="n"/>
      <c r="Z2837" s="91" t="n"/>
    </row>
    <row r="2838" ht="12.75" customHeight="1" s="117">
      <c r="A2838" s="91" t="n"/>
      <c r="B2838" s="91" t="n"/>
      <c r="C2838" s="91" t="n"/>
      <c r="D2838" s="91" t="n"/>
      <c r="E2838" s="91" t="n"/>
      <c r="F2838" s="91" t="n"/>
      <c r="G2838" s="91" t="n"/>
      <c r="H2838" s="91" t="n"/>
      <c r="I2838" s="91" t="n"/>
      <c r="J2838" s="91" t="n"/>
      <c r="K2838" s="91" t="n"/>
      <c r="L2838" s="91" t="n"/>
      <c r="M2838" s="91" t="n"/>
      <c r="N2838" s="91" t="n"/>
      <c r="O2838" s="91" t="n"/>
      <c r="P2838" s="91" t="n"/>
      <c r="Q2838" s="91" t="n"/>
      <c r="R2838" s="91" t="n"/>
      <c r="S2838" s="91" t="n"/>
      <c r="T2838" s="25">
        <f>DAY(C2838)</f>
        <v/>
      </c>
      <c r="U2838" s="22">
        <f>MONTH(C2838)</f>
        <v/>
      </c>
      <c r="V2838" s="91" t="n"/>
      <c r="W2838" s="91" t="n"/>
      <c r="X2838" s="91" t="n"/>
      <c r="Y2838" s="91" t="n"/>
      <c r="Z2838" s="91" t="n"/>
    </row>
    <row r="2839" ht="12.75" customHeight="1" s="117">
      <c r="A2839" s="91" t="n"/>
      <c r="B2839" s="91" t="n"/>
      <c r="C2839" s="91" t="n"/>
      <c r="D2839" s="91" t="n"/>
      <c r="E2839" s="91" t="n"/>
      <c r="F2839" s="91" t="n"/>
      <c r="G2839" s="91" t="n"/>
      <c r="H2839" s="91" t="n"/>
      <c r="I2839" s="91" t="n"/>
      <c r="J2839" s="91" t="n"/>
      <c r="K2839" s="91" t="n"/>
      <c r="L2839" s="91" t="n"/>
      <c r="M2839" s="91" t="n"/>
      <c r="N2839" s="91" t="n"/>
      <c r="O2839" s="91" t="n"/>
      <c r="P2839" s="91" t="n"/>
      <c r="Q2839" s="91" t="n"/>
      <c r="R2839" s="91" t="n"/>
      <c r="S2839" s="91" t="n"/>
      <c r="T2839" s="25">
        <f>DAY(C2839)</f>
        <v/>
      </c>
      <c r="U2839" s="22">
        <f>MONTH(C2839)</f>
        <v/>
      </c>
      <c r="V2839" s="91" t="n"/>
      <c r="W2839" s="91" t="n"/>
      <c r="X2839" s="91" t="n"/>
      <c r="Y2839" s="91" t="n"/>
      <c r="Z2839" s="91" t="n"/>
    </row>
    <row r="2840" ht="12.75" customHeight="1" s="117">
      <c r="A2840" s="91" t="n"/>
      <c r="B2840" s="91" t="n"/>
      <c r="C2840" s="91" t="n"/>
      <c r="D2840" s="91" t="n"/>
      <c r="E2840" s="91" t="n"/>
      <c r="F2840" s="91" t="n"/>
      <c r="G2840" s="91" t="n"/>
      <c r="H2840" s="91" t="n"/>
      <c r="I2840" s="91" t="n"/>
      <c r="J2840" s="91" t="n"/>
      <c r="K2840" s="91" t="n"/>
      <c r="L2840" s="91" t="n"/>
      <c r="M2840" s="91" t="n"/>
      <c r="N2840" s="91" t="n"/>
      <c r="O2840" s="91" t="n"/>
      <c r="P2840" s="91" t="n"/>
      <c r="Q2840" s="91" t="n"/>
      <c r="R2840" s="91" t="n"/>
      <c r="S2840" s="91" t="n"/>
      <c r="T2840" s="25">
        <f>DAY(C2840)</f>
        <v/>
      </c>
      <c r="U2840" s="22">
        <f>MONTH(C2840)</f>
        <v/>
      </c>
      <c r="V2840" s="91" t="n"/>
      <c r="W2840" s="91" t="n"/>
      <c r="X2840" s="91" t="n"/>
      <c r="Y2840" s="91" t="n"/>
      <c r="Z2840" s="91" t="n"/>
    </row>
    <row r="2841" ht="12.75" customHeight="1" s="117">
      <c r="A2841" s="91" t="n"/>
      <c r="B2841" s="91" t="n"/>
      <c r="C2841" s="91" t="n"/>
      <c r="D2841" s="91" t="n"/>
      <c r="E2841" s="91" t="n"/>
      <c r="F2841" s="91" t="n"/>
      <c r="G2841" s="91" t="n"/>
      <c r="H2841" s="91" t="n"/>
      <c r="I2841" s="91" t="n"/>
      <c r="J2841" s="91" t="n"/>
      <c r="K2841" s="91" t="n"/>
      <c r="L2841" s="91" t="n"/>
      <c r="M2841" s="91" t="n"/>
      <c r="N2841" s="91" t="n"/>
      <c r="O2841" s="91" t="n"/>
      <c r="P2841" s="91" t="n"/>
      <c r="Q2841" s="91" t="n"/>
      <c r="R2841" s="91" t="n"/>
      <c r="S2841" s="91" t="n"/>
      <c r="T2841" s="25">
        <f>DAY(C2841)</f>
        <v/>
      </c>
      <c r="U2841" s="22">
        <f>MONTH(C2841)</f>
        <v/>
      </c>
      <c r="V2841" s="91" t="n"/>
      <c r="W2841" s="91" t="n"/>
      <c r="X2841" s="91" t="n"/>
      <c r="Y2841" s="91" t="n"/>
      <c r="Z2841" s="91" t="n"/>
    </row>
    <row r="2842" ht="12.75" customHeight="1" s="117">
      <c r="A2842" s="91" t="n"/>
      <c r="B2842" s="91" t="n"/>
      <c r="C2842" s="91" t="n"/>
      <c r="D2842" s="91" t="n"/>
      <c r="E2842" s="91" t="n"/>
      <c r="F2842" s="91" t="n"/>
      <c r="G2842" s="91" t="n"/>
      <c r="H2842" s="91" t="n"/>
      <c r="I2842" s="91" t="n"/>
      <c r="J2842" s="91" t="n"/>
      <c r="K2842" s="91" t="n"/>
      <c r="L2842" s="91" t="n"/>
      <c r="M2842" s="91" t="n"/>
      <c r="N2842" s="91" t="n"/>
      <c r="O2842" s="91" t="n"/>
      <c r="P2842" s="91" t="n"/>
      <c r="Q2842" s="91" t="n"/>
      <c r="R2842" s="91" t="n"/>
      <c r="S2842" s="91" t="n"/>
      <c r="T2842" s="25">
        <f>DAY(C2842)</f>
        <v/>
      </c>
      <c r="U2842" s="22">
        <f>MONTH(C2842)</f>
        <v/>
      </c>
      <c r="V2842" s="91" t="n"/>
      <c r="W2842" s="91" t="n"/>
      <c r="X2842" s="91" t="n"/>
      <c r="Y2842" s="91" t="n"/>
      <c r="Z2842" s="91" t="n"/>
    </row>
    <row r="2843" ht="12.75" customHeight="1" s="117">
      <c r="A2843" s="91" t="n"/>
      <c r="B2843" s="91" t="n"/>
      <c r="C2843" s="91" t="n"/>
      <c r="D2843" s="91" t="n"/>
      <c r="E2843" s="91" t="n"/>
      <c r="F2843" s="91" t="n"/>
      <c r="G2843" s="91" t="n"/>
      <c r="H2843" s="91" t="n"/>
      <c r="I2843" s="91" t="n"/>
      <c r="J2843" s="91" t="n"/>
      <c r="K2843" s="91" t="n"/>
      <c r="L2843" s="91" t="n"/>
      <c r="M2843" s="91" t="n"/>
      <c r="N2843" s="91" t="n"/>
      <c r="O2843" s="91" t="n"/>
      <c r="P2843" s="91" t="n"/>
      <c r="Q2843" s="91" t="n"/>
      <c r="R2843" s="91" t="n"/>
      <c r="S2843" s="91" t="n"/>
      <c r="T2843" s="25">
        <f>DAY(C2843)</f>
        <v/>
      </c>
      <c r="U2843" s="22">
        <f>MONTH(C2843)</f>
        <v/>
      </c>
      <c r="V2843" s="91" t="n"/>
      <c r="W2843" s="91" t="n"/>
      <c r="X2843" s="91" t="n"/>
      <c r="Y2843" s="91" t="n"/>
      <c r="Z2843" s="91" t="n"/>
    </row>
    <row r="2844" ht="12.75" customHeight="1" s="117">
      <c r="A2844" s="91" t="n"/>
      <c r="B2844" s="91" t="n"/>
      <c r="C2844" s="91" t="n"/>
      <c r="D2844" s="91" t="n"/>
      <c r="E2844" s="91" t="n"/>
      <c r="F2844" s="91" t="n"/>
      <c r="G2844" s="91" t="n"/>
      <c r="H2844" s="91" t="n"/>
      <c r="I2844" s="91" t="n"/>
      <c r="J2844" s="91" t="n"/>
      <c r="K2844" s="91" t="n"/>
      <c r="L2844" s="91" t="n"/>
      <c r="M2844" s="91" t="n"/>
      <c r="N2844" s="91" t="n"/>
      <c r="O2844" s="91" t="n"/>
      <c r="P2844" s="91" t="n"/>
      <c r="Q2844" s="91" t="n"/>
      <c r="R2844" s="91" t="n"/>
      <c r="S2844" s="91" t="n"/>
      <c r="T2844" s="25">
        <f>DAY(C2844)</f>
        <v/>
      </c>
      <c r="U2844" s="22">
        <f>MONTH(C2844)</f>
        <v/>
      </c>
      <c r="V2844" s="91" t="n"/>
      <c r="W2844" s="91" t="n"/>
      <c r="X2844" s="91" t="n"/>
      <c r="Y2844" s="91" t="n"/>
      <c r="Z2844" s="91" t="n"/>
    </row>
    <row r="2845" ht="12.75" customHeight="1" s="117">
      <c r="A2845" s="91" t="n"/>
      <c r="B2845" s="91" t="n"/>
      <c r="C2845" s="91" t="n"/>
      <c r="D2845" s="91" t="n"/>
      <c r="E2845" s="91" t="n"/>
      <c r="F2845" s="91" t="n"/>
      <c r="G2845" s="91" t="n"/>
      <c r="H2845" s="91" t="n"/>
      <c r="I2845" s="91" t="n"/>
      <c r="J2845" s="91" t="n"/>
      <c r="K2845" s="91" t="n"/>
      <c r="L2845" s="91" t="n"/>
      <c r="M2845" s="91" t="n"/>
      <c r="N2845" s="91" t="n"/>
      <c r="O2845" s="91" t="n"/>
      <c r="P2845" s="91" t="n"/>
      <c r="Q2845" s="91" t="n"/>
      <c r="R2845" s="91" t="n"/>
      <c r="S2845" s="91" t="n"/>
      <c r="T2845" s="25">
        <f>DAY(C2845)</f>
        <v/>
      </c>
      <c r="U2845" s="22">
        <f>MONTH(C2845)</f>
        <v/>
      </c>
      <c r="V2845" s="91" t="n"/>
      <c r="W2845" s="91" t="n"/>
      <c r="X2845" s="91" t="n"/>
      <c r="Y2845" s="91" t="n"/>
      <c r="Z2845" s="91" t="n"/>
    </row>
    <row r="2846" ht="12.75" customHeight="1" s="117">
      <c r="A2846" s="91" t="n"/>
      <c r="B2846" s="91" t="n"/>
      <c r="C2846" s="91" t="n"/>
      <c r="D2846" s="91" t="n"/>
      <c r="E2846" s="91" t="n"/>
      <c r="F2846" s="91" t="n"/>
      <c r="G2846" s="91" t="n"/>
      <c r="H2846" s="91" t="n"/>
      <c r="I2846" s="91" t="n"/>
      <c r="J2846" s="91" t="n"/>
      <c r="K2846" s="91" t="n"/>
      <c r="L2846" s="91" t="n"/>
      <c r="M2846" s="91" t="n"/>
      <c r="N2846" s="91" t="n"/>
      <c r="O2846" s="91" t="n"/>
      <c r="P2846" s="91" t="n"/>
      <c r="Q2846" s="91" t="n"/>
      <c r="R2846" s="91" t="n"/>
      <c r="S2846" s="91" t="n"/>
      <c r="T2846" s="25">
        <f>DAY(C2846)</f>
        <v/>
      </c>
      <c r="U2846" s="22">
        <f>MONTH(C2846)</f>
        <v/>
      </c>
      <c r="V2846" s="91" t="n"/>
      <c r="W2846" s="91" t="n"/>
      <c r="X2846" s="91" t="n"/>
      <c r="Y2846" s="91" t="n"/>
      <c r="Z2846" s="91" t="n"/>
    </row>
    <row r="2847" ht="12.75" customHeight="1" s="117">
      <c r="A2847" s="91" t="n"/>
      <c r="B2847" s="91" t="n"/>
      <c r="C2847" s="91" t="n"/>
      <c r="D2847" s="91" t="n"/>
      <c r="E2847" s="91" t="n"/>
      <c r="F2847" s="91" t="n"/>
      <c r="G2847" s="91" t="n"/>
      <c r="H2847" s="91" t="n"/>
      <c r="I2847" s="91" t="n"/>
      <c r="J2847" s="91" t="n"/>
      <c r="K2847" s="91" t="n"/>
      <c r="L2847" s="91" t="n"/>
      <c r="M2847" s="91" t="n"/>
      <c r="N2847" s="91" t="n"/>
      <c r="O2847" s="91" t="n"/>
      <c r="P2847" s="91" t="n"/>
      <c r="Q2847" s="91" t="n"/>
      <c r="R2847" s="91" t="n"/>
      <c r="S2847" s="91" t="n"/>
      <c r="T2847" s="25">
        <f>DAY(C2847)</f>
        <v/>
      </c>
      <c r="U2847" s="22">
        <f>MONTH(C2847)</f>
        <v/>
      </c>
      <c r="V2847" s="91" t="n"/>
      <c r="W2847" s="91" t="n"/>
      <c r="X2847" s="91" t="n"/>
      <c r="Y2847" s="91" t="n"/>
      <c r="Z2847" s="91" t="n"/>
    </row>
    <row r="2848" ht="12.75" customHeight="1" s="117">
      <c r="A2848" s="91" t="n"/>
      <c r="B2848" s="91" t="n"/>
      <c r="C2848" s="91" t="n"/>
      <c r="D2848" s="91" t="n"/>
      <c r="E2848" s="91" t="n"/>
      <c r="F2848" s="91" t="n"/>
      <c r="G2848" s="91" t="n"/>
      <c r="H2848" s="91" t="n"/>
      <c r="I2848" s="91" t="n"/>
      <c r="J2848" s="91" t="n"/>
      <c r="K2848" s="91" t="n"/>
      <c r="L2848" s="91" t="n"/>
      <c r="M2848" s="91" t="n"/>
      <c r="N2848" s="91" t="n"/>
      <c r="O2848" s="91" t="n"/>
      <c r="P2848" s="91" t="n"/>
      <c r="Q2848" s="91" t="n"/>
      <c r="R2848" s="91" t="n"/>
      <c r="S2848" s="91" t="n"/>
      <c r="T2848" s="25">
        <f>DAY(C2848)</f>
        <v/>
      </c>
      <c r="U2848" s="22">
        <f>MONTH(C2848)</f>
        <v/>
      </c>
      <c r="V2848" s="91" t="n"/>
      <c r="W2848" s="91" t="n"/>
      <c r="X2848" s="91" t="n"/>
      <c r="Y2848" s="91" t="n"/>
      <c r="Z2848" s="91" t="n"/>
    </row>
    <row r="2849" ht="12.75" customHeight="1" s="117">
      <c r="A2849" s="91" t="n"/>
      <c r="B2849" s="91" t="n"/>
      <c r="C2849" s="91" t="n"/>
      <c r="D2849" s="91" t="n"/>
      <c r="E2849" s="91" t="n"/>
      <c r="F2849" s="91" t="n"/>
      <c r="G2849" s="91" t="n"/>
      <c r="H2849" s="91" t="n"/>
      <c r="I2849" s="91" t="n"/>
      <c r="J2849" s="91" t="n"/>
      <c r="K2849" s="91" t="n"/>
      <c r="L2849" s="91" t="n"/>
      <c r="M2849" s="91" t="n"/>
      <c r="N2849" s="91" t="n"/>
      <c r="O2849" s="91" t="n"/>
      <c r="P2849" s="91" t="n"/>
      <c r="Q2849" s="91" t="n"/>
      <c r="R2849" s="91" t="n"/>
      <c r="S2849" s="91" t="n"/>
      <c r="T2849" s="25">
        <f>DAY(C2849)</f>
        <v/>
      </c>
      <c r="U2849" s="22">
        <f>MONTH(C2849)</f>
        <v/>
      </c>
      <c r="V2849" s="91" t="n"/>
      <c r="W2849" s="91" t="n"/>
      <c r="X2849" s="91" t="n"/>
      <c r="Y2849" s="91" t="n"/>
      <c r="Z2849" s="91" t="n"/>
    </row>
    <row r="2850" ht="12.75" customHeight="1" s="117">
      <c r="A2850" s="91" t="n"/>
      <c r="B2850" s="91" t="n"/>
      <c r="C2850" s="91" t="n"/>
      <c r="D2850" s="91" t="n"/>
      <c r="E2850" s="91" t="n"/>
      <c r="F2850" s="91" t="n"/>
      <c r="G2850" s="91" t="n"/>
      <c r="H2850" s="91" t="n"/>
      <c r="I2850" s="91" t="n"/>
      <c r="J2850" s="91" t="n"/>
      <c r="K2850" s="91" t="n"/>
      <c r="L2850" s="91" t="n"/>
      <c r="M2850" s="91" t="n"/>
      <c r="N2850" s="91" t="n"/>
      <c r="O2850" s="91" t="n"/>
      <c r="P2850" s="91" t="n"/>
      <c r="Q2850" s="91" t="n"/>
      <c r="R2850" s="91" t="n"/>
      <c r="S2850" s="91" t="n"/>
      <c r="T2850" s="25">
        <f>DAY(C2850)</f>
        <v/>
      </c>
      <c r="U2850" s="22">
        <f>MONTH(C2850)</f>
        <v/>
      </c>
      <c r="V2850" s="91" t="n"/>
      <c r="W2850" s="91" t="n"/>
      <c r="X2850" s="91" t="n"/>
      <c r="Y2850" s="91" t="n"/>
      <c r="Z2850" s="91" t="n"/>
    </row>
    <row r="2851" ht="12.75" customHeight="1" s="117">
      <c r="A2851" s="91" t="n"/>
      <c r="B2851" s="91" t="n"/>
      <c r="C2851" s="91" t="n"/>
      <c r="D2851" s="91" t="n"/>
      <c r="E2851" s="91" t="n"/>
      <c r="F2851" s="91" t="n"/>
      <c r="G2851" s="91" t="n"/>
      <c r="H2851" s="91" t="n"/>
      <c r="I2851" s="91" t="n"/>
      <c r="J2851" s="91" t="n"/>
      <c r="K2851" s="91" t="n"/>
      <c r="L2851" s="91" t="n"/>
      <c r="M2851" s="91" t="n"/>
      <c r="N2851" s="91" t="n"/>
      <c r="O2851" s="91" t="n"/>
      <c r="P2851" s="91" t="n"/>
      <c r="Q2851" s="91" t="n"/>
      <c r="R2851" s="91" t="n"/>
      <c r="S2851" s="91" t="n"/>
      <c r="T2851" s="25">
        <f>DAY(C2851)</f>
        <v/>
      </c>
      <c r="U2851" s="22">
        <f>MONTH(C2851)</f>
        <v/>
      </c>
      <c r="V2851" s="91" t="n"/>
      <c r="W2851" s="91" t="n"/>
      <c r="X2851" s="91" t="n"/>
      <c r="Y2851" s="91" t="n"/>
      <c r="Z2851" s="91" t="n"/>
    </row>
    <row r="2852" ht="12.75" customHeight="1" s="117">
      <c r="A2852" s="91" t="n"/>
      <c r="B2852" s="91" t="n"/>
      <c r="C2852" s="91" t="n"/>
      <c r="D2852" s="91" t="n"/>
      <c r="E2852" s="91" t="n"/>
      <c r="F2852" s="91" t="n"/>
      <c r="G2852" s="91" t="n"/>
      <c r="H2852" s="91" t="n"/>
      <c r="I2852" s="91" t="n"/>
      <c r="J2852" s="91" t="n"/>
      <c r="K2852" s="91" t="n"/>
      <c r="L2852" s="91" t="n"/>
      <c r="M2852" s="91" t="n"/>
      <c r="N2852" s="91" t="n"/>
      <c r="O2852" s="91" t="n"/>
      <c r="P2852" s="91" t="n"/>
      <c r="Q2852" s="91" t="n"/>
      <c r="R2852" s="91" t="n"/>
      <c r="S2852" s="91" t="n"/>
      <c r="T2852" s="25">
        <f>DAY(C2852)</f>
        <v/>
      </c>
      <c r="U2852" s="22">
        <f>MONTH(C2852)</f>
        <v/>
      </c>
      <c r="V2852" s="91" t="n"/>
      <c r="W2852" s="91" t="n"/>
      <c r="X2852" s="91" t="n"/>
      <c r="Y2852" s="91" t="n"/>
      <c r="Z2852" s="91" t="n"/>
    </row>
    <row r="2853" ht="12.75" customHeight="1" s="117">
      <c r="A2853" s="91" t="n"/>
      <c r="B2853" s="91" t="n"/>
      <c r="C2853" s="91" t="n"/>
      <c r="D2853" s="91" t="n"/>
      <c r="E2853" s="91" t="n"/>
      <c r="F2853" s="91" t="n"/>
      <c r="G2853" s="91" t="n"/>
      <c r="H2853" s="91" t="n"/>
      <c r="I2853" s="91" t="n"/>
      <c r="J2853" s="91" t="n"/>
      <c r="K2853" s="91" t="n"/>
      <c r="L2853" s="91" t="n"/>
      <c r="M2853" s="91" t="n"/>
      <c r="N2853" s="91" t="n"/>
      <c r="O2853" s="91" t="n"/>
      <c r="P2853" s="91" t="n"/>
      <c r="Q2853" s="91" t="n"/>
      <c r="R2853" s="91" t="n"/>
      <c r="S2853" s="91" t="n"/>
      <c r="T2853" s="25">
        <f>DAY(C2853)</f>
        <v/>
      </c>
      <c r="U2853" s="22">
        <f>MONTH(C2853)</f>
        <v/>
      </c>
      <c r="V2853" s="91" t="n"/>
      <c r="W2853" s="91" t="n"/>
      <c r="X2853" s="91" t="n"/>
      <c r="Y2853" s="91" t="n"/>
      <c r="Z2853" s="91" t="n"/>
    </row>
    <row r="2854" ht="12.75" customHeight="1" s="117">
      <c r="A2854" s="91" t="n"/>
      <c r="B2854" s="91" t="n"/>
      <c r="C2854" s="91" t="n"/>
      <c r="D2854" s="91" t="n"/>
      <c r="E2854" s="91" t="n"/>
      <c r="F2854" s="91" t="n"/>
      <c r="G2854" s="91" t="n"/>
      <c r="H2854" s="91" t="n"/>
      <c r="I2854" s="91" t="n"/>
      <c r="J2854" s="91" t="n"/>
      <c r="K2854" s="91" t="n"/>
      <c r="L2854" s="91" t="n"/>
      <c r="M2854" s="91" t="n"/>
      <c r="N2854" s="91" t="n"/>
      <c r="O2854" s="91" t="n"/>
      <c r="P2854" s="91" t="n"/>
      <c r="Q2854" s="91" t="n"/>
      <c r="R2854" s="91" t="n"/>
      <c r="S2854" s="91" t="n"/>
      <c r="T2854" s="25">
        <f>DAY(C2854)</f>
        <v/>
      </c>
      <c r="U2854" s="22">
        <f>MONTH(C2854)</f>
        <v/>
      </c>
      <c r="V2854" s="91" t="n"/>
      <c r="W2854" s="91" t="n"/>
      <c r="X2854" s="91" t="n"/>
      <c r="Y2854" s="91" t="n"/>
      <c r="Z2854" s="91" t="n"/>
    </row>
    <row r="2855" ht="12.75" customHeight="1" s="117">
      <c r="A2855" s="91" t="n"/>
      <c r="B2855" s="91" t="n"/>
      <c r="C2855" s="91" t="n"/>
      <c r="D2855" s="91" t="n"/>
      <c r="E2855" s="91" t="n"/>
      <c r="F2855" s="91" t="n"/>
      <c r="G2855" s="91" t="n"/>
      <c r="H2855" s="91" t="n"/>
      <c r="I2855" s="91" t="n"/>
      <c r="J2855" s="91" t="n"/>
      <c r="K2855" s="91" t="n"/>
      <c r="L2855" s="91" t="n"/>
      <c r="M2855" s="91" t="n"/>
      <c r="N2855" s="91" t="n"/>
      <c r="O2855" s="91" t="n"/>
      <c r="P2855" s="91" t="n"/>
      <c r="Q2855" s="91" t="n"/>
      <c r="R2855" s="91" t="n"/>
      <c r="S2855" s="91" t="n"/>
      <c r="T2855" s="25">
        <f>DAY(C2855)</f>
        <v/>
      </c>
      <c r="U2855" s="22">
        <f>MONTH(C2855)</f>
        <v/>
      </c>
      <c r="V2855" s="91" t="n"/>
      <c r="W2855" s="91" t="n"/>
      <c r="X2855" s="91" t="n"/>
      <c r="Y2855" s="91" t="n"/>
      <c r="Z2855" s="91" t="n"/>
    </row>
    <row r="2856" ht="12.75" customHeight="1" s="117">
      <c r="A2856" s="91" t="n"/>
      <c r="B2856" s="91" t="n"/>
      <c r="C2856" s="91" t="n"/>
      <c r="D2856" s="91" t="n"/>
      <c r="E2856" s="91" t="n"/>
      <c r="F2856" s="91" t="n"/>
      <c r="G2856" s="91" t="n"/>
      <c r="H2856" s="91" t="n"/>
      <c r="I2856" s="91" t="n"/>
      <c r="J2856" s="91" t="n"/>
      <c r="K2856" s="91" t="n"/>
      <c r="L2856" s="91" t="n"/>
      <c r="M2856" s="91" t="n"/>
      <c r="N2856" s="91" t="n"/>
      <c r="O2856" s="91" t="n"/>
      <c r="P2856" s="91" t="n"/>
      <c r="Q2856" s="91" t="n"/>
      <c r="R2856" s="91" t="n"/>
      <c r="S2856" s="91" t="n"/>
      <c r="T2856" s="25">
        <f>DAY(C2856)</f>
        <v/>
      </c>
      <c r="U2856" s="22">
        <f>MONTH(C2856)</f>
        <v/>
      </c>
      <c r="V2856" s="91" t="n"/>
      <c r="W2856" s="91" t="n"/>
      <c r="X2856" s="91" t="n"/>
      <c r="Y2856" s="91" t="n"/>
      <c r="Z2856" s="91" t="n"/>
    </row>
    <row r="2857" ht="12.75" customHeight="1" s="117">
      <c r="A2857" s="91" t="n"/>
      <c r="B2857" s="91" t="n"/>
      <c r="C2857" s="91" t="n"/>
      <c r="D2857" s="91" t="n"/>
      <c r="E2857" s="91" t="n"/>
      <c r="F2857" s="91" t="n"/>
      <c r="G2857" s="91" t="n"/>
      <c r="H2857" s="91" t="n"/>
      <c r="I2857" s="91" t="n"/>
      <c r="J2857" s="91" t="n"/>
      <c r="K2857" s="91" t="n"/>
      <c r="L2857" s="91" t="n"/>
      <c r="M2857" s="91" t="n"/>
      <c r="N2857" s="91" t="n"/>
      <c r="O2857" s="91" t="n"/>
      <c r="P2857" s="91" t="n"/>
      <c r="Q2857" s="91" t="n"/>
      <c r="R2857" s="91" t="n"/>
      <c r="S2857" s="91" t="n"/>
      <c r="T2857" s="25">
        <f>DAY(C2857)</f>
        <v/>
      </c>
      <c r="U2857" s="22">
        <f>MONTH(C2857)</f>
        <v/>
      </c>
      <c r="V2857" s="91" t="n"/>
      <c r="W2857" s="91" t="n"/>
      <c r="X2857" s="91" t="n"/>
      <c r="Y2857" s="91" t="n"/>
      <c r="Z2857" s="91" t="n"/>
    </row>
    <row r="2858" ht="12.75" customHeight="1" s="117">
      <c r="A2858" s="91" t="n"/>
      <c r="B2858" s="91" t="n"/>
      <c r="C2858" s="91" t="n"/>
      <c r="D2858" s="91" t="n"/>
      <c r="E2858" s="91" t="n"/>
      <c r="F2858" s="91" t="n"/>
      <c r="G2858" s="91" t="n"/>
      <c r="H2858" s="91" t="n"/>
      <c r="I2858" s="91" t="n"/>
      <c r="J2858" s="91" t="n"/>
      <c r="K2858" s="91" t="n"/>
      <c r="L2858" s="91" t="n"/>
      <c r="M2858" s="91" t="n"/>
      <c r="N2858" s="91" t="n"/>
      <c r="O2858" s="91" t="n"/>
      <c r="P2858" s="91" t="n"/>
      <c r="Q2858" s="91" t="n"/>
      <c r="R2858" s="91" t="n"/>
      <c r="S2858" s="91" t="n"/>
      <c r="T2858" s="25">
        <f>DAY(C2858)</f>
        <v/>
      </c>
      <c r="U2858" s="22">
        <f>MONTH(C2858)</f>
        <v/>
      </c>
      <c r="V2858" s="91" t="n"/>
      <c r="W2858" s="91" t="n"/>
      <c r="X2858" s="91" t="n"/>
      <c r="Y2858" s="91" t="n"/>
      <c r="Z2858" s="91" t="n"/>
    </row>
    <row r="2859" ht="12.75" customHeight="1" s="117">
      <c r="A2859" s="91" t="n"/>
      <c r="B2859" s="91" t="n"/>
      <c r="C2859" s="91" t="n"/>
      <c r="D2859" s="91" t="n"/>
      <c r="E2859" s="91" t="n"/>
      <c r="F2859" s="91" t="n"/>
      <c r="G2859" s="91" t="n"/>
      <c r="H2859" s="91" t="n"/>
      <c r="I2859" s="91" t="n"/>
      <c r="J2859" s="91" t="n"/>
      <c r="K2859" s="91" t="n"/>
      <c r="L2859" s="91" t="n"/>
      <c r="M2859" s="91" t="n"/>
      <c r="N2859" s="91" t="n"/>
      <c r="O2859" s="91" t="n"/>
      <c r="P2859" s="91" t="n"/>
      <c r="Q2859" s="91" t="n"/>
      <c r="R2859" s="91" t="n"/>
      <c r="S2859" s="91" t="n"/>
      <c r="T2859" s="25">
        <f>DAY(C2859)</f>
        <v/>
      </c>
      <c r="U2859" s="22">
        <f>MONTH(C2859)</f>
        <v/>
      </c>
      <c r="V2859" s="91" t="n"/>
      <c r="W2859" s="91" t="n"/>
      <c r="X2859" s="91" t="n"/>
      <c r="Y2859" s="91" t="n"/>
      <c r="Z2859" s="91" t="n"/>
    </row>
    <row r="2860" ht="12.75" customHeight="1" s="117">
      <c r="A2860" s="91" t="n"/>
      <c r="B2860" s="91" t="n"/>
      <c r="C2860" s="91" t="n"/>
      <c r="D2860" s="91" t="n"/>
      <c r="E2860" s="91" t="n"/>
      <c r="F2860" s="91" t="n"/>
      <c r="G2860" s="91" t="n"/>
      <c r="H2860" s="91" t="n"/>
      <c r="I2860" s="91" t="n"/>
      <c r="J2860" s="91" t="n"/>
      <c r="K2860" s="91" t="n"/>
      <c r="L2860" s="91" t="n"/>
      <c r="M2860" s="91" t="n"/>
      <c r="N2860" s="91" t="n"/>
      <c r="O2860" s="91" t="n"/>
      <c r="P2860" s="91" t="n"/>
      <c r="Q2860" s="91" t="n"/>
      <c r="R2860" s="91" t="n"/>
      <c r="S2860" s="91" t="n"/>
      <c r="T2860" s="25">
        <f>DAY(C2860)</f>
        <v/>
      </c>
      <c r="U2860" s="22">
        <f>MONTH(C2860)</f>
        <v/>
      </c>
      <c r="V2860" s="91" t="n"/>
      <c r="W2860" s="91" t="n"/>
      <c r="X2860" s="91" t="n"/>
      <c r="Y2860" s="91" t="n"/>
      <c r="Z2860" s="91" t="n"/>
    </row>
    <row r="2861" ht="12.75" customHeight="1" s="117">
      <c r="A2861" s="91" t="n"/>
      <c r="B2861" s="91" t="n"/>
      <c r="C2861" s="91" t="n"/>
      <c r="D2861" s="91" t="n"/>
      <c r="E2861" s="91" t="n"/>
      <c r="F2861" s="91" t="n"/>
      <c r="G2861" s="91" t="n"/>
      <c r="H2861" s="91" t="n"/>
      <c r="I2861" s="91" t="n"/>
      <c r="J2861" s="91" t="n"/>
      <c r="K2861" s="91" t="n"/>
      <c r="L2861" s="91" t="n"/>
      <c r="M2861" s="91" t="n"/>
      <c r="N2861" s="91" t="n"/>
      <c r="O2861" s="91" t="n"/>
      <c r="P2861" s="91" t="n"/>
      <c r="Q2861" s="91" t="n"/>
      <c r="R2861" s="91" t="n"/>
      <c r="S2861" s="91" t="n"/>
      <c r="T2861" s="25">
        <f>DAY(C2861)</f>
        <v/>
      </c>
      <c r="U2861" s="22">
        <f>MONTH(C2861)</f>
        <v/>
      </c>
      <c r="V2861" s="91" t="n"/>
      <c r="W2861" s="91" t="n"/>
      <c r="X2861" s="91" t="n"/>
      <c r="Y2861" s="91" t="n"/>
      <c r="Z2861" s="91" t="n"/>
    </row>
    <row r="2862" ht="12.75" customHeight="1" s="117">
      <c r="A2862" s="91" t="n"/>
      <c r="B2862" s="91" t="n"/>
      <c r="C2862" s="91" t="n"/>
      <c r="D2862" s="91" t="n"/>
      <c r="E2862" s="91" t="n"/>
      <c r="F2862" s="91" t="n"/>
      <c r="G2862" s="91" t="n"/>
      <c r="H2862" s="91" t="n"/>
      <c r="I2862" s="91" t="n"/>
      <c r="J2862" s="91" t="n"/>
      <c r="K2862" s="91" t="n"/>
      <c r="L2862" s="91" t="n"/>
      <c r="M2862" s="91" t="n"/>
      <c r="N2862" s="91" t="n"/>
      <c r="O2862" s="91" t="n"/>
      <c r="P2862" s="91" t="n"/>
      <c r="Q2862" s="91" t="n"/>
      <c r="R2862" s="91" t="n"/>
      <c r="S2862" s="91" t="n"/>
      <c r="T2862" s="25">
        <f>DAY(C2862)</f>
        <v/>
      </c>
      <c r="U2862" s="22">
        <f>MONTH(C2862)</f>
        <v/>
      </c>
      <c r="V2862" s="91" t="n"/>
      <c r="W2862" s="91" t="n"/>
      <c r="X2862" s="91" t="n"/>
      <c r="Y2862" s="91" t="n"/>
      <c r="Z2862" s="91" t="n"/>
    </row>
    <row r="2863" ht="12.75" customHeight="1" s="117">
      <c r="A2863" s="91" t="n"/>
      <c r="B2863" s="91" t="n"/>
      <c r="C2863" s="91" t="n"/>
      <c r="D2863" s="91" t="n"/>
      <c r="E2863" s="91" t="n"/>
      <c r="F2863" s="91" t="n"/>
      <c r="G2863" s="91" t="n"/>
      <c r="H2863" s="91" t="n"/>
      <c r="I2863" s="91" t="n"/>
      <c r="J2863" s="91" t="n"/>
      <c r="K2863" s="91" t="n"/>
      <c r="L2863" s="91" t="n"/>
      <c r="M2863" s="91" t="n"/>
      <c r="N2863" s="91" t="n"/>
      <c r="O2863" s="91" t="n"/>
      <c r="P2863" s="91" t="n"/>
      <c r="Q2863" s="91" t="n"/>
      <c r="R2863" s="91" t="n"/>
      <c r="S2863" s="91" t="n"/>
      <c r="T2863" s="25">
        <f>DAY(C2863)</f>
        <v/>
      </c>
      <c r="U2863" s="22">
        <f>MONTH(C2863)</f>
        <v/>
      </c>
      <c r="V2863" s="91" t="n"/>
      <c r="W2863" s="91" t="n"/>
      <c r="X2863" s="91" t="n"/>
      <c r="Y2863" s="91" t="n"/>
      <c r="Z2863" s="91" t="n"/>
    </row>
    <row r="2864" ht="12.75" customHeight="1" s="117">
      <c r="A2864" s="91" t="n"/>
      <c r="B2864" s="91" t="n"/>
      <c r="C2864" s="91" t="n"/>
      <c r="D2864" s="91" t="n"/>
      <c r="E2864" s="91" t="n"/>
      <c r="F2864" s="91" t="n"/>
      <c r="G2864" s="91" t="n"/>
      <c r="H2864" s="91" t="n"/>
      <c r="I2864" s="91" t="n"/>
      <c r="J2864" s="91" t="n"/>
      <c r="K2864" s="91" t="n"/>
      <c r="L2864" s="91" t="n"/>
      <c r="M2864" s="91" t="n"/>
      <c r="N2864" s="91" t="n"/>
      <c r="O2864" s="91" t="n"/>
      <c r="P2864" s="91" t="n"/>
      <c r="Q2864" s="91" t="n"/>
      <c r="R2864" s="91" t="n"/>
      <c r="S2864" s="91" t="n"/>
      <c r="T2864" s="25">
        <f>DAY(C2864)</f>
        <v/>
      </c>
      <c r="U2864" s="22">
        <f>MONTH(C2864)</f>
        <v/>
      </c>
      <c r="V2864" s="91" t="n"/>
      <c r="W2864" s="91" t="n"/>
      <c r="X2864" s="91" t="n"/>
      <c r="Y2864" s="91" t="n"/>
      <c r="Z2864" s="91" t="n"/>
    </row>
    <row r="2865" ht="12.75" customHeight="1" s="117">
      <c r="A2865" s="91" t="n"/>
      <c r="B2865" s="91" t="n"/>
      <c r="C2865" s="91" t="n"/>
      <c r="D2865" s="91" t="n"/>
      <c r="E2865" s="91" t="n"/>
      <c r="F2865" s="91" t="n"/>
      <c r="G2865" s="91" t="n"/>
      <c r="H2865" s="91" t="n"/>
      <c r="I2865" s="91" t="n"/>
      <c r="J2865" s="91" t="n"/>
      <c r="K2865" s="91" t="n"/>
      <c r="L2865" s="91" t="n"/>
      <c r="M2865" s="91" t="n"/>
      <c r="N2865" s="91" t="n"/>
      <c r="O2865" s="91" t="n"/>
      <c r="P2865" s="91" t="n"/>
      <c r="Q2865" s="91" t="n"/>
      <c r="R2865" s="91" t="n"/>
      <c r="S2865" s="91" t="n"/>
      <c r="T2865" s="25">
        <f>DAY(C2865)</f>
        <v/>
      </c>
      <c r="U2865" s="22">
        <f>MONTH(C2865)</f>
        <v/>
      </c>
      <c r="V2865" s="91" t="n"/>
      <c r="W2865" s="91" t="n"/>
      <c r="X2865" s="91" t="n"/>
      <c r="Y2865" s="91" t="n"/>
      <c r="Z2865" s="91" t="n"/>
    </row>
    <row r="2866" ht="12.75" customHeight="1" s="117">
      <c r="A2866" s="91" t="n"/>
      <c r="B2866" s="91" t="n"/>
      <c r="C2866" s="91" t="n"/>
      <c r="D2866" s="91" t="n"/>
      <c r="E2866" s="91" t="n"/>
      <c r="F2866" s="91" t="n"/>
      <c r="G2866" s="91" t="n"/>
      <c r="H2866" s="91" t="n"/>
      <c r="I2866" s="91" t="n"/>
      <c r="J2866" s="91" t="n"/>
      <c r="K2866" s="91" t="n"/>
      <c r="L2866" s="91" t="n"/>
      <c r="M2866" s="91" t="n"/>
      <c r="N2866" s="91" t="n"/>
      <c r="O2866" s="91" t="n"/>
      <c r="P2866" s="91" t="n"/>
      <c r="Q2866" s="91" t="n"/>
      <c r="R2866" s="91" t="n"/>
      <c r="S2866" s="91" t="n"/>
      <c r="T2866" s="25">
        <f>DAY(C2866)</f>
        <v/>
      </c>
      <c r="U2866" s="22">
        <f>MONTH(C2866)</f>
        <v/>
      </c>
      <c r="V2866" s="91" t="n"/>
      <c r="W2866" s="91" t="n"/>
      <c r="X2866" s="91" t="n"/>
      <c r="Y2866" s="91" t="n"/>
      <c r="Z2866" s="91" t="n"/>
    </row>
    <row r="2867" ht="12.75" customHeight="1" s="117">
      <c r="A2867" s="91" t="n"/>
      <c r="B2867" s="91" t="n"/>
      <c r="C2867" s="91" t="n"/>
      <c r="D2867" s="91" t="n"/>
      <c r="E2867" s="91" t="n"/>
      <c r="F2867" s="91" t="n"/>
      <c r="G2867" s="91" t="n"/>
      <c r="H2867" s="91" t="n"/>
      <c r="I2867" s="91" t="n"/>
      <c r="J2867" s="91" t="n"/>
      <c r="K2867" s="91" t="n"/>
      <c r="L2867" s="91" t="n"/>
      <c r="M2867" s="91" t="n"/>
      <c r="N2867" s="91" t="n"/>
      <c r="O2867" s="91" t="n"/>
      <c r="P2867" s="91" t="n"/>
      <c r="Q2867" s="91" t="n"/>
      <c r="R2867" s="91" t="n"/>
      <c r="S2867" s="91" t="n"/>
      <c r="T2867" s="25">
        <f>DAY(C2867)</f>
        <v/>
      </c>
      <c r="U2867" s="22">
        <f>MONTH(C2867)</f>
        <v/>
      </c>
      <c r="V2867" s="91" t="n"/>
      <c r="W2867" s="91" t="n"/>
      <c r="X2867" s="91" t="n"/>
      <c r="Y2867" s="91" t="n"/>
      <c r="Z2867" s="91" t="n"/>
    </row>
    <row r="2868" ht="12.75" customHeight="1" s="117">
      <c r="A2868" s="91" t="n"/>
      <c r="B2868" s="91" t="n"/>
      <c r="C2868" s="91" t="n"/>
      <c r="D2868" s="91" t="n"/>
      <c r="E2868" s="91" t="n"/>
      <c r="F2868" s="91" t="n"/>
      <c r="G2868" s="91" t="n"/>
      <c r="H2868" s="91" t="n"/>
      <c r="I2868" s="91" t="n"/>
      <c r="J2868" s="91" t="n"/>
      <c r="K2868" s="91" t="n"/>
      <c r="L2868" s="91" t="n"/>
      <c r="M2868" s="91" t="n"/>
      <c r="N2868" s="91" t="n"/>
      <c r="O2868" s="91" t="n"/>
      <c r="P2868" s="91" t="n"/>
      <c r="Q2868" s="91" t="n"/>
      <c r="R2868" s="91" t="n"/>
      <c r="S2868" s="91" t="n"/>
      <c r="T2868" s="25">
        <f>DAY(C2868)</f>
        <v/>
      </c>
      <c r="U2868" s="22">
        <f>MONTH(C2868)</f>
        <v/>
      </c>
      <c r="V2868" s="91" t="n"/>
      <c r="W2868" s="91" t="n"/>
      <c r="X2868" s="91" t="n"/>
      <c r="Y2868" s="91" t="n"/>
      <c r="Z2868" s="91" t="n"/>
    </row>
    <row r="2869" ht="12.75" customHeight="1" s="117">
      <c r="A2869" s="91" t="n"/>
      <c r="B2869" s="91" t="n"/>
      <c r="C2869" s="91" t="n"/>
      <c r="D2869" s="91" t="n"/>
      <c r="E2869" s="91" t="n"/>
      <c r="F2869" s="91" t="n"/>
      <c r="G2869" s="91" t="n"/>
      <c r="H2869" s="91" t="n"/>
      <c r="I2869" s="91" t="n"/>
      <c r="J2869" s="91" t="n"/>
      <c r="K2869" s="91" t="n"/>
      <c r="L2869" s="91" t="n"/>
      <c r="M2869" s="91" t="n"/>
      <c r="N2869" s="91" t="n"/>
      <c r="O2869" s="91" t="n"/>
      <c r="P2869" s="91" t="n"/>
      <c r="Q2869" s="91" t="n"/>
      <c r="R2869" s="91" t="n"/>
      <c r="S2869" s="91" t="n"/>
      <c r="T2869" s="25">
        <f>DAY(C2869)</f>
        <v/>
      </c>
      <c r="U2869" s="22">
        <f>MONTH(C2869)</f>
        <v/>
      </c>
      <c r="V2869" s="91" t="n"/>
      <c r="W2869" s="91" t="n"/>
      <c r="X2869" s="91" t="n"/>
      <c r="Y2869" s="91" t="n"/>
      <c r="Z2869" s="91" t="n"/>
    </row>
    <row r="2870" ht="12.75" customHeight="1" s="117">
      <c r="A2870" s="91" t="n"/>
      <c r="B2870" s="91" t="n"/>
      <c r="C2870" s="91" t="n"/>
      <c r="D2870" s="91" t="n"/>
      <c r="E2870" s="91" t="n"/>
      <c r="F2870" s="91" t="n"/>
      <c r="G2870" s="91" t="n"/>
      <c r="H2870" s="91" t="n"/>
      <c r="I2870" s="91" t="n"/>
      <c r="J2870" s="91" t="n"/>
      <c r="K2870" s="91" t="n"/>
      <c r="L2870" s="91" t="n"/>
      <c r="M2870" s="91" t="n"/>
      <c r="N2870" s="91" t="n"/>
      <c r="O2870" s="91" t="n"/>
      <c r="P2870" s="91" t="n"/>
      <c r="Q2870" s="91" t="n"/>
      <c r="R2870" s="91" t="n"/>
      <c r="S2870" s="91" t="n"/>
      <c r="T2870" s="25">
        <f>DAY(C2870)</f>
        <v/>
      </c>
      <c r="U2870" s="22">
        <f>MONTH(C2870)</f>
        <v/>
      </c>
      <c r="V2870" s="91" t="n"/>
      <c r="W2870" s="91" t="n"/>
      <c r="X2870" s="91" t="n"/>
      <c r="Y2870" s="91" t="n"/>
      <c r="Z2870" s="91" t="n"/>
    </row>
    <row r="2871" ht="12.75" customHeight="1" s="117">
      <c r="A2871" s="91" t="n"/>
      <c r="B2871" s="91" t="n"/>
      <c r="C2871" s="91" t="n"/>
      <c r="D2871" s="91" t="n"/>
      <c r="E2871" s="91" t="n"/>
      <c r="F2871" s="91" t="n"/>
      <c r="G2871" s="91" t="n"/>
      <c r="H2871" s="91" t="n"/>
      <c r="I2871" s="91" t="n"/>
      <c r="J2871" s="91" t="n"/>
      <c r="K2871" s="91" t="n"/>
      <c r="L2871" s="91" t="n"/>
      <c r="M2871" s="91" t="n"/>
      <c r="N2871" s="91" t="n"/>
      <c r="O2871" s="91" t="n"/>
      <c r="P2871" s="91" t="n"/>
      <c r="Q2871" s="91" t="n"/>
      <c r="R2871" s="91" t="n"/>
      <c r="S2871" s="91" t="n"/>
      <c r="T2871" s="25">
        <f>DAY(C2871)</f>
        <v/>
      </c>
      <c r="U2871" s="22">
        <f>MONTH(C2871)</f>
        <v/>
      </c>
      <c r="V2871" s="91" t="n"/>
      <c r="W2871" s="91" t="n"/>
      <c r="X2871" s="91" t="n"/>
      <c r="Y2871" s="91" t="n"/>
      <c r="Z2871" s="91" t="n"/>
    </row>
    <row r="2872" ht="12.75" customHeight="1" s="117">
      <c r="A2872" s="91" t="n"/>
      <c r="B2872" s="91" t="n"/>
      <c r="C2872" s="91" t="n"/>
      <c r="D2872" s="91" t="n"/>
      <c r="E2872" s="91" t="n"/>
      <c r="F2872" s="91" t="n"/>
      <c r="G2872" s="91" t="n"/>
      <c r="H2872" s="91" t="n"/>
      <c r="I2872" s="91" t="n"/>
      <c r="J2872" s="91" t="n"/>
      <c r="K2872" s="91" t="n"/>
      <c r="L2872" s="91" t="n"/>
      <c r="M2872" s="91" t="n"/>
      <c r="N2872" s="91" t="n"/>
      <c r="O2872" s="91" t="n"/>
      <c r="P2872" s="91" t="n"/>
      <c r="Q2872" s="91" t="n"/>
      <c r="R2872" s="91" t="n"/>
      <c r="S2872" s="91" t="n"/>
      <c r="T2872" s="25">
        <f>DAY(C2872)</f>
        <v/>
      </c>
      <c r="U2872" s="22">
        <f>MONTH(C2872)</f>
        <v/>
      </c>
      <c r="V2872" s="91" t="n"/>
      <c r="W2872" s="91" t="n"/>
      <c r="X2872" s="91" t="n"/>
      <c r="Y2872" s="91" t="n"/>
      <c r="Z2872" s="91" t="n"/>
    </row>
    <row r="2873" ht="12.75" customHeight="1" s="117">
      <c r="A2873" s="91" t="n"/>
      <c r="B2873" s="91" t="n"/>
      <c r="C2873" s="91" t="n"/>
      <c r="D2873" s="91" t="n"/>
      <c r="E2873" s="91" t="n"/>
      <c r="F2873" s="91" t="n"/>
      <c r="G2873" s="91" t="n"/>
      <c r="H2873" s="91" t="n"/>
      <c r="I2873" s="91" t="n"/>
      <c r="J2873" s="91" t="n"/>
      <c r="K2873" s="91" t="n"/>
      <c r="L2873" s="91" t="n"/>
      <c r="M2873" s="91" t="n"/>
      <c r="N2873" s="91" t="n"/>
      <c r="O2873" s="91" t="n"/>
      <c r="P2873" s="91" t="n"/>
      <c r="Q2873" s="91" t="n"/>
      <c r="R2873" s="91" t="n"/>
      <c r="S2873" s="91" t="n"/>
      <c r="T2873" s="25">
        <f>DAY(C2873)</f>
        <v/>
      </c>
      <c r="U2873" s="22">
        <f>MONTH(C2873)</f>
        <v/>
      </c>
      <c r="V2873" s="91" t="n"/>
      <c r="W2873" s="91" t="n"/>
      <c r="X2873" s="91" t="n"/>
      <c r="Y2873" s="91" t="n"/>
      <c r="Z2873" s="91" t="n"/>
    </row>
    <row r="2874" ht="12.75" customHeight="1" s="117">
      <c r="A2874" s="91" t="n"/>
      <c r="B2874" s="91" t="n"/>
      <c r="C2874" s="91" t="n"/>
      <c r="D2874" s="91" t="n"/>
      <c r="E2874" s="91" t="n"/>
      <c r="F2874" s="91" t="n"/>
      <c r="G2874" s="91" t="n"/>
      <c r="H2874" s="91" t="n"/>
      <c r="I2874" s="91" t="n"/>
      <c r="J2874" s="91" t="n"/>
      <c r="K2874" s="91" t="n"/>
      <c r="L2874" s="91" t="n"/>
      <c r="M2874" s="91" t="n"/>
      <c r="N2874" s="91" t="n"/>
      <c r="O2874" s="91" t="n"/>
      <c r="P2874" s="91" t="n"/>
      <c r="Q2874" s="91" t="n"/>
      <c r="R2874" s="91" t="n"/>
      <c r="S2874" s="91" t="n"/>
      <c r="T2874" s="25">
        <f>DAY(C2874)</f>
        <v/>
      </c>
      <c r="U2874" s="22">
        <f>MONTH(C2874)</f>
        <v/>
      </c>
      <c r="V2874" s="91" t="n"/>
      <c r="W2874" s="91" t="n"/>
      <c r="X2874" s="91" t="n"/>
      <c r="Y2874" s="91" t="n"/>
      <c r="Z2874" s="91" t="n"/>
    </row>
    <row r="2875" ht="12.75" customHeight="1" s="117">
      <c r="A2875" s="91" t="n"/>
      <c r="B2875" s="91" t="n"/>
      <c r="C2875" s="91" t="n"/>
      <c r="D2875" s="91" t="n"/>
      <c r="E2875" s="91" t="n"/>
      <c r="F2875" s="91" t="n"/>
      <c r="G2875" s="91" t="n"/>
      <c r="H2875" s="91" t="n"/>
      <c r="I2875" s="91" t="n"/>
      <c r="J2875" s="91" t="n"/>
      <c r="K2875" s="91" t="n"/>
      <c r="L2875" s="91" t="n"/>
      <c r="M2875" s="91" t="n"/>
      <c r="N2875" s="91" t="n"/>
      <c r="O2875" s="91" t="n"/>
      <c r="P2875" s="91" t="n"/>
      <c r="Q2875" s="91" t="n"/>
      <c r="R2875" s="91" t="n"/>
      <c r="S2875" s="91" t="n"/>
      <c r="T2875" s="25">
        <f>DAY(C2875)</f>
        <v/>
      </c>
      <c r="U2875" s="22">
        <f>MONTH(C2875)</f>
        <v/>
      </c>
      <c r="V2875" s="91" t="n"/>
      <c r="W2875" s="91" t="n"/>
      <c r="X2875" s="91" t="n"/>
      <c r="Y2875" s="91" t="n"/>
      <c r="Z2875" s="91" t="n"/>
    </row>
    <row r="2876" ht="12.75" customHeight="1" s="117">
      <c r="A2876" s="91" t="n"/>
      <c r="B2876" s="91" t="n"/>
      <c r="C2876" s="91" t="n"/>
      <c r="D2876" s="91" t="n"/>
      <c r="E2876" s="91" t="n"/>
      <c r="F2876" s="91" t="n"/>
      <c r="G2876" s="91" t="n"/>
      <c r="H2876" s="91" t="n"/>
      <c r="I2876" s="91" t="n"/>
      <c r="J2876" s="91" t="n"/>
      <c r="K2876" s="91" t="n"/>
      <c r="L2876" s="91" t="n"/>
      <c r="M2876" s="91" t="n"/>
      <c r="N2876" s="91" t="n"/>
      <c r="O2876" s="91" t="n"/>
      <c r="P2876" s="91" t="n"/>
      <c r="Q2876" s="91" t="n"/>
      <c r="R2876" s="91" t="n"/>
      <c r="S2876" s="91" t="n"/>
      <c r="T2876" s="25">
        <f>DAY(C2876)</f>
        <v/>
      </c>
      <c r="U2876" s="22">
        <f>MONTH(C2876)</f>
        <v/>
      </c>
      <c r="V2876" s="91" t="n"/>
      <c r="W2876" s="91" t="n"/>
      <c r="X2876" s="91" t="n"/>
      <c r="Y2876" s="91" t="n"/>
      <c r="Z2876" s="91" t="n"/>
    </row>
    <row r="2877" ht="12.75" customHeight="1" s="117">
      <c r="A2877" s="91" t="n"/>
      <c r="B2877" s="91" t="n"/>
      <c r="C2877" s="91" t="n"/>
      <c r="D2877" s="91" t="n"/>
      <c r="E2877" s="91" t="n"/>
      <c r="F2877" s="91" t="n"/>
      <c r="G2877" s="91" t="n"/>
      <c r="H2877" s="91" t="n"/>
      <c r="I2877" s="91" t="n"/>
      <c r="J2877" s="91" t="n"/>
      <c r="K2877" s="91" t="n"/>
      <c r="L2877" s="91" t="n"/>
      <c r="M2877" s="91" t="n"/>
      <c r="N2877" s="91" t="n"/>
      <c r="O2877" s="91" t="n"/>
      <c r="P2877" s="91" t="n"/>
      <c r="Q2877" s="91" t="n"/>
      <c r="R2877" s="91" t="n"/>
      <c r="S2877" s="91" t="n"/>
      <c r="T2877" s="25">
        <f>DAY(C2877)</f>
        <v/>
      </c>
      <c r="U2877" s="22">
        <f>MONTH(C2877)</f>
        <v/>
      </c>
      <c r="V2877" s="91" t="n"/>
      <c r="W2877" s="91" t="n"/>
      <c r="X2877" s="91" t="n"/>
      <c r="Y2877" s="91" t="n"/>
      <c r="Z2877" s="91" t="n"/>
    </row>
    <row r="2878" ht="12.75" customHeight="1" s="117">
      <c r="A2878" s="91" t="n"/>
      <c r="B2878" s="91" t="n"/>
      <c r="C2878" s="91" t="n"/>
      <c r="D2878" s="91" t="n"/>
      <c r="E2878" s="91" t="n"/>
      <c r="F2878" s="91" t="n"/>
      <c r="G2878" s="91" t="n"/>
      <c r="H2878" s="91" t="n"/>
      <c r="I2878" s="91" t="n"/>
      <c r="J2878" s="91" t="n"/>
      <c r="K2878" s="91" t="n"/>
      <c r="L2878" s="91" t="n"/>
      <c r="M2878" s="91" t="n"/>
      <c r="N2878" s="91" t="n"/>
      <c r="O2878" s="91" t="n"/>
      <c r="P2878" s="91" t="n"/>
      <c r="Q2878" s="91" t="n"/>
      <c r="R2878" s="91" t="n"/>
      <c r="S2878" s="91" t="n"/>
      <c r="T2878" s="25">
        <f>DAY(C2878)</f>
        <v/>
      </c>
      <c r="U2878" s="22">
        <f>MONTH(C2878)</f>
        <v/>
      </c>
      <c r="V2878" s="91" t="n"/>
      <c r="W2878" s="91" t="n"/>
      <c r="X2878" s="91" t="n"/>
      <c r="Y2878" s="91" t="n"/>
      <c r="Z2878" s="91" t="n"/>
    </row>
    <row r="2879" ht="12.75" customHeight="1" s="117">
      <c r="A2879" s="91" t="n"/>
      <c r="B2879" s="91" t="n"/>
      <c r="C2879" s="91" t="n"/>
      <c r="D2879" s="91" t="n"/>
      <c r="E2879" s="91" t="n"/>
      <c r="F2879" s="91" t="n"/>
      <c r="G2879" s="91" t="n"/>
      <c r="H2879" s="91" t="n"/>
      <c r="I2879" s="91" t="n"/>
      <c r="J2879" s="91" t="n"/>
      <c r="K2879" s="91" t="n"/>
      <c r="L2879" s="91" t="n"/>
      <c r="M2879" s="91" t="n"/>
      <c r="N2879" s="91" t="n"/>
      <c r="O2879" s="91" t="n"/>
      <c r="P2879" s="91" t="n"/>
      <c r="Q2879" s="91" t="n"/>
      <c r="R2879" s="91" t="n"/>
      <c r="S2879" s="91" t="n"/>
      <c r="T2879" s="25">
        <f>DAY(C2879)</f>
        <v/>
      </c>
      <c r="U2879" s="22">
        <f>MONTH(C2879)</f>
        <v/>
      </c>
      <c r="V2879" s="91" t="n"/>
      <c r="W2879" s="91" t="n"/>
      <c r="X2879" s="91" t="n"/>
      <c r="Y2879" s="91" t="n"/>
      <c r="Z2879" s="91" t="n"/>
    </row>
    <row r="2880" ht="12.75" customHeight="1" s="117">
      <c r="A2880" s="91" t="n"/>
      <c r="B2880" s="91" t="n"/>
      <c r="C2880" s="91" t="n"/>
      <c r="D2880" s="91" t="n"/>
      <c r="E2880" s="91" t="n"/>
      <c r="F2880" s="91" t="n"/>
      <c r="G2880" s="91" t="n"/>
      <c r="H2880" s="91" t="n"/>
      <c r="I2880" s="91" t="n"/>
      <c r="J2880" s="91" t="n"/>
      <c r="K2880" s="91" t="n"/>
      <c r="L2880" s="91" t="n"/>
      <c r="M2880" s="91" t="n"/>
      <c r="N2880" s="91" t="n"/>
      <c r="O2880" s="91" t="n"/>
      <c r="P2880" s="91" t="n"/>
      <c r="Q2880" s="91" t="n"/>
      <c r="R2880" s="91" t="n"/>
      <c r="S2880" s="91" t="n"/>
      <c r="T2880" s="25">
        <f>DAY(C2880)</f>
        <v/>
      </c>
      <c r="U2880" s="22">
        <f>MONTH(C2880)</f>
        <v/>
      </c>
      <c r="V2880" s="91" t="n"/>
      <c r="W2880" s="91" t="n"/>
      <c r="X2880" s="91" t="n"/>
      <c r="Y2880" s="91" t="n"/>
      <c r="Z2880" s="91" t="n"/>
    </row>
    <row r="2881" ht="12.75" customHeight="1" s="117">
      <c r="A2881" s="91" t="n"/>
      <c r="B2881" s="91" t="n"/>
      <c r="C2881" s="91" t="n"/>
      <c r="D2881" s="91" t="n"/>
      <c r="E2881" s="91" t="n"/>
      <c r="F2881" s="91" t="n"/>
      <c r="G2881" s="91" t="n"/>
      <c r="H2881" s="91" t="n"/>
      <c r="I2881" s="91" t="n"/>
      <c r="J2881" s="91" t="n"/>
      <c r="K2881" s="91" t="n"/>
      <c r="L2881" s="91" t="n"/>
      <c r="M2881" s="91" t="n"/>
      <c r="N2881" s="91" t="n"/>
      <c r="O2881" s="91" t="n"/>
      <c r="P2881" s="91" t="n"/>
      <c r="Q2881" s="91" t="n"/>
      <c r="R2881" s="91" t="n"/>
      <c r="S2881" s="91" t="n"/>
      <c r="T2881" s="25">
        <f>DAY(C2881)</f>
        <v/>
      </c>
      <c r="U2881" s="22">
        <f>MONTH(C2881)</f>
        <v/>
      </c>
      <c r="V2881" s="91" t="n"/>
      <c r="W2881" s="91" t="n"/>
      <c r="X2881" s="91" t="n"/>
      <c r="Y2881" s="91" t="n"/>
      <c r="Z2881" s="91" t="n"/>
    </row>
    <row r="2882" ht="12.75" customHeight="1" s="117">
      <c r="A2882" s="91" t="n"/>
      <c r="B2882" s="91" t="n"/>
      <c r="C2882" s="91" t="n"/>
      <c r="D2882" s="91" t="n"/>
      <c r="E2882" s="91" t="n"/>
      <c r="F2882" s="91" t="n"/>
      <c r="G2882" s="91" t="n"/>
      <c r="H2882" s="91" t="n"/>
      <c r="I2882" s="91" t="n"/>
      <c r="J2882" s="91" t="n"/>
      <c r="K2882" s="91" t="n"/>
      <c r="L2882" s="91" t="n"/>
      <c r="M2882" s="91" t="n"/>
      <c r="N2882" s="91" t="n"/>
      <c r="O2882" s="91" t="n"/>
      <c r="P2882" s="91" t="n"/>
      <c r="Q2882" s="91" t="n"/>
      <c r="R2882" s="91" t="n"/>
      <c r="S2882" s="91" t="n"/>
      <c r="T2882" s="25">
        <f>DAY(C2882)</f>
        <v/>
      </c>
      <c r="U2882" s="22">
        <f>MONTH(C2882)</f>
        <v/>
      </c>
      <c r="V2882" s="91" t="n"/>
      <c r="W2882" s="91" t="n"/>
      <c r="X2882" s="91" t="n"/>
      <c r="Y2882" s="91" t="n"/>
      <c r="Z2882" s="91" t="n"/>
    </row>
    <row r="2883" ht="12.75" customHeight="1" s="117">
      <c r="A2883" s="91" t="n"/>
      <c r="B2883" s="91" t="n"/>
      <c r="C2883" s="91" t="n"/>
      <c r="D2883" s="91" t="n"/>
      <c r="E2883" s="91" t="n"/>
      <c r="F2883" s="91" t="n"/>
      <c r="G2883" s="91" t="n"/>
      <c r="H2883" s="91" t="n"/>
      <c r="I2883" s="91" t="n"/>
      <c r="J2883" s="91" t="n"/>
      <c r="K2883" s="91" t="n"/>
      <c r="L2883" s="91" t="n"/>
      <c r="M2883" s="91" t="n"/>
      <c r="N2883" s="91" t="n"/>
      <c r="O2883" s="91" t="n"/>
      <c r="P2883" s="91" t="n"/>
      <c r="Q2883" s="91" t="n"/>
      <c r="R2883" s="91" t="n"/>
      <c r="S2883" s="91" t="n"/>
      <c r="T2883" s="25">
        <f>DAY(C2883)</f>
        <v/>
      </c>
      <c r="U2883" s="22">
        <f>MONTH(C2883)</f>
        <v/>
      </c>
      <c r="V2883" s="91" t="n"/>
      <c r="W2883" s="91" t="n"/>
      <c r="X2883" s="91" t="n"/>
      <c r="Y2883" s="91" t="n"/>
      <c r="Z2883" s="91" t="n"/>
    </row>
    <row r="2884" ht="12.75" customHeight="1" s="117">
      <c r="A2884" s="91" t="n"/>
      <c r="B2884" s="91" t="n"/>
      <c r="C2884" s="91" t="n"/>
      <c r="D2884" s="91" t="n"/>
      <c r="E2884" s="91" t="n"/>
      <c r="F2884" s="91" t="n"/>
      <c r="G2884" s="91" t="n"/>
      <c r="H2884" s="91" t="n"/>
      <c r="I2884" s="91" t="n"/>
      <c r="J2884" s="91" t="n"/>
      <c r="K2884" s="91" t="n"/>
      <c r="L2884" s="91" t="n"/>
      <c r="M2884" s="91" t="n"/>
      <c r="N2884" s="91" t="n"/>
      <c r="O2884" s="91" t="n"/>
      <c r="P2884" s="91" t="n"/>
      <c r="Q2884" s="91" t="n"/>
      <c r="R2884" s="91" t="n"/>
      <c r="S2884" s="91" t="n"/>
      <c r="T2884" s="25">
        <f>DAY(C2884)</f>
        <v/>
      </c>
      <c r="U2884" s="22">
        <f>MONTH(C2884)</f>
        <v/>
      </c>
      <c r="V2884" s="91" t="n"/>
      <c r="W2884" s="91" t="n"/>
      <c r="X2884" s="91" t="n"/>
      <c r="Y2884" s="91" t="n"/>
      <c r="Z2884" s="91" t="n"/>
    </row>
    <row r="2885" ht="12.75" customHeight="1" s="117">
      <c r="A2885" s="91" t="n"/>
      <c r="B2885" s="91" t="n"/>
      <c r="C2885" s="91" t="n"/>
      <c r="D2885" s="91" t="n"/>
      <c r="E2885" s="91" t="n"/>
      <c r="F2885" s="91" t="n"/>
      <c r="G2885" s="91" t="n"/>
      <c r="H2885" s="91" t="n"/>
      <c r="I2885" s="91" t="n"/>
      <c r="J2885" s="91" t="n"/>
      <c r="K2885" s="91" t="n"/>
      <c r="L2885" s="91" t="n"/>
      <c r="M2885" s="91" t="n"/>
      <c r="N2885" s="91" t="n"/>
      <c r="O2885" s="91" t="n"/>
      <c r="P2885" s="91" t="n"/>
      <c r="Q2885" s="91" t="n"/>
      <c r="R2885" s="91" t="n"/>
      <c r="S2885" s="91" t="n"/>
      <c r="T2885" s="25">
        <f>DAY(C2885)</f>
        <v/>
      </c>
      <c r="U2885" s="22">
        <f>MONTH(C2885)</f>
        <v/>
      </c>
      <c r="V2885" s="91" t="n"/>
      <c r="W2885" s="91" t="n"/>
      <c r="X2885" s="91" t="n"/>
      <c r="Y2885" s="91" t="n"/>
      <c r="Z2885" s="91" t="n"/>
    </row>
    <row r="2886" ht="12.75" customHeight="1" s="117">
      <c r="A2886" s="91" t="n"/>
      <c r="B2886" s="91" t="n"/>
      <c r="C2886" s="91" t="n"/>
      <c r="D2886" s="91" t="n"/>
      <c r="E2886" s="91" t="n"/>
      <c r="F2886" s="91" t="n"/>
      <c r="G2886" s="91" t="n"/>
      <c r="H2886" s="91" t="n"/>
      <c r="I2886" s="91" t="n"/>
      <c r="J2886" s="91" t="n"/>
      <c r="K2886" s="91" t="n"/>
      <c r="L2886" s="91" t="n"/>
      <c r="M2886" s="91" t="n"/>
      <c r="N2886" s="91" t="n"/>
      <c r="O2886" s="91" t="n"/>
      <c r="P2886" s="91" t="n"/>
      <c r="Q2886" s="91" t="n"/>
      <c r="R2886" s="91" t="n"/>
      <c r="S2886" s="91" t="n"/>
      <c r="T2886" s="25">
        <f>DAY(C2886)</f>
        <v/>
      </c>
      <c r="U2886" s="22">
        <f>MONTH(C2886)</f>
        <v/>
      </c>
      <c r="V2886" s="91" t="n"/>
      <c r="W2886" s="91" t="n"/>
      <c r="X2886" s="91" t="n"/>
      <c r="Y2886" s="91" t="n"/>
      <c r="Z2886" s="91" t="n"/>
    </row>
    <row r="2887" ht="12.75" customHeight="1" s="117">
      <c r="A2887" s="91" t="n"/>
      <c r="B2887" s="91" t="n"/>
      <c r="C2887" s="91" t="n"/>
      <c r="D2887" s="91" t="n"/>
      <c r="E2887" s="91" t="n"/>
      <c r="F2887" s="91" t="n"/>
      <c r="G2887" s="91" t="n"/>
      <c r="H2887" s="91" t="n"/>
      <c r="I2887" s="91" t="n"/>
      <c r="J2887" s="91" t="n"/>
      <c r="K2887" s="91" t="n"/>
      <c r="L2887" s="91" t="n"/>
      <c r="M2887" s="91" t="n"/>
      <c r="N2887" s="91" t="n"/>
      <c r="O2887" s="91" t="n"/>
      <c r="P2887" s="91" t="n"/>
      <c r="Q2887" s="91" t="n"/>
      <c r="R2887" s="91" t="n"/>
      <c r="S2887" s="91" t="n"/>
      <c r="T2887" s="25">
        <f>DAY(C2887)</f>
        <v/>
      </c>
      <c r="U2887" s="22">
        <f>MONTH(C2887)</f>
        <v/>
      </c>
      <c r="V2887" s="91" t="n"/>
      <c r="W2887" s="91" t="n"/>
      <c r="X2887" s="91" t="n"/>
      <c r="Y2887" s="91" t="n"/>
      <c r="Z2887" s="91" t="n"/>
    </row>
    <row r="2888" ht="12.75" customHeight="1" s="117">
      <c r="A2888" s="91" t="n"/>
      <c r="B2888" s="91" t="n"/>
      <c r="C2888" s="91" t="n"/>
      <c r="D2888" s="91" t="n"/>
      <c r="E2888" s="91" t="n"/>
      <c r="F2888" s="91" t="n"/>
      <c r="G2888" s="91" t="n"/>
      <c r="H2888" s="91" t="n"/>
      <c r="I2888" s="91" t="n"/>
      <c r="J2888" s="91" t="n"/>
      <c r="K2888" s="91" t="n"/>
      <c r="L2888" s="91" t="n"/>
      <c r="M2888" s="91" t="n"/>
      <c r="N2888" s="91" t="n"/>
      <c r="O2888" s="91" t="n"/>
      <c r="P2888" s="91" t="n"/>
      <c r="Q2888" s="91" t="n"/>
      <c r="R2888" s="91" t="n"/>
      <c r="S2888" s="91" t="n"/>
      <c r="T2888" s="25">
        <f>DAY(C2888)</f>
        <v/>
      </c>
      <c r="U2888" s="22">
        <f>MONTH(C2888)</f>
        <v/>
      </c>
      <c r="V2888" s="91" t="n"/>
      <c r="W2888" s="91" t="n"/>
      <c r="X2888" s="91" t="n"/>
      <c r="Y2888" s="91" t="n"/>
      <c r="Z2888" s="91" t="n"/>
    </row>
    <row r="2889" ht="12.75" customHeight="1" s="117">
      <c r="A2889" s="91" t="n"/>
      <c r="B2889" s="91" t="n"/>
      <c r="C2889" s="91" t="n"/>
      <c r="D2889" s="91" t="n"/>
      <c r="E2889" s="91" t="n"/>
      <c r="F2889" s="91" t="n"/>
      <c r="G2889" s="91" t="n"/>
      <c r="H2889" s="91" t="n"/>
      <c r="I2889" s="91" t="n"/>
      <c r="J2889" s="91" t="n"/>
      <c r="K2889" s="91" t="n"/>
      <c r="L2889" s="91" t="n"/>
      <c r="M2889" s="91" t="n"/>
      <c r="N2889" s="91" t="n"/>
      <c r="O2889" s="91" t="n"/>
      <c r="P2889" s="91" t="n"/>
      <c r="Q2889" s="91" t="n"/>
      <c r="R2889" s="91" t="n"/>
      <c r="S2889" s="91" t="n"/>
      <c r="T2889" s="25">
        <f>DAY(C2889)</f>
        <v/>
      </c>
      <c r="U2889" s="22">
        <f>MONTH(C2889)</f>
        <v/>
      </c>
      <c r="V2889" s="91" t="n"/>
      <c r="W2889" s="91" t="n"/>
      <c r="X2889" s="91" t="n"/>
      <c r="Y2889" s="91" t="n"/>
      <c r="Z2889" s="91" t="n"/>
    </row>
    <row r="2890" ht="12.75" customHeight="1" s="117">
      <c r="A2890" s="91" t="n"/>
      <c r="B2890" s="91" t="n"/>
      <c r="C2890" s="91" t="n"/>
      <c r="D2890" s="91" t="n"/>
      <c r="E2890" s="91" t="n"/>
      <c r="F2890" s="91" t="n"/>
      <c r="G2890" s="91" t="n"/>
      <c r="H2890" s="91" t="n"/>
      <c r="I2890" s="91" t="n"/>
      <c r="J2890" s="91" t="n"/>
      <c r="K2890" s="91" t="n"/>
      <c r="L2890" s="91" t="n"/>
      <c r="M2890" s="91" t="n"/>
      <c r="N2890" s="91" t="n"/>
      <c r="O2890" s="91" t="n"/>
      <c r="P2890" s="91" t="n"/>
      <c r="Q2890" s="91" t="n"/>
      <c r="R2890" s="91" t="n"/>
      <c r="S2890" s="91" t="n"/>
      <c r="T2890" s="25">
        <f>DAY(C2890)</f>
        <v/>
      </c>
      <c r="U2890" s="22">
        <f>MONTH(C2890)</f>
        <v/>
      </c>
      <c r="V2890" s="91" t="n"/>
      <c r="W2890" s="91" t="n"/>
      <c r="X2890" s="91" t="n"/>
      <c r="Y2890" s="91" t="n"/>
      <c r="Z2890" s="91" t="n"/>
    </row>
    <row r="2891" ht="12.75" customHeight="1" s="117">
      <c r="A2891" s="91" t="n"/>
      <c r="B2891" s="91" t="n"/>
      <c r="C2891" s="91" t="n"/>
      <c r="D2891" s="91" t="n"/>
      <c r="E2891" s="91" t="n"/>
      <c r="F2891" s="91" t="n"/>
      <c r="G2891" s="91" t="n"/>
      <c r="H2891" s="91" t="n"/>
      <c r="I2891" s="91" t="n"/>
      <c r="J2891" s="91" t="n"/>
      <c r="K2891" s="91" t="n"/>
      <c r="L2891" s="91" t="n"/>
      <c r="M2891" s="91" t="n"/>
      <c r="N2891" s="91" t="n"/>
      <c r="O2891" s="91" t="n"/>
      <c r="P2891" s="91" t="n"/>
      <c r="Q2891" s="91" t="n"/>
      <c r="R2891" s="91" t="n"/>
      <c r="S2891" s="91" t="n"/>
      <c r="T2891" s="25">
        <f>DAY(C2891)</f>
        <v/>
      </c>
      <c r="U2891" s="22">
        <f>MONTH(C2891)</f>
        <v/>
      </c>
      <c r="V2891" s="91" t="n"/>
      <c r="W2891" s="91" t="n"/>
      <c r="X2891" s="91" t="n"/>
      <c r="Y2891" s="91" t="n"/>
      <c r="Z2891" s="91" t="n"/>
    </row>
    <row r="2892" ht="12.75" customHeight="1" s="117">
      <c r="A2892" s="91" t="n"/>
      <c r="B2892" s="91" t="n"/>
      <c r="C2892" s="91" t="n"/>
      <c r="D2892" s="91" t="n"/>
      <c r="E2892" s="91" t="n"/>
      <c r="F2892" s="91" t="n"/>
      <c r="G2892" s="91" t="n"/>
      <c r="H2892" s="91" t="n"/>
      <c r="I2892" s="91" t="n"/>
      <c r="J2892" s="91" t="n"/>
      <c r="K2892" s="91" t="n"/>
      <c r="L2892" s="91" t="n"/>
      <c r="M2892" s="91" t="n"/>
      <c r="N2892" s="91" t="n"/>
      <c r="O2892" s="91" t="n"/>
      <c r="P2892" s="91" t="n"/>
      <c r="Q2892" s="91" t="n"/>
      <c r="R2892" s="91" t="n"/>
      <c r="S2892" s="91" t="n"/>
      <c r="T2892" s="25">
        <f>DAY(C2892)</f>
        <v/>
      </c>
      <c r="U2892" s="22">
        <f>MONTH(C2892)</f>
        <v/>
      </c>
      <c r="V2892" s="91" t="n"/>
      <c r="W2892" s="91" t="n"/>
      <c r="X2892" s="91" t="n"/>
      <c r="Y2892" s="91" t="n"/>
      <c r="Z2892" s="91" t="n"/>
    </row>
    <row r="2893" ht="12.75" customHeight="1" s="117">
      <c r="A2893" s="91" t="n"/>
      <c r="B2893" s="91" t="n"/>
      <c r="C2893" s="91" t="n"/>
      <c r="D2893" s="91" t="n"/>
      <c r="E2893" s="91" t="n"/>
      <c r="F2893" s="91" t="n"/>
      <c r="G2893" s="91" t="n"/>
      <c r="H2893" s="91" t="n"/>
      <c r="I2893" s="91" t="n"/>
      <c r="J2893" s="91" t="n"/>
      <c r="K2893" s="91" t="n"/>
      <c r="L2893" s="91" t="n"/>
      <c r="M2893" s="91" t="n"/>
      <c r="N2893" s="91" t="n"/>
      <c r="O2893" s="91" t="n"/>
      <c r="P2893" s="91" t="n"/>
      <c r="Q2893" s="91" t="n"/>
      <c r="R2893" s="91" t="n"/>
      <c r="S2893" s="91" t="n"/>
      <c r="T2893" s="25">
        <f>DAY(C2893)</f>
        <v/>
      </c>
      <c r="U2893" s="22">
        <f>MONTH(C2893)</f>
        <v/>
      </c>
      <c r="V2893" s="91" t="n"/>
      <c r="W2893" s="91" t="n"/>
      <c r="X2893" s="91" t="n"/>
      <c r="Y2893" s="91" t="n"/>
      <c r="Z2893" s="91" t="n"/>
    </row>
    <row r="2894" ht="12.75" customHeight="1" s="117">
      <c r="A2894" s="91" t="n"/>
      <c r="B2894" s="91" t="n"/>
      <c r="C2894" s="91" t="n"/>
      <c r="D2894" s="91" t="n"/>
      <c r="E2894" s="91" t="n"/>
      <c r="F2894" s="91" t="n"/>
      <c r="G2894" s="91" t="n"/>
      <c r="H2894" s="91" t="n"/>
      <c r="I2894" s="91" t="n"/>
      <c r="J2894" s="91" t="n"/>
      <c r="K2894" s="91" t="n"/>
      <c r="L2894" s="91" t="n"/>
      <c r="M2894" s="91" t="n"/>
      <c r="N2894" s="91" t="n"/>
      <c r="O2894" s="91" t="n"/>
      <c r="P2894" s="91" t="n"/>
      <c r="Q2894" s="91" t="n"/>
      <c r="R2894" s="91" t="n"/>
      <c r="S2894" s="91" t="n"/>
      <c r="T2894" s="25">
        <f>DAY(C2894)</f>
        <v/>
      </c>
      <c r="U2894" s="22">
        <f>MONTH(C2894)</f>
        <v/>
      </c>
      <c r="V2894" s="91" t="n"/>
      <c r="W2894" s="91" t="n"/>
      <c r="X2894" s="91" t="n"/>
      <c r="Y2894" s="91" t="n"/>
      <c r="Z2894" s="91" t="n"/>
    </row>
    <row r="2895" ht="12.75" customHeight="1" s="117">
      <c r="A2895" s="91" t="n"/>
      <c r="B2895" s="91" t="n"/>
      <c r="C2895" s="91" t="n"/>
      <c r="D2895" s="91" t="n"/>
      <c r="E2895" s="91" t="n"/>
      <c r="F2895" s="91" t="n"/>
      <c r="G2895" s="91" t="n"/>
      <c r="H2895" s="91" t="n"/>
      <c r="I2895" s="91" t="n"/>
      <c r="J2895" s="91" t="n"/>
      <c r="K2895" s="91" t="n"/>
      <c r="L2895" s="91" t="n"/>
      <c r="M2895" s="91" t="n"/>
      <c r="N2895" s="91" t="n"/>
      <c r="O2895" s="91" t="n"/>
      <c r="P2895" s="91" t="n"/>
      <c r="Q2895" s="91" t="n"/>
      <c r="R2895" s="91" t="n"/>
      <c r="S2895" s="91" t="n"/>
      <c r="T2895" s="25">
        <f>DAY(C2895)</f>
        <v/>
      </c>
      <c r="U2895" s="22">
        <f>MONTH(C2895)</f>
        <v/>
      </c>
      <c r="V2895" s="91" t="n"/>
      <c r="W2895" s="91" t="n"/>
      <c r="X2895" s="91" t="n"/>
      <c r="Y2895" s="91" t="n"/>
      <c r="Z2895" s="91" t="n"/>
    </row>
    <row r="2896" ht="12.75" customHeight="1" s="117">
      <c r="A2896" s="91" t="n"/>
      <c r="B2896" s="91" t="n"/>
      <c r="C2896" s="91" t="n"/>
      <c r="D2896" s="91" t="n"/>
      <c r="E2896" s="91" t="n"/>
      <c r="F2896" s="91" t="n"/>
      <c r="G2896" s="91" t="n"/>
      <c r="H2896" s="91" t="n"/>
      <c r="I2896" s="91" t="n"/>
      <c r="J2896" s="91" t="n"/>
      <c r="K2896" s="91" t="n"/>
      <c r="L2896" s="91" t="n"/>
      <c r="M2896" s="91" t="n"/>
      <c r="N2896" s="91" t="n"/>
      <c r="O2896" s="91" t="n"/>
      <c r="P2896" s="91" t="n"/>
      <c r="Q2896" s="91" t="n"/>
      <c r="R2896" s="91" t="n"/>
      <c r="S2896" s="91" t="n"/>
      <c r="T2896" s="25">
        <f>DAY(C2896)</f>
        <v/>
      </c>
      <c r="U2896" s="22">
        <f>MONTH(C2896)</f>
        <v/>
      </c>
      <c r="V2896" s="91" t="n"/>
      <c r="W2896" s="91" t="n"/>
      <c r="X2896" s="91" t="n"/>
      <c r="Y2896" s="91" t="n"/>
      <c r="Z2896" s="91" t="n"/>
    </row>
    <row r="2897" ht="12.75" customHeight="1" s="117">
      <c r="A2897" s="91" t="n"/>
      <c r="B2897" s="91" t="n"/>
      <c r="C2897" s="91" t="n"/>
      <c r="D2897" s="91" t="n"/>
      <c r="E2897" s="91" t="n"/>
      <c r="F2897" s="91" t="n"/>
      <c r="G2897" s="91" t="n"/>
      <c r="H2897" s="91" t="n"/>
      <c r="I2897" s="91" t="n"/>
      <c r="J2897" s="91" t="n"/>
      <c r="K2897" s="91" t="n"/>
      <c r="L2897" s="91" t="n"/>
      <c r="M2897" s="91" t="n"/>
      <c r="N2897" s="91" t="n"/>
      <c r="O2897" s="91" t="n"/>
      <c r="P2897" s="91" t="n"/>
      <c r="Q2897" s="91" t="n"/>
      <c r="R2897" s="91" t="n"/>
      <c r="S2897" s="91" t="n"/>
      <c r="T2897" s="25">
        <f>DAY(C2897)</f>
        <v/>
      </c>
      <c r="U2897" s="22">
        <f>MONTH(C2897)</f>
        <v/>
      </c>
      <c r="V2897" s="91" t="n"/>
      <c r="W2897" s="91" t="n"/>
      <c r="X2897" s="91" t="n"/>
      <c r="Y2897" s="91" t="n"/>
      <c r="Z2897" s="91" t="n"/>
    </row>
    <row r="2898" ht="12.75" customHeight="1" s="117">
      <c r="A2898" s="91" t="n"/>
      <c r="B2898" s="91" t="n"/>
      <c r="C2898" s="91" t="n"/>
      <c r="D2898" s="91" t="n"/>
      <c r="E2898" s="91" t="n"/>
      <c r="F2898" s="91" t="n"/>
      <c r="G2898" s="91" t="n"/>
      <c r="H2898" s="91" t="n"/>
      <c r="I2898" s="91" t="n"/>
      <c r="J2898" s="91" t="n"/>
      <c r="K2898" s="91" t="n"/>
      <c r="L2898" s="91" t="n"/>
      <c r="M2898" s="91" t="n"/>
      <c r="N2898" s="91" t="n"/>
      <c r="O2898" s="91" t="n"/>
      <c r="P2898" s="91" t="n"/>
      <c r="Q2898" s="91" t="n"/>
      <c r="R2898" s="91" t="n"/>
      <c r="S2898" s="91" t="n"/>
      <c r="T2898" s="25">
        <f>DAY(C2898)</f>
        <v/>
      </c>
      <c r="U2898" s="22">
        <f>MONTH(C2898)</f>
        <v/>
      </c>
      <c r="V2898" s="91" t="n"/>
      <c r="W2898" s="91" t="n"/>
      <c r="X2898" s="91" t="n"/>
      <c r="Y2898" s="91" t="n"/>
      <c r="Z2898" s="91" t="n"/>
    </row>
    <row r="2899" ht="12.75" customHeight="1" s="117">
      <c r="A2899" s="91" t="n"/>
      <c r="B2899" s="91" t="n"/>
      <c r="C2899" s="91" t="n"/>
      <c r="D2899" s="91" t="n"/>
      <c r="E2899" s="91" t="n"/>
      <c r="F2899" s="91" t="n"/>
      <c r="G2899" s="91" t="n"/>
      <c r="H2899" s="91" t="n"/>
      <c r="I2899" s="91" t="n"/>
      <c r="J2899" s="91" t="n"/>
      <c r="K2899" s="91" t="n"/>
      <c r="L2899" s="91" t="n"/>
      <c r="M2899" s="91" t="n"/>
      <c r="N2899" s="91" t="n"/>
      <c r="O2899" s="91" t="n"/>
      <c r="P2899" s="91" t="n"/>
      <c r="Q2899" s="91" t="n"/>
      <c r="R2899" s="91" t="n"/>
      <c r="S2899" s="91" t="n"/>
      <c r="T2899" s="25">
        <f>DAY(C2899)</f>
        <v/>
      </c>
      <c r="U2899" s="22">
        <f>MONTH(C2899)</f>
        <v/>
      </c>
      <c r="V2899" s="91" t="n"/>
      <c r="W2899" s="91" t="n"/>
      <c r="X2899" s="91" t="n"/>
      <c r="Y2899" s="91" t="n"/>
      <c r="Z2899" s="91" t="n"/>
    </row>
    <row r="2900" ht="12.75" customHeight="1" s="117">
      <c r="A2900" s="91" t="n"/>
      <c r="B2900" s="91" t="n"/>
      <c r="C2900" s="91" t="n"/>
      <c r="D2900" s="91" t="n"/>
      <c r="E2900" s="91" t="n"/>
      <c r="F2900" s="91" t="n"/>
      <c r="G2900" s="91" t="n"/>
      <c r="H2900" s="91" t="n"/>
      <c r="I2900" s="91" t="n"/>
      <c r="J2900" s="91" t="n"/>
      <c r="K2900" s="91" t="n"/>
      <c r="L2900" s="91" t="n"/>
      <c r="M2900" s="91" t="n"/>
      <c r="N2900" s="91" t="n"/>
      <c r="O2900" s="91" t="n"/>
      <c r="P2900" s="91" t="n"/>
      <c r="Q2900" s="91" t="n"/>
      <c r="R2900" s="91" t="n"/>
      <c r="S2900" s="91" t="n"/>
      <c r="T2900" s="25">
        <f>DAY(C2900)</f>
        <v/>
      </c>
      <c r="U2900" s="22">
        <f>MONTH(C2900)</f>
        <v/>
      </c>
      <c r="V2900" s="91" t="n"/>
      <c r="W2900" s="91" t="n"/>
      <c r="X2900" s="91" t="n"/>
      <c r="Y2900" s="91" t="n"/>
      <c r="Z2900" s="91" t="n"/>
    </row>
    <row r="2901" ht="12.75" customHeight="1" s="117">
      <c r="A2901" s="91" t="n"/>
      <c r="B2901" s="91" t="n"/>
      <c r="C2901" s="91" t="n"/>
      <c r="D2901" s="91" t="n"/>
      <c r="E2901" s="91" t="n"/>
      <c r="F2901" s="91" t="n"/>
      <c r="G2901" s="91" t="n"/>
      <c r="H2901" s="91" t="n"/>
      <c r="I2901" s="91" t="n"/>
      <c r="J2901" s="91" t="n"/>
      <c r="K2901" s="91" t="n"/>
      <c r="L2901" s="91" t="n"/>
      <c r="M2901" s="91" t="n"/>
      <c r="N2901" s="91" t="n"/>
      <c r="O2901" s="91" t="n"/>
      <c r="P2901" s="91" t="n"/>
      <c r="Q2901" s="91" t="n"/>
      <c r="R2901" s="91" t="n"/>
      <c r="S2901" s="91" t="n"/>
      <c r="T2901" s="25">
        <f>DAY(C2901)</f>
        <v/>
      </c>
      <c r="U2901" s="22">
        <f>MONTH(C2901)</f>
        <v/>
      </c>
      <c r="V2901" s="91" t="n"/>
      <c r="W2901" s="91" t="n"/>
      <c r="X2901" s="91" t="n"/>
      <c r="Y2901" s="91" t="n"/>
      <c r="Z2901" s="91" t="n"/>
    </row>
    <row r="2902" ht="12.75" customHeight="1" s="117">
      <c r="A2902" s="91" t="n"/>
      <c r="B2902" s="91" t="n"/>
      <c r="C2902" s="91" t="n"/>
      <c r="D2902" s="91" t="n"/>
      <c r="E2902" s="91" t="n"/>
      <c r="F2902" s="91" t="n"/>
      <c r="G2902" s="91" t="n"/>
      <c r="H2902" s="91" t="n"/>
      <c r="I2902" s="91" t="n"/>
      <c r="J2902" s="91" t="n"/>
      <c r="K2902" s="91" t="n"/>
      <c r="L2902" s="91" t="n"/>
      <c r="M2902" s="91" t="n"/>
      <c r="N2902" s="91" t="n"/>
      <c r="O2902" s="91" t="n"/>
      <c r="P2902" s="91" t="n"/>
      <c r="Q2902" s="91" t="n"/>
      <c r="R2902" s="91" t="n"/>
      <c r="S2902" s="91" t="n"/>
      <c r="T2902" s="25">
        <f>DAY(C2902)</f>
        <v/>
      </c>
      <c r="U2902" s="22">
        <f>MONTH(C2902)</f>
        <v/>
      </c>
      <c r="V2902" s="91" t="n"/>
      <c r="W2902" s="91" t="n"/>
      <c r="X2902" s="91" t="n"/>
      <c r="Y2902" s="91" t="n"/>
      <c r="Z2902" s="91" t="n"/>
    </row>
    <row r="2903" ht="12.75" customHeight="1" s="117">
      <c r="A2903" s="91" t="n"/>
      <c r="B2903" s="91" t="n"/>
      <c r="C2903" s="91" t="n"/>
      <c r="D2903" s="91" t="n"/>
      <c r="E2903" s="91" t="n"/>
      <c r="F2903" s="91" t="n"/>
      <c r="G2903" s="91" t="n"/>
      <c r="H2903" s="91" t="n"/>
      <c r="I2903" s="91" t="n"/>
      <c r="J2903" s="91" t="n"/>
      <c r="K2903" s="91" t="n"/>
      <c r="L2903" s="91" t="n"/>
      <c r="M2903" s="91" t="n"/>
      <c r="N2903" s="91" t="n"/>
      <c r="O2903" s="91" t="n"/>
      <c r="P2903" s="91" t="n"/>
      <c r="Q2903" s="91" t="n"/>
      <c r="R2903" s="91" t="n"/>
      <c r="S2903" s="91" t="n"/>
      <c r="T2903" s="25">
        <f>DAY(C2903)</f>
        <v/>
      </c>
      <c r="U2903" s="22">
        <f>MONTH(C2903)</f>
        <v/>
      </c>
      <c r="V2903" s="91" t="n"/>
      <c r="W2903" s="91" t="n"/>
      <c r="X2903" s="91" t="n"/>
      <c r="Y2903" s="91" t="n"/>
      <c r="Z2903" s="91" t="n"/>
    </row>
    <row r="2904" ht="12.75" customHeight="1" s="117">
      <c r="A2904" s="91" t="n"/>
      <c r="B2904" s="91" t="n"/>
      <c r="C2904" s="91" t="n"/>
      <c r="D2904" s="91" t="n"/>
      <c r="E2904" s="91" t="n"/>
      <c r="F2904" s="91" t="n"/>
      <c r="G2904" s="91" t="n"/>
      <c r="H2904" s="91" t="n"/>
      <c r="I2904" s="91" t="n"/>
      <c r="J2904" s="91" t="n"/>
      <c r="K2904" s="91" t="n"/>
      <c r="L2904" s="91" t="n"/>
      <c r="M2904" s="91" t="n"/>
      <c r="N2904" s="91" t="n"/>
      <c r="O2904" s="91" t="n"/>
      <c r="P2904" s="91" t="n"/>
      <c r="Q2904" s="91" t="n"/>
      <c r="R2904" s="91" t="n"/>
      <c r="S2904" s="91" t="n"/>
      <c r="T2904" s="25">
        <f>DAY(C2904)</f>
        <v/>
      </c>
      <c r="U2904" s="22">
        <f>MONTH(C2904)</f>
        <v/>
      </c>
      <c r="V2904" s="91" t="n"/>
      <c r="W2904" s="91" t="n"/>
      <c r="X2904" s="91" t="n"/>
      <c r="Y2904" s="91" t="n"/>
      <c r="Z2904" s="91" t="n"/>
    </row>
    <row r="2905" ht="12.75" customHeight="1" s="117">
      <c r="A2905" s="91" t="n"/>
      <c r="B2905" s="91" t="n"/>
      <c r="C2905" s="91" t="n"/>
      <c r="D2905" s="91" t="n"/>
      <c r="E2905" s="91" t="n"/>
      <c r="F2905" s="91" t="n"/>
      <c r="G2905" s="91" t="n"/>
      <c r="H2905" s="91" t="n"/>
      <c r="I2905" s="91" t="n"/>
      <c r="J2905" s="91" t="n"/>
      <c r="K2905" s="91" t="n"/>
      <c r="L2905" s="91" t="n"/>
      <c r="M2905" s="91" t="n"/>
      <c r="N2905" s="91" t="n"/>
      <c r="O2905" s="91" t="n"/>
      <c r="P2905" s="91" t="n"/>
      <c r="Q2905" s="91" t="n"/>
      <c r="R2905" s="91" t="n"/>
      <c r="S2905" s="91" t="n"/>
      <c r="T2905" s="25">
        <f>DAY(C2905)</f>
        <v/>
      </c>
      <c r="U2905" s="22">
        <f>MONTH(C2905)</f>
        <v/>
      </c>
      <c r="V2905" s="91" t="n"/>
      <c r="W2905" s="91" t="n"/>
      <c r="X2905" s="91" t="n"/>
      <c r="Y2905" s="91" t="n"/>
      <c r="Z2905" s="91" t="n"/>
    </row>
    <row r="2906" ht="12.75" customHeight="1" s="117">
      <c r="A2906" s="91" t="n"/>
      <c r="B2906" s="91" t="n"/>
      <c r="C2906" s="91" t="n"/>
      <c r="D2906" s="91" t="n"/>
      <c r="E2906" s="91" t="n"/>
      <c r="F2906" s="91" t="n"/>
      <c r="G2906" s="91" t="n"/>
      <c r="H2906" s="91" t="n"/>
      <c r="I2906" s="91" t="n"/>
      <c r="J2906" s="91" t="n"/>
      <c r="K2906" s="91" t="n"/>
      <c r="L2906" s="91" t="n"/>
      <c r="M2906" s="91" t="n"/>
      <c r="N2906" s="91" t="n"/>
      <c r="O2906" s="91" t="n"/>
      <c r="P2906" s="91" t="n"/>
      <c r="Q2906" s="91" t="n"/>
      <c r="R2906" s="91" t="n"/>
      <c r="S2906" s="91" t="n"/>
      <c r="T2906" s="25">
        <f>DAY(C2906)</f>
        <v/>
      </c>
      <c r="U2906" s="22">
        <f>MONTH(C2906)</f>
        <v/>
      </c>
      <c r="V2906" s="91" t="n"/>
      <c r="W2906" s="91" t="n"/>
      <c r="X2906" s="91" t="n"/>
      <c r="Y2906" s="91" t="n"/>
      <c r="Z2906" s="91" t="n"/>
    </row>
    <row r="2907" ht="12.75" customHeight="1" s="117">
      <c r="A2907" s="91" t="n"/>
      <c r="B2907" s="91" t="n"/>
      <c r="C2907" s="91" t="n"/>
      <c r="D2907" s="91" t="n"/>
      <c r="E2907" s="91" t="n"/>
      <c r="F2907" s="91" t="n"/>
      <c r="G2907" s="91" t="n"/>
      <c r="H2907" s="91" t="n"/>
      <c r="I2907" s="91" t="n"/>
      <c r="J2907" s="91" t="n"/>
      <c r="K2907" s="91" t="n"/>
      <c r="L2907" s="91" t="n"/>
      <c r="M2907" s="91" t="n"/>
      <c r="N2907" s="91" t="n"/>
      <c r="O2907" s="91" t="n"/>
      <c r="P2907" s="91" t="n"/>
      <c r="Q2907" s="91" t="n"/>
      <c r="R2907" s="91" t="n"/>
      <c r="S2907" s="91" t="n"/>
      <c r="T2907" s="25">
        <f>DAY(C2907)</f>
        <v/>
      </c>
      <c r="U2907" s="22">
        <f>MONTH(C2907)</f>
        <v/>
      </c>
      <c r="V2907" s="91" t="n"/>
      <c r="W2907" s="91" t="n"/>
      <c r="X2907" s="91" t="n"/>
      <c r="Y2907" s="91" t="n"/>
      <c r="Z2907" s="91" t="n"/>
    </row>
    <row r="2908" ht="12.75" customHeight="1" s="117">
      <c r="A2908" s="91" t="n"/>
      <c r="B2908" s="91" t="n"/>
      <c r="C2908" s="91" t="n"/>
      <c r="D2908" s="91" t="n"/>
      <c r="E2908" s="91" t="n"/>
      <c r="F2908" s="91" t="n"/>
      <c r="G2908" s="91" t="n"/>
      <c r="H2908" s="91" t="n"/>
      <c r="I2908" s="91" t="n"/>
      <c r="J2908" s="91" t="n"/>
      <c r="K2908" s="91" t="n"/>
      <c r="L2908" s="91" t="n"/>
      <c r="M2908" s="91" t="n"/>
      <c r="N2908" s="91" t="n"/>
      <c r="O2908" s="91" t="n"/>
      <c r="P2908" s="91" t="n"/>
      <c r="Q2908" s="91" t="n"/>
      <c r="R2908" s="91" t="n"/>
      <c r="S2908" s="91" t="n"/>
      <c r="T2908" s="25">
        <f>DAY(C2908)</f>
        <v/>
      </c>
      <c r="U2908" s="22">
        <f>MONTH(C2908)</f>
        <v/>
      </c>
      <c r="V2908" s="91" t="n"/>
      <c r="W2908" s="91" t="n"/>
      <c r="X2908" s="91" t="n"/>
      <c r="Y2908" s="91" t="n"/>
      <c r="Z2908" s="91" t="n"/>
    </row>
    <row r="2909" ht="12.75" customHeight="1" s="117">
      <c r="A2909" s="91" t="n"/>
      <c r="B2909" s="91" t="n"/>
      <c r="C2909" s="91" t="n"/>
      <c r="D2909" s="91" t="n"/>
      <c r="E2909" s="91" t="n"/>
      <c r="F2909" s="91" t="n"/>
      <c r="G2909" s="91" t="n"/>
      <c r="H2909" s="91" t="n"/>
      <c r="I2909" s="91" t="n"/>
      <c r="J2909" s="91" t="n"/>
      <c r="K2909" s="91" t="n"/>
      <c r="L2909" s="91" t="n"/>
      <c r="M2909" s="91" t="n"/>
      <c r="N2909" s="91" t="n"/>
      <c r="O2909" s="91" t="n"/>
      <c r="P2909" s="91" t="n"/>
      <c r="Q2909" s="91" t="n"/>
      <c r="R2909" s="91" t="n"/>
      <c r="S2909" s="91" t="n"/>
      <c r="T2909" s="25">
        <f>DAY(C2909)</f>
        <v/>
      </c>
      <c r="U2909" s="22">
        <f>MONTH(C2909)</f>
        <v/>
      </c>
      <c r="V2909" s="91" t="n"/>
      <c r="W2909" s="91" t="n"/>
      <c r="X2909" s="91" t="n"/>
      <c r="Y2909" s="91" t="n"/>
      <c r="Z2909" s="91" t="n"/>
    </row>
    <row r="2910" ht="12.75" customHeight="1" s="117">
      <c r="A2910" s="91" t="n"/>
      <c r="B2910" s="91" t="n"/>
      <c r="C2910" s="91" t="n"/>
      <c r="D2910" s="91" t="n"/>
      <c r="E2910" s="91" t="n"/>
      <c r="F2910" s="91" t="n"/>
      <c r="G2910" s="91" t="n"/>
      <c r="H2910" s="91" t="n"/>
      <c r="I2910" s="91" t="n"/>
      <c r="J2910" s="91" t="n"/>
      <c r="K2910" s="91" t="n"/>
      <c r="L2910" s="91" t="n"/>
      <c r="M2910" s="91" t="n"/>
      <c r="N2910" s="91" t="n"/>
      <c r="O2910" s="91" t="n"/>
      <c r="P2910" s="91" t="n"/>
      <c r="Q2910" s="91" t="n"/>
      <c r="R2910" s="91" t="n"/>
      <c r="S2910" s="91" t="n"/>
      <c r="T2910" s="25">
        <f>DAY(C2910)</f>
        <v/>
      </c>
      <c r="U2910" s="22">
        <f>MONTH(C2910)</f>
        <v/>
      </c>
      <c r="V2910" s="91" t="n"/>
      <c r="W2910" s="91" t="n"/>
      <c r="X2910" s="91" t="n"/>
      <c r="Y2910" s="91" t="n"/>
      <c r="Z2910" s="91" t="n"/>
    </row>
    <row r="2911" ht="12.75" customHeight="1" s="117">
      <c r="A2911" s="91" t="n"/>
      <c r="B2911" s="91" t="n"/>
      <c r="C2911" s="91" t="n"/>
      <c r="D2911" s="91" t="n"/>
      <c r="E2911" s="91" t="n"/>
      <c r="F2911" s="91" t="n"/>
      <c r="G2911" s="91" t="n"/>
      <c r="H2911" s="91" t="n"/>
      <c r="I2911" s="91" t="n"/>
      <c r="J2911" s="91" t="n"/>
      <c r="K2911" s="91" t="n"/>
      <c r="L2911" s="91" t="n"/>
      <c r="M2911" s="91" t="n"/>
      <c r="N2911" s="91" t="n"/>
      <c r="O2911" s="91" t="n"/>
      <c r="P2911" s="91" t="n"/>
      <c r="Q2911" s="91" t="n"/>
      <c r="R2911" s="91" t="n"/>
      <c r="S2911" s="91" t="n"/>
      <c r="T2911" s="25">
        <f>DAY(C2911)</f>
        <v/>
      </c>
      <c r="U2911" s="22">
        <f>MONTH(C2911)</f>
        <v/>
      </c>
      <c r="V2911" s="91" t="n"/>
      <c r="W2911" s="91" t="n"/>
      <c r="X2911" s="91" t="n"/>
      <c r="Y2911" s="91" t="n"/>
      <c r="Z2911" s="91" t="n"/>
    </row>
    <row r="2912" ht="12.75" customHeight="1" s="117">
      <c r="A2912" s="91" t="n"/>
      <c r="B2912" s="91" t="n"/>
      <c r="C2912" s="91" t="n"/>
      <c r="D2912" s="91" t="n"/>
      <c r="E2912" s="91" t="n"/>
      <c r="F2912" s="91" t="n"/>
      <c r="G2912" s="91" t="n"/>
      <c r="H2912" s="91" t="n"/>
      <c r="I2912" s="91" t="n"/>
      <c r="J2912" s="91" t="n"/>
      <c r="K2912" s="91" t="n"/>
      <c r="L2912" s="91" t="n"/>
      <c r="M2912" s="91" t="n"/>
      <c r="N2912" s="91" t="n"/>
      <c r="O2912" s="91" t="n"/>
      <c r="P2912" s="91" t="n"/>
      <c r="Q2912" s="91" t="n"/>
      <c r="R2912" s="91" t="n"/>
      <c r="S2912" s="91" t="n"/>
      <c r="T2912" s="25">
        <f>DAY(C2912)</f>
        <v/>
      </c>
      <c r="U2912" s="22">
        <f>MONTH(C2912)</f>
        <v/>
      </c>
      <c r="V2912" s="91" t="n"/>
      <c r="W2912" s="91" t="n"/>
      <c r="X2912" s="91" t="n"/>
      <c r="Y2912" s="91" t="n"/>
      <c r="Z2912" s="91" t="n"/>
    </row>
    <row r="2913" ht="12.75" customHeight="1" s="117">
      <c r="A2913" s="91" t="n"/>
      <c r="B2913" s="91" t="n"/>
      <c r="C2913" s="91" t="n"/>
      <c r="D2913" s="91" t="n"/>
      <c r="E2913" s="91" t="n"/>
      <c r="F2913" s="91" t="n"/>
      <c r="G2913" s="91" t="n"/>
      <c r="H2913" s="91" t="n"/>
      <c r="I2913" s="91" t="n"/>
      <c r="J2913" s="91" t="n"/>
      <c r="K2913" s="91" t="n"/>
      <c r="L2913" s="91" t="n"/>
      <c r="M2913" s="91" t="n"/>
      <c r="N2913" s="91" t="n"/>
      <c r="O2913" s="91" t="n"/>
      <c r="P2913" s="91" t="n"/>
      <c r="Q2913" s="91" t="n"/>
      <c r="R2913" s="91" t="n"/>
      <c r="S2913" s="91" t="n"/>
      <c r="T2913" s="25">
        <f>DAY(C2913)</f>
        <v/>
      </c>
      <c r="U2913" s="22">
        <f>MONTH(C2913)</f>
        <v/>
      </c>
      <c r="V2913" s="91" t="n"/>
      <c r="W2913" s="91" t="n"/>
      <c r="X2913" s="91" t="n"/>
      <c r="Y2913" s="91" t="n"/>
      <c r="Z2913" s="91" t="n"/>
    </row>
    <row r="2914" ht="12.75" customHeight="1" s="117">
      <c r="A2914" s="91" t="n"/>
      <c r="B2914" s="91" t="n"/>
      <c r="C2914" s="91" t="n"/>
      <c r="D2914" s="91" t="n"/>
      <c r="E2914" s="91" t="n"/>
      <c r="F2914" s="91" t="n"/>
      <c r="G2914" s="91" t="n"/>
      <c r="H2914" s="91" t="n"/>
      <c r="I2914" s="91" t="n"/>
      <c r="J2914" s="91" t="n"/>
      <c r="K2914" s="91" t="n"/>
      <c r="L2914" s="91" t="n"/>
      <c r="M2914" s="91" t="n"/>
      <c r="N2914" s="91" t="n"/>
      <c r="O2914" s="91" t="n"/>
      <c r="P2914" s="91" t="n"/>
      <c r="Q2914" s="91" t="n"/>
      <c r="R2914" s="91" t="n"/>
      <c r="S2914" s="91" t="n"/>
      <c r="T2914" s="25">
        <f>DAY(C2914)</f>
        <v/>
      </c>
      <c r="U2914" s="22">
        <f>MONTH(C2914)</f>
        <v/>
      </c>
      <c r="V2914" s="91" t="n"/>
      <c r="W2914" s="91" t="n"/>
      <c r="X2914" s="91" t="n"/>
      <c r="Y2914" s="91" t="n"/>
      <c r="Z2914" s="91" t="n"/>
    </row>
    <row r="2915" ht="12.75" customHeight="1" s="117">
      <c r="A2915" s="91" t="n"/>
      <c r="B2915" s="91" t="n"/>
      <c r="C2915" s="91" t="n"/>
      <c r="D2915" s="91" t="n"/>
      <c r="E2915" s="91" t="n"/>
      <c r="F2915" s="91" t="n"/>
      <c r="G2915" s="91" t="n"/>
      <c r="H2915" s="91" t="n"/>
      <c r="I2915" s="91" t="n"/>
      <c r="J2915" s="91" t="n"/>
      <c r="K2915" s="91" t="n"/>
      <c r="L2915" s="91" t="n"/>
      <c r="M2915" s="91" t="n"/>
      <c r="N2915" s="91" t="n"/>
      <c r="O2915" s="91" t="n"/>
      <c r="P2915" s="91" t="n"/>
      <c r="Q2915" s="91" t="n"/>
      <c r="R2915" s="91" t="n"/>
      <c r="S2915" s="91" t="n"/>
      <c r="T2915" s="25">
        <f>DAY(C2915)</f>
        <v/>
      </c>
      <c r="U2915" s="22">
        <f>MONTH(C2915)</f>
        <v/>
      </c>
      <c r="V2915" s="91" t="n"/>
      <c r="W2915" s="91" t="n"/>
      <c r="X2915" s="91" t="n"/>
      <c r="Y2915" s="91" t="n"/>
      <c r="Z2915" s="91" t="n"/>
    </row>
    <row r="2916" ht="12.75" customHeight="1" s="117">
      <c r="A2916" s="91" t="n"/>
      <c r="B2916" s="91" t="n"/>
      <c r="C2916" s="91" t="n"/>
      <c r="D2916" s="91" t="n"/>
      <c r="E2916" s="91" t="n"/>
      <c r="F2916" s="91" t="n"/>
      <c r="G2916" s="91" t="n"/>
      <c r="H2916" s="91" t="n"/>
      <c r="I2916" s="91" t="n"/>
      <c r="J2916" s="91" t="n"/>
      <c r="K2916" s="91" t="n"/>
      <c r="L2916" s="91" t="n"/>
      <c r="M2916" s="91" t="n"/>
      <c r="N2916" s="91" t="n"/>
      <c r="O2916" s="91" t="n"/>
      <c r="P2916" s="91" t="n"/>
      <c r="Q2916" s="91" t="n"/>
      <c r="R2916" s="91" t="n"/>
      <c r="S2916" s="91" t="n"/>
      <c r="T2916" s="25">
        <f>DAY(C2916)</f>
        <v/>
      </c>
      <c r="U2916" s="22">
        <f>MONTH(C2916)</f>
        <v/>
      </c>
      <c r="V2916" s="91" t="n"/>
      <c r="W2916" s="91" t="n"/>
      <c r="X2916" s="91" t="n"/>
      <c r="Y2916" s="91" t="n"/>
      <c r="Z2916" s="91" t="n"/>
    </row>
    <row r="2917" ht="12.75" customHeight="1" s="117">
      <c r="A2917" s="91" t="n"/>
      <c r="B2917" s="91" t="n"/>
      <c r="C2917" s="91" t="n"/>
      <c r="D2917" s="91" t="n"/>
      <c r="E2917" s="91" t="n"/>
      <c r="F2917" s="91" t="n"/>
      <c r="G2917" s="91" t="n"/>
      <c r="H2917" s="91" t="n"/>
      <c r="I2917" s="91" t="n"/>
      <c r="J2917" s="91" t="n"/>
      <c r="K2917" s="91" t="n"/>
      <c r="L2917" s="91" t="n"/>
      <c r="M2917" s="91" t="n"/>
      <c r="N2917" s="91" t="n"/>
      <c r="O2917" s="91" t="n"/>
      <c r="P2917" s="91" t="n"/>
      <c r="Q2917" s="91" t="n"/>
      <c r="R2917" s="91" t="n"/>
      <c r="S2917" s="91" t="n"/>
      <c r="T2917" s="25">
        <f>DAY(C2917)</f>
        <v/>
      </c>
      <c r="U2917" s="22">
        <f>MONTH(C2917)</f>
        <v/>
      </c>
      <c r="V2917" s="91" t="n"/>
      <c r="W2917" s="91" t="n"/>
      <c r="X2917" s="91" t="n"/>
      <c r="Y2917" s="91" t="n"/>
      <c r="Z2917" s="91" t="n"/>
    </row>
    <row r="2918" ht="12.75" customHeight="1" s="117">
      <c r="A2918" s="91" t="n"/>
      <c r="B2918" s="91" t="n"/>
      <c r="C2918" s="91" t="n"/>
      <c r="D2918" s="91" t="n"/>
      <c r="E2918" s="91" t="n"/>
      <c r="F2918" s="91" t="n"/>
      <c r="G2918" s="91" t="n"/>
      <c r="H2918" s="91" t="n"/>
      <c r="I2918" s="91" t="n"/>
      <c r="J2918" s="91" t="n"/>
      <c r="K2918" s="91" t="n"/>
      <c r="L2918" s="91" t="n"/>
      <c r="M2918" s="91" t="n"/>
      <c r="N2918" s="91" t="n"/>
      <c r="O2918" s="91" t="n"/>
      <c r="P2918" s="91" t="n"/>
      <c r="Q2918" s="91" t="n"/>
      <c r="R2918" s="91" t="n"/>
      <c r="S2918" s="91" t="n"/>
      <c r="T2918" s="25">
        <f>DAY(C2918)</f>
        <v/>
      </c>
      <c r="U2918" s="22">
        <f>MONTH(C2918)</f>
        <v/>
      </c>
      <c r="V2918" s="91" t="n"/>
      <c r="W2918" s="91" t="n"/>
      <c r="X2918" s="91" t="n"/>
      <c r="Y2918" s="91" t="n"/>
      <c r="Z2918" s="91" t="n"/>
    </row>
    <row r="2919" ht="12.75" customHeight="1" s="117">
      <c r="A2919" s="91" t="n"/>
      <c r="B2919" s="91" t="n"/>
      <c r="C2919" s="91" t="n"/>
      <c r="D2919" s="91" t="n"/>
      <c r="E2919" s="91" t="n"/>
      <c r="F2919" s="91" t="n"/>
      <c r="G2919" s="91" t="n"/>
      <c r="H2919" s="91" t="n"/>
      <c r="I2919" s="91" t="n"/>
      <c r="J2919" s="91" t="n"/>
      <c r="K2919" s="91" t="n"/>
      <c r="L2919" s="91" t="n"/>
      <c r="M2919" s="91" t="n"/>
      <c r="N2919" s="91" t="n"/>
      <c r="O2919" s="91" t="n"/>
      <c r="P2919" s="91" t="n"/>
      <c r="Q2919" s="91" t="n"/>
      <c r="R2919" s="91" t="n"/>
      <c r="S2919" s="91" t="n"/>
      <c r="T2919" s="25">
        <f>DAY(C2919)</f>
        <v/>
      </c>
      <c r="U2919" s="22">
        <f>MONTH(C2919)</f>
        <v/>
      </c>
      <c r="V2919" s="91" t="n"/>
      <c r="W2919" s="91" t="n"/>
      <c r="X2919" s="91" t="n"/>
      <c r="Y2919" s="91" t="n"/>
      <c r="Z2919" s="91" t="n"/>
    </row>
    <row r="2920" ht="12.75" customHeight="1" s="117">
      <c r="A2920" s="91" t="n"/>
      <c r="B2920" s="91" t="n"/>
      <c r="C2920" s="91" t="n"/>
      <c r="D2920" s="91" t="n"/>
      <c r="E2920" s="91" t="n"/>
      <c r="F2920" s="91" t="n"/>
      <c r="G2920" s="91" t="n"/>
      <c r="H2920" s="91" t="n"/>
      <c r="I2920" s="91" t="n"/>
      <c r="J2920" s="91" t="n"/>
      <c r="K2920" s="91" t="n"/>
      <c r="L2920" s="91" t="n"/>
      <c r="M2920" s="91" t="n"/>
      <c r="N2920" s="91" t="n"/>
      <c r="O2920" s="91" t="n"/>
      <c r="P2920" s="91" t="n"/>
      <c r="Q2920" s="91" t="n"/>
      <c r="R2920" s="91" t="n"/>
      <c r="S2920" s="91" t="n"/>
      <c r="T2920" s="25">
        <f>DAY(C2920)</f>
        <v/>
      </c>
      <c r="U2920" s="22">
        <f>MONTH(C2920)</f>
        <v/>
      </c>
      <c r="V2920" s="91" t="n"/>
      <c r="W2920" s="91" t="n"/>
      <c r="X2920" s="91" t="n"/>
      <c r="Y2920" s="91" t="n"/>
      <c r="Z2920" s="91" t="n"/>
    </row>
    <row r="2921" ht="12.75" customHeight="1" s="117">
      <c r="A2921" s="91" t="n"/>
      <c r="B2921" s="91" t="n"/>
      <c r="C2921" s="91" t="n"/>
      <c r="D2921" s="91" t="n"/>
      <c r="E2921" s="91" t="n"/>
      <c r="F2921" s="91" t="n"/>
      <c r="G2921" s="91" t="n"/>
      <c r="H2921" s="91" t="n"/>
      <c r="I2921" s="91" t="n"/>
      <c r="J2921" s="91" t="n"/>
      <c r="K2921" s="91" t="n"/>
      <c r="L2921" s="91" t="n"/>
      <c r="M2921" s="91" t="n"/>
      <c r="N2921" s="91" t="n"/>
      <c r="O2921" s="91" t="n"/>
      <c r="P2921" s="91" t="n"/>
      <c r="Q2921" s="91" t="n"/>
      <c r="R2921" s="91" t="n"/>
      <c r="S2921" s="91" t="n"/>
      <c r="T2921" s="25">
        <f>DAY(C2921)</f>
        <v/>
      </c>
      <c r="U2921" s="22">
        <f>MONTH(C2921)</f>
        <v/>
      </c>
      <c r="V2921" s="91" t="n"/>
      <c r="W2921" s="91" t="n"/>
      <c r="X2921" s="91" t="n"/>
      <c r="Y2921" s="91" t="n"/>
      <c r="Z2921" s="91" t="n"/>
    </row>
    <row r="2922" ht="12.75" customHeight="1" s="117">
      <c r="A2922" s="91" t="n"/>
      <c r="B2922" s="91" t="n"/>
      <c r="C2922" s="91" t="n"/>
      <c r="D2922" s="91" t="n"/>
      <c r="E2922" s="91" t="n"/>
      <c r="F2922" s="91" t="n"/>
      <c r="G2922" s="91" t="n"/>
      <c r="H2922" s="91" t="n"/>
      <c r="I2922" s="91" t="n"/>
      <c r="J2922" s="91" t="n"/>
      <c r="K2922" s="91" t="n"/>
      <c r="L2922" s="91" t="n"/>
      <c r="M2922" s="91" t="n"/>
      <c r="N2922" s="91" t="n"/>
      <c r="O2922" s="91" t="n"/>
      <c r="P2922" s="91" t="n"/>
      <c r="Q2922" s="91" t="n"/>
      <c r="R2922" s="91" t="n"/>
      <c r="S2922" s="91" t="n"/>
      <c r="T2922" s="25">
        <f>DAY(C2922)</f>
        <v/>
      </c>
      <c r="U2922" s="22">
        <f>MONTH(C2922)</f>
        <v/>
      </c>
      <c r="V2922" s="91" t="n"/>
      <c r="W2922" s="91" t="n"/>
      <c r="X2922" s="91" t="n"/>
      <c r="Y2922" s="91" t="n"/>
      <c r="Z2922" s="91" t="n"/>
    </row>
    <row r="2923" ht="12.75" customHeight="1" s="117">
      <c r="A2923" s="91" t="n"/>
      <c r="B2923" s="91" t="n"/>
      <c r="C2923" s="91" t="n"/>
      <c r="D2923" s="91" t="n"/>
      <c r="E2923" s="91" t="n"/>
      <c r="F2923" s="91" t="n"/>
      <c r="G2923" s="91" t="n"/>
      <c r="H2923" s="91" t="n"/>
      <c r="I2923" s="91" t="n"/>
      <c r="J2923" s="91" t="n"/>
      <c r="K2923" s="91" t="n"/>
      <c r="L2923" s="91" t="n"/>
      <c r="M2923" s="91" t="n"/>
      <c r="N2923" s="91" t="n"/>
      <c r="O2923" s="91" t="n"/>
      <c r="P2923" s="91" t="n"/>
      <c r="Q2923" s="91" t="n"/>
      <c r="R2923" s="91" t="n"/>
      <c r="S2923" s="91" t="n"/>
      <c r="T2923" s="25">
        <f>DAY(C2923)</f>
        <v/>
      </c>
      <c r="U2923" s="22">
        <f>MONTH(C2923)</f>
        <v/>
      </c>
      <c r="V2923" s="91" t="n"/>
      <c r="W2923" s="91" t="n"/>
      <c r="X2923" s="91" t="n"/>
      <c r="Y2923" s="91" t="n"/>
      <c r="Z2923" s="91" t="n"/>
    </row>
    <row r="2924" ht="12.75" customHeight="1" s="117">
      <c r="A2924" s="91" t="n"/>
      <c r="B2924" s="91" t="n"/>
      <c r="C2924" s="91" t="n"/>
      <c r="D2924" s="91" t="n"/>
      <c r="E2924" s="91" t="n"/>
      <c r="F2924" s="91" t="n"/>
      <c r="G2924" s="91" t="n"/>
      <c r="H2924" s="91" t="n"/>
      <c r="I2924" s="91" t="n"/>
      <c r="J2924" s="91" t="n"/>
      <c r="K2924" s="91" t="n"/>
      <c r="L2924" s="91" t="n"/>
      <c r="M2924" s="91" t="n"/>
      <c r="N2924" s="91" t="n"/>
      <c r="O2924" s="91" t="n"/>
      <c r="P2924" s="91" t="n"/>
      <c r="Q2924" s="91" t="n"/>
      <c r="R2924" s="91" t="n"/>
      <c r="S2924" s="91" t="n"/>
      <c r="T2924" s="25">
        <f>DAY(C2924)</f>
        <v/>
      </c>
      <c r="U2924" s="22">
        <f>MONTH(C2924)</f>
        <v/>
      </c>
      <c r="V2924" s="91" t="n"/>
      <c r="W2924" s="91" t="n"/>
      <c r="X2924" s="91" t="n"/>
      <c r="Y2924" s="91" t="n"/>
      <c r="Z2924" s="91" t="n"/>
    </row>
    <row r="2925" ht="12.75" customHeight="1" s="117">
      <c r="A2925" s="91" t="n"/>
      <c r="B2925" s="91" t="n"/>
      <c r="C2925" s="91" t="n"/>
      <c r="D2925" s="91" t="n"/>
      <c r="E2925" s="91" t="n"/>
      <c r="F2925" s="91" t="n"/>
      <c r="G2925" s="91" t="n"/>
      <c r="H2925" s="91" t="n"/>
      <c r="I2925" s="91" t="n"/>
      <c r="J2925" s="91" t="n"/>
      <c r="K2925" s="91" t="n"/>
      <c r="L2925" s="91" t="n"/>
      <c r="M2925" s="91" t="n"/>
      <c r="N2925" s="91" t="n"/>
      <c r="O2925" s="91" t="n"/>
      <c r="P2925" s="91" t="n"/>
      <c r="Q2925" s="91" t="n"/>
      <c r="R2925" s="91" t="n"/>
      <c r="S2925" s="91" t="n"/>
      <c r="T2925" s="25">
        <f>DAY(C2925)</f>
        <v/>
      </c>
      <c r="U2925" s="22">
        <f>MONTH(C2925)</f>
        <v/>
      </c>
      <c r="V2925" s="91" t="n"/>
      <c r="W2925" s="91" t="n"/>
      <c r="X2925" s="91" t="n"/>
      <c r="Y2925" s="91" t="n"/>
      <c r="Z2925" s="91" t="n"/>
    </row>
    <row r="2926" ht="12.75" customHeight="1" s="117">
      <c r="A2926" s="91" t="n"/>
      <c r="B2926" s="91" t="n"/>
      <c r="C2926" s="91" t="n"/>
      <c r="D2926" s="91" t="n"/>
      <c r="E2926" s="91" t="n"/>
      <c r="F2926" s="91" t="n"/>
      <c r="G2926" s="91" t="n"/>
      <c r="H2926" s="91" t="n"/>
      <c r="I2926" s="91" t="n"/>
      <c r="J2926" s="91" t="n"/>
      <c r="K2926" s="91" t="n"/>
      <c r="L2926" s="91" t="n"/>
      <c r="M2926" s="91" t="n"/>
      <c r="N2926" s="91" t="n"/>
      <c r="O2926" s="91" t="n"/>
      <c r="P2926" s="91" t="n"/>
      <c r="Q2926" s="91" t="n"/>
      <c r="R2926" s="91" t="n"/>
      <c r="S2926" s="91" t="n"/>
      <c r="T2926" s="25">
        <f>DAY(C2926)</f>
        <v/>
      </c>
      <c r="U2926" s="22">
        <f>MONTH(C2926)</f>
        <v/>
      </c>
      <c r="V2926" s="91" t="n"/>
      <c r="W2926" s="91" t="n"/>
      <c r="X2926" s="91" t="n"/>
      <c r="Y2926" s="91" t="n"/>
      <c r="Z2926" s="91" t="n"/>
    </row>
    <row r="2927" ht="12.75" customHeight="1" s="117">
      <c r="A2927" s="91" t="n"/>
      <c r="B2927" s="91" t="n"/>
      <c r="C2927" s="91" t="n"/>
      <c r="D2927" s="91" t="n"/>
      <c r="E2927" s="91" t="n"/>
      <c r="F2927" s="91" t="n"/>
      <c r="G2927" s="91" t="n"/>
      <c r="H2927" s="91" t="n"/>
      <c r="I2927" s="91" t="n"/>
      <c r="J2927" s="91" t="n"/>
      <c r="K2927" s="91" t="n"/>
      <c r="L2927" s="91" t="n"/>
      <c r="M2927" s="91" t="n"/>
      <c r="N2927" s="91" t="n"/>
      <c r="O2927" s="91" t="n"/>
      <c r="P2927" s="91" t="n"/>
      <c r="Q2927" s="91" t="n"/>
      <c r="R2927" s="91" t="n"/>
      <c r="S2927" s="91" t="n"/>
      <c r="T2927" s="25">
        <f>DAY(C2927)</f>
        <v/>
      </c>
      <c r="U2927" s="22">
        <f>MONTH(C2927)</f>
        <v/>
      </c>
      <c r="V2927" s="91" t="n"/>
      <c r="W2927" s="91" t="n"/>
      <c r="X2927" s="91" t="n"/>
      <c r="Y2927" s="91" t="n"/>
      <c r="Z2927" s="91" t="n"/>
    </row>
    <row r="2928" ht="12.75" customHeight="1" s="117">
      <c r="A2928" s="91" t="n"/>
      <c r="B2928" s="91" t="n"/>
      <c r="C2928" s="91" t="n"/>
      <c r="D2928" s="91" t="n"/>
      <c r="E2928" s="91" t="n"/>
      <c r="F2928" s="91" t="n"/>
      <c r="G2928" s="91" t="n"/>
      <c r="H2928" s="91" t="n"/>
      <c r="I2928" s="91" t="n"/>
      <c r="J2928" s="91" t="n"/>
      <c r="K2928" s="91" t="n"/>
      <c r="L2928" s="91" t="n"/>
      <c r="M2928" s="91" t="n"/>
      <c r="N2928" s="91" t="n"/>
      <c r="O2928" s="91" t="n"/>
      <c r="P2928" s="91" t="n"/>
      <c r="Q2928" s="91" t="n"/>
      <c r="R2928" s="91" t="n"/>
      <c r="S2928" s="91" t="n"/>
      <c r="T2928" s="25">
        <f>DAY(C2928)</f>
        <v/>
      </c>
      <c r="U2928" s="22">
        <f>MONTH(C2928)</f>
        <v/>
      </c>
      <c r="V2928" s="91" t="n"/>
      <c r="W2928" s="91" t="n"/>
      <c r="X2928" s="91" t="n"/>
      <c r="Y2928" s="91" t="n"/>
      <c r="Z2928" s="91" t="n"/>
    </row>
    <row r="2929" ht="12.75" customHeight="1" s="117">
      <c r="A2929" s="91" t="n"/>
      <c r="B2929" s="91" t="n"/>
      <c r="C2929" s="91" t="n"/>
      <c r="D2929" s="91" t="n"/>
      <c r="E2929" s="91" t="n"/>
      <c r="F2929" s="91" t="n"/>
      <c r="G2929" s="91" t="n"/>
      <c r="H2929" s="91" t="n"/>
      <c r="I2929" s="91" t="n"/>
      <c r="J2929" s="91" t="n"/>
      <c r="K2929" s="91" t="n"/>
      <c r="L2929" s="91" t="n"/>
      <c r="M2929" s="91" t="n"/>
      <c r="N2929" s="91" t="n"/>
      <c r="O2929" s="91" t="n"/>
      <c r="P2929" s="91" t="n"/>
      <c r="Q2929" s="91" t="n"/>
      <c r="R2929" s="91" t="n"/>
      <c r="S2929" s="91" t="n"/>
      <c r="T2929" s="25">
        <f>DAY(C2929)</f>
        <v/>
      </c>
      <c r="U2929" s="22">
        <f>MONTH(C2929)</f>
        <v/>
      </c>
      <c r="V2929" s="91" t="n"/>
      <c r="W2929" s="91" t="n"/>
      <c r="X2929" s="91" t="n"/>
      <c r="Y2929" s="91" t="n"/>
      <c r="Z2929" s="91" t="n"/>
    </row>
    <row r="2930" ht="12.75" customHeight="1" s="117">
      <c r="A2930" s="91" t="n"/>
      <c r="B2930" s="91" t="n"/>
      <c r="C2930" s="91" t="n"/>
      <c r="D2930" s="91" t="n"/>
      <c r="E2930" s="91" t="n"/>
      <c r="F2930" s="91" t="n"/>
      <c r="G2930" s="91" t="n"/>
      <c r="H2930" s="91" t="n"/>
      <c r="I2930" s="91" t="n"/>
      <c r="J2930" s="91" t="n"/>
      <c r="K2930" s="91" t="n"/>
      <c r="L2930" s="91" t="n"/>
      <c r="M2930" s="91" t="n"/>
      <c r="N2930" s="91" t="n"/>
      <c r="O2930" s="91" t="n"/>
      <c r="P2930" s="91" t="n"/>
      <c r="Q2930" s="91" t="n"/>
      <c r="R2930" s="91" t="n"/>
      <c r="S2930" s="91" t="n"/>
      <c r="T2930" s="25">
        <f>DAY(C2930)</f>
        <v/>
      </c>
      <c r="U2930" s="22">
        <f>MONTH(C2930)</f>
        <v/>
      </c>
      <c r="V2930" s="91" t="n"/>
      <c r="W2930" s="91" t="n"/>
      <c r="X2930" s="91" t="n"/>
      <c r="Y2930" s="91" t="n"/>
      <c r="Z2930" s="91" t="n"/>
    </row>
    <row r="2931" ht="12.75" customHeight="1" s="117">
      <c r="A2931" s="91" t="n"/>
      <c r="B2931" s="91" t="n"/>
      <c r="C2931" s="91" t="n"/>
      <c r="D2931" s="91" t="n"/>
      <c r="E2931" s="91" t="n"/>
      <c r="F2931" s="91" t="n"/>
      <c r="G2931" s="91" t="n"/>
      <c r="H2931" s="91" t="n"/>
      <c r="I2931" s="91" t="n"/>
      <c r="J2931" s="91" t="n"/>
      <c r="K2931" s="91" t="n"/>
      <c r="L2931" s="91" t="n"/>
      <c r="M2931" s="91" t="n"/>
      <c r="N2931" s="91" t="n"/>
      <c r="O2931" s="91" t="n"/>
      <c r="P2931" s="91" t="n"/>
      <c r="Q2931" s="91" t="n"/>
      <c r="R2931" s="91" t="n"/>
      <c r="S2931" s="91" t="n"/>
      <c r="T2931" s="25">
        <f>DAY(C2931)</f>
        <v/>
      </c>
      <c r="U2931" s="22">
        <f>MONTH(C2931)</f>
        <v/>
      </c>
      <c r="V2931" s="91" t="n"/>
      <c r="W2931" s="91" t="n"/>
      <c r="X2931" s="91" t="n"/>
      <c r="Y2931" s="91" t="n"/>
      <c r="Z2931" s="91" t="n"/>
    </row>
    <row r="2932" ht="12.75" customHeight="1" s="117">
      <c r="A2932" s="91" t="n"/>
      <c r="B2932" s="91" t="n"/>
      <c r="C2932" s="91" t="n"/>
      <c r="D2932" s="91" t="n"/>
      <c r="E2932" s="91" t="n"/>
      <c r="F2932" s="91" t="n"/>
      <c r="G2932" s="91" t="n"/>
      <c r="H2932" s="91" t="n"/>
      <c r="I2932" s="91" t="n"/>
      <c r="J2932" s="91" t="n"/>
      <c r="K2932" s="91" t="n"/>
      <c r="L2932" s="91" t="n"/>
      <c r="M2932" s="91" t="n"/>
      <c r="N2932" s="91" t="n"/>
      <c r="O2932" s="91" t="n"/>
      <c r="P2932" s="91" t="n"/>
      <c r="Q2932" s="91" t="n"/>
      <c r="R2932" s="91" t="n"/>
      <c r="S2932" s="91" t="n"/>
      <c r="T2932" s="25">
        <f>DAY(C2932)</f>
        <v/>
      </c>
      <c r="U2932" s="22">
        <f>MONTH(C2932)</f>
        <v/>
      </c>
      <c r="V2932" s="91" t="n"/>
      <c r="W2932" s="91" t="n"/>
      <c r="X2932" s="91" t="n"/>
      <c r="Y2932" s="91" t="n"/>
      <c r="Z2932" s="91" t="n"/>
    </row>
    <row r="2933" ht="12.75" customHeight="1" s="117">
      <c r="A2933" s="91" t="n"/>
      <c r="B2933" s="91" t="n"/>
      <c r="C2933" s="91" t="n"/>
      <c r="D2933" s="91" t="n"/>
      <c r="E2933" s="91" t="n"/>
      <c r="F2933" s="91" t="n"/>
      <c r="G2933" s="91" t="n"/>
      <c r="H2933" s="91" t="n"/>
      <c r="I2933" s="91" t="n"/>
      <c r="J2933" s="91" t="n"/>
      <c r="K2933" s="91" t="n"/>
      <c r="L2933" s="91" t="n"/>
      <c r="M2933" s="91" t="n"/>
      <c r="N2933" s="91" t="n"/>
      <c r="O2933" s="91" t="n"/>
      <c r="P2933" s="91" t="n"/>
      <c r="Q2933" s="91" t="n"/>
      <c r="R2933" s="91" t="n"/>
      <c r="S2933" s="91" t="n"/>
      <c r="T2933" s="25">
        <f>DAY(C2933)</f>
        <v/>
      </c>
      <c r="U2933" s="22">
        <f>MONTH(C2933)</f>
        <v/>
      </c>
      <c r="V2933" s="91" t="n"/>
      <c r="W2933" s="91" t="n"/>
      <c r="X2933" s="91" t="n"/>
      <c r="Y2933" s="91" t="n"/>
      <c r="Z2933" s="91" t="n"/>
    </row>
    <row r="2934" ht="12.75" customHeight="1" s="117">
      <c r="A2934" s="91" t="n"/>
      <c r="B2934" s="91" t="n"/>
      <c r="C2934" s="91" t="n"/>
      <c r="D2934" s="91" t="n"/>
      <c r="E2934" s="91" t="n"/>
      <c r="F2934" s="91" t="n"/>
      <c r="G2934" s="91" t="n"/>
      <c r="H2934" s="91" t="n"/>
      <c r="I2934" s="91" t="n"/>
      <c r="J2934" s="91" t="n"/>
      <c r="K2934" s="91" t="n"/>
      <c r="L2934" s="91" t="n"/>
      <c r="M2934" s="91" t="n"/>
      <c r="N2934" s="91" t="n"/>
      <c r="O2934" s="91" t="n"/>
      <c r="P2934" s="91" t="n"/>
      <c r="Q2934" s="91" t="n"/>
      <c r="R2934" s="91" t="n"/>
      <c r="S2934" s="91" t="n"/>
      <c r="T2934" s="25">
        <f>DAY(C2934)</f>
        <v/>
      </c>
      <c r="U2934" s="22">
        <f>MONTH(C2934)</f>
        <v/>
      </c>
      <c r="V2934" s="91" t="n"/>
      <c r="W2934" s="91" t="n"/>
      <c r="X2934" s="91" t="n"/>
      <c r="Y2934" s="91" t="n"/>
      <c r="Z2934" s="91" t="n"/>
    </row>
    <row r="2935" ht="12.75" customHeight="1" s="117">
      <c r="A2935" s="91" t="n"/>
      <c r="B2935" s="91" t="n"/>
      <c r="C2935" s="91" t="n"/>
      <c r="D2935" s="91" t="n"/>
      <c r="E2935" s="91" t="n"/>
      <c r="F2935" s="91" t="n"/>
      <c r="G2935" s="91" t="n"/>
      <c r="H2935" s="91" t="n"/>
      <c r="I2935" s="91" t="n"/>
      <c r="J2935" s="91" t="n"/>
      <c r="K2935" s="91" t="n"/>
      <c r="L2935" s="91" t="n"/>
      <c r="M2935" s="91" t="n"/>
      <c r="N2935" s="91" t="n"/>
      <c r="O2935" s="91" t="n"/>
      <c r="P2935" s="91" t="n"/>
      <c r="Q2935" s="91" t="n"/>
      <c r="R2935" s="91" t="n"/>
      <c r="S2935" s="91" t="n"/>
      <c r="T2935" s="25">
        <f>DAY(C2935)</f>
        <v/>
      </c>
      <c r="U2935" s="22">
        <f>MONTH(C2935)</f>
        <v/>
      </c>
      <c r="V2935" s="91" t="n"/>
      <c r="W2935" s="91" t="n"/>
      <c r="X2935" s="91" t="n"/>
      <c r="Y2935" s="91" t="n"/>
      <c r="Z2935" s="91" t="n"/>
    </row>
    <row r="2936" ht="12.75" customHeight="1" s="117">
      <c r="A2936" s="91" t="n"/>
      <c r="B2936" s="91" t="n"/>
      <c r="C2936" s="91" t="n"/>
      <c r="D2936" s="91" t="n"/>
      <c r="E2936" s="91" t="n"/>
      <c r="F2936" s="91" t="n"/>
      <c r="G2936" s="91" t="n"/>
      <c r="H2936" s="91" t="n"/>
      <c r="I2936" s="91" t="n"/>
      <c r="J2936" s="91" t="n"/>
      <c r="K2936" s="91" t="n"/>
      <c r="L2936" s="91" t="n"/>
      <c r="M2936" s="91" t="n"/>
      <c r="N2936" s="91" t="n"/>
      <c r="O2936" s="91" t="n"/>
      <c r="P2936" s="91" t="n"/>
      <c r="Q2936" s="91" t="n"/>
      <c r="R2936" s="91" t="n"/>
      <c r="S2936" s="91" t="n"/>
      <c r="T2936" s="25">
        <f>DAY(C2936)</f>
        <v/>
      </c>
      <c r="U2936" s="22">
        <f>MONTH(C2936)</f>
        <v/>
      </c>
      <c r="V2936" s="91" t="n"/>
      <c r="W2936" s="91" t="n"/>
      <c r="X2936" s="91" t="n"/>
      <c r="Y2936" s="91" t="n"/>
      <c r="Z2936" s="91" t="n"/>
    </row>
    <row r="2937" ht="12.75" customHeight="1" s="117">
      <c r="A2937" s="91" t="n"/>
      <c r="B2937" s="91" t="n"/>
      <c r="C2937" s="91" t="n"/>
      <c r="D2937" s="91" t="n"/>
      <c r="E2937" s="91" t="n"/>
      <c r="F2937" s="91" t="n"/>
      <c r="G2937" s="91" t="n"/>
      <c r="H2937" s="91" t="n"/>
      <c r="I2937" s="91" t="n"/>
      <c r="J2937" s="91" t="n"/>
      <c r="K2937" s="91" t="n"/>
      <c r="L2937" s="91" t="n"/>
      <c r="M2937" s="91" t="n"/>
      <c r="N2937" s="91" t="n"/>
      <c r="O2937" s="91" t="n"/>
      <c r="P2937" s="91" t="n"/>
      <c r="Q2937" s="91" t="n"/>
      <c r="R2937" s="91" t="n"/>
      <c r="S2937" s="91" t="n"/>
      <c r="T2937" s="25">
        <f>DAY(C2937)</f>
        <v/>
      </c>
      <c r="U2937" s="22">
        <f>MONTH(C2937)</f>
        <v/>
      </c>
      <c r="V2937" s="91" t="n"/>
      <c r="W2937" s="91" t="n"/>
      <c r="X2937" s="91" t="n"/>
      <c r="Y2937" s="91" t="n"/>
      <c r="Z2937" s="91" t="n"/>
    </row>
    <row r="2938" ht="12.75" customHeight="1" s="117">
      <c r="A2938" s="91" t="n"/>
      <c r="B2938" s="91" t="n"/>
      <c r="C2938" s="91" t="n"/>
      <c r="D2938" s="91" t="n"/>
      <c r="E2938" s="91" t="n"/>
      <c r="F2938" s="91" t="n"/>
      <c r="G2938" s="91" t="n"/>
      <c r="H2938" s="91" t="n"/>
      <c r="I2938" s="91" t="n"/>
      <c r="J2938" s="91" t="n"/>
      <c r="K2938" s="91" t="n"/>
      <c r="L2938" s="91" t="n"/>
      <c r="M2938" s="91" t="n"/>
      <c r="N2938" s="91" t="n"/>
      <c r="O2938" s="91" t="n"/>
      <c r="P2938" s="91" t="n"/>
      <c r="Q2938" s="91" t="n"/>
      <c r="R2938" s="91" t="n"/>
      <c r="S2938" s="91" t="n"/>
      <c r="T2938" s="25">
        <f>DAY(C2938)</f>
        <v/>
      </c>
      <c r="U2938" s="22">
        <f>MONTH(C2938)</f>
        <v/>
      </c>
      <c r="V2938" s="91" t="n"/>
      <c r="W2938" s="91" t="n"/>
      <c r="X2938" s="91" t="n"/>
      <c r="Y2938" s="91" t="n"/>
      <c r="Z2938" s="91" t="n"/>
    </row>
    <row r="2939" ht="12.75" customHeight="1" s="117">
      <c r="A2939" s="91" t="n"/>
      <c r="B2939" s="91" t="n"/>
      <c r="C2939" s="91" t="n"/>
      <c r="D2939" s="91" t="n"/>
      <c r="E2939" s="91" t="n"/>
      <c r="F2939" s="91" t="n"/>
      <c r="G2939" s="91" t="n"/>
      <c r="H2939" s="91" t="n"/>
      <c r="I2939" s="91" t="n"/>
      <c r="J2939" s="91" t="n"/>
      <c r="K2939" s="91" t="n"/>
      <c r="L2939" s="91" t="n"/>
      <c r="M2939" s="91" t="n"/>
      <c r="N2939" s="91" t="n"/>
      <c r="O2939" s="91" t="n"/>
      <c r="P2939" s="91" t="n"/>
      <c r="Q2939" s="91" t="n"/>
      <c r="R2939" s="91" t="n"/>
      <c r="S2939" s="91" t="n"/>
      <c r="T2939" s="25">
        <f>DAY(C2939)</f>
        <v/>
      </c>
      <c r="U2939" s="22">
        <f>MONTH(C2939)</f>
        <v/>
      </c>
      <c r="V2939" s="91" t="n"/>
      <c r="W2939" s="91" t="n"/>
      <c r="X2939" s="91" t="n"/>
      <c r="Y2939" s="91" t="n"/>
      <c r="Z2939" s="91" t="n"/>
    </row>
    <row r="2940" ht="12.75" customHeight="1" s="117">
      <c r="A2940" s="91" t="n"/>
      <c r="B2940" s="91" t="n"/>
      <c r="C2940" s="91" t="n"/>
      <c r="D2940" s="91" t="n"/>
      <c r="E2940" s="91" t="n"/>
      <c r="F2940" s="91" t="n"/>
      <c r="G2940" s="91" t="n"/>
      <c r="H2940" s="91" t="n"/>
      <c r="I2940" s="91" t="n"/>
      <c r="J2940" s="91" t="n"/>
      <c r="K2940" s="91" t="n"/>
      <c r="L2940" s="91" t="n"/>
      <c r="M2940" s="91" t="n"/>
      <c r="N2940" s="91" t="n"/>
      <c r="O2940" s="91" t="n"/>
      <c r="P2940" s="91" t="n"/>
      <c r="Q2940" s="91" t="n"/>
      <c r="R2940" s="91" t="n"/>
      <c r="S2940" s="91" t="n"/>
      <c r="T2940" s="25">
        <f>DAY(C2940)</f>
        <v/>
      </c>
      <c r="U2940" s="22">
        <f>MONTH(C2940)</f>
        <v/>
      </c>
      <c r="V2940" s="91" t="n"/>
      <c r="W2940" s="91" t="n"/>
      <c r="X2940" s="91" t="n"/>
      <c r="Y2940" s="91" t="n"/>
      <c r="Z2940" s="91" t="n"/>
    </row>
    <row r="2941" ht="12.75" customHeight="1" s="117">
      <c r="A2941" s="91" t="n"/>
      <c r="B2941" s="91" t="n"/>
      <c r="C2941" s="91" t="n"/>
      <c r="D2941" s="91" t="n"/>
      <c r="E2941" s="91" t="n"/>
      <c r="F2941" s="91" t="n"/>
      <c r="G2941" s="91" t="n"/>
      <c r="H2941" s="91" t="n"/>
      <c r="I2941" s="91" t="n"/>
      <c r="J2941" s="91" t="n"/>
      <c r="K2941" s="91" t="n"/>
      <c r="L2941" s="91" t="n"/>
      <c r="M2941" s="91" t="n"/>
      <c r="N2941" s="91" t="n"/>
      <c r="O2941" s="91" t="n"/>
      <c r="P2941" s="91" t="n"/>
      <c r="Q2941" s="91" t="n"/>
      <c r="R2941" s="91" t="n"/>
      <c r="S2941" s="91" t="n"/>
      <c r="T2941" s="25">
        <f>DAY(C2941)</f>
        <v/>
      </c>
      <c r="U2941" s="22">
        <f>MONTH(C2941)</f>
        <v/>
      </c>
      <c r="V2941" s="91" t="n"/>
      <c r="W2941" s="91" t="n"/>
      <c r="X2941" s="91" t="n"/>
      <c r="Y2941" s="91" t="n"/>
      <c r="Z2941" s="91" t="n"/>
    </row>
    <row r="2942" ht="12.75" customHeight="1" s="117">
      <c r="A2942" s="91" t="n"/>
      <c r="B2942" s="91" t="n"/>
      <c r="C2942" s="91" t="n"/>
      <c r="D2942" s="91" t="n"/>
      <c r="E2942" s="91" t="n"/>
      <c r="F2942" s="91" t="n"/>
      <c r="G2942" s="91" t="n"/>
      <c r="H2942" s="91" t="n"/>
      <c r="I2942" s="91" t="n"/>
      <c r="J2942" s="91" t="n"/>
      <c r="K2942" s="91" t="n"/>
      <c r="L2942" s="91" t="n"/>
      <c r="M2942" s="91" t="n"/>
      <c r="N2942" s="91" t="n"/>
      <c r="O2942" s="91" t="n"/>
      <c r="P2942" s="91" t="n"/>
      <c r="Q2942" s="91" t="n"/>
      <c r="R2942" s="91" t="n"/>
      <c r="S2942" s="91" t="n"/>
      <c r="T2942" s="25">
        <f>DAY(C2942)</f>
        <v/>
      </c>
      <c r="U2942" s="22">
        <f>MONTH(C2942)</f>
        <v/>
      </c>
      <c r="V2942" s="91" t="n"/>
      <c r="W2942" s="91" t="n"/>
      <c r="X2942" s="91" t="n"/>
      <c r="Y2942" s="91" t="n"/>
      <c r="Z2942" s="91" t="n"/>
    </row>
    <row r="2943" ht="12.75" customHeight="1" s="117">
      <c r="A2943" s="91" t="n"/>
      <c r="B2943" s="91" t="n"/>
      <c r="C2943" s="91" t="n"/>
      <c r="D2943" s="91" t="n"/>
      <c r="E2943" s="91" t="n"/>
      <c r="F2943" s="91" t="n"/>
      <c r="G2943" s="91" t="n"/>
      <c r="H2943" s="91" t="n"/>
      <c r="I2943" s="91" t="n"/>
      <c r="J2943" s="91" t="n"/>
      <c r="K2943" s="91" t="n"/>
      <c r="L2943" s="91" t="n"/>
      <c r="M2943" s="91" t="n"/>
      <c r="N2943" s="91" t="n"/>
      <c r="O2943" s="91" t="n"/>
      <c r="P2943" s="91" t="n"/>
      <c r="Q2943" s="91" t="n"/>
      <c r="R2943" s="91" t="n"/>
      <c r="S2943" s="91" t="n"/>
      <c r="T2943" s="25">
        <f>DAY(C2943)</f>
        <v/>
      </c>
      <c r="U2943" s="22">
        <f>MONTH(C2943)</f>
        <v/>
      </c>
      <c r="V2943" s="91" t="n"/>
      <c r="W2943" s="91" t="n"/>
      <c r="X2943" s="91" t="n"/>
      <c r="Y2943" s="91" t="n"/>
      <c r="Z2943" s="91" t="n"/>
    </row>
    <row r="2944" ht="12.75" customHeight="1" s="117">
      <c r="A2944" s="91" t="n"/>
      <c r="B2944" s="91" t="n"/>
      <c r="C2944" s="91" t="n"/>
      <c r="D2944" s="91" t="n"/>
      <c r="E2944" s="91" t="n"/>
      <c r="F2944" s="91" t="n"/>
      <c r="G2944" s="91" t="n"/>
      <c r="H2944" s="91" t="n"/>
      <c r="I2944" s="91" t="n"/>
      <c r="J2944" s="91" t="n"/>
      <c r="K2944" s="91" t="n"/>
      <c r="L2944" s="91" t="n"/>
      <c r="M2944" s="91" t="n"/>
      <c r="N2944" s="91" t="n"/>
      <c r="O2944" s="91" t="n"/>
      <c r="P2944" s="91" t="n"/>
      <c r="Q2944" s="91" t="n"/>
      <c r="R2944" s="91" t="n"/>
      <c r="S2944" s="91" t="n"/>
      <c r="T2944" s="25">
        <f>DAY(C2944)</f>
        <v/>
      </c>
      <c r="U2944" s="22">
        <f>MONTH(C2944)</f>
        <v/>
      </c>
      <c r="V2944" s="91" t="n"/>
      <c r="W2944" s="91" t="n"/>
      <c r="X2944" s="91" t="n"/>
      <c r="Y2944" s="91" t="n"/>
      <c r="Z2944" s="91" t="n"/>
    </row>
    <row r="2945" ht="12.75" customHeight="1" s="117">
      <c r="A2945" s="91" t="n"/>
      <c r="B2945" s="91" t="n"/>
      <c r="C2945" s="91" t="n"/>
      <c r="D2945" s="91" t="n"/>
      <c r="E2945" s="91" t="n"/>
      <c r="F2945" s="91" t="n"/>
      <c r="G2945" s="91" t="n"/>
      <c r="H2945" s="91" t="n"/>
      <c r="I2945" s="91" t="n"/>
      <c r="J2945" s="91" t="n"/>
      <c r="K2945" s="91" t="n"/>
      <c r="L2945" s="91" t="n"/>
      <c r="M2945" s="91" t="n"/>
      <c r="N2945" s="91" t="n"/>
      <c r="O2945" s="91" t="n"/>
      <c r="P2945" s="91" t="n"/>
      <c r="Q2945" s="91" t="n"/>
      <c r="R2945" s="91" t="n"/>
      <c r="S2945" s="91" t="n"/>
      <c r="T2945" s="25">
        <f>DAY(C2945)</f>
        <v/>
      </c>
      <c r="U2945" s="22">
        <f>MONTH(C2945)</f>
        <v/>
      </c>
      <c r="V2945" s="91" t="n"/>
      <c r="W2945" s="91" t="n"/>
      <c r="X2945" s="91" t="n"/>
      <c r="Y2945" s="91" t="n"/>
      <c r="Z2945" s="91" t="n"/>
    </row>
    <row r="2946" ht="12.75" customHeight="1" s="117">
      <c r="A2946" s="91" t="n"/>
      <c r="B2946" s="91" t="n"/>
      <c r="C2946" s="91" t="n"/>
      <c r="D2946" s="91" t="n"/>
      <c r="E2946" s="91" t="n"/>
      <c r="F2946" s="91" t="n"/>
      <c r="G2946" s="91" t="n"/>
      <c r="H2946" s="91" t="n"/>
      <c r="I2946" s="91" t="n"/>
      <c r="J2946" s="91" t="n"/>
      <c r="K2946" s="91" t="n"/>
      <c r="L2946" s="91" t="n"/>
      <c r="M2946" s="91" t="n"/>
      <c r="N2946" s="91" t="n"/>
      <c r="O2946" s="91" t="n"/>
      <c r="P2946" s="91" t="n"/>
      <c r="Q2946" s="91" t="n"/>
      <c r="R2946" s="91" t="n"/>
      <c r="S2946" s="91" t="n"/>
      <c r="T2946" s="25">
        <f>DAY(C2946)</f>
        <v/>
      </c>
      <c r="U2946" s="22">
        <f>MONTH(C2946)</f>
        <v/>
      </c>
      <c r="V2946" s="91" t="n"/>
      <c r="W2946" s="91" t="n"/>
      <c r="X2946" s="91" t="n"/>
      <c r="Y2946" s="91" t="n"/>
      <c r="Z2946" s="91" t="n"/>
    </row>
    <row r="2947" ht="12.75" customHeight="1" s="117">
      <c r="A2947" s="91" t="n"/>
      <c r="B2947" s="91" t="n"/>
      <c r="C2947" s="91" t="n"/>
      <c r="D2947" s="91" t="n"/>
      <c r="E2947" s="91" t="n"/>
      <c r="F2947" s="91" t="n"/>
      <c r="G2947" s="91" t="n"/>
      <c r="H2947" s="91" t="n"/>
      <c r="I2947" s="91" t="n"/>
      <c r="J2947" s="91" t="n"/>
      <c r="K2947" s="91" t="n"/>
      <c r="L2947" s="91" t="n"/>
      <c r="M2947" s="91" t="n"/>
      <c r="N2947" s="91" t="n"/>
      <c r="O2947" s="91" t="n"/>
      <c r="P2947" s="91" t="n"/>
      <c r="Q2947" s="91" t="n"/>
      <c r="R2947" s="91" t="n"/>
      <c r="S2947" s="91" t="n"/>
      <c r="T2947" s="25">
        <f>DAY(C2947)</f>
        <v/>
      </c>
      <c r="U2947" s="22">
        <f>MONTH(C2947)</f>
        <v/>
      </c>
      <c r="V2947" s="91" t="n"/>
      <c r="W2947" s="91" t="n"/>
      <c r="X2947" s="91" t="n"/>
      <c r="Y2947" s="91" t="n"/>
      <c r="Z2947" s="91" t="n"/>
    </row>
    <row r="2948" ht="12.75" customHeight="1" s="117">
      <c r="A2948" s="91" t="n"/>
      <c r="B2948" s="91" t="n"/>
      <c r="C2948" s="91" t="n"/>
      <c r="D2948" s="91" t="n"/>
      <c r="E2948" s="91" t="n"/>
      <c r="F2948" s="91" t="n"/>
      <c r="G2948" s="91" t="n"/>
      <c r="H2948" s="91" t="n"/>
      <c r="I2948" s="91" t="n"/>
      <c r="J2948" s="91" t="n"/>
      <c r="K2948" s="91" t="n"/>
      <c r="L2948" s="91" t="n"/>
      <c r="M2948" s="91" t="n"/>
      <c r="N2948" s="91" t="n"/>
      <c r="O2948" s="91" t="n"/>
      <c r="P2948" s="91" t="n"/>
      <c r="Q2948" s="91" t="n"/>
      <c r="R2948" s="91" t="n"/>
      <c r="S2948" s="91" t="n"/>
      <c r="T2948" s="25">
        <f>DAY(C2948)</f>
        <v/>
      </c>
      <c r="U2948" s="22">
        <f>MONTH(C2948)</f>
        <v/>
      </c>
      <c r="V2948" s="91" t="n"/>
      <c r="W2948" s="91" t="n"/>
      <c r="X2948" s="91" t="n"/>
      <c r="Y2948" s="91" t="n"/>
      <c r="Z2948" s="91" t="n"/>
    </row>
    <row r="2949" ht="12.75" customHeight="1" s="117">
      <c r="A2949" s="91" t="n"/>
      <c r="B2949" s="91" t="n"/>
      <c r="C2949" s="91" t="n"/>
      <c r="D2949" s="91" t="n"/>
      <c r="E2949" s="91" t="n"/>
      <c r="F2949" s="91" t="n"/>
      <c r="G2949" s="91" t="n"/>
      <c r="H2949" s="91" t="n"/>
      <c r="I2949" s="91" t="n"/>
      <c r="J2949" s="91" t="n"/>
      <c r="K2949" s="91" t="n"/>
      <c r="L2949" s="91" t="n"/>
      <c r="M2949" s="91" t="n"/>
      <c r="N2949" s="91" t="n"/>
      <c r="O2949" s="91" t="n"/>
      <c r="P2949" s="91" t="n"/>
      <c r="Q2949" s="91" t="n"/>
      <c r="R2949" s="91" t="n"/>
      <c r="S2949" s="91" t="n"/>
      <c r="T2949" s="25">
        <f>DAY(C2949)</f>
        <v/>
      </c>
      <c r="U2949" s="22">
        <f>MONTH(C2949)</f>
        <v/>
      </c>
      <c r="V2949" s="91" t="n"/>
      <c r="W2949" s="91" t="n"/>
      <c r="X2949" s="91" t="n"/>
      <c r="Y2949" s="91" t="n"/>
      <c r="Z2949" s="91" t="n"/>
    </row>
    <row r="2950" ht="12.75" customHeight="1" s="117">
      <c r="A2950" s="91" t="n"/>
      <c r="B2950" s="91" t="n"/>
      <c r="C2950" s="91" t="n"/>
      <c r="D2950" s="91" t="n"/>
      <c r="E2950" s="91" t="n"/>
      <c r="F2950" s="91" t="n"/>
      <c r="G2950" s="91" t="n"/>
      <c r="H2950" s="91" t="n"/>
      <c r="I2950" s="91" t="n"/>
      <c r="J2950" s="91" t="n"/>
      <c r="K2950" s="91" t="n"/>
      <c r="L2950" s="91" t="n"/>
      <c r="M2950" s="91" t="n"/>
      <c r="N2950" s="91" t="n"/>
      <c r="O2950" s="91" t="n"/>
      <c r="P2950" s="91" t="n"/>
      <c r="Q2950" s="91" t="n"/>
      <c r="R2950" s="91" t="n"/>
      <c r="S2950" s="91" t="n"/>
      <c r="T2950" s="25">
        <f>DAY(C2950)</f>
        <v/>
      </c>
      <c r="U2950" s="22">
        <f>MONTH(C2950)</f>
        <v/>
      </c>
      <c r="V2950" s="91" t="n"/>
      <c r="W2950" s="91" t="n"/>
      <c r="X2950" s="91" t="n"/>
      <c r="Y2950" s="91" t="n"/>
      <c r="Z2950" s="91" t="n"/>
    </row>
    <row r="2951" ht="12.75" customHeight="1" s="117">
      <c r="A2951" s="91" t="n"/>
      <c r="B2951" s="91" t="n"/>
      <c r="C2951" s="91" t="n"/>
      <c r="D2951" s="91" t="n"/>
      <c r="E2951" s="91" t="n"/>
      <c r="F2951" s="91" t="n"/>
      <c r="G2951" s="91" t="n"/>
      <c r="H2951" s="91" t="n"/>
      <c r="I2951" s="91" t="n"/>
      <c r="J2951" s="91" t="n"/>
      <c r="K2951" s="91" t="n"/>
      <c r="L2951" s="91" t="n"/>
      <c r="M2951" s="91" t="n"/>
      <c r="N2951" s="91" t="n"/>
      <c r="O2951" s="91" t="n"/>
      <c r="P2951" s="91" t="n"/>
      <c r="Q2951" s="91" t="n"/>
      <c r="R2951" s="91" t="n"/>
      <c r="S2951" s="91" t="n"/>
      <c r="T2951" s="25">
        <f>DAY(C2951)</f>
        <v/>
      </c>
      <c r="U2951" s="22">
        <f>MONTH(C2951)</f>
        <v/>
      </c>
      <c r="V2951" s="91" t="n"/>
      <c r="W2951" s="91" t="n"/>
      <c r="X2951" s="91" t="n"/>
      <c r="Y2951" s="91" t="n"/>
      <c r="Z2951" s="91" t="n"/>
    </row>
    <row r="2952" ht="12.75" customHeight="1" s="117">
      <c r="A2952" s="91" t="n"/>
      <c r="B2952" s="91" t="n"/>
      <c r="C2952" s="91" t="n"/>
      <c r="D2952" s="91" t="n"/>
      <c r="E2952" s="91" t="n"/>
      <c r="F2952" s="91" t="n"/>
      <c r="G2952" s="91" t="n"/>
      <c r="H2952" s="91" t="n"/>
      <c r="I2952" s="91" t="n"/>
      <c r="J2952" s="91" t="n"/>
      <c r="K2952" s="91" t="n"/>
      <c r="L2952" s="91" t="n"/>
      <c r="M2952" s="91" t="n"/>
      <c r="N2952" s="91" t="n"/>
      <c r="O2952" s="91" t="n"/>
      <c r="P2952" s="91" t="n"/>
      <c r="Q2952" s="91" t="n"/>
      <c r="R2952" s="91" t="n"/>
      <c r="S2952" s="91" t="n"/>
      <c r="T2952" s="25">
        <f>DAY(C2952)</f>
        <v/>
      </c>
      <c r="U2952" s="22">
        <f>MONTH(C2952)</f>
        <v/>
      </c>
      <c r="V2952" s="91" t="n"/>
      <c r="W2952" s="91" t="n"/>
      <c r="X2952" s="91" t="n"/>
      <c r="Y2952" s="91" t="n"/>
      <c r="Z2952" s="91" t="n"/>
    </row>
    <row r="2953" ht="12.75" customHeight="1" s="117">
      <c r="A2953" s="91" t="n"/>
      <c r="B2953" s="91" t="n"/>
      <c r="C2953" s="91" t="n"/>
      <c r="D2953" s="91" t="n"/>
      <c r="E2953" s="91" t="n"/>
      <c r="F2953" s="91" t="n"/>
      <c r="G2953" s="91" t="n"/>
      <c r="H2953" s="91" t="n"/>
      <c r="I2953" s="91" t="n"/>
      <c r="J2953" s="91" t="n"/>
      <c r="K2953" s="91" t="n"/>
      <c r="L2953" s="91" t="n"/>
      <c r="M2953" s="91" t="n"/>
      <c r="N2953" s="91" t="n"/>
      <c r="O2953" s="91" t="n"/>
      <c r="P2953" s="91" t="n"/>
      <c r="Q2953" s="91" t="n"/>
      <c r="R2953" s="91" t="n"/>
      <c r="S2953" s="91" t="n"/>
      <c r="T2953" s="25">
        <f>DAY(C2953)</f>
        <v/>
      </c>
      <c r="U2953" s="22">
        <f>MONTH(C2953)</f>
        <v/>
      </c>
      <c r="V2953" s="91" t="n"/>
      <c r="W2953" s="91" t="n"/>
      <c r="X2953" s="91" t="n"/>
      <c r="Y2953" s="91" t="n"/>
      <c r="Z2953" s="91" t="n"/>
    </row>
    <row r="2954" ht="12.75" customHeight="1" s="117">
      <c r="A2954" s="91" t="n"/>
      <c r="B2954" s="91" t="n"/>
      <c r="C2954" s="91" t="n"/>
      <c r="D2954" s="91" t="n"/>
      <c r="E2954" s="91" t="n"/>
      <c r="F2954" s="91" t="n"/>
      <c r="G2954" s="91" t="n"/>
      <c r="H2954" s="91" t="n"/>
      <c r="I2954" s="91" t="n"/>
      <c r="J2954" s="91" t="n"/>
      <c r="K2954" s="91" t="n"/>
      <c r="L2954" s="91" t="n"/>
      <c r="M2954" s="91" t="n"/>
      <c r="N2954" s="91" t="n"/>
      <c r="O2954" s="91" t="n"/>
      <c r="P2954" s="91" t="n"/>
      <c r="Q2954" s="91" t="n"/>
      <c r="R2954" s="91" t="n"/>
      <c r="S2954" s="91" t="n"/>
      <c r="T2954" s="25">
        <f>DAY(C2954)</f>
        <v/>
      </c>
      <c r="U2954" s="22">
        <f>MONTH(C2954)</f>
        <v/>
      </c>
      <c r="V2954" s="91" t="n"/>
      <c r="W2954" s="91" t="n"/>
      <c r="X2954" s="91" t="n"/>
      <c r="Y2954" s="91" t="n"/>
      <c r="Z2954" s="91" t="n"/>
    </row>
    <row r="2955" ht="12.75" customHeight="1" s="117">
      <c r="A2955" s="91" t="n"/>
      <c r="B2955" s="91" t="n"/>
      <c r="C2955" s="91" t="n"/>
      <c r="D2955" s="91" t="n"/>
      <c r="E2955" s="91" t="n"/>
      <c r="F2955" s="91" t="n"/>
      <c r="G2955" s="91" t="n"/>
      <c r="H2955" s="91" t="n"/>
      <c r="I2955" s="91" t="n"/>
      <c r="J2955" s="91" t="n"/>
      <c r="K2955" s="91" t="n"/>
      <c r="L2955" s="91" t="n"/>
      <c r="M2955" s="91" t="n"/>
      <c r="N2955" s="91" t="n"/>
      <c r="O2955" s="91" t="n"/>
      <c r="P2955" s="91" t="n"/>
      <c r="Q2955" s="91" t="n"/>
      <c r="R2955" s="91" t="n"/>
      <c r="S2955" s="91" t="n"/>
      <c r="T2955" s="25">
        <f>DAY(C2955)</f>
        <v/>
      </c>
      <c r="U2955" s="22">
        <f>MONTH(C2955)</f>
        <v/>
      </c>
      <c r="V2955" s="91" t="n"/>
      <c r="W2955" s="91" t="n"/>
      <c r="X2955" s="91" t="n"/>
      <c r="Y2955" s="91" t="n"/>
      <c r="Z2955" s="91" t="n"/>
    </row>
    <row r="2956" ht="12.75" customHeight="1" s="117">
      <c r="A2956" s="91" t="n"/>
      <c r="B2956" s="91" t="n"/>
      <c r="C2956" s="91" t="n"/>
      <c r="D2956" s="91" t="n"/>
      <c r="E2956" s="91" t="n"/>
      <c r="F2956" s="91" t="n"/>
      <c r="G2956" s="91" t="n"/>
      <c r="H2956" s="91" t="n"/>
      <c r="I2956" s="91" t="n"/>
      <c r="J2956" s="91" t="n"/>
      <c r="K2956" s="91" t="n"/>
      <c r="L2956" s="91" t="n"/>
      <c r="M2956" s="91" t="n"/>
      <c r="N2956" s="91" t="n"/>
      <c r="O2956" s="91" t="n"/>
      <c r="P2956" s="91" t="n"/>
      <c r="Q2956" s="91" t="n"/>
      <c r="R2956" s="91" t="n"/>
      <c r="S2956" s="91" t="n"/>
      <c r="T2956" s="25">
        <f>DAY(C2956)</f>
        <v/>
      </c>
      <c r="U2956" s="22">
        <f>MONTH(C2956)</f>
        <v/>
      </c>
      <c r="V2956" s="91" t="n"/>
      <c r="W2956" s="91" t="n"/>
      <c r="X2956" s="91" t="n"/>
      <c r="Y2956" s="91" t="n"/>
      <c r="Z2956" s="91" t="n"/>
    </row>
    <row r="2957" ht="12.75" customHeight="1" s="117">
      <c r="A2957" s="91" t="n"/>
      <c r="B2957" s="91" t="n"/>
      <c r="C2957" s="91" t="n"/>
      <c r="D2957" s="91" t="n"/>
      <c r="E2957" s="91" t="n"/>
      <c r="F2957" s="91" t="n"/>
      <c r="G2957" s="91" t="n"/>
      <c r="H2957" s="91" t="n"/>
      <c r="I2957" s="91" t="n"/>
      <c r="J2957" s="91" t="n"/>
      <c r="K2957" s="91" t="n"/>
      <c r="L2957" s="91" t="n"/>
      <c r="M2957" s="91" t="n"/>
      <c r="N2957" s="91" t="n"/>
      <c r="O2957" s="91" t="n"/>
      <c r="P2957" s="91" t="n"/>
      <c r="Q2957" s="91" t="n"/>
      <c r="R2957" s="91" t="n"/>
      <c r="S2957" s="91" t="n"/>
      <c r="T2957" s="25">
        <f>DAY(C2957)</f>
        <v/>
      </c>
      <c r="U2957" s="22">
        <f>MONTH(C2957)</f>
        <v/>
      </c>
      <c r="V2957" s="91" t="n"/>
      <c r="W2957" s="91" t="n"/>
      <c r="X2957" s="91" t="n"/>
      <c r="Y2957" s="91" t="n"/>
      <c r="Z2957" s="91" t="n"/>
    </row>
    <row r="2958" ht="12.75" customHeight="1" s="117">
      <c r="A2958" s="91" t="n"/>
      <c r="B2958" s="91" t="n"/>
      <c r="C2958" s="91" t="n"/>
      <c r="D2958" s="91" t="n"/>
      <c r="E2958" s="91" t="n"/>
      <c r="F2958" s="91" t="n"/>
      <c r="G2958" s="91" t="n"/>
      <c r="H2958" s="91" t="n"/>
      <c r="I2958" s="91" t="n"/>
      <c r="J2958" s="91" t="n"/>
      <c r="K2958" s="91" t="n"/>
      <c r="L2958" s="91" t="n"/>
      <c r="M2958" s="91" t="n"/>
      <c r="N2958" s="91" t="n"/>
      <c r="O2958" s="91" t="n"/>
      <c r="P2958" s="91" t="n"/>
      <c r="Q2958" s="91" t="n"/>
      <c r="R2958" s="91" t="n"/>
      <c r="S2958" s="91" t="n"/>
      <c r="T2958" s="25">
        <f>DAY(C2958)</f>
        <v/>
      </c>
      <c r="U2958" s="22">
        <f>MONTH(C2958)</f>
        <v/>
      </c>
      <c r="V2958" s="91" t="n"/>
      <c r="W2958" s="91" t="n"/>
      <c r="X2958" s="91" t="n"/>
      <c r="Y2958" s="91" t="n"/>
      <c r="Z2958" s="91" t="n"/>
    </row>
    <row r="2959" ht="12.75" customHeight="1" s="117">
      <c r="A2959" s="91" t="n"/>
      <c r="B2959" s="91" t="n"/>
      <c r="C2959" s="91" t="n"/>
      <c r="D2959" s="91" t="n"/>
      <c r="E2959" s="91" t="n"/>
      <c r="F2959" s="91" t="n"/>
      <c r="G2959" s="91" t="n"/>
      <c r="H2959" s="91" t="n"/>
      <c r="I2959" s="91" t="n"/>
      <c r="J2959" s="91" t="n"/>
      <c r="K2959" s="91" t="n"/>
      <c r="L2959" s="91" t="n"/>
      <c r="M2959" s="91" t="n"/>
      <c r="N2959" s="91" t="n"/>
      <c r="O2959" s="91" t="n"/>
      <c r="P2959" s="91" t="n"/>
      <c r="Q2959" s="91" t="n"/>
      <c r="R2959" s="91" t="n"/>
      <c r="S2959" s="91" t="n"/>
      <c r="T2959" s="25">
        <f>DAY(C2959)</f>
        <v/>
      </c>
      <c r="U2959" s="22">
        <f>MONTH(C2959)</f>
        <v/>
      </c>
      <c r="V2959" s="91" t="n"/>
      <c r="W2959" s="91" t="n"/>
      <c r="X2959" s="91" t="n"/>
      <c r="Y2959" s="91" t="n"/>
      <c r="Z2959" s="91" t="n"/>
    </row>
    <row r="2960" ht="12.75" customHeight="1" s="117">
      <c r="A2960" s="91" t="n"/>
      <c r="B2960" s="91" t="n"/>
      <c r="C2960" s="91" t="n"/>
      <c r="D2960" s="91" t="n"/>
      <c r="E2960" s="91" t="n"/>
      <c r="F2960" s="91" t="n"/>
      <c r="G2960" s="91" t="n"/>
      <c r="H2960" s="91" t="n"/>
      <c r="I2960" s="91" t="n"/>
      <c r="J2960" s="91" t="n"/>
      <c r="K2960" s="91" t="n"/>
      <c r="L2960" s="91" t="n"/>
      <c r="M2960" s="91" t="n"/>
      <c r="N2960" s="91" t="n"/>
      <c r="O2960" s="91" t="n"/>
      <c r="P2960" s="91" t="n"/>
      <c r="Q2960" s="91" t="n"/>
      <c r="R2960" s="91" t="n"/>
      <c r="S2960" s="91" t="n"/>
      <c r="T2960" s="25">
        <f>DAY(C2960)</f>
        <v/>
      </c>
      <c r="U2960" s="22">
        <f>MONTH(C2960)</f>
        <v/>
      </c>
      <c r="V2960" s="91" t="n"/>
      <c r="W2960" s="91" t="n"/>
      <c r="X2960" s="91" t="n"/>
      <c r="Y2960" s="91" t="n"/>
      <c r="Z2960" s="91" t="n"/>
    </row>
    <row r="2961" ht="12.75" customHeight="1" s="117">
      <c r="A2961" s="91" t="n"/>
      <c r="B2961" s="91" t="n"/>
      <c r="C2961" s="91" t="n"/>
      <c r="D2961" s="91" t="n"/>
      <c r="E2961" s="91" t="n"/>
      <c r="F2961" s="91" t="n"/>
      <c r="G2961" s="91" t="n"/>
      <c r="H2961" s="91" t="n"/>
      <c r="I2961" s="91" t="n"/>
      <c r="J2961" s="91" t="n"/>
      <c r="K2961" s="91" t="n"/>
      <c r="L2961" s="91" t="n"/>
      <c r="M2961" s="91" t="n"/>
      <c r="N2961" s="91" t="n"/>
      <c r="O2961" s="91" t="n"/>
      <c r="P2961" s="91" t="n"/>
      <c r="Q2961" s="91" t="n"/>
      <c r="R2961" s="91" t="n"/>
      <c r="S2961" s="91" t="n"/>
      <c r="T2961" s="25">
        <f>DAY(C2961)</f>
        <v/>
      </c>
      <c r="U2961" s="22">
        <f>MONTH(C2961)</f>
        <v/>
      </c>
      <c r="V2961" s="91" t="n"/>
      <c r="W2961" s="91" t="n"/>
      <c r="X2961" s="91" t="n"/>
      <c r="Y2961" s="91" t="n"/>
      <c r="Z2961" s="91" t="n"/>
    </row>
    <row r="2962" ht="12.75" customHeight="1" s="117">
      <c r="A2962" s="91" t="n"/>
      <c r="B2962" s="91" t="n"/>
      <c r="C2962" s="91" t="n"/>
      <c r="D2962" s="91" t="n"/>
      <c r="E2962" s="91" t="n"/>
      <c r="F2962" s="91" t="n"/>
      <c r="G2962" s="91" t="n"/>
      <c r="H2962" s="91" t="n"/>
      <c r="I2962" s="91" t="n"/>
      <c r="J2962" s="91" t="n"/>
      <c r="K2962" s="91" t="n"/>
      <c r="L2962" s="91" t="n"/>
      <c r="M2962" s="91" t="n"/>
      <c r="N2962" s="91" t="n"/>
      <c r="O2962" s="91" t="n"/>
      <c r="P2962" s="91" t="n"/>
      <c r="Q2962" s="91" t="n"/>
      <c r="R2962" s="91" t="n"/>
      <c r="S2962" s="91" t="n"/>
      <c r="T2962" s="25">
        <f>DAY(C2962)</f>
        <v/>
      </c>
      <c r="U2962" s="22">
        <f>MONTH(C2962)</f>
        <v/>
      </c>
      <c r="V2962" s="91" t="n"/>
      <c r="W2962" s="91" t="n"/>
      <c r="X2962" s="91" t="n"/>
      <c r="Y2962" s="91" t="n"/>
      <c r="Z2962" s="91" t="n"/>
    </row>
    <row r="2963" ht="12.75" customHeight="1" s="117">
      <c r="A2963" s="91" t="n"/>
      <c r="B2963" s="91" t="n"/>
      <c r="C2963" s="91" t="n"/>
      <c r="D2963" s="91" t="n"/>
      <c r="E2963" s="91" t="n"/>
      <c r="F2963" s="91" t="n"/>
      <c r="G2963" s="91" t="n"/>
      <c r="H2963" s="91" t="n"/>
      <c r="I2963" s="91" t="n"/>
      <c r="J2963" s="91" t="n"/>
      <c r="K2963" s="91" t="n"/>
      <c r="L2963" s="91" t="n"/>
      <c r="M2963" s="91" t="n"/>
      <c r="N2963" s="91" t="n"/>
      <c r="O2963" s="91" t="n"/>
      <c r="P2963" s="91" t="n"/>
      <c r="Q2963" s="91" t="n"/>
      <c r="R2963" s="91" t="n"/>
      <c r="S2963" s="91" t="n"/>
      <c r="T2963" s="25">
        <f>DAY(C2963)</f>
        <v/>
      </c>
      <c r="U2963" s="22">
        <f>MONTH(C2963)</f>
        <v/>
      </c>
      <c r="V2963" s="91" t="n"/>
      <c r="W2963" s="91" t="n"/>
      <c r="X2963" s="91" t="n"/>
      <c r="Y2963" s="91" t="n"/>
      <c r="Z2963" s="91" t="n"/>
    </row>
    <row r="2964" ht="12.75" customHeight="1" s="117">
      <c r="A2964" s="91" t="n"/>
      <c r="B2964" s="91" t="n"/>
      <c r="C2964" s="91" t="n"/>
      <c r="D2964" s="91" t="n"/>
      <c r="E2964" s="91" t="n"/>
      <c r="F2964" s="91" t="n"/>
      <c r="G2964" s="91" t="n"/>
      <c r="H2964" s="91" t="n"/>
      <c r="I2964" s="91" t="n"/>
      <c r="J2964" s="91" t="n"/>
      <c r="K2964" s="91" t="n"/>
      <c r="L2964" s="91" t="n"/>
      <c r="M2964" s="91" t="n"/>
      <c r="N2964" s="91" t="n"/>
      <c r="O2964" s="91" t="n"/>
      <c r="P2964" s="91" t="n"/>
      <c r="Q2964" s="91" t="n"/>
      <c r="R2964" s="91" t="n"/>
      <c r="S2964" s="91" t="n"/>
      <c r="T2964" s="25">
        <f>DAY(C2964)</f>
        <v/>
      </c>
      <c r="U2964" s="22">
        <f>MONTH(C2964)</f>
        <v/>
      </c>
      <c r="V2964" s="91" t="n"/>
      <c r="W2964" s="91" t="n"/>
      <c r="X2964" s="91" t="n"/>
      <c r="Y2964" s="91" t="n"/>
      <c r="Z2964" s="91" t="n"/>
    </row>
    <row r="2965" ht="12.75" customHeight="1" s="117">
      <c r="A2965" s="91" t="n"/>
      <c r="B2965" s="91" t="n"/>
      <c r="C2965" s="91" t="n"/>
      <c r="D2965" s="91" t="n"/>
      <c r="E2965" s="91" t="n"/>
      <c r="F2965" s="91" t="n"/>
      <c r="G2965" s="91" t="n"/>
      <c r="H2965" s="91" t="n"/>
      <c r="I2965" s="91" t="n"/>
      <c r="J2965" s="91" t="n"/>
      <c r="K2965" s="91" t="n"/>
      <c r="L2965" s="91" t="n"/>
      <c r="M2965" s="91" t="n"/>
      <c r="N2965" s="91" t="n"/>
      <c r="O2965" s="91" t="n"/>
      <c r="P2965" s="91" t="n"/>
      <c r="Q2965" s="91" t="n"/>
      <c r="R2965" s="91" t="n"/>
      <c r="S2965" s="91" t="n"/>
      <c r="T2965" s="25">
        <f>DAY(C2965)</f>
        <v/>
      </c>
      <c r="U2965" s="22">
        <f>MONTH(C2965)</f>
        <v/>
      </c>
      <c r="V2965" s="91" t="n"/>
      <c r="W2965" s="91" t="n"/>
      <c r="X2965" s="91" t="n"/>
      <c r="Y2965" s="91" t="n"/>
      <c r="Z2965" s="91" t="n"/>
    </row>
    <row r="2966" ht="12.75" customHeight="1" s="117">
      <c r="A2966" s="91" t="n"/>
      <c r="B2966" s="91" t="n"/>
      <c r="C2966" s="91" t="n"/>
      <c r="D2966" s="91" t="n"/>
      <c r="E2966" s="91" t="n"/>
      <c r="F2966" s="91" t="n"/>
      <c r="G2966" s="91" t="n"/>
      <c r="H2966" s="91" t="n"/>
      <c r="I2966" s="91" t="n"/>
      <c r="J2966" s="91" t="n"/>
      <c r="K2966" s="91" t="n"/>
      <c r="L2966" s="91" t="n"/>
      <c r="M2966" s="91" t="n"/>
      <c r="N2966" s="91" t="n"/>
      <c r="O2966" s="91" t="n"/>
      <c r="P2966" s="91" t="n"/>
      <c r="Q2966" s="91" t="n"/>
      <c r="R2966" s="91" t="n"/>
      <c r="S2966" s="91" t="n"/>
      <c r="T2966" s="25">
        <f>DAY(C2966)</f>
        <v/>
      </c>
      <c r="U2966" s="22">
        <f>MONTH(C2966)</f>
        <v/>
      </c>
      <c r="V2966" s="91" t="n"/>
      <c r="W2966" s="91" t="n"/>
      <c r="X2966" s="91" t="n"/>
      <c r="Y2966" s="91" t="n"/>
      <c r="Z2966" s="91" t="n"/>
    </row>
    <row r="2967" ht="12.75" customHeight="1" s="117">
      <c r="A2967" s="91" t="n"/>
      <c r="B2967" s="91" t="n"/>
      <c r="C2967" s="91" t="n"/>
      <c r="D2967" s="91" t="n"/>
      <c r="E2967" s="91" t="n"/>
      <c r="F2967" s="91" t="n"/>
      <c r="G2967" s="91" t="n"/>
      <c r="H2967" s="91" t="n"/>
      <c r="I2967" s="91" t="n"/>
      <c r="J2967" s="91" t="n"/>
      <c r="K2967" s="91" t="n"/>
      <c r="L2967" s="91" t="n"/>
      <c r="M2967" s="91" t="n"/>
      <c r="N2967" s="91" t="n"/>
      <c r="O2967" s="91" t="n"/>
      <c r="P2967" s="91" t="n"/>
      <c r="Q2967" s="91" t="n"/>
      <c r="R2967" s="91" t="n"/>
      <c r="S2967" s="91" t="n"/>
      <c r="T2967" s="25">
        <f>DAY(C2967)</f>
        <v/>
      </c>
      <c r="U2967" s="22">
        <f>MONTH(C2967)</f>
        <v/>
      </c>
      <c r="V2967" s="91" t="n"/>
      <c r="W2967" s="91" t="n"/>
      <c r="X2967" s="91" t="n"/>
      <c r="Y2967" s="91" t="n"/>
      <c r="Z2967" s="91" t="n"/>
    </row>
    <row r="2968" ht="12.75" customHeight="1" s="117">
      <c r="A2968" s="91" t="n"/>
      <c r="B2968" s="91" t="n"/>
      <c r="C2968" s="91" t="n"/>
      <c r="D2968" s="91" t="n"/>
      <c r="E2968" s="91" t="n"/>
      <c r="F2968" s="91" t="n"/>
      <c r="G2968" s="91" t="n"/>
      <c r="H2968" s="91" t="n"/>
      <c r="I2968" s="91" t="n"/>
      <c r="J2968" s="91" t="n"/>
      <c r="K2968" s="91" t="n"/>
      <c r="L2968" s="91" t="n"/>
      <c r="M2968" s="91" t="n"/>
      <c r="N2968" s="91" t="n"/>
      <c r="O2968" s="91" t="n"/>
      <c r="P2968" s="91" t="n"/>
      <c r="Q2968" s="91" t="n"/>
      <c r="R2968" s="91" t="n"/>
      <c r="S2968" s="91" t="n"/>
      <c r="T2968" s="25">
        <f>DAY(C2968)</f>
        <v/>
      </c>
      <c r="U2968" s="22">
        <f>MONTH(C2968)</f>
        <v/>
      </c>
      <c r="V2968" s="91" t="n"/>
      <c r="W2968" s="91" t="n"/>
      <c r="X2968" s="91" t="n"/>
      <c r="Y2968" s="91" t="n"/>
      <c r="Z2968" s="91" t="n"/>
    </row>
    <row r="2969" ht="12.75" customHeight="1" s="117">
      <c r="A2969" s="91" t="n"/>
      <c r="B2969" s="91" t="n"/>
      <c r="C2969" s="91" t="n"/>
      <c r="D2969" s="91" t="n"/>
      <c r="E2969" s="91" t="n"/>
      <c r="F2969" s="91" t="n"/>
      <c r="G2969" s="91" t="n"/>
      <c r="H2969" s="91" t="n"/>
      <c r="I2969" s="91" t="n"/>
      <c r="J2969" s="91" t="n"/>
      <c r="K2969" s="91" t="n"/>
      <c r="L2969" s="91" t="n"/>
      <c r="M2969" s="91" t="n"/>
      <c r="N2969" s="91" t="n"/>
      <c r="O2969" s="91" t="n"/>
      <c r="P2969" s="91" t="n"/>
      <c r="Q2969" s="91" t="n"/>
      <c r="R2969" s="91" t="n"/>
      <c r="S2969" s="91" t="n"/>
      <c r="T2969" s="25">
        <f>DAY(C2969)</f>
        <v/>
      </c>
      <c r="U2969" s="22">
        <f>MONTH(C2969)</f>
        <v/>
      </c>
      <c r="V2969" s="91" t="n"/>
      <c r="W2969" s="91" t="n"/>
      <c r="X2969" s="91" t="n"/>
      <c r="Y2969" s="91" t="n"/>
      <c r="Z2969" s="91" t="n"/>
    </row>
    <row r="2970" ht="12.75" customHeight="1" s="117">
      <c r="A2970" s="91" t="n"/>
      <c r="B2970" s="91" t="n"/>
      <c r="C2970" s="91" t="n"/>
      <c r="D2970" s="91" t="n"/>
      <c r="E2970" s="91" t="n"/>
      <c r="F2970" s="91" t="n"/>
      <c r="G2970" s="91" t="n"/>
      <c r="H2970" s="91" t="n"/>
      <c r="I2970" s="91" t="n"/>
      <c r="J2970" s="91" t="n"/>
      <c r="K2970" s="91" t="n"/>
      <c r="L2970" s="91" t="n"/>
      <c r="M2970" s="91" t="n"/>
      <c r="N2970" s="91" t="n"/>
      <c r="O2970" s="91" t="n"/>
      <c r="P2970" s="91" t="n"/>
      <c r="Q2970" s="91" t="n"/>
      <c r="R2970" s="91" t="n"/>
      <c r="S2970" s="91" t="n"/>
      <c r="T2970" s="25">
        <f>DAY(C2970)</f>
        <v/>
      </c>
      <c r="U2970" s="22">
        <f>MONTH(C2970)</f>
        <v/>
      </c>
      <c r="V2970" s="91" t="n"/>
      <c r="W2970" s="91" t="n"/>
      <c r="X2970" s="91" t="n"/>
      <c r="Y2970" s="91" t="n"/>
      <c r="Z2970" s="91" t="n"/>
    </row>
    <row r="2971" ht="12.75" customHeight="1" s="117">
      <c r="A2971" s="91" t="n"/>
      <c r="B2971" s="91" t="n"/>
      <c r="C2971" s="91" t="n"/>
      <c r="D2971" s="91" t="n"/>
      <c r="E2971" s="91" t="n"/>
      <c r="F2971" s="91" t="n"/>
      <c r="G2971" s="91" t="n"/>
      <c r="H2971" s="91" t="n"/>
      <c r="I2971" s="91" t="n"/>
      <c r="J2971" s="91" t="n"/>
      <c r="K2971" s="91" t="n"/>
      <c r="L2971" s="91" t="n"/>
      <c r="M2971" s="91" t="n"/>
      <c r="N2971" s="91" t="n"/>
      <c r="O2971" s="91" t="n"/>
      <c r="P2971" s="91" t="n"/>
      <c r="Q2971" s="91" t="n"/>
      <c r="R2971" s="91" t="n"/>
      <c r="S2971" s="91" t="n"/>
      <c r="T2971" s="25">
        <f>DAY(C2971)</f>
        <v/>
      </c>
      <c r="U2971" s="22">
        <f>MONTH(C2971)</f>
        <v/>
      </c>
      <c r="V2971" s="91" t="n"/>
      <c r="W2971" s="91" t="n"/>
      <c r="X2971" s="91" t="n"/>
      <c r="Y2971" s="91" t="n"/>
      <c r="Z2971" s="91" t="n"/>
    </row>
    <row r="2972" ht="12.75" customHeight="1" s="117">
      <c r="A2972" s="91" t="n"/>
      <c r="B2972" s="91" t="n"/>
      <c r="C2972" s="91" t="n"/>
      <c r="D2972" s="91" t="n"/>
      <c r="E2972" s="91" t="n"/>
      <c r="F2972" s="91" t="n"/>
      <c r="G2972" s="91" t="n"/>
      <c r="H2972" s="91" t="n"/>
      <c r="I2972" s="91" t="n"/>
      <c r="J2972" s="91" t="n"/>
      <c r="K2972" s="91" t="n"/>
      <c r="L2972" s="91" t="n"/>
      <c r="M2972" s="91" t="n"/>
      <c r="N2972" s="91" t="n"/>
      <c r="O2972" s="91" t="n"/>
      <c r="P2972" s="91" t="n"/>
      <c r="Q2972" s="91" t="n"/>
      <c r="R2972" s="91" t="n"/>
      <c r="S2972" s="91" t="n"/>
      <c r="T2972" s="25">
        <f>DAY(C2972)</f>
        <v/>
      </c>
      <c r="U2972" s="22">
        <f>MONTH(C2972)</f>
        <v/>
      </c>
      <c r="V2972" s="91" t="n"/>
      <c r="W2972" s="91" t="n"/>
      <c r="X2972" s="91" t="n"/>
      <c r="Y2972" s="91" t="n"/>
      <c r="Z2972" s="91" t="n"/>
    </row>
    <row r="2973" ht="12.75" customHeight="1" s="117">
      <c r="A2973" s="91" t="n"/>
      <c r="B2973" s="91" t="n"/>
      <c r="C2973" s="91" t="n"/>
      <c r="D2973" s="91" t="n"/>
      <c r="E2973" s="91" t="n"/>
      <c r="F2973" s="91" t="n"/>
      <c r="G2973" s="91" t="n"/>
      <c r="H2973" s="91" t="n"/>
      <c r="I2973" s="91" t="n"/>
      <c r="J2973" s="91" t="n"/>
      <c r="K2973" s="91" t="n"/>
      <c r="L2973" s="91" t="n"/>
      <c r="M2973" s="91" t="n"/>
      <c r="N2973" s="91" t="n"/>
      <c r="O2973" s="91" t="n"/>
      <c r="P2973" s="91" t="n"/>
      <c r="Q2973" s="91" t="n"/>
      <c r="R2973" s="91" t="n"/>
      <c r="S2973" s="91" t="n"/>
      <c r="T2973" s="25">
        <f>DAY(C2973)</f>
        <v/>
      </c>
      <c r="U2973" s="22">
        <f>MONTH(C2973)</f>
        <v/>
      </c>
      <c r="V2973" s="91" t="n"/>
      <c r="W2973" s="91" t="n"/>
      <c r="X2973" s="91" t="n"/>
      <c r="Y2973" s="91" t="n"/>
      <c r="Z2973" s="91" t="n"/>
    </row>
    <row r="2974" ht="12.75" customHeight="1" s="117">
      <c r="A2974" s="91" t="n"/>
      <c r="B2974" s="91" t="n"/>
      <c r="C2974" s="91" t="n"/>
      <c r="D2974" s="91" t="n"/>
      <c r="E2974" s="91" t="n"/>
      <c r="F2974" s="91" t="n"/>
      <c r="G2974" s="91" t="n"/>
      <c r="H2974" s="91" t="n"/>
      <c r="I2974" s="91" t="n"/>
      <c r="J2974" s="91" t="n"/>
      <c r="K2974" s="91" t="n"/>
      <c r="L2974" s="91" t="n"/>
      <c r="M2974" s="91" t="n"/>
      <c r="N2974" s="91" t="n"/>
      <c r="O2974" s="91" t="n"/>
      <c r="P2974" s="91" t="n"/>
      <c r="Q2974" s="91" t="n"/>
      <c r="R2974" s="91" t="n"/>
      <c r="S2974" s="91" t="n"/>
      <c r="T2974" s="25">
        <f>DAY(C2974)</f>
        <v/>
      </c>
      <c r="U2974" s="22">
        <f>MONTH(C2974)</f>
        <v/>
      </c>
      <c r="V2974" s="91" t="n"/>
      <c r="W2974" s="91" t="n"/>
      <c r="X2974" s="91" t="n"/>
      <c r="Y2974" s="91" t="n"/>
      <c r="Z2974" s="91" t="n"/>
    </row>
    <row r="2975" ht="12.75" customHeight="1" s="117">
      <c r="A2975" s="91" t="n"/>
      <c r="B2975" s="91" t="n"/>
      <c r="C2975" s="91" t="n"/>
      <c r="D2975" s="91" t="n"/>
      <c r="E2975" s="91" t="n"/>
      <c r="F2975" s="91" t="n"/>
      <c r="G2975" s="91" t="n"/>
      <c r="H2975" s="91" t="n"/>
      <c r="I2975" s="91" t="n"/>
      <c r="J2975" s="91" t="n"/>
      <c r="K2975" s="91" t="n"/>
      <c r="L2975" s="91" t="n"/>
      <c r="M2975" s="91" t="n"/>
      <c r="N2975" s="91" t="n"/>
      <c r="O2975" s="91" t="n"/>
      <c r="P2975" s="91" t="n"/>
      <c r="Q2975" s="91" t="n"/>
      <c r="R2975" s="91" t="n"/>
      <c r="S2975" s="91" t="n"/>
      <c r="T2975" s="25">
        <f>DAY(C2975)</f>
        <v/>
      </c>
      <c r="U2975" s="22">
        <f>MONTH(C2975)</f>
        <v/>
      </c>
      <c r="V2975" s="91" t="n"/>
      <c r="W2975" s="91" t="n"/>
      <c r="X2975" s="91" t="n"/>
      <c r="Y2975" s="91" t="n"/>
      <c r="Z2975" s="91" t="n"/>
    </row>
    <row r="2976" ht="12.75" customHeight="1" s="117">
      <c r="A2976" s="91" t="n"/>
      <c r="B2976" s="91" t="n"/>
      <c r="C2976" s="91" t="n"/>
      <c r="D2976" s="91" t="n"/>
      <c r="E2976" s="91" t="n"/>
      <c r="F2976" s="91" t="n"/>
      <c r="G2976" s="91" t="n"/>
      <c r="H2976" s="91" t="n"/>
      <c r="I2976" s="91" t="n"/>
      <c r="J2976" s="91" t="n"/>
      <c r="K2976" s="91" t="n"/>
      <c r="L2976" s="91" t="n"/>
      <c r="M2976" s="91" t="n"/>
      <c r="N2976" s="91" t="n"/>
      <c r="O2976" s="91" t="n"/>
      <c r="P2976" s="91" t="n"/>
      <c r="Q2976" s="91" t="n"/>
      <c r="R2976" s="91" t="n"/>
      <c r="S2976" s="91" t="n"/>
      <c r="T2976" s="25">
        <f>DAY(C2976)</f>
        <v/>
      </c>
      <c r="U2976" s="22">
        <f>MONTH(C2976)</f>
        <v/>
      </c>
      <c r="V2976" s="91" t="n"/>
      <c r="W2976" s="91" t="n"/>
      <c r="X2976" s="91" t="n"/>
      <c r="Y2976" s="91" t="n"/>
      <c r="Z2976" s="91" t="n"/>
    </row>
    <row r="2977" ht="12.75" customHeight="1" s="117">
      <c r="A2977" s="91" t="n"/>
      <c r="B2977" s="91" t="n"/>
      <c r="C2977" s="91" t="n"/>
      <c r="D2977" s="91" t="n"/>
      <c r="E2977" s="91" t="n"/>
      <c r="F2977" s="91" t="n"/>
      <c r="G2977" s="91" t="n"/>
      <c r="H2977" s="91" t="n"/>
      <c r="I2977" s="91" t="n"/>
      <c r="J2977" s="91" t="n"/>
      <c r="K2977" s="91" t="n"/>
      <c r="L2977" s="91" t="n"/>
      <c r="M2977" s="91" t="n"/>
      <c r="N2977" s="91" t="n"/>
      <c r="O2977" s="91" t="n"/>
      <c r="P2977" s="91" t="n"/>
      <c r="Q2977" s="91" t="n"/>
      <c r="R2977" s="91" t="n"/>
      <c r="S2977" s="91" t="n"/>
      <c r="T2977" s="25">
        <f>DAY(C2977)</f>
        <v/>
      </c>
      <c r="U2977" s="22">
        <f>MONTH(C2977)</f>
        <v/>
      </c>
      <c r="V2977" s="91" t="n"/>
      <c r="W2977" s="91" t="n"/>
      <c r="X2977" s="91" t="n"/>
      <c r="Y2977" s="91" t="n"/>
      <c r="Z2977" s="91" t="n"/>
    </row>
    <row r="2978" ht="12.75" customHeight="1" s="117">
      <c r="A2978" s="91" t="n"/>
      <c r="B2978" s="91" t="n"/>
      <c r="C2978" s="91" t="n"/>
      <c r="D2978" s="91" t="n"/>
      <c r="E2978" s="91" t="n"/>
      <c r="F2978" s="91" t="n"/>
      <c r="G2978" s="91" t="n"/>
      <c r="H2978" s="91" t="n"/>
      <c r="I2978" s="91" t="n"/>
      <c r="J2978" s="91" t="n"/>
      <c r="K2978" s="91" t="n"/>
      <c r="L2978" s="91" t="n"/>
      <c r="M2978" s="91" t="n"/>
      <c r="N2978" s="91" t="n"/>
      <c r="O2978" s="91" t="n"/>
      <c r="P2978" s="91" t="n"/>
      <c r="Q2978" s="91" t="n"/>
      <c r="R2978" s="91" t="n"/>
      <c r="S2978" s="91" t="n"/>
      <c r="T2978" s="25">
        <f>DAY(C2978)</f>
        <v/>
      </c>
      <c r="U2978" s="22">
        <f>MONTH(C2978)</f>
        <v/>
      </c>
      <c r="V2978" s="91" t="n"/>
      <c r="W2978" s="91" t="n"/>
      <c r="X2978" s="91" t="n"/>
      <c r="Y2978" s="91" t="n"/>
      <c r="Z2978" s="91" t="n"/>
    </row>
    <row r="2979" ht="12.75" customHeight="1" s="117">
      <c r="A2979" s="91" t="n"/>
      <c r="B2979" s="91" t="n"/>
      <c r="C2979" s="91" t="n"/>
      <c r="D2979" s="91" t="n"/>
      <c r="E2979" s="91" t="n"/>
      <c r="F2979" s="91" t="n"/>
      <c r="G2979" s="91" t="n"/>
      <c r="H2979" s="91" t="n"/>
      <c r="I2979" s="91" t="n"/>
      <c r="J2979" s="91" t="n"/>
      <c r="K2979" s="91" t="n"/>
      <c r="L2979" s="91" t="n"/>
      <c r="M2979" s="91" t="n"/>
      <c r="N2979" s="91" t="n"/>
      <c r="O2979" s="91" t="n"/>
      <c r="P2979" s="91" t="n"/>
      <c r="Q2979" s="91" t="n"/>
      <c r="R2979" s="91" t="n"/>
      <c r="S2979" s="91" t="n"/>
      <c r="T2979" s="25">
        <f>DAY(C2979)</f>
        <v/>
      </c>
      <c r="U2979" s="22">
        <f>MONTH(C2979)</f>
        <v/>
      </c>
      <c r="V2979" s="91" t="n"/>
      <c r="W2979" s="91" t="n"/>
      <c r="X2979" s="91" t="n"/>
      <c r="Y2979" s="91" t="n"/>
      <c r="Z2979" s="91" t="n"/>
    </row>
    <row r="2980" ht="12.75" customHeight="1" s="117">
      <c r="A2980" s="91" t="n"/>
      <c r="B2980" s="91" t="n"/>
      <c r="C2980" s="91" t="n"/>
      <c r="D2980" s="91" t="n"/>
      <c r="E2980" s="91" t="n"/>
      <c r="F2980" s="91" t="n"/>
      <c r="G2980" s="91" t="n"/>
      <c r="H2980" s="91" t="n"/>
      <c r="I2980" s="91" t="n"/>
      <c r="J2980" s="91" t="n"/>
      <c r="K2980" s="91" t="n"/>
      <c r="L2980" s="91" t="n"/>
      <c r="M2980" s="91" t="n"/>
      <c r="N2980" s="91" t="n"/>
      <c r="O2980" s="91" t="n"/>
      <c r="P2980" s="91" t="n"/>
      <c r="Q2980" s="91" t="n"/>
      <c r="R2980" s="91" t="n"/>
      <c r="S2980" s="91" t="n"/>
      <c r="T2980" s="25">
        <f>DAY(C2980)</f>
        <v/>
      </c>
      <c r="U2980" s="22">
        <f>MONTH(C2980)</f>
        <v/>
      </c>
      <c r="V2980" s="91" t="n"/>
      <c r="W2980" s="91" t="n"/>
      <c r="X2980" s="91" t="n"/>
      <c r="Y2980" s="91" t="n"/>
      <c r="Z2980" s="91" t="n"/>
    </row>
    <row r="2981" ht="12.75" customHeight="1" s="117">
      <c r="A2981" s="91" t="n"/>
      <c r="B2981" s="91" t="n"/>
      <c r="C2981" s="91" t="n"/>
      <c r="D2981" s="91" t="n"/>
      <c r="E2981" s="91" t="n"/>
      <c r="F2981" s="91" t="n"/>
      <c r="G2981" s="91" t="n"/>
      <c r="H2981" s="91" t="n"/>
      <c r="I2981" s="91" t="n"/>
      <c r="J2981" s="91" t="n"/>
      <c r="K2981" s="91" t="n"/>
      <c r="L2981" s="91" t="n"/>
      <c r="M2981" s="91" t="n"/>
      <c r="N2981" s="91" t="n"/>
      <c r="O2981" s="91" t="n"/>
      <c r="P2981" s="91" t="n"/>
      <c r="Q2981" s="91" t="n"/>
      <c r="R2981" s="91" t="n"/>
      <c r="S2981" s="91" t="n"/>
      <c r="T2981" s="25">
        <f>DAY(C2981)</f>
        <v/>
      </c>
      <c r="U2981" s="22">
        <f>MONTH(C2981)</f>
        <v/>
      </c>
      <c r="V2981" s="91" t="n"/>
      <c r="W2981" s="91" t="n"/>
      <c r="X2981" s="91" t="n"/>
      <c r="Y2981" s="91" t="n"/>
      <c r="Z2981" s="91" t="n"/>
    </row>
    <row r="2982" ht="12.75" customHeight="1" s="117">
      <c r="A2982" s="91" t="n"/>
      <c r="B2982" s="91" t="n"/>
      <c r="C2982" s="91" t="n"/>
      <c r="D2982" s="91" t="n"/>
      <c r="E2982" s="91" t="n"/>
      <c r="F2982" s="91" t="n"/>
      <c r="G2982" s="91" t="n"/>
      <c r="H2982" s="91" t="n"/>
      <c r="I2982" s="91" t="n"/>
      <c r="J2982" s="91" t="n"/>
      <c r="K2982" s="91" t="n"/>
      <c r="L2982" s="91" t="n"/>
      <c r="M2982" s="91" t="n"/>
      <c r="N2982" s="91" t="n"/>
      <c r="O2982" s="91" t="n"/>
      <c r="P2982" s="91" t="n"/>
      <c r="Q2982" s="91" t="n"/>
      <c r="R2982" s="91" t="n"/>
      <c r="S2982" s="91" t="n"/>
      <c r="T2982" s="25">
        <f>DAY(C2982)</f>
        <v/>
      </c>
      <c r="U2982" s="22">
        <f>MONTH(C2982)</f>
        <v/>
      </c>
      <c r="V2982" s="91" t="n"/>
      <c r="W2982" s="91" t="n"/>
      <c r="X2982" s="91" t="n"/>
      <c r="Y2982" s="91" t="n"/>
      <c r="Z2982" s="91" t="n"/>
    </row>
    <row r="2983" ht="12.75" customHeight="1" s="117">
      <c r="A2983" s="91" t="n"/>
      <c r="B2983" s="91" t="n"/>
      <c r="C2983" s="91" t="n"/>
      <c r="D2983" s="91" t="n"/>
      <c r="E2983" s="91" t="n"/>
      <c r="F2983" s="91" t="n"/>
      <c r="G2983" s="91" t="n"/>
      <c r="H2983" s="91" t="n"/>
      <c r="I2983" s="91" t="n"/>
      <c r="J2983" s="91" t="n"/>
      <c r="K2983" s="91" t="n"/>
      <c r="L2983" s="91" t="n"/>
      <c r="M2983" s="91" t="n"/>
      <c r="N2983" s="91" t="n"/>
      <c r="O2983" s="91" t="n"/>
      <c r="P2983" s="91" t="n"/>
      <c r="Q2983" s="91" t="n"/>
      <c r="R2983" s="91" t="n"/>
      <c r="S2983" s="91" t="n"/>
      <c r="T2983" s="25">
        <f>DAY(C2983)</f>
        <v/>
      </c>
      <c r="U2983" s="22">
        <f>MONTH(C2983)</f>
        <v/>
      </c>
      <c r="V2983" s="91" t="n"/>
      <c r="W2983" s="91" t="n"/>
      <c r="X2983" s="91" t="n"/>
      <c r="Y2983" s="91" t="n"/>
      <c r="Z2983" s="91" t="n"/>
    </row>
    <row r="2984" ht="12.75" customHeight="1" s="117">
      <c r="A2984" s="91" t="n"/>
      <c r="B2984" s="91" t="n"/>
      <c r="C2984" s="91" t="n"/>
      <c r="D2984" s="91" t="n"/>
      <c r="E2984" s="91" t="n"/>
      <c r="F2984" s="91" t="n"/>
      <c r="G2984" s="91" t="n"/>
      <c r="H2984" s="91" t="n"/>
      <c r="I2984" s="91" t="n"/>
      <c r="J2984" s="91" t="n"/>
      <c r="K2984" s="91" t="n"/>
      <c r="L2984" s="91" t="n"/>
      <c r="M2984" s="91" t="n"/>
      <c r="N2984" s="91" t="n"/>
      <c r="O2984" s="91" t="n"/>
      <c r="P2984" s="91" t="n"/>
      <c r="Q2984" s="91" t="n"/>
      <c r="R2984" s="91" t="n"/>
      <c r="S2984" s="91" t="n"/>
      <c r="T2984" s="25">
        <f>DAY(C2984)</f>
        <v/>
      </c>
      <c r="U2984" s="22">
        <f>MONTH(C2984)</f>
        <v/>
      </c>
      <c r="V2984" s="91" t="n"/>
      <c r="W2984" s="91" t="n"/>
      <c r="X2984" s="91" t="n"/>
      <c r="Y2984" s="91" t="n"/>
      <c r="Z2984" s="91" t="n"/>
    </row>
    <row r="2985" ht="12.75" customHeight="1" s="117">
      <c r="A2985" s="91" t="n"/>
      <c r="B2985" s="91" t="n"/>
      <c r="C2985" s="91" t="n"/>
      <c r="D2985" s="91" t="n"/>
      <c r="E2985" s="91" t="n"/>
      <c r="F2985" s="91" t="n"/>
      <c r="G2985" s="91" t="n"/>
      <c r="H2985" s="91" t="n"/>
      <c r="I2985" s="91" t="n"/>
      <c r="J2985" s="91" t="n"/>
      <c r="K2985" s="91" t="n"/>
      <c r="L2985" s="91" t="n"/>
      <c r="M2985" s="91" t="n"/>
      <c r="N2985" s="91" t="n"/>
      <c r="O2985" s="91" t="n"/>
      <c r="P2985" s="91" t="n"/>
      <c r="Q2985" s="91" t="n"/>
      <c r="R2985" s="91" t="n"/>
      <c r="S2985" s="91" t="n"/>
      <c r="T2985" s="25">
        <f>DAY(C2985)</f>
        <v/>
      </c>
      <c r="U2985" s="22">
        <f>MONTH(C2985)</f>
        <v/>
      </c>
      <c r="V2985" s="91" t="n"/>
      <c r="W2985" s="91" t="n"/>
      <c r="X2985" s="91" t="n"/>
      <c r="Y2985" s="91" t="n"/>
      <c r="Z2985" s="91" t="n"/>
    </row>
    <row r="2986" ht="12.75" customHeight="1" s="117">
      <c r="A2986" s="91" t="n"/>
      <c r="B2986" s="91" t="n"/>
      <c r="C2986" s="91" t="n"/>
      <c r="D2986" s="91" t="n"/>
      <c r="E2986" s="91" t="n"/>
      <c r="F2986" s="91" t="n"/>
      <c r="G2986" s="91" t="n"/>
      <c r="H2986" s="91" t="n"/>
      <c r="I2986" s="91" t="n"/>
      <c r="J2986" s="91" t="n"/>
      <c r="K2986" s="91" t="n"/>
      <c r="L2986" s="91" t="n"/>
      <c r="M2986" s="91" t="n"/>
      <c r="N2986" s="91" t="n"/>
      <c r="O2986" s="91" t="n"/>
      <c r="P2986" s="91" t="n"/>
      <c r="Q2986" s="91" t="n"/>
      <c r="R2986" s="91" t="n"/>
      <c r="S2986" s="91" t="n"/>
      <c r="T2986" s="25">
        <f>DAY(C2986)</f>
        <v/>
      </c>
      <c r="U2986" s="22">
        <f>MONTH(C2986)</f>
        <v/>
      </c>
      <c r="V2986" s="91" t="n"/>
      <c r="W2986" s="91" t="n"/>
      <c r="X2986" s="91" t="n"/>
      <c r="Y2986" s="91" t="n"/>
      <c r="Z2986" s="91" t="n"/>
    </row>
    <row r="2987" ht="12.75" customHeight="1" s="117">
      <c r="A2987" s="91" t="n"/>
      <c r="B2987" s="91" t="n"/>
      <c r="C2987" s="91" t="n"/>
      <c r="D2987" s="91" t="n"/>
      <c r="E2987" s="91" t="n"/>
      <c r="F2987" s="91" t="n"/>
      <c r="G2987" s="91" t="n"/>
      <c r="H2987" s="91" t="n"/>
      <c r="I2987" s="91" t="n"/>
      <c r="J2987" s="91" t="n"/>
      <c r="K2987" s="91" t="n"/>
      <c r="L2987" s="91" t="n"/>
      <c r="M2987" s="91" t="n"/>
      <c r="N2987" s="91" t="n"/>
      <c r="O2987" s="91" t="n"/>
      <c r="P2987" s="91" t="n"/>
      <c r="Q2987" s="91" t="n"/>
      <c r="R2987" s="91" t="n"/>
      <c r="S2987" s="91" t="n"/>
      <c r="T2987" s="25">
        <f>DAY(C2987)</f>
        <v/>
      </c>
      <c r="U2987" s="22">
        <f>MONTH(C2987)</f>
        <v/>
      </c>
      <c r="V2987" s="91" t="n"/>
      <c r="W2987" s="91" t="n"/>
      <c r="X2987" s="91" t="n"/>
      <c r="Y2987" s="91" t="n"/>
      <c r="Z2987" s="91" t="n"/>
    </row>
    <row r="2988" ht="12.75" customHeight="1" s="117">
      <c r="A2988" s="91" t="n"/>
      <c r="B2988" s="91" t="n"/>
      <c r="C2988" s="91" t="n"/>
      <c r="D2988" s="91" t="n"/>
      <c r="E2988" s="91" t="n"/>
      <c r="F2988" s="91" t="n"/>
      <c r="G2988" s="91" t="n"/>
      <c r="H2988" s="91" t="n"/>
      <c r="I2988" s="91" t="n"/>
      <c r="J2988" s="91" t="n"/>
      <c r="K2988" s="91" t="n"/>
      <c r="L2988" s="91" t="n"/>
      <c r="M2988" s="91" t="n"/>
      <c r="N2988" s="91" t="n"/>
      <c r="O2988" s="91" t="n"/>
      <c r="P2988" s="91" t="n"/>
      <c r="Q2988" s="91" t="n"/>
      <c r="R2988" s="91" t="n"/>
      <c r="S2988" s="91" t="n"/>
      <c r="T2988" s="25">
        <f>DAY(C2988)</f>
        <v/>
      </c>
      <c r="U2988" s="22">
        <f>MONTH(C2988)</f>
        <v/>
      </c>
      <c r="V2988" s="91" t="n"/>
      <c r="W2988" s="91" t="n"/>
      <c r="X2988" s="91" t="n"/>
      <c r="Y2988" s="91" t="n"/>
      <c r="Z2988" s="91" t="n"/>
    </row>
    <row r="2989" ht="12.75" customHeight="1" s="117">
      <c r="A2989" s="91" t="n"/>
      <c r="B2989" s="91" t="n"/>
      <c r="C2989" s="91" t="n"/>
      <c r="D2989" s="91" t="n"/>
      <c r="E2989" s="91" t="n"/>
      <c r="F2989" s="91" t="n"/>
      <c r="G2989" s="91" t="n"/>
      <c r="H2989" s="91" t="n"/>
      <c r="I2989" s="91" t="n"/>
      <c r="J2989" s="91" t="n"/>
      <c r="K2989" s="91" t="n"/>
      <c r="L2989" s="91" t="n"/>
      <c r="M2989" s="91" t="n"/>
      <c r="N2989" s="91" t="n"/>
      <c r="O2989" s="91" t="n"/>
      <c r="P2989" s="91" t="n"/>
      <c r="Q2989" s="91" t="n"/>
      <c r="R2989" s="91" t="n"/>
      <c r="S2989" s="91" t="n"/>
      <c r="T2989" s="25">
        <f>DAY(C2989)</f>
        <v/>
      </c>
      <c r="U2989" s="22">
        <f>MONTH(C2989)</f>
        <v/>
      </c>
      <c r="V2989" s="91" t="n"/>
      <c r="W2989" s="91" t="n"/>
      <c r="X2989" s="91" t="n"/>
      <c r="Y2989" s="91" t="n"/>
      <c r="Z2989" s="91" t="n"/>
    </row>
    <row r="2990" ht="12.75" customHeight="1" s="117">
      <c r="A2990" s="91" t="n"/>
      <c r="B2990" s="91" t="n"/>
      <c r="C2990" s="91" t="n"/>
      <c r="D2990" s="91" t="n"/>
      <c r="E2990" s="91" t="n"/>
      <c r="F2990" s="91" t="n"/>
      <c r="G2990" s="91" t="n"/>
      <c r="H2990" s="91" t="n"/>
      <c r="I2990" s="91" t="n"/>
      <c r="J2990" s="91" t="n"/>
      <c r="K2990" s="91" t="n"/>
      <c r="L2990" s="91" t="n"/>
      <c r="M2990" s="91" t="n"/>
      <c r="N2990" s="91" t="n"/>
      <c r="O2990" s="91" t="n"/>
      <c r="P2990" s="91" t="n"/>
      <c r="Q2990" s="91" t="n"/>
      <c r="R2990" s="91" t="n"/>
      <c r="S2990" s="91" t="n"/>
      <c r="T2990" s="25">
        <f>DAY(C2990)</f>
        <v/>
      </c>
      <c r="U2990" s="22">
        <f>MONTH(C2990)</f>
        <v/>
      </c>
      <c r="V2990" s="91" t="n"/>
      <c r="W2990" s="91" t="n"/>
      <c r="X2990" s="91" t="n"/>
      <c r="Y2990" s="91" t="n"/>
      <c r="Z2990" s="91" t="n"/>
    </row>
    <row r="2991" ht="12.75" customHeight="1" s="117">
      <c r="A2991" s="91" t="n"/>
      <c r="B2991" s="91" t="n"/>
      <c r="C2991" s="91" t="n"/>
      <c r="D2991" s="91" t="n"/>
      <c r="E2991" s="91" t="n"/>
      <c r="F2991" s="91" t="n"/>
      <c r="G2991" s="91" t="n"/>
      <c r="H2991" s="91" t="n"/>
      <c r="I2991" s="91" t="n"/>
      <c r="J2991" s="91" t="n"/>
      <c r="K2991" s="91" t="n"/>
      <c r="L2991" s="91" t="n"/>
      <c r="M2991" s="91" t="n"/>
      <c r="N2991" s="91" t="n"/>
      <c r="O2991" s="91" t="n"/>
      <c r="P2991" s="91" t="n"/>
      <c r="Q2991" s="91" t="n"/>
      <c r="R2991" s="91" t="n"/>
      <c r="S2991" s="91" t="n"/>
      <c r="T2991" s="25">
        <f>DAY(C2991)</f>
        <v/>
      </c>
      <c r="U2991" s="22">
        <f>MONTH(C2991)</f>
        <v/>
      </c>
      <c r="V2991" s="91" t="n"/>
      <c r="W2991" s="91" t="n"/>
      <c r="X2991" s="91" t="n"/>
      <c r="Y2991" s="91" t="n"/>
      <c r="Z2991" s="91" t="n"/>
    </row>
    <row r="2992" ht="12.75" customHeight="1" s="117">
      <c r="A2992" s="91" t="n"/>
      <c r="B2992" s="91" t="n"/>
      <c r="C2992" s="91" t="n"/>
      <c r="D2992" s="91" t="n"/>
      <c r="E2992" s="91" t="n"/>
      <c r="F2992" s="91" t="n"/>
      <c r="G2992" s="91" t="n"/>
      <c r="H2992" s="91" t="n"/>
      <c r="I2992" s="91" t="n"/>
      <c r="J2992" s="91" t="n"/>
      <c r="K2992" s="91" t="n"/>
      <c r="L2992" s="91" t="n"/>
      <c r="M2992" s="91" t="n"/>
      <c r="N2992" s="91" t="n"/>
      <c r="O2992" s="91" t="n"/>
      <c r="P2992" s="91" t="n"/>
      <c r="Q2992" s="91" t="n"/>
      <c r="R2992" s="91" t="n"/>
      <c r="S2992" s="91" t="n"/>
      <c r="T2992" s="25">
        <f>DAY(C2992)</f>
        <v/>
      </c>
      <c r="U2992" s="22">
        <f>MONTH(C2992)</f>
        <v/>
      </c>
      <c r="V2992" s="91" t="n"/>
      <c r="W2992" s="91" t="n"/>
      <c r="X2992" s="91" t="n"/>
      <c r="Y2992" s="91" t="n"/>
      <c r="Z2992" s="91" t="n"/>
    </row>
    <row r="2993" ht="12.75" customHeight="1" s="117">
      <c r="A2993" s="91" t="n"/>
      <c r="B2993" s="91" t="n"/>
      <c r="C2993" s="91" t="n"/>
      <c r="D2993" s="91" t="n"/>
      <c r="E2993" s="91" t="n"/>
      <c r="F2993" s="91" t="n"/>
      <c r="G2993" s="91" t="n"/>
      <c r="H2993" s="91" t="n"/>
      <c r="I2993" s="91" t="n"/>
      <c r="J2993" s="91" t="n"/>
      <c r="K2993" s="91" t="n"/>
      <c r="L2993" s="91" t="n"/>
      <c r="M2993" s="91" t="n"/>
      <c r="N2993" s="91" t="n"/>
      <c r="O2993" s="91" t="n"/>
      <c r="P2993" s="91" t="n"/>
      <c r="Q2993" s="91" t="n"/>
      <c r="R2993" s="91" t="n"/>
      <c r="S2993" s="91" t="n"/>
      <c r="T2993" s="25">
        <f>DAY(C2993)</f>
        <v/>
      </c>
      <c r="U2993" s="22">
        <f>MONTH(C2993)</f>
        <v/>
      </c>
      <c r="V2993" s="91" t="n"/>
      <c r="W2993" s="91" t="n"/>
      <c r="X2993" s="91" t="n"/>
      <c r="Y2993" s="91" t="n"/>
      <c r="Z2993" s="91" t="n"/>
    </row>
    <row r="2994" ht="12.75" customHeight="1" s="117">
      <c r="A2994" s="91" t="n"/>
      <c r="B2994" s="91" t="n"/>
      <c r="C2994" s="91" t="n"/>
      <c r="D2994" s="91" t="n"/>
      <c r="E2994" s="91" t="n"/>
      <c r="F2994" s="91" t="n"/>
      <c r="G2994" s="91" t="n"/>
      <c r="H2994" s="91" t="n"/>
      <c r="I2994" s="91" t="n"/>
      <c r="J2994" s="91" t="n"/>
      <c r="K2994" s="91" t="n"/>
      <c r="L2994" s="91" t="n"/>
      <c r="M2994" s="91" t="n"/>
      <c r="N2994" s="91" t="n"/>
      <c r="O2994" s="91" t="n"/>
      <c r="P2994" s="91" t="n"/>
      <c r="Q2994" s="91" t="n"/>
      <c r="R2994" s="91" t="n"/>
      <c r="S2994" s="91" t="n"/>
      <c r="T2994" s="25">
        <f>DAY(C2994)</f>
        <v/>
      </c>
      <c r="U2994" s="22">
        <f>MONTH(C2994)</f>
        <v/>
      </c>
      <c r="V2994" s="91" t="n"/>
      <c r="W2994" s="91" t="n"/>
      <c r="X2994" s="91" t="n"/>
      <c r="Y2994" s="91" t="n"/>
      <c r="Z2994" s="91" t="n"/>
    </row>
    <row r="2995" ht="12.75" customHeight="1" s="117">
      <c r="A2995" s="91" t="n"/>
      <c r="B2995" s="91" t="n"/>
      <c r="C2995" s="91" t="n"/>
      <c r="D2995" s="91" t="n"/>
      <c r="E2995" s="91" t="n"/>
      <c r="F2995" s="91" t="n"/>
      <c r="G2995" s="91" t="n"/>
      <c r="H2995" s="91" t="n"/>
      <c r="I2995" s="91" t="n"/>
      <c r="J2995" s="91" t="n"/>
      <c r="K2995" s="91" t="n"/>
      <c r="L2995" s="91" t="n"/>
      <c r="M2995" s="91" t="n"/>
      <c r="N2995" s="91" t="n"/>
      <c r="O2995" s="91" t="n"/>
      <c r="P2995" s="91" t="n"/>
      <c r="Q2995" s="91" t="n"/>
      <c r="R2995" s="91" t="n"/>
      <c r="S2995" s="91" t="n"/>
      <c r="T2995" s="25">
        <f>DAY(C2995)</f>
        <v/>
      </c>
      <c r="U2995" s="22">
        <f>MONTH(C2995)</f>
        <v/>
      </c>
      <c r="V2995" s="91" t="n"/>
      <c r="W2995" s="91" t="n"/>
      <c r="X2995" s="91" t="n"/>
      <c r="Y2995" s="91" t="n"/>
      <c r="Z2995" s="91" t="n"/>
    </row>
    <row r="2996" ht="12.75" customHeight="1" s="117">
      <c r="A2996" s="91" t="n"/>
      <c r="B2996" s="91" t="n"/>
      <c r="C2996" s="91" t="n"/>
      <c r="D2996" s="91" t="n"/>
      <c r="E2996" s="91" t="n"/>
      <c r="F2996" s="91" t="n"/>
      <c r="G2996" s="91" t="n"/>
      <c r="H2996" s="91" t="n"/>
      <c r="I2996" s="91" t="n"/>
      <c r="J2996" s="91" t="n"/>
      <c r="K2996" s="91" t="n"/>
      <c r="L2996" s="91" t="n"/>
      <c r="M2996" s="91" t="n"/>
      <c r="N2996" s="91" t="n"/>
      <c r="O2996" s="91" t="n"/>
      <c r="P2996" s="91" t="n"/>
      <c r="Q2996" s="91" t="n"/>
      <c r="R2996" s="91" t="n"/>
      <c r="S2996" s="91" t="n"/>
      <c r="T2996" s="25">
        <f>DAY(C2996)</f>
        <v/>
      </c>
      <c r="U2996" s="22">
        <f>MONTH(C2996)</f>
        <v/>
      </c>
      <c r="V2996" s="91" t="n"/>
      <c r="W2996" s="91" t="n"/>
      <c r="X2996" s="91" t="n"/>
      <c r="Y2996" s="91" t="n"/>
      <c r="Z2996" s="91" t="n"/>
    </row>
    <row r="2997" ht="12.75" customHeight="1" s="117">
      <c r="A2997" s="91" t="n"/>
      <c r="B2997" s="91" t="n"/>
      <c r="C2997" s="91" t="n"/>
      <c r="D2997" s="91" t="n"/>
      <c r="E2997" s="91" t="n"/>
      <c r="F2997" s="91" t="n"/>
      <c r="G2997" s="91" t="n"/>
      <c r="H2997" s="91" t="n"/>
      <c r="I2997" s="91" t="n"/>
      <c r="J2997" s="91" t="n"/>
      <c r="K2997" s="91" t="n"/>
      <c r="L2997" s="91" t="n"/>
      <c r="M2997" s="91" t="n"/>
      <c r="N2997" s="91" t="n"/>
      <c r="O2997" s="91" t="n"/>
      <c r="P2997" s="91" t="n"/>
      <c r="Q2997" s="91" t="n"/>
      <c r="R2997" s="91" t="n"/>
      <c r="S2997" s="91" t="n"/>
      <c r="T2997" s="25">
        <f>DAY(C2997)</f>
        <v/>
      </c>
      <c r="U2997" s="22">
        <f>MONTH(C2997)</f>
        <v/>
      </c>
      <c r="V2997" s="91" t="n"/>
      <c r="W2997" s="91" t="n"/>
      <c r="X2997" s="91" t="n"/>
      <c r="Y2997" s="91" t="n"/>
      <c r="Z2997" s="91" t="n"/>
    </row>
    <row r="2998" ht="12.75" customHeight="1" s="117">
      <c r="A2998" s="91" t="n"/>
      <c r="B2998" s="91" t="n"/>
      <c r="C2998" s="91" t="n"/>
      <c r="D2998" s="91" t="n"/>
      <c r="E2998" s="91" t="n"/>
      <c r="F2998" s="91" t="n"/>
      <c r="G2998" s="91" t="n"/>
      <c r="H2998" s="91" t="n"/>
      <c r="I2998" s="91" t="n"/>
      <c r="J2998" s="91" t="n"/>
      <c r="K2998" s="91" t="n"/>
      <c r="L2998" s="91" t="n"/>
      <c r="M2998" s="91" t="n"/>
      <c r="N2998" s="91" t="n"/>
      <c r="O2998" s="91" t="n"/>
      <c r="P2998" s="91" t="n"/>
      <c r="Q2998" s="91" t="n"/>
      <c r="R2998" s="91" t="n"/>
      <c r="S2998" s="91" t="n"/>
      <c r="T2998" s="25">
        <f>DAY(C2998)</f>
        <v/>
      </c>
      <c r="U2998" s="22">
        <f>MONTH(C2998)</f>
        <v/>
      </c>
      <c r="V2998" s="91" t="n"/>
      <c r="W2998" s="91" t="n"/>
      <c r="X2998" s="91" t="n"/>
      <c r="Y2998" s="91" t="n"/>
      <c r="Z2998" s="91" t="n"/>
    </row>
    <row r="2999" ht="12.75" customHeight="1" s="117">
      <c r="A2999" s="91" t="n"/>
      <c r="B2999" s="91" t="n"/>
      <c r="C2999" s="91" t="n"/>
      <c r="D2999" s="91" t="n"/>
      <c r="E2999" s="91" t="n"/>
      <c r="F2999" s="91" t="n"/>
      <c r="G2999" s="91" t="n"/>
      <c r="H2999" s="91" t="n"/>
      <c r="I2999" s="91" t="n"/>
      <c r="J2999" s="91" t="n"/>
      <c r="K2999" s="91" t="n"/>
      <c r="L2999" s="91" t="n"/>
      <c r="M2999" s="91" t="n"/>
      <c r="N2999" s="91" t="n"/>
      <c r="O2999" s="91" t="n"/>
      <c r="P2999" s="91" t="n"/>
      <c r="Q2999" s="91" t="n"/>
      <c r="R2999" s="91" t="n"/>
      <c r="S2999" s="91" t="n"/>
      <c r="T2999" s="25">
        <f>DAY(C2999)</f>
        <v/>
      </c>
      <c r="U2999" s="22">
        <f>MONTH(C2999)</f>
        <v/>
      </c>
      <c r="V2999" s="91" t="n"/>
      <c r="W2999" s="91" t="n"/>
      <c r="X2999" s="91" t="n"/>
      <c r="Y2999" s="91" t="n"/>
      <c r="Z2999" s="91" t="n"/>
    </row>
    <row r="3000" ht="12.75" customHeight="1" s="117">
      <c r="A3000" s="91" t="n"/>
      <c r="B3000" s="91" t="n"/>
      <c r="C3000" s="91" t="n"/>
      <c r="D3000" s="91" t="n"/>
      <c r="E3000" s="91" t="n"/>
      <c r="F3000" s="91" t="n"/>
      <c r="G3000" s="91" t="n"/>
      <c r="H3000" s="91" t="n"/>
      <c r="I3000" s="91" t="n"/>
      <c r="J3000" s="91" t="n"/>
      <c r="K3000" s="91" t="n"/>
      <c r="L3000" s="91" t="n"/>
      <c r="M3000" s="91" t="n"/>
      <c r="N3000" s="91" t="n"/>
      <c r="O3000" s="91" t="n"/>
      <c r="P3000" s="91" t="n"/>
      <c r="Q3000" s="91" t="n"/>
      <c r="R3000" s="91" t="n"/>
      <c r="S3000" s="91" t="n"/>
      <c r="T3000" s="25">
        <f>DAY(C3000)</f>
        <v/>
      </c>
      <c r="U3000" s="22">
        <f>MONTH(C3000)</f>
        <v/>
      </c>
      <c r="V3000" s="91" t="n"/>
      <c r="W3000" s="91" t="n"/>
      <c r="X3000" s="91" t="n"/>
      <c r="Y3000" s="91" t="n"/>
      <c r="Z3000" s="91" t="n"/>
    </row>
    <row r="3001" ht="12.75" customHeight="1" s="117">
      <c r="A3001" s="91" t="n"/>
      <c r="B3001" s="91" t="n"/>
      <c r="C3001" s="91" t="n"/>
      <c r="D3001" s="91" t="n"/>
      <c r="E3001" s="91" t="n"/>
      <c r="F3001" s="91" t="n"/>
      <c r="G3001" s="91" t="n"/>
      <c r="H3001" s="91" t="n"/>
      <c r="I3001" s="91" t="n"/>
      <c r="J3001" s="91" t="n"/>
      <c r="K3001" s="91" t="n"/>
      <c r="L3001" s="91" t="n"/>
      <c r="M3001" s="91" t="n"/>
      <c r="N3001" s="91" t="n"/>
      <c r="O3001" s="91" t="n"/>
      <c r="P3001" s="91" t="n"/>
      <c r="Q3001" s="91" t="n"/>
      <c r="R3001" s="91" t="n"/>
      <c r="S3001" s="91" t="n"/>
      <c r="T3001" s="25">
        <f>DAY(C3001)</f>
        <v/>
      </c>
      <c r="U3001" s="22">
        <f>MONTH(C3001)</f>
        <v/>
      </c>
      <c r="V3001" s="91" t="n"/>
      <c r="W3001" s="91" t="n"/>
      <c r="X3001" s="91" t="n"/>
      <c r="Y3001" s="91" t="n"/>
      <c r="Z3001" s="91" t="n"/>
    </row>
    <row r="3002" ht="12.75" customHeight="1" s="117">
      <c r="A3002" s="91" t="n"/>
      <c r="B3002" s="91" t="n"/>
      <c r="C3002" s="91" t="n"/>
      <c r="D3002" s="91" t="n"/>
      <c r="E3002" s="91" t="n"/>
      <c r="F3002" s="91" t="n"/>
      <c r="G3002" s="91" t="n"/>
      <c r="H3002" s="91" t="n"/>
      <c r="I3002" s="91" t="n"/>
      <c r="J3002" s="91" t="n"/>
      <c r="K3002" s="91" t="n"/>
      <c r="L3002" s="91" t="n"/>
      <c r="M3002" s="91" t="n"/>
      <c r="N3002" s="91" t="n"/>
      <c r="O3002" s="91" t="n"/>
      <c r="P3002" s="91" t="n"/>
      <c r="Q3002" s="91" t="n"/>
      <c r="R3002" s="91" t="n"/>
      <c r="S3002" s="91" t="n"/>
      <c r="T3002" s="25">
        <f>DAY(C3002)</f>
        <v/>
      </c>
      <c r="U3002" s="22">
        <f>MONTH(C3002)</f>
        <v/>
      </c>
      <c r="V3002" s="91" t="n"/>
      <c r="W3002" s="91" t="n"/>
      <c r="X3002" s="91" t="n"/>
      <c r="Y3002" s="91" t="n"/>
      <c r="Z3002" s="91" t="n"/>
    </row>
    <row r="3003" ht="12.75" customHeight="1" s="117">
      <c r="A3003" s="91" t="n"/>
      <c r="B3003" s="91" t="n"/>
      <c r="C3003" s="91" t="n"/>
      <c r="D3003" s="91" t="n"/>
      <c r="E3003" s="91" t="n"/>
      <c r="F3003" s="91" t="n"/>
      <c r="G3003" s="91" t="n"/>
      <c r="H3003" s="91" t="n"/>
      <c r="I3003" s="91" t="n"/>
      <c r="J3003" s="91" t="n"/>
      <c r="K3003" s="91" t="n"/>
      <c r="L3003" s="91" t="n"/>
      <c r="M3003" s="91" t="n"/>
      <c r="N3003" s="91" t="n"/>
      <c r="O3003" s="91" t="n"/>
      <c r="P3003" s="91" t="n"/>
      <c r="Q3003" s="91" t="n"/>
      <c r="R3003" s="91" t="n"/>
      <c r="S3003" s="91" t="n"/>
      <c r="T3003" s="25">
        <f>DAY(C3003)</f>
        <v/>
      </c>
      <c r="U3003" s="22">
        <f>MONTH(C3003)</f>
        <v/>
      </c>
      <c r="V3003" s="91" t="n"/>
      <c r="W3003" s="91" t="n"/>
      <c r="X3003" s="91" t="n"/>
      <c r="Y3003" s="91" t="n"/>
      <c r="Z3003" s="91" t="n"/>
    </row>
    <row r="3004" ht="12.75" customHeight="1" s="117">
      <c r="A3004" s="91" t="n"/>
      <c r="B3004" s="91" t="n"/>
      <c r="C3004" s="91" t="n"/>
      <c r="D3004" s="91" t="n"/>
      <c r="E3004" s="91" t="n"/>
      <c r="F3004" s="91" t="n"/>
      <c r="G3004" s="91" t="n"/>
      <c r="H3004" s="91" t="n"/>
      <c r="I3004" s="91" t="n"/>
      <c r="J3004" s="91" t="n"/>
      <c r="K3004" s="91" t="n"/>
      <c r="L3004" s="91" t="n"/>
      <c r="M3004" s="91" t="n"/>
      <c r="N3004" s="91" t="n"/>
      <c r="O3004" s="91" t="n"/>
      <c r="P3004" s="91" t="n"/>
      <c r="Q3004" s="91" t="n"/>
      <c r="R3004" s="91" t="n"/>
      <c r="S3004" s="91" t="n"/>
      <c r="T3004" s="25">
        <f>DAY(C3004)</f>
        <v/>
      </c>
      <c r="U3004" s="22">
        <f>MONTH(C3004)</f>
        <v/>
      </c>
      <c r="V3004" s="91" t="n"/>
      <c r="W3004" s="91" t="n"/>
      <c r="X3004" s="91" t="n"/>
      <c r="Y3004" s="91" t="n"/>
      <c r="Z3004" s="91" t="n"/>
    </row>
    <row r="3005" ht="12.75" customHeight="1" s="117">
      <c r="A3005" s="91" t="n"/>
      <c r="B3005" s="91" t="n"/>
      <c r="C3005" s="91" t="n"/>
      <c r="D3005" s="91" t="n"/>
      <c r="E3005" s="91" t="n"/>
      <c r="F3005" s="91" t="n"/>
      <c r="G3005" s="91" t="n"/>
      <c r="H3005" s="91" t="n"/>
      <c r="I3005" s="91" t="n"/>
      <c r="J3005" s="91" t="n"/>
      <c r="K3005" s="91" t="n"/>
      <c r="L3005" s="91" t="n"/>
      <c r="M3005" s="91" t="n"/>
      <c r="N3005" s="91" t="n"/>
      <c r="O3005" s="91" t="n"/>
      <c r="P3005" s="91" t="n"/>
      <c r="Q3005" s="91" t="n"/>
      <c r="R3005" s="91" t="n"/>
      <c r="S3005" s="91" t="n"/>
      <c r="T3005" s="25">
        <f>DAY(C3005)</f>
        <v/>
      </c>
      <c r="U3005" s="22">
        <f>MONTH(C3005)</f>
        <v/>
      </c>
      <c r="V3005" s="91" t="n"/>
      <c r="W3005" s="91" t="n"/>
      <c r="X3005" s="91" t="n"/>
      <c r="Y3005" s="91" t="n"/>
      <c r="Z3005" s="91" t="n"/>
    </row>
    <row r="3006" ht="12.75" customHeight="1" s="117">
      <c r="A3006" s="91" t="n"/>
      <c r="B3006" s="91" t="n"/>
      <c r="C3006" s="91" t="n"/>
      <c r="D3006" s="91" t="n"/>
      <c r="E3006" s="91" t="n"/>
      <c r="F3006" s="91" t="n"/>
      <c r="G3006" s="91" t="n"/>
      <c r="H3006" s="91" t="n"/>
      <c r="I3006" s="91" t="n"/>
      <c r="J3006" s="91" t="n"/>
      <c r="K3006" s="91" t="n"/>
      <c r="L3006" s="91" t="n"/>
      <c r="M3006" s="91" t="n"/>
      <c r="N3006" s="91" t="n"/>
      <c r="O3006" s="91" t="n"/>
      <c r="P3006" s="91" t="n"/>
      <c r="Q3006" s="91" t="n"/>
      <c r="R3006" s="91" t="n"/>
      <c r="S3006" s="91" t="n"/>
      <c r="T3006" s="25">
        <f>DAY(C3006)</f>
        <v/>
      </c>
      <c r="U3006" s="22">
        <f>MONTH(C3006)</f>
        <v/>
      </c>
      <c r="V3006" s="91" t="n"/>
      <c r="W3006" s="91" t="n"/>
      <c r="X3006" s="91" t="n"/>
      <c r="Y3006" s="91" t="n"/>
      <c r="Z3006" s="91" t="n"/>
    </row>
    <row r="3007" ht="12.75" customHeight="1" s="117">
      <c r="A3007" s="91" t="n"/>
      <c r="B3007" s="91" t="n"/>
      <c r="C3007" s="91" t="n"/>
      <c r="D3007" s="91" t="n"/>
      <c r="E3007" s="91" t="n"/>
      <c r="F3007" s="91" t="n"/>
      <c r="G3007" s="91" t="n"/>
      <c r="H3007" s="91" t="n"/>
      <c r="I3007" s="91" t="n"/>
      <c r="J3007" s="91" t="n"/>
      <c r="K3007" s="91" t="n"/>
      <c r="L3007" s="91" t="n"/>
      <c r="M3007" s="91" t="n"/>
      <c r="N3007" s="91" t="n"/>
      <c r="O3007" s="91" t="n"/>
      <c r="P3007" s="91" t="n"/>
      <c r="Q3007" s="91" t="n"/>
      <c r="R3007" s="91" t="n"/>
      <c r="S3007" s="91" t="n"/>
      <c r="T3007" s="25">
        <f>DAY(C3007)</f>
        <v/>
      </c>
      <c r="U3007" s="22">
        <f>MONTH(C3007)</f>
        <v/>
      </c>
      <c r="V3007" s="91" t="n"/>
      <c r="W3007" s="91" t="n"/>
      <c r="X3007" s="91" t="n"/>
      <c r="Y3007" s="91" t="n"/>
      <c r="Z3007" s="91" t="n"/>
    </row>
    <row r="3008" ht="12.75" customHeight="1" s="117">
      <c r="A3008" s="91" t="n"/>
      <c r="B3008" s="91" t="n"/>
      <c r="C3008" s="91" t="n"/>
      <c r="D3008" s="91" t="n"/>
      <c r="E3008" s="91" t="n"/>
      <c r="F3008" s="91" t="n"/>
      <c r="G3008" s="91" t="n"/>
      <c r="H3008" s="91" t="n"/>
      <c r="I3008" s="91" t="n"/>
      <c r="J3008" s="91" t="n"/>
      <c r="K3008" s="91" t="n"/>
      <c r="L3008" s="91" t="n"/>
      <c r="M3008" s="91" t="n"/>
      <c r="N3008" s="91" t="n"/>
      <c r="O3008" s="91" t="n"/>
      <c r="P3008" s="91" t="n"/>
      <c r="Q3008" s="91" t="n"/>
      <c r="R3008" s="91" t="n"/>
      <c r="S3008" s="91" t="n"/>
      <c r="T3008" s="25">
        <f>DAY(C3008)</f>
        <v/>
      </c>
      <c r="U3008" s="22">
        <f>MONTH(C3008)</f>
        <v/>
      </c>
      <c r="V3008" s="91" t="n"/>
      <c r="W3008" s="91" t="n"/>
      <c r="X3008" s="91" t="n"/>
      <c r="Y3008" s="91" t="n"/>
      <c r="Z3008" s="91" t="n"/>
    </row>
    <row r="3009" ht="12.75" customHeight="1" s="117">
      <c r="A3009" s="91" t="n"/>
      <c r="B3009" s="91" t="n"/>
      <c r="C3009" s="91" t="n"/>
      <c r="D3009" s="91" t="n"/>
      <c r="E3009" s="91" t="n"/>
      <c r="F3009" s="91" t="n"/>
      <c r="G3009" s="91" t="n"/>
      <c r="H3009" s="91" t="n"/>
      <c r="I3009" s="91" t="n"/>
      <c r="J3009" s="91" t="n"/>
      <c r="K3009" s="91" t="n"/>
      <c r="L3009" s="91" t="n"/>
      <c r="M3009" s="91" t="n"/>
      <c r="N3009" s="91" t="n"/>
      <c r="O3009" s="91" t="n"/>
      <c r="P3009" s="91" t="n"/>
      <c r="Q3009" s="91" t="n"/>
      <c r="R3009" s="91" t="n"/>
      <c r="S3009" s="91" t="n"/>
      <c r="T3009" s="25">
        <f>DAY(C3009)</f>
        <v/>
      </c>
      <c r="U3009" s="22">
        <f>MONTH(C3009)</f>
        <v/>
      </c>
      <c r="V3009" s="91" t="n"/>
      <c r="W3009" s="91" t="n"/>
      <c r="X3009" s="91" t="n"/>
      <c r="Y3009" s="91" t="n"/>
      <c r="Z3009" s="91" t="n"/>
    </row>
    <row r="3010" ht="12.75" customHeight="1" s="117">
      <c r="A3010" s="91" t="n"/>
      <c r="B3010" s="91" t="n"/>
      <c r="C3010" s="91" t="n"/>
      <c r="D3010" s="91" t="n"/>
      <c r="E3010" s="91" t="n"/>
      <c r="F3010" s="91" t="n"/>
      <c r="G3010" s="91" t="n"/>
      <c r="H3010" s="91" t="n"/>
      <c r="I3010" s="91" t="n"/>
      <c r="J3010" s="91" t="n"/>
      <c r="K3010" s="91" t="n"/>
      <c r="L3010" s="91" t="n"/>
      <c r="M3010" s="91" t="n"/>
      <c r="N3010" s="91" t="n"/>
      <c r="O3010" s="91" t="n"/>
      <c r="P3010" s="91" t="n"/>
      <c r="Q3010" s="91" t="n"/>
      <c r="R3010" s="91" t="n"/>
      <c r="S3010" s="91" t="n"/>
      <c r="T3010" s="25">
        <f>DAY(C3010)</f>
        <v/>
      </c>
      <c r="U3010" s="22">
        <f>MONTH(C3010)</f>
        <v/>
      </c>
      <c r="V3010" s="91" t="n"/>
      <c r="W3010" s="91" t="n"/>
      <c r="X3010" s="91" t="n"/>
      <c r="Y3010" s="91" t="n"/>
      <c r="Z3010" s="91" t="n"/>
    </row>
    <row r="3011" ht="12.75" customHeight="1" s="117">
      <c r="A3011" s="91" t="n"/>
      <c r="B3011" s="91" t="n"/>
      <c r="C3011" s="91" t="n"/>
      <c r="D3011" s="91" t="n"/>
      <c r="E3011" s="91" t="n"/>
      <c r="F3011" s="91" t="n"/>
      <c r="G3011" s="91" t="n"/>
      <c r="H3011" s="91" t="n"/>
      <c r="I3011" s="91" t="n"/>
      <c r="J3011" s="91" t="n"/>
      <c r="K3011" s="91" t="n"/>
      <c r="L3011" s="91" t="n"/>
      <c r="M3011" s="91" t="n"/>
      <c r="N3011" s="91" t="n"/>
      <c r="O3011" s="91" t="n"/>
      <c r="P3011" s="91" t="n"/>
      <c r="Q3011" s="91" t="n"/>
      <c r="R3011" s="91" t="n"/>
      <c r="S3011" s="91" t="n"/>
      <c r="T3011" s="25">
        <f>DAY(C3011)</f>
        <v/>
      </c>
      <c r="U3011" s="22">
        <f>MONTH(C3011)</f>
        <v/>
      </c>
      <c r="V3011" s="91" t="n"/>
      <c r="W3011" s="91" t="n"/>
      <c r="X3011" s="91" t="n"/>
      <c r="Y3011" s="91" t="n"/>
      <c r="Z3011" s="91" t="n"/>
    </row>
    <row r="3012" ht="12.75" customHeight="1" s="117">
      <c r="A3012" s="91" t="n"/>
      <c r="B3012" s="91" t="n"/>
      <c r="C3012" s="91" t="n"/>
      <c r="D3012" s="91" t="n"/>
      <c r="E3012" s="91" t="n"/>
      <c r="F3012" s="91" t="n"/>
      <c r="G3012" s="91" t="n"/>
      <c r="H3012" s="91" t="n"/>
      <c r="I3012" s="91" t="n"/>
      <c r="J3012" s="91" t="n"/>
      <c r="K3012" s="91" t="n"/>
      <c r="L3012" s="91" t="n"/>
      <c r="M3012" s="91" t="n"/>
      <c r="N3012" s="91" t="n"/>
      <c r="O3012" s="91" t="n"/>
      <c r="P3012" s="91" t="n"/>
      <c r="Q3012" s="91" t="n"/>
      <c r="R3012" s="91" t="n"/>
      <c r="S3012" s="91" t="n"/>
      <c r="T3012" s="25">
        <f>DAY(C3012)</f>
        <v/>
      </c>
      <c r="U3012" s="22">
        <f>MONTH(C3012)</f>
        <v/>
      </c>
      <c r="V3012" s="91" t="n"/>
      <c r="W3012" s="91" t="n"/>
      <c r="X3012" s="91" t="n"/>
      <c r="Y3012" s="91" t="n"/>
      <c r="Z3012" s="91" t="n"/>
    </row>
    <row r="3013" ht="12.75" customHeight="1" s="117">
      <c r="A3013" s="91" t="n"/>
      <c r="B3013" s="91" t="n"/>
      <c r="C3013" s="91" t="n"/>
      <c r="D3013" s="91" t="n"/>
      <c r="E3013" s="91" t="n"/>
      <c r="F3013" s="91" t="n"/>
      <c r="G3013" s="91" t="n"/>
      <c r="H3013" s="91" t="n"/>
      <c r="I3013" s="91" t="n"/>
      <c r="J3013" s="91" t="n"/>
      <c r="K3013" s="91" t="n"/>
      <c r="L3013" s="91" t="n"/>
      <c r="M3013" s="91" t="n"/>
      <c r="N3013" s="91" t="n"/>
      <c r="O3013" s="91" t="n"/>
      <c r="P3013" s="91" t="n"/>
      <c r="Q3013" s="91" t="n"/>
      <c r="R3013" s="91" t="n"/>
      <c r="S3013" s="91" t="n"/>
      <c r="T3013" s="25">
        <f>DAY(C3013)</f>
        <v/>
      </c>
      <c r="U3013" s="22">
        <f>MONTH(C3013)</f>
        <v/>
      </c>
      <c r="V3013" s="91" t="n"/>
      <c r="W3013" s="91" t="n"/>
      <c r="X3013" s="91" t="n"/>
      <c r="Y3013" s="91" t="n"/>
      <c r="Z3013" s="91" t="n"/>
    </row>
    <row r="3014" ht="12.75" customHeight="1" s="117">
      <c r="A3014" s="91" t="n"/>
      <c r="B3014" s="91" t="n"/>
      <c r="C3014" s="91" t="n"/>
      <c r="D3014" s="91" t="n"/>
      <c r="E3014" s="91" t="n"/>
      <c r="F3014" s="91" t="n"/>
      <c r="G3014" s="91" t="n"/>
      <c r="H3014" s="91" t="n"/>
      <c r="I3014" s="91" t="n"/>
      <c r="J3014" s="91" t="n"/>
      <c r="K3014" s="91" t="n"/>
      <c r="L3014" s="91" t="n"/>
      <c r="M3014" s="91" t="n"/>
      <c r="N3014" s="91" t="n"/>
      <c r="O3014" s="91" t="n"/>
      <c r="P3014" s="91" t="n"/>
      <c r="Q3014" s="91" t="n"/>
      <c r="R3014" s="91" t="n"/>
      <c r="S3014" s="91" t="n"/>
      <c r="T3014" s="25">
        <f>DAY(C3014)</f>
        <v/>
      </c>
      <c r="U3014" s="22">
        <f>MONTH(C3014)</f>
        <v/>
      </c>
      <c r="V3014" s="91" t="n"/>
      <c r="W3014" s="91" t="n"/>
      <c r="X3014" s="91" t="n"/>
      <c r="Y3014" s="91" t="n"/>
      <c r="Z3014" s="91" t="n"/>
    </row>
    <row r="3015" ht="12.75" customHeight="1" s="117">
      <c r="A3015" s="91" t="n"/>
      <c r="B3015" s="91" t="n"/>
      <c r="C3015" s="91" t="n"/>
      <c r="D3015" s="91" t="n"/>
      <c r="E3015" s="91" t="n"/>
      <c r="F3015" s="91" t="n"/>
      <c r="G3015" s="91" t="n"/>
      <c r="H3015" s="91" t="n"/>
      <c r="I3015" s="91" t="n"/>
      <c r="J3015" s="91" t="n"/>
      <c r="K3015" s="91" t="n"/>
      <c r="L3015" s="91" t="n"/>
      <c r="M3015" s="91" t="n"/>
      <c r="N3015" s="91" t="n"/>
      <c r="O3015" s="91" t="n"/>
      <c r="P3015" s="91" t="n"/>
      <c r="Q3015" s="91" t="n"/>
      <c r="R3015" s="91" t="n"/>
      <c r="S3015" s="91" t="n"/>
      <c r="T3015" s="25">
        <f>DAY(C3015)</f>
        <v/>
      </c>
      <c r="U3015" s="22">
        <f>MONTH(C3015)</f>
        <v/>
      </c>
      <c r="V3015" s="91" t="n"/>
      <c r="W3015" s="91" t="n"/>
      <c r="X3015" s="91" t="n"/>
      <c r="Y3015" s="91" t="n"/>
      <c r="Z3015" s="91" t="n"/>
    </row>
    <row r="3016" ht="12.75" customHeight="1" s="117">
      <c r="A3016" s="91" t="n"/>
      <c r="B3016" s="91" t="n"/>
      <c r="C3016" s="91" t="n"/>
      <c r="D3016" s="91" t="n"/>
      <c r="E3016" s="91" t="n"/>
      <c r="F3016" s="91" t="n"/>
      <c r="G3016" s="91" t="n"/>
      <c r="H3016" s="91" t="n"/>
      <c r="I3016" s="91" t="n"/>
      <c r="J3016" s="91" t="n"/>
      <c r="K3016" s="91" t="n"/>
      <c r="L3016" s="91" t="n"/>
      <c r="M3016" s="91" t="n"/>
      <c r="N3016" s="91" t="n"/>
      <c r="O3016" s="91" t="n"/>
      <c r="P3016" s="91" t="n"/>
      <c r="Q3016" s="91" t="n"/>
      <c r="R3016" s="91" t="n"/>
      <c r="S3016" s="91" t="n"/>
      <c r="T3016" s="25">
        <f>DAY(C3016)</f>
        <v/>
      </c>
      <c r="U3016" s="22">
        <f>MONTH(C3016)</f>
        <v/>
      </c>
      <c r="V3016" s="91" t="n"/>
      <c r="W3016" s="91" t="n"/>
      <c r="X3016" s="91" t="n"/>
      <c r="Y3016" s="91" t="n"/>
      <c r="Z3016" s="91" t="n"/>
    </row>
    <row r="3017" ht="12.75" customHeight="1" s="117">
      <c r="A3017" s="91" t="n"/>
      <c r="B3017" s="91" t="n"/>
      <c r="C3017" s="91" t="n"/>
      <c r="D3017" s="91" t="n"/>
      <c r="E3017" s="91" t="n"/>
      <c r="F3017" s="91" t="n"/>
      <c r="G3017" s="91" t="n"/>
      <c r="H3017" s="91" t="n"/>
      <c r="I3017" s="91" t="n"/>
      <c r="J3017" s="91" t="n"/>
      <c r="K3017" s="91" t="n"/>
      <c r="L3017" s="91" t="n"/>
      <c r="M3017" s="91" t="n"/>
      <c r="N3017" s="91" t="n"/>
      <c r="O3017" s="91" t="n"/>
      <c r="P3017" s="91" t="n"/>
      <c r="Q3017" s="91" t="n"/>
      <c r="R3017" s="91" t="n"/>
      <c r="S3017" s="91" t="n"/>
      <c r="T3017" s="25">
        <f>DAY(C3017)</f>
        <v/>
      </c>
      <c r="U3017" s="22">
        <f>MONTH(C3017)</f>
        <v/>
      </c>
      <c r="V3017" s="91" t="n"/>
      <c r="W3017" s="91" t="n"/>
      <c r="X3017" s="91" t="n"/>
      <c r="Y3017" s="91" t="n"/>
      <c r="Z3017" s="91" t="n"/>
    </row>
    <row r="3018" ht="12.75" customHeight="1" s="117">
      <c r="A3018" s="91" t="n"/>
      <c r="B3018" s="91" t="n"/>
      <c r="C3018" s="91" t="n"/>
      <c r="D3018" s="91" t="n"/>
      <c r="E3018" s="91" t="n"/>
      <c r="F3018" s="91" t="n"/>
      <c r="G3018" s="91" t="n"/>
      <c r="H3018" s="91" t="n"/>
      <c r="I3018" s="91" t="n"/>
      <c r="J3018" s="91" t="n"/>
      <c r="K3018" s="91" t="n"/>
      <c r="L3018" s="91" t="n"/>
      <c r="M3018" s="91" t="n"/>
      <c r="N3018" s="91" t="n"/>
      <c r="O3018" s="91" t="n"/>
      <c r="P3018" s="91" t="n"/>
      <c r="Q3018" s="91" t="n"/>
      <c r="R3018" s="91" t="n"/>
      <c r="S3018" s="91" t="n"/>
      <c r="T3018" s="25">
        <f>DAY(C3018)</f>
        <v/>
      </c>
      <c r="U3018" s="22">
        <f>MONTH(C3018)</f>
        <v/>
      </c>
      <c r="V3018" s="91" t="n"/>
      <c r="W3018" s="91" t="n"/>
      <c r="X3018" s="91" t="n"/>
      <c r="Y3018" s="91" t="n"/>
      <c r="Z3018" s="91" t="n"/>
    </row>
    <row r="3019" ht="12.75" customHeight="1" s="117">
      <c r="A3019" s="91" t="n"/>
      <c r="B3019" s="91" t="n"/>
      <c r="C3019" s="91" t="n"/>
      <c r="D3019" s="91" t="n"/>
      <c r="E3019" s="91" t="n"/>
      <c r="F3019" s="91" t="n"/>
      <c r="G3019" s="91" t="n"/>
      <c r="H3019" s="91" t="n"/>
      <c r="I3019" s="91" t="n"/>
      <c r="J3019" s="91" t="n"/>
      <c r="K3019" s="91" t="n"/>
      <c r="L3019" s="91" t="n"/>
      <c r="M3019" s="91" t="n"/>
      <c r="N3019" s="91" t="n"/>
      <c r="O3019" s="91" t="n"/>
      <c r="P3019" s="91" t="n"/>
      <c r="Q3019" s="91" t="n"/>
      <c r="R3019" s="91" t="n"/>
      <c r="S3019" s="91" t="n"/>
      <c r="T3019" s="25">
        <f>DAY(C3019)</f>
        <v/>
      </c>
      <c r="U3019" s="22">
        <f>MONTH(C3019)</f>
        <v/>
      </c>
      <c r="V3019" s="91" t="n"/>
      <c r="W3019" s="91" t="n"/>
      <c r="X3019" s="91" t="n"/>
      <c r="Y3019" s="91" t="n"/>
      <c r="Z3019" s="91" t="n"/>
    </row>
    <row r="3020" ht="12.75" customHeight="1" s="117">
      <c r="A3020" s="91" t="n"/>
      <c r="B3020" s="91" t="n"/>
      <c r="C3020" s="91" t="n"/>
      <c r="D3020" s="91" t="n"/>
      <c r="E3020" s="91" t="n"/>
      <c r="F3020" s="91" t="n"/>
      <c r="G3020" s="91" t="n"/>
      <c r="H3020" s="91" t="n"/>
      <c r="I3020" s="91" t="n"/>
      <c r="J3020" s="91" t="n"/>
      <c r="K3020" s="91" t="n"/>
      <c r="L3020" s="91" t="n"/>
      <c r="M3020" s="91" t="n"/>
      <c r="N3020" s="91" t="n"/>
      <c r="O3020" s="91" t="n"/>
      <c r="P3020" s="91" t="n"/>
      <c r="Q3020" s="91" t="n"/>
      <c r="R3020" s="91" t="n"/>
      <c r="S3020" s="91" t="n"/>
      <c r="T3020" s="25">
        <f>DAY(C3020)</f>
        <v/>
      </c>
      <c r="U3020" s="22">
        <f>MONTH(C3020)</f>
        <v/>
      </c>
      <c r="V3020" s="91" t="n"/>
      <c r="W3020" s="91" t="n"/>
      <c r="X3020" s="91" t="n"/>
      <c r="Y3020" s="91" t="n"/>
      <c r="Z3020" s="91" t="n"/>
    </row>
    <row r="3021" ht="12.75" customHeight="1" s="117">
      <c r="A3021" s="91" t="n"/>
      <c r="B3021" s="91" t="n"/>
      <c r="C3021" s="91" t="n"/>
      <c r="D3021" s="91" t="n"/>
      <c r="E3021" s="91" t="n"/>
      <c r="F3021" s="91" t="n"/>
      <c r="G3021" s="91" t="n"/>
      <c r="H3021" s="91" t="n"/>
      <c r="I3021" s="91" t="n"/>
      <c r="J3021" s="91" t="n"/>
      <c r="K3021" s="91" t="n"/>
      <c r="L3021" s="91" t="n"/>
      <c r="M3021" s="91" t="n"/>
      <c r="N3021" s="91" t="n"/>
      <c r="O3021" s="91" t="n"/>
      <c r="P3021" s="91" t="n"/>
      <c r="Q3021" s="91" t="n"/>
      <c r="R3021" s="91" t="n"/>
      <c r="S3021" s="91" t="n"/>
      <c r="T3021" s="25">
        <f>DAY(C3021)</f>
        <v/>
      </c>
      <c r="U3021" s="22">
        <f>MONTH(C3021)</f>
        <v/>
      </c>
      <c r="V3021" s="91" t="n"/>
      <c r="W3021" s="91" t="n"/>
      <c r="X3021" s="91" t="n"/>
      <c r="Y3021" s="91" t="n"/>
      <c r="Z3021" s="91" t="n"/>
    </row>
    <row r="3022" ht="12.75" customHeight="1" s="117">
      <c r="A3022" s="91" t="n"/>
      <c r="B3022" s="91" t="n"/>
      <c r="C3022" s="91" t="n"/>
      <c r="D3022" s="91" t="n"/>
      <c r="E3022" s="91" t="n"/>
      <c r="F3022" s="91" t="n"/>
      <c r="G3022" s="91" t="n"/>
      <c r="H3022" s="91" t="n"/>
      <c r="I3022" s="91" t="n"/>
      <c r="J3022" s="91" t="n"/>
      <c r="K3022" s="91" t="n"/>
      <c r="L3022" s="91" t="n"/>
      <c r="M3022" s="91" t="n"/>
      <c r="N3022" s="91" t="n"/>
      <c r="O3022" s="91" t="n"/>
      <c r="P3022" s="91" t="n"/>
      <c r="Q3022" s="91" t="n"/>
      <c r="R3022" s="91" t="n"/>
      <c r="S3022" s="91" t="n"/>
      <c r="T3022" s="25">
        <f>DAY(C3022)</f>
        <v/>
      </c>
      <c r="U3022" s="22">
        <f>MONTH(C3022)</f>
        <v/>
      </c>
      <c r="V3022" s="91" t="n"/>
      <c r="W3022" s="91" t="n"/>
      <c r="X3022" s="91" t="n"/>
      <c r="Y3022" s="91" t="n"/>
      <c r="Z3022" s="91" t="n"/>
    </row>
    <row r="3023" ht="12.75" customHeight="1" s="117">
      <c r="A3023" s="91" t="n"/>
      <c r="B3023" s="91" t="n"/>
      <c r="C3023" s="91" t="n"/>
      <c r="D3023" s="91" t="n"/>
      <c r="E3023" s="91" t="n"/>
      <c r="F3023" s="91" t="n"/>
      <c r="G3023" s="91" t="n"/>
      <c r="H3023" s="91" t="n"/>
      <c r="I3023" s="91" t="n"/>
      <c r="J3023" s="91" t="n"/>
      <c r="K3023" s="91" t="n"/>
      <c r="L3023" s="91" t="n"/>
      <c r="M3023" s="91" t="n"/>
      <c r="N3023" s="91" t="n"/>
      <c r="O3023" s="91" t="n"/>
      <c r="P3023" s="91" t="n"/>
      <c r="Q3023" s="91" t="n"/>
      <c r="R3023" s="91" t="n"/>
      <c r="S3023" s="91" t="n"/>
      <c r="T3023" s="25">
        <f>DAY(C3023)</f>
        <v/>
      </c>
      <c r="U3023" s="22">
        <f>MONTH(C3023)</f>
        <v/>
      </c>
      <c r="V3023" s="91" t="n"/>
      <c r="W3023" s="91" t="n"/>
      <c r="X3023" s="91" t="n"/>
      <c r="Y3023" s="91" t="n"/>
      <c r="Z3023" s="91" t="n"/>
    </row>
    <row r="3024" ht="12.75" customHeight="1" s="117">
      <c r="A3024" s="91" t="n"/>
      <c r="B3024" s="91" t="n"/>
      <c r="C3024" s="91" t="n"/>
      <c r="D3024" s="91" t="n"/>
      <c r="E3024" s="91" t="n"/>
      <c r="F3024" s="91" t="n"/>
      <c r="G3024" s="91" t="n"/>
      <c r="H3024" s="91" t="n"/>
      <c r="I3024" s="91" t="n"/>
      <c r="J3024" s="91" t="n"/>
      <c r="K3024" s="91" t="n"/>
      <c r="L3024" s="91" t="n"/>
      <c r="M3024" s="91" t="n"/>
      <c r="N3024" s="91" t="n"/>
      <c r="O3024" s="91" t="n"/>
      <c r="P3024" s="91" t="n"/>
      <c r="Q3024" s="91" t="n"/>
      <c r="R3024" s="91" t="n"/>
      <c r="S3024" s="91" t="n"/>
      <c r="T3024" s="25">
        <f>DAY(C3024)</f>
        <v/>
      </c>
      <c r="U3024" s="22">
        <f>MONTH(C3024)</f>
        <v/>
      </c>
      <c r="V3024" s="91" t="n"/>
      <c r="W3024" s="91" t="n"/>
      <c r="X3024" s="91" t="n"/>
      <c r="Y3024" s="91" t="n"/>
      <c r="Z3024" s="91" t="n"/>
    </row>
    <row r="3025" ht="12.75" customHeight="1" s="117">
      <c r="A3025" s="91" t="n"/>
      <c r="B3025" s="91" t="n"/>
      <c r="C3025" s="91" t="n"/>
      <c r="D3025" s="91" t="n"/>
      <c r="E3025" s="91" t="n"/>
      <c r="F3025" s="91" t="n"/>
      <c r="G3025" s="91" t="n"/>
      <c r="H3025" s="91" t="n"/>
      <c r="I3025" s="91" t="n"/>
      <c r="J3025" s="91" t="n"/>
      <c r="K3025" s="91" t="n"/>
      <c r="L3025" s="91" t="n"/>
      <c r="M3025" s="91" t="n"/>
      <c r="N3025" s="91" t="n"/>
      <c r="O3025" s="91" t="n"/>
      <c r="P3025" s="91" t="n"/>
      <c r="Q3025" s="91" t="n"/>
      <c r="R3025" s="91" t="n"/>
      <c r="S3025" s="91" t="n"/>
      <c r="T3025" s="25">
        <f>DAY(C3025)</f>
        <v/>
      </c>
      <c r="U3025" s="22">
        <f>MONTH(C3025)</f>
        <v/>
      </c>
      <c r="V3025" s="91" t="n"/>
      <c r="W3025" s="91" t="n"/>
      <c r="X3025" s="91" t="n"/>
      <c r="Y3025" s="91" t="n"/>
      <c r="Z3025" s="91" t="n"/>
    </row>
    <row r="3026" ht="12.75" customHeight="1" s="117">
      <c r="A3026" s="91" t="n"/>
      <c r="B3026" s="91" t="n"/>
      <c r="C3026" s="91" t="n"/>
      <c r="D3026" s="91" t="n"/>
      <c r="E3026" s="91" t="n"/>
      <c r="F3026" s="91" t="n"/>
      <c r="G3026" s="91" t="n"/>
      <c r="H3026" s="91" t="n"/>
      <c r="I3026" s="91" t="n"/>
      <c r="J3026" s="91" t="n"/>
      <c r="K3026" s="91" t="n"/>
      <c r="L3026" s="91" t="n"/>
      <c r="M3026" s="91" t="n"/>
      <c r="N3026" s="91" t="n"/>
      <c r="O3026" s="91" t="n"/>
      <c r="P3026" s="91" t="n"/>
      <c r="Q3026" s="91" t="n"/>
      <c r="R3026" s="91" t="n"/>
      <c r="S3026" s="91" t="n"/>
      <c r="T3026" s="25">
        <f>DAY(C3026)</f>
        <v/>
      </c>
      <c r="U3026" s="22">
        <f>MONTH(C3026)</f>
        <v/>
      </c>
      <c r="V3026" s="91" t="n"/>
      <c r="W3026" s="91" t="n"/>
      <c r="X3026" s="91" t="n"/>
      <c r="Y3026" s="91" t="n"/>
      <c r="Z3026" s="91" t="n"/>
    </row>
    <row r="3027" ht="12.75" customHeight="1" s="117">
      <c r="A3027" s="91" t="n"/>
      <c r="B3027" s="91" t="n"/>
      <c r="C3027" s="91" t="n"/>
      <c r="D3027" s="91" t="n"/>
      <c r="E3027" s="91" t="n"/>
      <c r="F3027" s="91" t="n"/>
      <c r="G3027" s="91" t="n"/>
      <c r="H3027" s="91" t="n"/>
      <c r="I3027" s="91" t="n"/>
      <c r="J3027" s="91" t="n"/>
      <c r="K3027" s="91" t="n"/>
      <c r="L3027" s="91" t="n"/>
      <c r="M3027" s="91" t="n"/>
      <c r="N3027" s="91" t="n"/>
      <c r="O3027" s="91" t="n"/>
      <c r="P3027" s="91" t="n"/>
      <c r="Q3027" s="91" t="n"/>
      <c r="R3027" s="91" t="n"/>
      <c r="S3027" s="91" t="n"/>
      <c r="T3027" s="25">
        <f>DAY(C3027)</f>
        <v/>
      </c>
      <c r="U3027" s="22">
        <f>MONTH(C3027)</f>
        <v/>
      </c>
      <c r="V3027" s="91" t="n"/>
      <c r="W3027" s="91" t="n"/>
      <c r="X3027" s="91" t="n"/>
      <c r="Y3027" s="91" t="n"/>
      <c r="Z3027" s="91" t="n"/>
    </row>
    <row r="3028" ht="12.75" customHeight="1" s="117">
      <c r="A3028" s="91" t="n"/>
      <c r="B3028" s="91" t="n"/>
      <c r="C3028" s="91" t="n"/>
      <c r="D3028" s="91" t="n"/>
      <c r="E3028" s="91" t="n"/>
      <c r="F3028" s="91" t="n"/>
      <c r="G3028" s="91" t="n"/>
      <c r="H3028" s="91" t="n"/>
      <c r="I3028" s="91" t="n"/>
      <c r="J3028" s="91" t="n"/>
      <c r="K3028" s="91" t="n"/>
      <c r="L3028" s="91" t="n"/>
      <c r="M3028" s="91" t="n"/>
      <c r="N3028" s="91" t="n"/>
      <c r="O3028" s="91" t="n"/>
      <c r="P3028" s="91" t="n"/>
      <c r="Q3028" s="91" t="n"/>
      <c r="R3028" s="91" t="n"/>
      <c r="S3028" s="91" t="n"/>
      <c r="T3028" s="25">
        <f>DAY(C3028)</f>
        <v/>
      </c>
      <c r="U3028" s="22">
        <f>MONTH(C3028)</f>
        <v/>
      </c>
      <c r="V3028" s="91" t="n"/>
      <c r="W3028" s="91" t="n"/>
      <c r="X3028" s="91" t="n"/>
      <c r="Y3028" s="91" t="n"/>
      <c r="Z3028" s="91" t="n"/>
    </row>
    <row r="3029" ht="12.75" customHeight="1" s="117">
      <c r="A3029" s="91" t="n"/>
      <c r="B3029" s="91" t="n"/>
      <c r="C3029" s="91" t="n"/>
      <c r="D3029" s="91" t="n"/>
      <c r="E3029" s="91" t="n"/>
      <c r="F3029" s="91" t="n"/>
      <c r="G3029" s="91" t="n"/>
      <c r="H3029" s="91" t="n"/>
      <c r="I3029" s="91" t="n"/>
      <c r="J3029" s="91" t="n"/>
      <c r="K3029" s="91" t="n"/>
      <c r="L3029" s="91" t="n"/>
      <c r="M3029" s="91" t="n"/>
      <c r="N3029" s="91" t="n"/>
      <c r="O3029" s="91" t="n"/>
      <c r="P3029" s="91" t="n"/>
      <c r="Q3029" s="91" t="n"/>
      <c r="R3029" s="91" t="n"/>
      <c r="S3029" s="91" t="n"/>
      <c r="T3029" s="25">
        <f>DAY(C3029)</f>
        <v/>
      </c>
      <c r="U3029" s="22">
        <f>MONTH(C3029)</f>
        <v/>
      </c>
      <c r="V3029" s="91" t="n"/>
      <c r="W3029" s="91" t="n"/>
      <c r="X3029" s="91" t="n"/>
      <c r="Y3029" s="91" t="n"/>
      <c r="Z3029" s="91" t="n"/>
    </row>
    <row r="3030" ht="12.75" customHeight="1" s="117">
      <c r="A3030" s="91" t="n"/>
      <c r="B3030" s="91" t="n"/>
      <c r="C3030" s="91" t="n"/>
      <c r="D3030" s="91" t="n"/>
      <c r="E3030" s="91" t="n"/>
      <c r="F3030" s="91" t="n"/>
      <c r="G3030" s="91" t="n"/>
      <c r="H3030" s="91" t="n"/>
      <c r="I3030" s="91" t="n"/>
      <c r="J3030" s="91" t="n"/>
      <c r="K3030" s="91" t="n"/>
      <c r="L3030" s="91" t="n"/>
      <c r="M3030" s="91" t="n"/>
      <c r="N3030" s="91" t="n"/>
      <c r="O3030" s="91" t="n"/>
      <c r="P3030" s="91" t="n"/>
      <c r="Q3030" s="91" t="n"/>
      <c r="R3030" s="91" t="n"/>
      <c r="S3030" s="91" t="n"/>
      <c r="T3030" s="25">
        <f>DAY(C3030)</f>
        <v/>
      </c>
      <c r="U3030" s="22">
        <f>MONTH(C3030)</f>
        <v/>
      </c>
      <c r="V3030" s="91" t="n"/>
      <c r="W3030" s="91" t="n"/>
      <c r="X3030" s="91" t="n"/>
      <c r="Y3030" s="91" t="n"/>
      <c r="Z3030" s="91" t="n"/>
    </row>
    <row r="3031" ht="12.75" customHeight="1" s="117">
      <c r="A3031" s="91" t="n"/>
      <c r="B3031" s="91" t="n"/>
      <c r="C3031" s="91" t="n"/>
      <c r="D3031" s="91" t="n"/>
      <c r="E3031" s="91" t="n"/>
      <c r="F3031" s="91" t="n"/>
      <c r="G3031" s="91" t="n"/>
      <c r="H3031" s="91" t="n"/>
      <c r="I3031" s="91" t="n"/>
      <c r="J3031" s="91" t="n"/>
      <c r="K3031" s="91" t="n"/>
      <c r="L3031" s="91" t="n"/>
      <c r="M3031" s="91" t="n"/>
      <c r="N3031" s="91" t="n"/>
      <c r="O3031" s="91" t="n"/>
      <c r="P3031" s="91" t="n"/>
      <c r="Q3031" s="91" t="n"/>
      <c r="R3031" s="91" t="n"/>
      <c r="S3031" s="91" t="n"/>
      <c r="T3031" s="25">
        <f>DAY(C3031)</f>
        <v/>
      </c>
      <c r="U3031" s="22">
        <f>MONTH(C3031)</f>
        <v/>
      </c>
      <c r="V3031" s="91" t="n"/>
      <c r="W3031" s="91" t="n"/>
      <c r="X3031" s="91" t="n"/>
      <c r="Y3031" s="91" t="n"/>
      <c r="Z3031" s="91" t="n"/>
    </row>
    <row r="3032" ht="12.75" customHeight="1" s="117">
      <c r="A3032" s="91" t="n"/>
      <c r="B3032" s="91" t="n"/>
      <c r="C3032" s="91" t="n"/>
      <c r="D3032" s="91" t="n"/>
      <c r="E3032" s="91" t="n"/>
      <c r="F3032" s="91" t="n"/>
      <c r="G3032" s="91" t="n"/>
      <c r="H3032" s="91" t="n"/>
      <c r="I3032" s="91" t="n"/>
      <c r="J3032" s="91" t="n"/>
      <c r="K3032" s="91" t="n"/>
      <c r="L3032" s="91" t="n"/>
      <c r="M3032" s="91" t="n"/>
      <c r="N3032" s="91" t="n"/>
      <c r="O3032" s="91" t="n"/>
      <c r="P3032" s="91" t="n"/>
      <c r="Q3032" s="91" t="n"/>
      <c r="R3032" s="91" t="n"/>
      <c r="S3032" s="91" t="n"/>
      <c r="T3032" s="25">
        <f>DAY(C3032)</f>
        <v/>
      </c>
      <c r="U3032" s="22">
        <f>MONTH(C3032)</f>
        <v/>
      </c>
      <c r="V3032" s="91" t="n"/>
      <c r="W3032" s="91" t="n"/>
      <c r="X3032" s="91" t="n"/>
      <c r="Y3032" s="91" t="n"/>
      <c r="Z3032" s="91" t="n"/>
    </row>
    <row r="3033" ht="12.75" customHeight="1" s="117">
      <c r="A3033" s="91" t="n"/>
      <c r="B3033" s="91" t="n"/>
      <c r="C3033" s="91" t="n"/>
      <c r="D3033" s="91" t="n"/>
      <c r="E3033" s="91" t="n"/>
      <c r="F3033" s="91" t="n"/>
      <c r="G3033" s="91" t="n"/>
      <c r="H3033" s="91" t="n"/>
      <c r="I3033" s="91" t="n"/>
      <c r="J3033" s="91" t="n"/>
      <c r="K3033" s="91" t="n"/>
      <c r="L3033" s="91" t="n"/>
      <c r="M3033" s="91" t="n"/>
      <c r="N3033" s="91" t="n"/>
      <c r="O3033" s="91" t="n"/>
      <c r="P3033" s="91" t="n"/>
      <c r="Q3033" s="91" t="n"/>
      <c r="R3033" s="91" t="n"/>
      <c r="S3033" s="91" t="n"/>
      <c r="T3033" s="25">
        <f>DAY(C3033)</f>
        <v/>
      </c>
      <c r="U3033" s="22">
        <f>MONTH(C3033)</f>
        <v/>
      </c>
      <c r="V3033" s="91" t="n"/>
      <c r="W3033" s="91" t="n"/>
      <c r="X3033" s="91" t="n"/>
      <c r="Y3033" s="91" t="n"/>
      <c r="Z3033" s="91" t="n"/>
    </row>
    <row r="3034" ht="12.75" customHeight="1" s="117">
      <c r="A3034" s="91" t="n"/>
      <c r="B3034" s="91" t="n"/>
      <c r="C3034" s="91" t="n"/>
      <c r="D3034" s="91" t="n"/>
      <c r="E3034" s="91" t="n"/>
      <c r="F3034" s="91" t="n"/>
      <c r="G3034" s="91" t="n"/>
      <c r="H3034" s="91" t="n"/>
      <c r="I3034" s="91" t="n"/>
      <c r="J3034" s="91" t="n"/>
      <c r="K3034" s="91" t="n"/>
      <c r="L3034" s="91" t="n"/>
      <c r="M3034" s="91" t="n"/>
      <c r="N3034" s="91" t="n"/>
      <c r="O3034" s="91" t="n"/>
      <c r="P3034" s="91" t="n"/>
      <c r="Q3034" s="91" t="n"/>
      <c r="R3034" s="91" t="n"/>
      <c r="S3034" s="91" t="n"/>
      <c r="T3034" s="25">
        <f>DAY(C3034)</f>
        <v/>
      </c>
      <c r="U3034" s="22">
        <f>MONTH(C3034)</f>
        <v/>
      </c>
      <c r="V3034" s="91" t="n"/>
      <c r="W3034" s="91" t="n"/>
      <c r="X3034" s="91" t="n"/>
      <c r="Y3034" s="91" t="n"/>
      <c r="Z3034" s="91" t="n"/>
    </row>
    <row r="3035" ht="12.75" customHeight="1" s="117">
      <c r="A3035" s="91" t="n"/>
      <c r="B3035" s="91" t="n"/>
      <c r="C3035" s="91" t="n"/>
      <c r="D3035" s="91" t="n"/>
      <c r="E3035" s="91" t="n"/>
      <c r="F3035" s="91" t="n"/>
      <c r="G3035" s="91" t="n"/>
      <c r="H3035" s="91" t="n"/>
      <c r="I3035" s="91" t="n"/>
      <c r="J3035" s="91" t="n"/>
      <c r="K3035" s="91" t="n"/>
      <c r="L3035" s="91" t="n"/>
      <c r="M3035" s="91" t="n"/>
      <c r="N3035" s="91" t="n"/>
      <c r="O3035" s="91" t="n"/>
      <c r="P3035" s="91" t="n"/>
      <c r="Q3035" s="91" t="n"/>
      <c r="R3035" s="91" t="n"/>
      <c r="S3035" s="91" t="n"/>
      <c r="T3035" s="25">
        <f>DAY(C3035)</f>
        <v/>
      </c>
      <c r="U3035" s="22">
        <f>MONTH(C3035)</f>
        <v/>
      </c>
      <c r="V3035" s="91" t="n"/>
      <c r="W3035" s="91" t="n"/>
      <c r="X3035" s="91" t="n"/>
      <c r="Y3035" s="91" t="n"/>
      <c r="Z3035" s="91" t="n"/>
    </row>
    <row r="3036" ht="12.75" customHeight="1" s="117">
      <c r="S3036" s="24" t="n"/>
      <c r="T3036" s="25">
        <f>DAY(C3036)</f>
        <v/>
      </c>
      <c r="U3036" s="26">
        <f>MONTH(C3036)</f>
        <v/>
      </c>
    </row>
    <row r="3037" ht="12.75" customHeight="1" s="117">
      <c r="S3037" s="24" t="n"/>
      <c r="T3037" s="25">
        <f>DAY(C3037)</f>
        <v/>
      </c>
      <c r="U3037" s="26">
        <f>MONTH(C3037)</f>
        <v/>
      </c>
    </row>
    <row r="3038" ht="12.75" customHeight="1" s="117">
      <c r="S3038" s="24" t="n"/>
      <c r="T3038" s="25">
        <f>DAY(C3038)</f>
        <v/>
      </c>
      <c r="U3038" s="26">
        <f>MONTH(C3038)</f>
        <v/>
      </c>
    </row>
    <row r="3039" ht="12.75" customHeight="1" s="117">
      <c r="S3039" s="24" t="n"/>
      <c r="T3039" s="25">
        <f>DAY(C3039)</f>
        <v/>
      </c>
      <c r="U3039" s="26">
        <f>MONTH(C3039)</f>
        <v/>
      </c>
    </row>
    <row r="3040" ht="12.75" customHeight="1" s="117">
      <c r="S3040" s="24" t="n"/>
      <c r="T3040" s="25">
        <f>DAY(C3040)</f>
        <v/>
      </c>
      <c r="U3040" s="26">
        <f>MONTH(C3040)</f>
        <v/>
      </c>
    </row>
    <row r="3041" ht="12.75" customHeight="1" s="117">
      <c r="S3041" s="24" t="n"/>
      <c r="T3041" s="24" t="n"/>
    </row>
    <row r="3042" ht="12.75" customHeight="1" s="117">
      <c r="S3042" s="24" t="n"/>
      <c r="T3042" s="24" t="n"/>
    </row>
    <row r="3043" ht="12.75" customHeight="1" s="117">
      <c r="S3043" s="24" t="n"/>
      <c r="T3043" s="24" t="n"/>
    </row>
    <row r="3044" ht="12.75" customHeight="1" s="117">
      <c r="S3044" s="24" t="n"/>
      <c r="T3044" s="24" t="n"/>
    </row>
    <row r="3045" ht="12.75" customHeight="1" s="117">
      <c r="S3045" s="24" t="n"/>
      <c r="T3045" s="24" t="n"/>
    </row>
    <row r="3046" ht="12.75" customHeight="1" s="117">
      <c r="S3046" s="24" t="n"/>
      <c r="T3046" s="24" t="n"/>
    </row>
    <row r="3047" ht="12.75" customHeight="1" s="117">
      <c r="S3047" s="24" t="n"/>
      <c r="T3047" s="24" t="n"/>
    </row>
    <row r="3048" ht="12.75" customHeight="1" s="117">
      <c r="S3048" s="24" t="n"/>
      <c r="T3048" s="24" t="n"/>
    </row>
    <row r="3049" ht="12.75" customHeight="1" s="117">
      <c r="S3049" s="24" t="n"/>
      <c r="T3049" s="24" t="n"/>
    </row>
    <row r="3050" ht="12.75" customHeight="1" s="117">
      <c r="S3050" s="24" t="n"/>
      <c r="T3050" s="24" t="n"/>
    </row>
    <row r="3051" ht="12.75" customHeight="1" s="117">
      <c r="S3051" s="24" t="n"/>
      <c r="T3051" s="24" t="n"/>
    </row>
    <row r="3052" ht="12.75" customHeight="1" s="117">
      <c r="S3052" s="24" t="n"/>
      <c r="T3052" s="24" t="n"/>
    </row>
    <row r="3053" ht="12.75" customHeight="1" s="117">
      <c r="S3053" s="24" t="n"/>
      <c r="T3053" s="24" t="n"/>
    </row>
    <row r="3054" ht="12.75" customHeight="1" s="117">
      <c r="S3054" s="24" t="n"/>
      <c r="T3054" s="24" t="n"/>
    </row>
    <row r="3055" ht="12.75" customHeight="1" s="117">
      <c r="S3055" s="24" t="n"/>
      <c r="T3055" s="24" t="n"/>
    </row>
    <row r="3056" ht="12.75" customHeight="1" s="117">
      <c r="S3056" s="24" t="n"/>
      <c r="T3056" s="24" t="n"/>
    </row>
    <row r="3057" ht="12.75" customHeight="1" s="117">
      <c r="S3057" s="24" t="n"/>
      <c r="T3057" s="24" t="n"/>
    </row>
    <row r="3058" ht="12.75" customHeight="1" s="117">
      <c r="S3058" s="24" t="n"/>
      <c r="T3058" s="24" t="n"/>
    </row>
    <row r="3059" ht="12.75" customHeight="1" s="117">
      <c r="S3059" s="24" t="n"/>
      <c r="T3059" s="24" t="n"/>
    </row>
    <row r="3060" ht="12.75" customHeight="1" s="117">
      <c r="S3060" s="24" t="n"/>
      <c r="T3060" s="24" t="n"/>
    </row>
    <row r="3061" ht="12.75" customHeight="1" s="117">
      <c r="S3061" s="24" t="n"/>
      <c r="T3061" s="24" t="n"/>
    </row>
    <row r="3062" ht="12.75" customHeight="1" s="117">
      <c r="S3062" s="24" t="n"/>
      <c r="T3062" s="24" t="n"/>
    </row>
    <row r="3063" ht="12.75" customHeight="1" s="117">
      <c r="S3063" s="24" t="n"/>
      <c r="T3063" s="24" t="n"/>
    </row>
    <row r="3064" ht="12.75" customHeight="1" s="117">
      <c r="S3064" s="24" t="n"/>
      <c r="T3064" s="24" t="n"/>
    </row>
    <row r="3065" ht="12.75" customHeight="1" s="117">
      <c r="S3065" s="24" t="n"/>
      <c r="T3065" s="24" t="n"/>
    </row>
    <row r="3066" ht="12.75" customHeight="1" s="117">
      <c r="S3066" s="24" t="n"/>
      <c r="T3066" s="24" t="n"/>
    </row>
    <row r="3067" ht="12.75" customHeight="1" s="117">
      <c r="S3067" s="24" t="n"/>
      <c r="T3067" s="24" t="n"/>
    </row>
    <row r="3068" ht="12.75" customHeight="1" s="117">
      <c r="S3068" s="24" t="n"/>
      <c r="T3068" s="24" t="n"/>
    </row>
    <row r="3069" ht="12.75" customHeight="1" s="117">
      <c r="S3069" s="24" t="n"/>
      <c r="T3069" s="24" t="n"/>
    </row>
    <row r="3070" ht="12.75" customHeight="1" s="117">
      <c r="S3070" s="24" t="n"/>
      <c r="T3070" s="24" t="n"/>
    </row>
    <row r="3071" ht="12.75" customHeight="1" s="117">
      <c r="S3071" s="24" t="n"/>
      <c r="T3071" s="24" t="n"/>
    </row>
    <row r="3072" ht="12.75" customHeight="1" s="117">
      <c r="S3072" s="24" t="n"/>
      <c r="T3072" s="24" t="n"/>
    </row>
    <row r="3073" ht="12.75" customHeight="1" s="117">
      <c r="S3073" s="24" t="n"/>
      <c r="T3073" s="24" t="n"/>
    </row>
    <row r="3074" ht="12.75" customHeight="1" s="117">
      <c r="S3074" s="24" t="n"/>
      <c r="T3074" s="24" t="n"/>
    </row>
    <row r="3075" ht="12.75" customHeight="1" s="117">
      <c r="S3075" s="24" t="n"/>
      <c r="T3075" s="24" t="n"/>
    </row>
    <row r="3076" ht="12.75" customHeight="1" s="117">
      <c r="S3076" s="24" t="n"/>
      <c r="T3076" s="24" t="n"/>
    </row>
    <row r="3077" ht="12.75" customHeight="1" s="117">
      <c r="S3077" s="24" t="n"/>
      <c r="T3077" s="24" t="n"/>
    </row>
    <row r="3078" ht="12.75" customHeight="1" s="117">
      <c r="S3078" s="24" t="n"/>
      <c r="T3078" s="24" t="n"/>
    </row>
    <row r="3079" ht="12.75" customHeight="1" s="117">
      <c r="S3079" s="24" t="n"/>
      <c r="T3079" s="24" t="n"/>
    </row>
    <row r="3080" ht="12.75" customHeight="1" s="117">
      <c r="S3080" s="24" t="n"/>
      <c r="T3080" s="24" t="n"/>
    </row>
    <row r="3081" ht="12.75" customHeight="1" s="117">
      <c r="S3081" s="24" t="n"/>
      <c r="T3081" s="24" t="n"/>
    </row>
    <row r="3082" ht="12.75" customHeight="1" s="117">
      <c r="S3082" s="24" t="n"/>
      <c r="T3082" s="24" t="n"/>
    </row>
    <row r="3083" ht="12.75" customHeight="1" s="117">
      <c r="S3083" s="24" t="n"/>
      <c r="T3083" s="24" t="n"/>
    </row>
    <row r="3084" ht="12.75" customHeight="1" s="117">
      <c r="S3084" s="24" t="n"/>
      <c r="T3084" s="24" t="n"/>
    </row>
    <row r="3085" ht="12.75" customHeight="1" s="117">
      <c r="S3085" s="24" t="n"/>
      <c r="T3085" s="24" t="n"/>
    </row>
    <row r="3086" ht="12.75" customHeight="1" s="117">
      <c r="S3086" s="24" t="n"/>
      <c r="T3086" s="24" t="n"/>
    </row>
    <row r="3087" ht="12.75" customHeight="1" s="117">
      <c r="S3087" s="24" t="n"/>
      <c r="T3087" s="24" t="n"/>
    </row>
    <row r="3088" ht="12.75" customHeight="1" s="117">
      <c r="S3088" s="24" t="n"/>
      <c r="T3088" s="24" t="n"/>
    </row>
    <row r="3089" ht="12.75" customHeight="1" s="117">
      <c r="S3089" s="24" t="n"/>
      <c r="T3089" s="24" t="n"/>
    </row>
    <row r="3090" ht="12.75" customHeight="1" s="117">
      <c r="S3090" s="24" t="n"/>
      <c r="T3090" s="24" t="n"/>
    </row>
    <row r="3091" ht="12.75" customHeight="1" s="117">
      <c r="S3091" s="24" t="n"/>
      <c r="T3091" s="24" t="n"/>
    </row>
    <row r="3092" ht="12.75" customHeight="1" s="117">
      <c r="S3092" s="24" t="n"/>
      <c r="T3092" s="24" t="n"/>
    </row>
    <row r="3093" ht="12.75" customHeight="1" s="117">
      <c r="S3093" s="24" t="n"/>
      <c r="T3093" s="24" t="n"/>
    </row>
    <row r="3094" ht="12.75" customHeight="1" s="117">
      <c r="S3094" s="24" t="n"/>
      <c r="T3094" s="24" t="n"/>
    </row>
    <row r="3095" ht="12.75" customHeight="1" s="117">
      <c r="S3095" s="24" t="n"/>
      <c r="T3095" s="24" t="n"/>
    </row>
    <row r="3096" ht="12.75" customHeight="1" s="117">
      <c r="S3096" s="24" t="n"/>
      <c r="T3096" s="24" t="n"/>
    </row>
    <row r="3097" ht="12.75" customHeight="1" s="117">
      <c r="S3097" s="24" t="n"/>
      <c r="T3097" s="24" t="n"/>
    </row>
    <row r="3098" ht="12.75" customHeight="1" s="117">
      <c r="S3098" s="24" t="n"/>
      <c r="T3098" s="24" t="n"/>
    </row>
    <row r="3099" ht="12.75" customHeight="1" s="117">
      <c r="S3099" s="24" t="n"/>
      <c r="T3099" s="24" t="n"/>
    </row>
    <row r="3100" ht="12.75" customHeight="1" s="117">
      <c r="S3100" s="24" t="n"/>
      <c r="T3100" s="24" t="n"/>
    </row>
    <row r="3101" ht="12.75" customHeight="1" s="117">
      <c r="S3101" s="24" t="n"/>
      <c r="T3101" s="24" t="n"/>
    </row>
    <row r="3102" ht="12.75" customHeight="1" s="117">
      <c r="S3102" s="24" t="n"/>
      <c r="T3102" s="24" t="n"/>
    </row>
    <row r="3103" ht="12.75" customHeight="1" s="117">
      <c r="S3103" s="24" t="n"/>
      <c r="T3103" s="24" t="n"/>
    </row>
    <row r="3104" ht="12.75" customHeight="1" s="117">
      <c r="S3104" s="24" t="n"/>
      <c r="T3104" s="24" t="n"/>
    </row>
    <row r="3105" ht="12.75" customHeight="1" s="117">
      <c r="S3105" s="24" t="n"/>
      <c r="T3105" s="24" t="n"/>
    </row>
    <row r="3106" ht="12.75" customHeight="1" s="117">
      <c r="S3106" s="24" t="n"/>
      <c r="T3106" s="24" t="n"/>
    </row>
    <row r="3107" ht="12.75" customHeight="1" s="117">
      <c r="S3107" s="24" t="n"/>
      <c r="T3107" s="24" t="n"/>
    </row>
    <row r="3108" ht="12.75" customHeight="1" s="117">
      <c r="S3108" s="24" t="n"/>
      <c r="T3108" s="24" t="n"/>
    </row>
    <row r="3109" ht="12.75" customHeight="1" s="117">
      <c r="S3109" s="24" t="n"/>
      <c r="T3109" s="24" t="n"/>
    </row>
    <row r="3110" ht="12.75" customHeight="1" s="117">
      <c r="S3110" s="24" t="n"/>
      <c r="T3110" s="24" t="n"/>
    </row>
    <row r="3111" ht="12.75" customHeight="1" s="117">
      <c r="S3111" s="24" t="n"/>
      <c r="T3111" s="24" t="n"/>
    </row>
    <row r="3112" ht="12.75" customHeight="1" s="117">
      <c r="S3112" s="24" t="n"/>
      <c r="T3112" s="24" t="n"/>
    </row>
    <row r="3113" ht="12.75" customHeight="1" s="117">
      <c r="S3113" s="24" t="n"/>
      <c r="T3113" s="24" t="n"/>
    </row>
    <row r="3114" ht="12.75" customHeight="1" s="117">
      <c r="S3114" s="24" t="n"/>
      <c r="T3114" s="24" t="n"/>
    </row>
    <row r="3115" ht="12.75" customHeight="1" s="117">
      <c r="S3115" s="24" t="n"/>
      <c r="T3115" s="24" t="n"/>
    </row>
    <row r="3116" ht="12.75" customHeight="1" s="117">
      <c r="S3116" s="24" t="n"/>
      <c r="T3116" s="24" t="n"/>
    </row>
    <row r="3117" ht="12.75" customHeight="1" s="117">
      <c r="S3117" s="24" t="n"/>
      <c r="T3117" s="24" t="n"/>
    </row>
    <row r="3118" ht="12.75" customHeight="1" s="117">
      <c r="S3118" s="24" t="n"/>
      <c r="T3118" s="24" t="n"/>
    </row>
    <row r="3119" ht="12.75" customHeight="1" s="117">
      <c r="S3119" s="24" t="n"/>
      <c r="T3119" s="24" t="n"/>
    </row>
    <row r="3120" ht="12.75" customHeight="1" s="117">
      <c r="S3120" s="24" t="n"/>
      <c r="T3120" s="24" t="n"/>
    </row>
    <row r="3121" ht="12.75" customHeight="1" s="117">
      <c r="S3121" s="24" t="n"/>
      <c r="T3121" s="24" t="n"/>
    </row>
    <row r="3122" ht="12.75" customHeight="1" s="117">
      <c r="S3122" s="24" t="n"/>
      <c r="T3122" s="24" t="n"/>
    </row>
    <row r="3123" ht="12.75" customHeight="1" s="117">
      <c r="S3123" s="24" t="n"/>
      <c r="T3123" s="24" t="n"/>
    </row>
    <row r="3124" ht="12.75" customHeight="1" s="117">
      <c r="S3124" s="24" t="n"/>
      <c r="T3124" s="24" t="n"/>
    </row>
    <row r="3125" ht="12.75" customHeight="1" s="117">
      <c r="S3125" s="24" t="n"/>
      <c r="T3125" s="24" t="n"/>
    </row>
    <row r="3126" ht="12.75" customHeight="1" s="117">
      <c r="S3126" s="24" t="n"/>
      <c r="T3126" s="24" t="n"/>
    </row>
    <row r="3127" ht="12.75" customHeight="1" s="117">
      <c r="S3127" s="24" t="n"/>
      <c r="T3127" s="24" t="n"/>
    </row>
    <row r="3128" ht="12.75" customHeight="1" s="117">
      <c r="S3128" s="24" t="n"/>
      <c r="T3128" s="24" t="n"/>
    </row>
    <row r="3129" ht="12.75" customHeight="1" s="117">
      <c r="S3129" s="24" t="n"/>
      <c r="T3129" s="24" t="n"/>
    </row>
    <row r="3130" ht="12.75" customHeight="1" s="117">
      <c r="S3130" s="24" t="n"/>
      <c r="T3130" s="24" t="n"/>
    </row>
    <row r="3131" ht="12.75" customHeight="1" s="117">
      <c r="S3131" s="24" t="n"/>
      <c r="T3131" s="24" t="n"/>
    </row>
    <row r="3132" ht="12.75" customHeight="1" s="117">
      <c r="S3132" s="24" t="n"/>
      <c r="T3132" s="24" t="n"/>
    </row>
    <row r="3133" ht="12.75" customHeight="1" s="117">
      <c r="S3133" s="24" t="n"/>
      <c r="T3133" s="24" t="n"/>
    </row>
    <row r="3134" ht="12.75" customHeight="1" s="117">
      <c r="S3134" s="24" t="n"/>
      <c r="T3134" s="24" t="n"/>
    </row>
    <row r="3135" ht="12.75" customHeight="1" s="117">
      <c r="S3135" s="24" t="n"/>
      <c r="T3135" s="24" t="n"/>
    </row>
    <row r="3136" ht="12.75" customHeight="1" s="117">
      <c r="S3136" s="24" t="n"/>
      <c r="T3136" s="24" t="n"/>
    </row>
    <row r="3137" ht="12.75" customHeight="1" s="117">
      <c r="S3137" s="24" t="n"/>
      <c r="T3137" s="24" t="n"/>
    </row>
    <row r="3138" ht="12.75" customHeight="1" s="117">
      <c r="S3138" s="24" t="n"/>
      <c r="T3138" s="24" t="n"/>
    </row>
    <row r="3139" ht="12.75" customHeight="1" s="117">
      <c r="S3139" s="24" t="n"/>
      <c r="T3139" s="24" t="n"/>
    </row>
    <row r="3140" ht="12.75" customHeight="1" s="117">
      <c r="S3140" s="24" t="n"/>
      <c r="T3140" s="24" t="n"/>
    </row>
    <row r="3141" ht="12.75" customHeight="1" s="117">
      <c r="S3141" s="24" t="n"/>
      <c r="T3141" s="24" t="n"/>
    </row>
    <row r="3142" ht="12.75" customHeight="1" s="117">
      <c r="S3142" s="24" t="n"/>
      <c r="T3142" s="24" t="n"/>
    </row>
    <row r="3143" ht="12.75" customHeight="1" s="117">
      <c r="S3143" s="24" t="n"/>
      <c r="T3143" s="24" t="n"/>
    </row>
    <row r="3144" ht="12.75" customHeight="1" s="117">
      <c r="S3144" s="24" t="n"/>
      <c r="T3144" s="24" t="n"/>
    </row>
    <row r="3145" ht="12.75" customHeight="1" s="117">
      <c r="S3145" s="24" t="n"/>
      <c r="T3145" s="24" t="n"/>
    </row>
    <row r="3146" ht="12.75" customHeight="1" s="117">
      <c r="S3146" s="24" t="n"/>
      <c r="T3146" s="24" t="n"/>
    </row>
    <row r="3147" ht="12.75" customHeight="1" s="117">
      <c r="S3147" s="24" t="n"/>
      <c r="T3147" s="24" t="n"/>
    </row>
    <row r="3148" ht="12.75" customHeight="1" s="117">
      <c r="S3148" s="24" t="n"/>
      <c r="T3148" s="24" t="n"/>
    </row>
    <row r="3149" ht="12.75" customHeight="1" s="117">
      <c r="S3149" s="24" t="n"/>
      <c r="T3149" s="24" t="n"/>
    </row>
    <row r="3150" ht="12.75" customHeight="1" s="117">
      <c r="S3150" s="24" t="n"/>
      <c r="T3150" s="24" t="n"/>
    </row>
    <row r="3151" ht="12.75" customHeight="1" s="117">
      <c r="S3151" s="24" t="n"/>
      <c r="T3151" s="24" t="n"/>
    </row>
    <row r="3152" ht="12.75" customHeight="1" s="117">
      <c r="S3152" s="24" t="n"/>
      <c r="T3152" s="24" t="n"/>
    </row>
    <row r="3153" ht="12.75" customHeight="1" s="117">
      <c r="S3153" s="24" t="n"/>
      <c r="T3153" s="24" t="n"/>
    </row>
    <row r="3154" ht="12.75" customHeight="1" s="117">
      <c r="S3154" s="24" t="n"/>
      <c r="T3154" s="24" t="n"/>
    </row>
    <row r="3155" ht="12.75" customHeight="1" s="117">
      <c r="S3155" s="24" t="n"/>
      <c r="T3155" s="24" t="n"/>
    </row>
    <row r="3156" ht="12.75" customHeight="1" s="117">
      <c r="S3156" s="24" t="n"/>
      <c r="T3156" s="24" t="n"/>
    </row>
    <row r="3157" ht="12.75" customHeight="1" s="117">
      <c r="S3157" s="24" t="n"/>
      <c r="T3157" s="24" t="n"/>
    </row>
    <row r="3158" ht="12.75" customHeight="1" s="117">
      <c r="S3158" s="24" t="n"/>
      <c r="T3158" s="24" t="n"/>
    </row>
    <row r="3159" ht="12.75" customHeight="1" s="117">
      <c r="S3159" s="24" t="n"/>
      <c r="T3159" s="24" t="n"/>
    </row>
    <row r="3160" ht="12.75" customHeight="1" s="117">
      <c r="S3160" s="24" t="n"/>
      <c r="T3160" s="24" t="n"/>
    </row>
    <row r="3161" ht="12.75" customHeight="1" s="117">
      <c r="S3161" s="24" t="n"/>
      <c r="T3161" s="24" t="n"/>
    </row>
    <row r="3162" ht="12.75" customHeight="1" s="117">
      <c r="S3162" s="24" t="n"/>
      <c r="T3162" s="24" t="n"/>
    </row>
    <row r="3163" ht="12.75" customHeight="1" s="117">
      <c r="S3163" s="24" t="n"/>
      <c r="T3163" s="24" t="n"/>
    </row>
    <row r="3164" ht="12.75" customHeight="1" s="117">
      <c r="S3164" s="24" t="n"/>
      <c r="T3164" s="24" t="n"/>
    </row>
    <row r="3165" ht="12.75" customHeight="1" s="117">
      <c r="S3165" s="24" t="n"/>
      <c r="T3165" s="24" t="n"/>
    </row>
    <row r="3166" ht="12.75" customHeight="1" s="117">
      <c r="S3166" s="24" t="n"/>
      <c r="T3166" s="24" t="n"/>
    </row>
    <row r="3167" ht="12.75" customHeight="1" s="117">
      <c r="S3167" s="24" t="n"/>
      <c r="T3167" s="24" t="n"/>
    </row>
    <row r="3168" ht="12.75" customHeight="1" s="117">
      <c r="S3168" s="24" t="n"/>
      <c r="T3168" s="24" t="n"/>
    </row>
    <row r="3169" ht="12.75" customHeight="1" s="117">
      <c r="S3169" s="24" t="n"/>
      <c r="T3169" s="24" t="n"/>
    </row>
    <row r="3170" ht="12.75" customHeight="1" s="117">
      <c r="S3170" s="24" t="n"/>
      <c r="T3170" s="24" t="n"/>
    </row>
    <row r="3171" ht="12.75" customHeight="1" s="117">
      <c r="S3171" s="24" t="n"/>
      <c r="T3171" s="24" t="n"/>
    </row>
    <row r="3172" ht="12.75" customHeight="1" s="117">
      <c r="S3172" s="24" t="n"/>
      <c r="T3172" s="24" t="n"/>
    </row>
    <row r="3173" ht="12.75" customHeight="1" s="117">
      <c r="S3173" s="24" t="n"/>
      <c r="T3173" s="24" t="n"/>
    </row>
    <row r="3174" ht="12.75" customHeight="1" s="117">
      <c r="S3174" s="24" t="n"/>
      <c r="T3174" s="24" t="n"/>
    </row>
    <row r="3175" ht="12.75" customHeight="1" s="117">
      <c r="S3175" s="24" t="n"/>
      <c r="T3175" s="24" t="n"/>
    </row>
    <row r="3176" ht="12.75" customHeight="1" s="117">
      <c r="S3176" s="24" t="n"/>
      <c r="T3176" s="24" t="n"/>
    </row>
    <row r="3177" ht="12.75" customHeight="1" s="117">
      <c r="S3177" s="24" t="n"/>
      <c r="T3177" s="24" t="n"/>
    </row>
    <row r="3178" ht="12.75" customHeight="1" s="117">
      <c r="S3178" s="24" t="n"/>
      <c r="T3178" s="24" t="n"/>
    </row>
    <row r="3179" ht="12.75" customHeight="1" s="117">
      <c r="S3179" s="24" t="n"/>
      <c r="T3179" s="24" t="n"/>
    </row>
    <row r="3180" ht="12.75" customHeight="1" s="117">
      <c r="S3180" s="24" t="n"/>
      <c r="T3180" s="24" t="n"/>
    </row>
    <row r="3181" ht="12.75" customHeight="1" s="117">
      <c r="S3181" s="24" t="n"/>
      <c r="T3181" s="24" t="n"/>
    </row>
    <row r="3182" ht="12.75" customHeight="1" s="117">
      <c r="S3182" s="24" t="n"/>
      <c r="T3182" s="24" t="n"/>
    </row>
    <row r="3183" ht="12.75" customHeight="1" s="117">
      <c r="S3183" s="24" t="n"/>
      <c r="T3183" s="24" t="n"/>
    </row>
    <row r="3184" ht="12.75" customHeight="1" s="117">
      <c r="S3184" s="24" t="n"/>
      <c r="T3184" s="24" t="n"/>
    </row>
    <row r="3185" ht="12.75" customHeight="1" s="117">
      <c r="S3185" s="24" t="n"/>
      <c r="T3185" s="24" t="n"/>
    </row>
    <row r="3186" ht="12.75" customHeight="1" s="117">
      <c r="S3186" s="24" t="n"/>
      <c r="T3186" s="24" t="n"/>
    </row>
    <row r="3187" ht="12.75" customHeight="1" s="117">
      <c r="S3187" s="24" t="n"/>
      <c r="T3187" s="24" t="n"/>
    </row>
    <row r="3188" ht="12.75" customHeight="1" s="117">
      <c r="S3188" s="24" t="n"/>
      <c r="T3188" s="24" t="n"/>
    </row>
    <row r="3189" ht="12.75" customHeight="1" s="117">
      <c r="S3189" s="24" t="n"/>
      <c r="T3189" s="24" t="n"/>
    </row>
    <row r="3190" ht="12.75" customHeight="1" s="117">
      <c r="S3190" s="24" t="n"/>
      <c r="T3190" s="24" t="n"/>
    </row>
    <row r="3191" ht="12.75" customHeight="1" s="117">
      <c r="S3191" s="24" t="n"/>
      <c r="T3191" s="24" t="n"/>
    </row>
    <row r="3192" ht="12.75" customHeight="1" s="117">
      <c r="S3192" s="24" t="n"/>
      <c r="T3192" s="24" t="n"/>
    </row>
    <row r="3193" ht="12.75" customHeight="1" s="117">
      <c r="S3193" s="24" t="n"/>
      <c r="T3193" s="24" t="n"/>
    </row>
    <row r="3194" ht="12.75" customHeight="1" s="117">
      <c r="S3194" s="24" t="n"/>
      <c r="T3194" s="24" t="n"/>
    </row>
    <row r="3195" ht="12.75" customHeight="1" s="117">
      <c r="S3195" s="24" t="n"/>
      <c r="T3195" s="24" t="n"/>
    </row>
    <row r="3196" ht="12.75" customHeight="1" s="117">
      <c r="S3196" s="24" t="n"/>
      <c r="T3196" s="24" t="n"/>
    </row>
    <row r="3197" ht="12.75" customHeight="1" s="117">
      <c r="S3197" s="24" t="n"/>
      <c r="T3197" s="24" t="n"/>
    </row>
    <row r="3198" ht="12.75" customHeight="1" s="117">
      <c r="S3198" s="24" t="n"/>
      <c r="T3198" s="24" t="n"/>
    </row>
    <row r="3199" ht="12.75" customHeight="1" s="117">
      <c r="S3199" s="24" t="n"/>
      <c r="T3199" s="24" t="n"/>
    </row>
    <row r="3200" ht="12.75" customHeight="1" s="117">
      <c r="S3200" s="24" t="n"/>
      <c r="T3200" s="24" t="n"/>
    </row>
    <row r="3201" ht="12.75" customHeight="1" s="117">
      <c r="S3201" s="24" t="n"/>
      <c r="T3201" s="24" t="n"/>
    </row>
    <row r="3202" ht="12.75" customHeight="1" s="117">
      <c r="S3202" s="24" t="n"/>
      <c r="T3202" s="24" t="n"/>
    </row>
    <row r="3203" ht="12.75" customHeight="1" s="117">
      <c r="S3203" s="24" t="n"/>
      <c r="T3203" s="24" t="n"/>
    </row>
    <row r="3204" ht="12.75" customHeight="1" s="117">
      <c r="S3204" s="24" t="n"/>
      <c r="T3204" s="24" t="n"/>
    </row>
    <row r="3205" ht="12.75" customHeight="1" s="117">
      <c r="S3205" s="24" t="n"/>
      <c r="T3205" s="24" t="n"/>
    </row>
    <row r="3206" ht="12.75" customHeight="1" s="117">
      <c r="S3206" s="24" t="n"/>
      <c r="T3206" s="24" t="n"/>
    </row>
    <row r="3207" ht="12.75" customHeight="1" s="117">
      <c r="S3207" s="24" t="n"/>
      <c r="T3207" s="24" t="n"/>
    </row>
    <row r="3208" ht="12.75" customHeight="1" s="117">
      <c r="S3208" s="24" t="n"/>
      <c r="T3208" s="24" t="n"/>
    </row>
    <row r="3209" ht="12.75" customHeight="1" s="117">
      <c r="S3209" s="24" t="n"/>
      <c r="T3209" s="24" t="n"/>
    </row>
    <row r="3210" ht="12.75" customHeight="1" s="117">
      <c r="S3210" s="24" t="n"/>
      <c r="T3210" s="24" t="n"/>
    </row>
    <row r="3211" ht="12.75" customHeight="1" s="117">
      <c r="S3211" s="24" t="n"/>
      <c r="T3211" s="24" t="n"/>
    </row>
    <row r="3212" ht="12.75" customHeight="1" s="117">
      <c r="S3212" s="24" t="n"/>
      <c r="T3212" s="24" t="n"/>
    </row>
    <row r="3213" ht="12.75" customHeight="1" s="117">
      <c r="S3213" s="24" t="n"/>
      <c r="T3213" s="24" t="n"/>
    </row>
    <row r="3214" ht="12.75" customHeight="1" s="117">
      <c r="S3214" s="24" t="n"/>
      <c r="T3214" s="24" t="n"/>
    </row>
    <row r="3215" ht="12.75" customHeight="1" s="117">
      <c r="S3215" s="24" t="n"/>
      <c r="T3215" s="24" t="n"/>
    </row>
    <row r="3216" ht="12.75" customHeight="1" s="117">
      <c r="S3216" s="24" t="n"/>
      <c r="T3216" s="24" t="n"/>
    </row>
    <row r="3217" ht="12.75" customHeight="1" s="117">
      <c r="S3217" s="24" t="n"/>
      <c r="T3217" s="24" t="n"/>
    </row>
    <row r="3218" ht="12.75" customHeight="1" s="117">
      <c r="S3218" s="24" t="n"/>
      <c r="T3218" s="24" t="n"/>
    </row>
    <row r="3219" ht="12.75" customHeight="1" s="117">
      <c r="S3219" s="24" t="n"/>
      <c r="T3219" s="24" t="n"/>
    </row>
    <row r="3220" ht="12.75" customHeight="1" s="117">
      <c r="S3220" s="24" t="n"/>
      <c r="T3220" s="24" t="n"/>
    </row>
    <row r="3221" ht="12.75" customHeight="1" s="117">
      <c r="S3221" s="24" t="n"/>
      <c r="T3221" s="24" t="n"/>
    </row>
    <row r="3222" ht="12.75" customHeight="1" s="117">
      <c r="S3222" s="24" t="n"/>
      <c r="T3222" s="24" t="n"/>
    </row>
    <row r="3223" ht="12.75" customHeight="1" s="117">
      <c r="S3223" s="24" t="n"/>
      <c r="T3223" s="24" t="n"/>
    </row>
    <row r="3224" ht="12.75" customHeight="1" s="117">
      <c r="S3224" s="24" t="n"/>
      <c r="T3224" s="24" t="n"/>
    </row>
    <row r="3225" ht="12.75" customHeight="1" s="117">
      <c r="S3225" s="24" t="n"/>
      <c r="T3225" s="24" t="n"/>
    </row>
    <row r="3226" ht="12.75" customHeight="1" s="117">
      <c r="S3226" s="24" t="n"/>
      <c r="T3226" s="24" t="n"/>
    </row>
    <row r="3227" ht="12.75" customHeight="1" s="117">
      <c r="S3227" s="24" t="n"/>
      <c r="T3227" s="24" t="n"/>
    </row>
    <row r="3228" ht="12.75" customHeight="1" s="117">
      <c r="S3228" s="24" t="n"/>
      <c r="T3228" s="24" t="n"/>
    </row>
    <row r="3229" ht="12.75" customHeight="1" s="117">
      <c r="S3229" s="24" t="n"/>
      <c r="T3229" s="24" t="n"/>
    </row>
    <row r="3230" ht="12.75" customHeight="1" s="117">
      <c r="S3230" s="24" t="n"/>
      <c r="T3230" s="24" t="n"/>
    </row>
    <row r="3231" ht="12.75" customHeight="1" s="117">
      <c r="S3231" s="24" t="n"/>
      <c r="T3231" s="24" t="n"/>
    </row>
    <row r="3232" ht="12.75" customHeight="1" s="117">
      <c r="S3232" s="24" t="n"/>
      <c r="T3232" s="24" t="n"/>
    </row>
    <row r="3233" ht="12.75" customHeight="1" s="117">
      <c r="S3233" s="24" t="n"/>
      <c r="T3233" s="24" t="n"/>
    </row>
    <row r="3234" ht="12.75" customHeight="1" s="117">
      <c r="S3234" s="24" t="n"/>
      <c r="T3234" s="24" t="n"/>
    </row>
    <row r="3235" ht="12.75" customHeight="1" s="117">
      <c r="S3235" s="24" t="n"/>
      <c r="T3235" s="24" t="n"/>
    </row>
    <row r="3236" ht="12.75" customHeight="1" s="117">
      <c r="S3236" s="24" t="n"/>
      <c r="T3236" s="24" t="n"/>
    </row>
    <row r="3237" ht="12.75" customHeight="1" s="117">
      <c r="S3237" s="24" t="n"/>
      <c r="T3237" s="24" t="n"/>
    </row>
    <row r="3238" ht="12.75" customHeight="1" s="117">
      <c r="S3238" s="24" t="n"/>
      <c r="T3238" s="24" t="n"/>
    </row>
    <row r="3239" ht="12.75" customHeight="1" s="117">
      <c r="S3239" s="24" t="n"/>
      <c r="T3239" s="24" t="n"/>
    </row>
    <row r="3240" ht="12.75" customHeight="1" s="117">
      <c r="S3240" s="24" t="n"/>
      <c r="T3240" s="24" t="n"/>
    </row>
    <row r="3241" ht="12.75" customHeight="1" s="117">
      <c r="S3241" s="24" t="n"/>
      <c r="T3241" s="24" t="n"/>
    </row>
    <row r="3242" ht="12.75" customHeight="1" s="117">
      <c r="S3242" s="24" t="n"/>
      <c r="T3242" s="24" t="n"/>
    </row>
    <row r="3243" ht="12.75" customHeight="1" s="117">
      <c r="S3243" s="24" t="n"/>
      <c r="T3243" s="24" t="n"/>
    </row>
    <row r="3244" ht="12.75" customHeight="1" s="117">
      <c r="S3244" s="24" t="n"/>
      <c r="T3244" s="24" t="n"/>
    </row>
    <row r="3245" ht="12.75" customHeight="1" s="117">
      <c r="S3245" s="24" t="n"/>
      <c r="T3245" s="24" t="n"/>
    </row>
    <row r="3246" ht="12.75" customHeight="1" s="117">
      <c r="S3246" s="24" t="n"/>
      <c r="T3246" s="24" t="n"/>
    </row>
    <row r="3247" ht="12.75" customHeight="1" s="117">
      <c r="S3247" s="24" t="n"/>
      <c r="T3247" s="24" t="n"/>
    </row>
    <row r="3248" ht="12.75" customHeight="1" s="117">
      <c r="S3248" s="24" t="n"/>
      <c r="T3248" s="24" t="n"/>
    </row>
    <row r="3249" ht="12.75" customHeight="1" s="117">
      <c r="S3249" s="24" t="n"/>
      <c r="T3249" s="24" t="n"/>
    </row>
    <row r="3250" ht="12.75" customHeight="1" s="117">
      <c r="S3250" s="24" t="n"/>
      <c r="T3250" s="24" t="n"/>
    </row>
    <row r="3251" ht="12.75" customHeight="1" s="117">
      <c r="S3251" s="24" t="n"/>
      <c r="T3251" s="24" t="n"/>
    </row>
    <row r="3252" ht="12.75" customHeight="1" s="117">
      <c r="S3252" s="24" t="n"/>
      <c r="T3252" s="24" t="n"/>
    </row>
    <row r="3253" ht="12.75" customHeight="1" s="117">
      <c r="S3253" s="24" t="n"/>
      <c r="T3253" s="24" t="n"/>
    </row>
    <row r="3254" ht="12.75" customHeight="1" s="117">
      <c r="S3254" s="24" t="n"/>
      <c r="T3254" s="24" t="n"/>
    </row>
    <row r="3255" ht="12.75" customHeight="1" s="117">
      <c r="S3255" s="24" t="n"/>
      <c r="T3255" s="24" t="n"/>
    </row>
    <row r="3256" ht="12.75" customHeight="1" s="117">
      <c r="S3256" s="24" t="n"/>
      <c r="T3256" s="24" t="n"/>
    </row>
    <row r="3257" ht="12.75" customHeight="1" s="117">
      <c r="S3257" s="24" t="n"/>
      <c r="T3257" s="24" t="n"/>
    </row>
    <row r="3258" ht="12.75" customHeight="1" s="117">
      <c r="S3258" s="24" t="n"/>
      <c r="T3258" s="24" t="n"/>
    </row>
    <row r="3259" ht="12.75" customHeight="1" s="117">
      <c r="S3259" s="24" t="n"/>
      <c r="T3259" s="24" t="n"/>
    </row>
    <row r="3260" ht="12.75" customHeight="1" s="117">
      <c r="S3260" s="24" t="n"/>
      <c r="T3260" s="24" t="n"/>
    </row>
    <row r="3261" ht="12.75" customHeight="1" s="117">
      <c r="S3261" s="24" t="n"/>
      <c r="T3261" s="24" t="n"/>
    </row>
    <row r="3262" ht="12.75" customHeight="1" s="117">
      <c r="S3262" s="24" t="n"/>
      <c r="T3262" s="24" t="n"/>
    </row>
    <row r="3263" ht="12.75" customHeight="1" s="117">
      <c r="S3263" s="24" t="n"/>
      <c r="T3263" s="24" t="n"/>
    </row>
    <row r="3264" ht="12.75" customHeight="1" s="117">
      <c r="S3264" s="24" t="n"/>
      <c r="T3264" s="24" t="n"/>
    </row>
    <row r="3265" ht="12.75" customHeight="1" s="117">
      <c r="S3265" s="24" t="n"/>
      <c r="T3265" s="24" t="n"/>
    </row>
    <row r="3266" ht="12.75" customHeight="1" s="117">
      <c r="S3266" s="24" t="n"/>
      <c r="T3266" s="24" t="n"/>
    </row>
    <row r="3267" ht="12.75" customHeight="1" s="117">
      <c r="S3267" s="24" t="n"/>
      <c r="T3267" s="24" t="n"/>
    </row>
    <row r="3268" ht="12.75" customHeight="1" s="117">
      <c r="S3268" s="24" t="n"/>
      <c r="T3268" s="24" t="n"/>
    </row>
    <row r="3269" ht="12.75" customHeight="1" s="117">
      <c r="S3269" s="24" t="n"/>
      <c r="T3269" s="24" t="n"/>
    </row>
    <row r="3270" ht="12.75" customHeight="1" s="117">
      <c r="S3270" s="24" t="n"/>
      <c r="T3270" s="24" t="n"/>
    </row>
    <row r="3271" ht="12.75" customHeight="1" s="117">
      <c r="S3271" s="24" t="n"/>
      <c r="T3271" s="24" t="n"/>
    </row>
    <row r="3272" ht="12.75" customHeight="1" s="117">
      <c r="S3272" s="24" t="n"/>
      <c r="T3272" s="24" t="n"/>
    </row>
    <row r="3273" ht="12.75" customHeight="1" s="117">
      <c r="S3273" s="24" t="n"/>
      <c r="T3273" s="24" t="n"/>
    </row>
    <row r="3274" ht="12.75" customHeight="1" s="117">
      <c r="S3274" s="24" t="n"/>
      <c r="T3274" s="24" t="n"/>
    </row>
    <row r="3275" ht="12.75" customHeight="1" s="117">
      <c r="S3275" s="24" t="n"/>
      <c r="T3275" s="24" t="n"/>
    </row>
    <row r="3276" ht="12.75" customHeight="1" s="117">
      <c r="S3276" s="24" t="n"/>
      <c r="T3276" s="24" t="n"/>
    </row>
    <row r="3277" ht="12.75" customHeight="1" s="117">
      <c r="S3277" s="24" t="n"/>
      <c r="T3277" s="24" t="n"/>
    </row>
    <row r="3278" ht="12.75" customHeight="1" s="117">
      <c r="S3278" s="24" t="n"/>
      <c r="T3278" s="24" t="n"/>
    </row>
    <row r="3279" ht="12.75" customHeight="1" s="117">
      <c r="S3279" s="24" t="n"/>
      <c r="T3279" s="24" t="n"/>
    </row>
    <row r="3280" ht="12.75" customHeight="1" s="117">
      <c r="S3280" s="24" t="n"/>
      <c r="T3280" s="24" t="n"/>
    </row>
    <row r="3281" ht="12.75" customHeight="1" s="117">
      <c r="S3281" s="24" t="n"/>
      <c r="T3281" s="24" t="n"/>
    </row>
    <row r="3282" ht="12.75" customHeight="1" s="117">
      <c r="S3282" s="24" t="n"/>
      <c r="T3282" s="24" t="n"/>
    </row>
    <row r="3283" ht="12.75" customHeight="1" s="117">
      <c r="S3283" s="24" t="n"/>
      <c r="T3283" s="24" t="n"/>
    </row>
    <row r="3284" ht="12.75" customHeight="1" s="117">
      <c r="S3284" s="24" t="n"/>
      <c r="T3284" s="24" t="n"/>
    </row>
    <row r="3285" ht="12.75" customHeight="1" s="117">
      <c r="S3285" s="24" t="n"/>
      <c r="T3285" s="24" t="n"/>
    </row>
    <row r="3286" ht="12.75" customHeight="1" s="117">
      <c r="S3286" s="24" t="n"/>
      <c r="T3286" s="24" t="n"/>
    </row>
    <row r="3287" ht="12.75" customHeight="1" s="117">
      <c r="S3287" s="24" t="n"/>
      <c r="T3287" s="24" t="n"/>
    </row>
    <row r="3288" ht="12.75" customHeight="1" s="117">
      <c r="S3288" s="24" t="n"/>
      <c r="T3288" s="24" t="n"/>
    </row>
    <row r="3289" ht="12.75" customHeight="1" s="117">
      <c r="S3289" s="24" t="n"/>
      <c r="T3289" s="24" t="n"/>
    </row>
    <row r="3290" ht="12.75" customHeight="1" s="117">
      <c r="S3290" s="24" t="n"/>
      <c r="T3290" s="24" t="n"/>
    </row>
    <row r="3291" ht="12.75" customHeight="1" s="117">
      <c r="S3291" s="24" t="n"/>
      <c r="T3291" s="24" t="n"/>
    </row>
    <row r="3292" ht="12.75" customHeight="1" s="117">
      <c r="S3292" s="24" t="n"/>
      <c r="T3292" s="24" t="n"/>
    </row>
    <row r="3293" ht="12.75" customHeight="1" s="117">
      <c r="S3293" s="24" t="n"/>
      <c r="T3293" s="24" t="n"/>
    </row>
    <row r="3294" ht="12.75" customHeight="1" s="117">
      <c r="S3294" s="24" t="n"/>
      <c r="T3294" s="24" t="n"/>
    </row>
    <row r="3295" ht="12.75" customHeight="1" s="117">
      <c r="S3295" s="24" t="n"/>
      <c r="T3295" s="24" t="n"/>
    </row>
    <row r="3296" ht="12.75" customHeight="1" s="117">
      <c r="S3296" s="24" t="n"/>
      <c r="T3296" s="24" t="n"/>
    </row>
    <row r="3297" ht="12.75" customHeight="1" s="117">
      <c r="S3297" s="24" t="n"/>
      <c r="T3297" s="24" t="n"/>
    </row>
    <row r="3298" ht="12.75" customHeight="1" s="117">
      <c r="S3298" s="24" t="n"/>
      <c r="T3298" s="24" t="n"/>
    </row>
    <row r="3299" ht="12.75" customHeight="1" s="117">
      <c r="S3299" s="24" t="n"/>
      <c r="T3299" s="24" t="n"/>
    </row>
    <row r="3300" ht="12.75" customHeight="1" s="117">
      <c r="S3300" s="24" t="n"/>
      <c r="T3300" s="24" t="n"/>
    </row>
    <row r="3301" ht="12.75" customHeight="1" s="117">
      <c r="S3301" s="24" t="n"/>
      <c r="T3301" s="24" t="n"/>
    </row>
    <row r="3302" ht="12.75" customHeight="1" s="117">
      <c r="S3302" s="24" t="n"/>
      <c r="T3302" s="24" t="n"/>
    </row>
    <row r="3303" ht="12.75" customHeight="1" s="117">
      <c r="S3303" s="24" t="n"/>
      <c r="T3303" s="24" t="n"/>
    </row>
    <row r="3304" ht="12.75" customHeight="1" s="117">
      <c r="S3304" s="24" t="n"/>
      <c r="T3304" s="24" t="n"/>
    </row>
    <row r="3305" ht="12.75" customHeight="1" s="117">
      <c r="S3305" s="24" t="n"/>
      <c r="T3305" s="24" t="n"/>
    </row>
    <row r="3306" ht="12.75" customHeight="1" s="117">
      <c r="S3306" s="24" t="n"/>
      <c r="T3306" s="24" t="n"/>
    </row>
    <row r="3307" ht="12.75" customHeight="1" s="117">
      <c r="S3307" s="24" t="n"/>
      <c r="T3307" s="24" t="n"/>
    </row>
    <row r="3308" ht="12.75" customHeight="1" s="117">
      <c r="S3308" s="24" t="n"/>
      <c r="T3308" s="24" t="n"/>
    </row>
    <row r="3309" ht="12.75" customHeight="1" s="117">
      <c r="S3309" s="24" t="n"/>
      <c r="T3309" s="24" t="n"/>
    </row>
    <row r="3310" ht="12.75" customHeight="1" s="117">
      <c r="S3310" s="24" t="n"/>
      <c r="T3310" s="24" t="n"/>
    </row>
    <row r="3311" ht="12.75" customHeight="1" s="117">
      <c r="S3311" s="24" t="n"/>
      <c r="T3311" s="24" t="n"/>
    </row>
    <row r="3312" ht="12.75" customHeight="1" s="117">
      <c r="S3312" s="24" t="n"/>
      <c r="T3312" s="24" t="n"/>
    </row>
    <row r="3313" ht="12.75" customHeight="1" s="117">
      <c r="S3313" s="24" t="n"/>
      <c r="T3313" s="24" t="n"/>
    </row>
    <row r="3314" ht="12.75" customHeight="1" s="117">
      <c r="S3314" s="24" t="n"/>
      <c r="T3314" s="24" t="n"/>
    </row>
    <row r="3315" ht="12.75" customHeight="1" s="117">
      <c r="S3315" s="24" t="n"/>
      <c r="T3315" s="24" t="n"/>
    </row>
    <row r="3316" ht="12.75" customHeight="1" s="117">
      <c r="S3316" s="24" t="n"/>
      <c r="T3316" s="24" t="n"/>
    </row>
    <row r="3317" ht="12.75" customHeight="1" s="117">
      <c r="S3317" s="24" t="n"/>
      <c r="T3317" s="24" t="n"/>
    </row>
    <row r="3318" ht="12.75" customHeight="1" s="117">
      <c r="S3318" s="24" t="n"/>
      <c r="T3318" s="24" t="n"/>
    </row>
    <row r="3319" ht="12.75" customHeight="1" s="117">
      <c r="S3319" s="24" t="n"/>
      <c r="T3319" s="24" t="n"/>
    </row>
    <row r="3320" ht="12.75" customHeight="1" s="117">
      <c r="S3320" s="24" t="n"/>
      <c r="T3320" s="24" t="n"/>
    </row>
    <row r="3321" ht="12.75" customHeight="1" s="117">
      <c r="S3321" s="24" t="n"/>
      <c r="T3321" s="24" t="n"/>
    </row>
    <row r="3322" ht="12.75" customHeight="1" s="117">
      <c r="S3322" s="24" t="n"/>
      <c r="T3322" s="24" t="n"/>
    </row>
    <row r="3323" ht="12.75" customHeight="1" s="117">
      <c r="S3323" s="24" t="n"/>
      <c r="T3323" s="24" t="n"/>
    </row>
    <row r="3324" ht="12.75" customHeight="1" s="117">
      <c r="S3324" s="24" t="n"/>
      <c r="T3324" s="24" t="n"/>
    </row>
    <row r="3325" ht="12.75" customHeight="1" s="117">
      <c r="S3325" s="24" t="n"/>
      <c r="T3325" s="24" t="n"/>
    </row>
    <row r="3326" ht="12.75" customHeight="1" s="117">
      <c r="S3326" s="24" t="n"/>
      <c r="T3326" s="24" t="n"/>
    </row>
    <row r="3327" ht="12.75" customHeight="1" s="117">
      <c r="S3327" s="24" t="n"/>
      <c r="T3327" s="24" t="n"/>
    </row>
    <row r="3328" ht="12.75" customHeight="1" s="117">
      <c r="S3328" s="24" t="n"/>
      <c r="T3328" s="24" t="n"/>
    </row>
    <row r="3329" ht="12.75" customHeight="1" s="117">
      <c r="S3329" s="24" t="n"/>
      <c r="T3329" s="24" t="n"/>
    </row>
    <row r="3330" ht="12.75" customHeight="1" s="117">
      <c r="S3330" s="24" t="n"/>
      <c r="T3330" s="24" t="n"/>
    </row>
    <row r="3331" ht="12.75" customHeight="1" s="117">
      <c r="S3331" s="24" t="n"/>
      <c r="T3331" s="24" t="n"/>
    </row>
    <row r="3332" ht="12.75" customHeight="1" s="117">
      <c r="S3332" s="24" t="n"/>
      <c r="T3332" s="24" t="n"/>
    </row>
    <row r="3333" ht="12.75" customHeight="1" s="117">
      <c r="S3333" s="24" t="n"/>
      <c r="T3333" s="24" t="n"/>
    </row>
    <row r="3334" ht="12.75" customHeight="1" s="117">
      <c r="S3334" s="24" t="n"/>
      <c r="T3334" s="24" t="n"/>
    </row>
    <row r="3335" ht="12.75" customHeight="1" s="117">
      <c r="S3335" s="24" t="n"/>
      <c r="T3335" s="24" t="n"/>
    </row>
    <row r="3336" ht="12.75" customHeight="1" s="117">
      <c r="S3336" s="24" t="n"/>
      <c r="T3336" s="24" t="n"/>
    </row>
    <row r="3337" ht="12.75" customHeight="1" s="117">
      <c r="S3337" s="24" t="n"/>
      <c r="T3337" s="24" t="n"/>
    </row>
    <row r="3338" ht="12.75" customHeight="1" s="117">
      <c r="S3338" s="24" t="n"/>
      <c r="T3338" s="24" t="n"/>
    </row>
    <row r="3339" ht="12.75" customHeight="1" s="117">
      <c r="S3339" s="24" t="n"/>
      <c r="T3339" s="24" t="n"/>
    </row>
    <row r="3340" ht="12.75" customHeight="1" s="117">
      <c r="S3340" s="24" t="n"/>
      <c r="T3340" s="24" t="n"/>
    </row>
    <row r="3341" ht="12.75" customHeight="1" s="117">
      <c r="S3341" s="24" t="n"/>
      <c r="T3341" s="24" t="n"/>
    </row>
    <row r="3342" ht="12.75" customHeight="1" s="117">
      <c r="S3342" s="24" t="n"/>
      <c r="T3342" s="24" t="n"/>
    </row>
    <row r="3343" ht="12.75" customHeight="1" s="117">
      <c r="S3343" s="24" t="n"/>
      <c r="T3343" s="24" t="n"/>
    </row>
    <row r="3344" ht="12.75" customHeight="1" s="117">
      <c r="S3344" s="24" t="n"/>
      <c r="T3344" s="24" t="n"/>
    </row>
    <row r="3345" ht="12.75" customHeight="1" s="117">
      <c r="S3345" s="24" t="n"/>
      <c r="T3345" s="24" t="n"/>
    </row>
    <row r="3346" ht="12.75" customHeight="1" s="117">
      <c r="S3346" s="24" t="n"/>
      <c r="T3346" s="24" t="n"/>
    </row>
    <row r="3347" ht="12.75" customHeight="1" s="117">
      <c r="S3347" s="24" t="n"/>
      <c r="T3347" s="24" t="n"/>
    </row>
    <row r="3348" ht="12.75" customHeight="1" s="117">
      <c r="S3348" s="24" t="n"/>
      <c r="T3348" s="24" t="n"/>
    </row>
    <row r="3349" ht="12.75" customHeight="1" s="117">
      <c r="S3349" s="24" t="n"/>
      <c r="T3349" s="24" t="n"/>
    </row>
    <row r="3350" ht="12.75" customHeight="1" s="117">
      <c r="S3350" s="24" t="n"/>
      <c r="T3350" s="24" t="n"/>
    </row>
    <row r="3351" ht="12.75" customHeight="1" s="117">
      <c r="S3351" s="24" t="n"/>
      <c r="T3351" s="24" t="n"/>
    </row>
    <row r="3352" ht="12.75" customHeight="1" s="117">
      <c r="S3352" s="24" t="n"/>
      <c r="T3352" s="24" t="n"/>
    </row>
    <row r="3353" ht="12.75" customHeight="1" s="117">
      <c r="S3353" s="24" t="n"/>
      <c r="T3353" s="24" t="n"/>
    </row>
    <row r="3354" ht="12.75" customHeight="1" s="117">
      <c r="S3354" s="24" t="n"/>
      <c r="T3354" s="24" t="n"/>
    </row>
    <row r="3355" ht="12.75" customHeight="1" s="117">
      <c r="S3355" s="24" t="n"/>
      <c r="T3355" s="24" t="n"/>
    </row>
    <row r="3356" ht="12.75" customHeight="1" s="117">
      <c r="S3356" s="24" t="n"/>
      <c r="T3356" s="24" t="n"/>
    </row>
    <row r="3357" ht="12.75" customHeight="1" s="117">
      <c r="S3357" s="24" t="n"/>
      <c r="T3357" s="24" t="n"/>
    </row>
    <row r="3358" ht="12.75" customHeight="1" s="117">
      <c r="S3358" s="24" t="n"/>
      <c r="T3358" s="24" t="n"/>
    </row>
    <row r="3359" ht="12.75" customHeight="1" s="117">
      <c r="S3359" s="24" t="n"/>
      <c r="T3359" s="24" t="n"/>
    </row>
    <row r="3360" ht="12.75" customHeight="1" s="117">
      <c r="S3360" s="24" t="n"/>
      <c r="T3360" s="24" t="n"/>
    </row>
    <row r="3361" ht="12.75" customHeight="1" s="117">
      <c r="S3361" s="24" t="n"/>
      <c r="T3361" s="24" t="n"/>
    </row>
    <row r="3362" ht="12.75" customHeight="1" s="117">
      <c r="S3362" s="24" t="n"/>
      <c r="T3362" s="24" t="n"/>
    </row>
    <row r="3363" ht="12.75" customHeight="1" s="117">
      <c r="S3363" s="24" t="n"/>
      <c r="T3363" s="24" t="n"/>
    </row>
    <row r="3364" ht="12.75" customHeight="1" s="117">
      <c r="S3364" s="24" t="n"/>
      <c r="T3364" s="24" t="n"/>
    </row>
    <row r="3365" ht="12.75" customHeight="1" s="117">
      <c r="S3365" s="24" t="n"/>
      <c r="T3365" s="24" t="n"/>
    </row>
    <row r="3366" ht="12.75" customHeight="1" s="117">
      <c r="S3366" s="24" t="n"/>
      <c r="T3366" s="24" t="n"/>
    </row>
    <row r="3367" ht="12.75" customHeight="1" s="117">
      <c r="S3367" s="24" t="n"/>
      <c r="T3367" s="24" t="n"/>
    </row>
    <row r="3368" ht="12.75" customHeight="1" s="117">
      <c r="S3368" s="24" t="n"/>
      <c r="T3368" s="24" t="n"/>
    </row>
    <row r="3369" ht="12.75" customHeight="1" s="117">
      <c r="S3369" s="24" t="n"/>
      <c r="T3369" s="24" t="n"/>
    </row>
    <row r="3370" ht="12.75" customHeight="1" s="117">
      <c r="S3370" s="24" t="n"/>
      <c r="T3370" s="24" t="n"/>
    </row>
    <row r="3371" ht="12.75" customHeight="1" s="117">
      <c r="S3371" s="24" t="n"/>
      <c r="T3371" s="24" t="n"/>
    </row>
    <row r="3372" ht="12.75" customHeight="1" s="117">
      <c r="S3372" s="24" t="n"/>
      <c r="T3372" s="24" t="n"/>
    </row>
    <row r="3373" ht="12.75" customHeight="1" s="117">
      <c r="S3373" s="24" t="n"/>
      <c r="T3373" s="24" t="n"/>
    </row>
    <row r="3374" ht="12.75" customHeight="1" s="117">
      <c r="S3374" s="24" t="n"/>
      <c r="T3374" s="24" t="n"/>
    </row>
    <row r="3375" ht="12.75" customHeight="1" s="117">
      <c r="S3375" s="24" t="n"/>
      <c r="T3375" s="24" t="n"/>
    </row>
    <row r="3376" ht="12.75" customHeight="1" s="117">
      <c r="S3376" s="24" t="n"/>
      <c r="T3376" s="24" t="n"/>
    </row>
    <row r="3377" ht="12.75" customHeight="1" s="117">
      <c r="S3377" s="24" t="n"/>
      <c r="T3377" s="24" t="n"/>
    </row>
    <row r="3378" ht="12.75" customHeight="1" s="117">
      <c r="S3378" s="24" t="n"/>
      <c r="T3378" s="24" t="n"/>
    </row>
    <row r="3379" ht="12.75" customHeight="1" s="117">
      <c r="S3379" s="24" t="n"/>
      <c r="T3379" s="24" t="n"/>
    </row>
    <row r="3380" ht="12.75" customHeight="1" s="117">
      <c r="S3380" s="24" t="n"/>
      <c r="T3380" s="24" t="n"/>
    </row>
    <row r="3381" ht="12.75" customHeight="1" s="117">
      <c r="S3381" s="24" t="n"/>
      <c r="T3381" s="24" t="n"/>
    </row>
    <row r="3382" ht="12.75" customHeight="1" s="117">
      <c r="S3382" s="24" t="n"/>
      <c r="T3382" s="24" t="n"/>
    </row>
    <row r="3383" ht="12.75" customHeight="1" s="117">
      <c r="S3383" s="24" t="n"/>
      <c r="T3383" s="24" t="n"/>
    </row>
    <row r="3384" ht="12.75" customHeight="1" s="117">
      <c r="S3384" s="24" t="n"/>
      <c r="T3384" s="24" t="n"/>
    </row>
    <row r="3385" ht="12.75" customHeight="1" s="117">
      <c r="S3385" s="24" t="n"/>
      <c r="T3385" s="24" t="n"/>
    </row>
    <row r="3386" ht="12.75" customHeight="1" s="117">
      <c r="S3386" s="24" t="n"/>
      <c r="T3386" s="24" t="n"/>
    </row>
    <row r="3387" ht="12.75" customHeight="1" s="117">
      <c r="S3387" s="24" t="n"/>
      <c r="T3387" s="24" t="n"/>
    </row>
    <row r="3388" ht="12.75" customHeight="1" s="117">
      <c r="S3388" s="24" t="n"/>
      <c r="T3388" s="24" t="n"/>
    </row>
    <row r="3389" ht="12.75" customHeight="1" s="117">
      <c r="S3389" s="24" t="n"/>
      <c r="T3389" s="24" t="n"/>
    </row>
    <row r="3390" ht="12.75" customHeight="1" s="117">
      <c r="S3390" s="24" t="n"/>
      <c r="T3390" s="24" t="n"/>
    </row>
    <row r="3391" ht="12.75" customHeight="1" s="117">
      <c r="S3391" s="24" t="n"/>
      <c r="T3391" s="24" t="n"/>
    </row>
    <row r="3392" ht="12.75" customHeight="1" s="117">
      <c r="S3392" s="24" t="n"/>
      <c r="T3392" s="24" t="n"/>
    </row>
    <row r="3393" ht="12.75" customHeight="1" s="117">
      <c r="S3393" s="24" t="n"/>
      <c r="T3393" s="24" t="n"/>
    </row>
    <row r="3394" ht="12.75" customHeight="1" s="117">
      <c r="S3394" s="24" t="n"/>
      <c r="T3394" s="24" t="n"/>
    </row>
    <row r="3395" ht="12.75" customHeight="1" s="117">
      <c r="S3395" s="24" t="n"/>
      <c r="T3395" s="24" t="n"/>
    </row>
    <row r="3396" ht="12.75" customHeight="1" s="117">
      <c r="S3396" s="24" t="n"/>
      <c r="T3396" s="24" t="n"/>
    </row>
    <row r="3397" ht="12.75" customHeight="1" s="117">
      <c r="S3397" s="24" t="n"/>
      <c r="T3397" s="24" t="n"/>
    </row>
    <row r="3398" ht="12.75" customHeight="1" s="117">
      <c r="S3398" s="24" t="n"/>
      <c r="T3398" s="24" t="n"/>
    </row>
    <row r="3399" ht="12.75" customHeight="1" s="117">
      <c r="S3399" s="24" t="n"/>
      <c r="T3399" s="24" t="n"/>
    </row>
    <row r="3400" ht="12.75" customHeight="1" s="117">
      <c r="S3400" s="24" t="n"/>
      <c r="T3400" s="24" t="n"/>
    </row>
    <row r="3401" ht="12.75" customHeight="1" s="117">
      <c r="S3401" s="24" t="n"/>
      <c r="T3401" s="24" t="n"/>
    </row>
    <row r="3402" ht="12.75" customHeight="1" s="117">
      <c r="S3402" s="24" t="n"/>
      <c r="T3402" s="24" t="n"/>
    </row>
    <row r="3403" ht="12.75" customHeight="1" s="117">
      <c r="S3403" s="24" t="n"/>
      <c r="T3403" s="24" t="n"/>
    </row>
    <row r="3404" ht="12.75" customHeight="1" s="117">
      <c r="S3404" s="24" t="n"/>
      <c r="T3404" s="24" t="n"/>
    </row>
    <row r="3405" ht="12.75" customHeight="1" s="117">
      <c r="S3405" s="24" t="n"/>
      <c r="T3405" s="24" t="n"/>
    </row>
    <row r="3406" ht="12.75" customHeight="1" s="117">
      <c r="S3406" s="24" t="n"/>
      <c r="T3406" s="24" t="n"/>
    </row>
    <row r="3407" ht="12.75" customHeight="1" s="117">
      <c r="S3407" s="24" t="n"/>
      <c r="T3407" s="24" t="n"/>
    </row>
    <row r="3408" ht="12.75" customHeight="1" s="117">
      <c r="S3408" s="24" t="n"/>
      <c r="T3408" s="24" t="n"/>
    </row>
    <row r="3409" ht="12.75" customHeight="1" s="117">
      <c r="S3409" s="24" t="n"/>
      <c r="T3409" s="24" t="n"/>
    </row>
    <row r="3410" ht="12.75" customHeight="1" s="117">
      <c r="S3410" s="24" t="n"/>
      <c r="T3410" s="24" t="n"/>
    </row>
    <row r="3411" ht="12.75" customHeight="1" s="117">
      <c r="S3411" s="24" t="n"/>
      <c r="T3411" s="24" t="n"/>
    </row>
    <row r="3412" ht="12.75" customHeight="1" s="117">
      <c r="S3412" s="24" t="n"/>
      <c r="T3412" s="24" t="n"/>
    </row>
    <row r="3413" ht="12.75" customHeight="1" s="117">
      <c r="S3413" s="24" t="n"/>
      <c r="T3413" s="24" t="n"/>
    </row>
    <row r="3414" ht="12.75" customHeight="1" s="117">
      <c r="S3414" s="24" t="n"/>
      <c r="T3414" s="24" t="n"/>
    </row>
    <row r="3415" ht="12.75" customHeight="1" s="117">
      <c r="S3415" s="24" t="n"/>
      <c r="T3415" s="24" t="n"/>
    </row>
    <row r="3416" ht="12.75" customHeight="1" s="117">
      <c r="S3416" s="24" t="n"/>
      <c r="T3416" s="24" t="n"/>
    </row>
    <row r="3417" ht="12.75" customHeight="1" s="117">
      <c r="S3417" s="24" t="n"/>
      <c r="T3417" s="24" t="n"/>
    </row>
    <row r="3418" ht="12.75" customHeight="1" s="117">
      <c r="S3418" s="24" t="n"/>
      <c r="T3418" s="24" t="n"/>
    </row>
    <row r="3419" ht="12.75" customHeight="1" s="117">
      <c r="S3419" s="24" t="n"/>
      <c r="T3419" s="24" t="n"/>
    </row>
    <row r="3420" ht="12.75" customHeight="1" s="117">
      <c r="S3420" s="24" t="n"/>
      <c r="T3420" s="24" t="n"/>
    </row>
    <row r="3421" ht="12.75" customHeight="1" s="117">
      <c r="S3421" s="24" t="n"/>
      <c r="T3421" s="24" t="n"/>
    </row>
    <row r="3422" ht="12.75" customHeight="1" s="117">
      <c r="S3422" s="24" t="n"/>
      <c r="T3422" s="24" t="n"/>
    </row>
    <row r="3423" ht="12.75" customHeight="1" s="117">
      <c r="S3423" s="24" t="n"/>
      <c r="T3423" s="24" t="n"/>
    </row>
    <row r="3424" ht="12.75" customHeight="1" s="117">
      <c r="S3424" s="24" t="n"/>
      <c r="T3424" s="24" t="n"/>
    </row>
    <row r="3425" ht="12.75" customHeight="1" s="117">
      <c r="S3425" s="24" t="n"/>
      <c r="T3425" s="24" t="n"/>
    </row>
    <row r="3426" ht="12.75" customHeight="1" s="117">
      <c r="S3426" s="24" t="n"/>
      <c r="T3426" s="24" t="n"/>
    </row>
    <row r="3427" ht="12.75" customHeight="1" s="117">
      <c r="S3427" s="24" t="n"/>
      <c r="T3427" s="24" t="n"/>
    </row>
    <row r="3428" ht="12.75" customHeight="1" s="117">
      <c r="S3428" s="24" t="n"/>
      <c r="T3428" s="24" t="n"/>
    </row>
    <row r="3429" ht="12.75" customHeight="1" s="117">
      <c r="S3429" s="24" t="n"/>
      <c r="T3429" s="24" t="n"/>
    </row>
    <row r="3430" ht="12.75" customHeight="1" s="117">
      <c r="S3430" s="24" t="n"/>
      <c r="T3430" s="24" t="n"/>
    </row>
    <row r="3431" ht="12.75" customHeight="1" s="117">
      <c r="S3431" s="24" t="n"/>
      <c r="T3431" s="24" t="n"/>
    </row>
    <row r="3432" ht="12.75" customHeight="1" s="117">
      <c r="S3432" s="24" t="n"/>
      <c r="T3432" s="24" t="n"/>
    </row>
    <row r="3433" ht="12.75" customHeight="1" s="117">
      <c r="S3433" s="24" t="n"/>
      <c r="T3433" s="24" t="n"/>
    </row>
    <row r="3434" ht="12.75" customHeight="1" s="117">
      <c r="S3434" s="24" t="n"/>
      <c r="T3434" s="24" t="n"/>
    </row>
    <row r="3435" ht="12.75" customHeight="1" s="117">
      <c r="S3435" s="24" t="n"/>
      <c r="T3435" s="24" t="n"/>
    </row>
    <row r="3436" ht="12.75" customHeight="1" s="117">
      <c r="S3436" s="24" t="n"/>
      <c r="T3436" s="24" t="n"/>
    </row>
    <row r="3437" ht="12.75" customHeight="1" s="117">
      <c r="S3437" s="24" t="n"/>
      <c r="T3437" s="24" t="n"/>
    </row>
    <row r="3438" ht="12.75" customHeight="1" s="117">
      <c r="S3438" s="24" t="n"/>
      <c r="T3438" s="24" t="n"/>
    </row>
    <row r="3439" ht="12.75" customHeight="1" s="117">
      <c r="S3439" s="24" t="n"/>
      <c r="T3439" s="24" t="n"/>
    </row>
    <row r="3440" ht="12.75" customHeight="1" s="117">
      <c r="S3440" s="24" t="n"/>
      <c r="T3440" s="24" t="n"/>
    </row>
    <row r="3441" ht="12.75" customHeight="1" s="117">
      <c r="S3441" s="24" t="n"/>
      <c r="T3441" s="24" t="n"/>
    </row>
    <row r="3442" ht="12.75" customHeight="1" s="117">
      <c r="S3442" s="24" t="n"/>
      <c r="T3442" s="24" t="n"/>
    </row>
    <row r="3443" ht="12.75" customHeight="1" s="117">
      <c r="S3443" s="24" t="n"/>
      <c r="T3443" s="24" t="n"/>
    </row>
    <row r="3444" ht="12.75" customHeight="1" s="117">
      <c r="S3444" s="24" t="n"/>
      <c r="T3444" s="24" t="n"/>
    </row>
    <row r="3445" ht="12.75" customHeight="1" s="117">
      <c r="S3445" s="24" t="n"/>
      <c r="T3445" s="24" t="n"/>
    </row>
    <row r="3446" ht="12.75" customHeight="1" s="117">
      <c r="S3446" s="24" t="n"/>
      <c r="T3446" s="24" t="n"/>
    </row>
    <row r="3447" ht="12.75" customHeight="1" s="117">
      <c r="S3447" s="24" t="n"/>
      <c r="T3447" s="24" t="n"/>
    </row>
    <row r="3448" ht="12.75" customHeight="1" s="117">
      <c r="S3448" s="24" t="n"/>
      <c r="T3448" s="24" t="n"/>
    </row>
    <row r="3449" ht="12.75" customHeight="1" s="117">
      <c r="S3449" s="24" t="n"/>
      <c r="T3449" s="24" t="n"/>
    </row>
    <row r="3450" ht="12.75" customHeight="1" s="117">
      <c r="S3450" s="24" t="n"/>
      <c r="T3450" s="24" t="n"/>
    </row>
    <row r="3451" ht="12.75" customHeight="1" s="117">
      <c r="S3451" s="24" t="n"/>
      <c r="T3451" s="24" t="n"/>
    </row>
    <row r="3452" ht="12.75" customHeight="1" s="117">
      <c r="S3452" s="24" t="n"/>
      <c r="T3452" s="24" t="n"/>
    </row>
    <row r="3453" ht="12.75" customHeight="1" s="117">
      <c r="S3453" s="24" t="n"/>
      <c r="T3453" s="24" t="n"/>
    </row>
    <row r="3454" ht="12.75" customHeight="1" s="117">
      <c r="S3454" s="24" t="n"/>
      <c r="T3454" s="24" t="n"/>
    </row>
    <row r="3455" ht="12.75" customHeight="1" s="117">
      <c r="S3455" s="24" t="n"/>
      <c r="T3455" s="24" t="n"/>
    </row>
    <row r="3456" ht="12.75" customHeight="1" s="117">
      <c r="S3456" s="24" t="n"/>
      <c r="T3456" s="24" t="n"/>
    </row>
    <row r="3457" ht="12.75" customHeight="1" s="117">
      <c r="S3457" s="24" t="n"/>
      <c r="T3457" s="24" t="n"/>
    </row>
    <row r="3458" ht="12.75" customHeight="1" s="117">
      <c r="S3458" s="24" t="n"/>
      <c r="T3458" s="24" t="n"/>
    </row>
    <row r="3459" ht="12.75" customHeight="1" s="117">
      <c r="S3459" s="24" t="n"/>
      <c r="T3459" s="24" t="n"/>
    </row>
    <row r="3460" ht="12.75" customHeight="1" s="117">
      <c r="S3460" s="24" t="n"/>
      <c r="T3460" s="24" t="n"/>
    </row>
    <row r="3461" ht="12.75" customHeight="1" s="117">
      <c r="S3461" s="24" t="n"/>
      <c r="T3461" s="24" t="n"/>
    </row>
    <row r="3462" ht="12.75" customHeight="1" s="117">
      <c r="S3462" s="24" t="n"/>
      <c r="T3462" s="24" t="n"/>
    </row>
    <row r="3463" ht="12.75" customHeight="1" s="117">
      <c r="S3463" s="24" t="n"/>
      <c r="T3463" s="24" t="n"/>
    </row>
    <row r="3464" ht="12.75" customHeight="1" s="117">
      <c r="S3464" s="24" t="n"/>
      <c r="T3464" s="24" t="n"/>
    </row>
    <row r="3465" ht="12.75" customHeight="1" s="117">
      <c r="S3465" s="24" t="n"/>
      <c r="T3465" s="24" t="n"/>
    </row>
    <row r="3466" ht="12.75" customHeight="1" s="117">
      <c r="S3466" s="24" t="n"/>
      <c r="T3466" s="24" t="n"/>
    </row>
    <row r="3467" ht="12.75" customHeight="1" s="117">
      <c r="S3467" s="24" t="n"/>
      <c r="T3467" s="24" t="n"/>
    </row>
    <row r="3468" ht="12.75" customHeight="1" s="117">
      <c r="S3468" s="24" t="n"/>
      <c r="T3468" s="24" t="n"/>
    </row>
    <row r="3469" ht="12.75" customHeight="1" s="117">
      <c r="S3469" s="24" t="n"/>
      <c r="T3469" s="24" t="n"/>
    </row>
    <row r="3470" ht="12.75" customHeight="1" s="117">
      <c r="S3470" s="24" t="n"/>
      <c r="T3470" s="24" t="n"/>
    </row>
    <row r="3471" ht="12.75" customHeight="1" s="117">
      <c r="S3471" s="24" t="n"/>
      <c r="T3471" s="24" t="n"/>
    </row>
    <row r="3472" ht="12.75" customHeight="1" s="117">
      <c r="S3472" s="24" t="n"/>
      <c r="T3472" s="24" t="n"/>
    </row>
    <row r="3473" ht="12.75" customHeight="1" s="117">
      <c r="S3473" s="24" t="n"/>
      <c r="T3473" s="24" t="n"/>
    </row>
    <row r="3474" ht="12.75" customHeight="1" s="117">
      <c r="S3474" s="24" t="n"/>
      <c r="T3474" s="24" t="n"/>
    </row>
    <row r="3475" ht="12.75" customHeight="1" s="117">
      <c r="S3475" s="24" t="n"/>
      <c r="T3475" s="24" t="n"/>
    </row>
    <row r="3476" ht="12.75" customHeight="1" s="117">
      <c r="S3476" s="24" t="n"/>
      <c r="T3476" s="24" t="n"/>
    </row>
    <row r="3477" ht="12.75" customHeight="1" s="117">
      <c r="S3477" s="24" t="n"/>
      <c r="T3477" s="24" t="n"/>
    </row>
    <row r="3478" ht="12.75" customHeight="1" s="117">
      <c r="S3478" s="24" t="n"/>
      <c r="T3478" s="24" t="n"/>
    </row>
    <row r="3479" ht="12.75" customHeight="1" s="117">
      <c r="S3479" s="24" t="n"/>
      <c r="T3479" s="24" t="n"/>
    </row>
    <row r="3480" ht="12.75" customHeight="1" s="117">
      <c r="S3480" s="24" t="n"/>
      <c r="T3480" s="24" t="n"/>
    </row>
    <row r="3481" ht="12.75" customHeight="1" s="117">
      <c r="S3481" s="24" t="n"/>
      <c r="T3481" s="24" t="n"/>
    </row>
    <row r="3482" ht="12.75" customHeight="1" s="117">
      <c r="S3482" s="24" t="n"/>
      <c r="T3482" s="24" t="n"/>
    </row>
    <row r="3483" ht="12.75" customHeight="1" s="117">
      <c r="S3483" s="24" t="n"/>
      <c r="T3483" s="24" t="n"/>
    </row>
    <row r="3484" ht="12.75" customHeight="1" s="117">
      <c r="S3484" s="24" t="n"/>
      <c r="T3484" s="24" t="n"/>
    </row>
    <row r="3485" ht="12.75" customHeight="1" s="117">
      <c r="S3485" s="24" t="n"/>
      <c r="T3485" s="24" t="n"/>
    </row>
    <row r="3486" ht="12.75" customHeight="1" s="117">
      <c r="S3486" s="24" t="n"/>
      <c r="T3486" s="24" t="n"/>
    </row>
    <row r="3487" ht="12.75" customHeight="1" s="117">
      <c r="S3487" s="24" t="n"/>
      <c r="T3487" s="24" t="n"/>
    </row>
    <row r="3488" ht="12.75" customHeight="1" s="117">
      <c r="S3488" s="24" t="n"/>
      <c r="T3488" s="24" t="n"/>
    </row>
    <row r="3489" ht="12.75" customHeight="1" s="117">
      <c r="S3489" s="24" t="n"/>
      <c r="T3489" s="24" t="n"/>
    </row>
    <row r="3490" ht="12.75" customHeight="1" s="117">
      <c r="S3490" s="24" t="n"/>
      <c r="T3490" s="24" t="n"/>
    </row>
    <row r="3491" ht="12.75" customHeight="1" s="117">
      <c r="S3491" s="24" t="n"/>
      <c r="T3491" s="24" t="n"/>
    </row>
    <row r="3492" ht="12.75" customHeight="1" s="117">
      <c r="S3492" s="24" t="n"/>
      <c r="T3492" s="24" t="n"/>
    </row>
    <row r="3493" ht="12.75" customHeight="1" s="117">
      <c r="S3493" s="24" t="n"/>
      <c r="T3493" s="24" t="n"/>
    </row>
    <row r="3494" ht="12.75" customHeight="1" s="117">
      <c r="S3494" s="24" t="n"/>
      <c r="T3494" s="24" t="n"/>
    </row>
    <row r="3495" ht="12.75" customHeight="1" s="117">
      <c r="S3495" s="24" t="n"/>
      <c r="T3495" s="24" t="n"/>
    </row>
    <row r="3496" ht="12.75" customHeight="1" s="117">
      <c r="S3496" s="24" t="n"/>
      <c r="T3496" s="24" t="n"/>
    </row>
    <row r="3497" ht="12.75" customHeight="1" s="117">
      <c r="S3497" s="24" t="n"/>
      <c r="T3497" s="24" t="n"/>
    </row>
    <row r="3498" ht="12.75" customHeight="1" s="117">
      <c r="S3498" s="24" t="n"/>
      <c r="T3498" s="24" t="n"/>
    </row>
    <row r="3499" ht="12.75" customHeight="1" s="117">
      <c r="S3499" s="24" t="n"/>
      <c r="T3499" s="24" t="n"/>
    </row>
    <row r="3500" ht="12.75" customHeight="1" s="117">
      <c r="S3500" s="24" t="n"/>
      <c r="T3500" s="24" t="n"/>
    </row>
    <row r="3501" ht="12.75" customHeight="1" s="117">
      <c r="S3501" s="24" t="n"/>
      <c r="T3501" s="24" t="n"/>
    </row>
    <row r="3502" ht="12.75" customHeight="1" s="117">
      <c r="S3502" s="24" t="n"/>
      <c r="T3502" s="24" t="n"/>
    </row>
    <row r="3503" ht="12.75" customHeight="1" s="117">
      <c r="S3503" s="24" t="n"/>
      <c r="T3503" s="24" t="n"/>
    </row>
    <row r="3504" ht="12.75" customHeight="1" s="117">
      <c r="S3504" s="24" t="n"/>
      <c r="T3504" s="24" t="n"/>
    </row>
    <row r="3505" ht="12.75" customHeight="1" s="117">
      <c r="S3505" s="24" t="n"/>
      <c r="T3505" s="24" t="n"/>
    </row>
    <row r="3506" ht="12.75" customHeight="1" s="117">
      <c r="S3506" s="24" t="n"/>
      <c r="T3506" s="24" t="n"/>
    </row>
    <row r="3507" ht="12.75" customHeight="1" s="117">
      <c r="S3507" s="24" t="n"/>
      <c r="T3507" s="24" t="n"/>
    </row>
    <row r="3508" ht="12.75" customHeight="1" s="117">
      <c r="S3508" s="24" t="n"/>
      <c r="T3508" s="24" t="n"/>
    </row>
    <row r="3509" ht="12.75" customHeight="1" s="117">
      <c r="S3509" s="24" t="n"/>
      <c r="T3509" s="24" t="n"/>
    </row>
    <row r="3510" ht="12.75" customHeight="1" s="117">
      <c r="S3510" s="24" t="n"/>
      <c r="T3510" s="24" t="n"/>
    </row>
    <row r="3511" ht="12.75" customHeight="1" s="117">
      <c r="S3511" s="24" t="n"/>
      <c r="T3511" s="24" t="n"/>
    </row>
    <row r="3512" ht="12.75" customHeight="1" s="117">
      <c r="S3512" s="24" t="n"/>
      <c r="T3512" s="24" t="n"/>
    </row>
    <row r="3513" ht="12.75" customHeight="1" s="117">
      <c r="S3513" s="24" t="n"/>
      <c r="T3513" s="24" t="n"/>
    </row>
    <row r="3514" ht="12.75" customHeight="1" s="117">
      <c r="S3514" s="24" t="n"/>
      <c r="T3514" s="24" t="n"/>
    </row>
    <row r="3515" ht="12.75" customHeight="1" s="117">
      <c r="S3515" s="24" t="n"/>
      <c r="T3515" s="24" t="n"/>
    </row>
    <row r="3516" ht="12.75" customHeight="1" s="117">
      <c r="S3516" s="24" t="n"/>
      <c r="T3516" s="24" t="n"/>
    </row>
    <row r="3517" ht="12.75" customHeight="1" s="117">
      <c r="S3517" s="24" t="n"/>
      <c r="T3517" s="24" t="n"/>
    </row>
    <row r="3518" ht="12.75" customHeight="1" s="117">
      <c r="S3518" s="24" t="n"/>
      <c r="T3518" s="24" t="n"/>
    </row>
    <row r="3519" ht="12.75" customHeight="1" s="117">
      <c r="S3519" s="24" t="n"/>
      <c r="T3519" s="24" t="n"/>
    </row>
    <row r="3520" ht="12.75" customHeight="1" s="117">
      <c r="S3520" s="24" t="n"/>
      <c r="T3520" s="24" t="n"/>
    </row>
    <row r="3521" ht="12.75" customHeight="1" s="117">
      <c r="S3521" s="24" t="n"/>
      <c r="T3521" s="24" t="n"/>
    </row>
    <row r="3522" ht="12.75" customHeight="1" s="117">
      <c r="S3522" s="24" t="n"/>
      <c r="T3522" s="24" t="n"/>
    </row>
    <row r="3523" ht="12.75" customHeight="1" s="117">
      <c r="S3523" s="24" t="n"/>
      <c r="T3523" s="24" t="n"/>
    </row>
    <row r="3524" ht="12.75" customHeight="1" s="117">
      <c r="S3524" s="24" t="n"/>
      <c r="T3524" s="24" t="n"/>
    </row>
    <row r="3525" ht="12.75" customHeight="1" s="117">
      <c r="S3525" s="24" t="n"/>
      <c r="T3525" s="24" t="n"/>
    </row>
    <row r="3526" ht="12.75" customHeight="1" s="117">
      <c r="S3526" s="24" t="n"/>
      <c r="T3526" s="24" t="n"/>
    </row>
    <row r="3527" ht="12.75" customHeight="1" s="117">
      <c r="S3527" s="24" t="n"/>
      <c r="T3527" s="24" t="n"/>
    </row>
    <row r="3528" ht="12.75" customHeight="1" s="117">
      <c r="S3528" s="24" t="n"/>
      <c r="T3528" s="24" t="n"/>
    </row>
    <row r="3529" ht="12.75" customHeight="1" s="117">
      <c r="S3529" s="24" t="n"/>
      <c r="T3529" s="24" t="n"/>
    </row>
    <row r="3530" ht="12.75" customHeight="1" s="117">
      <c r="S3530" s="24" t="n"/>
      <c r="T3530" s="24" t="n"/>
    </row>
    <row r="3531" ht="12.75" customHeight="1" s="117">
      <c r="S3531" s="24" t="n"/>
      <c r="T3531" s="24" t="n"/>
    </row>
    <row r="3532" ht="12.75" customHeight="1" s="117">
      <c r="S3532" s="24" t="n"/>
      <c r="T3532" s="24" t="n"/>
    </row>
    <row r="3533" ht="12.75" customHeight="1" s="117">
      <c r="S3533" s="24" t="n"/>
      <c r="T3533" s="24" t="n"/>
    </row>
    <row r="3534" ht="12.75" customHeight="1" s="117">
      <c r="S3534" s="24" t="n"/>
      <c r="T3534" s="24" t="n"/>
    </row>
    <row r="3535" ht="12.75" customHeight="1" s="117">
      <c r="S3535" s="24" t="n"/>
      <c r="T3535" s="24" t="n"/>
    </row>
    <row r="3536" ht="12.75" customHeight="1" s="117">
      <c r="S3536" s="24" t="n"/>
      <c r="T3536" s="24" t="n"/>
    </row>
    <row r="3537" ht="12.75" customHeight="1" s="117">
      <c r="S3537" s="24" t="n"/>
      <c r="T3537" s="24" t="n"/>
    </row>
    <row r="3538" ht="12.75" customHeight="1" s="117">
      <c r="S3538" s="24" t="n"/>
      <c r="T3538" s="24" t="n"/>
    </row>
    <row r="3539" ht="12.75" customHeight="1" s="117">
      <c r="S3539" s="24" t="n"/>
      <c r="T3539" s="24" t="n"/>
    </row>
    <row r="3540" ht="12.75" customHeight="1" s="117">
      <c r="S3540" s="24" t="n"/>
      <c r="T3540" s="24" t="n"/>
    </row>
    <row r="3541" ht="12.75" customHeight="1" s="117">
      <c r="S3541" s="24" t="n"/>
      <c r="T3541" s="24" t="n"/>
    </row>
    <row r="3542" ht="12.75" customHeight="1" s="117">
      <c r="S3542" s="24" t="n"/>
      <c r="T3542" s="24" t="n"/>
    </row>
    <row r="3543" ht="12.75" customHeight="1" s="117">
      <c r="S3543" s="24" t="n"/>
      <c r="T3543" s="24" t="n"/>
    </row>
    <row r="3544" ht="12.75" customHeight="1" s="117">
      <c r="S3544" s="24" t="n"/>
      <c r="T3544" s="24" t="n"/>
    </row>
    <row r="3545" ht="12.75" customHeight="1" s="117">
      <c r="S3545" s="24" t="n"/>
      <c r="T3545" s="24" t="n"/>
    </row>
    <row r="3546" ht="12.75" customHeight="1" s="117">
      <c r="S3546" s="24" t="n"/>
      <c r="T3546" s="24" t="n"/>
    </row>
    <row r="3547" ht="12.75" customHeight="1" s="117">
      <c r="S3547" s="24" t="n"/>
      <c r="T3547" s="24" t="n"/>
    </row>
    <row r="3548" ht="12.75" customHeight="1" s="117">
      <c r="S3548" s="24" t="n"/>
      <c r="T3548" s="24" t="n"/>
    </row>
    <row r="3549" ht="12.75" customHeight="1" s="117">
      <c r="S3549" s="24" t="n"/>
      <c r="T3549" s="24" t="n"/>
    </row>
    <row r="3550" ht="12.75" customHeight="1" s="117">
      <c r="S3550" s="24" t="n"/>
      <c r="T3550" s="24" t="n"/>
    </row>
    <row r="3551" ht="12.75" customHeight="1" s="117">
      <c r="S3551" s="24" t="n"/>
      <c r="T3551" s="24" t="n"/>
    </row>
    <row r="3552" ht="12.75" customHeight="1" s="117">
      <c r="S3552" s="24" t="n"/>
      <c r="T3552" s="24" t="n"/>
    </row>
    <row r="3553" ht="12.75" customHeight="1" s="117">
      <c r="S3553" s="24" t="n"/>
      <c r="T3553" s="24" t="n"/>
    </row>
    <row r="3554" ht="12.75" customHeight="1" s="117">
      <c r="S3554" s="24" t="n"/>
      <c r="T3554" s="24" t="n"/>
    </row>
    <row r="3555" ht="12.75" customHeight="1" s="117">
      <c r="S3555" s="24" t="n"/>
      <c r="T3555" s="24" t="n"/>
    </row>
    <row r="3556" ht="12.75" customHeight="1" s="117">
      <c r="S3556" s="24" t="n"/>
      <c r="T3556" s="24" t="n"/>
    </row>
    <row r="3557" ht="12.75" customHeight="1" s="117">
      <c r="S3557" s="24" t="n"/>
      <c r="T3557" s="24" t="n"/>
    </row>
    <row r="3558" ht="12.75" customHeight="1" s="117">
      <c r="S3558" s="24" t="n"/>
      <c r="T3558" s="24" t="n"/>
    </row>
    <row r="3559" ht="12.75" customHeight="1" s="117">
      <c r="S3559" s="24" t="n"/>
      <c r="T3559" s="24" t="n"/>
    </row>
    <row r="3560" ht="12.75" customHeight="1" s="117">
      <c r="S3560" s="24" t="n"/>
      <c r="T3560" s="24" t="n"/>
    </row>
    <row r="3561" ht="12.75" customHeight="1" s="117">
      <c r="S3561" s="24" t="n"/>
      <c r="T3561" s="24" t="n"/>
    </row>
    <row r="3562" ht="12.75" customHeight="1" s="117">
      <c r="S3562" s="24" t="n"/>
      <c r="T3562" s="24" t="n"/>
    </row>
    <row r="3563" ht="12.75" customHeight="1" s="117">
      <c r="S3563" s="24" t="n"/>
      <c r="T3563" s="24" t="n"/>
    </row>
    <row r="3564" ht="12.75" customHeight="1" s="117">
      <c r="S3564" s="24" t="n"/>
      <c r="T3564" s="24" t="n"/>
    </row>
    <row r="3565" ht="12.75" customHeight="1" s="117">
      <c r="S3565" s="24" t="n"/>
      <c r="T3565" s="24" t="n"/>
    </row>
    <row r="3566" ht="12.75" customHeight="1" s="117">
      <c r="S3566" s="24" t="n"/>
      <c r="T3566" s="24" t="n"/>
    </row>
    <row r="3567" ht="12.75" customHeight="1" s="117">
      <c r="S3567" s="24" t="n"/>
      <c r="T3567" s="24" t="n"/>
    </row>
    <row r="3568" ht="12.75" customHeight="1" s="117">
      <c r="S3568" s="24" t="n"/>
      <c r="T3568" s="24" t="n"/>
    </row>
    <row r="3569" ht="12.75" customHeight="1" s="117">
      <c r="S3569" s="24" t="n"/>
      <c r="T3569" s="24" t="n"/>
    </row>
    <row r="3570" ht="12.75" customHeight="1" s="117">
      <c r="S3570" s="24" t="n"/>
      <c r="T3570" s="24" t="n"/>
    </row>
    <row r="3571" ht="12.75" customHeight="1" s="117">
      <c r="S3571" s="24" t="n"/>
      <c r="T3571" s="24" t="n"/>
    </row>
    <row r="3572" ht="12.75" customHeight="1" s="117">
      <c r="S3572" s="24" t="n"/>
      <c r="T3572" s="24" t="n"/>
    </row>
    <row r="3573" ht="12.75" customHeight="1" s="117">
      <c r="S3573" s="24" t="n"/>
      <c r="T3573" s="24" t="n"/>
    </row>
    <row r="3574" ht="12.75" customHeight="1" s="117">
      <c r="S3574" s="24" t="n"/>
      <c r="T3574" s="24" t="n"/>
    </row>
    <row r="3575" ht="12.75" customHeight="1" s="117">
      <c r="S3575" s="24" t="n"/>
      <c r="T3575" s="24" t="n"/>
    </row>
    <row r="3576" ht="12.75" customHeight="1" s="117">
      <c r="S3576" s="24" t="n"/>
      <c r="T3576" s="24" t="n"/>
    </row>
    <row r="3577" ht="12.75" customHeight="1" s="117">
      <c r="S3577" s="24" t="n"/>
      <c r="T3577" s="24" t="n"/>
    </row>
    <row r="3578" ht="12.75" customHeight="1" s="117">
      <c r="S3578" s="24" t="n"/>
      <c r="T3578" s="24" t="n"/>
    </row>
    <row r="3579" ht="12.75" customHeight="1" s="117">
      <c r="S3579" s="24" t="n"/>
      <c r="T3579" s="24" t="n"/>
    </row>
    <row r="3580" ht="12.75" customHeight="1" s="117">
      <c r="S3580" s="24" t="n"/>
      <c r="T3580" s="24" t="n"/>
    </row>
    <row r="3581" ht="12.75" customHeight="1" s="117">
      <c r="S3581" s="24" t="n"/>
      <c r="T3581" s="24" t="n"/>
    </row>
    <row r="3582" ht="12.75" customHeight="1" s="117">
      <c r="S3582" s="24" t="n"/>
      <c r="T3582" s="24" t="n"/>
    </row>
    <row r="3583" ht="12.75" customHeight="1" s="117">
      <c r="S3583" s="24" t="n"/>
      <c r="T3583" s="24" t="n"/>
    </row>
    <row r="3584" ht="12.75" customHeight="1" s="117">
      <c r="S3584" s="24" t="n"/>
      <c r="T3584" s="24" t="n"/>
    </row>
    <row r="3585" ht="12.75" customHeight="1" s="117">
      <c r="S3585" s="24" t="n"/>
      <c r="T3585" s="24" t="n"/>
    </row>
    <row r="3586" ht="12.75" customHeight="1" s="117">
      <c r="S3586" s="24" t="n"/>
      <c r="T3586" s="24" t="n"/>
    </row>
    <row r="3587" ht="12.75" customHeight="1" s="117">
      <c r="S3587" s="24" t="n"/>
      <c r="T3587" s="24" t="n"/>
    </row>
    <row r="3588" ht="12.75" customHeight="1" s="117">
      <c r="S3588" s="24" t="n"/>
      <c r="T3588" s="24" t="n"/>
    </row>
    <row r="3589" ht="12.75" customHeight="1" s="117">
      <c r="S3589" s="24" t="n"/>
      <c r="T3589" s="24" t="n"/>
    </row>
    <row r="3590" ht="12.75" customHeight="1" s="117">
      <c r="S3590" s="24" t="n"/>
      <c r="T3590" s="24" t="n"/>
    </row>
    <row r="3591" ht="12.75" customHeight="1" s="117">
      <c r="S3591" s="24" t="n"/>
      <c r="T3591" s="24" t="n"/>
    </row>
    <row r="3592" ht="12.75" customHeight="1" s="117">
      <c r="S3592" s="24" t="n"/>
      <c r="T3592" s="24" t="n"/>
    </row>
    <row r="3593" ht="12.75" customHeight="1" s="117">
      <c r="S3593" s="24" t="n"/>
      <c r="T3593" s="24" t="n"/>
    </row>
    <row r="3594" ht="12.75" customHeight="1" s="117">
      <c r="S3594" s="24" t="n"/>
      <c r="T3594" s="24" t="n"/>
    </row>
    <row r="3595" ht="12.75" customHeight="1" s="117">
      <c r="S3595" s="24" t="n"/>
      <c r="T3595" s="24" t="n"/>
    </row>
    <row r="3596" ht="12.75" customHeight="1" s="117">
      <c r="S3596" s="24" t="n"/>
      <c r="T3596" s="24" t="n"/>
    </row>
    <row r="3597" ht="12.75" customHeight="1" s="117">
      <c r="S3597" s="24" t="n"/>
      <c r="T3597" s="24" t="n"/>
    </row>
    <row r="3598" ht="12.75" customHeight="1" s="117">
      <c r="S3598" s="24" t="n"/>
      <c r="T3598" s="24" t="n"/>
    </row>
    <row r="3599" ht="12.75" customHeight="1" s="117">
      <c r="S3599" s="24" t="n"/>
      <c r="T3599" s="24" t="n"/>
    </row>
    <row r="3600" ht="12.75" customHeight="1" s="117">
      <c r="S3600" s="24" t="n"/>
      <c r="T3600" s="24" t="n"/>
    </row>
    <row r="3601" ht="12.75" customHeight="1" s="117">
      <c r="S3601" s="24" t="n"/>
      <c r="T3601" s="24" t="n"/>
    </row>
    <row r="3602" ht="12.75" customHeight="1" s="117">
      <c r="S3602" s="24" t="n"/>
      <c r="T3602" s="24" t="n"/>
    </row>
    <row r="3603" ht="12.75" customHeight="1" s="117">
      <c r="S3603" s="24" t="n"/>
      <c r="T3603" s="24" t="n"/>
    </row>
    <row r="3604" ht="12.75" customHeight="1" s="117">
      <c r="S3604" s="24" t="n"/>
      <c r="T3604" s="24" t="n"/>
    </row>
    <row r="3605" ht="12.75" customHeight="1" s="117">
      <c r="S3605" s="24" t="n"/>
      <c r="T3605" s="24" t="n"/>
    </row>
    <row r="3606" ht="12.75" customHeight="1" s="117">
      <c r="S3606" s="24" t="n"/>
      <c r="T3606" s="24" t="n"/>
    </row>
    <row r="3607" ht="12.75" customHeight="1" s="117">
      <c r="S3607" s="24" t="n"/>
      <c r="T3607" s="24" t="n"/>
    </row>
    <row r="3608" ht="12.75" customHeight="1" s="117">
      <c r="S3608" s="24" t="n"/>
      <c r="T3608" s="24" t="n"/>
    </row>
    <row r="3609" ht="12.75" customHeight="1" s="117">
      <c r="S3609" s="24" t="n"/>
      <c r="T3609" s="24" t="n"/>
    </row>
    <row r="3610" ht="12.75" customHeight="1" s="117">
      <c r="S3610" s="24" t="n"/>
      <c r="T3610" s="24" t="n"/>
    </row>
    <row r="3611" ht="12.75" customHeight="1" s="117">
      <c r="S3611" s="24" t="n"/>
      <c r="T3611" s="24" t="n"/>
    </row>
    <row r="3612" ht="12.75" customHeight="1" s="117">
      <c r="S3612" s="24" t="n"/>
      <c r="T3612" s="24" t="n"/>
    </row>
    <row r="3613" ht="12.75" customHeight="1" s="117">
      <c r="S3613" s="24" t="n"/>
      <c r="T3613" s="24" t="n"/>
    </row>
    <row r="3614" ht="12.75" customHeight="1" s="117">
      <c r="S3614" s="24" t="n"/>
      <c r="T3614" s="24" t="n"/>
    </row>
    <row r="3615" ht="12.75" customHeight="1" s="117">
      <c r="S3615" s="24" t="n"/>
      <c r="T3615" s="24" t="n"/>
    </row>
    <row r="3616" ht="12.75" customHeight="1" s="117">
      <c r="S3616" s="24" t="n"/>
      <c r="T3616" s="24" t="n"/>
    </row>
    <row r="3617" ht="12.75" customHeight="1" s="117">
      <c r="S3617" s="24" t="n"/>
      <c r="T3617" s="24" t="n"/>
    </row>
    <row r="3618" ht="12.75" customHeight="1" s="117">
      <c r="S3618" s="24" t="n"/>
      <c r="T3618" s="24" t="n"/>
    </row>
    <row r="3619" ht="12.75" customHeight="1" s="117">
      <c r="S3619" s="24" t="n"/>
      <c r="T3619" s="24" t="n"/>
    </row>
    <row r="3620" ht="12.75" customHeight="1" s="117">
      <c r="S3620" s="24" t="n"/>
      <c r="T3620" s="24" t="n"/>
    </row>
    <row r="3621" ht="12.75" customHeight="1" s="117">
      <c r="S3621" s="24" t="n"/>
      <c r="T3621" s="24" t="n"/>
    </row>
    <row r="3622" ht="12.75" customHeight="1" s="117">
      <c r="S3622" s="24" t="n"/>
      <c r="T3622" s="24" t="n"/>
    </row>
    <row r="3623" ht="12.75" customHeight="1" s="117">
      <c r="S3623" s="24" t="n"/>
      <c r="T3623" s="24" t="n"/>
    </row>
    <row r="3624" ht="12.75" customHeight="1" s="117">
      <c r="S3624" s="24" t="n"/>
      <c r="T3624" s="24" t="n"/>
    </row>
    <row r="3625" ht="12.75" customHeight="1" s="117">
      <c r="S3625" s="24" t="n"/>
      <c r="T3625" s="24" t="n"/>
    </row>
    <row r="3626" ht="12.75" customHeight="1" s="117">
      <c r="S3626" s="24" t="n"/>
      <c r="T3626" s="24" t="n"/>
    </row>
    <row r="3627" ht="12.75" customHeight="1" s="117">
      <c r="S3627" s="24" t="n"/>
      <c r="T3627" s="24" t="n"/>
    </row>
    <row r="3628" ht="12.75" customHeight="1" s="117">
      <c r="S3628" s="24" t="n"/>
      <c r="T3628" s="24" t="n"/>
    </row>
    <row r="3629" ht="12.75" customHeight="1" s="117">
      <c r="S3629" s="24" t="n"/>
      <c r="T3629" s="24" t="n"/>
    </row>
    <row r="3630" ht="12.75" customHeight="1" s="117">
      <c r="S3630" s="24" t="n"/>
      <c r="T3630" s="24" t="n"/>
    </row>
    <row r="3631" ht="12.75" customHeight="1" s="117">
      <c r="S3631" s="24" t="n"/>
      <c r="T3631" s="24" t="n"/>
    </row>
    <row r="3632" ht="12.75" customHeight="1" s="117">
      <c r="S3632" s="24" t="n"/>
      <c r="T3632" s="24" t="n"/>
    </row>
    <row r="3633" ht="12.75" customHeight="1" s="117">
      <c r="S3633" s="24" t="n"/>
      <c r="T3633" s="24" t="n"/>
    </row>
    <row r="3634" ht="12.75" customHeight="1" s="117">
      <c r="S3634" s="24" t="n"/>
      <c r="T3634" s="24" t="n"/>
    </row>
    <row r="3635" ht="12.75" customHeight="1" s="117">
      <c r="S3635" s="24" t="n"/>
      <c r="T3635" s="24" t="n"/>
    </row>
    <row r="3636" ht="12.75" customHeight="1" s="117">
      <c r="S3636" s="24" t="n"/>
      <c r="T3636" s="24" t="n"/>
    </row>
    <row r="3637" ht="12.75" customHeight="1" s="117">
      <c r="S3637" s="24" t="n"/>
      <c r="T3637" s="24" t="n"/>
    </row>
    <row r="3638" ht="12.75" customHeight="1" s="117">
      <c r="S3638" s="24" t="n"/>
      <c r="T3638" s="24" t="n"/>
    </row>
    <row r="3639" ht="12.75" customHeight="1" s="117">
      <c r="S3639" s="24" t="n"/>
      <c r="T3639" s="24" t="n"/>
    </row>
    <row r="3640" ht="12.75" customHeight="1" s="117">
      <c r="S3640" s="24" t="n"/>
      <c r="T3640" s="24" t="n"/>
    </row>
    <row r="3641" ht="12.75" customHeight="1" s="117">
      <c r="S3641" s="24" t="n"/>
      <c r="T3641" s="24" t="n"/>
    </row>
    <row r="3642" ht="12.75" customHeight="1" s="117">
      <c r="S3642" s="24" t="n"/>
      <c r="T3642" s="24" t="n"/>
    </row>
    <row r="3643" ht="12.75" customHeight="1" s="117">
      <c r="S3643" s="24" t="n"/>
      <c r="T3643" s="24" t="n"/>
    </row>
    <row r="3644" ht="12.75" customHeight="1" s="117">
      <c r="S3644" s="24" t="n"/>
      <c r="T3644" s="24" t="n"/>
    </row>
    <row r="3645" ht="12.75" customHeight="1" s="117">
      <c r="S3645" s="24" t="n"/>
      <c r="T3645" s="24" t="n"/>
    </row>
    <row r="3646" ht="12.75" customHeight="1" s="117">
      <c r="S3646" s="24" t="n"/>
      <c r="T3646" s="24" t="n"/>
    </row>
    <row r="3647" ht="12.75" customHeight="1" s="117">
      <c r="S3647" s="24" t="n"/>
      <c r="T3647" s="24" t="n"/>
    </row>
    <row r="3648" ht="12.75" customHeight="1" s="117">
      <c r="S3648" s="24" t="n"/>
      <c r="T3648" s="24" t="n"/>
    </row>
    <row r="3649" ht="12.75" customHeight="1" s="117">
      <c r="S3649" s="24" t="n"/>
      <c r="T3649" s="24" t="n"/>
    </row>
    <row r="3650" ht="12.75" customHeight="1" s="117">
      <c r="S3650" s="24" t="n"/>
      <c r="T3650" s="24" t="n"/>
    </row>
    <row r="3651" ht="12.75" customHeight="1" s="117">
      <c r="S3651" s="24" t="n"/>
      <c r="T3651" s="24" t="n"/>
    </row>
    <row r="3652" ht="12.75" customHeight="1" s="117">
      <c r="S3652" s="24" t="n"/>
      <c r="T3652" s="24" t="n"/>
    </row>
    <row r="3653" ht="12.75" customHeight="1" s="117">
      <c r="S3653" s="24" t="n"/>
      <c r="T3653" s="24" t="n"/>
    </row>
    <row r="3654" ht="12.75" customHeight="1" s="117">
      <c r="S3654" s="24" t="n"/>
      <c r="T3654" s="24" t="n"/>
    </row>
    <row r="3655" ht="12.75" customHeight="1" s="117">
      <c r="S3655" s="24" t="n"/>
      <c r="T3655" s="24" t="n"/>
    </row>
    <row r="3656" ht="12.75" customHeight="1" s="117">
      <c r="S3656" s="24" t="n"/>
      <c r="T3656" s="24" t="n"/>
    </row>
    <row r="3657" ht="12.75" customHeight="1" s="117">
      <c r="S3657" s="24" t="n"/>
      <c r="T3657" s="24" t="n"/>
    </row>
    <row r="3658" ht="12.75" customHeight="1" s="117">
      <c r="S3658" s="24" t="n"/>
      <c r="T3658" s="24" t="n"/>
    </row>
    <row r="3659" ht="12.75" customHeight="1" s="117">
      <c r="S3659" s="24" t="n"/>
      <c r="T3659" s="24" t="n"/>
    </row>
    <row r="3660" ht="12.75" customHeight="1" s="117">
      <c r="S3660" s="24" t="n"/>
      <c r="T3660" s="24" t="n"/>
    </row>
    <row r="3661" ht="12.75" customHeight="1" s="117">
      <c r="S3661" s="24" t="n"/>
      <c r="T3661" s="24" t="n"/>
    </row>
    <row r="3662" ht="12.75" customHeight="1" s="117">
      <c r="S3662" s="24" t="n"/>
      <c r="T3662" s="24" t="n"/>
    </row>
    <row r="3663" ht="12.75" customHeight="1" s="117">
      <c r="S3663" s="24" t="n"/>
      <c r="T3663" s="24" t="n"/>
    </row>
    <row r="3664" ht="12.75" customHeight="1" s="117">
      <c r="S3664" s="24" t="n"/>
      <c r="T3664" s="24" t="n"/>
    </row>
    <row r="3665" ht="12.75" customHeight="1" s="117">
      <c r="S3665" s="24" t="n"/>
      <c r="T3665" s="24" t="n"/>
    </row>
    <row r="3666" ht="12.75" customHeight="1" s="117">
      <c r="S3666" s="24" t="n"/>
      <c r="T3666" s="24" t="n"/>
    </row>
    <row r="3667" ht="12.75" customHeight="1" s="117">
      <c r="S3667" s="24" t="n"/>
      <c r="T3667" s="24" t="n"/>
    </row>
    <row r="3668" ht="12.75" customHeight="1" s="117">
      <c r="S3668" s="24" t="n"/>
      <c r="T3668" s="24" t="n"/>
    </row>
    <row r="3669" ht="12.75" customHeight="1" s="117">
      <c r="S3669" s="24" t="n"/>
      <c r="T3669" s="24" t="n"/>
    </row>
    <row r="3670" ht="12.75" customHeight="1" s="117">
      <c r="S3670" s="24" t="n"/>
      <c r="T3670" s="24" t="n"/>
    </row>
    <row r="3671" ht="12.75" customHeight="1" s="117">
      <c r="S3671" s="24" t="n"/>
      <c r="T3671" s="24" t="n"/>
    </row>
    <row r="3672" ht="12.75" customHeight="1" s="117">
      <c r="S3672" s="24" t="n"/>
      <c r="T3672" s="24" t="n"/>
    </row>
    <row r="3673" ht="12.75" customHeight="1" s="117">
      <c r="S3673" s="24" t="n"/>
      <c r="T3673" s="24" t="n"/>
    </row>
    <row r="3674" ht="12.75" customHeight="1" s="117">
      <c r="S3674" s="24" t="n"/>
      <c r="T3674" s="24" t="n"/>
    </row>
    <row r="3675" ht="12.75" customHeight="1" s="117">
      <c r="S3675" s="24" t="n"/>
      <c r="T3675" s="24" t="n"/>
    </row>
    <row r="3676" ht="12.75" customHeight="1" s="117">
      <c r="S3676" s="24" t="n"/>
      <c r="T3676" s="24" t="n"/>
    </row>
    <row r="3677" ht="12.75" customHeight="1" s="117">
      <c r="S3677" s="24" t="n"/>
      <c r="T3677" s="24" t="n"/>
    </row>
    <row r="3678" ht="12.75" customHeight="1" s="117">
      <c r="S3678" s="24" t="n"/>
      <c r="T3678" s="24" t="n"/>
    </row>
    <row r="3679" ht="12.75" customHeight="1" s="117">
      <c r="S3679" s="24" t="n"/>
      <c r="T3679" s="24" t="n"/>
    </row>
    <row r="3680" ht="12.75" customHeight="1" s="117">
      <c r="S3680" s="24" t="n"/>
      <c r="T3680" s="24" t="n"/>
    </row>
    <row r="3681" ht="12.75" customHeight="1" s="117">
      <c r="S3681" s="24" t="n"/>
      <c r="T3681" s="24" t="n"/>
    </row>
    <row r="3682" ht="12.75" customHeight="1" s="117">
      <c r="S3682" s="24" t="n"/>
      <c r="T3682" s="24" t="n"/>
    </row>
    <row r="3683" ht="12.75" customHeight="1" s="117">
      <c r="S3683" s="24" t="n"/>
      <c r="T3683" s="24" t="n"/>
    </row>
    <row r="3684" ht="12.75" customHeight="1" s="117">
      <c r="S3684" s="24" t="n"/>
      <c r="T3684" s="24" t="n"/>
    </row>
    <row r="3685" ht="12.75" customHeight="1" s="117">
      <c r="S3685" s="24" t="n"/>
      <c r="T3685" s="24" t="n"/>
    </row>
    <row r="3686" ht="12.75" customHeight="1" s="117">
      <c r="S3686" s="24" t="n"/>
      <c r="T3686" s="24" t="n"/>
    </row>
    <row r="3687" ht="12.75" customHeight="1" s="117">
      <c r="S3687" s="24" t="n"/>
      <c r="T3687" s="24" t="n"/>
    </row>
    <row r="3688" ht="12.75" customHeight="1" s="117">
      <c r="S3688" s="24" t="n"/>
      <c r="T3688" s="24" t="n"/>
    </row>
    <row r="3689" ht="12.75" customHeight="1" s="117">
      <c r="S3689" s="24" t="n"/>
      <c r="T3689" s="24" t="n"/>
    </row>
    <row r="3690" ht="12.75" customHeight="1" s="117">
      <c r="S3690" s="24" t="n"/>
      <c r="T3690" s="24" t="n"/>
    </row>
    <row r="3691" ht="12.75" customHeight="1" s="117">
      <c r="S3691" s="24" t="n"/>
      <c r="T3691" s="24" t="n"/>
    </row>
    <row r="3692" ht="12.75" customHeight="1" s="117">
      <c r="S3692" s="24" t="n"/>
      <c r="T3692" s="24" t="n"/>
    </row>
    <row r="3693" ht="12.75" customHeight="1" s="117">
      <c r="S3693" s="24" t="n"/>
      <c r="T3693" s="24" t="n"/>
    </row>
    <row r="3694" ht="12.75" customHeight="1" s="117">
      <c r="S3694" s="24" t="n"/>
      <c r="T3694" s="24" t="n"/>
    </row>
    <row r="3695" ht="12.75" customHeight="1" s="117">
      <c r="S3695" s="24" t="n"/>
      <c r="T3695" s="24" t="n"/>
    </row>
    <row r="3696" ht="12.75" customHeight="1" s="117">
      <c r="S3696" s="24" t="n"/>
      <c r="T3696" s="24" t="n"/>
    </row>
    <row r="3697" ht="12.75" customHeight="1" s="117">
      <c r="S3697" s="24" t="n"/>
      <c r="T3697" s="24" t="n"/>
    </row>
    <row r="3698" ht="12.75" customHeight="1" s="117">
      <c r="S3698" s="24" t="n"/>
      <c r="T3698" s="24" t="n"/>
    </row>
    <row r="3699" ht="12.75" customHeight="1" s="117">
      <c r="S3699" s="24" t="n"/>
      <c r="T3699" s="24" t="n"/>
    </row>
    <row r="3700" ht="12.75" customHeight="1" s="117">
      <c r="S3700" s="24" t="n"/>
      <c r="T3700" s="24" t="n"/>
    </row>
    <row r="3701" ht="12.75" customHeight="1" s="117">
      <c r="S3701" s="24" t="n"/>
      <c r="T3701" s="24" t="n"/>
    </row>
    <row r="3702" ht="12.75" customHeight="1" s="117">
      <c r="S3702" s="24" t="n"/>
      <c r="T3702" s="24" t="n"/>
    </row>
    <row r="3703" ht="12.75" customHeight="1" s="117">
      <c r="S3703" s="24" t="n"/>
      <c r="T3703" s="24" t="n"/>
    </row>
    <row r="3704" ht="12.75" customHeight="1" s="117">
      <c r="S3704" s="24" t="n"/>
      <c r="T3704" s="24" t="n"/>
    </row>
    <row r="3705" ht="12.75" customHeight="1" s="117">
      <c r="S3705" s="24" t="n"/>
      <c r="T3705" s="24" t="n"/>
    </row>
    <row r="3706" ht="12.75" customHeight="1" s="117">
      <c r="S3706" s="24" t="n"/>
      <c r="T3706" s="24" t="n"/>
    </row>
    <row r="3707" ht="12.75" customHeight="1" s="117">
      <c r="S3707" s="24" t="n"/>
      <c r="T3707" s="24" t="n"/>
    </row>
    <row r="3708" ht="12.75" customHeight="1" s="117">
      <c r="S3708" s="24" t="n"/>
      <c r="T3708" s="24" t="n"/>
    </row>
    <row r="3709" ht="12.75" customHeight="1" s="117">
      <c r="S3709" s="24" t="n"/>
      <c r="T3709" s="24" t="n"/>
    </row>
    <row r="3710" ht="12.75" customHeight="1" s="117">
      <c r="S3710" s="24" t="n"/>
      <c r="T3710" s="24" t="n"/>
    </row>
    <row r="3711" ht="12.75" customHeight="1" s="117">
      <c r="S3711" s="24" t="n"/>
      <c r="T3711" s="24" t="n"/>
    </row>
    <row r="3712" ht="12.75" customHeight="1" s="117">
      <c r="S3712" s="24" t="n"/>
      <c r="T3712" s="24" t="n"/>
    </row>
    <row r="3713" ht="12.75" customHeight="1" s="117">
      <c r="S3713" s="24" t="n"/>
      <c r="T3713" s="24" t="n"/>
    </row>
    <row r="3714" ht="12.75" customHeight="1" s="117">
      <c r="S3714" s="24" t="n"/>
      <c r="T3714" s="24" t="n"/>
    </row>
    <row r="3715" ht="12.75" customHeight="1" s="117">
      <c r="S3715" s="24" t="n"/>
      <c r="T3715" s="24" t="n"/>
    </row>
    <row r="3716" ht="12.75" customHeight="1" s="117">
      <c r="S3716" s="24" t="n"/>
      <c r="T3716" s="24" t="n"/>
    </row>
    <row r="3717" ht="12.75" customHeight="1" s="117">
      <c r="S3717" s="24" t="n"/>
      <c r="T3717" s="24" t="n"/>
    </row>
    <row r="3718" ht="12.75" customHeight="1" s="117">
      <c r="S3718" s="24" t="n"/>
      <c r="T3718" s="24" t="n"/>
    </row>
    <row r="3719" ht="12.75" customHeight="1" s="117">
      <c r="S3719" s="24" t="n"/>
      <c r="T3719" s="24" t="n"/>
    </row>
    <row r="3720" ht="12.75" customHeight="1" s="117">
      <c r="S3720" s="24" t="n"/>
      <c r="T3720" s="24" t="n"/>
    </row>
    <row r="3721" ht="12.75" customHeight="1" s="117">
      <c r="S3721" s="24" t="n"/>
      <c r="T3721" s="24" t="n"/>
    </row>
    <row r="3722" ht="12.75" customHeight="1" s="117">
      <c r="S3722" s="24" t="n"/>
      <c r="T3722" s="24" t="n"/>
    </row>
    <row r="3723" ht="12.75" customHeight="1" s="117">
      <c r="S3723" s="24" t="n"/>
      <c r="T3723" s="24" t="n"/>
    </row>
    <row r="3724" ht="12.75" customHeight="1" s="117">
      <c r="S3724" s="24" t="n"/>
      <c r="T3724" s="24" t="n"/>
    </row>
    <row r="3725" ht="12.75" customHeight="1" s="117">
      <c r="S3725" s="24" t="n"/>
      <c r="T3725" s="24" t="n"/>
    </row>
    <row r="3726" ht="12.75" customHeight="1" s="117">
      <c r="S3726" s="24" t="n"/>
      <c r="T3726" s="24" t="n"/>
    </row>
    <row r="3727" ht="12.75" customHeight="1" s="117">
      <c r="S3727" s="24" t="n"/>
      <c r="T3727" s="24" t="n"/>
    </row>
    <row r="3728" ht="12.75" customHeight="1" s="117">
      <c r="S3728" s="24" t="n"/>
      <c r="T3728" s="24" t="n"/>
    </row>
    <row r="3729" ht="12.75" customHeight="1" s="117">
      <c r="S3729" s="24" t="n"/>
      <c r="T3729" s="24" t="n"/>
    </row>
    <row r="3730" ht="12.75" customHeight="1" s="117">
      <c r="S3730" s="24" t="n"/>
      <c r="T3730" s="24" t="n"/>
    </row>
    <row r="3731" ht="12.75" customHeight="1" s="117">
      <c r="S3731" s="24" t="n"/>
      <c r="T3731" s="24" t="n"/>
    </row>
    <row r="3732" ht="12.75" customHeight="1" s="117">
      <c r="S3732" s="24" t="n"/>
      <c r="T3732" s="24" t="n"/>
    </row>
    <row r="3733" ht="12.75" customHeight="1" s="117">
      <c r="S3733" s="24" t="n"/>
      <c r="T3733" s="24" t="n"/>
    </row>
    <row r="3734" ht="12.75" customHeight="1" s="117">
      <c r="S3734" s="24" t="n"/>
      <c r="T3734" s="24" t="n"/>
    </row>
    <row r="3735" ht="12.75" customHeight="1" s="117">
      <c r="S3735" s="24" t="n"/>
      <c r="T3735" s="24" t="n"/>
    </row>
    <row r="3736" ht="12.75" customHeight="1" s="117">
      <c r="S3736" s="24" t="n"/>
      <c r="T3736" s="24" t="n"/>
    </row>
    <row r="3737" ht="12.75" customHeight="1" s="117">
      <c r="S3737" s="24" t="n"/>
      <c r="T3737" s="24" t="n"/>
    </row>
    <row r="3738" ht="12.75" customHeight="1" s="117">
      <c r="S3738" s="24" t="n"/>
      <c r="T3738" s="24" t="n"/>
    </row>
    <row r="3739" ht="12.75" customHeight="1" s="117">
      <c r="S3739" s="24" t="n"/>
      <c r="T3739" s="24" t="n"/>
    </row>
    <row r="3740" ht="12.75" customHeight="1" s="117">
      <c r="S3740" s="24" t="n"/>
      <c r="T3740" s="24" t="n"/>
    </row>
    <row r="3741" ht="12.75" customHeight="1" s="117">
      <c r="S3741" s="24" t="n"/>
      <c r="T3741" s="24" t="n"/>
    </row>
    <row r="3742" ht="12.75" customHeight="1" s="117">
      <c r="S3742" s="24" t="n"/>
      <c r="T3742" s="24" t="n"/>
    </row>
    <row r="3743" ht="12.75" customHeight="1" s="117">
      <c r="S3743" s="24" t="n"/>
      <c r="T3743" s="24" t="n"/>
    </row>
    <row r="3744" ht="12.75" customHeight="1" s="117">
      <c r="S3744" s="24" t="n"/>
      <c r="T3744" s="24" t="n"/>
    </row>
    <row r="3745" ht="12.75" customHeight="1" s="117">
      <c r="S3745" s="24" t="n"/>
      <c r="T3745" s="24" t="n"/>
    </row>
    <row r="3746" ht="12.75" customHeight="1" s="117">
      <c r="S3746" s="24" t="n"/>
      <c r="T3746" s="24" t="n"/>
    </row>
    <row r="3747" ht="12.75" customHeight="1" s="117">
      <c r="S3747" s="24" t="n"/>
      <c r="T3747" s="24" t="n"/>
    </row>
    <row r="3748" ht="12.75" customHeight="1" s="117">
      <c r="S3748" s="24" t="n"/>
      <c r="T3748" s="24" t="n"/>
    </row>
    <row r="3749" ht="12.75" customHeight="1" s="117">
      <c r="S3749" s="24" t="n"/>
      <c r="T3749" s="24" t="n"/>
    </row>
    <row r="3750" ht="12.75" customHeight="1" s="117">
      <c r="S3750" s="24" t="n"/>
      <c r="T3750" s="24" t="n"/>
    </row>
    <row r="3751" ht="12.75" customHeight="1" s="117">
      <c r="S3751" s="24" t="n"/>
      <c r="T3751" s="24" t="n"/>
    </row>
    <row r="3752" ht="12.75" customHeight="1" s="117">
      <c r="S3752" s="24" t="n"/>
      <c r="T3752" s="24" t="n"/>
    </row>
    <row r="3753" ht="12.75" customHeight="1" s="117">
      <c r="S3753" s="24" t="n"/>
      <c r="T3753" s="24" t="n"/>
    </row>
    <row r="3754" ht="12.75" customHeight="1" s="117">
      <c r="S3754" s="24" t="n"/>
      <c r="T3754" s="24" t="n"/>
    </row>
    <row r="3755" ht="12.75" customHeight="1" s="117">
      <c r="S3755" s="24" t="n"/>
      <c r="T3755" s="24" t="n"/>
    </row>
    <row r="3756" ht="12.75" customHeight="1" s="117">
      <c r="S3756" s="24" t="n"/>
      <c r="T3756" s="24" t="n"/>
    </row>
    <row r="3757" ht="12.75" customHeight="1" s="117">
      <c r="S3757" s="24" t="n"/>
      <c r="T3757" s="24" t="n"/>
    </row>
    <row r="3758" ht="12.75" customHeight="1" s="117">
      <c r="S3758" s="24" t="n"/>
      <c r="T3758" s="24" t="n"/>
    </row>
    <row r="3759" ht="12.75" customHeight="1" s="117">
      <c r="S3759" s="24" t="n"/>
      <c r="T3759" s="24" t="n"/>
    </row>
    <row r="3760" ht="12.75" customHeight="1" s="117">
      <c r="S3760" s="24" t="n"/>
      <c r="T3760" s="24" t="n"/>
    </row>
    <row r="3761" ht="12.75" customHeight="1" s="117">
      <c r="S3761" s="24" t="n"/>
      <c r="T3761" s="24" t="n"/>
    </row>
    <row r="3762" ht="12.75" customHeight="1" s="117">
      <c r="S3762" s="24" t="n"/>
      <c r="T3762" s="24" t="n"/>
    </row>
    <row r="3763" ht="12.75" customHeight="1" s="117">
      <c r="S3763" s="24" t="n"/>
      <c r="T3763" s="24" t="n"/>
    </row>
    <row r="3764" ht="12.75" customHeight="1" s="117">
      <c r="S3764" s="24" t="n"/>
      <c r="T3764" s="24" t="n"/>
    </row>
    <row r="3765" ht="12.75" customHeight="1" s="117">
      <c r="S3765" s="24" t="n"/>
      <c r="T3765" s="24" t="n"/>
    </row>
    <row r="3766" ht="12.75" customHeight="1" s="117">
      <c r="S3766" s="24" t="n"/>
      <c r="T3766" s="24" t="n"/>
    </row>
    <row r="3767" ht="12.75" customHeight="1" s="117">
      <c r="S3767" s="24" t="n"/>
      <c r="T3767" s="24" t="n"/>
    </row>
    <row r="3768" ht="12.75" customHeight="1" s="117">
      <c r="S3768" s="24" t="n"/>
      <c r="T3768" s="24" t="n"/>
    </row>
    <row r="3769" ht="12.75" customHeight="1" s="117">
      <c r="S3769" s="24" t="n"/>
      <c r="T3769" s="24" t="n"/>
    </row>
    <row r="3770" ht="12.75" customHeight="1" s="117">
      <c r="S3770" s="24" t="n"/>
      <c r="T3770" s="24" t="n"/>
    </row>
    <row r="3771" ht="12.75" customHeight="1" s="117">
      <c r="S3771" s="24" t="n"/>
      <c r="T3771" s="24" t="n"/>
    </row>
    <row r="3772" ht="12.75" customHeight="1" s="117">
      <c r="S3772" s="24" t="n"/>
      <c r="T3772" s="24" t="n"/>
    </row>
    <row r="3773" ht="12.75" customHeight="1" s="117">
      <c r="S3773" s="24" t="n"/>
      <c r="T3773" s="24" t="n"/>
    </row>
    <row r="3774" ht="12.75" customHeight="1" s="117">
      <c r="S3774" s="24" t="n"/>
      <c r="T3774" s="24" t="n"/>
    </row>
    <row r="3775" ht="12.75" customHeight="1" s="117">
      <c r="S3775" s="24" t="n"/>
      <c r="T3775" s="24" t="n"/>
    </row>
    <row r="3776" ht="12.75" customHeight="1" s="117">
      <c r="S3776" s="24" t="n"/>
      <c r="T3776" s="24" t="n"/>
    </row>
    <row r="3777" ht="12.75" customHeight="1" s="117">
      <c r="S3777" s="24" t="n"/>
      <c r="T3777" s="24" t="n"/>
    </row>
    <row r="3778" ht="12.75" customHeight="1" s="117">
      <c r="S3778" s="24" t="n"/>
      <c r="T3778" s="24" t="n"/>
    </row>
    <row r="3779" ht="12.75" customHeight="1" s="117">
      <c r="S3779" s="24" t="n"/>
      <c r="T3779" s="24" t="n"/>
    </row>
    <row r="3780" ht="12.75" customHeight="1" s="117">
      <c r="S3780" s="24" t="n"/>
      <c r="T3780" s="24" t="n"/>
    </row>
    <row r="3781" ht="12.75" customHeight="1" s="117">
      <c r="S3781" s="24" t="n"/>
      <c r="T3781" s="24" t="n"/>
    </row>
    <row r="3782" ht="12.75" customHeight="1" s="117">
      <c r="S3782" s="24" t="n"/>
      <c r="T3782" s="24" t="n"/>
    </row>
    <row r="3783" ht="12.75" customHeight="1" s="117">
      <c r="S3783" s="24" t="n"/>
      <c r="T3783" s="24" t="n"/>
    </row>
    <row r="3784" ht="12.75" customHeight="1" s="117">
      <c r="S3784" s="24" t="n"/>
      <c r="T3784" s="24" t="n"/>
    </row>
    <row r="3785" ht="12.75" customHeight="1" s="117">
      <c r="S3785" s="24" t="n"/>
      <c r="T3785" s="24" t="n"/>
    </row>
    <row r="3786" ht="12.75" customHeight="1" s="117">
      <c r="S3786" s="24" t="n"/>
      <c r="T3786" s="24" t="n"/>
    </row>
    <row r="3787" ht="12.75" customHeight="1" s="117">
      <c r="S3787" s="24" t="n"/>
      <c r="T3787" s="24" t="n"/>
    </row>
    <row r="3788" ht="12.75" customHeight="1" s="117">
      <c r="S3788" s="24" t="n"/>
      <c r="T3788" s="24" t="n"/>
    </row>
    <row r="3789" ht="12.75" customHeight="1" s="117">
      <c r="S3789" s="24" t="n"/>
      <c r="T3789" s="24" t="n"/>
    </row>
    <row r="3790" ht="12.75" customHeight="1" s="117">
      <c r="S3790" s="24" t="n"/>
      <c r="T3790" s="24" t="n"/>
    </row>
    <row r="3791" ht="12.75" customHeight="1" s="117">
      <c r="S3791" s="24" t="n"/>
      <c r="T3791" s="24" t="n"/>
    </row>
    <row r="3792" ht="12.75" customHeight="1" s="117">
      <c r="S3792" s="24" t="n"/>
      <c r="T3792" s="24" t="n"/>
    </row>
    <row r="3793" ht="12.75" customHeight="1" s="117">
      <c r="S3793" s="24" t="n"/>
      <c r="T3793" s="24" t="n"/>
    </row>
    <row r="3794" ht="12.75" customHeight="1" s="117">
      <c r="S3794" s="24" t="n"/>
      <c r="T3794" s="24" t="n"/>
    </row>
    <row r="3795" ht="12.75" customHeight="1" s="117">
      <c r="S3795" s="24" t="n"/>
      <c r="T3795" s="24" t="n"/>
    </row>
    <row r="3796" ht="12.75" customHeight="1" s="117">
      <c r="S3796" s="24" t="n"/>
      <c r="T3796" s="24" t="n"/>
    </row>
    <row r="3797" ht="12.75" customHeight="1" s="117">
      <c r="S3797" s="24" t="n"/>
      <c r="T3797" s="24" t="n"/>
    </row>
    <row r="3798" ht="12.75" customHeight="1" s="117">
      <c r="S3798" s="24" t="n"/>
      <c r="T3798" s="24" t="n"/>
    </row>
    <row r="3799" ht="12.75" customHeight="1" s="117">
      <c r="S3799" s="24" t="n"/>
      <c r="T3799" s="24" t="n"/>
    </row>
    <row r="3800" ht="12.75" customHeight="1" s="117">
      <c r="S3800" s="24" t="n"/>
      <c r="T3800" s="24" t="n"/>
    </row>
    <row r="3801" ht="12.75" customHeight="1" s="117">
      <c r="S3801" s="24" t="n"/>
      <c r="T3801" s="24" t="n"/>
    </row>
    <row r="3802" ht="12.75" customHeight="1" s="117">
      <c r="S3802" s="24" t="n"/>
      <c r="T3802" s="24" t="n"/>
    </row>
    <row r="3803" ht="12.75" customHeight="1" s="117">
      <c r="S3803" s="24" t="n"/>
      <c r="T3803" s="24" t="n"/>
    </row>
    <row r="3804" ht="12.75" customHeight="1" s="117">
      <c r="S3804" s="24" t="n"/>
      <c r="T3804" s="24" t="n"/>
    </row>
    <row r="3805" ht="12.75" customHeight="1" s="117">
      <c r="S3805" s="24" t="n"/>
      <c r="T3805" s="24" t="n"/>
    </row>
    <row r="3806" ht="12.75" customHeight="1" s="117">
      <c r="S3806" s="24" t="n"/>
      <c r="T3806" s="24" t="n"/>
    </row>
    <row r="3807" ht="12.75" customHeight="1" s="117">
      <c r="S3807" s="24" t="n"/>
      <c r="T3807" s="24" t="n"/>
    </row>
    <row r="3808" ht="12.75" customHeight="1" s="117">
      <c r="S3808" s="24" t="n"/>
      <c r="T3808" s="24" t="n"/>
    </row>
    <row r="3809" ht="12.75" customHeight="1" s="117">
      <c r="S3809" s="24" t="n"/>
      <c r="T3809" s="24" t="n"/>
    </row>
    <row r="3810" ht="12.75" customHeight="1" s="117">
      <c r="S3810" s="24" t="n"/>
      <c r="T3810" s="24" t="n"/>
    </row>
    <row r="3811" ht="12.75" customHeight="1" s="117">
      <c r="S3811" s="24" t="n"/>
      <c r="T3811" s="24" t="n"/>
    </row>
    <row r="3812" ht="12.75" customHeight="1" s="117">
      <c r="S3812" s="24" t="n"/>
      <c r="T3812" s="24" t="n"/>
    </row>
    <row r="3813" ht="12.75" customHeight="1" s="117">
      <c r="S3813" s="24" t="n"/>
      <c r="T3813" s="24" t="n"/>
    </row>
    <row r="3814" ht="12.75" customHeight="1" s="117">
      <c r="S3814" s="24" t="n"/>
      <c r="T3814" s="24" t="n"/>
    </row>
    <row r="3815" ht="12.75" customHeight="1" s="117">
      <c r="S3815" s="24" t="n"/>
      <c r="T3815" s="24" t="n"/>
    </row>
    <row r="3816" ht="12.75" customHeight="1" s="117">
      <c r="S3816" s="24" t="n"/>
      <c r="T3816" s="24" t="n"/>
    </row>
    <row r="3817" ht="12.75" customHeight="1" s="117">
      <c r="S3817" s="24" t="n"/>
      <c r="T3817" s="24" t="n"/>
    </row>
    <row r="3818" ht="12.75" customHeight="1" s="117">
      <c r="S3818" s="24" t="n"/>
      <c r="T3818" s="24" t="n"/>
    </row>
    <row r="3819" ht="12.75" customHeight="1" s="117">
      <c r="S3819" s="24" t="n"/>
      <c r="T3819" s="24" t="n"/>
    </row>
    <row r="3820" ht="12.75" customHeight="1" s="117">
      <c r="S3820" s="24" t="n"/>
      <c r="T3820" s="24" t="n"/>
    </row>
    <row r="3821" ht="12.75" customHeight="1" s="117">
      <c r="S3821" s="24" t="n"/>
      <c r="T3821" s="24" t="n"/>
    </row>
    <row r="3822" ht="12.75" customHeight="1" s="117">
      <c r="S3822" s="24" t="n"/>
      <c r="T3822" s="24" t="n"/>
    </row>
    <row r="3823" ht="12.75" customHeight="1" s="117">
      <c r="S3823" s="24" t="n"/>
      <c r="T3823" s="24" t="n"/>
    </row>
    <row r="3824" ht="12.75" customHeight="1" s="117">
      <c r="S3824" s="24" t="n"/>
      <c r="T3824" s="24" t="n"/>
    </row>
    <row r="3825" ht="12.75" customHeight="1" s="117">
      <c r="S3825" s="24" t="n"/>
      <c r="T3825" s="24" t="n"/>
    </row>
    <row r="3826" ht="12.75" customHeight="1" s="117">
      <c r="S3826" s="24" t="n"/>
      <c r="T3826" s="24" t="n"/>
    </row>
    <row r="3827" ht="12.75" customHeight="1" s="117">
      <c r="S3827" s="24" t="n"/>
      <c r="T3827" s="24" t="n"/>
    </row>
    <row r="3828" ht="12.75" customHeight="1" s="117">
      <c r="S3828" s="24" t="n"/>
      <c r="T3828" s="24" t="n"/>
    </row>
    <row r="3829" ht="12.75" customHeight="1" s="117">
      <c r="S3829" s="24" t="n"/>
      <c r="T3829" s="24" t="n"/>
    </row>
    <row r="3830" ht="12.75" customHeight="1" s="117">
      <c r="S3830" s="24" t="n"/>
      <c r="T3830" s="24" t="n"/>
    </row>
    <row r="3831" ht="12.75" customHeight="1" s="117">
      <c r="S3831" s="24" t="n"/>
      <c r="T3831" s="24" t="n"/>
    </row>
    <row r="3832" ht="12.75" customHeight="1" s="117">
      <c r="S3832" s="24" t="n"/>
      <c r="T3832" s="24" t="n"/>
    </row>
    <row r="3833" ht="12.75" customHeight="1" s="117">
      <c r="S3833" s="24" t="n"/>
      <c r="T3833" s="24" t="n"/>
    </row>
    <row r="3834" ht="12.75" customHeight="1" s="117">
      <c r="S3834" s="24" t="n"/>
      <c r="T3834" s="24" t="n"/>
    </row>
    <row r="3835" ht="12.75" customHeight="1" s="117">
      <c r="S3835" s="24" t="n"/>
      <c r="T3835" s="24" t="n"/>
    </row>
    <row r="3836" ht="12.75" customHeight="1" s="117">
      <c r="S3836" s="24" t="n"/>
      <c r="T3836" s="24" t="n"/>
    </row>
    <row r="3837" ht="12.75" customHeight="1" s="117">
      <c r="S3837" s="24" t="n"/>
      <c r="T3837" s="24" t="n"/>
    </row>
    <row r="3838" ht="12.75" customHeight="1" s="117">
      <c r="S3838" s="24" t="n"/>
      <c r="T3838" s="24" t="n"/>
    </row>
    <row r="3839" ht="12.75" customHeight="1" s="117">
      <c r="S3839" s="24" t="n"/>
      <c r="T3839" s="24" t="n"/>
    </row>
    <row r="3840" ht="12.75" customHeight="1" s="117">
      <c r="S3840" s="24" t="n"/>
      <c r="T3840" s="24" t="n"/>
    </row>
    <row r="3841" ht="12.75" customHeight="1" s="117">
      <c r="S3841" s="24" t="n"/>
      <c r="T3841" s="24" t="n"/>
    </row>
    <row r="3842" ht="12.75" customHeight="1" s="117">
      <c r="S3842" s="24" t="n"/>
      <c r="T3842" s="24" t="n"/>
    </row>
    <row r="3843" ht="12.75" customHeight="1" s="117">
      <c r="S3843" s="24" t="n"/>
      <c r="T3843" s="24" t="n"/>
    </row>
    <row r="3844" ht="12.75" customHeight="1" s="117">
      <c r="S3844" s="24" t="n"/>
      <c r="T3844" s="24" t="n"/>
    </row>
    <row r="3845" ht="12.75" customHeight="1" s="117">
      <c r="S3845" s="24" t="n"/>
      <c r="T3845" s="24" t="n"/>
    </row>
    <row r="3846" ht="12.75" customHeight="1" s="117">
      <c r="S3846" s="24" t="n"/>
      <c r="T3846" s="24" t="n"/>
    </row>
    <row r="3847" ht="12.75" customHeight="1" s="117">
      <c r="S3847" s="24" t="n"/>
      <c r="T3847" s="24" t="n"/>
    </row>
    <row r="3848" ht="12.75" customHeight="1" s="117">
      <c r="S3848" s="24" t="n"/>
      <c r="T3848" s="24" t="n"/>
    </row>
    <row r="3849" ht="12.75" customHeight="1" s="117">
      <c r="S3849" s="24" t="n"/>
      <c r="T3849" s="24" t="n"/>
    </row>
    <row r="3850" ht="12.75" customHeight="1" s="117">
      <c r="S3850" s="24" t="n"/>
      <c r="T3850" s="24" t="n"/>
    </row>
    <row r="3851" ht="12.75" customHeight="1" s="117">
      <c r="S3851" s="24" t="n"/>
      <c r="T3851" s="24" t="n"/>
    </row>
    <row r="3852" ht="12.75" customHeight="1" s="117">
      <c r="S3852" s="24" t="n"/>
      <c r="T3852" s="24" t="n"/>
    </row>
    <row r="3853" ht="12.75" customHeight="1" s="117">
      <c r="S3853" s="24" t="n"/>
      <c r="T3853" s="24" t="n"/>
    </row>
    <row r="3854" ht="12.75" customHeight="1" s="117">
      <c r="S3854" s="24" t="n"/>
      <c r="T3854" s="24" t="n"/>
    </row>
    <row r="3855" ht="12.75" customHeight="1" s="117">
      <c r="S3855" s="24" t="n"/>
      <c r="T3855" s="24" t="n"/>
    </row>
    <row r="3856" ht="12.75" customHeight="1" s="117">
      <c r="S3856" s="24" t="n"/>
      <c r="T3856" s="24" t="n"/>
    </row>
    <row r="3857" ht="12.75" customHeight="1" s="117">
      <c r="S3857" s="24" t="n"/>
      <c r="T3857" s="24" t="n"/>
    </row>
    <row r="3858" ht="12.75" customHeight="1" s="117">
      <c r="S3858" s="24" t="n"/>
      <c r="T3858" s="24" t="n"/>
    </row>
    <row r="3859" ht="12.75" customHeight="1" s="117">
      <c r="S3859" s="24" t="n"/>
      <c r="T3859" s="24" t="n"/>
    </row>
    <row r="3860" ht="12.75" customHeight="1" s="117">
      <c r="S3860" s="24" t="n"/>
      <c r="T3860" s="24" t="n"/>
    </row>
    <row r="3861" ht="12.75" customHeight="1" s="117">
      <c r="S3861" s="24" t="n"/>
      <c r="T3861" s="24" t="n"/>
    </row>
    <row r="3862" ht="12.75" customHeight="1" s="117">
      <c r="S3862" s="24" t="n"/>
      <c r="T3862" s="24" t="n"/>
    </row>
    <row r="3863" ht="12.75" customHeight="1" s="117">
      <c r="S3863" s="24" t="n"/>
      <c r="T3863" s="24" t="n"/>
    </row>
    <row r="3864" ht="12.75" customHeight="1" s="117">
      <c r="S3864" s="24" t="n"/>
      <c r="T3864" s="24" t="n"/>
    </row>
    <row r="3865" ht="12.75" customHeight="1" s="117">
      <c r="S3865" s="24" t="n"/>
      <c r="T3865" s="24" t="n"/>
    </row>
    <row r="3866" ht="12.75" customHeight="1" s="117">
      <c r="S3866" s="24" t="n"/>
      <c r="T3866" s="24" t="n"/>
    </row>
    <row r="3867" ht="12.75" customHeight="1" s="117">
      <c r="S3867" s="24" t="n"/>
      <c r="T3867" s="24" t="n"/>
    </row>
    <row r="3868" ht="12.75" customHeight="1" s="117">
      <c r="S3868" s="24" t="n"/>
      <c r="T3868" s="24" t="n"/>
    </row>
    <row r="3869" ht="12.75" customHeight="1" s="117">
      <c r="S3869" s="24" t="n"/>
      <c r="T3869" s="24" t="n"/>
    </row>
    <row r="3870" ht="12.75" customHeight="1" s="117">
      <c r="S3870" s="24" t="n"/>
      <c r="T3870" s="24" t="n"/>
    </row>
    <row r="3871" ht="12.75" customHeight="1" s="117">
      <c r="S3871" s="24" t="n"/>
      <c r="T3871" s="24" t="n"/>
    </row>
    <row r="3872" ht="12.75" customHeight="1" s="117">
      <c r="S3872" s="24" t="n"/>
      <c r="T3872" s="24" t="n"/>
    </row>
    <row r="3873" ht="12.75" customHeight="1" s="117">
      <c r="S3873" s="24" t="n"/>
      <c r="T3873" s="24" t="n"/>
    </row>
    <row r="3874" ht="12.75" customHeight="1" s="117">
      <c r="S3874" s="24" t="n"/>
      <c r="T3874" s="24" t="n"/>
    </row>
    <row r="3875" ht="12.75" customHeight="1" s="117">
      <c r="S3875" s="24" t="n"/>
      <c r="T3875" s="24" t="n"/>
    </row>
    <row r="3876" ht="12.75" customHeight="1" s="117">
      <c r="S3876" s="24" t="n"/>
      <c r="T3876" s="24" t="n"/>
    </row>
    <row r="3877" ht="12.75" customHeight="1" s="117">
      <c r="S3877" s="24" t="n"/>
      <c r="T3877" s="24" t="n"/>
    </row>
    <row r="3878" ht="12.75" customHeight="1" s="117">
      <c r="S3878" s="24" t="n"/>
      <c r="T3878" s="24" t="n"/>
    </row>
    <row r="3879" ht="12.75" customHeight="1" s="117">
      <c r="S3879" s="24" t="n"/>
      <c r="T3879" s="24" t="n"/>
    </row>
    <row r="3880" ht="12.75" customHeight="1" s="117">
      <c r="S3880" s="24" t="n"/>
      <c r="T3880" s="24" t="n"/>
    </row>
    <row r="3881" ht="12.75" customHeight="1" s="117">
      <c r="S3881" s="24" t="n"/>
      <c r="T3881" s="24" t="n"/>
    </row>
    <row r="3882" ht="12.75" customHeight="1" s="117">
      <c r="S3882" s="24" t="n"/>
      <c r="T3882" s="24" t="n"/>
    </row>
    <row r="3883" ht="12.75" customHeight="1" s="117">
      <c r="S3883" s="24" t="n"/>
      <c r="T3883" s="24" t="n"/>
    </row>
    <row r="3884" ht="12.75" customHeight="1" s="117">
      <c r="S3884" s="24" t="n"/>
      <c r="T3884" s="24" t="n"/>
    </row>
    <row r="3885" ht="12.75" customHeight="1" s="117">
      <c r="S3885" s="24" t="n"/>
      <c r="T3885" s="24" t="n"/>
    </row>
    <row r="3886" ht="12.75" customHeight="1" s="117">
      <c r="S3886" s="24" t="n"/>
      <c r="T3886" s="24" t="n"/>
    </row>
    <row r="3887" ht="12.75" customHeight="1" s="117">
      <c r="S3887" s="24" t="n"/>
      <c r="T3887" s="24" t="n"/>
    </row>
    <row r="3888" ht="12.75" customHeight="1" s="117">
      <c r="S3888" s="24" t="n"/>
      <c r="T3888" s="24" t="n"/>
    </row>
    <row r="3889" ht="12.75" customHeight="1" s="117">
      <c r="S3889" s="24" t="n"/>
      <c r="T3889" s="24" t="n"/>
    </row>
    <row r="3890" ht="12.75" customHeight="1" s="117">
      <c r="S3890" s="24" t="n"/>
      <c r="T3890" s="24" t="n"/>
    </row>
    <row r="3891" ht="12.75" customHeight="1" s="117">
      <c r="S3891" s="24" t="n"/>
      <c r="T3891" s="24" t="n"/>
    </row>
    <row r="3892" ht="12.75" customHeight="1" s="117">
      <c r="S3892" s="24" t="n"/>
      <c r="T3892" s="24" t="n"/>
    </row>
    <row r="3893" ht="12.75" customHeight="1" s="117">
      <c r="S3893" s="24" t="n"/>
      <c r="T3893" s="24" t="n"/>
    </row>
    <row r="3894" ht="12.75" customHeight="1" s="117">
      <c r="S3894" s="24" t="n"/>
      <c r="T3894" s="24" t="n"/>
    </row>
    <row r="3895" ht="12.75" customHeight="1" s="117">
      <c r="S3895" s="24" t="n"/>
      <c r="T3895" s="24" t="n"/>
    </row>
    <row r="3896" ht="12.75" customHeight="1" s="117">
      <c r="S3896" s="24" t="n"/>
      <c r="T3896" s="24" t="n"/>
    </row>
    <row r="3897" ht="12.75" customHeight="1" s="117">
      <c r="S3897" s="24" t="n"/>
      <c r="T3897" s="24" t="n"/>
    </row>
    <row r="3898" ht="12.75" customHeight="1" s="117">
      <c r="S3898" s="24" t="n"/>
      <c r="T3898" s="24" t="n"/>
    </row>
    <row r="3899" ht="12.75" customHeight="1" s="117">
      <c r="S3899" s="24" t="n"/>
      <c r="T3899" s="24" t="n"/>
    </row>
    <row r="3900" ht="12.75" customHeight="1" s="117">
      <c r="S3900" s="24" t="n"/>
      <c r="T3900" s="24" t="n"/>
    </row>
    <row r="3901" ht="12.75" customHeight="1" s="117">
      <c r="S3901" s="24" t="n"/>
      <c r="T3901" s="24" t="n"/>
    </row>
    <row r="3902" ht="12.75" customHeight="1" s="117">
      <c r="S3902" s="24" t="n"/>
      <c r="T3902" s="24" t="n"/>
    </row>
    <row r="3903" ht="12.75" customHeight="1" s="117">
      <c r="S3903" s="24" t="n"/>
      <c r="T3903" s="24" t="n"/>
    </row>
    <row r="3904" ht="12.75" customHeight="1" s="117">
      <c r="S3904" s="24" t="n"/>
      <c r="T3904" s="24" t="n"/>
    </row>
    <row r="3905" ht="12.75" customHeight="1" s="117">
      <c r="S3905" s="24" t="n"/>
      <c r="T3905" s="24" t="n"/>
    </row>
    <row r="3906" ht="12.75" customHeight="1" s="117">
      <c r="S3906" s="24" t="n"/>
      <c r="T3906" s="24" t="n"/>
    </row>
    <row r="3907" ht="12.75" customHeight="1" s="117">
      <c r="S3907" s="24" t="n"/>
      <c r="T3907" s="24" t="n"/>
    </row>
    <row r="3908" ht="12.75" customHeight="1" s="117">
      <c r="S3908" s="24" t="n"/>
      <c r="T3908" s="24" t="n"/>
    </row>
    <row r="3909" ht="12.75" customHeight="1" s="117">
      <c r="S3909" s="24" t="n"/>
      <c r="T3909" s="24" t="n"/>
    </row>
    <row r="3910" ht="12.75" customHeight="1" s="117">
      <c r="S3910" s="24" t="n"/>
      <c r="T3910" s="24" t="n"/>
    </row>
    <row r="3911" ht="12.75" customHeight="1" s="117">
      <c r="S3911" s="24" t="n"/>
      <c r="T3911" s="24" t="n"/>
    </row>
    <row r="3912" ht="12.75" customHeight="1" s="117">
      <c r="S3912" s="24" t="n"/>
      <c r="T3912" s="24" t="n"/>
    </row>
    <row r="3913" ht="12.75" customHeight="1" s="117">
      <c r="S3913" s="24" t="n"/>
      <c r="T3913" s="24" t="n"/>
    </row>
    <row r="3914" ht="12.75" customHeight="1" s="117">
      <c r="S3914" s="24" t="n"/>
      <c r="T3914" s="24" t="n"/>
    </row>
    <row r="3915" ht="12.75" customHeight="1" s="117">
      <c r="S3915" s="24" t="n"/>
      <c r="T3915" s="24" t="n"/>
    </row>
    <row r="3916" ht="12.75" customHeight="1" s="117">
      <c r="S3916" s="24" t="n"/>
      <c r="T3916" s="24" t="n"/>
    </row>
    <row r="3917" ht="12.75" customHeight="1" s="117">
      <c r="S3917" s="24" t="n"/>
      <c r="T3917" s="24" t="n"/>
    </row>
    <row r="3918" ht="12.75" customHeight="1" s="117">
      <c r="S3918" s="24" t="n"/>
      <c r="T3918" s="24" t="n"/>
    </row>
    <row r="3919" ht="12.75" customHeight="1" s="117">
      <c r="S3919" s="24" t="n"/>
      <c r="T3919" s="24" t="n"/>
    </row>
    <row r="3920" ht="12.75" customHeight="1" s="117">
      <c r="S3920" s="24" t="n"/>
      <c r="T3920" s="24" t="n"/>
    </row>
    <row r="3921" ht="12.75" customHeight="1" s="117">
      <c r="S3921" s="24" t="n"/>
      <c r="T3921" s="24" t="n"/>
    </row>
    <row r="3922" ht="12.75" customHeight="1" s="117">
      <c r="S3922" s="24" t="n"/>
      <c r="T3922" s="24" t="n"/>
    </row>
    <row r="3923" ht="12.75" customHeight="1" s="117">
      <c r="S3923" s="24" t="n"/>
      <c r="T3923" s="24" t="n"/>
    </row>
    <row r="3924" ht="12.75" customHeight="1" s="117">
      <c r="S3924" s="24" t="n"/>
      <c r="T3924" s="24" t="n"/>
    </row>
    <row r="3925" ht="12.75" customHeight="1" s="117">
      <c r="S3925" s="24" t="n"/>
      <c r="T3925" s="24" t="n"/>
    </row>
    <row r="3926" ht="12.75" customHeight="1" s="117">
      <c r="S3926" s="24" t="n"/>
      <c r="T3926" s="24" t="n"/>
    </row>
    <row r="3927" ht="12.75" customHeight="1" s="117">
      <c r="S3927" s="24" t="n"/>
      <c r="T3927" s="24" t="n"/>
    </row>
    <row r="3928" ht="12.75" customHeight="1" s="117">
      <c r="S3928" s="24" t="n"/>
      <c r="T3928" s="24" t="n"/>
    </row>
    <row r="3929" ht="12.75" customHeight="1" s="117">
      <c r="S3929" s="24" t="n"/>
      <c r="T3929" s="24" t="n"/>
    </row>
    <row r="3930" ht="12.75" customHeight="1" s="117">
      <c r="S3930" s="24" t="n"/>
      <c r="T3930" s="24" t="n"/>
    </row>
    <row r="3931" ht="12.75" customHeight="1" s="117">
      <c r="S3931" s="24" t="n"/>
      <c r="T3931" s="24" t="n"/>
    </row>
    <row r="3932" ht="12.75" customHeight="1" s="117">
      <c r="S3932" s="24" t="n"/>
      <c r="T3932" s="24" t="n"/>
    </row>
    <row r="3933" ht="12.75" customHeight="1" s="117">
      <c r="S3933" s="24" t="n"/>
      <c r="T3933" s="24" t="n"/>
    </row>
    <row r="3934" ht="12.75" customHeight="1" s="117">
      <c r="S3934" s="24" t="n"/>
      <c r="T3934" s="24" t="n"/>
    </row>
    <row r="3935" ht="12.75" customHeight="1" s="117">
      <c r="S3935" s="24" t="n"/>
      <c r="T3935" s="24" t="n"/>
    </row>
    <row r="3936" ht="12.75" customHeight="1" s="117">
      <c r="S3936" s="24" t="n"/>
      <c r="T3936" s="24" t="n"/>
    </row>
    <row r="3937" ht="12.75" customHeight="1" s="117">
      <c r="S3937" s="24" t="n"/>
      <c r="T3937" s="24" t="n"/>
    </row>
    <row r="3938" ht="12.75" customHeight="1" s="117">
      <c r="S3938" s="24" t="n"/>
      <c r="T3938" s="24" t="n"/>
    </row>
    <row r="3939" ht="12.75" customHeight="1" s="117">
      <c r="S3939" s="24" t="n"/>
      <c r="T3939" s="24" t="n"/>
    </row>
    <row r="3940" ht="12.75" customHeight="1" s="117">
      <c r="S3940" s="24" t="n"/>
      <c r="T3940" s="24" t="n"/>
    </row>
    <row r="3941" ht="12.75" customHeight="1" s="117">
      <c r="S3941" s="24" t="n"/>
      <c r="T3941" s="24" t="n"/>
    </row>
    <row r="3942" ht="12.75" customHeight="1" s="117">
      <c r="S3942" s="24" t="n"/>
      <c r="T3942" s="24" t="n"/>
    </row>
    <row r="3943" ht="12.75" customHeight="1" s="117">
      <c r="S3943" s="24" t="n"/>
      <c r="T3943" s="24" t="n"/>
    </row>
    <row r="3944" ht="12.75" customHeight="1" s="117">
      <c r="S3944" s="24" t="n"/>
      <c r="T3944" s="24" t="n"/>
    </row>
    <row r="3945" ht="12.75" customHeight="1" s="117">
      <c r="S3945" s="24" t="n"/>
      <c r="T3945" s="24" t="n"/>
    </row>
    <row r="3946" ht="12.75" customHeight="1" s="117">
      <c r="S3946" s="24" t="n"/>
      <c r="T3946" s="24" t="n"/>
    </row>
    <row r="3947" ht="12.75" customHeight="1" s="117">
      <c r="S3947" s="24" t="n"/>
      <c r="T3947" s="24" t="n"/>
    </row>
    <row r="3948" ht="12.75" customHeight="1" s="117">
      <c r="S3948" s="24" t="n"/>
      <c r="T3948" s="24" t="n"/>
    </row>
    <row r="3949" ht="12.75" customHeight="1" s="117">
      <c r="S3949" s="24" t="n"/>
      <c r="T3949" s="24" t="n"/>
    </row>
    <row r="3950" ht="12.75" customHeight="1" s="117">
      <c r="S3950" s="24" t="n"/>
      <c r="T3950" s="24" t="n"/>
    </row>
    <row r="3951" ht="12.75" customHeight="1" s="117">
      <c r="S3951" s="24" t="n"/>
      <c r="T3951" s="24" t="n"/>
    </row>
    <row r="3952" ht="12.75" customHeight="1" s="117">
      <c r="S3952" s="24" t="n"/>
      <c r="T3952" s="24" t="n"/>
    </row>
    <row r="3953" ht="12.75" customHeight="1" s="117">
      <c r="S3953" s="24" t="n"/>
      <c r="T3953" s="24" t="n"/>
    </row>
    <row r="3954" ht="12.75" customHeight="1" s="117">
      <c r="S3954" s="24" t="n"/>
      <c r="T3954" s="24" t="n"/>
    </row>
    <row r="3955" ht="12.75" customHeight="1" s="117">
      <c r="S3955" s="24" t="n"/>
      <c r="T3955" s="24" t="n"/>
    </row>
    <row r="3956" ht="12.75" customHeight="1" s="117">
      <c r="S3956" s="24" t="n"/>
      <c r="T3956" s="24" t="n"/>
    </row>
    <row r="3957" ht="12.75" customHeight="1" s="117">
      <c r="S3957" s="24" t="n"/>
      <c r="T3957" s="24" t="n"/>
    </row>
    <row r="3958" ht="12.75" customHeight="1" s="117">
      <c r="S3958" s="24" t="n"/>
      <c r="T3958" s="24" t="n"/>
    </row>
    <row r="3959" ht="12.75" customHeight="1" s="117">
      <c r="S3959" s="24" t="n"/>
      <c r="T3959" s="24" t="n"/>
    </row>
    <row r="3960" ht="12.75" customHeight="1" s="117">
      <c r="S3960" s="24" t="n"/>
      <c r="T3960" s="24" t="n"/>
    </row>
    <row r="3961" ht="12.75" customHeight="1" s="117">
      <c r="S3961" s="24" t="n"/>
      <c r="T3961" s="24" t="n"/>
    </row>
    <row r="3962" ht="12.75" customHeight="1" s="117">
      <c r="S3962" s="24" t="n"/>
      <c r="T3962" s="24" t="n"/>
    </row>
    <row r="3963" ht="12.75" customHeight="1" s="117">
      <c r="S3963" s="24" t="n"/>
      <c r="T3963" s="24" t="n"/>
    </row>
    <row r="3964" ht="12.75" customHeight="1" s="117">
      <c r="S3964" s="24" t="n"/>
      <c r="T3964" s="24" t="n"/>
    </row>
    <row r="3965" ht="12.75" customHeight="1" s="117">
      <c r="S3965" s="24" t="n"/>
      <c r="T3965" s="24" t="n"/>
    </row>
    <row r="3966" ht="12.75" customHeight="1" s="117">
      <c r="S3966" s="24" t="n"/>
      <c r="T3966" s="24" t="n"/>
    </row>
    <row r="3967" ht="12.75" customHeight="1" s="117">
      <c r="S3967" s="24" t="n"/>
      <c r="T3967" s="24" t="n"/>
    </row>
    <row r="3968" ht="12.75" customHeight="1" s="117">
      <c r="S3968" s="24" t="n"/>
      <c r="T3968" s="24" t="n"/>
    </row>
    <row r="3969" ht="12.75" customHeight="1" s="117">
      <c r="S3969" s="24" t="n"/>
      <c r="T3969" s="24" t="n"/>
    </row>
    <row r="3970" ht="12.75" customHeight="1" s="117">
      <c r="S3970" s="24" t="n"/>
      <c r="T3970" s="24" t="n"/>
    </row>
    <row r="3971" ht="12.75" customHeight="1" s="117">
      <c r="S3971" s="24" t="n"/>
      <c r="T3971" s="24" t="n"/>
    </row>
    <row r="3972" ht="12.75" customHeight="1" s="117">
      <c r="S3972" s="24" t="n"/>
      <c r="T3972" s="24" t="n"/>
    </row>
    <row r="3973" ht="12.75" customHeight="1" s="117">
      <c r="S3973" s="24" t="n"/>
      <c r="T3973" s="24" t="n"/>
    </row>
    <row r="3974" ht="12.75" customHeight="1" s="117">
      <c r="S3974" s="24" t="n"/>
      <c r="T3974" s="24" t="n"/>
    </row>
    <row r="3975" ht="12.75" customHeight="1" s="117">
      <c r="S3975" s="24" t="n"/>
      <c r="T3975" s="24" t="n"/>
    </row>
    <row r="3976" ht="12.75" customHeight="1" s="117">
      <c r="S3976" s="24" t="n"/>
      <c r="T3976" s="24" t="n"/>
    </row>
    <row r="3977" ht="12.75" customHeight="1" s="117">
      <c r="S3977" s="24" t="n"/>
      <c r="T3977" s="24" t="n"/>
    </row>
    <row r="3978" ht="12.75" customHeight="1" s="117">
      <c r="S3978" s="24" t="n"/>
      <c r="T3978" s="24" t="n"/>
    </row>
    <row r="3979" ht="12.75" customHeight="1" s="117">
      <c r="S3979" s="24" t="n"/>
      <c r="T3979" s="24" t="n"/>
    </row>
    <row r="3980" ht="12.75" customHeight="1" s="117">
      <c r="S3980" s="24" t="n"/>
      <c r="T3980" s="24" t="n"/>
    </row>
    <row r="3981" ht="12.75" customHeight="1" s="117">
      <c r="S3981" s="24" t="n"/>
      <c r="T3981" s="24" t="n"/>
    </row>
    <row r="3982" ht="12.75" customHeight="1" s="117">
      <c r="S3982" s="24" t="n"/>
      <c r="T3982" s="24" t="n"/>
    </row>
    <row r="3983" ht="12.75" customHeight="1" s="117">
      <c r="S3983" s="24" t="n"/>
      <c r="T3983" s="24" t="n"/>
    </row>
    <row r="3984" ht="12.75" customHeight="1" s="117">
      <c r="S3984" s="24" t="n"/>
      <c r="T3984" s="24" t="n"/>
    </row>
    <row r="3985" ht="12.75" customHeight="1" s="117">
      <c r="S3985" s="24" t="n"/>
      <c r="T3985" s="24" t="n"/>
    </row>
    <row r="3986" ht="12.75" customHeight="1" s="117">
      <c r="S3986" s="24" t="n"/>
      <c r="T3986" s="24" t="n"/>
    </row>
    <row r="3987" ht="12.75" customHeight="1" s="117">
      <c r="S3987" s="24" t="n"/>
      <c r="T3987" s="24" t="n"/>
    </row>
    <row r="3988" ht="12.75" customHeight="1" s="117">
      <c r="S3988" s="24" t="n"/>
      <c r="T3988" s="24" t="n"/>
    </row>
    <row r="3989" ht="12.75" customHeight="1" s="117">
      <c r="S3989" s="24" t="n"/>
      <c r="T3989" s="24" t="n"/>
    </row>
    <row r="3990" ht="12.75" customHeight="1" s="117">
      <c r="S3990" s="24" t="n"/>
      <c r="T3990" s="24" t="n"/>
    </row>
    <row r="3991" ht="12.75" customHeight="1" s="117">
      <c r="S3991" s="24" t="n"/>
      <c r="T3991" s="24" t="n"/>
    </row>
    <row r="3992" ht="12.75" customHeight="1" s="117">
      <c r="S3992" s="24" t="n"/>
      <c r="T3992" s="24" t="n"/>
    </row>
    <row r="3993" ht="12.75" customHeight="1" s="117">
      <c r="S3993" s="24" t="n"/>
      <c r="T3993" s="24" t="n"/>
    </row>
    <row r="3994" ht="12.75" customHeight="1" s="117">
      <c r="S3994" s="24" t="n"/>
      <c r="T3994" s="24" t="n"/>
    </row>
    <row r="3995" ht="12.75" customHeight="1" s="117">
      <c r="S3995" s="24" t="n"/>
      <c r="T3995" s="24" t="n"/>
    </row>
    <row r="3996" ht="12.75" customHeight="1" s="117">
      <c r="S3996" s="24" t="n"/>
      <c r="T3996" s="24" t="n"/>
    </row>
    <row r="3997" ht="12.75" customHeight="1" s="117">
      <c r="S3997" s="24" t="n"/>
      <c r="T3997" s="24" t="n"/>
    </row>
    <row r="3998" ht="12.75" customHeight="1" s="117">
      <c r="S3998" s="24" t="n"/>
      <c r="T3998" s="24" t="n"/>
    </row>
    <row r="3999" ht="12.75" customHeight="1" s="117">
      <c r="S3999" s="24" t="n"/>
      <c r="T3999" s="24" t="n"/>
    </row>
    <row r="4000" ht="12.75" customHeight="1" s="117">
      <c r="S4000" s="24" t="n"/>
      <c r="T4000" s="24" t="n"/>
    </row>
    <row r="4001" ht="12.75" customHeight="1" s="117">
      <c r="S4001" s="24" t="n"/>
      <c r="T4001" s="24" t="n"/>
    </row>
    <row r="4002" ht="12.75" customHeight="1" s="117">
      <c r="S4002" s="24" t="n"/>
      <c r="T4002" s="24" t="n"/>
    </row>
    <row r="4003" ht="12.75" customHeight="1" s="117">
      <c r="S4003" s="24" t="n"/>
      <c r="T4003" s="24" t="n"/>
    </row>
    <row r="4004" ht="12.75" customHeight="1" s="117">
      <c r="S4004" s="24" t="n"/>
      <c r="T4004" s="24" t="n"/>
    </row>
    <row r="4005" ht="12.75" customHeight="1" s="117">
      <c r="S4005" s="24" t="n"/>
      <c r="T4005" s="24" t="n"/>
    </row>
    <row r="4006" ht="12.75" customHeight="1" s="117">
      <c r="S4006" s="24" t="n"/>
      <c r="T4006" s="24" t="n"/>
    </row>
    <row r="4007" ht="12.75" customHeight="1" s="117">
      <c r="S4007" s="24" t="n"/>
      <c r="T4007" s="24" t="n"/>
    </row>
    <row r="4008" ht="12.75" customHeight="1" s="117">
      <c r="S4008" s="24" t="n"/>
      <c r="T4008" s="24" t="n"/>
    </row>
    <row r="4009" ht="12.75" customHeight="1" s="117">
      <c r="S4009" s="24" t="n"/>
      <c r="T4009" s="24" t="n"/>
    </row>
    <row r="4010" ht="12.75" customHeight="1" s="117">
      <c r="S4010" s="24" t="n"/>
      <c r="T4010" s="24" t="n"/>
    </row>
    <row r="4011" ht="12.75" customHeight="1" s="117">
      <c r="S4011" s="24" t="n"/>
      <c r="T4011" s="24" t="n"/>
    </row>
    <row r="4012" ht="12.75" customHeight="1" s="117">
      <c r="S4012" s="24" t="n"/>
      <c r="T4012" s="24" t="n"/>
    </row>
    <row r="4013" ht="12.75" customHeight="1" s="117">
      <c r="S4013" s="24" t="n"/>
      <c r="T4013" s="24" t="n"/>
    </row>
    <row r="4014" ht="12.75" customHeight="1" s="117">
      <c r="S4014" s="24" t="n"/>
      <c r="T4014" s="24" t="n"/>
    </row>
    <row r="4015" ht="12.75" customHeight="1" s="117">
      <c r="S4015" s="24" t="n"/>
      <c r="T4015" s="24" t="n"/>
    </row>
    <row r="4016" ht="12.75" customHeight="1" s="117">
      <c r="S4016" s="24" t="n"/>
      <c r="T4016" s="24" t="n"/>
    </row>
    <row r="4017" ht="12.75" customHeight="1" s="117">
      <c r="S4017" s="24" t="n"/>
      <c r="T4017" s="24" t="n"/>
    </row>
    <row r="4018" ht="12.75" customHeight="1" s="117">
      <c r="S4018" s="24" t="n"/>
      <c r="T4018" s="24" t="n"/>
    </row>
    <row r="4019" ht="12.75" customHeight="1" s="117">
      <c r="S4019" s="24" t="n"/>
      <c r="T4019" s="24" t="n"/>
    </row>
    <row r="4020" ht="12.75" customHeight="1" s="117">
      <c r="S4020" s="24" t="n"/>
      <c r="T4020" s="24" t="n"/>
    </row>
    <row r="4021" ht="12.75" customHeight="1" s="117">
      <c r="S4021" s="24" t="n"/>
      <c r="T4021" s="24" t="n"/>
    </row>
    <row r="4022" ht="12.75" customHeight="1" s="117">
      <c r="S4022" s="24" t="n"/>
      <c r="T4022" s="24" t="n"/>
    </row>
    <row r="4023" ht="12.75" customHeight="1" s="117">
      <c r="S4023" s="24" t="n"/>
      <c r="T4023" s="24" t="n"/>
    </row>
    <row r="4024" ht="12.75" customHeight="1" s="117">
      <c r="S4024" s="24" t="n"/>
      <c r="T4024" s="24" t="n"/>
    </row>
    <row r="4025" ht="12.75" customHeight="1" s="117">
      <c r="S4025" s="24" t="n"/>
      <c r="T4025" s="24" t="n"/>
    </row>
    <row r="4026" ht="12.75" customHeight="1" s="117">
      <c r="S4026" s="24" t="n"/>
      <c r="T4026" s="24" t="n"/>
    </row>
    <row r="4027" ht="12.75" customHeight="1" s="117">
      <c r="S4027" s="24" t="n"/>
      <c r="T4027" s="24" t="n"/>
    </row>
    <row r="4028" ht="12.75" customHeight="1" s="117">
      <c r="S4028" s="24" t="n"/>
      <c r="T4028" s="24" t="n"/>
    </row>
    <row r="4029" ht="12.75" customHeight="1" s="117">
      <c r="S4029" s="24" t="n"/>
      <c r="T4029" s="24" t="n"/>
    </row>
    <row r="4030" ht="12.75" customHeight="1" s="117">
      <c r="S4030" s="24" t="n"/>
      <c r="T4030" s="24" t="n"/>
    </row>
    <row r="4031" ht="12.75" customHeight="1" s="117">
      <c r="S4031" s="24" t="n"/>
      <c r="T4031" s="24" t="n"/>
    </row>
    <row r="4032" ht="12.75" customHeight="1" s="117">
      <c r="S4032" s="24" t="n"/>
      <c r="T4032" s="24" t="n"/>
    </row>
    <row r="4033" ht="12.75" customHeight="1" s="117">
      <c r="S4033" s="24" t="n"/>
      <c r="T4033" s="24" t="n"/>
    </row>
    <row r="4034" ht="12.75" customHeight="1" s="117">
      <c r="S4034" s="24" t="n"/>
      <c r="T4034" s="24" t="n"/>
    </row>
    <row r="4035" ht="12.75" customHeight="1" s="117">
      <c r="S4035" s="24" t="n"/>
      <c r="T4035" s="24" t="n"/>
    </row>
    <row r="4036" ht="12.75" customHeight="1" s="117">
      <c r="S4036" s="24" t="n"/>
      <c r="T4036" s="24" t="n"/>
    </row>
    <row r="4037" ht="12.75" customHeight="1" s="117">
      <c r="S4037" s="24" t="n"/>
      <c r="T4037" s="24" t="n"/>
    </row>
    <row r="4038" ht="12.75" customHeight="1" s="117">
      <c r="S4038" s="24" t="n"/>
      <c r="T4038" s="24" t="n"/>
    </row>
    <row r="4039" ht="12.75" customHeight="1" s="117">
      <c r="S4039" s="24" t="n"/>
      <c r="T4039" s="24" t="n"/>
    </row>
    <row r="4040" ht="12.75" customHeight="1" s="117">
      <c r="S4040" s="24" t="n"/>
      <c r="T4040" s="24" t="n"/>
    </row>
    <row r="4041">
      <c r="A4041" t="inlineStr">
        <is>
          <t>14/11/2025 9:43:52</t>
        </is>
      </c>
      <c r="B4041" t="inlineStr">
        <is>
          <t>Trần Trung Giang</t>
        </is>
      </c>
      <c r="C4041" t="inlineStr">
        <is>
          <t>01/11/2025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/>
      </c>
      <c r="T4041" t="inlineStr">
        <is>
          <t>1</t>
        </is>
      </c>
      <c r="U4041" t="inlineStr">
        <is>
          <t>11</t>
        </is>
      </c>
      <c r="V4041" t="n">
        <v>2025</v>
      </c>
      <c r="W4041" t="inlineStr">
        <is>
          <t>Không xoa dòng này</t>
        </is>
      </c>
    </row>
    <row r="4042">
      <c r="A4042" t="inlineStr">
        <is>
          <t>14/11/2025 10:55:51</t>
        </is>
      </c>
      <c r="B4042" t="inlineStr">
        <is>
          <t>Lương Duy Hoàng</t>
        </is>
      </c>
      <c r="C4042" t="inlineStr">
        <is>
          <t>13/11/2025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3</v>
      </c>
      <c r="L4042" t="n">
        <v>0</v>
      </c>
      <c r="M4042" t="n">
        <v>1</v>
      </c>
      <c r="N4042" t="n">
        <v>2</v>
      </c>
      <c r="O4042" t="n">
        <v>0</v>
      </c>
      <c r="P4042" t="n">
        <v>1</v>
      </c>
      <c r="Q4042" t="n">
        <v>3</v>
      </c>
      <c r="R4042" t="n">
        <v>0</v>
      </c>
      <c r="S4042" t="n">
        <v/>
      </c>
      <c r="T4042" t="inlineStr">
        <is>
          <t>13</t>
        </is>
      </c>
      <c r="U4042" t="inlineStr">
        <is>
          <t>11</t>
        </is>
      </c>
      <c r="V4042" t="n">
        <v>2025</v>
      </c>
      <c r="W4042" t="n">
        <v/>
      </c>
    </row>
    <row r="4043">
      <c r="A4043" t="inlineStr">
        <is>
          <t>14/11/2025 10:56:35</t>
        </is>
      </c>
      <c r="B4043" t="inlineStr">
        <is>
          <t>Hồ Thái Minh Trí</t>
        </is>
      </c>
      <c r="C4043" t="inlineStr">
        <is>
          <t>13/11/2025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9</v>
      </c>
      <c r="L4043" t="n">
        <v>2</v>
      </c>
      <c r="M4043" t="n">
        <v>0</v>
      </c>
      <c r="N4043" t="n">
        <v>0</v>
      </c>
      <c r="O4043" t="n">
        <v>0</v>
      </c>
      <c r="P4043" t="n">
        <v>0</v>
      </c>
      <c r="Q4043" t="n">
        <v>2</v>
      </c>
      <c r="R4043" t="n">
        <v>0</v>
      </c>
      <c r="S4043" t="n">
        <v/>
      </c>
      <c r="T4043" t="inlineStr">
        <is>
          <t>13</t>
        </is>
      </c>
      <c r="U4043" t="inlineStr">
        <is>
          <t>11</t>
        </is>
      </c>
      <c r="V4043" t="n">
        <v>2025</v>
      </c>
      <c r="W4043" t="n">
        <v/>
      </c>
    </row>
    <row r="4044">
      <c r="A4044" t="inlineStr">
        <is>
          <t>14/11/2025 10:57:48</t>
        </is>
      </c>
      <c r="B4044" t="inlineStr">
        <is>
          <t>Lê Văn Hồng</t>
        </is>
      </c>
      <c r="C4044" t="inlineStr">
        <is>
          <t>13/11/2025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3</v>
      </c>
      <c r="J4044" t="n">
        <v>1</v>
      </c>
      <c r="K4044" t="n">
        <v>7</v>
      </c>
      <c r="L4044" t="n">
        <v>2</v>
      </c>
      <c r="M4044" t="n">
        <v>1</v>
      </c>
      <c r="N4044" t="n">
        <v>0</v>
      </c>
      <c r="O4044" t="n">
        <v>0</v>
      </c>
      <c r="P4044" t="n">
        <v>1</v>
      </c>
      <c r="Q4044" t="n">
        <v>4</v>
      </c>
      <c r="R4044" t="n">
        <v>0</v>
      </c>
      <c r="S4044" t="n">
        <v/>
      </c>
      <c r="T4044" t="inlineStr">
        <is>
          <t>13</t>
        </is>
      </c>
      <c r="U4044" t="inlineStr">
        <is>
          <t>11</t>
        </is>
      </c>
      <c r="V4044" t="n">
        <v>2025</v>
      </c>
      <c r="W4044" t="n">
        <v/>
      </c>
    </row>
    <row r="4045">
      <c r="A4045" t="inlineStr">
        <is>
          <t>14/11/2025 10:58:36</t>
        </is>
      </c>
      <c r="B4045" t="inlineStr">
        <is>
          <t>Lê Quốc Duy</t>
        </is>
      </c>
      <c r="C4045" t="inlineStr">
        <is>
          <t>13/11/2025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13</v>
      </c>
      <c r="L4045" t="n">
        <v>0</v>
      </c>
      <c r="M4045" t="n">
        <v>1</v>
      </c>
      <c r="N4045" t="n">
        <v>0</v>
      </c>
      <c r="O4045" t="n">
        <v>0</v>
      </c>
      <c r="P4045" t="n">
        <v>2</v>
      </c>
      <c r="Q4045" t="n">
        <v>4</v>
      </c>
      <c r="R4045" t="n">
        <v>0</v>
      </c>
      <c r="S4045" t="n">
        <v/>
      </c>
      <c r="T4045" t="inlineStr">
        <is>
          <t>13</t>
        </is>
      </c>
      <c r="U4045" t="inlineStr">
        <is>
          <t>11</t>
        </is>
      </c>
      <c r="V4045" t="n">
        <v>2025</v>
      </c>
      <c r="W4045" t="n">
        <v/>
      </c>
    </row>
    <row r="4046">
      <c r="A4046" t="inlineStr">
        <is>
          <t>14/11/2025 11:01:32</t>
        </is>
      </c>
      <c r="B4046" t="inlineStr">
        <is>
          <t>Vòng Nhật Sang</t>
        </is>
      </c>
      <c r="C4046" t="inlineStr">
        <is>
          <t>13/11/2025</t>
        </is>
      </c>
      <c r="D4046" t="n">
        <v>1</v>
      </c>
      <c r="E4046" t="n">
        <v>1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29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5</v>
      </c>
      <c r="R4046" t="n">
        <v>0</v>
      </c>
      <c r="S4046" t="n">
        <v/>
      </c>
      <c r="T4046" t="inlineStr">
        <is>
          <t>13</t>
        </is>
      </c>
      <c r="U4046" t="inlineStr">
        <is>
          <t>11</t>
        </is>
      </c>
      <c r="V4046" t="n">
        <v>2025</v>
      </c>
      <c r="W4046" t="n">
        <v/>
      </c>
    </row>
    <row r="4047">
      <c r="A4047" t="inlineStr">
        <is>
          <t>14/11/2025 11:02:12</t>
        </is>
      </c>
      <c r="B4047" t="inlineStr">
        <is>
          <t>Nguyễn Tuấn Anh</t>
        </is>
      </c>
      <c r="C4047" t="inlineStr">
        <is>
          <t>14/11/2025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27</v>
      </c>
      <c r="L4047" t="n">
        <v>0</v>
      </c>
      <c r="M4047" t="n">
        <v>0</v>
      </c>
      <c r="N4047" t="n">
        <v>0</v>
      </c>
      <c r="O4047" t="n">
        <v>0</v>
      </c>
      <c r="P4047" t="n">
        <v>1</v>
      </c>
      <c r="Q4047" t="n">
        <v>1</v>
      </c>
      <c r="R4047" t="n">
        <v>0</v>
      </c>
      <c r="S4047" t="n">
        <v/>
      </c>
      <c r="T4047" t="inlineStr">
        <is>
          <t>14</t>
        </is>
      </c>
      <c r="U4047" t="inlineStr">
        <is>
          <t>11</t>
        </is>
      </c>
      <c r="V4047" t="n">
        <v>2025</v>
      </c>
      <c r="W4047" t="n">
        <v/>
      </c>
    </row>
    <row r="4048">
      <c r="A4048" t="inlineStr">
        <is>
          <t>14/11/2025 11:08:34</t>
        </is>
      </c>
      <c r="B4048" t="inlineStr">
        <is>
          <t>Dương Minh Tiến</t>
        </is>
      </c>
      <c r="C4048" t="inlineStr">
        <is>
          <t>13/11/2025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18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2</v>
      </c>
      <c r="R4048" t="n">
        <v>0</v>
      </c>
      <c r="S4048" t="n">
        <v/>
      </c>
      <c r="T4048" t="inlineStr">
        <is>
          <t>13</t>
        </is>
      </c>
      <c r="U4048" t="inlineStr">
        <is>
          <t>11</t>
        </is>
      </c>
      <c r="V4048" t="n">
        <v>2025</v>
      </c>
      <c r="W4048" t="n">
        <v/>
      </c>
    </row>
    <row r="4049">
      <c r="A4049" t="inlineStr">
        <is>
          <t>14/11/2025 11:08:42</t>
        </is>
      </c>
      <c r="B4049" t="inlineStr">
        <is>
          <t>Phan Thành Thái</t>
        </is>
      </c>
      <c r="C4049" t="inlineStr">
        <is>
          <t>13/11/2025</t>
        </is>
      </c>
      <c r="D4049" t="n">
        <v>1</v>
      </c>
      <c r="E4049" t="n">
        <v>1</v>
      </c>
      <c r="F4049" t="n">
        <v>1</v>
      </c>
      <c r="G4049" t="n">
        <v>1</v>
      </c>
      <c r="H4049" t="n">
        <v/>
      </c>
      <c r="I4049" t="n">
        <v>2</v>
      </c>
      <c r="J4049" t="n">
        <v>0</v>
      </c>
      <c r="K4049" t="n">
        <v>4</v>
      </c>
      <c r="L4049" t="n">
        <v>0</v>
      </c>
      <c r="M4049" t="n">
        <v>2</v>
      </c>
      <c r="N4049" t="n">
        <v>0</v>
      </c>
      <c r="O4049" t="n">
        <v>0</v>
      </c>
      <c r="P4049" t="n">
        <v>1</v>
      </c>
      <c r="Q4049" t="n">
        <v>4</v>
      </c>
      <c r="R4049" t="n">
        <v>0</v>
      </c>
      <c r="S4049" t="n">
        <v/>
      </c>
      <c r="T4049" t="inlineStr">
        <is>
          <t>13</t>
        </is>
      </c>
      <c r="U4049" t="inlineStr">
        <is>
          <t>11</t>
        </is>
      </c>
      <c r="V4049" t="n">
        <v>2025</v>
      </c>
      <c r="W4049" t="n">
        <v/>
      </c>
    </row>
    <row r="4050">
      <c r="A4050" t="inlineStr">
        <is>
          <t>14/11/2025 11:09:00</t>
        </is>
      </c>
      <c r="B4050" t="inlineStr">
        <is>
          <t>Đặng Hoài Anh</t>
        </is>
      </c>
      <c r="C4050" t="inlineStr">
        <is>
          <t>13/11/2025</t>
        </is>
      </c>
      <c r="D4050" t="n">
        <v>0</v>
      </c>
      <c r="E4050" t="n">
        <v>0</v>
      </c>
      <c r="F4050" t="n">
        <v>0</v>
      </c>
      <c r="G4050" t="n">
        <v>1</v>
      </c>
      <c r="H4050" t="n">
        <v>1</v>
      </c>
      <c r="I4050" t="n">
        <v>0</v>
      </c>
      <c r="J4050" t="n">
        <v>0</v>
      </c>
      <c r="K4050" t="n">
        <v>5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/>
      </c>
      <c r="T4050" t="inlineStr">
        <is>
          <t>13</t>
        </is>
      </c>
      <c r="U4050" t="inlineStr">
        <is>
          <t>11</t>
        </is>
      </c>
      <c r="V4050" t="n">
        <v>2025</v>
      </c>
      <c r="W4050" t="n">
        <v/>
      </c>
    </row>
    <row r="4051">
      <c r="A4051" t="inlineStr">
        <is>
          <t>14/11/2025 11:13:14</t>
        </is>
      </c>
      <c r="B4051" t="inlineStr">
        <is>
          <t>Nguyễn Quang Anh Tuấn</t>
        </is>
      </c>
      <c r="C4051" t="inlineStr">
        <is>
          <t>13/11/2025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3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/>
      </c>
      <c r="T4051" t="inlineStr">
        <is>
          <t>13</t>
        </is>
      </c>
      <c r="U4051" t="inlineStr">
        <is>
          <t>11</t>
        </is>
      </c>
      <c r="V4051" t="n">
        <v>2025</v>
      </c>
      <c r="W4051" t="n">
        <v/>
      </c>
    </row>
    <row r="4052">
      <c r="A4052" t="inlineStr">
        <is>
          <t>14/11/2025 11:14:53</t>
        </is>
      </c>
      <c r="B4052" t="inlineStr">
        <is>
          <t>Nguyễn Thành Lâm</t>
        </is>
      </c>
      <c r="C4052" t="inlineStr">
        <is>
          <t>13/11/2025</t>
        </is>
      </c>
      <c r="D4052" t="n">
        <v>0</v>
      </c>
      <c r="E4052" t="n">
        <v>0</v>
      </c>
      <c r="F4052" t="n">
        <v>0</v>
      </c>
      <c r="G4052" t="n">
        <v>3</v>
      </c>
      <c r="H4052" t="n">
        <v>2</v>
      </c>
      <c r="I4052" t="n">
        <v>0</v>
      </c>
      <c r="J4052" t="n">
        <v>0</v>
      </c>
      <c r="K4052" t="n">
        <v>9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3</v>
      </c>
      <c r="R4052" t="n">
        <v>0</v>
      </c>
      <c r="S4052" t="n">
        <v/>
      </c>
      <c r="T4052" t="inlineStr">
        <is>
          <t>13</t>
        </is>
      </c>
      <c r="U4052" t="inlineStr">
        <is>
          <t>11</t>
        </is>
      </c>
      <c r="V4052" t="n">
        <v>2025</v>
      </c>
      <c r="W4052" t="n">
        <v/>
      </c>
    </row>
    <row r="4053">
      <c r="A4053" t="inlineStr">
        <is>
          <t>14/11/2025 11:16:28</t>
        </is>
      </c>
      <c r="B4053" t="inlineStr">
        <is>
          <t>Đào Công Trung</t>
        </is>
      </c>
      <c r="C4053" t="inlineStr">
        <is>
          <t>13/11/2025</t>
        </is>
      </c>
      <c r="D4053" t="n">
        <v>1</v>
      </c>
      <c r="E4053" t="n">
        <v>1</v>
      </c>
      <c r="F4053" t="n">
        <v>0</v>
      </c>
      <c r="G4053" t="n">
        <v>0</v>
      </c>
      <c r="H4053" t="n">
        <v/>
      </c>
      <c r="I4053" t="n">
        <v>0</v>
      </c>
      <c r="J4053" t="n">
        <v>0</v>
      </c>
      <c r="K4053" t="n">
        <v>5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/>
      </c>
      <c r="T4053" t="inlineStr">
        <is>
          <t>13</t>
        </is>
      </c>
      <c r="U4053" t="inlineStr">
        <is>
          <t>11</t>
        </is>
      </c>
      <c r="V4053" t="n">
        <v>2025</v>
      </c>
      <c r="W4053" t="n">
        <v/>
      </c>
    </row>
    <row r="4054">
      <c r="A4054" t="inlineStr">
        <is>
          <t>14/11/2025 11:18:13</t>
        </is>
      </c>
      <c r="B4054" t="inlineStr">
        <is>
          <t>Phan Ngọc Sang</t>
        </is>
      </c>
      <c r="C4054" t="inlineStr">
        <is>
          <t>13/11/2025</t>
        </is>
      </c>
      <c r="D4054" t="n">
        <v>0</v>
      </c>
      <c r="E4054" t="n">
        <v>1</v>
      </c>
      <c r="F4054" t="n">
        <v>0</v>
      </c>
      <c r="G4054" t="n">
        <v>0</v>
      </c>
      <c r="H4054" t="n">
        <v/>
      </c>
      <c r="I4054" t="n">
        <v>0</v>
      </c>
      <c r="J4054" t="n">
        <v>0</v>
      </c>
      <c r="K4054" t="n">
        <v>9</v>
      </c>
      <c r="L4054" t="n">
        <v>0</v>
      </c>
      <c r="M4054" t="n">
        <v>2</v>
      </c>
      <c r="N4054" t="n">
        <v>0</v>
      </c>
      <c r="O4054" t="n">
        <v>0</v>
      </c>
      <c r="P4054" t="n">
        <v>1</v>
      </c>
      <c r="Q4054" t="n">
        <v>1</v>
      </c>
      <c r="R4054" t="n">
        <v>0</v>
      </c>
      <c r="S4054" t="n">
        <v/>
      </c>
      <c r="T4054" t="inlineStr">
        <is>
          <t>13</t>
        </is>
      </c>
      <c r="U4054" t="inlineStr">
        <is>
          <t>11</t>
        </is>
      </c>
      <c r="V4054" t="n">
        <v>2025</v>
      </c>
      <c r="W4054" t="n">
        <v/>
      </c>
    </row>
    <row r="4055">
      <c r="A4055" t="inlineStr">
        <is>
          <t>14/11/2025 11:32:27</t>
        </is>
      </c>
      <c r="B4055" t="inlineStr">
        <is>
          <t>Hồ Xuân Việt</t>
        </is>
      </c>
      <c r="C4055" t="inlineStr">
        <is>
          <t>14/11/2025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2</v>
      </c>
      <c r="R4055" t="n">
        <v>0</v>
      </c>
      <c r="S4055" t="n">
        <v/>
      </c>
      <c r="T4055" t="inlineStr">
        <is>
          <t>14</t>
        </is>
      </c>
      <c r="U4055" t="inlineStr">
        <is>
          <t>11</t>
        </is>
      </c>
      <c r="V4055" t="n">
        <v>2025</v>
      </c>
      <c r="W4055" t="n">
        <v/>
      </c>
    </row>
    <row r="4056">
      <c r="A4056" t="inlineStr">
        <is>
          <t>14/11/2025 11:33:32</t>
        </is>
      </c>
      <c r="B4056" t="inlineStr">
        <is>
          <t>Lương Duy Hải</t>
        </is>
      </c>
      <c r="C4056" t="inlineStr">
        <is>
          <t>13/11/2025</t>
        </is>
      </c>
      <c r="D4056" t="n">
        <v>0</v>
      </c>
      <c r="E4056" t="n">
        <v>0</v>
      </c>
      <c r="F4056" t="n">
        <v>0</v>
      </c>
      <c r="G4056" t="n">
        <v>1</v>
      </c>
      <c r="H4056" t="n">
        <v>1</v>
      </c>
      <c r="I4056" t="n">
        <v>1</v>
      </c>
      <c r="J4056" t="n">
        <v>1</v>
      </c>
      <c r="K4056" t="n">
        <v>6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2</v>
      </c>
      <c r="R4056" t="n">
        <v>2</v>
      </c>
      <c r="S4056" t="n">
        <v/>
      </c>
      <c r="T4056" t="inlineStr">
        <is>
          <t>13</t>
        </is>
      </c>
      <c r="U4056" t="inlineStr">
        <is>
          <t>11</t>
        </is>
      </c>
      <c r="V4056" t="n">
        <v>2025</v>
      </c>
      <c r="W4056" t="n">
        <v/>
      </c>
    </row>
    <row r="4057">
      <c r="A4057" t="inlineStr">
        <is>
          <t>14/11/2025 11:36:25</t>
        </is>
      </c>
      <c r="B4057" t="inlineStr">
        <is>
          <t>Nguyễn Văn Hiệp</t>
        </is>
      </c>
      <c r="C4057" t="inlineStr">
        <is>
          <t>13/11/2025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/>
      </c>
      <c r="T4057" t="inlineStr">
        <is>
          <t>13</t>
        </is>
      </c>
      <c r="U4057" t="inlineStr">
        <is>
          <t>11</t>
        </is>
      </c>
      <c r="V4057" t="n">
        <v>2025</v>
      </c>
      <c r="W4057" t="n">
        <v/>
      </c>
    </row>
    <row r="4058">
      <c r="A4058" t="inlineStr">
        <is>
          <t>14/11/2025 11:41:29</t>
        </is>
      </c>
      <c r="B4058" t="inlineStr">
        <is>
          <t>Nguyễn Hồng Minh</t>
        </is>
      </c>
      <c r="C4058" t="inlineStr">
        <is>
          <t>13/11/2025</t>
        </is>
      </c>
      <c r="D4058" t="n">
        <v>0</v>
      </c>
      <c r="E4058" t="n">
        <v>0</v>
      </c>
      <c r="F4058" t="n">
        <v>0</v>
      </c>
      <c r="G4058" t="n">
        <v>1</v>
      </c>
      <c r="H4058" t="n">
        <v>1</v>
      </c>
      <c r="I4058" t="n">
        <v>1</v>
      </c>
      <c r="J4058" t="n">
        <v>0</v>
      </c>
      <c r="K4058" t="n">
        <v>15</v>
      </c>
      <c r="L4058" t="n">
        <v>2</v>
      </c>
      <c r="M4058" t="n">
        <v>0</v>
      </c>
      <c r="N4058" t="n">
        <v>1</v>
      </c>
      <c r="O4058" t="n">
        <v>0</v>
      </c>
      <c r="P4058" t="n">
        <v>0</v>
      </c>
      <c r="Q4058" t="n">
        <v>3</v>
      </c>
      <c r="R4058" t="n">
        <v>0</v>
      </c>
      <c r="S4058" t="n">
        <v/>
      </c>
      <c r="T4058" t="inlineStr">
        <is>
          <t>13</t>
        </is>
      </c>
      <c r="U4058" t="inlineStr">
        <is>
          <t>11</t>
        </is>
      </c>
      <c r="V4058" t="n">
        <v>2025</v>
      </c>
      <c r="W4058" t="n">
        <v/>
      </c>
    </row>
    <row r="4059">
      <c r="A4059" t="inlineStr">
        <is>
          <t>14/11/2025 11:47:28</t>
        </is>
      </c>
      <c r="B4059" t="inlineStr">
        <is>
          <t>Nguyễn Văn Nhật</t>
        </is>
      </c>
      <c r="C4059" t="inlineStr">
        <is>
          <t>13/11/2025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3</v>
      </c>
      <c r="L4059" t="n">
        <v>2</v>
      </c>
      <c r="M4059" t="n">
        <v>1</v>
      </c>
      <c r="N4059" t="n">
        <v>2</v>
      </c>
      <c r="O4059" t="n">
        <v>0</v>
      </c>
      <c r="P4059" t="n">
        <v>2</v>
      </c>
      <c r="Q4059" t="n">
        <v>5</v>
      </c>
      <c r="R4059" t="n">
        <v>0</v>
      </c>
      <c r="S4059" t="n">
        <v/>
      </c>
      <c r="T4059" t="inlineStr">
        <is>
          <t>13</t>
        </is>
      </c>
      <c r="U4059" t="inlineStr">
        <is>
          <t>11</t>
        </is>
      </c>
      <c r="V4059" t="n">
        <v>2025</v>
      </c>
      <c r="W4059" t="n">
        <v/>
      </c>
    </row>
    <row r="4060">
      <c r="A4060" t="inlineStr">
        <is>
          <t>14/11/2025 11:53:13</t>
        </is>
      </c>
      <c r="B4060" t="inlineStr">
        <is>
          <t>Huỳnh Văn Lực</t>
        </is>
      </c>
      <c r="C4060" t="inlineStr">
        <is>
          <t>13/11/2025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4</v>
      </c>
      <c r="L4060" t="n">
        <v>0</v>
      </c>
      <c r="M4060" t="n">
        <v>0</v>
      </c>
      <c r="N4060" t="n">
        <v>0</v>
      </c>
      <c r="O4060" t="n">
        <v>0</v>
      </c>
      <c r="P4060" t="n">
        <v>2</v>
      </c>
      <c r="Q4060" t="n">
        <v>0</v>
      </c>
      <c r="R4060" t="n">
        <v>0</v>
      </c>
      <c r="S4060" t="n">
        <v/>
      </c>
      <c r="T4060" t="inlineStr">
        <is>
          <t>13</t>
        </is>
      </c>
      <c r="U4060" t="inlineStr">
        <is>
          <t>11</t>
        </is>
      </c>
      <c r="V4060" t="n">
        <v>2025</v>
      </c>
      <c r="W4060" t="n">
        <v/>
      </c>
    </row>
    <row r="4061">
      <c r="A4061" t="inlineStr">
        <is>
          <t>14/11/2025 12:05:46</t>
        </is>
      </c>
      <c r="B4061" t="inlineStr">
        <is>
          <t>Bùi Duy Cường</t>
        </is>
      </c>
      <c r="C4061" t="inlineStr">
        <is>
          <t>13/11/2025</t>
        </is>
      </c>
      <c r="D4061" t="n">
        <v>0</v>
      </c>
      <c r="E4061" t="n">
        <v>0</v>
      </c>
      <c r="F4061" t="n">
        <v>0</v>
      </c>
      <c r="G4061" t="n">
        <v>1</v>
      </c>
      <c r="H4061" t="n">
        <v>1</v>
      </c>
      <c r="I4061" t="n">
        <v>2</v>
      </c>
      <c r="J4061" t="n">
        <v>1</v>
      </c>
      <c r="K4061" t="n">
        <v>18</v>
      </c>
      <c r="L4061" t="n">
        <v>0</v>
      </c>
      <c r="M4061" t="n">
        <v>0</v>
      </c>
      <c r="N4061" t="n">
        <v>1</v>
      </c>
      <c r="O4061" t="n">
        <v>1</v>
      </c>
      <c r="P4061" t="n">
        <v>1</v>
      </c>
      <c r="Q4061" t="n">
        <v>3</v>
      </c>
      <c r="R4061" t="n">
        <v>0</v>
      </c>
      <c r="S4061" t="n">
        <v/>
      </c>
      <c r="T4061" t="inlineStr">
        <is>
          <t>13</t>
        </is>
      </c>
      <c r="U4061" t="inlineStr">
        <is>
          <t>11</t>
        </is>
      </c>
      <c r="V4061" t="n">
        <v>2025</v>
      </c>
      <c r="W4061" t="n">
        <v/>
      </c>
    </row>
    <row r="4062">
      <c r="A4062" t="inlineStr">
        <is>
          <t>14/11/2025 12:08:23</t>
        </is>
      </c>
      <c r="B4062" t="inlineStr">
        <is>
          <t>Trần Trung Giang</t>
        </is>
      </c>
      <c r="C4062" t="inlineStr">
        <is>
          <t>13/11/2025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1</v>
      </c>
      <c r="K4062" t="n">
        <v>6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0</v>
      </c>
      <c r="S4062" t="n">
        <v/>
      </c>
      <c r="T4062" t="inlineStr">
        <is>
          <t>13</t>
        </is>
      </c>
      <c r="U4062" t="inlineStr">
        <is>
          <t>11</t>
        </is>
      </c>
      <c r="V4062" t="n">
        <v>2025</v>
      </c>
      <c r="W4062" t="n">
        <v/>
      </c>
    </row>
    <row r="4063">
      <c r="A4063" t="inlineStr">
        <is>
          <t>14/11/2025 12:08:46</t>
        </is>
      </c>
      <c r="B4063" t="inlineStr">
        <is>
          <t>Trần Xuân Khoa</t>
        </is>
      </c>
      <c r="C4063" t="inlineStr">
        <is>
          <t>13/11/2025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5</v>
      </c>
      <c r="L4063" t="n">
        <v>0</v>
      </c>
      <c r="M4063" t="n">
        <v>0</v>
      </c>
      <c r="N4063" t="n">
        <v>0</v>
      </c>
      <c r="O4063" t="n">
        <v>0</v>
      </c>
      <c r="P4063" t="n">
        <v>1</v>
      </c>
      <c r="Q4063" t="n">
        <v>3</v>
      </c>
      <c r="R4063" t="n">
        <v>0</v>
      </c>
      <c r="S4063" t="n">
        <v/>
      </c>
      <c r="T4063" t="inlineStr">
        <is>
          <t>13</t>
        </is>
      </c>
      <c r="U4063" t="inlineStr">
        <is>
          <t>11</t>
        </is>
      </c>
      <c r="V4063" t="n">
        <v>2025</v>
      </c>
      <c r="W4063" t="n">
        <v/>
      </c>
    </row>
    <row r="4064">
      <c r="A4064" t="inlineStr">
        <is>
          <t>14/11/2025 23:19:19</t>
        </is>
      </c>
      <c r="B4064" t="inlineStr">
        <is>
          <t>Trần Minh Khánh</t>
        </is>
      </c>
      <c r="C4064" t="inlineStr">
        <is>
          <t>14/11/2025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7</v>
      </c>
      <c r="L4064" t="n">
        <v>0</v>
      </c>
      <c r="M4064" t="n">
        <v>0</v>
      </c>
      <c r="N4064" t="n">
        <v>0</v>
      </c>
      <c r="O4064" t="n">
        <v>0</v>
      </c>
      <c r="P4064" t="n">
        <v>2</v>
      </c>
      <c r="Q4064" t="n">
        <v>4</v>
      </c>
      <c r="R4064" t="n">
        <v>0</v>
      </c>
      <c r="S4064" t="n">
        <v/>
      </c>
      <c r="T4064" t="inlineStr">
        <is>
          <t>14</t>
        </is>
      </c>
      <c r="U4064" t="inlineStr">
        <is>
          <t>11</t>
        </is>
      </c>
      <c r="V4064" t="n">
        <v>2025</v>
      </c>
      <c r="W4064" t="n">
        <v/>
      </c>
    </row>
    <row r="4065">
      <c r="A4065" t="inlineStr">
        <is>
          <t>15/11/2025 7:39:50</t>
        </is>
      </c>
      <c r="B4065" t="inlineStr">
        <is>
          <t>Hồ Xuân Việt</t>
        </is>
      </c>
      <c r="C4065" t="inlineStr">
        <is>
          <t>14/11/2025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6</v>
      </c>
      <c r="L4065" t="n">
        <v>0</v>
      </c>
      <c r="M4065" t="n">
        <v>1</v>
      </c>
      <c r="N4065" t="n">
        <v>1</v>
      </c>
      <c r="O4065" t="n">
        <v>0</v>
      </c>
      <c r="P4065" t="n">
        <v>1</v>
      </c>
      <c r="Q4065" t="n">
        <v>6</v>
      </c>
      <c r="R4065" t="n">
        <v>0</v>
      </c>
      <c r="S4065" t="n">
        <v/>
      </c>
      <c r="T4065" t="inlineStr">
        <is>
          <t>14</t>
        </is>
      </c>
      <c r="U4065" t="inlineStr">
        <is>
          <t>11</t>
        </is>
      </c>
      <c r="V4065" t="n">
        <v>2025</v>
      </c>
      <c r="W4065" t="n">
        <v/>
      </c>
    </row>
    <row r="4066">
      <c r="A4066" t="inlineStr">
        <is>
          <t>15/11/2025 7:56:17</t>
        </is>
      </c>
      <c r="B4066" t="inlineStr">
        <is>
          <t>Bùi Duy Cường</t>
        </is>
      </c>
      <c r="C4066" t="inlineStr">
        <is>
          <t>14/11/2025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10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2</v>
      </c>
      <c r="R4066" t="n">
        <v>0</v>
      </c>
      <c r="S4066" t="n">
        <v/>
      </c>
      <c r="T4066" t="inlineStr">
        <is>
          <t>14</t>
        </is>
      </c>
      <c r="U4066" t="inlineStr">
        <is>
          <t>11</t>
        </is>
      </c>
      <c r="V4066" t="n">
        <v>2025</v>
      </c>
      <c r="W4066" t="n">
        <v/>
      </c>
    </row>
    <row r="4067">
      <c r="A4067" t="inlineStr">
        <is>
          <t>15/11/2025 7:56:46</t>
        </is>
      </c>
      <c r="B4067" t="inlineStr">
        <is>
          <t>Trần Trung Giang</t>
        </is>
      </c>
      <c r="C4067" t="inlineStr">
        <is>
          <t>14/11/2025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7</v>
      </c>
      <c r="L4067" t="n">
        <v>0</v>
      </c>
      <c r="M4067" t="n">
        <v>0</v>
      </c>
      <c r="N4067" t="n">
        <v>1</v>
      </c>
      <c r="O4067" t="n">
        <v>0</v>
      </c>
      <c r="P4067" t="n">
        <v>3</v>
      </c>
      <c r="Q4067" t="n">
        <v>1</v>
      </c>
      <c r="R4067" t="n">
        <v>4</v>
      </c>
      <c r="S4067" t="n">
        <v/>
      </c>
      <c r="T4067" t="inlineStr">
        <is>
          <t>14</t>
        </is>
      </c>
      <c r="U4067" t="inlineStr">
        <is>
          <t>11</t>
        </is>
      </c>
      <c r="V4067" t="n">
        <v>2025</v>
      </c>
      <c r="W4067" t="n">
        <v/>
      </c>
    </row>
    <row r="4068">
      <c r="A4068" t="inlineStr">
        <is>
          <t>15/11/2025 8:04:47</t>
        </is>
      </c>
      <c r="B4068" t="inlineStr">
        <is>
          <t>Nguyễn Quang Anh Tuấn</t>
        </is>
      </c>
      <c r="C4068" t="inlineStr">
        <is>
          <t>14/11/2025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11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/>
      </c>
      <c r="T4068" t="inlineStr">
        <is>
          <t>14</t>
        </is>
      </c>
      <c r="U4068" t="inlineStr">
        <is>
          <t>11</t>
        </is>
      </c>
      <c r="V4068" t="n">
        <v>2025</v>
      </c>
      <c r="W4068" t="n">
        <v/>
      </c>
    </row>
    <row r="4069">
      <c r="A4069" t="inlineStr">
        <is>
          <t>15/11/2025 8:05:22</t>
        </is>
      </c>
      <c r="B4069" t="inlineStr">
        <is>
          <t>Lê Quốc Duy</t>
        </is>
      </c>
      <c r="C4069" t="inlineStr">
        <is>
          <t>14/11/2025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15</v>
      </c>
      <c r="L4069" t="n">
        <v>0</v>
      </c>
      <c r="M4069" t="n">
        <v>0</v>
      </c>
      <c r="N4069" t="n">
        <v>0</v>
      </c>
      <c r="O4069" t="n">
        <v>0</v>
      </c>
      <c r="P4069" t="n">
        <v>2</v>
      </c>
      <c r="Q4069" t="n">
        <v>3</v>
      </c>
      <c r="R4069" t="n">
        <v>3</v>
      </c>
      <c r="S4069" t="n">
        <v/>
      </c>
      <c r="T4069" t="inlineStr">
        <is>
          <t>14</t>
        </is>
      </c>
      <c r="U4069" t="inlineStr">
        <is>
          <t>11</t>
        </is>
      </c>
      <c r="V4069" t="n">
        <v>2025</v>
      </c>
      <c r="W4069" t="n">
        <v/>
      </c>
    </row>
    <row r="4070">
      <c r="A4070" t="inlineStr">
        <is>
          <t>15/11/2025 8:09:50</t>
        </is>
      </c>
      <c r="B4070" t="inlineStr">
        <is>
          <t>Nguyễn Văn Hiệp</t>
        </is>
      </c>
      <c r="C4070" t="inlineStr">
        <is>
          <t>14/11/2025</t>
        </is>
      </c>
      <c r="D4070" t="n">
        <v>1</v>
      </c>
      <c r="E4070" t="n">
        <v>1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6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/>
      </c>
      <c r="T4070" t="inlineStr">
        <is>
          <t>14</t>
        </is>
      </c>
      <c r="U4070" t="inlineStr">
        <is>
          <t>11</t>
        </is>
      </c>
      <c r="V4070" t="n">
        <v>2025</v>
      </c>
      <c r="W4070" t="n">
        <v/>
      </c>
    </row>
    <row r="4071">
      <c r="A4071" t="inlineStr">
        <is>
          <t>15/11/2025 8:17:44</t>
        </is>
      </c>
      <c r="B4071" t="inlineStr">
        <is>
          <t>Nguyễn Tuấn Anh</t>
        </is>
      </c>
      <c r="C4071" t="inlineStr">
        <is>
          <t>14/11/2025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60</v>
      </c>
      <c r="L4071" t="n">
        <v>0</v>
      </c>
      <c r="M4071" t="n">
        <v>0</v>
      </c>
      <c r="N4071" t="n">
        <v>1</v>
      </c>
      <c r="O4071" t="n">
        <v>0</v>
      </c>
      <c r="P4071" t="n">
        <v>2</v>
      </c>
      <c r="Q4071" t="n">
        <v>1</v>
      </c>
      <c r="R4071" t="n">
        <v>0</v>
      </c>
      <c r="S4071" t="n">
        <v/>
      </c>
      <c r="T4071" t="inlineStr">
        <is>
          <t>14</t>
        </is>
      </c>
      <c r="U4071" t="inlineStr">
        <is>
          <t>11</t>
        </is>
      </c>
      <c r="V4071" t="n">
        <v>2025</v>
      </c>
      <c r="W4071" t="n">
        <v/>
      </c>
    </row>
    <row r="4072">
      <c r="A4072" t="inlineStr">
        <is>
          <t>15/11/2025 8:19:34</t>
        </is>
      </c>
      <c r="B4072" t="inlineStr">
        <is>
          <t>Đặng Hoài Anh</t>
        </is>
      </c>
      <c r="C4072" t="inlineStr">
        <is>
          <t>14/11/2025</t>
        </is>
      </c>
      <c r="D4072" t="n">
        <v>2</v>
      </c>
      <c r="E4072" t="n">
        <v>1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2</v>
      </c>
      <c r="L4072" t="n">
        <v>0</v>
      </c>
      <c r="M4072" t="n">
        <v>2</v>
      </c>
      <c r="N4072" t="n">
        <v>0</v>
      </c>
      <c r="O4072" t="n">
        <v>0</v>
      </c>
      <c r="P4072" t="n">
        <v>0</v>
      </c>
      <c r="Q4072" t="n">
        <v>2</v>
      </c>
      <c r="R4072" t="n">
        <v>0</v>
      </c>
      <c r="S4072" t="n">
        <v/>
      </c>
      <c r="T4072" t="inlineStr">
        <is>
          <t>14</t>
        </is>
      </c>
      <c r="U4072" t="inlineStr">
        <is>
          <t>11</t>
        </is>
      </c>
      <c r="V4072" t="n">
        <v>2025</v>
      </c>
      <c r="W4072" t="n">
        <v/>
      </c>
    </row>
    <row r="4073">
      <c r="A4073" t="inlineStr">
        <is>
          <t>15/11/2025 8:23:28</t>
        </is>
      </c>
      <c r="B4073" t="inlineStr">
        <is>
          <t>Huỳnh Văn Lực</t>
        </is>
      </c>
      <c r="C4073" t="inlineStr">
        <is>
          <t>14/11/2025</t>
        </is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6</v>
      </c>
      <c r="L4073" t="n">
        <v>0</v>
      </c>
      <c r="M4073" t="n">
        <v>1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/>
      </c>
      <c r="T4073" t="inlineStr">
        <is>
          <t>14</t>
        </is>
      </c>
      <c r="U4073" t="inlineStr">
        <is>
          <t>11</t>
        </is>
      </c>
      <c r="V4073" t="n">
        <v>2025</v>
      </c>
      <c r="W4073" t="n">
        <v/>
      </c>
    </row>
    <row r="4074">
      <c r="A4074" t="inlineStr">
        <is>
          <t>15/11/2025 8:41:49</t>
        </is>
      </c>
      <c r="B4074" t="inlineStr">
        <is>
          <t>Phan Ngọc Sang</t>
        </is>
      </c>
      <c r="C4074" t="inlineStr">
        <is>
          <t>14/11/2025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9</v>
      </c>
      <c r="L4074" t="n">
        <v>0</v>
      </c>
      <c r="M4074" t="n">
        <v>0</v>
      </c>
      <c r="N4074" t="n">
        <v>1</v>
      </c>
      <c r="O4074" t="n">
        <v>1</v>
      </c>
      <c r="P4074" t="n">
        <v>0</v>
      </c>
      <c r="Q4074" t="n">
        <v>2</v>
      </c>
      <c r="R4074" t="n">
        <v>0</v>
      </c>
      <c r="S4074" t="n">
        <v/>
      </c>
      <c r="T4074" t="inlineStr">
        <is>
          <t>14</t>
        </is>
      </c>
      <c r="U4074" t="inlineStr">
        <is>
          <t>11</t>
        </is>
      </c>
      <c r="V4074" t="n">
        <v>2025</v>
      </c>
      <c r="W4074" t="n">
        <v/>
      </c>
    </row>
    <row r="4075">
      <c r="A4075" t="inlineStr">
        <is>
          <t>15/11/2025 8:41:53</t>
        </is>
      </c>
      <c r="B4075" t="inlineStr">
        <is>
          <t>Đào Công Trung</t>
        </is>
      </c>
      <c r="C4075" t="inlineStr">
        <is>
          <t>14/11/2025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10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/>
      </c>
      <c r="T4075" t="inlineStr">
        <is>
          <t>14</t>
        </is>
      </c>
      <c r="U4075" t="inlineStr">
        <is>
          <t>11</t>
        </is>
      </c>
      <c r="V4075" t="n">
        <v>2025</v>
      </c>
      <c r="W4075" t="n">
        <v/>
      </c>
    </row>
    <row r="4076">
      <c r="A4076" t="inlineStr">
        <is>
          <t>15/11/2025 8:47:23</t>
        </is>
      </c>
      <c r="B4076" t="inlineStr">
        <is>
          <t>Nguyễn Thành Lâm</t>
        </is>
      </c>
      <c r="C4076" t="inlineStr">
        <is>
          <t>14/11/2025</t>
        </is>
      </c>
      <c r="D4076" t="n">
        <v>0</v>
      </c>
      <c r="E4076" t="n">
        <v>0</v>
      </c>
      <c r="F4076" t="n">
        <v>0</v>
      </c>
      <c r="G4076" t="n">
        <v>1</v>
      </c>
      <c r="H4076" t="n">
        <v>1</v>
      </c>
      <c r="I4076" t="n">
        <v>1</v>
      </c>
      <c r="J4076" t="n">
        <v>0</v>
      </c>
      <c r="K4076" t="n">
        <v>8</v>
      </c>
      <c r="L4076" t="n">
        <v>0</v>
      </c>
      <c r="M4076" t="n">
        <v>0</v>
      </c>
      <c r="N4076" t="n">
        <v>1</v>
      </c>
      <c r="O4076" t="n">
        <v>1</v>
      </c>
      <c r="P4076" t="n">
        <v>1</v>
      </c>
      <c r="Q4076" t="n">
        <v>3</v>
      </c>
      <c r="R4076" t="n">
        <v>0</v>
      </c>
      <c r="S4076" t="n">
        <v/>
      </c>
      <c r="T4076" t="inlineStr">
        <is>
          <t>14</t>
        </is>
      </c>
      <c r="U4076" t="inlineStr">
        <is>
          <t>11</t>
        </is>
      </c>
      <c r="V4076" t="n">
        <v>2025</v>
      </c>
      <c r="W4076" t="n">
        <v/>
      </c>
    </row>
    <row r="4077">
      <c r="A4077" t="inlineStr">
        <is>
          <t>15/11/2025 8:49:42</t>
        </is>
      </c>
      <c r="B4077" t="inlineStr">
        <is>
          <t>Dương Minh Tiến</t>
        </is>
      </c>
      <c r="C4077" t="inlineStr">
        <is>
          <t>14/11/2025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18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/>
      </c>
      <c r="T4077" t="inlineStr">
        <is>
          <t>14</t>
        </is>
      </c>
      <c r="U4077" t="inlineStr">
        <is>
          <t>11</t>
        </is>
      </c>
      <c r="V4077" t="n">
        <v>2025</v>
      </c>
      <c r="W4077" t="n">
        <v/>
      </c>
    </row>
    <row r="4078">
      <c r="A4078" t="inlineStr">
        <is>
          <t>15/11/2025 8:59:03</t>
        </is>
      </c>
      <c r="B4078" t="inlineStr">
        <is>
          <t>Trần Xuân Khoa</t>
        </is>
      </c>
      <c r="C4078" t="inlineStr">
        <is>
          <t>14/11/2025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6</v>
      </c>
      <c r="L4078" t="n">
        <v>0</v>
      </c>
      <c r="M4078" t="n">
        <v>1</v>
      </c>
      <c r="N4078" t="n">
        <v>0</v>
      </c>
      <c r="O4078" t="n">
        <v>0</v>
      </c>
      <c r="P4078" t="n">
        <v>1</v>
      </c>
      <c r="Q4078" t="n">
        <v>4</v>
      </c>
      <c r="R4078" t="n">
        <v>0</v>
      </c>
      <c r="S4078" t="n">
        <v/>
      </c>
      <c r="T4078" t="inlineStr">
        <is>
          <t>14</t>
        </is>
      </c>
      <c r="U4078" t="inlineStr">
        <is>
          <t>11</t>
        </is>
      </c>
      <c r="V4078" t="n">
        <v>2025</v>
      </c>
      <c r="W4078" t="n">
        <v/>
      </c>
    </row>
    <row r="4079">
      <c r="A4079" t="inlineStr">
        <is>
          <t>15/11/2025 9:57:29</t>
        </is>
      </c>
      <c r="B4079" t="inlineStr">
        <is>
          <t>Lương Duy Hoàng</t>
        </is>
      </c>
      <c r="C4079" t="inlineStr">
        <is>
          <t>15/11/2025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3</v>
      </c>
      <c r="L4079" t="n">
        <v>0</v>
      </c>
      <c r="M4079" t="n">
        <v>0</v>
      </c>
      <c r="N4079" t="n">
        <v>0</v>
      </c>
      <c r="O4079" t="n">
        <v>0</v>
      </c>
      <c r="P4079" t="n">
        <v>2</v>
      </c>
      <c r="Q4079" t="n">
        <v>4</v>
      </c>
      <c r="R4079" t="n">
        <v>0</v>
      </c>
      <c r="S4079" t="n">
        <v/>
      </c>
      <c r="T4079" t="inlineStr">
        <is>
          <t>15</t>
        </is>
      </c>
      <c r="U4079" t="inlineStr">
        <is>
          <t>11</t>
        </is>
      </c>
      <c r="V4079" t="n">
        <v>2025</v>
      </c>
      <c r="W4079" t="n">
        <v/>
      </c>
    </row>
    <row r="4080">
      <c r="A4080" t="inlineStr">
        <is>
          <t>15/11/2025 10:18:54</t>
        </is>
      </c>
      <c r="B4080" t="inlineStr">
        <is>
          <t>Hồ Xuân Việt</t>
        </is>
      </c>
      <c r="C4080" t="inlineStr">
        <is>
          <t>15/11/2025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1</v>
      </c>
      <c r="Q4080" t="n">
        <v>2</v>
      </c>
      <c r="R4080" t="n">
        <v>0</v>
      </c>
      <c r="S4080" t="n">
        <v/>
      </c>
      <c r="T4080" t="inlineStr">
        <is>
          <t>15</t>
        </is>
      </c>
      <c r="U4080" t="inlineStr">
        <is>
          <t>11</t>
        </is>
      </c>
      <c r="V4080" t="n">
        <v>2025</v>
      </c>
      <c r="W4080" t="n">
        <v/>
      </c>
    </row>
    <row r="4081">
      <c r="A4081" t="inlineStr">
        <is>
          <t>15/11/2025 10:18:55</t>
        </is>
      </c>
      <c r="B4081" t="inlineStr">
        <is>
          <t>Lê Văn Hồng</t>
        </is>
      </c>
      <c r="C4081" t="inlineStr">
        <is>
          <t>14/11/2025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6</v>
      </c>
      <c r="M4081" t="n">
        <v>2</v>
      </c>
      <c r="N4081" t="n">
        <v>0</v>
      </c>
      <c r="O4081" t="n">
        <v>0</v>
      </c>
      <c r="P4081" t="n">
        <v>2</v>
      </c>
      <c r="Q4081" t="n">
        <v>6</v>
      </c>
      <c r="R4081" t="n">
        <v>0</v>
      </c>
      <c r="S4081" t="n">
        <v/>
      </c>
      <c r="T4081" t="inlineStr">
        <is>
          <t>14</t>
        </is>
      </c>
      <c r="U4081" t="inlineStr">
        <is>
          <t>11</t>
        </is>
      </c>
      <c r="V4081" t="n">
        <v>2025</v>
      </c>
      <c r="W4081" t="n">
        <v/>
      </c>
    </row>
    <row r="4082">
      <c r="A4082" t="inlineStr">
        <is>
          <t>15/11/2025 10:20:58</t>
        </is>
      </c>
      <c r="B4082" t="inlineStr">
        <is>
          <t>Vòng Nhật Sang</t>
        </is>
      </c>
      <c r="C4082" t="inlineStr">
        <is>
          <t>14/11/2025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31</v>
      </c>
      <c r="L4082" t="n">
        <v>0</v>
      </c>
      <c r="M4082" t="n">
        <v>0</v>
      </c>
      <c r="N4082" t="n">
        <v>0</v>
      </c>
      <c r="O4082" t="n">
        <v>0</v>
      </c>
      <c r="P4082" t="n">
        <v>1</v>
      </c>
      <c r="Q4082" t="n">
        <v>5</v>
      </c>
      <c r="R4082" t="n">
        <v>0</v>
      </c>
      <c r="S4082" t="n">
        <v/>
      </c>
      <c r="T4082" t="inlineStr">
        <is>
          <t>14</t>
        </is>
      </c>
      <c r="U4082" t="inlineStr">
        <is>
          <t>11</t>
        </is>
      </c>
      <c r="V4082" t="n">
        <v>2025</v>
      </c>
      <c r="W4082" t="n">
        <v/>
      </c>
    </row>
    <row r="4083">
      <c r="A4083" t="inlineStr">
        <is>
          <t>15/11/2025 10:24:20</t>
        </is>
      </c>
      <c r="B4083" t="inlineStr">
        <is>
          <t>Hồ Thái Minh Trí</t>
        </is>
      </c>
      <c r="C4083" t="inlineStr">
        <is>
          <t>14/11/2025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14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3</v>
      </c>
      <c r="R4083" t="n">
        <v>0</v>
      </c>
      <c r="S4083" t="n">
        <v/>
      </c>
      <c r="T4083" t="inlineStr">
        <is>
          <t>14</t>
        </is>
      </c>
      <c r="U4083" t="inlineStr">
        <is>
          <t>11</t>
        </is>
      </c>
      <c r="V4083" t="n">
        <v>2025</v>
      </c>
      <c r="W4083" t="n">
        <v/>
      </c>
    </row>
    <row r="4084">
      <c r="A4084" t="inlineStr">
        <is>
          <t>15/11/2025 10:54:19</t>
        </is>
      </c>
      <c r="B4084" t="inlineStr">
        <is>
          <t>Phan Thành Thái</t>
        </is>
      </c>
      <c r="C4084" t="inlineStr">
        <is>
          <t>14/11/2025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10</v>
      </c>
      <c r="L4084" t="n">
        <v>0</v>
      </c>
      <c r="M4084" t="n">
        <v>0</v>
      </c>
      <c r="N4084" t="n">
        <v>1</v>
      </c>
      <c r="O4084" t="n">
        <v>0</v>
      </c>
      <c r="P4084" t="n">
        <v>1</v>
      </c>
      <c r="Q4084" t="n">
        <v>4</v>
      </c>
      <c r="R4084" t="n">
        <v>0</v>
      </c>
      <c r="S4084" t="n">
        <v/>
      </c>
      <c r="T4084" t="inlineStr">
        <is>
          <t>14</t>
        </is>
      </c>
      <c r="U4084" t="inlineStr">
        <is>
          <t>11</t>
        </is>
      </c>
      <c r="V4084" t="n">
        <v>2025</v>
      </c>
      <c r="W4084" t="n">
        <v/>
      </c>
    </row>
    <row r="4085">
      <c r="A4085" t="inlineStr">
        <is>
          <t>15/11/2025 20:59:30</t>
        </is>
      </c>
      <c r="B4085" t="inlineStr">
        <is>
          <t>Đặng Hữu Danh</t>
        </is>
      </c>
      <c r="C4085" t="inlineStr">
        <is>
          <t>15/11/2025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8</v>
      </c>
      <c r="L4085" t="n">
        <v>0</v>
      </c>
      <c r="M4085" t="n">
        <v>1</v>
      </c>
      <c r="N4085" t="n">
        <v>0</v>
      </c>
      <c r="O4085" t="n">
        <v>1</v>
      </c>
      <c r="P4085" t="n">
        <v>2</v>
      </c>
      <c r="Q4085" t="n">
        <v>3</v>
      </c>
      <c r="R4085" t="n">
        <v>0</v>
      </c>
      <c r="S4085" t="n">
        <v/>
      </c>
      <c r="T4085" t="inlineStr">
        <is>
          <t>15</t>
        </is>
      </c>
      <c r="U4085" t="inlineStr">
        <is>
          <t>11</t>
        </is>
      </c>
      <c r="V4085" t="n">
        <v>2025</v>
      </c>
      <c r="W4085" t="n">
        <v/>
      </c>
    </row>
    <row r="4086">
      <c r="A4086" t="inlineStr">
        <is>
          <t>16/11/2025 6:35:46</t>
        </is>
      </c>
      <c r="B4086" t="inlineStr">
        <is>
          <t>Lê Quốc Duy</t>
        </is>
      </c>
      <c r="C4086" t="inlineStr">
        <is>
          <t>15/11/2025</t>
        </is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30</v>
      </c>
      <c r="J4086" t="n">
        <v>0</v>
      </c>
      <c r="K4086" t="n">
        <v>2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7</v>
      </c>
      <c r="R4086" t="n">
        <v>0</v>
      </c>
      <c r="S4086" t="n">
        <v/>
      </c>
      <c r="T4086" t="inlineStr">
        <is>
          <t>15</t>
        </is>
      </c>
      <c r="U4086" t="inlineStr">
        <is>
          <t>11</t>
        </is>
      </c>
      <c r="V4086" t="n">
        <v>2025</v>
      </c>
      <c r="W4086" t="n">
        <v/>
      </c>
    </row>
    <row r="4087">
      <c r="A4087" t="inlineStr">
        <is>
          <t>16/11/2025 6:41:12</t>
        </is>
      </c>
      <c r="B4087" t="inlineStr">
        <is>
          <t>Phan Ngọc Sang</t>
        </is>
      </c>
      <c r="C4087" t="inlineStr">
        <is>
          <t>15/11/2025</t>
        </is>
      </c>
      <c r="D4087" t="n">
        <v>0</v>
      </c>
      <c r="E4087" t="n">
        <v>0</v>
      </c>
      <c r="F4087" t="n">
        <v>0</v>
      </c>
      <c r="G4087" t="n">
        <v>1</v>
      </c>
      <c r="H4087" t="n">
        <v>0</v>
      </c>
      <c r="I4087" t="n">
        <v>1</v>
      </c>
      <c r="J4087" t="n">
        <v>0</v>
      </c>
      <c r="K4087" t="n">
        <v>11</v>
      </c>
      <c r="L4087" t="n">
        <v>0</v>
      </c>
      <c r="M4087" t="n">
        <v>0</v>
      </c>
      <c r="N4087" t="n">
        <v>2</v>
      </c>
      <c r="O4087" t="n">
        <v>1</v>
      </c>
      <c r="P4087" t="n">
        <v>0</v>
      </c>
      <c r="Q4087" t="n">
        <v>2</v>
      </c>
      <c r="R4087" t="n">
        <v>0</v>
      </c>
      <c r="S4087" t="n">
        <v/>
      </c>
      <c r="T4087" t="inlineStr">
        <is>
          <t>15</t>
        </is>
      </c>
      <c r="U4087" t="inlineStr">
        <is>
          <t>11</t>
        </is>
      </c>
      <c r="V4087" t="n">
        <v>2025</v>
      </c>
      <c r="W4087" t="n">
        <v/>
      </c>
    </row>
    <row r="4088">
      <c r="A4088" t="inlineStr">
        <is>
          <t>16/11/2025 6:52:48</t>
        </is>
      </c>
      <c r="B4088" t="inlineStr">
        <is>
          <t>Dương Minh Tiến</t>
        </is>
      </c>
      <c r="C4088" t="inlineStr">
        <is>
          <t>15/11/2025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14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/>
      </c>
      <c r="T4088" t="inlineStr">
        <is>
          <t>15</t>
        </is>
      </c>
      <c r="U4088" t="inlineStr">
        <is>
          <t>11</t>
        </is>
      </c>
      <c r="V4088" t="n">
        <v>2025</v>
      </c>
      <c r="W4088" t="n">
        <v/>
      </c>
    </row>
    <row r="4089">
      <c r="A4089" t="inlineStr">
        <is>
          <t>16/11/2025 6:58:24</t>
        </is>
      </c>
      <c r="B4089" t="inlineStr">
        <is>
          <t>Hồ Thái Minh Trí</t>
        </is>
      </c>
      <c r="C4089" t="inlineStr">
        <is>
          <t>15/11/2025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4</v>
      </c>
      <c r="L4089" t="n">
        <v>0</v>
      </c>
      <c r="M4089" t="n">
        <v>1</v>
      </c>
      <c r="N4089" t="n">
        <v>0</v>
      </c>
      <c r="O4089" t="n">
        <v>0</v>
      </c>
      <c r="P4089" t="n">
        <v>1</v>
      </c>
      <c r="Q4089" t="n">
        <v>1</v>
      </c>
      <c r="R4089" t="n">
        <v>0</v>
      </c>
      <c r="S4089" t="n">
        <v/>
      </c>
      <c r="T4089" t="inlineStr">
        <is>
          <t>15</t>
        </is>
      </c>
      <c r="U4089" t="inlineStr">
        <is>
          <t>11</t>
        </is>
      </c>
      <c r="V4089" t="n">
        <v>2025</v>
      </c>
      <c r="W4089" t="n">
        <v/>
      </c>
    </row>
    <row r="4090">
      <c r="A4090" t="inlineStr">
        <is>
          <t>16/11/2025 6:59:18</t>
        </is>
      </c>
      <c r="B4090" t="inlineStr">
        <is>
          <t>Lương Duy Hoàng</t>
        </is>
      </c>
      <c r="C4090" t="inlineStr">
        <is>
          <t>16/11/2025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3</v>
      </c>
      <c r="L4090" t="n">
        <v>0</v>
      </c>
      <c r="M4090" t="n">
        <v>0</v>
      </c>
      <c r="N4090" t="n">
        <v>0</v>
      </c>
      <c r="O4090" t="n">
        <v>0</v>
      </c>
      <c r="P4090" t="n">
        <v>1</v>
      </c>
      <c r="Q4090" t="n">
        <v>4</v>
      </c>
      <c r="R4090" t="n">
        <v>0</v>
      </c>
      <c r="S4090" t="n">
        <v/>
      </c>
      <c r="T4090" t="inlineStr">
        <is>
          <t>16</t>
        </is>
      </c>
      <c r="U4090" t="inlineStr">
        <is>
          <t>11</t>
        </is>
      </c>
      <c r="V4090" t="n">
        <v>2025</v>
      </c>
      <c r="W4090" t="n">
        <v/>
      </c>
    </row>
    <row r="4091">
      <c r="A4091" t="inlineStr">
        <is>
          <t>16/11/2025 7:00:55</t>
        </is>
      </c>
      <c r="B4091" t="inlineStr">
        <is>
          <t>Phan Thành Thái</t>
        </is>
      </c>
      <c r="C4091" t="inlineStr">
        <is>
          <t>15/11/2025</t>
        </is>
      </c>
      <c r="D4091" t="n">
        <v>0</v>
      </c>
      <c r="E4091" t="n">
        <v>1</v>
      </c>
      <c r="F4091" t="n">
        <v>0</v>
      </c>
      <c r="G4091" t="n">
        <v>1</v>
      </c>
      <c r="H4091" t="n">
        <v>1</v>
      </c>
      <c r="I4091" t="n">
        <v>1</v>
      </c>
      <c r="J4091" t="n">
        <v>0</v>
      </c>
      <c r="K4091" t="n">
        <v>6</v>
      </c>
      <c r="L4091" t="n">
        <v>0</v>
      </c>
      <c r="M4091" t="n">
        <v>1</v>
      </c>
      <c r="N4091" t="n">
        <v>0</v>
      </c>
      <c r="O4091" t="n">
        <v>0</v>
      </c>
      <c r="P4091" t="n">
        <v>2</v>
      </c>
      <c r="Q4091" t="n">
        <v>4</v>
      </c>
      <c r="R4091" t="n">
        <v>0</v>
      </c>
      <c r="S4091" t="n">
        <v/>
      </c>
      <c r="T4091" t="inlineStr">
        <is>
          <t>15</t>
        </is>
      </c>
      <c r="U4091" t="inlineStr">
        <is>
          <t>11</t>
        </is>
      </c>
      <c r="V4091" t="n">
        <v>2025</v>
      </c>
      <c r="W4091" t="n">
        <v/>
      </c>
    </row>
    <row r="4092">
      <c r="A4092" t="inlineStr">
        <is>
          <t>16/11/2025 7:03:37</t>
        </is>
      </c>
      <c r="B4092" t="inlineStr">
        <is>
          <t>Hồ Xuân Việt</t>
        </is>
      </c>
      <c r="C4092" t="inlineStr">
        <is>
          <t>15/11/2025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6</v>
      </c>
      <c r="L4092" t="n">
        <v>0</v>
      </c>
      <c r="M4092" t="n">
        <v>1</v>
      </c>
      <c r="N4092" t="n">
        <v>1</v>
      </c>
      <c r="O4092" t="n">
        <v>0</v>
      </c>
      <c r="P4092" t="n">
        <v>1</v>
      </c>
      <c r="Q4092" t="n">
        <v>5</v>
      </c>
      <c r="R4092" t="n">
        <v>0</v>
      </c>
      <c r="S4092" t="n">
        <v/>
      </c>
      <c r="T4092" t="inlineStr">
        <is>
          <t>15</t>
        </is>
      </c>
      <c r="U4092" t="inlineStr">
        <is>
          <t>11</t>
        </is>
      </c>
      <c r="V4092" t="n">
        <v>2025</v>
      </c>
      <c r="W4092" t="n">
        <v/>
      </c>
    </row>
    <row r="4093">
      <c r="A4093" t="inlineStr">
        <is>
          <t>16/11/2025 7:05:04</t>
        </is>
      </c>
      <c r="B4093" t="inlineStr">
        <is>
          <t>Trần Trung Giang</t>
        </is>
      </c>
      <c r="C4093" t="inlineStr">
        <is>
          <t>15/11/2025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3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/>
      </c>
      <c r="T4093" t="inlineStr">
        <is>
          <t>15</t>
        </is>
      </c>
      <c r="U4093" t="inlineStr">
        <is>
          <t>11</t>
        </is>
      </c>
      <c r="V4093" t="n">
        <v>2025</v>
      </c>
      <c r="W4093" t="n">
        <v/>
      </c>
    </row>
    <row r="4094">
      <c r="A4094" t="inlineStr">
        <is>
          <t>16/11/2025 7:08:21</t>
        </is>
      </c>
      <c r="B4094" t="inlineStr">
        <is>
          <t>Vòng Nhật Sang</t>
        </is>
      </c>
      <c r="C4094" t="inlineStr">
        <is>
          <t>15/11/2025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1</v>
      </c>
      <c r="K4094" t="n">
        <v>8</v>
      </c>
      <c r="L4094" t="n">
        <v>0</v>
      </c>
      <c r="M4094" t="n">
        <v>0</v>
      </c>
      <c r="N4094" t="n">
        <v>0</v>
      </c>
      <c r="O4094" t="n">
        <v>0</v>
      </c>
      <c r="P4094" t="n">
        <v>1</v>
      </c>
      <c r="Q4094" t="n">
        <v>6</v>
      </c>
      <c r="R4094" t="n">
        <v>0</v>
      </c>
      <c r="S4094" t="n">
        <v/>
      </c>
      <c r="T4094" t="inlineStr">
        <is>
          <t>15</t>
        </is>
      </c>
      <c r="U4094" t="inlineStr">
        <is>
          <t>11</t>
        </is>
      </c>
      <c r="V4094" t="n">
        <v>2025</v>
      </c>
      <c r="W4094" t="n">
        <v/>
      </c>
    </row>
    <row r="4095">
      <c r="A4095" t="inlineStr">
        <is>
          <t>16/11/2025 7:10:18</t>
        </is>
      </c>
      <c r="B4095" t="inlineStr">
        <is>
          <t>Lương Duy Hải</t>
        </is>
      </c>
      <c r="C4095" t="inlineStr">
        <is>
          <t>15/11/2025</t>
        </is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12</v>
      </c>
      <c r="L4095" t="n">
        <v>0</v>
      </c>
      <c r="M4095" t="n">
        <v>0</v>
      </c>
      <c r="N4095" t="n">
        <v>0</v>
      </c>
      <c r="O4095" t="n">
        <v>0</v>
      </c>
      <c r="P4095" t="n">
        <v>1</v>
      </c>
      <c r="Q4095" t="n">
        <v>2</v>
      </c>
      <c r="R4095" t="n">
        <v>0</v>
      </c>
      <c r="S4095" t="n">
        <v/>
      </c>
      <c r="T4095" t="inlineStr">
        <is>
          <t>15</t>
        </is>
      </c>
      <c r="U4095" t="inlineStr">
        <is>
          <t>11</t>
        </is>
      </c>
      <c r="V4095" t="n">
        <v>2025</v>
      </c>
      <c r="W4095" t="n">
        <v/>
      </c>
    </row>
    <row r="4096">
      <c r="A4096" t="inlineStr">
        <is>
          <t>16/11/2025 7:20:57</t>
        </is>
      </c>
      <c r="B4096" t="inlineStr">
        <is>
          <t>Đặng Hoài Anh</t>
        </is>
      </c>
      <c r="C4096" t="inlineStr">
        <is>
          <t>15/11/2025</t>
        </is>
      </c>
      <c r="D4096" t="n">
        <v>1</v>
      </c>
      <c r="E4096" t="n">
        <v>1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2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/>
      </c>
      <c r="T4096" t="inlineStr">
        <is>
          <t>15</t>
        </is>
      </c>
      <c r="U4096" t="inlineStr">
        <is>
          <t>11</t>
        </is>
      </c>
      <c r="V4096" t="n">
        <v>2025</v>
      </c>
      <c r="W4096" t="n">
        <v/>
      </c>
    </row>
    <row r="4097">
      <c r="A4097" t="inlineStr">
        <is>
          <t>16/11/2025 7:20:59</t>
        </is>
      </c>
      <c r="B4097" t="inlineStr">
        <is>
          <t>Huỳnh Văn Lực</t>
        </is>
      </c>
      <c r="C4097" t="inlineStr">
        <is>
          <t>15/11/2025</t>
        </is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2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n">
        <v>2</v>
      </c>
      <c r="R4097" t="n">
        <v>0</v>
      </c>
      <c r="S4097" t="n">
        <v/>
      </c>
      <c r="T4097" t="inlineStr">
        <is>
          <t>15</t>
        </is>
      </c>
      <c r="U4097" t="inlineStr">
        <is>
          <t>11</t>
        </is>
      </c>
      <c r="V4097" t="n">
        <v>2025</v>
      </c>
      <c r="W4097" t="n">
        <v/>
      </c>
    </row>
    <row r="4098">
      <c r="A4098" t="inlineStr">
        <is>
          <t>16/11/2025 7:28:01</t>
        </is>
      </c>
      <c r="B4098" t="inlineStr">
        <is>
          <t>Trần Trung Giang</t>
        </is>
      </c>
      <c r="C4098" t="inlineStr">
        <is>
          <t>15/11/2025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3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/>
      </c>
      <c r="T4098" t="inlineStr">
        <is>
          <t>15</t>
        </is>
      </c>
      <c r="U4098" t="inlineStr">
        <is>
          <t>11</t>
        </is>
      </c>
      <c r="V4098" t="n">
        <v>2025</v>
      </c>
      <c r="W4098" t="n">
        <v/>
      </c>
    </row>
    <row r="4099">
      <c r="A4099" t="inlineStr">
        <is>
          <t>16/11/2025 7:39:49</t>
        </is>
      </c>
      <c r="B4099" t="inlineStr">
        <is>
          <t>Trần Minh Khánh</t>
        </is>
      </c>
      <c r="C4099" t="inlineStr">
        <is>
          <t>15/11/2025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6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5</v>
      </c>
      <c r="R4099" t="n">
        <v>0</v>
      </c>
      <c r="S4099" t="n">
        <v/>
      </c>
      <c r="T4099" t="inlineStr">
        <is>
          <t>15</t>
        </is>
      </c>
      <c r="U4099" t="inlineStr">
        <is>
          <t>11</t>
        </is>
      </c>
      <c r="V4099" t="n">
        <v>2025</v>
      </c>
      <c r="W4099" t="n">
        <v/>
      </c>
    </row>
    <row r="4100">
      <c r="A4100" t="inlineStr">
        <is>
          <t>16/11/2025 7:41:44</t>
        </is>
      </c>
      <c r="B4100" t="inlineStr">
        <is>
          <t>Lê Hồng Phong</t>
        </is>
      </c>
      <c r="C4100" t="inlineStr">
        <is>
          <t>06/01/1986</t>
        </is>
      </c>
      <c r="D4100" t="n">
        <v>1</v>
      </c>
      <c r="E4100" t="n">
        <v>1</v>
      </c>
      <c r="F4100" t="n">
        <v>1</v>
      </c>
      <c r="G4100" t="n">
        <v>0</v>
      </c>
      <c r="H4100" t="n">
        <v>0</v>
      </c>
      <c r="I4100" t="n">
        <v>1</v>
      </c>
      <c r="J4100" t="n">
        <v>1</v>
      </c>
      <c r="K4100" t="n">
        <v>1</v>
      </c>
      <c r="L4100" t="n">
        <v>1</v>
      </c>
      <c r="M4100" t="n">
        <v>1</v>
      </c>
      <c r="N4100" t="n">
        <v>1</v>
      </c>
      <c r="O4100" t="n">
        <v>1</v>
      </c>
      <c r="P4100" t="n">
        <v>1</v>
      </c>
      <c r="Q4100" t="n">
        <v>1</v>
      </c>
      <c r="R4100" t="n">
        <v>1</v>
      </c>
      <c r="S4100" t="n">
        <v/>
      </c>
      <c r="T4100" t="inlineStr">
        <is>
          <t>6</t>
        </is>
      </c>
      <c r="U4100" t="inlineStr">
        <is>
          <t>1</t>
        </is>
      </c>
      <c r="V4100" t="n">
        <v>2025</v>
      </c>
      <c r="W4100" t="n">
        <v/>
      </c>
    </row>
    <row r="4101">
      <c r="A4101" t="inlineStr">
        <is>
          <t>16/11/2025 7:42:18</t>
        </is>
      </c>
      <c r="B4101" t="inlineStr">
        <is>
          <t>Nguyễn Tuấn Anh</t>
        </is>
      </c>
      <c r="C4101" t="inlineStr">
        <is>
          <t>15/11/2025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35</v>
      </c>
      <c r="L4101" t="n">
        <v>0</v>
      </c>
      <c r="M4101" t="n">
        <v>0</v>
      </c>
      <c r="N4101" t="n">
        <v>0</v>
      </c>
      <c r="O4101" t="n">
        <v>0</v>
      </c>
      <c r="P4101" t="n">
        <v>1</v>
      </c>
      <c r="Q4101" t="n">
        <v>3</v>
      </c>
      <c r="R4101" t="n">
        <v>0</v>
      </c>
      <c r="S4101" t="n">
        <v/>
      </c>
      <c r="T4101" t="inlineStr">
        <is>
          <t>15</t>
        </is>
      </c>
      <c r="U4101" t="inlineStr">
        <is>
          <t>11</t>
        </is>
      </c>
      <c r="V4101" t="n">
        <v>2025</v>
      </c>
      <c r="W4101" t="n">
        <v/>
      </c>
    </row>
    <row r="4102">
      <c r="A4102" t="inlineStr">
        <is>
          <t>16/11/2025 7:43:02</t>
        </is>
      </c>
      <c r="B4102" t="inlineStr">
        <is>
          <t>Nguyễn Quang Anh Tuấn</t>
        </is>
      </c>
      <c r="C4102" t="inlineStr">
        <is>
          <t>15/11/2025</t>
        </is>
      </c>
      <c r="D4102" t="n">
        <v>0</v>
      </c>
      <c r="E4102" t="n">
        <v>0</v>
      </c>
      <c r="F4102" t="n">
        <v>0</v>
      </c>
      <c r="G4102" t="n">
        <v>2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2</v>
      </c>
      <c r="R4102" t="n">
        <v>0</v>
      </c>
      <c r="S4102" t="n">
        <v/>
      </c>
      <c r="T4102" t="inlineStr">
        <is>
          <t>15</t>
        </is>
      </c>
      <c r="U4102" t="inlineStr">
        <is>
          <t>11</t>
        </is>
      </c>
      <c r="V4102" t="n">
        <v>2025</v>
      </c>
      <c r="W4102" t="n">
        <v/>
      </c>
    </row>
    <row r="4103">
      <c r="A4103" t="inlineStr">
        <is>
          <t>16/11/2025 7:46:24</t>
        </is>
      </c>
      <c r="B4103" t="inlineStr">
        <is>
          <t>Bùi Duy Cường</t>
        </is>
      </c>
      <c r="C4103" t="inlineStr">
        <is>
          <t>15/11/2025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5</v>
      </c>
      <c r="L4103" t="n">
        <v>0</v>
      </c>
      <c r="M4103" t="n">
        <v>1</v>
      </c>
      <c r="N4103" t="n">
        <v>1</v>
      </c>
      <c r="O4103" t="n">
        <v>0</v>
      </c>
      <c r="P4103" t="n">
        <v>0</v>
      </c>
      <c r="Q4103" t="n">
        <v>3</v>
      </c>
      <c r="R4103" t="n">
        <v>0</v>
      </c>
      <c r="S4103" t="n">
        <v/>
      </c>
      <c r="T4103" t="inlineStr">
        <is>
          <t>15</t>
        </is>
      </c>
      <c r="U4103" t="inlineStr">
        <is>
          <t>11</t>
        </is>
      </c>
      <c r="V4103" t="n">
        <v>2025</v>
      </c>
      <c r="W4103" t="n">
        <v/>
      </c>
    </row>
    <row r="4104">
      <c r="A4104" t="inlineStr">
        <is>
          <t>16/11/2025 7:49:32</t>
        </is>
      </c>
      <c r="B4104" t="inlineStr">
        <is>
          <t>Nguyễn Văn Hiệp</t>
        </is>
      </c>
      <c r="C4104" t="inlineStr">
        <is>
          <t>15/11/2025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n">
        <v/>
      </c>
      <c r="T4104" t="inlineStr">
        <is>
          <t>15</t>
        </is>
      </c>
      <c r="U4104" t="inlineStr">
        <is>
          <t>11</t>
        </is>
      </c>
      <c r="V4104" t="n">
        <v>2025</v>
      </c>
      <c r="W4104" t="n">
        <v/>
      </c>
    </row>
    <row r="4105">
      <c r="A4105" t="inlineStr">
        <is>
          <t>16/11/2025 8:09:28</t>
        </is>
      </c>
      <c r="B4105" t="inlineStr">
        <is>
          <t>Nguyễn Thành Lâm</t>
        </is>
      </c>
      <c r="C4105" t="inlineStr">
        <is>
          <t>15/11/1925</t>
        </is>
      </c>
      <c r="D4105" t="n">
        <v>0</v>
      </c>
      <c r="E4105" t="n">
        <v>0</v>
      </c>
      <c r="F4105" t="n">
        <v>0</v>
      </c>
      <c r="G4105" t="n">
        <v>1</v>
      </c>
      <c r="H4105" t="n">
        <v>1</v>
      </c>
      <c r="I4105" t="n">
        <v>0</v>
      </c>
      <c r="J4105" t="n">
        <v>0</v>
      </c>
      <c r="K4105" t="n">
        <v>5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3</v>
      </c>
      <c r="R4105" t="n">
        <v>0</v>
      </c>
      <c r="S4105" t="n">
        <v/>
      </c>
      <c r="T4105" t="inlineStr">
        <is>
          <t>15</t>
        </is>
      </c>
      <c r="U4105" t="inlineStr">
        <is>
          <t>11</t>
        </is>
      </c>
      <c r="V4105" t="n">
        <v>2025</v>
      </c>
      <c r="W4105" t="n">
        <v/>
      </c>
    </row>
    <row r="4106">
      <c r="A4106" t="inlineStr">
        <is>
          <t>16/11/2025 8:22:54</t>
        </is>
      </c>
      <c r="B4106" t="inlineStr">
        <is>
          <t>Lê Văn Hồng</t>
        </is>
      </c>
      <c r="C4106" t="inlineStr">
        <is>
          <t>15/11/2025</t>
        </is>
      </c>
      <c r="D4106" t="n">
        <v>0</v>
      </c>
      <c r="E4106" t="n">
        <v>0</v>
      </c>
      <c r="F4106" t="n">
        <v>0</v>
      </c>
      <c r="G4106" t="n">
        <v>2</v>
      </c>
      <c r="H4106" t="n">
        <v>1</v>
      </c>
      <c r="I4106" t="n">
        <v>2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5</v>
      </c>
      <c r="Q4106" t="n">
        <v>6</v>
      </c>
      <c r="R4106" t="n">
        <v>0</v>
      </c>
      <c r="S4106" t="n">
        <v/>
      </c>
      <c r="T4106" t="inlineStr">
        <is>
          <t>15</t>
        </is>
      </c>
      <c r="U4106" t="inlineStr">
        <is>
          <t>11</t>
        </is>
      </c>
      <c r="V4106" t="n">
        <v>2025</v>
      </c>
      <c r="W4106" t="n">
        <v/>
      </c>
    </row>
    <row r="4107">
      <c r="A4107" t="inlineStr">
        <is>
          <t>16/11/2025 8:25:32</t>
        </is>
      </c>
      <c r="B4107" t="inlineStr">
        <is>
          <t>Đào Công Trung</t>
        </is>
      </c>
      <c r="C4107" t="inlineStr">
        <is>
          <t>15/11/2025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8</v>
      </c>
      <c r="L4107" t="n">
        <v>0</v>
      </c>
      <c r="M4107" t="n">
        <v>0</v>
      </c>
      <c r="N4107" t="n">
        <v>1</v>
      </c>
      <c r="O4107" t="n">
        <v>1</v>
      </c>
      <c r="P4107" t="n">
        <v>0</v>
      </c>
      <c r="Q4107" t="n">
        <v>1</v>
      </c>
      <c r="R4107" t="n">
        <v>0</v>
      </c>
      <c r="S4107" t="n">
        <v/>
      </c>
      <c r="T4107" t="inlineStr">
        <is>
          <t>15</t>
        </is>
      </c>
      <c r="U4107" t="inlineStr">
        <is>
          <t>11</t>
        </is>
      </c>
      <c r="V4107" t="n">
        <v>2025</v>
      </c>
      <c r="W4107" t="n">
        <v/>
      </c>
    </row>
    <row r="4108">
      <c r="A4108" t="inlineStr">
        <is>
          <t>16/11/2025 8:49:06</t>
        </is>
      </c>
      <c r="B4108" t="inlineStr">
        <is>
          <t>Trần Xuân Khoa</t>
        </is>
      </c>
      <c r="C4108" t="inlineStr">
        <is>
          <t>15/11/2025</t>
        </is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7</v>
      </c>
      <c r="L4108" t="n">
        <v>0</v>
      </c>
      <c r="M4108" t="n">
        <v>0</v>
      </c>
      <c r="N4108" t="n">
        <v>0</v>
      </c>
      <c r="O4108" t="n">
        <v>0</v>
      </c>
      <c r="P4108" t="n">
        <v>1</v>
      </c>
      <c r="Q4108" t="n">
        <v>4</v>
      </c>
      <c r="R4108" t="n">
        <v>0</v>
      </c>
      <c r="S4108" t="n">
        <v/>
      </c>
      <c r="T4108" t="inlineStr">
        <is>
          <t>15</t>
        </is>
      </c>
      <c r="U4108" t="inlineStr">
        <is>
          <t>11</t>
        </is>
      </c>
      <c r="V4108" t="n">
        <v>2025</v>
      </c>
      <c r="W4108" t="n">
        <v/>
      </c>
    </row>
    <row r="4109">
      <c r="A4109" t="inlineStr">
        <is>
          <t>16/11/2025 8:53:57</t>
        </is>
      </c>
      <c r="B4109" t="inlineStr">
        <is>
          <t>Nguyễn Văn Nhật</t>
        </is>
      </c>
      <c r="C4109" t="inlineStr">
        <is>
          <t>15/11/2025</t>
        </is>
      </c>
      <c r="D4109" t="n">
        <v>0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8</v>
      </c>
      <c r="L4109" t="n">
        <v>0</v>
      </c>
      <c r="M4109" t="n">
        <v>1</v>
      </c>
      <c r="N4109" t="n">
        <v>1</v>
      </c>
      <c r="O4109" t="n">
        <v>0</v>
      </c>
      <c r="P4109" t="n">
        <v>1</v>
      </c>
      <c r="Q4109" t="n">
        <v>4</v>
      </c>
      <c r="R4109" t="n">
        <v>0</v>
      </c>
      <c r="S4109" t="n">
        <v/>
      </c>
      <c r="T4109" t="inlineStr">
        <is>
          <t>15</t>
        </is>
      </c>
      <c r="U4109" t="inlineStr">
        <is>
          <t>11</t>
        </is>
      </c>
      <c r="V4109" t="n">
        <v>2025</v>
      </c>
      <c r="W4109" t="n">
        <v/>
      </c>
    </row>
    <row r="4110">
      <c r="A4110" t="inlineStr">
        <is>
          <t>16/11/2025 9:26:48</t>
        </is>
      </c>
      <c r="B4110" t="inlineStr">
        <is>
          <t>Nguyễn Hồng Minh</t>
        </is>
      </c>
      <c r="C4110" t="inlineStr">
        <is>
          <t>15/11/2025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23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4</v>
      </c>
      <c r="R4110" t="n">
        <v>0</v>
      </c>
      <c r="S4110" t="n">
        <v/>
      </c>
      <c r="T4110" t="inlineStr">
        <is>
          <t>15</t>
        </is>
      </c>
      <c r="U4110" t="inlineStr">
        <is>
          <t>11</t>
        </is>
      </c>
      <c r="V4110" t="n">
        <v>2025</v>
      </c>
      <c r="W4110" t="n">
        <v/>
      </c>
    </row>
    <row r="4111">
      <c r="A4111" t="inlineStr">
        <is>
          <t>16/11/2025 18:09:28</t>
        </is>
      </c>
      <c r="B4111" t="inlineStr">
        <is>
          <t>Đặng Hữu Danh</t>
        </is>
      </c>
      <c r="C4111" t="inlineStr">
        <is>
          <t>16/11/2025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10</v>
      </c>
      <c r="L4111" t="n">
        <v>0</v>
      </c>
      <c r="M4111" t="n">
        <v>1</v>
      </c>
      <c r="N4111" t="n">
        <v>0</v>
      </c>
      <c r="O4111" t="n">
        <v>0</v>
      </c>
      <c r="P4111" t="n">
        <v>2</v>
      </c>
      <c r="Q4111" t="n">
        <v>4</v>
      </c>
      <c r="R4111" t="n">
        <v>0</v>
      </c>
      <c r="S4111" t="n">
        <v/>
      </c>
      <c r="T4111" t="inlineStr">
        <is>
          <t>16</t>
        </is>
      </c>
      <c r="U4111" t="inlineStr">
        <is>
          <t>11</t>
        </is>
      </c>
      <c r="V4111" t="n">
        <v>2025</v>
      </c>
      <c r="W4111" t="n">
        <v/>
      </c>
    </row>
    <row r="4112">
      <c r="A4112" t="inlineStr">
        <is>
          <t>16/11/2025 21:40:00</t>
        </is>
      </c>
      <c r="B4112" t="inlineStr">
        <is>
          <t>Trần Minh Khánh</t>
        </is>
      </c>
      <c r="C4112" t="inlineStr">
        <is>
          <t>16/11/2025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8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4</v>
      </c>
      <c r="R4112" t="n">
        <v>0</v>
      </c>
      <c r="S4112" t="n">
        <v/>
      </c>
      <c r="T4112" t="inlineStr">
        <is>
          <t>16</t>
        </is>
      </c>
      <c r="U4112" t="inlineStr">
        <is>
          <t>11</t>
        </is>
      </c>
      <c r="V4112" t="n">
        <v>2025</v>
      </c>
      <c r="W4112" t="n">
        <v/>
      </c>
    </row>
    <row r="4113">
      <c r="A4113" t="inlineStr">
        <is>
          <t>16/11/2025 21:43:36</t>
        </is>
      </c>
      <c r="B4113" t="inlineStr">
        <is>
          <t>Lê Quốc Duy</t>
        </is>
      </c>
      <c r="C4113" t="inlineStr">
        <is>
          <t>16/11/2025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22</v>
      </c>
      <c r="L4113" t="n">
        <v>0</v>
      </c>
      <c r="M4113" t="n">
        <v>1</v>
      </c>
      <c r="N4113" t="n">
        <v>2</v>
      </c>
      <c r="O4113" t="n">
        <v>4</v>
      </c>
      <c r="P4113" t="n">
        <v>1</v>
      </c>
      <c r="Q4113" t="n">
        <v>3</v>
      </c>
      <c r="R4113" t="n">
        <v>0</v>
      </c>
      <c r="S4113" t="n">
        <v/>
      </c>
      <c r="T4113" t="inlineStr">
        <is>
          <t>16</t>
        </is>
      </c>
      <c r="U4113" t="inlineStr">
        <is>
          <t>11</t>
        </is>
      </c>
      <c r="V4113" t="n">
        <v>2025</v>
      </c>
      <c r="W4113" t="n">
        <v/>
      </c>
    </row>
    <row r="4114">
      <c r="A4114" t="inlineStr">
        <is>
          <t>17/11/2025 2:42:04</t>
        </is>
      </c>
      <c r="B4114" t="inlineStr">
        <is>
          <t>Hồ Thái Minh Trí</t>
        </is>
      </c>
      <c r="C4114" t="inlineStr">
        <is>
          <t>16/11/2025</t>
        </is>
      </c>
      <c r="D4114" t="n">
        <v>1</v>
      </c>
      <c r="E4114" t="n">
        <v>0</v>
      </c>
      <c r="F4114" t="n">
        <v>0</v>
      </c>
      <c r="G4114" t="n">
        <v>1</v>
      </c>
      <c r="H4114" t="n">
        <v>1</v>
      </c>
      <c r="I4114" t="n">
        <v>0</v>
      </c>
      <c r="J4114" t="n">
        <v>0</v>
      </c>
      <c r="K4114" t="n">
        <v>3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2</v>
      </c>
      <c r="R4114" t="n">
        <v>0</v>
      </c>
      <c r="S4114" t="n">
        <v/>
      </c>
      <c r="T4114" t="inlineStr">
        <is>
          <t>16</t>
        </is>
      </c>
      <c r="U4114" t="inlineStr">
        <is>
          <t>11</t>
        </is>
      </c>
      <c r="V4114" t="n">
        <v>2025</v>
      </c>
      <c r="W4114" t="n">
        <v/>
      </c>
    </row>
    <row r="4115">
      <c r="A4115" t="inlineStr">
        <is>
          <t>17/11/2025 6:36:37</t>
        </is>
      </c>
      <c r="B4115" t="inlineStr">
        <is>
          <t>Hồ Xuân Việt</t>
        </is>
      </c>
      <c r="C4115" t="inlineStr">
        <is>
          <t>16/11/2025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10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5</v>
      </c>
      <c r="R4115" t="n">
        <v>0</v>
      </c>
      <c r="S4115" t="n">
        <v/>
      </c>
      <c r="T4115" t="inlineStr">
        <is>
          <t>16</t>
        </is>
      </c>
      <c r="U4115" t="inlineStr">
        <is>
          <t>11</t>
        </is>
      </c>
      <c r="V4115" t="n">
        <v>2025</v>
      </c>
      <c r="W4115" t="n">
        <v/>
      </c>
    </row>
    <row r="4116">
      <c r="A4116" t="inlineStr">
        <is>
          <t>17/11/2025 6:40:53</t>
        </is>
      </c>
      <c r="B4116" t="inlineStr">
        <is>
          <t>Trần Xuân Khoa</t>
        </is>
      </c>
      <c r="C4116" t="inlineStr">
        <is>
          <t>16/11/2025</t>
        </is>
      </c>
      <c r="D4116" t="n">
        <v>1</v>
      </c>
      <c r="E4116" t="n">
        <v>1</v>
      </c>
      <c r="F4116" t="n">
        <v>0</v>
      </c>
      <c r="G4116" t="n">
        <v>0</v>
      </c>
      <c r="H4116" t="n">
        <v>0</v>
      </c>
      <c r="I4116" t="n">
        <v>3</v>
      </c>
      <c r="J4116" t="n">
        <v>0</v>
      </c>
      <c r="K4116" t="n">
        <v>5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3</v>
      </c>
      <c r="R4116" t="n">
        <v>0</v>
      </c>
      <c r="S4116" t="n">
        <v/>
      </c>
      <c r="T4116" t="inlineStr">
        <is>
          <t>16</t>
        </is>
      </c>
      <c r="U4116" t="inlineStr">
        <is>
          <t>11</t>
        </is>
      </c>
      <c r="V4116" t="n">
        <v>2025</v>
      </c>
      <c r="W4116" t="n">
        <v/>
      </c>
    </row>
    <row r="4117">
      <c r="A4117" t="inlineStr">
        <is>
          <t>17/11/2025 7:01:54</t>
        </is>
      </c>
      <c r="B4117" t="inlineStr">
        <is>
          <t>Nguyễn Văn Hiệp</t>
        </is>
      </c>
      <c r="C4117" t="inlineStr">
        <is>
          <t>16/11/2025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9</v>
      </c>
      <c r="L4117" t="n">
        <v>9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/>
      </c>
      <c r="T4117" t="inlineStr">
        <is>
          <t>16</t>
        </is>
      </c>
      <c r="U4117" t="inlineStr">
        <is>
          <t>11</t>
        </is>
      </c>
      <c r="V4117" t="n">
        <v>2025</v>
      </c>
      <c r="W4117" t="n">
        <v/>
      </c>
    </row>
    <row r="4118">
      <c r="A4118" t="inlineStr">
        <is>
          <t>17/11/2025 7:14:28</t>
        </is>
      </c>
      <c r="B4118" t="inlineStr">
        <is>
          <t>Vòng Nhật Sang</t>
        </is>
      </c>
      <c r="C4118" t="inlineStr">
        <is>
          <t>16/11/2025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9</v>
      </c>
      <c r="L4118" t="n">
        <v>0</v>
      </c>
      <c r="M4118" t="n">
        <v>0</v>
      </c>
      <c r="N4118" t="n">
        <v>0</v>
      </c>
      <c r="O4118" t="n">
        <v>0</v>
      </c>
      <c r="P4118" t="n">
        <v>1</v>
      </c>
      <c r="Q4118" t="n">
        <v>2</v>
      </c>
      <c r="R4118" t="n">
        <v>0</v>
      </c>
      <c r="S4118" t="n">
        <v/>
      </c>
      <c r="T4118" t="inlineStr">
        <is>
          <t>16</t>
        </is>
      </c>
      <c r="U4118" t="inlineStr">
        <is>
          <t>11</t>
        </is>
      </c>
      <c r="V4118" t="n">
        <v>2025</v>
      </c>
      <c r="W4118" t="n">
        <v/>
      </c>
    </row>
    <row r="4119">
      <c r="A4119" t="inlineStr">
        <is>
          <t>17/11/2025 7:14:39</t>
        </is>
      </c>
      <c r="B4119" t="inlineStr">
        <is>
          <t>Phan Ngọc Sang</t>
        </is>
      </c>
      <c r="C4119" t="inlineStr">
        <is>
          <t>16/11/2025</t>
        </is>
      </c>
      <c r="D4119" t="n">
        <v>0</v>
      </c>
      <c r="E4119" t="n">
        <v>0</v>
      </c>
      <c r="F4119" t="n">
        <v>0</v>
      </c>
      <c r="G4119" t="n">
        <v>1</v>
      </c>
      <c r="H4119" t="n">
        <v>1</v>
      </c>
      <c r="I4119" t="n">
        <v>1</v>
      </c>
      <c r="J4119" t="n">
        <v>0</v>
      </c>
      <c r="K4119" t="n">
        <v>11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2</v>
      </c>
      <c r="R4119" t="n">
        <v>0</v>
      </c>
      <c r="S4119" t="n">
        <v/>
      </c>
      <c r="T4119" t="inlineStr">
        <is>
          <t>16</t>
        </is>
      </c>
      <c r="U4119" t="inlineStr">
        <is>
          <t>11</t>
        </is>
      </c>
      <c r="V4119" t="n">
        <v>2025</v>
      </c>
      <c r="W4119" t="n">
        <v/>
      </c>
    </row>
    <row r="4120">
      <c r="A4120" t="inlineStr">
        <is>
          <t>17/11/2025 7:17:06</t>
        </is>
      </c>
      <c r="B4120" t="inlineStr">
        <is>
          <t>Đặng Hoài Anh</t>
        </is>
      </c>
      <c r="C4120" t="inlineStr">
        <is>
          <t>16/11/2025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5</v>
      </c>
      <c r="L4120" t="n">
        <v>0</v>
      </c>
      <c r="M4120" t="n">
        <v>0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/>
      </c>
      <c r="T4120" t="inlineStr">
        <is>
          <t>16</t>
        </is>
      </c>
      <c r="U4120" t="inlineStr">
        <is>
          <t>11</t>
        </is>
      </c>
      <c r="V4120" t="n">
        <v>2025</v>
      </c>
      <c r="W4120" t="n">
        <v/>
      </c>
    </row>
    <row r="4121">
      <c r="A4121" t="inlineStr">
        <is>
          <t>17/11/2025 7:18:13</t>
        </is>
      </c>
      <c r="B4121" t="inlineStr">
        <is>
          <t>Nguyễn Quang Anh Tuấn</t>
        </is>
      </c>
      <c r="C4121" t="inlineStr">
        <is>
          <t>16/11/2025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8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2</v>
      </c>
      <c r="R4121" t="n">
        <v>0</v>
      </c>
      <c r="S4121" t="n">
        <v/>
      </c>
      <c r="T4121" t="inlineStr">
        <is>
          <t>16</t>
        </is>
      </c>
      <c r="U4121" t="inlineStr">
        <is>
          <t>11</t>
        </is>
      </c>
      <c r="V4121" t="n">
        <v>2025</v>
      </c>
      <c r="W4121" t="n">
        <v/>
      </c>
    </row>
    <row r="4122">
      <c r="A4122" t="inlineStr">
        <is>
          <t>17/11/2025 7:28:45</t>
        </is>
      </c>
      <c r="B4122" t="inlineStr">
        <is>
          <t>Trần Trung Giang</t>
        </is>
      </c>
      <c r="C4122" t="inlineStr">
        <is>
          <t>16/11/2025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8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/>
      </c>
      <c r="T4122" t="inlineStr">
        <is>
          <t>16</t>
        </is>
      </c>
      <c r="U4122" t="inlineStr">
        <is>
          <t>11</t>
        </is>
      </c>
      <c r="V4122" t="n">
        <v>2025</v>
      </c>
      <c r="W4122" t="n">
        <v/>
      </c>
    </row>
    <row r="4123">
      <c r="A4123" t="inlineStr">
        <is>
          <t>17/11/2025 7:37:40</t>
        </is>
      </c>
      <c r="B4123" t="inlineStr">
        <is>
          <t>Nguyễn Tuấn Anh</t>
        </is>
      </c>
      <c r="C4123" t="inlineStr">
        <is>
          <t>16/11/2025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15</v>
      </c>
      <c r="L4123" t="n">
        <v>0</v>
      </c>
      <c r="M4123" t="n">
        <v>0</v>
      </c>
      <c r="N4123" t="n">
        <v>0</v>
      </c>
      <c r="O4123" t="n">
        <v>0</v>
      </c>
      <c r="P4123" t="n">
        <v>2</v>
      </c>
      <c r="Q4123" t="n">
        <v>2</v>
      </c>
      <c r="R4123" t="n">
        <v>0</v>
      </c>
      <c r="S4123" t="n">
        <v/>
      </c>
      <c r="T4123" t="inlineStr">
        <is>
          <t>16</t>
        </is>
      </c>
      <c r="U4123" t="inlineStr">
        <is>
          <t>11</t>
        </is>
      </c>
      <c r="V4123" t="n">
        <v>2025</v>
      </c>
      <c r="W4123" t="n">
        <v/>
      </c>
    </row>
    <row r="4124">
      <c r="A4124" t="inlineStr">
        <is>
          <t>17/11/2025 7:42:10</t>
        </is>
      </c>
      <c r="B4124" t="inlineStr">
        <is>
          <t>Dương Minh Tiến</t>
        </is>
      </c>
      <c r="C4124" t="inlineStr">
        <is>
          <t>16/11/2025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9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2</v>
      </c>
      <c r="R4124" t="n">
        <v>0</v>
      </c>
      <c r="S4124" t="n">
        <v/>
      </c>
      <c r="T4124" t="inlineStr">
        <is>
          <t>16</t>
        </is>
      </c>
      <c r="U4124" t="inlineStr">
        <is>
          <t>11</t>
        </is>
      </c>
      <c r="V4124" t="n">
        <v>2025</v>
      </c>
      <c r="W4124" t="n">
        <v/>
      </c>
    </row>
    <row r="4125">
      <c r="A4125" t="inlineStr">
        <is>
          <t>17/11/2025 7:42:38</t>
        </is>
      </c>
      <c r="B4125" t="inlineStr">
        <is>
          <t>Nguyễn Thành Lâm</t>
        </is>
      </c>
      <c r="C4125" t="inlineStr">
        <is>
          <t>16/11/1925</t>
        </is>
      </c>
      <c r="D4125" t="n">
        <v>0</v>
      </c>
      <c r="E4125" t="n">
        <v>0</v>
      </c>
      <c r="F4125" t="n">
        <v>0</v>
      </c>
      <c r="G4125" t="n">
        <v>1</v>
      </c>
      <c r="H4125" t="n">
        <v>1</v>
      </c>
      <c r="I4125" t="n">
        <v>0</v>
      </c>
      <c r="J4125" t="n">
        <v>0</v>
      </c>
      <c r="K4125" t="n">
        <v>2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/>
      </c>
      <c r="T4125" t="inlineStr">
        <is>
          <t>16</t>
        </is>
      </c>
      <c r="U4125" t="inlineStr">
        <is>
          <t>11</t>
        </is>
      </c>
      <c r="V4125" t="n">
        <v>2025</v>
      </c>
      <c r="W4125" t="n">
        <v/>
      </c>
    </row>
    <row r="4126">
      <c r="A4126" t="inlineStr">
        <is>
          <t>17/11/2025 7:51:38</t>
        </is>
      </c>
      <c r="B4126" t="inlineStr">
        <is>
          <t>Nguyễn Văn Nhật</t>
        </is>
      </c>
      <c r="C4126" t="inlineStr">
        <is>
          <t>16/11/2025</t>
        </is>
      </c>
      <c r="D4126" t="n">
        <v>0</v>
      </c>
      <c r="E4126" t="n">
        <v>0</v>
      </c>
      <c r="F4126" t="n">
        <v>0</v>
      </c>
      <c r="G4126" t="n">
        <v>1</v>
      </c>
      <c r="H4126" t="n">
        <v>1</v>
      </c>
      <c r="I4126" t="n">
        <v>0</v>
      </c>
      <c r="J4126" t="n">
        <v>0</v>
      </c>
      <c r="K4126" t="n">
        <v>12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2</v>
      </c>
      <c r="R4126" t="n">
        <v>0</v>
      </c>
      <c r="S4126" t="n">
        <v/>
      </c>
      <c r="T4126" t="inlineStr">
        <is>
          <t>16</t>
        </is>
      </c>
      <c r="U4126" t="inlineStr">
        <is>
          <t>11</t>
        </is>
      </c>
      <c r="V4126" t="n">
        <v>2025</v>
      </c>
      <c r="W4126" t="n">
        <v/>
      </c>
    </row>
    <row r="4127">
      <c r="A4127" t="inlineStr">
        <is>
          <t>17/11/2025 8:07:35</t>
        </is>
      </c>
      <c r="B4127" t="inlineStr">
        <is>
          <t>Phan Thành Thái</t>
        </is>
      </c>
      <c r="C4127" t="inlineStr">
        <is>
          <t>16/11/2025</t>
        </is>
      </c>
      <c r="D4127" t="n">
        <v>1</v>
      </c>
      <c r="E4127" t="n">
        <v>3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10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3</v>
      </c>
      <c r="R4127" t="n">
        <v>0</v>
      </c>
      <c r="S4127" t="n">
        <v/>
      </c>
      <c r="T4127" t="inlineStr">
        <is>
          <t>16</t>
        </is>
      </c>
      <c r="U4127" t="inlineStr">
        <is>
          <t>11</t>
        </is>
      </c>
      <c r="V4127" t="n">
        <v>2025</v>
      </c>
      <c r="W4127" t="n">
        <v/>
      </c>
    </row>
    <row r="4128">
      <c r="A4128" t="inlineStr">
        <is>
          <t>17/11/2025 8:08:42</t>
        </is>
      </c>
      <c r="B4128" t="inlineStr">
        <is>
          <t>Lê Văn Hồng</t>
        </is>
      </c>
      <c r="C4128" t="inlineStr">
        <is>
          <t>16/11/2025</t>
        </is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5</v>
      </c>
      <c r="L4128" t="n">
        <v>2</v>
      </c>
      <c r="M4128" t="n">
        <v>1</v>
      </c>
      <c r="N4128" t="n">
        <v>0</v>
      </c>
      <c r="O4128" t="n">
        <v>0</v>
      </c>
      <c r="P4128" t="n">
        <v>1</v>
      </c>
      <c r="Q4128" t="n">
        <v>5</v>
      </c>
      <c r="R4128" t="n">
        <v>0</v>
      </c>
      <c r="S4128" t="n">
        <v/>
      </c>
      <c r="T4128" t="inlineStr">
        <is>
          <t>16</t>
        </is>
      </c>
      <c r="U4128" t="inlineStr">
        <is>
          <t>11</t>
        </is>
      </c>
      <c r="V4128" t="n">
        <v>2025</v>
      </c>
      <c r="W4128" t="n">
        <v/>
      </c>
    </row>
    <row r="4129">
      <c r="A4129" t="inlineStr">
        <is>
          <t>17/11/2025 8:16:00</t>
        </is>
      </c>
      <c r="B4129" t="inlineStr">
        <is>
          <t>Lương Duy Hải</t>
        </is>
      </c>
      <c r="C4129" t="inlineStr">
        <is>
          <t>16/11/2025</t>
        </is>
      </c>
      <c r="D4129" t="n">
        <v>0</v>
      </c>
      <c r="E4129" t="n">
        <v>0</v>
      </c>
      <c r="F4129" t="n">
        <v>0</v>
      </c>
      <c r="G4129" t="n">
        <v>1</v>
      </c>
      <c r="H4129" t="n">
        <v>1</v>
      </c>
      <c r="I4129" t="n">
        <v>0</v>
      </c>
      <c r="J4129" t="n">
        <v>0</v>
      </c>
      <c r="K4129" t="n">
        <v>10</v>
      </c>
      <c r="L4129" t="n">
        <v>0</v>
      </c>
      <c r="M4129" t="n">
        <v>0</v>
      </c>
      <c r="N4129" t="n">
        <v>1</v>
      </c>
      <c r="O4129" t="n">
        <v>2</v>
      </c>
      <c r="P4129" t="n">
        <v>3</v>
      </c>
      <c r="Q4129" t="n">
        <v>3</v>
      </c>
      <c r="R4129" t="n">
        <v>0</v>
      </c>
      <c r="S4129" t="n">
        <v/>
      </c>
      <c r="T4129" t="inlineStr">
        <is>
          <t>16</t>
        </is>
      </c>
      <c r="U4129" t="inlineStr">
        <is>
          <t>11</t>
        </is>
      </c>
      <c r="V4129" t="n">
        <v>2025</v>
      </c>
      <c r="W4129" t="n">
        <v/>
      </c>
    </row>
    <row r="4130">
      <c r="A4130" t="inlineStr">
        <is>
          <t>17/11/2025 8:27:34</t>
        </is>
      </c>
      <c r="B4130" t="inlineStr">
        <is>
          <t>Lê Hồng Phong</t>
        </is>
      </c>
      <c r="C4130" t="inlineStr">
        <is>
          <t>17/11/2025</t>
        </is>
      </c>
      <c r="D4130" t="n">
        <v>1</v>
      </c>
      <c r="E4130" t="n">
        <v>1</v>
      </c>
      <c r="F4130" t="n">
        <v>1</v>
      </c>
      <c r="G4130" t="n">
        <v>0</v>
      </c>
      <c r="H4130" t="n">
        <v>0</v>
      </c>
      <c r="I4130" t="n">
        <v>1</v>
      </c>
      <c r="J4130" t="n">
        <v>1</v>
      </c>
      <c r="K4130" t="n">
        <v>1</v>
      </c>
      <c r="L4130" t="n">
        <v>1</v>
      </c>
      <c r="M4130" t="n">
        <v>1</v>
      </c>
      <c r="N4130" t="n">
        <v>1</v>
      </c>
      <c r="O4130" t="n">
        <v>0</v>
      </c>
      <c r="P4130" t="n">
        <v>1</v>
      </c>
      <c r="Q4130" t="n">
        <v>1</v>
      </c>
      <c r="R4130" t="n">
        <v>1</v>
      </c>
      <c r="S4130" t="n">
        <v/>
      </c>
      <c r="T4130" t="inlineStr">
        <is>
          <t>17</t>
        </is>
      </c>
      <c r="U4130" t="inlineStr">
        <is>
          <t>11</t>
        </is>
      </c>
      <c r="V4130" t="n">
        <v>2025</v>
      </c>
      <c r="W4130" t="n">
        <v/>
      </c>
    </row>
    <row r="4131">
      <c r="A4131" t="inlineStr">
        <is>
          <t>17/11/2025 8:50:30</t>
        </is>
      </c>
      <c r="B4131" t="inlineStr">
        <is>
          <t>Huỳnh Văn Lực</t>
        </is>
      </c>
      <c r="C4131" t="inlineStr">
        <is>
          <t>16/11/2025</t>
        </is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0</v>
      </c>
      <c r="J4131" t="n">
        <v>0</v>
      </c>
      <c r="K4131" t="n">
        <v>2</v>
      </c>
      <c r="L4131" t="n">
        <v>0</v>
      </c>
      <c r="M4131" t="n">
        <v>1</v>
      </c>
      <c r="N4131" t="n">
        <v>1</v>
      </c>
      <c r="O4131" t="n">
        <v>0</v>
      </c>
      <c r="P4131" t="n">
        <v>0</v>
      </c>
      <c r="Q4131" t="n">
        <v>2</v>
      </c>
      <c r="R4131" t="n">
        <v>0</v>
      </c>
      <c r="S4131" t="n">
        <v/>
      </c>
      <c r="T4131" t="inlineStr">
        <is>
          <t>16</t>
        </is>
      </c>
      <c r="U4131" t="inlineStr">
        <is>
          <t>11</t>
        </is>
      </c>
      <c r="V4131" t="n">
        <v>2025</v>
      </c>
      <c r="W4131" t="n">
        <v/>
      </c>
    </row>
    <row r="4132">
      <c r="A4132" t="inlineStr">
        <is>
          <t>17/11/2025 8:56:43</t>
        </is>
      </c>
      <c r="B4132" t="inlineStr">
        <is>
          <t>Bùi Duy Cường</t>
        </is>
      </c>
      <c r="C4132" t="inlineStr">
        <is>
          <t>16/11/2025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24</v>
      </c>
      <c r="L4132" t="n">
        <v>0</v>
      </c>
      <c r="M4132" t="n">
        <v>0</v>
      </c>
      <c r="N4132" t="n">
        <v>1</v>
      </c>
      <c r="O4132" t="n">
        <v>1</v>
      </c>
      <c r="P4132" t="n">
        <v>1</v>
      </c>
      <c r="Q4132" t="n">
        <v>3</v>
      </c>
      <c r="R4132" t="n">
        <v>0</v>
      </c>
      <c r="S4132" t="n">
        <v/>
      </c>
      <c r="T4132" t="inlineStr">
        <is>
          <t>16</t>
        </is>
      </c>
      <c r="U4132" t="inlineStr">
        <is>
          <t>11</t>
        </is>
      </c>
      <c r="V4132" t="n">
        <v>2025</v>
      </c>
      <c r="W4132" t="n">
        <v/>
      </c>
    </row>
    <row r="4133">
      <c r="A4133" t="inlineStr">
        <is>
          <t>17/11/2025 8:57:00</t>
        </is>
      </c>
      <c r="B4133" t="inlineStr">
        <is>
          <t>Đào Công Trung</t>
        </is>
      </c>
      <c r="C4133" t="inlineStr">
        <is>
          <t>16/11/2025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2</v>
      </c>
      <c r="J4133" t="n">
        <v>0</v>
      </c>
      <c r="K4133" t="n">
        <v>20</v>
      </c>
      <c r="L4133" t="n">
        <v>0</v>
      </c>
      <c r="M4133" t="n">
        <v>0</v>
      </c>
      <c r="N4133" t="n">
        <v>0</v>
      </c>
      <c r="O4133" t="n">
        <v>0</v>
      </c>
      <c r="P4133" t="n">
        <v>1</v>
      </c>
      <c r="Q4133" t="n">
        <v>1</v>
      </c>
      <c r="R4133" t="n">
        <v>0</v>
      </c>
      <c r="S4133" t="n">
        <v/>
      </c>
      <c r="T4133" t="inlineStr">
        <is>
          <t>16</t>
        </is>
      </c>
      <c r="U4133" t="inlineStr">
        <is>
          <t>11</t>
        </is>
      </c>
      <c r="V4133" t="n">
        <v>2025</v>
      </c>
      <c r="W4133" t="n">
        <v/>
      </c>
    </row>
    <row r="4134">
      <c r="A4134" t="inlineStr">
        <is>
          <t>17/11/2025 9:22:21</t>
        </is>
      </c>
      <c r="B4134" t="inlineStr">
        <is>
          <t>Lương Duy Hoàng</t>
        </is>
      </c>
      <c r="C4134" t="inlineStr">
        <is>
          <t>16/11/2025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4</v>
      </c>
      <c r="L4134" t="n">
        <v>0</v>
      </c>
      <c r="M4134" t="n">
        <v>0</v>
      </c>
      <c r="N4134" t="n">
        <v>0</v>
      </c>
      <c r="O4134" t="n">
        <v>0</v>
      </c>
      <c r="P4134" t="n">
        <v>1</v>
      </c>
      <c r="Q4134" t="n">
        <v>4</v>
      </c>
      <c r="R4134" t="n">
        <v>0</v>
      </c>
      <c r="S4134" t="n">
        <v/>
      </c>
      <c r="T4134" t="inlineStr">
        <is>
          <t>16</t>
        </is>
      </c>
      <c r="U4134" t="inlineStr">
        <is>
          <t>11</t>
        </is>
      </c>
      <c r="V4134" t="n">
        <v>2025</v>
      </c>
      <c r="W4134" t="n">
        <v/>
      </c>
    </row>
    <row r="4135">
      <c r="A4135" t="inlineStr">
        <is>
          <t>17/11/2025 9:33:53</t>
        </is>
      </c>
      <c r="B4135" t="inlineStr">
        <is>
          <t>Nguyễn Hồng Minh</t>
        </is>
      </c>
      <c r="C4135" t="inlineStr">
        <is>
          <t>16/11/2025</t>
        </is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12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2</v>
      </c>
      <c r="R4135" t="n">
        <v>0</v>
      </c>
      <c r="S4135" t="n">
        <v/>
      </c>
      <c r="T4135" t="inlineStr">
        <is>
          <t>16</t>
        </is>
      </c>
      <c r="U4135" t="inlineStr">
        <is>
          <t>11</t>
        </is>
      </c>
      <c r="V4135" t="n">
        <v>2025</v>
      </c>
      <c r="W4135" t="n">
        <v/>
      </c>
    </row>
    <row r="4136">
      <c r="A4136" t="inlineStr">
        <is>
          <t>17/11/2025 13:57:26</t>
        </is>
      </c>
      <c r="B4136" t="inlineStr">
        <is>
          <t>Trần Trung Giang</t>
        </is>
      </c>
      <c r="C4136" t="inlineStr">
        <is>
          <t>16/11/2025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2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/>
      </c>
      <c r="T4136" t="inlineStr">
        <is>
          <t>16</t>
        </is>
      </c>
      <c r="U4136" t="inlineStr">
        <is>
          <t>11</t>
        </is>
      </c>
      <c r="V4136" t="n">
        <v>2025</v>
      </c>
      <c r="W4136" t="n">
        <v/>
      </c>
    </row>
    <row r="4137">
      <c r="A4137" t="inlineStr">
        <is>
          <t>17/11/2025 19:18:54</t>
        </is>
      </c>
      <c r="B4137" t="inlineStr">
        <is>
          <t>Lê Quốc Duy</t>
        </is>
      </c>
      <c r="C4137" t="inlineStr">
        <is>
          <t>17/11/2025</t>
        </is>
      </c>
      <c r="D4137" t="n">
        <v>1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10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3</v>
      </c>
      <c r="R4137" t="n">
        <v>0</v>
      </c>
      <c r="S4137" t="n">
        <v/>
      </c>
      <c r="T4137" t="inlineStr">
        <is>
          <t>17</t>
        </is>
      </c>
      <c r="U4137" t="inlineStr">
        <is>
          <t>11</t>
        </is>
      </c>
      <c r="V4137" t="n">
        <v>2025</v>
      </c>
      <c r="W4137" t="n">
        <v/>
      </c>
    </row>
    <row r="4138">
      <c r="A4138" t="inlineStr">
        <is>
          <t>17/11/2025 19:24:08</t>
        </is>
      </c>
      <c r="B4138" t="inlineStr">
        <is>
          <t>Đặng Hữu Danh</t>
        </is>
      </c>
      <c r="C4138" t="inlineStr">
        <is>
          <t>17/11/2025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8</v>
      </c>
      <c r="L4138" t="n">
        <v>0</v>
      </c>
      <c r="M4138" t="n">
        <v>0</v>
      </c>
      <c r="N4138" t="n">
        <v>2</v>
      </c>
      <c r="O4138" t="n">
        <v>0</v>
      </c>
      <c r="P4138" t="n">
        <v>2</v>
      </c>
      <c r="Q4138" t="n">
        <v>4</v>
      </c>
      <c r="R4138" t="n">
        <v>0</v>
      </c>
      <c r="S4138" t="n">
        <v/>
      </c>
      <c r="T4138" t="inlineStr">
        <is>
          <t>17</t>
        </is>
      </c>
      <c r="U4138" t="inlineStr">
        <is>
          <t>11</t>
        </is>
      </c>
      <c r="V4138" t="n">
        <v>2025</v>
      </c>
      <c r="W4138" t="n">
        <v/>
      </c>
    </row>
    <row r="4139">
      <c r="A4139" t="inlineStr">
        <is>
          <t>18/11/2025 1:13:10</t>
        </is>
      </c>
      <c r="B4139" t="inlineStr">
        <is>
          <t>Hồ Thái Minh Trí</t>
        </is>
      </c>
      <c r="C4139" t="inlineStr">
        <is>
          <t>17/11/2025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8</v>
      </c>
      <c r="L4139" t="n">
        <v>0</v>
      </c>
      <c r="M4139" t="n">
        <v>0</v>
      </c>
      <c r="N4139" t="n">
        <v>0</v>
      </c>
      <c r="O4139" t="n">
        <v>0</v>
      </c>
      <c r="P4139" t="n">
        <v>1</v>
      </c>
      <c r="Q4139" t="n">
        <v>3</v>
      </c>
      <c r="R4139" t="n">
        <v>0</v>
      </c>
      <c r="S4139" t="n">
        <v/>
      </c>
      <c r="T4139" t="inlineStr">
        <is>
          <t>17</t>
        </is>
      </c>
      <c r="U4139" t="inlineStr">
        <is>
          <t>11</t>
        </is>
      </c>
      <c r="V4139" t="n">
        <v>2025</v>
      </c>
      <c r="W4139" t="n">
        <v/>
      </c>
    </row>
    <row r="4140">
      <c r="A4140" t="inlineStr">
        <is>
          <t>18/11/2025 6:29:48</t>
        </is>
      </c>
      <c r="B4140" t="inlineStr">
        <is>
          <t>Phan Ngọc Sang</t>
        </is>
      </c>
      <c r="C4140" t="inlineStr">
        <is>
          <t>17/11/2025</t>
        </is>
      </c>
      <c r="D4140" t="n">
        <v>0</v>
      </c>
      <c r="E4140" t="n">
        <v>0</v>
      </c>
      <c r="F4140" t="n">
        <v>0</v>
      </c>
      <c r="G4140" t="n">
        <v>1</v>
      </c>
      <c r="H4140" t="n">
        <v>1</v>
      </c>
      <c r="I4140" t="n">
        <v>2</v>
      </c>
      <c r="J4140" t="n">
        <v>0</v>
      </c>
      <c r="K4140" t="n">
        <v>10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2</v>
      </c>
      <c r="R4140" t="n">
        <v>0</v>
      </c>
      <c r="S4140" t="n">
        <v/>
      </c>
      <c r="T4140" t="inlineStr">
        <is>
          <t>17</t>
        </is>
      </c>
      <c r="U4140" t="inlineStr">
        <is>
          <t>11</t>
        </is>
      </c>
      <c r="V4140" t="n">
        <v>2025</v>
      </c>
      <c r="W4140" t="n">
        <v/>
      </c>
    </row>
    <row r="4141">
      <c r="A4141" t="inlineStr">
        <is>
          <t>18/11/2025 6:33:54</t>
        </is>
      </c>
      <c r="B4141" t="inlineStr">
        <is>
          <t>Lương Duy Hải</t>
        </is>
      </c>
      <c r="C4141" t="inlineStr">
        <is>
          <t>17/11/2025</t>
        </is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10</v>
      </c>
      <c r="M4141" t="n">
        <v>0</v>
      </c>
      <c r="N4141" t="n">
        <v>0</v>
      </c>
      <c r="O4141" t="n">
        <v>0</v>
      </c>
      <c r="P4141" t="n">
        <v>0</v>
      </c>
      <c r="Q4141" t="n">
        <v>2</v>
      </c>
      <c r="R4141" t="n">
        <v>0</v>
      </c>
      <c r="S4141" t="n">
        <v/>
      </c>
      <c r="T4141" t="inlineStr">
        <is>
          <t>17</t>
        </is>
      </c>
      <c r="U4141" t="inlineStr">
        <is>
          <t>11</t>
        </is>
      </c>
      <c r="V4141" t="n">
        <v>2025</v>
      </c>
      <c r="W4141" t="n">
        <v/>
      </c>
    </row>
    <row r="4142">
      <c r="A4142" t="inlineStr">
        <is>
          <t>18/11/2025 6:41:02</t>
        </is>
      </c>
      <c r="B4142" t="inlineStr">
        <is>
          <t>Trần Trung Giang</t>
        </is>
      </c>
      <c r="C4142" t="inlineStr">
        <is>
          <t>17/11/2025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2</v>
      </c>
      <c r="J4142" t="n">
        <v>0</v>
      </c>
      <c r="K4142" t="n">
        <v>8</v>
      </c>
      <c r="L4142" t="n">
        <v>0</v>
      </c>
      <c r="M4142" t="n">
        <v>0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/>
      </c>
      <c r="T4142" t="inlineStr">
        <is>
          <t>17</t>
        </is>
      </c>
      <c r="U4142" t="inlineStr">
        <is>
          <t>11</t>
        </is>
      </c>
      <c r="V4142" t="n">
        <v>2025</v>
      </c>
      <c r="W4142" t="n">
        <v/>
      </c>
    </row>
    <row r="4143">
      <c r="A4143" t="inlineStr">
        <is>
          <t>18/11/2025 6:43:27</t>
        </is>
      </c>
      <c r="B4143" t="inlineStr">
        <is>
          <t>Huỳnh Văn Lực</t>
        </is>
      </c>
      <c r="C4143" t="inlineStr">
        <is>
          <t>17/11/2025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4</v>
      </c>
      <c r="L4143" t="n">
        <v>0</v>
      </c>
      <c r="M4143" t="n">
        <v>0</v>
      </c>
      <c r="N4143" t="n">
        <v>0</v>
      </c>
      <c r="O4143" t="n">
        <v>0</v>
      </c>
      <c r="P4143" t="n">
        <v>1</v>
      </c>
      <c r="Q4143" t="n">
        <v>1</v>
      </c>
      <c r="R4143" t="n">
        <v>0</v>
      </c>
      <c r="S4143" t="n">
        <v/>
      </c>
      <c r="T4143" t="inlineStr">
        <is>
          <t>17</t>
        </is>
      </c>
      <c r="U4143" t="inlineStr">
        <is>
          <t>11</t>
        </is>
      </c>
      <c r="V4143" t="n">
        <v>2025</v>
      </c>
      <c r="W4143" t="n">
        <v/>
      </c>
    </row>
    <row r="4144">
      <c r="A4144" t="inlineStr">
        <is>
          <t>18/11/2025 6:46:15</t>
        </is>
      </c>
      <c r="B4144" t="inlineStr">
        <is>
          <t>Nguyễn Quang Anh Tuấn</t>
        </is>
      </c>
      <c r="C4144" t="inlineStr">
        <is>
          <t>17/11/2025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9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2</v>
      </c>
      <c r="R4144" t="n">
        <v>0</v>
      </c>
      <c r="S4144" t="n">
        <v/>
      </c>
      <c r="T4144" t="inlineStr">
        <is>
          <t>17</t>
        </is>
      </c>
      <c r="U4144" t="inlineStr">
        <is>
          <t>11</t>
        </is>
      </c>
      <c r="V4144" t="n">
        <v>2025</v>
      </c>
      <c r="W4144" t="n">
        <v/>
      </c>
    </row>
    <row r="4145">
      <c r="A4145" t="inlineStr">
        <is>
          <t>18/11/2025 6:49:22</t>
        </is>
      </c>
      <c r="B4145" t="inlineStr">
        <is>
          <t>Nguyễn Văn Hiệp</t>
        </is>
      </c>
      <c r="C4145" t="inlineStr">
        <is>
          <t>17/11/2025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6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/>
      </c>
      <c r="T4145" t="inlineStr">
        <is>
          <t>17</t>
        </is>
      </c>
      <c r="U4145" t="inlineStr">
        <is>
          <t>11</t>
        </is>
      </c>
      <c r="V4145" t="n">
        <v>2025</v>
      </c>
      <c r="W4145" t="n">
        <v/>
      </c>
    </row>
    <row r="4146">
      <c r="A4146" t="inlineStr">
        <is>
          <t>18/11/2025 6:58:08</t>
        </is>
      </c>
      <c r="B4146" t="inlineStr">
        <is>
          <t>Hồ Xuân Việt</t>
        </is>
      </c>
      <c r="C4146" t="inlineStr">
        <is>
          <t>17/11/2025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2</v>
      </c>
      <c r="J4146" t="n">
        <v>0</v>
      </c>
      <c r="K4146" t="n">
        <v>8</v>
      </c>
      <c r="L4146" t="n">
        <v>0</v>
      </c>
      <c r="M4146" t="n">
        <v>1</v>
      </c>
      <c r="N4146" t="n">
        <v>0</v>
      </c>
      <c r="O4146" t="n">
        <v>0</v>
      </c>
      <c r="P4146" t="n">
        <v>2</v>
      </c>
      <c r="Q4146" t="n">
        <v>4</v>
      </c>
      <c r="R4146" t="n">
        <v>0</v>
      </c>
      <c r="S4146" t="n">
        <v/>
      </c>
      <c r="T4146" t="inlineStr">
        <is>
          <t>17</t>
        </is>
      </c>
      <c r="U4146" t="inlineStr">
        <is>
          <t>11</t>
        </is>
      </c>
      <c r="V4146" t="n">
        <v>2025</v>
      </c>
      <c r="W4146" t="n">
        <v/>
      </c>
    </row>
    <row r="4147">
      <c r="A4147" t="inlineStr">
        <is>
          <t>18/11/2025 7:06:48</t>
        </is>
      </c>
      <c r="B4147" t="inlineStr">
        <is>
          <t>Phan Thành Thái</t>
        </is>
      </c>
      <c r="C4147" t="inlineStr">
        <is>
          <t>17/11/2025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2</v>
      </c>
      <c r="J4147" t="n">
        <v>0</v>
      </c>
      <c r="K4147" t="n">
        <v>6</v>
      </c>
      <c r="L4147" t="n">
        <v>0</v>
      </c>
      <c r="M4147" t="n">
        <v>1</v>
      </c>
      <c r="N4147" t="n">
        <v>0</v>
      </c>
      <c r="O4147" t="n">
        <v>0</v>
      </c>
      <c r="P4147" t="n">
        <v>1</v>
      </c>
      <c r="Q4147" t="n">
        <v>3</v>
      </c>
      <c r="R4147" t="n">
        <v>0</v>
      </c>
      <c r="S4147" t="n">
        <v/>
      </c>
      <c r="T4147" t="inlineStr">
        <is>
          <t>17</t>
        </is>
      </c>
      <c r="U4147" t="inlineStr">
        <is>
          <t>11</t>
        </is>
      </c>
      <c r="V4147" t="n">
        <v>2025</v>
      </c>
      <c r="W4147" t="n">
        <v/>
      </c>
    </row>
    <row r="4148">
      <c r="A4148" t="inlineStr">
        <is>
          <t>18/11/2025 7:06:54</t>
        </is>
      </c>
      <c r="B4148" t="inlineStr">
        <is>
          <t>Đào Công Trung</t>
        </is>
      </c>
      <c r="C4148" t="inlineStr">
        <is>
          <t>17/11/2025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9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3</v>
      </c>
      <c r="R4148" t="n">
        <v>0</v>
      </c>
      <c r="S4148" t="n">
        <v/>
      </c>
      <c r="T4148" t="inlineStr">
        <is>
          <t>17</t>
        </is>
      </c>
      <c r="U4148" t="inlineStr">
        <is>
          <t>11</t>
        </is>
      </c>
      <c r="V4148" t="n">
        <v>2025</v>
      </c>
      <c r="W4148" t="n">
        <v/>
      </c>
    </row>
    <row r="4149">
      <c r="A4149" t="inlineStr">
        <is>
          <t>18/11/2025 7:17:04</t>
        </is>
      </c>
      <c r="B4149" t="inlineStr">
        <is>
          <t>Nguyễn Văn Nhật</t>
        </is>
      </c>
      <c r="C4149" t="inlineStr">
        <is>
          <t>17/11/2025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8</v>
      </c>
      <c r="L4149" t="n">
        <v>0</v>
      </c>
      <c r="M4149" t="n">
        <v>1</v>
      </c>
      <c r="N4149" t="n">
        <v>0</v>
      </c>
      <c r="O4149" t="n">
        <v>1</v>
      </c>
      <c r="P4149" t="n">
        <v>1</v>
      </c>
      <c r="Q4149" t="n">
        <v>3</v>
      </c>
      <c r="R4149" t="n">
        <v>0</v>
      </c>
      <c r="S4149" t="n">
        <v/>
      </c>
      <c r="T4149" t="inlineStr">
        <is>
          <t>17</t>
        </is>
      </c>
      <c r="U4149" t="inlineStr">
        <is>
          <t>11</t>
        </is>
      </c>
      <c r="V4149" t="n">
        <v>2025</v>
      </c>
      <c r="W4149" t="n">
        <v/>
      </c>
    </row>
    <row r="4150">
      <c r="A4150" t="inlineStr">
        <is>
          <t>18/11/2025 7:18:59</t>
        </is>
      </c>
      <c r="B4150" t="inlineStr">
        <is>
          <t>Trần Xuân Khoa</t>
        </is>
      </c>
      <c r="C4150" t="inlineStr">
        <is>
          <t>17/11/2025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3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5</v>
      </c>
      <c r="R4150" t="n">
        <v>0</v>
      </c>
      <c r="S4150" t="n">
        <v/>
      </c>
      <c r="T4150" t="inlineStr">
        <is>
          <t>17</t>
        </is>
      </c>
      <c r="U4150" t="inlineStr">
        <is>
          <t>11</t>
        </is>
      </c>
      <c r="V4150" t="n">
        <v>2025</v>
      </c>
      <c r="W4150" t="n">
        <v/>
      </c>
    </row>
    <row r="4151">
      <c r="A4151" t="inlineStr">
        <is>
          <t>18/11/2025 7:22:10</t>
        </is>
      </c>
      <c r="B4151" t="inlineStr">
        <is>
          <t>Đặng Hoài Anh</t>
        </is>
      </c>
      <c r="C4151" t="inlineStr">
        <is>
          <t>17/11/2025</t>
        </is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6</v>
      </c>
      <c r="L4151" t="n">
        <v>0</v>
      </c>
      <c r="M4151" t="n">
        <v>1</v>
      </c>
      <c r="N4151" t="n">
        <v>1</v>
      </c>
      <c r="O4151" t="n">
        <v>0</v>
      </c>
      <c r="P4151" t="n">
        <v>2</v>
      </c>
      <c r="Q4151" t="n">
        <v>2</v>
      </c>
      <c r="R4151" t="n">
        <v>0</v>
      </c>
      <c r="S4151" t="n">
        <v/>
      </c>
      <c r="T4151" t="inlineStr">
        <is>
          <t>17</t>
        </is>
      </c>
      <c r="U4151" t="inlineStr">
        <is>
          <t>11</t>
        </is>
      </c>
      <c r="V4151" t="n">
        <v>2025</v>
      </c>
      <c r="W4151" t="n">
        <v/>
      </c>
    </row>
    <row r="4152">
      <c r="A4152" t="inlineStr">
        <is>
          <t>18/11/2025 7:22:21</t>
        </is>
      </c>
      <c r="B4152" t="inlineStr">
        <is>
          <t>Nguyễn Tuấn Anh</t>
        </is>
      </c>
      <c r="C4152" t="inlineStr">
        <is>
          <t>17/11/2025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30</v>
      </c>
      <c r="L4152" t="n">
        <v>0</v>
      </c>
      <c r="M4152" t="n">
        <v>0</v>
      </c>
      <c r="N4152" t="n">
        <v>0</v>
      </c>
      <c r="O4152" t="n">
        <v>0</v>
      </c>
      <c r="P4152" t="n">
        <v>1</v>
      </c>
      <c r="Q4152" t="n">
        <v>5</v>
      </c>
      <c r="R4152" t="n">
        <v>1</v>
      </c>
      <c r="S4152" t="n">
        <v/>
      </c>
      <c r="T4152" t="inlineStr">
        <is>
          <t>17</t>
        </is>
      </c>
      <c r="U4152" t="inlineStr">
        <is>
          <t>11</t>
        </is>
      </c>
      <c r="V4152" t="n">
        <v>2025</v>
      </c>
      <c r="W4152" t="n">
        <v/>
      </c>
    </row>
    <row r="4153">
      <c r="A4153" t="inlineStr">
        <is>
          <t>18/11/2025 7:23:04</t>
        </is>
      </c>
      <c r="B4153" t="inlineStr">
        <is>
          <t>Nguyễn Thành Lâm</t>
        </is>
      </c>
      <c r="C4153" t="inlineStr">
        <is>
          <t>17/11/2025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2</v>
      </c>
      <c r="L4153" t="n">
        <v>0</v>
      </c>
      <c r="M4153" t="n">
        <v>2</v>
      </c>
      <c r="N4153" t="n">
        <v>0</v>
      </c>
      <c r="O4153" t="n">
        <v>0</v>
      </c>
      <c r="P4153" t="n">
        <v>0</v>
      </c>
      <c r="Q4153" t="n">
        <v>3</v>
      </c>
      <c r="R4153" t="n">
        <v>0</v>
      </c>
      <c r="S4153" t="n">
        <v/>
      </c>
      <c r="T4153" t="inlineStr">
        <is>
          <t>17</t>
        </is>
      </c>
      <c r="U4153" t="inlineStr">
        <is>
          <t>11</t>
        </is>
      </c>
      <c r="V4153" t="n">
        <v>2025</v>
      </c>
      <c r="W4153" t="n">
        <v/>
      </c>
    </row>
    <row r="4154">
      <c r="A4154" t="inlineStr">
        <is>
          <t>18/11/2025 7:28:03</t>
        </is>
      </c>
      <c r="B4154" t="inlineStr">
        <is>
          <t>Dương Minh Tiến</t>
        </is>
      </c>
      <c r="C4154" t="inlineStr">
        <is>
          <t>17/11/2025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10</v>
      </c>
      <c r="L4154" t="n">
        <v>2</v>
      </c>
      <c r="M4154" t="n">
        <v>0</v>
      </c>
      <c r="N4154" t="n">
        <v>0</v>
      </c>
      <c r="O4154" t="n">
        <v>0</v>
      </c>
      <c r="P4154" t="n">
        <v>0</v>
      </c>
      <c r="Q4154" t="n">
        <v>3</v>
      </c>
      <c r="R4154" t="n">
        <v>0</v>
      </c>
      <c r="S4154" t="n">
        <v/>
      </c>
      <c r="T4154" t="inlineStr">
        <is>
          <t>17</t>
        </is>
      </c>
      <c r="U4154" t="inlineStr">
        <is>
          <t>11</t>
        </is>
      </c>
      <c r="V4154" t="n">
        <v>2025</v>
      </c>
      <c r="W4154" t="n">
        <v/>
      </c>
    </row>
    <row r="4155">
      <c r="A4155" t="inlineStr">
        <is>
          <t>18/11/2025 7:41:14</t>
        </is>
      </c>
      <c r="B4155" t="inlineStr">
        <is>
          <t>Vòng Nhật Sang</t>
        </is>
      </c>
      <c r="C4155" t="inlineStr">
        <is>
          <t>17/11/2025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16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2</v>
      </c>
      <c r="R4155" t="n">
        <v>0</v>
      </c>
      <c r="S4155" t="n">
        <v/>
      </c>
      <c r="T4155" t="inlineStr">
        <is>
          <t>17</t>
        </is>
      </c>
      <c r="U4155" t="inlineStr">
        <is>
          <t>11</t>
        </is>
      </c>
      <c r="V4155" t="n">
        <v>2025</v>
      </c>
      <c r="W4155" t="n">
        <v/>
      </c>
    </row>
    <row r="4156">
      <c r="A4156" t="inlineStr">
        <is>
          <t>18/11/2025 7:42:00</t>
        </is>
      </c>
      <c r="B4156" t="inlineStr">
        <is>
          <t>Bùi Duy Cường</t>
        </is>
      </c>
      <c r="C4156" t="inlineStr">
        <is>
          <t>17/11/2025</t>
        </is>
      </c>
      <c r="D4156" t="n">
        <v>0</v>
      </c>
      <c r="E4156" t="n">
        <v>0</v>
      </c>
      <c r="F4156" t="n">
        <v>0</v>
      </c>
      <c r="G4156" t="n">
        <v>1</v>
      </c>
      <c r="H4156" t="n">
        <v>1</v>
      </c>
      <c r="I4156" t="n">
        <v>2</v>
      </c>
      <c r="J4156" t="n">
        <v>0</v>
      </c>
      <c r="K4156" t="n">
        <v>14</v>
      </c>
      <c r="L4156" t="n">
        <v>0</v>
      </c>
      <c r="M4156" t="n">
        <v>0</v>
      </c>
      <c r="N4156" t="n">
        <v>0</v>
      </c>
      <c r="O4156" t="n">
        <v>0</v>
      </c>
      <c r="P4156" t="n">
        <v>2</v>
      </c>
      <c r="Q4156" t="n">
        <v>3</v>
      </c>
      <c r="R4156" t="n">
        <v>0</v>
      </c>
      <c r="S4156" t="n">
        <v/>
      </c>
      <c r="T4156" t="inlineStr">
        <is>
          <t>17</t>
        </is>
      </c>
      <c r="U4156" t="inlineStr">
        <is>
          <t>11</t>
        </is>
      </c>
      <c r="V4156" t="n">
        <v>2025</v>
      </c>
      <c r="W4156" t="n">
        <v/>
      </c>
    </row>
    <row r="4157">
      <c r="A4157" t="inlineStr">
        <is>
          <t>18/11/2025 8:18:10</t>
        </is>
      </c>
      <c r="B4157" t="inlineStr">
        <is>
          <t>Lê Hồng Phong</t>
        </is>
      </c>
      <c r="C4157" t="inlineStr">
        <is>
          <t>18/11/2025</t>
        </is>
      </c>
      <c r="D4157" t="n">
        <v>1</v>
      </c>
      <c r="E4157" t="n">
        <v>1</v>
      </c>
      <c r="F4157" t="n">
        <v>1</v>
      </c>
      <c r="G4157" t="n">
        <v>0</v>
      </c>
      <c r="H4157" t="n">
        <v>0</v>
      </c>
      <c r="I4157" t="n">
        <v>1</v>
      </c>
      <c r="J4157" t="n">
        <v>1</v>
      </c>
      <c r="K4157" t="n">
        <v>1</v>
      </c>
      <c r="L4157" t="n">
        <v>1</v>
      </c>
      <c r="M4157" t="n">
        <v>1</v>
      </c>
      <c r="N4157" t="n">
        <v>1</v>
      </c>
      <c r="O4157" t="n">
        <v>1</v>
      </c>
      <c r="P4157" t="n">
        <v>1</v>
      </c>
      <c r="Q4157" t="n">
        <v>1</v>
      </c>
      <c r="R4157" t="n">
        <v>1</v>
      </c>
      <c r="S4157" t="n">
        <v/>
      </c>
      <c r="T4157" t="inlineStr">
        <is>
          <t>18</t>
        </is>
      </c>
      <c r="U4157" t="inlineStr">
        <is>
          <t>11</t>
        </is>
      </c>
      <c r="V4157" t="n">
        <v>2025</v>
      </c>
      <c r="W4157" t="n">
        <v/>
      </c>
    </row>
    <row r="4158">
      <c r="A4158" t="inlineStr">
        <is>
          <t>18/11/2025 8:39:00</t>
        </is>
      </c>
      <c r="B4158" t="inlineStr">
        <is>
          <t>Lương Duy Hoàng</t>
        </is>
      </c>
      <c r="C4158" t="inlineStr">
        <is>
          <t>17/11/2025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2</v>
      </c>
      <c r="L4158" t="n">
        <v>0</v>
      </c>
      <c r="M4158" t="n">
        <v>0</v>
      </c>
      <c r="N4158" t="n">
        <v>0</v>
      </c>
      <c r="O4158" t="n">
        <v>0</v>
      </c>
      <c r="P4158" t="n">
        <v>1</v>
      </c>
      <c r="Q4158" t="n">
        <v>4</v>
      </c>
      <c r="R4158" t="n">
        <v>0</v>
      </c>
      <c r="S4158" t="n">
        <v/>
      </c>
      <c r="T4158" t="inlineStr">
        <is>
          <t>17</t>
        </is>
      </c>
      <c r="U4158" t="inlineStr">
        <is>
          <t>11</t>
        </is>
      </c>
      <c r="V4158" t="n">
        <v>2025</v>
      </c>
      <c r="W4158" t="n">
        <v/>
      </c>
    </row>
    <row r="4159">
      <c r="A4159" t="inlineStr">
        <is>
          <t>18/11/2025 8:48:47</t>
        </is>
      </c>
      <c r="B4159" t="inlineStr">
        <is>
          <t>Lê Văn Hồng</t>
        </is>
      </c>
      <c r="C4159" t="inlineStr">
        <is>
          <t>17/11/2025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7</v>
      </c>
      <c r="L4159" t="n">
        <v>0</v>
      </c>
      <c r="M4159" t="n">
        <v>0</v>
      </c>
      <c r="N4159" t="n">
        <v>0</v>
      </c>
      <c r="O4159" t="n">
        <v>0</v>
      </c>
      <c r="P4159" t="n">
        <v>3</v>
      </c>
      <c r="Q4159" t="n">
        <v>4</v>
      </c>
      <c r="R4159" t="n">
        <v>0</v>
      </c>
      <c r="S4159" t="n">
        <v/>
      </c>
      <c r="T4159" t="inlineStr">
        <is>
          <t>17</t>
        </is>
      </c>
      <c r="U4159" t="inlineStr">
        <is>
          <t>11</t>
        </is>
      </c>
      <c r="V4159" t="n">
        <v>2025</v>
      </c>
      <c r="W4159" t="n">
        <v/>
      </c>
    </row>
    <row r="4160">
      <c r="A4160" t="inlineStr">
        <is>
          <t>18/11/2025 20:11:07</t>
        </is>
      </c>
      <c r="B4160" t="inlineStr">
        <is>
          <t>Đặng Hữu Danh</t>
        </is>
      </c>
      <c r="C4160" t="inlineStr">
        <is>
          <t>18/11/2025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6</v>
      </c>
      <c r="L4160" t="n">
        <v>0</v>
      </c>
      <c r="M4160" t="n">
        <v>1</v>
      </c>
      <c r="N4160" t="n">
        <v>1</v>
      </c>
      <c r="O4160" t="n">
        <v>0</v>
      </c>
      <c r="P4160" t="n">
        <v>2</v>
      </c>
      <c r="Q4160" t="n">
        <v>5</v>
      </c>
      <c r="R4160" t="n">
        <v>0</v>
      </c>
      <c r="S4160" t="n">
        <v/>
      </c>
      <c r="T4160" t="inlineStr">
        <is>
          <t>18</t>
        </is>
      </c>
      <c r="U4160" t="inlineStr">
        <is>
          <t>11</t>
        </is>
      </c>
      <c r="V4160" t="n">
        <v>2025</v>
      </c>
      <c r="W4160" t="n">
        <v/>
      </c>
    </row>
    <row r="4161">
      <c r="A4161" t="inlineStr">
        <is>
          <t>18/11/2025 20:32:43</t>
        </is>
      </c>
      <c r="B4161" t="inlineStr">
        <is>
          <t>Lê Quốc Duy</t>
        </is>
      </c>
      <c r="C4161" t="inlineStr">
        <is>
          <t>18/11/2025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4</v>
      </c>
      <c r="L4161" t="n">
        <v>0</v>
      </c>
      <c r="M4161" t="n">
        <v>0</v>
      </c>
      <c r="N4161" t="n">
        <v>0</v>
      </c>
      <c r="O4161" t="n">
        <v>0</v>
      </c>
      <c r="P4161" t="n">
        <v>1</v>
      </c>
      <c r="Q4161" t="n">
        <v>2</v>
      </c>
      <c r="R4161" t="n">
        <v>0</v>
      </c>
      <c r="S4161" t="n">
        <v/>
      </c>
      <c r="T4161" t="inlineStr">
        <is>
          <t>18</t>
        </is>
      </c>
      <c r="U4161" t="inlineStr">
        <is>
          <t>11</t>
        </is>
      </c>
      <c r="V4161" t="n">
        <v>2025</v>
      </c>
      <c r="W4161" t="n">
        <v/>
      </c>
    </row>
    <row r="4162">
      <c r="A4162" t="inlineStr">
        <is>
          <t>18/11/2025 21:22:34</t>
        </is>
      </c>
      <c r="B4162" t="inlineStr">
        <is>
          <t>Phan Ngọc Sang</t>
        </is>
      </c>
      <c r="C4162" t="inlineStr">
        <is>
          <t>18/11/2025</t>
        </is>
      </c>
      <c r="D4162" t="n">
        <v>0</v>
      </c>
      <c r="E4162" t="n">
        <v>0</v>
      </c>
      <c r="F4162" t="n">
        <v>0</v>
      </c>
      <c r="G4162" t="n">
        <v>1</v>
      </c>
      <c r="H4162" t="n">
        <v>0</v>
      </c>
      <c r="I4162" t="n">
        <v>1</v>
      </c>
      <c r="J4162" t="n">
        <v>0</v>
      </c>
      <c r="K4162" t="n">
        <v>6</v>
      </c>
      <c r="L4162" t="n">
        <v>0</v>
      </c>
      <c r="M4162" t="n">
        <v>0</v>
      </c>
      <c r="N4162" t="n">
        <v>3</v>
      </c>
      <c r="O4162" t="n">
        <v>2</v>
      </c>
      <c r="P4162" t="n">
        <v>1</v>
      </c>
      <c r="Q4162" t="n">
        <v>2</v>
      </c>
      <c r="R4162" t="n">
        <v>0</v>
      </c>
      <c r="S4162" t="n">
        <v/>
      </c>
      <c r="T4162" t="inlineStr">
        <is>
          <t>18</t>
        </is>
      </c>
      <c r="U4162" t="inlineStr">
        <is>
          <t>11</t>
        </is>
      </c>
      <c r="V4162" t="n">
        <v>2025</v>
      </c>
      <c r="W4162" t="n">
        <v/>
      </c>
    </row>
    <row r="4163">
      <c r="A4163" t="inlineStr">
        <is>
          <t>18/11/2025 22:57:51</t>
        </is>
      </c>
      <c r="B4163" t="inlineStr">
        <is>
          <t>Trần Minh Khánh</t>
        </is>
      </c>
      <c r="C4163" t="inlineStr">
        <is>
          <t>18/11/2025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16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4</v>
      </c>
      <c r="R4163" t="n">
        <v>0</v>
      </c>
      <c r="S4163" t="n">
        <v/>
      </c>
      <c r="T4163" t="inlineStr">
        <is>
          <t>18</t>
        </is>
      </c>
      <c r="U4163" t="inlineStr">
        <is>
          <t>11</t>
        </is>
      </c>
      <c r="V4163" t="n">
        <v>2025</v>
      </c>
      <c r="W4163" t="n">
        <v/>
      </c>
    </row>
    <row r="4164">
      <c r="A4164" t="inlineStr">
        <is>
          <t>19/11/2025 6:33:08</t>
        </is>
      </c>
      <c r="B4164" t="inlineStr">
        <is>
          <t>Hồ Xuân Việt</t>
        </is>
      </c>
      <c r="C4164" t="inlineStr">
        <is>
          <t>18/11/2025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8</v>
      </c>
      <c r="L4164" t="n">
        <v>0</v>
      </c>
      <c r="M4164" t="n">
        <v>0</v>
      </c>
      <c r="N4164" t="n">
        <v>1</v>
      </c>
      <c r="O4164" t="n">
        <v>3</v>
      </c>
      <c r="P4164" t="n">
        <v>2</v>
      </c>
      <c r="Q4164" t="n">
        <v>4</v>
      </c>
      <c r="R4164" t="n">
        <v>0</v>
      </c>
      <c r="S4164" t="n">
        <v/>
      </c>
      <c r="T4164" t="inlineStr">
        <is>
          <t>18</t>
        </is>
      </c>
      <c r="U4164" t="inlineStr">
        <is>
          <t>11</t>
        </is>
      </c>
      <c r="V4164" t="n">
        <v>2025</v>
      </c>
      <c r="W4164" t="n">
        <v/>
      </c>
    </row>
    <row r="4165">
      <c r="A4165" t="inlineStr">
        <is>
          <t>19/11/2025 6:42:10</t>
        </is>
      </c>
      <c r="B4165" t="inlineStr">
        <is>
          <t>Vòng Nhật Sang</t>
        </is>
      </c>
      <c r="C4165" t="inlineStr">
        <is>
          <t>18/11/2025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12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2</v>
      </c>
      <c r="R4165" t="n">
        <v>0</v>
      </c>
      <c r="S4165" t="n">
        <v/>
      </c>
      <c r="T4165" t="inlineStr">
        <is>
          <t>18</t>
        </is>
      </c>
      <c r="U4165" t="inlineStr">
        <is>
          <t>11</t>
        </is>
      </c>
      <c r="V4165" t="n">
        <v>2025</v>
      </c>
      <c r="W4165" t="n">
        <v/>
      </c>
    </row>
    <row r="4166">
      <c r="A4166" t="inlineStr">
        <is>
          <t>19/11/2025 6:43:29</t>
        </is>
      </c>
      <c r="B4166" t="inlineStr">
        <is>
          <t>Nguyễn Văn Hiệp</t>
        </is>
      </c>
      <c r="C4166" t="inlineStr">
        <is>
          <t>18/11/2025</t>
        </is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5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/>
      </c>
      <c r="T4166" t="inlineStr">
        <is>
          <t>18</t>
        </is>
      </c>
      <c r="U4166" t="inlineStr">
        <is>
          <t>11</t>
        </is>
      </c>
      <c r="V4166" t="n">
        <v>2025</v>
      </c>
      <c r="W4166" t="n">
        <v/>
      </c>
    </row>
    <row r="4167">
      <c r="A4167" t="inlineStr">
        <is>
          <t>19/11/2025 6:46:36</t>
        </is>
      </c>
      <c r="B4167" t="inlineStr">
        <is>
          <t>Phan Thành Thái</t>
        </is>
      </c>
      <c r="C4167" t="inlineStr">
        <is>
          <t>18/11/2025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2</v>
      </c>
      <c r="J4167" t="n">
        <v>0</v>
      </c>
      <c r="K4167" t="n">
        <v>15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5</v>
      </c>
      <c r="R4167" t="n">
        <v>0</v>
      </c>
      <c r="S4167" t="n">
        <v/>
      </c>
      <c r="T4167" t="inlineStr">
        <is>
          <t>18</t>
        </is>
      </c>
      <c r="U4167" t="inlineStr">
        <is>
          <t>11</t>
        </is>
      </c>
      <c r="V4167" t="n">
        <v>2025</v>
      </c>
      <c r="W4167" t="n">
        <v/>
      </c>
    </row>
    <row r="4168">
      <c r="A4168" t="inlineStr">
        <is>
          <t>19/11/2025 6:46:56</t>
        </is>
      </c>
      <c r="B4168" t="inlineStr">
        <is>
          <t>Huỳnh Văn Lực</t>
        </is>
      </c>
      <c r="C4168" t="inlineStr">
        <is>
          <t>18/11/2025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5</v>
      </c>
      <c r="L4168" t="n">
        <v>0</v>
      </c>
      <c r="M4168" t="n">
        <v>0</v>
      </c>
      <c r="N4168" t="n">
        <v>0</v>
      </c>
      <c r="O4168" t="n">
        <v>0</v>
      </c>
      <c r="P4168" t="n">
        <v>1</v>
      </c>
      <c r="Q4168" t="n">
        <v>1</v>
      </c>
      <c r="R4168" t="n">
        <v>0</v>
      </c>
      <c r="S4168" t="n">
        <v/>
      </c>
      <c r="T4168" t="inlineStr">
        <is>
          <t>18</t>
        </is>
      </c>
      <c r="U4168" t="inlineStr">
        <is>
          <t>11</t>
        </is>
      </c>
      <c r="V4168" t="n">
        <v>2025</v>
      </c>
      <c r="W4168" t="n">
        <v/>
      </c>
    </row>
    <row r="4169">
      <c r="A4169" t="inlineStr">
        <is>
          <t>19/11/2025 6:50:37</t>
        </is>
      </c>
      <c r="B4169" t="inlineStr">
        <is>
          <t>Nguyễn Quang Anh Tuấn</t>
        </is>
      </c>
      <c r="C4169" t="inlineStr">
        <is>
          <t>18/11/2025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7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2</v>
      </c>
      <c r="R4169" t="n">
        <v>0</v>
      </c>
      <c r="S4169" t="n">
        <v/>
      </c>
      <c r="T4169" t="inlineStr">
        <is>
          <t>18</t>
        </is>
      </c>
      <c r="U4169" t="inlineStr">
        <is>
          <t>11</t>
        </is>
      </c>
      <c r="V4169" t="n">
        <v>2025</v>
      </c>
      <c r="W4169" t="n">
        <v/>
      </c>
    </row>
    <row r="4170">
      <c r="A4170" t="inlineStr">
        <is>
          <t>19/11/2025 6:51:50</t>
        </is>
      </c>
      <c r="B4170" t="inlineStr">
        <is>
          <t>Trần Trung Giang</t>
        </is>
      </c>
      <c r="C4170" t="inlineStr">
        <is>
          <t>18/11/2025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9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/>
      </c>
      <c r="T4170" t="inlineStr">
        <is>
          <t>18</t>
        </is>
      </c>
      <c r="U4170" t="inlineStr">
        <is>
          <t>11</t>
        </is>
      </c>
      <c r="V4170" t="n">
        <v>2025</v>
      </c>
      <c r="W4170" t="n">
        <v/>
      </c>
    </row>
    <row r="4171">
      <c r="A4171" t="inlineStr">
        <is>
          <t>19/11/2025 7:06:47</t>
        </is>
      </c>
      <c r="B4171" t="inlineStr">
        <is>
          <t>Nguyễn Tuấn Anh</t>
        </is>
      </c>
      <c r="C4171" t="inlineStr">
        <is>
          <t>18/11/2025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2</v>
      </c>
      <c r="J4171" t="n">
        <v>0</v>
      </c>
      <c r="K4171" t="n">
        <v>45</v>
      </c>
      <c r="L4171" t="n">
        <v>0</v>
      </c>
      <c r="M4171" t="n">
        <v>0</v>
      </c>
      <c r="N4171" t="n">
        <v>0</v>
      </c>
      <c r="O4171" t="n">
        <v>0</v>
      </c>
      <c r="P4171" t="n">
        <v>1</v>
      </c>
      <c r="Q4171" t="n">
        <v>3</v>
      </c>
      <c r="R4171" t="n">
        <v>0</v>
      </c>
      <c r="S4171" t="n">
        <v/>
      </c>
      <c r="T4171" t="inlineStr">
        <is>
          <t>18</t>
        </is>
      </c>
      <c r="U4171" t="inlineStr">
        <is>
          <t>11</t>
        </is>
      </c>
      <c r="V4171" t="n">
        <v>2025</v>
      </c>
      <c r="W4171" t="n">
        <v/>
      </c>
    </row>
    <row r="4172">
      <c r="A4172" t="inlineStr">
        <is>
          <t>19/11/2025 7:14:24</t>
        </is>
      </c>
      <c r="B4172" t="inlineStr">
        <is>
          <t>Bùi Duy Cường</t>
        </is>
      </c>
      <c r="C4172" t="inlineStr">
        <is>
          <t>18/11/2025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2</v>
      </c>
      <c r="J4172" t="n">
        <v>0</v>
      </c>
      <c r="K4172" t="n">
        <v>17</v>
      </c>
      <c r="L4172" t="n">
        <v>2</v>
      </c>
      <c r="M4172" t="n">
        <v>2</v>
      </c>
      <c r="N4172" t="n">
        <v>0</v>
      </c>
      <c r="O4172" t="n">
        <v>0</v>
      </c>
      <c r="P4172" t="n">
        <v>0</v>
      </c>
      <c r="Q4172" t="n">
        <v>2</v>
      </c>
      <c r="R4172" t="n">
        <v>0</v>
      </c>
      <c r="S4172" t="n">
        <v/>
      </c>
      <c r="T4172" t="inlineStr">
        <is>
          <t>18</t>
        </is>
      </c>
      <c r="U4172" t="inlineStr">
        <is>
          <t>11</t>
        </is>
      </c>
      <c r="V4172" t="n">
        <v>2025</v>
      </c>
      <c r="W4172" t="n">
        <v/>
      </c>
    </row>
    <row r="4173">
      <c r="A4173" t="inlineStr">
        <is>
          <t>19/11/2025 7:16:25</t>
        </is>
      </c>
      <c r="B4173" t="inlineStr">
        <is>
          <t>Đào Công Trung</t>
        </is>
      </c>
      <c r="C4173" t="inlineStr">
        <is>
          <t>18/11/2025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8</v>
      </c>
      <c r="L4173" t="n">
        <v>0</v>
      </c>
      <c r="M4173" t="n">
        <v>1</v>
      </c>
      <c r="N4173" t="n">
        <v>1</v>
      </c>
      <c r="O4173" t="n">
        <v>0</v>
      </c>
      <c r="P4173" t="n">
        <v>0</v>
      </c>
      <c r="Q4173" t="n">
        <v>0</v>
      </c>
      <c r="R4173" t="n">
        <v>0</v>
      </c>
      <c r="S4173" t="n">
        <v/>
      </c>
      <c r="T4173" t="inlineStr">
        <is>
          <t>18</t>
        </is>
      </c>
      <c r="U4173" t="inlineStr">
        <is>
          <t>11</t>
        </is>
      </c>
      <c r="V4173" t="n">
        <v>2025</v>
      </c>
      <c r="W4173" t="n">
        <v/>
      </c>
    </row>
    <row r="4174">
      <c r="A4174" t="inlineStr">
        <is>
          <t>19/11/2025 7:20:14</t>
        </is>
      </c>
      <c r="B4174" t="inlineStr">
        <is>
          <t>Dương Minh Tiến</t>
        </is>
      </c>
      <c r="C4174" t="inlineStr">
        <is>
          <t>18/11/2025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13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2</v>
      </c>
      <c r="R4174" t="n">
        <v>0</v>
      </c>
      <c r="S4174" t="n">
        <v/>
      </c>
      <c r="T4174" t="inlineStr">
        <is>
          <t>18</t>
        </is>
      </c>
      <c r="U4174" t="inlineStr">
        <is>
          <t>11</t>
        </is>
      </c>
      <c r="V4174" t="n">
        <v>2025</v>
      </c>
      <c r="W4174" t="n">
        <v/>
      </c>
    </row>
    <row r="4175">
      <c r="A4175" t="inlineStr">
        <is>
          <t>19/11/2025 7:35:13</t>
        </is>
      </c>
      <c r="B4175" t="inlineStr">
        <is>
          <t>Trần Xuân Khoa</t>
        </is>
      </c>
      <c r="C4175" t="inlineStr">
        <is>
          <t>18/11/2025</t>
        </is>
      </c>
      <c r="D4175" t="n">
        <v>1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10</v>
      </c>
      <c r="L4175" t="n">
        <v>0</v>
      </c>
      <c r="M4175" t="n">
        <v>0</v>
      </c>
      <c r="N4175" t="n">
        <v>0</v>
      </c>
      <c r="O4175" t="n">
        <v>0</v>
      </c>
      <c r="P4175" t="n">
        <v>1</v>
      </c>
      <c r="Q4175" t="n">
        <v>3</v>
      </c>
      <c r="R4175" t="n">
        <v>1</v>
      </c>
      <c r="S4175" t="n">
        <v/>
      </c>
      <c r="T4175" t="inlineStr">
        <is>
          <t>18</t>
        </is>
      </c>
      <c r="U4175" t="inlineStr">
        <is>
          <t>11</t>
        </is>
      </c>
      <c r="V4175" t="n">
        <v>2025</v>
      </c>
      <c r="W4175" t="n">
        <v/>
      </c>
    </row>
    <row r="4176">
      <c r="A4176" t="inlineStr">
        <is>
          <t>19/11/2025 7:42:03</t>
        </is>
      </c>
      <c r="B4176" t="inlineStr">
        <is>
          <t>Nguyễn Thành Lâm</t>
        </is>
      </c>
      <c r="C4176" t="inlineStr">
        <is>
          <t>18/11/2025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10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2</v>
      </c>
      <c r="R4176" t="n">
        <v>0</v>
      </c>
      <c r="S4176" t="n">
        <v/>
      </c>
      <c r="T4176" t="inlineStr">
        <is>
          <t>18</t>
        </is>
      </c>
      <c r="U4176" t="inlineStr">
        <is>
          <t>11</t>
        </is>
      </c>
      <c r="V4176" t="n">
        <v>2025</v>
      </c>
      <c r="W4176" t="n">
        <v/>
      </c>
    </row>
    <row r="4177">
      <c r="A4177" t="inlineStr">
        <is>
          <t>19/11/2025 8:01:35</t>
        </is>
      </c>
      <c r="B4177" t="inlineStr">
        <is>
          <t>Lương Duy Hoàng</t>
        </is>
      </c>
      <c r="C4177" t="inlineStr">
        <is>
          <t>18/11/2025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2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3</v>
      </c>
      <c r="R4177" t="n">
        <v>0</v>
      </c>
      <c r="S4177" t="n">
        <v/>
      </c>
      <c r="T4177" t="inlineStr">
        <is>
          <t>18</t>
        </is>
      </c>
      <c r="U4177" t="inlineStr">
        <is>
          <t>11</t>
        </is>
      </c>
      <c r="V4177" t="n">
        <v>2025</v>
      </c>
      <c r="W4177" t="n">
        <v/>
      </c>
    </row>
    <row r="4178">
      <c r="A4178" t="inlineStr">
        <is>
          <t>19/11/2025 8:03:41</t>
        </is>
      </c>
      <c r="B4178" t="inlineStr">
        <is>
          <t>Lê Hồng Phong</t>
        </is>
      </c>
      <c r="C4178" t="inlineStr">
        <is>
          <t>19/11/2025</t>
        </is>
      </c>
      <c r="D4178" t="n">
        <v>1</v>
      </c>
      <c r="E4178" t="n">
        <v>1</v>
      </c>
      <c r="F4178" t="n">
        <v>1</v>
      </c>
      <c r="G4178" t="n">
        <v>0</v>
      </c>
      <c r="H4178" t="n">
        <v>0</v>
      </c>
      <c r="I4178" t="n">
        <v>1</v>
      </c>
      <c r="J4178" t="n">
        <v>1</v>
      </c>
      <c r="K4178" t="n">
        <v>1</v>
      </c>
      <c r="L4178" t="n">
        <v>1</v>
      </c>
      <c r="M4178" t="n">
        <v>1</v>
      </c>
      <c r="N4178" t="n">
        <v>1</v>
      </c>
      <c r="O4178" t="n">
        <v>1</v>
      </c>
      <c r="P4178" t="n">
        <v>1</v>
      </c>
      <c r="Q4178" t="n">
        <v>1</v>
      </c>
      <c r="R4178" t="n">
        <v>1</v>
      </c>
      <c r="S4178" t="n">
        <v/>
      </c>
      <c r="T4178" t="inlineStr">
        <is>
          <t>19</t>
        </is>
      </c>
      <c r="U4178" t="inlineStr">
        <is>
          <t>11</t>
        </is>
      </c>
      <c r="V4178" t="n">
        <v>2025</v>
      </c>
      <c r="W4178" t="n">
        <v/>
      </c>
    </row>
    <row r="4179">
      <c r="A4179" t="inlineStr">
        <is>
          <t>19/11/2025 8:03:49</t>
        </is>
      </c>
      <c r="B4179" t="inlineStr">
        <is>
          <t>Lương Duy Hải</t>
        </is>
      </c>
      <c r="C4179" t="inlineStr">
        <is>
          <t>18/11/2025</t>
        </is>
      </c>
      <c r="D4179" t="n">
        <v>0</v>
      </c>
      <c r="E4179" t="n">
        <v>0</v>
      </c>
      <c r="F4179" t="n">
        <v>0</v>
      </c>
      <c r="G4179" t="n">
        <v>1</v>
      </c>
      <c r="H4179" t="n">
        <v>1</v>
      </c>
      <c r="I4179" t="n">
        <v>0</v>
      </c>
      <c r="J4179" t="n">
        <v>0</v>
      </c>
      <c r="K4179" t="n">
        <v>11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2</v>
      </c>
      <c r="R4179" t="n">
        <v>0</v>
      </c>
      <c r="S4179" t="n">
        <v/>
      </c>
      <c r="T4179" t="inlineStr">
        <is>
          <t>18</t>
        </is>
      </c>
      <c r="U4179" t="inlineStr">
        <is>
          <t>11</t>
        </is>
      </c>
      <c r="V4179" t="n">
        <v>2025</v>
      </c>
      <c r="W4179" t="n">
        <v/>
      </c>
    </row>
    <row r="4180">
      <c r="A4180" t="inlineStr">
        <is>
          <t>19/11/2025 8:06:23</t>
        </is>
      </c>
      <c r="B4180" t="inlineStr">
        <is>
          <t>Lê Văn Hồng</t>
        </is>
      </c>
      <c r="C4180" t="inlineStr">
        <is>
          <t>18/11/2025</t>
        </is>
      </c>
      <c r="D4180" t="n">
        <v>1</v>
      </c>
      <c r="E4180" t="n">
        <v>1</v>
      </c>
      <c r="F4180" t="n">
        <v>0</v>
      </c>
      <c r="G4180" t="n">
        <v>0</v>
      </c>
      <c r="H4180" t="n">
        <v>0</v>
      </c>
      <c r="I4180" t="n">
        <v>3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3</v>
      </c>
      <c r="Q4180" t="n">
        <v>7</v>
      </c>
      <c r="R4180" t="n">
        <v>0</v>
      </c>
      <c r="S4180" t="n">
        <v/>
      </c>
      <c r="T4180" t="inlineStr">
        <is>
          <t>18</t>
        </is>
      </c>
      <c r="U4180" t="inlineStr">
        <is>
          <t>11</t>
        </is>
      </c>
      <c r="V4180" t="n">
        <v>2025</v>
      </c>
      <c r="W4180" t="n">
        <v/>
      </c>
    </row>
    <row r="4181">
      <c r="A4181" t="inlineStr">
        <is>
          <t>19/11/2025 8:15:44</t>
        </is>
      </c>
      <c r="B4181" t="inlineStr">
        <is>
          <t>Đặng Hoài Anh</t>
        </is>
      </c>
      <c r="C4181" t="inlineStr">
        <is>
          <t>18/11/2025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2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/>
      </c>
      <c r="T4181" t="inlineStr">
        <is>
          <t>18</t>
        </is>
      </c>
      <c r="U4181" t="inlineStr">
        <is>
          <t>11</t>
        </is>
      </c>
      <c r="V4181" t="n">
        <v>2025</v>
      </c>
      <c r="W4181" t="n">
        <v/>
      </c>
    </row>
    <row r="4182">
      <c r="A4182" t="inlineStr">
        <is>
          <t>19/11/2025 9:14:51</t>
        </is>
      </c>
      <c r="B4182" t="inlineStr">
        <is>
          <t>Nguyễn Văn Nhật</t>
        </is>
      </c>
      <c r="C4182" t="inlineStr">
        <is>
          <t>18/11/2025</t>
        </is>
      </c>
      <c r="D4182" t="n">
        <v>1</v>
      </c>
      <c r="E4182" t="n">
        <v>0</v>
      </c>
      <c r="F4182" t="n">
        <v>0</v>
      </c>
      <c r="G4182" t="n">
        <v>1</v>
      </c>
      <c r="H4182" t="n">
        <v>2</v>
      </c>
      <c r="I4182" t="n">
        <v>0</v>
      </c>
      <c r="J4182" t="n">
        <v>0</v>
      </c>
      <c r="K4182" t="n">
        <v>8</v>
      </c>
      <c r="L4182" t="n">
        <v>0</v>
      </c>
      <c r="M4182" t="n">
        <v>1</v>
      </c>
      <c r="N4182" t="n">
        <v>0</v>
      </c>
      <c r="O4182" t="n">
        <v>2</v>
      </c>
      <c r="P4182" t="n">
        <v>8</v>
      </c>
      <c r="Q4182" t="n">
        <v>2</v>
      </c>
      <c r="R4182" t="n">
        <v>1</v>
      </c>
      <c r="S4182" t="n">
        <v/>
      </c>
      <c r="T4182" t="inlineStr">
        <is>
          <t>18</t>
        </is>
      </c>
      <c r="U4182" t="inlineStr">
        <is>
          <t>11</t>
        </is>
      </c>
      <c r="V4182" t="n">
        <v>2025</v>
      </c>
      <c r="W4182" t="n">
        <v/>
      </c>
    </row>
    <row r="4183">
      <c r="A4183" t="inlineStr">
        <is>
          <t>19/11/2025 10:56:41</t>
        </is>
      </c>
      <c r="B4183" t="inlineStr">
        <is>
          <t>Nguyễn Hồng Minh</t>
        </is>
      </c>
      <c r="C4183" t="inlineStr">
        <is>
          <t>17/11/2025</t>
        </is>
      </c>
      <c r="D4183" t="n">
        <v>1</v>
      </c>
      <c r="E4183" t="n">
        <v>1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6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5</v>
      </c>
      <c r="R4183" t="n">
        <v>0</v>
      </c>
      <c r="S4183" t="n">
        <v/>
      </c>
      <c r="T4183" t="inlineStr">
        <is>
          <t>17</t>
        </is>
      </c>
      <c r="U4183" t="inlineStr">
        <is>
          <t>11</t>
        </is>
      </c>
      <c r="V4183" t="n">
        <v>2025</v>
      </c>
      <c r="W4183" t="n">
        <v/>
      </c>
    </row>
    <row r="4184">
      <c r="A4184" t="inlineStr">
        <is>
          <t>19/11/2025 10:58:34</t>
        </is>
      </c>
      <c r="B4184" t="inlineStr">
        <is>
          <t>Nguyễn Hồng Minh</t>
        </is>
      </c>
      <c r="C4184" t="inlineStr">
        <is>
          <t>18/11/2025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11</v>
      </c>
      <c r="L4184" t="n">
        <v>0</v>
      </c>
      <c r="M4184" t="n">
        <v>0</v>
      </c>
      <c r="N4184" t="n">
        <v>0</v>
      </c>
      <c r="O4184" t="n">
        <v>0</v>
      </c>
      <c r="P4184" t="n">
        <v>2</v>
      </c>
      <c r="Q4184" t="n">
        <v>3</v>
      </c>
      <c r="R4184" t="n">
        <v>0</v>
      </c>
      <c r="S4184" t="n">
        <v/>
      </c>
      <c r="T4184" t="inlineStr">
        <is>
          <t>18</t>
        </is>
      </c>
      <c r="U4184" t="inlineStr">
        <is>
          <t>11</t>
        </is>
      </c>
      <c r="V4184" t="n">
        <v>2025</v>
      </c>
      <c r="W4184" t="n">
        <v/>
      </c>
    </row>
    <row r="4185">
      <c r="A4185" t="inlineStr">
        <is>
          <t>19/11/2025 11:12:13</t>
        </is>
      </c>
      <c r="B4185" t="inlineStr">
        <is>
          <t>Hồ Thái Minh Trí</t>
        </is>
      </c>
      <c r="C4185" t="inlineStr">
        <is>
          <t>18/11/2025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10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2</v>
      </c>
      <c r="R4185" t="n">
        <v>0</v>
      </c>
      <c r="S4185" t="n">
        <v/>
      </c>
      <c r="T4185" t="inlineStr">
        <is>
          <t>18</t>
        </is>
      </c>
      <c r="U4185" t="inlineStr">
        <is>
          <t>11</t>
        </is>
      </c>
      <c r="V4185" t="n">
        <v>2025</v>
      </c>
      <c r="W4185" t="n">
        <v/>
      </c>
    </row>
    <row r="4186">
      <c r="A4186" t="inlineStr">
        <is>
          <t>19/11/2025 20:58:57</t>
        </is>
      </c>
      <c r="B4186" t="inlineStr">
        <is>
          <t>Lê Quốc Duy</t>
        </is>
      </c>
      <c r="C4186" t="inlineStr">
        <is>
          <t>19/11/2025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2</v>
      </c>
      <c r="L4186" t="n">
        <v>0</v>
      </c>
      <c r="M4186" t="n">
        <v>0</v>
      </c>
      <c r="N4186" t="n">
        <v>0</v>
      </c>
      <c r="O4186" t="n">
        <v>0</v>
      </c>
      <c r="P4186" t="n">
        <v>2</v>
      </c>
      <c r="Q4186" t="n">
        <v>5</v>
      </c>
      <c r="R4186" t="n">
        <v>0</v>
      </c>
      <c r="S4186" t="n">
        <v/>
      </c>
      <c r="T4186" t="inlineStr">
        <is>
          <t>19</t>
        </is>
      </c>
      <c r="U4186" t="inlineStr">
        <is>
          <t>11</t>
        </is>
      </c>
      <c r="V4186" t="n">
        <v>2025</v>
      </c>
      <c r="W4186" t="n">
        <v/>
      </c>
    </row>
    <row r="4187">
      <c r="A4187" t="inlineStr">
        <is>
          <t>19/11/2025 21:40:19</t>
        </is>
      </c>
      <c r="B4187" t="inlineStr">
        <is>
          <t>Đặng Hữu Danh</t>
        </is>
      </c>
      <c r="C4187" t="inlineStr">
        <is>
          <t>19/11/2025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5</v>
      </c>
      <c r="L4187" t="n">
        <v>0</v>
      </c>
      <c r="M4187" t="n">
        <v>1</v>
      </c>
      <c r="N4187" t="n">
        <v>1</v>
      </c>
      <c r="O4187" t="n">
        <v>0</v>
      </c>
      <c r="P4187" t="n">
        <v>2</v>
      </c>
      <c r="Q4187" t="n">
        <v>5</v>
      </c>
      <c r="R4187" t="n">
        <v>0</v>
      </c>
      <c r="S4187" t="n">
        <v/>
      </c>
      <c r="T4187" t="inlineStr">
        <is>
          <t>19</t>
        </is>
      </c>
      <c r="U4187" t="inlineStr">
        <is>
          <t>11</t>
        </is>
      </c>
      <c r="V4187" t="n">
        <v>2025</v>
      </c>
      <c r="W4187" t="n">
        <v/>
      </c>
    </row>
    <row r="4188">
      <c r="A4188" t="inlineStr">
        <is>
          <t>20/11/2025 6:34:02</t>
        </is>
      </c>
      <c r="B4188" t="inlineStr">
        <is>
          <t>Nguyễn Văn Hiệp</t>
        </is>
      </c>
      <c r="C4188" t="inlineStr">
        <is>
          <t>19/11/2025</t>
        </is>
      </c>
      <c r="D4188" t="n">
        <v>1</v>
      </c>
      <c r="E4188" t="n">
        <v>1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5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/>
      </c>
      <c r="T4188" t="inlineStr">
        <is>
          <t>19</t>
        </is>
      </c>
      <c r="U4188" t="inlineStr">
        <is>
          <t>11</t>
        </is>
      </c>
      <c r="V4188" t="n">
        <v>2025</v>
      </c>
      <c r="W4188" t="n">
        <v/>
      </c>
    </row>
    <row r="4189">
      <c r="A4189" t="inlineStr">
        <is>
          <t>20/11/2025 6:43:50</t>
        </is>
      </c>
      <c r="B4189" t="inlineStr">
        <is>
          <t>Phan Ngọc Sang</t>
        </is>
      </c>
      <c r="C4189" t="inlineStr">
        <is>
          <t>19/11/2025</t>
        </is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5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5</v>
      </c>
      <c r="R4189" t="n">
        <v>1</v>
      </c>
      <c r="S4189" t="n">
        <v/>
      </c>
      <c r="T4189" t="inlineStr">
        <is>
          <t>19</t>
        </is>
      </c>
      <c r="U4189" t="inlineStr">
        <is>
          <t>11</t>
        </is>
      </c>
      <c r="V4189" t="n">
        <v>2025</v>
      </c>
      <c r="W4189" t="n">
        <v/>
      </c>
    </row>
    <row r="4190">
      <c r="A4190" t="inlineStr">
        <is>
          <t>20/11/2025 6:46:04</t>
        </is>
      </c>
      <c r="B4190" t="inlineStr">
        <is>
          <t>Huỳnh Văn Lực</t>
        </is>
      </c>
      <c r="C4190" t="inlineStr">
        <is>
          <t>19/11/2025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5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/>
      </c>
      <c r="T4190" t="inlineStr">
        <is>
          <t>19</t>
        </is>
      </c>
      <c r="U4190" t="inlineStr">
        <is>
          <t>11</t>
        </is>
      </c>
      <c r="V4190" t="n">
        <v>2025</v>
      </c>
      <c r="W4190" t="n">
        <v/>
      </c>
    </row>
    <row r="4191">
      <c r="A4191" t="inlineStr">
        <is>
          <t>20/11/2025 6:47:25</t>
        </is>
      </c>
      <c r="B4191" t="inlineStr">
        <is>
          <t>Đặng Hoài Anh</t>
        </is>
      </c>
      <c r="C4191" t="inlineStr">
        <is>
          <t>19/11/2025</t>
        </is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4</v>
      </c>
      <c r="L4191" t="n">
        <v>0</v>
      </c>
      <c r="M4191" t="n">
        <v>0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/>
      </c>
      <c r="T4191" t="inlineStr">
        <is>
          <t>19</t>
        </is>
      </c>
      <c r="U4191" t="inlineStr">
        <is>
          <t>11</t>
        </is>
      </c>
      <c r="V4191" t="n">
        <v>2025</v>
      </c>
      <c r="W4191" t="n">
        <v/>
      </c>
    </row>
    <row r="4192">
      <c r="A4192" t="inlineStr">
        <is>
          <t>20/11/2025 6:51:38</t>
        </is>
      </c>
      <c r="B4192" t="inlineStr">
        <is>
          <t>Trần Trung Giang</t>
        </is>
      </c>
      <c r="C4192" t="inlineStr">
        <is>
          <t>19/11/2025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2</v>
      </c>
      <c r="J4192" t="n">
        <v>1</v>
      </c>
      <c r="K4192" t="n">
        <v>9</v>
      </c>
      <c r="L4192" t="n">
        <v>0</v>
      </c>
      <c r="M4192" t="n">
        <v>0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/>
      </c>
      <c r="T4192" t="inlineStr">
        <is>
          <t>19</t>
        </is>
      </c>
      <c r="U4192" t="inlineStr">
        <is>
          <t>11</t>
        </is>
      </c>
      <c r="V4192" t="n">
        <v>2025</v>
      </c>
      <c r="W4192" t="n">
        <v/>
      </c>
    </row>
    <row r="4193">
      <c r="A4193" t="inlineStr">
        <is>
          <t>20/11/2025 6:58:25</t>
        </is>
      </c>
      <c r="B4193" t="inlineStr">
        <is>
          <t>Hồ Xuân Việt</t>
        </is>
      </c>
      <c r="C4193" t="inlineStr">
        <is>
          <t>19/11/2025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8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4</v>
      </c>
      <c r="R4193" t="n">
        <v>0</v>
      </c>
      <c r="S4193" t="n">
        <v/>
      </c>
      <c r="T4193" t="inlineStr">
        <is>
          <t>19</t>
        </is>
      </c>
      <c r="U4193" t="inlineStr">
        <is>
          <t>11</t>
        </is>
      </c>
      <c r="V4193" t="n">
        <v>2025</v>
      </c>
      <c r="W4193" t="n">
        <v/>
      </c>
    </row>
    <row r="4194">
      <c r="A4194" t="inlineStr">
        <is>
          <t>20/11/2025 7:14:44</t>
        </is>
      </c>
      <c r="B4194" t="inlineStr">
        <is>
          <t>Phan Thành Thái</t>
        </is>
      </c>
      <c r="C4194" t="inlineStr">
        <is>
          <t>19/11/2025</t>
        </is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2</v>
      </c>
      <c r="J4194" t="n">
        <v>0</v>
      </c>
      <c r="K4194" t="n">
        <v>24</v>
      </c>
      <c r="L4194" t="n">
        <v>0</v>
      </c>
      <c r="M4194" t="n">
        <v>2</v>
      </c>
      <c r="N4194" t="n">
        <v>0</v>
      </c>
      <c r="O4194" t="n">
        <v>0</v>
      </c>
      <c r="P4194" t="n">
        <v>0</v>
      </c>
      <c r="Q4194" t="n">
        <v>3</v>
      </c>
      <c r="R4194" t="n">
        <v>0</v>
      </c>
      <c r="S4194" t="n">
        <v/>
      </c>
      <c r="T4194" t="inlineStr">
        <is>
          <t>19</t>
        </is>
      </c>
      <c r="U4194" t="inlineStr">
        <is>
          <t>11</t>
        </is>
      </c>
      <c r="V4194" t="n">
        <v>2025</v>
      </c>
      <c r="W4194" t="n">
        <v/>
      </c>
    </row>
    <row r="4195">
      <c r="A4195" t="inlineStr">
        <is>
          <t>20/11/2025 7:16:44</t>
        </is>
      </c>
      <c r="B4195" t="inlineStr">
        <is>
          <t>Trần Xuân Khoa</t>
        </is>
      </c>
      <c r="C4195" t="inlineStr">
        <is>
          <t>19/11/2025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4</v>
      </c>
      <c r="L4195" t="n">
        <v>0</v>
      </c>
      <c r="M4195" t="n">
        <v>0</v>
      </c>
      <c r="N4195" t="n">
        <v>2</v>
      </c>
      <c r="O4195" t="n">
        <v>0</v>
      </c>
      <c r="P4195" t="n">
        <v>4</v>
      </c>
      <c r="Q4195" t="n">
        <v>4</v>
      </c>
      <c r="R4195" t="n">
        <v>0</v>
      </c>
      <c r="S4195" t="n">
        <v/>
      </c>
      <c r="T4195" t="inlineStr">
        <is>
          <t>19</t>
        </is>
      </c>
      <c r="U4195" t="inlineStr">
        <is>
          <t>11</t>
        </is>
      </c>
      <c r="V4195" t="n">
        <v>2025</v>
      </c>
      <c r="W4195" t="n">
        <v/>
      </c>
    </row>
    <row r="4196">
      <c r="A4196" t="inlineStr">
        <is>
          <t>20/11/2025 7:18:51</t>
        </is>
      </c>
      <c r="B4196" t="inlineStr">
        <is>
          <t>Lương Duy Hoàng</t>
        </is>
      </c>
      <c r="C4196" t="inlineStr">
        <is>
          <t>19/11/2025</t>
        </is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3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4</v>
      </c>
      <c r="R4196" t="n">
        <v>0</v>
      </c>
      <c r="S4196" t="n">
        <v/>
      </c>
      <c r="T4196" t="inlineStr">
        <is>
          <t>19</t>
        </is>
      </c>
      <c r="U4196" t="inlineStr">
        <is>
          <t>11</t>
        </is>
      </c>
      <c r="V4196" t="n">
        <v>2025</v>
      </c>
      <c r="W4196" t="n">
        <v/>
      </c>
    </row>
    <row r="4197">
      <c r="A4197" t="inlineStr">
        <is>
          <t>20/11/2025 7:21:28</t>
        </is>
      </c>
      <c r="B4197" t="inlineStr">
        <is>
          <t>Nguyễn Tuấn Anh</t>
        </is>
      </c>
      <c r="C4197" t="inlineStr">
        <is>
          <t>19/11/2025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3</v>
      </c>
      <c r="J4197" t="n">
        <v>2</v>
      </c>
      <c r="K4197" t="n">
        <v>19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4</v>
      </c>
      <c r="R4197" t="n">
        <v>0</v>
      </c>
      <c r="S4197" t="n">
        <v/>
      </c>
      <c r="T4197" t="inlineStr">
        <is>
          <t>19</t>
        </is>
      </c>
      <c r="U4197" t="inlineStr">
        <is>
          <t>11</t>
        </is>
      </c>
      <c r="V4197" t="n">
        <v>2025</v>
      </c>
      <c r="W4197" t="n">
        <v/>
      </c>
    </row>
    <row r="4198">
      <c r="A4198" t="inlineStr">
        <is>
          <t>20/11/2025 7:36:26</t>
        </is>
      </c>
      <c r="B4198" t="inlineStr">
        <is>
          <t>Nguyễn Thành Lâm</t>
        </is>
      </c>
      <c r="C4198" t="inlineStr">
        <is>
          <t>19/11/2025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11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2</v>
      </c>
      <c r="R4198" t="n">
        <v>1</v>
      </c>
      <c r="S4198" t="n">
        <v/>
      </c>
      <c r="T4198" t="inlineStr">
        <is>
          <t>19</t>
        </is>
      </c>
      <c r="U4198" t="inlineStr">
        <is>
          <t>11</t>
        </is>
      </c>
      <c r="V4198" t="n">
        <v>2025</v>
      </c>
      <c r="W4198" t="n">
        <v/>
      </c>
    </row>
    <row r="4199">
      <c r="A4199" t="inlineStr">
        <is>
          <t>20/11/2025 7:41:41</t>
        </is>
      </c>
      <c r="B4199" t="inlineStr">
        <is>
          <t>Bùi Duy Cường</t>
        </is>
      </c>
      <c r="C4199" t="inlineStr">
        <is>
          <t>19/11/2025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18</v>
      </c>
      <c r="M4199" t="n">
        <v>0</v>
      </c>
      <c r="N4199" t="n">
        <v>0</v>
      </c>
      <c r="O4199" t="n">
        <v>0</v>
      </c>
      <c r="P4199" t="n">
        <v>1</v>
      </c>
      <c r="Q4199" t="n">
        <v>1</v>
      </c>
      <c r="R4199" t="n">
        <v>0</v>
      </c>
      <c r="S4199" t="n">
        <v/>
      </c>
      <c r="T4199" t="inlineStr">
        <is>
          <t>19</t>
        </is>
      </c>
      <c r="U4199" t="inlineStr">
        <is>
          <t>11</t>
        </is>
      </c>
      <c r="V4199" t="n">
        <v>2025</v>
      </c>
      <c r="W4199" t="n">
        <v/>
      </c>
    </row>
    <row r="4200">
      <c r="A4200" t="inlineStr">
        <is>
          <t>20/11/2025 7:41:47</t>
        </is>
      </c>
      <c r="B4200" t="inlineStr">
        <is>
          <t>Hồ Thái Minh Trí</t>
        </is>
      </c>
      <c r="C4200" t="inlineStr">
        <is>
          <t>19/11/2025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25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/>
      </c>
      <c r="T4200" t="inlineStr">
        <is>
          <t>19</t>
        </is>
      </c>
      <c r="U4200" t="inlineStr">
        <is>
          <t>11</t>
        </is>
      </c>
      <c r="V4200" t="n">
        <v>2025</v>
      </c>
      <c r="W4200" t="n">
        <v/>
      </c>
    </row>
    <row r="4201">
      <c r="A4201" t="inlineStr">
        <is>
          <t>20/11/2025 7:42:13</t>
        </is>
      </c>
      <c r="B4201" t="inlineStr">
        <is>
          <t>Dương Minh Tiến</t>
        </is>
      </c>
      <c r="C4201" t="inlineStr">
        <is>
          <t>19/11/2025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10</v>
      </c>
      <c r="L4201" t="n">
        <v>0</v>
      </c>
      <c r="M4201" t="n">
        <v>0</v>
      </c>
      <c r="N4201" t="n">
        <v>0</v>
      </c>
      <c r="O4201" t="n">
        <v>0</v>
      </c>
      <c r="P4201" t="n">
        <v>1</v>
      </c>
      <c r="Q4201" t="n">
        <v>2</v>
      </c>
      <c r="R4201" t="n">
        <v>0</v>
      </c>
      <c r="S4201" t="n">
        <v/>
      </c>
      <c r="T4201" t="inlineStr">
        <is>
          <t>19</t>
        </is>
      </c>
      <c r="U4201" t="inlineStr">
        <is>
          <t>11</t>
        </is>
      </c>
      <c r="V4201" t="n">
        <v>2025</v>
      </c>
      <c r="W4201" t="n">
        <v/>
      </c>
    </row>
    <row r="4202">
      <c r="A4202" t="inlineStr">
        <is>
          <t>20/11/2025 7:42:13</t>
        </is>
      </c>
      <c r="B4202" t="inlineStr">
        <is>
          <t>Lương Duy Hải</t>
        </is>
      </c>
      <c r="C4202" t="inlineStr">
        <is>
          <t>19/11/2025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4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3</v>
      </c>
      <c r="R4202" t="n">
        <v>0</v>
      </c>
      <c r="S4202" t="n">
        <v/>
      </c>
      <c r="T4202" t="inlineStr">
        <is>
          <t>19</t>
        </is>
      </c>
      <c r="U4202" t="inlineStr">
        <is>
          <t>11</t>
        </is>
      </c>
      <c r="V4202" t="n">
        <v>2025</v>
      </c>
      <c r="W4202" t="n">
        <v/>
      </c>
    </row>
    <row r="4203">
      <c r="A4203" t="inlineStr">
        <is>
          <t>20/11/2025 7:43:21</t>
        </is>
      </c>
      <c r="B4203" t="inlineStr">
        <is>
          <t>Lê Hồng Phong</t>
        </is>
      </c>
      <c r="C4203" t="inlineStr">
        <is>
          <t>20/11/2025</t>
        </is>
      </c>
      <c r="D4203" t="n">
        <v>1</v>
      </c>
      <c r="E4203" t="n">
        <v>1</v>
      </c>
      <c r="F4203" t="n">
        <v>1</v>
      </c>
      <c r="G4203" t="n">
        <v>0</v>
      </c>
      <c r="H4203" t="n">
        <v>0</v>
      </c>
      <c r="I4203" t="n">
        <v>1</v>
      </c>
      <c r="J4203" t="n">
        <v>1</v>
      </c>
      <c r="K4203" t="n">
        <v>1</v>
      </c>
      <c r="L4203" t="n">
        <v>1</v>
      </c>
      <c r="M4203" t="n">
        <v>1</v>
      </c>
      <c r="N4203" t="n">
        <v>1</v>
      </c>
      <c r="O4203" t="n">
        <v>1</v>
      </c>
      <c r="P4203" t="n">
        <v>1</v>
      </c>
      <c r="Q4203" t="n">
        <v>1</v>
      </c>
      <c r="R4203" t="n">
        <v>1</v>
      </c>
      <c r="S4203" t="n">
        <v/>
      </c>
      <c r="T4203" t="inlineStr">
        <is>
          <t>20</t>
        </is>
      </c>
      <c r="U4203" t="inlineStr">
        <is>
          <t>11</t>
        </is>
      </c>
      <c r="V4203" t="n">
        <v>2025</v>
      </c>
      <c r="W4203" t="n">
        <v/>
      </c>
    </row>
    <row r="4204">
      <c r="A4204" t="inlineStr">
        <is>
          <t>20/11/2025 7:52:16</t>
        </is>
      </c>
      <c r="B4204" t="inlineStr">
        <is>
          <t>Vòng Nhật Sang</t>
        </is>
      </c>
      <c r="C4204" t="inlineStr">
        <is>
          <t>19/11/2025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7</v>
      </c>
      <c r="L4204" t="n">
        <v>0</v>
      </c>
      <c r="M4204" t="n">
        <v>0</v>
      </c>
      <c r="N4204" t="n">
        <v>0</v>
      </c>
      <c r="O4204" t="n">
        <v>0</v>
      </c>
      <c r="P4204" t="n">
        <v>2</v>
      </c>
      <c r="Q4204" t="n">
        <v>2</v>
      </c>
      <c r="R4204" t="n">
        <v>0</v>
      </c>
      <c r="S4204" t="n">
        <v/>
      </c>
      <c r="T4204" t="inlineStr">
        <is>
          <t>19</t>
        </is>
      </c>
      <c r="U4204" t="inlineStr">
        <is>
          <t>11</t>
        </is>
      </c>
      <c r="V4204" t="n">
        <v>2025</v>
      </c>
      <c r="W4204" t="n">
        <v/>
      </c>
    </row>
    <row r="4205">
      <c r="A4205" t="inlineStr">
        <is>
          <t>20/11/2025 7:52:40</t>
        </is>
      </c>
      <c r="B4205" t="inlineStr">
        <is>
          <t>Nguyễn Quang Anh Tuấn</t>
        </is>
      </c>
      <c r="C4205" t="inlineStr">
        <is>
          <t>19/11/2025</t>
        </is>
      </c>
      <c r="D4205" t="n">
        <v>2</v>
      </c>
      <c r="E4205" t="n">
        <v>1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2</v>
      </c>
      <c r="R4205" t="n">
        <v>0</v>
      </c>
      <c r="S4205" t="n">
        <v/>
      </c>
      <c r="T4205" t="inlineStr">
        <is>
          <t>19</t>
        </is>
      </c>
      <c r="U4205" t="inlineStr">
        <is>
          <t>11</t>
        </is>
      </c>
      <c r="V4205" t="n">
        <v>2025</v>
      </c>
      <c r="W4205" t="n">
        <v/>
      </c>
    </row>
    <row r="4206">
      <c r="A4206" t="inlineStr">
        <is>
          <t>20/11/2025 8:30:26</t>
        </is>
      </c>
      <c r="B4206" t="inlineStr">
        <is>
          <t>Đào Công Trung</t>
        </is>
      </c>
      <c r="C4206" t="inlineStr">
        <is>
          <t>19/11/2025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4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/>
      </c>
      <c r="T4206" t="inlineStr">
        <is>
          <t>19</t>
        </is>
      </c>
      <c r="U4206" t="inlineStr">
        <is>
          <t>11</t>
        </is>
      </c>
      <c r="V4206" t="n">
        <v>2025</v>
      </c>
      <c r="W4206" t="n">
        <v/>
      </c>
    </row>
    <row r="4207">
      <c r="A4207" t="inlineStr">
        <is>
          <t>20/11/2025 8:43:47</t>
        </is>
      </c>
      <c r="B4207" t="inlineStr">
        <is>
          <t>Nguyễn Hồng Minh</t>
        </is>
      </c>
      <c r="C4207" t="inlineStr">
        <is>
          <t>19/11/2025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1</v>
      </c>
      <c r="J4207" t="n">
        <v>0</v>
      </c>
      <c r="K4207" t="n">
        <v>9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5</v>
      </c>
      <c r="R4207" t="n">
        <v>0</v>
      </c>
      <c r="S4207" t="n">
        <v/>
      </c>
      <c r="T4207" t="inlineStr">
        <is>
          <t>19</t>
        </is>
      </c>
      <c r="U4207" t="inlineStr">
        <is>
          <t>11</t>
        </is>
      </c>
      <c r="V4207" t="n">
        <v>2025</v>
      </c>
      <c r="W4207" t="n">
        <v/>
      </c>
    </row>
    <row r="4208">
      <c r="A4208" t="inlineStr">
        <is>
          <t>20/11/2025 10:19:10</t>
        </is>
      </c>
      <c r="B4208" t="inlineStr">
        <is>
          <t>Nguyễn Văn Nhật</t>
        </is>
      </c>
      <c r="C4208" t="inlineStr">
        <is>
          <t>19/11/2025</t>
        </is>
      </c>
      <c r="D4208" t="n">
        <v>2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10</v>
      </c>
      <c r="L4208" t="n">
        <v>0</v>
      </c>
      <c r="M4208" t="n">
        <v>2</v>
      </c>
      <c r="N4208" t="n">
        <v>0</v>
      </c>
      <c r="O4208" t="n">
        <v>1</v>
      </c>
      <c r="P4208" t="n">
        <v>1</v>
      </c>
      <c r="Q4208" t="n">
        <v>2</v>
      </c>
      <c r="R4208" t="n">
        <v>0</v>
      </c>
      <c r="S4208" t="n">
        <v/>
      </c>
      <c r="T4208" t="inlineStr">
        <is>
          <t>19</t>
        </is>
      </c>
      <c r="U4208" t="inlineStr">
        <is>
          <t>11</t>
        </is>
      </c>
      <c r="V4208" t="n">
        <v>2025</v>
      </c>
      <c r="W4208" t="n">
        <v/>
      </c>
    </row>
    <row r="4209">
      <c r="A4209" t="inlineStr">
        <is>
          <t>20/11/2025 21:06:26</t>
        </is>
      </c>
      <c r="B4209" t="inlineStr">
        <is>
          <t>Lê Quốc Duy</t>
        </is>
      </c>
      <c r="C4209" t="inlineStr">
        <is>
          <t>20/11/2025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14</v>
      </c>
      <c r="L4209" t="n">
        <v>0</v>
      </c>
      <c r="M4209" t="n">
        <v>1</v>
      </c>
      <c r="N4209" t="n">
        <v>0</v>
      </c>
      <c r="O4209" t="n">
        <v>0</v>
      </c>
      <c r="P4209" t="n">
        <v>1</v>
      </c>
      <c r="Q4209" t="n">
        <v>6</v>
      </c>
      <c r="R4209" t="n">
        <v>0</v>
      </c>
      <c r="S4209" t="n">
        <v/>
      </c>
      <c r="T4209" t="inlineStr">
        <is>
          <t>20</t>
        </is>
      </c>
      <c r="U4209" t="inlineStr">
        <is>
          <t>11</t>
        </is>
      </c>
      <c r="V4209" t="n">
        <v>2025</v>
      </c>
      <c r="W4209" t="n">
        <v/>
      </c>
    </row>
    <row r="4210">
      <c r="A4210" t="inlineStr">
        <is>
          <t>21/11/2025 6:40:36</t>
        </is>
      </c>
      <c r="B4210" t="inlineStr">
        <is>
          <t>Trần Xuân Khoa</t>
        </is>
      </c>
      <c r="C4210" t="inlineStr">
        <is>
          <t>20/11/2025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15</v>
      </c>
      <c r="L4210" t="n">
        <v>0</v>
      </c>
      <c r="M4210" t="n">
        <v>0</v>
      </c>
      <c r="N4210" t="n">
        <v>0</v>
      </c>
      <c r="O4210" t="n">
        <v>0</v>
      </c>
      <c r="P4210" t="n">
        <v>1</v>
      </c>
      <c r="Q4210" t="n">
        <v>3</v>
      </c>
      <c r="R4210" t="n">
        <v>0</v>
      </c>
      <c r="S4210" t="n">
        <v/>
      </c>
      <c r="T4210" t="inlineStr">
        <is>
          <t>20</t>
        </is>
      </c>
      <c r="U4210" t="inlineStr">
        <is>
          <t>11</t>
        </is>
      </c>
      <c r="V4210" t="n">
        <v>2025</v>
      </c>
      <c r="W4210" t="n">
        <v/>
      </c>
    </row>
    <row r="4211">
      <c r="A4211" t="inlineStr">
        <is>
          <t>21/11/2025 6:52:32</t>
        </is>
      </c>
      <c r="B4211" t="inlineStr">
        <is>
          <t>Phan Ngọc Sang</t>
        </is>
      </c>
      <c r="C4211" t="inlineStr">
        <is>
          <t>20/11/2025</t>
        </is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8</v>
      </c>
      <c r="L4211" t="n">
        <v>0</v>
      </c>
      <c r="M4211" t="n">
        <v>1</v>
      </c>
      <c r="N4211" t="n">
        <v>0</v>
      </c>
      <c r="O4211" t="n">
        <v>0</v>
      </c>
      <c r="P4211" t="n">
        <v>1</v>
      </c>
      <c r="Q4211" t="n">
        <v>3</v>
      </c>
      <c r="R4211" t="n">
        <v>0</v>
      </c>
      <c r="S4211" t="n">
        <v/>
      </c>
      <c r="T4211" t="inlineStr">
        <is>
          <t>20</t>
        </is>
      </c>
      <c r="U4211" t="inlineStr">
        <is>
          <t>11</t>
        </is>
      </c>
      <c r="V4211" t="n">
        <v>2025</v>
      </c>
      <c r="W4211" t="n">
        <v/>
      </c>
    </row>
    <row r="4212">
      <c r="A4212" t="inlineStr">
        <is>
          <t>21/11/2025 7:01:30</t>
        </is>
      </c>
      <c r="B4212" t="inlineStr">
        <is>
          <t>Vòng Nhật Sang</t>
        </is>
      </c>
      <c r="C4212" t="inlineStr">
        <is>
          <t>20/11/2025</t>
        </is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1</v>
      </c>
      <c r="Q4212" t="n">
        <v>2</v>
      </c>
      <c r="R4212" t="n">
        <v>0</v>
      </c>
      <c r="S4212" t="n">
        <v/>
      </c>
      <c r="T4212" t="inlineStr">
        <is>
          <t>20</t>
        </is>
      </c>
      <c r="U4212" t="inlineStr">
        <is>
          <t>11</t>
        </is>
      </c>
      <c r="V4212" t="n">
        <v>2025</v>
      </c>
      <c r="W4212" t="n">
        <v/>
      </c>
    </row>
    <row r="4213">
      <c r="A4213" t="inlineStr">
        <is>
          <t>21/11/2025 7:04:28</t>
        </is>
      </c>
      <c r="B4213" t="inlineStr">
        <is>
          <t>Hồ Xuân Việt</t>
        </is>
      </c>
      <c r="C4213" t="inlineStr">
        <is>
          <t>20/11/2025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10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5</v>
      </c>
      <c r="R4213" t="n">
        <v>0</v>
      </c>
      <c r="S4213" t="n">
        <v/>
      </c>
      <c r="T4213" t="inlineStr">
        <is>
          <t>20</t>
        </is>
      </c>
      <c r="U4213" t="inlineStr">
        <is>
          <t>11</t>
        </is>
      </c>
      <c r="V4213" t="n">
        <v>2025</v>
      </c>
      <c r="W4213" t="n">
        <v/>
      </c>
    </row>
    <row r="4214">
      <c r="A4214" t="inlineStr">
        <is>
          <t>21/11/2025 7:04:47</t>
        </is>
      </c>
      <c r="B4214" t="inlineStr">
        <is>
          <t>Nguyễn Văn Hiệp</t>
        </is>
      </c>
      <c r="C4214" t="inlineStr">
        <is>
          <t>20/11/2025</t>
        </is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4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/>
      </c>
      <c r="T4214" t="inlineStr">
        <is>
          <t>20</t>
        </is>
      </c>
      <c r="U4214" t="inlineStr">
        <is>
          <t>11</t>
        </is>
      </c>
      <c r="V4214" t="n">
        <v>2025</v>
      </c>
      <c r="W4214" t="n">
        <v/>
      </c>
    </row>
    <row r="4215">
      <c r="A4215" t="inlineStr">
        <is>
          <t>21/11/2025 7:11:39</t>
        </is>
      </c>
      <c r="B4215" t="inlineStr">
        <is>
          <t>Nguyễn Văn Hiệp</t>
        </is>
      </c>
      <c r="C4215" t="inlineStr">
        <is>
          <t>20/11/2025</t>
        </is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4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/>
      </c>
      <c r="T4215" t="inlineStr">
        <is>
          <t>20</t>
        </is>
      </c>
      <c r="U4215" t="inlineStr">
        <is>
          <t>11</t>
        </is>
      </c>
      <c r="V4215" t="n">
        <v>2025</v>
      </c>
      <c r="W4215" t="n">
        <v/>
      </c>
    </row>
    <row r="4216">
      <c r="A4216" t="inlineStr">
        <is>
          <t>21/11/2025 7:12:28</t>
        </is>
      </c>
      <c r="B4216" t="inlineStr">
        <is>
          <t>Trần Trung Giang</t>
        </is>
      </c>
      <c r="C4216" t="inlineStr">
        <is>
          <t>20/11/2025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2</v>
      </c>
      <c r="J4216" t="n">
        <v>0</v>
      </c>
      <c r="K4216" t="n">
        <v>2</v>
      </c>
      <c r="L4216" t="n">
        <v>0</v>
      </c>
      <c r="M4216" t="n">
        <v>0</v>
      </c>
      <c r="N4216" t="n">
        <v>0</v>
      </c>
      <c r="O4216" t="n">
        <v>0</v>
      </c>
      <c r="P4216" t="n">
        <v>2</v>
      </c>
      <c r="Q4216" t="n">
        <v>0</v>
      </c>
      <c r="R4216" t="n">
        <v>0</v>
      </c>
      <c r="S4216" t="n">
        <v/>
      </c>
      <c r="T4216" t="inlineStr">
        <is>
          <t>20</t>
        </is>
      </c>
      <c r="U4216" t="inlineStr">
        <is>
          <t>11</t>
        </is>
      </c>
      <c r="V4216" t="n">
        <v>2025</v>
      </c>
      <c r="W4216" t="n">
        <v/>
      </c>
    </row>
    <row r="4217">
      <c r="A4217" t="inlineStr">
        <is>
          <t>21/11/2025 7:13:44</t>
        </is>
      </c>
      <c r="B4217" t="inlineStr">
        <is>
          <t>Nguyễn Quang Anh Tuấn</t>
        </is>
      </c>
      <c r="C4217" t="inlineStr">
        <is>
          <t>20/11/2025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10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3</v>
      </c>
      <c r="R4217" t="n">
        <v>0</v>
      </c>
      <c r="S4217" t="n">
        <v/>
      </c>
      <c r="T4217" t="inlineStr">
        <is>
          <t>20</t>
        </is>
      </c>
      <c r="U4217" t="inlineStr">
        <is>
          <t>11</t>
        </is>
      </c>
      <c r="V4217" t="n">
        <v>2025</v>
      </c>
      <c r="W4217" t="n">
        <v/>
      </c>
    </row>
    <row r="4218">
      <c r="A4218" t="inlineStr">
        <is>
          <t>21/11/2025 7:14:55</t>
        </is>
      </c>
      <c r="B4218" t="inlineStr">
        <is>
          <t>Đặng Hoài Anh</t>
        </is>
      </c>
      <c r="C4218" t="inlineStr">
        <is>
          <t>20/11/2025</t>
        </is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12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12</v>
      </c>
      <c r="Q4218" t="n">
        <v>0</v>
      </c>
      <c r="R4218" t="n">
        <v>0</v>
      </c>
      <c r="S4218" t="n">
        <v/>
      </c>
      <c r="T4218" t="inlineStr">
        <is>
          <t>20</t>
        </is>
      </c>
      <c r="U4218" t="inlineStr">
        <is>
          <t>11</t>
        </is>
      </c>
      <c r="V4218" t="n">
        <v>2025</v>
      </c>
      <c r="W4218" t="n">
        <v/>
      </c>
    </row>
    <row r="4219">
      <c r="A4219" t="inlineStr">
        <is>
          <t>21/11/2025 7:15:25</t>
        </is>
      </c>
      <c r="B4219" t="inlineStr">
        <is>
          <t>Nguyễn Tuấn Anh</t>
        </is>
      </c>
      <c r="C4219" t="inlineStr">
        <is>
          <t>20/11/2025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3</v>
      </c>
      <c r="J4219" t="n">
        <v>0</v>
      </c>
      <c r="K4219" t="n">
        <v>4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6</v>
      </c>
      <c r="R4219" t="n">
        <v>0</v>
      </c>
      <c r="S4219" t="n">
        <v/>
      </c>
      <c r="T4219" t="inlineStr">
        <is>
          <t>20</t>
        </is>
      </c>
      <c r="U4219" t="inlineStr">
        <is>
          <t>11</t>
        </is>
      </c>
      <c r="V4219" t="n">
        <v>2025</v>
      </c>
      <c r="W4219" t="n">
        <v/>
      </c>
    </row>
    <row r="4220">
      <c r="A4220" t="inlineStr">
        <is>
          <t>21/11/2025 7:19:28</t>
        </is>
      </c>
      <c r="B4220" t="inlineStr">
        <is>
          <t>Phan Thành Thái</t>
        </is>
      </c>
      <c r="C4220" t="inlineStr">
        <is>
          <t>20/11/2025</t>
        </is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0</v>
      </c>
      <c r="K4220" t="n">
        <v>16</v>
      </c>
      <c r="L4220" t="n">
        <v>0</v>
      </c>
      <c r="M4220" t="n">
        <v>0</v>
      </c>
      <c r="N4220" t="n">
        <v>0</v>
      </c>
      <c r="O4220" t="n">
        <v>0</v>
      </c>
      <c r="P4220" t="n">
        <v>1</v>
      </c>
      <c r="Q4220" t="n">
        <v>4</v>
      </c>
      <c r="R4220" t="n">
        <v>0</v>
      </c>
      <c r="S4220" t="n">
        <v/>
      </c>
      <c r="T4220" t="inlineStr">
        <is>
          <t>20</t>
        </is>
      </c>
      <c r="U4220" t="inlineStr">
        <is>
          <t>11</t>
        </is>
      </c>
      <c r="V4220" t="n">
        <v>2025</v>
      </c>
      <c r="W4220" t="n">
        <v/>
      </c>
    </row>
    <row r="4221">
      <c r="A4221" t="inlineStr">
        <is>
          <t>21/11/2025 7:20:18</t>
        </is>
      </c>
      <c r="B4221" t="inlineStr">
        <is>
          <t>Nguyễn Thành Lâm</t>
        </is>
      </c>
      <c r="C4221" t="inlineStr">
        <is>
          <t>20/11/2025</t>
        </is>
      </c>
      <c r="D4221" t="n">
        <v>1</v>
      </c>
      <c r="E4221" t="n">
        <v>1</v>
      </c>
      <c r="F4221" t="n">
        <v>0</v>
      </c>
      <c r="G4221" t="n">
        <v>1</v>
      </c>
      <c r="H4221" t="n">
        <v>1</v>
      </c>
      <c r="I4221" t="n">
        <v>2</v>
      </c>
      <c r="J4221" t="n">
        <v>0</v>
      </c>
      <c r="K4221" t="n">
        <v>4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2</v>
      </c>
      <c r="R4221" t="n">
        <v>0</v>
      </c>
      <c r="S4221" t="n">
        <v/>
      </c>
      <c r="T4221" t="inlineStr">
        <is>
          <t>20</t>
        </is>
      </c>
      <c r="U4221" t="inlineStr">
        <is>
          <t>11</t>
        </is>
      </c>
      <c r="V4221" t="n">
        <v>2025</v>
      </c>
      <c r="W4221" t="n">
        <v/>
      </c>
    </row>
    <row r="4222">
      <c r="A4222" t="inlineStr">
        <is>
          <t>21/11/2025 7:21:26</t>
        </is>
      </c>
      <c r="B4222" t="inlineStr">
        <is>
          <t>Lương Duy Hoàng</t>
        </is>
      </c>
      <c r="C4222" t="inlineStr">
        <is>
          <t>20/11/2025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4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6</v>
      </c>
      <c r="R4222" t="n">
        <v>0</v>
      </c>
      <c r="S4222" t="n">
        <v/>
      </c>
      <c r="T4222" t="inlineStr">
        <is>
          <t>20</t>
        </is>
      </c>
      <c r="U4222" t="inlineStr">
        <is>
          <t>11</t>
        </is>
      </c>
      <c r="V4222" t="n">
        <v>2025</v>
      </c>
      <c r="W4222" t="n">
        <v/>
      </c>
    </row>
    <row r="4223">
      <c r="A4223" t="inlineStr">
        <is>
          <t>21/11/2025 7:39:01</t>
        </is>
      </c>
      <c r="B4223" t="inlineStr">
        <is>
          <t>Bùi Duy Cường</t>
        </is>
      </c>
      <c r="C4223" t="inlineStr">
        <is>
          <t>20/11/2025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2</v>
      </c>
      <c r="J4223" t="n">
        <v>0</v>
      </c>
      <c r="K4223" t="n">
        <v>15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2</v>
      </c>
      <c r="R4223" t="n">
        <v>0</v>
      </c>
      <c r="S4223" t="n">
        <v/>
      </c>
      <c r="T4223" t="inlineStr">
        <is>
          <t>20</t>
        </is>
      </c>
      <c r="U4223" t="inlineStr">
        <is>
          <t>11</t>
        </is>
      </c>
      <c r="V4223" t="n">
        <v>2025</v>
      </c>
      <c r="W4223" t="n">
        <v/>
      </c>
    </row>
    <row r="4224">
      <c r="A4224" t="inlineStr">
        <is>
          <t>21/11/2025 7:41:39</t>
        </is>
      </c>
      <c r="B4224" t="inlineStr">
        <is>
          <t>Huỳnh Văn Lực</t>
        </is>
      </c>
      <c r="C4224" t="inlineStr">
        <is>
          <t>20/11/2025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2</v>
      </c>
      <c r="L4224" t="n">
        <v>0</v>
      </c>
      <c r="M4224" t="n">
        <v>0</v>
      </c>
      <c r="N4224" t="n">
        <v>0</v>
      </c>
      <c r="O4224" t="n">
        <v>0</v>
      </c>
      <c r="P4224" t="n">
        <v>2</v>
      </c>
      <c r="Q4224" t="n">
        <v>2</v>
      </c>
      <c r="R4224" t="n">
        <v>0</v>
      </c>
      <c r="S4224" t="n">
        <v/>
      </c>
      <c r="T4224" t="inlineStr">
        <is>
          <t>20</t>
        </is>
      </c>
      <c r="U4224" t="inlineStr">
        <is>
          <t>11</t>
        </is>
      </c>
      <c r="V4224" t="n">
        <v>2025</v>
      </c>
      <c r="W4224" t="n">
        <v/>
      </c>
    </row>
    <row r="4225">
      <c r="A4225" t="inlineStr">
        <is>
          <t>21/11/2025 7:52:58</t>
        </is>
      </c>
      <c r="B4225" t="inlineStr">
        <is>
          <t>Dương Minh Tiến</t>
        </is>
      </c>
      <c r="C4225" t="inlineStr">
        <is>
          <t>20/11/2025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8</v>
      </c>
      <c r="L4225" t="n">
        <v>0</v>
      </c>
      <c r="M4225" t="n">
        <v>2</v>
      </c>
      <c r="N4225" t="n">
        <v>0</v>
      </c>
      <c r="O4225" t="n">
        <v>0</v>
      </c>
      <c r="P4225" t="n">
        <v>0</v>
      </c>
      <c r="Q4225" t="n">
        <v>2</v>
      </c>
      <c r="R4225" t="n">
        <v>0</v>
      </c>
      <c r="S4225" t="n">
        <v/>
      </c>
      <c r="T4225" t="inlineStr">
        <is>
          <t>20</t>
        </is>
      </c>
      <c r="U4225" t="inlineStr">
        <is>
          <t>11</t>
        </is>
      </c>
      <c r="V4225" t="n">
        <v>2025</v>
      </c>
      <c r="W4225" t="n">
        <v/>
      </c>
    </row>
    <row r="4226">
      <c r="A4226" t="inlineStr">
        <is>
          <t>21/11/2025 8:45:01</t>
        </is>
      </c>
      <c r="B4226" t="inlineStr">
        <is>
          <t>Đặng Hữu Danh</t>
        </is>
      </c>
      <c r="C4226" t="inlineStr">
        <is>
          <t>20/11/2025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10</v>
      </c>
      <c r="L4226" t="n">
        <v>0</v>
      </c>
      <c r="M4226" t="n">
        <v>2</v>
      </c>
      <c r="N4226" t="n">
        <v>1</v>
      </c>
      <c r="O4226" t="n">
        <v>0</v>
      </c>
      <c r="P4226" t="n">
        <v>2</v>
      </c>
      <c r="Q4226" t="n">
        <v>4</v>
      </c>
      <c r="R4226" t="n">
        <v>1</v>
      </c>
      <c r="S4226" t="n">
        <v/>
      </c>
      <c r="T4226" t="inlineStr">
        <is>
          <t>20</t>
        </is>
      </c>
      <c r="U4226" t="inlineStr">
        <is>
          <t>11</t>
        </is>
      </c>
      <c r="V4226" t="n">
        <v>2025</v>
      </c>
      <c r="W4226" t="n">
        <v/>
      </c>
    </row>
    <row r="4227">
      <c r="A4227" t="inlineStr">
        <is>
          <t>21/11/2025 8:48:00</t>
        </is>
      </c>
      <c r="B4227" t="inlineStr">
        <is>
          <t>Hồ Thái Minh Trí</t>
        </is>
      </c>
      <c r="C4227" t="inlineStr">
        <is>
          <t>20/11/2025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6</v>
      </c>
      <c r="L4227" t="n">
        <v>0</v>
      </c>
      <c r="M4227" t="n">
        <v>0</v>
      </c>
      <c r="N4227" t="n">
        <v>0</v>
      </c>
      <c r="O4227" t="n">
        <v>0</v>
      </c>
      <c r="P4227" t="n">
        <v>1</v>
      </c>
      <c r="Q4227" t="n">
        <v>1</v>
      </c>
      <c r="R4227" t="n">
        <v>0</v>
      </c>
      <c r="S4227" t="n">
        <v/>
      </c>
      <c r="T4227" t="inlineStr">
        <is>
          <t>20</t>
        </is>
      </c>
      <c r="U4227" t="inlineStr">
        <is>
          <t>11</t>
        </is>
      </c>
      <c r="V4227" t="n">
        <v>2025</v>
      </c>
      <c r="W4227" t="n">
        <v/>
      </c>
    </row>
    <row r="4228">
      <c r="A4228" t="inlineStr">
        <is>
          <t>21/11/2025 8:56:06</t>
        </is>
      </c>
      <c r="B4228" t="inlineStr">
        <is>
          <t>Nguyễn Hồng Minh</t>
        </is>
      </c>
      <c r="C4228" t="inlineStr">
        <is>
          <t>20/11/2025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13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4</v>
      </c>
      <c r="R4228" t="n">
        <v>0</v>
      </c>
      <c r="S4228" t="n">
        <v/>
      </c>
      <c r="T4228" t="inlineStr">
        <is>
          <t>20</t>
        </is>
      </c>
      <c r="U4228" t="inlineStr">
        <is>
          <t>11</t>
        </is>
      </c>
      <c r="V4228" t="n">
        <v>2025</v>
      </c>
      <c r="W4228" t="n">
        <v/>
      </c>
    </row>
    <row r="4229">
      <c r="A4229" t="inlineStr">
        <is>
          <t>21/11/2025 21:02:45</t>
        </is>
      </c>
      <c r="B4229" t="inlineStr">
        <is>
          <t>Lê Quốc Duy</t>
        </is>
      </c>
      <c r="C4229" t="inlineStr">
        <is>
          <t>21/11/2025</t>
        </is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0</v>
      </c>
      <c r="J4229" t="n">
        <v>0</v>
      </c>
      <c r="K4229" t="n">
        <v>7</v>
      </c>
      <c r="L4229" t="n">
        <v>0</v>
      </c>
      <c r="M4229" t="n">
        <v>1</v>
      </c>
      <c r="N4229" t="n">
        <v>0</v>
      </c>
      <c r="O4229" t="n">
        <v>0</v>
      </c>
      <c r="P4229" t="n">
        <v>1</v>
      </c>
      <c r="Q4229" t="n">
        <v>9</v>
      </c>
      <c r="R4229" t="n">
        <v>0</v>
      </c>
      <c r="S4229" t="n">
        <v/>
      </c>
      <c r="T4229" t="inlineStr">
        <is>
          <t>21</t>
        </is>
      </c>
      <c r="U4229" t="inlineStr">
        <is>
          <t>11</t>
        </is>
      </c>
      <c r="V4229" t="n">
        <v>2025</v>
      </c>
      <c r="W4229" t="n">
        <v/>
      </c>
    </row>
    <row r="4230">
      <c r="A4230" t="inlineStr">
        <is>
          <t>22/11/2025 6:08:37</t>
        </is>
      </c>
      <c r="B4230" t="inlineStr">
        <is>
          <t>Vòng Nhật Sang</t>
        </is>
      </c>
      <c r="C4230" t="inlineStr">
        <is>
          <t>21/11/2025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10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2</v>
      </c>
      <c r="R4230" t="n">
        <v>0</v>
      </c>
      <c r="S4230" t="n">
        <v/>
      </c>
      <c r="T4230" t="inlineStr">
        <is>
          <t>21</t>
        </is>
      </c>
      <c r="U4230" t="inlineStr">
        <is>
          <t>11</t>
        </is>
      </c>
      <c r="V4230" t="n">
        <v>2025</v>
      </c>
      <c r="W4230" t="n">
        <v/>
      </c>
    </row>
    <row r="4231">
      <c r="A4231" t="inlineStr">
        <is>
          <t>22/11/2025 6:40:55</t>
        </is>
      </c>
      <c r="B4231" t="inlineStr">
        <is>
          <t>Nguyễn Văn Hiệp</t>
        </is>
      </c>
      <c r="C4231" t="inlineStr">
        <is>
          <t>22/11/2025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2</v>
      </c>
      <c r="J4231" t="n">
        <v>0</v>
      </c>
      <c r="K4231" t="n">
        <v>6</v>
      </c>
      <c r="L4231" t="n">
        <v>0</v>
      </c>
      <c r="M4231" t="n">
        <v>6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/>
      </c>
      <c r="T4231" t="inlineStr">
        <is>
          <t>22</t>
        </is>
      </c>
      <c r="U4231" t="inlineStr">
        <is>
          <t>11</t>
        </is>
      </c>
      <c r="V4231" t="n">
        <v>2025</v>
      </c>
      <c r="W4231" t="n">
        <v/>
      </c>
    </row>
    <row r="4232">
      <c r="A4232" t="inlineStr">
        <is>
          <t>22/11/2025 6:55:28</t>
        </is>
      </c>
      <c r="B4232" t="inlineStr">
        <is>
          <t>Trần Trung Giang</t>
        </is>
      </c>
      <c r="C4232" t="inlineStr">
        <is>
          <t>21/11/2025</t>
        </is>
      </c>
      <c r="D4232" t="n">
        <v>0</v>
      </c>
      <c r="E4232" t="n">
        <v>0</v>
      </c>
      <c r="F4232" t="n">
        <v>0</v>
      </c>
      <c r="G4232" t="n">
        <v>1</v>
      </c>
      <c r="H4232" t="n">
        <v>1</v>
      </c>
      <c r="I4232" t="n">
        <v>2</v>
      </c>
      <c r="J4232" t="n">
        <v>0</v>
      </c>
      <c r="K4232" t="n">
        <v>2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/>
      </c>
      <c r="T4232" t="inlineStr">
        <is>
          <t>21</t>
        </is>
      </c>
      <c r="U4232" t="inlineStr">
        <is>
          <t>11</t>
        </is>
      </c>
      <c r="V4232" t="n">
        <v>2025</v>
      </c>
      <c r="W4232" t="n">
        <v/>
      </c>
    </row>
    <row r="4233">
      <c r="A4233" t="inlineStr">
        <is>
          <t>22/11/2025 7:01:23</t>
        </is>
      </c>
      <c r="B4233" t="inlineStr">
        <is>
          <t>Nguyễn Tuấn Anh</t>
        </is>
      </c>
      <c r="C4233" t="inlineStr">
        <is>
          <t>21/11/2025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4</v>
      </c>
      <c r="J4233" t="n">
        <v>0</v>
      </c>
      <c r="K4233" t="n">
        <v>3</v>
      </c>
      <c r="L4233" t="n">
        <v>0</v>
      </c>
      <c r="M4233" t="n">
        <v>0</v>
      </c>
      <c r="N4233" t="n">
        <v>0</v>
      </c>
      <c r="O4233" t="n">
        <v>0</v>
      </c>
      <c r="P4233" t="n">
        <v>1</v>
      </c>
      <c r="Q4233" t="n">
        <v>5</v>
      </c>
      <c r="R4233" t="n">
        <v>0</v>
      </c>
      <c r="S4233" t="n">
        <v/>
      </c>
      <c r="T4233" t="inlineStr">
        <is>
          <t>21</t>
        </is>
      </c>
      <c r="U4233" t="inlineStr">
        <is>
          <t>11</t>
        </is>
      </c>
      <c r="V4233" t="n">
        <v>2025</v>
      </c>
      <c r="W4233" t="n">
        <v/>
      </c>
    </row>
    <row r="4234">
      <c r="A4234" t="inlineStr">
        <is>
          <t>22/11/2025 7:23:36</t>
        </is>
      </c>
      <c r="B4234" t="inlineStr">
        <is>
          <t>Lương Duy Hoàng</t>
        </is>
      </c>
      <c r="C4234" t="inlineStr">
        <is>
          <t>21/11/2025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5</v>
      </c>
      <c r="L4234" t="n">
        <v>0</v>
      </c>
      <c r="M4234" t="n">
        <v>0</v>
      </c>
      <c r="N4234" t="n">
        <v>0</v>
      </c>
      <c r="O4234" t="n">
        <v>0</v>
      </c>
      <c r="P4234" t="n">
        <v>1</v>
      </c>
      <c r="Q4234" t="n">
        <v>4</v>
      </c>
      <c r="R4234" t="n">
        <v>0</v>
      </c>
      <c r="S4234" t="n">
        <v/>
      </c>
      <c r="T4234" t="inlineStr">
        <is>
          <t>21</t>
        </is>
      </c>
      <c r="U4234" t="inlineStr">
        <is>
          <t>11</t>
        </is>
      </c>
      <c r="V4234" t="n">
        <v>2025</v>
      </c>
      <c r="W4234" t="n">
        <v/>
      </c>
    </row>
    <row r="4235">
      <c r="A4235" t="inlineStr">
        <is>
          <t>22/11/2025 7:24:38</t>
        </is>
      </c>
      <c r="B4235" t="inlineStr">
        <is>
          <t>Nguyễn Quang Anh Tuấn</t>
        </is>
      </c>
      <c r="C4235" t="inlineStr">
        <is>
          <t>21/11/2025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5</v>
      </c>
      <c r="J4235" t="n">
        <v>0</v>
      </c>
      <c r="K4235" t="n">
        <v>13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2</v>
      </c>
      <c r="R4235" t="n">
        <v>0</v>
      </c>
      <c r="S4235" t="n">
        <v/>
      </c>
      <c r="T4235" t="inlineStr">
        <is>
          <t>21</t>
        </is>
      </c>
      <c r="U4235" t="inlineStr">
        <is>
          <t>11</t>
        </is>
      </c>
      <c r="V4235" t="n">
        <v>2025</v>
      </c>
      <c r="W4235" t="n">
        <v/>
      </c>
    </row>
    <row r="4236">
      <c r="A4236" t="inlineStr">
        <is>
          <t>22/11/2025 7:30:06</t>
        </is>
      </c>
      <c r="B4236" t="inlineStr">
        <is>
          <t>Đặng Hoài Anh</t>
        </is>
      </c>
      <c r="C4236" t="inlineStr">
        <is>
          <t>21/11/2025</t>
        </is>
      </c>
      <c r="D4236" t="n">
        <v>1</v>
      </c>
      <c r="E4236" t="n">
        <v>1</v>
      </c>
      <c r="F4236" t="n">
        <v>0</v>
      </c>
      <c r="G4236" t="n">
        <v>0</v>
      </c>
      <c r="H4236" t="n">
        <v>0</v>
      </c>
      <c r="I4236" t="n">
        <v>5</v>
      </c>
      <c r="J4236" t="n">
        <v>0</v>
      </c>
      <c r="K4236" t="n">
        <v>2</v>
      </c>
      <c r="L4236" t="n">
        <v>0</v>
      </c>
      <c r="M4236" t="n">
        <v>2</v>
      </c>
      <c r="N4236" t="n">
        <v>0</v>
      </c>
      <c r="O4236" t="n">
        <v>0</v>
      </c>
      <c r="P4236" t="n">
        <v>1</v>
      </c>
      <c r="Q4236" t="n">
        <v>1</v>
      </c>
      <c r="R4236" t="n">
        <v>0</v>
      </c>
      <c r="S4236" t="n">
        <v/>
      </c>
      <c r="T4236" t="inlineStr">
        <is>
          <t>21</t>
        </is>
      </c>
      <c r="U4236" t="inlineStr">
        <is>
          <t>11</t>
        </is>
      </c>
      <c r="V4236" t="n">
        <v>2025</v>
      </c>
      <c r="W4236" t="n">
        <v/>
      </c>
    </row>
    <row r="4237">
      <c r="A4237" t="inlineStr">
        <is>
          <t>22/11/2025 7:30:18</t>
        </is>
      </c>
      <c r="B4237" t="inlineStr">
        <is>
          <t>Bùi Duy Cường</t>
        </is>
      </c>
      <c r="C4237" t="inlineStr">
        <is>
          <t>21/11/2025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4</v>
      </c>
      <c r="J4237" t="n">
        <v>0</v>
      </c>
      <c r="K4237" t="n">
        <v>10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5</v>
      </c>
      <c r="R4237" t="n">
        <v>0</v>
      </c>
      <c r="S4237" t="n">
        <v/>
      </c>
      <c r="T4237" t="inlineStr">
        <is>
          <t>21</t>
        </is>
      </c>
      <c r="U4237" t="inlineStr">
        <is>
          <t>11</t>
        </is>
      </c>
      <c r="V4237" t="n">
        <v>2025</v>
      </c>
      <c r="W4237" t="n">
        <v/>
      </c>
    </row>
    <row r="4238">
      <c r="A4238" t="inlineStr">
        <is>
          <t>22/11/2025 7:38:27</t>
        </is>
      </c>
      <c r="B4238" t="inlineStr">
        <is>
          <t>Trần Xuân Khoa</t>
        </is>
      </c>
      <c r="C4238" t="inlineStr">
        <is>
          <t>21/11/2025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2</v>
      </c>
      <c r="J4238" t="n">
        <v>0</v>
      </c>
      <c r="K4238" t="n">
        <v>10</v>
      </c>
      <c r="L4238" t="n">
        <v>1</v>
      </c>
      <c r="M4238" t="n">
        <v>0</v>
      </c>
      <c r="N4238" t="n">
        <v>0</v>
      </c>
      <c r="O4238" t="n">
        <v>0</v>
      </c>
      <c r="P4238" t="n">
        <v>0</v>
      </c>
      <c r="Q4238" t="n">
        <v>3</v>
      </c>
      <c r="R4238" t="n">
        <v>0</v>
      </c>
      <c r="S4238" t="n">
        <v/>
      </c>
      <c r="T4238" t="inlineStr">
        <is>
          <t>21</t>
        </is>
      </c>
      <c r="U4238" t="inlineStr">
        <is>
          <t>11</t>
        </is>
      </c>
      <c r="V4238" t="n">
        <v>2025</v>
      </c>
      <c r="W4238" t="n">
        <v/>
      </c>
    </row>
    <row r="4239">
      <c r="A4239" t="inlineStr">
        <is>
          <t>22/11/2025 7:39:10</t>
        </is>
      </c>
      <c r="B4239" t="inlineStr">
        <is>
          <t>Đặng Hữu Danh</t>
        </is>
      </c>
      <c r="C4239" t="inlineStr">
        <is>
          <t>21/11/2025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7</v>
      </c>
      <c r="L4239" t="n">
        <v>0</v>
      </c>
      <c r="M4239" t="n">
        <v>0</v>
      </c>
      <c r="N4239" t="n">
        <v>1</v>
      </c>
      <c r="O4239" t="n">
        <v>0</v>
      </c>
      <c r="P4239" t="n">
        <v>2</v>
      </c>
      <c r="Q4239" t="n">
        <v>4</v>
      </c>
      <c r="R4239" t="n">
        <v>0</v>
      </c>
      <c r="S4239" t="n">
        <v/>
      </c>
      <c r="T4239" t="inlineStr">
        <is>
          <t>21</t>
        </is>
      </c>
      <c r="U4239" t="inlineStr">
        <is>
          <t>11</t>
        </is>
      </c>
      <c r="V4239" t="n">
        <v>2025</v>
      </c>
      <c r="W4239" t="n">
        <v/>
      </c>
    </row>
    <row r="4240">
      <c r="A4240" t="inlineStr">
        <is>
          <t>22/11/2025 7:44:16</t>
        </is>
      </c>
      <c r="B4240" t="inlineStr">
        <is>
          <t>Dương Minh Tiến</t>
        </is>
      </c>
      <c r="C4240" t="inlineStr">
        <is>
          <t>21/11/2025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6</v>
      </c>
      <c r="L4240" t="n">
        <v>0</v>
      </c>
      <c r="M4240" t="n">
        <v>1</v>
      </c>
      <c r="N4240" t="n">
        <v>0</v>
      </c>
      <c r="O4240" t="n">
        <v>0</v>
      </c>
      <c r="P4240" t="n">
        <v>5</v>
      </c>
      <c r="Q4240" t="n">
        <v>3</v>
      </c>
      <c r="R4240" t="n">
        <v>0</v>
      </c>
      <c r="S4240" t="n">
        <v/>
      </c>
      <c r="T4240" t="inlineStr">
        <is>
          <t>21</t>
        </is>
      </c>
      <c r="U4240" t="inlineStr">
        <is>
          <t>11</t>
        </is>
      </c>
      <c r="V4240" t="n">
        <v>2025</v>
      </c>
      <c r="W4240" t="n">
        <v/>
      </c>
    </row>
    <row r="4241">
      <c r="A4241" t="inlineStr">
        <is>
          <t>22/11/2025 9:34:08</t>
        </is>
      </c>
      <c r="B4241" t="inlineStr">
        <is>
          <t>Huỳnh Văn Lực</t>
        </is>
      </c>
      <c r="C4241" t="inlineStr">
        <is>
          <t>21/11/2025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6</v>
      </c>
      <c r="L4241" t="n">
        <v>0</v>
      </c>
      <c r="M4241" t="n">
        <v>0</v>
      </c>
      <c r="N4241" t="n">
        <v>0</v>
      </c>
      <c r="O4241" t="n">
        <v>0</v>
      </c>
      <c r="P4241" t="n">
        <v>1</v>
      </c>
      <c r="Q4241" t="n">
        <v>2</v>
      </c>
      <c r="R4241" t="n">
        <v>0</v>
      </c>
      <c r="S4241" t="n">
        <v/>
      </c>
      <c r="T4241" t="inlineStr">
        <is>
          <t>21</t>
        </is>
      </c>
      <c r="U4241" t="inlineStr">
        <is>
          <t>11</t>
        </is>
      </c>
      <c r="V4241" t="n">
        <v>2025</v>
      </c>
      <c r="W4241" t="n">
        <v/>
      </c>
    </row>
    <row r="4242">
      <c r="A4242" t="inlineStr">
        <is>
          <t>22/11/2025 10:16:21</t>
        </is>
      </c>
      <c r="B4242" t="inlineStr">
        <is>
          <t>Nguyễn Hồng Minh</t>
        </is>
      </c>
      <c r="C4242" t="inlineStr">
        <is>
          <t>21/11/2025</t>
        </is>
      </c>
      <c r="D4242" t="n">
        <v>1</v>
      </c>
      <c r="E4242" t="n">
        <v>1</v>
      </c>
      <c r="F4242" t="n">
        <v>0</v>
      </c>
      <c r="G4242" t="n">
        <v>0</v>
      </c>
      <c r="H4242" t="n">
        <v>0</v>
      </c>
      <c r="I4242" t="n">
        <v>2</v>
      </c>
      <c r="J4242" t="n">
        <v>0</v>
      </c>
      <c r="K4242" t="n">
        <v>8</v>
      </c>
      <c r="L4242" t="n">
        <v>0</v>
      </c>
      <c r="M4242" t="n">
        <v>2</v>
      </c>
      <c r="N4242" t="n">
        <v>1</v>
      </c>
      <c r="O4242" t="n">
        <v>0</v>
      </c>
      <c r="P4242" t="n">
        <v>0</v>
      </c>
      <c r="Q4242" t="n">
        <v>3</v>
      </c>
      <c r="R4242" t="n">
        <v>0</v>
      </c>
      <c r="S4242" t="n">
        <v/>
      </c>
      <c r="T4242" t="inlineStr">
        <is>
          <t>21</t>
        </is>
      </c>
      <c r="U4242" t="inlineStr">
        <is>
          <t>11</t>
        </is>
      </c>
      <c r="V4242" t="n">
        <v>2025</v>
      </c>
      <c r="W4242" t="n">
        <v/>
      </c>
    </row>
    <row r="4243">
      <c r="A4243" t="inlineStr">
        <is>
          <t>22/11/2025 19:06:45</t>
        </is>
      </c>
      <c r="B4243" t="inlineStr">
        <is>
          <t>Đặng Hữu Danh</t>
        </is>
      </c>
      <c r="C4243" t="inlineStr">
        <is>
          <t>22/11/2025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2</v>
      </c>
      <c r="J4243" t="n">
        <v>0</v>
      </c>
      <c r="K4243" t="n">
        <v>5</v>
      </c>
      <c r="L4243" t="n">
        <v>0</v>
      </c>
      <c r="M4243" t="n">
        <v>0</v>
      </c>
      <c r="N4243" t="n">
        <v>4</v>
      </c>
      <c r="O4243" t="n">
        <v>0</v>
      </c>
      <c r="P4243" t="n">
        <v>3</v>
      </c>
      <c r="Q4243" t="n">
        <v>5</v>
      </c>
      <c r="R4243" t="n">
        <v>0</v>
      </c>
      <c r="S4243" t="n">
        <v/>
      </c>
      <c r="T4243" t="inlineStr">
        <is>
          <t>22</t>
        </is>
      </c>
      <c r="U4243" t="inlineStr">
        <is>
          <t>11</t>
        </is>
      </c>
      <c r="V4243" t="n">
        <v>2025</v>
      </c>
      <c r="W4243" t="n">
        <v/>
      </c>
    </row>
    <row r="4244">
      <c r="A4244" t="inlineStr">
        <is>
          <t>23/11/2025 6:42:51</t>
        </is>
      </c>
      <c r="B4244" t="inlineStr">
        <is>
          <t>Lê Quốc Duy</t>
        </is>
      </c>
      <c r="C4244" t="inlineStr">
        <is>
          <t>22/11/2025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/>
      </c>
      <c r="I4244" t="n">
        <v>3</v>
      </c>
      <c r="J4244" t="n">
        <v>0</v>
      </c>
      <c r="K4244" t="n">
        <v>2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10</v>
      </c>
      <c r="R4244" t="n">
        <v>0</v>
      </c>
      <c r="S4244" t="n">
        <v/>
      </c>
      <c r="T4244" t="inlineStr">
        <is>
          <t>22</t>
        </is>
      </c>
      <c r="U4244" t="inlineStr">
        <is>
          <t>11</t>
        </is>
      </c>
      <c r="V4244" t="n">
        <v>2025</v>
      </c>
      <c r="W4244" t="n">
        <v/>
      </c>
    </row>
    <row r="4245">
      <c r="A4245" t="inlineStr">
        <is>
          <t>23/11/2025 7:09:59</t>
        </is>
      </c>
      <c r="B4245" t="inlineStr">
        <is>
          <t>Trần Trung Giang</t>
        </is>
      </c>
      <c r="C4245" t="inlineStr">
        <is>
          <t>22/11/2025</t>
        </is>
      </c>
      <c r="D4245" t="n">
        <v>0</v>
      </c>
      <c r="E4245" t="n">
        <v>0</v>
      </c>
      <c r="F4245" t="n">
        <v>0</v>
      </c>
      <c r="G4245" t="n">
        <v>1</v>
      </c>
      <c r="H4245" t="n">
        <v>1</v>
      </c>
      <c r="I4245" t="n">
        <v>2</v>
      </c>
      <c r="J4245" t="n">
        <v>0</v>
      </c>
      <c r="K4245" t="n">
        <v>2</v>
      </c>
      <c r="L4245" t="n">
        <v>0</v>
      </c>
      <c r="M4245" t="n">
        <v>0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/>
      </c>
      <c r="T4245" t="inlineStr">
        <is>
          <t>22</t>
        </is>
      </c>
      <c r="U4245" t="inlineStr">
        <is>
          <t>11</t>
        </is>
      </c>
      <c r="V4245" t="n">
        <v>2025</v>
      </c>
      <c r="W4245" t="n">
        <v/>
      </c>
    </row>
    <row r="4246">
      <c r="A4246" t="inlineStr">
        <is>
          <t>23/11/2025 7:16:21</t>
        </is>
      </c>
      <c r="B4246" t="inlineStr">
        <is>
          <t>Đặng Hoài Anh</t>
        </is>
      </c>
      <c r="C4246" t="inlineStr">
        <is>
          <t>22/11/2025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2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2</v>
      </c>
      <c r="Q4246" t="n">
        <v>0</v>
      </c>
      <c r="R4246" t="n">
        <v>0</v>
      </c>
      <c r="S4246" t="n">
        <v/>
      </c>
      <c r="T4246" t="inlineStr">
        <is>
          <t>22</t>
        </is>
      </c>
      <c r="U4246" t="inlineStr">
        <is>
          <t>11</t>
        </is>
      </c>
      <c r="V4246" t="n">
        <v>2025</v>
      </c>
      <c r="W4246" t="n">
        <v/>
      </c>
    </row>
    <row r="4247">
      <c r="A4247" t="inlineStr">
        <is>
          <t>23/11/2025 7:22:37</t>
        </is>
      </c>
      <c r="B4247" t="inlineStr">
        <is>
          <t>Nguyễn Tuấn Anh</t>
        </is>
      </c>
      <c r="C4247" t="inlineStr">
        <is>
          <t>22/11/2025</t>
        </is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2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0</v>
      </c>
      <c r="P4247" t="n">
        <v>1</v>
      </c>
      <c r="Q4247" t="n">
        <v>5</v>
      </c>
      <c r="R4247" t="n">
        <v>0</v>
      </c>
      <c r="S4247" t="n">
        <v/>
      </c>
      <c r="T4247" t="inlineStr">
        <is>
          <t>22</t>
        </is>
      </c>
      <c r="U4247" t="inlineStr">
        <is>
          <t>11</t>
        </is>
      </c>
      <c r="V4247" t="n">
        <v>2025</v>
      </c>
      <c r="W4247" t="n">
        <v/>
      </c>
    </row>
    <row r="4248">
      <c r="A4248" t="inlineStr">
        <is>
          <t>23/11/2025 7:25:56</t>
        </is>
      </c>
      <c r="B4248" t="inlineStr">
        <is>
          <t>Nguyễn Quang Anh Tuấn</t>
        </is>
      </c>
      <c r="C4248" t="inlineStr">
        <is>
          <t>22/11/2025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2</v>
      </c>
      <c r="J4248" t="n">
        <v>0</v>
      </c>
      <c r="K4248" t="n">
        <v>10</v>
      </c>
      <c r="L4248" t="n">
        <v>0</v>
      </c>
      <c r="M4248" t="n">
        <v>0</v>
      </c>
      <c r="N4248" t="n">
        <v>0</v>
      </c>
      <c r="O4248" t="n">
        <v>0</v>
      </c>
      <c r="P4248" t="n">
        <v>1</v>
      </c>
      <c r="Q4248" t="n">
        <v>2</v>
      </c>
      <c r="R4248" t="n">
        <v>0</v>
      </c>
      <c r="S4248" t="n">
        <v/>
      </c>
      <c r="T4248" t="inlineStr">
        <is>
          <t>22</t>
        </is>
      </c>
      <c r="U4248" t="inlineStr">
        <is>
          <t>11</t>
        </is>
      </c>
      <c r="V4248" t="n">
        <v>2025</v>
      </c>
      <c r="W4248" t="n">
        <v/>
      </c>
    </row>
    <row r="4249">
      <c r="A4249" t="inlineStr">
        <is>
          <t>23/11/2025 7:30:01</t>
        </is>
      </c>
      <c r="B4249" t="inlineStr">
        <is>
          <t>Trần Xuân Khoa</t>
        </is>
      </c>
      <c r="C4249" t="inlineStr">
        <is>
          <t>22/11/2025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12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3</v>
      </c>
      <c r="R4249" t="n">
        <v>0</v>
      </c>
      <c r="S4249" t="n">
        <v/>
      </c>
      <c r="T4249" t="inlineStr">
        <is>
          <t>22</t>
        </is>
      </c>
      <c r="U4249" t="inlineStr">
        <is>
          <t>11</t>
        </is>
      </c>
      <c r="V4249" t="n">
        <v>2025</v>
      </c>
      <c r="W4249" t="n">
        <v/>
      </c>
    </row>
    <row r="4250">
      <c r="A4250" t="inlineStr">
        <is>
          <t>23/11/2025 7:58:55</t>
        </is>
      </c>
      <c r="B4250" t="inlineStr">
        <is>
          <t>Hồ Xuân Việt</t>
        </is>
      </c>
      <c r="C4250" t="inlineStr">
        <is>
          <t>22/11/2025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/>
      </c>
      <c r="I4250" t="n">
        <v>1</v>
      </c>
      <c r="J4250" t="n">
        <v>0</v>
      </c>
      <c r="K4250" t="n">
        <v>10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4</v>
      </c>
      <c r="R4250" t="n">
        <v>0</v>
      </c>
      <c r="S4250" t="n">
        <v/>
      </c>
      <c r="T4250" t="inlineStr">
        <is>
          <t>22</t>
        </is>
      </c>
      <c r="U4250" t="inlineStr">
        <is>
          <t>11</t>
        </is>
      </c>
      <c r="V4250" t="n">
        <v>2025</v>
      </c>
      <c r="W4250" t="n">
        <v/>
      </c>
    </row>
    <row r="4251">
      <c r="A4251" t="inlineStr">
        <is>
          <t>23/11/2025 8:33:52</t>
        </is>
      </c>
      <c r="B4251" t="inlineStr">
        <is>
          <t>Nguyễn Văn Hiệp</t>
        </is>
      </c>
      <c r="C4251" t="inlineStr">
        <is>
          <t>22/11/2025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5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/>
      </c>
      <c r="T4251" t="inlineStr">
        <is>
          <t>22</t>
        </is>
      </c>
      <c r="U4251" t="inlineStr">
        <is>
          <t>11</t>
        </is>
      </c>
      <c r="V4251" t="n">
        <v>2025</v>
      </c>
      <c r="W4251" t="n">
        <v/>
      </c>
    </row>
    <row r="4252">
      <c r="A4252" t="inlineStr">
        <is>
          <t>23/11/2025 9:09:31</t>
        </is>
      </c>
      <c r="B4252" t="inlineStr">
        <is>
          <t>Lương Duy Hoàng</t>
        </is>
      </c>
      <c r="C4252" t="inlineStr">
        <is>
          <t>22/11/2025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7</v>
      </c>
      <c r="L4252" t="n">
        <v>0</v>
      </c>
      <c r="M4252" t="n">
        <v>0</v>
      </c>
      <c r="N4252" t="n">
        <v>0</v>
      </c>
      <c r="O4252" t="n">
        <v>0</v>
      </c>
      <c r="P4252" t="n">
        <v>1</v>
      </c>
      <c r="Q4252" t="n">
        <v>2</v>
      </c>
      <c r="R4252" t="n">
        <v>0</v>
      </c>
      <c r="S4252" t="n">
        <v/>
      </c>
      <c r="T4252" t="inlineStr">
        <is>
          <t>22</t>
        </is>
      </c>
      <c r="U4252" t="inlineStr">
        <is>
          <t>11</t>
        </is>
      </c>
      <c r="V4252" t="n">
        <v>2025</v>
      </c>
      <c r="W4252" t="n">
        <v/>
      </c>
    </row>
    <row r="4253">
      <c r="A4253" t="inlineStr">
        <is>
          <t>23/11/2025 9:13:44</t>
        </is>
      </c>
      <c r="B4253" t="inlineStr">
        <is>
          <t>Bùi Duy Cường</t>
        </is>
      </c>
      <c r="C4253" t="inlineStr">
        <is>
          <t>22/11/2025</t>
        </is>
      </c>
      <c r="D4253" t="n">
        <v>1</v>
      </c>
      <c r="E4253" t="n">
        <v>1</v>
      </c>
      <c r="F4253" t="n">
        <v>0</v>
      </c>
      <c r="G4253" t="n">
        <v>1</v>
      </c>
      <c r="H4253" t="n">
        <v>1</v>
      </c>
      <c r="I4253" t="n">
        <v>1</v>
      </c>
      <c r="J4253" t="n">
        <v>1</v>
      </c>
      <c r="K4253" t="n">
        <v>10</v>
      </c>
      <c r="L4253" t="n">
        <v>0</v>
      </c>
      <c r="M4253" t="n">
        <v>1</v>
      </c>
      <c r="N4253" t="n">
        <v>1</v>
      </c>
      <c r="O4253" t="n">
        <v>0</v>
      </c>
      <c r="P4253" t="n">
        <v>0</v>
      </c>
      <c r="Q4253" t="n">
        <v>2</v>
      </c>
      <c r="R4253" t="n">
        <v>0</v>
      </c>
      <c r="S4253" t="n">
        <v/>
      </c>
      <c r="T4253" t="inlineStr">
        <is>
          <t>22</t>
        </is>
      </c>
      <c r="U4253" t="inlineStr">
        <is>
          <t>11</t>
        </is>
      </c>
      <c r="V4253" t="n">
        <v>2025</v>
      </c>
      <c r="W4253" t="n">
        <v/>
      </c>
    </row>
    <row r="4254">
      <c r="A4254" t="inlineStr">
        <is>
          <t>23/11/2025 9:32:40</t>
        </is>
      </c>
      <c r="B4254" t="inlineStr">
        <is>
          <t>Huỳnh Văn Lực</t>
        </is>
      </c>
      <c r="C4254" t="inlineStr">
        <is>
          <t>22/11/2025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8</v>
      </c>
      <c r="L4254" t="n">
        <v>0</v>
      </c>
      <c r="M4254" t="n">
        <v>0</v>
      </c>
      <c r="N4254" t="n">
        <v>0</v>
      </c>
      <c r="O4254" t="n">
        <v>0</v>
      </c>
      <c r="P4254" t="n">
        <v>1</v>
      </c>
      <c r="Q4254" t="n">
        <v>1</v>
      </c>
      <c r="R4254" t="n">
        <v>0</v>
      </c>
      <c r="S4254" t="n">
        <v/>
      </c>
      <c r="T4254" t="inlineStr">
        <is>
          <t>22</t>
        </is>
      </c>
      <c r="U4254" t="inlineStr">
        <is>
          <t>11</t>
        </is>
      </c>
      <c r="V4254" t="n">
        <v>2025</v>
      </c>
      <c r="W4254" t="n">
        <v/>
      </c>
    </row>
    <row r="4255">
      <c r="A4255" t="inlineStr">
        <is>
          <t>23/11/2025 19:02:56</t>
        </is>
      </c>
      <c r="B4255" t="inlineStr">
        <is>
          <t>Đặng Hữu Danh</t>
        </is>
      </c>
      <c r="C4255" t="inlineStr">
        <is>
          <t>23/11/2025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9</v>
      </c>
      <c r="L4255" t="n">
        <v>0</v>
      </c>
      <c r="M4255" t="n">
        <v>1</v>
      </c>
      <c r="N4255" t="n">
        <v>3</v>
      </c>
      <c r="O4255" t="n">
        <v>0</v>
      </c>
      <c r="P4255" t="n">
        <v>3</v>
      </c>
      <c r="Q4255" t="n">
        <v>4</v>
      </c>
      <c r="R4255" t="n">
        <v>0</v>
      </c>
      <c r="S4255" t="n">
        <v/>
      </c>
      <c r="T4255" t="inlineStr">
        <is>
          <t>23</t>
        </is>
      </c>
      <c r="U4255" t="inlineStr">
        <is>
          <t>11</t>
        </is>
      </c>
      <c r="V4255" t="n">
        <v>2025</v>
      </c>
      <c r="W4255" t="n">
        <v/>
      </c>
    </row>
    <row r="4256">
      <c r="A4256" t="inlineStr">
        <is>
          <t>24/11/2025 6:16:08</t>
        </is>
      </c>
      <c r="B4256" t="inlineStr">
        <is>
          <t>Lương Duy Hải</t>
        </is>
      </c>
      <c r="C4256" t="inlineStr">
        <is>
          <t>22/11/2025</t>
        </is>
      </c>
      <c r="D4256" t="n">
        <v>1</v>
      </c>
      <c r="E4256" t="n">
        <v>1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7</v>
      </c>
      <c r="M4256" t="n">
        <v>1</v>
      </c>
      <c r="N4256" t="n">
        <v>0</v>
      </c>
      <c r="O4256" t="n">
        <v>0</v>
      </c>
      <c r="P4256" t="n">
        <v>1</v>
      </c>
      <c r="Q4256" t="n">
        <v>2</v>
      </c>
      <c r="R4256" t="n">
        <v>0</v>
      </c>
      <c r="S4256" t="n">
        <v/>
      </c>
      <c r="T4256" t="inlineStr">
        <is>
          <t>22</t>
        </is>
      </c>
      <c r="U4256" t="inlineStr">
        <is>
          <t>11</t>
        </is>
      </c>
      <c r="V4256" t="n">
        <v>2025</v>
      </c>
      <c r="W4256" t="n">
        <v/>
      </c>
    </row>
    <row r="4257">
      <c r="A4257" t="inlineStr">
        <is>
          <t>24/11/2025 6:17:57</t>
        </is>
      </c>
      <c r="B4257" t="inlineStr">
        <is>
          <t>Lương Duy Hải</t>
        </is>
      </c>
      <c r="C4257" t="inlineStr">
        <is>
          <t>23/11/2025</t>
        </is>
      </c>
      <c r="D4257" t="n">
        <v>1</v>
      </c>
      <c r="E4257" t="n">
        <v>1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6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1</v>
      </c>
      <c r="S4257" t="n">
        <v/>
      </c>
      <c r="T4257" t="inlineStr">
        <is>
          <t>23</t>
        </is>
      </c>
      <c r="U4257" t="inlineStr">
        <is>
          <t>11</t>
        </is>
      </c>
      <c r="V4257" t="n">
        <v>2025</v>
      </c>
      <c r="W4257" t="n">
        <v/>
      </c>
    </row>
    <row r="4258">
      <c r="A4258" t="inlineStr">
        <is>
          <t>24/11/2025 6:51:24</t>
        </is>
      </c>
      <c r="B4258" t="inlineStr">
        <is>
          <t>Lê Quốc Duy</t>
        </is>
      </c>
      <c r="C4258" t="inlineStr">
        <is>
          <t>23/11/2025</t>
        </is>
      </c>
      <c r="D4258" t="n">
        <v>0</v>
      </c>
      <c r="E4258" t="n">
        <v>0</v>
      </c>
      <c r="F4258" t="n">
        <v>0</v>
      </c>
      <c r="G4258" t="n">
        <v>2</v>
      </c>
      <c r="H4258" t="n">
        <v>2</v>
      </c>
      <c r="I4258" t="n">
        <v>2</v>
      </c>
      <c r="J4258" t="n">
        <v>0</v>
      </c>
      <c r="K4258" t="n">
        <v>6</v>
      </c>
      <c r="L4258" t="n">
        <v>0</v>
      </c>
      <c r="M4258" t="n">
        <v>0</v>
      </c>
      <c r="N4258" t="n">
        <v>0</v>
      </c>
      <c r="O4258" t="n">
        <v>0</v>
      </c>
      <c r="P4258" t="n">
        <v>1</v>
      </c>
      <c r="Q4258" t="n">
        <v>6</v>
      </c>
      <c r="R4258" t="n">
        <v>0</v>
      </c>
      <c r="S4258" t="n">
        <v/>
      </c>
      <c r="T4258" t="inlineStr">
        <is>
          <t>23</t>
        </is>
      </c>
      <c r="U4258" t="inlineStr">
        <is>
          <t>11</t>
        </is>
      </c>
      <c r="V4258" t="n">
        <v>2025</v>
      </c>
      <c r="W4258" t="n">
        <v/>
      </c>
    </row>
    <row r="4259">
      <c r="A4259" t="inlineStr">
        <is>
          <t>24/11/2025 6:55:45</t>
        </is>
      </c>
      <c r="B4259" t="inlineStr">
        <is>
          <t>Lương Duy Hoàng</t>
        </is>
      </c>
      <c r="C4259" t="inlineStr">
        <is>
          <t>23/11/2025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9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2</v>
      </c>
      <c r="R4259" t="n">
        <v>0</v>
      </c>
      <c r="S4259" t="n">
        <v/>
      </c>
      <c r="T4259" t="inlineStr">
        <is>
          <t>23</t>
        </is>
      </c>
      <c r="U4259" t="inlineStr">
        <is>
          <t>11</t>
        </is>
      </c>
      <c r="V4259" t="n">
        <v>2025</v>
      </c>
      <c r="W4259" t="n">
        <v/>
      </c>
    </row>
    <row r="4260">
      <c r="A4260" t="inlineStr">
        <is>
          <t>24/11/2025 6:56:40</t>
        </is>
      </c>
      <c r="B4260" t="inlineStr">
        <is>
          <t>Nguyễn Văn Hiệp</t>
        </is>
      </c>
      <c r="C4260" t="inlineStr">
        <is>
          <t>22/11/2025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2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/>
      </c>
      <c r="T4260" t="inlineStr">
        <is>
          <t>22</t>
        </is>
      </c>
      <c r="U4260" t="inlineStr">
        <is>
          <t>11</t>
        </is>
      </c>
      <c r="V4260" t="n">
        <v>2025</v>
      </c>
      <c r="W4260" t="n">
        <v/>
      </c>
    </row>
    <row r="4261">
      <c r="A4261" t="inlineStr">
        <is>
          <t>24/11/2025 6:58:47</t>
        </is>
      </c>
      <c r="B4261" t="inlineStr">
        <is>
          <t>Trần Trung Giang</t>
        </is>
      </c>
      <c r="C4261" t="inlineStr">
        <is>
          <t>23/11/2025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2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/>
      </c>
      <c r="T4261" t="inlineStr">
        <is>
          <t>23</t>
        </is>
      </c>
      <c r="U4261" t="inlineStr">
        <is>
          <t>11</t>
        </is>
      </c>
      <c r="V4261" t="n">
        <v>2025</v>
      </c>
      <c r="W4261" t="n">
        <v/>
      </c>
    </row>
    <row r="4262">
      <c r="A4262" t="inlineStr">
        <is>
          <t>24/11/2025 7:00:23</t>
        </is>
      </c>
      <c r="B4262" t="inlineStr">
        <is>
          <t>Nguyễn Tuấn Anh</t>
        </is>
      </c>
      <c r="C4262" t="inlineStr">
        <is>
          <t>23/11/2025</t>
        </is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2</v>
      </c>
      <c r="J4262" t="n">
        <v>0</v>
      </c>
      <c r="K4262" t="n">
        <v>4</v>
      </c>
      <c r="L4262" t="n">
        <v>0</v>
      </c>
      <c r="M4262" t="n">
        <v>0</v>
      </c>
      <c r="N4262" t="n">
        <v>0</v>
      </c>
      <c r="O4262" t="n">
        <v>0</v>
      </c>
      <c r="P4262" t="n">
        <v>1</v>
      </c>
      <c r="Q4262" t="n">
        <v>2</v>
      </c>
      <c r="R4262" t="n">
        <v>0</v>
      </c>
      <c r="S4262" t="n">
        <v/>
      </c>
      <c r="T4262" t="inlineStr">
        <is>
          <t>23</t>
        </is>
      </c>
      <c r="U4262" t="inlineStr">
        <is>
          <t>11</t>
        </is>
      </c>
      <c r="V4262" t="n">
        <v>2025</v>
      </c>
      <c r="W4262" t="n">
        <v/>
      </c>
    </row>
    <row r="4263">
      <c r="A4263" t="inlineStr">
        <is>
          <t>24/11/2025 7:03:09</t>
        </is>
      </c>
      <c r="B4263" t="inlineStr">
        <is>
          <t>Nguyễn Quang Anh Tuấn</t>
        </is>
      </c>
      <c r="C4263" t="inlineStr">
        <is>
          <t>23/11/2025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/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/>
      </c>
      <c r="T4263" t="inlineStr">
        <is>
          <t>23</t>
        </is>
      </c>
      <c r="U4263" t="inlineStr">
        <is>
          <t>11</t>
        </is>
      </c>
      <c r="V4263" t="n">
        <v>2025</v>
      </c>
      <c r="W4263" t="n">
        <v/>
      </c>
    </row>
    <row r="4264">
      <c r="A4264" t="inlineStr">
        <is>
          <t>24/11/2025 7:04:24</t>
        </is>
      </c>
      <c r="B4264" t="inlineStr">
        <is>
          <t>Vòng Nhật Sang</t>
        </is>
      </c>
      <c r="C4264" t="inlineStr">
        <is>
          <t>23/11/2025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10</v>
      </c>
      <c r="L4264" t="n">
        <v>0</v>
      </c>
      <c r="M4264" t="n">
        <v>0</v>
      </c>
      <c r="N4264" t="n">
        <v>0</v>
      </c>
      <c r="O4264" t="n">
        <v>0</v>
      </c>
      <c r="P4264" t="n">
        <v>1</v>
      </c>
      <c r="Q4264" t="n">
        <v>2</v>
      </c>
      <c r="R4264" t="n">
        <v>0</v>
      </c>
      <c r="S4264" t="n">
        <v/>
      </c>
      <c r="T4264" t="inlineStr">
        <is>
          <t>23</t>
        </is>
      </c>
      <c r="U4264" t="inlineStr">
        <is>
          <t>11</t>
        </is>
      </c>
      <c r="V4264" t="n">
        <v>2025</v>
      </c>
      <c r="W4264" t="n">
        <v/>
      </c>
    </row>
    <row r="4265">
      <c r="A4265" t="inlineStr">
        <is>
          <t>24/11/2025 7:11:27</t>
        </is>
      </c>
      <c r="B4265" t="inlineStr">
        <is>
          <t>Huỳnh Văn Lực</t>
        </is>
      </c>
      <c r="C4265" t="inlineStr">
        <is>
          <t>23/11/2025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5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1</v>
      </c>
      <c r="R4265" t="n">
        <v>1</v>
      </c>
      <c r="S4265" t="n">
        <v/>
      </c>
      <c r="T4265" t="inlineStr">
        <is>
          <t>23</t>
        </is>
      </c>
      <c r="U4265" t="inlineStr">
        <is>
          <t>11</t>
        </is>
      </c>
      <c r="V4265" t="n">
        <v>2025</v>
      </c>
      <c r="W4265" t="n">
        <v/>
      </c>
    </row>
    <row r="4266">
      <c r="A4266" t="inlineStr">
        <is>
          <t>24/11/2025 7:11:36</t>
        </is>
      </c>
      <c r="B4266" t="inlineStr">
        <is>
          <t>Phan Ngọc Sang</t>
        </is>
      </c>
      <c r="C4266" t="inlineStr">
        <is>
          <t>23/11/2025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2</v>
      </c>
      <c r="L4266" t="n">
        <v>0</v>
      </c>
      <c r="M4266" t="n">
        <v>0</v>
      </c>
      <c r="N4266" t="n">
        <v>1</v>
      </c>
      <c r="O4266" t="n">
        <v>1</v>
      </c>
      <c r="P4266" t="n">
        <v>1</v>
      </c>
      <c r="Q4266" t="n">
        <v>3</v>
      </c>
      <c r="R4266" t="n">
        <v>0</v>
      </c>
      <c r="S4266" t="n">
        <v/>
      </c>
      <c r="T4266" t="inlineStr">
        <is>
          <t>23</t>
        </is>
      </c>
      <c r="U4266" t="inlineStr">
        <is>
          <t>11</t>
        </is>
      </c>
      <c r="V4266" t="n">
        <v>2025</v>
      </c>
      <c r="W4266" t="n">
        <v/>
      </c>
    </row>
    <row r="4267">
      <c r="A4267" t="inlineStr">
        <is>
          <t>24/11/2025 7:13:06</t>
        </is>
      </c>
      <c r="B4267" t="inlineStr">
        <is>
          <t>Đào Công Trung</t>
        </is>
      </c>
      <c r="C4267" t="inlineStr">
        <is>
          <t>23/11/2025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18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3</v>
      </c>
      <c r="R4267" t="n">
        <v>0</v>
      </c>
      <c r="S4267" t="n">
        <v/>
      </c>
      <c r="T4267" t="inlineStr">
        <is>
          <t>23</t>
        </is>
      </c>
      <c r="U4267" t="inlineStr">
        <is>
          <t>11</t>
        </is>
      </c>
      <c r="V4267" t="n">
        <v>2025</v>
      </c>
      <c r="W4267" t="n">
        <v/>
      </c>
    </row>
    <row r="4268">
      <c r="A4268" t="inlineStr">
        <is>
          <t>24/11/2025 7:20:08</t>
        </is>
      </c>
      <c r="B4268" t="inlineStr">
        <is>
          <t>Nguyễn Văn Nhật</t>
        </is>
      </c>
      <c r="C4268" t="inlineStr">
        <is>
          <t>22/11/2025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6</v>
      </c>
      <c r="L4268" t="n">
        <v>1</v>
      </c>
      <c r="M4268" t="n">
        <v>0</v>
      </c>
      <c r="N4268" t="n">
        <v>0</v>
      </c>
      <c r="O4268" t="n">
        <v>0</v>
      </c>
      <c r="P4268" t="n">
        <v>1</v>
      </c>
      <c r="Q4268" t="n">
        <v>2</v>
      </c>
      <c r="R4268" t="n">
        <v>0</v>
      </c>
      <c r="S4268" t="n">
        <v/>
      </c>
      <c r="T4268" t="inlineStr">
        <is>
          <t>22</t>
        </is>
      </c>
      <c r="U4268" t="inlineStr">
        <is>
          <t>11</t>
        </is>
      </c>
      <c r="V4268" t="n">
        <v>2025</v>
      </c>
      <c r="W4268" t="n">
        <v/>
      </c>
    </row>
    <row r="4269">
      <c r="A4269" t="inlineStr">
        <is>
          <t>24/11/2025 7:22:16</t>
        </is>
      </c>
      <c r="B4269" t="inlineStr">
        <is>
          <t>Nguyễn Văn Nhật</t>
        </is>
      </c>
      <c r="C4269" t="inlineStr">
        <is>
          <t>23/11/2025</t>
        </is>
      </c>
      <c r="D4269" t="n">
        <v>0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10</v>
      </c>
      <c r="L4269" t="n">
        <v>0</v>
      </c>
      <c r="M4269" t="n">
        <v>1</v>
      </c>
      <c r="N4269" t="n">
        <v>0</v>
      </c>
      <c r="O4269" t="n">
        <v>1</v>
      </c>
      <c r="P4269" t="n">
        <v>2</v>
      </c>
      <c r="Q4269" t="n">
        <v>0</v>
      </c>
      <c r="R4269" t="n">
        <v>0</v>
      </c>
      <c r="S4269" t="n">
        <v/>
      </c>
      <c r="T4269" t="inlineStr">
        <is>
          <t>23</t>
        </is>
      </c>
      <c r="U4269" t="inlineStr">
        <is>
          <t>11</t>
        </is>
      </c>
      <c r="V4269" t="n">
        <v>2025</v>
      </c>
      <c r="W4269" t="n">
        <v/>
      </c>
    </row>
    <row r="4270">
      <c r="A4270" t="inlineStr">
        <is>
          <t>24/11/2025 7:25:36</t>
        </is>
      </c>
      <c r="B4270" t="inlineStr">
        <is>
          <t>Dương Minh Tiến</t>
        </is>
      </c>
      <c r="C4270" t="inlineStr">
        <is>
          <t>23/11/2025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9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/>
      </c>
      <c r="T4270" t="inlineStr">
        <is>
          <t>23</t>
        </is>
      </c>
      <c r="U4270" t="inlineStr">
        <is>
          <t>11</t>
        </is>
      </c>
      <c r="V4270" t="n">
        <v>2025</v>
      </c>
      <c r="W4270" t="n">
        <v/>
      </c>
    </row>
    <row r="4271">
      <c r="A4271" t="inlineStr">
        <is>
          <t>24/11/2025 7:26:13</t>
        </is>
      </c>
      <c r="B4271" t="inlineStr">
        <is>
          <t>Hồ Xuân Việt</t>
        </is>
      </c>
      <c r="C4271" t="inlineStr">
        <is>
          <t>23/11/2025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8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3</v>
      </c>
      <c r="R4271" t="n">
        <v>0</v>
      </c>
      <c r="S4271" t="n">
        <v/>
      </c>
      <c r="T4271" t="inlineStr">
        <is>
          <t>23</t>
        </is>
      </c>
      <c r="U4271" t="inlineStr">
        <is>
          <t>11</t>
        </is>
      </c>
      <c r="V4271" t="n">
        <v>2025</v>
      </c>
      <c r="W4271" t="n">
        <v/>
      </c>
    </row>
    <row r="4272">
      <c r="A4272" t="inlineStr">
        <is>
          <t>24/11/2025 7:27:27</t>
        </is>
      </c>
      <c r="B4272" t="inlineStr">
        <is>
          <t>Trần Xuân Khoa</t>
        </is>
      </c>
      <c r="C4272" t="inlineStr">
        <is>
          <t>23/11/2025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10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4</v>
      </c>
      <c r="R4272" t="n">
        <v>0</v>
      </c>
      <c r="S4272" t="n">
        <v/>
      </c>
      <c r="T4272" t="inlineStr">
        <is>
          <t>23</t>
        </is>
      </c>
      <c r="U4272" t="inlineStr">
        <is>
          <t>11</t>
        </is>
      </c>
      <c r="V4272" t="n">
        <v>2025</v>
      </c>
      <c r="W4272" t="n">
        <v/>
      </c>
    </row>
    <row r="4273">
      <c r="A4273" t="inlineStr">
        <is>
          <t>24/11/2025 7:38:00</t>
        </is>
      </c>
      <c r="B4273" t="inlineStr">
        <is>
          <t>Phan Thành Thái</t>
        </is>
      </c>
      <c r="C4273" t="inlineStr">
        <is>
          <t>23/11/2025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2</v>
      </c>
      <c r="J4273" t="n">
        <v>0</v>
      </c>
      <c r="K4273" t="n">
        <v>10</v>
      </c>
      <c r="L4273" t="n">
        <v>0</v>
      </c>
      <c r="M4273" t="n">
        <v>0</v>
      </c>
      <c r="N4273" t="n">
        <v>2</v>
      </c>
      <c r="O4273" t="n">
        <v>0</v>
      </c>
      <c r="P4273" t="n">
        <v>2</v>
      </c>
      <c r="Q4273" t="n">
        <v>3</v>
      </c>
      <c r="R4273" t="n">
        <v>0</v>
      </c>
      <c r="S4273" t="n">
        <v/>
      </c>
      <c r="T4273" t="inlineStr">
        <is>
          <t>23</t>
        </is>
      </c>
      <c r="U4273" t="inlineStr">
        <is>
          <t>11</t>
        </is>
      </c>
      <c r="V4273" t="n">
        <v>2025</v>
      </c>
      <c r="W4273" t="n">
        <v/>
      </c>
    </row>
    <row r="4274">
      <c r="A4274" t="inlineStr">
        <is>
          <t>24/11/2025 7:59:55</t>
        </is>
      </c>
      <c r="B4274" t="inlineStr">
        <is>
          <t>Nguyễn Thành Lâm</t>
        </is>
      </c>
      <c r="C4274" t="inlineStr">
        <is>
          <t>23/11/2025</t>
        </is>
      </c>
      <c r="D4274" t="n">
        <v>0</v>
      </c>
      <c r="E4274" t="n">
        <v>1</v>
      </c>
      <c r="F4274" t="n">
        <v>1</v>
      </c>
      <c r="G4274" t="n">
        <v>0</v>
      </c>
      <c r="H4274" t="n">
        <v>0</v>
      </c>
      <c r="I4274" t="n">
        <v>2</v>
      </c>
      <c r="J4274" t="n">
        <v>1</v>
      </c>
      <c r="K4274" t="n">
        <v>10</v>
      </c>
      <c r="L4274" t="n">
        <v>0</v>
      </c>
      <c r="M4274" t="n">
        <v>0</v>
      </c>
      <c r="N4274" t="n">
        <v>2</v>
      </c>
      <c r="O4274" t="n">
        <v>0</v>
      </c>
      <c r="P4274" t="n">
        <v>0</v>
      </c>
      <c r="Q4274" t="n">
        <v>3</v>
      </c>
      <c r="R4274" t="n">
        <v>0</v>
      </c>
      <c r="S4274" t="n">
        <v/>
      </c>
      <c r="T4274" t="inlineStr">
        <is>
          <t>23</t>
        </is>
      </c>
      <c r="U4274" t="inlineStr">
        <is>
          <t>11</t>
        </is>
      </c>
      <c r="V4274" t="n">
        <v>2025</v>
      </c>
      <c r="W4274" t="n">
        <v/>
      </c>
    </row>
    <row r="4275">
      <c r="A4275" t="inlineStr">
        <is>
          <t>24/11/2025 8:52:21</t>
        </is>
      </c>
      <c r="B4275" t="inlineStr">
        <is>
          <t>Đặng Hoài Anh</t>
        </is>
      </c>
      <c r="C4275" t="inlineStr">
        <is>
          <t>23/11/2025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2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/>
      </c>
      <c r="T4275" t="inlineStr">
        <is>
          <t>23</t>
        </is>
      </c>
      <c r="U4275" t="inlineStr">
        <is>
          <t>11</t>
        </is>
      </c>
      <c r="V4275" t="n">
        <v>2025</v>
      </c>
      <c r="W4275" t="n">
        <v/>
      </c>
    </row>
    <row r="4276">
      <c r="A4276" t="inlineStr">
        <is>
          <t>24/11/2025 11:55:10</t>
        </is>
      </c>
      <c r="B4276" t="inlineStr">
        <is>
          <t>Bùi Duy Cường</t>
        </is>
      </c>
      <c r="C4276" t="inlineStr">
        <is>
          <t>23/11/2025</t>
        </is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2</v>
      </c>
      <c r="J4276" t="n">
        <v>0</v>
      </c>
      <c r="K4276" t="n">
        <v>12</v>
      </c>
      <c r="L4276" t="n">
        <v>0</v>
      </c>
      <c r="M4276" t="n">
        <v>1</v>
      </c>
      <c r="N4276" t="n">
        <v>0</v>
      </c>
      <c r="O4276" t="n">
        <v>0</v>
      </c>
      <c r="P4276" t="n">
        <v>1</v>
      </c>
      <c r="Q4276" t="n">
        <v>3</v>
      </c>
      <c r="R4276" t="n">
        <v>0</v>
      </c>
      <c r="S4276" t="n">
        <v/>
      </c>
      <c r="T4276" t="inlineStr">
        <is>
          <t>23</t>
        </is>
      </c>
      <c r="U4276" t="inlineStr">
        <is>
          <t>11</t>
        </is>
      </c>
      <c r="V4276" t="n">
        <v>2025</v>
      </c>
      <c r="W4276" t="n">
        <v/>
      </c>
    </row>
    <row r="4277">
      <c r="A4277" t="inlineStr">
        <is>
          <t>24/11/2025 21:26:17</t>
        </is>
      </c>
      <c r="B4277" t="inlineStr">
        <is>
          <t>Đặng Hữu Danh</t>
        </is>
      </c>
      <c r="C4277" t="inlineStr">
        <is>
          <t>24/11/2025</t>
        </is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5</v>
      </c>
      <c r="L4277" t="n">
        <v>0</v>
      </c>
      <c r="M4277" t="n">
        <v>1</v>
      </c>
      <c r="N4277" t="n">
        <v>2</v>
      </c>
      <c r="O4277" t="n">
        <v>0</v>
      </c>
      <c r="P4277" t="n">
        <v>1</v>
      </c>
      <c r="Q4277" t="n">
        <v>4</v>
      </c>
      <c r="R4277" t="n">
        <v>0</v>
      </c>
      <c r="S4277" t="n">
        <v/>
      </c>
      <c r="T4277" t="inlineStr">
        <is>
          <t>24</t>
        </is>
      </c>
      <c r="U4277" t="inlineStr">
        <is>
          <t>11</t>
        </is>
      </c>
      <c r="V4277" t="n">
        <v>2025</v>
      </c>
      <c r="W4277" t="n">
        <v/>
      </c>
    </row>
    <row r="4278">
      <c r="A4278" t="inlineStr">
        <is>
          <t>24/11/2025 21:28:38</t>
        </is>
      </c>
      <c r="B4278" t="inlineStr">
        <is>
          <t>Lê Quốc Duy</t>
        </is>
      </c>
      <c r="C4278" t="inlineStr">
        <is>
          <t>24/11/2025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16</v>
      </c>
      <c r="L4278" t="n">
        <v>0</v>
      </c>
      <c r="M4278" t="n">
        <v>1</v>
      </c>
      <c r="N4278" t="n">
        <v>0</v>
      </c>
      <c r="O4278" t="n">
        <v>0</v>
      </c>
      <c r="P4278" t="n">
        <v>2</v>
      </c>
      <c r="Q4278" t="n">
        <v>5</v>
      </c>
      <c r="R4278" t="n">
        <v>0</v>
      </c>
      <c r="S4278" t="n">
        <v/>
      </c>
      <c r="T4278" t="inlineStr">
        <is>
          <t>24</t>
        </is>
      </c>
      <c r="U4278" t="inlineStr">
        <is>
          <t>11</t>
        </is>
      </c>
      <c r="V4278" t="n">
        <v>2025</v>
      </c>
      <c r="W4278" t="n">
        <v/>
      </c>
    </row>
    <row r="4279">
      <c r="A4279" t="inlineStr">
        <is>
          <t>25/11/2025 6:33:17</t>
        </is>
      </c>
      <c r="B4279" t="inlineStr">
        <is>
          <t>Nguyễn Văn Hiệp</t>
        </is>
      </c>
      <c r="C4279" t="inlineStr">
        <is>
          <t>24/11/2025</t>
        </is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8</v>
      </c>
      <c r="L4279" t="n">
        <v>0</v>
      </c>
      <c r="M4279" t="n">
        <v>2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/>
      </c>
      <c r="T4279" t="inlineStr">
        <is>
          <t>24</t>
        </is>
      </c>
      <c r="U4279" t="inlineStr">
        <is>
          <t>11</t>
        </is>
      </c>
      <c r="V4279" t="n">
        <v>2025</v>
      </c>
      <c r="W4279" t="n">
        <v/>
      </c>
    </row>
    <row r="4280">
      <c r="A4280" t="inlineStr">
        <is>
          <t>25/11/2025 6:58:41</t>
        </is>
      </c>
      <c r="B4280" t="inlineStr">
        <is>
          <t>Trần Xuân Khoa</t>
        </is>
      </c>
      <c r="C4280" t="inlineStr">
        <is>
          <t>24/11/2025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7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3</v>
      </c>
      <c r="R4280" t="n">
        <v>0</v>
      </c>
      <c r="S4280" t="n">
        <v/>
      </c>
      <c r="T4280" t="inlineStr">
        <is>
          <t>24</t>
        </is>
      </c>
      <c r="U4280" t="inlineStr">
        <is>
          <t>11</t>
        </is>
      </c>
      <c r="V4280" t="n">
        <v>2025</v>
      </c>
      <c r="W4280" t="n">
        <v/>
      </c>
    </row>
    <row r="4281">
      <c r="A4281" t="inlineStr">
        <is>
          <t>25/11/2025 7:01:38</t>
        </is>
      </c>
      <c r="B4281" t="inlineStr">
        <is>
          <t>Lương Duy Hải</t>
        </is>
      </c>
      <c r="C4281" t="inlineStr">
        <is>
          <t>23/11/2025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6</v>
      </c>
      <c r="L4281" t="n">
        <v>0</v>
      </c>
      <c r="M4281" t="n">
        <v>0</v>
      </c>
      <c r="N4281" t="n">
        <v>0</v>
      </c>
      <c r="O4281" t="n">
        <v>0</v>
      </c>
      <c r="P4281" t="n">
        <v>2</v>
      </c>
      <c r="Q4281" t="n">
        <v>2</v>
      </c>
      <c r="R4281" t="n">
        <v>0</v>
      </c>
      <c r="S4281" t="n">
        <v/>
      </c>
      <c r="T4281" t="inlineStr">
        <is>
          <t>23</t>
        </is>
      </c>
      <c r="U4281" t="inlineStr">
        <is>
          <t>11</t>
        </is>
      </c>
      <c r="V4281" t="n">
        <v>2025</v>
      </c>
      <c r="W4281" t="n">
        <v/>
      </c>
    </row>
    <row r="4282">
      <c r="A4282" t="inlineStr">
        <is>
          <t>25/11/2025 7:01:58</t>
        </is>
      </c>
      <c r="B4282" t="inlineStr">
        <is>
          <t>Lương Duy Hoàng</t>
        </is>
      </c>
      <c r="C4282" t="inlineStr">
        <is>
          <t>24/11/2025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6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3</v>
      </c>
      <c r="R4282" t="n">
        <v>0</v>
      </c>
      <c r="S4282" t="n">
        <v/>
      </c>
      <c r="T4282" t="inlineStr">
        <is>
          <t>24</t>
        </is>
      </c>
      <c r="U4282" t="inlineStr">
        <is>
          <t>11</t>
        </is>
      </c>
      <c r="V4282" t="n">
        <v>2025</v>
      </c>
      <c r="W4282" t="n">
        <v/>
      </c>
    </row>
    <row r="4283">
      <c r="A4283" t="inlineStr">
        <is>
          <t>25/11/2025 7:03:41</t>
        </is>
      </c>
      <c r="B4283" t="inlineStr">
        <is>
          <t>Lương Duy Hải</t>
        </is>
      </c>
      <c r="C4283" t="inlineStr">
        <is>
          <t>24/11/2025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6</v>
      </c>
      <c r="L4283" t="n">
        <v>0</v>
      </c>
      <c r="M4283" t="n">
        <v>0</v>
      </c>
      <c r="N4283" t="n">
        <v>0</v>
      </c>
      <c r="O4283" t="n">
        <v>0</v>
      </c>
      <c r="P4283" t="n">
        <v>1</v>
      </c>
      <c r="Q4283" t="n">
        <v>3</v>
      </c>
      <c r="R4283" t="n">
        <v>0</v>
      </c>
      <c r="S4283" t="n">
        <v/>
      </c>
      <c r="T4283" t="inlineStr">
        <is>
          <t>24</t>
        </is>
      </c>
      <c r="U4283" t="inlineStr">
        <is>
          <t>11</t>
        </is>
      </c>
      <c r="V4283" t="n">
        <v>2025</v>
      </c>
      <c r="W4283" t="n">
        <v/>
      </c>
    </row>
    <row r="4284">
      <c r="A4284" t="inlineStr">
        <is>
          <t>25/11/2025 7:04:01</t>
        </is>
      </c>
      <c r="B4284" t="inlineStr">
        <is>
          <t>Nguyễn Quang Anh Tuấn</t>
        </is>
      </c>
      <c r="C4284" t="inlineStr">
        <is>
          <t>24/11/2025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2</v>
      </c>
      <c r="J4284" t="n">
        <v>0</v>
      </c>
      <c r="K4284" t="n">
        <v>9</v>
      </c>
      <c r="L4284" t="n">
        <v>2</v>
      </c>
      <c r="M4284" t="n">
        <v>0</v>
      </c>
      <c r="N4284" t="n">
        <v>0</v>
      </c>
      <c r="O4284" t="n">
        <v>0</v>
      </c>
      <c r="P4284" t="n">
        <v>1</v>
      </c>
      <c r="Q4284" t="n">
        <v>2</v>
      </c>
      <c r="R4284" t="n">
        <v>0</v>
      </c>
      <c r="S4284" t="n">
        <v/>
      </c>
      <c r="T4284" t="inlineStr">
        <is>
          <t>24</t>
        </is>
      </c>
      <c r="U4284" t="inlineStr">
        <is>
          <t>11</t>
        </is>
      </c>
      <c r="V4284" t="n">
        <v>2025</v>
      </c>
      <c r="W4284" t="n">
        <v/>
      </c>
    </row>
    <row r="4285">
      <c r="A4285" t="inlineStr">
        <is>
          <t>25/11/2025 7:04:51</t>
        </is>
      </c>
      <c r="B4285" t="inlineStr">
        <is>
          <t>Trần Trung Giang</t>
        </is>
      </c>
      <c r="C4285" t="inlineStr">
        <is>
          <t>24/11/2025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1</v>
      </c>
      <c r="J4285" t="n">
        <v>0</v>
      </c>
      <c r="K4285" t="n">
        <v>2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/>
      </c>
      <c r="T4285" t="inlineStr">
        <is>
          <t>24</t>
        </is>
      </c>
      <c r="U4285" t="inlineStr">
        <is>
          <t>11</t>
        </is>
      </c>
      <c r="V4285" t="n">
        <v>2025</v>
      </c>
      <c r="W4285" t="n">
        <v/>
      </c>
    </row>
    <row r="4286">
      <c r="A4286" t="inlineStr">
        <is>
          <t>25/11/2025 7:06:01</t>
        </is>
      </c>
      <c r="B4286" t="inlineStr">
        <is>
          <t>Hồ Thái Minh Trí</t>
        </is>
      </c>
      <c r="C4286" t="inlineStr">
        <is>
          <t>24/11/2025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16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5</v>
      </c>
      <c r="R4286" t="n">
        <v>0</v>
      </c>
      <c r="S4286" t="n">
        <v/>
      </c>
      <c r="T4286" t="inlineStr">
        <is>
          <t>24</t>
        </is>
      </c>
      <c r="U4286" t="inlineStr">
        <is>
          <t>11</t>
        </is>
      </c>
      <c r="V4286" t="n">
        <v>2025</v>
      </c>
      <c r="W4286" t="n">
        <v/>
      </c>
    </row>
    <row r="4287">
      <c r="A4287" t="inlineStr">
        <is>
          <t>25/11/2025 7:06:22</t>
        </is>
      </c>
      <c r="B4287" t="inlineStr">
        <is>
          <t>Huỳnh Văn Lực</t>
        </is>
      </c>
      <c r="C4287" t="inlineStr">
        <is>
          <t>24/11/2025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4</v>
      </c>
      <c r="L4287" t="n">
        <v>0</v>
      </c>
      <c r="M4287" t="n">
        <v>0</v>
      </c>
      <c r="N4287" t="n">
        <v>0</v>
      </c>
      <c r="O4287" t="n">
        <v>0</v>
      </c>
      <c r="P4287" t="n">
        <v>1</v>
      </c>
      <c r="Q4287" t="n">
        <v>2</v>
      </c>
      <c r="R4287" t="n">
        <v>0</v>
      </c>
      <c r="S4287" t="n">
        <v/>
      </c>
      <c r="T4287" t="inlineStr">
        <is>
          <t>24</t>
        </is>
      </c>
      <c r="U4287" t="inlineStr">
        <is>
          <t>11</t>
        </is>
      </c>
      <c r="V4287" t="n">
        <v>2025</v>
      </c>
      <c r="W4287" t="n">
        <v/>
      </c>
    </row>
    <row r="4288">
      <c r="A4288" t="inlineStr">
        <is>
          <t>25/11/2025 7:12:13</t>
        </is>
      </c>
      <c r="B4288" t="inlineStr">
        <is>
          <t>Nguyễn Tuấn Anh</t>
        </is>
      </c>
      <c r="C4288" t="inlineStr">
        <is>
          <t>24/11/2025</t>
        </is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2</v>
      </c>
      <c r="J4288" t="n">
        <v>0</v>
      </c>
      <c r="K4288" t="n">
        <v>22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2</v>
      </c>
      <c r="R4288" t="n">
        <v>0</v>
      </c>
      <c r="S4288" t="n">
        <v/>
      </c>
      <c r="T4288" t="inlineStr">
        <is>
          <t>24</t>
        </is>
      </c>
      <c r="U4288" t="inlineStr">
        <is>
          <t>11</t>
        </is>
      </c>
      <c r="V4288" t="n">
        <v>2025</v>
      </c>
      <c r="W4288" t="n">
        <v/>
      </c>
    </row>
    <row r="4289">
      <c r="A4289" t="inlineStr">
        <is>
          <t>25/11/2025 7:13:47</t>
        </is>
      </c>
      <c r="B4289" t="inlineStr">
        <is>
          <t>Bùi Duy Cường</t>
        </is>
      </c>
      <c r="C4289" t="inlineStr">
        <is>
          <t>24/11/2025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18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3</v>
      </c>
      <c r="R4289" t="n">
        <v>0</v>
      </c>
      <c r="S4289" t="n">
        <v/>
      </c>
      <c r="T4289" t="inlineStr">
        <is>
          <t>24</t>
        </is>
      </c>
      <c r="U4289" t="inlineStr">
        <is>
          <t>11</t>
        </is>
      </c>
      <c r="V4289" t="n">
        <v>2025</v>
      </c>
      <c r="W4289" t="n">
        <v/>
      </c>
    </row>
    <row r="4290">
      <c r="A4290" t="inlineStr">
        <is>
          <t>25/11/2025 7:14:35</t>
        </is>
      </c>
      <c r="B4290" t="inlineStr">
        <is>
          <t>Hồ Xuân Việt</t>
        </is>
      </c>
      <c r="C4290" t="inlineStr">
        <is>
          <t>24/11/2025</t>
        </is>
      </c>
      <c r="D4290" t="n">
        <v>3</v>
      </c>
      <c r="E4290" t="n">
        <v>5</v>
      </c>
      <c r="F4290" t="n">
        <v>2</v>
      </c>
      <c r="G4290" t="n">
        <v>0</v>
      </c>
      <c r="H4290" t="n">
        <v>0</v>
      </c>
      <c r="I4290" t="n">
        <v>1</v>
      </c>
      <c r="J4290" t="n">
        <v>0</v>
      </c>
      <c r="K4290" t="n">
        <v>10</v>
      </c>
      <c r="L4290" t="n">
        <v>0</v>
      </c>
      <c r="M4290" t="n">
        <v>3</v>
      </c>
      <c r="N4290" t="n">
        <v>1</v>
      </c>
      <c r="O4290" t="n">
        <v>0</v>
      </c>
      <c r="P4290" t="n">
        <v>2</v>
      </c>
      <c r="Q4290" t="n">
        <v>4</v>
      </c>
      <c r="R4290" t="n">
        <v>0</v>
      </c>
      <c r="S4290" t="n">
        <v/>
      </c>
      <c r="T4290" t="inlineStr">
        <is>
          <t>24</t>
        </is>
      </c>
      <c r="U4290" t="inlineStr">
        <is>
          <t>11</t>
        </is>
      </c>
      <c r="V4290" t="n">
        <v>2025</v>
      </c>
      <c r="W4290" t="n">
        <v/>
      </c>
    </row>
    <row r="4291">
      <c r="A4291" t="inlineStr">
        <is>
          <t>25/11/2025 7:18:25</t>
        </is>
      </c>
      <c r="B4291" t="inlineStr">
        <is>
          <t>Đặng Hoài Anh</t>
        </is>
      </c>
      <c r="C4291" t="inlineStr">
        <is>
          <t>24/11/2025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3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/>
      </c>
      <c r="T4291" t="inlineStr">
        <is>
          <t>24</t>
        </is>
      </c>
      <c r="U4291" t="inlineStr">
        <is>
          <t>11</t>
        </is>
      </c>
      <c r="V4291" t="n">
        <v>2025</v>
      </c>
      <c r="W4291" t="n">
        <v/>
      </c>
    </row>
    <row r="4292">
      <c r="A4292" t="inlineStr">
        <is>
          <t>25/11/2025 7:24:02</t>
        </is>
      </c>
      <c r="B4292" t="inlineStr">
        <is>
          <t>Vòng Nhật Sang</t>
        </is>
      </c>
      <c r="C4292" t="inlineStr">
        <is>
          <t>24/11/2025</t>
        </is>
      </c>
      <c r="D4292" t="n">
        <v>0</v>
      </c>
      <c r="E4292" t="n">
        <v>0</v>
      </c>
      <c r="F4292" t="n">
        <v>0</v>
      </c>
      <c r="G4292" t="n">
        <v>2</v>
      </c>
      <c r="H4292" t="n">
        <v>2</v>
      </c>
      <c r="I4292" t="n">
        <v>0</v>
      </c>
      <c r="J4292" t="n">
        <v>0</v>
      </c>
      <c r="K4292" t="n">
        <v>4</v>
      </c>
      <c r="L4292" t="n">
        <v>0</v>
      </c>
      <c r="M4292" t="n">
        <v>0</v>
      </c>
      <c r="N4292" t="n">
        <v>0</v>
      </c>
      <c r="O4292" t="n">
        <v>0</v>
      </c>
      <c r="P4292" t="n">
        <v>1</v>
      </c>
      <c r="Q4292" t="n">
        <v>2</v>
      </c>
      <c r="R4292" t="n">
        <v>0</v>
      </c>
      <c r="S4292" t="n">
        <v/>
      </c>
      <c r="T4292" t="inlineStr">
        <is>
          <t>24</t>
        </is>
      </c>
      <c r="U4292" t="inlineStr">
        <is>
          <t>11</t>
        </is>
      </c>
      <c r="V4292" t="n">
        <v>2025</v>
      </c>
      <c r="W4292" t="n">
        <v/>
      </c>
    </row>
    <row r="4293">
      <c r="A4293" t="inlineStr">
        <is>
          <t>25/11/2025 7:24:28</t>
        </is>
      </c>
      <c r="B4293" t="inlineStr">
        <is>
          <t>Dương Minh Tiến</t>
        </is>
      </c>
      <c r="C4293" t="inlineStr">
        <is>
          <t>24/11/2025</t>
        </is>
      </c>
      <c r="D4293" t="n">
        <v>3</v>
      </c>
      <c r="E4293" t="n">
        <v>1</v>
      </c>
      <c r="F4293" t="n">
        <v>1</v>
      </c>
      <c r="G4293" t="n">
        <v>1</v>
      </c>
      <c r="H4293" t="n">
        <v>1</v>
      </c>
      <c r="I4293" t="n">
        <v>1</v>
      </c>
      <c r="J4293" t="n">
        <v>1</v>
      </c>
      <c r="K4293" t="n">
        <v>20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2</v>
      </c>
      <c r="R4293" t="n">
        <v>0</v>
      </c>
      <c r="S4293" t="n">
        <v/>
      </c>
      <c r="T4293" t="inlineStr">
        <is>
          <t>24</t>
        </is>
      </c>
      <c r="U4293" t="inlineStr">
        <is>
          <t>11</t>
        </is>
      </c>
      <c r="V4293" t="n">
        <v>2025</v>
      </c>
      <c r="W4293" t="n">
        <v/>
      </c>
    </row>
    <row r="4294">
      <c r="A4294" t="inlineStr">
        <is>
          <t>25/11/2025 9:40:31</t>
        </is>
      </c>
      <c r="B4294" t="inlineStr">
        <is>
          <t>Nguyễn Văn Nhật</t>
        </is>
      </c>
      <c r="C4294" t="inlineStr">
        <is>
          <t>24/11/2025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10</v>
      </c>
      <c r="L4294" t="n">
        <v>1</v>
      </c>
      <c r="M4294" t="n">
        <v>0</v>
      </c>
      <c r="N4294" t="n">
        <v>0</v>
      </c>
      <c r="O4294" t="n">
        <v>1</v>
      </c>
      <c r="P4294" t="n">
        <v>1</v>
      </c>
      <c r="Q4294" t="n">
        <v>2</v>
      </c>
      <c r="R4294" t="n">
        <v>0</v>
      </c>
      <c r="S4294" t="n">
        <v/>
      </c>
      <c r="T4294" t="inlineStr">
        <is>
          <t>24</t>
        </is>
      </c>
      <c r="U4294" t="inlineStr">
        <is>
          <t>11</t>
        </is>
      </c>
      <c r="V4294" t="n">
        <v>2025</v>
      </c>
      <c r="W4294" t="n">
        <v/>
      </c>
    </row>
    <row r="4295">
      <c r="A4295" t="inlineStr">
        <is>
          <t>25/11/2025 19:13:36</t>
        </is>
      </c>
      <c r="B4295" t="inlineStr">
        <is>
          <t>Bùi Duy Cường</t>
        </is>
      </c>
      <c r="C4295" t="inlineStr">
        <is>
          <t>25/11/2025</t>
        </is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33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2</v>
      </c>
      <c r="R4295" t="n">
        <v>0</v>
      </c>
      <c r="S4295" t="n">
        <v/>
      </c>
      <c r="T4295" t="inlineStr">
        <is>
          <t>25</t>
        </is>
      </c>
      <c r="U4295" t="inlineStr">
        <is>
          <t>11</t>
        </is>
      </c>
      <c r="V4295" t="n">
        <v>2025</v>
      </c>
      <c r="W4295" t="n">
        <v/>
      </c>
    </row>
    <row r="4296">
      <c r="A4296" t="inlineStr">
        <is>
          <t>26/11/2025 4:29:23</t>
        </is>
      </c>
      <c r="B4296" t="inlineStr">
        <is>
          <t>Hồ Thái Minh Trí</t>
        </is>
      </c>
      <c r="C4296" t="inlineStr">
        <is>
          <t>25/11/2025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23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2</v>
      </c>
      <c r="R4296" t="n">
        <v>0</v>
      </c>
      <c r="S4296" t="n">
        <v/>
      </c>
      <c r="T4296" t="inlineStr">
        <is>
          <t>25</t>
        </is>
      </c>
      <c r="U4296" t="inlineStr">
        <is>
          <t>11</t>
        </is>
      </c>
      <c r="V4296" t="n">
        <v>2025</v>
      </c>
      <c r="W4296" t="n">
        <v/>
      </c>
    </row>
    <row r="4297">
      <c r="A4297" t="inlineStr">
        <is>
          <t>26/11/2025 6:23:47</t>
        </is>
      </c>
      <c r="B4297" t="inlineStr">
        <is>
          <t>Nguyễn Tuấn Anh</t>
        </is>
      </c>
      <c r="C4297" t="inlineStr">
        <is>
          <t>25/11/2025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2</v>
      </c>
      <c r="J4297" t="n">
        <v>0</v>
      </c>
      <c r="K4297" t="n">
        <v>5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3</v>
      </c>
      <c r="R4297" t="n">
        <v>1</v>
      </c>
      <c r="S4297" t="n">
        <v/>
      </c>
      <c r="T4297" t="inlineStr">
        <is>
          <t>25</t>
        </is>
      </c>
      <c r="U4297" t="inlineStr">
        <is>
          <t>11</t>
        </is>
      </c>
      <c r="V4297" t="n">
        <v>2025</v>
      </c>
      <c r="W4297" t="n">
        <v/>
      </c>
    </row>
    <row r="4298">
      <c r="A4298" t="inlineStr">
        <is>
          <t>26/11/2025 6:41:55</t>
        </is>
      </c>
      <c r="B4298" t="inlineStr">
        <is>
          <t>Nguyễn Văn Hiệp</t>
        </is>
      </c>
      <c r="C4298" t="inlineStr">
        <is>
          <t>25/11/2025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4</v>
      </c>
      <c r="L4298" t="n">
        <v>0</v>
      </c>
      <c r="M4298" t="n">
        <v>0</v>
      </c>
      <c r="N4298" t="n">
        <v>0</v>
      </c>
      <c r="O4298" t="n">
        <v>0</v>
      </c>
      <c r="P4298" t="n">
        <v>1</v>
      </c>
      <c r="Q4298" t="n">
        <v>1</v>
      </c>
      <c r="R4298" t="n">
        <v>0</v>
      </c>
      <c r="S4298" t="n">
        <v/>
      </c>
      <c r="T4298" t="inlineStr">
        <is>
          <t>25</t>
        </is>
      </c>
      <c r="U4298" t="inlineStr">
        <is>
          <t>11</t>
        </is>
      </c>
      <c r="V4298" t="n">
        <v>2025</v>
      </c>
      <c r="W4298" t="n">
        <v/>
      </c>
    </row>
    <row r="4299">
      <c r="A4299" t="inlineStr">
        <is>
          <t>26/11/2025 6:57:51</t>
        </is>
      </c>
      <c r="B4299" t="inlineStr">
        <is>
          <t>Hồ Xuân Việt</t>
        </is>
      </c>
      <c r="C4299" t="inlineStr">
        <is>
          <t>25/11/2025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10</v>
      </c>
      <c r="L4299" t="n">
        <v>0</v>
      </c>
      <c r="M4299" t="n">
        <v>0</v>
      </c>
      <c r="N4299" t="n">
        <v>1</v>
      </c>
      <c r="O4299" t="n">
        <v>0</v>
      </c>
      <c r="P4299" t="n">
        <v>1</v>
      </c>
      <c r="Q4299" t="n">
        <v>4</v>
      </c>
      <c r="R4299" t="n">
        <v>0</v>
      </c>
      <c r="S4299" t="n">
        <v/>
      </c>
      <c r="T4299" t="inlineStr">
        <is>
          <t>25</t>
        </is>
      </c>
      <c r="U4299" t="inlineStr">
        <is>
          <t>11</t>
        </is>
      </c>
      <c r="V4299" t="n">
        <v>2025</v>
      </c>
      <c r="W4299" t="n">
        <v/>
      </c>
    </row>
    <row r="4300">
      <c r="A4300" t="inlineStr">
        <is>
          <t>26/11/2025 6:59:19</t>
        </is>
      </c>
      <c r="B4300" t="inlineStr">
        <is>
          <t>Nguyễn Quang Anh Tuấn</t>
        </is>
      </c>
      <c r="C4300" t="inlineStr">
        <is>
          <t>25/11/2025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4</v>
      </c>
      <c r="J4300" t="n">
        <v>0</v>
      </c>
      <c r="K4300" t="n">
        <v>10</v>
      </c>
      <c r="L4300" t="n">
        <v>0</v>
      </c>
      <c r="M4300" t="n">
        <v>0</v>
      </c>
      <c r="N4300" t="n">
        <v>0</v>
      </c>
      <c r="O4300" t="n">
        <v>0</v>
      </c>
      <c r="P4300" t="n">
        <v>1</v>
      </c>
      <c r="Q4300" t="n">
        <v>4</v>
      </c>
      <c r="R4300" t="n">
        <v>0</v>
      </c>
      <c r="S4300" t="n">
        <v/>
      </c>
      <c r="T4300" t="inlineStr">
        <is>
          <t>25</t>
        </is>
      </c>
      <c r="U4300" t="inlineStr">
        <is>
          <t>11</t>
        </is>
      </c>
      <c r="V4300" t="n">
        <v>2025</v>
      </c>
      <c r="W4300" t="n">
        <v/>
      </c>
    </row>
    <row r="4301">
      <c r="A4301" t="inlineStr">
        <is>
          <t>26/11/2025 7:11:42</t>
        </is>
      </c>
      <c r="B4301" t="inlineStr">
        <is>
          <t>Lương Duy Hoàng</t>
        </is>
      </c>
      <c r="C4301" t="inlineStr">
        <is>
          <t>25/11/2025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17</v>
      </c>
      <c r="L4301" t="n">
        <v>0</v>
      </c>
      <c r="M4301" t="n">
        <v>0</v>
      </c>
      <c r="N4301" t="n">
        <v>0</v>
      </c>
      <c r="O4301" t="n">
        <v>0</v>
      </c>
      <c r="P4301" t="n">
        <v>2</v>
      </c>
      <c r="Q4301" t="n">
        <v>4</v>
      </c>
      <c r="R4301" t="n">
        <v>0</v>
      </c>
      <c r="S4301" t="n">
        <v/>
      </c>
      <c r="T4301" t="inlineStr">
        <is>
          <t>25</t>
        </is>
      </c>
      <c r="U4301" t="inlineStr">
        <is>
          <t>11</t>
        </is>
      </c>
      <c r="V4301" t="n">
        <v>2025</v>
      </c>
      <c r="W4301" t="n">
        <v/>
      </c>
    </row>
    <row r="4302">
      <c r="A4302" t="inlineStr">
        <is>
          <t>26/11/2025 7:16:44</t>
        </is>
      </c>
      <c r="B4302" t="inlineStr">
        <is>
          <t>Dương Minh Tiến</t>
        </is>
      </c>
      <c r="C4302" t="inlineStr">
        <is>
          <t>25/11/2025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15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/>
      </c>
      <c r="T4302" t="inlineStr">
        <is>
          <t>25</t>
        </is>
      </c>
      <c r="U4302" t="inlineStr">
        <is>
          <t>11</t>
        </is>
      </c>
      <c r="V4302" t="n">
        <v>2025</v>
      </c>
      <c r="W4302" t="n">
        <v/>
      </c>
    </row>
    <row r="4303">
      <c r="A4303" t="inlineStr">
        <is>
          <t>26/11/2025 7:18:59</t>
        </is>
      </c>
      <c r="B4303" t="inlineStr">
        <is>
          <t>Huỳnh Văn Lực</t>
        </is>
      </c>
      <c r="C4303" t="inlineStr">
        <is>
          <t>25/11/2025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11</v>
      </c>
      <c r="L4303" t="n">
        <v>0</v>
      </c>
      <c r="M4303" t="n">
        <v>0</v>
      </c>
      <c r="N4303" t="n">
        <v>0</v>
      </c>
      <c r="O4303" t="n">
        <v>0</v>
      </c>
      <c r="P4303" t="n">
        <v>1</v>
      </c>
      <c r="Q4303" t="n">
        <v>2</v>
      </c>
      <c r="R4303" t="n">
        <v>0</v>
      </c>
      <c r="S4303" t="n">
        <v/>
      </c>
      <c r="T4303" t="inlineStr">
        <is>
          <t>25</t>
        </is>
      </c>
      <c r="U4303" t="inlineStr">
        <is>
          <t>11</t>
        </is>
      </c>
      <c r="V4303" t="n">
        <v>2025</v>
      </c>
      <c r="W4303" t="n">
        <v/>
      </c>
    </row>
    <row r="4304">
      <c r="A4304" t="inlineStr">
        <is>
          <t>26/11/2025 7:22:09</t>
        </is>
      </c>
      <c r="B4304" t="inlineStr">
        <is>
          <t>Lê Quốc Duy</t>
        </is>
      </c>
      <c r="C4304" t="inlineStr">
        <is>
          <t>25/11/2025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23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6</v>
      </c>
      <c r="R4304" t="n">
        <v>0</v>
      </c>
      <c r="S4304" t="n">
        <v/>
      </c>
      <c r="T4304" t="inlineStr">
        <is>
          <t>25</t>
        </is>
      </c>
      <c r="U4304" t="inlineStr">
        <is>
          <t>11</t>
        </is>
      </c>
      <c r="V4304" t="n">
        <v>2025</v>
      </c>
      <c r="W4304" t="n">
        <v/>
      </c>
    </row>
    <row r="4305">
      <c r="A4305" t="inlineStr">
        <is>
          <t>26/11/2025 7:22:33</t>
        </is>
      </c>
      <c r="B4305" t="inlineStr">
        <is>
          <t>Đặng Hữu Danh</t>
        </is>
      </c>
      <c r="C4305" t="inlineStr">
        <is>
          <t>25/11/2025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2</v>
      </c>
      <c r="J4305" t="n">
        <v>0</v>
      </c>
      <c r="K4305" t="n">
        <v>10</v>
      </c>
      <c r="L4305" t="n">
        <v>0</v>
      </c>
      <c r="M4305" t="n">
        <v>0</v>
      </c>
      <c r="N4305" t="n">
        <v>2</v>
      </c>
      <c r="O4305" t="n">
        <v>0</v>
      </c>
      <c r="P4305" t="n">
        <v>2</v>
      </c>
      <c r="Q4305" t="n">
        <v>4</v>
      </c>
      <c r="R4305" t="n">
        <v>0</v>
      </c>
      <c r="S4305" t="n">
        <v/>
      </c>
      <c r="T4305" t="inlineStr">
        <is>
          <t>25</t>
        </is>
      </c>
      <c r="U4305" t="inlineStr">
        <is>
          <t>11</t>
        </is>
      </c>
      <c r="V4305" t="n">
        <v>2025</v>
      </c>
      <c r="W4305" t="n">
        <v/>
      </c>
    </row>
    <row r="4306">
      <c r="A4306" t="inlineStr">
        <is>
          <t>26/11/2025 7:23:37</t>
        </is>
      </c>
      <c r="B4306" t="inlineStr">
        <is>
          <t>Đặng Hoài Anh</t>
        </is>
      </c>
      <c r="C4306" t="inlineStr">
        <is>
          <t>25/11/2025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3</v>
      </c>
      <c r="Q4306" t="n">
        <v>2</v>
      </c>
      <c r="R4306" t="n">
        <v>0</v>
      </c>
      <c r="S4306" t="n">
        <v/>
      </c>
      <c r="T4306" t="inlineStr">
        <is>
          <t>25</t>
        </is>
      </c>
      <c r="U4306" t="inlineStr">
        <is>
          <t>11</t>
        </is>
      </c>
      <c r="V4306" t="n">
        <v>2025</v>
      </c>
      <c r="W4306" t="n">
        <v/>
      </c>
    </row>
    <row r="4307">
      <c r="A4307" t="inlineStr">
        <is>
          <t>26/11/2025 7:27:48</t>
        </is>
      </c>
      <c r="B4307" t="inlineStr">
        <is>
          <t>Trần Trung Giang</t>
        </is>
      </c>
      <c r="C4307" t="inlineStr">
        <is>
          <t>25/11/2025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5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/>
      </c>
      <c r="T4307" t="inlineStr">
        <is>
          <t>25</t>
        </is>
      </c>
      <c r="U4307" t="inlineStr">
        <is>
          <t>11</t>
        </is>
      </c>
      <c r="V4307" t="n">
        <v>2025</v>
      </c>
      <c r="W4307" t="n">
        <v/>
      </c>
    </row>
    <row r="4308">
      <c r="A4308" t="inlineStr">
        <is>
          <t>26/11/2025 7:34:58</t>
        </is>
      </c>
      <c r="B4308" t="inlineStr">
        <is>
          <t>Vòng Nhật Sang</t>
        </is>
      </c>
      <c r="C4308" t="inlineStr">
        <is>
          <t>25/11/2025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4</v>
      </c>
      <c r="L4308" t="n">
        <v>0</v>
      </c>
      <c r="M4308" t="n">
        <v>2</v>
      </c>
      <c r="N4308" t="n">
        <v>0</v>
      </c>
      <c r="O4308" t="n">
        <v>0</v>
      </c>
      <c r="P4308" t="n">
        <v>1</v>
      </c>
      <c r="Q4308" t="n">
        <v>1</v>
      </c>
      <c r="R4308" t="n">
        <v>0</v>
      </c>
      <c r="S4308" t="n">
        <v/>
      </c>
      <c r="T4308" t="inlineStr">
        <is>
          <t>25</t>
        </is>
      </c>
      <c r="U4308" t="inlineStr">
        <is>
          <t>11</t>
        </is>
      </c>
      <c r="V4308" t="n">
        <v>2025</v>
      </c>
      <c r="W4308" t="n">
        <v/>
      </c>
    </row>
    <row r="4309">
      <c r="A4309" t="inlineStr">
        <is>
          <t>26/11/2025 7:35:09</t>
        </is>
      </c>
      <c r="B4309" t="inlineStr">
        <is>
          <t>Lương Duy Hải</t>
        </is>
      </c>
      <c r="C4309" t="inlineStr">
        <is>
          <t>25/11/2025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4</v>
      </c>
      <c r="L4309" t="n">
        <v>0</v>
      </c>
      <c r="M4309" t="n">
        <v>0</v>
      </c>
      <c r="N4309" t="n">
        <v>0</v>
      </c>
      <c r="O4309" t="n">
        <v>0</v>
      </c>
      <c r="P4309" t="n">
        <v>1</v>
      </c>
      <c r="Q4309" t="n">
        <v>6</v>
      </c>
      <c r="R4309" t="n">
        <v>0</v>
      </c>
      <c r="S4309" t="n">
        <v/>
      </c>
      <c r="T4309" t="inlineStr">
        <is>
          <t>25</t>
        </is>
      </c>
      <c r="U4309" t="inlineStr">
        <is>
          <t>11</t>
        </is>
      </c>
      <c r="V4309" t="n">
        <v>2025</v>
      </c>
      <c r="W4309" t="n">
        <v/>
      </c>
    </row>
    <row r="4310">
      <c r="A4310" t="inlineStr">
        <is>
          <t>26/11/2025 9:18:43</t>
        </is>
      </c>
      <c r="B4310" t="inlineStr">
        <is>
          <t>Nguyễn Hồng Minh</t>
        </is>
      </c>
      <c r="C4310" t="inlineStr">
        <is>
          <t>25/11/2025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10</v>
      </c>
      <c r="L4310" t="n">
        <v>0</v>
      </c>
      <c r="M4310" t="n">
        <v>0</v>
      </c>
      <c r="N4310" t="n">
        <v>0</v>
      </c>
      <c r="O4310" t="n">
        <v>0</v>
      </c>
      <c r="P4310" t="n">
        <v>2</v>
      </c>
      <c r="Q4310" t="n">
        <v>5</v>
      </c>
      <c r="R4310" t="n">
        <v>0</v>
      </c>
      <c r="S4310" t="n">
        <v/>
      </c>
      <c r="T4310" t="inlineStr">
        <is>
          <t>25</t>
        </is>
      </c>
      <c r="U4310" t="inlineStr">
        <is>
          <t>11</t>
        </is>
      </c>
      <c r="V4310" t="n">
        <v>2025</v>
      </c>
      <c r="W4310" t="n">
        <v/>
      </c>
    </row>
    <row r="4311">
      <c r="A4311" t="inlineStr">
        <is>
          <t>26/11/2025 13:28:18</t>
        </is>
      </c>
      <c r="B4311" t="inlineStr">
        <is>
          <t>Phan Ngọc Sang</t>
        </is>
      </c>
      <c r="C4311" t="inlineStr">
        <is>
          <t>25/11/2025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9</v>
      </c>
      <c r="L4311" t="n">
        <v>2</v>
      </c>
      <c r="M4311" t="n">
        <v>1</v>
      </c>
      <c r="N4311" t="n">
        <v>1</v>
      </c>
      <c r="O4311" t="n">
        <v>0</v>
      </c>
      <c r="P4311" t="n">
        <v>1</v>
      </c>
      <c r="Q4311" t="n">
        <v>3</v>
      </c>
      <c r="R4311" t="n">
        <v>1</v>
      </c>
      <c r="S4311" t="n">
        <v/>
      </c>
      <c r="T4311" t="inlineStr">
        <is>
          <t>25</t>
        </is>
      </c>
      <c r="U4311" t="inlineStr">
        <is>
          <t>11</t>
        </is>
      </c>
      <c r="V4311" t="n">
        <v>2025</v>
      </c>
      <c r="W4311" t="n">
        <v/>
      </c>
    </row>
    <row r="4312">
      <c r="A4312" t="inlineStr">
        <is>
          <t>26/11/2025 20:14:56</t>
        </is>
      </c>
      <c r="B4312" t="inlineStr">
        <is>
          <t>Hồ Thái Minh Trí</t>
        </is>
      </c>
      <c r="C4312" t="inlineStr">
        <is>
          <t>26/11/2025</t>
        </is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24</v>
      </c>
      <c r="L4312" t="n">
        <v>0</v>
      </c>
      <c r="M4312" t="n">
        <v>2</v>
      </c>
      <c r="N4312" t="n">
        <v>0</v>
      </c>
      <c r="O4312" t="n">
        <v>0</v>
      </c>
      <c r="P4312" t="n">
        <v>0</v>
      </c>
      <c r="Q4312" t="n">
        <v>3</v>
      </c>
      <c r="R4312" t="n">
        <v>0</v>
      </c>
      <c r="S4312" t="n">
        <v/>
      </c>
      <c r="T4312" t="inlineStr">
        <is>
          <t>26</t>
        </is>
      </c>
      <c r="U4312" t="inlineStr">
        <is>
          <t>11</t>
        </is>
      </c>
      <c r="V4312" t="n">
        <v>2025</v>
      </c>
      <c r="W4312" t="n">
        <v/>
      </c>
    </row>
    <row r="4313">
      <c r="A4313" t="inlineStr">
        <is>
          <t>26/11/2025 22:09:19</t>
        </is>
      </c>
      <c r="B4313" t="inlineStr">
        <is>
          <t>Trần Minh Khánh</t>
        </is>
      </c>
      <c r="C4313" t="inlineStr">
        <is>
          <t>26/11/2025</t>
        </is>
      </c>
      <c r="D4313" t="n">
        <v>1</v>
      </c>
      <c r="E4313" t="n">
        <v>1</v>
      </c>
      <c r="F4313" t="n">
        <v>0</v>
      </c>
      <c r="G4313" t="n">
        <v>1</v>
      </c>
      <c r="H4313" t="n">
        <v>1</v>
      </c>
      <c r="I4313" t="n">
        <v>0</v>
      </c>
      <c r="J4313" t="n">
        <v>0</v>
      </c>
      <c r="K4313" t="n">
        <v>17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2</v>
      </c>
      <c r="R4313" t="n">
        <v>0</v>
      </c>
      <c r="S4313" t="n">
        <v/>
      </c>
      <c r="T4313" t="inlineStr">
        <is>
          <t>26</t>
        </is>
      </c>
      <c r="U4313" t="inlineStr">
        <is>
          <t>11</t>
        </is>
      </c>
      <c r="V4313" t="n">
        <v>2025</v>
      </c>
      <c r="W4313" t="n">
        <v/>
      </c>
    </row>
    <row r="4314">
      <c r="A4314" t="inlineStr">
        <is>
          <t>27/11/2025 2:16:18</t>
        </is>
      </c>
      <c r="B4314" t="inlineStr">
        <is>
          <t>Nguyễn Văn Nhật</t>
        </is>
      </c>
      <c r="C4314" t="inlineStr">
        <is>
          <t>25/11/2025</t>
        </is>
      </c>
      <c r="D4314" t="n">
        <v>0</v>
      </c>
      <c r="E4314" t="n">
        <v>3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12</v>
      </c>
      <c r="L4314" t="n">
        <v>1</v>
      </c>
      <c r="M4314" t="n">
        <v>1</v>
      </c>
      <c r="N4314" t="n">
        <v>0</v>
      </c>
      <c r="O4314" t="n">
        <v>1</v>
      </c>
      <c r="P4314" t="n">
        <v>1</v>
      </c>
      <c r="Q4314" t="n">
        <v>4</v>
      </c>
      <c r="R4314" t="n">
        <v>0</v>
      </c>
      <c r="S4314" t="n">
        <v/>
      </c>
      <c r="T4314" t="inlineStr">
        <is>
          <t>25</t>
        </is>
      </c>
      <c r="U4314" t="inlineStr">
        <is>
          <t>11</t>
        </is>
      </c>
      <c r="V4314" t="n">
        <v>2025</v>
      </c>
      <c r="W4314" t="n">
        <v/>
      </c>
    </row>
    <row r="4315">
      <c r="A4315" t="inlineStr">
        <is>
          <t>27/11/2025 6:33:42</t>
        </is>
      </c>
      <c r="B4315" t="inlineStr">
        <is>
          <t>Lương Duy Hoàng</t>
        </is>
      </c>
      <c r="C4315" t="inlineStr">
        <is>
          <t>26/11/2025</t>
        </is>
      </c>
      <c r="D4315" t="n">
        <v>0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4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2</v>
      </c>
      <c r="R4315" t="n">
        <v>0</v>
      </c>
      <c r="S4315" t="n">
        <v/>
      </c>
      <c r="T4315" t="inlineStr">
        <is>
          <t>26</t>
        </is>
      </c>
      <c r="U4315" t="inlineStr">
        <is>
          <t>11</t>
        </is>
      </c>
      <c r="V4315" t="n">
        <v>2025</v>
      </c>
      <c r="W4315" t="n">
        <v/>
      </c>
    </row>
    <row r="4316">
      <c r="A4316" t="inlineStr">
        <is>
          <t>27/11/2025 7:01:48</t>
        </is>
      </c>
      <c r="B4316" t="inlineStr">
        <is>
          <t>Lê Quốc Duy</t>
        </is>
      </c>
      <c r="C4316" t="inlineStr">
        <is>
          <t>26/11/2025</t>
        </is>
      </c>
      <c r="D4316" t="n">
        <v>0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4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5</v>
      </c>
      <c r="R4316" t="n">
        <v>0</v>
      </c>
      <c r="S4316" t="n">
        <v/>
      </c>
      <c r="T4316" t="inlineStr">
        <is>
          <t>26</t>
        </is>
      </c>
      <c r="U4316" t="inlineStr">
        <is>
          <t>11</t>
        </is>
      </c>
      <c r="V4316" t="n">
        <v>2025</v>
      </c>
      <c r="W4316" t="n">
        <v/>
      </c>
    </row>
    <row r="4317">
      <c r="A4317" t="inlineStr">
        <is>
          <t>27/11/2025 7:06:28</t>
        </is>
      </c>
      <c r="B4317" t="inlineStr">
        <is>
          <t>Trần Trung Giang</t>
        </is>
      </c>
      <c r="C4317" t="inlineStr">
        <is>
          <t>26/11/2025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5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/>
      </c>
      <c r="T4317" t="inlineStr">
        <is>
          <t>26</t>
        </is>
      </c>
      <c r="U4317" t="inlineStr">
        <is>
          <t>11</t>
        </is>
      </c>
      <c r="V4317" t="n">
        <v>2025</v>
      </c>
      <c r="W4317" t="n">
        <v/>
      </c>
    </row>
    <row r="4318">
      <c r="A4318" t="inlineStr">
        <is>
          <t>27/11/2025 7:09:06</t>
        </is>
      </c>
      <c r="B4318" t="inlineStr">
        <is>
          <t>Nguyễn Tuấn Anh</t>
        </is>
      </c>
      <c r="C4318" t="inlineStr">
        <is>
          <t>26/11/2025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3</v>
      </c>
      <c r="J4318" t="n">
        <v>0</v>
      </c>
      <c r="K4318" t="n">
        <v>3</v>
      </c>
      <c r="L4318" t="n">
        <v>0</v>
      </c>
      <c r="M4318" t="n">
        <v>0</v>
      </c>
      <c r="N4318" t="n">
        <v>0</v>
      </c>
      <c r="O4318" t="n">
        <v>0</v>
      </c>
      <c r="P4318" t="n">
        <v>1</v>
      </c>
      <c r="Q4318" t="n">
        <v>5</v>
      </c>
      <c r="R4318" t="n">
        <v>0</v>
      </c>
      <c r="S4318" t="n">
        <v/>
      </c>
      <c r="T4318" t="inlineStr">
        <is>
          <t>26</t>
        </is>
      </c>
      <c r="U4318" t="inlineStr">
        <is>
          <t>11</t>
        </is>
      </c>
      <c r="V4318" t="n">
        <v>2025</v>
      </c>
      <c r="W4318" t="n">
        <v/>
      </c>
    </row>
    <row r="4319">
      <c r="A4319" t="inlineStr">
        <is>
          <t>27/11/2025 7:10:15</t>
        </is>
      </c>
      <c r="B4319" t="inlineStr">
        <is>
          <t>Nguyễn Quang Anh Tuấn</t>
        </is>
      </c>
      <c r="C4319" t="inlineStr">
        <is>
          <t>26/11/2025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2</v>
      </c>
      <c r="J4319" t="n">
        <v>0</v>
      </c>
      <c r="K4319" t="n">
        <v>4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2</v>
      </c>
      <c r="R4319" t="n">
        <v>0</v>
      </c>
      <c r="S4319" t="n">
        <v/>
      </c>
      <c r="T4319" t="inlineStr">
        <is>
          <t>26</t>
        </is>
      </c>
      <c r="U4319" t="inlineStr">
        <is>
          <t>11</t>
        </is>
      </c>
      <c r="V4319" t="n">
        <v>2025</v>
      </c>
      <c r="W4319" t="n">
        <v/>
      </c>
    </row>
    <row r="4320">
      <c r="A4320" t="inlineStr">
        <is>
          <t>27/11/2025 7:12:09</t>
        </is>
      </c>
      <c r="B4320" t="inlineStr">
        <is>
          <t>Nguyễn Văn Hiệp</t>
        </is>
      </c>
      <c r="C4320" t="inlineStr">
        <is>
          <t>26/11/2025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3</v>
      </c>
      <c r="L4320" t="n">
        <v>0</v>
      </c>
      <c r="M4320" t="n">
        <v>0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/>
      </c>
      <c r="T4320" t="inlineStr">
        <is>
          <t>26</t>
        </is>
      </c>
      <c r="U4320" t="inlineStr">
        <is>
          <t>11</t>
        </is>
      </c>
      <c r="V4320" t="n">
        <v>2025</v>
      </c>
      <c r="W4320" t="n">
        <v/>
      </c>
    </row>
    <row r="4321">
      <c r="A4321" t="inlineStr">
        <is>
          <t>27/11/2025 7:15:58</t>
        </is>
      </c>
      <c r="B4321" t="inlineStr">
        <is>
          <t>Đặng Hoài Anh</t>
        </is>
      </c>
      <c r="C4321" t="inlineStr">
        <is>
          <t>26/11/2025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/>
      </c>
      <c r="T4321" t="inlineStr">
        <is>
          <t>26</t>
        </is>
      </c>
      <c r="U4321" t="inlineStr">
        <is>
          <t>11</t>
        </is>
      </c>
      <c r="V4321" t="n">
        <v>2025</v>
      </c>
      <c r="W4321" t="n">
        <v/>
      </c>
    </row>
    <row r="4322">
      <c r="A4322" t="inlineStr">
        <is>
          <t>27/11/2025 7:19:02</t>
        </is>
      </c>
      <c r="B4322" t="inlineStr">
        <is>
          <t>Huỳnh Văn Lực</t>
        </is>
      </c>
      <c r="C4322" t="inlineStr">
        <is>
          <t>26/11/2025</t>
        </is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3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/>
      </c>
      <c r="T4322" t="inlineStr">
        <is>
          <t>26</t>
        </is>
      </c>
      <c r="U4322" t="inlineStr">
        <is>
          <t>11</t>
        </is>
      </c>
      <c r="V4322" t="n">
        <v>2025</v>
      </c>
      <c r="W4322" t="n">
        <v/>
      </c>
    </row>
    <row r="4323">
      <c r="A4323" t="inlineStr">
        <is>
          <t>27/11/2025 7:29:50</t>
        </is>
      </c>
      <c r="B4323" t="inlineStr">
        <is>
          <t>Dương Minh Tiến</t>
        </is>
      </c>
      <c r="C4323" t="inlineStr">
        <is>
          <t>26/11/2025</t>
        </is>
      </c>
      <c r="D4323" t="n">
        <v>0</v>
      </c>
      <c r="E4323" t="n">
        <v>2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10</v>
      </c>
      <c r="L4323" t="n">
        <v>0</v>
      </c>
      <c r="M4323" t="n">
        <v>5</v>
      </c>
      <c r="N4323" t="n">
        <v>0</v>
      </c>
      <c r="O4323" t="n">
        <v>0</v>
      </c>
      <c r="P4323" t="n">
        <v>0</v>
      </c>
      <c r="Q4323" t="n">
        <v>1</v>
      </c>
      <c r="R4323" t="n">
        <v>1</v>
      </c>
      <c r="S4323" t="n">
        <v/>
      </c>
      <c r="T4323" t="inlineStr">
        <is>
          <t>26</t>
        </is>
      </c>
      <c r="U4323" t="inlineStr">
        <is>
          <t>11</t>
        </is>
      </c>
      <c r="V4323" t="n">
        <v>2025</v>
      </c>
      <c r="W4323" t="n">
        <v/>
      </c>
    </row>
    <row r="4324">
      <c r="A4324" t="inlineStr">
        <is>
          <t>27/11/2025 7:39:17</t>
        </is>
      </c>
      <c r="B4324" t="inlineStr">
        <is>
          <t>Bùi Duy Cường</t>
        </is>
      </c>
      <c r="C4324" t="inlineStr">
        <is>
          <t>26/11/2025</t>
        </is>
      </c>
      <c r="D4324" t="n">
        <v>0</v>
      </c>
      <c r="E4324" t="n">
        <v>0</v>
      </c>
      <c r="F4324" t="n">
        <v>0</v>
      </c>
      <c r="G4324" t="n">
        <v>1</v>
      </c>
      <c r="H4324" t="n">
        <v>0</v>
      </c>
      <c r="I4324" t="n">
        <v>2</v>
      </c>
      <c r="J4324" t="n">
        <v>2</v>
      </c>
      <c r="K4324" t="n">
        <v>18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2</v>
      </c>
      <c r="R4324" t="n">
        <v>0</v>
      </c>
      <c r="S4324" t="n">
        <v/>
      </c>
      <c r="T4324" t="inlineStr">
        <is>
          <t>26</t>
        </is>
      </c>
      <c r="U4324" t="inlineStr">
        <is>
          <t>11</t>
        </is>
      </c>
      <c r="V4324" t="n">
        <v>2025</v>
      </c>
      <c r="W4324" t="n">
        <v/>
      </c>
    </row>
    <row r="4325">
      <c r="A4325" t="inlineStr">
        <is>
          <t>27/11/2025 7:49:54</t>
        </is>
      </c>
      <c r="B4325" t="inlineStr">
        <is>
          <t>Hồ Xuân Việt</t>
        </is>
      </c>
      <c r="C4325" t="inlineStr">
        <is>
          <t>26/11/2025</t>
        </is>
      </c>
      <c r="D4325" t="n">
        <v>0</v>
      </c>
      <c r="E4325" t="n">
        <v>0</v>
      </c>
      <c r="F4325" t="n">
        <v>0</v>
      </c>
      <c r="G4325" t="n">
        <v>3</v>
      </c>
      <c r="H4325" t="n">
        <v>3</v>
      </c>
      <c r="I4325" t="n">
        <v>2</v>
      </c>
      <c r="J4325" t="n">
        <v>0</v>
      </c>
      <c r="K4325" t="n">
        <v>10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3</v>
      </c>
      <c r="R4325" t="n">
        <v>0</v>
      </c>
      <c r="S4325" t="n">
        <v/>
      </c>
      <c r="T4325" t="inlineStr">
        <is>
          <t>26</t>
        </is>
      </c>
      <c r="U4325" t="inlineStr">
        <is>
          <t>11</t>
        </is>
      </c>
      <c r="V4325" t="n">
        <v>2025</v>
      </c>
      <c r="W4325" t="n">
        <v/>
      </c>
    </row>
    <row r="4326">
      <c r="A4326" t="inlineStr">
        <is>
          <t>27/11/2025 7:57:59</t>
        </is>
      </c>
      <c r="B4326" t="inlineStr">
        <is>
          <t>Phan Thành Thái</t>
        </is>
      </c>
      <c r="C4326" t="inlineStr">
        <is>
          <t>26/11/2025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2</v>
      </c>
      <c r="J4326" t="n">
        <v>0</v>
      </c>
      <c r="K4326" t="n">
        <v>8</v>
      </c>
      <c r="L4326" t="n">
        <v>0</v>
      </c>
      <c r="M4326" t="n">
        <v>1</v>
      </c>
      <c r="N4326" t="n">
        <v>0</v>
      </c>
      <c r="O4326" t="n">
        <v>0</v>
      </c>
      <c r="P4326" t="n">
        <v>1</v>
      </c>
      <c r="Q4326" t="n">
        <v>4</v>
      </c>
      <c r="R4326" t="n">
        <v>0</v>
      </c>
      <c r="S4326" t="n">
        <v/>
      </c>
      <c r="T4326" t="inlineStr">
        <is>
          <t>26</t>
        </is>
      </c>
      <c r="U4326" t="inlineStr">
        <is>
          <t>11</t>
        </is>
      </c>
      <c r="V4326" t="n">
        <v>2025</v>
      </c>
      <c r="W4326" t="n">
        <v/>
      </c>
    </row>
    <row r="4327">
      <c r="A4327" t="inlineStr">
        <is>
          <t>27/11/2025 8:02:06</t>
        </is>
      </c>
      <c r="B4327" t="inlineStr">
        <is>
          <t>Trần Xuân Khoa</t>
        </is>
      </c>
      <c r="C4327" t="inlineStr">
        <is>
          <t>26/11/2025</t>
        </is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15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3</v>
      </c>
      <c r="R4327" t="n">
        <v>0</v>
      </c>
      <c r="S4327" t="n">
        <v/>
      </c>
      <c r="T4327" t="inlineStr">
        <is>
          <t>26</t>
        </is>
      </c>
      <c r="U4327" t="inlineStr">
        <is>
          <t>11</t>
        </is>
      </c>
      <c r="V4327" t="n">
        <v>2025</v>
      </c>
      <c r="W4327" t="n">
        <v/>
      </c>
    </row>
    <row r="4328">
      <c r="A4328" t="inlineStr">
        <is>
          <t>27/11/2025 10:04:23</t>
        </is>
      </c>
      <c r="B4328" t="inlineStr">
        <is>
          <t>Nguyễn Hồng Minh</t>
        </is>
      </c>
      <c r="C4328" t="inlineStr">
        <is>
          <t>26/11/2025</t>
        </is>
      </c>
      <c r="D4328" t="n">
        <v>1</v>
      </c>
      <c r="E4328" t="n">
        <v>1</v>
      </c>
      <c r="F4328" t="n">
        <v>0</v>
      </c>
      <c r="G4328" t="n">
        <v>1</v>
      </c>
      <c r="H4328" t="n">
        <v>1</v>
      </c>
      <c r="I4328" t="n">
        <v>0</v>
      </c>
      <c r="J4328" t="n">
        <v>0</v>
      </c>
      <c r="K4328" t="n">
        <v>8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3</v>
      </c>
      <c r="R4328" t="n">
        <v>0</v>
      </c>
      <c r="S4328" t="n">
        <v/>
      </c>
      <c r="T4328" t="inlineStr">
        <is>
          <t>26</t>
        </is>
      </c>
      <c r="U4328" t="inlineStr">
        <is>
          <t>11</t>
        </is>
      </c>
      <c r="V4328" t="n">
        <v>2025</v>
      </c>
      <c r="W4328" t="n">
        <v/>
      </c>
    </row>
    <row r="4329">
      <c r="A4329" t="inlineStr">
        <is>
          <t>27/11/2025 13:22:33</t>
        </is>
      </c>
      <c r="B4329" t="inlineStr">
        <is>
          <t>Phan Ngọc Sang</t>
        </is>
      </c>
      <c r="C4329" t="inlineStr">
        <is>
          <t>26/11/2025</t>
        </is>
      </c>
      <c r="D4329" t="n">
        <v>2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5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2</v>
      </c>
      <c r="R4329" t="n">
        <v>0</v>
      </c>
      <c r="S4329" t="n">
        <v/>
      </c>
      <c r="T4329" t="inlineStr">
        <is>
          <t>26</t>
        </is>
      </c>
      <c r="U4329" t="inlineStr">
        <is>
          <t>11</t>
        </is>
      </c>
      <c r="V4329" t="n">
        <v>2025</v>
      </c>
      <c r="W4329" t="n">
        <v/>
      </c>
    </row>
    <row r="4330">
      <c r="A4330" t="inlineStr">
        <is>
          <t>27/11/2025 19:26:43</t>
        </is>
      </c>
      <c r="B4330" t="inlineStr">
        <is>
          <t>Đặng Hữu Danh</t>
        </is>
      </c>
      <c r="C4330" t="inlineStr">
        <is>
          <t>27/11/2025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9</v>
      </c>
      <c r="L4330" t="n">
        <v>0</v>
      </c>
      <c r="M4330" t="n">
        <v>1</v>
      </c>
      <c r="N4330" t="n">
        <v>1</v>
      </c>
      <c r="O4330" t="n">
        <v>0</v>
      </c>
      <c r="P4330" t="n">
        <v>2</v>
      </c>
      <c r="Q4330" t="n">
        <v>3</v>
      </c>
      <c r="R4330" t="n">
        <v>0</v>
      </c>
      <c r="S4330" t="n">
        <v/>
      </c>
      <c r="T4330" t="inlineStr">
        <is>
          <t>27</t>
        </is>
      </c>
      <c r="U4330" t="inlineStr">
        <is>
          <t>11</t>
        </is>
      </c>
      <c r="V4330" t="n">
        <v>2025</v>
      </c>
      <c r="W4330" t="n">
        <v/>
      </c>
    </row>
    <row r="4331">
      <c r="A4331" t="inlineStr">
        <is>
          <t>28/11/2025 6:24:08</t>
        </is>
      </c>
      <c r="B4331" t="inlineStr">
        <is>
          <t>Phan Ngọc Sang</t>
        </is>
      </c>
      <c r="C4331" t="inlineStr">
        <is>
          <t>27/11/2025</t>
        </is>
      </c>
      <c r="D4331" t="n">
        <v>0</v>
      </c>
      <c r="E4331" t="n">
        <v>2</v>
      </c>
      <c r="F4331" t="n">
        <v>0</v>
      </c>
      <c r="G4331" t="n">
        <v>1</v>
      </c>
      <c r="H4331" t="n">
        <v>1</v>
      </c>
      <c r="I4331" t="n">
        <v>0</v>
      </c>
      <c r="J4331" t="n">
        <v>0</v>
      </c>
      <c r="K4331" t="n">
        <v>5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/>
      </c>
      <c r="T4331" t="inlineStr">
        <is>
          <t>27</t>
        </is>
      </c>
      <c r="U4331" t="inlineStr">
        <is>
          <t>11</t>
        </is>
      </c>
      <c r="V4331" t="n">
        <v>2025</v>
      </c>
      <c r="W4331" t="n">
        <v/>
      </c>
    </row>
    <row r="4332">
      <c r="A4332" t="inlineStr">
        <is>
          <t>28/11/2025 7:01:26</t>
        </is>
      </c>
      <c r="B4332" t="inlineStr">
        <is>
          <t>Lương Duy Hoàng</t>
        </is>
      </c>
      <c r="C4332" t="inlineStr">
        <is>
          <t>27/11/2025</t>
        </is>
      </c>
      <c r="D4332" t="n">
        <v>0</v>
      </c>
      <c r="E4332" t="n">
        <v>0</v>
      </c>
      <c r="F4332" t="n">
        <v>2</v>
      </c>
      <c r="G4332" t="n">
        <v>0</v>
      </c>
      <c r="H4332" t="n">
        <v>0</v>
      </c>
      <c r="I4332" t="n">
        <v>2</v>
      </c>
      <c r="J4332" t="n">
        <v>0</v>
      </c>
      <c r="K4332" t="n">
        <v>4</v>
      </c>
      <c r="L4332" t="n">
        <v>0</v>
      </c>
      <c r="M4332" t="n">
        <v>0</v>
      </c>
      <c r="N4332" t="n">
        <v>0</v>
      </c>
      <c r="O4332" t="n">
        <v>0</v>
      </c>
      <c r="P4332" t="n">
        <v>2</v>
      </c>
      <c r="Q4332" t="n">
        <v>2</v>
      </c>
      <c r="R4332" t="n">
        <v>0</v>
      </c>
      <c r="S4332" t="n">
        <v/>
      </c>
      <c r="T4332" t="inlineStr">
        <is>
          <t>27</t>
        </is>
      </c>
      <c r="U4332" t="inlineStr">
        <is>
          <t>11</t>
        </is>
      </c>
      <c r="V4332" t="n">
        <v>2025</v>
      </c>
      <c r="W4332" t="n">
        <v/>
      </c>
    </row>
    <row r="4333">
      <c r="A4333" t="inlineStr">
        <is>
          <t>28/11/2025 7:19:03</t>
        </is>
      </c>
      <c r="B4333" t="inlineStr">
        <is>
          <t>Nguyễn Văn Hiệp</t>
        </is>
      </c>
      <c r="C4333" t="inlineStr">
        <is>
          <t>27/11/2025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2</v>
      </c>
      <c r="L4333" t="n">
        <v>0</v>
      </c>
      <c r="M4333" t="n">
        <v>0</v>
      </c>
      <c r="N4333" t="n">
        <v>0</v>
      </c>
      <c r="O4333" t="n">
        <v>0</v>
      </c>
      <c r="P4333" t="n">
        <v>1</v>
      </c>
      <c r="Q4333" t="n">
        <v>1</v>
      </c>
      <c r="R4333" t="n">
        <v>0</v>
      </c>
      <c r="S4333" t="n">
        <v/>
      </c>
      <c r="T4333" t="inlineStr">
        <is>
          <t>27</t>
        </is>
      </c>
      <c r="U4333" t="inlineStr">
        <is>
          <t>11</t>
        </is>
      </c>
      <c r="V4333" t="n">
        <v>2025</v>
      </c>
      <c r="W4333" t="n">
        <v/>
      </c>
    </row>
    <row r="4334">
      <c r="A4334" t="inlineStr">
        <is>
          <t>28/11/2025 7:23:59</t>
        </is>
      </c>
      <c r="B4334" t="inlineStr">
        <is>
          <t>Trần Trung Giang</t>
        </is>
      </c>
      <c r="C4334" t="inlineStr">
        <is>
          <t>27/11/2025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5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/>
      </c>
      <c r="T4334" t="inlineStr">
        <is>
          <t>27</t>
        </is>
      </c>
      <c r="U4334" t="inlineStr">
        <is>
          <t>11</t>
        </is>
      </c>
      <c r="V4334" t="n">
        <v>2025</v>
      </c>
      <c r="W4334" t="n">
        <v/>
      </c>
    </row>
    <row r="4335">
      <c r="A4335" t="inlineStr">
        <is>
          <t>28/11/2025 7:24:25</t>
        </is>
      </c>
      <c r="B4335" t="inlineStr">
        <is>
          <t>Nguyễn Tuấn Anh</t>
        </is>
      </c>
      <c r="C4335" t="inlineStr">
        <is>
          <t>27/11/2025</t>
        </is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2</v>
      </c>
      <c r="J4335" t="n">
        <v>0</v>
      </c>
      <c r="K4335" t="n">
        <v>2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8</v>
      </c>
      <c r="R4335" t="n">
        <v>0</v>
      </c>
      <c r="S4335" t="n">
        <v/>
      </c>
      <c r="T4335" t="inlineStr">
        <is>
          <t>27</t>
        </is>
      </c>
      <c r="U4335" t="inlineStr">
        <is>
          <t>11</t>
        </is>
      </c>
      <c r="V4335" t="n">
        <v>2025</v>
      </c>
      <c r="W4335" t="n">
        <v/>
      </c>
    </row>
    <row r="4336">
      <c r="A4336" t="inlineStr">
        <is>
          <t>28/11/2025 7:25:04</t>
        </is>
      </c>
      <c r="B4336" t="inlineStr">
        <is>
          <t>Hồ Thái Minh Trí</t>
        </is>
      </c>
      <c r="C4336" t="inlineStr">
        <is>
          <t>27/11/2025</t>
        </is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26</v>
      </c>
      <c r="L4336" t="n">
        <v>0</v>
      </c>
      <c r="M4336" t="n">
        <v>1</v>
      </c>
      <c r="N4336" t="n">
        <v>1</v>
      </c>
      <c r="O4336" t="n">
        <v>1</v>
      </c>
      <c r="P4336" t="n">
        <v>0</v>
      </c>
      <c r="Q4336" t="n">
        <v>1</v>
      </c>
      <c r="R4336" t="n">
        <v>0</v>
      </c>
      <c r="S4336" t="n">
        <v/>
      </c>
      <c r="T4336" t="inlineStr">
        <is>
          <t>27</t>
        </is>
      </c>
      <c r="U4336" t="inlineStr">
        <is>
          <t>11</t>
        </is>
      </c>
      <c r="V4336" t="n">
        <v>2025</v>
      </c>
      <c r="W4336" t="n">
        <v/>
      </c>
    </row>
    <row r="4337">
      <c r="A4337" t="inlineStr">
        <is>
          <t>28/11/2025 7:26:31</t>
        </is>
      </c>
      <c r="B4337" t="inlineStr">
        <is>
          <t>Huỳnh Văn Lực</t>
        </is>
      </c>
      <c r="C4337" t="inlineStr">
        <is>
          <t>27/11/2025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7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3</v>
      </c>
      <c r="R4337" t="n">
        <v>0</v>
      </c>
      <c r="S4337" t="n">
        <v/>
      </c>
      <c r="T4337" t="inlineStr">
        <is>
          <t>27</t>
        </is>
      </c>
      <c r="U4337" t="inlineStr">
        <is>
          <t>11</t>
        </is>
      </c>
      <c r="V4337" t="n">
        <v>2025</v>
      </c>
      <c r="W4337" t="n">
        <v/>
      </c>
    </row>
    <row r="4338">
      <c r="A4338" t="inlineStr">
        <is>
          <t>28/11/2025 7:28:56</t>
        </is>
      </c>
      <c r="B4338" t="inlineStr">
        <is>
          <t>Vòng Nhật Sang</t>
        </is>
      </c>
      <c r="C4338" t="inlineStr">
        <is>
          <t>27/11/2025</t>
        </is>
      </c>
      <c r="D4338" t="n">
        <v>0</v>
      </c>
      <c r="E4338" t="n">
        <v>0</v>
      </c>
      <c r="F4338" t="n">
        <v>0</v>
      </c>
      <c r="G4338" t="n">
        <v>2</v>
      </c>
      <c r="H4338" t="n">
        <v>2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14</v>
      </c>
      <c r="Q4338" t="n">
        <v>2</v>
      </c>
      <c r="R4338" t="n">
        <v>0</v>
      </c>
      <c r="S4338" t="n">
        <v/>
      </c>
      <c r="T4338" t="inlineStr">
        <is>
          <t>27</t>
        </is>
      </c>
      <c r="U4338" t="inlineStr">
        <is>
          <t>11</t>
        </is>
      </c>
      <c r="V4338" t="n">
        <v>2025</v>
      </c>
      <c r="W4338" t="n">
        <v/>
      </c>
    </row>
    <row r="4339">
      <c r="A4339" t="inlineStr">
        <is>
          <t>28/11/2025 7:36:43</t>
        </is>
      </c>
      <c r="B4339" t="inlineStr">
        <is>
          <t>Nguyễn Quang Anh Tuấn</t>
        </is>
      </c>
      <c r="C4339" t="inlineStr">
        <is>
          <t>27/11/2025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2</v>
      </c>
      <c r="J4339" t="n">
        <v>0</v>
      </c>
      <c r="K4339" t="n">
        <v>2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/>
      </c>
      <c r="T4339" t="inlineStr">
        <is>
          <t>27</t>
        </is>
      </c>
      <c r="U4339" t="inlineStr">
        <is>
          <t>11</t>
        </is>
      </c>
      <c r="V4339" t="n">
        <v>2025</v>
      </c>
      <c r="W4339" t="n">
        <v/>
      </c>
    </row>
    <row r="4340">
      <c r="A4340" t="inlineStr">
        <is>
          <t>28/11/2025 7:44:50</t>
        </is>
      </c>
      <c r="B4340" t="inlineStr">
        <is>
          <t>Đặng Hoài Anh</t>
        </is>
      </c>
      <c r="C4340" t="inlineStr">
        <is>
          <t>27/11/2025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2</v>
      </c>
      <c r="L4340" t="n">
        <v>11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/>
      </c>
      <c r="T4340" t="inlineStr">
        <is>
          <t>27</t>
        </is>
      </c>
      <c r="U4340" t="inlineStr">
        <is>
          <t>11</t>
        </is>
      </c>
      <c r="V4340" t="n">
        <v>2025</v>
      </c>
      <c r="W4340" t="n">
        <v/>
      </c>
    </row>
    <row r="4341">
      <c r="A4341" t="inlineStr">
        <is>
          <t>28/11/2025 7:47:33</t>
        </is>
      </c>
      <c r="B4341" t="inlineStr">
        <is>
          <t>Trần Xuân Khoa</t>
        </is>
      </c>
      <c r="C4341" t="inlineStr">
        <is>
          <t>27/11/2025</t>
        </is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15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3</v>
      </c>
      <c r="R4341" t="n">
        <v>0</v>
      </c>
      <c r="S4341" t="n">
        <v/>
      </c>
      <c r="T4341" t="inlineStr">
        <is>
          <t>27</t>
        </is>
      </c>
      <c r="U4341" t="inlineStr">
        <is>
          <t>11</t>
        </is>
      </c>
      <c r="V4341" t="n">
        <v>2025</v>
      </c>
      <c r="W4341" t="n">
        <v/>
      </c>
    </row>
    <row r="4342">
      <c r="A4342" t="inlineStr">
        <is>
          <t>28/11/2025 7:51:09</t>
        </is>
      </c>
      <c r="B4342" t="inlineStr">
        <is>
          <t>Dương Minh Tiến</t>
        </is>
      </c>
      <c r="C4342" t="inlineStr">
        <is>
          <t>27/11/2025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12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/>
      </c>
      <c r="T4342" t="inlineStr">
        <is>
          <t>27</t>
        </is>
      </c>
      <c r="U4342" t="inlineStr">
        <is>
          <t>11</t>
        </is>
      </c>
      <c r="V4342" t="n">
        <v>2025</v>
      </c>
      <c r="W4342" t="n">
        <v/>
      </c>
    </row>
    <row r="4343">
      <c r="A4343" t="inlineStr">
        <is>
          <t>28/11/2025 8:32:09</t>
        </is>
      </c>
      <c r="B4343" t="inlineStr">
        <is>
          <t>Nguyễn Hồng Minh</t>
        </is>
      </c>
      <c r="C4343" t="inlineStr">
        <is>
          <t>27/11/2025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10</v>
      </c>
      <c r="L4343" t="n">
        <v>0</v>
      </c>
      <c r="M4343" t="n">
        <v>0</v>
      </c>
      <c r="N4343" t="n">
        <v>2</v>
      </c>
      <c r="O4343" t="n">
        <v>0</v>
      </c>
      <c r="P4343" t="n">
        <v>0</v>
      </c>
      <c r="Q4343" t="n">
        <v>4</v>
      </c>
      <c r="R4343" t="n">
        <v>0</v>
      </c>
      <c r="S4343" t="n">
        <v/>
      </c>
      <c r="T4343" t="inlineStr">
        <is>
          <t>27</t>
        </is>
      </c>
      <c r="U4343" t="inlineStr">
        <is>
          <t>11</t>
        </is>
      </c>
      <c r="V4343" t="n">
        <v>2025</v>
      </c>
      <c r="W4343" t="n">
        <v/>
      </c>
    </row>
    <row r="4344">
      <c r="A4344" t="inlineStr">
        <is>
          <t>28/11/2025 9:00:32</t>
        </is>
      </c>
      <c r="B4344" t="inlineStr">
        <is>
          <t>Hồ Xuân Việt</t>
        </is>
      </c>
      <c r="C4344" t="inlineStr">
        <is>
          <t>27/11/2025</t>
        </is>
      </c>
      <c r="D4344" t="n">
        <v>0</v>
      </c>
      <c r="E4344" t="n">
        <v>0</v>
      </c>
      <c r="F4344" t="n">
        <v>0</v>
      </c>
      <c r="G4344" t="n">
        <v>1</v>
      </c>
      <c r="H4344" t="n">
        <v>0</v>
      </c>
      <c r="I4344" t="n">
        <v>1</v>
      </c>
      <c r="J4344" t="n">
        <v>0</v>
      </c>
      <c r="K4344" t="n">
        <v>8</v>
      </c>
      <c r="L4344" t="n">
        <v>0</v>
      </c>
      <c r="M4344" t="n">
        <v>1</v>
      </c>
      <c r="N4344" t="n">
        <v>1</v>
      </c>
      <c r="O4344" t="n">
        <v>0</v>
      </c>
      <c r="P4344" t="n">
        <v>1</v>
      </c>
      <c r="Q4344" t="n">
        <v>3</v>
      </c>
      <c r="R4344" t="n">
        <v>0</v>
      </c>
      <c r="S4344" t="n">
        <v/>
      </c>
      <c r="T4344" t="inlineStr">
        <is>
          <t>27</t>
        </is>
      </c>
      <c r="U4344" t="inlineStr">
        <is>
          <t>11</t>
        </is>
      </c>
      <c r="V4344" t="n">
        <v>2025</v>
      </c>
      <c r="W4344" t="n">
        <v/>
      </c>
    </row>
    <row r="4345">
      <c r="A4345" t="inlineStr">
        <is>
          <t>28/11/2025 21:11:32</t>
        </is>
      </c>
      <c r="B4345" t="inlineStr">
        <is>
          <t>Đặng Hữu Danh</t>
        </is>
      </c>
      <c r="C4345" t="inlineStr">
        <is>
          <t>28/11/2025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7</v>
      </c>
      <c r="L4345" t="n">
        <v>0</v>
      </c>
      <c r="M4345" t="n">
        <v>2</v>
      </c>
      <c r="N4345" t="n">
        <v>2</v>
      </c>
      <c r="O4345" t="n">
        <v>0</v>
      </c>
      <c r="P4345" t="n">
        <v>2</v>
      </c>
      <c r="Q4345" t="n">
        <v>4</v>
      </c>
      <c r="R4345" t="n">
        <v>0</v>
      </c>
      <c r="S4345" t="n">
        <v/>
      </c>
      <c r="T4345" t="inlineStr">
        <is>
          <t>28</t>
        </is>
      </c>
      <c r="U4345" t="inlineStr">
        <is>
          <t>11</t>
        </is>
      </c>
      <c r="V4345" t="n">
        <v>2025</v>
      </c>
      <c r="W4345" t="n">
        <v/>
      </c>
    </row>
    <row r="4346">
      <c r="A4346" t="inlineStr">
        <is>
          <t>29/11/2025 1:04:00</t>
        </is>
      </c>
      <c r="B4346" t="inlineStr">
        <is>
          <t>Hồ Thái Minh Trí</t>
        </is>
      </c>
      <c r="C4346" t="inlineStr">
        <is>
          <t>28/11/2025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40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2</v>
      </c>
      <c r="R4346" t="n">
        <v>0</v>
      </c>
      <c r="S4346" t="n">
        <v/>
      </c>
      <c r="T4346" t="inlineStr">
        <is>
          <t>28</t>
        </is>
      </c>
      <c r="U4346" t="inlineStr">
        <is>
          <t>11</t>
        </is>
      </c>
      <c r="V4346" t="n">
        <v>2025</v>
      </c>
      <c r="W4346" t="n">
        <v/>
      </c>
    </row>
    <row r="4347">
      <c r="A4347" t="inlineStr">
        <is>
          <t>29/11/2025 6:43:17</t>
        </is>
      </c>
      <c r="B4347" t="inlineStr">
        <is>
          <t>Nguyễn Văn Hiệp</t>
        </is>
      </c>
      <c r="C4347" t="inlineStr">
        <is>
          <t>28/11/2025</t>
        </is>
      </c>
      <c r="D4347" t="n">
        <v>0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1</v>
      </c>
      <c r="R4347" t="n">
        <v>0</v>
      </c>
      <c r="S4347" t="n">
        <v/>
      </c>
      <c r="T4347" t="inlineStr">
        <is>
          <t>28</t>
        </is>
      </c>
      <c r="U4347" t="inlineStr">
        <is>
          <t>11</t>
        </is>
      </c>
      <c r="V4347" t="n">
        <v>2025</v>
      </c>
      <c r="W4347" t="n">
        <v/>
      </c>
    </row>
    <row r="4348">
      <c r="A4348" t="inlineStr">
        <is>
          <t>29/11/2025 6:45:01</t>
        </is>
      </c>
      <c r="B4348" t="inlineStr">
        <is>
          <t>Phan Thành Thái</t>
        </is>
      </c>
      <c r="C4348" t="inlineStr">
        <is>
          <t>28/11/2025</t>
        </is>
      </c>
      <c r="D4348" t="n">
        <v>1</v>
      </c>
      <c r="E4348" t="n">
        <v>3</v>
      </c>
      <c r="F4348" t="n">
        <v>0</v>
      </c>
      <c r="G4348" t="n">
        <v>0</v>
      </c>
      <c r="H4348" t="n">
        <v>0</v>
      </c>
      <c r="I4348" t="n">
        <v>2</v>
      </c>
      <c r="J4348" t="n">
        <v>0</v>
      </c>
      <c r="K4348" t="n">
        <v>6</v>
      </c>
      <c r="L4348" t="n">
        <v>0</v>
      </c>
      <c r="M4348" t="n">
        <v>2</v>
      </c>
      <c r="N4348" t="n">
        <v>1</v>
      </c>
      <c r="O4348" t="n">
        <v>0</v>
      </c>
      <c r="P4348" t="n">
        <v>0</v>
      </c>
      <c r="Q4348" t="n">
        <v>4</v>
      </c>
      <c r="R4348" t="n">
        <v>0</v>
      </c>
      <c r="S4348" t="n">
        <v/>
      </c>
      <c r="T4348" t="inlineStr">
        <is>
          <t>28</t>
        </is>
      </c>
      <c r="U4348" t="inlineStr">
        <is>
          <t>11</t>
        </is>
      </c>
      <c r="V4348" t="n">
        <v>2025</v>
      </c>
      <c r="W4348" t="n">
        <v/>
      </c>
    </row>
    <row r="4349">
      <c r="A4349" t="inlineStr">
        <is>
          <t>29/11/2025 7:08:57</t>
        </is>
      </c>
      <c r="B4349" t="inlineStr">
        <is>
          <t>Lương Duy Hoàng</t>
        </is>
      </c>
      <c r="C4349" t="inlineStr">
        <is>
          <t>28/11/2025</t>
        </is>
      </c>
      <c r="D4349" t="n">
        <v>0</v>
      </c>
      <c r="E4349" t="n">
        <v>0</v>
      </c>
      <c r="F4349" t="n">
        <v>2</v>
      </c>
      <c r="G4349" t="n">
        <v>1</v>
      </c>
      <c r="H4349" t="n">
        <v>0</v>
      </c>
      <c r="I4349" t="n">
        <v>3</v>
      </c>
      <c r="J4349" t="n">
        <v>0</v>
      </c>
      <c r="K4349" t="n">
        <v>3</v>
      </c>
      <c r="L4349" t="n">
        <v>0</v>
      </c>
      <c r="M4349" t="n">
        <v>0</v>
      </c>
      <c r="N4349" t="n">
        <v>2</v>
      </c>
      <c r="O4349" t="n">
        <v>0</v>
      </c>
      <c r="P4349" t="n">
        <v>0</v>
      </c>
      <c r="Q4349" t="n">
        <v>3</v>
      </c>
      <c r="R4349" t="n">
        <v>0</v>
      </c>
      <c r="S4349" t="n">
        <v/>
      </c>
      <c r="T4349" t="inlineStr">
        <is>
          <t>28</t>
        </is>
      </c>
      <c r="U4349" t="inlineStr">
        <is>
          <t>11</t>
        </is>
      </c>
      <c r="V4349" t="n">
        <v>2025</v>
      </c>
      <c r="W4349" t="n">
        <v/>
      </c>
    </row>
    <row r="4350">
      <c r="A4350" t="inlineStr">
        <is>
          <t>29/11/2025 7:13:51</t>
        </is>
      </c>
      <c r="B4350" t="inlineStr">
        <is>
          <t>Đặng Hoài Anh</t>
        </is>
      </c>
      <c r="C4350" t="inlineStr">
        <is>
          <t>28/11/2025</t>
        </is>
      </c>
      <c r="D4350" t="n">
        <v>1</v>
      </c>
      <c r="E4350" t="n">
        <v>1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2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/>
      </c>
      <c r="T4350" t="inlineStr">
        <is>
          <t>28</t>
        </is>
      </c>
      <c r="U4350" t="inlineStr">
        <is>
          <t>11</t>
        </is>
      </c>
      <c r="V4350" t="n">
        <v>2025</v>
      </c>
      <c r="W4350" t="n">
        <v/>
      </c>
    </row>
    <row r="4351">
      <c r="A4351" t="inlineStr">
        <is>
          <t>29/11/2025 7:32:45</t>
        </is>
      </c>
      <c r="B4351" t="inlineStr">
        <is>
          <t>Nguyễn Tuấn Anh</t>
        </is>
      </c>
      <c r="C4351" t="inlineStr">
        <is>
          <t>28/11/2025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9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6</v>
      </c>
      <c r="R4351" t="n">
        <v>0</v>
      </c>
      <c r="S4351" t="n">
        <v/>
      </c>
      <c r="T4351" t="inlineStr">
        <is>
          <t>28</t>
        </is>
      </c>
      <c r="U4351" t="inlineStr">
        <is>
          <t>11</t>
        </is>
      </c>
      <c r="V4351" t="n">
        <v>2025</v>
      </c>
      <c r="W4351" t="n">
        <v/>
      </c>
    </row>
    <row r="4352">
      <c r="A4352" t="inlineStr">
        <is>
          <t>29/11/2025 7:39:13</t>
        </is>
      </c>
      <c r="B4352" t="inlineStr">
        <is>
          <t>Dương Minh Tiến</t>
        </is>
      </c>
      <c r="C4352" t="inlineStr">
        <is>
          <t>28/11/2025</t>
        </is>
      </c>
      <c r="D4352" t="n">
        <v>2</v>
      </c>
      <c r="E4352" t="n">
        <v>2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7</v>
      </c>
      <c r="L4352" t="n">
        <v>0</v>
      </c>
      <c r="M4352" t="n">
        <v>2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/>
      </c>
      <c r="T4352" t="inlineStr">
        <is>
          <t>28</t>
        </is>
      </c>
      <c r="U4352" t="inlineStr">
        <is>
          <t>11</t>
        </is>
      </c>
      <c r="V4352" t="n">
        <v>2025</v>
      </c>
      <c r="W4352" t="n">
        <v/>
      </c>
    </row>
    <row r="4353">
      <c r="A4353" t="inlineStr">
        <is>
          <t>29/11/2025 7:46:20</t>
        </is>
      </c>
      <c r="B4353" t="inlineStr">
        <is>
          <t>Trần Trung Giang</t>
        </is>
      </c>
      <c r="C4353" t="inlineStr">
        <is>
          <t>28/11/2025</t>
        </is>
      </c>
      <c r="D4353" t="n">
        <v>0</v>
      </c>
      <c r="E4353" t="n">
        <v>0</v>
      </c>
      <c r="F4353" t="n">
        <v>0</v>
      </c>
      <c r="G4353" t="n">
        <v>1</v>
      </c>
      <c r="H4353" t="n">
        <v/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1</v>
      </c>
      <c r="R4353" t="n">
        <v>0</v>
      </c>
      <c r="S4353" t="n">
        <v/>
      </c>
      <c r="T4353" t="inlineStr">
        <is>
          <t>28</t>
        </is>
      </c>
      <c r="U4353" t="inlineStr">
        <is>
          <t>11</t>
        </is>
      </c>
      <c r="V4353" t="n">
        <v>2025</v>
      </c>
      <c r="W4353" t="n">
        <v/>
      </c>
    </row>
    <row r="4354">
      <c r="A4354" t="inlineStr">
        <is>
          <t>29/11/2025 7:49:51</t>
        </is>
      </c>
      <c r="B4354" t="inlineStr">
        <is>
          <t>Nguyễn Quang Anh Tuấn</t>
        </is>
      </c>
      <c r="C4354" t="inlineStr">
        <is>
          <t>28/11/2025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2</v>
      </c>
      <c r="J4354" t="n">
        <v>0</v>
      </c>
      <c r="K4354" t="n">
        <v>4</v>
      </c>
      <c r="L4354" t="n">
        <v>0</v>
      </c>
      <c r="M4354" t="n">
        <v>0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/>
      </c>
      <c r="T4354" t="inlineStr">
        <is>
          <t>28</t>
        </is>
      </c>
      <c r="U4354" t="inlineStr">
        <is>
          <t>11</t>
        </is>
      </c>
      <c r="V4354" t="n">
        <v>2025</v>
      </c>
      <c r="W4354" t="n">
        <v/>
      </c>
    </row>
    <row r="4355">
      <c r="A4355" t="inlineStr">
        <is>
          <t>29/11/2025 8:06:15</t>
        </is>
      </c>
      <c r="B4355" t="inlineStr">
        <is>
          <t>Huỳnh Văn Lực</t>
        </is>
      </c>
      <c r="C4355" t="inlineStr">
        <is>
          <t>28/11/2025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4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2</v>
      </c>
      <c r="R4355" t="n">
        <v>0</v>
      </c>
      <c r="S4355" t="n">
        <v/>
      </c>
      <c r="T4355" t="inlineStr">
        <is>
          <t>28</t>
        </is>
      </c>
      <c r="U4355" t="inlineStr">
        <is>
          <t>11</t>
        </is>
      </c>
      <c r="V4355" t="n">
        <v>2025</v>
      </c>
      <c r="W4355" t="n">
        <v/>
      </c>
    </row>
    <row r="4356">
      <c r="A4356" t="inlineStr">
        <is>
          <t>29/11/2025 8:11:08</t>
        </is>
      </c>
      <c r="B4356" t="inlineStr">
        <is>
          <t>Trần Xuân Khoa</t>
        </is>
      </c>
      <c r="C4356" t="inlineStr">
        <is>
          <t>28/11/2025</t>
        </is>
      </c>
      <c r="D4356" t="n">
        <v>0</v>
      </c>
      <c r="E4356" t="n">
        <v>0</v>
      </c>
      <c r="F4356" t="n">
        <v>0</v>
      </c>
      <c r="G4356" t="n">
        <v>2</v>
      </c>
      <c r="H4356" t="n">
        <v>0</v>
      </c>
      <c r="I4356" t="n">
        <v>0</v>
      </c>
      <c r="J4356" t="n">
        <v>0</v>
      </c>
      <c r="K4356" t="n">
        <v>8</v>
      </c>
      <c r="L4356" t="n">
        <v>0</v>
      </c>
      <c r="M4356" t="n">
        <v>0</v>
      </c>
      <c r="N4356" t="n">
        <v>2</v>
      </c>
      <c r="O4356" t="n">
        <v>0</v>
      </c>
      <c r="P4356" t="n">
        <v>0</v>
      </c>
      <c r="Q4356" t="n">
        <v>3</v>
      </c>
      <c r="R4356" t="n">
        <v>0</v>
      </c>
      <c r="S4356" t="n">
        <v/>
      </c>
      <c r="T4356" t="inlineStr">
        <is>
          <t>28</t>
        </is>
      </c>
      <c r="U4356" t="inlineStr">
        <is>
          <t>11</t>
        </is>
      </c>
      <c r="V4356" t="n">
        <v>2025</v>
      </c>
      <c r="W4356" t="n">
        <v/>
      </c>
    </row>
    <row r="4357">
      <c r="A4357" t="inlineStr">
        <is>
          <t>29/11/2025 12:02:51</t>
        </is>
      </c>
      <c r="B4357" t="inlineStr">
        <is>
          <t>Vòng Nhật Sang</t>
        </is>
      </c>
      <c r="C4357" t="inlineStr">
        <is>
          <t>28/11/2025</t>
        </is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7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2</v>
      </c>
      <c r="R4357" t="n">
        <v>0</v>
      </c>
      <c r="S4357" t="n">
        <v/>
      </c>
      <c r="T4357" t="inlineStr">
        <is>
          <t>28</t>
        </is>
      </c>
      <c r="U4357" t="inlineStr">
        <is>
          <t>11</t>
        </is>
      </c>
      <c r="V4357" t="n">
        <v>2025</v>
      </c>
      <c r="W4357" t="n">
        <v/>
      </c>
    </row>
    <row r="4358">
      <c r="A4358" t="inlineStr">
        <is>
          <t>30/11/2025 7:24:13</t>
        </is>
      </c>
      <c r="B4358" t="inlineStr">
        <is>
          <t>Đặng Hoài Anh</t>
        </is>
      </c>
      <c r="C4358" t="inlineStr">
        <is>
          <t>29/11/2025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7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/>
      </c>
      <c r="T4358" t="inlineStr">
        <is>
          <t>29</t>
        </is>
      </c>
      <c r="U4358" t="inlineStr">
        <is>
          <t>11</t>
        </is>
      </c>
      <c r="V4358" t="n">
        <v>2025</v>
      </c>
      <c r="W4358" t="n">
        <v/>
      </c>
    </row>
    <row r="4359">
      <c r="A4359" t="inlineStr">
        <is>
          <t>30/11/2025 7:26:03</t>
        </is>
      </c>
      <c r="B4359" t="inlineStr">
        <is>
          <t>Lương Duy Hoàng</t>
        </is>
      </c>
      <c r="C4359" t="inlineStr">
        <is>
          <t>29/11/2025</t>
        </is>
      </c>
      <c r="D4359" t="n">
        <v>0</v>
      </c>
      <c r="E4359" t="n">
        <v>0</v>
      </c>
      <c r="F4359" t="n">
        <v>0</v>
      </c>
      <c r="G4359" t="n">
        <v>2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3</v>
      </c>
      <c r="R4359" t="n">
        <v>0</v>
      </c>
      <c r="S4359" t="n">
        <v/>
      </c>
      <c r="T4359" t="inlineStr">
        <is>
          <t>29</t>
        </is>
      </c>
      <c r="U4359" t="inlineStr">
        <is>
          <t>11</t>
        </is>
      </c>
      <c r="V4359" t="n">
        <v>2025</v>
      </c>
      <c r="W4359" t="n">
        <v/>
      </c>
    </row>
    <row r="4360">
      <c r="A4360" t="inlineStr">
        <is>
          <t>30/11/2025 7:36:23</t>
        </is>
      </c>
      <c r="B4360" t="inlineStr">
        <is>
          <t>Trần Trung Giang</t>
        </is>
      </c>
      <c r="C4360" t="inlineStr">
        <is>
          <t>29/11/2025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4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/>
      </c>
      <c r="T4360" t="inlineStr">
        <is>
          <t>29</t>
        </is>
      </c>
      <c r="U4360" t="inlineStr">
        <is>
          <t>11</t>
        </is>
      </c>
      <c r="V4360" t="n">
        <v>2025</v>
      </c>
      <c r="W4360" t="n">
        <v/>
      </c>
    </row>
    <row r="4361">
      <c r="A4361" t="inlineStr">
        <is>
          <t>30/11/2025 7:38:12</t>
        </is>
      </c>
      <c r="B4361" t="inlineStr">
        <is>
          <t>Vòng Nhật Sang</t>
        </is>
      </c>
      <c r="C4361" t="inlineStr">
        <is>
          <t>29/11/2025</t>
        </is>
      </c>
      <c r="D4361" t="n">
        <v>0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0</v>
      </c>
      <c r="P4361" t="n">
        <v>4</v>
      </c>
      <c r="Q4361" t="n">
        <v>2</v>
      </c>
      <c r="R4361" t="n">
        <v>0</v>
      </c>
      <c r="S4361" t="n">
        <v/>
      </c>
      <c r="T4361" t="inlineStr">
        <is>
          <t>29</t>
        </is>
      </c>
      <c r="U4361" t="inlineStr">
        <is>
          <t>11</t>
        </is>
      </c>
      <c r="V4361" t="n">
        <v>2025</v>
      </c>
      <c r="W4361" t="n">
        <v/>
      </c>
    </row>
    <row r="4362">
      <c r="A4362" t="inlineStr">
        <is>
          <t>30/11/2025 7:38:55</t>
        </is>
      </c>
      <c r="B4362" t="inlineStr">
        <is>
          <t>Nguyễn Tuấn Anh</t>
        </is>
      </c>
      <c r="C4362" t="inlineStr">
        <is>
          <t>29/11/2025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5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6</v>
      </c>
      <c r="R4362" t="n">
        <v>0</v>
      </c>
      <c r="S4362" t="n">
        <v/>
      </c>
      <c r="T4362" t="inlineStr">
        <is>
          <t>29</t>
        </is>
      </c>
      <c r="U4362" t="inlineStr">
        <is>
          <t>11</t>
        </is>
      </c>
      <c r="V4362" t="n">
        <v>2025</v>
      </c>
      <c r="W4362" t="n">
        <v/>
      </c>
    </row>
    <row r="4363">
      <c r="A4363" t="inlineStr">
        <is>
          <t>30/11/2025 7:49:12</t>
        </is>
      </c>
      <c r="B4363" t="inlineStr">
        <is>
          <t>Huỳnh Văn Lực</t>
        </is>
      </c>
      <c r="C4363" t="inlineStr">
        <is>
          <t>29/11/2025</t>
        </is>
      </c>
      <c r="D4363" t="n">
        <v>1</v>
      </c>
      <c r="E4363" t="n">
        <v>1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2</v>
      </c>
      <c r="L4363" t="n">
        <v>0</v>
      </c>
      <c r="M4363" t="n">
        <v>1</v>
      </c>
      <c r="N4363" t="n">
        <v>2</v>
      </c>
      <c r="O4363" t="n">
        <v>0</v>
      </c>
      <c r="P4363" t="n">
        <v>1</v>
      </c>
      <c r="Q4363" t="n">
        <v>2</v>
      </c>
      <c r="R4363" t="n">
        <v>0</v>
      </c>
      <c r="S4363" t="n">
        <v/>
      </c>
      <c r="T4363" t="inlineStr">
        <is>
          <t>29</t>
        </is>
      </c>
      <c r="U4363" t="inlineStr">
        <is>
          <t>11</t>
        </is>
      </c>
      <c r="V4363" t="n">
        <v>2025</v>
      </c>
      <c r="W4363" t="n">
        <v/>
      </c>
    </row>
    <row r="4364">
      <c r="A4364" t="inlineStr">
        <is>
          <t>30/11/2025 8:21:31</t>
        </is>
      </c>
      <c r="B4364" t="inlineStr">
        <is>
          <t>Nguyễn Văn Hiệp</t>
        </is>
      </c>
      <c r="C4364" t="inlineStr">
        <is>
          <t>29/11/2025</t>
        </is>
      </c>
      <c r="D4364" t="n">
        <v>0</v>
      </c>
      <c r="E4364" t="n">
        <v>0</v>
      </c>
      <c r="F4364" t="n">
        <v>0</v>
      </c>
      <c r="G4364" t="n">
        <v>1</v>
      </c>
      <c r="H4364" t="n">
        <v>1</v>
      </c>
      <c r="I4364" t="n">
        <v>0</v>
      </c>
      <c r="J4364" t="n">
        <v>0</v>
      </c>
      <c r="K4364" t="n">
        <v>7</v>
      </c>
      <c r="L4364" t="n">
        <v>0</v>
      </c>
      <c r="M4364" t="n">
        <v>0</v>
      </c>
      <c r="N4364" t="n">
        <v>2</v>
      </c>
      <c r="O4364" t="n">
        <v>0</v>
      </c>
      <c r="P4364" t="n">
        <v>0</v>
      </c>
      <c r="Q4364" t="n">
        <v>1</v>
      </c>
      <c r="R4364" t="n">
        <v>0</v>
      </c>
      <c r="S4364" t="n">
        <v/>
      </c>
      <c r="T4364" t="inlineStr">
        <is>
          <t>29</t>
        </is>
      </c>
      <c r="U4364" t="inlineStr">
        <is>
          <t>11</t>
        </is>
      </c>
      <c r="V4364" t="n">
        <v>2025</v>
      </c>
      <c r="W4364" t="n">
        <v/>
      </c>
    </row>
    <row r="4365">
      <c r="A4365" t="inlineStr">
        <is>
          <t>30/11/2025 17:09:25</t>
        </is>
      </c>
      <c r="B4365" t="inlineStr">
        <is>
          <t>Dương Minh Tiến</t>
        </is>
      </c>
      <c r="C4365" t="inlineStr">
        <is>
          <t>29/11/2025</t>
        </is>
      </c>
      <c r="D4365" t="n">
        <v>0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5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/>
      </c>
      <c r="T4365" t="inlineStr">
        <is>
          <t>29</t>
        </is>
      </c>
      <c r="U4365" t="inlineStr">
        <is>
          <t>11</t>
        </is>
      </c>
      <c r="V4365" t="n">
        <v>2025</v>
      </c>
      <c r="W4365" t="n">
        <v/>
      </c>
    </row>
    <row r="4366">
      <c r="A4366" t="inlineStr">
        <is>
          <t>30/11/2025 19:56:01</t>
        </is>
      </c>
      <c r="B4366" t="inlineStr">
        <is>
          <t>Đặng Hữu Danh</t>
        </is>
      </c>
      <c r="C4366" t="inlineStr">
        <is>
          <t>30/11/2025</t>
        </is>
      </c>
      <c r="D4366" t="n">
        <v>0</v>
      </c>
      <c r="E4366" t="n">
        <v>2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8</v>
      </c>
      <c r="L4366" t="n">
        <v>0</v>
      </c>
      <c r="M4366" t="n">
        <v>2</v>
      </c>
      <c r="N4366" t="n">
        <v>0</v>
      </c>
      <c r="O4366" t="n">
        <v>0</v>
      </c>
      <c r="P4366" t="n">
        <v>1</v>
      </c>
      <c r="Q4366" t="n">
        <v>4</v>
      </c>
      <c r="R4366" t="n">
        <v>0</v>
      </c>
      <c r="S4366" t="n">
        <v/>
      </c>
      <c r="T4366" t="inlineStr">
        <is>
          <t>30</t>
        </is>
      </c>
      <c r="U4366" t="inlineStr">
        <is>
          <t>11</t>
        </is>
      </c>
      <c r="V4366" t="n">
        <v>2025</v>
      </c>
      <c r="W4366" t="n">
        <v/>
      </c>
    </row>
    <row r="4367">
      <c r="A4367" t="inlineStr">
        <is>
          <t>01/12/2025 6:51:34</t>
        </is>
      </c>
      <c r="B4367" t="inlineStr">
        <is>
          <t>Trần Trung Giang</t>
        </is>
      </c>
      <c r="C4367" t="inlineStr">
        <is>
          <t>30/11/2025</t>
        </is>
      </c>
      <c r="D4367" t="n">
        <v>0</v>
      </c>
      <c r="E4367" t="n">
        <v>0</v>
      </c>
      <c r="F4367" t="n">
        <v>0</v>
      </c>
      <c r="G4367" t="n">
        <v>3</v>
      </c>
      <c r="H4367" t="n">
        <v>2</v>
      </c>
      <c r="I4367" t="n">
        <v>1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/>
      </c>
      <c r="T4367" t="inlineStr">
        <is>
          <t>30</t>
        </is>
      </c>
      <c r="U4367" t="inlineStr">
        <is>
          <t>11</t>
        </is>
      </c>
      <c r="V4367" t="n">
        <v>2025</v>
      </c>
      <c r="W4367" t="n">
        <v/>
      </c>
    </row>
    <row r="4368">
      <c r="A4368" t="inlineStr">
        <is>
          <t>01/12/2025 7:14:18</t>
        </is>
      </c>
      <c r="B4368" t="inlineStr">
        <is>
          <t>Nguyễn Tuấn Anh</t>
        </is>
      </c>
      <c r="C4368" t="inlineStr">
        <is>
          <t>30/11/2025</t>
        </is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6</v>
      </c>
      <c r="L4368" t="n">
        <v>0</v>
      </c>
      <c r="M4368" t="n">
        <v>0</v>
      </c>
      <c r="N4368" t="n">
        <v>1</v>
      </c>
      <c r="O4368" t="n">
        <v>1</v>
      </c>
      <c r="P4368" t="n">
        <v>0</v>
      </c>
      <c r="Q4368" t="n">
        <v>5</v>
      </c>
      <c r="R4368" t="n">
        <v>0</v>
      </c>
      <c r="S4368" t="n">
        <v/>
      </c>
      <c r="T4368" t="inlineStr">
        <is>
          <t>30</t>
        </is>
      </c>
      <c r="U4368" t="inlineStr">
        <is>
          <t>11</t>
        </is>
      </c>
      <c r="V4368" t="n">
        <v>2025</v>
      </c>
      <c r="W4368" t="n">
        <v/>
      </c>
    </row>
    <row r="4369">
      <c r="A4369" t="inlineStr">
        <is>
          <t>01/12/2025 7:15:43</t>
        </is>
      </c>
      <c r="B4369" t="inlineStr">
        <is>
          <t>Nguyễn Quang Anh Tuấn</t>
        </is>
      </c>
      <c r="C4369" t="inlineStr">
        <is>
          <t>30/11/2025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4</v>
      </c>
      <c r="L4369" t="n">
        <v>0</v>
      </c>
      <c r="M4369" t="n">
        <v>0</v>
      </c>
      <c r="N4369" t="n">
        <v>0</v>
      </c>
      <c r="O4369" t="n">
        <v>0</v>
      </c>
      <c r="P4369" t="n">
        <v>3</v>
      </c>
      <c r="Q4369" t="n">
        <v>1</v>
      </c>
      <c r="R4369" t="n">
        <v>0</v>
      </c>
      <c r="S4369" t="n">
        <v/>
      </c>
      <c r="T4369" t="inlineStr">
        <is>
          <t>30</t>
        </is>
      </c>
      <c r="U4369" t="inlineStr">
        <is>
          <t>11</t>
        </is>
      </c>
      <c r="V4369" t="n">
        <v>2025</v>
      </c>
      <c r="W4369" t="n">
        <v/>
      </c>
    </row>
    <row r="4370">
      <c r="A4370" t="inlineStr">
        <is>
          <t>01/12/2025 7:34:21</t>
        </is>
      </c>
      <c r="B4370" t="inlineStr">
        <is>
          <t>Nguyễn Văn Hiệp</t>
        </is>
      </c>
      <c r="C4370" t="inlineStr">
        <is>
          <t>30/11/2025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2</v>
      </c>
      <c r="O4370" t="n">
        <v>0</v>
      </c>
      <c r="P4370" t="n">
        <v>0</v>
      </c>
      <c r="Q4370" t="n">
        <v>0</v>
      </c>
      <c r="R4370" t="n">
        <v>0</v>
      </c>
      <c r="S4370" t="n">
        <v/>
      </c>
      <c r="T4370" t="inlineStr">
        <is>
          <t>30</t>
        </is>
      </c>
      <c r="U4370" t="inlineStr">
        <is>
          <t>11</t>
        </is>
      </c>
      <c r="V4370" t="n">
        <v>2025</v>
      </c>
      <c r="W4370" t="n">
        <v/>
      </c>
    </row>
    <row r="4371">
      <c r="A4371" t="inlineStr">
        <is>
          <t>01/12/2025 7:41:44</t>
        </is>
      </c>
      <c r="B4371" t="inlineStr">
        <is>
          <t>Huỳnh Văn Lực</t>
        </is>
      </c>
      <c r="C4371" t="inlineStr">
        <is>
          <t>30/11/2025</t>
        </is>
      </c>
      <c r="D4371" t="n">
        <v>0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3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/>
      </c>
      <c r="T4371" t="inlineStr">
        <is>
          <t>30</t>
        </is>
      </c>
      <c r="U4371" t="inlineStr">
        <is>
          <t>11</t>
        </is>
      </c>
      <c r="V4371" t="n">
        <v>2025</v>
      </c>
      <c r="W4371" t="n">
        <v/>
      </c>
    </row>
    <row r="4372">
      <c r="A4372" t="inlineStr">
        <is>
          <t>01/12/2025 7:53:08</t>
        </is>
      </c>
      <c r="B4372" t="inlineStr">
        <is>
          <t>Dương Minh Tiến</t>
        </is>
      </c>
      <c r="C4372" t="inlineStr">
        <is>
          <t>30/11/2025</t>
        </is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2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/>
      </c>
      <c r="T4372" t="inlineStr">
        <is>
          <t>30</t>
        </is>
      </c>
      <c r="U4372" t="inlineStr">
        <is>
          <t>11</t>
        </is>
      </c>
      <c r="V4372" t="n">
        <v>2025</v>
      </c>
      <c r="W4372" t="n">
        <v/>
      </c>
    </row>
    <row r="4373">
      <c r="A4373" t="inlineStr">
        <is>
          <t>01/12/2025 8:06:21</t>
        </is>
      </c>
      <c r="B4373" t="inlineStr">
        <is>
          <t>Phan Ngọc Sang</t>
        </is>
      </c>
      <c r="C4373" t="inlineStr">
        <is>
          <t>29/11/2025</t>
        </is>
      </c>
      <c r="D4373" t="n">
        <v>0</v>
      </c>
      <c r="E4373" t="n">
        <v>2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4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2</v>
      </c>
      <c r="R4373" t="n">
        <v>0</v>
      </c>
      <c r="S4373" t="n">
        <v/>
      </c>
      <c r="T4373" t="inlineStr">
        <is>
          <t>29</t>
        </is>
      </c>
      <c r="U4373" t="inlineStr">
        <is>
          <t>11</t>
        </is>
      </c>
      <c r="V4373" t="n">
        <v>2025</v>
      </c>
      <c r="W4373" t="n">
        <v/>
      </c>
    </row>
    <row r="4374">
      <c r="A4374" t="inlineStr">
        <is>
          <t>01/12/2025 8:07:55</t>
        </is>
      </c>
      <c r="B4374" t="inlineStr">
        <is>
          <t>Phan Ngọc Sang</t>
        </is>
      </c>
      <c r="C4374" t="inlineStr">
        <is>
          <t>30/11/2025</t>
        </is>
      </c>
      <c r="D4374" t="n">
        <v>2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5</v>
      </c>
      <c r="L4374" t="n">
        <v>0</v>
      </c>
      <c r="M4374" t="n">
        <v>2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/>
      </c>
      <c r="T4374" t="inlineStr">
        <is>
          <t>30</t>
        </is>
      </c>
      <c r="U4374" t="inlineStr">
        <is>
          <t>11</t>
        </is>
      </c>
      <c r="V4374" t="n">
        <v>2025</v>
      </c>
      <c r="W4374" t="n">
        <v/>
      </c>
    </row>
    <row r="4375">
      <c r="A4375" t="inlineStr">
        <is>
          <t>01/12/2025 8:10:17</t>
        </is>
      </c>
      <c r="B4375" t="inlineStr">
        <is>
          <t>Vòng Nhật Sang</t>
        </is>
      </c>
      <c r="C4375" t="inlineStr">
        <is>
          <t>30/11/2025</t>
        </is>
      </c>
      <c r="D4375" t="n">
        <v>0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5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/>
      </c>
      <c r="T4375" t="inlineStr">
        <is>
          <t>30</t>
        </is>
      </c>
      <c r="U4375" t="inlineStr">
        <is>
          <t>11</t>
        </is>
      </c>
      <c r="V4375" t="n">
        <v>2025</v>
      </c>
      <c r="W4375" t="n">
        <v/>
      </c>
    </row>
    <row r="4376">
      <c r="A4376" t="inlineStr">
        <is>
          <t>01/12/2025 8:43:25</t>
        </is>
      </c>
      <c r="B4376" t="inlineStr">
        <is>
          <t>Đặng Hoài Anh</t>
        </is>
      </c>
      <c r="C4376" t="inlineStr">
        <is>
          <t>30/11/2025</t>
        </is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/>
      </c>
      <c r="T4376" t="inlineStr">
        <is>
          <t>30</t>
        </is>
      </c>
      <c r="U4376" t="inlineStr">
        <is>
          <t>11</t>
        </is>
      </c>
      <c r="V4376" t="n">
        <v>2025</v>
      </c>
      <c r="W4376" t="n">
        <v/>
      </c>
    </row>
    <row r="4377">
      <c r="A4377" t="inlineStr">
        <is>
          <t>01/12/2025 8:49:28</t>
        </is>
      </c>
      <c r="B4377" t="inlineStr">
        <is>
          <t>Phan Thành Thái</t>
        </is>
      </c>
      <c r="C4377" t="inlineStr">
        <is>
          <t>30/11/2025</t>
        </is>
      </c>
      <c r="D4377" t="n">
        <v>2</v>
      </c>
      <c r="E4377" t="n">
        <v>2</v>
      </c>
      <c r="F4377" t="n">
        <v>1</v>
      </c>
      <c r="G4377" t="n">
        <v>2</v>
      </c>
      <c r="H4377" t="n">
        <v>2</v>
      </c>
      <c r="I4377" t="n">
        <v>2</v>
      </c>
      <c r="J4377" t="n">
        <v>0</v>
      </c>
      <c r="K4377" t="n">
        <v>12</v>
      </c>
      <c r="L4377" t="n">
        <v>0</v>
      </c>
      <c r="M4377" t="n">
        <v>2</v>
      </c>
      <c r="N4377" t="n">
        <v>2</v>
      </c>
      <c r="O4377" t="n">
        <v>0</v>
      </c>
      <c r="P4377" t="n">
        <v>0</v>
      </c>
      <c r="Q4377" t="n">
        <v>4</v>
      </c>
      <c r="R4377" t="n">
        <v>0</v>
      </c>
      <c r="S4377" t="n">
        <v/>
      </c>
      <c r="T4377" t="inlineStr">
        <is>
          <t>30</t>
        </is>
      </c>
      <c r="U4377" t="inlineStr">
        <is>
          <t>11</t>
        </is>
      </c>
      <c r="V4377" t="n">
        <v>2025</v>
      </c>
      <c r="W4377" t="n">
        <v/>
      </c>
    </row>
    <row r="4378">
      <c r="A4378" t="inlineStr">
        <is>
          <t>01/12/2025 17:31:59</t>
        </is>
      </c>
      <c r="B4378" t="inlineStr">
        <is>
          <t>Trần Trung Giang</t>
        </is>
      </c>
      <c r="C4378" t="inlineStr">
        <is>
          <t>01/12/2025</t>
        </is>
      </c>
      <c r="D4378" t="n">
        <v>2</v>
      </c>
      <c r="E4378" t="n">
        <v>2</v>
      </c>
      <c r="F4378" t="n">
        <v>2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4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/>
      </c>
      <c r="T4378" t="inlineStr">
        <is>
          <t>1</t>
        </is>
      </c>
      <c r="U4378" t="inlineStr">
        <is>
          <t>12</t>
        </is>
      </c>
      <c r="V4378" t="n">
        <v>2025</v>
      </c>
      <c r="W4378" t="n">
        <v/>
      </c>
    </row>
    <row r="4379">
      <c r="A4379" t="inlineStr">
        <is>
          <t>01/12/2025 17:58:32</t>
        </is>
      </c>
      <c r="B4379" t="inlineStr">
        <is>
          <t>Nguyễn Văn Hiệp</t>
        </is>
      </c>
      <c r="C4379" t="inlineStr">
        <is>
          <t>01/12/2025</t>
        </is>
      </c>
      <c r="D4379" t="n">
        <v>0</v>
      </c>
      <c r="E4379" t="n">
        <v>0</v>
      </c>
      <c r="F4379" t="n">
        <v>0</v>
      </c>
      <c r="G4379" t="n">
        <v>2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4</v>
      </c>
      <c r="O4379" t="n">
        <v>1</v>
      </c>
      <c r="P4379" t="n">
        <v>0</v>
      </c>
      <c r="Q4379" t="n">
        <v>1</v>
      </c>
      <c r="R4379" t="n">
        <v>0</v>
      </c>
      <c r="S4379" t="n">
        <v/>
      </c>
      <c r="T4379" t="inlineStr">
        <is>
          <t>1</t>
        </is>
      </c>
      <c r="U4379" t="inlineStr">
        <is>
          <t>12</t>
        </is>
      </c>
      <c r="V4379" t="n">
        <v>2025</v>
      </c>
      <c r="W4379" t="n">
        <v/>
      </c>
    </row>
    <row r="4380">
      <c r="A4380" t="inlineStr">
        <is>
          <t>01/12/2025 18:55:26</t>
        </is>
      </c>
      <c r="B4380" t="inlineStr">
        <is>
          <t>Phan Ngọc Sang</t>
        </is>
      </c>
      <c r="C4380" t="inlineStr">
        <is>
          <t>01/12/2025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2</v>
      </c>
      <c r="N4380" t="n">
        <v>0</v>
      </c>
      <c r="O4380" t="n">
        <v>0</v>
      </c>
      <c r="P4380" t="n">
        <v>0</v>
      </c>
      <c r="Q4380" t="n">
        <v>4</v>
      </c>
      <c r="R4380" t="n">
        <v>0</v>
      </c>
      <c r="S4380" t="n">
        <v/>
      </c>
      <c r="T4380" t="inlineStr">
        <is>
          <t>1</t>
        </is>
      </c>
      <c r="U4380" t="inlineStr">
        <is>
          <t>12</t>
        </is>
      </c>
      <c r="V4380" t="n">
        <v>2025</v>
      </c>
      <c r="W4380" t="n">
        <v/>
      </c>
    </row>
    <row r="4381">
      <c r="A4381" t="inlineStr">
        <is>
          <t>01/12/2025 19:25:58</t>
        </is>
      </c>
      <c r="B4381" t="inlineStr">
        <is>
          <t>Nguyễn Văn Nhật</t>
        </is>
      </c>
      <c r="C4381" t="inlineStr">
        <is>
          <t>30/11/2025</t>
        </is>
      </c>
      <c r="D4381" t="n">
        <v>2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1</v>
      </c>
      <c r="K4381" t="n">
        <v>11</v>
      </c>
      <c r="L4381" t="n">
        <v>0</v>
      </c>
      <c r="M4381" t="n">
        <v>0</v>
      </c>
      <c r="N4381" t="n">
        <v>0</v>
      </c>
      <c r="O4381" t="n">
        <v>0</v>
      </c>
      <c r="P4381" t="n">
        <v>2</v>
      </c>
      <c r="Q4381" t="n">
        <v>2</v>
      </c>
      <c r="R4381" t="n">
        <v>0</v>
      </c>
      <c r="S4381" t="n">
        <v/>
      </c>
      <c r="T4381" t="inlineStr">
        <is>
          <t>30</t>
        </is>
      </c>
      <c r="U4381" t="inlineStr">
        <is>
          <t>11</t>
        </is>
      </c>
      <c r="V4381" t="n">
        <v>2025</v>
      </c>
      <c r="W4381" t="n">
        <v/>
      </c>
    </row>
    <row r="4382">
      <c r="A4382" t="inlineStr">
        <is>
          <t>01/12/2025 19:27:32</t>
        </is>
      </c>
      <c r="B4382" t="inlineStr">
        <is>
          <t>Nguyễn Văn Nhật</t>
        </is>
      </c>
      <c r="C4382" t="inlineStr">
        <is>
          <t>01/12/2025</t>
        </is>
      </c>
      <c r="D4382" t="n">
        <v>0</v>
      </c>
      <c r="E4382" t="n">
        <v>0</v>
      </c>
      <c r="F4382" t="n">
        <v>0</v>
      </c>
      <c r="G4382" t="n">
        <v>1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1</v>
      </c>
      <c r="Q4382" t="n">
        <v>2</v>
      </c>
      <c r="R4382" t="n">
        <v>0</v>
      </c>
      <c r="S4382" t="n">
        <v/>
      </c>
      <c r="T4382" t="inlineStr">
        <is>
          <t>1</t>
        </is>
      </c>
      <c r="U4382" t="inlineStr">
        <is>
          <t>12</t>
        </is>
      </c>
      <c r="V4382" t="n">
        <v>2025</v>
      </c>
      <c r="W4382" t="n">
        <v/>
      </c>
    </row>
    <row r="4383">
      <c r="A4383" t="inlineStr">
        <is>
          <t>01/12/2025 21:04:06</t>
        </is>
      </c>
      <c r="B4383" t="inlineStr">
        <is>
          <t>Đặng Hữu Danh</t>
        </is>
      </c>
      <c r="C4383" t="inlineStr">
        <is>
          <t>01/12/2025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2</v>
      </c>
      <c r="L4383" t="n">
        <v>0</v>
      </c>
      <c r="M4383" t="n">
        <v>0</v>
      </c>
      <c r="N4383" t="n">
        <v>0</v>
      </c>
      <c r="O4383" t="n">
        <v>0</v>
      </c>
      <c r="P4383" t="n">
        <v>1</v>
      </c>
      <c r="Q4383" t="n">
        <v>3</v>
      </c>
      <c r="R4383" t="n">
        <v>0</v>
      </c>
      <c r="S4383" t="n">
        <v/>
      </c>
      <c r="T4383" t="inlineStr">
        <is>
          <t>1</t>
        </is>
      </c>
      <c r="U4383" t="inlineStr">
        <is>
          <t>12</t>
        </is>
      </c>
      <c r="V4383" t="n">
        <v>2025</v>
      </c>
      <c r="W4383" t="n">
        <v/>
      </c>
    </row>
    <row r="4384">
      <c r="A4384" t="inlineStr">
        <is>
          <t>02/12/2025 7:05:22</t>
        </is>
      </c>
      <c r="B4384" t="inlineStr">
        <is>
          <t>Nguyễn Tuấn Anh</t>
        </is>
      </c>
      <c r="C4384" t="inlineStr">
        <is>
          <t>01/12/2025</t>
        </is>
      </c>
      <c r="D4384" t="n">
        <v>1</v>
      </c>
      <c r="E4384" t="n">
        <v>1</v>
      </c>
      <c r="F4384" t="n">
        <v>1</v>
      </c>
      <c r="G4384" t="n">
        <v>0</v>
      </c>
      <c r="H4384" t="n">
        <v>0</v>
      </c>
      <c r="I4384" t="n">
        <v>1</v>
      </c>
      <c r="J4384" t="n">
        <v>0</v>
      </c>
      <c r="K4384" t="n">
        <v>4</v>
      </c>
      <c r="L4384" t="n">
        <v>12</v>
      </c>
      <c r="M4384" t="n">
        <v>0</v>
      </c>
      <c r="N4384" t="n">
        <v>0</v>
      </c>
      <c r="O4384" t="n">
        <v>0</v>
      </c>
      <c r="P4384" t="n">
        <v>0</v>
      </c>
      <c r="Q4384" t="n">
        <v>2</v>
      </c>
      <c r="R4384" t="n">
        <v>0</v>
      </c>
      <c r="S4384" t="n">
        <v/>
      </c>
      <c r="T4384" t="inlineStr">
        <is>
          <t>1</t>
        </is>
      </c>
      <c r="U4384" t="inlineStr">
        <is>
          <t>12</t>
        </is>
      </c>
      <c r="V4384" t="n">
        <v>2025</v>
      </c>
      <c r="W4384" t="n">
        <v/>
      </c>
    </row>
    <row r="4385">
      <c r="A4385" t="inlineStr">
        <is>
          <t>02/12/2025 7:16:26</t>
        </is>
      </c>
      <c r="B4385" t="inlineStr">
        <is>
          <t>Nguyễn Quang Anh Tuấn</t>
        </is>
      </c>
      <c r="C4385" t="inlineStr">
        <is>
          <t>01/12/2025</t>
        </is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4</v>
      </c>
      <c r="L4385" t="n">
        <v>2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0</v>
      </c>
      <c r="S4385" t="n">
        <v/>
      </c>
      <c r="T4385" t="inlineStr">
        <is>
          <t>1</t>
        </is>
      </c>
      <c r="U4385" t="inlineStr">
        <is>
          <t>12</t>
        </is>
      </c>
      <c r="V4385" t="n">
        <v>2025</v>
      </c>
      <c r="W4385" t="n">
        <v/>
      </c>
    </row>
    <row r="4386">
      <c r="A4386" t="inlineStr">
        <is>
          <t>02/12/2025 7:19:54</t>
        </is>
      </c>
      <c r="B4386" t="inlineStr">
        <is>
          <t>Lê Quốc Duy</t>
        </is>
      </c>
      <c r="C4386" t="inlineStr">
        <is>
          <t>01/12/2025</t>
        </is>
      </c>
      <c r="D4386" t="n">
        <v>1</v>
      </c>
      <c r="E4386" t="n">
        <v>0</v>
      </c>
      <c r="F4386" t="n">
        <v>1</v>
      </c>
      <c r="G4386" t="n">
        <v>2</v>
      </c>
      <c r="H4386" t="n">
        <v>2</v>
      </c>
      <c r="I4386" t="n">
        <v>10</v>
      </c>
      <c r="J4386" t="n">
        <v>0</v>
      </c>
      <c r="K4386" t="n">
        <v>0</v>
      </c>
      <c r="L4386" t="n">
        <v>5</v>
      </c>
      <c r="M4386" t="n">
        <v>1</v>
      </c>
      <c r="N4386" t="n">
        <v>0</v>
      </c>
      <c r="O4386" t="n">
        <v>0</v>
      </c>
      <c r="P4386" t="n">
        <v>0</v>
      </c>
      <c r="Q4386" t="n">
        <v>2</v>
      </c>
      <c r="R4386" t="n">
        <v>0</v>
      </c>
      <c r="S4386" t="n">
        <v/>
      </c>
      <c r="T4386" t="inlineStr">
        <is>
          <t>1</t>
        </is>
      </c>
      <c r="U4386" t="inlineStr">
        <is>
          <t>12</t>
        </is>
      </c>
      <c r="V4386" t="n">
        <v>2025</v>
      </c>
      <c r="W4386" t="n">
        <v/>
      </c>
    </row>
    <row r="4387">
      <c r="A4387" t="inlineStr">
        <is>
          <t>02/12/2025 7:20:14</t>
        </is>
      </c>
      <c r="B4387" t="inlineStr">
        <is>
          <t>Đặng Hoài Anh</t>
        </is>
      </c>
      <c r="C4387" t="inlineStr">
        <is>
          <t>01/12/2025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/>
      </c>
      <c r="T4387" t="inlineStr">
        <is>
          <t>1</t>
        </is>
      </c>
      <c r="U4387" t="inlineStr">
        <is>
          <t>12</t>
        </is>
      </c>
      <c r="V4387" t="n">
        <v>2025</v>
      </c>
      <c r="W4387" t="n">
        <v/>
      </c>
    </row>
    <row r="4388">
      <c r="A4388" t="inlineStr">
        <is>
          <t>02/12/2025 7:21:25</t>
        </is>
      </c>
      <c r="B4388" t="inlineStr">
        <is>
          <t>Dương Minh Tiến</t>
        </is>
      </c>
      <c r="C4388" t="inlineStr">
        <is>
          <t>01/12/2025</t>
        </is>
      </c>
      <c r="D4388" t="n">
        <v>0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2</v>
      </c>
      <c r="L4388" t="n">
        <v>0</v>
      </c>
      <c r="M4388" t="n">
        <v>0</v>
      </c>
      <c r="N4388" t="n">
        <v>0</v>
      </c>
      <c r="O4388" t="n">
        <v>0</v>
      </c>
      <c r="P4388" t="n">
        <v>1</v>
      </c>
      <c r="Q4388" t="n">
        <v>1</v>
      </c>
      <c r="R4388" t="n">
        <v>1</v>
      </c>
      <c r="S4388" t="n">
        <v/>
      </c>
      <c r="T4388" t="inlineStr">
        <is>
          <t>1</t>
        </is>
      </c>
      <c r="U4388" t="inlineStr">
        <is>
          <t>12</t>
        </is>
      </c>
      <c r="V4388" t="n">
        <v>2025</v>
      </c>
      <c r="W4388" t="n">
        <v/>
      </c>
    </row>
    <row r="4389">
      <c r="A4389" t="inlineStr">
        <is>
          <t>02/12/2025 7:22:28</t>
        </is>
      </c>
      <c r="B4389" t="inlineStr">
        <is>
          <t>Vòng Nhật Sang</t>
        </is>
      </c>
      <c r="C4389" t="inlineStr">
        <is>
          <t>01/12/2025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5</v>
      </c>
      <c r="L4389" t="n">
        <v>2</v>
      </c>
      <c r="M4389" t="n">
        <v>0</v>
      </c>
      <c r="N4389" t="n">
        <v>0</v>
      </c>
      <c r="O4389" t="n">
        <v>0</v>
      </c>
      <c r="P4389" t="n">
        <v>0</v>
      </c>
      <c r="Q4389" t="n">
        <v>2</v>
      </c>
      <c r="R4389" t="n">
        <v>0</v>
      </c>
      <c r="S4389" t="n">
        <v/>
      </c>
      <c r="T4389" t="inlineStr">
        <is>
          <t>1</t>
        </is>
      </c>
      <c r="U4389" t="inlineStr">
        <is>
          <t>12</t>
        </is>
      </c>
      <c r="V4389" t="n">
        <v>2025</v>
      </c>
      <c r="W4389" t="n">
        <v/>
      </c>
    </row>
    <row r="4390">
      <c r="A4390" t="inlineStr">
        <is>
          <t>02/12/2025 7:22:56</t>
        </is>
      </c>
      <c r="B4390" t="inlineStr">
        <is>
          <t>Huỳnh Văn Lực</t>
        </is>
      </c>
      <c r="C4390" t="inlineStr">
        <is>
          <t>01/12/2025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2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1</v>
      </c>
      <c r="S4390" t="n">
        <v/>
      </c>
      <c r="T4390" t="inlineStr">
        <is>
          <t>1</t>
        </is>
      </c>
      <c r="U4390" t="inlineStr">
        <is>
          <t>12</t>
        </is>
      </c>
      <c r="V4390" t="n">
        <v>2025</v>
      </c>
      <c r="W4390" t="n">
        <v/>
      </c>
    </row>
    <row r="4391">
      <c r="A4391" t="inlineStr">
        <is>
          <t>02/12/2025 7:24:00</t>
        </is>
      </c>
      <c r="B4391" t="inlineStr">
        <is>
          <t>Hồ Xuân Việt</t>
        </is>
      </c>
      <c r="C4391" t="inlineStr">
        <is>
          <t>01/12/2025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2</v>
      </c>
      <c r="R4391" t="n">
        <v>0</v>
      </c>
      <c r="S4391" t="n">
        <v/>
      </c>
      <c r="T4391" t="inlineStr">
        <is>
          <t>1</t>
        </is>
      </c>
      <c r="U4391" t="inlineStr">
        <is>
          <t>12</t>
        </is>
      </c>
      <c r="V4391" t="n">
        <v>2025</v>
      </c>
      <c r="W4391" t="n">
        <v/>
      </c>
    </row>
    <row r="4392">
      <c r="A4392" t="inlineStr">
        <is>
          <t>02/12/2025 7:28:36</t>
        </is>
      </c>
      <c r="B4392" t="inlineStr">
        <is>
          <t>Phan Thành Thái</t>
        </is>
      </c>
      <c r="C4392" t="inlineStr">
        <is>
          <t>01/12/2025</t>
        </is>
      </c>
      <c r="D4392" t="n">
        <v>1</v>
      </c>
      <c r="E4392" t="n">
        <v>1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6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3</v>
      </c>
      <c r="R4392" t="n">
        <v>0</v>
      </c>
      <c r="S4392" t="n">
        <v/>
      </c>
      <c r="T4392" t="inlineStr">
        <is>
          <t>1</t>
        </is>
      </c>
      <c r="U4392" t="inlineStr">
        <is>
          <t>12</t>
        </is>
      </c>
      <c r="V4392" t="n">
        <v>2025</v>
      </c>
      <c r="W4392" t="n">
        <v/>
      </c>
    </row>
    <row r="4393">
      <c r="A4393" t="inlineStr">
        <is>
          <t>02/12/2025 7:29:14</t>
        </is>
      </c>
      <c r="B4393" t="inlineStr">
        <is>
          <t>Lương Duy Hoàng</t>
        </is>
      </c>
      <c r="C4393" t="inlineStr">
        <is>
          <t>01/12/2025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4</v>
      </c>
      <c r="M4393" t="n">
        <v>0</v>
      </c>
      <c r="N4393" t="n">
        <v>0</v>
      </c>
      <c r="O4393" t="n">
        <v>0</v>
      </c>
      <c r="P4393" t="n">
        <v>0</v>
      </c>
      <c r="Q4393" t="n">
        <v>3</v>
      </c>
      <c r="R4393" t="n">
        <v>0</v>
      </c>
      <c r="S4393" t="n">
        <v/>
      </c>
      <c r="T4393" t="inlineStr">
        <is>
          <t>1</t>
        </is>
      </c>
      <c r="U4393" t="inlineStr">
        <is>
          <t>12</t>
        </is>
      </c>
      <c r="V4393" t="n">
        <v>2025</v>
      </c>
      <c r="W4393" t="n">
        <v/>
      </c>
    </row>
    <row r="4394">
      <c r="A4394" t="inlineStr">
        <is>
          <t>02/12/2025 7:39:22</t>
        </is>
      </c>
      <c r="B4394" t="inlineStr">
        <is>
          <t>Lê Văn Hồng</t>
        </is>
      </c>
      <c r="C4394" t="inlineStr">
        <is>
          <t>01/12/2025</t>
        </is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1</v>
      </c>
      <c r="L4394" t="n">
        <v>1</v>
      </c>
      <c r="M4394" t="n">
        <v>0</v>
      </c>
      <c r="N4394" t="n">
        <v>0</v>
      </c>
      <c r="O4394" t="n">
        <v>0</v>
      </c>
      <c r="P4394" t="n">
        <v>2</v>
      </c>
      <c r="Q4394" t="n">
        <v>4</v>
      </c>
      <c r="R4394" t="n">
        <v>0</v>
      </c>
      <c r="S4394" t="n">
        <v/>
      </c>
      <c r="T4394" t="inlineStr">
        <is>
          <t>1</t>
        </is>
      </c>
      <c r="U4394" t="inlineStr">
        <is>
          <t>12</t>
        </is>
      </c>
      <c r="V4394" t="n">
        <v>2025</v>
      </c>
      <c r="W4394" t="n">
        <v/>
      </c>
    </row>
    <row r="4395">
      <c r="A4395" t="inlineStr">
        <is>
          <t>02/12/2025 7:45:26</t>
        </is>
      </c>
      <c r="B4395" t="inlineStr">
        <is>
          <t>Bùi Duy Cường</t>
        </is>
      </c>
      <c r="C4395" t="inlineStr">
        <is>
          <t>01/12/2025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10</v>
      </c>
      <c r="M4395" t="n">
        <v>2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/>
      </c>
      <c r="T4395" t="inlineStr">
        <is>
          <t>1</t>
        </is>
      </c>
      <c r="U4395" t="inlineStr">
        <is>
          <t>12</t>
        </is>
      </c>
      <c r="V4395" t="n">
        <v>2025</v>
      </c>
      <c r="W4395" t="n">
        <v/>
      </c>
    </row>
    <row r="4396">
      <c r="A4396" t="inlineStr">
        <is>
          <t>02/12/2025 7:47:00</t>
        </is>
      </c>
      <c r="B4396" t="inlineStr">
        <is>
          <t>Trần Minh Khánh</t>
        </is>
      </c>
      <c r="C4396" t="inlineStr">
        <is>
          <t>01/12/2025</t>
        </is>
      </c>
      <c r="D4396" t="n">
        <v>1</v>
      </c>
      <c r="E4396" t="n">
        <v>0</v>
      </c>
      <c r="F4396" t="n">
        <v>0</v>
      </c>
      <c r="G4396" t="n">
        <v>2</v>
      </c>
      <c r="H4396" t="n">
        <v>2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2</v>
      </c>
      <c r="R4396" t="n">
        <v>0</v>
      </c>
      <c r="S4396" t="n">
        <v/>
      </c>
      <c r="T4396" t="inlineStr">
        <is>
          <t>1</t>
        </is>
      </c>
      <c r="U4396" t="inlineStr">
        <is>
          <t>12</t>
        </is>
      </c>
      <c r="V4396" t="n">
        <v>2025</v>
      </c>
      <c r="W4396" t="n">
        <v/>
      </c>
    </row>
    <row r="4397">
      <c r="A4397" t="inlineStr">
        <is>
          <t>02/12/2025 8:39:03</t>
        </is>
      </c>
      <c r="B4397" t="inlineStr">
        <is>
          <t>Trần Xuân Khoa</t>
        </is>
      </c>
      <c r="C4397" t="inlineStr">
        <is>
          <t>01/12/2025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3</v>
      </c>
      <c r="L4397" t="n">
        <v>0</v>
      </c>
      <c r="M4397" t="n">
        <v>0</v>
      </c>
      <c r="N4397" t="n">
        <v>0</v>
      </c>
      <c r="O4397" t="n">
        <v>0</v>
      </c>
      <c r="P4397" t="n">
        <v>1</v>
      </c>
      <c r="Q4397" t="n">
        <v>4</v>
      </c>
      <c r="R4397" t="n">
        <v>2</v>
      </c>
      <c r="S4397" t="n">
        <v/>
      </c>
      <c r="T4397" t="inlineStr">
        <is>
          <t>1</t>
        </is>
      </c>
      <c r="U4397" t="inlineStr">
        <is>
          <t>12</t>
        </is>
      </c>
      <c r="V4397" t="n">
        <v>2025</v>
      </c>
      <c r="W4397" t="n">
        <v/>
      </c>
    </row>
    <row r="4398">
      <c r="A4398" t="inlineStr">
        <is>
          <t>02/12/2025 10:31:46</t>
        </is>
      </c>
      <c r="B4398" t="inlineStr">
        <is>
          <t>Nguyễn Hồng Minh</t>
        </is>
      </c>
      <c r="C4398" t="inlineStr">
        <is>
          <t>01/12/2025</t>
        </is>
      </c>
      <c r="D4398" t="n">
        <v>0</v>
      </c>
      <c r="E4398" t="n">
        <v>0</v>
      </c>
      <c r="F4398" t="n">
        <v>0</v>
      </c>
      <c r="G4398" t="n">
        <v>1</v>
      </c>
      <c r="H4398" t="n">
        <v>1</v>
      </c>
      <c r="I4398" t="n">
        <v>0</v>
      </c>
      <c r="J4398" t="n">
        <v>0</v>
      </c>
      <c r="K4398" t="n">
        <v>2</v>
      </c>
      <c r="L4398" t="n">
        <v>3</v>
      </c>
      <c r="M4398" t="n">
        <v>1</v>
      </c>
      <c r="N4398" t="n">
        <v>0</v>
      </c>
      <c r="O4398" t="n">
        <v>0</v>
      </c>
      <c r="P4398" t="n">
        <v>1</v>
      </c>
      <c r="Q4398" t="n">
        <v>5</v>
      </c>
      <c r="R4398" t="n">
        <v>0</v>
      </c>
      <c r="S4398" t="n">
        <v/>
      </c>
      <c r="T4398" t="inlineStr">
        <is>
          <t>1</t>
        </is>
      </c>
      <c r="U4398" t="inlineStr">
        <is>
          <t>12</t>
        </is>
      </c>
      <c r="V4398" t="n">
        <v>2025</v>
      </c>
      <c r="W4398" t="n">
        <v/>
      </c>
    </row>
    <row r="4399">
      <c r="A4399" t="inlineStr">
        <is>
          <t>02/12/2025 22:01:14</t>
        </is>
      </c>
      <c r="B4399" t="inlineStr">
        <is>
          <t>Đặng Hữu Danh</t>
        </is>
      </c>
      <c r="C4399" t="inlineStr">
        <is>
          <t>02/12/2025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0</v>
      </c>
      <c r="P4399" t="n">
        <v>1</v>
      </c>
      <c r="Q4399" t="n">
        <v>5</v>
      </c>
      <c r="R4399" t="n">
        <v>0</v>
      </c>
      <c r="S4399" t="n">
        <v/>
      </c>
      <c r="T4399" t="inlineStr">
        <is>
          <t>2</t>
        </is>
      </c>
      <c r="U4399" t="inlineStr">
        <is>
          <t>12</t>
        </is>
      </c>
      <c r="V4399" t="n">
        <v>2025</v>
      </c>
      <c r="W4399" t="n">
        <v/>
      </c>
    </row>
    <row r="4400">
      <c r="A4400" t="inlineStr">
        <is>
          <t>02/12/2025 22:16:43</t>
        </is>
      </c>
      <c r="B4400" t="inlineStr">
        <is>
          <t>Trần Minh Khánh</t>
        </is>
      </c>
      <c r="C4400" t="inlineStr">
        <is>
          <t>02/12/2025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0</v>
      </c>
      <c r="P4400" t="n">
        <v>2</v>
      </c>
      <c r="Q4400" t="n">
        <v>3</v>
      </c>
      <c r="R4400" t="n">
        <v>0</v>
      </c>
      <c r="S4400" t="n">
        <v/>
      </c>
      <c r="T4400" t="inlineStr">
        <is>
          <t>2</t>
        </is>
      </c>
      <c r="U4400" t="inlineStr">
        <is>
          <t>12</t>
        </is>
      </c>
      <c r="V4400" t="n">
        <v>2025</v>
      </c>
      <c r="W4400" t="n">
        <v/>
      </c>
    </row>
    <row r="4401">
      <c r="A4401" t="inlineStr">
        <is>
          <t>03/12/2025 6:23:07</t>
        </is>
      </c>
      <c r="B4401" t="inlineStr">
        <is>
          <t>Vòng Nhật Sang</t>
        </is>
      </c>
      <c r="C4401" t="inlineStr">
        <is>
          <t>02/12/2025</t>
        </is>
      </c>
      <c r="D4401" t="n">
        <v>1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2</v>
      </c>
      <c r="R4401" t="n">
        <v>0</v>
      </c>
      <c r="S4401" t="n">
        <v/>
      </c>
      <c r="T4401" t="inlineStr">
        <is>
          <t>2</t>
        </is>
      </c>
      <c r="U4401" t="inlineStr">
        <is>
          <t>12</t>
        </is>
      </c>
      <c r="V4401" t="n">
        <v>2025</v>
      </c>
      <c r="W4401" t="n">
        <v/>
      </c>
    </row>
    <row r="4402">
      <c r="A4402" t="inlineStr">
        <is>
          <t>03/12/2025 6:46:35</t>
        </is>
      </c>
      <c r="B4402" t="inlineStr">
        <is>
          <t>Nguyễn Văn Hiệp</t>
        </is>
      </c>
      <c r="C4402" t="inlineStr">
        <is>
          <t>02/12/2025</t>
        </is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2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/>
      </c>
      <c r="T4402" t="inlineStr">
        <is>
          <t>2</t>
        </is>
      </c>
      <c r="U4402" t="inlineStr">
        <is>
          <t>12</t>
        </is>
      </c>
      <c r="V4402" t="n">
        <v>2025</v>
      </c>
      <c r="W4402" t="n">
        <v/>
      </c>
    </row>
    <row r="4403">
      <c r="A4403" t="inlineStr">
        <is>
          <t>03/12/2025 6:47:40</t>
        </is>
      </c>
      <c r="B4403" t="inlineStr">
        <is>
          <t>Nguyễn Tuấn Anh</t>
        </is>
      </c>
      <c r="C4403" t="inlineStr">
        <is>
          <t>02/12/2025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2</v>
      </c>
      <c r="L4403" t="n">
        <v>2</v>
      </c>
      <c r="M4403" t="n">
        <v>0</v>
      </c>
      <c r="N4403" t="n">
        <v>0</v>
      </c>
      <c r="O4403" t="n">
        <v>0</v>
      </c>
      <c r="P4403" t="n">
        <v>2</v>
      </c>
      <c r="Q4403" t="n">
        <v>6</v>
      </c>
      <c r="R4403" t="n">
        <v>0</v>
      </c>
      <c r="S4403" t="n">
        <v/>
      </c>
      <c r="T4403" t="inlineStr">
        <is>
          <t>2</t>
        </is>
      </c>
      <c r="U4403" t="inlineStr">
        <is>
          <t>12</t>
        </is>
      </c>
      <c r="V4403" t="n">
        <v>2025</v>
      </c>
      <c r="W4403" t="n">
        <v/>
      </c>
    </row>
    <row r="4404">
      <c r="A4404" t="inlineStr">
        <is>
          <t>03/12/2025 6:58:03</t>
        </is>
      </c>
      <c r="B4404" t="inlineStr">
        <is>
          <t>Trần Trung Giang</t>
        </is>
      </c>
      <c r="C4404" t="inlineStr">
        <is>
          <t>02/12/2026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/>
      </c>
      <c r="T4404" t="inlineStr">
        <is>
          <t>2</t>
        </is>
      </c>
      <c r="U4404" t="inlineStr">
        <is>
          <t>12</t>
        </is>
      </c>
      <c r="V4404" t="n">
        <v>2025</v>
      </c>
      <c r="W4404" t="n">
        <v/>
      </c>
    </row>
    <row r="4405">
      <c r="A4405" t="inlineStr">
        <is>
          <t>03/12/2025 7:00:28</t>
        </is>
      </c>
      <c r="B4405" t="inlineStr">
        <is>
          <t>Phan Thành Thái</t>
        </is>
      </c>
      <c r="C4405" t="inlineStr">
        <is>
          <t>02/12/2025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6</v>
      </c>
      <c r="L4405" t="n">
        <v>0</v>
      </c>
      <c r="M4405" t="n">
        <v>1</v>
      </c>
      <c r="N4405" t="n">
        <v>0</v>
      </c>
      <c r="O4405" t="n">
        <v>0</v>
      </c>
      <c r="P4405" t="n">
        <v>2</v>
      </c>
      <c r="Q4405" t="n">
        <v>3</v>
      </c>
      <c r="R4405" t="n">
        <v>0</v>
      </c>
      <c r="S4405" t="n">
        <v/>
      </c>
      <c r="T4405" t="inlineStr">
        <is>
          <t>2</t>
        </is>
      </c>
      <c r="U4405" t="inlineStr">
        <is>
          <t>12</t>
        </is>
      </c>
      <c r="V4405" t="n">
        <v>2025</v>
      </c>
      <c r="W4405" t="n">
        <v/>
      </c>
    </row>
    <row r="4406">
      <c r="A4406" t="inlineStr">
        <is>
          <t>03/12/2025 7:02:32</t>
        </is>
      </c>
      <c r="B4406" t="inlineStr">
        <is>
          <t>Nguyễn Quang Anh Tuấn</t>
        </is>
      </c>
      <c r="C4406" t="inlineStr">
        <is>
          <t>02/12/2025</t>
        </is>
      </c>
      <c r="D4406" t="n">
        <v>0</v>
      </c>
      <c r="E4406" t="n">
        <v>0</v>
      </c>
      <c r="F4406" t="n">
        <v>0</v>
      </c>
      <c r="G4406" t="n">
        <v>2</v>
      </c>
      <c r="H4406" t="n">
        <v>0</v>
      </c>
      <c r="I4406" t="n">
        <v>0</v>
      </c>
      <c r="J4406" t="n">
        <v>0</v>
      </c>
      <c r="K4406" t="n">
        <v>0</v>
      </c>
      <c r="L4406" t="n">
        <v>4</v>
      </c>
      <c r="M4406" t="n">
        <v>0</v>
      </c>
      <c r="N4406" t="n">
        <v>2</v>
      </c>
      <c r="O4406" t="n">
        <v>0</v>
      </c>
      <c r="P4406" t="n">
        <v>0</v>
      </c>
      <c r="Q4406" t="n">
        <v>1</v>
      </c>
      <c r="R4406" t="n">
        <v>0</v>
      </c>
      <c r="S4406" t="n">
        <v/>
      </c>
      <c r="T4406" t="inlineStr">
        <is>
          <t>2</t>
        </is>
      </c>
      <c r="U4406" t="inlineStr">
        <is>
          <t>12</t>
        </is>
      </c>
      <c r="V4406" t="n">
        <v>2025</v>
      </c>
      <c r="W4406" t="n">
        <v/>
      </c>
    </row>
    <row r="4407">
      <c r="A4407" t="inlineStr">
        <is>
          <t>03/12/2025 7:09:56</t>
        </is>
      </c>
      <c r="B4407" t="inlineStr">
        <is>
          <t>Hồ Xuân Việt</t>
        </is>
      </c>
      <c r="C4407" t="inlineStr">
        <is>
          <t>02/12/2025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/>
      </c>
      <c r="T4407" t="inlineStr">
        <is>
          <t>2</t>
        </is>
      </c>
      <c r="U4407" t="inlineStr">
        <is>
          <t>12</t>
        </is>
      </c>
      <c r="V4407" t="n">
        <v>2025</v>
      </c>
      <c r="W4407" t="n">
        <v/>
      </c>
    </row>
    <row r="4408">
      <c r="A4408" t="inlineStr">
        <is>
          <t>03/12/2025 7:10:01</t>
        </is>
      </c>
      <c r="B4408" t="inlineStr">
        <is>
          <t>Huỳnh Văn Lực</t>
        </is>
      </c>
      <c r="C4408" t="inlineStr">
        <is>
          <t>02/12/2025</t>
        </is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0</v>
      </c>
      <c r="K4408" t="n">
        <v>2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/>
      </c>
      <c r="T4408" t="inlineStr">
        <is>
          <t>2</t>
        </is>
      </c>
      <c r="U4408" t="inlineStr">
        <is>
          <t>12</t>
        </is>
      </c>
      <c r="V4408" t="n">
        <v>2025</v>
      </c>
      <c r="W4408" t="n">
        <v/>
      </c>
    </row>
    <row r="4409">
      <c r="A4409" t="inlineStr">
        <is>
          <t>03/12/2025 7:15:43</t>
        </is>
      </c>
      <c r="B4409" t="inlineStr">
        <is>
          <t>Huỳnh Văn Lực</t>
        </is>
      </c>
      <c r="C4409" t="inlineStr">
        <is>
          <t>02/12/2025</t>
        </is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1</v>
      </c>
      <c r="J4409" t="n">
        <v>0</v>
      </c>
      <c r="K4409" t="n">
        <v>2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/>
      </c>
      <c r="T4409" t="inlineStr">
        <is>
          <t>2</t>
        </is>
      </c>
      <c r="U4409" t="inlineStr">
        <is>
          <t>12</t>
        </is>
      </c>
      <c r="V4409" t="n">
        <v>2025</v>
      </c>
      <c r="W4409" t="n">
        <v/>
      </c>
    </row>
    <row r="4410">
      <c r="A4410" t="inlineStr">
        <is>
          <t>03/12/2025 7:18:58</t>
        </is>
      </c>
      <c r="B4410" t="inlineStr">
        <is>
          <t>Đặng Hoài Anh</t>
        </is>
      </c>
      <c r="C4410" t="inlineStr">
        <is>
          <t>02/12/2025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4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/>
      </c>
      <c r="T4410" t="inlineStr">
        <is>
          <t>2</t>
        </is>
      </c>
      <c r="U4410" t="inlineStr">
        <is>
          <t>12</t>
        </is>
      </c>
      <c r="V4410" t="n">
        <v>2025</v>
      </c>
      <c r="W4410" t="n">
        <v/>
      </c>
    </row>
    <row r="4411">
      <c r="A4411" t="inlineStr">
        <is>
          <t>03/12/2025 7:21:12</t>
        </is>
      </c>
      <c r="B4411" t="inlineStr">
        <is>
          <t>Phan Ngọc Sang</t>
        </is>
      </c>
      <c r="C4411" t="inlineStr">
        <is>
          <t>01/12/2025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5</v>
      </c>
      <c r="M4411" t="n">
        <v>1</v>
      </c>
      <c r="N4411" t="n">
        <v>0</v>
      </c>
      <c r="O4411" t="n">
        <v>0</v>
      </c>
      <c r="P4411" t="n">
        <v>1</v>
      </c>
      <c r="Q4411" t="n">
        <v>2</v>
      </c>
      <c r="R4411" t="n">
        <v>0</v>
      </c>
      <c r="S4411" t="n">
        <v/>
      </c>
      <c r="T4411" t="inlineStr">
        <is>
          <t>1</t>
        </is>
      </c>
      <c r="U4411" t="inlineStr">
        <is>
          <t>12</t>
        </is>
      </c>
      <c r="V4411" t="n">
        <v>2025</v>
      </c>
      <c r="W4411" t="n">
        <v/>
      </c>
    </row>
    <row r="4412">
      <c r="A4412" t="inlineStr">
        <is>
          <t>03/12/2025 7:24:14</t>
        </is>
      </c>
      <c r="B4412" t="inlineStr">
        <is>
          <t>Dương Minh Tiến</t>
        </is>
      </c>
      <c r="C4412" t="inlineStr">
        <is>
          <t>02/12/2025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2</v>
      </c>
      <c r="L4412" t="n">
        <v>5</v>
      </c>
      <c r="M4412" t="n">
        <v>0</v>
      </c>
      <c r="N4412" t="n">
        <v>0</v>
      </c>
      <c r="O4412" t="n">
        <v>0</v>
      </c>
      <c r="P4412" t="n">
        <v>1</v>
      </c>
      <c r="Q4412" t="n">
        <v>1</v>
      </c>
      <c r="R4412" t="n">
        <v>0</v>
      </c>
      <c r="S4412" t="n">
        <v/>
      </c>
      <c r="T4412" t="inlineStr">
        <is>
          <t>2</t>
        </is>
      </c>
      <c r="U4412" t="inlineStr">
        <is>
          <t>12</t>
        </is>
      </c>
      <c r="V4412" t="n">
        <v>2025</v>
      </c>
      <c r="W4412" t="n">
        <v/>
      </c>
    </row>
    <row r="4413">
      <c r="A4413" t="inlineStr">
        <is>
          <t>03/12/2025 7:32:18</t>
        </is>
      </c>
      <c r="B4413" t="inlineStr">
        <is>
          <t>Trần Xuân Khoa</t>
        </is>
      </c>
      <c r="C4413" t="inlineStr">
        <is>
          <t>02/12/2025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2</v>
      </c>
      <c r="M4413" t="n">
        <v>0</v>
      </c>
      <c r="N4413" t="n">
        <v>0</v>
      </c>
      <c r="O4413" t="n">
        <v>0</v>
      </c>
      <c r="P4413" t="n">
        <v>1</v>
      </c>
      <c r="Q4413" t="n">
        <v>4</v>
      </c>
      <c r="R4413" t="n">
        <v>0</v>
      </c>
      <c r="S4413" t="n">
        <v/>
      </c>
      <c r="T4413" t="inlineStr">
        <is>
          <t>2</t>
        </is>
      </c>
      <c r="U4413" t="inlineStr">
        <is>
          <t>12</t>
        </is>
      </c>
      <c r="V4413" t="n">
        <v>2025</v>
      </c>
      <c r="W4413" t="n">
        <v/>
      </c>
    </row>
    <row r="4414">
      <c r="A4414" t="inlineStr">
        <is>
          <t>03/12/2025 8:00:56</t>
        </is>
      </c>
      <c r="B4414" t="inlineStr">
        <is>
          <t>Lê Văn Hồng</t>
        </is>
      </c>
      <c r="C4414" t="inlineStr">
        <is>
          <t>02/12/2025</t>
        </is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14</v>
      </c>
      <c r="L4414" t="n">
        <v>3</v>
      </c>
      <c r="M4414" t="n">
        <v>1</v>
      </c>
      <c r="N4414" t="n">
        <v>0</v>
      </c>
      <c r="O4414" t="n">
        <v>0</v>
      </c>
      <c r="P4414" t="n">
        <v>2</v>
      </c>
      <c r="Q4414" t="n">
        <v>3</v>
      </c>
      <c r="R4414" t="n">
        <v>0</v>
      </c>
      <c r="S4414" t="n">
        <v/>
      </c>
      <c r="T4414" t="inlineStr">
        <is>
          <t>2</t>
        </is>
      </c>
      <c r="U4414" t="inlineStr">
        <is>
          <t>12</t>
        </is>
      </c>
      <c r="V4414" t="n">
        <v>2025</v>
      </c>
      <c r="W4414" t="n">
        <v/>
      </c>
    </row>
    <row r="4415">
      <c r="A4415" t="inlineStr">
        <is>
          <t>03/12/2025 8:33:26</t>
        </is>
      </c>
      <c r="B4415" t="inlineStr">
        <is>
          <t>Bùi Duy Cường</t>
        </is>
      </c>
      <c r="C4415" t="inlineStr">
        <is>
          <t>02/12/2025</t>
        </is>
      </c>
      <c r="D4415" t="n">
        <v>0</v>
      </c>
      <c r="E4415" t="n">
        <v>0</v>
      </c>
      <c r="F4415" t="n">
        <v>0</v>
      </c>
      <c r="G4415" t="n">
        <v>1</v>
      </c>
      <c r="H4415" t="n">
        <v>1</v>
      </c>
      <c r="I4415" t="n">
        <v>1</v>
      </c>
      <c r="J4415" t="n">
        <v>1</v>
      </c>
      <c r="K4415" t="n">
        <v>10</v>
      </c>
      <c r="L4415" t="n">
        <v>2</v>
      </c>
      <c r="M4415" t="n">
        <v>0</v>
      </c>
      <c r="N4415" t="n">
        <v>0</v>
      </c>
      <c r="O4415" t="n">
        <v>0</v>
      </c>
      <c r="P4415" t="n">
        <v>0</v>
      </c>
      <c r="Q4415" t="n">
        <v>2</v>
      </c>
      <c r="R4415" t="n">
        <v>0</v>
      </c>
      <c r="S4415" t="n">
        <v/>
      </c>
      <c r="T4415" t="inlineStr">
        <is>
          <t>2</t>
        </is>
      </c>
      <c r="U4415" t="inlineStr">
        <is>
          <t>12</t>
        </is>
      </c>
      <c r="V4415" t="n">
        <v>2025</v>
      </c>
      <c r="W4415" t="n">
        <v/>
      </c>
    </row>
    <row r="4416">
      <c r="A4416" t="inlineStr">
        <is>
          <t>03/12/2025 8:46:59</t>
        </is>
      </c>
      <c r="B4416" t="inlineStr">
        <is>
          <t>Nguyễn Hồng Minh</t>
        </is>
      </c>
      <c r="C4416" t="inlineStr">
        <is>
          <t>02/12/2025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5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4</v>
      </c>
      <c r="R4416" t="n">
        <v>0</v>
      </c>
      <c r="S4416" t="n">
        <v/>
      </c>
      <c r="T4416" t="inlineStr">
        <is>
          <t>2</t>
        </is>
      </c>
      <c r="U4416" t="inlineStr">
        <is>
          <t>12</t>
        </is>
      </c>
      <c r="V4416" t="n">
        <v>2025</v>
      </c>
      <c r="W4416" t="n">
        <v/>
      </c>
    </row>
    <row r="4417">
      <c r="A4417" t="inlineStr">
        <is>
          <t>03/12/2025 11:55:48</t>
        </is>
      </c>
      <c r="B4417" t="inlineStr">
        <is>
          <t>Lương Duy Hoàng</t>
        </is>
      </c>
      <c r="C4417" t="inlineStr">
        <is>
          <t>02/12/2025</t>
        </is>
      </c>
      <c r="D4417" t="n">
        <v>1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3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/>
      </c>
      <c r="T4417" t="inlineStr">
        <is>
          <t>2</t>
        </is>
      </c>
      <c r="U4417" t="inlineStr">
        <is>
          <t>12</t>
        </is>
      </c>
      <c r="V4417" t="n">
        <v>2025</v>
      </c>
      <c r="W4417" t="n">
        <v/>
      </c>
    </row>
    <row r="4418">
      <c r="A4418" t="inlineStr">
        <is>
          <t>03/12/2025 11:59:13</t>
        </is>
      </c>
      <c r="B4418" t="inlineStr">
        <is>
          <t>Lương Duy Hải</t>
        </is>
      </c>
      <c r="C4418" t="inlineStr">
        <is>
          <t>02/12/2025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3</v>
      </c>
      <c r="L4418" t="n">
        <v>0</v>
      </c>
      <c r="M4418" t="n">
        <v>1</v>
      </c>
      <c r="N4418" t="n">
        <v>1</v>
      </c>
      <c r="O4418" t="n">
        <v>0</v>
      </c>
      <c r="P4418" t="n">
        <v>2</v>
      </c>
      <c r="Q4418" t="n">
        <v>3</v>
      </c>
      <c r="R4418" t="n">
        <v>0</v>
      </c>
      <c r="S4418" t="n">
        <v/>
      </c>
      <c r="T4418" t="inlineStr">
        <is>
          <t>2</t>
        </is>
      </c>
      <c r="U4418" t="inlineStr">
        <is>
          <t>12</t>
        </is>
      </c>
      <c r="V4418" t="n">
        <v>2025</v>
      </c>
      <c r="W4418" t="n">
        <v/>
      </c>
    </row>
    <row r="4419">
      <c r="A4419" t="inlineStr">
        <is>
          <t>03/12/2025 15:15:32</t>
        </is>
      </c>
      <c r="B4419" t="inlineStr">
        <is>
          <t>Nguyễn Văn Nhật</t>
        </is>
      </c>
      <c r="C4419" t="inlineStr">
        <is>
          <t>02/12/2025</t>
        </is>
      </c>
      <c r="D4419" t="n">
        <v>0</v>
      </c>
      <c r="E4419" t="n">
        <v>0</v>
      </c>
      <c r="F4419" t="n">
        <v>0</v>
      </c>
      <c r="G4419" t="n">
        <v>1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2</v>
      </c>
      <c r="O4419" t="n">
        <v>0</v>
      </c>
      <c r="P4419" t="n">
        <v>1</v>
      </c>
      <c r="Q4419" t="n">
        <v>3</v>
      </c>
      <c r="R4419" t="n">
        <v>0</v>
      </c>
      <c r="S4419" t="n">
        <v/>
      </c>
      <c r="T4419" t="inlineStr">
        <is>
          <t>2</t>
        </is>
      </c>
      <c r="U4419" t="inlineStr">
        <is>
          <t>12</t>
        </is>
      </c>
      <c r="V4419" t="n">
        <v>2025</v>
      </c>
      <c r="W4419" t="n">
        <v/>
      </c>
    </row>
    <row r="4420">
      <c r="A4420" t="inlineStr">
        <is>
          <t>03/12/2025 19:59:23</t>
        </is>
      </c>
      <c r="B4420" t="inlineStr">
        <is>
          <t>Đặng Hữu Danh</t>
        </is>
      </c>
      <c r="C4420" t="inlineStr">
        <is>
          <t>03/12/2025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2</v>
      </c>
      <c r="L4420" t="n">
        <v>2</v>
      </c>
      <c r="M4420" t="n">
        <v>0</v>
      </c>
      <c r="N4420" t="n">
        <v>0</v>
      </c>
      <c r="O4420" t="n">
        <v>0</v>
      </c>
      <c r="P4420" t="n">
        <v>1</v>
      </c>
      <c r="Q4420" t="n">
        <v>2</v>
      </c>
      <c r="R4420" t="n">
        <v>0</v>
      </c>
      <c r="S4420" t="n">
        <v/>
      </c>
      <c r="T4420" t="inlineStr">
        <is>
          <t>3</t>
        </is>
      </c>
      <c r="U4420" t="inlineStr">
        <is>
          <t>12</t>
        </is>
      </c>
      <c r="V4420" t="n">
        <v>2025</v>
      </c>
      <c r="W4420" t="n">
        <v/>
      </c>
    </row>
    <row r="4421">
      <c r="A4421" t="inlineStr">
        <is>
          <t>03/12/2025 20:22:36</t>
        </is>
      </c>
      <c r="B4421" t="inlineStr">
        <is>
          <t>Nguyễn Văn Nhật</t>
        </is>
      </c>
      <c r="C4421" t="inlineStr">
        <is>
          <t>03/12/2025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2</v>
      </c>
      <c r="L4421" t="n">
        <v>1</v>
      </c>
      <c r="M4421" t="n">
        <v>1</v>
      </c>
      <c r="N4421" t="n">
        <v>1</v>
      </c>
      <c r="O4421" t="n">
        <v>0</v>
      </c>
      <c r="P4421" t="n">
        <v>1</v>
      </c>
      <c r="Q4421" t="n">
        <v>5</v>
      </c>
      <c r="R4421" t="n">
        <v>0</v>
      </c>
      <c r="S4421" t="n">
        <v/>
      </c>
      <c r="T4421" t="inlineStr">
        <is>
          <t>3</t>
        </is>
      </c>
      <c r="U4421" t="inlineStr">
        <is>
          <t>12</t>
        </is>
      </c>
      <c r="V4421" t="n">
        <v>2025</v>
      </c>
      <c r="W4421" t="n">
        <v/>
      </c>
    </row>
    <row r="4422">
      <c r="A4422" t="inlineStr">
        <is>
          <t>04/12/2025 6:44:10</t>
        </is>
      </c>
      <c r="B4422" t="inlineStr">
        <is>
          <t>Lương Duy Hải</t>
        </is>
      </c>
      <c r="C4422" t="inlineStr">
        <is>
          <t>03/12/2025</t>
        </is>
      </c>
      <c r="D4422" t="n">
        <v>0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5</v>
      </c>
      <c r="L4422" t="n">
        <v>7</v>
      </c>
      <c r="M4422" t="n">
        <v>1</v>
      </c>
      <c r="N4422" t="n">
        <v>1</v>
      </c>
      <c r="O4422" t="n">
        <v>0</v>
      </c>
      <c r="P4422" t="n">
        <v>1</v>
      </c>
      <c r="Q4422" t="n">
        <v>2</v>
      </c>
      <c r="R4422" t="n">
        <v>0</v>
      </c>
      <c r="S4422" t="n">
        <v/>
      </c>
      <c r="T4422" t="inlineStr">
        <is>
          <t>3</t>
        </is>
      </c>
      <c r="U4422" t="inlineStr">
        <is>
          <t>12</t>
        </is>
      </c>
      <c r="V4422" t="n">
        <v>2025</v>
      </c>
      <c r="W4422" t="n">
        <v/>
      </c>
    </row>
    <row r="4423">
      <c r="A4423" t="inlineStr">
        <is>
          <t>04/12/2025 6:51:12</t>
        </is>
      </c>
      <c r="B4423" t="inlineStr">
        <is>
          <t>Huỳnh Văn Lực</t>
        </is>
      </c>
      <c r="C4423" t="inlineStr">
        <is>
          <t>03/12/2025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2</v>
      </c>
      <c r="J4423" t="n">
        <v>0</v>
      </c>
      <c r="K4423" t="n">
        <v>2</v>
      </c>
      <c r="L4423" t="n">
        <v>0</v>
      </c>
      <c r="M4423" t="n">
        <v>0</v>
      </c>
      <c r="N4423" t="n">
        <v>2</v>
      </c>
      <c r="O4423" t="n">
        <v>0</v>
      </c>
      <c r="P4423" t="n">
        <v>0</v>
      </c>
      <c r="Q4423" t="n">
        <v>3</v>
      </c>
      <c r="R4423" t="n">
        <v>0</v>
      </c>
      <c r="S4423" t="n">
        <v/>
      </c>
      <c r="T4423" t="inlineStr">
        <is>
          <t>3</t>
        </is>
      </c>
      <c r="U4423" t="inlineStr">
        <is>
          <t>12</t>
        </is>
      </c>
      <c r="V4423" t="n">
        <v>2025</v>
      </c>
      <c r="W4423" t="n">
        <v/>
      </c>
    </row>
    <row r="4424">
      <c r="A4424" t="inlineStr">
        <is>
          <t>04/12/2025 7:00:12</t>
        </is>
      </c>
      <c r="B4424" t="inlineStr">
        <is>
          <t>Vòng Nhật Sang</t>
        </is>
      </c>
      <c r="C4424" t="inlineStr">
        <is>
          <t>03/12/2025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3</v>
      </c>
      <c r="L4424" t="n">
        <v>2</v>
      </c>
      <c r="M4424" t="n">
        <v>0</v>
      </c>
      <c r="N4424" t="n">
        <v>0</v>
      </c>
      <c r="O4424" t="n">
        <v>0</v>
      </c>
      <c r="P4424" t="n">
        <v>1</v>
      </c>
      <c r="Q4424" t="n">
        <v>2</v>
      </c>
      <c r="R4424" t="n">
        <v>0</v>
      </c>
      <c r="S4424" t="n">
        <v/>
      </c>
      <c r="T4424" t="inlineStr">
        <is>
          <t>3</t>
        </is>
      </c>
      <c r="U4424" t="inlineStr">
        <is>
          <t>12</t>
        </is>
      </c>
      <c r="V4424" t="n">
        <v>2025</v>
      </c>
      <c r="W4424" t="n">
        <v/>
      </c>
    </row>
    <row r="4425">
      <c r="A4425" t="inlineStr">
        <is>
          <t>04/12/2025 7:19:35</t>
        </is>
      </c>
      <c r="B4425" t="inlineStr">
        <is>
          <t>Hồ Xuân Việt</t>
        </is>
      </c>
      <c r="C4425" t="inlineStr">
        <is>
          <t>03/12/2025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0</v>
      </c>
      <c r="P4425" t="n">
        <v>0</v>
      </c>
      <c r="Q4425" t="n">
        <v>3</v>
      </c>
      <c r="R4425" t="n">
        <v>0</v>
      </c>
      <c r="S4425" t="n">
        <v/>
      </c>
      <c r="T4425" t="inlineStr">
        <is>
          <t>3</t>
        </is>
      </c>
      <c r="U4425" t="inlineStr">
        <is>
          <t>12</t>
        </is>
      </c>
      <c r="V4425" t="n">
        <v>2025</v>
      </c>
      <c r="W4425" t="n">
        <v/>
      </c>
    </row>
    <row r="4426">
      <c r="A4426" t="inlineStr">
        <is>
          <t>04/12/2025 7:21:57</t>
        </is>
      </c>
      <c r="B4426" t="inlineStr">
        <is>
          <t>Trần Xuân Khoa</t>
        </is>
      </c>
      <c r="C4426" t="inlineStr">
        <is>
          <t>03/12/2025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5</v>
      </c>
      <c r="L4426" t="n">
        <v>1</v>
      </c>
      <c r="M4426" t="n">
        <v>0</v>
      </c>
      <c r="N4426" t="n">
        <v>0</v>
      </c>
      <c r="O4426" t="n">
        <v>0</v>
      </c>
      <c r="P4426" t="n">
        <v>0</v>
      </c>
      <c r="Q4426" t="n">
        <v>3</v>
      </c>
      <c r="R4426" t="n">
        <v>0</v>
      </c>
      <c r="S4426" t="n">
        <v/>
      </c>
      <c r="T4426" t="inlineStr">
        <is>
          <t>3</t>
        </is>
      </c>
      <c r="U4426" t="inlineStr">
        <is>
          <t>12</t>
        </is>
      </c>
      <c r="V4426" t="n">
        <v>2025</v>
      </c>
      <c r="W4426" t="n">
        <v/>
      </c>
    </row>
    <row r="4427">
      <c r="A4427" t="inlineStr">
        <is>
          <t>04/12/2025 7:27:04</t>
        </is>
      </c>
      <c r="B4427" t="inlineStr">
        <is>
          <t>Đặng Hoài Anh</t>
        </is>
      </c>
      <c r="C4427" t="inlineStr">
        <is>
          <t>03/12/2025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/>
      </c>
      <c r="T4427" t="inlineStr">
        <is>
          <t>3</t>
        </is>
      </c>
      <c r="U4427" t="inlineStr">
        <is>
          <t>12</t>
        </is>
      </c>
      <c r="V4427" t="n">
        <v>2025</v>
      </c>
      <c r="W4427" t="n">
        <v/>
      </c>
    </row>
    <row r="4428">
      <c r="A4428" t="inlineStr">
        <is>
          <t>04/12/2025 7:27:17</t>
        </is>
      </c>
      <c r="B4428" t="inlineStr">
        <is>
          <t>Dương Minh Tiến</t>
        </is>
      </c>
      <c r="C4428" t="inlineStr">
        <is>
          <t>03/12/2025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2</v>
      </c>
      <c r="L4428" t="n">
        <v>3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/>
      </c>
      <c r="T4428" t="inlineStr">
        <is>
          <t>3</t>
        </is>
      </c>
      <c r="U4428" t="inlineStr">
        <is>
          <t>12</t>
        </is>
      </c>
      <c r="V4428" t="n">
        <v>2025</v>
      </c>
      <c r="W4428" t="n">
        <v/>
      </c>
    </row>
    <row r="4429">
      <c r="A4429" t="inlineStr">
        <is>
          <t>04/12/2025 7:32:03</t>
        </is>
      </c>
      <c r="B4429" t="inlineStr">
        <is>
          <t>Trần Trung Giang</t>
        </is>
      </c>
      <c r="C4429" t="inlineStr">
        <is>
          <t>03/12/2025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/>
      </c>
      <c r="T4429" t="inlineStr">
        <is>
          <t>3</t>
        </is>
      </c>
      <c r="U4429" t="inlineStr">
        <is>
          <t>12</t>
        </is>
      </c>
      <c r="V4429" t="n">
        <v>2025</v>
      </c>
      <c r="W4429" t="n">
        <v/>
      </c>
    </row>
    <row r="4430">
      <c r="A4430" t="inlineStr">
        <is>
          <t>04/12/2025 7:32:55</t>
        </is>
      </c>
      <c r="B4430" t="inlineStr">
        <is>
          <t>Nguyễn Tuấn Anh</t>
        </is>
      </c>
      <c r="C4430" t="inlineStr">
        <is>
          <t>03/12/2025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3</v>
      </c>
      <c r="L4430" t="n">
        <v>4</v>
      </c>
      <c r="M4430" t="n">
        <v>0</v>
      </c>
      <c r="N4430" t="n">
        <v>0</v>
      </c>
      <c r="O4430" t="n">
        <v>0</v>
      </c>
      <c r="P4430" t="n">
        <v>0</v>
      </c>
      <c r="Q4430" t="n">
        <v>24</v>
      </c>
      <c r="R4430" t="n">
        <v>0</v>
      </c>
      <c r="S4430" t="n">
        <v/>
      </c>
      <c r="T4430" t="inlineStr">
        <is>
          <t>3</t>
        </is>
      </c>
      <c r="U4430" t="inlineStr">
        <is>
          <t>12</t>
        </is>
      </c>
      <c r="V4430" t="n">
        <v>2025</v>
      </c>
      <c r="W4430" t="n">
        <v/>
      </c>
    </row>
    <row r="4431">
      <c r="A4431" t="inlineStr">
        <is>
          <t>04/12/2025 7:33:19</t>
        </is>
      </c>
      <c r="B4431" t="inlineStr">
        <is>
          <t>Đào Công Trung</t>
        </is>
      </c>
      <c r="C4431" t="inlineStr">
        <is>
          <t>03/12/2025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7</v>
      </c>
      <c r="L4431" t="n">
        <v>1</v>
      </c>
      <c r="M4431" t="n">
        <v>0</v>
      </c>
      <c r="N4431" t="n">
        <v>0</v>
      </c>
      <c r="O4431" t="n">
        <v>0</v>
      </c>
      <c r="P4431" t="n">
        <v>0</v>
      </c>
      <c r="Q4431" t="n">
        <v>8</v>
      </c>
      <c r="R4431" t="n">
        <v>0</v>
      </c>
      <c r="S4431" t="n">
        <v/>
      </c>
      <c r="T4431" t="inlineStr">
        <is>
          <t>3</t>
        </is>
      </c>
      <c r="U4431" t="inlineStr">
        <is>
          <t>12</t>
        </is>
      </c>
      <c r="V4431" t="n">
        <v>2025</v>
      </c>
      <c r="W4431" t="n">
        <v/>
      </c>
    </row>
    <row r="4432">
      <c r="A4432" t="inlineStr">
        <is>
          <t>04/12/2025 7:43:29</t>
        </is>
      </c>
      <c r="B4432" t="inlineStr">
        <is>
          <t>Nguyễn Văn Hiệp</t>
        </is>
      </c>
      <c r="C4432" t="inlineStr">
        <is>
          <t>03/12/2025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1</v>
      </c>
      <c r="Q4432" t="n">
        <v>2</v>
      </c>
      <c r="R4432" t="n">
        <v>0</v>
      </c>
      <c r="S4432" t="n">
        <v/>
      </c>
      <c r="T4432" t="inlineStr">
        <is>
          <t>3</t>
        </is>
      </c>
      <c r="U4432" t="inlineStr">
        <is>
          <t>12</t>
        </is>
      </c>
      <c r="V4432" t="n">
        <v>2025</v>
      </c>
      <c r="W4432" t="n">
        <v/>
      </c>
    </row>
    <row r="4433">
      <c r="A4433" t="inlineStr">
        <is>
          <t>04/12/2025 7:44:04</t>
        </is>
      </c>
      <c r="B4433" t="inlineStr">
        <is>
          <t>Phan Ngọc Sang</t>
        </is>
      </c>
      <c r="C4433" t="inlineStr">
        <is>
          <t>03/12/2025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3</v>
      </c>
      <c r="L4433" t="n">
        <v>2</v>
      </c>
      <c r="M4433" t="n">
        <v>1</v>
      </c>
      <c r="N4433" t="n">
        <v>0</v>
      </c>
      <c r="O4433" t="n">
        <v>0</v>
      </c>
      <c r="P4433" t="n">
        <v>1</v>
      </c>
      <c r="Q4433" t="n">
        <v>2</v>
      </c>
      <c r="R4433" t="n">
        <v>0</v>
      </c>
      <c r="S4433" t="n">
        <v/>
      </c>
      <c r="T4433" t="inlineStr">
        <is>
          <t>3</t>
        </is>
      </c>
      <c r="U4433" t="inlineStr">
        <is>
          <t>12</t>
        </is>
      </c>
      <c r="V4433" t="n">
        <v>2025</v>
      </c>
      <c r="W4433" t="n">
        <v/>
      </c>
    </row>
    <row r="4434">
      <c r="A4434" t="inlineStr">
        <is>
          <t>04/12/2025 7:51:55</t>
        </is>
      </c>
      <c r="B4434" t="inlineStr">
        <is>
          <t>Nguyễn Quang Anh Tuấn</t>
        </is>
      </c>
      <c r="C4434" t="inlineStr">
        <is>
          <t>03/12/2025</t>
        </is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0</v>
      </c>
      <c r="J4434" t="n">
        <v>0</v>
      </c>
      <c r="K4434" t="n">
        <v>3</v>
      </c>
      <c r="L4434" t="n">
        <v>4</v>
      </c>
      <c r="M4434" t="n">
        <v>0</v>
      </c>
      <c r="N4434" t="n">
        <v>0</v>
      </c>
      <c r="O4434" t="n">
        <v>0</v>
      </c>
      <c r="P4434" t="n">
        <v>0</v>
      </c>
      <c r="Q4434" t="n">
        <v>2</v>
      </c>
      <c r="R4434" t="n">
        <v>0</v>
      </c>
      <c r="S4434" t="n">
        <v/>
      </c>
      <c r="T4434" t="inlineStr">
        <is>
          <t>3</t>
        </is>
      </c>
      <c r="U4434" t="inlineStr">
        <is>
          <t>12</t>
        </is>
      </c>
      <c r="V4434" t="n">
        <v>2025</v>
      </c>
      <c r="W4434" t="n">
        <v/>
      </c>
    </row>
    <row r="4435">
      <c r="A4435" t="inlineStr">
        <is>
          <t>04/12/2025 8:18:45</t>
        </is>
      </c>
      <c r="B4435" t="inlineStr">
        <is>
          <t>Bùi Duy Cường</t>
        </is>
      </c>
      <c r="C4435" t="inlineStr">
        <is>
          <t>03/12/2025</t>
        </is>
      </c>
      <c r="D4435" t="n">
        <v>0</v>
      </c>
      <c r="E4435" t="n">
        <v>0</v>
      </c>
      <c r="F4435" t="n">
        <v>0</v>
      </c>
      <c r="G4435" t="n">
        <v>2</v>
      </c>
      <c r="H4435" t="n">
        <v>2</v>
      </c>
      <c r="I4435" t="n">
        <v>2</v>
      </c>
      <c r="J4435" t="n">
        <v>1</v>
      </c>
      <c r="K4435" t="n">
        <v>4</v>
      </c>
      <c r="L4435" t="n">
        <v>2</v>
      </c>
      <c r="M4435" t="n">
        <v>0</v>
      </c>
      <c r="N4435" t="n">
        <v>0</v>
      </c>
      <c r="O4435" t="n">
        <v>0</v>
      </c>
      <c r="P4435" t="n">
        <v>0</v>
      </c>
      <c r="Q4435" t="n">
        <v>3</v>
      </c>
      <c r="R4435" t="n">
        <v>0</v>
      </c>
      <c r="S4435" t="n">
        <v/>
      </c>
      <c r="T4435" t="inlineStr">
        <is>
          <t>3</t>
        </is>
      </c>
      <c r="U4435" t="inlineStr">
        <is>
          <t>12</t>
        </is>
      </c>
      <c r="V4435" t="n">
        <v>2025</v>
      </c>
      <c r="W4435" t="n">
        <v/>
      </c>
    </row>
    <row r="4436">
      <c r="A4436" t="inlineStr">
        <is>
          <t>04/12/2025 8:27:43</t>
        </is>
      </c>
      <c r="B4436" t="inlineStr">
        <is>
          <t>Lương Duy Hoàng</t>
        </is>
      </c>
      <c r="C4436" t="inlineStr">
        <is>
          <t>03/12/2025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2</v>
      </c>
      <c r="J4436" t="n">
        <v>0</v>
      </c>
      <c r="K4436" t="n">
        <v>2</v>
      </c>
      <c r="L4436" t="n">
        <v>0</v>
      </c>
      <c r="M4436" t="n">
        <v>0</v>
      </c>
      <c r="N4436" t="n">
        <v>0</v>
      </c>
      <c r="O4436" t="n">
        <v>0</v>
      </c>
      <c r="P4436" t="n">
        <v>1</v>
      </c>
      <c r="Q4436" t="n">
        <v>1</v>
      </c>
      <c r="R4436" t="n">
        <v>0</v>
      </c>
      <c r="S4436" t="n">
        <v/>
      </c>
      <c r="T4436" t="inlineStr">
        <is>
          <t>3</t>
        </is>
      </c>
      <c r="U4436" t="inlineStr">
        <is>
          <t>12</t>
        </is>
      </c>
      <c r="V4436" t="n">
        <v>2025</v>
      </c>
      <c r="W4436" t="n">
        <v/>
      </c>
    </row>
    <row r="4437">
      <c r="A4437" t="inlineStr">
        <is>
          <t>04/12/2025 9:31:40</t>
        </is>
      </c>
      <c r="B4437" t="inlineStr">
        <is>
          <t>Lê Quốc Duy</t>
        </is>
      </c>
      <c r="C4437" t="inlineStr">
        <is>
          <t>03/12/2025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3</v>
      </c>
      <c r="M4437" t="n">
        <v>0</v>
      </c>
      <c r="N4437" t="n">
        <v>0</v>
      </c>
      <c r="O4437" t="n">
        <v>0</v>
      </c>
      <c r="P4437" t="n">
        <v>0</v>
      </c>
      <c r="Q4437" t="n">
        <v>3</v>
      </c>
      <c r="R4437" t="n">
        <v>0</v>
      </c>
      <c r="S4437" t="n">
        <v/>
      </c>
      <c r="T4437" t="inlineStr">
        <is>
          <t>3</t>
        </is>
      </c>
      <c r="U4437" t="inlineStr">
        <is>
          <t>12</t>
        </is>
      </c>
      <c r="V4437" t="n">
        <v>2025</v>
      </c>
      <c r="W4437" t="n">
        <v/>
      </c>
    </row>
    <row r="4438">
      <c r="A4438" t="inlineStr">
        <is>
          <t>04/12/2025 9:37:20</t>
        </is>
      </c>
      <c r="B4438" t="inlineStr">
        <is>
          <t>Nguyễn Hồng Minh</t>
        </is>
      </c>
      <c r="C4438" t="inlineStr">
        <is>
          <t>03/12/2025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1</v>
      </c>
      <c r="K4438" t="n">
        <v>6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5</v>
      </c>
      <c r="R4438" t="n">
        <v>0</v>
      </c>
      <c r="S4438" t="n">
        <v/>
      </c>
      <c r="T4438" t="inlineStr">
        <is>
          <t>3</t>
        </is>
      </c>
      <c r="U4438" t="inlineStr">
        <is>
          <t>12</t>
        </is>
      </c>
      <c r="V4438" t="n">
        <v>2025</v>
      </c>
      <c r="W4438" t="n">
        <v/>
      </c>
    </row>
    <row r="4439">
      <c r="A4439" t="inlineStr">
        <is>
          <t>04/12/2025 14:55:46</t>
        </is>
      </c>
      <c r="B4439" t="inlineStr">
        <is>
          <t>Lê Quốc Duy</t>
        </is>
      </c>
      <c r="C4439" t="inlineStr">
        <is>
          <t>02/12/2025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2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/>
      </c>
      <c r="T4439" t="inlineStr">
        <is>
          <t>2</t>
        </is>
      </c>
      <c r="U4439" t="inlineStr">
        <is>
          <t>12</t>
        </is>
      </c>
      <c r="V4439" t="n">
        <v>2025</v>
      </c>
      <c r="W4439" t="n">
        <v/>
      </c>
    </row>
    <row r="4440">
      <c r="A4440" t="inlineStr">
        <is>
          <t>04/12/2025 15:03:19</t>
        </is>
      </c>
      <c r="B4440" t="inlineStr">
        <is>
          <t>Hồ Thái Minh Trí</t>
        </is>
      </c>
      <c r="C4440" t="inlineStr">
        <is>
          <t>01/12/2025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2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3</v>
      </c>
      <c r="R4440" t="n">
        <v>0</v>
      </c>
      <c r="S4440" t="n">
        <v/>
      </c>
      <c r="T4440" t="inlineStr">
        <is>
          <t>1</t>
        </is>
      </c>
      <c r="U4440" t="inlineStr">
        <is>
          <t>12</t>
        </is>
      </c>
      <c r="V4440" t="n">
        <v>2025</v>
      </c>
      <c r="W4440" t="n">
        <v/>
      </c>
    </row>
    <row r="4441">
      <c r="A4441" t="inlineStr">
        <is>
          <t>04/12/2025 15:05:41</t>
        </is>
      </c>
      <c r="B4441" t="inlineStr">
        <is>
          <t>Lê Văn Hồng</t>
        </is>
      </c>
      <c r="C4441" t="inlineStr">
        <is>
          <t>03/12/2025</t>
        </is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2</v>
      </c>
      <c r="L4441" t="n">
        <v>10</v>
      </c>
      <c r="M4441" t="n">
        <v>1</v>
      </c>
      <c r="N4441" t="n">
        <v>0</v>
      </c>
      <c r="O4441" t="n">
        <v>0</v>
      </c>
      <c r="P4441" t="n">
        <v>2</v>
      </c>
      <c r="Q4441" t="n">
        <v>4</v>
      </c>
      <c r="R4441" t="n">
        <v>0</v>
      </c>
      <c r="S4441" t="n">
        <v/>
      </c>
      <c r="T4441" t="inlineStr">
        <is>
          <t>3</t>
        </is>
      </c>
      <c r="U4441" t="inlineStr">
        <is>
          <t>12</t>
        </is>
      </c>
      <c r="V4441" t="n">
        <v>2025</v>
      </c>
      <c r="W4441" t="n">
        <v/>
      </c>
    </row>
    <row r="4442">
      <c r="A4442" t="inlineStr">
        <is>
          <t>04/12/2025 15:08:16</t>
        </is>
      </c>
      <c r="B4442" t="inlineStr">
        <is>
          <t>Lương Duy Hải</t>
        </is>
      </c>
      <c r="C4442" t="inlineStr">
        <is>
          <t>01/12/2025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4</v>
      </c>
      <c r="M4442" t="n">
        <v>0</v>
      </c>
      <c r="N4442" t="n">
        <v>2</v>
      </c>
      <c r="O4442" t="n">
        <v>0</v>
      </c>
      <c r="P4442" t="n">
        <v>2</v>
      </c>
      <c r="Q4442" t="n">
        <v>3</v>
      </c>
      <c r="R4442" t="n">
        <v>0</v>
      </c>
      <c r="S4442" t="n">
        <v/>
      </c>
      <c r="T4442" t="inlineStr">
        <is>
          <t>1</t>
        </is>
      </c>
      <c r="U4442" t="inlineStr">
        <is>
          <t>12</t>
        </is>
      </c>
      <c r="V4442" t="n">
        <v>2025</v>
      </c>
      <c r="W4442" t="n">
        <v/>
      </c>
    </row>
    <row r="4443">
      <c r="A4443" t="inlineStr">
        <is>
          <t>04/12/2025 15:10:54</t>
        </is>
      </c>
      <c r="B4443" t="inlineStr">
        <is>
          <t>Hồ Thái Minh Trí</t>
        </is>
      </c>
      <c r="C4443" t="inlineStr">
        <is>
          <t>02/12/2025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/>
      </c>
      <c r="T4443" t="inlineStr">
        <is>
          <t>2</t>
        </is>
      </c>
      <c r="U4443" t="inlineStr">
        <is>
          <t>12</t>
        </is>
      </c>
      <c r="V4443" t="n">
        <v>2025</v>
      </c>
      <c r="W4443" t="n">
        <v/>
      </c>
    </row>
    <row r="4444">
      <c r="A4444" t="inlineStr">
        <is>
          <t>04/12/2025 15:11:19</t>
        </is>
      </c>
      <c r="B4444" t="inlineStr">
        <is>
          <t>Trần Minh Khánh</t>
        </is>
      </c>
      <c r="C4444" t="inlineStr">
        <is>
          <t>01/12/2025</t>
        </is>
      </c>
      <c r="D4444" t="n">
        <v>0</v>
      </c>
      <c r="E4444" t="n">
        <v>0</v>
      </c>
      <c r="F4444" t="n">
        <v>0</v>
      </c>
      <c r="G4444" t="n">
        <v>3</v>
      </c>
      <c r="H4444" t="n">
        <v>3</v>
      </c>
      <c r="I4444" t="n">
        <v>1</v>
      </c>
      <c r="J4444" t="n">
        <v>0</v>
      </c>
      <c r="K4444" t="n">
        <v>1</v>
      </c>
      <c r="L4444" t="n">
        <v>1</v>
      </c>
      <c r="M4444" t="n">
        <v>0</v>
      </c>
      <c r="N4444" t="n">
        <v>1</v>
      </c>
      <c r="O4444" t="n">
        <v>0</v>
      </c>
      <c r="P4444" t="n">
        <v>1</v>
      </c>
      <c r="Q4444" t="n">
        <v>2</v>
      </c>
      <c r="R4444" t="n">
        <v>0</v>
      </c>
      <c r="S4444" t="n">
        <v/>
      </c>
      <c r="T4444" t="inlineStr">
        <is>
          <t>1</t>
        </is>
      </c>
      <c r="U4444" t="inlineStr">
        <is>
          <t>12</t>
        </is>
      </c>
      <c r="V4444" t="n">
        <v>2025</v>
      </c>
      <c r="W4444" t="n">
        <v/>
      </c>
    </row>
    <row r="4445">
      <c r="A4445" t="inlineStr">
        <is>
          <t>04/12/2025 15:12:33</t>
        </is>
      </c>
      <c r="B4445" t="inlineStr">
        <is>
          <t>Trần Minh Khánh</t>
        </is>
      </c>
      <c r="C4445" t="inlineStr">
        <is>
          <t>02/12/2025</t>
        </is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2</v>
      </c>
      <c r="M4445" t="n">
        <v>0</v>
      </c>
      <c r="N4445" t="n">
        <v>0</v>
      </c>
      <c r="O4445" t="n">
        <v>0</v>
      </c>
      <c r="P4445" t="n">
        <v>2</v>
      </c>
      <c r="Q4445" t="n">
        <v>4</v>
      </c>
      <c r="R4445" t="n">
        <v>0</v>
      </c>
      <c r="S4445" t="n">
        <v/>
      </c>
      <c r="T4445" t="inlineStr">
        <is>
          <t>2</t>
        </is>
      </c>
      <c r="U4445" t="inlineStr">
        <is>
          <t>12</t>
        </is>
      </c>
      <c r="V4445" t="n">
        <v>2025</v>
      </c>
      <c r="W4445" t="n">
        <v/>
      </c>
    </row>
    <row r="4446">
      <c r="A4446" t="inlineStr">
        <is>
          <t>04/12/2025 15:12:34</t>
        </is>
      </c>
      <c r="B4446" t="inlineStr">
        <is>
          <t>Hồ Thái Minh Trí</t>
        </is>
      </c>
      <c r="C4446" t="inlineStr">
        <is>
          <t>03/12/2025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/>
      </c>
      <c r="T4446" t="inlineStr">
        <is>
          <t>3</t>
        </is>
      </c>
      <c r="U4446" t="inlineStr">
        <is>
          <t>12</t>
        </is>
      </c>
      <c r="V4446" t="n">
        <v>2025</v>
      </c>
      <c r="W4446" t="n">
        <v/>
      </c>
    </row>
    <row r="4447">
      <c r="A4447" t="inlineStr">
        <is>
          <t>04/12/2025 15:13:46</t>
        </is>
      </c>
      <c r="B4447" t="inlineStr">
        <is>
          <t>Trần Minh Khánh</t>
        </is>
      </c>
      <c r="C4447" t="inlineStr">
        <is>
          <t>03/12/2025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0</v>
      </c>
      <c r="P4447" t="n">
        <v>1</v>
      </c>
      <c r="Q4447" t="n">
        <v>4</v>
      </c>
      <c r="R4447" t="n">
        <v>0</v>
      </c>
      <c r="S4447" t="n">
        <v/>
      </c>
      <c r="T4447" t="inlineStr">
        <is>
          <t>3</t>
        </is>
      </c>
      <c r="U4447" t="inlineStr">
        <is>
          <t>12</t>
        </is>
      </c>
      <c r="V4447" t="n">
        <v>2025</v>
      </c>
      <c r="W4447" t="n">
        <v/>
      </c>
    </row>
    <row r="4448">
      <c r="A4448" t="inlineStr">
        <is>
          <t>04/12/2025 17:12:43</t>
        </is>
      </c>
      <c r="B4448" t="inlineStr">
        <is>
          <t>Nguyễn Thành Lâm</t>
        </is>
      </c>
      <c r="C4448" t="inlineStr">
        <is>
          <t>03/12/2025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3</v>
      </c>
      <c r="L4448" t="n">
        <v>0</v>
      </c>
      <c r="M4448" t="n">
        <v>0</v>
      </c>
      <c r="N4448" t="n">
        <v>0</v>
      </c>
      <c r="O4448" t="n">
        <v>0</v>
      </c>
      <c r="P4448" t="n">
        <v>1</v>
      </c>
      <c r="Q4448" t="n">
        <v>3</v>
      </c>
      <c r="R4448" t="n">
        <v>0</v>
      </c>
      <c r="S4448" t="n">
        <v/>
      </c>
      <c r="T4448" t="inlineStr">
        <is>
          <t>3</t>
        </is>
      </c>
      <c r="U4448" t="inlineStr">
        <is>
          <t>12</t>
        </is>
      </c>
      <c r="V4448" t="n">
        <v>2025</v>
      </c>
      <c r="W4448" t="n">
        <v/>
      </c>
    </row>
    <row r="4449">
      <c r="A4449" t="inlineStr">
        <is>
          <t>04/12/2025 17:14:22</t>
        </is>
      </c>
      <c r="B4449" t="inlineStr">
        <is>
          <t>Nguyễn Thành Lâm</t>
        </is>
      </c>
      <c r="C4449" t="inlineStr">
        <is>
          <t>02/12/2025</t>
        </is>
      </c>
      <c r="D4449" t="n">
        <v>1</v>
      </c>
      <c r="E4449" t="n">
        <v>1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1</v>
      </c>
      <c r="Q4449" t="n">
        <v>12</v>
      </c>
      <c r="R4449" t="n">
        <v>0</v>
      </c>
      <c r="S4449" t="n">
        <v/>
      </c>
      <c r="T4449" t="inlineStr">
        <is>
          <t>2</t>
        </is>
      </c>
      <c r="U4449" t="inlineStr">
        <is>
          <t>12</t>
        </is>
      </c>
      <c r="V4449" t="n">
        <v>2025</v>
      </c>
      <c r="W4449" t="n">
        <v/>
      </c>
    </row>
    <row r="4450">
      <c r="A4450" t="inlineStr">
        <is>
          <t>04/12/2025 19:32:10</t>
        </is>
      </c>
      <c r="B4450" t="inlineStr">
        <is>
          <t>Đặng Hữu Danh</t>
        </is>
      </c>
      <c r="C4450" t="inlineStr">
        <is>
          <t>04/12/2025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1</v>
      </c>
      <c r="K4450" t="n">
        <v>0</v>
      </c>
      <c r="L4450" t="n">
        <v>3</v>
      </c>
      <c r="M4450" t="n">
        <v>1</v>
      </c>
      <c r="N4450" t="n">
        <v>0</v>
      </c>
      <c r="O4450" t="n">
        <v>0</v>
      </c>
      <c r="P4450" t="n">
        <v>2</v>
      </c>
      <c r="Q4450" t="n">
        <v>3</v>
      </c>
      <c r="R4450" t="n">
        <v>0</v>
      </c>
      <c r="S4450" t="n">
        <v/>
      </c>
      <c r="T4450" t="inlineStr">
        <is>
          <t>4</t>
        </is>
      </c>
      <c r="U4450" t="inlineStr">
        <is>
          <t>12</t>
        </is>
      </c>
      <c r="V4450" t="n">
        <v>2025</v>
      </c>
      <c r="W4450" t="n">
        <v/>
      </c>
    </row>
    <row r="4451">
      <c r="A4451" t="inlineStr">
        <is>
          <t>04/12/2025 21:36:00</t>
        </is>
      </c>
      <c r="B4451" t="inlineStr">
        <is>
          <t>Trần Minh Khánh</t>
        </is>
      </c>
      <c r="C4451" t="inlineStr">
        <is>
          <t>04/12/2025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2</v>
      </c>
      <c r="J4451" t="n">
        <v>0</v>
      </c>
      <c r="K4451" t="n">
        <v>0</v>
      </c>
      <c r="L4451" t="n">
        <v>2</v>
      </c>
      <c r="M4451" t="n">
        <v>0</v>
      </c>
      <c r="N4451" t="n">
        <v>2</v>
      </c>
      <c r="O4451" t="n">
        <v>0</v>
      </c>
      <c r="P4451" t="n">
        <v>0</v>
      </c>
      <c r="Q4451" t="n">
        <v>3</v>
      </c>
      <c r="R4451" t="n">
        <v>0</v>
      </c>
      <c r="S4451" t="n">
        <v/>
      </c>
      <c r="T4451" t="inlineStr">
        <is>
          <t>4</t>
        </is>
      </c>
      <c r="U4451" t="inlineStr">
        <is>
          <t>12</t>
        </is>
      </c>
      <c r="V4451" t="n">
        <v>2025</v>
      </c>
      <c r="W4451" t="n">
        <v/>
      </c>
    </row>
    <row r="4452">
      <c r="A4452" t="inlineStr">
        <is>
          <t>05/12/2025 6:02:03</t>
        </is>
      </c>
      <c r="B4452" t="inlineStr">
        <is>
          <t>Phan Ngọc Sang</t>
        </is>
      </c>
      <c r="C4452" t="inlineStr">
        <is>
          <t>04/12/2025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4</v>
      </c>
      <c r="J4452" t="n">
        <v>0</v>
      </c>
      <c r="K4452" t="n">
        <v>2</v>
      </c>
      <c r="L4452" t="n">
        <v>0</v>
      </c>
      <c r="M4452" t="n">
        <v>2</v>
      </c>
      <c r="N4452" t="n">
        <v>0</v>
      </c>
      <c r="O4452" t="n">
        <v>0</v>
      </c>
      <c r="P4452" t="n">
        <v>0</v>
      </c>
      <c r="Q4452" t="n">
        <v>5</v>
      </c>
      <c r="R4452" t="n">
        <v>0</v>
      </c>
      <c r="S4452" t="n">
        <v/>
      </c>
      <c r="T4452" t="inlineStr">
        <is>
          <t>4</t>
        </is>
      </c>
      <c r="U4452" t="inlineStr">
        <is>
          <t>12</t>
        </is>
      </c>
      <c r="V4452" t="n">
        <v>2025</v>
      </c>
      <c r="W4452" t="n">
        <v/>
      </c>
    </row>
    <row r="4453">
      <c r="A4453" t="inlineStr">
        <is>
          <t>05/12/2025 6:07:00</t>
        </is>
      </c>
      <c r="B4453" t="inlineStr">
        <is>
          <t>Vòng Nhật Sang</t>
        </is>
      </c>
      <c r="C4453" t="inlineStr">
        <is>
          <t>04/12/2025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3</v>
      </c>
      <c r="L4453" t="n">
        <v>2</v>
      </c>
      <c r="M4453" t="n">
        <v>2</v>
      </c>
      <c r="N4453" t="n">
        <v>1</v>
      </c>
      <c r="O4453" t="n">
        <v>0</v>
      </c>
      <c r="P4453" t="n">
        <v>1</v>
      </c>
      <c r="Q4453" t="n">
        <v>2</v>
      </c>
      <c r="R4453" t="n">
        <v>0</v>
      </c>
      <c r="S4453" t="n">
        <v/>
      </c>
      <c r="T4453" t="inlineStr">
        <is>
          <t>4</t>
        </is>
      </c>
      <c r="U4453" t="inlineStr">
        <is>
          <t>12</t>
        </is>
      </c>
      <c r="V4453" t="n">
        <v>2025</v>
      </c>
      <c r="W4453" t="n">
        <v/>
      </c>
    </row>
    <row r="4454">
      <c r="A4454" t="inlineStr">
        <is>
          <t>05/12/2025 6:30:25</t>
        </is>
      </c>
      <c r="B4454" t="inlineStr">
        <is>
          <t>Trần Xuân Khoa</t>
        </is>
      </c>
      <c r="C4454" t="inlineStr">
        <is>
          <t>04/12/2025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5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4</v>
      </c>
      <c r="R4454" t="n">
        <v>0</v>
      </c>
      <c r="S4454" t="n">
        <v/>
      </c>
      <c r="T4454" t="inlineStr">
        <is>
          <t>4</t>
        </is>
      </c>
      <c r="U4454" t="inlineStr">
        <is>
          <t>12</t>
        </is>
      </c>
      <c r="V4454" t="n">
        <v>2025</v>
      </c>
      <c r="W4454" t="n">
        <v/>
      </c>
    </row>
    <row r="4455">
      <c r="A4455" t="inlineStr">
        <is>
          <t>05/12/2025 6:36:13</t>
        </is>
      </c>
      <c r="B4455" t="inlineStr">
        <is>
          <t>Lương Duy Hải</t>
        </is>
      </c>
      <c r="C4455" t="inlineStr">
        <is>
          <t>04/12/2025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2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  <c r="Q4455" t="n">
        <v>3</v>
      </c>
      <c r="R4455" t="n">
        <v>0</v>
      </c>
      <c r="S4455" t="n">
        <v/>
      </c>
      <c r="T4455" t="inlineStr">
        <is>
          <t>4</t>
        </is>
      </c>
      <c r="U4455" t="inlineStr">
        <is>
          <t>12</t>
        </is>
      </c>
      <c r="V4455" t="n">
        <v>2025</v>
      </c>
      <c r="W4455" t="n">
        <v/>
      </c>
    </row>
    <row r="4456">
      <c r="A4456" t="inlineStr">
        <is>
          <t>05/12/2025 6:49:19</t>
        </is>
      </c>
      <c r="B4456" t="inlineStr">
        <is>
          <t>Huỳnh Văn Lực</t>
        </is>
      </c>
      <c r="C4456" t="inlineStr">
        <is>
          <t>04/12/2025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2</v>
      </c>
      <c r="J4456" t="n">
        <v>0</v>
      </c>
      <c r="K4456" t="n">
        <v>4</v>
      </c>
      <c r="L4456" t="n">
        <v>0</v>
      </c>
      <c r="M4456" t="n">
        <v>0</v>
      </c>
      <c r="N4456" t="n">
        <v>0</v>
      </c>
      <c r="O4456" t="n">
        <v>0</v>
      </c>
      <c r="P4456" t="n">
        <v>1</v>
      </c>
      <c r="Q4456" t="n">
        <v>1</v>
      </c>
      <c r="R4456" t="n">
        <v>0</v>
      </c>
      <c r="S4456" t="n">
        <v/>
      </c>
      <c r="T4456" t="inlineStr">
        <is>
          <t>4</t>
        </is>
      </c>
      <c r="U4456" t="inlineStr">
        <is>
          <t>12</t>
        </is>
      </c>
      <c r="V4456" t="n">
        <v>2025</v>
      </c>
      <c r="W4456" t="n">
        <v/>
      </c>
    </row>
    <row r="4457">
      <c r="A4457" t="inlineStr">
        <is>
          <t>05/12/2025 6:51:32</t>
        </is>
      </c>
      <c r="B4457" t="inlineStr">
        <is>
          <t>Hồ Xuân Việt</t>
        </is>
      </c>
      <c r="C4457" t="inlineStr">
        <is>
          <t>04/12/2025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/>
      </c>
      <c r="T4457" t="inlineStr">
        <is>
          <t>4</t>
        </is>
      </c>
      <c r="U4457" t="inlineStr">
        <is>
          <t>12</t>
        </is>
      </c>
      <c r="V4457" t="n">
        <v>2025</v>
      </c>
      <c r="W4457" t="n">
        <v/>
      </c>
    </row>
    <row r="4458">
      <c r="A4458" t="inlineStr">
        <is>
          <t>05/12/2025 6:51:45</t>
        </is>
      </c>
      <c r="B4458" t="inlineStr">
        <is>
          <t>Nguyễn Văn Hiệp</t>
        </is>
      </c>
      <c r="C4458" t="inlineStr">
        <is>
          <t>04/12/2025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3</v>
      </c>
      <c r="L4458" t="n">
        <v>0</v>
      </c>
      <c r="M4458" t="n">
        <v>0</v>
      </c>
      <c r="N4458" t="n">
        <v>2</v>
      </c>
      <c r="O4458" t="n">
        <v>0</v>
      </c>
      <c r="P4458" t="n">
        <v>0</v>
      </c>
      <c r="Q4458" t="n">
        <v>0</v>
      </c>
      <c r="R4458" t="n">
        <v>0</v>
      </c>
      <c r="S4458" t="n">
        <v/>
      </c>
      <c r="T4458" t="inlineStr">
        <is>
          <t>4</t>
        </is>
      </c>
      <c r="U4458" t="inlineStr">
        <is>
          <t>12</t>
        </is>
      </c>
      <c r="V4458" t="n">
        <v>2025</v>
      </c>
      <c r="W4458" t="n">
        <v/>
      </c>
    </row>
    <row r="4459">
      <c r="A4459" t="inlineStr">
        <is>
          <t>05/12/2025 6:54:00</t>
        </is>
      </c>
      <c r="B4459" t="inlineStr">
        <is>
          <t>Trần Trung Giang</t>
        </is>
      </c>
      <c r="C4459" t="inlineStr">
        <is>
          <t>04/12/2026</t>
        </is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1</v>
      </c>
      <c r="J4459" t="n">
        <v>0</v>
      </c>
      <c r="K4459" t="n">
        <v>2</v>
      </c>
      <c r="L4459" t="n">
        <v>0</v>
      </c>
      <c r="M4459" t="n">
        <v>0</v>
      </c>
      <c r="N4459" t="n">
        <v>0</v>
      </c>
      <c r="O4459" t="n">
        <v>0</v>
      </c>
      <c r="P4459" t="n">
        <v>2</v>
      </c>
      <c r="Q4459" t="n">
        <v>0</v>
      </c>
      <c r="R4459" t="n">
        <v>1</v>
      </c>
      <c r="S4459" t="n">
        <v/>
      </c>
      <c r="T4459" t="inlineStr">
        <is>
          <t>4</t>
        </is>
      </c>
      <c r="U4459" t="inlineStr">
        <is>
          <t>12</t>
        </is>
      </c>
      <c r="V4459" t="n">
        <v>2025</v>
      </c>
      <c r="W4459" t="n">
        <v/>
      </c>
    </row>
    <row r="4460">
      <c r="A4460" t="inlineStr">
        <is>
          <t>05/12/2025 6:54:27</t>
        </is>
      </c>
      <c r="B4460" t="inlineStr">
        <is>
          <t>Đào Công Trung</t>
        </is>
      </c>
      <c r="C4460" t="inlineStr">
        <is>
          <t>04/12/2025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2</v>
      </c>
      <c r="J4460" t="n">
        <v>0</v>
      </c>
      <c r="K4460" t="n">
        <v>0</v>
      </c>
      <c r="L4460" t="n">
        <v>4</v>
      </c>
      <c r="M4460" t="n">
        <v>1</v>
      </c>
      <c r="N4460" t="n">
        <v>0</v>
      </c>
      <c r="O4460" t="n">
        <v>0</v>
      </c>
      <c r="P4460" t="n">
        <v>1</v>
      </c>
      <c r="Q4460" t="n">
        <v>1</v>
      </c>
      <c r="R4460" t="n">
        <v>0</v>
      </c>
      <c r="S4460" t="n">
        <v/>
      </c>
      <c r="T4460" t="inlineStr">
        <is>
          <t>4</t>
        </is>
      </c>
      <c r="U4460" t="inlineStr">
        <is>
          <t>12</t>
        </is>
      </c>
      <c r="V4460" t="n">
        <v>2025</v>
      </c>
      <c r="W4460" t="n">
        <v/>
      </c>
    </row>
    <row r="4461">
      <c r="A4461" t="inlineStr">
        <is>
          <t>05/12/2025 6:58:07</t>
        </is>
      </c>
      <c r="B4461" t="inlineStr">
        <is>
          <t>Lê Quốc Duy</t>
        </is>
      </c>
      <c r="C4461" t="inlineStr">
        <is>
          <t>04/12/2025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4</v>
      </c>
      <c r="M4461" t="n">
        <v>0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/>
      </c>
      <c r="T4461" t="inlineStr">
        <is>
          <t>4</t>
        </is>
      </c>
      <c r="U4461" t="inlineStr">
        <is>
          <t>12</t>
        </is>
      </c>
      <c r="V4461" t="n">
        <v>2025</v>
      </c>
      <c r="W4461" t="n">
        <v/>
      </c>
    </row>
    <row r="4462">
      <c r="A4462" t="inlineStr">
        <is>
          <t>05/12/2025 7:01:43</t>
        </is>
      </c>
      <c r="B4462" t="inlineStr">
        <is>
          <t>Lương Duy Hoàng</t>
        </is>
      </c>
      <c r="C4462" t="inlineStr">
        <is>
          <t>04/12/2025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2</v>
      </c>
      <c r="O4462" t="n">
        <v>0</v>
      </c>
      <c r="P4462" t="n">
        <v>0</v>
      </c>
      <c r="Q4462" t="n">
        <v>3</v>
      </c>
      <c r="R4462" t="n">
        <v>0</v>
      </c>
      <c r="S4462" t="n">
        <v/>
      </c>
      <c r="T4462" t="inlineStr">
        <is>
          <t>4</t>
        </is>
      </c>
      <c r="U4462" t="inlineStr">
        <is>
          <t>12</t>
        </is>
      </c>
      <c r="V4462" t="n">
        <v>2025</v>
      </c>
      <c r="W4462" t="n">
        <v/>
      </c>
    </row>
    <row r="4463">
      <c r="A4463" t="inlineStr">
        <is>
          <t>05/12/2025 7:03:19</t>
        </is>
      </c>
      <c r="B4463" t="inlineStr">
        <is>
          <t>Nguyễn Tuấn Anh</t>
        </is>
      </c>
      <c r="C4463" t="inlineStr">
        <is>
          <t>04/12/2025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2</v>
      </c>
      <c r="J4463" t="n">
        <v>0</v>
      </c>
      <c r="K4463" t="n">
        <v>1</v>
      </c>
      <c r="L4463" t="n">
        <v>4</v>
      </c>
      <c r="M4463" t="n">
        <v>0</v>
      </c>
      <c r="N4463" t="n">
        <v>0</v>
      </c>
      <c r="O4463" t="n">
        <v>0</v>
      </c>
      <c r="P4463" t="n">
        <v>0</v>
      </c>
      <c r="Q4463" t="n">
        <v>6</v>
      </c>
      <c r="R4463" t="n">
        <v>0</v>
      </c>
      <c r="S4463" t="n">
        <v/>
      </c>
      <c r="T4463" t="inlineStr">
        <is>
          <t>4</t>
        </is>
      </c>
      <c r="U4463" t="inlineStr">
        <is>
          <t>12</t>
        </is>
      </c>
      <c r="V4463" t="n">
        <v>2025</v>
      </c>
      <c r="W4463" t="n">
        <v/>
      </c>
    </row>
    <row r="4464">
      <c r="A4464" t="inlineStr">
        <is>
          <t>05/12/2025 7:10:38</t>
        </is>
      </c>
      <c r="B4464" t="inlineStr">
        <is>
          <t>Dương Minh Tiến</t>
        </is>
      </c>
      <c r="C4464" t="inlineStr">
        <is>
          <t>04/12/2025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3</v>
      </c>
      <c r="J4464" t="n">
        <v>0</v>
      </c>
      <c r="K4464" t="n">
        <v>2</v>
      </c>
      <c r="L4464" t="n">
        <v>3</v>
      </c>
      <c r="M4464" t="n">
        <v>0</v>
      </c>
      <c r="N4464" t="n">
        <v>0</v>
      </c>
      <c r="O4464" t="n">
        <v>0</v>
      </c>
      <c r="P4464" t="n">
        <v>2</v>
      </c>
      <c r="Q4464" t="n">
        <v>1</v>
      </c>
      <c r="R4464" t="n">
        <v>0</v>
      </c>
      <c r="S4464" t="n">
        <v/>
      </c>
      <c r="T4464" t="inlineStr">
        <is>
          <t>4</t>
        </is>
      </c>
      <c r="U4464" t="inlineStr">
        <is>
          <t>12</t>
        </is>
      </c>
      <c r="V4464" t="n">
        <v>2025</v>
      </c>
      <c r="W4464" t="n">
        <v/>
      </c>
    </row>
    <row r="4465">
      <c r="A4465" t="inlineStr">
        <is>
          <t>05/12/2025 7:11:18</t>
        </is>
      </c>
      <c r="B4465" t="inlineStr">
        <is>
          <t>Nguyễn Quang Anh Tuấn</t>
        </is>
      </c>
      <c r="C4465" t="inlineStr">
        <is>
          <t>04/12/2025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4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5</v>
      </c>
      <c r="R4465" t="n">
        <v>0</v>
      </c>
      <c r="S4465" t="n">
        <v/>
      </c>
      <c r="T4465" t="inlineStr">
        <is>
          <t>4</t>
        </is>
      </c>
      <c r="U4465" t="inlineStr">
        <is>
          <t>12</t>
        </is>
      </c>
      <c r="V4465" t="n">
        <v>2025</v>
      </c>
      <c r="W4465" t="n">
        <v/>
      </c>
    </row>
    <row r="4466">
      <c r="A4466" t="inlineStr">
        <is>
          <t>05/12/2025 7:33:42</t>
        </is>
      </c>
      <c r="B4466" t="inlineStr">
        <is>
          <t>Hồ Thái Minh Trí</t>
        </is>
      </c>
      <c r="C4466" t="inlineStr">
        <is>
          <t>04/12/2025</t>
        </is>
      </c>
      <c r="D4466" t="n">
        <v>0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/>
      </c>
      <c r="T4466" t="inlineStr">
        <is>
          <t>4</t>
        </is>
      </c>
      <c r="U4466" t="inlineStr">
        <is>
          <t>12</t>
        </is>
      </c>
      <c r="V4466" t="n">
        <v>2025</v>
      </c>
      <c r="W4466" t="n">
        <v/>
      </c>
    </row>
    <row r="4467">
      <c r="A4467" t="inlineStr">
        <is>
          <t>05/12/2025 7:42:05</t>
        </is>
      </c>
      <c r="B4467" t="inlineStr">
        <is>
          <t>Lê Văn Hồng</t>
        </is>
      </c>
      <c r="C4467" t="inlineStr">
        <is>
          <t>04/12/2025</t>
        </is>
      </c>
      <c r="D4467" t="n">
        <v>0</v>
      </c>
      <c r="E4467" t="n">
        <v>0</v>
      </c>
      <c r="F4467" t="n">
        <v>0</v>
      </c>
      <c r="G4467" t="n">
        <v>1</v>
      </c>
      <c r="H4467" t="n">
        <v>1</v>
      </c>
      <c r="I4467" t="n">
        <v>0</v>
      </c>
      <c r="J4467" t="n">
        <v>0</v>
      </c>
      <c r="K4467" t="n">
        <v>10</v>
      </c>
      <c r="L4467" t="n">
        <v>0</v>
      </c>
      <c r="M4467" t="n">
        <v>0</v>
      </c>
      <c r="N4467" t="n">
        <v>0</v>
      </c>
      <c r="O4467" t="n">
        <v>0</v>
      </c>
      <c r="P4467" t="n">
        <v>2</v>
      </c>
      <c r="Q4467" t="n">
        <v>3</v>
      </c>
      <c r="R4467" t="n">
        <v>0</v>
      </c>
      <c r="S4467" t="n">
        <v/>
      </c>
      <c r="T4467" t="inlineStr">
        <is>
          <t>4</t>
        </is>
      </c>
      <c r="U4467" t="inlineStr">
        <is>
          <t>12</t>
        </is>
      </c>
      <c r="V4467" t="n">
        <v>2025</v>
      </c>
      <c r="W4467" t="n">
        <v/>
      </c>
    </row>
    <row r="4468">
      <c r="A4468" t="inlineStr">
        <is>
          <t>05/12/2025 7:48:13</t>
        </is>
      </c>
      <c r="B4468" t="inlineStr">
        <is>
          <t>Nguyễn Văn Nhật</t>
        </is>
      </c>
      <c r="C4468" t="inlineStr">
        <is>
          <t>04/12/2025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8</v>
      </c>
      <c r="L4468" t="n">
        <v>4</v>
      </c>
      <c r="M4468" t="n">
        <v>0</v>
      </c>
      <c r="N4468" t="n">
        <v>1</v>
      </c>
      <c r="O4468" t="n">
        <v>0</v>
      </c>
      <c r="P4468" t="n">
        <v>1</v>
      </c>
      <c r="Q4468" t="n">
        <v>2</v>
      </c>
      <c r="R4468" t="n">
        <v>0</v>
      </c>
      <c r="S4468" t="n">
        <v/>
      </c>
      <c r="T4468" t="inlineStr">
        <is>
          <t>4</t>
        </is>
      </c>
      <c r="U4468" t="inlineStr">
        <is>
          <t>12</t>
        </is>
      </c>
      <c r="V4468" t="n">
        <v>2025</v>
      </c>
      <c r="W4468" t="n">
        <v/>
      </c>
    </row>
    <row r="4469">
      <c r="A4469" t="inlineStr">
        <is>
          <t>05/12/2025 7:54:19</t>
        </is>
      </c>
      <c r="B4469" t="inlineStr">
        <is>
          <t>Bùi Duy Cường</t>
        </is>
      </c>
      <c r="C4469" t="inlineStr">
        <is>
          <t>04/12/2025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2</v>
      </c>
      <c r="J4469" t="n">
        <v>0</v>
      </c>
      <c r="K4469" t="n">
        <v>3</v>
      </c>
      <c r="L4469" t="n">
        <v>9</v>
      </c>
      <c r="M4469" t="n">
        <v>1</v>
      </c>
      <c r="N4469" t="n">
        <v>2</v>
      </c>
      <c r="O4469" t="n">
        <v>0</v>
      </c>
      <c r="P4469" t="n">
        <v>0</v>
      </c>
      <c r="Q4469" t="n">
        <v>2</v>
      </c>
      <c r="R4469" t="n">
        <v>0</v>
      </c>
      <c r="S4469" t="n">
        <v/>
      </c>
      <c r="T4469" t="inlineStr">
        <is>
          <t>4</t>
        </is>
      </c>
      <c r="U4469" t="inlineStr">
        <is>
          <t>12</t>
        </is>
      </c>
      <c r="V4469" t="n">
        <v>2025</v>
      </c>
      <c r="W4469" t="n">
        <v/>
      </c>
    </row>
    <row r="4470">
      <c r="A4470" t="inlineStr">
        <is>
          <t>05/12/2025 7:57:18</t>
        </is>
      </c>
      <c r="B4470" t="inlineStr">
        <is>
          <t>Đặng Hoài Anh</t>
        </is>
      </c>
      <c r="C4470" t="inlineStr">
        <is>
          <t>04/12/2025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/>
      </c>
      <c r="T4470" t="inlineStr">
        <is>
          <t>4</t>
        </is>
      </c>
      <c r="U4470" t="inlineStr">
        <is>
          <t>12</t>
        </is>
      </c>
      <c r="V4470" t="n">
        <v>2025</v>
      </c>
      <c r="W4470" t="n">
        <v/>
      </c>
    </row>
    <row r="4471">
      <c r="A4471" t="inlineStr">
        <is>
          <t>05/12/2025 8:06:53</t>
        </is>
      </c>
      <c r="B4471" t="inlineStr">
        <is>
          <t>Lê Hồng Phong</t>
        </is>
      </c>
      <c r="C4471" t="inlineStr">
        <is>
          <t>05/12/2025</t>
        </is>
      </c>
      <c r="D4471" t="n">
        <v>1</v>
      </c>
      <c r="E4471" t="n">
        <v>1</v>
      </c>
      <c r="F4471" t="n">
        <v>1</v>
      </c>
      <c r="G4471" t="n">
        <v>0</v>
      </c>
      <c r="H4471" t="n">
        <v>0</v>
      </c>
      <c r="I4471" t="n">
        <v>1</v>
      </c>
      <c r="J4471" t="n">
        <v>1</v>
      </c>
      <c r="K4471" t="n">
        <v>1</v>
      </c>
      <c r="L4471" t="n">
        <v>1</v>
      </c>
      <c r="M4471" t="n">
        <v>1</v>
      </c>
      <c r="N4471" t="n">
        <v>1</v>
      </c>
      <c r="O4471" t="n">
        <v>1</v>
      </c>
      <c r="P4471" t="n">
        <v>1</v>
      </c>
      <c r="Q4471" t="n">
        <v>1</v>
      </c>
      <c r="R4471" t="n">
        <v>1</v>
      </c>
      <c r="S4471" t="n">
        <v/>
      </c>
      <c r="T4471" t="inlineStr">
        <is>
          <t>5</t>
        </is>
      </c>
      <c r="U4471" t="inlineStr">
        <is>
          <t>12</t>
        </is>
      </c>
      <c r="V4471" t="n">
        <v>2025</v>
      </c>
      <c r="W4471" t="n">
        <v/>
      </c>
    </row>
    <row r="4472">
      <c r="A4472" t="inlineStr">
        <is>
          <t>05/12/2025 8:07:18</t>
        </is>
      </c>
      <c r="B4472" t="inlineStr">
        <is>
          <t>Phan Thành Thái</t>
        </is>
      </c>
      <c r="C4472" t="inlineStr">
        <is>
          <t>04/12/2025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2</v>
      </c>
      <c r="J4472" t="n">
        <v>0</v>
      </c>
      <c r="K4472" t="n">
        <v>0</v>
      </c>
      <c r="L4472" t="n">
        <v>2</v>
      </c>
      <c r="M4472" t="n">
        <v>0</v>
      </c>
      <c r="N4472" t="n">
        <v>1</v>
      </c>
      <c r="O4472" t="n">
        <v>0</v>
      </c>
      <c r="P4472" t="n">
        <v>1</v>
      </c>
      <c r="Q4472" t="n">
        <v>6</v>
      </c>
      <c r="R4472" t="n">
        <v>0</v>
      </c>
      <c r="S4472" t="n">
        <v/>
      </c>
      <c r="T4472" t="inlineStr">
        <is>
          <t>4</t>
        </is>
      </c>
      <c r="U4472" t="inlineStr">
        <is>
          <t>12</t>
        </is>
      </c>
      <c r="V4472" t="n">
        <v>2025</v>
      </c>
      <c r="W4472" t="n">
        <v/>
      </c>
    </row>
    <row r="4473">
      <c r="A4473" t="inlineStr">
        <is>
          <t>05/12/2025 8:12:56</t>
        </is>
      </c>
      <c r="B4473" t="inlineStr">
        <is>
          <t>Nguyễn Thành Lâm</t>
        </is>
      </c>
      <c r="C4473" t="inlineStr">
        <is>
          <t>04/12/2025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6</v>
      </c>
      <c r="M4473" t="n">
        <v>0</v>
      </c>
      <c r="N4473" t="n">
        <v>0</v>
      </c>
      <c r="O4473" t="n">
        <v>0</v>
      </c>
      <c r="P4473" t="n">
        <v>0</v>
      </c>
      <c r="Q4473" t="n">
        <v>3</v>
      </c>
      <c r="R4473" t="n">
        <v>0</v>
      </c>
      <c r="S4473" t="n">
        <v/>
      </c>
      <c r="T4473" t="inlineStr">
        <is>
          <t>4</t>
        </is>
      </c>
      <c r="U4473" t="inlineStr">
        <is>
          <t>12</t>
        </is>
      </c>
      <c r="V4473" t="n">
        <v>2025</v>
      </c>
      <c r="W4473" t="n">
        <v/>
      </c>
    </row>
    <row r="4474">
      <c r="A4474" t="inlineStr">
        <is>
          <t>05/12/2025 10:18:28</t>
        </is>
      </c>
      <c r="B4474" t="inlineStr">
        <is>
          <t>Nguyễn Hồng Minh</t>
        </is>
      </c>
      <c r="C4474" t="inlineStr">
        <is>
          <t>04/12/2025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3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6</v>
      </c>
      <c r="R4474" t="n">
        <v>0</v>
      </c>
      <c r="S4474" t="n">
        <v/>
      </c>
      <c r="T4474" t="inlineStr">
        <is>
          <t>4</t>
        </is>
      </c>
      <c r="U4474" t="inlineStr">
        <is>
          <t>12</t>
        </is>
      </c>
      <c r="V4474" t="n">
        <v>2025</v>
      </c>
      <c r="W4474" t="n">
        <v/>
      </c>
    </row>
    <row r="4475">
      <c r="A4475" t="inlineStr">
        <is>
          <t>05/12/2025 20:19:44</t>
        </is>
      </c>
      <c r="B4475" t="inlineStr">
        <is>
          <t>Đặng Hữu Danh</t>
        </is>
      </c>
      <c r="C4475" t="inlineStr">
        <is>
          <t>05/12/2025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2</v>
      </c>
      <c r="L4475" t="n">
        <v>0</v>
      </c>
      <c r="M4475" t="n">
        <v>0</v>
      </c>
      <c r="N4475" t="n">
        <v>0</v>
      </c>
      <c r="O4475" t="n">
        <v>0</v>
      </c>
      <c r="P4475" t="n">
        <v>1</v>
      </c>
      <c r="Q4475" t="n">
        <v>3</v>
      </c>
      <c r="R4475" t="n">
        <v>0</v>
      </c>
      <c r="S4475" t="n">
        <v/>
      </c>
      <c r="T4475" t="inlineStr">
        <is>
          <t>5</t>
        </is>
      </c>
      <c r="U4475" t="inlineStr">
        <is>
          <t>12</t>
        </is>
      </c>
      <c r="V4475" t="n">
        <v>2025</v>
      </c>
      <c r="W4475" t="n">
        <v/>
      </c>
    </row>
    <row r="4476">
      <c r="A4476" t="inlineStr">
        <is>
          <t>05/12/2025 20:46:53</t>
        </is>
      </c>
      <c r="B4476" t="inlineStr">
        <is>
          <t>Trần Minh Khánh</t>
        </is>
      </c>
      <c r="C4476" t="inlineStr">
        <is>
          <t>05/12/2025</t>
        </is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3</v>
      </c>
      <c r="J4476" t="n">
        <v>0</v>
      </c>
      <c r="K4476" t="n">
        <v>0</v>
      </c>
      <c r="L4476" t="n">
        <v>3</v>
      </c>
      <c r="M4476" t="n">
        <v>0</v>
      </c>
      <c r="N4476" t="n">
        <v>2</v>
      </c>
      <c r="O4476" t="n">
        <v>0</v>
      </c>
      <c r="P4476" t="n">
        <v>0</v>
      </c>
      <c r="Q4476" t="n">
        <v>5</v>
      </c>
      <c r="R4476" t="n">
        <v>0</v>
      </c>
      <c r="S4476" t="n">
        <v/>
      </c>
      <c r="T4476" t="inlineStr">
        <is>
          <t>5</t>
        </is>
      </c>
      <c r="U4476" t="inlineStr">
        <is>
          <t>12</t>
        </is>
      </c>
      <c r="V4476" t="n">
        <v>2025</v>
      </c>
      <c r="W4476" t="n">
        <v/>
      </c>
    </row>
    <row r="4477">
      <c r="A4477" t="inlineStr">
        <is>
          <t>05/12/2025 22:52:08</t>
        </is>
      </c>
      <c r="B4477" t="inlineStr">
        <is>
          <t>Phan Ngọc Sang</t>
        </is>
      </c>
      <c r="C4477" t="inlineStr">
        <is>
          <t>05/12/2025</t>
        </is>
      </c>
      <c r="D4477" t="n">
        <v>1</v>
      </c>
      <c r="E4477" t="n">
        <v>1</v>
      </c>
      <c r="F4477" t="n">
        <v>0</v>
      </c>
      <c r="G4477" t="n">
        <v>0</v>
      </c>
      <c r="H4477" t="n">
        <v>0</v>
      </c>
      <c r="I4477" t="n">
        <v>2</v>
      </c>
      <c r="J4477" t="n">
        <v>0</v>
      </c>
      <c r="K4477" t="n">
        <v>0</v>
      </c>
      <c r="L4477" t="n">
        <v>0</v>
      </c>
      <c r="M4477" t="n">
        <v>1</v>
      </c>
      <c r="N4477" t="n">
        <v>1</v>
      </c>
      <c r="O4477" t="n">
        <v>0</v>
      </c>
      <c r="P4477" t="n">
        <v>0</v>
      </c>
      <c r="Q4477" t="n">
        <v>4</v>
      </c>
      <c r="R4477" t="n">
        <v>0</v>
      </c>
      <c r="S4477" t="n">
        <v/>
      </c>
      <c r="T4477" t="inlineStr">
        <is>
          <t>5</t>
        </is>
      </c>
      <c r="U4477" t="inlineStr">
        <is>
          <t>12</t>
        </is>
      </c>
      <c r="V4477" t="n">
        <v>2025</v>
      </c>
      <c r="W4477" t="n">
        <v/>
      </c>
    </row>
    <row r="4478">
      <c r="A4478" t="inlineStr">
        <is>
          <t>06/12/2025 6:03:10</t>
        </is>
      </c>
      <c r="B4478" t="inlineStr">
        <is>
          <t>Phan Thành Thái</t>
        </is>
      </c>
      <c r="C4478" t="inlineStr">
        <is>
          <t>05/12/2025</t>
        </is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2</v>
      </c>
      <c r="J4478" t="n">
        <v>0</v>
      </c>
      <c r="K4478" t="n">
        <v>0</v>
      </c>
      <c r="L4478" t="n">
        <v>2</v>
      </c>
      <c r="M4478" t="n">
        <v>2</v>
      </c>
      <c r="N4478" t="n">
        <v>0</v>
      </c>
      <c r="O4478" t="n">
        <v>0</v>
      </c>
      <c r="P4478" t="n">
        <v>1</v>
      </c>
      <c r="Q4478" t="n">
        <v>4</v>
      </c>
      <c r="R4478" t="n">
        <v>0</v>
      </c>
      <c r="S4478" t="n">
        <v/>
      </c>
      <c r="T4478" t="inlineStr">
        <is>
          <t>5</t>
        </is>
      </c>
      <c r="U4478" t="inlineStr">
        <is>
          <t>12</t>
        </is>
      </c>
      <c r="V4478" t="n">
        <v>2025</v>
      </c>
      <c r="W4478" t="n">
        <v/>
      </c>
    </row>
    <row r="4479">
      <c r="A4479" t="inlineStr">
        <is>
          <t>06/12/2025 6:14:08</t>
        </is>
      </c>
      <c r="B4479" t="inlineStr">
        <is>
          <t>Trần Xuân Khoa</t>
        </is>
      </c>
      <c r="C4479" t="inlineStr">
        <is>
          <t>05/12/2025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2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0</v>
      </c>
      <c r="P4479" t="n">
        <v>0</v>
      </c>
      <c r="Q4479" t="n">
        <v>3</v>
      </c>
      <c r="R4479" t="n">
        <v>0</v>
      </c>
      <c r="S4479" t="n">
        <v/>
      </c>
      <c r="T4479" t="inlineStr">
        <is>
          <t>5</t>
        </is>
      </c>
      <c r="U4479" t="inlineStr">
        <is>
          <t>12</t>
        </is>
      </c>
      <c r="V4479" t="n">
        <v>2025</v>
      </c>
      <c r="W4479" t="n">
        <v/>
      </c>
    </row>
    <row r="4480">
      <c r="A4480" t="inlineStr">
        <is>
          <t>06/12/2025 6:14:56</t>
        </is>
      </c>
      <c r="B4480" t="inlineStr">
        <is>
          <t>Vòng Nhật Sang</t>
        </is>
      </c>
      <c r="C4480" t="inlineStr">
        <is>
          <t>05/12/2025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3</v>
      </c>
      <c r="L4480" t="n">
        <v>2</v>
      </c>
      <c r="M4480" t="n">
        <v>0</v>
      </c>
      <c r="N4480" t="n">
        <v>0</v>
      </c>
      <c r="O4480" t="n">
        <v>0</v>
      </c>
      <c r="P4480" t="n">
        <v>0</v>
      </c>
      <c r="Q4480" t="n">
        <v>2</v>
      </c>
      <c r="R4480" t="n">
        <v>0</v>
      </c>
      <c r="S4480" t="n">
        <v/>
      </c>
      <c r="T4480" t="inlineStr">
        <is>
          <t>5</t>
        </is>
      </c>
      <c r="U4480" t="inlineStr">
        <is>
          <t>12</t>
        </is>
      </c>
      <c r="V4480" t="n">
        <v>2025</v>
      </c>
      <c r="W4480" t="n">
        <v/>
      </c>
    </row>
    <row r="4481">
      <c r="A4481" t="inlineStr">
        <is>
          <t>06/12/2025 6:46:04</t>
        </is>
      </c>
      <c r="B4481" t="inlineStr">
        <is>
          <t>Lương Duy Hải</t>
        </is>
      </c>
      <c r="C4481" t="inlineStr">
        <is>
          <t>05/12/2025</t>
        </is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0</v>
      </c>
      <c r="J4481" t="n">
        <v>1</v>
      </c>
      <c r="K4481" t="n">
        <v>2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4</v>
      </c>
      <c r="R4481" t="n">
        <v>0</v>
      </c>
      <c r="S4481" t="n">
        <v/>
      </c>
      <c r="T4481" t="inlineStr">
        <is>
          <t>5</t>
        </is>
      </c>
      <c r="U4481" t="inlineStr">
        <is>
          <t>12</t>
        </is>
      </c>
      <c r="V4481" t="n">
        <v>2025</v>
      </c>
      <c r="W4481" t="n">
        <v/>
      </c>
    </row>
    <row r="4482">
      <c r="A4482" t="inlineStr">
        <is>
          <t>06/12/2025 6:47:46</t>
        </is>
      </c>
      <c r="B4482" t="inlineStr">
        <is>
          <t>Lê Quốc Duy</t>
        </is>
      </c>
      <c r="C4482" t="inlineStr">
        <is>
          <t>05/12/2025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6</v>
      </c>
      <c r="M4482" t="n">
        <v>0</v>
      </c>
      <c r="N4482" t="n">
        <v>0</v>
      </c>
      <c r="O4482" t="n">
        <v>4</v>
      </c>
      <c r="P4482" t="n">
        <v>0</v>
      </c>
      <c r="Q4482" t="n">
        <v>1</v>
      </c>
      <c r="R4482" t="n">
        <v>0</v>
      </c>
      <c r="S4482" t="n">
        <v/>
      </c>
      <c r="T4482" t="inlineStr">
        <is>
          <t>5</t>
        </is>
      </c>
      <c r="U4482" t="inlineStr">
        <is>
          <t>12</t>
        </is>
      </c>
      <c r="V4482" t="n">
        <v>2025</v>
      </c>
      <c r="W4482" t="n">
        <v/>
      </c>
    </row>
    <row r="4483">
      <c r="A4483" t="inlineStr">
        <is>
          <t>06/12/2025 6:54:35</t>
        </is>
      </c>
      <c r="B4483" t="inlineStr">
        <is>
          <t>Hồ Xuân Việt</t>
        </is>
      </c>
      <c r="C4483" t="inlineStr">
        <is>
          <t>05/12/2025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2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/>
      </c>
      <c r="T4483" t="inlineStr">
        <is>
          <t>5</t>
        </is>
      </c>
      <c r="U4483" t="inlineStr">
        <is>
          <t>12</t>
        </is>
      </c>
      <c r="V4483" t="n">
        <v>2025</v>
      </c>
      <c r="W4483" t="n">
        <v/>
      </c>
    </row>
    <row r="4484">
      <c r="A4484" t="inlineStr">
        <is>
          <t>06/12/2025 6:58:08</t>
        </is>
      </c>
      <c r="B4484" t="inlineStr">
        <is>
          <t>Nguyễn Thành Lâm</t>
        </is>
      </c>
      <c r="C4484" t="inlineStr">
        <is>
          <t>05/12/2025</t>
        </is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2</v>
      </c>
      <c r="J4484" t="n">
        <v>0</v>
      </c>
      <c r="K4484" t="n">
        <v>2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3</v>
      </c>
      <c r="R4484" t="n">
        <v>0</v>
      </c>
      <c r="S4484" t="n">
        <v/>
      </c>
      <c r="T4484" t="inlineStr">
        <is>
          <t>5</t>
        </is>
      </c>
      <c r="U4484" t="inlineStr">
        <is>
          <t>12</t>
        </is>
      </c>
      <c r="V4484" t="n">
        <v>2025</v>
      </c>
      <c r="W4484" t="n">
        <v/>
      </c>
    </row>
    <row r="4485">
      <c r="A4485" t="inlineStr">
        <is>
          <t>06/12/2025 7:00:59</t>
        </is>
      </c>
      <c r="B4485" t="inlineStr">
        <is>
          <t>Đào Công Trung</t>
        </is>
      </c>
      <c r="C4485" t="inlineStr">
        <is>
          <t>05/12/2025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2</v>
      </c>
      <c r="J4485" t="n">
        <v>0</v>
      </c>
      <c r="K4485" t="n">
        <v>5</v>
      </c>
      <c r="L4485" t="n">
        <v>4</v>
      </c>
      <c r="M4485" t="n">
        <v>0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/>
      </c>
      <c r="T4485" t="inlineStr">
        <is>
          <t>5</t>
        </is>
      </c>
      <c r="U4485" t="inlineStr">
        <is>
          <t>12</t>
        </is>
      </c>
      <c r="V4485" t="n">
        <v>2025</v>
      </c>
      <c r="W4485" t="n">
        <v/>
      </c>
    </row>
    <row r="4486">
      <c r="A4486" t="inlineStr">
        <is>
          <t>06/12/2025 7:14:23</t>
        </is>
      </c>
      <c r="B4486" t="inlineStr">
        <is>
          <t>Nguyễn Văn Hiệp</t>
        </is>
      </c>
      <c r="C4486" t="inlineStr">
        <is>
          <t>05/12/2025</t>
        </is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4</v>
      </c>
      <c r="J4486" t="n">
        <v>0</v>
      </c>
      <c r="K4486" t="n">
        <v>3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/>
      </c>
      <c r="T4486" t="inlineStr">
        <is>
          <t>5</t>
        </is>
      </c>
      <c r="U4486" t="inlineStr">
        <is>
          <t>12</t>
        </is>
      </c>
      <c r="V4486" t="n">
        <v>2025</v>
      </c>
      <c r="W4486" t="n">
        <v/>
      </c>
    </row>
    <row r="4487">
      <c r="A4487" t="inlineStr">
        <is>
          <t>06/12/2025 7:16:31</t>
        </is>
      </c>
      <c r="B4487" t="inlineStr">
        <is>
          <t>Đặng Hoài Anh</t>
        </is>
      </c>
      <c r="C4487" t="inlineStr">
        <is>
          <t>05/12/2025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14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2</v>
      </c>
      <c r="Q4487" t="n">
        <v>0</v>
      </c>
      <c r="R4487" t="n">
        <v>0</v>
      </c>
      <c r="S4487" t="n">
        <v/>
      </c>
      <c r="T4487" t="inlineStr">
        <is>
          <t>5</t>
        </is>
      </c>
      <c r="U4487" t="inlineStr">
        <is>
          <t>12</t>
        </is>
      </c>
      <c r="V4487" t="n">
        <v>2025</v>
      </c>
      <c r="W4487" t="n">
        <v/>
      </c>
    </row>
    <row r="4488">
      <c r="A4488" t="inlineStr">
        <is>
          <t>06/12/2025 7:17:01</t>
        </is>
      </c>
      <c r="B4488" t="inlineStr">
        <is>
          <t>Huỳnh Văn Lực</t>
        </is>
      </c>
      <c r="C4488" t="inlineStr">
        <is>
          <t>05/12/2025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1</v>
      </c>
      <c r="Q4488" t="n">
        <v>2</v>
      </c>
      <c r="R4488" t="n">
        <v>0</v>
      </c>
      <c r="S4488" t="n">
        <v/>
      </c>
      <c r="T4488" t="inlineStr">
        <is>
          <t>5</t>
        </is>
      </c>
      <c r="U4488" t="inlineStr">
        <is>
          <t>12</t>
        </is>
      </c>
      <c r="V4488" t="n">
        <v>2025</v>
      </c>
      <c r="W4488" t="n">
        <v/>
      </c>
    </row>
    <row r="4489">
      <c r="A4489" t="inlineStr">
        <is>
          <t>06/12/2025 7:18:21</t>
        </is>
      </c>
      <c r="B4489" t="inlineStr">
        <is>
          <t>Nguyễn Quang Anh Tuấn</t>
        </is>
      </c>
      <c r="C4489" t="inlineStr">
        <is>
          <t>05/12/2025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15</v>
      </c>
      <c r="J4489" t="n">
        <v>0</v>
      </c>
      <c r="K4489" t="n">
        <v>3</v>
      </c>
      <c r="L4489" t="n">
        <v>0</v>
      </c>
      <c r="M4489" t="n">
        <v>0</v>
      </c>
      <c r="N4489" t="n">
        <v>0</v>
      </c>
      <c r="O4489" t="n">
        <v>0</v>
      </c>
      <c r="P4489" t="n">
        <v>1</v>
      </c>
      <c r="Q4489" t="n">
        <v>2</v>
      </c>
      <c r="R4489" t="n">
        <v>0</v>
      </c>
      <c r="S4489" t="n">
        <v/>
      </c>
      <c r="T4489" t="inlineStr">
        <is>
          <t>5</t>
        </is>
      </c>
      <c r="U4489" t="inlineStr">
        <is>
          <t>12</t>
        </is>
      </c>
      <c r="V4489" t="n">
        <v>2025</v>
      </c>
      <c r="W4489" t="n">
        <v/>
      </c>
    </row>
    <row r="4490">
      <c r="A4490" t="inlineStr">
        <is>
          <t>06/12/2025 7:18:32</t>
        </is>
      </c>
      <c r="B4490" t="inlineStr">
        <is>
          <t>Dương Minh Tiến</t>
        </is>
      </c>
      <c r="C4490" t="inlineStr">
        <is>
          <t>05/12/2025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5</v>
      </c>
      <c r="J4490" t="n">
        <v>0</v>
      </c>
      <c r="K4490" t="n">
        <v>2</v>
      </c>
      <c r="L4490" t="n">
        <v>0</v>
      </c>
      <c r="M4490" t="n">
        <v>0</v>
      </c>
      <c r="N4490" t="n">
        <v>0</v>
      </c>
      <c r="O4490" t="n">
        <v>0</v>
      </c>
      <c r="P4490" t="n">
        <v>3</v>
      </c>
      <c r="Q4490" t="n">
        <v>1</v>
      </c>
      <c r="R4490" t="n">
        <v>2</v>
      </c>
      <c r="S4490" t="n">
        <v/>
      </c>
      <c r="T4490" t="inlineStr">
        <is>
          <t>5</t>
        </is>
      </c>
      <c r="U4490" t="inlineStr">
        <is>
          <t>12</t>
        </is>
      </c>
      <c r="V4490" t="n">
        <v>2025</v>
      </c>
      <c r="W4490" t="n">
        <v/>
      </c>
    </row>
    <row r="4491">
      <c r="A4491" t="inlineStr">
        <is>
          <t>06/12/2025 7:19:06</t>
        </is>
      </c>
      <c r="B4491" t="inlineStr">
        <is>
          <t>Nguyễn Tuấn Anh</t>
        </is>
      </c>
      <c r="C4491" t="inlineStr">
        <is>
          <t>05/12/2025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6</v>
      </c>
      <c r="J4491" t="n">
        <v>0</v>
      </c>
      <c r="K4491" t="n">
        <v>2</v>
      </c>
      <c r="L4491" t="n">
        <v>2</v>
      </c>
      <c r="M4491" t="n">
        <v>0</v>
      </c>
      <c r="N4491" t="n">
        <v>0</v>
      </c>
      <c r="O4491" t="n">
        <v>0</v>
      </c>
      <c r="P4491" t="n">
        <v>1</v>
      </c>
      <c r="Q4491" t="n">
        <v>2</v>
      </c>
      <c r="R4491" t="n">
        <v>0</v>
      </c>
      <c r="S4491" t="n">
        <v/>
      </c>
      <c r="T4491" t="inlineStr">
        <is>
          <t>5</t>
        </is>
      </c>
      <c r="U4491" t="inlineStr">
        <is>
          <t>12</t>
        </is>
      </c>
      <c r="V4491" t="n">
        <v>2025</v>
      </c>
      <c r="W4491" t="n">
        <v/>
      </c>
    </row>
    <row r="4492">
      <c r="A4492" t="inlineStr">
        <is>
          <t>06/12/2025 7:20:57</t>
        </is>
      </c>
      <c r="B4492" t="inlineStr">
        <is>
          <t>Trần Trung Giang</t>
        </is>
      </c>
      <c r="C4492" t="inlineStr">
        <is>
          <t>05/12/2025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13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/>
      </c>
      <c r="T4492" t="inlineStr">
        <is>
          <t>5</t>
        </is>
      </c>
      <c r="U4492" t="inlineStr">
        <is>
          <t>12</t>
        </is>
      </c>
      <c r="V4492" t="n">
        <v>2025</v>
      </c>
      <c r="W4492" t="n">
        <v/>
      </c>
    </row>
    <row r="4493">
      <c r="A4493" t="inlineStr">
        <is>
          <t>06/12/2025 7:24:18</t>
        </is>
      </c>
      <c r="B4493" t="inlineStr">
        <is>
          <t>Lê Hồng Phong</t>
        </is>
      </c>
      <c r="C4493" t="inlineStr">
        <is>
          <t>06/12/2025</t>
        </is>
      </c>
      <c r="D4493" t="n">
        <v>1</v>
      </c>
      <c r="E4493" t="n">
        <v>1</v>
      </c>
      <c r="F4493" t="n">
        <v>1</v>
      </c>
      <c r="G4493" t="n">
        <v>0</v>
      </c>
      <c r="H4493" t="n">
        <v>0</v>
      </c>
      <c r="I4493" t="n">
        <v>1</v>
      </c>
      <c r="J4493" t="n">
        <v>1</v>
      </c>
      <c r="K4493" t="n">
        <v>1</v>
      </c>
      <c r="L4493" t="n">
        <v>1</v>
      </c>
      <c r="M4493" t="n">
        <v>1</v>
      </c>
      <c r="N4493" t="n">
        <v>1</v>
      </c>
      <c r="O4493" t="n">
        <v>1</v>
      </c>
      <c r="P4493" t="n">
        <v>1</v>
      </c>
      <c r="Q4493" t="n">
        <v>1</v>
      </c>
      <c r="R4493" t="n">
        <v>1</v>
      </c>
      <c r="S4493" t="n">
        <v/>
      </c>
      <c r="T4493" t="inlineStr">
        <is>
          <t>6</t>
        </is>
      </c>
      <c r="U4493" t="inlineStr">
        <is>
          <t>12</t>
        </is>
      </c>
      <c r="V4493" t="n">
        <v>2025</v>
      </c>
      <c r="W4493" t="n">
        <v/>
      </c>
    </row>
    <row r="4494">
      <c r="A4494" t="inlineStr">
        <is>
          <t>06/12/2025 7:34:07</t>
        </is>
      </c>
      <c r="B4494" t="inlineStr">
        <is>
          <t>Bùi Duy Cường</t>
        </is>
      </c>
      <c r="C4494" t="inlineStr">
        <is>
          <t>05/12/2025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5</v>
      </c>
      <c r="J4494" t="n">
        <v>0</v>
      </c>
      <c r="K4494" t="n">
        <v>0</v>
      </c>
      <c r="L4494" t="n">
        <v>3</v>
      </c>
      <c r="M4494" t="n">
        <v>0</v>
      </c>
      <c r="N4494" t="n">
        <v>0</v>
      </c>
      <c r="O4494" t="n">
        <v>0</v>
      </c>
      <c r="P4494" t="n">
        <v>1</v>
      </c>
      <c r="Q4494" t="n">
        <v>2</v>
      </c>
      <c r="R4494" t="n">
        <v>0</v>
      </c>
      <c r="S4494" t="n">
        <v/>
      </c>
      <c r="T4494" t="inlineStr">
        <is>
          <t>5</t>
        </is>
      </c>
      <c r="U4494" t="inlineStr">
        <is>
          <t>12</t>
        </is>
      </c>
      <c r="V4494" t="n">
        <v>2025</v>
      </c>
      <c r="W4494" t="n">
        <v/>
      </c>
    </row>
    <row r="4495">
      <c r="A4495" t="inlineStr">
        <is>
          <t>06/12/2025 7:54:59</t>
        </is>
      </c>
      <c r="B4495" t="inlineStr">
        <is>
          <t>Nguyễn Văn Nhật</t>
        </is>
      </c>
      <c r="C4495" t="inlineStr">
        <is>
          <t>05/12/2025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1</v>
      </c>
      <c r="K4495" t="n">
        <v>2</v>
      </c>
      <c r="L4495" t="n">
        <v>6</v>
      </c>
      <c r="M4495" t="n">
        <v>1</v>
      </c>
      <c r="N4495" t="n">
        <v>0</v>
      </c>
      <c r="O4495" t="n">
        <v>0</v>
      </c>
      <c r="P4495" t="n">
        <v>0</v>
      </c>
      <c r="Q4495" t="n">
        <v>2</v>
      </c>
      <c r="R4495" t="n">
        <v>0</v>
      </c>
      <c r="S4495" t="n">
        <v/>
      </c>
      <c r="T4495" t="inlineStr">
        <is>
          <t>5</t>
        </is>
      </c>
      <c r="U4495" t="inlineStr">
        <is>
          <t>12</t>
        </is>
      </c>
      <c r="V4495" t="n">
        <v>2025</v>
      </c>
      <c r="W4495" t="n">
        <v/>
      </c>
    </row>
    <row r="4496">
      <c r="A4496" t="inlineStr">
        <is>
          <t>06/12/2025 8:40:21</t>
        </is>
      </c>
      <c r="B4496" t="inlineStr">
        <is>
          <t>Lương Duy Hoàng</t>
        </is>
      </c>
      <c r="C4496" t="inlineStr">
        <is>
          <t>05/12/2025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3</v>
      </c>
      <c r="J4496" t="n">
        <v>0</v>
      </c>
      <c r="K4496" t="n">
        <v>2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2</v>
      </c>
      <c r="R4496" t="n">
        <v>0</v>
      </c>
      <c r="S4496" t="n">
        <v/>
      </c>
      <c r="T4496" t="inlineStr">
        <is>
          <t>5</t>
        </is>
      </c>
      <c r="U4496" t="inlineStr">
        <is>
          <t>12</t>
        </is>
      </c>
      <c r="V4496" t="n">
        <v>2025</v>
      </c>
      <c r="W4496" t="n">
        <v/>
      </c>
    </row>
    <row r="4497">
      <c r="A4497" t="inlineStr">
        <is>
          <t>06/12/2025 8:50:57</t>
        </is>
      </c>
      <c r="B4497" t="inlineStr">
        <is>
          <t>Lê Văn Hồng</t>
        </is>
      </c>
      <c r="C4497" t="inlineStr">
        <is>
          <t>05/12/2025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2</v>
      </c>
      <c r="J4497" t="n">
        <v>0</v>
      </c>
      <c r="K4497" t="n">
        <v>12</v>
      </c>
      <c r="L4497" t="n">
        <v>2</v>
      </c>
      <c r="M4497" t="n">
        <v>0</v>
      </c>
      <c r="N4497" t="n">
        <v>0</v>
      </c>
      <c r="O4497" t="n">
        <v>0</v>
      </c>
      <c r="P4497" t="n">
        <v>1</v>
      </c>
      <c r="Q4497" t="n">
        <v>3</v>
      </c>
      <c r="R4497" t="n">
        <v>0</v>
      </c>
      <c r="S4497" t="n">
        <v/>
      </c>
      <c r="T4497" t="inlineStr">
        <is>
          <t>5</t>
        </is>
      </c>
      <c r="U4497" t="inlineStr">
        <is>
          <t>12</t>
        </is>
      </c>
      <c r="V4497" t="n">
        <v>2025</v>
      </c>
      <c r="W4497" t="n">
        <v/>
      </c>
    </row>
    <row r="4498">
      <c r="A4498" t="inlineStr">
        <is>
          <t>06/12/2025 10:52:36</t>
        </is>
      </c>
      <c r="B4498" t="inlineStr">
        <is>
          <t>Nguyễn Hồng Minh</t>
        </is>
      </c>
      <c r="C4498" t="inlineStr">
        <is>
          <t>05/12/2025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2</v>
      </c>
      <c r="L4498" t="n">
        <v>0</v>
      </c>
      <c r="M4498" t="n">
        <v>0</v>
      </c>
      <c r="N4498" t="n">
        <v>2</v>
      </c>
      <c r="O4498" t="n">
        <v>0</v>
      </c>
      <c r="P4498" t="n">
        <v>0</v>
      </c>
      <c r="Q4498" t="n">
        <v>3</v>
      </c>
      <c r="R4498" t="n">
        <v>0</v>
      </c>
      <c r="S4498" t="n">
        <v/>
      </c>
      <c r="T4498" t="inlineStr">
        <is>
          <t>5</t>
        </is>
      </c>
      <c r="U4498" t="inlineStr">
        <is>
          <t>12</t>
        </is>
      </c>
      <c r="V4498" t="n">
        <v>2025</v>
      </c>
      <c r="W4498" t="n">
        <v/>
      </c>
    </row>
    <row r="4499">
      <c r="A4499" t="inlineStr">
        <is>
          <t>06/12/2025 12:30:17</t>
        </is>
      </c>
      <c r="B4499" t="inlineStr">
        <is>
          <t>Hồ Thái Minh Trí</t>
        </is>
      </c>
      <c r="C4499" t="inlineStr">
        <is>
          <t>05/12/2025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/>
      </c>
      <c r="T4499" t="inlineStr">
        <is>
          <t>5</t>
        </is>
      </c>
      <c r="U4499" t="inlineStr">
        <is>
          <t>12</t>
        </is>
      </c>
      <c r="V4499" t="n">
        <v>2025</v>
      </c>
      <c r="W4499" t="n">
        <v/>
      </c>
    </row>
    <row r="4500">
      <c r="A4500" t="inlineStr">
        <is>
          <t>06/12/2025 18:35:35</t>
        </is>
      </c>
      <c r="B4500" t="inlineStr">
        <is>
          <t>Nguyễn Thành Lâm</t>
        </is>
      </c>
      <c r="C4500" t="inlineStr">
        <is>
          <t>06/12/2025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3</v>
      </c>
      <c r="L4500" t="n">
        <v>0</v>
      </c>
      <c r="M4500" t="n">
        <v>0</v>
      </c>
      <c r="N4500" t="n">
        <v>0</v>
      </c>
      <c r="O4500" t="n">
        <v>0</v>
      </c>
      <c r="P4500" t="n">
        <v>1</v>
      </c>
      <c r="Q4500" t="n">
        <v>2</v>
      </c>
      <c r="R4500" t="n">
        <v>0</v>
      </c>
      <c r="S4500" t="n">
        <v/>
      </c>
      <c r="T4500" t="inlineStr">
        <is>
          <t>6</t>
        </is>
      </c>
      <c r="U4500" t="inlineStr">
        <is>
          <t>12</t>
        </is>
      </c>
      <c r="V4500" t="n">
        <v>2025</v>
      </c>
      <c r="W4500" t="n">
        <v/>
      </c>
    </row>
    <row r="4501">
      <c r="A4501" t="inlineStr">
        <is>
          <t>06/12/2025 20:02:07</t>
        </is>
      </c>
      <c r="B4501" t="inlineStr">
        <is>
          <t>Đặng Hữu Danh</t>
        </is>
      </c>
      <c r="C4501" t="inlineStr">
        <is>
          <t>06/12/2025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2</v>
      </c>
      <c r="M4501" t="n">
        <v>0</v>
      </c>
      <c r="N4501" t="n">
        <v>0</v>
      </c>
      <c r="O4501" t="n">
        <v>0</v>
      </c>
      <c r="P4501" t="n">
        <v>1</v>
      </c>
      <c r="Q4501" t="n">
        <v>3</v>
      </c>
      <c r="R4501" t="n">
        <v>0</v>
      </c>
      <c r="S4501" t="n">
        <v/>
      </c>
      <c r="T4501" t="inlineStr">
        <is>
          <t>6</t>
        </is>
      </c>
      <c r="U4501" t="inlineStr">
        <is>
          <t>12</t>
        </is>
      </c>
      <c r="V4501" t="n">
        <v>2025</v>
      </c>
      <c r="W4501" t="n">
        <v/>
      </c>
    </row>
    <row r="4502">
      <c r="A4502" t="inlineStr">
        <is>
          <t>06/12/2025 22:46:25</t>
        </is>
      </c>
      <c r="B4502" t="inlineStr">
        <is>
          <t>Trần Minh Khánh</t>
        </is>
      </c>
      <c r="C4502" t="inlineStr">
        <is>
          <t>06/12/2025</t>
        </is>
      </c>
      <c r="D4502" t="n">
        <v>1</v>
      </c>
      <c r="E4502" t="n">
        <v>1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2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4</v>
      </c>
      <c r="R4502" t="n">
        <v>0</v>
      </c>
      <c r="S4502" t="n">
        <v/>
      </c>
      <c r="T4502" t="inlineStr">
        <is>
          <t>6</t>
        </is>
      </c>
      <c r="U4502" t="inlineStr">
        <is>
          <t>12</t>
        </is>
      </c>
      <c r="V4502" t="n">
        <v>2025</v>
      </c>
      <c r="W4502" t="n">
        <v/>
      </c>
    </row>
    <row r="4503">
      <c r="A4503" t="inlineStr">
        <is>
          <t>07/12/2025 6:17:54</t>
        </is>
      </c>
      <c r="B4503" t="inlineStr">
        <is>
          <t>Lê Quốc Duy</t>
        </is>
      </c>
      <c r="C4503" t="inlineStr">
        <is>
          <t>06/12/2025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1</v>
      </c>
      <c r="M4503" t="n">
        <v>0</v>
      </c>
      <c r="N4503" t="n">
        <v>0</v>
      </c>
      <c r="O4503" t="n">
        <v>0</v>
      </c>
      <c r="P4503" t="n">
        <v>0</v>
      </c>
      <c r="Q4503" t="n">
        <v>2</v>
      </c>
      <c r="R4503" t="n">
        <v>0</v>
      </c>
      <c r="S4503" t="n">
        <v/>
      </c>
      <c r="T4503" t="inlineStr">
        <is>
          <t>6</t>
        </is>
      </c>
      <c r="U4503" t="inlineStr">
        <is>
          <t>12</t>
        </is>
      </c>
      <c r="V4503" t="n">
        <v>2025</v>
      </c>
      <c r="W4503" t="n">
        <v/>
      </c>
    </row>
    <row r="4504">
      <c r="A4504" t="inlineStr">
        <is>
          <t>07/12/2025 6:23:03</t>
        </is>
      </c>
      <c r="B4504" t="inlineStr">
        <is>
          <t>Phan Ngọc Sang</t>
        </is>
      </c>
      <c r="C4504" t="inlineStr">
        <is>
          <t>06/12/2025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3</v>
      </c>
      <c r="R4504" t="n">
        <v>0</v>
      </c>
      <c r="S4504" t="n">
        <v/>
      </c>
      <c r="T4504" t="inlineStr">
        <is>
          <t>6</t>
        </is>
      </c>
      <c r="U4504" t="inlineStr">
        <is>
          <t>12</t>
        </is>
      </c>
      <c r="V4504" t="n">
        <v>2025</v>
      </c>
      <c r="W4504" t="n">
        <v/>
      </c>
    </row>
    <row r="4505">
      <c r="A4505" t="inlineStr">
        <is>
          <t>07/12/2025 6:41:33</t>
        </is>
      </c>
      <c r="B4505" t="inlineStr">
        <is>
          <t>Vòng Nhật Sang</t>
        </is>
      </c>
      <c r="C4505" t="inlineStr">
        <is>
          <t>06/12/2025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15</v>
      </c>
      <c r="J4505" t="n">
        <v>0</v>
      </c>
      <c r="K4505" t="n">
        <v>2</v>
      </c>
      <c r="L4505" t="n">
        <v>0</v>
      </c>
      <c r="M4505" t="n">
        <v>0</v>
      </c>
      <c r="N4505" t="n">
        <v>15</v>
      </c>
      <c r="O4505" t="n">
        <v>0</v>
      </c>
      <c r="P4505" t="n">
        <v>0</v>
      </c>
      <c r="Q4505" t="n">
        <v>2</v>
      </c>
      <c r="R4505" t="n">
        <v>0</v>
      </c>
      <c r="S4505" t="n">
        <v/>
      </c>
      <c r="T4505" t="inlineStr">
        <is>
          <t>6</t>
        </is>
      </c>
      <c r="U4505" t="inlineStr">
        <is>
          <t>12</t>
        </is>
      </c>
      <c r="V4505" t="n">
        <v>2025</v>
      </c>
      <c r="W4505" t="n">
        <v/>
      </c>
    </row>
    <row r="4506">
      <c r="A4506" t="inlineStr">
        <is>
          <t>07/12/2025 6:42:38</t>
        </is>
      </c>
      <c r="B4506" t="inlineStr">
        <is>
          <t>Hồ Xuân Việt</t>
        </is>
      </c>
      <c r="C4506" t="inlineStr">
        <is>
          <t>06/12/2025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9</v>
      </c>
      <c r="J4506" t="n">
        <v>0</v>
      </c>
      <c r="K4506" t="n">
        <v>6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2</v>
      </c>
      <c r="R4506" t="n">
        <v>0</v>
      </c>
      <c r="S4506" t="n">
        <v/>
      </c>
      <c r="T4506" t="inlineStr">
        <is>
          <t>6</t>
        </is>
      </c>
      <c r="U4506" t="inlineStr">
        <is>
          <t>12</t>
        </is>
      </c>
      <c r="V4506" t="n">
        <v>2025</v>
      </c>
      <c r="W4506" t="n">
        <v/>
      </c>
    </row>
    <row r="4507">
      <c r="A4507" t="inlineStr">
        <is>
          <t>07/12/2025 6:53:59</t>
        </is>
      </c>
      <c r="B4507" t="inlineStr">
        <is>
          <t>Trần Xuân Khoa</t>
        </is>
      </c>
      <c r="C4507" t="inlineStr">
        <is>
          <t>06/12/2025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3</v>
      </c>
      <c r="J4507" t="n">
        <v>0</v>
      </c>
      <c r="K4507" t="n">
        <v>4</v>
      </c>
      <c r="L4507" t="n">
        <v>2</v>
      </c>
      <c r="M4507" t="n">
        <v>0</v>
      </c>
      <c r="N4507" t="n">
        <v>0</v>
      </c>
      <c r="O4507" t="n">
        <v>0</v>
      </c>
      <c r="P4507" t="n">
        <v>1</v>
      </c>
      <c r="Q4507" t="n">
        <v>2</v>
      </c>
      <c r="R4507" t="n">
        <v>0</v>
      </c>
      <c r="S4507" t="n">
        <v/>
      </c>
      <c r="T4507" t="inlineStr">
        <is>
          <t>6</t>
        </is>
      </c>
      <c r="U4507" t="inlineStr">
        <is>
          <t>12</t>
        </is>
      </c>
      <c r="V4507" t="n">
        <v>2025</v>
      </c>
      <c r="W4507" t="n">
        <v/>
      </c>
    </row>
    <row r="4508">
      <c r="A4508" t="inlineStr">
        <is>
          <t>07/12/2025 6:59:22</t>
        </is>
      </c>
      <c r="B4508" t="inlineStr">
        <is>
          <t>Lương Duy Hải</t>
        </is>
      </c>
      <c r="C4508" t="inlineStr">
        <is>
          <t>06/12/2025</t>
        </is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0</v>
      </c>
      <c r="J4508" t="n">
        <v>1</v>
      </c>
      <c r="K4508" t="n">
        <v>1</v>
      </c>
      <c r="L4508" t="n">
        <v>5</v>
      </c>
      <c r="M4508" t="n">
        <v>0</v>
      </c>
      <c r="N4508" t="n">
        <v>0</v>
      </c>
      <c r="O4508" t="n">
        <v>2</v>
      </c>
      <c r="P4508" t="n">
        <v>1</v>
      </c>
      <c r="Q4508" t="n">
        <v>2</v>
      </c>
      <c r="R4508" t="n">
        <v>0</v>
      </c>
      <c r="S4508" t="n">
        <v/>
      </c>
      <c r="T4508" t="inlineStr">
        <is>
          <t>6</t>
        </is>
      </c>
      <c r="U4508" t="inlineStr">
        <is>
          <t>12</t>
        </is>
      </c>
      <c r="V4508" t="n">
        <v>2025</v>
      </c>
      <c r="W4508" t="n">
        <v/>
      </c>
    </row>
    <row r="4509">
      <c r="A4509" t="inlineStr">
        <is>
          <t>07/12/2025 7:06:23</t>
        </is>
      </c>
      <c r="B4509" t="inlineStr">
        <is>
          <t>Phan Thành Thái</t>
        </is>
      </c>
      <c r="C4509" t="inlineStr">
        <is>
          <t>06/12/2025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2</v>
      </c>
      <c r="J4509" t="n">
        <v>0</v>
      </c>
      <c r="K4509" t="n">
        <v>2</v>
      </c>
      <c r="L4509" t="n">
        <v>2</v>
      </c>
      <c r="M4509" t="n">
        <v>0</v>
      </c>
      <c r="N4509" t="n">
        <v>0</v>
      </c>
      <c r="O4509" t="n">
        <v>0</v>
      </c>
      <c r="P4509" t="n">
        <v>1</v>
      </c>
      <c r="Q4509" t="n">
        <v>4</v>
      </c>
      <c r="R4509" t="n">
        <v>0</v>
      </c>
      <c r="S4509" t="n">
        <v/>
      </c>
      <c r="T4509" t="inlineStr">
        <is>
          <t>6</t>
        </is>
      </c>
      <c r="U4509" t="inlineStr">
        <is>
          <t>12</t>
        </is>
      </c>
      <c r="V4509" t="n">
        <v>2025</v>
      </c>
      <c r="W4509" t="n">
        <v/>
      </c>
    </row>
    <row r="4510">
      <c r="A4510" t="inlineStr">
        <is>
          <t>07/12/2025 7:19:06</t>
        </is>
      </c>
      <c r="B4510" t="inlineStr">
        <is>
          <t>Nguyễn Tuấn Anh</t>
        </is>
      </c>
      <c r="C4510" t="inlineStr">
        <is>
          <t>06/12/2025</t>
        </is>
      </c>
      <c r="D4510" t="n">
        <v>2</v>
      </c>
      <c r="E4510" t="n">
        <v>1</v>
      </c>
      <c r="F4510" t="n">
        <v>1</v>
      </c>
      <c r="G4510" t="n">
        <v>0</v>
      </c>
      <c r="H4510" t="n">
        <v>0</v>
      </c>
      <c r="I4510" t="n">
        <v>2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2</v>
      </c>
      <c r="R4510" t="n">
        <v>0</v>
      </c>
      <c r="S4510" t="n">
        <v/>
      </c>
      <c r="T4510" t="inlineStr">
        <is>
          <t>6</t>
        </is>
      </c>
      <c r="U4510" t="inlineStr">
        <is>
          <t>12</t>
        </is>
      </c>
      <c r="V4510" t="n">
        <v>2025</v>
      </c>
      <c r="W4510" t="n">
        <v/>
      </c>
    </row>
    <row r="4511">
      <c r="A4511" t="inlineStr">
        <is>
          <t>07/12/2025 7:21:46</t>
        </is>
      </c>
      <c r="B4511" t="inlineStr">
        <is>
          <t>Nguyễn Quang Anh Tuấn</t>
        </is>
      </c>
      <c r="C4511" t="inlineStr">
        <is>
          <t>06/12/2025</t>
        </is>
      </c>
      <c r="D4511" t="n">
        <v>0</v>
      </c>
      <c r="E4511" t="n">
        <v>2</v>
      </c>
      <c r="F4511" t="n">
        <v>0</v>
      </c>
      <c r="G4511" t="n">
        <v>0</v>
      </c>
      <c r="H4511" t="n">
        <v>0</v>
      </c>
      <c r="I4511" t="n">
        <v>5</v>
      </c>
      <c r="J4511" t="n">
        <v>0</v>
      </c>
      <c r="K4511" t="n">
        <v>3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/>
      </c>
      <c r="T4511" t="inlineStr">
        <is>
          <t>6</t>
        </is>
      </c>
      <c r="U4511" t="inlineStr">
        <is>
          <t>12</t>
        </is>
      </c>
      <c r="V4511" t="n">
        <v>2025</v>
      </c>
      <c r="W4511" t="n">
        <v/>
      </c>
    </row>
    <row r="4512">
      <c r="A4512" t="inlineStr">
        <is>
          <t>07/12/2025 7:24:07</t>
        </is>
      </c>
      <c r="B4512" t="inlineStr">
        <is>
          <t>Dương Minh Tiến</t>
        </is>
      </c>
      <c r="C4512" t="inlineStr">
        <is>
          <t>06/12/2026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2</v>
      </c>
      <c r="J4512" t="n">
        <v>0</v>
      </c>
      <c r="K4512" t="n">
        <v>1</v>
      </c>
      <c r="L4512" t="n">
        <v>2</v>
      </c>
      <c r="M4512" t="n">
        <v>1</v>
      </c>
      <c r="N4512" t="n">
        <v>0</v>
      </c>
      <c r="O4512" t="n">
        <v>0</v>
      </c>
      <c r="P4512" t="n">
        <v>1</v>
      </c>
      <c r="Q4512" t="n">
        <v>1</v>
      </c>
      <c r="R4512" t="n">
        <v>0</v>
      </c>
      <c r="S4512" t="n">
        <v/>
      </c>
      <c r="T4512" t="inlineStr">
        <is>
          <t>6</t>
        </is>
      </c>
      <c r="U4512" t="inlineStr">
        <is>
          <t>12</t>
        </is>
      </c>
      <c r="V4512" t="n">
        <v>2025</v>
      </c>
      <c r="W4512" t="n">
        <v/>
      </c>
    </row>
    <row r="4513">
      <c r="A4513" t="inlineStr">
        <is>
          <t>07/12/2025 7:29:01</t>
        </is>
      </c>
      <c r="B4513" t="inlineStr">
        <is>
          <t>Lương Duy Hoàng</t>
        </is>
      </c>
      <c r="C4513" t="inlineStr">
        <is>
          <t>06/12/2025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3</v>
      </c>
      <c r="L4513" t="n">
        <v>0</v>
      </c>
      <c r="M4513" t="n">
        <v>0</v>
      </c>
      <c r="N4513" t="n">
        <v>0</v>
      </c>
      <c r="O4513" t="n">
        <v>0</v>
      </c>
      <c r="P4513" t="n">
        <v>1</v>
      </c>
      <c r="Q4513" t="n">
        <v>2</v>
      </c>
      <c r="R4513" t="n">
        <v>0</v>
      </c>
      <c r="S4513" t="n">
        <v/>
      </c>
      <c r="T4513" t="inlineStr">
        <is>
          <t>6</t>
        </is>
      </c>
      <c r="U4513" t="inlineStr">
        <is>
          <t>12</t>
        </is>
      </c>
      <c r="V4513" t="n">
        <v>2025</v>
      </c>
      <c r="W4513" t="n">
        <v/>
      </c>
    </row>
    <row r="4514">
      <c r="A4514" t="inlineStr">
        <is>
          <t>07/12/2025 7:33:11</t>
        </is>
      </c>
      <c r="B4514" t="inlineStr">
        <is>
          <t>Trần Trung Giang</t>
        </is>
      </c>
      <c r="C4514" t="inlineStr">
        <is>
          <t>06/12/2025</t>
        </is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1</v>
      </c>
      <c r="S4514" t="n">
        <v/>
      </c>
      <c r="T4514" t="inlineStr">
        <is>
          <t>6</t>
        </is>
      </c>
      <c r="U4514" t="inlineStr">
        <is>
          <t>12</t>
        </is>
      </c>
      <c r="V4514" t="n">
        <v>2025</v>
      </c>
      <c r="W4514" t="n">
        <v/>
      </c>
    </row>
    <row r="4515">
      <c r="A4515" t="inlineStr">
        <is>
          <t>07/12/2025 7:40:50</t>
        </is>
      </c>
      <c r="B4515" t="inlineStr">
        <is>
          <t>Nguyễn Văn Nhật</t>
        </is>
      </c>
      <c r="C4515" t="inlineStr">
        <is>
          <t>06/12/2025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4</v>
      </c>
      <c r="L4515" t="n">
        <v>3</v>
      </c>
      <c r="M4515" t="n">
        <v>1</v>
      </c>
      <c r="N4515" t="n">
        <v>0</v>
      </c>
      <c r="O4515" t="n">
        <v>2</v>
      </c>
      <c r="P4515" t="n">
        <v>1</v>
      </c>
      <c r="Q4515" t="n">
        <v>7</v>
      </c>
      <c r="R4515" t="n">
        <v>0</v>
      </c>
      <c r="S4515" t="n">
        <v/>
      </c>
      <c r="T4515" t="inlineStr">
        <is>
          <t>6</t>
        </is>
      </c>
      <c r="U4515" t="inlineStr">
        <is>
          <t>12</t>
        </is>
      </c>
      <c r="V4515" t="n">
        <v>2025</v>
      </c>
      <c r="W4515" t="n">
        <v/>
      </c>
    </row>
    <row r="4516">
      <c r="A4516" t="inlineStr">
        <is>
          <t>07/12/2025 7:54:34</t>
        </is>
      </c>
      <c r="B4516" t="inlineStr">
        <is>
          <t>Huỳnh Văn Lực</t>
        </is>
      </c>
      <c r="C4516" t="inlineStr">
        <is>
          <t>06/12/2025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/>
      </c>
      <c r="T4516" t="inlineStr">
        <is>
          <t>6</t>
        </is>
      </c>
      <c r="U4516" t="inlineStr">
        <is>
          <t>12</t>
        </is>
      </c>
      <c r="V4516" t="n">
        <v>2025</v>
      </c>
      <c r="W4516" t="n">
        <v/>
      </c>
    </row>
    <row r="4517">
      <c r="A4517" t="inlineStr">
        <is>
          <t>07/12/2025 8:05:41</t>
        </is>
      </c>
      <c r="B4517" t="inlineStr">
        <is>
          <t>Nguyễn Văn Hiệp</t>
        </is>
      </c>
      <c r="C4517" t="inlineStr">
        <is>
          <t>06/12/2025</t>
        </is>
      </c>
      <c r="D4517" t="n">
        <v>1</v>
      </c>
      <c r="E4517" t="n">
        <v>1</v>
      </c>
      <c r="F4517" t="n">
        <v>0</v>
      </c>
      <c r="G4517" t="n">
        <v>0</v>
      </c>
      <c r="H4517" t="n">
        <v>0</v>
      </c>
      <c r="I4517" t="n">
        <v>3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/>
      </c>
      <c r="T4517" t="inlineStr">
        <is>
          <t>6</t>
        </is>
      </c>
      <c r="U4517" t="inlineStr">
        <is>
          <t>12</t>
        </is>
      </c>
      <c r="V4517" t="n">
        <v>2025</v>
      </c>
      <c r="W4517" t="n">
        <v/>
      </c>
    </row>
    <row r="4518">
      <c r="A4518" t="inlineStr">
        <is>
          <t>07/12/2025 8:08:59</t>
        </is>
      </c>
      <c r="B4518" t="inlineStr">
        <is>
          <t>Hồ Thái Minh Trí</t>
        </is>
      </c>
      <c r="C4518" t="inlineStr">
        <is>
          <t>05/12/2025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/>
      </c>
      <c r="T4518" t="inlineStr">
        <is>
          <t>5</t>
        </is>
      </c>
      <c r="U4518" t="inlineStr">
        <is>
          <t>12</t>
        </is>
      </c>
      <c r="V4518" t="n">
        <v>2025</v>
      </c>
      <c r="W4518" t="n">
        <v/>
      </c>
    </row>
    <row r="4519">
      <c r="A4519" t="inlineStr">
        <is>
          <t>07/12/2025 8:16:58</t>
        </is>
      </c>
      <c r="B4519" t="inlineStr">
        <is>
          <t>Nguyễn Hồng Minh</t>
        </is>
      </c>
      <c r="C4519" t="inlineStr">
        <is>
          <t>06/12/2025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0</v>
      </c>
      <c r="N4519" t="n">
        <v>2</v>
      </c>
      <c r="O4519" t="n">
        <v>0</v>
      </c>
      <c r="P4519" t="n">
        <v>0</v>
      </c>
      <c r="Q4519" t="n">
        <v>5</v>
      </c>
      <c r="R4519" t="n">
        <v>0</v>
      </c>
      <c r="S4519" t="n">
        <v/>
      </c>
      <c r="T4519" t="inlineStr">
        <is>
          <t>6</t>
        </is>
      </c>
      <c r="U4519" t="inlineStr">
        <is>
          <t>12</t>
        </is>
      </c>
      <c r="V4519" t="n">
        <v>2025</v>
      </c>
      <c r="W4519" t="n">
        <v/>
      </c>
    </row>
    <row r="4520">
      <c r="A4520" t="inlineStr">
        <is>
          <t>07/12/2025 8:18:52</t>
        </is>
      </c>
      <c r="B4520" t="inlineStr">
        <is>
          <t>Đào Công Trung</t>
        </is>
      </c>
      <c r="C4520" t="inlineStr">
        <is>
          <t>06/12/2025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2</v>
      </c>
      <c r="M4520" t="n">
        <v>1</v>
      </c>
      <c r="N4520" t="n">
        <v>2</v>
      </c>
      <c r="O4520" t="n">
        <v>0</v>
      </c>
      <c r="P4520" t="n">
        <v>0</v>
      </c>
      <c r="Q4520" t="n">
        <v>0</v>
      </c>
      <c r="R4520" t="n">
        <v>0</v>
      </c>
      <c r="S4520" t="n">
        <v/>
      </c>
      <c r="T4520" t="inlineStr">
        <is>
          <t>6</t>
        </is>
      </c>
      <c r="U4520" t="inlineStr">
        <is>
          <t>12</t>
        </is>
      </c>
      <c r="V4520" t="n">
        <v>2025</v>
      </c>
      <c r="W4520" t="n">
        <v/>
      </c>
    </row>
    <row r="4521">
      <c r="A4521" t="inlineStr">
        <is>
          <t>07/12/2025 8:25:03</t>
        </is>
      </c>
      <c r="B4521" t="inlineStr">
        <is>
          <t>Lê Văn Hồng</t>
        </is>
      </c>
      <c r="C4521" t="inlineStr">
        <is>
          <t>06/12/2025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2</v>
      </c>
      <c r="J4521" t="n">
        <v>0</v>
      </c>
      <c r="K4521" t="n">
        <v>2</v>
      </c>
      <c r="L4521" t="n">
        <v>1</v>
      </c>
      <c r="M4521" t="n">
        <v>0</v>
      </c>
      <c r="N4521" t="n">
        <v>2</v>
      </c>
      <c r="O4521" t="n">
        <v>0</v>
      </c>
      <c r="P4521" t="n">
        <v>3</v>
      </c>
      <c r="Q4521" t="n">
        <v>2</v>
      </c>
      <c r="R4521" t="n">
        <v>0</v>
      </c>
      <c r="S4521" t="n">
        <v/>
      </c>
      <c r="T4521" t="inlineStr">
        <is>
          <t>6</t>
        </is>
      </c>
      <c r="U4521" t="inlineStr">
        <is>
          <t>12</t>
        </is>
      </c>
      <c r="V4521" t="n">
        <v>2025</v>
      </c>
      <c r="W4521" t="n">
        <v/>
      </c>
    </row>
    <row r="4522">
      <c r="A4522" t="inlineStr">
        <is>
          <t>07/12/2025 8:38:33</t>
        </is>
      </c>
      <c r="B4522" t="inlineStr">
        <is>
          <t>Lê Hồng Phong</t>
        </is>
      </c>
      <c r="C4522" t="inlineStr">
        <is>
          <t>07/12/2025</t>
        </is>
      </c>
      <c r="D4522" t="n">
        <v>1</v>
      </c>
      <c r="E4522" t="n">
        <v>1</v>
      </c>
      <c r="F4522" t="n">
        <v>1</v>
      </c>
      <c r="G4522" t="n">
        <v>0</v>
      </c>
      <c r="H4522" t="n">
        <v>0</v>
      </c>
      <c r="I4522" t="n">
        <v>1</v>
      </c>
      <c r="J4522" t="n">
        <v>1</v>
      </c>
      <c r="K4522" t="n">
        <v>1</v>
      </c>
      <c r="L4522" t="n">
        <v>1</v>
      </c>
      <c r="M4522" t="n">
        <v>1</v>
      </c>
      <c r="N4522" t="n">
        <v>1</v>
      </c>
      <c r="O4522" t="n">
        <v>0</v>
      </c>
      <c r="P4522" t="n">
        <v>1</v>
      </c>
      <c r="Q4522" t="n">
        <v>1</v>
      </c>
      <c r="R4522" t="n">
        <v>1</v>
      </c>
      <c r="S4522" t="n">
        <v/>
      </c>
      <c r="T4522" t="inlineStr">
        <is>
          <t>7</t>
        </is>
      </c>
      <c r="U4522" t="inlineStr">
        <is>
          <t>12</t>
        </is>
      </c>
      <c r="V4522" t="n">
        <v>2025</v>
      </c>
      <c r="W4522" t="n">
        <v/>
      </c>
    </row>
    <row r="4523">
      <c r="A4523" t="inlineStr">
        <is>
          <t>07/12/2025 11:13:15</t>
        </is>
      </c>
      <c r="B4523" t="inlineStr">
        <is>
          <t>Bùi Duy Cường</t>
        </is>
      </c>
      <c r="C4523" t="inlineStr">
        <is>
          <t>06/12/2025</t>
        </is>
      </c>
      <c r="D4523" t="n">
        <v>0</v>
      </c>
      <c r="E4523" t="n">
        <v>0</v>
      </c>
      <c r="F4523" t="n">
        <v>0</v>
      </c>
      <c r="G4523" t="n">
        <v>1</v>
      </c>
      <c r="H4523" t="n">
        <v>1</v>
      </c>
      <c r="I4523" t="n">
        <v>1</v>
      </c>
      <c r="J4523" t="n">
        <v>0</v>
      </c>
      <c r="K4523" t="n">
        <v>10</v>
      </c>
      <c r="L4523" t="n">
        <v>2</v>
      </c>
      <c r="M4523" t="n">
        <v>1</v>
      </c>
      <c r="N4523" t="n">
        <v>1</v>
      </c>
      <c r="O4523" t="n">
        <v>1</v>
      </c>
      <c r="P4523" t="n">
        <v>0</v>
      </c>
      <c r="Q4523" t="n">
        <v>2</v>
      </c>
      <c r="R4523" t="n">
        <v>0</v>
      </c>
      <c r="S4523" t="n">
        <v/>
      </c>
      <c r="T4523" t="inlineStr">
        <is>
          <t>6</t>
        </is>
      </c>
      <c r="U4523" t="inlineStr">
        <is>
          <t>12</t>
        </is>
      </c>
      <c r="V4523" t="n">
        <v>2025</v>
      </c>
      <c r="W4523" t="n">
        <v/>
      </c>
    </row>
    <row r="4524">
      <c r="A4524" t="inlineStr">
        <is>
          <t>07/12/2025 12:29:41</t>
        </is>
      </c>
      <c r="B4524" t="inlineStr">
        <is>
          <t>Hoàng Văn Chất</t>
        </is>
      </c>
      <c r="C4524" t="inlineStr">
        <is>
          <t>07/12/2025</t>
        </is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2</v>
      </c>
      <c r="L4524" t="n">
        <v>2</v>
      </c>
      <c r="M4524" t="n">
        <v>1</v>
      </c>
      <c r="N4524" t="n">
        <v>0</v>
      </c>
      <c r="O4524" t="n">
        <v>0</v>
      </c>
      <c r="P4524" t="n">
        <v>1</v>
      </c>
      <c r="Q4524" t="n">
        <v>1</v>
      </c>
      <c r="R4524" t="n">
        <v>0</v>
      </c>
      <c r="S4524" t="n">
        <v/>
      </c>
      <c r="T4524" t="inlineStr">
        <is>
          <t>7</t>
        </is>
      </c>
      <c r="U4524" t="inlineStr">
        <is>
          <t>12</t>
        </is>
      </c>
      <c r="V4524" t="n">
        <v>2025</v>
      </c>
      <c r="W4524" t="n">
        <v/>
      </c>
    </row>
    <row r="4525">
      <c r="A4525" t="inlineStr">
        <is>
          <t>07/12/2025 13:55:27</t>
        </is>
      </c>
      <c r="B4525" t="inlineStr">
        <is>
          <t>Đặng Hoài Anh</t>
        </is>
      </c>
      <c r="C4525" t="inlineStr">
        <is>
          <t>06/12/2025</t>
        </is>
      </c>
      <c r="D4525" t="n">
        <v>1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3</v>
      </c>
      <c r="L4525" t="n">
        <v>0</v>
      </c>
      <c r="M4525" t="n">
        <v>2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/>
      </c>
      <c r="T4525" t="inlineStr">
        <is>
          <t>6</t>
        </is>
      </c>
      <c r="U4525" t="inlineStr">
        <is>
          <t>12</t>
        </is>
      </c>
      <c r="V4525" t="n">
        <v>2025</v>
      </c>
      <c r="W4525" t="n">
        <v/>
      </c>
    </row>
    <row r="4526">
      <c r="A4526" t="inlineStr">
        <is>
          <t>07/12/2025 20:00:25</t>
        </is>
      </c>
      <c r="B4526" t="inlineStr">
        <is>
          <t>Đặng Hữu Danh</t>
        </is>
      </c>
      <c r="C4526" t="inlineStr">
        <is>
          <t>07/12/2025</t>
        </is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3</v>
      </c>
      <c r="J4526" t="n">
        <v>0</v>
      </c>
      <c r="K4526" t="n">
        <v>0</v>
      </c>
      <c r="L4526" t="n">
        <v>3</v>
      </c>
      <c r="M4526" t="n">
        <v>0</v>
      </c>
      <c r="N4526" t="n">
        <v>0</v>
      </c>
      <c r="O4526" t="n">
        <v>0</v>
      </c>
      <c r="P4526" t="n">
        <v>2</v>
      </c>
      <c r="Q4526" t="n">
        <v>6</v>
      </c>
      <c r="R4526" t="n">
        <v>0</v>
      </c>
      <c r="S4526" t="n">
        <v/>
      </c>
      <c r="T4526" t="inlineStr">
        <is>
          <t>7</t>
        </is>
      </c>
      <c r="U4526" t="inlineStr">
        <is>
          <t>12</t>
        </is>
      </c>
      <c r="V4526" t="n">
        <v>2025</v>
      </c>
      <c r="W4526" t="n">
        <v/>
      </c>
    </row>
    <row r="4527">
      <c r="A4527" t="inlineStr">
        <is>
          <t>07/12/2025 20:20:44</t>
        </is>
      </c>
      <c r="B4527" t="inlineStr">
        <is>
          <t>Lê Quốc Duy</t>
        </is>
      </c>
      <c r="C4527" t="inlineStr">
        <is>
          <t>07/12/2025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3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/>
      </c>
      <c r="T4527" t="inlineStr">
        <is>
          <t>7</t>
        </is>
      </c>
      <c r="U4527" t="inlineStr">
        <is>
          <t>12</t>
        </is>
      </c>
      <c r="V4527" t="n">
        <v>2025</v>
      </c>
      <c r="W4527" t="n">
        <v/>
      </c>
    </row>
    <row r="4528">
      <c r="A4528" t="inlineStr">
        <is>
          <t>07/12/2025 21:33:44</t>
        </is>
      </c>
      <c r="B4528" t="inlineStr">
        <is>
          <t>Trần Minh Khánh</t>
        </is>
      </c>
      <c r="C4528" t="inlineStr">
        <is>
          <t>07/12/2025</t>
        </is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2</v>
      </c>
      <c r="J4528" t="n">
        <v>0</v>
      </c>
      <c r="K4528" t="n">
        <v>2</v>
      </c>
      <c r="L4528" t="n">
        <v>1</v>
      </c>
      <c r="M4528" t="n">
        <v>0</v>
      </c>
      <c r="N4528" t="n">
        <v>1</v>
      </c>
      <c r="O4528" t="n">
        <v>0</v>
      </c>
      <c r="P4528" t="n">
        <v>1</v>
      </c>
      <c r="Q4528" t="n">
        <v>3</v>
      </c>
      <c r="R4528" t="n">
        <v>0</v>
      </c>
      <c r="S4528" t="n">
        <v/>
      </c>
      <c r="T4528" t="inlineStr">
        <is>
          <t>7</t>
        </is>
      </c>
      <c r="U4528" t="inlineStr">
        <is>
          <t>12</t>
        </is>
      </c>
      <c r="V4528" t="n">
        <v>2025</v>
      </c>
      <c r="W4528" t="n">
        <v/>
      </c>
    </row>
    <row r="4529">
      <c r="A4529" t="inlineStr">
        <is>
          <t>08/12/2025 6:18:21</t>
        </is>
      </c>
      <c r="B4529" t="inlineStr">
        <is>
          <t>Phan Ngọc Sang</t>
        </is>
      </c>
      <c r="C4529" t="inlineStr">
        <is>
          <t>07/12/2025</t>
        </is>
      </c>
      <c r="D4529" t="n">
        <v>0</v>
      </c>
      <c r="E4529" t="n">
        <v>0</v>
      </c>
      <c r="F4529" t="n">
        <v>0</v>
      </c>
      <c r="G4529" t="n">
        <v>1</v>
      </c>
      <c r="H4529" t="n">
        <v>1</v>
      </c>
      <c r="I4529" t="n">
        <v>1</v>
      </c>
      <c r="J4529" t="n">
        <v>0</v>
      </c>
      <c r="K4529" t="n">
        <v>1</v>
      </c>
      <c r="L4529" t="n">
        <v>2</v>
      </c>
      <c r="M4529" t="n">
        <v>2</v>
      </c>
      <c r="N4529" t="n">
        <v>1</v>
      </c>
      <c r="O4529" t="n">
        <v>1</v>
      </c>
      <c r="P4529" t="n">
        <v>0</v>
      </c>
      <c r="Q4529" t="n">
        <v>2</v>
      </c>
      <c r="R4529" t="n">
        <v>0</v>
      </c>
      <c r="S4529" t="n">
        <v/>
      </c>
      <c r="T4529" t="inlineStr">
        <is>
          <t>7</t>
        </is>
      </c>
      <c r="U4529" t="inlineStr">
        <is>
          <t>12</t>
        </is>
      </c>
      <c r="V4529" t="n">
        <v>2025</v>
      </c>
      <c r="W4529" t="n">
        <v/>
      </c>
    </row>
    <row r="4530">
      <c r="A4530" t="inlineStr">
        <is>
          <t>08/12/2025 6:23:11</t>
        </is>
      </c>
      <c r="B4530" t="inlineStr">
        <is>
          <t>Đào Công Trung</t>
        </is>
      </c>
      <c r="C4530" t="inlineStr">
        <is>
          <t>07/12/2025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6</v>
      </c>
      <c r="J4530" t="n">
        <v>0</v>
      </c>
      <c r="K4530" t="n">
        <v>2</v>
      </c>
      <c r="L4530" t="n">
        <v>0</v>
      </c>
      <c r="M4530" t="n">
        <v>0</v>
      </c>
      <c r="N4530" t="n">
        <v>0</v>
      </c>
      <c r="O4530" t="n">
        <v>0</v>
      </c>
      <c r="P4530" t="n">
        <v>1</v>
      </c>
      <c r="Q4530" t="n">
        <v>1</v>
      </c>
      <c r="R4530" t="n">
        <v>0</v>
      </c>
      <c r="S4530" t="n">
        <v/>
      </c>
      <c r="T4530" t="inlineStr">
        <is>
          <t>7</t>
        </is>
      </c>
      <c r="U4530" t="inlineStr">
        <is>
          <t>12</t>
        </is>
      </c>
      <c r="V4530" t="n">
        <v>2025</v>
      </c>
      <c r="W4530" t="n">
        <v/>
      </c>
    </row>
    <row r="4531">
      <c r="A4531" t="inlineStr">
        <is>
          <t>08/12/2025 6:27:25</t>
        </is>
      </c>
      <c r="B4531" t="inlineStr">
        <is>
          <t>Nguyễn Văn Nhật</t>
        </is>
      </c>
      <c r="C4531" t="inlineStr">
        <is>
          <t>07/12/2025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2</v>
      </c>
      <c r="L4531" t="n">
        <v>4</v>
      </c>
      <c r="M4531" t="n">
        <v>0</v>
      </c>
      <c r="N4531" t="n">
        <v>2</v>
      </c>
      <c r="O4531" t="n">
        <v>0</v>
      </c>
      <c r="P4531" t="n">
        <v>2</v>
      </c>
      <c r="Q4531" t="n">
        <v>3</v>
      </c>
      <c r="R4531" t="n">
        <v>0</v>
      </c>
      <c r="S4531" t="n">
        <v/>
      </c>
      <c r="T4531" t="inlineStr">
        <is>
          <t>7</t>
        </is>
      </c>
      <c r="U4531" t="inlineStr">
        <is>
          <t>12</t>
        </is>
      </c>
      <c r="V4531" t="n">
        <v>2025</v>
      </c>
      <c r="W4531" t="n">
        <v/>
      </c>
    </row>
    <row r="4532">
      <c r="A4532" t="inlineStr">
        <is>
          <t>08/12/2025 6:32:07</t>
        </is>
      </c>
      <c r="B4532" t="inlineStr">
        <is>
          <t>Hồ Xuân Việt</t>
        </is>
      </c>
      <c r="C4532" t="inlineStr">
        <is>
          <t>07/12/2025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</v>
      </c>
      <c r="J4532" t="n">
        <v>0</v>
      </c>
      <c r="K4532" t="n">
        <v>6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2</v>
      </c>
      <c r="R4532" t="n">
        <v>0</v>
      </c>
      <c r="S4532" t="n">
        <v/>
      </c>
      <c r="T4532" t="inlineStr">
        <is>
          <t>7</t>
        </is>
      </c>
      <c r="U4532" t="inlineStr">
        <is>
          <t>12</t>
        </is>
      </c>
      <c r="V4532" t="n">
        <v>2025</v>
      </c>
      <c r="W4532" t="n">
        <v/>
      </c>
    </row>
    <row r="4533">
      <c r="A4533" t="inlineStr">
        <is>
          <t>08/12/2025 6:34:58</t>
        </is>
      </c>
      <c r="B4533" t="inlineStr">
        <is>
          <t>Nguyễn Thành Lâm</t>
        </is>
      </c>
      <c r="C4533" t="inlineStr">
        <is>
          <t>07/12/2025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/>
      </c>
      <c r="T4533" t="inlineStr">
        <is>
          <t>7</t>
        </is>
      </c>
      <c r="U4533" t="inlineStr">
        <is>
          <t>12</t>
        </is>
      </c>
      <c r="V4533" t="n">
        <v>2025</v>
      </c>
      <c r="W4533" t="n">
        <v/>
      </c>
    </row>
    <row r="4534">
      <c r="A4534" t="inlineStr">
        <is>
          <t>08/12/2025 6:38:00</t>
        </is>
      </c>
      <c r="B4534" t="inlineStr">
        <is>
          <t>Phan Thành Thái</t>
        </is>
      </c>
      <c r="C4534" t="inlineStr">
        <is>
          <t>07/12/2025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3</v>
      </c>
      <c r="J4534" t="n">
        <v>0</v>
      </c>
      <c r="K4534" t="n">
        <v>2</v>
      </c>
      <c r="L4534" t="n">
        <v>2</v>
      </c>
      <c r="M4534" t="n">
        <v>0</v>
      </c>
      <c r="N4534" t="n">
        <v>0</v>
      </c>
      <c r="O4534" t="n">
        <v>0</v>
      </c>
      <c r="P4534" t="n">
        <v>1</v>
      </c>
      <c r="Q4534" t="n">
        <v>4</v>
      </c>
      <c r="R4534" t="n">
        <v>0</v>
      </c>
      <c r="S4534" t="n">
        <v/>
      </c>
      <c r="T4534" t="inlineStr">
        <is>
          <t>7</t>
        </is>
      </c>
      <c r="U4534" t="inlineStr">
        <is>
          <t>12</t>
        </is>
      </c>
      <c r="V4534" t="n">
        <v>2025</v>
      </c>
      <c r="W4534" t="n">
        <v/>
      </c>
    </row>
    <row r="4535">
      <c r="A4535" t="inlineStr">
        <is>
          <t>08/12/2025 6:46:34</t>
        </is>
      </c>
      <c r="B4535" t="inlineStr">
        <is>
          <t>Trần Trung Giang</t>
        </is>
      </c>
      <c r="C4535" t="inlineStr">
        <is>
          <t>07/12/2025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5</v>
      </c>
      <c r="J4535" t="n">
        <v>0</v>
      </c>
      <c r="K4535" t="n">
        <v>4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/>
      </c>
      <c r="T4535" t="inlineStr">
        <is>
          <t>7</t>
        </is>
      </c>
      <c r="U4535" t="inlineStr">
        <is>
          <t>12</t>
        </is>
      </c>
      <c r="V4535" t="n">
        <v>2025</v>
      </c>
      <c r="W4535" t="n">
        <v/>
      </c>
    </row>
    <row r="4536">
      <c r="A4536" t="inlineStr">
        <is>
          <t>08/12/2025 6:48:38</t>
        </is>
      </c>
      <c r="B4536" t="inlineStr">
        <is>
          <t>Nguyễn Quang Anh Tuấn</t>
        </is>
      </c>
      <c r="C4536" t="inlineStr">
        <is>
          <t>07/12/2025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/>
      </c>
      <c r="T4536" t="inlineStr">
        <is>
          <t>7</t>
        </is>
      </c>
      <c r="U4536" t="inlineStr">
        <is>
          <t>12</t>
        </is>
      </c>
      <c r="V4536" t="n">
        <v>2025</v>
      </c>
      <c r="W4536" t="n">
        <v/>
      </c>
    </row>
    <row r="4537">
      <c r="A4537" t="inlineStr">
        <is>
          <t>08/12/2025 6:54:40</t>
        </is>
      </c>
      <c r="B4537" t="inlineStr">
        <is>
          <t>Lương Duy Hoàng</t>
        </is>
      </c>
      <c r="C4537" t="inlineStr">
        <is>
          <t>07/12/2025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2</v>
      </c>
      <c r="J4537" t="n">
        <v>0</v>
      </c>
      <c r="K4537" t="n">
        <v>3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/>
      </c>
      <c r="T4537" t="inlineStr">
        <is>
          <t>7</t>
        </is>
      </c>
      <c r="U4537" t="inlineStr">
        <is>
          <t>12</t>
        </is>
      </c>
      <c r="V4537" t="n">
        <v>2025</v>
      </c>
      <c r="W4537" t="n">
        <v/>
      </c>
    </row>
    <row r="4538">
      <c r="A4538" t="inlineStr">
        <is>
          <t>08/12/2025 7:00:57</t>
        </is>
      </c>
      <c r="B4538" t="inlineStr">
        <is>
          <t>Nguyễn Văn Hiệp</t>
        </is>
      </c>
      <c r="C4538" t="inlineStr">
        <is>
          <t>07/12/2025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4</v>
      </c>
      <c r="J4538" t="n">
        <v>0</v>
      </c>
      <c r="K4538" t="n">
        <v>0</v>
      </c>
      <c r="L4538" t="n">
        <v>9</v>
      </c>
      <c r="M4538" t="n">
        <v>0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/>
      </c>
      <c r="T4538" t="inlineStr">
        <is>
          <t>7</t>
        </is>
      </c>
      <c r="U4538" t="inlineStr">
        <is>
          <t>12</t>
        </is>
      </c>
      <c r="V4538" t="n">
        <v>2025</v>
      </c>
      <c r="W4538" t="n">
        <v/>
      </c>
    </row>
    <row r="4539">
      <c r="A4539" t="inlineStr">
        <is>
          <t>08/12/2025 7:03:33</t>
        </is>
      </c>
      <c r="B4539" t="inlineStr">
        <is>
          <t>Huỳnh Văn Lực</t>
        </is>
      </c>
      <c r="C4539" t="inlineStr">
        <is>
          <t>07/12/2025</t>
        </is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2</v>
      </c>
      <c r="J4539" t="n">
        <v>0</v>
      </c>
      <c r="K4539" t="n">
        <v>3</v>
      </c>
      <c r="L4539" t="n">
        <v>2</v>
      </c>
      <c r="M4539" t="n">
        <v>0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/>
      </c>
      <c r="T4539" t="inlineStr">
        <is>
          <t>7</t>
        </is>
      </c>
      <c r="U4539" t="inlineStr">
        <is>
          <t>12</t>
        </is>
      </c>
      <c r="V4539" t="n">
        <v>2025</v>
      </c>
      <c r="W4539" t="n">
        <v/>
      </c>
    </row>
    <row r="4540">
      <c r="A4540" t="inlineStr">
        <is>
          <t>08/12/2025 7:13:00</t>
        </is>
      </c>
      <c r="B4540" t="inlineStr">
        <is>
          <t>Trần Xuân Khoa</t>
        </is>
      </c>
      <c r="C4540" t="inlineStr">
        <is>
          <t>07/12/2025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6</v>
      </c>
      <c r="L4540" t="n">
        <v>5</v>
      </c>
      <c r="M4540" t="n">
        <v>0</v>
      </c>
      <c r="N4540" t="n">
        <v>0</v>
      </c>
      <c r="O4540" t="n">
        <v>0</v>
      </c>
      <c r="P4540" t="n">
        <v>0</v>
      </c>
      <c r="Q4540" t="n">
        <v>5</v>
      </c>
      <c r="R4540" t="n">
        <v>0</v>
      </c>
      <c r="S4540" t="n">
        <v/>
      </c>
      <c r="T4540" t="inlineStr">
        <is>
          <t>7</t>
        </is>
      </c>
      <c r="U4540" t="inlineStr">
        <is>
          <t>12</t>
        </is>
      </c>
      <c r="V4540" t="n">
        <v>2025</v>
      </c>
      <c r="W4540" t="n">
        <v/>
      </c>
    </row>
    <row r="4541">
      <c r="A4541" t="inlineStr">
        <is>
          <t>08/12/2025 7:13:42</t>
        </is>
      </c>
      <c r="B4541" t="inlineStr">
        <is>
          <t>Lương Duy Hải</t>
        </is>
      </c>
      <c r="C4541" t="inlineStr">
        <is>
          <t>07/12/2025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2</v>
      </c>
      <c r="L4541" t="n">
        <v>2</v>
      </c>
      <c r="M4541" t="n">
        <v>0</v>
      </c>
      <c r="N4541" t="n">
        <v>0</v>
      </c>
      <c r="O4541" t="n">
        <v>3</v>
      </c>
      <c r="P4541" t="n">
        <v>0</v>
      </c>
      <c r="Q4541" t="n">
        <v>1</v>
      </c>
      <c r="R4541" t="n">
        <v>0</v>
      </c>
      <c r="S4541" t="n">
        <v/>
      </c>
      <c r="T4541" t="inlineStr">
        <is>
          <t>7</t>
        </is>
      </c>
      <c r="U4541" t="inlineStr">
        <is>
          <t>12</t>
        </is>
      </c>
      <c r="V4541" t="n">
        <v>2025</v>
      </c>
      <c r="W4541" t="n">
        <v/>
      </c>
    </row>
    <row r="4542">
      <c r="A4542" t="inlineStr">
        <is>
          <t>08/12/2025 7:24:06</t>
        </is>
      </c>
      <c r="B4542" t="inlineStr">
        <is>
          <t>Vòng Nhật Sang</t>
        </is>
      </c>
      <c r="C4542" t="inlineStr">
        <is>
          <t>07/12/2025</t>
        </is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3</v>
      </c>
      <c r="L4542" t="n">
        <v>0</v>
      </c>
      <c r="M4542" t="n">
        <v>1</v>
      </c>
      <c r="N4542" t="n">
        <v>0</v>
      </c>
      <c r="O4542" t="n">
        <v>0</v>
      </c>
      <c r="P4542" t="n">
        <v>1</v>
      </c>
      <c r="Q4542" t="n">
        <v>2</v>
      </c>
      <c r="R4542" t="n">
        <v>0</v>
      </c>
      <c r="S4542" t="n">
        <v/>
      </c>
      <c r="T4542" t="inlineStr">
        <is>
          <t>7</t>
        </is>
      </c>
      <c r="U4542" t="inlineStr">
        <is>
          <t>12</t>
        </is>
      </c>
      <c r="V4542" t="n">
        <v>2025</v>
      </c>
      <c r="W4542" t="n">
        <v/>
      </c>
    </row>
    <row r="4543">
      <c r="A4543" t="inlineStr">
        <is>
          <t>08/12/2025 7:30:25</t>
        </is>
      </c>
      <c r="B4543" t="inlineStr">
        <is>
          <t>Nguyễn Tuấn Anh</t>
        </is>
      </c>
      <c r="C4543" t="inlineStr">
        <is>
          <t>07/12/2025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2</v>
      </c>
      <c r="J4543" t="n">
        <v>0</v>
      </c>
      <c r="K4543" t="n">
        <v>5</v>
      </c>
      <c r="L4543" t="n">
        <v>1</v>
      </c>
      <c r="M4543" t="n">
        <v>0</v>
      </c>
      <c r="N4543" t="n">
        <v>0</v>
      </c>
      <c r="O4543" t="n">
        <v>0</v>
      </c>
      <c r="P4543" t="n">
        <v>1</v>
      </c>
      <c r="Q4543" t="n">
        <v>3</v>
      </c>
      <c r="R4543" t="n">
        <v>0</v>
      </c>
      <c r="S4543" t="n">
        <v/>
      </c>
      <c r="T4543" t="inlineStr">
        <is>
          <t>7</t>
        </is>
      </c>
      <c r="U4543" t="inlineStr">
        <is>
          <t>12</t>
        </is>
      </c>
      <c r="V4543" t="n">
        <v>2025</v>
      </c>
      <c r="W4543" t="n">
        <v/>
      </c>
    </row>
    <row r="4544">
      <c r="A4544" t="inlineStr">
        <is>
          <t>08/12/2025 7:32:53</t>
        </is>
      </c>
      <c r="B4544" t="inlineStr">
        <is>
          <t>Dương Minh Tiến</t>
        </is>
      </c>
      <c r="C4544" t="inlineStr">
        <is>
          <t>07/12/2025</t>
        </is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2</v>
      </c>
      <c r="J4544" t="n">
        <v>0</v>
      </c>
      <c r="K4544" t="n">
        <v>1</v>
      </c>
      <c r="L4544" t="n">
        <v>3</v>
      </c>
      <c r="M4544" t="n">
        <v>1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/>
      </c>
      <c r="T4544" t="inlineStr">
        <is>
          <t>7</t>
        </is>
      </c>
      <c r="U4544" t="inlineStr">
        <is>
          <t>12</t>
        </is>
      </c>
      <c r="V4544" t="n">
        <v>2025</v>
      </c>
      <c r="W4544" t="n">
        <v/>
      </c>
    </row>
    <row r="4545">
      <c r="A4545" t="inlineStr">
        <is>
          <t>08/12/2025 7:45:30</t>
        </is>
      </c>
      <c r="B4545" t="inlineStr">
        <is>
          <t>Bùi Duy Cường</t>
        </is>
      </c>
      <c r="C4545" t="inlineStr">
        <is>
          <t>07/12/2025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/>
      </c>
      <c r="T4545" t="inlineStr">
        <is>
          <t>7</t>
        </is>
      </c>
      <c r="U4545" t="inlineStr">
        <is>
          <t>12</t>
        </is>
      </c>
      <c r="V4545" t="n">
        <v>2025</v>
      </c>
      <c r="W4545" t="n">
        <v/>
      </c>
    </row>
    <row r="4546">
      <c r="A4546" t="inlineStr">
        <is>
          <t>08/12/2025 7:53:06</t>
        </is>
      </c>
      <c r="B4546" t="inlineStr">
        <is>
          <t>Hoàng Văn Chất</t>
        </is>
      </c>
      <c r="C4546" t="inlineStr">
        <is>
          <t>07/12/2025</t>
        </is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2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/>
      </c>
      <c r="T4546" t="inlineStr">
        <is>
          <t>7</t>
        </is>
      </c>
      <c r="U4546" t="inlineStr">
        <is>
          <t>12</t>
        </is>
      </c>
      <c r="V4546" t="n">
        <v>2025</v>
      </c>
      <c r="W4546" t="n">
        <v/>
      </c>
    </row>
    <row r="4547">
      <c r="A4547" t="inlineStr">
        <is>
          <t>08/12/2025 8:00:55</t>
        </is>
      </c>
      <c r="B4547" t="inlineStr">
        <is>
          <t>Nguyễn Hồng Minh</t>
        </is>
      </c>
      <c r="C4547" t="inlineStr">
        <is>
          <t>07/12/2025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2</v>
      </c>
      <c r="J4547" t="n">
        <v>0</v>
      </c>
      <c r="K4547" t="n">
        <v>0</v>
      </c>
      <c r="L4547" t="n">
        <v>0</v>
      </c>
      <c r="M4547" t="n">
        <v>0</v>
      </c>
      <c r="N4547" t="n">
        <v>2</v>
      </c>
      <c r="O4547" t="n">
        <v>0</v>
      </c>
      <c r="P4547" t="n">
        <v>1</v>
      </c>
      <c r="Q4547" t="n">
        <v>5</v>
      </c>
      <c r="R4547" t="n">
        <v>0</v>
      </c>
      <c r="S4547" t="n">
        <v/>
      </c>
      <c r="T4547" t="inlineStr">
        <is>
          <t>7</t>
        </is>
      </c>
      <c r="U4547" t="inlineStr">
        <is>
          <t>12</t>
        </is>
      </c>
      <c r="V4547" t="n">
        <v>2025</v>
      </c>
      <c r="W4547" t="n">
        <v/>
      </c>
    </row>
    <row r="4548">
      <c r="A4548" t="inlineStr">
        <is>
          <t>08/12/2025 8:13:56</t>
        </is>
      </c>
      <c r="B4548" t="inlineStr">
        <is>
          <t>Đặng Hoài Anh</t>
        </is>
      </c>
      <c r="C4548" t="inlineStr">
        <is>
          <t>07/12/2025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/>
      </c>
      <c r="T4548" t="inlineStr">
        <is>
          <t>7</t>
        </is>
      </c>
      <c r="U4548" t="inlineStr">
        <is>
          <t>12</t>
        </is>
      </c>
      <c r="V4548" t="n">
        <v>2025</v>
      </c>
      <c r="W4548" t="n">
        <v/>
      </c>
    </row>
    <row r="4549">
      <c r="A4549" t="inlineStr">
        <is>
          <t>08/12/2025 8:32:31</t>
        </is>
      </c>
      <c r="B4549" t="inlineStr">
        <is>
          <t>Lê Hồng Phong</t>
        </is>
      </c>
      <c r="C4549" t="inlineStr">
        <is>
          <t>08/12/2025</t>
        </is>
      </c>
      <c r="D4549" t="n">
        <v>1</v>
      </c>
      <c r="E4549" t="n">
        <v>1</v>
      </c>
      <c r="F4549" t="n">
        <v>1</v>
      </c>
      <c r="G4549" t="n">
        <v>0</v>
      </c>
      <c r="H4549" t="n">
        <v>0</v>
      </c>
      <c r="I4549" t="n">
        <v>1</v>
      </c>
      <c r="J4549" t="n">
        <v>1</v>
      </c>
      <c r="K4549" t="n">
        <v>1</v>
      </c>
      <c r="L4549" t="n">
        <v>1</v>
      </c>
      <c r="M4549" t="n">
        <v>1</v>
      </c>
      <c r="N4549" t="n">
        <v>1</v>
      </c>
      <c r="O4549" t="n">
        <v>1</v>
      </c>
      <c r="P4549" t="n">
        <v>1</v>
      </c>
      <c r="Q4549" t="n">
        <v>1</v>
      </c>
      <c r="R4549" t="n">
        <v>1</v>
      </c>
      <c r="S4549" t="n">
        <v/>
      </c>
      <c r="T4549" t="inlineStr">
        <is>
          <t>8</t>
        </is>
      </c>
      <c r="U4549" t="inlineStr">
        <is>
          <t>12</t>
        </is>
      </c>
      <c r="V4549" t="n">
        <v>2025</v>
      </c>
      <c r="W4549" t="n">
        <v/>
      </c>
    </row>
    <row r="4550">
      <c r="A4550" t="inlineStr">
        <is>
          <t>08/12/2025 8:33:08</t>
        </is>
      </c>
      <c r="B4550" t="inlineStr">
        <is>
          <t>Lê Văn Hồng</t>
        </is>
      </c>
      <c r="C4550" t="inlineStr">
        <is>
          <t>07/12/2025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2</v>
      </c>
      <c r="J4550" t="n">
        <v>0</v>
      </c>
      <c r="K4550" t="n">
        <v>14</v>
      </c>
      <c r="L4550" t="n">
        <v>1</v>
      </c>
      <c r="M4550" t="n">
        <v>0</v>
      </c>
      <c r="N4550" t="n">
        <v>2</v>
      </c>
      <c r="O4550" t="n">
        <v>0</v>
      </c>
      <c r="P4550" t="n">
        <v>3</v>
      </c>
      <c r="Q4550" t="n">
        <v>2</v>
      </c>
      <c r="R4550" t="n">
        <v>0</v>
      </c>
      <c r="S4550" t="n">
        <v/>
      </c>
      <c r="T4550" t="inlineStr">
        <is>
          <t>7</t>
        </is>
      </c>
      <c r="U4550" t="inlineStr">
        <is>
          <t>12</t>
        </is>
      </c>
      <c r="V4550" t="n">
        <v>2025</v>
      </c>
      <c r="W4550" t="n">
        <v/>
      </c>
    </row>
    <row r="4551">
      <c r="A4551" t="inlineStr">
        <is>
          <t>08/12/2025 9:28:58</t>
        </is>
      </c>
      <c r="B4551" t="inlineStr">
        <is>
          <t>Hồ Thái Minh Trí</t>
        </is>
      </c>
      <c r="C4551" t="inlineStr">
        <is>
          <t>07/12/2025</t>
        </is>
      </c>
      <c r="D4551" t="n">
        <v>0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2</v>
      </c>
      <c r="M4551" t="n">
        <v>0</v>
      </c>
      <c r="N4551" t="n">
        <v>0</v>
      </c>
      <c r="O4551" t="n">
        <v>0</v>
      </c>
      <c r="P4551" t="n">
        <v>0</v>
      </c>
      <c r="Q4551" t="n">
        <v>2</v>
      </c>
      <c r="R4551" t="n">
        <v>0</v>
      </c>
      <c r="S4551" t="n">
        <v/>
      </c>
      <c r="T4551" t="inlineStr">
        <is>
          <t>7</t>
        </is>
      </c>
      <c r="U4551" t="inlineStr">
        <is>
          <t>12</t>
        </is>
      </c>
      <c r="V4551" t="n">
        <v>2025</v>
      </c>
      <c r="W4551" t="n">
        <v/>
      </c>
    </row>
    <row r="4552">
      <c r="A4552" t="inlineStr">
        <is>
          <t>08/12/2025 20:08:02</t>
        </is>
      </c>
      <c r="B4552" t="inlineStr">
        <is>
          <t>Đặng Hữu Danh</t>
        </is>
      </c>
      <c r="C4552" t="inlineStr">
        <is>
          <t>08/12/2025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2</v>
      </c>
      <c r="R4552" t="n">
        <v>0</v>
      </c>
      <c r="S4552" t="n">
        <v/>
      </c>
      <c r="T4552" t="inlineStr">
        <is>
          <t>8</t>
        </is>
      </c>
      <c r="U4552" t="inlineStr">
        <is>
          <t>12</t>
        </is>
      </c>
      <c r="V4552" t="n">
        <v>2025</v>
      </c>
      <c r="W4552" t="n">
        <v/>
      </c>
    </row>
    <row r="4553">
      <c r="A4553" t="inlineStr">
        <is>
          <t>08/12/2025 21:42:38</t>
        </is>
      </c>
      <c r="B4553" t="inlineStr">
        <is>
          <t>Trần Minh Khánh</t>
        </is>
      </c>
      <c r="C4553" t="inlineStr">
        <is>
          <t>08/12/2025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3</v>
      </c>
      <c r="J4553" t="n">
        <v>0</v>
      </c>
      <c r="K4553" t="n">
        <v>2</v>
      </c>
      <c r="L4553" t="n">
        <v>5</v>
      </c>
      <c r="M4553" t="n">
        <v>0</v>
      </c>
      <c r="N4553" t="n">
        <v>0</v>
      </c>
      <c r="O4553" t="n">
        <v>0</v>
      </c>
      <c r="P4553" t="n">
        <v>0</v>
      </c>
      <c r="Q4553" t="n">
        <v>4</v>
      </c>
      <c r="R4553" t="n">
        <v>0</v>
      </c>
      <c r="S4553" t="n">
        <v/>
      </c>
      <c r="T4553" t="inlineStr">
        <is>
          <t>8</t>
        </is>
      </c>
      <c r="U4553" t="inlineStr">
        <is>
          <t>12</t>
        </is>
      </c>
      <c r="V4553" t="n">
        <v>2025</v>
      </c>
      <c r="W4553" t="n">
        <v/>
      </c>
    </row>
    <row r="4554">
      <c r="A4554" t="inlineStr">
        <is>
          <t>09/12/2025 0:25:27</t>
        </is>
      </c>
      <c r="B4554" t="inlineStr">
        <is>
          <t>Hồ Thái Minh Trí</t>
        </is>
      </c>
      <c r="C4554" t="inlineStr">
        <is>
          <t>08/12/2025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2</v>
      </c>
      <c r="L4554" t="n">
        <v>16</v>
      </c>
      <c r="M4554" t="n">
        <v>0</v>
      </c>
      <c r="N4554" t="n">
        <v>0</v>
      </c>
      <c r="O4554" t="n">
        <v>0</v>
      </c>
      <c r="P4554" t="n">
        <v>0</v>
      </c>
      <c r="Q4554" t="n">
        <v>2</v>
      </c>
      <c r="R4554" t="n">
        <v>0</v>
      </c>
      <c r="S4554" t="n">
        <v/>
      </c>
      <c r="T4554" t="inlineStr">
        <is>
          <t>8</t>
        </is>
      </c>
      <c r="U4554" t="inlineStr">
        <is>
          <t>12</t>
        </is>
      </c>
      <c r="V4554" t="n">
        <v>2025</v>
      </c>
      <c r="W4554" t="n">
        <v/>
      </c>
    </row>
    <row r="4555">
      <c r="A4555" t="inlineStr">
        <is>
          <t>09/12/2025 6:28:31</t>
        </is>
      </c>
      <c r="B4555" t="inlineStr">
        <is>
          <t>Nguyễn Tuấn Anh</t>
        </is>
      </c>
      <c r="C4555" t="inlineStr">
        <is>
          <t>08/12/2025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2</v>
      </c>
      <c r="J4555" t="n">
        <v>0</v>
      </c>
      <c r="K4555" t="n">
        <v>3</v>
      </c>
      <c r="L4555" t="n">
        <v>0</v>
      </c>
      <c r="M4555" t="n">
        <v>0</v>
      </c>
      <c r="N4555" t="n">
        <v>0</v>
      </c>
      <c r="O4555" t="n">
        <v>0</v>
      </c>
      <c r="P4555" t="n">
        <v>1</v>
      </c>
      <c r="Q4555" t="n">
        <v>5</v>
      </c>
      <c r="R4555" t="n">
        <v>0</v>
      </c>
      <c r="S4555" t="n">
        <v/>
      </c>
      <c r="T4555" t="inlineStr">
        <is>
          <t>8</t>
        </is>
      </c>
      <c r="U4555" t="inlineStr">
        <is>
          <t>12</t>
        </is>
      </c>
      <c r="V4555" t="n">
        <v>2025</v>
      </c>
      <c r="W4555" t="n">
        <v/>
      </c>
    </row>
    <row r="4556">
      <c r="A4556" t="inlineStr">
        <is>
          <t>09/12/2025 6:35:57</t>
        </is>
      </c>
      <c r="B4556" t="inlineStr">
        <is>
          <t>Đào Công Trung</t>
        </is>
      </c>
      <c r="C4556" t="inlineStr">
        <is>
          <t>08/12/2025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4</v>
      </c>
      <c r="J4556" t="n">
        <v>0</v>
      </c>
      <c r="K4556" t="n">
        <v>3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2</v>
      </c>
      <c r="R4556" t="n">
        <v>0</v>
      </c>
      <c r="S4556" t="n">
        <v/>
      </c>
      <c r="T4556" t="inlineStr">
        <is>
          <t>8</t>
        </is>
      </c>
      <c r="U4556" t="inlineStr">
        <is>
          <t>12</t>
        </is>
      </c>
      <c r="V4556" t="n">
        <v>2025</v>
      </c>
      <c r="W4556" t="n">
        <v/>
      </c>
    </row>
    <row r="4557">
      <c r="A4557" t="inlineStr">
        <is>
          <t>09/12/2025 6:37:47</t>
        </is>
      </c>
      <c r="B4557" t="inlineStr">
        <is>
          <t>Lương Duy Hải</t>
        </is>
      </c>
      <c r="C4557" t="inlineStr">
        <is>
          <t>08/12/2025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7</v>
      </c>
      <c r="M4557" t="n">
        <v>0</v>
      </c>
      <c r="N4557" t="n">
        <v>0</v>
      </c>
      <c r="O4557" t="n">
        <v>0</v>
      </c>
      <c r="P4557" t="n">
        <v>0</v>
      </c>
      <c r="Q4557" t="n">
        <v>2</v>
      </c>
      <c r="R4557" t="n">
        <v>0</v>
      </c>
      <c r="S4557" t="n">
        <v/>
      </c>
      <c r="T4557" t="inlineStr">
        <is>
          <t>8</t>
        </is>
      </c>
      <c r="U4557" t="inlineStr">
        <is>
          <t>12</t>
        </is>
      </c>
      <c r="V4557" t="n">
        <v>2025</v>
      </c>
      <c r="W4557" t="n">
        <v/>
      </c>
    </row>
    <row r="4558">
      <c r="A4558" t="inlineStr">
        <is>
          <t>09/12/2025 6:48:55</t>
        </is>
      </c>
      <c r="B4558" t="inlineStr">
        <is>
          <t>Nguyễn Văn Hiệp</t>
        </is>
      </c>
      <c r="C4558" t="inlineStr">
        <is>
          <t>08/12/2025</t>
        </is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4</v>
      </c>
      <c r="J4558" t="n">
        <v>0</v>
      </c>
      <c r="K4558" t="n">
        <v>2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/>
      </c>
      <c r="T4558" t="inlineStr">
        <is>
          <t>8</t>
        </is>
      </c>
      <c r="U4558" t="inlineStr">
        <is>
          <t>12</t>
        </is>
      </c>
      <c r="V4558" t="n">
        <v>2025</v>
      </c>
      <c r="W4558" t="n">
        <v/>
      </c>
    </row>
    <row r="4559">
      <c r="A4559" t="inlineStr">
        <is>
          <t>09/12/2025 6:58:37</t>
        </is>
      </c>
      <c r="B4559" t="inlineStr">
        <is>
          <t>Vòng Nhật Sang</t>
        </is>
      </c>
      <c r="C4559" t="inlineStr">
        <is>
          <t>08/12/2025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</v>
      </c>
      <c r="J4559" t="n">
        <v>0</v>
      </c>
      <c r="K4559" t="n">
        <v>4</v>
      </c>
      <c r="L4559" t="n">
        <v>1</v>
      </c>
      <c r="M4559" t="n">
        <v>0</v>
      </c>
      <c r="N4559" t="n">
        <v>7</v>
      </c>
      <c r="O4559" t="n">
        <v>0</v>
      </c>
      <c r="P4559" t="n">
        <v>1</v>
      </c>
      <c r="Q4559" t="n">
        <v>2</v>
      </c>
      <c r="R4559" t="n">
        <v>0</v>
      </c>
      <c r="S4559" t="n">
        <v/>
      </c>
      <c r="T4559" t="inlineStr">
        <is>
          <t>8</t>
        </is>
      </c>
      <c r="U4559" t="inlineStr">
        <is>
          <t>12</t>
        </is>
      </c>
      <c r="V4559" t="n">
        <v>2025</v>
      </c>
      <c r="W4559" t="n">
        <v/>
      </c>
    </row>
    <row r="4560">
      <c r="A4560" t="inlineStr">
        <is>
          <t>09/12/2025 7:00:29</t>
        </is>
      </c>
      <c r="B4560" t="inlineStr">
        <is>
          <t>Phan Thành Thái</t>
        </is>
      </c>
      <c r="C4560" t="inlineStr">
        <is>
          <t>08/12/2025</t>
        </is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2</v>
      </c>
      <c r="J4560" t="n">
        <v>0</v>
      </c>
      <c r="K4560" t="n">
        <v>2</v>
      </c>
      <c r="L4560" t="n">
        <v>0</v>
      </c>
      <c r="M4560" t="n">
        <v>3</v>
      </c>
      <c r="N4560" t="n">
        <v>1</v>
      </c>
      <c r="O4560" t="n">
        <v>1</v>
      </c>
      <c r="P4560" t="n">
        <v>0</v>
      </c>
      <c r="Q4560" t="n">
        <v>3</v>
      </c>
      <c r="R4560" t="n">
        <v>0</v>
      </c>
      <c r="S4560" t="n">
        <v/>
      </c>
      <c r="T4560" t="inlineStr">
        <is>
          <t>8</t>
        </is>
      </c>
      <c r="U4560" t="inlineStr">
        <is>
          <t>12</t>
        </is>
      </c>
      <c r="V4560" t="n">
        <v>2025</v>
      </c>
      <c r="W4560" t="n">
        <v/>
      </c>
    </row>
    <row r="4561">
      <c r="A4561" t="inlineStr">
        <is>
          <t>09/12/2025 7:01:41</t>
        </is>
      </c>
      <c r="B4561" t="inlineStr">
        <is>
          <t>Huỳnh Văn Lực</t>
        </is>
      </c>
      <c r="C4561" t="inlineStr">
        <is>
          <t>08/12/2025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5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2</v>
      </c>
      <c r="R4561" t="n">
        <v>0</v>
      </c>
      <c r="S4561" t="n">
        <v/>
      </c>
      <c r="T4561" t="inlineStr">
        <is>
          <t>8</t>
        </is>
      </c>
      <c r="U4561" t="inlineStr">
        <is>
          <t>12</t>
        </is>
      </c>
      <c r="V4561" t="n">
        <v>2025</v>
      </c>
      <c r="W4561" t="n">
        <v/>
      </c>
    </row>
    <row r="4562">
      <c r="A4562" t="inlineStr">
        <is>
          <t>09/12/2025 7:04:22</t>
        </is>
      </c>
      <c r="B4562" t="inlineStr">
        <is>
          <t>Nguyễn Quang Anh Tuấn</t>
        </is>
      </c>
      <c r="C4562" t="inlineStr">
        <is>
          <t>08/12/2025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3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/>
      </c>
      <c r="T4562" t="inlineStr">
        <is>
          <t>8</t>
        </is>
      </c>
      <c r="U4562" t="inlineStr">
        <is>
          <t>12</t>
        </is>
      </c>
      <c r="V4562" t="n">
        <v>2025</v>
      </c>
      <c r="W4562" t="n">
        <v/>
      </c>
    </row>
    <row r="4563">
      <c r="A4563" t="inlineStr">
        <is>
          <t>09/12/2025 7:08:10</t>
        </is>
      </c>
      <c r="B4563" t="inlineStr">
        <is>
          <t>Phan Ngọc Sang</t>
        </is>
      </c>
      <c r="C4563" t="inlineStr">
        <is>
          <t>08/12/2025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4</v>
      </c>
      <c r="J4563" t="n">
        <v>0</v>
      </c>
      <c r="K4563" t="n">
        <v>5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2</v>
      </c>
      <c r="R4563" t="n">
        <v>0</v>
      </c>
      <c r="S4563" t="n">
        <v/>
      </c>
      <c r="T4563" t="inlineStr">
        <is>
          <t>8</t>
        </is>
      </c>
      <c r="U4563" t="inlineStr">
        <is>
          <t>12</t>
        </is>
      </c>
      <c r="V4563" t="n">
        <v>2025</v>
      </c>
      <c r="W4563" t="n">
        <v/>
      </c>
    </row>
    <row r="4564">
      <c r="A4564" t="inlineStr">
        <is>
          <t>09/12/2025 7:09:30</t>
        </is>
      </c>
      <c r="B4564" t="inlineStr">
        <is>
          <t>Trần Trung Giang</t>
        </is>
      </c>
      <c r="C4564" t="inlineStr">
        <is>
          <t>08/12/2025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2</v>
      </c>
      <c r="J4564" t="n">
        <v>0</v>
      </c>
      <c r="K4564" t="n">
        <v>8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/>
      </c>
      <c r="T4564" t="inlineStr">
        <is>
          <t>8</t>
        </is>
      </c>
      <c r="U4564" t="inlineStr">
        <is>
          <t>12</t>
        </is>
      </c>
      <c r="V4564" t="n">
        <v>2025</v>
      </c>
      <c r="W4564" t="n">
        <v/>
      </c>
    </row>
    <row r="4565">
      <c r="A4565" t="inlineStr">
        <is>
          <t>09/12/2025 7:13:36</t>
        </is>
      </c>
      <c r="B4565" t="inlineStr">
        <is>
          <t>Trần Xuân Khoa</t>
        </is>
      </c>
      <c r="C4565" t="inlineStr">
        <is>
          <t>08/12/2025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4</v>
      </c>
      <c r="J4565" t="n">
        <v>0</v>
      </c>
      <c r="K4565" t="n">
        <v>10</v>
      </c>
      <c r="L4565" t="n">
        <v>1</v>
      </c>
      <c r="M4565" t="n">
        <v>0</v>
      </c>
      <c r="N4565" t="n">
        <v>0</v>
      </c>
      <c r="O4565" t="n">
        <v>0</v>
      </c>
      <c r="P4565" t="n">
        <v>1</v>
      </c>
      <c r="Q4565" t="n">
        <v>2</v>
      </c>
      <c r="R4565" t="n">
        <v>0</v>
      </c>
      <c r="S4565" t="n">
        <v/>
      </c>
      <c r="T4565" t="inlineStr">
        <is>
          <t>8</t>
        </is>
      </c>
      <c r="U4565" t="inlineStr">
        <is>
          <t>12</t>
        </is>
      </c>
      <c r="V4565" t="n">
        <v>2025</v>
      </c>
      <c r="W4565" t="n">
        <v/>
      </c>
    </row>
    <row r="4566">
      <c r="A4566" t="inlineStr">
        <is>
          <t>09/12/2025 7:15:55</t>
        </is>
      </c>
      <c r="B4566" t="inlineStr">
        <is>
          <t>Dương Minh Tiến</t>
        </is>
      </c>
      <c r="C4566" t="inlineStr">
        <is>
          <t>08/12/2025</t>
        </is>
      </c>
      <c r="D4566" t="n">
        <v>2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2</v>
      </c>
      <c r="L4566" t="n">
        <v>0</v>
      </c>
      <c r="M4566" t="n">
        <v>2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/>
      </c>
      <c r="T4566" t="inlineStr">
        <is>
          <t>8</t>
        </is>
      </c>
      <c r="U4566" t="inlineStr">
        <is>
          <t>12</t>
        </is>
      </c>
      <c r="V4566" t="n">
        <v>2025</v>
      </c>
      <c r="W4566" t="n">
        <v/>
      </c>
    </row>
    <row r="4567">
      <c r="A4567" t="inlineStr">
        <is>
          <t>09/12/2025 7:16:36</t>
        </is>
      </c>
      <c r="B4567" t="inlineStr">
        <is>
          <t>Hồ Xuân Việt</t>
        </is>
      </c>
      <c r="C4567" t="inlineStr">
        <is>
          <t>08/12/2025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2</v>
      </c>
      <c r="R4567" t="n">
        <v>0</v>
      </c>
      <c r="S4567" t="n">
        <v/>
      </c>
      <c r="T4567" t="inlineStr">
        <is>
          <t>8</t>
        </is>
      </c>
      <c r="U4567" t="inlineStr">
        <is>
          <t>12</t>
        </is>
      </c>
      <c r="V4567" t="n">
        <v>2025</v>
      </c>
      <c r="W4567" t="n">
        <v/>
      </c>
    </row>
    <row r="4568">
      <c r="A4568" t="inlineStr">
        <is>
          <t>09/12/2025 7:19:21</t>
        </is>
      </c>
      <c r="B4568" t="inlineStr">
        <is>
          <t>Nguyễn Thành Lâm</t>
        </is>
      </c>
      <c r="C4568" t="inlineStr">
        <is>
          <t>08/12/2025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3</v>
      </c>
      <c r="M4568" t="n">
        <v>0</v>
      </c>
      <c r="N4568" t="n">
        <v>0</v>
      </c>
      <c r="O4568" t="n">
        <v>0</v>
      </c>
      <c r="P4568" t="n">
        <v>1</v>
      </c>
      <c r="Q4568" t="n">
        <v>1</v>
      </c>
      <c r="R4568" t="n">
        <v>0</v>
      </c>
      <c r="S4568" t="n">
        <v/>
      </c>
      <c r="T4568" t="inlineStr">
        <is>
          <t>8</t>
        </is>
      </c>
      <c r="U4568" t="inlineStr">
        <is>
          <t>12</t>
        </is>
      </c>
      <c r="V4568" t="n">
        <v>2025</v>
      </c>
      <c r="W4568" t="n">
        <v/>
      </c>
    </row>
    <row r="4569">
      <c r="A4569" t="inlineStr">
        <is>
          <t>09/12/2025 7:29:20</t>
        </is>
      </c>
      <c r="B4569" t="inlineStr">
        <is>
          <t>Bùi Duy Cường</t>
        </is>
      </c>
      <c r="C4569" t="inlineStr">
        <is>
          <t>08/12/2025</t>
        </is>
      </c>
      <c r="D4569" t="n">
        <v>0</v>
      </c>
      <c r="E4569" t="n">
        <v>0</v>
      </c>
      <c r="F4569" t="n">
        <v>0</v>
      </c>
      <c r="G4569" t="n">
        <v>1</v>
      </c>
      <c r="H4569" t="n">
        <v>1</v>
      </c>
      <c r="I4569" t="n">
        <v>2</v>
      </c>
      <c r="J4569" t="n">
        <v>0</v>
      </c>
      <c r="K4569" t="n">
        <v>0</v>
      </c>
      <c r="L4569" t="n">
        <v>0</v>
      </c>
      <c r="M4569" t="n">
        <v>0</v>
      </c>
      <c r="N4569" t="n">
        <v>1</v>
      </c>
      <c r="O4569" t="n">
        <v>1</v>
      </c>
      <c r="P4569" t="n">
        <v>2</v>
      </c>
      <c r="Q4569" t="n">
        <v>2</v>
      </c>
      <c r="R4569" t="n">
        <v>0</v>
      </c>
      <c r="S4569" t="n">
        <v/>
      </c>
      <c r="T4569" t="inlineStr">
        <is>
          <t>8</t>
        </is>
      </c>
      <c r="U4569" t="inlineStr">
        <is>
          <t>12</t>
        </is>
      </c>
      <c r="V4569" t="n">
        <v>2025</v>
      </c>
      <c r="W4569" t="n">
        <v/>
      </c>
    </row>
    <row r="4570">
      <c r="A4570" t="inlineStr">
        <is>
          <t>09/12/2025 7:45:30</t>
        </is>
      </c>
      <c r="B4570" t="inlineStr">
        <is>
          <t>Nguyễn Văn Nhật</t>
        </is>
      </c>
      <c r="C4570" t="inlineStr">
        <is>
          <t>08/12/2025</t>
        </is>
      </c>
      <c r="D4570" t="n">
        <v>0</v>
      </c>
      <c r="E4570" t="n">
        <v>0</v>
      </c>
      <c r="F4570" t="n">
        <v>0</v>
      </c>
      <c r="G4570" t="n">
        <v>1</v>
      </c>
      <c r="H4570" t="n">
        <v>1</v>
      </c>
      <c r="I4570" t="n">
        <v>0</v>
      </c>
      <c r="J4570" t="n">
        <v>0</v>
      </c>
      <c r="K4570" t="n">
        <v>2</v>
      </c>
      <c r="L4570" t="n">
        <v>6</v>
      </c>
      <c r="M4570" t="n">
        <v>0</v>
      </c>
      <c r="N4570" t="n">
        <v>0</v>
      </c>
      <c r="O4570" t="n">
        <v>0</v>
      </c>
      <c r="P4570" t="n">
        <v>2</v>
      </c>
      <c r="Q4570" t="n">
        <v>5</v>
      </c>
      <c r="R4570" t="n">
        <v>0</v>
      </c>
      <c r="S4570" t="n">
        <v/>
      </c>
      <c r="T4570" t="inlineStr">
        <is>
          <t>8</t>
        </is>
      </c>
      <c r="U4570" t="inlineStr">
        <is>
          <t>12</t>
        </is>
      </c>
      <c r="V4570" t="n">
        <v>2025</v>
      </c>
      <c r="W4570" t="n">
        <v/>
      </c>
    </row>
    <row r="4571">
      <c r="A4571" t="inlineStr">
        <is>
          <t>09/12/2025 7:51:01</t>
        </is>
      </c>
      <c r="B4571" t="inlineStr">
        <is>
          <t>Lương Duy Hoàng</t>
        </is>
      </c>
      <c r="C4571" t="inlineStr">
        <is>
          <t>08/12/2025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5</v>
      </c>
      <c r="J4571" t="n">
        <v>0</v>
      </c>
      <c r="K4571" t="n">
        <v>4</v>
      </c>
      <c r="L4571" t="n">
        <v>1</v>
      </c>
      <c r="M4571" t="n">
        <v>0</v>
      </c>
      <c r="N4571" t="n">
        <v>0</v>
      </c>
      <c r="O4571" t="n">
        <v>0</v>
      </c>
      <c r="P4571" t="n">
        <v>0</v>
      </c>
      <c r="Q4571" t="n">
        <v>2</v>
      </c>
      <c r="R4571" t="n">
        <v>0</v>
      </c>
      <c r="S4571" t="n">
        <v/>
      </c>
      <c r="T4571" t="inlineStr">
        <is>
          <t>8</t>
        </is>
      </c>
      <c r="U4571" t="inlineStr">
        <is>
          <t>12</t>
        </is>
      </c>
      <c r="V4571" t="n">
        <v>2025</v>
      </c>
      <c r="W4571" t="n">
        <v/>
      </c>
    </row>
    <row r="4572">
      <c r="A4572" t="inlineStr">
        <is>
          <t>09/12/2025 7:52:48</t>
        </is>
      </c>
      <c r="B4572" t="inlineStr">
        <is>
          <t>Lê Văn Hồng</t>
        </is>
      </c>
      <c r="C4572" t="inlineStr">
        <is>
          <t>08/12/2025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2</v>
      </c>
      <c r="J4572" t="n">
        <v>0</v>
      </c>
      <c r="K4572" t="n">
        <v>11</v>
      </c>
      <c r="L4572" t="n">
        <v>1</v>
      </c>
      <c r="M4572" t="n">
        <v>0</v>
      </c>
      <c r="N4572" t="n">
        <v>2</v>
      </c>
      <c r="O4572" t="n">
        <v>0</v>
      </c>
      <c r="P4572" t="n">
        <v>3</v>
      </c>
      <c r="Q4572" t="n">
        <v>2</v>
      </c>
      <c r="R4572" t="n">
        <v>0</v>
      </c>
      <c r="S4572" t="n">
        <v/>
      </c>
      <c r="T4572" t="inlineStr">
        <is>
          <t>8</t>
        </is>
      </c>
      <c r="U4572" t="inlineStr">
        <is>
          <t>12</t>
        </is>
      </c>
      <c r="V4572" t="n">
        <v>2025</v>
      </c>
      <c r="W4572" t="n">
        <v/>
      </c>
    </row>
    <row r="4573">
      <c r="A4573" t="inlineStr">
        <is>
          <t>09/12/2025 7:53:44</t>
        </is>
      </c>
      <c r="B4573" t="inlineStr">
        <is>
          <t>Nguyễn Hồng Minh</t>
        </is>
      </c>
      <c r="C4573" t="inlineStr">
        <is>
          <t>08/12/2025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4</v>
      </c>
      <c r="L4573" t="n">
        <v>2</v>
      </c>
      <c r="M4573" t="n">
        <v>0</v>
      </c>
      <c r="N4573" t="n">
        <v>0</v>
      </c>
      <c r="O4573" t="n">
        <v>0</v>
      </c>
      <c r="P4573" t="n">
        <v>0</v>
      </c>
      <c r="Q4573" t="n">
        <v>5</v>
      </c>
      <c r="R4573" t="n">
        <v>1</v>
      </c>
      <c r="S4573" t="n">
        <v/>
      </c>
      <c r="T4573" t="inlineStr">
        <is>
          <t>8</t>
        </is>
      </c>
      <c r="U4573" t="inlineStr">
        <is>
          <t>12</t>
        </is>
      </c>
      <c r="V4573" t="n">
        <v>2025</v>
      </c>
      <c r="W4573" t="n">
        <v/>
      </c>
    </row>
    <row r="4574">
      <c r="A4574" t="inlineStr">
        <is>
          <t>09/12/2025 8:06:41</t>
        </is>
      </c>
      <c r="B4574" t="inlineStr">
        <is>
          <t>Đặng Hoài Anh</t>
        </is>
      </c>
      <c r="C4574" t="inlineStr">
        <is>
          <t>08/12/2025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5</v>
      </c>
      <c r="J4574" t="n">
        <v>0</v>
      </c>
      <c r="K4574" t="n">
        <v>4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/>
      </c>
      <c r="T4574" t="inlineStr">
        <is>
          <t>8</t>
        </is>
      </c>
      <c r="U4574" t="inlineStr">
        <is>
          <t>12</t>
        </is>
      </c>
      <c r="V4574" t="n">
        <v>2025</v>
      </c>
      <c r="W4574" t="n">
        <v/>
      </c>
    </row>
    <row r="4575">
      <c r="A4575" t="inlineStr">
        <is>
          <t>09/12/2025 8:07:04</t>
        </is>
      </c>
      <c r="B4575" t="inlineStr">
        <is>
          <t>Hoàng Văn Chất</t>
        </is>
      </c>
      <c r="C4575" t="inlineStr">
        <is>
          <t>08/12/2025</t>
        </is>
      </c>
      <c r="D4575" t="n">
        <v>1</v>
      </c>
      <c r="E4575" t="n">
        <v>1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2</v>
      </c>
      <c r="L4575" t="n">
        <v>9</v>
      </c>
      <c r="M4575" t="n">
        <v>2</v>
      </c>
      <c r="N4575" t="n">
        <v>0</v>
      </c>
      <c r="O4575" t="n">
        <v>0</v>
      </c>
      <c r="P4575" t="n">
        <v>0</v>
      </c>
      <c r="Q4575" t="n">
        <v>2</v>
      </c>
      <c r="R4575" t="n">
        <v>0</v>
      </c>
      <c r="S4575" t="n">
        <v/>
      </c>
      <c r="T4575" t="inlineStr">
        <is>
          <t>8</t>
        </is>
      </c>
      <c r="U4575" t="inlineStr">
        <is>
          <t>12</t>
        </is>
      </c>
      <c r="V4575" t="n">
        <v>2025</v>
      </c>
      <c r="W4575" t="n">
        <v/>
      </c>
    </row>
    <row r="4576">
      <c r="A4576" t="inlineStr">
        <is>
          <t>09/12/2025 12:08:55</t>
        </is>
      </c>
      <c r="B4576" t="inlineStr">
        <is>
          <t>Lê Quốc Duy</t>
        </is>
      </c>
      <c r="C4576" t="inlineStr">
        <is>
          <t>08/12/2025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0</v>
      </c>
      <c r="P4576" t="n">
        <v>1</v>
      </c>
      <c r="Q4576" t="n">
        <v>1</v>
      </c>
      <c r="R4576" t="n">
        <v>0</v>
      </c>
      <c r="S4576" t="n">
        <v/>
      </c>
      <c r="T4576" t="inlineStr">
        <is>
          <t>8</t>
        </is>
      </c>
      <c r="U4576" t="inlineStr">
        <is>
          <t>12</t>
        </is>
      </c>
      <c r="V4576" t="n">
        <v>2025</v>
      </c>
      <c r="W4576" t="n">
        <v/>
      </c>
    </row>
    <row r="4577">
      <c r="A4577" t="inlineStr">
        <is>
          <t>09/12/2025 22:38:42</t>
        </is>
      </c>
      <c r="B4577" t="inlineStr">
        <is>
          <t>Lê Quốc Duy</t>
        </is>
      </c>
      <c r="C4577" t="inlineStr">
        <is>
          <t>09/12/2025</t>
        </is>
      </c>
      <c r="D4577" t="n">
        <v>1</v>
      </c>
      <c r="E4577" t="n">
        <v>1</v>
      </c>
      <c r="F4577" t="n">
        <v>0</v>
      </c>
      <c r="G4577" t="n">
        <v>1</v>
      </c>
      <c r="H4577" t="n">
        <v>1</v>
      </c>
      <c r="I4577" t="n">
        <v>8</v>
      </c>
      <c r="J4577" t="n">
        <v>1</v>
      </c>
      <c r="K4577" t="n">
        <v>3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/>
      </c>
      <c r="T4577" t="inlineStr">
        <is>
          <t>9</t>
        </is>
      </c>
      <c r="U4577" t="inlineStr">
        <is>
          <t>12</t>
        </is>
      </c>
      <c r="V4577" t="n">
        <v>2025</v>
      </c>
      <c r="W4577" t="n">
        <v/>
      </c>
    </row>
    <row r="4578">
      <c r="A4578" t="inlineStr">
        <is>
          <t>10/12/2025 2:52:09</t>
        </is>
      </c>
      <c r="B4578" t="inlineStr">
        <is>
          <t>Trần Minh Khánh</t>
        </is>
      </c>
      <c r="C4578" t="inlineStr">
        <is>
          <t>09/12/2025</t>
        </is>
      </c>
      <c r="D4578" t="n">
        <v>0</v>
      </c>
      <c r="E4578" t="n">
        <v>0</v>
      </c>
      <c r="F4578" t="n">
        <v>0</v>
      </c>
      <c r="G4578" t="n">
        <v>1</v>
      </c>
      <c r="H4578" t="n">
        <v>1</v>
      </c>
      <c r="I4578" t="n">
        <v>3</v>
      </c>
      <c r="J4578" t="n">
        <v>0</v>
      </c>
      <c r="K4578" t="n">
        <v>2</v>
      </c>
      <c r="L4578" t="n">
        <v>5</v>
      </c>
      <c r="M4578" t="n">
        <v>0</v>
      </c>
      <c r="N4578" t="n">
        <v>0</v>
      </c>
      <c r="O4578" t="n">
        <v>0</v>
      </c>
      <c r="P4578" t="n">
        <v>0</v>
      </c>
      <c r="Q4578" t="n">
        <v>2</v>
      </c>
      <c r="R4578" t="n">
        <v>0</v>
      </c>
      <c r="S4578" t="n">
        <v/>
      </c>
      <c r="T4578" t="inlineStr">
        <is>
          <t>9</t>
        </is>
      </c>
      <c r="U4578" t="inlineStr">
        <is>
          <t>12</t>
        </is>
      </c>
      <c r="V4578" t="n">
        <v>2025</v>
      </c>
      <c r="W4578" t="n">
        <v/>
      </c>
    </row>
    <row r="4579">
      <c r="A4579" t="inlineStr">
        <is>
          <t>10/12/2025 6:41:41</t>
        </is>
      </c>
      <c r="B4579" t="inlineStr">
        <is>
          <t>Nguyễn Văn Hiệp</t>
        </is>
      </c>
      <c r="C4579" t="inlineStr">
        <is>
          <t>09/12/2025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5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1</v>
      </c>
      <c r="Q4579" t="n">
        <v>1</v>
      </c>
      <c r="R4579" t="n">
        <v>0</v>
      </c>
      <c r="S4579" t="n">
        <v/>
      </c>
      <c r="T4579" t="inlineStr">
        <is>
          <t>9</t>
        </is>
      </c>
      <c r="U4579" t="inlineStr">
        <is>
          <t>12</t>
        </is>
      </c>
      <c r="V4579" t="n">
        <v>2025</v>
      </c>
      <c r="W4579" t="n">
        <v/>
      </c>
    </row>
    <row r="4580">
      <c r="A4580" t="inlineStr">
        <is>
          <t>10/12/2025 6:42:20</t>
        </is>
      </c>
      <c r="B4580" t="inlineStr">
        <is>
          <t>Phan Thành Thái</t>
        </is>
      </c>
      <c r="C4580" t="inlineStr">
        <is>
          <t>09/12/2025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2</v>
      </c>
      <c r="J4580" t="n">
        <v>1</v>
      </c>
      <c r="K4580" t="n">
        <v>4</v>
      </c>
      <c r="L4580" t="n">
        <v>0</v>
      </c>
      <c r="M4580" t="n">
        <v>0</v>
      </c>
      <c r="N4580" t="n">
        <v>0</v>
      </c>
      <c r="O4580" t="n">
        <v>0</v>
      </c>
      <c r="P4580" t="n">
        <v>1</v>
      </c>
      <c r="Q4580" t="n">
        <v>4</v>
      </c>
      <c r="R4580" t="n">
        <v>0</v>
      </c>
      <c r="S4580" t="n">
        <v/>
      </c>
      <c r="T4580" t="inlineStr">
        <is>
          <t>9</t>
        </is>
      </c>
      <c r="U4580" t="inlineStr">
        <is>
          <t>12</t>
        </is>
      </c>
      <c r="V4580" t="n">
        <v>2025</v>
      </c>
      <c r="W4580" t="n">
        <v/>
      </c>
    </row>
    <row r="4581">
      <c r="A4581" t="inlineStr">
        <is>
          <t>10/12/2025 6:44:36</t>
        </is>
      </c>
      <c r="B4581" t="inlineStr">
        <is>
          <t>Hồ Xuân Việt</t>
        </is>
      </c>
      <c r="C4581" t="inlineStr">
        <is>
          <t>09/12/2025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2</v>
      </c>
      <c r="J4581" t="n">
        <v>0</v>
      </c>
      <c r="K4581" t="n">
        <v>8</v>
      </c>
      <c r="L4581" t="n">
        <v>0</v>
      </c>
      <c r="M4581" t="n">
        <v>0</v>
      </c>
      <c r="N4581" t="n">
        <v>0</v>
      </c>
      <c r="O4581" t="n">
        <v>0</v>
      </c>
      <c r="P4581" t="n">
        <v>3</v>
      </c>
      <c r="Q4581" t="n">
        <v>2</v>
      </c>
      <c r="R4581" t="n">
        <v>0</v>
      </c>
      <c r="S4581" t="n">
        <v/>
      </c>
      <c r="T4581" t="inlineStr">
        <is>
          <t>9</t>
        </is>
      </c>
      <c r="U4581" t="inlineStr">
        <is>
          <t>12</t>
        </is>
      </c>
      <c r="V4581" t="n">
        <v>2025</v>
      </c>
      <c r="W4581" t="n">
        <v/>
      </c>
    </row>
    <row r="4582">
      <c r="A4582" t="inlineStr">
        <is>
          <t>10/12/2025 6:48:15</t>
        </is>
      </c>
      <c r="B4582" t="inlineStr">
        <is>
          <t>Đào Công Trung</t>
        </is>
      </c>
      <c r="C4582" t="inlineStr">
        <is>
          <t>09/12/2025</t>
        </is>
      </c>
      <c r="D4582" t="n">
        <v>1</v>
      </c>
      <c r="E4582" t="n">
        <v>1</v>
      </c>
      <c r="F4582" t="n">
        <v>1</v>
      </c>
      <c r="G4582" t="n">
        <v>0</v>
      </c>
      <c r="H4582" t="n">
        <v>0</v>
      </c>
      <c r="I4582" t="n">
        <v>3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/>
      </c>
      <c r="T4582" t="inlineStr">
        <is>
          <t>9</t>
        </is>
      </c>
      <c r="U4582" t="inlineStr">
        <is>
          <t>12</t>
        </is>
      </c>
      <c r="V4582" t="n">
        <v>2025</v>
      </c>
      <c r="W4582" t="n">
        <v/>
      </c>
    </row>
    <row r="4583">
      <c r="A4583" t="inlineStr">
        <is>
          <t>10/12/2025 6:48:34</t>
        </is>
      </c>
      <c r="B4583" t="inlineStr">
        <is>
          <t>Trần Xuân Khoa</t>
        </is>
      </c>
      <c r="C4583" t="inlineStr">
        <is>
          <t>09/12/2025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5</v>
      </c>
      <c r="L4583" t="n">
        <v>0</v>
      </c>
      <c r="M4583" t="n">
        <v>0</v>
      </c>
      <c r="N4583" t="n">
        <v>0</v>
      </c>
      <c r="O4583" t="n">
        <v>0</v>
      </c>
      <c r="P4583" t="n">
        <v>1</v>
      </c>
      <c r="Q4583" t="n">
        <v>2</v>
      </c>
      <c r="R4583" t="n">
        <v>0</v>
      </c>
      <c r="S4583" t="n">
        <v/>
      </c>
      <c r="T4583" t="inlineStr">
        <is>
          <t>9</t>
        </is>
      </c>
      <c r="U4583" t="inlineStr">
        <is>
          <t>12</t>
        </is>
      </c>
      <c r="V4583" t="n">
        <v>2025</v>
      </c>
      <c r="W4583" t="n">
        <v/>
      </c>
    </row>
    <row r="4584">
      <c r="A4584" t="inlineStr">
        <is>
          <t>10/12/2025 6:48:38</t>
        </is>
      </c>
      <c r="B4584" t="inlineStr">
        <is>
          <t>Đặng Hữu Danh</t>
        </is>
      </c>
      <c r="C4584" t="inlineStr">
        <is>
          <t>09/12/2025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2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0</v>
      </c>
      <c r="P4584" t="n">
        <v>1</v>
      </c>
      <c r="Q4584" t="n">
        <v>2</v>
      </c>
      <c r="R4584" t="n">
        <v>0</v>
      </c>
      <c r="S4584" t="n">
        <v/>
      </c>
      <c r="T4584" t="inlineStr">
        <is>
          <t>9</t>
        </is>
      </c>
      <c r="U4584" t="inlineStr">
        <is>
          <t>12</t>
        </is>
      </c>
      <c r="V4584" t="n">
        <v>2025</v>
      </c>
      <c r="W4584" t="n">
        <v/>
      </c>
    </row>
    <row r="4585">
      <c r="A4585" t="inlineStr">
        <is>
          <t>10/12/2025 6:52:48</t>
        </is>
      </c>
      <c r="B4585" t="inlineStr">
        <is>
          <t>Huỳnh Văn Lực</t>
        </is>
      </c>
      <c r="C4585" t="inlineStr">
        <is>
          <t>09/12/2025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5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3</v>
      </c>
      <c r="R4585" t="n">
        <v>0</v>
      </c>
      <c r="S4585" t="n">
        <v/>
      </c>
      <c r="T4585" t="inlineStr">
        <is>
          <t>9</t>
        </is>
      </c>
      <c r="U4585" t="inlineStr">
        <is>
          <t>12</t>
        </is>
      </c>
      <c r="V4585" t="n">
        <v>2025</v>
      </c>
      <c r="W4585" t="n">
        <v/>
      </c>
    </row>
    <row r="4586">
      <c r="A4586" t="inlineStr">
        <is>
          <t>10/12/2025 6:53:53</t>
        </is>
      </c>
      <c r="B4586" t="inlineStr">
        <is>
          <t>Phan Ngọc Sang</t>
        </is>
      </c>
      <c r="C4586" t="inlineStr">
        <is>
          <t>09/12/2025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1</v>
      </c>
      <c r="N4586" t="n">
        <v>1</v>
      </c>
      <c r="O4586" t="n">
        <v>1</v>
      </c>
      <c r="P4586" t="n">
        <v>0</v>
      </c>
      <c r="Q4586" t="n">
        <v>2</v>
      </c>
      <c r="R4586" t="n">
        <v>0</v>
      </c>
      <c r="S4586" t="n">
        <v/>
      </c>
      <c r="T4586" t="inlineStr">
        <is>
          <t>9</t>
        </is>
      </c>
      <c r="U4586" t="inlineStr">
        <is>
          <t>12</t>
        </is>
      </c>
      <c r="V4586" t="n">
        <v>2025</v>
      </c>
      <c r="W4586" t="n">
        <v/>
      </c>
    </row>
    <row r="4587">
      <c r="A4587" t="inlineStr">
        <is>
          <t>10/12/2025 6:54:18</t>
        </is>
      </c>
      <c r="B4587" t="inlineStr">
        <is>
          <t>Lương Duy Hải</t>
        </is>
      </c>
      <c r="C4587" t="inlineStr">
        <is>
          <t>09/12/2025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7</v>
      </c>
      <c r="L4587" t="n">
        <v>0</v>
      </c>
      <c r="M4587" t="n">
        <v>0</v>
      </c>
      <c r="N4587" t="n">
        <v>0</v>
      </c>
      <c r="O4587" t="n">
        <v>0</v>
      </c>
      <c r="P4587" t="n">
        <v>1</v>
      </c>
      <c r="Q4587" t="n">
        <v>2</v>
      </c>
      <c r="R4587" t="n">
        <v>0</v>
      </c>
      <c r="S4587" t="n">
        <v/>
      </c>
      <c r="T4587" t="inlineStr">
        <is>
          <t>9</t>
        </is>
      </c>
      <c r="U4587" t="inlineStr">
        <is>
          <t>12</t>
        </is>
      </c>
      <c r="V4587" t="n">
        <v>2025</v>
      </c>
      <c r="W4587" t="n">
        <v/>
      </c>
    </row>
    <row r="4588">
      <c r="A4588" t="inlineStr">
        <is>
          <t>10/12/2025 7:01:30</t>
        </is>
      </c>
      <c r="B4588" t="inlineStr">
        <is>
          <t>Nguyễn Tuấn Anh</t>
        </is>
      </c>
      <c r="C4588" t="inlineStr">
        <is>
          <t>09/12/2025</t>
        </is>
      </c>
      <c r="D4588" t="n">
        <v>1</v>
      </c>
      <c r="E4588" t="n">
        <v>1</v>
      </c>
      <c r="F4588" t="n">
        <v>0</v>
      </c>
      <c r="G4588" t="n">
        <v>0</v>
      </c>
      <c r="H4588" t="n">
        <v>0</v>
      </c>
      <c r="I4588" t="n">
        <v>2</v>
      </c>
      <c r="J4588" t="n">
        <v>0</v>
      </c>
      <c r="K4588" t="n">
        <v>7</v>
      </c>
      <c r="L4588" t="n">
        <v>0</v>
      </c>
      <c r="M4588" t="n">
        <v>0</v>
      </c>
      <c r="N4588" t="n">
        <v>0</v>
      </c>
      <c r="O4588" t="n">
        <v>0</v>
      </c>
      <c r="P4588" t="n">
        <v>1</v>
      </c>
      <c r="Q4588" t="n">
        <v>5</v>
      </c>
      <c r="R4588" t="n">
        <v>0</v>
      </c>
      <c r="S4588" t="n">
        <v/>
      </c>
      <c r="T4588" t="inlineStr">
        <is>
          <t>9</t>
        </is>
      </c>
      <c r="U4588" t="inlineStr">
        <is>
          <t>12</t>
        </is>
      </c>
      <c r="V4588" t="n">
        <v>2025</v>
      </c>
      <c r="W4588" t="n">
        <v/>
      </c>
    </row>
    <row r="4589">
      <c r="A4589" t="inlineStr">
        <is>
          <t>10/12/2025 7:04:05</t>
        </is>
      </c>
      <c r="B4589" t="inlineStr">
        <is>
          <t>Nguyễn Quang Anh Tuấn</t>
        </is>
      </c>
      <c r="C4589" t="inlineStr">
        <is>
          <t>09/12/2025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5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2</v>
      </c>
      <c r="R4589" t="n">
        <v>0</v>
      </c>
      <c r="S4589" t="n">
        <v/>
      </c>
      <c r="T4589" t="inlineStr">
        <is>
          <t>9</t>
        </is>
      </c>
      <c r="U4589" t="inlineStr">
        <is>
          <t>12</t>
        </is>
      </c>
      <c r="V4589" t="n">
        <v>2025</v>
      </c>
      <c r="W4589" t="n">
        <v/>
      </c>
    </row>
    <row r="4590">
      <c r="A4590" t="inlineStr">
        <is>
          <t>10/12/2025 7:05:11</t>
        </is>
      </c>
      <c r="B4590" t="inlineStr">
        <is>
          <t>Trần Trung Giang</t>
        </is>
      </c>
      <c r="C4590" t="inlineStr">
        <is>
          <t>09/12/2025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11</v>
      </c>
      <c r="L4590" t="n">
        <v>0</v>
      </c>
      <c r="M4590" t="n">
        <v>0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/>
      </c>
      <c r="T4590" t="inlineStr">
        <is>
          <t>9</t>
        </is>
      </c>
      <c r="U4590" t="inlineStr">
        <is>
          <t>12</t>
        </is>
      </c>
      <c r="V4590" t="n">
        <v>2025</v>
      </c>
      <c r="W4590" t="n">
        <v/>
      </c>
    </row>
    <row r="4591">
      <c r="A4591" t="inlineStr">
        <is>
          <t>10/12/2025 7:07:27</t>
        </is>
      </c>
      <c r="B4591" t="inlineStr">
        <is>
          <t>Vòng Nhật Sang</t>
        </is>
      </c>
      <c r="C4591" t="inlineStr">
        <is>
          <t>09/12/2025</t>
        </is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15</v>
      </c>
      <c r="J4591" t="n">
        <v>0</v>
      </c>
      <c r="K4591" t="n">
        <v>29</v>
      </c>
      <c r="L4591" t="n">
        <v>0</v>
      </c>
      <c r="M4591" t="n">
        <v>0</v>
      </c>
      <c r="N4591" t="n">
        <v>15</v>
      </c>
      <c r="O4591" t="n">
        <v>0</v>
      </c>
      <c r="P4591" t="n">
        <v>2</v>
      </c>
      <c r="Q4591" t="n">
        <v>2</v>
      </c>
      <c r="R4591" t="n">
        <v>0</v>
      </c>
      <c r="S4591" t="n">
        <v/>
      </c>
      <c r="T4591" t="inlineStr">
        <is>
          <t>9</t>
        </is>
      </c>
      <c r="U4591" t="inlineStr">
        <is>
          <t>12</t>
        </is>
      </c>
      <c r="V4591" t="n">
        <v>2025</v>
      </c>
      <c r="W4591" t="n">
        <v/>
      </c>
    </row>
    <row r="4592">
      <c r="A4592" t="inlineStr">
        <is>
          <t>10/12/2025 7:08:54</t>
        </is>
      </c>
      <c r="B4592" t="inlineStr">
        <is>
          <t>Lương Duy Hoàng</t>
        </is>
      </c>
      <c r="C4592" t="inlineStr">
        <is>
          <t>09/12/2025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2</v>
      </c>
      <c r="J4592" t="n">
        <v>0</v>
      </c>
      <c r="K4592" t="n">
        <v>5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3</v>
      </c>
      <c r="R4592" t="n">
        <v>0</v>
      </c>
      <c r="S4592" t="n">
        <v/>
      </c>
      <c r="T4592" t="inlineStr">
        <is>
          <t>9</t>
        </is>
      </c>
      <c r="U4592" t="inlineStr">
        <is>
          <t>12</t>
        </is>
      </c>
      <c r="V4592" t="n">
        <v>2025</v>
      </c>
      <c r="W4592" t="n">
        <v/>
      </c>
    </row>
    <row r="4593">
      <c r="A4593" t="inlineStr">
        <is>
          <t>10/12/2025 7:09:11</t>
        </is>
      </c>
      <c r="B4593" t="inlineStr">
        <is>
          <t>Nguyễn Thành Lâm</t>
        </is>
      </c>
      <c r="C4593" t="inlineStr">
        <is>
          <t>09/12/2025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2</v>
      </c>
      <c r="L4593" t="n">
        <v>0</v>
      </c>
      <c r="M4593" t="n">
        <v>0</v>
      </c>
      <c r="N4593" t="n">
        <v>0</v>
      </c>
      <c r="O4593" t="n">
        <v>0</v>
      </c>
      <c r="P4593" t="n">
        <v>1</v>
      </c>
      <c r="Q4593" t="n">
        <v>2</v>
      </c>
      <c r="R4593" t="n">
        <v>0</v>
      </c>
      <c r="S4593" t="n">
        <v/>
      </c>
      <c r="T4593" t="inlineStr">
        <is>
          <t>9</t>
        </is>
      </c>
      <c r="U4593" t="inlineStr">
        <is>
          <t>12</t>
        </is>
      </c>
      <c r="V4593" t="n">
        <v>2025</v>
      </c>
      <c r="W4593" t="n">
        <v/>
      </c>
    </row>
    <row r="4594">
      <c r="A4594" t="inlineStr">
        <is>
          <t>10/12/2025 7:28:45</t>
        </is>
      </c>
      <c r="B4594" t="inlineStr">
        <is>
          <t>Hồ Thái Minh Trí</t>
        </is>
      </c>
      <c r="C4594" t="inlineStr">
        <is>
          <t>09/12/2025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2</v>
      </c>
      <c r="J4594" t="n">
        <v>0</v>
      </c>
      <c r="K4594" t="n">
        <v>2</v>
      </c>
      <c r="L4594" t="n">
        <v>16</v>
      </c>
      <c r="M4594" t="n">
        <v>0</v>
      </c>
      <c r="N4594" t="n">
        <v>0</v>
      </c>
      <c r="O4594" t="n">
        <v>0</v>
      </c>
      <c r="P4594" t="n">
        <v>0</v>
      </c>
      <c r="Q4594" t="n">
        <v>3</v>
      </c>
      <c r="R4594" t="n">
        <v>0</v>
      </c>
      <c r="S4594" t="n">
        <v/>
      </c>
      <c r="T4594" t="inlineStr">
        <is>
          <t>9</t>
        </is>
      </c>
      <c r="U4594" t="inlineStr">
        <is>
          <t>12</t>
        </is>
      </c>
      <c r="V4594" t="n">
        <v>2025</v>
      </c>
      <c r="W4594" t="n">
        <v/>
      </c>
    </row>
    <row r="4595">
      <c r="A4595" t="inlineStr">
        <is>
          <t>10/12/2025 7:31:32</t>
        </is>
      </c>
      <c r="B4595" t="inlineStr">
        <is>
          <t>Nguyễn Văn Nhật</t>
        </is>
      </c>
      <c r="C4595" t="inlineStr">
        <is>
          <t>09/12/2025</t>
        </is>
      </c>
      <c r="D4595" t="n">
        <v>0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2</v>
      </c>
      <c r="K4595" t="n">
        <v>2</v>
      </c>
      <c r="L4595" t="n">
        <v>2</v>
      </c>
      <c r="M4595" t="n">
        <v>1</v>
      </c>
      <c r="N4595" t="n">
        <v>2</v>
      </c>
      <c r="O4595" t="n">
        <v>3</v>
      </c>
      <c r="P4595" t="n">
        <v>2</v>
      </c>
      <c r="Q4595" t="n">
        <v>2</v>
      </c>
      <c r="R4595" t="n">
        <v>0</v>
      </c>
      <c r="S4595" t="n">
        <v/>
      </c>
      <c r="T4595" t="inlineStr">
        <is>
          <t>9</t>
        </is>
      </c>
      <c r="U4595" t="inlineStr">
        <is>
          <t>12</t>
        </is>
      </c>
      <c r="V4595" t="n">
        <v>2025</v>
      </c>
      <c r="W4595" t="n">
        <v/>
      </c>
    </row>
    <row r="4596">
      <c r="A4596" t="inlineStr">
        <is>
          <t>10/12/2025 7:43:03</t>
        </is>
      </c>
      <c r="B4596" t="inlineStr">
        <is>
          <t>Dương Minh Tiến</t>
        </is>
      </c>
      <c r="C4596" t="inlineStr">
        <is>
          <t>10/12/2025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5</v>
      </c>
      <c r="J4596" t="n">
        <v>0</v>
      </c>
      <c r="K4596" t="n">
        <v>3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/>
      </c>
      <c r="T4596" t="inlineStr">
        <is>
          <t>10</t>
        </is>
      </c>
      <c r="U4596" t="inlineStr">
        <is>
          <t>12</t>
        </is>
      </c>
      <c r="V4596" t="n">
        <v>2025</v>
      </c>
      <c r="W4596" t="n">
        <v/>
      </c>
    </row>
    <row r="4597">
      <c r="A4597" t="inlineStr">
        <is>
          <t>10/12/2025 7:47:52</t>
        </is>
      </c>
      <c r="B4597" t="inlineStr">
        <is>
          <t>Đặng Hoài Anh</t>
        </is>
      </c>
      <c r="C4597" t="inlineStr">
        <is>
          <t>09/12/2025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2</v>
      </c>
      <c r="J4597" t="n">
        <v>0</v>
      </c>
      <c r="K4597" t="n">
        <v>4</v>
      </c>
      <c r="L4597" t="n">
        <v>0</v>
      </c>
      <c r="M4597" t="n">
        <v>0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/>
      </c>
      <c r="T4597" t="inlineStr">
        <is>
          <t>9</t>
        </is>
      </c>
      <c r="U4597" t="inlineStr">
        <is>
          <t>12</t>
        </is>
      </c>
      <c r="V4597" t="n">
        <v>2025</v>
      </c>
      <c r="W4597" t="n">
        <v/>
      </c>
    </row>
    <row r="4598">
      <c r="A4598" t="inlineStr">
        <is>
          <t>10/12/2025 8:15:51</t>
        </is>
      </c>
      <c r="B4598" t="inlineStr">
        <is>
          <t>Lê Văn Hồng</t>
        </is>
      </c>
      <c r="C4598" t="inlineStr">
        <is>
          <t>09/12/2025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4</v>
      </c>
      <c r="J4598" t="n">
        <v>0</v>
      </c>
      <c r="K4598" t="n">
        <v>14</v>
      </c>
      <c r="L4598" t="n">
        <v>0</v>
      </c>
      <c r="M4598" t="n">
        <v>0</v>
      </c>
      <c r="N4598" t="n">
        <v>4</v>
      </c>
      <c r="O4598" t="n">
        <v>0</v>
      </c>
      <c r="P4598" t="n">
        <v>3</v>
      </c>
      <c r="Q4598" t="n">
        <v>3</v>
      </c>
      <c r="R4598" t="n">
        <v>0</v>
      </c>
      <c r="S4598" t="n">
        <v/>
      </c>
      <c r="T4598" t="inlineStr">
        <is>
          <t>9</t>
        </is>
      </c>
      <c r="U4598" t="inlineStr">
        <is>
          <t>12</t>
        </is>
      </c>
      <c r="V4598" t="n">
        <v>2025</v>
      </c>
      <c r="W4598" t="n">
        <v/>
      </c>
    </row>
    <row r="4599">
      <c r="A4599" t="inlineStr">
        <is>
          <t>10/12/2025 8:16:28</t>
        </is>
      </c>
      <c r="B4599" t="inlineStr">
        <is>
          <t>Nguyễn Hồng Minh</t>
        </is>
      </c>
      <c r="C4599" t="inlineStr">
        <is>
          <t>09/12/2025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2</v>
      </c>
      <c r="J4599" t="n">
        <v>0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6</v>
      </c>
      <c r="R4599" t="n">
        <v>0</v>
      </c>
      <c r="S4599" t="n">
        <v/>
      </c>
      <c r="T4599" t="inlineStr">
        <is>
          <t>9</t>
        </is>
      </c>
      <c r="U4599" t="inlineStr">
        <is>
          <t>12</t>
        </is>
      </c>
      <c r="V4599" t="n">
        <v>2025</v>
      </c>
      <c r="W4599" t="n">
        <v/>
      </c>
    </row>
    <row r="4600">
      <c r="A4600" t="inlineStr">
        <is>
          <t>10/12/2025 8:24:51</t>
        </is>
      </c>
      <c r="B4600" t="inlineStr">
        <is>
          <t>Hoàng Văn Chất</t>
        </is>
      </c>
      <c r="C4600" t="inlineStr">
        <is>
          <t>09/12/2025</t>
        </is>
      </c>
      <c r="D4600" t="n">
        <v>1</v>
      </c>
      <c r="E4600" t="n">
        <v>0</v>
      </c>
      <c r="F4600" t="n">
        <v>1</v>
      </c>
      <c r="G4600" t="n">
        <v>0</v>
      </c>
      <c r="H4600" t="n">
        <v>0</v>
      </c>
      <c r="I4600" t="n">
        <v>0</v>
      </c>
      <c r="J4600" t="n">
        <v>0</v>
      </c>
      <c r="K4600" t="n">
        <v>6</v>
      </c>
      <c r="L4600" t="n">
        <v>2</v>
      </c>
      <c r="M4600" t="n">
        <v>1</v>
      </c>
      <c r="N4600" t="n">
        <v>0</v>
      </c>
      <c r="O4600" t="n">
        <v>0</v>
      </c>
      <c r="P4600" t="n">
        <v>1</v>
      </c>
      <c r="Q4600" t="n">
        <v>1</v>
      </c>
      <c r="R4600" t="n">
        <v>0</v>
      </c>
      <c r="S4600" t="n">
        <v/>
      </c>
      <c r="T4600" t="inlineStr">
        <is>
          <t>9</t>
        </is>
      </c>
      <c r="U4600" t="inlineStr">
        <is>
          <t>12</t>
        </is>
      </c>
      <c r="V4600" t="n">
        <v>2025</v>
      </c>
      <c r="W4600" t="n">
        <v/>
      </c>
    </row>
    <row r="4601">
      <c r="A4601" t="inlineStr">
        <is>
          <t>10/12/2025 8:25:35</t>
        </is>
      </c>
      <c r="B4601" t="inlineStr">
        <is>
          <t>Bùi Duy Cường</t>
        </is>
      </c>
      <c r="C4601" t="inlineStr">
        <is>
          <t>09/12/2025</t>
        </is>
      </c>
      <c r="D4601" t="n">
        <v>0</v>
      </c>
      <c r="E4601" t="n">
        <v>0</v>
      </c>
      <c r="F4601" t="n">
        <v>0</v>
      </c>
      <c r="G4601" t="n">
        <v>1</v>
      </c>
      <c r="H4601" t="n">
        <v>1</v>
      </c>
      <c r="I4601" t="n">
        <v>2</v>
      </c>
      <c r="J4601" t="n">
        <v>0</v>
      </c>
      <c r="K4601" t="n">
        <v>10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2</v>
      </c>
      <c r="R4601" t="n">
        <v>0</v>
      </c>
      <c r="S4601" t="n">
        <v/>
      </c>
      <c r="T4601" t="inlineStr">
        <is>
          <t>9</t>
        </is>
      </c>
      <c r="U4601" t="inlineStr">
        <is>
          <t>12</t>
        </is>
      </c>
      <c r="V4601" t="n">
        <v>2025</v>
      </c>
      <c r="W4601" t="n">
        <v/>
      </c>
    </row>
    <row r="4602">
      <c r="A4602" t="inlineStr">
        <is>
          <t>10/12/2025 21:22:26</t>
        </is>
      </c>
      <c r="B4602" t="inlineStr">
        <is>
          <t>Đặng Hữu Danh</t>
        </is>
      </c>
      <c r="C4602" t="inlineStr">
        <is>
          <t>10/12/2025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2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0</v>
      </c>
      <c r="P4602" t="n">
        <v>2</v>
      </c>
      <c r="Q4602" t="n">
        <v>3</v>
      </c>
      <c r="R4602" t="n">
        <v>0</v>
      </c>
      <c r="S4602" t="n">
        <v/>
      </c>
      <c r="T4602" t="inlineStr">
        <is>
          <t>10</t>
        </is>
      </c>
      <c r="U4602" t="inlineStr">
        <is>
          <t>12</t>
        </is>
      </c>
      <c r="V4602" t="n">
        <v>2025</v>
      </c>
      <c r="W4602" t="n">
        <v/>
      </c>
    </row>
    <row r="4603">
      <c r="A4603" t="inlineStr">
        <is>
          <t>10/12/2025 21:44:22</t>
        </is>
      </c>
      <c r="B4603" t="inlineStr">
        <is>
          <t>Lê Quốc Duy</t>
        </is>
      </c>
      <c r="C4603" t="inlineStr">
        <is>
          <t>10/12/2025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2</v>
      </c>
      <c r="J4603" t="n">
        <v>0</v>
      </c>
      <c r="K4603" t="n">
        <v>2</v>
      </c>
      <c r="L4603" t="n">
        <v>0</v>
      </c>
      <c r="M4603" t="n">
        <v>0</v>
      </c>
      <c r="N4603" t="n">
        <v>0</v>
      </c>
      <c r="O4603" t="n">
        <v>0</v>
      </c>
      <c r="P4603" t="n">
        <v>1</v>
      </c>
      <c r="Q4603" t="n">
        <v>1</v>
      </c>
      <c r="R4603" t="n">
        <v>0</v>
      </c>
      <c r="S4603" t="n">
        <v/>
      </c>
      <c r="T4603" t="inlineStr">
        <is>
          <t>10</t>
        </is>
      </c>
      <c r="U4603" t="inlineStr">
        <is>
          <t>12</t>
        </is>
      </c>
      <c r="V4603" t="n">
        <v>2025</v>
      </c>
      <c r="W4603" t="n">
        <v/>
      </c>
    </row>
    <row r="4604">
      <c r="A4604" t="inlineStr">
        <is>
          <t>10/12/2025 22:05:43</t>
        </is>
      </c>
      <c r="B4604" t="inlineStr">
        <is>
          <t>Trần Minh Khánh</t>
        </is>
      </c>
      <c r="C4604" t="inlineStr">
        <is>
          <t>10/12/2025</t>
        </is>
      </c>
      <c r="D4604" t="n">
        <v>0</v>
      </c>
      <c r="E4604" t="n">
        <v>0</v>
      </c>
      <c r="F4604" t="n">
        <v>0</v>
      </c>
      <c r="G4604" t="n">
        <v>1</v>
      </c>
      <c r="H4604" t="n">
        <v>1</v>
      </c>
      <c r="I4604" t="n">
        <v>3</v>
      </c>
      <c r="J4604" t="n">
        <v>0</v>
      </c>
      <c r="K4604" t="n">
        <v>4</v>
      </c>
      <c r="L4604" t="n">
        <v>3</v>
      </c>
      <c r="M4604" t="n">
        <v>0</v>
      </c>
      <c r="N4604" t="n">
        <v>0</v>
      </c>
      <c r="O4604" t="n">
        <v>0</v>
      </c>
      <c r="P4604" t="n">
        <v>0</v>
      </c>
      <c r="Q4604" t="n">
        <v>2</v>
      </c>
      <c r="R4604" t="n">
        <v>0</v>
      </c>
      <c r="S4604" t="n">
        <v/>
      </c>
      <c r="T4604" t="inlineStr">
        <is>
          <t>10</t>
        </is>
      </c>
      <c r="U4604" t="inlineStr">
        <is>
          <t>12</t>
        </is>
      </c>
      <c r="V4604" t="n">
        <v>2025</v>
      </c>
      <c r="W4604" t="n">
        <v/>
      </c>
    </row>
    <row r="4605">
      <c r="A4605" t="inlineStr">
        <is>
          <t>11/12/2025 6:26:16</t>
        </is>
      </c>
      <c r="B4605" t="inlineStr">
        <is>
          <t>Vòng Nhật Sang</t>
        </is>
      </c>
      <c r="C4605" t="inlineStr">
        <is>
          <t>10/12/2025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27</v>
      </c>
      <c r="L4605" t="n">
        <v>0</v>
      </c>
      <c r="M4605" t="n">
        <v>0</v>
      </c>
      <c r="N4605" t="n">
        <v>0</v>
      </c>
      <c r="O4605" t="n">
        <v>0</v>
      </c>
      <c r="P4605" t="n">
        <v>1</v>
      </c>
      <c r="Q4605" t="n">
        <v>2</v>
      </c>
      <c r="R4605" t="n">
        <v>0</v>
      </c>
      <c r="S4605" t="n">
        <v/>
      </c>
      <c r="T4605" t="inlineStr">
        <is>
          <t>10</t>
        </is>
      </c>
      <c r="U4605" t="inlineStr">
        <is>
          <t>12</t>
        </is>
      </c>
      <c r="V4605" t="n">
        <v>2025</v>
      </c>
      <c r="W4605" t="n">
        <v/>
      </c>
    </row>
    <row r="4606">
      <c r="A4606" t="inlineStr">
        <is>
          <t>11/12/2025 6:40:59</t>
        </is>
      </c>
      <c r="B4606" t="inlineStr">
        <is>
          <t>Trần Trung Giang</t>
        </is>
      </c>
      <c r="C4606" t="inlineStr">
        <is>
          <t>10/12/2025</t>
        </is>
      </c>
      <c r="D4606" t="n">
        <v>0</v>
      </c>
      <c r="E4606" t="n">
        <v>0</v>
      </c>
      <c r="F4606" t="n">
        <v>0</v>
      </c>
      <c r="G4606" t="n">
        <v>1</v>
      </c>
      <c r="H4606" t="n">
        <v>1</v>
      </c>
      <c r="I4606" t="n">
        <v>0</v>
      </c>
      <c r="J4606" t="n">
        <v>1</v>
      </c>
      <c r="K4606" t="n">
        <v>11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0</v>
      </c>
      <c r="S4606" t="n">
        <v/>
      </c>
      <c r="T4606" t="inlineStr">
        <is>
          <t>10</t>
        </is>
      </c>
      <c r="U4606" t="inlineStr">
        <is>
          <t>12</t>
        </is>
      </c>
      <c r="V4606" t="n">
        <v>2025</v>
      </c>
      <c r="W4606" t="n">
        <v/>
      </c>
    </row>
    <row r="4607">
      <c r="A4607" t="inlineStr">
        <is>
          <t>11/12/2025 6:50:41</t>
        </is>
      </c>
      <c r="B4607" t="inlineStr">
        <is>
          <t>Phan Thành Thái</t>
        </is>
      </c>
      <c r="C4607" t="inlineStr">
        <is>
          <t>10/12/2025</t>
        </is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2</v>
      </c>
      <c r="J4607" t="n">
        <v>1</v>
      </c>
      <c r="K4607" t="n">
        <v>8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4</v>
      </c>
      <c r="R4607" t="n">
        <v>0</v>
      </c>
      <c r="S4607" t="n">
        <v/>
      </c>
      <c r="T4607" t="inlineStr">
        <is>
          <t>10</t>
        </is>
      </c>
      <c r="U4607" t="inlineStr">
        <is>
          <t>12</t>
        </is>
      </c>
      <c r="V4607" t="n">
        <v>2025</v>
      </c>
      <c r="W4607" t="n">
        <v/>
      </c>
    </row>
    <row r="4608">
      <c r="A4608" t="inlineStr">
        <is>
          <t>11/12/2025 6:51:17</t>
        </is>
      </c>
      <c r="B4608" t="inlineStr">
        <is>
          <t>Lương Duy Hoàng</t>
        </is>
      </c>
      <c r="C4608" t="inlineStr">
        <is>
          <t>10/12/2025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6</v>
      </c>
      <c r="J4608" t="n">
        <v>0</v>
      </c>
      <c r="K4608" t="n">
        <v>4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2</v>
      </c>
      <c r="R4608" t="n">
        <v>0</v>
      </c>
      <c r="S4608" t="n">
        <v/>
      </c>
      <c r="T4608" t="inlineStr">
        <is>
          <t>10</t>
        </is>
      </c>
      <c r="U4608" t="inlineStr">
        <is>
          <t>12</t>
        </is>
      </c>
      <c r="V4608" t="n">
        <v>2025</v>
      </c>
      <c r="W4608" t="n">
        <v/>
      </c>
    </row>
    <row r="4609">
      <c r="A4609" t="inlineStr">
        <is>
          <t>11/12/2025 6:52:18</t>
        </is>
      </c>
      <c r="B4609" t="inlineStr">
        <is>
          <t>Phan Ngọc Sang</t>
        </is>
      </c>
      <c r="C4609" t="inlineStr">
        <is>
          <t>10/12/2025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2</v>
      </c>
      <c r="J4609" t="n">
        <v>0</v>
      </c>
      <c r="K4609" t="n">
        <v>2</v>
      </c>
      <c r="L4609" t="n">
        <v>0</v>
      </c>
      <c r="M4609" t="n">
        <v>2</v>
      </c>
      <c r="N4609" t="n">
        <v>0</v>
      </c>
      <c r="O4609" t="n">
        <v>0</v>
      </c>
      <c r="P4609" t="n">
        <v>0</v>
      </c>
      <c r="Q4609" t="n">
        <v>2</v>
      </c>
      <c r="R4609" t="n">
        <v>0</v>
      </c>
      <c r="S4609" t="n">
        <v/>
      </c>
      <c r="T4609" t="inlineStr">
        <is>
          <t>10</t>
        </is>
      </c>
      <c r="U4609" t="inlineStr">
        <is>
          <t>12</t>
        </is>
      </c>
      <c r="V4609" t="n">
        <v>2025</v>
      </c>
      <c r="W4609" t="n">
        <v/>
      </c>
    </row>
    <row r="4610">
      <c r="A4610" t="inlineStr">
        <is>
          <t>11/12/2025 7:03:51</t>
        </is>
      </c>
      <c r="B4610" t="inlineStr">
        <is>
          <t>Hồ Xuân Việt</t>
        </is>
      </c>
      <c r="C4610" t="inlineStr">
        <is>
          <t>10/12/2025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1</v>
      </c>
      <c r="Q4610" t="n">
        <v>2</v>
      </c>
      <c r="R4610" t="n">
        <v>0</v>
      </c>
      <c r="S4610" t="n">
        <v/>
      </c>
      <c r="T4610" t="inlineStr">
        <is>
          <t>10</t>
        </is>
      </c>
      <c r="U4610" t="inlineStr">
        <is>
          <t>12</t>
        </is>
      </c>
      <c r="V4610" t="n">
        <v>2025</v>
      </c>
      <c r="W4610" t="n">
        <v/>
      </c>
    </row>
    <row r="4611">
      <c r="A4611" t="inlineStr">
        <is>
          <t>11/12/2025 7:04:13</t>
        </is>
      </c>
      <c r="B4611" t="inlineStr">
        <is>
          <t>Huỳnh Văn Lực</t>
        </is>
      </c>
      <c r="C4611" t="inlineStr">
        <is>
          <t>10/12/2025</t>
        </is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8</v>
      </c>
      <c r="J4611" t="n">
        <v>0</v>
      </c>
      <c r="K4611" t="n">
        <v>3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2</v>
      </c>
      <c r="R4611" t="n">
        <v>0</v>
      </c>
      <c r="S4611" t="n">
        <v/>
      </c>
      <c r="T4611" t="inlineStr">
        <is>
          <t>10</t>
        </is>
      </c>
      <c r="U4611" t="inlineStr">
        <is>
          <t>12</t>
        </is>
      </c>
      <c r="V4611" t="n">
        <v>2025</v>
      </c>
      <c r="W4611" t="n">
        <v/>
      </c>
    </row>
    <row r="4612">
      <c r="A4612" t="inlineStr">
        <is>
          <t>11/12/2025 7:07:43</t>
        </is>
      </c>
      <c r="B4612" t="inlineStr">
        <is>
          <t>Nguyễn Thành Lâm</t>
        </is>
      </c>
      <c r="C4612" t="inlineStr">
        <is>
          <t>10/12/2025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5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2</v>
      </c>
      <c r="R4612" t="n">
        <v>0</v>
      </c>
      <c r="S4612" t="n">
        <v/>
      </c>
      <c r="T4612" t="inlineStr">
        <is>
          <t>10</t>
        </is>
      </c>
      <c r="U4612" t="inlineStr">
        <is>
          <t>12</t>
        </is>
      </c>
      <c r="V4612" t="n">
        <v>2025</v>
      </c>
      <c r="W4612" t="n">
        <v/>
      </c>
    </row>
    <row r="4613">
      <c r="A4613" t="inlineStr">
        <is>
          <t>11/12/2025 7:14:52</t>
        </is>
      </c>
      <c r="B4613" t="inlineStr">
        <is>
          <t>Hoàng Văn Chất</t>
        </is>
      </c>
      <c r="C4613" t="inlineStr">
        <is>
          <t>10/12/2025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4</v>
      </c>
      <c r="L4613" t="n">
        <v>2</v>
      </c>
      <c r="M4613" t="n">
        <v>0</v>
      </c>
      <c r="N4613" t="n">
        <v>0</v>
      </c>
      <c r="O4613" t="n">
        <v>1</v>
      </c>
      <c r="P4613" t="n">
        <v>0</v>
      </c>
      <c r="Q4613" t="n">
        <v>2</v>
      </c>
      <c r="R4613" t="n">
        <v>0</v>
      </c>
      <c r="S4613" t="n">
        <v/>
      </c>
      <c r="T4613" t="inlineStr">
        <is>
          <t>10</t>
        </is>
      </c>
      <c r="U4613" t="inlineStr">
        <is>
          <t>12</t>
        </is>
      </c>
      <c r="V4613" t="n">
        <v>2025</v>
      </c>
      <c r="W4613" t="n">
        <v/>
      </c>
    </row>
    <row r="4614">
      <c r="A4614" t="inlineStr">
        <is>
          <t>11/12/2025 7:17:18</t>
        </is>
      </c>
      <c r="B4614" t="inlineStr">
        <is>
          <t>Dương Minh Tiến</t>
        </is>
      </c>
      <c r="C4614" t="inlineStr">
        <is>
          <t>10/12/2025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2</v>
      </c>
      <c r="J4614" t="n">
        <v>0</v>
      </c>
      <c r="K4614" t="n">
        <v>3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/>
      </c>
      <c r="T4614" t="inlineStr">
        <is>
          <t>10</t>
        </is>
      </c>
      <c r="U4614" t="inlineStr">
        <is>
          <t>12</t>
        </is>
      </c>
      <c r="V4614" t="n">
        <v>2025</v>
      </c>
      <c r="W4614" t="n">
        <v/>
      </c>
    </row>
    <row r="4615">
      <c r="A4615" t="inlineStr">
        <is>
          <t>11/12/2025 7:23:05</t>
        </is>
      </c>
      <c r="B4615" t="inlineStr">
        <is>
          <t>Nguyễn Văn Hiệp</t>
        </is>
      </c>
      <c r="C4615" t="inlineStr">
        <is>
          <t>10/12/2025</t>
        </is>
      </c>
      <c r="D4615" t="n">
        <v>1</v>
      </c>
      <c r="E4615" t="n">
        <v>1</v>
      </c>
      <c r="F4615" t="n">
        <v>0</v>
      </c>
      <c r="G4615" t="n">
        <v>1</v>
      </c>
      <c r="H4615" t="n">
        <v>1</v>
      </c>
      <c r="I4615" t="n">
        <v>1</v>
      </c>
      <c r="J4615" t="n">
        <v>0</v>
      </c>
      <c r="K4615" t="n">
        <v>1</v>
      </c>
      <c r="L4615" t="n">
        <v>0</v>
      </c>
      <c r="M4615" t="n">
        <v>2</v>
      </c>
      <c r="N4615" t="n">
        <v>1</v>
      </c>
      <c r="O4615" t="n">
        <v>0</v>
      </c>
      <c r="P4615" t="n">
        <v>0</v>
      </c>
      <c r="Q4615" t="n">
        <v>0</v>
      </c>
      <c r="R4615" t="n">
        <v>0</v>
      </c>
      <c r="S4615" t="n">
        <v/>
      </c>
      <c r="T4615" t="inlineStr">
        <is>
          <t>10</t>
        </is>
      </c>
      <c r="U4615" t="inlineStr">
        <is>
          <t>12</t>
        </is>
      </c>
      <c r="V4615" t="n">
        <v>2025</v>
      </c>
      <c r="W4615" t="n">
        <v/>
      </c>
    </row>
    <row r="4616">
      <c r="A4616" t="inlineStr">
        <is>
          <t>11/12/2025 7:25:42</t>
        </is>
      </c>
      <c r="B4616" t="inlineStr">
        <is>
          <t>Nguyễn Tuấn Anh</t>
        </is>
      </c>
      <c r="C4616" t="inlineStr">
        <is>
          <t>10/12/2025</t>
        </is>
      </c>
      <c r="D4616" t="n">
        <v>2</v>
      </c>
      <c r="E4616" t="n">
        <v>2</v>
      </c>
      <c r="F4616" t="n">
        <v>0</v>
      </c>
      <c r="G4616" t="n">
        <v>0</v>
      </c>
      <c r="H4616" t="n">
        <v>0</v>
      </c>
      <c r="I4616" t="n">
        <v>4</v>
      </c>
      <c r="J4616" t="n">
        <v>0</v>
      </c>
      <c r="K4616" t="n">
        <v>26</v>
      </c>
      <c r="L4616" t="n">
        <v>3</v>
      </c>
      <c r="M4616" t="n">
        <v>0</v>
      </c>
      <c r="N4616" t="n">
        <v>0</v>
      </c>
      <c r="O4616" t="n">
        <v>0</v>
      </c>
      <c r="P4616" t="n">
        <v>1</v>
      </c>
      <c r="Q4616" t="n">
        <v>6</v>
      </c>
      <c r="R4616" t="n">
        <v>1</v>
      </c>
      <c r="S4616" t="n">
        <v/>
      </c>
      <c r="T4616" t="inlineStr">
        <is>
          <t>10</t>
        </is>
      </c>
      <c r="U4616" t="inlineStr">
        <is>
          <t>12</t>
        </is>
      </c>
      <c r="V4616" t="n">
        <v>2025</v>
      </c>
      <c r="W4616" t="n">
        <v/>
      </c>
    </row>
    <row r="4617">
      <c r="A4617" t="inlineStr">
        <is>
          <t>11/12/2025 7:29:20</t>
        </is>
      </c>
      <c r="B4617" t="inlineStr">
        <is>
          <t>Bùi Duy Cường</t>
        </is>
      </c>
      <c r="C4617" t="inlineStr">
        <is>
          <t>10/12/2025</t>
        </is>
      </c>
      <c r="D4617" t="n">
        <v>0</v>
      </c>
      <c r="E4617" t="n">
        <v>0</v>
      </c>
      <c r="F4617" t="n">
        <v>0</v>
      </c>
      <c r="G4617" t="n">
        <v>1</v>
      </c>
      <c r="H4617" t="n">
        <v>0</v>
      </c>
      <c r="I4617" t="n">
        <v>3</v>
      </c>
      <c r="J4617" t="n">
        <v>0</v>
      </c>
      <c r="K4617" t="n">
        <v>10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4</v>
      </c>
      <c r="R4617" t="n">
        <v>0</v>
      </c>
      <c r="S4617" t="n">
        <v/>
      </c>
      <c r="T4617" t="inlineStr">
        <is>
          <t>10</t>
        </is>
      </c>
      <c r="U4617" t="inlineStr">
        <is>
          <t>12</t>
        </is>
      </c>
      <c r="V4617" t="n">
        <v>2025</v>
      </c>
      <c r="W4617" t="n">
        <v/>
      </c>
    </row>
    <row r="4618">
      <c r="A4618" t="inlineStr">
        <is>
          <t>11/12/2025 7:29:23</t>
        </is>
      </c>
      <c r="B4618" t="inlineStr">
        <is>
          <t>Đào Công Trung</t>
        </is>
      </c>
      <c r="C4618" t="inlineStr">
        <is>
          <t>10/12/2025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2</v>
      </c>
      <c r="J4618" t="n">
        <v>0</v>
      </c>
      <c r="K4618" t="n">
        <v>0</v>
      </c>
      <c r="L4618" t="n">
        <v>2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/>
      </c>
      <c r="T4618" t="inlineStr">
        <is>
          <t>10</t>
        </is>
      </c>
      <c r="U4618" t="inlineStr">
        <is>
          <t>12</t>
        </is>
      </c>
      <c r="V4618" t="n">
        <v>2025</v>
      </c>
      <c r="W4618" t="n">
        <v/>
      </c>
    </row>
    <row r="4619">
      <c r="A4619" t="inlineStr">
        <is>
          <t>11/12/2025 7:30:33</t>
        </is>
      </c>
      <c r="B4619" t="inlineStr">
        <is>
          <t>Nguyễn Quang Anh Tuấn</t>
        </is>
      </c>
      <c r="C4619" t="inlineStr">
        <is>
          <t>10/12/2025</t>
        </is>
      </c>
      <c r="D4619" t="n">
        <v>1</v>
      </c>
      <c r="E4619" t="n">
        <v>1</v>
      </c>
      <c r="F4619" t="n">
        <v>0</v>
      </c>
      <c r="G4619" t="n">
        <v>0</v>
      </c>
      <c r="H4619" t="n">
        <v>0</v>
      </c>
      <c r="I4619" t="n">
        <v>4</v>
      </c>
      <c r="J4619" t="n">
        <v>0</v>
      </c>
      <c r="K4619" t="n">
        <v>2</v>
      </c>
      <c r="L4619" t="n">
        <v>2</v>
      </c>
      <c r="M4619" t="n">
        <v>0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/>
      </c>
      <c r="T4619" t="inlineStr">
        <is>
          <t>10</t>
        </is>
      </c>
      <c r="U4619" t="inlineStr">
        <is>
          <t>12</t>
        </is>
      </c>
      <c r="V4619" t="n">
        <v>2025</v>
      </c>
      <c r="W4619" t="n">
        <v/>
      </c>
    </row>
    <row r="4620">
      <c r="A4620" t="inlineStr">
        <is>
          <t>11/12/2025 7:30:38</t>
        </is>
      </c>
      <c r="B4620" t="inlineStr">
        <is>
          <t>Trần Xuân Khoa</t>
        </is>
      </c>
      <c r="C4620" t="inlineStr">
        <is>
          <t>10/12/2025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2</v>
      </c>
      <c r="J4620" t="n">
        <v>0</v>
      </c>
      <c r="K4620" t="n">
        <v>5</v>
      </c>
      <c r="L4620" t="n">
        <v>0</v>
      </c>
      <c r="M4620" t="n">
        <v>0</v>
      </c>
      <c r="N4620" t="n">
        <v>0</v>
      </c>
      <c r="O4620" t="n">
        <v>0</v>
      </c>
      <c r="P4620" t="n">
        <v>4</v>
      </c>
      <c r="Q4620" t="n">
        <v>3</v>
      </c>
      <c r="R4620" t="n">
        <v>0</v>
      </c>
      <c r="S4620" t="n">
        <v/>
      </c>
      <c r="T4620" t="inlineStr">
        <is>
          <t>10</t>
        </is>
      </c>
      <c r="U4620" t="inlineStr">
        <is>
          <t>12</t>
        </is>
      </c>
      <c r="V4620" t="n">
        <v>2025</v>
      </c>
      <c r="W4620" t="n">
        <v/>
      </c>
    </row>
    <row r="4621">
      <c r="A4621" t="inlineStr">
        <is>
          <t>11/12/2025 7:32:29</t>
        </is>
      </c>
      <c r="B4621" t="inlineStr">
        <is>
          <t>Nguyễn Văn Nhật</t>
        </is>
      </c>
      <c r="C4621" t="inlineStr">
        <is>
          <t>10/12/2025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2</v>
      </c>
      <c r="L4621" t="n">
        <v>2</v>
      </c>
      <c r="M4621" t="n">
        <v>1</v>
      </c>
      <c r="N4621" t="n">
        <v>0</v>
      </c>
      <c r="O4621" t="n">
        <v>0</v>
      </c>
      <c r="P4621" t="n">
        <v>0</v>
      </c>
      <c r="Q4621" t="n">
        <v>3</v>
      </c>
      <c r="R4621" t="n">
        <v>0</v>
      </c>
      <c r="S4621" t="n">
        <v/>
      </c>
      <c r="T4621" t="inlineStr">
        <is>
          <t>10</t>
        </is>
      </c>
      <c r="U4621" t="inlineStr">
        <is>
          <t>12</t>
        </is>
      </c>
      <c r="V4621" t="n">
        <v>2025</v>
      </c>
      <c r="W4621" t="n">
        <v/>
      </c>
    </row>
    <row r="4622">
      <c r="A4622" t="inlineStr">
        <is>
          <t>11/12/2025 7:32:57</t>
        </is>
      </c>
      <c r="B4622" t="inlineStr">
        <is>
          <t>Lương Duy Hải</t>
        </is>
      </c>
      <c r="C4622" t="inlineStr">
        <is>
          <t>10/12/2025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5</v>
      </c>
      <c r="L4622" t="n">
        <v>0</v>
      </c>
      <c r="M4622" t="n">
        <v>0</v>
      </c>
      <c r="N4622" t="n">
        <v>0</v>
      </c>
      <c r="O4622" t="n">
        <v>0</v>
      </c>
      <c r="P4622" t="n">
        <v>1</v>
      </c>
      <c r="Q4622" t="n">
        <v>2</v>
      </c>
      <c r="R4622" t="n">
        <v>0</v>
      </c>
      <c r="S4622" t="n">
        <v/>
      </c>
      <c r="T4622" t="inlineStr">
        <is>
          <t>10</t>
        </is>
      </c>
      <c r="U4622" t="inlineStr">
        <is>
          <t>12</t>
        </is>
      </c>
      <c r="V4622" t="n">
        <v>2025</v>
      </c>
      <c r="W4622" t="n">
        <v/>
      </c>
    </row>
    <row r="4623">
      <c r="A4623" t="inlineStr">
        <is>
          <t>11/12/2025 8:15:51</t>
        </is>
      </c>
      <c r="B4623" t="inlineStr">
        <is>
          <t>Nguyễn Hồng Minh</t>
        </is>
      </c>
      <c r="C4623" t="inlineStr">
        <is>
          <t>10/12/2025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3</v>
      </c>
      <c r="J4623" t="n">
        <v>0</v>
      </c>
      <c r="K4623" t="n">
        <v>0</v>
      </c>
      <c r="L4623" t="n">
        <v>2</v>
      </c>
      <c r="M4623" t="n">
        <v>1</v>
      </c>
      <c r="N4623" t="n">
        <v>1</v>
      </c>
      <c r="O4623" t="n">
        <v>0</v>
      </c>
      <c r="P4623" t="n">
        <v>0</v>
      </c>
      <c r="Q4623" t="n">
        <v>3</v>
      </c>
      <c r="R4623" t="n">
        <v>0</v>
      </c>
      <c r="S4623" t="n">
        <v/>
      </c>
      <c r="T4623" t="inlineStr">
        <is>
          <t>10</t>
        </is>
      </c>
      <c r="U4623" t="inlineStr">
        <is>
          <t>12</t>
        </is>
      </c>
      <c r="V4623" t="n">
        <v>2025</v>
      </c>
      <c r="W4623" t="n">
        <v/>
      </c>
    </row>
    <row r="4624">
      <c r="A4624" t="inlineStr">
        <is>
          <t>11/12/2025 8:18:51</t>
        </is>
      </c>
      <c r="B4624" t="inlineStr">
        <is>
          <t>Hồ Thái Minh Trí</t>
        </is>
      </c>
      <c r="C4624" t="inlineStr">
        <is>
          <t>10/12/2025</t>
        </is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2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/>
      </c>
      <c r="T4624" t="inlineStr">
        <is>
          <t>10</t>
        </is>
      </c>
      <c r="U4624" t="inlineStr">
        <is>
          <t>12</t>
        </is>
      </c>
      <c r="V4624" t="n">
        <v>2025</v>
      </c>
      <c r="W4624" t="n">
        <v/>
      </c>
    </row>
    <row r="4625">
      <c r="A4625" t="inlineStr">
        <is>
          <t>11/12/2025 8:24:08</t>
        </is>
      </c>
      <c r="B4625" t="inlineStr">
        <is>
          <t>Lê Văn Hồng</t>
        </is>
      </c>
      <c r="C4625" t="inlineStr">
        <is>
          <t>10/12/2025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5</v>
      </c>
      <c r="J4625" t="n">
        <v>0</v>
      </c>
      <c r="K4625" t="n">
        <v>10</v>
      </c>
      <c r="L4625" t="n">
        <v>0</v>
      </c>
      <c r="M4625" t="n">
        <v>0</v>
      </c>
      <c r="N4625" t="n">
        <v>5</v>
      </c>
      <c r="O4625" t="n">
        <v>0</v>
      </c>
      <c r="P4625" t="n">
        <v>3</v>
      </c>
      <c r="Q4625" t="n">
        <v>2</v>
      </c>
      <c r="R4625" t="n">
        <v>1</v>
      </c>
      <c r="S4625" t="n">
        <v/>
      </c>
      <c r="T4625" t="inlineStr">
        <is>
          <t>10</t>
        </is>
      </c>
      <c r="U4625" t="inlineStr">
        <is>
          <t>12</t>
        </is>
      </c>
      <c r="V4625" t="n">
        <v>2025</v>
      </c>
      <c r="W4625" t="n">
        <v/>
      </c>
    </row>
    <row r="4626">
      <c r="A4626" t="inlineStr">
        <is>
          <t>11/12/2025 8:25:02</t>
        </is>
      </c>
      <c r="B4626" t="inlineStr">
        <is>
          <t>Đặng Hoài Anh</t>
        </is>
      </c>
      <c r="C4626" t="inlineStr">
        <is>
          <t>10/12/2025</t>
        </is>
      </c>
      <c r="D4626" t="n">
        <v>1</v>
      </c>
      <c r="E4626" t="n">
        <v>0</v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2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/>
      </c>
      <c r="T4626" t="inlineStr">
        <is>
          <t>10</t>
        </is>
      </c>
      <c r="U4626" t="inlineStr">
        <is>
          <t>12</t>
        </is>
      </c>
      <c r="V4626" t="n">
        <v>2025</v>
      </c>
      <c r="W4626" t="n">
        <v/>
      </c>
    </row>
    <row r="4627">
      <c r="A4627" t="inlineStr">
        <is>
          <t>11/12/2025 12:37:48</t>
        </is>
      </c>
      <c r="B4627" t="inlineStr">
        <is>
          <t>Lương Duy Hải</t>
        </is>
      </c>
      <c r="C4627" t="inlineStr">
        <is>
          <t>10/12/2025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5</v>
      </c>
      <c r="L4627" t="n">
        <v>0</v>
      </c>
      <c r="M4627" t="n">
        <v>0</v>
      </c>
      <c r="N4627" t="n">
        <v>0</v>
      </c>
      <c r="O4627" t="n">
        <v>0</v>
      </c>
      <c r="P4627" t="n">
        <v>1</v>
      </c>
      <c r="Q4627" t="n">
        <v>0</v>
      </c>
      <c r="R4627" t="n">
        <v>0</v>
      </c>
      <c r="S4627" t="n">
        <v/>
      </c>
      <c r="T4627" t="inlineStr">
        <is>
          <t>10</t>
        </is>
      </c>
      <c r="U4627" t="inlineStr">
        <is>
          <t>12</t>
        </is>
      </c>
      <c r="V4627" t="n">
        <v>2025</v>
      </c>
      <c r="W4627" t="n">
        <v/>
      </c>
    </row>
    <row r="4628">
      <c r="A4628" t="inlineStr">
        <is>
          <t>11/12/2025 21:35:15</t>
        </is>
      </c>
      <c r="B4628" t="inlineStr">
        <is>
          <t>Đặng Hữu Danh</t>
        </is>
      </c>
      <c r="C4628" t="inlineStr">
        <is>
          <t>11/12/2025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1</v>
      </c>
      <c r="Q4628" t="n">
        <v>2</v>
      </c>
      <c r="R4628" t="n">
        <v>0</v>
      </c>
      <c r="S4628" t="n">
        <v/>
      </c>
      <c r="T4628" t="inlineStr">
        <is>
          <t>11</t>
        </is>
      </c>
      <c r="U4628" t="inlineStr">
        <is>
          <t>12</t>
        </is>
      </c>
      <c r="V4628" t="n">
        <v/>
      </c>
      <c r="W4628" t="n">
        <v/>
      </c>
    </row>
    <row r="4629">
      <c r="A4629" t="inlineStr">
        <is>
          <t>12/12/2025 4:25:23</t>
        </is>
      </c>
      <c r="B4629" t="inlineStr">
        <is>
          <t>Hồ Thái Minh Trí</t>
        </is>
      </c>
      <c r="C4629" t="inlineStr">
        <is>
          <t>11/12/2025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3</v>
      </c>
      <c r="M4629" t="n">
        <v>0</v>
      </c>
      <c r="N4629" t="n">
        <v>0</v>
      </c>
      <c r="O4629" t="n">
        <v>0</v>
      </c>
      <c r="P4629" t="n">
        <v>0</v>
      </c>
      <c r="Q4629" t="n">
        <v>3</v>
      </c>
      <c r="R4629" t="n">
        <v>0</v>
      </c>
      <c r="S4629" t="n">
        <v/>
      </c>
      <c r="T4629" t="inlineStr">
        <is>
          <t>11</t>
        </is>
      </c>
      <c r="U4629" t="inlineStr">
        <is>
          <t>12</t>
        </is>
      </c>
      <c r="V4629" t="n">
        <v/>
      </c>
      <c r="W4629" t="n">
        <v/>
      </c>
    </row>
    <row r="4630">
      <c r="A4630" t="inlineStr">
        <is>
          <t>12/12/2025 5:21:23</t>
        </is>
      </c>
      <c r="B4630" t="inlineStr">
        <is>
          <t>Trần Minh Khánh</t>
        </is>
      </c>
      <c r="C4630" t="inlineStr">
        <is>
          <t>11/12/2025</t>
        </is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2</v>
      </c>
      <c r="J4630" t="n">
        <v>0</v>
      </c>
      <c r="K4630" t="n">
        <v>3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2</v>
      </c>
      <c r="R4630" t="n">
        <v>0</v>
      </c>
      <c r="S4630" t="n">
        <v/>
      </c>
      <c r="T4630" t="inlineStr">
        <is>
          <t>11</t>
        </is>
      </c>
      <c r="U4630" t="inlineStr">
        <is>
          <t>12</t>
        </is>
      </c>
      <c r="V4630" t="n">
        <v/>
      </c>
      <c r="W4630" t="n">
        <v/>
      </c>
    </row>
    <row r="4631">
      <c r="A4631" t="inlineStr">
        <is>
          <t>12/12/2025 6:16:57</t>
        </is>
      </c>
      <c r="B4631" t="inlineStr">
        <is>
          <t>Vòng Nhật Sang</t>
        </is>
      </c>
      <c r="C4631" t="inlineStr">
        <is>
          <t>11/12/2025</t>
        </is>
      </c>
      <c r="D4631" t="n">
        <v>1</v>
      </c>
      <c r="E4631" t="n">
        <v>1</v>
      </c>
      <c r="F4631" t="n">
        <v>0</v>
      </c>
      <c r="G4631" t="n">
        <v>0</v>
      </c>
      <c r="H4631" t="n">
        <v>0</v>
      </c>
      <c r="I4631" t="n">
        <v>5</v>
      </c>
      <c r="J4631" t="n">
        <v>0</v>
      </c>
      <c r="K4631" t="n">
        <v>24</v>
      </c>
      <c r="L4631" t="n">
        <v>0</v>
      </c>
      <c r="M4631" t="n">
        <v>1</v>
      </c>
      <c r="N4631" t="n">
        <v>5</v>
      </c>
      <c r="O4631" t="n">
        <v>0</v>
      </c>
      <c r="P4631" t="n">
        <v>0</v>
      </c>
      <c r="Q4631" t="n">
        <v>1</v>
      </c>
      <c r="R4631" t="n">
        <v>0</v>
      </c>
      <c r="S4631" t="n">
        <v/>
      </c>
      <c r="T4631" t="inlineStr">
        <is>
          <t>11</t>
        </is>
      </c>
      <c r="U4631" t="inlineStr">
        <is>
          <t>12</t>
        </is>
      </c>
      <c r="V4631" t="n">
        <v/>
      </c>
      <c r="W4631" t="n">
        <v/>
      </c>
    </row>
    <row r="4632">
      <c r="A4632" t="inlineStr">
        <is>
          <t>12/12/2025 6:16:58</t>
        </is>
      </c>
      <c r="B4632" t="inlineStr">
        <is>
          <t>Lương Duy Hoàng</t>
        </is>
      </c>
      <c r="C4632" t="inlineStr">
        <is>
          <t>11/12/2025</t>
        </is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4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2</v>
      </c>
      <c r="R4632" t="n">
        <v>0</v>
      </c>
      <c r="S4632" t="n">
        <v/>
      </c>
      <c r="T4632" t="inlineStr">
        <is>
          <t>11</t>
        </is>
      </c>
      <c r="U4632" t="inlineStr">
        <is>
          <t>12</t>
        </is>
      </c>
      <c r="V4632" t="n">
        <v/>
      </c>
      <c r="W4632" t="n">
        <v/>
      </c>
    </row>
    <row r="4633">
      <c r="A4633" t="inlineStr">
        <is>
          <t>12/12/2025 6:34:41</t>
        </is>
      </c>
      <c r="B4633" t="inlineStr">
        <is>
          <t>Phan Ngọc Sang</t>
        </is>
      </c>
      <c r="C4633" t="inlineStr">
        <is>
          <t>11/12/2025</t>
        </is>
      </c>
      <c r="D4633" t="n">
        <v>0</v>
      </c>
      <c r="E4633" t="n">
        <v>0</v>
      </c>
      <c r="F4633" t="n">
        <v>0</v>
      </c>
      <c r="G4633" t="n">
        <v>1</v>
      </c>
      <c r="H4633" t="n">
        <v>1</v>
      </c>
      <c r="I4633" t="n">
        <v>1</v>
      </c>
      <c r="J4633" t="n">
        <v>0</v>
      </c>
      <c r="K4633" t="n">
        <v>3</v>
      </c>
      <c r="L4633" t="n">
        <v>1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n">
        <v/>
      </c>
      <c r="T4633" t="inlineStr">
        <is>
          <t>11</t>
        </is>
      </c>
      <c r="U4633" t="inlineStr">
        <is>
          <t>12</t>
        </is>
      </c>
      <c r="V4633" t="n">
        <v/>
      </c>
      <c r="W4633" t="n">
        <v/>
      </c>
    </row>
    <row r="4634">
      <c r="A4634" t="inlineStr">
        <is>
          <t>12/12/2025 6:44:44</t>
        </is>
      </c>
      <c r="B4634" t="inlineStr">
        <is>
          <t>Hồ Xuân Việt</t>
        </is>
      </c>
      <c r="C4634" t="inlineStr">
        <is>
          <t>11/12/2025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4</v>
      </c>
      <c r="L4634" t="n">
        <v>1</v>
      </c>
      <c r="M4634" t="n">
        <v>0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/>
      </c>
      <c r="T4634" t="inlineStr">
        <is>
          <t>11</t>
        </is>
      </c>
      <c r="U4634" t="inlineStr">
        <is>
          <t>12</t>
        </is>
      </c>
      <c r="V4634" t="n">
        <v/>
      </c>
      <c r="W4634" t="n">
        <v/>
      </c>
    </row>
    <row r="4635">
      <c r="A4635" t="inlineStr">
        <is>
          <t>12/12/2025 6:49:03</t>
        </is>
      </c>
      <c r="B4635" t="inlineStr">
        <is>
          <t>Trần Xuân Khoa</t>
        </is>
      </c>
      <c r="C4635" t="inlineStr">
        <is>
          <t>11/12/2025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2</v>
      </c>
      <c r="J4635" t="n">
        <v>0</v>
      </c>
      <c r="K4635" t="n">
        <v>6</v>
      </c>
      <c r="L4635" t="n">
        <v>0</v>
      </c>
      <c r="M4635" t="n">
        <v>0</v>
      </c>
      <c r="N4635" t="n">
        <v>0</v>
      </c>
      <c r="O4635" t="n">
        <v>0</v>
      </c>
      <c r="P4635" t="n">
        <v>1</v>
      </c>
      <c r="Q4635" t="n">
        <v>3</v>
      </c>
      <c r="R4635" t="n">
        <v>0</v>
      </c>
      <c r="S4635" t="n">
        <v/>
      </c>
      <c r="T4635" t="inlineStr">
        <is>
          <t>11</t>
        </is>
      </c>
      <c r="U4635" t="inlineStr">
        <is>
          <t>12</t>
        </is>
      </c>
      <c r="V4635" t="n">
        <v/>
      </c>
      <c r="W4635" t="n">
        <v/>
      </c>
    </row>
    <row r="4636">
      <c r="A4636" t="inlineStr">
        <is>
          <t>12/12/2025 7:01:33</t>
        </is>
      </c>
      <c r="B4636" t="inlineStr">
        <is>
          <t>Đặng Hoài Anh</t>
        </is>
      </c>
      <c r="C4636" t="inlineStr">
        <is>
          <t>11/12/2025</t>
        </is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/>
      </c>
      <c r="T4636" t="inlineStr">
        <is>
          <t>11</t>
        </is>
      </c>
      <c r="U4636" t="inlineStr">
        <is>
          <t>12</t>
        </is>
      </c>
      <c r="V4636" t="n">
        <v/>
      </c>
      <c r="W4636" t="n">
        <v/>
      </c>
    </row>
    <row r="4637">
      <c r="A4637" t="inlineStr">
        <is>
          <t>12/12/2025 7:02:40</t>
        </is>
      </c>
      <c r="B4637" t="inlineStr">
        <is>
          <t>Nguyễn Văn Hiệp</t>
        </is>
      </c>
      <c r="C4637" t="inlineStr">
        <is>
          <t>11/12/2025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2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/>
      </c>
      <c r="T4637" t="inlineStr">
        <is>
          <t>11</t>
        </is>
      </c>
      <c r="U4637" t="inlineStr">
        <is>
          <t>12</t>
        </is>
      </c>
      <c r="V4637" t="n">
        <v/>
      </c>
      <c r="W4637" t="n">
        <v/>
      </c>
    </row>
    <row r="4638">
      <c r="A4638" t="inlineStr">
        <is>
          <t>12/12/2025 7:03:48</t>
        </is>
      </c>
      <c r="B4638" t="inlineStr">
        <is>
          <t>Trần Trung Giang</t>
        </is>
      </c>
      <c r="C4638" t="inlineStr">
        <is>
          <t>11/12/2025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3</v>
      </c>
      <c r="J4638" t="n">
        <v>0</v>
      </c>
      <c r="K4638" t="n">
        <v>4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/>
      </c>
      <c r="T4638" t="inlineStr">
        <is>
          <t>11</t>
        </is>
      </c>
      <c r="U4638" t="inlineStr">
        <is>
          <t>12</t>
        </is>
      </c>
      <c r="V4638" t="n">
        <v/>
      </c>
      <c r="W4638" t="n">
        <v/>
      </c>
    </row>
    <row r="4639">
      <c r="A4639" t="inlineStr">
        <is>
          <t>12/12/2025 7:04:49</t>
        </is>
      </c>
      <c r="B4639" t="inlineStr">
        <is>
          <t>Nguyễn Quang Anh Tuấn</t>
        </is>
      </c>
      <c r="C4639" t="inlineStr">
        <is>
          <t>11/12/2025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4</v>
      </c>
      <c r="J4639" t="n">
        <v>0</v>
      </c>
      <c r="K4639" t="n">
        <v>2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/>
      </c>
      <c r="T4639" t="inlineStr">
        <is>
          <t>11</t>
        </is>
      </c>
      <c r="U4639" t="inlineStr">
        <is>
          <t>12</t>
        </is>
      </c>
      <c r="V4639" t="n">
        <v/>
      </c>
      <c r="W4639" t="n">
        <v/>
      </c>
    </row>
    <row r="4640">
      <c r="A4640" t="inlineStr">
        <is>
          <t>12/12/2025 7:07:18</t>
        </is>
      </c>
      <c r="B4640" t="inlineStr">
        <is>
          <t>Nguyễn Thành Lâm</t>
        </is>
      </c>
      <c r="C4640" t="inlineStr">
        <is>
          <t>11/12/2025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1</v>
      </c>
      <c r="Q4640" t="n">
        <v>2</v>
      </c>
      <c r="R4640" t="n">
        <v>0</v>
      </c>
      <c r="S4640" t="n">
        <v/>
      </c>
      <c r="T4640" t="inlineStr">
        <is>
          <t>11</t>
        </is>
      </c>
      <c r="U4640" t="inlineStr">
        <is>
          <t>12</t>
        </is>
      </c>
      <c r="V4640" t="n">
        <v/>
      </c>
      <c r="W4640" t="n">
        <v/>
      </c>
    </row>
    <row r="4641">
      <c r="A4641" t="inlineStr">
        <is>
          <t>12/12/2025 7:17:45</t>
        </is>
      </c>
      <c r="B4641" t="inlineStr">
        <is>
          <t>Dương Minh Tiến</t>
        </is>
      </c>
      <c r="C4641" t="inlineStr">
        <is>
          <t>11/12/2025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/>
      </c>
      <c r="I4641" t="n">
        <v>3</v>
      </c>
      <c r="J4641" t="n">
        <v>0</v>
      </c>
      <c r="K4641" t="n">
        <v>6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/>
      </c>
      <c r="T4641" t="inlineStr">
        <is>
          <t>11</t>
        </is>
      </c>
      <c r="U4641" t="inlineStr">
        <is>
          <t>12</t>
        </is>
      </c>
      <c r="V4641" t="n">
        <v/>
      </c>
      <c r="W4641" t="n">
        <v/>
      </c>
    </row>
    <row r="4642">
      <c r="A4642" t="inlineStr">
        <is>
          <t>12/12/2025 7:19:38</t>
        </is>
      </c>
      <c r="B4642" t="inlineStr">
        <is>
          <t>Nguyễn Tuấn Anh</t>
        </is>
      </c>
      <c r="C4642" t="inlineStr">
        <is>
          <t>11/12/2025</t>
        </is>
      </c>
      <c r="D4642" t="n">
        <v>1</v>
      </c>
      <c r="E4642" t="n">
        <v>1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7</v>
      </c>
      <c r="L4642" t="n">
        <v>0</v>
      </c>
      <c r="M4642" t="n">
        <v>0</v>
      </c>
      <c r="N4642" t="n">
        <v>0</v>
      </c>
      <c r="O4642" t="n">
        <v>0</v>
      </c>
      <c r="P4642" t="n">
        <v>1</v>
      </c>
      <c r="Q4642" t="n">
        <v>5</v>
      </c>
      <c r="R4642" t="n">
        <v>0</v>
      </c>
      <c r="S4642" t="n">
        <v/>
      </c>
      <c r="T4642" t="inlineStr">
        <is>
          <t>11</t>
        </is>
      </c>
      <c r="U4642" t="inlineStr">
        <is>
          <t>12</t>
        </is>
      </c>
      <c r="V4642" t="n">
        <v/>
      </c>
      <c r="W4642" t="n">
        <v/>
      </c>
    </row>
    <row r="4643">
      <c r="A4643" t="inlineStr">
        <is>
          <t>12/12/2025 7:20:40</t>
        </is>
      </c>
      <c r="B4643" t="inlineStr">
        <is>
          <t>Huỳnh Văn Lực</t>
        </is>
      </c>
      <c r="C4643" t="inlineStr">
        <is>
          <t>11/12/2025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4</v>
      </c>
      <c r="J4643" t="n">
        <v>0</v>
      </c>
      <c r="K4643" t="n">
        <v>2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/>
      </c>
      <c r="T4643" t="inlineStr">
        <is>
          <t>11</t>
        </is>
      </c>
      <c r="U4643" t="inlineStr">
        <is>
          <t>12</t>
        </is>
      </c>
      <c r="V4643" t="n">
        <v/>
      </c>
      <c r="W4643" t="n">
        <v/>
      </c>
    </row>
    <row r="4644">
      <c r="A4644" t="inlineStr">
        <is>
          <t>12/12/2025 7:22:38</t>
        </is>
      </c>
      <c r="B4644" t="inlineStr">
        <is>
          <t>Lê Quốc Duy</t>
        </is>
      </c>
      <c r="C4644" t="inlineStr">
        <is>
          <t>11/12/2025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2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0</v>
      </c>
      <c r="P4644" t="n">
        <v>1</v>
      </c>
      <c r="Q4644" t="n">
        <v>1</v>
      </c>
      <c r="R4644" t="n">
        <v>0</v>
      </c>
      <c r="S4644" t="n">
        <v/>
      </c>
      <c r="T4644" t="inlineStr">
        <is>
          <t>11</t>
        </is>
      </c>
      <c r="U4644" t="inlineStr">
        <is>
          <t>12</t>
        </is>
      </c>
      <c r="V4644" t="n">
        <v/>
      </c>
      <c r="W4644" t="n">
        <v/>
      </c>
    </row>
    <row r="4645">
      <c r="A4645" t="inlineStr">
        <is>
          <t>12/12/2025 7:25:43</t>
        </is>
      </c>
      <c r="B4645" t="inlineStr">
        <is>
          <t>Lê Hồng Phong</t>
        </is>
      </c>
      <c r="C4645" t="inlineStr">
        <is>
          <t>12/12/2025</t>
        </is>
      </c>
      <c r="D4645" t="n">
        <v>1</v>
      </c>
      <c r="E4645" t="n">
        <v>1</v>
      </c>
      <c r="F4645" t="n">
        <v>1</v>
      </c>
      <c r="G4645" t="n">
        <v>0</v>
      </c>
      <c r="H4645" t="n">
        <v>0</v>
      </c>
      <c r="I4645" t="n">
        <v>1</v>
      </c>
      <c r="J4645" t="n">
        <v>1</v>
      </c>
      <c r="K4645" t="n">
        <v>1</v>
      </c>
      <c r="L4645" t="n">
        <v>1</v>
      </c>
      <c r="M4645" t="n">
        <v>1</v>
      </c>
      <c r="N4645" t="n">
        <v>1</v>
      </c>
      <c r="O4645" t="n">
        <v>0</v>
      </c>
      <c r="P4645" t="n">
        <v>1</v>
      </c>
      <c r="Q4645" t="n">
        <v>1</v>
      </c>
      <c r="R4645" t="n">
        <v>1</v>
      </c>
      <c r="S4645" t="n">
        <v/>
      </c>
      <c r="T4645" t="inlineStr">
        <is>
          <t>12</t>
        </is>
      </c>
      <c r="U4645" t="inlineStr">
        <is>
          <t>12</t>
        </is>
      </c>
      <c r="V4645" t="n">
        <v/>
      </c>
      <c r="W4645" t="n">
        <v/>
      </c>
    </row>
    <row r="4646">
      <c r="A4646" t="inlineStr">
        <is>
          <t>12/12/2025 7:33:13</t>
        </is>
      </c>
      <c r="B4646" t="inlineStr">
        <is>
          <t>Hoàng Văn Chất</t>
        </is>
      </c>
      <c r="C4646" t="inlineStr">
        <is>
          <t>11/12/2025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6</v>
      </c>
      <c r="L4646" t="n">
        <v>1</v>
      </c>
      <c r="M4646" t="n">
        <v>0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/>
      </c>
      <c r="T4646" t="inlineStr">
        <is>
          <t>11</t>
        </is>
      </c>
      <c r="U4646" t="inlineStr">
        <is>
          <t>12</t>
        </is>
      </c>
      <c r="V4646" t="n">
        <v/>
      </c>
      <c r="W4646" t="n">
        <v/>
      </c>
    </row>
    <row r="4647">
      <c r="A4647" t="inlineStr">
        <is>
          <t>12/12/2025 7:35:27</t>
        </is>
      </c>
      <c r="B4647" t="inlineStr">
        <is>
          <t>Phan Thành Thái</t>
        </is>
      </c>
      <c r="C4647" t="inlineStr">
        <is>
          <t>11/12/2025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3</v>
      </c>
      <c r="J4647" t="n">
        <v>0</v>
      </c>
      <c r="K4647" t="n">
        <v>4</v>
      </c>
      <c r="L4647" t="n">
        <v>0</v>
      </c>
      <c r="M4647" t="n">
        <v>0</v>
      </c>
      <c r="N4647" t="n">
        <v>0</v>
      </c>
      <c r="O4647" t="n">
        <v>0</v>
      </c>
      <c r="P4647" t="n">
        <v>1</v>
      </c>
      <c r="Q4647" t="n">
        <v>4</v>
      </c>
      <c r="R4647" t="n">
        <v>0</v>
      </c>
      <c r="S4647" t="n">
        <v/>
      </c>
      <c r="T4647" t="inlineStr">
        <is>
          <t>11</t>
        </is>
      </c>
      <c r="U4647" t="inlineStr">
        <is>
          <t>12</t>
        </is>
      </c>
      <c r="V4647" t="n">
        <v/>
      </c>
      <c r="W4647" t="n">
        <v/>
      </c>
    </row>
    <row r="4648">
      <c r="A4648" t="inlineStr">
        <is>
          <t>12/12/2025 7:41:15</t>
        </is>
      </c>
      <c r="B4648" t="inlineStr">
        <is>
          <t>Nguyễn Văn Nhật</t>
        </is>
      </c>
      <c r="C4648" t="inlineStr">
        <is>
          <t>11/12/2025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4</v>
      </c>
      <c r="L4648" t="n">
        <v>4</v>
      </c>
      <c r="M4648" t="n">
        <v>0</v>
      </c>
      <c r="N4648" t="n">
        <v>0</v>
      </c>
      <c r="O4648" t="n">
        <v>0</v>
      </c>
      <c r="P4648" t="n">
        <v>0</v>
      </c>
      <c r="Q4648" t="n">
        <v>2</v>
      </c>
      <c r="R4648" t="n">
        <v>0</v>
      </c>
      <c r="S4648" t="n">
        <v/>
      </c>
      <c r="T4648" t="inlineStr">
        <is>
          <t>11</t>
        </is>
      </c>
      <c r="U4648" t="inlineStr">
        <is>
          <t>12</t>
        </is>
      </c>
      <c r="V4648" t="n">
        <v/>
      </c>
      <c r="W4648" t="n">
        <v/>
      </c>
    </row>
    <row r="4649">
      <c r="A4649" t="inlineStr">
        <is>
          <t>12/12/2025 7:44:04</t>
        </is>
      </c>
      <c r="B4649" t="inlineStr">
        <is>
          <t>Bùi Duy Cường</t>
        </is>
      </c>
      <c r="C4649" t="inlineStr">
        <is>
          <t>11/12/2025</t>
        </is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2</v>
      </c>
      <c r="J4649" t="n">
        <v>1</v>
      </c>
      <c r="K4649" t="n">
        <v>12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/>
      </c>
      <c r="T4649" t="inlineStr">
        <is>
          <t>11</t>
        </is>
      </c>
      <c r="U4649" t="inlineStr">
        <is>
          <t>12</t>
        </is>
      </c>
      <c r="V4649" t="n">
        <v/>
      </c>
      <c r="W4649" t="n">
        <v/>
      </c>
    </row>
    <row r="4650">
      <c r="A4650" t="inlineStr">
        <is>
          <t>12/12/2025 7:47:24</t>
        </is>
      </c>
      <c r="B4650" t="inlineStr">
        <is>
          <t>Đào Công Trung</t>
        </is>
      </c>
      <c r="C4650" t="inlineStr">
        <is>
          <t>11/12/2025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/>
      </c>
      <c r="T4650" t="inlineStr">
        <is>
          <t>11</t>
        </is>
      </c>
      <c r="U4650" t="inlineStr">
        <is>
          <t>12</t>
        </is>
      </c>
      <c r="V4650" t="n">
        <v/>
      </c>
      <c r="W4650" t="n">
        <v/>
      </c>
    </row>
    <row r="4651">
      <c r="A4651" t="inlineStr">
        <is>
          <t>12/12/2025 7:54:31</t>
        </is>
      </c>
      <c r="B4651" t="inlineStr">
        <is>
          <t>Lương Duy Hải</t>
        </is>
      </c>
      <c r="C4651" t="inlineStr">
        <is>
          <t>11/12/2025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6</v>
      </c>
      <c r="L4651" t="n">
        <v>0</v>
      </c>
      <c r="M4651" t="n">
        <v>0</v>
      </c>
      <c r="N4651" t="n">
        <v>0</v>
      </c>
      <c r="O4651" t="n">
        <v>0</v>
      </c>
      <c r="P4651" t="n">
        <v>1</v>
      </c>
      <c r="Q4651" t="n">
        <v>2</v>
      </c>
      <c r="R4651" t="n">
        <v>0</v>
      </c>
      <c r="S4651" t="n">
        <v/>
      </c>
      <c r="T4651" t="inlineStr">
        <is>
          <t>11</t>
        </is>
      </c>
      <c r="U4651" t="inlineStr">
        <is>
          <t>12</t>
        </is>
      </c>
      <c r="V4651" t="n">
        <v/>
      </c>
      <c r="W4651" t="n">
        <v/>
      </c>
    </row>
    <row r="4652">
      <c r="A4652" t="inlineStr">
        <is>
          <t>12/12/2025 8:07:47</t>
        </is>
      </c>
      <c r="B4652" t="inlineStr">
        <is>
          <t>Nguyễn Hồng Minh</t>
        </is>
      </c>
      <c r="C4652" t="inlineStr">
        <is>
          <t>11/12/2025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2</v>
      </c>
      <c r="M4652" t="n">
        <v>0</v>
      </c>
      <c r="N4652" t="n">
        <v>1</v>
      </c>
      <c r="O4652" t="n">
        <v>0</v>
      </c>
      <c r="P4652" t="n">
        <v>0</v>
      </c>
      <c r="Q4652" t="n">
        <v>5</v>
      </c>
      <c r="R4652" t="n">
        <v>0</v>
      </c>
      <c r="S4652" t="n">
        <v/>
      </c>
      <c r="T4652" t="inlineStr">
        <is>
          <t>11</t>
        </is>
      </c>
      <c r="U4652" t="inlineStr">
        <is>
          <t>12</t>
        </is>
      </c>
      <c r="V4652" t="n">
        <v/>
      </c>
      <c r="W4652" t="n">
        <v/>
      </c>
    </row>
    <row r="4653">
      <c r="A4653" t="inlineStr">
        <is>
          <t>12/12/2025 8:11:14</t>
        </is>
      </c>
      <c r="B4653" t="inlineStr">
        <is>
          <t>Lê Văn Hồng</t>
        </is>
      </c>
      <c r="C4653" t="inlineStr">
        <is>
          <t>11/12/2025</t>
        </is>
      </c>
      <c r="D4653" t="n">
        <v>2</v>
      </c>
      <c r="E4653" t="n">
        <v>0</v>
      </c>
      <c r="F4653" t="n">
        <v>0</v>
      </c>
      <c r="G4653" t="n">
        <v>0</v>
      </c>
      <c r="H4653" t="n">
        <v>0</v>
      </c>
      <c r="I4653" t="n">
        <v>4</v>
      </c>
      <c r="J4653" t="n">
        <v>0</v>
      </c>
      <c r="K4653" t="n">
        <v>8</v>
      </c>
      <c r="L4653" t="n">
        <v>0</v>
      </c>
      <c r="M4653" t="n">
        <v>0</v>
      </c>
      <c r="N4653" t="n">
        <v>4</v>
      </c>
      <c r="O4653" t="n">
        <v>0</v>
      </c>
      <c r="P4653" t="n">
        <v>2</v>
      </c>
      <c r="Q4653" t="n">
        <v>2</v>
      </c>
      <c r="R4653" t="n">
        <v>0</v>
      </c>
      <c r="S4653" t="n">
        <v/>
      </c>
      <c r="T4653" t="inlineStr">
        <is>
          <t>11</t>
        </is>
      </c>
      <c r="U4653" t="inlineStr">
        <is>
          <t>12</t>
        </is>
      </c>
      <c r="V4653" t="n">
        <v/>
      </c>
      <c r="W4653" t="n">
        <v/>
      </c>
    </row>
    <row r="4654">
      <c r="A4654" t="inlineStr">
        <is>
          <t>12/12/2025 21:01:12</t>
        </is>
      </c>
      <c r="B4654" t="inlineStr">
        <is>
          <t>Lê Quốc Duy</t>
        </is>
      </c>
      <c r="C4654" t="inlineStr">
        <is>
          <t>12/12/2025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2</v>
      </c>
      <c r="J4654" t="n">
        <v>0</v>
      </c>
      <c r="K4654" t="n">
        <v>2</v>
      </c>
      <c r="L4654" t="n">
        <v>0</v>
      </c>
      <c r="M4654" t="n">
        <v>0</v>
      </c>
      <c r="N4654" t="n">
        <v>0</v>
      </c>
      <c r="O4654" t="n">
        <v>0</v>
      </c>
      <c r="P4654" t="n">
        <v>1</v>
      </c>
      <c r="Q4654" t="n">
        <v>1</v>
      </c>
      <c r="R4654" t="n">
        <v>0</v>
      </c>
      <c r="S4654" t="n">
        <v/>
      </c>
      <c r="T4654" t="inlineStr">
        <is>
          <t>12</t>
        </is>
      </c>
      <c r="U4654" t="inlineStr">
        <is>
          <t>12</t>
        </is>
      </c>
      <c r="V4654" t="n">
        <v/>
      </c>
      <c r="W4654" t="n">
        <v/>
      </c>
    </row>
    <row r="4655">
      <c r="A4655" t="inlineStr">
        <is>
          <t>12/12/2025 22:41:46</t>
        </is>
      </c>
      <c r="B4655" t="inlineStr">
        <is>
          <t>Đặng Hữu Danh</t>
        </is>
      </c>
      <c r="C4655" t="inlineStr">
        <is>
          <t>12/12/2025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2</v>
      </c>
      <c r="J4655" t="n">
        <v>0</v>
      </c>
      <c r="K4655" t="n">
        <v>3</v>
      </c>
      <c r="L4655" t="n">
        <v>0</v>
      </c>
      <c r="M4655" t="n">
        <v>0</v>
      </c>
      <c r="N4655" t="n">
        <v>0</v>
      </c>
      <c r="O4655" t="n">
        <v>0</v>
      </c>
      <c r="P4655" t="n">
        <v>1</v>
      </c>
      <c r="Q4655" t="n">
        <v>2</v>
      </c>
      <c r="R4655" t="n">
        <v>0</v>
      </c>
      <c r="S4655" t="n">
        <v/>
      </c>
      <c r="T4655" t="inlineStr">
        <is>
          <t>12</t>
        </is>
      </c>
      <c r="U4655" t="inlineStr">
        <is>
          <t>12</t>
        </is>
      </c>
      <c r="V4655" t="n">
        <v/>
      </c>
      <c r="W4655" t="n">
        <v/>
      </c>
    </row>
    <row r="4656">
      <c r="A4656" t="inlineStr">
        <is>
          <t>13/12/2025 2:01:50</t>
        </is>
      </c>
      <c r="B4656" t="inlineStr">
        <is>
          <t>Hồ Thái Minh Trí</t>
        </is>
      </c>
      <c r="C4656" t="inlineStr">
        <is>
          <t>12/12/2025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4</v>
      </c>
      <c r="J4656" t="n">
        <v>0</v>
      </c>
      <c r="K4656" t="n">
        <v>10</v>
      </c>
      <c r="L4656" t="n">
        <v>0</v>
      </c>
      <c r="M4656" t="n">
        <v>0</v>
      </c>
      <c r="N4656" t="n">
        <v>2</v>
      </c>
      <c r="O4656" t="n">
        <v>0</v>
      </c>
      <c r="P4656" t="n">
        <v>0</v>
      </c>
      <c r="Q4656" t="n">
        <v>1</v>
      </c>
      <c r="R4656" t="n">
        <v>0</v>
      </c>
      <c r="S4656" t="n">
        <v/>
      </c>
      <c r="T4656" t="inlineStr">
        <is>
          <t>12</t>
        </is>
      </c>
      <c r="U4656" t="inlineStr">
        <is>
          <t>12</t>
        </is>
      </c>
      <c r="V4656" t="n">
        <v/>
      </c>
      <c r="W4656" t="n">
        <v/>
      </c>
    </row>
    <row r="4657">
      <c r="A4657" t="inlineStr">
        <is>
          <t>13/12/2025 6:29:48</t>
        </is>
      </c>
      <c r="B4657" t="inlineStr">
        <is>
          <t>Vòng Nhật Sang</t>
        </is>
      </c>
      <c r="C4657" t="inlineStr">
        <is>
          <t>12/12/2025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3</v>
      </c>
      <c r="J4657" t="n">
        <v>0</v>
      </c>
      <c r="K4657" t="n">
        <v>14</v>
      </c>
      <c r="L4657" t="n">
        <v>0</v>
      </c>
      <c r="M4657" t="n">
        <v>0</v>
      </c>
      <c r="N4657" t="n">
        <v>3</v>
      </c>
      <c r="O4657" t="n">
        <v>0</v>
      </c>
      <c r="P4657" t="n">
        <v>1</v>
      </c>
      <c r="Q4657" t="n">
        <v>1</v>
      </c>
      <c r="R4657" t="n">
        <v>0</v>
      </c>
      <c r="S4657" t="n">
        <v/>
      </c>
      <c r="T4657" t="inlineStr">
        <is>
          <t>12</t>
        </is>
      </c>
      <c r="U4657" t="inlineStr">
        <is>
          <t>12</t>
        </is>
      </c>
      <c r="V4657" t="n">
        <v/>
      </c>
      <c r="W4657" t="n">
        <v/>
      </c>
    </row>
    <row r="4658">
      <c r="A4658" t="inlineStr">
        <is>
          <t>13/12/2025 6:33:46</t>
        </is>
      </c>
      <c r="B4658" t="inlineStr">
        <is>
          <t>Trần Minh Khánh</t>
        </is>
      </c>
      <c r="C4658" t="inlineStr">
        <is>
          <t>12/12/2025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2</v>
      </c>
      <c r="J4658" t="n">
        <v>0</v>
      </c>
      <c r="K4658" t="n">
        <v>3</v>
      </c>
      <c r="L4658" t="n">
        <v>1</v>
      </c>
      <c r="M4658" t="n">
        <v>0</v>
      </c>
      <c r="N4658" t="n">
        <v>2</v>
      </c>
      <c r="O4658" t="n">
        <v>0</v>
      </c>
      <c r="P4658" t="n">
        <v>0</v>
      </c>
      <c r="Q4658" t="n">
        <v>2</v>
      </c>
      <c r="R4658" t="n">
        <v>1</v>
      </c>
      <c r="S4658" t="n">
        <v/>
      </c>
      <c r="T4658" t="inlineStr">
        <is>
          <t>12</t>
        </is>
      </c>
      <c r="U4658" t="inlineStr">
        <is>
          <t>12</t>
        </is>
      </c>
      <c r="V4658" t="n">
        <v/>
      </c>
      <c r="W4658" t="n">
        <v/>
      </c>
    </row>
    <row r="4659">
      <c r="A4659" t="inlineStr">
        <is>
          <t>13/12/2025 6:44:22</t>
        </is>
      </c>
      <c r="B4659" t="inlineStr">
        <is>
          <t>Trần Trung Giang</t>
        </is>
      </c>
      <c r="C4659" t="inlineStr">
        <is>
          <t>12/12/2025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8</v>
      </c>
      <c r="L4659" t="n">
        <v>0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/>
      </c>
      <c r="T4659" t="inlineStr">
        <is>
          <t>12</t>
        </is>
      </c>
      <c r="U4659" t="inlineStr">
        <is>
          <t>12</t>
        </is>
      </c>
      <c r="V4659" t="n">
        <v/>
      </c>
      <c r="W4659" t="n">
        <v/>
      </c>
    </row>
    <row r="4660">
      <c r="A4660" t="inlineStr">
        <is>
          <t>13/12/2025 6:44:52</t>
        </is>
      </c>
      <c r="B4660" t="inlineStr">
        <is>
          <t>Hồ Xuân Việt</t>
        </is>
      </c>
      <c r="C4660" t="inlineStr">
        <is>
          <t>12/12/2025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/>
      </c>
      <c r="T4660" t="inlineStr">
        <is>
          <t>12</t>
        </is>
      </c>
      <c r="U4660" t="inlineStr">
        <is>
          <t>12</t>
        </is>
      </c>
      <c r="V4660" t="n">
        <v/>
      </c>
      <c r="W4660" t="n">
        <v/>
      </c>
    </row>
    <row r="4661">
      <c r="A4661" t="inlineStr">
        <is>
          <t>13/12/2025 6:49:55</t>
        </is>
      </c>
      <c r="B4661" t="inlineStr">
        <is>
          <t>Hoàng Văn Chất</t>
        </is>
      </c>
      <c r="C4661" t="inlineStr">
        <is>
          <t>12/12/2025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6</v>
      </c>
      <c r="L4661" t="n">
        <v>2</v>
      </c>
      <c r="M4661" t="n">
        <v>0</v>
      </c>
      <c r="N4661" t="n">
        <v>0</v>
      </c>
      <c r="O4661" t="n">
        <v>0</v>
      </c>
      <c r="P4661" t="n">
        <v>0</v>
      </c>
      <c r="Q4661" t="n">
        <v>3</v>
      </c>
      <c r="R4661" t="n">
        <v>1</v>
      </c>
      <c r="S4661" t="n">
        <v/>
      </c>
      <c r="T4661" t="inlineStr">
        <is>
          <t>12</t>
        </is>
      </c>
      <c r="U4661" t="inlineStr">
        <is>
          <t>12</t>
        </is>
      </c>
      <c r="V4661" t="n">
        <v/>
      </c>
      <c r="W4661" t="n">
        <v/>
      </c>
    </row>
    <row r="4662">
      <c r="A4662" t="inlineStr">
        <is>
          <t>13/12/2025 6:50:29</t>
        </is>
      </c>
      <c r="B4662" t="inlineStr">
        <is>
          <t>Trần Xuân Khoa</t>
        </is>
      </c>
      <c r="C4662" t="inlineStr">
        <is>
          <t>12/12/2025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2</v>
      </c>
      <c r="J4662" t="n">
        <v>0</v>
      </c>
      <c r="K4662" t="n">
        <v>3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2</v>
      </c>
      <c r="R4662" t="n">
        <v>0</v>
      </c>
      <c r="S4662" t="n">
        <v/>
      </c>
      <c r="T4662" t="inlineStr">
        <is>
          <t>12</t>
        </is>
      </c>
      <c r="U4662" t="inlineStr">
        <is>
          <t>12</t>
        </is>
      </c>
      <c r="V4662" t="n">
        <v/>
      </c>
      <c r="W4662" t="n">
        <v/>
      </c>
    </row>
    <row r="4663">
      <c r="A4663" t="inlineStr">
        <is>
          <t>13/12/2025 6:50:31</t>
        </is>
      </c>
      <c r="B4663" t="inlineStr">
        <is>
          <t>Phan Thành Thái</t>
        </is>
      </c>
      <c r="C4663" t="inlineStr">
        <is>
          <t>12/12/2025</t>
        </is>
      </c>
      <c r="D4663" t="n">
        <v>1</v>
      </c>
      <c r="E4663" t="n">
        <v>1</v>
      </c>
      <c r="F4663" t="n">
        <v>1</v>
      </c>
      <c r="G4663" t="n">
        <v>0</v>
      </c>
      <c r="H4663" t="n">
        <v>0</v>
      </c>
      <c r="I4663" t="n">
        <v>2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3</v>
      </c>
      <c r="R4663" t="n">
        <v>0</v>
      </c>
      <c r="S4663" t="n">
        <v/>
      </c>
      <c r="T4663" t="inlineStr">
        <is>
          <t>12</t>
        </is>
      </c>
      <c r="U4663" t="inlineStr">
        <is>
          <t>12</t>
        </is>
      </c>
      <c r="V4663" t="n">
        <v/>
      </c>
      <c r="W4663" t="n">
        <v/>
      </c>
    </row>
    <row r="4664">
      <c r="A4664" t="inlineStr">
        <is>
          <t>13/12/2025 6:50:55</t>
        </is>
      </c>
      <c r="B4664" t="inlineStr">
        <is>
          <t>Phan Ngọc Sang</t>
        </is>
      </c>
      <c r="C4664" t="inlineStr">
        <is>
          <t>12/12/2025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8</v>
      </c>
      <c r="L4664" t="n">
        <v>1</v>
      </c>
      <c r="M4664" t="n">
        <v>1</v>
      </c>
      <c r="N4664" t="n">
        <v>0</v>
      </c>
      <c r="O4664" t="n">
        <v>1</v>
      </c>
      <c r="P4664" t="n">
        <v>0</v>
      </c>
      <c r="Q4664" t="n">
        <v>1</v>
      </c>
      <c r="R4664" t="n">
        <v>0</v>
      </c>
      <c r="S4664" t="n">
        <v/>
      </c>
      <c r="T4664" t="inlineStr">
        <is>
          <t>12</t>
        </is>
      </c>
      <c r="U4664" t="inlineStr">
        <is>
          <t>12</t>
        </is>
      </c>
      <c r="V4664" t="n">
        <v/>
      </c>
      <c r="W4664" t="n">
        <v/>
      </c>
    </row>
    <row r="4665">
      <c r="A4665" t="inlineStr">
        <is>
          <t>13/12/2025 6:51:30</t>
        </is>
      </c>
      <c r="B4665" t="inlineStr">
        <is>
          <t>Lê Hồng Phong</t>
        </is>
      </c>
      <c r="C4665" t="inlineStr">
        <is>
          <t>13/12/2025</t>
        </is>
      </c>
      <c r="D4665" t="n">
        <v>1</v>
      </c>
      <c r="E4665" t="n">
        <v>1</v>
      </c>
      <c r="F4665" t="n">
        <v>1</v>
      </c>
      <c r="G4665" t="n">
        <v>0</v>
      </c>
      <c r="H4665" t="n">
        <v>0</v>
      </c>
      <c r="I4665" t="n">
        <v>1</v>
      </c>
      <c r="J4665" t="n">
        <v>1</v>
      </c>
      <c r="K4665" t="n">
        <v>1</v>
      </c>
      <c r="L4665" t="n">
        <v>10</v>
      </c>
      <c r="M4665" t="n">
        <v>1</v>
      </c>
      <c r="N4665" t="n">
        <v>1</v>
      </c>
      <c r="O4665" t="n">
        <v>1</v>
      </c>
      <c r="P4665" t="n">
        <v>1</v>
      </c>
      <c r="Q4665" t="n">
        <v>1</v>
      </c>
      <c r="R4665" t="n">
        <v>1</v>
      </c>
      <c r="S4665" t="n">
        <v/>
      </c>
      <c r="T4665" t="inlineStr">
        <is>
          <t>13</t>
        </is>
      </c>
      <c r="U4665" t="inlineStr">
        <is>
          <t>12</t>
        </is>
      </c>
      <c r="V4665" t="n">
        <v/>
      </c>
      <c r="W4665" t="n">
        <v/>
      </c>
    </row>
    <row r="4666">
      <c r="A4666" t="inlineStr">
        <is>
          <t>13/12/2025 6:53:48</t>
        </is>
      </c>
      <c r="B4666" t="inlineStr">
        <is>
          <t>Nguyễn Văn Nhật</t>
        </is>
      </c>
      <c r="C4666" t="inlineStr">
        <is>
          <t>12/12/2025</t>
        </is>
      </c>
      <c r="D4666" t="n">
        <v>0</v>
      </c>
      <c r="E4666" t="n">
        <v>0</v>
      </c>
      <c r="F4666" t="n">
        <v>0</v>
      </c>
      <c r="G4666" t="n">
        <v>1</v>
      </c>
      <c r="H4666" t="n">
        <v>1</v>
      </c>
      <c r="I4666" t="n">
        <v>0</v>
      </c>
      <c r="J4666" t="n">
        <v>0</v>
      </c>
      <c r="K4666" t="n">
        <v>2</v>
      </c>
      <c r="L4666" t="n">
        <v>0</v>
      </c>
      <c r="M4666" t="n">
        <v>1</v>
      </c>
      <c r="N4666" t="n">
        <v>0</v>
      </c>
      <c r="O4666" t="n">
        <v>1</v>
      </c>
      <c r="P4666" t="n">
        <v>3</v>
      </c>
      <c r="Q4666" t="n">
        <v>6</v>
      </c>
      <c r="R4666" t="n">
        <v>0</v>
      </c>
      <c r="S4666" t="n">
        <v/>
      </c>
      <c r="T4666" t="inlineStr">
        <is>
          <t>12</t>
        </is>
      </c>
      <c r="U4666" t="inlineStr">
        <is>
          <t>12</t>
        </is>
      </c>
      <c r="V4666" t="n">
        <v/>
      </c>
      <c r="W4666" t="n">
        <v/>
      </c>
    </row>
    <row r="4667">
      <c r="A4667" t="inlineStr">
        <is>
          <t>13/12/2025 6:57:59</t>
        </is>
      </c>
      <c r="B4667" t="inlineStr">
        <is>
          <t>Lương Duy Hoàng</t>
        </is>
      </c>
      <c r="C4667" t="inlineStr">
        <is>
          <t>12/12/2025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2</v>
      </c>
      <c r="J4667" t="n">
        <v>0</v>
      </c>
      <c r="K4667" t="n">
        <v>4</v>
      </c>
      <c r="L4667" t="n">
        <v>0</v>
      </c>
      <c r="M4667" t="n">
        <v>0</v>
      </c>
      <c r="N4667" t="n">
        <v>0</v>
      </c>
      <c r="O4667" t="n">
        <v>0</v>
      </c>
      <c r="P4667" t="n">
        <v>1</v>
      </c>
      <c r="Q4667" t="n">
        <v>2</v>
      </c>
      <c r="R4667" t="n">
        <v>0</v>
      </c>
      <c r="S4667" t="n">
        <v/>
      </c>
      <c r="T4667" t="inlineStr">
        <is>
          <t>12</t>
        </is>
      </c>
      <c r="U4667" t="inlineStr">
        <is>
          <t>12</t>
        </is>
      </c>
      <c r="V4667" t="n">
        <v/>
      </c>
      <c r="W4667" t="n">
        <v/>
      </c>
    </row>
    <row r="4668">
      <c r="A4668" t="inlineStr">
        <is>
          <t>13/12/2025 6:59:01</t>
        </is>
      </c>
      <c r="B4668" t="inlineStr">
        <is>
          <t>Nguyễn Thành Lâm</t>
        </is>
      </c>
      <c r="C4668" t="inlineStr">
        <is>
          <t>12/12/2025</t>
        </is>
      </c>
      <c r="D4668" t="n">
        <v>1</v>
      </c>
      <c r="E4668" t="n">
        <v>2</v>
      </c>
      <c r="F4668" t="n">
        <v>0</v>
      </c>
      <c r="G4668" t="n">
        <v>0</v>
      </c>
      <c r="H4668" t="n">
        <v>0</v>
      </c>
      <c r="I4668" t="n">
        <v>2</v>
      </c>
      <c r="J4668" t="n">
        <v>0</v>
      </c>
      <c r="K4668" t="n">
        <v>2</v>
      </c>
      <c r="L4668" t="n">
        <v>0</v>
      </c>
      <c r="M4668" t="n">
        <v>1</v>
      </c>
      <c r="N4668" t="n">
        <v>0</v>
      </c>
      <c r="O4668" t="n">
        <v>0</v>
      </c>
      <c r="P4668" t="n">
        <v>2</v>
      </c>
      <c r="Q4668" t="n">
        <v>2</v>
      </c>
      <c r="R4668" t="n">
        <v>0</v>
      </c>
      <c r="S4668" t="n">
        <v/>
      </c>
      <c r="T4668" t="inlineStr">
        <is>
          <t>12</t>
        </is>
      </c>
      <c r="U4668" t="inlineStr">
        <is>
          <t>12</t>
        </is>
      </c>
      <c r="V4668" t="n">
        <v/>
      </c>
      <c r="W4668" t="n">
        <v/>
      </c>
    </row>
    <row r="4669">
      <c r="A4669" t="inlineStr">
        <is>
          <t>13/12/2025 6:59:25</t>
        </is>
      </c>
      <c r="B4669" t="inlineStr">
        <is>
          <t>Nguyễn Quang Anh Tuấn</t>
        </is>
      </c>
      <c r="C4669" t="inlineStr">
        <is>
          <t>12/12/2025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4</v>
      </c>
      <c r="L4669" t="n">
        <v>0</v>
      </c>
      <c r="M4669" t="n">
        <v>0</v>
      </c>
      <c r="N4669" t="n">
        <v>2</v>
      </c>
      <c r="O4669" t="n">
        <v>0</v>
      </c>
      <c r="P4669" t="n">
        <v>0</v>
      </c>
      <c r="Q4669" t="n">
        <v>1</v>
      </c>
      <c r="R4669" t="n">
        <v>0</v>
      </c>
      <c r="S4669" t="n">
        <v/>
      </c>
      <c r="T4669" t="inlineStr">
        <is>
          <t>12</t>
        </is>
      </c>
      <c r="U4669" t="inlineStr">
        <is>
          <t>12</t>
        </is>
      </c>
      <c r="V4669" t="n">
        <v/>
      </c>
      <c r="W4669" t="n">
        <v/>
      </c>
    </row>
    <row r="4670">
      <c r="A4670" t="inlineStr">
        <is>
          <t>13/12/2025 7:01:07</t>
        </is>
      </c>
      <c r="B4670" t="inlineStr">
        <is>
          <t>Nguyễn Văn Hiệp</t>
        </is>
      </c>
      <c r="C4670" t="inlineStr">
        <is>
          <t>12/12/2025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5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/>
      </c>
      <c r="T4670" t="inlineStr">
        <is>
          <t>12</t>
        </is>
      </c>
      <c r="U4670" t="inlineStr">
        <is>
          <t>12</t>
        </is>
      </c>
      <c r="V4670" t="n">
        <v/>
      </c>
      <c r="W4670" t="n">
        <v/>
      </c>
    </row>
    <row r="4671">
      <c r="A4671" t="inlineStr">
        <is>
          <t>13/12/2025 7:08:57</t>
        </is>
      </c>
      <c r="B4671" t="inlineStr">
        <is>
          <t>Nguyễn Tuấn Anh</t>
        </is>
      </c>
      <c r="C4671" t="inlineStr">
        <is>
          <t>12/12/2025</t>
        </is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12</v>
      </c>
      <c r="L4671" t="n">
        <v>1</v>
      </c>
      <c r="M4671" t="n">
        <v>0</v>
      </c>
      <c r="N4671" t="n">
        <v>0</v>
      </c>
      <c r="O4671" t="n">
        <v>0</v>
      </c>
      <c r="P4671" t="n">
        <v>0</v>
      </c>
      <c r="Q4671" t="n">
        <v>5</v>
      </c>
      <c r="R4671" t="n">
        <v>0</v>
      </c>
      <c r="S4671" t="n">
        <v/>
      </c>
      <c r="T4671" t="inlineStr">
        <is>
          <t>12</t>
        </is>
      </c>
      <c r="U4671" t="inlineStr">
        <is>
          <t>12</t>
        </is>
      </c>
      <c r="V4671" t="n">
        <v/>
      </c>
      <c r="W4671" t="n">
        <v/>
      </c>
    </row>
    <row r="4672">
      <c r="A4672" t="inlineStr">
        <is>
          <t>13/12/2025 7:12:48</t>
        </is>
      </c>
      <c r="B4672" t="inlineStr">
        <is>
          <t>Đặng Hoài Anh</t>
        </is>
      </c>
      <c r="C4672" t="inlineStr">
        <is>
          <t>12/12/2025</t>
        </is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/>
      </c>
      <c r="T4672" t="inlineStr">
        <is>
          <t>12</t>
        </is>
      </c>
      <c r="U4672" t="inlineStr">
        <is>
          <t>12</t>
        </is>
      </c>
      <c r="V4672" t="n">
        <v/>
      </c>
      <c r="W4672" t="n">
        <v/>
      </c>
    </row>
    <row r="4673">
      <c r="A4673" t="inlineStr">
        <is>
          <t>13/12/2025 7:14:45</t>
        </is>
      </c>
      <c r="B4673" t="inlineStr">
        <is>
          <t>Dương Minh Tiến</t>
        </is>
      </c>
      <c r="C4673" t="inlineStr">
        <is>
          <t>12/12/2025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2</v>
      </c>
      <c r="J4673" t="n">
        <v>0</v>
      </c>
      <c r="K4673" t="n">
        <v>3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/>
      </c>
      <c r="T4673" t="inlineStr">
        <is>
          <t>12</t>
        </is>
      </c>
      <c r="U4673" t="inlineStr">
        <is>
          <t>12</t>
        </is>
      </c>
      <c r="V4673" t="n">
        <v/>
      </c>
      <c r="W4673" t="n">
        <v/>
      </c>
    </row>
    <row r="4674">
      <c r="A4674" t="inlineStr">
        <is>
          <t>13/12/2025 7:17:41</t>
        </is>
      </c>
      <c r="B4674" t="inlineStr">
        <is>
          <t>Đào Công Trung</t>
        </is>
      </c>
      <c r="C4674" t="inlineStr">
        <is>
          <t>12/12/2025</t>
        </is>
      </c>
      <c r="D4674" t="n">
        <v>2</v>
      </c>
      <c r="E4674" t="n">
        <v>1</v>
      </c>
      <c r="F4674" t="n">
        <v>2</v>
      </c>
      <c r="G4674" t="n">
        <v>0</v>
      </c>
      <c r="H4674" t="n">
        <v>0</v>
      </c>
      <c r="I4674" t="n">
        <v>0</v>
      </c>
      <c r="J4674" t="n">
        <v>0</v>
      </c>
      <c r="K4674" t="n">
        <v>5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/>
      </c>
      <c r="T4674" t="inlineStr">
        <is>
          <t>12</t>
        </is>
      </c>
      <c r="U4674" t="inlineStr">
        <is>
          <t>12</t>
        </is>
      </c>
      <c r="V4674" t="n">
        <v/>
      </c>
      <c r="W4674" t="n">
        <v/>
      </c>
    </row>
    <row r="4675">
      <c r="A4675" t="inlineStr">
        <is>
          <t>13/12/2025 7:19:44</t>
        </is>
      </c>
      <c r="B4675" t="inlineStr">
        <is>
          <t>Lương Duy Hải</t>
        </is>
      </c>
      <c r="C4675" t="inlineStr">
        <is>
          <t>12/12/2025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9</v>
      </c>
      <c r="L4675" t="n">
        <v>0</v>
      </c>
      <c r="M4675" t="n">
        <v>0</v>
      </c>
      <c r="N4675" t="n">
        <v>0</v>
      </c>
      <c r="O4675" t="n">
        <v>0</v>
      </c>
      <c r="P4675" t="n">
        <v>1</v>
      </c>
      <c r="Q4675" t="n">
        <v>4</v>
      </c>
      <c r="R4675" t="n">
        <v>0</v>
      </c>
      <c r="S4675" t="n">
        <v/>
      </c>
      <c r="T4675" t="inlineStr">
        <is>
          <t>12</t>
        </is>
      </c>
      <c r="U4675" t="inlineStr">
        <is>
          <t>12</t>
        </is>
      </c>
      <c r="V4675" t="n">
        <v/>
      </c>
      <c r="W4675" t="n">
        <v/>
      </c>
    </row>
    <row r="4676">
      <c r="A4676" t="inlineStr">
        <is>
          <t>13/12/2025 7:23:38</t>
        </is>
      </c>
      <c r="B4676" t="inlineStr">
        <is>
          <t>Lương Duy Hải</t>
        </is>
      </c>
      <c r="C4676" t="inlineStr">
        <is>
          <t>12/12/2025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9</v>
      </c>
      <c r="L4676" t="n">
        <v>0</v>
      </c>
      <c r="M4676" t="n">
        <v>0</v>
      </c>
      <c r="N4676" t="n">
        <v>0</v>
      </c>
      <c r="O4676" t="n">
        <v>0</v>
      </c>
      <c r="P4676" t="n">
        <v>1</v>
      </c>
      <c r="Q4676" t="n">
        <v>4</v>
      </c>
      <c r="R4676" t="n">
        <v>0</v>
      </c>
      <c r="S4676" t="n">
        <v/>
      </c>
      <c r="T4676" t="inlineStr">
        <is>
          <t>12</t>
        </is>
      </c>
      <c r="U4676" t="inlineStr">
        <is>
          <t>12</t>
        </is>
      </c>
      <c r="V4676" t="n">
        <v/>
      </c>
      <c r="W4676" t="n">
        <v/>
      </c>
    </row>
    <row r="4677">
      <c r="A4677" t="inlineStr">
        <is>
          <t>13/12/2025 7:33:49</t>
        </is>
      </c>
      <c r="B4677" t="inlineStr">
        <is>
          <t>Huỳnh Văn Lực</t>
        </is>
      </c>
      <c r="C4677" t="inlineStr">
        <is>
          <t>12/12/2025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0</v>
      </c>
      <c r="P4677" t="n">
        <v>1</v>
      </c>
      <c r="Q4677" t="n">
        <v>1</v>
      </c>
      <c r="R4677" t="n">
        <v>0</v>
      </c>
      <c r="S4677" t="n">
        <v/>
      </c>
      <c r="T4677" t="inlineStr">
        <is>
          <t>12</t>
        </is>
      </c>
      <c r="U4677" t="inlineStr">
        <is>
          <t>12</t>
        </is>
      </c>
      <c r="V4677" t="n">
        <v/>
      </c>
      <c r="W4677" t="n">
        <v/>
      </c>
    </row>
    <row r="4678">
      <c r="A4678" t="inlineStr">
        <is>
          <t>13/12/2025 7:38:53</t>
        </is>
      </c>
      <c r="B4678" t="inlineStr">
        <is>
          <t>Nguyễn Hồng Minh</t>
        </is>
      </c>
      <c r="C4678" t="inlineStr">
        <is>
          <t>12/12/2025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3</v>
      </c>
      <c r="Q4678" t="n">
        <v>4</v>
      </c>
      <c r="R4678" t="n">
        <v>0</v>
      </c>
      <c r="S4678" t="n">
        <v/>
      </c>
      <c r="T4678" t="inlineStr">
        <is>
          <t>12</t>
        </is>
      </c>
      <c r="U4678" t="inlineStr">
        <is>
          <t>12</t>
        </is>
      </c>
      <c r="V4678" t="n">
        <v/>
      </c>
      <c r="W4678" t="n">
        <v/>
      </c>
    </row>
    <row r="4679">
      <c r="A4679" t="inlineStr">
        <is>
          <t>13/12/2025 8:08:31</t>
        </is>
      </c>
      <c r="B4679" t="inlineStr">
        <is>
          <t>Lê Văn Hồng</t>
        </is>
      </c>
      <c r="C4679" t="inlineStr">
        <is>
          <t>12/12/2025</t>
        </is>
      </c>
      <c r="D4679" t="n">
        <v>3</v>
      </c>
      <c r="E4679" t="n">
        <v>0</v>
      </c>
      <c r="F4679" t="n">
        <v>0</v>
      </c>
      <c r="G4679" t="n">
        <v>0</v>
      </c>
      <c r="H4679" t="n">
        <v>0</v>
      </c>
      <c r="I4679" t="n">
        <v>5</v>
      </c>
      <c r="J4679" t="n">
        <v>0</v>
      </c>
      <c r="K4679" t="n">
        <v>7</v>
      </c>
      <c r="L4679" t="n">
        <v>0</v>
      </c>
      <c r="M4679" t="n">
        <v>3</v>
      </c>
      <c r="N4679" t="n">
        <v>5</v>
      </c>
      <c r="O4679" t="n">
        <v>0</v>
      </c>
      <c r="P4679" t="n">
        <v>1</v>
      </c>
      <c r="Q4679" t="n">
        <v>2</v>
      </c>
      <c r="R4679" t="n">
        <v>0</v>
      </c>
      <c r="S4679" t="n">
        <v/>
      </c>
      <c r="T4679" t="inlineStr">
        <is>
          <t>12</t>
        </is>
      </c>
      <c r="U4679" t="inlineStr">
        <is>
          <t>12</t>
        </is>
      </c>
      <c r="V4679" t="n">
        <v/>
      </c>
      <c r="W4679" t="n">
        <v/>
      </c>
    </row>
    <row r="4680">
      <c r="A4680" t="inlineStr">
        <is>
          <t>13/12/2025 9:09:32</t>
        </is>
      </c>
      <c r="B4680" t="inlineStr">
        <is>
          <t>Bùi Duy Cường</t>
        </is>
      </c>
      <c r="C4680" t="inlineStr">
        <is>
          <t>12/12/2025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3</v>
      </c>
      <c r="J4680" t="n">
        <v>0</v>
      </c>
      <c r="K4680" t="n">
        <v>10</v>
      </c>
      <c r="L4680" t="n">
        <v>0</v>
      </c>
      <c r="M4680" t="n">
        <v>0</v>
      </c>
      <c r="N4680" t="n">
        <v>0</v>
      </c>
      <c r="O4680" t="n">
        <v>0</v>
      </c>
      <c r="P4680" t="n">
        <v>1</v>
      </c>
      <c r="Q4680" t="n">
        <v>1</v>
      </c>
      <c r="R4680" t="n">
        <v>0</v>
      </c>
      <c r="S4680" t="n">
        <v/>
      </c>
      <c r="T4680" t="inlineStr">
        <is>
          <t>12</t>
        </is>
      </c>
      <c r="U4680" t="inlineStr">
        <is>
          <t>12</t>
        </is>
      </c>
      <c r="V4680" t="n">
        <v/>
      </c>
      <c r="W4680" t="n">
        <v/>
      </c>
    </row>
    <row r="4681">
      <c r="A4681" t="inlineStr">
        <is>
          <t>13/12/2025 19:28:29</t>
        </is>
      </c>
      <c r="B4681" t="inlineStr">
        <is>
          <t>Lê Quốc Duy</t>
        </is>
      </c>
      <c r="C4681" t="inlineStr">
        <is>
          <t>13/12/2025</t>
        </is>
      </c>
      <c r="D4681" t="n">
        <v>1</v>
      </c>
      <c r="E4681" t="n">
        <v>1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6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1</v>
      </c>
      <c r="R4681" t="n">
        <v>0</v>
      </c>
      <c r="S4681" t="n">
        <v/>
      </c>
      <c r="T4681" t="inlineStr">
        <is>
          <t>13</t>
        </is>
      </c>
      <c r="U4681" t="inlineStr">
        <is>
          <t>12</t>
        </is>
      </c>
      <c r="V4681" t="n">
        <v/>
      </c>
      <c r="W4681" t="n">
        <v/>
      </c>
    </row>
    <row r="4682">
      <c r="A4682" t="inlineStr">
        <is>
          <t>13/12/2025 20:26:29</t>
        </is>
      </c>
      <c r="B4682" t="inlineStr">
        <is>
          <t>Đặng Hữu Danh</t>
        </is>
      </c>
      <c r="C4682" t="inlineStr">
        <is>
          <t>13/12/2025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3</v>
      </c>
      <c r="L4682" t="n">
        <v>0</v>
      </c>
      <c r="M4682" t="n">
        <v>0</v>
      </c>
      <c r="N4682" t="n">
        <v>0</v>
      </c>
      <c r="O4682" t="n">
        <v>0</v>
      </c>
      <c r="P4682" t="n">
        <v>1</v>
      </c>
      <c r="Q4682" t="n">
        <v>3</v>
      </c>
      <c r="R4682" t="n">
        <v>0</v>
      </c>
      <c r="S4682" t="n">
        <v/>
      </c>
      <c r="T4682" t="inlineStr">
        <is>
          <t>13</t>
        </is>
      </c>
      <c r="U4682" t="inlineStr">
        <is>
          <t>12</t>
        </is>
      </c>
      <c r="V4682" t="n">
        <v/>
      </c>
      <c r="W4682" t="n">
        <v/>
      </c>
    </row>
    <row r="4683">
      <c r="A4683" t="inlineStr">
        <is>
          <t>14/12/2025 6:23:17</t>
        </is>
      </c>
      <c r="B4683" t="inlineStr">
        <is>
          <t>Dương Minh Tiến</t>
        </is>
      </c>
      <c r="C4683" t="inlineStr">
        <is>
          <t>13/12/2025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3</v>
      </c>
      <c r="J4683" t="n">
        <v>0</v>
      </c>
      <c r="K4683" t="n">
        <v>4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2</v>
      </c>
      <c r="R4683" t="n">
        <v>0</v>
      </c>
      <c r="S4683" t="n">
        <v/>
      </c>
      <c r="T4683" t="inlineStr">
        <is>
          <t>13</t>
        </is>
      </c>
      <c r="U4683" t="inlineStr">
        <is>
          <t>12</t>
        </is>
      </c>
      <c r="V4683" t="n">
        <v/>
      </c>
      <c r="W4683" t="n">
        <v/>
      </c>
    </row>
    <row r="4684">
      <c r="A4684" t="inlineStr">
        <is>
          <t>14/12/2025 6:31:28</t>
        </is>
      </c>
      <c r="B4684" t="inlineStr">
        <is>
          <t>Trần Minh Khánh</t>
        </is>
      </c>
      <c r="C4684" t="inlineStr">
        <is>
          <t>13/12/2025</t>
        </is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3</v>
      </c>
      <c r="J4684" t="n">
        <v>0</v>
      </c>
      <c r="K4684" t="n">
        <v>3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2</v>
      </c>
      <c r="R4684" t="n">
        <v>0</v>
      </c>
      <c r="S4684" t="n">
        <v/>
      </c>
      <c r="T4684" t="inlineStr">
        <is>
          <t>13</t>
        </is>
      </c>
      <c r="U4684" t="inlineStr">
        <is>
          <t>12</t>
        </is>
      </c>
      <c r="V4684" t="n">
        <v/>
      </c>
      <c r="W4684" t="n">
        <v/>
      </c>
    </row>
    <row r="4685">
      <c r="A4685" t="inlineStr">
        <is>
          <t>14/12/2025 7:04:33</t>
        </is>
      </c>
      <c r="B4685" t="inlineStr">
        <is>
          <t>Nguyễn Văn Hiệp</t>
        </is>
      </c>
      <c r="C4685" t="inlineStr">
        <is>
          <t>13/12/2025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4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/>
      </c>
      <c r="T4685" t="inlineStr">
        <is>
          <t>13</t>
        </is>
      </c>
      <c r="U4685" t="inlineStr">
        <is>
          <t>12</t>
        </is>
      </c>
      <c r="V4685" t="n">
        <v/>
      </c>
      <c r="W4685" t="n">
        <v/>
      </c>
    </row>
    <row r="4686">
      <c r="A4686" t="inlineStr">
        <is>
          <t>14/12/2025 7:06:24</t>
        </is>
      </c>
      <c r="B4686" t="inlineStr">
        <is>
          <t>Đào Công Trung</t>
        </is>
      </c>
      <c r="C4686" t="inlineStr">
        <is>
          <t>13/12/2025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2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4</v>
      </c>
      <c r="R4686" t="n">
        <v>0</v>
      </c>
      <c r="S4686" t="n">
        <v/>
      </c>
      <c r="T4686" t="inlineStr">
        <is>
          <t>13</t>
        </is>
      </c>
      <c r="U4686" t="inlineStr">
        <is>
          <t>12</t>
        </is>
      </c>
      <c r="V4686" t="n">
        <v/>
      </c>
      <c r="W4686" t="n">
        <v/>
      </c>
    </row>
    <row r="4687">
      <c r="A4687" t="inlineStr">
        <is>
          <t>14/12/2025 7:07:22</t>
        </is>
      </c>
      <c r="B4687" t="inlineStr">
        <is>
          <t>Phan Ngọc Sang</t>
        </is>
      </c>
      <c r="C4687" t="inlineStr">
        <is>
          <t>13/12/2025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2</v>
      </c>
      <c r="J4687" t="n">
        <v>0</v>
      </c>
      <c r="K4687" t="n">
        <v>5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/>
      </c>
      <c r="T4687" t="inlineStr">
        <is>
          <t>13</t>
        </is>
      </c>
      <c r="U4687" t="inlineStr">
        <is>
          <t>12</t>
        </is>
      </c>
      <c r="V4687" t="n">
        <v/>
      </c>
      <c r="W4687" t="n">
        <v/>
      </c>
    </row>
    <row r="4688">
      <c r="A4688" t="inlineStr">
        <is>
          <t>14/12/2025 7:08:13</t>
        </is>
      </c>
      <c r="B4688" t="inlineStr">
        <is>
          <t>Lương Duy Hoàng</t>
        </is>
      </c>
      <c r="C4688" t="inlineStr">
        <is>
          <t>13/12/2025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3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1</v>
      </c>
      <c r="R4688" t="n">
        <v>0</v>
      </c>
      <c r="S4688" t="n">
        <v/>
      </c>
      <c r="T4688" t="inlineStr">
        <is>
          <t>13</t>
        </is>
      </c>
      <c r="U4688" t="inlineStr">
        <is>
          <t>12</t>
        </is>
      </c>
      <c r="V4688" t="n">
        <v/>
      </c>
      <c r="W4688" t="n">
        <v/>
      </c>
    </row>
    <row r="4689">
      <c r="A4689" t="inlineStr">
        <is>
          <t>14/12/2025 7:08:54</t>
        </is>
      </c>
      <c r="B4689" t="inlineStr">
        <is>
          <t>Huỳnh Văn Lực</t>
        </is>
      </c>
      <c r="C4689" t="inlineStr">
        <is>
          <t>13/12/2025</t>
        </is>
      </c>
      <c r="D4689" t="n">
        <v>0</v>
      </c>
      <c r="E4689" t="n">
        <v>0</v>
      </c>
      <c r="F4689" t="n">
        <v>0</v>
      </c>
      <c r="G4689" t="n">
        <v>1</v>
      </c>
      <c r="H4689" t="n">
        <v>1</v>
      </c>
      <c r="I4689" t="n">
        <v>0</v>
      </c>
      <c r="J4689" t="n">
        <v>0</v>
      </c>
      <c r="K4689" t="n">
        <v>6</v>
      </c>
      <c r="L4689" t="n">
        <v>0</v>
      </c>
      <c r="M4689" t="n">
        <v>0</v>
      </c>
      <c r="N4689" t="n">
        <v>0</v>
      </c>
      <c r="O4689" t="n">
        <v>0</v>
      </c>
      <c r="P4689" t="n">
        <v>2</v>
      </c>
      <c r="Q4689" t="n">
        <v>1</v>
      </c>
      <c r="R4689" t="n">
        <v>2</v>
      </c>
      <c r="S4689" t="n">
        <v/>
      </c>
      <c r="T4689" t="inlineStr">
        <is>
          <t>13</t>
        </is>
      </c>
      <c r="U4689" t="inlineStr">
        <is>
          <t>12</t>
        </is>
      </c>
      <c r="V4689" t="n">
        <v/>
      </c>
      <c r="W4689" t="n">
        <v/>
      </c>
    </row>
    <row r="4690">
      <c r="A4690" t="inlineStr">
        <is>
          <t>14/12/2025 7:11:45</t>
        </is>
      </c>
      <c r="B4690" t="inlineStr">
        <is>
          <t>Nguyễn Thành Lâm</t>
        </is>
      </c>
      <c r="C4690" t="inlineStr">
        <is>
          <t>13/12/2025</t>
        </is>
      </c>
      <c r="D4690" t="n">
        <v>9</v>
      </c>
      <c r="E4690" t="n">
        <v>9</v>
      </c>
      <c r="F4690" t="n">
        <v>0</v>
      </c>
      <c r="G4690" t="n">
        <v>9</v>
      </c>
      <c r="H4690" t="n">
        <v>9</v>
      </c>
      <c r="I4690" t="n">
        <v>9</v>
      </c>
      <c r="J4690" t="n">
        <v>9</v>
      </c>
      <c r="K4690" t="n">
        <v>0</v>
      </c>
      <c r="L4690" t="n">
        <v>9</v>
      </c>
      <c r="M4690" t="n">
        <v>9</v>
      </c>
      <c r="N4690" t="n">
        <v>0</v>
      </c>
      <c r="O4690" t="n">
        <v>0</v>
      </c>
      <c r="P4690" t="n">
        <v>0</v>
      </c>
      <c r="Q4690" t="n">
        <v>2</v>
      </c>
      <c r="R4690" t="n">
        <v>0</v>
      </c>
      <c r="S4690" t="n">
        <v/>
      </c>
      <c r="T4690" t="inlineStr">
        <is>
          <t>13</t>
        </is>
      </c>
      <c r="U4690" t="inlineStr">
        <is>
          <t>12</t>
        </is>
      </c>
      <c r="V4690" t="n">
        <v/>
      </c>
      <c r="W4690" t="n">
        <v/>
      </c>
    </row>
    <row r="4691">
      <c r="A4691" t="inlineStr">
        <is>
          <t>14/12/2025 7:12:05</t>
        </is>
      </c>
      <c r="B4691" t="inlineStr">
        <is>
          <t>Vòng Nhật Sang</t>
        </is>
      </c>
      <c r="C4691" t="inlineStr">
        <is>
          <t>13/12/2025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5</v>
      </c>
      <c r="J4691" t="n">
        <v>0</v>
      </c>
      <c r="K4691" t="n">
        <v>6</v>
      </c>
      <c r="L4691" t="n">
        <v>0</v>
      </c>
      <c r="M4691" t="n">
        <v>0</v>
      </c>
      <c r="N4691" t="n">
        <v>5</v>
      </c>
      <c r="O4691" t="n">
        <v>0</v>
      </c>
      <c r="P4691" t="n">
        <v>2</v>
      </c>
      <c r="Q4691" t="n">
        <v>2</v>
      </c>
      <c r="R4691" t="n">
        <v>0</v>
      </c>
      <c r="S4691" t="n">
        <v/>
      </c>
      <c r="T4691" t="inlineStr">
        <is>
          <t>13</t>
        </is>
      </c>
      <c r="U4691" t="inlineStr">
        <is>
          <t>12</t>
        </is>
      </c>
      <c r="V4691" t="n">
        <v/>
      </c>
      <c r="W4691" t="n">
        <v/>
      </c>
    </row>
    <row r="4692">
      <c r="A4692" t="inlineStr">
        <is>
          <t>14/12/2025 7:12:41</t>
        </is>
      </c>
      <c r="B4692" t="inlineStr">
        <is>
          <t>Lê Hồng Phong</t>
        </is>
      </c>
      <c r="C4692" t="inlineStr">
        <is>
          <t>14/12/2025</t>
        </is>
      </c>
      <c r="D4692" t="n">
        <v>1</v>
      </c>
      <c r="E4692" t="n">
        <v>1</v>
      </c>
      <c r="F4692" t="n">
        <v>1</v>
      </c>
      <c r="G4692" t="n">
        <v>0</v>
      </c>
      <c r="H4692" t="n">
        <v>0</v>
      </c>
      <c r="I4692" t="n">
        <v>1</v>
      </c>
      <c r="J4692" t="n">
        <v>1</v>
      </c>
      <c r="K4692" t="n">
        <v>1</v>
      </c>
      <c r="L4692" t="n">
        <v>1</v>
      </c>
      <c r="M4692" t="n">
        <v>1</v>
      </c>
      <c r="N4692" t="n">
        <v>1</v>
      </c>
      <c r="O4692" t="n">
        <v>1</v>
      </c>
      <c r="P4692" t="n">
        <v>1</v>
      </c>
      <c r="Q4692" t="n">
        <v>1</v>
      </c>
      <c r="R4692" t="n">
        <v>1</v>
      </c>
      <c r="S4692" t="n">
        <v/>
      </c>
      <c r="T4692" t="inlineStr">
        <is>
          <t>14</t>
        </is>
      </c>
      <c r="U4692" t="inlineStr">
        <is>
          <t>12</t>
        </is>
      </c>
      <c r="V4692" t="n">
        <v/>
      </c>
      <c r="W4692" t="n">
        <v/>
      </c>
    </row>
    <row r="4693">
      <c r="A4693" t="inlineStr">
        <is>
          <t>14/12/2025 7:13:34</t>
        </is>
      </c>
      <c r="B4693" t="inlineStr">
        <is>
          <t>Nguyễn Tuấn Anh</t>
        </is>
      </c>
      <c r="C4693" t="inlineStr">
        <is>
          <t>13/12/2025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5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6</v>
      </c>
      <c r="R4693" t="n">
        <v>1</v>
      </c>
      <c r="S4693" t="n">
        <v/>
      </c>
      <c r="T4693" t="inlineStr">
        <is>
          <t>13</t>
        </is>
      </c>
      <c r="U4693" t="inlineStr">
        <is>
          <t>12</t>
        </is>
      </c>
      <c r="V4693" t="n">
        <v/>
      </c>
      <c r="W4693" t="n">
        <v/>
      </c>
    </row>
    <row r="4694">
      <c r="A4694" t="inlineStr">
        <is>
          <t>14/12/2025 7:15:13</t>
        </is>
      </c>
      <c r="B4694" t="inlineStr">
        <is>
          <t>Lương Duy Hải</t>
        </is>
      </c>
      <c r="C4694" t="inlineStr">
        <is>
          <t>13/12/2025</t>
        </is>
      </c>
      <c r="D4694" t="n">
        <v>1</v>
      </c>
      <c r="E4694" t="n">
        <v>1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10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1</v>
      </c>
      <c r="S4694" t="n">
        <v/>
      </c>
      <c r="T4694" t="inlineStr">
        <is>
          <t>13</t>
        </is>
      </c>
      <c r="U4694" t="inlineStr">
        <is>
          <t>12</t>
        </is>
      </c>
      <c r="V4694" t="n">
        <v/>
      </c>
      <c r="W4694" t="n">
        <v/>
      </c>
    </row>
    <row r="4695">
      <c r="A4695" t="inlineStr">
        <is>
          <t>14/12/2025 7:16:57</t>
        </is>
      </c>
      <c r="B4695" t="inlineStr">
        <is>
          <t>Hồ Thái Minh Trí</t>
        </is>
      </c>
      <c r="C4695" t="inlineStr">
        <is>
          <t>13/12/2025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</v>
      </c>
      <c r="J4695" t="n">
        <v>0</v>
      </c>
      <c r="K4695" t="n">
        <v>10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/>
      </c>
      <c r="T4695" t="inlineStr">
        <is>
          <t>13</t>
        </is>
      </c>
      <c r="U4695" t="inlineStr">
        <is>
          <t>12</t>
        </is>
      </c>
      <c r="V4695" t="n">
        <v/>
      </c>
      <c r="W4695" t="n">
        <v/>
      </c>
    </row>
    <row r="4696">
      <c r="A4696" t="inlineStr">
        <is>
          <t>14/12/2025 7:18:24</t>
        </is>
      </c>
      <c r="B4696" t="inlineStr">
        <is>
          <t>Trần Trung Giang</t>
        </is>
      </c>
      <c r="C4696" t="inlineStr">
        <is>
          <t>13/12/2025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6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2</v>
      </c>
      <c r="S4696" t="n">
        <v/>
      </c>
      <c r="T4696" t="inlineStr">
        <is>
          <t>13</t>
        </is>
      </c>
      <c r="U4696" t="inlineStr">
        <is>
          <t>12</t>
        </is>
      </c>
      <c r="V4696" t="n">
        <v/>
      </c>
      <c r="W4696" t="n">
        <v/>
      </c>
    </row>
    <row r="4697">
      <c r="A4697" t="inlineStr">
        <is>
          <t>14/12/2025 7:25:58</t>
        </is>
      </c>
      <c r="B4697" t="inlineStr">
        <is>
          <t>Hồ Xuân Việt</t>
        </is>
      </c>
      <c r="C4697" t="inlineStr">
        <is>
          <t>13/12/2025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10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2</v>
      </c>
      <c r="R4697" t="n">
        <v>0</v>
      </c>
      <c r="S4697" t="n">
        <v/>
      </c>
      <c r="T4697" t="inlineStr">
        <is>
          <t>13</t>
        </is>
      </c>
      <c r="U4697" t="inlineStr">
        <is>
          <t>12</t>
        </is>
      </c>
      <c r="V4697" t="n">
        <v/>
      </c>
      <c r="W4697" t="n">
        <v/>
      </c>
    </row>
    <row r="4698">
      <c r="A4698" t="inlineStr">
        <is>
          <t>14/12/2025 7:45:34</t>
        </is>
      </c>
      <c r="B4698" t="inlineStr">
        <is>
          <t>Trần Xuân Khoa</t>
        </is>
      </c>
      <c r="C4698" t="inlineStr">
        <is>
          <t>13/12/2025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5</v>
      </c>
      <c r="L4698" t="n">
        <v>0</v>
      </c>
      <c r="M4698" t="n">
        <v>0</v>
      </c>
      <c r="N4698" t="n">
        <v>0</v>
      </c>
      <c r="O4698" t="n">
        <v>0</v>
      </c>
      <c r="P4698" t="n">
        <v>1</v>
      </c>
      <c r="Q4698" t="n">
        <v>2</v>
      </c>
      <c r="R4698" t="n">
        <v>0</v>
      </c>
      <c r="S4698" t="n">
        <v/>
      </c>
      <c r="T4698" t="inlineStr">
        <is>
          <t>13</t>
        </is>
      </c>
      <c r="U4698" t="inlineStr">
        <is>
          <t>12</t>
        </is>
      </c>
      <c r="V4698" t="n">
        <v/>
      </c>
      <c r="W4698" t="n">
        <v/>
      </c>
    </row>
    <row r="4699">
      <c r="A4699" t="inlineStr">
        <is>
          <t>14/12/2025 7:47:07</t>
        </is>
      </c>
      <c r="B4699" t="inlineStr">
        <is>
          <t>Đặng Hoài Anh</t>
        </is>
      </c>
      <c r="C4699" t="inlineStr">
        <is>
          <t>13/12/2025</t>
        </is>
      </c>
      <c r="D4699" t="n">
        <v>0</v>
      </c>
      <c r="E4699" t="n">
        <v>0</v>
      </c>
      <c r="F4699" t="n">
        <v>0</v>
      </c>
      <c r="G4699" t="n">
        <v>1</v>
      </c>
      <c r="H4699" t="n">
        <v>1</v>
      </c>
      <c r="I4699" t="n">
        <v>0</v>
      </c>
      <c r="J4699" t="n">
        <v>0</v>
      </c>
      <c r="K4699" t="n">
        <v>2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0</v>
      </c>
      <c r="S4699" t="n">
        <v/>
      </c>
      <c r="T4699" t="inlineStr">
        <is>
          <t>13</t>
        </is>
      </c>
      <c r="U4699" t="inlineStr">
        <is>
          <t>12</t>
        </is>
      </c>
      <c r="V4699" t="n">
        <v/>
      </c>
      <c r="W4699" t="n">
        <v/>
      </c>
    </row>
    <row r="4700">
      <c r="A4700" t="inlineStr">
        <is>
          <t>14/12/2025 7:48:22</t>
        </is>
      </c>
      <c r="B4700" t="inlineStr">
        <is>
          <t>Bùi Duy Cường</t>
        </is>
      </c>
      <c r="C4700" t="inlineStr">
        <is>
          <t>13/12/2025</t>
        </is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2</v>
      </c>
      <c r="J4700" t="n">
        <v>0</v>
      </c>
      <c r="K4700" t="n">
        <v>8</v>
      </c>
      <c r="L4700" t="n">
        <v>1</v>
      </c>
      <c r="M4700" t="n">
        <v>1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/>
      </c>
      <c r="T4700" t="inlineStr">
        <is>
          <t>13</t>
        </is>
      </c>
      <c r="U4700" t="inlineStr">
        <is>
          <t>12</t>
        </is>
      </c>
      <c r="V4700" t="n">
        <v/>
      </c>
      <c r="W4700" t="n">
        <v/>
      </c>
    </row>
    <row r="4701">
      <c r="A4701" t="inlineStr">
        <is>
          <t>14/12/2025 7:49:15</t>
        </is>
      </c>
      <c r="B4701" t="inlineStr">
        <is>
          <t>Phan Thành Thái</t>
        </is>
      </c>
      <c r="C4701" t="inlineStr">
        <is>
          <t>13/12/2025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2</v>
      </c>
      <c r="J4701" t="n">
        <v>0</v>
      </c>
      <c r="K4701" t="n">
        <v>2</v>
      </c>
      <c r="L4701" t="n">
        <v>2</v>
      </c>
      <c r="M4701" t="n">
        <v>0</v>
      </c>
      <c r="N4701" t="n">
        <v>1</v>
      </c>
      <c r="O4701" t="n">
        <v>0</v>
      </c>
      <c r="P4701" t="n">
        <v>0</v>
      </c>
      <c r="Q4701" t="n">
        <v>3</v>
      </c>
      <c r="R4701" t="n">
        <v>0</v>
      </c>
      <c r="S4701" t="n">
        <v/>
      </c>
      <c r="T4701" t="inlineStr">
        <is>
          <t>13</t>
        </is>
      </c>
      <c r="U4701" t="inlineStr">
        <is>
          <t>12</t>
        </is>
      </c>
      <c r="V4701" t="n">
        <v/>
      </c>
      <c r="W4701" t="n">
        <v/>
      </c>
    </row>
    <row r="4702">
      <c r="A4702" t="inlineStr">
        <is>
          <t>14/12/2025 8:00:26</t>
        </is>
      </c>
      <c r="B4702" t="inlineStr">
        <is>
          <t>Nguyễn Văn Nhật</t>
        </is>
      </c>
      <c r="C4702" t="inlineStr">
        <is>
          <t>13/12/2025</t>
        </is>
      </c>
      <c r="D4702" t="n">
        <v>0</v>
      </c>
      <c r="E4702" t="n">
        <v>0</v>
      </c>
      <c r="F4702" t="n">
        <v>0</v>
      </c>
      <c r="G4702" t="n">
        <v>1</v>
      </c>
      <c r="H4702" t="n">
        <v>1</v>
      </c>
      <c r="I4702" t="n">
        <v>0</v>
      </c>
      <c r="J4702" t="n">
        <v>0</v>
      </c>
      <c r="K4702" t="n">
        <v>4</v>
      </c>
      <c r="L4702" t="n">
        <v>0</v>
      </c>
      <c r="M4702" t="n">
        <v>1</v>
      </c>
      <c r="N4702" t="n">
        <v>1</v>
      </c>
      <c r="O4702" t="n">
        <v>2</v>
      </c>
      <c r="P4702" t="n">
        <v>0</v>
      </c>
      <c r="Q4702" t="n">
        <v>7</v>
      </c>
      <c r="R4702" t="n">
        <v>0</v>
      </c>
      <c r="S4702" t="n">
        <v/>
      </c>
      <c r="T4702" t="inlineStr">
        <is>
          <t>13</t>
        </is>
      </c>
      <c r="U4702" t="inlineStr">
        <is>
          <t>12</t>
        </is>
      </c>
      <c r="V4702" t="n">
        <v/>
      </c>
      <c r="W4702" t="n">
        <v/>
      </c>
    </row>
    <row r="4703">
      <c r="A4703" t="inlineStr">
        <is>
          <t>14/12/2025 8:07:43</t>
        </is>
      </c>
      <c r="B4703" t="inlineStr">
        <is>
          <t>Nguyễn Hồng Minh</t>
        </is>
      </c>
      <c r="C4703" t="inlineStr">
        <is>
          <t>13/12/2025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4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4</v>
      </c>
      <c r="R4703" t="n">
        <v>1</v>
      </c>
      <c r="S4703" t="n">
        <v/>
      </c>
      <c r="T4703" t="inlineStr">
        <is>
          <t>13</t>
        </is>
      </c>
      <c r="U4703" t="inlineStr">
        <is>
          <t>12</t>
        </is>
      </c>
      <c r="V4703" t="n">
        <v/>
      </c>
      <c r="W4703" t="n">
        <v/>
      </c>
    </row>
    <row r="4704">
      <c r="A4704" t="inlineStr">
        <is>
          <t>14/12/2025 8:22:41</t>
        </is>
      </c>
      <c r="B4704" t="inlineStr">
        <is>
          <t>Lê Văn Hồng</t>
        </is>
      </c>
      <c r="C4704" t="inlineStr">
        <is>
          <t>13/12/2025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4</v>
      </c>
      <c r="J4704" t="n">
        <v>0</v>
      </c>
      <c r="K4704" t="n">
        <v>7</v>
      </c>
      <c r="L4704" t="n">
        <v>2</v>
      </c>
      <c r="M4704" t="n">
        <v>0</v>
      </c>
      <c r="N4704" t="n">
        <v>4</v>
      </c>
      <c r="O4704" t="n">
        <v>0</v>
      </c>
      <c r="P4704" t="n">
        <v>2</v>
      </c>
      <c r="Q4704" t="n">
        <v>2</v>
      </c>
      <c r="R4704" t="n">
        <v>0</v>
      </c>
      <c r="S4704" t="n">
        <v/>
      </c>
      <c r="T4704" t="inlineStr">
        <is>
          <t>13</t>
        </is>
      </c>
      <c r="U4704" t="inlineStr">
        <is>
          <t>12</t>
        </is>
      </c>
      <c r="V4704" t="n">
        <v/>
      </c>
      <c r="W4704" t="n">
        <v/>
      </c>
    </row>
    <row r="4705">
      <c r="A4705" t="inlineStr">
        <is>
          <t>14/12/2025 20:17:05</t>
        </is>
      </c>
      <c r="B4705" t="inlineStr">
        <is>
          <t>Lê Quốc Duy</t>
        </is>
      </c>
      <c r="C4705" t="inlineStr">
        <is>
          <t>14/12/2025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7</v>
      </c>
      <c r="L4705" t="n">
        <v>0</v>
      </c>
      <c r="M4705" t="n">
        <v>0</v>
      </c>
      <c r="N4705" t="n">
        <v>0</v>
      </c>
      <c r="O4705" t="n">
        <v>0</v>
      </c>
      <c r="P4705" t="n">
        <v>1</v>
      </c>
      <c r="Q4705" t="n">
        <v>1</v>
      </c>
      <c r="R4705" t="n">
        <v>0</v>
      </c>
      <c r="S4705" t="n">
        <v/>
      </c>
      <c r="T4705" t="inlineStr">
        <is>
          <t>14</t>
        </is>
      </c>
      <c r="U4705" t="inlineStr">
        <is>
          <t>12</t>
        </is>
      </c>
      <c r="V4705" t="n">
        <v/>
      </c>
      <c r="W4705" t="n">
        <v/>
      </c>
    </row>
    <row r="4706">
      <c r="A4706" t="inlineStr">
        <is>
          <t>14/12/2025 20:22:59</t>
        </is>
      </c>
      <c r="B4706" t="inlineStr">
        <is>
          <t>Lê Quốc Duy</t>
        </is>
      </c>
      <c r="C4706" t="inlineStr">
        <is>
          <t>14/12/2025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7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1</v>
      </c>
      <c r="R4706" t="n">
        <v>0</v>
      </c>
      <c r="S4706" t="n">
        <v/>
      </c>
      <c r="T4706" t="inlineStr">
        <is>
          <t>14</t>
        </is>
      </c>
      <c r="U4706" t="inlineStr">
        <is>
          <t>12</t>
        </is>
      </c>
      <c r="V4706" t="n">
        <v/>
      </c>
      <c r="W4706" t="n">
        <v/>
      </c>
    </row>
    <row r="4707">
      <c r="A4707" t="inlineStr">
        <is>
          <t>14/12/2025 22:45:37</t>
        </is>
      </c>
      <c r="B4707" t="inlineStr">
        <is>
          <t>Đặng Hữu Danh</t>
        </is>
      </c>
      <c r="C4707" t="inlineStr">
        <is>
          <t>14/12/2025</t>
        </is>
      </c>
      <c r="D4707" t="n">
        <v>0</v>
      </c>
      <c r="E4707" t="n">
        <v>0</v>
      </c>
      <c r="F4707" t="n">
        <v>9</v>
      </c>
      <c r="G4707" t="n">
        <v>0</v>
      </c>
      <c r="H4707" t="n">
        <v>0</v>
      </c>
      <c r="I4707" t="n">
        <v>2</v>
      </c>
      <c r="J4707" t="n">
        <v>0</v>
      </c>
      <c r="K4707" t="n">
        <v>4</v>
      </c>
      <c r="L4707" t="n">
        <v>0</v>
      </c>
      <c r="M4707" t="n">
        <v>0</v>
      </c>
      <c r="N4707" t="n">
        <v>0</v>
      </c>
      <c r="O4707" t="n">
        <v>0</v>
      </c>
      <c r="P4707" t="n">
        <v>2</v>
      </c>
      <c r="Q4707" t="n">
        <v>4</v>
      </c>
      <c r="R4707" t="n">
        <v>2</v>
      </c>
      <c r="S4707" t="n">
        <v/>
      </c>
      <c r="T4707" t="inlineStr">
        <is>
          <t>14</t>
        </is>
      </c>
      <c r="U4707" t="inlineStr">
        <is>
          <t>12</t>
        </is>
      </c>
      <c r="V4707" t="n">
        <v/>
      </c>
      <c r="W4707" t="n">
        <v/>
      </c>
    </row>
    <row r="4708">
      <c r="A4708" t="inlineStr">
        <is>
          <t>15/12/2025 0:49:22</t>
        </is>
      </c>
      <c r="B4708" t="inlineStr">
        <is>
          <t>Hồ Thái Minh Trí</t>
        </is>
      </c>
      <c r="C4708" t="inlineStr">
        <is>
          <t>14/12/2025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12</v>
      </c>
      <c r="L4708" t="n">
        <v>2</v>
      </c>
      <c r="M4708" t="n">
        <v>0</v>
      </c>
      <c r="N4708" t="n">
        <v>0</v>
      </c>
      <c r="O4708" t="n">
        <v>0</v>
      </c>
      <c r="P4708" t="n">
        <v>0</v>
      </c>
      <c r="Q4708" t="n">
        <v>2</v>
      </c>
      <c r="R4708" t="n">
        <v>0</v>
      </c>
      <c r="S4708" t="n">
        <v/>
      </c>
      <c r="T4708" t="inlineStr">
        <is>
          <t>14</t>
        </is>
      </c>
      <c r="U4708" t="inlineStr">
        <is>
          <t>12</t>
        </is>
      </c>
      <c r="V4708" t="n">
        <v/>
      </c>
      <c r="W4708" t="n">
        <v/>
      </c>
    </row>
    <row r="4709">
      <c r="A4709" t="inlineStr">
        <is>
          <t>15/12/2025 6:44:30</t>
        </is>
      </c>
      <c r="B4709" t="inlineStr">
        <is>
          <t>Vòng Nhật Sang</t>
        </is>
      </c>
      <c r="C4709" t="inlineStr">
        <is>
          <t>14/12/2025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26</v>
      </c>
      <c r="L4709" t="n">
        <v>0</v>
      </c>
      <c r="M4709" t="n">
        <v>0</v>
      </c>
      <c r="N4709" t="n">
        <v>0</v>
      </c>
      <c r="O4709" t="n">
        <v>0</v>
      </c>
      <c r="P4709" t="n">
        <v>1</v>
      </c>
      <c r="Q4709" t="n">
        <v>1</v>
      </c>
      <c r="R4709" t="n">
        <v>0</v>
      </c>
      <c r="S4709" t="n">
        <v/>
      </c>
      <c r="T4709" t="inlineStr">
        <is>
          <t>14</t>
        </is>
      </c>
      <c r="U4709" t="inlineStr">
        <is>
          <t>12</t>
        </is>
      </c>
      <c r="V4709" t="n">
        <v/>
      </c>
      <c r="W4709" t="n">
        <v/>
      </c>
    </row>
    <row r="4710">
      <c r="A4710" t="inlineStr">
        <is>
          <t>15/12/2025 6:49:58</t>
        </is>
      </c>
      <c r="B4710" t="inlineStr">
        <is>
          <t>Đặng Hữu Danh</t>
        </is>
      </c>
      <c r="C4710" t="inlineStr">
        <is>
          <t>14/12/2025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6</v>
      </c>
      <c r="L4710" t="n">
        <v>0</v>
      </c>
      <c r="M4710" t="n">
        <v>0</v>
      </c>
      <c r="N4710" t="n">
        <v>0</v>
      </c>
      <c r="O4710" t="n">
        <v>0</v>
      </c>
      <c r="P4710" t="n">
        <v>1</v>
      </c>
      <c r="Q4710" t="n">
        <v>3</v>
      </c>
      <c r="R4710" t="n">
        <v>0</v>
      </c>
      <c r="S4710" t="n">
        <v/>
      </c>
      <c r="T4710" t="inlineStr">
        <is>
          <t>14</t>
        </is>
      </c>
      <c r="U4710" t="inlineStr">
        <is>
          <t>12</t>
        </is>
      </c>
      <c r="V4710" t="n">
        <v/>
      </c>
      <c r="W4710" t="n">
        <v/>
      </c>
    </row>
    <row r="4711">
      <c r="A4711" t="inlineStr">
        <is>
          <t>15/12/2025 6:50:36</t>
        </is>
      </c>
      <c r="B4711" t="inlineStr">
        <is>
          <t>Phan Ngọc Sang</t>
        </is>
      </c>
      <c r="C4711" t="inlineStr">
        <is>
          <t>14/12/2025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1</v>
      </c>
      <c r="K4711" t="n">
        <v>5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1</v>
      </c>
      <c r="R4711" t="n">
        <v>3</v>
      </c>
      <c r="S4711" t="n">
        <v/>
      </c>
      <c r="T4711" t="inlineStr">
        <is>
          <t>14</t>
        </is>
      </c>
      <c r="U4711" t="inlineStr">
        <is>
          <t>12</t>
        </is>
      </c>
      <c r="V4711" t="n">
        <v/>
      </c>
      <c r="W4711" t="n">
        <v/>
      </c>
    </row>
    <row r="4712">
      <c r="A4712" t="inlineStr">
        <is>
          <t>15/12/2025 6:58:36</t>
        </is>
      </c>
      <c r="B4712" t="inlineStr">
        <is>
          <t>Trần Trung Giang</t>
        </is>
      </c>
      <c r="C4712" t="inlineStr">
        <is>
          <t>14/12/2025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2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/>
      </c>
      <c r="T4712" t="inlineStr">
        <is>
          <t>14</t>
        </is>
      </c>
      <c r="U4712" t="inlineStr">
        <is>
          <t>12</t>
        </is>
      </c>
      <c r="V4712" t="n">
        <v/>
      </c>
      <c r="W4712" t="n">
        <v/>
      </c>
    </row>
    <row r="4713">
      <c r="A4713" t="inlineStr">
        <is>
          <t>15/12/2025 6:59:41</t>
        </is>
      </c>
      <c r="B4713" t="inlineStr">
        <is>
          <t>Đặng Hoài Anh</t>
        </is>
      </c>
      <c r="C4713" t="inlineStr">
        <is>
          <t>14/12/2025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2</v>
      </c>
      <c r="L4713" t="n">
        <v>0</v>
      </c>
      <c r="M4713" t="n">
        <v>0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/>
      </c>
      <c r="T4713" t="inlineStr">
        <is>
          <t>14</t>
        </is>
      </c>
      <c r="U4713" t="inlineStr">
        <is>
          <t>12</t>
        </is>
      </c>
      <c r="V4713" t="n">
        <v/>
      </c>
      <c r="W4713" t="n">
        <v/>
      </c>
    </row>
    <row r="4714">
      <c r="A4714" t="inlineStr">
        <is>
          <t>15/12/2025 7:00:35</t>
        </is>
      </c>
      <c r="B4714" t="inlineStr">
        <is>
          <t>Dương Minh Tiến</t>
        </is>
      </c>
      <c r="C4714" t="inlineStr">
        <is>
          <t>14/12/2025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2</v>
      </c>
      <c r="J4714" t="n">
        <v>0</v>
      </c>
      <c r="K4714" t="n">
        <v>4</v>
      </c>
      <c r="L4714" t="n">
        <v>0</v>
      </c>
      <c r="M4714" t="n">
        <v>0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/>
      </c>
      <c r="T4714" t="inlineStr">
        <is>
          <t>14</t>
        </is>
      </c>
      <c r="U4714" t="inlineStr">
        <is>
          <t>12</t>
        </is>
      </c>
      <c r="V4714" t="n">
        <v/>
      </c>
      <c r="W4714" t="n">
        <v/>
      </c>
    </row>
    <row r="4715">
      <c r="A4715" t="inlineStr">
        <is>
          <t>15/12/2025 7:01:10</t>
        </is>
      </c>
      <c r="B4715" t="inlineStr">
        <is>
          <t>Lê Hồng Phong</t>
        </is>
      </c>
      <c r="C4715" t="inlineStr">
        <is>
          <t>15/12/2025</t>
        </is>
      </c>
      <c r="D4715" t="n">
        <v>1</v>
      </c>
      <c r="E4715" t="n">
        <v>1</v>
      </c>
      <c r="F4715" t="n">
        <v>1</v>
      </c>
      <c r="G4715" t="n">
        <v>0</v>
      </c>
      <c r="H4715" t="n">
        <v>0</v>
      </c>
      <c r="I4715" t="n">
        <v>1</v>
      </c>
      <c r="J4715" t="n">
        <v>1</v>
      </c>
      <c r="K4715" t="n">
        <v>1</v>
      </c>
      <c r="L4715" t="n">
        <v>1</v>
      </c>
      <c r="M4715" t="n">
        <v>1</v>
      </c>
      <c r="N4715" t="n">
        <v>1</v>
      </c>
      <c r="O4715" t="n">
        <v>0</v>
      </c>
      <c r="P4715" t="n">
        <v>1</v>
      </c>
      <c r="Q4715" t="n">
        <v>1</v>
      </c>
      <c r="R4715" t="n">
        <v>1</v>
      </c>
      <c r="S4715" t="n">
        <v/>
      </c>
      <c r="T4715" t="inlineStr">
        <is>
          <t>15</t>
        </is>
      </c>
      <c r="U4715" t="inlineStr">
        <is>
          <t>12</t>
        </is>
      </c>
      <c r="V4715" t="n">
        <v/>
      </c>
      <c r="W4715" t="n">
        <v/>
      </c>
    </row>
    <row r="4716">
      <c r="A4716" t="inlineStr">
        <is>
          <t>15/12/2025 7:04:07</t>
        </is>
      </c>
      <c r="B4716" t="inlineStr">
        <is>
          <t>Nguyễn Văn Hiệp</t>
        </is>
      </c>
      <c r="C4716" t="inlineStr">
        <is>
          <t>14/12/2025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2</v>
      </c>
      <c r="O4716" t="n">
        <v>0</v>
      </c>
      <c r="P4716" t="n">
        <v>0</v>
      </c>
      <c r="Q4716" t="n">
        <v>0</v>
      </c>
      <c r="R4716" t="n">
        <v>0</v>
      </c>
      <c r="S4716" t="n">
        <v/>
      </c>
      <c r="T4716" t="inlineStr">
        <is>
          <t>14</t>
        </is>
      </c>
      <c r="U4716" t="inlineStr">
        <is>
          <t>12</t>
        </is>
      </c>
      <c r="V4716" t="n">
        <v/>
      </c>
      <c r="W4716" t="n">
        <v/>
      </c>
    </row>
    <row r="4717">
      <c r="A4717" t="inlineStr">
        <is>
          <t>15/12/2025 7:04:11</t>
        </is>
      </c>
      <c r="B4717" t="inlineStr">
        <is>
          <t>Hồ Xuân Việt</t>
        </is>
      </c>
      <c r="C4717" t="inlineStr">
        <is>
          <t>14/12/2025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5</v>
      </c>
      <c r="L4717" t="n">
        <v>0</v>
      </c>
      <c r="M4717" t="n">
        <v>0</v>
      </c>
      <c r="N4717" t="n">
        <v>0</v>
      </c>
      <c r="O4717" t="n">
        <v>0</v>
      </c>
      <c r="P4717" t="n">
        <v>1</v>
      </c>
      <c r="Q4717" t="n">
        <v>2</v>
      </c>
      <c r="R4717" t="n">
        <v>0</v>
      </c>
      <c r="S4717" t="n">
        <v/>
      </c>
      <c r="T4717" t="inlineStr">
        <is>
          <t>14</t>
        </is>
      </c>
      <c r="U4717" t="inlineStr">
        <is>
          <t>12</t>
        </is>
      </c>
      <c r="V4717" t="n">
        <v/>
      </c>
      <c r="W4717" t="n">
        <v/>
      </c>
    </row>
    <row r="4718">
      <c r="A4718" t="inlineStr">
        <is>
          <t>15/12/2025 7:06:00</t>
        </is>
      </c>
      <c r="B4718" t="inlineStr">
        <is>
          <t>Phan Thành Thái</t>
        </is>
      </c>
      <c r="C4718" t="inlineStr">
        <is>
          <t>14/12/2025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3</v>
      </c>
      <c r="J4718" t="n">
        <v>0</v>
      </c>
      <c r="K4718" t="n">
        <v>4</v>
      </c>
      <c r="L4718" t="n">
        <v>0</v>
      </c>
      <c r="M4718" t="n">
        <v>0</v>
      </c>
      <c r="N4718" t="n">
        <v>0</v>
      </c>
      <c r="O4718" t="n">
        <v>0</v>
      </c>
      <c r="P4718" t="n">
        <v>1</v>
      </c>
      <c r="Q4718" t="n">
        <v>6</v>
      </c>
      <c r="R4718" t="n">
        <v>0</v>
      </c>
      <c r="S4718" t="n">
        <v/>
      </c>
      <c r="T4718" t="inlineStr">
        <is>
          <t>14</t>
        </is>
      </c>
      <c r="U4718" t="inlineStr">
        <is>
          <t>12</t>
        </is>
      </c>
      <c r="V4718" t="n">
        <v/>
      </c>
      <c r="W4718" t="n">
        <v/>
      </c>
    </row>
    <row r="4719">
      <c r="A4719" t="inlineStr">
        <is>
          <t>15/12/2025 7:06:32</t>
        </is>
      </c>
      <c r="B4719" t="inlineStr">
        <is>
          <t>Lương Duy Hoàng</t>
        </is>
      </c>
      <c r="C4719" t="inlineStr">
        <is>
          <t>14/12/2025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3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0</v>
      </c>
      <c r="S4719" t="n">
        <v/>
      </c>
      <c r="T4719" t="inlineStr">
        <is>
          <t>14</t>
        </is>
      </c>
      <c r="U4719" t="inlineStr">
        <is>
          <t>12</t>
        </is>
      </c>
      <c r="V4719" t="n">
        <v/>
      </c>
      <c r="W4719" t="n">
        <v/>
      </c>
    </row>
    <row r="4720">
      <c r="A4720" t="inlineStr">
        <is>
          <t>15/12/2025 7:07:12</t>
        </is>
      </c>
      <c r="B4720" t="inlineStr">
        <is>
          <t>Lương Duy Hải</t>
        </is>
      </c>
      <c r="C4720" t="inlineStr">
        <is>
          <t>14/12/2025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12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1</v>
      </c>
      <c r="R4720" t="n">
        <v>1</v>
      </c>
      <c r="S4720" t="n">
        <v/>
      </c>
      <c r="T4720" t="inlineStr">
        <is>
          <t>14</t>
        </is>
      </c>
      <c r="U4720" t="inlineStr">
        <is>
          <t>12</t>
        </is>
      </c>
      <c r="V4720" t="n">
        <v/>
      </c>
      <c r="W4720" t="n">
        <v/>
      </c>
    </row>
    <row r="4721">
      <c r="A4721" t="inlineStr">
        <is>
          <t>15/12/2025 7:08:13</t>
        </is>
      </c>
      <c r="B4721" t="inlineStr">
        <is>
          <t>Đào Công Trung</t>
        </is>
      </c>
      <c r="C4721" t="inlineStr">
        <is>
          <t>14/12/2025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9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/>
      </c>
      <c r="T4721" t="inlineStr">
        <is>
          <t>14</t>
        </is>
      </c>
      <c r="U4721" t="inlineStr">
        <is>
          <t>12</t>
        </is>
      </c>
      <c r="V4721" t="n">
        <v/>
      </c>
      <c r="W4721" t="n">
        <v/>
      </c>
    </row>
    <row r="4722">
      <c r="A4722" t="inlineStr">
        <is>
          <t>15/12/2025 7:08:39</t>
        </is>
      </c>
      <c r="B4722" t="inlineStr">
        <is>
          <t>Nguyễn Tuấn Anh</t>
        </is>
      </c>
      <c r="C4722" t="inlineStr">
        <is>
          <t>14/12/2025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9</v>
      </c>
      <c r="L4722" t="n">
        <v>0</v>
      </c>
      <c r="M4722" t="n">
        <v>0</v>
      </c>
      <c r="N4722" t="n">
        <v>0</v>
      </c>
      <c r="O4722" t="n">
        <v>0</v>
      </c>
      <c r="P4722" t="n">
        <v>1</v>
      </c>
      <c r="Q4722" t="n">
        <v>5</v>
      </c>
      <c r="R4722" t="n">
        <v>0</v>
      </c>
      <c r="S4722" t="n">
        <v/>
      </c>
      <c r="T4722" t="inlineStr">
        <is>
          <t>14</t>
        </is>
      </c>
      <c r="U4722" t="inlineStr">
        <is>
          <t>12</t>
        </is>
      </c>
      <c r="V4722" t="n">
        <v/>
      </c>
      <c r="W4722" t="n">
        <v/>
      </c>
    </row>
    <row r="4723">
      <c r="A4723" t="inlineStr">
        <is>
          <t>15/12/2025 7:10:12</t>
        </is>
      </c>
      <c r="B4723" t="inlineStr">
        <is>
          <t>Nguyễn Thành Lâm</t>
        </is>
      </c>
      <c r="C4723" t="inlineStr">
        <is>
          <t>14/12/2025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2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2</v>
      </c>
      <c r="R4723" t="n">
        <v>0</v>
      </c>
      <c r="S4723" t="n">
        <v/>
      </c>
      <c r="T4723" t="inlineStr">
        <is>
          <t>14</t>
        </is>
      </c>
      <c r="U4723" t="inlineStr">
        <is>
          <t>12</t>
        </is>
      </c>
      <c r="V4723" t="n">
        <v/>
      </c>
      <c r="W4723" t="n">
        <v/>
      </c>
    </row>
    <row r="4724">
      <c r="A4724" t="inlineStr">
        <is>
          <t>15/12/2025 7:15:53</t>
        </is>
      </c>
      <c r="B4724" t="inlineStr">
        <is>
          <t>Trần Minh Khánh</t>
        </is>
      </c>
      <c r="C4724" t="inlineStr">
        <is>
          <t>14/12/2025</t>
        </is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3</v>
      </c>
      <c r="J4724" t="n">
        <v>0</v>
      </c>
      <c r="K4724" t="n">
        <v>4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3</v>
      </c>
      <c r="R4724" t="n">
        <v>0</v>
      </c>
      <c r="S4724" t="n">
        <v/>
      </c>
      <c r="T4724" t="inlineStr">
        <is>
          <t>14</t>
        </is>
      </c>
      <c r="U4724" t="inlineStr">
        <is>
          <t>12</t>
        </is>
      </c>
      <c r="V4724" t="n">
        <v/>
      </c>
      <c r="W4724" t="n">
        <v/>
      </c>
    </row>
    <row r="4725">
      <c r="A4725" t="inlineStr">
        <is>
          <t>15/12/2025 7:18:59</t>
        </is>
      </c>
      <c r="B4725" t="inlineStr">
        <is>
          <t>Trần Xuân Khoa</t>
        </is>
      </c>
      <c r="C4725" t="inlineStr">
        <is>
          <t>14/12/2025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6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2</v>
      </c>
      <c r="R4725" t="n">
        <v>0</v>
      </c>
      <c r="S4725" t="n">
        <v/>
      </c>
      <c r="T4725" t="inlineStr">
        <is>
          <t>14</t>
        </is>
      </c>
      <c r="U4725" t="inlineStr">
        <is>
          <t>12</t>
        </is>
      </c>
      <c r="V4725" t="n">
        <v/>
      </c>
      <c r="W4725" t="n">
        <v/>
      </c>
    </row>
    <row r="4726">
      <c r="A4726" t="inlineStr">
        <is>
          <t>15/12/2025 7:20:42</t>
        </is>
      </c>
      <c r="B4726" t="inlineStr">
        <is>
          <t>Huỳnh Văn Lực</t>
        </is>
      </c>
      <c r="C4726" t="inlineStr">
        <is>
          <t>14/12/2025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3</v>
      </c>
      <c r="L4726" t="n">
        <v>0</v>
      </c>
      <c r="M4726" t="n">
        <v>0</v>
      </c>
      <c r="N4726" t="n">
        <v>0</v>
      </c>
      <c r="O4726" t="n">
        <v>0</v>
      </c>
      <c r="P4726" t="n">
        <v>2</v>
      </c>
      <c r="Q4726" t="n">
        <v>0</v>
      </c>
      <c r="R4726" t="n">
        <v>0</v>
      </c>
      <c r="S4726" t="n">
        <v/>
      </c>
      <c r="T4726" t="inlineStr">
        <is>
          <t>14</t>
        </is>
      </c>
      <c r="U4726" t="inlineStr">
        <is>
          <t>12</t>
        </is>
      </c>
      <c r="V4726" t="n">
        <v/>
      </c>
      <c r="W4726" t="n">
        <v/>
      </c>
    </row>
    <row r="4727">
      <c r="A4727" t="inlineStr">
        <is>
          <t>15/12/2025 7:23:18</t>
        </is>
      </c>
      <c r="B4727" t="inlineStr">
        <is>
          <t>Bùi Duy Cường</t>
        </is>
      </c>
      <c r="C4727" t="inlineStr">
        <is>
          <t>14/12/2025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10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/>
      </c>
      <c r="T4727" t="inlineStr">
        <is>
          <t>14</t>
        </is>
      </c>
      <c r="U4727" t="inlineStr">
        <is>
          <t>12</t>
        </is>
      </c>
      <c r="V4727" t="n">
        <v/>
      </c>
      <c r="W4727" t="n">
        <v/>
      </c>
    </row>
    <row r="4728">
      <c r="A4728" t="inlineStr">
        <is>
          <t>15/12/2025 7:28:47</t>
        </is>
      </c>
      <c r="B4728" t="inlineStr">
        <is>
          <t>Nguyễn Hồng Minh</t>
        </is>
      </c>
      <c r="C4728" t="inlineStr">
        <is>
          <t>14/12/2025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15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3</v>
      </c>
      <c r="R4728" t="n">
        <v>1</v>
      </c>
      <c r="S4728" t="n">
        <v/>
      </c>
      <c r="T4728" t="inlineStr">
        <is>
          <t>14</t>
        </is>
      </c>
      <c r="U4728" t="inlineStr">
        <is>
          <t>12</t>
        </is>
      </c>
      <c r="V4728" t="n">
        <v/>
      </c>
      <c r="W4728" t="n">
        <v/>
      </c>
    </row>
    <row r="4729">
      <c r="A4729" t="inlineStr">
        <is>
          <t>15/12/2025 7:28:59</t>
        </is>
      </c>
      <c r="B4729" t="inlineStr">
        <is>
          <t>Nguyễn Văn Nhật</t>
        </is>
      </c>
      <c r="C4729" t="inlineStr">
        <is>
          <t>14/12/2025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6</v>
      </c>
      <c r="L4729" t="n">
        <v>0</v>
      </c>
      <c r="M4729" t="n">
        <v>0</v>
      </c>
      <c r="N4729" t="n">
        <v>1</v>
      </c>
      <c r="O4729" t="n">
        <v>1</v>
      </c>
      <c r="P4729" t="n">
        <v>1</v>
      </c>
      <c r="Q4729" t="n">
        <v>2</v>
      </c>
      <c r="R4729" t="n">
        <v>0</v>
      </c>
      <c r="S4729" t="n">
        <v/>
      </c>
      <c r="T4729" t="inlineStr">
        <is>
          <t>14</t>
        </is>
      </c>
      <c r="U4729" t="inlineStr">
        <is>
          <t>12</t>
        </is>
      </c>
      <c r="V4729" t="n">
        <v/>
      </c>
      <c r="W4729" t="n">
        <v/>
      </c>
    </row>
    <row r="4730">
      <c r="A4730" t="inlineStr">
        <is>
          <t>15/12/2025 7:51:18</t>
        </is>
      </c>
      <c r="B4730" t="inlineStr">
        <is>
          <t>Lê Văn Hồng</t>
        </is>
      </c>
      <c r="C4730" t="inlineStr">
        <is>
          <t>14/12/2025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2</v>
      </c>
      <c r="J4730" t="n">
        <v>0</v>
      </c>
      <c r="K4730" t="n">
        <v>7</v>
      </c>
      <c r="L4730" t="n">
        <v>0</v>
      </c>
      <c r="M4730" t="n">
        <v>0</v>
      </c>
      <c r="N4730" t="n">
        <v>2</v>
      </c>
      <c r="O4730" t="n">
        <v>0</v>
      </c>
      <c r="P4730" t="n">
        <v>0</v>
      </c>
      <c r="Q4730" t="n">
        <v>2</v>
      </c>
      <c r="R4730" t="n">
        <v>0</v>
      </c>
      <c r="S4730" t="n">
        <v/>
      </c>
      <c r="T4730" t="inlineStr">
        <is>
          <t>14</t>
        </is>
      </c>
      <c r="U4730" t="inlineStr">
        <is>
          <t>12</t>
        </is>
      </c>
      <c r="V4730" t="n">
        <v/>
      </c>
      <c r="W4730" t="n">
        <v/>
      </c>
    </row>
    <row r="4731">
      <c r="A4731" t="inlineStr">
        <is>
          <t>15/12/2025 21:35:41</t>
        </is>
      </c>
      <c r="B4731" t="inlineStr">
        <is>
          <t>Đặng Hữu Danh</t>
        </is>
      </c>
      <c r="C4731" t="inlineStr">
        <is>
          <t>15/12/2025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4</v>
      </c>
      <c r="J4731" t="n">
        <v>0</v>
      </c>
      <c r="K4731" t="n">
        <v>6</v>
      </c>
      <c r="L4731" t="n">
        <v>0</v>
      </c>
      <c r="M4731" t="n">
        <v>0</v>
      </c>
      <c r="N4731" t="n">
        <v>0</v>
      </c>
      <c r="O4731" t="n">
        <v>0</v>
      </c>
      <c r="P4731" t="n">
        <v>2</v>
      </c>
      <c r="Q4731" t="n">
        <v>3</v>
      </c>
      <c r="R4731" t="n">
        <v>0</v>
      </c>
      <c r="S4731" t="n">
        <v/>
      </c>
      <c r="T4731" t="inlineStr">
        <is>
          <t>15</t>
        </is>
      </c>
      <c r="U4731" t="inlineStr">
        <is>
          <t>12</t>
        </is>
      </c>
      <c r="V4731" t="n">
        <v/>
      </c>
      <c r="W4731" t="n">
        <v/>
      </c>
    </row>
    <row r="4732">
      <c r="A4732" t="inlineStr">
        <is>
          <t>16/12/2025 6:41:38</t>
        </is>
      </c>
      <c r="B4732" t="inlineStr">
        <is>
          <t>Vòng Nhật Sang</t>
        </is>
      </c>
      <c r="C4732" t="inlineStr">
        <is>
          <t>15/12/2025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43</v>
      </c>
      <c r="L4732" t="n">
        <v>0</v>
      </c>
      <c r="M4732" t="n">
        <v>0</v>
      </c>
      <c r="N4732" t="n">
        <v>0</v>
      </c>
      <c r="O4732" t="n">
        <v>0</v>
      </c>
      <c r="P4732" t="n">
        <v>1</v>
      </c>
      <c r="Q4732" t="n">
        <v>2</v>
      </c>
      <c r="R4732" t="n">
        <v>0</v>
      </c>
      <c r="S4732" t="n">
        <v/>
      </c>
      <c r="T4732" t="inlineStr">
        <is>
          <t>15</t>
        </is>
      </c>
      <c r="U4732" t="inlineStr">
        <is>
          <t>12</t>
        </is>
      </c>
      <c r="V4732" t="n">
        <v/>
      </c>
      <c r="W4732" t="n">
        <v/>
      </c>
    </row>
    <row r="4733">
      <c r="A4733" t="inlineStr">
        <is>
          <t>16/12/2025 6:43:16</t>
        </is>
      </c>
      <c r="B4733" t="inlineStr">
        <is>
          <t>Phan Ngọc Sang</t>
        </is>
      </c>
      <c r="C4733" t="inlineStr">
        <is>
          <t>15/12/2025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2</v>
      </c>
      <c r="J4733" t="n">
        <v>2</v>
      </c>
      <c r="K4733" t="n">
        <v>6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2</v>
      </c>
      <c r="R4733" t="n">
        <v>0</v>
      </c>
      <c r="S4733" t="n">
        <v/>
      </c>
      <c r="T4733" t="inlineStr">
        <is>
          <t>15</t>
        </is>
      </c>
      <c r="U4733" t="inlineStr">
        <is>
          <t>12</t>
        </is>
      </c>
      <c r="V4733" t="n">
        <v/>
      </c>
      <c r="W4733" t="n">
        <v/>
      </c>
    </row>
    <row r="4734">
      <c r="A4734" t="inlineStr">
        <is>
          <t>16/12/2025 6:48:20</t>
        </is>
      </c>
      <c r="B4734" t="inlineStr">
        <is>
          <t>Nguyễn Quang Anh Tuấn</t>
        </is>
      </c>
      <c r="C4734" t="inlineStr">
        <is>
          <t>15/12/2025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3</v>
      </c>
      <c r="L4734" t="n">
        <v>1</v>
      </c>
      <c r="M4734" t="n">
        <v>0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/>
      </c>
      <c r="T4734" t="inlineStr">
        <is>
          <t>15</t>
        </is>
      </c>
      <c r="U4734" t="inlineStr">
        <is>
          <t>12</t>
        </is>
      </c>
      <c r="V4734" t="n">
        <v/>
      </c>
      <c r="W4734" t="n">
        <v/>
      </c>
    </row>
    <row r="4735">
      <c r="A4735" t="inlineStr">
        <is>
          <t>16/12/2025 6:54:39</t>
        </is>
      </c>
      <c r="B4735" t="inlineStr">
        <is>
          <t>Lương Duy Hoàng</t>
        </is>
      </c>
      <c r="C4735" t="inlineStr">
        <is>
          <t>15/12/2025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2</v>
      </c>
      <c r="J4735" t="n">
        <v>0</v>
      </c>
      <c r="K4735" t="n">
        <v>4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2</v>
      </c>
      <c r="R4735" t="n">
        <v>0</v>
      </c>
      <c r="S4735" t="n">
        <v/>
      </c>
      <c r="T4735" t="inlineStr">
        <is>
          <t>15</t>
        </is>
      </c>
      <c r="U4735" t="inlineStr">
        <is>
          <t>12</t>
        </is>
      </c>
      <c r="V4735" t="n">
        <v/>
      </c>
      <c r="W4735" t="n">
        <v/>
      </c>
    </row>
    <row r="4736">
      <c r="A4736" t="inlineStr">
        <is>
          <t>16/12/2025 6:57:02</t>
        </is>
      </c>
      <c r="B4736" t="inlineStr">
        <is>
          <t>Nguyễn Văn Hiệp</t>
        </is>
      </c>
      <c r="C4736" t="inlineStr">
        <is>
          <t>15/12/2025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2</v>
      </c>
      <c r="O4736" t="n">
        <v>0</v>
      </c>
      <c r="P4736" t="n">
        <v>0</v>
      </c>
      <c r="Q4736" t="n">
        <v>0</v>
      </c>
      <c r="R4736" t="n">
        <v>0</v>
      </c>
      <c r="S4736" t="n">
        <v/>
      </c>
      <c r="T4736" t="inlineStr">
        <is>
          <t>15</t>
        </is>
      </c>
      <c r="U4736" t="inlineStr">
        <is>
          <t>12</t>
        </is>
      </c>
      <c r="V4736" t="n">
        <v/>
      </c>
      <c r="W4736" t="n">
        <v/>
      </c>
    </row>
    <row r="4737">
      <c r="A4737" t="inlineStr">
        <is>
          <t>16/12/2025 6:59:20</t>
        </is>
      </c>
      <c r="B4737" t="inlineStr">
        <is>
          <t>Phan Thành Thái</t>
        </is>
      </c>
      <c r="C4737" t="inlineStr">
        <is>
          <t>15/12/2025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3</v>
      </c>
      <c r="J4737" t="n">
        <v>0</v>
      </c>
      <c r="K4737" t="n">
        <v>4</v>
      </c>
      <c r="L4737" t="n">
        <v>0</v>
      </c>
      <c r="M4737" t="n">
        <v>0</v>
      </c>
      <c r="N4737" t="n">
        <v>0</v>
      </c>
      <c r="O4737" t="n">
        <v>0</v>
      </c>
      <c r="P4737" t="n">
        <v>1</v>
      </c>
      <c r="Q4737" t="n">
        <v>6</v>
      </c>
      <c r="R4737" t="n">
        <v>0</v>
      </c>
      <c r="S4737" t="n">
        <v/>
      </c>
      <c r="T4737" t="inlineStr">
        <is>
          <t>15</t>
        </is>
      </c>
      <c r="U4737" t="inlineStr">
        <is>
          <t>12</t>
        </is>
      </c>
      <c r="V4737" t="n">
        <v/>
      </c>
      <c r="W4737" t="n">
        <v/>
      </c>
    </row>
    <row r="4738">
      <c r="A4738" t="inlineStr">
        <is>
          <t>16/12/2025 7:03:03</t>
        </is>
      </c>
      <c r="B4738" t="inlineStr">
        <is>
          <t>Huỳnh Văn Lực</t>
        </is>
      </c>
      <c r="C4738" t="inlineStr">
        <is>
          <t>15/12/2025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3</v>
      </c>
      <c r="L4738" t="n">
        <v>0</v>
      </c>
      <c r="M4738" t="n">
        <v>0</v>
      </c>
      <c r="N4738" t="n">
        <v>0</v>
      </c>
      <c r="O4738" t="n">
        <v>0</v>
      </c>
      <c r="P4738" t="n">
        <v>4</v>
      </c>
      <c r="Q4738" t="n">
        <v>1</v>
      </c>
      <c r="R4738" t="n">
        <v>0</v>
      </c>
      <c r="S4738" t="n">
        <v/>
      </c>
      <c r="T4738" t="inlineStr">
        <is>
          <t>15</t>
        </is>
      </c>
      <c r="U4738" t="inlineStr">
        <is>
          <t>12</t>
        </is>
      </c>
      <c r="V4738" t="n">
        <v/>
      </c>
      <c r="W4738" t="n">
        <v/>
      </c>
    </row>
    <row r="4739">
      <c r="A4739" t="inlineStr">
        <is>
          <t>16/12/2025 7:03:26</t>
        </is>
      </c>
      <c r="B4739" t="inlineStr">
        <is>
          <t>Đào Công Trung</t>
        </is>
      </c>
      <c r="C4739" t="inlineStr">
        <is>
          <t>15/12/2025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2</v>
      </c>
      <c r="J4739" t="n">
        <v>0</v>
      </c>
      <c r="K4739" t="n">
        <v>10</v>
      </c>
      <c r="L4739" t="n">
        <v>0</v>
      </c>
      <c r="M4739" t="n">
        <v>2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/>
      </c>
      <c r="T4739" t="inlineStr">
        <is>
          <t>15</t>
        </is>
      </c>
      <c r="U4739" t="inlineStr">
        <is>
          <t>12</t>
        </is>
      </c>
      <c r="V4739" t="n">
        <v/>
      </c>
      <c r="W4739" t="n">
        <v/>
      </c>
    </row>
    <row r="4740">
      <c r="A4740" t="inlineStr">
        <is>
          <t>16/12/2025 7:03:28</t>
        </is>
      </c>
      <c r="B4740" t="inlineStr">
        <is>
          <t>Hồ Thái Minh Trí</t>
        </is>
      </c>
      <c r="C4740" t="inlineStr">
        <is>
          <t>15/12/2025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3</v>
      </c>
      <c r="J4740" t="n">
        <v>0</v>
      </c>
      <c r="K4740" t="n">
        <v>13</v>
      </c>
      <c r="L4740" t="n">
        <v>0</v>
      </c>
      <c r="M4740" t="n">
        <v>0</v>
      </c>
      <c r="N4740" t="n">
        <v>0</v>
      </c>
      <c r="O4740" t="n">
        <v>0</v>
      </c>
      <c r="P4740" t="n">
        <v>1</v>
      </c>
      <c r="Q4740" t="n">
        <v>1</v>
      </c>
      <c r="R4740" t="n">
        <v>0</v>
      </c>
      <c r="S4740" t="n">
        <v/>
      </c>
      <c r="T4740" t="inlineStr">
        <is>
          <t>15</t>
        </is>
      </c>
      <c r="U4740" t="inlineStr">
        <is>
          <t>12</t>
        </is>
      </c>
      <c r="V4740" t="n">
        <v/>
      </c>
      <c r="W4740" t="n">
        <v/>
      </c>
    </row>
    <row r="4741">
      <c r="A4741" t="inlineStr">
        <is>
          <t>16/12/2025 7:04:41</t>
        </is>
      </c>
      <c r="B4741" t="inlineStr">
        <is>
          <t>Lương Duy Hải</t>
        </is>
      </c>
      <c r="C4741" t="inlineStr">
        <is>
          <t>15/12/2025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14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2</v>
      </c>
      <c r="R4741" t="n">
        <v>0</v>
      </c>
      <c r="S4741" t="n">
        <v/>
      </c>
      <c r="T4741" t="inlineStr">
        <is>
          <t>15</t>
        </is>
      </c>
      <c r="U4741" t="inlineStr">
        <is>
          <t>12</t>
        </is>
      </c>
      <c r="V4741" t="n">
        <v/>
      </c>
      <c r="W4741" t="n">
        <v/>
      </c>
    </row>
    <row r="4742">
      <c r="A4742" t="inlineStr">
        <is>
          <t>16/12/2025 7:04:59</t>
        </is>
      </c>
      <c r="B4742" t="inlineStr">
        <is>
          <t>Trần Trung Giang</t>
        </is>
      </c>
      <c r="C4742" t="inlineStr">
        <is>
          <t>15/12/2025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4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/>
      </c>
      <c r="T4742" t="inlineStr">
        <is>
          <t>15</t>
        </is>
      </c>
      <c r="U4742" t="inlineStr">
        <is>
          <t>12</t>
        </is>
      </c>
      <c r="V4742" t="n">
        <v/>
      </c>
      <c r="W4742" t="n">
        <v/>
      </c>
    </row>
    <row r="4743">
      <c r="A4743" t="inlineStr">
        <is>
          <t>16/12/2025 7:05:25</t>
        </is>
      </c>
      <c r="B4743" t="inlineStr">
        <is>
          <t>Dương Minh Tiến</t>
        </is>
      </c>
      <c r="C4743" t="inlineStr">
        <is>
          <t>15/12/2025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2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/>
      </c>
      <c r="T4743" t="inlineStr">
        <is>
          <t>15</t>
        </is>
      </c>
      <c r="U4743" t="inlineStr">
        <is>
          <t>12</t>
        </is>
      </c>
      <c r="V4743" t="n">
        <v/>
      </c>
      <c r="W4743" t="n">
        <v/>
      </c>
    </row>
    <row r="4744">
      <c r="A4744" t="inlineStr">
        <is>
          <t>16/12/2025 7:05:42</t>
        </is>
      </c>
      <c r="B4744" t="inlineStr">
        <is>
          <t>Lê Quốc Duy</t>
        </is>
      </c>
      <c r="C4744" t="inlineStr">
        <is>
          <t>15/12/2025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6</v>
      </c>
      <c r="L4744" t="n">
        <v>0</v>
      </c>
      <c r="M4744" t="n">
        <v>0</v>
      </c>
      <c r="N4744" t="n">
        <v>0</v>
      </c>
      <c r="O4744" t="n">
        <v>0</v>
      </c>
      <c r="P4744" t="n">
        <v>1</v>
      </c>
      <c r="Q4744" t="n">
        <v>1</v>
      </c>
      <c r="R4744" t="n">
        <v>0</v>
      </c>
      <c r="S4744" t="n">
        <v/>
      </c>
      <c r="T4744" t="inlineStr">
        <is>
          <t>15</t>
        </is>
      </c>
      <c r="U4744" t="inlineStr">
        <is>
          <t>12</t>
        </is>
      </c>
      <c r="V4744" t="n">
        <v/>
      </c>
      <c r="W4744" t="n">
        <v/>
      </c>
    </row>
    <row r="4745">
      <c r="A4745" t="inlineStr">
        <is>
          <t>16/12/2025 7:06:15</t>
        </is>
      </c>
      <c r="B4745" t="inlineStr">
        <is>
          <t>Nguyễn Thành Lâm</t>
        </is>
      </c>
      <c r="C4745" t="inlineStr">
        <is>
          <t>15/12/2025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8</v>
      </c>
      <c r="J4745" t="n">
        <v>0</v>
      </c>
      <c r="K4745" t="n">
        <v>5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1</v>
      </c>
      <c r="R4745" t="n">
        <v>3</v>
      </c>
      <c r="S4745" t="n">
        <v/>
      </c>
      <c r="T4745" t="inlineStr">
        <is>
          <t>15</t>
        </is>
      </c>
      <c r="U4745" t="inlineStr">
        <is>
          <t>12</t>
        </is>
      </c>
      <c r="V4745" t="n">
        <v/>
      </c>
      <c r="W4745" t="n">
        <v/>
      </c>
    </row>
    <row r="4746">
      <c r="A4746" t="inlineStr">
        <is>
          <t>16/12/2025 7:06:34</t>
        </is>
      </c>
      <c r="B4746" t="inlineStr">
        <is>
          <t>Trần Minh Khánh</t>
        </is>
      </c>
      <c r="C4746" t="inlineStr">
        <is>
          <t>15/12/2025</t>
        </is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5</v>
      </c>
      <c r="L4746" t="n">
        <v>0</v>
      </c>
      <c r="M4746" t="n">
        <v>0</v>
      </c>
      <c r="N4746" t="n">
        <v>1</v>
      </c>
      <c r="O4746" t="n">
        <v>1</v>
      </c>
      <c r="P4746" t="n">
        <v>0</v>
      </c>
      <c r="Q4746" t="n">
        <v>1</v>
      </c>
      <c r="R4746" t="n">
        <v>0</v>
      </c>
      <c r="S4746" t="n">
        <v/>
      </c>
      <c r="T4746" t="inlineStr">
        <is>
          <t>15</t>
        </is>
      </c>
      <c r="U4746" t="inlineStr">
        <is>
          <t>12</t>
        </is>
      </c>
      <c r="V4746" t="n">
        <v/>
      </c>
      <c r="W4746" t="n">
        <v/>
      </c>
    </row>
    <row r="4747">
      <c r="A4747" t="inlineStr">
        <is>
          <t>16/12/2025 7:10:54</t>
        </is>
      </c>
      <c r="B4747" t="inlineStr">
        <is>
          <t>Hồ Xuân Việt</t>
        </is>
      </c>
      <c r="C4747" t="inlineStr">
        <is>
          <t>15/12/2025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8</v>
      </c>
      <c r="L4747" t="n">
        <v>0</v>
      </c>
      <c r="M4747" t="n">
        <v>0</v>
      </c>
      <c r="N4747" t="n">
        <v>0</v>
      </c>
      <c r="O4747" t="n">
        <v>0</v>
      </c>
      <c r="P4747" t="n">
        <v>1</v>
      </c>
      <c r="Q4747" t="n">
        <v>2</v>
      </c>
      <c r="R4747" t="n">
        <v>0</v>
      </c>
      <c r="S4747" t="n">
        <v/>
      </c>
      <c r="T4747" t="inlineStr">
        <is>
          <t>15</t>
        </is>
      </c>
      <c r="U4747" t="inlineStr">
        <is>
          <t>12</t>
        </is>
      </c>
      <c r="V4747" t="n">
        <v/>
      </c>
      <c r="W4747" t="n">
        <v/>
      </c>
    </row>
    <row r="4748">
      <c r="A4748" t="inlineStr">
        <is>
          <t>16/12/2025 7:11:57</t>
        </is>
      </c>
      <c r="B4748" t="inlineStr">
        <is>
          <t>Nguyễn Tuấn Anh</t>
        </is>
      </c>
      <c r="C4748" t="inlineStr">
        <is>
          <t>15/11/2025</t>
        </is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14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5</v>
      </c>
      <c r="R4748" t="n">
        <v>0</v>
      </c>
      <c r="S4748" t="n">
        <v/>
      </c>
      <c r="T4748" t="inlineStr">
        <is>
          <t>15</t>
        </is>
      </c>
      <c r="U4748" t="inlineStr">
        <is>
          <t>11</t>
        </is>
      </c>
      <c r="V4748" t="n">
        <v/>
      </c>
      <c r="W4748" t="n">
        <v/>
      </c>
    </row>
    <row r="4749">
      <c r="A4749" t="inlineStr">
        <is>
          <t>16/12/2025 7:16:16</t>
        </is>
      </c>
      <c r="B4749" t="inlineStr">
        <is>
          <t>Nguyễn Văn Nhật</t>
        </is>
      </c>
      <c r="C4749" t="inlineStr">
        <is>
          <t>15/12/2025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9</v>
      </c>
      <c r="K4749" t="n">
        <v>6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2</v>
      </c>
      <c r="R4749" t="n">
        <v>0</v>
      </c>
      <c r="S4749" t="n">
        <v/>
      </c>
      <c r="T4749" t="inlineStr">
        <is>
          <t>15</t>
        </is>
      </c>
      <c r="U4749" t="inlineStr">
        <is>
          <t>12</t>
        </is>
      </c>
      <c r="V4749" t="n">
        <v/>
      </c>
      <c r="W4749" t="n">
        <v/>
      </c>
    </row>
    <row r="4750">
      <c r="A4750" t="inlineStr">
        <is>
          <t>16/12/2025 7:31:30</t>
        </is>
      </c>
      <c r="B4750" t="inlineStr">
        <is>
          <t>Bùi Duy Cường</t>
        </is>
      </c>
      <c r="C4750" t="inlineStr">
        <is>
          <t>15/12/2025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10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1</v>
      </c>
      <c r="R4750" t="n">
        <v>2</v>
      </c>
      <c r="S4750" t="n">
        <v/>
      </c>
      <c r="T4750" t="inlineStr">
        <is>
          <t>15</t>
        </is>
      </c>
      <c r="U4750" t="inlineStr">
        <is>
          <t>12</t>
        </is>
      </c>
      <c r="V4750" t="n">
        <v/>
      </c>
      <c r="W4750" t="n">
        <v/>
      </c>
    </row>
    <row r="4751">
      <c r="A4751" t="inlineStr">
        <is>
          <t>16/12/2025 7:34:29</t>
        </is>
      </c>
      <c r="B4751" t="inlineStr">
        <is>
          <t>Trần Xuân Khoa</t>
        </is>
      </c>
      <c r="C4751" t="inlineStr">
        <is>
          <t>15/12/2025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5</v>
      </c>
      <c r="L4751" t="n">
        <v>2</v>
      </c>
      <c r="M4751" t="n">
        <v>0</v>
      </c>
      <c r="N4751" t="n">
        <v>0</v>
      </c>
      <c r="O4751" t="n">
        <v>0</v>
      </c>
      <c r="P4751" t="n">
        <v>1</v>
      </c>
      <c r="Q4751" t="n">
        <v>3</v>
      </c>
      <c r="R4751" t="n">
        <v>0</v>
      </c>
      <c r="S4751" t="n">
        <v/>
      </c>
      <c r="T4751" t="inlineStr">
        <is>
          <t>15</t>
        </is>
      </c>
      <c r="U4751" t="inlineStr">
        <is>
          <t>12</t>
        </is>
      </c>
      <c r="V4751" t="n">
        <v/>
      </c>
      <c r="W4751" t="n">
        <v/>
      </c>
    </row>
    <row r="4752">
      <c r="A4752" t="inlineStr">
        <is>
          <t>16/12/2025 7:37:05</t>
        </is>
      </c>
      <c r="B4752" t="inlineStr">
        <is>
          <t>Lê Hồng Phong</t>
        </is>
      </c>
      <c r="C4752" t="inlineStr">
        <is>
          <t>16/12/2023</t>
        </is>
      </c>
      <c r="D4752" t="n">
        <v>1</v>
      </c>
      <c r="E4752" t="n">
        <v>1</v>
      </c>
      <c r="F4752" t="n">
        <v>1</v>
      </c>
      <c r="G4752" t="n">
        <v>0</v>
      </c>
      <c r="H4752" t="n">
        <v>0</v>
      </c>
      <c r="I4752" t="n">
        <v>1</v>
      </c>
      <c r="J4752" t="n">
        <v>1</v>
      </c>
      <c r="K4752" t="n">
        <v>1</v>
      </c>
      <c r="L4752" t="n">
        <v>1</v>
      </c>
      <c r="M4752" t="n">
        <v>1</v>
      </c>
      <c r="N4752" t="n">
        <v>1</v>
      </c>
      <c r="O4752" t="n">
        <v>1</v>
      </c>
      <c r="P4752" t="n">
        <v>1</v>
      </c>
      <c r="Q4752" t="n">
        <v>1</v>
      </c>
      <c r="R4752" t="n">
        <v>1</v>
      </c>
      <c r="S4752" t="n">
        <v/>
      </c>
      <c r="T4752" t="inlineStr">
        <is>
          <t>16</t>
        </is>
      </c>
      <c r="U4752" t="inlineStr">
        <is>
          <t>12</t>
        </is>
      </c>
      <c r="V4752" t="n">
        <v/>
      </c>
      <c r="W4752" t="n">
        <v/>
      </c>
    </row>
    <row r="4753">
      <c r="A4753" t="inlineStr">
        <is>
          <t>16/12/2025 8:14:54</t>
        </is>
      </c>
      <c r="B4753" t="inlineStr">
        <is>
          <t>Nguyễn Hồng Minh</t>
        </is>
      </c>
      <c r="C4753" t="inlineStr">
        <is>
          <t>15/12/2025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2</v>
      </c>
      <c r="J4753" t="n">
        <v>0</v>
      </c>
      <c r="K4753" t="n">
        <v>4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5</v>
      </c>
      <c r="R4753" t="n">
        <v>0</v>
      </c>
      <c r="S4753" t="n">
        <v/>
      </c>
      <c r="T4753" t="inlineStr">
        <is>
          <t>15</t>
        </is>
      </c>
      <c r="U4753" t="inlineStr">
        <is>
          <t>12</t>
        </is>
      </c>
      <c r="V4753" t="n">
        <v/>
      </c>
      <c r="W4753" t="n">
        <v/>
      </c>
    </row>
    <row r="4754">
      <c r="A4754" t="inlineStr">
        <is>
          <t>16/12/2025 8:14:55</t>
        </is>
      </c>
      <c r="B4754" t="inlineStr">
        <is>
          <t>Lê Văn Hồng</t>
        </is>
      </c>
      <c r="C4754" t="inlineStr">
        <is>
          <t>15/12/2025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3</v>
      </c>
      <c r="J4754" t="n">
        <v>0</v>
      </c>
      <c r="K4754" t="n">
        <v>7</v>
      </c>
      <c r="L4754" t="n">
        <v>0</v>
      </c>
      <c r="M4754" t="n">
        <v>0</v>
      </c>
      <c r="N4754" t="n">
        <v>3</v>
      </c>
      <c r="O4754" t="n">
        <v>0</v>
      </c>
      <c r="P4754" t="n">
        <v>2</v>
      </c>
      <c r="Q4754" t="n">
        <v>2</v>
      </c>
      <c r="R4754" t="n">
        <v>0</v>
      </c>
      <c r="S4754" t="n">
        <v/>
      </c>
      <c r="T4754" t="inlineStr">
        <is>
          <t>15</t>
        </is>
      </c>
      <c r="U4754" t="inlineStr">
        <is>
          <t>12</t>
        </is>
      </c>
      <c r="V4754" t="n">
        <v/>
      </c>
      <c r="W4754" t="n">
        <v/>
      </c>
    </row>
    <row r="4755">
      <c r="A4755" t="inlineStr">
        <is>
          <t>16/12/2025 8:30:49</t>
        </is>
      </c>
      <c r="B4755" t="inlineStr">
        <is>
          <t>Hoàng Văn Chất</t>
        </is>
      </c>
      <c r="C4755" t="inlineStr">
        <is>
          <t>15/12/2025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18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2</v>
      </c>
      <c r="R4755" t="n">
        <v>0</v>
      </c>
      <c r="S4755" t="n">
        <v/>
      </c>
      <c r="T4755" t="inlineStr">
        <is>
          <t>15</t>
        </is>
      </c>
      <c r="U4755" t="inlineStr">
        <is>
          <t>12</t>
        </is>
      </c>
      <c r="V4755" t="n">
        <v/>
      </c>
      <c r="W4755" t="n">
        <v/>
      </c>
    </row>
    <row r="4756">
      <c r="A4756" t="inlineStr">
        <is>
          <t>16/12/2025 21:51:28</t>
        </is>
      </c>
      <c r="B4756" t="inlineStr">
        <is>
          <t>Lê Quốc Duy</t>
        </is>
      </c>
      <c r="C4756" t="inlineStr">
        <is>
          <t>16/12/2025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9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/>
      </c>
      <c r="T4756" t="inlineStr">
        <is>
          <t>16</t>
        </is>
      </c>
      <c r="U4756" t="inlineStr">
        <is>
          <t>12</t>
        </is>
      </c>
      <c r="V4756" t="n">
        <v/>
      </c>
      <c r="W4756" t="n">
        <v/>
      </c>
    </row>
    <row r="4757">
      <c r="A4757" t="inlineStr">
        <is>
          <t>17/12/2025 6:21:20</t>
        </is>
      </c>
      <c r="B4757" t="inlineStr">
        <is>
          <t>Dương Minh Tiến</t>
        </is>
      </c>
      <c r="C4757" t="inlineStr">
        <is>
          <t>16/12/2025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11</v>
      </c>
      <c r="L4757" t="n">
        <v>0</v>
      </c>
      <c r="M4757" t="n">
        <v>0</v>
      </c>
      <c r="N4757" t="n">
        <v>0</v>
      </c>
      <c r="O4757" t="n">
        <v>0</v>
      </c>
      <c r="P4757" t="n">
        <v>1</v>
      </c>
      <c r="Q4757" t="n">
        <v>1</v>
      </c>
      <c r="R4757" t="n">
        <v>1</v>
      </c>
      <c r="S4757" t="n">
        <v/>
      </c>
      <c r="T4757" t="inlineStr">
        <is>
          <t>16</t>
        </is>
      </c>
      <c r="U4757" t="inlineStr">
        <is>
          <t>12</t>
        </is>
      </c>
      <c r="V4757" t="n">
        <v/>
      </c>
      <c r="W4757" t="n">
        <v/>
      </c>
    </row>
    <row r="4758">
      <c r="A4758" t="inlineStr">
        <is>
          <t>17/12/2025 6:29:56</t>
        </is>
      </c>
      <c r="B4758" t="inlineStr">
        <is>
          <t>Phan Thành Thái</t>
        </is>
      </c>
      <c r="C4758" t="inlineStr">
        <is>
          <t>16/12/2025</t>
        </is>
      </c>
      <c r="D4758" t="n">
        <v>0</v>
      </c>
      <c r="E4758" t="n">
        <v>0</v>
      </c>
      <c r="F4758" t="n">
        <v>2</v>
      </c>
      <c r="G4758" t="n">
        <v>0</v>
      </c>
      <c r="H4758" t="n">
        <v>0</v>
      </c>
      <c r="I4758" t="n">
        <v>2</v>
      </c>
      <c r="J4758" t="n">
        <v>1</v>
      </c>
      <c r="K4758" t="n">
        <v>4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5</v>
      </c>
      <c r="R4758" t="n">
        <v>0</v>
      </c>
      <c r="S4758" t="n">
        <v/>
      </c>
      <c r="T4758" t="inlineStr">
        <is>
          <t>16</t>
        </is>
      </c>
      <c r="U4758" t="inlineStr">
        <is>
          <t>12</t>
        </is>
      </c>
      <c r="V4758" t="n">
        <v/>
      </c>
      <c r="W4758" t="n">
        <v/>
      </c>
    </row>
    <row r="4759">
      <c r="A4759" t="inlineStr">
        <is>
          <t>17/12/2025 6:37:04</t>
        </is>
      </c>
      <c r="B4759" t="inlineStr">
        <is>
          <t>Phan Ngọc Sang</t>
        </is>
      </c>
      <c r="C4759" t="inlineStr">
        <is>
          <t>16/12/2025</t>
        </is>
      </c>
      <c r="D4759" t="n">
        <v>1</v>
      </c>
      <c r="E4759" t="n">
        <v>1</v>
      </c>
      <c r="F4759" t="n">
        <v>0</v>
      </c>
      <c r="G4759" t="n">
        <v>0</v>
      </c>
      <c r="H4759" t="n">
        <v>0</v>
      </c>
      <c r="I4759" t="n">
        <v>0</v>
      </c>
      <c r="J4759" t="n">
        <v>2</v>
      </c>
      <c r="K4759" t="n">
        <v>8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2</v>
      </c>
      <c r="R4759" t="n">
        <v>0</v>
      </c>
      <c r="S4759" t="n">
        <v/>
      </c>
      <c r="T4759" t="inlineStr">
        <is>
          <t>16</t>
        </is>
      </c>
      <c r="U4759" t="inlineStr">
        <is>
          <t>12</t>
        </is>
      </c>
      <c r="V4759" t="n">
        <v/>
      </c>
      <c r="W4759" t="n">
        <v/>
      </c>
    </row>
    <row r="4760">
      <c r="A4760" t="inlineStr">
        <is>
          <t>17/12/2025 6:47:35</t>
        </is>
      </c>
      <c r="B4760" t="inlineStr">
        <is>
          <t>Lương Duy Hải</t>
        </is>
      </c>
      <c r="C4760" t="inlineStr">
        <is>
          <t>16/12/2025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10</v>
      </c>
      <c r="L4760" t="n">
        <v>0</v>
      </c>
      <c r="M4760" t="n">
        <v>0</v>
      </c>
      <c r="N4760" t="n">
        <v>0</v>
      </c>
      <c r="O4760" t="n">
        <v>1</v>
      </c>
      <c r="P4760" t="n">
        <v>2</v>
      </c>
      <c r="Q4760" t="n">
        <v>2</v>
      </c>
      <c r="R4760" t="n">
        <v>0</v>
      </c>
      <c r="S4760" t="n">
        <v/>
      </c>
      <c r="T4760" t="inlineStr">
        <is>
          <t>16</t>
        </is>
      </c>
      <c r="U4760" t="inlineStr">
        <is>
          <t>12</t>
        </is>
      </c>
      <c r="V4760" t="n">
        <v/>
      </c>
      <c r="W4760" t="n">
        <v/>
      </c>
    </row>
    <row r="4761">
      <c r="A4761" t="inlineStr">
        <is>
          <t>17/12/2025 6:54:10</t>
        </is>
      </c>
      <c r="B4761" t="inlineStr">
        <is>
          <t>Hồ Xuân Việt</t>
        </is>
      </c>
      <c r="C4761" t="inlineStr">
        <is>
          <t>16/12/2025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4</v>
      </c>
      <c r="L4761" t="n">
        <v>0</v>
      </c>
      <c r="M4761" t="n">
        <v>0</v>
      </c>
      <c r="N4761" t="n">
        <v>0</v>
      </c>
      <c r="O4761" t="n">
        <v>0</v>
      </c>
      <c r="P4761" t="n">
        <v>1</v>
      </c>
      <c r="Q4761" t="n">
        <v>1</v>
      </c>
      <c r="R4761" t="n">
        <v>0</v>
      </c>
      <c r="S4761" t="n">
        <v/>
      </c>
      <c r="T4761" t="inlineStr">
        <is>
          <t>16</t>
        </is>
      </c>
      <c r="U4761" t="inlineStr">
        <is>
          <t>12</t>
        </is>
      </c>
      <c r="V4761" t="n">
        <v/>
      </c>
      <c r="W4761" t="n">
        <v/>
      </c>
    </row>
    <row r="4762">
      <c r="A4762" t="inlineStr">
        <is>
          <t>17/12/2025 6:54:32</t>
        </is>
      </c>
      <c r="B4762" t="inlineStr">
        <is>
          <t>Nguyễn Văn Hiệp</t>
        </is>
      </c>
      <c r="C4762" t="inlineStr">
        <is>
          <t>16/12/2025</t>
        </is>
      </c>
      <c r="D4762" t="n">
        <v>1</v>
      </c>
      <c r="E4762" t="n">
        <v>1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3</v>
      </c>
      <c r="L4762" t="n">
        <v>0</v>
      </c>
      <c r="M4762" t="n">
        <v>2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/>
      </c>
      <c r="T4762" t="inlineStr">
        <is>
          <t>16</t>
        </is>
      </c>
      <c r="U4762" t="inlineStr">
        <is>
          <t>12</t>
        </is>
      </c>
      <c r="V4762" t="n">
        <v/>
      </c>
      <c r="W4762" t="n">
        <v/>
      </c>
    </row>
    <row r="4763">
      <c r="A4763" t="inlineStr">
        <is>
          <t>17/12/2025 7:03:27</t>
        </is>
      </c>
      <c r="B4763" t="inlineStr">
        <is>
          <t>Hồ Thái Minh Trí</t>
        </is>
      </c>
      <c r="C4763" t="inlineStr">
        <is>
          <t>16/12/2025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3</v>
      </c>
      <c r="J4763" t="n">
        <v>0</v>
      </c>
      <c r="K4763" t="n">
        <v>14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3</v>
      </c>
      <c r="R4763" t="n">
        <v>0</v>
      </c>
      <c r="S4763" t="n">
        <v/>
      </c>
      <c r="T4763" t="inlineStr">
        <is>
          <t>16</t>
        </is>
      </c>
      <c r="U4763" t="inlineStr">
        <is>
          <t>12</t>
        </is>
      </c>
      <c r="V4763" t="n">
        <v/>
      </c>
      <c r="W4763" t="n">
        <v/>
      </c>
    </row>
    <row r="4764">
      <c r="A4764" t="inlineStr">
        <is>
          <t>17/12/2025 7:04:43</t>
        </is>
      </c>
      <c r="B4764" t="inlineStr">
        <is>
          <t>Nguyễn Tuấn Anh</t>
        </is>
      </c>
      <c r="C4764" t="inlineStr">
        <is>
          <t>16/12/2025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4</v>
      </c>
      <c r="L4764" t="n">
        <v>12</v>
      </c>
      <c r="M4764" t="n">
        <v>0</v>
      </c>
      <c r="N4764" t="n">
        <v>1</v>
      </c>
      <c r="O4764" t="n">
        <v>0</v>
      </c>
      <c r="P4764" t="n">
        <v>1</v>
      </c>
      <c r="Q4764" t="n">
        <v>6</v>
      </c>
      <c r="R4764" t="n">
        <v>0</v>
      </c>
      <c r="S4764" t="n">
        <v/>
      </c>
      <c r="T4764" t="inlineStr">
        <is>
          <t>16</t>
        </is>
      </c>
      <c r="U4764" t="inlineStr">
        <is>
          <t>12</t>
        </is>
      </c>
      <c r="V4764" t="n">
        <v/>
      </c>
      <c r="W4764" t="n">
        <v/>
      </c>
    </row>
    <row r="4765">
      <c r="A4765" t="inlineStr">
        <is>
          <t>17/12/2025 7:04:54</t>
        </is>
      </c>
      <c r="B4765" t="inlineStr">
        <is>
          <t>Lương Duy Hoàng</t>
        </is>
      </c>
      <c r="C4765" t="inlineStr">
        <is>
          <t>16/12/2025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2</v>
      </c>
      <c r="J4765" t="n">
        <v>0</v>
      </c>
      <c r="K4765" t="n">
        <v>5</v>
      </c>
      <c r="L4765" t="n">
        <v>0</v>
      </c>
      <c r="M4765" t="n">
        <v>0</v>
      </c>
      <c r="N4765" t="n">
        <v>0</v>
      </c>
      <c r="O4765" t="n">
        <v>0</v>
      </c>
      <c r="P4765" t="n">
        <v>1</v>
      </c>
      <c r="Q4765" t="n">
        <v>2</v>
      </c>
      <c r="R4765" t="n">
        <v>0</v>
      </c>
      <c r="S4765" t="n">
        <v/>
      </c>
      <c r="T4765" t="inlineStr">
        <is>
          <t>16</t>
        </is>
      </c>
      <c r="U4765" t="inlineStr">
        <is>
          <t>12</t>
        </is>
      </c>
      <c r="V4765" t="n">
        <v/>
      </c>
      <c r="W4765" t="n">
        <v/>
      </c>
    </row>
    <row r="4766">
      <c r="A4766" t="inlineStr">
        <is>
          <t>17/12/2025 7:05:10</t>
        </is>
      </c>
      <c r="B4766" t="inlineStr">
        <is>
          <t>Nguyễn Văn Nhật</t>
        </is>
      </c>
      <c r="C4766" t="inlineStr">
        <is>
          <t>16/12/2025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/>
      </c>
      <c r="I4766" t="n">
        <v>0</v>
      </c>
      <c r="J4766" t="n">
        <v>1</v>
      </c>
      <c r="K4766" t="n">
        <v>4</v>
      </c>
      <c r="L4766" t="n">
        <v>0</v>
      </c>
      <c r="M4766" t="n">
        <v>2</v>
      </c>
      <c r="N4766" t="n">
        <v>0</v>
      </c>
      <c r="O4766" t="n">
        <v>0</v>
      </c>
      <c r="P4766" t="n">
        <v>1</v>
      </c>
      <c r="Q4766" t="n">
        <v>10</v>
      </c>
      <c r="R4766" t="n">
        <v>0</v>
      </c>
      <c r="S4766" t="n">
        <v/>
      </c>
      <c r="T4766" t="inlineStr">
        <is>
          <t>16</t>
        </is>
      </c>
      <c r="U4766" t="inlineStr">
        <is>
          <t>12</t>
        </is>
      </c>
      <c r="V4766" t="n">
        <v/>
      </c>
      <c r="W4766" t="n">
        <v/>
      </c>
    </row>
    <row r="4767">
      <c r="A4767" t="inlineStr">
        <is>
          <t>17/12/2025 7:06:21</t>
        </is>
      </c>
      <c r="B4767" t="inlineStr">
        <is>
          <t>Trần Trung Giang</t>
        </is>
      </c>
      <c r="C4767" t="inlineStr">
        <is>
          <t>16/12/2025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6</v>
      </c>
      <c r="L4767" t="n">
        <v>0</v>
      </c>
      <c r="M4767" t="n">
        <v>0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/>
      </c>
      <c r="T4767" t="inlineStr">
        <is>
          <t>16</t>
        </is>
      </c>
      <c r="U4767" t="inlineStr">
        <is>
          <t>12</t>
        </is>
      </c>
      <c r="V4767" t="n">
        <v/>
      </c>
      <c r="W4767" t="n">
        <v/>
      </c>
    </row>
    <row r="4768">
      <c r="A4768" t="inlineStr">
        <is>
          <t>17/12/2025 7:06:33</t>
        </is>
      </c>
      <c r="B4768" t="inlineStr">
        <is>
          <t>Đặng Hữu Danh</t>
        </is>
      </c>
      <c r="C4768" t="inlineStr">
        <is>
          <t>16/12/2025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10</v>
      </c>
      <c r="L4768" t="n">
        <v>0</v>
      </c>
      <c r="M4768" t="n">
        <v>0</v>
      </c>
      <c r="N4768" t="n">
        <v>0</v>
      </c>
      <c r="O4768" t="n">
        <v>0</v>
      </c>
      <c r="P4768" t="n">
        <v>1</v>
      </c>
      <c r="Q4768" t="n">
        <v>2</v>
      </c>
      <c r="R4768" t="n">
        <v>1</v>
      </c>
      <c r="S4768" t="n">
        <v/>
      </c>
      <c r="T4768" t="inlineStr">
        <is>
          <t>16</t>
        </is>
      </c>
      <c r="U4768" t="inlineStr">
        <is>
          <t>12</t>
        </is>
      </c>
      <c r="V4768" t="n">
        <v/>
      </c>
      <c r="W4768" t="n">
        <v/>
      </c>
    </row>
    <row r="4769">
      <c r="A4769" t="inlineStr">
        <is>
          <t>17/12/2025 7:07:15</t>
        </is>
      </c>
      <c r="B4769" t="inlineStr">
        <is>
          <t>Nguyễn Quang Anh Tuấn</t>
        </is>
      </c>
      <c r="C4769" t="inlineStr">
        <is>
          <t>16/12/2025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2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/>
      </c>
      <c r="T4769" t="inlineStr">
        <is>
          <t>16</t>
        </is>
      </c>
      <c r="U4769" t="inlineStr">
        <is>
          <t>12</t>
        </is>
      </c>
      <c r="V4769" t="n">
        <v/>
      </c>
      <c r="W4769" t="n">
        <v/>
      </c>
    </row>
    <row r="4770">
      <c r="A4770" t="inlineStr">
        <is>
          <t>17/12/2025 7:07:19</t>
        </is>
      </c>
      <c r="B4770" t="inlineStr">
        <is>
          <t>Vòng Nhật Sang</t>
        </is>
      </c>
      <c r="C4770" t="inlineStr">
        <is>
          <t>16/12/2025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17</v>
      </c>
      <c r="L4770" t="n">
        <v>0</v>
      </c>
      <c r="M4770" t="n">
        <v>0</v>
      </c>
      <c r="N4770" t="n">
        <v>0</v>
      </c>
      <c r="O4770" t="n">
        <v>0</v>
      </c>
      <c r="P4770" t="n">
        <v>1</v>
      </c>
      <c r="Q4770" t="n">
        <v>2</v>
      </c>
      <c r="R4770" t="n">
        <v>0</v>
      </c>
      <c r="S4770" t="n">
        <v/>
      </c>
      <c r="T4770" t="inlineStr">
        <is>
          <t>16</t>
        </is>
      </c>
      <c r="U4770" t="inlineStr">
        <is>
          <t>12</t>
        </is>
      </c>
      <c r="V4770" t="n">
        <v/>
      </c>
      <c r="W4770" t="n">
        <v/>
      </c>
    </row>
    <row r="4771">
      <c r="A4771" t="inlineStr">
        <is>
          <t>17/12/2025 7:07:26</t>
        </is>
      </c>
      <c r="B4771" t="inlineStr">
        <is>
          <t>Đặng Hoài Anh</t>
        </is>
      </c>
      <c r="C4771" t="inlineStr">
        <is>
          <t>16/12/2025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/>
      </c>
      <c r="T4771" t="inlineStr">
        <is>
          <t>16</t>
        </is>
      </c>
      <c r="U4771" t="inlineStr">
        <is>
          <t>12</t>
        </is>
      </c>
      <c r="V4771" t="n">
        <v/>
      </c>
      <c r="W4771" t="n">
        <v/>
      </c>
    </row>
    <row r="4772">
      <c r="A4772" t="inlineStr">
        <is>
          <t>17/12/2025 7:08:10</t>
        </is>
      </c>
      <c r="B4772" t="inlineStr">
        <is>
          <t>Nguyễn Thành Lâm</t>
        </is>
      </c>
      <c r="C4772" t="inlineStr">
        <is>
          <t>16/12/2025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12</v>
      </c>
      <c r="K4772" t="n">
        <v>4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5</v>
      </c>
      <c r="R4772" t="n">
        <v>0</v>
      </c>
      <c r="S4772" t="n">
        <v/>
      </c>
      <c r="T4772" t="inlineStr">
        <is>
          <t>16</t>
        </is>
      </c>
      <c r="U4772" t="inlineStr">
        <is>
          <t>12</t>
        </is>
      </c>
      <c r="V4772" t="n">
        <v/>
      </c>
      <c r="W4772" t="n">
        <v/>
      </c>
    </row>
    <row r="4773">
      <c r="A4773" t="inlineStr">
        <is>
          <t>17/12/2025 7:08:29</t>
        </is>
      </c>
      <c r="B4773" t="inlineStr">
        <is>
          <t>Hoàng Văn Chất</t>
        </is>
      </c>
      <c r="C4773" t="inlineStr">
        <is>
          <t>16/12/2025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16</v>
      </c>
      <c r="L4773" t="n">
        <v>3</v>
      </c>
      <c r="M4773" t="n">
        <v>1</v>
      </c>
      <c r="N4773" t="n">
        <v>0</v>
      </c>
      <c r="O4773" t="n">
        <v>0</v>
      </c>
      <c r="P4773" t="n">
        <v>0</v>
      </c>
      <c r="Q4773" t="n">
        <v>2</v>
      </c>
      <c r="R4773" t="n">
        <v>0</v>
      </c>
      <c r="S4773" t="n">
        <v/>
      </c>
      <c r="T4773" t="inlineStr">
        <is>
          <t>16</t>
        </is>
      </c>
      <c r="U4773" t="inlineStr">
        <is>
          <t>12</t>
        </is>
      </c>
      <c r="V4773" t="n">
        <v/>
      </c>
      <c r="W4773" t="n">
        <v/>
      </c>
    </row>
    <row r="4774">
      <c r="A4774" t="inlineStr">
        <is>
          <t>17/12/2025 7:12:26</t>
        </is>
      </c>
      <c r="B4774" t="inlineStr">
        <is>
          <t>Đào Công Trung</t>
        </is>
      </c>
      <c r="C4774" t="inlineStr">
        <is>
          <t>16/12/2025</t>
        </is>
      </c>
      <c r="D4774" t="n">
        <v>1</v>
      </c>
      <c r="E4774" t="n">
        <v>1</v>
      </c>
      <c r="F4774" t="n">
        <v>1</v>
      </c>
      <c r="G4774" t="n">
        <v>0</v>
      </c>
      <c r="H4774" t="n">
        <v>0</v>
      </c>
      <c r="I4774" t="n">
        <v>1</v>
      </c>
      <c r="J4774" t="n">
        <v>0</v>
      </c>
      <c r="K4774" t="n">
        <v>10</v>
      </c>
      <c r="L4774" t="n">
        <v>0</v>
      </c>
      <c r="M4774" t="n">
        <v>1</v>
      </c>
      <c r="N4774" t="n">
        <v>1</v>
      </c>
      <c r="O4774" t="n">
        <v>1</v>
      </c>
      <c r="P4774" t="n">
        <v>0</v>
      </c>
      <c r="Q4774" t="n">
        <v>2</v>
      </c>
      <c r="R4774" t="n">
        <v>0</v>
      </c>
      <c r="S4774" t="n">
        <v/>
      </c>
      <c r="T4774" t="inlineStr">
        <is>
          <t>16</t>
        </is>
      </c>
      <c r="U4774" t="inlineStr">
        <is>
          <t>12</t>
        </is>
      </c>
      <c r="V4774" t="n">
        <v/>
      </c>
      <c r="W4774" t="n">
        <v/>
      </c>
    </row>
    <row r="4775">
      <c r="A4775" t="inlineStr">
        <is>
          <t>17/12/2025 7:31:25</t>
        </is>
      </c>
      <c r="B4775" t="inlineStr">
        <is>
          <t>Bùi Duy Cường</t>
        </is>
      </c>
      <c r="C4775" t="inlineStr">
        <is>
          <t>16/12/2025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1</v>
      </c>
      <c r="K4775" t="n">
        <v>12</v>
      </c>
      <c r="L4775" t="n">
        <v>0</v>
      </c>
      <c r="M4775" t="n">
        <v>1</v>
      </c>
      <c r="N4775" t="n">
        <v>1</v>
      </c>
      <c r="O4775" t="n">
        <v>0</v>
      </c>
      <c r="P4775" t="n">
        <v>0</v>
      </c>
      <c r="Q4775" t="n">
        <v>1</v>
      </c>
      <c r="R4775" t="n">
        <v>0</v>
      </c>
      <c r="S4775" t="n">
        <v/>
      </c>
      <c r="T4775" t="inlineStr">
        <is>
          <t>16</t>
        </is>
      </c>
      <c r="U4775" t="inlineStr">
        <is>
          <t>12</t>
        </is>
      </c>
      <c r="V4775" t="n">
        <v/>
      </c>
      <c r="W4775" t="n">
        <v/>
      </c>
    </row>
    <row r="4776">
      <c r="A4776" t="inlineStr">
        <is>
          <t>17/12/2025 7:32:57</t>
        </is>
      </c>
      <c r="B4776" t="inlineStr">
        <is>
          <t>Trần Xuân Khoa</t>
        </is>
      </c>
      <c r="C4776" t="inlineStr">
        <is>
          <t>16/12/2025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4</v>
      </c>
      <c r="L4776" t="n">
        <v>0</v>
      </c>
      <c r="M4776" t="n">
        <v>0</v>
      </c>
      <c r="N4776" t="n">
        <v>0</v>
      </c>
      <c r="O4776" t="n">
        <v>0</v>
      </c>
      <c r="P4776" t="n">
        <v>1</v>
      </c>
      <c r="Q4776" t="n">
        <v>4</v>
      </c>
      <c r="R4776" t="n">
        <v>0</v>
      </c>
      <c r="S4776" t="n">
        <v/>
      </c>
      <c r="T4776" t="inlineStr">
        <is>
          <t>16</t>
        </is>
      </c>
      <c r="U4776" t="inlineStr">
        <is>
          <t>12</t>
        </is>
      </c>
      <c r="V4776" t="n">
        <v/>
      </c>
      <c r="W4776" t="n">
        <v/>
      </c>
    </row>
    <row r="4777">
      <c r="A4777" t="inlineStr">
        <is>
          <t>17/12/2025 7:37:29</t>
        </is>
      </c>
      <c r="B4777" t="inlineStr">
        <is>
          <t>Nguyễn Hồng Minh</t>
        </is>
      </c>
      <c r="C4777" t="inlineStr">
        <is>
          <t>16/12/2025</t>
        </is>
      </c>
      <c r="D4777" t="n">
        <v>0</v>
      </c>
      <c r="E4777" t="n">
        <v>0</v>
      </c>
      <c r="F4777" t="n">
        <v>0</v>
      </c>
      <c r="G4777" t="n">
        <v>2</v>
      </c>
      <c r="H4777" t="n">
        <v>2</v>
      </c>
      <c r="I4777" t="n">
        <v>0</v>
      </c>
      <c r="J4777" t="n">
        <v>0</v>
      </c>
      <c r="K4777" t="n">
        <v>11</v>
      </c>
      <c r="L4777" t="n">
        <v>0</v>
      </c>
      <c r="M4777" t="n">
        <v>0</v>
      </c>
      <c r="N4777" t="n">
        <v>0</v>
      </c>
      <c r="O4777" t="n">
        <v>0</v>
      </c>
      <c r="P4777" t="n">
        <v>2</v>
      </c>
      <c r="Q4777" t="n">
        <v>4</v>
      </c>
      <c r="R4777" t="n">
        <v>1</v>
      </c>
      <c r="S4777" t="n">
        <v/>
      </c>
      <c r="T4777" t="inlineStr">
        <is>
          <t>16</t>
        </is>
      </c>
      <c r="U4777" t="inlineStr">
        <is>
          <t>12</t>
        </is>
      </c>
      <c r="V4777" t="n">
        <v/>
      </c>
      <c r="W4777" t="n">
        <v/>
      </c>
    </row>
    <row r="4778">
      <c r="A4778" t="inlineStr">
        <is>
          <t>17/12/2025 7:45:36</t>
        </is>
      </c>
      <c r="B4778" t="inlineStr">
        <is>
          <t>Trần Minh Khánh</t>
        </is>
      </c>
      <c r="C4778" t="inlineStr">
        <is>
          <t>16/12/2025</t>
        </is>
      </c>
      <c r="D4778" t="n">
        <v>0</v>
      </c>
      <c r="E4778" t="n">
        <v>0</v>
      </c>
      <c r="F4778" t="n">
        <v>0</v>
      </c>
      <c r="G4778" t="n">
        <v>1</v>
      </c>
      <c r="H4778" t="n">
        <v>0</v>
      </c>
      <c r="I4778" t="n">
        <v>2</v>
      </c>
      <c r="J4778" t="n">
        <v>0</v>
      </c>
      <c r="K4778" t="n">
        <v>5</v>
      </c>
      <c r="L4778" t="n">
        <v>0</v>
      </c>
      <c r="M4778" t="n">
        <v>0</v>
      </c>
      <c r="N4778" t="n">
        <v>4</v>
      </c>
      <c r="O4778" t="n">
        <v>1</v>
      </c>
      <c r="P4778" t="n">
        <v>0</v>
      </c>
      <c r="Q4778" t="n">
        <v>2</v>
      </c>
      <c r="R4778" t="n">
        <v>0</v>
      </c>
      <c r="S4778" t="n">
        <v/>
      </c>
      <c r="T4778" t="inlineStr">
        <is>
          <t>16</t>
        </is>
      </c>
      <c r="U4778" t="inlineStr">
        <is>
          <t>12</t>
        </is>
      </c>
      <c r="V4778" t="n">
        <v/>
      </c>
      <c r="W4778" t="n">
        <v/>
      </c>
    </row>
    <row r="4779">
      <c r="A4779" t="inlineStr">
        <is>
          <t>17/12/2025 7:51:33</t>
        </is>
      </c>
      <c r="B4779" t="inlineStr">
        <is>
          <t>Lê Văn Hồng</t>
        </is>
      </c>
      <c r="C4779" t="inlineStr">
        <is>
          <t>16/12/2025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7</v>
      </c>
      <c r="L4779" t="n">
        <v>0</v>
      </c>
      <c r="M4779" t="n">
        <v>0</v>
      </c>
      <c r="N4779" t="n">
        <v>0</v>
      </c>
      <c r="O4779" t="n">
        <v>0</v>
      </c>
      <c r="P4779" t="n">
        <v>2</v>
      </c>
      <c r="Q4779" t="n">
        <v>3</v>
      </c>
      <c r="R4779" t="n">
        <v>0</v>
      </c>
      <c r="S4779" t="n">
        <v/>
      </c>
      <c r="T4779" t="inlineStr">
        <is>
          <t>16</t>
        </is>
      </c>
      <c r="U4779" t="inlineStr">
        <is>
          <t>12</t>
        </is>
      </c>
      <c r="V4779" t="n">
        <v/>
      </c>
      <c r="W4779" t="n">
        <v/>
      </c>
    </row>
    <row r="4780">
      <c r="A4780" t="inlineStr">
        <is>
          <t>17/12/2025 8:08:17</t>
        </is>
      </c>
      <c r="B4780" t="inlineStr">
        <is>
          <t>Lê Hồng Phong</t>
        </is>
      </c>
      <c r="C4780" t="inlineStr">
        <is>
          <t>17/12/2025</t>
        </is>
      </c>
      <c r="D4780" t="n">
        <v>1</v>
      </c>
      <c r="E4780" t="n">
        <v>1</v>
      </c>
      <c r="F4780" t="n">
        <v>1</v>
      </c>
      <c r="G4780" t="n">
        <v>0</v>
      </c>
      <c r="H4780" t="n">
        <v>0</v>
      </c>
      <c r="I4780" t="n">
        <v>1</v>
      </c>
      <c r="J4780" t="n">
        <v>1</v>
      </c>
      <c r="K4780" t="n">
        <v>1</v>
      </c>
      <c r="L4780" t="n">
        <v>1</v>
      </c>
      <c r="M4780" t="n">
        <v>1</v>
      </c>
      <c r="N4780" t="n">
        <v>1</v>
      </c>
      <c r="O4780" t="n">
        <v>1</v>
      </c>
      <c r="P4780" t="n">
        <v>1</v>
      </c>
      <c r="Q4780" t="n">
        <v>1</v>
      </c>
      <c r="R4780" t="n">
        <v>1</v>
      </c>
      <c r="S4780" t="n">
        <v/>
      </c>
      <c r="T4780" t="inlineStr">
        <is>
          <t>17</t>
        </is>
      </c>
      <c r="U4780" t="inlineStr">
        <is>
          <t>12</t>
        </is>
      </c>
      <c r="V4780" t="n">
        <v/>
      </c>
      <c r="W4780" t="n">
        <v/>
      </c>
    </row>
    <row r="4781">
      <c r="A4781" t="inlineStr">
        <is>
          <t>18/12/2025 6:11:48</t>
        </is>
      </c>
      <c r="B4781" t="inlineStr">
        <is>
          <t>Lê Quốc Duy</t>
        </is>
      </c>
      <c r="C4781" t="inlineStr">
        <is>
          <t>17/12/2025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7</v>
      </c>
      <c r="L4781" t="n">
        <v>0</v>
      </c>
      <c r="M4781" t="n">
        <v>0</v>
      </c>
      <c r="N4781" t="n">
        <v>0</v>
      </c>
      <c r="O4781" t="n">
        <v>0</v>
      </c>
      <c r="P4781" t="n">
        <v>1</v>
      </c>
      <c r="Q4781" t="n">
        <v>1</v>
      </c>
      <c r="R4781" t="n">
        <v>1</v>
      </c>
      <c r="S4781" t="n">
        <v/>
      </c>
      <c r="T4781" t="inlineStr">
        <is>
          <t>17</t>
        </is>
      </c>
      <c r="U4781" t="inlineStr">
        <is>
          <t>12</t>
        </is>
      </c>
      <c r="V4781" t="n">
        <v/>
      </c>
      <c r="W4781" t="n">
        <v/>
      </c>
    </row>
    <row r="4782">
      <c r="A4782" t="inlineStr">
        <is>
          <t>18/12/2025 6:27:12</t>
        </is>
      </c>
      <c r="B4782" t="inlineStr">
        <is>
          <t>Phan Thành Thái</t>
        </is>
      </c>
      <c r="C4782" t="inlineStr">
        <is>
          <t>17/12/2025</t>
        </is>
      </c>
      <c r="D4782" t="n">
        <v>0</v>
      </c>
      <c r="E4782" t="n">
        <v>0</v>
      </c>
      <c r="F4782" t="n">
        <v>2</v>
      </c>
      <c r="G4782" t="n">
        <v>0</v>
      </c>
      <c r="H4782" t="n">
        <v>0</v>
      </c>
      <c r="I4782" t="n">
        <v>3</v>
      </c>
      <c r="J4782" t="n">
        <v>0</v>
      </c>
      <c r="K4782" t="n">
        <v>4</v>
      </c>
      <c r="L4782" t="n">
        <v>2</v>
      </c>
      <c r="M4782" t="n">
        <v>0</v>
      </c>
      <c r="N4782" t="n">
        <v>1</v>
      </c>
      <c r="O4782" t="n">
        <v>0</v>
      </c>
      <c r="P4782" t="n">
        <v>0</v>
      </c>
      <c r="Q4782" t="n">
        <v>4</v>
      </c>
      <c r="R4782" t="n">
        <v>2</v>
      </c>
      <c r="S4782" t="n">
        <v/>
      </c>
      <c r="T4782" t="inlineStr">
        <is>
          <t>17</t>
        </is>
      </c>
      <c r="U4782" t="inlineStr">
        <is>
          <t>12</t>
        </is>
      </c>
      <c r="V4782" t="n">
        <v/>
      </c>
      <c r="W4782" t="n">
        <v/>
      </c>
    </row>
    <row r="4783">
      <c r="A4783" t="inlineStr">
        <is>
          <t>18/12/2025 6:51:07</t>
        </is>
      </c>
      <c r="B4783" t="inlineStr">
        <is>
          <t>Dương Minh Tiến</t>
        </is>
      </c>
      <c r="C4783" t="inlineStr">
        <is>
          <t>17/12/2025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23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/>
      </c>
      <c r="T4783" t="inlineStr">
        <is>
          <t>17</t>
        </is>
      </c>
      <c r="U4783" t="inlineStr">
        <is>
          <t>12</t>
        </is>
      </c>
      <c r="V4783" t="n">
        <v/>
      </c>
      <c r="W4783" t="n">
        <v/>
      </c>
    </row>
    <row r="4784">
      <c r="A4784" t="inlineStr">
        <is>
          <t>18/12/2025 6:57:12</t>
        </is>
      </c>
      <c r="B4784" t="inlineStr">
        <is>
          <t>Huỳnh Văn Lực</t>
        </is>
      </c>
      <c r="C4784" t="inlineStr">
        <is>
          <t>17/12/2025</t>
        </is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3</v>
      </c>
      <c r="L4784" t="n">
        <v>0</v>
      </c>
      <c r="M4784" t="n">
        <v>1</v>
      </c>
      <c r="N4784" t="n">
        <v>0</v>
      </c>
      <c r="O4784" t="n">
        <v>0</v>
      </c>
      <c r="P4784" t="n">
        <v>2</v>
      </c>
      <c r="Q4784" t="n">
        <v>3</v>
      </c>
      <c r="R4784" t="n">
        <v>0</v>
      </c>
      <c r="S4784" t="n">
        <v/>
      </c>
      <c r="T4784" t="inlineStr">
        <is>
          <t>17</t>
        </is>
      </c>
      <c r="U4784" t="inlineStr">
        <is>
          <t>12</t>
        </is>
      </c>
      <c r="V4784" t="n">
        <v/>
      </c>
      <c r="W4784" t="n">
        <v/>
      </c>
    </row>
    <row r="4785">
      <c r="A4785" t="inlineStr">
        <is>
          <t>18/12/2025 6:59:38</t>
        </is>
      </c>
      <c r="B4785" t="inlineStr">
        <is>
          <t>Nguyễn Văn Hiệp</t>
        </is>
      </c>
      <c r="C4785" t="inlineStr">
        <is>
          <t>17/12/2025</t>
        </is>
      </c>
      <c r="D4785" t="n">
        <v>0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6</v>
      </c>
      <c r="L4785" t="n">
        <v>0</v>
      </c>
      <c r="M4785" t="n">
        <v>0</v>
      </c>
      <c r="N4785" t="n">
        <v>0</v>
      </c>
      <c r="O4785" t="n">
        <v>9</v>
      </c>
      <c r="P4785" t="n">
        <v>2</v>
      </c>
      <c r="Q4785" t="n">
        <v>0</v>
      </c>
      <c r="R4785" t="n">
        <v>0</v>
      </c>
      <c r="S4785" t="n">
        <v/>
      </c>
      <c r="T4785" t="inlineStr">
        <is>
          <t>17</t>
        </is>
      </c>
      <c r="U4785" t="inlineStr">
        <is>
          <t>12</t>
        </is>
      </c>
      <c r="V4785" t="n">
        <v/>
      </c>
      <c r="W4785" t="n">
        <v/>
      </c>
    </row>
    <row r="4786">
      <c r="A4786" t="inlineStr">
        <is>
          <t>18/12/2025 7:02:20</t>
        </is>
      </c>
      <c r="B4786" t="inlineStr">
        <is>
          <t>Đặng Hoài Anh</t>
        </is>
      </c>
      <c r="C4786" t="inlineStr">
        <is>
          <t>17/12/2025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7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/>
      </c>
      <c r="T4786" t="inlineStr">
        <is>
          <t>17</t>
        </is>
      </c>
      <c r="U4786" t="inlineStr">
        <is>
          <t>12</t>
        </is>
      </c>
      <c r="V4786" t="n">
        <v/>
      </c>
      <c r="W4786" t="n">
        <v/>
      </c>
    </row>
    <row r="4787">
      <c r="A4787" t="inlineStr">
        <is>
          <t>18/12/2025 7:04:37</t>
        </is>
      </c>
      <c r="B4787" t="inlineStr">
        <is>
          <t>Nguyễn Tuấn Anh</t>
        </is>
      </c>
      <c r="C4787" t="inlineStr">
        <is>
          <t>17/12/2025</t>
        </is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5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2</v>
      </c>
      <c r="R4787" t="n">
        <v>0</v>
      </c>
      <c r="S4787" t="n">
        <v/>
      </c>
      <c r="T4787" t="inlineStr">
        <is>
          <t>17</t>
        </is>
      </c>
      <c r="U4787" t="inlineStr">
        <is>
          <t>12</t>
        </is>
      </c>
      <c r="V4787" t="n">
        <v/>
      </c>
      <c r="W4787" t="n">
        <v/>
      </c>
    </row>
    <row r="4788">
      <c r="A4788" t="inlineStr">
        <is>
          <t>18/12/2025 7:05:05</t>
        </is>
      </c>
      <c r="B4788" t="inlineStr">
        <is>
          <t>Hồ Xuân Việt</t>
        </is>
      </c>
      <c r="C4788" t="inlineStr">
        <is>
          <t>17/12/2025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4</v>
      </c>
      <c r="L4788" t="n">
        <v>0</v>
      </c>
      <c r="M4788" t="n">
        <v>0</v>
      </c>
      <c r="N4788" t="n">
        <v>0</v>
      </c>
      <c r="O4788" t="n">
        <v>0</v>
      </c>
      <c r="P4788" t="n">
        <v>1</v>
      </c>
      <c r="Q4788" t="n">
        <v>1</v>
      </c>
      <c r="R4788" t="n">
        <v>0</v>
      </c>
      <c r="S4788" t="n">
        <v/>
      </c>
      <c r="T4788" t="inlineStr">
        <is>
          <t>17</t>
        </is>
      </c>
      <c r="U4788" t="inlineStr">
        <is>
          <t>12</t>
        </is>
      </c>
      <c r="V4788" t="n">
        <v/>
      </c>
      <c r="W4788" t="n">
        <v/>
      </c>
    </row>
    <row r="4789">
      <c r="A4789" t="inlineStr">
        <is>
          <t>18/12/2025 7:06:49</t>
        </is>
      </c>
      <c r="B4789" t="inlineStr">
        <is>
          <t>Vòng Nhật Sang</t>
        </is>
      </c>
      <c r="C4789" t="inlineStr">
        <is>
          <t>17/12/2025</t>
        </is>
      </c>
      <c r="D4789" t="n">
        <v>0</v>
      </c>
      <c r="E4789" t="n">
        <v>0</v>
      </c>
      <c r="F4789" t="n">
        <v>0</v>
      </c>
      <c r="G4789" t="n">
        <v>1</v>
      </c>
      <c r="H4789" t="n">
        <v>1</v>
      </c>
      <c r="I4789" t="n">
        <v>0</v>
      </c>
      <c r="J4789" t="n">
        <v>0</v>
      </c>
      <c r="K4789" t="n">
        <v>20</v>
      </c>
      <c r="L4789" t="n">
        <v>0</v>
      </c>
      <c r="M4789" t="n">
        <v>0</v>
      </c>
      <c r="N4789" t="n">
        <v>0</v>
      </c>
      <c r="O4789" t="n">
        <v>0</v>
      </c>
      <c r="P4789" t="n">
        <v>1</v>
      </c>
      <c r="Q4789" t="n">
        <v>2</v>
      </c>
      <c r="R4789" t="n">
        <v>0</v>
      </c>
      <c r="S4789" t="n">
        <v/>
      </c>
      <c r="T4789" t="inlineStr">
        <is>
          <t>17</t>
        </is>
      </c>
      <c r="U4789" t="inlineStr">
        <is>
          <t>12</t>
        </is>
      </c>
      <c r="V4789" t="n">
        <v/>
      </c>
      <c r="W4789" t="n">
        <v/>
      </c>
    </row>
    <row r="4790">
      <c r="A4790" t="inlineStr">
        <is>
          <t>18/12/2025 7:07:31</t>
        </is>
      </c>
      <c r="B4790" t="inlineStr">
        <is>
          <t>Hồ Thái Minh Trí</t>
        </is>
      </c>
      <c r="C4790" t="inlineStr">
        <is>
          <t>17/12/2025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3</v>
      </c>
      <c r="K4790" t="n">
        <v>6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3</v>
      </c>
      <c r="R4790" t="n">
        <v>0</v>
      </c>
      <c r="S4790" t="n">
        <v/>
      </c>
      <c r="T4790" t="inlineStr">
        <is>
          <t>17</t>
        </is>
      </c>
      <c r="U4790" t="inlineStr">
        <is>
          <t>12</t>
        </is>
      </c>
      <c r="V4790" t="n">
        <v/>
      </c>
      <c r="W4790" t="n">
        <v/>
      </c>
    </row>
    <row r="4791">
      <c r="A4791" t="inlineStr">
        <is>
          <t>18/12/2025 7:07:47</t>
        </is>
      </c>
      <c r="B4791" t="inlineStr">
        <is>
          <t>Trần Trung Giang</t>
        </is>
      </c>
      <c r="C4791" t="inlineStr">
        <is>
          <t>17/12/2025</t>
        </is>
      </c>
      <c r="D4791" t="n">
        <v>0</v>
      </c>
      <c r="E4791" t="n">
        <v>0</v>
      </c>
      <c r="F4791" t="n">
        <v>0</v>
      </c>
      <c r="G4791" t="n">
        <v>1</v>
      </c>
      <c r="H4791" t="n">
        <v>1</v>
      </c>
      <c r="I4791" t="n">
        <v>0</v>
      </c>
      <c r="J4791" t="n">
        <v>0</v>
      </c>
      <c r="K4791" t="n">
        <v>4</v>
      </c>
      <c r="L4791" t="n">
        <v>0</v>
      </c>
      <c r="M4791" t="n">
        <v>0</v>
      </c>
      <c r="N4791" t="n">
        <v>0</v>
      </c>
      <c r="O4791" t="n">
        <v>0</v>
      </c>
      <c r="P4791" t="n">
        <v>2</v>
      </c>
      <c r="Q4791" t="n">
        <v>1</v>
      </c>
      <c r="R4791" t="n">
        <v>0</v>
      </c>
      <c r="S4791" t="n">
        <v/>
      </c>
      <c r="T4791" t="inlineStr">
        <is>
          <t>17</t>
        </is>
      </c>
      <c r="U4791" t="inlineStr">
        <is>
          <t>12</t>
        </is>
      </c>
      <c r="V4791" t="n">
        <v/>
      </c>
      <c r="W4791" t="n">
        <v/>
      </c>
    </row>
    <row r="4792">
      <c r="A4792" t="inlineStr">
        <is>
          <t>18/12/2025 7:09:26</t>
        </is>
      </c>
      <c r="B4792" t="inlineStr">
        <is>
          <t>Nguyễn Quang Anh Tuấn</t>
        </is>
      </c>
      <c r="C4792" t="inlineStr">
        <is>
          <t>17/12/2025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4</v>
      </c>
      <c r="L4792" t="n">
        <v>0</v>
      </c>
      <c r="M4792" t="n">
        <v>0</v>
      </c>
      <c r="N4792" t="n">
        <v>0</v>
      </c>
      <c r="O4792" t="n">
        <v>0</v>
      </c>
      <c r="P4792" t="n">
        <v>1</v>
      </c>
      <c r="Q4792" t="n">
        <v>1</v>
      </c>
      <c r="R4792" t="n">
        <v>0</v>
      </c>
      <c r="S4792" t="n">
        <v/>
      </c>
      <c r="T4792" t="inlineStr">
        <is>
          <t>17</t>
        </is>
      </c>
      <c r="U4792" t="inlineStr">
        <is>
          <t>12</t>
        </is>
      </c>
      <c r="V4792" t="n">
        <v/>
      </c>
      <c r="W4792" t="n">
        <v/>
      </c>
    </row>
    <row r="4793">
      <c r="A4793" t="inlineStr">
        <is>
          <t>18/12/2025 7:10:10</t>
        </is>
      </c>
      <c r="B4793" t="inlineStr">
        <is>
          <t>Nguyễn Thành Lâm</t>
        </is>
      </c>
      <c r="C4793" t="inlineStr">
        <is>
          <t>17/12/2025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2</v>
      </c>
      <c r="K4793" t="n">
        <v>8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/>
      </c>
      <c r="T4793" t="inlineStr">
        <is>
          <t>17</t>
        </is>
      </c>
      <c r="U4793" t="inlineStr">
        <is>
          <t>12</t>
        </is>
      </c>
      <c r="V4793" t="n">
        <v/>
      </c>
      <c r="W4793" t="n">
        <v/>
      </c>
    </row>
    <row r="4794">
      <c r="A4794" t="inlineStr">
        <is>
          <t>18/12/2025 7:10:25</t>
        </is>
      </c>
      <c r="B4794" t="inlineStr">
        <is>
          <t>Lương Duy Hoàng</t>
        </is>
      </c>
      <c r="C4794" t="inlineStr">
        <is>
          <t>17/12/2025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2</v>
      </c>
      <c r="J4794" t="n">
        <v>0</v>
      </c>
      <c r="K4794" t="n">
        <v>4</v>
      </c>
      <c r="L4794" t="n">
        <v>0</v>
      </c>
      <c r="M4794" t="n">
        <v>0</v>
      </c>
      <c r="N4794" t="n">
        <v>0</v>
      </c>
      <c r="O4794" t="n">
        <v>0</v>
      </c>
      <c r="P4794" t="n">
        <v>1</v>
      </c>
      <c r="Q4794" t="n">
        <v>2</v>
      </c>
      <c r="R4794" t="n">
        <v>0</v>
      </c>
      <c r="S4794" t="n">
        <v/>
      </c>
      <c r="T4794" t="inlineStr">
        <is>
          <t>17</t>
        </is>
      </c>
      <c r="U4794" t="inlineStr">
        <is>
          <t>12</t>
        </is>
      </c>
      <c r="V4794" t="n">
        <v/>
      </c>
      <c r="W4794" t="n">
        <v/>
      </c>
    </row>
    <row r="4795">
      <c r="A4795" t="inlineStr">
        <is>
          <t>18/12/2025 7:15:20</t>
        </is>
      </c>
      <c r="B4795" t="inlineStr">
        <is>
          <t>Phan Ngọc Sang</t>
        </is>
      </c>
      <c r="C4795" t="inlineStr">
        <is>
          <t>17/12/2025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2</v>
      </c>
      <c r="K4795" t="n">
        <v>6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/>
      </c>
      <c r="T4795" t="inlineStr">
        <is>
          <t>17</t>
        </is>
      </c>
      <c r="U4795" t="inlineStr">
        <is>
          <t>12</t>
        </is>
      </c>
      <c r="V4795" t="n">
        <v/>
      </c>
      <c r="W4795" t="n">
        <v/>
      </c>
    </row>
    <row r="4796">
      <c r="A4796" t="inlineStr">
        <is>
          <t>18/12/2025 7:16:36</t>
        </is>
      </c>
      <c r="B4796" t="inlineStr">
        <is>
          <t>Nguyễn Hồng Minh</t>
        </is>
      </c>
      <c r="C4796" t="inlineStr">
        <is>
          <t>17/12/2025</t>
        </is>
      </c>
      <c r="D4796" t="n">
        <v>1</v>
      </c>
      <c r="E4796" t="n">
        <v>1</v>
      </c>
      <c r="F4796" t="n">
        <v>0</v>
      </c>
      <c r="G4796" t="n">
        <v>0</v>
      </c>
      <c r="H4796" t="n">
        <v>0</v>
      </c>
      <c r="I4796" t="n">
        <v>2</v>
      </c>
      <c r="J4796" t="n">
        <v>0</v>
      </c>
      <c r="K4796" t="n">
        <v>6</v>
      </c>
      <c r="L4796" t="n">
        <v>0</v>
      </c>
      <c r="M4796" t="n">
        <v>0</v>
      </c>
      <c r="N4796" t="n">
        <v>0</v>
      </c>
      <c r="O4796" t="n">
        <v>0</v>
      </c>
      <c r="P4796" t="n">
        <v>2</v>
      </c>
      <c r="Q4796" t="n">
        <v>5</v>
      </c>
      <c r="R4796" t="n">
        <v>0</v>
      </c>
      <c r="S4796" t="n">
        <v/>
      </c>
      <c r="T4796" t="inlineStr">
        <is>
          <t>17</t>
        </is>
      </c>
      <c r="U4796" t="inlineStr">
        <is>
          <t>12</t>
        </is>
      </c>
      <c r="V4796" t="n">
        <v/>
      </c>
      <c r="W4796" t="n">
        <v/>
      </c>
    </row>
    <row r="4797">
      <c r="A4797" t="inlineStr">
        <is>
          <t>18/12/2025 7:21:21</t>
        </is>
      </c>
      <c r="B4797" t="inlineStr">
        <is>
          <t>Đào Công Trung</t>
        </is>
      </c>
      <c r="C4797" t="inlineStr">
        <is>
          <t>17/12/2025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10</v>
      </c>
      <c r="L4797" t="n">
        <v>2</v>
      </c>
      <c r="M4797" t="n">
        <v>0</v>
      </c>
      <c r="N4797" t="n">
        <v>0</v>
      </c>
      <c r="O4797" t="n">
        <v>0</v>
      </c>
      <c r="P4797" t="n">
        <v>0</v>
      </c>
      <c r="Q4797" t="n">
        <v>3</v>
      </c>
      <c r="R4797" t="n">
        <v>0</v>
      </c>
      <c r="S4797" t="n">
        <v/>
      </c>
      <c r="T4797" t="inlineStr">
        <is>
          <t>17</t>
        </is>
      </c>
      <c r="U4797" t="inlineStr">
        <is>
          <t>12</t>
        </is>
      </c>
      <c r="V4797" t="n">
        <v/>
      </c>
      <c r="W4797" t="n">
        <v/>
      </c>
    </row>
    <row r="4798">
      <c r="A4798" t="inlineStr">
        <is>
          <t>18/12/2025 7:24:41</t>
        </is>
      </c>
      <c r="B4798" t="inlineStr">
        <is>
          <t>Trần Xuân Khoa</t>
        </is>
      </c>
      <c r="C4798" t="inlineStr">
        <is>
          <t>17/12/2025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10</v>
      </c>
      <c r="L4798" t="n">
        <v>0</v>
      </c>
      <c r="M4798" t="n">
        <v>0</v>
      </c>
      <c r="N4798" t="n">
        <v>0</v>
      </c>
      <c r="O4798" t="n">
        <v>0</v>
      </c>
      <c r="P4798" t="n">
        <v>1</v>
      </c>
      <c r="Q4798" t="n">
        <v>3</v>
      </c>
      <c r="R4798" t="n">
        <v>0</v>
      </c>
      <c r="S4798" t="n">
        <v/>
      </c>
      <c r="T4798" t="inlineStr">
        <is>
          <t>17</t>
        </is>
      </c>
      <c r="U4798" t="inlineStr">
        <is>
          <t>12</t>
        </is>
      </c>
      <c r="V4798" t="n">
        <v/>
      </c>
      <c r="W4798" t="n">
        <v/>
      </c>
    </row>
    <row r="4799">
      <c r="A4799" t="inlineStr">
        <is>
          <t>18/12/2025 7:28:23</t>
        </is>
      </c>
      <c r="B4799" t="inlineStr">
        <is>
          <t>Lê Hồng Phong</t>
        </is>
      </c>
      <c r="C4799" t="inlineStr">
        <is>
          <t>18/12/2025</t>
        </is>
      </c>
      <c r="D4799" t="n">
        <v>1</v>
      </c>
      <c r="E4799" t="n">
        <v>1</v>
      </c>
      <c r="F4799" t="n">
        <v>1</v>
      </c>
      <c r="G4799" t="n">
        <v>0</v>
      </c>
      <c r="H4799" t="n">
        <v>0</v>
      </c>
      <c r="I4799" t="n">
        <v>1</v>
      </c>
      <c r="J4799" t="n">
        <v>1</v>
      </c>
      <c r="K4799" t="n">
        <v>1</v>
      </c>
      <c r="L4799" t="n">
        <v>1</v>
      </c>
      <c r="M4799" t="n">
        <v>1</v>
      </c>
      <c r="N4799" t="n">
        <v>1</v>
      </c>
      <c r="O4799" t="n">
        <v>0</v>
      </c>
      <c r="P4799" t="n">
        <v>1</v>
      </c>
      <c r="Q4799" t="n">
        <v>1</v>
      </c>
      <c r="R4799" t="n">
        <v>1</v>
      </c>
      <c r="S4799" t="n">
        <v/>
      </c>
      <c r="T4799" t="inlineStr">
        <is>
          <t>18</t>
        </is>
      </c>
      <c r="U4799" t="inlineStr">
        <is>
          <t>12</t>
        </is>
      </c>
      <c r="V4799" t="n">
        <v/>
      </c>
      <c r="W4799" t="n">
        <v/>
      </c>
    </row>
    <row r="4800">
      <c r="A4800" t="inlineStr">
        <is>
          <t>18/12/2025 7:30:27</t>
        </is>
      </c>
      <c r="B4800" t="inlineStr">
        <is>
          <t>Bùi Duy Cường</t>
        </is>
      </c>
      <c r="C4800" t="inlineStr">
        <is>
          <t>17/12/2025</t>
        </is>
      </c>
      <c r="D4800" t="n">
        <v>0</v>
      </c>
      <c r="E4800" t="n">
        <v>0</v>
      </c>
      <c r="F4800" t="n">
        <v>1</v>
      </c>
      <c r="G4800" t="n">
        <v>1</v>
      </c>
      <c r="H4800" t="n">
        <v>1</v>
      </c>
      <c r="I4800" t="n">
        <v>1</v>
      </c>
      <c r="J4800" t="n">
        <v>2</v>
      </c>
      <c r="K4800" t="n">
        <v>4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/>
      </c>
      <c r="T4800" t="inlineStr">
        <is>
          <t>17</t>
        </is>
      </c>
      <c r="U4800" t="inlineStr">
        <is>
          <t>12</t>
        </is>
      </c>
      <c r="V4800" t="n">
        <v/>
      </c>
      <c r="W4800" t="n">
        <v/>
      </c>
    </row>
    <row r="4801">
      <c r="A4801" t="inlineStr">
        <is>
          <t>18/12/2025 7:40:50</t>
        </is>
      </c>
      <c r="B4801" t="inlineStr">
        <is>
          <t>Đặng Hữu Danh</t>
        </is>
      </c>
      <c r="C4801" t="inlineStr">
        <is>
          <t>17/12/2025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1</v>
      </c>
      <c r="K4801" t="n">
        <v>7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3</v>
      </c>
      <c r="R4801" t="n">
        <v>0</v>
      </c>
      <c r="S4801" t="n">
        <v/>
      </c>
      <c r="T4801" t="inlineStr">
        <is>
          <t>17</t>
        </is>
      </c>
      <c r="U4801" t="inlineStr">
        <is>
          <t>12</t>
        </is>
      </c>
      <c r="V4801" t="n">
        <v/>
      </c>
      <c r="W4801" t="n">
        <v/>
      </c>
    </row>
    <row r="4802">
      <c r="A4802" t="inlineStr">
        <is>
          <t>18/12/2025 7:40:51</t>
        </is>
      </c>
      <c r="B4802" t="inlineStr">
        <is>
          <t>Lương Duy Hải</t>
        </is>
      </c>
      <c r="C4802" t="inlineStr">
        <is>
          <t>17/12/2025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10</v>
      </c>
      <c r="L4802" t="n">
        <v>0</v>
      </c>
      <c r="M4802" t="n">
        <v>0</v>
      </c>
      <c r="N4802" t="n">
        <v>0</v>
      </c>
      <c r="O4802" t="n">
        <v>0</v>
      </c>
      <c r="P4802" t="n">
        <v>1</v>
      </c>
      <c r="Q4802" t="n">
        <v>2</v>
      </c>
      <c r="R4802" t="n">
        <v>0</v>
      </c>
      <c r="S4802" t="n">
        <v/>
      </c>
      <c r="T4802" t="inlineStr">
        <is>
          <t>17</t>
        </is>
      </c>
      <c r="U4802" t="inlineStr">
        <is>
          <t>12</t>
        </is>
      </c>
      <c r="V4802" t="n">
        <v/>
      </c>
      <c r="W4802" t="n">
        <v/>
      </c>
    </row>
    <row r="4803">
      <c r="A4803" t="inlineStr">
        <is>
          <t>18/12/2025 7:44:10</t>
        </is>
      </c>
      <c r="B4803" t="inlineStr">
        <is>
          <t>Trần Minh Khánh</t>
        </is>
      </c>
      <c r="C4803" t="inlineStr">
        <is>
          <t>17/12/2025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2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2</v>
      </c>
      <c r="R4803" t="n">
        <v>0</v>
      </c>
      <c r="S4803" t="n">
        <v/>
      </c>
      <c r="T4803" t="inlineStr">
        <is>
          <t>17</t>
        </is>
      </c>
      <c r="U4803" t="inlineStr">
        <is>
          <t>12</t>
        </is>
      </c>
      <c r="V4803" t="n">
        <v/>
      </c>
      <c r="W4803" t="n">
        <v/>
      </c>
    </row>
    <row r="4804">
      <c r="A4804" t="inlineStr">
        <is>
          <t>18/12/2025 7:47:45</t>
        </is>
      </c>
      <c r="B4804" t="inlineStr">
        <is>
          <t>Lê Văn Hồng</t>
        </is>
      </c>
      <c r="C4804" t="inlineStr">
        <is>
          <t>17/12/2025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7</v>
      </c>
      <c r="L4804" t="n">
        <v>0</v>
      </c>
      <c r="M4804" t="n">
        <v>1</v>
      </c>
      <c r="N4804" t="n">
        <v>0</v>
      </c>
      <c r="O4804" t="n">
        <v>0</v>
      </c>
      <c r="P4804" t="n">
        <v>2</v>
      </c>
      <c r="Q4804" t="n">
        <v>3</v>
      </c>
      <c r="R4804" t="n">
        <v>0</v>
      </c>
      <c r="S4804" t="n">
        <v/>
      </c>
      <c r="T4804" t="inlineStr">
        <is>
          <t>17</t>
        </is>
      </c>
      <c r="U4804" t="inlineStr">
        <is>
          <t>12</t>
        </is>
      </c>
      <c r="V4804" t="n">
        <v/>
      </c>
      <c r="W4804" t="n">
        <v/>
      </c>
    </row>
    <row r="4805">
      <c r="A4805" t="inlineStr">
        <is>
          <t>18/12/2025 7:51:40</t>
        </is>
      </c>
      <c r="B4805" t="inlineStr">
        <is>
          <t>Nguyễn Văn Nhật</t>
        </is>
      </c>
      <c r="C4805" t="inlineStr">
        <is>
          <t>17/12/2025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4</v>
      </c>
      <c r="L4805" t="n">
        <v>0</v>
      </c>
      <c r="M4805" t="n">
        <v>2</v>
      </c>
      <c r="N4805" t="n">
        <v>0</v>
      </c>
      <c r="O4805" t="n">
        <v>0</v>
      </c>
      <c r="P4805" t="n">
        <v>1</v>
      </c>
      <c r="Q4805" t="n">
        <v>2</v>
      </c>
      <c r="R4805" t="n">
        <v>0</v>
      </c>
      <c r="S4805" t="n">
        <v/>
      </c>
      <c r="T4805" t="inlineStr">
        <is>
          <t>17</t>
        </is>
      </c>
      <c r="U4805" t="inlineStr">
        <is>
          <t>12</t>
        </is>
      </c>
      <c r="V4805" t="n">
        <v/>
      </c>
      <c r="W4805" t="n">
        <v/>
      </c>
    </row>
    <row r="4806">
      <c r="A4806" t="inlineStr">
        <is>
          <t>19/12/2025 6:43:44</t>
        </is>
      </c>
      <c r="B4806" t="inlineStr">
        <is>
          <t>Lê Hồng Phong</t>
        </is>
      </c>
      <c r="C4806" t="inlineStr">
        <is>
          <t>19/12/2025</t>
        </is>
      </c>
      <c r="D4806" t="n">
        <v>1</v>
      </c>
      <c r="E4806" t="n">
        <v>1</v>
      </c>
      <c r="F4806" t="n">
        <v>1</v>
      </c>
      <c r="G4806" t="n">
        <v>0</v>
      </c>
      <c r="H4806" t="n">
        <v>0</v>
      </c>
      <c r="I4806" t="n">
        <v>1</v>
      </c>
      <c r="J4806" t="n">
        <v>1</v>
      </c>
      <c r="K4806" t="n">
        <v>1</v>
      </c>
      <c r="L4806" t="n">
        <v>1</v>
      </c>
      <c r="M4806" t="n">
        <v>1</v>
      </c>
      <c r="N4806" t="n">
        <v>1</v>
      </c>
      <c r="O4806" t="n">
        <v>0</v>
      </c>
      <c r="P4806" t="n">
        <v>1</v>
      </c>
      <c r="Q4806" t="n">
        <v>1</v>
      </c>
      <c r="R4806" t="n">
        <v>1</v>
      </c>
      <c r="S4806" t="n">
        <v/>
      </c>
      <c r="T4806" t="inlineStr">
        <is>
          <t>19</t>
        </is>
      </c>
      <c r="U4806" t="inlineStr">
        <is>
          <t>12</t>
        </is>
      </c>
      <c r="V4806" t="n">
        <v/>
      </c>
      <c r="W4806" t="n">
        <v/>
      </c>
    </row>
    <row r="4807">
      <c r="A4807" t="inlineStr">
        <is>
          <t>19/12/2025 6:49:18</t>
        </is>
      </c>
      <c r="B4807" t="inlineStr">
        <is>
          <t>Lê Quốc Duy</t>
        </is>
      </c>
      <c r="C4807" t="inlineStr">
        <is>
          <t>18/12/2025</t>
        </is>
      </c>
      <c r="D4807" t="n">
        <v>0</v>
      </c>
      <c r="E4807" t="n">
        <v>1</v>
      </c>
      <c r="F4807" t="n">
        <v>1</v>
      </c>
      <c r="G4807" t="n">
        <v>0</v>
      </c>
      <c r="H4807" t="n">
        <v>0</v>
      </c>
      <c r="I4807" t="n">
        <v>0</v>
      </c>
      <c r="J4807" t="n">
        <v>2</v>
      </c>
      <c r="K4807" t="n">
        <v>2</v>
      </c>
      <c r="L4807" t="n">
        <v>0</v>
      </c>
      <c r="M4807" t="n">
        <v>1</v>
      </c>
      <c r="N4807" t="n">
        <v>2</v>
      </c>
      <c r="O4807" t="n">
        <v>0</v>
      </c>
      <c r="P4807" t="n">
        <v>0</v>
      </c>
      <c r="Q4807" t="n">
        <v>1</v>
      </c>
      <c r="R4807" t="n">
        <v>3</v>
      </c>
      <c r="S4807" t="n">
        <v/>
      </c>
      <c r="T4807" t="inlineStr">
        <is>
          <t>18</t>
        </is>
      </c>
      <c r="U4807" t="inlineStr">
        <is>
          <t>12</t>
        </is>
      </c>
      <c r="V4807" t="n">
        <v/>
      </c>
      <c r="W4807" t="n">
        <v/>
      </c>
    </row>
    <row r="4808">
      <c r="A4808" t="inlineStr">
        <is>
          <t>19/12/2025 6:57:49</t>
        </is>
      </c>
      <c r="B4808" t="inlineStr">
        <is>
          <t>Phan Ngọc Sang</t>
        </is>
      </c>
      <c r="C4808" t="inlineStr">
        <is>
          <t>18/12/2025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10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1</v>
      </c>
      <c r="R4808" t="n">
        <v>0</v>
      </c>
      <c r="S4808" t="n">
        <v/>
      </c>
      <c r="T4808" t="inlineStr">
        <is>
          <t>18</t>
        </is>
      </c>
      <c r="U4808" t="inlineStr">
        <is>
          <t>12</t>
        </is>
      </c>
      <c r="V4808" t="n">
        <v/>
      </c>
      <c r="W4808" t="n">
        <v/>
      </c>
    </row>
    <row r="4809">
      <c r="A4809" t="inlineStr">
        <is>
          <t>19/12/2025 7:01:54</t>
        </is>
      </c>
      <c r="B4809" t="inlineStr">
        <is>
          <t>Lương Duy Hoàng</t>
        </is>
      </c>
      <c r="C4809" t="inlineStr">
        <is>
          <t>18/12/2025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2</v>
      </c>
      <c r="J4809" t="n">
        <v>0</v>
      </c>
      <c r="K4809" t="n">
        <v>8</v>
      </c>
      <c r="L4809" t="n">
        <v>1</v>
      </c>
      <c r="M4809" t="n">
        <v>0</v>
      </c>
      <c r="N4809" t="n">
        <v>1</v>
      </c>
      <c r="O4809" t="n">
        <v>0</v>
      </c>
      <c r="P4809" t="n">
        <v>1</v>
      </c>
      <c r="Q4809" t="n">
        <v>1</v>
      </c>
      <c r="R4809" t="n">
        <v>0</v>
      </c>
      <c r="S4809" t="n">
        <v/>
      </c>
      <c r="T4809" t="inlineStr">
        <is>
          <t>18</t>
        </is>
      </c>
      <c r="U4809" t="inlineStr">
        <is>
          <t>12</t>
        </is>
      </c>
      <c r="V4809" t="n">
        <v/>
      </c>
      <c r="W4809" t="n">
        <v/>
      </c>
    </row>
    <row r="4810">
      <c r="A4810" t="inlineStr">
        <is>
          <t>19/12/2025 7:02:47</t>
        </is>
      </c>
      <c r="B4810" t="inlineStr">
        <is>
          <t>Vòng Nhật Sang</t>
        </is>
      </c>
      <c r="C4810" t="inlineStr">
        <is>
          <t>18/12/2025</t>
        </is>
      </c>
      <c r="D4810" t="n">
        <v>0</v>
      </c>
      <c r="E4810" t="n">
        <v>0</v>
      </c>
      <c r="F4810" t="n">
        <v>0</v>
      </c>
      <c r="G4810" t="n">
        <v>1</v>
      </c>
      <c r="H4810" t="n">
        <v>1</v>
      </c>
      <c r="I4810" t="n">
        <v>0</v>
      </c>
      <c r="J4810" t="n">
        <v>0</v>
      </c>
      <c r="K4810" t="n">
        <v>12</v>
      </c>
      <c r="L4810" t="n">
        <v>0</v>
      </c>
      <c r="M4810" t="n">
        <v>0</v>
      </c>
      <c r="N4810" t="n">
        <v>0</v>
      </c>
      <c r="O4810" t="n">
        <v>0</v>
      </c>
      <c r="P4810" t="n">
        <v>1</v>
      </c>
      <c r="Q4810" t="n">
        <v>2</v>
      </c>
      <c r="R4810" t="n">
        <v>0</v>
      </c>
      <c r="S4810" t="n">
        <v/>
      </c>
      <c r="T4810" t="inlineStr">
        <is>
          <t>18</t>
        </is>
      </c>
      <c r="U4810" t="inlineStr">
        <is>
          <t>12</t>
        </is>
      </c>
      <c r="V4810" t="n">
        <v/>
      </c>
      <c r="W4810" t="n">
        <v/>
      </c>
    </row>
    <row r="4811">
      <c r="A4811" t="inlineStr">
        <is>
          <t>19/12/2025 7:03:07</t>
        </is>
      </c>
      <c r="B4811" t="inlineStr">
        <is>
          <t>Đào Công Trung</t>
        </is>
      </c>
      <c r="C4811" t="inlineStr">
        <is>
          <t>18/12/2025</t>
        </is>
      </c>
      <c r="D4811" t="n">
        <v>1</v>
      </c>
      <c r="E4811" t="n">
        <v>1</v>
      </c>
      <c r="F4811" t="n">
        <v>1</v>
      </c>
      <c r="G4811" t="n">
        <v>0</v>
      </c>
      <c r="H4811" t="n">
        <v>0</v>
      </c>
      <c r="I4811" t="n">
        <v>0</v>
      </c>
      <c r="J4811" t="n">
        <v>0</v>
      </c>
      <c r="K4811" t="n">
        <v>10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/>
      </c>
      <c r="T4811" t="inlineStr">
        <is>
          <t>18</t>
        </is>
      </c>
      <c r="U4811" t="inlineStr">
        <is>
          <t>12</t>
        </is>
      </c>
      <c r="V4811" t="n">
        <v/>
      </c>
      <c r="W4811" t="n">
        <v/>
      </c>
    </row>
    <row r="4812">
      <c r="A4812" t="inlineStr">
        <is>
          <t>19/12/2025 7:03:18</t>
        </is>
      </c>
      <c r="B4812" t="inlineStr">
        <is>
          <t>Phan Thành Thái</t>
        </is>
      </c>
      <c r="C4812" t="inlineStr">
        <is>
          <t>18/12/2025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3</v>
      </c>
      <c r="J4812" t="n">
        <v>0</v>
      </c>
      <c r="K4812" t="n">
        <v>3</v>
      </c>
      <c r="L4812" t="n">
        <v>0</v>
      </c>
      <c r="M4812" t="n">
        <v>0</v>
      </c>
      <c r="N4812" t="n">
        <v>0</v>
      </c>
      <c r="O4812" t="n">
        <v>0</v>
      </c>
      <c r="P4812" t="n">
        <v>1</v>
      </c>
      <c r="Q4812" t="n">
        <v>4</v>
      </c>
      <c r="R4812" t="n">
        <v>0</v>
      </c>
      <c r="S4812" t="n">
        <v/>
      </c>
      <c r="T4812" t="inlineStr">
        <is>
          <t>18</t>
        </is>
      </c>
      <c r="U4812" t="inlineStr">
        <is>
          <t>12</t>
        </is>
      </c>
      <c r="V4812" t="n">
        <v/>
      </c>
      <c r="W4812" t="n">
        <v/>
      </c>
    </row>
    <row r="4813">
      <c r="A4813" t="inlineStr">
        <is>
          <t>19/12/2025 7:08:01</t>
        </is>
      </c>
      <c r="B4813" t="inlineStr">
        <is>
          <t>Nguyễn Văn Nhật</t>
        </is>
      </c>
      <c r="C4813" t="inlineStr">
        <is>
          <t>18/12/2025</t>
        </is>
      </c>
      <c r="D4813" t="n">
        <v>1</v>
      </c>
      <c r="E4813" t="n">
        <v>0</v>
      </c>
      <c r="F4813" t="n">
        <v>0</v>
      </c>
      <c r="G4813" t="n">
        <v>0</v>
      </c>
      <c r="H4813" t="n">
        <v/>
      </c>
      <c r="I4813" t="n">
        <v>0</v>
      </c>
      <c r="J4813" t="n">
        <v>1</v>
      </c>
      <c r="K4813" t="n">
        <v>6</v>
      </c>
      <c r="L4813" t="n">
        <v>0</v>
      </c>
      <c r="M4813" t="n">
        <v>0</v>
      </c>
      <c r="N4813" t="n">
        <v>0</v>
      </c>
      <c r="O4813" t="n">
        <v>0</v>
      </c>
      <c r="P4813" t="n">
        <v>7</v>
      </c>
      <c r="Q4813" t="n">
        <v>4</v>
      </c>
      <c r="R4813" t="n">
        <v>0</v>
      </c>
      <c r="S4813" t="n">
        <v/>
      </c>
      <c r="T4813" t="inlineStr">
        <is>
          <t>18</t>
        </is>
      </c>
      <c r="U4813" t="inlineStr">
        <is>
          <t>12</t>
        </is>
      </c>
      <c r="V4813" t="n">
        <v/>
      </c>
      <c r="W4813" t="n">
        <v/>
      </c>
    </row>
    <row r="4814">
      <c r="A4814" t="inlineStr">
        <is>
          <t>19/12/2025 7:08:55</t>
        </is>
      </c>
      <c r="B4814" t="inlineStr">
        <is>
          <t>Dương Minh Tiến</t>
        </is>
      </c>
      <c r="C4814" t="inlineStr">
        <is>
          <t>18/12/2024</t>
        </is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5</v>
      </c>
      <c r="J4814" t="n">
        <v>0</v>
      </c>
      <c r="K4814" t="n">
        <v>32</v>
      </c>
      <c r="L4814" t="n">
        <v>2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/>
      </c>
      <c r="T4814" t="inlineStr">
        <is>
          <t>18</t>
        </is>
      </c>
      <c r="U4814" t="inlineStr">
        <is>
          <t>12</t>
        </is>
      </c>
      <c r="V4814" t="n">
        <v/>
      </c>
      <c r="W4814" t="n">
        <v/>
      </c>
    </row>
    <row r="4815">
      <c r="A4815" t="inlineStr">
        <is>
          <t>19/12/2025 7:11:51</t>
        </is>
      </c>
      <c r="B4815" t="inlineStr">
        <is>
          <t>Nguyễn Tuấn Anh</t>
        </is>
      </c>
      <c r="C4815" t="inlineStr">
        <is>
          <t>18/12/2025</t>
        </is>
      </c>
      <c r="D4815" t="n">
        <v>2</v>
      </c>
      <c r="E4815" t="n">
        <v>1</v>
      </c>
      <c r="F4815" t="n">
        <v>2</v>
      </c>
      <c r="G4815" t="n">
        <v>0</v>
      </c>
      <c r="H4815" t="n">
        <v>0</v>
      </c>
      <c r="I4815" t="n">
        <v>1</v>
      </c>
      <c r="J4815" t="n">
        <v>0</v>
      </c>
      <c r="K4815" t="n">
        <v>9</v>
      </c>
      <c r="L4815" t="n">
        <v>2</v>
      </c>
      <c r="M4815" t="n">
        <v>0</v>
      </c>
      <c r="N4815" t="n">
        <v>1</v>
      </c>
      <c r="O4815" t="n">
        <v>0</v>
      </c>
      <c r="P4815" t="n">
        <v>1</v>
      </c>
      <c r="Q4815" t="n">
        <v>2</v>
      </c>
      <c r="R4815" t="n">
        <v>0</v>
      </c>
      <c r="S4815" t="n">
        <v/>
      </c>
      <c r="T4815" t="inlineStr">
        <is>
          <t>18</t>
        </is>
      </c>
      <c r="U4815" t="inlineStr">
        <is>
          <t>12</t>
        </is>
      </c>
      <c r="V4815" t="n">
        <v/>
      </c>
      <c r="W4815" t="n">
        <v/>
      </c>
    </row>
    <row r="4816">
      <c r="A4816" t="inlineStr">
        <is>
          <t>19/12/2025 7:11:59</t>
        </is>
      </c>
      <c r="B4816" t="inlineStr">
        <is>
          <t>Nguyễn Văn Hiệp</t>
        </is>
      </c>
      <c r="C4816" t="inlineStr">
        <is>
          <t>18/12/2025</t>
        </is>
      </c>
      <c r="D4816" t="n">
        <v>1</v>
      </c>
      <c r="E4816" t="n">
        <v>1</v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2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/>
      </c>
      <c r="T4816" t="inlineStr">
        <is>
          <t>18</t>
        </is>
      </c>
      <c r="U4816" t="inlineStr">
        <is>
          <t>12</t>
        </is>
      </c>
      <c r="V4816" t="n">
        <v/>
      </c>
      <c r="W4816" t="n">
        <v/>
      </c>
    </row>
    <row r="4817">
      <c r="A4817" t="inlineStr">
        <is>
          <t>19/12/2025 7:12:14</t>
        </is>
      </c>
      <c r="B4817" t="inlineStr">
        <is>
          <t>Đặng Hữu Danh</t>
        </is>
      </c>
      <c r="C4817" t="inlineStr">
        <is>
          <t>18/12/2025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2</v>
      </c>
      <c r="K4817" t="n">
        <v>6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3</v>
      </c>
      <c r="R4817" t="n">
        <v>2</v>
      </c>
      <c r="S4817" t="n">
        <v/>
      </c>
      <c r="T4817" t="inlineStr">
        <is>
          <t>18</t>
        </is>
      </c>
      <c r="U4817" t="inlineStr">
        <is>
          <t>12</t>
        </is>
      </c>
      <c r="V4817" t="n">
        <v/>
      </c>
      <c r="W4817" t="n">
        <v/>
      </c>
    </row>
    <row r="4818">
      <c r="A4818" t="inlineStr">
        <is>
          <t>19/12/2025 7:13:16</t>
        </is>
      </c>
      <c r="B4818" t="inlineStr">
        <is>
          <t>Đặng Hoài Anh</t>
        </is>
      </c>
      <c r="C4818" t="inlineStr">
        <is>
          <t>18/12/2025</t>
        </is>
      </c>
      <c r="D4818" t="n">
        <v>0</v>
      </c>
      <c r="E4818" t="n">
        <v>0</v>
      </c>
      <c r="F4818" t="n">
        <v>0</v>
      </c>
      <c r="G4818" t="n">
        <v>1</v>
      </c>
      <c r="H4818" t="n">
        <v>1</v>
      </c>
      <c r="I4818" t="n">
        <v>0</v>
      </c>
      <c r="J4818" t="n">
        <v>0</v>
      </c>
      <c r="K4818" t="n">
        <v>5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0</v>
      </c>
      <c r="R4818" t="n">
        <v>0</v>
      </c>
      <c r="S4818" t="n">
        <v/>
      </c>
      <c r="T4818" t="inlineStr">
        <is>
          <t>18</t>
        </is>
      </c>
      <c r="U4818" t="inlineStr">
        <is>
          <t>12</t>
        </is>
      </c>
      <c r="V4818" t="n">
        <v/>
      </c>
      <c r="W4818" t="n">
        <v/>
      </c>
    </row>
    <row r="4819">
      <c r="A4819" t="inlineStr">
        <is>
          <t>19/12/2025 7:18:50</t>
        </is>
      </c>
      <c r="B4819" t="inlineStr">
        <is>
          <t>Hồ Xuân Việt</t>
        </is>
      </c>
      <c r="C4819" t="inlineStr">
        <is>
          <t>18/12/2025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10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/>
      </c>
      <c r="T4819" t="inlineStr">
        <is>
          <t>18</t>
        </is>
      </c>
      <c r="U4819" t="inlineStr">
        <is>
          <t>12</t>
        </is>
      </c>
      <c r="V4819" t="n">
        <v/>
      </c>
      <c r="W4819" t="n">
        <v/>
      </c>
    </row>
    <row r="4820">
      <c r="A4820" t="inlineStr">
        <is>
          <t>19/12/2025 7:21:30</t>
        </is>
      </c>
      <c r="B4820" t="inlineStr">
        <is>
          <t>Nguyễn Quang Anh Tuấn</t>
        </is>
      </c>
      <c r="C4820" t="inlineStr">
        <is>
          <t>18/12/2025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9</v>
      </c>
      <c r="L4820" t="n">
        <v>0</v>
      </c>
      <c r="M4820" t="n">
        <v>0</v>
      </c>
      <c r="N4820" t="n">
        <v>0</v>
      </c>
      <c r="O4820" t="n">
        <v>0</v>
      </c>
      <c r="P4820" t="n">
        <v>1</v>
      </c>
      <c r="Q4820" t="n">
        <v>1</v>
      </c>
      <c r="R4820" t="n">
        <v>0</v>
      </c>
      <c r="S4820" t="n">
        <v/>
      </c>
      <c r="T4820" t="inlineStr">
        <is>
          <t>18</t>
        </is>
      </c>
      <c r="U4820" t="inlineStr">
        <is>
          <t>12</t>
        </is>
      </c>
      <c r="V4820" t="n">
        <v/>
      </c>
      <c r="W4820" t="n">
        <v/>
      </c>
    </row>
    <row r="4821">
      <c r="A4821" t="inlineStr">
        <is>
          <t>19/12/2025 7:22:35</t>
        </is>
      </c>
      <c r="B4821" t="inlineStr">
        <is>
          <t>Huỳnh Văn Lực</t>
        </is>
      </c>
      <c r="C4821" t="inlineStr">
        <is>
          <t>18/12/2025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4</v>
      </c>
      <c r="L4821" t="n">
        <v>0</v>
      </c>
      <c r="M4821" t="n">
        <v>0</v>
      </c>
      <c r="N4821" t="n">
        <v>0</v>
      </c>
      <c r="O4821" t="n">
        <v>0</v>
      </c>
      <c r="P4821" t="n">
        <v>2</v>
      </c>
      <c r="Q4821" t="n">
        <v>2</v>
      </c>
      <c r="R4821" t="n">
        <v>0</v>
      </c>
      <c r="S4821" t="n">
        <v/>
      </c>
      <c r="T4821" t="inlineStr">
        <is>
          <t>18</t>
        </is>
      </c>
      <c r="U4821" t="inlineStr">
        <is>
          <t>12</t>
        </is>
      </c>
      <c r="V4821" t="n">
        <v/>
      </c>
      <c r="W4821" t="n">
        <v/>
      </c>
    </row>
    <row r="4822">
      <c r="A4822" t="inlineStr">
        <is>
          <t>19/12/2025 7:22:36</t>
        </is>
      </c>
      <c r="B4822" t="inlineStr">
        <is>
          <t>Trần Xuân Khoa</t>
        </is>
      </c>
      <c r="C4822" t="inlineStr">
        <is>
          <t>18/12/2025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6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6</v>
      </c>
      <c r="R4822" t="n">
        <v>0</v>
      </c>
      <c r="S4822" t="n">
        <v/>
      </c>
      <c r="T4822" t="inlineStr">
        <is>
          <t>18</t>
        </is>
      </c>
      <c r="U4822" t="inlineStr">
        <is>
          <t>12</t>
        </is>
      </c>
      <c r="V4822" t="n">
        <v/>
      </c>
      <c r="W4822" t="n">
        <v/>
      </c>
    </row>
    <row r="4823">
      <c r="A4823" t="inlineStr">
        <is>
          <t>19/12/2025 7:23:39</t>
        </is>
      </c>
      <c r="B4823" t="inlineStr">
        <is>
          <t>Trần Trung Giang</t>
        </is>
      </c>
      <c r="C4823" t="inlineStr">
        <is>
          <t>18/12/2025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2</v>
      </c>
      <c r="L4823" t="n">
        <v>0</v>
      </c>
      <c r="M4823" t="n">
        <v>0</v>
      </c>
      <c r="N4823" t="n">
        <v>0</v>
      </c>
      <c r="O4823" t="n">
        <v>0</v>
      </c>
      <c r="P4823" t="n">
        <v>1</v>
      </c>
      <c r="Q4823" t="n">
        <v>1</v>
      </c>
      <c r="R4823" t="n">
        <v>0</v>
      </c>
      <c r="S4823" t="n">
        <v/>
      </c>
      <c r="T4823" t="inlineStr">
        <is>
          <t>18</t>
        </is>
      </c>
      <c r="U4823" t="inlineStr">
        <is>
          <t>12</t>
        </is>
      </c>
      <c r="V4823" t="n">
        <v/>
      </c>
      <c r="W4823" t="n">
        <v/>
      </c>
    </row>
    <row r="4824">
      <c r="A4824" t="inlineStr">
        <is>
          <t>19/12/2025 7:23:41</t>
        </is>
      </c>
      <c r="B4824" t="inlineStr">
        <is>
          <t>Nguyễn Thành Lâm</t>
        </is>
      </c>
      <c r="C4824" t="inlineStr">
        <is>
          <t>18/12/2025</t>
        </is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2</v>
      </c>
      <c r="K4824" t="n">
        <v>6</v>
      </c>
      <c r="L4824" t="n">
        <v>0</v>
      </c>
      <c r="M4824" t="n">
        <v>2</v>
      </c>
      <c r="N4824" t="n">
        <v>0</v>
      </c>
      <c r="O4824" t="n">
        <v>0</v>
      </c>
      <c r="P4824" t="n">
        <v>0</v>
      </c>
      <c r="Q4824" t="n">
        <v>2</v>
      </c>
      <c r="R4824" t="n">
        <v>0</v>
      </c>
      <c r="S4824" t="n">
        <v/>
      </c>
      <c r="T4824" t="inlineStr">
        <is>
          <t>18</t>
        </is>
      </c>
      <c r="U4824" t="inlineStr">
        <is>
          <t>12</t>
        </is>
      </c>
      <c r="V4824" t="n">
        <v/>
      </c>
      <c r="W4824" t="n">
        <v/>
      </c>
    </row>
    <row r="4825">
      <c r="A4825" t="inlineStr">
        <is>
          <t>19/12/2025 7:26:06</t>
        </is>
      </c>
      <c r="B4825" t="inlineStr">
        <is>
          <t>Trần Minh Khánh</t>
        </is>
      </c>
      <c r="C4825" t="inlineStr">
        <is>
          <t>18/12/2025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5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2</v>
      </c>
      <c r="R4825" t="n">
        <v>0</v>
      </c>
      <c r="S4825" t="n">
        <v/>
      </c>
      <c r="T4825" t="inlineStr">
        <is>
          <t>18</t>
        </is>
      </c>
      <c r="U4825" t="inlineStr">
        <is>
          <t>12</t>
        </is>
      </c>
      <c r="V4825" t="n">
        <v/>
      </c>
      <c r="W4825" t="n">
        <v/>
      </c>
    </row>
    <row r="4826">
      <c r="A4826" t="inlineStr">
        <is>
          <t>19/12/2025 7:31:45</t>
        </is>
      </c>
      <c r="B4826" t="inlineStr">
        <is>
          <t>Lê Văn Hồng</t>
        </is>
      </c>
      <c r="C4826" t="inlineStr">
        <is>
          <t>18/12/2025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6</v>
      </c>
      <c r="L4826" t="n">
        <v>0</v>
      </c>
      <c r="M4826" t="n">
        <v>1</v>
      </c>
      <c r="N4826" t="n">
        <v>0</v>
      </c>
      <c r="O4826" t="n">
        <v>0</v>
      </c>
      <c r="P4826" t="n">
        <v>2</v>
      </c>
      <c r="Q4826" t="n">
        <v>4</v>
      </c>
      <c r="R4826" t="n">
        <v>0</v>
      </c>
      <c r="S4826" t="n">
        <v/>
      </c>
      <c r="T4826" t="inlineStr">
        <is>
          <t>18</t>
        </is>
      </c>
      <c r="U4826" t="inlineStr">
        <is>
          <t>12</t>
        </is>
      </c>
      <c r="V4826" t="n">
        <v/>
      </c>
      <c r="W4826" t="n">
        <v/>
      </c>
    </row>
    <row r="4827">
      <c r="A4827" t="inlineStr">
        <is>
          <t>19/12/2025 7:51:42</t>
        </is>
      </c>
      <c r="B4827" t="inlineStr">
        <is>
          <t>Bùi Duy Cường</t>
        </is>
      </c>
      <c r="C4827" t="inlineStr">
        <is>
          <t>18/12/2025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12</v>
      </c>
      <c r="L4827" t="n">
        <v>0</v>
      </c>
      <c r="M4827" t="n">
        <v>0</v>
      </c>
      <c r="N4827" t="n">
        <v>0</v>
      </c>
      <c r="O4827" t="n">
        <v>0</v>
      </c>
      <c r="P4827" t="n">
        <v>1</v>
      </c>
      <c r="Q4827" t="n">
        <v>1</v>
      </c>
      <c r="R4827" t="n">
        <v>0</v>
      </c>
      <c r="S4827" t="n">
        <v/>
      </c>
      <c r="T4827" t="inlineStr">
        <is>
          <t>18</t>
        </is>
      </c>
      <c r="U4827" t="inlineStr">
        <is>
          <t>12</t>
        </is>
      </c>
      <c r="V4827" t="n">
        <v/>
      </c>
      <c r="W4827" t="n">
        <v/>
      </c>
    </row>
    <row r="4828">
      <c r="A4828" t="inlineStr">
        <is>
          <t>19/12/2025 7:54:58</t>
        </is>
      </c>
      <c r="B4828" t="inlineStr">
        <is>
          <t>Lương Duy Hải</t>
        </is>
      </c>
      <c r="C4828" t="inlineStr">
        <is>
          <t>18/12/2025</t>
        </is>
      </c>
      <c r="D4828" t="n">
        <v>1</v>
      </c>
      <c r="E4828" t="n">
        <v>1</v>
      </c>
      <c r="F4828" t="n">
        <v>3</v>
      </c>
      <c r="G4828" t="n">
        <v>0</v>
      </c>
      <c r="H4828" t="n">
        <v>0</v>
      </c>
      <c r="I4828" t="n">
        <v>0</v>
      </c>
      <c r="J4828" t="n">
        <v>1</v>
      </c>
      <c r="K4828" t="n">
        <v>15</v>
      </c>
      <c r="L4828" t="n">
        <v>0</v>
      </c>
      <c r="M4828" t="n">
        <v>0</v>
      </c>
      <c r="N4828" t="n">
        <v>0</v>
      </c>
      <c r="O4828" t="n">
        <v>0</v>
      </c>
      <c r="P4828" t="n">
        <v>1</v>
      </c>
      <c r="Q4828" t="n">
        <v>2</v>
      </c>
      <c r="R4828" t="n">
        <v>0</v>
      </c>
      <c r="S4828" t="n">
        <v/>
      </c>
      <c r="T4828" t="inlineStr">
        <is>
          <t>18</t>
        </is>
      </c>
      <c r="U4828" t="inlineStr">
        <is>
          <t>12</t>
        </is>
      </c>
      <c r="V4828" t="n">
        <v/>
      </c>
      <c r="W4828" t="n">
        <v/>
      </c>
    </row>
    <row r="4829">
      <c r="A4829" t="inlineStr">
        <is>
          <t>19/12/2025 7:56:14</t>
        </is>
      </c>
      <c r="B4829" t="inlineStr">
        <is>
          <t>Nguyễn Hồng Minh</t>
        </is>
      </c>
      <c r="C4829" t="inlineStr">
        <is>
          <t>18/12/2025</t>
        </is>
      </c>
      <c r="D4829" t="n">
        <v>1</v>
      </c>
      <c r="E4829" t="n">
        <v>1</v>
      </c>
      <c r="F4829" t="n">
        <v>1</v>
      </c>
      <c r="G4829" t="n">
        <v>0</v>
      </c>
      <c r="H4829" t="n">
        <v>0</v>
      </c>
      <c r="I4829" t="n">
        <v>0</v>
      </c>
      <c r="J4829" t="n">
        <v>0</v>
      </c>
      <c r="K4829" t="n">
        <v>8</v>
      </c>
      <c r="L4829" t="n">
        <v>0</v>
      </c>
      <c r="M4829" t="n">
        <v>1</v>
      </c>
      <c r="N4829" t="n">
        <v>2</v>
      </c>
      <c r="O4829" t="n">
        <v>0</v>
      </c>
      <c r="P4829" t="n">
        <v>0</v>
      </c>
      <c r="Q4829" t="n">
        <v>5</v>
      </c>
      <c r="R4829" t="n">
        <v>0</v>
      </c>
      <c r="S4829" t="n">
        <v/>
      </c>
      <c r="T4829" t="inlineStr">
        <is>
          <t>18</t>
        </is>
      </c>
      <c r="U4829" t="inlineStr">
        <is>
          <t>12</t>
        </is>
      </c>
      <c r="V4829" t="n">
        <v/>
      </c>
      <c r="W4829" t="n">
        <v/>
      </c>
    </row>
    <row r="4830">
      <c r="A4830" t="inlineStr">
        <is>
          <t>20/12/2025 6:35:48</t>
        </is>
      </c>
      <c r="B4830" t="inlineStr">
        <is>
          <t>Dương Minh Tiến</t>
        </is>
      </c>
      <c r="C4830" t="inlineStr">
        <is>
          <t>20/12/2025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15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/>
      </c>
      <c r="T4830" t="inlineStr">
        <is>
          <t>20</t>
        </is>
      </c>
      <c r="U4830" t="inlineStr">
        <is>
          <t>12</t>
        </is>
      </c>
      <c r="V4830" t="n">
        <v/>
      </c>
      <c r="W4830" t="n">
        <v/>
      </c>
    </row>
    <row r="4831">
      <c r="A4831" t="inlineStr">
        <is>
          <t>20/12/2025 6:59:28</t>
        </is>
      </c>
      <c r="B4831" t="inlineStr">
        <is>
          <t>Hồ Xuân Việt</t>
        </is>
      </c>
      <c r="C4831" t="inlineStr">
        <is>
          <t>19/12/2025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4</v>
      </c>
      <c r="J4831" t="n">
        <v>0</v>
      </c>
      <c r="K4831" t="n">
        <v>8</v>
      </c>
      <c r="L4831" t="n">
        <v>0</v>
      </c>
      <c r="M4831" t="n">
        <v>0</v>
      </c>
      <c r="N4831" t="n">
        <v>0</v>
      </c>
      <c r="O4831" t="n">
        <v>0</v>
      </c>
      <c r="P4831" t="n">
        <v>1</v>
      </c>
      <c r="Q4831" t="n">
        <v>1</v>
      </c>
      <c r="R4831" t="n">
        <v>0</v>
      </c>
      <c r="S4831" t="n">
        <v/>
      </c>
      <c r="T4831" t="inlineStr">
        <is>
          <t>19</t>
        </is>
      </c>
      <c r="U4831" t="inlineStr">
        <is>
          <t>12</t>
        </is>
      </c>
      <c r="V4831" t="n">
        <v/>
      </c>
      <c r="W4831" t="n">
        <v/>
      </c>
    </row>
    <row r="4832">
      <c r="A4832" t="inlineStr">
        <is>
          <t>20/12/2025 7:01:22</t>
        </is>
      </c>
      <c r="B4832" t="inlineStr">
        <is>
          <t>Hồ Xuân Việt</t>
        </is>
      </c>
      <c r="C4832" t="inlineStr">
        <is>
          <t>19/12/2025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2</v>
      </c>
      <c r="L4832" t="n">
        <v>0</v>
      </c>
      <c r="M4832" t="n">
        <v>1</v>
      </c>
      <c r="N4832" t="n">
        <v>0</v>
      </c>
      <c r="O4832" t="n">
        <v>0</v>
      </c>
      <c r="P4832" t="n">
        <v>1</v>
      </c>
      <c r="Q4832" t="n">
        <v>1</v>
      </c>
      <c r="R4832" t="n">
        <v>0</v>
      </c>
      <c r="S4832" t="n">
        <v/>
      </c>
      <c r="T4832" t="inlineStr">
        <is>
          <t>19</t>
        </is>
      </c>
      <c r="U4832" t="inlineStr">
        <is>
          <t>12</t>
        </is>
      </c>
      <c r="V4832" t="n">
        <v/>
      </c>
      <c r="W4832" t="n">
        <v/>
      </c>
    </row>
    <row r="4833">
      <c r="A4833" t="inlineStr">
        <is>
          <t>20/12/2025 7:01:59</t>
        </is>
      </c>
      <c r="B4833" t="inlineStr">
        <is>
          <t>Đặng Hữu Danh</t>
        </is>
      </c>
      <c r="C4833" t="inlineStr">
        <is>
          <t>19/12/2025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2</v>
      </c>
      <c r="J4833" t="n">
        <v>1</v>
      </c>
      <c r="K4833" t="n">
        <v>12</v>
      </c>
      <c r="L4833" t="n">
        <v>0</v>
      </c>
      <c r="M4833" t="n">
        <v>0</v>
      </c>
      <c r="N4833" t="n">
        <v>0</v>
      </c>
      <c r="O4833" t="n">
        <v>0</v>
      </c>
      <c r="P4833" t="n">
        <v>1</v>
      </c>
      <c r="Q4833" t="n">
        <v>3</v>
      </c>
      <c r="R4833" t="n">
        <v>0</v>
      </c>
      <c r="S4833" t="n">
        <v/>
      </c>
      <c r="T4833" t="inlineStr">
        <is>
          <t>19</t>
        </is>
      </c>
      <c r="U4833" t="inlineStr">
        <is>
          <t>12</t>
        </is>
      </c>
      <c r="V4833" t="n">
        <v/>
      </c>
      <c r="W4833" t="n">
        <v/>
      </c>
    </row>
    <row r="4834">
      <c r="A4834" t="inlineStr">
        <is>
          <t>20/12/2025 7:02:36</t>
        </is>
      </c>
      <c r="B4834" t="inlineStr">
        <is>
          <t>Hoàng Văn Chất</t>
        </is>
      </c>
      <c r="C4834" t="inlineStr">
        <is>
          <t>19/12/2025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27</v>
      </c>
      <c r="L4834" t="n">
        <v>2</v>
      </c>
      <c r="M4834" t="n">
        <v>0</v>
      </c>
      <c r="N4834" t="n">
        <v>0</v>
      </c>
      <c r="O4834" t="n">
        <v>0</v>
      </c>
      <c r="P4834" t="n">
        <v>0</v>
      </c>
      <c r="Q4834" t="n">
        <v>5</v>
      </c>
      <c r="R4834" t="n">
        <v>0</v>
      </c>
      <c r="S4834" t="n">
        <v/>
      </c>
      <c r="T4834" t="inlineStr">
        <is>
          <t>19</t>
        </is>
      </c>
      <c r="U4834" t="inlineStr">
        <is>
          <t>12</t>
        </is>
      </c>
      <c r="V4834" t="n">
        <v/>
      </c>
      <c r="W4834" t="n">
        <v/>
      </c>
    </row>
    <row r="4835">
      <c r="A4835" t="inlineStr">
        <is>
          <t>20/12/2025 7:02:42</t>
        </is>
      </c>
      <c r="B4835" t="inlineStr">
        <is>
          <t>Phan Thành Thái</t>
        </is>
      </c>
      <c r="C4835" t="inlineStr">
        <is>
          <t>19/12/2025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2</v>
      </c>
      <c r="J4835" t="n">
        <v>0</v>
      </c>
      <c r="K4835" t="n">
        <v>4</v>
      </c>
      <c r="L4835" t="n">
        <v>0</v>
      </c>
      <c r="M4835" t="n">
        <v>0</v>
      </c>
      <c r="N4835" t="n">
        <v>0</v>
      </c>
      <c r="O4835" t="n">
        <v>0</v>
      </c>
      <c r="P4835" t="n">
        <v>2</v>
      </c>
      <c r="Q4835" t="n">
        <v>6</v>
      </c>
      <c r="R4835" t="n">
        <v>2</v>
      </c>
      <c r="S4835" t="n">
        <v/>
      </c>
      <c r="T4835" t="inlineStr">
        <is>
          <t>19</t>
        </is>
      </c>
      <c r="U4835" t="inlineStr">
        <is>
          <t>12</t>
        </is>
      </c>
      <c r="V4835" t="n">
        <v/>
      </c>
      <c r="W4835" t="n">
        <v/>
      </c>
    </row>
    <row r="4836">
      <c r="A4836" t="inlineStr">
        <is>
          <t>20/12/2025 7:03:01</t>
        </is>
      </c>
      <c r="B4836" t="inlineStr">
        <is>
          <t>Nguyễn Văn Hiệp</t>
        </is>
      </c>
      <c r="C4836" t="inlineStr">
        <is>
          <t>19/12/2025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/>
      </c>
      <c r="T4836" t="inlineStr">
        <is>
          <t>19</t>
        </is>
      </c>
      <c r="U4836" t="inlineStr">
        <is>
          <t>12</t>
        </is>
      </c>
      <c r="V4836" t="n">
        <v/>
      </c>
      <c r="W4836" t="n">
        <v/>
      </c>
    </row>
    <row r="4837">
      <c r="A4837" t="inlineStr">
        <is>
          <t>20/12/2025 7:05:12</t>
        </is>
      </c>
      <c r="B4837" t="inlineStr">
        <is>
          <t>Nguyễn Quang Anh Tuấn</t>
        </is>
      </c>
      <c r="C4837" t="inlineStr">
        <is>
          <t>19/12/2025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9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2</v>
      </c>
      <c r="R4837" t="n">
        <v>0</v>
      </c>
      <c r="S4837" t="n">
        <v/>
      </c>
      <c r="T4837" t="inlineStr">
        <is>
          <t>19</t>
        </is>
      </c>
      <c r="U4837" t="inlineStr">
        <is>
          <t>12</t>
        </is>
      </c>
      <c r="V4837" t="n">
        <v/>
      </c>
      <c r="W4837" t="n">
        <v/>
      </c>
    </row>
    <row r="4838">
      <c r="A4838" t="inlineStr">
        <is>
          <t>20/12/2025 7:05:22</t>
        </is>
      </c>
      <c r="B4838" t="inlineStr">
        <is>
          <t>Lê Hồng Phong</t>
        </is>
      </c>
      <c r="C4838" t="inlineStr">
        <is>
          <t>20/12/2025</t>
        </is>
      </c>
      <c r="D4838" t="n">
        <v>1</v>
      </c>
      <c r="E4838" t="n">
        <v>1</v>
      </c>
      <c r="F4838" t="n">
        <v>1</v>
      </c>
      <c r="G4838" t="n">
        <v>0</v>
      </c>
      <c r="H4838" t="n">
        <v>0</v>
      </c>
      <c r="I4838" t="n">
        <v>1</v>
      </c>
      <c r="J4838" t="n">
        <v>1</v>
      </c>
      <c r="K4838" t="n">
        <v>1</v>
      </c>
      <c r="L4838" t="n">
        <v>1</v>
      </c>
      <c r="M4838" t="n">
        <v>1</v>
      </c>
      <c r="N4838" t="n">
        <v>1</v>
      </c>
      <c r="O4838" t="n">
        <v>1</v>
      </c>
      <c r="P4838" t="n">
        <v>1</v>
      </c>
      <c r="Q4838" t="n">
        <v>1</v>
      </c>
      <c r="R4838" t="n">
        <v>1</v>
      </c>
      <c r="S4838" t="n">
        <v/>
      </c>
      <c r="T4838" t="inlineStr">
        <is>
          <t>20</t>
        </is>
      </c>
      <c r="U4838" t="inlineStr">
        <is>
          <t>12</t>
        </is>
      </c>
      <c r="V4838" t="n">
        <v/>
      </c>
      <c r="W4838" t="n">
        <v/>
      </c>
    </row>
    <row r="4839">
      <c r="A4839" t="inlineStr">
        <is>
          <t>20/12/2025 7:05:26</t>
        </is>
      </c>
      <c r="B4839" t="inlineStr">
        <is>
          <t>Lương Duy Hải</t>
        </is>
      </c>
      <c r="C4839" t="inlineStr">
        <is>
          <t>19/12/2025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2</v>
      </c>
      <c r="K4839" t="n">
        <v>5</v>
      </c>
      <c r="L4839" t="n">
        <v>0</v>
      </c>
      <c r="M4839" t="n">
        <v>0</v>
      </c>
      <c r="N4839" t="n">
        <v>0</v>
      </c>
      <c r="O4839" t="n">
        <v>0</v>
      </c>
      <c r="P4839" t="n">
        <v>1</v>
      </c>
      <c r="Q4839" t="n">
        <v>2</v>
      </c>
      <c r="R4839" t="n">
        <v>1</v>
      </c>
      <c r="S4839" t="n">
        <v/>
      </c>
      <c r="T4839" t="inlineStr">
        <is>
          <t>19</t>
        </is>
      </c>
      <c r="U4839" t="inlineStr">
        <is>
          <t>12</t>
        </is>
      </c>
      <c r="V4839" t="n">
        <v/>
      </c>
      <c r="W4839" t="n">
        <v/>
      </c>
    </row>
    <row r="4840">
      <c r="A4840" t="inlineStr">
        <is>
          <t>20/12/2025 7:07:04</t>
        </is>
      </c>
      <c r="B4840" t="inlineStr">
        <is>
          <t>Lê Quốc Duy</t>
        </is>
      </c>
      <c r="C4840" t="inlineStr">
        <is>
          <t>19/12/2025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3</v>
      </c>
      <c r="K4840" t="n">
        <v>0</v>
      </c>
      <c r="L4840" t="n">
        <v>2</v>
      </c>
      <c r="M4840" t="n">
        <v>0</v>
      </c>
      <c r="N4840" t="n">
        <v>1</v>
      </c>
      <c r="O4840" t="n">
        <v>0</v>
      </c>
      <c r="P4840" t="n">
        <v>1</v>
      </c>
      <c r="Q4840" t="n">
        <v>1</v>
      </c>
      <c r="R4840" t="n">
        <v>3</v>
      </c>
      <c r="S4840" t="n">
        <v/>
      </c>
      <c r="T4840" t="inlineStr">
        <is>
          <t>19</t>
        </is>
      </c>
      <c r="U4840" t="inlineStr">
        <is>
          <t>12</t>
        </is>
      </c>
      <c r="V4840" t="n">
        <v/>
      </c>
      <c r="W4840" t="n">
        <v/>
      </c>
    </row>
    <row r="4841">
      <c r="A4841" t="inlineStr">
        <is>
          <t>20/12/2025 7:08:24</t>
        </is>
      </c>
      <c r="B4841" t="inlineStr">
        <is>
          <t>Hồ Thái Minh Trí</t>
        </is>
      </c>
      <c r="C4841" t="inlineStr">
        <is>
          <t>19/12/2025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1</v>
      </c>
      <c r="Q4841" t="n">
        <v>5</v>
      </c>
      <c r="R4841" t="n">
        <v>0</v>
      </c>
      <c r="S4841" t="n">
        <v/>
      </c>
      <c r="T4841" t="inlineStr">
        <is>
          <t>19</t>
        </is>
      </c>
      <c r="U4841" t="inlineStr">
        <is>
          <t>12</t>
        </is>
      </c>
      <c r="V4841" t="n">
        <v/>
      </c>
      <c r="W4841" t="n">
        <v/>
      </c>
    </row>
    <row r="4842">
      <c r="A4842" t="inlineStr">
        <is>
          <t>20/12/2025 7:08:30</t>
        </is>
      </c>
      <c r="B4842" t="inlineStr">
        <is>
          <t>Vòng Nhật Sang</t>
        </is>
      </c>
      <c r="C4842" t="inlineStr">
        <is>
          <t>19/12/2025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6</v>
      </c>
      <c r="L4842" t="n">
        <v>0</v>
      </c>
      <c r="M4842" t="n">
        <v>0</v>
      </c>
      <c r="N4842" t="n">
        <v>0</v>
      </c>
      <c r="O4842" t="n">
        <v>0</v>
      </c>
      <c r="P4842" t="n">
        <v>1</v>
      </c>
      <c r="Q4842" t="n">
        <v>2</v>
      </c>
      <c r="R4842" t="n">
        <v>0</v>
      </c>
      <c r="S4842" t="n">
        <v/>
      </c>
      <c r="T4842" t="inlineStr">
        <is>
          <t>19</t>
        </is>
      </c>
      <c r="U4842" t="inlineStr">
        <is>
          <t>12</t>
        </is>
      </c>
      <c r="V4842" t="n">
        <v/>
      </c>
      <c r="W4842" t="n">
        <v/>
      </c>
    </row>
    <row r="4843">
      <c r="A4843" t="inlineStr">
        <is>
          <t>20/12/2025 7:10:57</t>
        </is>
      </c>
      <c r="B4843" t="inlineStr">
        <is>
          <t>Lương Duy Hoàng</t>
        </is>
      </c>
      <c r="C4843" t="inlineStr">
        <is>
          <t>19/12/2025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2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/>
      </c>
      <c r="T4843" t="inlineStr">
        <is>
          <t>19</t>
        </is>
      </c>
      <c r="U4843" t="inlineStr">
        <is>
          <t>12</t>
        </is>
      </c>
      <c r="V4843" t="n">
        <v/>
      </c>
      <c r="W4843" t="n">
        <v/>
      </c>
    </row>
    <row r="4844">
      <c r="A4844" t="inlineStr">
        <is>
          <t>20/12/2025 7:12:47</t>
        </is>
      </c>
      <c r="B4844" t="inlineStr">
        <is>
          <t>Nguyễn Tuấn Anh</t>
        </is>
      </c>
      <c r="C4844" t="inlineStr">
        <is>
          <t>19/12/2025</t>
        </is>
      </c>
      <c r="D4844" t="n">
        <v>1</v>
      </c>
      <c r="E4844" t="n">
        <v>1</v>
      </c>
      <c r="F4844" t="n">
        <v>2</v>
      </c>
      <c r="G4844" t="n">
        <v>0</v>
      </c>
      <c r="H4844" t="n">
        <v>0</v>
      </c>
      <c r="I4844" t="n">
        <v>1</v>
      </c>
      <c r="J4844" t="n">
        <v>0</v>
      </c>
      <c r="K4844" t="n">
        <v>21</v>
      </c>
      <c r="L4844" t="n">
        <v>0</v>
      </c>
      <c r="M4844" t="n">
        <v>0</v>
      </c>
      <c r="N4844" t="n">
        <v>0</v>
      </c>
      <c r="O4844" t="n">
        <v>0</v>
      </c>
      <c r="P4844" t="n">
        <v>1</v>
      </c>
      <c r="Q4844" t="n">
        <v>6</v>
      </c>
      <c r="R4844" t="n">
        <v>0</v>
      </c>
      <c r="S4844" t="n">
        <v/>
      </c>
      <c r="T4844" t="inlineStr">
        <is>
          <t>19</t>
        </is>
      </c>
      <c r="U4844" t="inlineStr">
        <is>
          <t>12</t>
        </is>
      </c>
      <c r="V4844" t="n">
        <v/>
      </c>
      <c r="W4844" t="n">
        <v/>
      </c>
    </row>
    <row r="4845">
      <c r="A4845" t="inlineStr">
        <is>
          <t>20/12/2025 7:15:44</t>
        </is>
      </c>
      <c r="B4845" t="inlineStr">
        <is>
          <t>Nguyễn Thành Lâm</t>
        </is>
      </c>
      <c r="C4845" t="inlineStr">
        <is>
          <t>19/12/2025</t>
        </is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1</v>
      </c>
      <c r="K4845" t="n">
        <v>4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4</v>
      </c>
      <c r="R4845" t="n">
        <v>0</v>
      </c>
      <c r="S4845" t="n">
        <v/>
      </c>
      <c r="T4845" t="inlineStr">
        <is>
          <t>19</t>
        </is>
      </c>
      <c r="U4845" t="inlineStr">
        <is>
          <t>12</t>
        </is>
      </c>
      <c r="V4845" t="n">
        <v/>
      </c>
      <c r="W4845" t="n">
        <v/>
      </c>
    </row>
    <row r="4846">
      <c r="A4846" t="inlineStr">
        <is>
          <t>20/12/2025 7:17:23</t>
        </is>
      </c>
      <c r="B4846" t="inlineStr">
        <is>
          <t>Đặng Hoài Anh</t>
        </is>
      </c>
      <c r="C4846" t="inlineStr">
        <is>
          <t>19/12/2025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3</v>
      </c>
      <c r="R4846" t="n">
        <v>0</v>
      </c>
      <c r="S4846" t="n">
        <v/>
      </c>
      <c r="T4846" t="inlineStr">
        <is>
          <t>19</t>
        </is>
      </c>
      <c r="U4846" t="inlineStr">
        <is>
          <t>12</t>
        </is>
      </c>
      <c r="V4846" t="n">
        <v/>
      </c>
      <c r="W4846" t="n">
        <v/>
      </c>
    </row>
    <row r="4847">
      <c r="A4847" t="inlineStr">
        <is>
          <t>20/12/2025 7:31:16</t>
        </is>
      </c>
      <c r="B4847" t="inlineStr">
        <is>
          <t>Trần Trung Giang</t>
        </is>
      </c>
      <c r="C4847" t="inlineStr">
        <is>
          <t>19/12/2025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8</v>
      </c>
      <c r="L4847" t="n">
        <v>0</v>
      </c>
      <c r="M4847" t="n">
        <v>0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/>
      </c>
      <c r="T4847" t="inlineStr">
        <is>
          <t>19</t>
        </is>
      </c>
      <c r="U4847" t="inlineStr">
        <is>
          <t>12</t>
        </is>
      </c>
      <c r="V4847" t="n">
        <v/>
      </c>
      <c r="W4847" t="n">
        <v/>
      </c>
    </row>
    <row r="4848">
      <c r="A4848" t="inlineStr">
        <is>
          <t>20/12/2025 7:33:11</t>
        </is>
      </c>
      <c r="B4848" t="inlineStr">
        <is>
          <t>Trần Xuân Khoa</t>
        </is>
      </c>
      <c r="C4848" t="inlineStr">
        <is>
          <t>19/12/2025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4</v>
      </c>
      <c r="L4848" t="n">
        <v>0</v>
      </c>
      <c r="M4848" t="n">
        <v>0</v>
      </c>
      <c r="N4848" t="n">
        <v>0</v>
      </c>
      <c r="O4848" t="n">
        <v>0</v>
      </c>
      <c r="P4848" t="n">
        <v>1</v>
      </c>
      <c r="Q4848" t="n">
        <v>3</v>
      </c>
      <c r="R4848" t="n">
        <v>0</v>
      </c>
      <c r="S4848" t="n">
        <v/>
      </c>
      <c r="T4848" t="inlineStr">
        <is>
          <t>19</t>
        </is>
      </c>
      <c r="U4848" t="inlineStr">
        <is>
          <t>12</t>
        </is>
      </c>
      <c r="V4848" t="n">
        <v/>
      </c>
      <c r="W4848" t="n">
        <v/>
      </c>
    </row>
    <row r="4849">
      <c r="A4849" t="inlineStr">
        <is>
          <t>20/12/2025 7:36:20</t>
        </is>
      </c>
      <c r="B4849" t="inlineStr">
        <is>
          <t>Huỳnh Văn Lực</t>
        </is>
      </c>
      <c r="C4849" t="inlineStr">
        <is>
          <t>19/12/2025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3</v>
      </c>
      <c r="L4849" t="n">
        <v>0</v>
      </c>
      <c r="M4849" t="n">
        <v>0</v>
      </c>
      <c r="N4849" t="n">
        <v>0</v>
      </c>
      <c r="O4849" t="n">
        <v>0</v>
      </c>
      <c r="P4849" t="n">
        <v>1</v>
      </c>
      <c r="Q4849" t="n">
        <v>2</v>
      </c>
      <c r="R4849" t="n">
        <v>0</v>
      </c>
      <c r="S4849" t="n">
        <v/>
      </c>
      <c r="T4849" t="inlineStr">
        <is>
          <t>19</t>
        </is>
      </c>
      <c r="U4849" t="inlineStr">
        <is>
          <t>12</t>
        </is>
      </c>
      <c r="V4849" t="n">
        <v/>
      </c>
      <c r="W4849" t="n">
        <v/>
      </c>
    </row>
    <row r="4850">
      <c r="A4850" t="inlineStr">
        <is>
          <t>20/12/2025 7:37:38</t>
        </is>
      </c>
      <c r="B4850" t="inlineStr">
        <is>
          <t>Bùi Duy Cường</t>
        </is>
      </c>
      <c r="C4850" t="inlineStr">
        <is>
          <t>19/12/2025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4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/>
      </c>
      <c r="T4850" t="inlineStr">
        <is>
          <t>19</t>
        </is>
      </c>
      <c r="U4850" t="inlineStr">
        <is>
          <t>12</t>
        </is>
      </c>
      <c r="V4850" t="n">
        <v/>
      </c>
      <c r="W4850" t="n">
        <v/>
      </c>
    </row>
    <row r="4851">
      <c r="A4851" t="inlineStr">
        <is>
          <t>20/12/2025 7:37:48</t>
        </is>
      </c>
      <c r="B4851" t="inlineStr">
        <is>
          <t>Trần Minh Khánh</t>
        </is>
      </c>
      <c r="C4851" t="inlineStr">
        <is>
          <t>19/12/2025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13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2</v>
      </c>
      <c r="R4851" t="n">
        <v>0</v>
      </c>
      <c r="S4851" t="n">
        <v/>
      </c>
      <c r="T4851" t="inlineStr">
        <is>
          <t>19</t>
        </is>
      </c>
      <c r="U4851" t="inlineStr">
        <is>
          <t>12</t>
        </is>
      </c>
      <c r="V4851" t="n">
        <v/>
      </c>
      <c r="W4851" t="n">
        <v/>
      </c>
    </row>
    <row r="4852">
      <c r="A4852" t="inlineStr">
        <is>
          <t>20/12/2025 7:41:34</t>
        </is>
      </c>
      <c r="B4852" t="inlineStr">
        <is>
          <t>Nguyễn Hồng Minh</t>
        </is>
      </c>
      <c r="C4852" t="inlineStr">
        <is>
          <t>19/12/2025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2</v>
      </c>
      <c r="J4852" t="n">
        <v>0</v>
      </c>
      <c r="K4852" t="n">
        <v>7</v>
      </c>
      <c r="L4852" t="n">
        <v>0</v>
      </c>
      <c r="M4852" t="n">
        <v>2</v>
      </c>
      <c r="N4852" t="n">
        <v>1</v>
      </c>
      <c r="O4852" t="n">
        <v>1</v>
      </c>
      <c r="P4852" t="n">
        <v>0</v>
      </c>
      <c r="Q4852" t="n">
        <v>6</v>
      </c>
      <c r="R4852" t="n">
        <v>0</v>
      </c>
      <c r="S4852" t="n">
        <v/>
      </c>
      <c r="T4852" t="inlineStr">
        <is>
          <t>19</t>
        </is>
      </c>
      <c r="U4852" t="inlineStr">
        <is>
          <t>12</t>
        </is>
      </c>
      <c r="V4852" t="n">
        <v/>
      </c>
      <c r="W4852" t="n">
        <v/>
      </c>
    </row>
    <row r="4853">
      <c r="A4853" t="inlineStr">
        <is>
          <t>20/12/2025 8:03:45</t>
        </is>
      </c>
      <c r="B4853" t="inlineStr">
        <is>
          <t>Lê Văn Hồng</t>
        </is>
      </c>
      <c r="C4853" t="inlineStr">
        <is>
          <t>19/12/2025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7</v>
      </c>
      <c r="L4853" t="n">
        <v>0</v>
      </c>
      <c r="M4853" t="n">
        <v>0</v>
      </c>
      <c r="N4853" t="n">
        <v>0</v>
      </c>
      <c r="O4853" t="n">
        <v>0</v>
      </c>
      <c r="P4853" t="n">
        <v>2</v>
      </c>
      <c r="Q4853" t="n">
        <v>2</v>
      </c>
      <c r="R4853" t="n">
        <v>1</v>
      </c>
      <c r="S4853" t="n">
        <v/>
      </c>
      <c r="T4853" t="inlineStr">
        <is>
          <t>19</t>
        </is>
      </c>
      <c r="U4853" t="inlineStr">
        <is>
          <t>12</t>
        </is>
      </c>
      <c r="V4853" t="n">
        <v/>
      </c>
      <c r="W4853" t="n">
        <v/>
      </c>
    </row>
    <row r="4854">
      <c r="A4854" t="inlineStr">
        <is>
          <t>20/12/2025 17:33:08</t>
        </is>
      </c>
      <c r="B4854" t="inlineStr">
        <is>
          <t>Nguyễn Văn Nhật</t>
        </is>
      </c>
      <c r="C4854" t="inlineStr">
        <is>
          <t>19/12/2025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6</v>
      </c>
      <c r="L4854" t="n">
        <v>1</v>
      </c>
      <c r="M4854" t="n">
        <v>1</v>
      </c>
      <c r="N4854" t="n">
        <v>0</v>
      </c>
      <c r="O4854" t="n">
        <v>1</v>
      </c>
      <c r="P4854" t="n">
        <v>1</v>
      </c>
      <c r="Q4854" t="n">
        <v>3</v>
      </c>
      <c r="R4854" t="n">
        <v>0</v>
      </c>
      <c r="S4854" t="n">
        <v/>
      </c>
      <c r="T4854" t="inlineStr">
        <is>
          <t>19</t>
        </is>
      </c>
      <c r="U4854" t="inlineStr">
        <is>
          <t>12</t>
        </is>
      </c>
      <c r="V4854" t="n">
        <v/>
      </c>
      <c r="W4854" t="n">
        <v/>
      </c>
    </row>
    <row r="4855">
      <c r="A4855" t="inlineStr">
        <is>
          <t>20/12/2025 23:26:45</t>
        </is>
      </c>
      <c r="B4855" t="inlineStr">
        <is>
          <t>Lê Quốc Duy</t>
        </is>
      </c>
      <c r="C4855" t="inlineStr">
        <is>
          <t>20/12/2025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1</v>
      </c>
      <c r="K4855" t="n">
        <v>8</v>
      </c>
      <c r="L4855" t="n">
        <v>2</v>
      </c>
      <c r="M4855" t="n">
        <v>0</v>
      </c>
      <c r="N4855" t="n">
        <v>0</v>
      </c>
      <c r="O4855" t="n">
        <v>0</v>
      </c>
      <c r="P4855" t="n">
        <v>1</v>
      </c>
      <c r="Q4855" t="n">
        <v>4</v>
      </c>
      <c r="R4855" t="n">
        <v>1</v>
      </c>
      <c r="S4855" t="n">
        <v/>
      </c>
      <c r="T4855" t="inlineStr">
        <is>
          <t>20</t>
        </is>
      </c>
      <c r="U4855" t="inlineStr">
        <is>
          <t>12</t>
        </is>
      </c>
      <c r="V4855" t="n">
        <v/>
      </c>
      <c r="W4855" t="n">
        <v/>
      </c>
    </row>
    <row r="4856">
      <c r="A4856" t="inlineStr">
        <is>
          <t>21/12/2025 6:28:28</t>
        </is>
      </c>
      <c r="B4856" t="inlineStr">
        <is>
          <t>Trần Minh Khánh</t>
        </is>
      </c>
      <c r="C4856" t="inlineStr">
        <is>
          <t>20/12/2025</t>
        </is>
      </c>
      <c r="D4856" t="n">
        <v>0</v>
      </c>
      <c r="E4856" t="n">
        <v>0</v>
      </c>
      <c r="F4856" t="n">
        <v>0</v>
      </c>
      <c r="G4856" t="n">
        <v>1</v>
      </c>
      <c r="H4856" t="n">
        <v>0</v>
      </c>
      <c r="I4856" t="n">
        <v>1</v>
      </c>
      <c r="J4856" t="n">
        <v>0</v>
      </c>
      <c r="K4856" t="n">
        <v>2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4</v>
      </c>
      <c r="R4856" t="n">
        <v>0</v>
      </c>
      <c r="S4856" t="n">
        <v/>
      </c>
      <c r="T4856" t="inlineStr">
        <is>
          <t>20</t>
        </is>
      </c>
      <c r="U4856" t="inlineStr">
        <is>
          <t>12</t>
        </is>
      </c>
      <c r="V4856" t="n">
        <v/>
      </c>
      <c r="W4856" t="n">
        <v/>
      </c>
    </row>
    <row r="4857">
      <c r="A4857" t="inlineStr">
        <is>
          <t>21/12/2025 6:32:03</t>
        </is>
      </c>
      <c r="B4857" t="inlineStr">
        <is>
          <t>Hoàng Văn Chất</t>
        </is>
      </c>
      <c r="C4857" t="inlineStr">
        <is>
          <t>20/12/2025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38</v>
      </c>
      <c r="L4857" t="n">
        <v>2</v>
      </c>
      <c r="M4857" t="n">
        <v>2</v>
      </c>
      <c r="N4857" t="n">
        <v>0</v>
      </c>
      <c r="O4857" t="n">
        <v>0</v>
      </c>
      <c r="P4857" t="n">
        <v>1</v>
      </c>
      <c r="Q4857" t="n">
        <v>3</v>
      </c>
      <c r="R4857" t="n">
        <v>0</v>
      </c>
      <c r="S4857" t="n">
        <v/>
      </c>
      <c r="T4857" t="inlineStr">
        <is>
          <t>20</t>
        </is>
      </c>
      <c r="U4857" t="inlineStr">
        <is>
          <t>12</t>
        </is>
      </c>
      <c r="V4857" t="n">
        <v/>
      </c>
      <c r="W4857" t="n">
        <v/>
      </c>
    </row>
    <row r="4858">
      <c r="A4858" t="inlineStr">
        <is>
          <t>21/12/2025 6:55:06</t>
        </is>
      </c>
      <c r="B4858" t="inlineStr">
        <is>
          <t>Vòng Nhật Sang</t>
        </is>
      </c>
      <c r="C4858" t="inlineStr">
        <is>
          <t>20/12/2025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4</v>
      </c>
      <c r="L4858" t="n">
        <v>0</v>
      </c>
      <c r="M4858" t="n">
        <v>0</v>
      </c>
      <c r="N4858" t="n">
        <v>0</v>
      </c>
      <c r="O4858" t="n">
        <v>0</v>
      </c>
      <c r="P4858" t="n">
        <v>2</v>
      </c>
      <c r="Q4858" t="n">
        <v>2</v>
      </c>
      <c r="R4858" t="n">
        <v>0</v>
      </c>
      <c r="S4858" t="n">
        <v/>
      </c>
      <c r="T4858" t="inlineStr">
        <is>
          <t>20</t>
        </is>
      </c>
      <c r="U4858" t="inlineStr">
        <is>
          <t>12</t>
        </is>
      </c>
      <c r="V4858" t="n">
        <v/>
      </c>
      <c r="W4858" t="n">
        <v/>
      </c>
    </row>
    <row r="4859">
      <c r="A4859" t="inlineStr">
        <is>
          <t>21/12/2025 6:58:39</t>
        </is>
      </c>
      <c r="B4859" t="inlineStr">
        <is>
          <t>Dương Minh Tiến</t>
        </is>
      </c>
      <c r="C4859" t="inlineStr">
        <is>
          <t>20/12/2025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14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/>
      </c>
      <c r="T4859" t="inlineStr">
        <is>
          <t>20</t>
        </is>
      </c>
      <c r="U4859" t="inlineStr">
        <is>
          <t>12</t>
        </is>
      </c>
      <c r="V4859" t="n">
        <v/>
      </c>
      <c r="W4859" t="n">
        <v/>
      </c>
    </row>
    <row r="4860">
      <c r="A4860" t="inlineStr">
        <is>
          <t>21/12/2025 7:02:46</t>
        </is>
      </c>
      <c r="B4860" t="inlineStr">
        <is>
          <t>Phan Ngọc Sang</t>
        </is>
      </c>
      <c r="C4860" t="inlineStr">
        <is>
          <t>20/12/2025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2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/>
      </c>
      <c r="T4860" t="inlineStr">
        <is>
          <t>20</t>
        </is>
      </c>
      <c r="U4860" t="inlineStr">
        <is>
          <t>12</t>
        </is>
      </c>
      <c r="V4860" t="n">
        <v/>
      </c>
      <c r="W4860" t="n">
        <v/>
      </c>
    </row>
    <row r="4861">
      <c r="A4861" t="inlineStr">
        <is>
          <t>21/12/2025 7:11:21</t>
        </is>
      </c>
      <c r="B4861" t="inlineStr">
        <is>
          <t>Hồ Thái Minh Trí</t>
        </is>
      </c>
      <c r="C4861" t="inlineStr">
        <is>
          <t>20/12/2025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13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2</v>
      </c>
      <c r="R4861" t="n">
        <v>0</v>
      </c>
      <c r="S4861" t="n">
        <v/>
      </c>
      <c r="T4861" t="inlineStr">
        <is>
          <t>20</t>
        </is>
      </c>
      <c r="U4861" t="inlineStr">
        <is>
          <t>12</t>
        </is>
      </c>
      <c r="V4861" t="n">
        <v/>
      </c>
      <c r="W4861" t="n">
        <v/>
      </c>
    </row>
    <row r="4862">
      <c r="A4862" t="inlineStr">
        <is>
          <t>21/12/2025 7:14:23</t>
        </is>
      </c>
      <c r="B4862" t="inlineStr">
        <is>
          <t>Trần Trung Giang</t>
        </is>
      </c>
      <c r="C4862" t="inlineStr">
        <is>
          <t>20/12/2025</t>
        </is>
      </c>
      <c r="D4862" t="n">
        <v>1</v>
      </c>
      <c r="E4862" t="n">
        <v>0</v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2</v>
      </c>
      <c r="L4862" t="n">
        <v>0</v>
      </c>
      <c r="M4862" t="n">
        <v>1</v>
      </c>
      <c r="N4862" t="n">
        <v>0</v>
      </c>
      <c r="O4862" t="n">
        <v>0</v>
      </c>
      <c r="P4862" t="n">
        <v>3</v>
      </c>
      <c r="Q4862" t="n">
        <v>0</v>
      </c>
      <c r="R4862" t="n">
        <v>0</v>
      </c>
      <c r="S4862" t="n">
        <v/>
      </c>
      <c r="T4862" t="inlineStr">
        <is>
          <t>20</t>
        </is>
      </c>
      <c r="U4862" t="inlineStr">
        <is>
          <t>12</t>
        </is>
      </c>
      <c r="V4862" t="n">
        <v/>
      </c>
      <c r="W4862" t="n">
        <v/>
      </c>
    </row>
    <row r="4863">
      <c r="A4863" t="inlineStr">
        <is>
          <t>21/12/2025 7:16:10</t>
        </is>
      </c>
      <c r="B4863" t="inlineStr">
        <is>
          <t>Nguyễn Quang Anh Tuấn</t>
        </is>
      </c>
      <c r="C4863" t="inlineStr">
        <is>
          <t>20/12/2025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33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/>
      </c>
      <c r="T4863" t="inlineStr">
        <is>
          <t>20</t>
        </is>
      </c>
      <c r="U4863" t="inlineStr">
        <is>
          <t>12</t>
        </is>
      </c>
      <c r="V4863" t="n">
        <v/>
      </c>
      <c r="W4863" t="n">
        <v/>
      </c>
    </row>
    <row r="4864">
      <c r="A4864" t="inlineStr">
        <is>
          <t>21/12/2025 7:16:48</t>
        </is>
      </c>
      <c r="B4864" t="inlineStr">
        <is>
          <t>Hồ Xuân Việt</t>
        </is>
      </c>
      <c r="C4864" t="inlineStr">
        <is>
          <t>20/12/2025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4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/>
      </c>
      <c r="T4864" t="inlineStr">
        <is>
          <t>20</t>
        </is>
      </c>
      <c r="U4864" t="inlineStr">
        <is>
          <t>12</t>
        </is>
      </c>
      <c r="V4864" t="n">
        <v/>
      </c>
      <c r="W4864" t="n">
        <v/>
      </c>
    </row>
    <row r="4865">
      <c r="A4865" t="inlineStr">
        <is>
          <t>21/12/2025 7:17:15</t>
        </is>
      </c>
      <c r="B4865" t="inlineStr">
        <is>
          <t>Lương Duy Hoàng</t>
        </is>
      </c>
      <c r="C4865" t="inlineStr">
        <is>
          <t>20/12/2025</t>
        </is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3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/>
      </c>
      <c r="T4865" t="inlineStr">
        <is>
          <t>20</t>
        </is>
      </c>
      <c r="U4865" t="inlineStr">
        <is>
          <t>12</t>
        </is>
      </c>
      <c r="V4865" t="n">
        <v/>
      </c>
      <c r="W4865" t="n">
        <v/>
      </c>
    </row>
    <row r="4866">
      <c r="A4866" t="inlineStr">
        <is>
          <t>21/12/2025 7:21:02</t>
        </is>
      </c>
      <c r="B4866" t="inlineStr">
        <is>
          <t>Nguyễn Tuấn Anh</t>
        </is>
      </c>
      <c r="C4866" t="inlineStr">
        <is>
          <t>20/12/2025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5</v>
      </c>
      <c r="L4866" t="n">
        <v>0</v>
      </c>
      <c r="M4866" t="n">
        <v>0</v>
      </c>
      <c r="N4866" t="n">
        <v>0</v>
      </c>
      <c r="O4866" t="n">
        <v>0</v>
      </c>
      <c r="P4866" t="n">
        <v>1</v>
      </c>
      <c r="Q4866" t="n">
        <v>6</v>
      </c>
      <c r="R4866" t="n">
        <v>0</v>
      </c>
      <c r="S4866" t="n">
        <v/>
      </c>
      <c r="T4866" t="inlineStr">
        <is>
          <t>20</t>
        </is>
      </c>
      <c r="U4866" t="inlineStr">
        <is>
          <t>12</t>
        </is>
      </c>
      <c r="V4866" t="n">
        <v/>
      </c>
      <c r="W4866" t="n">
        <v/>
      </c>
    </row>
    <row r="4867">
      <c r="A4867" t="inlineStr">
        <is>
          <t>21/12/2025 7:21:35</t>
        </is>
      </c>
      <c r="B4867" t="inlineStr">
        <is>
          <t>Nguyễn Thành Lâm</t>
        </is>
      </c>
      <c r="C4867" t="inlineStr">
        <is>
          <t>20/12/2025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2</v>
      </c>
      <c r="L4867" t="n">
        <v>0</v>
      </c>
      <c r="M4867" t="n">
        <v>2</v>
      </c>
      <c r="N4867" t="n">
        <v>0</v>
      </c>
      <c r="O4867" t="n">
        <v>0</v>
      </c>
      <c r="P4867" t="n">
        <v>1</v>
      </c>
      <c r="Q4867" t="n">
        <v>5</v>
      </c>
      <c r="R4867" t="n">
        <v>0</v>
      </c>
      <c r="S4867" t="n">
        <v/>
      </c>
      <c r="T4867" t="inlineStr">
        <is>
          <t>20</t>
        </is>
      </c>
      <c r="U4867" t="inlineStr">
        <is>
          <t>12</t>
        </is>
      </c>
      <c r="V4867" t="n">
        <v/>
      </c>
      <c r="W4867" t="n">
        <v/>
      </c>
    </row>
    <row r="4868">
      <c r="A4868" t="inlineStr">
        <is>
          <t>21/12/2025 7:23:26</t>
        </is>
      </c>
      <c r="B4868" t="inlineStr">
        <is>
          <t>Lê Hồng Phong</t>
        </is>
      </c>
      <c r="C4868" t="inlineStr">
        <is>
          <t>21/12/2025</t>
        </is>
      </c>
      <c r="D4868" t="n">
        <v>1</v>
      </c>
      <c r="E4868" t="n">
        <v>1</v>
      </c>
      <c r="F4868" t="n">
        <v>1</v>
      </c>
      <c r="G4868" t="n">
        <v>0</v>
      </c>
      <c r="H4868" t="n">
        <v>0</v>
      </c>
      <c r="I4868" t="n">
        <v>1</v>
      </c>
      <c r="J4868" t="n">
        <v>1</v>
      </c>
      <c r="K4868" t="n">
        <v>1</v>
      </c>
      <c r="L4868" t="n">
        <v>1</v>
      </c>
      <c r="M4868" t="n">
        <v>1</v>
      </c>
      <c r="N4868" t="n">
        <v>0</v>
      </c>
      <c r="O4868" t="n">
        <v>1</v>
      </c>
      <c r="P4868" t="n">
        <v>1</v>
      </c>
      <c r="Q4868" t="n">
        <v>1</v>
      </c>
      <c r="R4868" t="n">
        <v>1</v>
      </c>
      <c r="S4868" t="n">
        <v/>
      </c>
      <c r="T4868" t="inlineStr">
        <is>
          <t>21</t>
        </is>
      </c>
      <c r="U4868" t="inlineStr">
        <is>
          <t>12</t>
        </is>
      </c>
      <c r="V4868" t="n">
        <v/>
      </c>
      <c r="W4868" t="n">
        <v/>
      </c>
    </row>
    <row r="4869">
      <c r="A4869" t="inlineStr">
        <is>
          <t>21/12/2025 7:30:09</t>
        </is>
      </c>
      <c r="B4869" t="inlineStr">
        <is>
          <t>Nguyễn Hồng Minh</t>
        </is>
      </c>
      <c r="C4869" t="inlineStr">
        <is>
          <t>20/12/2025</t>
        </is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12</v>
      </c>
      <c r="L4869" t="n">
        <v>0</v>
      </c>
      <c r="M4869" t="n">
        <v>1</v>
      </c>
      <c r="N4869" t="n">
        <v>1</v>
      </c>
      <c r="O4869" t="n">
        <v>0</v>
      </c>
      <c r="P4869" t="n">
        <v>0</v>
      </c>
      <c r="Q4869" t="n">
        <v>5</v>
      </c>
      <c r="R4869" t="n">
        <v>0</v>
      </c>
      <c r="S4869" t="n">
        <v/>
      </c>
      <c r="T4869" t="inlineStr">
        <is>
          <t>20</t>
        </is>
      </c>
      <c r="U4869" t="inlineStr">
        <is>
          <t>12</t>
        </is>
      </c>
      <c r="V4869" t="n">
        <v/>
      </c>
      <c r="W4869" t="n">
        <v/>
      </c>
    </row>
    <row r="4870">
      <c r="A4870" t="inlineStr">
        <is>
          <t>21/12/2025 7:36:55</t>
        </is>
      </c>
      <c r="B4870" t="inlineStr">
        <is>
          <t>Đặng Hữu Danh</t>
        </is>
      </c>
      <c r="C4870" t="inlineStr">
        <is>
          <t>20/12/2025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7</v>
      </c>
      <c r="L4870" t="n">
        <v>0</v>
      </c>
      <c r="M4870" t="n">
        <v>0</v>
      </c>
      <c r="N4870" t="n">
        <v>0</v>
      </c>
      <c r="O4870" t="n">
        <v>0</v>
      </c>
      <c r="P4870" t="n">
        <v>1</v>
      </c>
      <c r="Q4870" t="n">
        <v>2</v>
      </c>
      <c r="R4870" t="n">
        <v>1</v>
      </c>
      <c r="S4870" t="n">
        <v/>
      </c>
      <c r="T4870" t="inlineStr">
        <is>
          <t>20</t>
        </is>
      </c>
      <c r="U4870" t="inlineStr">
        <is>
          <t>12</t>
        </is>
      </c>
      <c r="V4870" t="n">
        <v/>
      </c>
      <c r="W4870" t="n">
        <v/>
      </c>
    </row>
    <row r="4871">
      <c r="A4871" t="inlineStr">
        <is>
          <t>21/12/2025 7:50:38</t>
        </is>
      </c>
      <c r="B4871" t="inlineStr">
        <is>
          <t>Đặng Hoài Anh</t>
        </is>
      </c>
      <c r="C4871" t="inlineStr">
        <is>
          <t>20/12/2025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10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/>
      </c>
      <c r="T4871" t="inlineStr">
        <is>
          <t>20</t>
        </is>
      </c>
      <c r="U4871" t="inlineStr">
        <is>
          <t>12</t>
        </is>
      </c>
      <c r="V4871" t="n">
        <v/>
      </c>
      <c r="W4871" t="n">
        <v/>
      </c>
    </row>
    <row r="4872">
      <c r="A4872" t="inlineStr">
        <is>
          <t>21/12/2025 8:09:19</t>
        </is>
      </c>
      <c r="B4872" t="inlineStr">
        <is>
          <t>Phan Thành Thái</t>
        </is>
      </c>
      <c r="C4872" t="inlineStr">
        <is>
          <t>20/12/2025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6</v>
      </c>
      <c r="L4872" t="n">
        <v>2</v>
      </c>
      <c r="M4872" t="n">
        <v>0</v>
      </c>
      <c r="N4872" t="n">
        <v>0</v>
      </c>
      <c r="O4872" t="n">
        <v>0</v>
      </c>
      <c r="P4872" t="n">
        <v>0</v>
      </c>
      <c r="Q4872" t="n">
        <v>9</v>
      </c>
      <c r="R4872" t="n">
        <v>0</v>
      </c>
      <c r="S4872" t="n">
        <v/>
      </c>
      <c r="T4872" t="inlineStr">
        <is>
          <t>20</t>
        </is>
      </c>
      <c r="U4872" t="inlineStr">
        <is>
          <t>12</t>
        </is>
      </c>
      <c r="V4872" t="n">
        <v/>
      </c>
      <c r="W4872" t="n">
        <v/>
      </c>
    </row>
    <row r="4873">
      <c r="A4873" t="inlineStr">
        <is>
          <t>21/12/2025 8:13:26</t>
        </is>
      </c>
      <c r="B4873" t="inlineStr">
        <is>
          <t>Bùi Duy Cường</t>
        </is>
      </c>
      <c r="C4873" t="inlineStr">
        <is>
          <t>20/12/2025</t>
        </is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  <c r="I4873" t="n">
        <v>2</v>
      </c>
      <c r="J4873" t="n">
        <v>0</v>
      </c>
      <c r="K4873" t="n">
        <v>12</v>
      </c>
      <c r="L4873" t="n">
        <v>0</v>
      </c>
      <c r="M4873" t="n">
        <v>1</v>
      </c>
      <c r="N4873" t="n">
        <v>1</v>
      </c>
      <c r="O4873" t="n">
        <v>0</v>
      </c>
      <c r="P4873" t="n">
        <v>0</v>
      </c>
      <c r="Q4873" t="n">
        <v>1</v>
      </c>
      <c r="R4873" t="n">
        <v>1</v>
      </c>
      <c r="S4873" t="n">
        <v/>
      </c>
      <c r="T4873" t="inlineStr">
        <is>
          <t>20</t>
        </is>
      </c>
      <c r="U4873" t="inlineStr">
        <is>
          <t>12</t>
        </is>
      </c>
      <c r="V4873" t="n">
        <v/>
      </c>
      <c r="W4873" t="n">
        <v/>
      </c>
    </row>
    <row r="4874">
      <c r="A4874" t="inlineStr">
        <is>
          <t>21/12/2025 8:32:23</t>
        </is>
      </c>
      <c r="B4874" t="inlineStr">
        <is>
          <t>Trần Xuân Khoa</t>
        </is>
      </c>
      <c r="C4874" t="inlineStr">
        <is>
          <t>20/12/2025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7</v>
      </c>
      <c r="L4874" t="n">
        <v>0</v>
      </c>
      <c r="M4874" t="n">
        <v>0</v>
      </c>
      <c r="N4874" t="n">
        <v>0</v>
      </c>
      <c r="O4874" t="n">
        <v>0</v>
      </c>
      <c r="P4874" t="n">
        <v>1</v>
      </c>
      <c r="Q4874" t="n">
        <v>4</v>
      </c>
      <c r="R4874" t="n">
        <v>0</v>
      </c>
      <c r="S4874" t="n">
        <v/>
      </c>
      <c r="T4874" t="inlineStr">
        <is>
          <t>20</t>
        </is>
      </c>
      <c r="U4874" t="inlineStr">
        <is>
          <t>12</t>
        </is>
      </c>
      <c r="V4874" t="n">
        <v/>
      </c>
      <c r="W4874" t="n">
        <v/>
      </c>
    </row>
    <row r="4875">
      <c r="A4875" t="inlineStr">
        <is>
          <t>21/12/2025 8:33:36</t>
        </is>
      </c>
      <c r="B4875" t="inlineStr">
        <is>
          <t>Nguyễn Văn Nhật</t>
        </is>
      </c>
      <c r="C4875" t="inlineStr">
        <is>
          <t>20/12/2025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6</v>
      </c>
      <c r="L4875" t="n">
        <v>1</v>
      </c>
      <c r="M4875" t="n">
        <v>0</v>
      </c>
      <c r="N4875" t="n">
        <v>0</v>
      </c>
      <c r="O4875" t="n">
        <v>0</v>
      </c>
      <c r="P4875" t="n">
        <v>1</v>
      </c>
      <c r="Q4875" t="n">
        <v>3</v>
      </c>
      <c r="R4875" t="n">
        <v>0</v>
      </c>
      <c r="S4875" t="n">
        <v/>
      </c>
      <c r="T4875" t="inlineStr">
        <is>
          <t>20</t>
        </is>
      </c>
      <c r="U4875" t="inlineStr">
        <is>
          <t>12</t>
        </is>
      </c>
      <c r="V4875" t="n">
        <v/>
      </c>
      <c r="W4875" t="n">
        <v/>
      </c>
    </row>
    <row r="4876">
      <c r="A4876" t="inlineStr">
        <is>
          <t>21/12/2025 8:35:54</t>
        </is>
      </c>
      <c r="B4876" t="inlineStr">
        <is>
          <t>Đào Công Trung</t>
        </is>
      </c>
      <c r="C4876" t="inlineStr">
        <is>
          <t>20/12/2025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5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/>
      </c>
      <c r="T4876" t="inlineStr">
        <is>
          <t>20</t>
        </is>
      </c>
      <c r="U4876" t="inlineStr">
        <is>
          <t>12</t>
        </is>
      </c>
      <c r="V4876" t="n">
        <v/>
      </c>
      <c r="W4876" t="n">
        <v/>
      </c>
    </row>
    <row r="4877">
      <c r="A4877" t="inlineStr">
        <is>
          <t>21/12/2025 8:40:41</t>
        </is>
      </c>
      <c r="B4877" t="inlineStr">
        <is>
          <t>Lê Văn Hồng</t>
        </is>
      </c>
      <c r="C4877" t="inlineStr">
        <is>
          <t>20/12/2025</t>
        </is>
      </c>
      <c r="D4877" t="n">
        <v>0</v>
      </c>
      <c r="E4877" t="n">
        <v>3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6</v>
      </c>
      <c r="L4877" t="n">
        <v>0</v>
      </c>
      <c r="M4877" t="n">
        <v>2</v>
      </c>
      <c r="N4877" t="n">
        <v>0</v>
      </c>
      <c r="O4877" t="n">
        <v>0</v>
      </c>
      <c r="P4877" t="n">
        <v>2</v>
      </c>
      <c r="Q4877" t="n">
        <v>3</v>
      </c>
      <c r="R4877" t="n">
        <v>0</v>
      </c>
      <c r="S4877" t="n">
        <v/>
      </c>
      <c r="T4877" t="inlineStr">
        <is>
          <t>20</t>
        </is>
      </c>
      <c r="U4877" t="inlineStr">
        <is>
          <t>12</t>
        </is>
      </c>
      <c r="V4877" t="n">
        <v/>
      </c>
      <c r="W4877" t="n">
        <v/>
      </c>
    </row>
    <row r="4878">
      <c r="A4878" t="inlineStr">
        <is>
          <t>21/12/2025 8:46:51</t>
        </is>
      </c>
      <c r="B4878" t="inlineStr">
        <is>
          <t>Huỳnh Văn Lực</t>
        </is>
      </c>
      <c r="C4878" t="inlineStr">
        <is>
          <t>20/12/2025</t>
        </is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5</v>
      </c>
      <c r="L4878" t="n">
        <v>0</v>
      </c>
      <c r="M4878" t="n">
        <v>1</v>
      </c>
      <c r="N4878" t="n">
        <v>0</v>
      </c>
      <c r="O4878" t="n">
        <v>0</v>
      </c>
      <c r="P4878" t="n">
        <v>1</v>
      </c>
      <c r="Q4878" t="n">
        <v>1</v>
      </c>
      <c r="R4878" t="n">
        <v>0</v>
      </c>
      <c r="S4878" t="n">
        <v/>
      </c>
      <c r="T4878" t="inlineStr">
        <is>
          <t>20</t>
        </is>
      </c>
      <c r="U4878" t="inlineStr">
        <is>
          <t>12</t>
        </is>
      </c>
      <c r="V4878" t="n">
        <v/>
      </c>
      <c r="W4878" t="n">
        <v/>
      </c>
    </row>
    <row r="4879">
      <c r="A4879" t="inlineStr">
        <is>
          <t>21/12/2025 10:09:19</t>
        </is>
      </c>
      <c r="B4879" t="inlineStr">
        <is>
          <t>Nguyễn Văn Hiệp</t>
        </is>
      </c>
      <c r="C4879" t="inlineStr">
        <is>
          <t>20/12/2025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3</v>
      </c>
      <c r="L4879" t="n">
        <v>0</v>
      </c>
      <c r="M4879" t="n">
        <v>0</v>
      </c>
      <c r="N4879" t="n">
        <v>0</v>
      </c>
      <c r="O4879" t="n">
        <v>0</v>
      </c>
      <c r="P4879" t="n">
        <v>1</v>
      </c>
      <c r="Q4879" t="n">
        <v>1</v>
      </c>
      <c r="R4879" t="n">
        <v>1</v>
      </c>
      <c r="S4879" t="n">
        <v/>
      </c>
      <c r="T4879" t="inlineStr">
        <is>
          <t>20</t>
        </is>
      </c>
      <c r="U4879" t="inlineStr">
        <is>
          <t>12</t>
        </is>
      </c>
      <c r="V4879" t="n">
        <v/>
      </c>
      <c r="W4879" t="n">
        <v/>
      </c>
    </row>
    <row r="4880">
      <c r="A4880" t="inlineStr">
        <is>
          <t>21/12/2025 21:25:14</t>
        </is>
      </c>
      <c r="B4880" t="inlineStr">
        <is>
          <t>Đặng Hữu Danh</t>
        </is>
      </c>
      <c r="C4880" t="inlineStr">
        <is>
          <t>21/12/2025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12</v>
      </c>
      <c r="L4880" t="n">
        <v>2</v>
      </c>
      <c r="M4880" t="n">
        <v>2</v>
      </c>
      <c r="N4880" t="n">
        <v>0</v>
      </c>
      <c r="O4880" t="n">
        <v>0</v>
      </c>
      <c r="P4880" t="n">
        <v>1</v>
      </c>
      <c r="Q4880" t="n">
        <v>2</v>
      </c>
      <c r="R4880" t="n">
        <v>0</v>
      </c>
      <c r="S4880" t="n">
        <v/>
      </c>
      <c r="T4880" t="inlineStr">
        <is>
          <t>21</t>
        </is>
      </c>
      <c r="U4880" t="inlineStr">
        <is>
          <t>12</t>
        </is>
      </c>
      <c r="V4880" t="n">
        <v/>
      </c>
      <c r="W4880" t="n">
        <v/>
      </c>
    </row>
    <row r="4881">
      <c r="A4881" t="inlineStr">
        <is>
          <t>22/12/2025 6:18:37</t>
        </is>
      </c>
      <c r="B4881" t="inlineStr">
        <is>
          <t>Phan Thành Thái</t>
        </is>
      </c>
      <c r="C4881" t="inlineStr">
        <is>
          <t>21/12/2025</t>
        </is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6</v>
      </c>
      <c r="L4881" t="n">
        <v>4</v>
      </c>
      <c r="M4881" t="n">
        <v>1</v>
      </c>
      <c r="N4881" t="n">
        <v>0</v>
      </c>
      <c r="O4881" t="n">
        <v>0</v>
      </c>
      <c r="P4881" t="n">
        <v>1</v>
      </c>
      <c r="Q4881" t="n">
        <v>6</v>
      </c>
      <c r="R4881" t="n">
        <v>0</v>
      </c>
      <c r="S4881" t="n">
        <v/>
      </c>
      <c r="T4881" t="inlineStr">
        <is>
          <t>21</t>
        </is>
      </c>
      <c r="U4881" t="inlineStr">
        <is>
          <t>12</t>
        </is>
      </c>
      <c r="V4881" t="n">
        <v/>
      </c>
      <c r="W4881" t="n">
        <v/>
      </c>
    </row>
    <row r="4882">
      <c r="A4882" t="inlineStr">
        <is>
          <t>22/12/2025 6:21:23</t>
        </is>
      </c>
      <c r="B4882" t="inlineStr">
        <is>
          <t>Dương Minh Tiến</t>
        </is>
      </c>
      <c r="C4882" t="inlineStr">
        <is>
          <t>21/12/2025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16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/>
      </c>
      <c r="T4882" t="inlineStr">
        <is>
          <t>21</t>
        </is>
      </c>
      <c r="U4882" t="inlineStr">
        <is>
          <t>12</t>
        </is>
      </c>
      <c r="V4882" t="n">
        <v/>
      </c>
      <c r="W4882" t="n">
        <v/>
      </c>
    </row>
    <row r="4883">
      <c r="A4883" t="inlineStr">
        <is>
          <t>22/12/2025 6:23:47</t>
        </is>
      </c>
      <c r="B4883" t="inlineStr">
        <is>
          <t>Phan Ngọc Sang</t>
        </is>
      </c>
      <c r="C4883" t="inlineStr">
        <is>
          <t>21/12/2025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6</v>
      </c>
      <c r="L4883" t="n">
        <v>0</v>
      </c>
      <c r="M4883" t="n">
        <v>2</v>
      </c>
      <c r="N4883" t="n">
        <v>0</v>
      </c>
      <c r="O4883" t="n">
        <v>0</v>
      </c>
      <c r="P4883" t="n">
        <v>0</v>
      </c>
      <c r="Q4883" t="n">
        <v>2</v>
      </c>
      <c r="R4883" t="n">
        <v>0</v>
      </c>
      <c r="S4883" t="n">
        <v/>
      </c>
      <c r="T4883" t="inlineStr">
        <is>
          <t>21</t>
        </is>
      </c>
      <c r="U4883" t="inlineStr">
        <is>
          <t>12</t>
        </is>
      </c>
      <c r="V4883" t="n">
        <v/>
      </c>
      <c r="W4883" t="n">
        <v/>
      </c>
    </row>
    <row r="4884">
      <c r="A4884" t="inlineStr">
        <is>
          <t>22/12/2025 6:46:32</t>
        </is>
      </c>
      <c r="B4884" t="inlineStr">
        <is>
          <t>Trần Trung Giang</t>
        </is>
      </c>
      <c r="C4884" t="inlineStr">
        <is>
          <t>21/12/2025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4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/>
      </c>
      <c r="T4884" t="inlineStr">
        <is>
          <t>21</t>
        </is>
      </c>
      <c r="U4884" t="inlineStr">
        <is>
          <t>12</t>
        </is>
      </c>
      <c r="V4884" t="n">
        <v/>
      </c>
      <c r="W4884" t="n">
        <v/>
      </c>
    </row>
    <row r="4885">
      <c r="A4885" t="inlineStr">
        <is>
          <t>22/12/2025 6:47:04</t>
        </is>
      </c>
      <c r="B4885" t="inlineStr">
        <is>
          <t>Nguyễn Văn Hiệp</t>
        </is>
      </c>
      <c r="C4885" t="inlineStr">
        <is>
          <t>21/12/2025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0</v>
      </c>
      <c r="S4885" t="n">
        <v/>
      </c>
      <c r="T4885" t="inlineStr">
        <is>
          <t>21</t>
        </is>
      </c>
      <c r="U4885" t="inlineStr">
        <is>
          <t>12</t>
        </is>
      </c>
      <c r="V4885" t="n">
        <v/>
      </c>
      <c r="W4885" t="n">
        <v/>
      </c>
    </row>
    <row r="4886">
      <c r="A4886" t="inlineStr">
        <is>
          <t>22/12/2025 6:48:38</t>
        </is>
      </c>
      <c r="B4886" t="inlineStr">
        <is>
          <t>Vòng Nhật Sang</t>
        </is>
      </c>
      <c r="C4886" t="inlineStr">
        <is>
          <t>21/12/2025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10</v>
      </c>
      <c r="L4886" t="n">
        <v>0</v>
      </c>
      <c r="M4886" t="n">
        <v>0</v>
      </c>
      <c r="N4886" t="n">
        <v>0</v>
      </c>
      <c r="O4886" t="n">
        <v>0</v>
      </c>
      <c r="P4886" t="n">
        <v>2</v>
      </c>
      <c r="Q4886" t="n">
        <v>2</v>
      </c>
      <c r="R4886" t="n">
        <v>0</v>
      </c>
      <c r="S4886" t="n">
        <v/>
      </c>
      <c r="T4886" t="inlineStr">
        <is>
          <t>21</t>
        </is>
      </c>
      <c r="U4886" t="inlineStr">
        <is>
          <t>12</t>
        </is>
      </c>
      <c r="V4886" t="n">
        <v/>
      </c>
      <c r="W4886" t="n">
        <v/>
      </c>
    </row>
    <row r="4887">
      <c r="A4887" t="inlineStr">
        <is>
          <t>22/12/2025 6:49:01</t>
        </is>
      </c>
      <c r="B4887" t="inlineStr">
        <is>
          <t>Lương Duy Hải</t>
        </is>
      </c>
      <c r="C4887" t="inlineStr">
        <is>
          <t>21/12/2025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1</v>
      </c>
      <c r="K4887" t="n">
        <v>10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2</v>
      </c>
      <c r="R4887" t="n">
        <v>0</v>
      </c>
      <c r="S4887" t="n">
        <v/>
      </c>
      <c r="T4887" t="inlineStr">
        <is>
          <t>21</t>
        </is>
      </c>
      <c r="U4887" t="inlineStr">
        <is>
          <t>12</t>
        </is>
      </c>
      <c r="V4887" t="n">
        <v/>
      </c>
      <c r="W4887" t="n">
        <v/>
      </c>
    </row>
    <row r="4888">
      <c r="A4888" t="inlineStr">
        <is>
          <t>22/12/2025 6:52:05</t>
        </is>
      </c>
      <c r="B4888" t="inlineStr">
        <is>
          <t>Nguyễn Quang Anh Tuấn</t>
        </is>
      </c>
      <c r="C4888" t="inlineStr">
        <is>
          <t>21/12/2025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15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/>
      </c>
      <c r="T4888" t="inlineStr">
        <is>
          <t>21</t>
        </is>
      </c>
      <c r="U4888" t="inlineStr">
        <is>
          <t>12</t>
        </is>
      </c>
      <c r="V4888" t="n">
        <v/>
      </c>
      <c r="W4888" t="n">
        <v/>
      </c>
    </row>
    <row r="4889">
      <c r="A4889" t="inlineStr">
        <is>
          <t>22/12/2025 6:53:54</t>
        </is>
      </c>
      <c r="B4889" t="inlineStr">
        <is>
          <t>Lê Quốc Duy</t>
        </is>
      </c>
      <c r="C4889" t="inlineStr">
        <is>
          <t>21/12/2025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8</v>
      </c>
      <c r="L4889" t="n">
        <v>0</v>
      </c>
      <c r="M4889" t="n">
        <v>0</v>
      </c>
      <c r="N4889" t="n">
        <v>0</v>
      </c>
      <c r="O4889" t="n">
        <v>0</v>
      </c>
      <c r="P4889" t="n">
        <v>1</v>
      </c>
      <c r="Q4889" t="n">
        <v>2</v>
      </c>
      <c r="R4889" t="n">
        <v>0</v>
      </c>
      <c r="S4889" t="n">
        <v/>
      </c>
      <c r="T4889" t="inlineStr">
        <is>
          <t>21</t>
        </is>
      </c>
      <c r="U4889" t="inlineStr">
        <is>
          <t>12</t>
        </is>
      </c>
      <c r="V4889" t="n">
        <v/>
      </c>
      <c r="W4889" t="n">
        <v/>
      </c>
    </row>
    <row r="4890">
      <c r="A4890" t="inlineStr">
        <is>
          <t>22/12/2025 6:55:49</t>
        </is>
      </c>
      <c r="B4890" t="inlineStr">
        <is>
          <t>Lương Duy Hoàng</t>
        </is>
      </c>
      <c r="C4890" t="inlineStr">
        <is>
          <t>21/12/2025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3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/>
      </c>
      <c r="T4890" t="inlineStr">
        <is>
          <t>21</t>
        </is>
      </c>
      <c r="U4890" t="inlineStr">
        <is>
          <t>12</t>
        </is>
      </c>
      <c r="V4890" t="n">
        <v/>
      </c>
      <c r="W4890" t="n">
        <v/>
      </c>
    </row>
    <row r="4891">
      <c r="A4891" t="inlineStr">
        <is>
          <t>22/12/2025 6:56:04</t>
        </is>
      </c>
      <c r="B4891" t="inlineStr">
        <is>
          <t>Nguyễn Thành Lâm</t>
        </is>
      </c>
      <c r="C4891" t="inlineStr">
        <is>
          <t>21/12/2025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/>
      </c>
      <c r="T4891" t="inlineStr">
        <is>
          <t>21</t>
        </is>
      </c>
      <c r="U4891" t="inlineStr">
        <is>
          <t>12</t>
        </is>
      </c>
      <c r="V4891" t="n">
        <v/>
      </c>
      <c r="W4891" t="n">
        <v/>
      </c>
    </row>
    <row r="4892">
      <c r="A4892" t="inlineStr">
        <is>
          <t>22/12/2025 6:56:41</t>
        </is>
      </c>
      <c r="B4892" t="inlineStr">
        <is>
          <t>Trần Minh Khánh</t>
        </is>
      </c>
      <c r="C4892" t="inlineStr">
        <is>
          <t>21/12/2025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6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3</v>
      </c>
      <c r="R4892" t="n">
        <v>0</v>
      </c>
      <c r="S4892" t="n">
        <v/>
      </c>
      <c r="T4892" t="inlineStr">
        <is>
          <t>21</t>
        </is>
      </c>
      <c r="U4892" t="inlineStr">
        <is>
          <t>12</t>
        </is>
      </c>
      <c r="V4892" t="n">
        <v/>
      </c>
      <c r="W4892" t="n">
        <v/>
      </c>
    </row>
    <row r="4893">
      <c r="A4893" t="inlineStr">
        <is>
          <t>22/12/2025 6:59:11</t>
        </is>
      </c>
      <c r="B4893" t="inlineStr">
        <is>
          <t>Hồ Thái Minh Trí</t>
        </is>
      </c>
      <c r="C4893" t="inlineStr">
        <is>
          <t>21/12/2025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7</v>
      </c>
      <c r="L4893" t="n">
        <v>0</v>
      </c>
      <c r="M4893" t="n">
        <v>0</v>
      </c>
      <c r="N4893" t="n">
        <v>2</v>
      </c>
      <c r="O4893" t="n">
        <v>1</v>
      </c>
      <c r="P4893" t="n">
        <v>0</v>
      </c>
      <c r="Q4893" t="n">
        <v>1</v>
      </c>
      <c r="R4893" t="n">
        <v>0</v>
      </c>
      <c r="S4893" t="n">
        <v/>
      </c>
      <c r="T4893" t="inlineStr">
        <is>
          <t>21</t>
        </is>
      </c>
      <c r="U4893" t="inlineStr">
        <is>
          <t>12</t>
        </is>
      </c>
      <c r="V4893" t="n">
        <v/>
      </c>
      <c r="W4893" t="n">
        <v/>
      </c>
    </row>
    <row r="4894">
      <c r="A4894" t="inlineStr">
        <is>
          <t>22/12/2025 6:59:11</t>
        </is>
      </c>
      <c r="B4894" t="inlineStr">
        <is>
          <t>Lê Hồng Phong</t>
        </is>
      </c>
      <c r="C4894" t="inlineStr">
        <is>
          <t>22/12/2025</t>
        </is>
      </c>
      <c r="D4894" t="n">
        <v>1</v>
      </c>
      <c r="E4894" t="n">
        <v>1</v>
      </c>
      <c r="F4894" t="n">
        <v>1</v>
      </c>
      <c r="G4894" t="n">
        <v>0</v>
      </c>
      <c r="H4894" t="n">
        <v>0</v>
      </c>
      <c r="I4894" t="n">
        <v>1</v>
      </c>
      <c r="J4894" t="n">
        <v>1</v>
      </c>
      <c r="K4894" t="n">
        <v>1</v>
      </c>
      <c r="L4894" t="n">
        <v>1</v>
      </c>
      <c r="M4894" t="n">
        <v>1</v>
      </c>
      <c r="N4894" t="n">
        <v>1</v>
      </c>
      <c r="O4894" t="n">
        <v>1</v>
      </c>
      <c r="P4894" t="n">
        <v>1</v>
      </c>
      <c r="Q4894" t="n">
        <v>1</v>
      </c>
      <c r="R4894" t="n">
        <v>1</v>
      </c>
      <c r="S4894" t="n">
        <v/>
      </c>
      <c r="T4894" t="inlineStr">
        <is>
          <t>22</t>
        </is>
      </c>
      <c r="U4894" t="inlineStr">
        <is>
          <t>12</t>
        </is>
      </c>
      <c r="V4894" t="n">
        <v/>
      </c>
      <c r="W4894" t="n">
        <v/>
      </c>
    </row>
    <row r="4895">
      <c r="A4895" t="inlineStr">
        <is>
          <t>22/12/2025 7:01:17</t>
        </is>
      </c>
      <c r="B4895" t="inlineStr">
        <is>
          <t>Hồ Xuân Việt</t>
        </is>
      </c>
      <c r="C4895" t="inlineStr">
        <is>
          <t>21/12/2025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10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/>
      </c>
      <c r="T4895" t="inlineStr">
        <is>
          <t>21</t>
        </is>
      </c>
      <c r="U4895" t="inlineStr">
        <is>
          <t>12</t>
        </is>
      </c>
      <c r="V4895" t="n">
        <v/>
      </c>
      <c r="W4895" t="n">
        <v/>
      </c>
    </row>
    <row r="4896">
      <c r="A4896" t="inlineStr">
        <is>
          <t>22/12/2025 7:08:57</t>
        </is>
      </c>
      <c r="B4896" t="inlineStr">
        <is>
          <t>Trần Xuân Khoa</t>
        </is>
      </c>
      <c r="C4896" t="inlineStr">
        <is>
          <t>21/12/2025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15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3</v>
      </c>
      <c r="R4896" t="n">
        <v>0</v>
      </c>
      <c r="S4896" t="n">
        <v/>
      </c>
      <c r="T4896" t="inlineStr">
        <is>
          <t>21</t>
        </is>
      </c>
      <c r="U4896" t="inlineStr">
        <is>
          <t>12</t>
        </is>
      </c>
      <c r="V4896" t="n">
        <v/>
      </c>
      <c r="W4896" t="n">
        <v/>
      </c>
    </row>
    <row r="4897">
      <c r="A4897" t="inlineStr">
        <is>
          <t>22/12/2025 7:20:25</t>
        </is>
      </c>
      <c r="B4897" t="inlineStr">
        <is>
          <t>Nguyễn Tuấn Anh</t>
        </is>
      </c>
      <c r="C4897" t="inlineStr">
        <is>
          <t>21/12/2025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6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5</v>
      </c>
      <c r="R4897" t="n">
        <v>0</v>
      </c>
      <c r="S4897" t="n">
        <v/>
      </c>
      <c r="T4897" t="inlineStr">
        <is>
          <t>21</t>
        </is>
      </c>
      <c r="U4897" t="inlineStr">
        <is>
          <t>12</t>
        </is>
      </c>
      <c r="V4897" t="n">
        <v/>
      </c>
      <c r="W4897" t="n">
        <v/>
      </c>
    </row>
    <row r="4898">
      <c r="A4898" t="inlineStr">
        <is>
          <t>22/12/2025 7:22:06</t>
        </is>
      </c>
      <c r="B4898" t="inlineStr">
        <is>
          <t>Đặng Hoài Anh</t>
        </is>
      </c>
      <c r="C4898" t="inlineStr">
        <is>
          <t>21/12/2025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4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/>
      </c>
      <c r="T4898" t="inlineStr">
        <is>
          <t>21</t>
        </is>
      </c>
      <c r="U4898" t="inlineStr">
        <is>
          <t>12</t>
        </is>
      </c>
      <c r="V4898" t="n">
        <v/>
      </c>
      <c r="W4898" t="n">
        <v/>
      </c>
    </row>
    <row r="4899">
      <c r="A4899" t="inlineStr">
        <is>
          <t>22/12/2025 7:22:54</t>
        </is>
      </c>
      <c r="B4899" t="inlineStr">
        <is>
          <t>Huỳnh Văn Lực</t>
        </is>
      </c>
      <c r="C4899" t="inlineStr">
        <is>
          <t>21/12/2025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8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/>
      </c>
      <c r="T4899" t="inlineStr">
        <is>
          <t>21</t>
        </is>
      </c>
      <c r="U4899" t="inlineStr">
        <is>
          <t>12</t>
        </is>
      </c>
      <c r="V4899" t="n">
        <v/>
      </c>
      <c r="W4899" t="n">
        <v/>
      </c>
    </row>
    <row r="4900">
      <c r="A4900" t="inlineStr">
        <is>
          <t>22/12/2025 7:26:20</t>
        </is>
      </c>
      <c r="B4900" t="inlineStr">
        <is>
          <t>Đào Công Trung</t>
        </is>
      </c>
      <c r="C4900" t="inlineStr">
        <is>
          <t>21/12/2025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12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3</v>
      </c>
      <c r="R4900" t="n">
        <v>0</v>
      </c>
      <c r="S4900" t="n">
        <v/>
      </c>
      <c r="T4900" t="inlineStr">
        <is>
          <t>21</t>
        </is>
      </c>
      <c r="U4900" t="inlineStr">
        <is>
          <t>12</t>
        </is>
      </c>
      <c r="V4900" t="n">
        <v/>
      </c>
      <c r="W4900" t="n">
        <v/>
      </c>
    </row>
    <row r="4901">
      <c r="A4901" t="inlineStr">
        <is>
          <t>22/12/2025 7:41:43</t>
        </is>
      </c>
      <c r="B4901" t="inlineStr">
        <is>
          <t>Nguyễn Văn Nhật</t>
        </is>
      </c>
      <c r="C4901" t="inlineStr">
        <is>
          <t>21/12/2025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2</v>
      </c>
      <c r="K4901" t="n">
        <v>6</v>
      </c>
      <c r="L4901" t="n">
        <v>0</v>
      </c>
      <c r="M4901" t="n">
        <v>0</v>
      </c>
      <c r="N4901" t="n">
        <v>0</v>
      </c>
      <c r="O4901" t="n">
        <v>0</v>
      </c>
      <c r="P4901" t="n">
        <v>1</v>
      </c>
      <c r="Q4901" t="n">
        <v>2</v>
      </c>
      <c r="R4901" t="n">
        <v>0</v>
      </c>
      <c r="S4901" t="n">
        <v/>
      </c>
      <c r="T4901" t="inlineStr">
        <is>
          <t>21</t>
        </is>
      </c>
      <c r="U4901" t="inlineStr">
        <is>
          <t>12</t>
        </is>
      </c>
      <c r="V4901" t="n">
        <v/>
      </c>
      <c r="W4901" t="n">
        <v/>
      </c>
    </row>
    <row r="4902">
      <c r="A4902" t="inlineStr">
        <is>
          <t>22/12/2025 7:55:14</t>
        </is>
      </c>
      <c r="B4902" t="inlineStr">
        <is>
          <t>Bùi Duy Cường</t>
        </is>
      </c>
      <c r="C4902" t="inlineStr">
        <is>
          <t>21/12/2025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15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0</v>
      </c>
      <c r="S4902" t="n">
        <v/>
      </c>
      <c r="T4902" t="inlineStr">
        <is>
          <t>21</t>
        </is>
      </c>
      <c r="U4902" t="inlineStr">
        <is>
          <t>12</t>
        </is>
      </c>
      <c r="V4902" t="n">
        <v/>
      </c>
      <c r="W4902" t="n">
        <v/>
      </c>
    </row>
    <row r="4903">
      <c r="A4903" t="inlineStr">
        <is>
          <t>22/12/2025 8:05:44</t>
        </is>
      </c>
      <c r="B4903" t="inlineStr">
        <is>
          <t>Nguyễn Hồng Minh</t>
        </is>
      </c>
      <c r="C4903" t="inlineStr">
        <is>
          <t>21/12/2025</t>
        </is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3</v>
      </c>
      <c r="J4903" t="n">
        <v>0</v>
      </c>
      <c r="K4903" t="n">
        <v>15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4</v>
      </c>
      <c r="R4903" t="n">
        <v>0</v>
      </c>
      <c r="S4903" t="n">
        <v/>
      </c>
      <c r="T4903" t="inlineStr">
        <is>
          <t>21</t>
        </is>
      </c>
      <c r="U4903" t="inlineStr">
        <is>
          <t>12</t>
        </is>
      </c>
      <c r="V4903" t="n">
        <v/>
      </c>
      <c r="W4903" t="n">
        <v/>
      </c>
    </row>
    <row r="4904">
      <c r="A4904" t="inlineStr">
        <is>
          <t>22/12/2025 8:33:45</t>
        </is>
      </c>
      <c r="B4904" t="inlineStr">
        <is>
          <t>Lê Văn Hồng</t>
        </is>
      </c>
      <c r="C4904" t="inlineStr">
        <is>
          <t>21/12/2025</t>
        </is>
      </c>
      <c r="D4904" t="n">
        <v>2</v>
      </c>
      <c r="E4904" t="n">
        <v>1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6</v>
      </c>
      <c r="L4904" t="n">
        <v>0</v>
      </c>
      <c r="M4904" t="n">
        <v>2</v>
      </c>
      <c r="N4904" t="n">
        <v>0</v>
      </c>
      <c r="O4904" t="n">
        <v>0</v>
      </c>
      <c r="P4904" t="n">
        <v>2</v>
      </c>
      <c r="Q4904" t="n">
        <v>3</v>
      </c>
      <c r="R4904" t="n">
        <v>1</v>
      </c>
      <c r="S4904" t="n">
        <v/>
      </c>
      <c r="T4904" t="inlineStr">
        <is>
          <t>21</t>
        </is>
      </c>
      <c r="U4904" t="inlineStr">
        <is>
          <t>12</t>
        </is>
      </c>
      <c r="V4904" t="n">
        <v/>
      </c>
      <c r="W4904" t="n">
        <v/>
      </c>
    </row>
    <row r="4905">
      <c r="A4905" t="inlineStr">
        <is>
          <t>23/12/2025 6:46:07</t>
        </is>
      </c>
      <c r="B4905" t="inlineStr">
        <is>
          <t>Dương Minh Tiến</t>
        </is>
      </c>
      <c r="C4905" t="inlineStr">
        <is>
          <t>22/12/2025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13</v>
      </c>
      <c r="L4905" t="n">
        <v>0</v>
      </c>
      <c r="M4905" t="n">
        <v>0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/>
      </c>
      <c r="T4905" t="inlineStr">
        <is>
          <t>22</t>
        </is>
      </c>
      <c r="U4905" t="inlineStr">
        <is>
          <t>12</t>
        </is>
      </c>
      <c r="V4905" t="n">
        <v/>
      </c>
      <c r="W4905" t="n">
        <v/>
      </c>
    </row>
    <row r="4906">
      <c r="A4906" t="inlineStr">
        <is>
          <t>23/12/2025 6:50:18</t>
        </is>
      </c>
      <c r="B4906" t="inlineStr">
        <is>
          <t>Nguyễn Văn Hiệp</t>
        </is>
      </c>
      <c r="C4906" t="inlineStr">
        <is>
          <t>22/12/2025</t>
        </is>
      </c>
      <c r="D4906" t="n">
        <v>0</v>
      </c>
      <c r="E4906" t="n">
        <v>1</v>
      </c>
      <c r="F4906" t="n">
        <v>1</v>
      </c>
      <c r="G4906" t="n">
        <v>0</v>
      </c>
      <c r="H4906" t="n">
        <v>0</v>
      </c>
      <c r="I4906" t="n">
        <v>0</v>
      </c>
      <c r="J4906" t="n">
        <v>0</v>
      </c>
      <c r="K4906" t="n">
        <v>2</v>
      </c>
      <c r="L4906" t="n">
        <v>0</v>
      </c>
      <c r="M4906" t="n">
        <v>2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/>
      </c>
      <c r="T4906" t="inlineStr">
        <is>
          <t>22</t>
        </is>
      </c>
      <c r="U4906" t="inlineStr">
        <is>
          <t>12</t>
        </is>
      </c>
      <c r="V4906" t="n">
        <v/>
      </c>
      <c r="W4906" t="n">
        <v/>
      </c>
    </row>
    <row r="4907">
      <c r="A4907" t="inlineStr">
        <is>
          <t>23/12/2025 6:53:19</t>
        </is>
      </c>
      <c r="B4907" t="inlineStr">
        <is>
          <t>Lương Duy Hoàng</t>
        </is>
      </c>
      <c r="C4907" t="inlineStr">
        <is>
          <t>22/12/2025</t>
        </is>
      </c>
      <c r="D4907" t="n">
        <v>1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4</v>
      </c>
      <c r="L4907" t="n">
        <v>0</v>
      </c>
      <c r="M4907" t="n">
        <v>1</v>
      </c>
      <c r="N4907" t="n">
        <v>0</v>
      </c>
      <c r="O4907" t="n">
        <v>0</v>
      </c>
      <c r="P4907" t="n">
        <v>1</v>
      </c>
      <c r="Q4907" t="n">
        <v>1</v>
      </c>
      <c r="R4907" t="n">
        <v>0</v>
      </c>
      <c r="S4907" t="n">
        <v/>
      </c>
      <c r="T4907" t="inlineStr">
        <is>
          <t>22</t>
        </is>
      </c>
      <c r="U4907" t="inlineStr">
        <is>
          <t>12</t>
        </is>
      </c>
      <c r="V4907" t="n">
        <v/>
      </c>
      <c r="W4907" t="n">
        <v/>
      </c>
    </row>
    <row r="4908">
      <c r="A4908" t="inlineStr">
        <is>
          <t>23/12/2025 6:59:12</t>
        </is>
      </c>
      <c r="B4908" t="inlineStr">
        <is>
          <t>Phan Ngọc Sang</t>
        </is>
      </c>
      <c r="C4908" t="inlineStr">
        <is>
          <t>22/12/2025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10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2</v>
      </c>
      <c r="R4908" t="n">
        <v>0</v>
      </c>
      <c r="S4908" t="n">
        <v/>
      </c>
      <c r="T4908" t="inlineStr">
        <is>
          <t>22</t>
        </is>
      </c>
      <c r="U4908" t="inlineStr">
        <is>
          <t>12</t>
        </is>
      </c>
      <c r="V4908" t="n">
        <v/>
      </c>
      <c r="W4908" t="n">
        <v/>
      </c>
    </row>
    <row r="4909">
      <c r="A4909" t="inlineStr">
        <is>
          <t>23/12/2025 7:00:46</t>
        </is>
      </c>
      <c r="B4909" t="inlineStr">
        <is>
          <t>Hồ Xuân Việt</t>
        </is>
      </c>
      <c r="C4909" t="inlineStr">
        <is>
          <t>22/12/2025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2</v>
      </c>
      <c r="I4909" t="n">
        <v>0</v>
      </c>
      <c r="J4909" t="n">
        <v>0</v>
      </c>
      <c r="K4909" t="n">
        <v>10</v>
      </c>
      <c r="L4909" t="n">
        <v>1</v>
      </c>
      <c r="M4909" t="n">
        <v>0</v>
      </c>
      <c r="N4909" t="n">
        <v>0</v>
      </c>
      <c r="O4909" t="n">
        <v>0</v>
      </c>
      <c r="P4909" t="n">
        <v>1</v>
      </c>
      <c r="Q4909" t="n">
        <v>1</v>
      </c>
      <c r="R4909" t="n">
        <v>0</v>
      </c>
      <c r="S4909" t="n">
        <v/>
      </c>
      <c r="T4909" t="inlineStr">
        <is>
          <t>22</t>
        </is>
      </c>
      <c r="U4909" t="inlineStr">
        <is>
          <t>12</t>
        </is>
      </c>
      <c r="V4909" t="n">
        <v/>
      </c>
      <c r="W4909" t="n">
        <v/>
      </c>
    </row>
    <row r="4910">
      <c r="A4910" t="inlineStr">
        <is>
          <t>23/12/2025 7:03:53</t>
        </is>
      </c>
      <c r="B4910" t="inlineStr">
        <is>
          <t>Huỳnh Văn Lực</t>
        </is>
      </c>
      <c r="C4910" t="inlineStr">
        <is>
          <t>22/12/2025</t>
        </is>
      </c>
      <c r="D4910" t="n">
        <v>1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5</v>
      </c>
      <c r="L4910" t="n">
        <v>0</v>
      </c>
      <c r="M4910" t="n">
        <v>1</v>
      </c>
      <c r="N4910" t="n">
        <v>0</v>
      </c>
      <c r="O4910" t="n">
        <v>0</v>
      </c>
      <c r="P4910" t="n">
        <v>1</v>
      </c>
      <c r="Q4910" t="n">
        <v>1</v>
      </c>
      <c r="R4910" t="n">
        <v>0</v>
      </c>
      <c r="S4910" t="n">
        <v/>
      </c>
      <c r="T4910" t="inlineStr">
        <is>
          <t>22</t>
        </is>
      </c>
      <c r="U4910" t="inlineStr">
        <is>
          <t>12</t>
        </is>
      </c>
      <c r="V4910" t="n">
        <v/>
      </c>
      <c r="W4910" t="n">
        <v/>
      </c>
    </row>
    <row r="4911">
      <c r="A4911" t="inlineStr">
        <is>
          <t>23/12/2025 7:08:10</t>
        </is>
      </c>
      <c r="B4911" t="inlineStr">
        <is>
          <t>Trần Trung Giang</t>
        </is>
      </c>
      <c r="C4911" t="inlineStr">
        <is>
          <t>22/12/2025</t>
        </is>
      </c>
      <c r="D4911" t="n">
        <v>0</v>
      </c>
      <c r="E4911" t="n">
        <v>0</v>
      </c>
      <c r="F4911" t="n">
        <v>0</v>
      </c>
      <c r="G4911" t="n">
        <v>2</v>
      </c>
      <c r="H4911" t="n">
        <v>1</v>
      </c>
      <c r="I4911" t="n">
        <v>0</v>
      </c>
      <c r="J4911" t="n">
        <v>0</v>
      </c>
      <c r="K4911" t="n">
        <v>7</v>
      </c>
      <c r="L4911" t="n">
        <v>0</v>
      </c>
      <c r="M4911" t="n">
        <v>0</v>
      </c>
      <c r="N4911" t="n">
        <v>9</v>
      </c>
      <c r="O4911" t="n">
        <v>0</v>
      </c>
      <c r="P4911" t="n">
        <v>0</v>
      </c>
      <c r="Q4911" t="n">
        <v>0</v>
      </c>
      <c r="R4911" t="n">
        <v>0</v>
      </c>
      <c r="S4911" t="n">
        <v/>
      </c>
      <c r="T4911" t="inlineStr">
        <is>
          <t>22</t>
        </is>
      </c>
      <c r="U4911" t="inlineStr">
        <is>
          <t>12</t>
        </is>
      </c>
      <c r="V4911" t="n">
        <v/>
      </c>
      <c r="W4911" t="n">
        <v/>
      </c>
    </row>
    <row r="4912">
      <c r="A4912" t="inlineStr">
        <is>
          <t>23/12/2025 7:08:39</t>
        </is>
      </c>
      <c r="B4912" t="inlineStr">
        <is>
          <t>Nguyễn Tuấn Anh</t>
        </is>
      </c>
      <c r="C4912" t="inlineStr">
        <is>
          <t>22/12/2025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9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5</v>
      </c>
      <c r="R4912" t="n">
        <v>0</v>
      </c>
      <c r="S4912" t="n">
        <v/>
      </c>
      <c r="T4912" t="inlineStr">
        <is>
          <t>22</t>
        </is>
      </c>
      <c r="U4912" t="inlineStr">
        <is>
          <t>12</t>
        </is>
      </c>
      <c r="V4912" t="n">
        <v/>
      </c>
      <c r="W4912" t="n">
        <v/>
      </c>
    </row>
    <row r="4913">
      <c r="A4913" t="inlineStr">
        <is>
          <t>23/12/2025 7:09:38</t>
        </is>
      </c>
      <c r="B4913" t="inlineStr">
        <is>
          <t>Nguyễn Quang Anh Tuấn</t>
        </is>
      </c>
      <c r="C4913" t="inlineStr">
        <is>
          <t>22/12/2025</t>
        </is>
      </c>
      <c r="D4913" t="n">
        <v>0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7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2</v>
      </c>
      <c r="R4913" t="n">
        <v>0</v>
      </c>
      <c r="S4913" t="n">
        <v/>
      </c>
      <c r="T4913" t="inlineStr">
        <is>
          <t>22</t>
        </is>
      </c>
      <c r="U4913" t="inlineStr">
        <is>
          <t>12</t>
        </is>
      </c>
      <c r="V4913" t="n">
        <v/>
      </c>
      <c r="W4913" t="n">
        <v/>
      </c>
    </row>
    <row r="4914">
      <c r="A4914" t="inlineStr">
        <is>
          <t>23/12/2025 7:12:01</t>
        </is>
      </c>
      <c r="B4914" t="inlineStr">
        <is>
          <t>Đào Công Trung</t>
        </is>
      </c>
      <c r="C4914" t="inlineStr">
        <is>
          <t>22/12/2025</t>
        </is>
      </c>
      <c r="D4914" t="n">
        <v>0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12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1</v>
      </c>
      <c r="R4914" t="n">
        <v>0</v>
      </c>
      <c r="S4914" t="n">
        <v/>
      </c>
      <c r="T4914" t="inlineStr">
        <is>
          <t>22</t>
        </is>
      </c>
      <c r="U4914" t="inlineStr">
        <is>
          <t>12</t>
        </is>
      </c>
      <c r="V4914" t="n">
        <v/>
      </c>
      <c r="W4914" t="n">
        <v/>
      </c>
    </row>
    <row r="4915">
      <c r="A4915" t="inlineStr">
        <is>
          <t>23/12/2025 7:12:02</t>
        </is>
      </c>
      <c r="B4915" t="inlineStr">
        <is>
          <t>Lê Quốc Duy</t>
        </is>
      </c>
      <c r="C4915" t="inlineStr">
        <is>
          <t>22/12/2025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1</v>
      </c>
      <c r="K4915" t="n">
        <v>12</v>
      </c>
      <c r="L4915" t="n">
        <v>0</v>
      </c>
      <c r="M4915" t="n">
        <v>1</v>
      </c>
      <c r="N4915" t="n">
        <v>0</v>
      </c>
      <c r="O4915" t="n">
        <v>0</v>
      </c>
      <c r="P4915" t="n">
        <v>1</v>
      </c>
      <c r="Q4915" t="n">
        <v>1</v>
      </c>
      <c r="R4915" t="n">
        <v>1</v>
      </c>
      <c r="S4915" t="n">
        <v/>
      </c>
      <c r="T4915" t="inlineStr">
        <is>
          <t>22</t>
        </is>
      </c>
      <c r="U4915" t="inlineStr">
        <is>
          <t>12</t>
        </is>
      </c>
      <c r="V4915" t="n">
        <v/>
      </c>
      <c r="W4915" t="n">
        <v/>
      </c>
    </row>
    <row r="4916">
      <c r="A4916" t="inlineStr">
        <is>
          <t>23/12/2025 7:12:08</t>
        </is>
      </c>
      <c r="B4916" t="inlineStr">
        <is>
          <t>Vòng Nhật Sang</t>
        </is>
      </c>
      <c r="C4916" t="inlineStr">
        <is>
          <t>22/12/2025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14</v>
      </c>
      <c r="L4916" t="n">
        <v>0</v>
      </c>
      <c r="M4916" t="n">
        <v>0</v>
      </c>
      <c r="N4916" t="n">
        <v>0</v>
      </c>
      <c r="O4916" t="n">
        <v>0</v>
      </c>
      <c r="P4916" t="n">
        <v>2</v>
      </c>
      <c r="Q4916" t="n">
        <v>2</v>
      </c>
      <c r="R4916" t="n">
        <v>0</v>
      </c>
      <c r="S4916" t="n">
        <v/>
      </c>
      <c r="T4916" t="inlineStr">
        <is>
          <t>22</t>
        </is>
      </c>
      <c r="U4916" t="inlineStr">
        <is>
          <t>12</t>
        </is>
      </c>
      <c r="V4916" t="n">
        <v/>
      </c>
      <c r="W4916" t="n">
        <v/>
      </c>
    </row>
    <row r="4917">
      <c r="A4917" t="inlineStr">
        <is>
          <t>23/12/2025 7:12:28</t>
        </is>
      </c>
      <c r="B4917" t="inlineStr">
        <is>
          <t>Hoàng Văn Chất</t>
        </is>
      </c>
      <c r="C4917" t="inlineStr">
        <is>
          <t>22/12/2025</t>
        </is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  <c r="I4917" t="n">
        <v>0</v>
      </c>
      <c r="J4917" t="n">
        <v>0</v>
      </c>
      <c r="K4917" t="n">
        <v>20</v>
      </c>
      <c r="L4917" t="n">
        <v>0</v>
      </c>
      <c r="M4917" t="n">
        <v>1</v>
      </c>
      <c r="N4917" t="n">
        <v>1</v>
      </c>
      <c r="O4917" t="n">
        <v>0</v>
      </c>
      <c r="P4917" t="n">
        <v>1</v>
      </c>
      <c r="Q4917" t="n">
        <v>2</v>
      </c>
      <c r="R4917" t="n">
        <v>0</v>
      </c>
      <c r="S4917" t="n">
        <v/>
      </c>
      <c r="T4917" t="inlineStr">
        <is>
          <t>22</t>
        </is>
      </c>
      <c r="U4917" t="inlineStr">
        <is>
          <t>12</t>
        </is>
      </c>
      <c r="V4917" t="n">
        <v/>
      </c>
      <c r="W4917" t="n">
        <v/>
      </c>
    </row>
    <row r="4918">
      <c r="A4918" t="inlineStr">
        <is>
          <t>23/12/2025 7:12:40</t>
        </is>
      </c>
      <c r="B4918" t="inlineStr">
        <is>
          <t>Trần Xuân Khoa</t>
        </is>
      </c>
      <c r="C4918" t="inlineStr">
        <is>
          <t>22/12/2025</t>
        </is>
      </c>
      <c r="D4918" t="n">
        <v>1</v>
      </c>
      <c r="E4918" t="n">
        <v>1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7</v>
      </c>
      <c r="L4918" t="n">
        <v>0</v>
      </c>
      <c r="M4918" t="n">
        <v>0</v>
      </c>
      <c r="N4918" t="n">
        <v>0</v>
      </c>
      <c r="O4918" t="n">
        <v>0</v>
      </c>
      <c r="P4918" t="n">
        <v>2</v>
      </c>
      <c r="Q4918" t="n">
        <v>3</v>
      </c>
      <c r="R4918" t="n">
        <v>0</v>
      </c>
      <c r="S4918" t="n">
        <v/>
      </c>
      <c r="T4918" t="inlineStr">
        <is>
          <t>22</t>
        </is>
      </c>
      <c r="U4918" t="inlineStr">
        <is>
          <t>12</t>
        </is>
      </c>
      <c r="V4918" t="n">
        <v/>
      </c>
      <c r="W4918" t="n">
        <v/>
      </c>
    </row>
    <row r="4919">
      <c r="A4919" t="inlineStr">
        <is>
          <t>23/12/2025 7:13:03</t>
        </is>
      </c>
      <c r="B4919" t="inlineStr">
        <is>
          <t>Đặng Hữu Danh</t>
        </is>
      </c>
      <c r="C4919" t="inlineStr">
        <is>
          <t>22/12/2025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2</v>
      </c>
      <c r="K4919" t="n">
        <v>11</v>
      </c>
      <c r="L4919" t="n">
        <v>0</v>
      </c>
      <c r="M4919" t="n">
        <v>0</v>
      </c>
      <c r="N4919" t="n">
        <v>0</v>
      </c>
      <c r="O4919" t="n">
        <v>0</v>
      </c>
      <c r="P4919" t="n">
        <v>1</v>
      </c>
      <c r="Q4919" t="n">
        <v>2</v>
      </c>
      <c r="R4919" t="n">
        <v>2</v>
      </c>
      <c r="S4919" t="n">
        <v/>
      </c>
      <c r="T4919" t="inlineStr">
        <is>
          <t>22</t>
        </is>
      </c>
      <c r="U4919" t="inlineStr">
        <is>
          <t>12</t>
        </is>
      </c>
      <c r="V4919" t="n">
        <v/>
      </c>
      <c r="W4919" t="n">
        <v/>
      </c>
    </row>
    <row r="4920">
      <c r="A4920" t="inlineStr">
        <is>
          <t>23/12/2025 7:13:44</t>
        </is>
      </c>
      <c r="B4920" t="inlineStr">
        <is>
          <t>Trần Minh Khánh</t>
        </is>
      </c>
      <c r="C4920" t="inlineStr">
        <is>
          <t>22/12/2025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15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2</v>
      </c>
      <c r="R4920" t="n">
        <v>0</v>
      </c>
      <c r="S4920" t="n">
        <v/>
      </c>
      <c r="T4920" t="inlineStr">
        <is>
          <t>22</t>
        </is>
      </c>
      <c r="U4920" t="inlineStr">
        <is>
          <t>12</t>
        </is>
      </c>
      <c r="V4920" t="n">
        <v/>
      </c>
      <c r="W4920" t="n">
        <v/>
      </c>
    </row>
    <row r="4921">
      <c r="A4921" t="inlineStr">
        <is>
          <t>23/12/2025 7:14:08</t>
        </is>
      </c>
      <c r="B4921" t="inlineStr">
        <is>
          <t>Phan Thành Thái</t>
        </is>
      </c>
      <c r="C4921" t="inlineStr">
        <is>
          <t>22/12/2025</t>
        </is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6</v>
      </c>
      <c r="L4921" t="n">
        <v>0</v>
      </c>
      <c r="M4921" t="n">
        <v>1</v>
      </c>
      <c r="N4921" t="n">
        <v>1</v>
      </c>
      <c r="O4921" t="n">
        <v>1</v>
      </c>
      <c r="P4921" t="n">
        <v>1</v>
      </c>
      <c r="Q4921" t="n">
        <v>6</v>
      </c>
      <c r="R4921" t="n">
        <v>0</v>
      </c>
      <c r="S4921" t="n">
        <v/>
      </c>
      <c r="T4921" t="inlineStr">
        <is>
          <t>22</t>
        </is>
      </c>
      <c r="U4921" t="inlineStr">
        <is>
          <t>12</t>
        </is>
      </c>
      <c r="V4921" t="n">
        <v/>
      </c>
      <c r="W4921" t="n">
        <v/>
      </c>
    </row>
    <row r="4922">
      <c r="A4922" t="inlineStr">
        <is>
          <t>23/12/2025 7:14:34</t>
        </is>
      </c>
      <c r="B4922" t="inlineStr">
        <is>
          <t>Nguyễn Thành Lâm</t>
        </is>
      </c>
      <c r="C4922" t="inlineStr">
        <is>
          <t>22/12/2025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8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2</v>
      </c>
      <c r="R4922" t="n">
        <v>0</v>
      </c>
      <c r="S4922" t="n">
        <v/>
      </c>
      <c r="T4922" t="inlineStr">
        <is>
          <t>22</t>
        </is>
      </c>
      <c r="U4922" t="inlineStr">
        <is>
          <t>12</t>
        </is>
      </c>
      <c r="V4922" t="n">
        <v/>
      </c>
      <c r="W4922" t="n">
        <v/>
      </c>
    </row>
    <row r="4923">
      <c r="A4923" t="inlineStr">
        <is>
          <t>23/12/2025 7:18:38</t>
        </is>
      </c>
      <c r="B4923" t="inlineStr">
        <is>
          <t>Hồ Thái Minh Trí</t>
        </is>
      </c>
      <c r="C4923" t="inlineStr">
        <is>
          <t>22/12/2025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/>
      </c>
      <c r="T4923" t="inlineStr">
        <is>
          <t>22</t>
        </is>
      </c>
      <c r="U4923" t="inlineStr">
        <is>
          <t>12</t>
        </is>
      </c>
      <c r="V4923" t="n">
        <v/>
      </c>
      <c r="W4923" t="n">
        <v/>
      </c>
    </row>
    <row r="4924">
      <c r="A4924" t="inlineStr">
        <is>
          <t>23/12/2025 7:26:12</t>
        </is>
      </c>
      <c r="B4924" t="inlineStr">
        <is>
          <t>Lê Văn Hồng</t>
        </is>
      </c>
      <c r="C4924" t="inlineStr">
        <is>
          <t>22/12/0025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4</v>
      </c>
      <c r="L4924" t="n">
        <v>0</v>
      </c>
      <c r="M4924" t="n">
        <v>2</v>
      </c>
      <c r="N4924" t="n">
        <v>0</v>
      </c>
      <c r="O4924" t="n">
        <v>0</v>
      </c>
      <c r="P4924" t="n">
        <v>2</v>
      </c>
      <c r="Q4924" t="n">
        <v>3</v>
      </c>
      <c r="R4924" t="n">
        <v>0</v>
      </c>
      <c r="S4924" t="n">
        <v/>
      </c>
      <c r="T4924" t="e">
        <v>#NUM!</v>
      </c>
      <c r="U4924" t="e">
        <v>#NUM!</v>
      </c>
      <c r="V4924" t="n">
        <v/>
      </c>
      <c r="W4924" t="n">
        <v/>
      </c>
    </row>
    <row r="4925">
      <c r="A4925" t="inlineStr">
        <is>
          <t>23/12/2025 7:26:15</t>
        </is>
      </c>
      <c r="B4925" t="inlineStr">
        <is>
          <t>Lê Hồng Phong</t>
        </is>
      </c>
      <c r="C4925" t="inlineStr">
        <is>
          <t>24/12/2025</t>
        </is>
      </c>
      <c r="D4925" t="n">
        <v>1</v>
      </c>
      <c r="E4925" t="n">
        <v>1</v>
      </c>
      <c r="F4925" t="n">
        <v>1</v>
      </c>
      <c r="G4925" t="n">
        <v>0</v>
      </c>
      <c r="H4925" t="n">
        <v>0</v>
      </c>
      <c r="I4925" t="n">
        <v>1</v>
      </c>
      <c r="J4925" t="n">
        <v>1</v>
      </c>
      <c r="K4925" t="n">
        <v>1</v>
      </c>
      <c r="L4925" t="n">
        <v>1</v>
      </c>
      <c r="M4925" t="n">
        <v>1</v>
      </c>
      <c r="N4925" t="n">
        <v>1</v>
      </c>
      <c r="O4925" t="n">
        <v>1</v>
      </c>
      <c r="P4925" t="n">
        <v>1</v>
      </c>
      <c r="Q4925" t="n">
        <v>1</v>
      </c>
      <c r="R4925" t="n">
        <v>1</v>
      </c>
      <c r="S4925" t="n">
        <v/>
      </c>
      <c r="T4925" t="inlineStr">
        <is>
          <t>24</t>
        </is>
      </c>
      <c r="U4925" t="inlineStr">
        <is>
          <t>12</t>
        </is>
      </c>
      <c r="V4925" t="n">
        <v/>
      </c>
      <c r="W4925" t="n">
        <v/>
      </c>
    </row>
    <row r="4926">
      <c r="A4926" t="inlineStr">
        <is>
          <t>23/12/2025 7:36:03</t>
        </is>
      </c>
      <c r="B4926" t="inlineStr">
        <is>
          <t>Bùi Duy Cường</t>
        </is>
      </c>
      <c r="C4926" t="inlineStr">
        <is>
          <t>22/12/2025</t>
        </is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  <c r="I4926" t="n">
        <v>0</v>
      </c>
      <c r="J4926" t="n">
        <v>0</v>
      </c>
      <c r="K4926" t="n">
        <v>8</v>
      </c>
      <c r="L4926" t="n">
        <v>0</v>
      </c>
      <c r="M4926" t="n">
        <v>1</v>
      </c>
      <c r="N4926" t="n">
        <v>1</v>
      </c>
      <c r="O4926" t="n">
        <v>1</v>
      </c>
      <c r="P4926" t="n">
        <v>0</v>
      </c>
      <c r="Q4926" t="n">
        <v>3</v>
      </c>
      <c r="R4926" t="n">
        <v>1</v>
      </c>
      <c r="S4926" t="n">
        <v/>
      </c>
      <c r="T4926" t="inlineStr">
        <is>
          <t>22</t>
        </is>
      </c>
      <c r="U4926" t="inlineStr">
        <is>
          <t>12</t>
        </is>
      </c>
      <c r="V4926" t="n">
        <v/>
      </c>
      <c r="W4926" t="n">
        <v/>
      </c>
    </row>
    <row r="4927">
      <c r="A4927" t="inlineStr">
        <is>
          <t>23/12/2025 7:36:04</t>
        </is>
      </c>
      <c r="B4927" t="inlineStr">
        <is>
          <t>Đặng Hoài Anh</t>
        </is>
      </c>
      <c r="C4927" t="inlineStr">
        <is>
          <t>22/12/2025</t>
        </is>
      </c>
      <c r="D4927" t="n">
        <v>1</v>
      </c>
      <c r="E4927" t="n">
        <v>1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6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  <c r="Q4927" t="n">
        <v>2</v>
      </c>
      <c r="R4927" t="n">
        <v>0</v>
      </c>
      <c r="S4927" t="n">
        <v/>
      </c>
      <c r="T4927" t="inlineStr">
        <is>
          <t>22</t>
        </is>
      </c>
      <c r="U4927" t="inlineStr">
        <is>
          <t>12</t>
        </is>
      </c>
      <c r="V4927" t="n">
        <v/>
      </c>
      <c r="W4927" t="n">
        <v/>
      </c>
    </row>
    <row r="4928">
      <c r="A4928" t="inlineStr">
        <is>
          <t>23/12/2025 7:36:23</t>
        </is>
      </c>
      <c r="B4928" t="inlineStr">
        <is>
          <t>Nguyễn Văn Nhật</t>
        </is>
      </c>
      <c r="C4928" t="inlineStr">
        <is>
          <t>22/12/2025</t>
        </is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  <c r="I4928" t="n">
        <v>0</v>
      </c>
      <c r="J4928" t="n">
        <v>1</v>
      </c>
      <c r="K4928" t="n">
        <v>8</v>
      </c>
      <c r="L4928" t="n">
        <v>0</v>
      </c>
      <c r="M4928" t="n">
        <v>1</v>
      </c>
      <c r="N4928" t="n">
        <v>0</v>
      </c>
      <c r="O4928" t="n">
        <v>0</v>
      </c>
      <c r="P4928" t="n">
        <v>2</v>
      </c>
      <c r="Q4928" t="n">
        <v>1</v>
      </c>
      <c r="R4928" t="n">
        <v>0</v>
      </c>
      <c r="S4928" t="n">
        <v/>
      </c>
      <c r="T4928" t="inlineStr">
        <is>
          <t>22</t>
        </is>
      </c>
      <c r="U4928" t="inlineStr">
        <is>
          <t>12</t>
        </is>
      </c>
      <c r="V4928" t="n">
        <v/>
      </c>
      <c r="W4928" t="n">
        <v/>
      </c>
    </row>
    <row r="4929">
      <c r="A4929" t="inlineStr">
        <is>
          <t>23/12/2025 7:36:35</t>
        </is>
      </c>
      <c r="B4929" t="inlineStr">
        <is>
          <t>Nguyễn Hồng Minh</t>
        </is>
      </c>
      <c r="C4929" t="inlineStr">
        <is>
          <t>22/12/2025</t>
        </is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2</v>
      </c>
      <c r="J4929" t="n">
        <v>0</v>
      </c>
      <c r="K4929" t="n">
        <v>15</v>
      </c>
      <c r="L4929" t="n">
        <v>0</v>
      </c>
      <c r="M4929" t="n">
        <v>0</v>
      </c>
      <c r="N4929" t="n">
        <v>2</v>
      </c>
      <c r="O4929" t="n">
        <v>1</v>
      </c>
      <c r="P4929" t="n">
        <v>0</v>
      </c>
      <c r="Q4929" t="n">
        <v>5</v>
      </c>
      <c r="R4929" t="n">
        <v>0</v>
      </c>
      <c r="S4929" t="n">
        <v/>
      </c>
      <c r="T4929" t="inlineStr">
        <is>
          <t>22</t>
        </is>
      </c>
      <c r="U4929" t="inlineStr">
        <is>
          <t>12</t>
        </is>
      </c>
      <c r="V4929" t="n">
        <v/>
      </c>
      <c r="W4929" t="n">
        <v/>
      </c>
    </row>
    <row r="4930">
      <c r="A4930" t="inlineStr">
        <is>
          <t>24/12/2025 4:18:48</t>
        </is>
      </c>
      <c r="B4930" t="inlineStr">
        <is>
          <t>Hồ Thái Minh Trí</t>
        </is>
      </c>
      <c r="C4930" t="inlineStr">
        <is>
          <t>23/12/2025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13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/>
      </c>
      <c r="T4930" t="inlineStr">
        <is>
          <t>23</t>
        </is>
      </c>
      <c r="U4930" t="inlineStr">
        <is>
          <t>12</t>
        </is>
      </c>
      <c r="V4930" t="n">
        <v/>
      </c>
      <c r="W4930" t="n">
        <v/>
      </c>
    </row>
    <row r="4931">
      <c r="A4931" t="inlineStr">
        <is>
          <t>24/12/2025 6:44:50</t>
        </is>
      </c>
      <c r="B4931" t="inlineStr">
        <is>
          <t>Phan Thành Thái</t>
        </is>
      </c>
      <c r="C4931" t="inlineStr">
        <is>
          <t>23/12/2025</t>
        </is>
      </c>
      <c r="D4931" t="n">
        <v>0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26</v>
      </c>
      <c r="L4931" t="n">
        <v>0</v>
      </c>
      <c r="M4931" t="n">
        <v>0</v>
      </c>
      <c r="N4931" t="n">
        <v>0</v>
      </c>
      <c r="O4931" t="n">
        <v>0</v>
      </c>
      <c r="P4931" t="n">
        <v>2</v>
      </c>
      <c r="Q4931" t="n">
        <v>5</v>
      </c>
      <c r="R4931" t="n">
        <v>0</v>
      </c>
      <c r="S4931" t="n">
        <v/>
      </c>
      <c r="T4931" t="inlineStr">
        <is>
          <t>23</t>
        </is>
      </c>
      <c r="U4931" t="inlineStr">
        <is>
          <t>12</t>
        </is>
      </c>
      <c r="V4931" t="n">
        <v/>
      </c>
      <c r="W4931" t="n">
        <v/>
      </c>
    </row>
    <row r="4932">
      <c r="A4932" t="inlineStr">
        <is>
          <t>24/12/2025 6:46:34</t>
        </is>
      </c>
      <c r="B4932" t="inlineStr">
        <is>
          <t>Lê Hồng Phong</t>
        </is>
      </c>
      <c r="C4932" t="inlineStr">
        <is>
          <t>24/12/2025</t>
        </is>
      </c>
      <c r="D4932" t="n">
        <v>1</v>
      </c>
      <c r="E4932" t="n">
        <v>1</v>
      </c>
      <c r="F4932" t="n">
        <v>1</v>
      </c>
      <c r="G4932" t="n">
        <v>0</v>
      </c>
      <c r="H4932" t="n">
        <v>0</v>
      </c>
      <c r="I4932" t="n">
        <v>1</v>
      </c>
      <c r="J4932" t="n">
        <v>1</v>
      </c>
      <c r="K4932" t="n">
        <v>1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1</v>
      </c>
      <c r="S4932" t="n">
        <v/>
      </c>
      <c r="T4932" t="inlineStr">
        <is>
          <t>24</t>
        </is>
      </c>
      <c r="U4932" t="inlineStr">
        <is>
          <t>12</t>
        </is>
      </c>
      <c r="V4932" t="n">
        <v/>
      </c>
      <c r="W4932" t="n">
        <v/>
      </c>
    </row>
    <row r="4933">
      <c r="A4933" t="inlineStr">
        <is>
          <t>24/12/2025 6:47:49</t>
        </is>
      </c>
      <c r="B4933" t="inlineStr">
        <is>
          <t>Hồ Xuân Việt</t>
        </is>
      </c>
      <c r="C4933" t="inlineStr">
        <is>
          <t>23/12/2025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6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/>
      </c>
      <c r="T4933" t="inlineStr">
        <is>
          <t>23</t>
        </is>
      </c>
      <c r="U4933" t="inlineStr">
        <is>
          <t>12</t>
        </is>
      </c>
      <c r="V4933" t="n">
        <v/>
      </c>
      <c r="W4933" t="n">
        <v/>
      </c>
    </row>
    <row r="4934">
      <c r="A4934" t="inlineStr">
        <is>
          <t>24/12/2025 6:54:57</t>
        </is>
      </c>
      <c r="B4934" t="inlineStr">
        <is>
          <t>Phan Ngọc Sang</t>
        </is>
      </c>
      <c r="C4934" t="inlineStr">
        <is>
          <t>23/12/2025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9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2</v>
      </c>
      <c r="R4934" t="n">
        <v>0</v>
      </c>
      <c r="S4934" t="n">
        <v/>
      </c>
      <c r="T4934" t="inlineStr">
        <is>
          <t>23</t>
        </is>
      </c>
      <c r="U4934" t="inlineStr">
        <is>
          <t>12</t>
        </is>
      </c>
      <c r="V4934" t="n">
        <v/>
      </c>
      <c r="W4934" t="n">
        <v/>
      </c>
    </row>
    <row r="4935">
      <c r="A4935" t="inlineStr">
        <is>
          <t>24/12/2025 6:56:49</t>
        </is>
      </c>
      <c r="B4935" t="inlineStr">
        <is>
          <t>Đào Công Trung</t>
        </is>
      </c>
      <c r="C4935" t="inlineStr">
        <is>
          <t>23/12/2025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12</v>
      </c>
      <c r="L4935" t="n">
        <v>0</v>
      </c>
      <c r="M4935" t="n">
        <v>0</v>
      </c>
      <c r="N4935" t="n">
        <v>3</v>
      </c>
      <c r="O4935" t="n">
        <v>0</v>
      </c>
      <c r="P4935" t="n">
        <v>0</v>
      </c>
      <c r="Q4935" t="n">
        <v>1</v>
      </c>
      <c r="R4935" t="n">
        <v>0</v>
      </c>
      <c r="S4935" t="n">
        <v/>
      </c>
      <c r="T4935" t="inlineStr">
        <is>
          <t>23</t>
        </is>
      </c>
      <c r="U4935" t="inlineStr">
        <is>
          <t>12</t>
        </is>
      </c>
      <c r="V4935" t="n">
        <v/>
      </c>
      <c r="W4935" t="n">
        <v/>
      </c>
    </row>
    <row r="4936">
      <c r="A4936" t="inlineStr">
        <is>
          <t>24/12/2025 6:58:39</t>
        </is>
      </c>
      <c r="B4936" t="inlineStr">
        <is>
          <t>Nguyễn Quang Anh Tuấn</t>
        </is>
      </c>
      <c r="C4936" t="inlineStr">
        <is>
          <t>23/12/2025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3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2</v>
      </c>
      <c r="R4936" t="n">
        <v>0</v>
      </c>
      <c r="S4936" t="n">
        <v/>
      </c>
      <c r="T4936" t="inlineStr">
        <is>
          <t>23</t>
        </is>
      </c>
      <c r="U4936" t="inlineStr">
        <is>
          <t>12</t>
        </is>
      </c>
      <c r="V4936" t="n">
        <v/>
      </c>
      <c r="W4936" t="n">
        <v/>
      </c>
    </row>
    <row r="4937">
      <c r="A4937" t="inlineStr">
        <is>
          <t>24/12/2025 6:58:53</t>
        </is>
      </c>
      <c r="B4937" t="inlineStr">
        <is>
          <t>Dương Minh Tiến</t>
        </is>
      </c>
      <c r="C4937" t="inlineStr">
        <is>
          <t>23/12/2025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23</v>
      </c>
      <c r="L4937" t="n">
        <v>0</v>
      </c>
      <c r="M4937" t="n">
        <v>0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/>
      </c>
      <c r="T4937" t="inlineStr">
        <is>
          <t>23</t>
        </is>
      </c>
      <c r="U4937" t="inlineStr">
        <is>
          <t>12</t>
        </is>
      </c>
      <c r="V4937" t="n">
        <v/>
      </c>
      <c r="W4937" t="n">
        <v/>
      </c>
    </row>
    <row r="4938">
      <c r="A4938" t="inlineStr">
        <is>
          <t>24/12/2025 6:59:10</t>
        </is>
      </c>
      <c r="B4938" t="inlineStr">
        <is>
          <t>Huỳnh Văn Lực</t>
        </is>
      </c>
      <c r="C4938" t="inlineStr">
        <is>
          <t>23/12/2025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4</v>
      </c>
      <c r="L4938" t="n">
        <v>0</v>
      </c>
      <c r="M4938" t="n">
        <v>0</v>
      </c>
      <c r="N4938" t="n">
        <v>0</v>
      </c>
      <c r="O4938" t="n">
        <v>0</v>
      </c>
      <c r="P4938" t="n">
        <v>1</v>
      </c>
      <c r="Q4938" t="n">
        <v>1</v>
      </c>
      <c r="R4938" t="n">
        <v>0</v>
      </c>
      <c r="S4938" t="n">
        <v/>
      </c>
      <c r="T4938" t="inlineStr">
        <is>
          <t>23</t>
        </is>
      </c>
      <c r="U4938" t="inlineStr">
        <is>
          <t>12</t>
        </is>
      </c>
      <c r="V4938" t="n">
        <v/>
      </c>
      <c r="W4938" t="n">
        <v/>
      </c>
    </row>
    <row r="4939">
      <c r="A4939" t="inlineStr">
        <is>
          <t>24/12/2025 7:00:34</t>
        </is>
      </c>
      <c r="B4939" t="inlineStr">
        <is>
          <t>Lương Duy Hoàng</t>
        </is>
      </c>
      <c r="C4939" t="inlineStr">
        <is>
          <t>23/12/2025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4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/>
      </c>
      <c r="T4939" t="inlineStr">
        <is>
          <t>23</t>
        </is>
      </c>
      <c r="U4939" t="inlineStr">
        <is>
          <t>12</t>
        </is>
      </c>
      <c r="V4939" t="n">
        <v/>
      </c>
      <c r="W4939" t="n">
        <v/>
      </c>
    </row>
    <row r="4940">
      <c r="A4940" t="inlineStr">
        <is>
          <t>24/12/2025 7:01:05</t>
        </is>
      </c>
      <c r="B4940" t="inlineStr">
        <is>
          <t>Trần Minh Khánh</t>
        </is>
      </c>
      <c r="C4940" t="inlineStr">
        <is>
          <t>23/12/2025</t>
        </is>
      </c>
      <c r="D4940" t="n">
        <v>0</v>
      </c>
      <c r="E4940" t="n">
        <v>0</v>
      </c>
      <c r="F4940" t="n">
        <v>0</v>
      </c>
      <c r="G4940" t="n">
        <v>1</v>
      </c>
      <c r="H4940" t="n">
        <v>3</v>
      </c>
      <c r="I4940" t="n">
        <v>0</v>
      </c>
      <c r="J4940" t="n">
        <v>0</v>
      </c>
      <c r="K4940" t="n">
        <v>16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4</v>
      </c>
      <c r="R4940" t="n">
        <v>0</v>
      </c>
      <c r="S4940" t="n">
        <v/>
      </c>
      <c r="T4940" t="inlineStr">
        <is>
          <t>23</t>
        </is>
      </c>
      <c r="U4940" t="inlineStr">
        <is>
          <t>12</t>
        </is>
      </c>
      <c r="V4940" t="n">
        <v/>
      </c>
      <c r="W4940" t="n">
        <v/>
      </c>
    </row>
    <row r="4941">
      <c r="A4941" t="inlineStr">
        <is>
          <t>24/12/2025 7:02:29</t>
        </is>
      </c>
      <c r="B4941" t="inlineStr">
        <is>
          <t>Lê Quốc Duy</t>
        </is>
      </c>
      <c r="C4941" t="inlineStr">
        <is>
          <t>23/12/2025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6</v>
      </c>
      <c r="L4941" t="n">
        <v>0</v>
      </c>
      <c r="M4941" t="n">
        <v>0</v>
      </c>
      <c r="N4941" t="n">
        <v>0</v>
      </c>
      <c r="O4941" t="n">
        <v>0</v>
      </c>
      <c r="P4941" t="n">
        <v>1</v>
      </c>
      <c r="Q4941" t="n">
        <v>1</v>
      </c>
      <c r="R4941" t="n">
        <v>0</v>
      </c>
      <c r="S4941" t="n">
        <v/>
      </c>
      <c r="T4941" t="inlineStr">
        <is>
          <t>23</t>
        </is>
      </c>
      <c r="U4941" t="inlineStr">
        <is>
          <t>12</t>
        </is>
      </c>
      <c r="V4941" t="n">
        <v/>
      </c>
      <c r="W4941" t="n">
        <v/>
      </c>
    </row>
    <row r="4942">
      <c r="A4942" t="inlineStr">
        <is>
          <t>24/12/2025 7:03:12</t>
        </is>
      </c>
      <c r="B4942" t="inlineStr">
        <is>
          <t>Nguyễn Văn Nhật</t>
        </is>
      </c>
      <c r="C4942" t="inlineStr">
        <is>
          <t>23/12/2025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1</v>
      </c>
      <c r="K4942" t="n">
        <v>12</v>
      </c>
      <c r="L4942" t="n">
        <v>0</v>
      </c>
      <c r="M4942" t="n">
        <v>0</v>
      </c>
      <c r="N4942" t="n">
        <v>2</v>
      </c>
      <c r="O4942" t="n">
        <v>0</v>
      </c>
      <c r="P4942" t="n">
        <v>1</v>
      </c>
      <c r="Q4942" t="n">
        <v>2</v>
      </c>
      <c r="R4942" t="n">
        <v>0</v>
      </c>
      <c r="S4942" t="n">
        <v/>
      </c>
      <c r="T4942" t="inlineStr">
        <is>
          <t>23</t>
        </is>
      </c>
      <c r="U4942" t="inlineStr">
        <is>
          <t>12</t>
        </is>
      </c>
      <c r="V4942" t="n">
        <v/>
      </c>
      <c r="W4942" t="n">
        <v/>
      </c>
    </row>
    <row r="4943">
      <c r="A4943" t="inlineStr">
        <is>
          <t>24/12/2025 7:03:53</t>
        </is>
      </c>
      <c r="B4943" t="inlineStr">
        <is>
          <t>Đặng Hữu Danh</t>
        </is>
      </c>
      <c r="C4943" t="inlineStr">
        <is>
          <t>23/12/2025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1</v>
      </c>
      <c r="K4943" t="n">
        <v>4</v>
      </c>
      <c r="L4943" t="n">
        <v>0</v>
      </c>
      <c r="M4943" t="n">
        <v>1</v>
      </c>
      <c r="N4943" t="n">
        <v>4</v>
      </c>
      <c r="O4943" t="n">
        <v>0</v>
      </c>
      <c r="P4943" t="n">
        <v>1</v>
      </c>
      <c r="Q4943" t="n">
        <v>3</v>
      </c>
      <c r="R4943" t="n">
        <v>0</v>
      </c>
      <c r="S4943" t="n">
        <v/>
      </c>
      <c r="T4943" t="inlineStr">
        <is>
          <t>23</t>
        </is>
      </c>
      <c r="U4943" t="inlineStr">
        <is>
          <t>12</t>
        </is>
      </c>
      <c r="V4943" t="n">
        <v/>
      </c>
      <c r="W4943" t="n">
        <v/>
      </c>
    </row>
    <row r="4944">
      <c r="A4944" t="inlineStr">
        <is>
          <t>24/12/2025 7:06:51</t>
        </is>
      </c>
      <c r="B4944" t="inlineStr">
        <is>
          <t>Trần Trung Giang</t>
        </is>
      </c>
      <c r="C4944" t="inlineStr">
        <is>
          <t>23/12/2024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2</v>
      </c>
      <c r="L4944" t="n">
        <v>0</v>
      </c>
      <c r="M4944" t="n">
        <v>0</v>
      </c>
      <c r="N4944" t="n">
        <v>2</v>
      </c>
      <c r="O4944" t="n">
        <v>0</v>
      </c>
      <c r="P4944" t="n">
        <v>0</v>
      </c>
      <c r="Q4944" t="n">
        <v>0</v>
      </c>
      <c r="R4944" t="n">
        <v>0</v>
      </c>
      <c r="S4944" t="n">
        <v/>
      </c>
      <c r="T4944" t="inlineStr">
        <is>
          <t>23</t>
        </is>
      </c>
      <c r="U4944" t="inlineStr">
        <is>
          <t>12</t>
        </is>
      </c>
      <c r="V4944" t="n">
        <v/>
      </c>
      <c r="W4944" t="n">
        <v/>
      </c>
    </row>
    <row r="4945">
      <c r="A4945" t="inlineStr">
        <is>
          <t>24/12/2025 7:08:48</t>
        </is>
      </c>
      <c r="B4945" t="inlineStr">
        <is>
          <t>Trần Xuân Khoa</t>
        </is>
      </c>
      <c r="C4945" t="inlineStr">
        <is>
          <t>23/12/2025</t>
        </is>
      </c>
      <c r="D4945" t="n">
        <v>1</v>
      </c>
      <c r="E4945" t="n">
        <v>1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8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2</v>
      </c>
      <c r="R4945" t="n">
        <v>0</v>
      </c>
      <c r="S4945" t="n">
        <v/>
      </c>
      <c r="T4945" t="inlineStr">
        <is>
          <t>23</t>
        </is>
      </c>
      <c r="U4945" t="inlineStr">
        <is>
          <t>12</t>
        </is>
      </c>
      <c r="V4945" t="n">
        <v/>
      </c>
      <c r="W4945" t="n">
        <v/>
      </c>
    </row>
    <row r="4946">
      <c r="A4946" t="inlineStr">
        <is>
          <t>24/12/2025 7:12:43</t>
        </is>
      </c>
      <c r="B4946" t="inlineStr">
        <is>
          <t>Vòng Nhật Sang</t>
        </is>
      </c>
      <c r="C4946" t="inlineStr">
        <is>
          <t>23/12/2025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4</v>
      </c>
      <c r="L4946" t="n">
        <v>0</v>
      </c>
      <c r="M4946" t="n">
        <v>0</v>
      </c>
      <c r="N4946" t="n">
        <v>0</v>
      </c>
      <c r="O4946" t="n">
        <v>0</v>
      </c>
      <c r="P4946" t="n">
        <v>1</v>
      </c>
      <c r="Q4946" t="n">
        <v>2</v>
      </c>
      <c r="R4946" t="n">
        <v>0</v>
      </c>
      <c r="S4946" t="n">
        <v/>
      </c>
      <c r="T4946" t="inlineStr">
        <is>
          <t>23</t>
        </is>
      </c>
      <c r="U4946" t="inlineStr">
        <is>
          <t>12</t>
        </is>
      </c>
      <c r="V4946" t="n">
        <v/>
      </c>
      <c r="W4946" t="n">
        <v/>
      </c>
    </row>
    <row r="4947">
      <c r="A4947" t="inlineStr">
        <is>
          <t>24/12/2025 7:16:58</t>
        </is>
      </c>
      <c r="B4947" t="inlineStr">
        <is>
          <t>Nguyễn Văn Hiệp</t>
        </is>
      </c>
      <c r="C4947" t="inlineStr">
        <is>
          <t>23/12/2025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3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0</v>
      </c>
      <c r="S4947" t="n">
        <v/>
      </c>
      <c r="T4947" t="inlineStr">
        <is>
          <t>23</t>
        </is>
      </c>
      <c r="U4947" t="inlineStr">
        <is>
          <t>12</t>
        </is>
      </c>
      <c r="V4947" t="n">
        <v/>
      </c>
      <c r="W4947" t="n">
        <v/>
      </c>
    </row>
    <row r="4948">
      <c r="A4948" t="inlineStr">
        <is>
          <t>24/12/2025 7:20:54</t>
        </is>
      </c>
      <c r="B4948" t="inlineStr">
        <is>
          <t>Nguyễn Thành Lâm</t>
        </is>
      </c>
      <c r="C4948" t="inlineStr">
        <is>
          <t>23/12/2025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10</v>
      </c>
      <c r="L4948" t="n">
        <v>0</v>
      </c>
      <c r="M4948" t="n">
        <v>0</v>
      </c>
      <c r="N4948" t="n">
        <v>0</v>
      </c>
      <c r="O4948" t="n">
        <v>0</v>
      </c>
      <c r="P4948" t="n">
        <v>1</v>
      </c>
      <c r="Q4948" t="n">
        <v>5</v>
      </c>
      <c r="R4948" t="n">
        <v>0</v>
      </c>
      <c r="S4948" t="n">
        <v/>
      </c>
      <c r="T4948" t="inlineStr">
        <is>
          <t>23</t>
        </is>
      </c>
      <c r="U4948" t="inlineStr">
        <is>
          <t>12</t>
        </is>
      </c>
      <c r="V4948" t="n">
        <v/>
      </c>
      <c r="W4948" t="n">
        <v/>
      </c>
    </row>
    <row r="4949">
      <c r="A4949" t="inlineStr">
        <is>
          <t>24/12/2025 7:22:35</t>
        </is>
      </c>
      <c r="B4949" t="inlineStr">
        <is>
          <t>Nguyễn Tuấn Anh</t>
        </is>
      </c>
      <c r="C4949" t="inlineStr">
        <is>
          <t>23/12/2025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19</v>
      </c>
      <c r="L4949" t="n">
        <v>0</v>
      </c>
      <c r="M4949" t="n">
        <v>0</v>
      </c>
      <c r="N4949" t="n">
        <v>0</v>
      </c>
      <c r="O4949" t="n">
        <v>0</v>
      </c>
      <c r="P4949" t="n">
        <v>1</v>
      </c>
      <c r="Q4949" t="n">
        <v>2</v>
      </c>
      <c r="R4949" t="n">
        <v>0</v>
      </c>
      <c r="S4949" t="n">
        <v/>
      </c>
      <c r="T4949" t="inlineStr">
        <is>
          <t>23</t>
        </is>
      </c>
      <c r="U4949" t="inlineStr">
        <is>
          <t>12</t>
        </is>
      </c>
      <c r="V4949" t="n">
        <v/>
      </c>
      <c r="W4949" t="n">
        <v/>
      </c>
    </row>
    <row r="4950">
      <c r="A4950" t="inlineStr">
        <is>
          <t>24/12/2025 7:32:09</t>
        </is>
      </c>
      <c r="B4950" t="inlineStr">
        <is>
          <t>Lương Duy Hải</t>
        </is>
      </c>
      <c r="C4950" t="inlineStr">
        <is>
          <t>23/12/2025</t>
        </is>
      </c>
      <c r="D4950" t="n">
        <v>1</v>
      </c>
      <c r="E4950" t="n">
        <v>1</v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  <c r="K4950" t="n">
        <v>6</v>
      </c>
      <c r="L4950" t="n">
        <v>0</v>
      </c>
      <c r="M4950" t="n">
        <v>1</v>
      </c>
      <c r="N4950" t="n">
        <v>1</v>
      </c>
      <c r="O4950" t="n">
        <v>0</v>
      </c>
      <c r="P4950" t="n">
        <v>0</v>
      </c>
      <c r="Q4950" t="n">
        <v>2</v>
      </c>
      <c r="R4950" t="n">
        <v>0</v>
      </c>
      <c r="S4950" t="n">
        <v/>
      </c>
      <c r="T4950" t="inlineStr">
        <is>
          <t>23</t>
        </is>
      </c>
      <c r="U4950" t="inlineStr">
        <is>
          <t>12</t>
        </is>
      </c>
      <c r="V4950" t="n">
        <v/>
      </c>
      <c r="W4950" t="n">
        <v/>
      </c>
    </row>
    <row r="4951">
      <c r="A4951" t="inlineStr">
        <is>
          <t>24/12/2025 7:36:18</t>
        </is>
      </c>
      <c r="B4951" t="inlineStr">
        <is>
          <t>Đặng Hoài Anh</t>
        </is>
      </c>
      <c r="C4951" t="inlineStr">
        <is>
          <t>23/12/2025</t>
        </is>
      </c>
      <c r="D4951" t="n">
        <v>2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3</v>
      </c>
      <c r="L4951" t="n">
        <v>0</v>
      </c>
      <c r="M4951" t="n">
        <v>2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/>
      </c>
      <c r="T4951" t="inlineStr">
        <is>
          <t>23</t>
        </is>
      </c>
      <c r="U4951" t="inlineStr">
        <is>
          <t>12</t>
        </is>
      </c>
      <c r="V4951" t="n">
        <v/>
      </c>
      <c r="W4951" t="n">
        <v/>
      </c>
    </row>
    <row r="4952">
      <c r="A4952" t="inlineStr">
        <is>
          <t>24/12/2025 7:49:27</t>
        </is>
      </c>
      <c r="B4952" t="inlineStr">
        <is>
          <t>Bùi Duy Cường</t>
        </is>
      </c>
      <c r="C4952" t="inlineStr">
        <is>
          <t>23/12/2025</t>
        </is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  <c r="I4952" t="n">
        <v>0</v>
      </c>
      <c r="J4952" t="n">
        <v>0</v>
      </c>
      <c r="K4952" t="n">
        <v>10</v>
      </c>
      <c r="L4952" t="n">
        <v>0</v>
      </c>
      <c r="M4952" t="n">
        <v>1</v>
      </c>
      <c r="N4952" t="n">
        <v>1</v>
      </c>
      <c r="O4952" t="n">
        <v>1</v>
      </c>
      <c r="P4952" t="n">
        <v>1</v>
      </c>
      <c r="Q4952" t="n">
        <v>2</v>
      </c>
      <c r="R4952" t="n">
        <v>0</v>
      </c>
      <c r="S4952" t="n">
        <v/>
      </c>
      <c r="T4952" t="inlineStr">
        <is>
          <t>23</t>
        </is>
      </c>
      <c r="U4952" t="inlineStr">
        <is>
          <t>12</t>
        </is>
      </c>
      <c r="V4952" t="n">
        <v/>
      </c>
      <c r="W4952" t="n">
        <v/>
      </c>
    </row>
    <row r="4953">
      <c r="A4953" t="inlineStr">
        <is>
          <t>24/12/2025 7:50:03</t>
        </is>
      </c>
      <c r="B4953" t="inlineStr">
        <is>
          <t>Nguyễn Hồng Minh</t>
        </is>
      </c>
      <c r="C4953" t="inlineStr">
        <is>
          <t>23/12/2025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2</v>
      </c>
      <c r="K4953" t="n">
        <v>28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4</v>
      </c>
      <c r="R4953" t="n">
        <v>0</v>
      </c>
      <c r="S4953" t="n">
        <v/>
      </c>
      <c r="T4953" t="inlineStr">
        <is>
          <t>23</t>
        </is>
      </c>
      <c r="U4953" t="inlineStr">
        <is>
          <t>12</t>
        </is>
      </c>
      <c r="V4953" t="n">
        <v/>
      </c>
      <c r="W4953" t="n">
        <v/>
      </c>
    </row>
    <row r="4954">
      <c r="A4954" t="inlineStr">
        <is>
          <t>24/12/2025 8:17:44</t>
        </is>
      </c>
      <c r="B4954" t="inlineStr">
        <is>
          <t>Lê Văn Hồng</t>
        </is>
      </c>
      <c r="C4954" t="inlineStr">
        <is>
          <t>23/12/2025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4</v>
      </c>
      <c r="L4954" t="n">
        <v>0</v>
      </c>
      <c r="M4954" t="n">
        <v>2</v>
      </c>
      <c r="N4954" t="n">
        <v>0</v>
      </c>
      <c r="O4954" t="n">
        <v>0</v>
      </c>
      <c r="P4954" t="n">
        <v>2</v>
      </c>
      <c r="Q4954" t="n">
        <v>3</v>
      </c>
      <c r="R4954" t="n">
        <v>0</v>
      </c>
      <c r="S4954" t="n">
        <v/>
      </c>
      <c r="T4954" t="inlineStr">
        <is>
          <t>23</t>
        </is>
      </c>
      <c r="U4954" t="inlineStr">
        <is>
          <t>12</t>
        </is>
      </c>
      <c r="V4954" t="n">
        <v/>
      </c>
      <c r="W4954" t="n">
        <v/>
      </c>
    </row>
    <row r="4955">
      <c r="A4955" t="inlineStr">
        <is>
          <t>24/12/2025 21:35:26</t>
        </is>
      </c>
      <c r="B4955" t="inlineStr">
        <is>
          <t>Lê Quốc Duy</t>
        </is>
      </c>
      <c r="C4955" t="inlineStr">
        <is>
          <t>24/12/2025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14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/>
      </c>
      <c r="T4955" t="inlineStr">
        <is>
          <t>24</t>
        </is>
      </c>
      <c r="U4955" t="inlineStr">
        <is>
          <t>12</t>
        </is>
      </c>
      <c r="V4955" t="n">
        <v/>
      </c>
      <c r="W4955" t="n">
        <v/>
      </c>
    </row>
    <row r="4956">
      <c r="A4956" t="inlineStr">
        <is>
          <t>25/12/2025 6:25:31</t>
        </is>
      </c>
      <c r="B4956" t="inlineStr">
        <is>
          <t>Phan Thành Thái</t>
        </is>
      </c>
      <c r="C4956" t="inlineStr">
        <is>
          <t>24/12/2025</t>
        </is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18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4</v>
      </c>
      <c r="R4956" t="n">
        <v>0</v>
      </c>
      <c r="S4956" t="n">
        <v/>
      </c>
      <c r="T4956" t="inlineStr">
        <is>
          <t>24</t>
        </is>
      </c>
      <c r="U4956" t="inlineStr">
        <is>
          <t>12</t>
        </is>
      </c>
      <c r="V4956" t="n">
        <v/>
      </c>
      <c r="W4956" t="n">
        <v/>
      </c>
    </row>
    <row r="4957">
      <c r="A4957" t="inlineStr">
        <is>
          <t>25/12/2025 6:43:16</t>
        </is>
      </c>
      <c r="B4957" t="inlineStr">
        <is>
          <t>Phan Ngọc Sang</t>
        </is>
      </c>
      <c r="C4957" t="inlineStr">
        <is>
          <t>24/12/2025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9</v>
      </c>
      <c r="L4957" t="n">
        <v>0</v>
      </c>
      <c r="M4957" t="n">
        <v>3</v>
      </c>
      <c r="N4957" t="n">
        <v>0</v>
      </c>
      <c r="O4957" t="n">
        <v>0</v>
      </c>
      <c r="P4957" t="n">
        <v>0</v>
      </c>
      <c r="Q4957" t="n">
        <v>2</v>
      </c>
      <c r="R4957" t="n">
        <v>0</v>
      </c>
      <c r="S4957" t="n">
        <v/>
      </c>
      <c r="T4957" t="inlineStr">
        <is>
          <t>24</t>
        </is>
      </c>
      <c r="U4957" t="inlineStr">
        <is>
          <t>12</t>
        </is>
      </c>
      <c r="V4957" t="n">
        <v/>
      </c>
      <c r="W4957" t="n">
        <v/>
      </c>
    </row>
    <row r="4958">
      <c r="A4958" t="inlineStr">
        <is>
          <t>25/12/2025 6:45:02</t>
        </is>
      </c>
      <c r="B4958" t="inlineStr">
        <is>
          <t>Lê Hồng Phong</t>
        </is>
      </c>
      <c r="C4958" t="inlineStr">
        <is>
          <t>25/12/2025</t>
        </is>
      </c>
      <c r="D4958" t="n">
        <v>1</v>
      </c>
      <c r="E4958" t="n">
        <v>1</v>
      </c>
      <c r="F4958" t="n">
        <v>1</v>
      </c>
      <c r="G4958" t="n">
        <v>0</v>
      </c>
      <c r="H4958" t="n">
        <v>0</v>
      </c>
      <c r="I4958" t="n">
        <v>1</v>
      </c>
      <c r="J4958" t="n">
        <v>1</v>
      </c>
      <c r="K4958" t="n">
        <v>1</v>
      </c>
      <c r="L4958" t="n">
        <v>1</v>
      </c>
      <c r="M4958" t="n">
        <v>1</v>
      </c>
      <c r="N4958" t="n">
        <v>1</v>
      </c>
      <c r="O4958" t="n">
        <v>1</v>
      </c>
      <c r="P4958" t="n">
        <v>1</v>
      </c>
      <c r="Q4958" t="n">
        <v>1</v>
      </c>
      <c r="R4958" t="n">
        <v>1</v>
      </c>
      <c r="S4958" t="n">
        <v/>
      </c>
      <c r="T4958" t="inlineStr">
        <is>
          <t>25</t>
        </is>
      </c>
      <c r="U4958" t="inlineStr">
        <is>
          <t>12</t>
        </is>
      </c>
      <c r="V4958" t="n">
        <v/>
      </c>
      <c r="W4958" t="n">
        <v/>
      </c>
    </row>
    <row r="4959">
      <c r="A4959" t="inlineStr">
        <is>
          <t>25/12/2025 6:45:41</t>
        </is>
      </c>
      <c r="B4959" t="inlineStr">
        <is>
          <t>Vòng Nhật Sang</t>
        </is>
      </c>
      <c r="C4959" t="inlineStr">
        <is>
          <t>24/12/2025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2</v>
      </c>
      <c r="L4959" t="n">
        <v>0</v>
      </c>
      <c r="M4959" t="n">
        <v>0</v>
      </c>
      <c r="N4959" t="n">
        <v>0</v>
      </c>
      <c r="O4959" t="n">
        <v>0</v>
      </c>
      <c r="P4959" t="n">
        <v>2</v>
      </c>
      <c r="Q4959" t="n">
        <v>2</v>
      </c>
      <c r="R4959" t="n">
        <v>0</v>
      </c>
      <c r="S4959" t="n">
        <v/>
      </c>
      <c r="T4959" t="inlineStr">
        <is>
          <t>24</t>
        </is>
      </c>
      <c r="U4959" t="inlineStr">
        <is>
          <t>12</t>
        </is>
      </c>
      <c r="V4959" t="n">
        <v/>
      </c>
      <c r="W4959" t="n">
        <v/>
      </c>
    </row>
    <row r="4960">
      <c r="A4960" t="inlineStr">
        <is>
          <t>25/12/2025 6:46:24</t>
        </is>
      </c>
      <c r="B4960" t="inlineStr">
        <is>
          <t>Dương Minh Tiến</t>
        </is>
      </c>
      <c r="C4960" t="inlineStr">
        <is>
          <t>24/12/2025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15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/>
      </c>
      <c r="T4960" t="inlineStr">
        <is>
          <t>24</t>
        </is>
      </c>
      <c r="U4960" t="inlineStr">
        <is>
          <t>12</t>
        </is>
      </c>
      <c r="V4960" t="n">
        <v/>
      </c>
      <c r="W4960" t="n">
        <v/>
      </c>
    </row>
    <row r="4961">
      <c r="A4961" t="inlineStr">
        <is>
          <t>25/12/2025 6:46:43</t>
        </is>
      </c>
      <c r="B4961" t="inlineStr">
        <is>
          <t>Lương Duy Hoàng</t>
        </is>
      </c>
      <c r="C4961" t="inlineStr">
        <is>
          <t>24/12/2025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3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2</v>
      </c>
      <c r="R4961" t="n">
        <v>0</v>
      </c>
      <c r="S4961" t="n">
        <v/>
      </c>
      <c r="T4961" t="inlineStr">
        <is>
          <t>24</t>
        </is>
      </c>
      <c r="U4961" t="inlineStr">
        <is>
          <t>12</t>
        </is>
      </c>
      <c r="V4961" t="n">
        <v/>
      </c>
      <c r="W4961" t="n">
        <v/>
      </c>
    </row>
    <row r="4962">
      <c r="A4962" t="inlineStr">
        <is>
          <t>25/12/2025 6:46:52</t>
        </is>
      </c>
      <c r="B4962" t="inlineStr">
        <is>
          <t>Nguyễn Văn Nhật</t>
        </is>
      </c>
      <c r="C4962" t="inlineStr">
        <is>
          <t>24/12/2025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1</v>
      </c>
      <c r="K4962" t="n">
        <v>10</v>
      </c>
      <c r="L4962" t="n">
        <v>0</v>
      </c>
      <c r="M4962" t="n">
        <v>1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/>
      </c>
      <c r="T4962" t="inlineStr">
        <is>
          <t>24</t>
        </is>
      </c>
      <c r="U4962" t="inlineStr">
        <is>
          <t>12</t>
        </is>
      </c>
      <c r="V4962" t="n">
        <v/>
      </c>
      <c r="W4962" t="n">
        <v/>
      </c>
    </row>
    <row r="4963">
      <c r="A4963" t="inlineStr">
        <is>
          <t>25/12/2025 6:47:08</t>
        </is>
      </c>
      <c r="B4963" t="inlineStr">
        <is>
          <t>Nguyễn Văn Hiệp</t>
        </is>
      </c>
      <c r="C4963" t="inlineStr">
        <is>
          <t>24/12/2025</t>
        </is>
      </c>
      <c r="D4963" t="n">
        <v>9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3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/>
      </c>
      <c r="T4963" t="inlineStr">
        <is>
          <t>24</t>
        </is>
      </c>
      <c r="U4963" t="inlineStr">
        <is>
          <t>12</t>
        </is>
      </c>
      <c r="V4963" t="n">
        <v/>
      </c>
      <c r="W4963" t="n">
        <v/>
      </c>
    </row>
    <row r="4964">
      <c r="A4964" t="inlineStr">
        <is>
          <t>25/12/2025 6:47:52</t>
        </is>
      </c>
      <c r="B4964" t="inlineStr">
        <is>
          <t>Trần Trung Giang</t>
        </is>
      </c>
      <c r="C4964" t="inlineStr">
        <is>
          <t>24/12/2025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3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/>
      </c>
      <c r="T4964" t="inlineStr">
        <is>
          <t>24</t>
        </is>
      </c>
      <c r="U4964" t="inlineStr">
        <is>
          <t>12</t>
        </is>
      </c>
      <c r="V4964" t="n">
        <v/>
      </c>
      <c r="W4964" t="n">
        <v/>
      </c>
    </row>
    <row r="4965">
      <c r="A4965" t="inlineStr">
        <is>
          <t>25/12/2025 6:48:56</t>
        </is>
      </c>
      <c r="B4965" t="inlineStr">
        <is>
          <t>Nguyễn Quang Anh Tuấn</t>
        </is>
      </c>
      <c r="C4965" t="inlineStr">
        <is>
          <t>24/12/2025</t>
        </is>
      </c>
      <c r="D4965" t="n">
        <v>2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1</v>
      </c>
      <c r="Q4965" t="n">
        <v>2</v>
      </c>
      <c r="R4965" t="n">
        <v>0</v>
      </c>
      <c r="S4965" t="n">
        <v/>
      </c>
      <c r="T4965" t="inlineStr">
        <is>
          <t>24</t>
        </is>
      </c>
      <c r="U4965" t="inlineStr">
        <is>
          <t>12</t>
        </is>
      </c>
      <c r="V4965" t="n">
        <v/>
      </c>
      <c r="W4965" t="n">
        <v/>
      </c>
    </row>
    <row r="4966">
      <c r="A4966" t="inlineStr">
        <is>
          <t>25/12/2025 6:50:38</t>
        </is>
      </c>
      <c r="B4966" t="inlineStr">
        <is>
          <t>Trần Minh Khánh</t>
        </is>
      </c>
      <c r="C4966" t="inlineStr">
        <is>
          <t>24/12/2025</t>
        </is>
      </c>
      <c r="D4966" t="n">
        <v>0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9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4</v>
      </c>
      <c r="R4966" t="n">
        <v>0</v>
      </c>
      <c r="S4966" t="n">
        <v/>
      </c>
      <c r="T4966" t="inlineStr">
        <is>
          <t>24</t>
        </is>
      </c>
      <c r="U4966" t="inlineStr">
        <is>
          <t>12</t>
        </is>
      </c>
      <c r="V4966" t="n">
        <v/>
      </c>
      <c r="W4966" t="n">
        <v/>
      </c>
    </row>
    <row r="4967">
      <c r="A4967" t="inlineStr">
        <is>
          <t>25/12/2025 6:54:02</t>
        </is>
      </c>
      <c r="B4967" t="inlineStr">
        <is>
          <t>Đặng Hoài Anh</t>
        </is>
      </c>
      <c r="C4967" t="inlineStr">
        <is>
          <t>24/12/2025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10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/>
      </c>
      <c r="T4967" t="inlineStr">
        <is>
          <t>24</t>
        </is>
      </c>
      <c r="U4967" t="inlineStr">
        <is>
          <t>12</t>
        </is>
      </c>
      <c r="V4967" t="n">
        <v/>
      </c>
      <c r="W4967" t="n">
        <v/>
      </c>
    </row>
    <row r="4968">
      <c r="A4968" t="inlineStr">
        <is>
          <t>25/12/2025 6:58:08</t>
        </is>
      </c>
      <c r="B4968" t="inlineStr">
        <is>
          <t>Đào Công Trung</t>
        </is>
      </c>
      <c r="C4968" t="inlineStr">
        <is>
          <t>24/12/2025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12</v>
      </c>
      <c r="L4968" t="n">
        <v>2</v>
      </c>
      <c r="M4968" t="n">
        <v>1</v>
      </c>
      <c r="N4968" t="n">
        <v>3</v>
      </c>
      <c r="O4968" t="n">
        <v>0</v>
      </c>
      <c r="P4968" t="n">
        <v>0</v>
      </c>
      <c r="Q4968" t="n">
        <v>1</v>
      </c>
      <c r="R4968" t="n">
        <v>0</v>
      </c>
      <c r="S4968" t="n">
        <v/>
      </c>
      <c r="T4968" t="inlineStr">
        <is>
          <t>24</t>
        </is>
      </c>
      <c r="U4968" t="inlineStr">
        <is>
          <t>12</t>
        </is>
      </c>
      <c r="V4968" t="n">
        <v/>
      </c>
      <c r="W4968" t="n">
        <v/>
      </c>
    </row>
    <row r="4969">
      <c r="A4969" t="inlineStr">
        <is>
          <t>25/12/2025 7:00:29</t>
        </is>
      </c>
      <c r="B4969" t="inlineStr">
        <is>
          <t>Hồ Thái Minh Trí</t>
        </is>
      </c>
      <c r="C4969" t="inlineStr">
        <is>
          <t>24/12/2025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10</v>
      </c>
      <c r="L4969" t="n">
        <v>0</v>
      </c>
      <c r="M4969" t="n">
        <v>2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/>
      </c>
      <c r="T4969" t="inlineStr">
        <is>
          <t>24</t>
        </is>
      </c>
      <c r="U4969" t="inlineStr">
        <is>
          <t>12</t>
        </is>
      </c>
      <c r="V4969" t="n">
        <v/>
      </c>
      <c r="W4969" t="n">
        <v/>
      </c>
    </row>
    <row r="4970">
      <c r="A4970" t="inlineStr">
        <is>
          <t>25/12/2025 7:01:18</t>
        </is>
      </c>
      <c r="B4970" t="inlineStr">
        <is>
          <t>Đặng Hữu Danh</t>
        </is>
      </c>
      <c r="C4970" t="inlineStr">
        <is>
          <t>24/12/2025</t>
        </is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1</v>
      </c>
      <c r="J4970" t="n">
        <v>1</v>
      </c>
      <c r="K4970" t="n">
        <v>4</v>
      </c>
      <c r="L4970" t="n">
        <v>0</v>
      </c>
      <c r="M4970" t="n">
        <v>0</v>
      </c>
      <c r="N4970" t="n">
        <v>3</v>
      </c>
      <c r="O4970" t="n">
        <v>0</v>
      </c>
      <c r="P4970" t="n">
        <v>1</v>
      </c>
      <c r="Q4970" t="n">
        <v>2</v>
      </c>
      <c r="R4970" t="n">
        <v>1</v>
      </c>
      <c r="S4970" t="n">
        <v/>
      </c>
      <c r="T4970" t="inlineStr">
        <is>
          <t>24</t>
        </is>
      </c>
      <c r="U4970" t="inlineStr">
        <is>
          <t>12</t>
        </is>
      </c>
      <c r="V4970" t="n">
        <v/>
      </c>
      <c r="W4970" t="n">
        <v/>
      </c>
    </row>
    <row r="4971">
      <c r="A4971" t="inlineStr">
        <is>
          <t>25/12/2025 7:03:26</t>
        </is>
      </c>
      <c r="B4971" t="inlineStr">
        <is>
          <t>Huỳnh Văn Lực</t>
        </is>
      </c>
      <c r="C4971" t="inlineStr">
        <is>
          <t>24/12/2025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3</v>
      </c>
      <c r="L4971" t="n">
        <v>0</v>
      </c>
      <c r="M4971" t="n">
        <v>0</v>
      </c>
      <c r="N4971" t="n">
        <v>0</v>
      </c>
      <c r="O4971" t="n">
        <v>0</v>
      </c>
      <c r="P4971" t="n">
        <v>1</v>
      </c>
      <c r="Q4971" t="n">
        <v>1</v>
      </c>
      <c r="R4971" t="n">
        <v>0</v>
      </c>
      <c r="S4971" t="n">
        <v/>
      </c>
      <c r="T4971" t="inlineStr">
        <is>
          <t>24</t>
        </is>
      </c>
      <c r="U4971" t="inlineStr">
        <is>
          <t>12</t>
        </is>
      </c>
      <c r="V4971" t="n">
        <v/>
      </c>
      <c r="W4971" t="n">
        <v/>
      </c>
    </row>
    <row r="4972">
      <c r="A4972" t="inlineStr">
        <is>
          <t>25/12/2025 7:22:20</t>
        </is>
      </c>
      <c r="B4972" t="inlineStr">
        <is>
          <t>Nguyễn Tuấn Anh</t>
        </is>
      </c>
      <c r="C4972" t="inlineStr">
        <is>
          <t>24/12/2025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5</v>
      </c>
      <c r="L4972" t="n">
        <v>0</v>
      </c>
      <c r="M4972" t="n">
        <v>0</v>
      </c>
      <c r="N4972" t="n">
        <v>0</v>
      </c>
      <c r="O4972" t="n">
        <v>0</v>
      </c>
      <c r="P4972" t="n">
        <v>1</v>
      </c>
      <c r="Q4972" t="n">
        <v>2</v>
      </c>
      <c r="R4972" t="n">
        <v>0</v>
      </c>
      <c r="S4972" t="n">
        <v/>
      </c>
      <c r="T4972" t="inlineStr">
        <is>
          <t>24</t>
        </is>
      </c>
      <c r="U4972" t="inlineStr">
        <is>
          <t>12</t>
        </is>
      </c>
      <c r="V4972" t="n">
        <v/>
      </c>
      <c r="W4972" t="n">
        <v/>
      </c>
    </row>
    <row r="4973">
      <c r="A4973" t="inlineStr">
        <is>
          <t>25/12/2025 7:22:39</t>
        </is>
      </c>
      <c r="B4973" t="inlineStr">
        <is>
          <t>Hồ Xuân Việt</t>
        </is>
      </c>
      <c r="C4973" t="inlineStr">
        <is>
          <t>24/12/2025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6</v>
      </c>
      <c r="L4973" t="n">
        <v>0</v>
      </c>
      <c r="M4973" t="n">
        <v>0</v>
      </c>
      <c r="N4973" t="n">
        <v>0</v>
      </c>
      <c r="O4973" t="n">
        <v>0</v>
      </c>
      <c r="P4973" t="n">
        <v>1</v>
      </c>
      <c r="Q4973" t="n">
        <v>1</v>
      </c>
      <c r="R4973" t="n">
        <v>0</v>
      </c>
      <c r="S4973" t="n">
        <v/>
      </c>
      <c r="T4973" t="inlineStr">
        <is>
          <t>24</t>
        </is>
      </c>
      <c r="U4973" t="inlineStr">
        <is>
          <t>12</t>
        </is>
      </c>
      <c r="V4973" t="n">
        <v/>
      </c>
      <c r="W4973" t="n">
        <v/>
      </c>
    </row>
    <row r="4974">
      <c r="A4974" t="inlineStr">
        <is>
          <t>25/12/2025 7:26:40</t>
        </is>
      </c>
      <c r="B4974" t="inlineStr">
        <is>
          <t>Trần Xuân Khoa</t>
        </is>
      </c>
      <c r="C4974" t="inlineStr">
        <is>
          <t>24/12/2025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25</v>
      </c>
      <c r="L4974" t="n">
        <v>0</v>
      </c>
      <c r="M4974" t="n">
        <v>0</v>
      </c>
      <c r="N4974" t="n">
        <v>0</v>
      </c>
      <c r="O4974" t="n">
        <v>0</v>
      </c>
      <c r="P4974" t="n">
        <v>1</v>
      </c>
      <c r="Q4974" t="n">
        <v>2</v>
      </c>
      <c r="R4974" t="n">
        <v>0</v>
      </c>
      <c r="S4974" t="n">
        <v/>
      </c>
      <c r="T4974" t="inlineStr">
        <is>
          <t>24</t>
        </is>
      </c>
      <c r="U4974" t="inlineStr">
        <is>
          <t>12</t>
        </is>
      </c>
      <c r="V4974" t="n">
        <v/>
      </c>
      <c r="W4974" t="n">
        <v/>
      </c>
    </row>
    <row r="4975">
      <c r="A4975" t="inlineStr">
        <is>
          <t>25/12/2025 7:35:02</t>
        </is>
      </c>
      <c r="B4975" t="inlineStr">
        <is>
          <t>Nguyễn Hồng Minh</t>
        </is>
      </c>
      <c r="C4975" t="inlineStr">
        <is>
          <t>24/12/2025</t>
        </is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2</v>
      </c>
      <c r="J4975" t="n">
        <v>0</v>
      </c>
      <c r="K4975" t="n">
        <v>10</v>
      </c>
      <c r="L4975" t="n">
        <v>0</v>
      </c>
      <c r="M4975" t="n">
        <v>0</v>
      </c>
      <c r="N4975" t="n">
        <v>3</v>
      </c>
      <c r="O4975" t="n">
        <v>1</v>
      </c>
      <c r="P4975" t="n">
        <v>1</v>
      </c>
      <c r="Q4975" t="n">
        <v>5</v>
      </c>
      <c r="R4975" t="n">
        <v>0</v>
      </c>
      <c r="S4975" t="n">
        <v/>
      </c>
      <c r="T4975" t="inlineStr">
        <is>
          <t>24</t>
        </is>
      </c>
      <c r="U4975" t="inlineStr">
        <is>
          <t>12</t>
        </is>
      </c>
      <c r="V4975" t="n">
        <v/>
      </c>
      <c r="W4975" t="n">
        <v/>
      </c>
    </row>
    <row r="4976">
      <c r="A4976" t="inlineStr">
        <is>
          <t>25/12/2025 7:41:33</t>
        </is>
      </c>
      <c r="B4976" t="inlineStr">
        <is>
          <t>Bùi Duy Cường</t>
        </is>
      </c>
      <c r="C4976" t="inlineStr">
        <is>
          <t>24/12/2025</t>
        </is>
      </c>
      <c r="D4976" t="n">
        <v>1</v>
      </c>
      <c r="E4976" t="n">
        <v>1</v>
      </c>
      <c r="F4976" t="n">
        <v>0</v>
      </c>
      <c r="G4976" t="n">
        <v>1</v>
      </c>
      <c r="H4976" t="n">
        <v>1</v>
      </c>
      <c r="I4976" t="n">
        <v>1</v>
      </c>
      <c r="J4976" t="n">
        <v>0</v>
      </c>
      <c r="K4976" t="n">
        <v>8</v>
      </c>
      <c r="L4976" t="n">
        <v>0</v>
      </c>
      <c r="M4976" t="n">
        <v>1</v>
      </c>
      <c r="N4976" t="n">
        <v>1</v>
      </c>
      <c r="O4976" t="n">
        <v>1</v>
      </c>
      <c r="P4976" t="n">
        <v>0</v>
      </c>
      <c r="Q4976" t="n">
        <v>1</v>
      </c>
      <c r="R4976" t="n">
        <v>0</v>
      </c>
      <c r="S4976" t="n">
        <v/>
      </c>
      <c r="T4976" t="inlineStr">
        <is>
          <t>24</t>
        </is>
      </c>
      <c r="U4976" t="inlineStr">
        <is>
          <t>12</t>
        </is>
      </c>
      <c r="V4976" t="n">
        <v/>
      </c>
      <c r="W4976" t="n">
        <v/>
      </c>
    </row>
    <row r="4977">
      <c r="A4977" t="inlineStr">
        <is>
          <t>25/12/2025 7:55:23</t>
        </is>
      </c>
      <c r="B4977" t="inlineStr">
        <is>
          <t>Lương Duy Hải</t>
        </is>
      </c>
      <c r="C4977" t="inlineStr">
        <is>
          <t>24/12/2025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6</v>
      </c>
      <c r="M4977" t="n">
        <v>0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/>
      </c>
      <c r="T4977" t="inlineStr">
        <is>
          <t>24</t>
        </is>
      </c>
      <c r="U4977" t="inlineStr">
        <is>
          <t>12</t>
        </is>
      </c>
      <c r="V4977" t="n">
        <v/>
      </c>
      <c r="W4977" t="n">
        <v/>
      </c>
    </row>
    <row r="4978">
      <c r="A4978" t="inlineStr">
        <is>
          <t>25/12/2025 8:21:01</t>
        </is>
      </c>
      <c r="B4978" t="inlineStr">
        <is>
          <t>Lê Văn Hồng</t>
        </is>
      </c>
      <c r="C4978" t="inlineStr">
        <is>
          <t>24/12/2025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5</v>
      </c>
      <c r="L4978" t="n">
        <v>0</v>
      </c>
      <c r="M4978" t="n">
        <v>1</v>
      </c>
      <c r="N4978" t="n">
        <v>0</v>
      </c>
      <c r="O4978" t="n">
        <v>0</v>
      </c>
      <c r="P4978" t="n">
        <v>2</v>
      </c>
      <c r="Q4978" t="n">
        <v>4</v>
      </c>
      <c r="R4978" t="n">
        <v>0</v>
      </c>
      <c r="S4978" t="n">
        <v/>
      </c>
      <c r="T4978" t="inlineStr">
        <is>
          <t>24</t>
        </is>
      </c>
      <c r="U4978" t="inlineStr">
        <is>
          <t>12</t>
        </is>
      </c>
      <c r="V4978" t="n">
        <v/>
      </c>
      <c r="W4978" t="n">
        <v/>
      </c>
    </row>
    <row r="4979">
      <c r="A4979" t="inlineStr">
        <is>
          <t>25/12/2025 21:10:04</t>
        </is>
      </c>
      <c r="B4979" t="inlineStr">
        <is>
          <t>Lê Quốc Duy</t>
        </is>
      </c>
      <c r="C4979" t="inlineStr">
        <is>
          <t>25/12/2025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14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/>
      </c>
      <c r="T4979" t="inlineStr">
        <is>
          <t>25</t>
        </is>
      </c>
      <c r="U4979" t="inlineStr">
        <is>
          <t>12</t>
        </is>
      </c>
      <c r="V4979" t="n">
        <v/>
      </c>
      <c r="W4979" t="n">
        <v/>
      </c>
    </row>
    <row r="4980">
      <c r="A4980" t="inlineStr">
        <is>
          <t>26/12/2025 6:03:28</t>
        </is>
      </c>
      <c r="B4980" t="inlineStr">
        <is>
          <t>Lê Hồng Phong</t>
        </is>
      </c>
      <c r="C4980" t="inlineStr">
        <is>
          <t>26/12/2025</t>
        </is>
      </c>
      <c r="D4980" t="n">
        <v>1</v>
      </c>
      <c r="E4980" t="n">
        <v>1</v>
      </c>
      <c r="F4980" t="n">
        <v>1</v>
      </c>
      <c r="G4980" t="n">
        <v>0</v>
      </c>
      <c r="H4980" t="n">
        <v>0</v>
      </c>
      <c r="I4980" t="n">
        <v>1</v>
      </c>
      <c r="J4980" t="n">
        <v>1</v>
      </c>
      <c r="K4980" t="n">
        <v>1</v>
      </c>
      <c r="L4980" t="n">
        <v>1</v>
      </c>
      <c r="M4980" t="n">
        <v>1</v>
      </c>
      <c r="N4980" t="n">
        <v>1</v>
      </c>
      <c r="O4980" t="n">
        <v>1</v>
      </c>
      <c r="P4980" t="n">
        <v>1</v>
      </c>
      <c r="Q4980" t="n">
        <v>1</v>
      </c>
      <c r="R4980" t="n">
        <v>1</v>
      </c>
      <c r="S4980" t="n">
        <v/>
      </c>
      <c r="T4980" t="inlineStr">
        <is>
          <t>26</t>
        </is>
      </c>
      <c r="U4980" t="inlineStr">
        <is>
          <t>12</t>
        </is>
      </c>
      <c r="V4980" t="n">
        <v/>
      </c>
      <c r="W4980" t="n">
        <v/>
      </c>
    </row>
    <row r="4981">
      <c r="A4981" t="inlineStr">
        <is>
          <t>26/12/2025 6:32:47</t>
        </is>
      </c>
      <c r="B4981" t="inlineStr">
        <is>
          <t>Nguyễn Văn Hiệp</t>
        </is>
      </c>
      <c r="C4981" t="inlineStr">
        <is>
          <t>25/12/2025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/>
      </c>
      <c r="T4981" t="inlineStr">
        <is>
          <t>25</t>
        </is>
      </c>
      <c r="U4981" t="inlineStr">
        <is>
          <t>12</t>
        </is>
      </c>
      <c r="V4981" t="n">
        <v/>
      </c>
      <c r="W4981" t="n">
        <v/>
      </c>
    </row>
    <row r="4982">
      <c r="A4982" t="inlineStr">
        <is>
          <t>26/12/2025 6:52:30</t>
        </is>
      </c>
      <c r="B4982" t="inlineStr">
        <is>
          <t>Dương Minh Tiến</t>
        </is>
      </c>
      <c r="C4982" t="inlineStr">
        <is>
          <t>25/12/2025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8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/>
      </c>
      <c r="T4982" t="inlineStr">
        <is>
          <t>25</t>
        </is>
      </c>
      <c r="U4982" t="inlineStr">
        <is>
          <t>12</t>
        </is>
      </c>
      <c r="V4982" t="n">
        <v/>
      </c>
      <c r="W4982" t="n">
        <v/>
      </c>
    </row>
    <row r="4983">
      <c r="A4983" t="inlineStr">
        <is>
          <t>26/12/2025 6:53:44</t>
        </is>
      </c>
      <c r="B4983" t="inlineStr">
        <is>
          <t>Phan Thành Thái</t>
        </is>
      </c>
      <c r="C4983" t="inlineStr">
        <is>
          <t>25/12/2025</t>
        </is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22</v>
      </c>
      <c r="L4983" t="n">
        <v>0</v>
      </c>
      <c r="M4983" t="n">
        <v>1</v>
      </c>
      <c r="N4983" t="n">
        <v>0</v>
      </c>
      <c r="O4983" t="n">
        <v>0</v>
      </c>
      <c r="P4983" t="n">
        <v>1</v>
      </c>
      <c r="Q4983" t="n">
        <v>4</v>
      </c>
      <c r="R4983" t="n">
        <v>0</v>
      </c>
      <c r="S4983" t="n">
        <v/>
      </c>
      <c r="T4983" t="inlineStr">
        <is>
          <t>25</t>
        </is>
      </c>
      <c r="U4983" t="inlineStr">
        <is>
          <t>12</t>
        </is>
      </c>
      <c r="V4983" t="n">
        <v/>
      </c>
      <c r="W4983" t="n">
        <v/>
      </c>
    </row>
    <row r="4984">
      <c r="A4984" t="inlineStr">
        <is>
          <t>26/12/2025 6:53:47</t>
        </is>
      </c>
      <c r="B4984" t="inlineStr">
        <is>
          <t>Nguyễn Tuấn Anh</t>
        </is>
      </c>
      <c r="C4984" t="inlineStr">
        <is>
          <t>26/12/2025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9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5</v>
      </c>
      <c r="R4984" t="n">
        <v>0</v>
      </c>
      <c r="S4984" t="n">
        <v/>
      </c>
      <c r="T4984" t="inlineStr">
        <is>
          <t>26</t>
        </is>
      </c>
      <c r="U4984" t="inlineStr">
        <is>
          <t>12</t>
        </is>
      </c>
      <c r="V4984" t="n">
        <v/>
      </c>
      <c r="W4984" t="n">
        <v/>
      </c>
    </row>
    <row r="4985">
      <c r="A4985" t="inlineStr">
        <is>
          <t>26/12/2025 6:55:36</t>
        </is>
      </c>
      <c r="B4985" t="inlineStr">
        <is>
          <t>Hồ Xuân Việt</t>
        </is>
      </c>
      <c r="C4985" t="inlineStr">
        <is>
          <t>25/12/2025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15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/>
      </c>
      <c r="T4985" t="inlineStr">
        <is>
          <t>25</t>
        </is>
      </c>
      <c r="U4985" t="inlineStr">
        <is>
          <t>12</t>
        </is>
      </c>
      <c r="V4985" t="n">
        <v/>
      </c>
      <c r="W4985" t="n">
        <v/>
      </c>
    </row>
    <row r="4986">
      <c r="A4986" t="inlineStr">
        <is>
          <t>26/12/2025 7:01:06</t>
        </is>
      </c>
      <c r="B4986" t="inlineStr">
        <is>
          <t>Đào Công Trung</t>
        </is>
      </c>
      <c r="C4986" t="inlineStr">
        <is>
          <t>25/12/2025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13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/>
      </c>
      <c r="T4986" t="inlineStr">
        <is>
          <t>25</t>
        </is>
      </c>
      <c r="U4986" t="inlineStr">
        <is>
          <t>12</t>
        </is>
      </c>
      <c r="V4986" t="n">
        <v/>
      </c>
      <c r="W4986" t="n">
        <v/>
      </c>
    </row>
    <row r="4987">
      <c r="A4987" t="inlineStr">
        <is>
          <t>26/12/2025 7:02:06</t>
        </is>
      </c>
      <c r="B4987" t="inlineStr">
        <is>
          <t>Trần Trung Giang</t>
        </is>
      </c>
      <c r="C4987" t="inlineStr">
        <is>
          <t>25/12/2025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/>
      </c>
      <c r="T4987" t="inlineStr">
        <is>
          <t>25</t>
        </is>
      </c>
      <c r="U4987" t="inlineStr">
        <is>
          <t>12</t>
        </is>
      </c>
      <c r="V4987" t="n">
        <v/>
      </c>
      <c r="W4987" t="n">
        <v/>
      </c>
    </row>
    <row r="4988">
      <c r="A4988" t="inlineStr">
        <is>
          <t>26/12/2025 7:02:27</t>
        </is>
      </c>
      <c r="B4988" t="inlineStr">
        <is>
          <t>Đặng Hữu Danh</t>
        </is>
      </c>
      <c r="C4988" t="inlineStr">
        <is>
          <t>25/12/2025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1</v>
      </c>
      <c r="K4988" t="n">
        <v>14</v>
      </c>
      <c r="L4988" t="n">
        <v>0</v>
      </c>
      <c r="M4988" t="n">
        <v>1</v>
      </c>
      <c r="N4988" t="n">
        <v>2</v>
      </c>
      <c r="O4988" t="n">
        <v>0</v>
      </c>
      <c r="P4988" t="n">
        <v>1</v>
      </c>
      <c r="Q4988" t="n">
        <v>3</v>
      </c>
      <c r="R4988" t="n">
        <v>0</v>
      </c>
      <c r="S4988" t="n">
        <v/>
      </c>
      <c r="T4988" t="inlineStr">
        <is>
          <t>25</t>
        </is>
      </c>
      <c r="U4988" t="inlineStr">
        <is>
          <t>12</t>
        </is>
      </c>
      <c r="V4988" t="n">
        <v/>
      </c>
      <c r="W4988" t="n">
        <v/>
      </c>
    </row>
    <row r="4989">
      <c r="A4989" t="inlineStr">
        <is>
          <t>26/12/2025 7:03:14</t>
        </is>
      </c>
      <c r="B4989" t="inlineStr">
        <is>
          <t>Đặng Hoài Anh</t>
        </is>
      </c>
      <c r="C4989" t="inlineStr">
        <is>
          <t>25/12/2025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/>
      </c>
      <c r="T4989" t="inlineStr">
        <is>
          <t>25</t>
        </is>
      </c>
      <c r="U4989" t="inlineStr">
        <is>
          <t>12</t>
        </is>
      </c>
      <c r="V4989" t="n">
        <v/>
      </c>
      <c r="W4989" t="n">
        <v/>
      </c>
    </row>
    <row r="4990">
      <c r="A4990" t="inlineStr">
        <is>
          <t>26/12/2025 7:04:34</t>
        </is>
      </c>
      <c r="B4990" t="inlineStr">
        <is>
          <t>Lương Duy Hải</t>
        </is>
      </c>
      <c r="C4990" t="inlineStr">
        <is>
          <t>25/12/2025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5</v>
      </c>
      <c r="L4990" t="n">
        <v>0</v>
      </c>
      <c r="M4990" t="n">
        <v>0</v>
      </c>
      <c r="N4990" t="n">
        <v>1</v>
      </c>
      <c r="O4990" t="n">
        <v>0</v>
      </c>
      <c r="P4990" t="n">
        <v>2</v>
      </c>
      <c r="Q4990" t="n">
        <v>4</v>
      </c>
      <c r="R4990" t="n">
        <v>0</v>
      </c>
      <c r="S4990" t="n">
        <v/>
      </c>
      <c r="T4990" t="inlineStr">
        <is>
          <t>25</t>
        </is>
      </c>
      <c r="U4990" t="inlineStr">
        <is>
          <t>12</t>
        </is>
      </c>
      <c r="V4990" t="n">
        <v/>
      </c>
      <c r="W4990" t="n">
        <v/>
      </c>
    </row>
    <row r="4991">
      <c r="A4991" t="inlineStr">
        <is>
          <t>26/12/2025 7:04:48</t>
        </is>
      </c>
      <c r="B4991" t="inlineStr">
        <is>
          <t>Hồ Thái Minh Trí</t>
        </is>
      </c>
      <c r="C4991" t="inlineStr">
        <is>
          <t>25/12/2025</t>
        </is>
      </c>
      <c r="D4991" t="n">
        <v>1</v>
      </c>
      <c r="E4991" t="n">
        <v>0</v>
      </c>
      <c r="F4991" t="n">
        <v>2</v>
      </c>
      <c r="G4991" t="n">
        <v>1</v>
      </c>
      <c r="H4991" t="n">
        <v>1</v>
      </c>
      <c r="I4991" t="n">
        <v>0</v>
      </c>
      <c r="J4991" t="n">
        <v>0</v>
      </c>
      <c r="K4991" t="n">
        <v>14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/>
      </c>
      <c r="T4991" t="inlineStr">
        <is>
          <t>25</t>
        </is>
      </c>
      <c r="U4991" t="inlineStr">
        <is>
          <t>12</t>
        </is>
      </c>
      <c r="V4991" t="n">
        <v/>
      </c>
      <c r="W4991" t="n">
        <v/>
      </c>
    </row>
    <row r="4992">
      <c r="A4992" t="inlineStr">
        <is>
          <t>26/12/2025 7:04:54</t>
        </is>
      </c>
      <c r="B4992" t="inlineStr">
        <is>
          <t>Phan Ngọc Sang</t>
        </is>
      </c>
      <c r="C4992" t="inlineStr">
        <is>
          <t>25/12/2025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10</v>
      </c>
      <c r="L4992" t="n">
        <v>0</v>
      </c>
      <c r="M4992" t="n">
        <v>1</v>
      </c>
      <c r="N4992" t="n">
        <v>2</v>
      </c>
      <c r="O4992" t="n">
        <v>0</v>
      </c>
      <c r="P4992" t="n">
        <v>0</v>
      </c>
      <c r="Q4992" t="n">
        <v>2</v>
      </c>
      <c r="R4992" t="n">
        <v>0</v>
      </c>
      <c r="S4992" t="n">
        <v/>
      </c>
      <c r="T4992" t="inlineStr">
        <is>
          <t>25</t>
        </is>
      </c>
      <c r="U4992" t="inlineStr">
        <is>
          <t>12</t>
        </is>
      </c>
      <c r="V4992" t="n">
        <v/>
      </c>
      <c r="W4992" t="n">
        <v/>
      </c>
    </row>
    <row r="4993">
      <c r="A4993" t="inlineStr">
        <is>
          <t>26/12/2025 7:09:29</t>
        </is>
      </c>
      <c r="B4993" t="inlineStr">
        <is>
          <t>Nguyễn Quang Anh Tuấn</t>
        </is>
      </c>
      <c r="C4993" t="inlineStr">
        <is>
          <t>25/12/2025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6</v>
      </c>
      <c r="L4993" t="n">
        <v>0</v>
      </c>
      <c r="M4993" t="n">
        <v>0</v>
      </c>
      <c r="N4993" t="n">
        <v>0</v>
      </c>
      <c r="O4993" t="n">
        <v>0</v>
      </c>
      <c r="P4993" t="n">
        <v>1</v>
      </c>
      <c r="Q4993" t="n">
        <v>2</v>
      </c>
      <c r="R4993" t="n">
        <v>0</v>
      </c>
      <c r="S4993" t="n">
        <v/>
      </c>
      <c r="T4993" t="inlineStr">
        <is>
          <t>25</t>
        </is>
      </c>
      <c r="U4993" t="inlineStr">
        <is>
          <t>12</t>
        </is>
      </c>
      <c r="V4993" t="n">
        <v/>
      </c>
      <c r="W4993" t="n">
        <v/>
      </c>
    </row>
    <row r="4994">
      <c r="A4994" t="inlineStr">
        <is>
          <t>26/12/2025 7:14:18</t>
        </is>
      </c>
      <c r="B4994" t="inlineStr">
        <is>
          <t>Nguyễn Thành Lâm</t>
        </is>
      </c>
      <c r="C4994" t="inlineStr">
        <is>
          <t>25/12/2025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2</v>
      </c>
      <c r="K4994" t="n">
        <v>13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5</v>
      </c>
      <c r="R4994" t="n">
        <v>0</v>
      </c>
      <c r="S4994" t="n">
        <v/>
      </c>
      <c r="T4994" t="inlineStr">
        <is>
          <t>25</t>
        </is>
      </c>
      <c r="U4994" t="inlineStr">
        <is>
          <t>12</t>
        </is>
      </c>
      <c r="V4994" t="n">
        <v/>
      </c>
      <c r="W4994" t="n">
        <v/>
      </c>
    </row>
    <row r="4995">
      <c r="A4995" t="inlineStr">
        <is>
          <t>26/12/2025 7:14:37</t>
        </is>
      </c>
      <c r="B4995" t="inlineStr">
        <is>
          <t>Nguyễn Văn Nhật</t>
        </is>
      </c>
      <c r="C4995" t="inlineStr">
        <is>
          <t>25/12/2025</t>
        </is>
      </c>
      <c r="D4995" t="n">
        <v>1</v>
      </c>
      <c r="E4995" t="n">
        <v>1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8</v>
      </c>
      <c r="L4995" t="n">
        <v>0</v>
      </c>
      <c r="M4995" t="n">
        <v>2</v>
      </c>
      <c r="N4995" t="n">
        <v>0</v>
      </c>
      <c r="O4995" t="n">
        <v>0</v>
      </c>
      <c r="P4995" t="n">
        <v>2</v>
      </c>
      <c r="Q4995" t="n">
        <v>3</v>
      </c>
      <c r="R4995" t="n">
        <v>0</v>
      </c>
      <c r="S4995" t="n">
        <v/>
      </c>
      <c r="T4995" t="inlineStr">
        <is>
          <t>25</t>
        </is>
      </c>
      <c r="U4995" t="inlineStr">
        <is>
          <t>12</t>
        </is>
      </c>
      <c r="V4995" t="n">
        <v/>
      </c>
      <c r="W4995" t="n">
        <v/>
      </c>
    </row>
    <row r="4996">
      <c r="A4996" t="inlineStr">
        <is>
          <t>26/12/2025 7:27:56</t>
        </is>
      </c>
      <c r="B4996" t="inlineStr">
        <is>
          <t>Huỳnh Văn Lực</t>
        </is>
      </c>
      <c r="C4996" t="inlineStr">
        <is>
          <t>25/12/2025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7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1</v>
      </c>
      <c r="R4996" t="n">
        <v>1</v>
      </c>
      <c r="S4996" t="n">
        <v/>
      </c>
      <c r="T4996" t="inlineStr">
        <is>
          <t>25</t>
        </is>
      </c>
      <c r="U4996" t="inlineStr">
        <is>
          <t>12</t>
        </is>
      </c>
      <c r="V4996" t="n">
        <v/>
      </c>
      <c r="W4996" t="n">
        <v/>
      </c>
    </row>
    <row r="4997">
      <c r="A4997" t="inlineStr">
        <is>
          <t>26/12/2025 7:32:33</t>
        </is>
      </c>
      <c r="B4997" t="inlineStr">
        <is>
          <t>Trần Minh Khánh</t>
        </is>
      </c>
      <c r="C4997" t="inlineStr">
        <is>
          <t>25/12/2025</t>
        </is>
      </c>
      <c r="D4997" t="n">
        <v>0</v>
      </c>
      <c r="E4997" t="n">
        <v>0</v>
      </c>
      <c r="F4997" t="n">
        <v>0</v>
      </c>
      <c r="G4997" t="n">
        <v>1</v>
      </c>
      <c r="H4997" t="n">
        <v>2</v>
      </c>
      <c r="I4997" t="n">
        <v>1</v>
      </c>
      <c r="J4997" t="n">
        <v>0</v>
      </c>
      <c r="K4997" t="n">
        <v>18</v>
      </c>
      <c r="L4997" t="n">
        <v>0</v>
      </c>
      <c r="M4997" t="n">
        <v>0</v>
      </c>
      <c r="N4997" t="n">
        <v>2</v>
      </c>
      <c r="O4997" t="n">
        <v>0</v>
      </c>
      <c r="P4997" t="n">
        <v>1</v>
      </c>
      <c r="Q4997" t="n">
        <v>3</v>
      </c>
      <c r="R4997" t="n">
        <v>0</v>
      </c>
      <c r="S4997" t="n">
        <v/>
      </c>
      <c r="T4997" t="inlineStr">
        <is>
          <t>25</t>
        </is>
      </c>
      <c r="U4997" t="inlineStr">
        <is>
          <t>12</t>
        </is>
      </c>
      <c r="V4997" t="n">
        <v/>
      </c>
      <c r="W4997" t="n">
        <v/>
      </c>
    </row>
    <row r="4998">
      <c r="A4998" t="inlineStr">
        <is>
          <t>26/12/2025 7:40:57</t>
        </is>
      </c>
      <c r="B4998" t="inlineStr">
        <is>
          <t>Vòng Nhật Sang</t>
        </is>
      </c>
      <c r="C4998" t="inlineStr">
        <is>
          <t>25/12/2025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5</v>
      </c>
      <c r="L4998" t="n">
        <v>0</v>
      </c>
      <c r="M4998" t="n">
        <v>0</v>
      </c>
      <c r="N4998" t="n">
        <v>0</v>
      </c>
      <c r="O4998" t="n">
        <v>0</v>
      </c>
      <c r="P4998" t="n">
        <v>2</v>
      </c>
      <c r="Q4998" t="n">
        <v>2</v>
      </c>
      <c r="R4998" t="n">
        <v>0</v>
      </c>
      <c r="S4998" t="n">
        <v/>
      </c>
      <c r="T4998" t="inlineStr">
        <is>
          <t>25</t>
        </is>
      </c>
      <c r="U4998" t="inlineStr">
        <is>
          <t>12</t>
        </is>
      </c>
      <c r="V4998" t="n">
        <v/>
      </c>
      <c r="W4998" t="n">
        <v/>
      </c>
    </row>
    <row r="4999">
      <c r="A4999" t="inlineStr">
        <is>
          <t>26/12/2025 7:41:12</t>
        </is>
      </c>
      <c r="B4999" t="inlineStr">
        <is>
          <t>Bùi Duy Cường</t>
        </is>
      </c>
      <c r="C4999" t="inlineStr">
        <is>
          <t>25/12/2025</t>
        </is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  <c r="I4999" t="n">
        <v>0</v>
      </c>
      <c r="J4999" t="n">
        <v>0</v>
      </c>
      <c r="K4999" t="n">
        <v>8</v>
      </c>
      <c r="L4999" t="n">
        <v>0</v>
      </c>
      <c r="M4999" t="n">
        <v>1</v>
      </c>
      <c r="N4999" t="n">
        <v>1</v>
      </c>
      <c r="O4999" t="n">
        <v>1</v>
      </c>
      <c r="P4999" t="n">
        <v>0</v>
      </c>
      <c r="Q4999" t="n">
        <v>1</v>
      </c>
      <c r="R4999" t="n">
        <v>2</v>
      </c>
      <c r="S4999" t="n">
        <v/>
      </c>
      <c r="T4999" t="inlineStr">
        <is>
          <t>25</t>
        </is>
      </c>
      <c r="U4999" t="inlineStr">
        <is>
          <t>12</t>
        </is>
      </c>
      <c r="V4999" t="n">
        <v/>
      </c>
      <c r="W4999" t="n">
        <v/>
      </c>
    </row>
    <row r="5000">
      <c r="A5000" t="inlineStr">
        <is>
          <t>26/12/2025 7:42:18</t>
        </is>
      </c>
      <c r="B5000" t="inlineStr">
        <is>
          <t>Trần Xuân Khoa</t>
        </is>
      </c>
      <c r="C5000" t="inlineStr">
        <is>
          <t>25/12/2025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28</v>
      </c>
      <c r="L5000" t="n">
        <v>0</v>
      </c>
      <c r="M5000" t="n">
        <v>0</v>
      </c>
      <c r="N5000" t="n">
        <v>0</v>
      </c>
      <c r="O5000" t="n">
        <v>0</v>
      </c>
      <c r="P5000" t="n">
        <v>1</v>
      </c>
      <c r="Q5000" t="n">
        <v>2</v>
      </c>
      <c r="R5000" t="n">
        <v>0</v>
      </c>
      <c r="S5000" t="n">
        <v/>
      </c>
      <c r="T5000" t="inlineStr">
        <is>
          <t>25</t>
        </is>
      </c>
      <c r="U5000" t="inlineStr">
        <is>
          <t>12</t>
        </is>
      </c>
      <c r="V5000" t="n">
        <v/>
      </c>
      <c r="W5000" t="n">
        <v/>
      </c>
    </row>
    <row r="5001">
      <c r="A5001" t="inlineStr">
        <is>
          <t>26/12/2025 7:44:08</t>
        </is>
      </c>
      <c r="B5001" t="inlineStr">
        <is>
          <t>Nguyễn Hồng Minh</t>
        </is>
      </c>
      <c r="C5001" t="inlineStr">
        <is>
          <t>25/12/2025</t>
        </is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0</v>
      </c>
      <c r="J5001" t="n">
        <v>0</v>
      </c>
      <c r="K5001" t="n">
        <v>22</v>
      </c>
      <c r="L5001" t="n">
        <v>0</v>
      </c>
      <c r="M5001" t="n">
        <v>1</v>
      </c>
      <c r="N5001" t="n">
        <v>2</v>
      </c>
      <c r="O5001" t="n">
        <v>1</v>
      </c>
      <c r="P5001" t="n">
        <v>1</v>
      </c>
      <c r="Q5001" t="n">
        <v>4</v>
      </c>
      <c r="R5001" t="n">
        <v>0</v>
      </c>
      <c r="S5001" t="n">
        <v/>
      </c>
      <c r="T5001" t="inlineStr">
        <is>
          <t>25</t>
        </is>
      </c>
      <c r="U5001" t="inlineStr">
        <is>
          <t>12</t>
        </is>
      </c>
      <c r="V5001" t="n">
        <v/>
      </c>
      <c r="W5001" t="n">
        <v/>
      </c>
    </row>
    <row r="5002">
      <c r="A5002" t="inlineStr">
        <is>
          <t>26/12/2025 8:37:45</t>
        </is>
      </c>
      <c r="B5002" t="inlineStr">
        <is>
          <t>Lê Văn Hồng</t>
        </is>
      </c>
      <c r="C5002" t="inlineStr">
        <is>
          <t>25/12/2025</t>
        </is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  <c r="I5002" t="n">
        <v>0</v>
      </c>
      <c r="J5002" t="n">
        <v>0</v>
      </c>
      <c r="K5002" t="n">
        <v>6</v>
      </c>
      <c r="L5002" t="n">
        <v>0</v>
      </c>
      <c r="M5002" t="n">
        <v>1</v>
      </c>
      <c r="N5002" t="n">
        <v>0</v>
      </c>
      <c r="O5002" t="n">
        <v>0</v>
      </c>
      <c r="P5002" t="n">
        <v>2</v>
      </c>
      <c r="Q5002" t="n">
        <v>4</v>
      </c>
      <c r="R5002" t="n">
        <v>0</v>
      </c>
      <c r="S5002" t="n">
        <v/>
      </c>
      <c r="T5002" t="inlineStr">
        <is>
          <t>25</t>
        </is>
      </c>
      <c r="U5002" t="inlineStr">
        <is>
          <t>12</t>
        </is>
      </c>
      <c r="V5002" t="n">
        <v/>
      </c>
      <c r="W5002" t="n">
        <v/>
      </c>
    </row>
    <row r="5003">
      <c r="A5003" t="inlineStr">
        <is>
          <t>26/12/2025 8:53:21</t>
        </is>
      </c>
      <c r="B5003" t="inlineStr">
        <is>
          <t>Lương Duy Hoàng</t>
        </is>
      </c>
      <c r="C5003" t="inlineStr">
        <is>
          <t>25/12/2025</t>
        </is>
      </c>
      <c r="D5003" t="n">
        <v>0</v>
      </c>
      <c r="E5003" t="n">
        <v>0</v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4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2</v>
      </c>
      <c r="R5003" t="n">
        <v>0</v>
      </c>
      <c r="S5003" t="n">
        <v/>
      </c>
      <c r="T5003" t="inlineStr">
        <is>
          <t>25</t>
        </is>
      </c>
      <c r="U5003" t="inlineStr">
        <is>
          <t>12</t>
        </is>
      </c>
      <c r="V5003" t="n">
        <v/>
      </c>
      <c r="W5003" t="n">
        <v/>
      </c>
    </row>
    <row r="5004">
      <c r="A5004" t="inlineStr">
        <is>
          <t>26/12/2025 21:36:26</t>
        </is>
      </c>
      <c r="B5004" t="inlineStr">
        <is>
          <t>Lê Quốc Duy</t>
        </is>
      </c>
      <c r="C5004" t="inlineStr">
        <is>
          <t>26/12/2025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18</v>
      </c>
      <c r="L5004" t="n">
        <v>0</v>
      </c>
      <c r="M5004" t="n">
        <v>0</v>
      </c>
      <c r="N5004" t="n">
        <v>0</v>
      </c>
      <c r="O5004" t="n">
        <v>0</v>
      </c>
      <c r="P5004" t="n">
        <v>1</v>
      </c>
      <c r="Q5004" t="n">
        <v>1</v>
      </c>
      <c r="R5004" t="n">
        <v>0</v>
      </c>
      <c r="S5004" t="n">
        <v/>
      </c>
      <c r="T5004" t="inlineStr">
        <is>
          <t>26</t>
        </is>
      </c>
      <c r="U5004" t="inlineStr">
        <is>
          <t>12</t>
        </is>
      </c>
      <c r="V5004" t="n">
        <v/>
      </c>
      <c r="W5004" t="n">
        <v/>
      </c>
    </row>
    <row r="5005">
      <c r="A5005" t="inlineStr">
        <is>
          <t>26/12/2025 22:07:19</t>
        </is>
      </c>
      <c r="B5005" t="inlineStr">
        <is>
          <t>Lê Quốc Duy</t>
        </is>
      </c>
      <c r="C5005" t="inlineStr">
        <is>
          <t>26/12/2025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</v>
      </c>
      <c r="J5005" t="n">
        <v>0</v>
      </c>
      <c r="K5005" t="n">
        <v>18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1</v>
      </c>
      <c r="R5005" t="n">
        <v>0</v>
      </c>
      <c r="S5005" t="n">
        <v/>
      </c>
      <c r="T5005" t="inlineStr">
        <is>
          <t>26</t>
        </is>
      </c>
      <c r="U5005" t="inlineStr">
        <is>
          <t>12</t>
        </is>
      </c>
      <c r="V5005" t="n">
        <v/>
      </c>
      <c r="W5005" t="n">
        <v/>
      </c>
    </row>
    <row r="5006">
      <c r="A5006" t="inlineStr">
        <is>
          <t>27/12/2025 5:53:22</t>
        </is>
      </c>
      <c r="B5006" t="inlineStr">
        <is>
          <t>Lương Duy Hoàng</t>
        </is>
      </c>
      <c r="C5006" t="inlineStr">
        <is>
          <t>26/12/2025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4</v>
      </c>
      <c r="L5006" t="n">
        <v>0</v>
      </c>
      <c r="M5006" t="n">
        <v>0</v>
      </c>
      <c r="N5006" t="n">
        <v>0</v>
      </c>
      <c r="O5006" t="n">
        <v>0</v>
      </c>
      <c r="P5006" t="n">
        <v>1</v>
      </c>
      <c r="Q5006" t="n">
        <v>3</v>
      </c>
      <c r="R5006" t="n">
        <v>0</v>
      </c>
      <c r="S5006" t="n">
        <v/>
      </c>
      <c r="T5006" t="inlineStr">
        <is>
          <t>26</t>
        </is>
      </c>
      <c r="U5006" t="inlineStr">
        <is>
          <t>12</t>
        </is>
      </c>
      <c r="V5006" t="n">
        <v/>
      </c>
      <c r="W5006" t="n">
        <v/>
      </c>
    </row>
    <row r="5007">
      <c r="A5007" t="inlineStr">
        <is>
          <t>27/12/2025 6:33:03</t>
        </is>
      </c>
      <c r="B5007" t="inlineStr">
        <is>
          <t>Phan Thành Thái</t>
        </is>
      </c>
      <c r="C5007" t="inlineStr">
        <is>
          <t>26/12/2025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18</v>
      </c>
      <c r="L5007" t="n">
        <v>0</v>
      </c>
      <c r="M5007" t="n">
        <v>0</v>
      </c>
      <c r="N5007" t="n">
        <v>3</v>
      </c>
      <c r="O5007" t="n">
        <v>1</v>
      </c>
      <c r="P5007" t="n">
        <v>1</v>
      </c>
      <c r="Q5007" t="n">
        <v>4</v>
      </c>
      <c r="R5007" t="n">
        <v>0</v>
      </c>
      <c r="S5007" t="n">
        <v/>
      </c>
      <c r="T5007" t="inlineStr">
        <is>
          <t>26</t>
        </is>
      </c>
      <c r="U5007" t="inlineStr">
        <is>
          <t>12</t>
        </is>
      </c>
      <c r="V5007" t="n">
        <v/>
      </c>
      <c r="W5007" t="n">
        <v/>
      </c>
    </row>
    <row r="5008">
      <c r="A5008" t="inlineStr">
        <is>
          <t>27/12/2025 6:35:38</t>
        </is>
      </c>
      <c r="B5008" t="inlineStr">
        <is>
          <t>Phan Ngọc Sang</t>
        </is>
      </c>
      <c r="C5008" t="inlineStr">
        <is>
          <t>26/12/2025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</v>
      </c>
      <c r="J5008" t="n">
        <v>0</v>
      </c>
      <c r="K5008" t="n">
        <v>10</v>
      </c>
      <c r="L5008" t="n">
        <v>0</v>
      </c>
      <c r="M5008" t="n">
        <v>1</v>
      </c>
      <c r="N5008" t="n">
        <v>1</v>
      </c>
      <c r="O5008" t="n">
        <v>0</v>
      </c>
      <c r="P5008" t="n">
        <v>0</v>
      </c>
      <c r="Q5008" t="n">
        <v>3</v>
      </c>
      <c r="R5008" t="n">
        <v>0</v>
      </c>
      <c r="S5008" t="n">
        <v/>
      </c>
      <c r="T5008" t="inlineStr">
        <is>
          <t>26</t>
        </is>
      </c>
      <c r="U5008" t="inlineStr">
        <is>
          <t>12</t>
        </is>
      </c>
      <c r="V5008" t="n">
        <v/>
      </c>
      <c r="W5008" t="n">
        <v/>
      </c>
    </row>
    <row r="5009">
      <c r="A5009" t="inlineStr">
        <is>
          <t>27/12/2025 6:37:40</t>
        </is>
      </c>
      <c r="B5009" t="inlineStr">
        <is>
          <t>Hồ Xuân Việt</t>
        </is>
      </c>
      <c r="C5009" t="inlineStr">
        <is>
          <t>26/12/2025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10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2</v>
      </c>
      <c r="R5009" t="n">
        <v>0</v>
      </c>
      <c r="S5009" t="n">
        <v/>
      </c>
      <c r="T5009" t="inlineStr">
        <is>
          <t>26</t>
        </is>
      </c>
      <c r="U5009" t="inlineStr">
        <is>
          <t>12</t>
        </is>
      </c>
      <c r="V5009" t="n">
        <v/>
      </c>
      <c r="W5009" t="n">
        <v/>
      </c>
    </row>
    <row r="5010">
      <c r="A5010" t="inlineStr">
        <is>
          <t>27/12/2025 6:41:07</t>
        </is>
      </c>
      <c r="B5010" t="inlineStr">
        <is>
          <t>Trần Minh Khánh</t>
        </is>
      </c>
      <c r="C5010" t="inlineStr">
        <is>
          <t>26/12/2025</t>
        </is>
      </c>
      <c r="D5010" t="n">
        <v>0</v>
      </c>
      <c r="E5010" t="n">
        <v>0</v>
      </c>
      <c r="F5010" t="n">
        <v>0</v>
      </c>
      <c r="G5010" t="n">
        <v>2</v>
      </c>
      <c r="H5010" t="n">
        <v>2</v>
      </c>
      <c r="I5010" t="n">
        <v>2</v>
      </c>
      <c r="J5010" t="n">
        <v>0</v>
      </c>
      <c r="K5010" t="n">
        <v>12</v>
      </c>
      <c r="L5010" t="n">
        <v>0</v>
      </c>
      <c r="M5010" t="n">
        <v>0</v>
      </c>
      <c r="N5010" t="n">
        <v>2</v>
      </c>
      <c r="O5010" t="n">
        <v>0</v>
      </c>
      <c r="P5010" t="n">
        <v>1</v>
      </c>
      <c r="Q5010" t="n">
        <v>3</v>
      </c>
      <c r="R5010" t="n">
        <v>0</v>
      </c>
      <c r="S5010" t="n">
        <v/>
      </c>
      <c r="T5010" t="inlineStr">
        <is>
          <t>26</t>
        </is>
      </c>
      <c r="U5010" t="inlineStr">
        <is>
          <t>12</t>
        </is>
      </c>
      <c r="V5010" t="n">
        <v/>
      </c>
      <c r="W5010" t="n">
        <v/>
      </c>
    </row>
    <row r="5011">
      <c r="A5011" t="inlineStr">
        <is>
          <t>27/12/2025 6:41:19</t>
        </is>
      </c>
      <c r="B5011" t="inlineStr">
        <is>
          <t>Dương Minh Tiến</t>
        </is>
      </c>
      <c r="C5011" t="inlineStr">
        <is>
          <t>26/12/2025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11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/>
      </c>
      <c r="T5011" t="inlineStr">
        <is>
          <t>26</t>
        </is>
      </c>
      <c r="U5011" t="inlineStr">
        <is>
          <t>12</t>
        </is>
      </c>
      <c r="V5011" t="n">
        <v/>
      </c>
      <c r="W5011" t="n">
        <v/>
      </c>
    </row>
    <row r="5012">
      <c r="A5012" t="inlineStr">
        <is>
          <t>27/12/2025 6:44:46</t>
        </is>
      </c>
      <c r="B5012" t="inlineStr">
        <is>
          <t>Trần Xuân Khoa</t>
        </is>
      </c>
      <c r="C5012" t="inlineStr">
        <is>
          <t>26/12/2025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15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4</v>
      </c>
      <c r="R5012" t="n">
        <v>0</v>
      </c>
      <c r="S5012" t="n">
        <v/>
      </c>
      <c r="T5012" t="inlineStr">
        <is>
          <t>26</t>
        </is>
      </c>
      <c r="U5012" t="inlineStr">
        <is>
          <t>12</t>
        </is>
      </c>
      <c r="V5012" t="n">
        <v/>
      </c>
      <c r="W5012" t="n">
        <v/>
      </c>
    </row>
    <row r="5013">
      <c r="A5013" t="inlineStr">
        <is>
          <t>27/12/2025 6:44:58</t>
        </is>
      </c>
      <c r="B5013" t="inlineStr">
        <is>
          <t>Lê Hồng Phong</t>
        </is>
      </c>
      <c r="C5013" t="inlineStr">
        <is>
          <t>27/12/2025</t>
        </is>
      </c>
      <c r="D5013" t="n">
        <v>1</v>
      </c>
      <c r="E5013" t="n">
        <v>1</v>
      </c>
      <c r="F5013" t="n">
        <v>1</v>
      </c>
      <c r="G5013" t="n">
        <v>0</v>
      </c>
      <c r="H5013" t="n">
        <v>0</v>
      </c>
      <c r="I5013" t="n">
        <v>1</v>
      </c>
      <c r="J5013" t="n">
        <v>1</v>
      </c>
      <c r="K5013" t="n">
        <v>1</v>
      </c>
      <c r="L5013" t="n">
        <v>1</v>
      </c>
      <c r="M5013" t="n">
        <v>1</v>
      </c>
      <c r="N5013" t="n">
        <v>1</v>
      </c>
      <c r="O5013" t="n">
        <v>1</v>
      </c>
      <c r="P5013" t="n">
        <v>1</v>
      </c>
      <c r="Q5013" t="n">
        <v>1</v>
      </c>
      <c r="R5013" t="n">
        <v>1</v>
      </c>
      <c r="S5013" t="n">
        <v/>
      </c>
      <c r="T5013" t="inlineStr">
        <is>
          <t>27</t>
        </is>
      </c>
      <c r="U5013" t="inlineStr">
        <is>
          <t>12</t>
        </is>
      </c>
      <c r="V5013" t="n">
        <v/>
      </c>
      <c r="W5013" t="n">
        <v/>
      </c>
    </row>
    <row r="5014">
      <c r="A5014" t="inlineStr">
        <is>
          <t>27/12/2025 6:49:56</t>
        </is>
      </c>
      <c r="B5014" t="inlineStr">
        <is>
          <t>Nguyễn Thành Lâm</t>
        </is>
      </c>
      <c r="C5014" t="inlineStr">
        <is>
          <t>26/12/2025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</v>
      </c>
      <c r="J5014" t="n">
        <v>1</v>
      </c>
      <c r="K5014" t="n">
        <v>12</v>
      </c>
      <c r="L5014" t="n">
        <v>0</v>
      </c>
      <c r="M5014" t="n">
        <v>0</v>
      </c>
      <c r="N5014" t="n">
        <v>0</v>
      </c>
      <c r="O5014" t="n">
        <v>0</v>
      </c>
      <c r="P5014" t="n">
        <v>2</v>
      </c>
      <c r="Q5014" t="n">
        <v>2</v>
      </c>
      <c r="R5014" t="n">
        <v>1</v>
      </c>
      <c r="S5014" t="n">
        <v/>
      </c>
      <c r="T5014" t="inlineStr">
        <is>
          <t>26</t>
        </is>
      </c>
      <c r="U5014" t="inlineStr">
        <is>
          <t>12</t>
        </is>
      </c>
      <c r="V5014" t="n">
        <v/>
      </c>
      <c r="W5014" t="n">
        <v/>
      </c>
    </row>
    <row r="5015">
      <c r="A5015" t="inlineStr">
        <is>
          <t>27/12/2025 6:52:21</t>
        </is>
      </c>
      <c r="B5015" t="inlineStr">
        <is>
          <t>Trần Trung Giang</t>
        </is>
      </c>
      <c r="C5015" t="inlineStr">
        <is>
          <t>26/12/2024</t>
        </is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  <c r="I5015" t="n">
        <v>0</v>
      </c>
      <c r="J5015" t="n">
        <v>0</v>
      </c>
      <c r="K5015" t="n">
        <v>10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/>
      </c>
      <c r="T5015" t="inlineStr">
        <is>
          <t>26</t>
        </is>
      </c>
      <c r="U5015" t="inlineStr">
        <is>
          <t>12</t>
        </is>
      </c>
      <c r="V5015" t="n">
        <v/>
      </c>
      <c r="W5015" t="n">
        <v/>
      </c>
    </row>
    <row r="5016">
      <c r="A5016" t="inlineStr">
        <is>
          <t>27/12/2025 6:52:41</t>
        </is>
      </c>
      <c r="B5016" t="inlineStr">
        <is>
          <t>Hồ Thái Minh Trí</t>
        </is>
      </c>
      <c r="C5016" t="inlineStr">
        <is>
          <t>26/12/2025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23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2</v>
      </c>
      <c r="R5016" t="n">
        <v>0</v>
      </c>
      <c r="S5016" t="n">
        <v/>
      </c>
      <c r="T5016" t="inlineStr">
        <is>
          <t>26</t>
        </is>
      </c>
      <c r="U5016" t="inlineStr">
        <is>
          <t>12</t>
        </is>
      </c>
      <c r="V5016" t="n">
        <v/>
      </c>
      <c r="W5016" t="n">
        <v/>
      </c>
    </row>
    <row r="5017">
      <c r="A5017" t="inlineStr">
        <is>
          <t>27/12/2025 6:54:03</t>
        </is>
      </c>
      <c r="B5017" t="inlineStr">
        <is>
          <t>Nguyễn Quang Anh Tuấn</t>
        </is>
      </c>
      <c r="C5017" t="inlineStr">
        <is>
          <t>26/12/2025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2</v>
      </c>
      <c r="J5017" t="n">
        <v>0</v>
      </c>
      <c r="K5017" t="n">
        <v>10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1</v>
      </c>
      <c r="R5017" t="n">
        <v>0</v>
      </c>
      <c r="S5017" t="n">
        <v/>
      </c>
      <c r="T5017" t="inlineStr">
        <is>
          <t>26</t>
        </is>
      </c>
      <c r="U5017" t="inlineStr">
        <is>
          <t>12</t>
        </is>
      </c>
      <c r="V5017" t="n">
        <v/>
      </c>
      <c r="W5017" t="n">
        <v/>
      </c>
    </row>
    <row r="5018">
      <c r="A5018" t="inlineStr">
        <is>
          <t>27/12/2025 7:06:13</t>
        </is>
      </c>
      <c r="B5018" t="inlineStr">
        <is>
          <t>Đào Công Trung</t>
        </is>
      </c>
      <c r="C5018" t="inlineStr">
        <is>
          <t>26/12/2025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12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1</v>
      </c>
      <c r="R5018" t="n">
        <v>0</v>
      </c>
      <c r="S5018" t="n">
        <v/>
      </c>
      <c r="T5018" t="inlineStr">
        <is>
          <t>26</t>
        </is>
      </c>
      <c r="U5018" t="inlineStr">
        <is>
          <t>12</t>
        </is>
      </c>
      <c r="V5018" t="n">
        <v/>
      </c>
      <c r="W5018" t="n">
        <v/>
      </c>
    </row>
    <row r="5019">
      <c r="A5019" t="inlineStr">
        <is>
          <t>27/12/2025 7:22:18</t>
        </is>
      </c>
      <c r="B5019" t="inlineStr">
        <is>
          <t>Huỳnh Văn Lực</t>
        </is>
      </c>
      <c r="C5019" t="inlineStr">
        <is>
          <t>26/12/2025</t>
        </is>
      </c>
      <c r="D5019" t="n">
        <v>1</v>
      </c>
      <c r="E5019" t="n">
        <v>0</v>
      </c>
      <c r="F5019" t="n">
        <v>1</v>
      </c>
      <c r="G5019" t="n">
        <v>0</v>
      </c>
      <c r="H5019" t="n">
        <v>0</v>
      </c>
      <c r="I5019" t="n">
        <v>0</v>
      </c>
      <c r="J5019" t="n">
        <v>0</v>
      </c>
      <c r="K5019" t="n">
        <v>2</v>
      </c>
      <c r="L5019" t="n">
        <v>0</v>
      </c>
      <c r="M5019" t="n">
        <v>2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/>
      </c>
      <c r="T5019" t="inlineStr">
        <is>
          <t>26</t>
        </is>
      </c>
      <c r="U5019" t="inlineStr">
        <is>
          <t>12</t>
        </is>
      </c>
      <c r="V5019" t="n">
        <v/>
      </c>
      <c r="W5019" t="n">
        <v/>
      </c>
    </row>
    <row r="5020">
      <c r="A5020" t="inlineStr">
        <is>
          <t>27/12/2025 7:24:36</t>
        </is>
      </c>
      <c r="B5020" t="inlineStr">
        <is>
          <t>Nguyễn Tuấn Anh</t>
        </is>
      </c>
      <c r="C5020" t="inlineStr">
        <is>
          <t>26/12/2025</t>
        </is>
      </c>
      <c r="D5020" t="n">
        <v>1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6</v>
      </c>
      <c r="L5020" t="n">
        <v>0</v>
      </c>
      <c r="M5020" t="n">
        <v>0</v>
      </c>
      <c r="N5020" t="n">
        <v>0</v>
      </c>
      <c r="O5020" t="n">
        <v>0</v>
      </c>
      <c r="P5020" t="n">
        <v>3</v>
      </c>
      <c r="Q5020" t="n">
        <v>2</v>
      </c>
      <c r="R5020" t="n">
        <v>0</v>
      </c>
      <c r="S5020" t="n">
        <v/>
      </c>
      <c r="T5020" t="inlineStr">
        <is>
          <t>26</t>
        </is>
      </c>
      <c r="U5020" t="inlineStr">
        <is>
          <t>12</t>
        </is>
      </c>
      <c r="V5020" t="n">
        <v/>
      </c>
      <c r="W5020" t="n">
        <v/>
      </c>
    </row>
    <row r="5021">
      <c r="A5021" t="inlineStr">
        <is>
          <t>27/12/2025 7:26:51</t>
        </is>
      </c>
      <c r="B5021" t="inlineStr">
        <is>
          <t>Đặng Hữu Danh</t>
        </is>
      </c>
      <c r="C5021" t="inlineStr">
        <is>
          <t>26/12/2025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11</v>
      </c>
      <c r="L5021" t="n">
        <v>0</v>
      </c>
      <c r="M5021" t="n">
        <v>0</v>
      </c>
      <c r="N5021" t="n">
        <v>1</v>
      </c>
      <c r="O5021" t="n">
        <v>0</v>
      </c>
      <c r="P5021" t="n">
        <v>1</v>
      </c>
      <c r="Q5021" t="n">
        <v>3</v>
      </c>
      <c r="R5021" t="n">
        <v>0</v>
      </c>
      <c r="S5021" t="n">
        <v/>
      </c>
      <c r="T5021" t="inlineStr">
        <is>
          <t>26</t>
        </is>
      </c>
      <c r="U5021" t="inlineStr">
        <is>
          <t>12</t>
        </is>
      </c>
      <c r="V5021" t="n">
        <v/>
      </c>
      <c r="W5021" t="n">
        <v/>
      </c>
    </row>
    <row r="5022">
      <c r="A5022" t="inlineStr">
        <is>
          <t>27/12/2025 7:30:44</t>
        </is>
      </c>
      <c r="B5022" t="inlineStr">
        <is>
          <t>Vòng Nhật Sang</t>
        </is>
      </c>
      <c r="C5022" t="inlineStr">
        <is>
          <t>26/12/2025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2</v>
      </c>
      <c r="L5022" t="n">
        <v>0</v>
      </c>
      <c r="M5022" t="n">
        <v>0</v>
      </c>
      <c r="N5022" t="n">
        <v>0</v>
      </c>
      <c r="O5022" t="n">
        <v>0</v>
      </c>
      <c r="P5022" t="n">
        <v>2</v>
      </c>
      <c r="Q5022" t="n">
        <v>2</v>
      </c>
      <c r="R5022" t="n">
        <v>0</v>
      </c>
      <c r="S5022" t="n">
        <v/>
      </c>
      <c r="T5022" t="inlineStr">
        <is>
          <t>26</t>
        </is>
      </c>
      <c r="U5022" t="inlineStr">
        <is>
          <t>12</t>
        </is>
      </c>
      <c r="V5022" t="n">
        <v/>
      </c>
      <c r="W5022" t="n">
        <v/>
      </c>
    </row>
    <row r="5023">
      <c r="A5023" t="inlineStr">
        <is>
          <t>27/12/2025 7:41:46</t>
        </is>
      </c>
      <c r="B5023" t="inlineStr">
        <is>
          <t>Đặng Hoài Anh</t>
        </is>
      </c>
      <c r="C5023" t="inlineStr">
        <is>
          <t>26/12/2025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6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/>
      </c>
      <c r="T5023" t="inlineStr">
        <is>
          <t>26</t>
        </is>
      </c>
      <c r="U5023" t="inlineStr">
        <is>
          <t>12</t>
        </is>
      </c>
      <c r="V5023" t="n">
        <v/>
      </c>
      <c r="W5023" t="n">
        <v/>
      </c>
    </row>
    <row r="5024">
      <c r="A5024" t="inlineStr">
        <is>
          <t>27/12/2025 7:45:38</t>
        </is>
      </c>
      <c r="B5024" t="inlineStr">
        <is>
          <t>Huỳnh Văn Lực</t>
        </is>
      </c>
      <c r="C5024" t="inlineStr">
        <is>
          <t>26/12/2025</t>
        </is>
      </c>
      <c r="D5024" t="n">
        <v>1</v>
      </c>
      <c r="E5024" t="n">
        <v>0</v>
      </c>
      <c r="F5024" t="n">
        <v>1</v>
      </c>
      <c r="G5024" t="n">
        <v>0</v>
      </c>
      <c r="H5024" t="n">
        <v>0</v>
      </c>
      <c r="I5024" t="n">
        <v>0</v>
      </c>
      <c r="J5024" t="n">
        <v>0</v>
      </c>
      <c r="K5024" t="n">
        <v>4</v>
      </c>
      <c r="L5024" t="n">
        <v>0</v>
      </c>
      <c r="M5024" t="n">
        <v>2</v>
      </c>
      <c r="N5024" t="n">
        <v>0</v>
      </c>
      <c r="O5024" t="n">
        <v>0</v>
      </c>
      <c r="P5024" t="n">
        <v>0</v>
      </c>
      <c r="Q5024" t="n">
        <v>1</v>
      </c>
      <c r="R5024" t="n">
        <v>0</v>
      </c>
      <c r="S5024" t="n">
        <v/>
      </c>
      <c r="T5024" t="inlineStr">
        <is>
          <t>26</t>
        </is>
      </c>
      <c r="U5024" t="inlineStr">
        <is>
          <t>12</t>
        </is>
      </c>
      <c r="V5024" t="n">
        <v/>
      </c>
      <c r="W5024" t="n">
        <v/>
      </c>
    </row>
    <row r="5025">
      <c r="A5025" t="inlineStr">
        <is>
          <t>27/12/2025 7:45:57</t>
        </is>
      </c>
      <c r="B5025" t="inlineStr">
        <is>
          <t>Nguyễn Văn Hiệp</t>
        </is>
      </c>
      <c r="C5025" t="inlineStr">
        <is>
          <t>26/12/2025</t>
        </is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  <c r="I5025" t="n">
        <v>0</v>
      </c>
      <c r="J5025" t="n">
        <v>0</v>
      </c>
      <c r="K5025" t="n">
        <v>2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/>
      </c>
      <c r="T5025" t="inlineStr">
        <is>
          <t>26</t>
        </is>
      </c>
      <c r="U5025" t="inlineStr">
        <is>
          <t>12</t>
        </is>
      </c>
      <c r="V5025" t="n">
        <v/>
      </c>
      <c r="W5025" t="n">
        <v/>
      </c>
    </row>
    <row r="5026">
      <c r="A5026" t="inlineStr">
        <is>
          <t>27/12/2025 8:07:42</t>
        </is>
      </c>
      <c r="B5026" t="inlineStr">
        <is>
          <t>Bùi Duy Cường</t>
        </is>
      </c>
      <c r="C5026" t="inlineStr">
        <is>
          <t>26/12/2025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13</v>
      </c>
      <c r="L5026" t="n">
        <v>0</v>
      </c>
      <c r="M5026" t="n">
        <v>0</v>
      </c>
      <c r="N5026" t="n">
        <v>0</v>
      </c>
      <c r="O5026" t="n">
        <v>0</v>
      </c>
      <c r="P5026" t="n">
        <v>2</v>
      </c>
      <c r="Q5026" t="n">
        <v>0</v>
      </c>
      <c r="R5026" t="n">
        <v>2</v>
      </c>
      <c r="S5026" t="n">
        <v/>
      </c>
      <c r="T5026" t="inlineStr">
        <is>
          <t>26</t>
        </is>
      </c>
      <c r="U5026" t="inlineStr">
        <is>
          <t>12</t>
        </is>
      </c>
      <c r="V5026" t="n">
        <v/>
      </c>
      <c r="W5026" t="n">
        <v/>
      </c>
    </row>
    <row r="5027">
      <c r="A5027" t="inlineStr">
        <is>
          <t>27/12/2025 8:33:24</t>
        </is>
      </c>
      <c r="B5027" t="inlineStr">
        <is>
          <t>Nguyễn Hồng Minh</t>
        </is>
      </c>
      <c r="C5027" t="inlineStr">
        <is>
          <t>26/12/2025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16</v>
      </c>
      <c r="L5027" t="n">
        <v>0</v>
      </c>
      <c r="M5027" t="n">
        <v>0</v>
      </c>
      <c r="N5027" t="n">
        <v>2</v>
      </c>
      <c r="O5027" t="n">
        <v>1</v>
      </c>
      <c r="P5027" t="n">
        <v>0</v>
      </c>
      <c r="Q5027" t="n">
        <v>5</v>
      </c>
      <c r="R5027" t="n">
        <v>0</v>
      </c>
      <c r="S5027" t="n">
        <v/>
      </c>
      <c r="T5027" t="inlineStr">
        <is>
          <t>26</t>
        </is>
      </c>
      <c r="U5027" t="inlineStr">
        <is>
          <t>12</t>
        </is>
      </c>
      <c r="V5027" t="n">
        <v/>
      </c>
      <c r="W5027" t="n">
        <v/>
      </c>
    </row>
    <row r="5028">
      <c r="A5028" t="inlineStr">
        <is>
          <t>27/12/2025 8:47:02</t>
        </is>
      </c>
      <c r="B5028" t="inlineStr">
        <is>
          <t>Lê Văn Hồng</t>
        </is>
      </c>
      <c r="C5028" t="inlineStr">
        <is>
          <t>26/12/2025</t>
        </is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  <c r="I5028" t="n">
        <v>5</v>
      </c>
      <c r="J5028" t="n">
        <v>0</v>
      </c>
      <c r="K5028" t="n">
        <v>2</v>
      </c>
      <c r="L5028" t="n">
        <v>0</v>
      </c>
      <c r="M5028" t="n">
        <v>0</v>
      </c>
      <c r="N5028" t="n">
        <v>2</v>
      </c>
      <c r="O5028" t="n">
        <v>0</v>
      </c>
      <c r="P5028" t="n">
        <v>2</v>
      </c>
      <c r="Q5028" t="n">
        <v>4</v>
      </c>
      <c r="R5028" t="n">
        <v>0</v>
      </c>
      <c r="S5028" t="n">
        <v/>
      </c>
      <c r="T5028" t="inlineStr">
        <is>
          <t>26</t>
        </is>
      </c>
      <c r="U5028" t="inlineStr">
        <is>
          <t>12</t>
        </is>
      </c>
      <c r="V5028" t="n">
        <v/>
      </c>
      <c r="W5028" t="n">
        <v/>
      </c>
    </row>
    <row r="5029">
      <c r="A5029" t="inlineStr">
        <is>
          <t>27/12/2025 22:28:48</t>
        </is>
      </c>
      <c r="B5029" t="inlineStr">
        <is>
          <t>Đặng Hữu Danh</t>
        </is>
      </c>
      <c r="C5029" t="inlineStr">
        <is>
          <t>27/12/2025</t>
        </is>
      </c>
      <c r="D5029" t="n">
        <v>1</v>
      </c>
      <c r="E5029" t="n">
        <v>0</v>
      </c>
      <c r="F5029" t="n">
        <v>0</v>
      </c>
      <c r="G5029" t="n">
        <v>0</v>
      </c>
      <c r="H5029" t="n">
        <v>0</v>
      </c>
      <c r="I5029" t="n">
        <v>1</v>
      </c>
      <c r="J5029" t="n">
        <v>0</v>
      </c>
      <c r="K5029" t="n">
        <v>10</v>
      </c>
      <c r="L5029" t="n">
        <v>0</v>
      </c>
      <c r="M5029" t="n">
        <v>1</v>
      </c>
      <c r="N5029" t="n">
        <v>1</v>
      </c>
      <c r="O5029" t="n">
        <v>0</v>
      </c>
      <c r="P5029" t="n">
        <v>1</v>
      </c>
      <c r="Q5029" t="n">
        <v>3</v>
      </c>
      <c r="R5029" t="n">
        <v>0</v>
      </c>
      <c r="S5029" t="n">
        <v/>
      </c>
      <c r="T5029" t="inlineStr">
        <is>
          <t>27</t>
        </is>
      </c>
      <c r="U5029" t="inlineStr">
        <is>
          <t>12</t>
        </is>
      </c>
      <c r="V5029" t="n">
        <v/>
      </c>
      <c r="W5029" t="n">
        <v/>
      </c>
    </row>
    <row r="5030">
      <c r="A5030" t="inlineStr">
        <is>
          <t>28/12/2025 6:13:06</t>
        </is>
      </c>
      <c r="B5030" t="inlineStr">
        <is>
          <t>Phan Thành Thái</t>
        </is>
      </c>
      <c r="C5030" t="inlineStr">
        <is>
          <t>27/12/2025</t>
        </is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  <c r="I5030" t="n">
        <v>0</v>
      </c>
      <c r="J5030" t="n">
        <v>1</v>
      </c>
      <c r="K5030" t="n">
        <v>16</v>
      </c>
      <c r="L5030" t="n">
        <v>0</v>
      </c>
      <c r="M5030" t="n">
        <v>1</v>
      </c>
      <c r="N5030" t="n">
        <v>1</v>
      </c>
      <c r="O5030" t="n">
        <v>0</v>
      </c>
      <c r="P5030" t="n">
        <v>1</v>
      </c>
      <c r="Q5030" t="n">
        <v>4</v>
      </c>
      <c r="R5030" t="n">
        <v>0</v>
      </c>
      <c r="S5030" t="n">
        <v/>
      </c>
      <c r="T5030" t="inlineStr">
        <is>
          <t>27</t>
        </is>
      </c>
      <c r="U5030" t="inlineStr">
        <is>
          <t>12</t>
        </is>
      </c>
      <c r="V5030" t="n">
        <v/>
      </c>
      <c r="W5030" t="n">
        <v/>
      </c>
    </row>
    <row r="5031">
      <c r="A5031" t="inlineStr">
        <is>
          <t>28/12/2025 6:20:24</t>
        </is>
      </c>
      <c r="B5031" t="inlineStr">
        <is>
          <t>Lê Hồng Phong</t>
        </is>
      </c>
      <c r="C5031" t="inlineStr">
        <is>
          <t>28/12/2025</t>
        </is>
      </c>
      <c r="D5031" t="n">
        <v>1</v>
      </c>
      <c r="E5031" t="n">
        <v>1</v>
      </c>
      <c r="F5031" t="n">
        <v>1</v>
      </c>
      <c r="G5031" t="n">
        <v>0</v>
      </c>
      <c r="H5031" t="n">
        <v>0</v>
      </c>
      <c r="I5031" t="n">
        <v>1</v>
      </c>
      <c r="J5031" t="n">
        <v>1</v>
      </c>
      <c r="K5031" t="n">
        <v>1</v>
      </c>
      <c r="L5031" t="n">
        <v>1</v>
      </c>
      <c r="M5031" t="n">
        <v>1</v>
      </c>
      <c r="N5031" t="n">
        <v>1</v>
      </c>
      <c r="O5031" t="n">
        <v>1</v>
      </c>
      <c r="P5031" t="n">
        <v>1</v>
      </c>
      <c r="Q5031" t="n">
        <v>1</v>
      </c>
      <c r="R5031" t="n">
        <v>1</v>
      </c>
      <c r="S5031" t="n">
        <v/>
      </c>
      <c r="T5031" t="inlineStr">
        <is>
          <t>28</t>
        </is>
      </c>
      <c r="U5031" t="inlineStr">
        <is>
          <t>12</t>
        </is>
      </c>
      <c r="V5031" t="n">
        <v/>
      </c>
      <c r="W5031" t="n">
        <v/>
      </c>
    </row>
    <row r="5032">
      <c r="A5032" t="inlineStr">
        <is>
          <t>28/12/2025 6:21:06</t>
        </is>
      </c>
      <c r="B5032" t="inlineStr">
        <is>
          <t>Lương Duy Hoàng</t>
        </is>
      </c>
      <c r="C5032" t="inlineStr">
        <is>
          <t>27/12/2025</t>
        </is>
      </c>
      <c r="D5032" t="n">
        <v>1</v>
      </c>
      <c r="E5032" t="n">
        <v>1</v>
      </c>
      <c r="F5032" t="n">
        <v>0</v>
      </c>
      <c r="G5032" t="n">
        <v>0</v>
      </c>
      <c r="H5032" t="n">
        <v>0</v>
      </c>
      <c r="I5032" t="n">
        <v>1</v>
      </c>
      <c r="J5032" t="n">
        <v>0</v>
      </c>
      <c r="K5032" t="n">
        <v>5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4</v>
      </c>
      <c r="R5032" t="n">
        <v>0</v>
      </c>
      <c r="S5032" t="n">
        <v/>
      </c>
      <c r="T5032" t="inlineStr">
        <is>
          <t>27</t>
        </is>
      </c>
      <c r="U5032" t="inlineStr">
        <is>
          <t>12</t>
        </is>
      </c>
      <c r="V5032" t="n">
        <v/>
      </c>
      <c r="W5032" t="n">
        <v/>
      </c>
    </row>
    <row r="5033">
      <c r="A5033" t="inlineStr">
        <is>
          <t>28/12/2025 6:22:01</t>
        </is>
      </c>
      <c r="B5033" t="inlineStr">
        <is>
          <t>Dương Minh Tiến</t>
        </is>
      </c>
      <c r="C5033" t="inlineStr">
        <is>
          <t>27/12/2025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5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/>
      </c>
      <c r="T5033" t="inlineStr">
        <is>
          <t>27</t>
        </is>
      </c>
      <c r="U5033" t="inlineStr">
        <is>
          <t>12</t>
        </is>
      </c>
      <c r="V5033" t="n">
        <v/>
      </c>
      <c r="W5033" t="n">
        <v/>
      </c>
    </row>
    <row r="5034">
      <c r="A5034" t="inlineStr">
        <is>
          <t>28/12/2025 6:42:10</t>
        </is>
      </c>
      <c r="B5034" t="inlineStr">
        <is>
          <t>Trần Minh Khánh</t>
        </is>
      </c>
      <c r="C5034" t="inlineStr">
        <is>
          <t>27/12/2025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1</v>
      </c>
      <c r="J5034" t="n">
        <v>0</v>
      </c>
      <c r="K5034" t="n">
        <v>11</v>
      </c>
      <c r="L5034" t="n">
        <v>0</v>
      </c>
      <c r="M5034" t="n">
        <v>0</v>
      </c>
      <c r="N5034" t="n">
        <v>1</v>
      </c>
      <c r="O5034" t="n">
        <v>0</v>
      </c>
      <c r="P5034" t="n">
        <v>1</v>
      </c>
      <c r="Q5034" t="n">
        <v>2</v>
      </c>
      <c r="R5034" t="n">
        <v>0</v>
      </c>
      <c r="S5034" t="n">
        <v/>
      </c>
      <c r="T5034" t="inlineStr">
        <is>
          <t>27</t>
        </is>
      </c>
      <c r="U5034" t="inlineStr">
        <is>
          <t>12</t>
        </is>
      </c>
      <c r="V5034" t="n">
        <v/>
      </c>
      <c r="W5034" t="n">
        <v/>
      </c>
    </row>
    <row r="5035">
      <c r="A5035" t="inlineStr">
        <is>
          <t>28/12/2025 6:59:14</t>
        </is>
      </c>
      <c r="B5035" t="inlineStr">
        <is>
          <t>Lê Quốc Duy</t>
        </is>
      </c>
      <c r="C5035" t="inlineStr">
        <is>
          <t>27/12/2025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9</v>
      </c>
      <c r="L5035" t="n">
        <v>0</v>
      </c>
      <c r="M5035" t="n">
        <v>0</v>
      </c>
      <c r="N5035" t="n">
        <v>0</v>
      </c>
      <c r="O5035" t="n">
        <v>0</v>
      </c>
      <c r="P5035" t="n">
        <v>2</v>
      </c>
      <c r="Q5035" t="n">
        <v>2</v>
      </c>
      <c r="R5035" t="n">
        <v>0</v>
      </c>
      <c r="S5035" t="n">
        <v/>
      </c>
      <c r="T5035" t="inlineStr">
        <is>
          <t>27</t>
        </is>
      </c>
      <c r="U5035" t="inlineStr">
        <is>
          <t>12</t>
        </is>
      </c>
      <c r="V5035" t="n">
        <v/>
      </c>
      <c r="W5035" t="n">
        <v/>
      </c>
    </row>
    <row r="5036">
      <c r="A5036" t="inlineStr">
        <is>
          <t>28/12/2025 7:03:21</t>
        </is>
      </c>
      <c r="B5036" t="inlineStr">
        <is>
          <t>Nguyễn Văn Hiệp</t>
        </is>
      </c>
      <c r="C5036" t="inlineStr">
        <is>
          <t>27/12/2025</t>
        </is>
      </c>
      <c r="D5036" t="n">
        <v>1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1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/>
      </c>
      <c r="T5036" t="inlineStr">
        <is>
          <t>27</t>
        </is>
      </c>
      <c r="U5036" t="inlineStr">
        <is>
          <t>12</t>
        </is>
      </c>
      <c r="V5036" t="n">
        <v/>
      </c>
      <c r="W5036" t="n">
        <v/>
      </c>
    </row>
    <row r="5037">
      <c r="A5037" t="inlineStr">
        <is>
          <t>28/12/2025 7:04:31</t>
        </is>
      </c>
      <c r="B5037" t="inlineStr">
        <is>
          <t>Trần Trung Giang</t>
        </is>
      </c>
      <c r="C5037" t="inlineStr">
        <is>
          <t>27/12/2024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2</v>
      </c>
      <c r="L5037" t="n">
        <v>0</v>
      </c>
      <c r="M5037" t="n">
        <v>0</v>
      </c>
      <c r="N5037" t="n">
        <v>0</v>
      </c>
      <c r="O5037" t="n">
        <v>0</v>
      </c>
      <c r="P5037" t="n">
        <v>1</v>
      </c>
      <c r="Q5037" t="n">
        <v>0</v>
      </c>
      <c r="R5037" t="n">
        <v>0</v>
      </c>
      <c r="S5037" t="n">
        <v/>
      </c>
      <c r="T5037" t="inlineStr">
        <is>
          <t>27</t>
        </is>
      </c>
      <c r="U5037" t="inlineStr">
        <is>
          <t>12</t>
        </is>
      </c>
      <c r="V5037" t="n">
        <v/>
      </c>
      <c r="W5037" t="n">
        <v/>
      </c>
    </row>
    <row r="5038">
      <c r="A5038" t="inlineStr">
        <is>
          <t>28/12/2025 7:04:53</t>
        </is>
      </c>
      <c r="B5038" t="inlineStr">
        <is>
          <t>Hồ Thái Minh Trí</t>
        </is>
      </c>
      <c r="C5038" t="inlineStr">
        <is>
          <t>27/12/2025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1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5</v>
      </c>
      <c r="R5038" t="n">
        <v>0</v>
      </c>
      <c r="S5038" t="n">
        <v/>
      </c>
      <c r="T5038" t="inlineStr">
        <is>
          <t>27</t>
        </is>
      </c>
      <c r="U5038" t="inlineStr">
        <is>
          <t>12</t>
        </is>
      </c>
      <c r="V5038" t="n">
        <v/>
      </c>
      <c r="W5038" t="n">
        <v/>
      </c>
    </row>
    <row r="5039">
      <c r="A5039" t="inlineStr">
        <is>
          <t>28/12/2025 7:05:34</t>
        </is>
      </c>
      <c r="B5039" t="inlineStr">
        <is>
          <t>Hồ Xuân Việt</t>
        </is>
      </c>
      <c r="C5039" t="inlineStr">
        <is>
          <t>27/12/2025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6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/>
      </c>
      <c r="T5039" t="inlineStr">
        <is>
          <t>27</t>
        </is>
      </c>
      <c r="U5039" t="inlineStr">
        <is>
          <t>12</t>
        </is>
      </c>
      <c r="V5039" t="n">
        <v/>
      </c>
      <c r="W5039" t="n">
        <v/>
      </c>
    </row>
    <row r="5040">
      <c r="A5040" t="inlineStr">
        <is>
          <t>28/12/2025 7:07:26</t>
        </is>
      </c>
      <c r="B5040" t="inlineStr">
        <is>
          <t>Trần Xuân Khoa</t>
        </is>
      </c>
      <c r="C5040" t="inlineStr">
        <is>
          <t>27/12/2025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10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3</v>
      </c>
      <c r="R5040" t="n">
        <v>0</v>
      </c>
      <c r="S5040" t="n">
        <v/>
      </c>
      <c r="T5040" t="inlineStr">
        <is>
          <t>27</t>
        </is>
      </c>
      <c r="U5040" t="inlineStr">
        <is>
          <t>12</t>
        </is>
      </c>
      <c r="V5040" t="n">
        <v/>
      </c>
      <c r="W5040" t="n">
        <v/>
      </c>
    </row>
    <row r="5041">
      <c r="A5041" t="inlineStr">
        <is>
          <t>28/12/2025 7:12:07</t>
        </is>
      </c>
      <c r="B5041" t="inlineStr">
        <is>
          <t>Phan Ngọc Sang</t>
        </is>
      </c>
      <c r="C5041" t="inlineStr">
        <is>
          <t>27/12/2025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1</v>
      </c>
      <c r="K5041" t="n">
        <v>4</v>
      </c>
      <c r="L5041" t="n">
        <v>0</v>
      </c>
      <c r="M5041" t="n">
        <v>1</v>
      </c>
      <c r="N5041" t="n">
        <v>0</v>
      </c>
      <c r="O5041" t="n">
        <v>0</v>
      </c>
      <c r="P5041" t="n">
        <v>1</v>
      </c>
      <c r="Q5041" t="n">
        <v>2</v>
      </c>
      <c r="R5041" t="n">
        <v>0</v>
      </c>
      <c r="S5041" t="n">
        <v/>
      </c>
      <c r="T5041" t="inlineStr">
        <is>
          <t>27</t>
        </is>
      </c>
      <c r="U5041" t="inlineStr">
        <is>
          <t>12</t>
        </is>
      </c>
      <c r="V5041" t="n">
        <v/>
      </c>
      <c r="W5041" t="n">
        <v/>
      </c>
    </row>
    <row r="5042">
      <c r="A5042" t="inlineStr">
        <is>
          <t>28/12/2025 7:14:24</t>
        </is>
      </c>
      <c r="B5042" t="inlineStr">
        <is>
          <t>Nguyễn Quang Anh Tuấn</t>
        </is>
      </c>
      <c r="C5042" t="inlineStr">
        <is>
          <t>27/12/2025</t>
        </is>
      </c>
      <c r="D5042" t="n">
        <v>1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2</v>
      </c>
      <c r="L5042" t="n">
        <v>0</v>
      </c>
      <c r="M5042" t="n">
        <v>0</v>
      </c>
      <c r="N5042" t="n">
        <v>0</v>
      </c>
      <c r="O5042" t="n">
        <v>0</v>
      </c>
      <c r="P5042" t="n">
        <v>2</v>
      </c>
      <c r="Q5042" t="n">
        <v>2</v>
      </c>
      <c r="R5042" t="n">
        <v>0</v>
      </c>
      <c r="S5042" t="n">
        <v/>
      </c>
      <c r="T5042" t="inlineStr">
        <is>
          <t>27</t>
        </is>
      </c>
      <c r="U5042" t="inlineStr">
        <is>
          <t>12</t>
        </is>
      </c>
      <c r="V5042" t="n">
        <v/>
      </c>
      <c r="W5042" t="n">
        <v/>
      </c>
    </row>
    <row r="5043">
      <c r="A5043" t="inlineStr">
        <is>
          <t>28/12/2025 7:15:11</t>
        </is>
      </c>
      <c r="B5043" t="inlineStr">
        <is>
          <t>Đặng Hoài Anh</t>
        </is>
      </c>
      <c r="C5043" t="inlineStr">
        <is>
          <t>27/12/2025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4</v>
      </c>
      <c r="L5043" t="n">
        <v>0</v>
      </c>
      <c r="M5043" t="n">
        <v>0</v>
      </c>
      <c r="N5043" t="n">
        <v>0</v>
      </c>
      <c r="O5043" t="n">
        <v>0</v>
      </c>
      <c r="P5043" t="n">
        <v>1</v>
      </c>
      <c r="Q5043" t="n">
        <v>0</v>
      </c>
      <c r="R5043" t="n">
        <v>0</v>
      </c>
      <c r="S5043" t="n">
        <v/>
      </c>
      <c r="T5043" t="inlineStr">
        <is>
          <t>27</t>
        </is>
      </c>
      <c r="U5043" t="inlineStr">
        <is>
          <t>12</t>
        </is>
      </c>
      <c r="V5043" t="n">
        <v/>
      </c>
      <c r="W5043" t="n">
        <v/>
      </c>
    </row>
    <row r="5044">
      <c r="A5044" t="inlineStr">
        <is>
          <t>28/12/2025 7:15:49</t>
        </is>
      </c>
      <c r="B5044" t="inlineStr">
        <is>
          <t>Bùi Duy Cường</t>
        </is>
      </c>
      <c r="C5044" t="inlineStr">
        <is>
          <t>27/12/2025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2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/>
      </c>
      <c r="T5044" t="inlineStr">
        <is>
          <t>27</t>
        </is>
      </c>
      <c r="U5044" t="inlineStr">
        <is>
          <t>12</t>
        </is>
      </c>
      <c r="V5044" t="n">
        <v/>
      </c>
      <c r="W5044" t="n">
        <v/>
      </c>
    </row>
    <row r="5045">
      <c r="A5045" t="inlineStr">
        <is>
          <t>28/12/2025 7:26:13</t>
        </is>
      </c>
      <c r="B5045" t="inlineStr">
        <is>
          <t>Đào Công Trung</t>
        </is>
      </c>
      <c r="C5045" t="inlineStr">
        <is>
          <t>27/12/2025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9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/>
      </c>
      <c r="T5045" t="inlineStr">
        <is>
          <t>27</t>
        </is>
      </c>
      <c r="U5045" t="inlineStr">
        <is>
          <t>12</t>
        </is>
      </c>
      <c r="V5045" t="n">
        <v/>
      </c>
      <c r="W5045" t="n">
        <v/>
      </c>
    </row>
    <row r="5046">
      <c r="A5046" t="inlineStr">
        <is>
          <t>28/12/2025 7:26:26</t>
        </is>
      </c>
      <c r="B5046" t="inlineStr">
        <is>
          <t>Nguyễn Tuấn Anh</t>
        </is>
      </c>
      <c r="C5046" t="inlineStr">
        <is>
          <t>28/12/2025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5</v>
      </c>
      <c r="L5046" t="n">
        <v>0</v>
      </c>
      <c r="M5046" t="n">
        <v>0</v>
      </c>
      <c r="N5046" t="n">
        <v>0</v>
      </c>
      <c r="O5046" t="n">
        <v>0</v>
      </c>
      <c r="P5046" t="n">
        <v>1</v>
      </c>
      <c r="Q5046" t="n">
        <v>8</v>
      </c>
      <c r="R5046" t="n">
        <v>0</v>
      </c>
      <c r="S5046" t="n">
        <v/>
      </c>
      <c r="T5046" t="inlineStr">
        <is>
          <t>28</t>
        </is>
      </c>
      <c r="U5046" t="inlineStr">
        <is>
          <t>12</t>
        </is>
      </c>
      <c r="V5046" t="n">
        <v/>
      </c>
      <c r="W5046" t="n">
        <v/>
      </c>
    </row>
    <row r="5047">
      <c r="A5047" t="inlineStr">
        <is>
          <t>28/12/2025 7:33:13</t>
        </is>
      </c>
      <c r="B5047" t="inlineStr">
        <is>
          <t>Nguyễn Thành Lâm</t>
        </is>
      </c>
      <c r="C5047" t="inlineStr">
        <is>
          <t>27/12/2025</t>
        </is>
      </c>
      <c r="D5047" t="n">
        <v>1</v>
      </c>
      <c r="E5047" t="n">
        <v>1</v>
      </c>
      <c r="F5047" t="n">
        <v>1</v>
      </c>
      <c r="G5047" t="n">
        <v>0</v>
      </c>
      <c r="H5047" t="n">
        <v>0</v>
      </c>
      <c r="I5047" t="n">
        <v>0</v>
      </c>
      <c r="J5047" t="n">
        <v>0</v>
      </c>
      <c r="K5047" t="n">
        <v>12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2</v>
      </c>
      <c r="R5047" t="n">
        <v>0</v>
      </c>
      <c r="S5047" t="n">
        <v/>
      </c>
      <c r="T5047" t="inlineStr">
        <is>
          <t>27</t>
        </is>
      </c>
      <c r="U5047" t="inlineStr">
        <is>
          <t>12</t>
        </is>
      </c>
      <c r="V5047" t="n">
        <v/>
      </c>
      <c r="W5047" t="n">
        <v/>
      </c>
    </row>
    <row r="5048">
      <c r="A5048" t="inlineStr">
        <is>
          <t>28/12/2025 7:34:21</t>
        </is>
      </c>
      <c r="B5048" t="inlineStr">
        <is>
          <t>Vòng Nhật Sang</t>
        </is>
      </c>
      <c r="C5048" t="inlineStr">
        <is>
          <t>27/12/2025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6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2</v>
      </c>
      <c r="Q5048" t="n">
        <v>2</v>
      </c>
      <c r="R5048" t="n">
        <v>0</v>
      </c>
      <c r="S5048" t="n">
        <v/>
      </c>
      <c r="T5048" t="inlineStr">
        <is>
          <t>27</t>
        </is>
      </c>
      <c r="U5048" t="inlineStr">
        <is>
          <t>12</t>
        </is>
      </c>
      <c r="V5048" t="n">
        <v/>
      </c>
      <c r="W5048" t="n">
        <v/>
      </c>
    </row>
    <row r="5049">
      <c r="A5049" t="inlineStr">
        <is>
          <t>28/12/2025 8:20:58</t>
        </is>
      </c>
      <c r="B5049" t="inlineStr">
        <is>
          <t>Huỳnh Văn Lực</t>
        </is>
      </c>
      <c r="C5049" t="inlineStr">
        <is>
          <t>27/12/2025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2</v>
      </c>
      <c r="L5049" t="n">
        <v>0</v>
      </c>
      <c r="M5049" t="n">
        <v>1</v>
      </c>
      <c r="N5049" t="n">
        <v>1</v>
      </c>
      <c r="O5049" t="n">
        <v>0</v>
      </c>
      <c r="P5049" t="n">
        <v>0</v>
      </c>
      <c r="Q5049" t="n">
        <v>1</v>
      </c>
      <c r="R5049" t="n">
        <v>0</v>
      </c>
      <c r="S5049" t="n">
        <v/>
      </c>
      <c r="T5049" t="inlineStr">
        <is>
          <t>27</t>
        </is>
      </c>
      <c r="U5049" t="inlineStr">
        <is>
          <t>12</t>
        </is>
      </c>
      <c r="V5049" t="n">
        <v/>
      </c>
      <c r="W5049" t="n">
        <v/>
      </c>
    </row>
    <row r="5050">
      <c r="A5050" t="inlineStr">
        <is>
          <t>28/12/2025 8:40:37</t>
        </is>
      </c>
      <c r="B5050" t="inlineStr">
        <is>
          <t>Lê Văn Hồng</t>
        </is>
      </c>
      <c r="C5050" t="inlineStr">
        <is>
          <t>27/12/2025</t>
        </is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  <c r="I5050" t="n">
        <v>10</v>
      </c>
      <c r="J5050" t="n">
        <v>0</v>
      </c>
      <c r="K5050" t="n">
        <v>4</v>
      </c>
      <c r="L5050" t="n">
        <v>2</v>
      </c>
      <c r="M5050" t="n">
        <v>1</v>
      </c>
      <c r="N5050" t="n">
        <v>2</v>
      </c>
      <c r="O5050" t="n">
        <v>0</v>
      </c>
      <c r="P5050" t="n">
        <v>2</v>
      </c>
      <c r="Q5050" t="n">
        <v>5</v>
      </c>
      <c r="R5050" t="n">
        <v>0</v>
      </c>
      <c r="S5050" t="n">
        <v/>
      </c>
      <c r="T5050" t="inlineStr">
        <is>
          <t>27</t>
        </is>
      </c>
      <c r="U5050" t="inlineStr">
        <is>
          <t>12</t>
        </is>
      </c>
      <c r="V5050" t="n">
        <v/>
      </c>
      <c r="W5050" t="n">
        <v/>
      </c>
    </row>
    <row r="5051">
      <c r="A5051" t="inlineStr">
        <is>
          <t>28/12/2025 8:51:05</t>
        </is>
      </c>
      <c r="B5051" t="inlineStr">
        <is>
          <t>Nguyễn Hồng Minh</t>
        </is>
      </c>
      <c r="C5051" t="inlineStr">
        <is>
          <t>27/12/2025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</v>
      </c>
      <c r="J5051" t="n">
        <v>2</v>
      </c>
      <c r="K5051" t="n">
        <v>4</v>
      </c>
      <c r="L5051" t="n">
        <v>0</v>
      </c>
      <c r="M5051" t="n">
        <v>0</v>
      </c>
      <c r="N5051" t="n">
        <v>1</v>
      </c>
      <c r="O5051" t="n">
        <v>0</v>
      </c>
      <c r="P5051" t="n">
        <v>2</v>
      </c>
      <c r="Q5051" t="n">
        <v>6</v>
      </c>
      <c r="R5051" t="n">
        <v>0</v>
      </c>
      <c r="S5051" t="n">
        <v/>
      </c>
      <c r="T5051" t="inlineStr">
        <is>
          <t>27</t>
        </is>
      </c>
      <c r="U5051" t="inlineStr">
        <is>
          <t>12</t>
        </is>
      </c>
      <c r="V5051" t="n">
        <v/>
      </c>
      <c r="W5051" t="n">
        <v/>
      </c>
    </row>
    <row r="5052">
      <c r="A5052" t="inlineStr">
        <is>
          <t>29/12/2025 6:32:46</t>
        </is>
      </c>
      <c r="B5052" t="inlineStr">
        <is>
          <t>Nguyễn Văn Hiệp</t>
        </is>
      </c>
      <c r="C5052" t="inlineStr">
        <is>
          <t>28/12/2025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4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/>
      </c>
      <c r="T5052" t="inlineStr">
        <is>
          <t>28</t>
        </is>
      </c>
      <c r="U5052" t="inlineStr">
        <is>
          <t>12</t>
        </is>
      </c>
      <c r="V5052" t="n">
        <v/>
      </c>
      <c r="W5052" t="n">
        <v/>
      </c>
    </row>
    <row r="5053">
      <c r="A5053" t="inlineStr">
        <is>
          <t>29/12/2025 6:33:57</t>
        </is>
      </c>
      <c r="B5053" t="inlineStr">
        <is>
          <t>Phan Thành Thái</t>
        </is>
      </c>
      <c r="C5053" t="inlineStr">
        <is>
          <t>28/12/2025</t>
        </is>
      </c>
      <c r="D5053" t="n">
        <v>1</v>
      </c>
      <c r="E5053" t="n">
        <v>1</v>
      </c>
      <c r="F5053" t="n">
        <v>0</v>
      </c>
      <c r="G5053" t="n">
        <v>1</v>
      </c>
      <c r="H5053" t="n">
        <v>1</v>
      </c>
      <c r="I5053" t="n">
        <v>1</v>
      </c>
      <c r="J5053" t="n">
        <v>0</v>
      </c>
      <c r="K5053" t="n">
        <v>22</v>
      </c>
      <c r="L5053" t="n">
        <v>0</v>
      </c>
      <c r="M5053" t="n">
        <v>1</v>
      </c>
      <c r="N5053" t="n">
        <v>2</v>
      </c>
      <c r="O5053" t="n">
        <v>0</v>
      </c>
      <c r="P5053" t="n">
        <v>0</v>
      </c>
      <c r="Q5053" t="n">
        <v>5</v>
      </c>
      <c r="R5053" t="n">
        <v>0</v>
      </c>
      <c r="S5053" t="n">
        <v/>
      </c>
      <c r="T5053" t="inlineStr">
        <is>
          <t>28</t>
        </is>
      </c>
      <c r="U5053" t="inlineStr">
        <is>
          <t>12</t>
        </is>
      </c>
      <c r="V5053" t="n">
        <v/>
      </c>
      <c r="W5053" t="n">
        <v/>
      </c>
    </row>
    <row r="5054">
      <c r="A5054" t="inlineStr">
        <is>
          <t>29/12/2025 6:34:00</t>
        </is>
      </c>
      <c r="B5054" t="inlineStr">
        <is>
          <t>Dương Minh Tiến</t>
        </is>
      </c>
      <c r="C5054" t="inlineStr">
        <is>
          <t>28/12/2025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14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/>
      </c>
      <c r="T5054" t="inlineStr">
        <is>
          <t>28</t>
        </is>
      </c>
      <c r="U5054" t="inlineStr">
        <is>
          <t>12</t>
        </is>
      </c>
      <c r="V5054" t="n">
        <v/>
      </c>
      <c r="W5054" t="n">
        <v/>
      </c>
    </row>
    <row r="5055">
      <c r="A5055" t="inlineStr">
        <is>
          <t>29/12/2025 6:34:35</t>
        </is>
      </c>
      <c r="B5055" t="inlineStr">
        <is>
          <t>Lê Quốc Duy</t>
        </is>
      </c>
      <c r="C5055" t="inlineStr">
        <is>
          <t>28/12/2025</t>
        </is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  <c r="I5055" t="n">
        <v>1</v>
      </c>
      <c r="J5055" t="n">
        <v>0</v>
      </c>
      <c r="K5055" t="n">
        <v>12</v>
      </c>
      <c r="L5055" t="n">
        <v>0</v>
      </c>
      <c r="M5055" t="n">
        <v>0</v>
      </c>
      <c r="N5055" t="n">
        <v>2</v>
      </c>
      <c r="O5055" t="n">
        <v>0</v>
      </c>
      <c r="P5055" t="n">
        <v>1</v>
      </c>
      <c r="Q5055" t="n">
        <v>2</v>
      </c>
      <c r="R5055" t="n">
        <v>0</v>
      </c>
      <c r="S5055" t="n">
        <v/>
      </c>
      <c r="T5055" t="inlineStr">
        <is>
          <t>28</t>
        </is>
      </c>
      <c r="U5055" t="inlineStr">
        <is>
          <t>12</t>
        </is>
      </c>
      <c r="V5055" t="n">
        <v/>
      </c>
      <c r="W5055" t="n">
        <v/>
      </c>
    </row>
    <row r="5056">
      <c r="A5056" t="inlineStr">
        <is>
          <t>29/12/2025 6:41:18</t>
        </is>
      </c>
      <c r="B5056" t="inlineStr">
        <is>
          <t>Phan Ngọc Sang</t>
        </is>
      </c>
      <c r="C5056" t="inlineStr">
        <is>
          <t>28/12/2025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1</v>
      </c>
      <c r="K5056" t="n">
        <v>14</v>
      </c>
      <c r="L5056" t="n">
        <v>0</v>
      </c>
      <c r="M5056" t="n">
        <v>2</v>
      </c>
      <c r="N5056" t="n">
        <v>1</v>
      </c>
      <c r="O5056" t="n">
        <v>0</v>
      </c>
      <c r="P5056" t="n">
        <v>1</v>
      </c>
      <c r="Q5056" t="n">
        <v>2</v>
      </c>
      <c r="R5056" t="n">
        <v>0</v>
      </c>
      <c r="S5056" t="n">
        <v/>
      </c>
      <c r="T5056" t="inlineStr">
        <is>
          <t>28</t>
        </is>
      </c>
      <c r="U5056" t="inlineStr">
        <is>
          <t>12</t>
        </is>
      </c>
      <c r="V5056" t="n">
        <v/>
      </c>
      <c r="W5056" t="n">
        <v/>
      </c>
    </row>
    <row r="5057">
      <c r="A5057" t="inlineStr">
        <is>
          <t>29/12/2025 6:41:36</t>
        </is>
      </c>
      <c r="B5057" t="inlineStr">
        <is>
          <t>Đào Công Trung</t>
        </is>
      </c>
      <c r="C5057" t="inlineStr">
        <is>
          <t>28/12/2025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12</v>
      </c>
      <c r="L5057" t="n">
        <v>0</v>
      </c>
      <c r="M5057" t="n">
        <v>0</v>
      </c>
      <c r="N5057" t="n">
        <v>2</v>
      </c>
      <c r="O5057" t="n">
        <v>0</v>
      </c>
      <c r="P5057" t="n">
        <v>0</v>
      </c>
      <c r="Q5057" t="n">
        <v>4</v>
      </c>
      <c r="R5057" t="n">
        <v>0</v>
      </c>
      <c r="S5057" t="n">
        <v/>
      </c>
      <c r="T5057" t="inlineStr">
        <is>
          <t>28</t>
        </is>
      </c>
      <c r="U5057" t="inlineStr">
        <is>
          <t>12</t>
        </is>
      </c>
      <c r="V5057" t="n">
        <v/>
      </c>
      <c r="W5057" t="n">
        <v/>
      </c>
    </row>
    <row r="5058">
      <c r="A5058" t="inlineStr">
        <is>
          <t>29/12/2025 6:42:05</t>
        </is>
      </c>
      <c r="B5058" t="inlineStr">
        <is>
          <t>Trần Minh Khánh</t>
        </is>
      </c>
      <c r="C5058" t="inlineStr">
        <is>
          <t>28/12/2025</t>
        </is>
      </c>
      <c r="D5058" t="n">
        <v>1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16</v>
      </c>
      <c r="L5058" t="n">
        <v>0</v>
      </c>
      <c r="M5058" t="n">
        <v>0</v>
      </c>
      <c r="N5058" t="n">
        <v>1</v>
      </c>
      <c r="O5058" t="n">
        <v>0</v>
      </c>
      <c r="P5058" t="n">
        <v>0</v>
      </c>
      <c r="Q5058" t="n">
        <v>3</v>
      </c>
      <c r="R5058" t="n">
        <v>0</v>
      </c>
      <c r="S5058" t="n">
        <v/>
      </c>
      <c r="T5058" t="inlineStr">
        <is>
          <t>28</t>
        </is>
      </c>
      <c r="U5058" t="inlineStr">
        <is>
          <t>12</t>
        </is>
      </c>
      <c r="V5058" t="n">
        <v/>
      </c>
      <c r="W5058" t="n">
        <v/>
      </c>
    </row>
    <row r="5059">
      <c r="A5059" t="inlineStr">
        <is>
          <t>29/12/2025 6:43:40</t>
        </is>
      </c>
      <c r="B5059" t="inlineStr">
        <is>
          <t>Lương Duy Hoàng</t>
        </is>
      </c>
      <c r="C5059" t="inlineStr">
        <is>
          <t>28/12/2025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3</v>
      </c>
      <c r="L5059" t="n">
        <v>0</v>
      </c>
      <c r="M5059" t="n">
        <v>0</v>
      </c>
      <c r="N5059" t="n">
        <v>0</v>
      </c>
      <c r="O5059" t="n">
        <v>0</v>
      </c>
      <c r="P5059" t="n">
        <v>1</v>
      </c>
      <c r="Q5059" t="n">
        <v>1</v>
      </c>
      <c r="R5059" t="n">
        <v>0</v>
      </c>
      <c r="S5059" t="n">
        <v/>
      </c>
      <c r="T5059" t="inlineStr">
        <is>
          <t>28</t>
        </is>
      </c>
      <c r="U5059" t="inlineStr">
        <is>
          <t>12</t>
        </is>
      </c>
      <c r="V5059" t="n">
        <v/>
      </c>
      <c r="W5059" t="n">
        <v/>
      </c>
    </row>
    <row r="5060">
      <c r="A5060" t="inlineStr">
        <is>
          <t>29/12/2025 6:44:37</t>
        </is>
      </c>
      <c r="B5060" t="inlineStr">
        <is>
          <t>Nguyễn Quang Anh Tuấn</t>
        </is>
      </c>
      <c r="C5060" t="inlineStr">
        <is>
          <t>28/12/2025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4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/>
      </c>
      <c r="T5060" t="inlineStr">
        <is>
          <t>28</t>
        </is>
      </c>
      <c r="U5060" t="inlineStr">
        <is>
          <t>12</t>
        </is>
      </c>
      <c r="V5060" t="n">
        <v/>
      </c>
      <c r="W5060" t="n">
        <v/>
      </c>
    </row>
    <row r="5061">
      <c r="A5061" t="inlineStr">
        <is>
          <t>29/12/2025 6:46:42</t>
        </is>
      </c>
      <c r="B5061" t="inlineStr">
        <is>
          <t>Trần Trung Giang</t>
        </is>
      </c>
      <c r="C5061" t="inlineStr">
        <is>
          <t>28/12/2025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/>
      </c>
      <c r="T5061" t="inlineStr">
        <is>
          <t>28</t>
        </is>
      </c>
      <c r="U5061" t="inlineStr">
        <is>
          <t>12</t>
        </is>
      </c>
      <c r="V5061" t="n">
        <v/>
      </c>
      <c r="W5061" t="n">
        <v/>
      </c>
    </row>
    <row r="5062">
      <c r="A5062" t="inlineStr">
        <is>
          <t>29/12/2025 6:47:50</t>
        </is>
      </c>
      <c r="B5062" t="inlineStr">
        <is>
          <t>Vòng Nhật Sang</t>
        </is>
      </c>
      <c r="C5062" t="inlineStr">
        <is>
          <t>28/12/2025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2</v>
      </c>
      <c r="Q5062" t="n">
        <v>2</v>
      </c>
      <c r="R5062" t="n">
        <v>0</v>
      </c>
      <c r="S5062" t="n">
        <v/>
      </c>
      <c r="T5062" t="inlineStr">
        <is>
          <t>28</t>
        </is>
      </c>
      <c r="U5062" t="inlineStr">
        <is>
          <t>12</t>
        </is>
      </c>
      <c r="V5062" t="n">
        <v/>
      </c>
      <c r="W5062" t="n">
        <v/>
      </c>
    </row>
    <row r="5063">
      <c r="A5063" t="inlineStr">
        <is>
          <t>29/12/2025 6:48:47</t>
        </is>
      </c>
      <c r="B5063" t="inlineStr">
        <is>
          <t>Huỳnh Văn Lực</t>
        </is>
      </c>
      <c r="C5063" t="inlineStr">
        <is>
          <t>28/12/2025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</v>
      </c>
      <c r="J5063" t="n">
        <v>0</v>
      </c>
      <c r="K5063" t="n">
        <v>3</v>
      </c>
      <c r="L5063" t="n">
        <v>0</v>
      </c>
      <c r="M5063" t="n">
        <v>0</v>
      </c>
      <c r="N5063" t="n">
        <v>1</v>
      </c>
      <c r="O5063" t="n">
        <v>0</v>
      </c>
      <c r="P5063" t="n">
        <v>0</v>
      </c>
      <c r="Q5063" t="n">
        <v>1</v>
      </c>
      <c r="R5063" t="n">
        <v>0</v>
      </c>
      <c r="S5063" t="n">
        <v/>
      </c>
      <c r="T5063" t="inlineStr">
        <is>
          <t>28</t>
        </is>
      </c>
      <c r="U5063" t="inlineStr">
        <is>
          <t>12</t>
        </is>
      </c>
      <c r="V5063" t="n">
        <v/>
      </c>
      <c r="W5063" t="n">
        <v/>
      </c>
    </row>
    <row r="5064">
      <c r="A5064" t="inlineStr">
        <is>
          <t>29/12/2025 6:51:55</t>
        </is>
      </c>
      <c r="B5064" t="inlineStr">
        <is>
          <t>Lê Hồng Phong</t>
        </is>
      </c>
      <c r="C5064" t="inlineStr">
        <is>
          <t>29/12/2025</t>
        </is>
      </c>
      <c r="D5064" t="n">
        <v>1</v>
      </c>
      <c r="E5064" t="n">
        <v>1</v>
      </c>
      <c r="F5064" t="n">
        <v>1</v>
      </c>
      <c r="G5064" t="n">
        <v>0</v>
      </c>
      <c r="H5064" t="n">
        <v>0</v>
      </c>
      <c r="I5064" t="n">
        <v>1</v>
      </c>
      <c r="J5064" t="n">
        <v>1</v>
      </c>
      <c r="K5064" t="n">
        <v>1</v>
      </c>
      <c r="L5064" t="n">
        <v>1</v>
      </c>
      <c r="M5064" t="n">
        <v>1</v>
      </c>
      <c r="N5064" t="n">
        <v>1</v>
      </c>
      <c r="O5064" t="n">
        <v>1</v>
      </c>
      <c r="P5064" t="n">
        <v>1</v>
      </c>
      <c r="Q5064" t="n">
        <v>1</v>
      </c>
      <c r="R5064" t="n">
        <v>1</v>
      </c>
      <c r="S5064" t="n">
        <v/>
      </c>
      <c r="T5064" t="inlineStr">
        <is>
          <t>29</t>
        </is>
      </c>
      <c r="U5064" t="inlineStr">
        <is>
          <t>12</t>
        </is>
      </c>
      <c r="V5064" t="n">
        <v/>
      </c>
      <c r="W5064" t="n">
        <v/>
      </c>
    </row>
    <row r="5065">
      <c r="A5065" t="inlineStr">
        <is>
          <t>29/12/2025 7:00:50</t>
        </is>
      </c>
      <c r="B5065" t="inlineStr">
        <is>
          <t>Nguyễn Thành Lâm</t>
        </is>
      </c>
      <c r="C5065" t="inlineStr">
        <is>
          <t>28/12/2025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9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2</v>
      </c>
      <c r="R5065" t="n">
        <v>0</v>
      </c>
      <c r="S5065" t="n">
        <v/>
      </c>
      <c r="T5065" t="inlineStr">
        <is>
          <t>28</t>
        </is>
      </c>
      <c r="U5065" t="inlineStr">
        <is>
          <t>12</t>
        </is>
      </c>
      <c r="V5065" t="n">
        <v/>
      </c>
      <c r="W5065" t="n">
        <v/>
      </c>
    </row>
    <row r="5066">
      <c r="A5066" t="inlineStr">
        <is>
          <t>29/12/2025 7:03:13</t>
        </is>
      </c>
      <c r="B5066" t="inlineStr">
        <is>
          <t>Đặng Hữu Danh</t>
        </is>
      </c>
      <c r="C5066" t="inlineStr">
        <is>
          <t>28/12/2025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10</v>
      </c>
      <c r="L5066" t="n">
        <v>0</v>
      </c>
      <c r="M5066" t="n">
        <v>0</v>
      </c>
      <c r="N5066" t="n">
        <v>1</v>
      </c>
      <c r="O5066" t="n">
        <v>0</v>
      </c>
      <c r="P5066" t="n">
        <v>1</v>
      </c>
      <c r="Q5066" t="n">
        <v>2</v>
      </c>
      <c r="R5066" t="n">
        <v>0</v>
      </c>
      <c r="S5066" t="n">
        <v/>
      </c>
      <c r="T5066" t="inlineStr">
        <is>
          <t>28</t>
        </is>
      </c>
      <c r="U5066" t="inlineStr">
        <is>
          <t>12</t>
        </is>
      </c>
      <c r="V5066" t="n">
        <v/>
      </c>
      <c r="W5066" t="n">
        <v/>
      </c>
    </row>
    <row r="5067">
      <c r="A5067" t="inlineStr">
        <is>
          <t>29/12/2025 7:03:49</t>
        </is>
      </c>
      <c r="B5067" t="inlineStr">
        <is>
          <t>Hồ Xuân Việt</t>
        </is>
      </c>
      <c r="C5067" t="inlineStr">
        <is>
          <t>28/12/2025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8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/>
      </c>
      <c r="T5067" t="inlineStr">
        <is>
          <t>28</t>
        </is>
      </c>
      <c r="U5067" t="inlineStr">
        <is>
          <t>12</t>
        </is>
      </c>
      <c r="V5067" t="n">
        <v/>
      </c>
      <c r="W5067" t="n">
        <v/>
      </c>
    </row>
    <row r="5068">
      <c r="A5068" t="inlineStr">
        <is>
          <t>29/12/2025 7:20:10</t>
        </is>
      </c>
      <c r="B5068" t="inlineStr">
        <is>
          <t>Trần Xuân Khoa</t>
        </is>
      </c>
      <c r="C5068" t="inlineStr">
        <is>
          <t>28/12/2025</t>
        </is>
      </c>
      <c r="D5068" t="n">
        <v>1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15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3</v>
      </c>
      <c r="R5068" t="n">
        <v>0</v>
      </c>
      <c r="S5068" t="n">
        <v/>
      </c>
      <c r="T5068" t="inlineStr">
        <is>
          <t>28</t>
        </is>
      </c>
      <c r="U5068" t="inlineStr">
        <is>
          <t>12</t>
        </is>
      </c>
      <c r="V5068" t="n">
        <v/>
      </c>
      <c r="W5068" t="n">
        <v/>
      </c>
    </row>
    <row r="5069">
      <c r="A5069" t="inlineStr">
        <is>
          <t>29/12/2025 7:28:38</t>
        </is>
      </c>
      <c r="B5069" t="inlineStr">
        <is>
          <t>Nguyễn Tuấn Anh</t>
        </is>
      </c>
      <c r="C5069" t="inlineStr">
        <is>
          <t>28/12/2025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2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5</v>
      </c>
      <c r="R5069" t="n">
        <v>0</v>
      </c>
      <c r="S5069" t="n">
        <v/>
      </c>
      <c r="T5069" t="inlineStr">
        <is>
          <t>28</t>
        </is>
      </c>
      <c r="U5069" t="inlineStr">
        <is>
          <t>12</t>
        </is>
      </c>
      <c r="V5069" t="n">
        <v/>
      </c>
      <c r="W5069" t="n">
        <v/>
      </c>
    </row>
    <row r="5070">
      <c r="A5070" t="inlineStr">
        <is>
          <t>29/12/2025 7:37:22</t>
        </is>
      </c>
      <c r="B5070" t="inlineStr">
        <is>
          <t>Nguyễn Văn Nhật</t>
        </is>
      </c>
      <c r="C5070" t="inlineStr">
        <is>
          <t>28/12/2025</t>
        </is>
      </c>
      <c r="D5070" t="n">
        <v>1</v>
      </c>
      <c r="E5070" t="n">
        <v>1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19</v>
      </c>
      <c r="L5070" t="n">
        <v>0</v>
      </c>
      <c r="M5070" t="n">
        <v>2</v>
      </c>
      <c r="N5070" t="n">
        <v>0</v>
      </c>
      <c r="O5070" t="n">
        <v>0</v>
      </c>
      <c r="P5070" t="n">
        <v>1</v>
      </c>
      <c r="Q5070" t="n">
        <v>2</v>
      </c>
      <c r="R5070" t="n">
        <v>0</v>
      </c>
      <c r="S5070" t="n">
        <v/>
      </c>
      <c r="T5070" t="inlineStr">
        <is>
          <t>28</t>
        </is>
      </c>
      <c r="U5070" t="inlineStr">
        <is>
          <t>12</t>
        </is>
      </c>
      <c r="V5070" t="n">
        <v/>
      </c>
      <c r="W5070" t="n">
        <v/>
      </c>
    </row>
    <row r="5071">
      <c r="A5071" t="inlineStr">
        <is>
          <t>29/12/2025 7:51:30</t>
        </is>
      </c>
      <c r="B5071" t="inlineStr">
        <is>
          <t>Nguyễn Hồng Minh</t>
        </is>
      </c>
      <c r="C5071" t="inlineStr">
        <is>
          <t>28/12/2025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</v>
      </c>
      <c r="J5071" t="n">
        <v>1</v>
      </c>
      <c r="K5071" t="n">
        <v>9</v>
      </c>
      <c r="L5071" t="n">
        <v>0</v>
      </c>
      <c r="M5071" t="n">
        <v>0</v>
      </c>
      <c r="N5071" t="n">
        <v>4</v>
      </c>
      <c r="O5071" t="n">
        <v>1</v>
      </c>
      <c r="P5071" t="n">
        <v>0</v>
      </c>
      <c r="Q5071" t="n">
        <v>4</v>
      </c>
      <c r="R5071" t="n">
        <v>0</v>
      </c>
      <c r="S5071" t="n">
        <v/>
      </c>
      <c r="T5071" t="inlineStr">
        <is>
          <t>28</t>
        </is>
      </c>
      <c r="U5071" t="inlineStr">
        <is>
          <t>12</t>
        </is>
      </c>
      <c r="V5071" t="n">
        <v/>
      </c>
      <c r="W5071" t="n">
        <v/>
      </c>
    </row>
    <row r="5072">
      <c r="A5072" t="inlineStr">
        <is>
          <t>29/12/2025 9:02:33</t>
        </is>
      </c>
      <c r="B5072" t="inlineStr">
        <is>
          <t>Hồ Thái Minh Trí</t>
        </is>
      </c>
      <c r="C5072" t="inlineStr">
        <is>
          <t>28/12/2025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2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2</v>
      </c>
      <c r="R5072" t="n">
        <v>0</v>
      </c>
      <c r="S5072" t="n">
        <v/>
      </c>
      <c r="T5072" t="inlineStr">
        <is>
          <t>28</t>
        </is>
      </c>
      <c r="U5072" t="inlineStr">
        <is>
          <t>12</t>
        </is>
      </c>
      <c r="V5072" t="n">
        <v/>
      </c>
      <c r="W5072" t="n">
        <v/>
      </c>
    </row>
    <row r="5073">
      <c r="A5073" t="inlineStr">
        <is>
          <t>29/12/2025 9:16:41</t>
        </is>
      </c>
      <c r="B5073" t="inlineStr">
        <is>
          <t>Bùi Duy Cường</t>
        </is>
      </c>
      <c r="C5073" t="inlineStr">
        <is>
          <t>28/12/2025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7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/>
      </c>
      <c r="T5073" t="inlineStr">
        <is>
          <t>28</t>
        </is>
      </c>
      <c r="U5073" t="inlineStr">
        <is>
          <t>12</t>
        </is>
      </c>
      <c r="V5073" t="n">
        <v/>
      </c>
      <c r="W5073" t="n">
        <v/>
      </c>
    </row>
    <row r="5074">
      <c r="A5074" t="inlineStr">
        <is>
          <t>29/12/2025 11:06:09</t>
        </is>
      </c>
      <c r="B5074" t="inlineStr">
        <is>
          <t>Lê Văn Hồng</t>
        </is>
      </c>
      <c r="C5074" t="inlineStr">
        <is>
          <t>28/12/2025</t>
        </is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  <c r="I5074" t="n">
        <v>5</v>
      </c>
      <c r="J5074" t="n">
        <v>0</v>
      </c>
      <c r="K5074" t="n">
        <v>0</v>
      </c>
      <c r="L5074" t="n">
        <v>1</v>
      </c>
      <c r="M5074" t="n">
        <v>2</v>
      </c>
      <c r="N5074" t="n">
        <v>4</v>
      </c>
      <c r="O5074" t="n">
        <v>0</v>
      </c>
      <c r="P5074" t="n">
        <v>2</v>
      </c>
      <c r="Q5074" t="n">
        <v>5</v>
      </c>
      <c r="R5074" t="n">
        <v>0</v>
      </c>
      <c r="S5074" t="n">
        <v/>
      </c>
      <c r="T5074" t="inlineStr">
        <is>
          <t>28</t>
        </is>
      </c>
      <c r="U5074" t="inlineStr">
        <is>
          <t>12</t>
        </is>
      </c>
      <c r="V5074" t="n">
        <v/>
      </c>
      <c r="W5074" t="n">
        <v/>
      </c>
    </row>
    <row r="5075">
      <c r="A5075" t="inlineStr">
        <is>
          <t>30/12/2025 6:35:20</t>
        </is>
      </c>
      <c r="B5075" t="inlineStr">
        <is>
          <t>Phan Thành Thái</t>
        </is>
      </c>
      <c r="C5075" t="inlineStr">
        <is>
          <t>29/12/2025</t>
        </is>
      </c>
      <c r="D5075" t="n">
        <v>0</v>
      </c>
      <c r="E5075" t="n">
        <v>2</v>
      </c>
      <c r="F5075" t="n">
        <v>0</v>
      </c>
      <c r="G5075" t="n">
        <v>1</v>
      </c>
      <c r="H5075" t="n">
        <v>1</v>
      </c>
      <c r="I5075" t="n">
        <v>0</v>
      </c>
      <c r="J5075" t="n">
        <v>0</v>
      </c>
      <c r="K5075" t="n">
        <v>4</v>
      </c>
      <c r="L5075" t="n">
        <v>0</v>
      </c>
      <c r="M5075" t="n">
        <v>0</v>
      </c>
      <c r="N5075" t="n">
        <v>2</v>
      </c>
      <c r="O5075" t="n">
        <v>0</v>
      </c>
      <c r="P5075" t="n">
        <v>1</v>
      </c>
      <c r="Q5075" t="n">
        <v>5</v>
      </c>
      <c r="R5075" t="n">
        <v>0</v>
      </c>
      <c r="S5075" t="n">
        <v/>
      </c>
      <c r="T5075" t="inlineStr">
        <is>
          <t>29</t>
        </is>
      </c>
      <c r="U5075" t="inlineStr">
        <is>
          <t>12</t>
        </is>
      </c>
      <c r="V5075" t="n">
        <v/>
      </c>
      <c r="W5075" t="n">
        <v/>
      </c>
    </row>
    <row r="5076">
      <c r="A5076" t="inlineStr">
        <is>
          <t>30/12/2025 6:37:18</t>
        </is>
      </c>
      <c r="B5076" t="inlineStr">
        <is>
          <t>Dương Minh Tiến</t>
        </is>
      </c>
      <c r="C5076" t="inlineStr">
        <is>
          <t>29/12/2025</t>
        </is>
      </c>
      <c r="D5076" t="n">
        <v>0</v>
      </c>
      <c r="E5076" t="n">
        <v>3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2</v>
      </c>
      <c r="L5076" t="n">
        <v>2</v>
      </c>
      <c r="M5076" t="n">
        <v>3</v>
      </c>
      <c r="N5076" t="n">
        <v>0</v>
      </c>
      <c r="O5076" t="n">
        <v>0</v>
      </c>
      <c r="P5076" t="n">
        <v>2</v>
      </c>
      <c r="Q5076" t="n">
        <v>0</v>
      </c>
      <c r="R5076" t="n">
        <v>0</v>
      </c>
      <c r="S5076" t="n">
        <v/>
      </c>
      <c r="T5076" t="inlineStr">
        <is>
          <t>29</t>
        </is>
      </c>
      <c r="U5076" t="inlineStr">
        <is>
          <t>12</t>
        </is>
      </c>
      <c r="V5076" t="n">
        <v/>
      </c>
      <c r="W5076" t="n">
        <v/>
      </c>
    </row>
    <row r="5077">
      <c r="A5077" t="inlineStr">
        <is>
          <t>30/12/2025 6:39:24</t>
        </is>
      </c>
      <c r="B5077" t="inlineStr">
        <is>
          <t>Phan Ngọc Sang</t>
        </is>
      </c>
      <c r="C5077" t="inlineStr">
        <is>
          <t>29/12/2025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1</v>
      </c>
      <c r="K5077" t="n">
        <v>5</v>
      </c>
      <c r="L5077" t="n">
        <v>0</v>
      </c>
      <c r="M5077" t="n">
        <v>0</v>
      </c>
      <c r="N5077" t="n">
        <v>0</v>
      </c>
      <c r="O5077" t="n">
        <v>0</v>
      </c>
      <c r="P5077" t="n">
        <v>1</v>
      </c>
      <c r="Q5077" t="n">
        <v>9</v>
      </c>
      <c r="R5077" t="n">
        <v>0</v>
      </c>
      <c r="S5077" t="n">
        <v/>
      </c>
      <c r="T5077" t="inlineStr">
        <is>
          <t>29</t>
        </is>
      </c>
      <c r="U5077" t="inlineStr">
        <is>
          <t>12</t>
        </is>
      </c>
      <c r="V5077" t="n">
        <v/>
      </c>
      <c r="W5077" t="n">
        <v/>
      </c>
    </row>
    <row r="5078">
      <c r="A5078" t="inlineStr">
        <is>
          <t>30/12/2025 6:40:28</t>
        </is>
      </c>
      <c r="B5078" t="inlineStr">
        <is>
          <t>Nguyễn Văn Hiệp</t>
        </is>
      </c>
      <c r="C5078" t="inlineStr">
        <is>
          <t>29/12/2025</t>
        </is>
      </c>
      <c r="D5078" t="n">
        <v>0</v>
      </c>
      <c r="E5078" t="n">
        <v>0</v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2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/>
      </c>
      <c r="T5078" t="inlineStr">
        <is>
          <t>29</t>
        </is>
      </c>
      <c r="U5078" t="inlineStr">
        <is>
          <t>12</t>
        </is>
      </c>
      <c r="V5078" t="n">
        <v/>
      </c>
      <c r="W5078" t="n">
        <v/>
      </c>
    </row>
    <row r="5079">
      <c r="A5079" t="inlineStr">
        <is>
          <t>30/12/2025 6:41:28</t>
        </is>
      </c>
      <c r="B5079" t="inlineStr">
        <is>
          <t>Lê Quốc Duy</t>
        </is>
      </c>
      <c r="C5079" t="inlineStr">
        <is>
          <t>29/12/2025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1</v>
      </c>
      <c r="L5079" t="n">
        <v>0</v>
      </c>
      <c r="M5079" t="n">
        <v>0</v>
      </c>
      <c r="N5079" t="n">
        <v>0</v>
      </c>
      <c r="O5079" t="n">
        <v>0</v>
      </c>
      <c r="P5079" t="n">
        <v>1</v>
      </c>
      <c r="Q5079" t="n">
        <v>1</v>
      </c>
      <c r="R5079" t="n">
        <v>0</v>
      </c>
      <c r="S5079" t="n">
        <v/>
      </c>
      <c r="T5079" t="inlineStr">
        <is>
          <t>29</t>
        </is>
      </c>
      <c r="U5079" t="inlineStr">
        <is>
          <t>12</t>
        </is>
      </c>
      <c r="V5079" t="n">
        <v/>
      </c>
      <c r="W5079" t="n">
        <v/>
      </c>
    </row>
    <row r="5080">
      <c r="A5080" t="inlineStr">
        <is>
          <t>30/12/2025 6:42:03</t>
        </is>
      </c>
      <c r="B5080" t="inlineStr">
        <is>
          <t>Lê Hồng Phong</t>
        </is>
      </c>
      <c r="C5080" t="inlineStr">
        <is>
          <t>30/12/2025</t>
        </is>
      </c>
      <c r="D5080" t="n">
        <v>1</v>
      </c>
      <c r="E5080" t="n">
        <v>1</v>
      </c>
      <c r="F5080" t="n">
        <v>1</v>
      </c>
      <c r="G5080" t="n">
        <v>0</v>
      </c>
      <c r="H5080" t="n">
        <v>1</v>
      </c>
      <c r="I5080" t="n">
        <v>1</v>
      </c>
      <c r="J5080" t="n">
        <v>1</v>
      </c>
      <c r="K5080" t="n">
        <v>1</v>
      </c>
      <c r="L5080" t="n">
        <v>1</v>
      </c>
      <c r="M5080" t="n">
        <v>1</v>
      </c>
      <c r="N5080" t="n">
        <v>1</v>
      </c>
      <c r="O5080" t="n">
        <v>1</v>
      </c>
      <c r="P5080" t="n">
        <v>1</v>
      </c>
      <c r="Q5080" t="n">
        <v>1</v>
      </c>
      <c r="R5080" t="n">
        <v>1</v>
      </c>
      <c r="S5080" t="n">
        <v/>
      </c>
      <c r="T5080" t="inlineStr">
        <is>
          <t>30</t>
        </is>
      </c>
      <c r="U5080" t="inlineStr">
        <is>
          <t>12</t>
        </is>
      </c>
      <c r="V5080" t="n">
        <v/>
      </c>
      <c r="W5080" t="n">
        <v/>
      </c>
    </row>
    <row r="5081">
      <c r="A5081" t="inlineStr">
        <is>
          <t>30/12/2025 6:43:22</t>
        </is>
      </c>
      <c r="B5081" t="inlineStr">
        <is>
          <t>Hồ Thái Minh Trí</t>
        </is>
      </c>
      <c r="C5081" t="inlineStr">
        <is>
          <t>29/12/2025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13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/>
      </c>
      <c r="T5081" t="inlineStr">
        <is>
          <t>29</t>
        </is>
      </c>
      <c r="U5081" t="inlineStr">
        <is>
          <t>12</t>
        </is>
      </c>
      <c r="V5081" t="n">
        <v/>
      </c>
      <c r="W5081" t="n">
        <v/>
      </c>
    </row>
    <row r="5082">
      <c r="A5082" t="inlineStr">
        <is>
          <t>30/12/2025 6:45:16</t>
        </is>
      </c>
      <c r="B5082" t="inlineStr">
        <is>
          <t>Huỳnh Văn Lực</t>
        </is>
      </c>
      <c r="C5082" t="inlineStr">
        <is>
          <t>29/12/2025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2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1</v>
      </c>
      <c r="R5082" t="n">
        <v>0</v>
      </c>
      <c r="S5082" t="n">
        <v/>
      </c>
      <c r="T5082" t="inlineStr">
        <is>
          <t>29</t>
        </is>
      </c>
      <c r="U5082" t="inlineStr">
        <is>
          <t>12</t>
        </is>
      </c>
      <c r="V5082" t="n">
        <v/>
      </c>
      <c r="W5082" t="n">
        <v/>
      </c>
    </row>
    <row r="5083">
      <c r="A5083" t="inlineStr">
        <is>
          <t>30/12/2025 6:47:56</t>
        </is>
      </c>
      <c r="B5083" t="inlineStr">
        <is>
          <t>Lương Duy Hoàng</t>
        </is>
      </c>
      <c r="C5083" t="inlineStr">
        <is>
          <t>29/12/2025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2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2</v>
      </c>
      <c r="R5083" t="n">
        <v>0</v>
      </c>
      <c r="S5083" t="n">
        <v/>
      </c>
      <c r="T5083" t="inlineStr">
        <is>
          <t>29</t>
        </is>
      </c>
      <c r="U5083" t="inlineStr">
        <is>
          <t>12</t>
        </is>
      </c>
      <c r="V5083" t="n">
        <v/>
      </c>
      <c r="W5083" t="n">
        <v/>
      </c>
    </row>
    <row r="5084">
      <c r="A5084" t="inlineStr">
        <is>
          <t>30/12/2025 6:48:22</t>
        </is>
      </c>
      <c r="B5084" t="inlineStr">
        <is>
          <t>Nguyễn Thành Lâm</t>
        </is>
      </c>
      <c r="C5084" t="inlineStr">
        <is>
          <t>29/12/2025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</v>
      </c>
      <c r="J5084" t="n">
        <v>4</v>
      </c>
      <c r="K5084" t="n">
        <v>7</v>
      </c>
      <c r="L5084" t="n">
        <v>1</v>
      </c>
      <c r="M5084" t="n">
        <v>0</v>
      </c>
      <c r="N5084" t="n">
        <v>0</v>
      </c>
      <c r="O5084" t="n">
        <v>0</v>
      </c>
      <c r="P5084" t="n">
        <v>1</v>
      </c>
      <c r="Q5084" t="n">
        <v>2</v>
      </c>
      <c r="R5084" t="n">
        <v>0</v>
      </c>
      <c r="S5084" t="n">
        <v/>
      </c>
      <c r="T5084" t="inlineStr">
        <is>
          <t>29</t>
        </is>
      </c>
      <c r="U5084" t="inlineStr">
        <is>
          <t>12</t>
        </is>
      </c>
      <c r="V5084" t="n">
        <v/>
      </c>
      <c r="W5084" t="n">
        <v/>
      </c>
    </row>
    <row r="5085">
      <c r="A5085" t="inlineStr">
        <is>
          <t>30/12/2025 6:48:34</t>
        </is>
      </c>
      <c r="B5085" t="inlineStr">
        <is>
          <t>Trần Minh Khánh</t>
        </is>
      </c>
      <c r="C5085" t="inlineStr">
        <is>
          <t>29/12/2025</t>
        </is>
      </c>
      <c r="D5085" t="n">
        <v>0</v>
      </c>
      <c r="E5085" t="n">
        <v>0</v>
      </c>
      <c r="F5085" t="n">
        <v>1</v>
      </c>
      <c r="G5085" t="n">
        <v>0</v>
      </c>
      <c r="H5085" t="n">
        <v>0</v>
      </c>
      <c r="I5085" t="n">
        <v>2</v>
      </c>
      <c r="J5085" t="n">
        <v>0</v>
      </c>
      <c r="K5085" t="n">
        <v>10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2</v>
      </c>
      <c r="R5085" t="n">
        <v>0</v>
      </c>
      <c r="S5085" t="n">
        <v/>
      </c>
      <c r="T5085" t="inlineStr">
        <is>
          <t>29</t>
        </is>
      </c>
      <c r="U5085" t="inlineStr">
        <is>
          <t>12</t>
        </is>
      </c>
      <c r="V5085" t="n">
        <v/>
      </c>
      <c r="W5085" t="n">
        <v/>
      </c>
    </row>
    <row r="5086">
      <c r="A5086" t="inlineStr">
        <is>
          <t>30/12/2025 6:49:04</t>
        </is>
      </c>
      <c r="B5086" t="inlineStr">
        <is>
          <t>Vòng Nhật Sang</t>
        </is>
      </c>
      <c r="C5086" t="inlineStr">
        <is>
          <t>29/12/2025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1</v>
      </c>
      <c r="K5086" t="n">
        <v>1</v>
      </c>
      <c r="L5086" t="n">
        <v>0</v>
      </c>
      <c r="M5086" t="n">
        <v>0</v>
      </c>
      <c r="N5086" t="n">
        <v>0</v>
      </c>
      <c r="O5086" t="n">
        <v>0</v>
      </c>
      <c r="P5086" t="n">
        <v>1</v>
      </c>
      <c r="Q5086" t="n">
        <v>2</v>
      </c>
      <c r="R5086" t="n">
        <v>0</v>
      </c>
      <c r="S5086" t="n">
        <v/>
      </c>
      <c r="T5086" t="inlineStr">
        <is>
          <t>29</t>
        </is>
      </c>
      <c r="U5086" t="inlineStr">
        <is>
          <t>12</t>
        </is>
      </c>
      <c r="V5086" t="n">
        <v/>
      </c>
      <c r="W5086" t="n">
        <v/>
      </c>
    </row>
    <row r="5087">
      <c r="A5087" t="inlineStr">
        <is>
          <t>30/12/2025 6:50:16</t>
        </is>
      </c>
      <c r="B5087" t="inlineStr">
        <is>
          <t>Đào Công Trung</t>
        </is>
      </c>
      <c r="C5087" t="inlineStr">
        <is>
          <t>29/12/2025</t>
        </is>
      </c>
      <c r="D5087" t="n">
        <v>1</v>
      </c>
      <c r="E5087" t="n">
        <v>1</v>
      </c>
      <c r="F5087" t="n">
        <v>1</v>
      </c>
      <c r="G5087" t="n">
        <v>0</v>
      </c>
      <c r="H5087" t="n">
        <v>0</v>
      </c>
      <c r="I5087" t="n">
        <v>1</v>
      </c>
      <c r="J5087" t="n">
        <v>0</v>
      </c>
      <c r="K5087" t="n">
        <v>3</v>
      </c>
      <c r="L5087" t="n">
        <v>0</v>
      </c>
      <c r="M5087" t="n">
        <v>1</v>
      </c>
      <c r="N5087" t="n">
        <v>0</v>
      </c>
      <c r="O5087" t="n">
        <v>0</v>
      </c>
      <c r="P5087" t="n">
        <v>3</v>
      </c>
      <c r="Q5087" t="n">
        <v>4</v>
      </c>
      <c r="R5087" t="n">
        <v>0</v>
      </c>
      <c r="S5087" t="n">
        <v/>
      </c>
      <c r="T5087" t="inlineStr">
        <is>
          <t>29</t>
        </is>
      </c>
      <c r="U5087" t="inlineStr">
        <is>
          <t>12</t>
        </is>
      </c>
      <c r="V5087" t="n">
        <v/>
      </c>
      <c r="W5087" t="n">
        <v/>
      </c>
    </row>
    <row r="5088">
      <c r="A5088" t="inlineStr">
        <is>
          <t>30/12/2025 6:50:32</t>
        </is>
      </c>
      <c r="B5088" t="inlineStr">
        <is>
          <t>Nguyễn Quang Anh Tuấn</t>
        </is>
      </c>
      <c r="C5088" t="inlineStr">
        <is>
          <t>29/12/2025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4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1</v>
      </c>
      <c r="R5088" t="n">
        <v>0</v>
      </c>
      <c r="S5088" t="n">
        <v/>
      </c>
      <c r="T5088" t="inlineStr">
        <is>
          <t>29</t>
        </is>
      </c>
      <c r="U5088" t="inlineStr">
        <is>
          <t>12</t>
        </is>
      </c>
      <c r="V5088" t="n">
        <v/>
      </c>
      <c r="W5088" t="n">
        <v/>
      </c>
    </row>
    <row r="5089">
      <c r="A5089" t="inlineStr">
        <is>
          <t>30/12/2025 7:04:07</t>
        </is>
      </c>
      <c r="B5089" t="inlineStr">
        <is>
          <t>Nguyễn Tuấn Anh</t>
        </is>
      </c>
      <c r="C5089" t="inlineStr">
        <is>
          <t>29/12/2025</t>
        </is>
      </c>
      <c r="D5089" t="n">
        <v>1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2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6</v>
      </c>
      <c r="R5089" t="n">
        <v>0</v>
      </c>
      <c r="S5089" t="n">
        <v/>
      </c>
      <c r="T5089" t="inlineStr">
        <is>
          <t>29</t>
        </is>
      </c>
      <c r="U5089" t="inlineStr">
        <is>
          <t>12</t>
        </is>
      </c>
      <c r="V5089" t="n">
        <v/>
      </c>
      <c r="W5089" t="n">
        <v/>
      </c>
    </row>
    <row r="5090">
      <c r="A5090" t="inlineStr">
        <is>
          <t>30/12/2025 7:06:55</t>
        </is>
      </c>
      <c r="B5090" t="inlineStr">
        <is>
          <t>Đặng Hữu Danh</t>
        </is>
      </c>
      <c r="C5090" t="inlineStr">
        <is>
          <t>29/12/2025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3</v>
      </c>
      <c r="K5090" t="n">
        <v>8</v>
      </c>
      <c r="L5090" t="n">
        <v>0</v>
      </c>
      <c r="M5090" t="n">
        <v>1</v>
      </c>
      <c r="N5090" t="n">
        <v>1</v>
      </c>
      <c r="O5090" t="n">
        <v>0</v>
      </c>
      <c r="P5090" t="n">
        <v>1</v>
      </c>
      <c r="Q5090" t="n">
        <v>2</v>
      </c>
      <c r="R5090" t="n">
        <v>3</v>
      </c>
      <c r="S5090" t="n">
        <v/>
      </c>
      <c r="T5090" t="inlineStr">
        <is>
          <t>29</t>
        </is>
      </c>
      <c r="U5090" t="inlineStr">
        <is>
          <t>12</t>
        </is>
      </c>
      <c r="V5090" t="n">
        <v/>
      </c>
      <c r="W5090" t="n">
        <v/>
      </c>
    </row>
    <row r="5091">
      <c r="A5091" t="inlineStr">
        <is>
          <t>30/12/2025 7:08:10</t>
        </is>
      </c>
      <c r="B5091" t="inlineStr">
        <is>
          <t>Trần Trung Giang</t>
        </is>
      </c>
      <c r="C5091" t="inlineStr">
        <is>
          <t>29/12/2025</t>
        </is>
      </c>
      <c r="D5091" t="n">
        <v>0</v>
      </c>
      <c r="E5091" t="n">
        <v>0</v>
      </c>
      <c r="F5091" t="n">
        <v>0</v>
      </c>
      <c r="G5091" t="n">
        <v>2</v>
      </c>
      <c r="H5091" t="n">
        <v>1</v>
      </c>
      <c r="I5091" t="n">
        <v>0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/>
      </c>
      <c r="T5091" t="inlineStr">
        <is>
          <t>29</t>
        </is>
      </c>
      <c r="U5091" t="inlineStr">
        <is>
          <t>12</t>
        </is>
      </c>
      <c r="V5091" t="n">
        <v/>
      </c>
      <c r="W5091" t="n">
        <v/>
      </c>
    </row>
    <row r="5092">
      <c r="A5092" t="inlineStr">
        <is>
          <t>30/12/2025 7:08:32</t>
        </is>
      </c>
      <c r="B5092" t="inlineStr">
        <is>
          <t>Đặng Hoài Anh</t>
        </is>
      </c>
      <c r="C5092" t="inlineStr">
        <is>
          <t>29/12/2025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1</v>
      </c>
      <c r="Q5092" t="n">
        <v>0</v>
      </c>
      <c r="R5092" t="n">
        <v>0</v>
      </c>
      <c r="S5092" t="n">
        <v/>
      </c>
      <c r="T5092" t="inlineStr">
        <is>
          <t>29</t>
        </is>
      </c>
      <c r="U5092" t="inlineStr">
        <is>
          <t>12</t>
        </is>
      </c>
      <c r="V5092" t="n">
        <v/>
      </c>
      <c r="W5092" t="n">
        <v/>
      </c>
    </row>
    <row r="5093">
      <c r="A5093" t="inlineStr">
        <is>
          <t>30/12/2025 7:12:46</t>
        </is>
      </c>
      <c r="B5093" t="inlineStr">
        <is>
          <t>Hồ Xuân Việt</t>
        </is>
      </c>
      <c r="C5093" t="inlineStr">
        <is>
          <t>29/12/2025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1</v>
      </c>
      <c r="Q5093" t="n">
        <v>1</v>
      </c>
      <c r="R5093" t="n">
        <v>0</v>
      </c>
      <c r="S5093" t="n">
        <v/>
      </c>
      <c r="T5093" t="inlineStr">
        <is>
          <t>29</t>
        </is>
      </c>
      <c r="U5093" t="inlineStr">
        <is>
          <t>12</t>
        </is>
      </c>
      <c r="V5093" t="n">
        <v/>
      </c>
      <c r="W5093" t="n">
        <v/>
      </c>
    </row>
    <row r="5094">
      <c r="A5094" t="inlineStr">
        <is>
          <t>30/12/2025 7:27:09</t>
        </is>
      </c>
      <c r="B5094" t="inlineStr">
        <is>
          <t>Trần Xuân Khoa</t>
        </is>
      </c>
      <c r="C5094" t="inlineStr">
        <is>
          <t>29/12/2025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24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3</v>
      </c>
      <c r="R5094" t="n">
        <v>0</v>
      </c>
      <c r="S5094" t="n">
        <v/>
      </c>
      <c r="T5094" t="inlineStr">
        <is>
          <t>29</t>
        </is>
      </c>
      <c r="U5094" t="inlineStr">
        <is>
          <t>12</t>
        </is>
      </c>
      <c r="V5094" t="n">
        <v/>
      </c>
      <c r="W5094" t="n">
        <v/>
      </c>
    </row>
    <row r="5095">
      <c r="A5095" t="inlineStr">
        <is>
          <t>30/12/2025 8:09:22</t>
        </is>
      </c>
      <c r="B5095" t="inlineStr">
        <is>
          <t>Nguyễn Hồng Minh</t>
        </is>
      </c>
      <c r="C5095" t="inlineStr">
        <is>
          <t>29/12/2025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2</v>
      </c>
      <c r="J5095" t="n">
        <v>1</v>
      </c>
      <c r="K5095" t="n">
        <v>5</v>
      </c>
      <c r="L5095" t="n">
        <v>0</v>
      </c>
      <c r="M5095" t="n">
        <v>0</v>
      </c>
      <c r="N5095" t="n">
        <v>1</v>
      </c>
      <c r="O5095" t="n">
        <v>0</v>
      </c>
      <c r="P5095" t="n">
        <v>0</v>
      </c>
      <c r="Q5095" t="n">
        <v>5</v>
      </c>
      <c r="R5095" t="n">
        <v>0</v>
      </c>
      <c r="S5095" t="n">
        <v/>
      </c>
      <c r="T5095" t="inlineStr">
        <is>
          <t>29</t>
        </is>
      </c>
      <c r="U5095" t="inlineStr">
        <is>
          <t>12</t>
        </is>
      </c>
      <c r="V5095" t="n">
        <v/>
      </c>
      <c r="W5095" t="n">
        <v/>
      </c>
    </row>
    <row r="5096">
      <c r="A5096" t="inlineStr">
        <is>
          <t>30/12/2025 8:20:10</t>
        </is>
      </c>
      <c r="B5096" t="inlineStr">
        <is>
          <t>Bùi Duy Cường</t>
        </is>
      </c>
      <c r="C5096" t="inlineStr">
        <is>
          <t>29/12/2025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2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4</v>
      </c>
      <c r="R5096" t="n">
        <v>0</v>
      </c>
      <c r="S5096" t="n">
        <v/>
      </c>
      <c r="T5096" t="inlineStr">
        <is>
          <t>29</t>
        </is>
      </c>
      <c r="U5096" t="inlineStr">
        <is>
          <t>12</t>
        </is>
      </c>
      <c r="V5096" t="n">
        <v/>
      </c>
      <c r="W5096" t="n">
        <v/>
      </c>
    </row>
    <row r="5097">
      <c r="A5097" t="inlineStr">
        <is>
          <t>30/12/2025 9:31:27</t>
        </is>
      </c>
      <c r="B5097" t="inlineStr">
        <is>
          <t>Lê Văn Hồng</t>
        </is>
      </c>
      <c r="C5097" t="inlineStr">
        <is>
          <t>29/12/2025</t>
        </is>
      </c>
      <c r="D5097" t="n">
        <v>0</v>
      </c>
      <c r="E5097" t="n">
        <v>0</v>
      </c>
      <c r="F5097" t="n">
        <v>0</v>
      </c>
      <c r="G5097" t="n">
        <v>2</v>
      </c>
      <c r="H5097" t="n">
        <v>3</v>
      </c>
      <c r="I5097" t="n">
        <v>5</v>
      </c>
      <c r="J5097" t="n">
        <v>0</v>
      </c>
      <c r="K5097" t="n">
        <v>1</v>
      </c>
      <c r="L5097" t="n">
        <v>1</v>
      </c>
      <c r="M5097" t="n">
        <v>2</v>
      </c>
      <c r="N5097" t="n">
        <v>4</v>
      </c>
      <c r="O5097" t="n">
        <v>0</v>
      </c>
      <c r="P5097" t="n">
        <v>2</v>
      </c>
      <c r="Q5097" t="n">
        <v>4</v>
      </c>
      <c r="R5097" t="n">
        <v>0</v>
      </c>
      <c r="S5097" t="n">
        <v/>
      </c>
      <c r="T5097" t="inlineStr">
        <is>
          <t>29</t>
        </is>
      </c>
      <c r="U5097" t="inlineStr">
        <is>
          <t>12</t>
        </is>
      </c>
      <c r="V5097" t="n">
        <v/>
      </c>
      <c r="W5097" t="n">
        <v/>
      </c>
    </row>
    <row r="5098">
      <c r="A5098" t="inlineStr">
        <is>
          <t>31/12/2025 6:40:56</t>
        </is>
      </c>
      <c r="B5098" t="inlineStr">
        <is>
          <t>Phan Thành Thái</t>
        </is>
      </c>
      <c r="C5098" t="inlineStr">
        <is>
          <t>30/12/2025</t>
        </is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  <c r="I5098" t="n">
        <v>0</v>
      </c>
      <c r="J5098" t="n">
        <v>1</v>
      </c>
      <c r="K5098" t="n">
        <v>4</v>
      </c>
      <c r="L5098" t="n">
        <v>0</v>
      </c>
      <c r="M5098" t="n">
        <v>0</v>
      </c>
      <c r="N5098" t="n">
        <v>3</v>
      </c>
      <c r="O5098" t="n">
        <v>0</v>
      </c>
      <c r="P5098" t="n">
        <v>1</v>
      </c>
      <c r="Q5098" t="n">
        <v>3</v>
      </c>
      <c r="R5098" t="n">
        <v>0</v>
      </c>
      <c r="S5098" t="n">
        <v/>
      </c>
      <c r="T5098" t="inlineStr">
        <is>
          <t>30</t>
        </is>
      </c>
      <c r="U5098" t="inlineStr">
        <is>
          <t>12</t>
        </is>
      </c>
      <c r="V5098" t="n">
        <v/>
      </c>
      <c r="W5098" t="n">
        <v/>
      </c>
    </row>
    <row r="5099">
      <c r="A5099" t="inlineStr">
        <is>
          <t>31/12/2025 6:47:39</t>
        </is>
      </c>
      <c r="B5099" t="inlineStr">
        <is>
          <t>Nguyễn Văn Hiệp</t>
        </is>
      </c>
      <c r="C5099" t="inlineStr">
        <is>
          <t>30/12/2025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2</v>
      </c>
      <c r="J5099" t="n">
        <v>0</v>
      </c>
      <c r="K5099" t="n">
        <v>0</v>
      </c>
      <c r="L5099" t="n">
        <v>0</v>
      </c>
      <c r="M5099" t="n">
        <v>2</v>
      </c>
      <c r="N5099" t="n">
        <v>1</v>
      </c>
      <c r="O5099" t="n">
        <v>0</v>
      </c>
      <c r="P5099" t="n">
        <v>0</v>
      </c>
      <c r="Q5099" t="n">
        <v>0</v>
      </c>
      <c r="R5099" t="n">
        <v>0</v>
      </c>
      <c r="S5099" t="n">
        <v/>
      </c>
      <c r="T5099" t="inlineStr">
        <is>
          <t>30</t>
        </is>
      </c>
      <c r="U5099" t="inlineStr">
        <is>
          <t>12</t>
        </is>
      </c>
      <c r="V5099" t="n">
        <v/>
      </c>
      <c r="W5099" t="n">
        <v/>
      </c>
    </row>
    <row r="5100">
      <c r="A5100" t="inlineStr">
        <is>
          <t>31/12/2025 6:48:32</t>
        </is>
      </c>
      <c r="B5100" t="inlineStr">
        <is>
          <t>Dương Minh Tiến</t>
        </is>
      </c>
      <c r="C5100" t="inlineStr">
        <is>
          <t>29/12/2025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3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/>
      </c>
      <c r="T5100" t="inlineStr">
        <is>
          <t>29</t>
        </is>
      </c>
      <c r="U5100" t="inlineStr">
        <is>
          <t>12</t>
        </is>
      </c>
      <c r="V5100" t="n">
        <v/>
      </c>
      <c r="W5100" t="n">
        <v/>
      </c>
    </row>
    <row r="5101">
      <c r="A5101" t="inlineStr">
        <is>
          <t>31/12/2025 6:51:26</t>
        </is>
      </c>
      <c r="B5101" t="inlineStr">
        <is>
          <t>Trần Xuân Khoa</t>
        </is>
      </c>
      <c r="C5101" t="inlineStr">
        <is>
          <t>30/12/2025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10</v>
      </c>
      <c r="L5101" t="n">
        <v>0</v>
      </c>
      <c r="M5101" t="n">
        <v>0</v>
      </c>
      <c r="N5101" t="n">
        <v>0</v>
      </c>
      <c r="O5101" t="n">
        <v>0</v>
      </c>
      <c r="P5101" t="n">
        <v>2</v>
      </c>
      <c r="Q5101" t="n">
        <v>3</v>
      </c>
      <c r="R5101" t="n">
        <v>0</v>
      </c>
      <c r="S5101" t="n">
        <v/>
      </c>
      <c r="T5101" t="inlineStr">
        <is>
          <t>30</t>
        </is>
      </c>
      <c r="U5101" t="inlineStr">
        <is>
          <t>12</t>
        </is>
      </c>
      <c r="V5101" t="n">
        <v/>
      </c>
      <c r="W5101" t="n">
        <v/>
      </c>
    </row>
    <row r="5102">
      <c r="A5102" t="inlineStr">
        <is>
          <t>31/12/2025 6:52:09</t>
        </is>
      </c>
      <c r="B5102" t="inlineStr">
        <is>
          <t>Lê Hồng Phong</t>
        </is>
      </c>
      <c r="C5102" t="inlineStr">
        <is>
          <t>31/12/2025</t>
        </is>
      </c>
      <c r="D5102" t="n">
        <v>1</v>
      </c>
      <c r="E5102" t="n">
        <v>1</v>
      </c>
      <c r="F5102" t="n">
        <v>1</v>
      </c>
      <c r="G5102" t="n">
        <v>0</v>
      </c>
      <c r="H5102" t="n">
        <v>0</v>
      </c>
      <c r="I5102" t="n">
        <v>1</v>
      </c>
      <c r="J5102" t="n">
        <v>1</v>
      </c>
      <c r="K5102" t="n">
        <v>1</v>
      </c>
      <c r="L5102" t="n">
        <v>1</v>
      </c>
      <c r="M5102" t="n">
        <v>1</v>
      </c>
      <c r="N5102" t="n">
        <v>1</v>
      </c>
      <c r="O5102" t="n">
        <v>1</v>
      </c>
      <c r="P5102" t="n">
        <v>1</v>
      </c>
      <c r="Q5102" t="n">
        <v>1</v>
      </c>
      <c r="R5102" t="n">
        <v>1</v>
      </c>
      <c r="S5102" t="n">
        <v/>
      </c>
      <c r="T5102" t="inlineStr">
        <is>
          <t>31</t>
        </is>
      </c>
      <c r="U5102" t="inlineStr">
        <is>
          <t>12</t>
        </is>
      </c>
      <c r="V5102" t="n">
        <v/>
      </c>
      <c r="W5102" t="n">
        <v/>
      </c>
    </row>
    <row r="5103">
      <c r="A5103" t="inlineStr">
        <is>
          <t>31/12/2025 6:54:48</t>
        </is>
      </c>
      <c r="B5103" t="inlineStr">
        <is>
          <t>Huỳnh Văn Lực</t>
        </is>
      </c>
      <c r="C5103" t="inlineStr">
        <is>
          <t>30/12/2025</t>
        </is>
      </c>
      <c r="D5103" t="n">
        <v>0</v>
      </c>
      <c r="E5103" t="n">
        <v>0</v>
      </c>
      <c r="F5103" t="n">
        <v>1</v>
      </c>
      <c r="G5103" t="n">
        <v>0</v>
      </c>
      <c r="H5103" t="n">
        <v>0</v>
      </c>
      <c r="I5103" t="n">
        <v>1</v>
      </c>
      <c r="J5103" t="n">
        <v>0</v>
      </c>
      <c r="K5103" t="n">
        <v>1</v>
      </c>
      <c r="L5103" t="n">
        <v>0</v>
      </c>
      <c r="M5103" t="n">
        <v>1</v>
      </c>
      <c r="N5103" t="n">
        <v>0</v>
      </c>
      <c r="O5103" t="n">
        <v>0</v>
      </c>
      <c r="P5103" t="n">
        <v>1</v>
      </c>
      <c r="Q5103" t="n">
        <v>1</v>
      </c>
      <c r="R5103" t="n">
        <v>0</v>
      </c>
      <c r="S5103" t="n">
        <v/>
      </c>
      <c r="T5103" t="inlineStr">
        <is>
          <t>30</t>
        </is>
      </c>
      <c r="U5103" t="inlineStr">
        <is>
          <t>12</t>
        </is>
      </c>
      <c r="V5103" t="n">
        <v/>
      </c>
      <c r="W5103" t="n">
        <v/>
      </c>
    </row>
    <row r="5104">
      <c r="A5104" t="inlineStr">
        <is>
          <t>31/12/2025 6:55:08</t>
        </is>
      </c>
      <c r="B5104" t="inlineStr">
        <is>
          <t>Lương Duy Hoàng</t>
        </is>
      </c>
      <c r="C5104" t="inlineStr">
        <is>
          <t>30/12/2025</t>
        </is>
      </c>
      <c r="D5104" t="n">
        <v>0</v>
      </c>
      <c r="E5104" t="n">
        <v>0</v>
      </c>
      <c r="F5104" t="n">
        <v>0</v>
      </c>
      <c r="G5104" t="n">
        <v>1</v>
      </c>
      <c r="H5104" t="n">
        <v>0</v>
      </c>
      <c r="I5104" t="n">
        <v>1</v>
      </c>
      <c r="J5104" t="n">
        <v>0</v>
      </c>
      <c r="K5104" t="n">
        <v>1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/>
      </c>
      <c r="T5104" t="inlineStr">
        <is>
          <t>30</t>
        </is>
      </c>
      <c r="U5104" t="inlineStr">
        <is>
          <t>12</t>
        </is>
      </c>
      <c r="V5104" t="n">
        <v/>
      </c>
      <c r="W5104" t="n">
        <v/>
      </c>
    </row>
    <row r="5105">
      <c r="A5105" t="inlineStr">
        <is>
          <t>31/12/2025 6:55:37</t>
        </is>
      </c>
      <c r="B5105" t="inlineStr">
        <is>
          <t>Vòng Nhật Sang</t>
        </is>
      </c>
      <c r="C5105" t="inlineStr">
        <is>
          <t>30/12/2025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1</v>
      </c>
      <c r="L5105" t="n">
        <v>2</v>
      </c>
      <c r="M5105" t="n">
        <v>0</v>
      </c>
      <c r="N5105" t="n">
        <v>0</v>
      </c>
      <c r="O5105" t="n">
        <v>0</v>
      </c>
      <c r="P5105" t="n">
        <v>1</v>
      </c>
      <c r="Q5105" t="n">
        <v>2</v>
      </c>
      <c r="R5105" t="n">
        <v>0</v>
      </c>
      <c r="S5105" t="n">
        <v/>
      </c>
      <c r="T5105" t="inlineStr">
        <is>
          <t>30</t>
        </is>
      </c>
      <c r="U5105" t="inlineStr">
        <is>
          <t>12</t>
        </is>
      </c>
      <c r="V5105" t="n">
        <v/>
      </c>
      <c r="W5105" t="n">
        <v/>
      </c>
    </row>
    <row r="5106">
      <c r="A5106" t="inlineStr">
        <is>
          <t>31/12/2025 6:56:20</t>
        </is>
      </c>
      <c r="B5106" t="inlineStr">
        <is>
          <t>Hồ Xuân Việt</t>
        </is>
      </c>
      <c r="C5106" t="inlineStr">
        <is>
          <t>30/12/2025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10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2</v>
      </c>
      <c r="R5106" t="n">
        <v>0</v>
      </c>
      <c r="S5106" t="n">
        <v/>
      </c>
      <c r="T5106" t="inlineStr">
        <is>
          <t>30</t>
        </is>
      </c>
      <c r="U5106" t="inlineStr">
        <is>
          <t>12</t>
        </is>
      </c>
      <c r="V5106" t="n">
        <v/>
      </c>
      <c r="W5106" t="n">
        <v/>
      </c>
    </row>
    <row r="5107">
      <c r="A5107" t="inlineStr">
        <is>
          <t>31/12/2025 6:58:32</t>
        </is>
      </c>
      <c r="B5107" t="inlineStr">
        <is>
          <t>Nguyễn Thành Lâm</t>
        </is>
      </c>
      <c r="C5107" t="inlineStr">
        <is>
          <t>30/12/2025</t>
        </is>
      </c>
      <c r="D5107" t="n">
        <v>0</v>
      </c>
      <c r="E5107" t="n">
        <v>0</v>
      </c>
      <c r="F5107" t="n">
        <v>1</v>
      </c>
      <c r="G5107" t="n">
        <v>0</v>
      </c>
      <c r="H5107" t="n">
        <v>0</v>
      </c>
      <c r="I5107" t="n">
        <v>0</v>
      </c>
      <c r="J5107" t="n">
        <v>0</v>
      </c>
      <c r="K5107" t="n">
        <v>4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4</v>
      </c>
      <c r="R5107" t="n">
        <v>0</v>
      </c>
      <c r="S5107" t="n">
        <v/>
      </c>
      <c r="T5107" t="inlineStr">
        <is>
          <t>30</t>
        </is>
      </c>
      <c r="U5107" t="inlineStr">
        <is>
          <t>12</t>
        </is>
      </c>
      <c r="V5107" t="n">
        <v/>
      </c>
      <c r="W5107" t="n">
        <v/>
      </c>
    </row>
    <row r="5108">
      <c r="A5108" t="inlineStr">
        <is>
          <t>31/12/2025 6:59:26</t>
        </is>
      </c>
      <c r="B5108" t="inlineStr">
        <is>
          <t>Đặng Hữu Danh</t>
        </is>
      </c>
      <c r="C5108" t="inlineStr">
        <is>
          <t>30/12/2025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2</v>
      </c>
      <c r="K5108" t="n">
        <v>2</v>
      </c>
      <c r="L5108" t="n">
        <v>0</v>
      </c>
      <c r="M5108" t="n">
        <v>1</v>
      </c>
      <c r="N5108" t="n">
        <v>2</v>
      </c>
      <c r="O5108" t="n">
        <v>0</v>
      </c>
      <c r="P5108" t="n">
        <v>2</v>
      </c>
      <c r="Q5108" t="n">
        <v>2</v>
      </c>
      <c r="R5108" t="n">
        <v>0</v>
      </c>
      <c r="S5108" t="n">
        <v/>
      </c>
      <c r="T5108" t="inlineStr">
        <is>
          <t>30</t>
        </is>
      </c>
      <c r="U5108" t="inlineStr">
        <is>
          <t>12</t>
        </is>
      </c>
      <c r="V5108" t="n">
        <v/>
      </c>
      <c r="W5108" t="n">
        <v/>
      </c>
    </row>
    <row r="5109">
      <c r="A5109" t="inlineStr">
        <is>
          <t>31/12/2025 7:03:32</t>
        </is>
      </c>
      <c r="B5109" t="inlineStr">
        <is>
          <t>Trần Trung Giang</t>
        </is>
      </c>
      <c r="C5109" t="inlineStr">
        <is>
          <t>30/12/2025</t>
        </is>
      </c>
      <c r="D5109" t="n">
        <v>0</v>
      </c>
      <c r="E5109" t="n">
        <v>0</v>
      </c>
      <c r="F5109" t="n">
        <v>0</v>
      </c>
      <c r="G5109" t="n">
        <v>5</v>
      </c>
      <c r="H5109" t="n">
        <v>1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/>
      </c>
      <c r="T5109" t="inlineStr">
        <is>
          <t>30</t>
        </is>
      </c>
      <c r="U5109" t="inlineStr">
        <is>
          <t>12</t>
        </is>
      </c>
      <c r="V5109" t="n">
        <v/>
      </c>
      <c r="W5109" t="n">
        <v/>
      </c>
    </row>
    <row r="5110">
      <c r="A5110" t="inlineStr">
        <is>
          <t>31/12/2025 7:07:19</t>
        </is>
      </c>
      <c r="B5110" t="inlineStr">
        <is>
          <t>Đào Công Trung</t>
        </is>
      </c>
      <c r="C5110" t="inlineStr">
        <is>
          <t>30/12/2025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2</v>
      </c>
      <c r="L5110" t="n">
        <v>0</v>
      </c>
      <c r="M5110" t="n">
        <v>0</v>
      </c>
      <c r="N5110" t="n">
        <v>1</v>
      </c>
      <c r="O5110" t="n">
        <v>0</v>
      </c>
      <c r="P5110" t="n">
        <v>1</v>
      </c>
      <c r="Q5110" t="n">
        <v>1</v>
      </c>
      <c r="R5110" t="n">
        <v>0</v>
      </c>
      <c r="S5110" t="n">
        <v/>
      </c>
      <c r="T5110" t="inlineStr">
        <is>
          <t>30</t>
        </is>
      </c>
      <c r="U5110" t="inlineStr">
        <is>
          <t>12</t>
        </is>
      </c>
      <c r="V5110" t="n">
        <v/>
      </c>
      <c r="W5110" t="n">
        <v/>
      </c>
    </row>
    <row r="5111">
      <c r="A5111" t="inlineStr">
        <is>
          <t>31/12/2025 7:08:03</t>
        </is>
      </c>
      <c r="B5111" t="inlineStr">
        <is>
          <t>Nguyễn Tuấn Anh</t>
        </is>
      </c>
      <c r="C5111" t="inlineStr">
        <is>
          <t>30/12/2025</t>
        </is>
      </c>
      <c r="D5111" t="n">
        <v>2</v>
      </c>
      <c r="E5111" t="n">
        <v>1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2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2</v>
      </c>
      <c r="R5111" t="n">
        <v>0</v>
      </c>
      <c r="S5111" t="n">
        <v/>
      </c>
      <c r="T5111" t="inlineStr">
        <is>
          <t>30</t>
        </is>
      </c>
      <c r="U5111" t="inlineStr">
        <is>
          <t>12</t>
        </is>
      </c>
      <c r="V5111" t="n">
        <v/>
      </c>
      <c r="W5111" t="n">
        <v/>
      </c>
    </row>
    <row r="5112">
      <c r="A5112" t="inlineStr">
        <is>
          <t>31/12/2025 7:08:40</t>
        </is>
      </c>
      <c r="B5112" t="inlineStr">
        <is>
          <t>Phan Ngọc Sang</t>
        </is>
      </c>
      <c r="C5112" t="inlineStr">
        <is>
          <t>30/12/2025</t>
        </is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  <c r="I5112" t="n">
        <v>1</v>
      </c>
      <c r="J5112" t="n">
        <v>1</v>
      </c>
      <c r="K5112" t="n">
        <v>2</v>
      </c>
      <c r="L5112" t="n">
        <v>0</v>
      </c>
      <c r="M5112" t="n">
        <v>1</v>
      </c>
      <c r="N5112" t="n">
        <v>1</v>
      </c>
      <c r="O5112" t="n">
        <v>0</v>
      </c>
      <c r="P5112" t="n">
        <v>0</v>
      </c>
      <c r="Q5112" t="n">
        <v>3</v>
      </c>
      <c r="R5112" t="n">
        <v>0</v>
      </c>
      <c r="S5112" t="n">
        <v/>
      </c>
      <c r="T5112" t="inlineStr">
        <is>
          <t>30</t>
        </is>
      </c>
      <c r="U5112" t="inlineStr">
        <is>
          <t>12</t>
        </is>
      </c>
      <c r="V5112" t="n">
        <v/>
      </c>
      <c r="W5112" t="n">
        <v/>
      </c>
    </row>
    <row r="5113">
      <c r="A5113" t="inlineStr">
        <is>
          <t>31/12/2025 7:21:26</t>
        </is>
      </c>
      <c r="B5113" t="inlineStr">
        <is>
          <t>Nguyễn Quang Anh Tuấn</t>
        </is>
      </c>
      <c r="C5113" t="inlineStr">
        <is>
          <t>30/12/2025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2</v>
      </c>
      <c r="L5113" t="n">
        <v>0</v>
      </c>
      <c r="M5113" t="n">
        <v>0</v>
      </c>
      <c r="N5113" t="n">
        <v>1</v>
      </c>
      <c r="O5113" t="n">
        <v>0</v>
      </c>
      <c r="P5113" t="n">
        <v>0</v>
      </c>
      <c r="Q5113" t="n">
        <v>2</v>
      </c>
      <c r="R5113" t="n">
        <v>0</v>
      </c>
      <c r="S5113" t="n">
        <v/>
      </c>
      <c r="T5113" t="inlineStr">
        <is>
          <t>30</t>
        </is>
      </c>
      <c r="U5113" t="inlineStr">
        <is>
          <t>12</t>
        </is>
      </c>
      <c r="V5113" t="n">
        <v/>
      </c>
      <c r="W5113" t="n">
        <v/>
      </c>
    </row>
    <row r="5114">
      <c r="A5114" t="inlineStr">
        <is>
          <t>31/12/2025 7:37:57</t>
        </is>
      </c>
      <c r="B5114" t="inlineStr">
        <is>
          <t>Đặng Hoài Anh</t>
        </is>
      </c>
      <c r="C5114" t="inlineStr">
        <is>
          <t>30/12/2025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1</v>
      </c>
      <c r="Q5114" t="n">
        <v>0</v>
      </c>
      <c r="R5114" t="n">
        <v>0</v>
      </c>
      <c r="S5114" t="n">
        <v/>
      </c>
      <c r="T5114" t="inlineStr">
        <is>
          <t>30</t>
        </is>
      </c>
      <c r="U5114" t="inlineStr">
        <is>
          <t>12</t>
        </is>
      </c>
      <c r="V5114" t="n">
        <v/>
      </c>
      <c r="W5114" t="n">
        <v/>
      </c>
    </row>
    <row r="5115">
      <c r="A5115" t="inlineStr">
        <is>
          <t>31/12/2025 7:42:15</t>
        </is>
      </c>
      <c r="B5115" t="inlineStr">
        <is>
          <t>Nguyễn Văn Nhật</t>
        </is>
      </c>
      <c r="C5115" t="inlineStr">
        <is>
          <t>30/12/2025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8</v>
      </c>
      <c r="K5115" t="n">
        <v>18</v>
      </c>
      <c r="L5115" t="n">
        <v>0</v>
      </c>
      <c r="M5115" t="n">
        <v>0</v>
      </c>
      <c r="N5115" t="n">
        <v>0</v>
      </c>
      <c r="O5115" t="n">
        <v>0</v>
      </c>
      <c r="P5115" t="n">
        <v>1</v>
      </c>
      <c r="Q5115" t="n">
        <v>4</v>
      </c>
      <c r="R5115" t="n">
        <v>0</v>
      </c>
      <c r="S5115" t="n">
        <v/>
      </c>
      <c r="T5115" t="inlineStr">
        <is>
          <t>30</t>
        </is>
      </c>
      <c r="U5115" t="inlineStr">
        <is>
          <t>12</t>
        </is>
      </c>
      <c r="V5115" t="n">
        <v/>
      </c>
      <c r="W5115" t="n">
        <v/>
      </c>
    </row>
    <row r="5116">
      <c r="A5116" t="inlineStr">
        <is>
          <t>31/12/2025 8:01:41</t>
        </is>
      </c>
      <c r="B5116" t="inlineStr">
        <is>
          <t>Trần Minh Khánh</t>
        </is>
      </c>
      <c r="C5116" t="inlineStr">
        <is>
          <t>30/12/2025</t>
        </is>
      </c>
      <c r="D5116" t="n">
        <v>0</v>
      </c>
      <c r="E5116" t="n">
        <v>0</v>
      </c>
      <c r="F5116" t="n">
        <v>1</v>
      </c>
      <c r="G5116" t="n">
        <v>0</v>
      </c>
      <c r="H5116" t="n">
        <v>0</v>
      </c>
      <c r="I5116" t="n">
        <v>1</v>
      </c>
      <c r="J5116" t="n">
        <v>0</v>
      </c>
      <c r="K5116" t="n">
        <v>14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3</v>
      </c>
      <c r="R5116" t="n">
        <v>0</v>
      </c>
      <c r="S5116" t="n">
        <v/>
      </c>
      <c r="T5116" t="inlineStr">
        <is>
          <t>30</t>
        </is>
      </c>
      <c r="U5116" t="inlineStr">
        <is>
          <t>12</t>
        </is>
      </c>
      <c r="V5116" t="n">
        <v/>
      </c>
      <c r="W5116" t="n">
        <v/>
      </c>
    </row>
    <row r="5117">
      <c r="A5117" t="inlineStr">
        <is>
          <t>31/12/2025 8:08:26</t>
        </is>
      </c>
      <c r="B5117" t="inlineStr">
        <is>
          <t>Bùi Duy Cường</t>
        </is>
      </c>
      <c r="C5117" t="inlineStr">
        <is>
          <t>30/12/2025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2</v>
      </c>
      <c r="L5117" t="n">
        <v>0</v>
      </c>
      <c r="M5117" t="n">
        <v>0</v>
      </c>
      <c r="N5117" t="n">
        <v>1</v>
      </c>
      <c r="O5117" t="n">
        <v>1</v>
      </c>
      <c r="P5117" t="n">
        <v>0</v>
      </c>
      <c r="Q5117" t="n">
        <v>1</v>
      </c>
      <c r="R5117" t="n">
        <v>0</v>
      </c>
      <c r="S5117" t="n">
        <v/>
      </c>
      <c r="T5117" t="inlineStr">
        <is>
          <t>30</t>
        </is>
      </c>
      <c r="U5117" t="inlineStr">
        <is>
          <t>12</t>
        </is>
      </c>
      <c r="V5117" t="n">
        <v/>
      </c>
      <c r="W5117" t="n">
        <v/>
      </c>
    </row>
    <row r="5118">
      <c r="A5118" t="inlineStr">
        <is>
          <t>31/12/2025 8:09:27</t>
        </is>
      </c>
      <c r="B5118" t="inlineStr">
        <is>
          <t>Nguyễn Hồng Minh</t>
        </is>
      </c>
      <c r="C5118" t="inlineStr">
        <is>
          <t>30/12/2025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5</v>
      </c>
      <c r="J5118" t="n">
        <v>1</v>
      </c>
      <c r="K5118" t="n">
        <v>1</v>
      </c>
      <c r="L5118" t="n">
        <v>0</v>
      </c>
      <c r="M5118" t="n">
        <v>0</v>
      </c>
      <c r="N5118" t="n">
        <v>0</v>
      </c>
      <c r="O5118" t="n">
        <v>0</v>
      </c>
      <c r="P5118" t="n">
        <v>1</v>
      </c>
      <c r="Q5118" t="n">
        <v>6</v>
      </c>
      <c r="R5118" t="n">
        <v>0</v>
      </c>
      <c r="S5118" t="n">
        <v/>
      </c>
      <c r="T5118" t="inlineStr">
        <is>
          <t>30</t>
        </is>
      </c>
      <c r="U5118" t="inlineStr">
        <is>
          <t>12</t>
        </is>
      </c>
      <c r="V5118" t="n">
        <v/>
      </c>
      <c r="W5118" t="n">
        <v/>
      </c>
    </row>
    <row r="5119">
      <c r="A5119" t="inlineStr">
        <is>
          <t>31/12/2025 22:32:41</t>
        </is>
      </c>
      <c r="B5119" t="inlineStr">
        <is>
          <t>Lê Văn Hồng</t>
        </is>
      </c>
      <c r="C5119" t="inlineStr">
        <is>
          <t>30/12/2025</t>
        </is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  <c r="I5119" t="n">
        <v>5</v>
      </c>
      <c r="J5119" t="n">
        <v>0</v>
      </c>
      <c r="K5119" t="n">
        <v>2</v>
      </c>
      <c r="L5119" t="n">
        <v>0</v>
      </c>
      <c r="M5119" t="n">
        <v>1</v>
      </c>
      <c r="N5119" t="n">
        <v>1</v>
      </c>
      <c r="O5119" t="n">
        <v>0</v>
      </c>
      <c r="P5119" t="n">
        <v>4</v>
      </c>
      <c r="Q5119" t="n">
        <v>3</v>
      </c>
      <c r="R5119" t="n">
        <v>0</v>
      </c>
      <c r="S5119" t="n">
        <v/>
      </c>
      <c r="T5119" t="inlineStr">
        <is>
          <t>30</t>
        </is>
      </c>
      <c r="U5119" t="inlineStr">
        <is>
          <t>12</t>
        </is>
      </c>
      <c r="V5119" t="n">
        <v/>
      </c>
      <c r="W5119" t="n">
        <v/>
      </c>
    </row>
    <row r="5120">
      <c r="A5120" t="inlineStr">
        <is>
          <t>01/01/2026 6:56:34</t>
        </is>
      </c>
      <c r="B5120" t="inlineStr">
        <is>
          <t>Phan Ngọc Sang</t>
        </is>
      </c>
      <c r="C5120" t="inlineStr">
        <is>
          <t>31/12/2025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</v>
      </c>
      <c r="J5120" t="n">
        <v>1</v>
      </c>
      <c r="K5120" t="n">
        <v>3</v>
      </c>
      <c r="L5120" t="n">
        <v>0</v>
      </c>
      <c r="M5120" t="n">
        <v>1</v>
      </c>
      <c r="N5120" t="n">
        <v>1</v>
      </c>
      <c r="O5120" t="n">
        <v>0</v>
      </c>
      <c r="P5120" t="n">
        <v>1</v>
      </c>
      <c r="Q5120" t="n">
        <v>2</v>
      </c>
      <c r="R5120" t="n">
        <v>0</v>
      </c>
      <c r="S5120" t="n">
        <v/>
      </c>
      <c r="T5120" t="inlineStr">
        <is>
          <t>31</t>
        </is>
      </c>
      <c r="U5120" t="inlineStr">
        <is>
          <t>12</t>
        </is>
      </c>
      <c r="V5120" t="n">
        <v/>
      </c>
      <c r="W5120" t="n">
        <v/>
      </c>
    </row>
    <row r="5121">
      <c r="A5121" t="inlineStr">
        <is>
          <t>01/01/2026 7:11:26</t>
        </is>
      </c>
      <c r="B5121" t="inlineStr">
        <is>
          <t>Lê Hồng Phong</t>
        </is>
      </c>
      <c r="C5121" t="inlineStr">
        <is>
          <t>01/01/2026</t>
        </is>
      </c>
      <c r="D5121" t="n">
        <v>1</v>
      </c>
      <c r="E5121" t="n">
        <v>1</v>
      </c>
      <c r="F5121" t="n">
        <v>1</v>
      </c>
      <c r="G5121" t="n">
        <v>0</v>
      </c>
      <c r="H5121" t="n">
        <v>0</v>
      </c>
      <c r="I5121" t="n">
        <v>1</v>
      </c>
      <c r="J5121" t="n">
        <v>1</v>
      </c>
      <c r="K5121" t="n">
        <v>1</v>
      </c>
      <c r="L5121" t="n">
        <v>1</v>
      </c>
      <c r="M5121" t="n">
        <v>1</v>
      </c>
      <c r="N5121" t="n">
        <v>0</v>
      </c>
      <c r="O5121" t="n">
        <v>0</v>
      </c>
      <c r="P5121" t="n">
        <v>1</v>
      </c>
      <c r="Q5121" t="n">
        <v>1</v>
      </c>
      <c r="R5121" t="n">
        <v>1</v>
      </c>
      <c r="S5121" t="n">
        <v/>
      </c>
      <c r="T5121" t="inlineStr">
        <is>
          <t>1</t>
        </is>
      </c>
      <c r="U5121" t="inlineStr">
        <is>
          <t>1</t>
        </is>
      </c>
      <c r="V5121" t="n">
        <v/>
      </c>
      <c r="W5121" t="n">
        <v/>
      </c>
    </row>
    <row r="5122">
      <c r="A5122" t="inlineStr">
        <is>
          <t>01/01/2026 7:13:42</t>
        </is>
      </c>
      <c r="B5122" t="inlineStr">
        <is>
          <t>Nguyễn Tuấn Anh</t>
        </is>
      </c>
      <c r="C5122" t="inlineStr">
        <is>
          <t>31/12/2025</t>
        </is>
      </c>
      <c r="D5122" t="n">
        <v>2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2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6</v>
      </c>
      <c r="R5122" t="n">
        <v>0</v>
      </c>
      <c r="S5122" t="n">
        <v/>
      </c>
      <c r="T5122" t="inlineStr">
        <is>
          <t>31</t>
        </is>
      </c>
      <c r="U5122" t="inlineStr">
        <is>
          <t>12</t>
        </is>
      </c>
      <c r="V5122" t="n">
        <v/>
      </c>
      <c r="W5122" t="n">
        <v/>
      </c>
    </row>
    <row r="5123">
      <c r="A5123" t="inlineStr">
        <is>
          <t>01/01/2026 7:20:04</t>
        </is>
      </c>
      <c r="B5123" t="inlineStr">
        <is>
          <t>Phan Thành Thái</t>
        </is>
      </c>
      <c r="C5123" t="inlineStr">
        <is>
          <t>31/12/2025</t>
        </is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  <c r="I5123" t="n">
        <v>5</v>
      </c>
      <c r="J5123" t="n">
        <v>0</v>
      </c>
      <c r="K5123" t="n">
        <v>4</v>
      </c>
      <c r="L5123" t="n">
        <v>0</v>
      </c>
      <c r="M5123" t="n">
        <v>1</v>
      </c>
      <c r="N5123" t="n">
        <v>2</v>
      </c>
      <c r="O5123" t="n">
        <v>0</v>
      </c>
      <c r="P5123" t="n">
        <v>0</v>
      </c>
      <c r="Q5123" t="n">
        <v>4</v>
      </c>
      <c r="R5123" t="n">
        <v>0</v>
      </c>
      <c r="S5123" t="n">
        <v/>
      </c>
      <c r="T5123" t="inlineStr">
        <is>
          <t>31</t>
        </is>
      </c>
      <c r="U5123" t="inlineStr">
        <is>
          <t>12</t>
        </is>
      </c>
      <c r="V5123" t="n">
        <v/>
      </c>
      <c r="W5123" t="n">
        <v/>
      </c>
    </row>
    <row r="5124">
      <c r="A5124" t="inlineStr">
        <is>
          <t>01/01/2026 7:21:57</t>
        </is>
      </c>
      <c r="B5124" t="inlineStr">
        <is>
          <t>Hồ Xuân Việt</t>
        </is>
      </c>
      <c r="C5124" t="inlineStr">
        <is>
          <t>31/12/2025</t>
        </is>
      </c>
      <c r="D5124" t="n">
        <v>0</v>
      </c>
      <c r="E5124" t="n">
        <v>4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2</v>
      </c>
      <c r="L5124" t="n">
        <v>0</v>
      </c>
      <c r="M5124" t="n">
        <v>0</v>
      </c>
      <c r="N5124" t="n">
        <v>0</v>
      </c>
      <c r="O5124" t="n">
        <v>0</v>
      </c>
      <c r="P5124" t="n">
        <v>1</v>
      </c>
      <c r="Q5124" t="n">
        <v>2</v>
      </c>
      <c r="R5124" t="n">
        <v>0</v>
      </c>
      <c r="S5124" t="n">
        <v/>
      </c>
      <c r="T5124" t="inlineStr">
        <is>
          <t>31</t>
        </is>
      </c>
      <c r="U5124" t="inlineStr">
        <is>
          <t>12</t>
        </is>
      </c>
      <c r="V5124" t="n">
        <v/>
      </c>
      <c r="W5124" t="n">
        <v/>
      </c>
    </row>
    <row r="5125">
      <c r="A5125" t="inlineStr">
        <is>
          <t>01/01/2026 7:22:05</t>
        </is>
      </c>
      <c r="B5125" t="inlineStr">
        <is>
          <t>Lê Quốc Duy</t>
        </is>
      </c>
      <c r="C5125" t="inlineStr">
        <is>
          <t>30/12/2025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2</v>
      </c>
      <c r="L5125" t="n">
        <v>1</v>
      </c>
      <c r="M5125" t="n">
        <v>0</v>
      </c>
      <c r="N5125" t="n">
        <v>3</v>
      </c>
      <c r="O5125" t="n">
        <v>0</v>
      </c>
      <c r="P5125" t="n">
        <v>1</v>
      </c>
      <c r="Q5125" t="n">
        <v>1</v>
      </c>
      <c r="R5125" t="n">
        <v>0</v>
      </c>
      <c r="S5125" t="n">
        <v/>
      </c>
      <c r="T5125" t="inlineStr">
        <is>
          <t>30</t>
        </is>
      </c>
      <c r="U5125" t="inlineStr">
        <is>
          <t>12</t>
        </is>
      </c>
      <c r="V5125" t="n">
        <v/>
      </c>
      <c r="W5125" t="n">
        <v/>
      </c>
    </row>
    <row r="5126">
      <c r="A5126" t="inlineStr">
        <is>
          <t>01/01/2026 7:23:08</t>
        </is>
      </c>
      <c r="B5126" t="inlineStr">
        <is>
          <t>Lê Quốc Duy</t>
        </is>
      </c>
      <c r="C5126" t="inlineStr">
        <is>
          <t>31/12/2025</t>
        </is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  <c r="I5126" t="n">
        <v>20</v>
      </c>
      <c r="J5126" t="n">
        <v>0</v>
      </c>
      <c r="K5126" t="n">
        <v>0</v>
      </c>
      <c r="L5126" t="n">
        <v>2</v>
      </c>
      <c r="M5126" t="n">
        <v>0</v>
      </c>
      <c r="N5126" t="n">
        <v>0</v>
      </c>
      <c r="O5126" t="n">
        <v>0</v>
      </c>
      <c r="P5126" t="n">
        <v>0</v>
      </c>
      <c r="Q5126" t="n">
        <v>2</v>
      </c>
      <c r="R5126" t="n">
        <v>0</v>
      </c>
      <c r="S5126" t="n">
        <v/>
      </c>
      <c r="T5126" t="inlineStr">
        <is>
          <t>31</t>
        </is>
      </c>
      <c r="U5126" t="inlineStr">
        <is>
          <t>12</t>
        </is>
      </c>
      <c r="V5126" t="n">
        <v/>
      </c>
      <c r="W5126" t="n">
        <v/>
      </c>
    </row>
    <row r="5127">
      <c r="A5127" t="inlineStr">
        <is>
          <t>01/01/2026 7:23:26</t>
        </is>
      </c>
      <c r="B5127" t="inlineStr">
        <is>
          <t>Đào Công Trung</t>
        </is>
      </c>
      <c r="C5127" t="inlineStr">
        <is>
          <t>31/12/2025</t>
        </is>
      </c>
      <c r="D5127" t="n">
        <v>0</v>
      </c>
      <c r="E5127" t="n">
        <v>2</v>
      </c>
      <c r="F5127" t="n">
        <v>0</v>
      </c>
      <c r="G5127" t="n">
        <v>0</v>
      </c>
      <c r="H5127" t="n">
        <v>0</v>
      </c>
      <c r="I5127" t="n">
        <v>20</v>
      </c>
      <c r="J5127" t="n">
        <v>0</v>
      </c>
      <c r="K5127" t="n">
        <v>6</v>
      </c>
      <c r="L5127" t="n">
        <v>0</v>
      </c>
      <c r="M5127" t="n">
        <v>2</v>
      </c>
      <c r="N5127" t="n">
        <v>0</v>
      </c>
      <c r="O5127" t="n">
        <v>0</v>
      </c>
      <c r="P5127" t="n">
        <v>1</v>
      </c>
      <c r="Q5127" t="n">
        <v>2</v>
      </c>
      <c r="R5127" t="n">
        <v>0</v>
      </c>
      <c r="S5127" t="n">
        <v/>
      </c>
      <c r="T5127" t="inlineStr">
        <is>
          <t>31</t>
        </is>
      </c>
      <c r="U5127" t="inlineStr">
        <is>
          <t>12</t>
        </is>
      </c>
      <c r="V5127" t="n">
        <v/>
      </c>
      <c r="W5127" t="n">
        <v/>
      </c>
    </row>
    <row r="5128">
      <c r="A5128" t="inlineStr">
        <is>
          <t>01/01/2026 7:23:34</t>
        </is>
      </c>
      <c r="B5128" t="inlineStr">
        <is>
          <t>Trần Trung Giang</t>
        </is>
      </c>
      <c r="C5128" t="inlineStr">
        <is>
          <t>31/12/2025</t>
        </is>
      </c>
      <c r="D5128" t="n">
        <v>0</v>
      </c>
      <c r="E5128" t="n">
        <v>0</v>
      </c>
      <c r="F5128" t="n">
        <v>0</v>
      </c>
      <c r="G5128" t="n">
        <v>1</v>
      </c>
      <c r="H5128" t="n">
        <v>0</v>
      </c>
      <c r="I5128" t="n">
        <v>5</v>
      </c>
      <c r="J5128" t="n">
        <v>0</v>
      </c>
      <c r="K5128" t="n">
        <v>3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/>
      </c>
      <c r="T5128" t="inlineStr">
        <is>
          <t>31</t>
        </is>
      </c>
      <c r="U5128" t="inlineStr">
        <is>
          <t>12</t>
        </is>
      </c>
      <c r="V5128" t="n">
        <v/>
      </c>
      <c r="W5128" t="n">
        <v/>
      </c>
    </row>
    <row r="5129">
      <c r="A5129" t="inlineStr">
        <is>
          <t>01/01/2026 7:29:42</t>
        </is>
      </c>
      <c r="B5129" t="inlineStr">
        <is>
          <t>Dương Minh Tiến</t>
        </is>
      </c>
      <c r="C5129" t="inlineStr">
        <is>
          <t>31/12/2025</t>
        </is>
      </c>
      <c r="D5129" t="n">
        <v>0</v>
      </c>
      <c r="E5129" t="n">
        <v>0</v>
      </c>
      <c r="F5129" t="n">
        <v>1</v>
      </c>
      <c r="G5129" t="n">
        <v>0</v>
      </c>
      <c r="H5129" t="n">
        <v>0</v>
      </c>
      <c r="I5129" t="n">
        <v>20</v>
      </c>
      <c r="J5129" t="n">
        <v>0</v>
      </c>
      <c r="K5129" t="n">
        <v>2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/>
      </c>
      <c r="T5129" t="inlineStr">
        <is>
          <t>31</t>
        </is>
      </c>
      <c r="U5129" t="inlineStr">
        <is>
          <t>12</t>
        </is>
      </c>
      <c r="V5129" t="n">
        <v/>
      </c>
      <c r="W5129" t="n">
        <v/>
      </c>
    </row>
    <row r="5130">
      <c r="A5130" t="inlineStr">
        <is>
          <t>01/01/2026 7:31:24</t>
        </is>
      </c>
      <c r="B5130" t="inlineStr">
        <is>
          <t>Trần Minh Khánh</t>
        </is>
      </c>
      <c r="C5130" t="inlineStr">
        <is>
          <t>31/12/2025</t>
        </is>
      </c>
      <c r="D5130" t="n">
        <v>0</v>
      </c>
      <c r="E5130" t="n">
        <v>0</v>
      </c>
      <c r="F5130" t="n">
        <v>0</v>
      </c>
      <c r="G5130" t="n">
        <v>2</v>
      </c>
      <c r="H5130" t="n">
        <v>6</v>
      </c>
      <c r="I5130" t="n">
        <v>22</v>
      </c>
      <c r="J5130" t="n">
        <v>0</v>
      </c>
      <c r="K5130" t="n">
        <v>3</v>
      </c>
      <c r="L5130" t="n">
        <v>2</v>
      </c>
      <c r="M5130" t="n">
        <v>0</v>
      </c>
      <c r="N5130" t="n">
        <v>2</v>
      </c>
      <c r="O5130" t="n">
        <v>0</v>
      </c>
      <c r="P5130" t="n">
        <v>0</v>
      </c>
      <c r="Q5130" t="n">
        <v>4</v>
      </c>
      <c r="R5130" t="n">
        <v>0</v>
      </c>
      <c r="S5130" t="n">
        <v/>
      </c>
      <c r="T5130" t="inlineStr">
        <is>
          <t>31</t>
        </is>
      </c>
      <c r="U5130" t="inlineStr">
        <is>
          <t>12</t>
        </is>
      </c>
      <c r="V5130" t="n">
        <v/>
      </c>
      <c r="W5130" t="n">
        <v/>
      </c>
    </row>
    <row r="5131">
      <c r="A5131" t="inlineStr">
        <is>
          <t>01/01/2026 7:36:09</t>
        </is>
      </c>
      <c r="B5131" t="inlineStr">
        <is>
          <t>Đặng Hoài Anh</t>
        </is>
      </c>
      <c r="C5131" t="inlineStr">
        <is>
          <t>31/12/2025</t>
        </is>
      </c>
      <c r="D5131" t="n">
        <v>2</v>
      </c>
      <c r="E5131" t="n">
        <v>1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3</v>
      </c>
      <c r="N5131" t="n">
        <v>0</v>
      </c>
      <c r="O5131" t="n">
        <v>0</v>
      </c>
      <c r="P5131" t="n">
        <v>1</v>
      </c>
      <c r="Q5131" t="n">
        <v>0</v>
      </c>
      <c r="R5131" t="n">
        <v>0</v>
      </c>
      <c r="S5131" t="n">
        <v/>
      </c>
      <c r="T5131" t="inlineStr">
        <is>
          <t>31</t>
        </is>
      </c>
      <c r="U5131" t="inlineStr">
        <is>
          <t>12</t>
        </is>
      </c>
      <c r="V5131" t="n">
        <v/>
      </c>
      <c r="W5131" t="n">
        <v/>
      </c>
    </row>
    <row r="5132">
      <c r="A5132" t="inlineStr">
        <is>
          <t>01/01/2026 7:43:09</t>
        </is>
      </c>
      <c r="B5132" t="inlineStr">
        <is>
          <t>Nguyễn Quang Anh Tuấn</t>
        </is>
      </c>
      <c r="C5132" t="inlineStr">
        <is>
          <t>31/12/2025</t>
        </is>
      </c>
      <c r="D5132" t="n">
        <v>0</v>
      </c>
      <c r="E5132" t="n">
        <v>0</v>
      </c>
      <c r="F5132" t="n">
        <v>0</v>
      </c>
      <c r="G5132" t="n">
        <v>3</v>
      </c>
      <c r="H5132" t="n">
        <v>2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3</v>
      </c>
      <c r="O5132" t="n">
        <v>1</v>
      </c>
      <c r="P5132" t="n">
        <v>1</v>
      </c>
      <c r="Q5132" t="n">
        <v>2</v>
      </c>
      <c r="R5132" t="n">
        <v>1</v>
      </c>
      <c r="S5132" t="n">
        <v/>
      </c>
      <c r="T5132" t="inlineStr">
        <is>
          <t>31</t>
        </is>
      </c>
      <c r="U5132" t="inlineStr">
        <is>
          <t>12</t>
        </is>
      </c>
      <c r="V5132" t="n">
        <v/>
      </c>
      <c r="W5132" t="n">
        <v/>
      </c>
    </row>
    <row r="5133">
      <c r="A5133" t="inlineStr">
        <is>
          <t>01/01/2026 7:45:30</t>
        </is>
      </c>
      <c r="B5133" t="inlineStr">
        <is>
          <t>Trần Xuân Khoa</t>
        </is>
      </c>
      <c r="C5133" t="inlineStr">
        <is>
          <t>31/12/2025</t>
        </is>
      </c>
      <c r="D5133" t="n">
        <v>0</v>
      </c>
      <c r="E5133" t="n">
        <v>4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15</v>
      </c>
      <c r="L5133" t="n">
        <v>0</v>
      </c>
      <c r="M5133" t="n">
        <v>0</v>
      </c>
      <c r="N5133" t="n">
        <v>0</v>
      </c>
      <c r="O5133" t="n">
        <v>0</v>
      </c>
      <c r="P5133" t="n">
        <v>1</v>
      </c>
      <c r="Q5133" t="n">
        <v>3</v>
      </c>
      <c r="R5133" t="n">
        <v>0</v>
      </c>
      <c r="S5133" t="n">
        <v/>
      </c>
      <c r="T5133" t="inlineStr">
        <is>
          <t>31</t>
        </is>
      </c>
      <c r="U5133" t="inlineStr">
        <is>
          <t>12</t>
        </is>
      </c>
      <c r="V5133" t="n">
        <v/>
      </c>
      <c r="W5133" t="n">
        <v/>
      </c>
    </row>
    <row r="5134">
      <c r="A5134" t="inlineStr">
        <is>
          <t>01/01/2026 7:49:05</t>
        </is>
      </c>
      <c r="B5134" t="inlineStr">
        <is>
          <t>Vòng Nhật Sang</t>
        </is>
      </c>
      <c r="C5134" t="inlineStr">
        <is>
          <t>31/12/2025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2</v>
      </c>
      <c r="L5134" t="n">
        <v>2</v>
      </c>
      <c r="M5134" t="n">
        <v>0</v>
      </c>
      <c r="N5134" t="n">
        <v>0</v>
      </c>
      <c r="O5134" t="n">
        <v>0</v>
      </c>
      <c r="P5134" t="n">
        <v>2</v>
      </c>
      <c r="Q5134" t="n">
        <v>2</v>
      </c>
      <c r="R5134" t="n">
        <v>0</v>
      </c>
      <c r="S5134" t="n">
        <v/>
      </c>
      <c r="T5134" t="inlineStr">
        <is>
          <t>31</t>
        </is>
      </c>
      <c r="U5134" t="inlineStr">
        <is>
          <t>12</t>
        </is>
      </c>
      <c r="V5134" t="n">
        <v/>
      </c>
      <c r="W5134" t="n">
        <v/>
      </c>
    </row>
    <row r="5135">
      <c r="A5135" t="inlineStr">
        <is>
          <t>01/01/2026 7:55:06</t>
        </is>
      </c>
      <c r="B5135" t="inlineStr">
        <is>
          <t>Lương Duy Hoàng</t>
        </is>
      </c>
      <c r="C5135" t="inlineStr">
        <is>
          <t>31/12/2025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3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/>
      </c>
      <c r="T5135" t="inlineStr">
        <is>
          <t>31</t>
        </is>
      </c>
      <c r="U5135" t="inlineStr">
        <is>
          <t>12</t>
        </is>
      </c>
      <c r="V5135" t="n">
        <v/>
      </c>
      <c r="W5135" t="n">
        <v/>
      </c>
    </row>
    <row r="5136">
      <c r="A5136" t="inlineStr">
        <is>
          <t>01/01/2026 8:01:40</t>
        </is>
      </c>
      <c r="B5136" t="inlineStr">
        <is>
          <t>Hồ Thái Minh Trí</t>
        </is>
      </c>
      <c r="C5136" t="inlineStr">
        <is>
          <t>31/12/2025</t>
        </is>
      </c>
      <c r="D5136" t="n">
        <v>1</v>
      </c>
      <c r="E5136" t="n">
        <v>1</v>
      </c>
      <c r="F5136" t="n">
        <v>2</v>
      </c>
      <c r="G5136" t="n">
        <v>1</v>
      </c>
      <c r="H5136" t="n">
        <v>1</v>
      </c>
      <c r="I5136" t="n">
        <v>10</v>
      </c>
      <c r="J5136" t="n">
        <v>0</v>
      </c>
      <c r="K5136" t="n">
        <v>4</v>
      </c>
      <c r="L5136" t="n">
        <v>2</v>
      </c>
      <c r="M5136" t="n">
        <v>1</v>
      </c>
      <c r="N5136" t="n">
        <v>3</v>
      </c>
      <c r="O5136" t="n">
        <v>0</v>
      </c>
      <c r="P5136" t="n">
        <v>0</v>
      </c>
      <c r="Q5136" t="n">
        <v>1</v>
      </c>
      <c r="R5136" t="n">
        <v>0</v>
      </c>
      <c r="S5136" t="n">
        <v/>
      </c>
      <c r="T5136" t="inlineStr">
        <is>
          <t>31</t>
        </is>
      </c>
      <c r="U5136" t="inlineStr">
        <is>
          <t>12</t>
        </is>
      </c>
      <c r="V5136" t="n">
        <v/>
      </c>
      <c r="W5136" t="n">
        <v/>
      </c>
    </row>
    <row r="5137">
      <c r="A5137" t="inlineStr">
        <is>
          <t>01/01/2026 8:04:39</t>
        </is>
      </c>
      <c r="B5137" t="inlineStr">
        <is>
          <t>Nguyễn Hồng Minh</t>
        </is>
      </c>
      <c r="C5137" t="inlineStr">
        <is>
          <t>31/12/2025</t>
        </is>
      </c>
      <c r="D5137" t="n">
        <v>0</v>
      </c>
      <c r="E5137" t="n">
        <v>0</v>
      </c>
      <c r="F5137" t="n">
        <v>0</v>
      </c>
      <c r="G5137" t="n">
        <v>2</v>
      </c>
      <c r="H5137" t="n">
        <v>2</v>
      </c>
      <c r="I5137" t="n">
        <v>1</v>
      </c>
      <c r="J5137" t="n">
        <v>0</v>
      </c>
      <c r="K5137" t="n">
        <v>7</v>
      </c>
      <c r="L5137" t="n">
        <v>0</v>
      </c>
      <c r="M5137" t="n">
        <v>0</v>
      </c>
      <c r="N5137" t="n">
        <v>5</v>
      </c>
      <c r="O5137" t="n">
        <v>4</v>
      </c>
      <c r="P5137" t="n">
        <v>0</v>
      </c>
      <c r="Q5137" t="n">
        <v>4</v>
      </c>
      <c r="R5137" t="n">
        <v>0</v>
      </c>
      <c r="S5137" t="n">
        <v/>
      </c>
      <c r="T5137" t="inlineStr">
        <is>
          <t>31</t>
        </is>
      </c>
      <c r="U5137" t="inlineStr">
        <is>
          <t>12</t>
        </is>
      </c>
      <c r="V5137" t="n">
        <v/>
      </c>
      <c r="W5137" t="n">
        <v/>
      </c>
    </row>
    <row r="5138">
      <c r="A5138" t="inlineStr">
        <is>
          <t>01/01/2026 8:43:51</t>
        </is>
      </c>
      <c r="B5138" t="inlineStr">
        <is>
          <t>Nguyễn Văn Hiệp</t>
        </is>
      </c>
      <c r="C5138" t="inlineStr">
        <is>
          <t>31/12/2025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21</v>
      </c>
      <c r="J5138" t="n">
        <v>2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/>
      </c>
      <c r="T5138" t="inlineStr">
        <is>
          <t>31</t>
        </is>
      </c>
      <c r="U5138" t="inlineStr">
        <is>
          <t>12</t>
        </is>
      </c>
      <c r="V5138" t="n">
        <v/>
      </c>
      <c r="W5138" t="n">
        <v/>
      </c>
    </row>
    <row r="5139">
      <c r="A5139" t="inlineStr">
        <is>
          <t>01/01/2026 9:07:53</t>
        </is>
      </c>
      <c r="B5139" t="inlineStr">
        <is>
          <t>Đặng Hữu Danh</t>
        </is>
      </c>
      <c r="C5139" t="inlineStr">
        <is>
          <t>31/01/2026</t>
        </is>
      </c>
      <c r="D5139" t="n">
        <v>1</v>
      </c>
      <c r="E5139" t="n">
        <v>2</v>
      </c>
      <c r="F5139" t="n">
        <v>0</v>
      </c>
      <c r="G5139" t="n">
        <v>0</v>
      </c>
      <c r="H5139" t="n">
        <v>0</v>
      </c>
      <c r="I5139" t="n">
        <v>1</v>
      </c>
      <c r="J5139" t="n">
        <v>0</v>
      </c>
      <c r="K5139" t="n">
        <v>3</v>
      </c>
      <c r="L5139" t="n">
        <v>0</v>
      </c>
      <c r="M5139" t="n">
        <v>1</v>
      </c>
      <c r="N5139" t="n">
        <v>1</v>
      </c>
      <c r="O5139" t="n">
        <v>0</v>
      </c>
      <c r="P5139" t="n">
        <v>1</v>
      </c>
      <c r="Q5139" t="n">
        <v>2</v>
      </c>
      <c r="R5139" t="n">
        <v>4</v>
      </c>
      <c r="S5139" t="n">
        <v/>
      </c>
      <c r="T5139" t="inlineStr">
        <is>
          <t>31</t>
        </is>
      </c>
      <c r="U5139" t="inlineStr">
        <is>
          <t>1</t>
        </is>
      </c>
      <c r="V5139" t="n">
        <v/>
      </c>
      <c r="W5139" t="n">
        <v/>
      </c>
    </row>
    <row r="5140">
      <c r="A5140" t="inlineStr">
        <is>
          <t>01/01/2026 22:18:19</t>
        </is>
      </c>
      <c r="B5140" t="inlineStr">
        <is>
          <t>Bùi Duy Cường</t>
        </is>
      </c>
      <c r="C5140" t="inlineStr">
        <is>
          <t>31/12/2025</t>
        </is>
      </c>
      <c r="D5140" t="n">
        <v>0</v>
      </c>
      <c r="E5140" t="n">
        <v>4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4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2</v>
      </c>
      <c r="R5140" t="n">
        <v>0</v>
      </c>
      <c r="S5140" t="n">
        <v/>
      </c>
      <c r="T5140" t="inlineStr">
        <is>
          <t>31</t>
        </is>
      </c>
      <c r="U5140" t="inlineStr">
        <is>
          <t>12</t>
        </is>
      </c>
      <c r="V5140" t="n">
        <v/>
      </c>
      <c r="W5140" t="n">
        <v/>
      </c>
    </row>
    <row r="5141">
      <c r="A5141" t="inlineStr">
        <is>
          <t>02/01/2026 6:58:01</t>
        </is>
      </c>
      <c r="B5141" t="inlineStr">
        <is>
          <t>Lê Hồng Phong</t>
        </is>
      </c>
      <c r="C5141" t="inlineStr">
        <is>
          <t>02/01/2026</t>
        </is>
      </c>
      <c r="D5141" t="n">
        <v>1</v>
      </c>
      <c r="E5141" t="n">
        <v>1</v>
      </c>
      <c r="F5141" t="n">
        <v>1</v>
      </c>
      <c r="G5141" t="n">
        <v>0</v>
      </c>
      <c r="H5141" t="n">
        <v>0</v>
      </c>
      <c r="I5141" t="n">
        <v>1</v>
      </c>
      <c r="J5141" t="n">
        <v>1</v>
      </c>
      <c r="K5141" t="n">
        <v>1</v>
      </c>
      <c r="L5141" t="n">
        <v>1</v>
      </c>
      <c r="M5141" t="n">
        <v>1</v>
      </c>
      <c r="N5141" t="n">
        <v>1</v>
      </c>
      <c r="O5141" t="n">
        <v>0</v>
      </c>
      <c r="P5141" t="n">
        <v>1</v>
      </c>
      <c r="Q5141" t="n">
        <v>1</v>
      </c>
      <c r="R5141" t="n">
        <v>1</v>
      </c>
      <c r="S5141" t="n">
        <v/>
      </c>
      <c r="T5141" t="inlineStr">
        <is>
          <t>2</t>
        </is>
      </c>
      <c r="U5141" t="inlineStr">
        <is>
          <t>1</t>
        </is>
      </c>
      <c r="V5141" t="n">
        <v/>
      </c>
      <c r="W5141" t="n">
        <v/>
      </c>
    </row>
    <row r="5142">
      <c r="A5142" t="inlineStr">
        <is>
          <t>02/01/2026 7:10:17</t>
        </is>
      </c>
      <c r="B5142" t="inlineStr">
        <is>
          <t>Trần Trung Giang</t>
        </is>
      </c>
      <c r="C5142" t="inlineStr">
        <is>
          <t>01/01/2026</t>
        </is>
      </c>
      <c r="D5142" t="n">
        <v>0</v>
      </c>
      <c r="E5142" t="n">
        <v>0</v>
      </c>
      <c r="F5142" t="n">
        <v>1</v>
      </c>
      <c r="G5142" t="n">
        <v>0</v>
      </c>
      <c r="H5142" t="n">
        <v>0</v>
      </c>
      <c r="I5142" t="n">
        <v>0</v>
      </c>
      <c r="J5142" t="n">
        <v>0</v>
      </c>
      <c r="K5142" t="n">
        <v>1</v>
      </c>
      <c r="L5142" t="n">
        <v>0</v>
      </c>
      <c r="M5142" t="n">
        <v>0</v>
      </c>
      <c r="N5142" t="n">
        <v>0</v>
      </c>
      <c r="O5142" t="n">
        <v>0</v>
      </c>
      <c r="P5142" t="n">
        <v>1</v>
      </c>
      <c r="Q5142" t="n">
        <v>0</v>
      </c>
      <c r="R5142" t="n">
        <v>0</v>
      </c>
      <c r="S5142" t="n">
        <v/>
      </c>
      <c r="T5142" t="inlineStr">
        <is>
          <t>1</t>
        </is>
      </c>
      <c r="U5142" t="inlineStr">
        <is>
          <t>1</t>
        </is>
      </c>
      <c r="V5142" t="n">
        <v/>
      </c>
      <c r="W5142" t="n">
        <v/>
      </c>
    </row>
    <row r="5143">
      <c r="A5143" t="inlineStr">
        <is>
          <t>02/01/2026 7:11:05</t>
        </is>
      </c>
      <c r="B5143" t="inlineStr">
        <is>
          <t>Nguyễn Tuấn Anh</t>
        </is>
      </c>
      <c r="C5143" t="inlineStr">
        <is>
          <t>01/01/2026</t>
        </is>
      </c>
      <c r="D5143" t="n">
        <v>3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5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2</v>
      </c>
      <c r="R5143" t="n">
        <v>0</v>
      </c>
      <c r="S5143" t="n">
        <v/>
      </c>
      <c r="T5143" t="inlineStr">
        <is>
          <t>1</t>
        </is>
      </c>
      <c r="U5143" t="inlineStr">
        <is>
          <t>1</t>
        </is>
      </c>
      <c r="V5143" t="n">
        <v/>
      </c>
      <c r="W5143" t="n">
        <v/>
      </c>
    </row>
    <row r="5144">
      <c r="A5144" t="inlineStr">
        <is>
          <t>02/01/2026 7:12:26</t>
        </is>
      </c>
      <c r="B5144" t="inlineStr">
        <is>
          <t>Dương Minh Tiến</t>
        </is>
      </c>
      <c r="C5144" t="inlineStr">
        <is>
          <t>01/01/2026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1</v>
      </c>
      <c r="Q5144" t="n">
        <v>1</v>
      </c>
      <c r="R5144" t="n">
        <v>0</v>
      </c>
      <c r="S5144" t="n">
        <v/>
      </c>
      <c r="T5144" t="inlineStr">
        <is>
          <t>1</t>
        </is>
      </c>
      <c r="U5144" t="inlineStr">
        <is>
          <t>1</t>
        </is>
      </c>
      <c r="V5144" t="n">
        <v/>
      </c>
      <c r="W5144" t="n">
        <v/>
      </c>
    </row>
    <row r="5145">
      <c r="A5145" t="inlineStr">
        <is>
          <t>02/01/2026 7:13:33</t>
        </is>
      </c>
      <c r="B5145" t="inlineStr">
        <is>
          <t>Vòng Nhật Sang</t>
        </is>
      </c>
      <c r="C5145" t="inlineStr">
        <is>
          <t>01/01/2026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40</v>
      </c>
      <c r="J5145" t="n">
        <v>0</v>
      </c>
      <c r="K5145" t="n">
        <v>0</v>
      </c>
      <c r="L5145" t="n">
        <v>0</v>
      </c>
      <c r="M5145" t="n">
        <v>0</v>
      </c>
      <c r="N5145" t="n">
        <v>40</v>
      </c>
      <c r="O5145" t="n">
        <v>0</v>
      </c>
      <c r="P5145" t="n">
        <v>1</v>
      </c>
      <c r="Q5145" t="n">
        <v>2</v>
      </c>
      <c r="R5145" t="n">
        <v>0</v>
      </c>
      <c r="S5145" t="n">
        <v/>
      </c>
      <c r="T5145" t="inlineStr">
        <is>
          <t>1</t>
        </is>
      </c>
      <c r="U5145" t="inlineStr">
        <is>
          <t>1</t>
        </is>
      </c>
      <c r="V5145" t="n">
        <v/>
      </c>
      <c r="W5145" t="n">
        <v/>
      </c>
    </row>
    <row r="5146">
      <c r="A5146" t="inlineStr">
        <is>
          <t>02/01/2026 7:13:35</t>
        </is>
      </c>
      <c r="B5146" t="inlineStr">
        <is>
          <t>Nguyễn Quang Anh Tuấn</t>
        </is>
      </c>
      <c r="C5146" t="inlineStr">
        <is>
          <t>01/01/2026</t>
        </is>
      </c>
      <c r="D5146" t="n">
        <v>1</v>
      </c>
      <c r="E5146" t="n">
        <v>1</v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2</v>
      </c>
      <c r="L5146" t="n">
        <v>0</v>
      </c>
      <c r="M5146" t="n">
        <v>0</v>
      </c>
      <c r="N5146" t="n">
        <v>0</v>
      </c>
      <c r="O5146" t="n">
        <v>0</v>
      </c>
      <c r="P5146" t="n">
        <v>1</v>
      </c>
      <c r="Q5146" t="n">
        <v>1</v>
      </c>
      <c r="R5146" t="n">
        <v>0</v>
      </c>
      <c r="S5146" t="n">
        <v/>
      </c>
      <c r="T5146" t="inlineStr">
        <is>
          <t>1</t>
        </is>
      </c>
      <c r="U5146" t="inlineStr">
        <is>
          <t>1</t>
        </is>
      </c>
      <c r="V5146" t="n">
        <v/>
      </c>
      <c r="W5146" t="n">
        <v/>
      </c>
    </row>
    <row r="5147">
      <c r="A5147" t="inlineStr">
        <is>
          <t>02/01/2026 7:14:57</t>
        </is>
      </c>
      <c r="B5147" t="inlineStr">
        <is>
          <t>Lê Quốc Duy</t>
        </is>
      </c>
      <c r="C5147" t="inlineStr">
        <is>
          <t>01/01/2026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1</v>
      </c>
      <c r="R5147" t="n">
        <v>0</v>
      </c>
      <c r="S5147" t="n">
        <v/>
      </c>
      <c r="T5147" t="inlineStr">
        <is>
          <t>1</t>
        </is>
      </c>
      <c r="U5147" t="inlineStr">
        <is>
          <t>1</t>
        </is>
      </c>
      <c r="V5147" t="n">
        <v/>
      </c>
      <c r="W5147" t="n">
        <v/>
      </c>
    </row>
    <row r="5148">
      <c r="A5148" t="inlineStr">
        <is>
          <t>02/01/2026 7:14:58</t>
        </is>
      </c>
      <c r="B5148" t="inlineStr">
        <is>
          <t>Phan Ngọc Sang</t>
        </is>
      </c>
      <c r="C5148" t="inlineStr">
        <is>
          <t>01/01/2026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  <c r="L5148" t="n">
        <v>1</v>
      </c>
      <c r="M5148" t="n">
        <v>1</v>
      </c>
      <c r="N5148" t="n">
        <v>0</v>
      </c>
      <c r="O5148" t="n">
        <v>0</v>
      </c>
      <c r="P5148" t="n">
        <v>1</v>
      </c>
      <c r="Q5148" t="n">
        <v>2</v>
      </c>
      <c r="R5148" t="n">
        <v>0</v>
      </c>
      <c r="S5148" t="n">
        <v/>
      </c>
      <c r="T5148" t="inlineStr">
        <is>
          <t>1</t>
        </is>
      </c>
      <c r="U5148" t="inlineStr">
        <is>
          <t>1</t>
        </is>
      </c>
      <c r="V5148" t="n">
        <v/>
      </c>
      <c r="W5148" t="n">
        <v/>
      </c>
    </row>
    <row r="5149">
      <c r="A5149" t="inlineStr">
        <is>
          <t>02/01/2026 7:15:25</t>
        </is>
      </c>
      <c r="B5149" t="inlineStr">
        <is>
          <t>Nguyễn Văn Hiệp</t>
        </is>
      </c>
      <c r="C5149" t="inlineStr">
        <is>
          <t>01/01/2026</t>
        </is>
      </c>
      <c r="D5149" t="n">
        <v>0</v>
      </c>
      <c r="E5149" t="n">
        <v>9</v>
      </c>
      <c r="F5149" t="n">
        <v>0</v>
      </c>
      <c r="G5149" t="n">
        <v>0</v>
      </c>
      <c r="H5149" t="n">
        <v>0</v>
      </c>
      <c r="I5149" t="n">
        <v>0</v>
      </c>
      <c r="J5149" t="n">
        <v>9</v>
      </c>
      <c r="K5149" t="n">
        <v>0</v>
      </c>
      <c r="L5149" t="n">
        <v>0</v>
      </c>
      <c r="M5149" t="n">
        <v>0</v>
      </c>
      <c r="N5149" t="n">
        <v>0</v>
      </c>
      <c r="O5149" t="n">
        <v>9</v>
      </c>
      <c r="P5149" t="n">
        <v>0</v>
      </c>
      <c r="Q5149" t="n">
        <v>2</v>
      </c>
      <c r="R5149" t="n">
        <v>0</v>
      </c>
      <c r="S5149" t="n">
        <v/>
      </c>
      <c r="T5149" t="inlineStr">
        <is>
          <t>1</t>
        </is>
      </c>
      <c r="U5149" t="inlineStr">
        <is>
          <t>1</t>
        </is>
      </c>
      <c r="V5149" t="n">
        <v/>
      </c>
      <c r="W5149" t="n">
        <v/>
      </c>
    </row>
    <row r="5150">
      <c r="A5150" t="inlineStr">
        <is>
          <t>02/01/2026 7:21:41</t>
        </is>
      </c>
      <c r="B5150" t="inlineStr">
        <is>
          <t>Đào Công Trung</t>
        </is>
      </c>
      <c r="C5150" t="inlineStr">
        <is>
          <t>01/01/2026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1</v>
      </c>
      <c r="Q5150" t="n">
        <v>2</v>
      </c>
      <c r="R5150" t="n">
        <v>0</v>
      </c>
      <c r="S5150" t="n">
        <v/>
      </c>
      <c r="T5150" t="inlineStr">
        <is>
          <t>1</t>
        </is>
      </c>
      <c r="U5150" t="inlineStr">
        <is>
          <t>1</t>
        </is>
      </c>
      <c r="V5150" t="n">
        <v/>
      </c>
      <c r="W5150" t="n">
        <v/>
      </c>
    </row>
    <row r="5151">
      <c r="A5151" t="inlineStr">
        <is>
          <t>02/01/2026 7:22:29</t>
        </is>
      </c>
      <c r="B5151" t="inlineStr">
        <is>
          <t>Nguyễn Thành Lâm</t>
        </is>
      </c>
      <c r="C5151" t="inlineStr">
        <is>
          <t>01/01/2025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/>
      </c>
      <c r="T5151" t="inlineStr">
        <is>
          <t>1</t>
        </is>
      </c>
      <c r="U5151" t="inlineStr">
        <is>
          <t>1</t>
        </is>
      </c>
      <c r="V5151" t="n">
        <v/>
      </c>
      <c r="W5151" t="n">
        <v/>
      </c>
    </row>
    <row r="5152">
      <c r="A5152" t="inlineStr">
        <is>
          <t>02/01/2026 7:24:38</t>
        </is>
      </c>
      <c r="B5152" t="inlineStr">
        <is>
          <t>Hồ Xuân Việt</t>
        </is>
      </c>
      <c r="C5152" t="inlineStr">
        <is>
          <t>01/01/2026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/>
      </c>
      <c r="T5152" t="inlineStr">
        <is>
          <t>1</t>
        </is>
      </c>
      <c r="U5152" t="inlineStr">
        <is>
          <t>1</t>
        </is>
      </c>
      <c r="V5152" t="n">
        <v/>
      </c>
      <c r="W5152" t="n">
        <v/>
      </c>
    </row>
    <row r="5153">
      <c r="A5153" t="inlineStr">
        <is>
          <t>02/01/2026 7:26:36</t>
        </is>
      </c>
      <c r="B5153" t="inlineStr">
        <is>
          <t>Trần Xuân Khoa</t>
        </is>
      </c>
      <c r="C5153" t="inlineStr">
        <is>
          <t>01/01/2026</t>
        </is>
      </c>
      <c r="D5153" t="n">
        <v>1</v>
      </c>
      <c r="E5153" t="n">
        <v>1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3</v>
      </c>
      <c r="R5153" t="n">
        <v>0</v>
      </c>
      <c r="S5153" t="n">
        <v/>
      </c>
      <c r="T5153" t="inlineStr">
        <is>
          <t>1</t>
        </is>
      </c>
      <c r="U5153" t="inlineStr">
        <is>
          <t>1</t>
        </is>
      </c>
      <c r="V5153" t="n">
        <v/>
      </c>
      <c r="W5153" t="n">
        <v/>
      </c>
    </row>
    <row r="5154">
      <c r="A5154" t="inlineStr">
        <is>
          <t>02/01/2026 7:31:54</t>
        </is>
      </c>
      <c r="B5154" t="inlineStr">
        <is>
          <t>Lương Duy Hoàng</t>
        </is>
      </c>
      <c r="C5154" t="inlineStr">
        <is>
          <t>01/01/2026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1</v>
      </c>
      <c r="Q5154" t="n">
        <v>0</v>
      </c>
      <c r="R5154" t="n">
        <v>0</v>
      </c>
      <c r="S5154" t="n">
        <v/>
      </c>
      <c r="T5154" t="inlineStr">
        <is>
          <t>1</t>
        </is>
      </c>
      <c r="U5154" t="inlineStr">
        <is>
          <t>1</t>
        </is>
      </c>
      <c r="V5154" t="n">
        <v/>
      </c>
      <c r="W5154" t="n">
        <v/>
      </c>
    </row>
    <row r="5155">
      <c r="A5155" t="inlineStr">
        <is>
          <t>02/01/2026 7:36:14</t>
        </is>
      </c>
      <c r="B5155" t="inlineStr">
        <is>
          <t>Trần Minh Khánh</t>
        </is>
      </c>
      <c r="C5155" t="inlineStr">
        <is>
          <t>01/01/2026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1</v>
      </c>
      <c r="Q5155" t="n">
        <v>3</v>
      </c>
      <c r="R5155" t="n">
        <v>0</v>
      </c>
      <c r="S5155" t="n">
        <v/>
      </c>
      <c r="T5155" t="inlineStr">
        <is>
          <t>1</t>
        </is>
      </c>
      <c r="U5155" t="inlineStr">
        <is>
          <t>1</t>
        </is>
      </c>
      <c r="V5155" t="n">
        <v/>
      </c>
      <c r="W5155" t="n">
        <v/>
      </c>
    </row>
    <row r="5156">
      <c r="A5156" t="inlineStr">
        <is>
          <t>02/01/2026 7:46:27</t>
        </is>
      </c>
      <c r="B5156" t="inlineStr">
        <is>
          <t>Hồ Thái Minh Trí</t>
        </is>
      </c>
      <c r="C5156" t="inlineStr">
        <is>
          <t>01/01/2026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2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/>
      </c>
      <c r="T5156" t="inlineStr">
        <is>
          <t>1</t>
        </is>
      </c>
      <c r="U5156" t="inlineStr">
        <is>
          <t>1</t>
        </is>
      </c>
      <c r="V5156" t="n">
        <v/>
      </c>
      <c r="W5156" t="n">
        <v/>
      </c>
    </row>
    <row r="5157">
      <c r="A5157" t="inlineStr">
        <is>
          <t>02/01/2026 8:00:55</t>
        </is>
      </c>
      <c r="B5157" t="inlineStr">
        <is>
          <t>Lương Duy Hải</t>
        </is>
      </c>
      <c r="C5157" t="inlineStr">
        <is>
          <t>01/01/2026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1</v>
      </c>
      <c r="M5157" t="n">
        <v>0</v>
      </c>
      <c r="N5157" t="n">
        <v>1</v>
      </c>
      <c r="O5157" t="n">
        <v>0</v>
      </c>
      <c r="P5157" t="n">
        <v>1</v>
      </c>
      <c r="Q5157" t="n">
        <v>2</v>
      </c>
      <c r="R5157" t="n">
        <v>1</v>
      </c>
      <c r="S5157" t="n">
        <v/>
      </c>
      <c r="T5157" t="inlineStr">
        <is>
          <t>1</t>
        </is>
      </c>
      <c r="U5157" t="inlineStr">
        <is>
          <t>1</t>
        </is>
      </c>
      <c r="V5157" t="n">
        <v/>
      </c>
      <c r="W5157" t="n">
        <v/>
      </c>
    </row>
    <row r="5158">
      <c r="A5158" t="inlineStr">
        <is>
          <t>02/01/2026 8:04:38</t>
        </is>
      </c>
      <c r="B5158" t="inlineStr">
        <is>
          <t>Đặng Hữu Danh</t>
        </is>
      </c>
      <c r="C5158" t="inlineStr">
        <is>
          <t>01/01/2026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0</v>
      </c>
      <c r="N5158" t="n">
        <v>0</v>
      </c>
      <c r="O5158" t="n">
        <v>0</v>
      </c>
      <c r="P5158" t="n">
        <v>1</v>
      </c>
      <c r="Q5158" t="n">
        <v>2</v>
      </c>
      <c r="R5158" t="n">
        <v>0</v>
      </c>
      <c r="S5158" t="n">
        <v/>
      </c>
      <c r="T5158" t="inlineStr">
        <is>
          <t>1</t>
        </is>
      </c>
      <c r="U5158" t="inlineStr">
        <is>
          <t>1</t>
        </is>
      </c>
      <c r="V5158" t="n">
        <v/>
      </c>
      <c r="W5158" t="n">
        <v/>
      </c>
    </row>
    <row r="5159">
      <c r="A5159" t="inlineStr">
        <is>
          <t>02/01/2026 8:42:02</t>
        </is>
      </c>
      <c r="B5159" t="inlineStr">
        <is>
          <t>Nguyễn Hồng Minh</t>
        </is>
      </c>
      <c r="C5159" t="inlineStr">
        <is>
          <t>01/01/2026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4</v>
      </c>
      <c r="L5159" t="n">
        <v>0</v>
      </c>
      <c r="M5159" t="n">
        <v>0</v>
      </c>
      <c r="N5159" t="n">
        <v>1</v>
      </c>
      <c r="O5159" t="n">
        <v>0</v>
      </c>
      <c r="P5159" t="n">
        <v>1</v>
      </c>
      <c r="Q5159" t="n">
        <v>3</v>
      </c>
      <c r="R5159" t="n">
        <v>0</v>
      </c>
      <c r="S5159" t="n">
        <v/>
      </c>
      <c r="T5159" t="inlineStr">
        <is>
          <t>1</t>
        </is>
      </c>
      <c r="U5159" t="inlineStr">
        <is>
          <t>1</t>
        </is>
      </c>
      <c r="V5159" t="n">
        <v/>
      </c>
      <c r="W5159" t="n">
        <v/>
      </c>
    </row>
    <row r="5160">
      <c r="A5160" t="inlineStr">
        <is>
          <t>02/01/2026 8:49:07</t>
        </is>
      </c>
      <c r="B5160" t="inlineStr">
        <is>
          <t>Huỳnh Văn Lực</t>
        </is>
      </c>
      <c r="C5160" t="inlineStr">
        <is>
          <t>01/01/2026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1</v>
      </c>
      <c r="Q5160" t="n">
        <v>1</v>
      </c>
      <c r="R5160" t="n">
        <v>0</v>
      </c>
      <c r="S5160" t="n">
        <v/>
      </c>
      <c r="T5160" t="inlineStr">
        <is>
          <t>1</t>
        </is>
      </c>
      <c r="U5160" t="inlineStr">
        <is>
          <t>1</t>
        </is>
      </c>
      <c r="V5160" t="n">
        <v/>
      </c>
      <c r="W5160" t="n">
        <v/>
      </c>
    </row>
    <row r="5161">
      <c r="A5161" t="inlineStr">
        <is>
          <t>02/01/2026 10:46:05</t>
        </is>
      </c>
      <c r="B5161" t="inlineStr">
        <is>
          <t>Đặng Hoài Anh</t>
        </is>
      </c>
      <c r="C5161" t="inlineStr">
        <is>
          <t>01/01/2026</t>
        </is>
      </c>
      <c r="D5161" t="n">
        <v>1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2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/>
      </c>
      <c r="T5161" t="inlineStr">
        <is>
          <t>1</t>
        </is>
      </c>
      <c r="U5161" t="inlineStr">
        <is>
          <t>1</t>
        </is>
      </c>
      <c r="V5161" t="n">
        <v/>
      </c>
      <c r="W5161" t="n">
        <v/>
      </c>
    </row>
    <row r="5162">
      <c r="A5162" t="inlineStr">
        <is>
          <t>03/01/2026 6:56:32</t>
        </is>
      </c>
      <c r="B5162" t="inlineStr">
        <is>
          <t>Nguyễn Văn Hiệp</t>
        </is>
      </c>
      <c r="C5162" t="inlineStr">
        <is>
          <t>02/01/2026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/>
      </c>
      <c r="T5162" t="inlineStr">
        <is>
          <t>2</t>
        </is>
      </c>
      <c r="U5162" t="inlineStr">
        <is>
          <t>1</t>
        </is>
      </c>
      <c r="V5162" t="n">
        <v/>
      </c>
      <c r="W5162" t="n">
        <v/>
      </c>
    </row>
    <row r="5163">
      <c r="A5163" t="inlineStr">
        <is>
          <t>03/01/2026 7:05:40</t>
        </is>
      </c>
      <c r="B5163" t="inlineStr">
        <is>
          <t>Dương Minh Tiến</t>
        </is>
      </c>
      <c r="C5163" t="inlineStr">
        <is>
          <t>02/01/2026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2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/>
      </c>
      <c r="T5163" t="inlineStr">
        <is>
          <t>2</t>
        </is>
      </c>
      <c r="U5163" t="inlineStr">
        <is>
          <t>1</t>
        </is>
      </c>
      <c r="V5163" t="n">
        <v/>
      </c>
      <c r="W5163" t="n">
        <v/>
      </c>
    </row>
    <row r="5164">
      <c r="A5164" t="inlineStr">
        <is>
          <t>03/01/2026 7:06:08</t>
        </is>
      </c>
      <c r="B5164" t="inlineStr">
        <is>
          <t>Hồ Xuân Việt</t>
        </is>
      </c>
      <c r="C5164" t="inlineStr">
        <is>
          <t>02/01/2026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1</v>
      </c>
      <c r="Q5164" t="n">
        <v>1</v>
      </c>
      <c r="R5164" t="n">
        <v>0</v>
      </c>
      <c r="S5164" t="n">
        <v/>
      </c>
      <c r="T5164" t="inlineStr">
        <is>
          <t>2</t>
        </is>
      </c>
      <c r="U5164" t="inlineStr">
        <is>
          <t>1</t>
        </is>
      </c>
      <c r="V5164" t="n">
        <v/>
      </c>
      <c r="W5164" t="n">
        <v/>
      </c>
    </row>
    <row r="5165">
      <c r="A5165" t="inlineStr">
        <is>
          <t>03/01/2026 7:09:05</t>
        </is>
      </c>
      <c r="B5165" t="inlineStr">
        <is>
          <t>Trần Trung Giang</t>
        </is>
      </c>
      <c r="C5165" t="inlineStr">
        <is>
          <t>02/01/2026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1</v>
      </c>
      <c r="O5165" t="n">
        <v>0</v>
      </c>
      <c r="P5165" t="n">
        <v>0</v>
      </c>
      <c r="Q5165" t="n">
        <v>0</v>
      </c>
      <c r="R5165" t="n">
        <v>0</v>
      </c>
      <c r="S5165" t="n">
        <v/>
      </c>
      <c r="T5165" t="inlineStr">
        <is>
          <t>2</t>
        </is>
      </c>
      <c r="U5165" t="inlineStr">
        <is>
          <t>1</t>
        </is>
      </c>
      <c r="V5165" t="n">
        <v/>
      </c>
      <c r="W5165" t="n">
        <v/>
      </c>
    </row>
    <row r="5166">
      <c r="A5166" t="inlineStr">
        <is>
          <t>03/01/2026 7:09:25</t>
        </is>
      </c>
      <c r="B5166" t="inlineStr">
        <is>
          <t>Trần Minh Khánh</t>
        </is>
      </c>
      <c r="C5166" t="inlineStr">
        <is>
          <t>02/01/2026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n">
        <v>1</v>
      </c>
      <c r="M5166" t="n">
        <v>0</v>
      </c>
      <c r="N5166" t="n">
        <v>0</v>
      </c>
      <c r="O5166" t="n">
        <v>0</v>
      </c>
      <c r="P5166" t="n">
        <v>0</v>
      </c>
      <c r="Q5166" t="n">
        <v>2</v>
      </c>
      <c r="R5166" t="n">
        <v>0</v>
      </c>
      <c r="S5166" t="n">
        <v/>
      </c>
      <c r="T5166" t="inlineStr">
        <is>
          <t>2</t>
        </is>
      </c>
      <c r="U5166" t="inlineStr">
        <is>
          <t>1</t>
        </is>
      </c>
      <c r="V5166" t="n">
        <v/>
      </c>
      <c r="W5166" t="n">
        <v/>
      </c>
    </row>
    <row r="5167">
      <c r="A5167" t="inlineStr">
        <is>
          <t>03/01/2026 7:09:30</t>
        </is>
      </c>
      <c r="B5167" t="inlineStr">
        <is>
          <t>Phan Thành Thái</t>
        </is>
      </c>
      <c r="C5167" t="inlineStr">
        <is>
          <t>02/01/2026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3</v>
      </c>
      <c r="J5167" t="n">
        <v>0</v>
      </c>
      <c r="K5167" t="n">
        <v>4</v>
      </c>
      <c r="L5167" t="n">
        <v>0</v>
      </c>
      <c r="M5167" t="n">
        <v>0</v>
      </c>
      <c r="N5167" t="n">
        <v>1</v>
      </c>
      <c r="O5167" t="n">
        <v>0</v>
      </c>
      <c r="P5167" t="n">
        <v>1</v>
      </c>
      <c r="Q5167" t="n">
        <v>4</v>
      </c>
      <c r="R5167" t="n">
        <v>0</v>
      </c>
      <c r="S5167" t="n">
        <v/>
      </c>
      <c r="T5167" t="inlineStr">
        <is>
          <t>2</t>
        </is>
      </c>
      <c r="U5167" t="inlineStr">
        <is>
          <t>1</t>
        </is>
      </c>
      <c r="V5167" t="n">
        <v/>
      </c>
      <c r="W5167" t="n">
        <v/>
      </c>
    </row>
    <row r="5168">
      <c r="A5168" t="inlineStr">
        <is>
          <t>03/01/2026 7:10:24</t>
        </is>
      </c>
      <c r="B5168" t="inlineStr">
        <is>
          <t>Vòng Nhật Sang</t>
        </is>
      </c>
      <c r="C5168" t="inlineStr">
        <is>
          <t>02/01/2026</t>
        </is>
      </c>
      <c r="D5168" t="n">
        <v>1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1</v>
      </c>
      <c r="Q5168" t="n">
        <v>2</v>
      </c>
      <c r="R5168" t="n">
        <v>0</v>
      </c>
      <c r="S5168" t="n">
        <v/>
      </c>
      <c r="T5168" t="inlineStr">
        <is>
          <t>2</t>
        </is>
      </c>
      <c r="U5168" t="inlineStr">
        <is>
          <t>1</t>
        </is>
      </c>
      <c r="V5168" t="n">
        <v/>
      </c>
      <c r="W5168" t="n">
        <v/>
      </c>
    </row>
    <row r="5169">
      <c r="A5169" t="inlineStr">
        <is>
          <t>03/01/2026 7:10:25</t>
        </is>
      </c>
      <c r="B5169" t="inlineStr">
        <is>
          <t>Phan Ngọc Sang</t>
        </is>
      </c>
      <c r="C5169" t="inlineStr">
        <is>
          <t>02/01/2026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1</v>
      </c>
      <c r="M5169" t="n">
        <v>1</v>
      </c>
      <c r="N5169" t="n">
        <v>0</v>
      </c>
      <c r="O5169" t="n">
        <v>0</v>
      </c>
      <c r="P5169" t="n">
        <v>1</v>
      </c>
      <c r="Q5169" t="n">
        <v>1</v>
      </c>
      <c r="R5169" t="n">
        <v>0</v>
      </c>
      <c r="S5169" t="n">
        <v/>
      </c>
      <c r="T5169" t="inlineStr">
        <is>
          <t>2</t>
        </is>
      </c>
      <c r="U5169" t="inlineStr">
        <is>
          <t>1</t>
        </is>
      </c>
      <c r="V5169" t="n">
        <v/>
      </c>
      <c r="W5169" t="n">
        <v/>
      </c>
    </row>
    <row r="5170">
      <c r="A5170" t="inlineStr">
        <is>
          <t>03/01/2026 7:10:58</t>
        </is>
      </c>
      <c r="B5170" t="inlineStr">
        <is>
          <t>Hồ Thái Minh Trí</t>
        </is>
      </c>
      <c r="C5170" t="inlineStr">
        <is>
          <t>02/01/2026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/>
      </c>
      <c r="T5170" t="inlineStr">
        <is>
          <t>2</t>
        </is>
      </c>
      <c r="U5170" t="inlineStr">
        <is>
          <t>1</t>
        </is>
      </c>
      <c r="V5170" t="n">
        <v/>
      </c>
      <c r="W5170" t="n">
        <v/>
      </c>
    </row>
    <row r="5171">
      <c r="A5171" t="inlineStr">
        <is>
          <t>03/01/2026 7:13:17</t>
        </is>
      </c>
      <c r="B5171" t="inlineStr">
        <is>
          <t>Nguyễn Thành Lâm</t>
        </is>
      </c>
      <c r="C5171" t="inlineStr">
        <is>
          <t>02/01/2026</t>
        </is>
      </c>
      <c r="D5171" t="n">
        <v>1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2</v>
      </c>
      <c r="M5171" t="n">
        <v>1</v>
      </c>
      <c r="N5171" t="n">
        <v>0</v>
      </c>
      <c r="O5171" t="n">
        <v>0</v>
      </c>
      <c r="P5171" t="n">
        <v>0</v>
      </c>
      <c r="Q5171" t="n">
        <v>1</v>
      </c>
      <c r="R5171" t="n">
        <v>0</v>
      </c>
      <c r="S5171" t="n">
        <v/>
      </c>
      <c r="T5171" t="inlineStr">
        <is>
          <t>2</t>
        </is>
      </c>
      <c r="U5171" t="inlineStr">
        <is>
          <t>1</t>
        </is>
      </c>
      <c r="V5171" t="n">
        <v/>
      </c>
      <c r="W5171" t="n">
        <v/>
      </c>
    </row>
    <row r="5172">
      <c r="A5172" t="inlineStr">
        <is>
          <t>03/01/2026 7:14:55</t>
        </is>
      </c>
      <c r="B5172" t="inlineStr">
        <is>
          <t>Lương Duy Hoàng</t>
        </is>
      </c>
      <c r="C5172" t="inlineStr">
        <is>
          <t>02/01/2026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1</v>
      </c>
      <c r="L5172" t="n">
        <v>0</v>
      </c>
      <c r="M5172" t="n">
        <v>0</v>
      </c>
      <c r="N5172" t="n">
        <v>0</v>
      </c>
      <c r="O5172" t="n">
        <v>0</v>
      </c>
      <c r="P5172" t="n">
        <v>2</v>
      </c>
      <c r="Q5172" t="n">
        <v>1</v>
      </c>
      <c r="R5172" t="n">
        <v>0</v>
      </c>
      <c r="S5172" t="n">
        <v/>
      </c>
      <c r="T5172" t="inlineStr">
        <is>
          <t>2</t>
        </is>
      </c>
      <c r="U5172" t="inlineStr">
        <is>
          <t>1</t>
        </is>
      </c>
      <c r="V5172" t="n">
        <v/>
      </c>
      <c r="W5172" t="n">
        <v/>
      </c>
    </row>
    <row r="5173">
      <c r="A5173" t="inlineStr">
        <is>
          <t>03/01/2026 7:16:04</t>
        </is>
      </c>
      <c r="B5173" t="inlineStr">
        <is>
          <t>Lê Quốc Duy</t>
        </is>
      </c>
      <c r="C5173" t="inlineStr">
        <is>
          <t>02/01/2026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2</v>
      </c>
      <c r="R5173" t="n">
        <v>0</v>
      </c>
      <c r="S5173" t="n">
        <v/>
      </c>
      <c r="T5173" t="inlineStr">
        <is>
          <t>2</t>
        </is>
      </c>
      <c r="U5173" t="inlineStr">
        <is>
          <t>1</t>
        </is>
      </c>
      <c r="V5173" t="n">
        <v/>
      </c>
      <c r="W5173" t="n">
        <v/>
      </c>
    </row>
    <row r="5174">
      <c r="A5174" t="inlineStr">
        <is>
          <t>03/01/2026 7:16:26</t>
        </is>
      </c>
      <c r="B5174" t="inlineStr">
        <is>
          <t>Đào Công Trung</t>
        </is>
      </c>
      <c r="C5174" t="inlineStr">
        <is>
          <t>02/01/2026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/>
      </c>
      <c r="T5174" t="inlineStr">
        <is>
          <t>2</t>
        </is>
      </c>
      <c r="U5174" t="inlineStr">
        <is>
          <t>1</t>
        </is>
      </c>
      <c r="V5174" t="n">
        <v/>
      </c>
      <c r="W5174" t="n">
        <v/>
      </c>
    </row>
    <row r="5175">
      <c r="A5175" t="inlineStr">
        <is>
          <t>03/01/2026 7:20:18</t>
        </is>
      </c>
      <c r="B5175" t="inlineStr">
        <is>
          <t>Nguyễn Quang Anh Tuấn</t>
        </is>
      </c>
      <c r="C5175" t="inlineStr">
        <is>
          <t>02/01/2026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3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2</v>
      </c>
      <c r="R5175" t="n">
        <v>0</v>
      </c>
      <c r="S5175" t="n">
        <v/>
      </c>
      <c r="T5175" t="inlineStr">
        <is>
          <t>2</t>
        </is>
      </c>
      <c r="U5175" t="inlineStr">
        <is>
          <t>1</t>
        </is>
      </c>
      <c r="V5175" t="n">
        <v/>
      </c>
      <c r="W5175" t="n">
        <v/>
      </c>
    </row>
    <row r="5176">
      <c r="A5176" t="inlineStr">
        <is>
          <t>03/01/2026 7:22:46</t>
        </is>
      </c>
      <c r="B5176" t="inlineStr">
        <is>
          <t>Lê Hồng Phong</t>
        </is>
      </c>
      <c r="C5176" t="inlineStr">
        <is>
          <t>03/01/2026</t>
        </is>
      </c>
      <c r="D5176" t="n">
        <v>1</v>
      </c>
      <c r="E5176" t="n">
        <v>1</v>
      </c>
      <c r="F5176" t="n">
        <v>1</v>
      </c>
      <c r="G5176" t="n">
        <v>0</v>
      </c>
      <c r="H5176" t="n">
        <v>0</v>
      </c>
      <c r="I5176" t="n">
        <v>1</v>
      </c>
      <c r="J5176" t="n">
        <v>1</v>
      </c>
      <c r="K5176" t="n">
        <v>1</v>
      </c>
      <c r="L5176" t="n">
        <v>1</v>
      </c>
      <c r="M5176" t="n">
        <v>1</v>
      </c>
      <c r="N5176" t="n">
        <v>1</v>
      </c>
      <c r="O5176" t="n">
        <v>1</v>
      </c>
      <c r="P5176" t="n">
        <v>1</v>
      </c>
      <c r="Q5176" t="n">
        <v>1</v>
      </c>
      <c r="R5176" t="n">
        <v>1</v>
      </c>
      <c r="S5176" t="n">
        <v/>
      </c>
      <c r="T5176" t="inlineStr">
        <is>
          <t>3</t>
        </is>
      </c>
      <c r="U5176" t="inlineStr">
        <is>
          <t>1</t>
        </is>
      </c>
      <c r="V5176" t="n">
        <v/>
      </c>
      <c r="W5176" t="n">
        <v/>
      </c>
    </row>
    <row r="5177">
      <c r="A5177" t="inlineStr">
        <is>
          <t>03/01/2026 7:26:56</t>
        </is>
      </c>
      <c r="B5177" t="inlineStr">
        <is>
          <t>Huỳnh Văn Lực</t>
        </is>
      </c>
      <c r="C5177" t="inlineStr">
        <is>
          <t>02/01/2026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2</v>
      </c>
      <c r="R5177" t="n">
        <v>0</v>
      </c>
      <c r="S5177" t="n">
        <v/>
      </c>
      <c r="T5177" t="inlineStr">
        <is>
          <t>2</t>
        </is>
      </c>
      <c r="U5177" t="inlineStr">
        <is>
          <t>1</t>
        </is>
      </c>
      <c r="V5177" t="n">
        <v/>
      </c>
      <c r="W5177" t="n">
        <v/>
      </c>
    </row>
    <row r="5178">
      <c r="A5178" t="inlineStr">
        <is>
          <t>03/01/2026 7:32:10</t>
        </is>
      </c>
      <c r="B5178" t="inlineStr">
        <is>
          <t>Nguyễn Tuấn Anh</t>
        </is>
      </c>
      <c r="C5178" t="inlineStr">
        <is>
          <t>02/01/2026</t>
        </is>
      </c>
      <c r="D5178" t="n">
        <v>2</v>
      </c>
      <c r="E5178" t="n">
        <v>0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2</v>
      </c>
      <c r="L5178" t="n">
        <v>0</v>
      </c>
      <c r="M5178" t="n">
        <v>0</v>
      </c>
      <c r="N5178" t="n">
        <v>0</v>
      </c>
      <c r="O5178" t="n">
        <v>0</v>
      </c>
      <c r="P5178" t="n">
        <v>1</v>
      </c>
      <c r="Q5178" t="n">
        <v>5</v>
      </c>
      <c r="R5178" t="n">
        <v>0</v>
      </c>
      <c r="S5178" t="n">
        <v/>
      </c>
      <c r="T5178" t="inlineStr">
        <is>
          <t>2</t>
        </is>
      </c>
      <c r="U5178" t="inlineStr">
        <is>
          <t>1</t>
        </is>
      </c>
      <c r="V5178" t="n">
        <v/>
      </c>
      <c r="W5178" t="n">
        <v/>
      </c>
    </row>
    <row r="5179">
      <c r="A5179" t="inlineStr">
        <is>
          <t>03/01/2026 7:38:14</t>
        </is>
      </c>
      <c r="B5179" t="inlineStr">
        <is>
          <t>Đặng Hữu Danh</t>
        </is>
      </c>
      <c r="C5179" t="inlineStr">
        <is>
          <t>02/01/2026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2</v>
      </c>
      <c r="Q5179" t="n">
        <v>2</v>
      </c>
      <c r="R5179" t="n">
        <v>0</v>
      </c>
      <c r="S5179" t="n">
        <v/>
      </c>
      <c r="T5179" t="inlineStr">
        <is>
          <t>2</t>
        </is>
      </c>
      <c r="U5179" t="inlineStr">
        <is>
          <t>1</t>
        </is>
      </c>
      <c r="V5179" t="n">
        <v/>
      </c>
      <c r="W5179" t="n">
        <v/>
      </c>
    </row>
    <row r="5180">
      <c r="A5180" t="inlineStr">
        <is>
          <t>03/01/2026 7:41:37</t>
        </is>
      </c>
      <c r="B5180" t="inlineStr">
        <is>
          <t>Trần Xuân Khoa</t>
        </is>
      </c>
      <c r="C5180" t="inlineStr">
        <is>
          <t>02/01/2026</t>
        </is>
      </c>
      <c r="D5180" t="n">
        <v>1</v>
      </c>
      <c r="E5180" t="n">
        <v>1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2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3</v>
      </c>
      <c r="R5180" t="n">
        <v>0</v>
      </c>
      <c r="S5180" t="n">
        <v/>
      </c>
      <c r="T5180" t="inlineStr">
        <is>
          <t>2</t>
        </is>
      </c>
      <c r="U5180" t="inlineStr">
        <is>
          <t>1</t>
        </is>
      </c>
      <c r="V5180" t="n">
        <v/>
      </c>
      <c r="W5180" t="n">
        <v/>
      </c>
    </row>
    <row r="5181">
      <c r="A5181" t="inlineStr">
        <is>
          <t>03/01/2026 7:41:54</t>
        </is>
      </c>
      <c r="B5181" t="inlineStr">
        <is>
          <t>Bùi Duy Cường</t>
        </is>
      </c>
      <c r="C5181" t="inlineStr">
        <is>
          <t>01/01/2026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2</v>
      </c>
      <c r="M5181" t="n">
        <v>0</v>
      </c>
      <c r="N5181" t="n">
        <v>0</v>
      </c>
      <c r="O5181" t="n">
        <v>0</v>
      </c>
      <c r="P5181" t="n">
        <v>0</v>
      </c>
      <c r="Q5181" t="n">
        <v>4</v>
      </c>
      <c r="R5181" t="n">
        <v>0</v>
      </c>
      <c r="S5181" t="n">
        <v/>
      </c>
      <c r="T5181" t="inlineStr">
        <is>
          <t>1</t>
        </is>
      </c>
      <c r="U5181" t="inlineStr">
        <is>
          <t>1</t>
        </is>
      </c>
      <c r="V5181" t="n">
        <v/>
      </c>
      <c r="W5181" t="n">
        <v/>
      </c>
    </row>
    <row r="5182">
      <c r="A5182" t="inlineStr">
        <is>
          <t>03/01/2026 7:42:39</t>
        </is>
      </c>
      <c r="B5182" t="inlineStr">
        <is>
          <t>Bùi Duy Cường</t>
        </is>
      </c>
      <c r="C5182" t="inlineStr">
        <is>
          <t>02/01/2026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4</v>
      </c>
      <c r="M5182" t="n">
        <v>1</v>
      </c>
      <c r="N5182" t="n">
        <v>0</v>
      </c>
      <c r="O5182" t="n">
        <v>0</v>
      </c>
      <c r="P5182" t="n">
        <v>2</v>
      </c>
      <c r="Q5182" t="n">
        <v>2</v>
      </c>
      <c r="R5182" t="n">
        <v>0</v>
      </c>
      <c r="S5182" t="n">
        <v/>
      </c>
      <c r="T5182" t="inlineStr">
        <is>
          <t>2</t>
        </is>
      </c>
      <c r="U5182" t="inlineStr">
        <is>
          <t>1</t>
        </is>
      </c>
      <c r="V5182" t="n">
        <v/>
      </c>
      <c r="W5182" t="n">
        <v/>
      </c>
    </row>
    <row r="5183">
      <c r="A5183" t="inlineStr">
        <is>
          <t>03/01/2026 8:24:56</t>
        </is>
      </c>
      <c r="B5183" t="inlineStr">
        <is>
          <t>Nguyễn Hồng Minh</t>
        </is>
      </c>
      <c r="C5183" t="inlineStr">
        <is>
          <t>02/01/2026</t>
        </is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  <c r="I5183" t="n">
        <v>2</v>
      </c>
      <c r="J5183" t="n">
        <v>0</v>
      </c>
      <c r="K5183" t="n">
        <v>1</v>
      </c>
      <c r="L5183" t="n">
        <v>0</v>
      </c>
      <c r="M5183" t="n">
        <v>0</v>
      </c>
      <c r="N5183" t="n">
        <v>1</v>
      </c>
      <c r="O5183" t="n">
        <v>0</v>
      </c>
      <c r="P5183" t="n">
        <v>0</v>
      </c>
      <c r="Q5183" t="n">
        <v>6</v>
      </c>
      <c r="R5183" t="n">
        <v>0</v>
      </c>
      <c r="S5183" t="n">
        <v/>
      </c>
      <c r="T5183" t="inlineStr">
        <is>
          <t>2</t>
        </is>
      </c>
      <c r="U5183" t="inlineStr">
        <is>
          <t>1</t>
        </is>
      </c>
      <c r="V5183" t="n">
        <v/>
      </c>
      <c r="W5183" t="n">
        <v/>
      </c>
    </row>
    <row r="5184">
      <c r="A5184" t="inlineStr">
        <is>
          <t>03/01/2026 8:27:18</t>
        </is>
      </c>
      <c r="B5184" t="inlineStr">
        <is>
          <t>Đặng Hoài Anh</t>
        </is>
      </c>
      <c r="C5184" t="inlineStr">
        <is>
          <t>02/01/2026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2</v>
      </c>
      <c r="R5184" t="n">
        <v>0</v>
      </c>
      <c r="S5184" t="n">
        <v/>
      </c>
      <c r="T5184" t="inlineStr">
        <is>
          <t>2</t>
        </is>
      </c>
      <c r="U5184" t="inlineStr">
        <is>
          <t>1</t>
        </is>
      </c>
      <c r="V5184" t="n">
        <v/>
      </c>
      <c r="W5184" t="n">
        <v/>
      </c>
    </row>
    <row r="5185">
      <c r="A5185" t="inlineStr">
        <is>
          <t>04/01/2026 6:53:30</t>
        </is>
      </c>
      <c r="B5185" t="inlineStr">
        <is>
          <t>Phan Ngọc Sang</t>
        </is>
      </c>
      <c r="C5185" t="inlineStr">
        <is>
          <t>03/01/2026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3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2</v>
      </c>
      <c r="R5185" t="n">
        <v>0</v>
      </c>
      <c r="S5185" t="n">
        <v/>
      </c>
      <c r="T5185" t="inlineStr">
        <is>
          <t>3</t>
        </is>
      </c>
      <c r="U5185" t="inlineStr">
        <is>
          <t>1</t>
        </is>
      </c>
      <c r="V5185" t="n">
        <v/>
      </c>
      <c r="W5185" t="n">
        <v/>
      </c>
    </row>
    <row r="5186">
      <c r="A5186" t="inlineStr">
        <is>
          <t>04/01/2026 6:59:57</t>
        </is>
      </c>
      <c r="B5186" t="inlineStr">
        <is>
          <t>Hồ Xuân Việt</t>
        </is>
      </c>
      <c r="C5186" t="inlineStr">
        <is>
          <t>03/01/2026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2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2</v>
      </c>
      <c r="R5186" t="n">
        <v>0</v>
      </c>
      <c r="S5186" t="n">
        <v/>
      </c>
      <c r="T5186" t="inlineStr">
        <is>
          <t>3</t>
        </is>
      </c>
      <c r="U5186" t="inlineStr">
        <is>
          <t>1</t>
        </is>
      </c>
      <c r="V5186" t="n">
        <v/>
      </c>
      <c r="W5186" t="n">
        <v/>
      </c>
    </row>
    <row r="5187">
      <c r="A5187" t="inlineStr">
        <is>
          <t>04/01/2026 6:59:58</t>
        </is>
      </c>
      <c r="B5187" t="inlineStr">
        <is>
          <t>Dương Minh Tiến</t>
        </is>
      </c>
      <c r="C5187" t="inlineStr">
        <is>
          <t>03/01/2026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4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/>
      </c>
      <c r="T5187" t="inlineStr">
        <is>
          <t>3</t>
        </is>
      </c>
      <c r="U5187" t="inlineStr">
        <is>
          <t>1</t>
        </is>
      </c>
      <c r="V5187" t="n">
        <v/>
      </c>
      <c r="W5187" t="n">
        <v/>
      </c>
    </row>
    <row r="5188">
      <c r="A5188" t="inlineStr">
        <is>
          <t>04/01/2026 7:03:04</t>
        </is>
      </c>
      <c r="B5188" t="inlineStr">
        <is>
          <t>Trần Trung Giang</t>
        </is>
      </c>
      <c r="C5188" t="inlineStr">
        <is>
          <t>03/01/2026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4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/>
      </c>
      <c r="T5188" t="inlineStr">
        <is>
          <t>3</t>
        </is>
      </c>
      <c r="U5188" t="inlineStr">
        <is>
          <t>1</t>
        </is>
      </c>
      <c r="V5188" t="n">
        <v/>
      </c>
      <c r="W5188" t="n">
        <v/>
      </c>
    </row>
    <row r="5189">
      <c r="A5189" t="inlineStr">
        <is>
          <t>04/01/2026 7:07:18</t>
        </is>
      </c>
      <c r="B5189" t="inlineStr">
        <is>
          <t>Phan Thành Thái</t>
        </is>
      </c>
      <c r="C5189" t="inlineStr">
        <is>
          <t>03/01/2026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3</v>
      </c>
      <c r="J5189" t="n">
        <v>0</v>
      </c>
      <c r="K5189" t="n">
        <v>3</v>
      </c>
      <c r="L5189" t="n">
        <v>2</v>
      </c>
      <c r="M5189" t="n">
        <v>0</v>
      </c>
      <c r="N5189" t="n">
        <v>0</v>
      </c>
      <c r="O5189" t="n">
        <v>0</v>
      </c>
      <c r="P5189" t="n">
        <v>0</v>
      </c>
      <c r="Q5189" t="n">
        <v>4</v>
      </c>
      <c r="R5189" t="n">
        <v>0</v>
      </c>
      <c r="S5189" t="n">
        <v/>
      </c>
      <c r="T5189" t="inlineStr">
        <is>
          <t>3</t>
        </is>
      </c>
      <c r="U5189" t="inlineStr">
        <is>
          <t>1</t>
        </is>
      </c>
      <c r="V5189" t="n">
        <v/>
      </c>
      <c r="W5189" t="n">
        <v/>
      </c>
    </row>
    <row r="5190">
      <c r="A5190" t="inlineStr">
        <is>
          <t>04/01/2026 7:11:42</t>
        </is>
      </c>
      <c r="B5190" t="inlineStr">
        <is>
          <t>Lương Duy Hoàng</t>
        </is>
      </c>
      <c r="C5190" t="inlineStr">
        <is>
          <t>03/01/2026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3</v>
      </c>
      <c r="L5190" t="n">
        <v>1</v>
      </c>
      <c r="M5190" t="n">
        <v>1</v>
      </c>
      <c r="N5190" t="n">
        <v>0</v>
      </c>
      <c r="O5190" t="n">
        <v>0</v>
      </c>
      <c r="P5190" t="n">
        <v>0</v>
      </c>
      <c r="Q5190" t="n">
        <v>1</v>
      </c>
      <c r="R5190" t="n">
        <v>1</v>
      </c>
      <c r="S5190" t="n">
        <v/>
      </c>
      <c r="T5190" t="inlineStr">
        <is>
          <t>3</t>
        </is>
      </c>
      <c r="U5190" t="inlineStr">
        <is>
          <t>1</t>
        </is>
      </c>
      <c r="V5190" t="n">
        <v/>
      </c>
      <c r="W5190" t="n">
        <v/>
      </c>
    </row>
    <row r="5191">
      <c r="A5191" t="inlineStr">
        <is>
          <t>04/01/2026 7:16:19</t>
        </is>
      </c>
      <c r="B5191" t="inlineStr">
        <is>
          <t>Nguyễn Văn Hiệp</t>
        </is>
      </c>
      <c r="C5191" t="inlineStr">
        <is>
          <t>03/01/2026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4</v>
      </c>
      <c r="L5191" t="n">
        <v>0</v>
      </c>
      <c r="M5191" t="n">
        <v>1</v>
      </c>
      <c r="N5191" t="n">
        <v>1</v>
      </c>
      <c r="O5191" t="n">
        <v>0</v>
      </c>
      <c r="P5191" t="n">
        <v>0</v>
      </c>
      <c r="Q5191" t="n">
        <v>0</v>
      </c>
      <c r="R5191" t="n">
        <v>0</v>
      </c>
      <c r="S5191" t="n">
        <v/>
      </c>
      <c r="T5191" t="inlineStr">
        <is>
          <t>3</t>
        </is>
      </c>
      <c r="U5191" t="inlineStr">
        <is>
          <t>1</t>
        </is>
      </c>
      <c r="V5191" t="n">
        <v/>
      </c>
      <c r="W5191" t="n">
        <v/>
      </c>
    </row>
    <row r="5192">
      <c r="A5192" t="inlineStr">
        <is>
          <t>04/01/2026 7:16:29</t>
        </is>
      </c>
      <c r="B5192" t="inlineStr">
        <is>
          <t>Trần Xuân Khoa</t>
        </is>
      </c>
      <c r="C5192" t="inlineStr">
        <is>
          <t>03/01/2026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5</v>
      </c>
      <c r="M5192" t="n">
        <v>0</v>
      </c>
      <c r="N5192" t="n">
        <v>0</v>
      </c>
      <c r="O5192" t="n">
        <v>0</v>
      </c>
      <c r="P5192" t="n">
        <v>0</v>
      </c>
      <c r="Q5192" t="n">
        <v>2</v>
      </c>
      <c r="R5192" t="n">
        <v>0</v>
      </c>
      <c r="S5192" t="n">
        <v/>
      </c>
      <c r="T5192" t="inlineStr">
        <is>
          <t>3</t>
        </is>
      </c>
      <c r="U5192" t="inlineStr">
        <is>
          <t>1</t>
        </is>
      </c>
      <c r="V5192" t="n">
        <v/>
      </c>
      <c r="W5192" t="n">
        <v/>
      </c>
    </row>
    <row r="5193">
      <c r="A5193" t="inlineStr">
        <is>
          <t>04/01/2026 7:18:45</t>
        </is>
      </c>
      <c r="B5193" t="inlineStr">
        <is>
          <t>Đào Công Trung</t>
        </is>
      </c>
      <c r="C5193" t="inlineStr">
        <is>
          <t>03/01/2026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4</v>
      </c>
      <c r="M5193" t="n">
        <v>0</v>
      </c>
      <c r="N5193" t="n">
        <v>0</v>
      </c>
      <c r="O5193" t="n">
        <v>0</v>
      </c>
      <c r="P5193" t="n">
        <v>0</v>
      </c>
      <c r="Q5193" t="n">
        <v>2</v>
      </c>
      <c r="R5193" t="n">
        <v>0</v>
      </c>
      <c r="S5193" t="n">
        <v/>
      </c>
      <c r="T5193" t="inlineStr">
        <is>
          <t>3</t>
        </is>
      </c>
      <c r="U5193" t="inlineStr">
        <is>
          <t>1</t>
        </is>
      </c>
      <c r="V5193" t="n">
        <v/>
      </c>
      <c r="W5193" t="n">
        <v/>
      </c>
    </row>
    <row r="5194">
      <c r="A5194" t="inlineStr">
        <is>
          <t>04/01/2026 7:19:31</t>
        </is>
      </c>
      <c r="B5194" t="inlineStr">
        <is>
          <t>Vòng Nhật Sang</t>
        </is>
      </c>
      <c r="C5194" t="inlineStr">
        <is>
          <t>03/01/2026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2</v>
      </c>
      <c r="Q5194" t="n">
        <v>2</v>
      </c>
      <c r="R5194" t="n">
        <v>0</v>
      </c>
      <c r="S5194" t="n">
        <v/>
      </c>
      <c r="T5194" t="inlineStr">
        <is>
          <t>3</t>
        </is>
      </c>
      <c r="U5194" t="inlineStr">
        <is>
          <t>1</t>
        </is>
      </c>
      <c r="V5194" t="n">
        <v/>
      </c>
      <c r="W5194" t="n">
        <v/>
      </c>
    </row>
    <row r="5195">
      <c r="A5195" t="inlineStr">
        <is>
          <t>04/01/2026 7:19:34</t>
        </is>
      </c>
      <c r="B5195" t="inlineStr">
        <is>
          <t>Nguyễn Quang Anh Tuấn</t>
        </is>
      </c>
      <c r="C5195" t="inlineStr">
        <is>
          <t>03/01/2026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4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2</v>
      </c>
      <c r="R5195" t="n">
        <v>0</v>
      </c>
      <c r="S5195" t="n">
        <v/>
      </c>
      <c r="T5195" t="inlineStr">
        <is>
          <t>3</t>
        </is>
      </c>
      <c r="U5195" t="inlineStr">
        <is>
          <t>1</t>
        </is>
      </c>
      <c r="V5195" t="n">
        <v/>
      </c>
      <c r="W5195" t="n">
        <v/>
      </c>
    </row>
    <row r="5196">
      <c r="A5196" t="inlineStr">
        <is>
          <t>04/01/2026 7:24:26</t>
        </is>
      </c>
      <c r="B5196" t="inlineStr">
        <is>
          <t>Lê Hồng Phong</t>
        </is>
      </c>
      <c r="C5196" t="inlineStr">
        <is>
          <t>04/01/2026</t>
        </is>
      </c>
      <c r="D5196" t="n">
        <v>1</v>
      </c>
      <c r="E5196" t="n">
        <v>1</v>
      </c>
      <c r="F5196" t="n">
        <v>1</v>
      </c>
      <c r="G5196" t="n">
        <v>0</v>
      </c>
      <c r="H5196" t="n">
        <v>0</v>
      </c>
      <c r="I5196" t="n">
        <v>1</v>
      </c>
      <c r="J5196" t="n">
        <v>1</v>
      </c>
      <c r="K5196" t="n">
        <v>1</v>
      </c>
      <c r="L5196" t="n">
        <v>1</v>
      </c>
      <c r="M5196" t="n">
        <v>1</v>
      </c>
      <c r="N5196" t="n">
        <v>1</v>
      </c>
      <c r="O5196" t="n">
        <v>1</v>
      </c>
      <c r="P5196" t="n">
        <v>1</v>
      </c>
      <c r="Q5196" t="n">
        <v>1</v>
      </c>
      <c r="R5196" t="n">
        <v>1</v>
      </c>
      <c r="S5196" t="n">
        <v/>
      </c>
      <c r="T5196" t="inlineStr">
        <is>
          <t>4</t>
        </is>
      </c>
      <c r="U5196" t="inlineStr">
        <is>
          <t>1</t>
        </is>
      </c>
      <c r="V5196" t="n">
        <v/>
      </c>
      <c r="W5196" t="n">
        <v/>
      </c>
    </row>
    <row r="5197">
      <c r="A5197" t="inlineStr">
        <is>
          <t>04/01/2026 7:26:57</t>
        </is>
      </c>
      <c r="B5197" t="inlineStr">
        <is>
          <t>Lê Quốc Duy</t>
        </is>
      </c>
      <c r="C5197" t="inlineStr">
        <is>
          <t>03/01/2026</t>
        </is>
      </c>
      <c r="D5197" t="n">
        <v>1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5</v>
      </c>
      <c r="M5197" t="n">
        <v>1</v>
      </c>
      <c r="N5197" t="n">
        <v>0</v>
      </c>
      <c r="O5197" t="n">
        <v>0</v>
      </c>
      <c r="P5197" t="n">
        <v>1</v>
      </c>
      <c r="Q5197" t="n">
        <v>2</v>
      </c>
      <c r="R5197" t="n">
        <v>0</v>
      </c>
      <c r="S5197" t="n">
        <v/>
      </c>
      <c r="T5197" t="inlineStr">
        <is>
          <t>3</t>
        </is>
      </c>
      <c r="U5197" t="inlineStr">
        <is>
          <t>1</t>
        </is>
      </c>
      <c r="V5197" t="n">
        <v/>
      </c>
      <c r="W5197" t="n">
        <v/>
      </c>
    </row>
    <row r="5198">
      <c r="A5198" t="inlineStr">
        <is>
          <t>04/01/2026 7:33:27</t>
        </is>
      </c>
      <c r="B5198" t="inlineStr">
        <is>
          <t>Nguyễn Tuấn Anh</t>
        </is>
      </c>
      <c r="C5198" t="inlineStr">
        <is>
          <t>03/01/2026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5</v>
      </c>
      <c r="L5198" t="n">
        <v>1</v>
      </c>
      <c r="M5198" t="n">
        <v>0</v>
      </c>
      <c r="N5198" t="n">
        <v>0</v>
      </c>
      <c r="O5198" t="n">
        <v>0</v>
      </c>
      <c r="P5198" t="n">
        <v>0</v>
      </c>
      <c r="Q5198" t="n">
        <v>2</v>
      </c>
      <c r="R5198" t="n">
        <v>0</v>
      </c>
      <c r="S5198" t="n">
        <v/>
      </c>
      <c r="T5198" t="inlineStr">
        <is>
          <t>3</t>
        </is>
      </c>
      <c r="U5198" t="inlineStr">
        <is>
          <t>1</t>
        </is>
      </c>
      <c r="V5198" t="n">
        <v/>
      </c>
      <c r="W5198" t="n">
        <v/>
      </c>
    </row>
    <row r="5199">
      <c r="A5199" t="inlineStr">
        <is>
          <t>04/01/2026 7:58:23</t>
        </is>
      </c>
      <c r="B5199" t="inlineStr">
        <is>
          <t>Nguyễn Thành Lâm</t>
        </is>
      </c>
      <c r="C5199" t="inlineStr">
        <is>
          <t>03/01/2020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2</v>
      </c>
      <c r="M5199" t="n">
        <v>0</v>
      </c>
      <c r="N5199" t="n">
        <v>0</v>
      </c>
      <c r="O5199" t="n">
        <v>0</v>
      </c>
      <c r="P5199" t="n">
        <v>0</v>
      </c>
      <c r="Q5199" t="n">
        <v>1</v>
      </c>
      <c r="R5199" t="n">
        <v>0</v>
      </c>
      <c r="S5199" t="n">
        <v/>
      </c>
      <c r="T5199" t="inlineStr">
        <is>
          <t>3</t>
        </is>
      </c>
      <c r="U5199" t="inlineStr">
        <is>
          <t>1</t>
        </is>
      </c>
      <c r="V5199" t="n">
        <v/>
      </c>
      <c r="W5199" t="n">
        <v/>
      </c>
    </row>
    <row r="5200">
      <c r="A5200" t="inlineStr">
        <is>
          <t>04/01/2026 8:09:57</t>
        </is>
      </c>
      <c r="B5200" t="inlineStr">
        <is>
          <t>Đặng Hữu Danh</t>
        </is>
      </c>
      <c r="C5200" t="inlineStr">
        <is>
          <t>03/01/2026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3</v>
      </c>
      <c r="M5200" t="n">
        <v>0</v>
      </c>
      <c r="N5200" t="n">
        <v>0</v>
      </c>
      <c r="O5200" t="n">
        <v>0</v>
      </c>
      <c r="P5200" t="n">
        <v>1</v>
      </c>
      <c r="Q5200" t="n">
        <v>2</v>
      </c>
      <c r="R5200" t="n">
        <v>0</v>
      </c>
      <c r="S5200" t="n">
        <v/>
      </c>
      <c r="T5200" t="inlineStr">
        <is>
          <t>3</t>
        </is>
      </c>
      <c r="U5200" t="inlineStr">
        <is>
          <t>1</t>
        </is>
      </c>
      <c r="V5200" t="n">
        <v/>
      </c>
      <c r="W5200" t="n">
        <v/>
      </c>
    </row>
    <row r="5201">
      <c r="A5201" t="inlineStr">
        <is>
          <t>04/01/2026 8:10:21</t>
        </is>
      </c>
      <c r="B5201" t="inlineStr">
        <is>
          <t>Lê Văn Hồng</t>
        </is>
      </c>
      <c r="C5201" t="inlineStr">
        <is>
          <t>03/01/1026</t>
        </is>
      </c>
      <c r="D5201" t="n">
        <v>2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5</v>
      </c>
      <c r="L5201" t="n">
        <v>1</v>
      </c>
      <c r="M5201" t="n">
        <v>2</v>
      </c>
      <c r="N5201" t="n">
        <v>0</v>
      </c>
      <c r="O5201" t="n">
        <v>0</v>
      </c>
      <c r="P5201" t="n">
        <v>1</v>
      </c>
      <c r="Q5201" t="n">
        <v>2</v>
      </c>
      <c r="R5201" t="n">
        <v>0</v>
      </c>
      <c r="S5201" t="n">
        <v/>
      </c>
      <c r="T5201" t="e">
        <v>#NUM!</v>
      </c>
      <c r="U5201" t="e">
        <v>#NUM!</v>
      </c>
      <c r="V5201" t="n">
        <v/>
      </c>
      <c r="W5201" t="n">
        <v/>
      </c>
    </row>
    <row r="5202">
      <c r="A5202" t="inlineStr">
        <is>
          <t>04/01/2026 8:15:04</t>
        </is>
      </c>
      <c r="B5202" t="inlineStr">
        <is>
          <t>Nguyễn Hồng Minh</t>
        </is>
      </c>
      <c r="C5202" t="inlineStr">
        <is>
          <t>03/01/2026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3</v>
      </c>
      <c r="J5202" t="n">
        <v>0</v>
      </c>
      <c r="K5202" t="n">
        <v>0</v>
      </c>
      <c r="L5202" t="n">
        <v>0</v>
      </c>
      <c r="M5202" t="n">
        <v>1</v>
      </c>
      <c r="N5202" t="n">
        <v>1</v>
      </c>
      <c r="O5202" t="n">
        <v>0</v>
      </c>
      <c r="P5202" t="n">
        <v>0</v>
      </c>
      <c r="Q5202" t="n">
        <v>5</v>
      </c>
      <c r="R5202" t="n">
        <v>0</v>
      </c>
      <c r="S5202" t="n">
        <v/>
      </c>
      <c r="T5202" t="inlineStr">
        <is>
          <t>3</t>
        </is>
      </c>
      <c r="U5202" t="inlineStr">
        <is>
          <t>1</t>
        </is>
      </c>
      <c r="V5202" t="n">
        <v/>
      </c>
      <c r="W5202" t="n">
        <v/>
      </c>
    </row>
    <row r="5203">
      <c r="A5203" t="inlineStr">
        <is>
          <t>04/01/2026 8:30:14</t>
        </is>
      </c>
      <c r="B5203" t="inlineStr">
        <is>
          <t>Huỳnh Văn Lực</t>
        </is>
      </c>
      <c r="C5203" t="inlineStr">
        <is>
          <t>03/01/2026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1</v>
      </c>
      <c r="L5203" t="n">
        <v>0</v>
      </c>
      <c r="M5203" t="n">
        <v>0</v>
      </c>
      <c r="N5203" t="n">
        <v>0</v>
      </c>
      <c r="O5203" t="n">
        <v>0</v>
      </c>
      <c r="P5203" t="n">
        <v>1</v>
      </c>
      <c r="Q5203" t="n">
        <v>1</v>
      </c>
      <c r="R5203" t="n">
        <v>0</v>
      </c>
      <c r="S5203" t="n">
        <v/>
      </c>
      <c r="T5203" t="inlineStr">
        <is>
          <t>3</t>
        </is>
      </c>
      <c r="U5203" t="inlineStr">
        <is>
          <t>1</t>
        </is>
      </c>
      <c r="V5203" t="n">
        <v/>
      </c>
      <c r="W5203" t="n">
        <v/>
      </c>
    </row>
    <row r="5204">
      <c r="A5204" t="inlineStr">
        <is>
          <t>04/01/2026 8:42:27</t>
        </is>
      </c>
      <c r="B5204" t="inlineStr">
        <is>
          <t>Hồ Thái Minh Trí</t>
        </is>
      </c>
      <c r="C5204" t="inlineStr">
        <is>
          <t>03/01/2025</t>
        </is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3</v>
      </c>
      <c r="R5204" t="n">
        <v>0</v>
      </c>
      <c r="S5204" t="n">
        <v/>
      </c>
      <c r="T5204" t="inlineStr">
        <is>
          <t>3</t>
        </is>
      </c>
      <c r="U5204" t="inlineStr">
        <is>
          <t>1</t>
        </is>
      </c>
      <c r="V5204" t="n">
        <v/>
      </c>
      <c r="W5204" t="n">
        <v/>
      </c>
    </row>
    <row r="5205">
      <c r="A5205" t="inlineStr">
        <is>
          <t>04/01/2026 9:07:30</t>
        </is>
      </c>
      <c r="B5205" t="inlineStr">
        <is>
          <t>Đặng Hoài Anh</t>
        </is>
      </c>
      <c r="C5205" t="inlineStr">
        <is>
          <t>03/01/2026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/>
      </c>
      <c r="T5205" t="inlineStr">
        <is>
          <t>3</t>
        </is>
      </c>
      <c r="U5205" t="inlineStr">
        <is>
          <t>1</t>
        </is>
      </c>
      <c r="V5205" t="n">
        <v/>
      </c>
      <c r="W5205" t="n">
        <v/>
      </c>
    </row>
    <row r="5206">
      <c r="A5206" t="inlineStr">
        <is>
          <t>04/01/2026 10:00:00</t>
        </is>
      </c>
      <c r="B5206" t="inlineStr">
        <is>
          <t>Trần Minh Khánh</t>
        </is>
      </c>
      <c r="C5206" t="inlineStr">
        <is>
          <t>03/01/2026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</v>
      </c>
      <c r="J5206" t="n">
        <v>0</v>
      </c>
      <c r="K5206" t="n">
        <v>0</v>
      </c>
      <c r="L5206" t="n">
        <v>3</v>
      </c>
      <c r="M5206" t="n">
        <v>0</v>
      </c>
      <c r="N5206" t="n">
        <v>0</v>
      </c>
      <c r="O5206" t="n">
        <v>0</v>
      </c>
      <c r="P5206" t="n">
        <v>0</v>
      </c>
      <c r="Q5206" t="n">
        <v>3</v>
      </c>
      <c r="R5206" t="n">
        <v>0</v>
      </c>
      <c r="S5206" t="n">
        <v/>
      </c>
      <c r="T5206" t="inlineStr">
        <is>
          <t>3</t>
        </is>
      </c>
      <c r="U5206" t="inlineStr">
        <is>
          <t>1</t>
        </is>
      </c>
      <c r="V5206" t="n">
        <v/>
      </c>
      <c r="W5206" t="n">
        <v/>
      </c>
    </row>
    <row r="5207">
      <c r="A5207" t="inlineStr">
        <is>
          <t>05/01/2026 5:57:56</t>
        </is>
      </c>
      <c r="B5207" t="inlineStr">
        <is>
          <t>Phan Thành Thái</t>
        </is>
      </c>
      <c r="C5207" t="inlineStr">
        <is>
          <t>04/01/2026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2</v>
      </c>
      <c r="J5207" t="n">
        <v>0</v>
      </c>
      <c r="K5207" t="n">
        <v>0</v>
      </c>
      <c r="L5207" t="n">
        <v>2</v>
      </c>
      <c r="M5207" t="n">
        <v>0</v>
      </c>
      <c r="N5207" t="n">
        <v>0</v>
      </c>
      <c r="O5207" t="n">
        <v>0</v>
      </c>
      <c r="P5207" t="n">
        <v>1</v>
      </c>
      <c r="Q5207" t="n">
        <v>6</v>
      </c>
      <c r="R5207" t="n">
        <v>0</v>
      </c>
      <c r="S5207" t="n">
        <v/>
      </c>
      <c r="T5207" t="inlineStr">
        <is>
          <t>4</t>
        </is>
      </c>
      <c r="U5207" t="inlineStr">
        <is>
          <t>1</t>
        </is>
      </c>
      <c r="V5207" t="n">
        <v/>
      </c>
      <c r="W5207" t="n">
        <v/>
      </c>
    </row>
    <row r="5208">
      <c r="A5208" t="inlineStr">
        <is>
          <t>05/01/2026 6:38:01</t>
        </is>
      </c>
      <c r="B5208" t="inlineStr">
        <is>
          <t>Phan Ngọc Sang</t>
        </is>
      </c>
      <c r="C5208" t="inlineStr">
        <is>
          <t>04/01/2026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1</v>
      </c>
      <c r="M5208" t="n">
        <v>1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/>
      </c>
      <c r="T5208" t="inlineStr">
        <is>
          <t>4</t>
        </is>
      </c>
      <c r="U5208" t="inlineStr">
        <is>
          <t>1</t>
        </is>
      </c>
      <c r="V5208" t="n">
        <v/>
      </c>
      <c r="W5208" t="n">
        <v/>
      </c>
    </row>
    <row r="5209">
      <c r="A5209" t="inlineStr">
        <is>
          <t>05/01/2026 6:40:05</t>
        </is>
      </c>
      <c r="B5209" t="inlineStr">
        <is>
          <t>Dương Minh Tiến</t>
        </is>
      </c>
      <c r="C5209" t="inlineStr">
        <is>
          <t>04/01/2026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4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/>
      </c>
      <c r="T5209" t="inlineStr">
        <is>
          <t>4</t>
        </is>
      </c>
      <c r="U5209" t="inlineStr">
        <is>
          <t>1</t>
        </is>
      </c>
      <c r="V5209" t="n">
        <v/>
      </c>
      <c r="W5209" t="n">
        <v/>
      </c>
    </row>
    <row r="5210">
      <c r="A5210" t="inlineStr">
        <is>
          <t>05/01/2026 6:48:42</t>
        </is>
      </c>
      <c r="B5210" t="inlineStr">
        <is>
          <t>Đào Công Trung</t>
        </is>
      </c>
      <c r="C5210" t="inlineStr">
        <is>
          <t>04/01/2026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4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/>
      </c>
      <c r="T5210" t="inlineStr">
        <is>
          <t>4</t>
        </is>
      </c>
      <c r="U5210" t="inlineStr">
        <is>
          <t>1</t>
        </is>
      </c>
      <c r="V5210" t="n">
        <v/>
      </c>
      <c r="W5210" t="n">
        <v/>
      </c>
    </row>
    <row r="5211">
      <c r="A5211" t="inlineStr">
        <is>
          <t>05/01/2026 6:48:55</t>
        </is>
      </c>
      <c r="B5211" t="inlineStr">
        <is>
          <t>Nguyễn Văn Hiệp</t>
        </is>
      </c>
      <c r="C5211" t="inlineStr">
        <is>
          <t>04/01/2026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/>
      </c>
      <c r="T5211" t="inlineStr">
        <is>
          <t>4</t>
        </is>
      </c>
      <c r="U5211" t="inlineStr">
        <is>
          <t>1</t>
        </is>
      </c>
      <c r="V5211" t="n">
        <v/>
      </c>
      <c r="W5211" t="n">
        <v/>
      </c>
    </row>
    <row r="5212">
      <c r="A5212" t="inlineStr">
        <is>
          <t>05/01/2026 6:49:56</t>
        </is>
      </c>
      <c r="B5212" t="inlineStr">
        <is>
          <t>Huỳnh Văn Lực</t>
        </is>
      </c>
      <c r="C5212" t="inlineStr">
        <is>
          <t>04/01/2026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5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/>
      </c>
      <c r="T5212" t="inlineStr">
        <is>
          <t>4</t>
        </is>
      </c>
      <c r="U5212" t="inlineStr">
        <is>
          <t>1</t>
        </is>
      </c>
      <c r="V5212" t="n">
        <v/>
      </c>
      <c r="W5212" t="n">
        <v/>
      </c>
    </row>
    <row r="5213">
      <c r="A5213" t="inlineStr">
        <is>
          <t>05/01/2026 6:51:30</t>
        </is>
      </c>
      <c r="B5213" t="inlineStr">
        <is>
          <t>Lê Hồng Phong</t>
        </is>
      </c>
      <c r="C5213" t="inlineStr">
        <is>
          <t>05/01/2026</t>
        </is>
      </c>
      <c r="D5213" t="n">
        <v>1</v>
      </c>
      <c r="E5213" t="n">
        <v>1</v>
      </c>
      <c r="F5213" t="n">
        <v>1</v>
      </c>
      <c r="G5213" t="n">
        <v>0</v>
      </c>
      <c r="H5213" t="n">
        <v>0</v>
      </c>
      <c r="I5213" t="n">
        <v>1</v>
      </c>
      <c r="J5213" t="n">
        <v>1</v>
      </c>
      <c r="K5213" t="n">
        <v>1</v>
      </c>
      <c r="L5213" t="n">
        <v>1</v>
      </c>
      <c r="M5213" t="n">
        <v>1</v>
      </c>
      <c r="N5213" t="n">
        <v>1</v>
      </c>
      <c r="O5213" t="n">
        <v>0</v>
      </c>
      <c r="P5213" t="n">
        <v>1</v>
      </c>
      <c r="Q5213" t="n">
        <v>1</v>
      </c>
      <c r="R5213" t="n">
        <v>1</v>
      </c>
      <c r="S5213" t="n">
        <v/>
      </c>
      <c r="T5213" t="inlineStr">
        <is>
          <t>5</t>
        </is>
      </c>
      <c r="U5213" t="inlineStr">
        <is>
          <t>1</t>
        </is>
      </c>
      <c r="V5213" t="n">
        <v/>
      </c>
      <c r="W5213" t="n">
        <v/>
      </c>
    </row>
    <row r="5214">
      <c r="A5214" t="inlineStr">
        <is>
          <t>05/01/2026 6:53:21</t>
        </is>
      </c>
      <c r="B5214" t="inlineStr">
        <is>
          <t>Nguyễn Quang Anh Tuấn</t>
        </is>
      </c>
      <c r="C5214" t="inlineStr">
        <is>
          <t>04/01/2026</t>
        </is>
      </c>
      <c r="D5214" t="n">
        <v>1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/>
      </c>
      <c r="T5214" t="inlineStr">
        <is>
          <t>4</t>
        </is>
      </c>
      <c r="U5214" t="inlineStr">
        <is>
          <t>1</t>
        </is>
      </c>
      <c r="V5214" t="n">
        <v/>
      </c>
      <c r="W5214" t="n">
        <v/>
      </c>
    </row>
    <row r="5215">
      <c r="A5215" t="inlineStr">
        <is>
          <t>05/01/2026 6:53:29</t>
        </is>
      </c>
      <c r="B5215" t="inlineStr">
        <is>
          <t>Đặng Hữu Danh</t>
        </is>
      </c>
      <c r="C5215" t="inlineStr">
        <is>
          <t>04/01/2026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5</v>
      </c>
      <c r="M5215" t="n">
        <v>0</v>
      </c>
      <c r="N5215" t="n">
        <v>0</v>
      </c>
      <c r="O5215" t="n">
        <v>0</v>
      </c>
      <c r="P5215" t="n">
        <v>1</v>
      </c>
      <c r="Q5215" t="n">
        <v>2</v>
      </c>
      <c r="R5215" t="n">
        <v>0</v>
      </c>
      <c r="S5215" t="n">
        <v/>
      </c>
      <c r="T5215" t="inlineStr">
        <is>
          <t>4</t>
        </is>
      </c>
      <c r="U5215" t="inlineStr">
        <is>
          <t>1</t>
        </is>
      </c>
      <c r="V5215" t="n">
        <v/>
      </c>
      <c r="W5215" t="n">
        <v/>
      </c>
    </row>
    <row r="5216">
      <c r="A5216" t="inlineStr">
        <is>
          <t>05/01/2026 6:53:29</t>
        </is>
      </c>
      <c r="B5216" t="inlineStr">
        <is>
          <t>Nguyễn Thành Lâm</t>
        </is>
      </c>
      <c r="C5216" t="inlineStr">
        <is>
          <t>04/01/2025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2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/>
      </c>
      <c r="T5216" t="inlineStr">
        <is>
          <t>4</t>
        </is>
      </c>
      <c r="U5216" t="inlineStr">
        <is>
          <t>1</t>
        </is>
      </c>
      <c r="V5216" t="n">
        <v/>
      </c>
      <c r="W5216" t="n">
        <v/>
      </c>
    </row>
    <row r="5217">
      <c r="A5217" t="inlineStr">
        <is>
          <t>05/01/2026 6:54:39</t>
        </is>
      </c>
      <c r="B5217" t="inlineStr">
        <is>
          <t>Hồ Xuân Việt</t>
        </is>
      </c>
      <c r="C5217" t="inlineStr">
        <is>
          <t>04/01/2026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1</v>
      </c>
      <c r="R5217" t="n">
        <v>0</v>
      </c>
      <c r="S5217" t="n">
        <v/>
      </c>
      <c r="T5217" t="inlineStr">
        <is>
          <t>4</t>
        </is>
      </c>
      <c r="U5217" t="inlineStr">
        <is>
          <t>1</t>
        </is>
      </c>
      <c r="V5217" t="n">
        <v/>
      </c>
      <c r="W5217" t="n">
        <v/>
      </c>
    </row>
    <row r="5218">
      <c r="A5218" t="inlineStr">
        <is>
          <t>05/01/2026 6:56:17</t>
        </is>
      </c>
      <c r="B5218" t="inlineStr">
        <is>
          <t>Trần Trung Giang</t>
        </is>
      </c>
      <c r="C5218" t="inlineStr">
        <is>
          <t>04/01/2026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/>
      </c>
      <c r="T5218" t="inlineStr">
        <is>
          <t>4</t>
        </is>
      </c>
      <c r="U5218" t="inlineStr">
        <is>
          <t>1</t>
        </is>
      </c>
      <c r="V5218" t="n">
        <v/>
      </c>
      <c r="W5218" t="n">
        <v/>
      </c>
    </row>
    <row r="5219">
      <c r="A5219" t="inlineStr">
        <is>
          <t>05/01/2026 6:57:45</t>
        </is>
      </c>
      <c r="B5219" t="inlineStr">
        <is>
          <t>Lương Duy Hải</t>
        </is>
      </c>
      <c r="C5219" t="inlineStr">
        <is>
          <t>04/01/2026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2</v>
      </c>
      <c r="L5219" t="n">
        <v>1</v>
      </c>
      <c r="M5219" t="n">
        <v>1</v>
      </c>
      <c r="N5219" t="n">
        <v>0</v>
      </c>
      <c r="O5219" t="n">
        <v>0</v>
      </c>
      <c r="P5219" t="n">
        <v>1</v>
      </c>
      <c r="Q5219" t="n">
        <v>2</v>
      </c>
      <c r="R5219" t="n">
        <v>1</v>
      </c>
      <c r="S5219" t="n">
        <v/>
      </c>
      <c r="T5219" t="inlineStr">
        <is>
          <t>4</t>
        </is>
      </c>
      <c r="U5219" t="inlineStr">
        <is>
          <t>1</t>
        </is>
      </c>
      <c r="V5219" t="n">
        <v/>
      </c>
      <c r="W5219" t="n">
        <v/>
      </c>
    </row>
    <row r="5220">
      <c r="A5220" t="inlineStr">
        <is>
          <t>05/01/2026 6:58:43</t>
        </is>
      </c>
      <c r="B5220" t="inlineStr">
        <is>
          <t>Vòng Nhật Sang</t>
        </is>
      </c>
      <c r="C5220" t="inlineStr">
        <is>
          <t>04/01/2026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1</v>
      </c>
      <c r="Q5220" t="n">
        <v>2</v>
      </c>
      <c r="R5220" t="n">
        <v>0</v>
      </c>
      <c r="S5220" t="n">
        <v/>
      </c>
      <c r="T5220" t="inlineStr">
        <is>
          <t>4</t>
        </is>
      </c>
      <c r="U5220" t="inlineStr">
        <is>
          <t>1</t>
        </is>
      </c>
      <c r="V5220" t="n">
        <v/>
      </c>
      <c r="W5220" t="n">
        <v/>
      </c>
    </row>
    <row r="5221">
      <c r="A5221" t="inlineStr">
        <is>
          <t>05/01/2026 7:04:01</t>
        </is>
      </c>
      <c r="B5221" t="inlineStr">
        <is>
          <t>Trần Xuân Khoa</t>
        </is>
      </c>
      <c r="C5221" t="inlineStr">
        <is>
          <t>04/01/2026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2</v>
      </c>
      <c r="M5221" t="n">
        <v>0</v>
      </c>
      <c r="N5221" t="n">
        <v>0</v>
      </c>
      <c r="O5221" t="n">
        <v>0</v>
      </c>
      <c r="P5221" t="n">
        <v>1</v>
      </c>
      <c r="Q5221" t="n">
        <v>2</v>
      </c>
      <c r="R5221" t="n">
        <v>0</v>
      </c>
      <c r="S5221" t="n">
        <v/>
      </c>
      <c r="T5221" t="inlineStr">
        <is>
          <t>4</t>
        </is>
      </c>
      <c r="U5221" t="inlineStr">
        <is>
          <t>1</t>
        </is>
      </c>
      <c r="V5221" t="n">
        <v/>
      </c>
      <c r="W5221" t="n">
        <v/>
      </c>
    </row>
    <row r="5222">
      <c r="A5222" t="inlineStr">
        <is>
          <t>05/01/2026 7:08:01</t>
        </is>
      </c>
      <c r="B5222" t="inlineStr">
        <is>
          <t>Nguyễn Văn Nhật</t>
        </is>
      </c>
      <c r="C5222" t="inlineStr">
        <is>
          <t>04/01/2026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4</v>
      </c>
      <c r="L5222" t="n">
        <v>0</v>
      </c>
      <c r="M5222" t="n">
        <v>0</v>
      </c>
      <c r="N5222" t="n">
        <v>0</v>
      </c>
      <c r="O5222" t="n">
        <v>0</v>
      </c>
      <c r="P5222" t="n">
        <v>2</v>
      </c>
      <c r="Q5222" t="n">
        <v>4</v>
      </c>
      <c r="R5222" t="n">
        <v>0</v>
      </c>
      <c r="S5222" t="n">
        <v/>
      </c>
      <c r="T5222" t="inlineStr">
        <is>
          <t>4</t>
        </is>
      </c>
      <c r="U5222" t="inlineStr">
        <is>
          <t>1</t>
        </is>
      </c>
      <c r="V5222" t="n">
        <v/>
      </c>
      <c r="W5222" t="n">
        <v/>
      </c>
    </row>
    <row r="5223">
      <c r="A5223" t="inlineStr">
        <is>
          <t>05/01/2026 7:11:57</t>
        </is>
      </c>
      <c r="B5223" t="inlineStr">
        <is>
          <t>Nguyễn Tuấn Anh</t>
        </is>
      </c>
      <c r="C5223" t="inlineStr">
        <is>
          <t>04/01/2026</t>
        </is>
      </c>
      <c r="D5223" t="n">
        <v>1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3</v>
      </c>
      <c r="L5223" t="n">
        <v>1</v>
      </c>
      <c r="M5223" t="n">
        <v>0</v>
      </c>
      <c r="N5223" t="n">
        <v>0</v>
      </c>
      <c r="O5223" t="n">
        <v>0</v>
      </c>
      <c r="P5223" t="n">
        <v>0</v>
      </c>
      <c r="Q5223" t="n">
        <v>2</v>
      </c>
      <c r="R5223" t="n">
        <v>0</v>
      </c>
      <c r="S5223" t="n">
        <v/>
      </c>
      <c r="T5223" t="inlineStr">
        <is>
          <t>4</t>
        </is>
      </c>
      <c r="U5223" t="inlineStr">
        <is>
          <t>1</t>
        </is>
      </c>
      <c r="V5223" t="n">
        <v/>
      </c>
      <c r="W5223" t="n">
        <v/>
      </c>
    </row>
    <row r="5224">
      <c r="A5224" t="inlineStr">
        <is>
          <t>05/01/2026 7:25:45</t>
        </is>
      </c>
      <c r="B5224" t="inlineStr">
        <is>
          <t>Trần Minh Khánh</t>
        </is>
      </c>
      <c r="C5224" t="inlineStr">
        <is>
          <t>04/01/2026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2</v>
      </c>
      <c r="L5224" t="n">
        <v>1</v>
      </c>
      <c r="M5224" t="n">
        <v>0</v>
      </c>
      <c r="N5224" t="n">
        <v>0</v>
      </c>
      <c r="O5224" t="n">
        <v>0</v>
      </c>
      <c r="P5224" t="n">
        <v>0</v>
      </c>
      <c r="Q5224" t="n">
        <v>2</v>
      </c>
      <c r="R5224" t="n">
        <v>0</v>
      </c>
      <c r="S5224" t="n">
        <v/>
      </c>
      <c r="T5224" t="inlineStr">
        <is>
          <t>4</t>
        </is>
      </c>
      <c r="U5224" t="inlineStr">
        <is>
          <t>1</t>
        </is>
      </c>
      <c r="V5224" t="n">
        <v/>
      </c>
      <c r="W5224" t="n">
        <v/>
      </c>
    </row>
    <row r="5225">
      <c r="A5225" t="inlineStr">
        <is>
          <t>05/01/2026 7:38:42</t>
        </is>
      </c>
      <c r="B5225" t="inlineStr">
        <is>
          <t>Lê Quốc Duy</t>
        </is>
      </c>
      <c r="C5225" t="inlineStr">
        <is>
          <t>04/01/2026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/>
      </c>
      <c r="T5225" t="inlineStr">
        <is>
          <t>4</t>
        </is>
      </c>
      <c r="U5225" t="inlineStr">
        <is>
          <t>1</t>
        </is>
      </c>
      <c r="V5225" t="n">
        <v/>
      </c>
      <c r="W5225" t="n">
        <v/>
      </c>
    </row>
    <row r="5226">
      <c r="A5226" t="inlineStr">
        <is>
          <t>05/01/2026 8:03:55</t>
        </is>
      </c>
      <c r="B5226" t="inlineStr">
        <is>
          <t>Lương Duy Hoàng</t>
        </is>
      </c>
      <c r="C5226" t="inlineStr">
        <is>
          <t>04/01/2026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4</v>
      </c>
      <c r="L5226" t="n">
        <v>0</v>
      </c>
      <c r="M5226" t="n">
        <v>0</v>
      </c>
      <c r="N5226" t="n">
        <v>0</v>
      </c>
      <c r="O5226" t="n">
        <v>0</v>
      </c>
      <c r="P5226" t="n">
        <v>1</v>
      </c>
      <c r="Q5226" t="n">
        <v>0</v>
      </c>
      <c r="R5226" t="n">
        <v>0</v>
      </c>
      <c r="S5226" t="n">
        <v/>
      </c>
      <c r="T5226" t="inlineStr">
        <is>
          <t>4</t>
        </is>
      </c>
      <c r="U5226" t="inlineStr">
        <is>
          <t>1</t>
        </is>
      </c>
      <c r="V5226" t="n">
        <v/>
      </c>
      <c r="W5226" t="n">
        <v/>
      </c>
    </row>
    <row r="5227">
      <c r="A5227" t="inlineStr">
        <is>
          <t>05/01/2026 8:17:19</t>
        </is>
      </c>
      <c r="B5227" t="inlineStr">
        <is>
          <t>Lê Văn Hồng</t>
        </is>
      </c>
      <c r="C5227" t="inlineStr">
        <is>
          <t>04/01/2026</t>
        </is>
      </c>
      <c r="D5227" t="n">
        <v>1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2</v>
      </c>
      <c r="L5227" t="n">
        <v>1</v>
      </c>
      <c r="M5227" t="n">
        <v>1</v>
      </c>
      <c r="N5227" t="n">
        <v>0</v>
      </c>
      <c r="O5227" t="n">
        <v>0</v>
      </c>
      <c r="P5227" t="n">
        <v>3</v>
      </c>
      <c r="Q5227" t="n">
        <v>2</v>
      </c>
      <c r="R5227" t="n">
        <v>0</v>
      </c>
      <c r="S5227" t="n">
        <v/>
      </c>
      <c r="T5227" t="inlineStr">
        <is>
          <t>4</t>
        </is>
      </c>
      <c r="U5227" t="inlineStr">
        <is>
          <t>1</t>
        </is>
      </c>
      <c r="V5227" t="n">
        <v/>
      </c>
      <c r="W5227" t="n">
        <v/>
      </c>
    </row>
    <row r="5228">
      <c r="A5228" t="inlineStr">
        <is>
          <t>05/01/2026 8:19:40</t>
        </is>
      </c>
      <c r="B5228" t="inlineStr">
        <is>
          <t>Hồ Thái Minh Trí</t>
        </is>
      </c>
      <c r="C5228" t="inlineStr">
        <is>
          <t>05/01/2025</t>
        </is>
      </c>
      <c r="D5228" t="n">
        <v>1</v>
      </c>
      <c r="E5228" t="n">
        <v>1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2</v>
      </c>
      <c r="R5228" t="n">
        <v>0</v>
      </c>
      <c r="S5228" t="n">
        <v/>
      </c>
      <c r="T5228" t="inlineStr">
        <is>
          <t>5</t>
        </is>
      </c>
      <c r="U5228" t="inlineStr">
        <is>
          <t>1</t>
        </is>
      </c>
      <c r="V5228" t="n">
        <v/>
      </c>
      <c r="W5228" t="n">
        <v/>
      </c>
    </row>
    <row r="5229">
      <c r="A5229" t="inlineStr">
        <is>
          <t>05/01/2026 9:07:04</t>
        </is>
      </c>
      <c r="B5229" t="inlineStr">
        <is>
          <t>Nguyễn Hồng Minh</t>
        </is>
      </c>
      <c r="C5229" t="inlineStr">
        <is>
          <t>04/01/2026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/>
      </c>
      <c r="I5229" t="n">
        <v>5</v>
      </c>
      <c r="J5229" t="n">
        <v>0</v>
      </c>
      <c r="K5229" t="n">
        <v>0</v>
      </c>
      <c r="L5229" t="n">
        <v>0</v>
      </c>
      <c r="M5229" t="n">
        <v>2</v>
      </c>
      <c r="N5229" t="n">
        <v>2</v>
      </c>
      <c r="O5229" t="n">
        <v>1</v>
      </c>
      <c r="P5229" t="n">
        <v>0</v>
      </c>
      <c r="Q5229" t="n">
        <v>4</v>
      </c>
      <c r="R5229" t="n">
        <v>0</v>
      </c>
      <c r="S5229" t="n">
        <v/>
      </c>
      <c r="T5229" t="inlineStr">
        <is>
          <t>4</t>
        </is>
      </c>
      <c r="U5229" t="inlineStr">
        <is>
          <t>1</t>
        </is>
      </c>
      <c r="V5229" t="n">
        <v/>
      </c>
      <c r="W5229" t="n">
        <v/>
      </c>
    </row>
    <row r="5230">
      <c r="A5230" t="inlineStr">
        <is>
          <t>06/01/2026 6:23:30</t>
        </is>
      </c>
      <c r="B5230" t="inlineStr">
        <is>
          <t>Lê Hồng Phong</t>
        </is>
      </c>
      <c r="C5230" t="inlineStr">
        <is>
          <t>06/01/2026</t>
        </is>
      </c>
      <c r="D5230" t="n">
        <v>1</v>
      </c>
      <c r="E5230" t="n">
        <v>1</v>
      </c>
      <c r="F5230" t="n">
        <v>1</v>
      </c>
      <c r="G5230" t="n">
        <v>0</v>
      </c>
      <c r="H5230" t="n">
        <v>0</v>
      </c>
      <c r="I5230" t="n">
        <v>1</v>
      </c>
      <c r="J5230" t="n">
        <v>1</v>
      </c>
      <c r="K5230" t="n">
        <v>1</v>
      </c>
      <c r="L5230" t="n">
        <v>1</v>
      </c>
      <c r="M5230" t="n">
        <v>1</v>
      </c>
      <c r="N5230" t="n">
        <v>1</v>
      </c>
      <c r="O5230" t="n">
        <v>1</v>
      </c>
      <c r="P5230" t="n">
        <v>1</v>
      </c>
      <c r="Q5230" t="n">
        <v>1</v>
      </c>
      <c r="R5230" t="n">
        <v>1</v>
      </c>
      <c r="S5230" t="n">
        <v/>
      </c>
      <c r="T5230" t="inlineStr">
        <is>
          <t>6</t>
        </is>
      </c>
      <c r="U5230" t="inlineStr">
        <is>
          <t>1</t>
        </is>
      </c>
      <c r="V5230" t="n">
        <v/>
      </c>
      <c r="W5230" t="n">
        <v/>
      </c>
    </row>
    <row r="5231">
      <c r="A5231" t="inlineStr">
        <is>
          <t>06/01/2026 6:48:56</t>
        </is>
      </c>
      <c r="B5231" t="inlineStr">
        <is>
          <t>Dương Minh Tiến</t>
        </is>
      </c>
      <c r="C5231" t="inlineStr">
        <is>
          <t>05/01/2026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2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/>
      </c>
      <c r="T5231" t="inlineStr">
        <is>
          <t>5</t>
        </is>
      </c>
      <c r="U5231" t="inlineStr">
        <is>
          <t>1</t>
        </is>
      </c>
      <c r="V5231" t="n">
        <v/>
      </c>
      <c r="W5231" t="n">
        <v/>
      </c>
    </row>
    <row r="5232">
      <c r="A5232" t="inlineStr">
        <is>
          <t>06/01/2026 6:49:02</t>
        </is>
      </c>
      <c r="B5232" t="inlineStr">
        <is>
          <t>Đặng Hoài Anh</t>
        </is>
      </c>
      <c r="C5232" t="inlineStr">
        <is>
          <t>05/01/2026</t>
        </is>
      </c>
      <c r="D5232" t="n">
        <v>1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1</v>
      </c>
      <c r="M5232" t="n">
        <v>1</v>
      </c>
      <c r="N5232" t="n">
        <v>0</v>
      </c>
      <c r="O5232" t="n">
        <v>0</v>
      </c>
      <c r="P5232" t="n">
        <v>0</v>
      </c>
      <c r="Q5232" t="n">
        <v>2</v>
      </c>
      <c r="R5232" t="n">
        <v>0</v>
      </c>
      <c r="S5232" t="n">
        <v/>
      </c>
      <c r="T5232" t="inlineStr">
        <is>
          <t>5</t>
        </is>
      </c>
      <c r="U5232" t="inlineStr">
        <is>
          <t>1</t>
        </is>
      </c>
      <c r="V5232" t="n">
        <v/>
      </c>
      <c r="W5232" t="n">
        <v/>
      </c>
    </row>
    <row r="5233">
      <c r="A5233" t="inlineStr">
        <is>
          <t>06/01/2026 6:58:37</t>
        </is>
      </c>
      <c r="B5233" t="inlineStr">
        <is>
          <t>Bùi Duy Cường</t>
        </is>
      </c>
      <c r="C5233" t="inlineStr">
        <is>
          <t>04/01/2026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2</v>
      </c>
      <c r="L5233" t="n">
        <v>4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/>
      </c>
      <c r="T5233" t="inlineStr">
        <is>
          <t>4</t>
        </is>
      </c>
      <c r="U5233" t="inlineStr">
        <is>
          <t>1</t>
        </is>
      </c>
      <c r="V5233" t="n">
        <v/>
      </c>
      <c r="W5233" t="n">
        <v/>
      </c>
    </row>
    <row r="5234">
      <c r="A5234" t="inlineStr">
        <is>
          <t>06/01/2026 6:59:18</t>
        </is>
      </c>
      <c r="B5234" t="inlineStr">
        <is>
          <t>Bùi Duy Cường</t>
        </is>
      </c>
      <c r="C5234" t="inlineStr">
        <is>
          <t>05/01/2026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2</v>
      </c>
      <c r="L5234" t="n">
        <v>4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/>
      </c>
      <c r="T5234" t="inlineStr">
        <is>
          <t>5</t>
        </is>
      </c>
      <c r="U5234" t="inlineStr">
        <is>
          <t>1</t>
        </is>
      </c>
      <c r="V5234" t="n">
        <v/>
      </c>
      <c r="W5234" t="n">
        <v/>
      </c>
    </row>
    <row r="5235">
      <c r="A5235" t="inlineStr">
        <is>
          <t>06/01/2026 6:59:35</t>
        </is>
      </c>
      <c r="B5235" t="inlineStr">
        <is>
          <t>Nguyễn Quang Anh Tuấn</t>
        </is>
      </c>
      <c r="C5235" t="inlineStr">
        <is>
          <t>05/01/2026</t>
        </is>
      </c>
      <c r="D5235" t="n">
        <v>1</v>
      </c>
      <c r="E5235" t="n">
        <v>1</v>
      </c>
      <c r="F5235" t="n">
        <v>1</v>
      </c>
      <c r="G5235" t="n">
        <v>0</v>
      </c>
      <c r="H5235" t="n">
        <v>0</v>
      </c>
      <c r="I5235" t="n">
        <v>0</v>
      </c>
      <c r="J5235" t="n">
        <v>0</v>
      </c>
      <c r="K5235" t="n">
        <v>1</v>
      </c>
      <c r="L5235" t="n">
        <v>0</v>
      </c>
      <c r="M5235" t="n">
        <v>1</v>
      </c>
      <c r="N5235" t="n">
        <v>0</v>
      </c>
      <c r="O5235" t="n">
        <v>0</v>
      </c>
      <c r="P5235" t="n">
        <v>1</v>
      </c>
      <c r="Q5235" t="n">
        <v>2</v>
      </c>
      <c r="R5235" t="n">
        <v>0</v>
      </c>
      <c r="S5235" t="n">
        <v/>
      </c>
      <c r="T5235" t="inlineStr">
        <is>
          <t>5</t>
        </is>
      </c>
      <c r="U5235" t="inlineStr">
        <is>
          <t>1</t>
        </is>
      </c>
      <c r="V5235" t="n">
        <v/>
      </c>
      <c r="W5235" t="n">
        <v/>
      </c>
    </row>
    <row r="5236">
      <c r="A5236" t="inlineStr">
        <is>
          <t>06/01/2026 7:00:00</t>
        </is>
      </c>
      <c r="B5236" t="inlineStr">
        <is>
          <t>Phan Ngọc Sang</t>
        </is>
      </c>
      <c r="C5236" t="inlineStr">
        <is>
          <t>05/01/2026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</v>
      </c>
      <c r="J5236" t="n">
        <v>0</v>
      </c>
      <c r="K5236" t="n">
        <v>3</v>
      </c>
      <c r="L5236" t="n">
        <v>0</v>
      </c>
      <c r="M5236" t="n">
        <v>2</v>
      </c>
      <c r="N5236" t="n">
        <v>1</v>
      </c>
      <c r="O5236" t="n">
        <v>0</v>
      </c>
      <c r="P5236" t="n">
        <v>1</v>
      </c>
      <c r="Q5236" t="n">
        <v>2</v>
      </c>
      <c r="R5236" t="n">
        <v>0</v>
      </c>
      <c r="S5236" t="n">
        <v/>
      </c>
      <c r="T5236" t="inlineStr">
        <is>
          <t>5</t>
        </is>
      </c>
      <c r="U5236" t="inlineStr">
        <is>
          <t>1</t>
        </is>
      </c>
      <c r="V5236" t="n">
        <v/>
      </c>
      <c r="W5236" t="n">
        <v/>
      </c>
    </row>
    <row r="5237">
      <c r="A5237" t="inlineStr">
        <is>
          <t>06/01/2026 7:01:32</t>
        </is>
      </c>
      <c r="B5237" t="inlineStr">
        <is>
          <t>Trần Trung Giang</t>
        </is>
      </c>
      <c r="C5237" t="inlineStr">
        <is>
          <t>05/01/2026</t>
        </is>
      </c>
      <c r="D5237" t="n">
        <v>0</v>
      </c>
      <c r="E5237" t="n">
        <v>0</v>
      </c>
      <c r="F5237" t="n">
        <v>1</v>
      </c>
      <c r="G5237" t="n">
        <v>0</v>
      </c>
      <c r="H5237" t="n">
        <v>0</v>
      </c>
      <c r="I5237" t="n">
        <v>0</v>
      </c>
      <c r="J5237" t="n">
        <v>0</v>
      </c>
      <c r="K5237" t="n">
        <v>7</v>
      </c>
      <c r="L5237" t="n">
        <v>0</v>
      </c>
      <c r="M5237" t="n">
        <v>0</v>
      </c>
      <c r="N5237" t="n">
        <v>0</v>
      </c>
      <c r="O5237" t="n">
        <v>0</v>
      </c>
      <c r="P5237" t="n">
        <v>1</v>
      </c>
      <c r="Q5237" t="n">
        <v>0</v>
      </c>
      <c r="R5237" t="n">
        <v>0</v>
      </c>
      <c r="S5237" t="n">
        <v/>
      </c>
      <c r="T5237" t="inlineStr">
        <is>
          <t>5</t>
        </is>
      </c>
      <c r="U5237" t="inlineStr">
        <is>
          <t>1</t>
        </is>
      </c>
      <c r="V5237" t="n">
        <v/>
      </c>
      <c r="W5237" t="n">
        <v/>
      </c>
    </row>
    <row r="5238">
      <c r="A5238" t="inlineStr">
        <is>
          <t>06/01/2026 7:03:26</t>
        </is>
      </c>
      <c r="B5238" t="inlineStr">
        <is>
          <t>Vòng Nhật Sang</t>
        </is>
      </c>
      <c r="C5238" t="inlineStr">
        <is>
          <t>05/01/2026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1</v>
      </c>
      <c r="L5238" t="n">
        <v>5</v>
      </c>
      <c r="M5238" t="n">
        <v>0</v>
      </c>
      <c r="N5238" t="n">
        <v>3</v>
      </c>
      <c r="O5238" t="n">
        <v>1</v>
      </c>
      <c r="P5238" t="n">
        <v>2</v>
      </c>
      <c r="Q5238" t="n">
        <v>2</v>
      </c>
      <c r="R5238" t="n">
        <v>0</v>
      </c>
      <c r="S5238" t="n">
        <v/>
      </c>
      <c r="T5238" t="inlineStr">
        <is>
          <t>5</t>
        </is>
      </c>
      <c r="U5238" t="inlineStr">
        <is>
          <t>1</t>
        </is>
      </c>
      <c r="V5238" t="n">
        <v/>
      </c>
      <c r="W5238" t="n">
        <v/>
      </c>
    </row>
    <row r="5239">
      <c r="A5239" t="inlineStr">
        <is>
          <t>06/01/2026 7:05:38</t>
        </is>
      </c>
      <c r="B5239" t="inlineStr">
        <is>
          <t>Hồ Xuân Việt</t>
        </is>
      </c>
      <c r="C5239" t="inlineStr">
        <is>
          <t>05/01/2026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1</v>
      </c>
      <c r="M5239" t="n">
        <v>0</v>
      </c>
      <c r="N5239" t="n">
        <v>0</v>
      </c>
      <c r="O5239" t="n">
        <v>0</v>
      </c>
      <c r="P5239" t="n">
        <v>1</v>
      </c>
      <c r="Q5239" t="n">
        <v>1</v>
      </c>
      <c r="R5239" t="n">
        <v>0</v>
      </c>
      <c r="S5239" t="n">
        <v/>
      </c>
      <c r="T5239" t="inlineStr">
        <is>
          <t>5</t>
        </is>
      </c>
      <c r="U5239" t="inlineStr">
        <is>
          <t>1</t>
        </is>
      </c>
      <c r="V5239" t="n">
        <v/>
      </c>
      <c r="W5239" t="n">
        <v/>
      </c>
    </row>
    <row r="5240">
      <c r="A5240" t="inlineStr">
        <is>
          <t>06/01/2026 7:05:39</t>
        </is>
      </c>
      <c r="B5240" t="inlineStr">
        <is>
          <t>Nguyễn Văn Hiệp</t>
        </is>
      </c>
      <c r="C5240" t="inlineStr">
        <is>
          <t>05/01/2026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</v>
      </c>
      <c r="J5240" t="n">
        <v>0</v>
      </c>
      <c r="K5240" t="n">
        <v>2</v>
      </c>
      <c r="L5240" t="n">
        <v>0</v>
      </c>
      <c r="M5240" t="n">
        <v>1</v>
      </c>
      <c r="N5240" t="n">
        <v>0</v>
      </c>
      <c r="O5240" t="n">
        <v>0</v>
      </c>
      <c r="P5240" t="n">
        <v>1</v>
      </c>
      <c r="Q5240" t="n">
        <v>0</v>
      </c>
      <c r="R5240" t="n">
        <v>0</v>
      </c>
      <c r="S5240" t="n">
        <v/>
      </c>
      <c r="T5240" t="inlineStr">
        <is>
          <t>5</t>
        </is>
      </c>
      <c r="U5240" t="inlineStr">
        <is>
          <t>1</t>
        </is>
      </c>
      <c r="V5240" t="n">
        <v/>
      </c>
      <c r="W5240" t="n">
        <v/>
      </c>
    </row>
    <row r="5241">
      <c r="A5241" t="inlineStr">
        <is>
          <t>06/01/2026 7:05:45</t>
        </is>
      </c>
      <c r="B5241" t="inlineStr">
        <is>
          <t>Lương Duy Hoàng</t>
        </is>
      </c>
      <c r="C5241" t="inlineStr">
        <is>
          <t>05/01/2026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2</v>
      </c>
      <c r="L5241" t="n">
        <v>2</v>
      </c>
      <c r="M5241" t="n">
        <v>1</v>
      </c>
      <c r="N5241" t="n">
        <v>0</v>
      </c>
      <c r="O5241" t="n">
        <v>0</v>
      </c>
      <c r="P5241" t="n">
        <v>0</v>
      </c>
      <c r="Q5241" t="n">
        <v>1</v>
      </c>
      <c r="R5241" t="n">
        <v>0</v>
      </c>
      <c r="S5241" t="n">
        <v/>
      </c>
      <c r="T5241" t="inlineStr">
        <is>
          <t>5</t>
        </is>
      </c>
      <c r="U5241" t="inlineStr">
        <is>
          <t>1</t>
        </is>
      </c>
      <c r="V5241" t="n">
        <v/>
      </c>
      <c r="W5241" t="n">
        <v/>
      </c>
    </row>
    <row r="5242">
      <c r="A5242" t="inlineStr">
        <is>
          <t>06/01/2026 7:06:36</t>
        </is>
      </c>
      <c r="B5242" t="inlineStr">
        <is>
          <t>Nguyễn Thành Lâm</t>
        </is>
      </c>
      <c r="C5242" t="inlineStr">
        <is>
          <t>05/01/2026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4</v>
      </c>
      <c r="M5242" t="n">
        <v>0</v>
      </c>
      <c r="N5242" t="n">
        <v>0</v>
      </c>
      <c r="O5242" t="n">
        <v>0</v>
      </c>
      <c r="P5242" t="n">
        <v>1</v>
      </c>
      <c r="Q5242" t="n">
        <v>3</v>
      </c>
      <c r="R5242" t="n">
        <v>0</v>
      </c>
      <c r="S5242" t="n">
        <v/>
      </c>
      <c r="T5242" t="inlineStr">
        <is>
          <t>5</t>
        </is>
      </c>
      <c r="U5242" t="inlineStr">
        <is>
          <t>1</t>
        </is>
      </c>
      <c r="V5242" t="n">
        <v/>
      </c>
      <c r="W5242" t="n">
        <v/>
      </c>
    </row>
    <row r="5243">
      <c r="A5243" t="inlineStr">
        <is>
          <t>06/01/2026 7:10:53</t>
        </is>
      </c>
      <c r="B5243" t="inlineStr">
        <is>
          <t>Nguyễn Tuấn Anh</t>
        </is>
      </c>
      <c r="C5243" t="inlineStr">
        <is>
          <t>06/01/2025</t>
        </is>
      </c>
      <c r="D5243" t="n">
        <v>2</v>
      </c>
      <c r="E5243" t="n">
        <v>1</v>
      </c>
      <c r="F5243" t="n">
        <v>0</v>
      </c>
      <c r="G5243" t="n">
        <v>1</v>
      </c>
      <c r="H5243" t="n">
        <v>1</v>
      </c>
      <c r="I5243" t="n">
        <v>1</v>
      </c>
      <c r="J5243" t="n">
        <v>0</v>
      </c>
      <c r="K5243" t="n">
        <v>7</v>
      </c>
      <c r="L5243" t="n">
        <v>3</v>
      </c>
      <c r="M5243" t="n">
        <v>0</v>
      </c>
      <c r="N5243" t="n">
        <v>0</v>
      </c>
      <c r="O5243" t="n">
        <v>0</v>
      </c>
      <c r="P5243" t="n">
        <v>0</v>
      </c>
      <c r="Q5243" t="n">
        <v>5</v>
      </c>
      <c r="R5243" t="n">
        <v>0</v>
      </c>
      <c r="S5243" t="n">
        <v/>
      </c>
      <c r="T5243" t="inlineStr">
        <is>
          <t>6</t>
        </is>
      </c>
      <c r="U5243" t="inlineStr">
        <is>
          <t>1</t>
        </is>
      </c>
      <c r="V5243" t="n">
        <v/>
      </c>
      <c r="W5243" t="n">
        <v/>
      </c>
    </row>
    <row r="5244">
      <c r="A5244" t="inlineStr">
        <is>
          <t>06/01/2026 7:15:03</t>
        </is>
      </c>
      <c r="B5244" t="inlineStr">
        <is>
          <t>Đào Công Trung</t>
        </is>
      </c>
      <c r="C5244" t="inlineStr">
        <is>
          <t>05/01/2026</t>
        </is>
      </c>
      <c r="D5244" t="n">
        <v>1</v>
      </c>
      <c r="E5244" t="n">
        <v>1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2</v>
      </c>
      <c r="L5244" t="n">
        <v>5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/>
      </c>
      <c r="T5244" t="inlineStr">
        <is>
          <t>5</t>
        </is>
      </c>
      <c r="U5244" t="inlineStr">
        <is>
          <t>1</t>
        </is>
      </c>
      <c r="V5244" t="n">
        <v/>
      </c>
      <c r="W5244" t="n">
        <v/>
      </c>
    </row>
    <row r="5245">
      <c r="A5245" t="inlineStr">
        <is>
          <t>06/01/2026 7:15:38</t>
        </is>
      </c>
      <c r="B5245" t="inlineStr">
        <is>
          <t>Phan Thành Thái</t>
        </is>
      </c>
      <c r="C5245" t="inlineStr">
        <is>
          <t>06/01/2026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2</v>
      </c>
      <c r="J5245" t="n">
        <v>0</v>
      </c>
      <c r="K5245" t="n">
        <v>2</v>
      </c>
      <c r="L5245" t="n">
        <v>2</v>
      </c>
      <c r="M5245" t="n">
        <v>0</v>
      </c>
      <c r="N5245" t="n">
        <v>0</v>
      </c>
      <c r="O5245" t="n">
        <v>0</v>
      </c>
      <c r="P5245" t="n">
        <v>0</v>
      </c>
      <c r="Q5245" t="n">
        <v>5</v>
      </c>
      <c r="R5245" t="n">
        <v>0</v>
      </c>
      <c r="S5245" t="n">
        <v/>
      </c>
      <c r="T5245" t="inlineStr">
        <is>
          <t>6</t>
        </is>
      </c>
      <c r="U5245" t="inlineStr">
        <is>
          <t>1</t>
        </is>
      </c>
      <c r="V5245" t="n">
        <v/>
      </c>
      <c r="W5245" t="n">
        <v/>
      </c>
    </row>
    <row r="5246">
      <c r="A5246" t="inlineStr">
        <is>
          <t>06/01/2026 7:16:54</t>
        </is>
      </c>
      <c r="B5246" t="inlineStr">
        <is>
          <t>Trần Minh Khánh</t>
        </is>
      </c>
      <c r="C5246" t="inlineStr">
        <is>
          <t>05/01/2026</t>
        </is>
      </c>
      <c r="D5246" t="n">
        <v>1</v>
      </c>
      <c r="E5246" t="n">
        <v>0</v>
      </c>
      <c r="F5246" t="n">
        <v>0</v>
      </c>
      <c r="G5246" t="n">
        <v>0</v>
      </c>
      <c r="H5246" t="n">
        <v>0</v>
      </c>
      <c r="I5246" t="n">
        <v>2</v>
      </c>
      <c r="J5246" t="n">
        <v>0</v>
      </c>
      <c r="K5246" t="n">
        <v>4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3</v>
      </c>
      <c r="R5246" t="n">
        <v>0</v>
      </c>
      <c r="S5246" t="n">
        <v/>
      </c>
      <c r="T5246" t="inlineStr">
        <is>
          <t>5</t>
        </is>
      </c>
      <c r="U5246" t="inlineStr">
        <is>
          <t>1</t>
        </is>
      </c>
      <c r="V5246" t="n">
        <v/>
      </c>
      <c r="W5246" t="n">
        <v/>
      </c>
    </row>
    <row r="5247">
      <c r="A5247" t="inlineStr">
        <is>
          <t>06/01/2026 7:19:57</t>
        </is>
      </c>
      <c r="B5247" t="inlineStr">
        <is>
          <t>Đặng Hữu Danh</t>
        </is>
      </c>
      <c r="C5247" t="inlineStr">
        <is>
          <t>05/01/2026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1</v>
      </c>
      <c r="M5247" t="n">
        <v>0</v>
      </c>
      <c r="N5247" t="n">
        <v>0</v>
      </c>
      <c r="O5247" t="n">
        <v>0</v>
      </c>
      <c r="P5247" t="n">
        <v>1</v>
      </c>
      <c r="Q5247" t="n">
        <v>2</v>
      </c>
      <c r="R5247" t="n">
        <v>0</v>
      </c>
      <c r="S5247" t="n">
        <v/>
      </c>
      <c r="T5247" t="inlineStr">
        <is>
          <t>5</t>
        </is>
      </c>
      <c r="U5247" t="inlineStr">
        <is>
          <t>1</t>
        </is>
      </c>
      <c r="V5247" t="n">
        <v/>
      </c>
      <c r="W5247" t="n">
        <v/>
      </c>
    </row>
    <row r="5248">
      <c r="A5248" t="inlineStr">
        <is>
          <t>06/01/2026 7:25:33</t>
        </is>
      </c>
      <c r="B5248" t="inlineStr">
        <is>
          <t>Trần Xuân Khoa</t>
        </is>
      </c>
      <c r="C5248" t="inlineStr">
        <is>
          <t>05/01/2026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4</v>
      </c>
      <c r="M5248" t="n">
        <v>0</v>
      </c>
      <c r="N5248" t="n">
        <v>0</v>
      </c>
      <c r="O5248" t="n">
        <v>0</v>
      </c>
      <c r="P5248" t="n">
        <v>2</v>
      </c>
      <c r="Q5248" t="n">
        <v>2</v>
      </c>
      <c r="R5248" t="n">
        <v>0</v>
      </c>
      <c r="S5248" t="n">
        <v/>
      </c>
      <c r="T5248" t="inlineStr">
        <is>
          <t>5</t>
        </is>
      </c>
      <c r="U5248" t="inlineStr">
        <is>
          <t>1</t>
        </is>
      </c>
      <c r="V5248" t="n">
        <v/>
      </c>
      <c r="W5248" t="n">
        <v/>
      </c>
    </row>
    <row r="5249">
      <c r="A5249" t="inlineStr">
        <is>
          <t>06/01/2026 7:38:33</t>
        </is>
      </c>
      <c r="B5249" t="inlineStr">
        <is>
          <t>Nguyễn Hồng Minh</t>
        </is>
      </c>
      <c r="C5249" t="inlineStr">
        <is>
          <t>05/01/2026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3</v>
      </c>
      <c r="J5249" t="n">
        <v>0</v>
      </c>
      <c r="K5249" t="n">
        <v>3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6</v>
      </c>
      <c r="R5249" t="n">
        <v>0</v>
      </c>
      <c r="S5249" t="n">
        <v/>
      </c>
      <c r="T5249" t="inlineStr">
        <is>
          <t>5</t>
        </is>
      </c>
      <c r="U5249" t="inlineStr">
        <is>
          <t>1</t>
        </is>
      </c>
      <c r="V5249" t="n">
        <v/>
      </c>
      <c r="W5249" t="n">
        <v/>
      </c>
    </row>
    <row r="5250">
      <c r="A5250" t="inlineStr">
        <is>
          <t>06/01/2026 7:46:55</t>
        </is>
      </c>
      <c r="B5250" t="inlineStr">
        <is>
          <t>Huỳnh Văn Lực</t>
        </is>
      </c>
      <c r="C5250" t="inlineStr">
        <is>
          <t>05/01/2026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2</v>
      </c>
      <c r="L5250" t="n">
        <v>0</v>
      </c>
      <c r="M5250" t="n">
        <v>0</v>
      </c>
      <c r="N5250" t="n">
        <v>0</v>
      </c>
      <c r="O5250" t="n">
        <v>0</v>
      </c>
      <c r="P5250" t="n">
        <v>1</v>
      </c>
      <c r="Q5250" t="n">
        <v>1</v>
      </c>
      <c r="R5250" t="n">
        <v>0</v>
      </c>
      <c r="S5250" t="n">
        <v/>
      </c>
      <c r="T5250" t="inlineStr">
        <is>
          <t>5</t>
        </is>
      </c>
      <c r="U5250" t="inlineStr">
        <is>
          <t>1</t>
        </is>
      </c>
      <c r="V5250" t="n">
        <v/>
      </c>
      <c r="W5250" t="n">
        <v/>
      </c>
    </row>
    <row r="5251">
      <c r="A5251" t="inlineStr">
        <is>
          <t>06/01/2026 7:48:28</t>
        </is>
      </c>
      <c r="B5251" t="inlineStr">
        <is>
          <t>Lê Quốc Duy</t>
        </is>
      </c>
      <c r="C5251" t="inlineStr">
        <is>
          <t>05/01/2026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2</v>
      </c>
      <c r="M5251" t="n">
        <v>0</v>
      </c>
      <c r="N5251" t="n">
        <v>0</v>
      </c>
      <c r="O5251" t="n">
        <v>0</v>
      </c>
      <c r="P5251" t="n">
        <v>0</v>
      </c>
      <c r="Q5251" t="n">
        <v>1</v>
      </c>
      <c r="R5251" t="n">
        <v>0</v>
      </c>
      <c r="S5251" t="n">
        <v/>
      </c>
      <c r="T5251" t="inlineStr">
        <is>
          <t>5</t>
        </is>
      </c>
      <c r="U5251" t="inlineStr">
        <is>
          <t>1</t>
        </is>
      </c>
      <c r="V5251" t="n">
        <v/>
      </c>
      <c r="W5251" t="n">
        <v/>
      </c>
    </row>
    <row r="5252">
      <c r="A5252" t="inlineStr">
        <is>
          <t>06/01/2026 7:49:58</t>
        </is>
      </c>
      <c r="B5252" t="inlineStr">
        <is>
          <t>Hồ Thái Minh Trí</t>
        </is>
      </c>
      <c r="C5252" t="inlineStr">
        <is>
          <t>05/01/2025</t>
        </is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  <c r="I5252" t="n">
        <v>2</v>
      </c>
      <c r="J5252" t="n">
        <v>0</v>
      </c>
      <c r="K5252" t="n">
        <v>0</v>
      </c>
      <c r="L5252" t="n">
        <v>4</v>
      </c>
      <c r="M5252" t="n">
        <v>0</v>
      </c>
      <c r="N5252" t="n">
        <v>0</v>
      </c>
      <c r="O5252" t="n">
        <v>0</v>
      </c>
      <c r="P5252" t="n">
        <v>0</v>
      </c>
      <c r="Q5252" t="n">
        <v>1</v>
      </c>
      <c r="R5252" t="n">
        <v>0</v>
      </c>
      <c r="S5252" t="n">
        <v/>
      </c>
      <c r="T5252" t="inlineStr">
        <is>
          <t>5</t>
        </is>
      </c>
      <c r="U5252" t="inlineStr">
        <is>
          <t>1</t>
        </is>
      </c>
      <c r="V5252" t="n">
        <v/>
      </c>
      <c r="W5252" t="n">
        <v/>
      </c>
    </row>
    <row r="5253">
      <c r="A5253" t="inlineStr">
        <is>
          <t>06/01/2026 8:02:32</t>
        </is>
      </c>
      <c r="B5253" t="inlineStr">
        <is>
          <t>Lê Văn Hồng</t>
        </is>
      </c>
      <c r="C5253" t="inlineStr">
        <is>
          <t>06/01/2026</t>
        </is>
      </c>
      <c r="D5253" t="n">
        <v>1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10</v>
      </c>
      <c r="L5253" t="n">
        <v>1</v>
      </c>
      <c r="M5253" t="n">
        <v>1</v>
      </c>
      <c r="N5253" t="n">
        <v>0</v>
      </c>
      <c r="O5253" t="n">
        <v>0</v>
      </c>
      <c r="P5253" t="n">
        <v>3</v>
      </c>
      <c r="Q5253" t="n">
        <v>3</v>
      </c>
      <c r="R5253" t="n">
        <v>0</v>
      </c>
      <c r="S5253" t="n">
        <v/>
      </c>
      <c r="T5253" t="inlineStr">
        <is>
          <t>6</t>
        </is>
      </c>
      <c r="U5253" t="inlineStr">
        <is>
          <t>1</t>
        </is>
      </c>
      <c r="V5253" t="n">
        <v/>
      </c>
      <c r="W5253" t="n">
        <v/>
      </c>
    </row>
    <row r="5254">
      <c r="A5254" t="inlineStr">
        <is>
          <t>07/01/2026 6:42:01</t>
        </is>
      </c>
      <c r="B5254" t="inlineStr">
        <is>
          <t>Phan Ngọc Sang</t>
        </is>
      </c>
      <c r="C5254" t="inlineStr">
        <is>
          <t>06/01/2026</t>
        </is>
      </c>
      <c r="D5254" t="n">
        <v>0</v>
      </c>
      <c r="E5254" t="n">
        <v>0</v>
      </c>
      <c r="F5254" t="n">
        <v>0</v>
      </c>
      <c r="G5254" t="n">
        <v>1</v>
      </c>
      <c r="H5254" t="n">
        <v>0</v>
      </c>
      <c r="I5254" t="n">
        <v>1</v>
      </c>
      <c r="J5254" t="n">
        <v>0</v>
      </c>
      <c r="K5254" t="n">
        <v>5</v>
      </c>
      <c r="L5254" t="n">
        <v>1</v>
      </c>
      <c r="M5254" t="n">
        <v>1</v>
      </c>
      <c r="N5254" t="n">
        <v>1</v>
      </c>
      <c r="O5254" t="n">
        <v>0</v>
      </c>
      <c r="P5254" t="n">
        <v>1</v>
      </c>
      <c r="Q5254" t="n">
        <v>1</v>
      </c>
      <c r="R5254" t="n">
        <v>2</v>
      </c>
      <c r="S5254" t="n">
        <v/>
      </c>
      <c r="T5254" t="inlineStr">
        <is>
          <t>6</t>
        </is>
      </c>
      <c r="U5254" t="inlineStr">
        <is>
          <t>1</t>
        </is>
      </c>
      <c r="V5254" t="n">
        <v/>
      </c>
      <c r="W5254" t="n">
        <v/>
      </c>
    </row>
    <row r="5255">
      <c r="A5255" t="inlineStr">
        <is>
          <t>07/01/2026 6:48:12</t>
        </is>
      </c>
      <c r="B5255" t="inlineStr">
        <is>
          <t>Dương Minh Tiến</t>
        </is>
      </c>
      <c r="C5255" t="inlineStr">
        <is>
          <t>06/01/2026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5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/>
      </c>
      <c r="T5255" t="inlineStr">
        <is>
          <t>6</t>
        </is>
      </c>
      <c r="U5255" t="inlineStr">
        <is>
          <t>1</t>
        </is>
      </c>
      <c r="V5255" t="n">
        <v/>
      </c>
      <c r="W5255" t="n">
        <v/>
      </c>
    </row>
    <row r="5256">
      <c r="A5256" t="inlineStr">
        <is>
          <t>07/01/2026 6:50:52</t>
        </is>
      </c>
      <c r="B5256" t="inlineStr">
        <is>
          <t>Nguyễn Văn Hiệp</t>
        </is>
      </c>
      <c r="C5256" t="inlineStr">
        <is>
          <t>06/01/2026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2</v>
      </c>
      <c r="L5256" t="n">
        <v>0</v>
      </c>
      <c r="M5256" t="n">
        <v>0</v>
      </c>
      <c r="N5256" t="n">
        <v>1</v>
      </c>
      <c r="O5256" t="n">
        <v>0</v>
      </c>
      <c r="P5256" t="n">
        <v>0</v>
      </c>
      <c r="Q5256" t="n">
        <v>0</v>
      </c>
      <c r="R5256" t="n">
        <v>0</v>
      </c>
      <c r="S5256" t="n">
        <v/>
      </c>
      <c r="T5256" t="inlineStr">
        <is>
          <t>6</t>
        </is>
      </c>
      <c r="U5256" t="inlineStr">
        <is>
          <t>1</t>
        </is>
      </c>
      <c r="V5256" t="n">
        <v/>
      </c>
      <c r="W5256" t="n">
        <v/>
      </c>
    </row>
    <row r="5257">
      <c r="A5257" t="inlineStr">
        <is>
          <t>07/01/2026 6:51:43</t>
        </is>
      </c>
      <c r="B5257" t="inlineStr">
        <is>
          <t>Hồ Xuân Việt</t>
        </is>
      </c>
      <c r="C5257" t="inlineStr">
        <is>
          <t>06/01/2026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2</v>
      </c>
      <c r="Q5257" t="n">
        <v>4</v>
      </c>
      <c r="R5257" t="n">
        <v>0</v>
      </c>
      <c r="S5257" t="n">
        <v/>
      </c>
      <c r="T5257" t="inlineStr">
        <is>
          <t>6</t>
        </is>
      </c>
      <c r="U5257" t="inlineStr">
        <is>
          <t>1</t>
        </is>
      </c>
      <c r="V5257" t="n">
        <v/>
      </c>
      <c r="W5257" t="n">
        <v/>
      </c>
    </row>
    <row r="5258">
      <c r="A5258" t="inlineStr">
        <is>
          <t>07/01/2026 6:55:29</t>
        </is>
      </c>
      <c r="B5258" t="inlineStr">
        <is>
          <t>Phan Thành Thái</t>
        </is>
      </c>
      <c r="C5258" t="inlineStr">
        <is>
          <t>06/01/2026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2</v>
      </c>
      <c r="J5258" t="n">
        <v>0</v>
      </c>
      <c r="K5258" t="n">
        <v>2</v>
      </c>
      <c r="L5258" t="n">
        <v>2</v>
      </c>
      <c r="M5258" t="n">
        <v>0</v>
      </c>
      <c r="N5258" t="n">
        <v>0</v>
      </c>
      <c r="O5258" t="n">
        <v>0</v>
      </c>
      <c r="P5258" t="n">
        <v>1</v>
      </c>
      <c r="Q5258" t="n">
        <v>5</v>
      </c>
      <c r="R5258" t="n">
        <v>0</v>
      </c>
      <c r="S5258" t="n">
        <v/>
      </c>
      <c r="T5258" t="inlineStr">
        <is>
          <t>6</t>
        </is>
      </c>
      <c r="U5258" t="inlineStr">
        <is>
          <t>1</t>
        </is>
      </c>
      <c r="V5258" t="n">
        <v/>
      </c>
      <c r="W5258" t="n">
        <v/>
      </c>
    </row>
    <row r="5259">
      <c r="A5259" t="inlineStr">
        <is>
          <t>07/01/2026 6:56:23</t>
        </is>
      </c>
      <c r="B5259" t="inlineStr">
        <is>
          <t>Nguyễn Quang Anh Tuấn</t>
        </is>
      </c>
      <c r="C5259" t="inlineStr">
        <is>
          <t>06/01/2026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4</v>
      </c>
      <c r="L5259" t="n">
        <v>2</v>
      </c>
      <c r="M5259" t="n">
        <v>1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/>
      </c>
      <c r="T5259" t="inlineStr">
        <is>
          <t>6</t>
        </is>
      </c>
      <c r="U5259" t="inlineStr">
        <is>
          <t>1</t>
        </is>
      </c>
      <c r="V5259" t="n">
        <v/>
      </c>
      <c r="W5259" t="n">
        <v/>
      </c>
    </row>
    <row r="5260">
      <c r="A5260" t="inlineStr">
        <is>
          <t>07/01/2026 6:58:50</t>
        </is>
      </c>
      <c r="B5260" t="inlineStr">
        <is>
          <t>Lương Duy Hoàng</t>
        </is>
      </c>
      <c r="C5260" t="inlineStr">
        <is>
          <t>06/01/2026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2</v>
      </c>
      <c r="J5260" t="n">
        <v>0</v>
      </c>
      <c r="K5260" t="n">
        <v>4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/>
      </c>
      <c r="T5260" t="inlineStr">
        <is>
          <t>6</t>
        </is>
      </c>
      <c r="U5260" t="inlineStr">
        <is>
          <t>1</t>
        </is>
      </c>
      <c r="V5260" t="n">
        <v/>
      </c>
      <c r="W5260" t="n">
        <v/>
      </c>
    </row>
    <row r="5261">
      <c r="A5261" t="inlineStr">
        <is>
          <t>07/01/2026 6:59:39</t>
        </is>
      </c>
      <c r="B5261" t="inlineStr">
        <is>
          <t>Vòng Nhật Sang</t>
        </is>
      </c>
      <c r="C5261" t="inlineStr">
        <is>
          <t>06/01/2025</t>
        </is>
      </c>
      <c r="D5261" t="n">
        <v>1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2</v>
      </c>
      <c r="Q5261" t="n">
        <v>2</v>
      </c>
      <c r="R5261" t="n">
        <v>0</v>
      </c>
      <c r="S5261" t="n">
        <v/>
      </c>
      <c r="T5261" t="inlineStr">
        <is>
          <t>6</t>
        </is>
      </c>
      <c r="U5261" t="inlineStr">
        <is>
          <t>1</t>
        </is>
      </c>
      <c r="V5261" t="n">
        <v/>
      </c>
      <c r="W5261" t="n">
        <v/>
      </c>
    </row>
    <row r="5262">
      <c r="A5262" t="inlineStr">
        <is>
          <t>07/01/2026 7:01:21</t>
        </is>
      </c>
      <c r="B5262" t="inlineStr">
        <is>
          <t>Trần Trung Giang</t>
        </is>
      </c>
      <c r="C5262" t="inlineStr">
        <is>
          <t>06/01/2026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3</v>
      </c>
      <c r="L5262" t="n">
        <v>0</v>
      </c>
      <c r="M5262" t="n">
        <v>0</v>
      </c>
      <c r="N5262" t="n">
        <v>0</v>
      </c>
      <c r="O5262" t="n">
        <v>0</v>
      </c>
      <c r="P5262" t="n">
        <v>1</v>
      </c>
      <c r="Q5262" t="n">
        <v>1</v>
      </c>
      <c r="R5262" t="n">
        <v>0</v>
      </c>
      <c r="S5262" t="n">
        <v/>
      </c>
      <c r="T5262" t="inlineStr">
        <is>
          <t>6</t>
        </is>
      </c>
      <c r="U5262" t="inlineStr">
        <is>
          <t>1</t>
        </is>
      </c>
      <c r="V5262" t="n">
        <v/>
      </c>
      <c r="W5262" t="n">
        <v/>
      </c>
    </row>
    <row r="5263">
      <c r="A5263" t="inlineStr">
        <is>
          <t>07/01/2026 7:01:27</t>
        </is>
      </c>
      <c r="B5263" t="inlineStr">
        <is>
          <t>Lê Hồng Phong</t>
        </is>
      </c>
      <c r="C5263" t="inlineStr">
        <is>
          <t>07/01/2026</t>
        </is>
      </c>
      <c r="D5263" t="n">
        <v>1</v>
      </c>
      <c r="E5263" t="n">
        <v>1</v>
      </c>
      <c r="F5263" t="n">
        <v>1</v>
      </c>
      <c r="G5263" t="n">
        <v>0</v>
      </c>
      <c r="H5263" t="n">
        <v>0</v>
      </c>
      <c r="I5263" t="n">
        <v>0</v>
      </c>
      <c r="J5263" t="n">
        <v>1</v>
      </c>
      <c r="K5263" t="n">
        <v>1</v>
      </c>
      <c r="L5263" t="n">
        <v>1</v>
      </c>
      <c r="M5263" t="n">
        <v>1</v>
      </c>
      <c r="N5263" t="n">
        <v>1</v>
      </c>
      <c r="O5263" t="n">
        <v>0</v>
      </c>
      <c r="P5263" t="n">
        <v>1</v>
      </c>
      <c r="Q5263" t="n">
        <v>1</v>
      </c>
      <c r="R5263" t="n">
        <v>1</v>
      </c>
      <c r="S5263" t="n">
        <v/>
      </c>
      <c r="T5263" t="inlineStr">
        <is>
          <t>7</t>
        </is>
      </c>
      <c r="U5263" t="inlineStr">
        <is>
          <t>1</t>
        </is>
      </c>
      <c r="V5263" t="n">
        <v/>
      </c>
      <c r="W5263" t="n">
        <v/>
      </c>
    </row>
    <row r="5264">
      <c r="A5264" t="inlineStr">
        <is>
          <t>07/01/2026 7:06:05</t>
        </is>
      </c>
      <c r="B5264" t="inlineStr">
        <is>
          <t>Nguyễn Thành Lâm</t>
        </is>
      </c>
      <c r="C5264" t="inlineStr">
        <is>
          <t>06/01/2025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2</v>
      </c>
      <c r="M5264" t="n">
        <v>0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/>
      </c>
      <c r="T5264" t="inlineStr">
        <is>
          <t>6</t>
        </is>
      </c>
      <c r="U5264" t="inlineStr">
        <is>
          <t>1</t>
        </is>
      </c>
      <c r="V5264" t="n">
        <v/>
      </c>
      <c r="W5264" t="n">
        <v/>
      </c>
    </row>
    <row r="5265">
      <c r="A5265" t="inlineStr">
        <is>
          <t>07/01/2026 7:08:35</t>
        </is>
      </c>
      <c r="B5265" t="inlineStr">
        <is>
          <t>Huỳnh Văn Lực</t>
        </is>
      </c>
      <c r="C5265" t="inlineStr">
        <is>
          <t>06/01/2026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8</v>
      </c>
      <c r="L5265" t="n">
        <v>0</v>
      </c>
      <c r="M5265" t="n">
        <v>0</v>
      </c>
      <c r="N5265" t="n">
        <v>0</v>
      </c>
      <c r="O5265" t="n">
        <v>0</v>
      </c>
      <c r="P5265" t="n">
        <v>1</v>
      </c>
      <c r="Q5265" t="n">
        <v>1</v>
      </c>
      <c r="R5265" t="n">
        <v>0</v>
      </c>
      <c r="S5265" t="n">
        <v/>
      </c>
      <c r="T5265" t="inlineStr">
        <is>
          <t>6</t>
        </is>
      </c>
      <c r="U5265" t="inlineStr">
        <is>
          <t>1</t>
        </is>
      </c>
      <c r="V5265" t="n">
        <v/>
      </c>
      <c r="W5265" t="n">
        <v/>
      </c>
    </row>
    <row r="5266">
      <c r="A5266" t="inlineStr">
        <is>
          <t>07/01/2026 7:09:35</t>
        </is>
      </c>
      <c r="B5266" t="inlineStr">
        <is>
          <t>Huỳnh Văn Lực</t>
        </is>
      </c>
      <c r="C5266" t="inlineStr">
        <is>
          <t>06/01/2026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8</v>
      </c>
      <c r="L5266" t="n">
        <v>0</v>
      </c>
      <c r="M5266" t="n">
        <v>0</v>
      </c>
      <c r="N5266" t="n">
        <v>0</v>
      </c>
      <c r="O5266" t="n">
        <v>0</v>
      </c>
      <c r="P5266" t="n">
        <v>1</v>
      </c>
      <c r="Q5266" t="n">
        <v>1</v>
      </c>
      <c r="R5266" t="n">
        <v>0</v>
      </c>
      <c r="S5266" t="n">
        <v/>
      </c>
      <c r="T5266" t="inlineStr">
        <is>
          <t>6</t>
        </is>
      </c>
      <c r="U5266" t="inlineStr">
        <is>
          <t>1</t>
        </is>
      </c>
      <c r="V5266" t="n">
        <v/>
      </c>
      <c r="W5266" t="n">
        <v/>
      </c>
    </row>
    <row r="5267">
      <c r="A5267" t="inlineStr">
        <is>
          <t>07/01/2026 7:10:47</t>
        </is>
      </c>
      <c r="B5267" t="inlineStr">
        <is>
          <t>Đặng Hữu Danh</t>
        </is>
      </c>
      <c r="C5267" t="inlineStr">
        <is>
          <t>06/01/2026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3</v>
      </c>
      <c r="M5267" t="n">
        <v>0</v>
      </c>
      <c r="N5267" t="n">
        <v>0</v>
      </c>
      <c r="O5267" t="n">
        <v>0</v>
      </c>
      <c r="P5267" t="n">
        <v>2</v>
      </c>
      <c r="Q5267" t="n">
        <v>3</v>
      </c>
      <c r="R5267" t="n">
        <v>0</v>
      </c>
      <c r="S5267" t="n">
        <v/>
      </c>
      <c r="T5267" t="inlineStr">
        <is>
          <t>6</t>
        </is>
      </c>
      <c r="U5267" t="inlineStr">
        <is>
          <t>1</t>
        </is>
      </c>
      <c r="V5267" t="n">
        <v/>
      </c>
      <c r="W5267" t="n">
        <v/>
      </c>
    </row>
    <row r="5268">
      <c r="A5268" t="inlineStr">
        <is>
          <t>07/01/2026 7:11:35</t>
        </is>
      </c>
      <c r="B5268" t="inlineStr">
        <is>
          <t>Đào Công Trung</t>
        </is>
      </c>
      <c r="C5268" t="inlineStr">
        <is>
          <t>06/01/2026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4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/>
      </c>
      <c r="T5268" t="inlineStr">
        <is>
          <t>6</t>
        </is>
      </c>
      <c r="U5268" t="inlineStr">
        <is>
          <t>1</t>
        </is>
      </c>
      <c r="V5268" t="n">
        <v/>
      </c>
      <c r="W5268" t="n">
        <v/>
      </c>
    </row>
    <row r="5269">
      <c r="A5269" t="inlineStr">
        <is>
          <t>07/01/2026 7:16:22</t>
        </is>
      </c>
      <c r="B5269" t="inlineStr">
        <is>
          <t>Đặng Hoài Anh</t>
        </is>
      </c>
      <c r="C5269" t="inlineStr">
        <is>
          <t>06/01/2026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2</v>
      </c>
      <c r="R5269" t="n">
        <v>0</v>
      </c>
      <c r="S5269" t="n">
        <v/>
      </c>
      <c r="T5269" t="inlineStr">
        <is>
          <t>6</t>
        </is>
      </c>
      <c r="U5269" t="inlineStr">
        <is>
          <t>1</t>
        </is>
      </c>
      <c r="V5269" t="n">
        <v/>
      </c>
      <c r="W5269" t="n">
        <v/>
      </c>
    </row>
    <row r="5270">
      <c r="A5270" t="inlineStr">
        <is>
          <t>07/01/2026 7:37:59</t>
        </is>
      </c>
      <c r="B5270" t="inlineStr">
        <is>
          <t>Bùi Duy Cường</t>
        </is>
      </c>
      <c r="C5270" t="inlineStr">
        <is>
          <t>06/01/2026</t>
        </is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  <c r="I5270" t="n">
        <v>0</v>
      </c>
      <c r="J5270" t="n">
        <v>0</v>
      </c>
      <c r="K5270" t="n">
        <v>9</v>
      </c>
      <c r="L5270" t="n">
        <v>9</v>
      </c>
      <c r="M5270" t="n">
        <v>1</v>
      </c>
      <c r="N5270" t="n">
        <v>1</v>
      </c>
      <c r="O5270" t="n">
        <v>0</v>
      </c>
      <c r="P5270" t="n">
        <v>0</v>
      </c>
      <c r="Q5270" t="n">
        <v>0</v>
      </c>
      <c r="R5270" t="n">
        <v>0</v>
      </c>
      <c r="S5270" t="n">
        <v/>
      </c>
      <c r="T5270" t="inlineStr">
        <is>
          <t>6</t>
        </is>
      </c>
      <c r="U5270" t="inlineStr">
        <is>
          <t>1</t>
        </is>
      </c>
      <c r="V5270" t="n">
        <v/>
      </c>
      <c r="W5270" t="n">
        <v/>
      </c>
    </row>
    <row r="5271">
      <c r="A5271" t="inlineStr">
        <is>
          <t>07/01/2026 7:43:55</t>
        </is>
      </c>
      <c r="B5271" t="inlineStr">
        <is>
          <t>Trần Minh Khánh</t>
        </is>
      </c>
      <c r="C5271" t="inlineStr">
        <is>
          <t>06/01/2026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2</v>
      </c>
      <c r="I5271" t="n">
        <v>2</v>
      </c>
      <c r="J5271" t="n">
        <v>0</v>
      </c>
      <c r="K5271" t="n">
        <v>2</v>
      </c>
      <c r="L5271" t="n">
        <v>1</v>
      </c>
      <c r="M5271" t="n">
        <v>0</v>
      </c>
      <c r="N5271" t="n">
        <v>0</v>
      </c>
      <c r="O5271" t="n">
        <v>0</v>
      </c>
      <c r="P5271" t="n">
        <v>1</v>
      </c>
      <c r="Q5271" t="n">
        <v>3</v>
      </c>
      <c r="R5271" t="n">
        <v>0</v>
      </c>
      <c r="S5271" t="n">
        <v/>
      </c>
      <c r="T5271" t="inlineStr">
        <is>
          <t>6</t>
        </is>
      </c>
      <c r="U5271" t="inlineStr">
        <is>
          <t>1</t>
        </is>
      </c>
      <c r="V5271" t="n">
        <v/>
      </c>
      <c r="W5271" t="n">
        <v/>
      </c>
    </row>
    <row r="5272">
      <c r="A5272" t="inlineStr">
        <is>
          <t>07/01/2026 7:46:58</t>
        </is>
      </c>
      <c r="B5272" t="inlineStr">
        <is>
          <t>Nguyễn Tuấn Anh</t>
        </is>
      </c>
      <c r="C5272" t="inlineStr">
        <is>
          <t>06/01/2025</t>
        </is>
      </c>
      <c r="D5272" t="n">
        <v>1</v>
      </c>
      <c r="E5272" t="n">
        <v>0</v>
      </c>
      <c r="F5272" t="n">
        <v>0</v>
      </c>
      <c r="G5272" t="n">
        <v>0</v>
      </c>
      <c r="H5272" t="n">
        <v>0</v>
      </c>
      <c r="I5272" t="n">
        <v>2</v>
      </c>
      <c r="J5272" t="n">
        <v>0</v>
      </c>
      <c r="K5272" t="n">
        <v>5</v>
      </c>
      <c r="L5272" t="n">
        <v>1</v>
      </c>
      <c r="M5272" t="n">
        <v>0</v>
      </c>
      <c r="N5272" t="n">
        <v>0</v>
      </c>
      <c r="O5272" t="n">
        <v>0</v>
      </c>
      <c r="P5272" t="n">
        <v>3</v>
      </c>
      <c r="Q5272" t="n">
        <v>2</v>
      </c>
      <c r="R5272" t="n">
        <v>0</v>
      </c>
      <c r="S5272" t="n">
        <v/>
      </c>
      <c r="T5272" t="inlineStr">
        <is>
          <t>6</t>
        </is>
      </c>
      <c r="U5272" t="inlineStr">
        <is>
          <t>1</t>
        </is>
      </c>
      <c r="V5272" t="n">
        <v/>
      </c>
      <c r="W5272" t="n">
        <v/>
      </c>
    </row>
    <row r="5273">
      <c r="A5273" t="inlineStr">
        <is>
          <t>07/01/2026 7:56:56</t>
        </is>
      </c>
      <c r="B5273" t="inlineStr">
        <is>
          <t>Lê Quốc Duy</t>
        </is>
      </c>
      <c r="C5273" t="inlineStr">
        <is>
          <t>06/01/2026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1</v>
      </c>
      <c r="Q5273" t="n">
        <v>3</v>
      </c>
      <c r="R5273" t="n">
        <v>0</v>
      </c>
      <c r="S5273" t="n">
        <v/>
      </c>
      <c r="T5273" t="inlineStr">
        <is>
          <t>6</t>
        </is>
      </c>
      <c r="U5273" t="inlineStr">
        <is>
          <t>1</t>
        </is>
      </c>
      <c r="V5273" t="n">
        <v/>
      </c>
      <c r="W5273" t="n">
        <v/>
      </c>
    </row>
    <row r="5274">
      <c r="A5274" t="inlineStr">
        <is>
          <t>07/01/2026 8:11:38</t>
        </is>
      </c>
      <c r="B5274" t="inlineStr">
        <is>
          <t>Nguyễn Hồng Minh</t>
        </is>
      </c>
      <c r="C5274" t="inlineStr">
        <is>
          <t>06/01/2026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4</v>
      </c>
      <c r="J5274" t="n">
        <v>0</v>
      </c>
      <c r="K5274" t="n">
        <v>0</v>
      </c>
      <c r="L5274" t="n">
        <v>2</v>
      </c>
      <c r="M5274" t="n">
        <v>0</v>
      </c>
      <c r="N5274" t="n">
        <v>1</v>
      </c>
      <c r="O5274" t="n">
        <v>0</v>
      </c>
      <c r="P5274" t="n">
        <v>0</v>
      </c>
      <c r="Q5274" t="n">
        <v>5</v>
      </c>
      <c r="R5274" t="n">
        <v>0</v>
      </c>
      <c r="S5274" t="n">
        <v/>
      </c>
      <c r="T5274" t="inlineStr">
        <is>
          <t>6</t>
        </is>
      </c>
      <c r="U5274" t="inlineStr">
        <is>
          <t>1</t>
        </is>
      </c>
      <c r="V5274" t="n">
        <v/>
      </c>
      <c r="W5274" t="n">
        <v/>
      </c>
    </row>
    <row r="5275">
      <c r="A5275" t="inlineStr">
        <is>
          <t>07/01/2026 8:26:17</t>
        </is>
      </c>
      <c r="B5275" t="inlineStr">
        <is>
          <t>Lê Văn Hồng</t>
        </is>
      </c>
      <c r="C5275" t="inlineStr">
        <is>
          <t>06/01/2026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7</v>
      </c>
      <c r="L5275" t="n">
        <v>2</v>
      </c>
      <c r="M5275" t="n">
        <v>1</v>
      </c>
      <c r="N5275" t="n">
        <v>0</v>
      </c>
      <c r="O5275" t="n">
        <v>0</v>
      </c>
      <c r="P5275" t="n">
        <v>2</v>
      </c>
      <c r="Q5275" t="n">
        <v>2</v>
      </c>
      <c r="R5275" t="n">
        <v>0</v>
      </c>
      <c r="S5275" t="n">
        <v/>
      </c>
      <c r="T5275" t="inlineStr">
        <is>
          <t>6</t>
        </is>
      </c>
      <c r="U5275" t="inlineStr">
        <is>
          <t>1</t>
        </is>
      </c>
      <c r="V5275" t="n">
        <v/>
      </c>
      <c r="W5275" t="n">
        <v/>
      </c>
    </row>
    <row r="5276">
      <c r="A5276" t="inlineStr">
        <is>
          <t>08/01/2026 6:22:57</t>
        </is>
      </c>
      <c r="B5276" t="inlineStr">
        <is>
          <t>Nguyễn Văn Hiệp</t>
        </is>
      </c>
      <c r="C5276" t="inlineStr">
        <is>
          <t>07/01/2026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5</v>
      </c>
      <c r="L5276" t="n">
        <v>0</v>
      </c>
      <c r="M5276" t="n">
        <v>0</v>
      </c>
      <c r="N5276" t="n">
        <v>1</v>
      </c>
      <c r="O5276" t="n">
        <v>0</v>
      </c>
      <c r="P5276" t="n">
        <v>0</v>
      </c>
      <c r="Q5276" t="n">
        <v>0</v>
      </c>
      <c r="R5276" t="n">
        <v>1</v>
      </c>
      <c r="S5276" t="n">
        <v/>
      </c>
      <c r="T5276" t="inlineStr">
        <is>
          <t>7</t>
        </is>
      </c>
      <c r="U5276" t="inlineStr">
        <is>
          <t>1</t>
        </is>
      </c>
      <c r="V5276" t="n">
        <v/>
      </c>
      <c r="W5276" t="n">
        <v/>
      </c>
    </row>
    <row r="5277">
      <c r="A5277" t="inlineStr">
        <is>
          <t>08/01/2026 7:06:33</t>
        </is>
      </c>
      <c r="B5277" t="inlineStr">
        <is>
          <t>Dương Minh Tiến</t>
        </is>
      </c>
      <c r="C5277" t="inlineStr">
        <is>
          <t>07/01/2026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4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/>
      </c>
      <c r="T5277" t="inlineStr">
        <is>
          <t>7</t>
        </is>
      </c>
      <c r="U5277" t="inlineStr">
        <is>
          <t>1</t>
        </is>
      </c>
      <c r="V5277" t="n">
        <v/>
      </c>
      <c r="W5277" t="n">
        <v/>
      </c>
    </row>
    <row r="5278">
      <c r="A5278" t="inlineStr">
        <is>
          <t>08/01/2026 7:07:07</t>
        </is>
      </c>
      <c r="B5278" t="inlineStr">
        <is>
          <t>Lương Duy Hoàng</t>
        </is>
      </c>
      <c r="C5278" t="inlineStr">
        <is>
          <t>07/01/2026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</v>
      </c>
      <c r="J5278" t="n">
        <v>0</v>
      </c>
      <c r="K5278" t="n">
        <v>4</v>
      </c>
      <c r="L5278" t="n">
        <v>2</v>
      </c>
      <c r="M5278" t="n">
        <v>1</v>
      </c>
      <c r="N5278" t="n">
        <v>1</v>
      </c>
      <c r="O5278" t="n">
        <v>0</v>
      </c>
      <c r="P5278" t="n">
        <v>0</v>
      </c>
      <c r="Q5278" t="n">
        <v>1</v>
      </c>
      <c r="R5278" t="n">
        <v>0</v>
      </c>
      <c r="S5278" t="n">
        <v/>
      </c>
      <c r="T5278" t="inlineStr">
        <is>
          <t>7</t>
        </is>
      </c>
      <c r="U5278" t="inlineStr">
        <is>
          <t>1</t>
        </is>
      </c>
      <c r="V5278" t="n">
        <v/>
      </c>
      <c r="W5278" t="n">
        <v/>
      </c>
    </row>
    <row r="5279">
      <c r="A5279" t="inlineStr">
        <is>
          <t>08/01/2026 7:07:52</t>
        </is>
      </c>
      <c r="B5279" t="inlineStr">
        <is>
          <t>Huỳnh Văn Lực</t>
        </is>
      </c>
      <c r="C5279" t="inlineStr">
        <is>
          <t>07/01/2026</t>
        </is>
      </c>
      <c r="D5279" t="n">
        <v>1</v>
      </c>
      <c r="E5279" t="n">
        <v>1</v>
      </c>
      <c r="F5279" t="n">
        <v>1</v>
      </c>
      <c r="G5279" t="n">
        <v>0</v>
      </c>
      <c r="H5279" t="n">
        <v>0</v>
      </c>
      <c r="I5279" t="n">
        <v>0</v>
      </c>
      <c r="J5279" t="n">
        <v>0</v>
      </c>
      <c r="K5279" t="n">
        <v>2</v>
      </c>
      <c r="L5279" t="n">
        <v>0</v>
      </c>
      <c r="M5279" t="n">
        <v>1</v>
      </c>
      <c r="N5279" t="n">
        <v>0</v>
      </c>
      <c r="O5279" t="n">
        <v>0</v>
      </c>
      <c r="P5279" t="n">
        <v>1</v>
      </c>
      <c r="Q5279" t="n">
        <v>1</v>
      </c>
      <c r="R5279" t="n">
        <v>0</v>
      </c>
      <c r="S5279" t="n">
        <v/>
      </c>
      <c r="T5279" t="inlineStr">
        <is>
          <t>7</t>
        </is>
      </c>
      <c r="U5279" t="inlineStr">
        <is>
          <t>1</t>
        </is>
      </c>
      <c r="V5279" t="n">
        <v/>
      </c>
      <c r="W5279" t="n">
        <v/>
      </c>
    </row>
    <row r="5280">
      <c r="A5280" t="inlineStr">
        <is>
          <t>08/01/2026 7:09:56</t>
        </is>
      </c>
      <c r="B5280" t="inlineStr">
        <is>
          <t>Phan Thành Thái</t>
        </is>
      </c>
      <c r="C5280" t="inlineStr">
        <is>
          <t>07/01/2026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2</v>
      </c>
      <c r="J5280" t="n">
        <v>0</v>
      </c>
      <c r="K5280" t="n">
        <v>6</v>
      </c>
      <c r="L5280" t="n">
        <v>0</v>
      </c>
      <c r="M5280" t="n">
        <v>0</v>
      </c>
      <c r="N5280" t="n">
        <v>1</v>
      </c>
      <c r="O5280" t="n">
        <v>1</v>
      </c>
      <c r="P5280" t="n">
        <v>0</v>
      </c>
      <c r="Q5280" t="n">
        <v>5</v>
      </c>
      <c r="R5280" t="n">
        <v>0</v>
      </c>
      <c r="S5280" t="n">
        <v/>
      </c>
      <c r="T5280" t="inlineStr">
        <is>
          <t>7</t>
        </is>
      </c>
      <c r="U5280" t="inlineStr">
        <is>
          <t>1</t>
        </is>
      </c>
      <c r="V5280" t="n">
        <v/>
      </c>
      <c r="W5280" t="n">
        <v/>
      </c>
    </row>
    <row r="5281">
      <c r="A5281" t="inlineStr">
        <is>
          <t>08/01/2026 7:12:34</t>
        </is>
      </c>
      <c r="B5281" t="inlineStr">
        <is>
          <t>Đặng Hoài Anh</t>
        </is>
      </c>
      <c r="C5281" t="inlineStr">
        <is>
          <t>07/01/2026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4</v>
      </c>
      <c r="L5281" t="n">
        <v>1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1</v>
      </c>
      <c r="S5281" t="n">
        <v/>
      </c>
      <c r="T5281" t="inlineStr">
        <is>
          <t>7</t>
        </is>
      </c>
      <c r="U5281" t="inlineStr">
        <is>
          <t>1</t>
        </is>
      </c>
      <c r="V5281" t="n">
        <v/>
      </c>
      <c r="W5281" t="n">
        <v/>
      </c>
    </row>
    <row r="5282">
      <c r="A5282" t="inlineStr">
        <is>
          <t>08/01/2026 7:13:09</t>
        </is>
      </c>
      <c r="B5282" t="inlineStr">
        <is>
          <t>Hồ Xuân Việt</t>
        </is>
      </c>
      <c r="C5282" t="inlineStr">
        <is>
          <t>07/01/2026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2</v>
      </c>
      <c r="R5282" t="n">
        <v>0</v>
      </c>
      <c r="S5282" t="n">
        <v/>
      </c>
      <c r="T5282" t="inlineStr">
        <is>
          <t>7</t>
        </is>
      </c>
      <c r="U5282" t="inlineStr">
        <is>
          <t>1</t>
        </is>
      </c>
      <c r="V5282" t="n">
        <v/>
      </c>
      <c r="W5282" t="n">
        <v/>
      </c>
    </row>
    <row r="5283">
      <c r="A5283" t="inlineStr">
        <is>
          <t>08/01/2026 7:14:20</t>
        </is>
      </c>
      <c r="B5283" t="inlineStr">
        <is>
          <t>Nguyễn Quang Anh Tuấn</t>
        </is>
      </c>
      <c r="C5283" t="inlineStr">
        <is>
          <t>07/01/2026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4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2</v>
      </c>
      <c r="R5283" t="n">
        <v>0</v>
      </c>
      <c r="S5283" t="n">
        <v/>
      </c>
      <c r="T5283" t="inlineStr">
        <is>
          <t>7</t>
        </is>
      </c>
      <c r="U5283" t="inlineStr">
        <is>
          <t>1</t>
        </is>
      </c>
      <c r="V5283" t="n">
        <v/>
      </c>
      <c r="W5283" t="n">
        <v/>
      </c>
    </row>
    <row r="5284">
      <c r="A5284" t="inlineStr">
        <is>
          <t>08/01/2026 7:16:55</t>
        </is>
      </c>
      <c r="B5284" t="inlineStr">
        <is>
          <t>Phan Ngọc Sang</t>
        </is>
      </c>
      <c r="C5284" t="inlineStr">
        <is>
          <t>07/01/2026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2</v>
      </c>
      <c r="L5284" t="n">
        <v>0</v>
      </c>
      <c r="M5284" t="n">
        <v>1</v>
      </c>
      <c r="N5284" t="n">
        <v>2</v>
      </c>
      <c r="O5284" t="n">
        <v>0</v>
      </c>
      <c r="P5284" t="n">
        <v>0</v>
      </c>
      <c r="Q5284" t="n">
        <v>2</v>
      </c>
      <c r="R5284" t="n">
        <v>0</v>
      </c>
      <c r="S5284" t="n">
        <v/>
      </c>
      <c r="T5284" t="inlineStr">
        <is>
          <t>7</t>
        </is>
      </c>
      <c r="U5284" t="inlineStr">
        <is>
          <t>1</t>
        </is>
      </c>
      <c r="V5284" t="n">
        <v/>
      </c>
      <c r="W5284" t="n">
        <v/>
      </c>
    </row>
    <row r="5285">
      <c r="A5285" t="inlineStr">
        <is>
          <t>08/01/2026 7:18:31</t>
        </is>
      </c>
      <c r="B5285" t="inlineStr">
        <is>
          <t>Trần Trung Giang</t>
        </is>
      </c>
      <c r="C5285" t="inlineStr">
        <is>
          <t>07/01/2026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3</v>
      </c>
      <c r="L5285" t="n">
        <v>0</v>
      </c>
      <c r="M5285" t="n">
        <v>0</v>
      </c>
      <c r="N5285" t="n">
        <v>0</v>
      </c>
      <c r="O5285" t="n">
        <v>0</v>
      </c>
      <c r="P5285" t="n">
        <v>3</v>
      </c>
      <c r="Q5285" t="n">
        <v>0</v>
      </c>
      <c r="R5285" t="n">
        <v>0</v>
      </c>
      <c r="S5285" t="n">
        <v/>
      </c>
      <c r="T5285" t="inlineStr">
        <is>
          <t>7</t>
        </is>
      </c>
      <c r="U5285" t="inlineStr">
        <is>
          <t>1</t>
        </is>
      </c>
      <c r="V5285" t="n">
        <v/>
      </c>
      <c r="W5285" t="n">
        <v/>
      </c>
    </row>
    <row r="5286">
      <c r="A5286" t="inlineStr">
        <is>
          <t>08/01/2026 7:18:36</t>
        </is>
      </c>
      <c r="B5286" t="inlineStr">
        <is>
          <t>Đặng Hữu Danh</t>
        </is>
      </c>
      <c r="C5286" t="inlineStr">
        <is>
          <t>07/01/2026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7</v>
      </c>
      <c r="L5286" t="n">
        <v>0</v>
      </c>
      <c r="M5286" t="n">
        <v>0</v>
      </c>
      <c r="N5286" t="n">
        <v>0</v>
      </c>
      <c r="O5286" t="n">
        <v>0</v>
      </c>
      <c r="P5286" t="n">
        <v>1</v>
      </c>
      <c r="Q5286" t="n">
        <v>2</v>
      </c>
      <c r="R5286" t="n">
        <v>0</v>
      </c>
      <c r="S5286" t="n">
        <v/>
      </c>
      <c r="T5286" t="inlineStr">
        <is>
          <t>7</t>
        </is>
      </c>
      <c r="U5286" t="inlineStr">
        <is>
          <t>1</t>
        </is>
      </c>
      <c r="V5286" t="n">
        <v/>
      </c>
      <c r="W5286" t="n">
        <v/>
      </c>
    </row>
    <row r="5287">
      <c r="A5287" t="inlineStr">
        <is>
          <t>08/01/2026 7:20:36</t>
        </is>
      </c>
      <c r="B5287" t="inlineStr">
        <is>
          <t>Nguyễn Tuấn Anh</t>
        </is>
      </c>
      <c r="C5287" t="inlineStr">
        <is>
          <t>07/01/2025</t>
        </is>
      </c>
      <c r="D5287" t="n">
        <v>1</v>
      </c>
      <c r="E5287" t="n">
        <v>0</v>
      </c>
      <c r="F5287" t="n">
        <v>0</v>
      </c>
      <c r="G5287" t="n">
        <v>0</v>
      </c>
      <c r="H5287" t="n">
        <v>0</v>
      </c>
      <c r="I5287" t="n">
        <v>2</v>
      </c>
      <c r="J5287" t="n">
        <v>0</v>
      </c>
      <c r="K5287" t="n">
        <v>11</v>
      </c>
      <c r="L5287" t="n">
        <v>9</v>
      </c>
      <c r="M5287" t="n">
        <v>0</v>
      </c>
      <c r="N5287" t="n">
        <v>0</v>
      </c>
      <c r="O5287" t="n">
        <v>0</v>
      </c>
      <c r="P5287" t="n">
        <v>1</v>
      </c>
      <c r="Q5287" t="n">
        <v>2</v>
      </c>
      <c r="R5287" t="n">
        <v>2</v>
      </c>
      <c r="S5287" t="n">
        <v/>
      </c>
      <c r="T5287" t="inlineStr">
        <is>
          <t>7</t>
        </is>
      </c>
      <c r="U5287" t="inlineStr">
        <is>
          <t>1</t>
        </is>
      </c>
      <c r="V5287" t="n">
        <v/>
      </c>
      <c r="W5287" t="n">
        <v/>
      </c>
    </row>
    <row r="5288">
      <c r="A5288" t="inlineStr">
        <is>
          <t>08/01/2026 7:22:45</t>
        </is>
      </c>
      <c r="B5288" t="inlineStr">
        <is>
          <t>Trần Minh Khánh</t>
        </is>
      </c>
      <c r="C5288" t="inlineStr">
        <is>
          <t>07/01/2026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3</v>
      </c>
      <c r="J5288" t="n">
        <v>0</v>
      </c>
      <c r="K5288" t="n">
        <v>0</v>
      </c>
      <c r="L5288" t="n">
        <v>2</v>
      </c>
      <c r="M5288" t="n">
        <v>0</v>
      </c>
      <c r="N5288" t="n">
        <v>0</v>
      </c>
      <c r="O5288" t="n">
        <v>0</v>
      </c>
      <c r="P5288" t="n">
        <v>0</v>
      </c>
      <c r="Q5288" t="n">
        <v>3</v>
      </c>
      <c r="R5288" t="n">
        <v>0</v>
      </c>
      <c r="S5288" t="n">
        <v/>
      </c>
      <c r="T5288" t="inlineStr">
        <is>
          <t>7</t>
        </is>
      </c>
      <c r="U5288" t="inlineStr">
        <is>
          <t>1</t>
        </is>
      </c>
      <c r="V5288" t="n">
        <v/>
      </c>
      <c r="W5288" t="n">
        <v/>
      </c>
    </row>
    <row r="5289">
      <c r="A5289" t="inlineStr">
        <is>
          <t>08/01/2026 7:23:39</t>
        </is>
      </c>
      <c r="B5289" t="inlineStr">
        <is>
          <t>Vòng Nhật Sang</t>
        </is>
      </c>
      <c r="C5289" t="inlineStr">
        <is>
          <t>07/01/2026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22</v>
      </c>
      <c r="L5289" t="n">
        <v>0</v>
      </c>
      <c r="M5289" t="n">
        <v>0</v>
      </c>
      <c r="N5289" t="n">
        <v>0</v>
      </c>
      <c r="O5289" t="n">
        <v>0</v>
      </c>
      <c r="P5289" t="n">
        <v>2</v>
      </c>
      <c r="Q5289" t="n">
        <v>2</v>
      </c>
      <c r="R5289" t="n">
        <v>0</v>
      </c>
      <c r="S5289" t="n">
        <v/>
      </c>
      <c r="T5289" t="inlineStr">
        <is>
          <t>7</t>
        </is>
      </c>
      <c r="U5289" t="inlineStr">
        <is>
          <t>1</t>
        </is>
      </c>
      <c r="V5289" t="n">
        <v/>
      </c>
      <c r="W5289" t="n">
        <v/>
      </c>
    </row>
    <row r="5290">
      <c r="A5290" t="inlineStr">
        <is>
          <t>08/01/2026 7:26:06</t>
        </is>
      </c>
      <c r="B5290" t="inlineStr">
        <is>
          <t>Lê Hồng Phong</t>
        </is>
      </c>
      <c r="C5290" t="inlineStr">
        <is>
          <t>08/01/2026</t>
        </is>
      </c>
      <c r="D5290" t="n">
        <v>1</v>
      </c>
      <c r="E5290" t="n">
        <v>1</v>
      </c>
      <c r="F5290" t="n">
        <v>1</v>
      </c>
      <c r="G5290" t="n">
        <v>0</v>
      </c>
      <c r="H5290" t="n">
        <v>0</v>
      </c>
      <c r="I5290" t="n">
        <v>1</v>
      </c>
      <c r="J5290" t="n">
        <v>1</v>
      </c>
      <c r="K5290" t="n">
        <v>1</v>
      </c>
      <c r="L5290" t="n">
        <v>1</v>
      </c>
      <c r="M5290" t="n">
        <v>1</v>
      </c>
      <c r="N5290" t="n">
        <v>1</v>
      </c>
      <c r="O5290" t="n">
        <v>1</v>
      </c>
      <c r="P5290" t="n">
        <v>1</v>
      </c>
      <c r="Q5290" t="n">
        <v>1</v>
      </c>
      <c r="R5290" t="n">
        <v>1</v>
      </c>
      <c r="S5290" t="n">
        <v/>
      </c>
      <c r="T5290" t="inlineStr">
        <is>
          <t>8</t>
        </is>
      </c>
      <c r="U5290" t="inlineStr">
        <is>
          <t>1</t>
        </is>
      </c>
      <c r="V5290" t="n">
        <v/>
      </c>
      <c r="W5290" t="n">
        <v/>
      </c>
    </row>
    <row r="5291">
      <c r="A5291" t="inlineStr">
        <is>
          <t>08/01/2026 7:35:31</t>
        </is>
      </c>
      <c r="B5291" t="inlineStr">
        <is>
          <t>Trần Xuân Khoa</t>
        </is>
      </c>
      <c r="C5291" t="inlineStr">
        <is>
          <t>07/01/2026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1</v>
      </c>
      <c r="Q5291" t="n">
        <v>2</v>
      </c>
      <c r="R5291" t="n">
        <v>0</v>
      </c>
      <c r="S5291" t="n">
        <v/>
      </c>
      <c r="T5291" t="inlineStr">
        <is>
          <t>7</t>
        </is>
      </c>
      <c r="U5291" t="inlineStr">
        <is>
          <t>1</t>
        </is>
      </c>
      <c r="V5291" t="n">
        <v/>
      </c>
      <c r="W5291" t="n">
        <v/>
      </c>
    </row>
    <row r="5292">
      <c r="A5292" t="inlineStr">
        <is>
          <t>08/01/2026 7:36:38</t>
        </is>
      </c>
      <c r="B5292" t="inlineStr">
        <is>
          <t>Hồ Thái Minh Trí</t>
        </is>
      </c>
      <c r="C5292" t="inlineStr">
        <is>
          <t>07/01/2026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/>
      </c>
      <c r="T5292" t="inlineStr">
        <is>
          <t>7</t>
        </is>
      </c>
      <c r="U5292" t="inlineStr">
        <is>
          <t>1</t>
        </is>
      </c>
      <c r="V5292" t="n">
        <v/>
      </c>
      <c r="W5292" t="n">
        <v/>
      </c>
    </row>
    <row r="5293">
      <c r="A5293" t="inlineStr">
        <is>
          <t>08/01/2026 7:36:57</t>
        </is>
      </c>
      <c r="B5293" t="inlineStr">
        <is>
          <t>Đào Công Trung</t>
        </is>
      </c>
      <c r="C5293" t="inlineStr">
        <is>
          <t>07/01/2026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7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/>
      </c>
      <c r="T5293" t="inlineStr">
        <is>
          <t>7</t>
        </is>
      </c>
      <c r="U5293" t="inlineStr">
        <is>
          <t>1</t>
        </is>
      </c>
      <c r="V5293" t="n">
        <v/>
      </c>
      <c r="W5293" t="n">
        <v/>
      </c>
    </row>
    <row r="5294">
      <c r="A5294" t="inlineStr">
        <is>
          <t>08/01/2026 8:03:39</t>
        </is>
      </c>
      <c r="B5294" t="inlineStr">
        <is>
          <t>Nguyễn Hồng Minh</t>
        </is>
      </c>
      <c r="C5294" t="inlineStr">
        <is>
          <t>07/01/2026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1</v>
      </c>
      <c r="L5294" t="n">
        <v>1</v>
      </c>
      <c r="M5294" t="n">
        <v>0</v>
      </c>
      <c r="N5294" t="n">
        <v>1</v>
      </c>
      <c r="O5294" t="n">
        <v>0</v>
      </c>
      <c r="P5294" t="n">
        <v>0</v>
      </c>
      <c r="Q5294" t="n">
        <v>5</v>
      </c>
      <c r="R5294" t="n">
        <v>2</v>
      </c>
      <c r="S5294" t="n">
        <v/>
      </c>
      <c r="T5294" t="inlineStr">
        <is>
          <t>7</t>
        </is>
      </c>
      <c r="U5294" t="inlineStr">
        <is>
          <t>1</t>
        </is>
      </c>
      <c r="V5294" t="n">
        <v/>
      </c>
      <c r="W5294" t="n">
        <v/>
      </c>
    </row>
    <row r="5295">
      <c r="A5295" t="inlineStr">
        <is>
          <t>08/01/2026 8:09:49</t>
        </is>
      </c>
      <c r="B5295" t="inlineStr">
        <is>
          <t>Bùi Duy Cường</t>
        </is>
      </c>
      <c r="C5295" t="inlineStr">
        <is>
          <t>07/01/2026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2</v>
      </c>
      <c r="J5295" t="n">
        <v>0</v>
      </c>
      <c r="K5295" t="n">
        <v>15</v>
      </c>
      <c r="L5295" t="n">
        <v>0</v>
      </c>
      <c r="M5295" t="n">
        <v>0</v>
      </c>
      <c r="N5295" t="n">
        <v>1</v>
      </c>
      <c r="O5295" t="n">
        <v>0</v>
      </c>
      <c r="P5295" t="n">
        <v>0</v>
      </c>
      <c r="Q5295" t="n">
        <v>0</v>
      </c>
      <c r="R5295" t="n">
        <v>0</v>
      </c>
      <c r="S5295" t="n">
        <v/>
      </c>
      <c r="T5295" t="inlineStr">
        <is>
          <t>7</t>
        </is>
      </c>
      <c r="U5295" t="inlineStr">
        <is>
          <t>1</t>
        </is>
      </c>
      <c r="V5295" t="n">
        <v/>
      </c>
      <c r="W5295" t="n">
        <v/>
      </c>
    </row>
    <row r="5296">
      <c r="A5296" t="inlineStr">
        <is>
          <t>08/01/2026 8:13:42</t>
        </is>
      </c>
      <c r="B5296" t="inlineStr">
        <is>
          <t>Lương Duy Hải</t>
        </is>
      </c>
      <c r="C5296" t="inlineStr">
        <is>
          <t>07/01/2026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4</v>
      </c>
      <c r="L5296" t="n">
        <v>0</v>
      </c>
      <c r="M5296" t="n">
        <v>0</v>
      </c>
      <c r="N5296" t="n">
        <v>0</v>
      </c>
      <c r="O5296" t="n">
        <v>0</v>
      </c>
      <c r="P5296" t="n">
        <v>2</v>
      </c>
      <c r="Q5296" t="n">
        <v>2</v>
      </c>
      <c r="R5296" t="n">
        <v>1</v>
      </c>
      <c r="S5296" t="n">
        <v/>
      </c>
      <c r="T5296" t="inlineStr">
        <is>
          <t>7</t>
        </is>
      </c>
      <c r="U5296" t="inlineStr">
        <is>
          <t>1</t>
        </is>
      </c>
      <c r="V5296" t="n">
        <v/>
      </c>
      <c r="W5296" t="n">
        <v/>
      </c>
    </row>
    <row r="5297">
      <c r="A5297" t="inlineStr">
        <is>
          <t>08/01/2026 9:03:19</t>
        </is>
      </c>
      <c r="B5297" t="inlineStr">
        <is>
          <t>Lê Quốc Duy</t>
        </is>
      </c>
      <c r="C5297" t="inlineStr">
        <is>
          <t>07/01/2026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/>
      </c>
      <c r="T5297" t="inlineStr">
        <is>
          <t>7</t>
        </is>
      </c>
      <c r="U5297" t="inlineStr">
        <is>
          <t>1</t>
        </is>
      </c>
      <c r="V5297" t="n">
        <v/>
      </c>
      <c r="W5297" t="n">
        <v/>
      </c>
    </row>
    <row r="5298">
      <c r="A5298" t="inlineStr">
        <is>
          <t>08/01/2026 20:50:45</t>
        </is>
      </c>
      <c r="B5298" t="inlineStr">
        <is>
          <t>Đặng Hữu Danh</t>
        </is>
      </c>
      <c r="C5298" t="inlineStr">
        <is>
          <t>08/01/2026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5</v>
      </c>
      <c r="L5298" t="n">
        <v>0</v>
      </c>
      <c r="M5298" t="n">
        <v>0</v>
      </c>
      <c r="N5298" t="n">
        <v>0</v>
      </c>
      <c r="O5298" t="n">
        <v>0</v>
      </c>
      <c r="P5298" t="n">
        <v>1</v>
      </c>
      <c r="Q5298" t="n">
        <v>2</v>
      </c>
      <c r="R5298" t="n">
        <v>1</v>
      </c>
      <c r="S5298" t="n">
        <v/>
      </c>
      <c r="T5298" t="inlineStr">
        <is>
          <t>8</t>
        </is>
      </c>
      <c r="U5298" t="inlineStr">
        <is>
          <t>1</t>
        </is>
      </c>
      <c r="V5298" t="n">
        <v/>
      </c>
      <c r="W5298" t="n">
        <v/>
      </c>
    </row>
    <row r="5299">
      <c r="A5299" t="inlineStr">
        <is>
          <t>09/01/2026 6:42:29</t>
        </is>
      </c>
      <c r="B5299" t="inlineStr">
        <is>
          <t>Nguyễn Tuấn Anh</t>
        </is>
      </c>
      <c r="C5299" t="inlineStr">
        <is>
          <t>08/01/2025</t>
        </is>
      </c>
      <c r="D5299" t="n">
        <v>0</v>
      </c>
      <c r="E5299" t="n">
        <v>0</v>
      </c>
      <c r="F5299" t="n">
        <v>0</v>
      </c>
      <c r="G5299" t="n">
        <v>1</v>
      </c>
      <c r="H5299" t="n">
        <v>0</v>
      </c>
      <c r="I5299" t="n">
        <v>3</v>
      </c>
      <c r="J5299" t="n">
        <v>0</v>
      </c>
      <c r="K5299" t="n">
        <v>2</v>
      </c>
      <c r="L5299" t="n">
        <v>1</v>
      </c>
      <c r="M5299" t="n">
        <v>0</v>
      </c>
      <c r="N5299" t="n">
        <v>1</v>
      </c>
      <c r="O5299" t="n">
        <v>0</v>
      </c>
      <c r="P5299" t="n">
        <v>0</v>
      </c>
      <c r="Q5299" t="n">
        <v>2</v>
      </c>
      <c r="R5299" t="n">
        <v>0</v>
      </c>
      <c r="S5299" t="n">
        <v/>
      </c>
      <c r="T5299" t="inlineStr">
        <is>
          <t>8</t>
        </is>
      </c>
      <c r="U5299" t="inlineStr">
        <is>
          <t>1</t>
        </is>
      </c>
      <c r="V5299" t="n">
        <v/>
      </c>
      <c r="W5299" t="n">
        <v/>
      </c>
    </row>
    <row r="5300">
      <c r="A5300" t="inlineStr">
        <is>
          <t>09/01/2026 6:55:43</t>
        </is>
      </c>
      <c r="B5300" t="inlineStr">
        <is>
          <t>Lê Hồng Phong</t>
        </is>
      </c>
      <c r="C5300" t="inlineStr">
        <is>
          <t>09/01/2026</t>
        </is>
      </c>
      <c r="D5300" t="n">
        <v>1</v>
      </c>
      <c r="E5300" t="n">
        <v>1</v>
      </c>
      <c r="F5300" t="n">
        <v>1</v>
      </c>
      <c r="G5300" t="n">
        <v>0</v>
      </c>
      <c r="H5300" t="n">
        <v>0</v>
      </c>
      <c r="I5300" t="n">
        <v>1</v>
      </c>
      <c r="J5300" t="n">
        <v>1</v>
      </c>
      <c r="K5300" t="n">
        <v>1</v>
      </c>
      <c r="L5300" t="n">
        <v>1</v>
      </c>
      <c r="M5300" t="n">
        <v>1</v>
      </c>
      <c r="N5300" t="n">
        <v>1</v>
      </c>
      <c r="O5300" t="n">
        <v>1</v>
      </c>
      <c r="P5300" t="n">
        <v>1</v>
      </c>
      <c r="Q5300" t="n">
        <v>1</v>
      </c>
      <c r="R5300" t="n">
        <v>1</v>
      </c>
      <c r="S5300" t="n">
        <v/>
      </c>
      <c r="T5300" t="inlineStr">
        <is>
          <t>9</t>
        </is>
      </c>
      <c r="U5300" t="inlineStr">
        <is>
          <t>1</t>
        </is>
      </c>
      <c r="V5300" t="n">
        <v/>
      </c>
      <c r="W5300" t="n">
        <v/>
      </c>
    </row>
    <row r="5301">
      <c r="A5301" t="inlineStr">
        <is>
          <t>09/01/2026 7:12:24</t>
        </is>
      </c>
      <c r="B5301" t="inlineStr">
        <is>
          <t>Dương Minh Tiến</t>
        </is>
      </c>
      <c r="C5301" t="inlineStr">
        <is>
          <t>08/01/2026</t>
        </is>
      </c>
      <c r="D5301" t="n">
        <v>1</v>
      </c>
      <c r="E5301" t="n">
        <v>1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3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/>
      </c>
      <c r="T5301" t="inlineStr">
        <is>
          <t>8</t>
        </is>
      </c>
      <c r="U5301" t="inlineStr">
        <is>
          <t>1</t>
        </is>
      </c>
      <c r="V5301" t="n">
        <v/>
      </c>
      <c r="W5301" t="n">
        <v/>
      </c>
    </row>
    <row r="5302">
      <c r="A5302" t="inlineStr">
        <is>
          <t>09/01/2026 7:15:20</t>
        </is>
      </c>
      <c r="B5302" t="inlineStr">
        <is>
          <t>Nguyễn Văn Hiệp</t>
        </is>
      </c>
      <c r="C5302" t="inlineStr">
        <is>
          <t>08/01/2026</t>
        </is>
      </c>
      <c r="D5302" t="n">
        <v>1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1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/>
      </c>
      <c r="T5302" t="inlineStr">
        <is>
          <t>8</t>
        </is>
      </c>
      <c r="U5302" t="inlineStr">
        <is>
          <t>1</t>
        </is>
      </c>
      <c r="V5302" t="n">
        <v/>
      </c>
      <c r="W5302" t="n">
        <v/>
      </c>
    </row>
    <row r="5303">
      <c r="A5303" t="inlineStr">
        <is>
          <t>09/01/2026 7:16:00</t>
        </is>
      </c>
      <c r="B5303" t="inlineStr">
        <is>
          <t>Đặng Hoài Anh</t>
        </is>
      </c>
      <c r="C5303" t="inlineStr">
        <is>
          <t>08/01/2026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2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/>
      </c>
      <c r="T5303" t="inlineStr">
        <is>
          <t>8</t>
        </is>
      </c>
      <c r="U5303" t="inlineStr">
        <is>
          <t>1</t>
        </is>
      </c>
      <c r="V5303" t="n">
        <v/>
      </c>
      <c r="W5303" t="n">
        <v/>
      </c>
    </row>
    <row r="5304">
      <c r="A5304" t="inlineStr">
        <is>
          <t>09/01/2026 7:20:01</t>
        </is>
      </c>
      <c r="B5304" t="inlineStr">
        <is>
          <t>Trần Minh Khánh</t>
        </is>
      </c>
      <c r="C5304" t="inlineStr">
        <is>
          <t>08/01/2026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3</v>
      </c>
      <c r="J5304" t="n">
        <v>0</v>
      </c>
      <c r="K5304" t="n">
        <v>1</v>
      </c>
      <c r="L5304" t="n">
        <v>3</v>
      </c>
      <c r="M5304" t="n">
        <v>0</v>
      </c>
      <c r="N5304" t="n">
        <v>0</v>
      </c>
      <c r="O5304" t="n">
        <v>0</v>
      </c>
      <c r="P5304" t="n">
        <v>1</v>
      </c>
      <c r="Q5304" t="n">
        <v>5</v>
      </c>
      <c r="R5304" t="n">
        <v>0</v>
      </c>
      <c r="S5304" t="n">
        <v/>
      </c>
      <c r="T5304" t="inlineStr">
        <is>
          <t>8</t>
        </is>
      </c>
      <c r="U5304" t="inlineStr">
        <is>
          <t>1</t>
        </is>
      </c>
      <c r="V5304" t="n">
        <v/>
      </c>
      <c r="W5304" t="n">
        <v/>
      </c>
    </row>
    <row r="5305">
      <c r="A5305" t="inlineStr">
        <is>
          <t>09/01/2026 7:23:56</t>
        </is>
      </c>
      <c r="B5305" t="inlineStr">
        <is>
          <t>Nguyễn Quang Anh Tuấn</t>
        </is>
      </c>
      <c r="C5305" t="inlineStr">
        <is>
          <t>08/01/2026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5</v>
      </c>
      <c r="L5305" t="n">
        <v>2</v>
      </c>
      <c r="M5305" t="n">
        <v>0</v>
      </c>
      <c r="N5305" t="n">
        <v>0</v>
      </c>
      <c r="O5305" t="n">
        <v>0</v>
      </c>
      <c r="P5305" t="n">
        <v>0</v>
      </c>
      <c r="Q5305" t="n">
        <v>2</v>
      </c>
      <c r="R5305" t="n">
        <v>0</v>
      </c>
      <c r="S5305" t="n">
        <v/>
      </c>
      <c r="T5305" t="inlineStr">
        <is>
          <t>8</t>
        </is>
      </c>
      <c r="U5305" t="inlineStr">
        <is>
          <t>1</t>
        </is>
      </c>
      <c r="V5305" t="n">
        <v/>
      </c>
      <c r="W5305" t="n">
        <v/>
      </c>
    </row>
    <row r="5306">
      <c r="A5306" t="inlineStr">
        <is>
          <t>09/01/2026 7:28:51</t>
        </is>
      </c>
      <c r="B5306" t="inlineStr">
        <is>
          <t>Trần Trung Giang</t>
        </is>
      </c>
      <c r="C5306" t="inlineStr">
        <is>
          <t>08/01/2026</t>
        </is>
      </c>
      <c r="D5306" t="n">
        <v>0</v>
      </c>
      <c r="E5306" t="n">
        <v>0</v>
      </c>
      <c r="F5306" t="n">
        <v>0</v>
      </c>
      <c r="G5306" t="n">
        <v>1</v>
      </c>
      <c r="H5306" t="n">
        <v>2</v>
      </c>
      <c r="I5306" t="n">
        <v>0</v>
      </c>
      <c r="J5306" t="n">
        <v>0</v>
      </c>
      <c r="K5306" t="n">
        <v>8</v>
      </c>
      <c r="L5306" t="n">
        <v>0</v>
      </c>
      <c r="M5306" t="n">
        <v>0</v>
      </c>
      <c r="N5306" t="n">
        <v>1</v>
      </c>
      <c r="O5306" t="n">
        <v>0</v>
      </c>
      <c r="P5306" t="n">
        <v>0</v>
      </c>
      <c r="Q5306" t="n">
        <v>0</v>
      </c>
      <c r="R5306" t="n">
        <v>1</v>
      </c>
      <c r="S5306" t="n">
        <v/>
      </c>
      <c r="T5306" t="inlineStr">
        <is>
          <t>8</t>
        </is>
      </c>
      <c r="U5306" t="inlineStr">
        <is>
          <t>1</t>
        </is>
      </c>
      <c r="V5306" t="n">
        <v/>
      </c>
      <c r="W5306" t="n">
        <v/>
      </c>
    </row>
    <row r="5307">
      <c r="A5307" t="inlineStr">
        <is>
          <t>09/01/2026 7:33:55</t>
        </is>
      </c>
      <c r="B5307" t="inlineStr">
        <is>
          <t>Hồ Xuân Việt</t>
        </is>
      </c>
      <c r="C5307" t="inlineStr">
        <is>
          <t>08/01/2026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1</v>
      </c>
      <c r="L5307" t="n">
        <v>1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/>
      </c>
      <c r="T5307" t="inlineStr">
        <is>
          <t>8</t>
        </is>
      </c>
      <c r="U5307" t="inlineStr">
        <is>
          <t>1</t>
        </is>
      </c>
      <c r="V5307" t="n">
        <v/>
      </c>
      <c r="W5307" t="n">
        <v/>
      </c>
    </row>
    <row r="5308">
      <c r="A5308" t="inlineStr">
        <is>
          <t>09/01/2026 7:36:51</t>
        </is>
      </c>
      <c r="B5308" t="inlineStr">
        <is>
          <t>Lương Duy Hoàng</t>
        </is>
      </c>
      <c r="C5308" t="inlineStr">
        <is>
          <t>08/01/2026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4</v>
      </c>
      <c r="L5308" t="n">
        <v>1</v>
      </c>
      <c r="M5308" t="n">
        <v>0</v>
      </c>
      <c r="N5308" t="n">
        <v>0</v>
      </c>
      <c r="O5308" t="n">
        <v>0</v>
      </c>
      <c r="P5308" t="n">
        <v>1</v>
      </c>
      <c r="Q5308" t="n">
        <v>1</v>
      </c>
      <c r="R5308" t="n">
        <v>0</v>
      </c>
      <c r="S5308" t="n">
        <v/>
      </c>
      <c r="T5308" t="inlineStr">
        <is>
          <t>8</t>
        </is>
      </c>
      <c r="U5308" t="inlineStr">
        <is>
          <t>1</t>
        </is>
      </c>
      <c r="V5308" t="n">
        <v/>
      </c>
      <c r="W5308" t="n">
        <v/>
      </c>
    </row>
    <row r="5309">
      <c r="A5309" t="inlineStr">
        <is>
          <t>09/01/2026 7:37:25</t>
        </is>
      </c>
      <c r="B5309" t="inlineStr">
        <is>
          <t>Hồ Thái Minh Trí</t>
        </is>
      </c>
      <c r="C5309" t="inlineStr">
        <is>
          <t>08/01/2026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8</v>
      </c>
      <c r="L5309" t="n">
        <v>2</v>
      </c>
      <c r="M5309" t="n">
        <v>1</v>
      </c>
      <c r="N5309" t="n">
        <v>0</v>
      </c>
      <c r="O5309" t="n">
        <v>0</v>
      </c>
      <c r="P5309" t="n">
        <v>0</v>
      </c>
      <c r="Q5309" t="n">
        <v>2</v>
      </c>
      <c r="R5309" t="n">
        <v>0</v>
      </c>
      <c r="S5309" t="n">
        <v/>
      </c>
      <c r="T5309" t="inlineStr">
        <is>
          <t>8</t>
        </is>
      </c>
      <c r="U5309" t="inlineStr">
        <is>
          <t>1</t>
        </is>
      </c>
      <c r="V5309" t="n">
        <v/>
      </c>
      <c r="W5309" t="n">
        <v/>
      </c>
    </row>
    <row r="5310">
      <c r="A5310" t="inlineStr">
        <is>
          <t>09/01/2026 7:37:27</t>
        </is>
      </c>
      <c r="B5310" t="inlineStr">
        <is>
          <t>Phan Thành Thái</t>
        </is>
      </c>
      <c r="C5310" t="inlineStr">
        <is>
          <t>08/01/2026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2</v>
      </c>
      <c r="J5310" t="n">
        <v>0</v>
      </c>
      <c r="K5310" t="n">
        <v>7</v>
      </c>
      <c r="L5310" t="n">
        <v>0</v>
      </c>
      <c r="M5310" t="n">
        <v>0</v>
      </c>
      <c r="N5310" t="n">
        <v>0</v>
      </c>
      <c r="O5310" t="n">
        <v>0</v>
      </c>
      <c r="P5310" t="n">
        <v>1</v>
      </c>
      <c r="Q5310" t="n">
        <v>4</v>
      </c>
      <c r="R5310" t="n">
        <v>0</v>
      </c>
      <c r="S5310" t="n">
        <v/>
      </c>
      <c r="T5310" t="inlineStr">
        <is>
          <t>8</t>
        </is>
      </c>
      <c r="U5310" t="inlineStr">
        <is>
          <t>1</t>
        </is>
      </c>
      <c r="V5310" t="n">
        <v/>
      </c>
      <c r="W5310" t="n">
        <v/>
      </c>
    </row>
    <row r="5311">
      <c r="A5311" t="inlineStr">
        <is>
          <t>09/01/2026 7:37:52</t>
        </is>
      </c>
      <c r="B5311" t="inlineStr">
        <is>
          <t>Vòng Nhật Sang</t>
        </is>
      </c>
      <c r="C5311" t="inlineStr">
        <is>
          <t>08/01/2026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5</v>
      </c>
      <c r="L5311" t="n">
        <v>4</v>
      </c>
      <c r="M5311" t="n">
        <v>0</v>
      </c>
      <c r="N5311" t="n">
        <v>0</v>
      </c>
      <c r="O5311" t="n">
        <v>0</v>
      </c>
      <c r="P5311" t="n">
        <v>2</v>
      </c>
      <c r="Q5311" t="n">
        <v>2</v>
      </c>
      <c r="R5311" t="n">
        <v>0</v>
      </c>
      <c r="S5311" t="n">
        <v/>
      </c>
      <c r="T5311" t="inlineStr">
        <is>
          <t>8</t>
        </is>
      </c>
      <c r="U5311" t="inlineStr">
        <is>
          <t>1</t>
        </is>
      </c>
      <c r="V5311" t="n">
        <v/>
      </c>
      <c r="W5311" t="n">
        <v/>
      </c>
    </row>
    <row r="5312">
      <c r="A5312" t="inlineStr">
        <is>
          <t>09/01/2026 7:43:31</t>
        </is>
      </c>
      <c r="B5312" t="inlineStr">
        <is>
          <t>Huỳnh Văn Lực</t>
        </is>
      </c>
      <c r="C5312" t="inlineStr">
        <is>
          <t>08/01/2026</t>
        </is>
      </c>
      <c r="D5312" t="n">
        <v>1</v>
      </c>
      <c r="E5312" t="n">
        <v>1</v>
      </c>
      <c r="F5312" t="n">
        <v>1</v>
      </c>
      <c r="G5312" t="n">
        <v>0</v>
      </c>
      <c r="H5312" t="n">
        <v>0</v>
      </c>
      <c r="I5312" t="n">
        <v>0</v>
      </c>
      <c r="J5312" t="n">
        <v>0</v>
      </c>
      <c r="K5312" t="n">
        <v>4</v>
      </c>
      <c r="L5312" t="n">
        <v>0</v>
      </c>
      <c r="M5312" t="n">
        <v>0</v>
      </c>
      <c r="N5312" t="n">
        <v>0</v>
      </c>
      <c r="O5312" t="n">
        <v>0</v>
      </c>
      <c r="P5312" t="n">
        <v>1</v>
      </c>
      <c r="Q5312" t="n">
        <v>1</v>
      </c>
      <c r="R5312" t="n">
        <v>0</v>
      </c>
      <c r="S5312" t="n">
        <v/>
      </c>
      <c r="T5312" t="inlineStr">
        <is>
          <t>8</t>
        </is>
      </c>
      <c r="U5312" t="inlineStr">
        <is>
          <t>1</t>
        </is>
      </c>
      <c r="V5312" t="n">
        <v/>
      </c>
      <c r="W5312" t="n">
        <v/>
      </c>
    </row>
    <row r="5313">
      <c r="A5313" t="inlineStr">
        <is>
          <t>09/01/2026 7:51:31</t>
        </is>
      </c>
      <c r="B5313" t="inlineStr">
        <is>
          <t>Bùi Duy Cường</t>
        </is>
      </c>
      <c r="C5313" t="inlineStr">
        <is>
          <t>08/01/2026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10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1</v>
      </c>
      <c r="R5313" t="n">
        <v>0</v>
      </c>
      <c r="S5313" t="n">
        <v/>
      </c>
      <c r="T5313" t="inlineStr">
        <is>
          <t>8</t>
        </is>
      </c>
      <c r="U5313" t="inlineStr">
        <is>
          <t>1</t>
        </is>
      </c>
      <c r="V5313" t="n">
        <v/>
      </c>
      <c r="W5313" t="n">
        <v/>
      </c>
    </row>
    <row r="5314">
      <c r="A5314" t="inlineStr">
        <is>
          <t>09/01/2026 7:54:09</t>
        </is>
      </c>
      <c r="B5314" t="inlineStr">
        <is>
          <t>Nguyễn Hồng Minh</t>
        </is>
      </c>
      <c r="C5314" t="inlineStr">
        <is>
          <t>08/01/2026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</v>
      </c>
      <c r="J5314" t="n">
        <v>0</v>
      </c>
      <c r="K5314" t="n">
        <v>3</v>
      </c>
      <c r="L5314" t="n">
        <v>0</v>
      </c>
      <c r="M5314" t="n">
        <v>0</v>
      </c>
      <c r="N5314" t="n">
        <v>1</v>
      </c>
      <c r="O5314" t="n">
        <v>1</v>
      </c>
      <c r="P5314" t="n">
        <v>0</v>
      </c>
      <c r="Q5314" t="n">
        <v>5</v>
      </c>
      <c r="R5314" t="n">
        <v>0</v>
      </c>
      <c r="S5314" t="n">
        <v/>
      </c>
      <c r="T5314" t="inlineStr">
        <is>
          <t>8</t>
        </is>
      </c>
      <c r="U5314" t="inlineStr">
        <is>
          <t>1</t>
        </is>
      </c>
      <c r="V5314" t="n">
        <v/>
      </c>
      <c r="W5314" t="n">
        <v/>
      </c>
    </row>
    <row r="5315">
      <c r="A5315" t="inlineStr">
        <is>
          <t>09/01/2026 20:50:19</t>
        </is>
      </c>
      <c r="B5315" t="inlineStr">
        <is>
          <t>Nguyễn Văn Nhật</t>
        </is>
      </c>
      <c r="C5315" t="inlineStr">
        <is>
          <t>07/01/2026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3</v>
      </c>
      <c r="L5315" t="n">
        <v>4</v>
      </c>
      <c r="M5315" t="n">
        <v>0</v>
      </c>
      <c r="N5315" t="n">
        <v>0</v>
      </c>
      <c r="O5315" t="n">
        <v>0</v>
      </c>
      <c r="P5315" t="n">
        <v>2</v>
      </c>
      <c r="Q5315" t="n">
        <v>3</v>
      </c>
      <c r="R5315" t="n">
        <v>0</v>
      </c>
      <c r="S5315" t="n">
        <v/>
      </c>
      <c r="T5315" t="inlineStr">
        <is>
          <t>7</t>
        </is>
      </c>
      <c r="U5315" t="inlineStr">
        <is>
          <t>1</t>
        </is>
      </c>
      <c r="V5315" t="n">
        <v/>
      </c>
      <c r="W5315" t="n">
        <v/>
      </c>
    </row>
    <row r="5316">
      <c r="A5316" t="inlineStr">
        <is>
          <t>09/01/2026 20:52:04</t>
        </is>
      </c>
      <c r="B5316" t="inlineStr">
        <is>
          <t>Nguyễn Văn Nhật</t>
        </is>
      </c>
      <c r="C5316" t="inlineStr">
        <is>
          <t>08/01/2026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2</v>
      </c>
      <c r="L5316" t="n">
        <v>4</v>
      </c>
      <c r="M5316" t="n">
        <v>0</v>
      </c>
      <c r="N5316" t="n">
        <v>0</v>
      </c>
      <c r="O5316" t="n">
        <v>0</v>
      </c>
      <c r="P5316" t="n">
        <v>1</v>
      </c>
      <c r="Q5316" t="n">
        <v>3</v>
      </c>
      <c r="R5316" t="n">
        <v>0</v>
      </c>
      <c r="S5316" t="n">
        <v/>
      </c>
      <c r="T5316" t="inlineStr">
        <is>
          <t>8</t>
        </is>
      </c>
      <c r="U5316" t="inlineStr">
        <is>
          <t>1</t>
        </is>
      </c>
      <c r="V5316" t="n">
        <v/>
      </c>
      <c r="W5316" t="n">
        <v/>
      </c>
    </row>
    <row r="5317">
      <c r="A5317" t="inlineStr">
        <is>
          <t>10/01/2026 6:27:39</t>
        </is>
      </c>
      <c r="B5317" t="inlineStr">
        <is>
          <t>Lê Quốc Duy</t>
        </is>
      </c>
      <c r="C5317" t="inlineStr">
        <is>
          <t>08/01/2026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1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1</v>
      </c>
      <c r="R5317" t="n">
        <v>0</v>
      </c>
      <c r="S5317" t="n">
        <v/>
      </c>
      <c r="T5317" t="inlineStr">
        <is>
          <t>8</t>
        </is>
      </c>
      <c r="U5317" t="inlineStr">
        <is>
          <t>1</t>
        </is>
      </c>
      <c r="V5317" t="n">
        <v/>
      </c>
      <c r="W5317" t="n">
        <v/>
      </c>
    </row>
    <row r="5318">
      <c r="A5318" t="inlineStr">
        <is>
          <t>10/01/2026 6:28:44</t>
        </is>
      </c>
      <c r="B5318" t="inlineStr">
        <is>
          <t>Lê Quốc Duy</t>
        </is>
      </c>
      <c r="C5318" t="inlineStr">
        <is>
          <t>09/01/2026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4</v>
      </c>
      <c r="L5318" t="n">
        <v>0</v>
      </c>
      <c r="M5318" t="n">
        <v>0</v>
      </c>
      <c r="N5318" t="n">
        <v>0</v>
      </c>
      <c r="O5318" t="n">
        <v>0</v>
      </c>
      <c r="P5318" t="n">
        <v>1</v>
      </c>
      <c r="Q5318" t="n">
        <v>1</v>
      </c>
      <c r="R5318" t="n">
        <v>0</v>
      </c>
      <c r="S5318" t="n">
        <v/>
      </c>
      <c r="T5318" t="inlineStr">
        <is>
          <t>9</t>
        </is>
      </c>
      <c r="U5318" t="inlineStr">
        <is>
          <t>1</t>
        </is>
      </c>
      <c r="V5318" t="n">
        <v/>
      </c>
      <c r="W5318" t="n">
        <v/>
      </c>
    </row>
    <row r="5319">
      <c r="A5319" t="inlineStr">
        <is>
          <t>10/01/2026 6:31:35</t>
        </is>
      </c>
      <c r="B5319" t="inlineStr">
        <is>
          <t>Hồ Xuân Việt</t>
        </is>
      </c>
      <c r="C5319" t="inlineStr">
        <is>
          <t>09/01/2026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5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2</v>
      </c>
      <c r="R5319" t="n">
        <v>0</v>
      </c>
      <c r="S5319" t="n">
        <v/>
      </c>
      <c r="T5319" t="inlineStr">
        <is>
          <t>9</t>
        </is>
      </c>
      <c r="U5319" t="inlineStr">
        <is>
          <t>1</t>
        </is>
      </c>
      <c r="V5319" t="n">
        <v/>
      </c>
      <c r="W5319" t="n">
        <v/>
      </c>
    </row>
    <row r="5320">
      <c r="A5320" t="inlineStr">
        <is>
          <t>10/01/2026 6:33:33</t>
        </is>
      </c>
      <c r="B5320" t="inlineStr">
        <is>
          <t>Vòng Nhật Sang</t>
        </is>
      </c>
      <c r="C5320" t="inlineStr">
        <is>
          <t>09/01/2026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23</v>
      </c>
      <c r="L5320" t="n">
        <v>0</v>
      </c>
      <c r="M5320" t="n">
        <v>0</v>
      </c>
      <c r="N5320" t="n">
        <v>0</v>
      </c>
      <c r="O5320" t="n">
        <v>0</v>
      </c>
      <c r="P5320" t="n">
        <v>2</v>
      </c>
      <c r="Q5320" t="n">
        <v>3</v>
      </c>
      <c r="R5320" t="n">
        <v>0</v>
      </c>
      <c r="S5320" t="n">
        <v/>
      </c>
      <c r="T5320" t="inlineStr">
        <is>
          <t>9</t>
        </is>
      </c>
      <c r="U5320" t="inlineStr">
        <is>
          <t>1</t>
        </is>
      </c>
      <c r="V5320" t="n">
        <v/>
      </c>
      <c r="W5320" t="n">
        <v/>
      </c>
    </row>
    <row r="5321">
      <c r="A5321" t="inlineStr">
        <is>
          <t>10/01/2026 6:44:52</t>
        </is>
      </c>
      <c r="B5321" t="inlineStr">
        <is>
          <t>Trần Trung Giang</t>
        </is>
      </c>
      <c r="C5321" t="inlineStr">
        <is>
          <t>09/01/2026</t>
        </is>
      </c>
      <c r="D5321" t="n">
        <v>1</v>
      </c>
      <c r="E5321" t="n">
        <v>1</v>
      </c>
      <c r="F5321" t="n">
        <v>2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1</v>
      </c>
      <c r="Q5321" t="n">
        <v>1</v>
      </c>
      <c r="R5321" t="n">
        <v>0</v>
      </c>
      <c r="S5321" t="n">
        <v/>
      </c>
      <c r="T5321" t="inlineStr">
        <is>
          <t>9</t>
        </is>
      </c>
      <c r="U5321" t="inlineStr">
        <is>
          <t>1</t>
        </is>
      </c>
      <c r="V5321" t="n">
        <v/>
      </c>
      <c r="W5321" t="n">
        <v/>
      </c>
    </row>
    <row r="5322">
      <c r="A5322" t="inlineStr">
        <is>
          <t>10/01/2026 6:44:56</t>
        </is>
      </c>
      <c r="B5322" t="inlineStr">
        <is>
          <t>Lê Hồng Phong</t>
        </is>
      </c>
      <c r="C5322" t="inlineStr">
        <is>
          <t>10/01/2026</t>
        </is>
      </c>
      <c r="D5322" t="n">
        <v>1</v>
      </c>
      <c r="E5322" t="n">
        <v>1</v>
      </c>
      <c r="F5322" t="n">
        <v>1</v>
      </c>
      <c r="G5322" t="n">
        <v>1</v>
      </c>
      <c r="H5322" t="n">
        <v>1</v>
      </c>
      <c r="I5322" t="n">
        <v>1</v>
      </c>
      <c r="J5322" t="n">
        <v>1</v>
      </c>
      <c r="K5322" t="n">
        <v>1</v>
      </c>
      <c r="L5322" t="n">
        <v>1</v>
      </c>
      <c r="M5322" t="n">
        <v>1</v>
      </c>
      <c r="N5322" t="n">
        <v>1</v>
      </c>
      <c r="O5322" t="n">
        <v>1</v>
      </c>
      <c r="P5322" t="n">
        <v>1</v>
      </c>
      <c r="Q5322" t="n">
        <v>1</v>
      </c>
      <c r="R5322" t="n">
        <v>1</v>
      </c>
      <c r="S5322" t="n">
        <v/>
      </c>
      <c r="T5322" t="inlineStr">
        <is>
          <t>10</t>
        </is>
      </c>
      <c r="U5322" t="inlineStr">
        <is>
          <t>1</t>
        </is>
      </c>
      <c r="V5322" t="n">
        <v/>
      </c>
      <c r="W5322" t="n">
        <v/>
      </c>
    </row>
    <row r="5323">
      <c r="A5323" t="inlineStr">
        <is>
          <t>10/01/2026 6:50:18</t>
        </is>
      </c>
      <c r="B5323" t="inlineStr">
        <is>
          <t>Nguyễn Quang Anh Tuấn</t>
        </is>
      </c>
      <c r="C5323" t="inlineStr">
        <is>
          <t>09/01/2026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5</v>
      </c>
      <c r="L5323" t="n">
        <v>1</v>
      </c>
      <c r="M5323" t="n">
        <v>0</v>
      </c>
      <c r="N5323" t="n">
        <v>0</v>
      </c>
      <c r="O5323" t="n">
        <v>0</v>
      </c>
      <c r="P5323" t="n">
        <v>0</v>
      </c>
      <c r="Q5323" t="n">
        <v>1</v>
      </c>
      <c r="R5323" t="n">
        <v>0</v>
      </c>
      <c r="S5323" t="n">
        <v/>
      </c>
      <c r="T5323" t="inlineStr">
        <is>
          <t>9</t>
        </is>
      </c>
      <c r="U5323" t="inlineStr">
        <is>
          <t>1</t>
        </is>
      </c>
      <c r="V5323" t="n">
        <v/>
      </c>
      <c r="W5323" t="n">
        <v/>
      </c>
    </row>
    <row r="5324">
      <c r="A5324" t="inlineStr">
        <is>
          <t>10/01/2026 6:53:05</t>
        </is>
      </c>
      <c r="B5324" t="inlineStr">
        <is>
          <t>Huỳnh Văn Lực</t>
        </is>
      </c>
      <c r="C5324" t="inlineStr">
        <is>
          <t>09/01/2026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2</v>
      </c>
      <c r="L5324" t="n">
        <v>0</v>
      </c>
      <c r="M5324" t="n">
        <v>0</v>
      </c>
      <c r="N5324" t="n">
        <v>0</v>
      </c>
      <c r="O5324" t="n">
        <v>0</v>
      </c>
      <c r="P5324" t="n">
        <v>1</v>
      </c>
      <c r="Q5324" t="n">
        <v>1</v>
      </c>
      <c r="R5324" t="n">
        <v>0</v>
      </c>
      <c r="S5324" t="n">
        <v/>
      </c>
      <c r="T5324" t="inlineStr">
        <is>
          <t>9</t>
        </is>
      </c>
      <c r="U5324" t="inlineStr">
        <is>
          <t>1</t>
        </is>
      </c>
      <c r="V5324" t="n">
        <v/>
      </c>
      <c r="W5324" t="n">
        <v/>
      </c>
    </row>
    <row r="5325">
      <c r="A5325" t="inlineStr">
        <is>
          <t>10/01/2026 6:59:09</t>
        </is>
      </c>
      <c r="B5325" t="inlineStr">
        <is>
          <t>Lương Duy Hoàng</t>
        </is>
      </c>
      <c r="C5325" t="inlineStr">
        <is>
          <t>09/01/2026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8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/>
      </c>
      <c r="T5325" t="inlineStr">
        <is>
          <t>9</t>
        </is>
      </c>
      <c r="U5325" t="inlineStr">
        <is>
          <t>1</t>
        </is>
      </c>
      <c r="V5325" t="n">
        <v/>
      </c>
      <c r="W5325" t="n">
        <v/>
      </c>
    </row>
    <row r="5326">
      <c r="A5326" t="inlineStr">
        <is>
          <t>10/01/2026 7:03:01</t>
        </is>
      </c>
      <c r="B5326" t="inlineStr">
        <is>
          <t>Nguyễn Văn Hiệp</t>
        </is>
      </c>
      <c r="C5326" t="inlineStr">
        <is>
          <t>09/01/2026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6</v>
      </c>
      <c r="L5326" t="n">
        <v>0</v>
      </c>
      <c r="M5326" t="n">
        <v>1</v>
      </c>
      <c r="N5326" t="n">
        <v>0</v>
      </c>
      <c r="O5326" t="n">
        <v>0</v>
      </c>
      <c r="P5326" t="n">
        <v>1</v>
      </c>
      <c r="Q5326" t="n">
        <v>0</v>
      </c>
      <c r="R5326" t="n">
        <v>1</v>
      </c>
      <c r="S5326" t="n">
        <v/>
      </c>
      <c r="T5326" t="inlineStr">
        <is>
          <t>9</t>
        </is>
      </c>
      <c r="U5326" t="inlineStr">
        <is>
          <t>1</t>
        </is>
      </c>
      <c r="V5326" t="n">
        <v/>
      </c>
      <c r="W5326" t="n">
        <v/>
      </c>
    </row>
    <row r="5327">
      <c r="A5327" t="inlineStr">
        <is>
          <t>10/01/2026 7:05:06</t>
        </is>
      </c>
      <c r="B5327" t="inlineStr">
        <is>
          <t>Hồ Thái Minh Trí</t>
        </is>
      </c>
      <c r="C5327" t="inlineStr">
        <is>
          <t>09/01/2026</t>
        </is>
      </c>
      <c r="D5327" t="n">
        <v>0</v>
      </c>
      <c r="E5327" t="n">
        <v>0</v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2</v>
      </c>
      <c r="L5327" t="n">
        <v>2</v>
      </c>
      <c r="M5327" t="n">
        <v>1</v>
      </c>
      <c r="N5327" t="n">
        <v>0</v>
      </c>
      <c r="O5327" t="n">
        <v>0</v>
      </c>
      <c r="P5327" t="n">
        <v>0</v>
      </c>
      <c r="Q5327" t="n">
        <v>3</v>
      </c>
      <c r="R5327" t="n">
        <v>0</v>
      </c>
      <c r="S5327" t="n">
        <v/>
      </c>
      <c r="T5327" t="inlineStr">
        <is>
          <t>9</t>
        </is>
      </c>
      <c r="U5327" t="inlineStr">
        <is>
          <t>1</t>
        </is>
      </c>
      <c r="V5327" t="n">
        <v/>
      </c>
      <c r="W5327" t="n">
        <v/>
      </c>
    </row>
    <row r="5328">
      <c r="A5328" t="inlineStr">
        <is>
          <t>10/01/2026 7:05:52</t>
        </is>
      </c>
      <c r="B5328" t="inlineStr">
        <is>
          <t>Trần Minh Khánh</t>
        </is>
      </c>
      <c r="C5328" t="inlineStr">
        <is>
          <t>09/01/2026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2</v>
      </c>
      <c r="J5328" t="n">
        <v>0</v>
      </c>
      <c r="K5328" t="n">
        <v>5</v>
      </c>
      <c r="L5328" t="n">
        <v>2</v>
      </c>
      <c r="M5328" t="n">
        <v>0</v>
      </c>
      <c r="N5328" t="n">
        <v>0</v>
      </c>
      <c r="O5328" t="n">
        <v>0</v>
      </c>
      <c r="P5328" t="n">
        <v>1</v>
      </c>
      <c r="Q5328" t="n">
        <v>3</v>
      </c>
      <c r="R5328" t="n">
        <v>0</v>
      </c>
      <c r="S5328" t="n">
        <v/>
      </c>
      <c r="T5328" t="inlineStr">
        <is>
          <t>9</t>
        </is>
      </c>
      <c r="U5328" t="inlineStr">
        <is>
          <t>1</t>
        </is>
      </c>
      <c r="V5328" t="n">
        <v/>
      </c>
      <c r="W5328" t="n">
        <v/>
      </c>
    </row>
    <row r="5329">
      <c r="A5329" t="inlineStr">
        <is>
          <t>10/01/2026 7:10:16</t>
        </is>
      </c>
      <c r="B5329" t="inlineStr">
        <is>
          <t>Đặng Hoài Anh</t>
        </is>
      </c>
      <c r="C5329" t="inlineStr">
        <is>
          <t>09/01/2026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2</v>
      </c>
      <c r="L5329" t="n">
        <v>0</v>
      </c>
      <c r="M5329" t="n">
        <v>0</v>
      </c>
      <c r="N5329" t="n">
        <v>0</v>
      </c>
      <c r="O5329" t="n">
        <v>0</v>
      </c>
      <c r="P5329" t="n">
        <v>1</v>
      </c>
      <c r="Q5329" t="n">
        <v>1</v>
      </c>
      <c r="R5329" t="n">
        <v>0</v>
      </c>
      <c r="S5329" t="n">
        <v/>
      </c>
      <c r="T5329" t="inlineStr">
        <is>
          <t>9</t>
        </is>
      </c>
      <c r="U5329" t="inlineStr">
        <is>
          <t>1</t>
        </is>
      </c>
      <c r="V5329" t="n">
        <v/>
      </c>
      <c r="W5329" t="n">
        <v/>
      </c>
    </row>
    <row r="5330">
      <c r="A5330" t="inlineStr">
        <is>
          <t>10/01/2026 7:23:41</t>
        </is>
      </c>
      <c r="B5330" t="inlineStr">
        <is>
          <t>Nguyễn Tuấn Anh</t>
        </is>
      </c>
      <c r="C5330" t="inlineStr">
        <is>
          <t>09/01/2025</t>
        </is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  <c r="I5330" t="n">
        <v>2</v>
      </c>
      <c r="J5330" t="n">
        <v>0</v>
      </c>
      <c r="K5330" t="n">
        <v>2</v>
      </c>
      <c r="L5330" t="n">
        <v>2</v>
      </c>
      <c r="M5330" t="n">
        <v>0</v>
      </c>
      <c r="N5330" t="n">
        <v>0</v>
      </c>
      <c r="O5330" t="n">
        <v>0</v>
      </c>
      <c r="P5330" t="n">
        <v>0</v>
      </c>
      <c r="Q5330" t="n">
        <v>2</v>
      </c>
      <c r="R5330" t="n">
        <v>0</v>
      </c>
      <c r="S5330" t="n">
        <v/>
      </c>
      <c r="T5330" t="inlineStr">
        <is>
          <t>9</t>
        </is>
      </c>
      <c r="U5330" t="inlineStr">
        <is>
          <t>1</t>
        </is>
      </c>
      <c r="V5330" t="n">
        <v/>
      </c>
      <c r="W5330" t="n">
        <v/>
      </c>
    </row>
    <row r="5331">
      <c r="A5331" t="inlineStr">
        <is>
          <t>10/01/2026 7:43:43</t>
        </is>
      </c>
      <c r="B5331" t="inlineStr">
        <is>
          <t>Dương Minh Tiến</t>
        </is>
      </c>
      <c r="C5331" t="inlineStr">
        <is>
          <t>09/01/2026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4</v>
      </c>
      <c r="L5331" t="n">
        <v>1</v>
      </c>
      <c r="M5331" t="n">
        <v>0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/>
      </c>
      <c r="T5331" t="inlineStr">
        <is>
          <t>9</t>
        </is>
      </c>
      <c r="U5331" t="inlineStr">
        <is>
          <t>1</t>
        </is>
      </c>
      <c r="V5331" t="n">
        <v/>
      </c>
      <c r="W5331" t="n">
        <v/>
      </c>
    </row>
    <row r="5332">
      <c r="A5332" t="inlineStr">
        <is>
          <t>10/01/2026 8:00:05</t>
        </is>
      </c>
      <c r="B5332" t="inlineStr">
        <is>
          <t>Bùi Duy Cường</t>
        </is>
      </c>
      <c r="C5332" t="inlineStr">
        <is>
          <t>09/01/2026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15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/>
      </c>
      <c r="T5332" t="inlineStr">
        <is>
          <t>9</t>
        </is>
      </c>
      <c r="U5332" t="inlineStr">
        <is>
          <t>1</t>
        </is>
      </c>
      <c r="V5332" t="n">
        <v/>
      </c>
      <c r="W5332" t="n">
        <v/>
      </c>
    </row>
    <row r="5333">
      <c r="A5333" t="inlineStr">
        <is>
          <t>10/01/2026 8:16:34</t>
        </is>
      </c>
      <c r="B5333" t="inlineStr">
        <is>
          <t>Nguyễn Hồng Minh</t>
        </is>
      </c>
      <c r="C5333" t="inlineStr">
        <is>
          <t>09/01/2026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1</v>
      </c>
      <c r="K5333" t="n">
        <v>2</v>
      </c>
      <c r="L5333" t="n">
        <v>0</v>
      </c>
      <c r="M5333" t="n">
        <v>0</v>
      </c>
      <c r="N5333" t="n">
        <v>1</v>
      </c>
      <c r="O5333" t="n">
        <v>1</v>
      </c>
      <c r="P5333" t="n">
        <v>0</v>
      </c>
      <c r="Q5333" t="n">
        <v>6</v>
      </c>
      <c r="R5333" t="n">
        <v>0</v>
      </c>
      <c r="S5333" t="n">
        <v/>
      </c>
      <c r="T5333" t="inlineStr">
        <is>
          <t>9</t>
        </is>
      </c>
      <c r="U5333" t="inlineStr">
        <is>
          <t>1</t>
        </is>
      </c>
      <c r="V5333" t="n">
        <v/>
      </c>
      <c r="W5333" t="n">
        <v/>
      </c>
    </row>
    <row r="5334">
      <c r="A5334" t="inlineStr">
        <is>
          <t>10/01/2026 8:16:42</t>
        </is>
      </c>
      <c r="B5334" t="inlineStr">
        <is>
          <t>Lê Văn Hồng</t>
        </is>
      </c>
      <c r="C5334" t="inlineStr">
        <is>
          <t>09/01/2026</t>
        </is>
      </c>
      <c r="D5334" t="n">
        <v>1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8</v>
      </c>
      <c r="L5334" t="n">
        <v>2</v>
      </c>
      <c r="M5334" t="n">
        <v>1</v>
      </c>
      <c r="N5334" t="n">
        <v>0</v>
      </c>
      <c r="O5334" t="n">
        <v>0</v>
      </c>
      <c r="P5334" t="n">
        <v>1</v>
      </c>
      <c r="Q5334" t="n">
        <v>4</v>
      </c>
      <c r="R5334" t="n">
        <v>0</v>
      </c>
      <c r="S5334" t="n">
        <v/>
      </c>
      <c r="T5334" t="inlineStr">
        <is>
          <t>9</t>
        </is>
      </c>
      <c r="U5334" t="inlineStr">
        <is>
          <t>1</t>
        </is>
      </c>
      <c r="V5334" t="n">
        <v/>
      </c>
      <c r="W5334" t="n">
        <v/>
      </c>
    </row>
    <row r="5335">
      <c r="A5335" t="inlineStr">
        <is>
          <t>10/01/2026 10:18:34</t>
        </is>
      </c>
      <c r="B5335" t="inlineStr">
        <is>
          <t>Phan Ngọc Sang</t>
        </is>
      </c>
      <c r="C5335" t="inlineStr">
        <is>
          <t>09/01/2026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8</v>
      </c>
      <c r="L5335" t="n">
        <v>0</v>
      </c>
      <c r="M5335" t="n">
        <v>1</v>
      </c>
      <c r="N5335" t="n">
        <v>1</v>
      </c>
      <c r="O5335" t="n">
        <v>0</v>
      </c>
      <c r="P5335" t="n">
        <v>0</v>
      </c>
      <c r="Q5335" t="n">
        <v>2</v>
      </c>
      <c r="R5335" t="n">
        <v>0</v>
      </c>
      <c r="S5335" t="n">
        <v/>
      </c>
      <c r="T5335" t="inlineStr">
        <is>
          <t>9</t>
        </is>
      </c>
      <c r="U5335" t="inlineStr">
        <is>
          <t>1</t>
        </is>
      </c>
      <c r="V5335" t="n">
        <v/>
      </c>
      <c r="W5335" t="n">
        <v/>
      </c>
    </row>
    <row r="5336">
      <c r="A5336" t="inlineStr">
        <is>
          <t>10/01/2026 10:19:56</t>
        </is>
      </c>
      <c r="B5336" t="inlineStr">
        <is>
          <t>Đặng Hữu Danh</t>
        </is>
      </c>
      <c r="C5336" t="inlineStr">
        <is>
          <t>09/01/2026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7</v>
      </c>
      <c r="L5336" t="n">
        <v>0</v>
      </c>
      <c r="M5336" t="n">
        <v>2</v>
      </c>
      <c r="N5336" t="n">
        <v>0</v>
      </c>
      <c r="O5336" t="n">
        <v>0</v>
      </c>
      <c r="P5336" t="n">
        <v>1</v>
      </c>
      <c r="Q5336" t="n">
        <v>2</v>
      </c>
      <c r="R5336" t="n">
        <v>1</v>
      </c>
      <c r="S5336" t="n">
        <v/>
      </c>
      <c r="T5336" t="inlineStr">
        <is>
          <t>9</t>
        </is>
      </c>
      <c r="U5336" t="inlineStr">
        <is>
          <t>1</t>
        </is>
      </c>
      <c r="V5336" t="n">
        <v/>
      </c>
      <c r="W5336" t="n">
        <v/>
      </c>
    </row>
    <row r="5337">
      <c r="A5337" t="inlineStr">
        <is>
          <t>11/01/2026 7:18:57</t>
        </is>
      </c>
      <c r="B5337" t="inlineStr">
        <is>
          <t>Trần Trung Giang</t>
        </is>
      </c>
      <c r="C5337" t="inlineStr">
        <is>
          <t>10/01/2026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4</v>
      </c>
      <c r="L5337" t="n">
        <v>0</v>
      </c>
      <c r="M5337" t="n">
        <v>0</v>
      </c>
      <c r="N5337" t="n">
        <v>0</v>
      </c>
      <c r="O5337" t="n">
        <v>0</v>
      </c>
      <c r="P5337" t="n">
        <v>1</v>
      </c>
      <c r="Q5337" t="n">
        <v>0</v>
      </c>
      <c r="R5337" t="n">
        <v>0</v>
      </c>
      <c r="S5337" t="n">
        <v/>
      </c>
      <c r="T5337" t="inlineStr">
        <is>
          <t>10</t>
        </is>
      </c>
      <c r="U5337" t="inlineStr">
        <is>
          <t>1</t>
        </is>
      </c>
      <c r="V5337" t="n">
        <v/>
      </c>
      <c r="W5337" t="n">
        <v/>
      </c>
    </row>
    <row r="5338">
      <c r="A5338" t="inlineStr">
        <is>
          <t>11/01/2026 7:19:07</t>
        </is>
      </c>
      <c r="B5338" t="inlineStr">
        <is>
          <t>Nguyễn Tuấn Anh</t>
        </is>
      </c>
      <c r="C5338" t="inlineStr">
        <is>
          <t>10/01/2026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2</v>
      </c>
      <c r="J5338" t="n">
        <v>0</v>
      </c>
      <c r="K5338" t="n">
        <v>8</v>
      </c>
      <c r="L5338" t="n">
        <v>1</v>
      </c>
      <c r="M5338" t="n">
        <v>0</v>
      </c>
      <c r="N5338" t="n">
        <v>1</v>
      </c>
      <c r="O5338" t="n">
        <v>0</v>
      </c>
      <c r="P5338" t="n">
        <v>0</v>
      </c>
      <c r="Q5338" t="n">
        <v>2</v>
      </c>
      <c r="R5338" t="n">
        <v>0</v>
      </c>
      <c r="S5338" t="n">
        <v/>
      </c>
      <c r="T5338" t="inlineStr">
        <is>
          <t>10</t>
        </is>
      </c>
      <c r="U5338" t="inlineStr">
        <is>
          <t>1</t>
        </is>
      </c>
      <c r="V5338" t="n">
        <v/>
      </c>
      <c r="W5338" t="n">
        <v/>
      </c>
    </row>
    <row r="5339">
      <c r="A5339" t="inlineStr">
        <is>
          <t>11/01/2026 7:22:15</t>
        </is>
      </c>
      <c r="B5339" t="inlineStr">
        <is>
          <t>Lê Hồng Phong</t>
        </is>
      </c>
      <c r="C5339" t="inlineStr">
        <is>
          <t>11/01/2026</t>
        </is>
      </c>
      <c r="D5339" t="n">
        <v>1</v>
      </c>
      <c r="E5339" t="n">
        <v>1</v>
      </c>
      <c r="F5339" t="n">
        <v>1</v>
      </c>
      <c r="G5339" t="n">
        <v>1</v>
      </c>
      <c r="H5339" t="n">
        <v>1</v>
      </c>
      <c r="I5339" t="n">
        <v>1</v>
      </c>
      <c r="J5339" t="n">
        <v>1</v>
      </c>
      <c r="K5339" t="n">
        <v>1</v>
      </c>
      <c r="L5339" t="n">
        <v>1</v>
      </c>
      <c r="M5339" t="n">
        <v>1</v>
      </c>
      <c r="N5339" t="n">
        <v>1</v>
      </c>
      <c r="O5339" t="n">
        <v>1</v>
      </c>
      <c r="P5339" t="n">
        <v>1</v>
      </c>
      <c r="Q5339" t="n">
        <v>1</v>
      </c>
      <c r="R5339" t="n">
        <v>1</v>
      </c>
      <c r="S5339" t="n">
        <v/>
      </c>
      <c r="T5339" t="inlineStr">
        <is>
          <t>11</t>
        </is>
      </c>
      <c r="U5339" t="inlineStr">
        <is>
          <t>1</t>
        </is>
      </c>
      <c r="V5339" t="n">
        <v/>
      </c>
      <c r="W5339" t="n">
        <v/>
      </c>
    </row>
    <row r="5340">
      <c r="A5340" t="inlineStr">
        <is>
          <t>11/01/2026 7:23:26</t>
        </is>
      </c>
      <c r="B5340" t="inlineStr">
        <is>
          <t>Nguyễn Quang Anh Tuấn</t>
        </is>
      </c>
      <c r="C5340" t="inlineStr">
        <is>
          <t>10/01/2026</t>
        </is>
      </c>
      <c r="D5340" t="n">
        <v>1</v>
      </c>
      <c r="E5340" t="n">
        <v>1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5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1</v>
      </c>
      <c r="R5340" t="n">
        <v>0</v>
      </c>
      <c r="S5340" t="n">
        <v/>
      </c>
      <c r="T5340" t="inlineStr">
        <is>
          <t>10</t>
        </is>
      </c>
      <c r="U5340" t="inlineStr">
        <is>
          <t>1</t>
        </is>
      </c>
      <c r="V5340" t="n">
        <v/>
      </c>
      <c r="W5340" t="n">
        <v/>
      </c>
    </row>
    <row r="5341">
      <c r="A5341" t="inlineStr">
        <is>
          <t>11/01/2026 7:27:03</t>
        </is>
      </c>
      <c r="B5341" t="inlineStr">
        <is>
          <t>Lương Duy Hoàng</t>
        </is>
      </c>
      <c r="C5341" t="inlineStr">
        <is>
          <t>10/01/2026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2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2</v>
      </c>
      <c r="R5341" t="n">
        <v>0</v>
      </c>
      <c r="S5341" t="n">
        <v/>
      </c>
      <c r="T5341" t="inlineStr">
        <is>
          <t>10</t>
        </is>
      </c>
      <c r="U5341" t="inlineStr">
        <is>
          <t>1</t>
        </is>
      </c>
      <c r="V5341" t="n">
        <v/>
      </c>
      <c r="W5341" t="n">
        <v/>
      </c>
    </row>
    <row r="5342">
      <c r="A5342" t="inlineStr">
        <is>
          <t>11/01/2026 7:32:44</t>
        </is>
      </c>
      <c r="B5342" t="inlineStr">
        <is>
          <t>Hồ Xuân Việt</t>
        </is>
      </c>
      <c r="C5342" t="inlineStr">
        <is>
          <t>10/01/2026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1</v>
      </c>
      <c r="R5342" t="n">
        <v>0</v>
      </c>
      <c r="S5342" t="n">
        <v/>
      </c>
      <c r="T5342" t="inlineStr">
        <is>
          <t>10</t>
        </is>
      </c>
      <c r="U5342" t="inlineStr">
        <is>
          <t>1</t>
        </is>
      </c>
      <c r="V5342" t="n">
        <v/>
      </c>
      <c r="W5342" t="n">
        <v/>
      </c>
    </row>
    <row r="5343">
      <c r="A5343" t="inlineStr">
        <is>
          <t>11/01/2026 7:47:02</t>
        </is>
      </c>
      <c r="B5343" t="inlineStr">
        <is>
          <t>Huỳnh Văn Lực</t>
        </is>
      </c>
      <c r="C5343" t="inlineStr">
        <is>
          <t>10/01/2026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1</v>
      </c>
      <c r="Q5343" t="n">
        <v>1</v>
      </c>
      <c r="R5343" t="n">
        <v>0</v>
      </c>
      <c r="S5343" t="n">
        <v/>
      </c>
      <c r="T5343" t="inlineStr">
        <is>
          <t>10</t>
        </is>
      </c>
      <c r="U5343" t="inlineStr">
        <is>
          <t>1</t>
        </is>
      </c>
      <c r="V5343" t="n">
        <v/>
      </c>
      <c r="W5343" t="n">
        <v/>
      </c>
    </row>
    <row r="5344">
      <c r="A5344" t="inlineStr">
        <is>
          <t>11/01/2026 7:52:22</t>
        </is>
      </c>
      <c r="B5344" t="inlineStr">
        <is>
          <t>Trần Minh Khánh</t>
        </is>
      </c>
      <c r="C5344" t="inlineStr">
        <is>
          <t>10/01/2026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2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2</v>
      </c>
      <c r="R5344" t="n">
        <v>0</v>
      </c>
      <c r="S5344" t="n">
        <v/>
      </c>
      <c r="T5344" t="inlineStr">
        <is>
          <t>10</t>
        </is>
      </c>
      <c r="U5344" t="inlineStr">
        <is>
          <t>1</t>
        </is>
      </c>
      <c r="V5344" t="n">
        <v/>
      </c>
      <c r="W5344" t="n">
        <v/>
      </c>
    </row>
    <row r="5345">
      <c r="A5345" t="inlineStr">
        <is>
          <t>11/01/2026 8:01:59</t>
        </is>
      </c>
      <c r="B5345" t="inlineStr">
        <is>
          <t>Vòng Nhật Sang</t>
        </is>
      </c>
      <c r="C5345" t="inlineStr">
        <is>
          <t>10/01/2026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23</v>
      </c>
      <c r="L5345" t="n">
        <v>0</v>
      </c>
      <c r="M5345" t="n">
        <v>0</v>
      </c>
      <c r="N5345" t="n">
        <v>0</v>
      </c>
      <c r="O5345" t="n">
        <v>0</v>
      </c>
      <c r="P5345" t="n">
        <v>2</v>
      </c>
      <c r="Q5345" t="n">
        <v>3</v>
      </c>
      <c r="R5345" t="n">
        <v>0</v>
      </c>
      <c r="S5345" t="n">
        <v/>
      </c>
      <c r="T5345" t="inlineStr">
        <is>
          <t>10</t>
        </is>
      </c>
      <c r="U5345" t="inlineStr">
        <is>
          <t>1</t>
        </is>
      </c>
      <c r="V5345" t="n">
        <v/>
      </c>
      <c r="W5345" t="n">
        <v/>
      </c>
    </row>
    <row r="5346">
      <c r="A5346" t="inlineStr">
        <is>
          <t>11/01/2026 8:04:41</t>
        </is>
      </c>
      <c r="B5346" t="inlineStr">
        <is>
          <t>Đặng Hoài Anh</t>
        </is>
      </c>
      <c r="C5346" t="inlineStr">
        <is>
          <t>10/01/2026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2</v>
      </c>
      <c r="L5346" t="n">
        <v>1</v>
      </c>
      <c r="M5346" t="n">
        <v>0</v>
      </c>
      <c r="N5346" t="n">
        <v>0</v>
      </c>
      <c r="O5346" t="n">
        <v>0</v>
      </c>
      <c r="P5346" t="n">
        <v>0</v>
      </c>
      <c r="Q5346" t="n">
        <v>2</v>
      </c>
      <c r="R5346" t="n">
        <v>0</v>
      </c>
      <c r="S5346" t="n">
        <v/>
      </c>
      <c r="T5346" t="inlineStr">
        <is>
          <t>10</t>
        </is>
      </c>
      <c r="U5346" t="inlineStr">
        <is>
          <t>1</t>
        </is>
      </c>
      <c r="V5346" t="n">
        <v/>
      </c>
      <c r="W5346" t="n">
        <v/>
      </c>
    </row>
    <row r="5347">
      <c r="A5347" t="inlineStr">
        <is>
          <t>11/01/2026 8:07:19</t>
        </is>
      </c>
      <c r="B5347" t="inlineStr">
        <is>
          <t>Nguyễn Hồng Minh</t>
        </is>
      </c>
      <c r="C5347" t="inlineStr">
        <is>
          <t>10/01/2026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1</v>
      </c>
      <c r="O5347" t="n">
        <v>0</v>
      </c>
      <c r="P5347" t="n">
        <v>2</v>
      </c>
      <c r="Q5347" t="n">
        <v>8</v>
      </c>
      <c r="R5347" t="n">
        <v>0</v>
      </c>
      <c r="S5347" t="n">
        <v/>
      </c>
      <c r="T5347" t="inlineStr">
        <is>
          <t>10</t>
        </is>
      </c>
      <c r="U5347" t="inlineStr">
        <is>
          <t>1</t>
        </is>
      </c>
      <c r="V5347" t="n">
        <v/>
      </c>
      <c r="W5347" t="n">
        <v/>
      </c>
    </row>
    <row r="5348">
      <c r="A5348" t="inlineStr">
        <is>
          <t>11/01/2026 8:08:40</t>
        </is>
      </c>
      <c r="B5348" t="inlineStr">
        <is>
          <t>Nguyễn Văn Hiệp</t>
        </is>
      </c>
      <c r="C5348" t="inlineStr">
        <is>
          <t>10/01/2026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/>
      </c>
      <c r="T5348" t="inlineStr">
        <is>
          <t>10</t>
        </is>
      </c>
      <c r="U5348" t="inlineStr">
        <is>
          <t>1</t>
        </is>
      </c>
      <c r="V5348" t="n">
        <v/>
      </c>
      <c r="W5348" t="n">
        <v/>
      </c>
    </row>
    <row r="5349">
      <c r="A5349" t="inlineStr">
        <is>
          <t>11/01/2026 8:51:35</t>
        </is>
      </c>
      <c r="B5349" t="inlineStr">
        <is>
          <t>Dương Minh Tiến</t>
        </is>
      </c>
      <c r="C5349" t="inlineStr">
        <is>
          <t>10/01/2026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9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/>
      </c>
      <c r="T5349" t="inlineStr">
        <is>
          <t>10</t>
        </is>
      </c>
      <c r="U5349" t="inlineStr">
        <is>
          <t>1</t>
        </is>
      </c>
      <c r="V5349" t="n">
        <v/>
      </c>
      <c r="W5349" t="n">
        <v/>
      </c>
    </row>
    <row r="5350">
      <c r="A5350" t="inlineStr">
        <is>
          <t>11/01/2026 18:13:44</t>
        </is>
      </c>
      <c r="B5350" t="inlineStr">
        <is>
          <t>Phan Ngọc Sang</t>
        </is>
      </c>
      <c r="C5350" t="inlineStr">
        <is>
          <t>10/01/2026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10</v>
      </c>
      <c r="L5350" t="n">
        <v>0</v>
      </c>
      <c r="M5350" t="n">
        <v>3</v>
      </c>
      <c r="N5350" t="n">
        <v>1</v>
      </c>
      <c r="O5350" t="n">
        <v>0</v>
      </c>
      <c r="P5350" t="n">
        <v>0</v>
      </c>
      <c r="Q5350" t="n">
        <v>2</v>
      </c>
      <c r="R5350" t="n">
        <v>0</v>
      </c>
      <c r="S5350" t="n">
        <v/>
      </c>
      <c r="T5350" t="inlineStr">
        <is>
          <t>10</t>
        </is>
      </c>
      <c r="U5350" t="inlineStr">
        <is>
          <t>1</t>
        </is>
      </c>
      <c r="V5350" t="n">
        <v/>
      </c>
      <c r="W5350" t="n">
        <v/>
      </c>
    </row>
    <row r="5351">
      <c r="A5351" t="inlineStr">
        <is>
          <t>12/01/2026 6:47:05</t>
        </is>
      </c>
      <c r="B5351" t="inlineStr">
        <is>
          <t>Lương Duy Hoàng</t>
        </is>
      </c>
      <c r="C5351" t="inlineStr">
        <is>
          <t>11/01/2026</t>
        </is>
      </c>
      <c r="D5351" t="n">
        <v>1</v>
      </c>
      <c r="E5351" t="n">
        <v>1</v>
      </c>
      <c r="F5351" t="n">
        <v>1</v>
      </c>
      <c r="G5351" t="n">
        <v>0</v>
      </c>
      <c r="H5351" t="n">
        <v>0</v>
      </c>
      <c r="I5351" t="n">
        <v>0</v>
      </c>
      <c r="J5351" t="n">
        <v>0</v>
      </c>
      <c r="K5351" t="n">
        <v>3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1</v>
      </c>
      <c r="R5351" t="n">
        <v>1</v>
      </c>
      <c r="S5351" t="n">
        <v/>
      </c>
      <c r="T5351" t="inlineStr">
        <is>
          <t>11</t>
        </is>
      </c>
      <c r="U5351" t="inlineStr">
        <is>
          <t>1</t>
        </is>
      </c>
      <c r="V5351" t="n">
        <v/>
      </c>
      <c r="W5351" t="n">
        <v/>
      </c>
    </row>
    <row r="5352">
      <c r="A5352" t="inlineStr">
        <is>
          <t>12/01/2026 6:53:17</t>
        </is>
      </c>
      <c r="B5352" t="inlineStr">
        <is>
          <t>Dương Minh Tiến</t>
        </is>
      </c>
      <c r="C5352" t="inlineStr">
        <is>
          <t>11/01/2026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6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/>
      </c>
      <c r="T5352" t="inlineStr">
        <is>
          <t>11</t>
        </is>
      </c>
      <c r="U5352" t="inlineStr">
        <is>
          <t>1</t>
        </is>
      </c>
      <c r="V5352" t="n">
        <v/>
      </c>
      <c r="W5352" t="n">
        <v/>
      </c>
    </row>
    <row r="5353">
      <c r="A5353" t="inlineStr">
        <is>
          <t>12/01/2026 7:04:28</t>
        </is>
      </c>
      <c r="B5353" t="inlineStr">
        <is>
          <t>Nguyễn Văn Hiệp</t>
        </is>
      </c>
      <c r="C5353" t="inlineStr">
        <is>
          <t>11/01/2026</t>
        </is>
      </c>
      <c r="D5353" t="n">
        <v>0</v>
      </c>
      <c r="E5353" t="n">
        <v>1</v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2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/>
      </c>
      <c r="T5353" t="inlineStr">
        <is>
          <t>11</t>
        </is>
      </c>
      <c r="U5353" t="inlineStr">
        <is>
          <t>1</t>
        </is>
      </c>
      <c r="V5353" t="n">
        <v/>
      </c>
      <c r="W5353" t="n">
        <v/>
      </c>
    </row>
    <row r="5354">
      <c r="A5354" t="inlineStr">
        <is>
          <t>12/01/2026 7:06:57</t>
        </is>
      </c>
      <c r="B5354" t="inlineStr">
        <is>
          <t>Vòng Nhật Sang</t>
        </is>
      </c>
      <c r="C5354" t="inlineStr">
        <is>
          <t>11/01/2026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2</v>
      </c>
      <c r="Q5354" t="n">
        <v>2</v>
      </c>
      <c r="R5354" t="n">
        <v>0</v>
      </c>
      <c r="S5354" t="n">
        <v/>
      </c>
      <c r="T5354" t="inlineStr">
        <is>
          <t>11</t>
        </is>
      </c>
      <c r="U5354" t="inlineStr">
        <is>
          <t>1</t>
        </is>
      </c>
      <c r="V5354" t="n">
        <v/>
      </c>
      <c r="W5354" t="n">
        <v/>
      </c>
    </row>
    <row r="5355">
      <c r="A5355" t="inlineStr">
        <is>
          <t>12/01/2026 7:07:05</t>
        </is>
      </c>
      <c r="B5355" t="inlineStr">
        <is>
          <t>Hồ Thái Minh Trí</t>
        </is>
      </c>
      <c r="C5355" t="inlineStr">
        <is>
          <t>11/01/2026</t>
        </is>
      </c>
      <c r="D5355" t="n">
        <v>0</v>
      </c>
      <c r="E5355" t="n">
        <v>0</v>
      </c>
      <c r="F5355" t="n">
        <v>2</v>
      </c>
      <c r="G5355" t="n">
        <v>0</v>
      </c>
      <c r="H5355" t="n">
        <v>0</v>
      </c>
      <c r="I5355" t="n">
        <v>0</v>
      </c>
      <c r="J5355" t="n">
        <v>0</v>
      </c>
      <c r="K5355" t="n">
        <v>10</v>
      </c>
      <c r="L5355" t="n">
        <v>3</v>
      </c>
      <c r="M5355" t="n">
        <v>1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/>
      </c>
      <c r="T5355" t="inlineStr">
        <is>
          <t>11</t>
        </is>
      </c>
      <c r="U5355" t="inlineStr">
        <is>
          <t>1</t>
        </is>
      </c>
      <c r="V5355" t="n">
        <v/>
      </c>
      <c r="W5355" t="n">
        <v/>
      </c>
    </row>
    <row r="5356">
      <c r="A5356" t="inlineStr">
        <is>
          <t>12/01/2026 7:10:59</t>
        </is>
      </c>
      <c r="B5356" t="inlineStr">
        <is>
          <t>Đặng Hoài Anh</t>
        </is>
      </c>
      <c r="C5356" t="inlineStr">
        <is>
          <t>11/01/2026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3</v>
      </c>
      <c r="L5356" t="n">
        <v>0</v>
      </c>
      <c r="M5356" t="n">
        <v>1</v>
      </c>
      <c r="N5356" t="n">
        <v>0</v>
      </c>
      <c r="O5356" t="n">
        <v>0</v>
      </c>
      <c r="P5356" t="n">
        <v>1</v>
      </c>
      <c r="Q5356" t="n">
        <v>0</v>
      </c>
      <c r="R5356" t="n">
        <v>0</v>
      </c>
      <c r="S5356" t="n">
        <v/>
      </c>
      <c r="T5356" t="inlineStr">
        <is>
          <t>11</t>
        </is>
      </c>
      <c r="U5356" t="inlineStr">
        <is>
          <t>1</t>
        </is>
      </c>
      <c r="V5356" t="n">
        <v/>
      </c>
      <c r="W5356" t="n">
        <v/>
      </c>
    </row>
    <row r="5357">
      <c r="A5357" t="inlineStr">
        <is>
          <t>12/01/2026 7:12:56</t>
        </is>
      </c>
      <c r="B5357" t="inlineStr">
        <is>
          <t>Huỳnh Văn Lực</t>
        </is>
      </c>
      <c r="C5357" t="inlineStr">
        <is>
          <t>11/01/2026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5</v>
      </c>
      <c r="L5357" t="n">
        <v>0</v>
      </c>
      <c r="M5357" t="n">
        <v>0</v>
      </c>
      <c r="N5357" t="n">
        <v>0</v>
      </c>
      <c r="O5357" t="n">
        <v>0</v>
      </c>
      <c r="P5357" t="n">
        <v>1</v>
      </c>
      <c r="Q5357" t="n">
        <v>1</v>
      </c>
      <c r="R5357" t="n">
        <v>0</v>
      </c>
      <c r="S5357" t="n">
        <v/>
      </c>
      <c r="T5357" t="inlineStr">
        <is>
          <t>11</t>
        </is>
      </c>
      <c r="U5357" t="inlineStr">
        <is>
          <t>1</t>
        </is>
      </c>
      <c r="V5357" t="n">
        <v/>
      </c>
      <c r="W5357" t="n">
        <v/>
      </c>
    </row>
    <row r="5358">
      <c r="A5358" t="inlineStr">
        <is>
          <t>12/01/2026 7:13:46</t>
        </is>
      </c>
      <c r="B5358" t="inlineStr">
        <is>
          <t>Huỳnh Văn Lực</t>
        </is>
      </c>
      <c r="C5358" t="inlineStr">
        <is>
          <t>11/01/2026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5</v>
      </c>
      <c r="L5358" t="n">
        <v>0</v>
      </c>
      <c r="M5358" t="n">
        <v>0</v>
      </c>
      <c r="N5358" t="n">
        <v>0</v>
      </c>
      <c r="O5358" t="n">
        <v>0</v>
      </c>
      <c r="P5358" t="n">
        <v>1</v>
      </c>
      <c r="Q5358" t="n">
        <v>1</v>
      </c>
      <c r="R5358" t="n">
        <v>1</v>
      </c>
      <c r="S5358" t="n">
        <v/>
      </c>
      <c r="T5358" t="inlineStr">
        <is>
          <t>11</t>
        </is>
      </c>
      <c r="U5358" t="inlineStr">
        <is>
          <t>1</t>
        </is>
      </c>
      <c r="V5358" t="n">
        <v/>
      </c>
      <c r="W5358" t="n">
        <v/>
      </c>
    </row>
    <row r="5359">
      <c r="A5359" t="inlineStr">
        <is>
          <t>12/01/2026 7:14:05</t>
        </is>
      </c>
      <c r="B5359" t="inlineStr">
        <is>
          <t>Nguyễn Tuấn Anh</t>
        </is>
      </c>
      <c r="C5359" t="inlineStr">
        <is>
          <t>11/01/2026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2</v>
      </c>
      <c r="J5359" t="n">
        <v>0</v>
      </c>
      <c r="K5359" t="n">
        <v>21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2</v>
      </c>
      <c r="R5359" t="n">
        <v>0</v>
      </c>
      <c r="S5359" t="n">
        <v/>
      </c>
      <c r="T5359" t="inlineStr">
        <is>
          <t>11</t>
        </is>
      </c>
      <c r="U5359" t="inlineStr">
        <is>
          <t>1</t>
        </is>
      </c>
      <c r="V5359" t="n">
        <v/>
      </c>
      <c r="W5359" t="n">
        <v/>
      </c>
    </row>
    <row r="5360">
      <c r="A5360" t="inlineStr">
        <is>
          <t>12/01/2026 7:15:49</t>
        </is>
      </c>
      <c r="B5360" t="inlineStr">
        <is>
          <t>Trần Minh Khánh</t>
        </is>
      </c>
      <c r="C5360" t="inlineStr">
        <is>
          <t>11/01/2026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2</v>
      </c>
      <c r="J5360" t="n">
        <v>0</v>
      </c>
      <c r="K5360" t="n">
        <v>3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3</v>
      </c>
      <c r="R5360" t="n">
        <v>0</v>
      </c>
      <c r="S5360" t="n">
        <v/>
      </c>
      <c r="T5360" t="inlineStr">
        <is>
          <t>11</t>
        </is>
      </c>
      <c r="U5360" t="inlineStr">
        <is>
          <t>1</t>
        </is>
      </c>
      <c r="V5360" t="n">
        <v/>
      </c>
      <c r="W5360" t="n">
        <v/>
      </c>
    </row>
    <row r="5361">
      <c r="A5361" t="inlineStr">
        <is>
          <t>12/01/2026 7:15:55</t>
        </is>
      </c>
      <c r="B5361" t="inlineStr">
        <is>
          <t>Trần Trung Giang</t>
        </is>
      </c>
      <c r="C5361" t="inlineStr">
        <is>
          <t>11/01/2026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4</v>
      </c>
      <c r="L5361" t="n">
        <v>0</v>
      </c>
      <c r="M5361" t="n">
        <v>0</v>
      </c>
      <c r="N5361" t="n">
        <v>0</v>
      </c>
      <c r="O5361" t="n">
        <v>0</v>
      </c>
      <c r="P5361" t="n">
        <v>1</v>
      </c>
      <c r="Q5361" t="n">
        <v>0</v>
      </c>
      <c r="R5361" t="n">
        <v>0</v>
      </c>
      <c r="S5361" t="n">
        <v/>
      </c>
      <c r="T5361" t="inlineStr">
        <is>
          <t>11</t>
        </is>
      </c>
      <c r="U5361" t="inlineStr">
        <is>
          <t>1</t>
        </is>
      </c>
      <c r="V5361" t="n">
        <v/>
      </c>
      <c r="W5361" t="n">
        <v/>
      </c>
    </row>
    <row r="5362">
      <c r="A5362" t="inlineStr">
        <is>
          <t>12/01/2026 7:16:33</t>
        </is>
      </c>
      <c r="B5362" t="inlineStr">
        <is>
          <t>Nguyễn Quang Anh Tuấn</t>
        </is>
      </c>
      <c r="C5362" t="inlineStr">
        <is>
          <t>11/01/2026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3</v>
      </c>
      <c r="N5362" t="n">
        <v>0</v>
      </c>
      <c r="O5362" t="n">
        <v>0</v>
      </c>
      <c r="P5362" t="n">
        <v>0</v>
      </c>
      <c r="Q5362" t="n">
        <v>1</v>
      </c>
      <c r="R5362" t="n">
        <v>0</v>
      </c>
      <c r="S5362" t="n">
        <v/>
      </c>
      <c r="T5362" t="inlineStr">
        <is>
          <t>11</t>
        </is>
      </c>
      <c r="U5362" t="inlineStr">
        <is>
          <t>1</t>
        </is>
      </c>
      <c r="V5362" t="n">
        <v/>
      </c>
      <c r="W5362" t="n">
        <v/>
      </c>
    </row>
    <row r="5363">
      <c r="A5363" t="inlineStr">
        <is>
          <t>12/01/2026 7:38:38</t>
        </is>
      </c>
      <c r="B5363" t="inlineStr">
        <is>
          <t>Lê Hồng Phong</t>
        </is>
      </c>
      <c r="C5363" t="inlineStr">
        <is>
          <t>12/01/2026</t>
        </is>
      </c>
      <c r="D5363" t="n">
        <v>1</v>
      </c>
      <c r="E5363" t="n">
        <v>1</v>
      </c>
      <c r="F5363" t="n">
        <v>1</v>
      </c>
      <c r="G5363" t="n">
        <v>0</v>
      </c>
      <c r="H5363" t="n">
        <v>0</v>
      </c>
      <c r="I5363" t="n">
        <v>1</v>
      </c>
      <c r="J5363" t="n">
        <v>1</v>
      </c>
      <c r="K5363" t="n">
        <v>1</v>
      </c>
      <c r="L5363" t="n">
        <v>1</v>
      </c>
      <c r="M5363" t="n">
        <v>1</v>
      </c>
      <c r="N5363" t="n">
        <v>1</v>
      </c>
      <c r="O5363" t="n">
        <v>1</v>
      </c>
      <c r="P5363" t="n">
        <v>1</v>
      </c>
      <c r="Q5363" t="n">
        <v>1</v>
      </c>
      <c r="R5363" t="n">
        <v>1</v>
      </c>
      <c r="S5363" t="n">
        <v/>
      </c>
      <c r="T5363" t="inlineStr">
        <is>
          <t>12</t>
        </is>
      </c>
      <c r="U5363" t="inlineStr">
        <is>
          <t>1</t>
        </is>
      </c>
      <c r="V5363" t="n">
        <v/>
      </c>
      <c r="W5363" t="n">
        <v/>
      </c>
    </row>
    <row r="5364">
      <c r="A5364" t="inlineStr">
        <is>
          <t>12/01/2026 7:40:04</t>
        </is>
      </c>
      <c r="B5364" t="inlineStr">
        <is>
          <t>Bùi Duy Cường</t>
        </is>
      </c>
      <c r="C5364" t="inlineStr">
        <is>
          <t>11/01/2026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12</v>
      </c>
      <c r="L5364" t="n">
        <v>0</v>
      </c>
      <c r="M5364" t="n">
        <v>0</v>
      </c>
      <c r="N5364" t="n">
        <v>0</v>
      </c>
      <c r="O5364" t="n">
        <v>0</v>
      </c>
      <c r="P5364" t="n">
        <v>1</v>
      </c>
      <c r="Q5364" t="n">
        <v>0</v>
      </c>
      <c r="R5364" t="n">
        <v>1</v>
      </c>
      <c r="S5364" t="n">
        <v/>
      </c>
      <c r="T5364" t="inlineStr">
        <is>
          <t>11</t>
        </is>
      </c>
      <c r="U5364" t="inlineStr">
        <is>
          <t>1</t>
        </is>
      </c>
      <c r="V5364" t="n">
        <v/>
      </c>
      <c r="W5364" t="n">
        <v/>
      </c>
    </row>
    <row r="5365">
      <c r="A5365" t="inlineStr">
        <is>
          <t>12/01/2026 7:47:45</t>
        </is>
      </c>
      <c r="B5365" t="inlineStr">
        <is>
          <t>Hồ Xuân Việt</t>
        </is>
      </c>
      <c r="C5365" t="inlineStr">
        <is>
          <t>11/01/2026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14</v>
      </c>
      <c r="L5365" t="n">
        <v>0</v>
      </c>
      <c r="M5365" t="n">
        <v>0</v>
      </c>
      <c r="N5365" t="n">
        <v>0</v>
      </c>
      <c r="O5365" t="n">
        <v>0</v>
      </c>
      <c r="P5365" t="n">
        <v>1</v>
      </c>
      <c r="Q5365" t="n">
        <v>0</v>
      </c>
      <c r="R5365" t="n">
        <v>0</v>
      </c>
      <c r="S5365" t="n">
        <v/>
      </c>
      <c r="T5365" t="inlineStr">
        <is>
          <t>11</t>
        </is>
      </c>
      <c r="U5365" t="inlineStr">
        <is>
          <t>1</t>
        </is>
      </c>
      <c r="V5365" t="n">
        <v/>
      </c>
      <c r="W5365" t="n">
        <v/>
      </c>
    </row>
    <row r="5366">
      <c r="A5366" t="inlineStr">
        <is>
          <t>12/01/2026 8:28:42</t>
        </is>
      </c>
      <c r="B5366" t="inlineStr">
        <is>
          <t>Nguyễn Hồng Minh</t>
        </is>
      </c>
      <c r="C5366" t="inlineStr">
        <is>
          <t>11/01/2026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1</v>
      </c>
      <c r="M5366" t="n">
        <v>0</v>
      </c>
      <c r="N5366" t="n">
        <v>2</v>
      </c>
      <c r="O5366" t="n">
        <v>1</v>
      </c>
      <c r="P5366" t="n">
        <v>1</v>
      </c>
      <c r="Q5366" t="n">
        <v>4</v>
      </c>
      <c r="R5366" t="n">
        <v>0</v>
      </c>
      <c r="S5366" t="n">
        <v/>
      </c>
      <c r="T5366" t="inlineStr">
        <is>
          <t>11</t>
        </is>
      </c>
      <c r="U5366" t="inlineStr">
        <is>
          <t>1</t>
        </is>
      </c>
      <c r="V5366" t="n">
        <v/>
      </c>
      <c r="W5366" t="n">
        <v/>
      </c>
    </row>
    <row r="5367">
      <c r="A5367" t="inlineStr">
        <is>
          <t>12/01/2026 13:10:57</t>
        </is>
      </c>
      <c r="B5367" t="inlineStr">
        <is>
          <t>Đặng Hữu Danh</t>
        </is>
      </c>
      <c r="C5367" t="inlineStr">
        <is>
          <t>11/01/2026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8</v>
      </c>
      <c r="L5367" t="n">
        <v>0</v>
      </c>
      <c r="M5367" t="n">
        <v>0</v>
      </c>
      <c r="N5367" t="n">
        <v>0</v>
      </c>
      <c r="O5367" t="n">
        <v>0</v>
      </c>
      <c r="P5367" t="n">
        <v>1</v>
      </c>
      <c r="Q5367" t="n">
        <v>2</v>
      </c>
      <c r="R5367" t="n">
        <v>0</v>
      </c>
      <c r="S5367" t="n">
        <v/>
      </c>
      <c r="T5367" t="inlineStr">
        <is>
          <t>11</t>
        </is>
      </c>
      <c r="U5367" t="inlineStr">
        <is>
          <t>1</t>
        </is>
      </c>
      <c r="V5367" t="n">
        <v/>
      </c>
      <c r="W5367" t="n">
        <v/>
      </c>
    </row>
    <row r="5368">
      <c r="A5368" t="inlineStr">
        <is>
          <t>12/01/2026 19:43:22</t>
        </is>
      </c>
      <c r="B5368" t="inlineStr">
        <is>
          <t>Phan Ngọc Sang</t>
        </is>
      </c>
      <c r="C5368" t="inlineStr">
        <is>
          <t>11/01/2026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19</v>
      </c>
      <c r="L5368" t="n">
        <v>0</v>
      </c>
      <c r="M5368" t="n">
        <v>1</v>
      </c>
      <c r="N5368" t="n">
        <v>1</v>
      </c>
      <c r="O5368" t="n">
        <v>0</v>
      </c>
      <c r="P5368" t="n">
        <v>0</v>
      </c>
      <c r="Q5368" t="n">
        <v>2</v>
      </c>
      <c r="R5368" t="n">
        <v>0</v>
      </c>
      <c r="S5368" t="n">
        <v/>
      </c>
      <c r="T5368" t="inlineStr">
        <is>
          <t>11</t>
        </is>
      </c>
      <c r="U5368" t="inlineStr">
        <is>
          <t>1</t>
        </is>
      </c>
      <c r="V5368" t="n">
        <v/>
      </c>
      <c r="W5368" t="n">
        <v/>
      </c>
    </row>
    <row r="5369">
      <c r="A5369" t="inlineStr">
        <is>
          <t>13/01/2026 7:09:35</t>
        </is>
      </c>
      <c r="B5369" t="inlineStr">
        <is>
          <t>Vòng Nhật Sang</t>
        </is>
      </c>
      <c r="C5369" t="inlineStr">
        <is>
          <t>12/01/2026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33</v>
      </c>
      <c r="L5369" t="n">
        <v>3</v>
      </c>
      <c r="M5369" t="n">
        <v>0</v>
      </c>
      <c r="N5369" t="n">
        <v>0</v>
      </c>
      <c r="O5369" t="n">
        <v>0</v>
      </c>
      <c r="P5369" t="n">
        <v>2</v>
      </c>
      <c r="Q5369" t="n">
        <v>3</v>
      </c>
      <c r="R5369" t="n">
        <v>0</v>
      </c>
      <c r="S5369" t="n">
        <v/>
      </c>
      <c r="T5369" t="inlineStr">
        <is>
          <t>12</t>
        </is>
      </c>
      <c r="U5369" t="inlineStr">
        <is>
          <t>1</t>
        </is>
      </c>
      <c r="V5369" t="n">
        <v/>
      </c>
      <c r="W5369" t="n">
        <v/>
      </c>
    </row>
    <row r="5370">
      <c r="A5370" t="inlineStr">
        <is>
          <t>13/01/2026 7:12:21</t>
        </is>
      </c>
      <c r="B5370" t="inlineStr">
        <is>
          <t>Nguyễn Văn Hiệp</t>
        </is>
      </c>
      <c r="C5370" t="inlineStr">
        <is>
          <t>12/12/2026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4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/>
      </c>
      <c r="T5370" t="inlineStr">
        <is>
          <t>12</t>
        </is>
      </c>
      <c r="U5370" t="inlineStr">
        <is>
          <t>12</t>
        </is>
      </c>
      <c r="V5370" t="n">
        <v/>
      </c>
      <c r="W5370" t="n">
        <v/>
      </c>
    </row>
    <row r="5371">
      <c r="A5371" t="inlineStr">
        <is>
          <t>13/01/2026 7:12:55</t>
        </is>
      </c>
      <c r="B5371" t="inlineStr">
        <is>
          <t>Trần Trung Giang</t>
        </is>
      </c>
      <c r="C5371" t="inlineStr">
        <is>
          <t>12/01/2026</t>
        </is>
      </c>
      <c r="D5371" t="n">
        <v>1</v>
      </c>
      <c r="E5371" t="n">
        <v>1</v>
      </c>
      <c r="F5371" t="n">
        <v>2</v>
      </c>
      <c r="G5371" t="n">
        <v>0</v>
      </c>
      <c r="H5371" t="n">
        <v>0</v>
      </c>
      <c r="I5371" t="n">
        <v>0</v>
      </c>
      <c r="J5371" t="n">
        <v>0</v>
      </c>
      <c r="K5371" t="n">
        <v>6</v>
      </c>
      <c r="L5371" t="n">
        <v>0</v>
      </c>
      <c r="M5371" t="n">
        <v>0</v>
      </c>
      <c r="N5371" t="n">
        <v>0</v>
      </c>
      <c r="O5371" t="n">
        <v>0</v>
      </c>
      <c r="P5371" t="n">
        <v>1</v>
      </c>
      <c r="Q5371" t="n">
        <v>1</v>
      </c>
      <c r="R5371" t="n">
        <v>0</v>
      </c>
      <c r="S5371" t="n">
        <v/>
      </c>
      <c r="T5371" t="inlineStr">
        <is>
          <t>12</t>
        </is>
      </c>
      <c r="U5371" t="inlineStr">
        <is>
          <t>1</t>
        </is>
      </c>
      <c r="V5371" t="n">
        <v/>
      </c>
      <c r="W5371" t="n">
        <v/>
      </c>
    </row>
    <row r="5372">
      <c r="A5372" t="inlineStr">
        <is>
          <t>13/01/2026 7:14:48</t>
        </is>
      </c>
      <c r="B5372" t="inlineStr">
        <is>
          <t>Nguyễn Quang Anh Tuấn</t>
        </is>
      </c>
      <c r="C5372" t="inlineStr">
        <is>
          <t>12/01/2026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4</v>
      </c>
      <c r="L5372" t="n">
        <v>0</v>
      </c>
      <c r="M5372" t="n">
        <v>2</v>
      </c>
      <c r="N5372" t="n">
        <v>0</v>
      </c>
      <c r="O5372" t="n">
        <v>0</v>
      </c>
      <c r="P5372" t="n">
        <v>0</v>
      </c>
      <c r="Q5372" t="n">
        <v>1</v>
      </c>
      <c r="R5372" t="n">
        <v>0</v>
      </c>
      <c r="S5372" t="n">
        <v/>
      </c>
      <c r="T5372" t="inlineStr">
        <is>
          <t>12</t>
        </is>
      </c>
      <c r="U5372" t="inlineStr">
        <is>
          <t>1</t>
        </is>
      </c>
      <c r="V5372" t="n">
        <v/>
      </c>
      <c r="W5372" t="n">
        <v/>
      </c>
    </row>
    <row r="5373">
      <c r="A5373" t="inlineStr">
        <is>
          <t>13/01/2026 7:17:08</t>
        </is>
      </c>
      <c r="B5373" t="inlineStr">
        <is>
          <t>Nguyễn Tuấn Anh</t>
        </is>
      </c>
      <c r="C5373" t="inlineStr">
        <is>
          <t>12/01/2026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2</v>
      </c>
      <c r="J5373" t="n">
        <v>0</v>
      </c>
      <c r="K5373" t="n">
        <v>53</v>
      </c>
      <c r="L5373" t="n">
        <v>2</v>
      </c>
      <c r="M5373" t="n">
        <v>0</v>
      </c>
      <c r="N5373" t="n">
        <v>0</v>
      </c>
      <c r="O5373" t="n">
        <v>0</v>
      </c>
      <c r="P5373" t="n">
        <v>0</v>
      </c>
      <c r="Q5373" t="n">
        <v>2</v>
      </c>
      <c r="R5373" t="n">
        <v>0</v>
      </c>
      <c r="S5373" t="n">
        <v/>
      </c>
      <c r="T5373" t="inlineStr">
        <is>
          <t>12</t>
        </is>
      </c>
      <c r="U5373" t="inlineStr">
        <is>
          <t>1</t>
        </is>
      </c>
      <c r="V5373" t="n">
        <v/>
      </c>
      <c r="W5373" t="n">
        <v/>
      </c>
    </row>
    <row r="5374">
      <c r="A5374" t="inlineStr">
        <is>
          <t>13/01/2026 7:18:32</t>
        </is>
      </c>
      <c r="B5374" t="inlineStr">
        <is>
          <t>Lê Hồng Phong</t>
        </is>
      </c>
      <c r="C5374" t="inlineStr">
        <is>
          <t>13/01/2026</t>
        </is>
      </c>
      <c r="D5374" t="n">
        <v>1</v>
      </c>
      <c r="E5374" t="n">
        <v>1</v>
      </c>
      <c r="F5374" t="n">
        <v>1</v>
      </c>
      <c r="G5374" t="n">
        <v>0</v>
      </c>
      <c r="H5374" t="n">
        <v>0</v>
      </c>
      <c r="I5374" t="n">
        <v>1</v>
      </c>
      <c r="J5374" t="n">
        <v>1</v>
      </c>
      <c r="K5374" t="n">
        <v>1</v>
      </c>
      <c r="L5374" t="n">
        <v>1</v>
      </c>
      <c r="M5374" t="n">
        <v>1</v>
      </c>
      <c r="N5374" t="n">
        <v>1</v>
      </c>
      <c r="O5374" t="n">
        <v>1</v>
      </c>
      <c r="P5374" t="n">
        <v>1</v>
      </c>
      <c r="Q5374" t="n">
        <v>1</v>
      </c>
      <c r="R5374" t="n">
        <v>1</v>
      </c>
      <c r="S5374" t="n">
        <v/>
      </c>
      <c r="T5374" t="inlineStr">
        <is>
          <t>13</t>
        </is>
      </c>
      <c r="U5374" t="inlineStr">
        <is>
          <t>1</t>
        </is>
      </c>
      <c r="V5374" t="n">
        <v/>
      </c>
      <c r="W5374" t="n">
        <v/>
      </c>
    </row>
    <row r="5375">
      <c r="A5375" t="inlineStr">
        <is>
          <t>13/01/2026 7:19:16</t>
        </is>
      </c>
      <c r="B5375" t="inlineStr">
        <is>
          <t>Huỳnh Văn Lực</t>
        </is>
      </c>
      <c r="C5375" t="inlineStr">
        <is>
          <t>12/01/2026</t>
        </is>
      </c>
      <c r="D5375" t="n">
        <v>1</v>
      </c>
      <c r="E5375" t="n">
        <v>1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2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1</v>
      </c>
      <c r="R5375" t="n">
        <v>1</v>
      </c>
      <c r="S5375" t="n">
        <v/>
      </c>
      <c r="T5375" t="inlineStr">
        <is>
          <t>12</t>
        </is>
      </c>
      <c r="U5375" t="inlineStr">
        <is>
          <t>1</t>
        </is>
      </c>
      <c r="V5375" t="n">
        <v/>
      </c>
      <c r="W5375" t="n">
        <v/>
      </c>
    </row>
    <row r="5376">
      <c r="A5376" t="inlineStr">
        <is>
          <t>13/01/2026 7:21:27</t>
        </is>
      </c>
      <c r="B5376" t="inlineStr">
        <is>
          <t>Đặng Hoài Anh</t>
        </is>
      </c>
      <c r="C5376" t="inlineStr">
        <is>
          <t>12/01/2026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2</v>
      </c>
      <c r="R5376" t="n">
        <v>0</v>
      </c>
      <c r="S5376" t="n">
        <v/>
      </c>
      <c r="T5376" t="inlineStr">
        <is>
          <t>12</t>
        </is>
      </c>
      <c r="U5376" t="inlineStr">
        <is>
          <t>1</t>
        </is>
      </c>
      <c r="V5376" t="n">
        <v/>
      </c>
      <c r="W5376" t="n">
        <v/>
      </c>
    </row>
    <row r="5377">
      <c r="A5377" t="inlineStr">
        <is>
          <t>13/01/2026 7:25:09</t>
        </is>
      </c>
      <c r="B5377" t="inlineStr">
        <is>
          <t>Hồ Xuân Việt</t>
        </is>
      </c>
      <c r="C5377" t="inlineStr">
        <is>
          <t>12/01/2026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7</v>
      </c>
      <c r="L5377" t="n">
        <v>0</v>
      </c>
      <c r="M5377" t="n">
        <v>0</v>
      </c>
      <c r="N5377" t="n">
        <v>0</v>
      </c>
      <c r="O5377" t="n">
        <v>0</v>
      </c>
      <c r="P5377" t="n">
        <v>2</v>
      </c>
      <c r="Q5377" t="n">
        <v>4</v>
      </c>
      <c r="R5377" t="n">
        <v>0</v>
      </c>
      <c r="S5377" t="n">
        <v/>
      </c>
      <c r="T5377" t="inlineStr">
        <is>
          <t>12</t>
        </is>
      </c>
      <c r="U5377" t="inlineStr">
        <is>
          <t>1</t>
        </is>
      </c>
      <c r="V5377" t="n">
        <v/>
      </c>
      <c r="W5377" t="n">
        <v/>
      </c>
    </row>
    <row r="5378">
      <c r="A5378" t="inlineStr">
        <is>
          <t>13/01/2026 7:34:42</t>
        </is>
      </c>
      <c r="B5378" t="inlineStr">
        <is>
          <t>Dương Minh Tiến</t>
        </is>
      </c>
      <c r="C5378" t="inlineStr">
        <is>
          <t>12/01/2026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4</v>
      </c>
      <c r="L5378" t="n">
        <v>2</v>
      </c>
      <c r="M5378" t="n">
        <v>2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/>
      </c>
      <c r="T5378" t="inlineStr">
        <is>
          <t>12</t>
        </is>
      </c>
      <c r="U5378" t="inlineStr">
        <is>
          <t>1</t>
        </is>
      </c>
      <c r="V5378" t="n">
        <v/>
      </c>
      <c r="W5378" t="n">
        <v/>
      </c>
    </row>
    <row r="5379">
      <c r="A5379" t="inlineStr">
        <is>
          <t>13/01/2026 8:08:58</t>
        </is>
      </c>
      <c r="B5379" t="inlineStr">
        <is>
          <t>Lương Duy Hoàng</t>
        </is>
      </c>
      <c r="C5379" t="inlineStr">
        <is>
          <t>12/01/2026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4</v>
      </c>
      <c r="L5379" t="n">
        <v>0</v>
      </c>
      <c r="M5379" t="n">
        <v>1</v>
      </c>
      <c r="N5379" t="n">
        <v>1</v>
      </c>
      <c r="O5379" t="n">
        <v>0</v>
      </c>
      <c r="P5379" t="n">
        <v>2</v>
      </c>
      <c r="Q5379" t="n">
        <v>4</v>
      </c>
      <c r="R5379" t="n">
        <v>0</v>
      </c>
      <c r="S5379" t="n">
        <v/>
      </c>
      <c r="T5379" t="inlineStr">
        <is>
          <t>12</t>
        </is>
      </c>
      <c r="U5379" t="inlineStr">
        <is>
          <t>1</t>
        </is>
      </c>
      <c r="V5379" t="n">
        <v/>
      </c>
      <c r="W5379" t="n">
        <v/>
      </c>
    </row>
    <row r="5380">
      <c r="A5380" t="inlineStr">
        <is>
          <t>13/01/2026 8:16:06</t>
        </is>
      </c>
      <c r="B5380" t="inlineStr">
        <is>
          <t>Hồ Thái Minh Trí</t>
        </is>
      </c>
      <c r="C5380" t="inlineStr">
        <is>
          <t>12/01/2026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4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/>
      </c>
      <c r="T5380" t="inlineStr">
        <is>
          <t>12</t>
        </is>
      </c>
      <c r="U5380" t="inlineStr">
        <is>
          <t>1</t>
        </is>
      </c>
      <c r="V5380" t="n">
        <v/>
      </c>
      <c r="W5380" t="n">
        <v/>
      </c>
    </row>
    <row r="5381">
      <c r="A5381" t="inlineStr">
        <is>
          <t>13/01/2026 9:21:46</t>
        </is>
      </c>
      <c r="B5381" t="inlineStr">
        <is>
          <t>Trần Minh Khánh</t>
        </is>
      </c>
      <c r="C5381" t="inlineStr">
        <is>
          <t>12/01/2026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2</v>
      </c>
      <c r="J5381" t="n">
        <v>0</v>
      </c>
      <c r="K5381" t="n">
        <v>3</v>
      </c>
      <c r="L5381" t="n">
        <v>2</v>
      </c>
      <c r="M5381" t="n">
        <v>0</v>
      </c>
      <c r="N5381" t="n">
        <v>0</v>
      </c>
      <c r="O5381" t="n">
        <v>0</v>
      </c>
      <c r="P5381" t="n">
        <v>1</v>
      </c>
      <c r="Q5381" t="n">
        <v>3</v>
      </c>
      <c r="R5381" t="n">
        <v>2</v>
      </c>
      <c r="S5381" t="n">
        <v/>
      </c>
      <c r="T5381" t="inlineStr">
        <is>
          <t>12</t>
        </is>
      </c>
      <c r="U5381" t="inlineStr">
        <is>
          <t>1</t>
        </is>
      </c>
      <c r="V5381" t="n">
        <v/>
      </c>
      <c r="W5381" t="n">
        <v/>
      </c>
    </row>
    <row r="5382">
      <c r="A5382" t="inlineStr">
        <is>
          <t>13/01/2026 9:38:18</t>
        </is>
      </c>
      <c r="B5382" t="inlineStr">
        <is>
          <t>Nguyễn Hồng Minh</t>
        </is>
      </c>
      <c r="C5382" t="inlineStr">
        <is>
          <t>12/01/2026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2</v>
      </c>
      <c r="L5382" t="n">
        <v>0</v>
      </c>
      <c r="M5382" t="n">
        <v>0</v>
      </c>
      <c r="N5382" t="n">
        <v>0</v>
      </c>
      <c r="O5382" t="n">
        <v>0</v>
      </c>
      <c r="P5382" t="n">
        <v>2</v>
      </c>
      <c r="Q5382" t="n">
        <v>4</v>
      </c>
      <c r="R5382" t="n">
        <v>0</v>
      </c>
      <c r="S5382" t="n">
        <v/>
      </c>
      <c r="T5382" t="inlineStr">
        <is>
          <t>12</t>
        </is>
      </c>
      <c r="U5382" t="inlineStr">
        <is>
          <t>1</t>
        </is>
      </c>
      <c r="V5382" t="n">
        <v/>
      </c>
      <c r="W5382" t="n">
        <v/>
      </c>
    </row>
    <row r="5383">
      <c r="A5383" t="inlineStr">
        <is>
          <t>14/01/2026 6:31:16</t>
        </is>
      </c>
      <c r="B5383" t="inlineStr">
        <is>
          <t>Phan Ngọc Sang</t>
        </is>
      </c>
      <c r="C5383" t="inlineStr">
        <is>
          <t>13/01/2026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</v>
      </c>
      <c r="J5383" t="n">
        <v>1</v>
      </c>
      <c r="K5383" t="n">
        <v>7</v>
      </c>
      <c r="L5383" t="n">
        <v>0</v>
      </c>
      <c r="M5383" t="n">
        <v>1</v>
      </c>
      <c r="N5383" t="n">
        <v>1</v>
      </c>
      <c r="O5383" t="n">
        <v>0</v>
      </c>
      <c r="P5383" t="n">
        <v>1</v>
      </c>
      <c r="Q5383" t="n">
        <v>1</v>
      </c>
      <c r="R5383" t="n">
        <v>0</v>
      </c>
      <c r="S5383" t="n">
        <v/>
      </c>
      <c r="T5383" t="inlineStr">
        <is>
          <t>13</t>
        </is>
      </c>
      <c r="U5383" t="inlineStr">
        <is>
          <t>1</t>
        </is>
      </c>
      <c r="V5383" t="n">
        <v/>
      </c>
      <c r="W5383" t="n">
        <v/>
      </c>
    </row>
    <row r="5384">
      <c r="A5384" t="inlineStr">
        <is>
          <t>14/01/2026 7:02:03</t>
        </is>
      </c>
      <c r="B5384" t="inlineStr">
        <is>
          <t>Nguyễn Tuấn Anh</t>
        </is>
      </c>
      <c r="C5384" t="inlineStr">
        <is>
          <t>13/01/2026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3</v>
      </c>
      <c r="J5384" t="n">
        <v>0</v>
      </c>
      <c r="K5384" t="n">
        <v>31</v>
      </c>
      <c r="L5384" t="n">
        <v>0</v>
      </c>
      <c r="M5384" t="n">
        <v>0</v>
      </c>
      <c r="N5384" t="n">
        <v>2</v>
      </c>
      <c r="O5384" t="n">
        <v>0</v>
      </c>
      <c r="P5384" t="n">
        <v>0</v>
      </c>
      <c r="Q5384" t="n">
        <v>0</v>
      </c>
      <c r="R5384" t="n">
        <v>0</v>
      </c>
      <c r="S5384" t="n">
        <v/>
      </c>
      <c r="T5384" t="inlineStr">
        <is>
          <t>13</t>
        </is>
      </c>
      <c r="U5384" t="inlineStr">
        <is>
          <t>1</t>
        </is>
      </c>
      <c r="V5384" t="n">
        <v/>
      </c>
      <c r="W5384" t="n">
        <v/>
      </c>
    </row>
    <row r="5385">
      <c r="A5385" t="inlineStr">
        <is>
          <t>14/01/2026 7:04:07</t>
        </is>
      </c>
      <c r="B5385" t="inlineStr">
        <is>
          <t>Huỳnh Văn Lực</t>
        </is>
      </c>
      <c r="C5385" t="inlineStr">
        <is>
          <t>13/01/2026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2</v>
      </c>
      <c r="L5385" t="n">
        <v>0</v>
      </c>
      <c r="M5385" t="n">
        <v>2</v>
      </c>
      <c r="N5385" t="n">
        <v>0</v>
      </c>
      <c r="O5385" t="n">
        <v>0</v>
      </c>
      <c r="P5385" t="n">
        <v>1</v>
      </c>
      <c r="Q5385" t="n">
        <v>1</v>
      </c>
      <c r="R5385" t="n">
        <v>0</v>
      </c>
      <c r="S5385" t="n">
        <v/>
      </c>
      <c r="T5385" t="inlineStr">
        <is>
          <t>13</t>
        </is>
      </c>
      <c r="U5385" t="inlineStr">
        <is>
          <t>1</t>
        </is>
      </c>
      <c r="V5385" t="n">
        <v/>
      </c>
      <c r="W5385" t="n">
        <v/>
      </c>
    </row>
    <row r="5386">
      <c r="A5386" t="inlineStr">
        <is>
          <t>14/01/2026 7:05:59</t>
        </is>
      </c>
      <c r="B5386" t="inlineStr">
        <is>
          <t>Nguyễn Quang Anh Tuấn</t>
        </is>
      </c>
      <c r="C5386" t="inlineStr">
        <is>
          <t>13/01/2026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9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2</v>
      </c>
      <c r="R5386" t="n">
        <v>0</v>
      </c>
      <c r="S5386" t="n">
        <v/>
      </c>
      <c r="T5386" t="inlineStr">
        <is>
          <t>13</t>
        </is>
      </c>
      <c r="U5386" t="inlineStr">
        <is>
          <t>1</t>
        </is>
      </c>
      <c r="V5386" t="n">
        <v/>
      </c>
      <c r="W5386" t="n">
        <v/>
      </c>
    </row>
    <row r="5387">
      <c r="A5387" t="inlineStr">
        <is>
          <t>14/01/2026 7:09:25</t>
        </is>
      </c>
      <c r="B5387" t="inlineStr">
        <is>
          <t>Trần Trung Giang</t>
        </is>
      </c>
      <c r="C5387" t="inlineStr">
        <is>
          <t>13/01/2026</t>
        </is>
      </c>
      <c r="D5387" t="n">
        <v>2</v>
      </c>
      <c r="E5387" t="n">
        <v>2</v>
      </c>
      <c r="F5387" t="n">
        <v>4</v>
      </c>
      <c r="G5387" t="n">
        <v>0</v>
      </c>
      <c r="H5387" t="n">
        <v>0</v>
      </c>
      <c r="I5387" t="n">
        <v>0</v>
      </c>
      <c r="J5387" t="n">
        <v>0</v>
      </c>
      <c r="K5387" t="n">
        <v>11</v>
      </c>
      <c r="L5387" t="n">
        <v>0</v>
      </c>
      <c r="M5387" t="n">
        <v>2</v>
      </c>
      <c r="N5387" t="n">
        <v>1</v>
      </c>
      <c r="O5387" t="n">
        <v>0</v>
      </c>
      <c r="P5387" t="n">
        <v>0</v>
      </c>
      <c r="Q5387" t="n">
        <v>0</v>
      </c>
      <c r="R5387" t="n">
        <v>0</v>
      </c>
      <c r="S5387" t="n">
        <v/>
      </c>
      <c r="T5387" t="inlineStr">
        <is>
          <t>13</t>
        </is>
      </c>
      <c r="U5387" t="inlineStr">
        <is>
          <t>1</t>
        </is>
      </c>
      <c r="V5387" t="n">
        <v/>
      </c>
      <c r="W5387" t="n">
        <v/>
      </c>
    </row>
    <row r="5388">
      <c r="A5388" t="inlineStr">
        <is>
          <t>14/01/2026 7:14:08</t>
        </is>
      </c>
      <c r="B5388" t="inlineStr">
        <is>
          <t>Nguyễn Văn Hiệp</t>
        </is>
      </c>
      <c r="C5388" t="inlineStr">
        <is>
          <t>13/12/2026</t>
        </is>
      </c>
      <c r="D5388" t="n">
        <v>1</v>
      </c>
      <c r="E5388" t="n">
        <v>1</v>
      </c>
      <c r="F5388" t="n">
        <v>1</v>
      </c>
      <c r="G5388" t="n">
        <v>0</v>
      </c>
      <c r="H5388" t="n">
        <v>0</v>
      </c>
      <c r="I5388" t="n">
        <v>0</v>
      </c>
      <c r="J5388" t="n">
        <v>0</v>
      </c>
      <c r="K5388" t="n">
        <v>3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/>
      </c>
      <c r="T5388" t="inlineStr">
        <is>
          <t>13</t>
        </is>
      </c>
      <c r="U5388" t="inlineStr">
        <is>
          <t>12</t>
        </is>
      </c>
      <c r="V5388" t="n">
        <v/>
      </c>
      <c r="W5388" t="n">
        <v/>
      </c>
    </row>
    <row r="5389">
      <c r="A5389" t="inlineStr">
        <is>
          <t>14/01/2026 7:15:25</t>
        </is>
      </c>
      <c r="B5389" t="inlineStr">
        <is>
          <t>Đặng Hoài Anh</t>
        </is>
      </c>
      <c r="C5389" t="inlineStr">
        <is>
          <t>13/01/2026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5</v>
      </c>
      <c r="L5389" t="n">
        <v>0</v>
      </c>
      <c r="M5389" t="n">
        <v>0</v>
      </c>
      <c r="N5389" t="n">
        <v>0</v>
      </c>
      <c r="O5389" t="n">
        <v>0</v>
      </c>
      <c r="P5389" t="n">
        <v>1</v>
      </c>
      <c r="Q5389" t="n">
        <v>1</v>
      </c>
      <c r="R5389" t="n">
        <v>0</v>
      </c>
      <c r="S5389" t="n">
        <v/>
      </c>
      <c r="T5389" t="inlineStr">
        <is>
          <t>13</t>
        </is>
      </c>
      <c r="U5389" t="inlineStr">
        <is>
          <t>1</t>
        </is>
      </c>
      <c r="V5389" t="n">
        <v/>
      </c>
      <c r="W5389" t="n">
        <v/>
      </c>
    </row>
    <row r="5390">
      <c r="A5390" t="inlineStr">
        <is>
          <t>14/01/2026 7:52:35</t>
        </is>
      </c>
      <c r="B5390" t="inlineStr">
        <is>
          <t>Trần Minh Khánh</t>
        </is>
      </c>
      <c r="C5390" t="inlineStr">
        <is>
          <t>13/01/2026</t>
        </is>
      </c>
      <c r="D5390" t="n">
        <v>0</v>
      </c>
      <c r="E5390" t="n">
        <v>1</v>
      </c>
      <c r="F5390" t="n">
        <v>0</v>
      </c>
      <c r="G5390" t="n">
        <v>0</v>
      </c>
      <c r="H5390" t="n">
        <v>0</v>
      </c>
      <c r="I5390" t="n">
        <v>2</v>
      </c>
      <c r="J5390" t="n">
        <v>0</v>
      </c>
      <c r="K5390" t="n">
        <v>3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4</v>
      </c>
      <c r="R5390" t="n">
        <v>0</v>
      </c>
      <c r="S5390" t="n">
        <v/>
      </c>
      <c r="T5390" t="inlineStr">
        <is>
          <t>13</t>
        </is>
      </c>
      <c r="U5390" t="inlineStr">
        <is>
          <t>1</t>
        </is>
      </c>
      <c r="V5390" t="n">
        <v/>
      </c>
      <c r="W5390" t="n">
        <v/>
      </c>
    </row>
    <row r="5391">
      <c r="A5391" t="inlineStr">
        <is>
          <t>14/01/2026 8:25:45</t>
        </is>
      </c>
      <c r="B5391" t="inlineStr">
        <is>
          <t>Nguyễn Hồng Minh</t>
        </is>
      </c>
      <c r="C5391" t="inlineStr">
        <is>
          <t>13/01/2026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2</v>
      </c>
      <c r="L5391" t="n">
        <v>0</v>
      </c>
      <c r="M5391" t="n">
        <v>1</v>
      </c>
      <c r="N5391" t="n">
        <v>0</v>
      </c>
      <c r="O5391" t="n">
        <v>0</v>
      </c>
      <c r="P5391" t="n">
        <v>1</v>
      </c>
      <c r="Q5391" t="n">
        <v>6</v>
      </c>
      <c r="R5391" t="n">
        <v>1</v>
      </c>
      <c r="S5391" t="n">
        <v/>
      </c>
      <c r="T5391" t="inlineStr">
        <is>
          <t>13</t>
        </is>
      </c>
      <c r="U5391" t="inlineStr">
        <is>
          <t>1</t>
        </is>
      </c>
      <c r="V5391" t="n">
        <v/>
      </c>
      <c r="W5391" t="n">
        <v/>
      </c>
    </row>
    <row r="5392">
      <c r="A5392" t="inlineStr">
        <is>
          <t>14/01/2026 9:03:23</t>
        </is>
      </c>
      <c r="B5392" t="inlineStr">
        <is>
          <t>Vòng Nhật Sang</t>
        </is>
      </c>
      <c r="C5392" t="inlineStr">
        <is>
          <t>13/01/2026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15</v>
      </c>
      <c r="L5392" t="n">
        <v>0</v>
      </c>
      <c r="M5392" t="n">
        <v>1</v>
      </c>
      <c r="N5392" t="n">
        <v>2</v>
      </c>
      <c r="O5392" t="n">
        <v>0</v>
      </c>
      <c r="P5392" t="n">
        <v>2</v>
      </c>
      <c r="Q5392" t="n">
        <v>2</v>
      </c>
      <c r="R5392" t="n">
        <v>0</v>
      </c>
      <c r="S5392" t="n">
        <v/>
      </c>
      <c r="T5392" t="inlineStr">
        <is>
          <t>13</t>
        </is>
      </c>
      <c r="U5392" t="inlineStr">
        <is>
          <t>1</t>
        </is>
      </c>
      <c r="V5392" t="n">
        <v/>
      </c>
      <c r="W5392" t="n">
        <v/>
      </c>
    </row>
    <row r="5393">
      <c r="A5393" t="inlineStr">
        <is>
          <t>14/01/2026 19:52:02</t>
        </is>
      </c>
      <c r="B5393" t="inlineStr">
        <is>
          <t>Trần Xuân Khoa</t>
        </is>
      </c>
      <c r="C5393" t="inlineStr">
        <is>
          <t>13/01/2026</t>
        </is>
      </c>
      <c r="D5393" t="n">
        <v>1</v>
      </c>
      <c r="E5393" t="n">
        <v>1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8</v>
      </c>
      <c r="L5393" t="n">
        <v>2</v>
      </c>
      <c r="M5393" t="n">
        <v>0</v>
      </c>
      <c r="N5393" t="n">
        <v>0</v>
      </c>
      <c r="O5393" t="n">
        <v>0</v>
      </c>
      <c r="P5393" t="n">
        <v>1</v>
      </c>
      <c r="Q5393" t="n">
        <v>3</v>
      </c>
      <c r="R5393" t="n">
        <v>0</v>
      </c>
      <c r="S5393" t="n">
        <v/>
      </c>
      <c r="T5393" t="inlineStr">
        <is>
          <t>13</t>
        </is>
      </c>
      <c r="U5393" t="inlineStr">
        <is>
          <t>1</t>
        </is>
      </c>
      <c r="V5393" t="n">
        <v/>
      </c>
      <c r="W5393" t="n">
        <v/>
      </c>
    </row>
    <row r="5394">
      <c r="A5394" t="inlineStr">
        <is>
          <t>15/01/2026 3:44:15</t>
        </is>
      </c>
      <c r="B5394" t="inlineStr">
        <is>
          <t>Hồ Thái Minh Trí</t>
        </is>
      </c>
      <c r="C5394" t="inlineStr">
        <is>
          <t>13/01/2026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4</v>
      </c>
      <c r="L5394" t="n">
        <v>0</v>
      </c>
      <c r="M5394" t="n">
        <v>1</v>
      </c>
      <c r="N5394" t="n">
        <v>0</v>
      </c>
      <c r="O5394" t="n">
        <v>0</v>
      </c>
      <c r="P5394" t="n">
        <v>1</v>
      </c>
      <c r="Q5394" t="n">
        <v>2</v>
      </c>
      <c r="R5394" t="n">
        <v>0</v>
      </c>
      <c r="S5394" t="n">
        <v/>
      </c>
      <c r="T5394" t="inlineStr">
        <is>
          <t>13</t>
        </is>
      </c>
      <c r="U5394" t="inlineStr">
        <is>
          <t>1</t>
        </is>
      </c>
      <c r="V5394" t="n">
        <v/>
      </c>
      <c r="W5394" t="n">
        <v/>
      </c>
    </row>
    <row r="5395">
      <c r="A5395" t="inlineStr">
        <is>
          <t>15/01/2026 3:46:56</t>
        </is>
      </c>
      <c r="B5395" t="inlineStr">
        <is>
          <t>Hồ Thái Minh Trí</t>
        </is>
      </c>
      <c r="C5395" t="inlineStr">
        <is>
          <t>14/01/2026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1</v>
      </c>
      <c r="R5395" t="n">
        <v>0</v>
      </c>
      <c r="S5395" t="n">
        <v/>
      </c>
      <c r="T5395" t="inlineStr">
        <is>
          <t>14</t>
        </is>
      </c>
      <c r="U5395" t="inlineStr">
        <is>
          <t>1</t>
        </is>
      </c>
      <c r="V5395" t="n">
        <v/>
      </c>
      <c r="W5395" t="n">
        <v/>
      </c>
    </row>
    <row r="5396">
      <c r="A5396" t="inlineStr">
        <is>
          <t>15/01/2026 6:29:44</t>
        </is>
      </c>
      <c r="B5396" t="inlineStr">
        <is>
          <t>Trần Xuân Khoa</t>
        </is>
      </c>
      <c r="C5396" t="inlineStr">
        <is>
          <t>14/01/2026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6</v>
      </c>
      <c r="L5396" t="n">
        <v>0</v>
      </c>
      <c r="M5396" t="n">
        <v>0</v>
      </c>
      <c r="N5396" t="n">
        <v>0</v>
      </c>
      <c r="O5396" t="n">
        <v>0</v>
      </c>
      <c r="P5396" t="n">
        <v>1</v>
      </c>
      <c r="Q5396" t="n">
        <v>4</v>
      </c>
      <c r="R5396" t="n">
        <v>0</v>
      </c>
      <c r="S5396" t="n">
        <v/>
      </c>
      <c r="T5396" t="inlineStr">
        <is>
          <t>14</t>
        </is>
      </c>
      <c r="U5396" t="inlineStr">
        <is>
          <t>1</t>
        </is>
      </c>
      <c r="V5396" t="n">
        <v/>
      </c>
      <c r="W5396" t="n">
        <v/>
      </c>
    </row>
    <row r="5397">
      <c r="A5397" t="inlineStr">
        <is>
          <t>15/01/2026 6:32:37</t>
        </is>
      </c>
      <c r="B5397" t="inlineStr">
        <is>
          <t>Vòng Nhật Sang</t>
        </is>
      </c>
      <c r="C5397" t="inlineStr">
        <is>
          <t>14/01/2026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8</v>
      </c>
      <c r="L5397" t="n">
        <v>0</v>
      </c>
      <c r="M5397" t="n">
        <v>0</v>
      </c>
      <c r="N5397" t="n">
        <v>0</v>
      </c>
      <c r="O5397" t="n">
        <v>0</v>
      </c>
      <c r="P5397" t="n">
        <v>2</v>
      </c>
      <c r="Q5397" t="n">
        <v>2</v>
      </c>
      <c r="R5397" t="n">
        <v>0</v>
      </c>
      <c r="S5397" t="n">
        <v/>
      </c>
      <c r="T5397" t="inlineStr">
        <is>
          <t>14</t>
        </is>
      </c>
      <c r="U5397" t="inlineStr">
        <is>
          <t>1</t>
        </is>
      </c>
      <c r="V5397" t="n">
        <v/>
      </c>
      <c r="W5397" t="n">
        <v/>
      </c>
    </row>
    <row r="5398">
      <c r="A5398" t="inlineStr">
        <is>
          <t>15/01/2026 7:05:04</t>
        </is>
      </c>
      <c r="B5398" t="inlineStr">
        <is>
          <t>Phan Ngọc Sang</t>
        </is>
      </c>
      <c r="C5398" t="inlineStr">
        <is>
          <t>13/01/2026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2</v>
      </c>
      <c r="J5398" t="n">
        <v>1</v>
      </c>
      <c r="K5398" t="n">
        <v>7</v>
      </c>
      <c r="L5398" t="n">
        <v>0</v>
      </c>
      <c r="M5398" t="n">
        <v>2</v>
      </c>
      <c r="N5398" t="n">
        <v>2</v>
      </c>
      <c r="O5398" t="n">
        <v>0</v>
      </c>
      <c r="P5398" t="n">
        <v>1</v>
      </c>
      <c r="Q5398" t="n">
        <v>2</v>
      </c>
      <c r="R5398" t="n">
        <v>0</v>
      </c>
      <c r="S5398" t="n">
        <v/>
      </c>
      <c r="T5398" t="inlineStr">
        <is>
          <t>13</t>
        </is>
      </c>
      <c r="U5398" t="inlineStr">
        <is>
          <t>1</t>
        </is>
      </c>
      <c r="V5398" t="n">
        <v/>
      </c>
      <c r="W5398" t="n">
        <v/>
      </c>
    </row>
    <row r="5399">
      <c r="A5399" t="inlineStr">
        <is>
          <t>15/01/2026 7:06:05</t>
        </is>
      </c>
      <c r="B5399" t="inlineStr">
        <is>
          <t>Phan Ngọc Sang</t>
        </is>
      </c>
      <c r="C5399" t="inlineStr">
        <is>
          <t>14/01/2026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11</v>
      </c>
      <c r="L5399" t="n">
        <v>0</v>
      </c>
      <c r="M5399" t="n">
        <v>2</v>
      </c>
      <c r="N5399" t="n">
        <v>1</v>
      </c>
      <c r="O5399" t="n">
        <v>0</v>
      </c>
      <c r="P5399" t="n">
        <v>0</v>
      </c>
      <c r="Q5399" t="n">
        <v>2</v>
      </c>
      <c r="R5399" t="n">
        <v>0</v>
      </c>
      <c r="S5399" t="n">
        <v/>
      </c>
      <c r="T5399" t="inlineStr">
        <is>
          <t>14</t>
        </is>
      </c>
      <c r="U5399" t="inlineStr">
        <is>
          <t>1</t>
        </is>
      </c>
      <c r="V5399" t="n">
        <v/>
      </c>
      <c r="W5399" t="n">
        <v/>
      </c>
    </row>
    <row r="5400">
      <c r="A5400" t="inlineStr">
        <is>
          <t>15/01/2026 7:09:26</t>
        </is>
      </c>
      <c r="B5400" t="inlineStr">
        <is>
          <t>Huỳnh Văn Lực</t>
        </is>
      </c>
      <c r="C5400" t="inlineStr">
        <is>
          <t>14/01/2026</t>
        </is>
      </c>
      <c r="D5400" t="n">
        <v>1</v>
      </c>
      <c r="E5400" t="n">
        <v>1</v>
      </c>
      <c r="F5400" t="n">
        <v>1</v>
      </c>
      <c r="G5400" t="n">
        <v>0</v>
      </c>
      <c r="H5400" t="n">
        <v>0</v>
      </c>
      <c r="I5400" t="n">
        <v>0</v>
      </c>
      <c r="J5400" t="n">
        <v>0</v>
      </c>
      <c r="K5400" t="n">
        <v>2</v>
      </c>
      <c r="L5400" t="n">
        <v>0</v>
      </c>
      <c r="M5400" t="n">
        <v>0</v>
      </c>
      <c r="N5400" t="n">
        <v>0</v>
      </c>
      <c r="O5400" t="n">
        <v>0</v>
      </c>
      <c r="P5400" t="n">
        <v>1</v>
      </c>
      <c r="Q5400" t="n">
        <v>1</v>
      </c>
      <c r="R5400" t="n">
        <v>0</v>
      </c>
      <c r="S5400" t="n">
        <v/>
      </c>
      <c r="T5400" t="inlineStr">
        <is>
          <t>14</t>
        </is>
      </c>
      <c r="U5400" t="inlineStr">
        <is>
          <t>1</t>
        </is>
      </c>
      <c r="V5400" t="n">
        <v/>
      </c>
      <c r="W5400" t="n">
        <v/>
      </c>
    </row>
    <row r="5401">
      <c r="A5401" t="inlineStr">
        <is>
          <t>15/01/2026 7:09:49</t>
        </is>
      </c>
      <c r="B5401" t="inlineStr">
        <is>
          <t>Trần Minh Khánh</t>
        </is>
      </c>
      <c r="C5401" t="inlineStr">
        <is>
          <t>14/01/2026</t>
        </is>
      </c>
      <c r="D5401" t="n">
        <v>0</v>
      </c>
      <c r="E5401" t="n">
        <v>1</v>
      </c>
      <c r="F5401" t="n">
        <v>0</v>
      </c>
      <c r="G5401" t="n">
        <v>0</v>
      </c>
      <c r="H5401" t="n">
        <v>0</v>
      </c>
      <c r="I5401" t="n">
        <v>3</v>
      </c>
      <c r="J5401" t="n">
        <v>0</v>
      </c>
      <c r="K5401" t="n">
        <v>4</v>
      </c>
      <c r="L5401" t="n">
        <v>0</v>
      </c>
      <c r="M5401" t="n">
        <v>0</v>
      </c>
      <c r="N5401" t="n">
        <v>1</v>
      </c>
      <c r="O5401" t="n">
        <v>0</v>
      </c>
      <c r="P5401" t="n">
        <v>0</v>
      </c>
      <c r="Q5401" t="n">
        <v>2</v>
      </c>
      <c r="R5401" t="n">
        <v>0</v>
      </c>
      <c r="S5401" t="n">
        <v/>
      </c>
      <c r="T5401" t="inlineStr">
        <is>
          <t>14</t>
        </is>
      </c>
      <c r="U5401" t="inlineStr">
        <is>
          <t>1</t>
        </is>
      </c>
      <c r="V5401" t="n">
        <v/>
      </c>
      <c r="W5401" t="n">
        <v/>
      </c>
    </row>
    <row r="5402">
      <c r="A5402" t="inlineStr">
        <is>
          <t>15/01/2026 7:12:03</t>
        </is>
      </c>
      <c r="B5402" t="inlineStr">
        <is>
          <t>Nguyễn Tuấn Anh</t>
        </is>
      </c>
      <c r="C5402" t="inlineStr">
        <is>
          <t>14/01/2026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2</v>
      </c>
      <c r="J5402" t="n">
        <v>0</v>
      </c>
      <c r="K5402" t="n">
        <v>28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2</v>
      </c>
      <c r="R5402" t="n">
        <v>0</v>
      </c>
      <c r="S5402" t="n">
        <v/>
      </c>
      <c r="T5402" t="inlineStr">
        <is>
          <t>14</t>
        </is>
      </c>
      <c r="U5402" t="inlineStr">
        <is>
          <t>1</t>
        </is>
      </c>
      <c r="V5402" t="n">
        <v/>
      </c>
      <c r="W5402" t="n">
        <v/>
      </c>
    </row>
    <row r="5403">
      <c r="A5403" t="inlineStr">
        <is>
          <t>15/01/2026 7:13:48</t>
        </is>
      </c>
      <c r="B5403" t="inlineStr">
        <is>
          <t>Nguyễn Quang Anh Tuấn</t>
        </is>
      </c>
      <c r="C5403" t="inlineStr">
        <is>
          <t>14/01/2026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5</v>
      </c>
      <c r="L5403" t="n">
        <v>0</v>
      </c>
      <c r="M5403" t="n">
        <v>4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/>
      </c>
      <c r="T5403" t="inlineStr">
        <is>
          <t>14</t>
        </is>
      </c>
      <c r="U5403" t="inlineStr">
        <is>
          <t>1</t>
        </is>
      </c>
      <c r="V5403" t="n">
        <v/>
      </c>
      <c r="W5403" t="n">
        <v/>
      </c>
    </row>
    <row r="5404">
      <c r="A5404" t="inlineStr">
        <is>
          <t>15/01/2026 7:15:47</t>
        </is>
      </c>
      <c r="B5404" t="inlineStr">
        <is>
          <t>Đặng Hoài Anh</t>
        </is>
      </c>
      <c r="C5404" t="inlineStr">
        <is>
          <t>14/01/2026</t>
        </is>
      </c>
      <c r="D5404" t="n">
        <v>2</v>
      </c>
      <c r="E5404" t="n">
        <v>2</v>
      </c>
      <c r="F5404" t="n">
        <v>1</v>
      </c>
      <c r="G5404" t="n">
        <v>0</v>
      </c>
      <c r="H5404" t="n">
        <v>0</v>
      </c>
      <c r="I5404" t="n">
        <v>0</v>
      </c>
      <c r="J5404" t="n">
        <v>0</v>
      </c>
      <c r="K5404" t="n">
        <v>2</v>
      </c>
      <c r="L5404" t="n">
        <v>0</v>
      </c>
      <c r="M5404" t="n">
        <v>3</v>
      </c>
      <c r="N5404" t="n">
        <v>0</v>
      </c>
      <c r="O5404" t="n">
        <v>0</v>
      </c>
      <c r="P5404" t="n">
        <v>2</v>
      </c>
      <c r="Q5404" t="n">
        <v>0</v>
      </c>
      <c r="R5404" t="n">
        <v>0</v>
      </c>
      <c r="S5404" t="n">
        <v/>
      </c>
      <c r="T5404" t="inlineStr">
        <is>
          <t>14</t>
        </is>
      </c>
      <c r="U5404" t="inlineStr">
        <is>
          <t>1</t>
        </is>
      </c>
      <c r="V5404" t="n">
        <v/>
      </c>
      <c r="W5404" t="n">
        <v/>
      </c>
    </row>
    <row r="5405">
      <c r="A5405" t="inlineStr">
        <is>
          <t>15/01/2026 7:16:52</t>
        </is>
      </c>
      <c r="B5405" t="inlineStr">
        <is>
          <t>Trần Trung Giang</t>
        </is>
      </c>
      <c r="C5405" t="inlineStr">
        <is>
          <t>14/01/2026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1</v>
      </c>
      <c r="O5405" t="n">
        <v>0</v>
      </c>
      <c r="P5405" t="n">
        <v>0</v>
      </c>
      <c r="Q5405" t="n">
        <v>1</v>
      </c>
      <c r="R5405" t="n">
        <v>0</v>
      </c>
      <c r="S5405" t="n">
        <v/>
      </c>
      <c r="T5405" t="inlineStr">
        <is>
          <t>14</t>
        </is>
      </c>
      <c r="U5405" t="inlineStr">
        <is>
          <t>1</t>
        </is>
      </c>
      <c r="V5405" t="n">
        <v/>
      </c>
      <c r="W5405" t="n">
        <v/>
      </c>
    </row>
    <row r="5406">
      <c r="A5406" t="inlineStr">
        <is>
          <t>15/01/2026 7:31:06</t>
        </is>
      </c>
      <c r="B5406" t="inlineStr">
        <is>
          <t>Lê Hồng Phong</t>
        </is>
      </c>
      <c r="C5406" t="inlineStr">
        <is>
          <t>15/01/2026</t>
        </is>
      </c>
      <c r="D5406" t="n">
        <v>1</v>
      </c>
      <c r="E5406" t="n">
        <v>1</v>
      </c>
      <c r="F5406" t="n">
        <v>1</v>
      </c>
      <c r="G5406" t="n">
        <v>0</v>
      </c>
      <c r="H5406" t="n">
        <v>0</v>
      </c>
      <c r="I5406" t="n">
        <v>0</v>
      </c>
      <c r="J5406" t="n">
        <v>1</v>
      </c>
      <c r="K5406" t="n">
        <v>1</v>
      </c>
      <c r="L5406" t="n">
        <v>1</v>
      </c>
      <c r="M5406" t="n">
        <v>1</v>
      </c>
      <c r="N5406" t="n">
        <v>1</v>
      </c>
      <c r="O5406" t="n">
        <v>1</v>
      </c>
      <c r="P5406" t="n">
        <v>1</v>
      </c>
      <c r="Q5406" t="n">
        <v>1</v>
      </c>
      <c r="R5406" t="n">
        <v>1</v>
      </c>
      <c r="S5406" t="n">
        <v/>
      </c>
      <c r="T5406" t="inlineStr">
        <is>
          <t>15</t>
        </is>
      </c>
      <c r="U5406" t="inlineStr">
        <is>
          <t>1</t>
        </is>
      </c>
      <c r="V5406" t="n">
        <v/>
      </c>
      <c r="W5406" t="n">
        <v/>
      </c>
    </row>
    <row r="5407">
      <c r="A5407" t="inlineStr">
        <is>
          <t>15/01/2026 7:33:11</t>
        </is>
      </c>
      <c r="B5407" t="inlineStr">
        <is>
          <t>Lương Duy Hoàng</t>
        </is>
      </c>
      <c r="C5407" t="inlineStr">
        <is>
          <t>14/01/2026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4</v>
      </c>
      <c r="L5407" t="n">
        <v>0</v>
      </c>
      <c r="M5407" t="n">
        <v>0</v>
      </c>
      <c r="N5407" t="n">
        <v>0</v>
      </c>
      <c r="O5407" t="n">
        <v>0</v>
      </c>
      <c r="P5407" t="n">
        <v>1</v>
      </c>
      <c r="Q5407" t="n">
        <v>2</v>
      </c>
      <c r="R5407" t="n">
        <v>1</v>
      </c>
      <c r="S5407" t="n">
        <v/>
      </c>
      <c r="T5407" t="inlineStr">
        <is>
          <t>14</t>
        </is>
      </c>
      <c r="U5407" t="inlineStr">
        <is>
          <t>1</t>
        </is>
      </c>
      <c r="V5407" t="n">
        <v/>
      </c>
      <c r="W5407" t="n">
        <v/>
      </c>
    </row>
    <row r="5408">
      <c r="A5408" t="inlineStr">
        <is>
          <t>15/01/2026 7:37:08</t>
        </is>
      </c>
      <c r="B5408" t="inlineStr">
        <is>
          <t>Nguyễn Văn Hiệp</t>
        </is>
      </c>
      <c r="C5408" t="inlineStr">
        <is>
          <t>14/01/2026</t>
        </is>
      </c>
      <c r="D5408" t="n">
        <v>1</v>
      </c>
      <c r="E5408" t="n">
        <v>1</v>
      </c>
      <c r="F5408" t="n">
        <v>1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/>
      </c>
      <c r="T5408" t="inlineStr">
        <is>
          <t>14</t>
        </is>
      </c>
      <c r="U5408" t="inlineStr">
        <is>
          <t>1</t>
        </is>
      </c>
      <c r="V5408" t="n">
        <v/>
      </c>
      <c r="W5408" t="n">
        <v/>
      </c>
    </row>
    <row r="5409">
      <c r="A5409" t="inlineStr">
        <is>
          <t>15/01/2026 7:43:55</t>
        </is>
      </c>
      <c r="B5409" t="inlineStr">
        <is>
          <t>Bùi Duy Cường</t>
        </is>
      </c>
      <c r="C5409" t="inlineStr">
        <is>
          <t>13/01/2026</t>
        </is>
      </c>
      <c r="D5409" t="n">
        <v>1</v>
      </c>
      <c r="E5409" t="n">
        <v>0</v>
      </c>
      <c r="F5409" t="n">
        <v>0</v>
      </c>
      <c r="G5409" t="n">
        <v>0</v>
      </c>
      <c r="H5409" t="n">
        <v>0</v>
      </c>
      <c r="I5409" t="n">
        <v>1</v>
      </c>
      <c r="J5409" t="n">
        <v>0</v>
      </c>
      <c r="K5409" t="n">
        <v>15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1</v>
      </c>
      <c r="R5409" t="n">
        <v>0</v>
      </c>
      <c r="S5409" t="n">
        <v/>
      </c>
      <c r="T5409" t="inlineStr">
        <is>
          <t>13</t>
        </is>
      </c>
      <c r="U5409" t="inlineStr">
        <is>
          <t>1</t>
        </is>
      </c>
      <c r="V5409" t="n">
        <v/>
      </c>
      <c r="W5409" t="n">
        <v/>
      </c>
    </row>
    <row r="5410">
      <c r="A5410" t="inlineStr">
        <is>
          <t>15/01/2026 7:44:53</t>
        </is>
      </c>
      <c r="B5410" t="inlineStr">
        <is>
          <t>Bùi Duy Cường</t>
        </is>
      </c>
      <c r="C5410" t="inlineStr">
        <is>
          <t>14/01/2026</t>
        </is>
      </c>
      <c r="D5410" t="n">
        <v>1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15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1</v>
      </c>
      <c r="R5410" t="n">
        <v>3</v>
      </c>
      <c r="S5410" t="n">
        <v/>
      </c>
      <c r="T5410" t="inlineStr">
        <is>
          <t>14</t>
        </is>
      </c>
      <c r="U5410" t="inlineStr">
        <is>
          <t>1</t>
        </is>
      </c>
      <c r="V5410" t="n">
        <v/>
      </c>
      <c r="W5410" t="n">
        <v/>
      </c>
    </row>
    <row r="5411">
      <c r="A5411" t="inlineStr">
        <is>
          <t>15/01/2026 8:12:11</t>
        </is>
      </c>
      <c r="B5411" t="inlineStr">
        <is>
          <t>Nguyễn Hồng Minh</t>
        </is>
      </c>
      <c r="C5411" t="inlineStr">
        <is>
          <t>14/01/2026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1</v>
      </c>
      <c r="L5411" t="n">
        <v>2</v>
      </c>
      <c r="M5411" t="n">
        <v>0</v>
      </c>
      <c r="N5411" t="n">
        <v>1</v>
      </c>
      <c r="O5411" t="n">
        <v>0</v>
      </c>
      <c r="P5411" t="n">
        <v>0</v>
      </c>
      <c r="Q5411" t="n">
        <v>5</v>
      </c>
      <c r="R5411" t="n">
        <v>0</v>
      </c>
      <c r="S5411" t="n">
        <v/>
      </c>
      <c r="T5411" t="inlineStr">
        <is>
          <t>14</t>
        </is>
      </c>
      <c r="U5411" t="inlineStr">
        <is>
          <t>1</t>
        </is>
      </c>
      <c r="V5411" t="n">
        <v/>
      </c>
      <c r="W5411" t="n">
        <v/>
      </c>
    </row>
    <row r="5412">
      <c r="A5412" t="inlineStr">
        <is>
          <t>16/01/2026 6:53:10</t>
        </is>
      </c>
      <c r="B5412" t="inlineStr">
        <is>
          <t>Lương Duy Hoàng</t>
        </is>
      </c>
      <c r="C5412" t="inlineStr">
        <is>
          <t>15/01/2026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6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1</v>
      </c>
      <c r="R5412" t="n">
        <v>0</v>
      </c>
      <c r="S5412" t="n">
        <v/>
      </c>
      <c r="T5412" t="inlineStr">
        <is>
          <t>15</t>
        </is>
      </c>
      <c r="U5412" t="inlineStr">
        <is>
          <t>1</t>
        </is>
      </c>
      <c r="V5412" t="n">
        <v/>
      </c>
      <c r="W5412" t="n">
        <v/>
      </c>
    </row>
    <row r="5413">
      <c r="A5413" t="inlineStr">
        <is>
          <t>16/01/2026 6:59:29</t>
        </is>
      </c>
      <c r="B5413" t="inlineStr">
        <is>
          <t>Vòng Nhật Sang</t>
        </is>
      </c>
      <c r="C5413" t="inlineStr">
        <is>
          <t>15/01/2026</t>
        </is>
      </c>
      <c r="D5413" t="n">
        <v>1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9</v>
      </c>
      <c r="L5413" t="n">
        <v>0</v>
      </c>
      <c r="M5413" t="n">
        <v>5</v>
      </c>
      <c r="N5413" t="n">
        <v>0</v>
      </c>
      <c r="O5413" t="n">
        <v>0</v>
      </c>
      <c r="P5413" t="n">
        <v>2</v>
      </c>
      <c r="Q5413" t="n">
        <v>2</v>
      </c>
      <c r="R5413" t="n">
        <v>0</v>
      </c>
      <c r="S5413" t="n">
        <v/>
      </c>
      <c r="T5413" t="inlineStr">
        <is>
          <t>15</t>
        </is>
      </c>
      <c r="U5413" t="inlineStr">
        <is>
          <t>1</t>
        </is>
      </c>
      <c r="V5413" t="n">
        <v/>
      </c>
      <c r="W5413" t="n">
        <v/>
      </c>
    </row>
    <row r="5414">
      <c r="A5414" t="inlineStr">
        <is>
          <t>16/01/2026 7:00:58</t>
        </is>
      </c>
      <c r="B5414" t="inlineStr">
        <is>
          <t>Nguyễn Quang Anh Tuấn</t>
        </is>
      </c>
      <c r="C5414" t="inlineStr">
        <is>
          <t>15/01/2026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6</v>
      </c>
      <c r="L5414" t="n">
        <v>0</v>
      </c>
      <c r="M5414" t="n">
        <v>0</v>
      </c>
      <c r="N5414" t="n">
        <v>0</v>
      </c>
      <c r="O5414" t="n">
        <v>0</v>
      </c>
      <c r="P5414" t="n">
        <v>1</v>
      </c>
      <c r="Q5414" t="n">
        <v>2</v>
      </c>
      <c r="R5414" t="n">
        <v>0</v>
      </c>
      <c r="S5414" t="n">
        <v/>
      </c>
      <c r="T5414" t="inlineStr">
        <is>
          <t>15</t>
        </is>
      </c>
      <c r="U5414" t="inlineStr">
        <is>
          <t>1</t>
        </is>
      </c>
      <c r="V5414" t="n">
        <v/>
      </c>
      <c r="W5414" t="n">
        <v/>
      </c>
    </row>
    <row r="5415">
      <c r="A5415" t="inlineStr">
        <is>
          <t>16/01/2026 7:07:25</t>
        </is>
      </c>
      <c r="B5415" t="inlineStr">
        <is>
          <t>Huỳnh Văn Lực</t>
        </is>
      </c>
      <c r="C5415" t="inlineStr">
        <is>
          <t>15/01/2026</t>
        </is>
      </c>
      <c r="D5415" t="n">
        <v>2</v>
      </c>
      <c r="E5415" t="n">
        <v>2</v>
      </c>
      <c r="F5415" t="n">
        <v>2</v>
      </c>
      <c r="G5415" t="n">
        <v>0</v>
      </c>
      <c r="H5415" t="n">
        <v>0</v>
      </c>
      <c r="I5415" t="n">
        <v>0</v>
      </c>
      <c r="J5415" t="n">
        <v>0</v>
      </c>
      <c r="K5415" t="n">
        <v>4</v>
      </c>
      <c r="L5415" t="n">
        <v>0</v>
      </c>
      <c r="M5415" t="n">
        <v>0</v>
      </c>
      <c r="N5415" t="n">
        <v>0</v>
      </c>
      <c r="O5415" t="n">
        <v>0</v>
      </c>
      <c r="P5415" t="n">
        <v>1</v>
      </c>
      <c r="Q5415" t="n">
        <v>2</v>
      </c>
      <c r="R5415" t="n">
        <v>0</v>
      </c>
      <c r="S5415" t="n">
        <v/>
      </c>
      <c r="T5415" t="inlineStr">
        <is>
          <t>15</t>
        </is>
      </c>
      <c r="U5415" t="inlineStr">
        <is>
          <t>1</t>
        </is>
      </c>
      <c r="V5415" t="n">
        <v/>
      </c>
      <c r="W5415" t="n">
        <v/>
      </c>
    </row>
    <row r="5416">
      <c r="A5416" t="inlineStr">
        <is>
          <t>16/01/2026 7:08:36</t>
        </is>
      </c>
      <c r="B5416" t="inlineStr">
        <is>
          <t>Dương Minh Tiến</t>
        </is>
      </c>
      <c r="C5416" t="inlineStr">
        <is>
          <t>15/01/2026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10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/>
      </c>
      <c r="T5416" t="inlineStr">
        <is>
          <t>15</t>
        </is>
      </c>
      <c r="U5416" t="inlineStr">
        <is>
          <t>1</t>
        </is>
      </c>
      <c r="V5416" t="n">
        <v/>
      </c>
      <c r="W5416" t="n">
        <v/>
      </c>
    </row>
    <row r="5417">
      <c r="A5417" t="inlineStr">
        <is>
          <t>16/01/2026 7:14:49</t>
        </is>
      </c>
      <c r="B5417" t="inlineStr">
        <is>
          <t>Nguyễn Tuấn Anh</t>
        </is>
      </c>
      <c r="C5417" t="inlineStr">
        <is>
          <t>15/01/2026</t>
        </is>
      </c>
      <c r="D5417" t="n">
        <v>1</v>
      </c>
      <c r="E5417" t="n">
        <v>0</v>
      </c>
      <c r="F5417" t="n">
        <v>0</v>
      </c>
      <c r="G5417" t="n">
        <v>0</v>
      </c>
      <c r="H5417" t="n">
        <v>0</v>
      </c>
      <c r="I5417" t="n">
        <v>2</v>
      </c>
      <c r="J5417" t="n">
        <v>0</v>
      </c>
      <c r="K5417" t="n">
        <v>17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2</v>
      </c>
      <c r="R5417" t="n">
        <v>0</v>
      </c>
      <c r="S5417" t="n">
        <v/>
      </c>
      <c r="T5417" t="inlineStr">
        <is>
          <t>15</t>
        </is>
      </c>
      <c r="U5417" t="inlineStr">
        <is>
          <t>1</t>
        </is>
      </c>
      <c r="V5417" t="n">
        <v/>
      </c>
      <c r="W5417" t="n">
        <v/>
      </c>
    </row>
    <row r="5418">
      <c r="A5418" t="inlineStr">
        <is>
          <t>16/01/2026 7:17:51</t>
        </is>
      </c>
      <c r="B5418" t="inlineStr">
        <is>
          <t>Đặng Hoài Anh</t>
        </is>
      </c>
      <c r="C5418" t="inlineStr">
        <is>
          <t>15/01/2026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4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/>
      </c>
      <c r="T5418" t="inlineStr">
        <is>
          <t>15</t>
        </is>
      </c>
      <c r="U5418" t="inlineStr">
        <is>
          <t>1</t>
        </is>
      </c>
      <c r="V5418" t="n">
        <v/>
      </c>
      <c r="W5418" t="n">
        <v/>
      </c>
    </row>
    <row r="5419">
      <c r="A5419" t="inlineStr">
        <is>
          <t>16/01/2026 7:27:18</t>
        </is>
      </c>
      <c r="B5419" t="inlineStr">
        <is>
          <t>Trần Trung Giang</t>
        </is>
      </c>
      <c r="C5419" t="inlineStr">
        <is>
          <t>15/01/2026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8</v>
      </c>
      <c r="L5419" t="n">
        <v>0</v>
      </c>
      <c r="M5419" t="n">
        <v>0</v>
      </c>
      <c r="N5419" t="n">
        <v>1</v>
      </c>
      <c r="O5419" t="n">
        <v>0</v>
      </c>
      <c r="P5419" t="n">
        <v>0</v>
      </c>
      <c r="Q5419" t="n">
        <v>0</v>
      </c>
      <c r="R5419" t="n">
        <v>0</v>
      </c>
      <c r="S5419" t="n">
        <v/>
      </c>
      <c r="T5419" t="inlineStr">
        <is>
          <t>15</t>
        </is>
      </c>
      <c r="U5419" t="inlineStr">
        <is>
          <t>1</t>
        </is>
      </c>
      <c r="V5419" t="n">
        <v/>
      </c>
      <c r="W5419" t="n">
        <v/>
      </c>
    </row>
    <row r="5420">
      <c r="A5420" t="inlineStr">
        <is>
          <t>16/01/2026 7:30:01</t>
        </is>
      </c>
      <c r="B5420" t="inlineStr">
        <is>
          <t>Nguyễn Văn Hiệp</t>
        </is>
      </c>
      <c r="C5420" t="inlineStr">
        <is>
          <t>15/01/2025</t>
        </is>
      </c>
      <c r="D5420" t="n">
        <v>2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4</v>
      </c>
      <c r="L5420" t="n">
        <v>0</v>
      </c>
      <c r="M5420" t="n">
        <v>2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/>
      </c>
      <c r="T5420" t="inlineStr">
        <is>
          <t>15</t>
        </is>
      </c>
      <c r="U5420" t="inlineStr">
        <is>
          <t>1</t>
        </is>
      </c>
      <c r="V5420" t="n">
        <v/>
      </c>
      <c r="W5420" t="n">
        <v/>
      </c>
    </row>
    <row r="5421">
      <c r="A5421" t="inlineStr">
        <is>
          <t>16/01/2026 7:41:01</t>
        </is>
      </c>
      <c r="B5421" t="inlineStr">
        <is>
          <t>Nguyễn Hồng Minh</t>
        </is>
      </c>
      <c r="C5421" t="inlineStr">
        <is>
          <t>15/01/2026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15</v>
      </c>
      <c r="L5421" t="n">
        <v>0</v>
      </c>
      <c r="M5421" t="n">
        <v>0</v>
      </c>
      <c r="N5421" t="n">
        <v>0</v>
      </c>
      <c r="O5421" t="n">
        <v>0</v>
      </c>
      <c r="P5421" t="n">
        <v>2</v>
      </c>
      <c r="Q5421" t="n">
        <v>5</v>
      </c>
      <c r="R5421" t="n">
        <v>0</v>
      </c>
      <c r="S5421" t="n">
        <v/>
      </c>
      <c r="T5421" t="inlineStr">
        <is>
          <t>15</t>
        </is>
      </c>
      <c r="U5421" t="inlineStr">
        <is>
          <t>1</t>
        </is>
      </c>
      <c r="V5421" t="n">
        <v/>
      </c>
      <c r="W5421" t="n">
        <v/>
      </c>
    </row>
    <row r="5422">
      <c r="A5422" t="inlineStr">
        <is>
          <t>16/01/2026 8:07:15</t>
        </is>
      </c>
      <c r="B5422" t="inlineStr">
        <is>
          <t>Lê Hồng Phong</t>
        </is>
      </c>
      <c r="C5422" t="inlineStr">
        <is>
          <t>16/01/2026</t>
        </is>
      </c>
      <c r="D5422" t="n">
        <v>1</v>
      </c>
      <c r="E5422" t="n">
        <v>1</v>
      </c>
      <c r="F5422" t="n">
        <v>1</v>
      </c>
      <c r="G5422" t="n">
        <v>1</v>
      </c>
      <c r="H5422" t="n">
        <v>1</v>
      </c>
      <c r="I5422" t="n">
        <v>1</v>
      </c>
      <c r="J5422" t="n">
        <v>1</v>
      </c>
      <c r="K5422" t="n">
        <v>1</v>
      </c>
      <c r="L5422" t="n">
        <v>1</v>
      </c>
      <c r="M5422" t="n">
        <v>1</v>
      </c>
      <c r="N5422" t="n">
        <v>1</v>
      </c>
      <c r="O5422" t="n">
        <v>1</v>
      </c>
      <c r="P5422" t="n">
        <v>1</v>
      </c>
      <c r="Q5422" t="n">
        <v>1</v>
      </c>
      <c r="R5422" t="n">
        <v>1</v>
      </c>
      <c r="S5422" t="n">
        <v/>
      </c>
      <c r="T5422" t="inlineStr">
        <is>
          <t>16</t>
        </is>
      </c>
      <c r="U5422" t="inlineStr">
        <is>
          <t>1</t>
        </is>
      </c>
      <c r="V5422" t="n">
        <v/>
      </c>
      <c r="W5422" t="n">
        <v/>
      </c>
    </row>
    <row r="5423">
      <c r="A5423" t="inlineStr">
        <is>
          <t>16/01/2026 8:07:21</t>
        </is>
      </c>
      <c r="B5423" t="inlineStr">
        <is>
          <t>Trần Xuân Khoa</t>
        </is>
      </c>
      <c r="C5423" t="inlineStr">
        <is>
          <t>15/01/2026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8</v>
      </c>
      <c r="L5423" t="n">
        <v>0</v>
      </c>
      <c r="M5423" t="n">
        <v>0</v>
      </c>
      <c r="N5423" t="n">
        <v>0</v>
      </c>
      <c r="O5423" t="n">
        <v>0</v>
      </c>
      <c r="P5423" t="n">
        <v>1</v>
      </c>
      <c r="Q5423" t="n">
        <v>2</v>
      </c>
      <c r="R5423" t="n">
        <v>0</v>
      </c>
      <c r="S5423" t="n">
        <v/>
      </c>
      <c r="T5423" t="inlineStr">
        <is>
          <t>15</t>
        </is>
      </c>
      <c r="U5423" t="inlineStr">
        <is>
          <t>1</t>
        </is>
      </c>
      <c r="V5423" t="n">
        <v/>
      </c>
      <c r="W5423" t="n">
        <v/>
      </c>
    </row>
    <row r="5424">
      <c r="A5424" t="inlineStr">
        <is>
          <t>17/01/2026 6:23:21</t>
        </is>
      </c>
      <c r="B5424" t="inlineStr">
        <is>
          <t>Trần Xuân Khoa</t>
        </is>
      </c>
      <c r="C5424" t="inlineStr">
        <is>
          <t>16/01/2026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8</v>
      </c>
      <c r="L5424" t="n">
        <v>7</v>
      </c>
      <c r="M5424" t="n">
        <v>0</v>
      </c>
      <c r="N5424" t="n">
        <v>0</v>
      </c>
      <c r="O5424" t="n">
        <v>0</v>
      </c>
      <c r="P5424" t="n">
        <v>1</v>
      </c>
      <c r="Q5424" t="n">
        <v>3</v>
      </c>
      <c r="R5424" t="n">
        <v>0</v>
      </c>
      <c r="S5424" t="n">
        <v/>
      </c>
      <c r="T5424" t="inlineStr">
        <is>
          <t>16</t>
        </is>
      </c>
      <c r="U5424" t="inlineStr">
        <is>
          <t>1</t>
        </is>
      </c>
      <c r="V5424" t="n">
        <v/>
      </c>
      <c r="W5424" t="n">
        <v/>
      </c>
    </row>
    <row r="5425">
      <c r="A5425" t="inlineStr">
        <is>
          <t>17/01/2026 7:02:32</t>
        </is>
      </c>
      <c r="B5425" t="inlineStr">
        <is>
          <t>Vòng Nhật Sang</t>
        </is>
      </c>
      <c r="C5425" t="inlineStr">
        <is>
          <t>16/01/2026</t>
        </is>
      </c>
      <c r="D5425" t="n">
        <v>1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2</v>
      </c>
      <c r="L5425" t="n">
        <v>0</v>
      </c>
      <c r="M5425" t="n">
        <v>1</v>
      </c>
      <c r="N5425" t="n">
        <v>0</v>
      </c>
      <c r="O5425" t="n">
        <v>0</v>
      </c>
      <c r="P5425" t="n">
        <v>2</v>
      </c>
      <c r="Q5425" t="n">
        <v>2</v>
      </c>
      <c r="R5425" t="n">
        <v>0</v>
      </c>
      <c r="S5425" t="n">
        <v/>
      </c>
      <c r="T5425" t="inlineStr">
        <is>
          <t>16</t>
        </is>
      </c>
      <c r="U5425" t="inlineStr">
        <is>
          <t>1</t>
        </is>
      </c>
      <c r="V5425" t="n">
        <v/>
      </c>
      <c r="W5425" t="n">
        <v/>
      </c>
    </row>
    <row r="5426">
      <c r="A5426" t="inlineStr">
        <is>
          <t>17/01/2026 7:15:14</t>
        </is>
      </c>
      <c r="B5426" t="inlineStr">
        <is>
          <t>Nguyễn Tuấn Anh</t>
        </is>
      </c>
      <c r="C5426" t="inlineStr">
        <is>
          <t>17/01/2026</t>
        </is>
      </c>
      <c r="D5426" t="n">
        <v>1</v>
      </c>
      <c r="E5426" t="n">
        <v>0</v>
      </c>
      <c r="F5426" t="n">
        <v>0</v>
      </c>
      <c r="G5426" t="n">
        <v>0</v>
      </c>
      <c r="H5426" t="n">
        <v>0</v>
      </c>
      <c r="I5426" t="n">
        <v>2</v>
      </c>
      <c r="J5426" t="n">
        <v>0</v>
      </c>
      <c r="K5426" t="n">
        <v>2</v>
      </c>
      <c r="L5426" t="n">
        <v>0</v>
      </c>
      <c r="M5426" t="n">
        <v>0</v>
      </c>
      <c r="N5426" t="n">
        <v>1</v>
      </c>
      <c r="O5426" t="n">
        <v>0</v>
      </c>
      <c r="P5426" t="n">
        <v>0</v>
      </c>
      <c r="Q5426" t="n">
        <v>2</v>
      </c>
      <c r="R5426" t="n">
        <v>0</v>
      </c>
      <c r="S5426" t="n">
        <v/>
      </c>
      <c r="T5426" t="inlineStr">
        <is>
          <t>17</t>
        </is>
      </c>
      <c r="U5426" t="inlineStr">
        <is>
          <t>1</t>
        </is>
      </c>
      <c r="V5426" t="n">
        <v/>
      </c>
      <c r="W5426" t="n">
        <v/>
      </c>
    </row>
    <row r="5427">
      <c r="A5427" t="inlineStr">
        <is>
          <t>17/01/2026 7:15:54</t>
        </is>
      </c>
      <c r="B5427" t="inlineStr">
        <is>
          <t>Đặng Hoài Anh</t>
        </is>
      </c>
      <c r="C5427" t="inlineStr">
        <is>
          <t>16/01/2026</t>
        </is>
      </c>
      <c r="D5427" t="n">
        <v>0</v>
      </c>
      <c r="E5427" t="n">
        <v>1</v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8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/>
      </c>
      <c r="T5427" t="inlineStr">
        <is>
          <t>16</t>
        </is>
      </c>
      <c r="U5427" t="inlineStr">
        <is>
          <t>1</t>
        </is>
      </c>
      <c r="V5427" t="n">
        <v/>
      </c>
      <c r="W5427" t="n">
        <v/>
      </c>
    </row>
    <row r="5428">
      <c r="A5428" t="inlineStr">
        <is>
          <t>17/01/2026 7:18:00</t>
        </is>
      </c>
      <c r="B5428" t="inlineStr">
        <is>
          <t>Nguyễn Văn Hiệp</t>
        </is>
      </c>
      <c r="C5428" t="inlineStr">
        <is>
          <t>16/01/2026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5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/>
      </c>
      <c r="T5428" t="inlineStr">
        <is>
          <t>16</t>
        </is>
      </c>
      <c r="U5428" t="inlineStr">
        <is>
          <t>1</t>
        </is>
      </c>
      <c r="V5428" t="n">
        <v/>
      </c>
      <c r="W5428" t="n">
        <v/>
      </c>
    </row>
    <row r="5429">
      <c r="A5429" t="inlineStr">
        <is>
          <t>17/01/2026 7:25:25</t>
        </is>
      </c>
      <c r="B5429" t="inlineStr">
        <is>
          <t>Huỳnh Văn Lực</t>
        </is>
      </c>
      <c r="C5429" t="inlineStr">
        <is>
          <t>16/01/2026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2</v>
      </c>
      <c r="L5429" t="n">
        <v>0</v>
      </c>
      <c r="M5429" t="n">
        <v>2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/>
      </c>
      <c r="T5429" t="inlineStr">
        <is>
          <t>16</t>
        </is>
      </c>
      <c r="U5429" t="inlineStr">
        <is>
          <t>1</t>
        </is>
      </c>
      <c r="V5429" t="n">
        <v/>
      </c>
      <c r="W5429" t="n">
        <v/>
      </c>
    </row>
    <row r="5430">
      <c r="A5430" t="inlineStr">
        <is>
          <t>17/01/2026 7:39:45</t>
        </is>
      </c>
      <c r="B5430" t="inlineStr">
        <is>
          <t>Nguyễn Quang Anh Tuấn</t>
        </is>
      </c>
      <c r="C5430" t="inlineStr">
        <is>
          <t>16/01/2026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5</v>
      </c>
      <c r="L5430" t="n">
        <v>0</v>
      </c>
      <c r="M5430" t="n">
        <v>2</v>
      </c>
      <c r="N5430" t="n">
        <v>0</v>
      </c>
      <c r="O5430" t="n">
        <v>0</v>
      </c>
      <c r="P5430" t="n">
        <v>1</v>
      </c>
      <c r="Q5430" t="n">
        <v>1</v>
      </c>
      <c r="R5430" t="n">
        <v>0</v>
      </c>
      <c r="S5430" t="n">
        <v/>
      </c>
      <c r="T5430" t="inlineStr">
        <is>
          <t>16</t>
        </is>
      </c>
      <c r="U5430" t="inlineStr">
        <is>
          <t>1</t>
        </is>
      </c>
      <c r="V5430" t="n">
        <v/>
      </c>
      <c r="W5430" t="n">
        <v/>
      </c>
    </row>
    <row r="5431">
      <c r="A5431" t="inlineStr">
        <is>
          <t>17/01/2026 7:50:48</t>
        </is>
      </c>
      <c r="B5431" t="inlineStr">
        <is>
          <t>Trần Trung Giang</t>
        </is>
      </c>
      <c r="C5431" t="inlineStr">
        <is>
          <t>17/01/2026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4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2</v>
      </c>
      <c r="R5431" t="n">
        <v>0</v>
      </c>
      <c r="S5431" t="n">
        <v/>
      </c>
      <c r="T5431" t="inlineStr">
        <is>
          <t>17</t>
        </is>
      </c>
      <c r="U5431" t="inlineStr">
        <is>
          <t>1</t>
        </is>
      </c>
      <c r="V5431" t="n">
        <v/>
      </c>
      <c r="W5431" t="n">
        <v/>
      </c>
    </row>
    <row r="5432">
      <c r="A5432" t="inlineStr">
        <is>
          <t>17/01/2026 7:56:23</t>
        </is>
      </c>
      <c r="B5432" t="inlineStr">
        <is>
          <t>Lương Duy Hoàng</t>
        </is>
      </c>
      <c r="C5432" t="inlineStr">
        <is>
          <t>16/01/2026</t>
        </is>
      </c>
      <c r="D5432" t="n">
        <v>0</v>
      </c>
      <c r="E5432" t="n">
        <v>0</v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6</v>
      </c>
      <c r="L5432" t="n">
        <v>0</v>
      </c>
      <c r="M5432" t="n">
        <v>0</v>
      </c>
      <c r="N5432" t="n">
        <v>0</v>
      </c>
      <c r="O5432" t="n">
        <v>0</v>
      </c>
      <c r="P5432" t="n">
        <v>1</v>
      </c>
      <c r="Q5432" t="n">
        <v>1</v>
      </c>
      <c r="R5432" t="n">
        <v>0</v>
      </c>
      <c r="S5432" t="n">
        <v/>
      </c>
      <c r="T5432" t="inlineStr">
        <is>
          <t>16</t>
        </is>
      </c>
      <c r="U5432" t="inlineStr">
        <is>
          <t>1</t>
        </is>
      </c>
      <c r="V5432" t="n">
        <v/>
      </c>
      <c r="W5432" t="n">
        <v/>
      </c>
    </row>
    <row r="5433">
      <c r="A5433" t="inlineStr">
        <is>
          <t>17/01/2026 7:59:08</t>
        </is>
      </c>
      <c r="B5433" t="inlineStr">
        <is>
          <t>Nguyễn Hồng Minh</t>
        </is>
      </c>
      <c r="C5433" t="inlineStr">
        <is>
          <t>16/01/2026</t>
        </is>
      </c>
      <c r="D5433" t="n">
        <v>1</v>
      </c>
      <c r="E5433" t="n">
        <v>1</v>
      </c>
      <c r="F5433" t="n">
        <v>1</v>
      </c>
      <c r="G5433" t="n">
        <v>0</v>
      </c>
      <c r="H5433" t="n">
        <v>0</v>
      </c>
      <c r="I5433" t="n">
        <v>0</v>
      </c>
      <c r="J5433" t="n">
        <v>0</v>
      </c>
      <c r="K5433" t="n">
        <v>10</v>
      </c>
      <c r="L5433" t="n">
        <v>2</v>
      </c>
      <c r="M5433" t="n">
        <v>1</v>
      </c>
      <c r="N5433" t="n">
        <v>0</v>
      </c>
      <c r="O5433" t="n">
        <v>0</v>
      </c>
      <c r="P5433" t="n">
        <v>0</v>
      </c>
      <c r="Q5433" t="n">
        <v>4</v>
      </c>
      <c r="R5433" t="n">
        <v>0</v>
      </c>
      <c r="S5433" t="n">
        <v/>
      </c>
      <c r="T5433" t="inlineStr">
        <is>
          <t>16</t>
        </is>
      </c>
      <c r="U5433" t="inlineStr">
        <is>
          <t>1</t>
        </is>
      </c>
      <c r="V5433" t="n">
        <v/>
      </c>
      <c r="W5433" t="n">
        <v/>
      </c>
    </row>
    <row r="5434">
      <c r="A5434" t="inlineStr">
        <is>
          <t>17/01/2026 8:56:15</t>
        </is>
      </c>
      <c r="B5434" t="inlineStr">
        <is>
          <t>Lê Hồng Phong</t>
        </is>
      </c>
      <c r="C5434" t="inlineStr">
        <is>
          <t>17/01/2026</t>
        </is>
      </c>
      <c r="D5434" t="n">
        <v>1</v>
      </c>
      <c r="E5434" t="n">
        <v>1</v>
      </c>
      <c r="F5434" t="n">
        <v>1</v>
      </c>
      <c r="G5434" t="n">
        <v>1</v>
      </c>
      <c r="H5434" t="n">
        <v>1</v>
      </c>
      <c r="I5434" t="n">
        <v>1</v>
      </c>
      <c r="J5434" t="n">
        <v>1</v>
      </c>
      <c r="K5434" t="n">
        <v>1</v>
      </c>
      <c r="L5434" t="n">
        <v>1</v>
      </c>
      <c r="M5434" t="n">
        <v>1</v>
      </c>
      <c r="N5434" t="n">
        <v>1</v>
      </c>
      <c r="O5434" t="n">
        <v>1</v>
      </c>
      <c r="P5434" t="n">
        <v>1</v>
      </c>
      <c r="Q5434" t="n">
        <v>1</v>
      </c>
      <c r="R5434" t="n">
        <v>1</v>
      </c>
      <c r="S5434" t="n">
        <v/>
      </c>
      <c r="T5434" t="inlineStr">
        <is>
          <t>17</t>
        </is>
      </c>
      <c r="U5434" t="inlineStr">
        <is>
          <t>1</t>
        </is>
      </c>
      <c r="V5434" t="n">
        <v/>
      </c>
      <c r="W5434" t="n">
        <v/>
      </c>
    </row>
    <row r="5435">
      <c r="A5435" t="inlineStr">
        <is>
          <t>18/01/2026 6:45:14</t>
        </is>
      </c>
      <c r="B5435" t="inlineStr">
        <is>
          <t>Lê Hồng Phong</t>
        </is>
      </c>
      <c r="C5435" t="inlineStr">
        <is>
          <t>18/01/2026</t>
        </is>
      </c>
      <c r="D5435" t="n">
        <v>1</v>
      </c>
      <c r="E5435" t="n">
        <v>1</v>
      </c>
      <c r="F5435" t="n">
        <v>1</v>
      </c>
      <c r="G5435" t="n">
        <v>1</v>
      </c>
      <c r="H5435" t="n">
        <v>1</v>
      </c>
      <c r="I5435" t="n">
        <v>1</v>
      </c>
      <c r="J5435" t="n">
        <v>1</v>
      </c>
      <c r="K5435" t="n">
        <v>1</v>
      </c>
      <c r="L5435" t="n">
        <v>1</v>
      </c>
      <c r="M5435" t="n">
        <v>1</v>
      </c>
      <c r="N5435" t="n">
        <v>1</v>
      </c>
      <c r="O5435" t="n">
        <v>1</v>
      </c>
      <c r="P5435" t="n">
        <v>1</v>
      </c>
      <c r="Q5435" t="n">
        <v>1</v>
      </c>
      <c r="R5435" t="n">
        <v>1</v>
      </c>
      <c r="S5435" t="n">
        <v/>
      </c>
      <c r="T5435" t="inlineStr">
        <is>
          <t>18</t>
        </is>
      </c>
      <c r="U5435" t="inlineStr">
        <is>
          <t>1</t>
        </is>
      </c>
      <c r="V5435" t="n">
        <v/>
      </c>
      <c r="W5435" t="n">
        <v/>
      </c>
    </row>
    <row r="5436">
      <c r="A5436" t="inlineStr">
        <is>
          <t>18/01/2026 6:46:50</t>
        </is>
      </c>
      <c r="B5436" t="inlineStr">
        <is>
          <t>Phan Ngọc Sang</t>
        </is>
      </c>
      <c r="C5436" t="inlineStr">
        <is>
          <t>16/01/2026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2</v>
      </c>
      <c r="J5436" t="n">
        <v>0</v>
      </c>
      <c r="K5436" t="n">
        <v>13</v>
      </c>
      <c r="L5436" t="n">
        <v>2</v>
      </c>
      <c r="M5436" t="n">
        <v>1</v>
      </c>
      <c r="N5436" t="n">
        <v>1</v>
      </c>
      <c r="O5436" t="n">
        <v>0</v>
      </c>
      <c r="P5436" t="n">
        <v>0</v>
      </c>
      <c r="Q5436" t="n">
        <v>2</v>
      </c>
      <c r="R5436" t="n">
        <v>0</v>
      </c>
      <c r="S5436" t="n">
        <v/>
      </c>
      <c r="T5436" t="inlineStr">
        <is>
          <t>16</t>
        </is>
      </c>
      <c r="U5436" t="inlineStr">
        <is>
          <t>1</t>
        </is>
      </c>
      <c r="V5436" t="n">
        <v/>
      </c>
      <c r="W5436" t="n">
        <v/>
      </c>
    </row>
    <row r="5437">
      <c r="A5437" t="inlineStr">
        <is>
          <t>18/01/2026 6:47:43</t>
        </is>
      </c>
      <c r="B5437" t="inlineStr">
        <is>
          <t>Phan Ngọc Sang</t>
        </is>
      </c>
      <c r="C5437" t="inlineStr">
        <is>
          <t>17/01/2026</t>
        </is>
      </c>
      <c r="D5437" t="n">
        <v>1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9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/>
      </c>
      <c r="T5437" t="inlineStr">
        <is>
          <t>17</t>
        </is>
      </c>
      <c r="U5437" t="inlineStr">
        <is>
          <t>1</t>
        </is>
      </c>
      <c r="V5437" t="n">
        <v/>
      </c>
      <c r="W5437" t="n">
        <v/>
      </c>
    </row>
    <row r="5438">
      <c r="A5438" t="inlineStr">
        <is>
          <t>18/01/2026 6:49:08</t>
        </is>
      </c>
      <c r="B5438" t="inlineStr">
        <is>
          <t>Lương Duy Hoàng</t>
        </is>
      </c>
      <c r="C5438" t="inlineStr">
        <is>
          <t>17/01/2026</t>
        </is>
      </c>
      <c r="D5438" t="n">
        <v>0</v>
      </c>
      <c r="E5438" t="n">
        <v>0</v>
      </c>
      <c r="F5438" t="n">
        <v>0</v>
      </c>
      <c r="G5438" t="n">
        <v>1</v>
      </c>
      <c r="H5438" t="n">
        <v>0</v>
      </c>
      <c r="I5438" t="n">
        <v>6</v>
      </c>
      <c r="J5438" t="n">
        <v>0</v>
      </c>
      <c r="K5438" t="n">
        <v>3</v>
      </c>
      <c r="L5438" t="n">
        <v>0</v>
      </c>
      <c r="M5438" t="n">
        <v>0</v>
      </c>
      <c r="N5438" t="n">
        <v>1</v>
      </c>
      <c r="O5438" t="n">
        <v>0</v>
      </c>
      <c r="P5438" t="n">
        <v>0</v>
      </c>
      <c r="Q5438" t="n">
        <v>0</v>
      </c>
      <c r="R5438" t="n">
        <v>0</v>
      </c>
      <c r="S5438" t="n">
        <v/>
      </c>
      <c r="T5438" t="inlineStr">
        <is>
          <t>17</t>
        </is>
      </c>
      <c r="U5438" t="inlineStr">
        <is>
          <t>1</t>
        </is>
      </c>
      <c r="V5438" t="n">
        <v/>
      </c>
      <c r="W5438" t="n">
        <v/>
      </c>
    </row>
    <row r="5439">
      <c r="A5439" t="inlineStr">
        <is>
          <t>18/01/2026 6:49:19</t>
        </is>
      </c>
      <c r="B5439" t="inlineStr">
        <is>
          <t>Vòng Nhật Sang</t>
        </is>
      </c>
      <c r="C5439" t="inlineStr">
        <is>
          <t>17/01/2026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3</v>
      </c>
      <c r="L5439" t="n">
        <v>0</v>
      </c>
      <c r="M5439" t="n">
        <v>0</v>
      </c>
      <c r="N5439" t="n">
        <v>0</v>
      </c>
      <c r="O5439" t="n">
        <v>0</v>
      </c>
      <c r="P5439" t="n">
        <v>2</v>
      </c>
      <c r="Q5439" t="n">
        <v>2</v>
      </c>
      <c r="R5439" t="n">
        <v>0</v>
      </c>
      <c r="S5439" t="n">
        <v/>
      </c>
      <c r="T5439" t="inlineStr">
        <is>
          <t>17</t>
        </is>
      </c>
      <c r="U5439" t="inlineStr">
        <is>
          <t>1</t>
        </is>
      </c>
      <c r="V5439" t="n">
        <v/>
      </c>
      <c r="W5439" t="n">
        <v/>
      </c>
    </row>
    <row r="5440">
      <c r="A5440" t="inlineStr">
        <is>
          <t>18/01/2026 7:17:39</t>
        </is>
      </c>
      <c r="B5440" t="inlineStr">
        <is>
          <t>Trần Trung Giang</t>
        </is>
      </c>
      <c r="C5440" t="inlineStr">
        <is>
          <t>17/01/2026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3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/>
      </c>
      <c r="T5440" t="inlineStr">
        <is>
          <t>17</t>
        </is>
      </c>
      <c r="U5440" t="inlineStr">
        <is>
          <t>1</t>
        </is>
      </c>
      <c r="V5440" t="n">
        <v/>
      </c>
      <c r="W5440" t="n">
        <v/>
      </c>
    </row>
    <row r="5441">
      <c r="A5441" t="inlineStr">
        <is>
          <t>18/01/2026 7:20:52</t>
        </is>
      </c>
      <c r="B5441" t="inlineStr">
        <is>
          <t>Nguyễn Văn Hiệp</t>
        </is>
      </c>
      <c r="C5441" t="inlineStr">
        <is>
          <t>17/01/2026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1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/>
      </c>
      <c r="T5441" t="inlineStr">
        <is>
          <t>17</t>
        </is>
      </c>
      <c r="U5441" t="inlineStr">
        <is>
          <t>1</t>
        </is>
      </c>
      <c r="V5441" t="n">
        <v/>
      </c>
      <c r="W5441" t="n">
        <v/>
      </c>
    </row>
    <row r="5442">
      <c r="A5442" t="inlineStr">
        <is>
          <t>18/01/2026 7:22:02</t>
        </is>
      </c>
      <c r="B5442" t="inlineStr">
        <is>
          <t>Nguyễn Tuấn Anh</t>
        </is>
      </c>
      <c r="C5442" t="inlineStr">
        <is>
          <t>17/01/2026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2</v>
      </c>
      <c r="J5442" t="n">
        <v>0</v>
      </c>
      <c r="K5442" t="n">
        <v>4</v>
      </c>
      <c r="L5442" t="n">
        <v>0</v>
      </c>
      <c r="M5442" t="n">
        <v>0</v>
      </c>
      <c r="N5442" t="n">
        <v>0</v>
      </c>
      <c r="O5442" t="n">
        <v>0</v>
      </c>
      <c r="P5442" t="n">
        <v>1</v>
      </c>
      <c r="Q5442" t="n">
        <v>2</v>
      </c>
      <c r="R5442" t="n">
        <v>0</v>
      </c>
      <c r="S5442" t="n">
        <v/>
      </c>
      <c r="T5442" t="inlineStr">
        <is>
          <t>17</t>
        </is>
      </c>
      <c r="U5442" t="inlineStr">
        <is>
          <t>1</t>
        </is>
      </c>
      <c r="V5442" t="n">
        <v/>
      </c>
      <c r="W5442" t="n">
        <v/>
      </c>
    </row>
    <row r="5443">
      <c r="A5443" t="inlineStr">
        <is>
          <t>18/01/2026 7:22:33</t>
        </is>
      </c>
      <c r="B5443" t="inlineStr">
        <is>
          <t>Huỳnh Văn Lực</t>
        </is>
      </c>
      <c r="C5443" t="inlineStr">
        <is>
          <t>17/01/2026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4</v>
      </c>
      <c r="L5443" t="n">
        <v>0</v>
      </c>
      <c r="M5443" t="n">
        <v>2</v>
      </c>
      <c r="N5443" t="n">
        <v>0</v>
      </c>
      <c r="O5443" t="n">
        <v>0</v>
      </c>
      <c r="P5443" t="n">
        <v>1</v>
      </c>
      <c r="Q5443" t="n">
        <v>0</v>
      </c>
      <c r="R5443" t="n">
        <v>0</v>
      </c>
      <c r="S5443" t="n">
        <v/>
      </c>
      <c r="T5443" t="inlineStr">
        <is>
          <t>17</t>
        </is>
      </c>
      <c r="U5443" t="inlineStr">
        <is>
          <t>1</t>
        </is>
      </c>
      <c r="V5443" t="n">
        <v/>
      </c>
      <c r="W5443" t="n">
        <v/>
      </c>
    </row>
    <row r="5444">
      <c r="A5444" t="inlineStr">
        <is>
          <t>18/01/2026 7:25:44</t>
        </is>
      </c>
      <c r="B5444" t="inlineStr">
        <is>
          <t>Trần Xuân Khoa</t>
        </is>
      </c>
      <c r="C5444" t="inlineStr">
        <is>
          <t>17/01/2026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7</v>
      </c>
      <c r="L5444" t="n">
        <v>0</v>
      </c>
      <c r="M5444" t="n">
        <v>0</v>
      </c>
      <c r="N5444" t="n">
        <v>0</v>
      </c>
      <c r="O5444" t="n">
        <v>0</v>
      </c>
      <c r="P5444" t="n">
        <v>1</v>
      </c>
      <c r="Q5444" t="n">
        <v>2</v>
      </c>
      <c r="R5444" t="n">
        <v>0</v>
      </c>
      <c r="S5444" t="n">
        <v/>
      </c>
      <c r="T5444" t="inlineStr">
        <is>
          <t>17</t>
        </is>
      </c>
      <c r="U5444" t="inlineStr">
        <is>
          <t>1</t>
        </is>
      </c>
      <c r="V5444" t="n">
        <v/>
      </c>
      <c r="W5444" t="n">
        <v/>
      </c>
    </row>
    <row r="5445">
      <c r="A5445" t="inlineStr">
        <is>
          <t>18/01/2026 7:29:05</t>
        </is>
      </c>
      <c r="B5445" t="inlineStr">
        <is>
          <t>Nguyễn Quang Anh Tuấn</t>
        </is>
      </c>
      <c r="C5445" t="inlineStr">
        <is>
          <t>17/01/2026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8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/>
      </c>
      <c r="T5445" t="inlineStr">
        <is>
          <t>17</t>
        </is>
      </c>
      <c r="U5445" t="inlineStr">
        <is>
          <t>1</t>
        </is>
      </c>
      <c r="V5445" t="n">
        <v/>
      </c>
      <c r="W5445" t="n">
        <v/>
      </c>
    </row>
    <row r="5446">
      <c r="A5446" t="inlineStr">
        <is>
          <t>18/01/2026 7:48:21</t>
        </is>
      </c>
      <c r="B5446" t="inlineStr">
        <is>
          <t>Đặng Hoài Anh</t>
        </is>
      </c>
      <c r="C5446" t="inlineStr">
        <is>
          <t>17/01/2026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6</v>
      </c>
      <c r="J5446" t="n">
        <v>0</v>
      </c>
      <c r="K5446" t="n">
        <v>4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/>
      </c>
      <c r="T5446" t="inlineStr">
        <is>
          <t>17</t>
        </is>
      </c>
      <c r="U5446" t="inlineStr">
        <is>
          <t>1</t>
        </is>
      </c>
      <c r="V5446" t="n">
        <v/>
      </c>
      <c r="W5446" t="n">
        <v/>
      </c>
    </row>
    <row r="5447">
      <c r="A5447" t="inlineStr">
        <is>
          <t>18/01/2026 9:30:12</t>
        </is>
      </c>
      <c r="B5447" t="inlineStr">
        <is>
          <t>Nguyễn Hồng Minh</t>
        </is>
      </c>
      <c r="C5447" t="inlineStr">
        <is>
          <t>17/01/2026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10</v>
      </c>
      <c r="L5447" t="n">
        <v>0</v>
      </c>
      <c r="M5447" t="n">
        <v>1</v>
      </c>
      <c r="N5447" t="n">
        <v>1</v>
      </c>
      <c r="O5447" t="n">
        <v>0</v>
      </c>
      <c r="P5447" t="n">
        <v>0</v>
      </c>
      <c r="Q5447" t="n">
        <v>6</v>
      </c>
      <c r="R5447" t="n">
        <v>0</v>
      </c>
      <c r="S5447" t="n">
        <v/>
      </c>
      <c r="T5447" t="inlineStr">
        <is>
          <t>17</t>
        </is>
      </c>
      <c r="U5447" t="inlineStr">
        <is>
          <t>1</t>
        </is>
      </c>
      <c r="V5447" t="n">
        <v/>
      </c>
      <c r="W5447" t="n">
        <v/>
      </c>
    </row>
    <row r="5448">
      <c r="A5448" t="inlineStr">
        <is>
          <t>18/01/2026 22:12:56</t>
        </is>
      </c>
      <c r="B5448" t="inlineStr">
        <is>
          <t>Trần Minh Khánh</t>
        </is>
      </c>
      <c r="C5448" t="inlineStr">
        <is>
          <t>18/01/2026</t>
        </is>
      </c>
      <c r="D5448" t="n">
        <v>1</v>
      </c>
      <c r="E5448" t="n">
        <v>1</v>
      </c>
      <c r="F5448" t="n">
        <v>1</v>
      </c>
      <c r="G5448" t="n">
        <v>0</v>
      </c>
      <c r="H5448" t="n">
        <v>0</v>
      </c>
      <c r="I5448" t="n">
        <v>1</v>
      </c>
      <c r="J5448" t="n">
        <v>0</v>
      </c>
      <c r="K5448" t="n">
        <v>20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2</v>
      </c>
      <c r="R5448" t="n">
        <v>0</v>
      </c>
      <c r="S5448" t="n">
        <v/>
      </c>
      <c r="T5448" t="inlineStr">
        <is>
          <t>18</t>
        </is>
      </c>
      <c r="U5448" t="inlineStr">
        <is>
          <t>1</t>
        </is>
      </c>
      <c r="V5448" t="n">
        <v/>
      </c>
      <c r="W5448" t="n">
        <v/>
      </c>
    </row>
    <row r="5449">
      <c r="A5449" t="inlineStr">
        <is>
          <t>19/01/2026 6:49:49</t>
        </is>
      </c>
      <c r="B5449" t="inlineStr">
        <is>
          <t>Lương Duy Hoàng</t>
        </is>
      </c>
      <c r="C5449" t="inlineStr">
        <is>
          <t>18/01/2026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2</v>
      </c>
      <c r="J5449" t="n">
        <v>0</v>
      </c>
      <c r="K5449" t="n">
        <v>3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/>
      </c>
      <c r="T5449" t="inlineStr">
        <is>
          <t>18</t>
        </is>
      </c>
      <c r="U5449" t="inlineStr">
        <is>
          <t>1</t>
        </is>
      </c>
      <c r="V5449" t="n">
        <v/>
      </c>
      <c r="W5449" t="n">
        <v/>
      </c>
    </row>
    <row r="5450">
      <c r="A5450" t="inlineStr">
        <is>
          <t>19/01/2026 6:58:16</t>
        </is>
      </c>
      <c r="B5450" t="inlineStr">
        <is>
          <t>Nguyễn Văn Hiệp</t>
        </is>
      </c>
      <c r="C5450" t="inlineStr">
        <is>
          <t>18/01/2026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2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/>
      </c>
      <c r="T5450" t="inlineStr">
        <is>
          <t>18</t>
        </is>
      </c>
      <c r="U5450" t="inlineStr">
        <is>
          <t>1</t>
        </is>
      </c>
      <c r="V5450" t="n">
        <v/>
      </c>
      <c r="W5450" t="n">
        <v/>
      </c>
    </row>
    <row r="5451">
      <c r="A5451" t="inlineStr">
        <is>
          <t>19/01/2026 7:01:28</t>
        </is>
      </c>
      <c r="B5451" t="inlineStr">
        <is>
          <t>Trần Trung Giang</t>
        </is>
      </c>
      <c r="C5451" t="inlineStr">
        <is>
          <t>18/01/2026</t>
        </is>
      </c>
      <c r="D5451" t="n">
        <v>1</v>
      </c>
      <c r="E5451" t="n">
        <v>1</v>
      </c>
      <c r="F5451" t="n">
        <v>1</v>
      </c>
      <c r="G5451" t="n">
        <v>0</v>
      </c>
      <c r="H5451" t="n">
        <v>0</v>
      </c>
      <c r="I5451" t="n">
        <v>0</v>
      </c>
      <c r="J5451" t="n">
        <v>0</v>
      </c>
      <c r="K5451" t="n">
        <v>1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/>
      </c>
      <c r="T5451" t="inlineStr">
        <is>
          <t>18</t>
        </is>
      </c>
      <c r="U5451" t="inlineStr">
        <is>
          <t>1</t>
        </is>
      </c>
      <c r="V5451" t="n">
        <v/>
      </c>
      <c r="W5451" t="n">
        <v/>
      </c>
    </row>
    <row r="5452">
      <c r="A5452" t="inlineStr">
        <is>
          <t>19/01/2026 7:05:15</t>
        </is>
      </c>
      <c r="B5452" t="inlineStr">
        <is>
          <t>Huỳnh Văn Lực</t>
        </is>
      </c>
      <c r="C5452" t="inlineStr">
        <is>
          <t>18/01/2026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4</v>
      </c>
      <c r="L5452" t="n">
        <v>0</v>
      </c>
      <c r="M5452" t="n">
        <v>2</v>
      </c>
      <c r="N5452" t="n">
        <v>0</v>
      </c>
      <c r="O5452" t="n">
        <v>0</v>
      </c>
      <c r="P5452" t="n">
        <v>1</v>
      </c>
      <c r="Q5452" t="n">
        <v>1</v>
      </c>
      <c r="R5452" t="n">
        <v>0</v>
      </c>
      <c r="S5452" t="n">
        <v/>
      </c>
      <c r="T5452" t="inlineStr">
        <is>
          <t>18</t>
        </is>
      </c>
      <c r="U5452" t="inlineStr">
        <is>
          <t>1</t>
        </is>
      </c>
      <c r="V5452" t="n">
        <v/>
      </c>
      <c r="W5452" t="n">
        <v/>
      </c>
    </row>
    <row r="5453">
      <c r="A5453" t="inlineStr">
        <is>
          <t>19/01/2026 7:17:09</t>
        </is>
      </c>
      <c r="B5453" t="inlineStr">
        <is>
          <t>Nguyễn Tuấn Anh</t>
        </is>
      </c>
      <c r="C5453" t="inlineStr">
        <is>
          <t>18/01/2026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</v>
      </c>
      <c r="J5453" t="n">
        <v>0</v>
      </c>
      <c r="K5453" t="n">
        <v>5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2</v>
      </c>
      <c r="R5453" t="n">
        <v>0</v>
      </c>
      <c r="S5453" t="n">
        <v/>
      </c>
      <c r="T5453" t="inlineStr">
        <is>
          <t>18</t>
        </is>
      </c>
      <c r="U5453" t="inlineStr">
        <is>
          <t>1</t>
        </is>
      </c>
      <c r="V5453" t="n">
        <v/>
      </c>
      <c r="W5453" t="n">
        <v/>
      </c>
    </row>
    <row r="5454">
      <c r="A5454" t="inlineStr">
        <is>
          <t>19/01/2026 7:21:37</t>
        </is>
      </c>
      <c r="B5454" t="inlineStr">
        <is>
          <t>Đặng Hoài Anh</t>
        </is>
      </c>
      <c r="C5454" t="inlineStr">
        <is>
          <t>18/01/2026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7</v>
      </c>
      <c r="J5454" t="n">
        <v>0</v>
      </c>
      <c r="K5454" t="n">
        <v>10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/>
      </c>
      <c r="T5454" t="inlineStr">
        <is>
          <t>18</t>
        </is>
      </c>
      <c r="U5454" t="inlineStr">
        <is>
          <t>1</t>
        </is>
      </c>
      <c r="V5454" t="n">
        <v/>
      </c>
      <c r="W5454" t="n">
        <v/>
      </c>
    </row>
    <row r="5455">
      <c r="A5455" t="inlineStr">
        <is>
          <t>19/01/2026 7:24:24</t>
        </is>
      </c>
      <c r="B5455" t="inlineStr">
        <is>
          <t>Nguyễn Quang Anh Tuấn</t>
        </is>
      </c>
      <c r="C5455" t="inlineStr">
        <is>
          <t>18/01/2026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  <c r="K5455" t="n">
        <v>5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/>
      </c>
      <c r="T5455" t="inlineStr">
        <is>
          <t>18</t>
        </is>
      </c>
      <c r="U5455" t="inlineStr">
        <is>
          <t>1</t>
        </is>
      </c>
      <c r="V5455" t="n">
        <v/>
      </c>
      <c r="W5455" t="n">
        <v/>
      </c>
    </row>
    <row r="5456">
      <c r="A5456" t="inlineStr">
        <is>
          <t>19/01/2026 7:39:44</t>
        </is>
      </c>
      <c r="B5456" t="inlineStr">
        <is>
          <t>Lê Hồng Phong</t>
        </is>
      </c>
      <c r="C5456" t="inlineStr">
        <is>
          <t>19/01/2026</t>
        </is>
      </c>
      <c r="D5456" t="n">
        <v>1</v>
      </c>
      <c r="E5456" t="n">
        <v>1</v>
      </c>
      <c r="F5456" t="n">
        <v>1</v>
      </c>
      <c r="G5456" t="n">
        <v>1</v>
      </c>
      <c r="H5456" t="n">
        <v>1</v>
      </c>
      <c r="I5456" t="n">
        <v>1</v>
      </c>
      <c r="J5456" t="n">
        <v>1</v>
      </c>
      <c r="K5456" t="n">
        <v>1</v>
      </c>
      <c r="L5456" t="n">
        <v>1</v>
      </c>
      <c r="M5456" t="n">
        <v>1</v>
      </c>
      <c r="N5456" t="n">
        <v>1</v>
      </c>
      <c r="O5456" t="n">
        <v>1</v>
      </c>
      <c r="P5456" t="n">
        <v>1</v>
      </c>
      <c r="Q5456" t="n">
        <v>1</v>
      </c>
      <c r="R5456" t="n">
        <v>1</v>
      </c>
      <c r="S5456" t="n">
        <v/>
      </c>
      <c r="T5456" t="inlineStr">
        <is>
          <t>19</t>
        </is>
      </c>
      <c r="U5456" t="inlineStr">
        <is>
          <t>1</t>
        </is>
      </c>
      <c r="V5456" t="n">
        <v/>
      </c>
      <c r="W5456" t="n">
        <v/>
      </c>
    </row>
    <row r="5457">
      <c r="A5457" t="inlineStr">
        <is>
          <t>19/01/2026 8:06:57</t>
        </is>
      </c>
      <c r="B5457" t="inlineStr">
        <is>
          <t>Nguyễn Hồng Minh</t>
        </is>
      </c>
      <c r="C5457" t="inlineStr">
        <is>
          <t>18/01/2026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13</v>
      </c>
      <c r="L5457" t="n">
        <v>0</v>
      </c>
      <c r="M5457" t="n">
        <v>1</v>
      </c>
      <c r="N5457" t="n">
        <v>0</v>
      </c>
      <c r="O5457" t="n">
        <v>0</v>
      </c>
      <c r="P5457" t="n">
        <v>1</v>
      </c>
      <c r="Q5457" t="n">
        <v>5</v>
      </c>
      <c r="R5457" t="n">
        <v>0</v>
      </c>
      <c r="S5457" t="n">
        <v/>
      </c>
      <c r="T5457" t="inlineStr">
        <is>
          <t>18</t>
        </is>
      </c>
      <c r="U5457" t="inlineStr">
        <is>
          <t>1</t>
        </is>
      </c>
      <c r="V5457" t="n">
        <v/>
      </c>
      <c r="W5457" t="n">
        <v/>
      </c>
    </row>
    <row r="5458">
      <c r="A5458" t="inlineStr">
        <is>
          <t>19/01/2026 9:28:47</t>
        </is>
      </c>
      <c r="B5458" t="inlineStr">
        <is>
          <t>Vòng Nhật Sang</t>
        </is>
      </c>
      <c r="C5458" t="inlineStr">
        <is>
          <t>18/01/2026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1</v>
      </c>
      <c r="Q5458" t="n">
        <v>2</v>
      </c>
      <c r="R5458" t="n">
        <v>0</v>
      </c>
      <c r="S5458" t="n">
        <v/>
      </c>
      <c r="T5458" t="inlineStr">
        <is>
          <t>18</t>
        </is>
      </c>
      <c r="U5458" t="inlineStr">
        <is>
          <t>1</t>
        </is>
      </c>
      <c r="V5458" t="n">
        <v/>
      </c>
      <c r="W5458" t="n">
        <v/>
      </c>
    </row>
    <row r="5459">
      <c r="A5459" t="inlineStr">
        <is>
          <t>20/01/2026 6:49:49</t>
        </is>
      </c>
      <c r="B5459" t="inlineStr">
        <is>
          <t>Nguyễn Quang Anh Tuấn</t>
        </is>
      </c>
      <c r="C5459" t="inlineStr">
        <is>
          <t>19/01/2026</t>
        </is>
      </c>
      <c r="D5459" t="n">
        <v>0</v>
      </c>
      <c r="E5459" t="n">
        <v>0</v>
      </c>
      <c r="F5459" t="n">
        <v>0</v>
      </c>
      <c r="G5459" t="n">
        <v>1</v>
      </c>
      <c r="H5459" t="n">
        <v>0</v>
      </c>
      <c r="I5459" t="n">
        <v>0</v>
      </c>
      <c r="J5459" t="n">
        <v>0</v>
      </c>
      <c r="K5459" t="n">
        <v>2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/>
      </c>
      <c r="T5459" t="inlineStr">
        <is>
          <t>19</t>
        </is>
      </c>
      <c r="U5459" t="inlineStr">
        <is>
          <t>1</t>
        </is>
      </c>
      <c r="V5459" t="n">
        <v/>
      </c>
      <c r="W5459" t="n">
        <v/>
      </c>
    </row>
    <row r="5460">
      <c r="A5460" t="inlineStr">
        <is>
          <t>20/01/2026 6:53:08</t>
        </is>
      </c>
      <c r="B5460" t="inlineStr">
        <is>
          <t>Huỳnh Văn Lực</t>
        </is>
      </c>
      <c r="C5460" t="inlineStr">
        <is>
          <t>19/01/2026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2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/>
      </c>
      <c r="T5460" t="inlineStr">
        <is>
          <t>19</t>
        </is>
      </c>
      <c r="U5460" t="inlineStr">
        <is>
          <t>1</t>
        </is>
      </c>
      <c r="V5460" t="n">
        <v/>
      </c>
      <c r="W5460" t="n">
        <v/>
      </c>
    </row>
    <row r="5461">
      <c r="A5461" t="inlineStr">
        <is>
          <t>20/01/2026 7:00:05</t>
        </is>
      </c>
      <c r="B5461" t="inlineStr">
        <is>
          <t>Nguyễn Văn Hiệp</t>
        </is>
      </c>
      <c r="C5461" t="inlineStr">
        <is>
          <t>19/01/2026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/>
      </c>
      <c r="T5461" t="inlineStr">
        <is>
          <t>19</t>
        </is>
      </c>
      <c r="U5461" t="inlineStr">
        <is>
          <t>1</t>
        </is>
      </c>
      <c r="V5461" t="n">
        <v/>
      </c>
      <c r="W5461" t="n">
        <v/>
      </c>
    </row>
    <row r="5462">
      <c r="A5462" t="inlineStr">
        <is>
          <t>20/01/2026 7:03:14</t>
        </is>
      </c>
      <c r="B5462" t="inlineStr">
        <is>
          <t>Trần Trung Giang</t>
        </is>
      </c>
      <c r="C5462" t="inlineStr">
        <is>
          <t>19/01/2026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0</v>
      </c>
      <c r="M5462" t="n">
        <v>1</v>
      </c>
      <c r="N5462" t="n">
        <v>1</v>
      </c>
      <c r="O5462" t="n">
        <v>0</v>
      </c>
      <c r="P5462" t="n">
        <v>0</v>
      </c>
      <c r="Q5462" t="n">
        <v>0</v>
      </c>
      <c r="R5462" t="n">
        <v>0</v>
      </c>
      <c r="S5462" t="n">
        <v/>
      </c>
      <c r="T5462" t="inlineStr">
        <is>
          <t>19</t>
        </is>
      </c>
      <c r="U5462" t="inlineStr">
        <is>
          <t>1</t>
        </is>
      </c>
      <c r="V5462" t="n">
        <v/>
      </c>
      <c r="W5462" t="n">
        <v/>
      </c>
    </row>
    <row r="5463">
      <c r="A5463" t="inlineStr">
        <is>
          <t>20/01/2026 7:05:55</t>
        </is>
      </c>
      <c r="B5463" t="inlineStr">
        <is>
          <t>Lương Duy Hoàng</t>
        </is>
      </c>
      <c r="C5463" t="inlineStr">
        <is>
          <t>19/01/2026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5</v>
      </c>
      <c r="J5463" t="n">
        <v>0</v>
      </c>
      <c r="K5463" t="n">
        <v>4</v>
      </c>
      <c r="L5463" t="n">
        <v>0</v>
      </c>
      <c r="M5463" t="n">
        <v>0</v>
      </c>
      <c r="N5463" t="n">
        <v>1</v>
      </c>
      <c r="O5463" t="n">
        <v>0</v>
      </c>
      <c r="P5463" t="n">
        <v>0</v>
      </c>
      <c r="Q5463" t="n">
        <v>1</v>
      </c>
      <c r="R5463" t="n">
        <v>1</v>
      </c>
      <c r="S5463" t="n">
        <v/>
      </c>
      <c r="T5463" t="inlineStr">
        <is>
          <t>19</t>
        </is>
      </c>
      <c r="U5463" t="inlineStr">
        <is>
          <t>1</t>
        </is>
      </c>
      <c r="V5463" t="n">
        <v/>
      </c>
      <c r="W5463" t="n">
        <v/>
      </c>
    </row>
    <row r="5464">
      <c r="A5464" t="inlineStr">
        <is>
          <t>20/01/2026 7:21:18</t>
        </is>
      </c>
      <c r="B5464" t="inlineStr">
        <is>
          <t>Nguyễn Tuấn Anh</t>
        </is>
      </c>
      <c r="C5464" t="inlineStr">
        <is>
          <t>19/01/2026</t>
        </is>
      </c>
      <c r="D5464" t="n">
        <v>1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11</v>
      </c>
      <c r="L5464" t="n">
        <v>0</v>
      </c>
      <c r="M5464" t="n">
        <v>0</v>
      </c>
      <c r="N5464" t="n">
        <v>0</v>
      </c>
      <c r="O5464" t="n">
        <v>0</v>
      </c>
      <c r="P5464" t="n">
        <v>1</v>
      </c>
      <c r="Q5464" t="n">
        <v>2</v>
      </c>
      <c r="R5464" t="n">
        <v>0</v>
      </c>
      <c r="S5464" t="n">
        <v/>
      </c>
      <c r="T5464" t="inlineStr">
        <is>
          <t>19</t>
        </is>
      </c>
      <c r="U5464" t="inlineStr">
        <is>
          <t>1</t>
        </is>
      </c>
      <c r="V5464" t="n">
        <v/>
      </c>
      <c r="W5464" t="n">
        <v/>
      </c>
    </row>
    <row r="5465">
      <c r="A5465" t="inlineStr">
        <is>
          <t>20/01/2026 7:35:44</t>
        </is>
      </c>
      <c r="B5465" t="inlineStr">
        <is>
          <t>Trần Xuân Khoa</t>
        </is>
      </c>
      <c r="C5465" t="inlineStr">
        <is>
          <t>19/01/2026</t>
        </is>
      </c>
      <c r="D5465" t="n">
        <v>1</v>
      </c>
      <c r="E5465" t="n">
        <v>1</v>
      </c>
      <c r="F5465" t="n">
        <v>1</v>
      </c>
      <c r="G5465" t="n">
        <v>0</v>
      </c>
      <c r="H5465" t="n">
        <v>0</v>
      </c>
      <c r="I5465" t="n">
        <v>0</v>
      </c>
      <c r="J5465" t="n">
        <v>0</v>
      </c>
      <c r="K5465" t="n">
        <v>2</v>
      </c>
      <c r="L5465" t="n">
        <v>3</v>
      </c>
      <c r="M5465" t="n">
        <v>0</v>
      </c>
      <c r="N5465" t="n">
        <v>0</v>
      </c>
      <c r="O5465" t="n">
        <v>0</v>
      </c>
      <c r="P5465" t="n">
        <v>0</v>
      </c>
      <c r="Q5465" t="n">
        <v>2</v>
      </c>
      <c r="R5465" t="n">
        <v>0</v>
      </c>
      <c r="S5465" t="n">
        <v/>
      </c>
      <c r="T5465" t="inlineStr">
        <is>
          <t>19</t>
        </is>
      </c>
      <c r="U5465" t="inlineStr">
        <is>
          <t>1</t>
        </is>
      </c>
      <c r="V5465" t="n">
        <v/>
      </c>
      <c r="W5465" t="n">
        <v/>
      </c>
    </row>
    <row r="5466">
      <c r="A5466" t="inlineStr">
        <is>
          <t>20/01/2026 7:44:17</t>
        </is>
      </c>
      <c r="B5466" t="inlineStr">
        <is>
          <t>Lê Hồng Phong</t>
        </is>
      </c>
      <c r="C5466" t="inlineStr">
        <is>
          <t>20/01/2026</t>
        </is>
      </c>
      <c r="D5466" t="n">
        <v>1</v>
      </c>
      <c r="E5466" t="n">
        <v>1</v>
      </c>
      <c r="F5466" t="n">
        <v>1</v>
      </c>
      <c r="G5466" t="n">
        <v>1</v>
      </c>
      <c r="H5466" t="n">
        <v>1</v>
      </c>
      <c r="I5466" t="n">
        <v>1</v>
      </c>
      <c r="J5466" t="n">
        <v>1</v>
      </c>
      <c r="K5466" t="n">
        <v>1</v>
      </c>
      <c r="L5466" t="n">
        <v>1</v>
      </c>
      <c r="M5466" t="n">
        <v>1</v>
      </c>
      <c r="N5466" t="n">
        <v>1</v>
      </c>
      <c r="O5466" t="n">
        <v>1</v>
      </c>
      <c r="P5466" t="n">
        <v>1</v>
      </c>
      <c r="Q5466" t="n">
        <v>1</v>
      </c>
      <c r="R5466" t="n">
        <v>1</v>
      </c>
      <c r="S5466" t="n">
        <v/>
      </c>
      <c r="T5466" t="inlineStr">
        <is>
          <t>20</t>
        </is>
      </c>
      <c r="U5466" t="inlineStr">
        <is>
          <t>1</t>
        </is>
      </c>
      <c r="V5466" t="n">
        <v/>
      </c>
      <c r="W5466" t="n">
        <v/>
      </c>
    </row>
    <row r="5467">
      <c r="A5467" t="inlineStr">
        <is>
          <t>20/01/2026 7:52:13</t>
        </is>
      </c>
      <c r="B5467" t="inlineStr">
        <is>
          <t>Đặng Hoài Anh</t>
        </is>
      </c>
      <c r="C5467" t="inlineStr">
        <is>
          <t>19/01/2026</t>
        </is>
      </c>
      <c r="D5467" t="n">
        <v>0</v>
      </c>
      <c r="E5467" t="n">
        <v>1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2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/>
      </c>
      <c r="T5467" t="inlineStr">
        <is>
          <t>19</t>
        </is>
      </c>
      <c r="U5467" t="inlineStr">
        <is>
          <t>1</t>
        </is>
      </c>
      <c r="V5467" t="n">
        <v/>
      </c>
      <c r="W5467" t="n">
        <v/>
      </c>
    </row>
    <row r="5468">
      <c r="A5468" t="inlineStr">
        <is>
          <t>20/01/2026 7:53:08</t>
        </is>
      </c>
      <c r="B5468" t="inlineStr">
        <is>
          <t>Nguyễn Hồng Minh</t>
        </is>
      </c>
      <c r="C5468" t="inlineStr">
        <is>
          <t>19/01/2026</t>
        </is>
      </c>
      <c r="D5468" t="n">
        <v>1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18</v>
      </c>
      <c r="L5468" t="n">
        <v>0</v>
      </c>
      <c r="M5468" t="n">
        <v>0</v>
      </c>
      <c r="N5468" t="n">
        <v>1</v>
      </c>
      <c r="O5468" t="n">
        <v>0</v>
      </c>
      <c r="P5468" t="n">
        <v>0</v>
      </c>
      <c r="Q5468" t="n">
        <v>4</v>
      </c>
      <c r="R5468" t="n">
        <v>0</v>
      </c>
      <c r="S5468" t="n">
        <v/>
      </c>
      <c r="T5468" t="inlineStr">
        <is>
          <t>19</t>
        </is>
      </c>
      <c r="U5468" t="inlineStr">
        <is>
          <t>1</t>
        </is>
      </c>
      <c r="V5468" t="n">
        <v/>
      </c>
      <c r="W5468" t="n">
        <v/>
      </c>
    </row>
    <row r="5469">
      <c r="A5469" t="inlineStr">
        <is>
          <t>21/01/2026 6:59:04</t>
        </is>
      </c>
      <c r="B5469" t="inlineStr">
        <is>
          <t>Lê Hồng Phong</t>
        </is>
      </c>
      <c r="C5469" t="inlineStr">
        <is>
          <t>21/01/2026</t>
        </is>
      </c>
      <c r="D5469" t="n">
        <v>1</v>
      </c>
      <c r="E5469" t="n">
        <v>1</v>
      </c>
      <c r="F5469" t="n">
        <v>1</v>
      </c>
      <c r="G5469" t="n">
        <v>1</v>
      </c>
      <c r="H5469" t="n">
        <v>1</v>
      </c>
      <c r="I5469" t="n">
        <v>1</v>
      </c>
      <c r="J5469" t="n">
        <v>1</v>
      </c>
      <c r="K5469" t="n">
        <v>1</v>
      </c>
      <c r="L5469" t="n">
        <v>1</v>
      </c>
      <c r="M5469" t="n">
        <v>1</v>
      </c>
      <c r="N5469" t="n">
        <v>1</v>
      </c>
      <c r="O5469" t="n">
        <v>1</v>
      </c>
      <c r="P5469" t="n">
        <v>1</v>
      </c>
      <c r="Q5469" t="n">
        <v>1</v>
      </c>
      <c r="R5469" t="n">
        <v>1</v>
      </c>
      <c r="S5469" t="n">
        <v/>
      </c>
      <c r="T5469" t="inlineStr">
        <is>
          <t>21</t>
        </is>
      </c>
      <c r="U5469" t="inlineStr">
        <is>
          <t>1</t>
        </is>
      </c>
      <c r="V5469" t="n">
        <v/>
      </c>
      <c r="W5469" t="n">
        <v/>
      </c>
    </row>
    <row r="5470">
      <c r="A5470" t="inlineStr">
        <is>
          <t>21/01/2026 7:10:29</t>
        </is>
      </c>
      <c r="B5470" t="inlineStr">
        <is>
          <t>Lương Duy Hoàng</t>
        </is>
      </c>
      <c r="C5470" t="inlineStr">
        <is>
          <t>20/01/2026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</v>
      </c>
      <c r="J5470" t="n">
        <v>0</v>
      </c>
      <c r="K5470" t="n">
        <v>3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2</v>
      </c>
      <c r="R5470" t="n">
        <v>0</v>
      </c>
      <c r="S5470" t="n">
        <v/>
      </c>
      <c r="T5470" t="inlineStr">
        <is>
          <t>20</t>
        </is>
      </c>
      <c r="U5470" t="inlineStr">
        <is>
          <t>1</t>
        </is>
      </c>
      <c r="V5470" t="n">
        <v/>
      </c>
      <c r="W5470" t="n">
        <v/>
      </c>
    </row>
    <row r="5471">
      <c r="A5471" t="inlineStr">
        <is>
          <t>21/01/2026 7:17:46</t>
        </is>
      </c>
      <c r="B5471" t="inlineStr">
        <is>
          <t>Nguyễn Quang Anh Tuấn</t>
        </is>
      </c>
      <c r="C5471" t="inlineStr">
        <is>
          <t>20/01/2026</t>
        </is>
      </c>
      <c r="D5471" t="n">
        <v>0</v>
      </c>
      <c r="E5471" t="n">
        <v>0</v>
      </c>
      <c r="F5471" t="n">
        <v>0</v>
      </c>
      <c r="G5471" t="n">
        <v>1</v>
      </c>
      <c r="H5471" t="n">
        <v>0</v>
      </c>
      <c r="I5471" t="n">
        <v>0</v>
      </c>
      <c r="J5471" t="n">
        <v>0</v>
      </c>
      <c r="K5471" t="n">
        <v>2</v>
      </c>
      <c r="L5471" t="n">
        <v>1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/>
      </c>
      <c r="T5471" t="inlineStr">
        <is>
          <t>20</t>
        </is>
      </c>
      <c r="U5471" t="inlineStr">
        <is>
          <t>1</t>
        </is>
      </c>
      <c r="V5471" t="n">
        <v/>
      </c>
      <c r="W5471" t="n">
        <v/>
      </c>
    </row>
    <row r="5472">
      <c r="A5472" t="inlineStr">
        <is>
          <t>21/01/2026 7:19:57</t>
        </is>
      </c>
      <c r="B5472" t="inlineStr">
        <is>
          <t>Nguyễn Tuấn Anh</t>
        </is>
      </c>
      <c r="C5472" t="inlineStr">
        <is>
          <t>20/01/2026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2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2</v>
      </c>
      <c r="R5472" t="n">
        <v>0</v>
      </c>
      <c r="S5472" t="n">
        <v/>
      </c>
      <c r="T5472" t="inlineStr">
        <is>
          <t>20</t>
        </is>
      </c>
      <c r="U5472" t="inlineStr">
        <is>
          <t>1</t>
        </is>
      </c>
      <c r="V5472" t="n">
        <v/>
      </c>
      <c r="W5472" t="n">
        <v/>
      </c>
    </row>
    <row r="5473">
      <c r="A5473" t="inlineStr">
        <is>
          <t>21/01/2026 7:22:29</t>
        </is>
      </c>
      <c r="B5473" t="inlineStr">
        <is>
          <t>Huỳnh Văn Lực</t>
        </is>
      </c>
      <c r="C5473" t="inlineStr">
        <is>
          <t>20/01/2026</t>
        </is>
      </c>
      <c r="D5473" t="n">
        <v>0</v>
      </c>
      <c r="E5473" t="n">
        <v>0</v>
      </c>
      <c r="F5473" t="n">
        <v>3</v>
      </c>
      <c r="G5473" t="n">
        <v>0</v>
      </c>
      <c r="H5473" t="n">
        <v>0</v>
      </c>
      <c r="I5473" t="n">
        <v>0</v>
      </c>
      <c r="J5473" t="n">
        <v>0</v>
      </c>
      <c r="K5473" t="n">
        <v>9</v>
      </c>
      <c r="L5473" t="n">
        <v>0</v>
      </c>
      <c r="M5473" t="n">
        <v>3</v>
      </c>
      <c r="N5473" t="n">
        <v>0</v>
      </c>
      <c r="O5473" t="n">
        <v>0</v>
      </c>
      <c r="P5473" t="n">
        <v>1</v>
      </c>
      <c r="Q5473" t="n">
        <v>1</v>
      </c>
      <c r="R5473" t="n">
        <v>0</v>
      </c>
      <c r="S5473" t="n">
        <v/>
      </c>
      <c r="T5473" t="inlineStr">
        <is>
          <t>20</t>
        </is>
      </c>
      <c r="U5473" t="inlineStr">
        <is>
          <t>1</t>
        </is>
      </c>
      <c r="V5473" t="n">
        <v/>
      </c>
      <c r="W5473" t="n">
        <v/>
      </c>
    </row>
    <row r="5474">
      <c r="A5474" t="inlineStr">
        <is>
          <t>21/01/2026 7:24:57</t>
        </is>
      </c>
      <c r="B5474" t="inlineStr">
        <is>
          <t>Nguyễn Văn Hiệp</t>
        </is>
      </c>
      <c r="C5474" t="inlineStr">
        <is>
          <t>20/01/2026</t>
        </is>
      </c>
      <c r="D5474" t="n">
        <v>0</v>
      </c>
      <c r="E5474" t="n">
        <v>1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1</v>
      </c>
      <c r="N5474" t="n">
        <v>0</v>
      </c>
      <c r="O5474" t="n">
        <v>0</v>
      </c>
      <c r="P5474" t="n">
        <v>1</v>
      </c>
      <c r="Q5474" t="n">
        <v>0</v>
      </c>
      <c r="R5474" t="n">
        <v>0</v>
      </c>
      <c r="S5474" t="n">
        <v/>
      </c>
      <c r="T5474" t="inlineStr">
        <is>
          <t>20</t>
        </is>
      </c>
      <c r="U5474" t="inlineStr">
        <is>
          <t>1</t>
        </is>
      </c>
      <c r="V5474" t="n">
        <v/>
      </c>
      <c r="W5474" t="n">
        <v/>
      </c>
    </row>
    <row r="5475">
      <c r="A5475" t="inlineStr">
        <is>
          <t>21/01/2026 7:26:01</t>
        </is>
      </c>
      <c r="B5475" t="inlineStr">
        <is>
          <t>Trần Trung Giang</t>
        </is>
      </c>
      <c r="C5475" t="inlineStr">
        <is>
          <t>20/01/2026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1</v>
      </c>
      <c r="O5475" t="n">
        <v>0</v>
      </c>
      <c r="P5475" t="n">
        <v>0</v>
      </c>
      <c r="Q5475" t="n">
        <v>0</v>
      </c>
      <c r="R5475" t="n">
        <v>0</v>
      </c>
      <c r="S5475" t="n">
        <v/>
      </c>
      <c r="T5475" t="inlineStr">
        <is>
          <t>20</t>
        </is>
      </c>
      <c r="U5475" t="inlineStr">
        <is>
          <t>1</t>
        </is>
      </c>
      <c r="V5475" t="n">
        <v/>
      </c>
      <c r="W5475" t="n">
        <v/>
      </c>
    </row>
    <row r="5476">
      <c r="A5476" t="inlineStr">
        <is>
          <t>21/01/2026 7:37:06</t>
        </is>
      </c>
      <c r="B5476" t="inlineStr">
        <is>
          <t>Trần Xuân Khoa</t>
        </is>
      </c>
      <c r="C5476" t="inlineStr">
        <is>
          <t>20/01/2026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10</v>
      </c>
      <c r="L5476" t="n">
        <v>0</v>
      </c>
      <c r="M5476" t="n">
        <v>0</v>
      </c>
      <c r="N5476" t="n">
        <v>0</v>
      </c>
      <c r="O5476" t="n">
        <v>0</v>
      </c>
      <c r="P5476" t="n">
        <v>1</v>
      </c>
      <c r="Q5476" t="n">
        <v>3</v>
      </c>
      <c r="R5476" t="n">
        <v>0</v>
      </c>
      <c r="S5476" t="n">
        <v/>
      </c>
      <c r="T5476" t="inlineStr">
        <is>
          <t>20</t>
        </is>
      </c>
      <c r="U5476" t="inlineStr">
        <is>
          <t>1</t>
        </is>
      </c>
      <c r="V5476" t="n">
        <v/>
      </c>
      <c r="W5476" t="n">
        <v/>
      </c>
    </row>
    <row r="5477">
      <c r="A5477" t="inlineStr">
        <is>
          <t>21/01/2026 7:51:17</t>
        </is>
      </c>
      <c r="B5477" t="inlineStr">
        <is>
          <t>Đặng Hoài Anh</t>
        </is>
      </c>
      <c r="C5477" t="inlineStr">
        <is>
          <t>20/01/2026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/>
      </c>
      <c r="T5477" t="inlineStr">
        <is>
          <t>20</t>
        </is>
      </c>
      <c r="U5477" t="inlineStr">
        <is>
          <t>1</t>
        </is>
      </c>
      <c r="V5477" t="n">
        <v/>
      </c>
      <c r="W5477" t="n">
        <v/>
      </c>
    </row>
    <row r="5478">
      <c r="A5478" t="inlineStr">
        <is>
          <t>21/01/2026 9:50:08</t>
        </is>
      </c>
      <c r="B5478" t="inlineStr">
        <is>
          <t>Nguyễn Hồng Minh</t>
        </is>
      </c>
      <c r="C5478" t="inlineStr">
        <is>
          <t>20/01/2026</t>
        </is>
      </c>
      <c r="D5478" t="n">
        <v>2</v>
      </c>
      <c r="E5478" t="n">
        <v>0</v>
      </c>
      <c r="F5478" t="n">
        <v>1</v>
      </c>
      <c r="G5478" t="n">
        <v>0</v>
      </c>
      <c r="H5478" t="n">
        <v>0</v>
      </c>
      <c r="I5478" t="n">
        <v>1</v>
      </c>
      <c r="J5478" t="n">
        <v>0</v>
      </c>
      <c r="K5478" t="n">
        <v>13</v>
      </c>
      <c r="L5478" t="n">
        <v>0</v>
      </c>
      <c r="M5478" t="n">
        <v>2</v>
      </c>
      <c r="N5478" t="n">
        <v>1</v>
      </c>
      <c r="O5478" t="n">
        <v>0</v>
      </c>
      <c r="P5478" t="n">
        <v>0</v>
      </c>
      <c r="Q5478" t="n">
        <v>3</v>
      </c>
      <c r="R5478" t="n">
        <v>0</v>
      </c>
      <c r="S5478" t="n">
        <v/>
      </c>
      <c r="T5478" t="inlineStr">
        <is>
          <t>20</t>
        </is>
      </c>
      <c r="U5478" t="inlineStr">
        <is>
          <t>1</t>
        </is>
      </c>
      <c r="V5478" t="n">
        <v/>
      </c>
      <c r="W5478" t="n">
        <v/>
      </c>
    </row>
    <row r="5479">
      <c r="A5479" t="inlineStr">
        <is>
          <t>21/01/2026 10:20:13</t>
        </is>
      </c>
      <c r="B5479" t="inlineStr">
        <is>
          <t>Vòng Nhật Sang</t>
        </is>
      </c>
      <c r="C5479" t="inlineStr">
        <is>
          <t>20/01/2026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2</v>
      </c>
      <c r="L5479" t="n">
        <v>0</v>
      </c>
      <c r="M5479" t="n">
        <v>2</v>
      </c>
      <c r="N5479" t="n">
        <v>0</v>
      </c>
      <c r="O5479" t="n">
        <v>0</v>
      </c>
      <c r="P5479" t="n">
        <v>2</v>
      </c>
      <c r="Q5479" t="n">
        <v>2</v>
      </c>
      <c r="R5479" t="n">
        <v>0</v>
      </c>
      <c r="S5479" t="n">
        <v/>
      </c>
      <c r="T5479" t="inlineStr">
        <is>
          <t>20</t>
        </is>
      </c>
      <c r="U5479" t="inlineStr">
        <is>
          <t>1</t>
        </is>
      </c>
      <c r="V5479" t="n">
        <v/>
      </c>
      <c r="W5479" t="n">
        <v/>
      </c>
    </row>
    <row r="5480">
      <c r="A5480" t="inlineStr">
        <is>
          <t>22/01/2026 6:43:23</t>
        </is>
      </c>
      <c r="B5480" t="inlineStr">
        <is>
          <t>Đặng Hoài Anh</t>
        </is>
      </c>
      <c r="C5480" t="inlineStr">
        <is>
          <t>21/01/2026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1</v>
      </c>
      <c r="O5480" t="n">
        <v>0</v>
      </c>
      <c r="P5480" t="n">
        <v>0</v>
      </c>
      <c r="Q5480" t="n">
        <v>0</v>
      </c>
      <c r="R5480" t="n">
        <v>0</v>
      </c>
      <c r="S5480" t="n">
        <v/>
      </c>
      <c r="T5480" t="inlineStr">
        <is>
          <t>21</t>
        </is>
      </c>
      <c r="U5480" t="inlineStr">
        <is>
          <t>1</t>
        </is>
      </c>
      <c r="V5480" t="n">
        <v/>
      </c>
      <c r="W5480" t="n">
        <v/>
      </c>
    </row>
    <row r="5481">
      <c r="A5481" t="inlineStr">
        <is>
          <t>22/01/2026 6:56:02</t>
        </is>
      </c>
      <c r="B5481" t="inlineStr">
        <is>
          <t>Trần Trung Giang</t>
        </is>
      </c>
      <c r="C5481" t="inlineStr">
        <is>
          <t>21/01/2026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2</v>
      </c>
      <c r="L5481" t="n">
        <v>0</v>
      </c>
      <c r="M5481" t="n">
        <v>0</v>
      </c>
      <c r="N5481" t="n">
        <v>0</v>
      </c>
      <c r="O5481" t="n">
        <v>1</v>
      </c>
      <c r="P5481" t="n">
        <v>0</v>
      </c>
      <c r="Q5481" t="n">
        <v>1</v>
      </c>
      <c r="R5481" t="n">
        <v>0</v>
      </c>
      <c r="S5481" t="n">
        <v/>
      </c>
      <c r="T5481" t="inlineStr">
        <is>
          <t>21</t>
        </is>
      </c>
      <c r="U5481" t="inlineStr">
        <is>
          <t>1</t>
        </is>
      </c>
      <c r="V5481" t="n">
        <v/>
      </c>
      <c r="W5481" t="n">
        <v/>
      </c>
    </row>
    <row r="5482">
      <c r="A5482" t="inlineStr">
        <is>
          <t>22/01/2026 6:57:36</t>
        </is>
      </c>
      <c r="B5482" t="inlineStr">
        <is>
          <t>Nguyễn Văn Hiệp</t>
        </is>
      </c>
      <c r="C5482" t="inlineStr">
        <is>
          <t>21/01/2026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2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/>
      </c>
      <c r="T5482" t="inlineStr">
        <is>
          <t>21</t>
        </is>
      </c>
      <c r="U5482" t="inlineStr">
        <is>
          <t>1</t>
        </is>
      </c>
      <c r="V5482" t="n">
        <v/>
      </c>
      <c r="W5482" t="n">
        <v/>
      </c>
    </row>
    <row r="5483">
      <c r="A5483" t="inlineStr">
        <is>
          <t>22/01/2026 7:02:35</t>
        </is>
      </c>
      <c r="B5483" t="inlineStr">
        <is>
          <t>Huỳnh Văn Lực</t>
        </is>
      </c>
      <c r="C5483" t="inlineStr">
        <is>
          <t>21/01/2026</t>
        </is>
      </c>
      <c r="D5483" t="n">
        <v>0</v>
      </c>
      <c r="E5483" t="n">
        <v>0</v>
      </c>
      <c r="F5483" t="n">
        <v>0</v>
      </c>
      <c r="G5483" t="n">
        <v>1</v>
      </c>
      <c r="H5483" t="n">
        <v>0</v>
      </c>
      <c r="I5483" t="n">
        <v>0</v>
      </c>
      <c r="J5483" t="n">
        <v>0</v>
      </c>
      <c r="K5483" t="n">
        <v>4</v>
      </c>
      <c r="L5483" t="n">
        <v>0</v>
      </c>
      <c r="M5483" t="n">
        <v>0</v>
      </c>
      <c r="N5483" t="n">
        <v>3</v>
      </c>
      <c r="O5483" t="n">
        <v>0</v>
      </c>
      <c r="P5483" t="n">
        <v>1</v>
      </c>
      <c r="Q5483" t="n">
        <v>1</v>
      </c>
      <c r="R5483" t="n">
        <v>0</v>
      </c>
      <c r="S5483" t="n">
        <v/>
      </c>
      <c r="T5483" t="inlineStr">
        <is>
          <t>21</t>
        </is>
      </c>
      <c r="U5483" t="inlineStr">
        <is>
          <t>1</t>
        </is>
      </c>
      <c r="V5483" t="n">
        <v/>
      </c>
      <c r="W5483" t="n">
        <v/>
      </c>
    </row>
    <row r="5484">
      <c r="A5484" t="inlineStr">
        <is>
          <t>22/01/2026 7:02:39</t>
        </is>
      </c>
      <c r="B5484" t="inlineStr">
        <is>
          <t>Nguyễn Quang Anh Tuấn</t>
        </is>
      </c>
      <c r="C5484" t="inlineStr">
        <is>
          <t>21/01/2026</t>
        </is>
      </c>
      <c r="D5484" t="n">
        <v>1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5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2</v>
      </c>
      <c r="R5484" t="n">
        <v>0</v>
      </c>
      <c r="S5484" t="n">
        <v/>
      </c>
      <c r="T5484" t="inlineStr">
        <is>
          <t>21</t>
        </is>
      </c>
      <c r="U5484" t="inlineStr">
        <is>
          <t>1</t>
        </is>
      </c>
      <c r="V5484" t="n">
        <v/>
      </c>
      <c r="W5484" t="n">
        <v/>
      </c>
    </row>
    <row r="5485">
      <c r="A5485" t="inlineStr">
        <is>
          <t>22/01/2026 7:22:58</t>
        </is>
      </c>
      <c r="B5485" t="inlineStr">
        <is>
          <t>Nguyễn Tuấn Anh</t>
        </is>
      </c>
      <c r="C5485" t="inlineStr">
        <is>
          <t>21/01/2026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2</v>
      </c>
      <c r="J5485" t="n">
        <v>0</v>
      </c>
      <c r="K5485" t="n">
        <v>5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2</v>
      </c>
      <c r="R5485" t="n">
        <v>0</v>
      </c>
      <c r="S5485" t="n">
        <v/>
      </c>
      <c r="T5485" t="inlineStr">
        <is>
          <t>21</t>
        </is>
      </c>
      <c r="U5485" t="inlineStr">
        <is>
          <t>1</t>
        </is>
      </c>
      <c r="V5485" t="n">
        <v/>
      </c>
      <c r="W5485" t="n">
        <v/>
      </c>
    </row>
    <row r="5486">
      <c r="A5486" t="inlineStr">
        <is>
          <t>22/01/2026 7:31:44</t>
        </is>
      </c>
      <c r="B5486" t="inlineStr">
        <is>
          <t>Lê Hồng Phong</t>
        </is>
      </c>
      <c r="C5486" t="inlineStr">
        <is>
          <t>22/01/2026</t>
        </is>
      </c>
      <c r="D5486" t="n">
        <v>1</v>
      </c>
      <c r="E5486" t="n">
        <v>1</v>
      </c>
      <c r="F5486" t="n">
        <v>1</v>
      </c>
      <c r="G5486" t="n">
        <v>1</v>
      </c>
      <c r="H5486" t="n">
        <v>1</v>
      </c>
      <c r="I5486" t="n">
        <v>1</v>
      </c>
      <c r="J5486" t="n">
        <v>1</v>
      </c>
      <c r="K5486" t="n">
        <v>1</v>
      </c>
      <c r="L5486" t="n">
        <v>1</v>
      </c>
      <c r="M5486" t="n">
        <v>1</v>
      </c>
      <c r="N5486" t="n">
        <v>1</v>
      </c>
      <c r="O5486" t="n">
        <v>1</v>
      </c>
      <c r="P5486" t="n">
        <v>1</v>
      </c>
      <c r="Q5486" t="n">
        <v>1</v>
      </c>
      <c r="R5486" t="n">
        <v>1</v>
      </c>
      <c r="S5486" t="n">
        <v/>
      </c>
      <c r="T5486" t="inlineStr">
        <is>
          <t>22</t>
        </is>
      </c>
      <c r="U5486" t="inlineStr">
        <is>
          <t>1</t>
        </is>
      </c>
      <c r="V5486" t="n">
        <v/>
      </c>
      <c r="W5486" t="n">
        <v/>
      </c>
    </row>
    <row r="5487">
      <c r="A5487" t="inlineStr">
        <is>
          <t>22/01/2026 7:50:32</t>
        </is>
      </c>
      <c r="B5487" t="inlineStr">
        <is>
          <t>Vòng Nhật Sang</t>
        </is>
      </c>
      <c r="C5487" t="inlineStr">
        <is>
          <t>21/01/2026</t>
        </is>
      </c>
      <c r="D5487" t="n">
        <v>1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3</v>
      </c>
      <c r="L5487" t="n">
        <v>0</v>
      </c>
      <c r="M5487" t="n">
        <v>1</v>
      </c>
      <c r="N5487" t="n">
        <v>0</v>
      </c>
      <c r="O5487" t="n">
        <v>0</v>
      </c>
      <c r="P5487" t="n">
        <v>2</v>
      </c>
      <c r="Q5487" t="n">
        <v>0</v>
      </c>
      <c r="R5487" t="n">
        <v>0</v>
      </c>
      <c r="S5487" t="n">
        <v/>
      </c>
      <c r="T5487" t="inlineStr">
        <is>
          <t>21</t>
        </is>
      </c>
      <c r="U5487" t="inlineStr">
        <is>
          <t>1</t>
        </is>
      </c>
      <c r="V5487" t="n">
        <v/>
      </c>
      <c r="W5487" t="n">
        <v/>
      </c>
    </row>
    <row r="5488">
      <c r="A5488" t="inlineStr">
        <is>
          <t>22/01/2026 7:52:26</t>
        </is>
      </c>
      <c r="B5488" t="inlineStr">
        <is>
          <t>Lương Duy Hoàng</t>
        </is>
      </c>
      <c r="C5488" t="inlineStr">
        <is>
          <t>21/01/2026</t>
        </is>
      </c>
      <c r="D5488" t="n">
        <v>0</v>
      </c>
      <c r="E5488" t="n">
        <v>1</v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3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1</v>
      </c>
      <c r="R5488" t="n">
        <v>0</v>
      </c>
      <c r="S5488" t="n">
        <v/>
      </c>
      <c r="T5488" t="inlineStr">
        <is>
          <t>21</t>
        </is>
      </c>
      <c r="U5488" t="inlineStr">
        <is>
          <t>1</t>
        </is>
      </c>
      <c r="V5488" t="n">
        <v/>
      </c>
      <c r="W5488" t="n">
        <v/>
      </c>
    </row>
    <row r="5489">
      <c r="A5489" t="inlineStr">
        <is>
          <t>22/01/2026 8:46:48</t>
        </is>
      </c>
      <c r="B5489" t="inlineStr">
        <is>
          <t>Nguyễn Hồng Minh</t>
        </is>
      </c>
      <c r="C5489" t="inlineStr">
        <is>
          <t>21/01/2026</t>
        </is>
      </c>
      <c r="D5489" t="n">
        <v>1</v>
      </c>
      <c r="E5489" t="n">
        <v>1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14</v>
      </c>
      <c r="L5489" t="n">
        <v>0</v>
      </c>
      <c r="M5489" t="n">
        <v>0</v>
      </c>
      <c r="N5489" t="n">
        <v>0</v>
      </c>
      <c r="O5489" t="n">
        <v>0</v>
      </c>
      <c r="P5489" t="n">
        <v>2</v>
      </c>
      <c r="Q5489" t="n">
        <v>5</v>
      </c>
      <c r="R5489" t="n">
        <v>0</v>
      </c>
      <c r="S5489" t="n">
        <v/>
      </c>
      <c r="T5489" t="inlineStr">
        <is>
          <t>21</t>
        </is>
      </c>
      <c r="U5489" t="inlineStr">
        <is>
          <t>1</t>
        </is>
      </c>
      <c r="V5489" t="n">
        <v/>
      </c>
      <c r="W5489" t="n">
        <v/>
      </c>
    </row>
    <row r="5490">
      <c r="A5490" t="inlineStr">
        <is>
          <t>23/01/2026 6:41:02</t>
        </is>
      </c>
      <c r="B5490" t="inlineStr">
        <is>
          <t>Trần Xuân Khoa</t>
        </is>
      </c>
      <c r="C5490" t="inlineStr">
        <is>
          <t>22/01/2026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15</v>
      </c>
      <c r="L5490" t="n">
        <v>5</v>
      </c>
      <c r="M5490" t="n">
        <v>0</v>
      </c>
      <c r="N5490" t="n">
        <v>0</v>
      </c>
      <c r="O5490" t="n">
        <v>0</v>
      </c>
      <c r="P5490" t="n">
        <v>0</v>
      </c>
      <c r="Q5490" t="n">
        <v>2</v>
      </c>
      <c r="R5490" t="n">
        <v>0</v>
      </c>
      <c r="S5490" t="n">
        <v/>
      </c>
      <c r="T5490" t="inlineStr">
        <is>
          <t>22</t>
        </is>
      </c>
      <c r="U5490" t="inlineStr">
        <is>
          <t>1</t>
        </is>
      </c>
      <c r="V5490" t="n">
        <v/>
      </c>
      <c r="W5490" t="n">
        <v/>
      </c>
    </row>
    <row r="5491">
      <c r="A5491" t="inlineStr">
        <is>
          <t>23/01/2026 6:48:39</t>
        </is>
      </c>
      <c r="B5491" t="inlineStr">
        <is>
          <t>Lương Duy Hoàng</t>
        </is>
      </c>
      <c r="C5491" t="inlineStr">
        <is>
          <t>22/01/2026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4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3</v>
      </c>
      <c r="R5491" t="n">
        <v>0</v>
      </c>
      <c r="S5491" t="n">
        <v/>
      </c>
      <c r="T5491" t="inlineStr">
        <is>
          <t>22</t>
        </is>
      </c>
      <c r="U5491" t="inlineStr">
        <is>
          <t>1</t>
        </is>
      </c>
      <c r="V5491" t="n">
        <v/>
      </c>
      <c r="W5491" t="n">
        <v/>
      </c>
    </row>
    <row r="5492">
      <c r="A5492" t="inlineStr">
        <is>
          <t>23/01/2026 6:50:43</t>
        </is>
      </c>
      <c r="B5492" t="inlineStr">
        <is>
          <t>Huỳnh Văn Lực</t>
        </is>
      </c>
      <c r="C5492" t="inlineStr">
        <is>
          <t>22/01/2026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3</v>
      </c>
      <c r="L5492" t="n">
        <v>0</v>
      </c>
      <c r="M5492" t="n">
        <v>0</v>
      </c>
      <c r="N5492" t="n">
        <v>0</v>
      </c>
      <c r="O5492" t="n">
        <v>0</v>
      </c>
      <c r="P5492" t="n">
        <v>1</v>
      </c>
      <c r="Q5492" t="n">
        <v>1</v>
      </c>
      <c r="R5492" t="n">
        <v>0</v>
      </c>
      <c r="S5492" t="n">
        <v/>
      </c>
      <c r="T5492" t="inlineStr">
        <is>
          <t>22</t>
        </is>
      </c>
      <c r="U5492" t="inlineStr">
        <is>
          <t>1</t>
        </is>
      </c>
      <c r="V5492" t="n">
        <v/>
      </c>
      <c r="W5492" t="n">
        <v/>
      </c>
    </row>
    <row r="5493">
      <c r="A5493" t="inlineStr">
        <is>
          <t>23/01/2026 6:58:50</t>
        </is>
      </c>
      <c r="B5493" t="inlineStr">
        <is>
          <t>Nguyễn Quang Anh Tuấn</t>
        </is>
      </c>
      <c r="C5493" t="inlineStr">
        <is>
          <t>22/01/2026</t>
        </is>
      </c>
      <c r="D5493" t="n">
        <v>1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2</v>
      </c>
      <c r="L5493" t="n">
        <v>0</v>
      </c>
      <c r="M5493" t="n">
        <v>1</v>
      </c>
      <c r="N5493" t="n">
        <v>0</v>
      </c>
      <c r="O5493" t="n">
        <v>0</v>
      </c>
      <c r="P5493" t="n">
        <v>1</v>
      </c>
      <c r="Q5493" t="n">
        <v>2</v>
      </c>
      <c r="R5493" t="n">
        <v>0</v>
      </c>
      <c r="S5493" t="n">
        <v/>
      </c>
      <c r="T5493" t="inlineStr">
        <is>
          <t>22</t>
        </is>
      </c>
      <c r="U5493" t="inlineStr">
        <is>
          <t>1</t>
        </is>
      </c>
      <c r="V5493" t="n">
        <v/>
      </c>
      <c r="W5493" t="n">
        <v/>
      </c>
    </row>
    <row r="5494">
      <c r="A5494" t="inlineStr">
        <is>
          <t>23/01/2026 6:59:50</t>
        </is>
      </c>
      <c r="B5494" t="inlineStr">
        <is>
          <t>Lê Hồng Phong</t>
        </is>
      </c>
      <c r="C5494" t="inlineStr">
        <is>
          <t>23/01/2026</t>
        </is>
      </c>
      <c r="D5494" t="n">
        <v>1</v>
      </c>
      <c r="E5494" t="n">
        <v>1</v>
      </c>
      <c r="F5494" t="n">
        <v>1</v>
      </c>
      <c r="G5494" t="n">
        <v>1</v>
      </c>
      <c r="H5494" t="n">
        <v>1</v>
      </c>
      <c r="I5494" t="n">
        <v>1</v>
      </c>
      <c r="J5494" t="n">
        <v>1</v>
      </c>
      <c r="K5494" t="n">
        <v>1</v>
      </c>
      <c r="L5494" t="n">
        <v>1</v>
      </c>
      <c r="M5494" t="n">
        <v>1</v>
      </c>
      <c r="N5494" t="n">
        <v>1</v>
      </c>
      <c r="O5494" t="n">
        <v>1</v>
      </c>
      <c r="P5494" t="n">
        <v>1</v>
      </c>
      <c r="Q5494" t="n">
        <v>1</v>
      </c>
      <c r="R5494" t="n">
        <v>1</v>
      </c>
      <c r="S5494" t="n">
        <v/>
      </c>
      <c r="T5494" t="inlineStr">
        <is>
          <t>23</t>
        </is>
      </c>
      <c r="U5494" t="inlineStr">
        <is>
          <t>1</t>
        </is>
      </c>
      <c r="V5494" t="n">
        <v/>
      </c>
      <c r="W5494" t="n">
        <v/>
      </c>
    </row>
    <row r="5495">
      <c r="A5495" t="inlineStr">
        <is>
          <t>23/01/2026 7:14:06</t>
        </is>
      </c>
      <c r="B5495" t="inlineStr">
        <is>
          <t>Đặng Hoài Anh</t>
        </is>
      </c>
      <c r="C5495" t="inlineStr">
        <is>
          <t>22/01/2026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2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/>
      </c>
      <c r="T5495" t="inlineStr">
        <is>
          <t>22</t>
        </is>
      </c>
      <c r="U5495" t="inlineStr">
        <is>
          <t>1</t>
        </is>
      </c>
      <c r="V5495" t="n">
        <v/>
      </c>
      <c r="W5495" t="n">
        <v/>
      </c>
    </row>
    <row r="5496">
      <c r="A5496" t="inlineStr">
        <is>
          <t>23/01/2026 7:16:29</t>
        </is>
      </c>
      <c r="B5496" t="inlineStr">
        <is>
          <t>Nguyễn Tuấn Anh</t>
        </is>
      </c>
      <c r="C5496" t="inlineStr">
        <is>
          <t>22/01/2026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2</v>
      </c>
      <c r="J5496" t="n">
        <v>0</v>
      </c>
      <c r="K5496" t="n">
        <v>4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2</v>
      </c>
      <c r="R5496" t="n">
        <v>0</v>
      </c>
      <c r="S5496" t="n">
        <v/>
      </c>
      <c r="T5496" t="inlineStr">
        <is>
          <t>22</t>
        </is>
      </c>
      <c r="U5496" t="inlineStr">
        <is>
          <t>1</t>
        </is>
      </c>
      <c r="V5496" t="n">
        <v/>
      </c>
      <c r="W5496" t="n">
        <v/>
      </c>
    </row>
    <row r="5497">
      <c r="A5497" t="inlineStr">
        <is>
          <t>23/01/2026 7:17:08</t>
        </is>
      </c>
      <c r="B5497" t="inlineStr">
        <is>
          <t>Nguyễn Văn Hiệp</t>
        </is>
      </c>
      <c r="C5497" t="inlineStr">
        <is>
          <t>22/01/2026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2</v>
      </c>
      <c r="J5497" t="n">
        <v>0</v>
      </c>
      <c r="K5497" t="n">
        <v>2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2</v>
      </c>
      <c r="R5497" t="n">
        <v>0</v>
      </c>
      <c r="S5497" t="n">
        <v/>
      </c>
      <c r="T5497" t="inlineStr">
        <is>
          <t>22</t>
        </is>
      </c>
      <c r="U5497" t="inlineStr">
        <is>
          <t>1</t>
        </is>
      </c>
      <c r="V5497" t="n">
        <v/>
      </c>
      <c r="W5497" t="n">
        <v/>
      </c>
    </row>
    <row r="5498">
      <c r="A5498" t="inlineStr">
        <is>
          <t>23/01/2026 7:19:09</t>
        </is>
      </c>
      <c r="B5498" t="inlineStr">
        <is>
          <t>Trần Trung Giang</t>
        </is>
      </c>
      <c r="C5498" t="inlineStr">
        <is>
          <t>22/01/2026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1</v>
      </c>
      <c r="O5498" t="n">
        <v>0</v>
      </c>
      <c r="P5498" t="n">
        <v>2</v>
      </c>
      <c r="Q5498" t="n">
        <v>1</v>
      </c>
      <c r="R5498" t="n">
        <v>0</v>
      </c>
      <c r="S5498" t="n">
        <v/>
      </c>
      <c r="T5498" t="inlineStr">
        <is>
          <t>22</t>
        </is>
      </c>
      <c r="U5498" t="inlineStr">
        <is>
          <t>1</t>
        </is>
      </c>
      <c r="V5498" t="n">
        <v/>
      </c>
      <c r="W5498" t="n">
        <v/>
      </c>
    </row>
    <row r="5499">
      <c r="A5499" t="inlineStr">
        <is>
          <t>23/01/2026 7:21:49</t>
        </is>
      </c>
      <c r="B5499" t="inlineStr">
        <is>
          <t>Vòng Nhật Sang</t>
        </is>
      </c>
      <c r="C5499" t="inlineStr">
        <is>
          <t>22/01/2026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4</v>
      </c>
      <c r="L5499" t="n">
        <v>0</v>
      </c>
      <c r="M5499" t="n">
        <v>0</v>
      </c>
      <c r="N5499" t="n">
        <v>0</v>
      </c>
      <c r="O5499" t="n">
        <v>0</v>
      </c>
      <c r="P5499" t="n">
        <v>2</v>
      </c>
      <c r="Q5499" t="n">
        <v>2</v>
      </c>
      <c r="R5499" t="n">
        <v>0</v>
      </c>
      <c r="S5499" t="n">
        <v/>
      </c>
      <c r="T5499" t="inlineStr">
        <is>
          <t>22</t>
        </is>
      </c>
      <c r="U5499" t="inlineStr">
        <is>
          <t>1</t>
        </is>
      </c>
      <c r="V5499" t="n">
        <v/>
      </c>
      <c r="W5499" t="n">
        <v/>
      </c>
    </row>
    <row r="5500">
      <c r="A5500" t="inlineStr">
        <is>
          <t>23/01/2026 8:44:05</t>
        </is>
      </c>
      <c r="B5500" t="inlineStr">
        <is>
          <t>Nguyễn Hồng Minh</t>
        </is>
      </c>
      <c r="C5500" t="inlineStr">
        <is>
          <t>22/01/2026</t>
        </is>
      </c>
      <c r="D5500" t="n">
        <v>1</v>
      </c>
      <c r="E5500" t="n">
        <v>1</v>
      </c>
      <c r="F5500" t="n">
        <v>2</v>
      </c>
      <c r="G5500" t="n">
        <v>0</v>
      </c>
      <c r="H5500" t="n">
        <v>0</v>
      </c>
      <c r="I5500" t="n">
        <v>1</v>
      </c>
      <c r="J5500" t="n">
        <v>0</v>
      </c>
      <c r="K5500" t="n">
        <v>5</v>
      </c>
      <c r="L5500" t="n">
        <v>0</v>
      </c>
      <c r="M5500" t="n">
        <v>1</v>
      </c>
      <c r="N5500" t="n">
        <v>1</v>
      </c>
      <c r="O5500" t="n">
        <v>0</v>
      </c>
      <c r="P5500" t="n">
        <v>1</v>
      </c>
      <c r="Q5500" t="n">
        <v>6</v>
      </c>
      <c r="R5500" t="n">
        <v>0</v>
      </c>
      <c r="S5500" t="n">
        <v/>
      </c>
      <c r="T5500" t="inlineStr">
        <is>
          <t>22</t>
        </is>
      </c>
      <c r="U5500" t="inlineStr">
        <is>
          <t>1</t>
        </is>
      </c>
      <c r="V5500" t="n">
        <v/>
      </c>
      <c r="W5500" t="n">
        <v/>
      </c>
    </row>
    <row r="5501">
      <c r="A5501" t="inlineStr">
        <is>
          <t>24/01/2026 7:04:43</t>
        </is>
      </c>
      <c r="B5501" t="inlineStr">
        <is>
          <t>Trần Xuân Khoa</t>
        </is>
      </c>
      <c r="C5501" t="inlineStr">
        <is>
          <t>23/01/2026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10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3</v>
      </c>
      <c r="R5501" t="n">
        <v>0</v>
      </c>
      <c r="S5501" t="n">
        <v/>
      </c>
      <c r="T5501" t="inlineStr">
        <is>
          <t>23</t>
        </is>
      </c>
      <c r="U5501" t="inlineStr">
        <is>
          <t>1</t>
        </is>
      </c>
      <c r="V5501" t="n">
        <v/>
      </c>
      <c r="W5501" t="n">
        <v/>
      </c>
    </row>
    <row r="5502">
      <c r="A5502" t="inlineStr">
        <is>
          <t>24/01/2026 7:04:54</t>
        </is>
      </c>
      <c r="B5502" t="inlineStr">
        <is>
          <t>Trần Minh Khánh</t>
        </is>
      </c>
      <c r="C5502" t="inlineStr">
        <is>
          <t>23/01/2026</t>
        </is>
      </c>
      <c r="D5502" t="n">
        <v>1</v>
      </c>
      <c r="E5502" t="n">
        <v>0</v>
      </c>
      <c r="F5502" t="n">
        <v>1</v>
      </c>
      <c r="G5502" t="n">
        <v>0</v>
      </c>
      <c r="H5502" t="n">
        <v>0</v>
      </c>
      <c r="I5502" t="n">
        <v>1</v>
      </c>
      <c r="J5502" t="n">
        <v>0</v>
      </c>
      <c r="K5502" t="n">
        <v>19</v>
      </c>
      <c r="L5502" t="n">
        <v>0</v>
      </c>
      <c r="M5502" t="n">
        <v>0</v>
      </c>
      <c r="N5502" t="n">
        <v>3</v>
      </c>
      <c r="O5502" t="n">
        <v>0</v>
      </c>
      <c r="P5502" t="n">
        <v>0</v>
      </c>
      <c r="Q5502" t="n">
        <v>2</v>
      </c>
      <c r="R5502" t="n">
        <v>0</v>
      </c>
      <c r="S5502" t="n">
        <v/>
      </c>
      <c r="T5502" t="inlineStr">
        <is>
          <t>23</t>
        </is>
      </c>
      <c r="U5502" t="inlineStr">
        <is>
          <t>1</t>
        </is>
      </c>
      <c r="V5502" t="n">
        <v/>
      </c>
      <c r="W5502" t="n">
        <v/>
      </c>
    </row>
    <row r="5503">
      <c r="A5503" t="inlineStr">
        <is>
          <t>24/01/2026 7:07:43</t>
        </is>
      </c>
      <c r="B5503" t="inlineStr">
        <is>
          <t>Lương Duy Hoàng</t>
        </is>
      </c>
      <c r="C5503" t="inlineStr">
        <is>
          <t>23/01/2026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3</v>
      </c>
      <c r="L5503" t="n">
        <v>0</v>
      </c>
      <c r="M5503" t="n">
        <v>1</v>
      </c>
      <c r="N5503" t="n">
        <v>0</v>
      </c>
      <c r="O5503" t="n">
        <v>0</v>
      </c>
      <c r="P5503" t="n">
        <v>1</v>
      </c>
      <c r="Q5503" t="n">
        <v>2</v>
      </c>
      <c r="R5503" t="n">
        <v>0</v>
      </c>
      <c r="S5503" t="n">
        <v/>
      </c>
      <c r="T5503" t="inlineStr">
        <is>
          <t>23</t>
        </is>
      </c>
      <c r="U5503" t="inlineStr">
        <is>
          <t>1</t>
        </is>
      </c>
      <c r="V5503" t="n">
        <v/>
      </c>
      <c r="W5503" t="n">
        <v/>
      </c>
    </row>
    <row r="5504">
      <c r="A5504" t="inlineStr">
        <is>
          <t>24/01/2026 7:09:36</t>
        </is>
      </c>
      <c r="B5504" t="inlineStr">
        <is>
          <t>Lê Hồng Phong</t>
        </is>
      </c>
      <c r="C5504" t="inlineStr">
        <is>
          <t>24/01/2026</t>
        </is>
      </c>
      <c r="D5504" t="n">
        <v>1</v>
      </c>
      <c r="E5504" t="n">
        <v>1</v>
      </c>
      <c r="F5504" t="n">
        <v>1</v>
      </c>
      <c r="G5504" t="n">
        <v>1</v>
      </c>
      <c r="H5504" t="n">
        <v>1</v>
      </c>
      <c r="I5504" t="n">
        <v>1</v>
      </c>
      <c r="J5504" t="n">
        <v>1</v>
      </c>
      <c r="K5504" t="n">
        <v>1</v>
      </c>
      <c r="L5504" t="n">
        <v>1</v>
      </c>
      <c r="M5504" t="n">
        <v>1</v>
      </c>
      <c r="N5504" t="n">
        <v>1</v>
      </c>
      <c r="O5504" t="n">
        <v>1</v>
      </c>
      <c r="P5504" t="n">
        <v>1</v>
      </c>
      <c r="Q5504" t="n">
        <v>1</v>
      </c>
      <c r="R5504" t="n">
        <v>1</v>
      </c>
      <c r="S5504" t="n">
        <v/>
      </c>
      <c r="T5504" t="inlineStr">
        <is>
          <t>24</t>
        </is>
      </c>
      <c r="U5504" t="inlineStr">
        <is>
          <t>1</t>
        </is>
      </c>
      <c r="V5504" t="n">
        <v/>
      </c>
      <c r="W5504" t="n">
        <v/>
      </c>
    </row>
    <row r="5505">
      <c r="A5505" t="inlineStr">
        <is>
          <t>24/01/2026 7:30:06</t>
        </is>
      </c>
      <c r="B5505" t="inlineStr">
        <is>
          <t>Nguyễn Tuấn Anh</t>
        </is>
      </c>
      <c r="C5505" t="inlineStr">
        <is>
          <t>23/01/2026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2</v>
      </c>
      <c r="J5505" t="n">
        <v>0</v>
      </c>
      <c r="K5505" t="n">
        <v>5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2</v>
      </c>
      <c r="R5505" t="n">
        <v>0</v>
      </c>
      <c r="S5505" t="n">
        <v/>
      </c>
      <c r="T5505" t="inlineStr">
        <is>
          <t>23</t>
        </is>
      </c>
      <c r="U5505" t="inlineStr">
        <is>
          <t>1</t>
        </is>
      </c>
      <c r="V5505" t="n">
        <v/>
      </c>
      <c r="W5505" t="n">
        <v/>
      </c>
    </row>
    <row r="5506">
      <c r="A5506" t="inlineStr">
        <is>
          <t>24/01/2026 7:46:16</t>
        </is>
      </c>
      <c r="B5506" t="inlineStr">
        <is>
          <t>Trần Trung Giang</t>
        </is>
      </c>
      <c r="C5506" t="inlineStr">
        <is>
          <t>23/01/2026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2</v>
      </c>
      <c r="L5506" t="n">
        <v>0</v>
      </c>
      <c r="M5506" t="n">
        <v>0</v>
      </c>
      <c r="N5506" t="n">
        <v>0</v>
      </c>
      <c r="O5506" t="n">
        <v>0</v>
      </c>
      <c r="P5506" t="n">
        <v>1</v>
      </c>
      <c r="Q5506" t="n">
        <v>0</v>
      </c>
      <c r="R5506" t="n">
        <v>0</v>
      </c>
      <c r="S5506" t="n">
        <v/>
      </c>
      <c r="T5506" t="inlineStr">
        <is>
          <t>23</t>
        </is>
      </c>
      <c r="U5506" t="inlineStr">
        <is>
          <t>1</t>
        </is>
      </c>
      <c r="V5506" t="n">
        <v/>
      </c>
      <c r="W5506" t="n">
        <v/>
      </c>
    </row>
    <row r="5507">
      <c r="A5507" t="inlineStr">
        <is>
          <t>24/01/2026 7:50:11</t>
        </is>
      </c>
      <c r="B5507" t="inlineStr">
        <is>
          <t>Huỳnh Văn Lực</t>
        </is>
      </c>
      <c r="C5507" t="inlineStr">
        <is>
          <t>23/01/2026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3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1</v>
      </c>
      <c r="R5507" t="n">
        <v>0</v>
      </c>
      <c r="S5507" t="n">
        <v/>
      </c>
      <c r="T5507" t="inlineStr">
        <is>
          <t>23</t>
        </is>
      </c>
      <c r="U5507" t="inlineStr">
        <is>
          <t>1</t>
        </is>
      </c>
      <c r="V5507" t="n">
        <v/>
      </c>
      <c r="W5507" t="n">
        <v/>
      </c>
    </row>
    <row r="5508">
      <c r="A5508" t="inlineStr">
        <is>
          <t>24/01/2026 7:59:07</t>
        </is>
      </c>
      <c r="B5508" t="inlineStr">
        <is>
          <t>Nguyễn Văn Hiệp</t>
        </is>
      </c>
      <c r="C5508" t="inlineStr">
        <is>
          <t>23/01/2026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1</v>
      </c>
      <c r="R5508" t="n">
        <v>0</v>
      </c>
      <c r="S5508" t="n">
        <v/>
      </c>
      <c r="T5508" t="inlineStr">
        <is>
          <t>23</t>
        </is>
      </c>
      <c r="U5508" t="inlineStr">
        <is>
          <t>1</t>
        </is>
      </c>
      <c r="V5508" t="n">
        <v/>
      </c>
      <c r="W5508" t="n">
        <v/>
      </c>
    </row>
    <row r="5509">
      <c r="A5509" t="inlineStr">
        <is>
          <t>24/01/2026 8:16:37</t>
        </is>
      </c>
      <c r="B5509" t="inlineStr">
        <is>
          <t>Nguyễn Hồng Minh</t>
        </is>
      </c>
      <c r="C5509" t="inlineStr">
        <is>
          <t>23/01/2026</t>
        </is>
      </c>
      <c r="D5509" t="n">
        <v>1</v>
      </c>
      <c r="E5509" t="n">
        <v>1</v>
      </c>
      <c r="F5509" t="n">
        <v>2</v>
      </c>
      <c r="G5509" t="n">
        <v>0</v>
      </c>
      <c r="H5509" t="n">
        <v>0</v>
      </c>
      <c r="I5509" t="n">
        <v>0</v>
      </c>
      <c r="J5509" t="n">
        <v>0</v>
      </c>
      <c r="K5509" t="n">
        <v>10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5</v>
      </c>
      <c r="R5509" t="n">
        <v>0</v>
      </c>
      <c r="S5509" t="n">
        <v/>
      </c>
      <c r="T5509" t="inlineStr">
        <is>
          <t>23</t>
        </is>
      </c>
      <c r="U5509" t="inlineStr">
        <is>
          <t>1</t>
        </is>
      </c>
      <c r="V5509" t="n">
        <v/>
      </c>
      <c r="W5509" t="n">
        <v/>
      </c>
    </row>
    <row r="5510">
      <c r="A5510" t="inlineStr">
        <is>
          <t>24/01/2026 8:20:05</t>
        </is>
      </c>
      <c r="B5510" t="inlineStr">
        <is>
          <t>Nguyễn Quang Anh Tuấn</t>
        </is>
      </c>
      <c r="C5510" t="inlineStr">
        <is>
          <t>23/01/2026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7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/>
      </c>
      <c r="T5510" t="inlineStr">
        <is>
          <t>23</t>
        </is>
      </c>
      <c r="U5510" t="inlineStr">
        <is>
          <t>1</t>
        </is>
      </c>
      <c r="V5510" t="n">
        <v/>
      </c>
      <c r="W5510" t="n">
        <v/>
      </c>
    </row>
    <row r="5511">
      <c r="A5511" t="inlineStr">
        <is>
          <t>25/01/2026 7:16:36</t>
        </is>
      </c>
      <c r="B5511" t="inlineStr">
        <is>
          <t>Trần Xuân Khoa</t>
        </is>
      </c>
      <c r="C5511" t="inlineStr">
        <is>
          <t>24/01/2026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20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2</v>
      </c>
      <c r="R5511" t="n">
        <v>0</v>
      </c>
      <c r="S5511" t="n">
        <v/>
      </c>
      <c r="T5511" t="inlineStr">
        <is>
          <t>24</t>
        </is>
      </c>
      <c r="U5511" t="inlineStr">
        <is>
          <t>1</t>
        </is>
      </c>
      <c r="V5511" t="n">
        <v/>
      </c>
      <c r="W5511" t="n">
        <v/>
      </c>
    </row>
    <row r="5512">
      <c r="A5512" t="inlineStr">
        <is>
          <t>25/01/2026 7:19:06</t>
        </is>
      </c>
      <c r="B5512" t="inlineStr">
        <is>
          <t>Trần Trung Giang</t>
        </is>
      </c>
      <c r="C5512" t="inlineStr">
        <is>
          <t>24/01/2026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5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/>
      </c>
      <c r="T5512" t="inlineStr">
        <is>
          <t>24</t>
        </is>
      </c>
      <c r="U5512" t="inlineStr">
        <is>
          <t>1</t>
        </is>
      </c>
      <c r="V5512" t="n">
        <v/>
      </c>
      <c r="W5512" t="n">
        <v/>
      </c>
    </row>
    <row r="5513">
      <c r="A5513" t="inlineStr">
        <is>
          <t>25/01/2026 7:20:38</t>
        </is>
      </c>
      <c r="B5513" t="inlineStr">
        <is>
          <t>Huỳnh Văn Lực</t>
        </is>
      </c>
      <c r="C5513" t="inlineStr">
        <is>
          <t>24/01/2026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1</v>
      </c>
      <c r="R5513" t="n">
        <v>0</v>
      </c>
      <c r="S5513" t="n">
        <v/>
      </c>
      <c r="T5513" t="inlineStr">
        <is>
          <t>24</t>
        </is>
      </c>
      <c r="U5513" t="inlineStr">
        <is>
          <t>1</t>
        </is>
      </c>
      <c r="V5513" t="n">
        <v/>
      </c>
      <c r="W5513" t="n">
        <v/>
      </c>
    </row>
    <row r="5514">
      <c r="A5514" t="inlineStr">
        <is>
          <t>25/01/2026 7:21:53</t>
        </is>
      </c>
      <c r="B5514" t="inlineStr">
        <is>
          <t>Lê Hồng Phong</t>
        </is>
      </c>
      <c r="C5514" t="inlineStr">
        <is>
          <t>25/01/2026</t>
        </is>
      </c>
      <c r="D5514" t="n">
        <v>1</v>
      </c>
      <c r="E5514" t="n">
        <v>1</v>
      </c>
      <c r="F5514" t="n">
        <v>1</v>
      </c>
      <c r="G5514" t="n">
        <v>1</v>
      </c>
      <c r="H5514" t="n">
        <v>1</v>
      </c>
      <c r="I5514" t="n">
        <v>1</v>
      </c>
      <c r="J5514" t="n">
        <v>1</v>
      </c>
      <c r="K5514" t="n">
        <v>1</v>
      </c>
      <c r="L5514" t="n">
        <v>1</v>
      </c>
      <c r="M5514" t="n">
        <v>1</v>
      </c>
      <c r="N5514" t="n">
        <v>1</v>
      </c>
      <c r="O5514" t="n">
        <v>1</v>
      </c>
      <c r="P5514" t="n">
        <v>1</v>
      </c>
      <c r="Q5514" t="n">
        <v>1</v>
      </c>
      <c r="R5514" t="n">
        <v>1</v>
      </c>
      <c r="S5514" t="n">
        <v/>
      </c>
      <c r="T5514" t="inlineStr">
        <is>
          <t>25</t>
        </is>
      </c>
      <c r="U5514" t="inlineStr">
        <is>
          <t>1</t>
        </is>
      </c>
      <c r="V5514" t="n">
        <v/>
      </c>
      <c r="W5514" t="n">
        <v/>
      </c>
    </row>
    <row r="5515">
      <c r="A5515" t="inlineStr">
        <is>
          <t>25/01/2026 7:22:16</t>
        </is>
      </c>
      <c r="B5515" t="inlineStr">
        <is>
          <t>Nguyễn Tuấn Anh</t>
        </is>
      </c>
      <c r="C5515" t="inlineStr">
        <is>
          <t>24/01/2026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2</v>
      </c>
      <c r="J5515" t="n">
        <v>0</v>
      </c>
      <c r="K5515" t="n">
        <v>2</v>
      </c>
      <c r="L5515" t="n">
        <v>1</v>
      </c>
      <c r="M5515" t="n">
        <v>0</v>
      </c>
      <c r="N5515" t="n">
        <v>0</v>
      </c>
      <c r="O5515" t="n">
        <v>0</v>
      </c>
      <c r="P5515" t="n">
        <v>0</v>
      </c>
      <c r="Q5515" t="n">
        <v>2</v>
      </c>
      <c r="R5515" t="n">
        <v>0</v>
      </c>
      <c r="S5515" t="n">
        <v/>
      </c>
      <c r="T5515" t="inlineStr">
        <is>
          <t>24</t>
        </is>
      </c>
      <c r="U5515" t="inlineStr">
        <is>
          <t>1</t>
        </is>
      </c>
      <c r="V5515" t="n">
        <v/>
      </c>
      <c r="W5515" t="n">
        <v/>
      </c>
    </row>
    <row r="5516">
      <c r="A5516" t="inlineStr">
        <is>
          <t>25/01/2026 7:26:06</t>
        </is>
      </c>
      <c r="B5516" t="inlineStr">
        <is>
          <t>Lương Duy Hoàng</t>
        </is>
      </c>
      <c r="C5516" t="inlineStr">
        <is>
          <t>24/01/2026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</v>
      </c>
      <c r="J5516" t="n">
        <v>0</v>
      </c>
      <c r="K5516" t="n">
        <v>3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/>
      </c>
      <c r="T5516" t="inlineStr">
        <is>
          <t>24</t>
        </is>
      </c>
      <c r="U5516" t="inlineStr">
        <is>
          <t>1</t>
        </is>
      </c>
      <c r="V5516" t="n">
        <v/>
      </c>
      <c r="W5516" t="n">
        <v/>
      </c>
    </row>
    <row r="5517">
      <c r="A5517" t="inlineStr">
        <is>
          <t>25/01/2026 7:32:42</t>
        </is>
      </c>
      <c r="B5517" t="inlineStr">
        <is>
          <t>Nguyễn Quang Anh Tuấn</t>
        </is>
      </c>
      <c r="C5517" t="inlineStr">
        <is>
          <t>24/01/2026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2</v>
      </c>
      <c r="R5517" t="n">
        <v>0</v>
      </c>
      <c r="S5517" t="n">
        <v/>
      </c>
      <c r="T5517" t="inlineStr">
        <is>
          <t>24</t>
        </is>
      </c>
      <c r="U5517" t="inlineStr">
        <is>
          <t>1</t>
        </is>
      </c>
      <c r="V5517" t="n">
        <v/>
      </c>
      <c r="W5517" t="n">
        <v/>
      </c>
    </row>
    <row r="5518">
      <c r="A5518" t="inlineStr">
        <is>
          <t>25/01/2026 7:38:49</t>
        </is>
      </c>
      <c r="B5518" t="inlineStr">
        <is>
          <t>Trần Minh Khánh</t>
        </is>
      </c>
      <c r="C5518" t="inlineStr">
        <is>
          <t>24/01/2026</t>
        </is>
      </c>
      <c r="D5518" t="n">
        <v>1</v>
      </c>
      <c r="E5518" t="n">
        <v>0</v>
      </c>
      <c r="F5518" t="n">
        <v>1</v>
      </c>
      <c r="G5518" t="n">
        <v>0</v>
      </c>
      <c r="H5518" t="n">
        <v>0</v>
      </c>
      <c r="I5518" t="n">
        <v>0</v>
      </c>
      <c r="J5518" t="n">
        <v>0</v>
      </c>
      <c r="K5518" t="n">
        <v>12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2</v>
      </c>
      <c r="R5518" t="n">
        <v>0</v>
      </c>
      <c r="S5518" t="n">
        <v/>
      </c>
      <c r="T5518" t="inlineStr">
        <is>
          <t>24</t>
        </is>
      </c>
      <c r="U5518" t="inlineStr">
        <is>
          <t>1</t>
        </is>
      </c>
      <c r="V5518" t="n">
        <v/>
      </c>
      <c r="W5518" t="n">
        <v/>
      </c>
    </row>
    <row r="5519">
      <c r="A5519" t="inlineStr">
        <is>
          <t>25/01/2026 7:52:11</t>
        </is>
      </c>
      <c r="B5519" t="inlineStr">
        <is>
          <t>Nguyễn Văn Hiệp</t>
        </is>
      </c>
      <c r="C5519" t="inlineStr">
        <is>
          <t>24/01/2026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1</v>
      </c>
      <c r="Q5519" t="n">
        <v>2</v>
      </c>
      <c r="R5519" t="n">
        <v>0</v>
      </c>
      <c r="S5519" t="n">
        <v/>
      </c>
      <c r="T5519" t="inlineStr">
        <is>
          <t>24</t>
        </is>
      </c>
      <c r="U5519" t="inlineStr">
        <is>
          <t>1</t>
        </is>
      </c>
      <c r="V5519" t="n">
        <v/>
      </c>
      <c r="W5519" t="n">
        <v/>
      </c>
    </row>
    <row r="5520">
      <c r="A5520" t="inlineStr">
        <is>
          <t>25/01/2026 8:27:38</t>
        </is>
      </c>
      <c r="B5520" t="inlineStr">
        <is>
          <t>Đặng Hoài Anh</t>
        </is>
      </c>
      <c r="C5520" t="inlineStr">
        <is>
          <t>24/01/2026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/>
      </c>
      <c r="T5520" t="inlineStr">
        <is>
          <t>24</t>
        </is>
      </c>
      <c r="U5520" t="inlineStr">
        <is>
          <t>1</t>
        </is>
      </c>
      <c r="V5520" t="n">
        <v/>
      </c>
      <c r="W5520" t="n">
        <v/>
      </c>
    </row>
    <row r="5521">
      <c r="A5521" t="inlineStr">
        <is>
          <t>25/01/2026 8:29:23</t>
        </is>
      </c>
      <c r="B5521" t="inlineStr">
        <is>
          <t>Nguyễn Hồng Minh</t>
        </is>
      </c>
      <c r="C5521" t="inlineStr">
        <is>
          <t>24/01/2026</t>
        </is>
      </c>
      <c r="D5521" t="n">
        <v>2</v>
      </c>
      <c r="E5521" t="n">
        <v>2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9</v>
      </c>
      <c r="L5521" t="n">
        <v>0</v>
      </c>
      <c r="M5521" t="n">
        <v>2</v>
      </c>
      <c r="N5521" t="n">
        <v>0</v>
      </c>
      <c r="O5521" t="n">
        <v>2</v>
      </c>
      <c r="P5521" t="n">
        <v>0</v>
      </c>
      <c r="Q5521" t="n">
        <v>4</v>
      </c>
      <c r="R5521" t="n">
        <v>0</v>
      </c>
      <c r="S5521" t="n">
        <v/>
      </c>
      <c r="T5521" t="inlineStr">
        <is>
          <t>24</t>
        </is>
      </c>
      <c r="U5521" t="inlineStr">
        <is>
          <t>1</t>
        </is>
      </c>
      <c r="V5521" t="n">
        <v/>
      </c>
      <c r="W5521" t="n">
        <v/>
      </c>
    </row>
    <row r="5522">
      <c r="A5522" t="inlineStr">
        <is>
          <t>26/01/2026 6:45:32</t>
        </is>
      </c>
      <c r="B5522" t="inlineStr">
        <is>
          <t>Vòng Nhật Sang</t>
        </is>
      </c>
      <c r="C5522" t="inlineStr">
        <is>
          <t>24/01/2026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2</v>
      </c>
      <c r="L5522" t="n">
        <v>0</v>
      </c>
      <c r="M5522" t="n">
        <v>4</v>
      </c>
      <c r="N5522" t="n">
        <v>0</v>
      </c>
      <c r="O5522" t="n">
        <v>0</v>
      </c>
      <c r="P5522" t="n">
        <v>2</v>
      </c>
      <c r="Q5522" t="n">
        <v>2</v>
      </c>
      <c r="R5522" t="n">
        <v>0</v>
      </c>
      <c r="S5522" t="n">
        <v/>
      </c>
      <c r="T5522" t="inlineStr">
        <is>
          <t>24</t>
        </is>
      </c>
      <c r="U5522" t="inlineStr">
        <is>
          <t>1</t>
        </is>
      </c>
      <c r="V5522" t="n">
        <v/>
      </c>
      <c r="W5522" t="n">
        <v/>
      </c>
    </row>
    <row r="5523">
      <c r="A5523" t="inlineStr">
        <is>
          <t>26/01/2026 6:46:13</t>
        </is>
      </c>
      <c r="B5523" t="inlineStr">
        <is>
          <t>Vòng Nhật Sang</t>
        </is>
      </c>
      <c r="C5523" t="inlineStr">
        <is>
          <t>25/01/2026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7</v>
      </c>
      <c r="L5523" t="n">
        <v>0</v>
      </c>
      <c r="M5523" t="n">
        <v>0</v>
      </c>
      <c r="N5523" t="n">
        <v>0</v>
      </c>
      <c r="O5523" t="n">
        <v>0</v>
      </c>
      <c r="P5523" t="n">
        <v>2</v>
      </c>
      <c r="Q5523" t="n">
        <v>1</v>
      </c>
      <c r="R5523" t="n">
        <v>0</v>
      </c>
      <c r="S5523" t="n">
        <v/>
      </c>
      <c r="T5523" t="inlineStr">
        <is>
          <t>25</t>
        </is>
      </c>
      <c r="U5523" t="inlineStr">
        <is>
          <t>1</t>
        </is>
      </c>
      <c r="V5523" t="n">
        <v/>
      </c>
      <c r="W5523" t="n">
        <v/>
      </c>
    </row>
    <row r="5524">
      <c r="A5524" t="inlineStr">
        <is>
          <t>26/01/2026 6:58:08</t>
        </is>
      </c>
      <c r="B5524" t="inlineStr">
        <is>
          <t>Nguyễn Văn Hiệp</t>
        </is>
      </c>
      <c r="C5524" t="inlineStr">
        <is>
          <t>25/01/2026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</v>
      </c>
      <c r="J5524" t="n">
        <v>0</v>
      </c>
      <c r="K5524" t="n">
        <v>1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/>
      </c>
      <c r="T5524" t="inlineStr">
        <is>
          <t>25</t>
        </is>
      </c>
      <c r="U5524" t="inlineStr">
        <is>
          <t>1</t>
        </is>
      </c>
      <c r="V5524" t="n">
        <v/>
      </c>
      <c r="W5524" t="n">
        <v/>
      </c>
    </row>
    <row r="5525">
      <c r="A5525" t="inlineStr">
        <is>
          <t>26/01/2026 6:59:52</t>
        </is>
      </c>
      <c r="B5525" t="inlineStr">
        <is>
          <t>Trần Trung Giang</t>
        </is>
      </c>
      <c r="C5525" t="inlineStr">
        <is>
          <t>25/01/2026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5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/>
      </c>
      <c r="T5525" t="inlineStr">
        <is>
          <t>25</t>
        </is>
      </c>
      <c r="U5525" t="inlineStr">
        <is>
          <t>1</t>
        </is>
      </c>
      <c r="V5525" t="n">
        <v/>
      </c>
      <c r="W5525" t="n">
        <v/>
      </c>
    </row>
    <row r="5526">
      <c r="A5526" t="inlineStr">
        <is>
          <t>26/01/2026 7:00:50</t>
        </is>
      </c>
      <c r="B5526" t="inlineStr">
        <is>
          <t>Nguyễn Quang Anh Tuấn</t>
        </is>
      </c>
      <c r="C5526" t="inlineStr">
        <is>
          <t>25/01/2026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4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3</v>
      </c>
      <c r="R5526" t="n">
        <v>0</v>
      </c>
      <c r="S5526" t="n">
        <v/>
      </c>
      <c r="T5526" t="inlineStr">
        <is>
          <t>25</t>
        </is>
      </c>
      <c r="U5526" t="inlineStr">
        <is>
          <t>1</t>
        </is>
      </c>
      <c r="V5526" t="n">
        <v/>
      </c>
      <c r="W5526" t="n">
        <v/>
      </c>
    </row>
    <row r="5527">
      <c r="A5527" t="inlineStr">
        <is>
          <t>26/01/2026 7:05:14</t>
        </is>
      </c>
      <c r="B5527" t="inlineStr">
        <is>
          <t>Huỳnh Văn Lực</t>
        </is>
      </c>
      <c r="C5527" t="inlineStr">
        <is>
          <t>25/01/2026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/>
      </c>
      <c r="T5527" t="inlineStr">
        <is>
          <t>25</t>
        </is>
      </c>
      <c r="U5527" t="inlineStr">
        <is>
          <t>1</t>
        </is>
      </c>
      <c r="V5527" t="n">
        <v/>
      </c>
      <c r="W5527" t="n">
        <v/>
      </c>
    </row>
    <row r="5528">
      <c r="A5528" t="inlineStr">
        <is>
          <t>26/01/2026 7:10:07</t>
        </is>
      </c>
      <c r="B5528" t="inlineStr">
        <is>
          <t>Nguyễn Tuấn Anh</t>
        </is>
      </c>
      <c r="C5528" t="inlineStr">
        <is>
          <t>25/01/2026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2</v>
      </c>
      <c r="J5528" t="n">
        <v>0</v>
      </c>
      <c r="K5528" t="n">
        <v>2</v>
      </c>
      <c r="L5528" t="n">
        <v>0</v>
      </c>
      <c r="M5528" t="n">
        <v>0</v>
      </c>
      <c r="N5528" t="n">
        <v>0</v>
      </c>
      <c r="O5528" t="n">
        <v>0</v>
      </c>
      <c r="P5528" t="n">
        <v>1</v>
      </c>
      <c r="Q5528" t="n">
        <v>2</v>
      </c>
      <c r="R5528" t="n">
        <v>0</v>
      </c>
      <c r="S5528" t="n">
        <v/>
      </c>
      <c r="T5528" t="inlineStr">
        <is>
          <t>25</t>
        </is>
      </c>
      <c r="U5528" t="inlineStr">
        <is>
          <t>1</t>
        </is>
      </c>
      <c r="V5528" t="n">
        <v/>
      </c>
      <c r="W5528" t="n">
        <v/>
      </c>
    </row>
    <row r="5529">
      <c r="A5529" t="inlineStr">
        <is>
          <t>26/01/2026 7:14:58</t>
        </is>
      </c>
      <c r="B5529" t="inlineStr">
        <is>
          <t>Trần Xuân Khoa</t>
        </is>
      </c>
      <c r="C5529" t="inlineStr">
        <is>
          <t>25/01/2026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20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2</v>
      </c>
      <c r="R5529" t="n">
        <v>0</v>
      </c>
      <c r="S5529" t="n">
        <v/>
      </c>
      <c r="T5529" t="inlineStr">
        <is>
          <t>25</t>
        </is>
      </c>
      <c r="U5529" t="inlineStr">
        <is>
          <t>1</t>
        </is>
      </c>
      <c r="V5529" t="n">
        <v/>
      </c>
      <c r="W5529" t="n">
        <v/>
      </c>
    </row>
    <row r="5530">
      <c r="A5530" t="inlineStr">
        <is>
          <t>26/01/2026 7:23:38</t>
        </is>
      </c>
      <c r="B5530" t="inlineStr">
        <is>
          <t>Đặng Hoài Anh</t>
        </is>
      </c>
      <c r="C5530" t="inlineStr">
        <is>
          <t>25/01/2026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1</v>
      </c>
      <c r="R5530" t="n">
        <v>0</v>
      </c>
      <c r="S5530" t="n">
        <v/>
      </c>
      <c r="T5530" t="inlineStr">
        <is>
          <t>25</t>
        </is>
      </c>
      <c r="U5530" t="inlineStr">
        <is>
          <t>1</t>
        </is>
      </c>
      <c r="V5530" t="n">
        <v/>
      </c>
      <c r="W5530" t="n">
        <v/>
      </c>
    </row>
    <row r="5531">
      <c r="A5531" t="inlineStr">
        <is>
          <t>26/01/2026 7:34:28</t>
        </is>
      </c>
      <c r="B5531" t="inlineStr">
        <is>
          <t>Lê Hồng Phong</t>
        </is>
      </c>
      <c r="C5531" t="inlineStr">
        <is>
          <t>26/01/2026</t>
        </is>
      </c>
      <c r="D5531" t="n">
        <v>1</v>
      </c>
      <c r="E5531" t="n">
        <v>1</v>
      </c>
      <c r="F5531" t="n">
        <v>1</v>
      </c>
      <c r="G5531" t="n">
        <v>1</v>
      </c>
      <c r="H5531" t="n">
        <v>1</v>
      </c>
      <c r="I5531" t="n">
        <v>1</v>
      </c>
      <c r="J5531" t="n">
        <v>1</v>
      </c>
      <c r="K5531" t="n">
        <v>1</v>
      </c>
      <c r="L5531" t="n">
        <v>1</v>
      </c>
      <c r="M5531" t="n">
        <v>1</v>
      </c>
      <c r="N5531" t="n">
        <v>1</v>
      </c>
      <c r="O5531" t="n">
        <v>1</v>
      </c>
      <c r="P5531" t="n">
        <v>1</v>
      </c>
      <c r="Q5531" t="n">
        <v>1</v>
      </c>
      <c r="R5531" t="n">
        <v>1</v>
      </c>
      <c r="S5531" t="n">
        <v/>
      </c>
      <c r="T5531" t="inlineStr">
        <is>
          <t>26</t>
        </is>
      </c>
      <c r="U5531" t="inlineStr">
        <is>
          <t>1</t>
        </is>
      </c>
      <c r="V5531" t="n">
        <v/>
      </c>
      <c r="W5531" t="n">
        <v/>
      </c>
    </row>
    <row r="5532">
      <c r="A5532" t="inlineStr">
        <is>
          <t>26/01/2026 8:40:54</t>
        </is>
      </c>
      <c r="B5532" t="inlineStr">
        <is>
          <t>Nguyễn Hồng Minh</t>
        </is>
      </c>
      <c r="C5532" t="inlineStr">
        <is>
          <t>25/01/2026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35</v>
      </c>
      <c r="L5532" t="n">
        <v>0</v>
      </c>
      <c r="M5532" t="n">
        <v>0</v>
      </c>
      <c r="N5532" t="n">
        <v>1</v>
      </c>
      <c r="O5532" t="n">
        <v>1</v>
      </c>
      <c r="P5532" t="n">
        <v>1</v>
      </c>
      <c r="Q5532" t="n">
        <v>5</v>
      </c>
      <c r="R5532" t="n">
        <v>0</v>
      </c>
      <c r="S5532" t="n">
        <v/>
      </c>
      <c r="T5532" t="inlineStr">
        <is>
          <t>25</t>
        </is>
      </c>
      <c r="U5532" t="inlineStr">
        <is>
          <t>1</t>
        </is>
      </c>
      <c r="V5532" t="n">
        <v/>
      </c>
      <c r="W5532" t="n">
        <v/>
      </c>
    </row>
    <row r="5533">
      <c r="A5533" t="inlineStr">
        <is>
          <t>26/01/2026 15:26:03</t>
        </is>
      </c>
      <c r="B5533" t="inlineStr">
        <is>
          <t>Dương Minh Tiến</t>
        </is>
      </c>
      <c r="C5533" t="inlineStr">
        <is>
          <t>25/01/2025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14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/>
      </c>
      <c r="T5533" t="inlineStr">
        <is>
          <t>25</t>
        </is>
      </c>
      <c r="U5533" t="inlineStr">
        <is>
          <t>1</t>
        </is>
      </c>
      <c r="V5533" t="n">
        <v/>
      </c>
      <c r="W5533" t="n">
        <v/>
      </c>
    </row>
    <row r="5534">
      <c r="A5534" t="inlineStr">
        <is>
          <t>27/01/2026 6:49:04</t>
        </is>
      </c>
      <c r="B5534" t="inlineStr">
        <is>
          <t>Lương Duy Hoàng</t>
        </is>
      </c>
      <c r="C5534" t="inlineStr">
        <is>
          <t>25/01/2026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2</v>
      </c>
      <c r="L5534" t="n">
        <v>1</v>
      </c>
      <c r="M5534" t="n">
        <v>0</v>
      </c>
      <c r="N5534" t="n">
        <v>0</v>
      </c>
      <c r="O5534" t="n">
        <v>0</v>
      </c>
      <c r="P5534" t="n">
        <v>0</v>
      </c>
      <c r="Q5534" t="n">
        <v>1</v>
      </c>
      <c r="R5534" t="n">
        <v>0</v>
      </c>
      <c r="S5534" t="n">
        <v/>
      </c>
      <c r="T5534" t="inlineStr">
        <is>
          <t>25</t>
        </is>
      </c>
      <c r="U5534" t="inlineStr">
        <is>
          <t>1</t>
        </is>
      </c>
      <c r="V5534" t="n">
        <v/>
      </c>
      <c r="W5534" t="n">
        <v/>
      </c>
    </row>
    <row r="5535">
      <c r="A5535" t="inlineStr">
        <is>
          <t>27/01/2026 6:49:57</t>
        </is>
      </c>
      <c r="B5535" t="inlineStr">
        <is>
          <t>Lương Duy Hoàng</t>
        </is>
      </c>
      <c r="C5535" t="inlineStr">
        <is>
          <t>26/01/2026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8</v>
      </c>
      <c r="L5535" t="n">
        <v>0</v>
      </c>
      <c r="M5535" t="n">
        <v>2</v>
      </c>
      <c r="N5535" t="n">
        <v>0</v>
      </c>
      <c r="O5535" t="n">
        <v>0</v>
      </c>
      <c r="P5535" t="n">
        <v>0</v>
      </c>
      <c r="Q5535" t="n">
        <v>2</v>
      </c>
      <c r="R5535" t="n">
        <v>0</v>
      </c>
      <c r="S5535" t="n">
        <v/>
      </c>
      <c r="T5535" t="inlineStr">
        <is>
          <t>26</t>
        </is>
      </c>
      <c r="U5535" t="inlineStr">
        <is>
          <t>1</t>
        </is>
      </c>
      <c r="V5535" t="n">
        <v/>
      </c>
      <c r="W5535" t="n">
        <v/>
      </c>
    </row>
    <row r="5536">
      <c r="A5536" t="inlineStr">
        <is>
          <t>27/01/2026 6:52:43</t>
        </is>
      </c>
      <c r="B5536" t="inlineStr">
        <is>
          <t>Trần Xuân Khoa</t>
        </is>
      </c>
      <c r="C5536" t="inlineStr">
        <is>
          <t>26/01/2026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1</v>
      </c>
      <c r="Q5536" t="n">
        <v>2</v>
      </c>
      <c r="R5536" t="n">
        <v>0</v>
      </c>
      <c r="S5536" t="n">
        <v/>
      </c>
      <c r="T5536" t="inlineStr">
        <is>
          <t>26</t>
        </is>
      </c>
      <c r="U5536" t="inlineStr">
        <is>
          <t>1</t>
        </is>
      </c>
      <c r="V5536" t="n">
        <v/>
      </c>
      <c r="W5536" t="n">
        <v/>
      </c>
    </row>
    <row r="5537">
      <c r="A5537" t="inlineStr">
        <is>
          <t>27/01/2026 6:57:16</t>
        </is>
      </c>
      <c r="B5537" t="inlineStr">
        <is>
          <t>Nguyễn Văn Hiệp</t>
        </is>
      </c>
      <c r="C5537" t="inlineStr">
        <is>
          <t>26/01/2026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/>
      </c>
      <c r="T5537" t="inlineStr">
        <is>
          <t>26</t>
        </is>
      </c>
      <c r="U5537" t="inlineStr">
        <is>
          <t>1</t>
        </is>
      </c>
      <c r="V5537" t="n">
        <v/>
      </c>
      <c r="W5537" t="n">
        <v/>
      </c>
    </row>
    <row r="5538">
      <c r="A5538" t="inlineStr">
        <is>
          <t>27/01/2026 7:00:25</t>
        </is>
      </c>
      <c r="B5538" t="inlineStr">
        <is>
          <t>Trần Trung Giang</t>
        </is>
      </c>
      <c r="C5538" t="inlineStr">
        <is>
          <t>26/01/2026</t>
        </is>
      </c>
      <c r="D5538" t="n">
        <v>0</v>
      </c>
      <c r="E5538" t="n">
        <v>0</v>
      </c>
      <c r="F5538" t="n">
        <v>0</v>
      </c>
      <c r="G5538" t="n">
        <v>3</v>
      </c>
      <c r="H5538" t="n">
        <v>1</v>
      </c>
      <c r="I5538" t="n">
        <v>0</v>
      </c>
      <c r="J5538" t="n">
        <v>0</v>
      </c>
      <c r="K5538" t="n">
        <v>6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1</v>
      </c>
      <c r="R5538" t="n">
        <v>0</v>
      </c>
      <c r="S5538" t="n">
        <v/>
      </c>
      <c r="T5538" t="inlineStr">
        <is>
          <t>26</t>
        </is>
      </c>
      <c r="U5538" t="inlineStr">
        <is>
          <t>1</t>
        </is>
      </c>
      <c r="V5538" t="n">
        <v/>
      </c>
      <c r="W5538" t="n">
        <v/>
      </c>
    </row>
    <row r="5539">
      <c r="A5539" t="inlineStr">
        <is>
          <t>27/01/2026 7:01:43</t>
        </is>
      </c>
      <c r="B5539" t="inlineStr">
        <is>
          <t>Nguyễn Quang Anh Tuấn</t>
        </is>
      </c>
      <c r="C5539" t="inlineStr">
        <is>
          <t>26/01/2026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3</v>
      </c>
      <c r="R5539" t="n">
        <v>0</v>
      </c>
      <c r="S5539" t="n">
        <v/>
      </c>
      <c r="T5539" t="inlineStr">
        <is>
          <t>26</t>
        </is>
      </c>
      <c r="U5539" t="inlineStr">
        <is>
          <t>1</t>
        </is>
      </c>
      <c r="V5539" t="n">
        <v/>
      </c>
      <c r="W5539" t="n">
        <v/>
      </c>
    </row>
    <row r="5540">
      <c r="A5540" t="inlineStr">
        <is>
          <t>27/01/2026 7:13:44</t>
        </is>
      </c>
      <c r="B5540" t="inlineStr">
        <is>
          <t>Nguyễn Tuấn Anh</t>
        </is>
      </c>
      <c r="C5540" t="inlineStr">
        <is>
          <t>26/01/2026</t>
        </is>
      </c>
      <c r="D5540" t="n">
        <v>0</v>
      </c>
      <c r="E5540" t="n">
        <v>0</v>
      </c>
      <c r="F5540" t="n">
        <v>0</v>
      </c>
      <c r="G5540" t="n">
        <v>2</v>
      </c>
      <c r="H5540" t="n">
        <v>1</v>
      </c>
      <c r="I5540" t="n">
        <v>2</v>
      </c>
      <c r="J5540" t="n">
        <v>0</v>
      </c>
      <c r="K5540" t="n">
        <v>2</v>
      </c>
      <c r="L5540" t="n">
        <v>0</v>
      </c>
      <c r="M5540" t="n">
        <v>0</v>
      </c>
      <c r="N5540" t="n">
        <v>2</v>
      </c>
      <c r="O5540" t="n">
        <v>0</v>
      </c>
      <c r="P5540" t="n">
        <v>0</v>
      </c>
      <c r="Q5540" t="n">
        <v>2</v>
      </c>
      <c r="R5540" t="n">
        <v>0</v>
      </c>
      <c r="S5540" t="n">
        <v/>
      </c>
      <c r="T5540" t="inlineStr">
        <is>
          <t>26</t>
        </is>
      </c>
      <c r="U5540" t="inlineStr">
        <is>
          <t>1</t>
        </is>
      </c>
      <c r="V5540" t="n">
        <v/>
      </c>
      <c r="W5540" t="n">
        <v/>
      </c>
    </row>
    <row r="5541">
      <c r="A5541" t="inlineStr">
        <is>
          <t>27/01/2026 7:13:46</t>
        </is>
      </c>
      <c r="B5541" t="inlineStr">
        <is>
          <t>Đặng Hoài Anh</t>
        </is>
      </c>
      <c r="C5541" t="inlineStr">
        <is>
          <t>26/01/2026</t>
        </is>
      </c>
      <c r="D5541" t="n">
        <v>2</v>
      </c>
      <c r="E5541" t="n">
        <v>2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2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/>
      </c>
      <c r="T5541" t="inlineStr">
        <is>
          <t>26</t>
        </is>
      </c>
      <c r="U5541" t="inlineStr">
        <is>
          <t>1</t>
        </is>
      </c>
      <c r="V5541" t="n">
        <v/>
      </c>
      <c r="W5541" t="n">
        <v/>
      </c>
    </row>
    <row r="5542">
      <c r="A5542" t="inlineStr">
        <is>
          <t>27/01/2026 7:25:37</t>
        </is>
      </c>
      <c r="B5542" t="inlineStr">
        <is>
          <t>Lê Hồng Phong</t>
        </is>
      </c>
      <c r="C5542" t="inlineStr">
        <is>
          <t>27/01/2026</t>
        </is>
      </c>
      <c r="D5542" t="n">
        <v>1</v>
      </c>
      <c r="E5542" t="n">
        <v>1</v>
      </c>
      <c r="F5542" t="n">
        <v>1</v>
      </c>
      <c r="G5542" t="n">
        <v>1</v>
      </c>
      <c r="H5542" t="n">
        <v>1</v>
      </c>
      <c r="I5542" t="n">
        <v>1</v>
      </c>
      <c r="J5542" t="n">
        <v>1</v>
      </c>
      <c r="K5542" t="n">
        <v>1</v>
      </c>
      <c r="L5542" t="n">
        <v>1</v>
      </c>
      <c r="M5542" t="n">
        <v>1</v>
      </c>
      <c r="N5542" t="n">
        <v>1</v>
      </c>
      <c r="O5542" t="n">
        <v>1</v>
      </c>
      <c r="P5542" t="n">
        <v>1</v>
      </c>
      <c r="Q5542" t="n">
        <v>1</v>
      </c>
      <c r="R5542" t="n">
        <v>1</v>
      </c>
      <c r="S5542" t="n">
        <v/>
      </c>
      <c r="T5542" t="inlineStr">
        <is>
          <t>27</t>
        </is>
      </c>
      <c r="U5542" t="inlineStr">
        <is>
          <t>1</t>
        </is>
      </c>
      <c r="V5542" t="n">
        <v/>
      </c>
      <c r="W5542" t="n">
        <v/>
      </c>
    </row>
    <row r="5543">
      <c r="A5543" t="inlineStr">
        <is>
          <t>27/01/2026 8:02:47</t>
        </is>
      </c>
      <c r="B5543" t="inlineStr">
        <is>
          <t>Nguyễn Hồng Minh</t>
        </is>
      </c>
      <c r="C5543" t="inlineStr">
        <is>
          <t>26/01/2026</t>
        </is>
      </c>
      <c r="D5543" t="n">
        <v>1</v>
      </c>
      <c r="E5543" t="n">
        <v>1</v>
      </c>
      <c r="F5543" t="n">
        <v>1</v>
      </c>
      <c r="G5543" t="n">
        <v>0</v>
      </c>
      <c r="H5543" t="n">
        <v>0</v>
      </c>
      <c r="I5543" t="n">
        <v>0</v>
      </c>
      <c r="J5543" t="n">
        <v>0</v>
      </c>
      <c r="K5543" t="n">
        <v>4</v>
      </c>
      <c r="L5543" t="n">
        <v>0</v>
      </c>
      <c r="M5543" t="n">
        <v>1</v>
      </c>
      <c r="N5543" t="n">
        <v>1</v>
      </c>
      <c r="O5543" t="n">
        <v>1</v>
      </c>
      <c r="P5543" t="n">
        <v>0</v>
      </c>
      <c r="Q5543" t="n">
        <v>4</v>
      </c>
      <c r="R5543" t="n">
        <v>0</v>
      </c>
      <c r="S5543" t="n">
        <v/>
      </c>
      <c r="T5543" t="inlineStr">
        <is>
          <t>26</t>
        </is>
      </c>
      <c r="U5543" t="inlineStr">
        <is>
          <t>1</t>
        </is>
      </c>
      <c r="V5543" t="n">
        <v/>
      </c>
      <c r="W5543" t="n">
        <v/>
      </c>
    </row>
    <row r="5544">
      <c r="A5544" t="inlineStr">
        <is>
          <t>27/01/2026 8:21:13</t>
        </is>
      </c>
      <c r="B5544" t="inlineStr">
        <is>
          <t>Huỳnh Văn Lực</t>
        </is>
      </c>
      <c r="C5544" t="inlineStr">
        <is>
          <t>26/01/2026</t>
        </is>
      </c>
      <c r="D5544" t="n">
        <v>1</v>
      </c>
      <c r="E5544" t="n">
        <v>1</v>
      </c>
      <c r="F5544" t="n">
        <v>1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/>
      </c>
      <c r="T5544" t="inlineStr">
        <is>
          <t>26</t>
        </is>
      </c>
      <c r="U5544" t="inlineStr">
        <is>
          <t>1</t>
        </is>
      </c>
      <c r="V5544" t="n">
        <v/>
      </c>
      <c r="W5544" t="n">
        <v/>
      </c>
    </row>
    <row r="5545">
      <c r="A5545" t="inlineStr">
        <is>
          <t>27/01/2026 13:32:56</t>
        </is>
      </c>
      <c r="B5545" t="inlineStr">
        <is>
          <t>Dương Minh Tiến</t>
        </is>
      </c>
      <c r="C5545" t="inlineStr">
        <is>
          <t>27/01/2026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2</v>
      </c>
      <c r="L5545" t="n">
        <v>0</v>
      </c>
      <c r="M5545" t="n">
        <v>0</v>
      </c>
      <c r="N5545" t="n">
        <v>0</v>
      </c>
      <c r="O5545" t="n">
        <v>0</v>
      </c>
      <c r="P5545" t="n">
        <v>1</v>
      </c>
      <c r="Q5545" t="n">
        <v>0</v>
      </c>
      <c r="R5545" t="n">
        <v>0</v>
      </c>
      <c r="S5545" t="n">
        <v/>
      </c>
      <c r="T5545" t="inlineStr">
        <is>
          <t>27</t>
        </is>
      </c>
      <c r="U5545" t="inlineStr">
        <is>
          <t>1</t>
        </is>
      </c>
      <c r="V5545" t="n">
        <v/>
      </c>
      <c r="W5545" t="n">
        <v/>
      </c>
    </row>
    <row r="5546">
      <c r="A5546" t="inlineStr">
        <is>
          <t>28/01/2026 6:52:57</t>
        </is>
      </c>
      <c r="B5546" t="inlineStr">
        <is>
          <t>Trần Trung Giang</t>
        </is>
      </c>
      <c r="C5546" t="inlineStr">
        <is>
          <t>27/01/2026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/>
      </c>
      <c r="T5546" t="inlineStr">
        <is>
          <t>27</t>
        </is>
      </c>
      <c r="U5546" t="inlineStr">
        <is>
          <t>1</t>
        </is>
      </c>
      <c r="V5546" t="n">
        <v/>
      </c>
      <c r="W5546" t="n">
        <v/>
      </c>
    </row>
    <row r="5547">
      <c r="A5547" t="inlineStr">
        <is>
          <t>28/01/2026 6:55:13</t>
        </is>
      </c>
      <c r="B5547" t="inlineStr">
        <is>
          <t>Nguyễn Quang Anh Tuấn</t>
        </is>
      </c>
      <c r="C5547" t="inlineStr">
        <is>
          <t>27/01/2026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3</v>
      </c>
      <c r="L5547" t="n">
        <v>0</v>
      </c>
      <c r="M5547" t="n">
        <v>0</v>
      </c>
      <c r="N5547" t="n">
        <v>0</v>
      </c>
      <c r="O5547" t="n">
        <v>0</v>
      </c>
      <c r="P5547" t="n">
        <v>1</v>
      </c>
      <c r="Q5547" t="n">
        <v>2</v>
      </c>
      <c r="R5547" t="n">
        <v>0</v>
      </c>
      <c r="S5547" t="n">
        <v/>
      </c>
      <c r="T5547" t="inlineStr">
        <is>
          <t>27</t>
        </is>
      </c>
      <c r="U5547" t="inlineStr">
        <is>
          <t>1</t>
        </is>
      </c>
      <c r="V5547" t="n">
        <v/>
      </c>
      <c r="W5547" t="n">
        <v/>
      </c>
    </row>
    <row r="5548">
      <c r="A5548" t="inlineStr">
        <is>
          <t>28/01/2026 7:00:02</t>
        </is>
      </c>
      <c r="B5548" t="inlineStr">
        <is>
          <t>Lê Hồng Phong</t>
        </is>
      </c>
      <c r="C5548" t="inlineStr">
        <is>
          <t>28/01/2026</t>
        </is>
      </c>
      <c r="D5548" t="n">
        <v>1</v>
      </c>
      <c r="E5548" t="n">
        <v>1</v>
      </c>
      <c r="F5548" t="n">
        <v>1</v>
      </c>
      <c r="G5548" t="n">
        <v>1</v>
      </c>
      <c r="H5548" t="n">
        <v>1</v>
      </c>
      <c r="I5548" t="n">
        <v>1</v>
      </c>
      <c r="J5548" t="n">
        <v>1</v>
      </c>
      <c r="K5548" t="n">
        <v>1</v>
      </c>
      <c r="L5548" t="n">
        <v>1</v>
      </c>
      <c r="M5548" t="n">
        <v>1</v>
      </c>
      <c r="N5548" t="n">
        <v>1</v>
      </c>
      <c r="O5548" t="n">
        <v>1</v>
      </c>
      <c r="P5548" t="n">
        <v>1</v>
      </c>
      <c r="Q5548" t="n">
        <v>1</v>
      </c>
      <c r="R5548" t="n">
        <v>1</v>
      </c>
      <c r="S5548" t="n">
        <v/>
      </c>
      <c r="T5548" t="inlineStr">
        <is>
          <t>28</t>
        </is>
      </c>
      <c r="U5548" t="inlineStr">
        <is>
          <t>1</t>
        </is>
      </c>
      <c r="V5548" t="n">
        <v/>
      </c>
      <c r="W5548" t="n">
        <v/>
      </c>
    </row>
    <row r="5549">
      <c r="A5549" t="inlineStr">
        <is>
          <t>28/01/2026 7:05:19</t>
        </is>
      </c>
      <c r="B5549" t="inlineStr">
        <is>
          <t>Nguyễn Văn Hiệp</t>
        </is>
      </c>
      <c r="C5549" t="inlineStr">
        <is>
          <t>27/01/2026</t>
        </is>
      </c>
      <c r="D5549" t="n">
        <v>1</v>
      </c>
      <c r="E5549" t="n">
        <v>0</v>
      </c>
      <c r="F5549" t="n">
        <v>0</v>
      </c>
      <c r="G5549" t="n">
        <v>0</v>
      </c>
      <c r="H5549" t="n">
        <v>0</v>
      </c>
      <c r="I5549" t="n">
        <v>1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/>
      </c>
      <c r="T5549" t="inlineStr">
        <is>
          <t>27</t>
        </is>
      </c>
      <c r="U5549" t="inlineStr">
        <is>
          <t>1</t>
        </is>
      </c>
      <c r="V5549" t="n">
        <v/>
      </c>
      <c r="W5549" t="n">
        <v/>
      </c>
    </row>
    <row r="5550">
      <c r="A5550" t="inlineStr">
        <is>
          <t>28/01/2026 7:06:34</t>
        </is>
      </c>
      <c r="B5550" t="inlineStr">
        <is>
          <t>Lương Duy Hoàng</t>
        </is>
      </c>
      <c r="C5550" t="inlineStr">
        <is>
          <t>27/01/2026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4</v>
      </c>
      <c r="L5550" t="n">
        <v>0</v>
      </c>
      <c r="M5550" t="n">
        <v>2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/>
      </c>
      <c r="T5550" t="inlineStr">
        <is>
          <t>27</t>
        </is>
      </c>
      <c r="U5550" t="inlineStr">
        <is>
          <t>1</t>
        </is>
      </c>
      <c r="V5550" t="n">
        <v/>
      </c>
      <c r="W5550" t="n">
        <v/>
      </c>
    </row>
    <row r="5551">
      <c r="A5551" t="inlineStr">
        <is>
          <t>28/01/2026 7:09:04</t>
        </is>
      </c>
      <c r="B5551" t="inlineStr">
        <is>
          <t>Trần Xuân Khoa</t>
        </is>
      </c>
      <c r="C5551" t="inlineStr">
        <is>
          <t>27/01/2026</t>
        </is>
      </c>
      <c r="D5551" t="n">
        <v>1</v>
      </c>
      <c r="E5551" t="n">
        <v>1</v>
      </c>
      <c r="F5551" t="n">
        <v>1</v>
      </c>
      <c r="G5551" t="n">
        <v>0</v>
      </c>
      <c r="H5551" t="n">
        <v>0</v>
      </c>
      <c r="I5551" t="n">
        <v>0</v>
      </c>
      <c r="J5551" t="n">
        <v>0</v>
      </c>
      <c r="K5551" t="n">
        <v>1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2</v>
      </c>
      <c r="R5551" t="n">
        <v>0</v>
      </c>
      <c r="S5551" t="n">
        <v/>
      </c>
      <c r="T5551" t="inlineStr">
        <is>
          <t>27</t>
        </is>
      </c>
      <c r="U5551" t="inlineStr">
        <is>
          <t>1</t>
        </is>
      </c>
      <c r="V5551" t="n">
        <v/>
      </c>
      <c r="W5551" t="n">
        <v/>
      </c>
    </row>
    <row r="5552">
      <c r="A5552" t="inlineStr">
        <is>
          <t>28/01/2026 7:17:16</t>
        </is>
      </c>
      <c r="B5552" t="inlineStr">
        <is>
          <t>Nguyễn Tuấn Anh</t>
        </is>
      </c>
      <c r="C5552" t="inlineStr">
        <is>
          <t>27/01/2026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2</v>
      </c>
      <c r="J5552" t="n">
        <v>0</v>
      </c>
      <c r="K5552" t="n">
        <v>7</v>
      </c>
      <c r="L5552" t="n">
        <v>0</v>
      </c>
      <c r="M5552" t="n">
        <v>0</v>
      </c>
      <c r="N5552" t="n">
        <v>2</v>
      </c>
      <c r="O5552" t="n">
        <v>0</v>
      </c>
      <c r="P5552" t="n">
        <v>0</v>
      </c>
      <c r="Q5552" t="n">
        <v>2</v>
      </c>
      <c r="R5552" t="n">
        <v>0</v>
      </c>
      <c r="S5552" t="n">
        <v/>
      </c>
      <c r="T5552" t="inlineStr">
        <is>
          <t>27</t>
        </is>
      </c>
      <c r="U5552" t="inlineStr">
        <is>
          <t>1</t>
        </is>
      </c>
      <c r="V5552" t="n">
        <v/>
      </c>
      <c r="W5552" t="n">
        <v/>
      </c>
    </row>
    <row r="5553">
      <c r="A5553" t="inlineStr">
        <is>
          <t>28/01/2026 7:18:54</t>
        </is>
      </c>
      <c r="B5553" t="inlineStr">
        <is>
          <t>Đặng Hoài Anh</t>
        </is>
      </c>
      <c r="C5553" t="inlineStr">
        <is>
          <t>27/01/2026</t>
        </is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  <c r="I5553" t="n">
        <v>0</v>
      </c>
      <c r="J5553" t="n">
        <v>0</v>
      </c>
      <c r="K5553" t="n">
        <v>2</v>
      </c>
      <c r="L5553" t="n">
        <v>1</v>
      </c>
      <c r="M5553" t="n">
        <v>0</v>
      </c>
      <c r="N5553" t="n">
        <v>0</v>
      </c>
      <c r="O5553" t="n">
        <v>0</v>
      </c>
      <c r="P5553" t="n">
        <v>0</v>
      </c>
      <c r="Q5553" t="n">
        <v>1</v>
      </c>
      <c r="R5553" t="n">
        <v>0</v>
      </c>
      <c r="S5553" t="n">
        <v/>
      </c>
      <c r="T5553" t="inlineStr">
        <is>
          <t>27</t>
        </is>
      </c>
      <c r="U5553" t="inlineStr">
        <is>
          <t>1</t>
        </is>
      </c>
      <c r="V5553" t="n">
        <v/>
      </c>
      <c r="W5553" t="n">
        <v/>
      </c>
    </row>
    <row r="5554">
      <c r="A5554" t="inlineStr">
        <is>
          <t>28/01/2026 7:33:29</t>
        </is>
      </c>
      <c r="B5554" t="inlineStr">
        <is>
          <t>Vòng Nhật Sang</t>
        </is>
      </c>
      <c r="C5554" t="inlineStr">
        <is>
          <t>27/01/2026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3</v>
      </c>
      <c r="Q5554" t="n">
        <v>3</v>
      </c>
      <c r="R5554" t="n">
        <v>0</v>
      </c>
      <c r="S5554" t="n">
        <v/>
      </c>
      <c r="T5554" t="inlineStr">
        <is>
          <t>27</t>
        </is>
      </c>
      <c r="U5554" t="inlineStr">
        <is>
          <t>1</t>
        </is>
      </c>
      <c r="V5554" t="n">
        <v/>
      </c>
      <c r="W5554" t="n">
        <v/>
      </c>
    </row>
    <row r="5555">
      <c r="A5555" t="inlineStr">
        <is>
          <t>28/01/2026 7:41:23</t>
        </is>
      </c>
      <c r="B5555" t="inlineStr">
        <is>
          <t>Huỳnh Văn Lực</t>
        </is>
      </c>
      <c r="C5555" t="inlineStr">
        <is>
          <t>27/01/2026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1</v>
      </c>
      <c r="R5555" t="n">
        <v>0</v>
      </c>
      <c r="S5555" t="n">
        <v/>
      </c>
      <c r="T5555" t="inlineStr">
        <is>
          <t>27</t>
        </is>
      </c>
      <c r="U5555" t="inlineStr">
        <is>
          <t>1</t>
        </is>
      </c>
      <c r="V5555" t="n">
        <v/>
      </c>
      <c r="W5555" t="n">
        <v/>
      </c>
    </row>
    <row r="5556">
      <c r="A5556" t="inlineStr">
        <is>
          <t>28/01/2026 7:44:30</t>
        </is>
      </c>
      <c r="B5556" t="inlineStr">
        <is>
          <t>Nguyễn Hồng Minh</t>
        </is>
      </c>
      <c r="C5556" t="inlineStr">
        <is>
          <t>27/01/2026</t>
        </is>
      </c>
      <c r="D5556" t="n">
        <v>1</v>
      </c>
      <c r="E5556" t="n">
        <v>1</v>
      </c>
      <c r="F5556" t="n">
        <v>1</v>
      </c>
      <c r="G5556" t="n">
        <v>0</v>
      </c>
      <c r="H5556" t="n">
        <v>0</v>
      </c>
      <c r="I5556" t="n">
        <v>2</v>
      </c>
      <c r="J5556" t="n">
        <v>0</v>
      </c>
      <c r="K5556" t="n">
        <v>3</v>
      </c>
      <c r="L5556" t="n">
        <v>0</v>
      </c>
      <c r="M5556" t="n">
        <v>1</v>
      </c>
      <c r="N5556" t="n">
        <v>0</v>
      </c>
      <c r="O5556" t="n">
        <v>1</v>
      </c>
      <c r="P5556" t="n">
        <v>0</v>
      </c>
      <c r="Q5556" t="n">
        <v>6</v>
      </c>
      <c r="R5556" t="n">
        <v>0</v>
      </c>
      <c r="S5556" t="n">
        <v/>
      </c>
      <c r="T5556" t="inlineStr">
        <is>
          <t>27</t>
        </is>
      </c>
      <c r="U5556" t="inlineStr">
        <is>
          <t>1</t>
        </is>
      </c>
      <c r="V5556" t="n">
        <v/>
      </c>
      <c r="W5556" t="n">
        <v/>
      </c>
    </row>
    <row r="5557">
      <c r="A5557" t="inlineStr">
        <is>
          <t>29/01/2026 6:47:25</t>
        </is>
      </c>
      <c r="B5557" t="inlineStr">
        <is>
          <t>Lương Duy Hoàng</t>
        </is>
      </c>
      <c r="C5557" t="inlineStr">
        <is>
          <t>28/01/2026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3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2</v>
      </c>
      <c r="R5557" t="n">
        <v>0</v>
      </c>
      <c r="S5557" t="n">
        <v/>
      </c>
      <c r="T5557" t="inlineStr">
        <is>
          <t>28</t>
        </is>
      </c>
      <c r="U5557" t="inlineStr">
        <is>
          <t>1</t>
        </is>
      </c>
      <c r="V5557" t="n">
        <v/>
      </c>
      <c r="W5557" t="n">
        <v/>
      </c>
    </row>
    <row r="5558">
      <c r="A5558" t="inlineStr">
        <is>
          <t>29/01/2026 6:48:19</t>
        </is>
      </c>
      <c r="B5558" t="inlineStr">
        <is>
          <t>Lê Hồng Phong</t>
        </is>
      </c>
      <c r="C5558" t="inlineStr">
        <is>
          <t>29/01/2026</t>
        </is>
      </c>
      <c r="D5558" t="n">
        <v>1</v>
      </c>
      <c r="E5558" t="n">
        <v>1</v>
      </c>
      <c r="F5558" t="n">
        <v>1</v>
      </c>
      <c r="G5558" t="n">
        <v>1</v>
      </c>
      <c r="H5558" t="n">
        <v>1</v>
      </c>
      <c r="I5558" t="n">
        <v>1</v>
      </c>
      <c r="J5558" t="n">
        <v>1</v>
      </c>
      <c r="K5558" t="n">
        <v>1</v>
      </c>
      <c r="L5558" t="n">
        <v>1</v>
      </c>
      <c r="M5558" t="n">
        <v>1</v>
      </c>
      <c r="N5558" t="n">
        <v>1</v>
      </c>
      <c r="O5558" t="n">
        <v>1</v>
      </c>
      <c r="P5558" t="n">
        <v>1</v>
      </c>
      <c r="Q5558" t="n">
        <v>1</v>
      </c>
      <c r="R5558" t="n">
        <v>1</v>
      </c>
      <c r="S5558" t="n">
        <v/>
      </c>
      <c r="T5558" t="inlineStr">
        <is>
          <t>29</t>
        </is>
      </c>
      <c r="U5558" t="inlineStr">
        <is>
          <t>1</t>
        </is>
      </c>
      <c r="V5558" t="n">
        <v/>
      </c>
      <c r="W5558" t="n">
        <v/>
      </c>
    </row>
    <row r="5559">
      <c r="A5559" t="inlineStr">
        <is>
          <t>29/01/2026 6:55:14</t>
        </is>
      </c>
      <c r="B5559" t="inlineStr">
        <is>
          <t>Trần Trung Giang</t>
        </is>
      </c>
      <c r="C5559" t="inlineStr">
        <is>
          <t>28/01/2026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1</v>
      </c>
      <c r="Q5559" t="n">
        <v>0</v>
      </c>
      <c r="R5559" t="n">
        <v>0</v>
      </c>
      <c r="S5559" t="n">
        <v/>
      </c>
      <c r="T5559" t="inlineStr">
        <is>
          <t>28</t>
        </is>
      </c>
      <c r="U5559" t="inlineStr">
        <is>
          <t>1</t>
        </is>
      </c>
      <c r="V5559" t="n">
        <v/>
      </c>
      <c r="W5559" t="n">
        <v/>
      </c>
    </row>
    <row r="5560">
      <c r="A5560" t="inlineStr">
        <is>
          <t>29/01/2026 7:14:28</t>
        </is>
      </c>
      <c r="B5560" t="inlineStr">
        <is>
          <t>Nguyễn Văn Hiệp</t>
        </is>
      </c>
      <c r="C5560" t="inlineStr">
        <is>
          <t>28/01/2026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/>
      </c>
      <c r="T5560" t="inlineStr">
        <is>
          <t>28</t>
        </is>
      </c>
      <c r="U5560" t="inlineStr">
        <is>
          <t>1</t>
        </is>
      </c>
      <c r="V5560" t="n">
        <v/>
      </c>
      <c r="W5560" t="n">
        <v/>
      </c>
    </row>
    <row r="5561">
      <c r="A5561" t="inlineStr">
        <is>
          <t>29/01/2026 7:15:53</t>
        </is>
      </c>
      <c r="B5561" t="inlineStr">
        <is>
          <t>Nguyễn Quang Anh Tuấn</t>
        </is>
      </c>
      <c r="C5561" t="inlineStr">
        <is>
          <t>28/01/2026</t>
        </is>
      </c>
      <c r="D5561" t="n">
        <v>1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2</v>
      </c>
      <c r="N5561" t="n">
        <v>0</v>
      </c>
      <c r="O5561" t="n">
        <v>0</v>
      </c>
      <c r="P5561" t="n">
        <v>0</v>
      </c>
      <c r="Q5561" t="n">
        <v>2</v>
      </c>
      <c r="R5561" t="n">
        <v>0</v>
      </c>
      <c r="S5561" t="n">
        <v/>
      </c>
      <c r="T5561" t="inlineStr">
        <is>
          <t>28</t>
        </is>
      </c>
      <c r="U5561" t="inlineStr">
        <is>
          <t>1</t>
        </is>
      </c>
      <c r="V5561" t="n">
        <v/>
      </c>
      <c r="W5561" t="n">
        <v/>
      </c>
    </row>
    <row r="5562">
      <c r="A5562" t="inlineStr">
        <is>
          <t>29/01/2026 7:16:01</t>
        </is>
      </c>
      <c r="B5562" t="inlineStr">
        <is>
          <t>Nguyễn Tuấn Anh</t>
        </is>
      </c>
      <c r="C5562" t="inlineStr">
        <is>
          <t>29/01/2026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1</v>
      </c>
      <c r="J5562" t="n">
        <v>0</v>
      </c>
      <c r="K5562" t="n">
        <v>2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5</v>
      </c>
      <c r="R5562" t="n">
        <v>0</v>
      </c>
      <c r="S5562" t="n">
        <v/>
      </c>
      <c r="T5562" t="inlineStr">
        <is>
          <t>29</t>
        </is>
      </c>
      <c r="U5562" t="inlineStr">
        <is>
          <t>1</t>
        </is>
      </c>
      <c r="V5562" t="n">
        <v/>
      </c>
      <c r="W5562" t="n">
        <v/>
      </c>
    </row>
    <row r="5563">
      <c r="A5563" t="inlineStr">
        <is>
          <t>29/01/2026 7:20:16</t>
        </is>
      </c>
      <c r="B5563" t="inlineStr">
        <is>
          <t>Đặng Hoài Anh</t>
        </is>
      </c>
      <c r="C5563" t="inlineStr">
        <is>
          <t>28/01/2026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/>
      </c>
      <c r="T5563" t="inlineStr">
        <is>
          <t>28</t>
        </is>
      </c>
      <c r="U5563" t="inlineStr">
        <is>
          <t>1</t>
        </is>
      </c>
      <c r="V5563" t="n">
        <v/>
      </c>
      <c r="W5563" t="n">
        <v/>
      </c>
    </row>
    <row r="5564">
      <c r="A5564" t="inlineStr">
        <is>
          <t>29/01/2026 7:35:14</t>
        </is>
      </c>
      <c r="B5564" t="inlineStr">
        <is>
          <t>Huỳnh Văn Lực</t>
        </is>
      </c>
      <c r="C5564" t="inlineStr">
        <is>
          <t>28/01/2026</t>
        </is>
      </c>
      <c r="D5564" t="n">
        <v>1</v>
      </c>
      <c r="E5564" t="n">
        <v>1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2</v>
      </c>
      <c r="L5564" t="n">
        <v>0</v>
      </c>
      <c r="M5564" t="n">
        <v>0</v>
      </c>
      <c r="N5564" t="n">
        <v>0</v>
      </c>
      <c r="O5564" t="n">
        <v>0</v>
      </c>
      <c r="P5564" t="n">
        <v>2</v>
      </c>
      <c r="Q5564" t="n">
        <v>1</v>
      </c>
      <c r="R5564" t="n">
        <v>0</v>
      </c>
      <c r="S5564" t="n">
        <v/>
      </c>
      <c r="T5564" t="inlineStr">
        <is>
          <t>28</t>
        </is>
      </c>
      <c r="U5564" t="inlineStr">
        <is>
          <t>1</t>
        </is>
      </c>
      <c r="V5564" t="n">
        <v/>
      </c>
      <c r="W5564" t="n">
        <v/>
      </c>
    </row>
    <row r="5565">
      <c r="A5565" t="inlineStr">
        <is>
          <t>29/01/2026 7:44:37</t>
        </is>
      </c>
      <c r="B5565" t="inlineStr">
        <is>
          <t>Nguyễn Hồng Minh</t>
        </is>
      </c>
      <c r="C5565" t="inlineStr">
        <is>
          <t>28/01/2026</t>
        </is>
      </c>
      <c r="D5565" t="n">
        <v>1</v>
      </c>
      <c r="E5565" t="n">
        <v>1</v>
      </c>
      <c r="F5565" t="n">
        <v>1</v>
      </c>
      <c r="G5565" t="n">
        <v>0</v>
      </c>
      <c r="H5565" t="n">
        <v>0</v>
      </c>
      <c r="I5565" t="n">
        <v>1</v>
      </c>
      <c r="J5565" t="n">
        <v>0</v>
      </c>
      <c r="K5565" t="n">
        <v>2</v>
      </c>
      <c r="L5565" t="n">
        <v>2</v>
      </c>
      <c r="M5565" t="n">
        <v>1</v>
      </c>
      <c r="N5565" t="n">
        <v>0</v>
      </c>
      <c r="O5565" t="n">
        <v>0</v>
      </c>
      <c r="P5565" t="n">
        <v>0</v>
      </c>
      <c r="Q5565" t="n">
        <v>3</v>
      </c>
      <c r="R5565" t="n">
        <v>0</v>
      </c>
      <c r="S5565" t="n">
        <v/>
      </c>
      <c r="T5565" t="inlineStr">
        <is>
          <t>28</t>
        </is>
      </c>
      <c r="U5565" t="inlineStr">
        <is>
          <t>1</t>
        </is>
      </c>
      <c r="V5565" t="n">
        <v/>
      </c>
      <c r="W5565" t="n">
        <v/>
      </c>
    </row>
    <row r="5566">
      <c r="A5566" t="inlineStr">
        <is>
          <t>29/01/2026 7:46:58</t>
        </is>
      </c>
      <c r="B5566" t="inlineStr">
        <is>
          <t>Trần Xuân Khoa</t>
        </is>
      </c>
      <c r="C5566" t="inlineStr">
        <is>
          <t>28/01/2026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11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3</v>
      </c>
      <c r="R5566" t="n">
        <v>0</v>
      </c>
      <c r="S5566" t="n">
        <v/>
      </c>
      <c r="T5566" t="inlineStr">
        <is>
          <t>28</t>
        </is>
      </c>
      <c r="U5566" t="inlineStr">
        <is>
          <t>1</t>
        </is>
      </c>
      <c r="V5566" t="n">
        <v/>
      </c>
      <c r="W5566" t="n">
        <v/>
      </c>
    </row>
    <row r="5567">
      <c r="A5567" t="inlineStr">
        <is>
          <t>29/01/2026 8:01:57</t>
        </is>
      </c>
      <c r="B5567" t="inlineStr">
        <is>
          <t>Vòng Nhật Sang</t>
        </is>
      </c>
      <c r="C5567" t="inlineStr">
        <is>
          <t>28/01/2026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2</v>
      </c>
      <c r="L5567" t="n">
        <v>0</v>
      </c>
      <c r="M5567" t="n">
        <v>0</v>
      </c>
      <c r="N5567" t="n">
        <v>0</v>
      </c>
      <c r="O5567" t="n">
        <v>0</v>
      </c>
      <c r="P5567" t="n">
        <v>2</v>
      </c>
      <c r="Q5567" t="n">
        <v>2</v>
      </c>
      <c r="R5567" t="n">
        <v>0</v>
      </c>
      <c r="S5567" t="n">
        <v/>
      </c>
      <c r="T5567" t="inlineStr">
        <is>
          <t>28</t>
        </is>
      </c>
      <c r="U5567" t="inlineStr">
        <is>
          <t>1</t>
        </is>
      </c>
      <c r="V5567" t="n">
        <v/>
      </c>
      <c r="W5567" t="n">
        <v/>
      </c>
    </row>
    <row r="5568">
      <c r="A5568" t="inlineStr">
        <is>
          <t>30/01/2026 6:53:31</t>
        </is>
      </c>
      <c r="B5568" t="inlineStr">
        <is>
          <t>Lương Duy Hoàng</t>
        </is>
      </c>
      <c r="C5568" t="inlineStr">
        <is>
          <t>29/01/2026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</v>
      </c>
      <c r="J5568" t="n">
        <v>0</v>
      </c>
      <c r="K5568" t="n">
        <v>3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3</v>
      </c>
      <c r="R5568" t="n">
        <v>0</v>
      </c>
      <c r="S5568" t="n">
        <v/>
      </c>
      <c r="T5568" t="inlineStr">
        <is>
          <t>29</t>
        </is>
      </c>
      <c r="U5568" t="inlineStr">
        <is>
          <t>1</t>
        </is>
      </c>
      <c r="V5568" t="n">
        <v/>
      </c>
      <c r="W5568" t="n">
        <v/>
      </c>
    </row>
    <row r="5569">
      <c r="A5569" t="inlineStr">
        <is>
          <t>30/01/2026 7:00:17</t>
        </is>
      </c>
      <c r="B5569" t="inlineStr">
        <is>
          <t>Nguyễn Văn Hiệp</t>
        </is>
      </c>
      <c r="C5569" t="inlineStr">
        <is>
          <t>29/01/2026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2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/>
      </c>
      <c r="T5569" t="inlineStr">
        <is>
          <t>29</t>
        </is>
      </c>
      <c r="U5569" t="inlineStr">
        <is>
          <t>1</t>
        </is>
      </c>
      <c r="V5569" t="n">
        <v/>
      </c>
      <c r="W5569" t="n">
        <v/>
      </c>
    </row>
    <row r="5570">
      <c r="A5570" t="inlineStr">
        <is>
          <t>30/01/2026 7:00:35</t>
        </is>
      </c>
      <c r="B5570" t="inlineStr">
        <is>
          <t>Nguyễn Quang Anh Tuấn</t>
        </is>
      </c>
      <c r="C5570" t="inlineStr">
        <is>
          <t>29/01/2026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2</v>
      </c>
      <c r="N5570" t="n">
        <v>0</v>
      </c>
      <c r="O5570" t="n">
        <v>0</v>
      </c>
      <c r="P5570" t="n">
        <v>0</v>
      </c>
      <c r="Q5570" t="n">
        <v>2</v>
      </c>
      <c r="R5570" t="n">
        <v>0</v>
      </c>
      <c r="S5570" t="n">
        <v/>
      </c>
      <c r="T5570" t="inlineStr">
        <is>
          <t>29</t>
        </is>
      </c>
      <c r="U5570" t="inlineStr">
        <is>
          <t>1</t>
        </is>
      </c>
      <c r="V5570" t="n">
        <v/>
      </c>
      <c r="W5570" t="n">
        <v/>
      </c>
    </row>
    <row r="5571">
      <c r="A5571" t="inlineStr">
        <is>
          <t>30/01/2026 7:07:54</t>
        </is>
      </c>
      <c r="B5571" t="inlineStr">
        <is>
          <t>Huỳnh Văn Lực</t>
        </is>
      </c>
      <c r="C5571" t="inlineStr">
        <is>
          <t>29/01/2026</t>
        </is>
      </c>
      <c r="D5571" t="n">
        <v>0</v>
      </c>
      <c r="E5571" t="n">
        <v>0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/>
      </c>
      <c r="T5571" t="inlineStr">
        <is>
          <t>29</t>
        </is>
      </c>
      <c r="U5571" t="inlineStr">
        <is>
          <t>1</t>
        </is>
      </c>
      <c r="V5571" t="n">
        <v/>
      </c>
      <c r="W5571" t="n">
        <v/>
      </c>
    </row>
    <row r="5572">
      <c r="A5572" t="inlineStr">
        <is>
          <t>30/01/2026 7:20:45</t>
        </is>
      </c>
      <c r="B5572" t="inlineStr">
        <is>
          <t>Trần Trung Giang</t>
        </is>
      </c>
      <c r="C5572" t="inlineStr">
        <is>
          <t>29/01/2026</t>
        </is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  <c r="I5572" t="n">
        <v>0</v>
      </c>
      <c r="J5572" t="n">
        <v>0</v>
      </c>
      <c r="K5572" t="n">
        <v>4</v>
      </c>
      <c r="L5572" t="n">
        <v>0</v>
      </c>
      <c r="M5572" t="n">
        <v>1</v>
      </c>
      <c r="N5572" t="n">
        <v>0</v>
      </c>
      <c r="O5572" t="n">
        <v>0</v>
      </c>
      <c r="P5572" t="n">
        <v>1</v>
      </c>
      <c r="Q5572" t="n">
        <v>0</v>
      </c>
      <c r="R5572" t="n">
        <v>0</v>
      </c>
      <c r="S5572" t="n">
        <v/>
      </c>
      <c r="T5572" t="inlineStr">
        <is>
          <t>29</t>
        </is>
      </c>
      <c r="U5572" t="inlineStr">
        <is>
          <t>1</t>
        </is>
      </c>
      <c r="V5572" t="n">
        <v/>
      </c>
      <c r="W5572" t="n">
        <v/>
      </c>
    </row>
    <row r="5573">
      <c r="A5573" t="inlineStr">
        <is>
          <t>30/01/2026 7:22:17</t>
        </is>
      </c>
      <c r="B5573" t="inlineStr">
        <is>
          <t>Trần Xuân Khoa</t>
        </is>
      </c>
      <c r="C5573" t="inlineStr">
        <is>
          <t>29/01/2026</t>
        </is>
      </c>
      <c r="D5573" t="n">
        <v>1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2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3</v>
      </c>
      <c r="R5573" t="n">
        <v>0</v>
      </c>
      <c r="S5573" t="n">
        <v/>
      </c>
      <c r="T5573" t="inlineStr">
        <is>
          <t>29</t>
        </is>
      </c>
      <c r="U5573" t="inlineStr">
        <is>
          <t>1</t>
        </is>
      </c>
      <c r="V5573" t="n">
        <v/>
      </c>
      <c r="W5573" t="n">
        <v/>
      </c>
    </row>
    <row r="5574">
      <c r="A5574" t="inlineStr">
        <is>
          <t>30/01/2026 7:29:40</t>
        </is>
      </c>
      <c r="B5574" t="inlineStr">
        <is>
          <t>Nguyễn Tuấn Anh</t>
        </is>
      </c>
      <c r="C5574" t="inlineStr">
        <is>
          <t>29/01/2026</t>
        </is>
      </c>
      <c r="D5574" t="n">
        <v>0</v>
      </c>
      <c r="E5574" t="n">
        <v>2</v>
      </c>
      <c r="F5574" t="n">
        <v>2</v>
      </c>
      <c r="G5574" t="n">
        <v>1</v>
      </c>
      <c r="H5574" t="n">
        <v>1</v>
      </c>
      <c r="I5574" t="n">
        <v>2</v>
      </c>
      <c r="J5574" t="n">
        <v>0</v>
      </c>
      <c r="K5574" t="n">
        <v>2</v>
      </c>
      <c r="L5574" t="n">
        <v>0</v>
      </c>
      <c r="M5574" t="n">
        <v>0</v>
      </c>
      <c r="N5574" t="n">
        <v>1</v>
      </c>
      <c r="O5574" t="n">
        <v>0</v>
      </c>
      <c r="P5574" t="n">
        <v>0</v>
      </c>
      <c r="Q5574" t="n">
        <v>2</v>
      </c>
      <c r="R5574" t="n">
        <v>0</v>
      </c>
      <c r="S5574" t="n">
        <v/>
      </c>
      <c r="T5574" t="inlineStr">
        <is>
          <t>29</t>
        </is>
      </c>
      <c r="U5574" t="inlineStr">
        <is>
          <t>1</t>
        </is>
      </c>
      <c r="V5574" t="n">
        <v/>
      </c>
      <c r="W5574" t="n">
        <v/>
      </c>
    </row>
    <row r="5575">
      <c r="A5575" t="inlineStr">
        <is>
          <t>30/01/2026 7:36:29</t>
        </is>
      </c>
      <c r="B5575" t="inlineStr">
        <is>
          <t>Đặng Hoài Anh</t>
        </is>
      </c>
      <c r="C5575" t="inlineStr">
        <is>
          <t>29/01/2026</t>
        </is>
      </c>
      <c r="D5575" t="n">
        <v>1</v>
      </c>
      <c r="E5575" t="n">
        <v>1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1</v>
      </c>
      <c r="N5575" t="n">
        <v>1</v>
      </c>
      <c r="O5575" t="n">
        <v>0</v>
      </c>
      <c r="P5575" t="n">
        <v>0</v>
      </c>
      <c r="Q5575" t="n">
        <v>1</v>
      </c>
      <c r="R5575" t="n">
        <v>0</v>
      </c>
      <c r="S5575" t="n">
        <v/>
      </c>
      <c r="T5575" t="inlineStr">
        <is>
          <t>29</t>
        </is>
      </c>
      <c r="U5575" t="inlineStr">
        <is>
          <t>1</t>
        </is>
      </c>
      <c r="V5575" t="n">
        <v/>
      </c>
      <c r="W5575" t="n">
        <v/>
      </c>
    </row>
    <row r="5576">
      <c r="A5576" t="inlineStr">
        <is>
          <t>30/01/2026 7:56:11</t>
        </is>
      </c>
      <c r="B5576" t="inlineStr">
        <is>
          <t>Lê Hồng Phong</t>
        </is>
      </c>
      <c r="C5576" t="inlineStr">
        <is>
          <t>30/01/2026</t>
        </is>
      </c>
      <c r="D5576" t="n">
        <v>1</v>
      </c>
      <c r="E5576" t="n">
        <v>1</v>
      </c>
      <c r="F5576" t="n">
        <v>1</v>
      </c>
      <c r="G5576" t="n">
        <v>1</v>
      </c>
      <c r="H5576" t="n">
        <v>1</v>
      </c>
      <c r="I5576" t="n">
        <v>1</v>
      </c>
      <c r="J5576" t="n">
        <v>1</v>
      </c>
      <c r="K5576" t="n">
        <v>1</v>
      </c>
      <c r="L5576" t="n">
        <v>1</v>
      </c>
      <c r="M5576" t="n">
        <v>1</v>
      </c>
      <c r="N5576" t="n">
        <v>1</v>
      </c>
      <c r="O5576" t="n">
        <v>1</v>
      </c>
      <c r="P5576" t="n">
        <v>1</v>
      </c>
      <c r="Q5576" t="n">
        <v>1</v>
      </c>
      <c r="R5576" t="n">
        <v>1</v>
      </c>
      <c r="S5576" t="n">
        <v/>
      </c>
      <c r="T5576" t="inlineStr">
        <is>
          <t>30</t>
        </is>
      </c>
      <c r="U5576" t="inlineStr">
        <is>
          <t>1</t>
        </is>
      </c>
      <c r="V5576" t="n">
        <v/>
      </c>
      <c r="W5576" t="n">
        <v/>
      </c>
    </row>
    <row r="5577">
      <c r="A5577" t="inlineStr">
        <is>
          <t>30/01/2026 9:04:03</t>
        </is>
      </c>
      <c r="B5577" t="inlineStr">
        <is>
          <t>Nguyễn Hồng Minh</t>
        </is>
      </c>
      <c r="C5577" t="inlineStr">
        <is>
          <t>29/01/2026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2</v>
      </c>
      <c r="J5577" t="n">
        <v>0</v>
      </c>
      <c r="K5577" t="n">
        <v>2</v>
      </c>
      <c r="L5577" t="n">
        <v>0</v>
      </c>
      <c r="M5577" t="n">
        <v>1</v>
      </c>
      <c r="N5577" t="n">
        <v>1</v>
      </c>
      <c r="O5577" t="n">
        <v>0</v>
      </c>
      <c r="P5577" t="n">
        <v>0</v>
      </c>
      <c r="Q5577" t="n">
        <v>5</v>
      </c>
      <c r="R5577" t="n">
        <v>0</v>
      </c>
      <c r="S5577" t="n">
        <v/>
      </c>
      <c r="T5577" t="inlineStr">
        <is>
          <t>29</t>
        </is>
      </c>
      <c r="U5577" t="inlineStr">
        <is>
          <t>1</t>
        </is>
      </c>
      <c r="V5577" t="n">
        <v/>
      </c>
      <c r="W5577" t="n">
        <v/>
      </c>
    </row>
    <row r="5578">
      <c r="A5578" t="inlineStr">
        <is>
          <t>31/01/2026 6:52:30</t>
        </is>
      </c>
      <c r="B5578" t="inlineStr">
        <is>
          <t>Lương Duy Hoàng</t>
        </is>
      </c>
      <c r="C5578" t="inlineStr">
        <is>
          <t>30/01/2026</t>
        </is>
      </c>
      <c r="D5578" t="n">
        <v>0</v>
      </c>
      <c r="E5578" t="n">
        <v>0</v>
      </c>
      <c r="F5578" t="n">
        <v>1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3</v>
      </c>
      <c r="M5578" t="n">
        <v>2</v>
      </c>
      <c r="N5578" t="n">
        <v>1</v>
      </c>
      <c r="O5578" t="n">
        <v>1</v>
      </c>
      <c r="P5578" t="n">
        <v>1</v>
      </c>
      <c r="Q5578" t="n">
        <v>1</v>
      </c>
      <c r="R5578" t="n">
        <v>0</v>
      </c>
      <c r="S5578" t="n">
        <v/>
      </c>
      <c r="T5578" t="inlineStr">
        <is>
          <t>30</t>
        </is>
      </c>
      <c r="U5578" t="inlineStr">
        <is>
          <t>1</t>
        </is>
      </c>
      <c r="V5578" t="n">
        <v/>
      </c>
      <c r="W5578" t="n">
        <v/>
      </c>
    </row>
    <row r="5579">
      <c r="A5579" t="inlineStr">
        <is>
          <t>31/01/2026 7:04:20</t>
        </is>
      </c>
      <c r="B5579" t="inlineStr">
        <is>
          <t>Lê Hồng Phong</t>
        </is>
      </c>
      <c r="C5579" t="inlineStr">
        <is>
          <t>31/01/2026</t>
        </is>
      </c>
      <c r="D5579" t="n">
        <v>1</v>
      </c>
      <c r="E5579" t="n">
        <v>1</v>
      </c>
      <c r="F5579" t="n">
        <v>1</v>
      </c>
      <c r="G5579" t="n">
        <v>1</v>
      </c>
      <c r="H5579" t="n">
        <v>1</v>
      </c>
      <c r="I5579" t="n">
        <v>1</v>
      </c>
      <c r="J5579" t="n">
        <v>1</v>
      </c>
      <c r="K5579" t="n">
        <v>1</v>
      </c>
      <c r="L5579" t="n">
        <v>1</v>
      </c>
      <c r="M5579" t="n">
        <v>1</v>
      </c>
      <c r="N5579" t="n">
        <v>1</v>
      </c>
      <c r="O5579" t="n">
        <v>1</v>
      </c>
      <c r="P5579" t="n">
        <v>1</v>
      </c>
      <c r="Q5579" t="n">
        <v>1</v>
      </c>
      <c r="R5579" t="n">
        <v>1</v>
      </c>
      <c r="S5579" t="n">
        <v/>
      </c>
      <c r="T5579" t="inlineStr">
        <is>
          <t>31</t>
        </is>
      </c>
      <c r="U5579" t="inlineStr">
        <is>
          <t>1</t>
        </is>
      </c>
      <c r="V5579" t="n">
        <v/>
      </c>
      <c r="W5579" t="n">
        <v/>
      </c>
    </row>
    <row r="5580">
      <c r="A5580" t="inlineStr">
        <is>
          <t>31/01/2026 7:12:49</t>
        </is>
      </c>
      <c r="B5580" t="inlineStr">
        <is>
          <t>Nguyễn Tuấn Anh</t>
        </is>
      </c>
      <c r="C5580" t="inlineStr">
        <is>
          <t>30/01/2026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2</v>
      </c>
      <c r="L5580" t="n">
        <v>0</v>
      </c>
      <c r="M5580" t="n">
        <v>0</v>
      </c>
      <c r="N5580" t="n">
        <v>2</v>
      </c>
      <c r="O5580" t="n">
        <v>0</v>
      </c>
      <c r="P5580" t="n">
        <v>0</v>
      </c>
      <c r="Q5580" t="n">
        <v>2</v>
      </c>
      <c r="R5580" t="n">
        <v>0</v>
      </c>
      <c r="S5580" t="n">
        <v/>
      </c>
      <c r="T5580" t="inlineStr">
        <is>
          <t>30</t>
        </is>
      </c>
      <c r="U5580" t="inlineStr">
        <is>
          <t>1</t>
        </is>
      </c>
      <c r="V5580" t="n">
        <v/>
      </c>
      <c r="W5580" t="n">
        <v/>
      </c>
    </row>
    <row r="5581">
      <c r="A5581" t="inlineStr">
        <is>
          <t>31/01/2026 7:14:44</t>
        </is>
      </c>
      <c r="B5581" t="inlineStr">
        <is>
          <t>Nguyễn Quang Anh Tuấn</t>
        </is>
      </c>
      <c r="C5581" t="inlineStr">
        <is>
          <t>30/01/2026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2</v>
      </c>
      <c r="N5581" t="n">
        <v>0</v>
      </c>
      <c r="O5581" t="n">
        <v>0</v>
      </c>
      <c r="P5581" t="n">
        <v>0</v>
      </c>
      <c r="Q5581" t="n">
        <v>2</v>
      </c>
      <c r="R5581" t="n">
        <v>0</v>
      </c>
      <c r="S5581" t="n">
        <v/>
      </c>
      <c r="T5581" t="inlineStr">
        <is>
          <t>30</t>
        </is>
      </c>
      <c r="U5581" t="inlineStr">
        <is>
          <t>1</t>
        </is>
      </c>
      <c r="V5581" t="n">
        <v/>
      </c>
      <c r="W5581" t="n">
        <v/>
      </c>
    </row>
    <row r="5582">
      <c r="A5582" t="inlineStr">
        <is>
          <t>31/01/2026 7:15:22</t>
        </is>
      </c>
      <c r="B5582" t="inlineStr">
        <is>
          <t>Đặng Hoài Anh</t>
        </is>
      </c>
      <c r="C5582" t="inlineStr">
        <is>
          <t>30/01/2026</t>
        </is>
      </c>
      <c r="D5582" t="n">
        <v>1</v>
      </c>
      <c r="E5582" t="n">
        <v>0</v>
      </c>
      <c r="F5582" t="n">
        <v>1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1</v>
      </c>
      <c r="R5582" t="n">
        <v>0</v>
      </c>
      <c r="S5582" t="n">
        <v/>
      </c>
      <c r="T5582" t="inlineStr">
        <is>
          <t>30</t>
        </is>
      </c>
      <c r="U5582" t="inlineStr">
        <is>
          <t>1</t>
        </is>
      </c>
      <c r="V5582" t="n">
        <v/>
      </c>
      <c r="W5582" t="n">
        <v/>
      </c>
    </row>
    <row r="5583">
      <c r="A5583" t="inlineStr">
        <is>
          <t>31/01/2026 7:19:28</t>
        </is>
      </c>
      <c r="B5583" t="inlineStr">
        <is>
          <t>Huỳnh Văn Lực</t>
        </is>
      </c>
      <c r="C5583" t="inlineStr">
        <is>
          <t>30/01/2026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2</v>
      </c>
      <c r="L5583" t="n">
        <v>0</v>
      </c>
      <c r="M5583" t="n">
        <v>4</v>
      </c>
      <c r="N5583" t="n">
        <v>0</v>
      </c>
      <c r="O5583" t="n">
        <v>0</v>
      </c>
      <c r="P5583" t="n">
        <v>0</v>
      </c>
      <c r="Q5583" t="n">
        <v>1</v>
      </c>
      <c r="R5583" t="n">
        <v>0</v>
      </c>
      <c r="S5583" t="n">
        <v/>
      </c>
      <c r="T5583" t="inlineStr">
        <is>
          <t>30</t>
        </is>
      </c>
      <c r="U5583" t="inlineStr">
        <is>
          <t>1</t>
        </is>
      </c>
      <c r="V5583" t="n">
        <v/>
      </c>
      <c r="W5583" t="n">
        <v/>
      </c>
    </row>
    <row r="5584">
      <c r="A5584" t="inlineStr">
        <is>
          <t>31/01/2026 7:27:15</t>
        </is>
      </c>
      <c r="B5584" t="inlineStr">
        <is>
          <t>Nguyễn Văn Hiệp</t>
        </is>
      </c>
      <c r="C5584" t="inlineStr">
        <is>
          <t>30/01/2026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1</v>
      </c>
      <c r="Q5584" t="n">
        <v>0</v>
      </c>
      <c r="R5584" t="n">
        <v>0</v>
      </c>
      <c r="S5584" t="n">
        <v/>
      </c>
      <c r="T5584" t="inlineStr">
        <is>
          <t>30</t>
        </is>
      </c>
      <c r="U5584" t="inlineStr">
        <is>
          <t>1</t>
        </is>
      </c>
      <c r="V5584" t="n">
        <v/>
      </c>
      <c r="W5584" t="n">
        <v/>
      </c>
    </row>
    <row r="5585">
      <c r="A5585" t="inlineStr">
        <is>
          <t>31/01/2026 7:52:59</t>
        </is>
      </c>
      <c r="B5585" t="inlineStr">
        <is>
          <t>Trần Trung Giang</t>
        </is>
      </c>
      <c r="C5585" t="inlineStr">
        <is>
          <t>30/01/2026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1</v>
      </c>
      <c r="R5585" t="n">
        <v>0</v>
      </c>
      <c r="S5585" t="n">
        <v/>
      </c>
      <c r="T5585" t="inlineStr">
        <is>
          <t>30</t>
        </is>
      </c>
      <c r="U5585" t="inlineStr">
        <is>
          <t>1</t>
        </is>
      </c>
      <c r="V5585" t="n">
        <v/>
      </c>
      <c r="W5585" t="n">
        <v/>
      </c>
    </row>
    <row r="5586">
      <c r="A5586" t="inlineStr">
        <is>
          <t>31/01/2026 7:58:52</t>
        </is>
      </c>
      <c r="B5586" t="inlineStr">
        <is>
          <t>Trần Xuân Khoa</t>
        </is>
      </c>
      <c r="C5586" t="inlineStr">
        <is>
          <t>30/01/2026</t>
        </is>
      </c>
      <c r="D5586" t="n">
        <v>1</v>
      </c>
      <c r="E5586" t="n">
        <v>1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2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2</v>
      </c>
      <c r="R5586" t="n">
        <v>0</v>
      </c>
      <c r="S5586" t="n">
        <v/>
      </c>
      <c r="T5586" t="inlineStr">
        <is>
          <t>30</t>
        </is>
      </c>
      <c r="U5586" t="inlineStr">
        <is>
          <t>1</t>
        </is>
      </c>
      <c r="V5586" t="n">
        <v/>
      </c>
      <c r="W5586" t="n">
        <v/>
      </c>
    </row>
    <row r="5587">
      <c r="A5587" t="inlineStr">
        <is>
          <t>31/01/2026 8:01:06</t>
        </is>
      </c>
      <c r="B5587" t="inlineStr">
        <is>
          <t>Vòng Nhật Sang</t>
        </is>
      </c>
      <c r="C5587" t="inlineStr">
        <is>
          <t>30/01/2026</t>
        </is>
      </c>
      <c r="D5587" t="n">
        <v>0</v>
      </c>
      <c r="E5587" t="n">
        <v>0</v>
      </c>
      <c r="F5587" t="n">
        <v>2</v>
      </c>
      <c r="G5587" t="n">
        <v>0</v>
      </c>
      <c r="H5587" t="n">
        <v>0</v>
      </c>
      <c r="I5587" t="n">
        <v>0</v>
      </c>
      <c r="J5587" t="n">
        <v>0</v>
      </c>
      <c r="K5587" t="n">
        <v>4</v>
      </c>
      <c r="L5587" t="n">
        <v>0</v>
      </c>
      <c r="M5587" t="n">
        <v>2</v>
      </c>
      <c r="N5587" t="n">
        <v>0</v>
      </c>
      <c r="O5587" t="n">
        <v>0</v>
      </c>
      <c r="P5587" t="n">
        <v>0</v>
      </c>
      <c r="Q5587" t="n">
        <v>2</v>
      </c>
      <c r="R5587" t="n">
        <v>0</v>
      </c>
      <c r="S5587" t="n">
        <v/>
      </c>
      <c r="T5587" t="inlineStr">
        <is>
          <t>30</t>
        </is>
      </c>
      <c r="U5587" t="inlineStr">
        <is>
          <t>1</t>
        </is>
      </c>
      <c r="V5587" t="n">
        <v/>
      </c>
      <c r="W5587" t="n">
        <v/>
      </c>
    </row>
    <row r="5588">
      <c r="A5588" t="inlineStr">
        <is>
          <t>31/01/2026 9:00:39</t>
        </is>
      </c>
      <c r="B5588" t="inlineStr">
        <is>
          <t>Nguyễn Hồng Minh</t>
        </is>
      </c>
      <c r="C5588" t="inlineStr">
        <is>
          <t>30/01/2026</t>
        </is>
      </c>
      <c r="D5588" t="n">
        <v>0</v>
      </c>
      <c r="E5588" t="n">
        <v>0</v>
      </c>
      <c r="F5588" t="n">
        <v>2</v>
      </c>
      <c r="G5588" t="n">
        <v>0</v>
      </c>
      <c r="H5588" t="n">
        <v>0</v>
      </c>
      <c r="I5588" t="n">
        <v>1</v>
      </c>
      <c r="J5588" t="n">
        <v>0</v>
      </c>
      <c r="K5588" t="n">
        <v>2</v>
      </c>
      <c r="L5588" t="n">
        <v>0</v>
      </c>
      <c r="M5588" t="n">
        <v>3</v>
      </c>
      <c r="N5588" t="n">
        <v>0</v>
      </c>
      <c r="O5588" t="n">
        <v>0</v>
      </c>
      <c r="P5588" t="n">
        <v>0</v>
      </c>
      <c r="Q5588" t="n">
        <v>4</v>
      </c>
      <c r="R5588" t="n">
        <v>0</v>
      </c>
      <c r="S5588" t="n">
        <v/>
      </c>
      <c r="T5588" t="inlineStr">
        <is>
          <t>30</t>
        </is>
      </c>
      <c r="U5588" t="inlineStr">
        <is>
          <t>1</t>
        </is>
      </c>
      <c r="V5588" t="n">
        <v/>
      </c>
      <c r="W5588" t="n">
        <v/>
      </c>
    </row>
    <row r="5589">
      <c r="A5589" t="inlineStr">
        <is>
          <t>01/02/2026 7:15:46</t>
        </is>
      </c>
      <c r="B5589" t="inlineStr">
        <is>
          <t>Lê Hồng Phong</t>
        </is>
      </c>
      <c r="C5589" t="inlineStr">
        <is>
          <t>01/02/2026</t>
        </is>
      </c>
      <c r="D5589" t="n">
        <v>1</v>
      </c>
      <c r="E5589" t="n">
        <v>1</v>
      </c>
      <c r="F5589" t="n">
        <v>1</v>
      </c>
      <c r="G5589" t="n">
        <v>1</v>
      </c>
      <c r="H5589" t="n">
        <v>1</v>
      </c>
      <c r="I5589" t="n">
        <v>1</v>
      </c>
      <c r="J5589" t="n">
        <v>1</v>
      </c>
      <c r="K5589" t="n">
        <v>1</v>
      </c>
      <c r="L5589" t="n">
        <v>1</v>
      </c>
      <c r="M5589" t="n">
        <v>1</v>
      </c>
      <c r="N5589" t="n">
        <v>1</v>
      </c>
      <c r="O5589" t="n">
        <v>1</v>
      </c>
      <c r="P5589" t="n">
        <v>1</v>
      </c>
      <c r="Q5589" t="n">
        <v>1</v>
      </c>
      <c r="R5589" t="n">
        <v>1</v>
      </c>
      <c r="S5589" t="n">
        <v/>
      </c>
      <c r="T5589" t="inlineStr">
        <is>
          <t>1</t>
        </is>
      </c>
      <c r="U5589" t="inlineStr">
        <is>
          <t>2</t>
        </is>
      </c>
      <c r="V5589" t="n">
        <v/>
      </c>
      <c r="W5589" t="n">
        <v/>
      </c>
    </row>
    <row r="5590">
      <c r="A5590" t="inlineStr">
        <is>
          <t>01/02/2026 7:17:32</t>
        </is>
      </c>
      <c r="B5590" t="inlineStr">
        <is>
          <t>Nguyễn Văn Hiệp</t>
        </is>
      </c>
      <c r="C5590" t="inlineStr">
        <is>
          <t>31/01/2026</t>
        </is>
      </c>
      <c r="D5590" t="n">
        <v>0</v>
      </c>
      <c r="E5590" t="n">
        <v>0</v>
      </c>
      <c r="F5590" t="n">
        <v>3</v>
      </c>
      <c r="G5590" t="n">
        <v>0</v>
      </c>
      <c r="H5590" t="n">
        <v>0</v>
      </c>
      <c r="I5590" t="n">
        <v>9</v>
      </c>
      <c r="J5590" t="n">
        <v>0</v>
      </c>
      <c r="K5590" t="n">
        <v>2</v>
      </c>
      <c r="L5590" t="n">
        <v>0</v>
      </c>
      <c r="M5590" t="n">
        <v>0</v>
      </c>
      <c r="N5590" t="n">
        <v>0</v>
      </c>
      <c r="O5590" t="n">
        <v>0</v>
      </c>
      <c r="P5590" t="n">
        <v>9</v>
      </c>
      <c r="Q5590" t="n">
        <v>0</v>
      </c>
      <c r="R5590" t="n">
        <v>0</v>
      </c>
      <c r="S5590" t="n">
        <v/>
      </c>
      <c r="T5590" t="inlineStr">
        <is>
          <t>31</t>
        </is>
      </c>
      <c r="U5590" t="inlineStr">
        <is>
          <t>1</t>
        </is>
      </c>
      <c r="V5590" t="n">
        <v/>
      </c>
      <c r="W5590" t="n">
        <v/>
      </c>
    </row>
    <row r="5591">
      <c r="A5591" t="inlineStr">
        <is>
          <t>01/02/2026 7:19:25</t>
        </is>
      </c>
      <c r="B5591" t="inlineStr">
        <is>
          <t>Đặng Hoài Anh</t>
        </is>
      </c>
      <c r="C5591" t="inlineStr">
        <is>
          <t>31/01/2026</t>
        </is>
      </c>
      <c r="D5591" t="n">
        <v>0</v>
      </c>
      <c r="E5591" t="n">
        <v>0</v>
      </c>
      <c r="F5591" t="n">
        <v>3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3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/>
      </c>
      <c r="T5591" t="inlineStr">
        <is>
          <t>31</t>
        </is>
      </c>
      <c r="U5591" t="inlineStr">
        <is>
          <t>1</t>
        </is>
      </c>
      <c r="V5591" t="n">
        <v/>
      </c>
      <c r="W5591" t="n">
        <v/>
      </c>
    </row>
    <row r="5592">
      <c r="A5592" t="inlineStr">
        <is>
          <t>01/02/2026 7:32:11</t>
        </is>
      </c>
      <c r="B5592" t="inlineStr">
        <is>
          <t>Trần Trung Giang</t>
        </is>
      </c>
      <c r="C5592" t="inlineStr">
        <is>
          <t>31/01/2026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/>
      </c>
      <c r="T5592" t="inlineStr">
        <is>
          <t>31</t>
        </is>
      </c>
      <c r="U5592" t="inlineStr">
        <is>
          <t>1</t>
        </is>
      </c>
      <c r="V5592" t="n">
        <v/>
      </c>
      <c r="W5592" t="n">
        <v/>
      </c>
    </row>
    <row r="5593">
      <c r="A5593" t="inlineStr">
        <is>
          <t>01/02/2026 7:40:55</t>
        </is>
      </c>
      <c r="B5593" t="inlineStr">
        <is>
          <t>Vòng Nhật Sang</t>
        </is>
      </c>
      <c r="C5593" t="inlineStr">
        <is>
          <t>31/01/2026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3</v>
      </c>
      <c r="Q5593" t="n">
        <v>2</v>
      </c>
      <c r="R5593" t="n">
        <v>0</v>
      </c>
      <c r="S5593" t="n">
        <v/>
      </c>
      <c r="T5593" t="inlineStr">
        <is>
          <t>31</t>
        </is>
      </c>
      <c r="U5593" t="inlineStr">
        <is>
          <t>1</t>
        </is>
      </c>
      <c r="V5593" t="n">
        <v/>
      </c>
      <c r="W5593" t="n">
        <v/>
      </c>
    </row>
    <row r="5594">
      <c r="A5594" t="inlineStr">
        <is>
          <t>01/02/2026 7:43:04</t>
        </is>
      </c>
      <c r="B5594" t="inlineStr">
        <is>
          <t>Nguyễn Quang Anh Tuấn</t>
        </is>
      </c>
      <c r="C5594" t="inlineStr">
        <is>
          <t>31/01/2026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2</v>
      </c>
      <c r="N5594" t="n">
        <v>0</v>
      </c>
      <c r="O5594" t="n">
        <v>4</v>
      </c>
      <c r="P5594" t="n">
        <v>2</v>
      </c>
      <c r="Q5594" t="n">
        <v>2</v>
      </c>
      <c r="R5594" t="n">
        <v>0</v>
      </c>
      <c r="S5594" t="n">
        <v/>
      </c>
      <c r="T5594" t="inlineStr">
        <is>
          <t>31</t>
        </is>
      </c>
      <c r="U5594" t="inlineStr">
        <is>
          <t>1</t>
        </is>
      </c>
      <c r="V5594" t="n">
        <v/>
      </c>
      <c r="W5594" t="n">
        <v/>
      </c>
    </row>
    <row r="5595">
      <c r="A5595" t="inlineStr">
        <is>
          <t>01/02/2026 7:44:14</t>
        </is>
      </c>
      <c r="B5595" t="inlineStr">
        <is>
          <t>Nguyễn Tuấn Anh</t>
        </is>
      </c>
      <c r="C5595" t="inlineStr">
        <is>
          <t>31/01/2026</t>
        </is>
      </c>
      <c r="D5595" t="n">
        <v>1</v>
      </c>
      <c r="E5595" t="n">
        <v>0</v>
      </c>
      <c r="F5595" t="n">
        <v>0</v>
      </c>
      <c r="G5595" t="n">
        <v>0</v>
      </c>
      <c r="H5595" t="n">
        <v>0</v>
      </c>
      <c r="I5595" t="n">
        <v>2</v>
      </c>
      <c r="J5595" t="n">
        <v>0</v>
      </c>
      <c r="K5595" t="n">
        <v>2</v>
      </c>
      <c r="L5595" t="n">
        <v>1</v>
      </c>
      <c r="M5595" t="n">
        <v>0</v>
      </c>
      <c r="N5595" t="n">
        <v>0</v>
      </c>
      <c r="O5595" t="n">
        <v>0</v>
      </c>
      <c r="P5595" t="n">
        <v>0</v>
      </c>
      <c r="Q5595" t="n">
        <v>5</v>
      </c>
      <c r="R5595" t="n">
        <v>0</v>
      </c>
      <c r="S5595" t="n">
        <v/>
      </c>
      <c r="T5595" t="inlineStr">
        <is>
          <t>31</t>
        </is>
      </c>
      <c r="U5595" t="inlineStr">
        <is>
          <t>1</t>
        </is>
      </c>
      <c r="V5595" t="n">
        <v/>
      </c>
      <c r="W5595" t="n">
        <v/>
      </c>
    </row>
    <row r="5596">
      <c r="A5596" t="inlineStr">
        <is>
          <t>01/02/2026 8:19:21</t>
        </is>
      </c>
      <c r="B5596" t="inlineStr">
        <is>
          <t>Nguyễn Hồng Minh</t>
        </is>
      </c>
      <c r="C5596" t="inlineStr">
        <is>
          <t>31/01/2026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1</v>
      </c>
      <c r="K5596" t="n">
        <v>4</v>
      </c>
      <c r="L5596" t="n">
        <v>0</v>
      </c>
      <c r="M5596" t="n">
        <v>2</v>
      </c>
      <c r="N5596" t="n">
        <v>0</v>
      </c>
      <c r="O5596" t="n">
        <v>0</v>
      </c>
      <c r="P5596" t="n">
        <v>1</v>
      </c>
      <c r="Q5596" t="n">
        <v>6</v>
      </c>
      <c r="R5596" t="n">
        <v>0</v>
      </c>
      <c r="S5596" t="n">
        <v/>
      </c>
      <c r="T5596" t="inlineStr">
        <is>
          <t>31</t>
        </is>
      </c>
      <c r="U5596" t="inlineStr">
        <is>
          <t>1</t>
        </is>
      </c>
      <c r="V5596" t="n">
        <v/>
      </c>
      <c r="W5596" t="n">
        <v/>
      </c>
    </row>
    <row r="5597">
      <c r="A5597" t="inlineStr">
        <is>
          <t>01/02/2026 8:45:40</t>
        </is>
      </c>
      <c r="B5597" t="inlineStr">
        <is>
          <t>Huỳnh Văn Lực</t>
        </is>
      </c>
      <c r="C5597" t="inlineStr">
        <is>
          <t>31/01/2026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/>
      </c>
      <c r="T5597" t="inlineStr">
        <is>
          <t>31</t>
        </is>
      </c>
      <c r="U5597" t="inlineStr">
        <is>
          <t>1</t>
        </is>
      </c>
      <c r="V5597" t="n">
        <v/>
      </c>
      <c r="W5597" t="n">
        <v/>
      </c>
    </row>
    <row r="5598">
      <c r="A5598" t="inlineStr">
        <is>
          <t>02/02/2026 6:46:23</t>
        </is>
      </c>
      <c r="B5598" t="inlineStr">
        <is>
          <t>Lương Duy Hoàng</t>
        </is>
      </c>
      <c r="C5598" t="inlineStr">
        <is>
          <t>01/02/2026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1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/>
      </c>
      <c r="T5598" t="inlineStr">
        <is>
          <t>1</t>
        </is>
      </c>
      <c r="U5598" t="inlineStr">
        <is>
          <t>2</t>
        </is>
      </c>
      <c r="V5598" t="n">
        <v/>
      </c>
      <c r="W5598" t="n">
        <v/>
      </c>
    </row>
    <row r="5599">
      <c r="A5599" t="inlineStr">
        <is>
          <t>02/02/2026 6:47:32</t>
        </is>
      </c>
      <c r="B5599" t="inlineStr">
        <is>
          <t>Trần Xuân Khoa</t>
        </is>
      </c>
      <c r="C5599" t="inlineStr">
        <is>
          <t>01/02/2026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1</v>
      </c>
      <c r="Q5599" t="n">
        <v>2</v>
      </c>
      <c r="R5599" t="n">
        <v>0</v>
      </c>
      <c r="S5599" t="n">
        <v/>
      </c>
      <c r="T5599" t="inlineStr">
        <is>
          <t>1</t>
        </is>
      </c>
      <c r="U5599" t="inlineStr">
        <is>
          <t>2</t>
        </is>
      </c>
      <c r="V5599" t="n">
        <v/>
      </c>
      <c r="W5599" t="n">
        <v/>
      </c>
    </row>
    <row r="5600">
      <c r="A5600" t="inlineStr">
        <is>
          <t>02/02/2026 6:50:57</t>
        </is>
      </c>
      <c r="B5600" t="inlineStr">
        <is>
          <t>Trần Trung Giang</t>
        </is>
      </c>
      <c r="C5600" t="inlineStr">
        <is>
          <t>01/02/2026</t>
        </is>
      </c>
      <c r="D5600" t="n">
        <v>2</v>
      </c>
      <c r="E5600" t="n">
        <v>1</v>
      </c>
      <c r="F5600" t="n">
        <v>4</v>
      </c>
      <c r="G5600" t="n">
        <v>1</v>
      </c>
      <c r="H5600" t="n">
        <v>1</v>
      </c>
      <c r="I5600" t="n">
        <v>0</v>
      </c>
      <c r="J5600" t="n">
        <v>0</v>
      </c>
      <c r="K5600" t="n">
        <v>0</v>
      </c>
      <c r="L5600" t="n">
        <v>0</v>
      </c>
      <c r="M5600" t="n">
        <v>3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/>
      </c>
      <c r="T5600" t="inlineStr">
        <is>
          <t>1</t>
        </is>
      </c>
      <c r="U5600" t="inlineStr">
        <is>
          <t>2</t>
        </is>
      </c>
      <c r="V5600" t="n">
        <v/>
      </c>
      <c r="W5600" t="n">
        <v/>
      </c>
    </row>
    <row r="5601">
      <c r="A5601" t="inlineStr">
        <is>
          <t>02/02/2026 6:53:43</t>
        </is>
      </c>
      <c r="B5601" t="inlineStr">
        <is>
          <t>Nguyễn Văn Hiệp</t>
        </is>
      </c>
      <c r="C5601" t="inlineStr">
        <is>
          <t>01/02/2026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4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/>
      </c>
      <c r="T5601" t="inlineStr">
        <is>
          <t>1</t>
        </is>
      </c>
      <c r="U5601" t="inlineStr">
        <is>
          <t>2</t>
        </is>
      </c>
      <c r="V5601" t="n">
        <v/>
      </c>
      <c r="W5601" t="n">
        <v/>
      </c>
    </row>
    <row r="5602">
      <c r="A5602" t="inlineStr">
        <is>
          <t>02/02/2026 6:58:20</t>
        </is>
      </c>
      <c r="B5602" t="inlineStr">
        <is>
          <t>Lê Hồng Phong</t>
        </is>
      </c>
      <c r="C5602" t="inlineStr">
        <is>
          <t>02/02/2026</t>
        </is>
      </c>
      <c r="D5602" t="n">
        <v>1</v>
      </c>
      <c r="E5602" t="n">
        <v>1</v>
      </c>
      <c r="F5602" t="n">
        <v>1</v>
      </c>
      <c r="G5602" t="n">
        <v>1</v>
      </c>
      <c r="H5602" t="n">
        <v>1</v>
      </c>
      <c r="I5602" t="n">
        <v>1</v>
      </c>
      <c r="J5602" t="n">
        <v>1</v>
      </c>
      <c r="K5602" t="n">
        <v>1</v>
      </c>
      <c r="L5602" t="n">
        <v>1</v>
      </c>
      <c r="M5602" t="n">
        <v>1</v>
      </c>
      <c r="N5602" t="n">
        <v>1</v>
      </c>
      <c r="O5602" t="n">
        <v>1</v>
      </c>
      <c r="P5602" t="n">
        <v>1</v>
      </c>
      <c r="Q5602" t="n">
        <v>1</v>
      </c>
      <c r="R5602" t="n">
        <v>1</v>
      </c>
      <c r="S5602" t="n">
        <v/>
      </c>
      <c r="T5602" t="inlineStr">
        <is>
          <t>2</t>
        </is>
      </c>
      <c r="U5602" t="inlineStr">
        <is>
          <t>2</t>
        </is>
      </c>
      <c r="V5602" t="n">
        <v/>
      </c>
      <c r="W5602" t="n">
        <v/>
      </c>
    </row>
    <row r="5603">
      <c r="A5603" t="inlineStr">
        <is>
          <t>02/02/2026 7:25:08</t>
        </is>
      </c>
      <c r="B5603" t="inlineStr">
        <is>
          <t>Nguyễn Tuấn Anh</t>
        </is>
      </c>
      <c r="C5603" t="inlineStr">
        <is>
          <t>01/02/2026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2</v>
      </c>
      <c r="R5603" t="n">
        <v>0</v>
      </c>
      <c r="S5603" t="n">
        <v/>
      </c>
      <c r="T5603" t="inlineStr">
        <is>
          <t>1</t>
        </is>
      </c>
      <c r="U5603" t="inlineStr">
        <is>
          <t>2</t>
        </is>
      </c>
      <c r="V5603" t="n">
        <v/>
      </c>
      <c r="W5603" t="n">
        <v/>
      </c>
    </row>
    <row r="5604">
      <c r="A5604" t="inlineStr">
        <is>
          <t>02/02/2026 7:26:37</t>
        </is>
      </c>
      <c r="B5604" t="inlineStr">
        <is>
          <t>Nguyễn Quang Anh Tuấn</t>
        </is>
      </c>
      <c r="C5604" t="inlineStr">
        <is>
          <t>01/02/2026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/>
      </c>
      <c r="T5604" t="inlineStr">
        <is>
          <t>1</t>
        </is>
      </c>
      <c r="U5604" t="inlineStr">
        <is>
          <t>2</t>
        </is>
      </c>
      <c r="V5604" t="n">
        <v/>
      </c>
      <c r="W5604" t="n">
        <v/>
      </c>
    </row>
    <row r="5605">
      <c r="A5605" t="inlineStr">
        <is>
          <t>02/02/2026 7:31:15</t>
        </is>
      </c>
      <c r="B5605" t="inlineStr">
        <is>
          <t>Huỳnh Văn Lực</t>
        </is>
      </c>
      <c r="C5605" t="inlineStr">
        <is>
          <t>01/02/2026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/>
      </c>
      <c r="T5605" t="inlineStr">
        <is>
          <t>1</t>
        </is>
      </c>
      <c r="U5605" t="inlineStr">
        <is>
          <t>2</t>
        </is>
      </c>
      <c r="V5605" t="n">
        <v/>
      </c>
      <c r="W5605" t="n">
        <v/>
      </c>
    </row>
    <row r="5606">
      <c r="A5606" t="inlineStr">
        <is>
          <t>02/02/2026 7:47:22</t>
        </is>
      </c>
      <c r="B5606" t="inlineStr">
        <is>
          <t>Đặng Hoài Anh</t>
        </is>
      </c>
      <c r="C5606" t="inlineStr">
        <is>
          <t>01/02/2026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1</v>
      </c>
      <c r="O5606" t="n">
        <v>2</v>
      </c>
      <c r="P5606" t="n">
        <v>0</v>
      </c>
      <c r="Q5606" t="n">
        <v>0</v>
      </c>
      <c r="R5606" t="n">
        <v>0</v>
      </c>
      <c r="S5606" t="n">
        <v/>
      </c>
      <c r="T5606" t="inlineStr">
        <is>
          <t>1</t>
        </is>
      </c>
      <c r="U5606" t="inlineStr">
        <is>
          <t>2</t>
        </is>
      </c>
      <c r="V5606" t="n">
        <v/>
      </c>
      <c r="W5606" t="n">
        <v/>
      </c>
    </row>
    <row r="5607">
      <c r="A5607" t="inlineStr">
        <is>
          <t>02/02/2026 8:16:54</t>
        </is>
      </c>
      <c r="B5607" t="inlineStr">
        <is>
          <t>Nguyễn Hồng Minh</t>
        </is>
      </c>
      <c r="C5607" t="inlineStr">
        <is>
          <t>01/02/2026</t>
        </is>
      </c>
      <c r="D5607" t="n">
        <v>0</v>
      </c>
      <c r="E5607" t="n">
        <v>1</v>
      </c>
      <c r="F5607" t="n">
        <v>0</v>
      </c>
      <c r="G5607" t="n">
        <v>1</v>
      </c>
      <c r="H5607" t="n">
        <v>1</v>
      </c>
      <c r="I5607" t="n">
        <v>0</v>
      </c>
      <c r="J5607" t="n">
        <v>0</v>
      </c>
      <c r="K5607" t="n">
        <v>3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4</v>
      </c>
      <c r="R5607" t="n">
        <v>0</v>
      </c>
      <c r="S5607" t="n">
        <v/>
      </c>
      <c r="T5607" t="inlineStr">
        <is>
          <t>1</t>
        </is>
      </c>
      <c r="U5607" t="inlineStr">
        <is>
          <t>2</t>
        </is>
      </c>
      <c r="V5607" t="n">
        <v/>
      </c>
      <c r="W5607" t="n">
        <v/>
      </c>
    </row>
    <row r="5608">
      <c r="A5608" t="inlineStr">
        <is>
          <t>03/02/2026 6:53:39</t>
        </is>
      </c>
      <c r="B5608" t="inlineStr">
        <is>
          <t>Huỳnh Văn Lực</t>
        </is>
      </c>
      <c r="C5608" t="inlineStr">
        <is>
          <t>02/02/2026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4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2</v>
      </c>
      <c r="R5608" t="n">
        <v>0</v>
      </c>
      <c r="S5608" t="n">
        <v/>
      </c>
      <c r="T5608" t="inlineStr">
        <is>
          <t>2</t>
        </is>
      </c>
      <c r="U5608" t="inlineStr">
        <is>
          <t>2</t>
        </is>
      </c>
      <c r="V5608" t="n">
        <v/>
      </c>
      <c r="W5608" t="n">
        <v/>
      </c>
    </row>
    <row r="5609">
      <c r="A5609" t="inlineStr">
        <is>
          <t>03/02/2026 6:59:03</t>
        </is>
      </c>
      <c r="B5609" t="inlineStr">
        <is>
          <t>Trần Trung Giang</t>
        </is>
      </c>
      <c r="C5609" t="inlineStr">
        <is>
          <t>02/02/2026</t>
        </is>
      </c>
      <c r="D5609" t="n">
        <v>1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6</v>
      </c>
      <c r="L5609" t="n">
        <v>0</v>
      </c>
      <c r="M5609" t="n">
        <v>0</v>
      </c>
      <c r="N5609" t="n">
        <v>1</v>
      </c>
      <c r="O5609" t="n">
        <v>0</v>
      </c>
      <c r="P5609" t="n">
        <v>1</v>
      </c>
      <c r="Q5609" t="n">
        <v>1</v>
      </c>
      <c r="R5609" t="n">
        <v>0</v>
      </c>
      <c r="S5609" t="n">
        <v/>
      </c>
      <c r="T5609" t="inlineStr">
        <is>
          <t>2</t>
        </is>
      </c>
      <c r="U5609" t="inlineStr">
        <is>
          <t>2</t>
        </is>
      </c>
      <c r="V5609" t="n">
        <v/>
      </c>
      <c r="W5609" t="n">
        <v/>
      </c>
    </row>
    <row r="5610">
      <c r="A5610" t="inlineStr">
        <is>
          <t>03/02/2026 7:04:07</t>
        </is>
      </c>
      <c r="B5610" t="inlineStr">
        <is>
          <t>Nguyễn Tuấn Anh</t>
        </is>
      </c>
      <c r="C5610" t="inlineStr">
        <is>
          <t>02/02/2026</t>
        </is>
      </c>
      <c r="D5610" t="n">
        <v>1</v>
      </c>
      <c r="E5610" t="n">
        <v>1</v>
      </c>
      <c r="F5610" t="n">
        <v>0</v>
      </c>
      <c r="G5610" t="n">
        <v>0</v>
      </c>
      <c r="H5610" t="n">
        <v>0</v>
      </c>
      <c r="I5610" t="n">
        <v>2</v>
      </c>
      <c r="J5610" t="n">
        <v>0</v>
      </c>
      <c r="K5610" t="n">
        <v>3</v>
      </c>
      <c r="L5610" t="n">
        <v>2</v>
      </c>
      <c r="M5610" t="n">
        <v>0</v>
      </c>
      <c r="N5610" t="n">
        <v>0</v>
      </c>
      <c r="O5610" t="n">
        <v>0</v>
      </c>
      <c r="P5610" t="n">
        <v>0</v>
      </c>
      <c r="Q5610" t="n">
        <v>2</v>
      </c>
      <c r="R5610" t="n">
        <v>0</v>
      </c>
      <c r="S5610" t="n">
        <v/>
      </c>
      <c r="T5610" t="inlineStr">
        <is>
          <t>2</t>
        </is>
      </c>
      <c r="U5610" t="inlineStr">
        <is>
          <t>2</t>
        </is>
      </c>
      <c r="V5610" t="n">
        <v/>
      </c>
      <c r="W5610" t="n">
        <v/>
      </c>
    </row>
    <row r="5611">
      <c r="A5611" t="inlineStr">
        <is>
          <t>03/02/2026 7:15:58</t>
        </is>
      </c>
      <c r="B5611" t="inlineStr">
        <is>
          <t>Nguyễn Văn Hiệp</t>
        </is>
      </c>
      <c r="C5611" t="inlineStr">
        <is>
          <t>02/02/2026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1</v>
      </c>
      <c r="Q5611" t="n">
        <v>0</v>
      </c>
      <c r="R5611" t="n">
        <v>0</v>
      </c>
      <c r="S5611" t="n">
        <v/>
      </c>
      <c r="T5611" t="inlineStr">
        <is>
          <t>2</t>
        </is>
      </c>
      <c r="U5611" t="inlineStr">
        <is>
          <t>2</t>
        </is>
      </c>
      <c r="V5611" t="n">
        <v/>
      </c>
      <c r="W5611" t="n">
        <v/>
      </c>
    </row>
    <row r="5612">
      <c r="A5612" t="inlineStr">
        <is>
          <t>03/02/2026 7:23:36</t>
        </is>
      </c>
      <c r="B5612" t="inlineStr">
        <is>
          <t>Nguyễn Quang Anh Tuấn</t>
        </is>
      </c>
      <c r="C5612" t="inlineStr">
        <is>
          <t>02/02/2026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3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2</v>
      </c>
      <c r="R5612" t="n">
        <v>0</v>
      </c>
      <c r="S5612" t="n">
        <v/>
      </c>
      <c r="T5612" t="inlineStr">
        <is>
          <t>2</t>
        </is>
      </c>
      <c r="U5612" t="inlineStr">
        <is>
          <t>2</t>
        </is>
      </c>
      <c r="V5612" t="n">
        <v/>
      </c>
      <c r="W5612" t="n">
        <v/>
      </c>
    </row>
    <row r="5613">
      <c r="A5613" t="inlineStr">
        <is>
          <t>03/02/2026 7:41:22</t>
        </is>
      </c>
      <c r="B5613" t="inlineStr">
        <is>
          <t>Lê Hồng Phong</t>
        </is>
      </c>
      <c r="C5613" t="inlineStr">
        <is>
          <t>03/02/2026</t>
        </is>
      </c>
      <c r="D5613" t="n">
        <v>1</v>
      </c>
      <c r="E5613" t="n">
        <v>1</v>
      </c>
      <c r="F5613" t="n">
        <v>1</v>
      </c>
      <c r="G5613" t="n">
        <v>1</v>
      </c>
      <c r="H5613" t="n">
        <v>1</v>
      </c>
      <c r="I5613" t="n">
        <v>1</v>
      </c>
      <c r="J5613" t="n">
        <v>1</v>
      </c>
      <c r="K5613" t="n">
        <v>1</v>
      </c>
      <c r="L5613" t="n">
        <v>1</v>
      </c>
      <c r="M5613" t="n">
        <v>1</v>
      </c>
      <c r="N5613" t="n">
        <v>1</v>
      </c>
      <c r="O5613" t="n">
        <v>1</v>
      </c>
      <c r="P5613" t="n">
        <v>1</v>
      </c>
      <c r="Q5613" t="n">
        <v>1</v>
      </c>
      <c r="R5613" t="n">
        <v>1</v>
      </c>
      <c r="S5613" t="n">
        <v/>
      </c>
      <c r="T5613" t="inlineStr">
        <is>
          <t>3</t>
        </is>
      </c>
      <c r="U5613" t="inlineStr">
        <is>
          <t>2</t>
        </is>
      </c>
      <c r="V5613" t="n">
        <v/>
      </c>
      <c r="W5613" t="n">
        <v/>
      </c>
    </row>
    <row r="5614">
      <c r="A5614" t="inlineStr">
        <is>
          <t>03/02/2026 8:04:38</t>
        </is>
      </c>
      <c r="B5614" t="inlineStr">
        <is>
          <t>Đặng Hoài Anh</t>
        </is>
      </c>
      <c r="C5614" t="inlineStr">
        <is>
          <t>02/02/2026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2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/>
      </c>
      <c r="T5614" t="inlineStr">
        <is>
          <t>2</t>
        </is>
      </c>
      <c r="U5614" t="inlineStr">
        <is>
          <t>2</t>
        </is>
      </c>
      <c r="V5614" t="n">
        <v/>
      </c>
      <c r="W5614" t="n">
        <v/>
      </c>
    </row>
    <row r="5615">
      <c r="A5615" t="inlineStr">
        <is>
          <t>03/02/2026 8:11:59</t>
        </is>
      </c>
      <c r="B5615" t="inlineStr">
        <is>
          <t>Nguyễn Hồng Minh</t>
        </is>
      </c>
      <c r="C5615" t="inlineStr">
        <is>
          <t>02/02/2026</t>
        </is>
      </c>
      <c r="D5615" t="n">
        <v>1</v>
      </c>
      <c r="E5615" t="n">
        <v>1</v>
      </c>
      <c r="F5615" t="n">
        <v>1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2</v>
      </c>
      <c r="M5615" t="n">
        <v>1</v>
      </c>
      <c r="N5615" t="n">
        <v>0</v>
      </c>
      <c r="O5615" t="n">
        <v>0</v>
      </c>
      <c r="P5615" t="n">
        <v>0</v>
      </c>
      <c r="Q5615" t="n">
        <v>5</v>
      </c>
      <c r="R5615" t="n">
        <v>0</v>
      </c>
      <c r="S5615" t="n">
        <v/>
      </c>
      <c r="T5615" t="inlineStr">
        <is>
          <t>2</t>
        </is>
      </c>
      <c r="U5615" t="inlineStr">
        <is>
          <t>2</t>
        </is>
      </c>
      <c r="V5615" t="n">
        <v/>
      </c>
      <c r="W5615" t="n">
        <v/>
      </c>
    </row>
    <row r="5616">
      <c r="A5616" t="inlineStr">
        <is>
          <t>04/02/2026 6:57:27</t>
        </is>
      </c>
      <c r="B5616" t="inlineStr">
        <is>
          <t>Lương Duy Hoàng</t>
        </is>
      </c>
      <c r="C5616" t="inlineStr">
        <is>
          <t>03/02/2026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3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/>
      </c>
      <c r="T5616" t="inlineStr">
        <is>
          <t>3</t>
        </is>
      </c>
      <c r="U5616" t="inlineStr">
        <is>
          <t>2</t>
        </is>
      </c>
      <c r="V5616" t="n">
        <v/>
      </c>
      <c r="W5616" t="n">
        <v/>
      </c>
    </row>
    <row r="5617">
      <c r="A5617" t="inlineStr">
        <is>
          <t>04/02/2026 7:10:32</t>
        </is>
      </c>
      <c r="B5617" t="inlineStr">
        <is>
          <t>Nguyễn Tuấn Anh</t>
        </is>
      </c>
      <c r="C5617" t="inlineStr">
        <is>
          <t>03/02/2026</t>
        </is>
      </c>
      <c r="D5617" t="n">
        <v>0</v>
      </c>
      <c r="E5617" t="n">
        <v>0</v>
      </c>
      <c r="F5617" t="n">
        <v>1</v>
      </c>
      <c r="G5617" t="n">
        <v>0</v>
      </c>
      <c r="H5617" t="n">
        <v>0</v>
      </c>
      <c r="I5617" t="n">
        <v>1</v>
      </c>
      <c r="J5617" t="n">
        <v>0</v>
      </c>
      <c r="K5617" t="n">
        <v>8</v>
      </c>
      <c r="L5617" t="n">
        <v>0</v>
      </c>
      <c r="M5617" t="n">
        <v>0</v>
      </c>
      <c r="N5617" t="n">
        <v>0</v>
      </c>
      <c r="O5617" t="n">
        <v>0</v>
      </c>
      <c r="P5617" t="n">
        <v>1</v>
      </c>
      <c r="Q5617" t="n">
        <v>2</v>
      </c>
      <c r="R5617" t="n">
        <v>0</v>
      </c>
      <c r="S5617" t="n">
        <v/>
      </c>
      <c r="T5617" t="inlineStr">
        <is>
          <t>3</t>
        </is>
      </c>
      <c r="U5617" t="inlineStr">
        <is>
          <t>2</t>
        </is>
      </c>
      <c r="V5617" t="n">
        <v/>
      </c>
      <c r="W5617" t="n">
        <v/>
      </c>
    </row>
    <row r="5618">
      <c r="A5618" t="inlineStr">
        <is>
          <t>04/02/2026 7:15:13</t>
        </is>
      </c>
      <c r="B5618" t="inlineStr">
        <is>
          <t>Trần Trung Giang</t>
        </is>
      </c>
      <c r="C5618" t="inlineStr">
        <is>
          <t>03/02/2026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4</v>
      </c>
      <c r="L5618" t="n">
        <v>0</v>
      </c>
      <c r="M5618" t="n">
        <v>0</v>
      </c>
      <c r="N5618" t="n">
        <v>0</v>
      </c>
      <c r="O5618" t="n">
        <v>1</v>
      </c>
      <c r="P5618" t="n">
        <v>0</v>
      </c>
      <c r="Q5618" t="n">
        <v>0</v>
      </c>
      <c r="R5618" t="n">
        <v>0</v>
      </c>
      <c r="S5618" t="n">
        <v/>
      </c>
      <c r="T5618" t="inlineStr">
        <is>
          <t>3</t>
        </is>
      </c>
      <c r="U5618" t="inlineStr">
        <is>
          <t>2</t>
        </is>
      </c>
      <c r="V5618" t="n">
        <v/>
      </c>
      <c r="W5618" t="n">
        <v/>
      </c>
    </row>
    <row r="5619">
      <c r="A5619" t="inlineStr">
        <is>
          <t>04/02/2026 7:15:20</t>
        </is>
      </c>
      <c r="B5619" t="inlineStr">
        <is>
          <t>Nguyễn Văn Hiệp</t>
        </is>
      </c>
      <c r="C5619" t="inlineStr">
        <is>
          <t>03/02/2026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7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/>
      </c>
      <c r="T5619" t="inlineStr">
        <is>
          <t>3</t>
        </is>
      </c>
      <c r="U5619" t="inlineStr">
        <is>
          <t>2</t>
        </is>
      </c>
      <c r="V5619" t="n">
        <v/>
      </c>
      <c r="W5619" t="n">
        <v/>
      </c>
    </row>
    <row r="5620">
      <c r="A5620" t="inlineStr">
        <is>
          <t>04/02/2026 7:27:11</t>
        </is>
      </c>
      <c r="B5620" t="inlineStr">
        <is>
          <t>Nguyễn Quang Anh Tuấn</t>
        </is>
      </c>
      <c r="C5620" t="inlineStr">
        <is>
          <t>03/02/2026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2</v>
      </c>
      <c r="R5620" t="n">
        <v>0</v>
      </c>
      <c r="S5620" t="n">
        <v/>
      </c>
      <c r="T5620" t="inlineStr">
        <is>
          <t>3</t>
        </is>
      </c>
      <c r="U5620" t="inlineStr">
        <is>
          <t>2</t>
        </is>
      </c>
      <c r="V5620" t="n">
        <v/>
      </c>
      <c r="W5620" t="n">
        <v/>
      </c>
    </row>
    <row r="5621">
      <c r="A5621" t="inlineStr">
        <is>
          <t>04/02/2026 7:31:21</t>
        </is>
      </c>
      <c r="B5621" t="inlineStr">
        <is>
          <t>Đặng Hoài Anh</t>
        </is>
      </c>
      <c r="C5621" t="inlineStr">
        <is>
          <t>03/02/2026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/>
      </c>
      <c r="T5621" t="inlineStr">
        <is>
          <t>3</t>
        </is>
      </c>
      <c r="U5621" t="inlineStr">
        <is>
          <t>2</t>
        </is>
      </c>
      <c r="V5621" t="n">
        <v/>
      </c>
      <c r="W5621" t="n">
        <v/>
      </c>
    </row>
    <row r="5622">
      <c r="A5622" t="inlineStr">
        <is>
          <t>04/02/2026 7:57:57</t>
        </is>
      </c>
      <c r="B5622" t="inlineStr">
        <is>
          <t>Lê Hồng Phong</t>
        </is>
      </c>
      <c r="C5622" t="inlineStr">
        <is>
          <t>04/02/2026</t>
        </is>
      </c>
      <c r="D5622" t="n">
        <v>1</v>
      </c>
      <c r="E5622" t="n">
        <v>1</v>
      </c>
      <c r="F5622" t="n">
        <v>1</v>
      </c>
      <c r="G5622" t="n">
        <v>1</v>
      </c>
      <c r="H5622" t="n">
        <v>1</v>
      </c>
      <c r="I5622" t="n">
        <v>1</v>
      </c>
      <c r="J5622" t="n">
        <v>1</v>
      </c>
      <c r="K5622" t="n">
        <v>1</v>
      </c>
      <c r="L5622" t="n">
        <v>1</v>
      </c>
      <c r="M5622" t="n">
        <v>1</v>
      </c>
      <c r="N5622" t="n">
        <v>1</v>
      </c>
      <c r="O5622" t="n">
        <v>1</v>
      </c>
      <c r="P5622" t="n">
        <v>1</v>
      </c>
      <c r="Q5622" t="n">
        <v>1</v>
      </c>
      <c r="R5622" t="n">
        <v>1</v>
      </c>
      <c r="S5622" t="n">
        <v/>
      </c>
      <c r="T5622" t="inlineStr">
        <is>
          <t>4</t>
        </is>
      </c>
      <c r="U5622" t="inlineStr">
        <is>
          <t>2</t>
        </is>
      </c>
      <c r="V5622" t="n">
        <v/>
      </c>
      <c r="W5622" t="n">
        <v/>
      </c>
    </row>
    <row r="5623">
      <c r="A5623" t="inlineStr">
        <is>
          <t>04/02/2026 8:16:50</t>
        </is>
      </c>
      <c r="B5623" t="inlineStr">
        <is>
          <t>Vòng Nhật Sang</t>
        </is>
      </c>
      <c r="C5623" t="inlineStr">
        <is>
          <t>03/02/2026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26</v>
      </c>
      <c r="L5623" t="n">
        <v>0</v>
      </c>
      <c r="M5623" t="n">
        <v>0</v>
      </c>
      <c r="N5623" t="n">
        <v>0</v>
      </c>
      <c r="O5623" t="n">
        <v>0</v>
      </c>
      <c r="P5623" t="n">
        <v>2</v>
      </c>
      <c r="Q5623" t="n">
        <v>2</v>
      </c>
      <c r="R5623" t="n">
        <v>0</v>
      </c>
      <c r="S5623" t="n">
        <v/>
      </c>
      <c r="T5623" t="inlineStr">
        <is>
          <t>3</t>
        </is>
      </c>
      <c r="U5623" t="inlineStr">
        <is>
          <t>2</t>
        </is>
      </c>
      <c r="V5623" t="n">
        <v/>
      </c>
      <c r="W5623" t="n">
        <v/>
      </c>
    </row>
    <row r="5624">
      <c r="A5624" t="inlineStr">
        <is>
          <t>04/02/2026 8:50:25</t>
        </is>
      </c>
      <c r="B5624" t="inlineStr">
        <is>
          <t>Nguyễn Hồng Minh</t>
        </is>
      </c>
      <c r="C5624" t="inlineStr">
        <is>
          <t>03/02/2026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3</v>
      </c>
      <c r="M5624" t="n">
        <v>2</v>
      </c>
      <c r="N5624" t="n">
        <v>0</v>
      </c>
      <c r="O5624" t="n">
        <v>0</v>
      </c>
      <c r="P5624" t="n">
        <v>1</v>
      </c>
      <c r="Q5624" t="n">
        <v>3</v>
      </c>
      <c r="R5624" t="n">
        <v>0</v>
      </c>
      <c r="S5624" t="n">
        <v/>
      </c>
      <c r="T5624" t="inlineStr">
        <is>
          <t>3</t>
        </is>
      </c>
      <c r="U5624" t="inlineStr">
        <is>
          <t>2</t>
        </is>
      </c>
      <c r="V5624" t="n">
        <v/>
      </c>
      <c r="W5624" t="n">
        <v/>
      </c>
    </row>
    <row r="5625">
      <c r="A5625" t="inlineStr">
        <is>
          <t>05/02/2026 6:19:11</t>
        </is>
      </c>
      <c r="B5625" t="inlineStr">
        <is>
          <t>Nguyễn Văn Hiệp</t>
        </is>
      </c>
      <c r="C5625" t="inlineStr">
        <is>
          <t>04/02/2026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8</v>
      </c>
      <c r="L5625" t="n">
        <v>0</v>
      </c>
      <c r="M5625" t="n">
        <v>0</v>
      </c>
      <c r="N5625" t="n">
        <v>0</v>
      </c>
      <c r="O5625" t="n">
        <v>0</v>
      </c>
      <c r="P5625" t="n">
        <v>1</v>
      </c>
      <c r="Q5625" t="n">
        <v>0</v>
      </c>
      <c r="R5625" t="n">
        <v>0</v>
      </c>
      <c r="S5625" t="n">
        <v/>
      </c>
      <c r="T5625" t="inlineStr">
        <is>
          <t>4</t>
        </is>
      </c>
      <c r="U5625" t="inlineStr">
        <is>
          <t>2</t>
        </is>
      </c>
      <c r="V5625" t="n">
        <v/>
      </c>
      <c r="W5625" t="n">
        <v/>
      </c>
    </row>
    <row r="5626">
      <c r="A5626" t="inlineStr">
        <is>
          <t>05/02/2026 6:45:20</t>
        </is>
      </c>
      <c r="B5626" t="inlineStr">
        <is>
          <t>Nguyễn Quang Anh Tuấn</t>
        </is>
      </c>
      <c r="C5626" t="inlineStr">
        <is>
          <t>04/02/2026</t>
        </is>
      </c>
      <c r="D5626" t="n">
        <v>1</v>
      </c>
      <c r="E5626" t="n">
        <v>1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2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/>
      </c>
      <c r="T5626" t="inlineStr">
        <is>
          <t>4</t>
        </is>
      </c>
      <c r="U5626" t="inlineStr">
        <is>
          <t>2</t>
        </is>
      </c>
      <c r="V5626" t="n">
        <v/>
      </c>
      <c r="W5626" t="n">
        <v/>
      </c>
    </row>
    <row r="5627">
      <c r="A5627" t="inlineStr">
        <is>
          <t>05/02/2026 6:59:16</t>
        </is>
      </c>
      <c r="B5627" t="inlineStr">
        <is>
          <t>Lương Duy Hoàng</t>
        </is>
      </c>
      <c r="C5627" t="inlineStr">
        <is>
          <t>04/02/2026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3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/>
      </c>
      <c r="T5627" t="inlineStr">
        <is>
          <t>4</t>
        </is>
      </c>
      <c r="U5627" t="inlineStr">
        <is>
          <t>2</t>
        </is>
      </c>
      <c r="V5627" t="n">
        <v/>
      </c>
      <c r="W5627" t="n">
        <v/>
      </c>
    </row>
    <row r="5628">
      <c r="A5628" t="inlineStr">
        <is>
          <t>05/02/2026 7:11:25</t>
        </is>
      </c>
      <c r="B5628" t="inlineStr">
        <is>
          <t>Huỳnh Văn Lực</t>
        </is>
      </c>
      <c r="C5628" t="inlineStr">
        <is>
          <t>04/02/2026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1</v>
      </c>
      <c r="L5628" t="n">
        <v>0</v>
      </c>
      <c r="M5628" t="n">
        <v>0</v>
      </c>
      <c r="N5628" t="n">
        <v>0</v>
      </c>
      <c r="O5628" t="n">
        <v>0</v>
      </c>
      <c r="P5628" t="n">
        <v>1</v>
      </c>
      <c r="Q5628" t="n">
        <v>1</v>
      </c>
      <c r="R5628" t="n">
        <v>0</v>
      </c>
      <c r="S5628" t="n">
        <v/>
      </c>
      <c r="T5628" t="inlineStr">
        <is>
          <t>4</t>
        </is>
      </c>
      <c r="U5628" t="inlineStr">
        <is>
          <t>2</t>
        </is>
      </c>
      <c r="V5628" t="n">
        <v/>
      </c>
      <c r="W5628" t="n">
        <v/>
      </c>
    </row>
    <row r="5629">
      <c r="A5629" t="inlineStr">
        <is>
          <t>05/02/2026 7:16:16</t>
        </is>
      </c>
      <c r="B5629" t="inlineStr">
        <is>
          <t>Nguyễn Tuấn Anh</t>
        </is>
      </c>
      <c r="C5629" t="inlineStr">
        <is>
          <t>04/02/2026</t>
        </is>
      </c>
      <c r="D5629" t="n">
        <v>2</v>
      </c>
      <c r="E5629" t="n">
        <v>0</v>
      </c>
      <c r="F5629" t="n">
        <v>0</v>
      </c>
      <c r="G5629" t="n">
        <v>0</v>
      </c>
      <c r="H5629" t="n">
        <v>0</v>
      </c>
      <c r="I5629" t="n">
        <v>2</v>
      </c>
      <c r="J5629" t="n">
        <v>0</v>
      </c>
      <c r="K5629" t="n">
        <v>12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2</v>
      </c>
      <c r="R5629" t="n">
        <v>0</v>
      </c>
      <c r="S5629" t="n">
        <v/>
      </c>
      <c r="T5629" t="inlineStr">
        <is>
          <t>4</t>
        </is>
      </c>
      <c r="U5629" t="inlineStr">
        <is>
          <t>2</t>
        </is>
      </c>
      <c r="V5629" t="n">
        <v/>
      </c>
      <c r="W5629" t="n">
        <v/>
      </c>
    </row>
    <row r="5630">
      <c r="A5630" t="inlineStr">
        <is>
          <t>05/02/2026 7:19:21</t>
        </is>
      </c>
      <c r="B5630" t="inlineStr">
        <is>
          <t>Trần Xuân Khoa</t>
        </is>
      </c>
      <c r="C5630" t="inlineStr">
        <is>
          <t>04/02/2026</t>
        </is>
      </c>
      <c r="D5630" t="n">
        <v>1</v>
      </c>
      <c r="E5630" t="n">
        <v>1</v>
      </c>
      <c r="F5630" t="n">
        <v>1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1</v>
      </c>
      <c r="Q5630" t="n">
        <v>2</v>
      </c>
      <c r="R5630" t="n">
        <v>0</v>
      </c>
      <c r="S5630" t="n">
        <v/>
      </c>
      <c r="T5630" t="inlineStr">
        <is>
          <t>4</t>
        </is>
      </c>
      <c r="U5630" t="inlineStr">
        <is>
          <t>2</t>
        </is>
      </c>
      <c r="V5630" t="n">
        <v/>
      </c>
      <c r="W5630" t="n">
        <v/>
      </c>
    </row>
    <row r="5631">
      <c r="A5631" t="inlineStr">
        <is>
          <t>05/02/2026 7:23:54</t>
        </is>
      </c>
      <c r="B5631" t="inlineStr">
        <is>
          <t>Trần Trung Giang</t>
        </is>
      </c>
      <c r="C5631" t="inlineStr">
        <is>
          <t>04/02/2026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4</v>
      </c>
      <c r="L5631" t="n">
        <v>0</v>
      </c>
      <c r="M5631" t="n">
        <v>0</v>
      </c>
      <c r="N5631" t="n">
        <v>0</v>
      </c>
      <c r="O5631" t="n">
        <v>1</v>
      </c>
      <c r="P5631" t="n">
        <v>0</v>
      </c>
      <c r="Q5631" t="n">
        <v>0</v>
      </c>
      <c r="R5631" t="n">
        <v>0</v>
      </c>
      <c r="S5631" t="n">
        <v/>
      </c>
      <c r="T5631" t="inlineStr">
        <is>
          <t>4</t>
        </is>
      </c>
      <c r="U5631" t="inlineStr">
        <is>
          <t>2</t>
        </is>
      </c>
      <c r="V5631" t="n">
        <v/>
      </c>
      <c r="W5631" t="n">
        <v/>
      </c>
    </row>
    <row r="5632">
      <c r="A5632" t="inlineStr">
        <is>
          <t>05/02/2026 7:32:24</t>
        </is>
      </c>
      <c r="B5632" t="inlineStr">
        <is>
          <t>Lê Hồng Phong</t>
        </is>
      </c>
      <c r="C5632" t="inlineStr">
        <is>
          <t>05/02/2026</t>
        </is>
      </c>
      <c r="D5632" t="n">
        <v>1</v>
      </c>
      <c r="E5632" t="n">
        <v>1</v>
      </c>
      <c r="F5632" t="n">
        <v>1</v>
      </c>
      <c r="G5632" t="n">
        <v>1</v>
      </c>
      <c r="H5632" t="n">
        <v>1</v>
      </c>
      <c r="I5632" t="n">
        <v>1</v>
      </c>
      <c r="J5632" t="n">
        <v>1</v>
      </c>
      <c r="K5632" t="n">
        <v>1</v>
      </c>
      <c r="L5632" t="n">
        <v>1</v>
      </c>
      <c r="M5632" t="n">
        <v>1</v>
      </c>
      <c r="N5632" t="n">
        <v>1</v>
      </c>
      <c r="O5632" t="n">
        <v>1</v>
      </c>
      <c r="P5632" t="n">
        <v>1</v>
      </c>
      <c r="Q5632" t="n">
        <v>1</v>
      </c>
      <c r="R5632" t="n">
        <v>1</v>
      </c>
      <c r="S5632" t="n">
        <v/>
      </c>
      <c r="T5632" t="inlineStr">
        <is>
          <t>5</t>
        </is>
      </c>
      <c r="U5632" t="inlineStr">
        <is>
          <t>2</t>
        </is>
      </c>
      <c r="V5632" t="n">
        <v/>
      </c>
      <c r="W5632" t="n">
        <v/>
      </c>
    </row>
    <row r="5633">
      <c r="A5633" t="inlineStr">
        <is>
          <t>05/02/2026 7:35:11</t>
        </is>
      </c>
      <c r="B5633" t="inlineStr">
        <is>
          <t>Đặng Hoài Anh</t>
        </is>
      </c>
      <c r="C5633" t="inlineStr">
        <is>
          <t>04/02/2026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9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/>
      </c>
      <c r="T5633" t="inlineStr">
        <is>
          <t>4</t>
        </is>
      </c>
      <c r="U5633" t="inlineStr">
        <is>
          <t>2</t>
        </is>
      </c>
      <c r="V5633" t="n">
        <v/>
      </c>
      <c r="W5633" t="n">
        <v/>
      </c>
    </row>
    <row r="5634">
      <c r="A5634" t="inlineStr">
        <is>
          <t>05/02/2026 9:03:38</t>
        </is>
      </c>
      <c r="B5634" t="inlineStr">
        <is>
          <t>Nguyễn Hồng Minh</t>
        </is>
      </c>
      <c r="C5634" t="inlineStr">
        <is>
          <t>04/02/2026</t>
        </is>
      </c>
      <c r="D5634" t="n">
        <v>2</v>
      </c>
      <c r="E5634" t="n">
        <v>2</v>
      </c>
      <c r="F5634" t="n">
        <v>2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1</v>
      </c>
      <c r="M5634" t="n">
        <v>0</v>
      </c>
      <c r="N5634" t="n">
        <v>0</v>
      </c>
      <c r="O5634" t="n">
        <v>0</v>
      </c>
      <c r="P5634" t="n">
        <v>1</v>
      </c>
      <c r="Q5634" t="n">
        <v>6</v>
      </c>
      <c r="R5634" t="n">
        <v>0</v>
      </c>
      <c r="S5634" t="n">
        <v/>
      </c>
      <c r="T5634" t="inlineStr">
        <is>
          <t>4</t>
        </is>
      </c>
      <c r="U5634" t="inlineStr">
        <is>
          <t>2</t>
        </is>
      </c>
      <c r="V5634" t="n">
        <v/>
      </c>
      <c r="W5634" t="n">
        <v/>
      </c>
    </row>
    <row r="5635">
      <c r="A5635" t="inlineStr">
        <is>
          <t>06/02/2026 6:47:35</t>
        </is>
      </c>
      <c r="B5635" t="inlineStr">
        <is>
          <t>Huỳnh Văn Lực</t>
        </is>
      </c>
      <c r="C5635" t="inlineStr">
        <is>
          <t>05/02/2026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3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3</v>
      </c>
      <c r="R5635" t="n">
        <v>0</v>
      </c>
      <c r="S5635" t="n">
        <v/>
      </c>
      <c r="T5635" t="inlineStr">
        <is>
          <t>5</t>
        </is>
      </c>
      <c r="U5635" t="inlineStr">
        <is>
          <t>2</t>
        </is>
      </c>
      <c r="V5635" t="n">
        <v/>
      </c>
      <c r="W5635" t="n">
        <v/>
      </c>
    </row>
    <row r="5636">
      <c r="A5636" t="inlineStr">
        <is>
          <t>06/02/2026 6:48:59</t>
        </is>
      </c>
      <c r="B5636" t="inlineStr">
        <is>
          <t>Nguyễn Quang Anh Tuấn</t>
        </is>
      </c>
      <c r="C5636" t="inlineStr">
        <is>
          <t>05/02/2026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0</v>
      </c>
      <c r="J5636" t="n">
        <v>0</v>
      </c>
      <c r="K5636" t="n">
        <v>12</v>
      </c>
      <c r="L5636" t="n">
        <v>0</v>
      </c>
      <c r="M5636" t="n">
        <v>2</v>
      </c>
      <c r="N5636" t="n">
        <v>0</v>
      </c>
      <c r="O5636" t="n">
        <v>0</v>
      </c>
      <c r="P5636" t="n">
        <v>0</v>
      </c>
      <c r="Q5636" t="n">
        <v>2</v>
      </c>
      <c r="R5636" t="n">
        <v>0</v>
      </c>
      <c r="S5636" t="n">
        <v/>
      </c>
      <c r="T5636" t="inlineStr">
        <is>
          <t>5</t>
        </is>
      </c>
      <c r="U5636" t="inlineStr">
        <is>
          <t>2</t>
        </is>
      </c>
      <c r="V5636" t="n">
        <v/>
      </c>
      <c r="W5636" t="n">
        <v/>
      </c>
    </row>
    <row r="5637">
      <c r="A5637" t="inlineStr">
        <is>
          <t>06/02/2026 6:52:14</t>
        </is>
      </c>
      <c r="B5637" t="inlineStr">
        <is>
          <t>Nguyễn Văn Hiệp</t>
        </is>
      </c>
      <c r="C5637" t="inlineStr">
        <is>
          <t>05/02/2026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</v>
      </c>
      <c r="J5637" t="n">
        <v>0</v>
      </c>
      <c r="K5637" t="n">
        <v>4</v>
      </c>
      <c r="L5637" t="n">
        <v>0</v>
      </c>
      <c r="M5637" t="n">
        <v>0</v>
      </c>
      <c r="N5637" t="n">
        <v>1</v>
      </c>
      <c r="O5637" t="n">
        <v>0</v>
      </c>
      <c r="P5637" t="n">
        <v>0</v>
      </c>
      <c r="Q5637" t="n">
        <v>0</v>
      </c>
      <c r="R5637" t="n">
        <v>0</v>
      </c>
      <c r="S5637" t="n">
        <v/>
      </c>
      <c r="T5637" t="inlineStr">
        <is>
          <t>5</t>
        </is>
      </c>
      <c r="U5637" t="inlineStr">
        <is>
          <t>2</t>
        </is>
      </c>
      <c r="V5637" t="n">
        <v/>
      </c>
      <c r="W5637" t="n">
        <v/>
      </c>
    </row>
    <row r="5638">
      <c r="A5638" t="inlineStr">
        <is>
          <t>06/02/2026 6:52:37</t>
        </is>
      </c>
      <c r="B5638" t="inlineStr">
        <is>
          <t>Trần Trung Giang</t>
        </is>
      </c>
      <c r="C5638" t="inlineStr">
        <is>
          <t>05/02/2026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6</v>
      </c>
      <c r="L5638" t="n">
        <v>2</v>
      </c>
      <c r="M5638" t="n">
        <v>9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/>
      </c>
      <c r="T5638" t="inlineStr">
        <is>
          <t>5</t>
        </is>
      </c>
      <c r="U5638" t="inlineStr">
        <is>
          <t>2</t>
        </is>
      </c>
      <c r="V5638" t="n">
        <v/>
      </c>
      <c r="W5638" t="n">
        <v/>
      </c>
    </row>
    <row r="5639">
      <c r="A5639" t="inlineStr">
        <is>
          <t>06/02/2026 7:05:14</t>
        </is>
      </c>
      <c r="B5639" t="inlineStr">
        <is>
          <t>Đặng Hoài Anh</t>
        </is>
      </c>
      <c r="C5639" t="inlineStr">
        <is>
          <t>05/02/2026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3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/>
      </c>
      <c r="T5639" t="inlineStr">
        <is>
          <t>5</t>
        </is>
      </c>
      <c r="U5639" t="inlineStr">
        <is>
          <t>2</t>
        </is>
      </c>
      <c r="V5639" t="n">
        <v/>
      </c>
      <c r="W5639" t="n">
        <v/>
      </c>
    </row>
    <row r="5640">
      <c r="A5640" t="inlineStr">
        <is>
          <t>06/02/2026 7:26:31</t>
        </is>
      </c>
      <c r="B5640" t="inlineStr">
        <is>
          <t>Nguyễn Tuấn Anh</t>
        </is>
      </c>
      <c r="C5640" t="inlineStr">
        <is>
          <t>05/02/2026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2</v>
      </c>
      <c r="J5640" t="n">
        <v>0</v>
      </c>
      <c r="K5640" t="n">
        <v>37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2</v>
      </c>
      <c r="R5640" t="n">
        <v>0</v>
      </c>
      <c r="S5640" t="n">
        <v/>
      </c>
      <c r="T5640" t="inlineStr">
        <is>
          <t>5</t>
        </is>
      </c>
      <c r="U5640" t="inlineStr">
        <is>
          <t>2</t>
        </is>
      </c>
      <c r="V5640" t="n">
        <v/>
      </c>
      <c r="W5640" t="n">
        <v/>
      </c>
    </row>
    <row r="5641">
      <c r="A5641" t="inlineStr">
        <is>
          <t>06/02/2026 7:47:29</t>
        </is>
      </c>
      <c r="B5641" t="inlineStr">
        <is>
          <t>Lê Hồng Phong</t>
        </is>
      </c>
      <c r="C5641" t="inlineStr">
        <is>
          <t>06/02/2026</t>
        </is>
      </c>
      <c r="D5641" t="n">
        <v>1</v>
      </c>
      <c r="E5641" t="n">
        <v>1</v>
      </c>
      <c r="F5641" t="n">
        <v>1</v>
      </c>
      <c r="G5641" t="n">
        <v>1</v>
      </c>
      <c r="H5641" t="n">
        <v>1</v>
      </c>
      <c r="I5641" t="n">
        <v>1</v>
      </c>
      <c r="J5641" t="n">
        <v>1</v>
      </c>
      <c r="K5641" t="n">
        <v>1</v>
      </c>
      <c r="L5641" t="n">
        <v>1</v>
      </c>
      <c r="M5641" t="n">
        <v>1</v>
      </c>
      <c r="N5641" t="n">
        <v>1</v>
      </c>
      <c r="O5641" t="n">
        <v>1</v>
      </c>
      <c r="P5641" t="n">
        <v>1</v>
      </c>
      <c r="Q5641" t="n">
        <v>1</v>
      </c>
      <c r="R5641" t="n">
        <v>1</v>
      </c>
      <c r="S5641" t="n">
        <v/>
      </c>
      <c r="T5641" t="inlineStr">
        <is>
          <t>6</t>
        </is>
      </c>
      <c r="U5641" t="inlineStr">
        <is>
          <t>2</t>
        </is>
      </c>
      <c r="V5641" t="n">
        <v/>
      </c>
      <c r="W5641" t="n">
        <v/>
      </c>
    </row>
    <row r="5642">
      <c r="A5642" t="inlineStr">
        <is>
          <t>06/02/2026 9:32:11</t>
        </is>
      </c>
      <c r="B5642" t="inlineStr">
        <is>
          <t>Nguyễn Hồng Minh</t>
        </is>
      </c>
      <c r="C5642" t="inlineStr">
        <is>
          <t>05/02/2026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</v>
      </c>
      <c r="J5642" t="n">
        <v>0</v>
      </c>
      <c r="K5642" t="n">
        <v>8</v>
      </c>
      <c r="L5642" t="n">
        <v>0</v>
      </c>
      <c r="M5642" t="n">
        <v>1</v>
      </c>
      <c r="N5642" t="n">
        <v>1</v>
      </c>
      <c r="O5642" t="n">
        <v>0</v>
      </c>
      <c r="P5642" t="n">
        <v>2</v>
      </c>
      <c r="Q5642" t="n">
        <v>5</v>
      </c>
      <c r="R5642" t="n">
        <v>0</v>
      </c>
      <c r="S5642" t="n">
        <v/>
      </c>
      <c r="T5642" t="inlineStr">
        <is>
          <t>5</t>
        </is>
      </c>
      <c r="U5642" t="inlineStr">
        <is>
          <t>2</t>
        </is>
      </c>
      <c r="V5642" t="n">
        <v/>
      </c>
      <c r="W5642" t="n">
        <v/>
      </c>
    </row>
    <row r="5643">
      <c r="A5643" t="inlineStr">
        <is>
          <t>07/02/2026 6:45:45</t>
        </is>
      </c>
      <c r="B5643" t="inlineStr">
        <is>
          <t>Lê Hồng Phong</t>
        </is>
      </c>
      <c r="C5643" t="inlineStr">
        <is>
          <t>07/02/2026</t>
        </is>
      </c>
      <c r="D5643" t="n">
        <v>1</v>
      </c>
      <c r="E5643" t="n">
        <v>1</v>
      </c>
      <c r="F5643" t="n">
        <v>1</v>
      </c>
      <c r="G5643" t="n">
        <v>1</v>
      </c>
      <c r="H5643" t="n">
        <v>1</v>
      </c>
      <c r="I5643" t="n">
        <v>1</v>
      </c>
      <c r="J5643" t="n">
        <v>1</v>
      </c>
      <c r="K5643" t="n">
        <v>1</v>
      </c>
      <c r="L5643" t="n">
        <v>1</v>
      </c>
      <c r="M5643" t="n">
        <v>1</v>
      </c>
      <c r="N5643" t="n">
        <v>1</v>
      </c>
      <c r="O5643" t="n">
        <v>1</v>
      </c>
      <c r="P5643" t="n">
        <v>1</v>
      </c>
      <c r="Q5643" t="n">
        <v>1</v>
      </c>
      <c r="R5643" t="n">
        <v>1</v>
      </c>
      <c r="S5643" t="n">
        <v/>
      </c>
      <c r="T5643" t="inlineStr">
        <is>
          <t>7</t>
        </is>
      </c>
      <c r="U5643" t="inlineStr">
        <is>
          <t>2</t>
        </is>
      </c>
      <c r="V5643" t="n">
        <v/>
      </c>
      <c r="W5643" t="n">
        <v/>
      </c>
    </row>
    <row r="5644">
      <c r="A5644" t="inlineStr">
        <is>
          <t>07/02/2026 6:46:48</t>
        </is>
      </c>
      <c r="B5644" t="inlineStr">
        <is>
          <t>Nguyễn Văn Hiệp</t>
        </is>
      </c>
      <c r="C5644" t="inlineStr">
        <is>
          <t>06/02/2026</t>
        </is>
      </c>
      <c r="D5644" t="n">
        <v>1</v>
      </c>
      <c r="E5644" t="n">
        <v>0</v>
      </c>
      <c r="F5644" t="n">
        <v>0</v>
      </c>
      <c r="G5644" t="n">
        <v>0</v>
      </c>
      <c r="H5644" t="n">
        <v>9</v>
      </c>
      <c r="I5644" t="n">
        <v>0</v>
      </c>
      <c r="J5644" t="n">
        <v>0</v>
      </c>
      <c r="K5644" t="n">
        <v>4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2</v>
      </c>
      <c r="R5644" t="n">
        <v>0</v>
      </c>
      <c r="S5644" t="n">
        <v/>
      </c>
      <c r="T5644" t="inlineStr">
        <is>
          <t>6</t>
        </is>
      </c>
      <c r="U5644" t="inlineStr">
        <is>
          <t>2</t>
        </is>
      </c>
      <c r="V5644" t="n">
        <v/>
      </c>
      <c r="W5644" t="n">
        <v/>
      </c>
    </row>
    <row r="5645">
      <c r="A5645" t="inlineStr">
        <is>
          <t>07/02/2026 6:58:09</t>
        </is>
      </c>
      <c r="B5645" t="inlineStr">
        <is>
          <t>Lương Duy Hoàng</t>
        </is>
      </c>
      <c r="C5645" t="inlineStr">
        <is>
          <t>06/02/2026</t>
        </is>
      </c>
      <c r="D5645" t="n">
        <v>0</v>
      </c>
      <c r="E5645" t="n">
        <v>0</v>
      </c>
      <c r="F5645" t="n">
        <v>2</v>
      </c>
      <c r="G5645" t="n">
        <v>0</v>
      </c>
      <c r="H5645" t="n">
        <v>0</v>
      </c>
      <c r="I5645" t="n">
        <v>0</v>
      </c>
      <c r="J5645" t="n">
        <v>0</v>
      </c>
      <c r="K5645" t="n">
        <v>5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/>
      </c>
      <c r="T5645" t="inlineStr">
        <is>
          <t>6</t>
        </is>
      </c>
      <c r="U5645" t="inlineStr">
        <is>
          <t>2</t>
        </is>
      </c>
      <c r="V5645" t="n">
        <v/>
      </c>
      <c r="W5645" t="n">
        <v/>
      </c>
    </row>
    <row r="5646">
      <c r="A5646" t="inlineStr">
        <is>
          <t>07/02/2026 7:00:26</t>
        </is>
      </c>
      <c r="B5646" t="inlineStr">
        <is>
          <t>Nguyễn Tuấn Anh</t>
        </is>
      </c>
      <c r="C5646" t="inlineStr">
        <is>
          <t>06/02/2026</t>
        </is>
      </c>
      <c r="D5646" t="n">
        <v>1</v>
      </c>
      <c r="E5646" t="n">
        <v>0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18</v>
      </c>
      <c r="L5646" t="n">
        <v>0</v>
      </c>
      <c r="M5646" t="n">
        <v>0</v>
      </c>
      <c r="N5646" t="n">
        <v>0</v>
      </c>
      <c r="O5646" t="n">
        <v>0</v>
      </c>
      <c r="P5646" t="n">
        <v>1</v>
      </c>
      <c r="Q5646" t="n">
        <v>2</v>
      </c>
      <c r="R5646" t="n">
        <v>0</v>
      </c>
      <c r="S5646" t="n">
        <v/>
      </c>
      <c r="T5646" t="inlineStr">
        <is>
          <t>6</t>
        </is>
      </c>
      <c r="U5646" t="inlineStr">
        <is>
          <t>2</t>
        </is>
      </c>
      <c r="V5646" t="n">
        <v/>
      </c>
      <c r="W5646" t="n">
        <v/>
      </c>
    </row>
    <row r="5647">
      <c r="A5647" t="inlineStr">
        <is>
          <t>07/02/2026 7:04:14</t>
        </is>
      </c>
      <c r="B5647" t="inlineStr">
        <is>
          <t>Đặng Hoài Anh</t>
        </is>
      </c>
      <c r="C5647" t="inlineStr">
        <is>
          <t>06/02/2026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/>
      </c>
      <c r="T5647" t="inlineStr">
        <is>
          <t>6</t>
        </is>
      </c>
      <c r="U5647" t="inlineStr">
        <is>
          <t>2</t>
        </is>
      </c>
      <c r="V5647" t="n">
        <v/>
      </c>
      <c r="W5647" t="n">
        <v/>
      </c>
    </row>
    <row r="5648">
      <c r="A5648" t="inlineStr">
        <is>
          <t>07/02/2026 7:05:15</t>
        </is>
      </c>
      <c r="B5648" t="inlineStr">
        <is>
          <t>Nguyễn Quang Anh Tuấn</t>
        </is>
      </c>
      <c r="C5648" t="inlineStr">
        <is>
          <t>06/02/2026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17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/>
      </c>
      <c r="T5648" t="inlineStr">
        <is>
          <t>6</t>
        </is>
      </c>
      <c r="U5648" t="inlineStr">
        <is>
          <t>2</t>
        </is>
      </c>
      <c r="V5648" t="n">
        <v/>
      </c>
      <c r="W5648" t="n">
        <v/>
      </c>
    </row>
    <row r="5649">
      <c r="A5649" t="inlineStr">
        <is>
          <t>07/02/2026 7:24:51</t>
        </is>
      </c>
      <c r="B5649" t="inlineStr">
        <is>
          <t>Huỳnh Văn Lực</t>
        </is>
      </c>
      <c r="C5649" t="inlineStr">
        <is>
          <t>06/02/2026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6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2</v>
      </c>
      <c r="R5649" t="n">
        <v>0</v>
      </c>
      <c r="S5649" t="n">
        <v/>
      </c>
      <c r="T5649" t="inlineStr">
        <is>
          <t>6</t>
        </is>
      </c>
      <c r="U5649" t="inlineStr">
        <is>
          <t>2</t>
        </is>
      </c>
      <c r="V5649" t="n">
        <v/>
      </c>
      <c r="W5649" t="n">
        <v/>
      </c>
    </row>
    <row r="5650">
      <c r="A5650" t="inlineStr">
        <is>
          <t>07/02/2026 7:30:21</t>
        </is>
      </c>
      <c r="B5650" t="inlineStr">
        <is>
          <t>Trần Trung Giang</t>
        </is>
      </c>
      <c r="C5650" t="inlineStr">
        <is>
          <t>06/02/2026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11</v>
      </c>
      <c r="L5650" t="n">
        <v>0</v>
      </c>
      <c r="M5650" t="n">
        <v>2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/>
      </c>
      <c r="T5650" t="inlineStr">
        <is>
          <t>6</t>
        </is>
      </c>
      <c r="U5650" t="inlineStr">
        <is>
          <t>2</t>
        </is>
      </c>
      <c r="V5650" t="n">
        <v/>
      </c>
      <c r="W5650" t="n">
        <v/>
      </c>
    </row>
    <row r="5651">
      <c r="A5651" t="inlineStr">
        <is>
          <t>07/02/2026 7:40:55</t>
        </is>
      </c>
      <c r="B5651" t="inlineStr">
        <is>
          <t>Trần Xuân Khoa</t>
        </is>
      </c>
      <c r="C5651" t="inlineStr">
        <is>
          <t>06/02/2026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5</v>
      </c>
      <c r="M5651" t="n">
        <v>0</v>
      </c>
      <c r="N5651" t="n">
        <v>0</v>
      </c>
      <c r="O5651" t="n">
        <v>0</v>
      </c>
      <c r="P5651" t="n">
        <v>1</v>
      </c>
      <c r="Q5651" t="n">
        <v>3</v>
      </c>
      <c r="R5651" t="n">
        <v>0</v>
      </c>
      <c r="S5651" t="n">
        <v/>
      </c>
      <c r="T5651" t="inlineStr">
        <is>
          <t>6</t>
        </is>
      </c>
      <c r="U5651" t="inlineStr">
        <is>
          <t>2</t>
        </is>
      </c>
      <c r="V5651" t="n">
        <v/>
      </c>
      <c r="W5651" t="n">
        <v/>
      </c>
    </row>
    <row r="5652">
      <c r="A5652" t="inlineStr">
        <is>
          <t>07/02/2026 9:10:25</t>
        </is>
      </c>
      <c r="B5652" t="inlineStr">
        <is>
          <t>Nguyễn Hồng Minh</t>
        </is>
      </c>
      <c r="C5652" t="inlineStr">
        <is>
          <t>06/02/2026</t>
        </is>
      </c>
      <c r="D5652" t="n">
        <v>2</v>
      </c>
      <c r="E5652" t="n">
        <v>2</v>
      </c>
      <c r="F5652" t="n">
        <v>1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2</v>
      </c>
      <c r="N5652" t="n">
        <v>2</v>
      </c>
      <c r="O5652" t="n">
        <v>0</v>
      </c>
      <c r="P5652" t="n">
        <v>2</v>
      </c>
      <c r="Q5652" t="n">
        <v>3</v>
      </c>
      <c r="R5652" t="n">
        <v>0</v>
      </c>
      <c r="S5652" t="n">
        <v/>
      </c>
      <c r="T5652" t="inlineStr">
        <is>
          <t>6</t>
        </is>
      </c>
      <c r="U5652" t="inlineStr">
        <is>
          <t>2</t>
        </is>
      </c>
      <c r="V5652" t="n">
        <v/>
      </c>
      <c r="W5652" t="n">
        <v/>
      </c>
    </row>
    <row r="5653">
      <c r="A5653" t="inlineStr">
        <is>
          <t>08/02/2026 6:30:50</t>
        </is>
      </c>
      <c r="B5653" t="inlineStr">
        <is>
          <t>Lương Duy Hoàng</t>
        </is>
      </c>
      <c r="C5653" t="inlineStr">
        <is>
          <t>07/02/2026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4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2</v>
      </c>
      <c r="R5653" t="n">
        <v>0</v>
      </c>
      <c r="S5653" t="n">
        <v/>
      </c>
      <c r="T5653" t="inlineStr">
        <is>
          <t>7</t>
        </is>
      </c>
      <c r="U5653" t="inlineStr">
        <is>
          <t>2</t>
        </is>
      </c>
      <c r="V5653" t="n">
        <v/>
      </c>
      <c r="W5653" t="n">
        <v/>
      </c>
    </row>
    <row r="5654">
      <c r="A5654" t="inlineStr">
        <is>
          <t>08/02/2026 6:39:37</t>
        </is>
      </c>
      <c r="B5654" t="inlineStr">
        <is>
          <t>Nguyễn Văn Hiệp</t>
        </is>
      </c>
      <c r="C5654" t="inlineStr">
        <is>
          <t>07/02/2025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8</v>
      </c>
      <c r="L5654" t="n">
        <v>0</v>
      </c>
      <c r="M5654" t="n">
        <v>0</v>
      </c>
      <c r="N5654" t="n">
        <v>0</v>
      </c>
      <c r="O5654" t="n">
        <v>0</v>
      </c>
      <c r="P5654" t="n">
        <v>1</v>
      </c>
      <c r="Q5654" t="n">
        <v>0</v>
      </c>
      <c r="R5654" t="n">
        <v>0</v>
      </c>
      <c r="S5654" t="n">
        <v/>
      </c>
      <c r="T5654" t="inlineStr">
        <is>
          <t>7</t>
        </is>
      </c>
      <c r="U5654" t="inlineStr">
        <is>
          <t>2</t>
        </is>
      </c>
      <c r="V5654" t="n">
        <v/>
      </c>
      <c r="W5654" t="n">
        <v/>
      </c>
    </row>
    <row r="5655">
      <c r="A5655" t="inlineStr">
        <is>
          <t>08/02/2026 7:04:15</t>
        </is>
      </c>
      <c r="B5655" t="inlineStr">
        <is>
          <t>Trần Trung Giang</t>
        </is>
      </c>
      <c r="C5655" t="inlineStr">
        <is>
          <t>07/02/2026</t>
        </is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  <c r="I5655" t="n">
        <v>0</v>
      </c>
      <c r="J5655" t="n">
        <v>0</v>
      </c>
      <c r="K5655" t="n">
        <v>5</v>
      </c>
      <c r="L5655" t="n">
        <v>0</v>
      </c>
      <c r="M5655" t="n">
        <v>0</v>
      </c>
      <c r="N5655" t="n">
        <v>0</v>
      </c>
      <c r="O5655" t="n">
        <v>0</v>
      </c>
      <c r="P5655" t="n">
        <v>1</v>
      </c>
      <c r="Q5655" t="n">
        <v>1</v>
      </c>
      <c r="R5655" t="n">
        <v>0</v>
      </c>
      <c r="S5655" t="n">
        <v/>
      </c>
      <c r="T5655" t="inlineStr">
        <is>
          <t>7</t>
        </is>
      </c>
      <c r="U5655" t="inlineStr">
        <is>
          <t>2</t>
        </is>
      </c>
      <c r="V5655" t="n">
        <v/>
      </c>
      <c r="W5655" t="n">
        <v/>
      </c>
    </row>
    <row r="5656">
      <c r="A5656" t="inlineStr">
        <is>
          <t>08/02/2026 7:10:29</t>
        </is>
      </c>
      <c r="B5656" t="inlineStr">
        <is>
          <t>Nguyễn Quang Anh Tuấn</t>
        </is>
      </c>
      <c r="C5656" t="inlineStr">
        <is>
          <t>07/02/2026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11</v>
      </c>
      <c r="L5656" t="n">
        <v>0</v>
      </c>
      <c r="M5656" t="n">
        <v>4</v>
      </c>
      <c r="N5656" t="n">
        <v>0</v>
      </c>
      <c r="O5656" t="n">
        <v>0</v>
      </c>
      <c r="P5656" t="n">
        <v>0</v>
      </c>
      <c r="Q5656" t="n">
        <v>2</v>
      </c>
      <c r="R5656" t="n">
        <v>0</v>
      </c>
      <c r="S5656" t="n">
        <v/>
      </c>
      <c r="T5656" t="inlineStr">
        <is>
          <t>7</t>
        </is>
      </c>
      <c r="U5656" t="inlineStr">
        <is>
          <t>2</t>
        </is>
      </c>
      <c r="V5656" t="n">
        <v/>
      </c>
      <c r="W5656" t="n">
        <v/>
      </c>
    </row>
    <row r="5657">
      <c r="A5657" t="inlineStr">
        <is>
          <t>08/02/2026 7:11:58</t>
        </is>
      </c>
      <c r="B5657" t="inlineStr">
        <is>
          <t>Huỳnh Văn Lực</t>
        </is>
      </c>
      <c r="C5657" t="inlineStr">
        <is>
          <t>07/02/2026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2</v>
      </c>
      <c r="L5657" t="n">
        <v>0</v>
      </c>
      <c r="M5657" t="n">
        <v>0</v>
      </c>
      <c r="N5657" t="n">
        <v>0</v>
      </c>
      <c r="O5657" t="n">
        <v>0</v>
      </c>
      <c r="P5657" t="n">
        <v>1</v>
      </c>
      <c r="Q5657" t="n">
        <v>0</v>
      </c>
      <c r="R5657" t="n">
        <v>0</v>
      </c>
      <c r="S5657" t="n">
        <v/>
      </c>
      <c r="T5657" t="inlineStr">
        <is>
          <t>7</t>
        </is>
      </c>
      <c r="U5657" t="inlineStr">
        <is>
          <t>2</t>
        </is>
      </c>
      <c r="V5657" t="n">
        <v/>
      </c>
      <c r="W5657" t="n">
        <v/>
      </c>
    </row>
    <row r="5658">
      <c r="A5658" t="inlineStr">
        <is>
          <t>08/02/2026 7:15:39</t>
        </is>
      </c>
      <c r="B5658" t="inlineStr">
        <is>
          <t>Đặng Hoài Anh</t>
        </is>
      </c>
      <c r="C5658" t="inlineStr">
        <is>
          <t>07/02/2026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1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/>
      </c>
      <c r="T5658" t="inlineStr">
        <is>
          <t>7</t>
        </is>
      </c>
      <c r="U5658" t="inlineStr">
        <is>
          <t>2</t>
        </is>
      </c>
      <c r="V5658" t="n">
        <v/>
      </c>
      <c r="W5658" t="n">
        <v/>
      </c>
    </row>
    <row r="5659">
      <c r="A5659" t="inlineStr">
        <is>
          <t>08/02/2026 7:30:49</t>
        </is>
      </c>
      <c r="B5659" t="inlineStr">
        <is>
          <t>Nguyễn Tuấn Anh</t>
        </is>
      </c>
      <c r="C5659" t="inlineStr">
        <is>
          <t>07/02/2026</t>
        </is>
      </c>
      <c r="D5659" t="n">
        <v>1</v>
      </c>
      <c r="E5659" t="n">
        <v>0</v>
      </c>
      <c r="F5659" t="n">
        <v>0</v>
      </c>
      <c r="G5659" t="n">
        <v>0</v>
      </c>
      <c r="H5659" t="n">
        <v>0</v>
      </c>
      <c r="I5659" t="n">
        <v>1</v>
      </c>
      <c r="J5659" t="n">
        <v>0</v>
      </c>
      <c r="K5659" t="n">
        <v>18</v>
      </c>
      <c r="L5659" t="n">
        <v>4</v>
      </c>
      <c r="M5659" t="n">
        <v>0</v>
      </c>
      <c r="N5659" t="n">
        <v>0</v>
      </c>
      <c r="O5659" t="n">
        <v>0</v>
      </c>
      <c r="P5659" t="n">
        <v>1</v>
      </c>
      <c r="Q5659" t="n">
        <v>2</v>
      </c>
      <c r="R5659" t="n">
        <v>0</v>
      </c>
      <c r="S5659" t="n">
        <v/>
      </c>
      <c r="T5659" t="inlineStr">
        <is>
          <t>7</t>
        </is>
      </c>
      <c r="U5659" t="inlineStr">
        <is>
          <t>2</t>
        </is>
      </c>
      <c r="V5659" t="n">
        <v/>
      </c>
      <c r="W5659" t="n">
        <v/>
      </c>
    </row>
    <row r="5660">
      <c r="A5660" t="inlineStr">
        <is>
          <t>08/02/2026 7:46:40</t>
        </is>
      </c>
      <c r="B5660" t="inlineStr">
        <is>
          <t>Lê Hồng Phong</t>
        </is>
      </c>
      <c r="C5660" t="inlineStr">
        <is>
          <t>08/02/2026</t>
        </is>
      </c>
      <c r="D5660" t="n">
        <v>1</v>
      </c>
      <c r="E5660" t="n">
        <v>1</v>
      </c>
      <c r="F5660" t="n">
        <v>1</v>
      </c>
      <c r="G5660" t="n">
        <v>1</v>
      </c>
      <c r="H5660" t="n">
        <v>1</v>
      </c>
      <c r="I5660" t="n">
        <v>1</v>
      </c>
      <c r="J5660" t="n">
        <v>1</v>
      </c>
      <c r="K5660" t="n">
        <v>1</v>
      </c>
      <c r="L5660" t="n">
        <v>1</v>
      </c>
      <c r="M5660" t="n">
        <v>1</v>
      </c>
      <c r="N5660" t="n">
        <v>1</v>
      </c>
      <c r="O5660" t="n">
        <v>1</v>
      </c>
      <c r="P5660" t="n">
        <v>1</v>
      </c>
      <c r="Q5660" t="n">
        <v>1</v>
      </c>
      <c r="R5660" t="n">
        <v>1</v>
      </c>
      <c r="S5660" t="n">
        <v/>
      </c>
      <c r="T5660" t="inlineStr">
        <is>
          <t>8</t>
        </is>
      </c>
      <c r="U5660" t="inlineStr">
        <is>
          <t>2</t>
        </is>
      </c>
      <c r="V5660" t="n">
        <v/>
      </c>
      <c r="W5660" t="n">
        <v/>
      </c>
    </row>
    <row r="5661">
      <c r="A5661" t="inlineStr">
        <is>
          <t>08/02/2026 9:11:21</t>
        </is>
      </c>
      <c r="B5661" t="inlineStr">
        <is>
          <t>Nguyễn Hồng Minh</t>
        </is>
      </c>
      <c r="C5661" t="inlineStr">
        <is>
          <t>07/02/2026</t>
        </is>
      </c>
      <c r="D5661" t="n">
        <v>1</v>
      </c>
      <c r="E5661" t="n">
        <v>1</v>
      </c>
      <c r="F5661" t="n">
        <v>1</v>
      </c>
      <c r="G5661" t="n">
        <v>0</v>
      </c>
      <c r="H5661" t="n">
        <v>0</v>
      </c>
      <c r="I5661" t="n">
        <v>1</v>
      </c>
      <c r="J5661" t="n">
        <v>0</v>
      </c>
      <c r="K5661" t="n">
        <v>2</v>
      </c>
      <c r="L5661" t="n">
        <v>1</v>
      </c>
      <c r="M5661" t="n">
        <v>1</v>
      </c>
      <c r="N5661" t="n">
        <v>0</v>
      </c>
      <c r="O5661" t="n">
        <v>0</v>
      </c>
      <c r="P5661" t="n">
        <v>9</v>
      </c>
      <c r="Q5661" t="n">
        <v>6</v>
      </c>
      <c r="R5661" t="n">
        <v>0</v>
      </c>
      <c r="S5661" t="n">
        <v/>
      </c>
      <c r="T5661" t="inlineStr">
        <is>
          <t>7</t>
        </is>
      </c>
      <c r="U5661" t="inlineStr">
        <is>
          <t>2</t>
        </is>
      </c>
      <c r="V5661" t="n">
        <v/>
      </c>
      <c r="W5661" t="n">
        <v/>
      </c>
    </row>
    <row r="5662">
      <c r="A5662" t="inlineStr">
        <is>
          <t>09/02/2026 6:53:06</t>
        </is>
      </c>
      <c r="B5662" t="inlineStr">
        <is>
          <t>Đặng Hoài Anh</t>
        </is>
      </c>
      <c r="C5662" t="inlineStr">
        <is>
          <t>08/02/2026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10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/>
      </c>
      <c r="T5662" t="inlineStr">
        <is>
          <t>8</t>
        </is>
      </c>
      <c r="U5662" t="inlineStr">
        <is>
          <t>2</t>
        </is>
      </c>
      <c r="V5662" t="n">
        <v/>
      </c>
      <c r="W5662" t="n">
        <v/>
      </c>
    </row>
    <row r="5663">
      <c r="A5663" t="inlineStr">
        <is>
          <t>09/02/2026 6:53:55</t>
        </is>
      </c>
      <c r="B5663" t="inlineStr">
        <is>
          <t>Trần Trung Giang</t>
        </is>
      </c>
      <c r="C5663" t="inlineStr">
        <is>
          <t>08/02/2026</t>
        </is>
      </c>
      <c r="D5663" t="n">
        <v>1</v>
      </c>
      <c r="E5663" t="n">
        <v>1</v>
      </c>
      <c r="F5663" t="n">
        <v>1</v>
      </c>
      <c r="G5663" t="n">
        <v>0</v>
      </c>
      <c r="H5663" t="n">
        <v>0</v>
      </c>
      <c r="I5663" t="n">
        <v>0</v>
      </c>
      <c r="J5663" t="n">
        <v>0</v>
      </c>
      <c r="K5663" t="n">
        <v>5</v>
      </c>
      <c r="L5663" t="n">
        <v>0</v>
      </c>
      <c r="M5663" t="n">
        <v>0</v>
      </c>
      <c r="N5663" t="n">
        <v>0</v>
      </c>
      <c r="O5663" t="n">
        <v>0</v>
      </c>
      <c r="P5663" t="n">
        <v>1</v>
      </c>
      <c r="Q5663" t="n">
        <v>0</v>
      </c>
      <c r="R5663" t="n">
        <v>0</v>
      </c>
      <c r="S5663" t="n">
        <v/>
      </c>
      <c r="T5663" t="inlineStr">
        <is>
          <t>8</t>
        </is>
      </c>
      <c r="U5663" t="inlineStr">
        <is>
          <t>2</t>
        </is>
      </c>
      <c r="V5663" t="n">
        <v/>
      </c>
      <c r="W5663" t="n">
        <v/>
      </c>
    </row>
    <row r="5664">
      <c r="A5664" t="inlineStr">
        <is>
          <t>09/02/2026 6:57:23</t>
        </is>
      </c>
      <c r="B5664" t="inlineStr">
        <is>
          <t>Nguyễn Văn Hiệp</t>
        </is>
      </c>
      <c r="C5664" t="inlineStr">
        <is>
          <t>08/02/3036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9</v>
      </c>
      <c r="K5664" t="n">
        <v>20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/>
      </c>
      <c r="T5664" t="inlineStr">
        <is>
          <t>8</t>
        </is>
      </c>
      <c r="U5664" t="inlineStr">
        <is>
          <t>2</t>
        </is>
      </c>
      <c r="V5664" t="n">
        <v/>
      </c>
      <c r="W5664" t="n">
        <v/>
      </c>
    </row>
    <row r="5665">
      <c r="A5665" t="inlineStr">
        <is>
          <t>09/02/2026 6:58:08</t>
        </is>
      </c>
      <c r="B5665" t="inlineStr">
        <is>
          <t>Nguyễn Quang Anh Tuấn</t>
        </is>
      </c>
      <c r="C5665" t="inlineStr">
        <is>
          <t>08/02/2026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9</v>
      </c>
      <c r="L5665" t="n">
        <v>0</v>
      </c>
      <c r="M5665" t="n">
        <v>5</v>
      </c>
      <c r="N5665" t="n">
        <v>0</v>
      </c>
      <c r="O5665" t="n">
        <v>0</v>
      </c>
      <c r="P5665" t="n">
        <v>0</v>
      </c>
      <c r="Q5665" t="n">
        <v>3</v>
      </c>
      <c r="R5665" t="n">
        <v>0</v>
      </c>
      <c r="S5665" t="n">
        <v/>
      </c>
      <c r="T5665" t="inlineStr">
        <is>
          <t>8</t>
        </is>
      </c>
      <c r="U5665" t="inlineStr">
        <is>
          <t>2</t>
        </is>
      </c>
      <c r="V5665" t="n">
        <v/>
      </c>
      <c r="W5665" t="n">
        <v/>
      </c>
    </row>
    <row r="5666">
      <c r="A5666" t="inlineStr">
        <is>
          <t>09/02/2026 6:58:37</t>
        </is>
      </c>
      <c r="B5666" t="inlineStr">
        <is>
          <t>Huỳnh Văn Lực</t>
        </is>
      </c>
      <c r="C5666" t="inlineStr">
        <is>
          <t>08/02/2026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12</v>
      </c>
      <c r="L5666" t="n">
        <v>0</v>
      </c>
      <c r="M5666" t="n">
        <v>0</v>
      </c>
      <c r="N5666" t="n">
        <v>0</v>
      </c>
      <c r="O5666" t="n">
        <v>0</v>
      </c>
      <c r="P5666" t="n">
        <v>1</v>
      </c>
      <c r="Q5666" t="n">
        <v>1</v>
      </c>
      <c r="R5666" t="n">
        <v>0</v>
      </c>
      <c r="S5666" t="n">
        <v/>
      </c>
      <c r="T5666" t="inlineStr">
        <is>
          <t>8</t>
        </is>
      </c>
      <c r="U5666" t="inlineStr">
        <is>
          <t>2</t>
        </is>
      </c>
      <c r="V5666" t="n">
        <v/>
      </c>
      <c r="W5666" t="n">
        <v/>
      </c>
    </row>
    <row r="5667">
      <c r="A5667" t="inlineStr">
        <is>
          <t>09/02/2026 7:08:33</t>
        </is>
      </c>
      <c r="B5667" t="inlineStr">
        <is>
          <t>Nguyễn Tuấn Anh</t>
        </is>
      </c>
      <c r="C5667" t="inlineStr">
        <is>
          <t>08/02/2026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7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5</v>
      </c>
      <c r="R5667" t="n">
        <v>0</v>
      </c>
      <c r="S5667" t="n">
        <v/>
      </c>
      <c r="T5667" t="inlineStr">
        <is>
          <t>8</t>
        </is>
      </c>
      <c r="U5667" t="inlineStr">
        <is>
          <t>2</t>
        </is>
      </c>
      <c r="V5667" t="n">
        <v/>
      </c>
      <c r="W5667" t="n">
        <v/>
      </c>
    </row>
    <row r="5668">
      <c r="A5668" t="inlineStr">
        <is>
          <t>09/02/2026 7:20:54</t>
        </is>
      </c>
      <c r="B5668" t="inlineStr">
        <is>
          <t>Lê Hồng Phong</t>
        </is>
      </c>
      <c r="C5668" t="inlineStr">
        <is>
          <t>09/02/2026</t>
        </is>
      </c>
      <c r="D5668" t="n">
        <v>1</v>
      </c>
      <c r="E5668" t="n">
        <v>1</v>
      </c>
      <c r="F5668" t="n">
        <v>1</v>
      </c>
      <c r="G5668" t="n">
        <v>1</v>
      </c>
      <c r="H5668" t="n">
        <v>1</v>
      </c>
      <c r="I5668" t="n">
        <v>1</v>
      </c>
      <c r="J5668" t="n">
        <v>1</v>
      </c>
      <c r="K5668" t="n">
        <v>1</v>
      </c>
      <c r="L5668" t="n">
        <v>1</v>
      </c>
      <c r="M5668" t="n">
        <v>1</v>
      </c>
      <c r="N5668" t="n">
        <v>1</v>
      </c>
      <c r="O5668" t="n">
        <v>1</v>
      </c>
      <c r="P5668" t="n">
        <v>1</v>
      </c>
      <c r="Q5668" t="n">
        <v>1</v>
      </c>
      <c r="R5668" t="n">
        <v>1</v>
      </c>
      <c r="S5668" t="n">
        <v/>
      </c>
      <c r="T5668" t="inlineStr">
        <is>
          <t>9</t>
        </is>
      </c>
      <c r="U5668" t="inlineStr">
        <is>
          <t>2</t>
        </is>
      </c>
      <c r="V5668" t="n">
        <v/>
      </c>
      <c r="W5668" t="n">
        <v/>
      </c>
    </row>
    <row r="5669">
      <c r="A5669" t="inlineStr">
        <is>
          <t>09/02/2026 7:55:04</t>
        </is>
      </c>
      <c r="B5669" t="inlineStr">
        <is>
          <t>Lương Duy Hoàng</t>
        </is>
      </c>
      <c r="C5669" t="inlineStr">
        <is>
          <t>08/02/2026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2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4</v>
      </c>
      <c r="R5669" t="n">
        <v>0</v>
      </c>
      <c r="S5669" t="n">
        <v/>
      </c>
      <c r="T5669" t="inlineStr">
        <is>
          <t>8</t>
        </is>
      </c>
      <c r="U5669" t="inlineStr">
        <is>
          <t>2</t>
        </is>
      </c>
      <c r="V5669" t="n">
        <v/>
      </c>
      <c r="W5669" t="n">
        <v/>
      </c>
    </row>
    <row r="5670">
      <c r="A5670" t="inlineStr">
        <is>
          <t>09/02/2026 8:52:41</t>
        </is>
      </c>
      <c r="B5670" t="inlineStr">
        <is>
          <t>Nguyễn Hồng Minh</t>
        </is>
      </c>
      <c r="C5670" t="inlineStr">
        <is>
          <t>08/02/2026</t>
        </is>
      </c>
      <c r="D5670" t="n">
        <v>2</v>
      </c>
      <c r="E5670" t="n">
        <v>2</v>
      </c>
      <c r="F5670" t="n">
        <v>2</v>
      </c>
      <c r="G5670" t="n">
        <v>0</v>
      </c>
      <c r="H5670" t="n">
        <v>0</v>
      </c>
      <c r="I5670" t="n">
        <v>1</v>
      </c>
      <c r="J5670" t="n">
        <v>0</v>
      </c>
      <c r="K5670" t="n">
        <v>0</v>
      </c>
      <c r="L5670" t="n">
        <v>0</v>
      </c>
      <c r="M5670" t="n">
        <v>2</v>
      </c>
      <c r="N5670" t="n">
        <v>0</v>
      </c>
      <c r="O5670" t="n">
        <v>0</v>
      </c>
      <c r="P5670" t="n">
        <v>1</v>
      </c>
      <c r="Q5670" t="n">
        <v>7</v>
      </c>
      <c r="R5670" t="n">
        <v>0</v>
      </c>
      <c r="S5670" t="n">
        <v/>
      </c>
      <c r="T5670" t="inlineStr">
        <is>
          <t>8</t>
        </is>
      </c>
      <c r="U5670" t="inlineStr">
        <is>
          <t>2</t>
        </is>
      </c>
      <c r="V5670" t="n">
        <v/>
      </c>
      <c r="W5670" t="n">
        <v/>
      </c>
    </row>
    <row r="5671">
      <c r="A5671" t="inlineStr">
        <is>
          <t>10/02/2026 6:52:36</t>
        </is>
      </c>
      <c r="B5671" t="inlineStr">
        <is>
          <t>Lương Duy Hoàng</t>
        </is>
      </c>
      <c r="C5671" t="inlineStr">
        <is>
          <t>09/02/2026</t>
        </is>
      </c>
      <c r="D5671" t="n">
        <v>1</v>
      </c>
      <c r="E5671" t="n">
        <v>1</v>
      </c>
      <c r="F5671" t="n">
        <v>1</v>
      </c>
      <c r="G5671" t="n">
        <v>0</v>
      </c>
      <c r="H5671" t="n">
        <v>0</v>
      </c>
      <c r="I5671" t="n">
        <v>0</v>
      </c>
      <c r="J5671" t="n">
        <v>0</v>
      </c>
      <c r="K5671" t="n">
        <v>4</v>
      </c>
      <c r="L5671" t="n">
        <v>0</v>
      </c>
      <c r="M5671" t="n">
        <v>1</v>
      </c>
      <c r="N5671" t="n">
        <v>0</v>
      </c>
      <c r="O5671" t="n">
        <v>0</v>
      </c>
      <c r="P5671" t="n">
        <v>0</v>
      </c>
      <c r="Q5671" t="n">
        <v>3</v>
      </c>
      <c r="R5671" t="n">
        <v>0</v>
      </c>
      <c r="S5671" t="n">
        <v/>
      </c>
      <c r="T5671" t="inlineStr">
        <is>
          <t>9</t>
        </is>
      </c>
      <c r="U5671" t="inlineStr">
        <is>
          <t>2</t>
        </is>
      </c>
      <c r="V5671" t="n">
        <v/>
      </c>
      <c r="W5671" t="n">
        <v/>
      </c>
    </row>
    <row r="5672">
      <c r="A5672" t="inlineStr">
        <is>
          <t>10/02/2026 7:02:57</t>
        </is>
      </c>
      <c r="B5672" t="inlineStr">
        <is>
          <t>Trần Xuân Khoa</t>
        </is>
      </c>
      <c r="C5672" t="inlineStr">
        <is>
          <t>09/02/2026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7</v>
      </c>
      <c r="L5672" t="n">
        <v>0</v>
      </c>
      <c r="M5672" t="n">
        <v>0</v>
      </c>
      <c r="N5672" t="n">
        <v>0</v>
      </c>
      <c r="O5672" t="n">
        <v>0</v>
      </c>
      <c r="P5672" t="n">
        <v>1</v>
      </c>
      <c r="Q5672" t="n">
        <v>3</v>
      </c>
      <c r="R5672" t="n">
        <v>0</v>
      </c>
      <c r="S5672" t="n">
        <v/>
      </c>
      <c r="T5672" t="inlineStr">
        <is>
          <t>9</t>
        </is>
      </c>
      <c r="U5672" t="inlineStr">
        <is>
          <t>2</t>
        </is>
      </c>
      <c r="V5672" t="n">
        <v/>
      </c>
      <c r="W5672" t="n">
        <v/>
      </c>
    </row>
    <row r="5673">
      <c r="A5673" t="inlineStr">
        <is>
          <t>10/02/2026 7:03:48</t>
        </is>
      </c>
      <c r="B5673" t="inlineStr">
        <is>
          <t>Nguyễn Quang Anh Tuấn</t>
        </is>
      </c>
      <c r="C5673" t="inlineStr">
        <is>
          <t>09/02/2026</t>
        </is>
      </c>
      <c r="D5673" t="n">
        <v>1</v>
      </c>
      <c r="E5673" t="n">
        <v>1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17</v>
      </c>
      <c r="L5673" t="n">
        <v>0</v>
      </c>
      <c r="M5673" t="n">
        <v>5</v>
      </c>
      <c r="N5673" t="n">
        <v>0</v>
      </c>
      <c r="O5673" t="n">
        <v>0</v>
      </c>
      <c r="P5673" t="n">
        <v>1</v>
      </c>
      <c r="Q5673" t="n">
        <v>1</v>
      </c>
      <c r="R5673" t="n">
        <v>0</v>
      </c>
      <c r="S5673" t="n">
        <v/>
      </c>
      <c r="T5673" t="inlineStr">
        <is>
          <t>9</t>
        </is>
      </c>
      <c r="U5673" t="inlineStr">
        <is>
          <t>2</t>
        </is>
      </c>
      <c r="V5673" t="n">
        <v/>
      </c>
      <c r="W5673" t="n">
        <v/>
      </c>
    </row>
    <row r="5674">
      <c r="A5674" t="inlineStr">
        <is>
          <t>10/02/2026 7:04:01</t>
        </is>
      </c>
      <c r="B5674" t="inlineStr">
        <is>
          <t>Đặng Hoài Anh</t>
        </is>
      </c>
      <c r="C5674" t="inlineStr">
        <is>
          <t>09/02/2026</t>
        </is>
      </c>
      <c r="D5674" t="n">
        <v>5</v>
      </c>
      <c r="E5674" t="n">
        <v>4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5</v>
      </c>
      <c r="N5674" t="n">
        <v>0</v>
      </c>
      <c r="O5674" t="n">
        <v>0</v>
      </c>
      <c r="P5674" t="n">
        <v>0</v>
      </c>
      <c r="Q5674" t="n">
        <v>1</v>
      </c>
      <c r="R5674" t="n">
        <v>0</v>
      </c>
      <c r="S5674" t="n">
        <v/>
      </c>
      <c r="T5674" t="inlineStr">
        <is>
          <t>9</t>
        </is>
      </c>
      <c r="U5674" t="inlineStr">
        <is>
          <t>2</t>
        </is>
      </c>
      <c r="V5674" t="n">
        <v/>
      </c>
      <c r="W5674" t="n">
        <v/>
      </c>
    </row>
    <row r="5675">
      <c r="A5675" t="inlineStr">
        <is>
          <t>10/02/2026 7:04:08</t>
        </is>
      </c>
      <c r="B5675" t="inlineStr">
        <is>
          <t>Nguyễn Tuấn Anh</t>
        </is>
      </c>
      <c r="C5675" t="inlineStr">
        <is>
          <t>09/02/2026</t>
        </is>
      </c>
      <c r="D5675" t="n">
        <v>0</v>
      </c>
      <c r="E5675" t="n">
        <v>0</v>
      </c>
      <c r="F5675" t="n">
        <v>2</v>
      </c>
      <c r="G5675" t="n">
        <v>0</v>
      </c>
      <c r="H5675" t="n">
        <v>0</v>
      </c>
      <c r="I5675" t="n">
        <v>1</v>
      </c>
      <c r="J5675" t="n">
        <v>0</v>
      </c>
      <c r="K5675" t="n">
        <v>12</v>
      </c>
      <c r="L5675" t="n">
        <v>1</v>
      </c>
      <c r="M5675" t="n">
        <v>0</v>
      </c>
      <c r="N5675" t="n">
        <v>0</v>
      </c>
      <c r="O5675" t="n">
        <v>0</v>
      </c>
      <c r="P5675" t="n">
        <v>0</v>
      </c>
      <c r="Q5675" t="n">
        <v>2</v>
      </c>
      <c r="R5675" t="n">
        <v>0</v>
      </c>
      <c r="S5675" t="n">
        <v/>
      </c>
      <c r="T5675" t="inlineStr">
        <is>
          <t>9</t>
        </is>
      </c>
      <c r="U5675" t="inlineStr">
        <is>
          <t>2</t>
        </is>
      </c>
      <c r="V5675" t="n">
        <v/>
      </c>
      <c r="W5675" t="n">
        <v/>
      </c>
    </row>
    <row r="5676">
      <c r="A5676" t="inlineStr">
        <is>
          <t>10/02/2026 7:06:37</t>
        </is>
      </c>
      <c r="B5676" t="inlineStr">
        <is>
          <t>Lê Hồng Phong</t>
        </is>
      </c>
      <c r="C5676" t="inlineStr">
        <is>
          <t>10/01/2026</t>
        </is>
      </c>
      <c r="D5676" t="n">
        <v>1</v>
      </c>
      <c r="E5676" t="n">
        <v>1</v>
      </c>
      <c r="F5676" t="n">
        <v>1</v>
      </c>
      <c r="G5676" t="n">
        <v>1</v>
      </c>
      <c r="H5676" t="n">
        <v>1</v>
      </c>
      <c r="I5676" t="n">
        <v>1</v>
      </c>
      <c r="J5676" t="n">
        <v>1</v>
      </c>
      <c r="K5676" t="n">
        <v>1</v>
      </c>
      <c r="L5676" t="n">
        <v>1</v>
      </c>
      <c r="M5676" t="n">
        <v>1</v>
      </c>
      <c r="N5676" t="n">
        <v>1</v>
      </c>
      <c r="O5676" t="n">
        <v>1</v>
      </c>
      <c r="P5676" t="n">
        <v>1</v>
      </c>
      <c r="Q5676" t="n">
        <v>1</v>
      </c>
      <c r="R5676" t="n">
        <v>1</v>
      </c>
      <c r="S5676" t="n">
        <v/>
      </c>
      <c r="T5676" t="inlineStr">
        <is>
          <t>10</t>
        </is>
      </c>
      <c r="U5676" t="inlineStr">
        <is>
          <t>1</t>
        </is>
      </c>
      <c r="V5676" t="n">
        <v/>
      </c>
      <c r="W5676" t="n">
        <v/>
      </c>
    </row>
    <row r="5677">
      <c r="A5677" t="inlineStr">
        <is>
          <t>10/02/2026 7:18:08</t>
        </is>
      </c>
      <c r="B5677" t="inlineStr">
        <is>
          <t>Nguyễn Văn Hiệp</t>
        </is>
      </c>
      <c r="C5677" t="inlineStr">
        <is>
          <t>09/02/2026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3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/>
      </c>
      <c r="T5677" t="inlineStr">
        <is>
          <t>9</t>
        </is>
      </c>
      <c r="U5677" t="inlineStr">
        <is>
          <t>2</t>
        </is>
      </c>
      <c r="V5677" t="n">
        <v/>
      </c>
      <c r="W5677" t="n">
        <v/>
      </c>
    </row>
    <row r="5678">
      <c r="A5678" t="inlineStr">
        <is>
          <t>10/02/2026 7:24:00</t>
        </is>
      </c>
      <c r="B5678" t="inlineStr">
        <is>
          <t>Trần Trung Giang</t>
        </is>
      </c>
      <c r="C5678" t="inlineStr">
        <is>
          <t>09/02/2026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1</v>
      </c>
      <c r="N5678" t="n">
        <v>0</v>
      </c>
      <c r="O5678" t="n">
        <v>0</v>
      </c>
      <c r="P5678" t="n">
        <v>0</v>
      </c>
      <c r="Q5678" t="n">
        <v>1</v>
      </c>
      <c r="R5678" t="n">
        <v>0</v>
      </c>
      <c r="S5678" t="n">
        <v/>
      </c>
      <c r="T5678" t="inlineStr">
        <is>
          <t>9</t>
        </is>
      </c>
      <c r="U5678" t="inlineStr">
        <is>
          <t>2</t>
        </is>
      </c>
      <c r="V5678" t="n">
        <v/>
      </c>
      <c r="W5678" t="n">
        <v/>
      </c>
    </row>
    <row r="5679">
      <c r="A5679" t="inlineStr">
        <is>
          <t>10/02/2026 7:38:28</t>
        </is>
      </c>
      <c r="B5679" t="inlineStr">
        <is>
          <t>Huỳnh Văn Lực</t>
        </is>
      </c>
      <c r="C5679" t="inlineStr">
        <is>
          <t>09/02/2026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6</v>
      </c>
      <c r="L5679" t="n">
        <v>0</v>
      </c>
      <c r="M5679" t="n">
        <v>0</v>
      </c>
      <c r="N5679" t="n">
        <v>0</v>
      </c>
      <c r="O5679" t="n">
        <v>0</v>
      </c>
      <c r="P5679" t="n">
        <v>1</v>
      </c>
      <c r="Q5679" t="n">
        <v>1</v>
      </c>
      <c r="R5679" t="n">
        <v>0</v>
      </c>
      <c r="S5679" t="n">
        <v/>
      </c>
      <c r="T5679" t="inlineStr">
        <is>
          <t>9</t>
        </is>
      </c>
      <c r="U5679" t="inlineStr">
        <is>
          <t>2</t>
        </is>
      </c>
      <c r="V5679" t="n">
        <v/>
      </c>
      <c r="W5679" t="n">
        <v/>
      </c>
    </row>
    <row r="5680">
      <c r="A5680" t="inlineStr">
        <is>
          <t>10/02/2026 8:41:03</t>
        </is>
      </c>
      <c r="B5680" t="inlineStr">
        <is>
          <t>Nguyễn Hồng Minh</t>
        </is>
      </c>
      <c r="C5680" t="inlineStr">
        <is>
          <t>09/02/2026</t>
        </is>
      </c>
      <c r="D5680" t="n">
        <v>1</v>
      </c>
      <c r="E5680" t="n">
        <v>1</v>
      </c>
      <c r="F5680" t="n">
        <v>1</v>
      </c>
      <c r="G5680" t="n">
        <v>0</v>
      </c>
      <c r="H5680" t="n">
        <v>0</v>
      </c>
      <c r="I5680" t="n">
        <v>1</v>
      </c>
      <c r="J5680" t="n">
        <v>0</v>
      </c>
      <c r="K5680" t="n">
        <v>12</v>
      </c>
      <c r="L5680" t="n">
        <v>0</v>
      </c>
      <c r="M5680" t="n">
        <v>1</v>
      </c>
      <c r="N5680" t="n">
        <v>0</v>
      </c>
      <c r="O5680" t="n">
        <v>0</v>
      </c>
      <c r="P5680" t="n">
        <v>0</v>
      </c>
      <c r="Q5680" t="n">
        <v>5</v>
      </c>
      <c r="R5680" t="n">
        <v>0</v>
      </c>
      <c r="S5680" t="n">
        <v/>
      </c>
      <c r="T5680" t="inlineStr">
        <is>
          <t>9</t>
        </is>
      </c>
      <c r="U5680" t="inlineStr">
        <is>
          <t>2</t>
        </is>
      </c>
      <c r="V5680" t="n">
        <v/>
      </c>
      <c r="W5680" t="n">
        <v/>
      </c>
    </row>
    <row r="5681">
      <c r="A5681" t="inlineStr">
        <is>
          <t>11/02/2026 6:41:08</t>
        </is>
      </c>
      <c r="B5681" t="inlineStr">
        <is>
          <t>Trần Xuân Khoa</t>
        </is>
      </c>
      <c r="C5681" t="inlineStr">
        <is>
          <t>10/02/2026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10</v>
      </c>
      <c r="L5681" t="n">
        <v>0</v>
      </c>
      <c r="M5681" t="n">
        <v>0</v>
      </c>
      <c r="N5681" t="n">
        <v>0</v>
      </c>
      <c r="O5681" t="n">
        <v>0</v>
      </c>
      <c r="P5681" t="n">
        <v>2</v>
      </c>
      <c r="Q5681" t="n">
        <v>3</v>
      </c>
      <c r="R5681" t="n">
        <v>0</v>
      </c>
      <c r="S5681" t="n">
        <v/>
      </c>
      <c r="T5681" t="inlineStr">
        <is>
          <t>10</t>
        </is>
      </c>
      <c r="U5681" t="inlineStr">
        <is>
          <t>2</t>
        </is>
      </c>
      <c r="V5681" t="n">
        <v/>
      </c>
      <c r="W5681" t="n">
        <v/>
      </c>
    </row>
    <row r="5682">
      <c r="A5682" t="inlineStr">
        <is>
          <t>11/02/2026 7:10:01</t>
        </is>
      </c>
      <c r="B5682" t="inlineStr">
        <is>
          <t>Đặng Hoài Anh</t>
        </is>
      </c>
      <c r="C5682" t="inlineStr">
        <is>
          <t>10/02/2026</t>
        </is>
      </c>
      <c r="D5682" t="n">
        <v>0</v>
      </c>
      <c r="E5682" t="n">
        <v>2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1</v>
      </c>
      <c r="L5682" t="n">
        <v>0</v>
      </c>
      <c r="M5682" t="n">
        <v>0</v>
      </c>
      <c r="N5682" t="n">
        <v>0</v>
      </c>
      <c r="O5682" t="n">
        <v>0</v>
      </c>
      <c r="P5682" t="n">
        <v>1</v>
      </c>
      <c r="Q5682" t="n">
        <v>1</v>
      </c>
      <c r="R5682" t="n">
        <v>0</v>
      </c>
      <c r="S5682" t="n">
        <v/>
      </c>
      <c r="T5682" t="inlineStr">
        <is>
          <t>10</t>
        </is>
      </c>
      <c r="U5682" t="inlineStr">
        <is>
          <t>2</t>
        </is>
      </c>
      <c r="V5682" t="n">
        <v/>
      </c>
      <c r="W5682" t="n">
        <v/>
      </c>
    </row>
    <row r="5683">
      <c r="A5683" t="inlineStr">
        <is>
          <t>11/02/2026 7:13:54</t>
        </is>
      </c>
      <c r="B5683" t="inlineStr">
        <is>
          <t>Lê Hồng Phong</t>
        </is>
      </c>
      <c r="C5683" t="inlineStr">
        <is>
          <t>11/02/2026</t>
        </is>
      </c>
      <c r="D5683" t="n">
        <v>1</v>
      </c>
      <c r="E5683" t="n">
        <v>1</v>
      </c>
      <c r="F5683" t="n">
        <v>1</v>
      </c>
      <c r="G5683" t="n">
        <v>1</v>
      </c>
      <c r="H5683" t="n">
        <v>1</v>
      </c>
      <c r="I5683" t="n">
        <v>1</v>
      </c>
      <c r="J5683" t="n">
        <v>1</v>
      </c>
      <c r="K5683" t="n">
        <v>1</v>
      </c>
      <c r="L5683" t="n">
        <v>1</v>
      </c>
      <c r="M5683" t="n">
        <v>1</v>
      </c>
      <c r="N5683" t="n">
        <v>1</v>
      </c>
      <c r="O5683" t="n">
        <v>1</v>
      </c>
      <c r="P5683" t="n">
        <v>1</v>
      </c>
      <c r="Q5683" t="n">
        <v>1</v>
      </c>
      <c r="R5683" t="n">
        <v>1</v>
      </c>
      <c r="S5683" t="n">
        <v/>
      </c>
      <c r="T5683" t="inlineStr">
        <is>
          <t>11</t>
        </is>
      </c>
      <c r="U5683" t="inlineStr">
        <is>
          <t>2</t>
        </is>
      </c>
      <c r="V5683" t="n">
        <v/>
      </c>
      <c r="W5683" t="n">
        <v/>
      </c>
    </row>
    <row r="5684">
      <c r="A5684" t="inlineStr">
        <is>
          <t>11/02/2026 7:15:29</t>
        </is>
      </c>
      <c r="B5684" t="inlineStr">
        <is>
          <t>Trần Trung Giang</t>
        </is>
      </c>
      <c r="C5684" t="inlineStr">
        <is>
          <t>10/02/2026</t>
        </is>
      </c>
      <c r="D5684" t="n">
        <v>0</v>
      </c>
      <c r="E5684" t="n">
        <v>0</v>
      </c>
      <c r="F5684" t="n">
        <v>0</v>
      </c>
      <c r="G5684" t="n">
        <v>2</v>
      </c>
      <c r="H5684" t="n">
        <v>0</v>
      </c>
      <c r="I5684" t="n">
        <v>0</v>
      </c>
      <c r="J5684" t="n">
        <v>0</v>
      </c>
      <c r="K5684" t="n">
        <v>6</v>
      </c>
      <c r="L5684" t="n">
        <v>0</v>
      </c>
      <c r="M5684" t="n">
        <v>1</v>
      </c>
      <c r="N5684" t="n">
        <v>0</v>
      </c>
      <c r="O5684" t="n">
        <v>0</v>
      </c>
      <c r="P5684" t="n">
        <v>1</v>
      </c>
      <c r="Q5684" t="n">
        <v>0</v>
      </c>
      <c r="R5684" t="n">
        <v>0</v>
      </c>
      <c r="S5684" t="n">
        <v/>
      </c>
      <c r="T5684" t="inlineStr">
        <is>
          <t>10</t>
        </is>
      </c>
      <c r="U5684" t="inlineStr">
        <is>
          <t>2</t>
        </is>
      </c>
      <c r="V5684" t="n">
        <v/>
      </c>
      <c r="W5684" t="n">
        <v/>
      </c>
    </row>
    <row r="5685">
      <c r="A5685" t="inlineStr">
        <is>
          <t>11/02/2026 7:16:36</t>
        </is>
      </c>
      <c r="B5685" t="inlineStr">
        <is>
          <t>Nguyễn Văn Hiệp</t>
        </is>
      </c>
      <c r="C5685" t="inlineStr">
        <is>
          <t>10/02/2026</t>
        </is>
      </c>
      <c r="D5685" t="n">
        <v>0</v>
      </c>
      <c r="E5685" t="n">
        <v>0</v>
      </c>
      <c r="F5685" t="n">
        <v>1</v>
      </c>
      <c r="G5685" t="n">
        <v>0</v>
      </c>
      <c r="H5685" t="n">
        <v>0</v>
      </c>
      <c r="I5685" t="n">
        <v>0</v>
      </c>
      <c r="J5685" t="n">
        <v>0</v>
      </c>
      <c r="K5685" t="n">
        <v>2</v>
      </c>
      <c r="L5685" t="n">
        <v>0</v>
      </c>
      <c r="M5685" t="n">
        <v>1</v>
      </c>
      <c r="N5685" t="n">
        <v>1</v>
      </c>
      <c r="O5685" t="n">
        <v>0</v>
      </c>
      <c r="P5685" t="n">
        <v>0</v>
      </c>
      <c r="Q5685" t="n">
        <v>0</v>
      </c>
      <c r="R5685" t="n">
        <v>0</v>
      </c>
      <c r="S5685" t="n">
        <v/>
      </c>
      <c r="T5685" t="inlineStr">
        <is>
          <t>10</t>
        </is>
      </c>
      <c r="U5685" t="inlineStr">
        <is>
          <t>2</t>
        </is>
      </c>
      <c r="V5685" t="n">
        <v/>
      </c>
      <c r="W5685" t="n">
        <v/>
      </c>
    </row>
    <row r="5686">
      <c r="A5686" t="inlineStr">
        <is>
          <t>11/02/2026 7:20:27</t>
        </is>
      </c>
      <c r="B5686" t="inlineStr">
        <is>
          <t>Nguyễn Tuấn Anh</t>
        </is>
      </c>
      <c r="C5686" t="inlineStr">
        <is>
          <t>10/02/2026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</v>
      </c>
      <c r="J5686" t="n">
        <v>0</v>
      </c>
      <c r="K5686" t="n">
        <v>2</v>
      </c>
      <c r="L5686" t="n">
        <v>1</v>
      </c>
      <c r="M5686" t="n">
        <v>0</v>
      </c>
      <c r="N5686" t="n">
        <v>0</v>
      </c>
      <c r="O5686" t="n">
        <v>0</v>
      </c>
      <c r="P5686" t="n">
        <v>0</v>
      </c>
      <c r="Q5686" t="n">
        <v>2</v>
      </c>
      <c r="R5686" t="n">
        <v>0</v>
      </c>
      <c r="S5686" t="n">
        <v/>
      </c>
      <c r="T5686" t="inlineStr">
        <is>
          <t>10</t>
        </is>
      </c>
      <c r="U5686" t="inlineStr">
        <is>
          <t>2</t>
        </is>
      </c>
      <c r="V5686" t="n">
        <v/>
      </c>
      <c r="W5686" t="n">
        <v/>
      </c>
    </row>
    <row r="5687">
      <c r="A5687" t="inlineStr">
        <is>
          <t>11/02/2026 7:21:53</t>
        </is>
      </c>
      <c r="B5687" t="inlineStr">
        <is>
          <t>Lương Duy Hoàng</t>
        </is>
      </c>
      <c r="C5687" t="inlineStr">
        <is>
          <t>10/02/2026</t>
        </is>
      </c>
      <c r="D5687" t="n">
        <v>1</v>
      </c>
      <c r="E5687" t="n">
        <v>1</v>
      </c>
      <c r="F5687" t="n">
        <v>1</v>
      </c>
      <c r="G5687" t="n">
        <v>0</v>
      </c>
      <c r="H5687" t="n">
        <v>0</v>
      </c>
      <c r="I5687" t="n">
        <v>0</v>
      </c>
      <c r="J5687" t="n">
        <v>0</v>
      </c>
      <c r="K5687" t="n">
        <v>4</v>
      </c>
      <c r="L5687" t="n">
        <v>0</v>
      </c>
      <c r="M5687" t="n">
        <v>1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/>
      </c>
      <c r="T5687" t="inlineStr">
        <is>
          <t>10</t>
        </is>
      </c>
      <c r="U5687" t="inlineStr">
        <is>
          <t>2</t>
        </is>
      </c>
      <c r="V5687" t="n">
        <v/>
      </c>
      <c r="W5687" t="n">
        <v/>
      </c>
    </row>
    <row r="5688">
      <c r="A5688" t="inlineStr">
        <is>
          <t>11/02/2026 7:42:13</t>
        </is>
      </c>
      <c r="B5688" t="inlineStr">
        <is>
          <t>Nguyễn Quang Anh Tuấn</t>
        </is>
      </c>
      <c r="C5688" t="inlineStr">
        <is>
          <t>10/02/2026</t>
        </is>
      </c>
      <c r="D5688" t="n">
        <v>1</v>
      </c>
      <c r="E5688" t="n">
        <v>1</v>
      </c>
      <c r="F5688" t="n">
        <v>1</v>
      </c>
      <c r="G5688" t="n">
        <v>0</v>
      </c>
      <c r="H5688" t="n">
        <v>0</v>
      </c>
      <c r="I5688" t="n">
        <v>0</v>
      </c>
      <c r="J5688" t="n">
        <v>0</v>
      </c>
      <c r="K5688" t="n">
        <v>10</v>
      </c>
      <c r="L5688" t="n">
        <v>0</v>
      </c>
      <c r="M5688" t="n">
        <v>2</v>
      </c>
      <c r="N5688" t="n">
        <v>0</v>
      </c>
      <c r="O5688" t="n">
        <v>0</v>
      </c>
      <c r="P5688" t="n">
        <v>1</v>
      </c>
      <c r="Q5688" t="n">
        <v>2</v>
      </c>
      <c r="R5688" t="n">
        <v>0</v>
      </c>
      <c r="S5688" t="n">
        <v/>
      </c>
      <c r="T5688" t="inlineStr">
        <is>
          <t>10</t>
        </is>
      </c>
      <c r="U5688" t="inlineStr">
        <is>
          <t>2</t>
        </is>
      </c>
      <c r="V5688" t="n">
        <v/>
      </c>
      <c r="W5688" t="n">
        <v/>
      </c>
    </row>
    <row r="5689">
      <c r="A5689" t="inlineStr">
        <is>
          <t>11/02/2026 7:51:31</t>
        </is>
      </c>
      <c r="B5689" t="inlineStr">
        <is>
          <t>Huỳnh Văn Lực</t>
        </is>
      </c>
      <c r="C5689" t="inlineStr">
        <is>
          <t>10/02/2026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4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/>
      </c>
      <c r="T5689" t="inlineStr">
        <is>
          <t>10</t>
        </is>
      </c>
      <c r="U5689" t="inlineStr">
        <is>
          <t>2</t>
        </is>
      </c>
      <c r="V5689" t="n">
        <v/>
      </c>
      <c r="W5689" t="n">
        <v/>
      </c>
    </row>
    <row r="5690">
      <c r="A5690" t="inlineStr">
        <is>
          <t>11/02/2026 9:13:55</t>
        </is>
      </c>
      <c r="B5690" t="inlineStr">
        <is>
          <t>Nguyễn Hồng Minh</t>
        </is>
      </c>
      <c r="C5690" t="inlineStr">
        <is>
          <t>10/02/2026</t>
        </is>
      </c>
      <c r="D5690" t="n">
        <v>2</v>
      </c>
      <c r="E5690" t="n">
        <v>2</v>
      </c>
      <c r="F5690" t="n">
        <v>2</v>
      </c>
      <c r="G5690" t="n">
        <v>0</v>
      </c>
      <c r="H5690" t="n">
        <v>0</v>
      </c>
      <c r="I5690" t="n">
        <v>0</v>
      </c>
      <c r="J5690" t="n">
        <v>0</v>
      </c>
      <c r="K5690" t="n">
        <v>6</v>
      </c>
      <c r="L5690" t="n">
        <v>0</v>
      </c>
      <c r="M5690" t="n">
        <v>2</v>
      </c>
      <c r="N5690" t="n">
        <v>0</v>
      </c>
      <c r="O5690" t="n">
        <v>0</v>
      </c>
      <c r="P5690" t="n">
        <v>0</v>
      </c>
      <c r="Q5690" t="n">
        <v>4</v>
      </c>
      <c r="R5690" t="n">
        <v>0</v>
      </c>
      <c r="S5690" t="n">
        <v/>
      </c>
      <c r="T5690" t="inlineStr">
        <is>
          <t>10</t>
        </is>
      </c>
      <c r="U5690" t="inlineStr">
        <is>
          <t>2</t>
        </is>
      </c>
      <c r="V5690" t="n">
        <v/>
      </c>
      <c r="W5690" t="n">
        <v/>
      </c>
    </row>
    <row r="5691">
      <c r="A5691" t="inlineStr">
        <is>
          <t>12/02/2026 6:42:34</t>
        </is>
      </c>
      <c r="B5691" t="inlineStr">
        <is>
          <t>Lương Duy Hoàng</t>
        </is>
      </c>
      <c r="C5691" t="inlineStr">
        <is>
          <t>11/02/2026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3</v>
      </c>
      <c r="L5691" t="n">
        <v>0</v>
      </c>
      <c r="M5691" t="n">
        <v>0</v>
      </c>
      <c r="N5691" t="n">
        <v>0</v>
      </c>
      <c r="O5691" t="n">
        <v>0</v>
      </c>
      <c r="P5691" t="n">
        <v>1</v>
      </c>
      <c r="Q5691" t="n">
        <v>4</v>
      </c>
      <c r="R5691" t="n">
        <v>0</v>
      </c>
      <c r="S5691" t="n">
        <v/>
      </c>
      <c r="T5691" t="inlineStr">
        <is>
          <t>11</t>
        </is>
      </c>
      <c r="U5691" t="inlineStr">
        <is>
          <t>2</t>
        </is>
      </c>
      <c r="V5691" t="n">
        <v/>
      </c>
      <c r="W5691" t="n">
        <v/>
      </c>
    </row>
    <row r="5692">
      <c r="A5692" t="inlineStr">
        <is>
          <t>12/02/2026 7:07:03</t>
        </is>
      </c>
      <c r="B5692" t="inlineStr">
        <is>
          <t>Nguyễn Văn Hiệp</t>
        </is>
      </c>
      <c r="C5692" t="inlineStr">
        <is>
          <t>11/02/2026</t>
        </is>
      </c>
      <c r="D5692" t="n">
        <v>1</v>
      </c>
      <c r="E5692" t="n">
        <v>1</v>
      </c>
      <c r="F5692" t="n">
        <v>2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9</v>
      </c>
      <c r="N5692" t="n">
        <v>0</v>
      </c>
      <c r="O5692" t="n">
        <v>0</v>
      </c>
      <c r="P5692" t="n">
        <v>0</v>
      </c>
      <c r="Q5692" t="n">
        <v>0</v>
      </c>
      <c r="R5692" t="n">
        <v>1</v>
      </c>
      <c r="S5692" t="n">
        <v/>
      </c>
      <c r="T5692" t="inlineStr">
        <is>
          <t>11</t>
        </is>
      </c>
      <c r="U5692" t="inlineStr">
        <is>
          <t>2</t>
        </is>
      </c>
      <c r="V5692" t="n">
        <v/>
      </c>
      <c r="W5692" t="n">
        <v/>
      </c>
    </row>
    <row r="5693">
      <c r="A5693" t="inlineStr">
        <is>
          <t>12/02/2026 7:07:30</t>
        </is>
      </c>
      <c r="B5693" t="inlineStr">
        <is>
          <t>Lê Hồng Phong</t>
        </is>
      </c>
      <c r="C5693" t="inlineStr">
        <is>
          <t>12/02/2026</t>
        </is>
      </c>
      <c r="D5693" t="n">
        <v>1</v>
      </c>
      <c r="E5693" t="n">
        <v>1</v>
      </c>
      <c r="F5693" t="n">
        <v>1</v>
      </c>
      <c r="G5693" t="n">
        <v>1</v>
      </c>
      <c r="H5693" t="n">
        <v>1</v>
      </c>
      <c r="I5693" t="n">
        <v>1</v>
      </c>
      <c r="J5693" t="n">
        <v>1</v>
      </c>
      <c r="K5693" t="n">
        <v>1</v>
      </c>
      <c r="L5693" t="n">
        <v>1</v>
      </c>
      <c r="M5693" t="n">
        <v>1</v>
      </c>
      <c r="N5693" t="n">
        <v>1</v>
      </c>
      <c r="O5693" t="n">
        <v>1</v>
      </c>
      <c r="P5693" t="n">
        <v>1</v>
      </c>
      <c r="Q5693" t="n">
        <v>1</v>
      </c>
      <c r="R5693" t="n">
        <v>1</v>
      </c>
      <c r="S5693" t="n">
        <v/>
      </c>
      <c r="T5693" t="inlineStr">
        <is>
          <t>12</t>
        </is>
      </c>
      <c r="U5693" t="inlineStr">
        <is>
          <t>2</t>
        </is>
      </c>
      <c r="V5693" t="n">
        <v/>
      </c>
      <c r="W5693" t="n">
        <v/>
      </c>
    </row>
    <row r="5694">
      <c r="A5694" t="inlineStr">
        <is>
          <t>12/02/2026 7:09:55</t>
        </is>
      </c>
      <c r="B5694" t="inlineStr">
        <is>
          <t>Trần Trung Giang</t>
        </is>
      </c>
      <c r="C5694" t="inlineStr">
        <is>
          <t>11/02/2026</t>
        </is>
      </c>
      <c r="D5694" t="n">
        <v>1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5</v>
      </c>
      <c r="L5694" t="n">
        <v>0</v>
      </c>
      <c r="M5694" t="n">
        <v>1</v>
      </c>
      <c r="N5694" t="n">
        <v>1</v>
      </c>
      <c r="O5694" t="n">
        <v>0</v>
      </c>
      <c r="P5694" t="n">
        <v>1</v>
      </c>
      <c r="Q5694" t="n">
        <v>0</v>
      </c>
      <c r="R5694" t="n">
        <v>0</v>
      </c>
      <c r="S5694" t="n">
        <v/>
      </c>
      <c r="T5694" t="inlineStr">
        <is>
          <t>11</t>
        </is>
      </c>
      <c r="U5694" t="inlineStr">
        <is>
          <t>2</t>
        </is>
      </c>
      <c r="V5694" t="n">
        <v/>
      </c>
      <c r="W5694" t="n">
        <v/>
      </c>
    </row>
    <row r="5695">
      <c r="A5695" t="inlineStr">
        <is>
          <t>12/02/2026 7:13:50</t>
        </is>
      </c>
      <c r="B5695" t="inlineStr">
        <is>
          <t>Nguyễn Tuấn Anh</t>
        </is>
      </c>
      <c r="C5695" t="inlineStr">
        <is>
          <t>11/02/2026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</v>
      </c>
      <c r="J5695" t="n">
        <v>0</v>
      </c>
      <c r="K5695" t="n">
        <v>4</v>
      </c>
      <c r="L5695" t="n">
        <v>0</v>
      </c>
      <c r="M5695" t="n">
        <v>0</v>
      </c>
      <c r="N5695" t="n">
        <v>0</v>
      </c>
      <c r="O5695" t="n">
        <v>0</v>
      </c>
      <c r="P5695" t="n">
        <v>1</v>
      </c>
      <c r="Q5695" t="n">
        <v>2</v>
      </c>
      <c r="R5695" t="n">
        <v>2</v>
      </c>
      <c r="S5695" t="n">
        <v/>
      </c>
      <c r="T5695" t="inlineStr">
        <is>
          <t>11</t>
        </is>
      </c>
      <c r="U5695" t="inlineStr">
        <is>
          <t>2</t>
        </is>
      </c>
      <c r="V5695" t="n">
        <v/>
      </c>
      <c r="W5695" t="n">
        <v/>
      </c>
    </row>
    <row r="5696">
      <c r="A5696" t="inlineStr">
        <is>
          <t>12/02/2026 7:15:14</t>
        </is>
      </c>
      <c r="B5696" t="inlineStr">
        <is>
          <t>Đặng Hoài Anh</t>
        </is>
      </c>
      <c r="C5696" t="inlineStr">
        <is>
          <t>11/02/2026</t>
        </is>
      </c>
      <c r="D5696" t="n">
        <v>1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1</v>
      </c>
      <c r="L5696" t="n">
        <v>0</v>
      </c>
      <c r="M5696" t="n">
        <v>2</v>
      </c>
      <c r="N5696" t="n">
        <v>0</v>
      </c>
      <c r="O5696" t="n">
        <v>0</v>
      </c>
      <c r="P5696" t="n">
        <v>5</v>
      </c>
      <c r="Q5696" t="n">
        <v>3</v>
      </c>
      <c r="R5696" t="n">
        <v>0</v>
      </c>
      <c r="S5696" t="n">
        <v/>
      </c>
      <c r="T5696" t="inlineStr">
        <is>
          <t>11</t>
        </is>
      </c>
      <c r="U5696" t="inlineStr">
        <is>
          <t>2</t>
        </is>
      </c>
      <c r="V5696" t="n">
        <v/>
      </c>
      <c r="W5696" t="n">
        <v/>
      </c>
    </row>
    <row r="5697">
      <c r="A5697" t="inlineStr">
        <is>
          <t>12/02/2026 7:19:40</t>
        </is>
      </c>
      <c r="B5697" t="inlineStr">
        <is>
          <t>Nguyễn Quang Anh Tuấn</t>
        </is>
      </c>
      <c r="C5697" t="inlineStr">
        <is>
          <t>11/02/2026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2</v>
      </c>
      <c r="N5697" t="n">
        <v>0</v>
      </c>
      <c r="O5697" t="n">
        <v>0</v>
      </c>
      <c r="P5697" t="n">
        <v>0</v>
      </c>
      <c r="Q5697" t="n">
        <v>1</v>
      </c>
      <c r="R5697" t="n">
        <v>0</v>
      </c>
      <c r="S5697" t="n">
        <v/>
      </c>
      <c r="T5697" t="inlineStr">
        <is>
          <t>11</t>
        </is>
      </c>
      <c r="U5697" t="inlineStr">
        <is>
          <t>2</t>
        </is>
      </c>
      <c r="V5697" t="n">
        <v/>
      </c>
      <c r="W5697" t="n">
        <v/>
      </c>
    </row>
    <row r="5698">
      <c r="A5698" t="inlineStr">
        <is>
          <t>12/02/2026 7:29:15</t>
        </is>
      </c>
      <c r="B5698" t="inlineStr">
        <is>
          <t>Huỳnh Văn Lực</t>
        </is>
      </c>
      <c r="C5698" t="inlineStr">
        <is>
          <t>11/02/2026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3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/>
      </c>
      <c r="T5698" t="inlineStr">
        <is>
          <t>11</t>
        </is>
      </c>
      <c r="U5698" t="inlineStr">
        <is>
          <t>2</t>
        </is>
      </c>
      <c r="V5698" t="n">
        <v/>
      </c>
      <c r="W5698" t="n">
        <v/>
      </c>
    </row>
    <row r="5699">
      <c r="A5699" t="inlineStr">
        <is>
          <t>12/02/2026 9:08:58</t>
        </is>
      </c>
      <c r="B5699" t="inlineStr">
        <is>
          <t>Nguyễn Hồng Minh</t>
        </is>
      </c>
      <c r="C5699" t="inlineStr">
        <is>
          <t>11/02/2026</t>
        </is>
      </c>
      <c r="D5699" t="n">
        <v>1</v>
      </c>
      <c r="E5699" t="n">
        <v>1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6</v>
      </c>
      <c r="L5699" t="n">
        <v>0</v>
      </c>
      <c r="M5699" t="n">
        <v>1</v>
      </c>
      <c r="N5699" t="n">
        <v>0</v>
      </c>
      <c r="O5699" t="n">
        <v>0</v>
      </c>
      <c r="P5699" t="n">
        <v>1</v>
      </c>
      <c r="Q5699" t="n">
        <v>5</v>
      </c>
      <c r="R5699" t="n">
        <v>0</v>
      </c>
      <c r="S5699" t="n">
        <v/>
      </c>
      <c r="T5699" t="inlineStr">
        <is>
          <t>11</t>
        </is>
      </c>
      <c r="U5699" t="inlineStr">
        <is>
          <t>2</t>
        </is>
      </c>
      <c r="V5699" t="n">
        <v/>
      </c>
      <c r="W5699" t="n">
        <v/>
      </c>
    </row>
    <row r="5700">
      <c r="A5700" t="inlineStr">
        <is>
          <t>13/02/2026 6:58:36</t>
        </is>
      </c>
      <c r="B5700" t="inlineStr">
        <is>
          <t>Nguyễn Tuấn Anh</t>
        </is>
      </c>
      <c r="C5700" t="inlineStr">
        <is>
          <t>12/02/2026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2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2</v>
      </c>
      <c r="R5700" t="n">
        <v>0</v>
      </c>
      <c r="S5700" t="n">
        <v/>
      </c>
      <c r="T5700" t="inlineStr">
        <is>
          <t>12</t>
        </is>
      </c>
      <c r="U5700" t="inlineStr">
        <is>
          <t>2</t>
        </is>
      </c>
      <c r="V5700" t="n">
        <v/>
      </c>
      <c r="W5700" t="n">
        <v/>
      </c>
    </row>
    <row r="5701">
      <c r="A5701" t="inlineStr">
        <is>
          <t>13/02/2026 7:01:38</t>
        </is>
      </c>
      <c r="B5701" t="inlineStr">
        <is>
          <t>Lê Hồng Phong</t>
        </is>
      </c>
      <c r="C5701" t="inlineStr">
        <is>
          <t>13/02/2026</t>
        </is>
      </c>
      <c r="D5701" t="n">
        <v>1</v>
      </c>
      <c r="E5701" t="n">
        <v>1</v>
      </c>
      <c r="F5701" t="n">
        <v>1</v>
      </c>
      <c r="G5701" t="n">
        <v>1</v>
      </c>
      <c r="H5701" t="n">
        <v>1</v>
      </c>
      <c r="I5701" t="n">
        <v>1</v>
      </c>
      <c r="J5701" t="n">
        <v>1</v>
      </c>
      <c r="K5701" t="n">
        <v>1</v>
      </c>
      <c r="L5701" t="n">
        <v>1</v>
      </c>
      <c r="M5701" t="n">
        <v>1</v>
      </c>
      <c r="N5701" t="n">
        <v>1</v>
      </c>
      <c r="O5701" t="n">
        <v>1</v>
      </c>
      <c r="P5701" t="n">
        <v>1</v>
      </c>
      <c r="Q5701" t="n">
        <v>1</v>
      </c>
      <c r="R5701" t="n">
        <v>1</v>
      </c>
      <c r="S5701" t="n">
        <v/>
      </c>
      <c r="T5701" t="inlineStr">
        <is>
          <t>13</t>
        </is>
      </c>
      <c r="U5701" t="inlineStr">
        <is>
          <t>2</t>
        </is>
      </c>
      <c r="V5701" t="n">
        <v/>
      </c>
      <c r="W5701" t="n">
        <v/>
      </c>
    </row>
    <row r="5702">
      <c r="A5702" t="inlineStr">
        <is>
          <t>13/02/2026 7:05:35</t>
        </is>
      </c>
      <c r="B5702" t="inlineStr">
        <is>
          <t>Đặng Hoài Anh</t>
        </is>
      </c>
      <c r="C5702" t="inlineStr">
        <is>
          <t>12/02/2026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4</v>
      </c>
      <c r="L5702" t="n">
        <v>0</v>
      </c>
      <c r="M5702" t="n">
        <v>2</v>
      </c>
      <c r="N5702" t="n">
        <v>0</v>
      </c>
      <c r="O5702" t="n">
        <v>0</v>
      </c>
      <c r="P5702" t="n">
        <v>0</v>
      </c>
      <c r="Q5702" t="n">
        <v>0</v>
      </c>
      <c r="R5702" t="n">
        <v>1</v>
      </c>
      <c r="S5702" t="n">
        <v/>
      </c>
      <c r="T5702" t="inlineStr">
        <is>
          <t>12</t>
        </is>
      </c>
      <c r="U5702" t="inlineStr">
        <is>
          <t>2</t>
        </is>
      </c>
      <c r="V5702" t="n">
        <v/>
      </c>
      <c r="W5702" t="n">
        <v/>
      </c>
    </row>
    <row r="5703">
      <c r="A5703" t="inlineStr">
        <is>
          <t>13/02/2026 7:18:18</t>
        </is>
      </c>
      <c r="B5703" t="inlineStr">
        <is>
          <t>Huỳnh Văn Lực</t>
        </is>
      </c>
      <c r="C5703" t="inlineStr">
        <is>
          <t>12/02/2026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7</v>
      </c>
      <c r="L5703" t="n">
        <v>0</v>
      </c>
      <c r="M5703" t="n">
        <v>1</v>
      </c>
      <c r="N5703" t="n">
        <v>0</v>
      </c>
      <c r="O5703" t="n">
        <v>0</v>
      </c>
      <c r="P5703" t="n">
        <v>0</v>
      </c>
      <c r="Q5703" t="n">
        <v>1</v>
      </c>
      <c r="R5703" t="n">
        <v>0</v>
      </c>
      <c r="S5703" t="n">
        <v/>
      </c>
      <c r="T5703" t="inlineStr">
        <is>
          <t>12</t>
        </is>
      </c>
      <c r="U5703" t="inlineStr">
        <is>
          <t>2</t>
        </is>
      </c>
      <c r="V5703" t="n">
        <v/>
      </c>
      <c r="W5703" t="n">
        <v/>
      </c>
    </row>
    <row r="5704">
      <c r="A5704" t="inlineStr">
        <is>
          <t>13/02/2026 7:25:18</t>
        </is>
      </c>
      <c r="B5704" t="inlineStr">
        <is>
          <t>Trần Trung Giang</t>
        </is>
      </c>
      <c r="C5704" t="inlineStr">
        <is>
          <t>12/02/2026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9</v>
      </c>
      <c r="R5704" t="n">
        <v>0</v>
      </c>
      <c r="S5704" t="n">
        <v/>
      </c>
      <c r="T5704" t="inlineStr">
        <is>
          <t>12</t>
        </is>
      </c>
      <c r="U5704" t="inlineStr">
        <is>
          <t>2</t>
        </is>
      </c>
      <c r="V5704" t="n">
        <v/>
      </c>
      <c r="W5704" t="n">
        <v/>
      </c>
    </row>
    <row r="5705">
      <c r="A5705" t="inlineStr">
        <is>
          <t>13/02/2026 7:27:02</t>
        </is>
      </c>
      <c r="B5705" t="inlineStr">
        <is>
          <t>Trần Trung Giang</t>
        </is>
      </c>
      <c r="C5705" t="inlineStr">
        <is>
          <t>12/02/2026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/>
      </c>
      <c r="T5705" t="inlineStr">
        <is>
          <t>12</t>
        </is>
      </c>
      <c r="U5705" t="inlineStr">
        <is>
          <t>2</t>
        </is>
      </c>
      <c r="V5705" t="n">
        <v/>
      </c>
      <c r="W5705" t="n">
        <v/>
      </c>
    </row>
    <row r="5706">
      <c r="A5706" t="inlineStr">
        <is>
          <t>13/02/2026 7:34:23</t>
        </is>
      </c>
      <c r="B5706" t="inlineStr">
        <is>
          <t>Nguyễn Quang Anh Tuấn</t>
        </is>
      </c>
      <c r="C5706" t="inlineStr">
        <is>
          <t>12/02/2026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2</v>
      </c>
      <c r="R5706" t="n">
        <v>0</v>
      </c>
      <c r="S5706" t="n">
        <v/>
      </c>
      <c r="T5706" t="inlineStr">
        <is>
          <t>12</t>
        </is>
      </c>
      <c r="U5706" t="inlineStr">
        <is>
          <t>2</t>
        </is>
      </c>
      <c r="V5706" t="n">
        <v/>
      </c>
      <c r="W5706" t="n">
        <v/>
      </c>
    </row>
    <row r="5707">
      <c r="A5707" t="inlineStr">
        <is>
          <t>13/02/2026 9:03:02</t>
        </is>
      </c>
      <c r="B5707" t="inlineStr">
        <is>
          <t>Nguyễn Văn Hiệp</t>
        </is>
      </c>
      <c r="C5707" t="inlineStr">
        <is>
          <t>12/02/2026</t>
        </is>
      </c>
      <c r="D5707" t="n">
        <v>1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1</v>
      </c>
      <c r="Q5707" t="n">
        <v>0</v>
      </c>
      <c r="R5707" t="n">
        <v>0</v>
      </c>
      <c r="S5707" t="n">
        <v/>
      </c>
      <c r="T5707" t="inlineStr">
        <is>
          <t>12</t>
        </is>
      </c>
      <c r="U5707" t="inlineStr">
        <is>
          <t>2</t>
        </is>
      </c>
      <c r="V5707" t="n">
        <v/>
      </c>
      <c r="W5707" t="n">
        <v/>
      </c>
    </row>
    <row r="5708">
      <c r="A5708" t="inlineStr">
        <is>
          <t>13/02/2026 9:07:24</t>
        </is>
      </c>
      <c r="B5708" t="inlineStr">
        <is>
          <t>Nguyễn Hồng Minh</t>
        </is>
      </c>
      <c r="C5708" t="inlineStr">
        <is>
          <t>12/02/2026</t>
        </is>
      </c>
      <c r="D5708" t="n">
        <v>1</v>
      </c>
      <c r="E5708" t="n">
        <v>1</v>
      </c>
      <c r="F5708" t="n">
        <v>1</v>
      </c>
      <c r="G5708" t="n">
        <v>1</v>
      </c>
      <c r="H5708" t="n">
        <v>1</v>
      </c>
      <c r="I5708" t="n">
        <v>0</v>
      </c>
      <c r="J5708" t="n">
        <v>0</v>
      </c>
      <c r="K5708" t="n">
        <v>15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3</v>
      </c>
      <c r="R5708" t="n">
        <v>0</v>
      </c>
      <c r="S5708" t="n">
        <v/>
      </c>
      <c r="T5708" t="inlineStr">
        <is>
          <t>12</t>
        </is>
      </c>
      <c r="U5708" t="inlineStr">
        <is>
          <t>2</t>
        </is>
      </c>
      <c r="V5708" t="n">
        <v/>
      </c>
      <c r="W5708" t="n">
        <v/>
      </c>
    </row>
    <row r="5709">
      <c r="A5709" t="inlineStr">
        <is>
          <t>14/02/2026 6:53:49</t>
        </is>
      </c>
      <c r="B5709" t="inlineStr">
        <is>
          <t>Lê Hồng Phong</t>
        </is>
      </c>
      <c r="C5709" t="inlineStr">
        <is>
          <t>14/02/2026</t>
        </is>
      </c>
      <c r="D5709" t="n">
        <v>1</v>
      </c>
      <c r="E5709" t="n">
        <v>1</v>
      </c>
      <c r="F5709" t="n">
        <v>1</v>
      </c>
      <c r="G5709" t="n">
        <v>1</v>
      </c>
      <c r="H5709" t="n">
        <v>1</v>
      </c>
      <c r="I5709" t="n">
        <v>1</v>
      </c>
      <c r="J5709" t="n">
        <v>1</v>
      </c>
      <c r="K5709" t="n">
        <v>1</v>
      </c>
      <c r="L5709" t="n">
        <v>1</v>
      </c>
      <c r="M5709" t="n">
        <v>1</v>
      </c>
      <c r="N5709" t="n">
        <v>1</v>
      </c>
      <c r="O5709" t="n">
        <v>1</v>
      </c>
      <c r="P5709" t="n">
        <v>1</v>
      </c>
      <c r="Q5709" t="n">
        <v>1</v>
      </c>
      <c r="R5709" t="n">
        <v>1</v>
      </c>
      <c r="S5709" t="n">
        <v/>
      </c>
      <c r="T5709" t="inlineStr">
        <is>
          <t>14</t>
        </is>
      </c>
      <c r="U5709" t="inlineStr">
        <is>
          <t>2</t>
        </is>
      </c>
      <c r="V5709" t="n">
        <v/>
      </c>
      <c r="W5709" t="n">
        <v/>
      </c>
    </row>
    <row r="5710">
      <c r="A5710" t="inlineStr">
        <is>
          <t>14/02/2026 6:58:20</t>
        </is>
      </c>
      <c r="B5710" t="inlineStr">
        <is>
          <t>Lương Duy Hoàng</t>
        </is>
      </c>
      <c r="C5710" t="inlineStr">
        <is>
          <t>13/02/2026</t>
        </is>
      </c>
      <c r="D5710" t="n">
        <v>0</v>
      </c>
      <c r="E5710" t="n">
        <v>0</v>
      </c>
      <c r="F5710" t="n">
        <v>1</v>
      </c>
      <c r="G5710" t="n">
        <v>0</v>
      </c>
      <c r="H5710" t="n">
        <v>0</v>
      </c>
      <c r="I5710" t="n">
        <v>0</v>
      </c>
      <c r="J5710" t="n">
        <v>0</v>
      </c>
      <c r="K5710" t="n">
        <v>2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/>
      </c>
      <c r="T5710" t="inlineStr">
        <is>
          <t>13</t>
        </is>
      </c>
      <c r="U5710" t="inlineStr">
        <is>
          <t>2</t>
        </is>
      </c>
      <c r="V5710" t="n">
        <v/>
      </c>
      <c r="W5710" t="n">
        <v/>
      </c>
    </row>
    <row r="5711">
      <c r="A5711" t="inlineStr">
        <is>
          <t>14/02/2026 7:02:42</t>
        </is>
      </c>
      <c r="B5711" t="inlineStr">
        <is>
          <t>Đặng Hoài Anh</t>
        </is>
      </c>
      <c r="C5711" t="inlineStr">
        <is>
          <t>13/02/2026</t>
        </is>
      </c>
      <c r="D5711" t="n">
        <v>0</v>
      </c>
      <c r="E5711" t="n">
        <v>1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4</v>
      </c>
      <c r="L5711" t="n">
        <v>0</v>
      </c>
      <c r="M5711" t="n">
        <v>1</v>
      </c>
      <c r="N5711" t="n">
        <v>1</v>
      </c>
      <c r="O5711" t="n">
        <v>0</v>
      </c>
      <c r="P5711" t="n">
        <v>1</v>
      </c>
      <c r="Q5711" t="n">
        <v>0</v>
      </c>
      <c r="R5711" t="n">
        <v>1</v>
      </c>
      <c r="S5711" t="n">
        <v/>
      </c>
      <c r="T5711" t="inlineStr">
        <is>
          <t>13</t>
        </is>
      </c>
      <c r="U5711" t="inlineStr">
        <is>
          <t>2</t>
        </is>
      </c>
      <c r="V5711" t="n">
        <v/>
      </c>
      <c r="W5711" t="n">
        <v/>
      </c>
    </row>
    <row r="5712">
      <c r="A5712" t="inlineStr">
        <is>
          <t>14/02/2026 7:03:56</t>
        </is>
      </c>
      <c r="B5712" t="inlineStr">
        <is>
          <t>Huỳnh Văn Lực</t>
        </is>
      </c>
      <c r="C5712" t="inlineStr">
        <is>
          <t>13/02/2026</t>
        </is>
      </c>
      <c r="D5712" t="n">
        <v>0</v>
      </c>
      <c r="E5712" t="n">
        <v>0</v>
      </c>
      <c r="F5712" t="n">
        <v>0</v>
      </c>
      <c r="G5712" t="n">
        <v>1</v>
      </c>
      <c r="H5712" t="n">
        <v>0</v>
      </c>
      <c r="I5712" t="n">
        <v>0</v>
      </c>
      <c r="J5712" t="n">
        <v>0</v>
      </c>
      <c r="K5712" t="n">
        <v>3</v>
      </c>
      <c r="L5712" t="n">
        <v>0</v>
      </c>
      <c r="M5712" t="n">
        <v>0</v>
      </c>
      <c r="N5712" t="n">
        <v>0</v>
      </c>
      <c r="O5712" t="n">
        <v>0</v>
      </c>
      <c r="P5712" t="n">
        <v>1</v>
      </c>
      <c r="Q5712" t="n">
        <v>1</v>
      </c>
      <c r="R5712" t="n">
        <v>0</v>
      </c>
      <c r="S5712" t="n">
        <v/>
      </c>
      <c r="T5712" t="inlineStr">
        <is>
          <t>13</t>
        </is>
      </c>
      <c r="U5712" t="inlineStr">
        <is>
          <t>2</t>
        </is>
      </c>
      <c r="V5712" t="n">
        <v/>
      </c>
      <c r="W5712" t="n">
        <v/>
      </c>
    </row>
    <row r="5713">
      <c r="A5713" t="inlineStr">
        <is>
          <t>14/02/2026 7:07:30</t>
        </is>
      </c>
      <c r="B5713" t="inlineStr">
        <is>
          <t>Trần Trung Giang</t>
        </is>
      </c>
      <c r="C5713" t="inlineStr">
        <is>
          <t>13/02/2026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/>
      </c>
      <c r="T5713" t="inlineStr">
        <is>
          <t>13</t>
        </is>
      </c>
      <c r="U5713" t="inlineStr">
        <is>
          <t>2</t>
        </is>
      </c>
      <c r="V5713" t="n">
        <v/>
      </c>
      <c r="W5713" t="n">
        <v/>
      </c>
    </row>
    <row r="5714">
      <c r="A5714" t="inlineStr">
        <is>
          <t>14/02/2026 7:12:35</t>
        </is>
      </c>
      <c r="B5714" t="inlineStr">
        <is>
          <t>Nguyễn Quang Anh Tuấn</t>
        </is>
      </c>
      <c r="C5714" t="inlineStr">
        <is>
          <t>13/02/2026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9</v>
      </c>
      <c r="L5714" t="n">
        <v>0</v>
      </c>
      <c r="M5714" t="n">
        <v>3</v>
      </c>
      <c r="N5714" t="n">
        <v>0</v>
      </c>
      <c r="O5714" t="n">
        <v>0</v>
      </c>
      <c r="P5714" t="n">
        <v>0</v>
      </c>
      <c r="Q5714" t="n">
        <v>2</v>
      </c>
      <c r="R5714" t="n">
        <v>0</v>
      </c>
      <c r="S5714" t="n">
        <v/>
      </c>
      <c r="T5714" t="inlineStr">
        <is>
          <t>13</t>
        </is>
      </c>
      <c r="U5714" t="inlineStr">
        <is>
          <t>2</t>
        </is>
      </c>
      <c r="V5714" t="n">
        <v/>
      </c>
      <c r="W5714" t="n">
        <v/>
      </c>
    </row>
    <row r="5715">
      <c r="A5715" t="inlineStr">
        <is>
          <t>14/02/2026 7:13:56</t>
        </is>
      </c>
      <c r="B5715" t="inlineStr">
        <is>
          <t>Nguyễn Tuấn Anh</t>
        </is>
      </c>
      <c r="C5715" t="inlineStr">
        <is>
          <t>13/02/2026</t>
        </is>
      </c>
      <c r="D5715" t="n">
        <v>1</v>
      </c>
      <c r="E5715" t="n">
        <v>1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11</v>
      </c>
      <c r="L5715" t="n">
        <v>0</v>
      </c>
      <c r="M5715" t="n">
        <v>0</v>
      </c>
      <c r="N5715" t="n">
        <v>0</v>
      </c>
      <c r="O5715" t="n">
        <v>0</v>
      </c>
      <c r="P5715" t="n">
        <v>1</v>
      </c>
      <c r="Q5715" t="n">
        <v>2</v>
      </c>
      <c r="R5715" t="n">
        <v>0</v>
      </c>
      <c r="S5715" t="n">
        <v/>
      </c>
      <c r="T5715" t="inlineStr">
        <is>
          <t>13</t>
        </is>
      </c>
      <c r="U5715" t="inlineStr">
        <is>
          <t>2</t>
        </is>
      </c>
      <c r="V5715" t="n">
        <v/>
      </c>
      <c r="W5715" t="n">
        <v/>
      </c>
    </row>
    <row r="5716">
      <c r="A5716" t="inlineStr">
        <is>
          <t>14/02/2026 7:26:54</t>
        </is>
      </c>
      <c r="B5716" t="inlineStr">
        <is>
          <t>Nguyễn Văn Hiệp</t>
        </is>
      </c>
      <c r="C5716" t="inlineStr">
        <is>
          <t>13/02/2026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0</v>
      </c>
      <c r="J5716" t="n">
        <v>0</v>
      </c>
      <c r="K5716" t="n">
        <v>1</v>
      </c>
      <c r="L5716" t="n">
        <v>0</v>
      </c>
      <c r="M5716" t="n">
        <v>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/>
      </c>
      <c r="T5716" t="inlineStr">
        <is>
          <t>13</t>
        </is>
      </c>
      <c r="U5716" t="inlineStr">
        <is>
          <t>2</t>
        </is>
      </c>
      <c r="V5716" t="n">
        <v/>
      </c>
      <c r="W5716" t="n">
        <v/>
      </c>
    </row>
    <row r="5717">
      <c r="A5717" t="inlineStr">
        <is>
          <t>14/02/2026 8:24:54</t>
        </is>
      </c>
      <c r="B5717" t="inlineStr">
        <is>
          <t>Nguyễn Hồng Minh</t>
        </is>
      </c>
      <c r="C5717" t="inlineStr">
        <is>
          <t>13/02/2026</t>
        </is>
      </c>
      <c r="D5717" t="n">
        <v>9</v>
      </c>
      <c r="E5717" t="n">
        <v>0</v>
      </c>
      <c r="F5717" t="n">
        <v>0</v>
      </c>
      <c r="G5717" t="n">
        <v>0</v>
      </c>
      <c r="H5717" t="n">
        <v>0</v>
      </c>
      <c r="I5717" t="n">
        <v>2</v>
      </c>
      <c r="J5717" t="n">
        <v>0</v>
      </c>
      <c r="K5717" t="n">
        <v>16</v>
      </c>
      <c r="L5717" t="n">
        <v>0</v>
      </c>
      <c r="M5717" t="n">
        <v>0</v>
      </c>
      <c r="N5717" t="n">
        <v>1</v>
      </c>
      <c r="O5717" t="n">
        <v>0</v>
      </c>
      <c r="P5717" t="n">
        <v>9</v>
      </c>
      <c r="Q5717" t="n">
        <v>5</v>
      </c>
      <c r="R5717" t="n">
        <v>0</v>
      </c>
      <c r="S5717" t="n">
        <v/>
      </c>
      <c r="T5717" t="inlineStr">
        <is>
          <t>13</t>
        </is>
      </c>
      <c r="U5717" t="inlineStr">
        <is>
          <t>2</t>
        </is>
      </c>
      <c r="V5717" t="n">
        <v/>
      </c>
      <c r="W5717" t="n">
        <v/>
      </c>
    </row>
    <row r="5718">
      <c r="A5718" t="inlineStr">
        <is>
          <t>15/02/2026 6:39:26</t>
        </is>
      </c>
      <c r="B5718" t="inlineStr">
        <is>
          <t>Nguyễn Văn Hiệp</t>
        </is>
      </c>
      <c r="C5718" t="inlineStr">
        <is>
          <t>14/02/2026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2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/>
      </c>
      <c r="T5718" t="inlineStr">
        <is>
          <t>14</t>
        </is>
      </c>
      <c r="U5718" t="inlineStr">
        <is>
          <t>2</t>
        </is>
      </c>
      <c r="V5718" t="n">
        <v/>
      </c>
      <c r="W5718" t="n">
        <v/>
      </c>
    </row>
    <row r="5719">
      <c r="A5719" t="inlineStr">
        <is>
          <t>15/02/2026 6:52:52</t>
        </is>
      </c>
      <c r="B5719" t="inlineStr">
        <is>
          <t>Lê Hồng Phong</t>
        </is>
      </c>
      <c r="C5719" t="inlineStr">
        <is>
          <t>15/02/2026</t>
        </is>
      </c>
      <c r="D5719" t="n">
        <v>1</v>
      </c>
      <c r="E5719" t="n">
        <v>1</v>
      </c>
      <c r="F5719" t="n">
        <v>1</v>
      </c>
      <c r="G5719" t="n">
        <v>1</v>
      </c>
      <c r="H5719" t="n">
        <v>1</v>
      </c>
      <c r="I5719" t="n">
        <v>1</v>
      </c>
      <c r="J5719" t="n">
        <v>1</v>
      </c>
      <c r="K5719" t="n">
        <v>1</v>
      </c>
      <c r="L5719" t="n">
        <v>1</v>
      </c>
      <c r="M5719" t="n">
        <v>1</v>
      </c>
      <c r="N5719" t="n">
        <v>1</v>
      </c>
      <c r="O5719" t="n">
        <v>1</v>
      </c>
      <c r="P5719" t="n">
        <v>1</v>
      </c>
      <c r="Q5719" t="n">
        <v>1</v>
      </c>
      <c r="R5719" t="n">
        <v>1</v>
      </c>
      <c r="S5719" t="n">
        <v/>
      </c>
      <c r="T5719" t="inlineStr">
        <is>
          <t>15</t>
        </is>
      </c>
      <c r="U5719" t="inlineStr">
        <is>
          <t>2</t>
        </is>
      </c>
      <c r="V5719" t="n">
        <v/>
      </c>
      <c r="W5719" t="n">
        <v/>
      </c>
    </row>
    <row r="5720">
      <c r="A5720" t="inlineStr">
        <is>
          <t>15/02/2026 7:22:39</t>
        </is>
      </c>
      <c r="B5720" t="inlineStr">
        <is>
          <t>Nguyễn Tuấn Anh</t>
        </is>
      </c>
      <c r="C5720" t="inlineStr">
        <is>
          <t>14/02/2026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</v>
      </c>
      <c r="J5720" t="n">
        <v>0</v>
      </c>
      <c r="K5720" t="n">
        <v>9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2</v>
      </c>
      <c r="R5720" t="n">
        <v>0</v>
      </c>
      <c r="S5720" t="n">
        <v/>
      </c>
      <c r="T5720" t="inlineStr">
        <is>
          <t>14</t>
        </is>
      </c>
      <c r="U5720" t="inlineStr">
        <is>
          <t>2</t>
        </is>
      </c>
      <c r="V5720" t="n">
        <v/>
      </c>
      <c r="W5720" t="n">
        <v/>
      </c>
    </row>
    <row r="5721">
      <c r="A5721" t="inlineStr">
        <is>
          <t>15/02/2026 7:24:52</t>
        </is>
      </c>
      <c r="B5721" t="inlineStr">
        <is>
          <t>Huỳnh Văn Lực</t>
        </is>
      </c>
      <c r="C5721" t="inlineStr">
        <is>
          <t>14/02/2026</t>
        </is>
      </c>
      <c r="D5721" t="n">
        <v>1</v>
      </c>
      <c r="E5721" t="n">
        <v>1</v>
      </c>
      <c r="F5721" t="n">
        <v>1</v>
      </c>
      <c r="G5721" t="n">
        <v>0</v>
      </c>
      <c r="H5721" t="n">
        <v>0</v>
      </c>
      <c r="I5721" t="n">
        <v>0</v>
      </c>
      <c r="J5721" t="n">
        <v>0</v>
      </c>
      <c r="K5721" t="n">
        <v>7</v>
      </c>
      <c r="L5721" t="n">
        <v>0</v>
      </c>
      <c r="M5721" t="n">
        <v>1</v>
      </c>
      <c r="N5721" t="n">
        <v>0</v>
      </c>
      <c r="O5721" t="n">
        <v>0</v>
      </c>
      <c r="P5721" t="n">
        <v>1</v>
      </c>
      <c r="Q5721" t="n">
        <v>0</v>
      </c>
      <c r="R5721" t="n">
        <v>0</v>
      </c>
      <c r="S5721" t="n">
        <v/>
      </c>
      <c r="T5721" t="inlineStr">
        <is>
          <t>14</t>
        </is>
      </c>
      <c r="U5721" t="inlineStr">
        <is>
          <t>2</t>
        </is>
      </c>
      <c r="V5721" t="n">
        <v/>
      </c>
      <c r="W5721" t="n">
        <v/>
      </c>
    </row>
    <row r="5722">
      <c r="A5722" t="inlineStr">
        <is>
          <t>15/02/2026 7:27:33</t>
        </is>
      </c>
      <c r="B5722" t="inlineStr">
        <is>
          <t>Nguyễn Quang Anh Tuấn</t>
        </is>
      </c>
      <c r="C5722" t="inlineStr">
        <is>
          <t>14/02/2026</t>
        </is>
      </c>
      <c r="D5722" t="n">
        <v>1</v>
      </c>
      <c r="E5722" t="n">
        <v>1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8</v>
      </c>
      <c r="L5722" t="n">
        <v>0</v>
      </c>
      <c r="M5722" t="n">
        <v>1</v>
      </c>
      <c r="N5722" t="n">
        <v>0</v>
      </c>
      <c r="O5722" t="n">
        <v>0</v>
      </c>
      <c r="P5722" t="n">
        <v>0</v>
      </c>
      <c r="Q5722" t="n">
        <v>2</v>
      </c>
      <c r="R5722" t="n">
        <v>0</v>
      </c>
      <c r="S5722" t="n">
        <v/>
      </c>
      <c r="T5722" t="inlineStr">
        <is>
          <t>14</t>
        </is>
      </c>
      <c r="U5722" t="inlineStr">
        <is>
          <t>2</t>
        </is>
      </c>
      <c r="V5722" t="n">
        <v/>
      </c>
      <c r="W5722" t="n">
        <v/>
      </c>
    </row>
    <row r="5723">
      <c r="A5723" t="inlineStr">
        <is>
          <t>15/02/2026 7:44:53</t>
        </is>
      </c>
      <c r="B5723" t="inlineStr">
        <is>
          <t>Trần Trung Giang</t>
        </is>
      </c>
      <c r="C5723" t="inlineStr">
        <is>
          <t>14/02/2026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2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1</v>
      </c>
      <c r="R5723" t="n">
        <v>0</v>
      </c>
      <c r="S5723" t="n">
        <v/>
      </c>
      <c r="T5723" t="inlineStr">
        <is>
          <t>14</t>
        </is>
      </c>
      <c r="U5723" t="inlineStr">
        <is>
          <t>2</t>
        </is>
      </c>
      <c r="V5723" t="n">
        <v/>
      </c>
      <c r="W5723" t="n">
        <v/>
      </c>
    </row>
    <row r="5724">
      <c r="A5724" t="inlineStr">
        <is>
          <t>15/02/2026 7:55:09</t>
        </is>
      </c>
      <c r="B5724" t="inlineStr">
        <is>
          <t>Đặng Hoài Anh</t>
        </is>
      </c>
      <c r="C5724" t="inlineStr">
        <is>
          <t>14/02/2026</t>
        </is>
      </c>
      <c r="D5724" t="n">
        <v>2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7</v>
      </c>
      <c r="L5724" t="n">
        <v>0</v>
      </c>
      <c r="M5724" t="n">
        <v>2</v>
      </c>
      <c r="N5724" t="n">
        <v>0</v>
      </c>
      <c r="O5724" t="n">
        <v>0</v>
      </c>
      <c r="P5724" t="n">
        <v>0</v>
      </c>
      <c r="Q5724" t="n">
        <v>0</v>
      </c>
      <c r="R5724" t="n">
        <v>1</v>
      </c>
      <c r="S5724" t="n">
        <v/>
      </c>
      <c r="T5724" t="inlineStr">
        <is>
          <t>14</t>
        </is>
      </c>
      <c r="U5724" t="inlineStr">
        <is>
          <t>2</t>
        </is>
      </c>
      <c r="V5724" t="n">
        <v/>
      </c>
      <c r="W5724" t="n">
        <v/>
      </c>
    </row>
    <row r="5725">
      <c r="A5725" t="inlineStr">
        <is>
          <t>15/02/2026 9:50:57</t>
        </is>
      </c>
      <c r="B5725" t="inlineStr">
        <is>
          <t>Nguyễn Hồng Minh</t>
        </is>
      </c>
      <c r="C5725" t="inlineStr">
        <is>
          <t>14/02/2026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</v>
      </c>
      <c r="J5725" t="n">
        <v>0</v>
      </c>
      <c r="K5725" t="n">
        <v>24</v>
      </c>
      <c r="L5725" t="n">
        <v>0</v>
      </c>
      <c r="M5725" t="n">
        <v>1</v>
      </c>
      <c r="N5725" t="n">
        <v>0</v>
      </c>
      <c r="O5725" t="n">
        <v>0</v>
      </c>
      <c r="P5725" t="n">
        <v>1</v>
      </c>
      <c r="Q5725" t="n">
        <v>4</v>
      </c>
      <c r="R5725" t="n">
        <v>0</v>
      </c>
      <c r="S5725" t="n">
        <v/>
      </c>
      <c r="T5725" t="inlineStr">
        <is>
          <t>14</t>
        </is>
      </c>
      <c r="U5725" t="inlineStr">
        <is>
          <t>2</t>
        </is>
      </c>
      <c r="V5725" t="n">
        <v/>
      </c>
      <c r="W5725" t="n">
        <v/>
      </c>
    </row>
    <row r="5726">
      <c r="A5726" t="inlineStr">
        <is>
          <t>16/02/2026 6:49:33</t>
        </is>
      </c>
      <c r="B5726" t="inlineStr">
        <is>
          <t>Lê Hồng Phong</t>
        </is>
      </c>
      <c r="C5726" t="inlineStr">
        <is>
          <t>16/02/2026</t>
        </is>
      </c>
      <c r="D5726" t="n">
        <v>1</v>
      </c>
      <c r="E5726" t="n">
        <v>1</v>
      </c>
      <c r="F5726" t="n">
        <v>1</v>
      </c>
      <c r="G5726" t="n">
        <v>1</v>
      </c>
      <c r="H5726" t="n">
        <v>1</v>
      </c>
      <c r="I5726" t="n">
        <v>1</v>
      </c>
      <c r="J5726" t="n">
        <v>1</v>
      </c>
      <c r="K5726" t="n">
        <v>1</v>
      </c>
      <c r="L5726" t="n">
        <v>1</v>
      </c>
      <c r="M5726" t="n">
        <v>1</v>
      </c>
      <c r="N5726" t="n">
        <v>1</v>
      </c>
      <c r="O5726" t="n">
        <v>1</v>
      </c>
      <c r="P5726" t="n">
        <v>1</v>
      </c>
      <c r="Q5726" t="n">
        <v>1</v>
      </c>
      <c r="R5726" t="n">
        <v>1</v>
      </c>
      <c r="S5726" t="n">
        <v/>
      </c>
      <c r="T5726" t="inlineStr">
        <is>
          <t>16</t>
        </is>
      </c>
      <c r="U5726" t="inlineStr">
        <is>
          <t>2</t>
        </is>
      </c>
      <c r="V5726" t="n">
        <v/>
      </c>
      <c r="W5726" t="n">
        <v/>
      </c>
    </row>
    <row r="5727">
      <c r="A5727" t="inlineStr">
        <is>
          <t>16/02/2026 6:59:44</t>
        </is>
      </c>
      <c r="B5727" t="inlineStr">
        <is>
          <t>Nguyễn Văn Hiệp</t>
        </is>
      </c>
      <c r="C5727" t="inlineStr">
        <is>
          <t>15/02/2026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9</v>
      </c>
      <c r="Q5727" t="n">
        <v>1</v>
      </c>
      <c r="R5727" t="n">
        <v>0</v>
      </c>
      <c r="S5727" t="n">
        <v/>
      </c>
      <c r="T5727" t="inlineStr">
        <is>
          <t>15</t>
        </is>
      </c>
      <c r="U5727" t="inlineStr">
        <is>
          <t>2</t>
        </is>
      </c>
      <c r="V5727" t="n">
        <v/>
      </c>
      <c r="W5727" t="n">
        <v/>
      </c>
    </row>
    <row r="5728">
      <c r="A5728" t="inlineStr">
        <is>
          <t>16/02/2026 7:12:59</t>
        </is>
      </c>
      <c r="B5728" t="inlineStr">
        <is>
          <t>Nguyễn Tuấn Anh</t>
        </is>
      </c>
      <c r="C5728" t="inlineStr">
        <is>
          <t>15/02/2026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</v>
      </c>
      <c r="J5728" t="n">
        <v>0</v>
      </c>
      <c r="K5728" t="n">
        <v>15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2</v>
      </c>
      <c r="R5728" t="n">
        <v>0</v>
      </c>
      <c r="S5728" t="n">
        <v/>
      </c>
      <c r="T5728" t="inlineStr">
        <is>
          <t>15</t>
        </is>
      </c>
      <c r="U5728" t="inlineStr">
        <is>
          <t>2</t>
        </is>
      </c>
      <c r="V5728" t="n">
        <v/>
      </c>
      <c r="W5728" t="n">
        <v/>
      </c>
    </row>
    <row r="5729">
      <c r="A5729" t="inlineStr">
        <is>
          <t>16/02/2026 7:34:57</t>
        </is>
      </c>
      <c r="B5729" t="inlineStr">
        <is>
          <t>Trần Trung Giang</t>
        </is>
      </c>
      <c r="C5729" t="inlineStr">
        <is>
          <t>15/02/2026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1</v>
      </c>
      <c r="R5729" t="n">
        <v>0</v>
      </c>
      <c r="S5729" t="n">
        <v/>
      </c>
      <c r="T5729" t="inlineStr">
        <is>
          <t>15</t>
        </is>
      </c>
      <c r="U5729" t="inlineStr">
        <is>
          <t>2</t>
        </is>
      </c>
      <c r="V5729" t="n">
        <v/>
      </c>
      <c r="W5729" t="n">
        <v/>
      </c>
    </row>
    <row r="5730">
      <c r="A5730" t="inlineStr">
        <is>
          <t>16/02/2026 8:01:21</t>
        </is>
      </c>
      <c r="B5730" t="inlineStr">
        <is>
          <t>Nguyễn Quang Anh Tuấn</t>
        </is>
      </c>
      <c r="C5730" t="inlineStr">
        <is>
          <t>15/02/2026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4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/>
      </c>
      <c r="T5730" t="inlineStr">
        <is>
          <t>15</t>
        </is>
      </c>
      <c r="U5730" t="inlineStr">
        <is>
          <t>2</t>
        </is>
      </c>
      <c r="V5730" t="n">
        <v/>
      </c>
      <c r="W5730" t="n">
        <v/>
      </c>
    </row>
    <row r="5731">
      <c r="A5731" t="inlineStr">
        <is>
          <t>16/02/2026 8:03:23</t>
        </is>
      </c>
      <c r="B5731" t="inlineStr">
        <is>
          <t>Đặng Hoài Anh</t>
        </is>
      </c>
      <c r="C5731" t="inlineStr">
        <is>
          <t>15/02/2026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/>
      </c>
      <c r="T5731" t="inlineStr">
        <is>
          <t>15</t>
        </is>
      </c>
      <c r="U5731" t="inlineStr">
        <is>
          <t>2</t>
        </is>
      </c>
      <c r="V5731" t="n">
        <v/>
      </c>
      <c r="W5731" t="n">
        <v/>
      </c>
    </row>
    <row r="5732">
      <c r="A5732" t="inlineStr">
        <is>
          <t>16/02/2026 8:50:25</t>
        </is>
      </c>
      <c r="B5732" t="inlineStr">
        <is>
          <t>Nguyễn Hồng Minh</t>
        </is>
      </c>
      <c r="C5732" t="inlineStr">
        <is>
          <t>15/02/2026</t>
        </is>
      </c>
      <c r="D5732" t="n">
        <v>1</v>
      </c>
      <c r="E5732" t="n">
        <v>1</v>
      </c>
      <c r="F5732" t="n">
        <v>1</v>
      </c>
      <c r="G5732" t="n">
        <v>0</v>
      </c>
      <c r="H5732" t="n">
        <v>0</v>
      </c>
      <c r="I5732" t="n">
        <v>0</v>
      </c>
      <c r="J5732" t="n">
        <v>0</v>
      </c>
      <c r="K5732" t="n">
        <v>30</v>
      </c>
      <c r="L5732" t="n">
        <v>0</v>
      </c>
      <c r="M5732" t="n">
        <v>1</v>
      </c>
      <c r="N5732" t="n">
        <v>0</v>
      </c>
      <c r="O5732" t="n">
        <v>0</v>
      </c>
      <c r="P5732" t="n">
        <v>0</v>
      </c>
      <c r="Q5732" t="n">
        <v>4</v>
      </c>
      <c r="R5732" t="n">
        <v>0</v>
      </c>
      <c r="S5732" t="n">
        <v/>
      </c>
      <c r="T5732" t="inlineStr">
        <is>
          <t>15</t>
        </is>
      </c>
      <c r="U5732" t="inlineStr">
        <is>
          <t>2</t>
        </is>
      </c>
      <c r="V5732" t="n">
        <v/>
      </c>
      <c r="W5732" t="n">
        <v/>
      </c>
    </row>
    <row r="5733">
      <c r="A5733" t="inlineStr">
        <is>
          <t>17/02/2026 7:24:30</t>
        </is>
      </c>
      <c r="B5733" t="inlineStr">
        <is>
          <t>Nguyễn Văn Hiệp</t>
        </is>
      </c>
      <c r="C5733" t="inlineStr">
        <is>
          <t>16/02/2026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2</v>
      </c>
      <c r="R5733" t="n">
        <v>0</v>
      </c>
      <c r="S5733" t="n">
        <v/>
      </c>
      <c r="T5733" t="inlineStr">
        <is>
          <t>16</t>
        </is>
      </c>
      <c r="U5733" t="inlineStr">
        <is>
          <t>2</t>
        </is>
      </c>
      <c r="V5733" t="n">
        <v/>
      </c>
      <c r="W5733" t="n">
        <v/>
      </c>
    </row>
    <row r="5734">
      <c r="A5734" t="inlineStr">
        <is>
          <t>17/02/2026 10:21:47</t>
        </is>
      </c>
      <c r="B5734" t="inlineStr">
        <is>
          <t>Trần Trung Giang</t>
        </is>
      </c>
      <c r="C5734" t="inlineStr">
        <is>
          <t>16/02/2026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/>
      </c>
      <c r="T5734" t="inlineStr">
        <is>
          <t>16</t>
        </is>
      </c>
      <c r="U5734" t="inlineStr">
        <is>
          <t>2</t>
        </is>
      </c>
      <c r="V5734" t="n">
        <v/>
      </c>
      <c r="W5734" t="n">
        <v/>
      </c>
    </row>
    <row r="5735">
      <c r="A5735" t="inlineStr">
        <is>
          <t>18/02/2026 13:02:57</t>
        </is>
      </c>
      <c r="B5735" t="inlineStr">
        <is>
          <t>Trần Trung Giang</t>
        </is>
      </c>
      <c r="C5735" t="inlineStr">
        <is>
          <t>17/02/2026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/>
      </c>
      <c r="T5735" t="inlineStr">
        <is>
          <t>17</t>
        </is>
      </c>
      <c r="U5735" t="inlineStr">
        <is>
          <t>2</t>
        </is>
      </c>
      <c r="V5735" t="n">
        <v/>
      </c>
      <c r="W5735" t="n">
        <v/>
      </c>
    </row>
    <row r="5736">
      <c r="A5736" t="inlineStr">
        <is>
          <t>20/02/2026 8:39:18</t>
        </is>
      </c>
      <c r="B5736" t="inlineStr">
        <is>
          <t>Trần Trung Giang</t>
        </is>
      </c>
      <c r="C5736" t="inlineStr">
        <is>
          <t>19/02/2026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/>
      </c>
      <c r="T5736" t="inlineStr">
        <is>
          <t>19</t>
        </is>
      </c>
      <c r="U5736" t="inlineStr">
        <is>
          <t>2</t>
        </is>
      </c>
      <c r="V5736" t="n">
        <v/>
      </c>
      <c r="W5736" t="n">
        <v/>
      </c>
    </row>
    <row r="5737">
      <c r="A5737" t="inlineStr">
        <is>
          <t>21/02/2026 8:19:46</t>
        </is>
      </c>
      <c r="B5737" t="inlineStr">
        <is>
          <t>Trần Trung Giang</t>
        </is>
      </c>
      <c r="C5737" t="inlineStr">
        <is>
          <t>20/02/2026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/>
      </c>
      <c r="T5737" t="inlineStr">
        <is>
          <t>20</t>
        </is>
      </c>
      <c r="U5737" t="inlineStr">
        <is>
          <t>2</t>
        </is>
      </c>
      <c r="V5737" t="n">
        <v/>
      </c>
      <c r="W5737" t="n">
        <v/>
      </c>
    </row>
    <row r="5738">
      <c r="A5738" t="inlineStr">
        <is>
          <t>22/02/2026 7:24:23</t>
        </is>
      </c>
      <c r="B5738" t="inlineStr">
        <is>
          <t>Nguyễn Tuấn Anh</t>
        </is>
      </c>
      <c r="C5738" t="inlineStr">
        <is>
          <t>21/02/2026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2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2</v>
      </c>
      <c r="R5738" t="n">
        <v>0</v>
      </c>
      <c r="S5738" t="n">
        <v/>
      </c>
      <c r="T5738" t="inlineStr">
        <is>
          <t>21</t>
        </is>
      </c>
      <c r="U5738" t="inlineStr">
        <is>
          <t>2</t>
        </is>
      </c>
      <c r="V5738" t="n">
        <v/>
      </c>
      <c r="W5738" t="n">
        <v/>
      </c>
    </row>
    <row r="5739">
      <c r="A5739" t="inlineStr">
        <is>
          <t>22/02/2026 9:13:27</t>
        </is>
      </c>
      <c r="B5739" t="inlineStr">
        <is>
          <t>Trần Trung Giang</t>
        </is>
      </c>
      <c r="C5739" t="inlineStr">
        <is>
          <t>21/02/2026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/>
      </c>
      <c r="T5739" t="inlineStr">
        <is>
          <t>21</t>
        </is>
      </c>
      <c r="U5739" t="inlineStr">
        <is>
          <t>2</t>
        </is>
      </c>
      <c r="V5739" t="n">
        <v/>
      </c>
      <c r="W5739" t="n">
        <v/>
      </c>
    </row>
    <row r="5740">
      <c r="A5740" t="inlineStr">
        <is>
          <t>23/02/2026 7:28:03</t>
        </is>
      </c>
      <c r="B5740" t="inlineStr">
        <is>
          <t>Nguyễn Tuấn Anh</t>
        </is>
      </c>
      <c r="C5740" t="inlineStr">
        <is>
          <t>22/02/2026</t>
        </is>
      </c>
      <c r="D5740" t="n">
        <v>1</v>
      </c>
      <c r="E5740" t="n">
        <v>1</v>
      </c>
      <c r="F5740" t="n">
        <v>0</v>
      </c>
      <c r="G5740" t="n">
        <v>0</v>
      </c>
      <c r="H5740" t="n">
        <v>0</v>
      </c>
      <c r="I5740" t="n">
        <v>1</v>
      </c>
      <c r="J5740" t="n">
        <v>0</v>
      </c>
      <c r="K5740" t="n">
        <v>2</v>
      </c>
      <c r="L5740" t="n">
        <v>0</v>
      </c>
      <c r="M5740" t="n">
        <v>0</v>
      </c>
      <c r="N5740" t="n">
        <v>2</v>
      </c>
      <c r="O5740" t="n">
        <v>0</v>
      </c>
      <c r="P5740" t="n">
        <v>0</v>
      </c>
      <c r="Q5740" t="n">
        <v>2</v>
      </c>
      <c r="R5740" t="n">
        <v>0</v>
      </c>
      <c r="S5740" t="n">
        <v/>
      </c>
      <c r="T5740" t="inlineStr">
        <is>
          <t>22</t>
        </is>
      </c>
      <c r="U5740" t="inlineStr">
        <is>
          <t>2</t>
        </is>
      </c>
      <c r="V5740" t="n">
        <v/>
      </c>
      <c r="W5740" t="n">
        <v/>
      </c>
    </row>
    <row r="5741">
      <c r="A5741" t="inlineStr">
        <is>
          <t>23/02/2026 7:37:15</t>
        </is>
      </c>
      <c r="B5741" t="inlineStr">
        <is>
          <t>Trần Trung Giang</t>
        </is>
      </c>
      <c r="C5741" t="inlineStr">
        <is>
          <t>22/02/2026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/>
      </c>
      <c r="T5741" t="inlineStr">
        <is>
          <t>22</t>
        </is>
      </c>
      <c r="U5741" t="inlineStr">
        <is>
          <t>2</t>
        </is>
      </c>
      <c r="V5741" t="n">
        <v/>
      </c>
      <c r="W5741" t="n">
        <v/>
      </c>
    </row>
    <row r="5742">
      <c r="A5742" t="inlineStr">
        <is>
          <t>23/02/2026 7:47:38</t>
        </is>
      </c>
      <c r="B5742" t="inlineStr">
        <is>
          <t>Nguyễn Văn Hiệp</t>
        </is>
      </c>
      <c r="C5742" t="inlineStr">
        <is>
          <t>22/02/2026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6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/>
      </c>
      <c r="T5742" t="inlineStr">
        <is>
          <t>22</t>
        </is>
      </c>
      <c r="U5742" t="inlineStr">
        <is>
          <t>2</t>
        </is>
      </c>
      <c r="V5742" t="n">
        <v/>
      </c>
      <c r="W5742" t="n">
        <v/>
      </c>
    </row>
    <row r="5743">
      <c r="A5743" t="inlineStr">
        <is>
          <t>23/02/2026 7:48:34</t>
        </is>
      </c>
      <c r="B5743" t="inlineStr">
        <is>
          <t>Đặng Hoài Anh</t>
        </is>
      </c>
      <c r="C5743" t="inlineStr">
        <is>
          <t>22/02/2026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/>
      </c>
      <c r="T5743" t="inlineStr">
        <is>
          <t>22</t>
        </is>
      </c>
      <c r="U5743" t="inlineStr">
        <is>
          <t>2</t>
        </is>
      </c>
      <c r="V5743" t="n">
        <v/>
      </c>
      <c r="W5743" t="n">
        <v/>
      </c>
    </row>
    <row r="5744">
      <c r="A5744" t="inlineStr">
        <is>
          <t>23/02/2026 7:53:05</t>
        </is>
      </c>
      <c r="B5744" t="inlineStr">
        <is>
          <t>Huỳnh Văn Lực</t>
        </is>
      </c>
      <c r="C5744" t="inlineStr">
        <is>
          <t>22/02/2026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/>
      </c>
      <c r="T5744" t="inlineStr">
        <is>
          <t>22</t>
        </is>
      </c>
      <c r="U5744" t="inlineStr">
        <is>
          <t>2</t>
        </is>
      </c>
      <c r="V5744" t="n">
        <v/>
      </c>
      <c r="W5744" t="n">
        <v/>
      </c>
    </row>
    <row r="5745">
      <c r="A5745" t="inlineStr">
        <is>
          <t>23/02/2026 7:53:58</t>
        </is>
      </c>
      <c r="B5745" t="inlineStr">
        <is>
          <t>Nguyễn Quang Anh Tuấn</t>
        </is>
      </c>
      <c r="C5745" t="inlineStr">
        <is>
          <t>22/02/2026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2</v>
      </c>
      <c r="R5745" t="n">
        <v>0</v>
      </c>
      <c r="S5745" t="n">
        <v/>
      </c>
      <c r="T5745" t="inlineStr">
        <is>
          <t>22</t>
        </is>
      </c>
      <c r="U5745" t="inlineStr">
        <is>
          <t>2</t>
        </is>
      </c>
      <c r="V5745" t="n">
        <v/>
      </c>
      <c r="W5745" t="n">
        <v/>
      </c>
    </row>
    <row r="5746">
      <c r="A5746" t="inlineStr">
        <is>
          <t>24/02/2026 6:46:44</t>
        </is>
      </c>
      <c r="B5746" t="inlineStr">
        <is>
          <t>Huỳnh Văn Lực</t>
        </is>
      </c>
      <c r="C5746" t="inlineStr">
        <is>
          <t>23/02/2026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/>
      </c>
      <c r="T5746" t="inlineStr">
        <is>
          <t>23</t>
        </is>
      </c>
      <c r="U5746" t="inlineStr">
        <is>
          <t>2</t>
        </is>
      </c>
      <c r="V5746" t="n">
        <v/>
      </c>
      <c r="W5746" t="n">
        <v/>
      </c>
    </row>
    <row r="5747">
      <c r="A5747" t="inlineStr">
        <is>
          <t>24/02/2026 7:04:00</t>
        </is>
      </c>
      <c r="B5747" t="inlineStr">
        <is>
          <t>Nguyễn Văn Hiệp</t>
        </is>
      </c>
      <c r="C5747" t="inlineStr">
        <is>
          <t>23/02/2026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12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/>
      </c>
      <c r="T5747" t="inlineStr">
        <is>
          <t>23</t>
        </is>
      </c>
      <c r="U5747" t="inlineStr">
        <is>
          <t>2</t>
        </is>
      </c>
      <c r="V5747" t="n">
        <v/>
      </c>
      <c r="W5747" t="n">
        <v/>
      </c>
    </row>
    <row r="5748">
      <c r="A5748" t="inlineStr">
        <is>
          <t>24/02/2026 7:05:23</t>
        </is>
      </c>
      <c r="B5748" t="inlineStr">
        <is>
          <t>Nguyễn Quang Anh Tuấn</t>
        </is>
      </c>
      <c r="C5748" t="inlineStr">
        <is>
          <t>23/02/2026</t>
        </is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  <c r="I5748" t="n">
        <v>0</v>
      </c>
      <c r="J5748" t="n">
        <v>0</v>
      </c>
      <c r="K5748" t="n">
        <v>4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4</v>
      </c>
      <c r="R5748" t="n">
        <v>0</v>
      </c>
      <c r="S5748" t="n">
        <v/>
      </c>
      <c r="T5748" t="inlineStr">
        <is>
          <t>23</t>
        </is>
      </c>
      <c r="U5748" t="inlineStr">
        <is>
          <t>2</t>
        </is>
      </c>
      <c r="V5748" t="n">
        <v/>
      </c>
      <c r="W5748" t="n">
        <v/>
      </c>
    </row>
    <row r="5749">
      <c r="A5749" t="inlineStr">
        <is>
          <t>24/02/2026 7:10:16</t>
        </is>
      </c>
      <c r="B5749" t="inlineStr">
        <is>
          <t>Trần Trung Giang</t>
        </is>
      </c>
      <c r="C5749" t="inlineStr">
        <is>
          <t>23/02/2026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2</v>
      </c>
      <c r="Q5749" t="n">
        <v>3</v>
      </c>
      <c r="R5749" t="n">
        <v>0</v>
      </c>
      <c r="S5749" t="n">
        <v/>
      </c>
      <c r="T5749" t="inlineStr">
        <is>
          <t>23</t>
        </is>
      </c>
      <c r="U5749" t="inlineStr">
        <is>
          <t>2</t>
        </is>
      </c>
      <c r="V5749" t="n">
        <v/>
      </c>
      <c r="W5749" t="n">
        <v/>
      </c>
    </row>
    <row r="5750">
      <c r="A5750" t="inlineStr">
        <is>
          <t>24/02/2026 7:15:14</t>
        </is>
      </c>
      <c r="B5750" t="inlineStr">
        <is>
          <t>Đặng Hoài Anh</t>
        </is>
      </c>
      <c r="C5750" t="inlineStr">
        <is>
          <t>23/02/2026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10</v>
      </c>
      <c r="L5750" t="n">
        <v>0</v>
      </c>
      <c r="M5750" t="n">
        <v>0</v>
      </c>
      <c r="N5750" t="n">
        <v>1</v>
      </c>
      <c r="O5750" t="n">
        <v>0</v>
      </c>
      <c r="P5750" t="n">
        <v>1</v>
      </c>
      <c r="Q5750" t="n">
        <v>1</v>
      </c>
      <c r="R5750" t="n">
        <v>0</v>
      </c>
      <c r="S5750" t="n">
        <v/>
      </c>
      <c r="T5750" t="inlineStr">
        <is>
          <t>23</t>
        </is>
      </c>
      <c r="U5750" t="inlineStr">
        <is>
          <t>2</t>
        </is>
      </c>
      <c r="V5750" t="n">
        <v/>
      </c>
      <c r="W5750" t="n">
        <v/>
      </c>
    </row>
    <row r="5751">
      <c r="A5751" t="inlineStr">
        <is>
          <t>24/02/2026 7:28:06</t>
        </is>
      </c>
      <c r="B5751" t="inlineStr">
        <is>
          <t>Nguyễn Tuấn Anh</t>
        </is>
      </c>
      <c r="C5751" t="inlineStr">
        <is>
          <t>23/02/2026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2</v>
      </c>
      <c r="J5751" t="n">
        <v>0</v>
      </c>
      <c r="K5751" t="n">
        <v>2</v>
      </c>
      <c r="L5751" t="n">
        <v>0</v>
      </c>
      <c r="M5751" t="n">
        <v>0</v>
      </c>
      <c r="N5751" t="n">
        <v>2</v>
      </c>
      <c r="O5751" t="n">
        <v>0</v>
      </c>
      <c r="P5751" t="n">
        <v>0</v>
      </c>
      <c r="Q5751" t="n">
        <v>2</v>
      </c>
      <c r="R5751" t="n">
        <v>0</v>
      </c>
      <c r="S5751" t="n">
        <v/>
      </c>
      <c r="T5751" t="inlineStr">
        <is>
          <t>23</t>
        </is>
      </c>
      <c r="U5751" t="inlineStr">
        <is>
          <t>2</t>
        </is>
      </c>
      <c r="V5751" t="n">
        <v/>
      </c>
      <c r="W5751" t="n">
        <v/>
      </c>
    </row>
    <row r="5752">
      <c r="A5752" t="inlineStr">
        <is>
          <t>25/02/2026 6:45:04</t>
        </is>
      </c>
      <c r="B5752" t="inlineStr">
        <is>
          <t>Nguyễn Văn Hiệp</t>
        </is>
      </c>
      <c r="C5752" t="inlineStr">
        <is>
          <t>24/02/2026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2</v>
      </c>
      <c r="L5752" t="n">
        <v>0</v>
      </c>
      <c r="M5752" t="n">
        <v>0</v>
      </c>
      <c r="N5752" t="n">
        <v>0</v>
      </c>
      <c r="O5752" t="n">
        <v>0</v>
      </c>
      <c r="P5752" t="n">
        <v>1</v>
      </c>
      <c r="Q5752" t="n">
        <v>0</v>
      </c>
      <c r="R5752" t="n">
        <v>0</v>
      </c>
      <c r="S5752" t="n">
        <v/>
      </c>
      <c r="T5752" t="inlineStr">
        <is>
          <t>24</t>
        </is>
      </c>
      <c r="U5752" t="inlineStr">
        <is>
          <t>2</t>
        </is>
      </c>
      <c r="V5752" t="n">
        <v/>
      </c>
      <c r="W5752" t="n">
        <v/>
      </c>
    </row>
    <row r="5753">
      <c r="A5753" t="inlineStr">
        <is>
          <t>25/02/2026 7:03:50</t>
        </is>
      </c>
      <c r="B5753" t="inlineStr">
        <is>
          <t>Trần Trung Giang</t>
        </is>
      </c>
      <c r="C5753" t="inlineStr">
        <is>
          <t>24/02/2026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1</v>
      </c>
      <c r="Q5753" t="n">
        <v>0</v>
      </c>
      <c r="R5753" t="n">
        <v>0</v>
      </c>
      <c r="S5753" t="n">
        <v/>
      </c>
      <c r="T5753" t="inlineStr">
        <is>
          <t>24</t>
        </is>
      </c>
      <c r="U5753" t="inlineStr">
        <is>
          <t>2</t>
        </is>
      </c>
      <c r="V5753" t="n">
        <v/>
      </c>
      <c r="W5753" t="n">
        <v/>
      </c>
    </row>
    <row r="5754">
      <c r="A5754" t="inlineStr">
        <is>
          <t>25/02/2026 7:05:24</t>
        </is>
      </c>
      <c r="B5754" t="inlineStr">
        <is>
          <t>Huỳnh Văn Lực</t>
        </is>
      </c>
      <c r="C5754" t="inlineStr">
        <is>
          <t>24/02/2026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1</v>
      </c>
      <c r="L5754" t="n">
        <v>0</v>
      </c>
      <c r="M5754" t="n">
        <v>0</v>
      </c>
      <c r="N5754" t="n">
        <v>0</v>
      </c>
      <c r="O5754" t="n">
        <v>0</v>
      </c>
      <c r="P5754" t="n">
        <v>3</v>
      </c>
      <c r="Q5754" t="n">
        <v>0</v>
      </c>
      <c r="R5754" t="n">
        <v>2</v>
      </c>
      <c r="S5754" t="n">
        <v/>
      </c>
      <c r="T5754" t="inlineStr">
        <is>
          <t>24</t>
        </is>
      </c>
      <c r="U5754" t="inlineStr">
        <is>
          <t>2</t>
        </is>
      </c>
      <c r="V5754" t="n">
        <v/>
      </c>
      <c r="W5754" t="n">
        <v/>
      </c>
    </row>
    <row r="5755">
      <c r="A5755" t="inlineStr">
        <is>
          <t>25/02/2026 7:07:07</t>
        </is>
      </c>
      <c r="B5755" t="inlineStr">
        <is>
          <t>Nguyễn Quang Anh Tuấn</t>
        </is>
      </c>
      <c r="C5755" t="inlineStr">
        <is>
          <t>24/02/2026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1</v>
      </c>
      <c r="O5755" t="n">
        <v>0</v>
      </c>
      <c r="P5755" t="n">
        <v>0</v>
      </c>
      <c r="Q5755" t="n">
        <v>2</v>
      </c>
      <c r="R5755" t="n">
        <v>0</v>
      </c>
      <c r="S5755" t="n">
        <v/>
      </c>
      <c r="T5755" t="inlineStr">
        <is>
          <t>24</t>
        </is>
      </c>
      <c r="U5755" t="inlineStr">
        <is>
          <t>2</t>
        </is>
      </c>
      <c r="V5755" t="n">
        <v/>
      </c>
      <c r="W5755" t="n">
        <v/>
      </c>
    </row>
    <row r="5756">
      <c r="A5756" t="inlineStr">
        <is>
          <t>25/02/2026 7:15:16</t>
        </is>
      </c>
      <c r="B5756" t="inlineStr">
        <is>
          <t>Đặng Hoài Anh</t>
        </is>
      </c>
      <c r="C5756" t="inlineStr">
        <is>
          <t>24/02/2026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/>
      </c>
      <c r="T5756" t="inlineStr">
        <is>
          <t>24</t>
        </is>
      </c>
      <c r="U5756" t="inlineStr">
        <is>
          <t>2</t>
        </is>
      </c>
      <c r="V5756" t="n">
        <v/>
      </c>
      <c r="W5756" t="n">
        <v/>
      </c>
    </row>
    <row r="5757">
      <c r="A5757" t="inlineStr">
        <is>
          <t>25/02/2026 7:23:26</t>
        </is>
      </c>
      <c r="B5757" t="inlineStr">
        <is>
          <t>Nguyễn Tuấn Anh</t>
        </is>
      </c>
      <c r="C5757" t="inlineStr">
        <is>
          <t>24/02/2026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2</v>
      </c>
      <c r="J5757" t="n">
        <v>0</v>
      </c>
      <c r="K5757" t="n">
        <v>2</v>
      </c>
      <c r="L5757" t="n">
        <v>0</v>
      </c>
      <c r="M5757" t="n">
        <v>0</v>
      </c>
      <c r="N5757" t="n">
        <v>2</v>
      </c>
      <c r="O5757" t="n">
        <v>0</v>
      </c>
      <c r="P5757" t="n">
        <v>2</v>
      </c>
      <c r="Q5757" t="n">
        <v>2</v>
      </c>
      <c r="R5757" t="n">
        <v>0</v>
      </c>
      <c r="S5757" t="n">
        <v/>
      </c>
      <c r="T5757" t="inlineStr">
        <is>
          <t>24</t>
        </is>
      </c>
      <c r="U5757" t="inlineStr">
        <is>
          <t>2</t>
        </is>
      </c>
      <c r="V5757" t="n">
        <v/>
      </c>
      <c r="W5757" t="n">
        <v/>
      </c>
    </row>
    <row r="5758">
      <c r="A5758" t="inlineStr">
        <is>
          <t>26/02/2026 7:12:59</t>
        </is>
      </c>
      <c r="B5758" t="inlineStr">
        <is>
          <t>Huỳnh Văn Lực</t>
        </is>
      </c>
      <c r="C5758" t="inlineStr">
        <is>
          <t>25/02/2026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/>
      </c>
      <c r="T5758" t="inlineStr">
        <is>
          <t>25</t>
        </is>
      </c>
      <c r="U5758" t="inlineStr">
        <is>
          <t>2</t>
        </is>
      </c>
      <c r="V5758" t="n">
        <v/>
      </c>
      <c r="W5758" t="n">
        <v/>
      </c>
    </row>
    <row r="5759">
      <c r="A5759" t="inlineStr">
        <is>
          <t>26/02/2026 7:16:01</t>
        </is>
      </c>
      <c r="B5759" t="inlineStr">
        <is>
          <t>Trần Trung Giang</t>
        </is>
      </c>
      <c r="C5759" t="inlineStr">
        <is>
          <t>25/02/2026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1</v>
      </c>
      <c r="Q5759" t="n">
        <v>0</v>
      </c>
      <c r="R5759" t="n">
        <v>0</v>
      </c>
      <c r="S5759" t="n">
        <v/>
      </c>
      <c r="T5759" t="inlineStr">
        <is>
          <t>25</t>
        </is>
      </c>
      <c r="U5759" t="inlineStr">
        <is>
          <t>2</t>
        </is>
      </c>
      <c r="V5759" t="n">
        <v/>
      </c>
      <c r="W5759" t="n">
        <v/>
      </c>
    </row>
    <row r="5760">
      <c r="A5760" t="inlineStr">
        <is>
          <t>26/02/2026 7:18:07</t>
        </is>
      </c>
      <c r="B5760" t="inlineStr">
        <is>
          <t>Nguyễn Văn Hiệp</t>
        </is>
      </c>
      <c r="C5760" t="inlineStr">
        <is>
          <t>25/02/2026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1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/>
      </c>
      <c r="T5760" t="inlineStr">
        <is>
          <t>25</t>
        </is>
      </c>
      <c r="U5760" t="inlineStr">
        <is>
          <t>2</t>
        </is>
      </c>
      <c r="V5760" t="n">
        <v/>
      </c>
      <c r="W5760" t="n">
        <v/>
      </c>
    </row>
    <row r="5761">
      <c r="A5761" t="inlineStr">
        <is>
          <t>26/02/2026 7:18:55</t>
        </is>
      </c>
      <c r="B5761" t="inlineStr">
        <is>
          <t>Nguyễn Quang Anh Tuấn</t>
        </is>
      </c>
      <c r="C5761" t="inlineStr">
        <is>
          <t>25/02/2026</t>
        </is>
      </c>
      <c r="D5761" t="n">
        <v>1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4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2</v>
      </c>
      <c r="R5761" t="n">
        <v>0</v>
      </c>
      <c r="S5761" t="n">
        <v/>
      </c>
      <c r="T5761" t="inlineStr">
        <is>
          <t>25</t>
        </is>
      </c>
      <c r="U5761" t="inlineStr">
        <is>
          <t>2</t>
        </is>
      </c>
      <c r="V5761" t="n">
        <v/>
      </c>
      <c r="W5761" t="n">
        <v/>
      </c>
    </row>
    <row r="5762">
      <c r="A5762" t="inlineStr">
        <is>
          <t>26/02/2026 7:21:16</t>
        </is>
      </c>
      <c r="B5762" t="inlineStr">
        <is>
          <t>Đặng Hoài Anh</t>
        </is>
      </c>
      <c r="C5762" t="inlineStr">
        <is>
          <t>25/02/2026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4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/>
      </c>
      <c r="T5762" t="inlineStr">
        <is>
          <t>25</t>
        </is>
      </c>
      <c r="U5762" t="inlineStr">
        <is>
          <t>2</t>
        </is>
      </c>
      <c r="V5762" t="n">
        <v/>
      </c>
      <c r="W5762" t="n">
        <v/>
      </c>
    </row>
    <row r="5763">
      <c r="A5763" t="inlineStr">
        <is>
          <t>26/02/2026 7:33:15</t>
        </is>
      </c>
      <c r="B5763" t="inlineStr">
        <is>
          <t>Nguyễn Tuấn Anh</t>
        </is>
      </c>
      <c r="C5763" t="inlineStr">
        <is>
          <t>25/02/2026</t>
        </is>
      </c>
      <c r="D5763" t="n">
        <v>1</v>
      </c>
      <c r="E5763" t="n">
        <v>0</v>
      </c>
      <c r="F5763" t="n">
        <v>1</v>
      </c>
      <c r="G5763" t="n">
        <v>0</v>
      </c>
      <c r="H5763" t="n">
        <v>0</v>
      </c>
      <c r="I5763" t="n">
        <v>2</v>
      </c>
      <c r="J5763" t="n">
        <v>0</v>
      </c>
      <c r="K5763" t="n">
        <v>2</v>
      </c>
      <c r="L5763" t="n">
        <v>0</v>
      </c>
      <c r="M5763" t="n">
        <v>0</v>
      </c>
      <c r="N5763" t="n">
        <v>2</v>
      </c>
      <c r="O5763" t="n">
        <v>0</v>
      </c>
      <c r="P5763" t="n">
        <v>0</v>
      </c>
      <c r="Q5763" t="n">
        <v>2</v>
      </c>
      <c r="R5763" t="n">
        <v>0</v>
      </c>
      <c r="S5763" t="n">
        <v/>
      </c>
      <c r="T5763" t="inlineStr">
        <is>
          <t>25</t>
        </is>
      </c>
      <c r="U5763" t="inlineStr">
        <is>
          <t>2</t>
        </is>
      </c>
      <c r="V5763" t="n">
        <v/>
      </c>
      <c r="W5763" t="n">
        <v/>
      </c>
    </row>
    <row r="5764">
      <c r="A5764" t="inlineStr">
        <is>
          <t>27/02/2026 6:47:25</t>
        </is>
      </c>
      <c r="B5764" t="inlineStr">
        <is>
          <t>Huỳnh Văn Lực</t>
        </is>
      </c>
      <c r="C5764" t="inlineStr">
        <is>
          <t>26/02/2026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2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/>
      </c>
      <c r="T5764" t="inlineStr">
        <is>
          <t>26</t>
        </is>
      </c>
      <c r="U5764" t="inlineStr">
        <is>
          <t>2</t>
        </is>
      </c>
      <c r="V5764" t="n">
        <v/>
      </c>
      <c r="W5764" t="n">
        <v/>
      </c>
    </row>
    <row r="5765">
      <c r="A5765" t="inlineStr">
        <is>
          <t>27/02/2026 6:55:22</t>
        </is>
      </c>
      <c r="B5765" t="inlineStr">
        <is>
          <t>Nguyễn Văn Hiệp</t>
        </is>
      </c>
      <c r="C5765" t="inlineStr">
        <is>
          <t>26/02/2026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3</v>
      </c>
      <c r="L5765" t="n">
        <v>0</v>
      </c>
      <c r="M5765" t="n">
        <v>5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/>
      </c>
      <c r="T5765" t="inlineStr">
        <is>
          <t>26</t>
        </is>
      </c>
      <c r="U5765" t="inlineStr">
        <is>
          <t>2</t>
        </is>
      </c>
      <c r="V5765" t="n">
        <v/>
      </c>
      <c r="W5765" t="n">
        <v/>
      </c>
    </row>
    <row r="5766">
      <c r="A5766" t="inlineStr">
        <is>
          <t>27/02/2026 6:57:08</t>
        </is>
      </c>
      <c r="B5766" t="inlineStr">
        <is>
          <t>Nguyễn Quang Anh Tuấn</t>
        </is>
      </c>
      <c r="C5766" t="inlineStr">
        <is>
          <t>26/02/2026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1</v>
      </c>
      <c r="Q5766" t="n">
        <v>1</v>
      </c>
      <c r="R5766" t="n">
        <v>0</v>
      </c>
      <c r="S5766" t="n">
        <v/>
      </c>
      <c r="T5766" t="inlineStr">
        <is>
          <t>26</t>
        </is>
      </c>
      <c r="U5766" t="inlineStr">
        <is>
          <t>2</t>
        </is>
      </c>
      <c r="V5766" t="n">
        <v/>
      </c>
      <c r="W5766" t="n">
        <v/>
      </c>
    </row>
    <row r="5767">
      <c r="A5767" t="inlineStr">
        <is>
          <t>27/02/2026 7:03:40</t>
        </is>
      </c>
      <c r="B5767" t="inlineStr">
        <is>
          <t>Đặng Hoài Anh</t>
        </is>
      </c>
      <c r="C5767" t="inlineStr">
        <is>
          <t>26/02/2026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5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/>
      </c>
      <c r="T5767" t="inlineStr">
        <is>
          <t>26</t>
        </is>
      </c>
      <c r="U5767" t="inlineStr">
        <is>
          <t>2</t>
        </is>
      </c>
      <c r="V5767" t="n">
        <v/>
      </c>
      <c r="W5767" t="n">
        <v/>
      </c>
    </row>
    <row r="5768">
      <c r="A5768" t="inlineStr">
        <is>
          <t>27/02/2026 7:11:05</t>
        </is>
      </c>
      <c r="B5768" t="inlineStr">
        <is>
          <t>Trần Trung Giang</t>
        </is>
      </c>
      <c r="C5768" t="inlineStr">
        <is>
          <t>26/02/2026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1</v>
      </c>
      <c r="Q5768" t="n">
        <v>1</v>
      </c>
      <c r="R5768" t="n">
        <v>0</v>
      </c>
      <c r="S5768" t="n">
        <v/>
      </c>
      <c r="T5768" t="inlineStr">
        <is>
          <t>26</t>
        </is>
      </c>
      <c r="U5768" t="inlineStr">
        <is>
          <t>2</t>
        </is>
      </c>
      <c r="V5768" t="n">
        <v/>
      </c>
      <c r="W5768" t="n">
        <v/>
      </c>
    </row>
    <row r="5769">
      <c r="A5769" t="inlineStr">
        <is>
          <t>27/02/2026 7:12:26</t>
        </is>
      </c>
      <c r="B5769" t="inlineStr">
        <is>
          <t>Nguyễn Tuấn Anh</t>
        </is>
      </c>
      <c r="C5769" t="inlineStr">
        <is>
          <t>26/02/2026</t>
        </is>
      </c>
      <c r="D5769" t="n">
        <v>1</v>
      </c>
      <c r="E5769" t="n">
        <v>1</v>
      </c>
      <c r="F5769" t="n">
        <v>1</v>
      </c>
      <c r="G5769" t="n">
        <v>0</v>
      </c>
      <c r="H5769" t="n">
        <v>0</v>
      </c>
      <c r="I5769" t="n">
        <v>2</v>
      </c>
      <c r="J5769" t="n">
        <v>0</v>
      </c>
      <c r="K5769" t="n">
        <v>2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5</v>
      </c>
      <c r="R5769" t="n">
        <v>0</v>
      </c>
      <c r="S5769" t="n">
        <v/>
      </c>
      <c r="T5769" t="inlineStr">
        <is>
          <t>26</t>
        </is>
      </c>
      <c r="U5769" t="inlineStr">
        <is>
          <t>2</t>
        </is>
      </c>
      <c r="V5769" t="n">
        <v/>
      </c>
      <c r="W5769" t="n">
        <v/>
      </c>
    </row>
    <row r="5770">
      <c r="A5770" t="inlineStr">
        <is>
          <t>28/02/2026 7:09:43</t>
        </is>
      </c>
      <c r="B5770" t="inlineStr">
        <is>
          <t>Đặng Hoài Anh</t>
        </is>
      </c>
      <c r="C5770" t="inlineStr">
        <is>
          <t>27/02/2026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2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/>
      </c>
      <c r="T5770" t="inlineStr">
        <is>
          <t>27</t>
        </is>
      </c>
      <c r="U5770" t="inlineStr">
        <is>
          <t>2</t>
        </is>
      </c>
      <c r="V5770" t="n">
        <v/>
      </c>
      <c r="W5770" t="n">
        <v/>
      </c>
    </row>
    <row r="5771">
      <c r="A5771" t="inlineStr">
        <is>
          <t>28/02/2026 7:11:43</t>
        </is>
      </c>
      <c r="B5771" t="inlineStr">
        <is>
          <t>Huỳnh Văn Lực</t>
        </is>
      </c>
      <c r="C5771" t="inlineStr">
        <is>
          <t>27/02/2026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/>
      </c>
      <c r="T5771" t="inlineStr">
        <is>
          <t>27</t>
        </is>
      </c>
      <c r="U5771" t="inlineStr">
        <is>
          <t>2</t>
        </is>
      </c>
      <c r="V5771" t="n">
        <v/>
      </c>
      <c r="W5771" t="n">
        <v/>
      </c>
    </row>
    <row r="5772">
      <c r="A5772" t="inlineStr">
        <is>
          <t>28/02/2026 7:12:17</t>
        </is>
      </c>
      <c r="B5772" t="inlineStr">
        <is>
          <t>Nguyễn Quang Anh Tuấn</t>
        </is>
      </c>
      <c r="C5772" t="inlineStr">
        <is>
          <t>27/02/2026</t>
        </is>
      </c>
      <c r="D5772" t="n">
        <v>0</v>
      </c>
      <c r="E5772" t="n">
        <v>0</v>
      </c>
      <c r="F5772" t="n">
        <v>0</v>
      </c>
      <c r="G5772" t="n">
        <v>1</v>
      </c>
      <c r="H5772" t="n">
        <v>0</v>
      </c>
      <c r="I5772" t="n">
        <v>0</v>
      </c>
      <c r="J5772" t="n">
        <v>0</v>
      </c>
      <c r="K5772" t="n">
        <v>7</v>
      </c>
      <c r="L5772" t="n">
        <v>7</v>
      </c>
      <c r="M5772" t="n">
        <v>0</v>
      </c>
      <c r="N5772" t="n">
        <v>1</v>
      </c>
      <c r="O5772" t="n">
        <v>0</v>
      </c>
      <c r="P5772" t="n">
        <v>0</v>
      </c>
      <c r="Q5772" t="n">
        <v>2</v>
      </c>
      <c r="R5772" t="n">
        <v>0</v>
      </c>
      <c r="S5772" t="n">
        <v/>
      </c>
      <c r="T5772" t="inlineStr">
        <is>
          <t>27</t>
        </is>
      </c>
      <c r="U5772" t="inlineStr">
        <is>
          <t>2</t>
        </is>
      </c>
      <c r="V5772" t="n">
        <v/>
      </c>
      <c r="W5772" t="n">
        <v/>
      </c>
    </row>
    <row r="5773">
      <c r="A5773" t="inlineStr">
        <is>
          <t>28/02/2026 7:12:28</t>
        </is>
      </c>
      <c r="B5773" t="inlineStr">
        <is>
          <t>Nguyễn Tuấn Anh</t>
        </is>
      </c>
      <c r="C5773" t="inlineStr">
        <is>
          <t>27/02/2026</t>
        </is>
      </c>
      <c r="D5773" t="n">
        <v>1</v>
      </c>
      <c r="E5773" t="n">
        <v>0</v>
      </c>
      <c r="F5773" t="n">
        <v>0</v>
      </c>
      <c r="G5773" t="n">
        <v>2</v>
      </c>
      <c r="H5773" t="n">
        <v>1</v>
      </c>
      <c r="I5773" t="n">
        <v>0</v>
      </c>
      <c r="J5773" t="n">
        <v>0</v>
      </c>
      <c r="K5773" t="n">
        <v>7</v>
      </c>
      <c r="L5773" t="n">
        <v>0</v>
      </c>
      <c r="M5773" t="n">
        <v>0</v>
      </c>
      <c r="N5773" t="n">
        <v>2</v>
      </c>
      <c r="O5773" t="n">
        <v>0</v>
      </c>
      <c r="P5773" t="n">
        <v>1</v>
      </c>
      <c r="Q5773" t="n">
        <v>8</v>
      </c>
      <c r="R5773" t="n">
        <v>0</v>
      </c>
      <c r="S5773" t="n">
        <v/>
      </c>
      <c r="T5773" t="inlineStr">
        <is>
          <t>27</t>
        </is>
      </c>
      <c r="U5773" t="inlineStr">
        <is>
          <t>2</t>
        </is>
      </c>
      <c r="V5773" t="n">
        <v/>
      </c>
      <c r="W5773" t="n">
        <v/>
      </c>
    </row>
    <row r="5774">
      <c r="A5774" t="inlineStr">
        <is>
          <t>28/02/2026 7:40:58</t>
        </is>
      </c>
      <c r="B5774" t="inlineStr">
        <is>
          <t>Trần Trung Giang</t>
        </is>
      </c>
      <c r="C5774" t="inlineStr">
        <is>
          <t>27/02/2026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2</v>
      </c>
      <c r="L5774" t="n">
        <v>0</v>
      </c>
      <c r="M5774" t="n">
        <v>0</v>
      </c>
      <c r="N5774" t="n">
        <v>2</v>
      </c>
      <c r="O5774" t="n">
        <v>0</v>
      </c>
      <c r="P5774" t="n">
        <v>0</v>
      </c>
      <c r="Q5774" t="n">
        <v>0</v>
      </c>
      <c r="R5774" t="n">
        <v>0</v>
      </c>
      <c r="S5774" t="n">
        <v/>
      </c>
      <c r="T5774" t="inlineStr">
        <is>
          <t>27</t>
        </is>
      </c>
      <c r="U5774" t="inlineStr">
        <is>
          <t>2</t>
        </is>
      </c>
      <c r="V5774" t="n">
        <v/>
      </c>
      <c r="W5774" t="n">
        <v/>
      </c>
    </row>
    <row r="5775">
      <c r="A5775" t="inlineStr">
        <is>
          <t>28/02/2026 7:58:06</t>
        </is>
      </c>
      <c r="B5775" t="inlineStr">
        <is>
          <t>Nguyễn Văn Hiệp</t>
        </is>
      </c>
      <c r="C5775" t="inlineStr">
        <is>
          <t>27/02/2026</t>
        </is>
      </c>
      <c r="D5775" t="n">
        <v>0</v>
      </c>
      <c r="E5775" t="n">
        <v>0</v>
      </c>
      <c r="F5775" t="n">
        <v>9</v>
      </c>
      <c r="G5775" t="n">
        <v>0</v>
      </c>
      <c r="H5775" t="n">
        <v>9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/>
      </c>
      <c r="T5775" t="inlineStr">
        <is>
          <t>27</t>
        </is>
      </c>
      <c r="U5775" t="inlineStr">
        <is>
          <t>2</t>
        </is>
      </c>
      <c r="V5775" t="n">
        <v/>
      </c>
      <c r="W5775" t="n">
        <v/>
      </c>
    </row>
    <row r="5776">
      <c r="A5776" t="inlineStr">
        <is>
          <t>01/03/2026 7:29:17</t>
        </is>
      </c>
      <c r="B5776" t="inlineStr">
        <is>
          <t>Nguyễn Tuấn Anh</t>
        </is>
      </c>
      <c r="C5776" t="inlineStr">
        <is>
          <t>28/02/2026</t>
        </is>
      </c>
      <c r="D5776" t="n">
        <v>1</v>
      </c>
      <c r="E5776" t="n">
        <v>0</v>
      </c>
      <c r="F5776" t="n">
        <v>0</v>
      </c>
      <c r="G5776" t="n">
        <v>1</v>
      </c>
      <c r="H5776" t="n">
        <v>1</v>
      </c>
      <c r="I5776" t="n">
        <v>1</v>
      </c>
      <c r="J5776" t="n">
        <v>0</v>
      </c>
      <c r="K5776" t="n">
        <v>2</v>
      </c>
      <c r="L5776" t="n">
        <v>0</v>
      </c>
      <c r="M5776" t="n">
        <v>0</v>
      </c>
      <c r="N5776" t="n">
        <v>3</v>
      </c>
      <c r="O5776" t="n">
        <v>9</v>
      </c>
      <c r="P5776" t="n">
        <v>0</v>
      </c>
      <c r="Q5776" t="n">
        <v>5</v>
      </c>
      <c r="R5776" t="n">
        <v>0</v>
      </c>
      <c r="S5776" t="n">
        <v/>
      </c>
      <c r="T5776" t="inlineStr">
        <is>
          <t>28</t>
        </is>
      </c>
      <c r="U5776" t="inlineStr">
        <is>
          <t>2</t>
        </is>
      </c>
      <c r="V5776" t="n">
        <v/>
      </c>
      <c r="W5776" t="n">
        <v/>
      </c>
    </row>
    <row r="5777">
      <c r="A5777" t="inlineStr">
        <is>
          <t>01/03/2026 7:31:03</t>
        </is>
      </c>
      <c r="B5777" t="inlineStr">
        <is>
          <t>Đặng Hoài Anh</t>
        </is>
      </c>
      <c r="C5777" t="inlineStr">
        <is>
          <t>28/02/2026</t>
        </is>
      </c>
      <c r="D5777" t="n">
        <v>0</v>
      </c>
      <c r="E5777" t="n">
        <v>0</v>
      </c>
      <c r="F5777" t="n">
        <v>3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3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/>
      </c>
      <c r="T5777" t="inlineStr">
        <is>
          <t>28</t>
        </is>
      </c>
      <c r="U5777" t="inlineStr">
        <is>
          <t>2</t>
        </is>
      </c>
      <c r="V5777" t="n">
        <v/>
      </c>
      <c r="W5777" t="n">
        <v/>
      </c>
    </row>
    <row r="5778">
      <c r="A5778" t="inlineStr">
        <is>
          <t>01/03/2026 7:33:10</t>
        </is>
      </c>
      <c r="B5778" t="inlineStr">
        <is>
          <t>Trần Trung Giang</t>
        </is>
      </c>
      <c r="C5778" t="inlineStr">
        <is>
          <t>28/02/2026</t>
        </is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  <c r="I5778" t="n">
        <v>0</v>
      </c>
      <c r="J5778" t="n">
        <v>0</v>
      </c>
      <c r="K5778" t="n">
        <v>4</v>
      </c>
      <c r="L5778" t="n">
        <v>0</v>
      </c>
      <c r="M5778" t="n">
        <v>0</v>
      </c>
      <c r="N5778" t="n">
        <v>1</v>
      </c>
      <c r="O5778" t="n">
        <v>0</v>
      </c>
      <c r="P5778" t="n">
        <v>1</v>
      </c>
      <c r="Q5778" t="n">
        <v>0</v>
      </c>
      <c r="R5778" t="n">
        <v>0</v>
      </c>
      <c r="S5778" t="n">
        <v/>
      </c>
      <c r="T5778" t="inlineStr">
        <is>
          <t>28</t>
        </is>
      </c>
      <c r="U5778" t="inlineStr">
        <is>
          <t>2</t>
        </is>
      </c>
      <c r="V5778" t="n">
        <v/>
      </c>
      <c r="W5778" t="n">
        <v/>
      </c>
    </row>
    <row r="5779">
      <c r="A5779" t="inlineStr">
        <is>
          <t>01/03/2026 7:39:02</t>
        </is>
      </c>
      <c r="B5779" t="inlineStr">
        <is>
          <t>Huỳnh Văn Lực</t>
        </is>
      </c>
      <c r="C5779" t="inlineStr">
        <is>
          <t>28/02/2026</t>
        </is>
      </c>
      <c r="D5779" t="n">
        <v>1</v>
      </c>
      <c r="E5779" t="n">
        <v>1</v>
      </c>
      <c r="F5779" t="n">
        <v>1</v>
      </c>
      <c r="G5779" t="n">
        <v>1</v>
      </c>
      <c r="H5779" t="n">
        <v>1</v>
      </c>
      <c r="I5779" t="n">
        <v>1</v>
      </c>
      <c r="J5779" t="n">
        <v>1</v>
      </c>
      <c r="K5779" t="n">
        <v>2</v>
      </c>
      <c r="L5779" t="n">
        <v>1</v>
      </c>
      <c r="M5779" t="n">
        <v>1</v>
      </c>
      <c r="N5779" t="n">
        <v>1</v>
      </c>
      <c r="O5779" t="n">
        <v>1</v>
      </c>
      <c r="P5779" t="n">
        <v>1</v>
      </c>
      <c r="Q5779" t="n">
        <v>0</v>
      </c>
      <c r="R5779" t="n">
        <v>0</v>
      </c>
      <c r="S5779" t="n">
        <v/>
      </c>
      <c r="T5779" t="inlineStr">
        <is>
          <t>28</t>
        </is>
      </c>
      <c r="U5779" t="inlineStr">
        <is>
          <t>2</t>
        </is>
      </c>
      <c r="V5779" t="n">
        <v/>
      </c>
      <c r="W5779" t="n">
        <v/>
      </c>
    </row>
    <row r="5780">
      <c r="A5780" t="inlineStr">
        <is>
          <t>01/03/2026 7:40:22</t>
        </is>
      </c>
      <c r="B5780" t="inlineStr">
        <is>
          <t>Nguyễn Quang Anh Tuấn</t>
        </is>
      </c>
      <c r="C5780" t="inlineStr">
        <is>
          <t>28/02/2026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5</v>
      </c>
      <c r="N5780" t="n">
        <v>0</v>
      </c>
      <c r="O5780" t="n">
        <v>0</v>
      </c>
      <c r="P5780" t="n">
        <v>0</v>
      </c>
      <c r="Q5780" t="n">
        <v>2</v>
      </c>
      <c r="R5780" t="n">
        <v>0</v>
      </c>
      <c r="S5780" t="n">
        <v/>
      </c>
      <c r="T5780" t="inlineStr">
        <is>
          <t>28</t>
        </is>
      </c>
      <c r="U5780" t="inlineStr">
        <is>
          <t>2</t>
        </is>
      </c>
      <c r="V5780" t="n">
        <v/>
      </c>
      <c r="W5780" t="n">
        <v/>
      </c>
    </row>
    <row r="5781">
      <c r="A5781" t="inlineStr">
        <is>
          <t>01/03/2026 7:41:12</t>
        </is>
      </c>
      <c r="B5781" t="inlineStr">
        <is>
          <t>Nguyễn Văn Hiệp</t>
        </is>
      </c>
      <c r="C5781" t="inlineStr">
        <is>
          <t>28/02/2026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2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/>
      </c>
      <c r="T5781" t="inlineStr">
        <is>
          <t>28</t>
        </is>
      </c>
      <c r="U5781" t="inlineStr">
        <is>
          <t>2</t>
        </is>
      </c>
      <c r="V5781" t="n">
        <v/>
      </c>
      <c r="W5781" t="n">
        <v/>
      </c>
    </row>
    <row r="5782">
      <c r="A5782" t="inlineStr">
        <is>
          <t>02/03/2026 7:04:45</t>
        </is>
      </c>
      <c r="B5782" t="inlineStr">
        <is>
          <t>Nguyễn Văn Hiệp</t>
        </is>
      </c>
      <c r="C5782" t="inlineStr">
        <is>
          <t>01/03/2026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2</v>
      </c>
      <c r="L5782" t="n">
        <v>0</v>
      </c>
      <c r="M5782" t="n">
        <v>2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/>
      </c>
      <c r="T5782" t="inlineStr">
        <is>
          <t>1</t>
        </is>
      </c>
      <c r="U5782" t="inlineStr">
        <is>
          <t>3</t>
        </is>
      </c>
      <c r="V5782" t="n">
        <v/>
      </c>
      <c r="W5782" t="n">
        <v/>
      </c>
    </row>
    <row r="5783">
      <c r="A5783" t="inlineStr">
        <is>
          <t>02/03/2026 7:14:08</t>
        </is>
      </c>
      <c r="B5783" t="inlineStr">
        <is>
          <t>Nguyễn Tuấn Anh</t>
        </is>
      </c>
      <c r="C5783" t="inlineStr">
        <is>
          <t>01/03/2026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2</v>
      </c>
      <c r="J5783" t="n">
        <v>0</v>
      </c>
      <c r="K5783" t="n">
        <v>2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2</v>
      </c>
      <c r="R5783" t="n">
        <v>0</v>
      </c>
      <c r="S5783" t="n">
        <v/>
      </c>
      <c r="T5783" t="inlineStr">
        <is>
          <t>1</t>
        </is>
      </c>
      <c r="U5783" t="inlineStr">
        <is>
          <t>3</t>
        </is>
      </c>
      <c r="V5783" t="n">
        <v/>
      </c>
      <c r="W5783" t="n">
        <v/>
      </c>
    </row>
    <row r="5784">
      <c r="A5784" t="inlineStr">
        <is>
          <t>02/03/2026 7:18:01</t>
        </is>
      </c>
      <c r="B5784" t="inlineStr">
        <is>
          <t>Trần Trung Giang</t>
        </is>
      </c>
      <c r="C5784" t="inlineStr">
        <is>
          <t>01/03/2026</t>
        </is>
      </c>
      <c r="D5784" t="n">
        <v>1</v>
      </c>
      <c r="E5784" t="n">
        <v>0</v>
      </c>
      <c r="F5784" t="n">
        <v>1</v>
      </c>
      <c r="G5784" t="n">
        <v>0</v>
      </c>
      <c r="H5784" t="n">
        <v>0</v>
      </c>
      <c r="I5784" t="n">
        <v>0</v>
      </c>
      <c r="J5784" t="n">
        <v>0</v>
      </c>
      <c r="K5784" t="n">
        <v>1</v>
      </c>
      <c r="L5784" t="n">
        <v>1</v>
      </c>
      <c r="M5784" t="n">
        <v>1</v>
      </c>
      <c r="N5784" t="n">
        <v>0</v>
      </c>
      <c r="O5784" t="n">
        <v>0</v>
      </c>
      <c r="P5784" t="n">
        <v>1</v>
      </c>
      <c r="Q5784" t="n">
        <v>0</v>
      </c>
      <c r="R5784" t="n">
        <v>0</v>
      </c>
      <c r="S5784" t="n">
        <v/>
      </c>
      <c r="T5784" t="inlineStr">
        <is>
          <t>1</t>
        </is>
      </c>
      <c r="U5784" t="inlineStr">
        <is>
          <t>3</t>
        </is>
      </c>
      <c r="V5784" t="n">
        <v/>
      </c>
      <c r="W5784" t="n">
        <v/>
      </c>
    </row>
    <row r="5785">
      <c r="A5785" t="inlineStr">
        <is>
          <t>02/03/2026 7:19:34</t>
        </is>
      </c>
      <c r="B5785" t="inlineStr">
        <is>
          <t>Đặng Hoài Anh</t>
        </is>
      </c>
      <c r="C5785" t="inlineStr">
        <is>
          <t>01/03/2026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1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/>
      </c>
      <c r="T5785" t="inlineStr">
        <is>
          <t>1</t>
        </is>
      </c>
      <c r="U5785" t="inlineStr">
        <is>
          <t>3</t>
        </is>
      </c>
      <c r="V5785" t="n">
        <v/>
      </c>
      <c r="W5785" t="n">
        <v/>
      </c>
    </row>
    <row r="5786">
      <c r="A5786" t="inlineStr">
        <is>
          <t>02/03/2026 7:25:27</t>
        </is>
      </c>
      <c r="B5786" t="inlineStr">
        <is>
          <t>Nguyễn Quang Anh Tuấn</t>
        </is>
      </c>
      <c r="C5786" t="inlineStr">
        <is>
          <t>01/03/2026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2</v>
      </c>
      <c r="M5786" t="n">
        <v>0</v>
      </c>
      <c r="N5786" t="n">
        <v>0</v>
      </c>
      <c r="O5786" t="n">
        <v>0</v>
      </c>
      <c r="P5786" t="n">
        <v>1</v>
      </c>
      <c r="Q5786" t="n">
        <v>2</v>
      </c>
      <c r="R5786" t="n">
        <v>0</v>
      </c>
      <c r="S5786" t="n">
        <v/>
      </c>
      <c r="T5786" t="inlineStr">
        <is>
          <t>1</t>
        </is>
      </c>
      <c r="U5786" t="inlineStr">
        <is>
          <t>3</t>
        </is>
      </c>
      <c r="V5786" t="n">
        <v/>
      </c>
      <c r="W5786" t="n">
        <v/>
      </c>
    </row>
    <row r="5787">
      <c r="A5787" t="inlineStr">
        <is>
          <t>02/03/2026 8:43:46</t>
        </is>
      </c>
      <c r="B5787" t="inlineStr">
        <is>
          <t>Huỳnh Văn Lực</t>
        </is>
      </c>
      <c r="C5787" t="inlineStr">
        <is>
          <t>01/03/2026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1</v>
      </c>
      <c r="Q5787" t="n">
        <v>0</v>
      </c>
      <c r="R5787" t="n">
        <v>0</v>
      </c>
      <c r="S5787" t="n">
        <v/>
      </c>
      <c r="T5787" t="inlineStr">
        <is>
          <t>1</t>
        </is>
      </c>
      <c r="U5787" t="inlineStr">
        <is>
          <t>3</t>
        </is>
      </c>
      <c r="V5787" t="n">
        <v/>
      </c>
      <c r="W5787" t="n">
        <v/>
      </c>
    </row>
    <row r="5788">
      <c r="A5788" t="inlineStr">
        <is>
          <t>03/03/2026 7:05:59</t>
        </is>
      </c>
      <c r="B5788" t="inlineStr">
        <is>
          <t>Nguyễn Văn Hiệp</t>
        </is>
      </c>
      <c r="C5788" t="inlineStr">
        <is>
          <t>02/03/2026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1</v>
      </c>
      <c r="L5788" t="n">
        <v>3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/>
      </c>
      <c r="T5788" t="inlineStr">
        <is>
          <t>2</t>
        </is>
      </c>
      <c r="U5788" t="inlineStr">
        <is>
          <t>3</t>
        </is>
      </c>
      <c r="V5788" t="n">
        <v/>
      </c>
      <c r="W5788" t="n">
        <v/>
      </c>
    </row>
    <row r="5789">
      <c r="A5789" t="inlineStr">
        <is>
          <t>03/03/2026 7:11:34</t>
        </is>
      </c>
      <c r="B5789" t="inlineStr">
        <is>
          <t>Nguyễn Tuấn Anh</t>
        </is>
      </c>
      <c r="C5789" t="inlineStr">
        <is>
          <t>02/03/2026</t>
        </is>
      </c>
      <c r="D5789" t="n">
        <v>1</v>
      </c>
      <c r="E5789" t="n">
        <v>1</v>
      </c>
      <c r="F5789" t="n">
        <v>0</v>
      </c>
      <c r="G5789" t="n">
        <v>0</v>
      </c>
      <c r="H5789" t="n">
        <v>0</v>
      </c>
      <c r="I5789" t="n">
        <v>2</v>
      </c>
      <c r="J5789" t="n">
        <v>0</v>
      </c>
      <c r="K5789" t="n">
        <v>2</v>
      </c>
      <c r="L5789" t="n">
        <v>1</v>
      </c>
      <c r="M5789" t="n">
        <v>0</v>
      </c>
      <c r="N5789" t="n">
        <v>0</v>
      </c>
      <c r="O5789" t="n">
        <v>0</v>
      </c>
      <c r="P5789" t="n">
        <v>2</v>
      </c>
      <c r="Q5789" t="n">
        <v>2</v>
      </c>
      <c r="R5789" t="n">
        <v>0</v>
      </c>
      <c r="S5789" t="n">
        <v/>
      </c>
      <c r="T5789" t="inlineStr">
        <is>
          <t>2</t>
        </is>
      </c>
      <c r="U5789" t="inlineStr">
        <is>
          <t>3</t>
        </is>
      </c>
      <c r="V5789" t="n">
        <v/>
      </c>
      <c r="W5789" t="n">
        <v/>
      </c>
    </row>
    <row r="5790">
      <c r="A5790" t="inlineStr">
        <is>
          <t>03/03/2026 7:15:46</t>
        </is>
      </c>
      <c r="B5790" t="inlineStr">
        <is>
          <t>Đặng Hoài Anh</t>
        </is>
      </c>
      <c r="C5790" t="inlineStr">
        <is>
          <t>02/03/2026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1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/>
      </c>
      <c r="T5790" t="inlineStr">
        <is>
          <t>2</t>
        </is>
      </c>
      <c r="U5790" t="inlineStr">
        <is>
          <t>3</t>
        </is>
      </c>
      <c r="V5790" t="n">
        <v/>
      </c>
      <c r="W5790" t="n">
        <v/>
      </c>
    </row>
    <row r="5791">
      <c r="A5791" t="inlineStr">
        <is>
          <t>03/03/2026 7:16:25</t>
        </is>
      </c>
      <c r="B5791" t="inlineStr">
        <is>
          <t>Trần Trung Giang</t>
        </is>
      </c>
      <c r="C5791" t="inlineStr">
        <is>
          <t>02/03/2026</t>
        </is>
      </c>
      <c r="D5791" t="n">
        <v>1</v>
      </c>
      <c r="E5791" t="n">
        <v>1</v>
      </c>
      <c r="F5791" t="n">
        <v>1</v>
      </c>
      <c r="G5791" t="n">
        <v>0</v>
      </c>
      <c r="H5791" t="n">
        <v>0</v>
      </c>
      <c r="I5791" t="n">
        <v>0</v>
      </c>
      <c r="J5791" t="n">
        <v>0</v>
      </c>
      <c r="K5791" t="n">
        <v>8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/>
      </c>
      <c r="T5791" t="inlineStr">
        <is>
          <t>2</t>
        </is>
      </c>
      <c r="U5791" t="inlineStr">
        <is>
          <t>3</t>
        </is>
      </c>
      <c r="V5791" t="n">
        <v/>
      </c>
      <c r="W5791" t="n">
        <v/>
      </c>
    </row>
    <row r="5792">
      <c r="A5792" t="inlineStr">
        <is>
          <t>03/03/2026 7:23:01</t>
        </is>
      </c>
      <c r="B5792" t="inlineStr">
        <is>
          <t>Nguyễn Quang Anh Tuấn</t>
        </is>
      </c>
      <c r="C5792" t="inlineStr">
        <is>
          <t>02/03/2026</t>
        </is>
      </c>
      <c r="D5792" t="n">
        <v>1</v>
      </c>
      <c r="E5792" t="n">
        <v>0</v>
      </c>
      <c r="F5792" t="n">
        <v>1</v>
      </c>
      <c r="G5792" t="n">
        <v>0</v>
      </c>
      <c r="H5792" t="n">
        <v>1</v>
      </c>
      <c r="I5792" t="n">
        <v>0</v>
      </c>
      <c r="J5792" t="n">
        <v>0</v>
      </c>
      <c r="K5792" t="n">
        <v>6</v>
      </c>
      <c r="L5792" t="n">
        <v>0</v>
      </c>
      <c r="M5792" t="n">
        <v>2</v>
      </c>
      <c r="N5792" t="n">
        <v>0</v>
      </c>
      <c r="O5792" t="n">
        <v>0</v>
      </c>
      <c r="P5792" t="n">
        <v>0</v>
      </c>
      <c r="Q5792" t="n">
        <v>2</v>
      </c>
      <c r="R5792" t="n">
        <v>0</v>
      </c>
      <c r="S5792" t="n">
        <v/>
      </c>
      <c r="T5792" t="inlineStr">
        <is>
          <t>2</t>
        </is>
      </c>
      <c r="U5792" t="inlineStr">
        <is>
          <t>3</t>
        </is>
      </c>
      <c r="V5792" t="n">
        <v/>
      </c>
      <c r="W5792" t="n">
        <v/>
      </c>
    </row>
    <row r="5793">
      <c r="A5793" t="inlineStr">
        <is>
          <t>03/03/2026 7:58:13</t>
        </is>
      </c>
      <c r="B5793" t="inlineStr">
        <is>
          <t>Huỳnh Văn Lực</t>
        </is>
      </c>
      <c r="C5793" t="inlineStr">
        <is>
          <t>02/03/2026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2</v>
      </c>
      <c r="M5793" t="n">
        <v>0</v>
      </c>
      <c r="N5793" t="n">
        <v>0</v>
      </c>
      <c r="O5793" t="n">
        <v>0</v>
      </c>
      <c r="P5793" t="n">
        <v>1</v>
      </c>
      <c r="Q5793" t="n">
        <v>1</v>
      </c>
      <c r="R5793" t="n">
        <v>0</v>
      </c>
      <c r="S5793" t="n">
        <v/>
      </c>
      <c r="T5793" t="inlineStr">
        <is>
          <t>2</t>
        </is>
      </c>
      <c r="U5793" t="inlineStr">
        <is>
          <t>3</t>
        </is>
      </c>
      <c r="V5793" t="n">
        <v/>
      </c>
      <c r="W5793" t="n">
        <v/>
      </c>
    </row>
    <row r="5794">
      <c r="A5794" t="inlineStr">
        <is>
          <t>04/03/2026 6:59:34</t>
        </is>
      </c>
      <c r="B5794" t="inlineStr">
        <is>
          <t>Trần Trung Giang</t>
        </is>
      </c>
      <c r="C5794" t="inlineStr">
        <is>
          <t>03/03/2026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6</v>
      </c>
      <c r="L5794" t="n">
        <v>0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/>
      </c>
      <c r="T5794" t="inlineStr">
        <is>
          <t>3</t>
        </is>
      </c>
      <c r="U5794" t="inlineStr">
        <is>
          <t>3</t>
        </is>
      </c>
      <c r="V5794" t="n">
        <v/>
      </c>
      <c r="W5794" t="n">
        <v/>
      </c>
    </row>
    <row r="5795">
      <c r="A5795" t="inlineStr">
        <is>
          <t>04/03/2026 7:05:03</t>
        </is>
      </c>
      <c r="B5795" t="inlineStr">
        <is>
          <t>Nguyễn Văn Hiệp</t>
        </is>
      </c>
      <c r="C5795" t="inlineStr">
        <is>
          <t>03/03/2026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/>
      </c>
      <c r="T5795" t="inlineStr">
        <is>
          <t>3</t>
        </is>
      </c>
      <c r="U5795" t="inlineStr">
        <is>
          <t>3</t>
        </is>
      </c>
      <c r="V5795" t="n">
        <v/>
      </c>
      <c r="W5795" t="n">
        <v/>
      </c>
    </row>
    <row r="5796">
      <c r="A5796" t="inlineStr">
        <is>
          <t>04/03/2026 7:07:56</t>
        </is>
      </c>
      <c r="B5796" t="inlineStr">
        <is>
          <t>Nguyễn Quang Anh Tuấn</t>
        </is>
      </c>
      <c r="C5796" t="inlineStr">
        <is>
          <t>03/03/2026</t>
        </is>
      </c>
      <c r="D5796" t="n">
        <v>1</v>
      </c>
      <c r="E5796" t="n">
        <v>1</v>
      </c>
      <c r="F5796" t="n">
        <v>1</v>
      </c>
      <c r="G5796" t="n">
        <v>0</v>
      </c>
      <c r="H5796" t="n">
        <v>0</v>
      </c>
      <c r="I5796" t="n">
        <v>0</v>
      </c>
      <c r="J5796" t="n">
        <v>0</v>
      </c>
      <c r="K5796" t="n">
        <v>2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/>
      </c>
      <c r="T5796" t="inlineStr">
        <is>
          <t>3</t>
        </is>
      </c>
      <c r="U5796" t="inlineStr">
        <is>
          <t>3</t>
        </is>
      </c>
      <c r="V5796" t="n">
        <v/>
      </c>
      <c r="W5796" t="n">
        <v/>
      </c>
    </row>
    <row r="5797">
      <c r="A5797" t="inlineStr">
        <is>
          <t>04/03/2026 7:14:55</t>
        </is>
      </c>
      <c r="B5797" t="inlineStr">
        <is>
          <t>Đặng Hoài Anh</t>
        </is>
      </c>
      <c r="C5797" t="inlineStr">
        <is>
          <t>03/03/2026</t>
        </is>
      </c>
      <c r="D5797" t="n">
        <v>1</v>
      </c>
      <c r="E5797" t="n">
        <v>1</v>
      </c>
      <c r="F5797" t="n">
        <v>1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/>
      </c>
      <c r="T5797" t="inlineStr">
        <is>
          <t>3</t>
        </is>
      </c>
      <c r="U5797" t="inlineStr">
        <is>
          <t>3</t>
        </is>
      </c>
      <c r="V5797" t="n">
        <v/>
      </c>
      <c r="W5797" t="n">
        <v/>
      </c>
    </row>
    <row r="5798">
      <c r="A5798" t="inlineStr">
        <is>
          <t>04/03/2026 7:24:47</t>
        </is>
      </c>
      <c r="B5798" t="inlineStr">
        <is>
          <t>Nguyễn Tuấn Anh</t>
        </is>
      </c>
      <c r="C5798" t="inlineStr">
        <is>
          <t>03/03/2026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</v>
      </c>
      <c r="J5798" t="n">
        <v>0</v>
      </c>
      <c r="K5798" t="n">
        <v>3</v>
      </c>
      <c r="L5798" t="n">
        <v>0</v>
      </c>
      <c r="M5798" t="n">
        <v>0</v>
      </c>
      <c r="N5798" t="n">
        <v>0</v>
      </c>
      <c r="O5798" t="n">
        <v>0</v>
      </c>
      <c r="P5798" t="n">
        <v>2</v>
      </c>
      <c r="Q5798" t="n">
        <v>2</v>
      </c>
      <c r="R5798" t="n">
        <v>0</v>
      </c>
      <c r="S5798" t="n">
        <v/>
      </c>
      <c r="T5798" t="inlineStr">
        <is>
          <t>3</t>
        </is>
      </c>
      <c r="U5798" t="inlineStr">
        <is>
          <t>3</t>
        </is>
      </c>
      <c r="V5798" t="n">
        <v/>
      </c>
      <c r="W5798" t="n">
        <v/>
      </c>
    </row>
    <row r="5799">
      <c r="A5799" t="inlineStr">
        <is>
          <t>04/03/2026 7:35:08</t>
        </is>
      </c>
      <c r="B5799" t="inlineStr">
        <is>
          <t>Huỳnh Văn Lực</t>
        </is>
      </c>
      <c r="C5799" t="inlineStr">
        <is>
          <t>03/03/2026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2</v>
      </c>
      <c r="L5799" t="n">
        <v>2</v>
      </c>
      <c r="M5799" t="n">
        <v>0</v>
      </c>
      <c r="N5799" t="n">
        <v>0</v>
      </c>
      <c r="O5799" t="n">
        <v>0</v>
      </c>
      <c r="P5799" t="n">
        <v>1</v>
      </c>
      <c r="Q5799" t="n">
        <v>1</v>
      </c>
      <c r="R5799" t="n">
        <v>0</v>
      </c>
      <c r="S5799" t="n">
        <v/>
      </c>
      <c r="T5799" t="inlineStr">
        <is>
          <t>3</t>
        </is>
      </c>
      <c r="U5799" t="inlineStr">
        <is>
          <t>3</t>
        </is>
      </c>
      <c r="V5799" t="n">
        <v/>
      </c>
      <c r="W5799" t="n">
        <v/>
      </c>
    </row>
    <row r="5800">
      <c r="A5800" t="inlineStr">
        <is>
          <t>05/03/2026 6:43:52</t>
        </is>
      </c>
      <c r="B5800" t="inlineStr">
        <is>
          <t>Trần Trung Giang</t>
        </is>
      </c>
      <c r="C5800" t="inlineStr">
        <is>
          <t>04/03/2026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10</v>
      </c>
      <c r="L5800" t="n">
        <v>0</v>
      </c>
      <c r="M5800" t="n">
        <v>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/>
      </c>
      <c r="T5800" t="inlineStr">
        <is>
          <t>4</t>
        </is>
      </c>
      <c r="U5800" t="inlineStr">
        <is>
          <t>3</t>
        </is>
      </c>
      <c r="V5800" t="n">
        <v/>
      </c>
      <c r="W5800" t="n">
        <v/>
      </c>
    </row>
    <row r="5801">
      <c r="A5801" t="inlineStr">
        <is>
          <t>05/03/2026 6:48:33</t>
        </is>
      </c>
      <c r="B5801" t="inlineStr">
        <is>
          <t>Huỳnh Văn Lực</t>
        </is>
      </c>
      <c r="C5801" t="inlineStr">
        <is>
          <t>04/03/2026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4</v>
      </c>
      <c r="L5801" t="n">
        <v>0</v>
      </c>
      <c r="M5801" t="n">
        <v>0</v>
      </c>
      <c r="N5801" t="n">
        <v>0</v>
      </c>
      <c r="O5801" t="n">
        <v>0</v>
      </c>
      <c r="P5801" t="n">
        <v>3</v>
      </c>
      <c r="Q5801" t="n">
        <v>0</v>
      </c>
      <c r="R5801" t="n">
        <v>0</v>
      </c>
      <c r="S5801" t="n">
        <v/>
      </c>
      <c r="T5801" t="inlineStr">
        <is>
          <t>4</t>
        </is>
      </c>
      <c r="U5801" t="inlineStr">
        <is>
          <t>3</t>
        </is>
      </c>
      <c r="V5801" t="n">
        <v/>
      </c>
      <c r="W5801" t="n">
        <v/>
      </c>
    </row>
    <row r="5802">
      <c r="A5802" t="inlineStr">
        <is>
          <t>05/03/2026 7:00:00</t>
        </is>
      </c>
      <c r="B5802" t="inlineStr">
        <is>
          <t>Nguyễn Quang Anh Tuấn</t>
        </is>
      </c>
      <c r="C5802" t="inlineStr">
        <is>
          <t>04/03/2026</t>
        </is>
      </c>
      <c r="D5802" t="n">
        <v>1</v>
      </c>
      <c r="E5802" t="n">
        <v>1</v>
      </c>
      <c r="F5802" t="n">
        <v>1</v>
      </c>
      <c r="G5802" t="n">
        <v>0</v>
      </c>
      <c r="H5802" t="n">
        <v>0</v>
      </c>
      <c r="I5802" t="n">
        <v>0</v>
      </c>
      <c r="J5802" t="n">
        <v>0</v>
      </c>
      <c r="K5802" t="n">
        <v>1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/>
      </c>
      <c r="T5802" t="inlineStr">
        <is>
          <t>4</t>
        </is>
      </c>
      <c r="U5802" t="inlineStr">
        <is>
          <t>3</t>
        </is>
      </c>
      <c r="V5802" t="n">
        <v/>
      </c>
      <c r="W5802" t="n">
        <v/>
      </c>
    </row>
    <row r="5803">
      <c r="A5803" t="inlineStr">
        <is>
          <t>05/03/2026 7:10:00</t>
        </is>
      </c>
      <c r="B5803" t="inlineStr">
        <is>
          <t>Nguyễn Tuấn Anh</t>
        </is>
      </c>
      <c r="C5803" t="inlineStr">
        <is>
          <t>04/03/2026</t>
        </is>
      </c>
      <c r="D5803" t="n">
        <v>1</v>
      </c>
      <c r="E5803" t="n">
        <v>1</v>
      </c>
      <c r="F5803" t="n">
        <v>1</v>
      </c>
      <c r="G5803" t="n">
        <v>0</v>
      </c>
      <c r="H5803" t="n">
        <v>0</v>
      </c>
      <c r="I5803" t="n">
        <v>0</v>
      </c>
      <c r="J5803" t="n">
        <v>0</v>
      </c>
      <c r="K5803" t="n">
        <v>1</v>
      </c>
      <c r="L5803" t="n">
        <v>2</v>
      </c>
      <c r="M5803" t="n">
        <v>0</v>
      </c>
      <c r="N5803" t="n">
        <v>0</v>
      </c>
      <c r="O5803" t="n">
        <v>0</v>
      </c>
      <c r="P5803" t="n">
        <v>2</v>
      </c>
      <c r="Q5803" t="n">
        <v>2</v>
      </c>
      <c r="R5803" t="n">
        <v>0</v>
      </c>
      <c r="S5803" t="n">
        <v/>
      </c>
      <c r="T5803" t="inlineStr">
        <is>
          <t>4</t>
        </is>
      </c>
      <c r="U5803" t="inlineStr">
        <is>
          <t>3</t>
        </is>
      </c>
      <c r="V5803" t="n">
        <v/>
      </c>
      <c r="W5803" t="n">
        <v/>
      </c>
    </row>
    <row r="5804">
      <c r="A5804" t="inlineStr">
        <is>
          <t>05/03/2026 7:11:22</t>
        </is>
      </c>
      <c r="B5804" t="inlineStr">
        <is>
          <t>Nguyễn Văn Hiệp</t>
        </is>
      </c>
      <c r="C5804" t="inlineStr">
        <is>
          <t>04/03/2026</t>
        </is>
      </c>
      <c r="D5804" t="n">
        <v>1</v>
      </c>
      <c r="E5804" t="n">
        <v>1</v>
      </c>
      <c r="F5804" t="n">
        <v>2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9</v>
      </c>
      <c r="O5804" t="n">
        <v>0</v>
      </c>
      <c r="P5804" t="n">
        <v>0</v>
      </c>
      <c r="Q5804" t="n">
        <v>1</v>
      </c>
      <c r="R5804" t="n">
        <v>0</v>
      </c>
      <c r="S5804" t="n">
        <v/>
      </c>
      <c r="T5804" t="inlineStr">
        <is>
          <t>4</t>
        </is>
      </c>
      <c r="U5804" t="inlineStr">
        <is>
          <t>3</t>
        </is>
      </c>
      <c r="V5804" t="n">
        <v/>
      </c>
      <c r="W5804" t="n">
        <v/>
      </c>
    </row>
    <row r="5805">
      <c r="A5805" t="inlineStr">
        <is>
          <t>05/03/2026 7:15:10</t>
        </is>
      </c>
      <c r="B5805" t="inlineStr">
        <is>
          <t>Đặng Hoài Anh</t>
        </is>
      </c>
      <c r="C5805" t="inlineStr">
        <is>
          <t>04/03/2026</t>
        </is>
      </c>
      <c r="D5805" t="n">
        <v>2</v>
      </c>
      <c r="E5805" t="n">
        <v>2</v>
      </c>
      <c r="F5805" t="n">
        <v>2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4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/>
      </c>
      <c r="T5805" t="inlineStr">
        <is>
          <t>4</t>
        </is>
      </c>
      <c r="U5805" t="inlineStr">
        <is>
          <t>3</t>
        </is>
      </c>
      <c r="V5805" t="n">
        <v/>
      </c>
      <c r="W5805" t="n">
        <v/>
      </c>
    </row>
    <row r="5806">
      <c r="A5806" t="inlineStr">
        <is>
          <t>06/03/2026 6:53:13</t>
        </is>
      </c>
      <c r="B5806" t="inlineStr">
        <is>
          <t>Nguyễn Quang Anh Tuấn</t>
        </is>
      </c>
      <c r="C5806" t="inlineStr">
        <is>
          <t>05/03/2026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6</v>
      </c>
      <c r="L5806" t="n">
        <v>0</v>
      </c>
      <c r="M5806" t="n">
        <v>1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/>
      </c>
      <c r="T5806" t="inlineStr">
        <is>
          <t>5</t>
        </is>
      </c>
      <c r="U5806" t="inlineStr">
        <is>
          <t>3</t>
        </is>
      </c>
      <c r="V5806" t="n">
        <v/>
      </c>
      <c r="W5806" t="n">
        <v/>
      </c>
    </row>
    <row r="5807">
      <c r="A5807" t="inlineStr">
        <is>
          <t>06/03/2026 7:13:39</t>
        </is>
      </c>
      <c r="B5807" t="inlineStr">
        <is>
          <t>Nguyễn Tuấn Anh</t>
        </is>
      </c>
      <c r="C5807" t="inlineStr">
        <is>
          <t>05/03/2026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</v>
      </c>
      <c r="J5807" t="n">
        <v>0</v>
      </c>
      <c r="K5807" t="n">
        <v>2</v>
      </c>
      <c r="L5807" t="n">
        <v>0</v>
      </c>
      <c r="M5807" t="n">
        <v>0</v>
      </c>
      <c r="N5807" t="n">
        <v>0</v>
      </c>
      <c r="O5807" t="n">
        <v>0</v>
      </c>
      <c r="P5807" t="n">
        <v>1</v>
      </c>
      <c r="Q5807" t="n">
        <v>2</v>
      </c>
      <c r="R5807" t="n">
        <v>0</v>
      </c>
      <c r="S5807" t="n">
        <v/>
      </c>
      <c r="T5807" t="inlineStr">
        <is>
          <t>5</t>
        </is>
      </c>
      <c r="U5807" t="inlineStr">
        <is>
          <t>3</t>
        </is>
      </c>
      <c r="V5807" t="n">
        <v/>
      </c>
      <c r="W5807" t="n">
        <v/>
      </c>
    </row>
    <row r="5808">
      <c r="A5808" t="inlineStr">
        <is>
          <t>06/03/2026 7:33:06</t>
        </is>
      </c>
      <c r="B5808" t="inlineStr">
        <is>
          <t>Trần Trung Giang</t>
        </is>
      </c>
      <c r="C5808" t="inlineStr">
        <is>
          <t>05/03/2026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2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/>
      </c>
      <c r="T5808" t="inlineStr">
        <is>
          <t>5</t>
        </is>
      </c>
      <c r="U5808" t="inlineStr">
        <is>
          <t>3</t>
        </is>
      </c>
      <c r="V5808" t="n">
        <v/>
      </c>
      <c r="W5808" t="n">
        <v/>
      </c>
    </row>
    <row r="5809">
      <c r="A5809" t="inlineStr">
        <is>
          <t>06/03/2026 7:38:06</t>
        </is>
      </c>
      <c r="B5809" t="inlineStr">
        <is>
          <t>Nguyễn Văn Hiệp</t>
        </is>
      </c>
      <c r="C5809" t="inlineStr">
        <is>
          <t>05/03/2026</t>
        </is>
      </c>
      <c r="D5809" t="n">
        <v>1</v>
      </c>
      <c r="E5809" t="n">
        <v>1</v>
      </c>
      <c r="F5809" t="n">
        <v>2</v>
      </c>
      <c r="G5809" t="n">
        <v>0</v>
      </c>
      <c r="H5809" t="n">
        <v>0</v>
      </c>
      <c r="I5809" t="n">
        <v>0</v>
      </c>
      <c r="J5809" t="n">
        <v>0</v>
      </c>
      <c r="K5809" t="n">
        <v>1</v>
      </c>
      <c r="L5809" t="n">
        <v>1</v>
      </c>
      <c r="M5809" t="n">
        <v>0</v>
      </c>
      <c r="N5809" t="n">
        <v>1</v>
      </c>
      <c r="O5809" t="n">
        <v>0</v>
      </c>
      <c r="P5809" t="n">
        <v>0</v>
      </c>
      <c r="Q5809" t="n">
        <v>0</v>
      </c>
      <c r="R5809" t="n">
        <v>0</v>
      </c>
      <c r="S5809" t="n">
        <v/>
      </c>
      <c r="T5809" t="inlineStr">
        <is>
          <t>5</t>
        </is>
      </c>
      <c r="U5809" t="inlineStr">
        <is>
          <t>3</t>
        </is>
      </c>
      <c r="V5809" t="n">
        <v/>
      </c>
      <c r="W5809" t="n">
        <v/>
      </c>
    </row>
    <row r="5810">
      <c r="A5810" t="inlineStr">
        <is>
          <t>06/03/2026 8:14:24</t>
        </is>
      </c>
      <c r="B5810" t="inlineStr">
        <is>
          <t>Đặng Hoài Anh</t>
        </is>
      </c>
      <c r="C5810" t="inlineStr">
        <is>
          <t>05/03/2026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/>
      </c>
      <c r="T5810" t="inlineStr">
        <is>
          <t>5</t>
        </is>
      </c>
      <c r="U5810" t="inlineStr">
        <is>
          <t>3</t>
        </is>
      </c>
      <c r="V5810" t="n">
        <v/>
      </c>
      <c r="W5810" t="n">
        <v/>
      </c>
    </row>
    <row r="5811">
      <c r="A5811" t="inlineStr">
        <is>
          <t>07/03/2026 7:06:53</t>
        </is>
      </c>
      <c r="B5811" t="inlineStr">
        <is>
          <t>Đặng Hoài Anh</t>
        </is>
      </c>
      <c r="C5811" t="inlineStr">
        <is>
          <t>06/03/2026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n">
        <v>1</v>
      </c>
      <c r="Q5811" t="n">
        <v>1</v>
      </c>
      <c r="R5811" t="n">
        <v>0</v>
      </c>
      <c r="S5811" t="n">
        <v/>
      </c>
      <c r="T5811" t="inlineStr">
        <is>
          <t>6</t>
        </is>
      </c>
      <c r="U5811" t="inlineStr">
        <is>
          <t>3</t>
        </is>
      </c>
      <c r="V5811" t="n">
        <v/>
      </c>
      <c r="W5811" t="n">
        <v/>
      </c>
    </row>
    <row r="5812">
      <c r="A5812" t="inlineStr">
        <is>
          <t>07/03/2026 7:08:48</t>
        </is>
      </c>
      <c r="B5812" t="inlineStr">
        <is>
          <t>Nguyễn Tuấn Anh</t>
        </is>
      </c>
      <c r="C5812" t="inlineStr">
        <is>
          <t>06/03/2026</t>
        </is>
      </c>
      <c r="D5812" t="n">
        <v>3</v>
      </c>
      <c r="E5812" t="n">
        <v>0</v>
      </c>
      <c r="F5812" t="n">
        <v>0</v>
      </c>
      <c r="G5812" t="n">
        <v>1</v>
      </c>
      <c r="H5812" t="n">
        <v>1</v>
      </c>
      <c r="I5812" t="n">
        <v>2</v>
      </c>
      <c r="J5812" t="n">
        <v>0</v>
      </c>
      <c r="K5812" t="n">
        <v>6</v>
      </c>
      <c r="L5812" t="n">
        <v>0</v>
      </c>
      <c r="M5812" t="n">
        <v>0</v>
      </c>
      <c r="N5812" t="n">
        <v>1</v>
      </c>
      <c r="O5812" t="n">
        <v>0</v>
      </c>
      <c r="P5812" t="n">
        <v>1</v>
      </c>
      <c r="Q5812" t="n">
        <v>2</v>
      </c>
      <c r="R5812" t="n">
        <v>0</v>
      </c>
      <c r="S5812" t="n">
        <v/>
      </c>
      <c r="T5812" t="inlineStr">
        <is>
          <t>6</t>
        </is>
      </c>
      <c r="U5812" t="inlineStr">
        <is>
          <t>3</t>
        </is>
      </c>
      <c r="V5812" t="n">
        <v/>
      </c>
      <c r="W5812" t="n">
        <v/>
      </c>
    </row>
    <row r="5813">
      <c r="A5813" t="inlineStr">
        <is>
          <t>07/03/2026 7:10:52</t>
        </is>
      </c>
      <c r="B5813" t="inlineStr">
        <is>
          <t>Nguyễn Quang Anh Tuấn</t>
        </is>
      </c>
      <c r="C5813" t="inlineStr">
        <is>
          <t>06/03/2026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/>
      </c>
      <c r="T5813" t="inlineStr">
        <is>
          <t>6</t>
        </is>
      </c>
      <c r="U5813" t="inlineStr">
        <is>
          <t>3</t>
        </is>
      </c>
      <c r="V5813" t="n">
        <v/>
      </c>
      <c r="W5813" t="n">
        <v/>
      </c>
    </row>
    <row r="5814">
      <c r="A5814" t="inlineStr">
        <is>
          <t>07/03/2026 7:23:13</t>
        </is>
      </c>
      <c r="B5814" t="inlineStr">
        <is>
          <t>Nguyễn Văn Hiệp</t>
        </is>
      </c>
      <c r="C5814" t="inlineStr">
        <is>
          <t>06/03/2026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9</v>
      </c>
      <c r="P5814" t="n">
        <v>0</v>
      </c>
      <c r="Q5814" t="n">
        <v>1</v>
      </c>
      <c r="R5814" t="n">
        <v>1</v>
      </c>
      <c r="S5814" t="n">
        <v/>
      </c>
      <c r="T5814" t="inlineStr">
        <is>
          <t>6</t>
        </is>
      </c>
      <c r="U5814" t="inlineStr">
        <is>
          <t>3</t>
        </is>
      </c>
      <c r="V5814" t="n">
        <v/>
      </c>
      <c r="W5814" t="n">
        <v/>
      </c>
    </row>
    <row r="5815">
      <c r="A5815" t="inlineStr">
        <is>
          <t>07/03/2026 7:33:11</t>
        </is>
      </c>
      <c r="B5815" t="inlineStr">
        <is>
          <t>Trần Trung Giang</t>
        </is>
      </c>
      <c r="C5815" t="inlineStr">
        <is>
          <t>06/03/2026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11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/>
      </c>
      <c r="T5815" t="inlineStr">
        <is>
          <t>6</t>
        </is>
      </c>
      <c r="U5815" t="inlineStr">
        <is>
          <t>3</t>
        </is>
      </c>
      <c r="V5815" t="n">
        <v/>
      </c>
      <c r="W5815" t="n">
        <v/>
      </c>
    </row>
    <row r="5816">
      <c r="A5816" t="inlineStr">
        <is>
          <t>07/03/2026 7:47:09</t>
        </is>
      </c>
      <c r="B5816" t="inlineStr">
        <is>
          <t>Huỳnh Văn Lực</t>
        </is>
      </c>
      <c r="C5816" t="inlineStr">
        <is>
          <t>06/03/2026</t>
        </is>
      </c>
      <c r="D5816" t="n">
        <v>0</v>
      </c>
      <c r="E5816" t="n">
        <v>0</v>
      </c>
      <c r="F5816" t="n">
        <v>0</v>
      </c>
      <c r="G5816" t="n">
        <v>1</v>
      </c>
      <c r="H5816" t="n">
        <v>0</v>
      </c>
      <c r="I5816" t="n">
        <v>0</v>
      </c>
      <c r="J5816" t="n">
        <v>0</v>
      </c>
      <c r="K5816" t="n">
        <v>4</v>
      </c>
      <c r="L5816" t="n">
        <v>0</v>
      </c>
      <c r="M5816" t="n">
        <v>0</v>
      </c>
      <c r="N5816" t="n">
        <v>0</v>
      </c>
      <c r="O5816" t="n">
        <v>0</v>
      </c>
      <c r="P5816" t="n">
        <v>1</v>
      </c>
      <c r="Q5816" t="n">
        <v>1</v>
      </c>
      <c r="R5816" t="n">
        <v>0</v>
      </c>
      <c r="S5816" t="n">
        <v/>
      </c>
      <c r="T5816" t="inlineStr">
        <is>
          <t>6</t>
        </is>
      </c>
      <c r="U5816" t="inlineStr">
        <is>
          <t>3</t>
        </is>
      </c>
      <c r="V5816" t="n">
        <v/>
      </c>
      <c r="W5816" t="n">
        <v/>
      </c>
    </row>
    <row r="5817">
      <c r="A5817" t="inlineStr">
        <is>
          <t>08/03/2026 7:10:57</t>
        </is>
      </c>
      <c r="B5817" t="inlineStr">
        <is>
          <t>Nguyễn Văn Hiệp</t>
        </is>
      </c>
      <c r="C5817" t="inlineStr">
        <is>
          <t>07/03/2026</t>
        </is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  <c r="I5817" t="n">
        <v>0</v>
      </c>
      <c r="J5817" t="n">
        <v>0</v>
      </c>
      <c r="K5817" t="n">
        <v>6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/>
      </c>
      <c r="T5817" t="inlineStr">
        <is>
          <t>7</t>
        </is>
      </c>
      <c r="U5817" t="inlineStr">
        <is>
          <t>3</t>
        </is>
      </c>
      <c r="V5817" t="n">
        <v/>
      </c>
      <c r="W5817" t="n">
        <v/>
      </c>
    </row>
    <row r="5818">
      <c r="A5818" t="inlineStr">
        <is>
          <t>08/03/2026 7:17:44</t>
        </is>
      </c>
      <c r="B5818" t="inlineStr">
        <is>
          <t>Nguyễn Tuấn Anh</t>
        </is>
      </c>
      <c r="C5818" t="inlineStr">
        <is>
          <t>07/03/2026</t>
        </is>
      </c>
      <c r="D5818" t="n">
        <v>1</v>
      </c>
      <c r="E5818" t="n">
        <v>1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4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2</v>
      </c>
      <c r="R5818" t="n">
        <v>0</v>
      </c>
      <c r="S5818" t="n">
        <v/>
      </c>
      <c r="T5818" t="inlineStr">
        <is>
          <t>7</t>
        </is>
      </c>
      <c r="U5818" t="inlineStr">
        <is>
          <t>3</t>
        </is>
      </c>
      <c r="V5818" t="n">
        <v/>
      </c>
      <c r="W5818" t="n">
        <v/>
      </c>
    </row>
    <row r="5819">
      <c r="A5819" t="inlineStr">
        <is>
          <t>08/03/2026 7:24:10</t>
        </is>
      </c>
      <c r="B5819" t="inlineStr">
        <is>
          <t>Trần Trung Giang</t>
        </is>
      </c>
      <c r="C5819" t="inlineStr">
        <is>
          <t>07/03/2026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4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/>
      </c>
      <c r="T5819" t="inlineStr">
        <is>
          <t>7</t>
        </is>
      </c>
      <c r="U5819" t="inlineStr">
        <is>
          <t>3</t>
        </is>
      </c>
      <c r="V5819" t="n">
        <v/>
      </c>
      <c r="W5819" t="n">
        <v/>
      </c>
    </row>
    <row r="5820">
      <c r="A5820" t="inlineStr">
        <is>
          <t>08/03/2026 7:55:02</t>
        </is>
      </c>
      <c r="B5820" t="inlineStr">
        <is>
          <t>Đặng Hoài Anh</t>
        </is>
      </c>
      <c r="C5820" t="inlineStr">
        <is>
          <t>07/03/2026</t>
        </is>
      </c>
      <c r="D5820" t="n">
        <v>0</v>
      </c>
      <c r="E5820" t="n">
        <v>0</v>
      </c>
      <c r="F5820" t="n">
        <v>1</v>
      </c>
      <c r="G5820" t="n">
        <v>0</v>
      </c>
      <c r="H5820" t="n">
        <v>0</v>
      </c>
      <c r="I5820" t="n">
        <v>0</v>
      </c>
      <c r="J5820" t="n">
        <v>0</v>
      </c>
      <c r="K5820" t="n">
        <v>1</v>
      </c>
      <c r="L5820" t="n">
        <v>0</v>
      </c>
      <c r="M5820" t="n">
        <v>1</v>
      </c>
      <c r="N5820" t="n">
        <v>0</v>
      </c>
      <c r="O5820" t="n">
        <v>0</v>
      </c>
      <c r="P5820" t="n">
        <v>1</v>
      </c>
      <c r="Q5820" t="n">
        <v>0</v>
      </c>
      <c r="R5820" t="n">
        <v>0</v>
      </c>
      <c r="S5820" t="n">
        <v/>
      </c>
      <c r="T5820" t="inlineStr">
        <is>
          <t>7</t>
        </is>
      </c>
      <c r="U5820" t="inlineStr">
        <is>
          <t>3</t>
        </is>
      </c>
      <c r="V5820" t="n">
        <v/>
      </c>
      <c r="W5820" t="n">
        <v/>
      </c>
    </row>
    <row r="5821">
      <c r="A5821" t="inlineStr">
        <is>
          <t>09/03/2026 7:05:48</t>
        </is>
      </c>
      <c r="B5821" t="inlineStr">
        <is>
          <t>Nguyễn Văn Hiệp</t>
        </is>
      </c>
      <c r="C5821" t="inlineStr">
        <is>
          <t>08/03/2026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1</v>
      </c>
      <c r="Q5821" t="n">
        <v>0</v>
      </c>
      <c r="R5821" t="n">
        <v>0</v>
      </c>
      <c r="S5821" t="n">
        <v/>
      </c>
      <c r="T5821" t="inlineStr">
        <is>
          <t>8</t>
        </is>
      </c>
      <c r="U5821" t="inlineStr">
        <is>
          <t>3</t>
        </is>
      </c>
      <c r="V5821" t="n">
        <v/>
      </c>
      <c r="W5821" t="n">
        <v/>
      </c>
    </row>
    <row r="5822">
      <c r="A5822" t="inlineStr">
        <is>
          <t>09/03/2026 7:09:52</t>
        </is>
      </c>
      <c r="B5822" t="inlineStr">
        <is>
          <t>Nguyễn Tuấn Anh</t>
        </is>
      </c>
      <c r="C5822" t="inlineStr">
        <is>
          <t>08/03/2026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2</v>
      </c>
      <c r="J5822" t="n">
        <v>0</v>
      </c>
      <c r="K5822" t="n">
        <v>4</v>
      </c>
      <c r="L5822" t="n">
        <v>0</v>
      </c>
      <c r="M5822" t="n">
        <v>0</v>
      </c>
      <c r="N5822" t="n">
        <v>0</v>
      </c>
      <c r="O5822" t="n">
        <v>0</v>
      </c>
      <c r="P5822" t="n">
        <v>1</v>
      </c>
      <c r="Q5822" t="n">
        <v>2</v>
      </c>
      <c r="R5822" t="n">
        <v>0</v>
      </c>
      <c r="S5822" t="n">
        <v/>
      </c>
      <c r="T5822" t="inlineStr">
        <is>
          <t>8</t>
        </is>
      </c>
      <c r="U5822" t="inlineStr">
        <is>
          <t>3</t>
        </is>
      </c>
      <c r="V5822" t="n">
        <v/>
      </c>
      <c r="W5822" t="n">
        <v/>
      </c>
    </row>
    <row r="5823">
      <c r="A5823" t="inlineStr">
        <is>
          <t>09/03/2026 7:25:42</t>
        </is>
      </c>
      <c r="B5823" t="inlineStr">
        <is>
          <t>Đặng Hoài Anh</t>
        </is>
      </c>
      <c r="C5823" t="inlineStr">
        <is>
          <t>08/03/2026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2</v>
      </c>
      <c r="Q5823" t="n">
        <v>1</v>
      </c>
      <c r="R5823" t="n">
        <v>0</v>
      </c>
      <c r="S5823" t="n">
        <v/>
      </c>
      <c r="T5823" t="inlineStr">
        <is>
          <t>8</t>
        </is>
      </c>
      <c r="U5823" t="inlineStr">
        <is>
          <t>3</t>
        </is>
      </c>
      <c r="V5823" t="n">
        <v/>
      </c>
      <c r="W5823" t="n">
        <v/>
      </c>
    </row>
    <row r="5824">
      <c r="A5824" t="inlineStr">
        <is>
          <t>09/03/2026 7:38:00</t>
        </is>
      </c>
      <c r="B5824" t="inlineStr">
        <is>
          <t>Trần Trung Giang</t>
        </is>
      </c>
      <c r="C5824" t="inlineStr">
        <is>
          <t>08/03/2026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2</v>
      </c>
      <c r="L5824" t="n">
        <v>0</v>
      </c>
      <c r="M5824" t="n">
        <v>0</v>
      </c>
      <c r="N5824" t="n">
        <v>0</v>
      </c>
      <c r="O5824" t="n">
        <v>0</v>
      </c>
      <c r="P5824" t="n">
        <v>2</v>
      </c>
      <c r="Q5824" t="n">
        <v>0</v>
      </c>
      <c r="R5824" t="n">
        <v>0</v>
      </c>
      <c r="S5824" t="n">
        <v/>
      </c>
      <c r="T5824" t="inlineStr">
        <is>
          <t>8</t>
        </is>
      </c>
      <c r="U5824" t="inlineStr">
        <is>
          <t>3</t>
        </is>
      </c>
      <c r="V5824" t="n">
        <v/>
      </c>
      <c r="W5824" t="n">
        <v/>
      </c>
    </row>
    <row r="5825">
      <c r="A5825" t="inlineStr">
        <is>
          <t>09/03/2026 23:04:37</t>
        </is>
      </c>
      <c r="B5825" t="inlineStr">
        <is>
          <t>Trần Minh Khánh</t>
        </is>
      </c>
      <c r="C5825" t="inlineStr">
        <is>
          <t>09/03/2026</t>
        </is>
      </c>
      <c r="D5825" t="n">
        <v>1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2</v>
      </c>
      <c r="L5825" t="n">
        <v>0</v>
      </c>
      <c r="M5825" t="n">
        <v>0</v>
      </c>
      <c r="N5825" t="n">
        <v>0</v>
      </c>
      <c r="O5825" t="n">
        <v>0</v>
      </c>
      <c r="P5825" t="n">
        <v>2</v>
      </c>
      <c r="Q5825" t="n">
        <v>4</v>
      </c>
      <c r="R5825" t="n">
        <v>0</v>
      </c>
      <c r="S5825" t="n">
        <v/>
      </c>
      <c r="T5825" t="inlineStr">
        <is>
          <t>9</t>
        </is>
      </c>
      <c r="U5825" t="inlineStr">
        <is>
          <t>3</t>
        </is>
      </c>
      <c r="V5825" t="n">
        <v/>
      </c>
      <c r="W5825" t="n">
        <v/>
      </c>
    </row>
    <row r="5826">
      <c r="A5826" t="inlineStr">
        <is>
          <t>10/03/2026 7:25:22</t>
        </is>
      </c>
      <c r="B5826" t="inlineStr">
        <is>
          <t>Nguyễn Văn Hiệp</t>
        </is>
      </c>
      <c r="C5826" t="inlineStr">
        <is>
          <t>09/03/2026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9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/>
      </c>
      <c r="T5826" t="inlineStr">
        <is>
          <t>9</t>
        </is>
      </c>
      <c r="U5826" t="inlineStr">
        <is>
          <t>3</t>
        </is>
      </c>
      <c r="V5826" t="n">
        <v/>
      </c>
      <c r="W5826" t="n">
        <v/>
      </c>
    </row>
    <row r="5827">
      <c r="A5827" t="inlineStr">
        <is>
          <t>10/03/2026 7:26:37</t>
        </is>
      </c>
      <c r="B5827" t="inlineStr">
        <is>
          <t>Trần Trung Giang</t>
        </is>
      </c>
      <c r="C5827" t="inlineStr">
        <is>
          <t>09/03/2026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2</v>
      </c>
      <c r="S5827" t="n">
        <v/>
      </c>
      <c r="T5827" t="inlineStr">
        <is>
          <t>9</t>
        </is>
      </c>
      <c r="U5827" t="inlineStr">
        <is>
          <t>3</t>
        </is>
      </c>
      <c r="V5827" t="n">
        <v/>
      </c>
      <c r="W5827" t="n">
        <v/>
      </c>
    </row>
    <row r="5828">
      <c r="A5828" t="inlineStr">
        <is>
          <t>10/03/2026 7:29:28</t>
        </is>
      </c>
      <c r="B5828" t="inlineStr">
        <is>
          <t>Nguyễn Tuấn Anh</t>
        </is>
      </c>
      <c r="C5828" t="inlineStr">
        <is>
          <t>09/03/2026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2</v>
      </c>
      <c r="J5828" t="n">
        <v>0</v>
      </c>
      <c r="K5828" t="n">
        <v>22</v>
      </c>
      <c r="L5828" t="n">
        <v>0</v>
      </c>
      <c r="M5828" t="n">
        <v>0</v>
      </c>
      <c r="N5828" t="n">
        <v>2</v>
      </c>
      <c r="O5828" t="n">
        <v>0</v>
      </c>
      <c r="P5828" t="n">
        <v>0</v>
      </c>
      <c r="Q5828" t="n">
        <v>8</v>
      </c>
      <c r="R5828" t="n">
        <v>0</v>
      </c>
      <c r="S5828" t="n">
        <v/>
      </c>
      <c r="T5828" t="inlineStr">
        <is>
          <t>9</t>
        </is>
      </c>
      <c r="U5828" t="inlineStr">
        <is>
          <t>3</t>
        </is>
      </c>
      <c r="V5828" t="n">
        <v/>
      </c>
      <c r="W5828" t="n">
        <v/>
      </c>
    </row>
    <row r="5829">
      <c r="A5829" t="inlineStr">
        <is>
          <t>10/03/2026 7:31:22</t>
        </is>
      </c>
      <c r="B5829" t="inlineStr">
        <is>
          <t>Đặng Hoài Anh</t>
        </is>
      </c>
      <c r="C5829" t="inlineStr">
        <is>
          <t>09/03/2026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2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/>
      </c>
      <c r="T5829" t="inlineStr">
        <is>
          <t>9</t>
        </is>
      </c>
      <c r="U5829" t="inlineStr">
        <is>
          <t>3</t>
        </is>
      </c>
      <c r="V5829" t="n">
        <v/>
      </c>
      <c r="W5829" t="n">
        <v/>
      </c>
    </row>
    <row r="5830">
      <c r="A5830" t="inlineStr">
        <is>
          <t>11/03/2026 7:05:39</t>
        </is>
      </c>
      <c r="B5830" t="inlineStr">
        <is>
          <t>Nguyễn Văn Hiệp</t>
        </is>
      </c>
      <c r="C5830" t="inlineStr">
        <is>
          <t>10/03/2026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6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2</v>
      </c>
      <c r="R5830" t="n">
        <v>0</v>
      </c>
      <c r="S5830" t="n">
        <v/>
      </c>
      <c r="T5830" t="inlineStr">
        <is>
          <t>10</t>
        </is>
      </c>
      <c r="U5830" t="inlineStr">
        <is>
          <t>3</t>
        </is>
      </c>
      <c r="V5830" t="n">
        <v/>
      </c>
      <c r="W5830" t="n">
        <v/>
      </c>
    </row>
    <row r="5831">
      <c r="A5831" t="inlineStr">
        <is>
          <t>11/03/2026 7:07:40</t>
        </is>
      </c>
      <c r="B5831" t="inlineStr">
        <is>
          <t>Nguyễn Tuấn Anh</t>
        </is>
      </c>
      <c r="C5831" t="inlineStr">
        <is>
          <t>11/03/2026</t>
        </is>
      </c>
      <c r="D5831" t="n">
        <v>1</v>
      </c>
      <c r="E5831" t="n">
        <v>0</v>
      </c>
      <c r="F5831" t="n">
        <v>0</v>
      </c>
      <c r="G5831" t="n">
        <v>0</v>
      </c>
      <c r="H5831" t="n">
        <v>0</v>
      </c>
      <c r="I5831" t="n">
        <v>2</v>
      </c>
      <c r="J5831" t="n">
        <v>0</v>
      </c>
      <c r="K5831" t="n">
        <v>35</v>
      </c>
      <c r="L5831" t="n">
        <v>0</v>
      </c>
      <c r="M5831" t="n">
        <v>0</v>
      </c>
      <c r="N5831" t="n">
        <v>0</v>
      </c>
      <c r="O5831" t="n">
        <v>0</v>
      </c>
      <c r="P5831" t="n">
        <v>1</v>
      </c>
      <c r="Q5831" t="n">
        <v>2</v>
      </c>
      <c r="R5831" t="n">
        <v>0</v>
      </c>
      <c r="S5831" t="n">
        <v/>
      </c>
      <c r="T5831" t="inlineStr">
        <is>
          <t>11</t>
        </is>
      </c>
      <c r="U5831" t="inlineStr">
        <is>
          <t>3</t>
        </is>
      </c>
      <c r="V5831" t="n">
        <v/>
      </c>
      <c r="W5831" t="n">
        <v/>
      </c>
    </row>
    <row r="5832">
      <c r="A5832" t="inlineStr">
        <is>
          <t>11/03/2026 7:23:46</t>
        </is>
      </c>
      <c r="B5832" t="inlineStr">
        <is>
          <t>Trần Trung Giang</t>
        </is>
      </c>
      <c r="C5832" t="inlineStr">
        <is>
          <t>10/03/2026</t>
        </is>
      </c>
      <c r="D5832" t="n">
        <v>0</v>
      </c>
      <c r="E5832" t="n">
        <v>0</v>
      </c>
      <c r="F5832" t="n">
        <v>0</v>
      </c>
      <c r="G5832" t="n">
        <v>1</v>
      </c>
      <c r="H5832" t="n">
        <v>0</v>
      </c>
      <c r="I5832" t="n">
        <v>0</v>
      </c>
      <c r="J5832" t="n">
        <v>0</v>
      </c>
      <c r="K5832" t="n">
        <v>7</v>
      </c>
      <c r="L5832" t="n">
        <v>0</v>
      </c>
      <c r="M5832" t="n">
        <v>0</v>
      </c>
      <c r="N5832" t="n">
        <v>0</v>
      </c>
      <c r="O5832" t="n">
        <v>0</v>
      </c>
      <c r="P5832" t="n">
        <v>2</v>
      </c>
      <c r="Q5832" t="n">
        <v>0</v>
      </c>
      <c r="R5832" t="n">
        <v>1</v>
      </c>
      <c r="S5832" t="n">
        <v/>
      </c>
      <c r="T5832" t="inlineStr">
        <is>
          <t>10</t>
        </is>
      </c>
      <c r="U5832" t="inlineStr">
        <is>
          <t>3</t>
        </is>
      </c>
      <c r="V5832" t="n">
        <v/>
      </c>
      <c r="W5832" t="n">
        <v/>
      </c>
    </row>
    <row r="5833">
      <c r="A5833" t="inlineStr">
        <is>
          <t>11/03/2026 8:05:06</t>
        </is>
      </c>
      <c r="B5833" t="inlineStr">
        <is>
          <t>Đặng Hoài Anh</t>
        </is>
      </c>
      <c r="C5833" t="inlineStr">
        <is>
          <t>10/03/2026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4</v>
      </c>
      <c r="L5833" t="n">
        <v>0</v>
      </c>
      <c r="M5833" t="n">
        <v>0</v>
      </c>
      <c r="N5833" t="n">
        <v>0</v>
      </c>
      <c r="O5833" t="n">
        <v>0</v>
      </c>
      <c r="P5833" t="n">
        <v>1</v>
      </c>
      <c r="Q5833" t="n">
        <v>1</v>
      </c>
      <c r="R5833" t="n">
        <v>0</v>
      </c>
      <c r="S5833" t="n">
        <v/>
      </c>
      <c r="T5833" t="inlineStr">
        <is>
          <t>10</t>
        </is>
      </c>
      <c r="U5833" t="inlineStr">
        <is>
          <t>3</t>
        </is>
      </c>
      <c r="V5833" t="n">
        <v/>
      </c>
      <c r="W5833" t="n">
        <v/>
      </c>
    </row>
    <row r="5834">
      <c r="A5834" t="inlineStr">
        <is>
          <t>12/03/2026 6:26:23</t>
        </is>
      </c>
      <c r="B5834" t="inlineStr">
        <is>
          <t>Nguyễn Văn Hiệp</t>
        </is>
      </c>
      <c r="C5834" t="inlineStr">
        <is>
          <t>11/03/2026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6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/>
      </c>
      <c r="T5834" t="inlineStr">
        <is>
          <t>11</t>
        </is>
      </c>
      <c r="U5834" t="inlineStr">
        <is>
          <t>3</t>
        </is>
      </c>
      <c r="V5834" t="n">
        <v/>
      </c>
      <c r="W5834" t="n">
        <v/>
      </c>
    </row>
    <row r="5835">
      <c r="A5835" t="inlineStr">
        <is>
          <t>12/03/2026 7:05:41</t>
        </is>
      </c>
      <c r="B5835" t="inlineStr">
        <is>
          <t>Nguyễn Tuấn Anh</t>
        </is>
      </c>
      <c r="C5835" t="inlineStr">
        <is>
          <t>11/03/2026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2</v>
      </c>
      <c r="J5835" t="n">
        <v>0</v>
      </c>
      <c r="K5835" t="n">
        <v>48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2</v>
      </c>
      <c r="R5835" t="n">
        <v>0</v>
      </c>
      <c r="S5835" t="n">
        <v/>
      </c>
      <c r="T5835" t="inlineStr">
        <is>
          <t>11</t>
        </is>
      </c>
      <c r="U5835" t="inlineStr">
        <is>
          <t>3</t>
        </is>
      </c>
      <c r="V5835" t="n">
        <v/>
      </c>
      <c r="W5835" t="n">
        <v/>
      </c>
    </row>
    <row r="5836">
      <c r="A5836" t="inlineStr">
        <is>
          <t>12/03/2026 7:33:40</t>
        </is>
      </c>
      <c r="B5836" t="inlineStr">
        <is>
          <t>Trần Trung Giang</t>
        </is>
      </c>
      <c r="C5836" t="inlineStr">
        <is>
          <t>11/03/2026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2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/>
      </c>
      <c r="T5836" t="inlineStr">
        <is>
          <t>11</t>
        </is>
      </c>
      <c r="U5836" t="inlineStr">
        <is>
          <t>3</t>
        </is>
      </c>
      <c r="V5836" t="n">
        <v/>
      </c>
      <c r="W5836" t="n">
        <v/>
      </c>
    </row>
    <row r="5837">
      <c r="A5837" t="inlineStr">
        <is>
          <t>12/03/2026 7:39:33</t>
        </is>
      </c>
      <c r="B5837" t="inlineStr">
        <is>
          <t>Đặng Hoài Anh</t>
        </is>
      </c>
      <c r="C5837" t="inlineStr">
        <is>
          <t>11/03/2026</t>
        </is>
      </c>
      <c r="D5837" t="n">
        <v>1</v>
      </c>
      <c r="E5837" t="n">
        <v>1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8</v>
      </c>
      <c r="L5837" t="n">
        <v>0</v>
      </c>
      <c r="M5837" t="n">
        <v>1</v>
      </c>
      <c r="N5837" t="n">
        <v>0</v>
      </c>
      <c r="O5837" t="n">
        <v>0</v>
      </c>
      <c r="P5837" t="n">
        <v>1</v>
      </c>
      <c r="Q5837" t="n">
        <v>1</v>
      </c>
      <c r="R5837" t="n">
        <v>0</v>
      </c>
      <c r="S5837" t="n">
        <v/>
      </c>
      <c r="T5837" t="inlineStr">
        <is>
          <t>11</t>
        </is>
      </c>
      <c r="U5837" t="inlineStr">
        <is>
          <t>3</t>
        </is>
      </c>
      <c r="V5837" t="n">
        <v/>
      </c>
      <c r="W5837" t="n">
        <v/>
      </c>
    </row>
    <row r="5838">
      <c r="A5838" t="inlineStr">
        <is>
          <t>13/03/2026 6:33:51</t>
        </is>
      </c>
      <c r="B5838" t="inlineStr">
        <is>
          <t>Nguyễn Văn Hiệp</t>
        </is>
      </c>
      <c r="C5838" t="inlineStr">
        <is>
          <t>12/03/2026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2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/>
      </c>
      <c r="T5838" t="inlineStr">
        <is>
          <t>12</t>
        </is>
      </c>
      <c r="U5838" t="inlineStr">
        <is>
          <t>3</t>
        </is>
      </c>
      <c r="V5838" t="n">
        <v/>
      </c>
      <c r="W5838" t="n">
        <v/>
      </c>
    </row>
    <row r="5839">
      <c r="A5839" t="inlineStr">
        <is>
          <t>13/03/2026 7:13:47</t>
        </is>
      </c>
      <c r="B5839" t="inlineStr">
        <is>
          <t>Nguyễn Tuấn Anh</t>
        </is>
      </c>
      <c r="C5839" t="inlineStr">
        <is>
          <t>12/03/2026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2</v>
      </c>
      <c r="J5839" t="n">
        <v>0</v>
      </c>
      <c r="K5839" t="n">
        <v>15</v>
      </c>
      <c r="L5839" t="n">
        <v>0</v>
      </c>
      <c r="M5839" t="n">
        <v>0</v>
      </c>
      <c r="N5839" t="n">
        <v>0</v>
      </c>
      <c r="O5839" t="n">
        <v>0</v>
      </c>
      <c r="P5839" t="n">
        <v>1</v>
      </c>
      <c r="Q5839" t="n">
        <v>2</v>
      </c>
      <c r="R5839" t="n">
        <v>0</v>
      </c>
      <c r="S5839" t="n">
        <v/>
      </c>
      <c r="T5839" t="inlineStr">
        <is>
          <t>12</t>
        </is>
      </c>
      <c r="U5839" t="inlineStr">
        <is>
          <t>3</t>
        </is>
      </c>
      <c r="V5839" t="n">
        <v/>
      </c>
      <c r="W5839" t="n">
        <v/>
      </c>
    </row>
    <row r="5840">
      <c r="A5840" t="inlineStr">
        <is>
          <t>13/03/2026 7:46:06</t>
        </is>
      </c>
      <c r="B5840" t="inlineStr">
        <is>
          <t>Đặng Hoài Anh</t>
        </is>
      </c>
      <c r="C5840" t="inlineStr">
        <is>
          <t>12/03/2026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1</v>
      </c>
      <c r="R5840" t="n">
        <v>0</v>
      </c>
      <c r="S5840" t="n">
        <v/>
      </c>
      <c r="T5840" t="inlineStr">
        <is>
          <t>12</t>
        </is>
      </c>
      <c r="U5840" t="inlineStr">
        <is>
          <t>3</t>
        </is>
      </c>
      <c r="V5840" t="n">
        <v/>
      </c>
      <c r="W5840" t="n">
        <v/>
      </c>
    </row>
    <row r="5841">
      <c r="A5841" t="inlineStr">
        <is>
          <t>14/03/2026 7:10:00</t>
        </is>
      </c>
      <c r="B5841" t="inlineStr">
        <is>
          <t>Nguyễn Tuấn Anh</t>
        </is>
      </c>
      <c r="C5841" t="inlineStr">
        <is>
          <t>13/03/2026</t>
        </is>
      </c>
      <c r="D5841" t="n">
        <v>1</v>
      </c>
      <c r="E5841" t="n">
        <v>1</v>
      </c>
      <c r="F5841" t="n">
        <v>1</v>
      </c>
      <c r="G5841" t="n">
        <v>0</v>
      </c>
      <c r="H5841" t="n">
        <v>0</v>
      </c>
      <c r="I5841" t="n">
        <v>2</v>
      </c>
      <c r="J5841" t="n">
        <v>0</v>
      </c>
      <c r="K5841" t="n">
        <v>4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2</v>
      </c>
      <c r="R5841" t="n">
        <v>0</v>
      </c>
      <c r="S5841" t="n">
        <v/>
      </c>
      <c r="T5841" t="inlineStr">
        <is>
          <t>13</t>
        </is>
      </c>
      <c r="U5841" t="inlineStr">
        <is>
          <t>3</t>
        </is>
      </c>
      <c r="V5841" t="n">
        <v/>
      </c>
      <c r="W5841" t="n">
        <v/>
      </c>
    </row>
    <row r="5842">
      <c r="A5842" t="inlineStr">
        <is>
          <t>15/03/2026 6:58:26</t>
        </is>
      </c>
      <c r="B5842" t="inlineStr">
        <is>
          <t>Trần Trung Giang</t>
        </is>
      </c>
      <c r="C5842" t="inlineStr">
        <is>
          <t>14/03/2026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/>
      </c>
      <c r="T5842" t="inlineStr">
        <is>
          <t>14</t>
        </is>
      </c>
      <c r="U5842" t="inlineStr">
        <is>
          <t>3</t>
        </is>
      </c>
      <c r="V5842" t="n">
        <v/>
      </c>
      <c r="W5842" t="n">
        <v/>
      </c>
    </row>
    <row r="5843">
      <c r="A5843" t="inlineStr">
        <is>
          <t>15/03/2026 7:21:43</t>
        </is>
      </c>
      <c r="B5843" t="inlineStr">
        <is>
          <t>Nguyễn Tuấn Anh</t>
        </is>
      </c>
      <c r="C5843" t="inlineStr">
        <is>
          <t>14/03/2026</t>
        </is>
      </c>
      <c r="D5843" t="n">
        <v>1</v>
      </c>
      <c r="E5843" t="n">
        <v>1</v>
      </c>
      <c r="F5843" t="n">
        <v>0</v>
      </c>
      <c r="G5843" t="n">
        <v>0</v>
      </c>
      <c r="H5843" t="n">
        <v>0</v>
      </c>
      <c r="I5843" t="n">
        <v>2</v>
      </c>
      <c r="J5843" t="n">
        <v>0</v>
      </c>
      <c r="K5843" t="n">
        <v>13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6</v>
      </c>
      <c r="R5843" t="n">
        <v>0</v>
      </c>
      <c r="S5843" t="n">
        <v/>
      </c>
      <c r="T5843" t="inlineStr">
        <is>
          <t>14</t>
        </is>
      </c>
      <c r="U5843" t="inlineStr">
        <is>
          <t>3</t>
        </is>
      </c>
      <c r="V5843" t="n">
        <v/>
      </c>
      <c r="W5843" t="n">
        <v/>
      </c>
    </row>
    <row r="5844">
      <c r="A5844" t="inlineStr">
        <is>
          <t>15/03/2026 7:31:11</t>
        </is>
      </c>
      <c r="B5844" t="inlineStr">
        <is>
          <t>Nguyễn Văn Hiệp</t>
        </is>
      </c>
      <c r="C5844" t="inlineStr">
        <is>
          <t>14/03/2026</t>
        </is>
      </c>
      <c r="D5844" t="n">
        <v>0</v>
      </c>
      <c r="E5844" t="n">
        <v>1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1</v>
      </c>
      <c r="Q5844" t="n">
        <v>2</v>
      </c>
      <c r="R5844" t="n">
        <v>0</v>
      </c>
      <c r="S5844" t="n">
        <v/>
      </c>
      <c r="T5844" t="inlineStr">
        <is>
          <t>14</t>
        </is>
      </c>
      <c r="U5844" t="inlineStr">
        <is>
          <t>3</t>
        </is>
      </c>
      <c r="V5844" t="n">
        <v/>
      </c>
      <c r="W5844" t="n">
        <v/>
      </c>
    </row>
    <row r="5845">
      <c r="A5845" t="inlineStr">
        <is>
          <t>16/03/2026 7:15:50</t>
        </is>
      </c>
      <c r="B5845" t="inlineStr">
        <is>
          <t>Đặng Hoài Anh</t>
        </is>
      </c>
      <c r="C5845" t="inlineStr">
        <is>
          <t>15/03/2026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11</v>
      </c>
      <c r="L5845" t="n">
        <v>0</v>
      </c>
      <c r="M5845" t="n">
        <v>0</v>
      </c>
      <c r="N5845" t="n">
        <v>0</v>
      </c>
      <c r="O5845" t="n">
        <v>0</v>
      </c>
      <c r="P5845" t="n">
        <v>1</v>
      </c>
      <c r="Q5845" t="n">
        <v>0</v>
      </c>
      <c r="R5845" t="n">
        <v>0</v>
      </c>
      <c r="S5845" t="n">
        <v/>
      </c>
      <c r="T5845" t="inlineStr">
        <is>
          <t>15</t>
        </is>
      </c>
      <c r="U5845" t="inlineStr">
        <is>
          <t>3</t>
        </is>
      </c>
      <c r="V5845" t="n">
        <v/>
      </c>
      <c r="W5845" t="n">
        <v/>
      </c>
    </row>
    <row r="5846">
      <c r="A5846" t="inlineStr">
        <is>
          <t>16/03/2026 7:17:00</t>
        </is>
      </c>
      <c r="B5846" t="inlineStr">
        <is>
          <t>Nguyễn Văn Hiệp</t>
        </is>
      </c>
      <c r="C5846" t="inlineStr">
        <is>
          <t>15/03/2026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7</v>
      </c>
      <c r="L5846" t="n">
        <v>0</v>
      </c>
      <c r="M5846" t="n">
        <v>1</v>
      </c>
      <c r="N5846" t="n">
        <v>0</v>
      </c>
      <c r="O5846" t="n">
        <v>0</v>
      </c>
      <c r="P5846" t="n">
        <v>0</v>
      </c>
      <c r="Q5846" t="n">
        <v>1</v>
      </c>
      <c r="R5846" t="n">
        <v>0</v>
      </c>
      <c r="S5846" t="n">
        <v/>
      </c>
      <c r="T5846" t="inlineStr">
        <is>
          <t>15</t>
        </is>
      </c>
      <c r="U5846" t="inlineStr">
        <is>
          <t>3</t>
        </is>
      </c>
      <c r="V5846" t="n">
        <v/>
      </c>
      <c r="W5846" t="n">
        <v/>
      </c>
    </row>
    <row r="5847">
      <c r="A5847" t="inlineStr">
        <is>
          <t>16/03/2026 7:18:45</t>
        </is>
      </c>
      <c r="B5847" t="inlineStr">
        <is>
          <t>Trần Trung Giang</t>
        </is>
      </c>
      <c r="C5847" t="inlineStr">
        <is>
          <t>15/03/2026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/>
      </c>
      <c r="T5847" t="inlineStr">
        <is>
          <t>15</t>
        </is>
      </c>
      <c r="U5847" t="inlineStr">
        <is>
          <t>3</t>
        </is>
      </c>
      <c r="V5847" t="n">
        <v/>
      </c>
      <c r="W5847" t="n">
        <v/>
      </c>
    </row>
    <row r="5848">
      <c r="A5848" t="inlineStr">
        <is>
          <t>16/03/2026 7:39:07</t>
        </is>
      </c>
      <c r="B5848" t="inlineStr">
        <is>
          <t>Nguyễn Tuấn Anh</t>
        </is>
      </c>
      <c r="C5848" t="inlineStr">
        <is>
          <t>15/03/2026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2</v>
      </c>
      <c r="J5848" t="n">
        <v>0</v>
      </c>
      <c r="K5848" t="n">
        <v>3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2</v>
      </c>
      <c r="R5848" t="n">
        <v>0</v>
      </c>
      <c r="S5848" t="n">
        <v/>
      </c>
      <c r="T5848" t="inlineStr">
        <is>
          <t>15</t>
        </is>
      </c>
      <c r="U5848" t="inlineStr">
        <is>
          <t>3</t>
        </is>
      </c>
      <c r="V5848" t="n">
        <v/>
      </c>
      <c r="W5848" t="n">
        <v/>
      </c>
    </row>
    <row r="5849">
      <c r="A5849" t="inlineStr">
        <is>
          <t>17/03/2026 7:10:15</t>
        </is>
      </c>
      <c r="B5849" t="inlineStr">
        <is>
          <t>Nguyễn Tuấn Anh</t>
        </is>
      </c>
      <c r="C5849" t="inlineStr">
        <is>
          <t>16/03/2026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2</v>
      </c>
      <c r="J5849" t="n">
        <v>0</v>
      </c>
      <c r="K5849" t="n">
        <v>5</v>
      </c>
      <c r="L5849" t="n">
        <v>0</v>
      </c>
      <c r="M5849" t="n">
        <v>0</v>
      </c>
      <c r="N5849" t="n">
        <v>0</v>
      </c>
      <c r="O5849" t="n">
        <v>0</v>
      </c>
      <c r="P5849" t="n">
        <v>1</v>
      </c>
      <c r="Q5849" t="n">
        <v>2</v>
      </c>
      <c r="R5849" t="n">
        <v>0</v>
      </c>
      <c r="S5849" t="n">
        <v/>
      </c>
      <c r="T5849" t="inlineStr">
        <is>
          <t>16</t>
        </is>
      </c>
      <c r="U5849" t="inlineStr">
        <is>
          <t>3</t>
        </is>
      </c>
      <c r="V5849" t="n">
        <v/>
      </c>
      <c r="W5849" t="n">
        <v/>
      </c>
    </row>
    <row r="5850">
      <c r="A5850" t="inlineStr">
        <is>
          <t>17/03/2026 7:18:09</t>
        </is>
      </c>
      <c r="B5850" t="inlineStr">
        <is>
          <t>Nguyễn Văn Hiệp</t>
        </is>
      </c>
      <c r="C5850" t="inlineStr">
        <is>
          <t>16/03/2026</t>
        </is>
      </c>
      <c r="D5850" t="n">
        <v>1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8</v>
      </c>
      <c r="L5850" t="n">
        <v>0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/>
      </c>
      <c r="T5850" t="inlineStr">
        <is>
          <t>16</t>
        </is>
      </c>
      <c r="U5850" t="inlineStr">
        <is>
          <t>3</t>
        </is>
      </c>
      <c r="V5850" t="n">
        <v/>
      </c>
      <c r="W5850" t="n">
        <v/>
      </c>
    </row>
    <row r="5851">
      <c r="A5851" t="inlineStr">
        <is>
          <t>17/03/2026 16:26:09</t>
        </is>
      </c>
      <c r="B5851" t="inlineStr">
        <is>
          <t>Trần Trung Giang</t>
        </is>
      </c>
      <c r="C5851" t="inlineStr">
        <is>
          <t>16/03/2026</t>
        </is>
      </c>
      <c r="D5851" t="n">
        <v>0</v>
      </c>
      <c r="E5851" t="n">
        <v>0</v>
      </c>
      <c r="F5851" t="n">
        <v>0</v>
      </c>
      <c r="G5851" t="n">
        <v>2</v>
      </c>
      <c r="H5851" t="n">
        <v>1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1</v>
      </c>
      <c r="Q5851" t="n">
        <v>0</v>
      </c>
      <c r="R5851" t="n">
        <v>0</v>
      </c>
      <c r="S5851" t="n">
        <v/>
      </c>
      <c r="T5851" t="inlineStr">
        <is>
          <t>16</t>
        </is>
      </c>
      <c r="U5851" t="inlineStr">
        <is>
          <t>3</t>
        </is>
      </c>
      <c r="V5851" t="n">
        <v/>
      </c>
      <c r="W5851" t="n">
        <v/>
      </c>
    </row>
    <row r="5852">
      <c r="A5852" t="inlineStr">
        <is>
          <t>18/03/2026 7:05:48</t>
        </is>
      </c>
      <c r="B5852" t="inlineStr">
        <is>
          <t>Nguyễn Tuấn Anh</t>
        </is>
      </c>
      <c r="C5852" t="inlineStr">
        <is>
          <t>17/03/2026</t>
        </is>
      </c>
      <c r="D5852" t="n">
        <v>1</v>
      </c>
      <c r="E5852" t="n">
        <v>1</v>
      </c>
      <c r="F5852" t="n">
        <v>1</v>
      </c>
      <c r="G5852" t="n">
        <v>0</v>
      </c>
      <c r="H5852" t="n">
        <v>0</v>
      </c>
      <c r="I5852" t="n">
        <v>2</v>
      </c>
      <c r="J5852" t="n">
        <v>0</v>
      </c>
      <c r="K5852" t="n">
        <v>5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2</v>
      </c>
      <c r="R5852" t="n">
        <v>0</v>
      </c>
      <c r="S5852" t="n">
        <v/>
      </c>
      <c r="T5852" t="inlineStr">
        <is>
          <t>17</t>
        </is>
      </c>
      <c r="U5852" t="inlineStr">
        <is>
          <t>3</t>
        </is>
      </c>
      <c r="V5852" t="n">
        <v/>
      </c>
      <c r="W5852" t="n">
        <v/>
      </c>
    </row>
    <row r="5853">
      <c r="A5853" t="inlineStr">
        <is>
          <t>18/03/2026 7:26:19</t>
        </is>
      </c>
      <c r="B5853" t="inlineStr">
        <is>
          <t>Nguyễn Văn Hiệp</t>
        </is>
      </c>
      <c r="C5853" t="inlineStr">
        <is>
          <t>17/03/2026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1</v>
      </c>
      <c r="R5853" t="n">
        <v>0</v>
      </c>
      <c r="S5853" t="n">
        <v/>
      </c>
      <c r="T5853" t="inlineStr">
        <is>
          <t>17</t>
        </is>
      </c>
      <c r="U5853" t="inlineStr">
        <is>
          <t>3</t>
        </is>
      </c>
      <c r="V5853" t="n">
        <v/>
      </c>
      <c r="W5853" t="n">
        <v/>
      </c>
    </row>
    <row r="5854">
      <c r="A5854" t="inlineStr">
        <is>
          <t>18/03/2026 7:54:38</t>
        </is>
      </c>
      <c r="B5854" t="inlineStr">
        <is>
          <t>Trần Trung Giang</t>
        </is>
      </c>
      <c r="C5854" t="inlineStr">
        <is>
          <t>17/03/2026</t>
        </is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  <c r="J5854" t="n">
        <v>0</v>
      </c>
      <c r="K5854" t="n">
        <v>2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/>
      </c>
      <c r="T5854" t="inlineStr">
        <is>
          <t>17</t>
        </is>
      </c>
      <c r="U5854" t="inlineStr">
        <is>
          <t>3</t>
        </is>
      </c>
      <c r="V5854" t="n">
        <v/>
      </c>
      <c r="W5854" t="n">
        <v/>
      </c>
    </row>
    <row r="5855">
      <c r="A5855" t="inlineStr">
        <is>
          <t>19/03/2026 7:10:17</t>
        </is>
      </c>
      <c r="B5855" t="inlineStr">
        <is>
          <t>Nguyễn Văn Hiệp</t>
        </is>
      </c>
      <c r="C5855" t="inlineStr">
        <is>
          <t>18/03/2026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4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/>
      </c>
      <c r="T5855" t="inlineStr">
        <is>
          <t>18</t>
        </is>
      </c>
      <c r="U5855" t="inlineStr">
        <is>
          <t>3</t>
        </is>
      </c>
      <c r="V5855" t="n">
        <v/>
      </c>
      <c r="W5855" t="n">
        <v/>
      </c>
    </row>
    <row r="5856">
      <c r="A5856" t="inlineStr">
        <is>
          <t>19/03/2026 7:10:57</t>
        </is>
      </c>
      <c r="B5856" t="inlineStr">
        <is>
          <t>Nguyễn Tuấn Anh</t>
        </is>
      </c>
      <c r="C5856" t="inlineStr">
        <is>
          <t>18/03/2026</t>
        </is>
      </c>
      <c r="D5856" t="n">
        <v>0</v>
      </c>
      <c r="E5856" t="n">
        <v>0</v>
      </c>
      <c r="F5856" t="n">
        <v>3</v>
      </c>
      <c r="G5856" t="n">
        <v>0</v>
      </c>
      <c r="H5856" t="n">
        <v>0</v>
      </c>
      <c r="I5856" t="n">
        <v>2</v>
      </c>
      <c r="J5856" t="n">
        <v>0</v>
      </c>
      <c r="K5856" t="n">
        <v>4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2</v>
      </c>
      <c r="R5856" t="n">
        <v>0</v>
      </c>
      <c r="S5856" t="n">
        <v/>
      </c>
      <c r="T5856" t="inlineStr">
        <is>
          <t>18</t>
        </is>
      </c>
      <c r="U5856" t="inlineStr">
        <is>
          <t>3</t>
        </is>
      </c>
      <c r="V5856" t="n">
        <v/>
      </c>
      <c r="W5856" t="n">
        <v/>
      </c>
    </row>
    <row r="5857">
      <c r="A5857" t="inlineStr">
        <is>
          <t>19/03/2026 7:15:41</t>
        </is>
      </c>
      <c r="B5857" t="inlineStr">
        <is>
          <t>Đặng Hoài Anh</t>
        </is>
      </c>
      <c r="C5857" t="inlineStr">
        <is>
          <t>18/03/2026</t>
        </is>
      </c>
      <c r="D5857" t="n">
        <v>0</v>
      </c>
      <c r="E5857" t="n">
        <v>0</v>
      </c>
      <c r="F5857" t="n">
        <v>0</v>
      </c>
      <c r="G5857" t="n">
        <v>2</v>
      </c>
      <c r="H5857" t="n">
        <v>1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2</v>
      </c>
      <c r="O5857" t="n">
        <v>0</v>
      </c>
      <c r="P5857" t="n">
        <v>0</v>
      </c>
      <c r="Q5857" t="n">
        <v>0</v>
      </c>
      <c r="R5857" t="n">
        <v>0</v>
      </c>
      <c r="S5857" t="n">
        <v/>
      </c>
      <c r="T5857" t="inlineStr">
        <is>
          <t>18</t>
        </is>
      </c>
      <c r="U5857" t="inlineStr">
        <is>
          <t>3</t>
        </is>
      </c>
      <c r="V5857" t="n">
        <v/>
      </c>
      <c r="W5857" t="n">
        <v/>
      </c>
    </row>
    <row r="5858">
      <c r="A5858" t="inlineStr">
        <is>
          <t>19/03/2026 7:36:35</t>
        </is>
      </c>
      <c r="B5858" t="inlineStr">
        <is>
          <t>Trần Trung Giang</t>
        </is>
      </c>
      <c r="C5858" t="inlineStr">
        <is>
          <t>18/03/2026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/>
      </c>
      <c r="T5858" t="inlineStr">
        <is>
          <t>18</t>
        </is>
      </c>
      <c r="U5858" t="inlineStr">
        <is>
          <t>3</t>
        </is>
      </c>
      <c r="V5858" t="n">
        <v/>
      </c>
      <c r="W5858" t="n">
        <v/>
      </c>
    </row>
    <row r="5859">
      <c r="A5859" t="inlineStr">
        <is>
          <t>20/03/2026 7:05:48</t>
        </is>
      </c>
      <c r="B5859" t="inlineStr">
        <is>
          <t>Nguyễn Tuấn Anh</t>
        </is>
      </c>
      <c r="C5859" t="inlineStr">
        <is>
          <t>19/03/2026</t>
        </is>
      </c>
      <c r="D5859" t="n">
        <v>1</v>
      </c>
      <c r="E5859" t="n">
        <v>1</v>
      </c>
      <c r="F5859" t="n">
        <v>1</v>
      </c>
      <c r="G5859" t="n">
        <v>0</v>
      </c>
      <c r="H5859" t="n">
        <v>0</v>
      </c>
      <c r="I5859" t="n">
        <v>2</v>
      </c>
      <c r="J5859" t="n">
        <v>0</v>
      </c>
      <c r="K5859" t="n">
        <v>2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8</v>
      </c>
      <c r="R5859" t="n">
        <v>0</v>
      </c>
      <c r="S5859" t="n">
        <v/>
      </c>
      <c r="T5859" t="inlineStr">
        <is>
          <t>19</t>
        </is>
      </c>
      <c r="U5859" t="inlineStr">
        <is>
          <t>3</t>
        </is>
      </c>
      <c r="V5859" t="n">
        <v/>
      </c>
      <c r="W5859" t="n">
        <v/>
      </c>
    </row>
    <row r="5860">
      <c r="A5860" t="inlineStr">
        <is>
          <t>20/03/2026 7:12:16</t>
        </is>
      </c>
      <c r="B5860" t="inlineStr">
        <is>
          <t>Nguyễn Văn Hiệp</t>
        </is>
      </c>
      <c r="C5860" t="inlineStr">
        <is>
          <t>19/03/2026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1</v>
      </c>
      <c r="Q5860" t="n">
        <v>1</v>
      </c>
      <c r="R5860" t="n">
        <v>0</v>
      </c>
      <c r="S5860" t="n">
        <v/>
      </c>
      <c r="T5860" t="inlineStr">
        <is>
          <t>19</t>
        </is>
      </c>
      <c r="U5860" t="inlineStr">
        <is>
          <t>3</t>
        </is>
      </c>
      <c r="V5860" t="n">
        <v/>
      </c>
      <c r="W5860" t="n">
        <v/>
      </c>
    </row>
    <row r="5861">
      <c r="A5861" t="inlineStr">
        <is>
          <t>20/03/2026 7:32:32</t>
        </is>
      </c>
      <c r="B5861" t="inlineStr">
        <is>
          <t>Trần Trung Giang</t>
        </is>
      </c>
      <c r="C5861" t="inlineStr">
        <is>
          <t>19/03/2026</t>
        </is>
      </c>
      <c r="D5861" t="n">
        <v>0</v>
      </c>
      <c r="E5861" t="n">
        <v>0</v>
      </c>
      <c r="F5861" t="n">
        <v>1</v>
      </c>
      <c r="G5861" t="n">
        <v>0</v>
      </c>
      <c r="H5861" t="n">
        <v>0</v>
      </c>
      <c r="I5861" t="n">
        <v>0</v>
      </c>
      <c r="J5861" t="n">
        <v>0</v>
      </c>
      <c r="K5861" t="n">
        <v>4</v>
      </c>
      <c r="L5861" t="n">
        <v>0</v>
      </c>
      <c r="M5861" t="n">
        <v>1</v>
      </c>
      <c r="N5861" t="n">
        <v>0</v>
      </c>
      <c r="O5861" t="n">
        <v>0</v>
      </c>
      <c r="P5861" t="n">
        <v>1</v>
      </c>
      <c r="Q5861" t="n">
        <v>0</v>
      </c>
      <c r="R5861" t="n">
        <v>0</v>
      </c>
      <c r="S5861" t="n">
        <v/>
      </c>
      <c r="T5861" t="inlineStr">
        <is>
          <t>19</t>
        </is>
      </c>
      <c r="U5861" t="inlineStr">
        <is>
          <t>3</t>
        </is>
      </c>
      <c r="V5861" t="n">
        <v/>
      </c>
      <c r="W5861" t="n">
        <v/>
      </c>
    </row>
    <row r="5862">
      <c r="A5862" t="inlineStr">
        <is>
          <t>20/03/2026 7:41:53</t>
        </is>
      </c>
      <c r="B5862" t="inlineStr">
        <is>
          <t>Đặng Hoài Anh</t>
        </is>
      </c>
      <c r="C5862" t="inlineStr">
        <is>
          <t>19/03/2026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1</v>
      </c>
      <c r="Q5862" t="n">
        <v>0</v>
      </c>
      <c r="R5862" t="n">
        <v>0</v>
      </c>
      <c r="S5862" t="n">
        <v/>
      </c>
      <c r="T5862" t="inlineStr">
        <is>
          <t>19</t>
        </is>
      </c>
      <c r="U5862" t="inlineStr">
        <is>
          <t>3</t>
        </is>
      </c>
      <c r="V5862" t="n">
        <v/>
      </c>
      <c r="W5862" t="n">
        <v/>
      </c>
    </row>
    <row r="5863">
      <c r="A5863" t="inlineStr">
        <is>
          <t>21/03/2026 7:26:42</t>
        </is>
      </c>
      <c r="B5863" t="inlineStr">
        <is>
          <t>Đặng Hoài Anh</t>
        </is>
      </c>
      <c r="C5863" t="inlineStr">
        <is>
          <t>20/03/2026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2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1</v>
      </c>
      <c r="R5863" t="n">
        <v>0</v>
      </c>
      <c r="S5863" t="n">
        <v/>
      </c>
      <c r="T5863" t="inlineStr">
        <is>
          <t>20</t>
        </is>
      </c>
      <c r="U5863" t="inlineStr">
        <is>
          <t>3</t>
        </is>
      </c>
      <c r="V5863" t="n">
        <v/>
      </c>
      <c r="W5863" t="n">
        <v/>
      </c>
    </row>
    <row r="5864">
      <c r="A5864" t="inlineStr">
        <is>
          <t>21/03/2026 7:38:28</t>
        </is>
      </c>
      <c r="B5864" t="inlineStr">
        <is>
          <t>Nguyễn Văn Hiệp</t>
        </is>
      </c>
      <c r="C5864" t="inlineStr">
        <is>
          <t>20/03/2026</t>
        </is>
      </c>
      <c r="D5864" t="n">
        <v>3</v>
      </c>
      <c r="E5864" t="n">
        <v>1</v>
      </c>
      <c r="F5864" t="n">
        <v>1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3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/>
      </c>
      <c r="T5864" t="inlineStr">
        <is>
          <t>20</t>
        </is>
      </c>
      <c r="U5864" t="inlineStr">
        <is>
          <t>3</t>
        </is>
      </c>
      <c r="V5864" t="n">
        <v/>
      </c>
      <c r="W5864" t="n">
        <v/>
      </c>
    </row>
    <row r="5865">
      <c r="A5865" t="inlineStr">
        <is>
          <t>21/03/2026 7:46:26</t>
        </is>
      </c>
      <c r="B5865" t="inlineStr">
        <is>
          <t>Nguyễn Tuấn Anh</t>
        </is>
      </c>
      <c r="C5865" t="inlineStr">
        <is>
          <t>20/03/2026</t>
        </is>
      </c>
      <c r="D5865" t="n">
        <v>1</v>
      </c>
      <c r="E5865" t="n">
        <v>1</v>
      </c>
      <c r="F5865" t="n">
        <v>2</v>
      </c>
      <c r="G5865" t="n">
        <v>0</v>
      </c>
      <c r="H5865" t="n">
        <v>0</v>
      </c>
      <c r="I5865" t="n">
        <v>2</v>
      </c>
      <c r="J5865" t="n">
        <v>0</v>
      </c>
      <c r="K5865" t="n">
        <v>8</v>
      </c>
      <c r="L5865" t="n">
        <v>0</v>
      </c>
      <c r="M5865" t="n">
        <v>0</v>
      </c>
      <c r="N5865" t="n">
        <v>0</v>
      </c>
      <c r="O5865" t="n">
        <v>0</v>
      </c>
      <c r="P5865" t="n">
        <v>1</v>
      </c>
      <c r="Q5865" t="n">
        <v>2</v>
      </c>
      <c r="R5865" t="n">
        <v>0</v>
      </c>
      <c r="S5865" t="n">
        <v/>
      </c>
      <c r="T5865" t="inlineStr">
        <is>
          <t>20</t>
        </is>
      </c>
      <c r="U5865" t="inlineStr">
        <is>
          <t>3</t>
        </is>
      </c>
      <c r="V5865" t="n">
        <v/>
      </c>
      <c r="W5865" t="n">
        <v/>
      </c>
    </row>
    <row r="5866">
      <c r="A5866" t="inlineStr">
        <is>
          <t>21/03/2026 8:38:16</t>
        </is>
      </c>
      <c r="B5866" t="inlineStr">
        <is>
          <t>Trần Trung Giang</t>
        </is>
      </c>
      <c r="C5866" t="inlineStr">
        <is>
          <t>20/03/2026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2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/>
      </c>
      <c r="T5866" t="inlineStr">
        <is>
          <t>20</t>
        </is>
      </c>
      <c r="U5866" t="inlineStr">
        <is>
          <t>3</t>
        </is>
      </c>
      <c r="V5866" t="n">
        <v/>
      </c>
      <c r="W5866" t="n">
        <v/>
      </c>
    </row>
    <row r="5867">
      <c r="A5867" t="inlineStr">
        <is>
          <t>22/03/2026 7:30:30</t>
        </is>
      </c>
      <c r="B5867" t="inlineStr">
        <is>
          <t>Trần Trung Giang</t>
        </is>
      </c>
      <c r="C5867" t="inlineStr">
        <is>
          <t>21/03/2026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1</v>
      </c>
      <c r="R5867" t="n">
        <v>0</v>
      </c>
      <c r="S5867" t="n">
        <v/>
      </c>
      <c r="T5867" t="inlineStr">
        <is>
          <t>21</t>
        </is>
      </c>
      <c r="U5867" t="inlineStr">
        <is>
          <t>3</t>
        </is>
      </c>
      <c r="V5867" t="n">
        <v/>
      </c>
      <c r="W5867" t="n">
        <v/>
      </c>
    </row>
    <row r="5868">
      <c r="A5868" t="inlineStr">
        <is>
          <t>22/03/2026 7:53:25</t>
        </is>
      </c>
      <c r="B5868" t="inlineStr">
        <is>
          <t>Nguyễn Văn Hiệp</t>
        </is>
      </c>
      <c r="C5868" t="inlineStr">
        <is>
          <t>21/03/2026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2</v>
      </c>
      <c r="R5868" t="n">
        <v>0</v>
      </c>
      <c r="S5868" t="n">
        <v/>
      </c>
      <c r="T5868" t="inlineStr">
        <is>
          <t>21</t>
        </is>
      </c>
      <c r="U5868" t="inlineStr">
        <is>
          <t>3</t>
        </is>
      </c>
      <c r="V5868" t="n">
        <v/>
      </c>
      <c r="W5868" t="n">
        <v/>
      </c>
    </row>
    <row r="5869">
      <c r="A5869" t="inlineStr">
        <is>
          <t>22/03/2026 8:34:38</t>
        </is>
      </c>
      <c r="B5869" t="inlineStr">
        <is>
          <t>Đặng Hoài Anh</t>
        </is>
      </c>
      <c r="C5869" t="inlineStr">
        <is>
          <t>21/03/2026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2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/>
      </c>
      <c r="T5869" t="inlineStr">
        <is>
          <t>21</t>
        </is>
      </c>
      <c r="U5869" t="inlineStr">
        <is>
          <t>3</t>
        </is>
      </c>
      <c r="V5869" t="n">
        <v/>
      </c>
      <c r="W5869" t="n">
        <v/>
      </c>
    </row>
    <row r="5870">
      <c r="A5870" t="inlineStr">
        <is>
          <t>23/03/2026 7:21:21</t>
        </is>
      </c>
      <c r="B5870" t="inlineStr">
        <is>
          <t>Nguyễn Văn Hiệp</t>
        </is>
      </c>
      <c r="C5870" t="inlineStr">
        <is>
          <t>22/03/2026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3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/>
      </c>
      <c r="T5870" t="inlineStr">
        <is>
          <t>22</t>
        </is>
      </c>
      <c r="U5870" t="inlineStr">
        <is>
          <t>3</t>
        </is>
      </c>
      <c r="V5870" t="n">
        <v/>
      </c>
      <c r="W5870" t="n">
        <v/>
      </c>
    </row>
    <row r="5871">
      <c r="A5871" t="inlineStr">
        <is>
          <t>23/03/2026 7:35:00</t>
        </is>
      </c>
      <c r="B5871" t="inlineStr">
        <is>
          <t>Nguyễn Tuấn Anh</t>
        </is>
      </c>
      <c r="C5871" t="inlineStr">
        <is>
          <t>22/03/2026</t>
        </is>
      </c>
      <c r="D5871" t="n">
        <v>1</v>
      </c>
      <c r="E5871" t="n">
        <v>1</v>
      </c>
      <c r="F5871" t="n">
        <v>1</v>
      </c>
      <c r="G5871" t="n">
        <v>0</v>
      </c>
      <c r="H5871" t="n">
        <v>0</v>
      </c>
      <c r="I5871" t="n">
        <v>0</v>
      </c>
      <c r="J5871" t="n">
        <v>0</v>
      </c>
      <c r="K5871" t="n">
        <v>6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2</v>
      </c>
      <c r="R5871" t="n">
        <v>0</v>
      </c>
      <c r="S5871" t="n">
        <v/>
      </c>
      <c r="T5871" t="inlineStr">
        <is>
          <t>22</t>
        </is>
      </c>
      <c r="U5871" t="inlineStr">
        <is>
          <t>3</t>
        </is>
      </c>
      <c r="V5871" t="n">
        <v/>
      </c>
      <c r="W5871" t="n">
        <v/>
      </c>
    </row>
    <row r="5872">
      <c r="A5872" t="inlineStr">
        <is>
          <t>23/03/2026 7:36:51</t>
        </is>
      </c>
      <c r="B5872" t="inlineStr">
        <is>
          <t>Trần Trung Giang</t>
        </is>
      </c>
      <c r="C5872" t="inlineStr">
        <is>
          <t>22/03/2026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2</v>
      </c>
      <c r="R5872" t="n">
        <v>0</v>
      </c>
      <c r="S5872" t="n">
        <v/>
      </c>
      <c r="T5872" t="inlineStr">
        <is>
          <t>22</t>
        </is>
      </c>
      <c r="U5872" t="inlineStr">
        <is>
          <t>3</t>
        </is>
      </c>
      <c r="V5872" t="n">
        <v/>
      </c>
      <c r="W5872" t="n">
        <v/>
      </c>
    </row>
    <row r="5873">
      <c r="A5873" t="inlineStr">
        <is>
          <t>23/03/2026 9:10:57</t>
        </is>
      </c>
      <c r="B5873" t="inlineStr">
        <is>
          <t>Đặng Hoài Anh</t>
        </is>
      </c>
      <c r="C5873" t="inlineStr">
        <is>
          <t>22/03/2026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2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1</v>
      </c>
      <c r="R5873" t="n">
        <v>0</v>
      </c>
      <c r="S5873" t="n">
        <v/>
      </c>
      <c r="T5873" t="inlineStr">
        <is>
          <t>22</t>
        </is>
      </c>
      <c r="U5873" t="inlineStr">
        <is>
          <t>3</t>
        </is>
      </c>
      <c r="V5873" t="n">
        <v/>
      </c>
      <c r="W5873" t="n">
        <v/>
      </c>
    </row>
    <row r="5874">
      <c r="A5874" t="inlineStr">
        <is>
          <t>24/03/2026 6:58:46</t>
        </is>
      </c>
      <c r="B5874" t="inlineStr">
        <is>
          <t>Nguyễn Văn Hiệp</t>
        </is>
      </c>
      <c r="C5874" t="inlineStr">
        <is>
          <t>23/03/2026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1</v>
      </c>
      <c r="O5874" t="n">
        <v>0</v>
      </c>
      <c r="P5874" t="n">
        <v>0</v>
      </c>
      <c r="Q5874" t="n">
        <v>0</v>
      </c>
      <c r="R5874" t="n">
        <v>0</v>
      </c>
      <c r="S5874" t="n">
        <v/>
      </c>
      <c r="T5874" t="inlineStr">
        <is>
          <t>23</t>
        </is>
      </c>
      <c r="U5874" t="inlineStr">
        <is>
          <t>3</t>
        </is>
      </c>
      <c r="V5874" t="n">
        <v/>
      </c>
      <c r="W5874" t="n">
        <v/>
      </c>
    </row>
    <row r="5875">
      <c r="A5875" t="inlineStr">
        <is>
          <t>24/03/2026 7:21:40</t>
        </is>
      </c>
      <c r="B5875" t="inlineStr">
        <is>
          <t>Trần Trung Giang</t>
        </is>
      </c>
      <c r="C5875" t="inlineStr">
        <is>
          <t>23/03/2024</t>
        </is>
      </c>
      <c r="D5875" t="n">
        <v>0</v>
      </c>
      <c r="E5875" t="n">
        <v>0</v>
      </c>
      <c r="F5875" t="n">
        <v>0</v>
      </c>
      <c r="G5875" t="n">
        <v>1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/>
      </c>
      <c r="T5875" t="inlineStr">
        <is>
          <t>23</t>
        </is>
      </c>
      <c r="U5875" t="inlineStr">
        <is>
          <t>3</t>
        </is>
      </c>
      <c r="V5875" t="n">
        <v/>
      </c>
      <c r="W5875" t="n">
        <v/>
      </c>
    </row>
    <row r="5876">
      <c r="A5876" t="inlineStr">
        <is>
          <t>25/03/2026 7:13:09</t>
        </is>
      </c>
      <c r="B5876" t="inlineStr">
        <is>
          <t>Nguyễn Văn Hiệp</t>
        </is>
      </c>
      <c r="C5876" t="inlineStr">
        <is>
          <t>24/03/2026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2</v>
      </c>
      <c r="L5876" t="n">
        <v>0</v>
      </c>
      <c r="M5876" t="n">
        <v>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/>
      </c>
      <c r="T5876" t="inlineStr">
        <is>
          <t>24</t>
        </is>
      </c>
      <c r="U5876" t="inlineStr">
        <is>
          <t>3</t>
        </is>
      </c>
      <c r="V5876" t="n">
        <v/>
      </c>
      <c r="W5876" t="n">
        <v/>
      </c>
    </row>
    <row r="5877">
      <c r="A5877" t="inlineStr">
        <is>
          <t>26/03/2026 7:39:11</t>
        </is>
      </c>
      <c r="B5877" t="inlineStr">
        <is>
          <t>Trần Trung Giang</t>
        </is>
      </c>
      <c r="C5877" t="inlineStr">
        <is>
          <t>25/03/2026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1</v>
      </c>
      <c r="R5877" t="n">
        <v>0</v>
      </c>
      <c r="S5877" t="n">
        <v/>
      </c>
      <c r="T5877" t="inlineStr">
        <is>
          <t>25</t>
        </is>
      </c>
      <c r="U5877" t="inlineStr">
        <is>
          <t>3</t>
        </is>
      </c>
      <c r="V5877" t="n">
        <v/>
      </c>
      <c r="W5877" t="n">
        <v/>
      </c>
    </row>
    <row r="5878">
      <c r="A5878" t="inlineStr">
        <is>
          <t>26/03/2026 7:46:09</t>
        </is>
      </c>
      <c r="B5878" t="inlineStr">
        <is>
          <t>Nguyễn Văn Hiệp</t>
        </is>
      </c>
      <c r="C5878" t="inlineStr">
        <is>
          <t>25/03/2026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7</v>
      </c>
      <c r="L5878" t="n">
        <v>1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/>
      </c>
      <c r="T5878" t="inlineStr">
        <is>
          <t>25</t>
        </is>
      </c>
      <c r="U5878" t="inlineStr">
        <is>
          <t>3</t>
        </is>
      </c>
      <c r="V5878" t="n">
        <v/>
      </c>
      <c r="W5878" t="n">
        <v/>
      </c>
    </row>
    <row r="5879">
      <c r="A5879" t="inlineStr">
        <is>
          <t>27/03/2026 7:20:03</t>
        </is>
      </c>
      <c r="B5879" t="inlineStr">
        <is>
          <t>Nguyễn Văn Hiệp</t>
        </is>
      </c>
      <c r="C5879" t="inlineStr">
        <is>
          <t>26/03/2026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2</v>
      </c>
      <c r="J5879" t="n">
        <v>0</v>
      </c>
      <c r="K5879" t="n">
        <v>2</v>
      </c>
      <c r="L5879" t="n">
        <v>0</v>
      </c>
      <c r="M5879" t="n">
        <v>0</v>
      </c>
      <c r="N5879" t="n">
        <v>3</v>
      </c>
      <c r="O5879" t="n">
        <v>0</v>
      </c>
      <c r="P5879" t="n">
        <v>0</v>
      </c>
      <c r="Q5879" t="n">
        <v>0</v>
      </c>
      <c r="R5879" t="n">
        <v>0</v>
      </c>
      <c r="S5879" t="n">
        <v/>
      </c>
      <c r="T5879" t="inlineStr">
        <is>
          <t>26</t>
        </is>
      </c>
      <c r="U5879" t="inlineStr">
        <is>
          <t>3</t>
        </is>
      </c>
      <c r="V5879" t="n">
        <v/>
      </c>
      <c r="W5879" t="n">
        <v/>
      </c>
    </row>
    <row r="5880">
      <c r="A5880" t="inlineStr">
        <is>
          <t>27/03/2026 7:21:22</t>
        </is>
      </c>
      <c r="B5880" t="inlineStr">
        <is>
          <t>Nguyễn Tuấn Anh</t>
        </is>
      </c>
      <c r="C5880" t="inlineStr">
        <is>
          <t>25/03/2026</t>
        </is>
      </c>
      <c r="D5880" t="n">
        <v>1</v>
      </c>
      <c r="E5880" t="n">
        <v>0</v>
      </c>
      <c r="F5880" t="n">
        <v>0</v>
      </c>
      <c r="G5880" t="n">
        <v>0</v>
      </c>
      <c r="H5880" t="n">
        <v>0</v>
      </c>
      <c r="I5880" t="n">
        <v>2</v>
      </c>
      <c r="J5880" t="n">
        <v>0</v>
      </c>
      <c r="K5880" t="n">
        <v>8</v>
      </c>
      <c r="L5880" t="n">
        <v>0</v>
      </c>
      <c r="M5880" t="n">
        <v>0</v>
      </c>
      <c r="N5880" t="n">
        <v>0</v>
      </c>
      <c r="O5880" t="n">
        <v>0</v>
      </c>
      <c r="P5880" t="n">
        <v>2</v>
      </c>
      <c r="Q5880" t="n">
        <v>2</v>
      </c>
      <c r="R5880" t="n">
        <v>0</v>
      </c>
      <c r="S5880" t="n">
        <v/>
      </c>
      <c r="T5880" t="inlineStr">
        <is>
          <t>25</t>
        </is>
      </c>
      <c r="U5880" t="inlineStr">
        <is>
          <t>3</t>
        </is>
      </c>
      <c r="V5880" t="n">
        <v/>
      </c>
      <c r="W5880" t="n">
        <v/>
      </c>
    </row>
    <row r="5881">
      <c r="A5881" t="inlineStr">
        <is>
          <t>27/03/2026 7:22:11</t>
        </is>
      </c>
      <c r="B5881" t="inlineStr">
        <is>
          <t>Nguyễn Tuấn Anh</t>
        </is>
      </c>
      <c r="C5881" t="inlineStr">
        <is>
          <t>26/03/2026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2</v>
      </c>
      <c r="J5881" t="n">
        <v>0</v>
      </c>
      <c r="K5881" t="n">
        <v>5</v>
      </c>
      <c r="L5881" t="n">
        <v>0</v>
      </c>
      <c r="M5881" t="n">
        <v>0</v>
      </c>
      <c r="N5881" t="n">
        <v>0</v>
      </c>
      <c r="O5881" t="n">
        <v>0</v>
      </c>
      <c r="P5881" t="n">
        <v>1</v>
      </c>
      <c r="Q5881" t="n">
        <v>2</v>
      </c>
      <c r="R5881" t="n">
        <v>0</v>
      </c>
      <c r="S5881" t="n">
        <v/>
      </c>
      <c r="T5881" t="inlineStr">
        <is>
          <t>26</t>
        </is>
      </c>
      <c r="U5881" t="inlineStr">
        <is>
          <t>3</t>
        </is>
      </c>
      <c r="V5881" t="n">
        <v/>
      </c>
      <c r="W5881" t="n">
        <v/>
      </c>
    </row>
    <row r="5882">
      <c r="A5882" t="inlineStr">
        <is>
          <t>27/03/2026 7:45:28</t>
        </is>
      </c>
      <c r="B5882" t="inlineStr">
        <is>
          <t>Trần Trung Giang</t>
        </is>
      </c>
      <c r="C5882" t="inlineStr">
        <is>
          <t>26/03/2026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/>
      </c>
      <c r="T5882" t="inlineStr">
        <is>
          <t>26</t>
        </is>
      </c>
      <c r="U5882" t="inlineStr">
        <is>
          <t>3</t>
        </is>
      </c>
      <c r="V5882" t="n">
        <v/>
      </c>
      <c r="W5882" t="n">
        <v/>
      </c>
    </row>
    <row r="5883">
      <c r="A5883" t="inlineStr">
        <is>
          <t>28/03/2026 7:11:14</t>
        </is>
      </c>
      <c r="B5883" t="inlineStr">
        <is>
          <t>Nguyễn Tuấn Anh</t>
        </is>
      </c>
      <c r="C5883" t="inlineStr">
        <is>
          <t>27/03/2026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2</v>
      </c>
      <c r="J5883" t="n">
        <v>0</v>
      </c>
      <c r="K5883" t="n">
        <v>2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2</v>
      </c>
      <c r="R5883" t="n">
        <v>0</v>
      </c>
      <c r="S5883" t="n">
        <v/>
      </c>
      <c r="T5883" t="inlineStr">
        <is>
          <t>27</t>
        </is>
      </c>
      <c r="U5883" t="inlineStr">
        <is>
          <t>3</t>
        </is>
      </c>
      <c r="V5883" t="n">
        <v/>
      </c>
      <c r="W5883" t="n">
        <v/>
      </c>
    </row>
    <row r="5884">
      <c r="A5884" t="inlineStr">
        <is>
          <t>28/03/2026 7:17:23</t>
        </is>
      </c>
      <c r="B5884" t="inlineStr">
        <is>
          <t>Nguyễn Văn Hiệp</t>
        </is>
      </c>
      <c r="C5884" t="inlineStr">
        <is>
          <t>27/03/2026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9</v>
      </c>
      <c r="K5884" t="n">
        <v>4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/>
      </c>
      <c r="T5884" t="inlineStr">
        <is>
          <t>27</t>
        </is>
      </c>
      <c r="U5884" t="inlineStr">
        <is>
          <t>3</t>
        </is>
      </c>
      <c r="V5884" t="n">
        <v/>
      </c>
      <c r="W5884" t="n">
        <v/>
      </c>
    </row>
    <row r="5885">
      <c r="A5885" t="inlineStr">
        <is>
          <t>28/03/2026 7:24:58</t>
        </is>
      </c>
      <c r="B5885" t="inlineStr">
        <is>
          <t>Trần Trung Giang</t>
        </is>
      </c>
      <c r="C5885" t="inlineStr">
        <is>
          <t>27/03/2026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/>
      </c>
      <c r="T5885" t="inlineStr">
        <is>
          <t>27</t>
        </is>
      </c>
      <c r="U5885" t="inlineStr">
        <is>
          <t>3</t>
        </is>
      </c>
      <c r="V5885" t="n">
        <v/>
      </c>
      <c r="W5885" t="n">
        <v/>
      </c>
    </row>
    <row r="5886">
      <c r="A5886" t="inlineStr">
        <is>
          <t>29/03/2026 7:33:04</t>
        </is>
      </c>
      <c r="B5886" t="inlineStr">
        <is>
          <t>Trần Trung Giang</t>
        </is>
      </c>
      <c r="C5886" t="inlineStr">
        <is>
          <t>28/03/2026</t>
        </is>
      </c>
      <c r="D5886" t="n">
        <v>0</v>
      </c>
      <c r="E5886" t="n">
        <v>1</v>
      </c>
      <c r="F5886" t="n">
        <v>1</v>
      </c>
      <c r="G5886" t="n">
        <v>0</v>
      </c>
      <c r="H5886" t="n">
        <v>0</v>
      </c>
      <c r="I5886" t="n">
        <v>0</v>
      </c>
      <c r="J5886" t="n">
        <v>0</v>
      </c>
      <c r="K5886" t="n">
        <v>2</v>
      </c>
      <c r="L5886" t="n">
        <v>0</v>
      </c>
      <c r="M5886" t="n">
        <v>2</v>
      </c>
      <c r="N5886" t="n">
        <v>0</v>
      </c>
      <c r="O5886" t="n">
        <v>0</v>
      </c>
      <c r="P5886" t="n">
        <v>0</v>
      </c>
      <c r="Q5886" t="n">
        <v>2</v>
      </c>
      <c r="R5886" t="n">
        <v>0</v>
      </c>
      <c r="S5886" t="n">
        <v/>
      </c>
      <c r="T5886" t="inlineStr">
        <is>
          <t>28</t>
        </is>
      </c>
      <c r="U5886" t="inlineStr">
        <is>
          <t>3</t>
        </is>
      </c>
      <c r="V5886" t="n">
        <v/>
      </c>
      <c r="W5886" t="n">
        <v/>
      </c>
    </row>
    <row r="5887">
      <c r="A5887" t="inlineStr">
        <is>
          <t>29/03/2026 7:39:11</t>
        </is>
      </c>
      <c r="B5887" t="inlineStr">
        <is>
          <t>Nguyễn Văn Hiệp</t>
        </is>
      </c>
      <c r="C5887" t="inlineStr">
        <is>
          <t>28/03/2026</t>
        </is>
      </c>
      <c r="D5887" t="n">
        <v>1</v>
      </c>
      <c r="E5887" t="n">
        <v>1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2</v>
      </c>
      <c r="L5887" t="n">
        <v>0</v>
      </c>
      <c r="M5887" t="n">
        <v>2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/>
      </c>
      <c r="T5887" t="inlineStr">
        <is>
          <t>28</t>
        </is>
      </c>
      <c r="U5887" t="inlineStr">
        <is>
          <t>3</t>
        </is>
      </c>
      <c r="V5887" t="n">
        <v/>
      </c>
      <c r="W5887" t="n">
        <v/>
      </c>
    </row>
    <row r="5888">
      <c r="A5888" t="inlineStr">
        <is>
          <t>30/03/2026 7:17:14</t>
        </is>
      </c>
      <c r="B5888" t="inlineStr">
        <is>
          <t>Nguyễn Văn Hiệp</t>
        </is>
      </c>
      <c r="C5888" t="inlineStr">
        <is>
          <t>29/03/2026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1</v>
      </c>
      <c r="R5888" t="n">
        <v>0</v>
      </c>
      <c r="S5888" t="n">
        <v/>
      </c>
      <c r="T5888" t="inlineStr">
        <is>
          <t>29</t>
        </is>
      </c>
      <c r="U5888" t="inlineStr">
        <is>
          <t>3</t>
        </is>
      </c>
      <c r="V5888" t="n">
        <v/>
      </c>
      <c r="W5888" t="n">
        <v/>
      </c>
    </row>
    <row r="5889">
      <c r="A5889" t="inlineStr">
        <is>
          <t>30/03/2026 7:38:37</t>
        </is>
      </c>
      <c r="B5889" t="inlineStr">
        <is>
          <t>Nguyễn Tuấn Anh</t>
        </is>
      </c>
      <c r="C5889" t="inlineStr">
        <is>
          <t>29/03/2026</t>
        </is>
      </c>
      <c r="D5889" t="n">
        <v>1</v>
      </c>
      <c r="E5889" t="n">
        <v>1</v>
      </c>
      <c r="F5889" t="n">
        <v>1</v>
      </c>
      <c r="G5889" t="n">
        <v>0</v>
      </c>
      <c r="H5889" t="n">
        <v>0</v>
      </c>
      <c r="I5889" t="n">
        <v>2</v>
      </c>
      <c r="J5889" t="n">
        <v>0</v>
      </c>
      <c r="K5889" t="n">
        <v>2</v>
      </c>
      <c r="L5889" t="n">
        <v>0</v>
      </c>
      <c r="M5889" t="n">
        <v>0</v>
      </c>
      <c r="N5889" t="n">
        <v>2</v>
      </c>
      <c r="O5889" t="n">
        <v>0</v>
      </c>
      <c r="P5889" t="n">
        <v>1</v>
      </c>
      <c r="Q5889" t="n">
        <v>2</v>
      </c>
      <c r="R5889" t="n">
        <v>0</v>
      </c>
      <c r="S5889" t="n">
        <v/>
      </c>
      <c r="T5889" t="inlineStr">
        <is>
          <t>29</t>
        </is>
      </c>
      <c r="U5889" t="inlineStr">
        <is>
          <t>3</t>
        </is>
      </c>
      <c r="V5889" t="n">
        <v/>
      </c>
      <c r="W5889" t="n">
        <v/>
      </c>
    </row>
    <row r="5890">
      <c r="A5890" t="inlineStr">
        <is>
          <t>30/03/2026 7:39:22</t>
        </is>
      </c>
      <c r="B5890" t="inlineStr">
        <is>
          <t>Nguyễn Tuấn Anh</t>
        </is>
      </c>
      <c r="C5890" t="inlineStr">
        <is>
          <t>28/03/2026</t>
        </is>
      </c>
      <c r="D5890" t="n">
        <v>1</v>
      </c>
      <c r="E5890" t="n">
        <v>1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2</v>
      </c>
      <c r="L5890" t="n">
        <v>0</v>
      </c>
      <c r="M5890" t="n">
        <v>0</v>
      </c>
      <c r="N5890" t="n">
        <v>1</v>
      </c>
      <c r="O5890" t="n">
        <v>0</v>
      </c>
      <c r="P5890" t="n">
        <v>2</v>
      </c>
      <c r="Q5890" t="n">
        <v>2</v>
      </c>
      <c r="R5890" t="n">
        <v>0</v>
      </c>
      <c r="S5890" t="n">
        <v/>
      </c>
      <c r="T5890" t="inlineStr">
        <is>
          <t>28</t>
        </is>
      </c>
      <c r="U5890" t="inlineStr">
        <is>
          <t>3</t>
        </is>
      </c>
      <c r="V5890" t="n">
        <v/>
      </c>
      <c r="W5890" t="n">
        <v/>
      </c>
    </row>
    <row r="5891">
      <c r="A5891" t="inlineStr">
        <is>
          <t>30/03/2026 15:01:30</t>
        </is>
      </c>
      <c r="B5891" t="inlineStr">
        <is>
          <t>Trần Trung Giang</t>
        </is>
      </c>
      <c r="C5891" t="inlineStr">
        <is>
          <t>29/03/2026</t>
        </is>
      </c>
      <c r="D5891" t="n">
        <v>0</v>
      </c>
      <c r="E5891" t="n">
        <v>0</v>
      </c>
      <c r="F5891" t="n">
        <v>0</v>
      </c>
      <c r="G5891" t="n">
        <v>2</v>
      </c>
      <c r="H5891" t="n">
        <v>1</v>
      </c>
      <c r="I5891" t="n">
        <v>0</v>
      </c>
      <c r="J5891" t="n">
        <v>0</v>
      </c>
      <c r="K5891" t="n">
        <v>2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/>
      </c>
      <c r="T5891" t="inlineStr">
        <is>
          <t>29</t>
        </is>
      </c>
      <c r="U5891" t="inlineStr">
        <is>
          <t>3</t>
        </is>
      </c>
      <c r="V5891" t="n">
        <v/>
      </c>
      <c r="W5891" t="n">
        <v/>
      </c>
    </row>
    <row r="5892">
      <c r="A5892" t="inlineStr">
        <is>
          <t>31/03/2026 6:38:18</t>
        </is>
      </c>
      <c r="B5892" t="inlineStr">
        <is>
          <t>Nguyễn Văn Hiệp</t>
        </is>
      </c>
      <c r="C5892" t="inlineStr">
        <is>
          <t>30/03/2026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5</v>
      </c>
      <c r="L5892" t="n">
        <v>0</v>
      </c>
      <c r="M5892" t="n">
        <v>0</v>
      </c>
      <c r="N5892" t="n">
        <v>0</v>
      </c>
      <c r="O5892" t="n">
        <v>0</v>
      </c>
      <c r="P5892" t="n">
        <v>1</v>
      </c>
      <c r="Q5892" t="n">
        <v>0</v>
      </c>
      <c r="R5892" t="n">
        <v>0</v>
      </c>
      <c r="S5892" t="n">
        <v/>
      </c>
      <c r="T5892" t="inlineStr">
        <is>
          <t>30</t>
        </is>
      </c>
      <c r="U5892" t="inlineStr">
        <is>
          <t>3</t>
        </is>
      </c>
      <c r="V5892" t="n">
        <v/>
      </c>
      <c r="W5892" t="n">
        <v/>
      </c>
    </row>
    <row r="5893">
      <c r="A5893" t="inlineStr">
        <is>
          <t>31/03/2026 7:12:27</t>
        </is>
      </c>
      <c r="B5893" t="inlineStr">
        <is>
          <t>Nguyễn Tuấn Anh</t>
        </is>
      </c>
      <c r="C5893" t="inlineStr">
        <is>
          <t>30/03/2026</t>
        </is>
      </c>
      <c r="D5893" t="n">
        <v>1</v>
      </c>
      <c r="E5893" t="n">
        <v>1</v>
      </c>
      <c r="F5893" t="n">
        <v>1</v>
      </c>
      <c r="G5893" t="n">
        <v>0</v>
      </c>
      <c r="H5893" t="n">
        <v>0</v>
      </c>
      <c r="I5893" t="n">
        <v>2</v>
      </c>
      <c r="J5893" t="n">
        <v>0</v>
      </c>
      <c r="K5893" t="n">
        <v>2</v>
      </c>
      <c r="L5893" t="n">
        <v>0</v>
      </c>
      <c r="M5893" t="n">
        <v>0</v>
      </c>
      <c r="N5893" t="n">
        <v>0</v>
      </c>
      <c r="O5893" t="n">
        <v>0</v>
      </c>
      <c r="P5893" t="n">
        <v>1</v>
      </c>
      <c r="Q5893" t="n">
        <v>2</v>
      </c>
      <c r="R5893" t="n">
        <v>0</v>
      </c>
      <c r="S5893" t="n">
        <v/>
      </c>
      <c r="T5893" t="inlineStr">
        <is>
          <t>30</t>
        </is>
      </c>
      <c r="U5893" t="inlineStr">
        <is>
          <t>3</t>
        </is>
      </c>
      <c r="V5893" t="n">
        <v/>
      </c>
      <c r="W5893" t="n">
        <v/>
      </c>
    </row>
    <row r="5894">
      <c r="A5894" t="inlineStr">
        <is>
          <t>01/04/2026 7:15:39</t>
        </is>
      </c>
      <c r="B5894" t="inlineStr">
        <is>
          <t>Nguyễn Văn Hiệp</t>
        </is>
      </c>
      <c r="C5894" t="inlineStr">
        <is>
          <t>31/03/2026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2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/>
      </c>
      <c r="T5894" t="inlineStr">
        <is>
          <t>31</t>
        </is>
      </c>
      <c r="U5894" t="inlineStr">
        <is>
          <t>3</t>
        </is>
      </c>
      <c r="V5894" t="n">
        <v/>
      </c>
      <c r="W5894" t="n">
        <v/>
      </c>
    </row>
    <row r="5895">
      <c r="A5895" t="inlineStr">
        <is>
          <t>01/04/2026 10:13:09</t>
        </is>
      </c>
      <c r="B5895" t="inlineStr">
        <is>
          <t>Trần Trung Giang</t>
        </is>
      </c>
      <c r="C5895" t="inlineStr">
        <is>
          <t>31/03/2026</t>
        </is>
      </c>
      <c r="D5895" t="n">
        <v>1</v>
      </c>
      <c r="E5895" t="n">
        <v>1</v>
      </c>
      <c r="F5895" t="n">
        <v>1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3</v>
      </c>
      <c r="N5895" t="n">
        <v>0</v>
      </c>
      <c r="O5895" t="n">
        <v>0</v>
      </c>
      <c r="P5895" t="n">
        <v>0</v>
      </c>
      <c r="Q5895" t="n">
        <v>2</v>
      </c>
      <c r="R5895" t="n">
        <v>0</v>
      </c>
      <c r="S5895" t="n">
        <v/>
      </c>
      <c r="T5895" t="inlineStr">
        <is>
          <t>31</t>
        </is>
      </c>
      <c r="U5895" t="inlineStr">
        <is>
          <t>3</t>
        </is>
      </c>
      <c r="V5895" t="n">
        <v/>
      </c>
      <c r="W5895" t="n">
        <v/>
      </c>
    </row>
    <row r="5896">
      <c r="A5896" t="inlineStr">
        <is>
          <t>02/04/2026 6:39:24</t>
        </is>
      </c>
      <c r="B5896" t="inlineStr">
        <is>
          <t>Lê Quốc Duy</t>
        </is>
      </c>
      <c r="C5896" t="inlineStr">
        <is>
          <t>01/04/2026</t>
        </is>
      </c>
      <c r="D5896" t="n">
        <v>0</v>
      </c>
      <c r="E5896" t="n">
        <v>0</v>
      </c>
      <c r="F5896" t="n">
        <v>0</v>
      </c>
      <c r="G5896" t="n">
        <v>2</v>
      </c>
      <c r="H5896" t="n">
        <v>1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/>
      </c>
      <c r="T5896" t="inlineStr">
        <is>
          <t>1</t>
        </is>
      </c>
      <c r="U5896" t="inlineStr">
        <is>
          <t>4</t>
        </is>
      </c>
      <c r="V5896" t="n">
        <v/>
      </c>
      <c r="W5896" t="n">
        <v/>
      </c>
    </row>
    <row r="5897">
      <c r="A5897" t="inlineStr">
        <is>
          <t>02/04/2026 6:53:53</t>
        </is>
      </c>
      <c r="B5897" t="inlineStr">
        <is>
          <t>Lê Hồng Phong</t>
        </is>
      </c>
      <c r="C5897" t="inlineStr">
        <is>
          <t>02/04/2026</t>
        </is>
      </c>
      <c r="D5897" t="n">
        <v>1</v>
      </c>
      <c r="E5897" t="n">
        <v>1</v>
      </c>
      <c r="F5897" t="n">
        <v>1</v>
      </c>
      <c r="G5897" t="n">
        <v>0</v>
      </c>
      <c r="H5897" t="n">
        <v>0</v>
      </c>
      <c r="I5897" t="n">
        <v>1</v>
      </c>
      <c r="J5897" t="n">
        <v>1</v>
      </c>
      <c r="K5897" t="n">
        <v>1</v>
      </c>
      <c r="L5897" t="n">
        <v>1</v>
      </c>
      <c r="M5897" t="n">
        <v>1</v>
      </c>
      <c r="N5897" t="n">
        <v>1</v>
      </c>
      <c r="O5897" t="n">
        <v>1</v>
      </c>
      <c r="P5897" t="n">
        <v>1</v>
      </c>
      <c r="Q5897" t="n">
        <v>1</v>
      </c>
      <c r="R5897" t="n">
        <v>1</v>
      </c>
      <c r="S5897" t="n">
        <v/>
      </c>
      <c r="T5897" t="inlineStr">
        <is>
          <t>2</t>
        </is>
      </c>
      <c r="U5897" t="inlineStr">
        <is>
          <t>4</t>
        </is>
      </c>
      <c r="V5897" t="n">
        <v/>
      </c>
      <c r="W5897" t="n">
        <v/>
      </c>
    </row>
    <row r="5898">
      <c r="A5898" t="inlineStr">
        <is>
          <t>02/04/2026 6:53:56</t>
        </is>
      </c>
      <c r="B5898" t="inlineStr">
        <is>
          <t>Trần Trung Giang</t>
        </is>
      </c>
      <c r="C5898" t="inlineStr">
        <is>
          <t>01/04/2026</t>
        </is>
      </c>
      <c r="D5898" t="n">
        <v>2</v>
      </c>
      <c r="E5898" t="n">
        <v>2</v>
      </c>
      <c r="F5898" t="n">
        <v>2</v>
      </c>
      <c r="G5898" t="n">
        <v>0</v>
      </c>
      <c r="H5898" t="n">
        <v>0</v>
      </c>
      <c r="I5898" t="n">
        <v>0</v>
      </c>
      <c r="J5898" t="n">
        <v>0</v>
      </c>
      <c r="K5898" t="n">
        <v>2</v>
      </c>
      <c r="L5898" t="n">
        <v>0</v>
      </c>
      <c r="M5898" t="n">
        <v>2</v>
      </c>
      <c r="N5898" t="n">
        <v>0</v>
      </c>
      <c r="O5898" t="n">
        <v>0</v>
      </c>
      <c r="P5898" t="n">
        <v>2</v>
      </c>
      <c r="Q5898" t="n">
        <v>0</v>
      </c>
      <c r="R5898" t="n">
        <v>0</v>
      </c>
      <c r="S5898" t="n">
        <v/>
      </c>
      <c r="T5898" t="inlineStr">
        <is>
          <t>1</t>
        </is>
      </c>
      <c r="U5898" t="inlineStr">
        <is>
          <t>4</t>
        </is>
      </c>
      <c r="V5898" t="n">
        <v/>
      </c>
      <c r="W5898" t="n">
        <v/>
      </c>
    </row>
    <row r="5899">
      <c r="A5899" t="inlineStr">
        <is>
          <t>02/04/2026 6:57:01</t>
        </is>
      </c>
      <c r="B5899" t="inlineStr">
        <is>
          <t>Nguyễn Văn Hiệp</t>
        </is>
      </c>
      <c r="C5899" t="inlineStr">
        <is>
          <t>01/04/2026</t>
        </is>
      </c>
      <c r="D5899" t="n">
        <v>0</v>
      </c>
      <c r="E5899" t="n">
        <v>0</v>
      </c>
      <c r="F5899" t="n">
        <v>2</v>
      </c>
      <c r="G5899" t="n">
        <v>0</v>
      </c>
      <c r="H5899" t="n">
        <v>0</v>
      </c>
      <c r="I5899" t="n">
        <v>0</v>
      </c>
      <c r="J5899" t="n">
        <v>0</v>
      </c>
      <c r="K5899" t="n">
        <v>4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/>
      </c>
      <c r="T5899" t="inlineStr">
        <is>
          <t>1</t>
        </is>
      </c>
      <c r="U5899" t="inlineStr">
        <is>
          <t>4</t>
        </is>
      </c>
      <c r="V5899" t="n">
        <v/>
      </c>
      <c r="W5899" t="n">
        <v/>
      </c>
    </row>
    <row r="5900">
      <c r="A5900" t="inlineStr">
        <is>
          <t>02/04/2026 7:04:44</t>
        </is>
      </c>
      <c r="B5900" t="inlineStr">
        <is>
          <t>Bùi Duy Cường</t>
        </is>
      </c>
      <c r="C5900" t="inlineStr">
        <is>
          <t>01/04/2026</t>
        </is>
      </c>
      <c r="D5900" t="n">
        <v>0</v>
      </c>
      <c r="E5900" t="n">
        <v>0</v>
      </c>
      <c r="F5900" t="n">
        <v>0</v>
      </c>
      <c r="G5900" t="n">
        <v>3</v>
      </c>
      <c r="H5900" t="n">
        <v>2</v>
      </c>
      <c r="I5900" t="n">
        <v>0</v>
      </c>
      <c r="J5900" t="n">
        <v>1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/>
      </c>
      <c r="T5900" t="inlineStr">
        <is>
          <t>1</t>
        </is>
      </c>
      <c r="U5900" t="inlineStr">
        <is>
          <t>4</t>
        </is>
      </c>
      <c r="V5900" t="n">
        <v/>
      </c>
      <c r="W5900" t="n">
        <v/>
      </c>
    </row>
    <row r="5901">
      <c r="A5901" t="inlineStr">
        <is>
          <t>02/04/2026 7:14:42</t>
        </is>
      </c>
      <c r="B5901" t="inlineStr">
        <is>
          <t>Lương Duy Hải</t>
        </is>
      </c>
      <c r="C5901" t="inlineStr">
        <is>
          <t>01/04/2026</t>
        </is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  <c r="I5901" t="n">
        <v>0</v>
      </c>
      <c r="J5901" t="n">
        <v>0</v>
      </c>
      <c r="K5901" t="n">
        <v>2</v>
      </c>
      <c r="L5901" t="n">
        <v>0</v>
      </c>
      <c r="M5901" t="n">
        <v>0</v>
      </c>
      <c r="N5901" t="n">
        <v>1</v>
      </c>
      <c r="O5901" t="n">
        <v>0</v>
      </c>
      <c r="P5901" t="n">
        <v>2</v>
      </c>
      <c r="Q5901" t="n">
        <v>4</v>
      </c>
      <c r="R5901" t="n">
        <v>0</v>
      </c>
      <c r="S5901" t="n">
        <v/>
      </c>
      <c r="T5901" t="inlineStr">
        <is>
          <t>1</t>
        </is>
      </c>
      <c r="U5901" t="inlineStr">
        <is>
          <t>4</t>
        </is>
      </c>
      <c r="V5901" t="n">
        <v/>
      </c>
      <c r="W5901" t="n">
        <v/>
      </c>
    </row>
    <row r="5902">
      <c r="A5902" t="inlineStr">
        <is>
          <t>02/04/2026 7:15:51</t>
        </is>
      </c>
      <c r="B5902" t="inlineStr">
        <is>
          <t>Đặng Hoài Anh</t>
        </is>
      </c>
      <c r="C5902" t="inlineStr">
        <is>
          <t>01/04/2026</t>
        </is>
      </c>
      <c r="D5902" t="n">
        <v>0</v>
      </c>
      <c r="E5902" t="n">
        <v>0</v>
      </c>
      <c r="F5902" t="n">
        <v>0</v>
      </c>
      <c r="G5902" t="n">
        <v>1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1</v>
      </c>
      <c r="R5902" t="n">
        <v>0</v>
      </c>
      <c r="S5902" t="n">
        <v/>
      </c>
      <c r="T5902" t="inlineStr">
        <is>
          <t>1</t>
        </is>
      </c>
      <c r="U5902" t="inlineStr">
        <is>
          <t>4</t>
        </is>
      </c>
      <c r="V5902" t="n">
        <v/>
      </c>
      <c r="W5902" t="n">
        <v/>
      </c>
    </row>
    <row r="5903">
      <c r="A5903" t="inlineStr">
        <is>
          <t>02/04/2026 7:27:47</t>
        </is>
      </c>
      <c r="B5903" t="inlineStr">
        <is>
          <t>Nguyễn Tuấn Anh</t>
        </is>
      </c>
      <c r="C5903" t="inlineStr">
        <is>
          <t>01/04/2025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2</v>
      </c>
      <c r="J5903" t="n">
        <v>0</v>
      </c>
      <c r="K5903" t="n">
        <v>2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2</v>
      </c>
      <c r="R5903" t="n">
        <v>0</v>
      </c>
      <c r="S5903" t="n">
        <v/>
      </c>
      <c r="T5903" t="inlineStr">
        <is>
          <t>1</t>
        </is>
      </c>
      <c r="U5903" t="inlineStr">
        <is>
          <t>4</t>
        </is>
      </c>
      <c r="V5903" t="n">
        <v/>
      </c>
      <c r="W5903" t="n">
        <v/>
      </c>
    </row>
    <row r="5904">
      <c r="A5904" t="inlineStr">
        <is>
          <t>02/04/2026 7:35:36</t>
        </is>
      </c>
      <c r="B5904" t="inlineStr">
        <is>
          <t>Nguyễn Quang Anh Tuấn</t>
        </is>
      </c>
      <c r="C5904" t="inlineStr">
        <is>
          <t>01/04/2026</t>
        </is>
      </c>
      <c r="D5904" t="n">
        <v>0</v>
      </c>
      <c r="E5904" t="n">
        <v>0</v>
      </c>
      <c r="F5904" t="n">
        <v>2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2</v>
      </c>
      <c r="N5904" t="n">
        <v>0</v>
      </c>
      <c r="O5904" t="n">
        <v>0</v>
      </c>
      <c r="P5904" t="n">
        <v>0</v>
      </c>
      <c r="Q5904" t="n">
        <v>2</v>
      </c>
      <c r="R5904" t="n">
        <v>0</v>
      </c>
      <c r="S5904" t="n">
        <v/>
      </c>
      <c r="T5904" t="inlineStr">
        <is>
          <t>1</t>
        </is>
      </c>
      <c r="U5904" t="inlineStr">
        <is>
          <t>4</t>
        </is>
      </c>
      <c r="V5904" t="n">
        <v/>
      </c>
      <c r="W5904" t="n">
        <v/>
      </c>
    </row>
    <row r="5905">
      <c r="A5905" t="inlineStr">
        <is>
          <t>02/04/2026 7:36:37</t>
        </is>
      </c>
      <c r="B5905" t="inlineStr">
        <is>
          <t>Dương Minh Tiến</t>
        </is>
      </c>
      <c r="C5905" t="inlineStr">
        <is>
          <t>01/04/2026</t>
        </is>
      </c>
      <c r="D5905" t="n">
        <v>1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3</v>
      </c>
      <c r="L5905" t="n">
        <v>2</v>
      </c>
      <c r="M5905" t="n">
        <v>0</v>
      </c>
      <c r="N5905" t="n">
        <v>0</v>
      </c>
      <c r="O5905" t="n">
        <v>0</v>
      </c>
      <c r="P5905" t="n">
        <v>1</v>
      </c>
      <c r="Q5905" t="n">
        <v>0</v>
      </c>
      <c r="R5905" t="n">
        <v>0</v>
      </c>
      <c r="S5905" t="n">
        <v/>
      </c>
      <c r="T5905" t="inlineStr">
        <is>
          <t>1</t>
        </is>
      </c>
      <c r="U5905" t="inlineStr">
        <is>
          <t>4</t>
        </is>
      </c>
      <c r="V5905" t="n">
        <v/>
      </c>
      <c r="W5905" t="n">
        <v/>
      </c>
    </row>
    <row r="5906">
      <c r="A5906" t="inlineStr">
        <is>
          <t>02/04/2026 7:39:41</t>
        </is>
      </c>
      <c r="B5906" t="inlineStr">
        <is>
          <t>Vòng Nhật Sang</t>
        </is>
      </c>
      <c r="C5906" t="inlineStr">
        <is>
          <t>01/04/2026</t>
        </is>
      </c>
      <c r="D5906" t="n">
        <v>1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2</v>
      </c>
      <c r="L5906" t="n">
        <v>0</v>
      </c>
      <c r="M5906" t="n">
        <v>2</v>
      </c>
      <c r="N5906" t="n">
        <v>0</v>
      </c>
      <c r="O5906" t="n">
        <v>0</v>
      </c>
      <c r="P5906" t="n">
        <v>0</v>
      </c>
      <c r="Q5906" t="n">
        <v>1</v>
      </c>
      <c r="R5906" t="n">
        <v>0</v>
      </c>
      <c r="S5906" t="n">
        <v/>
      </c>
      <c r="T5906" t="inlineStr">
        <is>
          <t>1</t>
        </is>
      </c>
      <c r="U5906" t="inlineStr">
        <is>
          <t>4</t>
        </is>
      </c>
      <c r="V5906" t="n">
        <v/>
      </c>
      <c r="W5906" t="n">
        <v/>
      </c>
    </row>
    <row r="5907">
      <c r="A5907" t="inlineStr">
        <is>
          <t>02/04/2026 7:41:36</t>
        </is>
      </c>
      <c r="B5907" t="inlineStr">
        <is>
          <t>Trần Minh Khánh</t>
        </is>
      </c>
      <c r="C5907" t="inlineStr">
        <is>
          <t>01/04/2026</t>
        </is>
      </c>
      <c r="D5907" t="n">
        <v>1</v>
      </c>
      <c r="E5907" t="n">
        <v>0</v>
      </c>
      <c r="F5907" t="n">
        <v>0</v>
      </c>
      <c r="G5907" t="n">
        <v>1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2</v>
      </c>
      <c r="Q5907" t="n">
        <v>3</v>
      </c>
      <c r="R5907" t="n">
        <v>0</v>
      </c>
      <c r="S5907" t="n">
        <v/>
      </c>
      <c r="T5907" t="inlineStr">
        <is>
          <t>1</t>
        </is>
      </c>
      <c r="U5907" t="inlineStr">
        <is>
          <t>4</t>
        </is>
      </c>
      <c r="V5907" t="n">
        <v/>
      </c>
      <c r="W5907" t="n">
        <v/>
      </c>
    </row>
    <row r="5908">
      <c r="A5908" t="inlineStr">
        <is>
          <t>02/04/2026 7:42:17</t>
        </is>
      </c>
      <c r="B5908" t="inlineStr">
        <is>
          <t>Phan Ngọc Sang</t>
        </is>
      </c>
      <c r="C5908" t="inlineStr">
        <is>
          <t>01/04/2026</t>
        </is>
      </c>
      <c r="D5908" t="n">
        <v>0</v>
      </c>
      <c r="E5908" t="n">
        <v>0</v>
      </c>
      <c r="F5908" t="n">
        <v>0</v>
      </c>
      <c r="G5908" t="n">
        <v>1</v>
      </c>
      <c r="H5908" t="n">
        <v/>
      </c>
      <c r="I5908" t="n">
        <v>1</v>
      </c>
      <c r="J5908" t="n">
        <v>0</v>
      </c>
      <c r="K5908" t="n">
        <v>2</v>
      </c>
      <c r="L5908" t="n">
        <v>0</v>
      </c>
      <c r="M5908" t="n">
        <v>0</v>
      </c>
      <c r="N5908" t="n">
        <v>1</v>
      </c>
      <c r="O5908" t="n">
        <v>0</v>
      </c>
      <c r="P5908" t="n">
        <v>2</v>
      </c>
      <c r="Q5908" t="n">
        <v>1</v>
      </c>
      <c r="R5908" t="n">
        <v>0</v>
      </c>
      <c r="S5908" t="n">
        <v/>
      </c>
      <c r="T5908" t="inlineStr">
        <is>
          <t>1</t>
        </is>
      </c>
      <c r="U5908" t="inlineStr">
        <is>
          <t>4</t>
        </is>
      </c>
      <c r="V5908" t="n">
        <v/>
      </c>
      <c r="W5908" t="n">
        <v/>
      </c>
    </row>
    <row r="5909">
      <c r="A5909" t="inlineStr">
        <is>
          <t>02/04/2026 7:42:35</t>
        </is>
      </c>
      <c r="B5909" t="inlineStr">
        <is>
          <t>Nguyễn Văn Nhật</t>
        </is>
      </c>
      <c r="C5909" t="inlineStr">
        <is>
          <t>02/04/2026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1</v>
      </c>
      <c r="P5909" t="n">
        <v>1</v>
      </c>
      <c r="Q5909" t="n">
        <v>3</v>
      </c>
      <c r="R5909" t="n">
        <v>0</v>
      </c>
      <c r="S5909" t="n">
        <v/>
      </c>
      <c r="T5909" t="inlineStr">
        <is>
          <t>2</t>
        </is>
      </c>
      <c r="U5909" t="inlineStr">
        <is>
          <t>4</t>
        </is>
      </c>
      <c r="V5909" t="n">
        <v/>
      </c>
      <c r="W5909" t="n">
        <v/>
      </c>
    </row>
    <row r="5910">
      <c r="A5910" t="inlineStr">
        <is>
          <t>02/04/2026 7:43:02</t>
        </is>
      </c>
      <c r="B5910" t="inlineStr">
        <is>
          <t>Nguyễn Thành Lâm</t>
        </is>
      </c>
      <c r="C5910" t="inlineStr">
        <is>
          <t>02/04/2026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1</v>
      </c>
      <c r="N5910" t="n">
        <v>0</v>
      </c>
      <c r="O5910" t="n">
        <v>0</v>
      </c>
      <c r="P5910" t="n">
        <v>1</v>
      </c>
      <c r="Q5910" t="n">
        <v>1</v>
      </c>
      <c r="R5910" t="n">
        <v>0</v>
      </c>
      <c r="S5910" t="n">
        <v/>
      </c>
      <c r="T5910" t="inlineStr">
        <is>
          <t>2</t>
        </is>
      </c>
      <c r="U5910" t="inlineStr">
        <is>
          <t>4</t>
        </is>
      </c>
      <c r="V5910" t="n">
        <v/>
      </c>
      <c r="W5910" t="n">
        <v/>
      </c>
    </row>
    <row r="5911">
      <c r="A5911" t="inlineStr">
        <is>
          <t>02/04/2026 7:44:03</t>
        </is>
      </c>
      <c r="B5911" t="inlineStr">
        <is>
          <t>Phan Thành Thái</t>
        </is>
      </c>
      <c r="C5911" t="inlineStr">
        <is>
          <t>01/04/2026</t>
        </is>
      </c>
      <c r="D5911" t="n">
        <v>1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1</v>
      </c>
      <c r="N5911" t="n">
        <v>0</v>
      </c>
      <c r="O5911" t="n">
        <v>0</v>
      </c>
      <c r="P5911" t="n">
        <v>1</v>
      </c>
      <c r="Q5911" t="n">
        <v>4</v>
      </c>
      <c r="R5911" t="n">
        <v>0</v>
      </c>
      <c r="S5911" t="n">
        <v/>
      </c>
      <c r="T5911" t="inlineStr">
        <is>
          <t>1</t>
        </is>
      </c>
      <c r="U5911" t="inlineStr">
        <is>
          <t>4</t>
        </is>
      </c>
      <c r="V5911" t="n">
        <v/>
      </c>
      <c r="W5911" t="n">
        <v/>
      </c>
    </row>
    <row r="5912">
      <c r="A5912" t="inlineStr">
        <is>
          <t>02/04/2026 7:45:08</t>
        </is>
      </c>
      <c r="B5912" t="inlineStr">
        <is>
          <t>Lương Duy Hoàng</t>
        </is>
      </c>
      <c r="C5912" t="inlineStr">
        <is>
          <t>02/04/2026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3</v>
      </c>
      <c r="L5912" t="n">
        <v>0</v>
      </c>
      <c r="M5912" t="n">
        <v>0</v>
      </c>
      <c r="N5912" t="n">
        <v>0</v>
      </c>
      <c r="O5912" t="n">
        <v>0</v>
      </c>
      <c r="P5912" t="n">
        <v>1</v>
      </c>
      <c r="Q5912" t="n">
        <v>1</v>
      </c>
      <c r="R5912" t="n">
        <v>0</v>
      </c>
      <c r="S5912" t="n">
        <v/>
      </c>
      <c r="T5912" t="inlineStr">
        <is>
          <t>2</t>
        </is>
      </c>
      <c r="U5912" t="inlineStr">
        <is>
          <t>4</t>
        </is>
      </c>
      <c r="V5912" t="n">
        <v/>
      </c>
      <c r="W5912" t="n">
        <v/>
      </c>
    </row>
    <row r="5913">
      <c r="A5913" t="inlineStr">
        <is>
          <t>02/04/2026 7:45:11</t>
        </is>
      </c>
      <c r="B5913" t="inlineStr">
        <is>
          <t>Đào Công Trung</t>
        </is>
      </c>
      <c r="C5913" t="inlineStr">
        <is>
          <t>02/04/2026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3</v>
      </c>
      <c r="M5913" t="n">
        <v>0</v>
      </c>
      <c r="N5913" t="n">
        <v>0</v>
      </c>
      <c r="O5913" t="n">
        <v>0</v>
      </c>
      <c r="P5913" t="n">
        <v>3</v>
      </c>
      <c r="Q5913" t="n">
        <v>1</v>
      </c>
      <c r="R5913" t="n">
        <v>0</v>
      </c>
      <c r="S5913" t="n">
        <v/>
      </c>
      <c r="T5913" t="inlineStr">
        <is>
          <t>2</t>
        </is>
      </c>
      <c r="U5913" t="inlineStr">
        <is>
          <t>4</t>
        </is>
      </c>
      <c r="V5913" t="n">
        <v/>
      </c>
      <c r="W5913" t="n">
        <v/>
      </c>
    </row>
    <row r="5914">
      <c r="A5914" t="inlineStr">
        <is>
          <t>02/04/2026 7:45:28</t>
        </is>
      </c>
      <c r="B5914" t="inlineStr">
        <is>
          <t>Nguyễn Thành Lâm</t>
        </is>
      </c>
      <c r="C5914" t="inlineStr">
        <is>
          <t>01/04/2026</t>
        </is>
      </c>
      <c r="D5914" t="n">
        <v>1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2</v>
      </c>
      <c r="M5914" t="n">
        <v>1</v>
      </c>
      <c r="N5914" t="n">
        <v>0</v>
      </c>
      <c r="O5914" t="n">
        <v>0</v>
      </c>
      <c r="P5914" t="n">
        <v>0</v>
      </c>
      <c r="Q5914" t="n">
        <v>2</v>
      </c>
      <c r="R5914" t="n">
        <v>0</v>
      </c>
      <c r="S5914" t="n">
        <v/>
      </c>
      <c r="T5914" t="inlineStr">
        <is>
          <t>1</t>
        </is>
      </c>
      <c r="U5914" t="inlineStr">
        <is>
          <t>4</t>
        </is>
      </c>
      <c r="V5914" t="n">
        <v/>
      </c>
      <c r="W5914" t="n">
        <v/>
      </c>
    </row>
    <row r="5915">
      <c r="A5915" t="inlineStr">
        <is>
          <t>02/04/2026 7:47:27</t>
        </is>
      </c>
      <c r="B5915" t="inlineStr">
        <is>
          <t>Đặng Hữu Danh</t>
        </is>
      </c>
      <c r="C5915" t="inlineStr">
        <is>
          <t>01/04/2026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2</v>
      </c>
      <c r="Q5915" t="n">
        <v>4</v>
      </c>
      <c r="R5915" t="n">
        <v>0</v>
      </c>
      <c r="S5915" t="n">
        <v/>
      </c>
      <c r="T5915" t="inlineStr">
        <is>
          <t>1</t>
        </is>
      </c>
      <c r="U5915" t="inlineStr">
        <is>
          <t>4</t>
        </is>
      </c>
      <c r="V5915" t="n">
        <v/>
      </c>
      <c r="W5915" t="n">
        <v/>
      </c>
    </row>
    <row r="5916">
      <c r="A5916" t="inlineStr">
        <is>
          <t>02/04/2026 7:48:16</t>
        </is>
      </c>
      <c r="B5916" t="inlineStr">
        <is>
          <t>Hồ Thái Minh Trí</t>
        </is>
      </c>
      <c r="C5916" t="inlineStr">
        <is>
          <t>01/04/2026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1</v>
      </c>
      <c r="M5916" t="n">
        <v>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/>
      </c>
      <c r="T5916" t="inlineStr">
        <is>
          <t>1</t>
        </is>
      </c>
      <c r="U5916" t="inlineStr">
        <is>
          <t>4</t>
        </is>
      </c>
      <c r="V5916" t="n">
        <v/>
      </c>
      <c r="W5916" t="n">
        <v/>
      </c>
    </row>
    <row r="5917">
      <c r="A5917" t="inlineStr">
        <is>
          <t>02/04/2026 7:53:41</t>
        </is>
      </c>
      <c r="B5917" t="inlineStr">
        <is>
          <t>Lê Văn Hồng</t>
        </is>
      </c>
      <c r="C5917" t="inlineStr">
        <is>
          <t>01/04/2026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2</v>
      </c>
      <c r="I5917" t="n">
        <v>0</v>
      </c>
      <c r="J5917" t="n">
        <v>0</v>
      </c>
      <c r="K5917" t="n">
        <v>0</v>
      </c>
      <c r="L5917" t="n">
        <v>2</v>
      </c>
      <c r="M5917" t="n">
        <v>0</v>
      </c>
      <c r="N5917" t="n">
        <v>0</v>
      </c>
      <c r="O5917" t="n">
        <v>0</v>
      </c>
      <c r="P5917" t="n">
        <v>0</v>
      </c>
      <c r="Q5917" t="n">
        <v>3</v>
      </c>
      <c r="R5917" t="n">
        <v>0</v>
      </c>
      <c r="S5917" t="n">
        <v/>
      </c>
      <c r="T5917" t="inlineStr">
        <is>
          <t>1</t>
        </is>
      </c>
      <c r="U5917" t="inlineStr">
        <is>
          <t>4</t>
        </is>
      </c>
      <c r="V5917" t="n">
        <v/>
      </c>
      <c r="W5917" t="n">
        <v/>
      </c>
    </row>
    <row r="5918">
      <c r="A5918" t="inlineStr">
        <is>
          <t>02/04/2026 7:55:23</t>
        </is>
      </c>
      <c r="B5918" t="inlineStr">
        <is>
          <t>Lê Hồng Phong</t>
        </is>
      </c>
      <c r="C5918" t="inlineStr">
        <is>
          <t>01/04/2026</t>
        </is>
      </c>
      <c r="D5918" t="n">
        <v>1</v>
      </c>
      <c r="E5918" t="n">
        <v>1</v>
      </c>
      <c r="F5918" t="n">
        <v>1</v>
      </c>
      <c r="G5918" t="n">
        <v>0</v>
      </c>
      <c r="H5918" t="n">
        <v>0</v>
      </c>
      <c r="I5918" t="n">
        <v>1</v>
      </c>
      <c r="J5918" t="n">
        <v>1</v>
      </c>
      <c r="K5918" t="n">
        <v>1</v>
      </c>
      <c r="L5918" t="n">
        <v>1</v>
      </c>
      <c r="M5918" t="n">
        <v>1</v>
      </c>
      <c r="N5918" t="n">
        <v>1</v>
      </c>
      <c r="O5918" t="n">
        <v>1</v>
      </c>
      <c r="P5918" t="n">
        <v>1</v>
      </c>
      <c r="Q5918" t="n">
        <v>1</v>
      </c>
      <c r="R5918" t="n">
        <v>1</v>
      </c>
      <c r="S5918" t="n">
        <v/>
      </c>
      <c r="T5918" t="inlineStr">
        <is>
          <t>1</t>
        </is>
      </c>
      <c r="U5918" t="inlineStr">
        <is>
          <t>4</t>
        </is>
      </c>
      <c r="V5918" t="n">
        <v/>
      </c>
      <c r="W5918" t="n">
        <v/>
      </c>
    </row>
    <row r="5919">
      <c r="A5919" t="inlineStr">
        <is>
          <t>02/04/2026 7:56:45</t>
        </is>
      </c>
      <c r="B5919" t="inlineStr">
        <is>
          <t>Trần Xuân Khoa</t>
        </is>
      </c>
      <c r="C5919" t="inlineStr">
        <is>
          <t>01/04/2026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2</v>
      </c>
      <c r="Q5919" t="n">
        <v>3</v>
      </c>
      <c r="R5919" t="n">
        <v>0</v>
      </c>
      <c r="S5919" t="n">
        <v/>
      </c>
      <c r="T5919" t="inlineStr">
        <is>
          <t>1</t>
        </is>
      </c>
      <c r="U5919" t="inlineStr">
        <is>
          <t>4</t>
        </is>
      </c>
      <c r="V5919" t="n">
        <v/>
      </c>
      <c r="W5919" t="n">
        <v/>
      </c>
    </row>
    <row r="5920">
      <c r="A5920" t="inlineStr">
        <is>
          <t>02/04/2026 8:44:57</t>
        </is>
      </c>
      <c r="B5920" t="inlineStr">
        <is>
          <t>Huỳnh Văn Lực</t>
        </is>
      </c>
      <c r="C5920" t="inlineStr">
        <is>
          <t>01/04/2026</t>
        </is>
      </c>
      <c r="D5920" t="n">
        <v>1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2</v>
      </c>
      <c r="L5920" t="n">
        <v>1</v>
      </c>
      <c r="M5920" t="n">
        <v>0</v>
      </c>
      <c r="N5920" t="n">
        <v>0</v>
      </c>
      <c r="O5920" t="n">
        <v>0</v>
      </c>
      <c r="P5920" t="n">
        <v>1</v>
      </c>
      <c r="Q5920" t="n">
        <v>1</v>
      </c>
      <c r="R5920" t="n">
        <v>0</v>
      </c>
      <c r="S5920" t="n">
        <v/>
      </c>
      <c r="T5920" t="inlineStr">
        <is>
          <t>1</t>
        </is>
      </c>
      <c r="U5920" t="inlineStr">
        <is>
          <t>4</t>
        </is>
      </c>
      <c r="V5920" t="n">
        <v/>
      </c>
      <c r="W5920" t="n">
        <v/>
      </c>
    </row>
    <row r="5921">
      <c r="A5921" t="inlineStr">
        <is>
          <t>02/04/2026 9:02:42</t>
        </is>
      </c>
      <c r="B5921" t="inlineStr">
        <is>
          <t>Huỳnh Văn Lực</t>
        </is>
      </c>
      <c r="C5921" t="inlineStr">
        <is>
          <t>31/03/2026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2</v>
      </c>
      <c r="Q5921" t="n">
        <v>1</v>
      </c>
      <c r="R5921" t="n">
        <v>0</v>
      </c>
      <c r="S5921" t="n">
        <v/>
      </c>
      <c r="T5921" t="inlineStr">
        <is>
          <t>31</t>
        </is>
      </c>
      <c r="U5921" t="inlineStr">
        <is>
          <t>3</t>
        </is>
      </c>
      <c r="V5921" t="n">
        <v/>
      </c>
      <c r="W5921" t="n">
        <v/>
      </c>
    </row>
    <row r="5922">
      <c r="A5922" t="inlineStr">
        <is>
          <t>02/04/2026 22:01:10</t>
        </is>
      </c>
      <c r="B5922" t="inlineStr">
        <is>
          <t>Trần Minh Khánh</t>
        </is>
      </c>
      <c r="C5922" t="inlineStr">
        <is>
          <t>02/04/2026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2</v>
      </c>
      <c r="L5922" t="n">
        <v>0</v>
      </c>
      <c r="M5922" t="n">
        <v>2</v>
      </c>
      <c r="N5922" t="n">
        <v>0</v>
      </c>
      <c r="O5922" t="n">
        <v>0</v>
      </c>
      <c r="P5922" t="n">
        <v>0</v>
      </c>
      <c r="Q5922" t="n">
        <v>5</v>
      </c>
      <c r="R5922" t="n">
        <v>0</v>
      </c>
      <c r="S5922" t="n">
        <v/>
      </c>
      <c r="T5922" t="inlineStr">
        <is>
          <t>2</t>
        </is>
      </c>
      <c r="U5922" t="inlineStr">
        <is>
          <t>4</t>
        </is>
      </c>
      <c r="V5922" t="n">
        <v/>
      </c>
      <c r="W5922" t="n">
        <v/>
      </c>
    </row>
    <row r="5923">
      <c r="A5923" t="inlineStr">
        <is>
          <t>03/04/2026 6:16:43</t>
        </is>
      </c>
      <c r="B5923" t="inlineStr">
        <is>
          <t>Phan Ngọc Sang</t>
        </is>
      </c>
      <c r="C5923" t="inlineStr">
        <is>
          <t>02/04/2026</t>
        </is>
      </c>
      <c r="D5923" t="n">
        <v>1</v>
      </c>
      <c r="E5923" t="n">
        <v>1</v>
      </c>
      <c r="F5923" t="n">
        <v>0</v>
      </c>
      <c r="G5923" t="n">
        <v>0</v>
      </c>
      <c r="H5923" t="n">
        <v>0</v>
      </c>
      <c r="I5923" t="n">
        <v>1</v>
      </c>
      <c r="J5923" t="n">
        <v>1</v>
      </c>
      <c r="K5923" t="n">
        <v>0</v>
      </c>
      <c r="L5923" t="n">
        <v>0</v>
      </c>
      <c r="M5923" t="n">
        <v>3</v>
      </c>
      <c r="N5923" t="n">
        <v>0</v>
      </c>
      <c r="O5923" t="n">
        <v>0</v>
      </c>
      <c r="P5923" t="n">
        <v>1</v>
      </c>
      <c r="Q5923" t="n">
        <v>2</v>
      </c>
      <c r="R5923" t="n">
        <v>0</v>
      </c>
      <c r="S5923" t="n">
        <v/>
      </c>
      <c r="T5923" t="inlineStr">
        <is>
          <t>2</t>
        </is>
      </c>
      <c r="U5923" t="inlineStr">
        <is>
          <t>4</t>
        </is>
      </c>
      <c r="V5923" t="n">
        <v/>
      </c>
      <c r="W5923" t="n">
        <v/>
      </c>
    </row>
    <row r="5924">
      <c r="A5924" t="inlineStr">
        <is>
          <t>03/04/2026 6:27:46</t>
        </is>
      </c>
      <c r="B5924" t="inlineStr">
        <is>
          <t>Vòng Nhật Sang</t>
        </is>
      </c>
      <c r="C5924" t="inlineStr">
        <is>
          <t>02/04/2026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3</v>
      </c>
      <c r="N5924" t="n">
        <v>0</v>
      </c>
      <c r="O5924" t="n">
        <v>0</v>
      </c>
      <c r="P5924" t="n">
        <v>1</v>
      </c>
      <c r="Q5924" t="n">
        <v>2</v>
      </c>
      <c r="R5924" t="n">
        <v>0</v>
      </c>
      <c r="S5924" t="n">
        <v/>
      </c>
      <c r="T5924" t="inlineStr">
        <is>
          <t>2</t>
        </is>
      </c>
      <c r="U5924" t="inlineStr">
        <is>
          <t>4</t>
        </is>
      </c>
      <c r="V5924" t="n">
        <v/>
      </c>
      <c r="W5924" t="n">
        <v/>
      </c>
    </row>
    <row r="5925">
      <c r="A5925" t="inlineStr">
        <is>
          <t>03/04/2026 6:41:57</t>
        </is>
      </c>
      <c r="B5925" t="inlineStr">
        <is>
          <t>Đặng Hoài Anh</t>
        </is>
      </c>
      <c r="C5925" t="inlineStr">
        <is>
          <t>02/04/2026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1</v>
      </c>
      <c r="O5925" t="n">
        <v>0</v>
      </c>
      <c r="P5925" t="n">
        <v>0</v>
      </c>
      <c r="Q5925" t="n">
        <v>0</v>
      </c>
      <c r="R5925" t="n">
        <v>0</v>
      </c>
      <c r="S5925" t="n">
        <v/>
      </c>
      <c r="T5925" t="inlineStr">
        <is>
          <t>2</t>
        </is>
      </c>
      <c r="U5925" t="inlineStr">
        <is>
          <t>4</t>
        </is>
      </c>
      <c r="V5925" t="n">
        <v/>
      </c>
      <c r="W5925" t="n">
        <v/>
      </c>
    </row>
    <row r="5926">
      <c r="A5926" t="inlineStr">
        <is>
          <t>03/04/2026 6:53:24</t>
        </is>
      </c>
      <c r="B5926" t="inlineStr">
        <is>
          <t>Nguyễn Văn Hiệp</t>
        </is>
      </c>
      <c r="C5926" t="inlineStr">
        <is>
          <t>02/04/2026</t>
        </is>
      </c>
      <c r="D5926" t="n">
        <v>1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9</v>
      </c>
      <c r="M5926" t="n">
        <v>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/>
      </c>
      <c r="T5926" t="inlineStr">
        <is>
          <t>2</t>
        </is>
      </c>
      <c r="U5926" t="inlineStr">
        <is>
          <t>4</t>
        </is>
      </c>
      <c r="V5926" t="n">
        <v/>
      </c>
      <c r="W5926" t="n">
        <v/>
      </c>
    </row>
    <row r="5927">
      <c r="A5927" t="inlineStr">
        <is>
          <t>03/04/2026 6:55:36</t>
        </is>
      </c>
      <c r="B5927" t="inlineStr">
        <is>
          <t>Nguyễn Tuấn Anh</t>
        </is>
      </c>
      <c r="C5927" t="inlineStr">
        <is>
          <t>02/04/2026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2</v>
      </c>
      <c r="L5927" t="n">
        <v>0</v>
      </c>
      <c r="M5927" t="n">
        <v>0</v>
      </c>
      <c r="N5927" t="n">
        <v>0</v>
      </c>
      <c r="O5927" t="n">
        <v>0</v>
      </c>
      <c r="P5927" t="n">
        <v>1</v>
      </c>
      <c r="Q5927" t="n">
        <v>2</v>
      </c>
      <c r="R5927" t="n">
        <v>0</v>
      </c>
      <c r="S5927" t="n">
        <v/>
      </c>
      <c r="T5927" t="inlineStr">
        <is>
          <t>2</t>
        </is>
      </c>
      <c r="U5927" t="inlineStr">
        <is>
          <t>4</t>
        </is>
      </c>
      <c r="V5927" t="n">
        <v/>
      </c>
      <c r="W5927" t="n">
        <v/>
      </c>
    </row>
    <row r="5928">
      <c r="A5928" t="inlineStr">
        <is>
          <t>03/04/2026 6:58:44</t>
        </is>
      </c>
      <c r="B5928" t="inlineStr">
        <is>
          <t>Nguyễn Văn Nhật</t>
        </is>
      </c>
      <c r="C5928" t="inlineStr">
        <is>
          <t>02/04/2026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1</v>
      </c>
      <c r="P5928" t="n">
        <v>1</v>
      </c>
      <c r="Q5928" t="n">
        <v>3</v>
      </c>
      <c r="R5928" t="n">
        <v>0</v>
      </c>
      <c r="S5928" t="n">
        <v/>
      </c>
      <c r="T5928" t="inlineStr">
        <is>
          <t>2</t>
        </is>
      </c>
      <c r="U5928" t="inlineStr">
        <is>
          <t>4</t>
        </is>
      </c>
      <c r="V5928" t="n">
        <v/>
      </c>
      <c r="W5928" t="n">
        <v/>
      </c>
    </row>
    <row r="5929">
      <c r="A5929" t="inlineStr">
        <is>
          <t>03/04/2026 7:00:49</t>
        </is>
      </c>
      <c r="B5929" t="inlineStr">
        <is>
          <t>Nguyễn Quang Anh Tuấn</t>
        </is>
      </c>
      <c r="C5929" t="inlineStr">
        <is>
          <t>02/04/2026</t>
        </is>
      </c>
      <c r="D5929" t="n">
        <v>1</v>
      </c>
      <c r="E5929" t="n">
        <v>1</v>
      </c>
      <c r="F5929" t="n">
        <v>1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1</v>
      </c>
      <c r="N5929" t="n">
        <v>0</v>
      </c>
      <c r="O5929" t="n">
        <v>0</v>
      </c>
      <c r="P5929" t="n">
        <v>0</v>
      </c>
      <c r="Q5929" t="n">
        <v>1</v>
      </c>
      <c r="R5929" t="n">
        <v>0</v>
      </c>
      <c r="S5929" t="n">
        <v/>
      </c>
      <c r="T5929" t="inlineStr">
        <is>
          <t>2</t>
        </is>
      </c>
      <c r="U5929" t="inlineStr">
        <is>
          <t>4</t>
        </is>
      </c>
      <c r="V5929" t="n">
        <v/>
      </c>
      <c r="W5929" t="n">
        <v/>
      </c>
    </row>
    <row r="5930">
      <c r="A5930" t="inlineStr">
        <is>
          <t>03/04/2026 7:01:08</t>
        </is>
      </c>
      <c r="B5930" t="inlineStr">
        <is>
          <t>Phan Thành Thái</t>
        </is>
      </c>
      <c r="C5930" t="inlineStr">
        <is>
          <t>02/04/2026</t>
        </is>
      </c>
      <c r="D5930" t="n">
        <v>2</v>
      </c>
      <c r="E5930" t="n">
        <v>0</v>
      </c>
      <c r="F5930" t="n">
        <v>1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2</v>
      </c>
      <c r="N5930" t="n">
        <v>0</v>
      </c>
      <c r="O5930" t="n">
        <v>0</v>
      </c>
      <c r="P5930" t="n">
        <v>0</v>
      </c>
      <c r="Q5930" t="n">
        <v>5</v>
      </c>
      <c r="R5930" t="n">
        <v>0</v>
      </c>
      <c r="S5930" t="n">
        <v/>
      </c>
      <c r="T5930" t="inlineStr">
        <is>
          <t>2</t>
        </is>
      </c>
      <c r="U5930" t="inlineStr">
        <is>
          <t>4</t>
        </is>
      </c>
      <c r="V5930" t="n">
        <v/>
      </c>
      <c r="W5930" t="n">
        <v/>
      </c>
    </row>
    <row r="5931">
      <c r="A5931" t="inlineStr">
        <is>
          <t>03/04/2026 7:08:10</t>
        </is>
      </c>
      <c r="B5931" t="inlineStr">
        <is>
          <t>Trần Trung Giang</t>
        </is>
      </c>
      <c r="C5931" t="inlineStr">
        <is>
          <t>02/04/2026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1</v>
      </c>
      <c r="N5931" t="n">
        <v>0</v>
      </c>
      <c r="O5931" t="n">
        <v>0</v>
      </c>
      <c r="P5931" t="n">
        <v>1</v>
      </c>
      <c r="Q5931" t="n">
        <v>1</v>
      </c>
      <c r="R5931" t="n">
        <v>0</v>
      </c>
      <c r="S5931" t="n">
        <v/>
      </c>
      <c r="T5931" t="inlineStr">
        <is>
          <t>2</t>
        </is>
      </c>
      <c r="U5931" t="inlineStr">
        <is>
          <t>4</t>
        </is>
      </c>
      <c r="V5931" t="n">
        <v/>
      </c>
      <c r="W5931" t="n">
        <v/>
      </c>
    </row>
    <row r="5932">
      <c r="A5932" t="inlineStr">
        <is>
          <t>03/04/2026 7:16:35</t>
        </is>
      </c>
      <c r="B5932" t="inlineStr">
        <is>
          <t>Đặng Hữu Danh</t>
        </is>
      </c>
      <c r="C5932" t="inlineStr">
        <is>
          <t>02/04/2026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3</v>
      </c>
      <c r="Q5932" t="n">
        <v>2</v>
      </c>
      <c r="R5932" t="n">
        <v>0</v>
      </c>
      <c r="S5932" t="n">
        <v/>
      </c>
      <c r="T5932" t="inlineStr">
        <is>
          <t>2</t>
        </is>
      </c>
      <c r="U5932" t="inlineStr">
        <is>
          <t>4</t>
        </is>
      </c>
      <c r="V5932" t="n">
        <v/>
      </c>
      <c r="W5932" t="n">
        <v/>
      </c>
    </row>
    <row r="5933">
      <c r="A5933" t="inlineStr">
        <is>
          <t>03/04/2026 7:20:48</t>
        </is>
      </c>
      <c r="B5933" t="inlineStr">
        <is>
          <t>Dương Minh Tiến</t>
        </is>
      </c>
      <c r="C5933" t="inlineStr">
        <is>
          <t>02/04/2026</t>
        </is>
      </c>
      <c r="D5933" t="n">
        <v>0</v>
      </c>
      <c r="E5933" t="n">
        <v>0</v>
      </c>
      <c r="F5933" t="n">
        <v>9</v>
      </c>
      <c r="G5933" t="n">
        <v>0</v>
      </c>
      <c r="H5933" t="n">
        <v>9</v>
      </c>
      <c r="I5933" t="n">
        <v>0</v>
      </c>
      <c r="J5933" t="n">
        <v>0</v>
      </c>
      <c r="K5933" t="n">
        <v>2</v>
      </c>
      <c r="L5933" t="n">
        <v>0</v>
      </c>
      <c r="M5933" t="n">
        <v>0</v>
      </c>
      <c r="N5933" t="n">
        <v>0</v>
      </c>
      <c r="O5933" t="n">
        <v>0</v>
      </c>
      <c r="P5933" t="n">
        <v>1</v>
      </c>
      <c r="Q5933" t="n">
        <v>0</v>
      </c>
      <c r="R5933" t="n">
        <v>0</v>
      </c>
      <c r="S5933" t="n">
        <v/>
      </c>
      <c r="T5933" t="inlineStr">
        <is>
          <t>2</t>
        </is>
      </c>
      <c r="U5933" t="inlineStr">
        <is>
          <t>4</t>
        </is>
      </c>
      <c r="V5933" t="n">
        <v/>
      </c>
      <c r="W5933" t="n">
        <v/>
      </c>
    </row>
    <row r="5934">
      <c r="A5934" t="inlineStr">
        <is>
          <t>03/04/2026 7:57:35</t>
        </is>
      </c>
      <c r="B5934" t="inlineStr">
        <is>
          <t>Lê Quốc Duy</t>
        </is>
      </c>
      <c r="C5934" t="inlineStr">
        <is>
          <t>02/04/2026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/>
      </c>
      <c r="T5934" t="inlineStr">
        <is>
          <t>2</t>
        </is>
      </c>
      <c r="U5934" t="inlineStr">
        <is>
          <t>4</t>
        </is>
      </c>
      <c r="V5934" t="n">
        <v/>
      </c>
      <c r="W5934" t="n">
        <v/>
      </c>
    </row>
    <row r="5935">
      <c r="A5935" t="inlineStr">
        <is>
          <t>03/04/2026 7:58:31</t>
        </is>
      </c>
      <c r="B5935" t="inlineStr">
        <is>
          <t>Hồ Thái Minh Trí</t>
        </is>
      </c>
      <c r="C5935" t="inlineStr">
        <is>
          <t>02/04/2026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1</v>
      </c>
      <c r="R5935" t="n">
        <v>0</v>
      </c>
      <c r="S5935" t="n">
        <v/>
      </c>
      <c r="T5935" t="inlineStr">
        <is>
          <t>2</t>
        </is>
      </c>
      <c r="U5935" t="inlineStr">
        <is>
          <t>4</t>
        </is>
      </c>
      <c r="V5935" t="n">
        <v/>
      </c>
      <c r="W5935" t="n">
        <v/>
      </c>
    </row>
    <row r="5936">
      <c r="A5936" t="inlineStr">
        <is>
          <t>03/04/2026 7:58:59</t>
        </is>
      </c>
      <c r="B5936" t="inlineStr">
        <is>
          <t>Lê Văn Hồng</t>
        </is>
      </c>
      <c r="C5936" t="inlineStr">
        <is>
          <t>02/04/2026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6</v>
      </c>
      <c r="L5936" t="n">
        <v>1</v>
      </c>
      <c r="M5936" t="n">
        <v>0</v>
      </c>
      <c r="N5936" t="n">
        <v>0</v>
      </c>
      <c r="O5936" t="n">
        <v>0</v>
      </c>
      <c r="P5936" t="n">
        <v>0</v>
      </c>
      <c r="Q5936" t="n">
        <v>3</v>
      </c>
      <c r="R5936" t="n">
        <v>0</v>
      </c>
      <c r="S5936" t="n">
        <v/>
      </c>
      <c r="T5936" t="inlineStr">
        <is>
          <t>2</t>
        </is>
      </c>
      <c r="U5936" t="inlineStr">
        <is>
          <t>4</t>
        </is>
      </c>
      <c r="V5936" t="n">
        <v/>
      </c>
      <c r="W5936" t="n">
        <v/>
      </c>
    </row>
    <row r="5937">
      <c r="A5937" t="inlineStr">
        <is>
          <t>03/04/2026 8:11:13</t>
        </is>
      </c>
      <c r="B5937" t="inlineStr">
        <is>
          <t>Huỳnh Văn Lực</t>
        </is>
      </c>
      <c r="C5937" t="inlineStr">
        <is>
          <t>02/04/2026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1</v>
      </c>
      <c r="L5937" t="n">
        <v>0</v>
      </c>
      <c r="M5937" t="n">
        <v>0</v>
      </c>
      <c r="N5937" t="n">
        <v>0</v>
      </c>
      <c r="O5937" t="n">
        <v>0</v>
      </c>
      <c r="P5937" t="n">
        <v>1</v>
      </c>
      <c r="Q5937" t="n">
        <v>0</v>
      </c>
      <c r="R5937" t="n">
        <v>0</v>
      </c>
      <c r="S5937" t="n">
        <v/>
      </c>
      <c r="T5937" t="inlineStr">
        <is>
          <t>2</t>
        </is>
      </c>
      <c r="U5937" t="inlineStr">
        <is>
          <t>4</t>
        </is>
      </c>
      <c r="V5937" t="n">
        <v/>
      </c>
      <c r="W5937" t="n">
        <v/>
      </c>
    </row>
    <row r="5938">
      <c r="A5938" t="inlineStr">
        <is>
          <t>03/04/2026 8:16:06</t>
        </is>
      </c>
      <c r="B5938" t="inlineStr">
        <is>
          <t>Lê Hồng Phong</t>
        </is>
      </c>
      <c r="C5938" t="inlineStr">
        <is>
          <t>03/04/2026</t>
        </is>
      </c>
      <c r="D5938" t="n">
        <v>1</v>
      </c>
      <c r="E5938" t="n">
        <v>1</v>
      </c>
      <c r="F5938" t="n">
        <v>1</v>
      </c>
      <c r="G5938" t="n">
        <v>1</v>
      </c>
      <c r="H5938" t="n">
        <v>1</v>
      </c>
      <c r="I5938" t="n">
        <v>1</v>
      </c>
      <c r="J5938" t="n">
        <v>1</v>
      </c>
      <c r="K5938" t="n">
        <v>1</v>
      </c>
      <c r="L5938" t="n">
        <v>1</v>
      </c>
      <c r="M5938" t="n">
        <v>1</v>
      </c>
      <c r="N5938" t="n">
        <v>1</v>
      </c>
      <c r="O5938" t="n">
        <v>1</v>
      </c>
      <c r="P5938" t="n">
        <v>1</v>
      </c>
      <c r="Q5938" t="n">
        <v>1</v>
      </c>
      <c r="R5938" t="n">
        <v>1</v>
      </c>
      <c r="S5938" t="n">
        <v/>
      </c>
      <c r="T5938" t="inlineStr">
        <is>
          <t>3</t>
        </is>
      </c>
      <c r="U5938" t="inlineStr">
        <is>
          <t>4</t>
        </is>
      </c>
      <c r="V5938" t="n">
        <v/>
      </c>
      <c r="W5938" t="n">
        <v/>
      </c>
    </row>
    <row r="5939">
      <c r="A5939" t="inlineStr">
        <is>
          <t>03/04/2026 8:17:43</t>
        </is>
      </c>
      <c r="B5939" t="inlineStr">
        <is>
          <t>Bùi Duy Cường</t>
        </is>
      </c>
      <c r="C5939" t="inlineStr">
        <is>
          <t>02/04/2026</t>
        </is>
      </c>
      <c r="D5939" t="n">
        <v>2</v>
      </c>
      <c r="E5939" t="n">
        <v>1</v>
      </c>
      <c r="F5939" t="n">
        <v>1</v>
      </c>
      <c r="G5939" t="n">
        <v>2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2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/>
      </c>
      <c r="T5939" t="inlineStr">
        <is>
          <t>2</t>
        </is>
      </c>
      <c r="U5939" t="inlineStr">
        <is>
          <t>4</t>
        </is>
      </c>
      <c r="V5939" t="n">
        <v/>
      </c>
      <c r="W5939" t="n">
        <v/>
      </c>
    </row>
    <row r="5940">
      <c r="A5940" t="inlineStr">
        <is>
          <t>03/04/2026 8:26:58</t>
        </is>
      </c>
      <c r="B5940" t="inlineStr">
        <is>
          <t>Đào Công Trung</t>
        </is>
      </c>
      <c r="C5940" t="inlineStr">
        <is>
          <t>01/04/2026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2</v>
      </c>
      <c r="L5940" t="n">
        <v>2</v>
      </c>
      <c r="M5940" t="n">
        <v>1</v>
      </c>
      <c r="N5940" t="n">
        <v>1</v>
      </c>
      <c r="O5940" t="n">
        <v>1</v>
      </c>
      <c r="P5940" t="n">
        <v>2</v>
      </c>
      <c r="Q5940" t="n">
        <v>2</v>
      </c>
      <c r="R5940" t="n">
        <v>2</v>
      </c>
      <c r="S5940" t="n">
        <v/>
      </c>
      <c r="T5940" t="inlineStr">
        <is>
          <t>1</t>
        </is>
      </c>
      <c r="U5940" t="inlineStr">
        <is>
          <t>4</t>
        </is>
      </c>
      <c r="V5940" t="n">
        <v/>
      </c>
      <c r="W5940" t="n">
        <v/>
      </c>
    </row>
    <row r="5941">
      <c r="A5941" t="inlineStr">
        <is>
          <t>03/04/2026 8:27:22</t>
        </is>
      </c>
      <c r="B5941" t="inlineStr">
        <is>
          <t>Trần Xuân Khoa</t>
        </is>
      </c>
      <c r="C5941" t="inlineStr">
        <is>
          <t>02/04/2026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1</v>
      </c>
      <c r="Q5941" t="n">
        <v>2</v>
      </c>
      <c r="R5941" t="n">
        <v>0</v>
      </c>
      <c r="S5941" t="n">
        <v/>
      </c>
      <c r="T5941" t="inlineStr">
        <is>
          <t>2</t>
        </is>
      </c>
      <c r="U5941" t="inlineStr">
        <is>
          <t>4</t>
        </is>
      </c>
      <c r="V5941" t="n">
        <v/>
      </c>
      <c r="W5941" t="n">
        <v/>
      </c>
    </row>
    <row r="5942">
      <c r="A5942" t="inlineStr">
        <is>
          <t>03/04/2026 8:28:22</t>
        </is>
      </c>
      <c r="B5942" t="inlineStr">
        <is>
          <t>Lương Duy Hải</t>
        </is>
      </c>
      <c r="C5942" t="inlineStr">
        <is>
          <t>02/04/2026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4</v>
      </c>
      <c r="M5942" t="n">
        <v>0</v>
      </c>
      <c r="N5942" t="n">
        <v>0</v>
      </c>
      <c r="O5942" t="n">
        <v>0</v>
      </c>
      <c r="P5942" t="n">
        <v>1</v>
      </c>
      <c r="Q5942" t="n">
        <v>3</v>
      </c>
      <c r="R5942" t="n">
        <v>2</v>
      </c>
      <c r="S5942" t="n">
        <v/>
      </c>
      <c r="T5942" t="inlineStr">
        <is>
          <t>2</t>
        </is>
      </c>
      <c r="U5942" t="inlineStr">
        <is>
          <t>4</t>
        </is>
      </c>
      <c r="V5942" t="n">
        <v/>
      </c>
      <c r="W5942" t="n">
        <v/>
      </c>
    </row>
    <row r="5943">
      <c r="A5943" t="inlineStr">
        <is>
          <t>03/04/2026 8:28:26</t>
        </is>
      </c>
      <c r="B5943" t="inlineStr">
        <is>
          <t>Đào Công Trung</t>
        </is>
      </c>
      <c r="C5943" t="inlineStr">
        <is>
          <t>03/04/2026</t>
        </is>
      </c>
      <c r="D5943" t="n">
        <v>1</v>
      </c>
      <c r="E5943" t="n">
        <v>1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2</v>
      </c>
      <c r="Q5943" t="n">
        <v>2</v>
      </c>
      <c r="R5943" t="n">
        <v>1</v>
      </c>
      <c r="S5943" t="n">
        <v/>
      </c>
      <c r="T5943" t="inlineStr">
        <is>
          <t>3</t>
        </is>
      </c>
      <c r="U5943" t="inlineStr">
        <is>
          <t>4</t>
        </is>
      </c>
      <c r="V5943" t="n">
        <v/>
      </c>
      <c r="W5943" t="n">
        <v/>
      </c>
    </row>
    <row r="5944">
      <c r="A5944" t="inlineStr">
        <is>
          <t>03/04/2026 8:42:24</t>
        </is>
      </c>
      <c r="B5944" t="inlineStr">
        <is>
          <t>Lương Duy Hoàng</t>
        </is>
      </c>
      <c r="C5944" t="inlineStr">
        <is>
          <t>02/04/2026</t>
        </is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  <c r="I5944" t="n">
        <v>0</v>
      </c>
      <c r="J5944" t="n">
        <v>0</v>
      </c>
      <c r="K5944" t="n">
        <v>5</v>
      </c>
      <c r="L5944" t="n">
        <v>0</v>
      </c>
      <c r="M5944" t="n">
        <v>0</v>
      </c>
      <c r="N5944" t="n">
        <v>1</v>
      </c>
      <c r="O5944" t="n">
        <v>0</v>
      </c>
      <c r="P5944" t="n">
        <v>1</v>
      </c>
      <c r="Q5944" t="n">
        <v>1</v>
      </c>
      <c r="R5944" t="n">
        <v>0</v>
      </c>
      <c r="S5944" t="n">
        <v/>
      </c>
      <c r="T5944" t="inlineStr">
        <is>
          <t>2</t>
        </is>
      </c>
      <c r="U5944" t="inlineStr">
        <is>
          <t>4</t>
        </is>
      </c>
      <c r="V5944" t="n">
        <v/>
      </c>
      <c r="W5944" t="n">
        <v/>
      </c>
    </row>
    <row r="5945">
      <c r="A5945" t="inlineStr">
        <is>
          <t>03/04/2026 8:48:59</t>
        </is>
      </c>
      <c r="B5945" t="inlineStr">
        <is>
          <t>Hồ Xuân Việt</t>
        </is>
      </c>
      <c r="C5945" t="inlineStr">
        <is>
          <t>02/04/2026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1</v>
      </c>
      <c r="R5945" t="n">
        <v>0</v>
      </c>
      <c r="S5945" t="n">
        <v/>
      </c>
      <c r="T5945" t="inlineStr">
        <is>
          <t>2</t>
        </is>
      </c>
      <c r="U5945" t="inlineStr">
        <is>
          <t>4</t>
        </is>
      </c>
      <c r="V5945" t="n">
        <v/>
      </c>
      <c r="W5945" t="n">
        <v/>
      </c>
    </row>
    <row r="5946">
      <c r="A5946" t="inlineStr">
        <is>
          <t>03/04/2026 9:58:07</t>
        </is>
      </c>
      <c r="B5946" t="inlineStr">
        <is>
          <t>Hồ Xuân Việt</t>
        </is>
      </c>
      <c r="C5946" t="inlineStr">
        <is>
          <t>01/04/2026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1</v>
      </c>
      <c r="R5946" t="n">
        <v>0</v>
      </c>
      <c r="S5946" t="n">
        <v/>
      </c>
      <c r="T5946" t="inlineStr">
        <is>
          <t>1</t>
        </is>
      </c>
      <c r="U5946" t="inlineStr">
        <is>
          <t>4</t>
        </is>
      </c>
      <c r="V5946" t="n">
        <v/>
      </c>
      <c r="W5946" t="n">
        <v/>
      </c>
    </row>
    <row r="5947">
      <c r="A5947" t="inlineStr">
        <is>
          <t>03/04/2026 10:09:22</t>
        </is>
      </c>
      <c r="B5947" t="inlineStr">
        <is>
          <t>Hoàng Văn Chất</t>
        </is>
      </c>
      <c r="C5947" t="inlineStr">
        <is>
          <t>02/04/2026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1</v>
      </c>
      <c r="N5947" t="n">
        <v>0</v>
      </c>
      <c r="O5947" t="n">
        <v>0</v>
      </c>
      <c r="P5947" t="n">
        <v>0</v>
      </c>
      <c r="Q5947" t="n">
        <v>3</v>
      </c>
      <c r="R5947" t="n">
        <v>0</v>
      </c>
      <c r="S5947" t="n">
        <v/>
      </c>
      <c r="T5947" t="inlineStr">
        <is>
          <t>2</t>
        </is>
      </c>
      <c r="U5947" t="inlineStr">
        <is>
          <t>4</t>
        </is>
      </c>
      <c r="V5947" t="n">
        <v/>
      </c>
      <c r="W5947" t="n">
        <v/>
      </c>
    </row>
    <row r="5948">
      <c r="A5948" t="inlineStr">
        <is>
          <t>03/04/2026 11:25:05</t>
        </is>
      </c>
      <c r="B5948" t="inlineStr">
        <is>
          <t>Nguyễn Hồng Minh</t>
        </is>
      </c>
      <c r="C5948" t="inlineStr">
        <is>
          <t>01/04/2026</t>
        </is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1</v>
      </c>
      <c r="R5948" t="n">
        <v>0</v>
      </c>
      <c r="S5948" t="n">
        <v/>
      </c>
      <c r="T5948" t="inlineStr">
        <is>
          <t>1</t>
        </is>
      </c>
      <c r="U5948" t="inlineStr">
        <is>
          <t>4</t>
        </is>
      </c>
      <c r="V5948" t="n">
        <v/>
      </c>
      <c r="W5948" t="n">
        <v/>
      </c>
    </row>
    <row r="5949">
      <c r="A5949" t="inlineStr">
        <is>
          <t>03/04/2026 11:30:25</t>
        </is>
      </c>
      <c r="B5949" t="inlineStr">
        <is>
          <t>Nguyễn Hồng Minh</t>
        </is>
      </c>
      <c r="C5949" t="inlineStr">
        <is>
          <t>02/04/2026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2</v>
      </c>
      <c r="M5949" t="n">
        <v>0</v>
      </c>
      <c r="N5949" t="n">
        <v>0</v>
      </c>
      <c r="O5949" t="n">
        <v>0</v>
      </c>
      <c r="P5949" t="n">
        <v>0</v>
      </c>
      <c r="Q5949" t="n">
        <v>1</v>
      </c>
      <c r="R5949" t="n">
        <v>0</v>
      </c>
      <c r="S5949" t="n">
        <v/>
      </c>
      <c r="T5949" t="inlineStr">
        <is>
          <t>2</t>
        </is>
      </c>
      <c r="U5949" t="inlineStr">
        <is>
          <t>4</t>
        </is>
      </c>
      <c r="V5949" t="n">
        <v/>
      </c>
      <c r="W5949" t="n">
        <v/>
      </c>
    </row>
    <row r="5950">
      <c r="A5950" t="inlineStr">
        <is>
          <t>03/04/2026 21:27:54</t>
        </is>
      </c>
      <c r="B5950" t="inlineStr">
        <is>
          <t>Phan Ngọc Sang</t>
        </is>
      </c>
      <c r="C5950" t="inlineStr">
        <is>
          <t>03/04/2026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2</v>
      </c>
      <c r="L5950" t="n">
        <v>0</v>
      </c>
      <c r="M5950" t="n">
        <v>1</v>
      </c>
      <c r="N5950" t="n">
        <v>0</v>
      </c>
      <c r="O5950" t="n">
        <v>0</v>
      </c>
      <c r="P5950" t="n">
        <v>1</v>
      </c>
      <c r="Q5950" t="n">
        <v>1</v>
      </c>
      <c r="R5950" t="n">
        <v>0</v>
      </c>
      <c r="S5950" t="n">
        <v/>
      </c>
      <c r="T5950" t="inlineStr">
        <is>
          <t>3</t>
        </is>
      </c>
      <c r="U5950" t="inlineStr">
        <is>
          <t>4</t>
        </is>
      </c>
      <c r="V5950" t="n">
        <v/>
      </c>
      <c r="W5950" t="n">
        <v/>
      </c>
    </row>
    <row r="5951">
      <c r="A5951" t="inlineStr">
        <is>
          <t>03/04/2026 22:49:34</t>
        </is>
      </c>
      <c r="B5951" t="inlineStr">
        <is>
          <t>Trần Minh Khánh</t>
        </is>
      </c>
      <c r="C5951" t="inlineStr">
        <is>
          <t>03/04/2026</t>
        </is>
      </c>
      <c r="D5951" t="n">
        <v>0</v>
      </c>
      <c r="E5951" t="n">
        <v>0</v>
      </c>
      <c r="F5951" t="n">
        <v>0</v>
      </c>
      <c r="G5951" t="n">
        <v>2</v>
      </c>
      <c r="H5951" t="n">
        <v>1</v>
      </c>
      <c r="I5951" t="n">
        <v>0</v>
      </c>
      <c r="J5951" t="n">
        <v>0</v>
      </c>
      <c r="K5951" t="n">
        <v>4</v>
      </c>
      <c r="L5951" t="n">
        <v>2</v>
      </c>
      <c r="M5951" t="n">
        <v>1</v>
      </c>
      <c r="N5951" t="n">
        <v>0</v>
      </c>
      <c r="O5951" t="n">
        <v>0</v>
      </c>
      <c r="P5951" t="n">
        <v>1</v>
      </c>
      <c r="Q5951" t="n">
        <v>3</v>
      </c>
      <c r="R5951" t="n">
        <v>0</v>
      </c>
      <c r="S5951" t="n">
        <v/>
      </c>
      <c r="T5951" t="inlineStr">
        <is>
          <t>3</t>
        </is>
      </c>
      <c r="U5951" t="inlineStr">
        <is>
          <t>4</t>
        </is>
      </c>
      <c r="V5951" t="n">
        <v/>
      </c>
      <c r="W5951" t="n">
        <v/>
      </c>
    </row>
    <row r="5952">
      <c r="A5952" t="inlineStr">
        <is>
          <t>04/04/2026 5:45:37</t>
        </is>
      </c>
      <c r="B5952" t="inlineStr">
        <is>
          <t>Dương Minh Tiến</t>
        </is>
      </c>
      <c r="C5952" t="inlineStr">
        <is>
          <t>03/04/2026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2</v>
      </c>
      <c r="L5952" t="n">
        <v>0</v>
      </c>
      <c r="M5952" t="n">
        <v>0</v>
      </c>
      <c r="N5952" t="n">
        <v>0</v>
      </c>
      <c r="O5952" t="n">
        <v>0</v>
      </c>
      <c r="P5952" t="n">
        <v>1</v>
      </c>
      <c r="Q5952" t="n">
        <v>1</v>
      </c>
      <c r="R5952" t="n">
        <v>0</v>
      </c>
      <c r="S5952" t="n">
        <v/>
      </c>
      <c r="T5952" t="inlineStr">
        <is>
          <t>3</t>
        </is>
      </c>
      <c r="U5952" t="inlineStr">
        <is>
          <t>4</t>
        </is>
      </c>
      <c r="V5952" t="n">
        <v/>
      </c>
      <c r="W5952" t="n">
        <v/>
      </c>
    </row>
    <row r="5953">
      <c r="A5953" t="inlineStr">
        <is>
          <t>04/04/2026 6:35:21</t>
        </is>
      </c>
      <c r="B5953" t="inlineStr">
        <is>
          <t>Lê Quốc Duy</t>
        </is>
      </c>
      <c r="C5953" t="inlineStr">
        <is>
          <t>03/04/2026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2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1</v>
      </c>
      <c r="R5953" t="n">
        <v>0</v>
      </c>
      <c r="S5953" t="n">
        <v/>
      </c>
      <c r="T5953" t="inlineStr">
        <is>
          <t>3</t>
        </is>
      </c>
      <c r="U5953" t="inlineStr">
        <is>
          <t>4</t>
        </is>
      </c>
      <c r="V5953" t="n">
        <v/>
      </c>
      <c r="W5953" t="n">
        <v/>
      </c>
    </row>
    <row r="5954">
      <c r="A5954" t="inlineStr">
        <is>
          <t>04/04/2026 6:38:46</t>
        </is>
      </c>
      <c r="B5954" t="inlineStr">
        <is>
          <t>Vòng Nhật Sang</t>
        </is>
      </c>
      <c r="C5954" t="inlineStr">
        <is>
          <t>03/04/2026</t>
        </is>
      </c>
      <c r="D5954" t="n">
        <v>2</v>
      </c>
      <c r="E5954" t="n">
        <v>0</v>
      </c>
      <c r="F5954" t="n">
        <v>0</v>
      </c>
      <c r="G5954" t="n">
        <v>1</v>
      </c>
      <c r="H5954" t="n">
        <v>1</v>
      </c>
      <c r="I5954" t="n">
        <v>0</v>
      </c>
      <c r="J5954" t="n">
        <v>0</v>
      </c>
      <c r="K5954" t="n">
        <v>0</v>
      </c>
      <c r="L5954" t="n">
        <v>0</v>
      </c>
      <c r="M5954" t="n">
        <v>2</v>
      </c>
      <c r="N5954" t="n">
        <v>0</v>
      </c>
      <c r="O5954" t="n">
        <v>0</v>
      </c>
      <c r="P5954" t="n">
        <v>1</v>
      </c>
      <c r="Q5954" t="n">
        <v>2</v>
      </c>
      <c r="R5954" t="n">
        <v>0</v>
      </c>
      <c r="S5954" t="n">
        <v/>
      </c>
      <c r="T5954" t="inlineStr">
        <is>
          <t>3</t>
        </is>
      </c>
      <c r="U5954" t="inlineStr">
        <is>
          <t>4</t>
        </is>
      </c>
      <c r="V5954" t="n">
        <v/>
      </c>
      <c r="W5954" t="n">
        <v/>
      </c>
    </row>
    <row r="5955">
      <c r="A5955" t="inlineStr">
        <is>
          <t>04/04/2026 6:50:42</t>
        </is>
      </c>
      <c r="B5955" t="inlineStr">
        <is>
          <t>Nguyễn Văn Hiệp</t>
        </is>
      </c>
      <c r="C5955" t="inlineStr">
        <is>
          <t>03/04/2026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9</v>
      </c>
      <c r="K5955" t="n">
        <v>3</v>
      </c>
      <c r="L5955" t="n">
        <v>0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/>
      </c>
      <c r="T5955" t="inlineStr">
        <is>
          <t>3</t>
        </is>
      </c>
      <c r="U5955" t="inlineStr">
        <is>
          <t>4</t>
        </is>
      </c>
      <c r="V5955" t="n">
        <v/>
      </c>
      <c r="W5955" t="n">
        <v/>
      </c>
    </row>
    <row r="5956">
      <c r="A5956" t="inlineStr">
        <is>
          <t>04/04/2026 6:52:09</t>
        </is>
      </c>
      <c r="B5956" t="inlineStr">
        <is>
          <t>Lê Hồng Phong</t>
        </is>
      </c>
      <c r="C5956" t="inlineStr">
        <is>
          <t>04/04/2026</t>
        </is>
      </c>
      <c r="D5956" t="n">
        <v>1</v>
      </c>
      <c r="E5956" t="n">
        <v>1</v>
      </c>
      <c r="F5956" t="n">
        <v>1</v>
      </c>
      <c r="G5956" t="n">
        <v>0</v>
      </c>
      <c r="H5956" t="n">
        <v>0</v>
      </c>
      <c r="I5956" t="n">
        <v>1</v>
      </c>
      <c r="J5956" t="n">
        <v>1</v>
      </c>
      <c r="K5956" t="n">
        <v>1</v>
      </c>
      <c r="L5956" t="n">
        <v>1</v>
      </c>
      <c r="M5956" t="n">
        <v>1</v>
      </c>
      <c r="N5956" t="n">
        <v>1</v>
      </c>
      <c r="O5956" t="n">
        <v>1</v>
      </c>
      <c r="P5956" t="n">
        <v>1</v>
      </c>
      <c r="Q5956" t="n">
        <v>1</v>
      </c>
      <c r="R5956" t="n">
        <v>1</v>
      </c>
      <c r="S5956" t="n">
        <v/>
      </c>
      <c r="T5956" t="inlineStr">
        <is>
          <t>4</t>
        </is>
      </c>
      <c r="U5956" t="inlineStr">
        <is>
          <t>4</t>
        </is>
      </c>
      <c r="V5956" t="n">
        <v/>
      </c>
      <c r="W5956" t="n">
        <v/>
      </c>
    </row>
    <row r="5957">
      <c r="A5957" t="inlineStr">
        <is>
          <t>04/04/2026 7:01:45</t>
        </is>
      </c>
      <c r="B5957" t="inlineStr">
        <is>
          <t>Trần Trung Giang</t>
        </is>
      </c>
      <c r="C5957" t="inlineStr">
        <is>
          <t>03/04/2026</t>
        </is>
      </c>
      <c r="D5957" t="n">
        <v>2</v>
      </c>
      <c r="E5957" t="n">
        <v>1</v>
      </c>
      <c r="F5957" t="n">
        <v>1</v>
      </c>
      <c r="G5957" t="n">
        <v>0</v>
      </c>
      <c r="H5957" t="n">
        <v>0</v>
      </c>
      <c r="I5957" t="n">
        <v>0</v>
      </c>
      <c r="J5957" t="n">
        <v>0</v>
      </c>
      <c r="K5957" t="n">
        <v>3</v>
      </c>
      <c r="L5957" t="n">
        <v>0</v>
      </c>
      <c r="M5957" t="n">
        <v>2</v>
      </c>
      <c r="N5957" t="n">
        <v>0</v>
      </c>
      <c r="O5957" t="n">
        <v>0</v>
      </c>
      <c r="P5957" t="n">
        <v>0</v>
      </c>
      <c r="Q5957" t="n">
        <v>2</v>
      </c>
      <c r="R5957" t="n">
        <v>0</v>
      </c>
      <c r="S5957" t="n">
        <v/>
      </c>
      <c r="T5957" t="inlineStr">
        <is>
          <t>3</t>
        </is>
      </c>
      <c r="U5957" t="inlineStr">
        <is>
          <t>4</t>
        </is>
      </c>
      <c r="V5957" t="n">
        <v/>
      </c>
      <c r="W5957" t="n">
        <v/>
      </c>
    </row>
    <row r="5958">
      <c r="A5958" t="inlineStr">
        <is>
          <t>04/04/2026 7:03:29</t>
        </is>
      </c>
      <c r="B5958" t="inlineStr">
        <is>
          <t>Nguyễn Quang Anh Tuấn</t>
        </is>
      </c>
      <c r="C5958" t="inlineStr">
        <is>
          <t>03/04/2026</t>
        </is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  <c r="I5958" t="n">
        <v>0</v>
      </c>
      <c r="J5958" t="n">
        <v>0</v>
      </c>
      <c r="K5958" t="n">
        <v>5</v>
      </c>
      <c r="L5958" t="n">
        <v>2</v>
      </c>
      <c r="M5958" t="n">
        <v>2</v>
      </c>
      <c r="N5958" t="n">
        <v>0</v>
      </c>
      <c r="O5958" t="n">
        <v>0</v>
      </c>
      <c r="P5958" t="n">
        <v>0</v>
      </c>
      <c r="Q5958" t="n">
        <v>1</v>
      </c>
      <c r="R5958" t="n">
        <v>0</v>
      </c>
      <c r="S5958" t="n">
        <v/>
      </c>
      <c r="T5958" t="inlineStr">
        <is>
          <t>3</t>
        </is>
      </c>
      <c r="U5958" t="inlineStr">
        <is>
          <t>4</t>
        </is>
      </c>
      <c r="V5958" t="n">
        <v/>
      </c>
      <c r="W5958" t="n">
        <v/>
      </c>
    </row>
    <row r="5959">
      <c r="A5959" t="inlineStr">
        <is>
          <t>04/04/2026 7:04:48</t>
        </is>
      </c>
      <c r="B5959" t="inlineStr">
        <is>
          <t>Huỳnh Văn Lực</t>
        </is>
      </c>
      <c r="C5959" t="inlineStr">
        <is>
          <t>03/04/2026</t>
        </is>
      </c>
      <c r="D5959" t="n">
        <v>0</v>
      </c>
      <c r="E5959" t="n">
        <v>0</v>
      </c>
      <c r="F5959" t="n">
        <v>2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1</v>
      </c>
      <c r="Q5959" t="n">
        <v>2</v>
      </c>
      <c r="R5959" t="n">
        <v>0</v>
      </c>
      <c r="S5959" t="n">
        <v/>
      </c>
      <c r="T5959" t="inlineStr">
        <is>
          <t>3</t>
        </is>
      </c>
      <c r="U5959" t="inlineStr">
        <is>
          <t>4</t>
        </is>
      </c>
      <c r="V5959" t="n">
        <v/>
      </c>
      <c r="W5959" t="n">
        <v/>
      </c>
    </row>
    <row r="5960">
      <c r="A5960" t="inlineStr">
        <is>
          <t>04/04/2026 7:09:45</t>
        </is>
      </c>
      <c r="B5960" t="inlineStr">
        <is>
          <t>Lương Duy Hoàng</t>
        </is>
      </c>
      <c r="C5960" t="inlineStr">
        <is>
          <t>03/04/2026</t>
        </is>
      </c>
      <c r="D5960" t="n">
        <v>0</v>
      </c>
      <c r="E5960" t="n">
        <v>0</v>
      </c>
      <c r="F5960" t="n">
        <v>1</v>
      </c>
      <c r="G5960" t="n">
        <v>0</v>
      </c>
      <c r="H5960" t="n">
        <v>0</v>
      </c>
      <c r="I5960" t="n">
        <v>0</v>
      </c>
      <c r="J5960" t="n">
        <v>0</v>
      </c>
      <c r="K5960" t="n">
        <v>1</v>
      </c>
      <c r="L5960" t="n">
        <v>0</v>
      </c>
      <c r="M5960" t="n">
        <v>1</v>
      </c>
      <c r="N5960" t="n">
        <v>0</v>
      </c>
      <c r="O5960" t="n">
        <v>0</v>
      </c>
      <c r="P5960" t="n">
        <v>0</v>
      </c>
      <c r="Q5960" t="n">
        <v>2</v>
      </c>
      <c r="R5960" t="n">
        <v>0</v>
      </c>
      <c r="S5960" t="n">
        <v/>
      </c>
      <c r="T5960" t="inlineStr">
        <is>
          <t>3</t>
        </is>
      </c>
      <c r="U5960" t="inlineStr">
        <is>
          <t>4</t>
        </is>
      </c>
      <c r="V5960" t="n">
        <v/>
      </c>
      <c r="W5960" t="n">
        <v/>
      </c>
    </row>
    <row r="5961">
      <c r="A5961" t="inlineStr">
        <is>
          <t>04/04/2026 7:10:32</t>
        </is>
      </c>
      <c r="B5961" t="inlineStr">
        <is>
          <t>Đặng Hoài Anh</t>
        </is>
      </c>
      <c r="C5961" t="inlineStr">
        <is>
          <t>03/04/2026</t>
        </is>
      </c>
      <c r="D5961" t="n">
        <v>1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2</v>
      </c>
      <c r="L5961" t="n">
        <v>0</v>
      </c>
      <c r="M5961" t="n">
        <v>1</v>
      </c>
      <c r="N5961" t="n">
        <v>0</v>
      </c>
      <c r="O5961" t="n">
        <v>0</v>
      </c>
      <c r="P5961" t="n">
        <v>1</v>
      </c>
      <c r="Q5961" t="n">
        <v>1</v>
      </c>
      <c r="R5961" t="n">
        <v>0</v>
      </c>
      <c r="S5961" t="n">
        <v/>
      </c>
      <c r="T5961" t="inlineStr">
        <is>
          <t>3</t>
        </is>
      </c>
      <c r="U5961" t="inlineStr">
        <is>
          <t>4</t>
        </is>
      </c>
      <c r="V5961" t="n">
        <v/>
      </c>
      <c r="W5961" t="n">
        <v/>
      </c>
    </row>
    <row r="5962">
      <c r="A5962" t="inlineStr">
        <is>
          <t>04/04/2026 7:14:30</t>
        </is>
      </c>
      <c r="B5962" t="inlineStr">
        <is>
          <t>Hồ Xuân Việt</t>
        </is>
      </c>
      <c r="C5962" t="inlineStr">
        <is>
          <t>03/04/2026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1</v>
      </c>
      <c r="N5962" t="n">
        <v>0</v>
      </c>
      <c r="O5962" t="n">
        <v>0</v>
      </c>
      <c r="P5962" t="n">
        <v>0</v>
      </c>
      <c r="Q5962" t="n">
        <v>1</v>
      </c>
      <c r="R5962" t="n">
        <v>0</v>
      </c>
      <c r="S5962" t="n">
        <v/>
      </c>
      <c r="T5962" t="inlineStr">
        <is>
          <t>3</t>
        </is>
      </c>
      <c r="U5962" t="inlineStr">
        <is>
          <t>4</t>
        </is>
      </c>
      <c r="V5962" t="n">
        <v/>
      </c>
      <c r="W5962" t="n">
        <v/>
      </c>
    </row>
    <row r="5963">
      <c r="A5963" t="inlineStr">
        <is>
          <t>04/04/2026 7:15:34</t>
        </is>
      </c>
      <c r="B5963" t="inlineStr">
        <is>
          <t>Nguyễn Tuấn Anh</t>
        </is>
      </c>
      <c r="C5963" t="inlineStr">
        <is>
          <t>03/04/2026</t>
        </is>
      </c>
      <c r="D5963" t="n">
        <v>1</v>
      </c>
      <c r="E5963" t="n">
        <v>0</v>
      </c>
      <c r="F5963" t="n">
        <v>1</v>
      </c>
      <c r="G5963" t="n">
        <v>0</v>
      </c>
      <c r="H5963" t="n">
        <v>1</v>
      </c>
      <c r="I5963" t="n">
        <v>2</v>
      </c>
      <c r="J5963" t="n">
        <v>0</v>
      </c>
      <c r="K5963" t="n">
        <v>8</v>
      </c>
      <c r="L5963" t="n">
        <v>0</v>
      </c>
      <c r="M5963" t="n">
        <v>0</v>
      </c>
      <c r="N5963" t="n">
        <v>0</v>
      </c>
      <c r="O5963" t="n">
        <v>0</v>
      </c>
      <c r="P5963" t="n">
        <v>1</v>
      </c>
      <c r="Q5963" t="n">
        <v>2</v>
      </c>
      <c r="R5963" t="n">
        <v>0</v>
      </c>
      <c r="S5963" t="n">
        <v/>
      </c>
      <c r="T5963" t="inlineStr">
        <is>
          <t>3</t>
        </is>
      </c>
      <c r="U5963" t="inlineStr">
        <is>
          <t>4</t>
        </is>
      </c>
      <c r="V5963" t="n">
        <v/>
      </c>
      <c r="W5963" t="n">
        <v/>
      </c>
    </row>
    <row r="5964">
      <c r="A5964" t="inlineStr">
        <is>
          <t>04/04/2026 7:16:41</t>
        </is>
      </c>
      <c r="B5964" t="inlineStr">
        <is>
          <t>Đặng Hữu Danh</t>
        </is>
      </c>
      <c r="C5964" t="inlineStr">
        <is>
          <t>03/04/2026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1</v>
      </c>
      <c r="L5964" t="n">
        <v>0</v>
      </c>
      <c r="M5964" t="n">
        <v>0</v>
      </c>
      <c r="N5964" t="n">
        <v>0</v>
      </c>
      <c r="O5964" t="n">
        <v>0</v>
      </c>
      <c r="P5964" t="n">
        <v>2</v>
      </c>
      <c r="Q5964" t="n">
        <v>3</v>
      </c>
      <c r="R5964" t="n">
        <v>0</v>
      </c>
      <c r="S5964" t="n">
        <v/>
      </c>
      <c r="T5964" t="inlineStr">
        <is>
          <t>3</t>
        </is>
      </c>
      <c r="U5964" t="inlineStr">
        <is>
          <t>4</t>
        </is>
      </c>
      <c r="V5964" t="n">
        <v/>
      </c>
      <c r="W5964" t="n">
        <v/>
      </c>
    </row>
    <row r="5965">
      <c r="A5965" t="inlineStr">
        <is>
          <t>04/04/2026 7:23:21</t>
        </is>
      </c>
      <c r="B5965" t="inlineStr">
        <is>
          <t>Trần Xuân Khoa</t>
        </is>
      </c>
      <c r="C5965" t="inlineStr">
        <is>
          <t>03/04/2026</t>
        </is>
      </c>
      <c r="D5965" t="n">
        <v>1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1</v>
      </c>
      <c r="Q5965" t="n">
        <v>2</v>
      </c>
      <c r="R5965" t="n">
        <v>0</v>
      </c>
      <c r="S5965" t="n">
        <v/>
      </c>
      <c r="T5965" t="inlineStr">
        <is>
          <t>3</t>
        </is>
      </c>
      <c r="U5965" t="inlineStr">
        <is>
          <t>4</t>
        </is>
      </c>
      <c r="V5965" t="n">
        <v/>
      </c>
      <c r="W5965" t="n">
        <v/>
      </c>
    </row>
    <row r="5966">
      <c r="A5966" t="inlineStr">
        <is>
          <t>04/04/2026 7:30:03</t>
        </is>
      </c>
      <c r="B5966" t="inlineStr">
        <is>
          <t>Lương Duy Hải</t>
        </is>
      </c>
      <c r="C5966" t="inlineStr">
        <is>
          <t>03/04/2026</t>
        </is>
      </c>
      <c r="D5966" t="n">
        <v>0</v>
      </c>
      <c r="E5966" t="n">
        <v>0</v>
      </c>
      <c r="F5966" t="n">
        <v>2</v>
      </c>
      <c r="G5966" t="n">
        <v>0</v>
      </c>
      <c r="H5966" t="n">
        <v>0</v>
      </c>
      <c r="I5966" t="n">
        <v>0</v>
      </c>
      <c r="J5966" t="n">
        <v>0</v>
      </c>
      <c r="K5966" t="n">
        <v>4</v>
      </c>
      <c r="L5966" t="n">
        <v>0</v>
      </c>
      <c r="M5966" t="n">
        <v>0</v>
      </c>
      <c r="N5966" t="n">
        <v>1</v>
      </c>
      <c r="O5966" t="n">
        <v>0</v>
      </c>
      <c r="P5966" t="n">
        <v>2</v>
      </c>
      <c r="Q5966" t="n">
        <v>2</v>
      </c>
      <c r="R5966" t="n">
        <v>0</v>
      </c>
      <c r="S5966" t="n">
        <v/>
      </c>
      <c r="T5966" t="inlineStr">
        <is>
          <t>3</t>
        </is>
      </c>
      <c r="U5966" t="inlineStr">
        <is>
          <t>4</t>
        </is>
      </c>
      <c r="V5966" t="n">
        <v/>
      </c>
      <c r="W5966" t="n">
        <v/>
      </c>
    </row>
    <row r="5967">
      <c r="A5967" t="inlineStr">
        <is>
          <t>04/04/2026 7:37:16</t>
        </is>
      </c>
      <c r="B5967" t="inlineStr">
        <is>
          <t>Phan Thành Thái</t>
        </is>
      </c>
      <c r="C5967" t="inlineStr">
        <is>
          <t>03/04/2026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2</v>
      </c>
      <c r="L5967" t="n">
        <v>0</v>
      </c>
      <c r="M5967" t="n">
        <v>0</v>
      </c>
      <c r="N5967" t="n">
        <v>0</v>
      </c>
      <c r="O5967" t="n">
        <v>0</v>
      </c>
      <c r="P5967" t="n">
        <v>1</v>
      </c>
      <c r="Q5967" t="n">
        <v>7</v>
      </c>
      <c r="R5967" t="n">
        <v>0</v>
      </c>
      <c r="S5967" t="n">
        <v/>
      </c>
      <c r="T5967" t="inlineStr">
        <is>
          <t>3</t>
        </is>
      </c>
      <c r="U5967" t="inlineStr">
        <is>
          <t>4</t>
        </is>
      </c>
      <c r="V5967" t="n">
        <v/>
      </c>
      <c r="W5967" t="n">
        <v/>
      </c>
    </row>
    <row r="5968">
      <c r="A5968" t="inlineStr">
        <is>
          <t>04/04/2026 7:40:52</t>
        </is>
      </c>
      <c r="B5968" t="inlineStr">
        <is>
          <t>Hồ Thái Minh Trí</t>
        </is>
      </c>
      <c r="C5968" t="inlineStr">
        <is>
          <t>03/04/2026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2</v>
      </c>
      <c r="M5968" t="n">
        <v>0</v>
      </c>
      <c r="N5968" t="n">
        <v>0</v>
      </c>
      <c r="O5968" t="n">
        <v>0</v>
      </c>
      <c r="P5968" t="n">
        <v>0</v>
      </c>
      <c r="Q5968" t="n">
        <v>1</v>
      </c>
      <c r="R5968" t="n">
        <v>0</v>
      </c>
      <c r="S5968" t="n">
        <v/>
      </c>
      <c r="T5968" t="inlineStr">
        <is>
          <t>3</t>
        </is>
      </c>
      <c r="U5968" t="inlineStr">
        <is>
          <t>4</t>
        </is>
      </c>
      <c r="V5968" t="n">
        <v/>
      </c>
      <c r="W5968" t="n">
        <v/>
      </c>
    </row>
    <row r="5969">
      <c r="A5969" t="inlineStr">
        <is>
          <t>04/04/2026 7:58:11</t>
        </is>
      </c>
      <c r="B5969" t="inlineStr">
        <is>
          <t>Lê Văn Hồng</t>
        </is>
      </c>
      <c r="C5969" t="inlineStr">
        <is>
          <t>03/04/2026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12</v>
      </c>
      <c r="L5969" t="n">
        <v>0</v>
      </c>
      <c r="M5969" t="n">
        <v>0</v>
      </c>
      <c r="N5969" t="n">
        <v>0</v>
      </c>
      <c r="O5969" t="n">
        <v>0</v>
      </c>
      <c r="P5969" t="n">
        <v>1</v>
      </c>
      <c r="Q5969" t="n">
        <v>4</v>
      </c>
      <c r="R5969" t="n">
        <v>0</v>
      </c>
      <c r="S5969" t="n">
        <v/>
      </c>
      <c r="T5969" t="inlineStr">
        <is>
          <t>3</t>
        </is>
      </c>
      <c r="U5969" t="inlineStr">
        <is>
          <t>4</t>
        </is>
      </c>
      <c r="V5969" t="n">
        <v/>
      </c>
      <c r="W5969" t="n">
        <v/>
      </c>
    </row>
    <row r="5970">
      <c r="A5970" t="inlineStr">
        <is>
          <t>04/04/2026 8:01:23</t>
        </is>
      </c>
      <c r="B5970" t="inlineStr">
        <is>
          <t>Nguyễn Hồng Minh</t>
        </is>
      </c>
      <c r="C5970" t="inlineStr">
        <is>
          <t>03/04/2026</t>
        </is>
      </c>
      <c r="D5970" t="n">
        <v>1</v>
      </c>
      <c r="E5970" t="n">
        <v>1</v>
      </c>
      <c r="F5970" t="n">
        <v>2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2</v>
      </c>
      <c r="N5970" t="n">
        <v>0</v>
      </c>
      <c r="O5970" t="n">
        <v>0</v>
      </c>
      <c r="P5970" t="n">
        <v>0</v>
      </c>
      <c r="Q5970" t="n">
        <v>3</v>
      </c>
      <c r="R5970" t="n">
        <v>0</v>
      </c>
      <c r="S5970" t="n">
        <v/>
      </c>
      <c r="T5970" t="inlineStr">
        <is>
          <t>3</t>
        </is>
      </c>
      <c r="U5970" t="inlineStr">
        <is>
          <t>4</t>
        </is>
      </c>
      <c r="V5970" t="n">
        <v/>
      </c>
      <c r="W5970" t="n">
        <v/>
      </c>
    </row>
    <row r="5971">
      <c r="A5971" t="inlineStr">
        <is>
          <t>04/04/2026 8:09:27</t>
        </is>
      </c>
      <c r="B5971" t="inlineStr">
        <is>
          <t>Bùi Duy Cường</t>
        </is>
      </c>
      <c r="C5971" t="inlineStr">
        <is>
          <t>03/04/2026</t>
        </is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  <c r="I5971" t="n">
        <v>0</v>
      </c>
      <c r="J5971" t="n">
        <v>0</v>
      </c>
      <c r="K5971" t="n">
        <v>0</v>
      </c>
      <c r="L5971" t="n">
        <v>2</v>
      </c>
      <c r="M5971" t="n">
        <v>2</v>
      </c>
      <c r="N5971" t="n">
        <v>0</v>
      </c>
      <c r="O5971" t="n">
        <v>0</v>
      </c>
      <c r="P5971" t="n">
        <v>0</v>
      </c>
      <c r="Q5971" t="n">
        <v>1</v>
      </c>
      <c r="R5971" t="n">
        <v>1</v>
      </c>
      <c r="S5971" t="n">
        <v/>
      </c>
      <c r="T5971" t="inlineStr">
        <is>
          <t>3</t>
        </is>
      </c>
      <c r="U5971" t="inlineStr">
        <is>
          <t>4</t>
        </is>
      </c>
      <c r="V5971" t="n">
        <v/>
      </c>
      <c r="W5971" t="n">
        <v/>
      </c>
    </row>
    <row r="5972">
      <c r="A5972" t="inlineStr">
        <is>
          <t>04/04/2026 14:19:54</t>
        </is>
      </c>
      <c r="B5972" t="inlineStr">
        <is>
          <t>Nguyễn Thành Lâm</t>
        </is>
      </c>
      <c r="C5972" t="inlineStr">
        <is>
          <t>03/04/0226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2</v>
      </c>
      <c r="R5972" t="n">
        <v>0</v>
      </c>
      <c r="S5972" t="n">
        <v/>
      </c>
      <c r="T5972" t="e">
        <v>#NUM!</v>
      </c>
      <c r="U5972" t="e">
        <v>#NUM!</v>
      </c>
      <c r="V5972" t="n">
        <v/>
      </c>
      <c r="W5972" t="n">
        <v/>
      </c>
    </row>
    <row r="5973">
      <c r="A5973" t="inlineStr">
        <is>
          <t>04/04/2026 14:21:39</t>
        </is>
      </c>
      <c r="B5973" t="inlineStr">
        <is>
          <t>Nguyễn Thành Lâm</t>
        </is>
      </c>
      <c r="C5973" t="inlineStr">
        <is>
          <t>04/04/2026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2</v>
      </c>
      <c r="L5973" t="n">
        <v>2</v>
      </c>
      <c r="M5973" t="n">
        <v>0</v>
      </c>
      <c r="N5973" t="n">
        <v>0</v>
      </c>
      <c r="O5973" t="n">
        <v>0</v>
      </c>
      <c r="P5973" t="n">
        <v>0</v>
      </c>
      <c r="Q5973" t="n">
        <v>1</v>
      </c>
      <c r="R5973" t="n">
        <v>0</v>
      </c>
      <c r="S5973" t="n">
        <v/>
      </c>
      <c r="T5973" t="inlineStr">
        <is>
          <t>4</t>
        </is>
      </c>
      <c r="U5973" t="inlineStr">
        <is>
          <t>4</t>
        </is>
      </c>
      <c r="V5973" t="n">
        <v/>
      </c>
      <c r="W5973" t="n">
        <v/>
      </c>
    </row>
    <row r="5974">
      <c r="A5974" t="inlineStr">
        <is>
          <t>04/04/2026 20:10:21</t>
        </is>
      </c>
      <c r="B5974" t="inlineStr">
        <is>
          <t>Phan Ngọc Sang</t>
        </is>
      </c>
      <c r="C5974" t="inlineStr">
        <is>
          <t>04/04/2026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5</v>
      </c>
      <c r="L5974" t="n">
        <v>0</v>
      </c>
      <c r="M5974" t="n">
        <v>0</v>
      </c>
      <c r="N5974" t="n">
        <v>1</v>
      </c>
      <c r="O5974" t="n">
        <v>0</v>
      </c>
      <c r="P5974" t="n">
        <v>1</v>
      </c>
      <c r="Q5974" t="n">
        <v>1</v>
      </c>
      <c r="R5974" t="n">
        <v>0</v>
      </c>
      <c r="S5974" t="n">
        <v/>
      </c>
      <c r="T5974" t="inlineStr">
        <is>
          <t>4</t>
        </is>
      </c>
      <c r="U5974" t="inlineStr">
        <is>
          <t>4</t>
        </is>
      </c>
      <c r="V5974" t="n">
        <v/>
      </c>
      <c r="W5974" t="n"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:I1"/>
    </sheetView>
  </sheetViews>
  <sheetFormatPr baseColWidth="8" defaultColWidth="12.5703125" defaultRowHeight="15.75" customHeight="1"/>
  <cols>
    <col width="26.85546875" customWidth="1" style="117" min="1" max="1"/>
  </cols>
  <sheetData>
    <row r="1" ht="15.75" customHeight="1" s="117">
      <c r="A1" s="116" t="inlineStr">
        <is>
          <t>BÁO CÁO CÔNG TÁC NHẬP LIỆU CỦA NHÂN VIÊN KTĐB</t>
        </is>
      </c>
      <c r="J1" s="27" t="n"/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</row>
    <row r="2" ht="15.75" customHeight="1" s="117">
      <c r="A2" s="91" t="n"/>
      <c r="B2" s="91" t="n"/>
      <c r="C2" s="91" t="n"/>
      <c r="D2" s="91" t="n"/>
      <c r="E2" s="91" t="n"/>
      <c r="F2" s="91" t="n"/>
      <c r="G2" s="91" t="n"/>
      <c r="H2" s="91" t="n"/>
      <c r="I2" s="91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</row>
    <row r="3" ht="15.75" customHeight="1" s="117">
      <c r="A3" s="28" t="inlineStr">
        <is>
          <t>Họ và tên</t>
        </is>
      </c>
      <c r="B3" s="28" t="inlineStr">
        <is>
          <t>Năm</t>
        </is>
      </c>
      <c r="C3" s="28" t="inlineStr">
        <is>
          <t>Tháng</t>
        </is>
      </c>
      <c r="D3" s="28" t="inlineStr">
        <is>
          <t>Tuần</t>
        </is>
      </c>
      <c r="E3" s="129" t="n"/>
      <c r="F3" s="129" t="n"/>
      <c r="G3" s="130" t="n"/>
      <c r="H3" s="28" t="inlineStr">
        <is>
          <t>Tổng</t>
        </is>
      </c>
      <c r="I3" s="28" t="inlineStr">
        <is>
          <t>Tỉ lệ(%)</t>
        </is>
      </c>
      <c r="J3" s="27" t="n"/>
      <c r="K3" s="27" t="n"/>
      <c r="L3" s="27" t="n"/>
      <c r="M3" s="27" t="n"/>
      <c r="N3" s="27" t="n"/>
      <c r="O3" s="27" t="n"/>
      <c r="P3" s="27" t="n"/>
      <c r="Q3" s="27" t="n"/>
      <c r="R3" s="27" t="n"/>
      <c r="S3" s="27" t="n"/>
      <c r="T3" s="27" t="n"/>
      <c r="U3" s="27" t="n"/>
      <c r="V3" s="27" t="n"/>
      <c r="W3" s="27" t="n"/>
      <c r="X3" s="27" t="n"/>
      <c r="Y3" s="27" t="n"/>
      <c r="Z3" s="27" t="n"/>
    </row>
    <row r="4" ht="15.75" customHeight="1" s="117">
      <c r="A4" s="29">
        <f>IFERROR(__xludf.DUMMYFUNCTION("QUERY(
  {
    DuLieu!B2:B101562,
    DuLieu!U2:U101562,
    DuLieu!V2:V101562,
    ARRAYFORMULA(
      IF(DuLieu!T2:T101562="""",,
        IF(DuLieu!T2:T101562&lt;=7, 1,
          IF(DuLieu!T2:T101562&lt;=14, 2,
            IF(DuLieu!T2:T101562&lt;=21, 3, 4)
    "&amp;"      )
        )
      )
    )
  },
  ""select Col1, Col3, Col2, count(Col1)
   where Col1 is not null and Col1&lt;&gt;'Tổng'
   group by Col1, Col2, Col3
   pivot Col4
   order by Col2, Col3, Col1
   label count(Col1) ''"",
  0
)
"),"#REF!")</f>
        <v/>
      </c>
      <c r="B4" s="131" t="n"/>
      <c r="C4" s="131" t="n"/>
      <c r="D4" s="30" t="n"/>
      <c r="E4" s="30" t="n"/>
      <c r="F4" s="28" t="n"/>
      <c r="G4" s="28" t="n"/>
      <c r="H4" s="131" t="n"/>
      <c r="I4" s="131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</row>
    <row r="5" ht="15.75" customHeight="1" s="117">
      <c r="A5" s="31" t="n"/>
      <c r="B5" s="32" t="n"/>
      <c r="C5" s="33" t="n"/>
      <c r="D5" s="32" t="n"/>
      <c r="E5" s="33" t="n"/>
      <c r="F5" s="32" t="n"/>
      <c r="G5" s="31" t="n"/>
      <c r="H5" s="32">
        <f>D5+E5+F5+G5</f>
        <v/>
      </c>
      <c r="I5" s="34">
        <f>H5/30*100</f>
        <v/>
      </c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5.75" customHeight="1" s="117">
      <c r="A6" s="31" t="n"/>
      <c r="B6" s="32" t="n"/>
      <c r="C6" s="33" t="n"/>
      <c r="D6" s="32" t="n"/>
      <c r="E6" s="33" t="n"/>
      <c r="F6" s="32" t="n"/>
      <c r="G6" s="31" t="n"/>
      <c r="H6" s="32">
        <f>D6+E6+F6+G6</f>
        <v/>
      </c>
      <c r="I6" s="34">
        <f>H6/30*100</f>
        <v/>
      </c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</row>
    <row r="7" ht="15.75" customHeight="1" s="117">
      <c r="A7" s="31" t="n"/>
      <c r="B7" s="32" t="n"/>
      <c r="C7" s="33" t="n"/>
      <c r="D7" s="32" t="n"/>
      <c r="E7" s="33" t="n"/>
      <c r="F7" s="32" t="n"/>
      <c r="G7" s="31" t="n"/>
      <c r="H7" s="32">
        <f>D7+E7+F7+G7</f>
        <v/>
      </c>
      <c r="I7" s="34">
        <f>H7/30*100</f>
        <v/>
      </c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</row>
    <row r="8" ht="15.75" customHeight="1" s="117">
      <c r="A8" s="31" t="n"/>
      <c r="B8" s="32" t="n"/>
      <c r="C8" s="33" t="n"/>
      <c r="D8" s="32" t="n"/>
      <c r="E8" s="32" t="n"/>
      <c r="F8" s="32" t="n"/>
      <c r="G8" s="31" t="n"/>
      <c r="H8" s="32">
        <f>D8+E8+F8+G8</f>
        <v/>
      </c>
      <c r="I8" s="34">
        <f>H8/30*100</f>
        <v/>
      </c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</row>
    <row r="9" ht="15.75" customHeight="1" s="117">
      <c r="A9" s="31" t="n"/>
      <c r="B9" s="32" t="n"/>
      <c r="C9" s="33" t="n"/>
      <c r="D9" s="32" t="n"/>
      <c r="E9" s="33" t="n"/>
      <c r="F9" s="32" t="n"/>
      <c r="G9" s="31" t="n"/>
      <c r="H9" s="32">
        <f>D9+E9+F9+G9</f>
        <v/>
      </c>
      <c r="I9" s="34">
        <f>H9/30*100</f>
        <v/>
      </c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</row>
    <row r="10" ht="15.75" customHeight="1" s="117">
      <c r="A10" s="31" t="n"/>
      <c r="B10" s="32" t="n"/>
      <c r="C10" s="33" t="n"/>
      <c r="D10" s="32" t="n"/>
      <c r="E10" s="33" t="n"/>
      <c r="F10" s="32" t="n"/>
      <c r="G10" s="31" t="n"/>
      <c r="H10" s="32">
        <f>D10+E10+F10+G10</f>
        <v/>
      </c>
      <c r="I10" s="34">
        <f>H10/30*100</f>
        <v/>
      </c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</row>
    <row r="11" ht="15.75" customHeight="1" s="117">
      <c r="A11" s="31" t="n"/>
      <c r="B11" s="32" t="n"/>
      <c r="C11" s="33" t="n"/>
      <c r="D11" s="32" t="n"/>
      <c r="E11" s="33" t="n"/>
      <c r="F11" s="32" t="n"/>
      <c r="G11" s="31" t="n"/>
      <c r="H11" s="32">
        <f>D11+E11+F11+G11</f>
        <v/>
      </c>
      <c r="I11" s="34">
        <f>H11/30*100</f>
        <v/>
      </c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</row>
    <row r="12" ht="15.75" customHeight="1" s="117">
      <c r="A12" s="31" t="n"/>
      <c r="B12" s="32" t="n"/>
      <c r="C12" s="33" t="n"/>
      <c r="D12" s="32" t="n"/>
      <c r="E12" s="33" t="n"/>
      <c r="F12" s="32" t="n"/>
      <c r="G12" s="31" t="n"/>
      <c r="H12" s="32">
        <f>D12+E12+F12+G12</f>
        <v/>
      </c>
      <c r="I12" s="34">
        <f>H12/30*100</f>
        <v/>
      </c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</row>
    <row r="13" ht="15.75" customHeight="1" s="117">
      <c r="A13" s="31" t="n"/>
      <c r="B13" s="32" t="n"/>
      <c r="C13" s="33" t="n"/>
      <c r="D13" s="32" t="n"/>
      <c r="E13" s="31" t="n"/>
      <c r="F13" s="31" t="n"/>
      <c r="G13" s="31" t="n"/>
      <c r="H13" s="32">
        <f>D13+E13+F13+G13</f>
        <v/>
      </c>
      <c r="I13" s="34">
        <f>H13/30*100</f>
        <v/>
      </c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</row>
    <row r="14" ht="15.75" customHeight="1" s="117">
      <c r="A14" s="31" t="n"/>
      <c r="B14" s="32" t="n"/>
      <c r="C14" s="33" t="n"/>
      <c r="D14" s="32" t="n"/>
      <c r="E14" s="33" t="n"/>
      <c r="F14" s="32" t="n"/>
      <c r="G14" s="31" t="n"/>
      <c r="H14" s="32">
        <f>D14+E14+F14+G14</f>
        <v/>
      </c>
      <c r="I14" s="34">
        <f>H14/30*100</f>
        <v/>
      </c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</row>
    <row r="15" ht="15.75" customHeight="1" s="117">
      <c r="A15" s="31" t="n"/>
      <c r="B15" s="32" t="n"/>
      <c r="C15" s="33" t="n"/>
      <c r="D15" s="32" t="n"/>
      <c r="E15" s="33" t="n"/>
      <c r="F15" s="32" t="n"/>
      <c r="G15" s="31" t="n"/>
      <c r="H15" s="32">
        <f>D15+E15+F15+G15</f>
        <v/>
      </c>
      <c r="I15" s="34">
        <f>H15/30*100</f>
        <v/>
      </c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</row>
    <row r="16" ht="15.75" customHeight="1" s="117">
      <c r="A16" s="31" t="n"/>
      <c r="B16" s="32" t="n"/>
      <c r="C16" s="33" t="n"/>
      <c r="D16" s="32" t="n"/>
      <c r="E16" s="33" t="n"/>
      <c r="F16" s="32" t="n"/>
      <c r="G16" s="31" t="n"/>
      <c r="H16" s="32">
        <f>D16+E16+F16+G16</f>
        <v/>
      </c>
      <c r="I16" s="34">
        <f>H16/30*100</f>
        <v/>
      </c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</row>
    <row r="17" ht="15.75" customHeight="1" s="117">
      <c r="A17" s="31" t="n"/>
      <c r="B17" s="32" t="n"/>
      <c r="C17" s="31" t="n"/>
      <c r="D17" s="31" t="n"/>
      <c r="E17" s="31" t="n"/>
      <c r="F17" s="31" t="n"/>
      <c r="G17" s="31" t="n"/>
      <c r="H17" s="32">
        <f>D17+E17+F17+G17</f>
        <v/>
      </c>
      <c r="I17" s="34">
        <f>H17/30*100</f>
        <v/>
      </c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</row>
    <row r="18" ht="15.75" customHeight="1" s="117">
      <c r="A18" s="31" t="n"/>
      <c r="B18" s="32" t="n"/>
      <c r="C18" s="31" t="n"/>
      <c r="D18" s="31" t="n"/>
      <c r="E18" s="31" t="n"/>
      <c r="F18" s="31" t="n"/>
      <c r="G18" s="31" t="n"/>
      <c r="H18" s="32">
        <f>D18+E18+F18+G18</f>
        <v/>
      </c>
      <c r="I18" s="34">
        <f>H18/30*100</f>
        <v/>
      </c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</row>
    <row r="19" ht="15.75" customHeight="1" s="117">
      <c r="A19" s="31" t="n"/>
      <c r="B19" s="32" t="n"/>
      <c r="C19" s="31" t="n"/>
      <c r="D19" s="31" t="n"/>
      <c r="E19" s="31" t="n"/>
      <c r="F19" s="31" t="n"/>
      <c r="G19" s="31" t="n"/>
      <c r="H19" s="32">
        <f>D19+E19+F19+G19</f>
        <v/>
      </c>
      <c r="I19" s="34">
        <f>H19/30*100</f>
        <v/>
      </c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</row>
    <row r="20" ht="15.75" customHeight="1" s="117">
      <c r="A20" s="31" t="n"/>
      <c r="B20" s="32" t="n"/>
      <c r="C20" s="31" t="n"/>
      <c r="D20" s="31" t="n"/>
      <c r="E20" s="31" t="n"/>
      <c r="F20" s="31" t="n"/>
      <c r="G20" s="31" t="n"/>
      <c r="H20" s="32">
        <f>D20+E20+F20+G20</f>
        <v/>
      </c>
      <c r="I20" s="34">
        <f>H20/30*100</f>
        <v/>
      </c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</row>
    <row r="21" ht="15.75" customHeight="1" s="117">
      <c r="A21" s="31" t="n"/>
      <c r="B21" s="31" t="n"/>
      <c r="C21" s="31" t="n"/>
      <c r="D21" s="31" t="n"/>
      <c r="E21" s="31" t="n"/>
      <c r="F21" s="31" t="n"/>
      <c r="G21" s="31" t="n"/>
      <c r="H21" s="32">
        <f>D21+E21+F21+G21</f>
        <v/>
      </c>
      <c r="I21" s="34">
        <f>H21/30*100</f>
        <v/>
      </c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</row>
    <row r="22" ht="15.75" customHeight="1" s="117">
      <c r="A22" s="31" t="n"/>
      <c r="B22" s="31" t="n"/>
      <c r="C22" s="31" t="n"/>
      <c r="D22" s="31" t="n"/>
      <c r="E22" s="31" t="n"/>
      <c r="F22" s="31" t="n"/>
      <c r="G22" s="31" t="n"/>
      <c r="H22" s="32">
        <f>D22+E22+F22+G22</f>
        <v/>
      </c>
      <c r="I22" s="34">
        <f>H22/30*100</f>
        <v/>
      </c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</row>
    <row r="23" ht="16.5" customHeight="1" s="117">
      <c r="A23" s="31" t="n"/>
      <c r="B23" s="31" t="n"/>
      <c r="C23" s="31" t="n"/>
      <c r="D23" s="31" t="n"/>
      <c r="E23" s="31" t="n"/>
      <c r="F23" s="31" t="n"/>
      <c r="G23" s="31" t="n"/>
      <c r="H23" s="32">
        <f>D23+E23+F23+G23</f>
        <v/>
      </c>
      <c r="I23" s="34">
        <f>H23/30*100</f>
        <v/>
      </c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</row>
    <row r="24" ht="16.5" customHeight="1" s="117">
      <c r="A24" s="31" t="n"/>
      <c r="B24" s="31" t="n"/>
      <c r="C24" s="31" t="n"/>
      <c r="D24" s="31" t="n"/>
      <c r="E24" s="31" t="n"/>
      <c r="F24" s="31" t="n"/>
      <c r="G24" s="31" t="n"/>
      <c r="H24" s="32">
        <f>D24+E24+F24+G24</f>
        <v/>
      </c>
      <c r="I24" s="34">
        <f>H24/30*100</f>
        <v/>
      </c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</row>
    <row r="25" ht="16.5" customHeight="1" s="117">
      <c r="A25" s="31" t="n"/>
      <c r="B25" s="31" t="n"/>
      <c r="C25" s="31" t="n"/>
      <c r="D25" s="31" t="n"/>
      <c r="E25" s="31" t="n"/>
      <c r="F25" s="31" t="n"/>
      <c r="G25" s="31" t="n"/>
      <c r="H25" s="32">
        <f>D25+E25+F25+G25</f>
        <v/>
      </c>
      <c r="I25" s="34">
        <f>H25/30*100</f>
        <v/>
      </c>
      <c r="J25" s="27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</row>
    <row r="26" ht="16.5" customHeight="1" s="117">
      <c r="A26" s="31" t="n"/>
      <c r="B26" s="31" t="n"/>
      <c r="C26" s="31" t="n"/>
      <c r="D26" s="31" t="n"/>
      <c r="E26" s="31" t="n"/>
      <c r="F26" s="31" t="n"/>
      <c r="G26" s="31" t="n"/>
      <c r="H26" s="32">
        <f>D26+E26+F26+G26</f>
        <v/>
      </c>
      <c r="I26" s="34">
        <f>H26/30*100</f>
        <v/>
      </c>
      <c r="J26" s="27" t="n"/>
      <c r="K26" s="27" t="n"/>
      <c r="L26" s="27" t="n"/>
      <c r="M26" s="27" t="n"/>
      <c r="N26" s="27" t="n"/>
      <c r="O26" s="27" t="n"/>
      <c r="P26" s="27" t="n"/>
      <c r="Q26" s="27" t="n"/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</row>
    <row r="27" ht="16.5" customHeight="1" s="117">
      <c r="A27" s="31" t="n"/>
      <c r="B27" s="31" t="n"/>
      <c r="C27" s="31" t="n"/>
      <c r="D27" s="31" t="n"/>
      <c r="E27" s="31" t="n"/>
      <c r="F27" s="31" t="n"/>
      <c r="G27" s="31" t="n"/>
      <c r="H27" s="32">
        <f>D27+E27+F27+G27</f>
        <v/>
      </c>
      <c r="I27" s="34">
        <f>H27/30*100</f>
        <v/>
      </c>
      <c r="J27" s="27" t="n"/>
      <c r="K27" s="27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</row>
    <row r="28" ht="16.5" customHeight="1" s="117">
      <c r="A28" s="31" t="n"/>
      <c r="B28" s="31" t="n"/>
      <c r="C28" s="31" t="n"/>
      <c r="D28" s="31" t="n"/>
      <c r="E28" s="31" t="n"/>
      <c r="F28" s="31" t="n"/>
      <c r="G28" s="31" t="n"/>
      <c r="H28" s="32">
        <f>D28+E28+F28+G28</f>
        <v/>
      </c>
      <c r="I28" s="34">
        <f>H28/30*100</f>
        <v/>
      </c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</row>
    <row r="29" ht="16.5" customHeight="1" s="117">
      <c r="A29" s="31" t="n"/>
      <c r="B29" s="31" t="n"/>
      <c r="C29" s="31" t="n"/>
      <c r="D29" s="31" t="n"/>
      <c r="E29" s="31" t="n"/>
      <c r="F29" s="31" t="n"/>
      <c r="G29" s="31" t="n"/>
      <c r="H29" s="32">
        <f>D29+E29+F29+G29</f>
        <v/>
      </c>
      <c r="I29" s="34">
        <f>H29/30*100</f>
        <v/>
      </c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</row>
    <row r="30" ht="16.5" customHeight="1" s="117">
      <c r="A30" s="31" t="n"/>
      <c r="B30" s="31" t="n"/>
      <c r="C30" s="31" t="n"/>
      <c r="D30" s="31" t="n"/>
      <c r="E30" s="31" t="n"/>
      <c r="F30" s="31" t="n"/>
      <c r="G30" s="31" t="n"/>
      <c r="H30" s="32">
        <f>D30+E30+F30+G30</f>
        <v/>
      </c>
      <c r="I30" s="34">
        <f>H30/30*100</f>
        <v/>
      </c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</row>
    <row r="31" ht="16.5" customHeight="1" s="117">
      <c r="A31" s="31" t="n"/>
      <c r="B31" s="31" t="n"/>
      <c r="C31" s="31" t="n"/>
      <c r="D31" s="31" t="n"/>
      <c r="E31" s="31" t="n"/>
      <c r="F31" s="31" t="n"/>
      <c r="G31" s="31" t="n"/>
      <c r="H31" s="32">
        <f>D31+E31+F31+G31</f>
        <v/>
      </c>
      <c r="I31" s="34">
        <f>H31/30*100</f>
        <v/>
      </c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</row>
    <row r="32" ht="16.5" customHeight="1" s="117">
      <c r="A32" s="31" t="n"/>
      <c r="B32" s="31" t="n"/>
      <c r="C32" s="31" t="n"/>
      <c r="D32" s="31" t="n"/>
      <c r="E32" s="31" t="n"/>
      <c r="F32" s="31" t="n"/>
      <c r="G32" s="31" t="n"/>
      <c r="H32" s="32">
        <f>D32+E32+F32+G32</f>
        <v/>
      </c>
      <c r="I32" s="34">
        <f>H32/30*100</f>
        <v/>
      </c>
      <c r="J32" s="27" t="n"/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</row>
    <row r="33" ht="16.5" customHeight="1" s="117">
      <c r="A33" s="31" t="n"/>
      <c r="B33" s="31" t="n"/>
      <c r="C33" s="31" t="n"/>
      <c r="D33" s="31" t="n"/>
      <c r="E33" s="31" t="n"/>
      <c r="F33" s="31" t="n"/>
      <c r="G33" s="31" t="n"/>
      <c r="H33" s="32">
        <f>D33+E33+F33+G33</f>
        <v/>
      </c>
      <c r="I33" s="34">
        <f>H33/30*100</f>
        <v/>
      </c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</row>
    <row r="34" ht="16.5" customHeight="1" s="117">
      <c r="A34" s="31" t="n"/>
      <c r="B34" s="31" t="n"/>
      <c r="C34" s="31" t="n"/>
      <c r="D34" s="31" t="n"/>
      <c r="E34" s="31" t="n"/>
      <c r="F34" s="31" t="n"/>
      <c r="G34" s="31" t="n"/>
      <c r="H34" s="32">
        <f>D34+E34+F34+G34</f>
        <v/>
      </c>
      <c r="I34" s="34">
        <f>H34/30*100</f>
        <v/>
      </c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</row>
    <row r="35" ht="16.5" customHeight="1" s="117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</row>
    <row r="36" ht="16.5" customHeight="1" s="117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27" t="n"/>
      <c r="S36" s="27" t="n"/>
      <c r="T36" s="27" t="n"/>
      <c r="U36" s="27" t="n"/>
      <c r="V36" s="27" t="n"/>
      <c r="W36" s="27" t="n"/>
      <c r="X36" s="27" t="n"/>
      <c r="Y36" s="27" t="n"/>
      <c r="Z36" s="27" t="n"/>
    </row>
    <row r="37" ht="16.5" customHeight="1" s="11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27" t="n"/>
      <c r="S37" s="27" t="n"/>
      <c r="T37" s="27" t="n"/>
      <c r="U37" s="27" t="n"/>
      <c r="V37" s="27" t="n"/>
      <c r="W37" s="27" t="n"/>
      <c r="X37" s="27" t="n"/>
      <c r="Y37" s="27" t="n"/>
      <c r="Z37" s="27" t="n"/>
    </row>
    <row r="38" ht="16.5" customHeight="1" s="117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7" t="n"/>
      <c r="X38" s="27" t="n"/>
      <c r="Y38" s="27" t="n"/>
      <c r="Z38" s="27" t="n"/>
    </row>
    <row r="39" ht="16.5" customHeight="1" s="117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</row>
    <row r="40" ht="16.5" customHeight="1" s="117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</row>
    <row r="41" ht="16.5" customHeight="1" s="117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</row>
    <row r="42" ht="16.5" customHeight="1" s="117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</row>
    <row r="43" ht="16.5" customHeight="1" s="117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</row>
    <row r="44" ht="16.5" customHeight="1" s="117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</row>
    <row r="45" ht="16.5" customHeight="1" s="117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</row>
    <row r="46" ht="16.5" customHeight="1" s="117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</row>
    <row r="47" ht="16.5" customHeight="1" s="117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</row>
    <row r="48" ht="16.5" customHeight="1" s="117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</row>
    <row r="49" ht="16.5" customHeight="1" s="117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</row>
    <row r="50" ht="16.5" customHeight="1" s="117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</row>
    <row r="51" ht="16.5" customHeight="1" s="117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</row>
    <row r="52" ht="16.5" customHeight="1" s="117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</row>
    <row r="53" ht="16.5" customHeight="1" s="117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</row>
    <row r="54" ht="16.5" customHeight="1" s="117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</row>
    <row r="55" ht="16.5" customHeight="1" s="117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</row>
    <row r="56" ht="16.5" customHeight="1" s="117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27" t="n"/>
      <c r="S56" s="27" t="n"/>
      <c r="T56" s="27" t="n"/>
      <c r="U56" s="27" t="n"/>
      <c r="V56" s="27" t="n"/>
      <c r="W56" s="27" t="n"/>
      <c r="X56" s="27" t="n"/>
      <c r="Y56" s="27" t="n"/>
      <c r="Z56" s="27" t="n"/>
    </row>
    <row r="57" ht="16.5" customHeight="1" s="117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</row>
    <row r="58" ht="16.5" customHeight="1" s="117">
      <c r="A58" s="27" t="n"/>
      <c r="B58" s="27" t="n"/>
      <c r="C58" s="27" t="n"/>
      <c r="D58" s="27" t="n"/>
      <c r="E58" s="27" t="n"/>
      <c r="F58" s="27" t="n"/>
      <c r="G58" s="27" t="n"/>
      <c r="H58" s="27" t="n"/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27" t="n"/>
      <c r="S58" s="27" t="n"/>
      <c r="T58" s="27" t="n"/>
      <c r="U58" s="27" t="n"/>
      <c r="V58" s="27" t="n"/>
      <c r="W58" s="27" t="n"/>
      <c r="X58" s="27" t="n"/>
      <c r="Y58" s="27" t="n"/>
      <c r="Z58" s="27" t="n"/>
    </row>
    <row r="59" ht="16.5" customHeight="1" s="117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27" t="n"/>
      <c r="S59" s="27" t="n"/>
      <c r="T59" s="27" t="n"/>
      <c r="U59" s="27" t="n"/>
      <c r="V59" s="27" t="n"/>
      <c r="W59" s="27" t="n"/>
      <c r="X59" s="27" t="n"/>
      <c r="Y59" s="27" t="n"/>
      <c r="Z59" s="27" t="n"/>
    </row>
    <row r="60" ht="16.5" customHeight="1" s="117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  <c r="Z60" s="27" t="n"/>
    </row>
    <row r="61" ht="16.5" customHeight="1" s="117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</row>
    <row r="62" ht="16.5" customHeight="1" s="117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  <c r="Z62" s="27" t="n"/>
    </row>
    <row r="63" ht="16.5" customHeight="1" s="117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</row>
    <row r="64" ht="16.5" customHeight="1" s="117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</row>
    <row r="65" ht="16.5" customHeight="1" s="117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</row>
    <row r="66" ht="16.5" customHeight="1" s="117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</row>
    <row r="67" ht="16.5" customHeight="1" s="117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7" t="n"/>
    </row>
    <row r="68" ht="16.5" customHeight="1" s="117">
      <c r="A68" s="27" t="n"/>
      <c r="B68" s="27" t="n"/>
      <c r="C68" s="27" t="n"/>
      <c r="D68" s="27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</row>
    <row r="69" ht="16.5" customHeight="1" s="117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  <c r="R69" s="27" t="n"/>
      <c r="S69" s="27" t="n"/>
      <c r="T69" s="27" t="n"/>
      <c r="U69" s="27" t="n"/>
      <c r="V69" s="27" t="n"/>
      <c r="W69" s="27" t="n"/>
      <c r="X69" s="27" t="n"/>
      <c r="Y69" s="27" t="n"/>
      <c r="Z69" s="27" t="n"/>
    </row>
    <row r="70" ht="16.5" customHeight="1" s="117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27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27" t="n"/>
      <c r="Z70" s="27" t="n"/>
    </row>
    <row r="71" ht="16.5" customHeight="1" s="117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27" t="n"/>
      <c r="S71" s="27" t="n"/>
      <c r="T71" s="27" t="n"/>
      <c r="U71" s="27" t="n"/>
      <c r="V71" s="27" t="n"/>
      <c r="W71" s="27" t="n"/>
      <c r="X71" s="27" t="n"/>
      <c r="Y71" s="27" t="n"/>
      <c r="Z71" s="27" t="n"/>
    </row>
    <row r="72" ht="16.5" customHeight="1" s="117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</row>
    <row r="73" ht="16.5" customHeight="1" s="117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</row>
    <row r="74" ht="16.5" customHeight="1" s="117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</row>
    <row r="75" ht="16.5" customHeight="1" s="117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</row>
    <row r="76" ht="16.5" customHeight="1" s="117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</row>
    <row r="77" ht="16.5" customHeight="1" s="117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</row>
    <row r="78" ht="16.5" customHeight="1" s="117">
      <c r="A78" s="27" t="n"/>
      <c r="B78" s="27" t="n"/>
      <c r="C78" s="27" t="n"/>
      <c r="D78" s="27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7" t="n"/>
      <c r="Z78" s="27" t="n"/>
    </row>
    <row r="79" ht="16.5" customHeight="1" s="117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</row>
    <row r="80" ht="16.5" customHeight="1" s="117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  <c r="R80" s="27" t="n"/>
      <c r="S80" s="27" t="n"/>
      <c r="T80" s="27" t="n"/>
      <c r="U80" s="27" t="n"/>
      <c r="V80" s="27" t="n"/>
      <c r="W80" s="27" t="n"/>
      <c r="X80" s="27" t="n"/>
      <c r="Y80" s="27" t="n"/>
      <c r="Z80" s="27" t="n"/>
    </row>
    <row r="81" ht="16.5" customHeight="1" s="117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  <c r="T81" s="27" t="n"/>
      <c r="U81" s="27" t="n"/>
      <c r="V81" s="27" t="n"/>
      <c r="W81" s="27" t="n"/>
      <c r="X81" s="27" t="n"/>
      <c r="Y81" s="27" t="n"/>
      <c r="Z81" s="27" t="n"/>
    </row>
    <row r="82" ht="16.5" customHeight="1" s="117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</row>
    <row r="83" ht="16.5" customHeight="1" s="117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27" t="n"/>
      <c r="S83" s="27" t="n"/>
      <c r="T83" s="27" t="n"/>
      <c r="U83" s="27" t="n"/>
      <c r="V83" s="27" t="n"/>
      <c r="W83" s="27" t="n"/>
      <c r="X83" s="27" t="n"/>
      <c r="Y83" s="27" t="n"/>
      <c r="Z83" s="27" t="n"/>
    </row>
    <row r="84" ht="16.5" customHeight="1" s="117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</row>
    <row r="85" ht="16.5" customHeight="1" s="117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</row>
    <row r="86" ht="16.5" customHeight="1" s="117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</row>
    <row r="87" ht="16.5" customHeight="1" s="117">
      <c r="A87" s="27" t="n"/>
      <c r="B87" s="27" t="n"/>
      <c r="C87" s="27" t="n"/>
      <c r="D87" s="27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</row>
    <row r="88" ht="16.5" customHeight="1" s="117">
      <c r="A88" s="27" t="n"/>
      <c r="B88" s="27" t="n"/>
      <c r="C88" s="27" t="n"/>
      <c r="D88" s="27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</row>
    <row r="89" ht="16.5" customHeight="1" s="117">
      <c r="A89" s="27" t="n"/>
      <c r="B89" s="27" t="n"/>
      <c r="C89" s="27" t="n"/>
      <c r="D89" s="27" t="n"/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27" t="n"/>
      <c r="S89" s="27" t="n"/>
      <c r="T89" s="27" t="n"/>
      <c r="U89" s="27" t="n"/>
      <c r="V89" s="27" t="n"/>
      <c r="W89" s="27" t="n"/>
      <c r="X89" s="27" t="n"/>
      <c r="Y89" s="27" t="n"/>
      <c r="Z89" s="27" t="n"/>
    </row>
    <row r="90" ht="16.5" customHeight="1" s="117">
      <c r="A90" s="27" t="n"/>
      <c r="B90" s="27" t="n"/>
      <c r="C90" s="27" t="n"/>
      <c r="D90" s="27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</row>
    <row r="91" ht="16.5" customHeight="1" s="117">
      <c r="A91" s="27" t="n"/>
      <c r="B91" s="27" t="n"/>
      <c r="C91" s="27" t="n"/>
      <c r="D91" s="27" t="n"/>
      <c r="E91" s="27" t="n"/>
      <c r="F91" s="27" t="n"/>
      <c r="G91" s="27" t="n"/>
      <c r="H91" s="27" t="n"/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  <c r="R91" s="27" t="n"/>
      <c r="S91" s="27" t="n"/>
      <c r="T91" s="27" t="n"/>
      <c r="U91" s="27" t="n"/>
      <c r="V91" s="27" t="n"/>
      <c r="W91" s="27" t="n"/>
      <c r="X91" s="27" t="n"/>
      <c r="Y91" s="27" t="n"/>
      <c r="Z91" s="27" t="n"/>
    </row>
    <row r="92" ht="16.5" customHeight="1" s="117">
      <c r="A92" s="27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  <c r="R92" s="27" t="n"/>
      <c r="S92" s="27" t="n"/>
      <c r="T92" s="27" t="n"/>
      <c r="U92" s="27" t="n"/>
      <c r="V92" s="27" t="n"/>
      <c r="W92" s="27" t="n"/>
      <c r="X92" s="27" t="n"/>
      <c r="Y92" s="27" t="n"/>
      <c r="Z92" s="27" t="n"/>
    </row>
    <row r="93" ht="16.5" customHeight="1" s="117">
      <c r="A93" s="27" t="n"/>
      <c r="B93" s="27" t="n"/>
      <c r="C93" s="27" t="n"/>
      <c r="D93" s="27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</row>
    <row r="94" ht="16.5" customHeight="1" s="117">
      <c r="A94" s="27" t="n"/>
      <c r="B94" s="27" t="n"/>
      <c r="C94" s="27" t="n"/>
      <c r="D94" s="27" t="n"/>
      <c r="E94" s="27" t="n"/>
      <c r="F94" s="27" t="n"/>
      <c r="G94" s="27" t="n"/>
      <c r="H94" s="27" t="n"/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</row>
    <row r="95" ht="16.5" customHeight="1" s="117">
      <c r="A95" s="27" t="n"/>
      <c r="B95" s="27" t="n"/>
      <c r="C95" s="27" t="n"/>
      <c r="D95" s="27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</row>
    <row r="96" ht="16.5" customHeight="1" s="117">
      <c r="A96" s="27" t="n"/>
      <c r="B96" s="27" t="n"/>
      <c r="C96" s="27" t="n"/>
      <c r="D96" s="27" t="n"/>
      <c r="E96" s="27" t="n"/>
      <c r="F96" s="27" t="n"/>
      <c r="G96" s="27" t="n"/>
      <c r="H96" s="27" t="n"/>
      <c r="I96" s="27" t="n"/>
      <c r="J96" s="27" t="n"/>
      <c r="K96" s="27" t="n"/>
      <c r="L96" s="27" t="n"/>
      <c r="M96" s="27" t="n"/>
      <c r="N96" s="27" t="n"/>
      <c r="O96" s="27" t="n"/>
      <c r="P96" s="27" t="n"/>
      <c r="Q96" s="27" t="n"/>
      <c r="R96" s="27" t="n"/>
      <c r="S96" s="27" t="n"/>
      <c r="T96" s="27" t="n"/>
      <c r="U96" s="27" t="n"/>
      <c r="V96" s="27" t="n"/>
      <c r="W96" s="27" t="n"/>
      <c r="X96" s="27" t="n"/>
      <c r="Y96" s="27" t="n"/>
      <c r="Z96" s="27" t="n"/>
    </row>
    <row r="97" ht="16.5" customHeight="1" s="117">
      <c r="A97" s="27" t="n"/>
      <c r="B97" s="27" t="n"/>
      <c r="C97" s="27" t="n"/>
      <c r="D97" s="27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</row>
    <row r="98" ht="16.5" customHeight="1" s="117">
      <c r="A98" s="27" t="n"/>
      <c r="B98" s="27" t="n"/>
      <c r="C98" s="27" t="n"/>
      <c r="D98" s="27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</row>
    <row r="99" ht="16.5" customHeight="1" s="117">
      <c r="A99" s="27" t="n"/>
      <c r="B99" s="27" t="n"/>
      <c r="C99" s="27" t="n"/>
      <c r="D99" s="27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</row>
    <row r="100" ht="16.5" customHeight="1" s="117">
      <c r="A100" s="27" t="n"/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27" t="n"/>
      <c r="R100" s="27" t="n"/>
      <c r="S100" s="27" t="n"/>
      <c r="T100" s="27" t="n"/>
      <c r="U100" s="27" t="n"/>
      <c r="V100" s="27" t="n"/>
      <c r="W100" s="27" t="n"/>
      <c r="X100" s="27" t="n"/>
      <c r="Y100" s="27" t="n"/>
      <c r="Z100" s="27" t="n"/>
    </row>
    <row r="101" ht="16.5" customHeight="1" s="117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</row>
    <row r="102" ht="16.5" customHeight="1" s="117">
      <c r="A102" s="27" t="n"/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  <c r="R102" s="27" t="n"/>
      <c r="S102" s="27" t="n"/>
      <c r="T102" s="27" t="n"/>
      <c r="U102" s="27" t="n"/>
      <c r="V102" s="27" t="n"/>
      <c r="W102" s="27" t="n"/>
      <c r="X102" s="27" t="n"/>
      <c r="Y102" s="27" t="n"/>
      <c r="Z102" s="27" t="n"/>
    </row>
    <row r="103" ht="16.5" customHeight="1" s="117">
      <c r="A103" s="27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  <c r="R103" s="27" t="n"/>
      <c r="S103" s="27" t="n"/>
      <c r="T103" s="27" t="n"/>
      <c r="U103" s="27" t="n"/>
      <c r="V103" s="27" t="n"/>
      <c r="W103" s="27" t="n"/>
      <c r="X103" s="27" t="n"/>
      <c r="Y103" s="27" t="n"/>
      <c r="Z103" s="27" t="n"/>
    </row>
    <row r="104" ht="16.5" customHeight="1" s="117">
      <c r="A104" s="27" t="n"/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</row>
    <row r="105" ht="16.5" customHeight="1" s="117">
      <c r="A105" s="27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</row>
    <row r="106" ht="16.5" customHeight="1" s="117">
      <c r="A106" s="27" t="n"/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</row>
    <row r="107" ht="16.5" customHeight="1" s="117">
      <c r="A107" s="27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  <c r="R107" s="27" t="n"/>
      <c r="S107" s="27" t="n"/>
      <c r="T107" s="27" t="n"/>
      <c r="U107" s="27" t="n"/>
      <c r="V107" s="27" t="n"/>
      <c r="W107" s="27" t="n"/>
      <c r="X107" s="27" t="n"/>
      <c r="Y107" s="27" t="n"/>
      <c r="Z107" s="27" t="n"/>
    </row>
    <row r="108" ht="16.5" customHeight="1" s="117">
      <c r="A108" s="27" t="n"/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</row>
    <row r="109" ht="16.5" customHeight="1" s="117">
      <c r="A109" s="27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</row>
    <row r="110" ht="16.5" customHeight="1" s="117">
      <c r="A110" s="27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</row>
    <row r="111" ht="16.5" customHeight="1" s="117">
      <c r="A111" s="27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27" t="n"/>
      <c r="S111" s="27" t="n"/>
      <c r="T111" s="27" t="n"/>
      <c r="U111" s="27" t="n"/>
      <c r="V111" s="27" t="n"/>
      <c r="W111" s="27" t="n"/>
      <c r="X111" s="27" t="n"/>
      <c r="Y111" s="27" t="n"/>
      <c r="Z111" s="27" t="n"/>
    </row>
    <row r="112" ht="16.5" customHeight="1" s="117">
      <c r="A112" s="27" t="n"/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</row>
    <row r="113" ht="16.5" customHeight="1" s="117">
      <c r="A113" s="27" t="n"/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27" t="n"/>
      <c r="S113" s="27" t="n"/>
      <c r="T113" s="27" t="n"/>
      <c r="U113" s="27" t="n"/>
      <c r="V113" s="27" t="n"/>
      <c r="W113" s="27" t="n"/>
      <c r="X113" s="27" t="n"/>
      <c r="Y113" s="27" t="n"/>
      <c r="Z113" s="27" t="n"/>
    </row>
    <row r="114" ht="16.5" customHeight="1" s="117">
      <c r="A114" s="27" t="n"/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27" t="n"/>
      <c r="S114" s="27" t="n"/>
      <c r="T114" s="27" t="n"/>
      <c r="U114" s="27" t="n"/>
      <c r="V114" s="27" t="n"/>
      <c r="W114" s="27" t="n"/>
      <c r="X114" s="27" t="n"/>
      <c r="Y114" s="27" t="n"/>
      <c r="Z114" s="27" t="n"/>
    </row>
    <row r="115" ht="16.5" customHeight="1" s="117">
      <c r="A115" s="27" t="n"/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</row>
    <row r="116" ht="16.5" customHeight="1" s="117">
      <c r="A116" s="27" t="n"/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</row>
    <row r="117" ht="16.5" customHeight="1" s="117">
      <c r="A117" s="27" t="n"/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</row>
    <row r="118" ht="16.5" customHeight="1" s="117">
      <c r="A118" s="27" t="n"/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27" t="n"/>
      <c r="S118" s="27" t="n"/>
      <c r="T118" s="27" t="n"/>
      <c r="U118" s="27" t="n"/>
      <c r="V118" s="27" t="n"/>
      <c r="W118" s="27" t="n"/>
      <c r="X118" s="27" t="n"/>
      <c r="Y118" s="27" t="n"/>
      <c r="Z118" s="27" t="n"/>
    </row>
    <row r="119" ht="16.5" customHeight="1" s="117">
      <c r="A119" s="27" t="n"/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</row>
    <row r="120" ht="16.5" customHeight="1" s="117">
      <c r="A120" s="27" t="n"/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</row>
    <row r="121" ht="16.5" customHeight="1" s="117">
      <c r="A121" s="27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</row>
    <row r="122" ht="16.5" customHeight="1" s="117">
      <c r="A122" s="27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27" t="n"/>
      <c r="S122" s="27" t="n"/>
      <c r="T122" s="27" t="n"/>
      <c r="U122" s="27" t="n"/>
      <c r="V122" s="27" t="n"/>
      <c r="W122" s="27" t="n"/>
      <c r="X122" s="27" t="n"/>
      <c r="Y122" s="27" t="n"/>
      <c r="Z122" s="27" t="n"/>
    </row>
    <row r="123" ht="16.5" customHeight="1" s="117">
      <c r="A123" s="27" t="n"/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</row>
    <row r="124" ht="16.5" customHeight="1" s="117">
      <c r="A124" s="27" t="n"/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27" t="n"/>
      <c r="S124" s="27" t="n"/>
      <c r="T124" s="27" t="n"/>
      <c r="U124" s="27" t="n"/>
      <c r="V124" s="27" t="n"/>
      <c r="W124" s="27" t="n"/>
      <c r="X124" s="27" t="n"/>
      <c r="Y124" s="27" t="n"/>
      <c r="Z124" s="27" t="n"/>
    </row>
    <row r="125" ht="16.5" customHeight="1" s="117">
      <c r="A125" s="27" t="n"/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27" t="n"/>
      <c r="S125" s="27" t="n"/>
      <c r="T125" s="27" t="n"/>
      <c r="U125" s="27" t="n"/>
      <c r="V125" s="27" t="n"/>
      <c r="W125" s="27" t="n"/>
      <c r="X125" s="27" t="n"/>
      <c r="Y125" s="27" t="n"/>
      <c r="Z125" s="27" t="n"/>
    </row>
    <row r="126" ht="16.5" customHeight="1" s="117">
      <c r="A126" s="27" t="n"/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7" t="n"/>
    </row>
    <row r="127" ht="16.5" customHeight="1" s="117">
      <c r="A127" s="27" t="n"/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</row>
    <row r="128" ht="16.5" customHeight="1" s="117">
      <c r="A128" s="27" t="n"/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</row>
    <row r="129" ht="16.5" customHeight="1" s="117">
      <c r="A129" s="27" t="n"/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27" t="n"/>
      <c r="S129" s="27" t="n"/>
      <c r="T129" s="27" t="n"/>
      <c r="U129" s="27" t="n"/>
      <c r="V129" s="27" t="n"/>
      <c r="W129" s="27" t="n"/>
      <c r="X129" s="27" t="n"/>
      <c r="Y129" s="27" t="n"/>
      <c r="Z129" s="27" t="n"/>
    </row>
    <row r="130" ht="16.5" customHeight="1" s="117">
      <c r="A130" s="27" t="n"/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</row>
    <row r="131" ht="16.5" customHeight="1" s="117">
      <c r="A131" s="27" t="n"/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</row>
    <row r="132" ht="16.5" customHeight="1" s="117">
      <c r="A132" s="27" t="n"/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</row>
    <row r="133" ht="16.5" customHeight="1" s="117">
      <c r="A133" s="27" t="n"/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7" t="n"/>
    </row>
    <row r="134" ht="16.5" customHeight="1" s="117">
      <c r="A134" s="27" t="n"/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</row>
    <row r="135" ht="16.5" customHeight="1" s="117">
      <c r="A135" s="27" t="n"/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  <c r="R135" s="27" t="n"/>
      <c r="S135" s="27" t="n"/>
      <c r="T135" s="27" t="n"/>
      <c r="U135" s="27" t="n"/>
      <c r="V135" s="27" t="n"/>
      <c r="W135" s="27" t="n"/>
      <c r="X135" s="27" t="n"/>
      <c r="Y135" s="27" t="n"/>
      <c r="Z135" s="27" t="n"/>
    </row>
    <row r="136" ht="16.5" customHeight="1" s="117">
      <c r="A136" s="27" t="n"/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27" t="n"/>
      <c r="R136" s="27" t="n"/>
      <c r="S136" s="27" t="n"/>
      <c r="T136" s="27" t="n"/>
      <c r="U136" s="27" t="n"/>
      <c r="V136" s="27" t="n"/>
      <c r="W136" s="27" t="n"/>
      <c r="X136" s="27" t="n"/>
      <c r="Y136" s="27" t="n"/>
      <c r="Z136" s="27" t="n"/>
    </row>
    <row r="137" ht="16.5" customHeight="1" s="117">
      <c r="A137" s="27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27" t="n"/>
      <c r="S137" s="27" t="n"/>
      <c r="T137" s="27" t="n"/>
      <c r="U137" s="27" t="n"/>
      <c r="V137" s="27" t="n"/>
      <c r="W137" s="27" t="n"/>
      <c r="X137" s="27" t="n"/>
      <c r="Y137" s="27" t="n"/>
      <c r="Z137" s="27" t="n"/>
    </row>
    <row r="138" ht="16.5" customHeight="1" s="117">
      <c r="A138" s="27" t="n"/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</row>
    <row r="139" ht="16.5" customHeight="1" s="117">
      <c r="A139" s="27" t="n"/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</row>
    <row r="140" ht="16.5" customHeight="1" s="117">
      <c r="A140" s="27" t="n"/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27" t="n"/>
      <c r="S140" s="27" t="n"/>
      <c r="T140" s="27" t="n"/>
      <c r="U140" s="27" t="n"/>
      <c r="V140" s="27" t="n"/>
      <c r="W140" s="27" t="n"/>
      <c r="X140" s="27" t="n"/>
      <c r="Y140" s="27" t="n"/>
      <c r="Z140" s="27" t="n"/>
    </row>
    <row r="141" ht="16.5" customHeight="1" s="117">
      <c r="A141" s="27" t="n"/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</row>
    <row r="142" ht="16.5" customHeight="1" s="117">
      <c r="A142" s="27" t="n"/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</row>
    <row r="143" ht="16.5" customHeight="1" s="117">
      <c r="A143" s="27" t="n"/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</row>
    <row r="144" ht="16.5" customHeight="1" s="117">
      <c r="A144" s="27" t="n"/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</row>
    <row r="145" ht="16.5" customHeight="1" s="117">
      <c r="A145" s="27" t="n"/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</row>
    <row r="146" ht="16.5" customHeight="1" s="117">
      <c r="A146" s="27" t="n"/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27" t="n"/>
      <c r="R146" s="27" t="n"/>
      <c r="S146" s="27" t="n"/>
      <c r="T146" s="27" t="n"/>
      <c r="U146" s="27" t="n"/>
      <c r="V146" s="27" t="n"/>
      <c r="W146" s="27" t="n"/>
      <c r="X146" s="27" t="n"/>
      <c r="Y146" s="27" t="n"/>
      <c r="Z146" s="27" t="n"/>
    </row>
    <row r="147" ht="16.5" customHeight="1" s="117">
      <c r="A147" s="27" t="n"/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  <c r="R147" s="27" t="n"/>
      <c r="S147" s="27" t="n"/>
      <c r="T147" s="27" t="n"/>
      <c r="U147" s="27" t="n"/>
      <c r="V147" s="27" t="n"/>
      <c r="W147" s="27" t="n"/>
      <c r="X147" s="27" t="n"/>
      <c r="Y147" s="27" t="n"/>
      <c r="Z147" s="27" t="n"/>
    </row>
    <row r="148" ht="16.5" customHeight="1" s="117">
      <c r="A148" s="27" t="n"/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  <c r="R148" s="27" t="n"/>
      <c r="S148" s="27" t="n"/>
      <c r="T148" s="27" t="n"/>
      <c r="U148" s="27" t="n"/>
      <c r="V148" s="27" t="n"/>
      <c r="W148" s="27" t="n"/>
      <c r="X148" s="27" t="n"/>
      <c r="Y148" s="27" t="n"/>
      <c r="Z148" s="27" t="n"/>
    </row>
    <row r="149" ht="16.5" customHeight="1" s="117">
      <c r="A149" s="27" t="n"/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</row>
    <row r="150" ht="16.5" customHeight="1" s="117">
      <c r="A150" s="27" t="n"/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</row>
    <row r="151" ht="16.5" customHeight="1" s="117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</row>
    <row r="152" ht="16.5" customHeight="1" s="117">
      <c r="A152" s="27" t="n"/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</row>
    <row r="153" ht="16.5" customHeight="1" s="117">
      <c r="A153" s="27" t="n"/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</row>
    <row r="154" ht="16.5" customHeight="1" s="117">
      <c r="A154" s="27" t="n"/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</row>
    <row r="155" ht="16.5" customHeight="1" s="117">
      <c r="A155" s="27" t="n"/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</row>
    <row r="156" ht="16.5" customHeight="1" s="117">
      <c r="A156" s="27" t="n"/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</row>
    <row r="157" ht="16.5" customHeight="1" s="117">
      <c r="A157" s="27" t="n"/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n"/>
      <c r="R157" s="27" t="n"/>
      <c r="S157" s="27" t="n"/>
      <c r="T157" s="27" t="n"/>
      <c r="U157" s="27" t="n"/>
      <c r="V157" s="27" t="n"/>
      <c r="W157" s="27" t="n"/>
      <c r="X157" s="27" t="n"/>
      <c r="Y157" s="27" t="n"/>
      <c r="Z157" s="27" t="n"/>
    </row>
    <row r="158" ht="16.5" customHeight="1" s="117">
      <c r="A158" s="27" t="n"/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n"/>
      <c r="R158" s="27" t="n"/>
      <c r="S158" s="27" t="n"/>
      <c r="T158" s="27" t="n"/>
      <c r="U158" s="27" t="n"/>
      <c r="V158" s="27" t="n"/>
      <c r="W158" s="27" t="n"/>
      <c r="X158" s="27" t="n"/>
      <c r="Y158" s="27" t="n"/>
      <c r="Z158" s="27" t="n"/>
    </row>
    <row r="159" ht="16.5" customHeight="1" s="117">
      <c r="A159" s="27" t="n"/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  <c r="R159" s="27" t="n"/>
      <c r="S159" s="27" t="n"/>
      <c r="T159" s="27" t="n"/>
      <c r="U159" s="27" t="n"/>
      <c r="V159" s="27" t="n"/>
      <c r="W159" s="27" t="n"/>
      <c r="X159" s="27" t="n"/>
      <c r="Y159" s="27" t="n"/>
      <c r="Z159" s="27" t="n"/>
    </row>
    <row r="160" ht="16.5" customHeight="1" s="117">
      <c r="A160" s="27" t="n"/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</row>
    <row r="161" ht="16.5" customHeight="1" s="117">
      <c r="A161" s="27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</row>
    <row r="162" ht="16.5" customHeight="1" s="117">
      <c r="A162" s="27" t="n"/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</row>
    <row r="163" ht="16.5" customHeight="1" s="117">
      <c r="A163" s="27" t="n"/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</row>
    <row r="164" ht="16.5" customHeight="1" s="117">
      <c r="A164" s="27" t="n"/>
      <c r="B164" s="27" t="n"/>
      <c r="C164" s="27" t="n"/>
      <c r="D164" s="27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</row>
    <row r="165" ht="16.5" customHeight="1" s="117">
      <c r="A165" s="27" t="n"/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</row>
    <row r="166" ht="16.5" customHeight="1" s="117">
      <c r="A166" s="27" t="n"/>
      <c r="B166" s="27" t="n"/>
      <c r="C166" s="27" t="n"/>
      <c r="D166" s="27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</row>
    <row r="167" ht="16.5" customHeight="1" s="117">
      <c r="A167" s="27" t="n"/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</row>
    <row r="168" ht="16.5" customHeight="1" s="117">
      <c r="A168" s="27" t="n"/>
      <c r="B168" s="27" t="n"/>
      <c r="C168" s="27" t="n"/>
      <c r="D168" s="27" t="n"/>
      <c r="E168" s="27" t="n"/>
      <c r="F168" s="27" t="n"/>
      <c r="G168" s="27" t="n"/>
      <c r="H168" s="27" t="n"/>
      <c r="I168" s="27" t="n"/>
      <c r="J168" s="27" t="n"/>
      <c r="K168" s="27" t="n"/>
      <c r="L168" s="27" t="n"/>
      <c r="M168" s="27" t="n"/>
      <c r="N168" s="27" t="n"/>
      <c r="O168" s="27" t="n"/>
      <c r="P168" s="27" t="n"/>
      <c r="Q168" s="27" t="n"/>
      <c r="R168" s="27" t="n"/>
      <c r="S168" s="27" t="n"/>
      <c r="T168" s="27" t="n"/>
      <c r="U168" s="27" t="n"/>
      <c r="V168" s="27" t="n"/>
      <c r="W168" s="27" t="n"/>
      <c r="X168" s="27" t="n"/>
      <c r="Y168" s="27" t="n"/>
      <c r="Z168" s="27" t="n"/>
    </row>
    <row r="169" ht="16.5" customHeight="1" s="117">
      <c r="A169" s="27" t="n"/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27" t="n"/>
      <c r="K169" s="27" t="n"/>
      <c r="L169" s="27" t="n"/>
      <c r="M169" s="27" t="n"/>
      <c r="N169" s="27" t="n"/>
      <c r="O169" s="27" t="n"/>
      <c r="P169" s="27" t="n"/>
      <c r="Q169" s="27" t="n"/>
      <c r="R169" s="27" t="n"/>
      <c r="S169" s="27" t="n"/>
      <c r="T169" s="27" t="n"/>
      <c r="U169" s="27" t="n"/>
      <c r="V169" s="27" t="n"/>
      <c r="W169" s="27" t="n"/>
      <c r="X169" s="27" t="n"/>
      <c r="Y169" s="27" t="n"/>
      <c r="Z169" s="27" t="n"/>
    </row>
    <row r="170" ht="16.5" customHeight="1" s="117">
      <c r="A170" s="27" t="n"/>
      <c r="B170" s="27" t="n"/>
      <c r="C170" s="27" t="n"/>
      <c r="D170" s="27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</row>
    <row r="171" ht="16.5" customHeight="1" s="117">
      <c r="A171" s="27" t="n"/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</row>
    <row r="172" ht="16.5" customHeight="1" s="117">
      <c r="A172" s="27" t="n"/>
      <c r="B172" s="27" t="n"/>
      <c r="C172" s="27" t="n"/>
      <c r="D172" s="27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</row>
    <row r="173" ht="16.5" customHeight="1" s="117">
      <c r="A173" s="27" t="n"/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</row>
    <row r="174" ht="16.5" customHeight="1" s="117">
      <c r="A174" s="27" t="n"/>
      <c r="B174" s="27" t="n"/>
      <c r="C174" s="27" t="n"/>
      <c r="D174" s="27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</row>
    <row r="175" ht="16.5" customHeight="1" s="117">
      <c r="A175" s="27" t="n"/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</row>
    <row r="176" ht="16.5" customHeight="1" s="117">
      <c r="A176" s="27" t="n"/>
      <c r="B176" s="27" t="n"/>
      <c r="C176" s="27" t="n"/>
      <c r="D176" s="27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</row>
    <row r="177" ht="16.5" customHeight="1" s="117">
      <c r="A177" s="27" t="n"/>
      <c r="B177" s="27" t="n"/>
      <c r="C177" s="27" t="n"/>
      <c r="D177" s="27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</row>
    <row r="178" ht="16.5" customHeight="1" s="117">
      <c r="A178" s="27" t="n"/>
      <c r="B178" s="27" t="n"/>
      <c r="C178" s="27" t="n"/>
      <c r="D178" s="27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</row>
    <row r="179" ht="16.5" customHeight="1" s="117">
      <c r="A179" s="27" t="n"/>
      <c r="B179" s="27" t="n"/>
      <c r="C179" s="27" t="n"/>
      <c r="D179" s="27" t="n"/>
      <c r="E179" s="27" t="n"/>
      <c r="F179" s="27" t="n"/>
      <c r="G179" s="27" t="n"/>
      <c r="H179" s="27" t="n"/>
      <c r="I179" s="27" t="n"/>
      <c r="J179" s="27" t="n"/>
      <c r="K179" s="27" t="n"/>
      <c r="L179" s="27" t="n"/>
      <c r="M179" s="27" t="n"/>
      <c r="N179" s="27" t="n"/>
      <c r="O179" s="27" t="n"/>
      <c r="P179" s="27" t="n"/>
      <c r="Q179" s="27" t="n"/>
      <c r="R179" s="27" t="n"/>
      <c r="S179" s="27" t="n"/>
      <c r="T179" s="27" t="n"/>
      <c r="U179" s="27" t="n"/>
      <c r="V179" s="27" t="n"/>
      <c r="W179" s="27" t="n"/>
      <c r="X179" s="27" t="n"/>
      <c r="Y179" s="27" t="n"/>
      <c r="Z179" s="27" t="n"/>
    </row>
    <row r="180" ht="16.5" customHeight="1" s="117">
      <c r="A180" s="27" t="n"/>
      <c r="B180" s="27" t="n"/>
      <c r="C180" s="27" t="n"/>
      <c r="D180" s="27" t="n"/>
      <c r="E180" s="27" t="n"/>
      <c r="F180" s="27" t="n"/>
      <c r="G180" s="27" t="n"/>
      <c r="H180" s="27" t="n"/>
      <c r="I180" s="27" t="n"/>
      <c r="J180" s="27" t="n"/>
      <c r="K180" s="27" t="n"/>
      <c r="L180" s="27" t="n"/>
      <c r="M180" s="27" t="n"/>
      <c r="N180" s="27" t="n"/>
      <c r="O180" s="27" t="n"/>
      <c r="P180" s="27" t="n"/>
      <c r="Q180" s="27" t="n"/>
      <c r="R180" s="27" t="n"/>
      <c r="S180" s="27" t="n"/>
      <c r="T180" s="27" t="n"/>
      <c r="U180" s="27" t="n"/>
      <c r="V180" s="27" t="n"/>
      <c r="W180" s="27" t="n"/>
      <c r="X180" s="27" t="n"/>
      <c r="Y180" s="27" t="n"/>
      <c r="Z180" s="27" t="n"/>
    </row>
    <row r="181" ht="16.5" customHeight="1" s="117">
      <c r="A181" s="27" t="n"/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</row>
    <row r="182" ht="16.5" customHeight="1" s="117">
      <c r="A182" s="27" t="n"/>
      <c r="B182" s="27" t="n"/>
      <c r="C182" s="27" t="n"/>
      <c r="D182" s="27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</row>
    <row r="183" ht="16.5" customHeight="1" s="117">
      <c r="A183" s="27" t="n"/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</row>
    <row r="184" ht="16.5" customHeight="1" s="117">
      <c r="A184" s="27" t="n"/>
      <c r="B184" s="27" t="n"/>
      <c r="C184" s="27" t="n"/>
      <c r="D184" s="27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</row>
    <row r="185" ht="16.5" customHeight="1" s="117">
      <c r="A185" s="27" t="n"/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</row>
    <row r="186" ht="16.5" customHeight="1" s="117">
      <c r="A186" s="27" t="n"/>
      <c r="B186" s="27" t="n"/>
      <c r="C186" s="27" t="n"/>
      <c r="D186" s="27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</row>
    <row r="187" ht="16.5" customHeight="1" s="117">
      <c r="A187" s="27" t="n"/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</row>
    <row r="188" ht="16.5" customHeight="1" s="117">
      <c r="A188" s="27" t="n"/>
      <c r="B188" s="27" t="n"/>
      <c r="C188" s="27" t="n"/>
      <c r="D188" s="27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</row>
    <row r="189" ht="16.5" customHeight="1" s="117">
      <c r="A189" s="27" t="n"/>
      <c r="B189" s="27" t="n"/>
      <c r="C189" s="27" t="n"/>
      <c r="D189" s="27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</row>
    <row r="190" ht="16.5" customHeight="1" s="117">
      <c r="A190" s="27" t="n"/>
      <c r="B190" s="27" t="n"/>
      <c r="C190" s="27" t="n"/>
      <c r="D190" s="27" t="n"/>
      <c r="E190" s="27" t="n"/>
      <c r="F190" s="27" t="n"/>
      <c r="G190" s="27" t="n"/>
      <c r="H190" s="27" t="n"/>
      <c r="I190" s="27" t="n"/>
      <c r="J190" s="27" t="n"/>
      <c r="K190" s="27" t="n"/>
      <c r="L190" s="27" t="n"/>
      <c r="M190" s="27" t="n"/>
      <c r="N190" s="27" t="n"/>
      <c r="O190" s="27" t="n"/>
      <c r="P190" s="27" t="n"/>
      <c r="Q190" s="27" t="n"/>
      <c r="R190" s="27" t="n"/>
      <c r="S190" s="27" t="n"/>
      <c r="T190" s="27" t="n"/>
      <c r="U190" s="27" t="n"/>
      <c r="V190" s="27" t="n"/>
      <c r="W190" s="27" t="n"/>
      <c r="X190" s="27" t="n"/>
      <c r="Y190" s="27" t="n"/>
      <c r="Z190" s="27" t="n"/>
    </row>
    <row r="191" ht="16.5" customHeight="1" s="117">
      <c r="A191" s="27" t="n"/>
      <c r="B191" s="27" t="n"/>
      <c r="C191" s="27" t="n"/>
      <c r="D191" s="27" t="n"/>
      <c r="E191" s="27" t="n"/>
      <c r="F191" s="27" t="n"/>
      <c r="G191" s="27" t="n"/>
      <c r="H191" s="27" t="n"/>
      <c r="I191" s="27" t="n"/>
      <c r="J191" s="27" t="n"/>
      <c r="K191" s="27" t="n"/>
      <c r="L191" s="27" t="n"/>
      <c r="M191" s="27" t="n"/>
      <c r="N191" s="27" t="n"/>
      <c r="O191" s="27" t="n"/>
      <c r="P191" s="27" t="n"/>
      <c r="Q191" s="27" t="n"/>
      <c r="R191" s="27" t="n"/>
      <c r="S191" s="27" t="n"/>
      <c r="T191" s="27" t="n"/>
      <c r="U191" s="27" t="n"/>
      <c r="V191" s="27" t="n"/>
      <c r="W191" s="27" t="n"/>
      <c r="X191" s="27" t="n"/>
      <c r="Y191" s="27" t="n"/>
      <c r="Z191" s="27" t="n"/>
    </row>
    <row r="192" ht="16.5" customHeight="1" s="117">
      <c r="A192" s="27" t="n"/>
      <c r="B192" s="27" t="n"/>
      <c r="C192" s="27" t="n"/>
      <c r="D192" s="27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</row>
    <row r="193" ht="16.5" customHeight="1" s="117">
      <c r="A193" s="27" t="n"/>
      <c r="B193" s="27" t="n"/>
      <c r="C193" s="27" t="n"/>
      <c r="D193" s="27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</row>
    <row r="194" ht="16.5" customHeight="1" s="117">
      <c r="A194" s="27" t="n"/>
      <c r="B194" s="27" t="n"/>
      <c r="C194" s="27" t="n"/>
      <c r="D194" s="27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</row>
    <row r="195" ht="16.5" customHeight="1" s="117">
      <c r="A195" s="27" t="n"/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</row>
    <row r="196" ht="16.5" customHeight="1" s="117">
      <c r="A196" s="27" t="n"/>
      <c r="B196" s="27" t="n"/>
      <c r="C196" s="27" t="n"/>
      <c r="D196" s="27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</row>
    <row r="197" ht="16.5" customHeight="1" s="117">
      <c r="A197" s="27" t="n"/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</row>
    <row r="198" ht="16.5" customHeight="1" s="117">
      <c r="A198" s="27" t="n"/>
      <c r="B198" s="27" t="n"/>
      <c r="C198" s="27" t="n"/>
      <c r="D198" s="27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</row>
    <row r="199" ht="16.5" customHeight="1" s="117">
      <c r="A199" s="27" t="n"/>
      <c r="B199" s="27" t="n"/>
      <c r="C199" s="27" t="n"/>
      <c r="D199" s="27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</row>
    <row r="200" ht="16.5" customHeight="1" s="117">
      <c r="A200" s="27" t="n"/>
      <c r="B200" s="27" t="n"/>
      <c r="C200" s="27" t="n"/>
      <c r="D200" s="27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</row>
    <row r="201" ht="16.5" customHeight="1" s="117">
      <c r="A201" s="27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  <c r="T201" s="27" t="n"/>
      <c r="U201" s="27" t="n"/>
      <c r="V201" s="27" t="n"/>
      <c r="W201" s="27" t="n"/>
      <c r="X201" s="27" t="n"/>
      <c r="Y201" s="27" t="n"/>
      <c r="Z201" s="27" t="n"/>
    </row>
    <row r="202" ht="16.5" customHeight="1" s="117">
      <c r="A202" s="27" t="n"/>
      <c r="B202" s="27" t="n"/>
      <c r="C202" s="27" t="n"/>
      <c r="D202" s="27" t="n"/>
      <c r="E202" s="27" t="n"/>
      <c r="F202" s="27" t="n"/>
      <c r="G202" s="27" t="n"/>
      <c r="H202" s="27" t="n"/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  <c r="R202" s="27" t="n"/>
      <c r="S202" s="27" t="n"/>
      <c r="T202" s="27" t="n"/>
      <c r="U202" s="27" t="n"/>
      <c r="V202" s="27" t="n"/>
      <c r="W202" s="27" t="n"/>
      <c r="X202" s="27" t="n"/>
      <c r="Y202" s="27" t="n"/>
      <c r="Z202" s="27" t="n"/>
    </row>
    <row r="203" ht="16.5" customHeight="1" s="117">
      <c r="A203" s="27" t="n"/>
      <c r="B203" s="27" t="n"/>
      <c r="C203" s="27" t="n"/>
      <c r="D203" s="27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</row>
    <row r="204" ht="16.5" customHeight="1" s="117">
      <c r="A204" s="27" t="n"/>
      <c r="B204" s="27" t="n"/>
      <c r="C204" s="27" t="n"/>
      <c r="D204" s="27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</row>
    <row r="205" ht="16.5" customHeight="1" s="117">
      <c r="A205" s="27" t="n"/>
      <c r="B205" s="27" t="n"/>
      <c r="C205" s="27" t="n"/>
      <c r="D205" s="27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</row>
    <row r="206" ht="16.5" customHeight="1" s="117">
      <c r="A206" s="27" t="n"/>
      <c r="B206" s="27" t="n"/>
      <c r="C206" s="27" t="n"/>
      <c r="D206" s="27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</row>
    <row r="207" ht="16.5" customHeight="1" s="117">
      <c r="A207" s="27" t="n"/>
      <c r="B207" s="27" t="n"/>
      <c r="C207" s="27" t="n"/>
      <c r="D207" s="27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</row>
    <row r="208" ht="16.5" customHeight="1" s="117">
      <c r="A208" s="27" t="n"/>
      <c r="B208" s="27" t="n"/>
      <c r="C208" s="27" t="n"/>
      <c r="D208" s="27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</row>
    <row r="209" ht="16.5" customHeight="1" s="117">
      <c r="A209" s="27" t="n"/>
      <c r="B209" s="27" t="n"/>
      <c r="C209" s="27" t="n"/>
      <c r="D209" s="27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</row>
    <row r="210" ht="16.5" customHeight="1" s="117">
      <c r="A210" s="27" t="n"/>
      <c r="B210" s="27" t="n"/>
      <c r="C210" s="27" t="n"/>
      <c r="D210" s="27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</row>
    <row r="211" ht="16.5" customHeight="1" s="117">
      <c r="A211" s="27" t="n"/>
      <c r="B211" s="27" t="n"/>
      <c r="C211" s="27" t="n"/>
      <c r="D211" s="27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</row>
    <row r="212" ht="16.5" customHeight="1" s="117">
      <c r="A212" s="27" t="n"/>
      <c r="B212" s="27" t="n"/>
      <c r="C212" s="27" t="n"/>
      <c r="D212" s="27" t="n"/>
      <c r="E212" s="27" t="n"/>
      <c r="F212" s="27" t="n"/>
      <c r="G212" s="27" t="n"/>
      <c r="H212" s="27" t="n"/>
      <c r="I212" s="27" t="n"/>
      <c r="J212" s="27" t="n"/>
      <c r="K212" s="27" t="n"/>
      <c r="L212" s="27" t="n"/>
      <c r="M212" s="27" t="n"/>
      <c r="N212" s="27" t="n"/>
      <c r="O212" s="27" t="n"/>
      <c r="P212" s="27" t="n"/>
      <c r="Q212" s="27" t="n"/>
      <c r="R212" s="27" t="n"/>
      <c r="S212" s="27" t="n"/>
      <c r="T212" s="27" t="n"/>
      <c r="U212" s="27" t="n"/>
      <c r="V212" s="27" t="n"/>
      <c r="W212" s="27" t="n"/>
      <c r="X212" s="27" t="n"/>
      <c r="Y212" s="27" t="n"/>
      <c r="Z212" s="27" t="n"/>
    </row>
    <row r="213" ht="16.5" customHeight="1" s="117">
      <c r="A213" s="27" t="n"/>
      <c r="B213" s="27" t="n"/>
      <c r="C213" s="27" t="n"/>
      <c r="D213" s="27" t="n"/>
      <c r="E213" s="27" t="n"/>
      <c r="F213" s="27" t="n"/>
      <c r="G213" s="27" t="n"/>
      <c r="H213" s="27" t="n"/>
      <c r="I213" s="27" t="n"/>
      <c r="J213" s="27" t="n"/>
      <c r="K213" s="27" t="n"/>
      <c r="L213" s="27" t="n"/>
      <c r="M213" s="27" t="n"/>
      <c r="N213" s="27" t="n"/>
      <c r="O213" s="27" t="n"/>
      <c r="P213" s="27" t="n"/>
      <c r="Q213" s="27" t="n"/>
      <c r="R213" s="27" t="n"/>
      <c r="S213" s="27" t="n"/>
      <c r="T213" s="27" t="n"/>
      <c r="U213" s="27" t="n"/>
      <c r="V213" s="27" t="n"/>
      <c r="W213" s="27" t="n"/>
      <c r="X213" s="27" t="n"/>
      <c r="Y213" s="27" t="n"/>
      <c r="Z213" s="27" t="n"/>
    </row>
    <row r="214" ht="16.5" customHeight="1" s="117">
      <c r="A214" s="27" t="n"/>
      <c r="B214" s="27" t="n"/>
      <c r="C214" s="27" t="n"/>
      <c r="D214" s="27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</row>
    <row r="215" ht="16.5" customHeight="1" s="117">
      <c r="A215" s="27" t="n"/>
      <c r="B215" s="27" t="n"/>
      <c r="C215" s="27" t="n"/>
      <c r="D215" s="27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</row>
    <row r="216" ht="16.5" customHeight="1" s="117">
      <c r="A216" s="27" t="n"/>
      <c r="B216" s="27" t="n"/>
      <c r="C216" s="27" t="n"/>
      <c r="D216" s="27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</row>
    <row r="217" ht="16.5" customHeight="1" s="117">
      <c r="A217" s="27" t="n"/>
      <c r="B217" s="27" t="n"/>
      <c r="C217" s="27" t="n"/>
      <c r="D217" s="27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</row>
    <row r="218" ht="16.5" customHeight="1" s="117">
      <c r="A218" s="27" t="n"/>
      <c r="B218" s="27" t="n"/>
      <c r="C218" s="27" t="n"/>
      <c r="D218" s="27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</row>
    <row r="219" ht="16.5" customHeight="1" s="117">
      <c r="A219" s="27" t="n"/>
      <c r="B219" s="27" t="n"/>
      <c r="C219" s="27" t="n"/>
      <c r="D219" s="27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</row>
    <row r="220" ht="16.5" customHeight="1" s="117">
      <c r="A220" s="27" t="n"/>
      <c r="B220" s="27" t="n"/>
      <c r="C220" s="27" t="n"/>
      <c r="D220" s="27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</row>
    <row r="221" ht="16.5" customHeight="1" s="117">
      <c r="A221" s="27" t="n"/>
      <c r="B221" s="27" t="n"/>
      <c r="C221" s="27" t="n"/>
      <c r="D221" s="27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</row>
    <row r="222" ht="16.5" customHeight="1" s="117">
      <c r="A222" s="27" t="n"/>
      <c r="B222" s="27" t="n"/>
      <c r="C222" s="27" t="n"/>
      <c r="D222" s="27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</row>
    <row r="223" ht="16.5" customHeight="1" s="117">
      <c r="A223" s="27" t="n"/>
      <c r="B223" s="27" t="n"/>
      <c r="C223" s="27" t="n"/>
      <c r="D223" s="27" t="n"/>
      <c r="E223" s="27" t="n"/>
      <c r="F223" s="27" t="n"/>
      <c r="G223" s="27" t="n"/>
      <c r="H223" s="27" t="n"/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  <c r="R223" s="27" t="n"/>
      <c r="S223" s="27" t="n"/>
      <c r="T223" s="27" t="n"/>
      <c r="U223" s="27" t="n"/>
      <c r="V223" s="27" t="n"/>
      <c r="W223" s="27" t="n"/>
      <c r="X223" s="27" t="n"/>
      <c r="Y223" s="27" t="n"/>
      <c r="Z223" s="27" t="n"/>
    </row>
    <row r="224" ht="16.5" customHeight="1" s="117">
      <c r="A224" s="27" t="n"/>
      <c r="B224" s="27" t="n"/>
      <c r="C224" s="27" t="n"/>
      <c r="D224" s="27" t="n"/>
      <c r="E224" s="27" t="n"/>
      <c r="F224" s="27" t="n"/>
      <c r="G224" s="27" t="n"/>
      <c r="H224" s="27" t="n"/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  <c r="R224" s="27" t="n"/>
      <c r="S224" s="27" t="n"/>
      <c r="T224" s="27" t="n"/>
      <c r="U224" s="27" t="n"/>
      <c r="V224" s="27" t="n"/>
      <c r="W224" s="27" t="n"/>
      <c r="X224" s="27" t="n"/>
      <c r="Y224" s="27" t="n"/>
      <c r="Z224" s="27" t="n"/>
    </row>
    <row r="225" ht="16.5" customHeight="1" s="117">
      <c r="A225" s="27" t="n"/>
      <c r="B225" s="27" t="n"/>
      <c r="C225" s="27" t="n"/>
      <c r="D225" s="27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</row>
    <row r="226" ht="16.5" customHeight="1" s="117">
      <c r="A226" s="27" t="n"/>
      <c r="B226" s="27" t="n"/>
      <c r="C226" s="27" t="n"/>
      <c r="D226" s="27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</row>
    <row r="227" ht="16.5" customHeight="1" s="117">
      <c r="A227" s="27" t="n"/>
      <c r="B227" s="27" t="n"/>
      <c r="C227" s="27" t="n"/>
      <c r="D227" s="27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</row>
    <row r="228" ht="16.5" customHeight="1" s="117">
      <c r="A228" s="27" t="n"/>
      <c r="B228" s="27" t="n"/>
      <c r="C228" s="27" t="n"/>
      <c r="D228" s="27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</row>
    <row r="229" ht="16.5" customHeight="1" s="117">
      <c r="A229" s="27" t="n"/>
      <c r="B229" s="27" t="n"/>
      <c r="C229" s="27" t="n"/>
      <c r="D229" s="27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</row>
    <row r="230" ht="16.5" customHeight="1" s="117">
      <c r="A230" s="27" t="n"/>
      <c r="B230" s="27" t="n"/>
      <c r="C230" s="27" t="n"/>
      <c r="D230" s="27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</row>
    <row r="231" ht="16.5" customHeight="1" s="117">
      <c r="A231" s="27" t="n"/>
      <c r="B231" s="27" t="n"/>
      <c r="C231" s="27" t="n"/>
      <c r="D231" s="27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</row>
    <row r="232" ht="16.5" customHeight="1" s="117">
      <c r="A232" s="27" t="n"/>
      <c r="B232" s="27" t="n"/>
      <c r="C232" s="27" t="n"/>
      <c r="D232" s="27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</row>
    <row r="233" ht="16.5" customHeight="1" s="117">
      <c r="A233" s="27" t="n"/>
      <c r="B233" s="27" t="n"/>
      <c r="C233" s="27" t="n"/>
      <c r="D233" s="27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</row>
    <row r="234" ht="16.5" customHeight="1" s="117">
      <c r="A234" s="27" t="n"/>
      <c r="B234" s="27" t="n"/>
      <c r="C234" s="27" t="n"/>
      <c r="D234" s="27" t="n"/>
      <c r="E234" s="27" t="n"/>
      <c r="F234" s="27" t="n"/>
      <c r="G234" s="27" t="n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  <c r="R234" s="27" t="n"/>
      <c r="S234" s="27" t="n"/>
      <c r="T234" s="27" t="n"/>
      <c r="U234" s="27" t="n"/>
      <c r="V234" s="27" t="n"/>
      <c r="W234" s="27" t="n"/>
      <c r="X234" s="27" t="n"/>
      <c r="Y234" s="27" t="n"/>
      <c r="Z234" s="27" t="n"/>
    </row>
    <row r="235" ht="16.5" customHeight="1" s="117">
      <c r="A235" s="27" t="n"/>
      <c r="B235" s="27" t="n"/>
      <c r="C235" s="27" t="n"/>
      <c r="D235" s="27" t="n"/>
      <c r="E235" s="27" t="n"/>
      <c r="F235" s="27" t="n"/>
      <c r="G235" s="27" t="n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  <c r="R235" s="27" t="n"/>
      <c r="S235" s="27" t="n"/>
      <c r="T235" s="27" t="n"/>
      <c r="U235" s="27" t="n"/>
      <c r="V235" s="27" t="n"/>
      <c r="W235" s="27" t="n"/>
      <c r="X235" s="27" t="n"/>
      <c r="Y235" s="27" t="n"/>
      <c r="Z235" s="27" t="n"/>
    </row>
    <row r="236" ht="16.5" customHeight="1" s="117">
      <c r="A236" s="27" t="n"/>
      <c r="B236" s="27" t="n"/>
      <c r="C236" s="27" t="n"/>
      <c r="D236" s="27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</row>
    <row r="237" ht="16.5" customHeight="1" s="117">
      <c r="A237" s="27" t="n"/>
      <c r="B237" s="27" t="n"/>
      <c r="C237" s="27" t="n"/>
      <c r="D237" s="27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</row>
    <row r="238" ht="16.5" customHeight="1" s="117">
      <c r="A238" s="27" t="n"/>
      <c r="B238" s="27" t="n"/>
      <c r="C238" s="27" t="n"/>
      <c r="D238" s="27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</row>
    <row r="239" ht="16.5" customHeight="1" s="117">
      <c r="A239" s="27" t="n"/>
      <c r="B239" s="27" t="n"/>
      <c r="C239" s="27" t="n"/>
      <c r="D239" s="27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</row>
    <row r="240" ht="16.5" customHeight="1" s="117">
      <c r="A240" s="27" t="n"/>
      <c r="B240" s="27" t="n"/>
      <c r="C240" s="27" t="n"/>
      <c r="D240" s="27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</row>
    <row r="241" ht="16.5" customHeight="1" s="117">
      <c r="A241" s="27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</row>
    <row r="242" ht="16.5" customHeight="1" s="117">
      <c r="A242" s="27" t="n"/>
      <c r="B242" s="27" t="n"/>
      <c r="C242" s="27" t="n"/>
      <c r="D242" s="27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</row>
    <row r="243" ht="16.5" customHeight="1" s="117">
      <c r="A243" s="27" t="n"/>
      <c r="B243" s="27" t="n"/>
      <c r="C243" s="27" t="n"/>
      <c r="D243" s="27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</row>
    <row r="244" ht="16.5" customHeight="1" s="117">
      <c r="A244" s="27" t="n"/>
      <c r="B244" s="27" t="n"/>
      <c r="C244" s="27" t="n"/>
      <c r="D244" s="27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</row>
    <row r="245" ht="16.5" customHeight="1" s="117">
      <c r="A245" s="27" t="n"/>
      <c r="B245" s="27" t="n"/>
      <c r="C245" s="27" t="n"/>
      <c r="D245" s="27" t="n"/>
      <c r="E245" s="27" t="n"/>
      <c r="F245" s="27" t="n"/>
      <c r="G245" s="27" t="n"/>
      <c r="H245" s="27" t="n"/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27" t="n"/>
      <c r="S245" s="27" t="n"/>
      <c r="T245" s="27" t="n"/>
      <c r="U245" s="27" t="n"/>
      <c r="V245" s="27" t="n"/>
      <c r="W245" s="27" t="n"/>
      <c r="X245" s="27" t="n"/>
      <c r="Y245" s="27" t="n"/>
      <c r="Z245" s="27" t="n"/>
    </row>
    <row r="246" ht="16.5" customHeight="1" s="117">
      <c r="A246" s="27" t="n"/>
      <c r="B246" s="27" t="n"/>
      <c r="C246" s="27" t="n"/>
      <c r="D246" s="27" t="n"/>
      <c r="E246" s="27" t="n"/>
      <c r="F246" s="27" t="n"/>
      <c r="G246" s="27" t="n"/>
      <c r="H246" s="27" t="n"/>
      <c r="I246" s="27" t="n"/>
      <c r="J246" s="27" t="n"/>
      <c r="K246" s="27" t="n"/>
      <c r="L246" s="27" t="n"/>
      <c r="M246" s="27" t="n"/>
      <c r="N246" s="27" t="n"/>
      <c r="O246" s="27" t="n"/>
      <c r="P246" s="27" t="n"/>
      <c r="Q246" s="27" t="n"/>
      <c r="R246" s="27" t="n"/>
      <c r="S246" s="27" t="n"/>
      <c r="T246" s="27" t="n"/>
      <c r="U246" s="27" t="n"/>
      <c r="V246" s="27" t="n"/>
      <c r="W246" s="27" t="n"/>
      <c r="X246" s="27" t="n"/>
      <c r="Y246" s="27" t="n"/>
      <c r="Z246" s="27" t="n"/>
    </row>
    <row r="247" ht="16.5" customHeight="1" s="117">
      <c r="A247" s="27" t="n"/>
      <c r="B247" s="27" t="n"/>
      <c r="C247" s="27" t="n"/>
      <c r="D247" s="27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</row>
    <row r="248" ht="16.5" customHeight="1" s="117">
      <c r="A248" s="27" t="n"/>
      <c r="B248" s="27" t="n"/>
      <c r="C248" s="27" t="n"/>
      <c r="D248" s="27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</row>
    <row r="249" ht="16.5" customHeight="1" s="117">
      <c r="A249" s="27" t="n"/>
      <c r="B249" s="27" t="n"/>
      <c r="C249" s="27" t="n"/>
      <c r="D249" s="27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</row>
    <row r="250" ht="16.5" customHeight="1" s="117">
      <c r="A250" s="27" t="n"/>
      <c r="B250" s="27" t="n"/>
      <c r="C250" s="27" t="n"/>
      <c r="D250" s="27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</row>
    <row r="251" ht="16.5" customHeight="1" s="117">
      <c r="A251" s="27" t="n"/>
      <c r="B251" s="27" t="n"/>
      <c r="C251" s="27" t="n"/>
      <c r="D251" s="27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</row>
    <row r="252" ht="16.5" customHeight="1" s="117">
      <c r="A252" s="27" t="n"/>
      <c r="B252" s="27" t="n"/>
      <c r="C252" s="27" t="n"/>
      <c r="D252" s="27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</row>
    <row r="253" ht="16.5" customHeight="1" s="117">
      <c r="A253" s="27" t="n"/>
      <c r="B253" s="27" t="n"/>
      <c r="C253" s="27" t="n"/>
      <c r="D253" s="27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</row>
    <row r="254" ht="16.5" customHeight="1" s="117">
      <c r="A254" s="27" t="n"/>
      <c r="B254" s="27" t="n"/>
      <c r="C254" s="27" t="n"/>
      <c r="D254" s="27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</row>
    <row r="255" ht="16.5" customHeight="1" s="117">
      <c r="A255" s="27" t="n"/>
      <c r="B255" s="27" t="n"/>
      <c r="C255" s="27" t="n"/>
      <c r="D255" s="27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</row>
    <row r="256" ht="16.5" customHeight="1" s="117">
      <c r="A256" s="27" t="n"/>
      <c r="B256" s="27" t="n"/>
      <c r="C256" s="27" t="n"/>
      <c r="D256" s="27" t="n"/>
      <c r="E256" s="27" t="n"/>
      <c r="F256" s="27" t="n"/>
      <c r="G256" s="27" t="n"/>
      <c r="H256" s="27" t="n"/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27" t="n"/>
      <c r="R256" s="27" t="n"/>
      <c r="S256" s="27" t="n"/>
      <c r="T256" s="27" t="n"/>
      <c r="U256" s="27" t="n"/>
      <c r="V256" s="27" t="n"/>
      <c r="W256" s="27" t="n"/>
      <c r="X256" s="27" t="n"/>
      <c r="Y256" s="27" t="n"/>
      <c r="Z256" s="27" t="n"/>
    </row>
    <row r="257" ht="16.5" customHeight="1" s="117">
      <c r="A257" s="27" t="n"/>
      <c r="B257" s="27" t="n"/>
      <c r="C257" s="27" t="n"/>
      <c r="D257" s="27" t="n"/>
      <c r="E257" s="27" t="n"/>
      <c r="F257" s="27" t="n"/>
      <c r="G257" s="27" t="n"/>
      <c r="H257" s="27" t="n"/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27" t="n"/>
      <c r="R257" s="27" t="n"/>
      <c r="S257" s="27" t="n"/>
      <c r="T257" s="27" t="n"/>
      <c r="U257" s="27" t="n"/>
      <c r="V257" s="27" t="n"/>
      <c r="W257" s="27" t="n"/>
      <c r="X257" s="27" t="n"/>
      <c r="Y257" s="27" t="n"/>
      <c r="Z257" s="27" t="n"/>
    </row>
    <row r="258" ht="16.5" customHeight="1" s="117">
      <c r="A258" s="27" t="n"/>
      <c r="B258" s="27" t="n"/>
      <c r="C258" s="27" t="n"/>
      <c r="D258" s="27" t="n"/>
      <c r="E258" s="27" t="n"/>
      <c r="F258" s="27" t="n"/>
      <c r="G258" s="27" t="n"/>
      <c r="H258" s="27" t="n"/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27" t="n"/>
      <c r="S258" s="27" t="n"/>
      <c r="T258" s="27" t="n"/>
      <c r="U258" s="27" t="n"/>
      <c r="V258" s="27" t="n"/>
      <c r="W258" s="27" t="n"/>
      <c r="X258" s="27" t="n"/>
      <c r="Y258" s="27" t="n"/>
      <c r="Z258" s="27" t="n"/>
    </row>
    <row r="259" ht="16.5" customHeight="1" s="117">
      <c r="A259" s="27" t="n"/>
      <c r="B259" s="27" t="n"/>
      <c r="C259" s="27" t="n"/>
      <c r="D259" s="27" t="n"/>
      <c r="E259" s="27" t="n"/>
      <c r="F259" s="27" t="n"/>
      <c r="G259" s="27" t="n"/>
      <c r="H259" s="27" t="n"/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27" t="n"/>
      <c r="S259" s="27" t="n"/>
      <c r="T259" s="27" t="n"/>
      <c r="U259" s="27" t="n"/>
      <c r="V259" s="27" t="n"/>
      <c r="W259" s="27" t="n"/>
      <c r="X259" s="27" t="n"/>
      <c r="Y259" s="27" t="n"/>
      <c r="Z259" s="27" t="n"/>
    </row>
    <row r="260" ht="16.5" customHeight="1" s="117">
      <c r="A260" s="27" t="n"/>
      <c r="B260" s="27" t="n"/>
      <c r="C260" s="27" t="n"/>
      <c r="D260" s="27" t="n"/>
      <c r="E260" s="27" t="n"/>
      <c r="F260" s="27" t="n"/>
      <c r="G260" s="27" t="n"/>
      <c r="H260" s="27" t="n"/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27" t="n"/>
      <c r="S260" s="27" t="n"/>
      <c r="T260" s="27" t="n"/>
      <c r="U260" s="27" t="n"/>
      <c r="V260" s="27" t="n"/>
      <c r="W260" s="27" t="n"/>
      <c r="X260" s="27" t="n"/>
      <c r="Y260" s="27" t="n"/>
      <c r="Z260" s="27" t="n"/>
    </row>
    <row r="261" ht="16.5" customHeight="1" s="117">
      <c r="A261" s="27" t="n"/>
      <c r="B261" s="27" t="n"/>
      <c r="C261" s="27" t="n"/>
      <c r="D261" s="27" t="n"/>
      <c r="E261" s="27" t="n"/>
      <c r="F261" s="27" t="n"/>
      <c r="G261" s="27" t="n"/>
      <c r="H261" s="27" t="n"/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27" t="n"/>
      <c r="S261" s="27" t="n"/>
      <c r="T261" s="27" t="n"/>
      <c r="U261" s="27" t="n"/>
      <c r="V261" s="27" t="n"/>
      <c r="W261" s="27" t="n"/>
      <c r="X261" s="27" t="n"/>
      <c r="Y261" s="27" t="n"/>
      <c r="Z261" s="27" t="n"/>
    </row>
    <row r="262" ht="16.5" customHeight="1" s="117">
      <c r="A262" s="27" t="n"/>
      <c r="B262" s="27" t="n"/>
      <c r="C262" s="27" t="n"/>
      <c r="D262" s="27" t="n"/>
      <c r="E262" s="27" t="n"/>
      <c r="F262" s="27" t="n"/>
      <c r="G262" s="27" t="n"/>
      <c r="H262" s="27" t="n"/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27" t="n"/>
      <c r="S262" s="27" t="n"/>
      <c r="T262" s="27" t="n"/>
      <c r="U262" s="27" t="n"/>
      <c r="V262" s="27" t="n"/>
      <c r="W262" s="27" t="n"/>
      <c r="X262" s="27" t="n"/>
      <c r="Y262" s="27" t="n"/>
      <c r="Z262" s="27" t="n"/>
    </row>
    <row r="263" ht="16.5" customHeight="1" s="117">
      <c r="A263" s="27" t="n"/>
      <c r="B263" s="27" t="n"/>
      <c r="C263" s="27" t="n"/>
      <c r="D263" s="27" t="n"/>
      <c r="E263" s="27" t="n"/>
      <c r="F263" s="27" t="n"/>
      <c r="G263" s="27" t="n"/>
      <c r="H263" s="27" t="n"/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27" t="n"/>
      <c r="S263" s="27" t="n"/>
      <c r="T263" s="27" t="n"/>
      <c r="U263" s="27" t="n"/>
      <c r="V263" s="27" t="n"/>
      <c r="W263" s="27" t="n"/>
      <c r="X263" s="27" t="n"/>
      <c r="Y263" s="27" t="n"/>
      <c r="Z263" s="27" t="n"/>
    </row>
    <row r="264" ht="16.5" customHeight="1" s="117">
      <c r="A264" s="27" t="n"/>
      <c r="B264" s="27" t="n"/>
      <c r="C264" s="27" t="n"/>
      <c r="D264" s="27" t="n"/>
      <c r="E264" s="27" t="n"/>
      <c r="F264" s="27" t="n"/>
      <c r="G264" s="27" t="n"/>
      <c r="H264" s="27" t="n"/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27" t="n"/>
      <c r="S264" s="27" t="n"/>
      <c r="T264" s="27" t="n"/>
      <c r="U264" s="27" t="n"/>
      <c r="V264" s="27" t="n"/>
      <c r="W264" s="27" t="n"/>
      <c r="X264" s="27" t="n"/>
      <c r="Y264" s="27" t="n"/>
      <c r="Z264" s="27" t="n"/>
    </row>
    <row r="265" ht="16.5" customHeight="1" s="117">
      <c r="A265" s="27" t="n"/>
      <c r="B265" s="27" t="n"/>
      <c r="C265" s="27" t="n"/>
      <c r="D265" s="27" t="n"/>
      <c r="E265" s="27" t="n"/>
      <c r="F265" s="27" t="n"/>
      <c r="G265" s="27" t="n"/>
      <c r="H265" s="27" t="n"/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27" t="n"/>
      <c r="S265" s="27" t="n"/>
      <c r="T265" s="27" t="n"/>
      <c r="U265" s="27" t="n"/>
      <c r="V265" s="27" t="n"/>
      <c r="W265" s="27" t="n"/>
      <c r="X265" s="27" t="n"/>
      <c r="Y265" s="27" t="n"/>
      <c r="Z265" s="27" t="n"/>
    </row>
    <row r="266" ht="16.5" customHeight="1" s="117">
      <c r="A266" s="27" t="n"/>
      <c r="B266" s="27" t="n"/>
      <c r="C266" s="27" t="n"/>
      <c r="D266" s="27" t="n"/>
      <c r="E266" s="27" t="n"/>
      <c r="F266" s="27" t="n"/>
      <c r="G266" s="27" t="n"/>
      <c r="H266" s="27" t="n"/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27" t="n"/>
      <c r="S266" s="27" t="n"/>
      <c r="T266" s="27" t="n"/>
      <c r="U266" s="27" t="n"/>
      <c r="V266" s="27" t="n"/>
      <c r="W266" s="27" t="n"/>
      <c r="X266" s="27" t="n"/>
      <c r="Y266" s="27" t="n"/>
      <c r="Z266" s="27" t="n"/>
    </row>
    <row r="267" ht="16.5" customHeight="1" s="117">
      <c r="A267" s="27" t="n"/>
      <c r="B267" s="27" t="n"/>
      <c r="C267" s="27" t="n"/>
      <c r="D267" s="27" t="n"/>
      <c r="E267" s="27" t="n"/>
      <c r="F267" s="27" t="n"/>
      <c r="G267" s="27" t="n"/>
      <c r="H267" s="27" t="n"/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27" t="n"/>
      <c r="R267" s="27" t="n"/>
      <c r="S267" s="27" t="n"/>
      <c r="T267" s="27" t="n"/>
      <c r="U267" s="27" t="n"/>
      <c r="V267" s="27" t="n"/>
      <c r="W267" s="27" t="n"/>
      <c r="X267" s="27" t="n"/>
      <c r="Y267" s="27" t="n"/>
      <c r="Z267" s="27" t="n"/>
    </row>
    <row r="268" ht="16.5" customHeight="1" s="117">
      <c r="A268" s="27" t="n"/>
      <c r="B268" s="27" t="n"/>
      <c r="C268" s="27" t="n"/>
      <c r="D268" s="27" t="n"/>
      <c r="E268" s="27" t="n"/>
      <c r="F268" s="27" t="n"/>
      <c r="G268" s="27" t="n"/>
      <c r="H268" s="27" t="n"/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27" t="n"/>
      <c r="R268" s="27" t="n"/>
      <c r="S268" s="27" t="n"/>
      <c r="T268" s="27" t="n"/>
      <c r="U268" s="27" t="n"/>
      <c r="V268" s="27" t="n"/>
      <c r="W268" s="27" t="n"/>
      <c r="X268" s="27" t="n"/>
      <c r="Y268" s="27" t="n"/>
      <c r="Z268" s="27" t="n"/>
    </row>
    <row r="269" ht="16.5" customHeight="1" s="117">
      <c r="A269" s="27" t="n"/>
      <c r="B269" s="27" t="n"/>
      <c r="C269" s="27" t="n"/>
      <c r="D269" s="27" t="n"/>
      <c r="E269" s="27" t="n"/>
      <c r="F269" s="27" t="n"/>
      <c r="G269" s="27" t="n"/>
      <c r="H269" s="27" t="n"/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27" t="n"/>
      <c r="R269" s="27" t="n"/>
      <c r="S269" s="27" t="n"/>
      <c r="T269" s="27" t="n"/>
      <c r="U269" s="27" t="n"/>
      <c r="V269" s="27" t="n"/>
      <c r="W269" s="27" t="n"/>
      <c r="X269" s="27" t="n"/>
      <c r="Y269" s="27" t="n"/>
      <c r="Z269" s="27" t="n"/>
    </row>
    <row r="270" ht="16.5" customHeight="1" s="117">
      <c r="A270" s="27" t="n"/>
      <c r="B270" s="27" t="n"/>
      <c r="C270" s="27" t="n"/>
      <c r="D270" s="27" t="n"/>
      <c r="E270" s="27" t="n"/>
      <c r="F270" s="27" t="n"/>
      <c r="G270" s="27" t="n"/>
      <c r="H270" s="27" t="n"/>
      <c r="I270" s="27" t="n"/>
      <c r="J270" s="27" t="n"/>
      <c r="K270" s="27" t="n"/>
      <c r="L270" s="27" t="n"/>
      <c r="M270" s="27" t="n"/>
      <c r="N270" s="27" t="n"/>
      <c r="O270" s="27" t="n"/>
      <c r="P270" s="27" t="n"/>
      <c r="Q270" s="27" t="n"/>
      <c r="R270" s="27" t="n"/>
      <c r="S270" s="27" t="n"/>
      <c r="T270" s="27" t="n"/>
      <c r="U270" s="27" t="n"/>
      <c r="V270" s="27" t="n"/>
      <c r="W270" s="27" t="n"/>
      <c r="X270" s="27" t="n"/>
      <c r="Y270" s="27" t="n"/>
      <c r="Z270" s="27" t="n"/>
    </row>
    <row r="271" ht="16.5" customHeight="1" s="117">
      <c r="A271" s="27" t="n"/>
      <c r="B271" s="27" t="n"/>
      <c r="C271" s="27" t="n"/>
      <c r="D271" s="27" t="n"/>
      <c r="E271" s="27" t="n"/>
      <c r="F271" s="27" t="n"/>
      <c r="G271" s="27" t="n"/>
      <c r="H271" s="27" t="n"/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27" t="n"/>
      <c r="R271" s="27" t="n"/>
      <c r="S271" s="27" t="n"/>
      <c r="T271" s="27" t="n"/>
      <c r="U271" s="27" t="n"/>
      <c r="V271" s="27" t="n"/>
      <c r="W271" s="27" t="n"/>
      <c r="X271" s="27" t="n"/>
      <c r="Y271" s="27" t="n"/>
      <c r="Z271" s="27" t="n"/>
    </row>
    <row r="272" ht="16.5" customHeight="1" s="117">
      <c r="A272" s="27" t="n"/>
      <c r="B272" s="27" t="n"/>
      <c r="C272" s="27" t="n"/>
      <c r="D272" s="27" t="n"/>
      <c r="E272" s="27" t="n"/>
      <c r="F272" s="27" t="n"/>
      <c r="G272" s="27" t="n"/>
      <c r="H272" s="27" t="n"/>
      <c r="I272" s="27" t="n"/>
      <c r="J272" s="27" t="n"/>
      <c r="K272" s="27" t="n"/>
      <c r="L272" s="27" t="n"/>
      <c r="M272" s="27" t="n"/>
      <c r="N272" s="27" t="n"/>
      <c r="O272" s="27" t="n"/>
      <c r="P272" s="27" t="n"/>
      <c r="Q272" s="27" t="n"/>
      <c r="R272" s="27" t="n"/>
      <c r="S272" s="27" t="n"/>
      <c r="T272" s="27" t="n"/>
      <c r="U272" s="27" t="n"/>
      <c r="V272" s="27" t="n"/>
      <c r="W272" s="27" t="n"/>
      <c r="X272" s="27" t="n"/>
      <c r="Y272" s="27" t="n"/>
      <c r="Z272" s="27" t="n"/>
    </row>
    <row r="273" ht="16.5" customHeight="1" s="117">
      <c r="A273" s="27" t="n"/>
      <c r="B273" s="27" t="n"/>
      <c r="C273" s="27" t="n"/>
      <c r="D273" s="27" t="n"/>
      <c r="E273" s="27" t="n"/>
      <c r="F273" s="27" t="n"/>
      <c r="G273" s="27" t="n"/>
      <c r="H273" s="27" t="n"/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  <c r="R273" s="27" t="n"/>
      <c r="S273" s="27" t="n"/>
      <c r="T273" s="27" t="n"/>
      <c r="U273" s="27" t="n"/>
      <c r="V273" s="27" t="n"/>
      <c r="W273" s="27" t="n"/>
      <c r="X273" s="27" t="n"/>
      <c r="Y273" s="27" t="n"/>
      <c r="Z273" s="27" t="n"/>
    </row>
    <row r="274" ht="16.5" customHeight="1" s="117">
      <c r="A274" s="27" t="n"/>
      <c r="B274" s="27" t="n"/>
      <c r="C274" s="27" t="n"/>
      <c r="D274" s="27" t="n"/>
      <c r="E274" s="27" t="n"/>
      <c r="F274" s="27" t="n"/>
      <c r="G274" s="27" t="n"/>
      <c r="H274" s="27" t="n"/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  <c r="R274" s="27" t="n"/>
      <c r="S274" s="27" t="n"/>
      <c r="T274" s="27" t="n"/>
      <c r="U274" s="27" t="n"/>
      <c r="V274" s="27" t="n"/>
      <c r="W274" s="27" t="n"/>
      <c r="X274" s="27" t="n"/>
      <c r="Y274" s="27" t="n"/>
      <c r="Z274" s="27" t="n"/>
    </row>
    <row r="275" ht="16.5" customHeight="1" s="117">
      <c r="A275" s="27" t="n"/>
      <c r="B275" s="27" t="n"/>
      <c r="C275" s="27" t="n"/>
      <c r="D275" s="27" t="n"/>
      <c r="E275" s="27" t="n"/>
      <c r="F275" s="27" t="n"/>
      <c r="G275" s="27" t="n"/>
      <c r="H275" s="27" t="n"/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  <c r="R275" s="27" t="n"/>
      <c r="S275" s="27" t="n"/>
      <c r="T275" s="27" t="n"/>
      <c r="U275" s="27" t="n"/>
      <c r="V275" s="27" t="n"/>
      <c r="W275" s="27" t="n"/>
      <c r="X275" s="27" t="n"/>
      <c r="Y275" s="27" t="n"/>
      <c r="Z275" s="27" t="n"/>
    </row>
    <row r="276" ht="16.5" customHeight="1" s="117">
      <c r="A276" s="27" t="n"/>
      <c r="B276" s="27" t="n"/>
      <c r="C276" s="27" t="n"/>
      <c r="D276" s="27" t="n"/>
      <c r="E276" s="27" t="n"/>
      <c r="F276" s="27" t="n"/>
      <c r="G276" s="27" t="n"/>
      <c r="H276" s="27" t="n"/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  <c r="R276" s="27" t="n"/>
      <c r="S276" s="27" t="n"/>
      <c r="T276" s="27" t="n"/>
      <c r="U276" s="27" t="n"/>
      <c r="V276" s="27" t="n"/>
      <c r="W276" s="27" t="n"/>
      <c r="X276" s="27" t="n"/>
      <c r="Y276" s="27" t="n"/>
      <c r="Z276" s="27" t="n"/>
    </row>
    <row r="277" ht="16.5" customHeight="1" s="117">
      <c r="A277" s="27" t="n"/>
      <c r="B277" s="27" t="n"/>
      <c r="C277" s="27" t="n"/>
      <c r="D277" s="27" t="n"/>
      <c r="E277" s="27" t="n"/>
      <c r="F277" s="27" t="n"/>
      <c r="G277" s="27" t="n"/>
      <c r="H277" s="27" t="n"/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  <c r="R277" s="27" t="n"/>
      <c r="S277" s="27" t="n"/>
      <c r="T277" s="27" t="n"/>
      <c r="U277" s="27" t="n"/>
      <c r="V277" s="27" t="n"/>
      <c r="W277" s="27" t="n"/>
      <c r="X277" s="27" t="n"/>
      <c r="Y277" s="27" t="n"/>
      <c r="Z277" s="27" t="n"/>
    </row>
    <row r="278" ht="16.5" customHeight="1" s="117">
      <c r="A278" s="27" t="n"/>
      <c r="B278" s="27" t="n"/>
      <c r="C278" s="27" t="n"/>
      <c r="D278" s="27" t="n"/>
      <c r="E278" s="27" t="n"/>
      <c r="F278" s="27" t="n"/>
      <c r="G278" s="27" t="n"/>
      <c r="H278" s="27" t="n"/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  <c r="R278" s="27" t="n"/>
      <c r="S278" s="27" t="n"/>
      <c r="T278" s="27" t="n"/>
      <c r="U278" s="27" t="n"/>
      <c r="V278" s="27" t="n"/>
      <c r="W278" s="27" t="n"/>
      <c r="X278" s="27" t="n"/>
      <c r="Y278" s="27" t="n"/>
      <c r="Z278" s="27" t="n"/>
    </row>
    <row r="279" ht="16.5" customHeight="1" s="117">
      <c r="A279" s="27" t="n"/>
      <c r="B279" s="27" t="n"/>
      <c r="C279" s="27" t="n"/>
      <c r="D279" s="27" t="n"/>
      <c r="E279" s="27" t="n"/>
      <c r="F279" s="27" t="n"/>
      <c r="G279" s="27" t="n"/>
      <c r="H279" s="27" t="n"/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  <c r="R279" s="27" t="n"/>
      <c r="S279" s="27" t="n"/>
      <c r="T279" s="27" t="n"/>
      <c r="U279" s="27" t="n"/>
      <c r="V279" s="27" t="n"/>
      <c r="W279" s="27" t="n"/>
      <c r="X279" s="27" t="n"/>
      <c r="Y279" s="27" t="n"/>
      <c r="Z279" s="27" t="n"/>
    </row>
    <row r="280" ht="16.5" customHeight="1" s="117">
      <c r="A280" s="27" t="n"/>
      <c r="B280" s="27" t="n"/>
      <c r="C280" s="27" t="n"/>
      <c r="D280" s="27" t="n"/>
      <c r="E280" s="27" t="n"/>
      <c r="F280" s="27" t="n"/>
      <c r="G280" s="27" t="n"/>
      <c r="H280" s="27" t="n"/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  <c r="R280" s="27" t="n"/>
      <c r="S280" s="27" t="n"/>
      <c r="T280" s="27" t="n"/>
      <c r="U280" s="27" t="n"/>
      <c r="V280" s="27" t="n"/>
      <c r="W280" s="27" t="n"/>
      <c r="X280" s="27" t="n"/>
      <c r="Y280" s="27" t="n"/>
      <c r="Z280" s="27" t="n"/>
    </row>
    <row r="281" ht="16.5" customHeight="1" s="117">
      <c r="A281" s="27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  <c r="T281" s="27" t="n"/>
      <c r="U281" s="27" t="n"/>
      <c r="V281" s="27" t="n"/>
      <c r="W281" s="27" t="n"/>
      <c r="X281" s="27" t="n"/>
      <c r="Y281" s="27" t="n"/>
      <c r="Z281" s="27" t="n"/>
    </row>
    <row r="282" ht="16.5" customHeight="1" s="117">
      <c r="A282" s="27" t="n"/>
      <c r="B282" s="27" t="n"/>
      <c r="C282" s="27" t="n"/>
      <c r="D282" s="27" t="n"/>
      <c r="E282" s="27" t="n"/>
      <c r="F282" s="27" t="n"/>
      <c r="G282" s="27" t="n"/>
      <c r="H282" s="27" t="n"/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  <c r="R282" s="27" t="n"/>
      <c r="S282" s="27" t="n"/>
      <c r="T282" s="27" t="n"/>
      <c r="U282" s="27" t="n"/>
      <c r="V282" s="27" t="n"/>
      <c r="W282" s="27" t="n"/>
      <c r="X282" s="27" t="n"/>
      <c r="Y282" s="27" t="n"/>
      <c r="Z282" s="27" t="n"/>
    </row>
    <row r="283" ht="16.5" customHeight="1" s="117">
      <c r="A283" s="27" t="n"/>
      <c r="B283" s="27" t="n"/>
      <c r="C283" s="27" t="n"/>
      <c r="D283" s="27" t="n"/>
      <c r="E283" s="27" t="n"/>
      <c r="F283" s="27" t="n"/>
      <c r="G283" s="27" t="n"/>
      <c r="H283" s="27" t="n"/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  <c r="R283" s="27" t="n"/>
      <c r="S283" s="27" t="n"/>
      <c r="T283" s="27" t="n"/>
      <c r="U283" s="27" t="n"/>
      <c r="V283" s="27" t="n"/>
      <c r="W283" s="27" t="n"/>
      <c r="X283" s="27" t="n"/>
      <c r="Y283" s="27" t="n"/>
      <c r="Z283" s="27" t="n"/>
    </row>
    <row r="284" ht="16.5" customHeight="1" s="117">
      <c r="A284" s="27" t="n"/>
      <c r="B284" s="27" t="n"/>
      <c r="C284" s="27" t="n"/>
      <c r="D284" s="27" t="n"/>
      <c r="E284" s="27" t="n"/>
      <c r="F284" s="27" t="n"/>
      <c r="G284" s="27" t="n"/>
      <c r="H284" s="27" t="n"/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  <c r="R284" s="27" t="n"/>
      <c r="S284" s="27" t="n"/>
      <c r="T284" s="27" t="n"/>
      <c r="U284" s="27" t="n"/>
      <c r="V284" s="27" t="n"/>
      <c r="W284" s="27" t="n"/>
      <c r="X284" s="27" t="n"/>
      <c r="Y284" s="27" t="n"/>
      <c r="Z284" s="27" t="n"/>
    </row>
    <row r="285" ht="16.5" customHeight="1" s="117">
      <c r="A285" s="27" t="n"/>
      <c r="B285" s="27" t="n"/>
      <c r="C285" s="27" t="n"/>
      <c r="D285" s="27" t="n"/>
      <c r="E285" s="27" t="n"/>
      <c r="F285" s="27" t="n"/>
      <c r="G285" s="27" t="n"/>
      <c r="H285" s="27" t="n"/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  <c r="R285" s="27" t="n"/>
      <c r="S285" s="27" t="n"/>
      <c r="T285" s="27" t="n"/>
      <c r="U285" s="27" t="n"/>
      <c r="V285" s="27" t="n"/>
      <c r="W285" s="27" t="n"/>
      <c r="X285" s="27" t="n"/>
      <c r="Y285" s="27" t="n"/>
      <c r="Z285" s="27" t="n"/>
    </row>
    <row r="286" ht="16.5" customHeight="1" s="117">
      <c r="A286" s="27" t="n"/>
      <c r="B286" s="27" t="n"/>
      <c r="C286" s="27" t="n"/>
      <c r="D286" s="27" t="n"/>
      <c r="E286" s="27" t="n"/>
      <c r="F286" s="27" t="n"/>
      <c r="G286" s="27" t="n"/>
      <c r="H286" s="27" t="n"/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  <c r="R286" s="27" t="n"/>
      <c r="S286" s="27" t="n"/>
      <c r="T286" s="27" t="n"/>
      <c r="U286" s="27" t="n"/>
      <c r="V286" s="27" t="n"/>
      <c r="W286" s="27" t="n"/>
      <c r="X286" s="27" t="n"/>
      <c r="Y286" s="27" t="n"/>
      <c r="Z286" s="27" t="n"/>
    </row>
    <row r="287" ht="16.5" customHeight="1" s="117">
      <c r="A287" s="27" t="n"/>
      <c r="B287" s="27" t="n"/>
      <c r="C287" s="27" t="n"/>
      <c r="D287" s="27" t="n"/>
      <c r="E287" s="27" t="n"/>
      <c r="F287" s="27" t="n"/>
      <c r="G287" s="27" t="n"/>
      <c r="H287" s="27" t="n"/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  <c r="R287" s="27" t="n"/>
      <c r="S287" s="27" t="n"/>
      <c r="T287" s="27" t="n"/>
      <c r="U287" s="27" t="n"/>
      <c r="V287" s="27" t="n"/>
      <c r="W287" s="27" t="n"/>
      <c r="X287" s="27" t="n"/>
      <c r="Y287" s="27" t="n"/>
      <c r="Z287" s="27" t="n"/>
    </row>
    <row r="288" ht="16.5" customHeight="1" s="117">
      <c r="A288" s="27" t="n"/>
      <c r="B288" s="27" t="n"/>
      <c r="C288" s="27" t="n"/>
      <c r="D288" s="27" t="n"/>
      <c r="E288" s="27" t="n"/>
      <c r="F288" s="27" t="n"/>
      <c r="G288" s="27" t="n"/>
      <c r="H288" s="27" t="n"/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  <c r="R288" s="27" t="n"/>
      <c r="S288" s="27" t="n"/>
      <c r="T288" s="27" t="n"/>
      <c r="U288" s="27" t="n"/>
      <c r="V288" s="27" t="n"/>
      <c r="W288" s="27" t="n"/>
      <c r="X288" s="27" t="n"/>
      <c r="Y288" s="27" t="n"/>
      <c r="Z288" s="27" t="n"/>
    </row>
    <row r="289" ht="16.5" customHeight="1" s="117">
      <c r="A289" s="27" t="n"/>
      <c r="B289" s="27" t="n"/>
      <c r="C289" s="27" t="n"/>
      <c r="D289" s="27" t="n"/>
      <c r="E289" s="27" t="n"/>
      <c r="F289" s="27" t="n"/>
      <c r="G289" s="27" t="n"/>
      <c r="H289" s="27" t="n"/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  <c r="R289" s="27" t="n"/>
      <c r="S289" s="27" t="n"/>
      <c r="T289" s="27" t="n"/>
      <c r="U289" s="27" t="n"/>
      <c r="V289" s="27" t="n"/>
      <c r="W289" s="27" t="n"/>
      <c r="X289" s="27" t="n"/>
      <c r="Y289" s="27" t="n"/>
      <c r="Z289" s="27" t="n"/>
    </row>
    <row r="290" ht="16.5" customHeight="1" s="117">
      <c r="A290" s="27" t="n"/>
      <c r="B290" s="27" t="n"/>
      <c r="C290" s="27" t="n"/>
      <c r="D290" s="27" t="n"/>
      <c r="E290" s="27" t="n"/>
      <c r="F290" s="27" t="n"/>
      <c r="G290" s="27" t="n"/>
      <c r="H290" s="27" t="n"/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  <c r="R290" s="27" t="n"/>
      <c r="S290" s="27" t="n"/>
      <c r="T290" s="27" t="n"/>
      <c r="U290" s="27" t="n"/>
      <c r="V290" s="27" t="n"/>
      <c r="W290" s="27" t="n"/>
      <c r="X290" s="27" t="n"/>
      <c r="Y290" s="27" t="n"/>
      <c r="Z290" s="27" t="n"/>
    </row>
    <row r="291" ht="16.5" customHeight="1" s="117">
      <c r="A291" s="27" t="n"/>
      <c r="B291" s="27" t="n"/>
      <c r="C291" s="27" t="n"/>
      <c r="D291" s="27" t="n"/>
      <c r="E291" s="27" t="n"/>
      <c r="F291" s="27" t="n"/>
      <c r="G291" s="27" t="n"/>
      <c r="H291" s="27" t="n"/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  <c r="R291" s="27" t="n"/>
      <c r="S291" s="27" t="n"/>
      <c r="T291" s="27" t="n"/>
      <c r="U291" s="27" t="n"/>
      <c r="V291" s="27" t="n"/>
      <c r="W291" s="27" t="n"/>
      <c r="X291" s="27" t="n"/>
      <c r="Y291" s="27" t="n"/>
      <c r="Z291" s="27" t="n"/>
    </row>
    <row r="292" ht="16.5" customHeight="1" s="117">
      <c r="A292" s="27" t="n"/>
      <c r="B292" s="27" t="n"/>
      <c r="C292" s="27" t="n"/>
      <c r="D292" s="27" t="n"/>
      <c r="E292" s="27" t="n"/>
      <c r="F292" s="27" t="n"/>
      <c r="G292" s="27" t="n"/>
      <c r="H292" s="27" t="n"/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  <c r="R292" s="27" t="n"/>
      <c r="S292" s="27" t="n"/>
      <c r="T292" s="27" t="n"/>
      <c r="U292" s="27" t="n"/>
      <c r="V292" s="27" t="n"/>
      <c r="W292" s="27" t="n"/>
      <c r="X292" s="27" t="n"/>
      <c r="Y292" s="27" t="n"/>
      <c r="Z292" s="27" t="n"/>
    </row>
    <row r="293" ht="16.5" customHeight="1" s="117">
      <c r="A293" s="27" t="n"/>
      <c r="B293" s="27" t="n"/>
      <c r="C293" s="27" t="n"/>
      <c r="D293" s="27" t="n"/>
      <c r="E293" s="27" t="n"/>
      <c r="F293" s="27" t="n"/>
      <c r="G293" s="27" t="n"/>
      <c r="H293" s="27" t="n"/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  <c r="R293" s="27" t="n"/>
      <c r="S293" s="27" t="n"/>
      <c r="T293" s="27" t="n"/>
      <c r="U293" s="27" t="n"/>
      <c r="V293" s="27" t="n"/>
      <c r="W293" s="27" t="n"/>
      <c r="X293" s="27" t="n"/>
      <c r="Y293" s="27" t="n"/>
      <c r="Z293" s="27" t="n"/>
    </row>
    <row r="294" ht="16.5" customHeight="1" s="117">
      <c r="A294" s="27" t="n"/>
      <c r="B294" s="27" t="n"/>
      <c r="C294" s="27" t="n"/>
      <c r="D294" s="27" t="n"/>
      <c r="E294" s="27" t="n"/>
      <c r="F294" s="27" t="n"/>
      <c r="G294" s="27" t="n"/>
      <c r="H294" s="27" t="n"/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  <c r="R294" s="27" t="n"/>
      <c r="S294" s="27" t="n"/>
      <c r="T294" s="27" t="n"/>
      <c r="U294" s="27" t="n"/>
      <c r="V294" s="27" t="n"/>
      <c r="W294" s="27" t="n"/>
      <c r="X294" s="27" t="n"/>
      <c r="Y294" s="27" t="n"/>
      <c r="Z294" s="27" t="n"/>
    </row>
    <row r="295" ht="16.5" customHeight="1" s="117">
      <c r="A295" s="27" t="n"/>
      <c r="B295" s="27" t="n"/>
      <c r="C295" s="27" t="n"/>
      <c r="D295" s="27" t="n"/>
      <c r="E295" s="27" t="n"/>
      <c r="F295" s="27" t="n"/>
      <c r="G295" s="27" t="n"/>
      <c r="H295" s="27" t="n"/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  <c r="R295" s="27" t="n"/>
      <c r="S295" s="27" t="n"/>
      <c r="T295" s="27" t="n"/>
      <c r="U295" s="27" t="n"/>
      <c r="V295" s="27" t="n"/>
      <c r="W295" s="27" t="n"/>
      <c r="X295" s="27" t="n"/>
      <c r="Y295" s="27" t="n"/>
      <c r="Z295" s="27" t="n"/>
    </row>
    <row r="296" ht="16.5" customHeight="1" s="117">
      <c r="A296" s="27" t="n"/>
      <c r="B296" s="27" t="n"/>
      <c r="C296" s="27" t="n"/>
      <c r="D296" s="27" t="n"/>
      <c r="E296" s="27" t="n"/>
      <c r="F296" s="27" t="n"/>
      <c r="G296" s="27" t="n"/>
      <c r="H296" s="27" t="n"/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  <c r="R296" s="27" t="n"/>
      <c r="S296" s="27" t="n"/>
      <c r="T296" s="27" t="n"/>
      <c r="U296" s="27" t="n"/>
      <c r="V296" s="27" t="n"/>
      <c r="W296" s="27" t="n"/>
      <c r="X296" s="27" t="n"/>
      <c r="Y296" s="27" t="n"/>
      <c r="Z296" s="27" t="n"/>
    </row>
    <row r="297" ht="16.5" customHeight="1" s="117">
      <c r="A297" s="27" t="n"/>
      <c r="B297" s="27" t="n"/>
      <c r="C297" s="27" t="n"/>
      <c r="D297" s="27" t="n"/>
      <c r="E297" s="27" t="n"/>
      <c r="F297" s="27" t="n"/>
      <c r="G297" s="27" t="n"/>
      <c r="H297" s="27" t="n"/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  <c r="R297" s="27" t="n"/>
      <c r="S297" s="27" t="n"/>
      <c r="T297" s="27" t="n"/>
      <c r="U297" s="27" t="n"/>
      <c r="V297" s="27" t="n"/>
      <c r="W297" s="27" t="n"/>
      <c r="X297" s="27" t="n"/>
      <c r="Y297" s="27" t="n"/>
      <c r="Z297" s="27" t="n"/>
    </row>
    <row r="298" ht="16.5" customHeight="1" s="117">
      <c r="A298" s="27" t="n"/>
      <c r="B298" s="27" t="n"/>
      <c r="C298" s="27" t="n"/>
      <c r="D298" s="27" t="n"/>
      <c r="E298" s="27" t="n"/>
      <c r="F298" s="27" t="n"/>
      <c r="G298" s="27" t="n"/>
      <c r="H298" s="27" t="n"/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  <c r="R298" s="27" t="n"/>
      <c r="S298" s="27" t="n"/>
      <c r="T298" s="27" t="n"/>
      <c r="U298" s="27" t="n"/>
      <c r="V298" s="27" t="n"/>
      <c r="W298" s="27" t="n"/>
      <c r="X298" s="27" t="n"/>
      <c r="Y298" s="27" t="n"/>
      <c r="Z298" s="27" t="n"/>
    </row>
    <row r="299" ht="16.5" customHeight="1" s="117">
      <c r="A299" s="27" t="n"/>
      <c r="B299" s="27" t="n"/>
      <c r="C299" s="27" t="n"/>
      <c r="D299" s="27" t="n"/>
      <c r="E299" s="27" t="n"/>
      <c r="F299" s="27" t="n"/>
      <c r="G299" s="27" t="n"/>
      <c r="H299" s="27" t="n"/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  <c r="R299" s="27" t="n"/>
      <c r="S299" s="27" t="n"/>
      <c r="T299" s="27" t="n"/>
      <c r="U299" s="27" t="n"/>
      <c r="V299" s="27" t="n"/>
      <c r="W299" s="27" t="n"/>
      <c r="X299" s="27" t="n"/>
      <c r="Y299" s="27" t="n"/>
      <c r="Z299" s="27" t="n"/>
    </row>
    <row r="300" ht="16.5" customHeight="1" s="117">
      <c r="A300" s="27" t="n"/>
      <c r="B300" s="27" t="n"/>
      <c r="C300" s="27" t="n"/>
      <c r="D300" s="27" t="n"/>
      <c r="E300" s="27" t="n"/>
      <c r="F300" s="27" t="n"/>
      <c r="G300" s="27" t="n"/>
      <c r="H300" s="27" t="n"/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  <c r="R300" s="27" t="n"/>
      <c r="S300" s="27" t="n"/>
      <c r="T300" s="27" t="n"/>
      <c r="U300" s="27" t="n"/>
      <c r="V300" s="27" t="n"/>
      <c r="W300" s="27" t="n"/>
      <c r="X300" s="27" t="n"/>
      <c r="Y300" s="27" t="n"/>
      <c r="Z300" s="27" t="n"/>
    </row>
    <row r="301" ht="16.5" customHeight="1" s="117">
      <c r="A301" s="27" t="n"/>
      <c r="B301" s="27" t="n"/>
      <c r="C301" s="27" t="n"/>
      <c r="D301" s="27" t="n"/>
      <c r="E301" s="27" t="n"/>
      <c r="F301" s="27" t="n"/>
      <c r="G301" s="27" t="n"/>
      <c r="H301" s="27" t="n"/>
      <c r="I301" s="27" t="n"/>
      <c r="J301" s="27" t="n"/>
      <c r="K301" s="27" t="n"/>
      <c r="L301" s="27" t="n"/>
      <c r="M301" s="27" t="n"/>
      <c r="N301" s="27" t="n"/>
      <c r="O301" s="27" t="n"/>
      <c r="P301" s="27" t="n"/>
      <c r="Q301" s="27" t="n"/>
      <c r="R301" s="27" t="n"/>
      <c r="S301" s="27" t="n"/>
      <c r="T301" s="27" t="n"/>
      <c r="U301" s="27" t="n"/>
      <c r="V301" s="27" t="n"/>
      <c r="W301" s="27" t="n"/>
      <c r="X301" s="27" t="n"/>
      <c r="Y301" s="27" t="n"/>
      <c r="Z301" s="27" t="n"/>
    </row>
    <row r="302" ht="16.5" customHeight="1" s="117">
      <c r="A302" s="27" t="n"/>
      <c r="B302" s="27" t="n"/>
      <c r="C302" s="27" t="n"/>
      <c r="D302" s="27" t="n"/>
      <c r="E302" s="27" t="n"/>
      <c r="F302" s="27" t="n"/>
      <c r="G302" s="27" t="n"/>
      <c r="H302" s="27" t="n"/>
      <c r="I302" s="27" t="n"/>
      <c r="J302" s="27" t="n"/>
      <c r="K302" s="27" t="n"/>
      <c r="L302" s="27" t="n"/>
      <c r="M302" s="27" t="n"/>
      <c r="N302" s="27" t="n"/>
      <c r="O302" s="27" t="n"/>
      <c r="P302" s="27" t="n"/>
      <c r="Q302" s="27" t="n"/>
      <c r="R302" s="27" t="n"/>
      <c r="S302" s="27" t="n"/>
      <c r="T302" s="27" t="n"/>
      <c r="U302" s="27" t="n"/>
      <c r="V302" s="27" t="n"/>
      <c r="W302" s="27" t="n"/>
      <c r="X302" s="27" t="n"/>
      <c r="Y302" s="27" t="n"/>
      <c r="Z302" s="27" t="n"/>
    </row>
    <row r="303" ht="16.5" customHeight="1" s="117">
      <c r="A303" s="27" t="n"/>
      <c r="B303" s="27" t="n"/>
      <c r="C303" s="27" t="n"/>
      <c r="D303" s="27" t="n"/>
      <c r="E303" s="27" t="n"/>
      <c r="F303" s="27" t="n"/>
      <c r="G303" s="27" t="n"/>
      <c r="H303" s="27" t="n"/>
      <c r="I303" s="27" t="n"/>
      <c r="J303" s="27" t="n"/>
      <c r="K303" s="27" t="n"/>
      <c r="L303" s="27" t="n"/>
      <c r="M303" s="27" t="n"/>
      <c r="N303" s="27" t="n"/>
      <c r="O303" s="27" t="n"/>
      <c r="P303" s="27" t="n"/>
      <c r="Q303" s="27" t="n"/>
      <c r="R303" s="27" t="n"/>
      <c r="S303" s="27" t="n"/>
      <c r="T303" s="27" t="n"/>
      <c r="U303" s="27" t="n"/>
      <c r="V303" s="27" t="n"/>
      <c r="W303" s="27" t="n"/>
      <c r="X303" s="27" t="n"/>
      <c r="Y303" s="27" t="n"/>
      <c r="Z303" s="27" t="n"/>
    </row>
    <row r="304" ht="16.5" customHeight="1" s="117">
      <c r="A304" s="27" t="n"/>
      <c r="B304" s="27" t="n"/>
      <c r="C304" s="27" t="n"/>
      <c r="D304" s="27" t="n"/>
      <c r="E304" s="27" t="n"/>
      <c r="F304" s="27" t="n"/>
      <c r="G304" s="27" t="n"/>
      <c r="H304" s="27" t="n"/>
      <c r="I304" s="27" t="n"/>
      <c r="J304" s="27" t="n"/>
      <c r="K304" s="27" t="n"/>
      <c r="L304" s="27" t="n"/>
      <c r="M304" s="27" t="n"/>
      <c r="N304" s="27" t="n"/>
      <c r="O304" s="27" t="n"/>
      <c r="P304" s="27" t="n"/>
      <c r="Q304" s="27" t="n"/>
      <c r="R304" s="27" t="n"/>
      <c r="S304" s="27" t="n"/>
      <c r="T304" s="27" t="n"/>
      <c r="U304" s="27" t="n"/>
      <c r="V304" s="27" t="n"/>
      <c r="W304" s="27" t="n"/>
      <c r="X304" s="27" t="n"/>
      <c r="Y304" s="27" t="n"/>
      <c r="Z304" s="27" t="n"/>
    </row>
    <row r="305" ht="16.5" customHeight="1" s="117">
      <c r="A305" s="27" t="n"/>
      <c r="B305" s="27" t="n"/>
      <c r="C305" s="27" t="n"/>
      <c r="D305" s="27" t="n"/>
      <c r="E305" s="27" t="n"/>
      <c r="F305" s="27" t="n"/>
      <c r="G305" s="27" t="n"/>
      <c r="H305" s="27" t="n"/>
      <c r="I305" s="27" t="n"/>
      <c r="J305" s="27" t="n"/>
      <c r="K305" s="27" t="n"/>
      <c r="L305" s="27" t="n"/>
      <c r="M305" s="27" t="n"/>
      <c r="N305" s="27" t="n"/>
      <c r="O305" s="27" t="n"/>
      <c r="P305" s="27" t="n"/>
      <c r="Q305" s="27" t="n"/>
      <c r="R305" s="27" t="n"/>
      <c r="S305" s="27" t="n"/>
      <c r="T305" s="27" t="n"/>
      <c r="U305" s="27" t="n"/>
      <c r="V305" s="27" t="n"/>
      <c r="W305" s="27" t="n"/>
      <c r="X305" s="27" t="n"/>
      <c r="Y305" s="27" t="n"/>
      <c r="Z305" s="27" t="n"/>
    </row>
    <row r="306" ht="16.5" customHeight="1" s="117">
      <c r="A306" s="27" t="n"/>
      <c r="B306" s="27" t="n"/>
      <c r="C306" s="27" t="n"/>
      <c r="D306" s="27" t="n"/>
      <c r="E306" s="27" t="n"/>
      <c r="F306" s="27" t="n"/>
      <c r="G306" s="27" t="n"/>
      <c r="H306" s="27" t="n"/>
      <c r="I306" s="27" t="n"/>
      <c r="J306" s="27" t="n"/>
      <c r="K306" s="27" t="n"/>
      <c r="L306" s="27" t="n"/>
      <c r="M306" s="27" t="n"/>
      <c r="N306" s="27" t="n"/>
      <c r="O306" s="27" t="n"/>
      <c r="P306" s="27" t="n"/>
      <c r="Q306" s="27" t="n"/>
      <c r="R306" s="27" t="n"/>
      <c r="S306" s="27" t="n"/>
      <c r="T306" s="27" t="n"/>
      <c r="U306" s="27" t="n"/>
      <c r="V306" s="27" t="n"/>
      <c r="W306" s="27" t="n"/>
      <c r="X306" s="27" t="n"/>
      <c r="Y306" s="27" t="n"/>
      <c r="Z306" s="27" t="n"/>
    </row>
    <row r="307" ht="16.5" customHeight="1" s="117">
      <c r="A307" s="27" t="n"/>
      <c r="B307" s="27" t="n"/>
      <c r="C307" s="27" t="n"/>
      <c r="D307" s="27" t="n"/>
      <c r="E307" s="27" t="n"/>
      <c r="F307" s="27" t="n"/>
      <c r="G307" s="27" t="n"/>
      <c r="H307" s="27" t="n"/>
      <c r="I307" s="27" t="n"/>
      <c r="J307" s="27" t="n"/>
      <c r="K307" s="27" t="n"/>
      <c r="L307" s="27" t="n"/>
      <c r="M307" s="27" t="n"/>
      <c r="N307" s="27" t="n"/>
      <c r="O307" s="27" t="n"/>
      <c r="P307" s="27" t="n"/>
      <c r="Q307" s="27" t="n"/>
      <c r="R307" s="27" t="n"/>
      <c r="S307" s="27" t="n"/>
      <c r="T307" s="27" t="n"/>
      <c r="U307" s="27" t="n"/>
      <c r="V307" s="27" t="n"/>
      <c r="W307" s="27" t="n"/>
      <c r="X307" s="27" t="n"/>
      <c r="Y307" s="27" t="n"/>
      <c r="Z307" s="27" t="n"/>
    </row>
    <row r="308" ht="16.5" customHeight="1" s="117">
      <c r="A308" s="27" t="n"/>
      <c r="B308" s="27" t="n"/>
      <c r="C308" s="27" t="n"/>
      <c r="D308" s="27" t="n"/>
      <c r="E308" s="27" t="n"/>
      <c r="F308" s="27" t="n"/>
      <c r="G308" s="27" t="n"/>
      <c r="H308" s="27" t="n"/>
      <c r="I308" s="27" t="n"/>
      <c r="J308" s="27" t="n"/>
      <c r="K308" s="27" t="n"/>
      <c r="L308" s="27" t="n"/>
      <c r="M308" s="27" t="n"/>
      <c r="N308" s="27" t="n"/>
      <c r="O308" s="27" t="n"/>
      <c r="P308" s="27" t="n"/>
      <c r="Q308" s="27" t="n"/>
      <c r="R308" s="27" t="n"/>
      <c r="S308" s="27" t="n"/>
      <c r="T308" s="27" t="n"/>
      <c r="U308" s="27" t="n"/>
      <c r="V308" s="27" t="n"/>
      <c r="W308" s="27" t="n"/>
      <c r="X308" s="27" t="n"/>
      <c r="Y308" s="27" t="n"/>
      <c r="Z308" s="27" t="n"/>
    </row>
    <row r="309" ht="16.5" customHeight="1" s="117">
      <c r="A309" s="27" t="n"/>
      <c r="B309" s="27" t="n"/>
      <c r="C309" s="27" t="n"/>
      <c r="D309" s="27" t="n"/>
      <c r="E309" s="27" t="n"/>
      <c r="F309" s="27" t="n"/>
      <c r="G309" s="27" t="n"/>
      <c r="H309" s="27" t="n"/>
      <c r="I309" s="27" t="n"/>
      <c r="J309" s="27" t="n"/>
      <c r="K309" s="27" t="n"/>
      <c r="L309" s="27" t="n"/>
      <c r="M309" s="27" t="n"/>
      <c r="N309" s="27" t="n"/>
      <c r="O309" s="27" t="n"/>
      <c r="P309" s="27" t="n"/>
      <c r="Q309" s="27" t="n"/>
      <c r="R309" s="27" t="n"/>
      <c r="S309" s="27" t="n"/>
      <c r="T309" s="27" t="n"/>
      <c r="U309" s="27" t="n"/>
      <c r="V309" s="27" t="n"/>
      <c r="W309" s="27" t="n"/>
      <c r="X309" s="27" t="n"/>
      <c r="Y309" s="27" t="n"/>
      <c r="Z309" s="27" t="n"/>
    </row>
    <row r="310" ht="16.5" customHeight="1" s="117">
      <c r="A310" s="27" t="n"/>
      <c r="B310" s="27" t="n"/>
      <c r="C310" s="27" t="n"/>
      <c r="D310" s="27" t="n"/>
      <c r="E310" s="27" t="n"/>
      <c r="F310" s="27" t="n"/>
      <c r="G310" s="27" t="n"/>
      <c r="H310" s="27" t="n"/>
      <c r="I310" s="27" t="n"/>
      <c r="J310" s="27" t="n"/>
      <c r="K310" s="27" t="n"/>
      <c r="L310" s="27" t="n"/>
      <c r="M310" s="27" t="n"/>
      <c r="N310" s="27" t="n"/>
      <c r="O310" s="27" t="n"/>
      <c r="P310" s="27" t="n"/>
      <c r="Q310" s="27" t="n"/>
      <c r="R310" s="27" t="n"/>
      <c r="S310" s="27" t="n"/>
      <c r="T310" s="27" t="n"/>
      <c r="U310" s="27" t="n"/>
      <c r="V310" s="27" t="n"/>
      <c r="W310" s="27" t="n"/>
      <c r="X310" s="27" t="n"/>
      <c r="Y310" s="27" t="n"/>
      <c r="Z310" s="27" t="n"/>
    </row>
    <row r="311" ht="16.5" customHeight="1" s="117">
      <c r="A311" s="27" t="n"/>
      <c r="B311" s="27" t="n"/>
      <c r="C311" s="27" t="n"/>
      <c r="D311" s="27" t="n"/>
      <c r="E311" s="27" t="n"/>
      <c r="F311" s="27" t="n"/>
      <c r="G311" s="27" t="n"/>
      <c r="H311" s="27" t="n"/>
      <c r="I311" s="27" t="n"/>
      <c r="J311" s="27" t="n"/>
      <c r="K311" s="27" t="n"/>
      <c r="L311" s="27" t="n"/>
      <c r="M311" s="27" t="n"/>
      <c r="N311" s="27" t="n"/>
      <c r="O311" s="27" t="n"/>
      <c r="P311" s="27" t="n"/>
      <c r="Q311" s="27" t="n"/>
      <c r="R311" s="27" t="n"/>
      <c r="S311" s="27" t="n"/>
      <c r="T311" s="27" t="n"/>
      <c r="U311" s="27" t="n"/>
      <c r="V311" s="27" t="n"/>
      <c r="W311" s="27" t="n"/>
      <c r="X311" s="27" t="n"/>
      <c r="Y311" s="27" t="n"/>
      <c r="Z311" s="27" t="n"/>
    </row>
    <row r="312" ht="16.5" customHeight="1" s="117">
      <c r="A312" s="27" t="n"/>
      <c r="B312" s="27" t="n"/>
      <c r="C312" s="27" t="n"/>
      <c r="D312" s="27" t="n"/>
      <c r="E312" s="27" t="n"/>
      <c r="F312" s="27" t="n"/>
      <c r="G312" s="27" t="n"/>
      <c r="H312" s="27" t="n"/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n"/>
      <c r="R312" s="27" t="n"/>
      <c r="S312" s="27" t="n"/>
      <c r="T312" s="27" t="n"/>
      <c r="U312" s="27" t="n"/>
      <c r="V312" s="27" t="n"/>
      <c r="W312" s="27" t="n"/>
      <c r="X312" s="27" t="n"/>
      <c r="Y312" s="27" t="n"/>
      <c r="Z312" s="27" t="n"/>
    </row>
    <row r="313" ht="16.5" customHeight="1" s="117">
      <c r="A313" s="27" t="n"/>
      <c r="B313" s="27" t="n"/>
      <c r="C313" s="27" t="n"/>
      <c r="D313" s="27" t="n"/>
      <c r="E313" s="27" t="n"/>
      <c r="F313" s="27" t="n"/>
      <c r="G313" s="27" t="n"/>
      <c r="H313" s="27" t="n"/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n"/>
      <c r="R313" s="27" t="n"/>
      <c r="S313" s="27" t="n"/>
      <c r="T313" s="27" t="n"/>
      <c r="U313" s="27" t="n"/>
      <c r="V313" s="27" t="n"/>
      <c r="W313" s="27" t="n"/>
      <c r="X313" s="27" t="n"/>
      <c r="Y313" s="27" t="n"/>
      <c r="Z313" s="27" t="n"/>
    </row>
    <row r="314" ht="16.5" customHeight="1" s="117">
      <c r="A314" s="27" t="n"/>
      <c r="B314" s="27" t="n"/>
      <c r="C314" s="27" t="n"/>
      <c r="D314" s="27" t="n"/>
      <c r="E314" s="27" t="n"/>
      <c r="F314" s="27" t="n"/>
      <c r="G314" s="27" t="n"/>
      <c r="H314" s="27" t="n"/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n"/>
      <c r="R314" s="27" t="n"/>
      <c r="S314" s="27" t="n"/>
      <c r="T314" s="27" t="n"/>
      <c r="U314" s="27" t="n"/>
      <c r="V314" s="27" t="n"/>
      <c r="W314" s="27" t="n"/>
      <c r="X314" s="27" t="n"/>
      <c r="Y314" s="27" t="n"/>
      <c r="Z314" s="27" t="n"/>
    </row>
    <row r="315" ht="16.5" customHeight="1" s="117">
      <c r="A315" s="27" t="n"/>
      <c r="B315" s="27" t="n"/>
      <c r="C315" s="27" t="n"/>
      <c r="D315" s="27" t="n"/>
      <c r="E315" s="27" t="n"/>
      <c r="F315" s="27" t="n"/>
      <c r="G315" s="27" t="n"/>
      <c r="H315" s="27" t="n"/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n"/>
      <c r="R315" s="27" t="n"/>
      <c r="S315" s="27" t="n"/>
      <c r="T315" s="27" t="n"/>
      <c r="U315" s="27" t="n"/>
      <c r="V315" s="27" t="n"/>
      <c r="W315" s="27" t="n"/>
      <c r="X315" s="27" t="n"/>
      <c r="Y315" s="27" t="n"/>
      <c r="Z315" s="27" t="n"/>
    </row>
    <row r="316" ht="16.5" customHeight="1" s="117">
      <c r="A316" s="27" t="n"/>
      <c r="B316" s="27" t="n"/>
      <c r="C316" s="27" t="n"/>
      <c r="D316" s="27" t="n"/>
      <c r="E316" s="27" t="n"/>
      <c r="F316" s="27" t="n"/>
      <c r="G316" s="27" t="n"/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n"/>
      <c r="R316" s="27" t="n"/>
      <c r="S316" s="27" t="n"/>
      <c r="T316" s="27" t="n"/>
      <c r="U316" s="27" t="n"/>
      <c r="V316" s="27" t="n"/>
      <c r="W316" s="27" t="n"/>
      <c r="X316" s="27" t="n"/>
      <c r="Y316" s="27" t="n"/>
      <c r="Z316" s="27" t="n"/>
    </row>
    <row r="317" ht="16.5" customHeight="1" s="117">
      <c r="A317" s="27" t="n"/>
      <c r="B317" s="27" t="n"/>
      <c r="C317" s="27" t="n"/>
      <c r="D317" s="27" t="n"/>
      <c r="E317" s="27" t="n"/>
      <c r="F317" s="27" t="n"/>
      <c r="G317" s="27" t="n"/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n"/>
      <c r="R317" s="27" t="n"/>
      <c r="S317" s="27" t="n"/>
      <c r="T317" s="27" t="n"/>
      <c r="U317" s="27" t="n"/>
      <c r="V317" s="27" t="n"/>
      <c r="W317" s="27" t="n"/>
      <c r="X317" s="27" t="n"/>
      <c r="Y317" s="27" t="n"/>
      <c r="Z317" s="27" t="n"/>
    </row>
    <row r="318" ht="16.5" customHeight="1" s="117">
      <c r="A318" s="27" t="n"/>
      <c r="B318" s="27" t="n"/>
      <c r="C318" s="27" t="n"/>
      <c r="D318" s="27" t="n"/>
      <c r="E318" s="27" t="n"/>
      <c r="F318" s="27" t="n"/>
      <c r="G318" s="27" t="n"/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n"/>
      <c r="R318" s="27" t="n"/>
      <c r="S318" s="27" t="n"/>
      <c r="T318" s="27" t="n"/>
      <c r="U318" s="27" t="n"/>
      <c r="V318" s="27" t="n"/>
      <c r="W318" s="27" t="n"/>
      <c r="X318" s="27" t="n"/>
      <c r="Y318" s="27" t="n"/>
      <c r="Z318" s="27" t="n"/>
    </row>
    <row r="319" ht="16.5" customHeight="1" s="117">
      <c r="A319" s="27" t="n"/>
      <c r="B319" s="27" t="n"/>
      <c r="C319" s="27" t="n"/>
      <c r="D319" s="27" t="n"/>
      <c r="E319" s="27" t="n"/>
      <c r="F319" s="27" t="n"/>
      <c r="G319" s="27" t="n"/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n"/>
      <c r="R319" s="27" t="n"/>
      <c r="S319" s="27" t="n"/>
      <c r="T319" s="27" t="n"/>
      <c r="U319" s="27" t="n"/>
      <c r="V319" s="27" t="n"/>
      <c r="W319" s="27" t="n"/>
      <c r="X319" s="27" t="n"/>
      <c r="Y319" s="27" t="n"/>
      <c r="Z319" s="27" t="n"/>
    </row>
    <row r="320" ht="16.5" customHeight="1" s="117">
      <c r="A320" s="27" t="n"/>
      <c r="B320" s="27" t="n"/>
      <c r="C320" s="27" t="n"/>
      <c r="D320" s="27" t="n"/>
      <c r="E320" s="27" t="n"/>
      <c r="F320" s="27" t="n"/>
      <c r="G320" s="27" t="n"/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n"/>
      <c r="R320" s="27" t="n"/>
      <c r="S320" s="27" t="n"/>
      <c r="T320" s="27" t="n"/>
      <c r="U320" s="27" t="n"/>
      <c r="V320" s="27" t="n"/>
      <c r="W320" s="27" t="n"/>
      <c r="X320" s="27" t="n"/>
      <c r="Y320" s="27" t="n"/>
      <c r="Z320" s="27" t="n"/>
    </row>
    <row r="321" ht="16.5" customHeight="1" s="117">
      <c r="A321" s="27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  <c r="T321" s="27" t="n"/>
      <c r="U321" s="27" t="n"/>
      <c r="V321" s="27" t="n"/>
      <c r="W321" s="27" t="n"/>
      <c r="X321" s="27" t="n"/>
      <c r="Y321" s="27" t="n"/>
      <c r="Z321" s="27" t="n"/>
    </row>
    <row r="322" ht="16.5" customHeight="1" s="117">
      <c r="A322" s="27" t="n"/>
      <c r="B322" s="27" t="n"/>
      <c r="C322" s="27" t="n"/>
      <c r="D322" s="27" t="n"/>
      <c r="E322" s="27" t="n"/>
      <c r="F322" s="27" t="n"/>
      <c r="G322" s="27" t="n"/>
      <c r="H322" s="27" t="n"/>
      <c r="I322" s="27" t="n"/>
      <c r="J322" s="27" t="n"/>
      <c r="K322" s="27" t="n"/>
      <c r="L322" s="27" t="n"/>
      <c r="M322" s="27" t="n"/>
      <c r="N322" s="27" t="n"/>
      <c r="O322" s="27" t="n"/>
      <c r="P322" s="27" t="n"/>
      <c r="Q322" s="27" t="n"/>
      <c r="R322" s="27" t="n"/>
      <c r="S322" s="27" t="n"/>
      <c r="T322" s="27" t="n"/>
      <c r="U322" s="27" t="n"/>
      <c r="V322" s="27" t="n"/>
      <c r="W322" s="27" t="n"/>
      <c r="X322" s="27" t="n"/>
      <c r="Y322" s="27" t="n"/>
      <c r="Z322" s="27" t="n"/>
    </row>
    <row r="323" ht="16.5" customHeight="1" s="117">
      <c r="A323" s="27" t="n"/>
      <c r="B323" s="27" t="n"/>
      <c r="C323" s="27" t="n"/>
      <c r="D323" s="27" t="n"/>
      <c r="E323" s="27" t="n"/>
      <c r="F323" s="27" t="n"/>
      <c r="G323" s="27" t="n"/>
      <c r="H323" s="27" t="n"/>
      <c r="I323" s="27" t="n"/>
      <c r="J323" s="27" t="n"/>
      <c r="K323" s="27" t="n"/>
      <c r="L323" s="27" t="n"/>
      <c r="M323" s="27" t="n"/>
      <c r="N323" s="27" t="n"/>
      <c r="O323" s="27" t="n"/>
      <c r="P323" s="27" t="n"/>
      <c r="Q323" s="27" t="n"/>
      <c r="R323" s="27" t="n"/>
      <c r="S323" s="27" t="n"/>
      <c r="T323" s="27" t="n"/>
      <c r="U323" s="27" t="n"/>
      <c r="V323" s="27" t="n"/>
      <c r="W323" s="27" t="n"/>
      <c r="X323" s="27" t="n"/>
      <c r="Y323" s="27" t="n"/>
      <c r="Z323" s="27" t="n"/>
    </row>
    <row r="324" ht="16.5" customHeight="1" s="117">
      <c r="A324" s="27" t="n"/>
      <c r="B324" s="27" t="n"/>
      <c r="C324" s="27" t="n"/>
      <c r="D324" s="27" t="n"/>
      <c r="E324" s="27" t="n"/>
      <c r="F324" s="27" t="n"/>
      <c r="G324" s="27" t="n"/>
      <c r="H324" s="27" t="n"/>
      <c r="I324" s="27" t="n"/>
      <c r="J324" s="27" t="n"/>
      <c r="K324" s="27" t="n"/>
      <c r="L324" s="27" t="n"/>
      <c r="M324" s="27" t="n"/>
      <c r="N324" s="27" t="n"/>
      <c r="O324" s="27" t="n"/>
      <c r="P324" s="27" t="n"/>
      <c r="Q324" s="27" t="n"/>
      <c r="R324" s="27" t="n"/>
      <c r="S324" s="27" t="n"/>
      <c r="T324" s="27" t="n"/>
      <c r="U324" s="27" t="n"/>
      <c r="V324" s="27" t="n"/>
      <c r="W324" s="27" t="n"/>
      <c r="X324" s="27" t="n"/>
      <c r="Y324" s="27" t="n"/>
      <c r="Z324" s="27" t="n"/>
    </row>
    <row r="325" ht="16.5" customHeight="1" s="117">
      <c r="A325" s="27" t="n"/>
      <c r="B325" s="27" t="n"/>
      <c r="C325" s="27" t="n"/>
      <c r="D325" s="27" t="n"/>
      <c r="E325" s="27" t="n"/>
      <c r="F325" s="27" t="n"/>
      <c r="G325" s="27" t="n"/>
      <c r="H325" s="27" t="n"/>
      <c r="I325" s="27" t="n"/>
      <c r="J325" s="27" t="n"/>
      <c r="K325" s="27" t="n"/>
      <c r="L325" s="27" t="n"/>
      <c r="M325" s="27" t="n"/>
      <c r="N325" s="27" t="n"/>
      <c r="O325" s="27" t="n"/>
      <c r="P325" s="27" t="n"/>
      <c r="Q325" s="27" t="n"/>
      <c r="R325" s="27" t="n"/>
      <c r="S325" s="27" t="n"/>
      <c r="T325" s="27" t="n"/>
      <c r="U325" s="27" t="n"/>
      <c r="V325" s="27" t="n"/>
      <c r="W325" s="27" t="n"/>
      <c r="X325" s="27" t="n"/>
      <c r="Y325" s="27" t="n"/>
      <c r="Z325" s="27" t="n"/>
    </row>
    <row r="326" ht="16.5" customHeight="1" s="117">
      <c r="A326" s="27" t="n"/>
      <c r="B326" s="27" t="n"/>
      <c r="C326" s="27" t="n"/>
      <c r="D326" s="27" t="n"/>
      <c r="E326" s="27" t="n"/>
      <c r="F326" s="27" t="n"/>
      <c r="G326" s="27" t="n"/>
      <c r="H326" s="27" t="n"/>
      <c r="I326" s="27" t="n"/>
      <c r="J326" s="27" t="n"/>
      <c r="K326" s="27" t="n"/>
      <c r="L326" s="27" t="n"/>
      <c r="M326" s="27" t="n"/>
      <c r="N326" s="27" t="n"/>
      <c r="O326" s="27" t="n"/>
      <c r="P326" s="27" t="n"/>
      <c r="Q326" s="27" t="n"/>
      <c r="R326" s="27" t="n"/>
      <c r="S326" s="27" t="n"/>
      <c r="T326" s="27" t="n"/>
      <c r="U326" s="27" t="n"/>
      <c r="V326" s="27" t="n"/>
      <c r="W326" s="27" t="n"/>
      <c r="X326" s="27" t="n"/>
      <c r="Y326" s="27" t="n"/>
      <c r="Z326" s="27" t="n"/>
    </row>
    <row r="327" ht="16.5" customHeight="1" s="117">
      <c r="A327" s="27" t="n"/>
      <c r="B327" s="27" t="n"/>
      <c r="C327" s="27" t="n"/>
      <c r="D327" s="27" t="n"/>
      <c r="E327" s="27" t="n"/>
      <c r="F327" s="27" t="n"/>
      <c r="G327" s="27" t="n"/>
      <c r="H327" s="27" t="n"/>
      <c r="I327" s="27" t="n"/>
      <c r="J327" s="27" t="n"/>
      <c r="K327" s="27" t="n"/>
      <c r="L327" s="27" t="n"/>
      <c r="M327" s="27" t="n"/>
      <c r="N327" s="27" t="n"/>
      <c r="O327" s="27" t="n"/>
      <c r="P327" s="27" t="n"/>
      <c r="Q327" s="27" t="n"/>
      <c r="R327" s="27" t="n"/>
      <c r="S327" s="27" t="n"/>
      <c r="T327" s="27" t="n"/>
      <c r="U327" s="27" t="n"/>
      <c r="V327" s="27" t="n"/>
      <c r="W327" s="27" t="n"/>
      <c r="X327" s="27" t="n"/>
      <c r="Y327" s="27" t="n"/>
      <c r="Z327" s="27" t="n"/>
    </row>
    <row r="328" ht="16.5" customHeight="1" s="117">
      <c r="A328" s="27" t="n"/>
      <c r="B328" s="27" t="n"/>
      <c r="C328" s="27" t="n"/>
      <c r="D328" s="27" t="n"/>
      <c r="E328" s="27" t="n"/>
      <c r="F328" s="27" t="n"/>
      <c r="G328" s="27" t="n"/>
      <c r="H328" s="27" t="n"/>
      <c r="I328" s="27" t="n"/>
      <c r="J328" s="27" t="n"/>
      <c r="K328" s="27" t="n"/>
      <c r="L328" s="27" t="n"/>
      <c r="M328" s="27" t="n"/>
      <c r="N328" s="27" t="n"/>
      <c r="O328" s="27" t="n"/>
      <c r="P328" s="27" t="n"/>
      <c r="Q328" s="27" t="n"/>
      <c r="R328" s="27" t="n"/>
      <c r="S328" s="27" t="n"/>
      <c r="T328" s="27" t="n"/>
      <c r="U328" s="27" t="n"/>
      <c r="V328" s="27" t="n"/>
      <c r="W328" s="27" t="n"/>
      <c r="X328" s="27" t="n"/>
      <c r="Y328" s="27" t="n"/>
      <c r="Z328" s="27" t="n"/>
    </row>
    <row r="329" ht="16.5" customHeight="1" s="117">
      <c r="A329" s="27" t="n"/>
      <c r="B329" s="27" t="n"/>
      <c r="C329" s="27" t="n"/>
      <c r="D329" s="27" t="n"/>
      <c r="E329" s="27" t="n"/>
      <c r="F329" s="27" t="n"/>
      <c r="G329" s="27" t="n"/>
      <c r="H329" s="27" t="n"/>
      <c r="I329" s="27" t="n"/>
      <c r="J329" s="27" t="n"/>
      <c r="K329" s="27" t="n"/>
      <c r="L329" s="27" t="n"/>
      <c r="M329" s="27" t="n"/>
      <c r="N329" s="27" t="n"/>
      <c r="O329" s="27" t="n"/>
      <c r="P329" s="27" t="n"/>
      <c r="Q329" s="27" t="n"/>
      <c r="R329" s="27" t="n"/>
      <c r="S329" s="27" t="n"/>
      <c r="T329" s="27" t="n"/>
      <c r="U329" s="27" t="n"/>
      <c r="V329" s="27" t="n"/>
      <c r="W329" s="27" t="n"/>
      <c r="X329" s="27" t="n"/>
      <c r="Y329" s="27" t="n"/>
      <c r="Z329" s="27" t="n"/>
    </row>
    <row r="330" ht="16.5" customHeight="1" s="117">
      <c r="A330" s="27" t="n"/>
      <c r="B330" s="27" t="n"/>
      <c r="C330" s="27" t="n"/>
      <c r="D330" s="27" t="n"/>
      <c r="E330" s="27" t="n"/>
      <c r="F330" s="27" t="n"/>
      <c r="G330" s="27" t="n"/>
      <c r="H330" s="27" t="n"/>
      <c r="I330" s="27" t="n"/>
      <c r="J330" s="27" t="n"/>
      <c r="K330" s="27" t="n"/>
      <c r="L330" s="27" t="n"/>
      <c r="M330" s="27" t="n"/>
      <c r="N330" s="27" t="n"/>
      <c r="O330" s="27" t="n"/>
      <c r="P330" s="27" t="n"/>
      <c r="Q330" s="27" t="n"/>
      <c r="R330" s="27" t="n"/>
      <c r="S330" s="27" t="n"/>
      <c r="T330" s="27" t="n"/>
      <c r="U330" s="27" t="n"/>
      <c r="V330" s="27" t="n"/>
      <c r="W330" s="27" t="n"/>
      <c r="X330" s="27" t="n"/>
      <c r="Y330" s="27" t="n"/>
      <c r="Z330" s="27" t="n"/>
    </row>
    <row r="331" ht="16.5" customHeight="1" s="117">
      <c r="A331" s="27" t="n"/>
      <c r="B331" s="27" t="n"/>
      <c r="C331" s="27" t="n"/>
      <c r="D331" s="27" t="n"/>
      <c r="E331" s="27" t="n"/>
      <c r="F331" s="27" t="n"/>
      <c r="G331" s="27" t="n"/>
      <c r="H331" s="27" t="n"/>
      <c r="I331" s="27" t="n"/>
      <c r="J331" s="27" t="n"/>
      <c r="K331" s="27" t="n"/>
      <c r="L331" s="27" t="n"/>
      <c r="M331" s="27" t="n"/>
      <c r="N331" s="27" t="n"/>
      <c r="O331" s="27" t="n"/>
      <c r="P331" s="27" t="n"/>
      <c r="Q331" s="27" t="n"/>
      <c r="R331" s="27" t="n"/>
      <c r="S331" s="27" t="n"/>
      <c r="T331" s="27" t="n"/>
      <c r="U331" s="27" t="n"/>
      <c r="V331" s="27" t="n"/>
      <c r="W331" s="27" t="n"/>
      <c r="X331" s="27" t="n"/>
      <c r="Y331" s="27" t="n"/>
      <c r="Z331" s="27" t="n"/>
    </row>
    <row r="332" ht="16.5" customHeight="1" s="117">
      <c r="A332" s="27" t="n"/>
      <c r="B332" s="27" t="n"/>
      <c r="C332" s="27" t="n"/>
      <c r="D332" s="27" t="n"/>
      <c r="E332" s="27" t="n"/>
      <c r="F332" s="27" t="n"/>
      <c r="G332" s="27" t="n"/>
      <c r="H332" s="27" t="n"/>
      <c r="I332" s="27" t="n"/>
      <c r="J332" s="27" t="n"/>
      <c r="K332" s="27" t="n"/>
      <c r="L332" s="27" t="n"/>
      <c r="M332" s="27" t="n"/>
      <c r="N332" s="27" t="n"/>
      <c r="O332" s="27" t="n"/>
      <c r="P332" s="27" t="n"/>
      <c r="Q332" s="27" t="n"/>
      <c r="R332" s="27" t="n"/>
      <c r="S332" s="27" t="n"/>
      <c r="T332" s="27" t="n"/>
      <c r="U332" s="27" t="n"/>
      <c r="V332" s="27" t="n"/>
      <c r="W332" s="27" t="n"/>
      <c r="X332" s="27" t="n"/>
      <c r="Y332" s="27" t="n"/>
      <c r="Z332" s="27" t="n"/>
    </row>
    <row r="333" ht="16.5" customHeight="1" s="117">
      <c r="A333" s="27" t="n"/>
      <c r="B333" s="27" t="n"/>
      <c r="C333" s="27" t="n"/>
      <c r="D333" s="27" t="n"/>
      <c r="E333" s="27" t="n"/>
      <c r="F333" s="27" t="n"/>
      <c r="G333" s="27" t="n"/>
      <c r="H333" s="27" t="n"/>
      <c r="I333" s="27" t="n"/>
      <c r="J333" s="27" t="n"/>
      <c r="K333" s="27" t="n"/>
      <c r="L333" s="27" t="n"/>
      <c r="M333" s="27" t="n"/>
      <c r="N333" s="27" t="n"/>
      <c r="O333" s="27" t="n"/>
      <c r="P333" s="27" t="n"/>
      <c r="Q333" s="27" t="n"/>
      <c r="R333" s="27" t="n"/>
      <c r="S333" s="27" t="n"/>
      <c r="T333" s="27" t="n"/>
      <c r="U333" s="27" t="n"/>
      <c r="V333" s="27" t="n"/>
      <c r="W333" s="27" t="n"/>
      <c r="X333" s="27" t="n"/>
      <c r="Y333" s="27" t="n"/>
      <c r="Z333" s="27" t="n"/>
    </row>
    <row r="334" ht="16.5" customHeight="1" s="117">
      <c r="A334" s="27" t="n"/>
      <c r="B334" s="27" t="n"/>
      <c r="C334" s="27" t="n"/>
      <c r="D334" s="27" t="n"/>
      <c r="E334" s="27" t="n"/>
      <c r="F334" s="27" t="n"/>
      <c r="G334" s="27" t="n"/>
      <c r="H334" s="27" t="n"/>
      <c r="I334" s="27" t="n"/>
      <c r="J334" s="27" t="n"/>
      <c r="K334" s="27" t="n"/>
      <c r="L334" s="27" t="n"/>
      <c r="M334" s="27" t="n"/>
      <c r="N334" s="27" t="n"/>
      <c r="O334" s="27" t="n"/>
      <c r="P334" s="27" t="n"/>
      <c r="Q334" s="27" t="n"/>
      <c r="R334" s="27" t="n"/>
      <c r="S334" s="27" t="n"/>
      <c r="T334" s="27" t="n"/>
      <c r="U334" s="27" t="n"/>
      <c r="V334" s="27" t="n"/>
      <c r="W334" s="27" t="n"/>
      <c r="X334" s="27" t="n"/>
      <c r="Y334" s="27" t="n"/>
      <c r="Z334" s="27" t="n"/>
    </row>
    <row r="335" ht="16.5" customHeight="1" s="117">
      <c r="A335" s="27" t="n"/>
      <c r="B335" s="27" t="n"/>
      <c r="C335" s="27" t="n"/>
      <c r="D335" s="27" t="n"/>
      <c r="E335" s="27" t="n"/>
      <c r="F335" s="27" t="n"/>
      <c r="G335" s="27" t="n"/>
      <c r="H335" s="27" t="n"/>
      <c r="I335" s="27" t="n"/>
      <c r="J335" s="27" t="n"/>
      <c r="K335" s="27" t="n"/>
      <c r="L335" s="27" t="n"/>
      <c r="M335" s="27" t="n"/>
      <c r="N335" s="27" t="n"/>
      <c r="O335" s="27" t="n"/>
      <c r="P335" s="27" t="n"/>
      <c r="Q335" s="27" t="n"/>
      <c r="R335" s="27" t="n"/>
      <c r="S335" s="27" t="n"/>
      <c r="T335" s="27" t="n"/>
      <c r="U335" s="27" t="n"/>
      <c r="V335" s="27" t="n"/>
      <c r="W335" s="27" t="n"/>
      <c r="X335" s="27" t="n"/>
      <c r="Y335" s="27" t="n"/>
      <c r="Z335" s="27" t="n"/>
    </row>
    <row r="336" ht="16.5" customHeight="1" s="117">
      <c r="A336" s="27" t="n"/>
      <c r="B336" s="27" t="n"/>
      <c r="C336" s="27" t="n"/>
      <c r="D336" s="27" t="n"/>
      <c r="E336" s="27" t="n"/>
      <c r="F336" s="27" t="n"/>
      <c r="G336" s="27" t="n"/>
      <c r="H336" s="27" t="n"/>
      <c r="I336" s="27" t="n"/>
      <c r="J336" s="27" t="n"/>
      <c r="K336" s="27" t="n"/>
      <c r="L336" s="27" t="n"/>
      <c r="M336" s="27" t="n"/>
      <c r="N336" s="27" t="n"/>
      <c r="O336" s="27" t="n"/>
      <c r="P336" s="27" t="n"/>
      <c r="Q336" s="27" t="n"/>
      <c r="R336" s="27" t="n"/>
      <c r="S336" s="27" t="n"/>
      <c r="T336" s="27" t="n"/>
      <c r="U336" s="27" t="n"/>
      <c r="V336" s="27" t="n"/>
      <c r="W336" s="27" t="n"/>
      <c r="X336" s="27" t="n"/>
      <c r="Y336" s="27" t="n"/>
      <c r="Z336" s="27" t="n"/>
    </row>
    <row r="337" ht="16.5" customHeight="1" s="117">
      <c r="A337" s="27" t="n"/>
      <c r="B337" s="27" t="n"/>
      <c r="C337" s="27" t="n"/>
      <c r="D337" s="27" t="n"/>
      <c r="E337" s="27" t="n"/>
      <c r="F337" s="27" t="n"/>
      <c r="G337" s="27" t="n"/>
      <c r="H337" s="27" t="n"/>
      <c r="I337" s="27" t="n"/>
      <c r="J337" s="27" t="n"/>
      <c r="K337" s="27" t="n"/>
      <c r="L337" s="27" t="n"/>
      <c r="M337" s="27" t="n"/>
      <c r="N337" s="27" t="n"/>
      <c r="O337" s="27" t="n"/>
      <c r="P337" s="27" t="n"/>
      <c r="Q337" s="27" t="n"/>
      <c r="R337" s="27" t="n"/>
      <c r="S337" s="27" t="n"/>
      <c r="T337" s="27" t="n"/>
      <c r="U337" s="27" t="n"/>
      <c r="V337" s="27" t="n"/>
      <c r="W337" s="27" t="n"/>
      <c r="X337" s="27" t="n"/>
      <c r="Y337" s="27" t="n"/>
      <c r="Z337" s="27" t="n"/>
    </row>
    <row r="338" ht="16.5" customHeight="1" s="117">
      <c r="A338" s="27" t="n"/>
      <c r="B338" s="27" t="n"/>
      <c r="C338" s="27" t="n"/>
      <c r="D338" s="27" t="n"/>
      <c r="E338" s="27" t="n"/>
      <c r="F338" s="27" t="n"/>
      <c r="G338" s="27" t="n"/>
      <c r="H338" s="27" t="n"/>
      <c r="I338" s="27" t="n"/>
      <c r="J338" s="27" t="n"/>
      <c r="K338" s="27" t="n"/>
      <c r="L338" s="27" t="n"/>
      <c r="M338" s="27" t="n"/>
      <c r="N338" s="27" t="n"/>
      <c r="O338" s="27" t="n"/>
      <c r="P338" s="27" t="n"/>
      <c r="Q338" s="27" t="n"/>
      <c r="R338" s="27" t="n"/>
      <c r="S338" s="27" t="n"/>
      <c r="T338" s="27" t="n"/>
      <c r="U338" s="27" t="n"/>
      <c r="V338" s="27" t="n"/>
      <c r="W338" s="27" t="n"/>
      <c r="X338" s="27" t="n"/>
      <c r="Y338" s="27" t="n"/>
      <c r="Z338" s="27" t="n"/>
    </row>
    <row r="339" ht="16.5" customHeight="1" s="117">
      <c r="A339" s="27" t="n"/>
      <c r="B339" s="27" t="n"/>
      <c r="C339" s="27" t="n"/>
      <c r="D339" s="27" t="n"/>
      <c r="E339" s="27" t="n"/>
      <c r="F339" s="27" t="n"/>
      <c r="G339" s="27" t="n"/>
      <c r="H339" s="27" t="n"/>
      <c r="I339" s="27" t="n"/>
      <c r="J339" s="27" t="n"/>
      <c r="K339" s="27" t="n"/>
      <c r="L339" s="27" t="n"/>
      <c r="M339" s="27" t="n"/>
      <c r="N339" s="27" t="n"/>
      <c r="O339" s="27" t="n"/>
      <c r="P339" s="27" t="n"/>
      <c r="Q339" s="27" t="n"/>
      <c r="R339" s="27" t="n"/>
      <c r="S339" s="27" t="n"/>
      <c r="T339" s="27" t="n"/>
      <c r="U339" s="27" t="n"/>
      <c r="V339" s="27" t="n"/>
      <c r="W339" s="27" t="n"/>
      <c r="X339" s="27" t="n"/>
      <c r="Y339" s="27" t="n"/>
      <c r="Z339" s="27" t="n"/>
    </row>
    <row r="340" ht="16.5" customHeight="1" s="117">
      <c r="A340" s="27" t="n"/>
      <c r="B340" s="27" t="n"/>
      <c r="C340" s="27" t="n"/>
      <c r="D340" s="27" t="n"/>
      <c r="E340" s="27" t="n"/>
      <c r="F340" s="27" t="n"/>
      <c r="G340" s="27" t="n"/>
      <c r="H340" s="27" t="n"/>
      <c r="I340" s="27" t="n"/>
      <c r="J340" s="27" t="n"/>
      <c r="K340" s="27" t="n"/>
      <c r="L340" s="27" t="n"/>
      <c r="M340" s="27" t="n"/>
      <c r="N340" s="27" t="n"/>
      <c r="O340" s="27" t="n"/>
      <c r="P340" s="27" t="n"/>
      <c r="Q340" s="27" t="n"/>
      <c r="R340" s="27" t="n"/>
      <c r="S340" s="27" t="n"/>
      <c r="T340" s="27" t="n"/>
      <c r="U340" s="27" t="n"/>
      <c r="V340" s="27" t="n"/>
      <c r="W340" s="27" t="n"/>
      <c r="X340" s="27" t="n"/>
      <c r="Y340" s="27" t="n"/>
      <c r="Z340" s="27" t="n"/>
    </row>
    <row r="341" ht="16.5" customHeight="1" s="117">
      <c r="A341" s="27" t="n"/>
      <c r="B341" s="27" t="n"/>
      <c r="C341" s="27" t="n"/>
      <c r="D341" s="27" t="n"/>
      <c r="E341" s="27" t="n"/>
      <c r="F341" s="27" t="n"/>
      <c r="G341" s="27" t="n"/>
      <c r="H341" s="27" t="n"/>
      <c r="I341" s="27" t="n"/>
      <c r="J341" s="27" t="n"/>
      <c r="K341" s="27" t="n"/>
      <c r="L341" s="27" t="n"/>
      <c r="M341" s="27" t="n"/>
      <c r="N341" s="27" t="n"/>
      <c r="O341" s="27" t="n"/>
      <c r="P341" s="27" t="n"/>
      <c r="Q341" s="27" t="n"/>
      <c r="R341" s="27" t="n"/>
      <c r="S341" s="27" t="n"/>
      <c r="T341" s="27" t="n"/>
      <c r="U341" s="27" t="n"/>
      <c r="V341" s="27" t="n"/>
      <c r="W341" s="27" t="n"/>
      <c r="X341" s="27" t="n"/>
      <c r="Y341" s="27" t="n"/>
      <c r="Z341" s="27" t="n"/>
    </row>
    <row r="342" ht="16.5" customHeight="1" s="117">
      <c r="A342" s="27" t="n"/>
      <c r="B342" s="27" t="n"/>
      <c r="C342" s="27" t="n"/>
      <c r="D342" s="27" t="n"/>
      <c r="E342" s="27" t="n"/>
      <c r="F342" s="27" t="n"/>
      <c r="G342" s="27" t="n"/>
      <c r="H342" s="27" t="n"/>
      <c r="I342" s="27" t="n"/>
      <c r="J342" s="27" t="n"/>
      <c r="K342" s="27" t="n"/>
      <c r="L342" s="27" t="n"/>
      <c r="M342" s="27" t="n"/>
      <c r="N342" s="27" t="n"/>
      <c r="O342" s="27" t="n"/>
      <c r="P342" s="27" t="n"/>
      <c r="Q342" s="27" t="n"/>
      <c r="R342" s="27" t="n"/>
      <c r="S342" s="27" t="n"/>
      <c r="T342" s="27" t="n"/>
      <c r="U342" s="27" t="n"/>
      <c r="V342" s="27" t="n"/>
      <c r="W342" s="27" t="n"/>
      <c r="X342" s="27" t="n"/>
      <c r="Y342" s="27" t="n"/>
      <c r="Z342" s="27" t="n"/>
    </row>
    <row r="343" ht="16.5" customHeight="1" s="117">
      <c r="A343" s="27" t="n"/>
      <c r="B343" s="27" t="n"/>
      <c r="C343" s="27" t="n"/>
      <c r="D343" s="27" t="n"/>
      <c r="E343" s="27" t="n"/>
      <c r="F343" s="27" t="n"/>
      <c r="G343" s="27" t="n"/>
      <c r="H343" s="27" t="n"/>
      <c r="I343" s="27" t="n"/>
      <c r="J343" s="27" t="n"/>
      <c r="K343" s="27" t="n"/>
      <c r="L343" s="27" t="n"/>
      <c r="M343" s="27" t="n"/>
      <c r="N343" s="27" t="n"/>
      <c r="O343" s="27" t="n"/>
      <c r="P343" s="27" t="n"/>
      <c r="Q343" s="27" t="n"/>
      <c r="R343" s="27" t="n"/>
      <c r="S343" s="27" t="n"/>
      <c r="T343" s="27" t="n"/>
      <c r="U343" s="27" t="n"/>
      <c r="V343" s="27" t="n"/>
      <c r="W343" s="27" t="n"/>
      <c r="X343" s="27" t="n"/>
      <c r="Y343" s="27" t="n"/>
      <c r="Z343" s="27" t="n"/>
    </row>
    <row r="344" ht="16.5" customHeight="1" s="117">
      <c r="A344" s="27" t="n"/>
      <c r="B344" s="27" t="n"/>
      <c r="C344" s="27" t="n"/>
      <c r="D344" s="27" t="n"/>
      <c r="E344" s="27" t="n"/>
      <c r="F344" s="27" t="n"/>
      <c r="G344" s="27" t="n"/>
      <c r="H344" s="27" t="n"/>
      <c r="I344" s="27" t="n"/>
      <c r="J344" s="27" t="n"/>
      <c r="K344" s="27" t="n"/>
      <c r="L344" s="27" t="n"/>
      <c r="M344" s="27" t="n"/>
      <c r="N344" s="27" t="n"/>
      <c r="O344" s="27" t="n"/>
      <c r="P344" s="27" t="n"/>
      <c r="Q344" s="27" t="n"/>
      <c r="R344" s="27" t="n"/>
      <c r="S344" s="27" t="n"/>
      <c r="T344" s="27" t="n"/>
      <c r="U344" s="27" t="n"/>
      <c r="V344" s="27" t="n"/>
      <c r="W344" s="27" t="n"/>
      <c r="X344" s="27" t="n"/>
      <c r="Y344" s="27" t="n"/>
      <c r="Z344" s="27" t="n"/>
    </row>
    <row r="345" ht="16.5" customHeight="1" s="117">
      <c r="A345" s="27" t="n"/>
      <c r="B345" s="27" t="n"/>
      <c r="C345" s="27" t="n"/>
      <c r="D345" s="27" t="n"/>
      <c r="E345" s="27" t="n"/>
      <c r="F345" s="27" t="n"/>
      <c r="G345" s="27" t="n"/>
      <c r="H345" s="27" t="n"/>
      <c r="I345" s="27" t="n"/>
      <c r="J345" s="27" t="n"/>
      <c r="K345" s="27" t="n"/>
      <c r="L345" s="27" t="n"/>
      <c r="M345" s="27" t="n"/>
      <c r="N345" s="27" t="n"/>
      <c r="O345" s="27" t="n"/>
      <c r="P345" s="27" t="n"/>
      <c r="Q345" s="27" t="n"/>
      <c r="R345" s="27" t="n"/>
      <c r="S345" s="27" t="n"/>
      <c r="T345" s="27" t="n"/>
      <c r="U345" s="27" t="n"/>
      <c r="V345" s="27" t="n"/>
      <c r="W345" s="27" t="n"/>
      <c r="X345" s="27" t="n"/>
      <c r="Y345" s="27" t="n"/>
      <c r="Z345" s="27" t="n"/>
    </row>
    <row r="346" ht="16.5" customHeight="1" s="117">
      <c r="A346" s="27" t="n"/>
      <c r="B346" s="27" t="n"/>
      <c r="C346" s="27" t="n"/>
      <c r="D346" s="27" t="n"/>
      <c r="E346" s="27" t="n"/>
      <c r="F346" s="27" t="n"/>
      <c r="G346" s="27" t="n"/>
      <c r="H346" s="27" t="n"/>
      <c r="I346" s="27" t="n"/>
      <c r="J346" s="27" t="n"/>
      <c r="K346" s="27" t="n"/>
      <c r="L346" s="27" t="n"/>
      <c r="M346" s="27" t="n"/>
      <c r="N346" s="27" t="n"/>
      <c r="O346" s="27" t="n"/>
      <c r="P346" s="27" t="n"/>
      <c r="Q346" s="27" t="n"/>
      <c r="R346" s="27" t="n"/>
      <c r="S346" s="27" t="n"/>
      <c r="T346" s="27" t="n"/>
      <c r="U346" s="27" t="n"/>
      <c r="V346" s="27" t="n"/>
      <c r="W346" s="27" t="n"/>
      <c r="X346" s="27" t="n"/>
      <c r="Y346" s="27" t="n"/>
      <c r="Z346" s="27" t="n"/>
    </row>
    <row r="347" ht="16.5" customHeight="1" s="117">
      <c r="A347" s="27" t="n"/>
      <c r="B347" s="27" t="n"/>
      <c r="C347" s="27" t="n"/>
      <c r="D347" s="27" t="n"/>
      <c r="E347" s="27" t="n"/>
      <c r="F347" s="27" t="n"/>
      <c r="G347" s="27" t="n"/>
      <c r="H347" s="27" t="n"/>
      <c r="I347" s="27" t="n"/>
      <c r="J347" s="27" t="n"/>
      <c r="K347" s="27" t="n"/>
      <c r="L347" s="27" t="n"/>
      <c r="M347" s="27" t="n"/>
      <c r="N347" s="27" t="n"/>
      <c r="O347" s="27" t="n"/>
      <c r="P347" s="27" t="n"/>
      <c r="Q347" s="27" t="n"/>
      <c r="R347" s="27" t="n"/>
      <c r="S347" s="27" t="n"/>
      <c r="T347" s="27" t="n"/>
      <c r="U347" s="27" t="n"/>
      <c r="V347" s="27" t="n"/>
      <c r="W347" s="27" t="n"/>
      <c r="X347" s="27" t="n"/>
      <c r="Y347" s="27" t="n"/>
      <c r="Z347" s="27" t="n"/>
    </row>
    <row r="348" ht="16.5" customHeight="1" s="117">
      <c r="A348" s="27" t="n"/>
      <c r="B348" s="27" t="n"/>
      <c r="C348" s="27" t="n"/>
      <c r="D348" s="27" t="n"/>
      <c r="E348" s="27" t="n"/>
      <c r="F348" s="27" t="n"/>
      <c r="G348" s="27" t="n"/>
      <c r="H348" s="27" t="n"/>
      <c r="I348" s="27" t="n"/>
      <c r="J348" s="27" t="n"/>
      <c r="K348" s="27" t="n"/>
      <c r="L348" s="27" t="n"/>
      <c r="M348" s="27" t="n"/>
      <c r="N348" s="27" t="n"/>
      <c r="O348" s="27" t="n"/>
      <c r="P348" s="27" t="n"/>
      <c r="Q348" s="27" t="n"/>
      <c r="R348" s="27" t="n"/>
      <c r="S348" s="27" t="n"/>
      <c r="T348" s="27" t="n"/>
      <c r="U348" s="27" t="n"/>
      <c r="V348" s="27" t="n"/>
      <c r="W348" s="27" t="n"/>
      <c r="X348" s="27" t="n"/>
      <c r="Y348" s="27" t="n"/>
      <c r="Z348" s="27" t="n"/>
    </row>
    <row r="349" ht="16.5" customHeight="1" s="117">
      <c r="A349" s="27" t="n"/>
      <c r="B349" s="27" t="n"/>
      <c r="C349" s="27" t="n"/>
      <c r="D349" s="27" t="n"/>
      <c r="E349" s="27" t="n"/>
      <c r="F349" s="27" t="n"/>
      <c r="G349" s="27" t="n"/>
      <c r="H349" s="27" t="n"/>
      <c r="I349" s="27" t="n"/>
      <c r="J349" s="27" t="n"/>
      <c r="K349" s="27" t="n"/>
      <c r="L349" s="27" t="n"/>
      <c r="M349" s="27" t="n"/>
      <c r="N349" s="27" t="n"/>
      <c r="O349" s="27" t="n"/>
      <c r="P349" s="27" t="n"/>
      <c r="Q349" s="27" t="n"/>
      <c r="R349" s="27" t="n"/>
      <c r="S349" s="27" t="n"/>
      <c r="T349" s="27" t="n"/>
      <c r="U349" s="27" t="n"/>
      <c r="V349" s="27" t="n"/>
      <c r="W349" s="27" t="n"/>
      <c r="X349" s="27" t="n"/>
      <c r="Y349" s="27" t="n"/>
      <c r="Z349" s="27" t="n"/>
    </row>
    <row r="350" ht="16.5" customHeight="1" s="117">
      <c r="A350" s="27" t="n"/>
      <c r="B350" s="27" t="n"/>
      <c r="C350" s="27" t="n"/>
      <c r="D350" s="27" t="n"/>
      <c r="E350" s="27" t="n"/>
      <c r="F350" s="27" t="n"/>
      <c r="G350" s="27" t="n"/>
      <c r="H350" s="27" t="n"/>
      <c r="I350" s="27" t="n"/>
      <c r="J350" s="27" t="n"/>
      <c r="K350" s="27" t="n"/>
      <c r="L350" s="27" t="n"/>
      <c r="M350" s="27" t="n"/>
      <c r="N350" s="27" t="n"/>
      <c r="O350" s="27" t="n"/>
      <c r="P350" s="27" t="n"/>
      <c r="Q350" s="27" t="n"/>
      <c r="R350" s="27" t="n"/>
      <c r="S350" s="27" t="n"/>
      <c r="T350" s="27" t="n"/>
      <c r="U350" s="27" t="n"/>
      <c r="V350" s="27" t="n"/>
      <c r="W350" s="27" t="n"/>
      <c r="X350" s="27" t="n"/>
      <c r="Y350" s="27" t="n"/>
      <c r="Z350" s="27" t="n"/>
    </row>
    <row r="351" ht="16.5" customHeight="1" s="117">
      <c r="A351" s="27" t="n"/>
      <c r="B351" s="27" t="n"/>
      <c r="C351" s="27" t="n"/>
      <c r="D351" s="27" t="n"/>
      <c r="E351" s="27" t="n"/>
      <c r="F351" s="27" t="n"/>
      <c r="G351" s="27" t="n"/>
      <c r="H351" s="27" t="n"/>
      <c r="I351" s="27" t="n"/>
      <c r="J351" s="27" t="n"/>
      <c r="K351" s="27" t="n"/>
      <c r="L351" s="27" t="n"/>
      <c r="M351" s="27" t="n"/>
      <c r="N351" s="27" t="n"/>
      <c r="O351" s="27" t="n"/>
      <c r="P351" s="27" t="n"/>
      <c r="Q351" s="27" t="n"/>
      <c r="R351" s="27" t="n"/>
      <c r="S351" s="27" t="n"/>
      <c r="T351" s="27" t="n"/>
      <c r="U351" s="27" t="n"/>
      <c r="V351" s="27" t="n"/>
      <c r="W351" s="27" t="n"/>
      <c r="X351" s="27" t="n"/>
      <c r="Y351" s="27" t="n"/>
      <c r="Z351" s="27" t="n"/>
    </row>
    <row r="352" ht="16.5" customHeight="1" s="117">
      <c r="A352" s="27" t="n"/>
      <c r="B352" s="27" t="n"/>
      <c r="C352" s="27" t="n"/>
      <c r="D352" s="27" t="n"/>
      <c r="E352" s="27" t="n"/>
      <c r="F352" s="27" t="n"/>
      <c r="G352" s="27" t="n"/>
      <c r="H352" s="27" t="n"/>
      <c r="I352" s="27" t="n"/>
      <c r="J352" s="27" t="n"/>
      <c r="K352" s="27" t="n"/>
      <c r="L352" s="27" t="n"/>
      <c r="M352" s="27" t="n"/>
      <c r="N352" s="27" t="n"/>
      <c r="O352" s="27" t="n"/>
      <c r="P352" s="27" t="n"/>
      <c r="Q352" s="27" t="n"/>
      <c r="R352" s="27" t="n"/>
      <c r="S352" s="27" t="n"/>
      <c r="T352" s="27" t="n"/>
      <c r="U352" s="27" t="n"/>
      <c r="V352" s="27" t="n"/>
      <c r="W352" s="27" t="n"/>
      <c r="X352" s="27" t="n"/>
      <c r="Y352" s="27" t="n"/>
      <c r="Z352" s="27" t="n"/>
    </row>
    <row r="353" ht="16.5" customHeight="1" s="117">
      <c r="A353" s="27" t="n"/>
      <c r="B353" s="27" t="n"/>
      <c r="C353" s="27" t="n"/>
      <c r="D353" s="27" t="n"/>
      <c r="E353" s="27" t="n"/>
      <c r="F353" s="27" t="n"/>
      <c r="G353" s="27" t="n"/>
      <c r="H353" s="27" t="n"/>
      <c r="I353" s="27" t="n"/>
      <c r="J353" s="27" t="n"/>
      <c r="K353" s="27" t="n"/>
      <c r="L353" s="27" t="n"/>
      <c r="M353" s="27" t="n"/>
      <c r="N353" s="27" t="n"/>
      <c r="O353" s="27" t="n"/>
      <c r="P353" s="27" t="n"/>
      <c r="Q353" s="27" t="n"/>
      <c r="R353" s="27" t="n"/>
      <c r="S353" s="27" t="n"/>
      <c r="T353" s="27" t="n"/>
      <c r="U353" s="27" t="n"/>
      <c r="V353" s="27" t="n"/>
      <c r="W353" s="27" t="n"/>
      <c r="X353" s="27" t="n"/>
      <c r="Y353" s="27" t="n"/>
      <c r="Z353" s="27" t="n"/>
    </row>
    <row r="354" ht="16.5" customHeight="1" s="117">
      <c r="A354" s="27" t="n"/>
      <c r="B354" s="27" t="n"/>
      <c r="C354" s="27" t="n"/>
      <c r="D354" s="27" t="n"/>
      <c r="E354" s="27" t="n"/>
      <c r="F354" s="27" t="n"/>
      <c r="G354" s="27" t="n"/>
      <c r="H354" s="27" t="n"/>
      <c r="I354" s="27" t="n"/>
      <c r="J354" s="27" t="n"/>
      <c r="K354" s="27" t="n"/>
      <c r="L354" s="27" t="n"/>
      <c r="M354" s="27" t="n"/>
      <c r="N354" s="27" t="n"/>
      <c r="O354" s="27" t="n"/>
      <c r="P354" s="27" t="n"/>
      <c r="Q354" s="27" t="n"/>
      <c r="R354" s="27" t="n"/>
      <c r="S354" s="27" t="n"/>
      <c r="T354" s="27" t="n"/>
      <c r="U354" s="27" t="n"/>
      <c r="V354" s="27" t="n"/>
      <c r="W354" s="27" t="n"/>
      <c r="X354" s="27" t="n"/>
      <c r="Y354" s="27" t="n"/>
      <c r="Z354" s="27" t="n"/>
    </row>
    <row r="355" ht="16.5" customHeight="1" s="117">
      <c r="A355" s="27" t="n"/>
      <c r="B355" s="27" t="n"/>
      <c r="C355" s="27" t="n"/>
      <c r="D355" s="27" t="n"/>
      <c r="E355" s="27" t="n"/>
      <c r="F355" s="27" t="n"/>
      <c r="G355" s="27" t="n"/>
      <c r="H355" s="27" t="n"/>
      <c r="I355" s="27" t="n"/>
      <c r="J355" s="27" t="n"/>
      <c r="K355" s="27" t="n"/>
      <c r="L355" s="27" t="n"/>
      <c r="M355" s="27" t="n"/>
      <c r="N355" s="27" t="n"/>
      <c r="O355" s="27" t="n"/>
      <c r="P355" s="27" t="n"/>
      <c r="Q355" s="27" t="n"/>
      <c r="R355" s="27" t="n"/>
      <c r="S355" s="27" t="n"/>
      <c r="T355" s="27" t="n"/>
      <c r="U355" s="27" t="n"/>
      <c r="V355" s="27" t="n"/>
      <c r="W355" s="27" t="n"/>
      <c r="X355" s="27" t="n"/>
      <c r="Y355" s="27" t="n"/>
      <c r="Z355" s="27" t="n"/>
    </row>
    <row r="356" ht="16.5" customHeight="1" s="117">
      <c r="A356" s="27" t="n"/>
      <c r="B356" s="27" t="n"/>
      <c r="C356" s="27" t="n"/>
      <c r="D356" s="27" t="n"/>
      <c r="E356" s="27" t="n"/>
      <c r="F356" s="27" t="n"/>
      <c r="G356" s="27" t="n"/>
      <c r="H356" s="27" t="n"/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n"/>
      <c r="R356" s="27" t="n"/>
      <c r="S356" s="27" t="n"/>
      <c r="T356" s="27" t="n"/>
      <c r="U356" s="27" t="n"/>
      <c r="V356" s="27" t="n"/>
      <c r="W356" s="27" t="n"/>
      <c r="X356" s="27" t="n"/>
      <c r="Y356" s="27" t="n"/>
      <c r="Z356" s="27" t="n"/>
    </row>
    <row r="357" ht="16.5" customHeight="1" s="117">
      <c r="A357" s="27" t="n"/>
      <c r="B357" s="27" t="n"/>
      <c r="C357" s="27" t="n"/>
      <c r="D357" s="27" t="n"/>
      <c r="E357" s="27" t="n"/>
      <c r="F357" s="27" t="n"/>
      <c r="G357" s="27" t="n"/>
      <c r="H357" s="27" t="n"/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n"/>
      <c r="R357" s="27" t="n"/>
      <c r="S357" s="27" t="n"/>
      <c r="T357" s="27" t="n"/>
      <c r="U357" s="27" t="n"/>
      <c r="V357" s="27" t="n"/>
      <c r="W357" s="27" t="n"/>
      <c r="X357" s="27" t="n"/>
      <c r="Y357" s="27" t="n"/>
      <c r="Z357" s="27" t="n"/>
    </row>
    <row r="358" ht="16.5" customHeight="1" s="117">
      <c r="A358" s="27" t="n"/>
      <c r="B358" s="27" t="n"/>
      <c r="C358" s="27" t="n"/>
      <c r="D358" s="27" t="n"/>
      <c r="E358" s="27" t="n"/>
      <c r="F358" s="27" t="n"/>
      <c r="G358" s="27" t="n"/>
      <c r="H358" s="27" t="n"/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n"/>
      <c r="R358" s="27" t="n"/>
      <c r="S358" s="27" t="n"/>
      <c r="T358" s="27" t="n"/>
      <c r="U358" s="27" t="n"/>
      <c r="V358" s="27" t="n"/>
      <c r="W358" s="27" t="n"/>
      <c r="X358" s="27" t="n"/>
      <c r="Y358" s="27" t="n"/>
      <c r="Z358" s="27" t="n"/>
    </row>
    <row r="359" ht="16.5" customHeight="1" s="117">
      <c r="A359" s="27" t="n"/>
      <c r="B359" s="27" t="n"/>
      <c r="C359" s="27" t="n"/>
      <c r="D359" s="27" t="n"/>
      <c r="E359" s="27" t="n"/>
      <c r="F359" s="27" t="n"/>
      <c r="G359" s="27" t="n"/>
      <c r="H359" s="27" t="n"/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n"/>
      <c r="R359" s="27" t="n"/>
      <c r="S359" s="27" t="n"/>
      <c r="T359" s="27" t="n"/>
      <c r="U359" s="27" t="n"/>
      <c r="V359" s="27" t="n"/>
      <c r="W359" s="27" t="n"/>
      <c r="X359" s="27" t="n"/>
      <c r="Y359" s="27" t="n"/>
      <c r="Z359" s="27" t="n"/>
    </row>
    <row r="360" ht="16.5" customHeight="1" s="117">
      <c r="A360" s="27" t="n"/>
      <c r="B360" s="27" t="n"/>
      <c r="C360" s="27" t="n"/>
      <c r="D360" s="27" t="n"/>
      <c r="E360" s="27" t="n"/>
      <c r="F360" s="27" t="n"/>
      <c r="G360" s="27" t="n"/>
      <c r="H360" s="27" t="n"/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n"/>
      <c r="R360" s="27" t="n"/>
      <c r="S360" s="27" t="n"/>
      <c r="T360" s="27" t="n"/>
      <c r="U360" s="27" t="n"/>
      <c r="V360" s="27" t="n"/>
      <c r="W360" s="27" t="n"/>
      <c r="X360" s="27" t="n"/>
      <c r="Y360" s="27" t="n"/>
      <c r="Z360" s="27" t="n"/>
    </row>
    <row r="361" ht="16.5" customHeight="1" s="117">
      <c r="A361" s="27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  <c r="T361" s="27" t="n"/>
      <c r="U361" s="27" t="n"/>
      <c r="V361" s="27" t="n"/>
      <c r="W361" s="27" t="n"/>
      <c r="X361" s="27" t="n"/>
      <c r="Y361" s="27" t="n"/>
      <c r="Z361" s="27" t="n"/>
    </row>
    <row r="362" ht="16.5" customHeight="1" s="117">
      <c r="A362" s="27" t="n"/>
      <c r="B362" s="27" t="n"/>
      <c r="C362" s="27" t="n"/>
      <c r="D362" s="27" t="n"/>
      <c r="E362" s="27" t="n"/>
      <c r="F362" s="27" t="n"/>
      <c r="G362" s="27" t="n"/>
      <c r="H362" s="27" t="n"/>
      <c r="I362" s="27" t="n"/>
      <c r="J362" s="27" t="n"/>
      <c r="K362" s="27" t="n"/>
      <c r="L362" s="27" t="n"/>
      <c r="M362" s="27" t="n"/>
      <c r="N362" s="27" t="n"/>
      <c r="O362" s="27" t="n"/>
      <c r="P362" s="27" t="n"/>
      <c r="Q362" s="27" t="n"/>
      <c r="R362" s="27" t="n"/>
      <c r="S362" s="27" t="n"/>
      <c r="T362" s="27" t="n"/>
      <c r="U362" s="27" t="n"/>
      <c r="V362" s="27" t="n"/>
      <c r="W362" s="27" t="n"/>
      <c r="X362" s="27" t="n"/>
      <c r="Y362" s="27" t="n"/>
      <c r="Z362" s="27" t="n"/>
    </row>
    <row r="363" ht="16.5" customHeight="1" s="117">
      <c r="A363" s="27" t="n"/>
      <c r="B363" s="27" t="n"/>
      <c r="C363" s="27" t="n"/>
      <c r="D363" s="27" t="n"/>
      <c r="E363" s="27" t="n"/>
      <c r="F363" s="27" t="n"/>
      <c r="G363" s="27" t="n"/>
      <c r="H363" s="27" t="n"/>
      <c r="I363" s="27" t="n"/>
      <c r="J363" s="27" t="n"/>
      <c r="K363" s="27" t="n"/>
      <c r="L363" s="27" t="n"/>
      <c r="M363" s="27" t="n"/>
      <c r="N363" s="27" t="n"/>
      <c r="O363" s="27" t="n"/>
      <c r="P363" s="27" t="n"/>
      <c r="Q363" s="27" t="n"/>
      <c r="R363" s="27" t="n"/>
      <c r="S363" s="27" t="n"/>
      <c r="T363" s="27" t="n"/>
      <c r="U363" s="27" t="n"/>
      <c r="V363" s="27" t="n"/>
      <c r="W363" s="27" t="n"/>
      <c r="X363" s="27" t="n"/>
      <c r="Y363" s="27" t="n"/>
      <c r="Z363" s="27" t="n"/>
    </row>
    <row r="364" ht="16.5" customHeight="1" s="117">
      <c r="A364" s="27" t="n"/>
      <c r="B364" s="27" t="n"/>
      <c r="C364" s="27" t="n"/>
      <c r="D364" s="27" t="n"/>
      <c r="E364" s="27" t="n"/>
      <c r="F364" s="27" t="n"/>
      <c r="G364" s="27" t="n"/>
      <c r="H364" s="27" t="n"/>
      <c r="I364" s="27" t="n"/>
      <c r="J364" s="27" t="n"/>
      <c r="K364" s="27" t="n"/>
      <c r="L364" s="27" t="n"/>
      <c r="M364" s="27" t="n"/>
      <c r="N364" s="27" t="n"/>
      <c r="O364" s="27" t="n"/>
      <c r="P364" s="27" t="n"/>
      <c r="Q364" s="27" t="n"/>
      <c r="R364" s="27" t="n"/>
      <c r="S364" s="27" t="n"/>
      <c r="T364" s="27" t="n"/>
      <c r="U364" s="27" t="n"/>
      <c r="V364" s="27" t="n"/>
      <c r="W364" s="27" t="n"/>
      <c r="X364" s="27" t="n"/>
      <c r="Y364" s="27" t="n"/>
      <c r="Z364" s="27" t="n"/>
    </row>
    <row r="365" ht="16.5" customHeight="1" s="117">
      <c r="A365" s="27" t="n"/>
      <c r="B365" s="27" t="n"/>
      <c r="C365" s="27" t="n"/>
      <c r="D365" s="27" t="n"/>
      <c r="E365" s="27" t="n"/>
      <c r="F365" s="27" t="n"/>
      <c r="G365" s="27" t="n"/>
      <c r="H365" s="27" t="n"/>
      <c r="I365" s="27" t="n"/>
      <c r="J365" s="27" t="n"/>
      <c r="K365" s="27" t="n"/>
      <c r="L365" s="27" t="n"/>
      <c r="M365" s="27" t="n"/>
      <c r="N365" s="27" t="n"/>
      <c r="O365" s="27" t="n"/>
      <c r="P365" s="27" t="n"/>
      <c r="Q365" s="27" t="n"/>
      <c r="R365" s="27" t="n"/>
      <c r="S365" s="27" t="n"/>
      <c r="T365" s="27" t="n"/>
      <c r="U365" s="27" t="n"/>
      <c r="V365" s="27" t="n"/>
      <c r="W365" s="27" t="n"/>
      <c r="X365" s="27" t="n"/>
      <c r="Y365" s="27" t="n"/>
      <c r="Z365" s="27" t="n"/>
    </row>
    <row r="366" ht="16.5" customHeight="1" s="117">
      <c r="A366" s="27" t="n"/>
      <c r="B366" s="27" t="n"/>
      <c r="C366" s="27" t="n"/>
      <c r="D366" s="27" t="n"/>
      <c r="E366" s="27" t="n"/>
      <c r="F366" s="27" t="n"/>
      <c r="G366" s="27" t="n"/>
      <c r="H366" s="27" t="n"/>
      <c r="I366" s="27" t="n"/>
      <c r="J366" s="27" t="n"/>
      <c r="K366" s="27" t="n"/>
      <c r="L366" s="27" t="n"/>
      <c r="M366" s="27" t="n"/>
      <c r="N366" s="27" t="n"/>
      <c r="O366" s="27" t="n"/>
      <c r="P366" s="27" t="n"/>
      <c r="Q366" s="27" t="n"/>
      <c r="R366" s="27" t="n"/>
      <c r="S366" s="27" t="n"/>
      <c r="T366" s="27" t="n"/>
      <c r="U366" s="27" t="n"/>
      <c r="V366" s="27" t="n"/>
      <c r="W366" s="27" t="n"/>
      <c r="X366" s="27" t="n"/>
      <c r="Y366" s="27" t="n"/>
      <c r="Z366" s="27" t="n"/>
    </row>
    <row r="367" ht="16.5" customHeight="1" s="117">
      <c r="A367" s="27" t="n"/>
      <c r="B367" s="27" t="n"/>
      <c r="C367" s="27" t="n"/>
      <c r="D367" s="27" t="n"/>
      <c r="E367" s="27" t="n"/>
      <c r="F367" s="27" t="n"/>
      <c r="G367" s="27" t="n"/>
      <c r="H367" s="27" t="n"/>
      <c r="I367" s="27" t="n"/>
      <c r="J367" s="27" t="n"/>
      <c r="K367" s="27" t="n"/>
      <c r="L367" s="27" t="n"/>
      <c r="M367" s="27" t="n"/>
      <c r="N367" s="27" t="n"/>
      <c r="O367" s="27" t="n"/>
      <c r="P367" s="27" t="n"/>
      <c r="Q367" s="27" t="n"/>
      <c r="R367" s="27" t="n"/>
      <c r="S367" s="27" t="n"/>
      <c r="T367" s="27" t="n"/>
      <c r="U367" s="27" t="n"/>
      <c r="V367" s="27" t="n"/>
      <c r="W367" s="27" t="n"/>
      <c r="X367" s="27" t="n"/>
      <c r="Y367" s="27" t="n"/>
      <c r="Z367" s="27" t="n"/>
    </row>
    <row r="368" ht="16.5" customHeight="1" s="117">
      <c r="A368" s="27" t="n"/>
      <c r="B368" s="27" t="n"/>
      <c r="C368" s="27" t="n"/>
      <c r="D368" s="27" t="n"/>
      <c r="E368" s="27" t="n"/>
      <c r="F368" s="27" t="n"/>
      <c r="G368" s="27" t="n"/>
      <c r="H368" s="27" t="n"/>
      <c r="I368" s="27" t="n"/>
      <c r="J368" s="27" t="n"/>
      <c r="K368" s="27" t="n"/>
      <c r="L368" s="27" t="n"/>
      <c r="M368" s="27" t="n"/>
      <c r="N368" s="27" t="n"/>
      <c r="O368" s="27" t="n"/>
      <c r="P368" s="27" t="n"/>
      <c r="Q368" s="27" t="n"/>
      <c r="R368" s="27" t="n"/>
      <c r="S368" s="27" t="n"/>
      <c r="T368" s="27" t="n"/>
      <c r="U368" s="27" t="n"/>
      <c r="V368" s="27" t="n"/>
      <c r="W368" s="27" t="n"/>
      <c r="X368" s="27" t="n"/>
      <c r="Y368" s="27" t="n"/>
      <c r="Z368" s="27" t="n"/>
    </row>
    <row r="369" ht="16.5" customHeight="1" s="117">
      <c r="A369" s="27" t="n"/>
      <c r="B369" s="27" t="n"/>
      <c r="C369" s="27" t="n"/>
      <c r="D369" s="27" t="n"/>
      <c r="E369" s="27" t="n"/>
      <c r="F369" s="27" t="n"/>
      <c r="G369" s="27" t="n"/>
      <c r="H369" s="27" t="n"/>
      <c r="I369" s="27" t="n"/>
      <c r="J369" s="27" t="n"/>
      <c r="K369" s="27" t="n"/>
      <c r="L369" s="27" t="n"/>
      <c r="M369" s="27" t="n"/>
      <c r="N369" s="27" t="n"/>
      <c r="O369" s="27" t="n"/>
      <c r="P369" s="27" t="n"/>
      <c r="Q369" s="27" t="n"/>
      <c r="R369" s="27" t="n"/>
      <c r="S369" s="27" t="n"/>
      <c r="T369" s="27" t="n"/>
      <c r="U369" s="27" t="n"/>
      <c r="V369" s="27" t="n"/>
      <c r="W369" s="27" t="n"/>
      <c r="X369" s="27" t="n"/>
      <c r="Y369" s="27" t="n"/>
      <c r="Z369" s="27" t="n"/>
    </row>
    <row r="370" ht="16.5" customHeight="1" s="117">
      <c r="A370" s="27" t="n"/>
      <c r="B370" s="27" t="n"/>
      <c r="C370" s="27" t="n"/>
      <c r="D370" s="27" t="n"/>
      <c r="E370" s="27" t="n"/>
      <c r="F370" s="27" t="n"/>
      <c r="G370" s="27" t="n"/>
      <c r="H370" s="27" t="n"/>
      <c r="I370" s="27" t="n"/>
      <c r="J370" s="27" t="n"/>
      <c r="K370" s="27" t="n"/>
      <c r="L370" s="27" t="n"/>
      <c r="M370" s="27" t="n"/>
      <c r="N370" s="27" t="n"/>
      <c r="O370" s="27" t="n"/>
      <c r="P370" s="27" t="n"/>
      <c r="Q370" s="27" t="n"/>
      <c r="R370" s="27" t="n"/>
      <c r="S370" s="27" t="n"/>
      <c r="T370" s="27" t="n"/>
      <c r="U370" s="27" t="n"/>
      <c r="V370" s="27" t="n"/>
      <c r="W370" s="27" t="n"/>
      <c r="X370" s="27" t="n"/>
      <c r="Y370" s="27" t="n"/>
      <c r="Z370" s="27" t="n"/>
    </row>
    <row r="371" ht="16.5" customHeight="1" s="117">
      <c r="A371" s="27" t="n"/>
      <c r="B371" s="27" t="n"/>
      <c r="C371" s="27" t="n"/>
      <c r="D371" s="27" t="n"/>
      <c r="E371" s="27" t="n"/>
      <c r="F371" s="27" t="n"/>
      <c r="G371" s="27" t="n"/>
      <c r="H371" s="27" t="n"/>
      <c r="I371" s="27" t="n"/>
      <c r="J371" s="27" t="n"/>
      <c r="K371" s="27" t="n"/>
      <c r="L371" s="27" t="n"/>
      <c r="M371" s="27" t="n"/>
      <c r="N371" s="27" t="n"/>
      <c r="O371" s="27" t="n"/>
      <c r="P371" s="27" t="n"/>
      <c r="Q371" s="27" t="n"/>
      <c r="R371" s="27" t="n"/>
      <c r="S371" s="27" t="n"/>
      <c r="T371" s="27" t="n"/>
      <c r="U371" s="27" t="n"/>
      <c r="V371" s="27" t="n"/>
      <c r="W371" s="27" t="n"/>
      <c r="X371" s="27" t="n"/>
      <c r="Y371" s="27" t="n"/>
      <c r="Z371" s="27" t="n"/>
    </row>
    <row r="372" ht="16.5" customHeight="1" s="117">
      <c r="A372" s="27" t="n"/>
      <c r="B372" s="27" t="n"/>
      <c r="C372" s="27" t="n"/>
      <c r="D372" s="27" t="n"/>
      <c r="E372" s="27" t="n"/>
      <c r="F372" s="27" t="n"/>
      <c r="G372" s="27" t="n"/>
      <c r="H372" s="27" t="n"/>
      <c r="I372" s="27" t="n"/>
      <c r="J372" s="27" t="n"/>
      <c r="K372" s="27" t="n"/>
      <c r="L372" s="27" t="n"/>
      <c r="M372" s="27" t="n"/>
      <c r="N372" s="27" t="n"/>
      <c r="O372" s="27" t="n"/>
      <c r="P372" s="27" t="n"/>
      <c r="Q372" s="27" t="n"/>
      <c r="R372" s="27" t="n"/>
      <c r="S372" s="27" t="n"/>
      <c r="T372" s="27" t="n"/>
      <c r="U372" s="27" t="n"/>
      <c r="V372" s="27" t="n"/>
      <c r="W372" s="27" t="n"/>
      <c r="X372" s="27" t="n"/>
      <c r="Y372" s="27" t="n"/>
      <c r="Z372" s="27" t="n"/>
    </row>
    <row r="373" ht="16.5" customHeight="1" s="117">
      <c r="A373" s="27" t="n"/>
      <c r="B373" s="27" t="n"/>
      <c r="C373" s="27" t="n"/>
      <c r="D373" s="27" t="n"/>
      <c r="E373" s="27" t="n"/>
      <c r="F373" s="27" t="n"/>
      <c r="G373" s="27" t="n"/>
      <c r="H373" s="27" t="n"/>
      <c r="I373" s="27" t="n"/>
      <c r="J373" s="27" t="n"/>
      <c r="K373" s="27" t="n"/>
      <c r="L373" s="27" t="n"/>
      <c r="M373" s="27" t="n"/>
      <c r="N373" s="27" t="n"/>
      <c r="O373" s="27" t="n"/>
      <c r="P373" s="27" t="n"/>
      <c r="Q373" s="27" t="n"/>
      <c r="R373" s="27" t="n"/>
      <c r="S373" s="27" t="n"/>
      <c r="T373" s="27" t="n"/>
      <c r="U373" s="27" t="n"/>
      <c r="V373" s="27" t="n"/>
      <c r="W373" s="27" t="n"/>
      <c r="X373" s="27" t="n"/>
      <c r="Y373" s="27" t="n"/>
      <c r="Z373" s="27" t="n"/>
    </row>
    <row r="374" ht="16.5" customHeight="1" s="117">
      <c r="A374" s="27" t="n"/>
      <c r="B374" s="27" t="n"/>
      <c r="C374" s="27" t="n"/>
      <c r="D374" s="27" t="n"/>
      <c r="E374" s="27" t="n"/>
      <c r="F374" s="27" t="n"/>
      <c r="G374" s="27" t="n"/>
      <c r="H374" s="27" t="n"/>
      <c r="I374" s="27" t="n"/>
      <c r="J374" s="27" t="n"/>
      <c r="K374" s="27" t="n"/>
      <c r="L374" s="27" t="n"/>
      <c r="M374" s="27" t="n"/>
      <c r="N374" s="27" t="n"/>
      <c r="O374" s="27" t="n"/>
      <c r="P374" s="27" t="n"/>
      <c r="Q374" s="27" t="n"/>
      <c r="R374" s="27" t="n"/>
      <c r="S374" s="27" t="n"/>
      <c r="T374" s="27" t="n"/>
      <c r="U374" s="27" t="n"/>
      <c r="V374" s="27" t="n"/>
      <c r="W374" s="27" t="n"/>
      <c r="X374" s="27" t="n"/>
      <c r="Y374" s="27" t="n"/>
      <c r="Z374" s="27" t="n"/>
    </row>
    <row r="375" ht="16.5" customHeight="1" s="117">
      <c r="A375" s="27" t="n"/>
      <c r="B375" s="27" t="n"/>
      <c r="C375" s="27" t="n"/>
      <c r="D375" s="27" t="n"/>
      <c r="E375" s="27" t="n"/>
      <c r="F375" s="27" t="n"/>
      <c r="G375" s="27" t="n"/>
      <c r="H375" s="27" t="n"/>
      <c r="I375" s="27" t="n"/>
      <c r="J375" s="27" t="n"/>
      <c r="K375" s="27" t="n"/>
      <c r="L375" s="27" t="n"/>
      <c r="M375" s="27" t="n"/>
      <c r="N375" s="27" t="n"/>
      <c r="O375" s="27" t="n"/>
      <c r="P375" s="27" t="n"/>
      <c r="Q375" s="27" t="n"/>
      <c r="R375" s="27" t="n"/>
      <c r="S375" s="27" t="n"/>
      <c r="T375" s="27" t="n"/>
      <c r="U375" s="27" t="n"/>
      <c r="V375" s="27" t="n"/>
      <c r="W375" s="27" t="n"/>
      <c r="X375" s="27" t="n"/>
      <c r="Y375" s="27" t="n"/>
      <c r="Z375" s="27" t="n"/>
    </row>
    <row r="376" ht="16.5" customHeight="1" s="117">
      <c r="A376" s="27" t="n"/>
      <c r="B376" s="27" t="n"/>
      <c r="C376" s="27" t="n"/>
      <c r="D376" s="27" t="n"/>
      <c r="E376" s="27" t="n"/>
      <c r="F376" s="27" t="n"/>
      <c r="G376" s="27" t="n"/>
      <c r="H376" s="27" t="n"/>
      <c r="I376" s="27" t="n"/>
      <c r="J376" s="27" t="n"/>
      <c r="K376" s="27" t="n"/>
      <c r="L376" s="27" t="n"/>
      <c r="M376" s="27" t="n"/>
      <c r="N376" s="27" t="n"/>
      <c r="O376" s="27" t="n"/>
      <c r="P376" s="27" t="n"/>
      <c r="Q376" s="27" t="n"/>
      <c r="R376" s="27" t="n"/>
      <c r="S376" s="27" t="n"/>
      <c r="T376" s="27" t="n"/>
      <c r="U376" s="27" t="n"/>
      <c r="V376" s="27" t="n"/>
      <c r="W376" s="27" t="n"/>
      <c r="X376" s="27" t="n"/>
      <c r="Y376" s="27" t="n"/>
      <c r="Z376" s="27" t="n"/>
    </row>
    <row r="377" ht="16.5" customHeight="1" s="117">
      <c r="A377" s="27" t="n"/>
      <c r="B377" s="27" t="n"/>
      <c r="C377" s="27" t="n"/>
      <c r="D377" s="27" t="n"/>
      <c r="E377" s="27" t="n"/>
      <c r="F377" s="27" t="n"/>
      <c r="G377" s="27" t="n"/>
      <c r="H377" s="27" t="n"/>
      <c r="I377" s="27" t="n"/>
      <c r="J377" s="27" t="n"/>
      <c r="K377" s="27" t="n"/>
      <c r="L377" s="27" t="n"/>
      <c r="M377" s="27" t="n"/>
      <c r="N377" s="27" t="n"/>
      <c r="O377" s="27" t="n"/>
      <c r="P377" s="27" t="n"/>
      <c r="Q377" s="27" t="n"/>
      <c r="R377" s="27" t="n"/>
      <c r="S377" s="27" t="n"/>
      <c r="T377" s="27" t="n"/>
      <c r="U377" s="27" t="n"/>
      <c r="V377" s="27" t="n"/>
      <c r="W377" s="27" t="n"/>
      <c r="X377" s="27" t="n"/>
      <c r="Y377" s="27" t="n"/>
      <c r="Z377" s="27" t="n"/>
    </row>
    <row r="378" ht="16.5" customHeight="1" s="117">
      <c r="A378" s="27" t="n"/>
      <c r="B378" s="27" t="n"/>
      <c r="C378" s="27" t="n"/>
      <c r="D378" s="27" t="n"/>
      <c r="E378" s="27" t="n"/>
      <c r="F378" s="27" t="n"/>
      <c r="G378" s="27" t="n"/>
      <c r="H378" s="27" t="n"/>
      <c r="I378" s="27" t="n"/>
      <c r="J378" s="27" t="n"/>
      <c r="K378" s="27" t="n"/>
      <c r="L378" s="27" t="n"/>
      <c r="M378" s="27" t="n"/>
      <c r="N378" s="27" t="n"/>
      <c r="O378" s="27" t="n"/>
      <c r="P378" s="27" t="n"/>
      <c r="Q378" s="27" t="n"/>
      <c r="R378" s="27" t="n"/>
      <c r="S378" s="27" t="n"/>
      <c r="T378" s="27" t="n"/>
      <c r="U378" s="27" t="n"/>
      <c r="V378" s="27" t="n"/>
      <c r="W378" s="27" t="n"/>
      <c r="X378" s="27" t="n"/>
      <c r="Y378" s="27" t="n"/>
      <c r="Z378" s="27" t="n"/>
    </row>
    <row r="379" ht="16.5" customHeight="1" s="117">
      <c r="A379" s="27" t="n"/>
      <c r="B379" s="27" t="n"/>
      <c r="C379" s="27" t="n"/>
      <c r="D379" s="27" t="n"/>
      <c r="E379" s="27" t="n"/>
      <c r="F379" s="27" t="n"/>
      <c r="G379" s="27" t="n"/>
      <c r="H379" s="27" t="n"/>
      <c r="I379" s="27" t="n"/>
      <c r="J379" s="27" t="n"/>
      <c r="K379" s="27" t="n"/>
      <c r="L379" s="27" t="n"/>
      <c r="M379" s="27" t="n"/>
      <c r="N379" s="27" t="n"/>
      <c r="O379" s="27" t="n"/>
      <c r="P379" s="27" t="n"/>
      <c r="Q379" s="27" t="n"/>
      <c r="R379" s="27" t="n"/>
      <c r="S379" s="27" t="n"/>
      <c r="T379" s="27" t="n"/>
      <c r="U379" s="27" t="n"/>
      <c r="V379" s="27" t="n"/>
      <c r="W379" s="27" t="n"/>
      <c r="X379" s="27" t="n"/>
      <c r="Y379" s="27" t="n"/>
      <c r="Z379" s="27" t="n"/>
    </row>
    <row r="380" ht="16.5" customHeight="1" s="117">
      <c r="A380" s="27" t="n"/>
      <c r="B380" s="27" t="n"/>
      <c r="C380" s="27" t="n"/>
      <c r="D380" s="27" t="n"/>
      <c r="E380" s="27" t="n"/>
      <c r="F380" s="27" t="n"/>
      <c r="G380" s="27" t="n"/>
      <c r="H380" s="27" t="n"/>
      <c r="I380" s="27" t="n"/>
      <c r="J380" s="27" t="n"/>
      <c r="K380" s="27" t="n"/>
      <c r="L380" s="27" t="n"/>
      <c r="M380" s="27" t="n"/>
      <c r="N380" s="27" t="n"/>
      <c r="O380" s="27" t="n"/>
      <c r="P380" s="27" t="n"/>
      <c r="Q380" s="27" t="n"/>
      <c r="R380" s="27" t="n"/>
      <c r="S380" s="27" t="n"/>
      <c r="T380" s="27" t="n"/>
      <c r="U380" s="27" t="n"/>
      <c r="V380" s="27" t="n"/>
      <c r="W380" s="27" t="n"/>
      <c r="X380" s="27" t="n"/>
      <c r="Y380" s="27" t="n"/>
      <c r="Z380" s="27" t="n"/>
    </row>
    <row r="381" ht="16.5" customHeight="1" s="117">
      <c r="A381" s="27" t="n"/>
      <c r="B381" s="27" t="n"/>
      <c r="C381" s="27" t="n"/>
      <c r="D381" s="27" t="n"/>
      <c r="E381" s="27" t="n"/>
      <c r="F381" s="27" t="n"/>
      <c r="G381" s="27" t="n"/>
      <c r="H381" s="27" t="n"/>
      <c r="I381" s="27" t="n"/>
      <c r="J381" s="27" t="n"/>
      <c r="K381" s="27" t="n"/>
      <c r="L381" s="27" t="n"/>
      <c r="M381" s="27" t="n"/>
      <c r="N381" s="27" t="n"/>
      <c r="O381" s="27" t="n"/>
      <c r="P381" s="27" t="n"/>
      <c r="Q381" s="27" t="n"/>
      <c r="R381" s="27" t="n"/>
      <c r="S381" s="27" t="n"/>
      <c r="T381" s="27" t="n"/>
      <c r="U381" s="27" t="n"/>
      <c r="V381" s="27" t="n"/>
      <c r="W381" s="27" t="n"/>
      <c r="X381" s="27" t="n"/>
      <c r="Y381" s="27" t="n"/>
      <c r="Z381" s="27" t="n"/>
    </row>
    <row r="382" ht="16.5" customHeight="1" s="117">
      <c r="A382" s="27" t="n"/>
      <c r="B382" s="27" t="n"/>
      <c r="C382" s="27" t="n"/>
      <c r="D382" s="27" t="n"/>
      <c r="E382" s="27" t="n"/>
      <c r="F382" s="27" t="n"/>
      <c r="G382" s="27" t="n"/>
      <c r="H382" s="27" t="n"/>
      <c r="I382" s="27" t="n"/>
      <c r="J382" s="27" t="n"/>
      <c r="K382" s="27" t="n"/>
      <c r="L382" s="27" t="n"/>
      <c r="M382" s="27" t="n"/>
      <c r="N382" s="27" t="n"/>
      <c r="O382" s="27" t="n"/>
      <c r="P382" s="27" t="n"/>
      <c r="Q382" s="27" t="n"/>
      <c r="R382" s="27" t="n"/>
      <c r="S382" s="27" t="n"/>
      <c r="T382" s="27" t="n"/>
      <c r="U382" s="27" t="n"/>
      <c r="V382" s="27" t="n"/>
      <c r="W382" s="27" t="n"/>
      <c r="X382" s="27" t="n"/>
      <c r="Y382" s="27" t="n"/>
      <c r="Z382" s="27" t="n"/>
    </row>
    <row r="383" ht="16.5" customHeight="1" s="117">
      <c r="A383" s="27" t="n"/>
      <c r="B383" s="27" t="n"/>
      <c r="C383" s="27" t="n"/>
      <c r="D383" s="27" t="n"/>
      <c r="E383" s="27" t="n"/>
      <c r="F383" s="27" t="n"/>
      <c r="G383" s="27" t="n"/>
      <c r="H383" s="27" t="n"/>
      <c r="I383" s="27" t="n"/>
      <c r="J383" s="27" t="n"/>
      <c r="K383" s="27" t="n"/>
      <c r="L383" s="27" t="n"/>
      <c r="M383" s="27" t="n"/>
      <c r="N383" s="27" t="n"/>
      <c r="O383" s="27" t="n"/>
      <c r="P383" s="27" t="n"/>
      <c r="Q383" s="27" t="n"/>
      <c r="R383" s="27" t="n"/>
      <c r="S383" s="27" t="n"/>
      <c r="T383" s="27" t="n"/>
      <c r="U383" s="27" t="n"/>
      <c r="V383" s="27" t="n"/>
      <c r="W383" s="27" t="n"/>
      <c r="X383" s="27" t="n"/>
      <c r="Y383" s="27" t="n"/>
      <c r="Z383" s="27" t="n"/>
    </row>
    <row r="384" ht="16.5" customHeight="1" s="117">
      <c r="A384" s="27" t="n"/>
      <c r="B384" s="27" t="n"/>
      <c r="C384" s="27" t="n"/>
      <c r="D384" s="27" t="n"/>
      <c r="E384" s="27" t="n"/>
      <c r="F384" s="27" t="n"/>
      <c r="G384" s="27" t="n"/>
      <c r="H384" s="27" t="n"/>
      <c r="I384" s="27" t="n"/>
      <c r="J384" s="27" t="n"/>
      <c r="K384" s="27" t="n"/>
      <c r="L384" s="27" t="n"/>
      <c r="M384" s="27" t="n"/>
      <c r="N384" s="27" t="n"/>
      <c r="O384" s="27" t="n"/>
      <c r="P384" s="27" t="n"/>
      <c r="Q384" s="27" t="n"/>
      <c r="R384" s="27" t="n"/>
      <c r="S384" s="27" t="n"/>
      <c r="T384" s="27" t="n"/>
      <c r="U384" s="27" t="n"/>
      <c r="V384" s="27" t="n"/>
      <c r="W384" s="27" t="n"/>
      <c r="X384" s="27" t="n"/>
      <c r="Y384" s="27" t="n"/>
      <c r="Z384" s="27" t="n"/>
    </row>
    <row r="385" ht="16.5" customHeight="1" s="117">
      <c r="A385" s="27" t="n"/>
      <c r="B385" s="27" t="n"/>
      <c r="C385" s="27" t="n"/>
      <c r="D385" s="27" t="n"/>
      <c r="E385" s="27" t="n"/>
      <c r="F385" s="27" t="n"/>
      <c r="G385" s="27" t="n"/>
      <c r="H385" s="27" t="n"/>
      <c r="I385" s="27" t="n"/>
      <c r="J385" s="27" t="n"/>
      <c r="K385" s="27" t="n"/>
      <c r="L385" s="27" t="n"/>
      <c r="M385" s="27" t="n"/>
      <c r="N385" s="27" t="n"/>
      <c r="O385" s="27" t="n"/>
      <c r="P385" s="27" t="n"/>
      <c r="Q385" s="27" t="n"/>
      <c r="R385" s="27" t="n"/>
      <c r="S385" s="27" t="n"/>
      <c r="T385" s="27" t="n"/>
      <c r="U385" s="27" t="n"/>
      <c r="V385" s="27" t="n"/>
      <c r="W385" s="27" t="n"/>
      <c r="X385" s="27" t="n"/>
      <c r="Y385" s="27" t="n"/>
      <c r="Z385" s="27" t="n"/>
    </row>
    <row r="386" ht="16.5" customHeight="1" s="117">
      <c r="A386" s="27" t="n"/>
      <c r="B386" s="27" t="n"/>
      <c r="C386" s="27" t="n"/>
      <c r="D386" s="27" t="n"/>
      <c r="E386" s="27" t="n"/>
      <c r="F386" s="27" t="n"/>
      <c r="G386" s="27" t="n"/>
      <c r="H386" s="27" t="n"/>
      <c r="I386" s="27" t="n"/>
      <c r="J386" s="27" t="n"/>
      <c r="K386" s="27" t="n"/>
      <c r="L386" s="27" t="n"/>
      <c r="M386" s="27" t="n"/>
      <c r="N386" s="27" t="n"/>
      <c r="O386" s="27" t="n"/>
      <c r="P386" s="27" t="n"/>
      <c r="Q386" s="27" t="n"/>
      <c r="R386" s="27" t="n"/>
      <c r="S386" s="27" t="n"/>
      <c r="T386" s="27" t="n"/>
      <c r="U386" s="27" t="n"/>
      <c r="V386" s="27" t="n"/>
      <c r="W386" s="27" t="n"/>
      <c r="X386" s="27" t="n"/>
      <c r="Y386" s="27" t="n"/>
      <c r="Z386" s="27" t="n"/>
    </row>
    <row r="387" ht="16.5" customHeight="1" s="117">
      <c r="A387" s="27" t="n"/>
      <c r="B387" s="27" t="n"/>
      <c r="C387" s="27" t="n"/>
      <c r="D387" s="27" t="n"/>
      <c r="E387" s="27" t="n"/>
      <c r="F387" s="27" t="n"/>
      <c r="G387" s="27" t="n"/>
      <c r="H387" s="27" t="n"/>
      <c r="I387" s="27" t="n"/>
      <c r="J387" s="27" t="n"/>
      <c r="K387" s="27" t="n"/>
      <c r="L387" s="27" t="n"/>
      <c r="M387" s="27" t="n"/>
      <c r="N387" s="27" t="n"/>
      <c r="O387" s="27" t="n"/>
      <c r="P387" s="27" t="n"/>
      <c r="Q387" s="27" t="n"/>
      <c r="R387" s="27" t="n"/>
      <c r="S387" s="27" t="n"/>
      <c r="T387" s="27" t="n"/>
      <c r="U387" s="27" t="n"/>
      <c r="V387" s="27" t="n"/>
      <c r="W387" s="27" t="n"/>
      <c r="X387" s="27" t="n"/>
      <c r="Y387" s="27" t="n"/>
      <c r="Z387" s="27" t="n"/>
    </row>
    <row r="388" ht="16.5" customHeight="1" s="117">
      <c r="A388" s="27" t="n"/>
      <c r="B388" s="27" t="n"/>
      <c r="C388" s="27" t="n"/>
      <c r="D388" s="27" t="n"/>
      <c r="E388" s="27" t="n"/>
      <c r="F388" s="27" t="n"/>
      <c r="G388" s="27" t="n"/>
      <c r="H388" s="27" t="n"/>
      <c r="I388" s="27" t="n"/>
      <c r="J388" s="27" t="n"/>
      <c r="K388" s="27" t="n"/>
      <c r="L388" s="27" t="n"/>
      <c r="M388" s="27" t="n"/>
      <c r="N388" s="27" t="n"/>
      <c r="O388" s="27" t="n"/>
      <c r="P388" s="27" t="n"/>
      <c r="Q388" s="27" t="n"/>
      <c r="R388" s="27" t="n"/>
      <c r="S388" s="27" t="n"/>
      <c r="T388" s="27" t="n"/>
      <c r="U388" s="27" t="n"/>
      <c r="V388" s="27" t="n"/>
      <c r="W388" s="27" t="n"/>
      <c r="X388" s="27" t="n"/>
      <c r="Y388" s="27" t="n"/>
      <c r="Z388" s="27" t="n"/>
    </row>
    <row r="389" ht="16.5" customHeight="1" s="117">
      <c r="A389" s="27" t="n"/>
      <c r="B389" s="27" t="n"/>
      <c r="C389" s="27" t="n"/>
      <c r="D389" s="27" t="n"/>
      <c r="E389" s="27" t="n"/>
      <c r="F389" s="27" t="n"/>
      <c r="G389" s="27" t="n"/>
      <c r="H389" s="27" t="n"/>
      <c r="I389" s="27" t="n"/>
      <c r="J389" s="27" t="n"/>
      <c r="K389" s="27" t="n"/>
      <c r="L389" s="27" t="n"/>
      <c r="M389" s="27" t="n"/>
      <c r="N389" s="27" t="n"/>
      <c r="O389" s="27" t="n"/>
      <c r="P389" s="27" t="n"/>
      <c r="Q389" s="27" t="n"/>
      <c r="R389" s="27" t="n"/>
      <c r="S389" s="27" t="n"/>
      <c r="T389" s="27" t="n"/>
      <c r="U389" s="27" t="n"/>
      <c r="V389" s="27" t="n"/>
      <c r="W389" s="27" t="n"/>
      <c r="X389" s="27" t="n"/>
      <c r="Y389" s="27" t="n"/>
      <c r="Z389" s="27" t="n"/>
    </row>
    <row r="390" ht="16.5" customHeight="1" s="117">
      <c r="A390" s="27" t="n"/>
      <c r="B390" s="27" t="n"/>
      <c r="C390" s="27" t="n"/>
      <c r="D390" s="27" t="n"/>
      <c r="E390" s="27" t="n"/>
      <c r="F390" s="27" t="n"/>
      <c r="G390" s="27" t="n"/>
      <c r="H390" s="27" t="n"/>
      <c r="I390" s="27" t="n"/>
      <c r="J390" s="27" t="n"/>
      <c r="K390" s="27" t="n"/>
      <c r="L390" s="27" t="n"/>
      <c r="M390" s="27" t="n"/>
      <c r="N390" s="27" t="n"/>
      <c r="O390" s="27" t="n"/>
      <c r="P390" s="27" t="n"/>
      <c r="Q390" s="27" t="n"/>
      <c r="R390" s="27" t="n"/>
      <c r="S390" s="27" t="n"/>
      <c r="T390" s="27" t="n"/>
      <c r="U390" s="27" t="n"/>
      <c r="V390" s="27" t="n"/>
      <c r="W390" s="27" t="n"/>
      <c r="X390" s="27" t="n"/>
      <c r="Y390" s="27" t="n"/>
      <c r="Z390" s="27" t="n"/>
    </row>
    <row r="391" ht="16.5" customHeight="1" s="117">
      <c r="A391" s="27" t="n"/>
      <c r="B391" s="27" t="n"/>
      <c r="C391" s="27" t="n"/>
      <c r="D391" s="27" t="n"/>
      <c r="E391" s="27" t="n"/>
      <c r="F391" s="27" t="n"/>
      <c r="G391" s="27" t="n"/>
      <c r="H391" s="27" t="n"/>
      <c r="I391" s="27" t="n"/>
      <c r="J391" s="27" t="n"/>
      <c r="K391" s="27" t="n"/>
      <c r="L391" s="27" t="n"/>
      <c r="M391" s="27" t="n"/>
      <c r="N391" s="27" t="n"/>
      <c r="O391" s="27" t="n"/>
      <c r="P391" s="27" t="n"/>
      <c r="Q391" s="27" t="n"/>
      <c r="R391" s="27" t="n"/>
      <c r="S391" s="27" t="n"/>
      <c r="T391" s="27" t="n"/>
      <c r="U391" s="27" t="n"/>
      <c r="V391" s="27" t="n"/>
      <c r="W391" s="27" t="n"/>
      <c r="X391" s="27" t="n"/>
      <c r="Y391" s="27" t="n"/>
      <c r="Z391" s="27" t="n"/>
    </row>
    <row r="392" ht="16.5" customHeight="1" s="117">
      <c r="A392" s="27" t="n"/>
      <c r="B392" s="27" t="n"/>
      <c r="C392" s="27" t="n"/>
      <c r="D392" s="27" t="n"/>
      <c r="E392" s="27" t="n"/>
      <c r="F392" s="27" t="n"/>
      <c r="G392" s="27" t="n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n"/>
      <c r="R392" s="27" t="n"/>
      <c r="S392" s="27" t="n"/>
      <c r="T392" s="27" t="n"/>
      <c r="U392" s="27" t="n"/>
      <c r="V392" s="27" t="n"/>
      <c r="W392" s="27" t="n"/>
      <c r="X392" s="27" t="n"/>
      <c r="Y392" s="27" t="n"/>
      <c r="Z392" s="27" t="n"/>
    </row>
    <row r="393" ht="16.5" customHeight="1" s="117">
      <c r="A393" s="27" t="n"/>
      <c r="B393" s="27" t="n"/>
      <c r="C393" s="27" t="n"/>
      <c r="D393" s="27" t="n"/>
      <c r="E393" s="27" t="n"/>
      <c r="F393" s="27" t="n"/>
      <c r="G393" s="27" t="n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n"/>
      <c r="R393" s="27" t="n"/>
      <c r="S393" s="27" t="n"/>
      <c r="T393" s="27" t="n"/>
      <c r="U393" s="27" t="n"/>
      <c r="V393" s="27" t="n"/>
      <c r="W393" s="27" t="n"/>
      <c r="X393" s="27" t="n"/>
      <c r="Y393" s="27" t="n"/>
      <c r="Z393" s="27" t="n"/>
    </row>
    <row r="394" ht="16.5" customHeight="1" s="117">
      <c r="A394" s="27" t="n"/>
      <c r="B394" s="27" t="n"/>
      <c r="C394" s="27" t="n"/>
      <c r="D394" s="27" t="n"/>
      <c r="E394" s="27" t="n"/>
      <c r="F394" s="27" t="n"/>
      <c r="G394" s="27" t="n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n"/>
      <c r="R394" s="27" t="n"/>
      <c r="S394" s="27" t="n"/>
      <c r="T394" s="27" t="n"/>
      <c r="U394" s="27" t="n"/>
      <c r="V394" s="27" t="n"/>
      <c r="W394" s="27" t="n"/>
      <c r="X394" s="27" t="n"/>
      <c r="Y394" s="27" t="n"/>
      <c r="Z394" s="27" t="n"/>
    </row>
    <row r="395" ht="16.5" customHeight="1" s="117">
      <c r="A395" s="27" t="n"/>
      <c r="B395" s="27" t="n"/>
      <c r="C395" s="27" t="n"/>
      <c r="D395" s="27" t="n"/>
      <c r="E395" s="27" t="n"/>
      <c r="F395" s="27" t="n"/>
      <c r="G395" s="27" t="n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n"/>
      <c r="R395" s="27" t="n"/>
      <c r="S395" s="27" t="n"/>
      <c r="T395" s="27" t="n"/>
      <c r="U395" s="27" t="n"/>
      <c r="V395" s="27" t="n"/>
      <c r="W395" s="27" t="n"/>
      <c r="X395" s="27" t="n"/>
      <c r="Y395" s="27" t="n"/>
      <c r="Z395" s="27" t="n"/>
    </row>
    <row r="396" ht="16.5" customHeight="1" s="117">
      <c r="A396" s="27" t="n"/>
      <c r="B396" s="27" t="n"/>
      <c r="C396" s="27" t="n"/>
      <c r="D396" s="27" t="n"/>
      <c r="E396" s="27" t="n"/>
      <c r="F396" s="27" t="n"/>
      <c r="G396" s="27" t="n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n"/>
      <c r="R396" s="27" t="n"/>
      <c r="S396" s="27" t="n"/>
      <c r="T396" s="27" t="n"/>
      <c r="U396" s="27" t="n"/>
      <c r="V396" s="27" t="n"/>
      <c r="W396" s="27" t="n"/>
      <c r="X396" s="27" t="n"/>
      <c r="Y396" s="27" t="n"/>
      <c r="Z396" s="27" t="n"/>
    </row>
    <row r="397" ht="16.5" customHeight="1" s="117">
      <c r="A397" s="27" t="n"/>
      <c r="B397" s="27" t="n"/>
      <c r="C397" s="27" t="n"/>
      <c r="D397" s="27" t="n"/>
      <c r="E397" s="27" t="n"/>
      <c r="F397" s="27" t="n"/>
      <c r="G397" s="27" t="n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n"/>
      <c r="R397" s="27" t="n"/>
      <c r="S397" s="27" t="n"/>
      <c r="T397" s="27" t="n"/>
      <c r="U397" s="27" t="n"/>
      <c r="V397" s="27" t="n"/>
      <c r="W397" s="27" t="n"/>
      <c r="X397" s="27" t="n"/>
      <c r="Y397" s="27" t="n"/>
      <c r="Z397" s="27" t="n"/>
    </row>
    <row r="398" ht="16.5" customHeight="1" s="117">
      <c r="A398" s="27" t="n"/>
      <c r="B398" s="27" t="n"/>
      <c r="C398" s="27" t="n"/>
      <c r="D398" s="27" t="n"/>
      <c r="E398" s="27" t="n"/>
      <c r="F398" s="27" t="n"/>
      <c r="G398" s="27" t="n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n"/>
      <c r="R398" s="27" t="n"/>
      <c r="S398" s="27" t="n"/>
      <c r="T398" s="27" t="n"/>
      <c r="U398" s="27" t="n"/>
      <c r="V398" s="27" t="n"/>
      <c r="W398" s="27" t="n"/>
      <c r="X398" s="27" t="n"/>
      <c r="Y398" s="27" t="n"/>
      <c r="Z398" s="27" t="n"/>
    </row>
    <row r="399" ht="16.5" customHeight="1" s="117">
      <c r="A399" s="27" t="n"/>
      <c r="B399" s="27" t="n"/>
      <c r="C399" s="27" t="n"/>
      <c r="D399" s="27" t="n"/>
      <c r="E399" s="27" t="n"/>
      <c r="F399" s="27" t="n"/>
      <c r="G399" s="27" t="n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n"/>
      <c r="R399" s="27" t="n"/>
      <c r="S399" s="27" t="n"/>
      <c r="T399" s="27" t="n"/>
      <c r="U399" s="27" t="n"/>
      <c r="V399" s="27" t="n"/>
      <c r="W399" s="27" t="n"/>
      <c r="X399" s="27" t="n"/>
      <c r="Y399" s="27" t="n"/>
      <c r="Z399" s="27" t="n"/>
    </row>
    <row r="400" ht="16.5" customHeight="1" s="117">
      <c r="A400" s="27" t="n"/>
      <c r="B400" s="27" t="n"/>
      <c r="C400" s="27" t="n"/>
      <c r="D400" s="27" t="n"/>
      <c r="E400" s="27" t="n"/>
      <c r="F400" s="27" t="n"/>
      <c r="G400" s="27" t="n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n"/>
      <c r="R400" s="27" t="n"/>
      <c r="S400" s="27" t="n"/>
      <c r="T400" s="27" t="n"/>
      <c r="U400" s="27" t="n"/>
      <c r="V400" s="27" t="n"/>
      <c r="W400" s="27" t="n"/>
      <c r="X400" s="27" t="n"/>
      <c r="Y400" s="27" t="n"/>
      <c r="Z400" s="27" t="n"/>
    </row>
    <row r="401" ht="16.5" customHeight="1" s="117">
      <c r="A401" s="27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  <c r="T401" s="27" t="n"/>
      <c r="U401" s="27" t="n"/>
      <c r="V401" s="27" t="n"/>
      <c r="W401" s="27" t="n"/>
      <c r="X401" s="27" t="n"/>
      <c r="Y401" s="27" t="n"/>
      <c r="Z401" s="27" t="n"/>
    </row>
    <row r="402" ht="16.5" customHeight="1" s="117">
      <c r="A402" s="27" t="n"/>
      <c r="B402" s="27" t="n"/>
      <c r="C402" s="27" t="n"/>
      <c r="D402" s="27" t="n"/>
      <c r="E402" s="27" t="n"/>
      <c r="F402" s="27" t="n"/>
      <c r="G402" s="27" t="n"/>
      <c r="H402" s="27" t="n"/>
      <c r="I402" s="27" t="n"/>
      <c r="J402" s="27" t="n"/>
      <c r="K402" s="27" t="n"/>
      <c r="L402" s="27" t="n"/>
      <c r="M402" s="27" t="n"/>
      <c r="N402" s="27" t="n"/>
      <c r="O402" s="27" t="n"/>
      <c r="P402" s="27" t="n"/>
      <c r="Q402" s="27" t="n"/>
      <c r="R402" s="27" t="n"/>
      <c r="S402" s="27" t="n"/>
      <c r="T402" s="27" t="n"/>
      <c r="U402" s="27" t="n"/>
      <c r="V402" s="27" t="n"/>
      <c r="W402" s="27" t="n"/>
      <c r="X402" s="27" t="n"/>
      <c r="Y402" s="27" t="n"/>
      <c r="Z402" s="27" t="n"/>
    </row>
    <row r="403" ht="16.5" customHeight="1" s="117">
      <c r="A403" s="27" t="n"/>
      <c r="B403" s="27" t="n"/>
      <c r="C403" s="27" t="n"/>
      <c r="D403" s="27" t="n"/>
      <c r="E403" s="27" t="n"/>
      <c r="F403" s="27" t="n"/>
      <c r="G403" s="27" t="n"/>
      <c r="H403" s="27" t="n"/>
      <c r="I403" s="27" t="n"/>
      <c r="J403" s="27" t="n"/>
      <c r="K403" s="27" t="n"/>
      <c r="L403" s="27" t="n"/>
      <c r="M403" s="27" t="n"/>
      <c r="N403" s="27" t="n"/>
      <c r="O403" s="27" t="n"/>
      <c r="P403" s="27" t="n"/>
      <c r="Q403" s="27" t="n"/>
      <c r="R403" s="27" t="n"/>
      <c r="S403" s="27" t="n"/>
      <c r="T403" s="27" t="n"/>
      <c r="U403" s="27" t="n"/>
      <c r="V403" s="27" t="n"/>
      <c r="W403" s="27" t="n"/>
      <c r="X403" s="27" t="n"/>
      <c r="Y403" s="27" t="n"/>
      <c r="Z403" s="27" t="n"/>
    </row>
    <row r="404" ht="16.5" customHeight="1" s="117">
      <c r="A404" s="27" t="n"/>
      <c r="B404" s="27" t="n"/>
      <c r="C404" s="27" t="n"/>
      <c r="D404" s="27" t="n"/>
      <c r="E404" s="27" t="n"/>
      <c r="F404" s="27" t="n"/>
      <c r="G404" s="27" t="n"/>
      <c r="H404" s="27" t="n"/>
      <c r="I404" s="27" t="n"/>
      <c r="J404" s="27" t="n"/>
      <c r="K404" s="27" t="n"/>
      <c r="L404" s="27" t="n"/>
      <c r="M404" s="27" t="n"/>
      <c r="N404" s="27" t="n"/>
      <c r="O404" s="27" t="n"/>
      <c r="P404" s="27" t="n"/>
      <c r="Q404" s="27" t="n"/>
      <c r="R404" s="27" t="n"/>
      <c r="S404" s="27" t="n"/>
      <c r="T404" s="27" t="n"/>
      <c r="U404" s="27" t="n"/>
      <c r="V404" s="27" t="n"/>
      <c r="W404" s="27" t="n"/>
      <c r="X404" s="27" t="n"/>
      <c r="Y404" s="27" t="n"/>
      <c r="Z404" s="27" t="n"/>
    </row>
    <row r="405" ht="16.5" customHeight="1" s="117">
      <c r="A405" s="27" t="n"/>
      <c r="B405" s="27" t="n"/>
      <c r="C405" s="27" t="n"/>
      <c r="D405" s="27" t="n"/>
      <c r="E405" s="27" t="n"/>
      <c r="F405" s="27" t="n"/>
      <c r="G405" s="27" t="n"/>
      <c r="H405" s="27" t="n"/>
      <c r="I405" s="27" t="n"/>
      <c r="J405" s="27" t="n"/>
      <c r="K405" s="27" t="n"/>
      <c r="L405" s="27" t="n"/>
      <c r="M405" s="27" t="n"/>
      <c r="N405" s="27" t="n"/>
      <c r="O405" s="27" t="n"/>
      <c r="P405" s="27" t="n"/>
      <c r="Q405" s="27" t="n"/>
      <c r="R405" s="27" t="n"/>
      <c r="S405" s="27" t="n"/>
      <c r="T405" s="27" t="n"/>
      <c r="U405" s="27" t="n"/>
      <c r="V405" s="27" t="n"/>
      <c r="W405" s="27" t="n"/>
      <c r="X405" s="27" t="n"/>
      <c r="Y405" s="27" t="n"/>
      <c r="Z405" s="27" t="n"/>
    </row>
    <row r="406" ht="16.5" customHeight="1" s="117">
      <c r="A406" s="27" t="n"/>
      <c r="B406" s="27" t="n"/>
      <c r="C406" s="27" t="n"/>
      <c r="D406" s="27" t="n"/>
      <c r="E406" s="27" t="n"/>
      <c r="F406" s="27" t="n"/>
      <c r="G406" s="27" t="n"/>
      <c r="H406" s="27" t="n"/>
      <c r="I406" s="27" t="n"/>
      <c r="J406" s="27" t="n"/>
      <c r="K406" s="27" t="n"/>
      <c r="L406" s="27" t="n"/>
      <c r="M406" s="27" t="n"/>
      <c r="N406" s="27" t="n"/>
      <c r="O406" s="27" t="n"/>
      <c r="P406" s="27" t="n"/>
      <c r="Q406" s="27" t="n"/>
      <c r="R406" s="27" t="n"/>
      <c r="S406" s="27" t="n"/>
      <c r="T406" s="27" t="n"/>
      <c r="U406" s="27" t="n"/>
      <c r="V406" s="27" t="n"/>
      <c r="W406" s="27" t="n"/>
      <c r="X406" s="27" t="n"/>
      <c r="Y406" s="27" t="n"/>
      <c r="Z406" s="27" t="n"/>
    </row>
    <row r="407" ht="16.5" customHeight="1" s="117">
      <c r="A407" s="27" t="n"/>
      <c r="B407" s="27" t="n"/>
      <c r="C407" s="27" t="n"/>
      <c r="D407" s="27" t="n"/>
      <c r="E407" s="27" t="n"/>
      <c r="F407" s="27" t="n"/>
      <c r="G407" s="27" t="n"/>
      <c r="H407" s="27" t="n"/>
      <c r="I407" s="27" t="n"/>
      <c r="J407" s="27" t="n"/>
      <c r="K407" s="27" t="n"/>
      <c r="L407" s="27" t="n"/>
      <c r="M407" s="27" t="n"/>
      <c r="N407" s="27" t="n"/>
      <c r="O407" s="27" t="n"/>
      <c r="P407" s="27" t="n"/>
      <c r="Q407" s="27" t="n"/>
      <c r="R407" s="27" t="n"/>
      <c r="S407" s="27" t="n"/>
      <c r="T407" s="27" t="n"/>
      <c r="U407" s="27" t="n"/>
      <c r="V407" s="27" t="n"/>
      <c r="W407" s="27" t="n"/>
      <c r="X407" s="27" t="n"/>
      <c r="Y407" s="27" t="n"/>
      <c r="Z407" s="27" t="n"/>
    </row>
    <row r="408" ht="16.5" customHeight="1" s="117">
      <c r="A408" s="27" t="n"/>
      <c r="B408" s="27" t="n"/>
      <c r="C408" s="27" t="n"/>
      <c r="D408" s="27" t="n"/>
      <c r="E408" s="27" t="n"/>
      <c r="F408" s="27" t="n"/>
      <c r="G408" s="27" t="n"/>
      <c r="H408" s="27" t="n"/>
      <c r="I408" s="27" t="n"/>
      <c r="J408" s="27" t="n"/>
      <c r="K408" s="27" t="n"/>
      <c r="L408" s="27" t="n"/>
      <c r="M408" s="27" t="n"/>
      <c r="N408" s="27" t="n"/>
      <c r="O408" s="27" t="n"/>
      <c r="P408" s="27" t="n"/>
      <c r="Q408" s="27" t="n"/>
      <c r="R408" s="27" t="n"/>
      <c r="S408" s="27" t="n"/>
      <c r="T408" s="27" t="n"/>
      <c r="U408" s="27" t="n"/>
      <c r="V408" s="27" t="n"/>
      <c r="W408" s="27" t="n"/>
      <c r="X408" s="27" t="n"/>
      <c r="Y408" s="27" t="n"/>
      <c r="Z408" s="27" t="n"/>
    </row>
    <row r="409" ht="16.5" customHeight="1" s="117">
      <c r="A409" s="27" t="n"/>
      <c r="B409" s="27" t="n"/>
      <c r="C409" s="27" t="n"/>
      <c r="D409" s="27" t="n"/>
      <c r="E409" s="27" t="n"/>
      <c r="F409" s="27" t="n"/>
      <c r="G409" s="27" t="n"/>
      <c r="H409" s="27" t="n"/>
      <c r="I409" s="27" t="n"/>
      <c r="J409" s="27" t="n"/>
      <c r="K409" s="27" t="n"/>
      <c r="L409" s="27" t="n"/>
      <c r="M409" s="27" t="n"/>
      <c r="N409" s="27" t="n"/>
      <c r="O409" s="27" t="n"/>
      <c r="P409" s="27" t="n"/>
      <c r="Q409" s="27" t="n"/>
      <c r="R409" s="27" t="n"/>
      <c r="S409" s="27" t="n"/>
      <c r="T409" s="27" t="n"/>
      <c r="U409" s="27" t="n"/>
      <c r="V409" s="27" t="n"/>
      <c r="W409" s="27" t="n"/>
      <c r="X409" s="27" t="n"/>
      <c r="Y409" s="27" t="n"/>
      <c r="Z409" s="27" t="n"/>
    </row>
    <row r="410" ht="16.5" customHeight="1" s="117">
      <c r="A410" s="27" t="n"/>
      <c r="B410" s="27" t="n"/>
      <c r="C410" s="27" t="n"/>
      <c r="D410" s="27" t="n"/>
      <c r="E410" s="27" t="n"/>
      <c r="F410" s="27" t="n"/>
      <c r="G410" s="27" t="n"/>
      <c r="H410" s="27" t="n"/>
      <c r="I410" s="27" t="n"/>
      <c r="J410" s="27" t="n"/>
      <c r="K410" s="27" t="n"/>
      <c r="L410" s="27" t="n"/>
      <c r="M410" s="27" t="n"/>
      <c r="N410" s="27" t="n"/>
      <c r="O410" s="27" t="n"/>
      <c r="P410" s="27" t="n"/>
      <c r="Q410" s="27" t="n"/>
      <c r="R410" s="27" t="n"/>
      <c r="S410" s="27" t="n"/>
      <c r="T410" s="27" t="n"/>
      <c r="U410" s="27" t="n"/>
      <c r="V410" s="27" t="n"/>
      <c r="W410" s="27" t="n"/>
      <c r="X410" s="27" t="n"/>
      <c r="Y410" s="27" t="n"/>
      <c r="Z410" s="27" t="n"/>
    </row>
    <row r="411" ht="16.5" customHeight="1" s="117">
      <c r="A411" s="27" t="n"/>
      <c r="B411" s="27" t="n"/>
      <c r="C411" s="27" t="n"/>
      <c r="D411" s="27" t="n"/>
      <c r="E411" s="27" t="n"/>
      <c r="F411" s="27" t="n"/>
      <c r="G411" s="27" t="n"/>
      <c r="H411" s="27" t="n"/>
      <c r="I411" s="27" t="n"/>
      <c r="J411" s="27" t="n"/>
      <c r="K411" s="27" t="n"/>
      <c r="L411" s="27" t="n"/>
      <c r="M411" s="27" t="n"/>
      <c r="N411" s="27" t="n"/>
      <c r="O411" s="27" t="n"/>
      <c r="P411" s="27" t="n"/>
      <c r="Q411" s="27" t="n"/>
      <c r="R411" s="27" t="n"/>
      <c r="S411" s="27" t="n"/>
      <c r="T411" s="27" t="n"/>
      <c r="U411" s="27" t="n"/>
      <c r="V411" s="27" t="n"/>
      <c r="W411" s="27" t="n"/>
      <c r="X411" s="27" t="n"/>
      <c r="Y411" s="27" t="n"/>
      <c r="Z411" s="27" t="n"/>
    </row>
    <row r="412" ht="16.5" customHeight="1" s="117">
      <c r="A412" s="27" t="n"/>
      <c r="B412" s="27" t="n"/>
      <c r="C412" s="27" t="n"/>
      <c r="D412" s="27" t="n"/>
      <c r="E412" s="27" t="n"/>
      <c r="F412" s="27" t="n"/>
      <c r="G412" s="27" t="n"/>
      <c r="H412" s="27" t="n"/>
      <c r="I412" s="27" t="n"/>
      <c r="J412" s="27" t="n"/>
      <c r="K412" s="27" t="n"/>
      <c r="L412" s="27" t="n"/>
      <c r="M412" s="27" t="n"/>
      <c r="N412" s="27" t="n"/>
      <c r="O412" s="27" t="n"/>
      <c r="P412" s="27" t="n"/>
      <c r="Q412" s="27" t="n"/>
      <c r="R412" s="27" t="n"/>
      <c r="S412" s="27" t="n"/>
      <c r="T412" s="27" t="n"/>
      <c r="U412" s="27" t="n"/>
      <c r="V412" s="27" t="n"/>
      <c r="W412" s="27" t="n"/>
      <c r="X412" s="27" t="n"/>
      <c r="Y412" s="27" t="n"/>
      <c r="Z412" s="27" t="n"/>
    </row>
    <row r="413" ht="16.5" customHeight="1" s="117">
      <c r="A413" s="27" t="n"/>
      <c r="B413" s="27" t="n"/>
      <c r="C413" s="27" t="n"/>
      <c r="D413" s="27" t="n"/>
      <c r="E413" s="27" t="n"/>
      <c r="F413" s="27" t="n"/>
      <c r="G413" s="27" t="n"/>
      <c r="H413" s="27" t="n"/>
      <c r="I413" s="27" t="n"/>
      <c r="J413" s="27" t="n"/>
      <c r="K413" s="27" t="n"/>
      <c r="L413" s="27" t="n"/>
      <c r="M413" s="27" t="n"/>
      <c r="N413" s="27" t="n"/>
      <c r="O413" s="27" t="n"/>
      <c r="P413" s="27" t="n"/>
      <c r="Q413" s="27" t="n"/>
      <c r="R413" s="27" t="n"/>
      <c r="S413" s="27" t="n"/>
      <c r="T413" s="27" t="n"/>
      <c r="U413" s="27" t="n"/>
      <c r="V413" s="27" t="n"/>
      <c r="W413" s="27" t="n"/>
      <c r="X413" s="27" t="n"/>
      <c r="Y413" s="27" t="n"/>
      <c r="Z413" s="27" t="n"/>
    </row>
    <row r="414" ht="16.5" customHeight="1" s="117">
      <c r="A414" s="27" t="n"/>
      <c r="B414" s="27" t="n"/>
      <c r="C414" s="27" t="n"/>
      <c r="D414" s="27" t="n"/>
      <c r="E414" s="27" t="n"/>
      <c r="F414" s="27" t="n"/>
      <c r="G414" s="27" t="n"/>
      <c r="H414" s="27" t="n"/>
      <c r="I414" s="27" t="n"/>
      <c r="J414" s="27" t="n"/>
      <c r="K414" s="27" t="n"/>
      <c r="L414" s="27" t="n"/>
      <c r="M414" s="27" t="n"/>
      <c r="N414" s="27" t="n"/>
      <c r="O414" s="27" t="n"/>
      <c r="P414" s="27" t="n"/>
      <c r="Q414" s="27" t="n"/>
      <c r="R414" s="27" t="n"/>
      <c r="S414" s="27" t="n"/>
      <c r="T414" s="27" t="n"/>
      <c r="U414" s="27" t="n"/>
      <c r="V414" s="27" t="n"/>
      <c r="W414" s="27" t="n"/>
      <c r="X414" s="27" t="n"/>
      <c r="Y414" s="27" t="n"/>
      <c r="Z414" s="27" t="n"/>
    </row>
    <row r="415" ht="16.5" customHeight="1" s="117">
      <c r="A415" s="27" t="n"/>
      <c r="B415" s="27" t="n"/>
      <c r="C415" s="27" t="n"/>
      <c r="D415" s="27" t="n"/>
      <c r="E415" s="27" t="n"/>
      <c r="F415" s="27" t="n"/>
      <c r="G415" s="27" t="n"/>
      <c r="H415" s="27" t="n"/>
      <c r="I415" s="27" t="n"/>
      <c r="J415" s="27" t="n"/>
      <c r="K415" s="27" t="n"/>
      <c r="L415" s="27" t="n"/>
      <c r="M415" s="27" t="n"/>
      <c r="N415" s="27" t="n"/>
      <c r="O415" s="27" t="n"/>
      <c r="P415" s="27" t="n"/>
      <c r="Q415" s="27" t="n"/>
      <c r="R415" s="27" t="n"/>
      <c r="S415" s="27" t="n"/>
      <c r="T415" s="27" t="n"/>
      <c r="U415" s="27" t="n"/>
      <c r="V415" s="27" t="n"/>
      <c r="W415" s="27" t="n"/>
      <c r="X415" s="27" t="n"/>
      <c r="Y415" s="27" t="n"/>
      <c r="Z415" s="27" t="n"/>
    </row>
    <row r="416" ht="16.5" customHeight="1" s="117">
      <c r="A416" s="27" t="n"/>
      <c r="B416" s="27" t="n"/>
      <c r="C416" s="27" t="n"/>
      <c r="D416" s="27" t="n"/>
      <c r="E416" s="27" t="n"/>
      <c r="F416" s="27" t="n"/>
      <c r="G416" s="27" t="n"/>
      <c r="H416" s="27" t="n"/>
      <c r="I416" s="27" t="n"/>
      <c r="J416" s="27" t="n"/>
      <c r="K416" s="27" t="n"/>
      <c r="L416" s="27" t="n"/>
      <c r="M416" s="27" t="n"/>
      <c r="N416" s="27" t="n"/>
      <c r="O416" s="27" t="n"/>
      <c r="P416" s="27" t="n"/>
      <c r="Q416" s="27" t="n"/>
      <c r="R416" s="27" t="n"/>
      <c r="S416" s="27" t="n"/>
      <c r="T416" s="27" t="n"/>
      <c r="U416" s="27" t="n"/>
      <c r="V416" s="27" t="n"/>
      <c r="W416" s="27" t="n"/>
      <c r="X416" s="27" t="n"/>
      <c r="Y416" s="27" t="n"/>
      <c r="Z416" s="27" t="n"/>
    </row>
    <row r="417" ht="16.5" customHeight="1" s="117">
      <c r="A417" s="27" t="n"/>
      <c r="B417" s="27" t="n"/>
      <c r="C417" s="27" t="n"/>
      <c r="D417" s="27" t="n"/>
      <c r="E417" s="27" t="n"/>
      <c r="F417" s="27" t="n"/>
      <c r="G417" s="27" t="n"/>
      <c r="H417" s="27" t="n"/>
      <c r="I417" s="27" t="n"/>
      <c r="J417" s="27" t="n"/>
      <c r="K417" s="27" t="n"/>
      <c r="L417" s="27" t="n"/>
      <c r="M417" s="27" t="n"/>
      <c r="N417" s="27" t="n"/>
      <c r="O417" s="27" t="n"/>
      <c r="P417" s="27" t="n"/>
      <c r="Q417" s="27" t="n"/>
      <c r="R417" s="27" t="n"/>
      <c r="S417" s="27" t="n"/>
      <c r="T417" s="27" t="n"/>
      <c r="U417" s="27" t="n"/>
      <c r="V417" s="27" t="n"/>
      <c r="W417" s="27" t="n"/>
      <c r="X417" s="27" t="n"/>
      <c r="Y417" s="27" t="n"/>
      <c r="Z417" s="27" t="n"/>
    </row>
    <row r="418" ht="16.5" customHeight="1" s="117">
      <c r="A418" s="27" t="n"/>
      <c r="B418" s="27" t="n"/>
      <c r="C418" s="27" t="n"/>
      <c r="D418" s="27" t="n"/>
      <c r="E418" s="27" t="n"/>
      <c r="F418" s="27" t="n"/>
      <c r="G418" s="27" t="n"/>
      <c r="H418" s="27" t="n"/>
      <c r="I418" s="27" t="n"/>
      <c r="J418" s="27" t="n"/>
      <c r="K418" s="27" t="n"/>
      <c r="L418" s="27" t="n"/>
      <c r="M418" s="27" t="n"/>
      <c r="N418" s="27" t="n"/>
      <c r="O418" s="27" t="n"/>
      <c r="P418" s="27" t="n"/>
      <c r="Q418" s="27" t="n"/>
      <c r="R418" s="27" t="n"/>
      <c r="S418" s="27" t="n"/>
      <c r="T418" s="27" t="n"/>
      <c r="U418" s="27" t="n"/>
      <c r="V418" s="27" t="n"/>
      <c r="W418" s="27" t="n"/>
      <c r="X418" s="27" t="n"/>
      <c r="Y418" s="27" t="n"/>
      <c r="Z418" s="27" t="n"/>
    </row>
    <row r="419" ht="16.5" customHeight="1" s="117">
      <c r="A419" s="27" t="n"/>
      <c r="B419" s="27" t="n"/>
      <c r="C419" s="27" t="n"/>
      <c r="D419" s="27" t="n"/>
      <c r="E419" s="27" t="n"/>
      <c r="F419" s="27" t="n"/>
      <c r="G419" s="27" t="n"/>
      <c r="H419" s="27" t="n"/>
      <c r="I419" s="27" t="n"/>
      <c r="J419" s="27" t="n"/>
      <c r="K419" s="27" t="n"/>
      <c r="L419" s="27" t="n"/>
      <c r="M419" s="27" t="n"/>
      <c r="N419" s="27" t="n"/>
      <c r="O419" s="27" t="n"/>
      <c r="P419" s="27" t="n"/>
      <c r="Q419" s="27" t="n"/>
      <c r="R419" s="27" t="n"/>
      <c r="S419" s="27" t="n"/>
      <c r="T419" s="27" t="n"/>
      <c r="U419" s="27" t="n"/>
      <c r="V419" s="27" t="n"/>
      <c r="W419" s="27" t="n"/>
      <c r="X419" s="27" t="n"/>
      <c r="Y419" s="27" t="n"/>
      <c r="Z419" s="27" t="n"/>
    </row>
    <row r="420" ht="16.5" customHeight="1" s="117">
      <c r="A420" s="27" t="n"/>
      <c r="B420" s="27" t="n"/>
      <c r="C420" s="27" t="n"/>
      <c r="D420" s="27" t="n"/>
      <c r="E420" s="27" t="n"/>
      <c r="F420" s="27" t="n"/>
      <c r="G420" s="27" t="n"/>
      <c r="H420" s="27" t="n"/>
      <c r="I420" s="27" t="n"/>
      <c r="J420" s="27" t="n"/>
      <c r="K420" s="27" t="n"/>
      <c r="L420" s="27" t="n"/>
      <c r="M420" s="27" t="n"/>
      <c r="N420" s="27" t="n"/>
      <c r="O420" s="27" t="n"/>
      <c r="P420" s="27" t="n"/>
      <c r="Q420" s="27" t="n"/>
      <c r="R420" s="27" t="n"/>
      <c r="S420" s="27" t="n"/>
      <c r="T420" s="27" t="n"/>
      <c r="U420" s="27" t="n"/>
      <c r="V420" s="27" t="n"/>
      <c r="W420" s="27" t="n"/>
      <c r="X420" s="27" t="n"/>
      <c r="Y420" s="27" t="n"/>
      <c r="Z420" s="27" t="n"/>
    </row>
    <row r="421" ht="16.5" customHeight="1" s="117">
      <c r="A421" s="27" t="n"/>
      <c r="B421" s="27" t="n"/>
      <c r="C421" s="27" t="n"/>
      <c r="D421" s="27" t="n"/>
      <c r="E421" s="27" t="n"/>
      <c r="F421" s="27" t="n"/>
      <c r="G421" s="27" t="n"/>
      <c r="H421" s="27" t="n"/>
      <c r="I421" s="27" t="n"/>
      <c r="J421" s="27" t="n"/>
      <c r="K421" s="27" t="n"/>
      <c r="L421" s="27" t="n"/>
      <c r="M421" s="27" t="n"/>
      <c r="N421" s="27" t="n"/>
      <c r="O421" s="27" t="n"/>
      <c r="P421" s="27" t="n"/>
      <c r="Q421" s="27" t="n"/>
      <c r="R421" s="27" t="n"/>
      <c r="S421" s="27" t="n"/>
      <c r="T421" s="27" t="n"/>
      <c r="U421" s="27" t="n"/>
      <c r="V421" s="27" t="n"/>
      <c r="W421" s="27" t="n"/>
      <c r="X421" s="27" t="n"/>
      <c r="Y421" s="27" t="n"/>
      <c r="Z421" s="27" t="n"/>
    </row>
    <row r="422" ht="16.5" customHeight="1" s="117">
      <c r="A422" s="27" t="n"/>
      <c r="B422" s="27" t="n"/>
      <c r="C422" s="27" t="n"/>
      <c r="D422" s="27" t="n"/>
      <c r="E422" s="27" t="n"/>
      <c r="F422" s="27" t="n"/>
      <c r="G422" s="27" t="n"/>
      <c r="H422" s="27" t="n"/>
      <c r="I422" s="27" t="n"/>
      <c r="J422" s="27" t="n"/>
      <c r="K422" s="27" t="n"/>
      <c r="L422" s="27" t="n"/>
      <c r="M422" s="27" t="n"/>
      <c r="N422" s="27" t="n"/>
      <c r="O422" s="27" t="n"/>
      <c r="P422" s="27" t="n"/>
      <c r="Q422" s="27" t="n"/>
      <c r="R422" s="27" t="n"/>
      <c r="S422" s="27" t="n"/>
      <c r="T422" s="27" t="n"/>
      <c r="U422" s="27" t="n"/>
      <c r="V422" s="27" t="n"/>
      <c r="W422" s="27" t="n"/>
      <c r="X422" s="27" t="n"/>
      <c r="Y422" s="27" t="n"/>
      <c r="Z422" s="27" t="n"/>
    </row>
    <row r="423" ht="16.5" customHeight="1" s="117">
      <c r="A423" s="27" t="n"/>
      <c r="B423" s="27" t="n"/>
      <c r="C423" s="27" t="n"/>
      <c r="D423" s="27" t="n"/>
      <c r="E423" s="27" t="n"/>
      <c r="F423" s="27" t="n"/>
      <c r="G423" s="27" t="n"/>
      <c r="H423" s="27" t="n"/>
      <c r="I423" s="27" t="n"/>
      <c r="J423" s="27" t="n"/>
      <c r="K423" s="27" t="n"/>
      <c r="L423" s="27" t="n"/>
      <c r="M423" s="27" t="n"/>
      <c r="N423" s="27" t="n"/>
      <c r="O423" s="27" t="n"/>
      <c r="P423" s="27" t="n"/>
      <c r="Q423" s="27" t="n"/>
      <c r="R423" s="27" t="n"/>
      <c r="S423" s="27" t="n"/>
      <c r="T423" s="27" t="n"/>
      <c r="U423" s="27" t="n"/>
      <c r="V423" s="27" t="n"/>
      <c r="W423" s="27" t="n"/>
      <c r="X423" s="27" t="n"/>
      <c r="Y423" s="27" t="n"/>
      <c r="Z423" s="27" t="n"/>
    </row>
    <row r="424" ht="16.5" customHeight="1" s="117">
      <c r="A424" s="27" t="n"/>
      <c r="B424" s="27" t="n"/>
      <c r="C424" s="27" t="n"/>
      <c r="D424" s="27" t="n"/>
      <c r="E424" s="27" t="n"/>
      <c r="F424" s="27" t="n"/>
      <c r="G424" s="27" t="n"/>
      <c r="H424" s="27" t="n"/>
      <c r="I424" s="27" t="n"/>
      <c r="J424" s="27" t="n"/>
      <c r="K424" s="27" t="n"/>
      <c r="L424" s="27" t="n"/>
      <c r="M424" s="27" t="n"/>
      <c r="N424" s="27" t="n"/>
      <c r="O424" s="27" t="n"/>
      <c r="P424" s="27" t="n"/>
      <c r="Q424" s="27" t="n"/>
      <c r="R424" s="27" t="n"/>
      <c r="S424" s="27" t="n"/>
      <c r="T424" s="27" t="n"/>
      <c r="U424" s="27" t="n"/>
      <c r="V424" s="27" t="n"/>
      <c r="W424" s="27" t="n"/>
      <c r="X424" s="27" t="n"/>
      <c r="Y424" s="27" t="n"/>
      <c r="Z424" s="27" t="n"/>
    </row>
    <row r="425" ht="16.5" customHeight="1" s="117">
      <c r="A425" s="27" t="n"/>
      <c r="B425" s="27" t="n"/>
      <c r="C425" s="27" t="n"/>
      <c r="D425" s="27" t="n"/>
      <c r="E425" s="27" t="n"/>
      <c r="F425" s="27" t="n"/>
      <c r="G425" s="27" t="n"/>
      <c r="H425" s="27" t="n"/>
      <c r="I425" s="27" t="n"/>
      <c r="J425" s="27" t="n"/>
      <c r="K425" s="27" t="n"/>
      <c r="L425" s="27" t="n"/>
      <c r="M425" s="27" t="n"/>
      <c r="N425" s="27" t="n"/>
      <c r="O425" s="27" t="n"/>
      <c r="P425" s="27" t="n"/>
      <c r="Q425" s="27" t="n"/>
      <c r="R425" s="27" t="n"/>
      <c r="S425" s="27" t="n"/>
      <c r="T425" s="27" t="n"/>
      <c r="U425" s="27" t="n"/>
      <c r="V425" s="27" t="n"/>
      <c r="W425" s="27" t="n"/>
      <c r="X425" s="27" t="n"/>
      <c r="Y425" s="27" t="n"/>
      <c r="Z425" s="27" t="n"/>
    </row>
    <row r="426" ht="16.5" customHeight="1" s="117">
      <c r="A426" s="27" t="n"/>
      <c r="B426" s="27" t="n"/>
      <c r="C426" s="27" t="n"/>
      <c r="D426" s="27" t="n"/>
      <c r="E426" s="27" t="n"/>
      <c r="F426" s="27" t="n"/>
      <c r="G426" s="27" t="n"/>
      <c r="H426" s="27" t="n"/>
      <c r="I426" s="27" t="n"/>
      <c r="J426" s="27" t="n"/>
      <c r="K426" s="27" t="n"/>
      <c r="L426" s="27" t="n"/>
      <c r="M426" s="27" t="n"/>
      <c r="N426" s="27" t="n"/>
      <c r="O426" s="27" t="n"/>
      <c r="P426" s="27" t="n"/>
      <c r="Q426" s="27" t="n"/>
      <c r="R426" s="27" t="n"/>
      <c r="S426" s="27" t="n"/>
      <c r="T426" s="27" t="n"/>
      <c r="U426" s="27" t="n"/>
      <c r="V426" s="27" t="n"/>
      <c r="W426" s="27" t="n"/>
      <c r="X426" s="27" t="n"/>
      <c r="Y426" s="27" t="n"/>
      <c r="Z426" s="27" t="n"/>
    </row>
    <row r="427" ht="16.5" customHeight="1" s="117">
      <c r="A427" s="27" t="n"/>
      <c r="B427" s="27" t="n"/>
      <c r="C427" s="27" t="n"/>
      <c r="D427" s="27" t="n"/>
      <c r="E427" s="27" t="n"/>
      <c r="F427" s="27" t="n"/>
      <c r="G427" s="27" t="n"/>
      <c r="H427" s="27" t="n"/>
      <c r="I427" s="27" t="n"/>
      <c r="J427" s="27" t="n"/>
      <c r="K427" s="27" t="n"/>
      <c r="L427" s="27" t="n"/>
      <c r="M427" s="27" t="n"/>
      <c r="N427" s="27" t="n"/>
      <c r="O427" s="27" t="n"/>
      <c r="P427" s="27" t="n"/>
      <c r="Q427" s="27" t="n"/>
      <c r="R427" s="27" t="n"/>
      <c r="S427" s="27" t="n"/>
      <c r="T427" s="27" t="n"/>
      <c r="U427" s="27" t="n"/>
      <c r="V427" s="27" t="n"/>
      <c r="W427" s="27" t="n"/>
      <c r="X427" s="27" t="n"/>
      <c r="Y427" s="27" t="n"/>
      <c r="Z427" s="27" t="n"/>
    </row>
    <row r="428" ht="16.5" customHeight="1" s="117">
      <c r="A428" s="27" t="n"/>
      <c r="B428" s="27" t="n"/>
      <c r="C428" s="27" t="n"/>
      <c r="D428" s="27" t="n"/>
      <c r="E428" s="27" t="n"/>
      <c r="F428" s="27" t="n"/>
      <c r="G428" s="27" t="n"/>
      <c r="H428" s="27" t="n"/>
      <c r="I428" s="27" t="n"/>
      <c r="J428" s="27" t="n"/>
      <c r="K428" s="27" t="n"/>
      <c r="L428" s="27" t="n"/>
      <c r="M428" s="27" t="n"/>
      <c r="N428" s="27" t="n"/>
      <c r="O428" s="27" t="n"/>
      <c r="P428" s="27" t="n"/>
      <c r="Q428" s="27" t="n"/>
      <c r="R428" s="27" t="n"/>
      <c r="S428" s="27" t="n"/>
      <c r="T428" s="27" t="n"/>
      <c r="U428" s="27" t="n"/>
      <c r="V428" s="27" t="n"/>
      <c r="W428" s="27" t="n"/>
      <c r="X428" s="27" t="n"/>
      <c r="Y428" s="27" t="n"/>
      <c r="Z428" s="27" t="n"/>
    </row>
    <row r="429" ht="16.5" customHeight="1" s="117">
      <c r="A429" s="27" t="n"/>
      <c r="B429" s="27" t="n"/>
      <c r="C429" s="27" t="n"/>
      <c r="D429" s="27" t="n"/>
      <c r="E429" s="27" t="n"/>
      <c r="F429" s="27" t="n"/>
      <c r="G429" s="27" t="n"/>
      <c r="H429" s="27" t="n"/>
      <c r="I429" s="27" t="n"/>
      <c r="J429" s="27" t="n"/>
      <c r="K429" s="27" t="n"/>
      <c r="L429" s="27" t="n"/>
      <c r="M429" s="27" t="n"/>
      <c r="N429" s="27" t="n"/>
      <c r="O429" s="27" t="n"/>
      <c r="P429" s="27" t="n"/>
      <c r="Q429" s="27" t="n"/>
      <c r="R429" s="27" t="n"/>
      <c r="S429" s="27" t="n"/>
      <c r="T429" s="27" t="n"/>
      <c r="U429" s="27" t="n"/>
      <c r="V429" s="27" t="n"/>
      <c r="W429" s="27" t="n"/>
      <c r="X429" s="27" t="n"/>
      <c r="Y429" s="27" t="n"/>
      <c r="Z429" s="27" t="n"/>
    </row>
    <row r="430" ht="16.5" customHeight="1" s="117">
      <c r="A430" s="27" t="n"/>
      <c r="B430" s="27" t="n"/>
      <c r="C430" s="27" t="n"/>
      <c r="D430" s="27" t="n"/>
      <c r="E430" s="27" t="n"/>
      <c r="F430" s="27" t="n"/>
      <c r="G430" s="27" t="n"/>
      <c r="H430" s="27" t="n"/>
      <c r="I430" s="27" t="n"/>
      <c r="J430" s="27" t="n"/>
      <c r="K430" s="27" t="n"/>
      <c r="L430" s="27" t="n"/>
      <c r="M430" s="27" t="n"/>
      <c r="N430" s="27" t="n"/>
      <c r="O430" s="27" t="n"/>
      <c r="P430" s="27" t="n"/>
      <c r="Q430" s="27" t="n"/>
      <c r="R430" s="27" t="n"/>
      <c r="S430" s="27" t="n"/>
      <c r="T430" s="27" t="n"/>
      <c r="U430" s="27" t="n"/>
      <c r="V430" s="27" t="n"/>
      <c r="W430" s="27" t="n"/>
      <c r="X430" s="27" t="n"/>
      <c r="Y430" s="27" t="n"/>
      <c r="Z430" s="27" t="n"/>
    </row>
    <row r="431" ht="16.5" customHeight="1" s="117">
      <c r="A431" s="27" t="n"/>
      <c r="B431" s="27" t="n"/>
      <c r="C431" s="27" t="n"/>
      <c r="D431" s="27" t="n"/>
      <c r="E431" s="27" t="n"/>
      <c r="F431" s="27" t="n"/>
      <c r="G431" s="27" t="n"/>
      <c r="H431" s="27" t="n"/>
      <c r="I431" s="27" t="n"/>
      <c r="J431" s="27" t="n"/>
      <c r="K431" s="27" t="n"/>
      <c r="L431" s="27" t="n"/>
      <c r="M431" s="27" t="n"/>
      <c r="N431" s="27" t="n"/>
      <c r="O431" s="27" t="n"/>
      <c r="P431" s="27" t="n"/>
      <c r="Q431" s="27" t="n"/>
      <c r="R431" s="27" t="n"/>
      <c r="S431" s="27" t="n"/>
      <c r="T431" s="27" t="n"/>
      <c r="U431" s="27" t="n"/>
      <c r="V431" s="27" t="n"/>
      <c r="W431" s="27" t="n"/>
      <c r="X431" s="27" t="n"/>
      <c r="Y431" s="27" t="n"/>
      <c r="Z431" s="27" t="n"/>
    </row>
    <row r="432" ht="16.5" customHeight="1" s="117">
      <c r="A432" s="27" t="n"/>
      <c r="B432" s="27" t="n"/>
      <c r="C432" s="27" t="n"/>
      <c r="D432" s="27" t="n"/>
      <c r="E432" s="27" t="n"/>
      <c r="F432" s="27" t="n"/>
      <c r="G432" s="27" t="n"/>
      <c r="H432" s="27" t="n"/>
      <c r="I432" s="27" t="n"/>
      <c r="J432" s="27" t="n"/>
      <c r="K432" s="27" t="n"/>
      <c r="L432" s="27" t="n"/>
      <c r="M432" s="27" t="n"/>
      <c r="N432" s="27" t="n"/>
      <c r="O432" s="27" t="n"/>
      <c r="P432" s="27" t="n"/>
      <c r="Q432" s="27" t="n"/>
      <c r="R432" s="27" t="n"/>
      <c r="S432" s="27" t="n"/>
      <c r="T432" s="27" t="n"/>
      <c r="U432" s="27" t="n"/>
      <c r="V432" s="27" t="n"/>
      <c r="W432" s="27" t="n"/>
      <c r="X432" s="27" t="n"/>
      <c r="Y432" s="27" t="n"/>
      <c r="Z432" s="27" t="n"/>
    </row>
    <row r="433" ht="16.5" customHeight="1" s="117">
      <c r="A433" s="27" t="n"/>
      <c r="B433" s="27" t="n"/>
      <c r="C433" s="27" t="n"/>
      <c r="D433" s="27" t="n"/>
      <c r="E433" s="27" t="n"/>
      <c r="F433" s="27" t="n"/>
      <c r="G433" s="27" t="n"/>
      <c r="H433" s="27" t="n"/>
      <c r="I433" s="27" t="n"/>
      <c r="J433" s="27" t="n"/>
      <c r="K433" s="27" t="n"/>
      <c r="L433" s="27" t="n"/>
      <c r="M433" s="27" t="n"/>
      <c r="N433" s="27" t="n"/>
      <c r="O433" s="27" t="n"/>
      <c r="P433" s="27" t="n"/>
      <c r="Q433" s="27" t="n"/>
      <c r="R433" s="27" t="n"/>
      <c r="S433" s="27" t="n"/>
      <c r="T433" s="27" t="n"/>
      <c r="U433" s="27" t="n"/>
      <c r="V433" s="27" t="n"/>
      <c r="W433" s="27" t="n"/>
      <c r="X433" s="27" t="n"/>
      <c r="Y433" s="27" t="n"/>
      <c r="Z433" s="27" t="n"/>
    </row>
    <row r="434" ht="16.5" customHeight="1" s="117">
      <c r="A434" s="27" t="n"/>
      <c r="B434" s="27" t="n"/>
      <c r="C434" s="27" t="n"/>
      <c r="D434" s="27" t="n"/>
      <c r="E434" s="27" t="n"/>
      <c r="F434" s="27" t="n"/>
      <c r="G434" s="27" t="n"/>
      <c r="H434" s="27" t="n"/>
      <c r="I434" s="27" t="n"/>
      <c r="J434" s="27" t="n"/>
      <c r="K434" s="27" t="n"/>
      <c r="L434" s="27" t="n"/>
      <c r="M434" s="27" t="n"/>
      <c r="N434" s="27" t="n"/>
      <c r="O434" s="27" t="n"/>
      <c r="P434" s="27" t="n"/>
      <c r="Q434" s="27" t="n"/>
      <c r="R434" s="27" t="n"/>
      <c r="S434" s="27" t="n"/>
      <c r="T434" s="27" t="n"/>
      <c r="U434" s="27" t="n"/>
      <c r="V434" s="27" t="n"/>
      <c r="W434" s="27" t="n"/>
      <c r="X434" s="27" t="n"/>
      <c r="Y434" s="27" t="n"/>
      <c r="Z434" s="27" t="n"/>
    </row>
    <row r="435" ht="16.5" customHeight="1" s="117">
      <c r="A435" s="27" t="n"/>
      <c r="B435" s="27" t="n"/>
      <c r="C435" s="27" t="n"/>
      <c r="D435" s="27" t="n"/>
      <c r="E435" s="27" t="n"/>
      <c r="F435" s="27" t="n"/>
      <c r="G435" s="27" t="n"/>
      <c r="H435" s="27" t="n"/>
      <c r="I435" s="27" t="n"/>
      <c r="J435" s="27" t="n"/>
      <c r="K435" s="27" t="n"/>
      <c r="L435" s="27" t="n"/>
      <c r="M435" s="27" t="n"/>
      <c r="N435" s="27" t="n"/>
      <c r="O435" s="27" t="n"/>
      <c r="P435" s="27" t="n"/>
      <c r="Q435" s="27" t="n"/>
      <c r="R435" s="27" t="n"/>
      <c r="S435" s="27" t="n"/>
      <c r="T435" s="27" t="n"/>
      <c r="U435" s="27" t="n"/>
      <c r="V435" s="27" t="n"/>
      <c r="W435" s="27" t="n"/>
      <c r="X435" s="27" t="n"/>
      <c r="Y435" s="27" t="n"/>
      <c r="Z435" s="27" t="n"/>
    </row>
    <row r="436" ht="16.5" customHeight="1" s="117">
      <c r="A436" s="27" t="n"/>
      <c r="B436" s="27" t="n"/>
      <c r="C436" s="27" t="n"/>
      <c r="D436" s="27" t="n"/>
      <c r="E436" s="27" t="n"/>
      <c r="F436" s="27" t="n"/>
      <c r="G436" s="27" t="n"/>
      <c r="H436" s="27" t="n"/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n"/>
      <c r="R436" s="27" t="n"/>
      <c r="S436" s="27" t="n"/>
      <c r="T436" s="27" t="n"/>
      <c r="U436" s="27" t="n"/>
      <c r="V436" s="27" t="n"/>
      <c r="W436" s="27" t="n"/>
      <c r="X436" s="27" t="n"/>
      <c r="Y436" s="27" t="n"/>
      <c r="Z436" s="27" t="n"/>
    </row>
    <row r="437" ht="16.5" customHeight="1" s="117">
      <c r="A437" s="27" t="n"/>
      <c r="B437" s="27" t="n"/>
      <c r="C437" s="27" t="n"/>
      <c r="D437" s="27" t="n"/>
      <c r="E437" s="27" t="n"/>
      <c r="F437" s="27" t="n"/>
      <c r="G437" s="27" t="n"/>
      <c r="H437" s="27" t="n"/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n"/>
      <c r="R437" s="27" t="n"/>
      <c r="S437" s="27" t="n"/>
      <c r="T437" s="27" t="n"/>
      <c r="U437" s="27" t="n"/>
      <c r="V437" s="27" t="n"/>
      <c r="W437" s="27" t="n"/>
      <c r="X437" s="27" t="n"/>
      <c r="Y437" s="27" t="n"/>
      <c r="Z437" s="27" t="n"/>
    </row>
    <row r="438" ht="16.5" customHeight="1" s="117">
      <c r="A438" s="27" t="n"/>
      <c r="B438" s="27" t="n"/>
      <c r="C438" s="27" t="n"/>
      <c r="D438" s="27" t="n"/>
      <c r="E438" s="27" t="n"/>
      <c r="F438" s="27" t="n"/>
      <c r="G438" s="27" t="n"/>
      <c r="H438" s="27" t="n"/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n"/>
      <c r="R438" s="27" t="n"/>
      <c r="S438" s="27" t="n"/>
      <c r="T438" s="27" t="n"/>
      <c r="U438" s="27" t="n"/>
      <c r="V438" s="27" t="n"/>
      <c r="W438" s="27" t="n"/>
      <c r="X438" s="27" t="n"/>
      <c r="Y438" s="27" t="n"/>
      <c r="Z438" s="27" t="n"/>
    </row>
    <row r="439" ht="16.5" customHeight="1" s="117">
      <c r="A439" s="27" t="n"/>
      <c r="B439" s="27" t="n"/>
      <c r="C439" s="27" t="n"/>
      <c r="D439" s="27" t="n"/>
      <c r="E439" s="27" t="n"/>
      <c r="F439" s="27" t="n"/>
      <c r="G439" s="27" t="n"/>
      <c r="H439" s="27" t="n"/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n"/>
      <c r="R439" s="27" t="n"/>
      <c r="S439" s="27" t="n"/>
      <c r="T439" s="27" t="n"/>
      <c r="U439" s="27" t="n"/>
      <c r="V439" s="27" t="n"/>
      <c r="W439" s="27" t="n"/>
      <c r="X439" s="27" t="n"/>
      <c r="Y439" s="27" t="n"/>
      <c r="Z439" s="27" t="n"/>
    </row>
    <row r="440" ht="16.5" customHeight="1" s="117">
      <c r="A440" s="27" t="n"/>
      <c r="B440" s="27" t="n"/>
      <c r="C440" s="27" t="n"/>
      <c r="D440" s="27" t="n"/>
      <c r="E440" s="27" t="n"/>
      <c r="F440" s="27" t="n"/>
      <c r="G440" s="27" t="n"/>
      <c r="H440" s="27" t="n"/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n"/>
      <c r="R440" s="27" t="n"/>
      <c r="S440" s="27" t="n"/>
      <c r="T440" s="27" t="n"/>
      <c r="U440" s="27" t="n"/>
      <c r="V440" s="27" t="n"/>
      <c r="W440" s="27" t="n"/>
      <c r="X440" s="27" t="n"/>
      <c r="Y440" s="27" t="n"/>
      <c r="Z440" s="27" t="n"/>
    </row>
    <row r="441" ht="16.5" customHeight="1" s="117">
      <c r="A441" s="27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  <c r="T441" s="27" t="n"/>
      <c r="U441" s="27" t="n"/>
      <c r="V441" s="27" t="n"/>
      <c r="W441" s="27" t="n"/>
      <c r="X441" s="27" t="n"/>
      <c r="Y441" s="27" t="n"/>
      <c r="Z441" s="27" t="n"/>
    </row>
    <row r="442" ht="16.5" customHeight="1" s="117">
      <c r="A442" s="27" t="n"/>
      <c r="B442" s="27" t="n"/>
      <c r="C442" s="27" t="n"/>
      <c r="D442" s="27" t="n"/>
      <c r="E442" s="27" t="n"/>
      <c r="F442" s="27" t="n"/>
      <c r="G442" s="27" t="n"/>
      <c r="H442" s="27" t="n"/>
      <c r="I442" s="27" t="n"/>
      <c r="J442" s="27" t="n"/>
      <c r="K442" s="27" t="n"/>
      <c r="L442" s="27" t="n"/>
      <c r="M442" s="27" t="n"/>
      <c r="N442" s="27" t="n"/>
      <c r="O442" s="27" t="n"/>
      <c r="P442" s="27" t="n"/>
      <c r="Q442" s="27" t="n"/>
      <c r="R442" s="27" t="n"/>
      <c r="S442" s="27" t="n"/>
      <c r="T442" s="27" t="n"/>
      <c r="U442" s="27" t="n"/>
      <c r="V442" s="27" t="n"/>
      <c r="W442" s="27" t="n"/>
      <c r="X442" s="27" t="n"/>
      <c r="Y442" s="27" t="n"/>
      <c r="Z442" s="27" t="n"/>
    </row>
    <row r="443" ht="16.5" customHeight="1" s="117">
      <c r="A443" s="27" t="n"/>
      <c r="B443" s="27" t="n"/>
      <c r="C443" s="27" t="n"/>
      <c r="D443" s="27" t="n"/>
      <c r="E443" s="27" t="n"/>
      <c r="F443" s="27" t="n"/>
      <c r="G443" s="27" t="n"/>
      <c r="H443" s="27" t="n"/>
      <c r="I443" s="27" t="n"/>
      <c r="J443" s="27" t="n"/>
      <c r="K443" s="27" t="n"/>
      <c r="L443" s="27" t="n"/>
      <c r="M443" s="27" t="n"/>
      <c r="N443" s="27" t="n"/>
      <c r="O443" s="27" t="n"/>
      <c r="P443" s="27" t="n"/>
      <c r="Q443" s="27" t="n"/>
      <c r="R443" s="27" t="n"/>
      <c r="S443" s="27" t="n"/>
      <c r="T443" s="27" t="n"/>
      <c r="U443" s="27" t="n"/>
      <c r="V443" s="27" t="n"/>
      <c r="W443" s="27" t="n"/>
      <c r="X443" s="27" t="n"/>
      <c r="Y443" s="27" t="n"/>
      <c r="Z443" s="27" t="n"/>
    </row>
    <row r="444" ht="16.5" customHeight="1" s="117">
      <c r="A444" s="27" t="n"/>
      <c r="B444" s="27" t="n"/>
      <c r="C444" s="27" t="n"/>
      <c r="D444" s="27" t="n"/>
      <c r="E444" s="27" t="n"/>
      <c r="F444" s="27" t="n"/>
      <c r="G444" s="27" t="n"/>
      <c r="H444" s="27" t="n"/>
      <c r="I444" s="27" t="n"/>
      <c r="J444" s="27" t="n"/>
      <c r="K444" s="27" t="n"/>
      <c r="L444" s="27" t="n"/>
      <c r="M444" s="27" t="n"/>
      <c r="N444" s="27" t="n"/>
      <c r="O444" s="27" t="n"/>
      <c r="P444" s="27" t="n"/>
      <c r="Q444" s="27" t="n"/>
      <c r="R444" s="27" t="n"/>
      <c r="S444" s="27" t="n"/>
      <c r="T444" s="27" t="n"/>
      <c r="U444" s="27" t="n"/>
      <c r="V444" s="27" t="n"/>
      <c r="W444" s="27" t="n"/>
      <c r="X444" s="27" t="n"/>
      <c r="Y444" s="27" t="n"/>
      <c r="Z444" s="27" t="n"/>
    </row>
    <row r="445" ht="16.5" customHeight="1" s="117">
      <c r="A445" s="27" t="n"/>
      <c r="B445" s="27" t="n"/>
      <c r="C445" s="27" t="n"/>
      <c r="D445" s="27" t="n"/>
      <c r="E445" s="27" t="n"/>
      <c r="F445" s="27" t="n"/>
      <c r="G445" s="27" t="n"/>
      <c r="H445" s="27" t="n"/>
      <c r="I445" s="27" t="n"/>
      <c r="J445" s="27" t="n"/>
      <c r="K445" s="27" t="n"/>
      <c r="L445" s="27" t="n"/>
      <c r="M445" s="27" t="n"/>
      <c r="N445" s="27" t="n"/>
      <c r="O445" s="27" t="n"/>
      <c r="P445" s="27" t="n"/>
      <c r="Q445" s="27" t="n"/>
      <c r="R445" s="27" t="n"/>
      <c r="S445" s="27" t="n"/>
      <c r="T445" s="27" t="n"/>
      <c r="U445" s="27" t="n"/>
      <c r="V445" s="27" t="n"/>
      <c r="W445" s="27" t="n"/>
      <c r="X445" s="27" t="n"/>
      <c r="Y445" s="27" t="n"/>
      <c r="Z445" s="27" t="n"/>
    </row>
    <row r="446" ht="16.5" customHeight="1" s="117">
      <c r="A446" s="27" t="n"/>
      <c r="B446" s="27" t="n"/>
      <c r="C446" s="27" t="n"/>
      <c r="D446" s="27" t="n"/>
      <c r="E446" s="27" t="n"/>
      <c r="F446" s="27" t="n"/>
      <c r="G446" s="27" t="n"/>
      <c r="H446" s="27" t="n"/>
      <c r="I446" s="27" t="n"/>
      <c r="J446" s="27" t="n"/>
      <c r="K446" s="27" t="n"/>
      <c r="L446" s="27" t="n"/>
      <c r="M446" s="27" t="n"/>
      <c r="N446" s="27" t="n"/>
      <c r="O446" s="27" t="n"/>
      <c r="P446" s="27" t="n"/>
      <c r="Q446" s="27" t="n"/>
      <c r="R446" s="27" t="n"/>
      <c r="S446" s="27" t="n"/>
      <c r="T446" s="27" t="n"/>
      <c r="U446" s="27" t="n"/>
      <c r="V446" s="27" t="n"/>
      <c r="W446" s="27" t="n"/>
      <c r="X446" s="27" t="n"/>
      <c r="Y446" s="27" t="n"/>
      <c r="Z446" s="27" t="n"/>
    </row>
    <row r="447" ht="16.5" customHeight="1" s="117">
      <c r="A447" s="27" t="n"/>
      <c r="B447" s="27" t="n"/>
      <c r="C447" s="27" t="n"/>
      <c r="D447" s="27" t="n"/>
      <c r="E447" s="27" t="n"/>
      <c r="F447" s="27" t="n"/>
      <c r="G447" s="27" t="n"/>
      <c r="H447" s="27" t="n"/>
      <c r="I447" s="27" t="n"/>
      <c r="J447" s="27" t="n"/>
      <c r="K447" s="27" t="n"/>
      <c r="L447" s="27" t="n"/>
      <c r="M447" s="27" t="n"/>
      <c r="N447" s="27" t="n"/>
      <c r="O447" s="27" t="n"/>
      <c r="P447" s="27" t="n"/>
      <c r="Q447" s="27" t="n"/>
      <c r="R447" s="27" t="n"/>
      <c r="S447" s="27" t="n"/>
      <c r="T447" s="27" t="n"/>
      <c r="U447" s="27" t="n"/>
      <c r="V447" s="27" t="n"/>
      <c r="W447" s="27" t="n"/>
      <c r="X447" s="27" t="n"/>
      <c r="Y447" s="27" t="n"/>
      <c r="Z447" s="27" t="n"/>
    </row>
    <row r="448" ht="16.5" customHeight="1" s="117">
      <c r="A448" s="27" t="n"/>
      <c r="B448" s="27" t="n"/>
      <c r="C448" s="27" t="n"/>
      <c r="D448" s="27" t="n"/>
      <c r="E448" s="27" t="n"/>
      <c r="F448" s="27" t="n"/>
      <c r="G448" s="27" t="n"/>
      <c r="H448" s="27" t="n"/>
      <c r="I448" s="27" t="n"/>
      <c r="J448" s="27" t="n"/>
      <c r="K448" s="27" t="n"/>
      <c r="L448" s="27" t="n"/>
      <c r="M448" s="27" t="n"/>
      <c r="N448" s="27" t="n"/>
      <c r="O448" s="27" t="n"/>
      <c r="P448" s="27" t="n"/>
      <c r="Q448" s="27" t="n"/>
      <c r="R448" s="27" t="n"/>
      <c r="S448" s="27" t="n"/>
      <c r="T448" s="27" t="n"/>
      <c r="U448" s="27" t="n"/>
      <c r="V448" s="27" t="n"/>
      <c r="W448" s="27" t="n"/>
      <c r="X448" s="27" t="n"/>
      <c r="Y448" s="27" t="n"/>
      <c r="Z448" s="27" t="n"/>
    </row>
    <row r="449" ht="16.5" customHeight="1" s="117">
      <c r="A449" s="27" t="n"/>
      <c r="B449" s="27" t="n"/>
      <c r="C449" s="27" t="n"/>
      <c r="D449" s="27" t="n"/>
      <c r="E449" s="27" t="n"/>
      <c r="F449" s="27" t="n"/>
      <c r="G449" s="27" t="n"/>
      <c r="H449" s="27" t="n"/>
      <c r="I449" s="27" t="n"/>
      <c r="J449" s="27" t="n"/>
      <c r="K449" s="27" t="n"/>
      <c r="L449" s="27" t="n"/>
      <c r="M449" s="27" t="n"/>
      <c r="N449" s="27" t="n"/>
      <c r="O449" s="27" t="n"/>
      <c r="P449" s="27" t="n"/>
      <c r="Q449" s="27" t="n"/>
      <c r="R449" s="27" t="n"/>
      <c r="S449" s="27" t="n"/>
      <c r="T449" s="27" t="n"/>
      <c r="U449" s="27" t="n"/>
      <c r="V449" s="27" t="n"/>
      <c r="W449" s="27" t="n"/>
      <c r="X449" s="27" t="n"/>
      <c r="Y449" s="27" t="n"/>
      <c r="Z449" s="27" t="n"/>
    </row>
    <row r="450" ht="16.5" customHeight="1" s="117">
      <c r="A450" s="27" t="n"/>
      <c r="B450" s="27" t="n"/>
      <c r="C450" s="27" t="n"/>
      <c r="D450" s="27" t="n"/>
      <c r="E450" s="27" t="n"/>
      <c r="F450" s="27" t="n"/>
      <c r="G450" s="27" t="n"/>
      <c r="H450" s="27" t="n"/>
      <c r="I450" s="27" t="n"/>
      <c r="J450" s="27" t="n"/>
      <c r="K450" s="27" t="n"/>
      <c r="L450" s="27" t="n"/>
      <c r="M450" s="27" t="n"/>
      <c r="N450" s="27" t="n"/>
      <c r="O450" s="27" t="n"/>
      <c r="P450" s="27" t="n"/>
      <c r="Q450" s="27" t="n"/>
      <c r="R450" s="27" t="n"/>
      <c r="S450" s="27" t="n"/>
      <c r="T450" s="27" t="n"/>
      <c r="U450" s="27" t="n"/>
      <c r="V450" s="27" t="n"/>
      <c r="W450" s="27" t="n"/>
      <c r="X450" s="27" t="n"/>
      <c r="Y450" s="27" t="n"/>
      <c r="Z450" s="27" t="n"/>
    </row>
    <row r="451" ht="16.5" customHeight="1" s="117">
      <c r="A451" s="27" t="n"/>
      <c r="B451" s="27" t="n"/>
      <c r="C451" s="27" t="n"/>
      <c r="D451" s="27" t="n"/>
      <c r="E451" s="27" t="n"/>
      <c r="F451" s="27" t="n"/>
      <c r="G451" s="27" t="n"/>
      <c r="H451" s="27" t="n"/>
      <c r="I451" s="27" t="n"/>
      <c r="J451" s="27" t="n"/>
      <c r="K451" s="27" t="n"/>
      <c r="L451" s="27" t="n"/>
      <c r="M451" s="27" t="n"/>
      <c r="N451" s="27" t="n"/>
      <c r="O451" s="27" t="n"/>
      <c r="P451" s="27" t="n"/>
      <c r="Q451" s="27" t="n"/>
      <c r="R451" s="27" t="n"/>
      <c r="S451" s="27" t="n"/>
      <c r="T451" s="27" t="n"/>
      <c r="U451" s="27" t="n"/>
      <c r="V451" s="27" t="n"/>
      <c r="W451" s="27" t="n"/>
      <c r="X451" s="27" t="n"/>
      <c r="Y451" s="27" t="n"/>
      <c r="Z451" s="27" t="n"/>
    </row>
    <row r="452" ht="16.5" customHeight="1" s="117">
      <c r="A452" s="27" t="n"/>
      <c r="B452" s="27" t="n"/>
      <c r="C452" s="27" t="n"/>
      <c r="D452" s="27" t="n"/>
      <c r="E452" s="27" t="n"/>
      <c r="F452" s="27" t="n"/>
      <c r="G452" s="27" t="n"/>
      <c r="H452" s="27" t="n"/>
      <c r="I452" s="27" t="n"/>
      <c r="J452" s="27" t="n"/>
      <c r="K452" s="27" t="n"/>
      <c r="L452" s="27" t="n"/>
      <c r="M452" s="27" t="n"/>
      <c r="N452" s="27" t="n"/>
      <c r="O452" s="27" t="n"/>
      <c r="P452" s="27" t="n"/>
      <c r="Q452" s="27" t="n"/>
      <c r="R452" s="27" t="n"/>
      <c r="S452" s="27" t="n"/>
      <c r="T452" s="27" t="n"/>
      <c r="U452" s="27" t="n"/>
      <c r="V452" s="27" t="n"/>
      <c r="W452" s="27" t="n"/>
      <c r="X452" s="27" t="n"/>
      <c r="Y452" s="27" t="n"/>
      <c r="Z452" s="27" t="n"/>
    </row>
    <row r="453" ht="16.5" customHeight="1" s="117">
      <c r="A453" s="27" t="n"/>
      <c r="B453" s="27" t="n"/>
      <c r="C453" s="27" t="n"/>
      <c r="D453" s="27" t="n"/>
      <c r="E453" s="27" t="n"/>
      <c r="F453" s="27" t="n"/>
      <c r="G453" s="27" t="n"/>
      <c r="H453" s="27" t="n"/>
      <c r="I453" s="27" t="n"/>
      <c r="J453" s="27" t="n"/>
      <c r="K453" s="27" t="n"/>
      <c r="L453" s="27" t="n"/>
      <c r="M453" s="27" t="n"/>
      <c r="N453" s="27" t="n"/>
      <c r="O453" s="27" t="n"/>
      <c r="P453" s="27" t="n"/>
      <c r="Q453" s="27" t="n"/>
      <c r="R453" s="27" t="n"/>
      <c r="S453" s="27" t="n"/>
      <c r="T453" s="27" t="n"/>
      <c r="U453" s="27" t="n"/>
      <c r="V453" s="27" t="n"/>
      <c r="W453" s="27" t="n"/>
      <c r="X453" s="27" t="n"/>
      <c r="Y453" s="27" t="n"/>
      <c r="Z453" s="27" t="n"/>
    </row>
    <row r="454" ht="16.5" customHeight="1" s="117">
      <c r="A454" s="27" t="n"/>
      <c r="B454" s="27" t="n"/>
      <c r="C454" s="27" t="n"/>
      <c r="D454" s="27" t="n"/>
      <c r="E454" s="27" t="n"/>
      <c r="F454" s="27" t="n"/>
      <c r="G454" s="27" t="n"/>
      <c r="H454" s="27" t="n"/>
      <c r="I454" s="27" t="n"/>
      <c r="J454" s="27" t="n"/>
      <c r="K454" s="27" t="n"/>
      <c r="L454" s="27" t="n"/>
      <c r="M454" s="27" t="n"/>
      <c r="N454" s="27" t="n"/>
      <c r="O454" s="27" t="n"/>
      <c r="P454" s="27" t="n"/>
      <c r="Q454" s="27" t="n"/>
      <c r="R454" s="27" t="n"/>
      <c r="S454" s="27" t="n"/>
      <c r="T454" s="27" t="n"/>
      <c r="U454" s="27" t="n"/>
      <c r="V454" s="27" t="n"/>
      <c r="W454" s="27" t="n"/>
      <c r="X454" s="27" t="n"/>
      <c r="Y454" s="27" t="n"/>
      <c r="Z454" s="27" t="n"/>
    </row>
    <row r="455" ht="16.5" customHeight="1" s="117">
      <c r="A455" s="27" t="n"/>
      <c r="B455" s="27" t="n"/>
      <c r="C455" s="27" t="n"/>
      <c r="D455" s="27" t="n"/>
      <c r="E455" s="27" t="n"/>
      <c r="F455" s="27" t="n"/>
      <c r="G455" s="27" t="n"/>
      <c r="H455" s="27" t="n"/>
      <c r="I455" s="27" t="n"/>
      <c r="J455" s="27" t="n"/>
      <c r="K455" s="27" t="n"/>
      <c r="L455" s="27" t="n"/>
      <c r="M455" s="27" t="n"/>
      <c r="N455" s="27" t="n"/>
      <c r="O455" s="27" t="n"/>
      <c r="P455" s="27" t="n"/>
      <c r="Q455" s="27" t="n"/>
      <c r="R455" s="27" t="n"/>
      <c r="S455" s="27" t="n"/>
      <c r="T455" s="27" t="n"/>
      <c r="U455" s="27" t="n"/>
      <c r="V455" s="27" t="n"/>
      <c r="W455" s="27" t="n"/>
      <c r="X455" s="27" t="n"/>
      <c r="Y455" s="27" t="n"/>
      <c r="Z455" s="27" t="n"/>
    </row>
    <row r="456" ht="16.5" customHeight="1" s="117">
      <c r="A456" s="27" t="n"/>
      <c r="B456" s="27" t="n"/>
      <c r="C456" s="27" t="n"/>
      <c r="D456" s="27" t="n"/>
      <c r="E456" s="27" t="n"/>
      <c r="F456" s="27" t="n"/>
      <c r="G456" s="27" t="n"/>
      <c r="H456" s="27" t="n"/>
      <c r="I456" s="27" t="n"/>
      <c r="J456" s="27" t="n"/>
      <c r="K456" s="27" t="n"/>
      <c r="L456" s="27" t="n"/>
      <c r="M456" s="27" t="n"/>
      <c r="N456" s="27" t="n"/>
      <c r="O456" s="27" t="n"/>
      <c r="P456" s="27" t="n"/>
      <c r="Q456" s="27" t="n"/>
      <c r="R456" s="27" t="n"/>
      <c r="S456" s="27" t="n"/>
      <c r="T456" s="27" t="n"/>
      <c r="U456" s="27" t="n"/>
      <c r="V456" s="27" t="n"/>
      <c r="W456" s="27" t="n"/>
      <c r="X456" s="27" t="n"/>
      <c r="Y456" s="27" t="n"/>
      <c r="Z456" s="27" t="n"/>
    </row>
    <row r="457" ht="16.5" customHeight="1" s="117">
      <c r="A457" s="27" t="n"/>
      <c r="B457" s="27" t="n"/>
      <c r="C457" s="27" t="n"/>
      <c r="D457" s="27" t="n"/>
      <c r="E457" s="27" t="n"/>
      <c r="F457" s="27" t="n"/>
      <c r="G457" s="27" t="n"/>
      <c r="H457" s="27" t="n"/>
      <c r="I457" s="27" t="n"/>
      <c r="J457" s="27" t="n"/>
      <c r="K457" s="27" t="n"/>
      <c r="L457" s="27" t="n"/>
      <c r="M457" s="27" t="n"/>
      <c r="N457" s="27" t="n"/>
      <c r="O457" s="27" t="n"/>
      <c r="P457" s="27" t="n"/>
      <c r="Q457" s="27" t="n"/>
      <c r="R457" s="27" t="n"/>
      <c r="S457" s="27" t="n"/>
      <c r="T457" s="27" t="n"/>
      <c r="U457" s="27" t="n"/>
      <c r="V457" s="27" t="n"/>
      <c r="W457" s="27" t="n"/>
      <c r="X457" s="27" t="n"/>
      <c r="Y457" s="27" t="n"/>
      <c r="Z457" s="27" t="n"/>
    </row>
    <row r="458" ht="16.5" customHeight="1" s="117">
      <c r="A458" s="27" t="n"/>
      <c r="B458" s="27" t="n"/>
      <c r="C458" s="27" t="n"/>
      <c r="D458" s="27" t="n"/>
      <c r="E458" s="27" t="n"/>
      <c r="F458" s="27" t="n"/>
      <c r="G458" s="27" t="n"/>
      <c r="H458" s="27" t="n"/>
      <c r="I458" s="27" t="n"/>
      <c r="J458" s="27" t="n"/>
      <c r="K458" s="27" t="n"/>
      <c r="L458" s="27" t="n"/>
      <c r="M458" s="27" t="n"/>
      <c r="N458" s="27" t="n"/>
      <c r="O458" s="27" t="n"/>
      <c r="P458" s="27" t="n"/>
      <c r="Q458" s="27" t="n"/>
      <c r="R458" s="27" t="n"/>
      <c r="S458" s="27" t="n"/>
      <c r="T458" s="27" t="n"/>
      <c r="U458" s="27" t="n"/>
      <c r="V458" s="27" t="n"/>
      <c r="W458" s="27" t="n"/>
      <c r="X458" s="27" t="n"/>
      <c r="Y458" s="27" t="n"/>
      <c r="Z458" s="27" t="n"/>
    </row>
    <row r="459" ht="16.5" customHeight="1" s="117">
      <c r="A459" s="27" t="n"/>
      <c r="B459" s="27" t="n"/>
      <c r="C459" s="27" t="n"/>
      <c r="D459" s="27" t="n"/>
      <c r="E459" s="27" t="n"/>
      <c r="F459" s="27" t="n"/>
      <c r="G459" s="27" t="n"/>
      <c r="H459" s="27" t="n"/>
      <c r="I459" s="27" t="n"/>
      <c r="J459" s="27" t="n"/>
      <c r="K459" s="27" t="n"/>
      <c r="L459" s="27" t="n"/>
      <c r="M459" s="27" t="n"/>
      <c r="N459" s="27" t="n"/>
      <c r="O459" s="27" t="n"/>
      <c r="P459" s="27" t="n"/>
      <c r="Q459" s="27" t="n"/>
      <c r="R459" s="27" t="n"/>
      <c r="S459" s="27" t="n"/>
      <c r="T459" s="27" t="n"/>
      <c r="U459" s="27" t="n"/>
      <c r="V459" s="27" t="n"/>
      <c r="W459" s="27" t="n"/>
      <c r="X459" s="27" t="n"/>
      <c r="Y459" s="27" t="n"/>
      <c r="Z459" s="27" t="n"/>
    </row>
    <row r="460" ht="16.5" customHeight="1" s="117">
      <c r="A460" s="27" t="n"/>
      <c r="B460" s="27" t="n"/>
      <c r="C460" s="27" t="n"/>
      <c r="D460" s="27" t="n"/>
      <c r="E460" s="27" t="n"/>
      <c r="F460" s="27" t="n"/>
      <c r="G460" s="27" t="n"/>
      <c r="H460" s="27" t="n"/>
      <c r="I460" s="27" t="n"/>
      <c r="J460" s="27" t="n"/>
      <c r="K460" s="27" t="n"/>
      <c r="L460" s="27" t="n"/>
      <c r="M460" s="27" t="n"/>
      <c r="N460" s="27" t="n"/>
      <c r="O460" s="27" t="n"/>
      <c r="P460" s="27" t="n"/>
      <c r="Q460" s="27" t="n"/>
      <c r="R460" s="27" t="n"/>
      <c r="S460" s="27" t="n"/>
      <c r="T460" s="27" t="n"/>
      <c r="U460" s="27" t="n"/>
      <c r="V460" s="27" t="n"/>
      <c r="W460" s="27" t="n"/>
      <c r="X460" s="27" t="n"/>
      <c r="Y460" s="27" t="n"/>
      <c r="Z460" s="27" t="n"/>
    </row>
    <row r="461" ht="16.5" customHeight="1" s="117">
      <c r="A461" s="27" t="n"/>
      <c r="B461" s="27" t="n"/>
      <c r="C461" s="27" t="n"/>
      <c r="D461" s="27" t="n"/>
      <c r="E461" s="27" t="n"/>
      <c r="F461" s="27" t="n"/>
      <c r="G461" s="27" t="n"/>
      <c r="H461" s="27" t="n"/>
      <c r="I461" s="27" t="n"/>
      <c r="J461" s="27" t="n"/>
      <c r="K461" s="27" t="n"/>
      <c r="L461" s="27" t="n"/>
      <c r="M461" s="27" t="n"/>
      <c r="N461" s="27" t="n"/>
      <c r="O461" s="27" t="n"/>
      <c r="P461" s="27" t="n"/>
      <c r="Q461" s="27" t="n"/>
      <c r="R461" s="27" t="n"/>
      <c r="S461" s="27" t="n"/>
      <c r="T461" s="27" t="n"/>
      <c r="U461" s="27" t="n"/>
      <c r="V461" s="27" t="n"/>
      <c r="W461" s="27" t="n"/>
      <c r="X461" s="27" t="n"/>
      <c r="Y461" s="27" t="n"/>
      <c r="Z461" s="27" t="n"/>
    </row>
    <row r="462" ht="16.5" customHeight="1" s="117">
      <c r="A462" s="27" t="n"/>
      <c r="B462" s="27" t="n"/>
      <c r="C462" s="27" t="n"/>
      <c r="D462" s="27" t="n"/>
      <c r="E462" s="27" t="n"/>
      <c r="F462" s="27" t="n"/>
      <c r="G462" s="27" t="n"/>
      <c r="H462" s="27" t="n"/>
      <c r="I462" s="27" t="n"/>
      <c r="J462" s="27" t="n"/>
      <c r="K462" s="27" t="n"/>
      <c r="L462" s="27" t="n"/>
      <c r="M462" s="27" t="n"/>
      <c r="N462" s="27" t="n"/>
      <c r="O462" s="27" t="n"/>
      <c r="P462" s="27" t="n"/>
      <c r="Q462" s="27" t="n"/>
      <c r="R462" s="27" t="n"/>
      <c r="S462" s="27" t="n"/>
      <c r="T462" s="27" t="n"/>
      <c r="U462" s="27" t="n"/>
      <c r="V462" s="27" t="n"/>
      <c r="W462" s="27" t="n"/>
      <c r="X462" s="27" t="n"/>
      <c r="Y462" s="27" t="n"/>
      <c r="Z462" s="27" t="n"/>
    </row>
    <row r="463" ht="16.5" customHeight="1" s="117">
      <c r="A463" s="27" t="n"/>
      <c r="B463" s="27" t="n"/>
      <c r="C463" s="27" t="n"/>
      <c r="D463" s="27" t="n"/>
      <c r="E463" s="27" t="n"/>
      <c r="F463" s="27" t="n"/>
      <c r="G463" s="27" t="n"/>
      <c r="H463" s="27" t="n"/>
      <c r="I463" s="27" t="n"/>
      <c r="J463" s="27" t="n"/>
      <c r="K463" s="27" t="n"/>
      <c r="L463" s="27" t="n"/>
      <c r="M463" s="27" t="n"/>
      <c r="N463" s="27" t="n"/>
      <c r="O463" s="27" t="n"/>
      <c r="P463" s="27" t="n"/>
      <c r="Q463" s="27" t="n"/>
      <c r="R463" s="27" t="n"/>
      <c r="S463" s="27" t="n"/>
      <c r="T463" s="27" t="n"/>
      <c r="U463" s="27" t="n"/>
      <c r="V463" s="27" t="n"/>
      <c r="W463" s="27" t="n"/>
      <c r="X463" s="27" t="n"/>
      <c r="Y463" s="27" t="n"/>
      <c r="Z463" s="27" t="n"/>
    </row>
    <row r="464" ht="16.5" customHeight="1" s="117">
      <c r="A464" s="27" t="n"/>
      <c r="B464" s="27" t="n"/>
      <c r="C464" s="27" t="n"/>
      <c r="D464" s="27" t="n"/>
      <c r="E464" s="27" t="n"/>
      <c r="F464" s="27" t="n"/>
      <c r="G464" s="27" t="n"/>
      <c r="H464" s="27" t="n"/>
      <c r="I464" s="27" t="n"/>
      <c r="J464" s="27" t="n"/>
      <c r="K464" s="27" t="n"/>
      <c r="L464" s="27" t="n"/>
      <c r="M464" s="27" t="n"/>
      <c r="N464" s="27" t="n"/>
      <c r="O464" s="27" t="n"/>
      <c r="P464" s="27" t="n"/>
      <c r="Q464" s="27" t="n"/>
      <c r="R464" s="27" t="n"/>
      <c r="S464" s="27" t="n"/>
      <c r="T464" s="27" t="n"/>
      <c r="U464" s="27" t="n"/>
      <c r="V464" s="27" t="n"/>
      <c r="W464" s="27" t="n"/>
      <c r="X464" s="27" t="n"/>
      <c r="Y464" s="27" t="n"/>
      <c r="Z464" s="27" t="n"/>
    </row>
    <row r="465" ht="16.5" customHeight="1" s="117">
      <c r="A465" s="27" t="n"/>
      <c r="B465" s="27" t="n"/>
      <c r="C465" s="27" t="n"/>
      <c r="D465" s="27" t="n"/>
      <c r="E465" s="27" t="n"/>
      <c r="F465" s="27" t="n"/>
      <c r="G465" s="27" t="n"/>
      <c r="H465" s="27" t="n"/>
      <c r="I465" s="27" t="n"/>
      <c r="J465" s="27" t="n"/>
      <c r="K465" s="27" t="n"/>
      <c r="L465" s="27" t="n"/>
      <c r="M465" s="27" t="n"/>
      <c r="N465" s="27" t="n"/>
      <c r="O465" s="27" t="n"/>
      <c r="P465" s="27" t="n"/>
      <c r="Q465" s="27" t="n"/>
      <c r="R465" s="27" t="n"/>
      <c r="S465" s="27" t="n"/>
      <c r="T465" s="27" t="n"/>
      <c r="U465" s="27" t="n"/>
      <c r="V465" s="27" t="n"/>
      <c r="W465" s="27" t="n"/>
      <c r="X465" s="27" t="n"/>
      <c r="Y465" s="27" t="n"/>
      <c r="Z465" s="27" t="n"/>
    </row>
    <row r="466" ht="16.5" customHeight="1" s="117">
      <c r="A466" s="27" t="n"/>
      <c r="B466" s="27" t="n"/>
      <c r="C466" s="27" t="n"/>
      <c r="D466" s="27" t="n"/>
      <c r="E466" s="27" t="n"/>
      <c r="F466" s="27" t="n"/>
      <c r="G466" s="27" t="n"/>
      <c r="H466" s="27" t="n"/>
      <c r="I466" s="27" t="n"/>
      <c r="J466" s="27" t="n"/>
      <c r="K466" s="27" t="n"/>
      <c r="L466" s="27" t="n"/>
      <c r="M466" s="27" t="n"/>
      <c r="N466" s="27" t="n"/>
      <c r="O466" s="27" t="n"/>
      <c r="P466" s="27" t="n"/>
      <c r="Q466" s="27" t="n"/>
      <c r="R466" s="27" t="n"/>
      <c r="S466" s="27" t="n"/>
      <c r="T466" s="27" t="n"/>
      <c r="U466" s="27" t="n"/>
      <c r="V466" s="27" t="n"/>
      <c r="W466" s="27" t="n"/>
      <c r="X466" s="27" t="n"/>
      <c r="Y466" s="27" t="n"/>
      <c r="Z466" s="27" t="n"/>
    </row>
    <row r="467" ht="16.5" customHeight="1" s="117">
      <c r="A467" s="27" t="n"/>
      <c r="B467" s="27" t="n"/>
      <c r="C467" s="27" t="n"/>
      <c r="D467" s="27" t="n"/>
      <c r="E467" s="27" t="n"/>
      <c r="F467" s="27" t="n"/>
      <c r="G467" s="27" t="n"/>
      <c r="H467" s="27" t="n"/>
      <c r="I467" s="27" t="n"/>
      <c r="J467" s="27" t="n"/>
      <c r="K467" s="27" t="n"/>
      <c r="L467" s="27" t="n"/>
      <c r="M467" s="27" t="n"/>
      <c r="N467" s="27" t="n"/>
      <c r="O467" s="27" t="n"/>
      <c r="P467" s="27" t="n"/>
      <c r="Q467" s="27" t="n"/>
      <c r="R467" s="27" t="n"/>
      <c r="S467" s="27" t="n"/>
      <c r="T467" s="27" t="n"/>
      <c r="U467" s="27" t="n"/>
      <c r="V467" s="27" t="n"/>
      <c r="W467" s="27" t="n"/>
      <c r="X467" s="27" t="n"/>
      <c r="Y467" s="27" t="n"/>
      <c r="Z467" s="27" t="n"/>
    </row>
    <row r="468" ht="16.5" customHeight="1" s="117">
      <c r="A468" s="27" t="n"/>
      <c r="B468" s="27" t="n"/>
      <c r="C468" s="27" t="n"/>
      <c r="D468" s="27" t="n"/>
      <c r="E468" s="27" t="n"/>
      <c r="F468" s="27" t="n"/>
      <c r="G468" s="27" t="n"/>
      <c r="H468" s="27" t="n"/>
      <c r="I468" s="27" t="n"/>
      <c r="J468" s="27" t="n"/>
      <c r="K468" s="27" t="n"/>
      <c r="L468" s="27" t="n"/>
      <c r="M468" s="27" t="n"/>
      <c r="N468" s="27" t="n"/>
      <c r="O468" s="27" t="n"/>
      <c r="P468" s="27" t="n"/>
      <c r="Q468" s="27" t="n"/>
      <c r="R468" s="27" t="n"/>
      <c r="S468" s="27" t="n"/>
      <c r="T468" s="27" t="n"/>
      <c r="U468" s="27" t="n"/>
      <c r="V468" s="27" t="n"/>
      <c r="W468" s="27" t="n"/>
      <c r="X468" s="27" t="n"/>
      <c r="Y468" s="27" t="n"/>
      <c r="Z468" s="27" t="n"/>
    </row>
    <row r="469" ht="16.5" customHeight="1" s="117">
      <c r="A469" s="27" t="n"/>
      <c r="B469" s="27" t="n"/>
      <c r="C469" s="27" t="n"/>
      <c r="D469" s="27" t="n"/>
      <c r="E469" s="27" t="n"/>
      <c r="F469" s="27" t="n"/>
      <c r="G469" s="27" t="n"/>
      <c r="H469" s="27" t="n"/>
      <c r="I469" s="27" t="n"/>
      <c r="J469" s="27" t="n"/>
      <c r="K469" s="27" t="n"/>
      <c r="L469" s="27" t="n"/>
      <c r="M469" s="27" t="n"/>
      <c r="N469" s="27" t="n"/>
      <c r="O469" s="27" t="n"/>
      <c r="P469" s="27" t="n"/>
      <c r="Q469" s="27" t="n"/>
      <c r="R469" s="27" t="n"/>
      <c r="S469" s="27" t="n"/>
      <c r="T469" s="27" t="n"/>
      <c r="U469" s="27" t="n"/>
      <c r="V469" s="27" t="n"/>
      <c r="W469" s="27" t="n"/>
      <c r="X469" s="27" t="n"/>
      <c r="Y469" s="27" t="n"/>
      <c r="Z469" s="27" t="n"/>
    </row>
    <row r="470" ht="16.5" customHeight="1" s="117">
      <c r="A470" s="27" t="n"/>
      <c r="B470" s="27" t="n"/>
      <c r="C470" s="27" t="n"/>
      <c r="D470" s="27" t="n"/>
      <c r="E470" s="27" t="n"/>
      <c r="F470" s="27" t="n"/>
      <c r="G470" s="27" t="n"/>
      <c r="H470" s="27" t="n"/>
      <c r="I470" s="27" t="n"/>
      <c r="J470" s="27" t="n"/>
      <c r="K470" s="27" t="n"/>
      <c r="L470" s="27" t="n"/>
      <c r="M470" s="27" t="n"/>
      <c r="N470" s="27" t="n"/>
      <c r="O470" s="27" t="n"/>
      <c r="P470" s="27" t="n"/>
      <c r="Q470" s="27" t="n"/>
      <c r="R470" s="27" t="n"/>
      <c r="S470" s="27" t="n"/>
      <c r="T470" s="27" t="n"/>
      <c r="U470" s="27" t="n"/>
      <c r="V470" s="27" t="n"/>
      <c r="W470" s="27" t="n"/>
      <c r="X470" s="27" t="n"/>
      <c r="Y470" s="27" t="n"/>
      <c r="Z470" s="27" t="n"/>
    </row>
    <row r="471" ht="16.5" customHeight="1" s="117">
      <c r="A471" s="27" t="n"/>
      <c r="B471" s="27" t="n"/>
      <c r="C471" s="27" t="n"/>
      <c r="D471" s="27" t="n"/>
      <c r="E471" s="27" t="n"/>
      <c r="F471" s="27" t="n"/>
      <c r="G471" s="27" t="n"/>
      <c r="H471" s="27" t="n"/>
      <c r="I471" s="27" t="n"/>
      <c r="J471" s="27" t="n"/>
      <c r="K471" s="27" t="n"/>
      <c r="L471" s="27" t="n"/>
      <c r="M471" s="27" t="n"/>
      <c r="N471" s="27" t="n"/>
      <c r="O471" s="27" t="n"/>
      <c r="P471" s="27" t="n"/>
      <c r="Q471" s="27" t="n"/>
      <c r="R471" s="27" t="n"/>
      <c r="S471" s="27" t="n"/>
      <c r="T471" s="27" t="n"/>
      <c r="U471" s="27" t="n"/>
      <c r="V471" s="27" t="n"/>
      <c r="W471" s="27" t="n"/>
      <c r="X471" s="27" t="n"/>
      <c r="Y471" s="27" t="n"/>
      <c r="Z471" s="27" t="n"/>
    </row>
    <row r="472" ht="16.5" customHeight="1" s="117">
      <c r="A472" s="27" t="n"/>
      <c r="B472" s="27" t="n"/>
      <c r="C472" s="27" t="n"/>
      <c r="D472" s="27" t="n"/>
      <c r="E472" s="27" t="n"/>
      <c r="F472" s="27" t="n"/>
      <c r="G472" s="27" t="n"/>
      <c r="H472" s="27" t="n"/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n"/>
      <c r="R472" s="27" t="n"/>
      <c r="S472" s="27" t="n"/>
      <c r="T472" s="27" t="n"/>
      <c r="U472" s="27" t="n"/>
      <c r="V472" s="27" t="n"/>
      <c r="W472" s="27" t="n"/>
      <c r="X472" s="27" t="n"/>
      <c r="Y472" s="27" t="n"/>
      <c r="Z472" s="27" t="n"/>
    </row>
    <row r="473" ht="16.5" customHeight="1" s="117">
      <c r="A473" s="27" t="n"/>
      <c r="B473" s="27" t="n"/>
      <c r="C473" s="27" t="n"/>
      <c r="D473" s="27" t="n"/>
      <c r="E473" s="27" t="n"/>
      <c r="F473" s="27" t="n"/>
      <c r="G473" s="27" t="n"/>
      <c r="H473" s="27" t="n"/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n"/>
      <c r="R473" s="27" t="n"/>
      <c r="S473" s="27" t="n"/>
      <c r="T473" s="27" t="n"/>
      <c r="U473" s="27" t="n"/>
      <c r="V473" s="27" t="n"/>
      <c r="W473" s="27" t="n"/>
      <c r="X473" s="27" t="n"/>
      <c r="Y473" s="27" t="n"/>
      <c r="Z473" s="27" t="n"/>
    </row>
    <row r="474" ht="16.5" customHeight="1" s="117">
      <c r="A474" s="27" t="n"/>
      <c r="B474" s="27" t="n"/>
      <c r="C474" s="27" t="n"/>
      <c r="D474" s="27" t="n"/>
      <c r="E474" s="27" t="n"/>
      <c r="F474" s="27" t="n"/>
      <c r="G474" s="27" t="n"/>
      <c r="H474" s="27" t="n"/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n"/>
      <c r="R474" s="27" t="n"/>
      <c r="S474" s="27" t="n"/>
      <c r="T474" s="27" t="n"/>
      <c r="U474" s="27" t="n"/>
      <c r="V474" s="27" t="n"/>
      <c r="W474" s="27" t="n"/>
      <c r="X474" s="27" t="n"/>
      <c r="Y474" s="27" t="n"/>
      <c r="Z474" s="27" t="n"/>
    </row>
    <row r="475" ht="16.5" customHeight="1" s="117">
      <c r="A475" s="27" t="n"/>
      <c r="B475" s="27" t="n"/>
      <c r="C475" s="27" t="n"/>
      <c r="D475" s="27" t="n"/>
      <c r="E475" s="27" t="n"/>
      <c r="F475" s="27" t="n"/>
      <c r="G475" s="27" t="n"/>
      <c r="H475" s="27" t="n"/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n"/>
      <c r="R475" s="27" t="n"/>
      <c r="S475" s="27" t="n"/>
      <c r="T475" s="27" t="n"/>
      <c r="U475" s="27" t="n"/>
      <c r="V475" s="27" t="n"/>
      <c r="W475" s="27" t="n"/>
      <c r="X475" s="27" t="n"/>
      <c r="Y475" s="27" t="n"/>
      <c r="Z475" s="27" t="n"/>
    </row>
    <row r="476" ht="16.5" customHeight="1" s="117">
      <c r="A476" s="27" t="n"/>
      <c r="B476" s="27" t="n"/>
      <c r="C476" s="27" t="n"/>
      <c r="D476" s="27" t="n"/>
      <c r="E476" s="27" t="n"/>
      <c r="F476" s="27" t="n"/>
      <c r="G476" s="27" t="n"/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n"/>
      <c r="R476" s="27" t="n"/>
      <c r="S476" s="27" t="n"/>
      <c r="T476" s="27" t="n"/>
      <c r="U476" s="27" t="n"/>
      <c r="V476" s="27" t="n"/>
      <c r="W476" s="27" t="n"/>
      <c r="X476" s="27" t="n"/>
      <c r="Y476" s="27" t="n"/>
      <c r="Z476" s="27" t="n"/>
    </row>
    <row r="477" ht="16.5" customHeight="1" s="117">
      <c r="A477" s="27" t="n"/>
      <c r="B477" s="27" t="n"/>
      <c r="C477" s="27" t="n"/>
      <c r="D477" s="27" t="n"/>
      <c r="E477" s="27" t="n"/>
      <c r="F477" s="27" t="n"/>
      <c r="G477" s="27" t="n"/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n"/>
      <c r="R477" s="27" t="n"/>
      <c r="S477" s="27" t="n"/>
      <c r="T477" s="27" t="n"/>
      <c r="U477" s="27" t="n"/>
      <c r="V477" s="27" t="n"/>
      <c r="W477" s="27" t="n"/>
      <c r="X477" s="27" t="n"/>
      <c r="Y477" s="27" t="n"/>
      <c r="Z477" s="27" t="n"/>
    </row>
    <row r="478" ht="16.5" customHeight="1" s="117">
      <c r="A478" s="27" t="n"/>
      <c r="B478" s="27" t="n"/>
      <c r="C478" s="27" t="n"/>
      <c r="D478" s="27" t="n"/>
      <c r="E478" s="27" t="n"/>
      <c r="F478" s="27" t="n"/>
      <c r="G478" s="27" t="n"/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n"/>
      <c r="R478" s="27" t="n"/>
      <c r="S478" s="27" t="n"/>
      <c r="T478" s="27" t="n"/>
      <c r="U478" s="27" t="n"/>
      <c r="V478" s="27" t="n"/>
      <c r="W478" s="27" t="n"/>
      <c r="X478" s="27" t="n"/>
      <c r="Y478" s="27" t="n"/>
      <c r="Z478" s="27" t="n"/>
    </row>
    <row r="479" ht="16.5" customHeight="1" s="117">
      <c r="A479" s="27" t="n"/>
      <c r="B479" s="27" t="n"/>
      <c r="C479" s="27" t="n"/>
      <c r="D479" s="27" t="n"/>
      <c r="E479" s="27" t="n"/>
      <c r="F479" s="27" t="n"/>
      <c r="G479" s="27" t="n"/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n"/>
      <c r="R479" s="27" t="n"/>
      <c r="S479" s="27" t="n"/>
      <c r="T479" s="27" t="n"/>
      <c r="U479" s="27" t="n"/>
      <c r="V479" s="27" t="n"/>
      <c r="W479" s="27" t="n"/>
      <c r="X479" s="27" t="n"/>
      <c r="Y479" s="27" t="n"/>
      <c r="Z479" s="27" t="n"/>
    </row>
    <row r="480" ht="16.5" customHeight="1" s="117">
      <c r="A480" s="27" t="n"/>
      <c r="B480" s="27" t="n"/>
      <c r="C480" s="27" t="n"/>
      <c r="D480" s="27" t="n"/>
      <c r="E480" s="27" t="n"/>
      <c r="F480" s="27" t="n"/>
      <c r="G480" s="27" t="n"/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n"/>
      <c r="R480" s="27" t="n"/>
      <c r="S480" s="27" t="n"/>
      <c r="T480" s="27" t="n"/>
      <c r="U480" s="27" t="n"/>
      <c r="V480" s="27" t="n"/>
      <c r="W480" s="27" t="n"/>
      <c r="X480" s="27" t="n"/>
      <c r="Y480" s="27" t="n"/>
      <c r="Z480" s="27" t="n"/>
    </row>
    <row r="481" ht="16.5" customHeight="1" s="117">
      <c r="A481" s="27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  <c r="T481" s="27" t="n"/>
      <c r="U481" s="27" t="n"/>
      <c r="V481" s="27" t="n"/>
      <c r="W481" s="27" t="n"/>
      <c r="X481" s="27" t="n"/>
      <c r="Y481" s="27" t="n"/>
      <c r="Z481" s="27" t="n"/>
    </row>
    <row r="482" ht="16.5" customHeight="1" s="117">
      <c r="A482" s="27" t="n"/>
      <c r="B482" s="27" t="n"/>
      <c r="C482" s="27" t="n"/>
      <c r="D482" s="27" t="n"/>
      <c r="E482" s="27" t="n"/>
      <c r="F482" s="27" t="n"/>
      <c r="G482" s="27" t="n"/>
      <c r="H482" s="27" t="n"/>
      <c r="I482" s="27" t="n"/>
      <c r="J482" s="27" t="n"/>
      <c r="K482" s="27" t="n"/>
      <c r="L482" s="27" t="n"/>
      <c r="M482" s="27" t="n"/>
      <c r="N482" s="27" t="n"/>
      <c r="O482" s="27" t="n"/>
      <c r="P482" s="27" t="n"/>
      <c r="Q482" s="27" t="n"/>
      <c r="R482" s="27" t="n"/>
      <c r="S482" s="27" t="n"/>
      <c r="T482" s="27" t="n"/>
      <c r="U482" s="27" t="n"/>
      <c r="V482" s="27" t="n"/>
      <c r="W482" s="27" t="n"/>
      <c r="X482" s="27" t="n"/>
      <c r="Y482" s="27" t="n"/>
      <c r="Z482" s="27" t="n"/>
    </row>
    <row r="483" ht="16.5" customHeight="1" s="117">
      <c r="A483" s="27" t="n"/>
      <c r="B483" s="27" t="n"/>
      <c r="C483" s="27" t="n"/>
      <c r="D483" s="27" t="n"/>
      <c r="E483" s="27" t="n"/>
      <c r="F483" s="27" t="n"/>
      <c r="G483" s="27" t="n"/>
      <c r="H483" s="27" t="n"/>
      <c r="I483" s="27" t="n"/>
      <c r="J483" s="27" t="n"/>
      <c r="K483" s="27" t="n"/>
      <c r="L483" s="27" t="n"/>
      <c r="M483" s="27" t="n"/>
      <c r="N483" s="27" t="n"/>
      <c r="O483" s="27" t="n"/>
      <c r="P483" s="27" t="n"/>
      <c r="Q483" s="27" t="n"/>
      <c r="R483" s="27" t="n"/>
      <c r="S483" s="27" t="n"/>
      <c r="T483" s="27" t="n"/>
      <c r="U483" s="27" t="n"/>
      <c r="V483" s="27" t="n"/>
      <c r="W483" s="27" t="n"/>
      <c r="X483" s="27" t="n"/>
      <c r="Y483" s="27" t="n"/>
      <c r="Z483" s="27" t="n"/>
    </row>
    <row r="484" ht="16.5" customHeight="1" s="117">
      <c r="A484" s="27" t="n"/>
      <c r="B484" s="27" t="n"/>
      <c r="C484" s="27" t="n"/>
      <c r="D484" s="27" t="n"/>
      <c r="E484" s="27" t="n"/>
      <c r="F484" s="27" t="n"/>
      <c r="G484" s="27" t="n"/>
      <c r="H484" s="27" t="n"/>
      <c r="I484" s="27" t="n"/>
      <c r="J484" s="27" t="n"/>
      <c r="K484" s="27" t="n"/>
      <c r="L484" s="27" t="n"/>
      <c r="M484" s="27" t="n"/>
      <c r="N484" s="27" t="n"/>
      <c r="O484" s="27" t="n"/>
      <c r="P484" s="27" t="n"/>
      <c r="Q484" s="27" t="n"/>
      <c r="R484" s="27" t="n"/>
      <c r="S484" s="27" t="n"/>
      <c r="T484" s="27" t="n"/>
      <c r="U484" s="27" t="n"/>
      <c r="V484" s="27" t="n"/>
      <c r="W484" s="27" t="n"/>
      <c r="X484" s="27" t="n"/>
      <c r="Y484" s="27" t="n"/>
      <c r="Z484" s="27" t="n"/>
    </row>
    <row r="485" ht="16.5" customHeight="1" s="117">
      <c r="A485" s="27" t="n"/>
      <c r="B485" s="27" t="n"/>
      <c r="C485" s="27" t="n"/>
      <c r="D485" s="27" t="n"/>
      <c r="E485" s="27" t="n"/>
      <c r="F485" s="27" t="n"/>
      <c r="G485" s="27" t="n"/>
      <c r="H485" s="27" t="n"/>
      <c r="I485" s="27" t="n"/>
      <c r="J485" s="27" t="n"/>
      <c r="K485" s="27" t="n"/>
      <c r="L485" s="27" t="n"/>
      <c r="M485" s="27" t="n"/>
      <c r="N485" s="27" t="n"/>
      <c r="O485" s="27" t="n"/>
      <c r="P485" s="27" t="n"/>
      <c r="Q485" s="27" t="n"/>
      <c r="R485" s="27" t="n"/>
      <c r="S485" s="27" t="n"/>
      <c r="T485" s="27" t="n"/>
      <c r="U485" s="27" t="n"/>
      <c r="V485" s="27" t="n"/>
      <c r="W485" s="27" t="n"/>
      <c r="X485" s="27" t="n"/>
      <c r="Y485" s="27" t="n"/>
      <c r="Z485" s="27" t="n"/>
    </row>
    <row r="486" ht="16.5" customHeight="1" s="117">
      <c r="A486" s="27" t="n"/>
      <c r="B486" s="27" t="n"/>
      <c r="C486" s="27" t="n"/>
      <c r="D486" s="27" t="n"/>
      <c r="E486" s="27" t="n"/>
      <c r="F486" s="27" t="n"/>
      <c r="G486" s="27" t="n"/>
      <c r="H486" s="27" t="n"/>
      <c r="I486" s="27" t="n"/>
      <c r="J486" s="27" t="n"/>
      <c r="K486" s="27" t="n"/>
      <c r="L486" s="27" t="n"/>
      <c r="M486" s="27" t="n"/>
      <c r="N486" s="27" t="n"/>
      <c r="O486" s="27" t="n"/>
      <c r="P486" s="27" t="n"/>
      <c r="Q486" s="27" t="n"/>
      <c r="R486" s="27" t="n"/>
      <c r="S486" s="27" t="n"/>
      <c r="T486" s="27" t="n"/>
      <c r="U486" s="27" t="n"/>
      <c r="V486" s="27" t="n"/>
      <c r="W486" s="27" t="n"/>
      <c r="X486" s="27" t="n"/>
      <c r="Y486" s="27" t="n"/>
      <c r="Z486" s="27" t="n"/>
    </row>
    <row r="487" ht="16.5" customHeight="1" s="117">
      <c r="A487" s="27" t="n"/>
      <c r="B487" s="27" t="n"/>
      <c r="C487" s="27" t="n"/>
      <c r="D487" s="27" t="n"/>
      <c r="E487" s="27" t="n"/>
      <c r="F487" s="27" t="n"/>
      <c r="G487" s="27" t="n"/>
      <c r="H487" s="27" t="n"/>
      <c r="I487" s="27" t="n"/>
      <c r="J487" s="27" t="n"/>
      <c r="K487" s="27" t="n"/>
      <c r="L487" s="27" t="n"/>
      <c r="M487" s="27" t="n"/>
      <c r="N487" s="27" t="n"/>
      <c r="O487" s="27" t="n"/>
      <c r="P487" s="27" t="n"/>
      <c r="Q487" s="27" t="n"/>
      <c r="R487" s="27" t="n"/>
      <c r="S487" s="27" t="n"/>
      <c r="T487" s="27" t="n"/>
      <c r="U487" s="27" t="n"/>
      <c r="V487" s="27" t="n"/>
      <c r="W487" s="27" t="n"/>
      <c r="X487" s="27" t="n"/>
      <c r="Y487" s="27" t="n"/>
      <c r="Z487" s="27" t="n"/>
    </row>
    <row r="488" ht="16.5" customHeight="1" s="117">
      <c r="A488" s="27" t="n"/>
      <c r="B488" s="27" t="n"/>
      <c r="C488" s="27" t="n"/>
      <c r="D488" s="27" t="n"/>
      <c r="E488" s="27" t="n"/>
      <c r="F488" s="27" t="n"/>
      <c r="G488" s="27" t="n"/>
      <c r="H488" s="27" t="n"/>
      <c r="I488" s="27" t="n"/>
      <c r="J488" s="27" t="n"/>
      <c r="K488" s="27" t="n"/>
      <c r="L488" s="27" t="n"/>
      <c r="M488" s="27" t="n"/>
      <c r="N488" s="27" t="n"/>
      <c r="O488" s="27" t="n"/>
      <c r="P488" s="27" t="n"/>
      <c r="Q488" s="27" t="n"/>
      <c r="R488" s="27" t="n"/>
      <c r="S488" s="27" t="n"/>
      <c r="T488" s="27" t="n"/>
      <c r="U488" s="27" t="n"/>
      <c r="V488" s="27" t="n"/>
      <c r="W488" s="27" t="n"/>
      <c r="X488" s="27" t="n"/>
      <c r="Y488" s="27" t="n"/>
      <c r="Z488" s="27" t="n"/>
    </row>
    <row r="489" ht="16.5" customHeight="1" s="117">
      <c r="A489" s="27" t="n"/>
      <c r="B489" s="27" t="n"/>
      <c r="C489" s="27" t="n"/>
      <c r="D489" s="27" t="n"/>
      <c r="E489" s="27" t="n"/>
      <c r="F489" s="27" t="n"/>
      <c r="G489" s="27" t="n"/>
      <c r="H489" s="27" t="n"/>
      <c r="I489" s="27" t="n"/>
      <c r="J489" s="27" t="n"/>
      <c r="K489" s="27" t="n"/>
      <c r="L489" s="27" t="n"/>
      <c r="M489" s="27" t="n"/>
      <c r="N489" s="27" t="n"/>
      <c r="O489" s="27" t="n"/>
      <c r="P489" s="27" t="n"/>
      <c r="Q489" s="27" t="n"/>
      <c r="R489" s="27" t="n"/>
      <c r="S489" s="27" t="n"/>
      <c r="T489" s="27" t="n"/>
      <c r="U489" s="27" t="n"/>
      <c r="V489" s="27" t="n"/>
      <c r="W489" s="27" t="n"/>
      <c r="X489" s="27" t="n"/>
      <c r="Y489" s="27" t="n"/>
      <c r="Z489" s="27" t="n"/>
    </row>
    <row r="490" ht="16.5" customHeight="1" s="117">
      <c r="A490" s="27" t="n"/>
      <c r="B490" s="27" t="n"/>
      <c r="C490" s="27" t="n"/>
      <c r="D490" s="27" t="n"/>
      <c r="E490" s="27" t="n"/>
      <c r="F490" s="27" t="n"/>
      <c r="G490" s="27" t="n"/>
      <c r="H490" s="27" t="n"/>
      <c r="I490" s="27" t="n"/>
      <c r="J490" s="27" t="n"/>
      <c r="K490" s="27" t="n"/>
      <c r="L490" s="27" t="n"/>
      <c r="M490" s="27" t="n"/>
      <c r="N490" s="27" t="n"/>
      <c r="O490" s="27" t="n"/>
      <c r="P490" s="27" t="n"/>
      <c r="Q490" s="27" t="n"/>
      <c r="R490" s="27" t="n"/>
      <c r="S490" s="27" t="n"/>
      <c r="T490" s="27" t="n"/>
      <c r="U490" s="27" t="n"/>
      <c r="V490" s="27" t="n"/>
      <c r="W490" s="27" t="n"/>
      <c r="X490" s="27" t="n"/>
      <c r="Y490" s="27" t="n"/>
      <c r="Z490" s="27" t="n"/>
    </row>
    <row r="491" ht="16.5" customHeight="1" s="117">
      <c r="A491" s="27" t="n"/>
      <c r="B491" s="27" t="n"/>
      <c r="C491" s="27" t="n"/>
      <c r="D491" s="27" t="n"/>
      <c r="E491" s="27" t="n"/>
      <c r="F491" s="27" t="n"/>
      <c r="G491" s="27" t="n"/>
      <c r="H491" s="27" t="n"/>
      <c r="I491" s="27" t="n"/>
      <c r="J491" s="27" t="n"/>
      <c r="K491" s="27" t="n"/>
      <c r="L491" s="27" t="n"/>
      <c r="M491" s="27" t="n"/>
      <c r="N491" s="27" t="n"/>
      <c r="O491" s="27" t="n"/>
      <c r="P491" s="27" t="n"/>
      <c r="Q491" s="27" t="n"/>
      <c r="R491" s="27" t="n"/>
      <c r="S491" s="27" t="n"/>
      <c r="T491" s="27" t="n"/>
      <c r="U491" s="27" t="n"/>
      <c r="V491" s="27" t="n"/>
      <c r="W491" s="27" t="n"/>
      <c r="X491" s="27" t="n"/>
      <c r="Y491" s="27" t="n"/>
      <c r="Z491" s="27" t="n"/>
    </row>
    <row r="492" ht="16.5" customHeight="1" s="117">
      <c r="A492" s="27" t="n"/>
      <c r="B492" s="27" t="n"/>
      <c r="C492" s="27" t="n"/>
      <c r="D492" s="27" t="n"/>
      <c r="E492" s="27" t="n"/>
      <c r="F492" s="27" t="n"/>
      <c r="G492" s="27" t="n"/>
      <c r="H492" s="27" t="n"/>
      <c r="I492" s="27" t="n"/>
      <c r="J492" s="27" t="n"/>
      <c r="K492" s="27" t="n"/>
      <c r="L492" s="27" t="n"/>
      <c r="M492" s="27" t="n"/>
      <c r="N492" s="27" t="n"/>
      <c r="O492" s="27" t="n"/>
      <c r="P492" s="27" t="n"/>
      <c r="Q492" s="27" t="n"/>
      <c r="R492" s="27" t="n"/>
      <c r="S492" s="27" t="n"/>
      <c r="T492" s="27" t="n"/>
      <c r="U492" s="27" t="n"/>
      <c r="V492" s="27" t="n"/>
      <c r="W492" s="27" t="n"/>
      <c r="X492" s="27" t="n"/>
      <c r="Y492" s="27" t="n"/>
      <c r="Z492" s="27" t="n"/>
    </row>
    <row r="493" ht="16.5" customHeight="1" s="117">
      <c r="A493" s="27" t="n"/>
      <c r="B493" s="27" t="n"/>
      <c r="C493" s="27" t="n"/>
      <c r="D493" s="27" t="n"/>
      <c r="E493" s="27" t="n"/>
      <c r="F493" s="27" t="n"/>
      <c r="G493" s="27" t="n"/>
      <c r="H493" s="27" t="n"/>
      <c r="I493" s="27" t="n"/>
      <c r="J493" s="27" t="n"/>
      <c r="K493" s="27" t="n"/>
      <c r="L493" s="27" t="n"/>
      <c r="M493" s="27" t="n"/>
      <c r="N493" s="27" t="n"/>
      <c r="O493" s="27" t="n"/>
      <c r="P493" s="27" t="n"/>
      <c r="Q493" s="27" t="n"/>
      <c r="R493" s="27" t="n"/>
      <c r="S493" s="27" t="n"/>
      <c r="T493" s="27" t="n"/>
      <c r="U493" s="27" t="n"/>
      <c r="V493" s="27" t="n"/>
      <c r="W493" s="27" t="n"/>
      <c r="X493" s="27" t="n"/>
      <c r="Y493" s="27" t="n"/>
      <c r="Z493" s="27" t="n"/>
    </row>
    <row r="494" ht="16.5" customHeight="1" s="117">
      <c r="A494" s="27" t="n"/>
      <c r="B494" s="27" t="n"/>
      <c r="C494" s="27" t="n"/>
      <c r="D494" s="27" t="n"/>
      <c r="E494" s="27" t="n"/>
      <c r="F494" s="27" t="n"/>
      <c r="G494" s="27" t="n"/>
      <c r="H494" s="27" t="n"/>
      <c r="I494" s="27" t="n"/>
      <c r="J494" s="27" t="n"/>
      <c r="K494" s="27" t="n"/>
      <c r="L494" s="27" t="n"/>
      <c r="M494" s="27" t="n"/>
      <c r="N494" s="27" t="n"/>
      <c r="O494" s="27" t="n"/>
      <c r="P494" s="27" t="n"/>
      <c r="Q494" s="27" t="n"/>
      <c r="R494" s="27" t="n"/>
      <c r="S494" s="27" t="n"/>
      <c r="T494" s="27" t="n"/>
      <c r="U494" s="27" t="n"/>
      <c r="V494" s="27" t="n"/>
      <c r="W494" s="27" t="n"/>
      <c r="X494" s="27" t="n"/>
      <c r="Y494" s="27" t="n"/>
      <c r="Z494" s="27" t="n"/>
    </row>
    <row r="495" ht="16.5" customHeight="1" s="117">
      <c r="A495" s="27" t="n"/>
      <c r="B495" s="27" t="n"/>
      <c r="C495" s="27" t="n"/>
      <c r="D495" s="27" t="n"/>
      <c r="E495" s="27" t="n"/>
      <c r="F495" s="27" t="n"/>
      <c r="G495" s="27" t="n"/>
      <c r="H495" s="27" t="n"/>
      <c r="I495" s="27" t="n"/>
      <c r="J495" s="27" t="n"/>
      <c r="K495" s="27" t="n"/>
      <c r="L495" s="27" t="n"/>
      <c r="M495" s="27" t="n"/>
      <c r="N495" s="27" t="n"/>
      <c r="O495" s="27" t="n"/>
      <c r="P495" s="27" t="n"/>
      <c r="Q495" s="27" t="n"/>
      <c r="R495" s="27" t="n"/>
      <c r="S495" s="27" t="n"/>
      <c r="T495" s="27" t="n"/>
      <c r="U495" s="27" t="n"/>
      <c r="V495" s="27" t="n"/>
      <c r="W495" s="27" t="n"/>
      <c r="X495" s="27" t="n"/>
      <c r="Y495" s="27" t="n"/>
      <c r="Z495" s="27" t="n"/>
    </row>
    <row r="496" ht="16.5" customHeight="1" s="117">
      <c r="A496" s="27" t="n"/>
      <c r="B496" s="27" t="n"/>
      <c r="C496" s="27" t="n"/>
      <c r="D496" s="27" t="n"/>
      <c r="E496" s="27" t="n"/>
      <c r="F496" s="27" t="n"/>
      <c r="G496" s="27" t="n"/>
      <c r="H496" s="27" t="n"/>
      <c r="I496" s="27" t="n"/>
      <c r="J496" s="27" t="n"/>
      <c r="K496" s="27" t="n"/>
      <c r="L496" s="27" t="n"/>
      <c r="M496" s="27" t="n"/>
      <c r="N496" s="27" t="n"/>
      <c r="O496" s="27" t="n"/>
      <c r="P496" s="27" t="n"/>
      <c r="Q496" s="27" t="n"/>
      <c r="R496" s="27" t="n"/>
      <c r="S496" s="27" t="n"/>
      <c r="T496" s="27" t="n"/>
      <c r="U496" s="27" t="n"/>
      <c r="V496" s="27" t="n"/>
      <c r="W496" s="27" t="n"/>
      <c r="X496" s="27" t="n"/>
      <c r="Y496" s="27" t="n"/>
      <c r="Z496" s="27" t="n"/>
    </row>
    <row r="497" ht="16.5" customHeight="1" s="117">
      <c r="A497" s="27" t="n"/>
      <c r="B497" s="27" t="n"/>
      <c r="C497" s="27" t="n"/>
      <c r="D497" s="27" t="n"/>
      <c r="E497" s="27" t="n"/>
      <c r="F497" s="27" t="n"/>
      <c r="G497" s="27" t="n"/>
      <c r="H497" s="27" t="n"/>
      <c r="I497" s="27" t="n"/>
      <c r="J497" s="27" t="n"/>
      <c r="K497" s="27" t="n"/>
      <c r="L497" s="27" t="n"/>
      <c r="M497" s="27" t="n"/>
      <c r="N497" s="27" t="n"/>
      <c r="O497" s="27" t="n"/>
      <c r="P497" s="27" t="n"/>
      <c r="Q497" s="27" t="n"/>
      <c r="R497" s="27" t="n"/>
      <c r="S497" s="27" t="n"/>
      <c r="T497" s="27" t="n"/>
      <c r="U497" s="27" t="n"/>
      <c r="V497" s="27" t="n"/>
      <c r="W497" s="27" t="n"/>
      <c r="X497" s="27" t="n"/>
      <c r="Y497" s="27" t="n"/>
      <c r="Z497" s="27" t="n"/>
    </row>
    <row r="498" ht="16.5" customHeight="1" s="117">
      <c r="A498" s="27" t="n"/>
      <c r="B498" s="27" t="n"/>
      <c r="C498" s="27" t="n"/>
      <c r="D498" s="27" t="n"/>
      <c r="E498" s="27" t="n"/>
      <c r="F498" s="27" t="n"/>
      <c r="G498" s="27" t="n"/>
      <c r="H498" s="27" t="n"/>
      <c r="I498" s="27" t="n"/>
      <c r="J498" s="27" t="n"/>
      <c r="K498" s="27" t="n"/>
      <c r="L498" s="27" t="n"/>
      <c r="M498" s="27" t="n"/>
      <c r="N498" s="27" t="n"/>
      <c r="O498" s="27" t="n"/>
      <c r="P498" s="27" t="n"/>
      <c r="Q498" s="27" t="n"/>
      <c r="R498" s="27" t="n"/>
      <c r="S498" s="27" t="n"/>
      <c r="T498" s="27" t="n"/>
      <c r="U498" s="27" t="n"/>
      <c r="V498" s="27" t="n"/>
      <c r="W498" s="27" t="n"/>
      <c r="X498" s="27" t="n"/>
      <c r="Y498" s="27" t="n"/>
      <c r="Z498" s="27" t="n"/>
    </row>
    <row r="499" ht="16.5" customHeight="1" s="117">
      <c r="A499" s="27" t="n"/>
      <c r="B499" s="27" t="n"/>
      <c r="C499" s="27" t="n"/>
      <c r="D499" s="27" t="n"/>
      <c r="E499" s="27" t="n"/>
      <c r="F499" s="27" t="n"/>
      <c r="G499" s="27" t="n"/>
      <c r="H499" s="27" t="n"/>
      <c r="I499" s="27" t="n"/>
      <c r="J499" s="27" t="n"/>
      <c r="K499" s="27" t="n"/>
      <c r="L499" s="27" t="n"/>
      <c r="M499" s="27" t="n"/>
      <c r="N499" s="27" t="n"/>
      <c r="O499" s="27" t="n"/>
      <c r="P499" s="27" t="n"/>
      <c r="Q499" s="27" t="n"/>
      <c r="R499" s="27" t="n"/>
      <c r="S499" s="27" t="n"/>
      <c r="T499" s="27" t="n"/>
      <c r="U499" s="27" t="n"/>
      <c r="V499" s="27" t="n"/>
      <c r="W499" s="27" t="n"/>
      <c r="X499" s="27" t="n"/>
      <c r="Y499" s="27" t="n"/>
      <c r="Z499" s="27" t="n"/>
    </row>
    <row r="500" ht="16.5" customHeight="1" s="117">
      <c r="A500" s="27" t="n"/>
      <c r="B500" s="27" t="n"/>
      <c r="C500" s="27" t="n"/>
      <c r="D500" s="27" t="n"/>
      <c r="E500" s="27" t="n"/>
      <c r="F500" s="27" t="n"/>
      <c r="G500" s="27" t="n"/>
      <c r="H500" s="27" t="n"/>
      <c r="I500" s="27" t="n"/>
      <c r="J500" s="27" t="n"/>
      <c r="K500" s="27" t="n"/>
      <c r="L500" s="27" t="n"/>
      <c r="M500" s="27" t="n"/>
      <c r="N500" s="27" t="n"/>
      <c r="O500" s="27" t="n"/>
      <c r="P500" s="27" t="n"/>
      <c r="Q500" s="27" t="n"/>
      <c r="R500" s="27" t="n"/>
      <c r="S500" s="27" t="n"/>
      <c r="T500" s="27" t="n"/>
      <c r="U500" s="27" t="n"/>
      <c r="V500" s="27" t="n"/>
      <c r="W500" s="27" t="n"/>
      <c r="X500" s="27" t="n"/>
      <c r="Y500" s="27" t="n"/>
      <c r="Z500" s="27" t="n"/>
    </row>
    <row r="501" ht="16.5" customHeight="1" s="117">
      <c r="A501" s="27" t="n"/>
      <c r="B501" s="27" t="n"/>
      <c r="C501" s="27" t="n"/>
      <c r="D501" s="27" t="n"/>
      <c r="E501" s="27" t="n"/>
      <c r="F501" s="27" t="n"/>
      <c r="G501" s="27" t="n"/>
      <c r="H501" s="27" t="n"/>
      <c r="I501" s="27" t="n"/>
      <c r="J501" s="27" t="n"/>
      <c r="K501" s="27" t="n"/>
      <c r="L501" s="27" t="n"/>
      <c r="M501" s="27" t="n"/>
      <c r="N501" s="27" t="n"/>
      <c r="O501" s="27" t="n"/>
      <c r="P501" s="27" t="n"/>
      <c r="Q501" s="27" t="n"/>
      <c r="R501" s="27" t="n"/>
      <c r="S501" s="27" t="n"/>
      <c r="T501" s="27" t="n"/>
      <c r="U501" s="27" t="n"/>
      <c r="V501" s="27" t="n"/>
      <c r="W501" s="27" t="n"/>
      <c r="X501" s="27" t="n"/>
      <c r="Y501" s="27" t="n"/>
      <c r="Z501" s="27" t="n"/>
    </row>
    <row r="502" ht="16.5" customHeight="1" s="117">
      <c r="A502" s="27" t="n"/>
      <c r="B502" s="27" t="n"/>
      <c r="C502" s="27" t="n"/>
      <c r="D502" s="27" t="n"/>
      <c r="E502" s="27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</row>
    <row r="503" ht="16.5" customHeight="1" s="117">
      <c r="A503" s="27" t="n"/>
      <c r="B503" s="27" t="n"/>
      <c r="C503" s="27" t="n"/>
      <c r="D503" s="27" t="n"/>
      <c r="E503" s="27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</row>
    <row r="504" ht="16.5" customHeight="1" s="117">
      <c r="A504" s="27" t="n"/>
      <c r="B504" s="27" t="n"/>
      <c r="C504" s="27" t="n"/>
      <c r="D504" s="27" t="n"/>
      <c r="E504" s="27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</row>
    <row r="505" ht="16.5" customHeight="1" s="117">
      <c r="A505" s="27" t="n"/>
      <c r="B505" s="27" t="n"/>
      <c r="C505" s="27" t="n"/>
      <c r="D505" s="27" t="n"/>
      <c r="E505" s="27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</row>
    <row r="506" ht="16.5" customHeight="1" s="117">
      <c r="A506" s="27" t="n"/>
      <c r="B506" s="27" t="n"/>
      <c r="C506" s="27" t="n"/>
      <c r="D506" s="27" t="n"/>
      <c r="E506" s="27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</row>
    <row r="507" ht="16.5" customHeight="1" s="117">
      <c r="A507" s="27" t="n"/>
      <c r="B507" s="27" t="n"/>
      <c r="C507" s="27" t="n"/>
      <c r="D507" s="27" t="n"/>
      <c r="E507" s="27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</row>
    <row r="508" ht="16.5" customHeight="1" s="117">
      <c r="A508" s="27" t="n"/>
      <c r="B508" s="27" t="n"/>
      <c r="C508" s="27" t="n"/>
      <c r="D508" s="27" t="n"/>
      <c r="E508" s="27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</row>
    <row r="509" ht="16.5" customHeight="1" s="117">
      <c r="A509" s="27" t="n"/>
      <c r="B509" s="27" t="n"/>
      <c r="C509" s="27" t="n"/>
      <c r="D509" s="27" t="n"/>
      <c r="E509" s="27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</row>
    <row r="510" ht="16.5" customHeight="1" s="117">
      <c r="A510" s="27" t="n"/>
      <c r="B510" s="27" t="n"/>
      <c r="C510" s="27" t="n"/>
      <c r="D510" s="27" t="n"/>
      <c r="E510" s="27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</row>
    <row r="511" ht="16.5" customHeight="1" s="117">
      <c r="A511" s="27" t="n"/>
      <c r="B511" s="27" t="n"/>
      <c r="C511" s="27" t="n"/>
      <c r="D511" s="27" t="n"/>
      <c r="E511" s="27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</row>
    <row r="512" ht="16.5" customHeight="1" s="117">
      <c r="A512" s="27" t="n"/>
      <c r="B512" s="27" t="n"/>
      <c r="C512" s="27" t="n"/>
      <c r="D512" s="27" t="n"/>
      <c r="E512" s="27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</row>
    <row r="513" ht="16.5" customHeight="1" s="117">
      <c r="A513" s="27" t="n"/>
      <c r="B513" s="27" t="n"/>
      <c r="C513" s="27" t="n"/>
      <c r="D513" s="27" t="n"/>
      <c r="E513" s="27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</row>
    <row r="514" ht="16.5" customHeight="1" s="117">
      <c r="A514" s="27" t="n"/>
      <c r="B514" s="27" t="n"/>
      <c r="C514" s="27" t="n"/>
      <c r="D514" s="27" t="n"/>
      <c r="E514" s="27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</row>
    <row r="515" ht="16.5" customHeight="1" s="117">
      <c r="A515" s="27" t="n"/>
      <c r="B515" s="27" t="n"/>
      <c r="C515" s="27" t="n"/>
      <c r="D515" s="27" t="n"/>
      <c r="E515" s="27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</row>
    <row r="516" ht="16.5" customHeight="1" s="117">
      <c r="A516" s="27" t="n"/>
      <c r="B516" s="27" t="n"/>
      <c r="C516" s="27" t="n"/>
      <c r="D516" s="27" t="n"/>
      <c r="E516" s="27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</row>
    <row r="517" ht="16.5" customHeight="1" s="117">
      <c r="A517" s="27" t="n"/>
      <c r="B517" s="27" t="n"/>
      <c r="C517" s="27" t="n"/>
      <c r="D517" s="27" t="n"/>
      <c r="E517" s="27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</row>
    <row r="518" ht="16.5" customHeight="1" s="117">
      <c r="A518" s="27" t="n"/>
      <c r="B518" s="27" t="n"/>
      <c r="C518" s="27" t="n"/>
      <c r="D518" s="27" t="n"/>
      <c r="E518" s="27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</row>
    <row r="519" ht="16.5" customHeight="1" s="117">
      <c r="A519" s="27" t="n"/>
      <c r="B519" s="27" t="n"/>
      <c r="C519" s="27" t="n"/>
      <c r="D519" s="27" t="n"/>
      <c r="E519" s="27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</row>
    <row r="520" ht="16.5" customHeight="1" s="117">
      <c r="A520" s="27" t="n"/>
      <c r="B520" s="27" t="n"/>
      <c r="C520" s="27" t="n"/>
      <c r="D520" s="27" t="n"/>
      <c r="E520" s="27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</row>
    <row r="521" ht="16.5" customHeight="1" s="117">
      <c r="A521" s="27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</row>
    <row r="522" ht="16.5" customHeight="1" s="117">
      <c r="A522" s="27" t="n"/>
      <c r="B522" s="27" t="n"/>
      <c r="C522" s="27" t="n"/>
      <c r="D522" s="27" t="n"/>
      <c r="E522" s="27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</row>
    <row r="523" ht="16.5" customHeight="1" s="117">
      <c r="A523" s="27" t="n"/>
      <c r="B523" s="27" t="n"/>
      <c r="C523" s="27" t="n"/>
      <c r="D523" s="27" t="n"/>
      <c r="E523" s="27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</row>
    <row r="524" ht="16.5" customHeight="1" s="117">
      <c r="A524" s="27" t="n"/>
      <c r="B524" s="27" t="n"/>
      <c r="C524" s="27" t="n"/>
      <c r="D524" s="27" t="n"/>
      <c r="E524" s="27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</row>
    <row r="525" ht="16.5" customHeight="1" s="117">
      <c r="A525" s="27" t="n"/>
      <c r="B525" s="27" t="n"/>
      <c r="C525" s="27" t="n"/>
      <c r="D525" s="27" t="n"/>
      <c r="E525" s="27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</row>
    <row r="526" ht="16.5" customHeight="1" s="117">
      <c r="A526" s="27" t="n"/>
      <c r="B526" s="27" t="n"/>
      <c r="C526" s="27" t="n"/>
      <c r="D526" s="27" t="n"/>
      <c r="E526" s="27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</row>
    <row r="527" ht="16.5" customHeight="1" s="117">
      <c r="A527" s="27" t="n"/>
      <c r="B527" s="27" t="n"/>
      <c r="C527" s="27" t="n"/>
      <c r="D527" s="27" t="n"/>
      <c r="E527" s="27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</row>
    <row r="528" ht="16.5" customHeight="1" s="117">
      <c r="A528" s="27" t="n"/>
      <c r="B528" s="27" t="n"/>
      <c r="C528" s="27" t="n"/>
      <c r="D528" s="27" t="n"/>
      <c r="E528" s="27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</row>
    <row r="529" ht="16.5" customHeight="1" s="117">
      <c r="A529" s="27" t="n"/>
      <c r="B529" s="27" t="n"/>
      <c r="C529" s="27" t="n"/>
      <c r="D529" s="27" t="n"/>
      <c r="E529" s="27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</row>
    <row r="530" ht="16.5" customHeight="1" s="117">
      <c r="A530" s="27" t="n"/>
      <c r="B530" s="27" t="n"/>
      <c r="C530" s="27" t="n"/>
      <c r="D530" s="27" t="n"/>
      <c r="E530" s="27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</row>
    <row r="531" ht="16.5" customHeight="1" s="117">
      <c r="A531" s="27" t="n"/>
      <c r="B531" s="27" t="n"/>
      <c r="C531" s="27" t="n"/>
      <c r="D531" s="27" t="n"/>
      <c r="E531" s="27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</row>
    <row r="532" ht="16.5" customHeight="1" s="117">
      <c r="A532" s="27" t="n"/>
      <c r="B532" s="27" t="n"/>
      <c r="C532" s="27" t="n"/>
      <c r="D532" s="27" t="n"/>
      <c r="E532" s="27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</row>
    <row r="533" ht="16.5" customHeight="1" s="117">
      <c r="A533" s="27" t="n"/>
      <c r="B533" s="27" t="n"/>
      <c r="C533" s="27" t="n"/>
      <c r="D533" s="27" t="n"/>
      <c r="E533" s="27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</row>
    <row r="534" ht="16.5" customHeight="1" s="117">
      <c r="A534" s="27" t="n"/>
      <c r="B534" s="27" t="n"/>
      <c r="C534" s="27" t="n"/>
      <c r="D534" s="27" t="n"/>
      <c r="E534" s="27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</row>
    <row r="535" ht="16.5" customHeight="1" s="117">
      <c r="A535" s="27" t="n"/>
      <c r="B535" s="27" t="n"/>
      <c r="C535" s="27" t="n"/>
      <c r="D535" s="27" t="n"/>
      <c r="E535" s="27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</row>
    <row r="536" ht="16.5" customHeight="1" s="117">
      <c r="A536" s="27" t="n"/>
      <c r="B536" s="27" t="n"/>
      <c r="C536" s="27" t="n"/>
      <c r="D536" s="27" t="n"/>
      <c r="E536" s="27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</row>
    <row r="537" ht="16.5" customHeight="1" s="117">
      <c r="A537" s="27" t="n"/>
      <c r="B537" s="27" t="n"/>
      <c r="C537" s="27" t="n"/>
      <c r="D537" s="27" t="n"/>
      <c r="E537" s="27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</row>
    <row r="538" ht="16.5" customHeight="1" s="117">
      <c r="A538" s="27" t="n"/>
      <c r="B538" s="27" t="n"/>
      <c r="C538" s="27" t="n"/>
      <c r="D538" s="27" t="n"/>
      <c r="E538" s="27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</row>
    <row r="539" ht="16.5" customHeight="1" s="117">
      <c r="A539" s="27" t="n"/>
      <c r="B539" s="27" t="n"/>
      <c r="C539" s="27" t="n"/>
      <c r="D539" s="27" t="n"/>
      <c r="E539" s="27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</row>
    <row r="540" ht="16.5" customHeight="1" s="117">
      <c r="A540" s="27" t="n"/>
      <c r="B540" s="27" t="n"/>
      <c r="C540" s="27" t="n"/>
      <c r="D540" s="27" t="n"/>
      <c r="E540" s="27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</row>
    <row r="541" ht="16.5" customHeight="1" s="117">
      <c r="A541" s="27" t="n"/>
      <c r="B541" s="27" t="n"/>
      <c r="C541" s="27" t="n"/>
      <c r="D541" s="27" t="n"/>
      <c r="E541" s="27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</row>
    <row r="542" ht="16.5" customHeight="1" s="117">
      <c r="A542" s="27" t="n"/>
      <c r="B542" s="27" t="n"/>
      <c r="C542" s="27" t="n"/>
      <c r="D542" s="27" t="n"/>
      <c r="E542" s="27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</row>
    <row r="543" ht="16.5" customHeight="1" s="117">
      <c r="A543" s="27" t="n"/>
      <c r="B543" s="27" t="n"/>
      <c r="C543" s="27" t="n"/>
      <c r="D543" s="27" t="n"/>
      <c r="E543" s="27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</row>
    <row r="544" ht="16.5" customHeight="1" s="117">
      <c r="A544" s="27" t="n"/>
      <c r="B544" s="27" t="n"/>
      <c r="C544" s="27" t="n"/>
      <c r="D544" s="27" t="n"/>
      <c r="E544" s="27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</row>
    <row r="545" ht="16.5" customHeight="1" s="117">
      <c r="A545" s="27" t="n"/>
      <c r="B545" s="27" t="n"/>
      <c r="C545" s="27" t="n"/>
      <c r="D545" s="27" t="n"/>
      <c r="E545" s="27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</row>
    <row r="546" ht="16.5" customHeight="1" s="117">
      <c r="A546" s="27" t="n"/>
      <c r="B546" s="27" t="n"/>
      <c r="C546" s="27" t="n"/>
      <c r="D546" s="27" t="n"/>
      <c r="E546" s="27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</row>
    <row r="547" ht="16.5" customHeight="1" s="117">
      <c r="A547" s="27" t="n"/>
      <c r="B547" s="27" t="n"/>
      <c r="C547" s="27" t="n"/>
      <c r="D547" s="27" t="n"/>
      <c r="E547" s="27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</row>
    <row r="548" ht="16.5" customHeight="1" s="117">
      <c r="A548" s="27" t="n"/>
      <c r="B548" s="27" t="n"/>
      <c r="C548" s="27" t="n"/>
      <c r="D548" s="27" t="n"/>
      <c r="E548" s="27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</row>
    <row r="549" ht="16.5" customHeight="1" s="117">
      <c r="A549" s="27" t="n"/>
      <c r="B549" s="27" t="n"/>
      <c r="C549" s="27" t="n"/>
      <c r="D549" s="27" t="n"/>
      <c r="E549" s="27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</row>
    <row r="550" ht="16.5" customHeight="1" s="117">
      <c r="A550" s="27" t="n"/>
      <c r="B550" s="27" t="n"/>
      <c r="C550" s="27" t="n"/>
      <c r="D550" s="27" t="n"/>
      <c r="E550" s="27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</row>
    <row r="551" ht="16.5" customHeight="1" s="117">
      <c r="A551" s="27" t="n"/>
      <c r="B551" s="27" t="n"/>
      <c r="C551" s="27" t="n"/>
      <c r="D551" s="27" t="n"/>
      <c r="E551" s="27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</row>
    <row r="552" ht="16.5" customHeight="1" s="117">
      <c r="A552" s="27" t="n"/>
      <c r="B552" s="27" t="n"/>
      <c r="C552" s="27" t="n"/>
      <c r="D552" s="27" t="n"/>
      <c r="E552" s="27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</row>
    <row r="553" ht="16.5" customHeight="1" s="117">
      <c r="A553" s="27" t="n"/>
      <c r="B553" s="27" t="n"/>
      <c r="C553" s="27" t="n"/>
      <c r="D553" s="27" t="n"/>
      <c r="E553" s="27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</row>
    <row r="554" ht="16.5" customHeight="1" s="117">
      <c r="A554" s="27" t="n"/>
      <c r="B554" s="27" t="n"/>
      <c r="C554" s="27" t="n"/>
      <c r="D554" s="27" t="n"/>
      <c r="E554" s="27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</row>
    <row r="555" ht="16.5" customHeight="1" s="117">
      <c r="A555" s="27" t="n"/>
      <c r="B555" s="27" t="n"/>
      <c r="C555" s="27" t="n"/>
      <c r="D555" s="27" t="n"/>
      <c r="E555" s="27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</row>
    <row r="556" ht="16.5" customHeight="1" s="117">
      <c r="A556" s="27" t="n"/>
      <c r="B556" s="27" t="n"/>
      <c r="C556" s="27" t="n"/>
      <c r="D556" s="27" t="n"/>
      <c r="E556" s="27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</row>
    <row r="557" ht="16.5" customHeight="1" s="117">
      <c r="A557" s="27" t="n"/>
      <c r="B557" s="27" t="n"/>
      <c r="C557" s="27" t="n"/>
      <c r="D557" s="27" t="n"/>
      <c r="E557" s="27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</row>
    <row r="558" ht="16.5" customHeight="1" s="117">
      <c r="A558" s="27" t="n"/>
      <c r="B558" s="27" t="n"/>
      <c r="C558" s="27" t="n"/>
      <c r="D558" s="27" t="n"/>
      <c r="E558" s="27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</row>
    <row r="559" ht="16.5" customHeight="1" s="117">
      <c r="A559" s="27" t="n"/>
      <c r="B559" s="27" t="n"/>
      <c r="C559" s="27" t="n"/>
      <c r="D559" s="27" t="n"/>
      <c r="E559" s="27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</row>
    <row r="560" ht="16.5" customHeight="1" s="117">
      <c r="A560" s="27" t="n"/>
      <c r="B560" s="27" t="n"/>
      <c r="C560" s="27" t="n"/>
      <c r="D560" s="27" t="n"/>
      <c r="E560" s="27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</row>
    <row r="561" ht="16.5" customHeight="1" s="117">
      <c r="A561" s="27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</row>
    <row r="562" ht="16.5" customHeight="1" s="117">
      <c r="A562" s="27" t="n"/>
      <c r="B562" s="27" t="n"/>
      <c r="C562" s="27" t="n"/>
      <c r="D562" s="27" t="n"/>
      <c r="E562" s="27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</row>
    <row r="563" ht="16.5" customHeight="1" s="117">
      <c r="A563" s="27" t="n"/>
      <c r="B563" s="27" t="n"/>
      <c r="C563" s="27" t="n"/>
      <c r="D563" s="27" t="n"/>
      <c r="E563" s="27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</row>
    <row r="564" ht="16.5" customHeight="1" s="117">
      <c r="A564" s="27" t="n"/>
      <c r="B564" s="27" t="n"/>
      <c r="C564" s="27" t="n"/>
      <c r="D564" s="27" t="n"/>
      <c r="E564" s="27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</row>
    <row r="565" ht="16.5" customHeight="1" s="117">
      <c r="A565" s="27" t="n"/>
      <c r="B565" s="27" t="n"/>
      <c r="C565" s="27" t="n"/>
      <c r="D565" s="27" t="n"/>
      <c r="E565" s="27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</row>
    <row r="566" ht="16.5" customHeight="1" s="117">
      <c r="A566" s="27" t="n"/>
      <c r="B566" s="27" t="n"/>
      <c r="C566" s="27" t="n"/>
      <c r="D566" s="27" t="n"/>
      <c r="E566" s="27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</row>
    <row r="567" ht="16.5" customHeight="1" s="117">
      <c r="A567" s="27" t="n"/>
      <c r="B567" s="27" t="n"/>
      <c r="C567" s="27" t="n"/>
      <c r="D567" s="27" t="n"/>
      <c r="E567" s="27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</row>
    <row r="568" ht="16.5" customHeight="1" s="117">
      <c r="A568" s="27" t="n"/>
      <c r="B568" s="27" t="n"/>
      <c r="C568" s="27" t="n"/>
      <c r="D568" s="27" t="n"/>
      <c r="E568" s="27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</row>
    <row r="569" ht="16.5" customHeight="1" s="117">
      <c r="A569" s="27" t="n"/>
      <c r="B569" s="27" t="n"/>
      <c r="C569" s="27" t="n"/>
      <c r="D569" s="27" t="n"/>
      <c r="E569" s="27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</row>
    <row r="570" ht="16.5" customHeight="1" s="117">
      <c r="A570" s="27" t="n"/>
      <c r="B570" s="27" t="n"/>
      <c r="C570" s="27" t="n"/>
      <c r="D570" s="27" t="n"/>
      <c r="E570" s="27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</row>
    <row r="571" ht="16.5" customHeight="1" s="117">
      <c r="A571" s="27" t="n"/>
      <c r="B571" s="27" t="n"/>
      <c r="C571" s="27" t="n"/>
      <c r="D571" s="27" t="n"/>
      <c r="E571" s="27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</row>
    <row r="572" ht="16.5" customHeight="1" s="117">
      <c r="A572" s="27" t="n"/>
      <c r="B572" s="27" t="n"/>
      <c r="C572" s="27" t="n"/>
      <c r="D572" s="27" t="n"/>
      <c r="E572" s="27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</row>
    <row r="573" ht="16.5" customHeight="1" s="117">
      <c r="A573" s="27" t="n"/>
      <c r="B573" s="27" t="n"/>
      <c r="C573" s="27" t="n"/>
      <c r="D573" s="27" t="n"/>
      <c r="E573" s="27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</row>
    <row r="574" ht="16.5" customHeight="1" s="117">
      <c r="A574" s="27" t="n"/>
      <c r="B574" s="27" t="n"/>
      <c r="C574" s="27" t="n"/>
      <c r="D574" s="27" t="n"/>
      <c r="E574" s="27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</row>
    <row r="575" ht="16.5" customHeight="1" s="117">
      <c r="A575" s="27" t="n"/>
      <c r="B575" s="27" t="n"/>
      <c r="C575" s="27" t="n"/>
      <c r="D575" s="27" t="n"/>
      <c r="E575" s="27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</row>
    <row r="576" ht="16.5" customHeight="1" s="117">
      <c r="A576" s="27" t="n"/>
      <c r="B576" s="27" t="n"/>
      <c r="C576" s="27" t="n"/>
      <c r="D576" s="27" t="n"/>
      <c r="E576" s="27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</row>
    <row r="577" ht="16.5" customHeight="1" s="117">
      <c r="A577" s="27" t="n"/>
      <c r="B577" s="27" t="n"/>
      <c r="C577" s="27" t="n"/>
      <c r="D577" s="27" t="n"/>
      <c r="E577" s="27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</row>
    <row r="578" ht="16.5" customHeight="1" s="117">
      <c r="A578" s="27" t="n"/>
      <c r="B578" s="27" t="n"/>
      <c r="C578" s="27" t="n"/>
      <c r="D578" s="27" t="n"/>
      <c r="E578" s="27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</row>
    <row r="579" ht="16.5" customHeight="1" s="117">
      <c r="A579" s="27" t="n"/>
      <c r="B579" s="27" t="n"/>
      <c r="C579" s="27" t="n"/>
      <c r="D579" s="27" t="n"/>
      <c r="E579" s="27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</row>
    <row r="580" ht="16.5" customHeight="1" s="117">
      <c r="A580" s="27" t="n"/>
      <c r="B580" s="27" t="n"/>
      <c r="C580" s="27" t="n"/>
      <c r="D580" s="27" t="n"/>
      <c r="E580" s="27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</row>
    <row r="581" ht="16.5" customHeight="1" s="117">
      <c r="A581" s="27" t="n"/>
      <c r="B581" s="27" t="n"/>
      <c r="C581" s="27" t="n"/>
      <c r="D581" s="27" t="n"/>
      <c r="E581" s="27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</row>
    <row r="582" ht="16.5" customHeight="1" s="117">
      <c r="A582" s="27" t="n"/>
      <c r="B582" s="27" t="n"/>
      <c r="C582" s="27" t="n"/>
      <c r="D582" s="27" t="n"/>
      <c r="E582" s="27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</row>
    <row r="583" ht="16.5" customHeight="1" s="117">
      <c r="A583" s="27" t="n"/>
      <c r="B583" s="27" t="n"/>
      <c r="C583" s="27" t="n"/>
      <c r="D583" s="27" t="n"/>
      <c r="E583" s="27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</row>
    <row r="584" ht="16.5" customHeight="1" s="117">
      <c r="A584" s="27" t="n"/>
      <c r="B584" s="27" t="n"/>
      <c r="C584" s="27" t="n"/>
      <c r="D584" s="27" t="n"/>
      <c r="E584" s="27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</row>
    <row r="585" ht="16.5" customHeight="1" s="117">
      <c r="A585" s="27" t="n"/>
      <c r="B585" s="27" t="n"/>
      <c r="C585" s="27" t="n"/>
      <c r="D585" s="27" t="n"/>
      <c r="E585" s="27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</row>
    <row r="586" ht="16.5" customHeight="1" s="117">
      <c r="A586" s="27" t="n"/>
      <c r="B586" s="27" t="n"/>
      <c r="C586" s="27" t="n"/>
      <c r="D586" s="27" t="n"/>
      <c r="E586" s="27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</row>
    <row r="587" ht="16.5" customHeight="1" s="117">
      <c r="A587" s="27" t="n"/>
      <c r="B587" s="27" t="n"/>
      <c r="C587" s="27" t="n"/>
      <c r="D587" s="27" t="n"/>
      <c r="E587" s="27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</row>
    <row r="588" ht="16.5" customHeight="1" s="117">
      <c r="A588" s="27" t="n"/>
      <c r="B588" s="27" t="n"/>
      <c r="C588" s="27" t="n"/>
      <c r="D588" s="27" t="n"/>
      <c r="E588" s="27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</row>
    <row r="589" ht="16.5" customHeight="1" s="117">
      <c r="A589" s="27" t="n"/>
      <c r="B589" s="27" t="n"/>
      <c r="C589" s="27" t="n"/>
      <c r="D589" s="27" t="n"/>
      <c r="E589" s="27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</row>
    <row r="590" ht="16.5" customHeight="1" s="117">
      <c r="A590" s="27" t="n"/>
      <c r="B590" s="27" t="n"/>
      <c r="C590" s="27" t="n"/>
      <c r="D590" s="27" t="n"/>
      <c r="E590" s="27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</row>
    <row r="591" ht="16.5" customHeight="1" s="117">
      <c r="A591" s="27" t="n"/>
      <c r="B591" s="27" t="n"/>
      <c r="C591" s="27" t="n"/>
      <c r="D591" s="27" t="n"/>
      <c r="E591" s="27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</row>
    <row r="592" ht="16.5" customHeight="1" s="117">
      <c r="A592" s="27" t="n"/>
      <c r="B592" s="27" t="n"/>
      <c r="C592" s="27" t="n"/>
      <c r="D592" s="27" t="n"/>
      <c r="E592" s="27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</row>
    <row r="593" ht="16.5" customHeight="1" s="117">
      <c r="A593" s="27" t="n"/>
      <c r="B593" s="27" t="n"/>
      <c r="C593" s="27" t="n"/>
      <c r="D593" s="27" t="n"/>
      <c r="E593" s="27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</row>
    <row r="594" ht="16.5" customHeight="1" s="117">
      <c r="A594" s="27" t="n"/>
      <c r="B594" s="27" t="n"/>
      <c r="C594" s="27" t="n"/>
      <c r="D594" s="27" t="n"/>
      <c r="E594" s="27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</row>
    <row r="595" ht="16.5" customHeight="1" s="117">
      <c r="A595" s="27" t="n"/>
      <c r="B595" s="27" t="n"/>
      <c r="C595" s="27" t="n"/>
      <c r="D595" s="27" t="n"/>
      <c r="E595" s="27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</row>
    <row r="596" ht="16.5" customHeight="1" s="117">
      <c r="A596" s="27" t="n"/>
      <c r="B596" s="27" t="n"/>
      <c r="C596" s="27" t="n"/>
      <c r="D596" s="27" t="n"/>
      <c r="E596" s="27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</row>
    <row r="597" ht="16.5" customHeight="1" s="117">
      <c r="A597" s="27" t="n"/>
      <c r="B597" s="27" t="n"/>
      <c r="C597" s="27" t="n"/>
      <c r="D597" s="27" t="n"/>
      <c r="E597" s="27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</row>
    <row r="598" ht="16.5" customHeight="1" s="117">
      <c r="A598" s="27" t="n"/>
      <c r="B598" s="27" t="n"/>
      <c r="C598" s="27" t="n"/>
      <c r="D598" s="27" t="n"/>
      <c r="E598" s="27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</row>
    <row r="599" ht="16.5" customHeight="1" s="117">
      <c r="A599" s="27" t="n"/>
      <c r="B599" s="27" t="n"/>
      <c r="C599" s="27" t="n"/>
      <c r="D599" s="27" t="n"/>
      <c r="E599" s="27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</row>
    <row r="600" ht="16.5" customHeight="1" s="117">
      <c r="A600" s="27" t="n"/>
      <c r="B600" s="27" t="n"/>
      <c r="C600" s="27" t="n"/>
      <c r="D600" s="27" t="n"/>
      <c r="E600" s="27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</row>
    <row r="601" ht="16.5" customHeight="1" s="117">
      <c r="A601" s="27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</row>
    <row r="602" ht="16.5" customHeight="1" s="117">
      <c r="A602" s="27" t="n"/>
      <c r="B602" s="27" t="n"/>
      <c r="C602" s="27" t="n"/>
      <c r="D602" s="27" t="n"/>
      <c r="E602" s="27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</row>
    <row r="603" ht="16.5" customHeight="1" s="117">
      <c r="A603" s="27" t="n"/>
      <c r="B603" s="27" t="n"/>
      <c r="C603" s="27" t="n"/>
      <c r="D603" s="27" t="n"/>
      <c r="E603" s="27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</row>
    <row r="604" ht="16.5" customHeight="1" s="117">
      <c r="A604" s="27" t="n"/>
      <c r="B604" s="27" t="n"/>
      <c r="C604" s="27" t="n"/>
      <c r="D604" s="27" t="n"/>
      <c r="E604" s="27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</row>
    <row r="605" ht="16.5" customHeight="1" s="117">
      <c r="A605" s="27" t="n"/>
      <c r="B605" s="27" t="n"/>
      <c r="C605" s="27" t="n"/>
      <c r="D605" s="27" t="n"/>
      <c r="E605" s="27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</row>
    <row r="606" ht="16.5" customHeight="1" s="117">
      <c r="A606" s="27" t="n"/>
      <c r="B606" s="27" t="n"/>
      <c r="C606" s="27" t="n"/>
      <c r="D606" s="27" t="n"/>
      <c r="E606" s="27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</row>
    <row r="607" ht="16.5" customHeight="1" s="117">
      <c r="A607" s="27" t="n"/>
      <c r="B607" s="27" t="n"/>
      <c r="C607" s="27" t="n"/>
      <c r="D607" s="27" t="n"/>
      <c r="E607" s="27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</row>
    <row r="608" ht="16.5" customHeight="1" s="117">
      <c r="A608" s="27" t="n"/>
      <c r="B608" s="27" t="n"/>
      <c r="C608" s="27" t="n"/>
      <c r="D608" s="27" t="n"/>
      <c r="E608" s="27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</row>
    <row r="609" ht="16.5" customHeight="1" s="117">
      <c r="A609" s="27" t="n"/>
      <c r="B609" s="27" t="n"/>
      <c r="C609" s="27" t="n"/>
      <c r="D609" s="27" t="n"/>
      <c r="E609" s="27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</row>
    <row r="610" ht="16.5" customHeight="1" s="117">
      <c r="A610" s="27" t="n"/>
      <c r="B610" s="27" t="n"/>
      <c r="C610" s="27" t="n"/>
      <c r="D610" s="27" t="n"/>
      <c r="E610" s="27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</row>
    <row r="611" ht="16.5" customHeight="1" s="117">
      <c r="A611" s="27" t="n"/>
      <c r="B611" s="27" t="n"/>
      <c r="C611" s="27" t="n"/>
      <c r="D611" s="27" t="n"/>
      <c r="E611" s="27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</row>
    <row r="612" ht="16.5" customHeight="1" s="117">
      <c r="A612" s="27" t="n"/>
      <c r="B612" s="27" t="n"/>
      <c r="C612" s="27" t="n"/>
      <c r="D612" s="27" t="n"/>
      <c r="E612" s="27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</row>
    <row r="613" ht="16.5" customHeight="1" s="117">
      <c r="A613" s="27" t="n"/>
      <c r="B613" s="27" t="n"/>
      <c r="C613" s="27" t="n"/>
      <c r="D613" s="27" t="n"/>
      <c r="E613" s="27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</row>
    <row r="614" ht="16.5" customHeight="1" s="117">
      <c r="A614" s="27" t="n"/>
      <c r="B614" s="27" t="n"/>
      <c r="C614" s="27" t="n"/>
      <c r="D614" s="27" t="n"/>
      <c r="E614" s="27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</row>
    <row r="615" ht="16.5" customHeight="1" s="117">
      <c r="A615" s="27" t="n"/>
      <c r="B615" s="27" t="n"/>
      <c r="C615" s="27" t="n"/>
      <c r="D615" s="27" t="n"/>
      <c r="E615" s="27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</row>
    <row r="616" ht="16.5" customHeight="1" s="117">
      <c r="A616" s="27" t="n"/>
      <c r="B616" s="27" t="n"/>
      <c r="C616" s="27" t="n"/>
      <c r="D616" s="27" t="n"/>
      <c r="E616" s="27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</row>
    <row r="617" ht="16.5" customHeight="1" s="117">
      <c r="A617" s="27" t="n"/>
      <c r="B617" s="27" t="n"/>
      <c r="C617" s="27" t="n"/>
      <c r="D617" s="27" t="n"/>
      <c r="E617" s="27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</row>
    <row r="618" ht="16.5" customHeight="1" s="117">
      <c r="A618" s="27" t="n"/>
      <c r="B618" s="27" t="n"/>
      <c r="C618" s="27" t="n"/>
      <c r="D618" s="27" t="n"/>
      <c r="E618" s="27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</row>
    <row r="619" ht="16.5" customHeight="1" s="117">
      <c r="A619" s="27" t="n"/>
      <c r="B619" s="27" t="n"/>
      <c r="C619" s="27" t="n"/>
      <c r="D619" s="27" t="n"/>
      <c r="E619" s="27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</row>
    <row r="620" ht="16.5" customHeight="1" s="117">
      <c r="A620" s="27" t="n"/>
      <c r="B620" s="27" t="n"/>
      <c r="C620" s="27" t="n"/>
      <c r="D620" s="27" t="n"/>
      <c r="E620" s="27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</row>
    <row r="621" ht="16.5" customHeight="1" s="117">
      <c r="A621" s="27" t="n"/>
      <c r="B621" s="27" t="n"/>
      <c r="C621" s="27" t="n"/>
      <c r="D621" s="27" t="n"/>
      <c r="E621" s="27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</row>
    <row r="622" ht="16.5" customHeight="1" s="117">
      <c r="A622" s="27" t="n"/>
      <c r="B622" s="27" t="n"/>
      <c r="C622" s="27" t="n"/>
      <c r="D622" s="27" t="n"/>
      <c r="E622" s="27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</row>
    <row r="623" ht="16.5" customHeight="1" s="117">
      <c r="A623" s="27" t="n"/>
      <c r="B623" s="27" t="n"/>
      <c r="C623" s="27" t="n"/>
      <c r="D623" s="27" t="n"/>
      <c r="E623" s="27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</row>
    <row r="624" ht="16.5" customHeight="1" s="117">
      <c r="A624" s="27" t="n"/>
      <c r="B624" s="27" t="n"/>
      <c r="C624" s="27" t="n"/>
      <c r="D624" s="27" t="n"/>
      <c r="E624" s="27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</row>
    <row r="625" ht="16.5" customHeight="1" s="117">
      <c r="A625" s="27" t="n"/>
      <c r="B625" s="27" t="n"/>
      <c r="C625" s="27" t="n"/>
      <c r="D625" s="27" t="n"/>
      <c r="E625" s="27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</row>
    <row r="626" ht="16.5" customHeight="1" s="117">
      <c r="A626" s="27" t="n"/>
      <c r="B626" s="27" t="n"/>
      <c r="C626" s="27" t="n"/>
      <c r="D626" s="27" t="n"/>
      <c r="E626" s="27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</row>
    <row r="627" ht="16.5" customHeight="1" s="117">
      <c r="A627" s="27" t="n"/>
      <c r="B627" s="27" t="n"/>
      <c r="C627" s="27" t="n"/>
      <c r="D627" s="27" t="n"/>
      <c r="E627" s="27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</row>
    <row r="628" ht="16.5" customHeight="1" s="117">
      <c r="A628" s="27" t="n"/>
      <c r="B628" s="27" t="n"/>
      <c r="C628" s="27" t="n"/>
      <c r="D628" s="27" t="n"/>
      <c r="E628" s="27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</row>
    <row r="629" ht="16.5" customHeight="1" s="117">
      <c r="A629" s="27" t="n"/>
      <c r="B629" s="27" t="n"/>
      <c r="C629" s="27" t="n"/>
      <c r="D629" s="27" t="n"/>
      <c r="E629" s="27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</row>
    <row r="630" ht="16.5" customHeight="1" s="117">
      <c r="A630" s="27" t="n"/>
      <c r="B630" s="27" t="n"/>
      <c r="C630" s="27" t="n"/>
      <c r="D630" s="27" t="n"/>
      <c r="E630" s="27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</row>
    <row r="631" ht="16.5" customHeight="1" s="117">
      <c r="A631" s="27" t="n"/>
      <c r="B631" s="27" t="n"/>
      <c r="C631" s="27" t="n"/>
      <c r="D631" s="27" t="n"/>
      <c r="E631" s="27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</row>
    <row r="632" ht="16.5" customHeight="1" s="117">
      <c r="A632" s="27" t="n"/>
      <c r="B632" s="27" t="n"/>
      <c r="C632" s="27" t="n"/>
      <c r="D632" s="27" t="n"/>
      <c r="E632" s="27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</row>
    <row r="633" ht="16.5" customHeight="1" s="117">
      <c r="A633" s="27" t="n"/>
      <c r="B633" s="27" t="n"/>
      <c r="C633" s="27" t="n"/>
      <c r="D633" s="27" t="n"/>
      <c r="E633" s="27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</row>
    <row r="634" ht="16.5" customHeight="1" s="117">
      <c r="A634" s="27" t="n"/>
      <c r="B634" s="27" t="n"/>
      <c r="C634" s="27" t="n"/>
      <c r="D634" s="27" t="n"/>
      <c r="E634" s="27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</row>
    <row r="635" ht="16.5" customHeight="1" s="117">
      <c r="A635" s="27" t="n"/>
      <c r="B635" s="27" t="n"/>
      <c r="C635" s="27" t="n"/>
      <c r="D635" s="27" t="n"/>
      <c r="E635" s="27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</row>
    <row r="636" ht="16.5" customHeight="1" s="117">
      <c r="A636" s="27" t="n"/>
      <c r="B636" s="27" t="n"/>
      <c r="C636" s="27" t="n"/>
      <c r="D636" s="27" t="n"/>
      <c r="E636" s="27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</row>
    <row r="637" ht="16.5" customHeight="1" s="117">
      <c r="A637" s="27" t="n"/>
      <c r="B637" s="27" t="n"/>
      <c r="C637" s="27" t="n"/>
      <c r="D637" s="27" t="n"/>
      <c r="E637" s="27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</row>
    <row r="638" ht="16.5" customHeight="1" s="117">
      <c r="A638" s="27" t="n"/>
      <c r="B638" s="27" t="n"/>
      <c r="C638" s="27" t="n"/>
      <c r="D638" s="27" t="n"/>
      <c r="E638" s="27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</row>
    <row r="639" ht="16.5" customHeight="1" s="117">
      <c r="A639" s="27" t="n"/>
      <c r="B639" s="27" t="n"/>
      <c r="C639" s="27" t="n"/>
      <c r="D639" s="27" t="n"/>
      <c r="E639" s="27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</row>
    <row r="640" ht="16.5" customHeight="1" s="117">
      <c r="A640" s="27" t="n"/>
      <c r="B640" s="27" t="n"/>
      <c r="C640" s="27" t="n"/>
      <c r="D640" s="27" t="n"/>
      <c r="E640" s="27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</row>
    <row r="641" ht="16.5" customHeight="1" s="117">
      <c r="A641" s="27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</row>
    <row r="642" ht="16.5" customHeight="1" s="117">
      <c r="A642" s="27" t="n"/>
      <c r="B642" s="27" t="n"/>
      <c r="C642" s="27" t="n"/>
      <c r="D642" s="27" t="n"/>
      <c r="E642" s="27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</row>
    <row r="643" ht="16.5" customHeight="1" s="117">
      <c r="A643" s="27" t="n"/>
      <c r="B643" s="27" t="n"/>
      <c r="C643" s="27" t="n"/>
      <c r="D643" s="27" t="n"/>
      <c r="E643" s="27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</row>
    <row r="644" ht="16.5" customHeight="1" s="117">
      <c r="A644" s="27" t="n"/>
      <c r="B644" s="27" t="n"/>
      <c r="C644" s="27" t="n"/>
      <c r="D644" s="27" t="n"/>
      <c r="E644" s="27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</row>
    <row r="645" ht="16.5" customHeight="1" s="117">
      <c r="A645" s="27" t="n"/>
      <c r="B645" s="27" t="n"/>
      <c r="C645" s="27" t="n"/>
      <c r="D645" s="27" t="n"/>
      <c r="E645" s="27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</row>
    <row r="646" ht="16.5" customHeight="1" s="117">
      <c r="A646" s="27" t="n"/>
      <c r="B646" s="27" t="n"/>
      <c r="C646" s="27" t="n"/>
      <c r="D646" s="27" t="n"/>
      <c r="E646" s="27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</row>
    <row r="647" ht="16.5" customHeight="1" s="117">
      <c r="A647" s="27" t="n"/>
      <c r="B647" s="27" t="n"/>
      <c r="C647" s="27" t="n"/>
      <c r="D647" s="27" t="n"/>
      <c r="E647" s="27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</row>
    <row r="648" ht="16.5" customHeight="1" s="117">
      <c r="A648" s="27" t="n"/>
      <c r="B648" s="27" t="n"/>
      <c r="C648" s="27" t="n"/>
      <c r="D648" s="27" t="n"/>
      <c r="E648" s="27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</row>
    <row r="649" ht="16.5" customHeight="1" s="117">
      <c r="A649" s="27" t="n"/>
      <c r="B649" s="27" t="n"/>
      <c r="C649" s="27" t="n"/>
      <c r="D649" s="27" t="n"/>
      <c r="E649" s="27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</row>
    <row r="650" ht="16.5" customHeight="1" s="117">
      <c r="A650" s="27" t="n"/>
      <c r="B650" s="27" t="n"/>
      <c r="C650" s="27" t="n"/>
      <c r="D650" s="27" t="n"/>
      <c r="E650" s="27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</row>
    <row r="651" ht="16.5" customHeight="1" s="117">
      <c r="A651" s="27" t="n"/>
      <c r="B651" s="27" t="n"/>
      <c r="C651" s="27" t="n"/>
      <c r="D651" s="27" t="n"/>
      <c r="E651" s="27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</row>
    <row r="652" ht="16.5" customHeight="1" s="117">
      <c r="A652" s="27" t="n"/>
      <c r="B652" s="27" t="n"/>
      <c r="C652" s="27" t="n"/>
      <c r="D652" s="27" t="n"/>
      <c r="E652" s="27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</row>
    <row r="653" ht="16.5" customHeight="1" s="117">
      <c r="A653" s="27" t="n"/>
      <c r="B653" s="27" t="n"/>
      <c r="C653" s="27" t="n"/>
      <c r="D653" s="27" t="n"/>
      <c r="E653" s="27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</row>
    <row r="654" ht="16.5" customHeight="1" s="117">
      <c r="A654" s="27" t="n"/>
      <c r="B654" s="27" t="n"/>
      <c r="C654" s="27" t="n"/>
      <c r="D654" s="27" t="n"/>
      <c r="E654" s="27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</row>
    <row r="655" ht="16.5" customHeight="1" s="117">
      <c r="A655" s="27" t="n"/>
      <c r="B655" s="27" t="n"/>
      <c r="C655" s="27" t="n"/>
      <c r="D655" s="27" t="n"/>
      <c r="E655" s="27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</row>
    <row r="656" ht="16.5" customHeight="1" s="117">
      <c r="A656" s="27" t="n"/>
      <c r="B656" s="27" t="n"/>
      <c r="C656" s="27" t="n"/>
      <c r="D656" s="27" t="n"/>
      <c r="E656" s="27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</row>
    <row r="657" ht="16.5" customHeight="1" s="117">
      <c r="A657" s="27" t="n"/>
      <c r="B657" s="27" t="n"/>
      <c r="C657" s="27" t="n"/>
      <c r="D657" s="27" t="n"/>
      <c r="E657" s="27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</row>
    <row r="658" ht="16.5" customHeight="1" s="117">
      <c r="A658" s="27" t="n"/>
      <c r="B658" s="27" t="n"/>
      <c r="C658" s="27" t="n"/>
      <c r="D658" s="27" t="n"/>
      <c r="E658" s="27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</row>
    <row r="659" ht="16.5" customHeight="1" s="117">
      <c r="A659" s="27" t="n"/>
      <c r="B659" s="27" t="n"/>
      <c r="C659" s="27" t="n"/>
      <c r="D659" s="27" t="n"/>
      <c r="E659" s="27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</row>
    <row r="660" ht="16.5" customHeight="1" s="117">
      <c r="A660" s="27" t="n"/>
      <c r="B660" s="27" t="n"/>
      <c r="C660" s="27" t="n"/>
      <c r="D660" s="27" t="n"/>
      <c r="E660" s="27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</row>
    <row r="661" ht="16.5" customHeight="1" s="117">
      <c r="A661" s="27" t="n"/>
      <c r="B661" s="27" t="n"/>
      <c r="C661" s="27" t="n"/>
      <c r="D661" s="27" t="n"/>
      <c r="E661" s="27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</row>
    <row r="662" ht="16.5" customHeight="1" s="117">
      <c r="A662" s="27" t="n"/>
      <c r="B662" s="27" t="n"/>
      <c r="C662" s="27" t="n"/>
      <c r="D662" s="27" t="n"/>
      <c r="E662" s="27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</row>
    <row r="663" ht="16.5" customHeight="1" s="117">
      <c r="A663" s="27" t="n"/>
      <c r="B663" s="27" t="n"/>
      <c r="C663" s="27" t="n"/>
      <c r="D663" s="27" t="n"/>
      <c r="E663" s="27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</row>
    <row r="664" ht="16.5" customHeight="1" s="117">
      <c r="A664" s="27" t="n"/>
      <c r="B664" s="27" t="n"/>
      <c r="C664" s="27" t="n"/>
      <c r="D664" s="27" t="n"/>
      <c r="E664" s="27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</row>
    <row r="665" ht="16.5" customHeight="1" s="117">
      <c r="A665" s="27" t="n"/>
      <c r="B665" s="27" t="n"/>
      <c r="C665" s="27" t="n"/>
      <c r="D665" s="27" t="n"/>
      <c r="E665" s="27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</row>
    <row r="666" ht="16.5" customHeight="1" s="117">
      <c r="A666" s="27" t="n"/>
      <c r="B666" s="27" t="n"/>
      <c r="C666" s="27" t="n"/>
      <c r="D666" s="27" t="n"/>
      <c r="E666" s="27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</row>
    <row r="667" ht="16.5" customHeight="1" s="117">
      <c r="A667" s="27" t="n"/>
      <c r="B667" s="27" t="n"/>
      <c r="C667" s="27" t="n"/>
      <c r="D667" s="27" t="n"/>
      <c r="E667" s="27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</row>
    <row r="668" ht="16.5" customHeight="1" s="117">
      <c r="A668" s="27" t="n"/>
      <c r="B668" s="27" t="n"/>
      <c r="C668" s="27" t="n"/>
      <c r="D668" s="27" t="n"/>
      <c r="E668" s="27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</row>
    <row r="669" ht="16.5" customHeight="1" s="117">
      <c r="A669" s="27" t="n"/>
      <c r="B669" s="27" t="n"/>
      <c r="C669" s="27" t="n"/>
      <c r="D669" s="27" t="n"/>
      <c r="E669" s="27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</row>
    <row r="670" ht="16.5" customHeight="1" s="117">
      <c r="A670" s="27" t="n"/>
      <c r="B670" s="27" t="n"/>
      <c r="C670" s="27" t="n"/>
      <c r="D670" s="27" t="n"/>
      <c r="E670" s="27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</row>
    <row r="671" ht="16.5" customHeight="1" s="117">
      <c r="A671" s="27" t="n"/>
      <c r="B671" s="27" t="n"/>
      <c r="C671" s="27" t="n"/>
      <c r="D671" s="27" t="n"/>
      <c r="E671" s="27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</row>
    <row r="672" ht="16.5" customHeight="1" s="117">
      <c r="A672" s="27" t="n"/>
      <c r="B672" s="27" t="n"/>
      <c r="C672" s="27" t="n"/>
      <c r="D672" s="27" t="n"/>
      <c r="E672" s="27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</row>
    <row r="673" ht="16.5" customHeight="1" s="117">
      <c r="A673" s="27" t="n"/>
      <c r="B673" s="27" t="n"/>
      <c r="C673" s="27" t="n"/>
      <c r="D673" s="27" t="n"/>
      <c r="E673" s="27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</row>
    <row r="674" ht="16.5" customHeight="1" s="117">
      <c r="A674" s="27" t="n"/>
      <c r="B674" s="27" t="n"/>
      <c r="C674" s="27" t="n"/>
      <c r="D674" s="27" t="n"/>
      <c r="E674" s="27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</row>
    <row r="675" ht="16.5" customHeight="1" s="117">
      <c r="A675" s="27" t="n"/>
      <c r="B675" s="27" t="n"/>
      <c r="C675" s="27" t="n"/>
      <c r="D675" s="27" t="n"/>
      <c r="E675" s="27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</row>
    <row r="676" ht="16.5" customHeight="1" s="117">
      <c r="A676" s="27" t="n"/>
      <c r="B676" s="27" t="n"/>
      <c r="C676" s="27" t="n"/>
      <c r="D676" s="27" t="n"/>
      <c r="E676" s="27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</row>
    <row r="677" ht="16.5" customHeight="1" s="117">
      <c r="A677" s="27" t="n"/>
      <c r="B677" s="27" t="n"/>
      <c r="C677" s="27" t="n"/>
      <c r="D677" s="27" t="n"/>
      <c r="E677" s="27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</row>
    <row r="678" ht="16.5" customHeight="1" s="117">
      <c r="A678" s="27" t="n"/>
      <c r="B678" s="27" t="n"/>
      <c r="C678" s="27" t="n"/>
      <c r="D678" s="27" t="n"/>
      <c r="E678" s="27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</row>
    <row r="679" ht="16.5" customHeight="1" s="117">
      <c r="A679" s="27" t="n"/>
      <c r="B679" s="27" t="n"/>
      <c r="C679" s="27" t="n"/>
      <c r="D679" s="27" t="n"/>
      <c r="E679" s="27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</row>
    <row r="680" ht="16.5" customHeight="1" s="117">
      <c r="A680" s="27" t="n"/>
      <c r="B680" s="27" t="n"/>
      <c r="C680" s="27" t="n"/>
      <c r="D680" s="27" t="n"/>
      <c r="E680" s="27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</row>
    <row r="681" ht="16.5" customHeight="1" s="117">
      <c r="A681" s="27" t="n"/>
      <c r="B681" s="27" t="n"/>
      <c r="C681" s="27" t="n"/>
      <c r="D681" s="27" t="n"/>
      <c r="E681" s="27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</row>
    <row r="682" ht="16.5" customHeight="1" s="117">
      <c r="A682" s="27" t="n"/>
      <c r="B682" s="27" t="n"/>
      <c r="C682" s="27" t="n"/>
      <c r="D682" s="27" t="n"/>
      <c r="E682" s="27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</row>
    <row r="683" ht="16.5" customHeight="1" s="117">
      <c r="A683" s="27" t="n"/>
      <c r="B683" s="27" t="n"/>
      <c r="C683" s="27" t="n"/>
      <c r="D683" s="27" t="n"/>
      <c r="E683" s="27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</row>
    <row r="684" ht="16.5" customHeight="1" s="117">
      <c r="A684" s="27" t="n"/>
      <c r="B684" s="27" t="n"/>
      <c r="C684" s="27" t="n"/>
      <c r="D684" s="27" t="n"/>
      <c r="E684" s="27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</row>
    <row r="685" ht="16.5" customHeight="1" s="117">
      <c r="A685" s="27" t="n"/>
      <c r="B685" s="27" t="n"/>
      <c r="C685" s="27" t="n"/>
      <c r="D685" s="27" t="n"/>
      <c r="E685" s="27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</row>
    <row r="686" ht="16.5" customHeight="1" s="117">
      <c r="A686" s="27" t="n"/>
      <c r="B686" s="27" t="n"/>
      <c r="C686" s="27" t="n"/>
      <c r="D686" s="27" t="n"/>
      <c r="E686" s="27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</row>
    <row r="687" ht="16.5" customHeight="1" s="117">
      <c r="A687" s="27" t="n"/>
      <c r="B687" s="27" t="n"/>
      <c r="C687" s="27" t="n"/>
      <c r="D687" s="27" t="n"/>
      <c r="E687" s="27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</row>
    <row r="688" ht="16.5" customHeight="1" s="117">
      <c r="A688" s="27" t="n"/>
      <c r="B688" s="27" t="n"/>
      <c r="C688" s="27" t="n"/>
      <c r="D688" s="27" t="n"/>
      <c r="E688" s="27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</row>
    <row r="689" ht="16.5" customHeight="1" s="117">
      <c r="A689" s="27" t="n"/>
      <c r="B689" s="27" t="n"/>
      <c r="C689" s="27" t="n"/>
      <c r="D689" s="27" t="n"/>
      <c r="E689" s="27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</row>
    <row r="690" ht="16.5" customHeight="1" s="117">
      <c r="A690" s="27" t="n"/>
      <c r="B690" s="27" t="n"/>
      <c r="C690" s="27" t="n"/>
      <c r="D690" s="27" t="n"/>
      <c r="E690" s="27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</row>
    <row r="691" ht="16.5" customHeight="1" s="117">
      <c r="A691" s="27" t="n"/>
      <c r="B691" s="27" t="n"/>
      <c r="C691" s="27" t="n"/>
      <c r="D691" s="27" t="n"/>
      <c r="E691" s="27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</row>
    <row r="692" ht="16.5" customHeight="1" s="117">
      <c r="A692" s="27" t="n"/>
      <c r="B692" s="27" t="n"/>
      <c r="C692" s="27" t="n"/>
      <c r="D692" s="27" t="n"/>
      <c r="E692" s="27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</row>
    <row r="693" ht="16.5" customHeight="1" s="117">
      <c r="A693" s="27" t="n"/>
      <c r="B693" s="27" t="n"/>
      <c r="C693" s="27" t="n"/>
      <c r="D693" s="27" t="n"/>
      <c r="E693" s="27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</row>
    <row r="694" ht="16.5" customHeight="1" s="117">
      <c r="A694" s="27" t="n"/>
      <c r="B694" s="27" t="n"/>
      <c r="C694" s="27" t="n"/>
      <c r="D694" s="27" t="n"/>
      <c r="E694" s="27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</row>
    <row r="695" ht="16.5" customHeight="1" s="117">
      <c r="A695" s="27" t="n"/>
      <c r="B695" s="27" t="n"/>
      <c r="C695" s="27" t="n"/>
      <c r="D695" s="27" t="n"/>
      <c r="E695" s="27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</row>
    <row r="696" ht="16.5" customHeight="1" s="117">
      <c r="A696" s="27" t="n"/>
      <c r="B696" s="27" t="n"/>
      <c r="C696" s="27" t="n"/>
      <c r="D696" s="27" t="n"/>
      <c r="E696" s="27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</row>
    <row r="697" ht="16.5" customHeight="1" s="117">
      <c r="A697" s="27" t="n"/>
      <c r="B697" s="27" t="n"/>
      <c r="C697" s="27" t="n"/>
      <c r="D697" s="27" t="n"/>
      <c r="E697" s="27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</row>
    <row r="698" ht="16.5" customHeight="1" s="117">
      <c r="A698" s="27" t="n"/>
      <c r="B698" s="27" t="n"/>
      <c r="C698" s="27" t="n"/>
      <c r="D698" s="27" t="n"/>
      <c r="E698" s="27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</row>
    <row r="699" ht="16.5" customHeight="1" s="117">
      <c r="A699" s="27" t="n"/>
      <c r="B699" s="27" t="n"/>
      <c r="C699" s="27" t="n"/>
      <c r="D699" s="27" t="n"/>
      <c r="E699" s="27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</row>
    <row r="700" ht="16.5" customHeight="1" s="117">
      <c r="A700" s="27" t="n"/>
      <c r="B700" s="27" t="n"/>
      <c r="C700" s="27" t="n"/>
      <c r="D700" s="27" t="n"/>
      <c r="E700" s="27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</row>
    <row r="701" ht="16.5" customHeight="1" s="117">
      <c r="A701" s="27" t="n"/>
      <c r="B701" s="27" t="n"/>
      <c r="C701" s="27" t="n"/>
      <c r="D701" s="27" t="n"/>
      <c r="E701" s="27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</row>
    <row r="702" ht="16.5" customHeight="1" s="117">
      <c r="A702" s="27" t="n"/>
      <c r="B702" s="27" t="n"/>
      <c r="C702" s="27" t="n"/>
      <c r="D702" s="27" t="n"/>
      <c r="E702" s="27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</row>
    <row r="703" ht="16.5" customHeight="1" s="117">
      <c r="A703" s="27" t="n"/>
      <c r="B703" s="27" t="n"/>
      <c r="C703" s="27" t="n"/>
      <c r="D703" s="27" t="n"/>
      <c r="E703" s="27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</row>
    <row r="704" ht="16.5" customHeight="1" s="117">
      <c r="A704" s="27" t="n"/>
      <c r="B704" s="27" t="n"/>
      <c r="C704" s="27" t="n"/>
      <c r="D704" s="27" t="n"/>
      <c r="E704" s="27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</row>
    <row r="705" ht="16.5" customHeight="1" s="117">
      <c r="A705" s="27" t="n"/>
      <c r="B705" s="27" t="n"/>
      <c r="C705" s="27" t="n"/>
      <c r="D705" s="27" t="n"/>
      <c r="E705" s="27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</row>
    <row r="706" ht="16.5" customHeight="1" s="117">
      <c r="A706" s="27" t="n"/>
      <c r="B706" s="27" t="n"/>
      <c r="C706" s="27" t="n"/>
      <c r="D706" s="27" t="n"/>
      <c r="E706" s="27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</row>
    <row r="707" ht="16.5" customHeight="1" s="117">
      <c r="A707" s="27" t="n"/>
      <c r="B707" s="27" t="n"/>
      <c r="C707" s="27" t="n"/>
      <c r="D707" s="27" t="n"/>
      <c r="E707" s="27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</row>
    <row r="708" ht="16.5" customHeight="1" s="117">
      <c r="A708" s="27" t="n"/>
      <c r="B708" s="27" t="n"/>
      <c r="C708" s="27" t="n"/>
      <c r="D708" s="27" t="n"/>
      <c r="E708" s="27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</row>
    <row r="709" ht="16.5" customHeight="1" s="117">
      <c r="A709" s="27" t="n"/>
      <c r="B709" s="27" t="n"/>
      <c r="C709" s="27" t="n"/>
      <c r="D709" s="27" t="n"/>
      <c r="E709" s="27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</row>
    <row r="710" ht="16.5" customHeight="1" s="117">
      <c r="A710" s="27" t="n"/>
      <c r="B710" s="27" t="n"/>
      <c r="C710" s="27" t="n"/>
      <c r="D710" s="27" t="n"/>
      <c r="E710" s="27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</row>
    <row r="711" ht="16.5" customHeight="1" s="117">
      <c r="A711" s="27" t="n"/>
      <c r="B711" s="27" t="n"/>
      <c r="C711" s="27" t="n"/>
      <c r="D711" s="27" t="n"/>
      <c r="E711" s="27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</row>
    <row r="712" ht="16.5" customHeight="1" s="117">
      <c r="A712" s="27" t="n"/>
      <c r="B712" s="27" t="n"/>
      <c r="C712" s="27" t="n"/>
      <c r="D712" s="27" t="n"/>
      <c r="E712" s="27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</row>
    <row r="713" ht="16.5" customHeight="1" s="117">
      <c r="A713" s="27" t="n"/>
      <c r="B713" s="27" t="n"/>
      <c r="C713" s="27" t="n"/>
      <c r="D713" s="27" t="n"/>
      <c r="E713" s="27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</row>
    <row r="714" ht="16.5" customHeight="1" s="117">
      <c r="A714" s="27" t="n"/>
      <c r="B714" s="27" t="n"/>
      <c r="C714" s="27" t="n"/>
      <c r="D714" s="27" t="n"/>
      <c r="E714" s="27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</row>
    <row r="715" ht="16.5" customHeight="1" s="117">
      <c r="A715" s="27" t="n"/>
      <c r="B715" s="27" t="n"/>
      <c r="C715" s="27" t="n"/>
      <c r="D715" s="27" t="n"/>
      <c r="E715" s="27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</row>
    <row r="716" ht="16.5" customHeight="1" s="117">
      <c r="A716" s="27" t="n"/>
      <c r="B716" s="27" t="n"/>
      <c r="C716" s="27" t="n"/>
      <c r="D716" s="27" t="n"/>
      <c r="E716" s="27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</row>
    <row r="717" ht="16.5" customHeight="1" s="117">
      <c r="A717" s="27" t="n"/>
      <c r="B717" s="27" t="n"/>
      <c r="C717" s="27" t="n"/>
      <c r="D717" s="27" t="n"/>
      <c r="E717" s="27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</row>
    <row r="718" ht="16.5" customHeight="1" s="117">
      <c r="A718" s="27" t="n"/>
      <c r="B718" s="27" t="n"/>
      <c r="C718" s="27" t="n"/>
      <c r="D718" s="27" t="n"/>
      <c r="E718" s="27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</row>
    <row r="719" ht="16.5" customHeight="1" s="117">
      <c r="A719" s="27" t="n"/>
      <c r="B719" s="27" t="n"/>
      <c r="C719" s="27" t="n"/>
      <c r="D719" s="27" t="n"/>
      <c r="E719" s="27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</row>
    <row r="720" ht="16.5" customHeight="1" s="117">
      <c r="A720" s="27" t="n"/>
      <c r="B720" s="27" t="n"/>
      <c r="C720" s="27" t="n"/>
      <c r="D720" s="27" t="n"/>
      <c r="E720" s="27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</row>
    <row r="721" ht="16.5" customHeight="1" s="117">
      <c r="A721" s="27" t="n"/>
      <c r="B721" s="27" t="n"/>
      <c r="C721" s="27" t="n"/>
      <c r="D721" s="27" t="n"/>
      <c r="E721" s="27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</row>
    <row r="722" ht="16.5" customHeight="1" s="117">
      <c r="A722" s="27" t="n"/>
      <c r="B722" s="27" t="n"/>
      <c r="C722" s="27" t="n"/>
      <c r="D722" s="27" t="n"/>
      <c r="E722" s="27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</row>
    <row r="723" ht="16.5" customHeight="1" s="117">
      <c r="A723" s="27" t="n"/>
      <c r="B723" s="27" t="n"/>
      <c r="C723" s="27" t="n"/>
      <c r="D723" s="27" t="n"/>
      <c r="E723" s="27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</row>
    <row r="724" ht="16.5" customHeight="1" s="117">
      <c r="A724" s="27" t="n"/>
      <c r="B724" s="27" t="n"/>
      <c r="C724" s="27" t="n"/>
      <c r="D724" s="27" t="n"/>
      <c r="E724" s="27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</row>
    <row r="725" ht="16.5" customHeight="1" s="117">
      <c r="A725" s="27" t="n"/>
      <c r="B725" s="27" t="n"/>
      <c r="C725" s="27" t="n"/>
      <c r="D725" s="27" t="n"/>
      <c r="E725" s="27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</row>
    <row r="726" ht="16.5" customHeight="1" s="117">
      <c r="A726" s="27" t="n"/>
      <c r="B726" s="27" t="n"/>
      <c r="C726" s="27" t="n"/>
      <c r="D726" s="27" t="n"/>
      <c r="E726" s="27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</row>
    <row r="727" ht="16.5" customHeight="1" s="117">
      <c r="A727" s="27" t="n"/>
      <c r="B727" s="27" t="n"/>
      <c r="C727" s="27" t="n"/>
      <c r="D727" s="27" t="n"/>
      <c r="E727" s="27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</row>
    <row r="728" ht="16.5" customHeight="1" s="117">
      <c r="A728" s="27" t="n"/>
      <c r="B728" s="27" t="n"/>
      <c r="C728" s="27" t="n"/>
      <c r="D728" s="27" t="n"/>
      <c r="E728" s="27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  <c r="X728" s="27" t="n"/>
      <c r="Y728" s="27" t="n"/>
      <c r="Z728" s="27" t="n"/>
    </row>
    <row r="729" ht="16.5" customHeight="1" s="117">
      <c r="A729" s="27" t="n"/>
      <c r="B729" s="27" t="n"/>
      <c r="C729" s="27" t="n"/>
      <c r="D729" s="27" t="n"/>
      <c r="E729" s="27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  <c r="X729" s="27" t="n"/>
      <c r="Y729" s="27" t="n"/>
      <c r="Z729" s="27" t="n"/>
    </row>
    <row r="730" ht="16.5" customHeight="1" s="117">
      <c r="A730" s="27" t="n"/>
      <c r="B730" s="27" t="n"/>
      <c r="C730" s="27" t="n"/>
      <c r="D730" s="27" t="n"/>
      <c r="E730" s="27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  <c r="X730" s="27" t="n"/>
      <c r="Y730" s="27" t="n"/>
      <c r="Z730" s="27" t="n"/>
    </row>
    <row r="731" ht="16.5" customHeight="1" s="117">
      <c r="A731" s="27" t="n"/>
      <c r="B731" s="27" t="n"/>
      <c r="C731" s="27" t="n"/>
      <c r="D731" s="27" t="n"/>
      <c r="E731" s="27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  <c r="X731" s="27" t="n"/>
      <c r="Y731" s="27" t="n"/>
      <c r="Z731" s="27" t="n"/>
    </row>
    <row r="732" ht="16.5" customHeight="1" s="117">
      <c r="A732" s="27" t="n"/>
      <c r="B732" s="27" t="n"/>
      <c r="C732" s="27" t="n"/>
      <c r="D732" s="27" t="n"/>
      <c r="E732" s="27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</row>
    <row r="733" ht="16.5" customHeight="1" s="117">
      <c r="A733" s="27" t="n"/>
      <c r="B733" s="27" t="n"/>
      <c r="C733" s="27" t="n"/>
      <c r="D733" s="27" t="n"/>
      <c r="E733" s="27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</row>
    <row r="734" ht="16.5" customHeight="1" s="117">
      <c r="A734" s="27" t="n"/>
      <c r="B734" s="27" t="n"/>
      <c r="C734" s="27" t="n"/>
      <c r="D734" s="27" t="n"/>
      <c r="E734" s="27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</row>
    <row r="735" ht="16.5" customHeight="1" s="117">
      <c r="A735" s="27" t="n"/>
      <c r="B735" s="27" t="n"/>
      <c r="C735" s="27" t="n"/>
      <c r="D735" s="27" t="n"/>
      <c r="E735" s="27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</row>
    <row r="736" ht="16.5" customHeight="1" s="117">
      <c r="A736" s="27" t="n"/>
      <c r="B736" s="27" t="n"/>
      <c r="C736" s="27" t="n"/>
      <c r="D736" s="27" t="n"/>
      <c r="E736" s="27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</row>
    <row r="737" ht="16.5" customHeight="1" s="117">
      <c r="A737" s="27" t="n"/>
      <c r="B737" s="27" t="n"/>
      <c r="C737" s="27" t="n"/>
      <c r="D737" s="27" t="n"/>
      <c r="E737" s="27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</row>
    <row r="738" ht="16.5" customHeight="1" s="117">
      <c r="A738" s="27" t="n"/>
      <c r="B738" s="27" t="n"/>
      <c r="C738" s="27" t="n"/>
      <c r="D738" s="27" t="n"/>
      <c r="E738" s="27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</row>
    <row r="739" ht="16.5" customHeight="1" s="117">
      <c r="A739" s="27" t="n"/>
      <c r="B739" s="27" t="n"/>
      <c r="C739" s="27" t="n"/>
      <c r="D739" s="27" t="n"/>
      <c r="E739" s="27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</row>
    <row r="740" ht="16.5" customHeight="1" s="117">
      <c r="A740" s="27" t="n"/>
      <c r="B740" s="27" t="n"/>
      <c r="C740" s="27" t="n"/>
      <c r="D740" s="27" t="n"/>
      <c r="E740" s="27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</row>
    <row r="741" ht="16.5" customHeight="1" s="117">
      <c r="A741" s="27" t="n"/>
      <c r="B741" s="27" t="n"/>
      <c r="C741" s="27" t="n"/>
      <c r="D741" s="27" t="n"/>
      <c r="E741" s="27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</row>
    <row r="742" ht="16.5" customHeight="1" s="117">
      <c r="A742" s="27" t="n"/>
      <c r="B742" s="27" t="n"/>
      <c r="C742" s="27" t="n"/>
      <c r="D742" s="27" t="n"/>
      <c r="E742" s="27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</row>
    <row r="743" ht="16.5" customHeight="1" s="117">
      <c r="A743" s="27" t="n"/>
      <c r="B743" s="27" t="n"/>
      <c r="C743" s="27" t="n"/>
      <c r="D743" s="27" t="n"/>
      <c r="E743" s="27" t="n"/>
      <c r="F743" s="27" t="n"/>
      <c r="G743" s="27" t="n"/>
      <c r="H743" s="27" t="n"/>
      <c r="I743" s="27" t="n"/>
      <c r="J743" s="27" t="n"/>
      <c r="K743" s="27" t="n"/>
      <c r="L743" s="27" t="n"/>
      <c r="M743" s="27" t="n"/>
      <c r="N743" s="27" t="n"/>
      <c r="O743" s="27" t="n"/>
      <c r="P743" s="27" t="n"/>
      <c r="Q743" s="27" t="n"/>
      <c r="R743" s="27" t="n"/>
      <c r="S743" s="27" t="n"/>
      <c r="T743" s="27" t="n"/>
      <c r="U743" s="27" t="n"/>
      <c r="V743" s="27" t="n"/>
      <c r="W743" s="27" t="n"/>
      <c r="X743" s="27" t="n"/>
      <c r="Y743" s="27" t="n"/>
      <c r="Z743" s="27" t="n"/>
    </row>
    <row r="744" ht="16.5" customHeight="1" s="117">
      <c r="A744" s="27" t="n"/>
      <c r="B744" s="27" t="n"/>
      <c r="C744" s="27" t="n"/>
      <c r="D744" s="27" t="n"/>
      <c r="E744" s="27" t="n"/>
      <c r="F744" s="27" t="n"/>
      <c r="G744" s="27" t="n"/>
      <c r="H744" s="27" t="n"/>
      <c r="I744" s="27" t="n"/>
      <c r="J744" s="27" t="n"/>
      <c r="K744" s="27" t="n"/>
      <c r="L744" s="27" t="n"/>
      <c r="M744" s="27" t="n"/>
      <c r="N744" s="27" t="n"/>
      <c r="O744" s="27" t="n"/>
      <c r="P744" s="27" t="n"/>
      <c r="Q744" s="27" t="n"/>
      <c r="R744" s="27" t="n"/>
      <c r="S744" s="27" t="n"/>
      <c r="T744" s="27" t="n"/>
      <c r="U744" s="27" t="n"/>
      <c r="V744" s="27" t="n"/>
      <c r="W744" s="27" t="n"/>
      <c r="X744" s="27" t="n"/>
      <c r="Y744" s="27" t="n"/>
      <c r="Z744" s="27" t="n"/>
    </row>
    <row r="745" ht="16.5" customHeight="1" s="117">
      <c r="A745" s="27" t="n"/>
      <c r="B745" s="27" t="n"/>
      <c r="C745" s="27" t="n"/>
      <c r="D745" s="27" t="n"/>
      <c r="E745" s="27" t="n"/>
      <c r="F745" s="27" t="n"/>
      <c r="G745" s="27" t="n"/>
      <c r="H745" s="27" t="n"/>
      <c r="I745" s="27" t="n"/>
      <c r="J745" s="27" t="n"/>
      <c r="K745" s="27" t="n"/>
      <c r="L745" s="27" t="n"/>
      <c r="M745" s="27" t="n"/>
      <c r="N745" s="27" t="n"/>
      <c r="O745" s="27" t="n"/>
      <c r="P745" s="27" t="n"/>
      <c r="Q745" s="27" t="n"/>
      <c r="R745" s="27" t="n"/>
      <c r="S745" s="27" t="n"/>
      <c r="T745" s="27" t="n"/>
      <c r="U745" s="27" t="n"/>
      <c r="V745" s="27" t="n"/>
      <c r="W745" s="27" t="n"/>
      <c r="X745" s="27" t="n"/>
      <c r="Y745" s="27" t="n"/>
      <c r="Z745" s="27" t="n"/>
    </row>
    <row r="746" ht="16.5" customHeight="1" s="117">
      <c r="A746" s="27" t="n"/>
      <c r="B746" s="27" t="n"/>
      <c r="C746" s="27" t="n"/>
      <c r="D746" s="27" t="n"/>
      <c r="E746" s="27" t="n"/>
      <c r="F746" s="27" t="n"/>
      <c r="G746" s="27" t="n"/>
      <c r="H746" s="27" t="n"/>
      <c r="I746" s="27" t="n"/>
      <c r="J746" s="27" t="n"/>
      <c r="K746" s="27" t="n"/>
      <c r="L746" s="27" t="n"/>
      <c r="M746" s="27" t="n"/>
      <c r="N746" s="27" t="n"/>
      <c r="O746" s="27" t="n"/>
      <c r="P746" s="27" t="n"/>
      <c r="Q746" s="27" t="n"/>
      <c r="R746" s="27" t="n"/>
      <c r="S746" s="27" t="n"/>
      <c r="T746" s="27" t="n"/>
      <c r="U746" s="27" t="n"/>
      <c r="V746" s="27" t="n"/>
      <c r="W746" s="27" t="n"/>
      <c r="X746" s="27" t="n"/>
      <c r="Y746" s="27" t="n"/>
      <c r="Z746" s="27" t="n"/>
    </row>
    <row r="747" ht="16.5" customHeight="1" s="117">
      <c r="A747" s="27" t="n"/>
      <c r="B747" s="27" t="n"/>
      <c r="C747" s="27" t="n"/>
      <c r="D747" s="27" t="n"/>
      <c r="E747" s="27" t="n"/>
      <c r="F747" s="27" t="n"/>
      <c r="G747" s="27" t="n"/>
      <c r="H747" s="27" t="n"/>
      <c r="I747" s="27" t="n"/>
      <c r="J747" s="27" t="n"/>
      <c r="K747" s="27" t="n"/>
      <c r="L747" s="27" t="n"/>
      <c r="M747" s="27" t="n"/>
      <c r="N747" s="27" t="n"/>
      <c r="O747" s="27" t="n"/>
      <c r="P747" s="27" t="n"/>
      <c r="Q747" s="27" t="n"/>
      <c r="R747" s="27" t="n"/>
      <c r="S747" s="27" t="n"/>
      <c r="T747" s="27" t="n"/>
      <c r="U747" s="27" t="n"/>
      <c r="V747" s="27" t="n"/>
      <c r="W747" s="27" t="n"/>
      <c r="X747" s="27" t="n"/>
      <c r="Y747" s="27" t="n"/>
      <c r="Z747" s="27" t="n"/>
    </row>
    <row r="748" ht="16.5" customHeight="1" s="117">
      <c r="A748" s="27" t="n"/>
      <c r="B748" s="27" t="n"/>
      <c r="C748" s="27" t="n"/>
      <c r="D748" s="27" t="n"/>
      <c r="E748" s="27" t="n"/>
      <c r="F748" s="27" t="n"/>
      <c r="G748" s="27" t="n"/>
      <c r="H748" s="27" t="n"/>
      <c r="I748" s="27" t="n"/>
      <c r="J748" s="27" t="n"/>
      <c r="K748" s="27" t="n"/>
      <c r="L748" s="27" t="n"/>
      <c r="M748" s="27" t="n"/>
      <c r="N748" s="27" t="n"/>
      <c r="O748" s="27" t="n"/>
      <c r="P748" s="27" t="n"/>
      <c r="Q748" s="27" t="n"/>
      <c r="R748" s="27" t="n"/>
      <c r="S748" s="27" t="n"/>
      <c r="T748" s="27" t="n"/>
      <c r="U748" s="27" t="n"/>
      <c r="V748" s="27" t="n"/>
      <c r="W748" s="27" t="n"/>
      <c r="X748" s="27" t="n"/>
      <c r="Y748" s="27" t="n"/>
      <c r="Z748" s="27" t="n"/>
    </row>
    <row r="749" ht="16.5" customHeight="1" s="117">
      <c r="A749" s="27" t="n"/>
      <c r="B749" s="27" t="n"/>
      <c r="C749" s="27" t="n"/>
      <c r="D749" s="27" t="n"/>
      <c r="E749" s="27" t="n"/>
      <c r="F749" s="27" t="n"/>
      <c r="G749" s="27" t="n"/>
      <c r="H749" s="27" t="n"/>
      <c r="I749" s="27" t="n"/>
      <c r="J749" s="27" t="n"/>
      <c r="K749" s="27" t="n"/>
      <c r="L749" s="27" t="n"/>
      <c r="M749" s="27" t="n"/>
      <c r="N749" s="27" t="n"/>
      <c r="O749" s="27" t="n"/>
      <c r="P749" s="27" t="n"/>
      <c r="Q749" s="27" t="n"/>
      <c r="R749" s="27" t="n"/>
      <c r="S749" s="27" t="n"/>
      <c r="T749" s="27" t="n"/>
      <c r="U749" s="27" t="n"/>
      <c r="V749" s="27" t="n"/>
      <c r="W749" s="27" t="n"/>
      <c r="X749" s="27" t="n"/>
      <c r="Y749" s="27" t="n"/>
      <c r="Z749" s="27" t="n"/>
    </row>
    <row r="750" ht="16.5" customHeight="1" s="117">
      <c r="A750" s="27" t="n"/>
      <c r="B750" s="27" t="n"/>
      <c r="C750" s="27" t="n"/>
      <c r="D750" s="27" t="n"/>
      <c r="E750" s="27" t="n"/>
      <c r="F750" s="27" t="n"/>
      <c r="G750" s="27" t="n"/>
      <c r="H750" s="27" t="n"/>
      <c r="I750" s="27" t="n"/>
      <c r="J750" s="27" t="n"/>
      <c r="K750" s="27" t="n"/>
      <c r="L750" s="27" t="n"/>
      <c r="M750" s="27" t="n"/>
      <c r="N750" s="27" t="n"/>
      <c r="O750" s="27" t="n"/>
      <c r="P750" s="27" t="n"/>
      <c r="Q750" s="27" t="n"/>
      <c r="R750" s="27" t="n"/>
      <c r="S750" s="27" t="n"/>
      <c r="T750" s="27" t="n"/>
      <c r="U750" s="27" t="n"/>
      <c r="V750" s="27" t="n"/>
      <c r="W750" s="27" t="n"/>
      <c r="X750" s="27" t="n"/>
      <c r="Y750" s="27" t="n"/>
      <c r="Z750" s="27" t="n"/>
    </row>
    <row r="751" ht="16.5" customHeight="1" s="117">
      <c r="A751" s="27" t="n"/>
      <c r="B751" s="27" t="n"/>
      <c r="C751" s="27" t="n"/>
      <c r="D751" s="27" t="n"/>
      <c r="E751" s="27" t="n"/>
      <c r="F751" s="27" t="n"/>
      <c r="G751" s="27" t="n"/>
      <c r="H751" s="27" t="n"/>
      <c r="I751" s="27" t="n"/>
      <c r="J751" s="27" t="n"/>
      <c r="K751" s="27" t="n"/>
      <c r="L751" s="27" t="n"/>
      <c r="M751" s="27" t="n"/>
      <c r="N751" s="27" t="n"/>
      <c r="O751" s="27" t="n"/>
      <c r="P751" s="27" t="n"/>
      <c r="Q751" s="27" t="n"/>
      <c r="R751" s="27" t="n"/>
      <c r="S751" s="27" t="n"/>
      <c r="T751" s="27" t="n"/>
      <c r="U751" s="27" t="n"/>
      <c r="V751" s="27" t="n"/>
      <c r="W751" s="27" t="n"/>
      <c r="X751" s="27" t="n"/>
      <c r="Y751" s="27" t="n"/>
      <c r="Z751" s="27" t="n"/>
    </row>
    <row r="752" ht="16.5" customHeight="1" s="117">
      <c r="A752" s="27" t="n"/>
      <c r="B752" s="27" t="n"/>
      <c r="C752" s="27" t="n"/>
      <c r="D752" s="27" t="n"/>
      <c r="E752" s="27" t="n"/>
      <c r="F752" s="27" t="n"/>
      <c r="G752" s="27" t="n"/>
      <c r="H752" s="27" t="n"/>
      <c r="I752" s="27" t="n"/>
      <c r="J752" s="27" t="n"/>
      <c r="K752" s="27" t="n"/>
      <c r="L752" s="27" t="n"/>
      <c r="M752" s="27" t="n"/>
      <c r="N752" s="27" t="n"/>
      <c r="O752" s="27" t="n"/>
      <c r="P752" s="27" t="n"/>
      <c r="Q752" s="27" t="n"/>
      <c r="R752" s="27" t="n"/>
      <c r="S752" s="27" t="n"/>
      <c r="T752" s="27" t="n"/>
      <c r="U752" s="27" t="n"/>
      <c r="V752" s="27" t="n"/>
      <c r="W752" s="27" t="n"/>
      <c r="X752" s="27" t="n"/>
      <c r="Y752" s="27" t="n"/>
      <c r="Z752" s="27" t="n"/>
    </row>
    <row r="753" ht="16.5" customHeight="1" s="117">
      <c r="A753" s="27" t="n"/>
      <c r="B753" s="27" t="n"/>
      <c r="C753" s="27" t="n"/>
      <c r="D753" s="27" t="n"/>
      <c r="E753" s="27" t="n"/>
      <c r="F753" s="27" t="n"/>
      <c r="G753" s="27" t="n"/>
      <c r="H753" s="27" t="n"/>
      <c r="I753" s="27" t="n"/>
      <c r="J753" s="27" t="n"/>
      <c r="K753" s="27" t="n"/>
      <c r="L753" s="27" t="n"/>
      <c r="M753" s="27" t="n"/>
      <c r="N753" s="27" t="n"/>
      <c r="O753" s="27" t="n"/>
      <c r="P753" s="27" t="n"/>
      <c r="Q753" s="27" t="n"/>
      <c r="R753" s="27" t="n"/>
      <c r="S753" s="27" t="n"/>
      <c r="T753" s="27" t="n"/>
      <c r="U753" s="27" t="n"/>
      <c r="V753" s="27" t="n"/>
      <c r="W753" s="27" t="n"/>
      <c r="X753" s="27" t="n"/>
      <c r="Y753" s="27" t="n"/>
      <c r="Z753" s="27" t="n"/>
    </row>
    <row r="754" ht="16.5" customHeight="1" s="117">
      <c r="A754" s="27" t="n"/>
      <c r="B754" s="27" t="n"/>
      <c r="C754" s="27" t="n"/>
      <c r="D754" s="27" t="n"/>
      <c r="E754" s="27" t="n"/>
      <c r="F754" s="27" t="n"/>
      <c r="G754" s="27" t="n"/>
      <c r="H754" s="27" t="n"/>
      <c r="I754" s="27" t="n"/>
      <c r="J754" s="27" t="n"/>
      <c r="K754" s="27" t="n"/>
      <c r="L754" s="27" t="n"/>
      <c r="M754" s="27" t="n"/>
      <c r="N754" s="27" t="n"/>
      <c r="O754" s="27" t="n"/>
      <c r="P754" s="27" t="n"/>
      <c r="Q754" s="27" t="n"/>
      <c r="R754" s="27" t="n"/>
      <c r="S754" s="27" t="n"/>
      <c r="T754" s="27" t="n"/>
      <c r="U754" s="27" t="n"/>
      <c r="V754" s="27" t="n"/>
      <c r="W754" s="27" t="n"/>
      <c r="X754" s="27" t="n"/>
      <c r="Y754" s="27" t="n"/>
      <c r="Z754" s="27" t="n"/>
    </row>
    <row r="755" ht="16.5" customHeight="1" s="117">
      <c r="A755" s="27" t="n"/>
      <c r="B755" s="27" t="n"/>
      <c r="C755" s="27" t="n"/>
      <c r="D755" s="27" t="n"/>
      <c r="E755" s="27" t="n"/>
      <c r="F755" s="27" t="n"/>
      <c r="G755" s="27" t="n"/>
      <c r="H755" s="27" t="n"/>
      <c r="I755" s="27" t="n"/>
      <c r="J755" s="27" t="n"/>
      <c r="K755" s="27" t="n"/>
      <c r="L755" s="27" t="n"/>
      <c r="M755" s="27" t="n"/>
      <c r="N755" s="27" t="n"/>
      <c r="O755" s="27" t="n"/>
      <c r="P755" s="27" t="n"/>
      <c r="Q755" s="27" t="n"/>
      <c r="R755" s="27" t="n"/>
      <c r="S755" s="27" t="n"/>
      <c r="T755" s="27" t="n"/>
      <c r="U755" s="27" t="n"/>
      <c r="V755" s="27" t="n"/>
      <c r="W755" s="27" t="n"/>
      <c r="X755" s="27" t="n"/>
      <c r="Y755" s="27" t="n"/>
      <c r="Z755" s="27" t="n"/>
    </row>
    <row r="756" ht="16.5" customHeight="1" s="117">
      <c r="A756" s="27" t="n"/>
      <c r="B756" s="27" t="n"/>
      <c r="C756" s="27" t="n"/>
      <c r="D756" s="27" t="n"/>
      <c r="E756" s="27" t="n"/>
      <c r="F756" s="27" t="n"/>
      <c r="G756" s="27" t="n"/>
      <c r="H756" s="27" t="n"/>
      <c r="I756" s="27" t="n"/>
      <c r="J756" s="27" t="n"/>
      <c r="K756" s="27" t="n"/>
      <c r="L756" s="27" t="n"/>
      <c r="M756" s="27" t="n"/>
      <c r="N756" s="27" t="n"/>
      <c r="O756" s="27" t="n"/>
      <c r="P756" s="27" t="n"/>
      <c r="Q756" s="27" t="n"/>
      <c r="R756" s="27" t="n"/>
      <c r="S756" s="27" t="n"/>
      <c r="T756" s="27" t="n"/>
      <c r="U756" s="27" t="n"/>
      <c r="V756" s="27" t="n"/>
      <c r="W756" s="27" t="n"/>
      <c r="X756" s="27" t="n"/>
      <c r="Y756" s="27" t="n"/>
      <c r="Z756" s="27" t="n"/>
    </row>
    <row r="757" ht="16.5" customHeight="1" s="117">
      <c r="A757" s="27" t="n"/>
      <c r="B757" s="27" t="n"/>
      <c r="C757" s="27" t="n"/>
      <c r="D757" s="27" t="n"/>
      <c r="E757" s="27" t="n"/>
      <c r="F757" s="27" t="n"/>
      <c r="G757" s="27" t="n"/>
      <c r="H757" s="27" t="n"/>
      <c r="I757" s="27" t="n"/>
      <c r="J757" s="27" t="n"/>
      <c r="K757" s="27" t="n"/>
      <c r="L757" s="27" t="n"/>
      <c r="M757" s="27" t="n"/>
      <c r="N757" s="27" t="n"/>
      <c r="O757" s="27" t="n"/>
      <c r="P757" s="27" t="n"/>
      <c r="Q757" s="27" t="n"/>
      <c r="R757" s="27" t="n"/>
      <c r="S757" s="27" t="n"/>
      <c r="T757" s="27" t="n"/>
      <c r="U757" s="27" t="n"/>
      <c r="V757" s="27" t="n"/>
      <c r="W757" s="27" t="n"/>
      <c r="X757" s="27" t="n"/>
      <c r="Y757" s="27" t="n"/>
      <c r="Z757" s="27" t="n"/>
    </row>
    <row r="758" ht="16.5" customHeight="1" s="117">
      <c r="A758" s="27" t="n"/>
      <c r="B758" s="27" t="n"/>
      <c r="C758" s="27" t="n"/>
      <c r="D758" s="27" t="n"/>
      <c r="E758" s="27" t="n"/>
      <c r="F758" s="27" t="n"/>
      <c r="G758" s="27" t="n"/>
      <c r="H758" s="27" t="n"/>
      <c r="I758" s="27" t="n"/>
      <c r="J758" s="27" t="n"/>
      <c r="K758" s="27" t="n"/>
      <c r="L758" s="27" t="n"/>
      <c r="M758" s="27" t="n"/>
      <c r="N758" s="27" t="n"/>
      <c r="O758" s="27" t="n"/>
      <c r="P758" s="27" t="n"/>
      <c r="Q758" s="27" t="n"/>
      <c r="R758" s="27" t="n"/>
      <c r="S758" s="27" t="n"/>
      <c r="T758" s="27" t="n"/>
      <c r="U758" s="27" t="n"/>
      <c r="V758" s="27" t="n"/>
      <c r="W758" s="27" t="n"/>
      <c r="X758" s="27" t="n"/>
      <c r="Y758" s="27" t="n"/>
      <c r="Z758" s="27" t="n"/>
    </row>
    <row r="759" ht="16.5" customHeight="1" s="117">
      <c r="A759" s="27" t="n"/>
      <c r="B759" s="27" t="n"/>
      <c r="C759" s="27" t="n"/>
      <c r="D759" s="27" t="n"/>
      <c r="E759" s="27" t="n"/>
      <c r="F759" s="27" t="n"/>
      <c r="G759" s="27" t="n"/>
      <c r="H759" s="27" t="n"/>
      <c r="I759" s="27" t="n"/>
      <c r="J759" s="27" t="n"/>
      <c r="K759" s="27" t="n"/>
      <c r="L759" s="27" t="n"/>
      <c r="M759" s="27" t="n"/>
      <c r="N759" s="27" t="n"/>
      <c r="O759" s="27" t="n"/>
      <c r="P759" s="27" t="n"/>
      <c r="Q759" s="27" t="n"/>
      <c r="R759" s="27" t="n"/>
      <c r="S759" s="27" t="n"/>
      <c r="T759" s="27" t="n"/>
      <c r="U759" s="27" t="n"/>
      <c r="V759" s="27" t="n"/>
      <c r="W759" s="27" t="n"/>
      <c r="X759" s="27" t="n"/>
      <c r="Y759" s="27" t="n"/>
      <c r="Z759" s="27" t="n"/>
    </row>
    <row r="760" ht="16.5" customHeight="1" s="117">
      <c r="A760" s="27" t="n"/>
      <c r="B760" s="27" t="n"/>
      <c r="C760" s="27" t="n"/>
      <c r="D760" s="27" t="n"/>
      <c r="E760" s="27" t="n"/>
      <c r="F760" s="27" t="n"/>
      <c r="G760" s="27" t="n"/>
      <c r="H760" s="27" t="n"/>
      <c r="I760" s="27" t="n"/>
      <c r="J760" s="27" t="n"/>
      <c r="K760" s="27" t="n"/>
      <c r="L760" s="27" t="n"/>
      <c r="M760" s="27" t="n"/>
      <c r="N760" s="27" t="n"/>
      <c r="O760" s="27" t="n"/>
      <c r="P760" s="27" t="n"/>
      <c r="Q760" s="27" t="n"/>
      <c r="R760" s="27" t="n"/>
      <c r="S760" s="27" t="n"/>
      <c r="T760" s="27" t="n"/>
      <c r="U760" s="27" t="n"/>
      <c r="V760" s="27" t="n"/>
      <c r="W760" s="27" t="n"/>
      <c r="X760" s="27" t="n"/>
      <c r="Y760" s="27" t="n"/>
      <c r="Z760" s="27" t="n"/>
    </row>
    <row r="761" ht="16.5" customHeight="1" s="117">
      <c r="A761" s="27" t="n"/>
      <c r="B761" s="27" t="n"/>
      <c r="C761" s="27" t="n"/>
      <c r="D761" s="27" t="n"/>
      <c r="E761" s="27" t="n"/>
      <c r="F761" s="27" t="n"/>
      <c r="G761" s="27" t="n"/>
      <c r="H761" s="27" t="n"/>
      <c r="I761" s="27" t="n"/>
      <c r="J761" s="27" t="n"/>
      <c r="K761" s="27" t="n"/>
      <c r="L761" s="27" t="n"/>
      <c r="M761" s="27" t="n"/>
      <c r="N761" s="27" t="n"/>
      <c r="O761" s="27" t="n"/>
      <c r="P761" s="27" t="n"/>
      <c r="Q761" s="27" t="n"/>
      <c r="R761" s="27" t="n"/>
      <c r="S761" s="27" t="n"/>
      <c r="T761" s="27" t="n"/>
      <c r="U761" s="27" t="n"/>
      <c r="V761" s="27" t="n"/>
      <c r="W761" s="27" t="n"/>
      <c r="X761" s="27" t="n"/>
      <c r="Y761" s="27" t="n"/>
      <c r="Z761" s="27" t="n"/>
    </row>
    <row r="762" ht="16.5" customHeight="1" s="117">
      <c r="A762" s="27" t="n"/>
      <c r="B762" s="27" t="n"/>
      <c r="C762" s="27" t="n"/>
      <c r="D762" s="27" t="n"/>
      <c r="E762" s="27" t="n"/>
      <c r="F762" s="27" t="n"/>
      <c r="G762" s="27" t="n"/>
      <c r="H762" s="27" t="n"/>
      <c r="I762" s="27" t="n"/>
      <c r="J762" s="27" t="n"/>
      <c r="K762" s="27" t="n"/>
      <c r="L762" s="27" t="n"/>
      <c r="M762" s="27" t="n"/>
      <c r="N762" s="27" t="n"/>
      <c r="O762" s="27" t="n"/>
      <c r="P762" s="27" t="n"/>
      <c r="Q762" s="27" t="n"/>
      <c r="R762" s="27" t="n"/>
      <c r="S762" s="27" t="n"/>
      <c r="T762" s="27" t="n"/>
      <c r="U762" s="27" t="n"/>
      <c r="V762" s="27" t="n"/>
      <c r="W762" s="27" t="n"/>
      <c r="X762" s="27" t="n"/>
      <c r="Y762" s="27" t="n"/>
      <c r="Z762" s="27" t="n"/>
    </row>
    <row r="763" ht="16.5" customHeight="1" s="117">
      <c r="A763" s="27" t="n"/>
      <c r="B763" s="27" t="n"/>
      <c r="C763" s="27" t="n"/>
      <c r="D763" s="27" t="n"/>
      <c r="E763" s="27" t="n"/>
      <c r="F763" s="27" t="n"/>
      <c r="G763" s="27" t="n"/>
      <c r="H763" s="27" t="n"/>
      <c r="I763" s="27" t="n"/>
      <c r="J763" s="27" t="n"/>
      <c r="K763" s="27" t="n"/>
      <c r="L763" s="27" t="n"/>
      <c r="M763" s="27" t="n"/>
      <c r="N763" s="27" t="n"/>
      <c r="O763" s="27" t="n"/>
      <c r="P763" s="27" t="n"/>
      <c r="Q763" s="27" t="n"/>
      <c r="R763" s="27" t="n"/>
      <c r="S763" s="27" t="n"/>
      <c r="T763" s="27" t="n"/>
      <c r="U763" s="27" t="n"/>
      <c r="V763" s="27" t="n"/>
      <c r="W763" s="27" t="n"/>
      <c r="X763" s="27" t="n"/>
      <c r="Y763" s="27" t="n"/>
      <c r="Z763" s="27" t="n"/>
    </row>
    <row r="764" ht="16.5" customHeight="1" s="117">
      <c r="A764" s="27" t="n"/>
      <c r="B764" s="27" t="n"/>
      <c r="C764" s="27" t="n"/>
      <c r="D764" s="27" t="n"/>
      <c r="E764" s="27" t="n"/>
      <c r="F764" s="27" t="n"/>
      <c r="G764" s="27" t="n"/>
      <c r="H764" s="27" t="n"/>
      <c r="I764" s="27" t="n"/>
      <c r="J764" s="27" t="n"/>
      <c r="K764" s="27" t="n"/>
      <c r="L764" s="27" t="n"/>
      <c r="M764" s="27" t="n"/>
      <c r="N764" s="27" t="n"/>
      <c r="O764" s="27" t="n"/>
      <c r="P764" s="27" t="n"/>
      <c r="Q764" s="27" t="n"/>
      <c r="R764" s="27" t="n"/>
      <c r="S764" s="27" t="n"/>
      <c r="T764" s="27" t="n"/>
      <c r="U764" s="27" t="n"/>
      <c r="V764" s="27" t="n"/>
      <c r="W764" s="27" t="n"/>
      <c r="X764" s="27" t="n"/>
      <c r="Y764" s="27" t="n"/>
      <c r="Z764" s="27" t="n"/>
    </row>
    <row r="765" ht="16.5" customHeight="1" s="117">
      <c r="A765" s="27" t="n"/>
      <c r="B765" s="27" t="n"/>
      <c r="C765" s="27" t="n"/>
      <c r="D765" s="27" t="n"/>
      <c r="E765" s="27" t="n"/>
      <c r="F765" s="27" t="n"/>
      <c r="G765" s="27" t="n"/>
      <c r="H765" s="27" t="n"/>
      <c r="I765" s="27" t="n"/>
      <c r="J765" s="27" t="n"/>
      <c r="K765" s="27" t="n"/>
      <c r="L765" s="27" t="n"/>
      <c r="M765" s="27" t="n"/>
      <c r="N765" s="27" t="n"/>
      <c r="O765" s="27" t="n"/>
      <c r="P765" s="27" t="n"/>
      <c r="Q765" s="27" t="n"/>
      <c r="R765" s="27" t="n"/>
      <c r="S765" s="27" t="n"/>
      <c r="T765" s="27" t="n"/>
      <c r="U765" s="27" t="n"/>
      <c r="V765" s="27" t="n"/>
      <c r="W765" s="27" t="n"/>
      <c r="X765" s="27" t="n"/>
      <c r="Y765" s="27" t="n"/>
      <c r="Z765" s="27" t="n"/>
    </row>
    <row r="766" ht="16.5" customHeight="1" s="117">
      <c r="A766" s="27" t="n"/>
      <c r="B766" s="27" t="n"/>
      <c r="C766" s="27" t="n"/>
      <c r="D766" s="27" t="n"/>
      <c r="E766" s="27" t="n"/>
      <c r="F766" s="27" t="n"/>
      <c r="G766" s="27" t="n"/>
      <c r="H766" s="27" t="n"/>
      <c r="I766" s="27" t="n"/>
      <c r="J766" s="27" t="n"/>
      <c r="K766" s="27" t="n"/>
      <c r="L766" s="27" t="n"/>
      <c r="M766" s="27" t="n"/>
      <c r="N766" s="27" t="n"/>
      <c r="O766" s="27" t="n"/>
      <c r="P766" s="27" t="n"/>
      <c r="Q766" s="27" t="n"/>
      <c r="R766" s="27" t="n"/>
      <c r="S766" s="27" t="n"/>
      <c r="T766" s="27" t="n"/>
      <c r="U766" s="27" t="n"/>
      <c r="V766" s="27" t="n"/>
      <c r="W766" s="27" t="n"/>
      <c r="X766" s="27" t="n"/>
      <c r="Y766" s="27" t="n"/>
      <c r="Z766" s="27" t="n"/>
    </row>
    <row r="767" ht="16.5" customHeight="1" s="117">
      <c r="A767" s="27" t="n"/>
      <c r="B767" s="27" t="n"/>
      <c r="C767" s="27" t="n"/>
      <c r="D767" s="27" t="n"/>
      <c r="E767" s="27" t="n"/>
      <c r="F767" s="27" t="n"/>
      <c r="G767" s="27" t="n"/>
      <c r="H767" s="27" t="n"/>
      <c r="I767" s="27" t="n"/>
      <c r="J767" s="27" t="n"/>
      <c r="K767" s="27" t="n"/>
      <c r="L767" s="27" t="n"/>
      <c r="M767" s="27" t="n"/>
      <c r="N767" s="27" t="n"/>
      <c r="O767" s="27" t="n"/>
      <c r="P767" s="27" t="n"/>
      <c r="Q767" s="27" t="n"/>
      <c r="R767" s="27" t="n"/>
      <c r="S767" s="27" t="n"/>
      <c r="T767" s="27" t="n"/>
      <c r="U767" s="27" t="n"/>
      <c r="V767" s="27" t="n"/>
      <c r="W767" s="27" t="n"/>
      <c r="X767" s="27" t="n"/>
      <c r="Y767" s="27" t="n"/>
      <c r="Z767" s="27" t="n"/>
    </row>
    <row r="768" ht="16.5" customHeight="1" s="117">
      <c r="A768" s="27" t="n"/>
      <c r="B768" s="27" t="n"/>
      <c r="C768" s="27" t="n"/>
      <c r="D768" s="27" t="n"/>
      <c r="E768" s="27" t="n"/>
      <c r="F768" s="27" t="n"/>
      <c r="G768" s="27" t="n"/>
      <c r="H768" s="27" t="n"/>
      <c r="I768" s="27" t="n"/>
      <c r="J768" s="27" t="n"/>
      <c r="K768" s="27" t="n"/>
      <c r="L768" s="27" t="n"/>
      <c r="M768" s="27" t="n"/>
      <c r="N768" s="27" t="n"/>
      <c r="O768" s="27" t="n"/>
      <c r="P768" s="27" t="n"/>
      <c r="Q768" s="27" t="n"/>
      <c r="R768" s="27" t="n"/>
      <c r="S768" s="27" t="n"/>
      <c r="T768" s="27" t="n"/>
      <c r="U768" s="27" t="n"/>
      <c r="V768" s="27" t="n"/>
      <c r="W768" s="27" t="n"/>
      <c r="X768" s="27" t="n"/>
      <c r="Y768" s="27" t="n"/>
      <c r="Z768" s="27" t="n"/>
    </row>
    <row r="769" ht="16.5" customHeight="1" s="117">
      <c r="A769" s="27" t="n"/>
      <c r="B769" s="27" t="n"/>
      <c r="C769" s="27" t="n"/>
      <c r="D769" s="27" t="n"/>
      <c r="E769" s="27" t="n"/>
      <c r="F769" s="27" t="n"/>
      <c r="G769" s="27" t="n"/>
      <c r="H769" s="27" t="n"/>
      <c r="I769" s="27" t="n"/>
      <c r="J769" s="27" t="n"/>
      <c r="K769" s="27" t="n"/>
      <c r="L769" s="27" t="n"/>
      <c r="M769" s="27" t="n"/>
      <c r="N769" s="27" t="n"/>
      <c r="O769" s="27" t="n"/>
      <c r="P769" s="27" t="n"/>
      <c r="Q769" s="27" t="n"/>
      <c r="R769" s="27" t="n"/>
      <c r="S769" s="27" t="n"/>
      <c r="T769" s="27" t="n"/>
      <c r="U769" s="27" t="n"/>
      <c r="V769" s="27" t="n"/>
      <c r="W769" s="27" t="n"/>
      <c r="X769" s="27" t="n"/>
      <c r="Y769" s="27" t="n"/>
      <c r="Z769" s="27" t="n"/>
    </row>
    <row r="770" ht="16.5" customHeight="1" s="117">
      <c r="A770" s="27" t="n"/>
      <c r="B770" s="27" t="n"/>
      <c r="C770" s="27" t="n"/>
      <c r="D770" s="27" t="n"/>
      <c r="E770" s="27" t="n"/>
      <c r="F770" s="27" t="n"/>
      <c r="G770" s="27" t="n"/>
      <c r="H770" s="27" t="n"/>
      <c r="I770" s="27" t="n"/>
      <c r="J770" s="27" t="n"/>
      <c r="K770" s="27" t="n"/>
      <c r="L770" s="27" t="n"/>
      <c r="M770" s="27" t="n"/>
      <c r="N770" s="27" t="n"/>
      <c r="O770" s="27" t="n"/>
      <c r="P770" s="27" t="n"/>
      <c r="Q770" s="27" t="n"/>
      <c r="R770" s="27" t="n"/>
      <c r="S770" s="27" t="n"/>
      <c r="T770" s="27" t="n"/>
      <c r="U770" s="27" t="n"/>
      <c r="V770" s="27" t="n"/>
      <c r="W770" s="27" t="n"/>
      <c r="X770" s="27" t="n"/>
      <c r="Y770" s="27" t="n"/>
      <c r="Z770" s="27" t="n"/>
    </row>
    <row r="771" ht="16.5" customHeight="1" s="117">
      <c r="A771" s="27" t="n"/>
      <c r="B771" s="27" t="n"/>
      <c r="C771" s="27" t="n"/>
      <c r="D771" s="27" t="n"/>
      <c r="E771" s="27" t="n"/>
      <c r="F771" s="27" t="n"/>
      <c r="G771" s="27" t="n"/>
      <c r="H771" s="27" t="n"/>
      <c r="I771" s="27" t="n"/>
      <c r="J771" s="27" t="n"/>
      <c r="K771" s="27" t="n"/>
      <c r="L771" s="27" t="n"/>
      <c r="M771" s="27" t="n"/>
      <c r="N771" s="27" t="n"/>
      <c r="O771" s="27" t="n"/>
      <c r="P771" s="27" t="n"/>
      <c r="Q771" s="27" t="n"/>
      <c r="R771" s="27" t="n"/>
      <c r="S771" s="27" t="n"/>
      <c r="T771" s="27" t="n"/>
      <c r="U771" s="27" t="n"/>
      <c r="V771" s="27" t="n"/>
      <c r="W771" s="27" t="n"/>
      <c r="X771" s="27" t="n"/>
      <c r="Y771" s="27" t="n"/>
      <c r="Z771" s="27" t="n"/>
    </row>
    <row r="772" ht="16.5" customHeight="1" s="117">
      <c r="A772" s="27" t="n"/>
      <c r="B772" s="27" t="n"/>
      <c r="C772" s="27" t="n"/>
      <c r="D772" s="27" t="n"/>
      <c r="E772" s="27" t="n"/>
      <c r="F772" s="27" t="n"/>
      <c r="G772" s="27" t="n"/>
      <c r="H772" s="27" t="n"/>
      <c r="I772" s="27" t="n"/>
      <c r="J772" s="27" t="n"/>
      <c r="K772" s="27" t="n"/>
      <c r="L772" s="27" t="n"/>
      <c r="M772" s="27" t="n"/>
      <c r="N772" s="27" t="n"/>
      <c r="O772" s="27" t="n"/>
      <c r="P772" s="27" t="n"/>
      <c r="Q772" s="27" t="n"/>
      <c r="R772" s="27" t="n"/>
      <c r="S772" s="27" t="n"/>
      <c r="T772" s="27" t="n"/>
      <c r="U772" s="27" t="n"/>
      <c r="V772" s="27" t="n"/>
      <c r="W772" s="27" t="n"/>
      <c r="X772" s="27" t="n"/>
      <c r="Y772" s="27" t="n"/>
      <c r="Z772" s="27" t="n"/>
    </row>
    <row r="773" ht="16.5" customHeight="1" s="117">
      <c r="A773" s="27" t="n"/>
      <c r="B773" s="27" t="n"/>
      <c r="C773" s="27" t="n"/>
      <c r="D773" s="27" t="n"/>
      <c r="E773" s="27" t="n"/>
      <c r="F773" s="27" t="n"/>
      <c r="G773" s="27" t="n"/>
      <c r="H773" s="27" t="n"/>
      <c r="I773" s="27" t="n"/>
      <c r="J773" s="27" t="n"/>
      <c r="K773" s="27" t="n"/>
      <c r="L773" s="27" t="n"/>
      <c r="M773" s="27" t="n"/>
      <c r="N773" s="27" t="n"/>
      <c r="O773" s="27" t="n"/>
      <c r="P773" s="27" t="n"/>
      <c r="Q773" s="27" t="n"/>
      <c r="R773" s="27" t="n"/>
      <c r="S773" s="27" t="n"/>
      <c r="T773" s="27" t="n"/>
      <c r="U773" s="27" t="n"/>
      <c r="V773" s="27" t="n"/>
      <c r="W773" s="27" t="n"/>
      <c r="X773" s="27" t="n"/>
      <c r="Y773" s="27" t="n"/>
      <c r="Z773" s="27" t="n"/>
    </row>
    <row r="774" ht="16.5" customHeight="1" s="117">
      <c r="A774" s="27" t="n"/>
      <c r="B774" s="27" t="n"/>
      <c r="C774" s="27" t="n"/>
      <c r="D774" s="27" t="n"/>
      <c r="E774" s="27" t="n"/>
      <c r="F774" s="27" t="n"/>
      <c r="G774" s="27" t="n"/>
      <c r="H774" s="27" t="n"/>
      <c r="I774" s="27" t="n"/>
      <c r="J774" s="27" t="n"/>
      <c r="K774" s="27" t="n"/>
      <c r="L774" s="27" t="n"/>
      <c r="M774" s="27" t="n"/>
      <c r="N774" s="27" t="n"/>
      <c r="O774" s="27" t="n"/>
      <c r="P774" s="27" t="n"/>
      <c r="Q774" s="27" t="n"/>
      <c r="R774" s="27" t="n"/>
      <c r="S774" s="27" t="n"/>
      <c r="T774" s="27" t="n"/>
      <c r="U774" s="27" t="n"/>
      <c r="V774" s="27" t="n"/>
      <c r="W774" s="27" t="n"/>
      <c r="X774" s="27" t="n"/>
      <c r="Y774" s="27" t="n"/>
      <c r="Z774" s="27" t="n"/>
    </row>
    <row r="775" ht="16.5" customHeight="1" s="117">
      <c r="A775" s="27" t="n"/>
      <c r="B775" s="27" t="n"/>
      <c r="C775" s="27" t="n"/>
      <c r="D775" s="27" t="n"/>
      <c r="E775" s="27" t="n"/>
      <c r="F775" s="27" t="n"/>
      <c r="G775" s="27" t="n"/>
      <c r="H775" s="27" t="n"/>
      <c r="I775" s="27" t="n"/>
      <c r="J775" s="27" t="n"/>
      <c r="K775" s="27" t="n"/>
      <c r="L775" s="27" t="n"/>
      <c r="M775" s="27" t="n"/>
      <c r="N775" s="27" t="n"/>
      <c r="O775" s="27" t="n"/>
      <c r="P775" s="27" t="n"/>
      <c r="Q775" s="27" t="n"/>
      <c r="R775" s="27" t="n"/>
      <c r="S775" s="27" t="n"/>
      <c r="T775" s="27" t="n"/>
      <c r="U775" s="27" t="n"/>
      <c r="V775" s="27" t="n"/>
      <c r="W775" s="27" t="n"/>
      <c r="X775" s="27" t="n"/>
      <c r="Y775" s="27" t="n"/>
      <c r="Z775" s="27" t="n"/>
    </row>
    <row r="776" ht="16.5" customHeight="1" s="117">
      <c r="A776" s="27" t="n"/>
      <c r="B776" s="27" t="n"/>
      <c r="C776" s="27" t="n"/>
      <c r="D776" s="27" t="n"/>
      <c r="E776" s="27" t="n"/>
      <c r="F776" s="27" t="n"/>
      <c r="G776" s="27" t="n"/>
      <c r="H776" s="27" t="n"/>
      <c r="I776" s="27" t="n"/>
      <c r="J776" s="27" t="n"/>
      <c r="K776" s="27" t="n"/>
      <c r="L776" s="27" t="n"/>
      <c r="M776" s="27" t="n"/>
      <c r="N776" s="27" t="n"/>
      <c r="O776" s="27" t="n"/>
      <c r="P776" s="27" t="n"/>
      <c r="Q776" s="27" t="n"/>
      <c r="R776" s="27" t="n"/>
      <c r="S776" s="27" t="n"/>
      <c r="T776" s="27" t="n"/>
      <c r="U776" s="27" t="n"/>
      <c r="V776" s="27" t="n"/>
      <c r="W776" s="27" t="n"/>
      <c r="X776" s="27" t="n"/>
      <c r="Y776" s="27" t="n"/>
      <c r="Z776" s="27" t="n"/>
    </row>
    <row r="777" ht="16.5" customHeight="1" s="117">
      <c r="A777" s="27" t="n"/>
      <c r="B777" s="27" t="n"/>
      <c r="C777" s="27" t="n"/>
      <c r="D777" s="27" t="n"/>
      <c r="E777" s="27" t="n"/>
      <c r="F777" s="27" t="n"/>
      <c r="G777" s="27" t="n"/>
      <c r="H777" s="27" t="n"/>
      <c r="I777" s="27" t="n"/>
      <c r="J777" s="27" t="n"/>
      <c r="K777" s="27" t="n"/>
      <c r="L777" s="27" t="n"/>
      <c r="M777" s="27" t="n"/>
      <c r="N777" s="27" t="n"/>
      <c r="O777" s="27" t="n"/>
      <c r="P777" s="27" t="n"/>
      <c r="Q777" s="27" t="n"/>
      <c r="R777" s="27" t="n"/>
      <c r="S777" s="27" t="n"/>
      <c r="T777" s="27" t="n"/>
      <c r="U777" s="27" t="n"/>
      <c r="V777" s="27" t="n"/>
      <c r="W777" s="27" t="n"/>
      <c r="X777" s="27" t="n"/>
      <c r="Y777" s="27" t="n"/>
      <c r="Z777" s="27" t="n"/>
    </row>
    <row r="778" ht="16.5" customHeight="1" s="117">
      <c r="A778" s="27" t="n"/>
      <c r="B778" s="27" t="n"/>
      <c r="C778" s="27" t="n"/>
      <c r="D778" s="27" t="n"/>
      <c r="E778" s="27" t="n"/>
      <c r="F778" s="27" t="n"/>
      <c r="G778" s="27" t="n"/>
      <c r="H778" s="27" t="n"/>
      <c r="I778" s="27" t="n"/>
      <c r="J778" s="27" t="n"/>
      <c r="K778" s="27" t="n"/>
      <c r="L778" s="27" t="n"/>
      <c r="M778" s="27" t="n"/>
      <c r="N778" s="27" t="n"/>
      <c r="O778" s="27" t="n"/>
      <c r="P778" s="27" t="n"/>
      <c r="Q778" s="27" t="n"/>
      <c r="R778" s="27" t="n"/>
      <c r="S778" s="27" t="n"/>
      <c r="T778" s="27" t="n"/>
      <c r="U778" s="27" t="n"/>
      <c r="V778" s="27" t="n"/>
      <c r="W778" s="27" t="n"/>
      <c r="X778" s="27" t="n"/>
      <c r="Y778" s="27" t="n"/>
      <c r="Z778" s="27" t="n"/>
    </row>
    <row r="779" ht="16.5" customHeight="1" s="117">
      <c r="A779" s="27" t="n"/>
      <c r="B779" s="27" t="n"/>
      <c r="C779" s="27" t="n"/>
      <c r="D779" s="27" t="n"/>
      <c r="E779" s="27" t="n"/>
      <c r="F779" s="27" t="n"/>
      <c r="G779" s="27" t="n"/>
      <c r="H779" s="27" t="n"/>
      <c r="I779" s="27" t="n"/>
      <c r="J779" s="27" t="n"/>
      <c r="K779" s="27" t="n"/>
      <c r="L779" s="27" t="n"/>
      <c r="M779" s="27" t="n"/>
      <c r="N779" s="27" t="n"/>
      <c r="O779" s="27" t="n"/>
      <c r="P779" s="27" t="n"/>
      <c r="Q779" s="27" t="n"/>
      <c r="R779" s="27" t="n"/>
      <c r="S779" s="27" t="n"/>
      <c r="T779" s="27" t="n"/>
      <c r="U779" s="27" t="n"/>
      <c r="V779" s="27" t="n"/>
      <c r="W779" s="27" t="n"/>
      <c r="X779" s="27" t="n"/>
      <c r="Y779" s="27" t="n"/>
      <c r="Z779" s="27" t="n"/>
    </row>
    <row r="780" ht="16.5" customHeight="1" s="117">
      <c r="A780" s="27" t="n"/>
      <c r="B780" s="27" t="n"/>
      <c r="C780" s="27" t="n"/>
      <c r="D780" s="27" t="n"/>
      <c r="E780" s="27" t="n"/>
      <c r="F780" s="27" t="n"/>
      <c r="G780" s="27" t="n"/>
      <c r="H780" s="27" t="n"/>
      <c r="I780" s="27" t="n"/>
      <c r="J780" s="27" t="n"/>
      <c r="K780" s="27" t="n"/>
      <c r="L780" s="27" t="n"/>
      <c r="M780" s="27" t="n"/>
      <c r="N780" s="27" t="n"/>
      <c r="O780" s="27" t="n"/>
      <c r="P780" s="27" t="n"/>
      <c r="Q780" s="27" t="n"/>
      <c r="R780" s="27" t="n"/>
      <c r="S780" s="27" t="n"/>
      <c r="T780" s="27" t="n"/>
      <c r="U780" s="27" t="n"/>
      <c r="V780" s="27" t="n"/>
      <c r="W780" s="27" t="n"/>
      <c r="X780" s="27" t="n"/>
      <c r="Y780" s="27" t="n"/>
      <c r="Z780" s="27" t="n"/>
    </row>
    <row r="781" ht="16.5" customHeight="1" s="117">
      <c r="A781" s="27" t="n"/>
      <c r="B781" s="27" t="n"/>
      <c r="C781" s="27" t="n"/>
      <c r="D781" s="27" t="n"/>
      <c r="E781" s="27" t="n"/>
      <c r="F781" s="27" t="n"/>
      <c r="G781" s="27" t="n"/>
      <c r="H781" s="27" t="n"/>
      <c r="I781" s="27" t="n"/>
      <c r="J781" s="27" t="n"/>
      <c r="K781" s="27" t="n"/>
      <c r="L781" s="27" t="n"/>
      <c r="M781" s="27" t="n"/>
      <c r="N781" s="27" t="n"/>
      <c r="O781" s="27" t="n"/>
      <c r="P781" s="27" t="n"/>
      <c r="Q781" s="27" t="n"/>
      <c r="R781" s="27" t="n"/>
      <c r="S781" s="27" t="n"/>
      <c r="T781" s="27" t="n"/>
      <c r="U781" s="27" t="n"/>
      <c r="V781" s="27" t="n"/>
      <c r="W781" s="27" t="n"/>
      <c r="X781" s="27" t="n"/>
      <c r="Y781" s="27" t="n"/>
      <c r="Z781" s="27" t="n"/>
    </row>
    <row r="782" ht="16.5" customHeight="1" s="117">
      <c r="A782" s="27" t="n"/>
      <c r="B782" s="27" t="n"/>
      <c r="C782" s="27" t="n"/>
      <c r="D782" s="27" t="n"/>
      <c r="E782" s="27" t="n"/>
      <c r="F782" s="27" t="n"/>
      <c r="G782" s="27" t="n"/>
      <c r="H782" s="27" t="n"/>
      <c r="I782" s="27" t="n"/>
      <c r="J782" s="27" t="n"/>
      <c r="K782" s="27" t="n"/>
      <c r="L782" s="27" t="n"/>
      <c r="M782" s="27" t="n"/>
      <c r="N782" s="27" t="n"/>
      <c r="O782" s="27" t="n"/>
      <c r="P782" s="27" t="n"/>
      <c r="Q782" s="27" t="n"/>
      <c r="R782" s="27" t="n"/>
      <c r="S782" s="27" t="n"/>
      <c r="T782" s="27" t="n"/>
      <c r="U782" s="27" t="n"/>
      <c r="V782" s="27" t="n"/>
      <c r="W782" s="27" t="n"/>
      <c r="X782" s="27" t="n"/>
      <c r="Y782" s="27" t="n"/>
      <c r="Z782" s="27" t="n"/>
    </row>
    <row r="783" ht="16.5" customHeight="1" s="117">
      <c r="A783" s="27" t="n"/>
      <c r="B783" s="27" t="n"/>
      <c r="C783" s="27" t="n"/>
      <c r="D783" s="27" t="n"/>
      <c r="E783" s="27" t="n"/>
      <c r="F783" s="27" t="n"/>
      <c r="G783" s="27" t="n"/>
      <c r="H783" s="27" t="n"/>
      <c r="I783" s="27" t="n"/>
      <c r="J783" s="27" t="n"/>
      <c r="K783" s="27" t="n"/>
      <c r="L783" s="27" t="n"/>
      <c r="M783" s="27" t="n"/>
      <c r="N783" s="27" t="n"/>
      <c r="O783" s="27" t="n"/>
      <c r="P783" s="27" t="n"/>
      <c r="Q783" s="27" t="n"/>
      <c r="R783" s="27" t="n"/>
      <c r="S783" s="27" t="n"/>
      <c r="T783" s="27" t="n"/>
      <c r="U783" s="27" t="n"/>
      <c r="V783" s="27" t="n"/>
      <c r="W783" s="27" t="n"/>
      <c r="X783" s="27" t="n"/>
      <c r="Y783" s="27" t="n"/>
      <c r="Z783" s="27" t="n"/>
    </row>
    <row r="784" ht="16.5" customHeight="1" s="117">
      <c r="A784" s="27" t="n"/>
      <c r="B784" s="27" t="n"/>
      <c r="C784" s="27" t="n"/>
      <c r="D784" s="27" t="n"/>
      <c r="E784" s="27" t="n"/>
      <c r="F784" s="27" t="n"/>
      <c r="G784" s="27" t="n"/>
      <c r="H784" s="27" t="n"/>
      <c r="I784" s="27" t="n"/>
      <c r="J784" s="27" t="n"/>
      <c r="K784" s="27" t="n"/>
      <c r="L784" s="27" t="n"/>
      <c r="M784" s="27" t="n"/>
      <c r="N784" s="27" t="n"/>
      <c r="O784" s="27" t="n"/>
      <c r="P784" s="27" t="n"/>
      <c r="Q784" s="27" t="n"/>
      <c r="R784" s="27" t="n"/>
      <c r="S784" s="27" t="n"/>
      <c r="T784" s="27" t="n"/>
      <c r="U784" s="27" t="n"/>
      <c r="V784" s="27" t="n"/>
      <c r="W784" s="27" t="n"/>
      <c r="X784" s="27" t="n"/>
      <c r="Y784" s="27" t="n"/>
      <c r="Z784" s="27" t="n"/>
    </row>
    <row r="785" ht="16.5" customHeight="1" s="117">
      <c r="A785" s="27" t="n"/>
      <c r="B785" s="27" t="n"/>
      <c r="C785" s="27" t="n"/>
      <c r="D785" s="27" t="n"/>
      <c r="E785" s="27" t="n"/>
      <c r="F785" s="27" t="n"/>
      <c r="G785" s="27" t="n"/>
      <c r="H785" s="27" t="n"/>
      <c r="I785" s="27" t="n"/>
      <c r="J785" s="27" t="n"/>
      <c r="K785" s="27" t="n"/>
      <c r="L785" s="27" t="n"/>
      <c r="M785" s="27" t="n"/>
      <c r="N785" s="27" t="n"/>
      <c r="O785" s="27" t="n"/>
      <c r="P785" s="27" t="n"/>
      <c r="Q785" s="27" t="n"/>
      <c r="R785" s="27" t="n"/>
      <c r="S785" s="27" t="n"/>
      <c r="T785" s="27" t="n"/>
      <c r="U785" s="27" t="n"/>
      <c r="V785" s="27" t="n"/>
      <c r="W785" s="27" t="n"/>
      <c r="X785" s="27" t="n"/>
      <c r="Y785" s="27" t="n"/>
      <c r="Z785" s="27" t="n"/>
    </row>
    <row r="786" ht="16.5" customHeight="1" s="117">
      <c r="A786" s="27" t="n"/>
      <c r="B786" s="27" t="n"/>
      <c r="C786" s="27" t="n"/>
      <c r="D786" s="27" t="n"/>
      <c r="E786" s="27" t="n"/>
      <c r="F786" s="27" t="n"/>
      <c r="G786" s="27" t="n"/>
      <c r="H786" s="27" t="n"/>
      <c r="I786" s="27" t="n"/>
      <c r="J786" s="27" t="n"/>
      <c r="K786" s="27" t="n"/>
      <c r="L786" s="27" t="n"/>
      <c r="M786" s="27" t="n"/>
      <c r="N786" s="27" t="n"/>
      <c r="O786" s="27" t="n"/>
      <c r="P786" s="27" t="n"/>
      <c r="Q786" s="27" t="n"/>
      <c r="R786" s="27" t="n"/>
      <c r="S786" s="27" t="n"/>
      <c r="T786" s="27" t="n"/>
      <c r="U786" s="27" t="n"/>
      <c r="V786" s="27" t="n"/>
      <c r="W786" s="27" t="n"/>
      <c r="X786" s="27" t="n"/>
      <c r="Y786" s="27" t="n"/>
      <c r="Z786" s="27" t="n"/>
    </row>
    <row r="787" ht="16.5" customHeight="1" s="117">
      <c r="A787" s="27" t="n"/>
      <c r="B787" s="27" t="n"/>
      <c r="C787" s="27" t="n"/>
      <c r="D787" s="27" t="n"/>
      <c r="E787" s="27" t="n"/>
      <c r="F787" s="27" t="n"/>
      <c r="G787" s="27" t="n"/>
      <c r="H787" s="27" t="n"/>
      <c r="I787" s="27" t="n"/>
      <c r="J787" s="27" t="n"/>
      <c r="K787" s="27" t="n"/>
      <c r="L787" s="27" t="n"/>
      <c r="M787" s="27" t="n"/>
      <c r="N787" s="27" t="n"/>
      <c r="O787" s="27" t="n"/>
      <c r="P787" s="27" t="n"/>
      <c r="Q787" s="27" t="n"/>
      <c r="R787" s="27" t="n"/>
      <c r="S787" s="27" t="n"/>
      <c r="T787" s="27" t="n"/>
      <c r="U787" s="27" t="n"/>
      <c r="V787" s="27" t="n"/>
      <c r="W787" s="27" t="n"/>
      <c r="X787" s="27" t="n"/>
      <c r="Y787" s="27" t="n"/>
      <c r="Z787" s="27" t="n"/>
    </row>
    <row r="788" ht="16.5" customHeight="1" s="117">
      <c r="A788" s="27" t="n"/>
      <c r="B788" s="27" t="n"/>
      <c r="C788" s="27" t="n"/>
      <c r="D788" s="27" t="n"/>
      <c r="E788" s="27" t="n"/>
      <c r="F788" s="27" t="n"/>
      <c r="G788" s="27" t="n"/>
      <c r="H788" s="27" t="n"/>
      <c r="I788" s="27" t="n"/>
      <c r="J788" s="27" t="n"/>
      <c r="K788" s="27" t="n"/>
      <c r="L788" s="27" t="n"/>
      <c r="M788" s="27" t="n"/>
      <c r="N788" s="27" t="n"/>
      <c r="O788" s="27" t="n"/>
      <c r="P788" s="27" t="n"/>
      <c r="Q788" s="27" t="n"/>
      <c r="R788" s="27" t="n"/>
      <c r="S788" s="27" t="n"/>
      <c r="T788" s="27" t="n"/>
      <c r="U788" s="27" t="n"/>
      <c r="V788" s="27" t="n"/>
      <c r="W788" s="27" t="n"/>
      <c r="X788" s="27" t="n"/>
      <c r="Y788" s="27" t="n"/>
      <c r="Z788" s="27" t="n"/>
    </row>
    <row r="789" ht="16.5" customHeight="1" s="117">
      <c r="A789" s="27" t="n"/>
      <c r="B789" s="27" t="n"/>
      <c r="C789" s="27" t="n"/>
      <c r="D789" s="27" t="n"/>
      <c r="E789" s="27" t="n"/>
      <c r="F789" s="27" t="n"/>
      <c r="G789" s="27" t="n"/>
      <c r="H789" s="27" t="n"/>
      <c r="I789" s="27" t="n"/>
      <c r="J789" s="27" t="n"/>
      <c r="K789" s="27" t="n"/>
      <c r="L789" s="27" t="n"/>
      <c r="M789" s="27" t="n"/>
      <c r="N789" s="27" t="n"/>
      <c r="O789" s="27" t="n"/>
      <c r="P789" s="27" t="n"/>
      <c r="Q789" s="27" t="n"/>
      <c r="R789" s="27" t="n"/>
      <c r="S789" s="27" t="n"/>
      <c r="T789" s="27" t="n"/>
      <c r="U789" s="27" t="n"/>
      <c r="V789" s="27" t="n"/>
      <c r="W789" s="27" t="n"/>
      <c r="X789" s="27" t="n"/>
      <c r="Y789" s="27" t="n"/>
      <c r="Z789" s="27" t="n"/>
    </row>
    <row r="790" ht="16.5" customHeight="1" s="117">
      <c r="A790" s="27" t="n"/>
      <c r="B790" s="27" t="n"/>
      <c r="C790" s="27" t="n"/>
      <c r="D790" s="27" t="n"/>
      <c r="E790" s="27" t="n"/>
      <c r="F790" s="27" t="n"/>
      <c r="G790" s="27" t="n"/>
      <c r="H790" s="27" t="n"/>
      <c r="I790" s="27" t="n"/>
      <c r="J790" s="27" t="n"/>
      <c r="K790" s="27" t="n"/>
      <c r="L790" s="27" t="n"/>
      <c r="M790" s="27" t="n"/>
      <c r="N790" s="27" t="n"/>
      <c r="O790" s="27" t="n"/>
      <c r="P790" s="27" t="n"/>
      <c r="Q790" s="27" t="n"/>
      <c r="R790" s="27" t="n"/>
      <c r="S790" s="27" t="n"/>
      <c r="T790" s="27" t="n"/>
      <c r="U790" s="27" t="n"/>
      <c r="V790" s="27" t="n"/>
      <c r="W790" s="27" t="n"/>
      <c r="X790" s="27" t="n"/>
      <c r="Y790" s="27" t="n"/>
      <c r="Z790" s="27" t="n"/>
    </row>
    <row r="791" ht="16.5" customHeight="1" s="117">
      <c r="A791" s="27" t="n"/>
      <c r="B791" s="27" t="n"/>
      <c r="C791" s="27" t="n"/>
      <c r="D791" s="27" t="n"/>
      <c r="E791" s="27" t="n"/>
      <c r="F791" s="27" t="n"/>
      <c r="G791" s="27" t="n"/>
      <c r="H791" s="27" t="n"/>
      <c r="I791" s="27" t="n"/>
      <c r="J791" s="27" t="n"/>
      <c r="K791" s="27" t="n"/>
      <c r="L791" s="27" t="n"/>
      <c r="M791" s="27" t="n"/>
      <c r="N791" s="27" t="n"/>
      <c r="O791" s="27" t="n"/>
      <c r="P791" s="27" t="n"/>
      <c r="Q791" s="27" t="n"/>
      <c r="R791" s="27" t="n"/>
      <c r="S791" s="27" t="n"/>
      <c r="T791" s="27" t="n"/>
      <c r="U791" s="27" t="n"/>
      <c r="V791" s="27" t="n"/>
      <c r="W791" s="27" t="n"/>
      <c r="X791" s="27" t="n"/>
      <c r="Y791" s="27" t="n"/>
      <c r="Z791" s="27" t="n"/>
    </row>
    <row r="792" ht="16.5" customHeight="1" s="117">
      <c r="A792" s="27" t="n"/>
      <c r="B792" s="27" t="n"/>
      <c r="C792" s="27" t="n"/>
      <c r="D792" s="27" t="n"/>
      <c r="E792" s="27" t="n"/>
      <c r="F792" s="27" t="n"/>
      <c r="G792" s="27" t="n"/>
      <c r="H792" s="27" t="n"/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n"/>
      <c r="R792" s="27" t="n"/>
      <c r="S792" s="27" t="n"/>
      <c r="T792" s="27" t="n"/>
      <c r="U792" s="27" t="n"/>
      <c r="V792" s="27" t="n"/>
      <c r="W792" s="27" t="n"/>
      <c r="X792" s="27" t="n"/>
      <c r="Y792" s="27" t="n"/>
      <c r="Z792" s="27" t="n"/>
    </row>
    <row r="793" ht="16.5" customHeight="1" s="117">
      <c r="A793" s="27" t="n"/>
      <c r="B793" s="27" t="n"/>
      <c r="C793" s="27" t="n"/>
      <c r="D793" s="27" t="n"/>
      <c r="E793" s="27" t="n"/>
      <c r="F793" s="27" t="n"/>
      <c r="G793" s="27" t="n"/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n"/>
      <c r="R793" s="27" t="n"/>
      <c r="S793" s="27" t="n"/>
      <c r="T793" s="27" t="n"/>
      <c r="U793" s="27" t="n"/>
      <c r="V793" s="27" t="n"/>
      <c r="W793" s="27" t="n"/>
      <c r="X793" s="27" t="n"/>
      <c r="Y793" s="27" t="n"/>
      <c r="Z793" s="27" t="n"/>
    </row>
    <row r="794" ht="16.5" customHeight="1" s="117">
      <c r="A794" s="27" t="n"/>
      <c r="B794" s="27" t="n"/>
      <c r="C794" s="27" t="n"/>
      <c r="D794" s="27" t="n"/>
      <c r="E794" s="27" t="n"/>
      <c r="F794" s="27" t="n"/>
      <c r="G794" s="27" t="n"/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n"/>
      <c r="R794" s="27" t="n"/>
      <c r="S794" s="27" t="n"/>
      <c r="T794" s="27" t="n"/>
      <c r="U794" s="27" t="n"/>
      <c r="V794" s="27" t="n"/>
      <c r="W794" s="27" t="n"/>
      <c r="X794" s="27" t="n"/>
      <c r="Y794" s="27" t="n"/>
      <c r="Z794" s="27" t="n"/>
    </row>
    <row r="795" ht="16.5" customHeight="1" s="117">
      <c r="A795" s="27" t="n"/>
      <c r="B795" s="27" t="n"/>
      <c r="C795" s="27" t="n"/>
      <c r="D795" s="27" t="n"/>
      <c r="E795" s="27" t="n"/>
      <c r="F795" s="27" t="n"/>
      <c r="G795" s="27" t="n"/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n"/>
      <c r="R795" s="27" t="n"/>
      <c r="S795" s="27" t="n"/>
      <c r="T795" s="27" t="n"/>
      <c r="U795" s="27" t="n"/>
      <c r="V795" s="27" t="n"/>
      <c r="W795" s="27" t="n"/>
      <c r="X795" s="27" t="n"/>
      <c r="Y795" s="27" t="n"/>
      <c r="Z795" s="27" t="n"/>
    </row>
    <row r="796" ht="16.5" customHeight="1" s="117">
      <c r="A796" s="27" t="n"/>
      <c r="B796" s="27" t="n"/>
      <c r="C796" s="27" t="n"/>
      <c r="D796" s="27" t="n"/>
      <c r="E796" s="27" t="n"/>
      <c r="F796" s="27" t="n"/>
      <c r="G796" s="27" t="n"/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n"/>
      <c r="R796" s="27" t="n"/>
      <c r="S796" s="27" t="n"/>
      <c r="T796" s="27" t="n"/>
      <c r="U796" s="27" t="n"/>
      <c r="V796" s="27" t="n"/>
      <c r="W796" s="27" t="n"/>
      <c r="X796" s="27" t="n"/>
      <c r="Y796" s="27" t="n"/>
      <c r="Z796" s="27" t="n"/>
    </row>
    <row r="797" ht="16.5" customHeight="1" s="117">
      <c r="A797" s="27" t="n"/>
      <c r="B797" s="27" t="n"/>
      <c r="C797" s="27" t="n"/>
      <c r="D797" s="27" t="n"/>
      <c r="E797" s="27" t="n"/>
      <c r="F797" s="27" t="n"/>
      <c r="G797" s="27" t="n"/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n"/>
      <c r="R797" s="27" t="n"/>
      <c r="S797" s="27" t="n"/>
      <c r="T797" s="27" t="n"/>
      <c r="U797" s="27" t="n"/>
      <c r="V797" s="27" t="n"/>
      <c r="W797" s="27" t="n"/>
      <c r="X797" s="27" t="n"/>
      <c r="Y797" s="27" t="n"/>
      <c r="Z797" s="27" t="n"/>
    </row>
    <row r="798" ht="16.5" customHeight="1" s="117">
      <c r="A798" s="27" t="n"/>
      <c r="B798" s="27" t="n"/>
      <c r="C798" s="27" t="n"/>
      <c r="D798" s="27" t="n"/>
      <c r="E798" s="27" t="n"/>
      <c r="F798" s="27" t="n"/>
      <c r="G798" s="27" t="n"/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n"/>
      <c r="R798" s="27" t="n"/>
      <c r="S798" s="27" t="n"/>
      <c r="T798" s="27" t="n"/>
      <c r="U798" s="27" t="n"/>
      <c r="V798" s="27" t="n"/>
      <c r="W798" s="27" t="n"/>
      <c r="X798" s="27" t="n"/>
      <c r="Y798" s="27" t="n"/>
      <c r="Z798" s="27" t="n"/>
    </row>
    <row r="799" ht="16.5" customHeight="1" s="117">
      <c r="A799" s="27" t="n"/>
      <c r="B799" s="27" t="n"/>
      <c r="C799" s="27" t="n"/>
      <c r="D799" s="27" t="n"/>
      <c r="E799" s="27" t="n"/>
      <c r="F799" s="27" t="n"/>
      <c r="G799" s="27" t="n"/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n"/>
      <c r="R799" s="27" t="n"/>
      <c r="S799" s="27" t="n"/>
      <c r="T799" s="27" t="n"/>
      <c r="U799" s="27" t="n"/>
      <c r="V799" s="27" t="n"/>
      <c r="W799" s="27" t="n"/>
      <c r="X799" s="27" t="n"/>
      <c r="Y799" s="27" t="n"/>
      <c r="Z799" s="27" t="n"/>
    </row>
    <row r="800" ht="16.5" customHeight="1" s="117">
      <c r="A800" s="27" t="n"/>
      <c r="B800" s="27" t="n"/>
      <c r="C800" s="27" t="n"/>
      <c r="D800" s="27" t="n"/>
      <c r="E800" s="27" t="n"/>
      <c r="F800" s="27" t="n"/>
      <c r="G800" s="27" t="n"/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n"/>
      <c r="R800" s="27" t="n"/>
      <c r="S800" s="27" t="n"/>
      <c r="T800" s="27" t="n"/>
      <c r="U800" s="27" t="n"/>
      <c r="V800" s="27" t="n"/>
      <c r="W800" s="27" t="n"/>
      <c r="X800" s="27" t="n"/>
      <c r="Y800" s="27" t="n"/>
      <c r="Z800" s="27" t="n"/>
    </row>
    <row r="801" ht="16.5" customHeight="1" s="117">
      <c r="A801" s="27" t="n"/>
      <c r="B801" s="27" t="n"/>
      <c r="C801" s="27" t="n"/>
      <c r="D801" s="27" t="n"/>
      <c r="E801" s="27" t="n"/>
      <c r="F801" s="27" t="n"/>
      <c r="G801" s="27" t="n"/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n"/>
      <c r="R801" s="27" t="n"/>
      <c r="S801" s="27" t="n"/>
      <c r="T801" s="27" t="n"/>
      <c r="U801" s="27" t="n"/>
      <c r="V801" s="27" t="n"/>
      <c r="W801" s="27" t="n"/>
      <c r="X801" s="27" t="n"/>
      <c r="Y801" s="27" t="n"/>
      <c r="Z801" s="27" t="n"/>
    </row>
    <row r="802" ht="16.5" customHeight="1" s="117">
      <c r="A802" s="27" t="n"/>
      <c r="B802" s="27" t="n"/>
      <c r="C802" s="27" t="n"/>
      <c r="D802" s="27" t="n"/>
      <c r="E802" s="27" t="n"/>
      <c r="F802" s="27" t="n"/>
      <c r="G802" s="27" t="n"/>
      <c r="H802" s="27" t="n"/>
      <c r="I802" s="27" t="n"/>
      <c r="J802" s="27" t="n"/>
      <c r="K802" s="27" t="n"/>
      <c r="L802" s="27" t="n"/>
      <c r="M802" s="27" t="n"/>
      <c r="N802" s="27" t="n"/>
      <c r="O802" s="27" t="n"/>
      <c r="P802" s="27" t="n"/>
      <c r="Q802" s="27" t="n"/>
      <c r="R802" s="27" t="n"/>
      <c r="S802" s="27" t="n"/>
      <c r="T802" s="27" t="n"/>
      <c r="U802" s="27" t="n"/>
      <c r="V802" s="27" t="n"/>
      <c r="W802" s="27" t="n"/>
      <c r="X802" s="27" t="n"/>
      <c r="Y802" s="27" t="n"/>
      <c r="Z802" s="27" t="n"/>
    </row>
    <row r="803" ht="16.5" customHeight="1" s="117">
      <c r="A803" s="27" t="n"/>
      <c r="B803" s="27" t="n"/>
      <c r="C803" s="27" t="n"/>
      <c r="D803" s="27" t="n"/>
      <c r="E803" s="27" t="n"/>
      <c r="F803" s="27" t="n"/>
      <c r="G803" s="27" t="n"/>
      <c r="H803" s="27" t="n"/>
      <c r="I803" s="27" t="n"/>
      <c r="J803" s="27" t="n"/>
      <c r="K803" s="27" t="n"/>
      <c r="L803" s="27" t="n"/>
      <c r="M803" s="27" t="n"/>
      <c r="N803" s="27" t="n"/>
      <c r="O803" s="27" t="n"/>
      <c r="P803" s="27" t="n"/>
      <c r="Q803" s="27" t="n"/>
      <c r="R803" s="27" t="n"/>
      <c r="S803" s="27" t="n"/>
      <c r="T803" s="27" t="n"/>
      <c r="U803" s="27" t="n"/>
      <c r="V803" s="27" t="n"/>
      <c r="W803" s="27" t="n"/>
      <c r="X803" s="27" t="n"/>
      <c r="Y803" s="27" t="n"/>
      <c r="Z803" s="27" t="n"/>
    </row>
    <row r="804" ht="16.5" customHeight="1" s="117">
      <c r="A804" s="27" t="n"/>
      <c r="B804" s="27" t="n"/>
      <c r="C804" s="27" t="n"/>
      <c r="D804" s="27" t="n"/>
      <c r="E804" s="27" t="n"/>
      <c r="F804" s="27" t="n"/>
      <c r="G804" s="27" t="n"/>
      <c r="H804" s="27" t="n"/>
      <c r="I804" s="27" t="n"/>
      <c r="J804" s="27" t="n"/>
      <c r="K804" s="27" t="n"/>
      <c r="L804" s="27" t="n"/>
      <c r="M804" s="27" t="n"/>
      <c r="N804" s="27" t="n"/>
      <c r="O804" s="27" t="n"/>
      <c r="P804" s="27" t="n"/>
      <c r="Q804" s="27" t="n"/>
      <c r="R804" s="27" t="n"/>
      <c r="S804" s="27" t="n"/>
      <c r="T804" s="27" t="n"/>
      <c r="U804" s="27" t="n"/>
      <c r="V804" s="27" t="n"/>
      <c r="W804" s="27" t="n"/>
      <c r="X804" s="27" t="n"/>
      <c r="Y804" s="27" t="n"/>
      <c r="Z804" s="27" t="n"/>
    </row>
    <row r="805" ht="16.5" customHeight="1" s="117">
      <c r="A805" s="27" t="n"/>
      <c r="B805" s="27" t="n"/>
      <c r="C805" s="27" t="n"/>
      <c r="D805" s="27" t="n"/>
      <c r="E805" s="27" t="n"/>
      <c r="F805" s="27" t="n"/>
      <c r="G805" s="27" t="n"/>
      <c r="H805" s="27" t="n"/>
      <c r="I805" s="27" t="n"/>
      <c r="J805" s="27" t="n"/>
      <c r="K805" s="27" t="n"/>
      <c r="L805" s="27" t="n"/>
      <c r="M805" s="27" t="n"/>
      <c r="N805" s="27" t="n"/>
      <c r="O805" s="27" t="n"/>
      <c r="P805" s="27" t="n"/>
      <c r="Q805" s="27" t="n"/>
      <c r="R805" s="27" t="n"/>
      <c r="S805" s="27" t="n"/>
      <c r="T805" s="27" t="n"/>
      <c r="U805" s="27" t="n"/>
      <c r="V805" s="27" t="n"/>
      <c r="W805" s="27" t="n"/>
      <c r="X805" s="27" t="n"/>
      <c r="Y805" s="27" t="n"/>
      <c r="Z805" s="27" t="n"/>
    </row>
    <row r="806" ht="16.5" customHeight="1" s="117">
      <c r="A806" s="27" t="n"/>
      <c r="B806" s="27" t="n"/>
      <c r="C806" s="27" t="n"/>
      <c r="D806" s="27" t="n"/>
      <c r="E806" s="27" t="n"/>
      <c r="F806" s="27" t="n"/>
      <c r="G806" s="27" t="n"/>
      <c r="H806" s="27" t="n"/>
      <c r="I806" s="27" t="n"/>
      <c r="J806" s="27" t="n"/>
      <c r="K806" s="27" t="n"/>
      <c r="L806" s="27" t="n"/>
      <c r="M806" s="27" t="n"/>
      <c r="N806" s="27" t="n"/>
      <c r="O806" s="27" t="n"/>
      <c r="P806" s="27" t="n"/>
      <c r="Q806" s="27" t="n"/>
      <c r="R806" s="27" t="n"/>
      <c r="S806" s="27" t="n"/>
      <c r="T806" s="27" t="n"/>
      <c r="U806" s="27" t="n"/>
      <c r="V806" s="27" t="n"/>
      <c r="W806" s="27" t="n"/>
      <c r="X806" s="27" t="n"/>
      <c r="Y806" s="27" t="n"/>
      <c r="Z806" s="27" t="n"/>
    </row>
    <row r="807" ht="16.5" customHeight="1" s="117">
      <c r="A807" s="27" t="n"/>
      <c r="B807" s="27" t="n"/>
      <c r="C807" s="27" t="n"/>
      <c r="D807" s="27" t="n"/>
      <c r="E807" s="27" t="n"/>
      <c r="F807" s="27" t="n"/>
      <c r="G807" s="27" t="n"/>
      <c r="H807" s="27" t="n"/>
      <c r="I807" s="27" t="n"/>
      <c r="J807" s="27" t="n"/>
      <c r="K807" s="27" t="n"/>
      <c r="L807" s="27" t="n"/>
      <c r="M807" s="27" t="n"/>
      <c r="N807" s="27" t="n"/>
      <c r="O807" s="27" t="n"/>
      <c r="P807" s="27" t="n"/>
      <c r="Q807" s="27" t="n"/>
      <c r="R807" s="27" t="n"/>
      <c r="S807" s="27" t="n"/>
      <c r="T807" s="27" t="n"/>
      <c r="U807" s="27" t="n"/>
      <c r="V807" s="27" t="n"/>
      <c r="W807" s="27" t="n"/>
      <c r="X807" s="27" t="n"/>
      <c r="Y807" s="27" t="n"/>
      <c r="Z807" s="27" t="n"/>
    </row>
    <row r="808" ht="16.5" customHeight="1" s="117">
      <c r="A808" s="27" t="n"/>
      <c r="B808" s="27" t="n"/>
      <c r="C808" s="27" t="n"/>
      <c r="D808" s="27" t="n"/>
      <c r="E808" s="27" t="n"/>
      <c r="F808" s="27" t="n"/>
      <c r="G808" s="27" t="n"/>
      <c r="H808" s="27" t="n"/>
      <c r="I808" s="27" t="n"/>
      <c r="J808" s="27" t="n"/>
      <c r="K808" s="27" t="n"/>
      <c r="L808" s="27" t="n"/>
      <c r="M808" s="27" t="n"/>
      <c r="N808" s="27" t="n"/>
      <c r="O808" s="27" t="n"/>
      <c r="P808" s="27" t="n"/>
      <c r="Q808" s="27" t="n"/>
      <c r="R808" s="27" t="n"/>
      <c r="S808" s="27" t="n"/>
      <c r="T808" s="27" t="n"/>
      <c r="U808" s="27" t="n"/>
      <c r="V808" s="27" t="n"/>
      <c r="W808" s="27" t="n"/>
      <c r="X808" s="27" t="n"/>
      <c r="Y808" s="27" t="n"/>
      <c r="Z808" s="27" t="n"/>
    </row>
    <row r="809" ht="16.5" customHeight="1" s="117">
      <c r="A809" s="27" t="n"/>
      <c r="B809" s="27" t="n"/>
      <c r="C809" s="27" t="n"/>
      <c r="D809" s="27" t="n"/>
      <c r="E809" s="27" t="n"/>
      <c r="F809" s="27" t="n"/>
      <c r="G809" s="27" t="n"/>
      <c r="H809" s="27" t="n"/>
      <c r="I809" s="27" t="n"/>
      <c r="J809" s="27" t="n"/>
      <c r="K809" s="27" t="n"/>
      <c r="L809" s="27" t="n"/>
      <c r="M809" s="27" t="n"/>
      <c r="N809" s="27" t="n"/>
      <c r="O809" s="27" t="n"/>
      <c r="P809" s="27" t="n"/>
      <c r="Q809" s="27" t="n"/>
      <c r="R809" s="27" t="n"/>
      <c r="S809" s="27" t="n"/>
      <c r="T809" s="27" t="n"/>
      <c r="U809" s="27" t="n"/>
      <c r="V809" s="27" t="n"/>
      <c r="W809" s="27" t="n"/>
      <c r="X809" s="27" t="n"/>
      <c r="Y809" s="27" t="n"/>
      <c r="Z809" s="27" t="n"/>
    </row>
    <row r="810" ht="16.5" customHeight="1" s="117">
      <c r="A810" s="27" t="n"/>
      <c r="B810" s="27" t="n"/>
      <c r="C810" s="27" t="n"/>
      <c r="D810" s="27" t="n"/>
      <c r="E810" s="27" t="n"/>
      <c r="F810" s="27" t="n"/>
      <c r="G810" s="27" t="n"/>
      <c r="H810" s="27" t="n"/>
      <c r="I810" s="27" t="n"/>
      <c r="J810" s="27" t="n"/>
      <c r="K810" s="27" t="n"/>
      <c r="L810" s="27" t="n"/>
      <c r="M810" s="27" t="n"/>
      <c r="N810" s="27" t="n"/>
      <c r="O810" s="27" t="n"/>
      <c r="P810" s="27" t="n"/>
      <c r="Q810" s="27" t="n"/>
      <c r="R810" s="27" t="n"/>
      <c r="S810" s="27" t="n"/>
      <c r="T810" s="27" t="n"/>
      <c r="U810" s="27" t="n"/>
      <c r="V810" s="27" t="n"/>
      <c r="W810" s="27" t="n"/>
      <c r="X810" s="27" t="n"/>
      <c r="Y810" s="27" t="n"/>
      <c r="Z810" s="27" t="n"/>
    </row>
    <row r="811" ht="16.5" customHeight="1" s="117">
      <c r="A811" s="27" t="n"/>
      <c r="B811" s="27" t="n"/>
      <c r="C811" s="27" t="n"/>
      <c r="D811" s="27" t="n"/>
      <c r="E811" s="27" t="n"/>
      <c r="F811" s="27" t="n"/>
      <c r="G811" s="27" t="n"/>
      <c r="H811" s="27" t="n"/>
      <c r="I811" s="27" t="n"/>
      <c r="J811" s="27" t="n"/>
      <c r="K811" s="27" t="n"/>
      <c r="L811" s="27" t="n"/>
      <c r="M811" s="27" t="n"/>
      <c r="N811" s="27" t="n"/>
      <c r="O811" s="27" t="n"/>
      <c r="P811" s="27" t="n"/>
      <c r="Q811" s="27" t="n"/>
      <c r="R811" s="27" t="n"/>
      <c r="S811" s="27" t="n"/>
      <c r="T811" s="27" t="n"/>
      <c r="U811" s="27" t="n"/>
      <c r="V811" s="27" t="n"/>
      <c r="W811" s="27" t="n"/>
      <c r="X811" s="27" t="n"/>
      <c r="Y811" s="27" t="n"/>
      <c r="Z811" s="27" t="n"/>
    </row>
    <row r="812" ht="16.5" customHeight="1" s="117">
      <c r="A812" s="27" t="n"/>
      <c r="B812" s="27" t="n"/>
      <c r="C812" s="27" t="n"/>
      <c r="D812" s="27" t="n"/>
      <c r="E812" s="27" t="n"/>
      <c r="F812" s="27" t="n"/>
      <c r="G812" s="27" t="n"/>
      <c r="H812" s="27" t="n"/>
      <c r="I812" s="27" t="n"/>
      <c r="J812" s="27" t="n"/>
      <c r="K812" s="27" t="n"/>
      <c r="L812" s="27" t="n"/>
      <c r="M812" s="27" t="n"/>
      <c r="N812" s="27" t="n"/>
      <c r="O812" s="27" t="n"/>
      <c r="P812" s="27" t="n"/>
      <c r="Q812" s="27" t="n"/>
      <c r="R812" s="27" t="n"/>
      <c r="S812" s="27" t="n"/>
      <c r="T812" s="27" t="n"/>
      <c r="U812" s="27" t="n"/>
      <c r="V812" s="27" t="n"/>
      <c r="W812" s="27" t="n"/>
      <c r="X812" s="27" t="n"/>
      <c r="Y812" s="27" t="n"/>
      <c r="Z812" s="27" t="n"/>
    </row>
    <row r="813" ht="16.5" customHeight="1" s="117">
      <c r="A813" s="27" t="n"/>
      <c r="B813" s="27" t="n"/>
      <c r="C813" s="27" t="n"/>
      <c r="D813" s="27" t="n"/>
      <c r="E813" s="27" t="n"/>
      <c r="F813" s="27" t="n"/>
      <c r="G813" s="27" t="n"/>
      <c r="H813" s="27" t="n"/>
      <c r="I813" s="27" t="n"/>
      <c r="J813" s="27" t="n"/>
      <c r="K813" s="27" t="n"/>
      <c r="L813" s="27" t="n"/>
      <c r="M813" s="27" t="n"/>
      <c r="N813" s="27" t="n"/>
      <c r="O813" s="27" t="n"/>
      <c r="P813" s="27" t="n"/>
      <c r="Q813" s="27" t="n"/>
      <c r="R813" s="27" t="n"/>
      <c r="S813" s="27" t="n"/>
      <c r="T813" s="27" t="n"/>
      <c r="U813" s="27" t="n"/>
      <c r="V813" s="27" t="n"/>
      <c r="W813" s="27" t="n"/>
      <c r="X813" s="27" t="n"/>
      <c r="Y813" s="27" t="n"/>
      <c r="Z813" s="27" t="n"/>
    </row>
    <row r="814" ht="16.5" customHeight="1" s="117">
      <c r="A814" s="27" t="n"/>
      <c r="B814" s="27" t="n"/>
      <c r="C814" s="27" t="n"/>
      <c r="D814" s="27" t="n"/>
      <c r="E814" s="27" t="n"/>
      <c r="F814" s="27" t="n"/>
      <c r="G814" s="27" t="n"/>
      <c r="H814" s="27" t="n"/>
      <c r="I814" s="27" t="n"/>
      <c r="J814" s="27" t="n"/>
      <c r="K814" s="27" t="n"/>
      <c r="L814" s="27" t="n"/>
      <c r="M814" s="27" t="n"/>
      <c r="N814" s="27" t="n"/>
      <c r="O814" s="27" t="n"/>
      <c r="P814" s="27" t="n"/>
      <c r="Q814" s="27" t="n"/>
      <c r="R814" s="27" t="n"/>
      <c r="S814" s="27" t="n"/>
      <c r="T814" s="27" t="n"/>
      <c r="U814" s="27" t="n"/>
      <c r="V814" s="27" t="n"/>
      <c r="W814" s="27" t="n"/>
      <c r="X814" s="27" t="n"/>
      <c r="Y814" s="27" t="n"/>
      <c r="Z814" s="27" t="n"/>
    </row>
    <row r="815" ht="16.5" customHeight="1" s="117">
      <c r="A815" s="27" t="n"/>
      <c r="B815" s="27" t="n"/>
      <c r="C815" s="27" t="n"/>
      <c r="D815" s="27" t="n"/>
      <c r="E815" s="27" t="n"/>
      <c r="F815" s="27" t="n"/>
      <c r="G815" s="27" t="n"/>
      <c r="H815" s="27" t="n"/>
      <c r="I815" s="27" t="n"/>
      <c r="J815" s="27" t="n"/>
      <c r="K815" s="27" t="n"/>
      <c r="L815" s="27" t="n"/>
      <c r="M815" s="27" t="n"/>
      <c r="N815" s="27" t="n"/>
      <c r="O815" s="27" t="n"/>
      <c r="P815" s="27" t="n"/>
      <c r="Q815" s="27" t="n"/>
      <c r="R815" s="27" t="n"/>
      <c r="S815" s="27" t="n"/>
      <c r="T815" s="27" t="n"/>
      <c r="U815" s="27" t="n"/>
      <c r="V815" s="27" t="n"/>
      <c r="W815" s="27" t="n"/>
      <c r="X815" s="27" t="n"/>
      <c r="Y815" s="27" t="n"/>
      <c r="Z815" s="27" t="n"/>
    </row>
    <row r="816" ht="16.5" customHeight="1" s="117">
      <c r="A816" s="27" t="n"/>
      <c r="B816" s="27" t="n"/>
      <c r="C816" s="27" t="n"/>
      <c r="D816" s="27" t="n"/>
      <c r="E816" s="27" t="n"/>
      <c r="F816" s="27" t="n"/>
      <c r="G816" s="27" t="n"/>
      <c r="H816" s="27" t="n"/>
      <c r="I816" s="27" t="n"/>
      <c r="J816" s="27" t="n"/>
      <c r="K816" s="27" t="n"/>
      <c r="L816" s="27" t="n"/>
      <c r="M816" s="27" t="n"/>
      <c r="N816" s="27" t="n"/>
      <c r="O816" s="27" t="n"/>
      <c r="P816" s="27" t="n"/>
      <c r="Q816" s="27" t="n"/>
      <c r="R816" s="27" t="n"/>
      <c r="S816" s="27" t="n"/>
      <c r="T816" s="27" t="n"/>
      <c r="U816" s="27" t="n"/>
      <c r="V816" s="27" t="n"/>
      <c r="W816" s="27" t="n"/>
      <c r="X816" s="27" t="n"/>
      <c r="Y816" s="27" t="n"/>
      <c r="Z816" s="27" t="n"/>
    </row>
    <row r="817" ht="16.5" customHeight="1" s="117">
      <c r="A817" s="27" t="n"/>
      <c r="B817" s="27" t="n"/>
      <c r="C817" s="27" t="n"/>
      <c r="D817" s="27" t="n"/>
      <c r="E817" s="27" t="n"/>
      <c r="F817" s="27" t="n"/>
      <c r="G817" s="27" t="n"/>
      <c r="H817" s="27" t="n"/>
      <c r="I817" s="27" t="n"/>
      <c r="J817" s="27" t="n"/>
      <c r="K817" s="27" t="n"/>
      <c r="L817" s="27" t="n"/>
      <c r="M817" s="27" t="n"/>
      <c r="N817" s="27" t="n"/>
      <c r="O817" s="27" t="n"/>
      <c r="P817" s="27" t="n"/>
      <c r="Q817" s="27" t="n"/>
      <c r="R817" s="27" t="n"/>
      <c r="S817" s="27" t="n"/>
      <c r="T817" s="27" t="n"/>
      <c r="U817" s="27" t="n"/>
      <c r="V817" s="27" t="n"/>
      <c r="W817" s="27" t="n"/>
      <c r="X817" s="27" t="n"/>
      <c r="Y817" s="27" t="n"/>
      <c r="Z817" s="27" t="n"/>
    </row>
    <row r="818" ht="16.5" customHeight="1" s="117">
      <c r="A818" s="27" t="n"/>
      <c r="B818" s="27" t="n"/>
      <c r="C818" s="27" t="n"/>
      <c r="D818" s="27" t="n"/>
      <c r="E818" s="27" t="n"/>
      <c r="F818" s="27" t="n"/>
      <c r="G818" s="27" t="n"/>
      <c r="H818" s="27" t="n"/>
      <c r="I818" s="27" t="n"/>
      <c r="J818" s="27" t="n"/>
      <c r="K818" s="27" t="n"/>
      <c r="L818" s="27" t="n"/>
      <c r="M818" s="27" t="n"/>
      <c r="N818" s="27" t="n"/>
      <c r="O818" s="27" t="n"/>
      <c r="P818" s="27" t="n"/>
      <c r="Q818" s="27" t="n"/>
      <c r="R818" s="27" t="n"/>
      <c r="S818" s="27" t="n"/>
      <c r="T818" s="27" t="n"/>
      <c r="U818" s="27" t="n"/>
      <c r="V818" s="27" t="n"/>
      <c r="W818" s="27" t="n"/>
      <c r="X818" s="27" t="n"/>
      <c r="Y818" s="27" t="n"/>
      <c r="Z818" s="27" t="n"/>
    </row>
    <row r="819" ht="16.5" customHeight="1" s="117">
      <c r="A819" s="27" t="n"/>
      <c r="B819" s="27" t="n"/>
      <c r="C819" s="27" t="n"/>
      <c r="D819" s="27" t="n"/>
      <c r="E819" s="27" t="n"/>
      <c r="F819" s="27" t="n"/>
      <c r="G819" s="27" t="n"/>
      <c r="H819" s="27" t="n"/>
      <c r="I819" s="27" t="n"/>
      <c r="J819" s="27" t="n"/>
      <c r="K819" s="27" t="n"/>
      <c r="L819" s="27" t="n"/>
      <c r="M819" s="27" t="n"/>
      <c r="N819" s="27" t="n"/>
      <c r="O819" s="27" t="n"/>
      <c r="P819" s="27" t="n"/>
      <c r="Q819" s="27" t="n"/>
      <c r="R819" s="27" t="n"/>
      <c r="S819" s="27" t="n"/>
      <c r="T819" s="27" t="n"/>
      <c r="U819" s="27" t="n"/>
      <c r="V819" s="27" t="n"/>
      <c r="W819" s="27" t="n"/>
      <c r="X819" s="27" t="n"/>
      <c r="Y819" s="27" t="n"/>
      <c r="Z819" s="27" t="n"/>
    </row>
    <row r="820" ht="16.5" customHeight="1" s="117">
      <c r="A820" s="27" t="n"/>
      <c r="B820" s="27" t="n"/>
      <c r="C820" s="27" t="n"/>
      <c r="D820" s="27" t="n"/>
      <c r="E820" s="27" t="n"/>
      <c r="F820" s="27" t="n"/>
      <c r="G820" s="27" t="n"/>
      <c r="H820" s="27" t="n"/>
      <c r="I820" s="27" t="n"/>
      <c r="J820" s="27" t="n"/>
      <c r="K820" s="27" t="n"/>
      <c r="L820" s="27" t="n"/>
      <c r="M820" s="27" t="n"/>
      <c r="N820" s="27" t="n"/>
      <c r="O820" s="27" t="n"/>
      <c r="P820" s="27" t="n"/>
      <c r="Q820" s="27" t="n"/>
      <c r="R820" s="27" t="n"/>
      <c r="S820" s="27" t="n"/>
      <c r="T820" s="27" t="n"/>
      <c r="U820" s="27" t="n"/>
      <c r="V820" s="27" t="n"/>
      <c r="W820" s="27" t="n"/>
      <c r="X820" s="27" t="n"/>
      <c r="Y820" s="27" t="n"/>
      <c r="Z820" s="27" t="n"/>
    </row>
    <row r="821" ht="16.5" customHeight="1" s="117">
      <c r="A821" s="27" t="n"/>
      <c r="B821" s="27" t="n"/>
      <c r="C821" s="27" t="n"/>
      <c r="D821" s="27" t="n"/>
      <c r="E821" s="27" t="n"/>
      <c r="F821" s="27" t="n"/>
      <c r="G821" s="27" t="n"/>
      <c r="H821" s="27" t="n"/>
      <c r="I821" s="27" t="n"/>
      <c r="J821" s="27" t="n"/>
      <c r="K821" s="27" t="n"/>
      <c r="L821" s="27" t="n"/>
      <c r="M821" s="27" t="n"/>
      <c r="N821" s="27" t="n"/>
      <c r="O821" s="27" t="n"/>
      <c r="P821" s="27" t="n"/>
      <c r="Q821" s="27" t="n"/>
      <c r="R821" s="27" t="n"/>
      <c r="S821" s="27" t="n"/>
      <c r="T821" s="27" t="n"/>
      <c r="U821" s="27" t="n"/>
      <c r="V821" s="27" t="n"/>
      <c r="W821" s="27" t="n"/>
      <c r="X821" s="27" t="n"/>
      <c r="Y821" s="27" t="n"/>
      <c r="Z821" s="27" t="n"/>
    </row>
    <row r="822" ht="16.5" customHeight="1" s="117">
      <c r="A822" s="27" t="n"/>
      <c r="B822" s="27" t="n"/>
      <c r="C822" s="27" t="n"/>
      <c r="D822" s="27" t="n"/>
      <c r="E822" s="27" t="n"/>
      <c r="F822" s="27" t="n"/>
      <c r="G822" s="27" t="n"/>
      <c r="H822" s="27" t="n"/>
      <c r="I822" s="27" t="n"/>
      <c r="J822" s="27" t="n"/>
      <c r="K822" s="27" t="n"/>
      <c r="L822" s="27" t="n"/>
      <c r="M822" s="27" t="n"/>
      <c r="N822" s="27" t="n"/>
      <c r="O822" s="27" t="n"/>
      <c r="P822" s="27" t="n"/>
      <c r="Q822" s="27" t="n"/>
      <c r="R822" s="27" t="n"/>
      <c r="S822" s="27" t="n"/>
      <c r="T822" s="27" t="n"/>
      <c r="U822" s="27" t="n"/>
      <c r="V822" s="27" t="n"/>
      <c r="W822" s="27" t="n"/>
      <c r="X822" s="27" t="n"/>
      <c r="Y822" s="27" t="n"/>
      <c r="Z822" s="27" t="n"/>
    </row>
    <row r="823" ht="16.5" customHeight="1" s="117">
      <c r="A823" s="27" t="n"/>
      <c r="B823" s="27" t="n"/>
      <c r="C823" s="27" t="n"/>
      <c r="D823" s="27" t="n"/>
      <c r="E823" s="27" t="n"/>
      <c r="F823" s="27" t="n"/>
      <c r="G823" s="27" t="n"/>
      <c r="H823" s="27" t="n"/>
      <c r="I823" s="27" t="n"/>
      <c r="J823" s="27" t="n"/>
      <c r="K823" s="27" t="n"/>
      <c r="L823" s="27" t="n"/>
      <c r="M823" s="27" t="n"/>
      <c r="N823" s="27" t="n"/>
      <c r="O823" s="27" t="n"/>
      <c r="P823" s="27" t="n"/>
      <c r="Q823" s="27" t="n"/>
      <c r="R823" s="27" t="n"/>
      <c r="S823" s="27" t="n"/>
      <c r="T823" s="27" t="n"/>
      <c r="U823" s="27" t="n"/>
      <c r="V823" s="27" t="n"/>
      <c r="W823" s="27" t="n"/>
      <c r="X823" s="27" t="n"/>
      <c r="Y823" s="27" t="n"/>
      <c r="Z823" s="27" t="n"/>
    </row>
    <row r="824" ht="16.5" customHeight="1" s="117">
      <c r="A824" s="27" t="n"/>
      <c r="B824" s="27" t="n"/>
      <c r="C824" s="27" t="n"/>
      <c r="D824" s="27" t="n"/>
      <c r="E824" s="27" t="n"/>
      <c r="F824" s="27" t="n"/>
      <c r="G824" s="27" t="n"/>
      <c r="H824" s="27" t="n"/>
      <c r="I824" s="27" t="n"/>
      <c r="J824" s="27" t="n"/>
      <c r="K824" s="27" t="n"/>
      <c r="L824" s="27" t="n"/>
      <c r="M824" s="27" t="n"/>
      <c r="N824" s="27" t="n"/>
      <c r="O824" s="27" t="n"/>
      <c r="P824" s="27" t="n"/>
      <c r="Q824" s="27" t="n"/>
      <c r="R824" s="27" t="n"/>
      <c r="S824" s="27" t="n"/>
      <c r="T824" s="27" t="n"/>
      <c r="U824" s="27" t="n"/>
      <c r="V824" s="27" t="n"/>
      <c r="W824" s="27" t="n"/>
      <c r="X824" s="27" t="n"/>
      <c r="Y824" s="27" t="n"/>
      <c r="Z824" s="27" t="n"/>
    </row>
    <row r="825" ht="16.5" customHeight="1" s="117">
      <c r="A825" s="27" t="n"/>
      <c r="B825" s="27" t="n"/>
      <c r="C825" s="27" t="n"/>
      <c r="D825" s="27" t="n"/>
      <c r="E825" s="27" t="n"/>
      <c r="F825" s="27" t="n"/>
      <c r="G825" s="27" t="n"/>
      <c r="H825" s="27" t="n"/>
      <c r="I825" s="27" t="n"/>
      <c r="J825" s="27" t="n"/>
      <c r="K825" s="27" t="n"/>
      <c r="L825" s="27" t="n"/>
      <c r="M825" s="27" t="n"/>
      <c r="N825" s="27" t="n"/>
      <c r="O825" s="27" t="n"/>
      <c r="P825" s="27" t="n"/>
      <c r="Q825" s="27" t="n"/>
      <c r="R825" s="27" t="n"/>
      <c r="S825" s="27" t="n"/>
      <c r="T825" s="27" t="n"/>
      <c r="U825" s="27" t="n"/>
      <c r="V825" s="27" t="n"/>
      <c r="W825" s="27" t="n"/>
      <c r="X825" s="27" t="n"/>
      <c r="Y825" s="27" t="n"/>
      <c r="Z825" s="27" t="n"/>
    </row>
    <row r="826" ht="16.5" customHeight="1" s="117">
      <c r="A826" s="27" t="n"/>
      <c r="B826" s="27" t="n"/>
      <c r="C826" s="27" t="n"/>
      <c r="D826" s="27" t="n"/>
      <c r="E826" s="27" t="n"/>
      <c r="F826" s="27" t="n"/>
      <c r="G826" s="27" t="n"/>
      <c r="H826" s="27" t="n"/>
      <c r="I826" s="27" t="n"/>
      <c r="J826" s="27" t="n"/>
      <c r="K826" s="27" t="n"/>
      <c r="L826" s="27" t="n"/>
      <c r="M826" s="27" t="n"/>
      <c r="N826" s="27" t="n"/>
      <c r="O826" s="27" t="n"/>
      <c r="P826" s="27" t="n"/>
      <c r="Q826" s="27" t="n"/>
      <c r="R826" s="27" t="n"/>
      <c r="S826" s="27" t="n"/>
      <c r="T826" s="27" t="n"/>
      <c r="U826" s="27" t="n"/>
      <c r="V826" s="27" t="n"/>
      <c r="W826" s="27" t="n"/>
      <c r="X826" s="27" t="n"/>
      <c r="Y826" s="27" t="n"/>
      <c r="Z826" s="27" t="n"/>
    </row>
    <row r="827" ht="16.5" customHeight="1" s="117">
      <c r="A827" s="27" t="n"/>
      <c r="B827" s="27" t="n"/>
      <c r="C827" s="27" t="n"/>
      <c r="D827" s="27" t="n"/>
      <c r="E827" s="27" t="n"/>
      <c r="F827" s="27" t="n"/>
      <c r="G827" s="27" t="n"/>
      <c r="H827" s="27" t="n"/>
      <c r="I827" s="27" t="n"/>
      <c r="J827" s="27" t="n"/>
      <c r="K827" s="27" t="n"/>
      <c r="L827" s="27" t="n"/>
      <c r="M827" s="27" t="n"/>
      <c r="N827" s="27" t="n"/>
      <c r="O827" s="27" t="n"/>
      <c r="P827" s="27" t="n"/>
      <c r="Q827" s="27" t="n"/>
      <c r="R827" s="27" t="n"/>
      <c r="S827" s="27" t="n"/>
      <c r="T827" s="27" t="n"/>
      <c r="U827" s="27" t="n"/>
      <c r="V827" s="27" t="n"/>
      <c r="W827" s="27" t="n"/>
      <c r="X827" s="27" t="n"/>
      <c r="Y827" s="27" t="n"/>
      <c r="Z827" s="27" t="n"/>
    </row>
    <row r="828" ht="16.5" customHeight="1" s="117">
      <c r="A828" s="27" t="n"/>
      <c r="B828" s="27" t="n"/>
      <c r="C828" s="27" t="n"/>
      <c r="D828" s="27" t="n"/>
      <c r="E828" s="27" t="n"/>
      <c r="F828" s="27" t="n"/>
      <c r="G828" s="27" t="n"/>
      <c r="H828" s="27" t="n"/>
      <c r="I828" s="27" t="n"/>
      <c r="J828" s="27" t="n"/>
      <c r="K828" s="27" t="n"/>
      <c r="L828" s="27" t="n"/>
      <c r="M828" s="27" t="n"/>
      <c r="N828" s="27" t="n"/>
      <c r="O828" s="27" t="n"/>
      <c r="P828" s="27" t="n"/>
      <c r="Q828" s="27" t="n"/>
      <c r="R828" s="27" t="n"/>
      <c r="S828" s="27" t="n"/>
      <c r="T828" s="27" t="n"/>
      <c r="U828" s="27" t="n"/>
      <c r="V828" s="27" t="n"/>
      <c r="W828" s="27" t="n"/>
      <c r="X828" s="27" t="n"/>
      <c r="Y828" s="27" t="n"/>
      <c r="Z828" s="27" t="n"/>
    </row>
    <row r="829" ht="16.5" customHeight="1" s="117">
      <c r="A829" s="27" t="n"/>
      <c r="B829" s="27" t="n"/>
      <c r="C829" s="27" t="n"/>
      <c r="D829" s="27" t="n"/>
      <c r="E829" s="27" t="n"/>
      <c r="F829" s="27" t="n"/>
      <c r="G829" s="27" t="n"/>
      <c r="H829" s="27" t="n"/>
      <c r="I829" s="27" t="n"/>
      <c r="J829" s="27" t="n"/>
      <c r="K829" s="27" t="n"/>
      <c r="L829" s="27" t="n"/>
      <c r="M829" s="27" t="n"/>
      <c r="N829" s="27" t="n"/>
      <c r="O829" s="27" t="n"/>
      <c r="P829" s="27" t="n"/>
      <c r="Q829" s="27" t="n"/>
      <c r="R829" s="27" t="n"/>
      <c r="S829" s="27" t="n"/>
      <c r="T829" s="27" t="n"/>
      <c r="U829" s="27" t="n"/>
      <c r="V829" s="27" t="n"/>
      <c r="W829" s="27" t="n"/>
      <c r="X829" s="27" t="n"/>
      <c r="Y829" s="27" t="n"/>
      <c r="Z829" s="27" t="n"/>
    </row>
    <row r="830" ht="16.5" customHeight="1" s="117">
      <c r="A830" s="27" t="n"/>
      <c r="B830" s="27" t="n"/>
      <c r="C830" s="27" t="n"/>
      <c r="D830" s="27" t="n"/>
      <c r="E830" s="27" t="n"/>
      <c r="F830" s="27" t="n"/>
      <c r="G830" s="27" t="n"/>
      <c r="H830" s="27" t="n"/>
      <c r="I830" s="27" t="n"/>
      <c r="J830" s="27" t="n"/>
      <c r="K830" s="27" t="n"/>
      <c r="L830" s="27" t="n"/>
      <c r="M830" s="27" t="n"/>
      <c r="N830" s="27" t="n"/>
      <c r="O830" s="27" t="n"/>
      <c r="P830" s="27" t="n"/>
      <c r="Q830" s="27" t="n"/>
      <c r="R830" s="27" t="n"/>
      <c r="S830" s="27" t="n"/>
      <c r="T830" s="27" t="n"/>
      <c r="U830" s="27" t="n"/>
      <c r="V830" s="27" t="n"/>
      <c r="W830" s="27" t="n"/>
      <c r="X830" s="27" t="n"/>
      <c r="Y830" s="27" t="n"/>
      <c r="Z830" s="27" t="n"/>
    </row>
    <row r="831" ht="16.5" customHeight="1" s="117">
      <c r="A831" s="27" t="n"/>
      <c r="B831" s="27" t="n"/>
      <c r="C831" s="27" t="n"/>
      <c r="D831" s="27" t="n"/>
      <c r="E831" s="27" t="n"/>
      <c r="F831" s="27" t="n"/>
      <c r="G831" s="27" t="n"/>
      <c r="H831" s="27" t="n"/>
      <c r="I831" s="27" t="n"/>
      <c r="J831" s="27" t="n"/>
      <c r="K831" s="27" t="n"/>
      <c r="L831" s="27" t="n"/>
      <c r="M831" s="27" t="n"/>
      <c r="N831" s="27" t="n"/>
      <c r="O831" s="27" t="n"/>
      <c r="P831" s="27" t="n"/>
      <c r="Q831" s="27" t="n"/>
      <c r="R831" s="27" t="n"/>
      <c r="S831" s="27" t="n"/>
      <c r="T831" s="27" t="n"/>
      <c r="U831" s="27" t="n"/>
      <c r="V831" s="27" t="n"/>
      <c r="W831" s="27" t="n"/>
      <c r="X831" s="27" t="n"/>
      <c r="Y831" s="27" t="n"/>
      <c r="Z831" s="27" t="n"/>
    </row>
    <row r="832" ht="16.5" customHeight="1" s="117">
      <c r="A832" s="27" t="n"/>
      <c r="B832" s="27" t="n"/>
      <c r="C832" s="27" t="n"/>
      <c r="D832" s="27" t="n"/>
      <c r="E832" s="27" t="n"/>
      <c r="F832" s="27" t="n"/>
      <c r="G832" s="27" t="n"/>
      <c r="H832" s="27" t="n"/>
      <c r="I832" s="27" t="n"/>
      <c r="J832" s="27" t="n"/>
      <c r="K832" s="27" t="n"/>
      <c r="L832" s="27" t="n"/>
      <c r="M832" s="27" t="n"/>
      <c r="N832" s="27" t="n"/>
      <c r="O832" s="27" t="n"/>
      <c r="P832" s="27" t="n"/>
      <c r="Q832" s="27" t="n"/>
      <c r="R832" s="27" t="n"/>
      <c r="S832" s="27" t="n"/>
      <c r="T832" s="27" t="n"/>
      <c r="U832" s="27" t="n"/>
      <c r="V832" s="27" t="n"/>
      <c r="W832" s="27" t="n"/>
      <c r="X832" s="27" t="n"/>
      <c r="Y832" s="27" t="n"/>
      <c r="Z832" s="27" t="n"/>
    </row>
    <row r="833" ht="16.5" customHeight="1" s="117">
      <c r="A833" s="27" t="n"/>
      <c r="B833" s="27" t="n"/>
      <c r="C833" s="27" t="n"/>
      <c r="D833" s="27" t="n"/>
      <c r="E833" s="27" t="n"/>
      <c r="F833" s="27" t="n"/>
      <c r="G833" s="27" t="n"/>
      <c r="H833" s="27" t="n"/>
      <c r="I833" s="27" t="n"/>
      <c r="J833" s="27" t="n"/>
      <c r="K833" s="27" t="n"/>
      <c r="L833" s="27" t="n"/>
      <c r="M833" s="27" t="n"/>
      <c r="N833" s="27" t="n"/>
      <c r="O833" s="27" t="n"/>
      <c r="P833" s="27" t="n"/>
      <c r="Q833" s="27" t="n"/>
      <c r="R833" s="27" t="n"/>
      <c r="S833" s="27" t="n"/>
      <c r="T833" s="27" t="n"/>
      <c r="U833" s="27" t="n"/>
      <c r="V833" s="27" t="n"/>
      <c r="W833" s="27" t="n"/>
      <c r="X833" s="27" t="n"/>
      <c r="Y833" s="27" t="n"/>
      <c r="Z833" s="27" t="n"/>
    </row>
    <row r="834" ht="16.5" customHeight="1" s="117">
      <c r="A834" s="27" t="n"/>
      <c r="B834" s="27" t="n"/>
      <c r="C834" s="27" t="n"/>
      <c r="D834" s="27" t="n"/>
      <c r="E834" s="27" t="n"/>
      <c r="F834" s="27" t="n"/>
      <c r="G834" s="27" t="n"/>
      <c r="H834" s="27" t="n"/>
      <c r="I834" s="27" t="n"/>
      <c r="J834" s="27" t="n"/>
      <c r="K834" s="27" t="n"/>
      <c r="L834" s="27" t="n"/>
      <c r="M834" s="27" t="n"/>
      <c r="N834" s="27" t="n"/>
      <c r="O834" s="27" t="n"/>
      <c r="P834" s="27" t="n"/>
      <c r="Q834" s="27" t="n"/>
      <c r="R834" s="27" t="n"/>
      <c r="S834" s="27" t="n"/>
      <c r="T834" s="27" t="n"/>
      <c r="U834" s="27" t="n"/>
      <c r="V834" s="27" t="n"/>
      <c r="W834" s="27" t="n"/>
      <c r="X834" s="27" t="n"/>
      <c r="Y834" s="27" t="n"/>
      <c r="Z834" s="27" t="n"/>
    </row>
    <row r="835" ht="16.5" customHeight="1" s="117">
      <c r="A835" s="27" t="n"/>
      <c r="B835" s="27" t="n"/>
      <c r="C835" s="27" t="n"/>
      <c r="D835" s="27" t="n"/>
      <c r="E835" s="27" t="n"/>
      <c r="F835" s="27" t="n"/>
      <c r="G835" s="27" t="n"/>
      <c r="H835" s="27" t="n"/>
      <c r="I835" s="27" t="n"/>
      <c r="J835" s="27" t="n"/>
      <c r="K835" s="27" t="n"/>
      <c r="L835" s="27" t="n"/>
      <c r="M835" s="27" t="n"/>
      <c r="N835" s="27" t="n"/>
      <c r="O835" s="27" t="n"/>
      <c r="P835" s="27" t="n"/>
      <c r="Q835" s="27" t="n"/>
      <c r="R835" s="27" t="n"/>
      <c r="S835" s="27" t="n"/>
      <c r="T835" s="27" t="n"/>
      <c r="U835" s="27" t="n"/>
      <c r="V835" s="27" t="n"/>
      <c r="W835" s="27" t="n"/>
      <c r="X835" s="27" t="n"/>
      <c r="Y835" s="27" t="n"/>
      <c r="Z835" s="27" t="n"/>
    </row>
    <row r="836" ht="16.5" customHeight="1" s="117">
      <c r="A836" s="27" t="n"/>
      <c r="B836" s="27" t="n"/>
      <c r="C836" s="27" t="n"/>
      <c r="D836" s="27" t="n"/>
      <c r="E836" s="27" t="n"/>
      <c r="F836" s="27" t="n"/>
      <c r="G836" s="27" t="n"/>
      <c r="H836" s="27" t="n"/>
      <c r="I836" s="27" t="n"/>
      <c r="J836" s="27" t="n"/>
      <c r="K836" s="27" t="n"/>
      <c r="L836" s="27" t="n"/>
      <c r="M836" s="27" t="n"/>
      <c r="N836" s="27" t="n"/>
      <c r="O836" s="27" t="n"/>
      <c r="P836" s="27" t="n"/>
      <c r="Q836" s="27" t="n"/>
      <c r="R836" s="27" t="n"/>
      <c r="S836" s="27" t="n"/>
      <c r="T836" s="27" t="n"/>
      <c r="U836" s="27" t="n"/>
      <c r="V836" s="27" t="n"/>
      <c r="W836" s="27" t="n"/>
      <c r="X836" s="27" t="n"/>
      <c r="Y836" s="27" t="n"/>
      <c r="Z836" s="27" t="n"/>
    </row>
    <row r="837" ht="16.5" customHeight="1" s="117">
      <c r="A837" s="27" t="n"/>
      <c r="B837" s="27" t="n"/>
      <c r="C837" s="27" t="n"/>
      <c r="D837" s="27" t="n"/>
      <c r="E837" s="27" t="n"/>
      <c r="F837" s="27" t="n"/>
      <c r="G837" s="27" t="n"/>
      <c r="H837" s="27" t="n"/>
      <c r="I837" s="27" t="n"/>
      <c r="J837" s="27" t="n"/>
      <c r="K837" s="27" t="n"/>
      <c r="L837" s="27" t="n"/>
      <c r="M837" s="27" t="n"/>
      <c r="N837" s="27" t="n"/>
      <c r="O837" s="27" t="n"/>
      <c r="P837" s="27" t="n"/>
      <c r="Q837" s="27" t="n"/>
      <c r="R837" s="27" t="n"/>
      <c r="S837" s="27" t="n"/>
      <c r="T837" s="27" t="n"/>
      <c r="U837" s="27" t="n"/>
      <c r="V837" s="27" t="n"/>
      <c r="W837" s="27" t="n"/>
      <c r="X837" s="27" t="n"/>
      <c r="Y837" s="27" t="n"/>
      <c r="Z837" s="27" t="n"/>
    </row>
    <row r="838" ht="16.5" customHeight="1" s="117">
      <c r="A838" s="27" t="n"/>
      <c r="B838" s="27" t="n"/>
      <c r="C838" s="27" t="n"/>
      <c r="D838" s="27" t="n"/>
      <c r="E838" s="27" t="n"/>
      <c r="F838" s="27" t="n"/>
      <c r="G838" s="27" t="n"/>
      <c r="H838" s="27" t="n"/>
      <c r="I838" s="27" t="n"/>
      <c r="J838" s="27" t="n"/>
      <c r="K838" s="27" t="n"/>
      <c r="L838" s="27" t="n"/>
      <c r="M838" s="27" t="n"/>
      <c r="N838" s="27" t="n"/>
      <c r="O838" s="27" t="n"/>
      <c r="P838" s="27" t="n"/>
      <c r="Q838" s="27" t="n"/>
      <c r="R838" s="27" t="n"/>
      <c r="S838" s="27" t="n"/>
      <c r="T838" s="27" t="n"/>
      <c r="U838" s="27" t="n"/>
      <c r="V838" s="27" t="n"/>
      <c r="W838" s="27" t="n"/>
      <c r="X838" s="27" t="n"/>
      <c r="Y838" s="27" t="n"/>
      <c r="Z838" s="27" t="n"/>
    </row>
    <row r="839" ht="16.5" customHeight="1" s="117">
      <c r="A839" s="27" t="n"/>
      <c r="B839" s="27" t="n"/>
      <c r="C839" s="27" t="n"/>
      <c r="D839" s="27" t="n"/>
      <c r="E839" s="27" t="n"/>
      <c r="F839" s="27" t="n"/>
      <c r="G839" s="27" t="n"/>
      <c r="H839" s="27" t="n"/>
      <c r="I839" s="27" t="n"/>
      <c r="J839" s="27" t="n"/>
      <c r="K839" s="27" t="n"/>
      <c r="L839" s="27" t="n"/>
      <c r="M839" s="27" t="n"/>
      <c r="N839" s="27" t="n"/>
      <c r="O839" s="27" t="n"/>
      <c r="P839" s="27" t="n"/>
      <c r="Q839" s="27" t="n"/>
      <c r="R839" s="27" t="n"/>
      <c r="S839" s="27" t="n"/>
      <c r="T839" s="27" t="n"/>
      <c r="U839" s="27" t="n"/>
      <c r="V839" s="27" t="n"/>
      <c r="W839" s="27" t="n"/>
      <c r="X839" s="27" t="n"/>
      <c r="Y839" s="27" t="n"/>
      <c r="Z839" s="27" t="n"/>
    </row>
    <row r="840" ht="16.5" customHeight="1" s="117">
      <c r="A840" s="27" t="n"/>
      <c r="B840" s="27" t="n"/>
      <c r="C840" s="27" t="n"/>
      <c r="D840" s="27" t="n"/>
      <c r="E840" s="27" t="n"/>
      <c r="F840" s="27" t="n"/>
      <c r="G840" s="27" t="n"/>
      <c r="H840" s="27" t="n"/>
      <c r="I840" s="27" t="n"/>
      <c r="J840" s="27" t="n"/>
      <c r="K840" s="27" t="n"/>
      <c r="L840" s="27" t="n"/>
      <c r="M840" s="27" t="n"/>
      <c r="N840" s="27" t="n"/>
      <c r="O840" s="27" t="n"/>
      <c r="P840" s="27" t="n"/>
      <c r="Q840" s="27" t="n"/>
      <c r="R840" s="27" t="n"/>
      <c r="S840" s="27" t="n"/>
      <c r="T840" s="27" t="n"/>
      <c r="U840" s="27" t="n"/>
      <c r="V840" s="27" t="n"/>
      <c r="W840" s="27" t="n"/>
      <c r="X840" s="27" t="n"/>
      <c r="Y840" s="27" t="n"/>
      <c r="Z840" s="27" t="n"/>
    </row>
    <row r="841" ht="16.5" customHeight="1" s="117">
      <c r="A841" s="27" t="n"/>
      <c r="B841" s="27" t="n"/>
      <c r="C841" s="27" t="n"/>
      <c r="D841" s="27" t="n"/>
      <c r="E841" s="27" t="n"/>
      <c r="F841" s="27" t="n"/>
      <c r="G841" s="27" t="n"/>
      <c r="H841" s="27" t="n"/>
      <c r="I841" s="27" t="n"/>
      <c r="J841" s="27" t="n"/>
      <c r="K841" s="27" t="n"/>
      <c r="L841" s="27" t="n"/>
      <c r="M841" s="27" t="n"/>
      <c r="N841" s="27" t="n"/>
      <c r="O841" s="27" t="n"/>
      <c r="P841" s="27" t="n"/>
      <c r="Q841" s="27" t="n"/>
      <c r="R841" s="27" t="n"/>
      <c r="S841" s="27" t="n"/>
      <c r="T841" s="27" t="n"/>
      <c r="U841" s="27" t="n"/>
      <c r="V841" s="27" t="n"/>
      <c r="W841" s="27" t="n"/>
      <c r="X841" s="27" t="n"/>
      <c r="Y841" s="27" t="n"/>
      <c r="Z841" s="27" t="n"/>
    </row>
    <row r="842" ht="16.5" customHeight="1" s="117">
      <c r="A842" s="27" t="n"/>
      <c r="B842" s="27" t="n"/>
      <c r="C842" s="27" t="n"/>
      <c r="D842" s="27" t="n"/>
      <c r="E842" s="27" t="n"/>
      <c r="F842" s="27" t="n"/>
      <c r="G842" s="27" t="n"/>
      <c r="H842" s="27" t="n"/>
      <c r="I842" s="27" t="n"/>
      <c r="J842" s="27" t="n"/>
      <c r="K842" s="27" t="n"/>
      <c r="L842" s="27" t="n"/>
      <c r="M842" s="27" t="n"/>
      <c r="N842" s="27" t="n"/>
      <c r="O842" s="27" t="n"/>
      <c r="P842" s="27" t="n"/>
      <c r="Q842" s="27" t="n"/>
      <c r="R842" s="27" t="n"/>
      <c r="S842" s="27" t="n"/>
      <c r="T842" s="27" t="n"/>
      <c r="U842" s="27" t="n"/>
      <c r="V842" s="27" t="n"/>
      <c r="W842" s="27" t="n"/>
      <c r="X842" s="27" t="n"/>
      <c r="Y842" s="27" t="n"/>
      <c r="Z842" s="27" t="n"/>
    </row>
    <row r="843" ht="16.5" customHeight="1" s="117">
      <c r="A843" s="27" t="n"/>
      <c r="B843" s="27" t="n"/>
      <c r="C843" s="27" t="n"/>
      <c r="D843" s="27" t="n"/>
      <c r="E843" s="27" t="n"/>
      <c r="F843" s="27" t="n"/>
      <c r="G843" s="27" t="n"/>
      <c r="H843" s="27" t="n"/>
      <c r="I843" s="27" t="n"/>
      <c r="J843" s="27" t="n"/>
      <c r="K843" s="27" t="n"/>
      <c r="L843" s="27" t="n"/>
      <c r="M843" s="27" t="n"/>
      <c r="N843" s="27" t="n"/>
      <c r="O843" s="27" t="n"/>
      <c r="P843" s="27" t="n"/>
      <c r="Q843" s="27" t="n"/>
      <c r="R843" s="27" t="n"/>
      <c r="S843" s="27" t="n"/>
      <c r="T843" s="27" t="n"/>
      <c r="U843" s="27" t="n"/>
      <c r="V843" s="27" t="n"/>
      <c r="W843" s="27" t="n"/>
      <c r="X843" s="27" t="n"/>
      <c r="Y843" s="27" t="n"/>
      <c r="Z843" s="27" t="n"/>
    </row>
    <row r="844" ht="16.5" customHeight="1" s="117">
      <c r="A844" s="27" t="n"/>
      <c r="B844" s="27" t="n"/>
      <c r="C844" s="27" t="n"/>
      <c r="D844" s="27" t="n"/>
      <c r="E844" s="27" t="n"/>
      <c r="F844" s="27" t="n"/>
      <c r="G844" s="27" t="n"/>
      <c r="H844" s="27" t="n"/>
      <c r="I844" s="27" t="n"/>
      <c r="J844" s="27" t="n"/>
      <c r="K844" s="27" t="n"/>
      <c r="L844" s="27" t="n"/>
      <c r="M844" s="27" t="n"/>
      <c r="N844" s="27" t="n"/>
      <c r="O844" s="27" t="n"/>
      <c r="P844" s="27" t="n"/>
      <c r="Q844" s="27" t="n"/>
      <c r="R844" s="27" t="n"/>
      <c r="S844" s="27" t="n"/>
      <c r="T844" s="27" t="n"/>
      <c r="U844" s="27" t="n"/>
      <c r="V844" s="27" t="n"/>
      <c r="W844" s="27" t="n"/>
      <c r="X844" s="27" t="n"/>
      <c r="Y844" s="27" t="n"/>
      <c r="Z844" s="27" t="n"/>
    </row>
    <row r="845" ht="16.5" customHeight="1" s="117">
      <c r="A845" s="27" t="n"/>
      <c r="B845" s="27" t="n"/>
      <c r="C845" s="27" t="n"/>
      <c r="D845" s="27" t="n"/>
      <c r="E845" s="27" t="n"/>
      <c r="F845" s="27" t="n"/>
      <c r="G845" s="27" t="n"/>
      <c r="H845" s="27" t="n"/>
      <c r="I845" s="27" t="n"/>
      <c r="J845" s="27" t="n"/>
      <c r="K845" s="27" t="n"/>
      <c r="L845" s="27" t="n"/>
      <c r="M845" s="27" t="n"/>
      <c r="N845" s="27" t="n"/>
      <c r="O845" s="27" t="n"/>
      <c r="P845" s="27" t="n"/>
      <c r="Q845" s="27" t="n"/>
      <c r="R845" s="27" t="n"/>
      <c r="S845" s="27" t="n"/>
      <c r="T845" s="27" t="n"/>
      <c r="U845" s="27" t="n"/>
      <c r="V845" s="27" t="n"/>
      <c r="W845" s="27" t="n"/>
      <c r="X845" s="27" t="n"/>
      <c r="Y845" s="27" t="n"/>
      <c r="Z845" s="27" t="n"/>
    </row>
    <row r="846" ht="16.5" customHeight="1" s="117">
      <c r="A846" s="27" t="n"/>
      <c r="B846" s="27" t="n"/>
      <c r="C846" s="27" t="n"/>
      <c r="D846" s="27" t="n"/>
      <c r="E846" s="27" t="n"/>
      <c r="F846" s="27" t="n"/>
      <c r="G846" s="27" t="n"/>
      <c r="H846" s="27" t="n"/>
      <c r="I846" s="27" t="n"/>
      <c r="J846" s="27" t="n"/>
      <c r="K846" s="27" t="n"/>
      <c r="L846" s="27" t="n"/>
      <c r="M846" s="27" t="n"/>
      <c r="N846" s="27" t="n"/>
      <c r="O846" s="27" t="n"/>
      <c r="P846" s="27" t="n"/>
      <c r="Q846" s="27" t="n"/>
      <c r="R846" s="27" t="n"/>
      <c r="S846" s="27" t="n"/>
      <c r="T846" s="27" t="n"/>
      <c r="U846" s="27" t="n"/>
      <c r="V846" s="27" t="n"/>
      <c r="W846" s="27" t="n"/>
      <c r="X846" s="27" t="n"/>
      <c r="Y846" s="27" t="n"/>
      <c r="Z846" s="27" t="n"/>
    </row>
    <row r="847" ht="16.5" customHeight="1" s="117">
      <c r="A847" s="27" t="n"/>
      <c r="B847" s="27" t="n"/>
      <c r="C847" s="27" t="n"/>
      <c r="D847" s="27" t="n"/>
      <c r="E847" s="27" t="n"/>
      <c r="F847" s="27" t="n"/>
      <c r="G847" s="27" t="n"/>
      <c r="H847" s="27" t="n"/>
      <c r="I847" s="27" t="n"/>
      <c r="J847" s="27" t="n"/>
      <c r="K847" s="27" t="n"/>
      <c r="L847" s="27" t="n"/>
      <c r="M847" s="27" t="n"/>
      <c r="N847" s="27" t="n"/>
      <c r="O847" s="27" t="n"/>
      <c r="P847" s="27" t="n"/>
      <c r="Q847" s="27" t="n"/>
      <c r="R847" s="27" t="n"/>
      <c r="S847" s="27" t="n"/>
      <c r="T847" s="27" t="n"/>
      <c r="U847" s="27" t="n"/>
      <c r="V847" s="27" t="n"/>
      <c r="W847" s="27" t="n"/>
      <c r="X847" s="27" t="n"/>
      <c r="Y847" s="27" t="n"/>
      <c r="Z847" s="27" t="n"/>
    </row>
    <row r="848" ht="16.5" customHeight="1" s="117">
      <c r="A848" s="27" t="n"/>
      <c r="B848" s="27" t="n"/>
      <c r="C848" s="27" t="n"/>
      <c r="D848" s="27" t="n"/>
      <c r="E848" s="27" t="n"/>
      <c r="F848" s="27" t="n"/>
      <c r="G848" s="27" t="n"/>
      <c r="H848" s="27" t="n"/>
      <c r="I848" s="27" t="n"/>
      <c r="J848" s="27" t="n"/>
      <c r="K848" s="27" t="n"/>
      <c r="L848" s="27" t="n"/>
      <c r="M848" s="27" t="n"/>
      <c r="N848" s="27" t="n"/>
      <c r="O848" s="27" t="n"/>
      <c r="P848" s="27" t="n"/>
      <c r="Q848" s="27" t="n"/>
      <c r="R848" s="27" t="n"/>
      <c r="S848" s="27" t="n"/>
      <c r="T848" s="27" t="n"/>
      <c r="U848" s="27" t="n"/>
      <c r="V848" s="27" t="n"/>
      <c r="W848" s="27" t="n"/>
      <c r="X848" s="27" t="n"/>
      <c r="Y848" s="27" t="n"/>
      <c r="Z848" s="27" t="n"/>
    </row>
    <row r="849" ht="16.5" customHeight="1" s="117">
      <c r="A849" s="27" t="n"/>
      <c r="B849" s="27" t="n"/>
      <c r="C849" s="27" t="n"/>
      <c r="D849" s="27" t="n"/>
      <c r="E849" s="27" t="n"/>
      <c r="F849" s="27" t="n"/>
      <c r="G849" s="27" t="n"/>
      <c r="H849" s="27" t="n"/>
      <c r="I849" s="27" t="n"/>
      <c r="J849" s="27" t="n"/>
      <c r="K849" s="27" t="n"/>
      <c r="L849" s="27" t="n"/>
      <c r="M849" s="27" t="n"/>
      <c r="N849" s="27" t="n"/>
      <c r="O849" s="27" t="n"/>
      <c r="P849" s="27" t="n"/>
      <c r="Q849" s="27" t="n"/>
      <c r="R849" s="27" t="n"/>
      <c r="S849" s="27" t="n"/>
      <c r="T849" s="27" t="n"/>
      <c r="U849" s="27" t="n"/>
      <c r="V849" s="27" t="n"/>
      <c r="W849" s="27" t="n"/>
      <c r="X849" s="27" t="n"/>
      <c r="Y849" s="27" t="n"/>
      <c r="Z849" s="27" t="n"/>
    </row>
    <row r="850" ht="16.5" customHeight="1" s="117">
      <c r="A850" s="27" t="n"/>
      <c r="B850" s="27" t="n"/>
      <c r="C850" s="27" t="n"/>
      <c r="D850" s="27" t="n"/>
      <c r="E850" s="27" t="n"/>
      <c r="F850" s="27" t="n"/>
      <c r="G850" s="27" t="n"/>
      <c r="H850" s="27" t="n"/>
      <c r="I850" s="27" t="n"/>
      <c r="J850" s="27" t="n"/>
      <c r="K850" s="27" t="n"/>
      <c r="L850" s="27" t="n"/>
      <c r="M850" s="27" t="n"/>
      <c r="N850" s="27" t="n"/>
      <c r="O850" s="27" t="n"/>
      <c r="P850" s="27" t="n"/>
      <c r="Q850" s="27" t="n"/>
      <c r="R850" s="27" t="n"/>
      <c r="S850" s="27" t="n"/>
      <c r="T850" s="27" t="n"/>
      <c r="U850" s="27" t="n"/>
      <c r="V850" s="27" t="n"/>
      <c r="W850" s="27" t="n"/>
      <c r="X850" s="27" t="n"/>
      <c r="Y850" s="27" t="n"/>
      <c r="Z850" s="27" t="n"/>
    </row>
    <row r="851" ht="16.5" customHeight="1" s="117">
      <c r="A851" s="27" t="n"/>
      <c r="B851" s="27" t="n"/>
      <c r="C851" s="27" t="n"/>
      <c r="D851" s="27" t="n"/>
      <c r="E851" s="27" t="n"/>
      <c r="F851" s="27" t="n"/>
      <c r="G851" s="27" t="n"/>
      <c r="H851" s="27" t="n"/>
      <c r="I851" s="27" t="n"/>
      <c r="J851" s="27" t="n"/>
      <c r="K851" s="27" t="n"/>
      <c r="L851" s="27" t="n"/>
      <c r="M851" s="27" t="n"/>
      <c r="N851" s="27" t="n"/>
      <c r="O851" s="27" t="n"/>
      <c r="P851" s="27" t="n"/>
      <c r="Q851" s="27" t="n"/>
      <c r="R851" s="27" t="n"/>
      <c r="S851" s="27" t="n"/>
      <c r="T851" s="27" t="n"/>
      <c r="U851" s="27" t="n"/>
      <c r="V851" s="27" t="n"/>
      <c r="W851" s="27" t="n"/>
      <c r="X851" s="27" t="n"/>
      <c r="Y851" s="27" t="n"/>
      <c r="Z851" s="27" t="n"/>
    </row>
    <row r="852" ht="16.5" customHeight="1" s="117">
      <c r="A852" s="27" t="n"/>
      <c r="B852" s="27" t="n"/>
      <c r="C852" s="27" t="n"/>
      <c r="D852" s="27" t="n"/>
      <c r="E852" s="27" t="n"/>
      <c r="F852" s="27" t="n"/>
      <c r="G852" s="27" t="n"/>
      <c r="H852" s="27" t="n"/>
      <c r="I852" s="27" t="n"/>
      <c r="J852" s="27" t="n"/>
      <c r="K852" s="27" t="n"/>
      <c r="L852" s="27" t="n"/>
      <c r="M852" s="27" t="n"/>
      <c r="N852" s="27" t="n"/>
      <c r="O852" s="27" t="n"/>
      <c r="P852" s="27" t="n"/>
      <c r="Q852" s="27" t="n"/>
      <c r="R852" s="27" t="n"/>
      <c r="S852" s="27" t="n"/>
      <c r="T852" s="27" t="n"/>
      <c r="U852" s="27" t="n"/>
      <c r="V852" s="27" t="n"/>
      <c r="W852" s="27" t="n"/>
      <c r="X852" s="27" t="n"/>
      <c r="Y852" s="27" t="n"/>
      <c r="Z852" s="27" t="n"/>
    </row>
    <row r="853" ht="16.5" customHeight="1" s="117">
      <c r="A853" s="27" t="n"/>
      <c r="B853" s="27" t="n"/>
      <c r="C853" s="27" t="n"/>
      <c r="D853" s="27" t="n"/>
      <c r="E853" s="27" t="n"/>
      <c r="F853" s="27" t="n"/>
      <c r="G853" s="27" t="n"/>
      <c r="H853" s="27" t="n"/>
      <c r="I853" s="27" t="n"/>
      <c r="J853" s="27" t="n"/>
      <c r="K853" s="27" t="n"/>
      <c r="L853" s="27" t="n"/>
      <c r="M853" s="27" t="n"/>
      <c r="N853" s="27" t="n"/>
      <c r="O853" s="27" t="n"/>
      <c r="P853" s="27" t="n"/>
      <c r="Q853" s="27" t="n"/>
      <c r="R853" s="27" t="n"/>
      <c r="S853" s="27" t="n"/>
      <c r="T853" s="27" t="n"/>
      <c r="U853" s="27" t="n"/>
      <c r="V853" s="27" t="n"/>
      <c r="W853" s="27" t="n"/>
      <c r="X853" s="27" t="n"/>
      <c r="Y853" s="27" t="n"/>
      <c r="Z853" s="27" t="n"/>
    </row>
    <row r="854" ht="16.5" customHeight="1" s="117">
      <c r="A854" s="27" t="n"/>
      <c r="B854" s="27" t="n"/>
      <c r="C854" s="27" t="n"/>
      <c r="D854" s="27" t="n"/>
      <c r="E854" s="27" t="n"/>
      <c r="F854" s="27" t="n"/>
      <c r="G854" s="27" t="n"/>
      <c r="H854" s="27" t="n"/>
      <c r="I854" s="27" t="n"/>
      <c r="J854" s="27" t="n"/>
      <c r="K854" s="27" t="n"/>
      <c r="L854" s="27" t="n"/>
      <c r="M854" s="27" t="n"/>
      <c r="N854" s="27" t="n"/>
      <c r="O854" s="27" t="n"/>
      <c r="P854" s="27" t="n"/>
      <c r="Q854" s="27" t="n"/>
      <c r="R854" s="27" t="n"/>
      <c r="S854" s="27" t="n"/>
      <c r="T854" s="27" t="n"/>
      <c r="U854" s="27" t="n"/>
      <c r="V854" s="27" t="n"/>
      <c r="W854" s="27" t="n"/>
      <c r="X854" s="27" t="n"/>
      <c r="Y854" s="27" t="n"/>
      <c r="Z854" s="27" t="n"/>
    </row>
    <row r="855" ht="16.5" customHeight="1" s="117">
      <c r="A855" s="27" t="n"/>
      <c r="B855" s="27" t="n"/>
      <c r="C855" s="27" t="n"/>
      <c r="D855" s="27" t="n"/>
      <c r="E855" s="27" t="n"/>
      <c r="F855" s="27" t="n"/>
      <c r="G855" s="27" t="n"/>
      <c r="H855" s="27" t="n"/>
      <c r="I855" s="27" t="n"/>
      <c r="J855" s="27" t="n"/>
      <c r="K855" s="27" t="n"/>
      <c r="L855" s="27" t="n"/>
      <c r="M855" s="27" t="n"/>
      <c r="N855" s="27" t="n"/>
      <c r="O855" s="27" t="n"/>
      <c r="P855" s="27" t="n"/>
      <c r="Q855" s="27" t="n"/>
      <c r="R855" s="27" t="n"/>
      <c r="S855" s="27" t="n"/>
      <c r="T855" s="27" t="n"/>
      <c r="U855" s="27" t="n"/>
      <c r="V855" s="27" t="n"/>
      <c r="W855" s="27" t="n"/>
      <c r="X855" s="27" t="n"/>
      <c r="Y855" s="27" t="n"/>
      <c r="Z855" s="27" t="n"/>
    </row>
    <row r="856" ht="16.5" customHeight="1" s="117">
      <c r="A856" s="27" t="n"/>
      <c r="B856" s="27" t="n"/>
      <c r="C856" s="27" t="n"/>
      <c r="D856" s="27" t="n"/>
      <c r="E856" s="27" t="n"/>
      <c r="F856" s="27" t="n"/>
      <c r="G856" s="27" t="n"/>
      <c r="H856" s="27" t="n"/>
      <c r="I856" s="27" t="n"/>
      <c r="J856" s="27" t="n"/>
      <c r="K856" s="27" t="n"/>
      <c r="L856" s="27" t="n"/>
      <c r="M856" s="27" t="n"/>
      <c r="N856" s="27" t="n"/>
      <c r="O856" s="27" t="n"/>
      <c r="P856" s="27" t="n"/>
      <c r="Q856" s="27" t="n"/>
      <c r="R856" s="27" t="n"/>
      <c r="S856" s="27" t="n"/>
      <c r="T856" s="27" t="n"/>
      <c r="U856" s="27" t="n"/>
      <c r="V856" s="27" t="n"/>
      <c r="W856" s="27" t="n"/>
      <c r="X856" s="27" t="n"/>
      <c r="Y856" s="27" t="n"/>
      <c r="Z856" s="27" t="n"/>
    </row>
    <row r="857" ht="16.5" customHeight="1" s="117">
      <c r="A857" s="27" t="n"/>
      <c r="B857" s="27" t="n"/>
      <c r="C857" s="27" t="n"/>
      <c r="D857" s="27" t="n"/>
      <c r="E857" s="27" t="n"/>
      <c r="F857" s="27" t="n"/>
      <c r="G857" s="27" t="n"/>
      <c r="H857" s="27" t="n"/>
      <c r="I857" s="27" t="n"/>
      <c r="J857" s="27" t="n"/>
      <c r="K857" s="27" t="n"/>
      <c r="L857" s="27" t="n"/>
      <c r="M857" s="27" t="n"/>
      <c r="N857" s="27" t="n"/>
      <c r="O857" s="27" t="n"/>
      <c r="P857" s="27" t="n"/>
      <c r="Q857" s="27" t="n"/>
      <c r="R857" s="27" t="n"/>
      <c r="S857" s="27" t="n"/>
      <c r="T857" s="27" t="n"/>
      <c r="U857" s="27" t="n"/>
      <c r="V857" s="27" t="n"/>
      <c r="W857" s="27" t="n"/>
      <c r="X857" s="27" t="n"/>
      <c r="Y857" s="27" t="n"/>
      <c r="Z857" s="27" t="n"/>
    </row>
    <row r="858" ht="16.5" customHeight="1" s="117">
      <c r="A858" s="27" t="n"/>
      <c r="B858" s="27" t="n"/>
      <c r="C858" s="27" t="n"/>
      <c r="D858" s="27" t="n"/>
      <c r="E858" s="27" t="n"/>
      <c r="F858" s="27" t="n"/>
      <c r="G858" s="27" t="n"/>
      <c r="H858" s="27" t="n"/>
      <c r="I858" s="27" t="n"/>
      <c r="J858" s="27" t="n"/>
      <c r="K858" s="27" t="n"/>
      <c r="L858" s="27" t="n"/>
      <c r="M858" s="27" t="n"/>
      <c r="N858" s="27" t="n"/>
      <c r="O858" s="27" t="n"/>
      <c r="P858" s="27" t="n"/>
      <c r="Q858" s="27" t="n"/>
      <c r="R858" s="27" t="n"/>
      <c r="S858" s="27" t="n"/>
      <c r="T858" s="27" t="n"/>
      <c r="U858" s="27" t="n"/>
      <c r="V858" s="27" t="n"/>
      <c r="W858" s="27" t="n"/>
      <c r="X858" s="27" t="n"/>
      <c r="Y858" s="27" t="n"/>
      <c r="Z858" s="27" t="n"/>
    </row>
    <row r="859" ht="16.5" customHeight="1" s="117">
      <c r="A859" s="27" t="n"/>
      <c r="B859" s="27" t="n"/>
      <c r="C859" s="27" t="n"/>
      <c r="D859" s="27" t="n"/>
      <c r="E859" s="27" t="n"/>
      <c r="F859" s="27" t="n"/>
      <c r="G859" s="27" t="n"/>
      <c r="H859" s="27" t="n"/>
      <c r="I859" s="27" t="n"/>
      <c r="J859" s="27" t="n"/>
      <c r="K859" s="27" t="n"/>
      <c r="L859" s="27" t="n"/>
      <c r="M859" s="27" t="n"/>
      <c r="N859" s="27" t="n"/>
      <c r="O859" s="27" t="n"/>
      <c r="P859" s="27" t="n"/>
      <c r="Q859" s="27" t="n"/>
      <c r="R859" s="27" t="n"/>
      <c r="S859" s="27" t="n"/>
      <c r="T859" s="27" t="n"/>
      <c r="U859" s="27" t="n"/>
      <c r="V859" s="27" t="n"/>
      <c r="W859" s="27" t="n"/>
      <c r="X859" s="27" t="n"/>
      <c r="Y859" s="27" t="n"/>
      <c r="Z859" s="27" t="n"/>
    </row>
    <row r="860" ht="16.5" customHeight="1" s="117">
      <c r="A860" s="27" t="n"/>
      <c r="B860" s="27" t="n"/>
      <c r="C860" s="27" t="n"/>
      <c r="D860" s="27" t="n"/>
      <c r="E860" s="27" t="n"/>
      <c r="F860" s="27" t="n"/>
      <c r="G860" s="27" t="n"/>
      <c r="H860" s="27" t="n"/>
      <c r="I860" s="27" t="n"/>
      <c r="J860" s="27" t="n"/>
      <c r="K860" s="27" t="n"/>
      <c r="L860" s="27" t="n"/>
      <c r="M860" s="27" t="n"/>
      <c r="N860" s="27" t="n"/>
      <c r="O860" s="27" t="n"/>
      <c r="P860" s="27" t="n"/>
      <c r="Q860" s="27" t="n"/>
      <c r="R860" s="27" t="n"/>
      <c r="S860" s="27" t="n"/>
      <c r="T860" s="27" t="n"/>
      <c r="U860" s="27" t="n"/>
      <c r="V860" s="27" t="n"/>
      <c r="W860" s="27" t="n"/>
      <c r="X860" s="27" t="n"/>
      <c r="Y860" s="27" t="n"/>
      <c r="Z860" s="27" t="n"/>
    </row>
    <row r="861" ht="16.5" customHeight="1" s="117">
      <c r="A861" s="27" t="n"/>
      <c r="B861" s="27" t="n"/>
      <c r="C861" s="27" t="n"/>
      <c r="D861" s="27" t="n"/>
      <c r="E861" s="27" t="n"/>
      <c r="F861" s="27" t="n"/>
      <c r="G861" s="27" t="n"/>
      <c r="H861" s="27" t="n"/>
      <c r="I861" s="27" t="n"/>
      <c r="J861" s="27" t="n"/>
      <c r="K861" s="27" t="n"/>
      <c r="L861" s="27" t="n"/>
      <c r="M861" s="27" t="n"/>
      <c r="N861" s="27" t="n"/>
      <c r="O861" s="27" t="n"/>
      <c r="P861" s="27" t="n"/>
      <c r="Q861" s="27" t="n"/>
      <c r="R861" s="27" t="n"/>
      <c r="S861" s="27" t="n"/>
      <c r="T861" s="27" t="n"/>
      <c r="U861" s="27" t="n"/>
      <c r="V861" s="27" t="n"/>
      <c r="W861" s="27" t="n"/>
      <c r="X861" s="27" t="n"/>
      <c r="Y861" s="27" t="n"/>
      <c r="Z861" s="27" t="n"/>
    </row>
    <row r="862" ht="16.5" customHeight="1" s="117">
      <c r="A862" s="27" t="n"/>
      <c r="B862" s="27" t="n"/>
      <c r="C862" s="27" t="n"/>
      <c r="D862" s="27" t="n"/>
      <c r="E862" s="27" t="n"/>
      <c r="F862" s="27" t="n"/>
      <c r="G862" s="27" t="n"/>
      <c r="H862" s="27" t="n"/>
      <c r="I862" s="27" t="n"/>
      <c r="J862" s="27" t="n"/>
      <c r="K862" s="27" t="n"/>
      <c r="L862" s="27" t="n"/>
      <c r="M862" s="27" t="n"/>
      <c r="N862" s="27" t="n"/>
      <c r="O862" s="27" t="n"/>
      <c r="P862" s="27" t="n"/>
      <c r="Q862" s="27" t="n"/>
      <c r="R862" s="27" t="n"/>
      <c r="S862" s="27" t="n"/>
      <c r="T862" s="27" t="n"/>
      <c r="U862" s="27" t="n"/>
      <c r="V862" s="27" t="n"/>
      <c r="W862" s="27" t="n"/>
      <c r="X862" s="27" t="n"/>
      <c r="Y862" s="27" t="n"/>
      <c r="Z862" s="27" t="n"/>
    </row>
    <row r="863" ht="16.5" customHeight="1" s="117">
      <c r="A863" s="27" t="n"/>
      <c r="B863" s="27" t="n"/>
      <c r="C863" s="27" t="n"/>
      <c r="D863" s="27" t="n"/>
      <c r="E863" s="27" t="n"/>
      <c r="F863" s="27" t="n"/>
      <c r="G863" s="27" t="n"/>
      <c r="H863" s="27" t="n"/>
      <c r="I863" s="27" t="n"/>
      <c r="J863" s="27" t="n"/>
      <c r="K863" s="27" t="n"/>
      <c r="L863" s="27" t="n"/>
      <c r="M863" s="27" t="n"/>
      <c r="N863" s="27" t="n"/>
      <c r="O863" s="27" t="n"/>
      <c r="P863" s="27" t="n"/>
      <c r="Q863" s="27" t="n"/>
      <c r="R863" s="27" t="n"/>
      <c r="S863" s="27" t="n"/>
      <c r="T863" s="27" t="n"/>
      <c r="U863" s="27" t="n"/>
      <c r="V863" s="27" t="n"/>
      <c r="W863" s="27" t="n"/>
      <c r="X863" s="27" t="n"/>
      <c r="Y863" s="27" t="n"/>
      <c r="Z863" s="27" t="n"/>
    </row>
    <row r="864" ht="16.5" customHeight="1" s="117">
      <c r="A864" s="27" t="n"/>
      <c r="B864" s="27" t="n"/>
      <c r="C864" s="27" t="n"/>
      <c r="D864" s="27" t="n"/>
      <c r="E864" s="27" t="n"/>
      <c r="F864" s="27" t="n"/>
      <c r="G864" s="27" t="n"/>
      <c r="H864" s="27" t="n"/>
      <c r="I864" s="27" t="n"/>
      <c r="J864" s="27" t="n"/>
      <c r="K864" s="27" t="n"/>
      <c r="L864" s="27" t="n"/>
      <c r="M864" s="27" t="n"/>
      <c r="N864" s="27" t="n"/>
      <c r="O864" s="27" t="n"/>
      <c r="P864" s="27" t="n"/>
      <c r="Q864" s="27" t="n"/>
      <c r="R864" s="27" t="n"/>
      <c r="S864" s="27" t="n"/>
      <c r="T864" s="27" t="n"/>
      <c r="U864" s="27" t="n"/>
      <c r="V864" s="27" t="n"/>
      <c r="W864" s="27" t="n"/>
      <c r="X864" s="27" t="n"/>
      <c r="Y864" s="27" t="n"/>
      <c r="Z864" s="27" t="n"/>
    </row>
    <row r="865" ht="16.5" customHeight="1" s="117">
      <c r="A865" s="27" t="n"/>
      <c r="B865" s="27" t="n"/>
      <c r="C865" s="27" t="n"/>
      <c r="D865" s="27" t="n"/>
      <c r="E865" s="27" t="n"/>
      <c r="F865" s="27" t="n"/>
      <c r="G865" s="27" t="n"/>
      <c r="H865" s="27" t="n"/>
      <c r="I865" s="27" t="n"/>
      <c r="J865" s="27" t="n"/>
      <c r="K865" s="27" t="n"/>
      <c r="L865" s="27" t="n"/>
      <c r="M865" s="27" t="n"/>
      <c r="N865" s="27" t="n"/>
      <c r="O865" s="27" t="n"/>
      <c r="P865" s="27" t="n"/>
      <c r="Q865" s="27" t="n"/>
      <c r="R865" s="27" t="n"/>
      <c r="S865" s="27" t="n"/>
      <c r="T865" s="27" t="n"/>
      <c r="U865" s="27" t="n"/>
      <c r="V865" s="27" t="n"/>
      <c r="W865" s="27" t="n"/>
      <c r="X865" s="27" t="n"/>
      <c r="Y865" s="27" t="n"/>
      <c r="Z865" s="27" t="n"/>
    </row>
    <row r="866" ht="16.5" customHeight="1" s="117">
      <c r="A866" s="27" t="n"/>
      <c r="B866" s="27" t="n"/>
      <c r="C866" s="27" t="n"/>
      <c r="D866" s="27" t="n"/>
      <c r="E866" s="27" t="n"/>
      <c r="F866" s="27" t="n"/>
      <c r="G866" s="27" t="n"/>
      <c r="H866" s="27" t="n"/>
      <c r="I866" s="27" t="n"/>
      <c r="J866" s="27" t="n"/>
      <c r="K866" s="27" t="n"/>
      <c r="L866" s="27" t="n"/>
      <c r="M866" s="27" t="n"/>
      <c r="N866" s="27" t="n"/>
      <c r="O866" s="27" t="n"/>
      <c r="P866" s="27" t="n"/>
      <c r="Q866" s="27" t="n"/>
      <c r="R866" s="27" t="n"/>
      <c r="S866" s="27" t="n"/>
      <c r="T866" s="27" t="n"/>
      <c r="U866" s="27" t="n"/>
      <c r="V866" s="27" t="n"/>
      <c r="W866" s="27" t="n"/>
      <c r="X866" s="27" t="n"/>
      <c r="Y866" s="27" t="n"/>
      <c r="Z866" s="27" t="n"/>
    </row>
    <row r="867" ht="16.5" customHeight="1" s="117">
      <c r="A867" s="27" t="n"/>
      <c r="B867" s="27" t="n"/>
      <c r="C867" s="27" t="n"/>
      <c r="D867" s="27" t="n"/>
      <c r="E867" s="27" t="n"/>
      <c r="F867" s="27" t="n"/>
      <c r="G867" s="27" t="n"/>
      <c r="H867" s="27" t="n"/>
      <c r="I867" s="27" t="n"/>
      <c r="J867" s="27" t="n"/>
      <c r="K867" s="27" t="n"/>
      <c r="L867" s="27" t="n"/>
      <c r="M867" s="27" t="n"/>
      <c r="N867" s="27" t="n"/>
      <c r="O867" s="27" t="n"/>
      <c r="P867" s="27" t="n"/>
      <c r="Q867" s="27" t="n"/>
      <c r="R867" s="27" t="n"/>
      <c r="S867" s="27" t="n"/>
      <c r="T867" s="27" t="n"/>
      <c r="U867" s="27" t="n"/>
      <c r="V867" s="27" t="n"/>
      <c r="W867" s="27" t="n"/>
      <c r="X867" s="27" t="n"/>
      <c r="Y867" s="27" t="n"/>
      <c r="Z867" s="27" t="n"/>
    </row>
    <row r="868" ht="16.5" customHeight="1" s="117">
      <c r="A868" s="27" t="n"/>
      <c r="B868" s="27" t="n"/>
      <c r="C868" s="27" t="n"/>
      <c r="D868" s="27" t="n"/>
      <c r="E868" s="27" t="n"/>
      <c r="F868" s="27" t="n"/>
      <c r="G868" s="27" t="n"/>
      <c r="H868" s="27" t="n"/>
      <c r="I868" s="27" t="n"/>
      <c r="J868" s="27" t="n"/>
      <c r="K868" s="27" t="n"/>
      <c r="L868" s="27" t="n"/>
      <c r="M868" s="27" t="n"/>
      <c r="N868" s="27" t="n"/>
      <c r="O868" s="27" t="n"/>
      <c r="P868" s="27" t="n"/>
      <c r="Q868" s="27" t="n"/>
      <c r="R868" s="27" t="n"/>
      <c r="S868" s="27" t="n"/>
      <c r="T868" s="27" t="n"/>
      <c r="U868" s="27" t="n"/>
      <c r="V868" s="27" t="n"/>
      <c r="W868" s="27" t="n"/>
      <c r="X868" s="27" t="n"/>
      <c r="Y868" s="27" t="n"/>
      <c r="Z868" s="27" t="n"/>
    </row>
    <row r="869" ht="16.5" customHeight="1" s="117">
      <c r="A869" s="27" t="n"/>
      <c r="B869" s="27" t="n"/>
      <c r="C869" s="27" t="n"/>
      <c r="D869" s="27" t="n"/>
      <c r="E869" s="27" t="n"/>
      <c r="F869" s="27" t="n"/>
      <c r="G869" s="27" t="n"/>
      <c r="H869" s="27" t="n"/>
      <c r="I869" s="27" t="n"/>
      <c r="J869" s="27" t="n"/>
      <c r="K869" s="27" t="n"/>
      <c r="L869" s="27" t="n"/>
      <c r="M869" s="27" t="n"/>
      <c r="N869" s="27" t="n"/>
      <c r="O869" s="27" t="n"/>
      <c r="P869" s="27" t="n"/>
      <c r="Q869" s="27" t="n"/>
      <c r="R869" s="27" t="n"/>
      <c r="S869" s="27" t="n"/>
      <c r="T869" s="27" t="n"/>
      <c r="U869" s="27" t="n"/>
      <c r="V869" s="27" t="n"/>
      <c r="W869" s="27" t="n"/>
      <c r="X869" s="27" t="n"/>
      <c r="Y869" s="27" t="n"/>
      <c r="Z869" s="27" t="n"/>
    </row>
    <row r="870" ht="16.5" customHeight="1" s="117">
      <c r="A870" s="27" t="n"/>
      <c r="B870" s="27" t="n"/>
      <c r="C870" s="27" t="n"/>
      <c r="D870" s="27" t="n"/>
      <c r="E870" s="27" t="n"/>
      <c r="F870" s="27" t="n"/>
      <c r="G870" s="27" t="n"/>
      <c r="H870" s="27" t="n"/>
      <c r="I870" s="27" t="n"/>
      <c r="J870" s="27" t="n"/>
      <c r="K870" s="27" t="n"/>
      <c r="L870" s="27" t="n"/>
      <c r="M870" s="27" t="n"/>
      <c r="N870" s="27" t="n"/>
      <c r="O870" s="27" t="n"/>
      <c r="P870" s="27" t="n"/>
      <c r="Q870" s="27" t="n"/>
      <c r="R870" s="27" t="n"/>
      <c r="S870" s="27" t="n"/>
      <c r="T870" s="27" t="n"/>
      <c r="U870" s="27" t="n"/>
      <c r="V870" s="27" t="n"/>
      <c r="W870" s="27" t="n"/>
      <c r="X870" s="27" t="n"/>
      <c r="Y870" s="27" t="n"/>
      <c r="Z870" s="27" t="n"/>
    </row>
    <row r="871" ht="16.5" customHeight="1" s="117">
      <c r="A871" s="27" t="n"/>
      <c r="B871" s="27" t="n"/>
      <c r="C871" s="27" t="n"/>
      <c r="D871" s="27" t="n"/>
      <c r="E871" s="27" t="n"/>
      <c r="F871" s="27" t="n"/>
      <c r="G871" s="27" t="n"/>
      <c r="H871" s="27" t="n"/>
      <c r="I871" s="27" t="n"/>
      <c r="J871" s="27" t="n"/>
      <c r="K871" s="27" t="n"/>
      <c r="L871" s="27" t="n"/>
      <c r="M871" s="27" t="n"/>
      <c r="N871" s="27" t="n"/>
      <c r="O871" s="27" t="n"/>
      <c r="P871" s="27" t="n"/>
      <c r="Q871" s="27" t="n"/>
      <c r="R871" s="27" t="n"/>
      <c r="S871" s="27" t="n"/>
      <c r="T871" s="27" t="n"/>
      <c r="U871" s="27" t="n"/>
      <c r="V871" s="27" t="n"/>
      <c r="W871" s="27" t="n"/>
      <c r="X871" s="27" t="n"/>
      <c r="Y871" s="27" t="n"/>
      <c r="Z871" s="27" t="n"/>
    </row>
    <row r="872" ht="16.5" customHeight="1" s="117">
      <c r="A872" s="27" t="n"/>
      <c r="B872" s="27" t="n"/>
      <c r="C872" s="27" t="n"/>
      <c r="D872" s="27" t="n"/>
      <c r="E872" s="27" t="n"/>
      <c r="F872" s="27" t="n"/>
      <c r="G872" s="27" t="n"/>
      <c r="H872" s="27" t="n"/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27" t="n"/>
      <c r="R872" s="27" t="n"/>
      <c r="S872" s="27" t="n"/>
      <c r="T872" s="27" t="n"/>
      <c r="U872" s="27" t="n"/>
      <c r="V872" s="27" t="n"/>
      <c r="W872" s="27" t="n"/>
      <c r="X872" s="27" t="n"/>
      <c r="Y872" s="27" t="n"/>
      <c r="Z872" s="27" t="n"/>
    </row>
    <row r="873" ht="16.5" customHeight="1" s="117">
      <c r="A873" s="27" t="n"/>
      <c r="B873" s="27" t="n"/>
      <c r="C873" s="27" t="n"/>
      <c r="D873" s="27" t="n"/>
      <c r="E873" s="27" t="n"/>
      <c r="F873" s="27" t="n"/>
      <c r="G873" s="27" t="n"/>
      <c r="H873" s="27" t="n"/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27" t="n"/>
      <c r="R873" s="27" t="n"/>
      <c r="S873" s="27" t="n"/>
      <c r="T873" s="27" t="n"/>
      <c r="U873" s="27" t="n"/>
      <c r="V873" s="27" t="n"/>
      <c r="W873" s="27" t="n"/>
      <c r="X873" s="27" t="n"/>
      <c r="Y873" s="27" t="n"/>
      <c r="Z873" s="27" t="n"/>
    </row>
    <row r="874" ht="16.5" customHeight="1" s="117">
      <c r="A874" s="27" t="n"/>
      <c r="B874" s="27" t="n"/>
      <c r="C874" s="27" t="n"/>
      <c r="D874" s="27" t="n"/>
      <c r="E874" s="27" t="n"/>
      <c r="F874" s="27" t="n"/>
      <c r="G874" s="27" t="n"/>
      <c r="H874" s="27" t="n"/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27" t="n"/>
      <c r="R874" s="27" t="n"/>
      <c r="S874" s="27" t="n"/>
      <c r="T874" s="27" t="n"/>
      <c r="U874" s="27" t="n"/>
      <c r="V874" s="27" t="n"/>
      <c r="W874" s="27" t="n"/>
      <c r="X874" s="27" t="n"/>
      <c r="Y874" s="27" t="n"/>
      <c r="Z874" s="27" t="n"/>
    </row>
    <row r="875" ht="16.5" customHeight="1" s="117">
      <c r="A875" s="27" t="n"/>
      <c r="B875" s="27" t="n"/>
      <c r="C875" s="27" t="n"/>
      <c r="D875" s="27" t="n"/>
      <c r="E875" s="27" t="n"/>
      <c r="F875" s="27" t="n"/>
      <c r="G875" s="27" t="n"/>
      <c r="H875" s="27" t="n"/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27" t="n"/>
      <c r="R875" s="27" t="n"/>
      <c r="S875" s="27" t="n"/>
      <c r="T875" s="27" t="n"/>
      <c r="U875" s="27" t="n"/>
      <c r="V875" s="27" t="n"/>
      <c r="W875" s="27" t="n"/>
      <c r="X875" s="27" t="n"/>
      <c r="Y875" s="27" t="n"/>
      <c r="Z875" s="27" t="n"/>
    </row>
    <row r="876" ht="16.5" customHeight="1" s="117">
      <c r="A876" s="27" t="n"/>
      <c r="B876" s="27" t="n"/>
      <c r="C876" s="27" t="n"/>
      <c r="D876" s="27" t="n"/>
      <c r="E876" s="27" t="n"/>
      <c r="F876" s="27" t="n"/>
      <c r="G876" s="27" t="n"/>
      <c r="H876" s="27" t="n"/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27" t="n"/>
      <c r="R876" s="27" t="n"/>
      <c r="S876" s="27" t="n"/>
      <c r="T876" s="27" t="n"/>
      <c r="U876" s="27" t="n"/>
      <c r="V876" s="27" t="n"/>
      <c r="W876" s="27" t="n"/>
      <c r="X876" s="27" t="n"/>
      <c r="Y876" s="27" t="n"/>
      <c r="Z876" s="27" t="n"/>
    </row>
    <row r="877" ht="16.5" customHeight="1" s="117">
      <c r="A877" s="27" t="n"/>
      <c r="B877" s="27" t="n"/>
      <c r="C877" s="27" t="n"/>
      <c r="D877" s="27" t="n"/>
      <c r="E877" s="27" t="n"/>
      <c r="F877" s="27" t="n"/>
      <c r="G877" s="27" t="n"/>
      <c r="H877" s="27" t="n"/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27" t="n"/>
      <c r="R877" s="27" t="n"/>
      <c r="S877" s="27" t="n"/>
      <c r="T877" s="27" t="n"/>
      <c r="U877" s="27" t="n"/>
      <c r="V877" s="27" t="n"/>
      <c r="W877" s="27" t="n"/>
      <c r="X877" s="27" t="n"/>
      <c r="Y877" s="27" t="n"/>
      <c r="Z877" s="27" t="n"/>
    </row>
    <row r="878" ht="16.5" customHeight="1" s="117">
      <c r="A878" s="27" t="n"/>
      <c r="B878" s="27" t="n"/>
      <c r="C878" s="27" t="n"/>
      <c r="D878" s="27" t="n"/>
      <c r="E878" s="27" t="n"/>
      <c r="F878" s="27" t="n"/>
      <c r="G878" s="27" t="n"/>
      <c r="H878" s="27" t="n"/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27" t="n"/>
      <c r="R878" s="27" t="n"/>
      <c r="S878" s="27" t="n"/>
      <c r="T878" s="27" t="n"/>
      <c r="U878" s="27" t="n"/>
      <c r="V878" s="27" t="n"/>
      <c r="W878" s="27" t="n"/>
      <c r="X878" s="27" t="n"/>
      <c r="Y878" s="27" t="n"/>
      <c r="Z878" s="27" t="n"/>
    </row>
    <row r="879" ht="16.5" customHeight="1" s="117">
      <c r="A879" s="27" t="n"/>
      <c r="B879" s="27" t="n"/>
      <c r="C879" s="27" t="n"/>
      <c r="D879" s="27" t="n"/>
      <c r="E879" s="27" t="n"/>
      <c r="F879" s="27" t="n"/>
      <c r="G879" s="27" t="n"/>
      <c r="H879" s="27" t="n"/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27" t="n"/>
      <c r="R879" s="27" t="n"/>
      <c r="S879" s="27" t="n"/>
      <c r="T879" s="27" t="n"/>
      <c r="U879" s="27" t="n"/>
      <c r="V879" s="27" t="n"/>
      <c r="W879" s="27" t="n"/>
      <c r="X879" s="27" t="n"/>
      <c r="Y879" s="27" t="n"/>
      <c r="Z879" s="27" t="n"/>
    </row>
    <row r="880" ht="16.5" customHeight="1" s="117">
      <c r="A880" s="27" t="n"/>
      <c r="B880" s="27" t="n"/>
      <c r="C880" s="27" t="n"/>
      <c r="D880" s="27" t="n"/>
      <c r="E880" s="27" t="n"/>
      <c r="F880" s="27" t="n"/>
      <c r="G880" s="27" t="n"/>
      <c r="H880" s="27" t="n"/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27" t="n"/>
      <c r="R880" s="27" t="n"/>
      <c r="S880" s="27" t="n"/>
      <c r="T880" s="27" t="n"/>
      <c r="U880" s="27" t="n"/>
      <c r="V880" s="27" t="n"/>
      <c r="W880" s="27" t="n"/>
      <c r="X880" s="27" t="n"/>
      <c r="Y880" s="27" t="n"/>
      <c r="Z880" s="27" t="n"/>
    </row>
    <row r="881" ht="16.5" customHeight="1" s="117">
      <c r="A881" s="27" t="n"/>
      <c r="B881" s="27" t="n"/>
      <c r="C881" s="27" t="n"/>
      <c r="D881" s="27" t="n"/>
      <c r="E881" s="27" t="n"/>
      <c r="F881" s="27" t="n"/>
      <c r="G881" s="27" t="n"/>
      <c r="H881" s="27" t="n"/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27" t="n"/>
      <c r="R881" s="27" t="n"/>
      <c r="S881" s="27" t="n"/>
      <c r="T881" s="27" t="n"/>
      <c r="U881" s="27" t="n"/>
      <c r="V881" s="27" t="n"/>
      <c r="W881" s="27" t="n"/>
      <c r="X881" s="27" t="n"/>
      <c r="Y881" s="27" t="n"/>
      <c r="Z881" s="27" t="n"/>
    </row>
    <row r="882" ht="16.5" customHeight="1" s="117">
      <c r="A882" s="27" t="n"/>
      <c r="B882" s="27" t="n"/>
      <c r="C882" s="27" t="n"/>
      <c r="D882" s="27" t="n"/>
      <c r="E882" s="27" t="n"/>
      <c r="F882" s="27" t="n"/>
      <c r="G882" s="27" t="n"/>
      <c r="H882" s="27" t="n"/>
      <c r="I882" s="27" t="n"/>
      <c r="J882" s="27" t="n"/>
      <c r="K882" s="27" t="n"/>
      <c r="L882" s="27" t="n"/>
      <c r="M882" s="27" t="n"/>
      <c r="N882" s="27" t="n"/>
      <c r="O882" s="27" t="n"/>
      <c r="P882" s="27" t="n"/>
      <c r="Q882" s="27" t="n"/>
      <c r="R882" s="27" t="n"/>
      <c r="S882" s="27" t="n"/>
      <c r="T882" s="27" t="n"/>
      <c r="U882" s="27" t="n"/>
      <c r="V882" s="27" t="n"/>
      <c r="W882" s="27" t="n"/>
      <c r="X882" s="27" t="n"/>
      <c r="Y882" s="27" t="n"/>
      <c r="Z882" s="27" t="n"/>
    </row>
    <row r="883" ht="16.5" customHeight="1" s="117">
      <c r="A883" s="27" t="n"/>
      <c r="B883" s="27" t="n"/>
      <c r="C883" s="27" t="n"/>
      <c r="D883" s="27" t="n"/>
      <c r="E883" s="27" t="n"/>
      <c r="F883" s="27" t="n"/>
      <c r="G883" s="27" t="n"/>
      <c r="H883" s="27" t="n"/>
      <c r="I883" s="27" t="n"/>
      <c r="J883" s="27" t="n"/>
      <c r="K883" s="27" t="n"/>
      <c r="L883" s="27" t="n"/>
      <c r="M883" s="27" t="n"/>
      <c r="N883" s="27" t="n"/>
      <c r="O883" s="27" t="n"/>
      <c r="P883" s="27" t="n"/>
      <c r="Q883" s="27" t="n"/>
      <c r="R883" s="27" t="n"/>
      <c r="S883" s="27" t="n"/>
      <c r="T883" s="27" t="n"/>
      <c r="U883" s="27" t="n"/>
      <c r="V883" s="27" t="n"/>
      <c r="W883" s="27" t="n"/>
      <c r="X883" s="27" t="n"/>
      <c r="Y883" s="27" t="n"/>
      <c r="Z883" s="27" t="n"/>
    </row>
    <row r="884" ht="16.5" customHeight="1" s="117">
      <c r="A884" s="27" t="n"/>
      <c r="B884" s="27" t="n"/>
      <c r="C884" s="27" t="n"/>
      <c r="D884" s="27" t="n"/>
      <c r="E884" s="27" t="n"/>
      <c r="F884" s="27" t="n"/>
      <c r="G884" s="27" t="n"/>
      <c r="H884" s="27" t="n"/>
      <c r="I884" s="27" t="n"/>
      <c r="J884" s="27" t="n"/>
      <c r="K884" s="27" t="n"/>
      <c r="L884" s="27" t="n"/>
      <c r="M884" s="27" t="n"/>
      <c r="N884" s="27" t="n"/>
      <c r="O884" s="27" t="n"/>
      <c r="P884" s="27" t="n"/>
      <c r="Q884" s="27" t="n"/>
      <c r="R884" s="27" t="n"/>
      <c r="S884" s="27" t="n"/>
      <c r="T884" s="27" t="n"/>
      <c r="U884" s="27" t="n"/>
      <c r="V884" s="27" t="n"/>
      <c r="W884" s="27" t="n"/>
      <c r="X884" s="27" t="n"/>
      <c r="Y884" s="27" t="n"/>
      <c r="Z884" s="27" t="n"/>
    </row>
    <row r="885" ht="16.5" customHeight="1" s="117">
      <c r="A885" s="27" t="n"/>
      <c r="B885" s="27" t="n"/>
      <c r="C885" s="27" t="n"/>
      <c r="D885" s="27" t="n"/>
      <c r="E885" s="27" t="n"/>
      <c r="F885" s="27" t="n"/>
      <c r="G885" s="27" t="n"/>
      <c r="H885" s="27" t="n"/>
      <c r="I885" s="27" t="n"/>
      <c r="J885" s="27" t="n"/>
      <c r="K885" s="27" t="n"/>
      <c r="L885" s="27" t="n"/>
      <c r="M885" s="27" t="n"/>
      <c r="N885" s="27" t="n"/>
      <c r="O885" s="27" t="n"/>
      <c r="P885" s="27" t="n"/>
      <c r="Q885" s="27" t="n"/>
      <c r="R885" s="27" t="n"/>
      <c r="S885" s="27" t="n"/>
      <c r="T885" s="27" t="n"/>
      <c r="U885" s="27" t="n"/>
      <c r="V885" s="27" t="n"/>
      <c r="W885" s="27" t="n"/>
      <c r="X885" s="27" t="n"/>
      <c r="Y885" s="27" t="n"/>
      <c r="Z885" s="27" t="n"/>
    </row>
    <row r="886" ht="16.5" customHeight="1" s="117">
      <c r="A886" s="27" t="n"/>
      <c r="B886" s="27" t="n"/>
      <c r="C886" s="27" t="n"/>
      <c r="D886" s="27" t="n"/>
      <c r="E886" s="27" t="n"/>
      <c r="F886" s="27" t="n"/>
      <c r="G886" s="27" t="n"/>
      <c r="H886" s="27" t="n"/>
      <c r="I886" s="27" t="n"/>
      <c r="J886" s="27" t="n"/>
      <c r="K886" s="27" t="n"/>
      <c r="L886" s="27" t="n"/>
      <c r="M886" s="27" t="n"/>
      <c r="N886" s="27" t="n"/>
      <c r="O886" s="27" t="n"/>
      <c r="P886" s="27" t="n"/>
      <c r="Q886" s="27" t="n"/>
      <c r="R886" s="27" t="n"/>
      <c r="S886" s="27" t="n"/>
      <c r="T886" s="27" t="n"/>
      <c r="U886" s="27" t="n"/>
      <c r="V886" s="27" t="n"/>
      <c r="W886" s="27" t="n"/>
      <c r="X886" s="27" t="n"/>
      <c r="Y886" s="27" t="n"/>
      <c r="Z886" s="27" t="n"/>
    </row>
    <row r="887" ht="16.5" customHeight="1" s="117">
      <c r="A887" s="27" t="n"/>
      <c r="B887" s="27" t="n"/>
      <c r="C887" s="27" t="n"/>
      <c r="D887" s="27" t="n"/>
      <c r="E887" s="27" t="n"/>
      <c r="F887" s="27" t="n"/>
      <c r="G887" s="27" t="n"/>
      <c r="H887" s="27" t="n"/>
      <c r="I887" s="27" t="n"/>
      <c r="J887" s="27" t="n"/>
      <c r="K887" s="27" t="n"/>
      <c r="L887" s="27" t="n"/>
      <c r="M887" s="27" t="n"/>
      <c r="N887" s="27" t="n"/>
      <c r="O887" s="27" t="n"/>
      <c r="P887" s="27" t="n"/>
      <c r="Q887" s="27" t="n"/>
      <c r="R887" s="27" t="n"/>
      <c r="S887" s="27" t="n"/>
      <c r="T887" s="27" t="n"/>
      <c r="U887" s="27" t="n"/>
      <c r="V887" s="27" t="n"/>
      <c r="W887" s="27" t="n"/>
      <c r="X887" s="27" t="n"/>
      <c r="Y887" s="27" t="n"/>
      <c r="Z887" s="27" t="n"/>
    </row>
    <row r="888" ht="16.5" customHeight="1" s="117">
      <c r="A888" s="27" t="n"/>
      <c r="B888" s="27" t="n"/>
      <c r="C888" s="27" t="n"/>
      <c r="D888" s="27" t="n"/>
      <c r="E888" s="27" t="n"/>
      <c r="F888" s="27" t="n"/>
      <c r="G888" s="27" t="n"/>
      <c r="H888" s="27" t="n"/>
      <c r="I888" s="27" t="n"/>
      <c r="J888" s="27" t="n"/>
      <c r="K888" s="27" t="n"/>
      <c r="L888" s="27" t="n"/>
      <c r="M888" s="27" t="n"/>
      <c r="N888" s="27" t="n"/>
      <c r="O888" s="27" t="n"/>
      <c r="P888" s="27" t="n"/>
      <c r="Q888" s="27" t="n"/>
      <c r="R888" s="27" t="n"/>
      <c r="S888" s="27" t="n"/>
      <c r="T888" s="27" t="n"/>
      <c r="U888" s="27" t="n"/>
      <c r="V888" s="27" t="n"/>
      <c r="W888" s="27" t="n"/>
      <c r="X888" s="27" t="n"/>
      <c r="Y888" s="27" t="n"/>
      <c r="Z888" s="27" t="n"/>
    </row>
    <row r="889" ht="16.5" customHeight="1" s="117">
      <c r="A889" s="27" t="n"/>
      <c r="B889" s="27" t="n"/>
      <c r="C889" s="27" t="n"/>
      <c r="D889" s="27" t="n"/>
      <c r="E889" s="27" t="n"/>
      <c r="F889" s="27" t="n"/>
      <c r="G889" s="27" t="n"/>
      <c r="H889" s="27" t="n"/>
      <c r="I889" s="27" t="n"/>
      <c r="J889" s="27" t="n"/>
      <c r="K889" s="27" t="n"/>
      <c r="L889" s="27" t="n"/>
      <c r="M889" s="27" t="n"/>
      <c r="N889" s="27" t="n"/>
      <c r="O889" s="27" t="n"/>
      <c r="P889" s="27" t="n"/>
      <c r="Q889" s="27" t="n"/>
      <c r="R889" s="27" t="n"/>
      <c r="S889" s="27" t="n"/>
      <c r="T889" s="27" t="n"/>
      <c r="U889" s="27" t="n"/>
      <c r="V889" s="27" t="n"/>
      <c r="W889" s="27" t="n"/>
      <c r="X889" s="27" t="n"/>
      <c r="Y889" s="27" t="n"/>
      <c r="Z889" s="27" t="n"/>
    </row>
    <row r="890" ht="16.5" customHeight="1" s="117">
      <c r="A890" s="27" t="n"/>
      <c r="B890" s="27" t="n"/>
      <c r="C890" s="27" t="n"/>
      <c r="D890" s="27" t="n"/>
      <c r="E890" s="27" t="n"/>
      <c r="F890" s="27" t="n"/>
      <c r="G890" s="27" t="n"/>
      <c r="H890" s="27" t="n"/>
      <c r="I890" s="27" t="n"/>
      <c r="J890" s="27" t="n"/>
      <c r="K890" s="27" t="n"/>
      <c r="L890" s="27" t="n"/>
      <c r="M890" s="27" t="n"/>
      <c r="N890" s="27" t="n"/>
      <c r="O890" s="27" t="n"/>
      <c r="P890" s="27" t="n"/>
      <c r="Q890" s="27" t="n"/>
      <c r="R890" s="27" t="n"/>
      <c r="S890" s="27" t="n"/>
      <c r="T890" s="27" t="n"/>
      <c r="U890" s="27" t="n"/>
      <c r="V890" s="27" t="n"/>
      <c r="W890" s="27" t="n"/>
      <c r="X890" s="27" t="n"/>
      <c r="Y890" s="27" t="n"/>
      <c r="Z890" s="27" t="n"/>
    </row>
    <row r="891" ht="16.5" customHeight="1" s="117">
      <c r="A891" s="27" t="n"/>
      <c r="B891" s="27" t="n"/>
      <c r="C891" s="27" t="n"/>
      <c r="D891" s="27" t="n"/>
      <c r="E891" s="27" t="n"/>
      <c r="F891" s="27" t="n"/>
      <c r="G891" s="27" t="n"/>
      <c r="H891" s="27" t="n"/>
      <c r="I891" s="27" t="n"/>
      <c r="J891" s="27" t="n"/>
      <c r="K891" s="27" t="n"/>
      <c r="L891" s="27" t="n"/>
      <c r="M891" s="27" t="n"/>
      <c r="N891" s="27" t="n"/>
      <c r="O891" s="27" t="n"/>
      <c r="P891" s="27" t="n"/>
      <c r="Q891" s="27" t="n"/>
      <c r="R891" s="27" t="n"/>
      <c r="S891" s="27" t="n"/>
      <c r="T891" s="27" t="n"/>
      <c r="U891" s="27" t="n"/>
      <c r="V891" s="27" t="n"/>
      <c r="W891" s="27" t="n"/>
      <c r="X891" s="27" t="n"/>
      <c r="Y891" s="27" t="n"/>
      <c r="Z891" s="27" t="n"/>
    </row>
    <row r="892" ht="16.5" customHeight="1" s="117">
      <c r="A892" s="27" t="n"/>
      <c r="B892" s="27" t="n"/>
      <c r="C892" s="27" t="n"/>
      <c r="D892" s="27" t="n"/>
      <c r="E892" s="27" t="n"/>
      <c r="F892" s="27" t="n"/>
      <c r="G892" s="27" t="n"/>
      <c r="H892" s="27" t="n"/>
      <c r="I892" s="27" t="n"/>
      <c r="J892" s="27" t="n"/>
      <c r="K892" s="27" t="n"/>
      <c r="L892" s="27" t="n"/>
      <c r="M892" s="27" t="n"/>
      <c r="N892" s="27" t="n"/>
      <c r="O892" s="27" t="n"/>
      <c r="P892" s="27" t="n"/>
      <c r="Q892" s="27" t="n"/>
      <c r="R892" s="27" t="n"/>
      <c r="S892" s="27" t="n"/>
      <c r="T892" s="27" t="n"/>
      <c r="U892" s="27" t="n"/>
      <c r="V892" s="27" t="n"/>
      <c r="W892" s="27" t="n"/>
      <c r="X892" s="27" t="n"/>
      <c r="Y892" s="27" t="n"/>
      <c r="Z892" s="27" t="n"/>
    </row>
    <row r="893" ht="16.5" customHeight="1" s="117">
      <c r="A893" s="27" t="n"/>
      <c r="B893" s="27" t="n"/>
      <c r="C893" s="27" t="n"/>
      <c r="D893" s="27" t="n"/>
      <c r="E893" s="27" t="n"/>
      <c r="F893" s="27" t="n"/>
      <c r="G893" s="27" t="n"/>
      <c r="H893" s="27" t="n"/>
      <c r="I893" s="27" t="n"/>
      <c r="J893" s="27" t="n"/>
      <c r="K893" s="27" t="n"/>
      <c r="L893" s="27" t="n"/>
      <c r="M893" s="27" t="n"/>
      <c r="N893" s="27" t="n"/>
      <c r="O893" s="27" t="n"/>
      <c r="P893" s="27" t="n"/>
      <c r="Q893" s="27" t="n"/>
      <c r="R893" s="27" t="n"/>
      <c r="S893" s="27" t="n"/>
      <c r="T893" s="27" t="n"/>
      <c r="U893" s="27" t="n"/>
      <c r="V893" s="27" t="n"/>
      <c r="W893" s="27" t="n"/>
      <c r="X893" s="27" t="n"/>
      <c r="Y893" s="27" t="n"/>
      <c r="Z893" s="27" t="n"/>
    </row>
    <row r="894" ht="16.5" customHeight="1" s="117">
      <c r="A894" s="27" t="n"/>
      <c r="B894" s="27" t="n"/>
      <c r="C894" s="27" t="n"/>
      <c r="D894" s="27" t="n"/>
      <c r="E894" s="27" t="n"/>
      <c r="F894" s="27" t="n"/>
      <c r="G894" s="27" t="n"/>
      <c r="H894" s="27" t="n"/>
      <c r="I894" s="27" t="n"/>
      <c r="J894" s="27" t="n"/>
      <c r="K894" s="27" t="n"/>
      <c r="L894" s="27" t="n"/>
      <c r="M894" s="27" t="n"/>
      <c r="N894" s="27" t="n"/>
      <c r="O894" s="27" t="n"/>
      <c r="P894" s="27" t="n"/>
      <c r="Q894" s="27" t="n"/>
      <c r="R894" s="27" t="n"/>
      <c r="S894" s="27" t="n"/>
      <c r="T894" s="27" t="n"/>
      <c r="U894" s="27" t="n"/>
      <c r="V894" s="27" t="n"/>
      <c r="W894" s="27" t="n"/>
      <c r="X894" s="27" t="n"/>
      <c r="Y894" s="27" t="n"/>
      <c r="Z894" s="27" t="n"/>
    </row>
    <row r="895" ht="16.5" customHeight="1" s="117">
      <c r="A895" s="27" t="n"/>
      <c r="B895" s="27" t="n"/>
      <c r="C895" s="27" t="n"/>
      <c r="D895" s="27" t="n"/>
      <c r="E895" s="27" t="n"/>
      <c r="F895" s="27" t="n"/>
      <c r="G895" s="27" t="n"/>
      <c r="H895" s="27" t="n"/>
      <c r="I895" s="27" t="n"/>
      <c r="J895" s="27" t="n"/>
      <c r="K895" s="27" t="n"/>
      <c r="L895" s="27" t="n"/>
      <c r="M895" s="27" t="n"/>
      <c r="N895" s="27" t="n"/>
      <c r="O895" s="27" t="n"/>
      <c r="P895" s="27" t="n"/>
      <c r="Q895" s="27" t="n"/>
      <c r="R895" s="27" t="n"/>
      <c r="S895" s="27" t="n"/>
      <c r="T895" s="27" t="n"/>
      <c r="U895" s="27" t="n"/>
      <c r="V895" s="27" t="n"/>
      <c r="W895" s="27" t="n"/>
      <c r="X895" s="27" t="n"/>
      <c r="Y895" s="27" t="n"/>
      <c r="Z895" s="27" t="n"/>
    </row>
    <row r="896" ht="16.5" customHeight="1" s="117">
      <c r="A896" s="27" t="n"/>
      <c r="B896" s="27" t="n"/>
      <c r="C896" s="27" t="n"/>
      <c r="D896" s="27" t="n"/>
      <c r="E896" s="27" t="n"/>
      <c r="F896" s="27" t="n"/>
      <c r="G896" s="27" t="n"/>
      <c r="H896" s="27" t="n"/>
      <c r="I896" s="27" t="n"/>
      <c r="J896" s="27" t="n"/>
      <c r="K896" s="27" t="n"/>
      <c r="L896" s="27" t="n"/>
      <c r="M896" s="27" t="n"/>
      <c r="N896" s="27" t="n"/>
      <c r="O896" s="27" t="n"/>
      <c r="P896" s="27" t="n"/>
      <c r="Q896" s="27" t="n"/>
      <c r="R896" s="27" t="n"/>
      <c r="S896" s="27" t="n"/>
      <c r="T896" s="27" t="n"/>
      <c r="U896" s="27" t="n"/>
      <c r="V896" s="27" t="n"/>
      <c r="W896" s="27" t="n"/>
      <c r="X896" s="27" t="n"/>
      <c r="Y896" s="27" t="n"/>
      <c r="Z896" s="27" t="n"/>
    </row>
    <row r="897" ht="16.5" customHeight="1" s="117">
      <c r="A897" s="27" t="n"/>
      <c r="B897" s="27" t="n"/>
      <c r="C897" s="27" t="n"/>
      <c r="D897" s="27" t="n"/>
      <c r="E897" s="27" t="n"/>
      <c r="F897" s="27" t="n"/>
      <c r="G897" s="27" t="n"/>
      <c r="H897" s="27" t="n"/>
      <c r="I897" s="27" t="n"/>
      <c r="J897" s="27" t="n"/>
      <c r="K897" s="27" t="n"/>
      <c r="L897" s="27" t="n"/>
      <c r="M897" s="27" t="n"/>
      <c r="N897" s="27" t="n"/>
      <c r="O897" s="27" t="n"/>
      <c r="P897" s="27" t="n"/>
      <c r="Q897" s="27" t="n"/>
      <c r="R897" s="27" t="n"/>
      <c r="S897" s="27" t="n"/>
      <c r="T897" s="27" t="n"/>
      <c r="U897" s="27" t="n"/>
      <c r="V897" s="27" t="n"/>
      <c r="W897" s="27" t="n"/>
      <c r="X897" s="27" t="n"/>
      <c r="Y897" s="27" t="n"/>
      <c r="Z897" s="27" t="n"/>
    </row>
    <row r="898" ht="16.5" customHeight="1" s="117">
      <c r="A898" s="27" t="n"/>
      <c r="B898" s="27" t="n"/>
      <c r="C898" s="27" t="n"/>
      <c r="D898" s="27" t="n"/>
      <c r="E898" s="27" t="n"/>
      <c r="F898" s="27" t="n"/>
      <c r="G898" s="27" t="n"/>
      <c r="H898" s="27" t="n"/>
      <c r="I898" s="27" t="n"/>
      <c r="J898" s="27" t="n"/>
      <c r="K898" s="27" t="n"/>
      <c r="L898" s="27" t="n"/>
      <c r="M898" s="27" t="n"/>
      <c r="N898" s="27" t="n"/>
      <c r="O898" s="27" t="n"/>
      <c r="P898" s="27" t="n"/>
      <c r="Q898" s="27" t="n"/>
      <c r="R898" s="27" t="n"/>
      <c r="S898" s="27" t="n"/>
      <c r="T898" s="27" t="n"/>
      <c r="U898" s="27" t="n"/>
      <c r="V898" s="27" t="n"/>
      <c r="W898" s="27" t="n"/>
      <c r="X898" s="27" t="n"/>
      <c r="Y898" s="27" t="n"/>
      <c r="Z898" s="27" t="n"/>
    </row>
    <row r="899" ht="16.5" customHeight="1" s="117">
      <c r="A899" s="27" t="n"/>
      <c r="B899" s="27" t="n"/>
      <c r="C899" s="27" t="n"/>
      <c r="D899" s="27" t="n"/>
      <c r="E899" s="27" t="n"/>
      <c r="F899" s="27" t="n"/>
      <c r="G899" s="27" t="n"/>
      <c r="H899" s="27" t="n"/>
      <c r="I899" s="27" t="n"/>
      <c r="J899" s="27" t="n"/>
      <c r="K899" s="27" t="n"/>
      <c r="L899" s="27" t="n"/>
      <c r="M899" s="27" t="n"/>
      <c r="N899" s="27" t="n"/>
      <c r="O899" s="27" t="n"/>
      <c r="P899" s="27" t="n"/>
      <c r="Q899" s="27" t="n"/>
      <c r="R899" s="27" t="n"/>
      <c r="S899" s="27" t="n"/>
      <c r="T899" s="27" t="n"/>
      <c r="U899" s="27" t="n"/>
      <c r="V899" s="27" t="n"/>
      <c r="W899" s="27" t="n"/>
      <c r="X899" s="27" t="n"/>
      <c r="Y899" s="27" t="n"/>
      <c r="Z899" s="27" t="n"/>
    </row>
    <row r="900" ht="16.5" customHeight="1" s="117">
      <c r="A900" s="27" t="n"/>
      <c r="B900" s="27" t="n"/>
      <c r="C900" s="27" t="n"/>
      <c r="D900" s="27" t="n"/>
      <c r="E900" s="27" t="n"/>
      <c r="F900" s="27" t="n"/>
      <c r="G900" s="27" t="n"/>
      <c r="H900" s="27" t="n"/>
      <c r="I900" s="27" t="n"/>
      <c r="J900" s="27" t="n"/>
      <c r="K900" s="27" t="n"/>
      <c r="L900" s="27" t="n"/>
      <c r="M900" s="27" t="n"/>
      <c r="N900" s="27" t="n"/>
      <c r="O900" s="27" t="n"/>
      <c r="P900" s="27" t="n"/>
      <c r="Q900" s="27" t="n"/>
      <c r="R900" s="27" t="n"/>
      <c r="S900" s="27" t="n"/>
      <c r="T900" s="27" t="n"/>
      <c r="U900" s="27" t="n"/>
      <c r="V900" s="27" t="n"/>
      <c r="W900" s="27" t="n"/>
      <c r="X900" s="27" t="n"/>
      <c r="Y900" s="27" t="n"/>
      <c r="Z900" s="27" t="n"/>
    </row>
    <row r="901" ht="16.5" customHeight="1" s="117">
      <c r="A901" s="27" t="n"/>
      <c r="B901" s="27" t="n"/>
      <c r="C901" s="27" t="n"/>
      <c r="D901" s="27" t="n"/>
      <c r="E901" s="27" t="n"/>
      <c r="F901" s="27" t="n"/>
      <c r="G901" s="27" t="n"/>
      <c r="H901" s="27" t="n"/>
      <c r="I901" s="27" t="n"/>
      <c r="J901" s="27" t="n"/>
      <c r="K901" s="27" t="n"/>
      <c r="L901" s="27" t="n"/>
      <c r="M901" s="27" t="n"/>
      <c r="N901" s="27" t="n"/>
      <c r="O901" s="27" t="n"/>
      <c r="P901" s="27" t="n"/>
      <c r="Q901" s="27" t="n"/>
      <c r="R901" s="27" t="n"/>
      <c r="S901" s="27" t="n"/>
      <c r="T901" s="27" t="n"/>
      <c r="U901" s="27" t="n"/>
      <c r="V901" s="27" t="n"/>
      <c r="W901" s="27" t="n"/>
      <c r="X901" s="27" t="n"/>
      <c r="Y901" s="27" t="n"/>
      <c r="Z901" s="27" t="n"/>
    </row>
    <row r="902" ht="16.5" customHeight="1" s="117">
      <c r="A902" s="27" t="n"/>
      <c r="B902" s="27" t="n"/>
      <c r="C902" s="27" t="n"/>
      <c r="D902" s="27" t="n"/>
      <c r="E902" s="27" t="n"/>
      <c r="F902" s="27" t="n"/>
      <c r="G902" s="27" t="n"/>
      <c r="H902" s="27" t="n"/>
      <c r="I902" s="27" t="n"/>
      <c r="J902" s="27" t="n"/>
      <c r="K902" s="27" t="n"/>
      <c r="L902" s="27" t="n"/>
      <c r="M902" s="27" t="n"/>
      <c r="N902" s="27" t="n"/>
      <c r="O902" s="27" t="n"/>
      <c r="P902" s="27" t="n"/>
      <c r="Q902" s="27" t="n"/>
      <c r="R902" s="27" t="n"/>
      <c r="S902" s="27" t="n"/>
      <c r="T902" s="27" t="n"/>
      <c r="U902" s="27" t="n"/>
      <c r="V902" s="27" t="n"/>
      <c r="W902" s="27" t="n"/>
      <c r="X902" s="27" t="n"/>
      <c r="Y902" s="27" t="n"/>
      <c r="Z902" s="27" t="n"/>
    </row>
    <row r="903" ht="16.5" customHeight="1" s="117">
      <c r="A903" s="27" t="n"/>
      <c r="B903" s="27" t="n"/>
      <c r="C903" s="27" t="n"/>
      <c r="D903" s="27" t="n"/>
      <c r="E903" s="27" t="n"/>
      <c r="F903" s="27" t="n"/>
      <c r="G903" s="27" t="n"/>
      <c r="H903" s="27" t="n"/>
      <c r="I903" s="27" t="n"/>
      <c r="J903" s="27" t="n"/>
      <c r="K903" s="27" t="n"/>
      <c r="L903" s="27" t="n"/>
      <c r="M903" s="27" t="n"/>
      <c r="N903" s="27" t="n"/>
      <c r="O903" s="27" t="n"/>
      <c r="P903" s="27" t="n"/>
      <c r="Q903" s="27" t="n"/>
      <c r="R903" s="27" t="n"/>
      <c r="S903" s="27" t="n"/>
      <c r="T903" s="27" t="n"/>
      <c r="U903" s="27" t="n"/>
      <c r="V903" s="27" t="n"/>
      <c r="W903" s="27" t="n"/>
      <c r="X903" s="27" t="n"/>
      <c r="Y903" s="27" t="n"/>
      <c r="Z903" s="27" t="n"/>
    </row>
    <row r="904" ht="16.5" customHeight="1" s="117">
      <c r="A904" s="27" t="n"/>
      <c r="B904" s="27" t="n"/>
      <c r="C904" s="27" t="n"/>
      <c r="D904" s="27" t="n"/>
      <c r="E904" s="27" t="n"/>
      <c r="F904" s="27" t="n"/>
      <c r="G904" s="27" t="n"/>
      <c r="H904" s="27" t="n"/>
      <c r="I904" s="27" t="n"/>
      <c r="J904" s="27" t="n"/>
      <c r="K904" s="27" t="n"/>
      <c r="L904" s="27" t="n"/>
      <c r="M904" s="27" t="n"/>
      <c r="N904" s="27" t="n"/>
      <c r="O904" s="27" t="n"/>
      <c r="P904" s="27" t="n"/>
      <c r="Q904" s="27" t="n"/>
      <c r="R904" s="27" t="n"/>
      <c r="S904" s="27" t="n"/>
      <c r="T904" s="27" t="n"/>
      <c r="U904" s="27" t="n"/>
      <c r="V904" s="27" t="n"/>
      <c r="W904" s="27" t="n"/>
      <c r="X904" s="27" t="n"/>
      <c r="Y904" s="27" t="n"/>
      <c r="Z904" s="27" t="n"/>
    </row>
    <row r="905" ht="16.5" customHeight="1" s="117">
      <c r="A905" s="27" t="n"/>
      <c r="B905" s="27" t="n"/>
      <c r="C905" s="27" t="n"/>
      <c r="D905" s="27" t="n"/>
      <c r="E905" s="27" t="n"/>
      <c r="F905" s="27" t="n"/>
      <c r="G905" s="27" t="n"/>
      <c r="H905" s="27" t="n"/>
      <c r="I905" s="27" t="n"/>
      <c r="J905" s="27" t="n"/>
      <c r="K905" s="27" t="n"/>
      <c r="L905" s="27" t="n"/>
      <c r="M905" s="27" t="n"/>
      <c r="N905" s="27" t="n"/>
      <c r="O905" s="27" t="n"/>
      <c r="P905" s="27" t="n"/>
      <c r="Q905" s="27" t="n"/>
      <c r="R905" s="27" t="n"/>
      <c r="S905" s="27" t="n"/>
      <c r="T905" s="27" t="n"/>
      <c r="U905" s="27" t="n"/>
      <c r="V905" s="27" t="n"/>
      <c r="W905" s="27" t="n"/>
      <c r="X905" s="27" t="n"/>
      <c r="Y905" s="27" t="n"/>
      <c r="Z905" s="27" t="n"/>
    </row>
    <row r="906" ht="16.5" customHeight="1" s="117">
      <c r="A906" s="27" t="n"/>
      <c r="B906" s="27" t="n"/>
      <c r="C906" s="27" t="n"/>
      <c r="D906" s="27" t="n"/>
      <c r="E906" s="27" t="n"/>
      <c r="F906" s="27" t="n"/>
      <c r="G906" s="27" t="n"/>
      <c r="H906" s="27" t="n"/>
      <c r="I906" s="27" t="n"/>
      <c r="J906" s="27" t="n"/>
      <c r="K906" s="27" t="n"/>
      <c r="L906" s="27" t="n"/>
      <c r="M906" s="27" t="n"/>
      <c r="N906" s="27" t="n"/>
      <c r="O906" s="27" t="n"/>
      <c r="P906" s="27" t="n"/>
      <c r="Q906" s="27" t="n"/>
      <c r="R906" s="27" t="n"/>
      <c r="S906" s="27" t="n"/>
      <c r="T906" s="27" t="n"/>
      <c r="U906" s="27" t="n"/>
      <c r="V906" s="27" t="n"/>
      <c r="W906" s="27" t="n"/>
      <c r="X906" s="27" t="n"/>
      <c r="Y906" s="27" t="n"/>
      <c r="Z906" s="27" t="n"/>
    </row>
    <row r="907" ht="16.5" customHeight="1" s="117">
      <c r="A907" s="27" t="n"/>
      <c r="B907" s="27" t="n"/>
      <c r="C907" s="27" t="n"/>
      <c r="D907" s="27" t="n"/>
      <c r="E907" s="27" t="n"/>
      <c r="F907" s="27" t="n"/>
      <c r="G907" s="27" t="n"/>
      <c r="H907" s="27" t="n"/>
      <c r="I907" s="27" t="n"/>
      <c r="J907" s="27" t="n"/>
      <c r="K907" s="27" t="n"/>
      <c r="L907" s="27" t="n"/>
      <c r="M907" s="27" t="n"/>
      <c r="N907" s="27" t="n"/>
      <c r="O907" s="27" t="n"/>
      <c r="P907" s="27" t="n"/>
      <c r="Q907" s="27" t="n"/>
      <c r="R907" s="27" t="n"/>
      <c r="S907" s="27" t="n"/>
      <c r="T907" s="27" t="n"/>
      <c r="U907" s="27" t="n"/>
      <c r="V907" s="27" t="n"/>
      <c r="W907" s="27" t="n"/>
      <c r="X907" s="27" t="n"/>
      <c r="Y907" s="27" t="n"/>
      <c r="Z907" s="27" t="n"/>
    </row>
    <row r="908" ht="16.5" customHeight="1" s="117">
      <c r="A908" s="27" t="n"/>
      <c r="B908" s="27" t="n"/>
      <c r="C908" s="27" t="n"/>
      <c r="D908" s="27" t="n"/>
      <c r="E908" s="27" t="n"/>
      <c r="F908" s="27" t="n"/>
      <c r="G908" s="27" t="n"/>
      <c r="H908" s="27" t="n"/>
      <c r="I908" s="27" t="n"/>
      <c r="J908" s="27" t="n"/>
      <c r="K908" s="27" t="n"/>
      <c r="L908" s="27" t="n"/>
      <c r="M908" s="27" t="n"/>
      <c r="N908" s="27" t="n"/>
      <c r="O908" s="27" t="n"/>
      <c r="P908" s="27" t="n"/>
      <c r="Q908" s="27" t="n"/>
      <c r="R908" s="27" t="n"/>
      <c r="S908" s="27" t="n"/>
      <c r="T908" s="27" t="n"/>
      <c r="U908" s="27" t="n"/>
      <c r="V908" s="27" t="n"/>
      <c r="W908" s="27" t="n"/>
      <c r="X908" s="27" t="n"/>
      <c r="Y908" s="27" t="n"/>
      <c r="Z908" s="27" t="n"/>
    </row>
    <row r="909" ht="16.5" customHeight="1" s="117">
      <c r="A909" s="27" t="n"/>
      <c r="B909" s="27" t="n"/>
      <c r="C909" s="27" t="n"/>
      <c r="D909" s="27" t="n"/>
      <c r="E909" s="27" t="n"/>
      <c r="F909" s="27" t="n"/>
      <c r="G909" s="27" t="n"/>
      <c r="H909" s="27" t="n"/>
      <c r="I909" s="27" t="n"/>
      <c r="J909" s="27" t="n"/>
      <c r="K909" s="27" t="n"/>
      <c r="L909" s="27" t="n"/>
      <c r="M909" s="27" t="n"/>
      <c r="N909" s="27" t="n"/>
      <c r="O909" s="27" t="n"/>
      <c r="P909" s="27" t="n"/>
      <c r="Q909" s="27" t="n"/>
      <c r="R909" s="27" t="n"/>
      <c r="S909" s="27" t="n"/>
      <c r="T909" s="27" t="n"/>
      <c r="U909" s="27" t="n"/>
      <c r="V909" s="27" t="n"/>
      <c r="W909" s="27" t="n"/>
      <c r="X909" s="27" t="n"/>
      <c r="Y909" s="27" t="n"/>
      <c r="Z909" s="27" t="n"/>
    </row>
    <row r="910" ht="16.5" customHeight="1" s="117">
      <c r="A910" s="27" t="n"/>
      <c r="B910" s="27" t="n"/>
      <c r="C910" s="27" t="n"/>
      <c r="D910" s="27" t="n"/>
      <c r="E910" s="27" t="n"/>
      <c r="F910" s="27" t="n"/>
      <c r="G910" s="27" t="n"/>
      <c r="H910" s="27" t="n"/>
      <c r="I910" s="27" t="n"/>
      <c r="J910" s="27" t="n"/>
      <c r="K910" s="27" t="n"/>
      <c r="L910" s="27" t="n"/>
      <c r="M910" s="27" t="n"/>
      <c r="N910" s="27" t="n"/>
      <c r="O910" s="27" t="n"/>
      <c r="P910" s="27" t="n"/>
      <c r="Q910" s="27" t="n"/>
      <c r="R910" s="27" t="n"/>
      <c r="S910" s="27" t="n"/>
      <c r="T910" s="27" t="n"/>
      <c r="U910" s="27" t="n"/>
      <c r="V910" s="27" t="n"/>
      <c r="W910" s="27" t="n"/>
      <c r="X910" s="27" t="n"/>
      <c r="Y910" s="27" t="n"/>
      <c r="Z910" s="27" t="n"/>
    </row>
    <row r="911" ht="16.5" customHeight="1" s="117">
      <c r="A911" s="27" t="n"/>
      <c r="B911" s="27" t="n"/>
      <c r="C911" s="27" t="n"/>
      <c r="D911" s="27" t="n"/>
      <c r="E911" s="27" t="n"/>
      <c r="F911" s="27" t="n"/>
      <c r="G911" s="27" t="n"/>
      <c r="H911" s="27" t="n"/>
      <c r="I911" s="27" t="n"/>
      <c r="J911" s="27" t="n"/>
      <c r="K911" s="27" t="n"/>
      <c r="L911" s="27" t="n"/>
      <c r="M911" s="27" t="n"/>
      <c r="N911" s="27" t="n"/>
      <c r="O911" s="27" t="n"/>
      <c r="P911" s="27" t="n"/>
      <c r="Q911" s="27" t="n"/>
      <c r="R911" s="27" t="n"/>
      <c r="S911" s="27" t="n"/>
      <c r="T911" s="27" t="n"/>
      <c r="U911" s="27" t="n"/>
      <c r="V911" s="27" t="n"/>
      <c r="W911" s="27" t="n"/>
      <c r="X911" s="27" t="n"/>
      <c r="Y911" s="27" t="n"/>
      <c r="Z911" s="27" t="n"/>
    </row>
    <row r="912" ht="16.5" customHeight="1" s="117">
      <c r="A912" s="27" t="n"/>
      <c r="B912" s="27" t="n"/>
      <c r="C912" s="27" t="n"/>
      <c r="D912" s="27" t="n"/>
      <c r="E912" s="27" t="n"/>
      <c r="F912" s="27" t="n"/>
      <c r="G912" s="27" t="n"/>
      <c r="H912" s="27" t="n"/>
      <c r="I912" s="27" t="n"/>
      <c r="J912" s="27" t="n"/>
      <c r="K912" s="27" t="n"/>
      <c r="L912" s="27" t="n"/>
      <c r="M912" s="27" t="n"/>
      <c r="N912" s="27" t="n"/>
      <c r="O912" s="27" t="n"/>
      <c r="P912" s="27" t="n"/>
      <c r="Q912" s="27" t="n"/>
      <c r="R912" s="27" t="n"/>
      <c r="S912" s="27" t="n"/>
      <c r="T912" s="27" t="n"/>
      <c r="U912" s="27" t="n"/>
      <c r="V912" s="27" t="n"/>
      <c r="W912" s="27" t="n"/>
      <c r="X912" s="27" t="n"/>
      <c r="Y912" s="27" t="n"/>
      <c r="Z912" s="27" t="n"/>
    </row>
    <row r="913" ht="16.5" customHeight="1" s="117">
      <c r="A913" s="27" t="n"/>
      <c r="B913" s="27" t="n"/>
      <c r="C913" s="27" t="n"/>
      <c r="D913" s="27" t="n"/>
      <c r="E913" s="27" t="n"/>
      <c r="F913" s="27" t="n"/>
      <c r="G913" s="27" t="n"/>
      <c r="H913" s="27" t="n"/>
      <c r="I913" s="27" t="n"/>
      <c r="J913" s="27" t="n"/>
      <c r="K913" s="27" t="n"/>
      <c r="L913" s="27" t="n"/>
      <c r="M913" s="27" t="n"/>
      <c r="N913" s="27" t="n"/>
      <c r="O913" s="27" t="n"/>
      <c r="P913" s="27" t="n"/>
      <c r="Q913" s="27" t="n"/>
      <c r="R913" s="27" t="n"/>
      <c r="S913" s="27" t="n"/>
      <c r="T913" s="27" t="n"/>
      <c r="U913" s="27" t="n"/>
      <c r="V913" s="27" t="n"/>
      <c r="W913" s="27" t="n"/>
      <c r="X913" s="27" t="n"/>
      <c r="Y913" s="27" t="n"/>
      <c r="Z913" s="27" t="n"/>
    </row>
    <row r="914" ht="16.5" customHeight="1" s="117">
      <c r="A914" s="27" t="n"/>
      <c r="B914" s="27" t="n"/>
      <c r="C914" s="27" t="n"/>
      <c r="D914" s="27" t="n"/>
      <c r="E914" s="27" t="n"/>
      <c r="F914" s="27" t="n"/>
      <c r="G914" s="27" t="n"/>
      <c r="H914" s="27" t="n"/>
      <c r="I914" s="27" t="n"/>
      <c r="J914" s="27" t="n"/>
      <c r="K914" s="27" t="n"/>
      <c r="L914" s="27" t="n"/>
      <c r="M914" s="27" t="n"/>
      <c r="N914" s="27" t="n"/>
      <c r="O914" s="27" t="n"/>
      <c r="P914" s="27" t="n"/>
      <c r="Q914" s="27" t="n"/>
      <c r="R914" s="27" t="n"/>
      <c r="S914" s="27" t="n"/>
      <c r="T914" s="27" t="n"/>
      <c r="U914" s="27" t="n"/>
      <c r="V914" s="27" t="n"/>
      <c r="W914" s="27" t="n"/>
      <c r="X914" s="27" t="n"/>
      <c r="Y914" s="27" t="n"/>
      <c r="Z914" s="27" t="n"/>
    </row>
    <row r="915" ht="16.5" customHeight="1" s="117">
      <c r="A915" s="27" t="n"/>
      <c r="B915" s="27" t="n"/>
      <c r="C915" s="27" t="n"/>
      <c r="D915" s="27" t="n"/>
      <c r="E915" s="27" t="n"/>
      <c r="F915" s="27" t="n"/>
      <c r="G915" s="27" t="n"/>
      <c r="H915" s="27" t="n"/>
      <c r="I915" s="27" t="n"/>
      <c r="J915" s="27" t="n"/>
      <c r="K915" s="27" t="n"/>
      <c r="L915" s="27" t="n"/>
      <c r="M915" s="27" t="n"/>
      <c r="N915" s="27" t="n"/>
      <c r="O915" s="27" t="n"/>
      <c r="P915" s="27" t="n"/>
      <c r="Q915" s="27" t="n"/>
      <c r="R915" s="27" t="n"/>
      <c r="S915" s="27" t="n"/>
      <c r="T915" s="27" t="n"/>
      <c r="U915" s="27" t="n"/>
      <c r="V915" s="27" t="n"/>
      <c r="W915" s="27" t="n"/>
      <c r="X915" s="27" t="n"/>
      <c r="Y915" s="27" t="n"/>
      <c r="Z915" s="27" t="n"/>
    </row>
    <row r="916" ht="16.5" customHeight="1" s="117">
      <c r="A916" s="27" t="n"/>
      <c r="B916" s="27" t="n"/>
      <c r="C916" s="27" t="n"/>
      <c r="D916" s="27" t="n"/>
      <c r="E916" s="27" t="n"/>
      <c r="F916" s="27" t="n"/>
      <c r="G916" s="27" t="n"/>
      <c r="H916" s="27" t="n"/>
      <c r="I916" s="27" t="n"/>
      <c r="J916" s="27" t="n"/>
      <c r="K916" s="27" t="n"/>
      <c r="L916" s="27" t="n"/>
      <c r="M916" s="27" t="n"/>
      <c r="N916" s="27" t="n"/>
      <c r="O916" s="27" t="n"/>
      <c r="P916" s="27" t="n"/>
      <c r="Q916" s="27" t="n"/>
      <c r="R916" s="27" t="n"/>
      <c r="S916" s="27" t="n"/>
      <c r="T916" s="27" t="n"/>
      <c r="U916" s="27" t="n"/>
      <c r="V916" s="27" t="n"/>
      <c r="W916" s="27" t="n"/>
      <c r="X916" s="27" t="n"/>
      <c r="Y916" s="27" t="n"/>
      <c r="Z916" s="27" t="n"/>
    </row>
    <row r="917" ht="16.5" customHeight="1" s="117">
      <c r="A917" s="27" t="n"/>
      <c r="B917" s="27" t="n"/>
      <c r="C917" s="27" t="n"/>
      <c r="D917" s="27" t="n"/>
      <c r="E917" s="27" t="n"/>
      <c r="F917" s="27" t="n"/>
      <c r="G917" s="27" t="n"/>
      <c r="H917" s="27" t="n"/>
      <c r="I917" s="27" t="n"/>
      <c r="J917" s="27" t="n"/>
      <c r="K917" s="27" t="n"/>
      <c r="L917" s="27" t="n"/>
      <c r="M917" s="27" t="n"/>
      <c r="N917" s="27" t="n"/>
      <c r="O917" s="27" t="n"/>
      <c r="P917" s="27" t="n"/>
      <c r="Q917" s="27" t="n"/>
      <c r="R917" s="27" t="n"/>
      <c r="S917" s="27" t="n"/>
      <c r="T917" s="27" t="n"/>
      <c r="U917" s="27" t="n"/>
      <c r="V917" s="27" t="n"/>
      <c r="W917" s="27" t="n"/>
      <c r="X917" s="27" t="n"/>
      <c r="Y917" s="27" t="n"/>
      <c r="Z917" s="27" t="n"/>
    </row>
    <row r="918" ht="16.5" customHeight="1" s="117">
      <c r="A918" s="27" t="n"/>
      <c r="B918" s="27" t="n"/>
      <c r="C918" s="27" t="n"/>
      <c r="D918" s="27" t="n"/>
      <c r="E918" s="27" t="n"/>
      <c r="F918" s="27" t="n"/>
      <c r="G918" s="27" t="n"/>
      <c r="H918" s="27" t="n"/>
      <c r="I918" s="27" t="n"/>
      <c r="J918" s="27" t="n"/>
      <c r="K918" s="27" t="n"/>
      <c r="L918" s="27" t="n"/>
      <c r="M918" s="27" t="n"/>
      <c r="N918" s="27" t="n"/>
      <c r="O918" s="27" t="n"/>
      <c r="P918" s="27" t="n"/>
      <c r="Q918" s="27" t="n"/>
      <c r="R918" s="27" t="n"/>
      <c r="S918" s="27" t="n"/>
      <c r="T918" s="27" t="n"/>
      <c r="U918" s="27" t="n"/>
      <c r="V918" s="27" t="n"/>
      <c r="W918" s="27" t="n"/>
      <c r="X918" s="27" t="n"/>
      <c r="Y918" s="27" t="n"/>
      <c r="Z918" s="27" t="n"/>
    </row>
    <row r="919" ht="16.5" customHeight="1" s="117">
      <c r="A919" s="27" t="n"/>
      <c r="B919" s="27" t="n"/>
      <c r="C919" s="27" t="n"/>
      <c r="D919" s="27" t="n"/>
      <c r="E919" s="27" t="n"/>
      <c r="F919" s="27" t="n"/>
      <c r="G919" s="27" t="n"/>
      <c r="H919" s="27" t="n"/>
      <c r="I919" s="27" t="n"/>
      <c r="J919" s="27" t="n"/>
      <c r="K919" s="27" t="n"/>
      <c r="L919" s="27" t="n"/>
      <c r="M919" s="27" t="n"/>
      <c r="N919" s="27" t="n"/>
      <c r="O919" s="27" t="n"/>
      <c r="P919" s="27" t="n"/>
      <c r="Q919" s="27" t="n"/>
      <c r="R919" s="27" t="n"/>
      <c r="S919" s="27" t="n"/>
      <c r="T919" s="27" t="n"/>
      <c r="U919" s="27" t="n"/>
      <c r="V919" s="27" t="n"/>
      <c r="W919" s="27" t="n"/>
      <c r="X919" s="27" t="n"/>
      <c r="Y919" s="27" t="n"/>
      <c r="Z919" s="27" t="n"/>
    </row>
    <row r="920" ht="16.5" customHeight="1" s="117">
      <c r="A920" s="27" t="n"/>
      <c r="B920" s="27" t="n"/>
      <c r="C920" s="27" t="n"/>
      <c r="D920" s="27" t="n"/>
      <c r="E920" s="27" t="n"/>
      <c r="F920" s="27" t="n"/>
      <c r="G920" s="27" t="n"/>
      <c r="H920" s="27" t="n"/>
      <c r="I920" s="27" t="n"/>
      <c r="J920" s="27" t="n"/>
      <c r="K920" s="27" t="n"/>
      <c r="L920" s="27" t="n"/>
      <c r="M920" s="27" t="n"/>
      <c r="N920" s="27" t="n"/>
      <c r="O920" s="27" t="n"/>
      <c r="P920" s="27" t="n"/>
      <c r="Q920" s="27" t="n"/>
      <c r="R920" s="27" t="n"/>
      <c r="S920" s="27" t="n"/>
      <c r="T920" s="27" t="n"/>
      <c r="U920" s="27" t="n"/>
      <c r="V920" s="27" t="n"/>
      <c r="W920" s="27" t="n"/>
      <c r="X920" s="27" t="n"/>
      <c r="Y920" s="27" t="n"/>
      <c r="Z920" s="27" t="n"/>
    </row>
    <row r="921" ht="16.5" customHeight="1" s="117">
      <c r="A921" s="27" t="n"/>
      <c r="B921" s="27" t="n"/>
      <c r="C921" s="27" t="n"/>
      <c r="D921" s="27" t="n"/>
      <c r="E921" s="27" t="n"/>
      <c r="F921" s="27" t="n"/>
      <c r="G921" s="27" t="n"/>
      <c r="H921" s="27" t="n"/>
      <c r="I921" s="27" t="n"/>
      <c r="J921" s="27" t="n"/>
      <c r="K921" s="27" t="n"/>
      <c r="L921" s="27" t="n"/>
      <c r="M921" s="27" t="n"/>
      <c r="N921" s="27" t="n"/>
      <c r="O921" s="27" t="n"/>
      <c r="P921" s="27" t="n"/>
      <c r="Q921" s="27" t="n"/>
      <c r="R921" s="27" t="n"/>
      <c r="S921" s="27" t="n"/>
      <c r="T921" s="27" t="n"/>
      <c r="U921" s="27" t="n"/>
      <c r="V921" s="27" t="n"/>
      <c r="W921" s="27" t="n"/>
      <c r="X921" s="27" t="n"/>
      <c r="Y921" s="27" t="n"/>
      <c r="Z921" s="27" t="n"/>
    </row>
    <row r="922" ht="16.5" customHeight="1" s="117">
      <c r="A922" s="27" t="n"/>
      <c r="B922" s="27" t="n"/>
      <c r="C922" s="27" t="n"/>
      <c r="D922" s="27" t="n"/>
      <c r="E922" s="27" t="n"/>
      <c r="F922" s="27" t="n"/>
      <c r="G922" s="27" t="n"/>
      <c r="H922" s="27" t="n"/>
      <c r="I922" s="27" t="n"/>
      <c r="J922" s="27" t="n"/>
      <c r="K922" s="27" t="n"/>
      <c r="L922" s="27" t="n"/>
      <c r="M922" s="27" t="n"/>
      <c r="N922" s="27" t="n"/>
      <c r="O922" s="27" t="n"/>
      <c r="P922" s="27" t="n"/>
      <c r="Q922" s="27" t="n"/>
      <c r="R922" s="27" t="n"/>
      <c r="S922" s="27" t="n"/>
      <c r="T922" s="27" t="n"/>
      <c r="U922" s="27" t="n"/>
      <c r="V922" s="27" t="n"/>
      <c r="W922" s="27" t="n"/>
      <c r="X922" s="27" t="n"/>
      <c r="Y922" s="27" t="n"/>
      <c r="Z922" s="27" t="n"/>
    </row>
    <row r="923" ht="16.5" customHeight="1" s="117">
      <c r="A923" s="27" t="n"/>
      <c r="B923" s="27" t="n"/>
      <c r="C923" s="27" t="n"/>
      <c r="D923" s="27" t="n"/>
      <c r="E923" s="27" t="n"/>
      <c r="F923" s="27" t="n"/>
      <c r="G923" s="27" t="n"/>
      <c r="H923" s="27" t="n"/>
      <c r="I923" s="27" t="n"/>
      <c r="J923" s="27" t="n"/>
      <c r="K923" s="27" t="n"/>
      <c r="L923" s="27" t="n"/>
      <c r="M923" s="27" t="n"/>
      <c r="N923" s="27" t="n"/>
      <c r="O923" s="27" t="n"/>
      <c r="P923" s="27" t="n"/>
      <c r="Q923" s="27" t="n"/>
      <c r="R923" s="27" t="n"/>
      <c r="S923" s="27" t="n"/>
      <c r="T923" s="27" t="n"/>
      <c r="U923" s="27" t="n"/>
      <c r="V923" s="27" t="n"/>
      <c r="W923" s="27" t="n"/>
      <c r="X923" s="27" t="n"/>
      <c r="Y923" s="27" t="n"/>
      <c r="Z923" s="27" t="n"/>
    </row>
    <row r="924" ht="16.5" customHeight="1" s="117">
      <c r="A924" s="27" t="n"/>
      <c r="B924" s="27" t="n"/>
      <c r="C924" s="27" t="n"/>
      <c r="D924" s="27" t="n"/>
      <c r="E924" s="27" t="n"/>
      <c r="F924" s="27" t="n"/>
      <c r="G924" s="27" t="n"/>
      <c r="H924" s="27" t="n"/>
      <c r="I924" s="27" t="n"/>
      <c r="J924" s="27" t="n"/>
      <c r="K924" s="27" t="n"/>
      <c r="L924" s="27" t="n"/>
      <c r="M924" s="27" t="n"/>
      <c r="N924" s="27" t="n"/>
      <c r="O924" s="27" t="n"/>
      <c r="P924" s="27" t="n"/>
      <c r="Q924" s="27" t="n"/>
      <c r="R924" s="27" t="n"/>
      <c r="S924" s="27" t="n"/>
      <c r="T924" s="27" t="n"/>
      <c r="U924" s="27" t="n"/>
      <c r="V924" s="27" t="n"/>
      <c r="W924" s="27" t="n"/>
      <c r="X924" s="27" t="n"/>
      <c r="Y924" s="27" t="n"/>
      <c r="Z924" s="27" t="n"/>
    </row>
    <row r="925" ht="16.5" customHeight="1" s="117">
      <c r="A925" s="27" t="n"/>
      <c r="B925" s="27" t="n"/>
      <c r="C925" s="27" t="n"/>
      <c r="D925" s="27" t="n"/>
      <c r="E925" s="27" t="n"/>
      <c r="F925" s="27" t="n"/>
      <c r="G925" s="27" t="n"/>
      <c r="H925" s="27" t="n"/>
      <c r="I925" s="27" t="n"/>
      <c r="J925" s="27" t="n"/>
      <c r="K925" s="27" t="n"/>
      <c r="L925" s="27" t="n"/>
      <c r="M925" s="27" t="n"/>
      <c r="N925" s="27" t="n"/>
      <c r="O925" s="27" t="n"/>
      <c r="P925" s="27" t="n"/>
      <c r="Q925" s="27" t="n"/>
      <c r="R925" s="27" t="n"/>
      <c r="S925" s="27" t="n"/>
      <c r="T925" s="27" t="n"/>
      <c r="U925" s="27" t="n"/>
      <c r="V925" s="27" t="n"/>
      <c r="W925" s="27" t="n"/>
      <c r="X925" s="27" t="n"/>
      <c r="Y925" s="27" t="n"/>
      <c r="Z925" s="27" t="n"/>
    </row>
    <row r="926" ht="16.5" customHeight="1" s="117">
      <c r="A926" s="27" t="n"/>
      <c r="B926" s="27" t="n"/>
      <c r="C926" s="27" t="n"/>
      <c r="D926" s="27" t="n"/>
      <c r="E926" s="27" t="n"/>
      <c r="F926" s="27" t="n"/>
      <c r="G926" s="27" t="n"/>
      <c r="H926" s="27" t="n"/>
      <c r="I926" s="27" t="n"/>
      <c r="J926" s="27" t="n"/>
      <c r="K926" s="27" t="n"/>
      <c r="L926" s="27" t="n"/>
      <c r="M926" s="27" t="n"/>
      <c r="N926" s="27" t="n"/>
      <c r="O926" s="27" t="n"/>
      <c r="P926" s="27" t="n"/>
      <c r="Q926" s="27" t="n"/>
      <c r="R926" s="27" t="n"/>
      <c r="S926" s="27" t="n"/>
      <c r="T926" s="27" t="n"/>
      <c r="U926" s="27" t="n"/>
      <c r="V926" s="27" t="n"/>
      <c r="W926" s="27" t="n"/>
      <c r="X926" s="27" t="n"/>
      <c r="Y926" s="27" t="n"/>
      <c r="Z926" s="27" t="n"/>
    </row>
    <row r="927" ht="16.5" customHeight="1" s="117">
      <c r="A927" s="27" t="n"/>
      <c r="B927" s="27" t="n"/>
      <c r="C927" s="27" t="n"/>
      <c r="D927" s="27" t="n"/>
      <c r="E927" s="27" t="n"/>
      <c r="F927" s="27" t="n"/>
      <c r="G927" s="27" t="n"/>
      <c r="H927" s="27" t="n"/>
      <c r="I927" s="27" t="n"/>
      <c r="J927" s="27" t="n"/>
      <c r="K927" s="27" t="n"/>
      <c r="L927" s="27" t="n"/>
      <c r="M927" s="27" t="n"/>
      <c r="N927" s="27" t="n"/>
      <c r="O927" s="27" t="n"/>
      <c r="P927" s="27" t="n"/>
      <c r="Q927" s="27" t="n"/>
      <c r="R927" s="27" t="n"/>
      <c r="S927" s="27" t="n"/>
      <c r="T927" s="27" t="n"/>
      <c r="U927" s="27" t="n"/>
      <c r="V927" s="27" t="n"/>
      <c r="W927" s="27" t="n"/>
      <c r="X927" s="27" t="n"/>
      <c r="Y927" s="27" t="n"/>
      <c r="Z927" s="27" t="n"/>
    </row>
    <row r="928" ht="16.5" customHeight="1" s="117">
      <c r="A928" s="27" t="n"/>
      <c r="B928" s="27" t="n"/>
      <c r="C928" s="27" t="n"/>
      <c r="D928" s="27" t="n"/>
      <c r="E928" s="27" t="n"/>
      <c r="F928" s="27" t="n"/>
      <c r="G928" s="27" t="n"/>
      <c r="H928" s="27" t="n"/>
      <c r="I928" s="27" t="n"/>
      <c r="J928" s="27" t="n"/>
      <c r="K928" s="27" t="n"/>
      <c r="L928" s="27" t="n"/>
      <c r="M928" s="27" t="n"/>
      <c r="N928" s="27" t="n"/>
      <c r="O928" s="27" t="n"/>
      <c r="P928" s="27" t="n"/>
      <c r="Q928" s="27" t="n"/>
      <c r="R928" s="27" t="n"/>
      <c r="S928" s="27" t="n"/>
      <c r="T928" s="27" t="n"/>
      <c r="U928" s="27" t="n"/>
      <c r="V928" s="27" t="n"/>
      <c r="W928" s="27" t="n"/>
      <c r="X928" s="27" t="n"/>
      <c r="Y928" s="27" t="n"/>
      <c r="Z928" s="27" t="n"/>
    </row>
    <row r="929" ht="16.5" customHeight="1" s="117">
      <c r="A929" s="27" t="n"/>
      <c r="B929" s="27" t="n"/>
      <c r="C929" s="27" t="n"/>
      <c r="D929" s="27" t="n"/>
      <c r="E929" s="27" t="n"/>
      <c r="F929" s="27" t="n"/>
      <c r="G929" s="27" t="n"/>
      <c r="H929" s="27" t="n"/>
      <c r="I929" s="27" t="n"/>
      <c r="J929" s="27" t="n"/>
      <c r="K929" s="27" t="n"/>
      <c r="L929" s="27" t="n"/>
      <c r="M929" s="27" t="n"/>
      <c r="N929" s="27" t="n"/>
      <c r="O929" s="27" t="n"/>
      <c r="P929" s="27" t="n"/>
      <c r="Q929" s="27" t="n"/>
      <c r="R929" s="27" t="n"/>
      <c r="S929" s="27" t="n"/>
      <c r="T929" s="27" t="n"/>
      <c r="U929" s="27" t="n"/>
      <c r="V929" s="27" t="n"/>
      <c r="W929" s="27" t="n"/>
      <c r="X929" s="27" t="n"/>
      <c r="Y929" s="27" t="n"/>
      <c r="Z929" s="27" t="n"/>
    </row>
    <row r="930" ht="16.5" customHeight="1" s="117">
      <c r="A930" s="27" t="n"/>
      <c r="B930" s="27" t="n"/>
      <c r="C930" s="27" t="n"/>
      <c r="D930" s="27" t="n"/>
      <c r="E930" s="27" t="n"/>
      <c r="F930" s="27" t="n"/>
      <c r="G930" s="27" t="n"/>
      <c r="H930" s="27" t="n"/>
      <c r="I930" s="27" t="n"/>
      <c r="J930" s="27" t="n"/>
      <c r="K930" s="27" t="n"/>
      <c r="L930" s="27" t="n"/>
      <c r="M930" s="27" t="n"/>
      <c r="N930" s="27" t="n"/>
      <c r="O930" s="27" t="n"/>
      <c r="P930" s="27" t="n"/>
      <c r="Q930" s="27" t="n"/>
      <c r="R930" s="27" t="n"/>
      <c r="S930" s="27" t="n"/>
      <c r="T930" s="27" t="n"/>
      <c r="U930" s="27" t="n"/>
      <c r="V930" s="27" t="n"/>
      <c r="W930" s="27" t="n"/>
      <c r="X930" s="27" t="n"/>
      <c r="Y930" s="27" t="n"/>
      <c r="Z930" s="27" t="n"/>
    </row>
    <row r="931" ht="16.5" customHeight="1" s="117">
      <c r="A931" s="27" t="n"/>
      <c r="B931" s="27" t="n"/>
      <c r="C931" s="27" t="n"/>
      <c r="D931" s="27" t="n"/>
      <c r="E931" s="27" t="n"/>
      <c r="F931" s="27" t="n"/>
      <c r="G931" s="27" t="n"/>
      <c r="H931" s="27" t="n"/>
      <c r="I931" s="27" t="n"/>
      <c r="J931" s="27" t="n"/>
      <c r="K931" s="27" t="n"/>
      <c r="L931" s="27" t="n"/>
      <c r="M931" s="27" t="n"/>
      <c r="N931" s="27" t="n"/>
      <c r="O931" s="27" t="n"/>
      <c r="P931" s="27" t="n"/>
      <c r="Q931" s="27" t="n"/>
      <c r="R931" s="27" t="n"/>
      <c r="S931" s="27" t="n"/>
      <c r="T931" s="27" t="n"/>
      <c r="U931" s="27" t="n"/>
      <c r="V931" s="27" t="n"/>
      <c r="W931" s="27" t="n"/>
      <c r="X931" s="27" t="n"/>
      <c r="Y931" s="27" t="n"/>
      <c r="Z931" s="27" t="n"/>
    </row>
    <row r="932" ht="16.5" customHeight="1" s="117">
      <c r="A932" s="27" t="n"/>
      <c r="B932" s="27" t="n"/>
      <c r="C932" s="27" t="n"/>
      <c r="D932" s="27" t="n"/>
      <c r="E932" s="27" t="n"/>
      <c r="F932" s="27" t="n"/>
      <c r="G932" s="27" t="n"/>
      <c r="H932" s="27" t="n"/>
      <c r="I932" s="27" t="n"/>
      <c r="J932" s="27" t="n"/>
      <c r="K932" s="27" t="n"/>
      <c r="L932" s="27" t="n"/>
      <c r="M932" s="27" t="n"/>
      <c r="N932" s="27" t="n"/>
      <c r="O932" s="27" t="n"/>
      <c r="P932" s="27" t="n"/>
      <c r="Q932" s="27" t="n"/>
      <c r="R932" s="27" t="n"/>
      <c r="S932" s="27" t="n"/>
      <c r="T932" s="27" t="n"/>
      <c r="U932" s="27" t="n"/>
      <c r="V932" s="27" t="n"/>
      <c r="W932" s="27" t="n"/>
      <c r="X932" s="27" t="n"/>
      <c r="Y932" s="27" t="n"/>
      <c r="Z932" s="27" t="n"/>
    </row>
    <row r="933" ht="16.5" customHeight="1" s="117">
      <c r="A933" s="27" t="n"/>
      <c r="B933" s="27" t="n"/>
      <c r="C933" s="27" t="n"/>
      <c r="D933" s="27" t="n"/>
      <c r="E933" s="27" t="n"/>
      <c r="F933" s="27" t="n"/>
      <c r="G933" s="27" t="n"/>
      <c r="H933" s="27" t="n"/>
      <c r="I933" s="27" t="n"/>
      <c r="J933" s="27" t="n"/>
      <c r="K933" s="27" t="n"/>
      <c r="L933" s="27" t="n"/>
      <c r="M933" s="27" t="n"/>
      <c r="N933" s="27" t="n"/>
      <c r="O933" s="27" t="n"/>
      <c r="P933" s="27" t="n"/>
      <c r="Q933" s="27" t="n"/>
      <c r="R933" s="27" t="n"/>
      <c r="S933" s="27" t="n"/>
      <c r="T933" s="27" t="n"/>
      <c r="U933" s="27" t="n"/>
      <c r="V933" s="27" t="n"/>
      <c r="W933" s="27" t="n"/>
      <c r="X933" s="27" t="n"/>
      <c r="Y933" s="27" t="n"/>
      <c r="Z933" s="27" t="n"/>
    </row>
    <row r="934" ht="16.5" customHeight="1" s="117">
      <c r="A934" s="27" t="n"/>
      <c r="B934" s="27" t="n"/>
      <c r="C934" s="27" t="n"/>
      <c r="D934" s="27" t="n"/>
      <c r="E934" s="27" t="n"/>
      <c r="F934" s="27" t="n"/>
      <c r="G934" s="27" t="n"/>
      <c r="H934" s="27" t="n"/>
      <c r="I934" s="27" t="n"/>
      <c r="J934" s="27" t="n"/>
      <c r="K934" s="27" t="n"/>
      <c r="L934" s="27" t="n"/>
      <c r="M934" s="27" t="n"/>
      <c r="N934" s="27" t="n"/>
      <c r="O934" s="27" t="n"/>
      <c r="P934" s="27" t="n"/>
      <c r="Q934" s="27" t="n"/>
      <c r="R934" s="27" t="n"/>
      <c r="S934" s="27" t="n"/>
      <c r="T934" s="27" t="n"/>
      <c r="U934" s="27" t="n"/>
      <c r="V934" s="27" t="n"/>
      <c r="W934" s="27" t="n"/>
      <c r="X934" s="27" t="n"/>
      <c r="Y934" s="27" t="n"/>
      <c r="Z934" s="27" t="n"/>
    </row>
    <row r="935" ht="16.5" customHeight="1" s="117">
      <c r="A935" s="27" t="n"/>
      <c r="B935" s="27" t="n"/>
      <c r="C935" s="27" t="n"/>
      <c r="D935" s="27" t="n"/>
      <c r="E935" s="27" t="n"/>
      <c r="F935" s="27" t="n"/>
      <c r="G935" s="27" t="n"/>
      <c r="H935" s="27" t="n"/>
      <c r="I935" s="27" t="n"/>
      <c r="J935" s="27" t="n"/>
      <c r="K935" s="27" t="n"/>
      <c r="L935" s="27" t="n"/>
      <c r="M935" s="27" t="n"/>
      <c r="N935" s="27" t="n"/>
      <c r="O935" s="27" t="n"/>
      <c r="P935" s="27" t="n"/>
      <c r="Q935" s="27" t="n"/>
      <c r="R935" s="27" t="n"/>
      <c r="S935" s="27" t="n"/>
      <c r="T935" s="27" t="n"/>
      <c r="U935" s="27" t="n"/>
      <c r="V935" s="27" t="n"/>
      <c r="W935" s="27" t="n"/>
      <c r="X935" s="27" t="n"/>
      <c r="Y935" s="27" t="n"/>
      <c r="Z935" s="27" t="n"/>
    </row>
    <row r="936" ht="16.5" customHeight="1" s="117">
      <c r="A936" s="27" t="n"/>
      <c r="B936" s="27" t="n"/>
      <c r="C936" s="27" t="n"/>
      <c r="D936" s="27" t="n"/>
      <c r="E936" s="27" t="n"/>
      <c r="F936" s="27" t="n"/>
      <c r="G936" s="27" t="n"/>
      <c r="H936" s="27" t="n"/>
      <c r="I936" s="27" t="n"/>
      <c r="J936" s="27" t="n"/>
      <c r="K936" s="27" t="n"/>
      <c r="L936" s="27" t="n"/>
      <c r="M936" s="27" t="n"/>
      <c r="N936" s="27" t="n"/>
      <c r="O936" s="27" t="n"/>
      <c r="P936" s="27" t="n"/>
      <c r="Q936" s="27" t="n"/>
      <c r="R936" s="27" t="n"/>
      <c r="S936" s="27" t="n"/>
      <c r="T936" s="27" t="n"/>
      <c r="U936" s="27" t="n"/>
      <c r="V936" s="27" t="n"/>
      <c r="W936" s="27" t="n"/>
      <c r="X936" s="27" t="n"/>
      <c r="Y936" s="27" t="n"/>
      <c r="Z936" s="27" t="n"/>
    </row>
    <row r="937" ht="16.5" customHeight="1" s="117">
      <c r="A937" s="27" t="n"/>
      <c r="B937" s="27" t="n"/>
      <c r="C937" s="27" t="n"/>
      <c r="D937" s="27" t="n"/>
      <c r="E937" s="27" t="n"/>
      <c r="F937" s="27" t="n"/>
      <c r="G937" s="27" t="n"/>
      <c r="H937" s="27" t="n"/>
      <c r="I937" s="27" t="n"/>
      <c r="J937" s="27" t="n"/>
      <c r="K937" s="27" t="n"/>
      <c r="L937" s="27" t="n"/>
      <c r="M937" s="27" t="n"/>
      <c r="N937" s="27" t="n"/>
      <c r="O937" s="27" t="n"/>
      <c r="P937" s="27" t="n"/>
      <c r="Q937" s="27" t="n"/>
      <c r="R937" s="27" t="n"/>
      <c r="S937" s="27" t="n"/>
      <c r="T937" s="27" t="n"/>
      <c r="U937" s="27" t="n"/>
      <c r="V937" s="27" t="n"/>
      <c r="W937" s="27" t="n"/>
      <c r="X937" s="27" t="n"/>
      <c r="Y937" s="27" t="n"/>
      <c r="Z937" s="27" t="n"/>
    </row>
    <row r="938" ht="16.5" customHeight="1" s="117">
      <c r="A938" s="27" t="n"/>
      <c r="B938" s="27" t="n"/>
      <c r="C938" s="27" t="n"/>
      <c r="D938" s="27" t="n"/>
      <c r="E938" s="27" t="n"/>
      <c r="F938" s="27" t="n"/>
      <c r="G938" s="27" t="n"/>
      <c r="H938" s="27" t="n"/>
      <c r="I938" s="27" t="n"/>
      <c r="J938" s="27" t="n"/>
      <c r="K938" s="27" t="n"/>
      <c r="L938" s="27" t="n"/>
      <c r="M938" s="27" t="n"/>
      <c r="N938" s="27" t="n"/>
      <c r="O938" s="27" t="n"/>
      <c r="P938" s="27" t="n"/>
      <c r="Q938" s="27" t="n"/>
      <c r="R938" s="27" t="n"/>
      <c r="S938" s="27" t="n"/>
      <c r="T938" s="27" t="n"/>
      <c r="U938" s="27" t="n"/>
      <c r="V938" s="27" t="n"/>
      <c r="W938" s="27" t="n"/>
      <c r="X938" s="27" t="n"/>
      <c r="Y938" s="27" t="n"/>
      <c r="Z938" s="27" t="n"/>
    </row>
    <row r="939" ht="16.5" customHeight="1" s="117">
      <c r="A939" s="27" t="n"/>
      <c r="B939" s="27" t="n"/>
      <c r="C939" s="27" t="n"/>
      <c r="D939" s="27" t="n"/>
      <c r="E939" s="27" t="n"/>
      <c r="F939" s="27" t="n"/>
      <c r="G939" s="27" t="n"/>
      <c r="H939" s="27" t="n"/>
      <c r="I939" s="27" t="n"/>
      <c r="J939" s="27" t="n"/>
      <c r="K939" s="27" t="n"/>
      <c r="L939" s="27" t="n"/>
      <c r="M939" s="27" t="n"/>
      <c r="N939" s="27" t="n"/>
      <c r="O939" s="27" t="n"/>
      <c r="P939" s="27" t="n"/>
      <c r="Q939" s="27" t="n"/>
      <c r="R939" s="27" t="n"/>
      <c r="S939" s="27" t="n"/>
      <c r="T939" s="27" t="n"/>
      <c r="U939" s="27" t="n"/>
      <c r="V939" s="27" t="n"/>
      <c r="W939" s="27" t="n"/>
      <c r="X939" s="27" t="n"/>
      <c r="Y939" s="27" t="n"/>
      <c r="Z939" s="27" t="n"/>
    </row>
    <row r="940" ht="16.5" customHeight="1" s="117">
      <c r="A940" s="27" t="n"/>
      <c r="B940" s="27" t="n"/>
      <c r="C940" s="27" t="n"/>
      <c r="D940" s="27" t="n"/>
      <c r="E940" s="27" t="n"/>
      <c r="F940" s="27" t="n"/>
      <c r="G940" s="27" t="n"/>
      <c r="H940" s="27" t="n"/>
      <c r="I940" s="27" t="n"/>
      <c r="J940" s="27" t="n"/>
      <c r="K940" s="27" t="n"/>
      <c r="L940" s="27" t="n"/>
      <c r="M940" s="27" t="n"/>
      <c r="N940" s="27" t="n"/>
      <c r="O940" s="27" t="n"/>
      <c r="P940" s="27" t="n"/>
      <c r="Q940" s="27" t="n"/>
      <c r="R940" s="27" t="n"/>
      <c r="S940" s="27" t="n"/>
      <c r="T940" s="27" t="n"/>
      <c r="U940" s="27" t="n"/>
      <c r="V940" s="27" t="n"/>
      <c r="W940" s="27" t="n"/>
      <c r="X940" s="27" t="n"/>
      <c r="Y940" s="27" t="n"/>
      <c r="Z940" s="27" t="n"/>
    </row>
    <row r="941" ht="16.5" customHeight="1" s="117">
      <c r="A941" s="27" t="n"/>
      <c r="B941" s="27" t="n"/>
      <c r="C941" s="27" t="n"/>
      <c r="D941" s="27" t="n"/>
      <c r="E941" s="27" t="n"/>
      <c r="F941" s="27" t="n"/>
      <c r="G941" s="27" t="n"/>
      <c r="H941" s="27" t="n"/>
      <c r="I941" s="27" t="n"/>
      <c r="J941" s="27" t="n"/>
      <c r="K941" s="27" t="n"/>
      <c r="L941" s="27" t="n"/>
      <c r="M941" s="27" t="n"/>
      <c r="N941" s="27" t="n"/>
      <c r="O941" s="27" t="n"/>
      <c r="P941" s="27" t="n"/>
      <c r="Q941" s="27" t="n"/>
      <c r="R941" s="27" t="n"/>
      <c r="S941" s="27" t="n"/>
      <c r="T941" s="27" t="n"/>
      <c r="U941" s="27" t="n"/>
      <c r="V941" s="27" t="n"/>
      <c r="W941" s="27" t="n"/>
      <c r="X941" s="27" t="n"/>
      <c r="Y941" s="27" t="n"/>
      <c r="Z941" s="27" t="n"/>
    </row>
    <row r="942" ht="16.5" customHeight="1" s="117">
      <c r="A942" s="27" t="n"/>
      <c r="B942" s="27" t="n"/>
      <c r="C942" s="27" t="n"/>
      <c r="D942" s="27" t="n"/>
      <c r="E942" s="27" t="n"/>
      <c r="F942" s="27" t="n"/>
      <c r="G942" s="27" t="n"/>
      <c r="H942" s="27" t="n"/>
      <c r="I942" s="27" t="n"/>
      <c r="J942" s="27" t="n"/>
      <c r="K942" s="27" t="n"/>
      <c r="L942" s="27" t="n"/>
      <c r="M942" s="27" t="n"/>
      <c r="N942" s="27" t="n"/>
      <c r="O942" s="27" t="n"/>
      <c r="P942" s="27" t="n"/>
      <c r="Q942" s="27" t="n"/>
      <c r="R942" s="27" t="n"/>
      <c r="S942" s="27" t="n"/>
      <c r="T942" s="27" t="n"/>
      <c r="U942" s="27" t="n"/>
      <c r="V942" s="27" t="n"/>
      <c r="W942" s="27" t="n"/>
      <c r="X942" s="27" t="n"/>
      <c r="Y942" s="27" t="n"/>
      <c r="Z942" s="27" t="n"/>
    </row>
    <row r="943" ht="16.5" customHeight="1" s="117">
      <c r="A943" s="27" t="n"/>
      <c r="B943" s="27" t="n"/>
      <c r="C943" s="27" t="n"/>
      <c r="D943" s="27" t="n"/>
      <c r="E943" s="27" t="n"/>
      <c r="F943" s="27" t="n"/>
      <c r="G943" s="27" t="n"/>
      <c r="H943" s="27" t="n"/>
      <c r="I943" s="27" t="n"/>
      <c r="J943" s="27" t="n"/>
      <c r="K943" s="27" t="n"/>
      <c r="L943" s="27" t="n"/>
      <c r="M943" s="27" t="n"/>
      <c r="N943" s="27" t="n"/>
      <c r="O943" s="27" t="n"/>
      <c r="P943" s="27" t="n"/>
      <c r="Q943" s="27" t="n"/>
      <c r="R943" s="27" t="n"/>
      <c r="S943" s="27" t="n"/>
      <c r="T943" s="27" t="n"/>
      <c r="U943" s="27" t="n"/>
      <c r="V943" s="27" t="n"/>
      <c r="W943" s="27" t="n"/>
      <c r="X943" s="27" t="n"/>
      <c r="Y943" s="27" t="n"/>
      <c r="Z943" s="27" t="n"/>
    </row>
    <row r="944" ht="16.5" customHeight="1" s="117">
      <c r="A944" s="27" t="n"/>
      <c r="B944" s="27" t="n"/>
      <c r="C944" s="27" t="n"/>
      <c r="D944" s="27" t="n"/>
      <c r="E944" s="27" t="n"/>
      <c r="F944" s="27" t="n"/>
      <c r="G944" s="27" t="n"/>
      <c r="H944" s="27" t="n"/>
      <c r="I944" s="27" t="n"/>
      <c r="J944" s="27" t="n"/>
      <c r="K944" s="27" t="n"/>
      <c r="L944" s="27" t="n"/>
      <c r="M944" s="27" t="n"/>
      <c r="N944" s="27" t="n"/>
      <c r="O944" s="27" t="n"/>
      <c r="P944" s="27" t="n"/>
      <c r="Q944" s="27" t="n"/>
      <c r="R944" s="27" t="n"/>
      <c r="S944" s="27" t="n"/>
      <c r="T944" s="27" t="n"/>
      <c r="U944" s="27" t="n"/>
      <c r="V944" s="27" t="n"/>
      <c r="W944" s="27" t="n"/>
      <c r="X944" s="27" t="n"/>
      <c r="Y944" s="27" t="n"/>
      <c r="Z944" s="27" t="n"/>
    </row>
    <row r="945" ht="16.5" customHeight="1" s="117">
      <c r="A945" s="27" t="n"/>
      <c r="B945" s="27" t="n"/>
      <c r="C945" s="27" t="n"/>
      <c r="D945" s="27" t="n"/>
      <c r="E945" s="27" t="n"/>
      <c r="F945" s="27" t="n"/>
      <c r="G945" s="27" t="n"/>
      <c r="H945" s="27" t="n"/>
      <c r="I945" s="27" t="n"/>
      <c r="J945" s="27" t="n"/>
      <c r="K945" s="27" t="n"/>
      <c r="L945" s="27" t="n"/>
      <c r="M945" s="27" t="n"/>
      <c r="N945" s="27" t="n"/>
      <c r="O945" s="27" t="n"/>
      <c r="P945" s="27" t="n"/>
      <c r="Q945" s="27" t="n"/>
      <c r="R945" s="27" t="n"/>
      <c r="S945" s="27" t="n"/>
      <c r="T945" s="27" t="n"/>
      <c r="U945" s="27" t="n"/>
      <c r="V945" s="27" t="n"/>
      <c r="W945" s="27" t="n"/>
      <c r="X945" s="27" t="n"/>
      <c r="Y945" s="27" t="n"/>
      <c r="Z945" s="27" t="n"/>
    </row>
    <row r="946" ht="16.5" customHeight="1" s="117">
      <c r="A946" s="27" t="n"/>
      <c r="B946" s="27" t="n"/>
      <c r="C946" s="27" t="n"/>
      <c r="D946" s="27" t="n"/>
      <c r="E946" s="27" t="n"/>
      <c r="F946" s="27" t="n"/>
      <c r="G946" s="27" t="n"/>
      <c r="H946" s="27" t="n"/>
      <c r="I946" s="27" t="n"/>
      <c r="J946" s="27" t="n"/>
      <c r="K946" s="27" t="n"/>
      <c r="L946" s="27" t="n"/>
      <c r="M946" s="27" t="n"/>
      <c r="N946" s="27" t="n"/>
      <c r="O946" s="27" t="n"/>
      <c r="P946" s="27" t="n"/>
      <c r="Q946" s="27" t="n"/>
      <c r="R946" s="27" t="n"/>
      <c r="S946" s="27" t="n"/>
      <c r="T946" s="27" t="n"/>
      <c r="U946" s="27" t="n"/>
      <c r="V946" s="27" t="n"/>
      <c r="W946" s="27" t="n"/>
      <c r="X946" s="27" t="n"/>
      <c r="Y946" s="27" t="n"/>
      <c r="Z946" s="27" t="n"/>
    </row>
    <row r="947" ht="16.5" customHeight="1" s="117">
      <c r="A947" s="27" t="n"/>
      <c r="B947" s="27" t="n"/>
      <c r="C947" s="27" t="n"/>
      <c r="D947" s="27" t="n"/>
      <c r="E947" s="27" t="n"/>
      <c r="F947" s="27" t="n"/>
      <c r="G947" s="27" t="n"/>
      <c r="H947" s="27" t="n"/>
      <c r="I947" s="27" t="n"/>
      <c r="J947" s="27" t="n"/>
      <c r="K947" s="27" t="n"/>
      <c r="L947" s="27" t="n"/>
      <c r="M947" s="27" t="n"/>
      <c r="N947" s="27" t="n"/>
      <c r="O947" s="27" t="n"/>
      <c r="P947" s="27" t="n"/>
      <c r="Q947" s="27" t="n"/>
      <c r="R947" s="27" t="n"/>
      <c r="S947" s="27" t="n"/>
      <c r="T947" s="27" t="n"/>
      <c r="U947" s="27" t="n"/>
      <c r="V947" s="27" t="n"/>
      <c r="W947" s="27" t="n"/>
      <c r="X947" s="27" t="n"/>
      <c r="Y947" s="27" t="n"/>
      <c r="Z947" s="27" t="n"/>
    </row>
    <row r="948" ht="16.5" customHeight="1" s="117">
      <c r="A948" s="27" t="n"/>
      <c r="B948" s="27" t="n"/>
      <c r="C948" s="27" t="n"/>
      <c r="D948" s="27" t="n"/>
      <c r="E948" s="27" t="n"/>
      <c r="F948" s="27" t="n"/>
      <c r="G948" s="27" t="n"/>
      <c r="H948" s="27" t="n"/>
      <c r="I948" s="27" t="n"/>
      <c r="J948" s="27" t="n"/>
      <c r="K948" s="27" t="n"/>
      <c r="L948" s="27" t="n"/>
      <c r="M948" s="27" t="n"/>
      <c r="N948" s="27" t="n"/>
      <c r="O948" s="27" t="n"/>
      <c r="P948" s="27" t="n"/>
      <c r="Q948" s="27" t="n"/>
      <c r="R948" s="27" t="n"/>
      <c r="S948" s="27" t="n"/>
      <c r="T948" s="27" t="n"/>
      <c r="U948" s="27" t="n"/>
      <c r="V948" s="27" t="n"/>
      <c r="W948" s="27" t="n"/>
      <c r="X948" s="27" t="n"/>
      <c r="Y948" s="27" t="n"/>
      <c r="Z948" s="27" t="n"/>
    </row>
    <row r="949" ht="16.5" customHeight="1" s="117">
      <c r="A949" s="27" t="n"/>
      <c r="B949" s="27" t="n"/>
      <c r="C949" s="27" t="n"/>
      <c r="D949" s="27" t="n"/>
      <c r="E949" s="27" t="n"/>
      <c r="F949" s="27" t="n"/>
      <c r="G949" s="27" t="n"/>
      <c r="H949" s="27" t="n"/>
      <c r="I949" s="27" t="n"/>
      <c r="J949" s="27" t="n"/>
      <c r="K949" s="27" t="n"/>
      <c r="L949" s="27" t="n"/>
      <c r="M949" s="27" t="n"/>
      <c r="N949" s="27" t="n"/>
      <c r="O949" s="27" t="n"/>
      <c r="P949" s="27" t="n"/>
      <c r="Q949" s="27" t="n"/>
      <c r="R949" s="27" t="n"/>
      <c r="S949" s="27" t="n"/>
      <c r="T949" s="27" t="n"/>
      <c r="U949" s="27" t="n"/>
      <c r="V949" s="27" t="n"/>
      <c r="W949" s="27" t="n"/>
      <c r="X949" s="27" t="n"/>
      <c r="Y949" s="27" t="n"/>
      <c r="Z949" s="27" t="n"/>
    </row>
    <row r="950" ht="16.5" customHeight="1" s="117">
      <c r="A950" s="27" t="n"/>
      <c r="B950" s="27" t="n"/>
      <c r="C950" s="27" t="n"/>
      <c r="D950" s="27" t="n"/>
      <c r="E950" s="27" t="n"/>
      <c r="F950" s="27" t="n"/>
      <c r="G950" s="27" t="n"/>
      <c r="H950" s="27" t="n"/>
      <c r="I950" s="27" t="n"/>
      <c r="J950" s="27" t="n"/>
      <c r="K950" s="27" t="n"/>
      <c r="L950" s="27" t="n"/>
      <c r="M950" s="27" t="n"/>
      <c r="N950" s="27" t="n"/>
      <c r="O950" s="27" t="n"/>
      <c r="P950" s="27" t="n"/>
      <c r="Q950" s="27" t="n"/>
      <c r="R950" s="27" t="n"/>
      <c r="S950" s="27" t="n"/>
      <c r="T950" s="27" t="n"/>
      <c r="U950" s="27" t="n"/>
      <c r="V950" s="27" t="n"/>
      <c r="W950" s="27" t="n"/>
      <c r="X950" s="27" t="n"/>
      <c r="Y950" s="27" t="n"/>
      <c r="Z950" s="27" t="n"/>
    </row>
    <row r="951" ht="16.5" customHeight="1" s="117">
      <c r="A951" s="27" t="n"/>
      <c r="B951" s="27" t="n"/>
      <c r="C951" s="27" t="n"/>
      <c r="D951" s="27" t="n"/>
      <c r="E951" s="27" t="n"/>
      <c r="F951" s="27" t="n"/>
      <c r="G951" s="27" t="n"/>
      <c r="H951" s="27" t="n"/>
      <c r="I951" s="27" t="n"/>
      <c r="J951" s="27" t="n"/>
      <c r="K951" s="27" t="n"/>
      <c r="L951" s="27" t="n"/>
      <c r="M951" s="27" t="n"/>
      <c r="N951" s="27" t="n"/>
      <c r="O951" s="27" t="n"/>
      <c r="P951" s="27" t="n"/>
      <c r="Q951" s="27" t="n"/>
      <c r="R951" s="27" t="n"/>
      <c r="S951" s="27" t="n"/>
      <c r="T951" s="27" t="n"/>
      <c r="U951" s="27" t="n"/>
      <c r="V951" s="27" t="n"/>
      <c r="W951" s="27" t="n"/>
      <c r="X951" s="27" t="n"/>
      <c r="Y951" s="27" t="n"/>
      <c r="Z951" s="27" t="n"/>
    </row>
    <row r="952" ht="16.5" customHeight="1" s="117">
      <c r="A952" s="27" t="n"/>
      <c r="B952" s="27" t="n"/>
      <c r="C952" s="27" t="n"/>
      <c r="D952" s="27" t="n"/>
      <c r="E952" s="27" t="n"/>
      <c r="F952" s="27" t="n"/>
      <c r="G952" s="27" t="n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n"/>
      <c r="R952" s="27" t="n"/>
      <c r="S952" s="27" t="n"/>
      <c r="T952" s="27" t="n"/>
      <c r="U952" s="27" t="n"/>
      <c r="V952" s="27" t="n"/>
      <c r="W952" s="27" t="n"/>
      <c r="X952" s="27" t="n"/>
      <c r="Y952" s="27" t="n"/>
      <c r="Z952" s="27" t="n"/>
    </row>
    <row r="953" ht="16.5" customHeight="1" s="117">
      <c r="A953" s="27" t="n"/>
      <c r="B953" s="27" t="n"/>
      <c r="C953" s="27" t="n"/>
      <c r="D953" s="27" t="n"/>
      <c r="E953" s="27" t="n"/>
      <c r="F953" s="27" t="n"/>
      <c r="G953" s="27" t="n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n"/>
      <c r="R953" s="27" t="n"/>
      <c r="S953" s="27" t="n"/>
      <c r="T953" s="27" t="n"/>
      <c r="U953" s="27" t="n"/>
      <c r="V953" s="27" t="n"/>
      <c r="W953" s="27" t="n"/>
      <c r="X953" s="27" t="n"/>
      <c r="Y953" s="27" t="n"/>
      <c r="Z953" s="27" t="n"/>
    </row>
    <row r="954" ht="16.5" customHeight="1" s="117">
      <c r="A954" s="27" t="n"/>
      <c r="B954" s="27" t="n"/>
      <c r="C954" s="27" t="n"/>
      <c r="D954" s="27" t="n"/>
      <c r="E954" s="27" t="n"/>
      <c r="F954" s="27" t="n"/>
      <c r="G954" s="27" t="n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n"/>
      <c r="R954" s="27" t="n"/>
      <c r="S954" s="27" t="n"/>
      <c r="T954" s="27" t="n"/>
      <c r="U954" s="27" t="n"/>
      <c r="V954" s="27" t="n"/>
      <c r="W954" s="27" t="n"/>
      <c r="X954" s="27" t="n"/>
      <c r="Y954" s="27" t="n"/>
      <c r="Z954" s="27" t="n"/>
    </row>
    <row r="955" ht="16.5" customHeight="1" s="117">
      <c r="A955" s="27" t="n"/>
      <c r="B955" s="27" t="n"/>
      <c r="C955" s="27" t="n"/>
      <c r="D955" s="27" t="n"/>
      <c r="E955" s="27" t="n"/>
      <c r="F955" s="27" t="n"/>
      <c r="G955" s="27" t="n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n"/>
      <c r="R955" s="27" t="n"/>
      <c r="S955" s="27" t="n"/>
      <c r="T955" s="27" t="n"/>
      <c r="U955" s="27" t="n"/>
      <c r="V955" s="27" t="n"/>
      <c r="W955" s="27" t="n"/>
      <c r="X955" s="27" t="n"/>
      <c r="Y955" s="27" t="n"/>
      <c r="Z955" s="27" t="n"/>
    </row>
    <row r="956" ht="16.5" customHeight="1" s="117">
      <c r="A956" s="27" t="n"/>
      <c r="B956" s="27" t="n"/>
      <c r="C956" s="27" t="n"/>
      <c r="D956" s="27" t="n"/>
      <c r="E956" s="27" t="n"/>
      <c r="F956" s="27" t="n"/>
      <c r="G956" s="27" t="n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n"/>
      <c r="R956" s="27" t="n"/>
      <c r="S956" s="27" t="n"/>
      <c r="T956" s="27" t="n"/>
      <c r="U956" s="27" t="n"/>
      <c r="V956" s="27" t="n"/>
      <c r="W956" s="27" t="n"/>
      <c r="X956" s="27" t="n"/>
      <c r="Y956" s="27" t="n"/>
      <c r="Z956" s="27" t="n"/>
    </row>
    <row r="957" ht="16.5" customHeight="1" s="117">
      <c r="A957" s="27" t="n"/>
      <c r="B957" s="27" t="n"/>
      <c r="C957" s="27" t="n"/>
      <c r="D957" s="27" t="n"/>
      <c r="E957" s="27" t="n"/>
      <c r="F957" s="27" t="n"/>
      <c r="G957" s="27" t="n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n"/>
      <c r="R957" s="27" t="n"/>
      <c r="S957" s="27" t="n"/>
      <c r="T957" s="27" t="n"/>
      <c r="U957" s="27" t="n"/>
      <c r="V957" s="27" t="n"/>
      <c r="W957" s="27" t="n"/>
      <c r="X957" s="27" t="n"/>
      <c r="Y957" s="27" t="n"/>
      <c r="Z957" s="27" t="n"/>
    </row>
    <row r="958" ht="16.5" customHeight="1" s="117">
      <c r="A958" s="27" t="n"/>
      <c r="B958" s="27" t="n"/>
      <c r="C958" s="27" t="n"/>
      <c r="D958" s="27" t="n"/>
      <c r="E958" s="27" t="n"/>
      <c r="F958" s="27" t="n"/>
      <c r="G958" s="27" t="n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n"/>
      <c r="R958" s="27" t="n"/>
      <c r="S958" s="27" t="n"/>
      <c r="T958" s="27" t="n"/>
      <c r="U958" s="27" t="n"/>
      <c r="V958" s="27" t="n"/>
      <c r="W958" s="27" t="n"/>
      <c r="X958" s="27" t="n"/>
      <c r="Y958" s="27" t="n"/>
      <c r="Z958" s="27" t="n"/>
    </row>
    <row r="959" ht="16.5" customHeight="1" s="117">
      <c r="A959" s="27" t="n"/>
      <c r="B959" s="27" t="n"/>
      <c r="C959" s="27" t="n"/>
      <c r="D959" s="27" t="n"/>
      <c r="E959" s="27" t="n"/>
      <c r="F959" s="27" t="n"/>
      <c r="G959" s="27" t="n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n"/>
      <c r="R959" s="27" t="n"/>
      <c r="S959" s="27" t="n"/>
      <c r="T959" s="27" t="n"/>
      <c r="U959" s="27" t="n"/>
      <c r="V959" s="27" t="n"/>
      <c r="W959" s="27" t="n"/>
      <c r="X959" s="27" t="n"/>
      <c r="Y959" s="27" t="n"/>
      <c r="Z959" s="27" t="n"/>
    </row>
    <row r="960" ht="16.5" customHeight="1" s="117">
      <c r="A960" s="27" t="n"/>
      <c r="B960" s="27" t="n"/>
      <c r="C960" s="27" t="n"/>
      <c r="D960" s="27" t="n"/>
      <c r="E960" s="27" t="n"/>
      <c r="F960" s="27" t="n"/>
      <c r="G960" s="27" t="n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n"/>
      <c r="R960" s="27" t="n"/>
      <c r="S960" s="27" t="n"/>
      <c r="T960" s="27" t="n"/>
      <c r="U960" s="27" t="n"/>
      <c r="V960" s="27" t="n"/>
      <c r="W960" s="27" t="n"/>
      <c r="X960" s="27" t="n"/>
      <c r="Y960" s="27" t="n"/>
      <c r="Z960" s="27" t="n"/>
    </row>
    <row r="961" ht="16.5" customHeight="1" s="117">
      <c r="A961" s="27" t="n"/>
      <c r="B961" s="27" t="n"/>
      <c r="C961" s="27" t="n"/>
      <c r="D961" s="27" t="n"/>
      <c r="E961" s="27" t="n"/>
      <c r="F961" s="27" t="n"/>
      <c r="G961" s="27" t="n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n"/>
      <c r="R961" s="27" t="n"/>
      <c r="S961" s="27" t="n"/>
      <c r="T961" s="27" t="n"/>
      <c r="U961" s="27" t="n"/>
      <c r="V961" s="27" t="n"/>
      <c r="W961" s="27" t="n"/>
      <c r="X961" s="27" t="n"/>
      <c r="Y961" s="27" t="n"/>
      <c r="Z961" s="27" t="n"/>
    </row>
    <row r="962" ht="16.5" customHeight="1" s="117">
      <c r="A962" s="27" t="n"/>
      <c r="B962" s="27" t="n"/>
      <c r="C962" s="27" t="n"/>
      <c r="D962" s="27" t="n"/>
      <c r="E962" s="27" t="n"/>
      <c r="F962" s="27" t="n"/>
      <c r="G962" s="27" t="n"/>
      <c r="H962" s="27" t="n"/>
      <c r="I962" s="27" t="n"/>
      <c r="J962" s="27" t="n"/>
      <c r="K962" s="27" t="n"/>
      <c r="L962" s="27" t="n"/>
      <c r="M962" s="27" t="n"/>
      <c r="N962" s="27" t="n"/>
      <c r="O962" s="27" t="n"/>
      <c r="P962" s="27" t="n"/>
      <c r="Q962" s="27" t="n"/>
      <c r="R962" s="27" t="n"/>
      <c r="S962" s="27" t="n"/>
      <c r="T962" s="27" t="n"/>
      <c r="U962" s="27" t="n"/>
      <c r="V962" s="27" t="n"/>
      <c r="W962" s="27" t="n"/>
      <c r="X962" s="27" t="n"/>
      <c r="Y962" s="27" t="n"/>
      <c r="Z962" s="27" t="n"/>
    </row>
    <row r="963" ht="16.5" customHeight="1" s="117">
      <c r="A963" s="27" t="n"/>
      <c r="B963" s="27" t="n"/>
      <c r="C963" s="27" t="n"/>
      <c r="D963" s="27" t="n"/>
      <c r="E963" s="27" t="n"/>
      <c r="F963" s="27" t="n"/>
      <c r="G963" s="27" t="n"/>
      <c r="H963" s="27" t="n"/>
      <c r="I963" s="27" t="n"/>
      <c r="J963" s="27" t="n"/>
      <c r="K963" s="27" t="n"/>
      <c r="L963" s="27" t="n"/>
      <c r="M963" s="27" t="n"/>
      <c r="N963" s="27" t="n"/>
      <c r="O963" s="27" t="n"/>
      <c r="P963" s="27" t="n"/>
      <c r="Q963" s="27" t="n"/>
      <c r="R963" s="27" t="n"/>
      <c r="S963" s="27" t="n"/>
      <c r="T963" s="27" t="n"/>
      <c r="U963" s="27" t="n"/>
      <c r="V963" s="27" t="n"/>
      <c r="W963" s="27" t="n"/>
      <c r="X963" s="27" t="n"/>
      <c r="Y963" s="27" t="n"/>
      <c r="Z963" s="27" t="n"/>
    </row>
    <row r="964" ht="16.5" customHeight="1" s="117">
      <c r="A964" s="27" t="n"/>
      <c r="B964" s="27" t="n"/>
      <c r="C964" s="27" t="n"/>
      <c r="D964" s="27" t="n"/>
      <c r="E964" s="27" t="n"/>
      <c r="F964" s="27" t="n"/>
      <c r="G964" s="27" t="n"/>
      <c r="H964" s="27" t="n"/>
      <c r="I964" s="27" t="n"/>
      <c r="J964" s="27" t="n"/>
      <c r="K964" s="27" t="n"/>
      <c r="L964" s="27" t="n"/>
      <c r="M964" s="27" t="n"/>
      <c r="N964" s="27" t="n"/>
      <c r="O964" s="27" t="n"/>
      <c r="P964" s="27" t="n"/>
      <c r="Q964" s="27" t="n"/>
      <c r="R964" s="27" t="n"/>
      <c r="S964" s="27" t="n"/>
      <c r="T964" s="27" t="n"/>
      <c r="U964" s="27" t="n"/>
      <c r="V964" s="27" t="n"/>
      <c r="W964" s="27" t="n"/>
      <c r="X964" s="27" t="n"/>
      <c r="Y964" s="27" t="n"/>
      <c r="Z964" s="27" t="n"/>
    </row>
    <row r="965" ht="16.5" customHeight="1" s="117">
      <c r="A965" s="27" t="n"/>
      <c r="B965" s="27" t="n"/>
      <c r="C965" s="27" t="n"/>
      <c r="D965" s="27" t="n"/>
      <c r="E965" s="27" t="n"/>
      <c r="F965" s="27" t="n"/>
      <c r="G965" s="27" t="n"/>
      <c r="H965" s="27" t="n"/>
      <c r="I965" s="27" t="n"/>
      <c r="J965" s="27" t="n"/>
      <c r="K965" s="27" t="n"/>
      <c r="L965" s="27" t="n"/>
      <c r="M965" s="27" t="n"/>
      <c r="N965" s="27" t="n"/>
      <c r="O965" s="27" t="n"/>
      <c r="P965" s="27" t="n"/>
      <c r="Q965" s="27" t="n"/>
      <c r="R965" s="27" t="n"/>
      <c r="S965" s="27" t="n"/>
      <c r="T965" s="27" t="n"/>
      <c r="U965" s="27" t="n"/>
      <c r="V965" s="27" t="n"/>
      <c r="W965" s="27" t="n"/>
      <c r="X965" s="27" t="n"/>
      <c r="Y965" s="27" t="n"/>
      <c r="Z965" s="27" t="n"/>
    </row>
    <row r="966" ht="16.5" customHeight="1" s="117">
      <c r="A966" s="27" t="n"/>
      <c r="B966" s="27" t="n"/>
      <c r="C966" s="27" t="n"/>
      <c r="D966" s="27" t="n"/>
      <c r="E966" s="27" t="n"/>
      <c r="F966" s="27" t="n"/>
      <c r="G966" s="27" t="n"/>
      <c r="H966" s="27" t="n"/>
      <c r="I966" s="27" t="n"/>
      <c r="J966" s="27" t="n"/>
      <c r="K966" s="27" t="n"/>
      <c r="L966" s="27" t="n"/>
      <c r="M966" s="27" t="n"/>
      <c r="N966" s="27" t="n"/>
      <c r="O966" s="27" t="n"/>
      <c r="P966" s="27" t="n"/>
      <c r="Q966" s="27" t="n"/>
      <c r="R966" s="27" t="n"/>
      <c r="S966" s="27" t="n"/>
      <c r="T966" s="27" t="n"/>
      <c r="U966" s="27" t="n"/>
      <c r="V966" s="27" t="n"/>
      <c r="W966" s="27" t="n"/>
      <c r="X966" s="27" t="n"/>
      <c r="Y966" s="27" t="n"/>
      <c r="Z966" s="27" t="n"/>
    </row>
    <row r="967" ht="16.5" customHeight="1" s="117">
      <c r="A967" s="27" t="n"/>
      <c r="B967" s="27" t="n"/>
      <c r="C967" s="27" t="n"/>
      <c r="D967" s="27" t="n"/>
      <c r="E967" s="27" t="n"/>
      <c r="F967" s="27" t="n"/>
      <c r="G967" s="27" t="n"/>
      <c r="H967" s="27" t="n"/>
      <c r="I967" s="27" t="n"/>
      <c r="J967" s="27" t="n"/>
      <c r="K967" s="27" t="n"/>
      <c r="L967" s="27" t="n"/>
      <c r="M967" s="27" t="n"/>
      <c r="N967" s="27" t="n"/>
      <c r="O967" s="27" t="n"/>
      <c r="P967" s="27" t="n"/>
      <c r="Q967" s="27" t="n"/>
      <c r="R967" s="27" t="n"/>
      <c r="S967" s="27" t="n"/>
      <c r="T967" s="27" t="n"/>
      <c r="U967" s="27" t="n"/>
      <c r="V967" s="27" t="n"/>
      <c r="W967" s="27" t="n"/>
      <c r="X967" s="27" t="n"/>
      <c r="Y967" s="27" t="n"/>
      <c r="Z967" s="27" t="n"/>
    </row>
    <row r="968" ht="16.5" customHeight="1" s="117">
      <c r="A968" s="27" t="n"/>
      <c r="B968" s="27" t="n"/>
      <c r="C968" s="27" t="n"/>
      <c r="D968" s="27" t="n"/>
      <c r="E968" s="27" t="n"/>
      <c r="F968" s="27" t="n"/>
      <c r="G968" s="27" t="n"/>
      <c r="H968" s="27" t="n"/>
      <c r="I968" s="27" t="n"/>
      <c r="J968" s="27" t="n"/>
      <c r="K968" s="27" t="n"/>
      <c r="L968" s="27" t="n"/>
      <c r="M968" s="27" t="n"/>
      <c r="N968" s="27" t="n"/>
      <c r="O968" s="27" t="n"/>
      <c r="P968" s="27" t="n"/>
      <c r="Q968" s="27" t="n"/>
      <c r="R968" s="27" t="n"/>
      <c r="S968" s="27" t="n"/>
      <c r="T968" s="27" t="n"/>
      <c r="U968" s="27" t="n"/>
      <c r="V968" s="27" t="n"/>
      <c r="W968" s="27" t="n"/>
      <c r="X968" s="27" t="n"/>
      <c r="Y968" s="27" t="n"/>
      <c r="Z968" s="27" t="n"/>
    </row>
    <row r="969" ht="16.5" customHeight="1" s="117">
      <c r="A969" s="27" t="n"/>
      <c r="B969" s="27" t="n"/>
      <c r="C969" s="27" t="n"/>
      <c r="D969" s="27" t="n"/>
      <c r="E969" s="27" t="n"/>
      <c r="F969" s="27" t="n"/>
      <c r="G969" s="27" t="n"/>
      <c r="H969" s="27" t="n"/>
      <c r="I969" s="27" t="n"/>
      <c r="J969" s="27" t="n"/>
      <c r="K969" s="27" t="n"/>
      <c r="L969" s="27" t="n"/>
      <c r="M969" s="27" t="n"/>
      <c r="N969" s="27" t="n"/>
      <c r="O969" s="27" t="n"/>
      <c r="P969" s="27" t="n"/>
      <c r="Q969" s="27" t="n"/>
      <c r="R969" s="27" t="n"/>
      <c r="S969" s="27" t="n"/>
      <c r="T969" s="27" t="n"/>
      <c r="U969" s="27" t="n"/>
      <c r="V969" s="27" t="n"/>
      <c r="W969" s="27" t="n"/>
      <c r="X969" s="27" t="n"/>
      <c r="Y969" s="27" t="n"/>
      <c r="Z969" s="27" t="n"/>
    </row>
    <row r="970" ht="16.5" customHeight="1" s="117">
      <c r="A970" s="27" t="n"/>
      <c r="B970" s="27" t="n"/>
      <c r="C970" s="27" t="n"/>
      <c r="D970" s="27" t="n"/>
      <c r="E970" s="27" t="n"/>
      <c r="F970" s="27" t="n"/>
      <c r="G970" s="27" t="n"/>
      <c r="H970" s="27" t="n"/>
      <c r="I970" s="27" t="n"/>
      <c r="J970" s="27" t="n"/>
      <c r="K970" s="27" t="n"/>
      <c r="L970" s="27" t="n"/>
      <c r="M970" s="27" t="n"/>
      <c r="N970" s="27" t="n"/>
      <c r="O970" s="27" t="n"/>
      <c r="P970" s="27" t="n"/>
      <c r="Q970" s="27" t="n"/>
      <c r="R970" s="27" t="n"/>
      <c r="S970" s="27" t="n"/>
      <c r="T970" s="27" t="n"/>
      <c r="U970" s="27" t="n"/>
      <c r="V970" s="27" t="n"/>
      <c r="W970" s="27" t="n"/>
      <c r="X970" s="27" t="n"/>
      <c r="Y970" s="27" t="n"/>
      <c r="Z970" s="27" t="n"/>
    </row>
    <row r="971" ht="16.5" customHeight="1" s="117">
      <c r="A971" s="27" t="n"/>
      <c r="B971" s="27" t="n"/>
      <c r="C971" s="27" t="n"/>
      <c r="D971" s="27" t="n"/>
      <c r="E971" s="27" t="n"/>
      <c r="F971" s="27" t="n"/>
      <c r="G971" s="27" t="n"/>
      <c r="H971" s="27" t="n"/>
      <c r="I971" s="27" t="n"/>
      <c r="J971" s="27" t="n"/>
      <c r="K971" s="27" t="n"/>
      <c r="L971" s="27" t="n"/>
      <c r="M971" s="27" t="n"/>
      <c r="N971" s="27" t="n"/>
      <c r="O971" s="27" t="n"/>
      <c r="P971" s="27" t="n"/>
      <c r="Q971" s="27" t="n"/>
      <c r="R971" s="27" t="n"/>
      <c r="S971" s="27" t="n"/>
      <c r="T971" s="27" t="n"/>
      <c r="U971" s="27" t="n"/>
      <c r="V971" s="27" t="n"/>
      <c r="W971" s="27" t="n"/>
      <c r="X971" s="27" t="n"/>
      <c r="Y971" s="27" t="n"/>
      <c r="Z971" s="27" t="n"/>
    </row>
    <row r="972" ht="16.5" customHeight="1" s="117">
      <c r="A972" s="27" t="n"/>
      <c r="B972" s="27" t="n"/>
      <c r="C972" s="27" t="n"/>
      <c r="D972" s="27" t="n"/>
      <c r="E972" s="27" t="n"/>
      <c r="F972" s="27" t="n"/>
      <c r="G972" s="27" t="n"/>
      <c r="H972" s="27" t="n"/>
      <c r="I972" s="27" t="n"/>
      <c r="J972" s="27" t="n"/>
      <c r="K972" s="27" t="n"/>
      <c r="L972" s="27" t="n"/>
      <c r="M972" s="27" t="n"/>
      <c r="N972" s="27" t="n"/>
      <c r="O972" s="27" t="n"/>
      <c r="P972" s="27" t="n"/>
      <c r="Q972" s="27" t="n"/>
      <c r="R972" s="27" t="n"/>
      <c r="S972" s="27" t="n"/>
      <c r="T972" s="27" t="n"/>
      <c r="U972" s="27" t="n"/>
      <c r="V972" s="27" t="n"/>
      <c r="W972" s="27" t="n"/>
      <c r="X972" s="27" t="n"/>
      <c r="Y972" s="27" t="n"/>
      <c r="Z972" s="27" t="n"/>
    </row>
    <row r="973" ht="16.5" customHeight="1" s="117">
      <c r="A973" s="27" t="n"/>
      <c r="B973" s="27" t="n"/>
      <c r="C973" s="27" t="n"/>
      <c r="D973" s="27" t="n"/>
      <c r="E973" s="27" t="n"/>
      <c r="F973" s="27" t="n"/>
      <c r="G973" s="27" t="n"/>
      <c r="H973" s="27" t="n"/>
      <c r="I973" s="27" t="n"/>
      <c r="J973" s="27" t="n"/>
      <c r="K973" s="27" t="n"/>
      <c r="L973" s="27" t="n"/>
      <c r="M973" s="27" t="n"/>
      <c r="N973" s="27" t="n"/>
      <c r="O973" s="27" t="n"/>
      <c r="P973" s="27" t="n"/>
      <c r="Q973" s="27" t="n"/>
      <c r="R973" s="27" t="n"/>
      <c r="S973" s="27" t="n"/>
      <c r="T973" s="27" t="n"/>
      <c r="U973" s="27" t="n"/>
      <c r="V973" s="27" t="n"/>
      <c r="W973" s="27" t="n"/>
      <c r="X973" s="27" t="n"/>
      <c r="Y973" s="27" t="n"/>
      <c r="Z973" s="27" t="n"/>
    </row>
    <row r="974" ht="16.5" customHeight="1" s="117">
      <c r="A974" s="27" t="n"/>
      <c r="B974" s="27" t="n"/>
      <c r="C974" s="27" t="n"/>
      <c r="D974" s="27" t="n"/>
      <c r="E974" s="27" t="n"/>
      <c r="F974" s="27" t="n"/>
      <c r="G974" s="27" t="n"/>
      <c r="H974" s="27" t="n"/>
      <c r="I974" s="27" t="n"/>
      <c r="J974" s="27" t="n"/>
      <c r="K974" s="27" t="n"/>
      <c r="L974" s="27" t="n"/>
      <c r="M974" s="27" t="n"/>
      <c r="N974" s="27" t="n"/>
      <c r="O974" s="27" t="n"/>
      <c r="P974" s="27" t="n"/>
      <c r="Q974" s="27" t="n"/>
      <c r="R974" s="27" t="n"/>
      <c r="S974" s="27" t="n"/>
      <c r="T974" s="27" t="n"/>
      <c r="U974" s="27" t="n"/>
      <c r="V974" s="27" t="n"/>
      <c r="W974" s="27" t="n"/>
      <c r="X974" s="27" t="n"/>
      <c r="Y974" s="27" t="n"/>
      <c r="Z974" s="27" t="n"/>
    </row>
    <row r="975" ht="16.5" customHeight="1" s="117">
      <c r="A975" s="27" t="n"/>
      <c r="B975" s="27" t="n"/>
      <c r="C975" s="27" t="n"/>
      <c r="D975" s="27" t="n"/>
      <c r="E975" s="27" t="n"/>
      <c r="F975" s="27" t="n"/>
      <c r="G975" s="27" t="n"/>
      <c r="H975" s="27" t="n"/>
      <c r="I975" s="27" t="n"/>
      <c r="J975" s="27" t="n"/>
      <c r="K975" s="27" t="n"/>
      <c r="L975" s="27" t="n"/>
      <c r="M975" s="27" t="n"/>
      <c r="N975" s="27" t="n"/>
      <c r="O975" s="27" t="n"/>
      <c r="P975" s="27" t="n"/>
      <c r="Q975" s="27" t="n"/>
      <c r="R975" s="27" t="n"/>
      <c r="S975" s="27" t="n"/>
      <c r="T975" s="27" t="n"/>
      <c r="U975" s="27" t="n"/>
      <c r="V975" s="27" t="n"/>
      <c r="W975" s="27" t="n"/>
      <c r="X975" s="27" t="n"/>
      <c r="Y975" s="27" t="n"/>
      <c r="Z975" s="27" t="n"/>
    </row>
    <row r="976" ht="16.5" customHeight="1" s="117">
      <c r="A976" s="27" t="n"/>
      <c r="B976" s="27" t="n"/>
      <c r="C976" s="27" t="n"/>
      <c r="D976" s="27" t="n"/>
      <c r="E976" s="27" t="n"/>
      <c r="F976" s="27" t="n"/>
      <c r="G976" s="27" t="n"/>
      <c r="H976" s="27" t="n"/>
      <c r="I976" s="27" t="n"/>
      <c r="J976" s="27" t="n"/>
      <c r="K976" s="27" t="n"/>
      <c r="L976" s="27" t="n"/>
      <c r="M976" s="27" t="n"/>
      <c r="N976" s="27" t="n"/>
      <c r="O976" s="27" t="n"/>
      <c r="P976" s="27" t="n"/>
      <c r="Q976" s="27" t="n"/>
      <c r="R976" s="27" t="n"/>
      <c r="S976" s="27" t="n"/>
      <c r="T976" s="27" t="n"/>
      <c r="U976" s="27" t="n"/>
      <c r="V976" s="27" t="n"/>
      <c r="W976" s="27" t="n"/>
      <c r="X976" s="27" t="n"/>
      <c r="Y976" s="27" t="n"/>
      <c r="Z976" s="27" t="n"/>
    </row>
    <row r="977" ht="16.5" customHeight="1" s="117">
      <c r="A977" s="27" t="n"/>
      <c r="B977" s="27" t="n"/>
      <c r="C977" s="27" t="n"/>
      <c r="D977" s="27" t="n"/>
      <c r="E977" s="27" t="n"/>
      <c r="F977" s="27" t="n"/>
      <c r="G977" s="27" t="n"/>
      <c r="H977" s="27" t="n"/>
      <c r="I977" s="27" t="n"/>
      <c r="J977" s="27" t="n"/>
      <c r="K977" s="27" t="n"/>
      <c r="L977" s="27" t="n"/>
      <c r="M977" s="27" t="n"/>
      <c r="N977" s="27" t="n"/>
      <c r="O977" s="27" t="n"/>
      <c r="P977" s="27" t="n"/>
      <c r="Q977" s="27" t="n"/>
      <c r="R977" s="27" t="n"/>
      <c r="S977" s="27" t="n"/>
      <c r="T977" s="27" t="n"/>
      <c r="U977" s="27" t="n"/>
      <c r="V977" s="27" t="n"/>
      <c r="W977" s="27" t="n"/>
      <c r="X977" s="27" t="n"/>
      <c r="Y977" s="27" t="n"/>
      <c r="Z977" s="27" t="n"/>
    </row>
    <row r="978" ht="16.5" customHeight="1" s="117">
      <c r="A978" s="27" t="n"/>
      <c r="B978" s="27" t="n"/>
      <c r="C978" s="27" t="n"/>
      <c r="D978" s="27" t="n"/>
      <c r="E978" s="27" t="n"/>
      <c r="F978" s="27" t="n"/>
      <c r="G978" s="27" t="n"/>
      <c r="H978" s="27" t="n"/>
      <c r="I978" s="27" t="n"/>
      <c r="J978" s="27" t="n"/>
      <c r="K978" s="27" t="n"/>
      <c r="L978" s="27" t="n"/>
      <c r="M978" s="27" t="n"/>
      <c r="N978" s="27" t="n"/>
      <c r="O978" s="27" t="n"/>
      <c r="P978" s="27" t="n"/>
      <c r="Q978" s="27" t="n"/>
      <c r="R978" s="27" t="n"/>
      <c r="S978" s="27" t="n"/>
      <c r="T978" s="27" t="n"/>
      <c r="U978" s="27" t="n"/>
      <c r="V978" s="27" t="n"/>
      <c r="W978" s="27" t="n"/>
      <c r="X978" s="27" t="n"/>
      <c r="Y978" s="27" t="n"/>
      <c r="Z978" s="27" t="n"/>
    </row>
    <row r="979" ht="16.5" customHeight="1" s="117">
      <c r="A979" s="27" t="n"/>
      <c r="B979" s="27" t="n"/>
      <c r="C979" s="27" t="n"/>
      <c r="D979" s="27" t="n"/>
      <c r="E979" s="27" t="n"/>
      <c r="F979" s="27" t="n"/>
      <c r="G979" s="27" t="n"/>
      <c r="H979" s="27" t="n"/>
      <c r="I979" s="27" t="n"/>
      <c r="J979" s="27" t="n"/>
      <c r="K979" s="27" t="n"/>
      <c r="L979" s="27" t="n"/>
      <c r="M979" s="27" t="n"/>
      <c r="N979" s="27" t="n"/>
      <c r="O979" s="27" t="n"/>
      <c r="P979" s="27" t="n"/>
      <c r="Q979" s="27" t="n"/>
      <c r="R979" s="27" t="n"/>
      <c r="S979" s="27" t="n"/>
      <c r="T979" s="27" t="n"/>
      <c r="U979" s="27" t="n"/>
      <c r="V979" s="27" t="n"/>
      <c r="W979" s="27" t="n"/>
      <c r="X979" s="27" t="n"/>
      <c r="Y979" s="27" t="n"/>
      <c r="Z979" s="27" t="n"/>
    </row>
    <row r="980" ht="16.5" customHeight="1" s="117">
      <c r="A980" s="27" t="n"/>
      <c r="B980" s="27" t="n"/>
      <c r="C980" s="27" t="n"/>
      <c r="D980" s="27" t="n"/>
      <c r="E980" s="27" t="n"/>
      <c r="F980" s="27" t="n"/>
      <c r="G980" s="27" t="n"/>
      <c r="H980" s="27" t="n"/>
      <c r="I980" s="27" t="n"/>
      <c r="J980" s="27" t="n"/>
      <c r="K980" s="27" t="n"/>
      <c r="L980" s="27" t="n"/>
      <c r="M980" s="27" t="n"/>
      <c r="N980" s="27" t="n"/>
      <c r="O980" s="27" t="n"/>
      <c r="P980" s="27" t="n"/>
      <c r="Q980" s="27" t="n"/>
      <c r="R980" s="27" t="n"/>
      <c r="S980" s="27" t="n"/>
      <c r="T980" s="27" t="n"/>
      <c r="U980" s="27" t="n"/>
      <c r="V980" s="27" t="n"/>
      <c r="W980" s="27" t="n"/>
      <c r="X980" s="27" t="n"/>
      <c r="Y980" s="27" t="n"/>
      <c r="Z980" s="27" t="n"/>
    </row>
    <row r="981" ht="16.5" customHeight="1" s="117">
      <c r="A981" s="27" t="n"/>
      <c r="B981" s="27" t="n"/>
      <c r="C981" s="27" t="n"/>
      <c r="D981" s="27" t="n"/>
      <c r="E981" s="27" t="n"/>
      <c r="F981" s="27" t="n"/>
      <c r="G981" s="27" t="n"/>
      <c r="H981" s="27" t="n"/>
      <c r="I981" s="27" t="n"/>
      <c r="J981" s="27" t="n"/>
      <c r="K981" s="27" t="n"/>
      <c r="L981" s="27" t="n"/>
      <c r="M981" s="27" t="n"/>
      <c r="N981" s="27" t="n"/>
      <c r="O981" s="27" t="n"/>
      <c r="P981" s="27" t="n"/>
      <c r="Q981" s="27" t="n"/>
      <c r="R981" s="27" t="n"/>
      <c r="S981" s="27" t="n"/>
      <c r="T981" s="27" t="n"/>
      <c r="U981" s="27" t="n"/>
      <c r="V981" s="27" t="n"/>
      <c r="W981" s="27" t="n"/>
      <c r="X981" s="27" t="n"/>
      <c r="Y981" s="27" t="n"/>
      <c r="Z981" s="27" t="n"/>
    </row>
    <row r="982" ht="16.5" customHeight="1" s="117">
      <c r="A982" s="27" t="n"/>
      <c r="B982" s="27" t="n"/>
      <c r="C982" s="27" t="n"/>
      <c r="D982" s="27" t="n"/>
      <c r="E982" s="27" t="n"/>
      <c r="F982" s="27" t="n"/>
      <c r="G982" s="27" t="n"/>
      <c r="H982" s="27" t="n"/>
      <c r="I982" s="27" t="n"/>
      <c r="J982" s="27" t="n"/>
      <c r="K982" s="27" t="n"/>
      <c r="L982" s="27" t="n"/>
      <c r="M982" s="27" t="n"/>
      <c r="N982" s="27" t="n"/>
      <c r="O982" s="27" t="n"/>
      <c r="P982" s="27" t="n"/>
      <c r="Q982" s="27" t="n"/>
      <c r="R982" s="27" t="n"/>
      <c r="S982" s="27" t="n"/>
      <c r="T982" s="27" t="n"/>
      <c r="U982" s="27" t="n"/>
      <c r="V982" s="27" t="n"/>
      <c r="W982" s="27" t="n"/>
      <c r="X982" s="27" t="n"/>
      <c r="Y982" s="27" t="n"/>
      <c r="Z982" s="27" t="n"/>
    </row>
    <row r="983" ht="16.5" customHeight="1" s="117">
      <c r="A983" s="27" t="n"/>
      <c r="B983" s="27" t="n"/>
      <c r="C983" s="27" t="n"/>
      <c r="D983" s="27" t="n"/>
      <c r="E983" s="27" t="n"/>
      <c r="F983" s="27" t="n"/>
      <c r="G983" s="27" t="n"/>
      <c r="H983" s="27" t="n"/>
      <c r="I983" s="27" t="n"/>
      <c r="J983" s="27" t="n"/>
      <c r="K983" s="27" t="n"/>
      <c r="L983" s="27" t="n"/>
      <c r="M983" s="27" t="n"/>
      <c r="N983" s="27" t="n"/>
      <c r="O983" s="27" t="n"/>
      <c r="P983" s="27" t="n"/>
      <c r="Q983" s="27" t="n"/>
      <c r="R983" s="27" t="n"/>
      <c r="S983" s="27" t="n"/>
      <c r="T983" s="27" t="n"/>
      <c r="U983" s="27" t="n"/>
      <c r="V983" s="27" t="n"/>
      <c r="W983" s="27" t="n"/>
      <c r="X983" s="27" t="n"/>
      <c r="Y983" s="27" t="n"/>
      <c r="Z983" s="27" t="n"/>
    </row>
    <row r="984" ht="16.5" customHeight="1" s="117">
      <c r="A984" s="27" t="n"/>
      <c r="B984" s="27" t="n"/>
      <c r="C984" s="27" t="n"/>
      <c r="D984" s="27" t="n"/>
      <c r="E984" s="27" t="n"/>
      <c r="F984" s="27" t="n"/>
      <c r="G984" s="27" t="n"/>
      <c r="H984" s="27" t="n"/>
      <c r="I984" s="27" t="n"/>
      <c r="J984" s="27" t="n"/>
      <c r="K984" s="27" t="n"/>
      <c r="L984" s="27" t="n"/>
      <c r="M984" s="27" t="n"/>
      <c r="N984" s="27" t="n"/>
      <c r="O984" s="27" t="n"/>
      <c r="P984" s="27" t="n"/>
      <c r="Q984" s="27" t="n"/>
      <c r="R984" s="27" t="n"/>
      <c r="S984" s="27" t="n"/>
      <c r="T984" s="27" t="n"/>
      <c r="U984" s="27" t="n"/>
      <c r="V984" s="27" t="n"/>
      <c r="W984" s="27" t="n"/>
      <c r="X984" s="27" t="n"/>
      <c r="Y984" s="27" t="n"/>
      <c r="Z984" s="27" t="n"/>
    </row>
    <row r="985" ht="16.5" customHeight="1" s="117">
      <c r="A985" s="27" t="n"/>
      <c r="B985" s="27" t="n"/>
      <c r="C985" s="27" t="n"/>
      <c r="D985" s="27" t="n"/>
      <c r="E985" s="27" t="n"/>
      <c r="F985" s="27" t="n"/>
      <c r="G985" s="27" t="n"/>
      <c r="H985" s="27" t="n"/>
      <c r="I985" s="27" t="n"/>
      <c r="J985" s="27" t="n"/>
      <c r="K985" s="27" t="n"/>
      <c r="L985" s="27" t="n"/>
      <c r="M985" s="27" t="n"/>
      <c r="N985" s="27" t="n"/>
      <c r="O985" s="27" t="n"/>
      <c r="P985" s="27" t="n"/>
      <c r="Q985" s="27" t="n"/>
      <c r="R985" s="27" t="n"/>
      <c r="S985" s="27" t="n"/>
      <c r="T985" s="27" t="n"/>
      <c r="U985" s="27" t="n"/>
      <c r="V985" s="27" t="n"/>
      <c r="W985" s="27" t="n"/>
      <c r="X985" s="27" t="n"/>
      <c r="Y985" s="27" t="n"/>
      <c r="Z985" s="27" t="n"/>
    </row>
    <row r="986" ht="16.5" customHeight="1" s="117">
      <c r="A986" s="27" t="n"/>
      <c r="B986" s="27" t="n"/>
      <c r="C986" s="27" t="n"/>
      <c r="D986" s="27" t="n"/>
      <c r="E986" s="27" t="n"/>
      <c r="F986" s="27" t="n"/>
      <c r="G986" s="27" t="n"/>
      <c r="H986" s="27" t="n"/>
      <c r="I986" s="27" t="n"/>
      <c r="J986" s="27" t="n"/>
      <c r="K986" s="27" t="n"/>
      <c r="L986" s="27" t="n"/>
      <c r="M986" s="27" t="n"/>
      <c r="N986" s="27" t="n"/>
      <c r="O986" s="27" t="n"/>
      <c r="P986" s="27" t="n"/>
      <c r="Q986" s="27" t="n"/>
      <c r="R986" s="27" t="n"/>
      <c r="S986" s="27" t="n"/>
      <c r="T986" s="27" t="n"/>
      <c r="U986" s="27" t="n"/>
      <c r="V986" s="27" t="n"/>
      <c r="W986" s="27" t="n"/>
      <c r="X986" s="27" t="n"/>
      <c r="Y986" s="27" t="n"/>
      <c r="Z986" s="27" t="n"/>
    </row>
    <row r="987" ht="16.5" customHeight="1" s="117">
      <c r="A987" s="27" t="n"/>
      <c r="B987" s="27" t="n"/>
      <c r="C987" s="27" t="n"/>
      <c r="D987" s="27" t="n"/>
      <c r="E987" s="27" t="n"/>
      <c r="F987" s="27" t="n"/>
      <c r="G987" s="27" t="n"/>
      <c r="H987" s="27" t="n"/>
      <c r="I987" s="27" t="n"/>
      <c r="J987" s="27" t="n"/>
      <c r="K987" s="27" t="n"/>
      <c r="L987" s="27" t="n"/>
      <c r="M987" s="27" t="n"/>
      <c r="N987" s="27" t="n"/>
      <c r="O987" s="27" t="n"/>
      <c r="P987" s="27" t="n"/>
      <c r="Q987" s="27" t="n"/>
      <c r="R987" s="27" t="n"/>
      <c r="S987" s="27" t="n"/>
      <c r="T987" s="27" t="n"/>
      <c r="U987" s="27" t="n"/>
      <c r="V987" s="27" t="n"/>
      <c r="W987" s="27" t="n"/>
      <c r="X987" s="27" t="n"/>
      <c r="Y987" s="27" t="n"/>
      <c r="Z987" s="27" t="n"/>
    </row>
    <row r="988" ht="16.5" customHeight="1" s="117">
      <c r="A988" s="27" t="n"/>
      <c r="B988" s="27" t="n"/>
      <c r="C988" s="27" t="n"/>
      <c r="D988" s="27" t="n"/>
      <c r="E988" s="27" t="n"/>
      <c r="F988" s="27" t="n"/>
      <c r="G988" s="27" t="n"/>
      <c r="H988" s="27" t="n"/>
      <c r="I988" s="27" t="n"/>
      <c r="J988" s="27" t="n"/>
      <c r="K988" s="27" t="n"/>
      <c r="L988" s="27" t="n"/>
      <c r="M988" s="27" t="n"/>
      <c r="N988" s="27" t="n"/>
      <c r="O988" s="27" t="n"/>
      <c r="P988" s="27" t="n"/>
      <c r="Q988" s="27" t="n"/>
      <c r="R988" s="27" t="n"/>
      <c r="S988" s="27" t="n"/>
      <c r="T988" s="27" t="n"/>
      <c r="U988" s="27" t="n"/>
      <c r="V988" s="27" t="n"/>
      <c r="W988" s="27" t="n"/>
      <c r="X988" s="27" t="n"/>
      <c r="Y988" s="27" t="n"/>
      <c r="Z988" s="27" t="n"/>
    </row>
    <row r="989" ht="16.5" customHeight="1" s="117">
      <c r="A989" s="27" t="n"/>
      <c r="B989" s="27" t="n"/>
      <c r="C989" s="27" t="n"/>
      <c r="D989" s="27" t="n"/>
      <c r="E989" s="27" t="n"/>
      <c r="F989" s="27" t="n"/>
      <c r="G989" s="27" t="n"/>
      <c r="H989" s="27" t="n"/>
      <c r="I989" s="27" t="n"/>
      <c r="J989" s="27" t="n"/>
      <c r="K989" s="27" t="n"/>
      <c r="L989" s="27" t="n"/>
      <c r="M989" s="27" t="n"/>
      <c r="N989" s="27" t="n"/>
      <c r="O989" s="27" t="n"/>
      <c r="P989" s="27" t="n"/>
      <c r="Q989" s="27" t="n"/>
      <c r="R989" s="27" t="n"/>
      <c r="S989" s="27" t="n"/>
      <c r="T989" s="27" t="n"/>
      <c r="U989" s="27" t="n"/>
      <c r="V989" s="27" t="n"/>
      <c r="W989" s="27" t="n"/>
      <c r="X989" s="27" t="n"/>
      <c r="Y989" s="27" t="n"/>
      <c r="Z989" s="27" t="n"/>
    </row>
    <row r="990" ht="16.5" customHeight="1" s="117">
      <c r="A990" s="27" t="n"/>
      <c r="B990" s="27" t="n"/>
      <c r="C990" s="27" t="n"/>
      <c r="D990" s="27" t="n"/>
      <c r="E990" s="27" t="n"/>
      <c r="F990" s="27" t="n"/>
      <c r="G990" s="27" t="n"/>
      <c r="H990" s="27" t="n"/>
      <c r="I990" s="27" t="n"/>
      <c r="J990" s="27" t="n"/>
      <c r="K990" s="27" t="n"/>
      <c r="L990" s="27" t="n"/>
      <c r="M990" s="27" t="n"/>
      <c r="N990" s="27" t="n"/>
      <c r="O990" s="27" t="n"/>
      <c r="P990" s="27" t="n"/>
      <c r="Q990" s="27" t="n"/>
      <c r="R990" s="27" t="n"/>
      <c r="S990" s="27" t="n"/>
      <c r="T990" s="27" t="n"/>
      <c r="U990" s="27" t="n"/>
      <c r="V990" s="27" t="n"/>
      <c r="W990" s="27" t="n"/>
      <c r="X990" s="27" t="n"/>
      <c r="Y990" s="27" t="n"/>
      <c r="Z990" s="27" t="n"/>
    </row>
    <row r="991" ht="16.5" customHeight="1" s="117">
      <c r="A991" s="27" t="n"/>
      <c r="B991" s="27" t="n"/>
      <c r="C991" s="27" t="n"/>
      <c r="D991" s="27" t="n"/>
      <c r="E991" s="27" t="n"/>
      <c r="F991" s="27" t="n"/>
      <c r="G991" s="27" t="n"/>
      <c r="H991" s="27" t="n"/>
      <c r="I991" s="27" t="n"/>
      <c r="J991" s="27" t="n"/>
      <c r="K991" s="27" t="n"/>
      <c r="L991" s="27" t="n"/>
      <c r="M991" s="27" t="n"/>
      <c r="N991" s="27" t="n"/>
      <c r="O991" s="27" t="n"/>
      <c r="P991" s="27" t="n"/>
      <c r="Q991" s="27" t="n"/>
      <c r="R991" s="27" t="n"/>
      <c r="S991" s="27" t="n"/>
      <c r="T991" s="27" t="n"/>
      <c r="U991" s="27" t="n"/>
      <c r="V991" s="27" t="n"/>
      <c r="W991" s="27" t="n"/>
      <c r="X991" s="27" t="n"/>
      <c r="Y991" s="27" t="n"/>
      <c r="Z991" s="27" t="n"/>
    </row>
    <row r="992" ht="16.5" customHeight="1" s="117">
      <c r="A992" s="27" t="n"/>
      <c r="B992" s="27" t="n"/>
      <c r="C992" s="27" t="n"/>
      <c r="D992" s="27" t="n"/>
      <c r="E992" s="27" t="n"/>
      <c r="F992" s="27" t="n"/>
      <c r="G992" s="27" t="n"/>
      <c r="H992" s="27" t="n"/>
      <c r="I992" s="27" t="n"/>
      <c r="J992" s="27" t="n"/>
      <c r="K992" s="27" t="n"/>
      <c r="L992" s="27" t="n"/>
      <c r="M992" s="27" t="n"/>
      <c r="N992" s="27" t="n"/>
      <c r="O992" s="27" t="n"/>
      <c r="P992" s="27" t="n"/>
      <c r="Q992" s="27" t="n"/>
      <c r="R992" s="27" t="n"/>
      <c r="S992" s="27" t="n"/>
      <c r="T992" s="27" t="n"/>
      <c r="U992" s="27" t="n"/>
      <c r="V992" s="27" t="n"/>
      <c r="W992" s="27" t="n"/>
      <c r="X992" s="27" t="n"/>
      <c r="Y992" s="27" t="n"/>
      <c r="Z992" s="27" t="n"/>
    </row>
    <row r="993" ht="16.5" customHeight="1" s="117">
      <c r="A993" s="27" t="n"/>
      <c r="B993" s="27" t="n"/>
      <c r="C993" s="27" t="n"/>
      <c r="D993" s="27" t="n"/>
      <c r="E993" s="27" t="n"/>
      <c r="F993" s="27" t="n"/>
      <c r="G993" s="27" t="n"/>
      <c r="H993" s="27" t="n"/>
      <c r="I993" s="27" t="n"/>
      <c r="J993" s="27" t="n"/>
      <c r="K993" s="27" t="n"/>
      <c r="L993" s="27" t="n"/>
      <c r="M993" s="27" t="n"/>
      <c r="N993" s="27" t="n"/>
      <c r="O993" s="27" t="n"/>
      <c r="P993" s="27" t="n"/>
      <c r="Q993" s="27" t="n"/>
      <c r="R993" s="27" t="n"/>
      <c r="S993" s="27" t="n"/>
      <c r="T993" s="27" t="n"/>
      <c r="U993" s="27" t="n"/>
      <c r="V993" s="27" t="n"/>
      <c r="W993" s="27" t="n"/>
      <c r="X993" s="27" t="n"/>
      <c r="Y993" s="27" t="n"/>
      <c r="Z993" s="27" t="n"/>
    </row>
    <row r="994" ht="16.5" customHeight="1" s="117">
      <c r="A994" s="27" t="n"/>
      <c r="B994" s="27" t="n"/>
      <c r="C994" s="27" t="n"/>
      <c r="D994" s="27" t="n"/>
      <c r="E994" s="27" t="n"/>
      <c r="F994" s="27" t="n"/>
      <c r="G994" s="27" t="n"/>
      <c r="H994" s="27" t="n"/>
      <c r="I994" s="27" t="n"/>
      <c r="J994" s="27" t="n"/>
      <c r="K994" s="27" t="n"/>
      <c r="L994" s="27" t="n"/>
      <c r="M994" s="27" t="n"/>
      <c r="N994" s="27" t="n"/>
      <c r="O994" s="27" t="n"/>
      <c r="P994" s="27" t="n"/>
      <c r="Q994" s="27" t="n"/>
      <c r="R994" s="27" t="n"/>
      <c r="S994" s="27" t="n"/>
      <c r="T994" s="27" t="n"/>
      <c r="U994" s="27" t="n"/>
      <c r="V994" s="27" t="n"/>
      <c r="W994" s="27" t="n"/>
      <c r="X994" s="27" t="n"/>
      <c r="Y994" s="27" t="n"/>
      <c r="Z994" s="27" t="n"/>
    </row>
    <row r="995" ht="16.5" customHeight="1" s="117">
      <c r="A995" s="27" t="n"/>
      <c r="B995" s="27" t="n"/>
      <c r="C995" s="27" t="n"/>
      <c r="D995" s="27" t="n"/>
      <c r="E995" s="27" t="n"/>
      <c r="F995" s="27" t="n"/>
      <c r="G995" s="27" t="n"/>
      <c r="H995" s="27" t="n"/>
      <c r="I995" s="27" t="n"/>
      <c r="J995" s="27" t="n"/>
      <c r="K995" s="27" t="n"/>
      <c r="L995" s="27" t="n"/>
      <c r="M995" s="27" t="n"/>
      <c r="N995" s="27" t="n"/>
      <c r="O995" s="27" t="n"/>
      <c r="P995" s="27" t="n"/>
      <c r="Q995" s="27" t="n"/>
      <c r="R995" s="27" t="n"/>
      <c r="S995" s="27" t="n"/>
      <c r="T995" s="27" t="n"/>
      <c r="U995" s="27" t="n"/>
      <c r="V995" s="27" t="n"/>
      <c r="W995" s="27" t="n"/>
      <c r="X995" s="27" t="n"/>
      <c r="Y995" s="27" t="n"/>
      <c r="Z995" s="27" t="n"/>
    </row>
    <row r="996" ht="16.5" customHeight="1" s="117">
      <c r="A996" s="27" t="n"/>
      <c r="B996" s="27" t="n"/>
      <c r="C996" s="27" t="n"/>
      <c r="D996" s="27" t="n"/>
      <c r="E996" s="27" t="n"/>
      <c r="F996" s="27" t="n"/>
      <c r="G996" s="27" t="n"/>
      <c r="H996" s="27" t="n"/>
      <c r="I996" s="27" t="n"/>
      <c r="J996" s="27" t="n"/>
      <c r="K996" s="27" t="n"/>
      <c r="L996" s="27" t="n"/>
      <c r="M996" s="27" t="n"/>
      <c r="N996" s="27" t="n"/>
      <c r="O996" s="27" t="n"/>
      <c r="P996" s="27" t="n"/>
      <c r="Q996" s="27" t="n"/>
      <c r="R996" s="27" t="n"/>
      <c r="S996" s="27" t="n"/>
      <c r="T996" s="27" t="n"/>
      <c r="U996" s="27" t="n"/>
      <c r="V996" s="27" t="n"/>
      <c r="W996" s="27" t="n"/>
      <c r="X996" s="27" t="n"/>
      <c r="Y996" s="27" t="n"/>
      <c r="Z996" s="27" t="n"/>
    </row>
    <row r="997" ht="16.5" customHeight="1" s="117">
      <c r="A997" s="27" t="n"/>
      <c r="B997" s="27" t="n"/>
      <c r="C997" s="27" t="n"/>
      <c r="D997" s="27" t="n"/>
      <c r="E997" s="27" t="n"/>
      <c r="F997" s="27" t="n"/>
      <c r="G997" s="27" t="n"/>
      <c r="H997" s="27" t="n"/>
      <c r="I997" s="27" t="n"/>
      <c r="J997" s="27" t="n"/>
      <c r="K997" s="27" t="n"/>
      <c r="L997" s="27" t="n"/>
      <c r="M997" s="27" t="n"/>
      <c r="N997" s="27" t="n"/>
      <c r="O997" s="27" t="n"/>
      <c r="P997" s="27" t="n"/>
      <c r="Q997" s="27" t="n"/>
      <c r="R997" s="27" t="n"/>
      <c r="S997" s="27" t="n"/>
      <c r="T997" s="27" t="n"/>
      <c r="U997" s="27" t="n"/>
      <c r="V997" s="27" t="n"/>
      <c r="W997" s="27" t="n"/>
      <c r="X997" s="27" t="n"/>
      <c r="Y997" s="27" t="n"/>
      <c r="Z997" s="27" t="n"/>
    </row>
    <row r="998" ht="16.5" customHeight="1" s="117">
      <c r="A998" s="27" t="n"/>
      <c r="B998" s="27" t="n"/>
      <c r="C998" s="27" t="n"/>
      <c r="D998" s="27" t="n"/>
      <c r="E998" s="27" t="n"/>
      <c r="F998" s="27" t="n"/>
      <c r="G998" s="27" t="n"/>
      <c r="H998" s="27" t="n"/>
      <c r="I998" s="27" t="n"/>
      <c r="J998" s="27" t="n"/>
      <c r="K998" s="27" t="n"/>
      <c r="L998" s="27" t="n"/>
      <c r="M998" s="27" t="n"/>
      <c r="N998" s="27" t="n"/>
      <c r="O998" s="27" t="n"/>
      <c r="P998" s="27" t="n"/>
      <c r="Q998" s="27" t="n"/>
      <c r="R998" s="27" t="n"/>
      <c r="S998" s="27" t="n"/>
      <c r="T998" s="27" t="n"/>
      <c r="U998" s="27" t="n"/>
      <c r="V998" s="27" t="n"/>
      <c r="W998" s="27" t="n"/>
      <c r="X998" s="27" t="n"/>
      <c r="Y998" s="27" t="n"/>
      <c r="Z998" s="27" t="n"/>
    </row>
    <row r="999" ht="16.5" customHeight="1" s="117">
      <c r="A999" s="27" t="n"/>
      <c r="B999" s="27" t="n"/>
      <c r="C999" s="27" t="n"/>
      <c r="D999" s="27" t="n"/>
      <c r="E999" s="27" t="n"/>
      <c r="F999" s="27" t="n"/>
      <c r="G999" s="27" t="n"/>
      <c r="H999" s="27" t="n"/>
      <c r="I999" s="27" t="n"/>
      <c r="J999" s="27" t="n"/>
      <c r="K999" s="27" t="n"/>
      <c r="L999" s="27" t="n"/>
      <c r="M999" s="27" t="n"/>
      <c r="N999" s="27" t="n"/>
      <c r="O999" s="27" t="n"/>
      <c r="P999" s="27" t="n"/>
      <c r="Q999" s="27" t="n"/>
      <c r="R999" s="27" t="n"/>
      <c r="S999" s="27" t="n"/>
      <c r="T999" s="27" t="n"/>
      <c r="U999" s="27" t="n"/>
      <c r="V999" s="27" t="n"/>
      <c r="W999" s="27" t="n"/>
      <c r="X999" s="27" t="n"/>
      <c r="Y999" s="27" t="n"/>
      <c r="Z999" s="27" t="n"/>
    </row>
    <row r="1000" ht="16.5" customHeight="1" s="117">
      <c r="A1000" s="27" t="n"/>
      <c r="B1000" s="27" t="n"/>
      <c r="C1000" s="27" t="n"/>
      <c r="D1000" s="27" t="n"/>
      <c r="E1000" s="27" t="n"/>
      <c r="F1000" s="27" t="n"/>
      <c r="G1000" s="27" t="n"/>
      <c r="H1000" s="27" t="n"/>
      <c r="I1000" s="27" t="n"/>
      <c r="J1000" s="27" t="n"/>
      <c r="K1000" s="27" t="n"/>
      <c r="L1000" s="27" t="n"/>
      <c r="M1000" s="27" t="n"/>
      <c r="N1000" s="27" t="n"/>
      <c r="O1000" s="27" t="n"/>
      <c r="P1000" s="27" t="n"/>
      <c r="Q1000" s="27" t="n"/>
      <c r="R1000" s="27" t="n"/>
      <c r="S1000" s="27" t="n"/>
      <c r="T1000" s="27" t="n"/>
      <c r="U1000" s="27" t="n"/>
      <c r="V1000" s="27" t="n"/>
      <c r="W1000" s="27" t="n"/>
      <c r="X1000" s="27" t="n"/>
      <c r="Y1000" s="27" t="n"/>
      <c r="Z1000" s="27" t="n"/>
    </row>
  </sheetData>
  <mergeCells count="6">
    <mergeCell ref="D3:G3"/>
    <mergeCell ref="C3:C4"/>
    <mergeCell ref="B3:B4"/>
    <mergeCell ref="A1:I1"/>
    <mergeCell ref="H3:H4"/>
    <mergeCell ref="I3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I31"/>
  <sheetViews>
    <sheetView workbookViewId="0">
      <selection activeCell="A1" sqref="A1"/>
    </sheetView>
  </sheetViews>
  <sheetFormatPr baseColWidth="8" defaultColWidth="12.5703125" defaultRowHeight="15.75" customHeight="1"/>
  <cols>
    <col width="44.42578125" customWidth="1" style="117" min="1" max="1"/>
    <col width="9.5703125" customWidth="1" style="117" min="2" max="2"/>
    <col width="8.42578125" customWidth="1" style="117" min="3" max="3"/>
    <col width="9.85546875" customWidth="1" style="117" min="4" max="4"/>
    <col width="6.42578125" customWidth="1" style="117" min="5" max="5"/>
    <col width="5.28515625" customWidth="1" style="117" min="6" max="6"/>
    <col width="6.42578125" customWidth="1" style="117" min="7" max="7"/>
    <col width="7.85546875" customWidth="1" style="117" min="8" max="8"/>
    <col width="10.85546875" customWidth="1" style="117" min="9" max="9"/>
  </cols>
  <sheetData>
    <row r="1" ht="15.75" customHeight="1" s="117">
      <c r="A1" s="123" t="inlineStr">
        <is>
          <t>BÁO CÁO TỔNG HỢP NHÂN SỰ XUÂN LỘC</t>
        </is>
      </c>
    </row>
    <row r="2">
      <c r="A2" s="26" t="inlineStr">
        <is>
          <t>Ngày cập nhật:</t>
        </is>
      </c>
      <c r="B2" s="35" t="n">
        <v>46114.9481018287</v>
      </c>
    </row>
    <row r="4" ht="12.75" customHeight="1" s="117">
      <c r="A4" s="36" t="inlineStr">
        <is>
          <t>Họ và tên</t>
        </is>
      </c>
      <c r="B4" s="36" t="inlineStr">
        <is>
          <t>Bán Fiber</t>
        </is>
      </c>
      <c r="C4" s="36" t="inlineStr">
        <is>
          <t>Bán MyTV</t>
        </is>
      </c>
      <c r="D4" s="36" t="inlineStr">
        <is>
          <t>Bán Camera</t>
        </is>
      </c>
      <c r="E4" s="36" t="inlineStr">
        <is>
          <t>NGHTT</t>
        </is>
      </c>
      <c r="F4" s="36" t="inlineStr">
        <is>
          <t>GHTT</t>
        </is>
      </c>
      <c r="G4" s="36" t="inlineStr">
        <is>
          <t>Lắp đặt</t>
        </is>
      </c>
      <c r="H4" s="36" t="inlineStr">
        <is>
          <t>Sửa chữa</t>
        </is>
      </c>
      <c r="I4" s="36" t="inlineStr">
        <is>
          <t>Xử lý Suy hao</t>
        </is>
      </c>
    </row>
    <row r="5" ht="12.75" customHeight="1" s="117">
      <c r="A5" s="38" t="inlineStr">
        <is>
          <t>Tổng</t>
        </is>
      </c>
      <c r="B5" s="38" t="n">
        <v>477</v>
      </c>
      <c r="C5" s="38" t="n">
        <v>372</v>
      </c>
      <c r="D5" s="38" t="n">
        <v>300</v>
      </c>
      <c r="E5" s="38" t="n">
        <v>9944</v>
      </c>
      <c r="F5" s="38" t="n">
        <v>926</v>
      </c>
      <c r="G5" s="38" t="n">
        <v>830</v>
      </c>
      <c r="H5" s="38" t="n">
        <v>3578</v>
      </c>
      <c r="I5" s="38" t="n">
        <v>1181</v>
      </c>
    </row>
    <row r="6" ht="12.75" customHeight="1" s="117">
      <c r="A6" s="38" t="inlineStr">
        <is>
          <t>Trần Trung Giang</t>
        </is>
      </c>
      <c r="B6" s="38" t="n">
        <v>20</v>
      </c>
      <c r="C6" s="38" t="n">
        <v>14</v>
      </c>
      <c r="D6" s="38" t="n">
        <v>27</v>
      </c>
      <c r="E6" s="38" t="n">
        <v>415</v>
      </c>
      <c r="F6" s="38" t="n">
        <v>7</v>
      </c>
      <c r="G6" s="38" t="n">
        <v>46</v>
      </c>
      <c r="H6" s="38" t="n">
        <v>48</v>
      </c>
      <c r="I6" s="38" t="n">
        <v>58</v>
      </c>
    </row>
    <row r="7" ht="12.75" customHeight="1" s="117">
      <c r="A7" s="38" t="inlineStr">
        <is>
          <t>Lương Duy Hoàng</t>
        </is>
      </c>
      <c r="B7" s="38" t="n">
        <v>9</v>
      </c>
      <c r="C7" s="38" t="n">
        <v>7</v>
      </c>
      <c r="D7" s="38" t="n">
        <v>11</v>
      </c>
      <c r="E7" s="38" t="n">
        <v>317</v>
      </c>
      <c r="F7" s="38" t="n">
        <v>17</v>
      </c>
      <c r="G7" s="38" t="n">
        <v>30</v>
      </c>
      <c r="H7" s="38" t="n">
        <v>166</v>
      </c>
      <c r="I7" s="38" t="n">
        <v>34</v>
      </c>
    </row>
    <row r="8" ht="12.75" customHeight="1" s="117">
      <c r="A8" s="38" t="inlineStr">
        <is>
          <t>Hồ Thái Minh Trí</t>
        </is>
      </c>
      <c r="B8" s="38" t="n">
        <v>6</v>
      </c>
      <c r="C8" s="38" t="n">
        <v>3</v>
      </c>
      <c r="D8" s="38" t="n">
        <v>6</v>
      </c>
      <c r="E8" s="38" t="n">
        <v>409</v>
      </c>
      <c r="F8" s="38" t="n">
        <v>55</v>
      </c>
      <c r="G8" s="38" t="n">
        <v>24</v>
      </c>
      <c r="H8" s="38" t="n">
        <v>91</v>
      </c>
      <c r="I8" s="38" t="n">
        <v>6</v>
      </c>
    </row>
    <row r="9" ht="12.75" customHeight="1" s="117">
      <c r="A9" s="38" t="inlineStr">
        <is>
          <t>Lê Văn Hồng</t>
        </is>
      </c>
      <c r="B9" s="38" t="n">
        <v>16</v>
      </c>
      <c r="C9" s="38" t="n">
        <v>6</v>
      </c>
      <c r="D9" s="38" t="n">
        <v>0</v>
      </c>
      <c r="E9" s="38" t="n">
        <v>245</v>
      </c>
      <c r="F9" s="38" t="n">
        <v>44</v>
      </c>
      <c r="G9" s="38" t="n">
        <v>35</v>
      </c>
      <c r="H9" s="38" t="n">
        <v>139</v>
      </c>
      <c r="I9" s="38" t="n">
        <v>88</v>
      </c>
    </row>
    <row r="10" ht="12.75" customHeight="1" s="117">
      <c r="A10" s="38" t="inlineStr">
        <is>
          <t>Lê Quốc Duy</t>
        </is>
      </c>
      <c r="B10" s="38" t="n">
        <v>6</v>
      </c>
      <c r="C10" s="38" t="n">
        <v>4</v>
      </c>
      <c r="D10" s="38" t="n">
        <v>3</v>
      </c>
      <c r="E10" s="38" t="n">
        <v>318</v>
      </c>
      <c r="F10" s="38" t="n">
        <v>38</v>
      </c>
      <c r="G10" s="38" t="n">
        <v>19</v>
      </c>
      <c r="H10" s="38" t="n">
        <v>128</v>
      </c>
      <c r="I10" s="38" t="n">
        <v>37</v>
      </c>
    </row>
    <row r="11" ht="12.75" customHeight="1" s="117">
      <c r="A11" s="38" t="inlineStr">
        <is>
          <t>Vòng Nhật Sang</t>
        </is>
      </c>
      <c r="B11" s="38" t="n">
        <v>13</v>
      </c>
      <c r="C11" s="38" t="n">
        <v>3</v>
      </c>
      <c r="D11" s="38" t="n">
        <v>2</v>
      </c>
      <c r="E11" s="38" t="n">
        <v>642</v>
      </c>
      <c r="F11" s="38" t="n">
        <v>26</v>
      </c>
      <c r="G11" s="38" t="n">
        <v>30</v>
      </c>
      <c r="H11" s="38" t="n">
        <v>157</v>
      </c>
      <c r="I11" s="38" t="n">
        <v>117</v>
      </c>
    </row>
    <row r="12" ht="12.75" customHeight="1" s="117">
      <c r="A12" s="38" t="inlineStr">
        <is>
          <t>Nguyễn Tuấn Anh</t>
        </is>
      </c>
      <c r="B12" s="38" t="n">
        <v>65</v>
      </c>
      <c r="C12" s="38" t="n">
        <v>29</v>
      </c>
      <c r="D12" s="38" t="n">
        <v>25</v>
      </c>
      <c r="E12" s="38" t="n">
        <v>1162</v>
      </c>
      <c r="F12" s="38" t="n">
        <v>77</v>
      </c>
      <c r="G12" s="38" t="n">
        <v>0</v>
      </c>
      <c r="H12" s="38" t="n">
        <v>434</v>
      </c>
      <c r="I12" s="38" t="n">
        <v>70</v>
      </c>
    </row>
    <row r="13" ht="12.75" customHeight="1" s="117">
      <c r="A13" s="38" t="inlineStr">
        <is>
          <t>Dương Minh Tiến</t>
        </is>
      </c>
      <c r="B13" s="38" t="n">
        <v>10</v>
      </c>
      <c r="C13" s="38" t="n">
        <v>10</v>
      </c>
      <c r="D13" s="38" t="n">
        <v>4</v>
      </c>
      <c r="E13" s="38" t="n">
        <v>493</v>
      </c>
      <c r="F13" s="38" t="n">
        <v>42</v>
      </c>
      <c r="G13" s="38" t="n">
        <v>31</v>
      </c>
      <c r="H13" s="38" t="n">
        <v>35</v>
      </c>
      <c r="I13" s="38" t="n">
        <v>26</v>
      </c>
    </row>
    <row r="14" ht="12.75" customHeight="1" s="117">
      <c r="A14" s="38" t="inlineStr">
        <is>
          <t>Phan Thành Thái</t>
        </is>
      </c>
      <c r="B14" s="38" t="n">
        <v>15</v>
      </c>
      <c r="C14" s="38" t="n">
        <v>16</v>
      </c>
      <c r="D14" s="38" t="n">
        <v>9</v>
      </c>
      <c r="E14" s="38" t="n">
        <v>362</v>
      </c>
      <c r="F14" s="38" t="n">
        <v>27</v>
      </c>
      <c r="G14" s="38" t="n">
        <v>29</v>
      </c>
      <c r="H14" s="38" t="n">
        <v>217</v>
      </c>
      <c r="I14" s="38" t="n">
        <v>38</v>
      </c>
    </row>
    <row r="15" ht="12.75" customHeight="1" s="117">
      <c r="A15" s="38" t="inlineStr">
        <is>
          <t>Đặng Hoài Anh</t>
        </is>
      </c>
      <c r="B15" s="38" t="n">
        <v>35</v>
      </c>
      <c r="C15" s="38" t="n">
        <v>26</v>
      </c>
      <c r="D15" s="38" t="n">
        <v>15</v>
      </c>
      <c r="E15" s="38" t="n">
        <v>264</v>
      </c>
      <c r="F15" s="38" t="n">
        <v>15</v>
      </c>
      <c r="G15" s="38" t="n">
        <v>66</v>
      </c>
      <c r="H15" s="38" t="n">
        <v>55</v>
      </c>
      <c r="I15" s="38" t="n">
        <v>54</v>
      </c>
    </row>
    <row r="16" ht="12.75" customHeight="1" s="117">
      <c r="A16" s="38" t="inlineStr">
        <is>
          <t>Nguyễn Quang Anh Tuấn</t>
        </is>
      </c>
      <c r="B16" s="38" t="n">
        <v>21</v>
      </c>
      <c r="C16" s="38" t="n">
        <v>14</v>
      </c>
      <c r="D16" s="38" t="n">
        <v>8</v>
      </c>
      <c r="E16" s="38" t="n">
        <v>471</v>
      </c>
      <c r="F16" s="38" t="n">
        <v>30</v>
      </c>
      <c r="G16" s="38" t="n">
        <v>68</v>
      </c>
      <c r="H16" s="38" t="n">
        <v>160</v>
      </c>
      <c r="I16" s="38" t="n">
        <v>28</v>
      </c>
    </row>
    <row r="17" ht="12.75" customHeight="1" s="117">
      <c r="A17" s="38" t="inlineStr">
        <is>
          <t>Nguyễn Thành Lâm</t>
        </is>
      </c>
      <c r="B17" s="38" t="n">
        <v>17</v>
      </c>
      <c r="C17" s="38" t="n">
        <v>15</v>
      </c>
      <c r="D17" s="38" t="n">
        <v>4</v>
      </c>
      <c r="E17" s="38" t="n">
        <v>187</v>
      </c>
      <c r="F17" s="38" t="n">
        <v>32</v>
      </c>
      <c r="G17" s="38" t="n">
        <v>24</v>
      </c>
      <c r="H17" s="38" t="n">
        <v>110</v>
      </c>
      <c r="I17" s="38" t="n">
        <v>17</v>
      </c>
    </row>
    <row r="18" ht="12.75" customHeight="1" s="117">
      <c r="A18" s="38" t="inlineStr">
        <is>
          <t>Đào Công Trung</t>
        </is>
      </c>
      <c r="B18" s="38" t="n">
        <v>8</v>
      </c>
      <c r="C18" s="38" t="n">
        <v>9</v>
      </c>
      <c r="D18" s="38" t="n">
        <v>6</v>
      </c>
      <c r="E18" s="38" t="n">
        <v>276</v>
      </c>
      <c r="F18" s="38" t="n">
        <v>33</v>
      </c>
      <c r="G18" s="38" t="n">
        <v>18</v>
      </c>
      <c r="H18" s="38" t="n">
        <v>61</v>
      </c>
      <c r="I18" s="38" t="n">
        <v>13</v>
      </c>
    </row>
    <row r="19" ht="12.75" customHeight="1" s="117">
      <c r="A19" s="38" t="inlineStr">
        <is>
          <t>Phan Ngọc Sang</t>
        </is>
      </c>
      <c r="B19" s="38" t="n">
        <v>8</v>
      </c>
      <c r="C19" s="38" t="n">
        <v>8</v>
      </c>
      <c r="D19" s="38" t="n">
        <v>0</v>
      </c>
      <c r="E19" s="38" t="n">
        <v>346</v>
      </c>
      <c r="F19" s="38" t="n">
        <v>20</v>
      </c>
      <c r="G19" s="38" t="n">
        <v>60</v>
      </c>
      <c r="H19" s="38" t="n">
        <v>127</v>
      </c>
      <c r="I19" s="38" t="n">
        <v>23</v>
      </c>
    </row>
    <row r="20" ht="12.75" customHeight="1" s="117">
      <c r="A20" s="38" t="inlineStr">
        <is>
          <t>Hồ Xuân Việt</t>
        </is>
      </c>
      <c r="B20" s="38" t="n">
        <v>3</v>
      </c>
      <c r="C20" s="38" t="n">
        <v>9</v>
      </c>
      <c r="D20" s="38" t="n">
        <v>2</v>
      </c>
      <c r="E20" s="38" t="n">
        <v>304</v>
      </c>
      <c r="F20" s="38" t="n">
        <v>5</v>
      </c>
      <c r="G20" s="38" t="n">
        <v>10</v>
      </c>
      <c r="H20" s="38" t="n">
        <v>120</v>
      </c>
      <c r="I20" s="38" t="n">
        <v>39</v>
      </c>
    </row>
    <row r="21" ht="12.75" customHeight="1" s="117">
      <c r="A21" s="38" t="inlineStr">
        <is>
          <t>Lương Duy Hải</t>
        </is>
      </c>
      <c r="B21" s="38" t="n">
        <v>7</v>
      </c>
      <c r="C21" s="38" t="n">
        <v>5</v>
      </c>
      <c r="D21" s="38" t="n">
        <v>5</v>
      </c>
      <c r="E21" s="38" t="n">
        <v>226</v>
      </c>
      <c r="F21" s="38" t="n">
        <v>50</v>
      </c>
      <c r="G21" s="38" t="n">
        <v>8</v>
      </c>
      <c r="H21" s="38" t="n">
        <v>92</v>
      </c>
      <c r="I21" s="38" t="n">
        <v>39</v>
      </c>
    </row>
    <row r="22" ht="12.75" customHeight="1" s="117">
      <c r="A22" s="38" t="inlineStr">
        <is>
          <t>Nguyễn Văn Hiệp</t>
        </is>
      </c>
      <c r="B22" s="38" t="n">
        <v>34</v>
      </c>
      <c r="C22" s="38" t="n">
        <v>29</v>
      </c>
      <c r="D22" s="38" t="n">
        <v>28</v>
      </c>
      <c r="E22" s="38" t="n">
        <v>345</v>
      </c>
      <c r="F22" s="38" t="n">
        <v>23</v>
      </c>
      <c r="G22" s="38" t="n">
        <v>71</v>
      </c>
      <c r="H22" s="38" t="n">
        <v>45</v>
      </c>
      <c r="I22" s="38" t="n">
        <v>45</v>
      </c>
    </row>
    <row r="23" ht="12.75" customHeight="1" s="117">
      <c r="A23" s="38" t="inlineStr">
        <is>
          <t>Nguyễn Hồng Minh</t>
        </is>
      </c>
      <c r="B23" s="38" t="n">
        <v>40</v>
      </c>
      <c r="C23" s="38" t="n">
        <v>30</v>
      </c>
      <c r="D23" s="38" t="n">
        <v>29</v>
      </c>
      <c r="E23" s="38" t="n">
        <v>652</v>
      </c>
      <c r="F23" s="38" t="n">
        <v>28</v>
      </c>
      <c r="G23" s="38" t="n">
        <v>51</v>
      </c>
      <c r="H23" s="38" t="n">
        <v>407</v>
      </c>
      <c r="I23" s="38" t="n">
        <v>61</v>
      </c>
    </row>
    <row r="24" ht="12.75" customHeight="1" s="117">
      <c r="A24" s="38" t="inlineStr">
        <is>
          <t>Nguyễn Văn Nhật</t>
        </is>
      </c>
      <c r="B24" s="38" t="n">
        <v>8</v>
      </c>
      <c r="C24" s="38" t="n">
        <v>5</v>
      </c>
      <c r="D24" s="38" t="n">
        <v>0</v>
      </c>
      <c r="E24" s="38" t="n">
        <v>261</v>
      </c>
      <c r="F24" s="38" t="n">
        <v>47</v>
      </c>
      <c r="G24" s="38" t="n">
        <v>27</v>
      </c>
      <c r="H24" s="38" t="n">
        <v>131</v>
      </c>
      <c r="I24" s="38" t="n">
        <v>60</v>
      </c>
    </row>
    <row r="25" ht="12.75" customHeight="1" s="117">
      <c r="A25" s="38" t="inlineStr">
        <is>
          <t>Huỳnh Văn Lực</t>
        </is>
      </c>
      <c r="B25" s="38" t="n">
        <v>17</v>
      </c>
      <c r="C25" s="38" t="n">
        <v>15</v>
      </c>
      <c r="D25" s="38" t="n">
        <v>19</v>
      </c>
      <c r="E25" s="38" t="n">
        <v>332</v>
      </c>
      <c r="F25" s="38" t="n">
        <v>10</v>
      </c>
      <c r="G25" s="38" t="n">
        <v>42</v>
      </c>
      <c r="H25" s="38" t="n">
        <v>118</v>
      </c>
      <c r="I25" s="38" t="n">
        <v>74</v>
      </c>
    </row>
    <row r="26" ht="12.75" customHeight="1" s="117">
      <c r="A26" s="38" t="inlineStr">
        <is>
          <t>Bùi Duy Cường</t>
        </is>
      </c>
      <c r="B26" s="38" t="n">
        <v>6</v>
      </c>
      <c r="C26" s="38" t="n">
        <v>8</v>
      </c>
      <c r="D26" s="38" t="n">
        <v>1</v>
      </c>
      <c r="E26" s="38" t="n">
        <v>519</v>
      </c>
      <c r="F26" s="38" t="n">
        <v>72</v>
      </c>
      <c r="G26" s="38" t="n">
        <v>23</v>
      </c>
      <c r="H26" s="38" t="n">
        <v>87</v>
      </c>
      <c r="I26" s="38" t="n">
        <v>17</v>
      </c>
    </row>
    <row r="27" ht="12.75" customHeight="1" s="117">
      <c r="A27" s="38" t="inlineStr">
        <is>
          <t>Trần Xuân Khoa</t>
        </is>
      </c>
      <c r="B27" s="38" t="n">
        <v>13</v>
      </c>
      <c r="C27" s="38" t="n">
        <v>18</v>
      </c>
      <c r="D27" s="38" t="n">
        <v>3</v>
      </c>
      <c r="E27" s="38" t="n">
        <v>552</v>
      </c>
      <c r="F27" s="38" t="n">
        <v>48</v>
      </c>
      <c r="G27" s="38" t="n">
        <v>2</v>
      </c>
      <c r="H27" s="38" t="n">
        <v>216</v>
      </c>
      <c r="I27" s="38" t="n">
        <v>51</v>
      </c>
    </row>
    <row r="28" ht="12.75" customHeight="1" s="117">
      <c r="A28" s="38" t="inlineStr">
        <is>
          <t>Trần Minh Khánh</t>
        </is>
      </c>
      <c r="B28" s="38" t="n">
        <v>14</v>
      </c>
      <c r="C28" s="38" t="n">
        <v>7</v>
      </c>
      <c r="D28" s="38" t="n">
        <v>6</v>
      </c>
      <c r="E28" s="38" t="n">
        <v>327</v>
      </c>
      <c r="F28" s="38" t="n">
        <v>42</v>
      </c>
      <c r="G28" s="38" t="n">
        <v>4</v>
      </c>
      <c r="H28" s="38" t="n">
        <v>171</v>
      </c>
      <c r="I28" s="38" t="n">
        <v>26</v>
      </c>
    </row>
    <row r="29" ht="12.75" customHeight="1" s="117">
      <c r="A29" s="38" t="inlineStr">
        <is>
          <t>Đặng Hữu Danh</t>
        </is>
      </c>
      <c r="B29" s="38" t="n">
        <v>5</v>
      </c>
      <c r="C29" s="38" t="n">
        <v>4</v>
      </c>
      <c r="D29" s="38" t="n">
        <v>9</v>
      </c>
      <c r="E29" s="38" t="n">
        <v>297</v>
      </c>
      <c r="F29" s="38" t="n">
        <v>25</v>
      </c>
      <c r="G29" s="38" t="n">
        <v>26</v>
      </c>
      <c r="H29" s="38" t="n">
        <v>170</v>
      </c>
      <c r="I29" s="38" t="n">
        <v>80</v>
      </c>
    </row>
    <row r="30" ht="12.75" customHeight="1" s="117">
      <c r="A30" s="38" t="inlineStr">
        <is>
          <t>Lê Hồng Phong</t>
        </is>
      </c>
      <c r="B30" s="38" t="n">
        <v>77</v>
      </c>
      <c r="C30" s="38" t="n">
        <v>77</v>
      </c>
      <c r="D30" s="38" t="n">
        <v>77</v>
      </c>
      <c r="E30" s="38" t="n">
        <v>77</v>
      </c>
      <c r="F30" s="38" t="n">
        <v>86</v>
      </c>
      <c r="G30" s="38" t="n">
        <v>77</v>
      </c>
      <c r="H30" s="38" t="n">
        <v>77</v>
      </c>
      <c r="I30" s="38" t="n">
        <v>76</v>
      </c>
    </row>
    <row r="31" ht="12.75" customHeight="1" s="117">
      <c r="A31" s="38" t="inlineStr">
        <is>
          <t>Hoàng Văn Chất</t>
        </is>
      </c>
      <c r="B31" s="38" t="n">
        <v>4</v>
      </c>
      <c r="C31" s="38" t="n">
        <v>1</v>
      </c>
      <c r="D31" s="38" t="n">
        <v>1</v>
      </c>
      <c r="E31" s="38" t="n">
        <v>145</v>
      </c>
      <c r="F31" s="38" t="n">
        <v>27</v>
      </c>
      <c r="G31" s="38" t="n">
        <v>9</v>
      </c>
      <c r="H31" s="38" t="n">
        <v>25</v>
      </c>
      <c r="I31" s="38" t="n">
        <v>4</v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R95"/>
  <sheetViews>
    <sheetView workbookViewId="0">
      <selection activeCell="A1" sqref="A1"/>
    </sheetView>
  </sheetViews>
  <sheetFormatPr baseColWidth="8" defaultColWidth="12.5703125" defaultRowHeight="15.75" customHeight="1"/>
  <sheetData>
    <row r="1">
      <c r="A1" s="39" t="inlineStr">
        <is>
          <t>Ngày</t>
        </is>
      </c>
      <c r="B1" s="40" t="inlineStr">
        <is>
          <t>Tiếp thị DV Fiber</t>
        </is>
      </c>
      <c r="C1" s="42" t="inlineStr">
        <is>
          <t>Tiếp thị DV MyTV</t>
        </is>
      </c>
      <c r="D1" s="42" t="inlineStr">
        <is>
          <t>Tiếp thị DV Camera/Mesh</t>
        </is>
      </c>
      <c r="E1" s="42" t="inlineStr">
        <is>
          <t>Tạm ngưng Fiber</t>
        </is>
      </c>
      <c r="F1" s="42" t="inlineStr">
        <is>
          <t>Tạm ngưng Mytv</t>
        </is>
      </c>
      <c r="G1" s="42" t="inlineStr">
        <is>
          <t>Thay thế ONT 2 băng tần</t>
        </is>
      </c>
      <c r="H1" s="42" t="inlineStr">
        <is>
          <t>CSKH HVC chuyển XGSPON</t>
        </is>
      </c>
      <c r="I1" s="42" t="inlineStr">
        <is>
          <t>Phiếu GHTT tháng T</t>
        </is>
      </c>
      <c r="J1" s="42" t="inlineStr">
        <is>
          <t>Phiếu GHTT tháng T+1</t>
        </is>
      </c>
      <c r="K1" s="43" t="inlineStr">
        <is>
          <t>Lắp đặt/ dịch chuyển</t>
        </is>
      </c>
      <c r="L1" s="43" t="inlineStr">
        <is>
          <t>Thu hồi TBĐC (ONT)</t>
        </is>
      </c>
      <c r="M1" s="43" t="inlineStr">
        <is>
          <t>Thu hồi TBĐC (Mesh)</t>
        </is>
      </c>
      <c r="N1" s="43" t="inlineStr">
        <is>
          <t>Xử lý phiếu chủ động BRCD</t>
        </is>
      </c>
      <c r="O1" s="43" t="inlineStr">
        <is>
          <t>Sửa chữa máy hỏng</t>
        </is>
      </c>
      <c r="P1" s="43" t="inlineStr">
        <is>
          <t>B2A có nguy cơ rời mạng</t>
        </is>
      </c>
      <c r="Q1" s="91" t="inlineStr">
        <is>
          <t>Tháng</t>
        </is>
      </c>
      <c r="R1" s="26" t="inlineStr">
        <is>
          <t>Nam</t>
        </is>
      </c>
    </row>
    <row r="2">
      <c r="A2" s="44" t="inlineStr">
        <is>
          <t>Tổng</t>
        </is>
      </c>
      <c r="B2" s="45">
        <f>SUM(B3:B33)</f>
        <v/>
      </c>
      <c r="C2" s="45">
        <f>SUM(C3:C33)</f>
        <v/>
      </c>
      <c r="D2" s="45">
        <f>SUM(D3:D33)</f>
        <v/>
      </c>
      <c r="E2" s="45">
        <f>SUM(E3:E33)</f>
        <v/>
      </c>
      <c r="F2" s="45">
        <f>SUM(F3:F33)</f>
        <v/>
      </c>
      <c r="G2" s="45">
        <f>SUM(G3:G33)</f>
        <v/>
      </c>
      <c r="H2" s="45">
        <f>SUM(H3:H33)</f>
        <v/>
      </c>
      <c r="I2" s="45">
        <f>SUM(I3:I33)</f>
        <v/>
      </c>
      <c r="J2" s="45">
        <f>SUM(J3:J33)</f>
        <v/>
      </c>
      <c r="K2" s="45">
        <f>SUM(K3:K33)</f>
        <v/>
      </c>
      <c r="L2" s="45">
        <f>SUM(L3:L33)</f>
        <v/>
      </c>
      <c r="M2" s="45">
        <f>SUM(M3:M33)</f>
        <v/>
      </c>
      <c r="N2" s="45">
        <f>SUM(N3:N33)</f>
        <v/>
      </c>
      <c r="O2" s="45">
        <f>SUM(O3:O33)</f>
        <v/>
      </c>
      <c r="P2" s="45">
        <f>SUM(P3:P33)</f>
        <v/>
      </c>
      <c r="Q2" s="91" t="n"/>
    </row>
    <row r="3">
      <c r="A3" s="46" t="n">
        <v>1</v>
      </c>
      <c r="B3" s="47">
        <f>SUMIFS(DuLieu!$D$3:$D$101908,DuLieu!$T$3:$T$101928,A3,DuLieu!$U$3:$U$101928,Q3)</f>
        <v/>
      </c>
      <c r="C3" s="47">
        <f>SUMIFS(DuLieu!$E$3:$E$101908,DuLieu!$T$3:$T$101908,A3,DuLieu!$U$3:$U$101908,Q3)</f>
        <v/>
      </c>
      <c r="D3" s="47">
        <f>SUMIFS(DuLieu!$F$3:$F$101908,DuLieu!$T$3:$T$1001908,A3,DuLieu!$U$3:$U$101908,Q3)</f>
        <v/>
      </c>
      <c r="E3" s="47">
        <f>SUMIFS(DuLieu!$G$3:$G$101908,DuLieu!$T$3:$T$101908,A3,DuLieu!$U$3:$U$101908,Q3)</f>
        <v/>
      </c>
      <c r="F3" s="47">
        <f>SUMIFS(DuLieu!$H$3:$H$101908,DuLieu!$T$3:$T$101908,A3,DuLieu!$U$3:$U$101908,Q3)</f>
        <v/>
      </c>
      <c r="G3" s="47">
        <f>SUMIFS(DuLieu!$I$3:$I$11908,DuLieu!$T$3:$T$101908,A3,DuLieu!$U$3:$U$101908,Q3)</f>
        <v/>
      </c>
      <c r="H3" s="47">
        <f>SUMIFS(DuLieu!$J$3:$J$101908,DuLieu!$T$3:$T$101908,A3,DuLieu!$U$3:$U$101908,Q3)</f>
        <v/>
      </c>
      <c r="I3" s="47">
        <f>SUMIFS(DuLieu!$K$3:$K$101908,DuLieu!$T$3:$T$101908,A3,DuLieu!$U$3:$U$101908,Q3)</f>
        <v/>
      </c>
      <c r="J3" s="47">
        <f>SUMIFS(DuLieu!$L$3:$L$101908,DuLieu!$T$3:$T$101908,A3,DuLieu!$U$3:$U$101908,Q3)</f>
        <v/>
      </c>
      <c r="K3" s="47">
        <f>SUMIFS(DuLieu!$M$3:$M$101908,DuLieu!$T$3:$T$101908,A3,DuLieu!$U$3:$U$101908,Q3)</f>
        <v/>
      </c>
      <c r="L3" s="47">
        <f>SUMIFS(DuLieu!$N$3:$N$101908,DuLieu!$T$3:$T$101908,A3,DuLieu!$U$3:$U$101908,Q3)</f>
        <v/>
      </c>
      <c r="M3" s="47">
        <f>SUMIFS(DuLieu!$O$3:$O$101908,DuLieu!$T$3:$T$101908,A3,DuLieu!$U$3:$U$101908,Q3)</f>
        <v/>
      </c>
      <c r="N3" s="47">
        <f>SUMIFS(DuLieu!$P$3:$P$101908,DuLieu!$T$3:$T$101908,A3,DuLieu!$U$3:$U$101908,Q3)</f>
        <v/>
      </c>
      <c r="O3" s="47">
        <f>SUMIFS(DuLieu!$Q$3:$Q$101908,DuLieu!$T$3:$T$101908,A3,DuLieu!$U$3:$U$101908,Q3)</f>
        <v/>
      </c>
      <c r="P3" s="47">
        <f>SUMIFS(DuLieu!$R$3:$R$101908,DuLieu!$T$3:$T$101908,A3,DuLieu!$U$3:$U$101908,Q3)</f>
        <v/>
      </c>
      <c r="Q3" s="49" t="n">
        <v>11</v>
      </c>
      <c r="R3" s="26" t="n">
        <v>2025</v>
      </c>
    </row>
    <row r="4">
      <c r="A4" s="48" t="n">
        <v>2</v>
      </c>
      <c r="B4" s="47">
        <f>SUMIFS(DuLieu!$D$3:$D$101908,DuLieu!$T$3:$T$101928,A4,DuLieu!$U$3:$U$101928,Q4)</f>
        <v/>
      </c>
      <c r="C4" s="47">
        <f>SUMIFS(DuLieu!$E$3:$E$101908,DuLieu!$T$3:$T$101908,A4,DuLieu!$U$3:$U$101908,Q4)</f>
        <v/>
      </c>
      <c r="D4" s="47">
        <f>SUMIFS(DuLieu!$F$3:$F$101908,DuLieu!$T$3:$T$1001908,A4,DuLieu!$U$3:$U$101908,Q4)</f>
        <v/>
      </c>
      <c r="E4" s="47">
        <f>SUMIFS(DuLieu!$G$3:$G$101908,DuLieu!$T$3:$T$101908,A4,DuLieu!$U$3:$U$101908,Q4)</f>
        <v/>
      </c>
      <c r="F4" s="47">
        <f>SUMIFS(DuLieu!$H$3:$H$101908,DuLieu!$T$3:$T$101908,A4,DuLieu!$U$3:$U$101908,Q4)</f>
        <v/>
      </c>
      <c r="G4" s="47">
        <f>SUMIFS(DuLieu!$I$3:$I$11908,DuLieu!$T$3:$T$101908,A4,DuLieu!$U$3:$U$101908,Q4)</f>
        <v/>
      </c>
      <c r="H4" s="47">
        <f>SUMIFS(DuLieu!$J$3:$J$101908,DuLieu!$T$3:$T$101908,A4,DuLieu!$U$3:$U$101908,Q4)</f>
        <v/>
      </c>
      <c r="I4" s="47">
        <f>SUMIFS(DuLieu!$K$3:$K$101908,DuLieu!$T$3:$T$101908,A4,DuLieu!$U$3:$U$101908,Q4)</f>
        <v/>
      </c>
      <c r="J4" s="47">
        <f>SUMIFS(DuLieu!$L$3:$L$101908,DuLieu!$T$3:$T$101908,A4,DuLieu!$U$3:$U$101908,Q4)</f>
        <v/>
      </c>
      <c r="K4" s="47">
        <f>SUMIFS(DuLieu!$M$3:$M$101908,DuLieu!$T$3:$T$101908,A4,DuLieu!$U$3:$U$101908,Q4)</f>
        <v/>
      </c>
      <c r="L4" s="47">
        <f>SUMIFS(DuLieu!$N$3:$N$101908,DuLieu!$T$3:$T$101908,A4,DuLieu!$U$3:$U$101908,Q4)</f>
        <v/>
      </c>
      <c r="M4" s="47">
        <f>SUMIFS(DuLieu!$O$3:$O$101908,DuLieu!$T$3:$T$101908,A4,DuLieu!$U$3:$U$101908,Q4)</f>
        <v/>
      </c>
      <c r="N4" s="47">
        <f>SUMIFS(DuLieu!$P$3:$P$101908,DuLieu!$T$3:$T$101908,A4,DuLieu!$U$3:$U$101908,Q4)</f>
        <v/>
      </c>
      <c r="O4" s="47">
        <f>SUMIFS(DuLieu!$Q$3:$Q$101908,DuLieu!$T$3:$T$101908,A4,DuLieu!$U$3:$U$101908,Q4)</f>
        <v/>
      </c>
      <c r="P4" s="47">
        <f>SUMIFS(DuLieu!$R$3:$R$101908,DuLieu!$T$3:$T$101908,A4,DuLieu!$U$3:$U$101908,Q4)</f>
        <v/>
      </c>
      <c r="Q4" s="49" t="n">
        <v>11</v>
      </c>
      <c r="R4" s="26" t="n">
        <v>2025</v>
      </c>
    </row>
    <row r="5">
      <c r="A5" s="46" t="n">
        <v>3</v>
      </c>
      <c r="B5" s="47">
        <f>SUMIFS(DuLieu!$D$3:$D$101908,DuLieu!$T$3:$T$101928,A5,DuLieu!$U$3:$U$101928,Q5)</f>
        <v/>
      </c>
      <c r="C5" s="47">
        <f>SUMIFS(DuLieu!$E$3:$E$101908,DuLieu!$T$3:$T$101908,A5,DuLieu!$U$3:$U$101908,Q5)</f>
        <v/>
      </c>
      <c r="D5" s="47">
        <f>SUMIFS(DuLieu!$F$3:$F$101908,DuLieu!$T$3:$T$1001908,A5,DuLieu!$U$3:$U$101908,Q5)</f>
        <v/>
      </c>
      <c r="E5" s="47">
        <f>SUMIFS(DuLieu!$G$3:$G$101908,DuLieu!$T$3:$T$101908,A5,DuLieu!$U$3:$U$101908,Q5)</f>
        <v/>
      </c>
      <c r="F5" s="47">
        <f>SUMIFS(DuLieu!$H$3:$H$101908,DuLieu!$T$3:$T$101908,A5,DuLieu!$U$3:$U$101908,Q5)</f>
        <v/>
      </c>
      <c r="G5" s="47">
        <f>SUMIFS(DuLieu!$I$3:$I$11908,DuLieu!$T$3:$T$101908,A5,DuLieu!$U$3:$U$101908,Q5)</f>
        <v/>
      </c>
      <c r="H5" s="47">
        <f>SUMIFS(DuLieu!$J$3:$J$101908,DuLieu!$T$3:$T$101908,A5,DuLieu!$U$3:$U$101908,Q5)</f>
        <v/>
      </c>
      <c r="I5" s="47">
        <f>SUMIFS(DuLieu!$K$3:$K$101908,DuLieu!$T$3:$T$101908,A5,DuLieu!$U$3:$U$101908,Q5)</f>
        <v/>
      </c>
      <c r="J5" s="47">
        <f>SUMIFS(DuLieu!$L$3:$L$101908,DuLieu!$T$3:$T$101908,A5,DuLieu!$U$3:$U$101908,Q5)</f>
        <v/>
      </c>
      <c r="K5" s="47">
        <f>SUMIFS(DuLieu!$M$3:$M$101908,DuLieu!$T$3:$T$101908,A5,DuLieu!$U$3:$U$101908,Q5)</f>
        <v/>
      </c>
      <c r="L5" s="47">
        <f>SUMIFS(DuLieu!$N$3:$N$101908,DuLieu!$T$3:$T$101908,A5,DuLieu!$U$3:$U$101908,Q5)</f>
        <v/>
      </c>
      <c r="M5" s="47">
        <f>SUMIFS(DuLieu!$O$3:$O$101908,DuLieu!$T$3:$T$101908,A5,DuLieu!$U$3:$U$101908,Q5)</f>
        <v/>
      </c>
      <c r="N5" s="47">
        <f>SUMIFS(DuLieu!$P$3:$P$101908,DuLieu!$T$3:$T$101908,A5,DuLieu!$U$3:$U$101908,Q5)</f>
        <v/>
      </c>
      <c r="O5" s="47">
        <f>SUMIFS(DuLieu!$Q$3:$Q$101908,DuLieu!$T$3:$T$101908,A5,DuLieu!$U$3:$U$101908,Q5)</f>
        <v/>
      </c>
      <c r="P5" s="47">
        <f>SUMIFS(DuLieu!$R$3:$R$101908,DuLieu!$T$3:$T$101908,A5,DuLieu!$U$3:$U$101908,Q5)</f>
        <v/>
      </c>
      <c r="Q5" s="49" t="n">
        <v>11</v>
      </c>
      <c r="R5" s="26" t="n">
        <v>2025</v>
      </c>
    </row>
    <row r="6">
      <c r="A6" s="48" t="n">
        <v>4</v>
      </c>
      <c r="B6" s="47">
        <f>SUMIFS(DuLieu!$D$3:$D$101908,DuLieu!$T$3:$T$101928,A6,DuLieu!$U$3:$U$101928,Q6)</f>
        <v/>
      </c>
      <c r="C6" s="47">
        <f>SUMIFS(DuLieu!$E$3:$E$101908,DuLieu!$T$3:$T$101908,A6,DuLieu!$U$3:$U$101908,Q6)</f>
        <v/>
      </c>
      <c r="D6" s="47">
        <f>SUMIFS(DuLieu!$F$3:$F$101908,DuLieu!$T$3:$T$1001908,A6,DuLieu!$U$3:$U$101908,Q6)</f>
        <v/>
      </c>
      <c r="E6" s="47">
        <f>SUMIFS(DuLieu!$G$3:$G$101908,DuLieu!$T$3:$T$101908,A6,DuLieu!$U$3:$U$101908,Q6)</f>
        <v/>
      </c>
      <c r="F6" s="47">
        <f>SUMIFS(DuLieu!$H$3:$H$101908,DuLieu!$T$3:$T$101908,A6,DuLieu!$U$3:$U$101908,Q6)</f>
        <v/>
      </c>
      <c r="G6" s="47">
        <f>SUMIFS(DuLieu!$I$3:$I$11908,DuLieu!$T$3:$T$101908,A6,DuLieu!$U$3:$U$101908,Q6)</f>
        <v/>
      </c>
      <c r="H6" s="47">
        <f>SUMIFS(DuLieu!$J$3:$J$101908,DuLieu!$T$3:$T$101908,A6,DuLieu!$U$3:$U$101908,Q6)</f>
        <v/>
      </c>
      <c r="I6" s="47">
        <f>SUMIFS(DuLieu!$K$3:$K$101908,DuLieu!$T$3:$T$101908,A6,DuLieu!$U$3:$U$101908,Q6)</f>
        <v/>
      </c>
      <c r="J6" s="47">
        <f>SUMIFS(DuLieu!$L$3:$L$101908,DuLieu!$T$3:$T$101908,A6,DuLieu!$U$3:$U$101908,Q6)</f>
        <v/>
      </c>
      <c r="K6" s="47">
        <f>SUMIFS(DuLieu!$M$3:$M$101908,DuLieu!$T$3:$T$101908,A6,DuLieu!$U$3:$U$101908,Q6)</f>
        <v/>
      </c>
      <c r="L6" s="47">
        <f>SUMIFS(DuLieu!$N$3:$N$101908,DuLieu!$T$3:$T$101908,A6,DuLieu!$U$3:$U$101908,Q6)</f>
        <v/>
      </c>
      <c r="M6" s="47">
        <f>SUMIFS(DuLieu!$O$3:$O$101908,DuLieu!$T$3:$T$101908,A6,DuLieu!$U$3:$U$101908,Q6)</f>
        <v/>
      </c>
      <c r="N6" s="47">
        <f>SUMIFS(DuLieu!$P$3:$P$101908,DuLieu!$T$3:$T$101908,A6,DuLieu!$U$3:$U$101908,Q6)</f>
        <v/>
      </c>
      <c r="O6" s="47">
        <f>SUMIFS(DuLieu!$Q$3:$Q$101908,DuLieu!$T$3:$T$101908,A6,DuLieu!$U$3:$U$101908,Q6)</f>
        <v/>
      </c>
      <c r="P6" s="47">
        <f>SUMIFS(DuLieu!$R$3:$R$101908,DuLieu!$T$3:$T$101908,A6,DuLieu!$U$3:$U$101908,Q6)</f>
        <v/>
      </c>
      <c r="Q6" s="49" t="n">
        <v>11</v>
      </c>
      <c r="R6" s="26" t="n">
        <v>2025</v>
      </c>
    </row>
    <row r="7">
      <c r="A7" s="46" t="n">
        <v>5</v>
      </c>
      <c r="B7" s="47">
        <f>SUMIFS(DuLieu!$D$3:$D$101908,DuLieu!$T$3:$T$101928,A7,DuLieu!$U$3:$U$101928,Q7)</f>
        <v/>
      </c>
      <c r="C7" s="47">
        <f>SUMIFS(DuLieu!$E$3:$E$101908,DuLieu!$T$3:$T$101908,A7,DuLieu!$U$3:$U$101908,Q7)</f>
        <v/>
      </c>
      <c r="D7" s="47">
        <f>SUMIFS(DuLieu!$F$3:$F$101908,DuLieu!$T$3:$T$1001908,A7,DuLieu!$U$3:$U$101908,Q7)</f>
        <v/>
      </c>
      <c r="E7" s="47">
        <f>SUMIFS(DuLieu!$G$3:$G$101908,DuLieu!$T$3:$T$101908,A7,DuLieu!$U$3:$U$101908,Q7)</f>
        <v/>
      </c>
      <c r="F7" s="47">
        <f>SUMIFS(DuLieu!$H$3:$H$101908,DuLieu!$T$3:$T$101908,A7,DuLieu!$U$3:$U$101908,Q7)</f>
        <v/>
      </c>
      <c r="G7" s="47">
        <f>SUMIFS(DuLieu!$I$3:$I$11908,DuLieu!$T$3:$T$101908,A7,DuLieu!$U$3:$U$101908,Q7)</f>
        <v/>
      </c>
      <c r="H7" s="47">
        <f>SUMIFS(DuLieu!$J$3:$J$101908,DuLieu!$T$3:$T$101908,A7,DuLieu!$U$3:$U$101908,Q7)</f>
        <v/>
      </c>
      <c r="I7" s="47">
        <f>SUMIFS(DuLieu!$K$3:$K$101908,DuLieu!$T$3:$T$101908,A7,DuLieu!$U$3:$U$101908,Q7)</f>
        <v/>
      </c>
      <c r="J7" s="47">
        <f>SUMIFS(DuLieu!$L$3:$L$101908,DuLieu!$T$3:$T$101908,A7,DuLieu!$U$3:$U$101908,Q7)</f>
        <v/>
      </c>
      <c r="K7" s="47">
        <f>SUMIFS(DuLieu!$M$3:$M$101908,DuLieu!$T$3:$T$101908,A7,DuLieu!$U$3:$U$101908,Q7)</f>
        <v/>
      </c>
      <c r="L7" s="47">
        <f>SUMIFS(DuLieu!$N$3:$N$101908,DuLieu!$T$3:$T$101908,A7,DuLieu!$U$3:$U$101908,Q7)</f>
        <v/>
      </c>
      <c r="M7" s="47">
        <f>SUMIFS(DuLieu!$O$3:$O$101908,DuLieu!$T$3:$T$101908,A7,DuLieu!$U$3:$U$101908,Q7)</f>
        <v/>
      </c>
      <c r="N7" s="47">
        <f>SUMIFS(DuLieu!$P$3:$P$101908,DuLieu!$T$3:$T$101908,A7,DuLieu!$U$3:$U$101908,Q7)</f>
        <v/>
      </c>
      <c r="O7" s="47">
        <f>SUMIFS(DuLieu!$Q$3:$Q$101908,DuLieu!$T$3:$T$101908,A7,DuLieu!$U$3:$U$101908,Q7)</f>
        <v/>
      </c>
      <c r="P7" s="47">
        <f>SUMIFS(DuLieu!$R$3:$R$101908,DuLieu!$T$3:$T$101908,A7,DuLieu!$U$3:$U$101908,Q7)</f>
        <v/>
      </c>
      <c r="Q7" s="49" t="n">
        <v>11</v>
      </c>
      <c r="R7" s="26" t="n">
        <v>2025</v>
      </c>
    </row>
    <row r="8">
      <c r="A8" s="48" t="n">
        <v>6</v>
      </c>
      <c r="B8" s="47">
        <f>SUMIFS(DuLieu!$D$3:$D$101908,DuLieu!$T$3:$T$101928,A8,DuLieu!$U$3:$U$101928,Q8)</f>
        <v/>
      </c>
      <c r="C8" s="47">
        <f>SUMIFS(DuLieu!$E$3:$E$101908,DuLieu!$T$3:$T$101908,A8,DuLieu!$U$3:$U$101908,Q8)</f>
        <v/>
      </c>
      <c r="D8" s="47">
        <f>SUMIFS(DuLieu!$F$3:$F$101908,DuLieu!$T$3:$T$1001908,A8,DuLieu!$U$3:$U$101908,Q8)</f>
        <v/>
      </c>
      <c r="E8" s="47">
        <f>SUMIFS(DuLieu!$G$3:$G$101908,DuLieu!$T$3:$T$101908,A8,DuLieu!$U$3:$U$101908,Q8)</f>
        <v/>
      </c>
      <c r="F8" s="47">
        <f>SUMIFS(DuLieu!$H$3:$H$101908,DuLieu!$T$3:$T$101908,A8,DuLieu!$U$3:$U$101908,Q8)</f>
        <v/>
      </c>
      <c r="G8" s="47">
        <f>SUMIFS(DuLieu!$I$3:$I$11908,DuLieu!$T$3:$T$101908,A8,DuLieu!$U$3:$U$101908,Q8)</f>
        <v/>
      </c>
      <c r="H8" s="47">
        <f>SUMIFS(DuLieu!$J$3:$J$101908,DuLieu!$T$3:$T$101908,A8,DuLieu!$U$3:$U$101908,Q8)</f>
        <v/>
      </c>
      <c r="I8" s="47">
        <f>SUMIFS(DuLieu!$K$3:$K$101908,DuLieu!$T$3:$T$101908,A8,DuLieu!$U$3:$U$101908,Q8)</f>
        <v/>
      </c>
      <c r="J8" s="47">
        <f>SUMIFS(DuLieu!$L$3:$L$101908,DuLieu!$T$3:$T$101908,A8,DuLieu!$U$3:$U$101908,Q8)</f>
        <v/>
      </c>
      <c r="K8" s="47">
        <f>SUMIFS(DuLieu!$M$3:$M$101908,DuLieu!$T$3:$T$101908,A8,DuLieu!$U$3:$U$101908,Q8)</f>
        <v/>
      </c>
      <c r="L8" s="47">
        <f>SUMIFS(DuLieu!$N$3:$N$101908,DuLieu!$T$3:$T$101908,A8,DuLieu!$U$3:$U$101908,Q8)</f>
        <v/>
      </c>
      <c r="M8" s="47">
        <f>SUMIFS(DuLieu!$O$3:$O$101908,DuLieu!$T$3:$T$101908,A8,DuLieu!$U$3:$U$101908,Q8)</f>
        <v/>
      </c>
      <c r="N8" s="47">
        <f>SUMIFS(DuLieu!$P$3:$P$101908,DuLieu!$T$3:$T$101908,A8,DuLieu!$U$3:$U$101908,Q8)</f>
        <v/>
      </c>
      <c r="O8" s="47">
        <f>SUMIFS(DuLieu!$Q$3:$Q$101908,DuLieu!$T$3:$T$101908,A8,DuLieu!$U$3:$U$101908,Q8)</f>
        <v/>
      </c>
      <c r="P8" s="47">
        <f>SUMIFS(DuLieu!$R$3:$R$101908,DuLieu!$T$3:$T$101908,A8,DuLieu!$U$3:$U$101908,Q8)</f>
        <v/>
      </c>
      <c r="Q8" s="49" t="n">
        <v>11</v>
      </c>
      <c r="R8" s="26" t="n">
        <v>2025</v>
      </c>
    </row>
    <row r="9">
      <c r="A9" s="46" t="n">
        <v>7</v>
      </c>
      <c r="B9" s="47">
        <f>SUMIFS(DuLieu!$D$3:$D$101908,DuLieu!$T$3:$T$101928,A9,DuLieu!$U$3:$U$101928,Q9)</f>
        <v/>
      </c>
      <c r="C9" s="47">
        <f>SUMIFS(DuLieu!$E$3:$E$101908,DuLieu!$T$3:$T$101908,A9,DuLieu!$U$3:$U$101908,Q9)</f>
        <v/>
      </c>
      <c r="D9" s="47">
        <f>SUMIFS(DuLieu!$F$3:$F$101908,DuLieu!$T$3:$T$1001908,A9,DuLieu!$U$3:$U$101908,Q9)</f>
        <v/>
      </c>
      <c r="E9" s="47">
        <f>SUMIFS(DuLieu!$G$3:$G$101908,DuLieu!$T$3:$T$101908,A9,DuLieu!$U$3:$U$101908,Q9)</f>
        <v/>
      </c>
      <c r="F9" s="47">
        <f>SUMIFS(DuLieu!$H$3:$H$101908,DuLieu!$T$3:$T$101908,A9,DuLieu!$U$3:$U$101908,Q9)</f>
        <v/>
      </c>
      <c r="G9" s="47">
        <f>SUMIFS(DuLieu!$I$3:$I$11908,DuLieu!$T$3:$T$101908,A9,DuLieu!$U$3:$U$101908,Q9)</f>
        <v/>
      </c>
      <c r="H9" s="47">
        <f>SUMIFS(DuLieu!$J$3:$J$101908,DuLieu!$T$3:$T$101908,A9,DuLieu!$U$3:$U$101908,Q9)</f>
        <v/>
      </c>
      <c r="I9" s="47">
        <f>SUMIFS(DuLieu!$K$3:$K$101908,DuLieu!$T$3:$T$101908,A9,DuLieu!$U$3:$U$101908,Q9)</f>
        <v/>
      </c>
      <c r="J9" s="47">
        <f>SUMIFS(DuLieu!$L$3:$L$101908,DuLieu!$T$3:$T$101908,A9,DuLieu!$U$3:$U$101908,Q9)</f>
        <v/>
      </c>
      <c r="K9" s="47">
        <f>SUMIFS(DuLieu!$M$3:$M$101908,DuLieu!$T$3:$T$101908,A9,DuLieu!$U$3:$U$101908,Q9)</f>
        <v/>
      </c>
      <c r="L9" s="47">
        <f>SUMIFS(DuLieu!$N$3:$N$101908,DuLieu!$T$3:$T$101908,A9,DuLieu!$U$3:$U$101908,Q9)</f>
        <v/>
      </c>
      <c r="M9" s="47">
        <f>SUMIFS(DuLieu!$O$3:$O$101908,DuLieu!$T$3:$T$101908,A9,DuLieu!$U$3:$U$101908,Q9)</f>
        <v/>
      </c>
      <c r="N9" s="47">
        <f>SUMIFS(DuLieu!$P$3:$P$101908,DuLieu!$T$3:$T$101908,A9,DuLieu!$U$3:$U$101908,Q9)</f>
        <v/>
      </c>
      <c r="O9" s="47">
        <f>SUMIFS(DuLieu!$Q$3:$Q$101908,DuLieu!$T$3:$T$101908,A9,DuLieu!$U$3:$U$101908,Q9)</f>
        <v/>
      </c>
      <c r="P9" s="47">
        <f>SUMIFS(DuLieu!$R$3:$R$101908,DuLieu!$T$3:$T$101908,A9,DuLieu!$U$3:$U$101908,Q9)</f>
        <v/>
      </c>
      <c r="Q9" s="49" t="n">
        <v>11</v>
      </c>
      <c r="R9" s="26" t="n">
        <v>2025</v>
      </c>
    </row>
    <row r="10">
      <c r="A10" s="48" t="n">
        <v>8</v>
      </c>
      <c r="B10" s="47">
        <f>SUMIFS(DuLieu!$D$3:$D$101908,DuLieu!$T$3:$T$101928,A10,DuLieu!$U$3:$U$101928,Q10)</f>
        <v/>
      </c>
      <c r="C10" s="47">
        <f>SUMIFS(DuLieu!$E$3:$E$101908,DuLieu!$T$3:$T$101908,A10,DuLieu!$U$3:$U$101908,Q10)</f>
        <v/>
      </c>
      <c r="D10" s="47">
        <f>SUMIFS(DuLieu!$F$3:$F$101908,DuLieu!$T$3:$T$1001908,A10,DuLieu!$U$3:$U$101908,Q10)</f>
        <v/>
      </c>
      <c r="E10" s="47">
        <f>SUMIFS(DuLieu!$G$3:$G$101908,DuLieu!$T$3:$T$101908,A10,DuLieu!$U$3:$U$101908,Q10)</f>
        <v/>
      </c>
      <c r="F10" s="47">
        <f>SUMIFS(DuLieu!$H$3:$H$101908,DuLieu!$T$3:$T$101908,A10,DuLieu!$U$3:$U$101908,Q10)</f>
        <v/>
      </c>
      <c r="G10" s="47">
        <f>SUMIFS(DuLieu!$I$3:$I$11908,DuLieu!$T$3:$T$101908,A10,DuLieu!$U$3:$U$101908,Q10)</f>
        <v/>
      </c>
      <c r="H10" s="47">
        <f>SUMIFS(DuLieu!$J$3:$J$101908,DuLieu!$T$3:$T$101908,A10,DuLieu!$U$3:$U$101908,Q10)</f>
        <v/>
      </c>
      <c r="I10" s="47">
        <f>SUMIFS(DuLieu!$K$3:$K$101908,DuLieu!$T$3:$T$101908,A10,DuLieu!$U$3:$U$101908,Q10)</f>
        <v/>
      </c>
      <c r="J10" s="47">
        <f>SUMIFS(DuLieu!$L$3:$L$101908,DuLieu!$T$3:$T$101908,A10,DuLieu!$U$3:$U$101908,Q10)</f>
        <v/>
      </c>
      <c r="K10" s="47">
        <f>SUMIFS(DuLieu!$M$3:$M$101908,DuLieu!$T$3:$T$101908,A10,DuLieu!$U$3:$U$101908,Q10)</f>
        <v/>
      </c>
      <c r="L10" s="47">
        <f>SUMIFS(DuLieu!$N$3:$N$101908,DuLieu!$T$3:$T$101908,A10,DuLieu!$U$3:$U$101908,Q10)</f>
        <v/>
      </c>
      <c r="M10" s="47">
        <f>SUMIFS(DuLieu!$O$3:$O$101908,DuLieu!$T$3:$T$101908,A10,DuLieu!$U$3:$U$101908,Q10)</f>
        <v/>
      </c>
      <c r="N10" s="47">
        <f>SUMIFS(DuLieu!$P$3:$P$101908,DuLieu!$T$3:$T$101908,A10,DuLieu!$U$3:$U$101908,Q10)</f>
        <v/>
      </c>
      <c r="O10" s="47">
        <f>SUMIFS(DuLieu!$Q$3:$Q$101908,DuLieu!$T$3:$T$101908,A10,DuLieu!$U$3:$U$101908,Q10)</f>
        <v/>
      </c>
      <c r="P10" s="47">
        <f>SUMIFS(DuLieu!$R$3:$R$101908,DuLieu!$T$3:$T$101908,A10,DuLieu!$U$3:$U$101908,Q10)</f>
        <v/>
      </c>
      <c r="Q10" s="49" t="n">
        <v>11</v>
      </c>
      <c r="R10" s="26" t="n">
        <v>2025</v>
      </c>
    </row>
    <row r="11">
      <c r="A11" s="46" t="n">
        <v>9</v>
      </c>
      <c r="B11" s="47">
        <f>SUMIFS(DuLieu!$D$3:$D$101908,DuLieu!$T$3:$T$101928,A11,DuLieu!$U$3:$U$101928,Q11)</f>
        <v/>
      </c>
      <c r="C11" s="47">
        <f>SUMIFS(DuLieu!$E$3:$E$101908,DuLieu!$T$3:$T$101908,A11,DuLieu!$U$3:$U$101908,Q11)</f>
        <v/>
      </c>
      <c r="D11" s="47">
        <f>SUMIFS(DuLieu!$F$3:$F$101908,DuLieu!$T$3:$T$1001908,A11,DuLieu!$U$3:$U$101908,Q11)</f>
        <v/>
      </c>
      <c r="E11" s="47">
        <f>SUMIFS(DuLieu!$G$3:$G$101908,DuLieu!$T$3:$T$101908,A11,DuLieu!$U$3:$U$101908,Q11)</f>
        <v/>
      </c>
      <c r="F11" s="47">
        <f>SUMIFS(DuLieu!$H$3:$H$101908,DuLieu!$T$3:$T$101908,A11,DuLieu!$U$3:$U$101908,Q11)</f>
        <v/>
      </c>
      <c r="G11" s="47">
        <f>SUMIFS(DuLieu!$I$3:$I$11908,DuLieu!$T$3:$T$101908,A11,DuLieu!$U$3:$U$101908,Q11)</f>
        <v/>
      </c>
      <c r="H11" s="47">
        <f>SUMIFS(DuLieu!$J$3:$J$101908,DuLieu!$T$3:$T$101908,A11,DuLieu!$U$3:$U$101908,Q11)</f>
        <v/>
      </c>
      <c r="I11" s="47">
        <f>SUMIFS(DuLieu!$K$3:$K$101908,DuLieu!$T$3:$T$101908,A11,DuLieu!$U$3:$U$101908,Q11)</f>
        <v/>
      </c>
      <c r="J11" s="47">
        <f>SUMIFS(DuLieu!$L$3:$L$101908,DuLieu!$T$3:$T$101908,A11,DuLieu!$U$3:$U$101908,Q11)</f>
        <v/>
      </c>
      <c r="K11" s="47">
        <f>SUMIFS(DuLieu!$M$3:$M$101908,DuLieu!$T$3:$T$101908,A11,DuLieu!$U$3:$U$101908,Q11)</f>
        <v/>
      </c>
      <c r="L11" s="47">
        <f>SUMIFS(DuLieu!$N$3:$N$101908,DuLieu!$T$3:$T$101908,A11,DuLieu!$U$3:$U$101908,Q11)</f>
        <v/>
      </c>
      <c r="M11" s="47">
        <f>SUMIFS(DuLieu!$O$3:$O$101908,DuLieu!$T$3:$T$101908,A11,DuLieu!$U$3:$U$101908,Q11)</f>
        <v/>
      </c>
      <c r="N11" s="47">
        <f>SUMIFS(DuLieu!$P$3:$P$101908,DuLieu!$T$3:$T$101908,A11,DuLieu!$U$3:$U$101908,Q11)</f>
        <v/>
      </c>
      <c r="O11" s="47">
        <f>SUMIFS(DuLieu!$Q$3:$Q$101908,DuLieu!$T$3:$T$101908,A11,DuLieu!$U$3:$U$101908,Q11)</f>
        <v/>
      </c>
      <c r="P11" s="47">
        <f>SUMIFS(DuLieu!$R$3:$R$101908,DuLieu!$T$3:$T$101908,A11,DuLieu!$U$3:$U$101908,Q11)</f>
        <v/>
      </c>
      <c r="Q11" s="49" t="n">
        <v>11</v>
      </c>
      <c r="R11" s="26" t="n">
        <v>2025</v>
      </c>
    </row>
    <row r="12">
      <c r="A12" s="48" t="n">
        <v>10</v>
      </c>
      <c r="B12" s="47">
        <f>SUMIFS(DuLieu!$D$3:$D$101908,DuLieu!$T$3:$T$101928,A12,DuLieu!$U$3:$U$101928,Q12)</f>
        <v/>
      </c>
      <c r="C12" s="47">
        <f>SUMIFS(DuLieu!$E$3:$E$101908,DuLieu!$T$3:$T$101908,A12,DuLieu!$U$3:$U$101908,Q12)</f>
        <v/>
      </c>
      <c r="D12" s="47">
        <f>SUMIFS(DuLieu!$F$3:$F$101908,DuLieu!$T$3:$T$1001908,A12,DuLieu!$U$3:$U$101908,Q12)</f>
        <v/>
      </c>
      <c r="E12" s="47">
        <f>SUMIFS(DuLieu!$G$3:$G$101908,DuLieu!$T$3:$T$101908,A12,DuLieu!$U$3:$U$101908,Q12)</f>
        <v/>
      </c>
      <c r="F12" s="47">
        <f>SUMIFS(DuLieu!$H$3:$H$101908,DuLieu!$T$3:$T$101908,A12,DuLieu!$U$3:$U$101908,Q12)</f>
        <v/>
      </c>
      <c r="G12" s="47">
        <f>SUMIFS(DuLieu!$I$3:$I$11908,DuLieu!$T$3:$T$101908,A12,DuLieu!$U$3:$U$101908,Q12)</f>
        <v/>
      </c>
      <c r="H12" s="47">
        <f>SUMIFS(DuLieu!$J$3:$J$101908,DuLieu!$T$3:$T$101908,A12,DuLieu!$U$3:$U$101908,Q12)</f>
        <v/>
      </c>
      <c r="I12" s="47">
        <f>SUMIFS(DuLieu!$K$3:$K$101908,DuLieu!$T$3:$T$101908,A12,DuLieu!$U$3:$U$101908,Q12)</f>
        <v/>
      </c>
      <c r="J12" s="47">
        <f>SUMIFS(DuLieu!$L$3:$L$101908,DuLieu!$T$3:$T$101908,A12,DuLieu!$U$3:$U$101908,Q12)</f>
        <v/>
      </c>
      <c r="K12" s="47">
        <f>SUMIFS(DuLieu!$M$3:$M$101908,DuLieu!$T$3:$T$101908,A12,DuLieu!$U$3:$U$101908,Q12)</f>
        <v/>
      </c>
      <c r="L12" s="47">
        <f>SUMIFS(DuLieu!$N$3:$N$101908,DuLieu!$T$3:$T$101908,A12,DuLieu!$U$3:$U$101908,Q12)</f>
        <v/>
      </c>
      <c r="M12" s="47">
        <f>SUMIFS(DuLieu!$O$3:$O$101908,DuLieu!$T$3:$T$101908,A12,DuLieu!$U$3:$U$101908,Q12)</f>
        <v/>
      </c>
      <c r="N12" s="47">
        <f>SUMIFS(DuLieu!$P$3:$P$101908,DuLieu!$T$3:$T$101908,A12,DuLieu!$U$3:$U$101908,Q12)</f>
        <v/>
      </c>
      <c r="O12" s="47">
        <f>SUMIFS(DuLieu!$Q$3:$Q$101908,DuLieu!$T$3:$T$101908,A12,DuLieu!$U$3:$U$101908,Q12)</f>
        <v/>
      </c>
      <c r="P12" s="47">
        <f>SUMIFS(DuLieu!$R$3:$R$101908,DuLieu!$T$3:$T$101908,A12,DuLieu!$U$3:$U$101908,Q12)</f>
        <v/>
      </c>
      <c r="Q12" s="49" t="n">
        <v>11</v>
      </c>
      <c r="R12" s="26" t="n">
        <v>2025</v>
      </c>
    </row>
    <row r="13">
      <c r="A13" s="46" t="n">
        <v>11</v>
      </c>
      <c r="B13" s="47">
        <f>SUMIFS(DuLieu!$D$3:$D$101908,DuLieu!$T$3:$T$101928,A13,DuLieu!$U$3:$U$101928,Q13)</f>
        <v/>
      </c>
      <c r="C13" s="47">
        <f>SUMIFS(DuLieu!$E$3:$E$101908,DuLieu!$T$3:$T$101908,A13,DuLieu!$U$3:$U$101908,Q13)</f>
        <v/>
      </c>
      <c r="D13" s="47">
        <f>SUMIFS(DuLieu!$F$3:$F$101908,DuLieu!$T$3:$T$1001908,A13,DuLieu!$U$3:$U$101908,Q13)</f>
        <v/>
      </c>
      <c r="E13" s="47">
        <f>SUMIFS(DuLieu!$G$3:$G$101908,DuLieu!$T$3:$T$101908,A13,DuLieu!$U$3:$U$101908,Q13)</f>
        <v/>
      </c>
      <c r="F13" s="47">
        <f>SUMIFS(DuLieu!$H$3:$H$101908,DuLieu!$T$3:$T$101908,A13,DuLieu!$U$3:$U$101908,Q13)</f>
        <v/>
      </c>
      <c r="G13" s="47">
        <f>SUMIFS(DuLieu!$I$3:$I$11908,DuLieu!$T$3:$T$101908,A13,DuLieu!$U$3:$U$101908,Q13)</f>
        <v/>
      </c>
      <c r="H13" s="47">
        <f>SUMIFS(DuLieu!$J$3:$J$101908,DuLieu!$T$3:$T$101908,A13,DuLieu!$U$3:$U$101908,Q13)</f>
        <v/>
      </c>
      <c r="I13" s="47">
        <f>SUMIFS(DuLieu!$K$3:$K$101908,DuLieu!$T$3:$T$101908,A13,DuLieu!$U$3:$U$101908,Q13)</f>
        <v/>
      </c>
      <c r="J13" s="47">
        <f>SUMIFS(DuLieu!$L$3:$L$101908,DuLieu!$T$3:$T$101908,A13,DuLieu!$U$3:$U$101908,Q13)</f>
        <v/>
      </c>
      <c r="K13" s="47">
        <f>SUMIFS(DuLieu!$M$3:$M$101908,DuLieu!$T$3:$T$101908,A13,DuLieu!$U$3:$U$101908,Q13)</f>
        <v/>
      </c>
      <c r="L13" s="47">
        <f>SUMIFS(DuLieu!$N$3:$N$101908,DuLieu!$T$3:$T$101908,A13,DuLieu!$U$3:$U$101908,Q13)</f>
        <v/>
      </c>
      <c r="M13" s="47">
        <f>SUMIFS(DuLieu!$O$3:$O$101908,DuLieu!$T$3:$T$101908,A13,DuLieu!$U$3:$U$101908,Q13)</f>
        <v/>
      </c>
      <c r="N13" s="47">
        <f>SUMIFS(DuLieu!$P$3:$P$101908,DuLieu!$T$3:$T$101908,A13,DuLieu!$U$3:$U$101908,Q13)</f>
        <v/>
      </c>
      <c r="O13" s="47">
        <f>SUMIFS(DuLieu!$Q$3:$Q$101908,DuLieu!$T$3:$T$101908,A13,DuLieu!$U$3:$U$101908,Q13)</f>
        <v/>
      </c>
      <c r="P13" s="47">
        <f>SUMIFS(DuLieu!$R$3:$R$101908,DuLieu!$T$3:$T$101908,A13,DuLieu!$U$3:$U$101908,Q13)</f>
        <v/>
      </c>
      <c r="Q13" s="49" t="n">
        <v>11</v>
      </c>
      <c r="R13" s="26" t="n">
        <v>2025</v>
      </c>
    </row>
    <row r="14">
      <c r="A14" s="48" t="n">
        <v>12</v>
      </c>
      <c r="B14" s="47">
        <f>SUMIFS(DuLieu!$D$3:$D$101908,DuLieu!$T$3:$T$101928,A14,DuLieu!$U$3:$U$101928,Q14)</f>
        <v/>
      </c>
      <c r="C14" s="47">
        <f>SUMIFS(DuLieu!$E$3:$E$101908,DuLieu!$T$3:$T$101908,A14,DuLieu!$U$3:$U$101908,Q14)</f>
        <v/>
      </c>
      <c r="D14" s="47">
        <f>SUMIFS(DuLieu!$F$3:$F$101908,DuLieu!$T$3:$T$1001908,A14,DuLieu!$U$3:$U$101908,Q14)</f>
        <v/>
      </c>
      <c r="E14" s="47">
        <f>SUMIFS(DuLieu!$G$3:$G$101908,DuLieu!$T$3:$T$101908,A14,DuLieu!$U$3:$U$101908,Q14)</f>
        <v/>
      </c>
      <c r="F14" s="47">
        <f>SUMIFS(DuLieu!$H$3:$H$101908,DuLieu!$T$3:$T$101908,A14,DuLieu!$U$3:$U$101908,Q14)</f>
        <v/>
      </c>
      <c r="G14" s="47">
        <f>SUMIFS(DuLieu!$I$3:$I$11908,DuLieu!$T$3:$T$101908,A14,DuLieu!$U$3:$U$101908,Q14)</f>
        <v/>
      </c>
      <c r="H14" s="47">
        <f>SUMIFS(DuLieu!$J$3:$J$101908,DuLieu!$T$3:$T$101908,A14,DuLieu!$U$3:$U$101908,Q14)</f>
        <v/>
      </c>
      <c r="I14" s="47">
        <f>SUMIFS(DuLieu!$K$3:$K$101908,DuLieu!$T$3:$T$101908,A14,DuLieu!$U$3:$U$101908,Q14)</f>
        <v/>
      </c>
      <c r="J14" s="47">
        <f>SUMIFS(DuLieu!$L$3:$L$101908,DuLieu!$T$3:$T$101908,A14,DuLieu!$U$3:$U$101908,Q14)</f>
        <v/>
      </c>
      <c r="K14" s="47">
        <f>SUMIFS(DuLieu!$M$3:$M$101908,DuLieu!$T$3:$T$101908,A14,DuLieu!$U$3:$U$101908,Q14)</f>
        <v/>
      </c>
      <c r="L14" s="47">
        <f>SUMIFS(DuLieu!$N$3:$N$101908,DuLieu!$T$3:$T$101908,A14,DuLieu!$U$3:$U$101908,Q14)</f>
        <v/>
      </c>
      <c r="M14" s="47">
        <f>SUMIFS(DuLieu!$O$3:$O$101908,DuLieu!$T$3:$T$101908,A14,DuLieu!$U$3:$U$101908,Q14)</f>
        <v/>
      </c>
      <c r="N14" s="47">
        <f>SUMIFS(DuLieu!$P$3:$P$101908,DuLieu!$T$3:$T$101908,A14,DuLieu!$U$3:$U$101908,Q14)</f>
        <v/>
      </c>
      <c r="O14" s="47">
        <f>SUMIFS(DuLieu!$Q$3:$Q$101908,DuLieu!$T$3:$T$101908,A14,DuLieu!$U$3:$U$101908,Q14)</f>
        <v/>
      </c>
      <c r="P14" s="47">
        <f>SUMIFS(DuLieu!$R$3:$R$101908,DuLieu!$T$3:$T$101908,A14,DuLieu!$U$3:$U$101908,Q14)</f>
        <v/>
      </c>
      <c r="Q14" s="49" t="n">
        <v>11</v>
      </c>
      <c r="R14" s="26" t="n">
        <v>2025</v>
      </c>
    </row>
    <row r="15">
      <c r="A15" s="46" t="n">
        <v>13</v>
      </c>
      <c r="B15" s="47">
        <f>SUMIFS(DuLieu!$D$3:$D$101908,DuLieu!$T$3:$T$101928,A15,DuLieu!$U$3:$U$101928,Q15)</f>
        <v/>
      </c>
      <c r="C15" s="47">
        <f>SUMIFS(DuLieu!$E$3:$E$101908,DuLieu!$T$3:$T$101908,A15,DuLieu!$U$3:$U$101908,Q15)</f>
        <v/>
      </c>
      <c r="D15" s="47">
        <f>SUMIFS(DuLieu!$F$3:$F$101908,DuLieu!$T$3:$T$1001908,A15,DuLieu!$U$3:$U$101908,Q15)</f>
        <v/>
      </c>
      <c r="E15" s="47">
        <f>SUMIFS(DuLieu!$G$3:$G$101908,DuLieu!$T$3:$T$101908,A15,DuLieu!$U$3:$U$101908,Q15)</f>
        <v/>
      </c>
      <c r="F15" s="47">
        <f>SUMIFS(DuLieu!$H$3:$H$101908,DuLieu!$T$3:$T$101908,A15,DuLieu!$U$3:$U$101908,Q15)</f>
        <v/>
      </c>
      <c r="G15" s="47">
        <f>SUMIFS(DuLieu!$I$3:$I$11908,DuLieu!$T$3:$T$101908,A15,DuLieu!$U$3:$U$101908,Q15)</f>
        <v/>
      </c>
      <c r="H15" s="47">
        <f>SUMIFS(DuLieu!$J$3:$J$101908,DuLieu!$T$3:$T$101908,A15,DuLieu!$U$3:$U$101908,Q15)</f>
        <v/>
      </c>
      <c r="I15" s="47">
        <f>SUMIFS(DuLieu!$K$3:$K$101908,DuLieu!$T$3:$T$101908,A15,DuLieu!$U$3:$U$101908,Q15)</f>
        <v/>
      </c>
      <c r="J15" s="47">
        <f>SUMIFS(DuLieu!$L$3:$L$101908,DuLieu!$T$3:$T$101908,A15,DuLieu!$U$3:$U$101908,Q15)</f>
        <v/>
      </c>
      <c r="K15" s="47">
        <f>SUMIFS(DuLieu!$M$3:$M$101908,DuLieu!$T$3:$T$101908,A15,DuLieu!$U$3:$U$101908,Q15)</f>
        <v/>
      </c>
      <c r="L15" s="47">
        <f>SUMIFS(DuLieu!$N$3:$N$101908,DuLieu!$T$3:$T$101908,A15,DuLieu!$U$3:$U$101908,Q15)</f>
        <v/>
      </c>
      <c r="M15" s="47">
        <f>SUMIFS(DuLieu!$O$3:$O$101908,DuLieu!$T$3:$T$101908,A15,DuLieu!$U$3:$U$101908,Q15)</f>
        <v/>
      </c>
      <c r="N15" s="47">
        <f>SUMIFS(DuLieu!$P$3:$P$101908,DuLieu!$T$3:$T$101908,A15,DuLieu!$U$3:$U$101908,Q15)</f>
        <v/>
      </c>
      <c r="O15" s="47">
        <f>SUMIFS(DuLieu!$Q$3:$Q$101908,DuLieu!$T$3:$T$101908,A15,DuLieu!$U$3:$U$101908,Q15)</f>
        <v/>
      </c>
      <c r="P15" s="47">
        <f>SUMIFS(DuLieu!$R$3:$R$101908,DuLieu!$T$3:$T$101908,A15,DuLieu!$U$3:$U$101908,Q15)</f>
        <v/>
      </c>
      <c r="Q15" s="49" t="n">
        <v>11</v>
      </c>
      <c r="R15" s="26" t="n">
        <v>2025</v>
      </c>
    </row>
    <row r="16">
      <c r="A16" s="48" t="n">
        <v>14</v>
      </c>
      <c r="B16" s="47">
        <f>SUMIFS(DuLieu!$D$3:$D$101908,DuLieu!$T$3:$T$101928,A16,DuLieu!$U$3:$U$101928,Q16)</f>
        <v/>
      </c>
      <c r="C16" s="47">
        <f>SUMIFS(DuLieu!$E$3:$E$101908,DuLieu!$T$3:$T$101908,A16,DuLieu!$U$3:$U$101908,Q16)</f>
        <v/>
      </c>
      <c r="D16" s="47">
        <f>SUMIFS(DuLieu!$F$3:$F$101908,DuLieu!$T$3:$T$1001908,A16,DuLieu!$U$3:$U$101908,Q16)</f>
        <v/>
      </c>
      <c r="E16" s="47">
        <f>SUMIFS(DuLieu!$G$3:$G$101908,DuLieu!$T$3:$T$101908,A16,DuLieu!$U$3:$U$101908,Q16)</f>
        <v/>
      </c>
      <c r="F16" s="47">
        <f>SUMIFS(DuLieu!$H$3:$H$101908,DuLieu!$T$3:$T$101908,A16,DuLieu!$U$3:$U$101908,Q16)</f>
        <v/>
      </c>
      <c r="G16" s="47">
        <f>SUMIFS(DuLieu!$I$3:$I$11908,DuLieu!$T$3:$T$101908,A16,DuLieu!$U$3:$U$101908,Q16)</f>
        <v/>
      </c>
      <c r="H16" s="47">
        <f>SUMIFS(DuLieu!$J$3:$J$101908,DuLieu!$T$3:$T$101908,A16,DuLieu!$U$3:$U$101908,Q16)</f>
        <v/>
      </c>
      <c r="I16" s="47">
        <f>SUMIFS(DuLieu!$K$3:$K$101908,DuLieu!$T$3:$T$101908,A16,DuLieu!$U$3:$U$101908,Q16)</f>
        <v/>
      </c>
      <c r="J16" s="47">
        <f>SUMIFS(DuLieu!$L$3:$L$101908,DuLieu!$T$3:$T$101908,A16,DuLieu!$U$3:$U$101908,Q16)</f>
        <v/>
      </c>
      <c r="K16" s="47">
        <f>SUMIFS(DuLieu!$M$3:$M$101908,DuLieu!$T$3:$T$101908,A16,DuLieu!$U$3:$U$101908,Q16)</f>
        <v/>
      </c>
      <c r="L16" s="47">
        <f>SUMIFS(DuLieu!$N$3:$N$101908,DuLieu!$T$3:$T$101908,A16,DuLieu!$U$3:$U$101908,Q16)</f>
        <v/>
      </c>
      <c r="M16" s="47">
        <f>SUMIFS(DuLieu!$O$3:$O$101908,DuLieu!$T$3:$T$101908,A16,DuLieu!$U$3:$U$101908,Q16)</f>
        <v/>
      </c>
      <c r="N16" s="47">
        <f>SUMIFS(DuLieu!$P$3:$P$101908,DuLieu!$T$3:$T$101908,A16,DuLieu!$U$3:$U$101908,Q16)</f>
        <v/>
      </c>
      <c r="O16" s="47">
        <f>SUMIFS(DuLieu!$Q$3:$Q$101908,DuLieu!$T$3:$T$101908,A16,DuLieu!$U$3:$U$101908,Q16)</f>
        <v/>
      </c>
      <c r="P16" s="47">
        <f>SUMIFS(DuLieu!$R$3:$R$101908,DuLieu!$T$3:$T$101908,A16,DuLieu!$U$3:$U$101908,Q16)</f>
        <v/>
      </c>
      <c r="Q16" s="49" t="n">
        <v>11</v>
      </c>
      <c r="R16" s="26" t="n">
        <v>2025</v>
      </c>
    </row>
    <row r="17">
      <c r="A17" s="46" t="n">
        <v>15</v>
      </c>
      <c r="B17" s="47">
        <f>SUMIFS(DuLieu!$D$3:$D$101908,DuLieu!$T$3:$T$101928,A17,DuLieu!$U$3:$U$101928,Q17)</f>
        <v/>
      </c>
      <c r="C17" s="47">
        <f>SUMIFS(DuLieu!$E$3:$E$101908,DuLieu!$T$3:$T$101908,A17,DuLieu!$U$3:$U$101908,Q17)</f>
        <v/>
      </c>
      <c r="D17" s="47">
        <f>SUMIFS(DuLieu!$F$3:$F$101908,DuLieu!$T$3:$T$1001908,A17,DuLieu!$U$3:$U$101908,Q17)</f>
        <v/>
      </c>
      <c r="E17" s="47">
        <f>SUMIFS(DuLieu!$G$3:$G$101908,DuLieu!$T$3:$T$101908,A17,DuLieu!$U$3:$U$101908,Q17)</f>
        <v/>
      </c>
      <c r="F17" s="47">
        <f>SUMIFS(DuLieu!$H$3:$H$101908,DuLieu!$T$3:$T$101908,A17,DuLieu!$U$3:$U$101908,Q17)</f>
        <v/>
      </c>
      <c r="G17" s="47">
        <f>SUMIFS(DuLieu!$I$3:$I$11908,DuLieu!$T$3:$T$101908,A17,DuLieu!$U$3:$U$101908,Q17)</f>
        <v/>
      </c>
      <c r="H17" s="47">
        <f>SUMIFS(DuLieu!$J$3:$J$101908,DuLieu!$T$3:$T$101908,A17,DuLieu!$U$3:$U$101908,Q17)</f>
        <v/>
      </c>
      <c r="I17" s="47">
        <f>SUMIFS(DuLieu!$K$3:$K$101908,DuLieu!$T$3:$T$101908,A17,DuLieu!$U$3:$U$101908,Q17)</f>
        <v/>
      </c>
      <c r="J17" s="47">
        <f>SUMIFS(DuLieu!$L$3:$L$101908,DuLieu!$T$3:$T$101908,A17,DuLieu!$U$3:$U$101908,Q17)</f>
        <v/>
      </c>
      <c r="K17" s="47">
        <f>SUMIFS(DuLieu!$M$3:$M$101908,DuLieu!$T$3:$T$101908,A17,DuLieu!$U$3:$U$101908,Q17)</f>
        <v/>
      </c>
      <c r="L17" s="47">
        <f>SUMIFS(DuLieu!$N$3:$N$101908,DuLieu!$T$3:$T$101908,A17,DuLieu!$U$3:$U$101908,Q17)</f>
        <v/>
      </c>
      <c r="M17" s="47">
        <f>SUMIFS(DuLieu!$O$3:$O$101908,DuLieu!$T$3:$T$101908,A17,DuLieu!$U$3:$U$101908,Q17)</f>
        <v/>
      </c>
      <c r="N17" s="47">
        <f>SUMIFS(DuLieu!$P$3:$P$101908,DuLieu!$T$3:$T$101908,A17,DuLieu!$U$3:$U$101908,Q17)</f>
        <v/>
      </c>
      <c r="O17" s="47">
        <f>SUMIFS(DuLieu!$Q$3:$Q$101908,DuLieu!$T$3:$T$101908,A17,DuLieu!$U$3:$U$101908,Q17)</f>
        <v/>
      </c>
      <c r="P17" s="47">
        <f>SUMIFS(DuLieu!$R$3:$R$101908,DuLieu!$T$3:$T$101908,A17,DuLieu!$U$3:$U$101908,Q17)</f>
        <v/>
      </c>
      <c r="Q17" s="49" t="n">
        <v>11</v>
      </c>
      <c r="R17" s="26" t="n">
        <v>2025</v>
      </c>
    </row>
    <row r="18">
      <c r="A18" s="48" t="n">
        <v>16</v>
      </c>
      <c r="B18" s="47">
        <f>SUMIFS(DuLieu!$D$3:$D$101908,DuLieu!$T$3:$T$101928,A18,DuLieu!$U$3:$U$101928,Q18)</f>
        <v/>
      </c>
      <c r="C18" s="47">
        <f>SUMIFS(DuLieu!$E$3:$E$101908,DuLieu!$T$3:$T$101908,A18,DuLieu!$U$3:$U$101908,Q18)</f>
        <v/>
      </c>
      <c r="D18" s="47">
        <f>SUMIFS(DuLieu!$F$3:$F$101908,DuLieu!$T$3:$T$1001908,A18,DuLieu!$U$3:$U$101908,Q18)</f>
        <v/>
      </c>
      <c r="E18" s="47">
        <f>SUMIFS(DuLieu!$G$3:$G$101908,DuLieu!$T$3:$T$101908,A18,DuLieu!$U$3:$U$101908,Q18)</f>
        <v/>
      </c>
      <c r="F18" s="47">
        <f>SUMIFS(DuLieu!$H$3:$H$101908,DuLieu!$T$3:$T$101908,A18,DuLieu!$U$3:$U$101908,Q18)</f>
        <v/>
      </c>
      <c r="G18" s="47">
        <f>SUMIFS(DuLieu!$I$3:$I$11908,DuLieu!$T$3:$T$101908,A18,DuLieu!$U$3:$U$101908,Q18)</f>
        <v/>
      </c>
      <c r="H18" s="47">
        <f>SUMIFS(DuLieu!$J$3:$J$101908,DuLieu!$T$3:$T$101908,A18,DuLieu!$U$3:$U$101908,Q18)</f>
        <v/>
      </c>
      <c r="I18" s="47">
        <f>SUMIFS(DuLieu!$K$3:$K$101908,DuLieu!$T$3:$T$101908,A18,DuLieu!$U$3:$U$101908,Q18)</f>
        <v/>
      </c>
      <c r="J18" s="47">
        <f>SUMIFS(DuLieu!$L$3:$L$101908,DuLieu!$T$3:$T$101908,A18,DuLieu!$U$3:$U$101908,Q18)</f>
        <v/>
      </c>
      <c r="K18" s="47">
        <f>SUMIFS(DuLieu!$M$3:$M$101908,DuLieu!$T$3:$T$101908,A18,DuLieu!$U$3:$U$101908,Q18)</f>
        <v/>
      </c>
      <c r="L18" s="47">
        <f>SUMIFS(DuLieu!$N$3:$N$101908,DuLieu!$T$3:$T$101908,A18,DuLieu!$U$3:$U$101908,Q18)</f>
        <v/>
      </c>
      <c r="M18" s="47">
        <f>SUMIFS(DuLieu!$O$3:$O$101908,DuLieu!$T$3:$T$101908,A18,DuLieu!$U$3:$U$101908,Q18)</f>
        <v/>
      </c>
      <c r="N18" s="47">
        <f>SUMIFS(DuLieu!$P$3:$P$101908,DuLieu!$T$3:$T$101908,A18,DuLieu!$U$3:$U$101908,Q18)</f>
        <v/>
      </c>
      <c r="O18" s="47">
        <f>SUMIFS(DuLieu!$Q$3:$Q$101908,DuLieu!$T$3:$T$101908,A18,DuLieu!$U$3:$U$101908,Q18)</f>
        <v/>
      </c>
      <c r="P18" s="47">
        <f>SUMIFS(DuLieu!$R$3:$R$101908,DuLieu!$T$3:$T$101908,A18,DuLieu!$U$3:$U$101908,Q18)</f>
        <v/>
      </c>
      <c r="Q18" s="49" t="n">
        <v>11</v>
      </c>
      <c r="R18" s="26" t="n">
        <v>2025</v>
      </c>
    </row>
    <row r="19">
      <c r="A19" s="46" t="n">
        <v>17</v>
      </c>
      <c r="B19" s="47">
        <f>SUMIFS(DuLieu!$D$3:$D$101908,DuLieu!$T$3:$T$101928,A19,DuLieu!$U$3:$U$101928,Q19)</f>
        <v/>
      </c>
      <c r="C19" s="47">
        <f>SUMIFS(DuLieu!$E$3:$E$101908,DuLieu!$T$3:$T$101908,A19,DuLieu!$U$3:$U$101908,Q19)</f>
        <v/>
      </c>
      <c r="D19" s="47">
        <f>SUMIFS(DuLieu!$F$3:$F$101908,DuLieu!$T$3:$T$1001908,A19,DuLieu!$U$3:$U$101908,Q19)</f>
        <v/>
      </c>
      <c r="E19" s="47">
        <f>SUMIFS(DuLieu!$G$3:$G$101908,DuLieu!$T$3:$T$101908,A19,DuLieu!$U$3:$U$101908,Q19)</f>
        <v/>
      </c>
      <c r="F19" s="47">
        <f>SUMIFS(DuLieu!$H$3:$H$101908,DuLieu!$T$3:$T$101908,A19,DuLieu!$U$3:$U$101908,Q19)</f>
        <v/>
      </c>
      <c r="G19" s="47">
        <f>SUMIFS(DuLieu!$I$3:$I$11908,DuLieu!$T$3:$T$101908,A19,DuLieu!$U$3:$U$101908,Q19)</f>
        <v/>
      </c>
      <c r="H19" s="47">
        <f>SUMIFS(DuLieu!$J$3:$J$101908,DuLieu!$T$3:$T$101908,A19,DuLieu!$U$3:$U$101908,Q19)</f>
        <v/>
      </c>
      <c r="I19" s="47">
        <f>SUMIFS(DuLieu!$K$3:$K$101908,DuLieu!$T$3:$T$101908,A19,DuLieu!$U$3:$U$101908,Q19)</f>
        <v/>
      </c>
      <c r="J19" s="47">
        <f>SUMIFS(DuLieu!$L$3:$L$101908,DuLieu!$T$3:$T$101908,A19,DuLieu!$U$3:$U$101908,Q19)</f>
        <v/>
      </c>
      <c r="K19" s="47">
        <f>SUMIFS(DuLieu!$M$3:$M$101908,DuLieu!$T$3:$T$101908,A19,DuLieu!$U$3:$U$101908,Q19)</f>
        <v/>
      </c>
      <c r="L19" s="47">
        <f>SUMIFS(DuLieu!$N$3:$N$101908,DuLieu!$T$3:$T$101908,A19,DuLieu!$U$3:$U$101908,Q19)</f>
        <v/>
      </c>
      <c r="M19" s="47">
        <f>SUMIFS(DuLieu!$O$3:$O$101908,DuLieu!$T$3:$T$101908,A19,DuLieu!$U$3:$U$101908,Q19)</f>
        <v/>
      </c>
      <c r="N19" s="47">
        <f>SUMIFS(DuLieu!$P$3:$P$101908,DuLieu!$T$3:$T$101908,A19,DuLieu!$U$3:$U$101908,Q19)</f>
        <v/>
      </c>
      <c r="O19" s="47">
        <f>SUMIFS(DuLieu!$Q$3:$Q$101908,DuLieu!$T$3:$T$101908,A19,DuLieu!$U$3:$U$101908,Q19)</f>
        <v/>
      </c>
      <c r="P19" s="47">
        <f>SUMIFS(DuLieu!$R$3:$R$101908,DuLieu!$T$3:$T$101908,A19,DuLieu!$U$3:$U$101908,Q19)</f>
        <v/>
      </c>
      <c r="Q19" s="49" t="n">
        <v>11</v>
      </c>
      <c r="R19" s="26" t="n">
        <v>2025</v>
      </c>
    </row>
    <row r="20">
      <c r="A20" s="48" t="n">
        <v>18</v>
      </c>
      <c r="B20" s="47">
        <f>SUMIFS(DuLieu!$D$3:$D$101908,DuLieu!$T$3:$T$101928,A20,DuLieu!$U$3:$U$101928,Q20)</f>
        <v/>
      </c>
      <c r="C20" s="47">
        <f>SUMIFS(DuLieu!$E$3:$E$101908,DuLieu!$T$3:$T$101908,A20,DuLieu!$U$3:$U$101908,Q20)</f>
        <v/>
      </c>
      <c r="D20" s="47">
        <f>SUMIFS(DuLieu!$F$3:$F$101908,DuLieu!$T$3:$T$1001908,A20,DuLieu!$U$3:$U$101908,Q20)</f>
        <v/>
      </c>
      <c r="E20" s="47">
        <f>SUMIFS(DuLieu!$G$3:$G$101908,DuLieu!$T$3:$T$101908,A20,DuLieu!$U$3:$U$101908,Q20)</f>
        <v/>
      </c>
      <c r="F20" s="47">
        <f>SUMIFS(DuLieu!$H$3:$H$101908,DuLieu!$T$3:$T$101908,A20,DuLieu!$U$3:$U$101908,Q20)</f>
        <v/>
      </c>
      <c r="G20" s="47">
        <f>SUMIFS(DuLieu!$I$3:$I$11908,DuLieu!$T$3:$T$101908,A20,DuLieu!$U$3:$U$101908,Q20)</f>
        <v/>
      </c>
      <c r="H20" s="47">
        <f>SUMIFS(DuLieu!$J$3:$J$101908,DuLieu!$T$3:$T$101908,A20,DuLieu!$U$3:$U$101908,Q20)</f>
        <v/>
      </c>
      <c r="I20" s="47">
        <f>SUMIFS(DuLieu!$K$3:$K$101908,DuLieu!$T$3:$T$101908,A20,DuLieu!$U$3:$U$101908,Q20)</f>
        <v/>
      </c>
      <c r="J20" s="47">
        <f>SUMIFS(DuLieu!$L$3:$L$101908,DuLieu!$T$3:$T$101908,A20,DuLieu!$U$3:$U$101908,Q20)</f>
        <v/>
      </c>
      <c r="K20" s="47">
        <f>SUMIFS(DuLieu!$M$3:$M$101908,DuLieu!$T$3:$T$101908,A20,DuLieu!$U$3:$U$101908,Q20)</f>
        <v/>
      </c>
      <c r="L20" s="47">
        <f>SUMIFS(DuLieu!$N$3:$N$101908,DuLieu!$T$3:$T$101908,A20,DuLieu!$U$3:$U$101908,Q20)</f>
        <v/>
      </c>
      <c r="M20" s="47">
        <f>SUMIFS(DuLieu!$O$3:$O$101908,DuLieu!$T$3:$T$101908,A20,DuLieu!$U$3:$U$101908,Q20)</f>
        <v/>
      </c>
      <c r="N20" s="47">
        <f>SUMIFS(DuLieu!$P$3:$P$101908,DuLieu!$T$3:$T$101908,A20,DuLieu!$U$3:$U$101908,Q20)</f>
        <v/>
      </c>
      <c r="O20" s="47">
        <f>SUMIFS(DuLieu!$Q$3:$Q$101908,DuLieu!$T$3:$T$101908,A20,DuLieu!$U$3:$U$101908,Q20)</f>
        <v/>
      </c>
      <c r="P20" s="47">
        <f>SUMIFS(DuLieu!$R$3:$R$101908,DuLieu!$T$3:$T$101908,A20,DuLieu!$U$3:$U$101908,Q20)</f>
        <v/>
      </c>
      <c r="Q20" s="49" t="n">
        <v>11</v>
      </c>
      <c r="R20" s="26" t="n">
        <v>2025</v>
      </c>
    </row>
    <row r="21">
      <c r="A21" s="46" t="n">
        <v>19</v>
      </c>
      <c r="B21" s="47">
        <f>SUMIFS(DuLieu!$D$3:$D$101908,DuLieu!$T$3:$T$101928,A21,DuLieu!$U$3:$U$101928,Q21)</f>
        <v/>
      </c>
      <c r="C21" s="47">
        <f>SUMIFS(DuLieu!$E$3:$E$101908,DuLieu!$T$3:$T$101908,A21,DuLieu!$U$3:$U$101908,Q21)</f>
        <v/>
      </c>
      <c r="D21" s="47">
        <f>SUMIFS(DuLieu!$F$3:$F$101908,DuLieu!$T$3:$T$1001908,A21,DuLieu!$U$3:$U$101908,Q21)</f>
        <v/>
      </c>
      <c r="E21" s="47">
        <f>SUMIFS(DuLieu!$G$3:$G$101908,DuLieu!$T$3:$T$101908,A21,DuLieu!$U$3:$U$101908,Q21)</f>
        <v/>
      </c>
      <c r="F21" s="47">
        <f>SUMIFS(DuLieu!$H$3:$H$101908,DuLieu!$T$3:$T$101908,A21,DuLieu!$U$3:$U$101908,Q21)</f>
        <v/>
      </c>
      <c r="G21" s="47">
        <f>SUMIFS(DuLieu!$I$3:$I$11908,DuLieu!$T$3:$T$101908,A21,DuLieu!$U$3:$U$101908,Q21)</f>
        <v/>
      </c>
      <c r="H21" s="47">
        <f>SUMIFS(DuLieu!$J$3:$J$101908,DuLieu!$T$3:$T$101908,A21,DuLieu!$U$3:$U$101908,Q21)</f>
        <v/>
      </c>
      <c r="I21" s="47">
        <f>SUMIFS(DuLieu!$K$3:$K$101908,DuLieu!$T$3:$T$101908,A21,DuLieu!$U$3:$U$101908,Q21)</f>
        <v/>
      </c>
      <c r="J21" s="47">
        <f>SUMIFS(DuLieu!$L$3:$L$101908,DuLieu!$T$3:$T$101908,A21,DuLieu!$U$3:$U$101908,Q21)</f>
        <v/>
      </c>
      <c r="K21" s="47">
        <f>SUMIFS(DuLieu!$M$3:$M$101908,DuLieu!$T$3:$T$101908,A21,DuLieu!$U$3:$U$101908,Q21)</f>
        <v/>
      </c>
      <c r="L21" s="47">
        <f>SUMIFS(DuLieu!$N$3:$N$101908,DuLieu!$T$3:$T$101908,A21,DuLieu!$U$3:$U$101908,Q21)</f>
        <v/>
      </c>
      <c r="M21" s="47">
        <f>SUMIFS(DuLieu!$O$3:$O$101908,DuLieu!$T$3:$T$101908,A21,DuLieu!$U$3:$U$101908,Q21)</f>
        <v/>
      </c>
      <c r="N21" s="47">
        <f>SUMIFS(DuLieu!$P$3:$P$101908,DuLieu!$T$3:$T$101908,A21,DuLieu!$U$3:$U$101908,Q21)</f>
        <v/>
      </c>
      <c r="O21" s="47">
        <f>SUMIFS(DuLieu!$Q$3:$Q$101908,DuLieu!$T$3:$T$101908,A21,DuLieu!$U$3:$U$101908,Q21)</f>
        <v/>
      </c>
      <c r="P21" s="47">
        <f>SUMIFS(DuLieu!$R$3:$R$101908,DuLieu!$T$3:$T$101908,A21,DuLieu!$U$3:$U$101908,Q21)</f>
        <v/>
      </c>
      <c r="Q21" s="49" t="n">
        <v>11</v>
      </c>
      <c r="R21" s="26" t="n">
        <v>2025</v>
      </c>
    </row>
    <row r="22">
      <c r="A22" s="48" t="n">
        <v>20</v>
      </c>
      <c r="B22" s="47">
        <f>SUMIFS(DuLieu!$D$3:$D$101908,DuLieu!$T$3:$T$101928,A22,DuLieu!$U$3:$U$101928,Q22)</f>
        <v/>
      </c>
      <c r="C22" s="47">
        <f>SUMIFS(DuLieu!$E$3:$E$101908,DuLieu!$T$3:$T$101908,A22,DuLieu!$U$3:$U$101908,Q22)</f>
        <v/>
      </c>
      <c r="D22" s="47">
        <f>SUMIFS(DuLieu!$F$3:$F$101908,DuLieu!$T$3:$T$1001908,A22,DuLieu!$U$3:$U$101908,Q22)</f>
        <v/>
      </c>
      <c r="E22" s="47">
        <f>SUMIFS(DuLieu!$G$3:$G$101908,DuLieu!$T$3:$T$101908,A22,DuLieu!$U$3:$U$101908,Q22)</f>
        <v/>
      </c>
      <c r="F22" s="47">
        <f>SUMIFS(DuLieu!$H$3:$H$101908,DuLieu!$T$3:$T$101908,A22,DuLieu!$U$3:$U$101908,Q22)</f>
        <v/>
      </c>
      <c r="G22" s="47">
        <f>SUMIFS(DuLieu!$I$3:$I$11908,DuLieu!$T$3:$T$101908,A22,DuLieu!$U$3:$U$101908,Q22)</f>
        <v/>
      </c>
      <c r="H22" s="47">
        <f>SUMIFS(DuLieu!$J$3:$J$101908,DuLieu!$T$3:$T$101908,A22,DuLieu!$U$3:$U$101908,Q22)</f>
        <v/>
      </c>
      <c r="I22" s="47">
        <f>SUMIFS(DuLieu!$K$3:$K$101908,DuLieu!$T$3:$T$101908,A22,DuLieu!$U$3:$U$101908,Q22)</f>
        <v/>
      </c>
      <c r="J22" s="47">
        <f>SUMIFS(DuLieu!$L$3:$L$101908,DuLieu!$T$3:$T$101908,A22,DuLieu!$U$3:$U$101908,Q22)</f>
        <v/>
      </c>
      <c r="K22" s="47">
        <f>SUMIFS(DuLieu!$M$3:$M$101908,DuLieu!$T$3:$T$101908,A22,DuLieu!$U$3:$U$101908,Q22)</f>
        <v/>
      </c>
      <c r="L22" s="47">
        <f>SUMIFS(DuLieu!$N$3:$N$101908,DuLieu!$T$3:$T$101908,A22,DuLieu!$U$3:$U$101908,Q22)</f>
        <v/>
      </c>
      <c r="M22" s="47">
        <f>SUMIFS(DuLieu!$O$3:$O$101908,DuLieu!$T$3:$T$101908,A22,DuLieu!$U$3:$U$101908,Q22)</f>
        <v/>
      </c>
      <c r="N22" s="47">
        <f>SUMIFS(DuLieu!$P$3:$P$101908,DuLieu!$T$3:$T$101908,A22,DuLieu!$U$3:$U$101908,Q22)</f>
        <v/>
      </c>
      <c r="O22" s="47">
        <f>SUMIFS(DuLieu!$Q$3:$Q$101908,DuLieu!$T$3:$T$101908,A22,DuLieu!$U$3:$U$101908,Q22)</f>
        <v/>
      </c>
      <c r="P22" s="47">
        <f>SUMIFS(DuLieu!$R$3:$R$101908,DuLieu!$T$3:$T$101908,A22,DuLieu!$U$3:$U$101908,Q22)</f>
        <v/>
      </c>
      <c r="Q22" s="49" t="n">
        <v>11</v>
      </c>
      <c r="R22" s="26" t="n">
        <v>2025</v>
      </c>
    </row>
    <row r="23">
      <c r="A23" s="46" t="n">
        <v>21</v>
      </c>
      <c r="B23" s="47">
        <f>SUMIFS(DuLieu!$D$3:$D$101908,DuLieu!$T$3:$T$101928,A23,DuLieu!$U$3:$U$101928,Q23)</f>
        <v/>
      </c>
      <c r="C23" s="47">
        <f>SUMIFS(DuLieu!$E$3:$E$101908,DuLieu!$T$3:$T$101908,A23,DuLieu!$U$3:$U$101908,Q23)</f>
        <v/>
      </c>
      <c r="D23" s="47">
        <f>SUMIFS(DuLieu!$F$3:$F$101908,DuLieu!$T$3:$T$1001908,A23,DuLieu!$U$3:$U$101908,Q23)</f>
        <v/>
      </c>
      <c r="E23" s="47">
        <f>SUMIFS(DuLieu!$G$3:$G$101908,DuLieu!$T$3:$T$101908,A23,DuLieu!$U$3:$U$101908,Q23)</f>
        <v/>
      </c>
      <c r="F23" s="47">
        <f>SUMIFS(DuLieu!$H$3:$H$101908,DuLieu!$T$3:$T$101908,A23,DuLieu!$U$3:$U$101908,Q23)</f>
        <v/>
      </c>
      <c r="G23" s="47">
        <f>SUMIFS(DuLieu!$I$3:$I$11908,DuLieu!$T$3:$T$101908,A23,DuLieu!$U$3:$U$101908,Q23)</f>
        <v/>
      </c>
      <c r="H23" s="47">
        <f>SUMIFS(DuLieu!$J$3:$J$101908,DuLieu!$T$3:$T$101908,A23,DuLieu!$U$3:$U$101908,Q23)</f>
        <v/>
      </c>
      <c r="I23" s="47">
        <f>SUMIFS(DuLieu!$K$3:$K$101908,DuLieu!$T$3:$T$101908,A23,DuLieu!$U$3:$U$101908,Q23)</f>
        <v/>
      </c>
      <c r="J23" s="47">
        <f>SUMIFS(DuLieu!$L$3:$L$101908,DuLieu!$T$3:$T$101908,A23,DuLieu!$U$3:$U$101908,Q23)</f>
        <v/>
      </c>
      <c r="K23" s="47">
        <f>SUMIFS(DuLieu!$M$3:$M$101908,DuLieu!$T$3:$T$101908,A23,DuLieu!$U$3:$U$101908,Q23)</f>
        <v/>
      </c>
      <c r="L23" s="47">
        <f>SUMIFS(DuLieu!$N$3:$N$101908,DuLieu!$T$3:$T$101908,A23,DuLieu!$U$3:$U$101908,Q23)</f>
        <v/>
      </c>
      <c r="M23" s="47">
        <f>SUMIFS(DuLieu!$O$3:$O$101908,DuLieu!$T$3:$T$101908,A23,DuLieu!$U$3:$U$101908,Q23)</f>
        <v/>
      </c>
      <c r="N23" s="47">
        <f>SUMIFS(DuLieu!$P$3:$P$101908,DuLieu!$T$3:$T$101908,A23,DuLieu!$U$3:$U$101908,Q23)</f>
        <v/>
      </c>
      <c r="O23" s="47">
        <f>SUMIFS(DuLieu!$Q$3:$Q$101908,DuLieu!$T$3:$T$101908,A23,DuLieu!$U$3:$U$101908,Q23)</f>
        <v/>
      </c>
      <c r="P23" s="47">
        <f>SUMIFS(DuLieu!$R$3:$R$101908,DuLieu!$T$3:$T$101908,A23,DuLieu!$U$3:$U$101908,Q23)</f>
        <v/>
      </c>
      <c r="Q23" s="49" t="n">
        <v>11</v>
      </c>
      <c r="R23" s="26" t="n">
        <v>2025</v>
      </c>
    </row>
    <row r="24">
      <c r="A24" s="48" t="n">
        <v>22</v>
      </c>
      <c r="B24" s="47">
        <f>SUMIFS(DuLieu!$D$3:$D$101908,DuLieu!$T$3:$T$101928,A24,DuLieu!$U$3:$U$101928,Q24)</f>
        <v/>
      </c>
      <c r="C24" s="47">
        <f>SUMIFS(DuLieu!$E$3:$E$101908,DuLieu!$T$3:$T$101908,A24,DuLieu!$U$3:$U$101908,Q24)</f>
        <v/>
      </c>
      <c r="D24" s="47">
        <f>SUMIFS(DuLieu!$F$3:$F$101908,DuLieu!$T$3:$T$1001908,A24,DuLieu!$U$3:$U$101908,Q24)</f>
        <v/>
      </c>
      <c r="E24" s="47">
        <f>SUMIFS(DuLieu!$G$3:$G$101908,DuLieu!$T$3:$T$101908,A24,DuLieu!$U$3:$U$101908,Q24)</f>
        <v/>
      </c>
      <c r="F24" s="47">
        <f>SUMIFS(DuLieu!$H$3:$H$101908,DuLieu!$T$3:$T$101908,A24,DuLieu!$U$3:$U$101908,Q24)</f>
        <v/>
      </c>
      <c r="G24" s="47">
        <f>SUMIFS(DuLieu!$I$3:$I$11908,DuLieu!$T$3:$T$101908,A24,DuLieu!$U$3:$U$101908,Q24)</f>
        <v/>
      </c>
      <c r="H24" s="47">
        <f>SUMIFS(DuLieu!$J$3:$J$101908,DuLieu!$T$3:$T$101908,A24,DuLieu!$U$3:$U$101908,Q24)</f>
        <v/>
      </c>
      <c r="I24" s="47">
        <f>SUMIFS(DuLieu!$K$3:$K$101908,DuLieu!$T$3:$T$101908,A24,DuLieu!$U$3:$U$101908,Q24)</f>
        <v/>
      </c>
      <c r="J24" s="47">
        <f>SUMIFS(DuLieu!$L$3:$L$101908,DuLieu!$T$3:$T$101908,A24,DuLieu!$U$3:$U$101908,Q24)</f>
        <v/>
      </c>
      <c r="K24" s="47">
        <f>SUMIFS(DuLieu!$M$3:$M$101908,DuLieu!$T$3:$T$101908,A24,DuLieu!$U$3:$U$101908,Q24)</f>
        <v/>
      </c>
      <c r="L24" s="47">
        <f>SUMIFS(DuLieu!$N$3:$N$101908,DuLieu!$T$3:$T$101908,A24,DuLieu!$U$3:$U$101908,Q24)</f>
        <v/>
      </c>
      <c r="M24" s="47">
        <f>SUMIFS(DuLieu!$O$3:$O$101908,DuLieu!$T$3:$T$101908,A24,DuLieu!$U$3:$U$101908,Q24)</f>
        <v/>
      </c>
      <c r="N24" s="47">
        <f>SUMIFS(DuLieu!$P$3:$P$101908,DuLieu!$T$3:$T$101908,A24,DuLieu!$U$3:$U$101908,Q24)</f>
        <v/>
      </c>
      <c r="O24" s="47">
        <f>SUMIFS(DuLieu!$Q$3:$Q$101908,DuLieu!$T$3:$T$101908,A24,DuLieu!$U$3:$U$101908,Q24)</f>
        <v/>
      </c>
      <c r="P24" s="47">
        <f>SUMIFS(DuLieu!$R$3:$R$101908,DuLieu!$T$3:$T$101908,A24,DuLieu!$U$3:$U$101908,Q24)</f>
        <v/>
      </c>
      <c r="Q24" s="49" t="n">
        <v>11</v>
      </c>
      <c r="R24" s="26" t="n">
        <v>2025</v>
      </c>
    </row>
    <row r="25">
      <c r="A25" s="46" t="n">
        <v>23</v>
      </c>
      <c r="B25" s="47">
        <f>SUMIFS(DuLieu!$D$3:$D$101908,DuLieu!$T$3:$T$101928,A25,DuLieu!$U$3:$U$101928,Q25)</f>
        <v/>
      </c>
      <c r="C25" s="47">
        <f>SUMIFS(DuLieu!$E$3:$E$101908,DuLieu!$T$3:$T$101908,A25,DuLieu!$U$3:$U$101908,Q25)</f>
        <v/>
      </c>
      <c r="D25" s="47">
        <f>SUMIFS(DuLieu!$F$3:$F$101908,DuLieu!$T$3:$T$1001908,A25,DuLieu!$U$3:$U$101908,Q25)</f>
        <v/>
      </c>
      <c r="E25" s="47">
        <f>SUMIFS(DuLieu!$G$3:$G$101908,DuLieu!$T$3:$T$101908,A25,DuLieu!$U$3:$U$101908,Q25)</f>
        <v/>
      </c>
      <c r="F25" s="47">
        <f>SUMIFS(DuLieu!$H$3:$H$101908,DuLieu!$T$3:$T$101908,A25,DuLieu!$U$3:$U$101908,Q25)</f>
        <v/>
      </c>
      <c r="G25" s="47">
        <f>SUMIFS(DuLieu!$I$3:$I$11908,DuLieu!$T$3:$T$101908,A25,DuLieu!$U$3:$U$101908,Q25)</f>
        <v/>
      </c>
      <c r="H25" s="47">
        <f>SUMIFS(DuLieu!$J$3:$J$101908,DuLieu!$T$3:$T$101908,A25,DuLieu!$U$3:$U$101908,Q25)</f>
        <v/>
      </c>
      <c r="I25" s="47">
        <f>SUMIFS(DuLieu!$K$3:$K$101908,DuLieu!$T$3:$T$101908,A25,DuLieu!$U$3:$U$101908,Q25)</f>
        <v/>
      </c>
      <c r="J25" s="47">
        <f>SUMIFS(DuLieu!$L$3:$L$101908,DuLieu!$T$3:$T$101908,A25,DuLieu!$U$3:$U$101908,Q25)</f>
        <v/>
      </c>
      <c r="K25" s="47">
        <f>SUMIFS(DuLieu!$M$3:$M$101908,DuLieu!$T$3:$T$101908,A25,DuLieu!$U$3:$U$101908,Q25)</f>
        <v/>
      </c>
      <c r="L25" s="47">
        <f>SUMIFS(DuLieu!$N$3:$N$101908,DuLieu!$T$3:$T$101908,A25,DuLieu!$U$3:$U$101908,Q25)</f>
        <v/>
      </c>
      <c r="M25" s="47">
        <f>SUMIFS(DuLieu!$O$3:$O$101908,DuLieu!$T$3:$T$101908,A25,DuLieu!$U$3:$U$101908,Q25)</f>
        <v/>
      </c>
      <c r="N25" s="47">
        <f>SUMIFS(DuLieu!$P$3:$P$101908,DuLieu!$T$3:$T$101908,A25,DuLieu!$U$3:$U$101908,Q25)</f>
        <v/>
      </c>
      <c r="O25" s="47">
        <f>SUMIFS(DuLieu!$Q$3:$Q$101908,DuLieu!$T$3:$T$101908,A25,DuLieu!$U$3:$U$101908,Q25)</f>
        <v/>
      </c>
      <c r="P25" s="47">
        <f>SUMIFS(DuLieu!$R$3:$R$101908,DuLieu!$T$3:$T$101908,A25,DuLieu!$U$3:$U$101908,Q25)</f>
        <v/>
      </c>
      <c r="Q25" s="49" t="n">
        <v>11</v>
      </c>
      <c r="R25" s="26" t="n">
        <v>2025</v>
      </c>
    </row>
    <row r="26">
      <c r="A26" s="48" t="n">
        <v>24</v>
      </c>
      <c r="B26" s="47">
        <f>SUMIFS(DuLieu!$D$3:$D$101908,DuLieu!$T$3:$T$101928,A26,DuLieu!$U$3:$U$101928,Q26)</f>
        <v/>
      </c>
      <c r="C26" s="47">
        <f>SUMIFS(DuLieu!$E$3:$E$101908,DuLieu!$T$3:$T$101908,A26,DuLieu!$U$3:$U$101908,Q26)</f>
        <v/>
      </c>
      <c r="D26" s="47">
        <f>SUMIFS(DuLieu!$F$3:$F$101908,DuLieu!$T$3:$T$1001908,A26,DuLieu!$U$3:$U$101908,Q26)</f>
        <v/>
      </c>
      <c r="E26" s="47">
        <f>SUMIFS(DuLieu!$G$3:$G$101908,DuLieu!$T$3:$T$101908,A26,DuLieu!$U$3:$U$101908,Q26)</f>
        <v/>
      </c>
      <c r="F26" s="47">
        <f>SUMIFS(DuLieu!$H$3:$H$101908,DuLieu!$T$3:$T$101908,A26,DuLieu!$U$3:$U$101908,Q26)</f>
        <v/>
      </c>
      <c r="G26" s="47">
        <f>SUMIFS(DuLieu!$I$3:$I$11908,DuLieu!$T$3:$T$101908,A26,DuLieu!$U$3:$U$101908,Q26)</f>
        <v/>
      </c>
      <c r="H26" s="47">
        <f>SUMIFS(DuLieu!$J$3:$J$101908,DuLieu!$T$3:$T$101908,A26,DuLieu!$U$3:$U$101908,Q26)</f>
        <v/>
      </c>
      <c r="I26" s="47">
        <f>SUMIFS(DuLieu!$K$3:$K$101908,DuLieu!$T$3:$T$101908,A26,DuLieu!$U$3:$U$101908,Q26)</f>
        <v/>
      </c>
      <c r="J26" s="47">
        <f>SUMIFS(DuLieu!$L$3:$L$101908,DuLieu!$T$3:$T$101908,A26,DuLieu!$U$3:$U$101908,Q26)</f>
        <v/>
      </c>
      <c r="K26" s="47">
        <f>SUMIFS(DuLieu!$M$3:$M$101908,DuLieu!$T$3:$T$101908,A26,DuLieu!$U$3:$U$101908,Q26)</f>
        <v/>
      </c>
      <c r="L26" s="47">
        <f>SUMIFS(DuLieu!$N$3:$N$101908,DuLieu!$T$3:$T$101908,A26,DuLieu!$U$3:$U$101908,Q26)</f>
        <v/>
      </c>
      <c r="M26" s="47">
        <f>SUMIFS(DuLieu!$O$3:$O$101908,DuLieu!$T$3:$T$101908,A26,DuLieu!$U$3:$U$101908,Q26)</f>
        <v/>
      </c>
      <c r="N26" s="47">
        <f>SUMIFS(DuLieu!$P$3:$P$101908,DuLieu!$T$3:$T$101908,A26,DuLieu!$U$3:$U$101908,Q26)</f>
        <v/>
      </c>
      <c r="O26" s="47">
        <f>SUMIFS(DuLieu!$Q$3:$Q$101908,DuLieu!$T$3:$T$101908,A26,DuLieu!$U$3:$U$101908,Q26)</f>
        <v/>
      </c>
      <c r="P26" s="47">
        <f>SUMIFS(DuLieu!$R$3:$R$101908,DuLieu!$T$3:$T$101908,A26,DuLieu!$U$3:$U$101908,Q26)</f>
        <v/>
      </c>
      <c r="Q26" s="49" t="n">
        <v>11</v>
      </c>
      <c r="R26" s="26" t="n">
        <v>2025</v>
      </c>
    </row>
    <row r="27">
      <c r="A27" s="46" t="n">
        <v>25</v>
      </c>
      <c r="B27" s="47">
        <f>SUMIFS(DuLieu!$D$3:$D$101908,DuLieu!$T$3:$T$101928,A27,DuLieu!$U$3:$U$101928,Q27)</f>
        <v/>
      </c>
      <c r="C27" s="47">
        <f>SUMIFS(DuLieu!$E$3:$E$101908,DuLieu!$T$3:$T$101908,A27,DuLieu!$U$3:$U$101908,Q27)</f>
        <v/>
      </c>
      <c r="D27" s="47">
        <f>SUMIFS(DuLieu!$F$3:$F$101908,DuLieu!$T$3:$T$1001908,A27,DuLieu!$U$3:$U$101908,Q27)</f>
        <v/>
      </c>
      <c r="E27" s="47">
        <f>SUMIFS(DuLieu!$G$3:$G$101908,DuLieu!$T$3:$T$101908,A27,DuLieu!$U$3:$U$101908,Q27)</f>
        <v/>
      </c>
      <c r="F27" s="47">
        <f>SUMIFS(DuLieu!$H$3:$H$101908,DuLieu!$T$3:$T$101908,A27,DuLieu!$U$3:$U$101908,Q27)</f>
        <v/>
      </c>
      <c r="G27" s="47">
        <f>SUMIFS(DuLieu!$I$3:$I$11908,DuLieu!$T$3:$T$101908,A27,DuLieu!$U$3:$U$101908,Q27)</f>
        <v/>
      </c>
      <c r="H27" s="47">
        <f>SUMIFS(DuLieu!$J$3:$J$101908,DuLieu!$T$3:$T$101908,A27,DuLieu!$U$3:$U$101908,Q27)</f>
        <v/>
      </c>
      <c r="I27" s="47">
        <f>SUMIFS(DuLieu!$K$3:$K$101908,DuLieu!$T$3:$T$101908,A27,DuLieu!$U$3:$U$101908,Q27)</f>
        <v/>
      </c>
      <c r="J27" s="47">
        <f>SUMIFS(DuLieu!$L$3:$L$101908,DuLieu!$T$3:$T$101908,A27,DuLieu!$U$3:$U$101908,Q27)</f>
        <v/>
      </c>
      <c r="K27" s="47">
        <f>SUMIFS(DuLieu!$M$3:$M$101908,DuLieu!$T$3:$T$101908,A27,DuLieu!$U$3:$U$101908,Q27)</f>
        <v/>
      </c>
      <c r="L27" s="47">
        <f>SUMIFS(DuLieu!$N$3:$N$101908,DuLieu!$T$3:$T$101908,A27,DuLieu!$U$3:$U$101908,Q27)</f>
        <v/>
      </c>
      <c r="M27" s="47">
        <f>SUMIFS(DuLieu!$O$3:$O$101908,DuLieu!$T$3:$T$101908,A27,DuLieu!$U$3:$U$101908,Q27)</f>
        <v/>
      </c>
      <c r="N27" s="47">
        <f>SUMIFS(DuLieu!$P$3:$P$101908,DuLieu!$T$3:$T$101908,A27,DuLieu!$U$3:$U$101908,Q27)</f>
        <v/>
      </c>
      <c r="O27" s="47">
        <f>SUMIFS(DuLieu!$Q$3:$Q$101908,DuLieu!$T$3:$T$101908,A27,DuLieu!$U$3:$U$101908,Q27)</f>
        <v/>
      </c>
      <c r="P27" s="47">
        <f>SUMIFS(DuLieu!$R$3:$R$101908,DuLieu!$T$3:$T$101908,A27,DuLieu!$U$3:$U$101908,Q27)</f>
        <v/>
      </c>
      <c r="Q27" s="49" t="n">
        <v>11</v>
      </c>
      <c r="R27" s="26" t="n">
        <v>2025</v>
      </c>
    </row>
    <row r="28">
      <c r="A28" s="48" t="n">
        <v>26</v>
      </c>
      <c r="B28" s="47">
        <f>SUMIFS(DuLieu!$D$3:$D$101908,DuLieu!$T$3:$T$101928,A28,DuLieu!$U$3:$U$101928,Q28)</f>
        <v/>
      </c>
      <c r="C28" s="47">
        <f>SUMIFS(DuLieu!$E$3:$E$101908,DuLieu!$T$3:$T$101908,A28,DuLieu!$U$3:$U$101908,Q28)</f>
        <v/>
      </c>
      <c r="D28" s="47">
        <f>SUMIFS(DuLieu!$F$3:$F$101908,DuLieu!$T$3:$T$1001908,A28,DuLieu!$U$3:$U$101908,Q28)</f>
        <v/>
      </c>
      <c r="E28" s="47">
        <f>SUMIFS(DuLieu!$G$3:$G$101908,DuLieu!$T$3:$T$101908,A28,DuLieu!$U$3:$U$101908,Q28)</f>
        <v/>
      </c>
      <c r="F28" s="47">
        <f>SUMIFS(DuLieu!$H$3:$H$101908,DuLieu!$T$3:$T$101908,A28,DuLieu!$U$3:$U$101908,Q28)</f>
        <v/>
      </c>
      <c r="G28" s="47">
        <f>SUMIFS(DuLieu!$I$3:$I$11908,DuLieu!$T$3:$T$101908,A28,DuLieu!$U$3:$U$101908,Q28)</f>
        <v/>
      </c>
      <c r="H28" s="47">
        <f>SUMIFS(DuLieu!$J$3:$J$101908,DuLieu!$T$3:$T$101908,A28,DuLieu!$U$3:$U$101908,Q28)</f>
        <v/>
      </c>
      <c r="I28" s="47">
        <f>SUMIFS(DuLieu!$K$3:$K$101908,DuLieu!$T$3:$T$101908,A28,DuLieu!$U$3:$U$101908,Q28)</f>
        <v/>
      </c>
      <c r="J28" s="47">
        <f>SUMIFS(DuLieu!$L$3:$L$101908,DuLieu!$T$3:$T$101908,A28,DuLieu!$U$3:$U$101908,Q28)</f>
        <v/>
      </c>
      <c r="K28" s="47">
        <f>SUMIFS(DuLieu!$M$3:$M$101908,DuLieu!$T$3:$T$101908,A28,DuLieu!$U$3:$U$101908,Q28)</f>
        <v/>
      </c>
      <c r="L28" s="47">
        <f>SUMIFS(DuLieu!$N$3:$N$101908,DuLieu!$T$3:$T$101908,A28,DuLieu!$U$3:$U$101908,Q28)</f>
        <v/>
      </c>
      <c r="M28" s="47">
        <f>SUMIFS(DuLieu!$O$3:$O$101908,DuLieu!$T$3:$T$101908,A28,DuLieu!$U$3:$U$101908,Q28)</f>
        <v/>
      </c>
      <c r="N28" s="47">
        <f>SUMIFS(DuLieu!$P$3:$P$101908,DuLieu!$T$3:$T$101908,A28,DuLieu!$U$3:$U$101908,Q28)</f>
        <v/>
      </c>
      <c r="O28" s="47">
        <f>SUMIFS(DuLieu!$Q$3:$Q$101908,DuLieu!$T$3:$T$101908,A28,DuLieu!$U$3:$U$101908,Q28)</f>
        <v/>
      </c>
      <c r="P28" s="47">
        <f>SUMIFS(DuLieu!$R$3:$R$101908,DuLieu!$T$3:$T$101908,A28,DuLieu!$U$3:$U$101908,Q28)</f>
        <v/>
      </c>
      <c r="Q28" s="49" t="n">
        <v>11</v>
      </c>
      <c r="R28" s="26" t="n">
        <v>2025</v>
      </c>
    </row>
    <row r="29">
      <c r="A29" s="46" t="n">
        <v>27</v>
      </c>
      <c r="B29" s="47">
        <f>SUMIFS(DuLieu!$D$3:$D$101908,DuLieu!$T$3:$T$101928,A29,DuLieu!$U$3:$U$101928,Q29)</f>
        <v/>
      </c>
      <c r="C29" s="47">
        <f>SUMIFS(DuLieu!$E$3:$E$101908,DuLieu!$T$3:$T$101908,A29,DuLieu!$U$3:$U$101908,Q29)</f>
        <v/>
      </c>
      <c r="D29" s="47">
        <f>SUMIFS(DuLieu!$F$3:$F$101908,DuLieu!$T$3:$T$1001908,A29,DuLieu!$U$3:$U$101908,Q29)</f>
        <v/>
      </c>
      <c r="E29" s="47">
        <f>SUMIFS(DuLieu!$G$3:$G$101908,DuLieu!$T$3:$T$101908,A29,DuLieu!$U$3:$U$101908,Q29)</f>
        <v/>
      </c>
      <c r="F29" s="47">
        <f>SUMIFS(DuLieu!$H$3:$H$101908,DuLieu!$T$3:$T$101908,A29,DuLieu!$U$3:$U$101908,Q29)</f>
        <v/>
      </c>
      <c r="G29" s="47">
        <f>SUMIFS(DuLieu!$I$3:$I$11908,DuLieu!$T$3:$T$101908,A29,DuLieu!$U$3:$U$101908,Q29)</f>
        <v/>
      </c>
      <c r="H29" s="47">
        <f>SUMIFS(DuLieu!$J$3:$J$101908,DuLieu!$T$3:$T$101908,A29,DuLieu!$U$3:$U$101908,Q29)</f>
        <v/>
      </c>
      <c r="I29" s="47">
        <f>SUMIFS(DuLieu!$K$3:$K$101908,DuLieu!$T$3:$T$101908,A29,DuLieu!$U$3:$U$101908,Q29)</f>
        <v/>
      </c>
      <c r="J29" s="47">
        <f>SUMIFS(DuLieu!$L$3:$L$101908,DuLieu!$T$3:$T$101908,A29,DuLieu!$U$3:$U$101908,Q29)</f>
        <v/>
      </c>
      <c r="K29" s="47">
        <f>SUMIFS(DuLieu!$M$3:$M$101908,DuLieu!$T$3:$T$101908,A29,DuLieu!$U$3:$U$101908,Q29)</f>
        <v/>
      </c>
      <c r="L29" s="47">
        <f>SUMIFS(DuLieu!$N$3:$N$101908,DuLieu!$T$3:$T$101908,A29,DuLieu!$U$3:$U$101908,Q29)</f>
        <v/>
      </c>
      <c r="M29" s="47">
        <f>SUMIFS(DuLieu!$O$3:$O$101908,DuLieu!$T$3:$T$101908,A29,DuLieu!$U$3:$U$101908,Q29)</f>
        <v/>
      </c>
      <c r="N29" s="47">
        <f>SUMIFS(DuLieu!$P$3:$P$101908,DuLieu!$T$3:$T$101908,A29,DuLieu!$U$3:$U$101908,Q29)</f>
        <v/>
      </c>
      <c r="O29" s="47">
        <f>SUMIFS(DuLieu!$Q$3:$Q$101908,DuLieu!$T$3:$T$101908,A29,DuLieu!$U$3:$U$101908,Q29)</f>
        <v/>
      </c>
      <c r="P29" s="47">
        <f>SUMIFS(DuLieu!$R$3:$R$101908,DuLieu!$T$3:$T$101908,A29,DuLieu!$U$3:$U$101908,Q29)</f>
        <v/>
      </c>
      <c r="Q29" s="49" t="n">
        <v>11</v>
      </c>
      <c r="R29" s="26" t="n">
        <v>2025</v>
      </c>
    </row>
    <row r="30">
      <c r="A30" s="48" t="n">
        <v>28</v>
      </c>
      <c r="B30" s="47">
        <f>SUMIFS(DuLieu!$D$3:$D$101908,DuLieu!$T$3:$T$101928,A30,DuLieu!$U$3:$U$101928,Q30)</f>
        <v/>
      </c>
      <c r="C30" s="47">
        <f>SUMIFS(DuLieu!$E$3:$E$101908,DuLieu!$T$3:$T$101908,A30,DuLieu!$U$3:$U$101908,Q30)</f>
        <v/>
      </c>
      <c r="D30" s="47">
        <f>SUMIFS(DuLieu!$F$3:$F$101908,DuLieu!$T$3:$T$1001908,A30,DuLieu!$U$3:$U$101908,Q30)</f>
        <v/>
      </c>
      <c r="E30" s="47">
        <f>SUMIFS(DuLieu!$G$3:$G$101908,DuLieu!$T$3:$T$101908,A30,DuLieu!$U$3:$U$101908,Q30)</f>
        <v/>
      </c>
      <c r="F30" s="47">
        <f>SUMIFS(DuLieu!$H$3:$H$101908,DuLieu!$T$3:$T$101908,A30,DuLieu!$U$3:$U$101908,Q30)</f>
        <v/>
      </c>
      <c r="G30" s="47">
        <f>SUMIFS(DuLieu!$I$3:$I$11908,DuLieu!$T$3:$T$101908,A30,DuLieu!$U$3:$U$101908,Q30)</f>
        <v/>
      </c>
      <c r="H30" s="47">
        <f>SUMIFS(DuLieu!$J$3:$J$101908,DuLieu!$T$3:$T$101908,A30,DuLieu!$U$3:$U$101908,Q30)</f>
        <v/>
      </c>
      <c r="I30" s="47">
        <f>SUMIFS(DuLieu!$K$3:$K$101908,DuLieu!$T$3:$T$101908,A30,DuLieu!$U$3:$U$101908,Q30)</f>
        <v/>
      </c>
      <c r="J30" s="47">
        <f>SUMIFS(DuLieu!$L$3:$L$101908,DuLieu!$T$3:$T$101908,A30,DuLieu!$U$3:$U$101908,Q30)</f>
        <v/>
      </c>
      <c r="K30" s="47">
        <f>SUMIFS(DuLieu!$M$3:$M$101908,DuLieu!$T$3:$T$101908,A30,DuLieu!$U$3:$U$101908,Q30)</f>
        <v/>
      </c>
      <c r="L30" s="47">
        <f>SUMIFS(DuLieu!$N$3:$N$101908,DuLieu!$T$3:$T$101908,A30,DuLieu!$U$3:$U$101908,Q30)</f>
        <v/>
      </c>
      <c r="M30" s="47">
        <f>SUMIFS(DuLieu!$O$3:$O$101908,DuLieu!$T$3:$T$101908,A30,DuLieu!$U$3:$U$101908,Q30)</f>
        <v/>
      </c>
      <c r="N30" s="47">
        <f>SUMIFS(DuLieu!$P$3:$P$101908,DuLieu!$T$3:$T$101908,A30,DuLieu!$U$3:$U$101908,Q30)</f>
        <v/>
      </c>
      <c r="O30" s="47">
        <f>SUMIFS(DuLieu!$Q$3:$Q$101908,DuLieu!$T$3:$T$101908,A30,DuLieu!$U$3:$U$101908,Q30)</f>
        <v/>
      </c>
      <c r="P30" s="47">
        <f>SUMIFS(DuLieu!$R$3:$R$101908,DuLieu!$T$3:$T$101908,A30,DuLieu!$U$3:$U$101908,Q30)</f>
        <v/>
      </c>
      <c r="Q30" s="49" t="n">
        <v>11</v>
      </c>
      <c r="R30" s="26" t="n">
        <v>2025</v>
      </c>
    </row>
    <row r="31">
      <c r="A31" s="46" t="n">
        <v>29</v>
      </c>
      <c r="B31" s="47">
        <f>SUMIFS(DuLieu!$D$3:$D$101908,DuLieu!$T$3:$T$101928,A31,DuLieu!$U$3:$U$101928,Q31)</f>
        <v/>
      </c>
      <c r="C31" s="47">
        <f>SUMIFS(DuLieu!$E$3:$E$101908,DuLieu!$T$3:$T$101908,A31,DuLieu!$U$3:$U$101908,Q31)</f>
        <v/>
      </c>
      <c r="D31" s="47">
        <f>SUMIFS(DuLieu!$F$3:$F$101908,DuLieu!$T$3:$T$1001908,A31,DuLieu!$U$3:$U$101908,Q31)</f>
        <v/>
      </c>
      <c r="E31" s="47">
        <f>SUMIFS(DuLieu!$G$3:$G$101908,DuLieu!$T$3:$T$101908,A31,DuLieu!$U$3:$U$101908,Q31)</f>
        <v/>
      </c>
      <c r="F31" s="47">
        <f>SUMIFS(DuLieu!$H$3:$H$101908,DuLieu!$T$3:$T$101908,A31,DuLieu!$U$3:$U$101908,Q31)</f>
        <v/>
      </c>
      <c r="G31" s="47">
        <f>SUMIFS(DuLieu!$I$3:$I$11908,DuLieu!$T$3:$T$101908,A31,DuLieu!$U$3:$U$101908,Q31)</f>
        <v/>
      </c>
      <c r="H31" s="47">
        <f>SUMIFS(DuLieu!$J$3:$J$101908,DuLieu!$T$3:$T$101908,A31,DuLieu!$U$3:$U$101908,Q31)</f>
        <v/>
      </c>
      <c r="I31" s="47">
        <f>SUMIFS(DuLieu!$K$3:$K$101908,DuLieu!$T$3:$T$101908,A31,DuLieu!$U$3:$U$101908,Q31)</f>
        <v/>
      </c>
      <c r="J31" s="47">
        <f>SUMIFS(DuLieu!$L$3:$L$101908,DuLieu!$T$3:$T$101908,A31,DuLieu!$U$3:$U$101908,Q31)</f>
        <v/>
      </c>
      <c r="K31" s="47">
        <f>SUMIFS(DuLieu!$M$3:$M$101908,DuLieu!$T$3:$T$101908,A31,DuLieu!$U$3:$U$101908,Q31)</f>
        <v/>
      </c>
      <c r="L31" s="47">
        <f>SUMIFS(DuLieu!$N$3:$N$101908,DuLieu!$T$3:$T$101908,A31,DuLieu!$U$3:$U$101908,Q31)</f>
        <v/>
      </c>
      <c r="M31" s="47">
        <f>SUMIFS(DuLieu!$O$3:$O$101908,DuLieu!$T$3:$T$101908,A31,DuLieu!$U$3:$U$101908,Q31)</f>
        <v/>
      </c>
      <c r="N31" s="47">
        <f>SUMIFS(DuLieu!$P$3:$P$101908,DuLieu!$T$3:$T$101908,A31,DuLieu!$U$3:$U$101908,Q31)</f>
        <v/>
      </c>
      <c r="O31" s="47">
        <f>SUMIFS(DuLieu!$Q$3:$Q$101908,DuLieu!$T$3:$T$101908,A31,DuLieu!$U$3:$U$101908,Q31)</f>
        <v/>
      </c>
      <c r="P31" s="47">
        <f>SUMIFS(DuLieu!$R$3:$R$101908,DuLieu!$T$3:$T$101908,A31,DuLieu!$U$3:$U$101908,Q31)</f>
        <v/>
      </c>
      <c r="Q31" s="49" t="n">
        <v>11</v>
      </c>
      <c r="R31" s="26" t="n">
        <v>2025</v>
      </c>
    </row>
    <row r="32">
      <c r="A32" s="48" t="n">
        <v>30</v>
      </c>
      <c r="B32" s="47">
        <f>SUMIFS(DuLieu!$D$3:$D$101908,DuLieu!$T$3:$T$101928,A32,DuLieu!$U$3:$U$101928,Q32)</f>
        <v/>
      </c>
      <c r="C32" s="47">
        <f>SUMIFS(DuLieu!$E$3:$E$101908,DuLieu!$T$3:$T$101908,A32,DuLieu!$U$3:$U$101908,Q32)</f>
        <v/>
      </c>
      <c r="D32" s="47">
        <f>SUMIFS(DuLieu!$F$3:$F$101908,DuLieu!$T$3:$T$1001908,A32,DuLieu!$U$3:$U$101908,Q32)</f>
        <v/>
      </c>
      <c r="E32" s="47">
        <f>SUMIFS(DuLieu!$G$3:$G$101908,DuLieu!$T$3:$T$101908,A32,DuLieu!$U$3:$U$101908,Q32)</f>
        <v/>
      </c>
      <c r="F32" s="47">
        <f>SUMIFS(DuLieu!$H$3:$H$101908,DuLieu!$T$3:$T$101908,A32,DuLieu!$U$3:$U$101908,Q32)</f>
        <v/>
      </c>
      <c r="G32" s="47">
        <f>SUMIFS(DuLieu!$I$3:$I$11908,DuLieu!$T$3:$T$101908,A32,DuLieu!$U$3:$U$101908,Q32)</f>
        <v/>
      </c>
      <c r="H32" s="47">
        <f>SUMIFS(DuLieu!$J$3:$J$101908,DuLieu!$T$3:$T$101908,A32,DuLieu!$U$3:$U$101908,Q32)</f>
        <v/>
      </c>
      <c r="I32" s="47">
        <f>SUMIFS(DuLieu!$K$3:$K$101908,DuLieu!$T$3:$T$101908,A32,DuLieu!$U$3:$U$101908,Q32)</f>
        <v/>
      </c>
      <c r="J32" s="47">
        <f>SUMIFS(DuLieu!$L$3:$L$101908,DuLieu!$T$3:$T$101908,A32,DuLieu!$U$3:$U$101908,Q32)</f>
        <v/>
      </c>
      <c r="K32" s="47">
        <f>SUMIFS(DuLieu!$M$3:$M$101908,DuLieu!$T$3:$T$101908,A32,DuLieu!$U$3:$U$101908,Q32)</f>
        <v/>
      </c>
      <c r="L32" s="47">
        <f>SUMIFS(DuLieu!$N$3:$N$101908,DuLieu!$T$3:$T$101908,A32,DuLieu!$U$3:$U$101908,Q32)</f>
        <v/>
      </c>
      <c r="M32" s="47">
        <f>SUMIFS(DuLieu!$O$3:$O$101908,DuLieu!$T$3:$T$101908,A32,DuLieu!$U$3:$U$101908,Q32)</f>
        <v/>
      </c>
      <c r="N32" s="47">
        <f>SUMIFS(DuLieu!$P$3:$P$101908,DuLieu!$T$3:$T$101908,A32,DuLieu!$U$3:$U$101908,Q32)</f>
        <v/>
      </c>
      <c r="O32" s="47">
        <f>SUMIFS(DuLieu!$Q$3:$Q$101908,DuLieu!$T$3:$T$101908,A32,DuLieu!$U$3:$U$101908,Q32)</f>
        <v/>
      </c>
      <c r="P32" s="47">
        <f>SUMIFS(DuLieu!$R$3:$R$101908,DuLieu!$T$3:$T$101908,A32,DuLieu!$U$3:$U$101908,Q32)</f>
        <v/>
      </c>
      <c r="Q32" s="49" t="n">
        <v>11</v>
      </c>
      <c r="R32" s="26" t="n">
        <v>2025</v>
      </c>
    </row>
    <row r="33">
      <c r="A33" s="46" t="n">
        <v>31</v>
      </c>
      <c r="B33" s="47">
        <f>SUMIFS(DuLieu!$D$3:$D$101908,DuLieu!$T$3:$T$101928,A33,DuLieu!$U$3:$U$101928,Q33)</f>
        <v/>
      </c>
      <c r="C33" s="47">
        <f>SUMIFS(DuLieu!$E$3:$E$101908,DuLieu!$T$3:$T$101908,A33,DuLieu!$U$3:$U$101908,Q33)</f>
        <v/>
      </c>
      <c r="D33" s="47">
        <f>SUMIFS(DuLieu!$F$3:$F$101908,DuLieu!$T$3:$T$1001908,A33,DuLieu!$U$3:$U$101908,Q33)</f>
        <v/>
      </c>
      <c r="E33" s="47">
        <f>SUMIFS(DuLieu!$G$3:$G$101908,DuLieu!$T$3:$T$101908,A33,DuLieu!$U$3:$U$101908,Q33)</f>
        <v/>
      </c>
      <c r="F33" s="47">
        <f>SUMIFS(DuLieu!$H$3:$H$101908,DuLieu!$T$3:$T$101908,A33,DuLieu!$U$3:$U$101908,Q33)</f>
        <v/>
      </c>
      <c r="G33" s="47">
        <f>SUMIFS(DuLieu!$I$3:$I$11908,DuLieu!$T$3:$T$101908,A33,DuLieu!$U$3:$U$101908,Q33)</f>
        <v/>
      </c>
      <c r="H33" s="47">
        <f>SUMIFS(DuLieu!$J$3:$J$101908,DuLieu!$T$3:$T$101908,A33,DuLieu!$U$3:$U$101908,Q33)</f>
        <v/>
      </c>
      <c r="I33" s="47">
        <f>SUMIFS(DuLieu!$K$3:$K$101908,DuLieu!$T$3:$T$101908,A33,DuLieu!$U$3:$U$101908,Q33)</f>
        <v/>
      </c>
      <c r="J33" s="47">
        <f>SUMIFS(DuLieu!$L$3:$L$101908,DuLieu!$T$3:$T$101908,A33,DuLieu!$U$3:$U$101908,Q33)</f>
        <v/>
      </c>
      <c r="K33" s="47">
        <f>SUMIFS(DuLieu!$M$3:$M$101908,DuLieu!$T$3:$T$101908,A33,DuLieu!$U$3:$U$101908,Q33)</f>
        <v/>
      </c>
      <c r="L33" s="47">
        <f>SUMIFS(DuLieu!$N$3:$N$101908,DuLieu!$T$3:$T$101908,A33,DuLieu!$U$3:$U$101908,Q33)</f>
        <v/>
      </c>
      <c r="M33" s="47">
        <f>SUMIFS(DuLieu!$O$3:$O$101908,DuLieu!$T$3:$T$101908,A33,DuLieu!$U$3:$U$101908,Q33)</f>
        <v/>
      </c>
      <c r="N33" s="47">
        <f>SUMIFS(DuLieu!$P$3:$P$101908,DuLieu!$T$3:$T$101908,A33,DuLieu!$U$3:$U$101908,Q33)</f>
        <v/>
      </c>
      <c r="O33" s="47">
        <f>SUMIFS(DuLieu!$Q$3:$Q$101908,DuLieu!$T$3:$T$101908,A33,DuLieu!$U$3:$U$101908,Q33)</f>
        <v/>
      </c>
      <c r="P33" s="47">
        <f>SUMIFS(DuLieu!$R$3:$R$101908,DuLieu!$T$3:$T$101908,A33,DuLieu!$U$3:$U$101908,Q33)</f>
        <v/>
      </c>
      <c r="Q33" s="49" t="n">
        <v>11</v>
      </c>
      <c r="R33" s="26" t="n">
        <v>2025</v>
      </c>
    </row>
    <row r="34">
      <c r="A34" s="46" t="n">
        <v>1</v>
      </c>
      <c r="B34" s="47">
        <f>SUMIFS(DuLieu!$D$3:$D$101908,DuLieu!$T$3:$T$101928,A34,DuLieu!$U$3:$U$101928,Q34)</f>
        <v/>
      </c>
      <c r="C34" s="47">
        <f>SUMIFS(DuLieu!$E$3:$E$101908,DuLieu!$T$3:$T$101908,A34,DuLieu!$U$3:$U$101908,Q34)</f>
        <v/>
      </c>
      <c r="D34" s="47">
        <f>SUMIFS(DuLieu!$F$3:$F$101908,DuLieu!$T$3:$T$1001908,A34,DuLieu!$U$3:$U$101908,Q34)</f>
        <v/>
      </c>
      <c r="E34" s="47">
        <f>SUMIFS(DuLieu!$G$3:$G$101908,DuLieu!$T$3:$T$101908,A34,DuLieu!$U$3:$U$101908,Q34)</f>
        <v/>
      </c>
      <c r="F34" s="47">
        <f>SUMIFS(DuLieu!$H$3:$H$101908,DuLieu!$T$3:$T$101908,A34,DuLieu!$U$3:$U$101908,Q34)</f>
        <v/>
      </c>
      <c r="G34" s="47">
        <f>SUMIFS(DuLieu!$I$3:$I$11908,DuLieu!$T$3:$T$101908,A34,DuLieu!$U$3:$U$101908,Q34)</f>
        <v/>
      </c>
      <c r="H34" s="47">
        <f>SUMIFS(DuLieu!$J$3:$J$101908,DuLieu!$T$3:$T$101908,A34,DuLieu!$U$3:$U$101908,Q34)</f>
        <v/>
      </c>
      <c r="I34" s="47">
        <f>SUMIFS(DuLieu!$K$3:$K$101908,DuLieu!$T$3:$T$101908,A34,DuLieu!$U$3:$U$101908,Q34)</f>
        <v/>
      </c>
      <c r="J34" s="47">
        <f>SUMIFS(DuLieu!$L$3:$L$101908,DuLieu!$T$3:$T$101908,A34,DuLieu!$U$3:$U$101908,Q34)</f>
        <v/>
      </c>
      <c r="K34" s="47">
        <f>SUMIFS(DuLieu!$M$3:$M$101908,DuLieu!$T$3:$T$101908,A34,DuLieu!$U$3:$U$101908,Q34)</f>
        <v/>
      </c>
      <c r="L34" s="47">
        <f>SUMIFS(DuLieu!$N$3:$N$101908,DuLieu!$T$3:$T$101908,A34,DuLieu!$U$3:$U$101908,Q34)</f>
        <v/>
      </c>
      <c r="M34" s="47">
        <f>SUMIFS(DuLieu!$O$3:$O$101908,DuLieu!$T$3:$T$101908,A34,DuLieu!$U$3:$U$101908,Q34)</f>
        <v/>
      </c>
      <c r="N34" s="47">
        <f>SUMIFS(DuLieu!$P$3:$P$101908,DuLieu!$T$3:$T$101908,A34,DuLieu!$U$3:$U$101908,Q34)</f>
        <v/>
      </c>
      <c r="O34" s="47">
        <f>SUMIFS(DuLieu!$Q$3:$Q$101908,DuLieu!$T$3:$T$101908,A34,DuLieu!$U$3:$U$101908,Q34)</f>
        <v/>
      </c>
      <c r="P34" s="47">
        <f>SUMIFS(DuLieu!$R$3:$R$101908,DuLieu!$T$3:$T$101908,A34,DuLieu!$U$3:$U$101908,Q34)</f>
        <v/>
      </c>
      <c r="Q34" s="49" t="n">
        <v>12</v>
      </c>
      <c r="R34" s="26" t="n">
        <v>2025</v>
      </c>
    </row>
    <row r="35">
      <c r="A35" s="48" t="n">
        <v>2</v>
      </c>
      <c r="B35" s="47">
        <f>SUMIFS(DuLieu!$D$3:$D$101908,DuLieu!$T$3:$T$101928,A35,DuLieu!$U$3:$U$101928,Q35)</f>
        <v/>
      </c>
      <c r="C35" s="47">
        <f>SUMIFS(DuLieu!$E$3:$E$101908,DuLieu!$T$3:$T$101908,A35,DuLieu!$U$3:$U$101908,Q35)</f>
        <v/>
      </c>
      <c r="D35" s="47">
        <f>SUMIFS(DuLieu!$F$3:$F$101908,DuLieu!$T$3:$T$1001908,A35,DuLieu!$U$3:$U$101908,Q35)</f>
        <v/>
      </c>
      <c r="E35" s="47">
        <f>SUMIFS(DuLieu!$G$3:$G$101908,DuLieu!$T$3:$T$101908,A35,DuLieu!$U$3:$U$101908,Q35)</f>
        <v/>
      </c>
      <c r="F35" s="47">
        <f>SUMIFS(DuLieu!$H$3:$H$101908,DuLieu!$T$3:$T$101908,A35,DuLieu!$U$3:$U$101908,Q35)</f>
        <v/>
      </c>
      <c r="G35" s="47">
        <f>SUMIFS(DuLieu!$I$3:$I$11908,DuLieu!$T$3:$T$101908,A35,DuLieu!$U$3:$U$101908,Q35)</f>
        <v/>
      </c>
      <c r="H35" s="47">
        <f>SUMIFS(DuLieu!$J$3:$J$101908,DuLieu!$T$3:$T$101908,A35,DuLieu!$U$3:$U$101908,Q35)</f>
        <v/>
      </c>
      <c r="I35" s="47">
        <f>SUMIFS(DuLieu!$K$3:$K$101908,DuLieu!$T$3:$T$101908,A35,DuLieu!$U$3:$U$101908,Q35)</f>
        <v/>
      </c>
      <c r="J35" s="47">
        <f>SUMIFS(DuLieu!$L$3:$L$101908,DuLieu!$T$3:$T$101908,A35,DuLieu!$U$3:$U$101908,Q35)</f>
        <v/>
      </c>
      <c r="K35" s="47">
        <f>SUMIFS(DuLieu!$M$3:$M$101908,DuLieu!$T$3:$T$101908,A35,DuLieu!$U$3:$U$101908,Q35)</f>
        <v/>
      </c>
      <c r="L35" s="47">
        <f>SUMIFS(DuLieu!$N$3:$N$101908,DuLieu!$T$3:$T$101908,A35,DuLieu!$U$3:$U$101908,Q35)</f>
        <v/>
      </c>
      <c r="M35" s="47">
        <f>SUMIFS(DuLieu!$O$3:$O$101908,DuLieu!$T$3:$T$101908,A35,DuLieu!$U$3:$U$101908,Q35)</f>
        <v/>
      </c>
      <c r="N35" s="47">
        <f>SUMIFS(DuLieu!$P$3:$P$101908,DuLieu!$T$3:$T$101908,A35,DuLieu!$U$3:$U$101908,Q35)</f>
        <v/>
      </c>
      <c r="O35" s="47">
        <f>SUMIFS(DuLieu!$Q$3:$Q$101908,DuLieu!$T$3:$T$101908,A35,DuLieu!$U$3:$U$101908,Q35)</f>
        <v/>
      </c>
      <c r="P35" s="47">
        <f>SUMIFS(DuLieu!$R$3:$R$101908,DuLieu!$T$3:$T$101908,A35,DuLieu!$U$3:$U$101908,Q35)</f>
        <v/>
      </c>
      <c r="Q35" s="49" t="n">
        <v>12</v>
      </c>
      <c r="R35" s="26" t="n">
        <v>2025</v>
      </c>
    </row>
    <row r="36">
      <c r="A36" s="46" t="n">
        <v>3</v>
      </c>
      <c r="B36" s="47">
        <f>SUMIFS(DuLieu!$D$3:$D$101908,DuLieu!$T$3:$T$101928,A36,DuLieu!$U$3:$U$101928,Q36)</f>
        <v/>
      </c>
      <c r="C36" s="47">
        <f>SUMIFS(DuLieu!$E$3:$E$101908,DuLieu!$T$3:$T$101908,A36,DuLieu!$U$3:$U$101908,Q36)</f>
        <v/>
      </c>
      <c r="D36" s="47">
        <f>SUMIFS(DuLieu!$F$3:$F$101908,DuLieu!$T$3:$T$1001908,A36,DuLieu!$U$3:$U$101908,Q36)</f>
        <v/>
      </c>
      <c r="E36" s="47">
        <f>SUMIFS(DuLieu!$G$3:$G$101908,DuLieu!$T$3:$T$101908,A36,DuLieu!$U$3:$U$101908,Q36)</f>
        <v/>
      </c>
      <c r="F36" s="47">
        <f>SUMIFS(DuLieu!$H$3:$H$101908,DuLieu!$T$3:$T$101908,A36,DuLieu!$U$3:$U$101908,Q36)</f>
        <v/>
      </c>
      <c r="G36" s="47">
        <f>SUMIFS(DuLieu!$I$3:$I$11908,DuLieu!$T$3:$T$101908,A36,DuLieu!$U$3:$U$101908,Q36)</f>
        <v/>
      </c>
      <c r="H36" s="47">
        <f>SUMIFS(DuLieu!$J$3:$J$101908,DuLieu!$T$3:$T$101908,A36,DuLieu!$U$3:$U$101908,Q36)</f>
        <v/>
      </c>
      <c r="I36" s="47">
        <f>SUMIFS(DuLieu!$K$3:$K$101908,DuLieu!$T$3:$T$101908,A36,DuLieu!$U$3:$U$101908,Q36)</f>
        <v/>
      </c>
      <c r="J36" s="47">
        <f>SUMIFS(DuLieu!$L$3:$L$101908,DuLieu!$T$3:$T$101908,A36,DuLieu!$U$3:$U$101908,Q36)</f>
        <v/>
      </c>
      <c r="K36" s="47">
        <f>SUMIFS(DuLieu!$M$3:$M$101908,DuLieu!$T$3:$T$101908,A36,DuLieu!$U$3:$U$101908,Q36)</f>
        <v/>
      </c>
      <c r="L36" s="47">
        <f>SUMIFS(DuLieu!$N$3:$N$101908,DuLieu!$T$3:$T$101908,A36,DuLieu!$U$3:$U$101908,Q36)</f>
        <v/>
      </c>
      <c r="M36" s="47">
        <f>SUMIFS(DuLieu!$O$3:$O$101908,DuLieu!$T$3:$T$101908,A36,DuLieu!$U$3:$U$101908,Q36)</f>
        <v/>
      </c>
      <c r="N36" s="47">
        <f>SUMIFS(DuLieu!$P$3:$P$101908,DuLieu!$T$3:$T$101908,A36,DuLieu!$U$3:$U$101908,Q36)</f>
        <v/>
      </c>
      <c r="O36" s="47">
        <f>SUMIFS(DuLieu!$Q$3:$Q$101908,DuLieu!$T$3:$T$101908,A36,DuLieu!$U$3:$U$101908,Q36)</f>
        <v/>
      </c>
      <c r="P36" s="47">
        <f>SUMIFS(DuLieu!$R$3:$R$101908,DuLieu!$T$3:$T$101908,A36,DuLieu!$U$3:$U$101908,Q36)</f>
        <v/>
      </c>
      <c r="Q36" s="49" t="n">
        <v>12</v>
      </c>
      <c r="R36" s="26" t="n">
        <v>2025</v>
      </c>
    </row>
    <row r="37">
      <c r="A37" s="48" t="n">
        <v>4</v>
      </c>
      <c r="B37" s="47">
        <f>SUMIFS(DuLieu!$D$3:$D$101908,DuLieu!$T$3:$T$101928,A37,DuLieu!$U$3:$U$101928,Q37)</f>
        <v/>
      </c>
      <c r="C37" s="47">
        <f>SUMIFS(DuLieu!$E$3:$E$101908,DuLieu!$T$3:$T$101908,A37,DuLieu!$U$3:$U$101908,Q37)</f>
        <v/>
      </c>
      <c r="D37" s="47">
        <f>SUMIFS(DuLieu!$F$3:$F$101908,DuLieu!$T$3:$T$1001908,A37,DuLieu!$U$3:$U$101908,Q37)</f>
        <v/>
      </c>
      <c r="E37" s="47">
        <f>SUMIFS(DuLieu!$G$3:$G$101908,DuLieu!$T$3:$T$101908,A37,DuLieu!$U$3:$U$101908,Q37)</f>
        <v/>
      </c>
      <c r="F37" s="47">
        <f>SUMIFS(DuLieu!$H$3:$H$101908,DuLieu!$T$3:$T$101908,A37,DuLieu!$U$3:$U$101908,Q37)</f>
        <v/>
      </c>
      <c r="G37" s="47">
        <f>SUMIFS(DuLieu!$I$3:$I$11908,DuLieu!$T$3:$T$101908,A37,DuLieu!$U$3:$U$101908,Q37)</f>
        <v/>
      </c>
      <c r="H37" s="47">
        <f>SUMIFS(DuLieu!$J$3:$J$101908,DuLieu!$T$3:$T$101908,A37,DuLieu!$U$3:$U$101908,Q37)</f>
        <v/>
      </c>
      <c r="I37" s="47">
        <f>SUMIFS(DuLieu!$K$3:$K$101908,DuLieu!$T$3:$T$101908,A37,DuLieu!$U$3:$U$101908,Q37)</f>
        <v/>
      </c>
      <c r="J37" s="47">
        <f>SUMIFS(DuLieu!$L$3:$L$101908,DuLieu!$T$3:$T$101908,A37,DuLieu!$U$3:$U$101908,Q37)</f>
        <v/>
      </c>
      <c r="K37" s="47">
        <f>SUMIFS(DuLieu!$M$3:$M$101908,DuLieu!$T$3:$T$101908,A37,DuLieu!$U$3:$U$101908,Q37)</f>
        <v/>
      </c>
      <c r="L37" s="47">
        <f>SUMIFS(DuLieu!$N$3:$N$101908,DuLieu!$T$3:$T$101908,A37,DuLieu!$U$3:$U$101908,Q37)</f>
        <v/>
      </c>
      <c r="M37" s="47">
        <f>SUMIFS(DuLieu!$O$3:$O$101908,DuLieu!$T$3:$T$101908,A37,DuLieu!$U$3:$U$101908,Q37)</f>
        <v/>
      </c>
      <c r="N37" s="47">
        <f>SUMIFS(DuLieu!$P$3:$P$101908,DuLieu!$T$3:$T$101908,A37,DuLieu!$U$3:$U$101908,Q37)</f>
        <v/>
      </c>
      <c r="O37" s="47">
        <f>SUMIFS(DuLieu!$Q$3:$Q$101908,DuLieu!$T$3:$T$101908,A37,DuLieu!$U$3:$U$101908,Q37)</f>
        <v/>
      </c>
      <c r="P37" s="47">
        <f>SUMIFS(DuLieu!$R$3:$R$101908,DuLieu!$T$3:$T$101908,A37,DuLieu!$U$3:$U$101908,Q37)</f>
        <v/>
      </c>
      <c r="Q37" s="49" t="n">
        <v>12</v>
      </c>
      <c r="R37" s="26" t="n">
        <v>2025</v>
      </c>
    </row>
    <row r="38">
      <c r="A38" s="46" t="n">
        <v>5</v>
      </c>
      <c r="B38" s="47">
        <f>SUMIFS(DuLieu!$D$3:$D$101908,DuLieu!$T$3:$T$101928,A38,DuLieu!$U$3:$U$101928,Q38)</f>
        <v/>
      </c>
      <c r="C38" s="47">
        <f>SUMIFS(DuLieu!$E$3:$E$101908,DuLieu!$T$3:$T$101908,A38,DuLieu!$U$3:$U$101908,Q38)</f>
        <v/>
      </c>
      <c r="D38" s="47">
        <f>SUMIFS(DuLieu!$F$3:$F$101908,DuLieu!$T$3:$T$1001908,A38,DuLieu!$U$3:$U$101908,Q38)</f>
        <v/>
      </c>
      <c r="E38" s="47">
        <f>SUMIFS(DuLieu!$G$3:$G$101908,DuLieu!$T$3:$T$101908,A38,DuLieu!$U$3:$U$101908,Q38)</f>
        <v/>
      </c>
      <c r="F38" s="47">
        <f>SUMIFS(DuLieu!$H$3:$H$101908,DuLieu!$T$3:$T$101908,A38,DuLieu!$U$3:$U$101908,Q38)</f>
        <v/>
      </c>
      <c r="G38" s="47">
        <f>SUMIFS(DuLieu!$I$3:$I$11908,DuLieu!$T$3:$T$101908,A38,DuLieu!$U$3:$U$101908,Q38)</f>
        <v/>
      </c>
      <c r="H38" s="47">
        <f>SUMIFS(DuLieu!$J$3:$J$101908,DuLieu!$T$3:$T$101908,A38,DuLieu!$U$3:$U$101908,Q38)</f>
        <v/>
      </c>
      <c r="I38" s="47">
        <f>SUMIFS(DuLieu!$K$3:$K$101908,DuLieu!$T$3:$T$101908,A38,DuLieu!$U$3:$U$101908,Q38)</f>
        <v/>
      </c>
      <c r="J38" s="47">
        <f>SUMIFS(DuLieu!$L$3:$L$101908,DuLieu!$T$3:$T$101908,A38,DuLieu!$U$3:$U$101908,Q38)</f>
        <v/>
      </c>
      <c r="K38" s="47">
        <f>SUMIFS(DuLieu!$M$3:$M$101908,DuLieu!$T$3:$T$101908,A38,DuLieu!$U$3:$U$101908,Q38)</f>
        <v/>
      </c>
      <c r="L38" s="47">
        <f>SUMIFS(DuLieu!$N$3:$N$101908,DuLieu!$T$3:$T$101908,A38,DuLieu!$U$3:$U$101908,Q38)</f>
        <v/>
      </c>
      <c r="M38" s="47">
        <f>SUMIFS(DuLieu!$O$3:$O$101908,DuLieu!$T$3:$T$101908,A38,DuLieu!$U$3:$U$101908,Q38)</f>
        <v/>
      </c>
      <c r="N38" s="47">
        <f>SUMIFS(DuLieu!$P$3:$P$101908,DuLieu!$T$3:$T$101908,A38,DuLieu!$U$3:$U$101908,Q38)</f>
        <v/>
      </c>
      <c r="O38" s="47">
        <f>SUMIFS(DuLieu!$Q$3:$Q$101908,DuLieu!$T$3:$T$101908,A38,DuLieu!$U$3:$U$101908,Q38)</f>
        <v/>
      </c>
      <c r="P38" s="47">
        <f>SUMIFS(DuLieu!$R$3:$R$101908,DuLieu!$T$3:$T$101908,A38,DuLieu!$U$3:$U$101908,Q38)</f>
        <v/>
      </c>
      <c r="Q38" s="49" t="n">
        <v>12</v>
      </c>
      <c r="R38" s="26" t="n">
        <v>2025</v>
      </c>
    </row>
    <row r="39">
      <c r="A39" s="48" t="n">
        <v>6</v>
      </c>
      <c r="B39" s="47">
        <f>SUMIFS(DuLieu!$D$3:$D$101908,DuLieu!$T$3:$T$101928,A39,DuLieu!$U$3:$U$101928,Q39)</f>
        <v/>
      </c>
      <c r="C39" s="47">
        <f>SUMIFS(DuLieu!$E$3:$E$101908,DuLieu!$T$3:$T$101908,A39,DuLieu!$U$3:$U$101908,Q39)</f>
        <v/>
      </c>
      <c r="D39" s="47">
        <f>SUMIFS(DuLieu!$F$3:$F$101908,DuLieu!$T$3:$T$1001908,A39,DuLieu!$U$3:$U$101908,Q39)</f>
        <v/>
      </c>
      <c r="E39" s="47">
        <f>SUMIFS(DuLieu!$G$3:$G$101908,DuLieu!$T$3:$T$101908,A39,DuLieu!$U$3:$U$101908,Q39)</f>
        <v/>
      </c>
      <c r="F39" s="47">
        <f>SUMIFS(DuLieu!$H$3:$H$101908,DuLieu!$T$3:$T$101908,A39,DuLieu!$U$3:$U$101908,Q39)</f>
        <v/>
      </c>
      <c r="G39" s="47">
        <f>SUMIFS(DuLieu!$I$3:$I$11908,DuLieu!$T$3:$T$101908,A39,DuLieu!$U$3:$U$101908,Q39)</f>
        <v/>
      </c>
      <c r="H39" s="47">
        <f>SUMIFS(DuLieu!$J$3:$J$101908,DuLieu!$T$3:$T$101908,A39,DuLieu!$U$3:$U$101908,Q39)</f>
        <v/>
      </c>
      <c r="I39" s="47">
        <f>SUMIFS(DuLieu!$K$3:$K$101908,DuLieu!$T$3:$T$101908,A39,DuLieu!$U$3:$U$101908,Q39)</f>
        <v/>
      </c>
      <c r="J39" s="47">
        <f>SUMIFS(DuLieu!$L$3:$L$101908,DuLieu!$T$3:$T$101908,A39,DuLieu!$U$3:$U$101908,Q39)</f>
        <v/>
      </c>
      <c r="K39" s="47">
        <f>SUMIFS(DuLieu!$M$3:$M$101908,DuLieu!$T$3:$T$101908,A39,DuLieu!$U$3:$U$101908,Q39)</f>
        <v/>
      </c>
      <c r="L39" s="47">
        <f>SUMIFS(DuLieu!$N$3:$N$101908,DuLieu!$T$3:$T$101908,A39,DuLieu!$U$3:$U$101908,Q39)</f>
        <v/>
      </c>
      <c r="M39" s="47">
        <f>SUMIFS(DuLieu!$O$3:$O$101908,DuLieu!$T$3:$T$101908,A39,DuLieu!$U$3:$U$101908,Q39)</f>
        <v/>
      </c>
      <c r="N39" s="47">
        <f>SUMIFS(DuLieu!$P$3:$P$101908,DuLieu!$T$3:$T$101908,A39,DuLieu!$U$3:$U$101908,Q39)</f>
        <v/>
      </c>
      <c r="O39" s="47">
        <f>SUMIFS(DuLieu!$Q$3:$Q$101908,DuLieu!$T$3:$T$101908,A39,DuLieu!$U$3:$U$101908,Q39)</f>
        <v/>
      </c>
      <c r="P39" s="47">
        <f>SUMIFS(DuLieu!$R$3:$R$101908,DuLieu!$T$3:$T$101908,A39,DuLieu!$U$3:$U$101908,Q39)</f>
        <v/>
      </c>
      <c r="Q39" s="49" t="n">
        <v>12</v>
      </c>
      <c r="R39" s="26" t="n">
        <v>2025</v>
      </c>
    </row>
    <row r="40">
      <c r="A40" s="46" t="n">
        <v>7</v>
      </c>
      <c r="B40" s="47">
        <f>SUMIFS(DuLieu!$D$3:$D$101908,DuLieu!$T$3:$T$101928,A40,DuLieu!$U$3:$U$101928,Q40)</f>
        <v/>
      </c>
      <c r="C40" s="47">
        <f>SUMIFS(DuLieu!$E$3:$E$101908,DuLieu!$T$3:$T$101908,A40,DuLieu!$U$3:$U$101908,Q40)</f>
        <v/>
      </c>
      <c r="D40" s="47">
        <f>SUMIFS(DuLieu!$F$3:$F$101908,DuLieu!$T$3:$T$1001908,A40,DuLieu!$U$3:$U$101908,Q40)</f>
        <v/>
      </c>
      <c r="E40" s="47">
        <f>SUMIFS(DuLieu!$G$3:$G$101908,DuLieu!$T$3:$T$101908,A40,DuLieu!$U$3:$U$101908,Q40)</f>
        <v/>
      </c>
      <c r="F40" s="47">
        <f>SUMIFS(DuLieu!$H$3:$H$101908,DuLieu!$T$3:$T$101908,A40,DuLieu!$U$3:$U$101908,Q40)</f>
        <v/>
      </c>
      <c r="G40" s="47">
        <f>SUMIFS(DuLieu!$I$3:$I$11908,DuLieu!$T$3:$T$101908,A40,DuLieu!$U$3:$U$101908,Q40)</f>
        <v/>
      </c>
      <c r="H40" s="47">
        <f>SUMIFS(DuLieu!$J$3:$J$101908,DuLieu!$T$3:$T$101908,A40,DuLieu!$U$3:$U$101908,Q40)</f>
        <v/>
      </c>
      <c r="I40" s="47">
        <f>SUMIFS(DuLieu!$K$3:$K$101908,DuLieu!$T$3:$T$101908,A40,DuLieu!$U$3:$U$101908,Q40)</f>
        <v/>
      </c>
      <c r="J40" s="47">
        <f>SUMIFS(DuLieu!$L$3:$L$101908,DuLieu!$T$3:$T$101908,A40,DuLieu!$U$3:$U$101908,Q40)</f>
        <v/>
      </c>
      <c r="K40" s="47">
        <f>SUMIFS(DuLieu!$M$3:$M$101908,DuLieu!$T$3:$T$101908,A40,DuLieu!$U$3:$U$101908,Q40)</f>
        <v/>
      </c>
      <c r="L40" s="47">
        <f>SUMIFS(DuLieu!$N$3:$N$101908,DuLieu!$T$3:$T$101908,A40,DuLieu!$U$3:$U$101908,Q40)</f>
        <v/>
      </c>
      <c r="M40" s="47">
        <f>SUMIFS(DuLieu!$O$3:$O$101908,DuLieu!$T$3:$T$101908,A40,DuLieu!$U$3:$U$101908,Q40)</f>
        <v/>
      </c>
      <c r="N40" s="47">
        <f>SUMIFS(DuLieu!$P$3:$P$101908,DuLieu!$T$3:$T$101908,A40,DuLieu!$U$3:$U$101908,Q40)</f>
        <v/>
      </c>
      <c r="O40" s="47">
        <f>SUMIFS(DuLieu!$Q$3:$Q$101908,DuLieu!$T$3:$T$101908,A40,DuLieu!$U$3:$U$101908,Q40)</f>
        <v/>
      </c>
      <c r="P40" s="47">
        <f>SUMIFS(DuLieu!$R$3:$R$101908,DuLieu!$T$3:$T$101908,A40,DuLieu!$U$3:$U$101908,Q40)</f>
        <v/>
      </c>
      <c r="Q40" s="49" t="n">
        <v>12</v>
      </c>
      <c r="R40" s="26" t="n">
        <v>2025</v>
      </c>
    </row>
    <row r="41">
      <c r="A41" s="48" t="n">
        <v>8</v>
      </c>
      <c r="B41" s="47">
        <f>SUMIFS(DuLieu!$D$3:$D$101908,DuLieu!$T$3:$T$101928,A41,DuLieu!$U$3:$U$101928,Q41)</f>
        <v/>
      </c>
      <c r="C41" s="47">
        <f>SUMIFS(DuLieu!$E$3:$E$101908,DuLieu!$T$3:$T$101908,A41,DuLieu!$U$3:$U$101908,Q41)</f>
        <v/>
      </c>
      <c r="D41" s="47">
        <f>SUMIFS(DuLieu!$F$3:$F$101908,DuLieu!$T$3:$T$1001908,A41,DuLieu!$U$3:$U$101908,Q41)</f>
        <v/>
      </c>
      <c r="E41" s="47">
        <f>SUMIFS(DuLieu!$G$3:$G$101908,DuLieu!$T$3:$T$101908,A41,DuLieu!$U$3:$U$101908,Q41)</f>
        <v/>
      </c>
      <c r="F41" s="47">
        <f>SUMIFS(DuLieu!$H$3:$H$101908,DuLieu!$T$3:$T$101908,A41,DuLieu!$U$3:$U$101908,Q41)</f>
        <v/>
      </c>
      <c r="G41" s="47">
        <f>SUMIFS(DuLieu!$I$3:$I$11908,DuLieu!$T$3:$T$101908,A41,DuLieu!$U$3:$U$101908,Q41)</f>
        <v/>
      </c>
      <c r="H41" s="47">
        <f>SUMIFS(DuLieu!$J$3:$J$101908,DuLieu!$T$3:$T$101908,A41,DuLieu!$U$3:$U$101908,Q41)</f>
        <v/>
      </c>
      <c r="I41" s="47">
        <f>SUMIFS(DuLieu!$K$3:$K$101908,DuLieu!$T$3:$T$101908,A41,DuLieu!$U$3:$U$101908,Q41)</f>
        <v/>
      </c>
      <c r="J41" s="47">
        <f>SUMIFS(DuLieu!$L$3:$L$101908,DuLieu!$T$3:$T$101908,A41,DuLieu!$U$3:$U$101908,Q41)</f>
        <v/>
      </c>
      <c r="K41" s="47">
        <f>SUMIFS(DuLieu!$M$3:$M$101908,DuLieu!$T$3:$T$101908,A41,DuLieu!$U$3:$U$101908,Q41)</f>
        <v/>
      </c>
      <c r="L41" s="47">
        <f>SUMIFS(DuLieu!$N$3:$N$101908,DuLieu!$T$3:$T$101908,A41,DuLieu!$U$3:$U$101908,Q41)</f>
        <v/>
      </c>
      <c r="M41" s="47">
        <f>SUMIFS(DuLieu!$O$3:$O$101908,DuLieu!$T$3:$T$101908,A41,DuLieu!$U$3:$U$101908,Q41)</f>
        <v/>
      </c>
      <c r="N41" s="47">
        <f>SUMIFS(DuLieu!$P$3:$P$101908,DuLieu!$T$3:$T$101908,A41,DuLieu!$U$3:$U$101908,Q41)</f>
        <v/>
      </c>
      <c r="O41" s="47">
        <f>SUMIFS(DuLieu!$Q$3:$Q$101908,DuLieu!$T$3:$T$101908,A41,DuLieu!$U$3:$U$101908,Q41)</f>
        <v/>
      </c>
      <c r="P41" s="47">
        <f>SUMIFS(DuLieu!$R$3:$R$101908,DuLieu!$T$3:$T$101908,A41,DuLieu!$U$3:$U$101908,Q41)</f>
        <v/>
      </c>
      <c r="Q41" s="49" t="n">
        <v>12</v>
      </c>
      <c r="R41" s="26" t="n">
        <v>2025</v>
      </c>
    </row>
    <row r="42">
      <c r="A42" s="46" t="n">
        <v>9</v>
      </c>
      <c r="B42" s="47">
        <f>SUMIFS(DuLieu!$D$3:$D$101908,DuLieu!$T$3:$T$101928,A42,DuLieu!$U$3:$U$101928,Q42)</f>
        <v/>
      </c>
      <c r="C42" s="47">
        <f>SUMIFS(DuLieu!$E$3:$E$101908,DuLieu!$T$3:$T$101908,A42,DuLieu!$U$3:$U$101908,Q42)</f>
        <v/>
      </c>
      <c r="D42" s="47">
        <f>SUMIFS(DuLieu!$F$3:$F$101908,DuLieu!$T$3:$T$1001908,A42,DuLieu!$U$3:$U$101908,Q42)</f>
        <v/>
      </c>
      <c r="E42" s="47">
        <f>SUMIFS(DuLieu!$G$3:$G$101908,DuLieu!$T$3:$T$101908,A42,DuLieu!$U$3:$U$101908,Q42)</f>
        <v/>
      </c>
      <c r="F42" s="47">
        <f>SUMIFS(DuLieu!$H$3:$H$101908,DuLieu!$T$3:$T$101908,A42,DuLieu!$U$3:$U$101908,Q42)</f>
        <v/>
      </c>
      <c r="G42" s="47">
        <f>SUMIFS(DuLieu!$I$3:$I$11908,DuLieu!$T$3:$T$101908,A42,DuLieu!$U$3:$U$101908,Q42)</f>
        <v/>
      </c>
      <c r="H42" s="47">
        <f>SUMIFS(DuLieu!$J$3:$J$101908,DuLieu!$T$3:$T$101908,A42,DuLieu!$U$3:$U$101908,Q42)</f>
        <v/>
      </c>
      <c r="I42" s="47">
        <f>SUMIFS(DuLieu!$K$3:$K$101908,DuLieu!$T$3:$T$101908,A42,DuLieu!$U$3:$U$101908,Q42)</f>
        <v/>
      </c>
      <c r="J42" s="47">
        <f>SUMIFS(DuLieu!$L$3:$L$101908,DuLieu!$T$3:$T$101908,A42,DuLieu!$U$3:$U$101908,Q42)</f>
        <v/>
      </c>
      <c r="K42" s="47">
        <f>SUMIFS(DuLieu!$M$3:$M$101908,DuLieu!$T$3:$T$101908,A42,DuLieu!$U$3:$U$101908,Q42)</f>
        <v/>
      </c>
      <c r="L42" s="47">
        <f>SUMIFS(DuLieu!$N$3:$N$101908,DuLieu!$T$3:$T$101908,A42,DuLieu!$U$3:$U$101908,Q42)</f>
        <v/>
      </c>
      <c r="M42" s="47">
        <f>SUMIFS(DuLieu!$O$3:$O$101908,DuLieu!$T$3:$T$101908,A42,DuLieu!$U$3:$U$101908,Q42)</f>
        <v/>
      </c>
      <c r="N42" s="47">
        <f>SUMIFS(DuLieu!$P$3:$P$101908,DuLieu!$T$3:$T$101908,A42,DuLieu!$U$3:$U$101908,Q42)</f>
        <v/>
      </c>
      <c r="O42" s="47">
        <f>SUMIFS(DuLieu!$Q$3:$Q$101908,DuLieu!$T$3:$T$101908,A42,DuLieu!$U$3:$U$101908,Q42)</f>
        <v/>
      </c>
      <c r="P42" s="47">
        <f>SUMIFS(DuLieu!$R$3:$R$101908,DuLieu!$T$3:$T$101908,A42,DuLieu!$U$3:$U$101908,Q42)</f>
        <v/>
      </c>
      <c r="Q42" s="49" t="n">
        <v>12</v>
      </c>
      <c r="R42" s="26" t="n">
        <v>2025</v>
      </c>
    </row>
    <row r="43">
      <c r="A43" s="48" t="n">
        <v>10</v>
      </c>
      <c r="B43" s="47">
        <f>SUMIFS(DuLieu!$D$3:$D$101908,DuLieu!$T$3:$T$101928,A43,DuLieu!$U$3:$U$101928,Q43)</f>
        <v/>
      </c>
      <c r="C43" s="47">
        <f>SUMIFS(DuLieu!$E$3:$E$101908,DuLieu!$T$3:$T$101908,A43,DuLieu!$U$3:$U$101908,Q43)</f>
        <v/>
      </c>
      <c r="D43" s="47">
        <f>SUMIFS(DuLieu!$F$3:$F$101908,DuLieu!$T$3:$T$1001908,A43,DuLieu!$U$3:$U$101908,Q43)</f>
        <v/>
      </c>
      <c r="E43" s="47">
        <f>SUMIFS(DuLieu!$G$3:$G$101908,DuLieu!$T$3:$T$101908,A43,DuLieu!$U$3:$U$101908,Q43)</f>
        <v/>
      </c>
      <c r="F43" s="47">
        <f>SUMIFS(DuLieu!$H$3:$H$101908,DuLieu!$T$3:$T$101908,A43,DuLieu!$U$3:$U$101908,Q43)</f>
        <v/>
      </c>
      <c r="G43" s="47">
        <f>SUMIFS(DuLieu!$I$3:$I$11908,DuLieu!$T$3:$T$101908,A43,DuLieu!$U$3:$U$101908,Q43)</f>
        <v/>
      </c>
      <c r="H43" s="47">
        <f>SUMIFS(DuLieu!$J$3:$J$101908,DuLieu!$T$3:$T$101908,A43,DuLieu!$U$3:$U$101908,Q43)</f>
        <v/>
      </c>
      <c r="I43" s="47">
        <f>SUMIFS(DuLieu!$K$3:$K$101908,DuLieu!$T$3:$T$101908,A43,DuLieu!$U$3:$U$101908,Q43)</f>
        <v/>
      </c>
      <c r="J43" s="47">
        <f>SUMIFS(DuLieu!$L$3:$L$101908,DuLieu!$T$3:$T$101908,A43,DuLieu!$U$3:$U$101908,Q43)</f>
        <v/>
      </c>
      <c r="K43" s="47">
        <f>SUMIFS(DuLieu!$M$3:$M$101908,DuLieu!$T$3:$T$101908,A43,DuLieu!$U$3:$U$101908,Q43)</f>
        <v/>
      </c>
      <c r="L43" s="47">
        <f>SUMIFS(DuLieu!$N$3:$N$101908,DuLieu!$T$3:$T$101908,A43,DuLieu!$U$3:$U$101908,Q43)</f>
        <v/>
      </c>
      <c r="M43" s="47">
        <f>SUMIFS(DuLieu!$O$3:$O$101908,DuLieu!$T$3:$T$101908,A43,DuLieu!$U$3:$U$101908,Q43)</f>
        <v/>
      </c>
      <c r="N43" s="47">
        <f>SUMIFS(DuLieu!$P$3:$P$101908,DuLieu!$T$3:$T$101908,A43,DuLieu!$U$3:$U$101908,Q43)</f>
        <v/>
      </c>
      <c r="O43" s="47">
        <f>SUMIFS(DuLieu!$Q$3:$Q$101908,DuLieu!$T$3:$T$101908,A43,DuLieu!$U$3:$U$101908,Q43)</f>
        <v/>
      </c>
      <c r="P43" s="47">
        <f>SUMIFS(DuLieu!$R$3:$R$101908,DuLieu!$T$3:$T$101908,A43,DuLieu!$U$3:$U$101908,Q43)</f>
        <v/>
      </c>
      <c r="Q43" s="49" t="n">
        <v>12</v>
      </c>
      <c r="R43" s="26" t="n">
        <v>2025</v>
      </c>
    </row>
    <row r="44">
      <c r="A44" s="46" t="n">
        <v>11</v>
      </c>
      <c r="B44" s="47">
        <f>SUMIFS(DuLieu!$D$3:$D$101908,DuLieu!$T$3:$T$101928,A44,DuLieu!$U$3:$U$101928,Q44)</f>
        <v/>
      </c>
      <c r="C44" s="47">
        <f>SUMIFS(DuLieu!$E$3:$E$101908,DuLieu!$T$3:$T$101908,A44,DuLieu!$U$3:$U$101908,Q44)</f>
        <v/>
      </c>
      <c r="D44" s="47">
        <f>SUMIFS(DuLieu!$F$3:$F$101908,DuLieu!$T$3:$T$1001908,A44,DuLieu!$U$3:$U$101908,Q44)</f>
        <v/>
      </c>
      <c r="E44" s="47">
        <f>SUMIFS(DuLieu!$G$3:$G$101908,DuLieu!$T$3:$T$101908,A44,DuLieu!$U$3:$U$101908,Q44)</f>
        <v/>
      </c>
      <c r="F44" s="47">
        <f>SUMIFS(DuLieu!$H$3:$H$101908,DuLieu!$T$3:$T$101908,A44,DuLieu!$U$3:$U$101908,Q44)</f>
        <v/>
      </c>
      <c r="G44" s="47">
        <f>SUMIFS(DuLieu!$I$3:$I$11908,DuLieu!$T$3:$T$101908,A44,DuLieu!$U$3:$U$101908,Q44)</f>
        <v/>
      </c>
      <c r="H44" s="47">
        <f>SUMIFS(DuLieu!$J$3:$J$101908,DuLieu!$T$3:$T$101908,A44,DuLieu!$U$3:$U$101908,Q44)</f>
        <v/>
      </c>
      <c r="I44" s="47">
        <f>SUMIFS(DuLieu!$K$3:$K$101908,DuLieu!$T$3:$T$101908,A44,DuLieu!$U$3:$U$101908,Q44)</f>
        <v/>
      </c>
      <c r="J44" s="47">
        <f>SUMIFS(DuLieu!$L$3:$L$101908,DuLieu!$T$3:$T$101908,A44,DuLieu!$U$3:$U$101908,Q44)</f>
        <v/>
      </c>
      <c r="K44" s="47">
        <f>SUMIFS(DuLieu!$M$3:$M$101908,DuLieu!$T$3:$T$101908,A44,DuLieu!$U$3:$U$101908,Q44)</f>
        <v/>
      </c>
      <c r="L44" s="47">
        <f>SUMIFS(DuLieu!$N$3:$N$101908,DuLieu!$T$3:$T$101908,A44,DuLieu!$U$3:$U$101908,Q44)</f>
        <v/>
      </c>
      <c r="M44" s="47">
        <f>SUMIFS(DuLieu!$O$3:$O$101908,DuLieu!$T$3:$T$101908,A44,DuLieu!$U$3:$U$101908,Q44)</f>
        <v/>
      </c>
      <c r="N44" s="47">
        <f>SUMIFS(DuLieu!$P$3:$P$101908,DuLieu!$T$3:$T$101908,A44,DuLieu!$U$3:$U$101908,Q44)</f>
        <v/>
      </c>
      <c r="O44" s="47">
        <f>SUMIFS(DuLieu!$Q$3:$Q$101908,DuLieu!$T$3:$T$101908,A44,DuLieu!$U$3:$U$101908,Q44)</f>
        <v/>
      </c>
      <c r="P44" s="47">
        <f>SUMIFS(DuLieu!$R$3:$R$101908,DuLieu!$T$3:$T$101908,A44,DuLieu!$U$3:$U$101908,Q44)</f>
        <v/>
      </c>
      <c r="Q44" s="49" t="n">
        <v>12</v>
      </c>
      <c r="R44" s="26" t="n">
        <v>2025</v>
      </c>
    </row>
    <row r="45">
      <c r="A45" s="48" t="n">
        <v>12</v>
      </c>
      <c r="B45" s="47">
        <f>SUMIFS(DuLieu!$D$3:$D$101908,DuLieu!$T$3:$T$101928,A45,DuLieu!$U$3:$U$101928,Q45)</f>
        <v/>
      </c>
      <c r="C45" s="47">
        <f>SUMIFS(DuLieu!$E$3:$E$101908,DuLieu!$T$3:$T$101908,A45,DuLieu!$U$3:$U$101908,Q45)</f>
        <v/>
      </c>
      <c r="D45" s="47">
        <f>SUMIFS(DuLieu!$F$3:$F$101908,DuLieu!$T$3:$T$1001908,A45,DuLieu!$U$3:$U$101908,Q45)</f>
        <v/>
      </c>
      <c r="E45" s="47">
        <f>SUMIFS(DuLieu!$G$3:$G$101908,DuLieu!$T$3:$T$101908,A45,DuLieu!$U$3:$U$101908,Q45)</f>
        <v/>
      </c>
      <c r="F45" s="47">
        <f>SUMIFS(DuLieu!$H$3:$H$101908,DuLieu!$T$3:$T$101908,A45,DuLieu!$U$3:$U$101908,Q45)</f>
        <v/>
      </c>
      <c r="G45" s="47">
        <f>SUMIFS(DuLieu!$I$3:$I$11908,DuLieu!$T$3:$T$101908,A45,DuLieu!$U$3:$U$101908,Q45)</f>
        <v/>
      </c>
      <c r="H45" s="47">
        <f>SUMIFS(DuLieu!$J$3:$J$101908,DuLieu!$T$3:$T$101908,A45,DuLieu!$U$3:$U$101908,Q45)</f>
        <v/>
      </c>
      <c r="I45" s="47">
        <f>SUMIFS(DuLieu!$K$3:$K$101908,DuLieu!$T$3:$T$101908,A45,DuLieu!$U$3:$U$101908,Q45)</f>
        <v/>
      </c>
      <c r="J45" s="47">
        <f>SUMIFS(DuLieu!$L$3:$L$101908,DuLieu!$T$3:$T$101908,A45,DuLieu!$U$3:$U$101908,Q45)</f>
        <v/>
      </c>
      <c r="K45" s="47">
        <f>SUMIFS(DuLieu!$M$3:$M$101908,DuLieu!$T$3:$T$101908,A45,DuLieu!$U$3:$U$101908,Q45)</f>
        <v/>
      </c>
      <c r="L45" s="47">
        <f>SUMIFS(DuLieu!$N$3:$N$101908,DuLieu!$T$3:$T$101908,A45,DuLieu!$U$3:$U$101908,Q45)</f>
        <v/>
      </c>
      <c r="M45" s="47">
        <f>SUMIFS(DuLieu!$O$3:$O$101908,DuLieu!$T$3:$T$101908,A45,DuLieu!$U$3:$U$101908,Q45)</f>
        <v/>
      </c>
      <c r="N45" s="47">
        <f>SUMIFS(DuLieu!$P$3:$P$101908,DuLieu!$T$3:$T$101908,A45,DuLieu!$U$3:$U$101908,Q45)</f>
        <v/>
      </c>
      <c r="O45" s="47">
        <f>SUMIFS(DuLieu!$Q$3:$Q$101908,DuLieu!$T$3:$T$101908,A45,DuLieu!$U$3:$U$101908,Q45)</f>
        <v/>
      </c>
      <c r="P45" s="47">
        <f>SUMIFS(DuLieu!$R$3:$R$101908,DuLieu!$T$3:$T$101908,A45,DuLieu!$U$3:$U$101908,Q45)</f>
        <v/>
      </c>
      <c r="Q45" s="49" t="n">
        <v>12</v>
      </c>
      <c r="R45" s="26" t="n">
        <v>2025</v>
      </c>
    </row>
    <row r="46">
      <c r="A46" s="46" t="n">
        <v>13</v>
      </c>
      <c r="B46" s="47">
        <f>SUMIFS(DuLieu!$D$3:$D$101908,DuLieu!$T$3:$T$101928,A46,DuLieu!$U$3:$U$101928,Q46)</f>
        <v/>
      </c>
      <c r="C46" s="47">
        <f>SUMIFS(DuLieu!$E$3:$E$101908,DuLieu!$T$3:$T$101908,A46,DuLieu!$U$3:$U$101908,Q46)</f>
        <v/>
      </c>
      <c r="D46" s="47">
        <f>SUMIFS(DuLieu!$F$3:$F$101908,DuLieu!$T$3:$T$1001908,A46,DuLieu!$U$3:$U$101908,Q46)</f>
        <v/>
      </c>
      <c r="E46" s="47">
        <f>SUMIFS(DuLieu!$G$3:$G$101908,DuLieu!$T$3:$T$101908,A46,DuLieu!$U$3:$U$101908,Q46)</f>
        <v/>
      </c>
      <c r="F46" s="47">
        <f>SUMIFS(DuLieu!$H$3:$H$101908,DuLieu!$T$3:$T$101908,A46,DuLieu!$U$3:$U$101908,Q46)</f>
        <v/>
      </c>
      <c r="G46" s="47">
        <f>SUMIFS(DuLieu!$I$3:$I$11908,DuLieu!$T$3:$T$101908,A46,DuLieu!$U$3:$U$101908,Q46)</f>
        <v/>
      </c>
      <c r="H46" s="47">
        <f>SUMIFS(DuLieu!$J$3:$J$101908,DuLieu!$T$3:$T$101908,A46,DuLieu!$U$3:$U$101908,Q46)</f>
        <v/>
      </c>
      <c r="I46" s="47">
        <f>SUMIFS(DuLieu!$K$3:$K$101908,DuLieu!$T$3:$T$101908,A46,DuLieu!$U$3:$U$101908,Q46)</f>
        <v/>
      </c>
      <c r="J46" s="47">
        <f>SUMIFS(DuLieu!$L$3:$L$101908,DuLieu!$T$3:$T$101908,A46,DuLieu!$U$3:$U$101908,Q46)</f>
        <v/>
      </c>
      <c r="K46" s="47">
        <f>SUMIFS(DuLieu!$M$3:$M$101908,DuLieu!$T$3:$T$101908,A46,DuLieu!$U$3:$U$101908,Q46)</f>
        <v/>
      </c>
      <c r="L46" s="47">
        <f>SUMIFS(DuLieu!$N$3:$N$101908,DuLieu!$T$3:$T$101908,A46,DuLieu!$U$3:$U$101908,Q46)</f>
        <v/>
      </c>
      <c r="M46" s="47">
        <f>SUMIFS(DuLieu!$O$3:$O$101908,DuLieu!$T$3:$T$101908,A46,DuLieu!$U$3:$U$101908,Q46)</f>
        <v/>
      </c>
      <c r="N46" s="47">
        <f>SUMIFS(DuLieu!$P$3:$P$101908,DuLieu!$T$3:$T$101908,A46,DuLieu!$U$3:$U$101908,Q46)</f>
        <v/>
      </c>
      <c r="O46" s="47">
        <f>SUMIFS(DuLieu!$Q$3:$Q$101908,DuLieu!$T$3:$T$101908,A46,DuLieu!$U$3:$U$101908,Q46)</f>
        <v/>
      </c>
      <c r="P46" s="47">
        <f>SUMIFS(DuLieu!$R$3:$R$101908,DuLieu!$T$3:$T$101908,A46,DuLieu!$U$3:$U$101908,Q46)</f>
        <v/>
      </c>
      <c r="Q46" s="49" t="n">
        <v>12</v>
      </c>
      <c r="R46" s="26" t="n">
        <v>2025</v>
      </c>
    </row>
    <row r="47">
      <c r="A47" s="48" t="n">
        <v>14</v>
      </c>
      <c r="B47" s="47">
        <f>SUMIFS(DuLieu!$D$3:$D$101908,DuLieu!$T$3:$T$101928,A47,DuLieu!$U$3:$U$101928,Q47)</f>
        <v/>
      </c>
      <c r="C47" s="47">
        <f>SUMIFS(DuLieu!$E$3:$E$101908,DuLieu!$T$3:$T$101908,A47,DuLieu!$U$3:$U$101908,Q47)</f>
        <v/>
      </c>
      <c r="D47" s="47">
        <f>SUMIFS(DuLieu!$F$3:$F$101908,DuLieu!$T$3:$T$1001908,A47,DuLieu!$U$3:$U$101908,Q47)</f>
        <v/>
      </c>
      <c r="E47" s="47">
        <f>SUMIFS(DuLieu!$G$3:$G$101908,DuLieu!$T$3:$T$101908,A47,DuLieu!$U$3:$U$101908,Q47)</f>
        <v/>
      </c>
      <c r="F47" s="47">
        <f>SUMIFS(DuLieu!$H$3:$H$101908,DuLieu!$T$3:$T$101908,A47,DuLieu!$U$3:$U$101908,Q47)</f>
        <v/>
      </c>
      <c r="G47" s="47">
        <f>SUMIFS(DuLieu!$I$3:$I$11908,DuLieu!$T$3:$T$101908,A47,DuLieu!$U$3:$U$101908,Q47)</f>
        <v/>
      </c>
      <c r="H47" s="47">
        <f>SUMIFS(DuLieu!$J$3:$J$101908,DuLieu!$T$3:$T$101908,A47,DuLieu!$U$3:$U$101908,Q47)</f>
        <v/>
      </c>
      <c r="I47" s="47">
        <f>SUMIFS(DuLieu!$K$3:$K$101908,DuLieu!$T$3:$T$101908,A47,DuLieu!$U$3:$U$101908,Q47)</f>
        <v/>
      </c>
      <c r="J47" s="47">
        <f>SUMIFS(DuLieu!$L$3:$L$101908,DuLieu!$T$3:$T$101908,A47,DuLieu!$U$3:$U$101908,Q47)</f>
        <v/>
      </c>
      <c r="K47" s="47">
        <f>SUMIFS(DuLieu!$M$3:$M$101908,DuLieu!$T$3:$T$101908,A47,DuLieu!$U$3:$U$101908,Q47)</f>
        <v/>
      </c>
      <c r="L47" s="47">
        <f>SUMIFS(DuLieu!$N$3:$N$101908,DuLieu!$T$3:$T$101908,A47,DuLieu!$U$3:$U$101908,Q47)</f>
        <v/>
      </c>
      <c r="M47" s="47">
        <f>SUMIFS(DuLieu!$O$3:$O$101908,DuLieu!$T$3:$T$101908,A47,DuLieu!$U$3:$U$101908,Q47)</f>
        <v/>
      </c>
      <c r="N47" s="47">
        <f>SUMIFS(DuLieu!$P$3:$P$101908,DuLieu!$T$3:$T$101908,A47,DuLieu!$U$3:$U$101908,Q47)</f>
        <v/>
      </c>
      <c r="O47" s="47">
        <f>SUMIFS(DuLieu!$Q$3:$Q$101908,DuLieu!$T$3:$T$101908,A47,DuLieu!$U$3:$U$101908,Q47)</f>
        <v/>
      </c>
      <c r="P47" s="47">
        <f>SUMIFS(DuLieu!$R$3:$R$101908,DuLieu!$T$3:$T$101908,A47,DuLieu!$U$3:$U$101908,Q47)</f>
        <v/>
      </c>
      <c r="Q47" s="49" t="n">
        <v>12</v>
      </c>
      <c r="R47" s="26" t="n">
        <v>2025</v>
      </c>
    </row>
    <row r="48">
      <c r="A48" s="46" t="n">
        <v>15</v>
      </c>
      <c r="B48" s="47">
        <f>SUMIFS(DuLieu!$D$3:$D$101908,DuLieu!$T$3:$T$101928,A48,DuLieu!$U$3:$U$101928,Q48)</f>
        <v/>
      </c>
      <c r="C48" s="47">
        <f>SUMIFS(DuLieu!$E$3:$E$101908,DuLieu!$T$3:$T$101908,A48,DuLieu!$U$3:$U$101908,Q48)</f>
        <v/>
      </c>
      <c r="D48" s="47">
        <f>SUMIFS(DuLieu!$F$3:$F$101908,DuLieu!$T$3:$T$1001908,A48,DuLieu!$U$3:$U$101908,Q48)</f>
        <v/>
      </c>
      <c r="E48" s="47">
        <f>SUMIFS(DuLieu!$G$3:$G$101908,DuLieu!$T$3:$T$101908,A48,DuLieu!$U$3:$U$101908,Q48)</f>
        <v/>
      </c>
      <c r="F48" s="47">
        <f>SUMIFS(DuLieu!$H$3:$H$101908,DuLieu!$T$3:$T$101908,A48,DuLieu!$U$3:$U$101908,Q48)</f>
        <v/>
      </c>
      <c r="G48" s="47">
        <f>SUMIFS(DuLieu!$I$3:$I$11908,DuLieu!$T$3:$T$101908,A48,DuLieu!$U$3:$U$101908,Q48)</f>
        <v/>
      </c>
      <c r="H48" s="47">
        <f>SUMIFS(DuLieu!$J$3:$J$101908,DuLieu!$T$3:$T$101908,A48,DuLieu!$U$3:$U$101908,Q48)</f>
        <v/>
      </c>
      <c r="I48" s="47">
        <f>SUMIFS(DuLieu!$K$3:$K$101908,DuLieu!$T$3:$T$101908,A48,DuLieu!$U$3:$U$101908,Q48)</f>
        <v/>
      </c>
      <c r="J48" s="47">
        <f>SUMIFS(DuLieu!$L$3:$L$101908,DuLieu!$T$3:$T$101908,A48,DuLieu!$U$3:$U$101908,Q48)</f>
        <v/>
      </c>
      <c r="K48" s="47">
        <f>SUMIFS(DuLieu!$M$3:$M$101908,DuLieu!$T$3:$T$101908,A48,DuLieu!$U$3:$U$101908,Q48)</f>
        <v/>
      </c>
      <c r="L48" s="47">
        <f>SUMIFS(DuLieu!$N$3:$N$101908,DuLieu!$T$3:$T$101908,A48,DuLieu!$U$3:$U$101908,Q48)</f>
        <v/>
      </c>
      <c r="M48" s="47">
        <f>SUMIFS(DuLieu!$O$3:$O$101908,DuLieu!$T$3:$T$101908,A48,DuLieu!$U$3:$U$101908,Q48)</f>
        <v/>
      </c>
      <c r="N48" s="47">
        <f>SUMIFS(DuLieu!$P$3:$P$101908,DuLieu!$T$3:$T$101908,A48,DuLieu!$U$3:$U$101908,Q48)</f>
        <v/>
      </c>
      <c r="O48" s="47">
        <f>SUMIFS(DuLieu!$Q$3:$Q$101908,DuLieu!$T$3:$T$101908,A48,DuLieu!$U$3:$U$101908,Q48)</f>
        <v/>
      </c>
      <c r="P48" s="47">
        <f>SUMIFS(DuLieu!$R$3:$R$101908,DuLieu!$T$3:$T$101908,A48,DuLieu!$U$3:$U$101908,Q48)</f>
        <v/>
      </c>
      <c r="Q48" s="49" t="n">
        <v>12</v>
      </c>
      <c r="R48" s="26" t="n">
        <v>2025</v>
      </c>
    </row>
    <row r="49">
      <c r="A49" s="48" t="n">
        <v>16</v>
      </c>
      <c r="B49" s="47">
        <f>SUMIFS(DuLieu!$D$3:$D$101908,DuLieu!$T$3:$T$101928,A49,DuLieu!$U$3:$U$101928,Q49)</f>
        <v/>
      </c>
      <c r="C49" s="47">
        <f>SUMIFS(DuLieu!$E$3:$E$101908,DuLieu!$T$3:$T$101908,A49,DuLieu!$U$3:$U$101908,Q49)</f>
        <v/>
      </c>
      <c r="D49" s="47">
        <f>SUMIFS(DuLieu!$F$3:$F$101908,DuLieu!$T$3:$T$1001908,A49,DuLieu!$U$3:$U$101908,Q49)</f>
        <v/>
      </c>
      <c r="E49" s="47">
        <f>SUMIFS(DuLieu!$G$3:$G$101908,DuLieu!$T$3:$T$101908,A49,DuLieu!$U$3:$U$101908,Q49)</f>
        <v/>
      </c>
      <c r="F49" s="47">
        <f>SUMIFS(DuLieu!$H$3:$H$101908,DuLieu!$T$3:$T$101908,A49,DuLieu!$U$3:$U$101908,Q49)</f>
        <v/>
      </c>
      <c r="G49" s="47">
        <f>SUMIFS(DuLieu!$I$3:$I$11908,DuLieu!$T$3:$T$101908,A49,DuLieu!$U$3:$U$101908,Q49)</f>
        <v/>
      </c>
      <c r="H49" s="47">
        <f>SUMIFS(DuLieu!$J$3:$J$101908,DuLieu!$T$3:$T$101908,A49,DuLieu!$U$3:$U$101908,Q49)</f>
        <v/>
      </c>
      <c r="I49" s="47">
        <f>SUMIFS(DuLieu!$K$3:$K$101908,DuLieu!$T$3:$T$101908,A49,DuLieu!$U$3:$U$101908,Q49)</f>
        <v/>
      </c>
      <c r="J49" s="47">
        <f>SUMIFS(DuLieu!$L$3:$L$101908,DuLieu!$T$3:$T$101908,A49,DuLieu!$U$3:$U$101908,Q49)</f>
        <v/>
      </c>
      <c r="K49" s="47">
        <f>SUMIFS(DuLieu!$M$3:$M$101908,DuLieu!$T$3:$T$101908,A49,DuLieu!$U$3:$U$101908,Q49)</f>
        <v/>
      </c>
      <c r="L49" s="47">
        <f>SUMIFS(DuLieu!$N$3:$N$101908,DuLieu!$T$3:$T$101908,A49,DuLieu!$U$3:$U$101908,Q49)</f>
        <v/>
      </c>
      <c r="M49" s="47">
        <f>SUMIFS(DuLieu!$O$3:$O$101908,DuLieu!$T$3:$T$101908,A49,DuLieu!$U$3:$U$101908,Q49)</f>
        <v/>
      </c>
      <c r="N49" s="47">
        <f>SUMIFS(DuLieu!$P$3:$P$101908,DuLieu!$T$3:$T$101908,A49,DuLieu!$U$3:$U$101908,Q49)</f>
        <v/>
      </c>
      <c r="O49" s="47">
        <f>SUMIFS(DuLieu!$Q$3:$Q$101908,DuLieu!$T$3:$T$101908,A49,DuLieu!$U$3:$U$101908,Q49)</f>
        <v/>
      </c>
      <c r="P49" s="47">
        <f>SUMIFS(DuLieu!$R$3:$R$101908,DuLieu!$T$3:$T$101908,A49,DuLieu!$U$3:$U$101908,Q49)</f>
        <v/>
      </c>
      <c r="Q49" s="49" t="n">
        <v>12</v>
      </c>
      <c r="R49" s="26" t="n">
        <v>2025</v>
      </c>
    </row>
    <row r="50">
      <c r="A50" s="46" t="n">
        <v>17</v>
      </c>
      <c r="B50" s="47">
        <f>SUMIFS(DuLieu!$D$3:$D$101908,DuLieu!$T$3:$T$101928,A50,DuLieu!$U$3:$U$101928,Q50)</f>
        <v/>
      </c>
      <c r="C50" s="47">
        <f>SUMIFS(DuLieu!$E$3:$E$101908,DuLieu!$T$3:$T$101908,A50,DuLieu!$U$3:$U$101908,Q50)</f>
        <v/>
      </c>
      <c r="D50" s="47">
        <f>SUMIFS(DuLieu!$F$3:$F$101908,DuLieu!$T$3:$T$1001908,A50,DuLieu!$U$3:$U$101908,Q50)</f>
        <v/>
      </c>
      <c r="E50" s="47">
        <f>SUMIFS(DuLieu!$G$3:$G$101908,DuLieu!$T$3:$T$101908,A50,DuLieu!$U$3:$U$101908,Q50)</f>
        <v/>
      </c>
      <c r="F50" s="47">
        <f>SUMIFS(DuLieu!$H$3:$H$101908,DuLieu!$T$3:$T$101908,A50,DuLieu!$U$3:$U$101908,Q50)</f>
        <v/>
      </c>
      <c r="G50" s="47">
        <f>SUMIFS(DuLieu!$I$3:$I$11908,DuLieu!$T$3:$T$101908,A50,DuLieu!$U$3:$U$101908,Q50)</f>
        <v/>
      </c>
      <c r="H50" s="47">
        <f>SUMIFS(DuLieu!$J$3:$J$101908,DuLieu!$T$3:$T$101908,A50,DuLieu!$U$3:$U$101908,Q50)</f>
        <v/>
      </c>
      <c r="I50" s="47">
        <f>SUMIFS(DuLieu!$K$3:$K$101908,DuLieu!$T$3:$T$101908,A50,DuLieu!$U$3:$U$101908,Q50)</f>
        <v/>
      </c>
      <c r="J50" s="47">
        <f>SUMIFS(DuLieu!$L$3:$L$101908,DuLieu!$T$3:$T$101908,A50,DuLieu!$U$3:$U$101908,Q50)</f>
        <v/>
      </c>
      <c r="K50" s="47">
        <f>SUMIFS(DuLieu!$M$3:$M$101908,DuLieu!$T$3:$T$101908,A50,DuLieu!$U$3:$U$101908,Q50)</f>
        <v/>
      </c>
      <c r="L50" s="47">
        <f>SUMIFS(DuLieu!$N$3:$N$101908,DuLieu!$T$3:$T$101908,A50,DuLieu!$U$3:$U$101908,Q50)</f>
        <v/>
      </c>
      <c r="M50" s="47">
        <f>SUMIFS(DuLieu!$O$3:$O$101908,DuLieu!$T$3:$T$101908,A50,DuLieu!$U$3:$U$101908,Q50)</f>
        <v/>
      </c>
      <c r="N50" s="47">
        <f>SUMIFS(DuLieu!$P$3:$P$101908,DuLieu!$T$3:$T$101908,A50,DuLieu!$U$3:$U$101908,Q50)</f>
        <v/>
      </c>
      <c r="O50" s="47">
        <f>SUMIFS(DuLieu!$Q$3:$Q$101908,DuLieu!$T$3:$T$101908,A50,DuLieu!$U$3:$U$101908,Q50)</f>
        <v/>
      </c>
      <c r="P50" s="47">
        <f>SUMIFS(DuLieu!$R$3:$R$101908,DuLieu!$T$3:$T$101908,A50,DuLieu!$U$3:$U$101908,Q50)</f>
        <v/>
      </c>
      <c r="Q50" s="49" t="n">
        <v>12</v>
      </c>
      <c r="R50" s="26" t="n">
        <v>2025</v>
      </c>
    </row>
    <row r="51">
      <c r="A51" s="48" t="n">
        <v>18</v>
      </c>
      <c r="B51" s="47">
        <f>SUMIFS(DuLieu!$D$3:$D$101908,DuLieu!$T$3:$T$101928,A51,DuLieu!$U$3:$U$101928,Q51)</f>
        <v/>
      </c>
      <c r="C51" s="47">
        <f>SUMIFS(DuLieu!$E$3:$E$101908,DuLieu!$T$3:$T$101908,A51,DuLieu!$U$3:$U$101908,Q51)</f>
        <v/>
      </c>
      <c r="D51" s="47">
        <f>SUMIFS(DuLieu!$F$3:$F$101908,DuLieu!$T$3:$T$1001908,A51,DuLieu!$U$3:$U$101908,Q51)</f>
        <v/>
      </c>
      <c r="E51" s="47">
        <f>SUMIFS(DuLieu!$G$3:$G$101908,DuLieu!$T$3:$T$101908,A51,DuLieu!$U$3:$U$101908,Q51)</f>
        <v/>
      </c>
      <c r="F51" s="47">
        <f>SUMIFS(DuLieu!$H$3:$H$101908,DuLieu!$T$3:$T$101908,A51,DuLieu!$U$3:$U$101908,Q51)</f>
        <v/>
      </c>
      <c r="G51" s="47">
        <f>SUMIFS(DuLieu!$I$3:$I$11908,DuLieu!$T$3:$T$101908,A51,DuLieu!$U$3:$U$101908,Q51)</f>
        <v/>
      </c>
      <c r="H51" s="47">
        <f>SUMIFS(DuLieu!$J$3:$J$101908,DuLieu!$T$3:$T$101908,A51,DuLieu!$U$3:$U$101908,Q51)</f>
        <v/>
      </c>
      <c r="I51" s="47">
        <f>SUMIFS(DuLieu!$K$3:$K$101908,DuLieu!$T$3:$T$101908,A51,DuLieu!$U$3:$U$101908,Q51)</f>
        <v/>
      </c>
      <c r="J51" s="47">
        <f>SUMIFS(DuLieu!$L$3:$L$101908,DuLieu!$T$3:$T$101908,A51,DuLieu!$U$3:$U$101908,Q51)</f>
        <v/>
      </c>
      <c r="K51" s="47">
        <f>SUMIFS(DuLieu!$M$3:$M$101908,DuLieu!$T$3:$T$101908,A51,DuLieu!$U$3:$U$101908,Q51)</f>
        <v/>
      </c>
      <c r="L51" s="47">
        <f>SUMIFS(DuLieu!$N$3:$N$101908,DuLieu!$T$3:$T$101908,A51,DuLieu!$U$3:$U$101908,Q51)</f>
        <v/>
      </c>
      <c r="M51" s="47">
        <f>SUMIFS(DuLieu!$O$3:$O$101908,DuLieu!$T$3:$T$101908,A51,DuLieu!$U$3:$U$101908,Q51)</f>
        <v/>
      </c>
      <c r="N51" s="47">
        <f>SUMIFS(DuLieu!$P$3:$P$101908,DuLieu!$T$3:$T$101908,A51,DuLieu!$U$3:$U$101908,Q51)</f>
        <v/>
      </c>
      <c r="O51" s="47">
        <f>SUMIFS(DuLieu!$Q$3:$Q$101908,DuLieu!$T$3:$T$101908,A51,DuLieu!$U$3:$U$101908,Q51)</f>
        <v/>
      </c>
      <c r="P51" s="47">
        <f>SUMIFS(DuLieu!$R$3:$R$101908,DuLieu!$T$3:$T$101908,A51,DuLieu!$U$3:$U$101908,Q51)</f>
        <v/>
      </c>
      <c r="Q51" s="49" t="n">
        <v>12</v>
      </c>
      <c r="R51" s="26" t="n">
        <v>2025</v>
      </c>
    </row>
    <row r="52">
      <c r="A52" s="46" t="n">
        <v>19</v>
      </c>
      <c r="B52" s="47">
        <f>SUMIFS(DuLieu!$D$3:$D$101908,DuLieu!$T$3:$T$101928,A52,DuLieu!$U$3:$U$101928,Q52)</f>
        <v/>
      </c>
      <c r="C52" s="47">
        <f>SUMIFS(DuLieu!$E$3:$E$101908,DuLieu!$T$3:$T$101908,A52,DuLieu!$U$3:$U$101908,Q52)</f>
        <v/>
      </c>
      <c r="D52" s="47">
        <f>SUMIFS(DuLieu!$F$3:$F$101908,DuLieu!$T$3:$T$1001908,A52,DuLieu!$U$3:$U$101908,Q52)</f>
        <v/>
      </c>
      <c r="E52" s="47">
        <f>SUMIFS(DuLieu!$G$3:$G$101908,DuLieu!$T$3:$T$101908,A52,DuLieu!$U$3:$U$101908,Q52)</f>
        <v/>
      </c>
      <c r="F52" s="47">
        <f>SUMIFS(DuLieu!$H$3:$H$101908,DuLieu!$T$3:$T$101908,A52,DuLieu!$U$3:$U$101908,Q52)</f>
        <v/>
      </c>
      <c r="G52" s="47">
        <f>SUMIFS(DuLieu!$I$3:$I$11908,DuLieu!$T$3:$T$101908,A52,DuLieu!$U$3:$U$101908,Q52)</f>
        <v/>
      </c>
      <c r="H52" s="47">
        <f>SUMIFS(DuLieu!$J$3:$J$101908,DuLieu!$T$3:$T$101908,A52,DuLieu!$U$3:$U$101908,Q52)</f>
        <v/>
      </c>
      <c r="I52" s="47">
        <f>SUMIFS(DuLieu!$K$3:$K$101908,DuLieu!$T$3:$T$101908,A52,DuLieu!$U$3:$U$101908,Q52)</f>
        <v/>
      </c>
      <c r="J52" s="47">
        <f>SUMIFS(DuLieu!$L$3:$L$101908,DuLieu!$T$3:$T$101908,A52,DuLieu!$U$3:$U$101908,Q52)</f>
        <v/>
      </c>
      <c r="K52" s="47">
        <f>SUMIFS(DuLieu!$M$3:$M$101908,DuLieu!$T$3:$T$101908,A52,DuLieu!$U$3:$U$101908,Q52)</f>
        <v/>
      </c>
      <c r="L52" s="47">
        <f>SUMIFS(DuLieu!$N$3:$N$101908,DuLieu!$T$3:$T$101908,A52,DuLieu!$U$3:$U$101908,Q52)</f>
        <v/>
      </c>
      <c r="M52" s="47">
        <f>SUMIFS(DuLieu!$O$3:$O$101908,DuLieu!$T$3:$T$101908,A52,DuLieu!$U$3:$U$101908,Q52)</f>
        <v/>
      </c>
      <c r="N52" s="47">
        <f>SUMIFS(DuLieu!$P$3:$P$101908,DuLieu!$T$3:$T$101908,A52,DuLieu!$U$3:$U$101908,Q52)</f>
        <v/>
      </c>
      <c r="O52" s="47">
        <f>SUMIFS(DuLieu!$Q$3:$Q$101908,DuLieu!$T$3:$T$101908,A52,DuLieu!$U$3:$U$101908,Q52)</f>
        <v/>
      </c>
      <c r="P52" s="47">
        <f>SUMIFS(DuLieu!$R$3:$R$101908,DuLieu!$T$3:$T$101908,A52,DuLieu!$U$3:$U$101908,Q52)</f>
        <v/>
      </c>
      <c r="Q52" s="49" t="n">
        <v>12</v>
      </c>
      <c r="R52" s="26" t="n">
        <v>2025</v>
      </c>
    </row>
    <row r="53">
      <c r="A53" s="48" t="n">
        <v>20</v>
      </c>
      <c r="B53" s="47">
        <f>SUMIFS(DuLieu!$D$3:$D$101908,DuLieu!$T$3:$T$101928,A53,DuLieu!$U$3:$U$101928,Q53)</f>
        <v/>
      </c>
      <c r="C53" s="47">
        <f>SUMIFS(DuLieu!$E$3:$E$101908,DuLieu!$T$3:$T$101908,A53,DuLieu!$U$3:$U$101908,Q53)</f>
        <v/>
      </c>
      <c r="D53" s="47">
        <f>SUMIFS(DuLieu!$F$3:$F$101908,DuLieu!$T$3:$T$1001908,A53,DuLieu!$U$3:$U$101908,Q53)</f>
        <v/>
      </c>
      <c r="E53" s="47">
        <f>SUMIFS(DuLieu!$G$3:$G$101908,DuLieu!$T$3:$T$101908,A53,DuLieu!$U$3:$U$101908,Q53)</f>
        <v/>
      </c>
      <c r="F53" s="47">
        <f>SUMIFS(DuLieu!$H$3:$H$101908,DuLieu!$T$3:$T$101908,A53,DuLieu!$U$3:$U$101908,Q53)</f>
        <v/>
      </c>
      <c r="G53" s="47">
        <f>SUMIFS(DuLieu!$I$3:$I$11908,DuLieu!$T$3:$T$101908,A53,DuLieu!$U$3:$U$101908,Q53)</f>
        <v/>
      </c>
      <c r="H53" s="47">
        <f>SUMIFS(DuLieu!$J$3:$J$101908,DuLieu!$T$3:$T$101908,A53,DuLieu!$U$3:$U$101908,Q53)</f>
        <v/>
      </c>
      <c r="I53" s="47">
        <f>SUMIFS(DuLieu!$K$3:$K$101908,DuLieu!$T$3:$T$101908,A53,DuLieu!$U$3:$U$101908,Q53)</f>
        <v/>
      </c>
      <c r="J53" s="47">
        <f>SUMIFS(DuLieu!$L$3:$L$101908,DuLieu!$T$3:$T$101908,A53,DuLieu!$U$3:$U$101908,Q53)</f>
        <v/>
      </c>
      <c r="K53" s="47">
        <f>SUMIFS(DuLieu!$M$3:$M$101908,DuLieu!$T$3:$T$101908,A53,DuLieu!$U$3:$U$101908,Q53)</f>
        <v/>
      </c>
      <c r="L53" s="47">
        <f>SUMIFS(DuLieu!$N$3:$N$101908,DuLieu!$T$3:$T$101908,A53,DuLieu!$U$3:$U$101908,Q53)</f>
        <v/>
      </c>
      <c r="M53" s="47">
        <f>SUMIFS(DuLieu!$O$3:$O$101908,DuLieu!$T$3:$T$101908,A53,DuLieu!$U$3:$U$101908,Q53)</f>
        <v/>
      </c>
      <c r="N53" s="47">
        <f>SUMIFS(DuLieu!$P$3:$P$101908,DuLieu!$T$3:$T$101908,A53,DuLieu!$U$3:$U$101908,Q53)</f>
        <v/>
      </c>
      <c r="O53" s="47">
        <f>SUMIFS(DuLieu!$Q$3:$Q$101908,DuLieu!$T$3:$T$101908,A53,DuLieu!$U$3:$U$101908,Q53)</f>
        <v/>
      </c>
      <c r="P53" s="47">
        <f>SUMIFS(DuLieu!$R$3:$R$101908,DuLieu!$T$3:$T$101908,A53,DuLieu!$U$3:$U$101908,Q53)</f>
        <v/>
      </c>
      <c r="Q53" s="49" t="n">
        <v>12</v>
      </c>
      <c r="R53" s="26" t="n">
        <v>2025</v>
      </c>
    </row>
    <row r="54">
      <c r="A54" s="46" t="n">
        <v>21</v>
      </c>
      <c r="B54" s="47">
        <f>SUMIFS(DuLieu!$D$3:$D$101908,DuLieu!$T$3:$T$101928,A54,DuLieu!$U$3:$U$101928,Q54)</f>
        <v/>
      </c>
      <c r="C54" s="47">
        <f>SUMIFS(DuLieu!$E$3:$E$101908,DuLieu!$T$3:$T$101908,A54,DuLieu!$U$3:$U$101908,Q54)</f>
        <v/>
      </c>
      <c r="D54" s="47">
        <f>SUMIFS(DuLieu!$F$3:$F$101908,DuLieu!$T$3:$T$1001908,A54,DuLieu!$U$3:$U$101908,Q54)</f>
        <v/>
      </c>
      <c r="E54" s="47">
        <f>SUMIFS(DuLieu!$G$3:$G$101908,DuLieu!$T$3:$T$101908,A54,DuLieu!$U$3:$U$101908,Q54)</f>
        <v/>
      </c>
      <c r="F54" s="47">
        <f>SUMIFS(DuLieu!$H$3:$H$101908,DuLieu!$T$3:$T$101908,A54,DuLieu!$U$3:$U$101908,Q54)</f>
        <v/>
      </c>
      <c r="G54" s="47">
        <f>SUMIFS(DuLieu!$I$3:$I$11908,DuLieu!$T$3:$T$101908,A54,DuLieu!$U$3:$U$101908,Q54)</f>
        <v/>
      </c>
      <c r="H54" s="47">
        <f>SUMIFS(DuLieu!$J$3:$J$101908,DuLieu!$T$3:$T$101908,A54,DuLieu!$U$3:$U$101908,Q54)</f>
        <v/>
      </c>
      <c r="I54" s="47">
        <f>SUMIFS(DuLieu!$K$3:$K$101908,DuLieu!$T$3:$T$101908,A54,DuLieu!$U$3:$U$101908,Q54)</f>
        <v/>
      </c>
      <c r="J54" s="47">
        <f>SUMIFS(DuLieu!$L$3:$L$101908,DuLieu!$T$3:$T$101908,A54,DuLieu!$U$3:$U$101908,Q54)</f>
        <v/>
      </c>
      <c r="K54" s="47">
        <f>SUMIFS(DuLieu!$M$3:$M$101908,DuLieu!$T$3:$T$101908,A54,DuLieu!$U$3:$U$101908,Q54)</f>
        <v/>
      </c>
      <c r="L54" s="47">
        <f>SUMIFS(DuLieu!$N$3:$N$101908,DuLieu!$T$3:$T$101908,A54,DuLieu!$U$3:$U$101908,Q54)</f>
        <v/>
      </c>
      <c r="M54" s="47">
        <f>SUMIFS(DuLieu!$O$3:$O$101908,DuLieu!$T$3:$T$101908,A54,DuLieu!$U$3:$U$101908,Q54)</f>
        <v/>
      </c>
      <c r="N54" s="47">
        <f>SUMIFS(DuLieu!$P$3:$P$101908,DuLieu!$T$3:$T$101908,A54,DuLieu!$U$3:$U$101908,Q54)</f>
        <v/>
      </c>
      <c r="O54" s="47">
        <f>SUMIFS(DuLieu!$Q$3:$Q$101908,DuLieu!$T$3:$T$101908,A54,DuLieu!$U$3:$U$101908,Q54)</f>
        <v/>
      </c>
      <c r="P54" s="47">
        <f>SUMIFS(DuLieu!$R$3:$R$101908,DuLieu!$T$3:$T$101908,A54,DuLieu!$U$3:$U$101908,Q54)</f>
        <v/>
      </c>
      <c r="Q54" s="49" t="n">
        <v>12</v>
      </c>
      <c r="R54" s="26" t="n">
        <v>2025</v>
      </c>
    </row>
    <row r="55">
      <c r="A55" s="48" t="n">
        <v>22</v>
      </c>
      <c r="B55" s="47">
        <f>SUMIFS(DuLieu!$D$3:$D$101908,DuLieu!$T$3:$T$101928,A55,DuLieu!$U$3:$U$101928,Q55)</f>
        <v/>
      </c>
      <c r="C55" s="47">
        <f>SUMIFS(DuLieu!$E$3:$E$101908,DuLieu!$T$3:$T$101908,A55,DuLieu!$U$3:$U$101908,Q55)</f>
        <v/>
      </c>
      <c r="D55" s="47">
        <f>SUMIFS(DuLieu!$F$3:$F$101908,DuLieu!$T$3:$T$1001908,A55,DuLieu!$U$3:$U$101908,Q55)</f>
        <v/>
      </c>
      <c r="E55" s="47">
        <f>SUMIFS(DuLieu!$G$3:$G$101908,DuLieu!$T$3:$T$101908,A55,DuLieu!$U$3:$U$101908,Q55)</f>
        <v/>
      </c>
      <c r="F55" s="47">
        <f>SUMIFS(DuLieu!$H$3:$H$101908,DuLieu!$T$3:$T$101908,A55,DuLieu!$U$3:$U$101908,Q55)</f>
        <v/>
      </c>
      <c r="G55" s="47">
        <f>SUMIFS(DuLieu!$I$3:$I$11908,DuLieu!$T$3:$T$101908,A55,DuLieu!$U$3:$U$101908,Q55)</f>
        <v/>
      </c>
      <c r="H55" s="47">
        <f>SUMIFS(DuLieu!$J$3:$J$101908,DuLieu!$T$3:$T$101908,A55,DuLieu!$U$3:$U$101908,Q55)</f>
        <v/>
      </c>
      <c r="I55" s="47">
        <f>SUMIFS(DuLieu!$K$3:$K$101908,DuLieu!$T$3:$T$101908,A55,DuLieu!$U$3:$U$101908,Q55)</f>
        <v/>
      </c>
      <c r="J55" s="47">
        <f>SUMIFS(DuLieu!$L$3:$L$101908,DuLieu!$T$3:$T$101908,A55,DuLieu!$U$3:$U$101908,Q55)</f>
        <v/>
      </c>
      <c r="K55" s="47">
        <f>SUMIFS(DuLieu!$M$3:$M$101908,DuLieu!$T$3:$T$101908,A55,DuLieu!$U$3:$U$101908,Q55)</f>
        <v/>
      </c>
      <c r="L55" s="47">
        <f>SUMIFS(DuLieu!$N$3:$N$101908,DuLieu!$T$3:$T$101908,A55,DuLieu!$U$3:$U$101908,Q55)</f>
        <v/>
      </c>
      <c r="M55" s="47">
        <f>SUMIFS(DuLieu!$O$3:$O$101908,DuLieu!$T$3:$T$101908,A55,DuLieu!$U$3:$U$101908,Q55)</f>
        <v/>
      </c>
      <c r="N55" s="47">
        <f>SUMIFS(DuLieu!$P$3:$P$101908,DuLieu!$T$3:$T$101908,A55,DuLieu!$U$3:$U$101908,Q55)</f>
        <v/>
      </c>
      <c r="O55" s="47">
        <f>SUMIFS(DuLieu!$Q$3:$Q$101908,DuLieu!$T$3:$T$101908,A55,DuLieu!$U$3:$U$101908,Q55)</f>
        <v/>
      </c>
      <c r="P55" s="47">
        <f>SUMIFS(DuLieu!$R$3:$R$101908,DuLieu!$T$3:$T$101908,A55,DuLieu!$U$3:$U$101908,Q55)</f>
        <v/>
      </c>
      <c r="Q55" s="49" t="n">
        <v>12</v>
      </c>
      <c r="R55" s="26" t="n">
        <v>2025</v>
      </c>
    </row>
    <row r="56">
      <c r="A56" s="46" t="n">
        <v>23</v>
      </c>
      <c r="B56" s="47">
        <f>SUMIFS(DuLieu!$D$3:$D$101908,DuLieu!$T$3:$T$101928,A56,DuLieu!$U$3:$U$101928,Q56)</f>
        <v/>
      </c>
      <c r="C56" s="47">
        <f>SUMIFS(DuLieu!$E$3:$E$101908,DuLieu!$T$3:$T$101908,A56,DuLieu!$U$3:$U$101908,Q56)</f>
        <v/>
      </c>
      <c r="D56" s="47">
        <f>SUMIFS(DuLieu!$F$3:$F$101908,DuLieu!$T$3:$T$1001908,A56,DuLieu!$U$3:$U$101908,Q56)</f>
        <v/>
      </c>
      <c r="E56" s="47">
        <f>SUMIFS(DuLieu!$G$3:$G$101908,DuLieu!$T$3:$T$101908,A56,DuLieu!$U$3:$U$101908,Q56)</f>
        <v/>
      </c>
      <c r="F56" s="47">
        <f>SUMIFS(DuLieu!$H$3:$H$101908,DuLieu!$T$3:$T$101908,A56,DuLieu!$U$3:$U$101908,Q56)</f>
        <v/>
      </c>
      <c r="G56" s="47">
        <f>SUMIFS(DuLieu!$I$3:$I$11908,DuLieu!$T$3:$T$101908,A56,DuLieu!$U$3:$U$101908,Q56)</f>
        <v/>
      </c>
      <c r="H56" s="47">
        <f>SUMIFS(DuLieu!$J$3:$J$101908,DuLieu!$T$3:$T$101908,A56,DuLieu!$U$3:$U$101908,Q56)</f>
        <v/>
      </c>
      <c r="I56" s="47">
        <f>SUMIFS(DuLieu!$K$3:$K$101908,DuLieu!$T$3:$T$101908,A56,DuLieu!$U$3:$U$101908,Q56)</f>
        <v/>
      </c>
      <c r="J56" s="47">
        <f>SUMIFS(DuLieu!$L$3:$L$101908,DuLieu!$T$3:$T$101908,A56,DuLieu!$U$3:$U$101908,Q56)</f>
        <v/>
      </c>
      <c r="K56" s="47">
        <f>SUMIFS(DuLieu!$M$3:$M$101908,DuLieu!$T$3:$T$101908,A56,DuLieu!$U$3:$U$101908,Q56)</f>
        <v/>
      </c>
      <c r="L56" s="47">
        <f>SUMIFS(DuLieu!$N$3:$N$101908,DuLieu!$T$3:$T$101908,A56,DuLieu!$U$3:$U$101908,Q56)</f>
        <v/>
      </c>
      <c r="M56" s="47">
        <f>SUMIFS(DuLieu!$O$3:$O$101908,DuLieu!$T$3:$T$101908,A56,DuLieu!$U$3:$U$101908,Q56)</f>
        <v/>
      </c>
      <c r="N56" s="47">
        <f>SUMIFS(DuLieu!$P$3:$P$101908,DuLieu!$T$3:$T$101908,A56,DuLieu!$U$3:$U$101908,Q56)</f>
        <v/>
      </c>
      <c r="O56" s="47">
        <f>SUMIFS(DuLieu!$Q$3:$Q$101908,DuLieu!$T$3:$T$101908,A56,DuLieu!$U$3:$U$101908,Q56)</f>
        <v/>
      </c>
      <c r="P56" s="47">
        <f>SUMIFS(DuLieu!$R$3:$R$101908,DuLieu!$T$3:$T$101908,A56,DuLieu!$U$3:$U$101908,Q56)</f>
        <v/>
      </c>
      <c r="Q56" s="49" t="n">
        <v>12</v>
      </c>
      <c r="R56" s="26" t="n">
        <v>2025</v>
      </c>
    </row>
    <row r="57">
      <c r="A57" s="48" t="n">
        <v>24</v>
      </c>
      <c r="B57" s="47">
        <f>SUMIFS(DuLieu!$D$3:$D$101908,DuLieu!$T$3:$T$101928,A57,DuLieu!$U$3:$U$101928,Q57)</f>
        <v/>
      </c>
      <c r="C57" s="47">
        <f>SUMIFS(DuLieu!$E$3:$E$101908,DuLieu!$T$3:$T$101908,A57,DuLieu!$U$3:$U$101908,Q57)</f>
        <v/>
      </c>
      <c r="D57" s="47">
        <f>SUMIFS(DuLieu!$F$3:$F$101908,DuLieu!$T$3:$T$1001908,A57,DuLieu!$U$3:$U$101908,Q57)</f>
        <v/>
      </c>
      <c r="E57" s="47">
        <f>SUMIFS(DuLieu!$G$3:$G$101908,DuLieu!$T$3:$T$101908,A57,DuLieu!$U$3:$U$101908,Q57)</f>
        <v/>
      </c>
      <c r="F57" s="47">
        <f>SUMIFS(DuLieu!$H$3:$H$101908,DuLieu!$T$3:$T$101908,A57,DuLieu!$U$3:$U$101908,Q57)</f>
        <v/>
      </c>
      <c r="G57" s="47">
        <f>SUMIFS(DuLieu!$I$3:$I$11908,DuLieu!$T$3:$T$101908,A57,DuLieu!$U$3:$U$101908,Q57)</f>
        <v/>
      </c>
      <c r="H57" s="47">
        <f>SUMIFS(DuLieu!$J$3:$J$101908,DuLieu!$T$3:$T$101908,A57,DuLieu!$U$3:$U$101908,Q57)</f>
        <v/>
      </c>
      <c r="I57" s="47">
        <f>SUMIFS(DuLieu!$K$3:$K$101908,DuLieu!$T$3:$T$101908,A57,DuLieu!$U$3:$U$101908,Q57)</f>
        <v/>
      </c>
      <c r="J57" s="47">
        <f>SUMIFS(DuLieu!$L$3:$L$101908,DuLieu!$T$3:$T$101908,A57,DuLieu!$U$3:$U$101908,Q57)</f>
        <v/>
      </c>
      <c r="K57" s="47">
        <f>SUMIFS(DuLieu!$M$3:$M$101908,DuLieu!$T$3:$T$101908,A57,DuLieu!$U$3:$U$101908,Q57)</f>
        <v/>
      </c>
      <c r="L57" s="47">
        <f>SUMIFS(DuLieu!$N$3:$N$101908,DuLieu!$T$3:$T$101908,A57,DuLieu!$U$3:$U$101908,Q57)</f>
        <v/>
      </c>
      <c r="M57" s="47">
        <f>SUMIFS(DuLieu!$O$3:$O$101908,DuLieu!$T$3:$T$101908,A57,DuLieu!$U$3:$U$101908,Q57)</f>
        <v/>
      </c>
      <c r="N57" s="47">
        <f>SUMIFS(DuLieu!$P$3:$P$101908,DuLieu!$T$3:$T$101908,A57,DuLieu!$U$3:$U$101908,Q57)</f>
        <v/>
      </c>
      <c r="O57" s="47">
        <f>SUMIFS(DuLieu!$Q$3:$Q$101908,DuLieu!$T$3:$T$101908,A57,DuLieu!$U$3:$U$101908,Q57)</f>
        <v/>
      </c>
      <c r="P57" s="47">
        <f>SUMIFS(DuLieu!$R$3:$R$101908,DuLieu!$T$3:$T$101908,A57,DuLieu!$U$3:$U$101908,Q57)</f>
        <v/>
      </c>
      <c r="Q57" s="49" t="n">
        <v>12</v>
      </c>
      <c r="R57" s="26" t="n">
        <v>2025</v>
      </c>
    </row>
    <row r="58">
      <c r="A58" s="46" t="n">
        <v>25</v>
      </c>
      <c r="B58" s="47">
        <f>SUMIFS(DuLieu!$D$3:$D$101908,DuLieu!$T$3:$T$101928,A58,DuLieu!$U$3:$U$101928,Q58)</f>
        <v/>
      </c>
      <c r="C58" s="47">
        <f>SUMIFS(DuLieu!$E$3:$E$101908,DuLieu!$T$3:$T$101908,A58,DuLieu!$U$3:$U$101908,Q58)</f>
        <v/>
      </c>
      <c r="D58" s="47">
        <f>SUMIFS(DuLieu!$F$3:$F$101908,DuLieu!$T$3:$T$1001908,A58,DuLieu!$U$3:$U$101908,Q58)</f>
        <v/>
      </c>
      <c r="E58" s="47">
        <f>SUMIFS(DuLieu!$G$3:$G$101908,DuLieu!$T$3:$T$101908,A58,DuLieu!$U$3:$U$101908,Q58)</f>
        <v/>
      </c>
      <c r="F58" s="47">
        <f>SUMIFS(DuLieu!$H$3:$H$101908,DuLieu!$T$3:$T$101908,A58,DuLieu!$U$3:$U$101908,Q58)</f>
        <v/>
      </c>
      <c r="G58" s="47">
        <f>SUMIFS(DuLieu!$I$3:$I$11908,DuLieu!$T$3:$T$101908,A58,DuLieu!$U$3:$U$101908,Q58)</f>
        <v/>
      </c>
      <c r="H58" s="47">
        <f>SUMIFS(DuLieu!$J$3:$J$101908,DuLieu!$T$3:$T$101908,A58,DuLieu!$U$3:$U$101908,Q58)</f>
        <v/>
      </c>
      <c r="I58" s="47">
        <f>SUMIFS(DuLieu!$K$3:$K$101908,DuLieu!$T$3:$T$101908,A58,DuLieu!$U$3:$U$101908,Q58)</f>
        <v/>
      </c>
      <c r="J58" s="47">
        <f>SUMIFS(DuLieu!$L$3:$L$101908,DuLieu!$T$3:$T$101908,A58,DuLieu!$U$3:$U$101908,Q58)</f>
        <v/>
      </c>
      <c r="K58" s="47">
        <f>SUMIFS(DuLieu!$M$3:$M$101908,DuLieu!$T$3:$T$101908,A58,DuLieu!$U$3:$U$101908,Q58)</f>
        <v/>
      </c>
      <c r="L58" s="47">
        <f>SUMIFS(DuLieu!$N$3:$N$101908,DuLieu!$T$3:$T$101908,A58,DuLieu!$U$3:$U$101908,Q58)</f>
        <v/>
      </c>
      <c r="M58" s="47">
        <f>SUMIFS(DuLieu!$O$3:$O$101908,DuLieu!$T$3:$T$101908,A58,DuLieu!$U$3:$U$101908,Q58)</f>
        <v/>
      </c>
      <c r="N58" s="47">
        <f>SUMIFS(DuLieu!$P$3:$P$101908,DuLieu!$T$3:$T$101908,A58,DuLieu!$U$3:$U$101908,Q58)</f>
        <v/>
      </c>
      <c r="O58" s="47">
        <f>SUMIFS(DuLieu!$Q$3:$Q$101908,DuLieu!$T$3:$T$101908,A58,DuLieu!$U$3:$U$101908,Q58)</f>
        <v/>
      </c>
      <c r="P58" s="47">
        <f>SUMIFS(DuLieu!$R$3:$R$101908,DuLieu!$T$3:$T$101908,A58,DuLieu!$U$3:$U$101908,Q58)</f>
        <v/>
      </c>
      <c r="Q58" s="49" t="n">
        <v>12</v>
      </c>
      <c r="R58" s="26" t="n">
        <v>2025</v>
      </c>
    </row>
    <row r="59">
      <c r="A59" s="48" t="n">
        <v>26</v>
      </c>
      <c r="B59" s="47">
        <f>SUMIFS(DuLieu!$D$3:$D$101908,DuLieu!$T$3:$T$101928,A59,DuLieu!$U$3:$U$101928,Q59)</f>
        <v/>
      </c>
      <c r="C59" s="47">
        <f>SUMIFS(DuLieu!$E$3:$E$101908,DuLieu!$T$3:$T$101908,A59,DuLieu!$U$3:$U$101908,Q59)</f>
        <v/>
      </c>
      <c r="D59" s="47">
        <f>SUMIFS(DuLieu!$F$3:$F$101908,DuLieu!$T$3:$T$1001908,A59,DuLieu!$U$3:$U$101908,Q59)</f>
        <v/>
      </c>
      <c r="E59" s="47">
        <f>SUMIFS(DuLieu!$G$3:$G$101908,DuLieu!$T$3:$T$101908,A59,DuLieu!$U$3:$U$101908,Q59)</f>
        <v/>
      </c>
      <c r="F59" s="47">
        <f>SUMIFS(DuLieu!$H$3:$H$101908,DuLieu!$T$3:$T$101908,A59,DuLieu!$U$3:$U$101908,Q59)</f>
        <v/>
      </c>
      <c r="G59" s="47">
        <f>SUMIFS(DuLieu!$I$3:$I$11908,DuLieu!$T$3:$T$101908,A59,DuLieu!$U$3:$U$101908,Q59)</f>
        <v/>
      </c>
      <c r="H59" s="47">
        <f>SUMIFS(DuLieu!$J$3:$J$101908,DuLieu!$T$3:$T$101908,A59,DuLieu!$U$3:$U$101908,Q59)</f>
        <v/>
      </c>
      <c r="I59" s="47">
        <f>SUMIFS(DuLieu!$K$3:$K$101908,DuLieu!$T$3:$T$101908,A59,DuLieu!$U$3:$U$101908,Q59)</f>
        <v/>
      </c>
      <c r="J59" s="47">
        <f>SUMIFS(DuLieu!$L$3:$L$101908,DuLieu!$T$3:$T$101908,A59,DuLieu!$U$3:$U$101908,Q59)</f>
        <v/>
      </c>
      <c r="K59" s="47">
        <f>SUMIFS(DuLieu!$M$3:$M$101908,DuLieu!$T$3:$T$101908,A59,DuLieu!$U$3:$U$101908,Q59)</f>
        <v/>
      </c>
      <c r="L59" s="47">
        <f>SUMIFS(DuLieu!$N$3:$N$101908,DuLieu!$T$3:$T$101908,A59,DuLieu!$U$3:$U$101908,Q59)</f>
        <v/>
      </c>
      <c r="M59" s="47">
        <f>SUMIFS(DuLieu!$O$3:$O$101908,DuLieu!$T$3:$T$101908,A59,DuLieu!$U$3:$U$101908,Q59)</f>
        <v/>
      </c>
      <c r="N59" s="47">
        <f>SUMIFS(DuLieu!$P$3:$P$101908,DuLieu!$T$3:$T$101908,A59,DuLieu!$U$3:$U$101908,Q59)</f>
        <v/>
      </c>
      <c r="O59" s="47">
        <f>SUMIFS(DuLieu!$Q$3:$Q$101908,DuLieu!$T$3:$T$101908,A59,DuLieu!$U$3:$U$101908,Q59)</f>
        <v/>
      </c>
      <c r="P59" s="47">
        <f>SUMIFS(DuLieu!$R$3:$R$101908,DuLieu!$T$3:$T$101908,A59,DuLieu!$U$3:$U$101908,Q59)</f>
        <v/>
      </c>
      <c r="Q59" s="49" t="n">
        <v>12</v>
      </c>
      <c r="R59" s="26" t="n">
        <v>2025</v>
      </c>
    </row>
    <row r="60">
      <c r="A60" s="46" t="n">
        <v>27</v>
      </c>
      <c r="B60" s="47">
        <f>SUMIFS(DuLieu!$D$3:$D$101908,DuLieu!$T$3:$T$101928,A60,DuLieu!$U$3:$U$101928,Q60)</f>
        <v/>
      </c>
      <c r="C60" s="47">
        <f>SUMIFS(DuLieu!$E$3:$E$101908,DuLieu!$T$3:$T$101908,A60,DuLieu!$U$3:$U$101908,Q60)</f>
        <v/>
      </c>
      <c r="D60" s="47">
        <f>SUMIFS(DuLieu!$F$3:$F$101908,DuLieu!$T$3:$T$1001908,A60,DuLieu!$U$3:$U$101908,Q60)</f>
        <v/>
      </c>
      <c r="E60" s="47">
        <f>SUMIFS(DuLieu!$G$3:$G$101908,DuLieu!$T$3:$T$101908,A60,DuLieu!$U$3:$U$101908,Q60)</f>
        <v/>
      </c>
      <c r="F60" s="47">
        <f>SUMIFS(DuLieu!$H$3:$H$101908,DuLieu!$T$3:$T$101908,A60,DuLieu!$U$3:$U$101908,Q60)</f>
        <v/>
      </c>
      <c r="G60" s="47">
        <f>SUMIFS(DuLieu!$I$3:$I$11908,DuLieu!$T$3:$T$101908,A60,DuLieu!$U$3:$U$101908,Q60)</f>
        <v/>
      </c>
      <c r="H60" s="47">
        <f>SUMIFS(DuLieu!$J$3:$J$101908,DuLieu!$T$3:$T$101908,A60,DuLieu!$U$3:$U$101908,Q60)</f>
        <v/>
      </c>
      <c r="I60" s="47">
        <f>SUMIFS(DuLieu!$K$3:$K$101908,DuLieu!$T$3:$T$101908,A60,DuLieu!$U$3:$U$101908,Q60)</f>
        <v/>
      </c>
      <c r="J60" s="47">
        <f>SUMIFS(DuLieu!$L$3:$L$101908,DuLieu!$T$3:$T$101908,A60,DuLieu!$U$3:$U$101908,Q60)</f>
        <v/>
      </c>
      <c r="K60" s="47">
        <f>SUMIFS(DuLieu!$M$3:$M$101908,DuLieu!$T$3:$T$101908,A60,DuLieu!$U$3:$U$101908,Q60)</f>
        <v/>
      </c>
      <c r="L60" s="47">
        <f>SUMIFS(DuLieu!$N$3:$N$101908,DuLieu!$T$3:$T$101908,A60,DuLieu!$U$3:$U$101908,Q60)</f>
        <v/>
      </c>
      <c r="M60" s="47">
        <f>SUMIFS(DuLieu!$O$3:$O$101908,DuLieu!$T$3:$T$101908,A60,DuLieu!$U$3:$U$101908,Q60)</f>
        <v/>
      </c>
      <c r="N60" s="47">
        <f>SUMIFS(DuLieu!$P$3:$P$101908,DuLieu!$T$3:$T$101908,A60,DuLieu!$U$3:$U$101908,Q60)</f>
        <v/>
      </c>
      <c r="O60" s="47">
        <f>SUMIFS(DuLieu!$Q$3:$Q$101908,DuLieu!$T$3:$T$101908,A60,DuLieu!$U$3:$U$101908,Q60)</f>
        <v/>
      </c>
      <c r="P60" s="47">
        <f>SUMIFS(DuLieu!$R$3:$R$101908,DuLieu!$T$3:$T$101908,A60,DuLieu!$U$3:$U$101908,Q60)</f>
        <v/>
      </c>
      <c r="Q60" s="49" t="n">
        <v>12</v>
      </c>
      <c r="R60" s="26" t="n">
        <v>2025</v>
      </c>
    </row>
    <row r="61">
      <c r="A61" s="48" t="n">
        <v>28</v>
      </c>
      <c r="B61" s="47">
        <f>SUMIFS(DuLieu!$D$3:$D$101908,DuLieu!$T$3:$T$101928,A61,DuLieu!$U$3:$U$101928,Q61)</f>
        <v/>
      </c>
      <c r="C61" s="47">
        <f>SUMIFS(DuLieu!$E$3:$E$101908,DuLieu!$T$3:$T$101908,A61,DuLieu!$U$3:$U$101908,Q61)</f>
        <v/>
      </c>
      <c r="D61" s="47">
        <f>SUMIFS(DuLieu!$F$3:$F$101908,DuLieu!$T$3:$T$1001908,A61,DuLieu!$U$3:$U$101908,Q61)</f>
        <v/>
      </c>
      <c r="E61" s="47">
        <f>SUMIFS(DuLieu!$G$3:$G$101908,DuLieu!$T$3:$T$101908,A61,DuLieu!$U$3:$U$101908,Q61)</f>
        <v/>
      </c>
      <c r="F61" s="47">
        <f>SUMIFS(DuLieu!$H$3:$H$101908,DuLieu!$T$3:$T$101908,A61,DuLieu!$U$3:$U$101908,Q61)</f>
        <v/>
      </c>
      <c r="G61" s="47">
        <f>SUMIFS(DuLieu!$I$3:$I$11908,DuLieu!$T$3:$T$101908,A61,DuLieu!$U$3:$U$101908,Q61)</f>
        <v/>
      </c>
      <c r="H61" s="47">
        <f>SUMIFS(DuLieu!$J$3:$J$101908,DuLieu!$T$3:$T$101908,A61,DuLieu!$U$3:$U$101908,Q61)</f>
        <v/>
      </c>
      <c r="I61" s="47">
        <f>SUMIFS(DuLieu!$K$3:$K$101908,DuLieu!$T$3:$T$101908,A61,DuLieu!$U$3:$U$101908,Q61)</f>
        <v/>
      </c>
      <c r="J61" s="47">
        <f>SUMIFS(DuLieu!$L$3:$L$101908,DuLieu!$T$3:$T$101908,A61,DuLieu!$U$3:$U$101908,Q61)</f>
        <v/>
      </c>
      <c r="K61" s="47">
        <f>SUMIFS(DuLieu!$M$3:$M$101908,DuLieu!$T$3:$T$101908,A61,DuLieu!$U$3:$U$101908,Q61)</f>
        <v/>
      </c>
      <c r="L61" s="47">
        <f>SUMIFS(DuLieu!$N$3:$N$101908,DuLieu!$T$3:$T$101908,A61,DuLieu!$U$3:$U$101908,Q61)</f>
        <v/>
      </c>
      <c r="M61" s="47">
        <f>SUMIFS(DuLieu!$O$3:$O$101908,DuLieu!$T$3:$T$101908,A61,DuLieu!$U$3:$U$101908,Q61)</f>
        <v/>
      </c>
      <c r="N61" s="47">
        <f>SUMIFS(DuLieu!$P$3:$P$101908,DuLieu!$T$3:$T$101908,A61,DuLieu!$U$3:$U$101908,Q61)</f>
        <v/>
      </c>
      <c r="O61" s="47">
        <f>SUMIFS(DuLieu!$Q$3:$Q$101908,DuLieu!$T$3:$T$101908,A61,DuLieu!$U$3:$U$101908,Q61)</f>
        <v/>
      </c>
      <c r="P61" s="47">
        <f>SUMIFS(DuLieu!$R$3:$R$101908,DuLieu!$T$3:$T$101908,A61,DuLieu!$U$3:$U$101908,Q61)</f>
        <v/>
      </c>
      <c r="Q61" s="49" t="n">
        <v>12</v>
      </c>
      <c r="R61" s="26" t="n">
        <v>2025</v>
      </c>
    </row>
    <row r="62">
      <c r="A62" s="46" t="n">
        <v>29</v>
      </c>
      <c r="B62" s="47">
        <f>SUMIFS(DuLieu!$D$3:$D$101908,DuLieu!$T$3:$T$101928,A62,DuLieu!$U$3:$U$101928,Q62)</f>
        <v/>
      </c>
      <c r="C62" s="47">
        <f>SUMIFS(DuLieu!$E$3:$E$101908,DuLieu!$T$3:$T$101908,A62,DuLieu!$U$3:$U$101908,Q62)</f>
        <v/>
      </c>
      <c r="D62" s="47">
        <f>SUMIFS(DuLieu!$F$3:$F$101908,DuLieu!$T$3:$T$1001908,A62,DuLieu!$U$3:$U$101908,Q62)</f>
        <v/>
      </c>
      <c r="E62" s="47">
        <f>SUMIFS(DuLieu!$G$3:$G$101908,DuLieu!$T$3:$T$101908,A62,DuLieu!$U$3:$U$101908,Q62)</f>
        <v/>
      </c>
      <c r="F62" s="47">
        <f>SUMIFS(DuLieu!$H$3:$H$101908,DuLieu!$T$3:$T$101908,A62,DuLieu!$U$3:$U$101908,Q62)</f>
        <v/>
      </c>
      <c r="G62" s="47">
        <f>SUMIFS(DuLieu!$I$3:$I$11908,DuLieu!$T$3:$T$101908,A62,DuLieu!$U$3:$U$101908,Q62)</f>
        <v/>
      </c>
      <c r="H62" s="47">
        <f>SUMIFS(DuLieu!$J$3:$J$101908,DuLieu!$T$3:$T$101908,A62,DuLieu!$U$3:$U$101908,Q62)</f>
        <v/>
      </c>
      <c r="I62" s="47">
        <f>SUMIFS(DuLieu!$K$3:$K$101908,DuLieu!$T$3:$T$101908,A62,DuLieu!$U$3:$U$101908,Q62)</f>
        <v/>
      </c>
      <c r="J62" s="47">
        <f>SUMIFS(DuLieu!$L$3:$L$101908,DuLieu!$T$3:$T$101908,A62,DuLieu!$U$3:$U$101908,Q62)</f>
        <v/>
      </c>
      <c r="K62" s="47">
        <f>SUMIFS(DuLieu!$M$3:$M$101908,DuLieu!$T$3:$T$101908,A62,DuLieu!$U$3:$U$101908,Q62)</f>
        <v/>
      </c>
      <c r="L62" s="47">
        <f>SUMIFS(DuLieu!$N$3:$N$101908,DuLieu!$T$3:$T$101908,A62,DuLieu!$U$3:$U$101908,Q62)</f>
        <v/>
      </c>
      <c r="M62" s="47">
        <f>SUMIFS(DuLieu!$O$3:$O$101908,DuLieu!$T$3:$T$101908,A62,DuLieu!$U$3:$U$101908,Q62)</f>
        <v/>
      </c>
      <c r="N62" s="47">
        <f>SUMIFS(DuLieu!$P$3:$P$101908,DuLieu!$T$3:$T$101908,A62,DuLieu!$U$3:$U$101908,Q62)</f>
        <v/>
      </c>
      <c r="O62" s="47">
        <f>SUMIFS(DuLieu!$Q$3:$Q$101908,DuLieu!$T$3:$T$101908,A62,DuLieu!$U$3:$U$101908,Q62)</f>
        <v/>
      </c>
      <c r="P62" s="47">
        <f>SUMIFS(DuLieu!$R$3:$R$101908,DuLieu!$T$3:$T$101908,A62,DuLieu!$U$3:$U$101908,Q62)</f>
        <v/>
      </c>
      <c r="Q62" s="49" t="n">
        <v>12</v>
      </c>
      <c r="R62" s="26" t="n">
        <v>2025</v>
      </c>
    </row>
    <row r="63">
      <c r="A63" s="48" t="n">
        <v>30</v>
      </c>
      <c r="B63" s="47">
        <f>SUMIFS(DuLieu!$D$3:$D$101908,DuLieu!$T$3:$T$101928,A63,DuLieu!$U$3:$U$101928,Q63)</f>
        <v/>
      </c>
      <c r="C63" s="47">
        <f>SUMIFS(DuLieu!$E$3:$E$101908,DuLieu!$T$3:$T$101908,A63,DuLieu!$U$3:$U$101908,Q63)</f>
        <v/>
      </c>
      <c r="D63" s="47">
        <f>SUMIFS(DuLieu!$F$3:$F$101908,DuLieu!$T$3:$T$1001908,A63,DuLieu!$U$3:$U$101908,Q63)</f>
        <v/>
      </c>
      <c r="E63" s="47">
        <f>SUMIFS(DuLieu!$G$3:$G$101908,DuLieu!$T$3:$T$101908,A63,DuLieu!$U$3:$U$101908,Q63)</f>
        <v/>
      </c>
      <c r="F63" s="47">
        <f>SUMIFS(DuLieu!$H$3:$H$101908,DuLieu!$T$3:$T$101908,A63,DuLieu!$U$3:$U$101908,Q63)</f>
        <v/>
      </c>
      <c r="G63" s="47">
        <f>SUMIFS(DuLieu!$I$3:$I$11908,DuLieu!$T$3:$T$101908,A63,DuLieu!$U$3:$U$101908,Q63)</f>
        <v/>
      </c>
      <c r="H63" s="47">
        <f>SUMIFS(DuLieu!$J$3:$J$101908,DuLieu!$T$3:$T$101908,A63,DuLieu!$U$3:$U$101908,Q63)</f>
        <v/>
      </c>
      <c r="I63" s="47">
        <f>SUMIFS(DuLieu!$K$3:$K$101908,DuLieu!$T$3:$T$101908,A63,DuLieu!$U$3:$U$101908,Q63)</f>
        <v/>
      </c>
      <c r="J63" s="47">
        <f>SUMIFS(DuLieu!$L$3:$L$101908,DuLieu!$T$3:$T$101908,A63,DuLieu!$U$3:$U$101908,Q63)</f>
        <v/>
      </c>
      <c r="K63" s="47">
        <f>SUMIFS(DuLieu!$M$3:$M$101908,DuLieu!$T$3:$T$101908,A63,DuLieu!$U$3:$U$101908,Q63)</f>
        <v/>
      </c>
      <c r="L63" s="47">
        <f>SUMIFS(DuLieu!$N$3:$N$101908,DuLieu!$T$3:$T$101908,A63,DuLieu!$U$3:$U$101908,Q63)</f>
        <v/>
      </c>
      <c r="M63" s="47">
        <f>SUMIFS(DuLieu!$O$3:$O$101908,DuLieu!$T$3:$T$101908,A63,DuLieu!$U$3:$U$101908,Q63)</f>
        <v/>
      </c>
      <c r="N63" s="47">
        <f>SUMIFS(DuLieu!$P$3:$P$101908,DuLieu!$T$3:$T$101908,A63,DuLieu!$U$3:$U$101908,Q63)</f>
        <v/>
      </c>
      <c r="O63" s="47">
        <f>SUMIFS(DuLieu!$Q$3:$Q$101908,DuLieu!$T$3:$T$101908,A63,DuLieu!$U$3:$U$101908,Q63)</f>
        <v/>
      </c>
      <c r="P63" s="47">
        <f>SUMIFS(DuLieu!$R$3:$R$101908,DuLieu!$T$3:$T$101908,A63,DuLieu!$U$3:$U$101908,Q63)</f>
        <v/>
      </c>
      <c r="Q63" s="49" t="n">
        <v>12</v>
      </c>
      <c r="R63" s="26" t="n">
        <v>2025</v>
      </c>
    </row>
    <row r="64">
      <c r="A64" s="46" t="n">
        <v>31</v>
      </c>
      <c r="B64" s="47">
        <f>SUMIFS(DuLieu!$D$3:$D$101908,DuLieu!$T$3:$T$101928,A64,DuLieu!$U$3:$U$101928,Q64)</f>
        <v/>
      </c>
      <c r="C64" s="47">
        <f>SUMIFS(DuLieu!$E$3:$E$101908,DuLieu!$T$3:$T$101908,A64,DuLieu!$U$3:$U$101908,Q64)</f>
        <v/>
      </c>
      <c r="D64" s="47">
        <f>SUMIFS(DuLieu!$F$3:$F$101908,DuLieu!$T$3:$T$1001908,A64,DuLieu!$U$3:$U$101908,Q64)</f>
        <v/>
      </c>
      <c r="E64" s="47">
        <f>SUMIFS(DuLieu!$G$3:$G$101908,DuLieu!$T$3:$T$101908,A64,DuLieu!$U$3:$U$101908,Q64)</f>
        <v/>
      </c>
      <c r="F64" s="47">
        <f>SUMIFS(DuLieu!$H$3:$H$101908,DuLieu!$T$3:$T$101908,A64,DuLieu!$U$3:$U$101908,Q64)</f>
        <v/>
      </c>
      <c r="G64" s="47">
        <f>SUMIFS(DuLieu!$I$3:$I$11908,DuLieu!$T$3:$T$101908,A64,DuLieu!$U$3:$U$101908,Q64)</f>
        <v/>
      </c>
      <c r="H64" s="47">
        <f>SUMIFS(DuLieu!$J$3:$J$101908,DuLieu!$T$3:$T$101908,A64,DuLieu!$U$3:$U$101908,Q64)</f>
        <v/>
      </c>
      <c r="I64" s="47">
        <f>SUMIFS(DuLieu!$K$3:$K$101908,DuLieu!$T$3:$T$101908,A64,DuLieu!$U$3:$U$101908,Q64)</f>
        <v/>
      </c>
      <c r="J64" s="47">
        <f>SUMIFS(DuLieu!$L$3:$L$101908,DuLieu!$T$3:$T$101908,A64,DuLieu!$U$3:$U$101908,Q64)</f>
        <v/>
      </c>
      <c r="K64" s="47">
        <f>SUMIFS(DuLieu!$M$3:$M$101908,DuLieu!$T$3:$T$101908,A64,DuLieu!$U$3:$U$101908,Q64)</f>
        <v/>
      </c>
      <c r="L64" s="47">
        <f>SUMIFS(DuLieu!$N$3:$N$101908,DuLieu!$T$3:$T$101908,A64,DuLieu!$U$3:$U$101908,Q64)</f>
        <v/>
      </c>
      <c r="M64" s="47">
        <f>SUMIFS(DuLieu!$O$3:$O$101908,DuLieu!$T$3:$T$101908,A64,DuLieu!$U$3:$U$101908,Q64)</f>
        <v/>
      </c>
      <c r="N64" s="47">
        <f>SUMIFS(DuLieu!$P$3:$P$101908,DuLieu!$T$3:$T$101908,A64,DuLieu!$U$3:$U$101908,Q64)</f>
        <v/>
      </c>
      <c r="O64" s="47">
        <f>SUMIFS(DuLieu!$Q$3:$Q$101908,DuLieu!$T$3:$T$101908,A64,DuLieu!$U$3:$U$101908,Q64)</f>
        <v/>
      </c>
      <c r="P64" s="47">
        <f>SUMIFS(DuLieu!$R$3:$R$101908,DuLieu!$T$3:$T$101908,A64,DuLieu!$U$3:$U$101908,Q64)</f>
        <v/>
      </c>
      <c r="Q64" s="49" t="n">
        <v>12</v>
      </c>
      <c r="R64" s="26" t="n">
        <v>2025</v>
      </c>
    </row>
    <row r="65">
      <c r="A65" s="46" t="n">
        <v>1</v>
      </c>
      <c r="B65" s="47">
        <f>SUMIFS(DuLieu!$D$3:$D$101908,DuLieu!$T$3:$T$101928,A65,DuLieu!$U$3:$U$101928,Q65)</f>
        <v/>
      </c>
      <c r="C65" s="47">
        <f>SUMIFS(DuLieu!$E$3:$E$101908,DuLieu!$T$3:$T$101908,A65,DuLieu!$U$3:$U$101908,Q65)</f>
        <v/>
      </c>
      <c r="D65" s="47">
        <f>SUMIFS(DuLieu!$F$3:$F$101908,DuLieu!$T$3:$T$1001908,A65,DuLieu!$U$3:$U$101908,Q65)</f>
        <v/>
      </c>
      <c r="E65" s="47">
        <f>SUMIFS(DuLieu!$G$3:$G$101908,DuLieu!$T$3:$T$101908,A65,DuLieu!$U$3:$U$101908,Q65)</f>
        <v/>
      </c>
      <c r="F65" s="47">
        <f>SUMIFS(DuLieu!$H$3:$H$101908,DuLieu!$T$3:$T$101908,A65,DuLieu!$U$3:$U$101908,Q65)</f>
        <v/>
      </c>
      <c r="G65" s="47">
        <f>SUMIFS(DuLieu!$I$3:$I$11908,DuLieu!$T$3:$T$101908,A65,DuLieu!$U$3:$U$101908,Q65)</f>
        <v/>
      </c>
      <c r="H65" s="47">
        <f>SUMIFS(DuLieu!$J$3:$J$101908,DuLieu!$T$3:$T$101908,A65,DuLieu!$U$3:$U$101908,Q65)</f>
        <v/>
      </c>
      <c r="I65" s="47">
        <f>SUMIFS(DuLieu!$K$3:$K$101908,DuLieu!$T$3:$T$101908,A65,DuLieu!$U$3:$U$101908,Q65)</f>
        <v/>
      </c>
      <c r="J65" s="47">
        <f>SUMIFS(DuLieu!$L$3:$L$101908,DuLieu!$T$3:$T$101908,A65,DuLieu!$U$3:$U$101908,Q65)</f>
        <v/>
      </c>
      <c r="K65" s="47">
        <f>SUMIFS(DuLieu!$M$3:$M$101908,DuLieu!$T$3:$T$101908,A65,DuLieu!$U$3:$U$101908,Q65)</f>
        <v/>
      </c>
      <c r="L65" s="47">
        <f>SUMIFS(DuLieu!$N$3:$N$101908,DuLieu!$T$3:$T$101908,A65,DuLieu!$U$3:$U$101908,Q65)</f>
        <v/>
      </c>
      <c r="M65" s="47">
        <f>SUMIFS(DuLieu!$O$3:$O$101908,DuLieu!$T$3:$T$101908,A65,DuLieu!$U$3:$U$101908,Q65)</f>
        <v/>
      </c>
      <c r="N65" s="47">
        <f>SUMIFS(DuLieu!$P$3:$P$101908,DuLieu!$T$3:$T$101908,A65,DuLieu!$U$3:$U$101908,Q65)</f>
        <v/>
      </c>
      <c r="O65" s="47">
        <f>SUMIFS(DuLieu!$Q$3:$Q$101908,DuLieu!$T$3:$T$101908,A65,DuLieu!$U$3:$U$101908,Q65)</f>
        <v/>
      </c>
      <c r="P65" s="47">
        <f>SUMIFS(DuLieu!$R$3:$R$101908,DuLieu!$T$3:$T$101908,A65,DuLieu!$U$3:$U$101908,Q65)</f>
        <v/>
      </c>
      <c r="Q65" s="49" t="n">
        <v>1</v>
      </c>
      <c r="R65" s="26" t="n">
        <v>2026</v>
      </c>
    </row>
    <row r="66">
      <c r="A66" s="48" t="n">
        <v>2</v>
      </c>
      <c r="B66" s="47">
        <f>SUMIFS(DuLieu!$D$3:$D$101908,DuLieu!$T$3:$T$101928,A66,DuLieu!$U$3:$U$101928,Q66)</f>
        <v/>
      </c>
      <c r="C66" s="47">
        <f>SUMIFS(DuLieu!$E$3:$E$101908,DuLieu!$T$3:$T$101908,A66,DuLieu!$U$3:$U$101908,Q66)</f>
        <v/>
      </c>
      <c r="D66" s="47">
        <f>SUMIFS(DuLieu!$F$3:$F$101908,DuLieu!$T$3:$T$1001908,A66,DuLieu!$U$3:$U$101908,Q66)</f>
        <v/>
      </c>
      <c r="E66" s="47">
        <f>SUMIFS(DuLieu!$G$3:$G$101908,DuLieu!$T$3:$T$101908,A66,DuLieu!$U$3:$U$101908,Q66)</f>
        <v/>
      </c>
      <c r="F66" s="47">
        <f>SUMIFS(DuLieu!$H$3:$H$101908,DuLieu!$T$3:$T$101908,A66,DuLieu!$U$3:$U$101908,Q66)</f>
        <v/>
      </c>
      <c r="G66" s="47">
        <f>SUMIFS(DuLieu!$I$3:$I$11908,DuLieu!$T$3:$T$101908,A66,DuLieu!$U$3:$U$101908,Q66)</f>
        <v/>
      </c>
      <c r="H66" s="47">
        <f>SUMIFS(DuLieu!$J$3:$J$101908,DuLieu!$T$3:$T$101908,A66,DuLieu!$U$3:$U$101908,Q66)</f>
        <v/>
      </c>
      <c r="I66" s="47">
        <f>SUMIFS(DuLieu!$K$3:$K$101908,DuLieu!$T$3:$T$101908,A66,DuLieu!$U$3:$U$101908,Q66)</f>
        <v/>
      </c>
      <c r="J66" s="47">
        <f>SUMIFS(DuLieu!$L$3:$L$101908,DuLieu!$T$3:$T$101908,A66,DuLieu!$U$3:$U$101908,Q66)</f>
        <v/>
      </c>
      <c r="K66" s="47">
        <f>SUMIFS(DuLieu!$M$3:$M$101908,DuLieu!$T$3:$T$101908,A66,DuLieu!$U$3:$U$101908,Q66)</f>
        <v/>
      </c>
      <c r="L66" s="47">
        <f>SUMIFS(DuLieu!$N$3:$N$101908,DuLieu!$T$3:$T$101908,A66,DuLieu!$U$3:$U$101908,Q66)</f>
        <v/>
      </c>
      <c r="M66" s="47">
        <f>SUMIFS(DuLieu!$O$3:$O$101908,DuLieu!$T$3:$T$101908,A66,DuLieu!$U$3:$U$101908,Q66)</f>
        <v/>
      </c>
      <c r="N66" s="47">
        <f>SUMIFS(DuLieu!$P$3:$P$101908,DuLieu!$T$3:$T$101908,A66,DuLieu!$U$3:$U$101908,Q66)</f>
        <v/>
      </c>
      <c r="O66" s="47">
        <f>SUMIFS(DuLieu!$Q$3:$Q$101908,DuLieu!$T$3:$T$101908,A66,DuLieu!$U$3:$U$101908,Q66)</f>
        <v/>
      </c>
      <c r="P66" s="47">
        <f>SUMIFS(DuLieu!$R$3:$R$101908,DuLieu!$T$3:$T$101908,A66,DuLieu!$U$3:$U$101908,Q66)</f>
        <v/>
      </c>
      <c r="Q66" s="49" t="n">
        <v>1</v>
      </c>
      <c r="R66" s="26" t="n">
        <v>2026</v>
      </c>
    </row>
    <row r="67">
      <c r="A67" s="46" t="n">
        <v>3</v>
      </c>
      <c r="B67" s="47">
        <f>SUMIFS(DuLieu!$D$3:$D$101908,DuLieu!$T$3:$T$101928,A67,DuLieu!$U$3:$U$101928,Q67)</f>
        <v/>
      </c>
      <c r="C67" s="47">
        <f>SUMIFS(DuLieu!$E$3:$E$101908,DuLieu!$T$3:$T$101908,A67,DuLieu!$U$3:$U$101908,Q67)</f>
        <v/>
      </c>
      <c r="D67" s="47">
        <f>SUMIFS(DuLieu!$F$3:$F$101908,DuLieu!$T$3:$T$1001908,A67,DuLieu!$U$3:$U$101908,Q67)</f>
        <v/>
      </c>
      <c r="E67" s="47">
        <f>SUMIFS(DuLieu!$G$3:$G$101908,DuLieu!$T$3:$T$101908,A67,DuLieu!$U$3:$U$101908,Q67)</f>
        <v/>
      </c>
      <c r="F67" s="47">
        <f>SUMIFS(DuLieu!$H$3:$H$101908,DuLieu!$T$3:$T$101908,A67,DuLieu!$U$3:$U$101908,Q67)</f>
        <v/>
      </c>
      <c r="G67" s="47">
        <f>SUMIFS(DuLieu!$I$3:$I$11908,DuLieu!$T$3:$T$101908,A67,DuLieu!$U$3:$U$101908,Q67)</f>
        <v/>
      </c>
      <c r="H67" s="47">
        <f>SUMIFS(DuLieu!$J$3:$J$101908,DuLieu!$T$3:$T$101908,A67,DuLieu!$U$3:$U$101908,Q67)</f>
        <v/>
      </c>
      <c r="I67" s="47">
        <f>SUMIFS(DuLieu!$K$3:$K$101908,DuLieu!$T$3:$T$101908,A67,DuLieu!$U$3:$U$101908,Q67)</f>
        <v/>
      </c>
      <c r="J67" s="47">
        <f>SUMIFS(DuLieu!$L$3:$L$101908,DuLieu!$T$3:$T$101908,A67,DuLieu!$U$3:$U$101908,Q67)</f>
        <v/>
      </c>
      <c r="K67" s="47">
        <f>SUMIFS(DuLieu!$M$3:$M$101908,DuLieu!$T$3:$T$101908,A67,DuLieu!$U$3:$U$101908,Q67)</f>
        <v/>
      </c>
      <c r="L67" s="47">
        <f>SUMIFS(DuLieu!$N$3:$N$101908,DuLieu!$T$3:$T$101908,A67,DuLieu!$U$3:$U$101908,Q67)</f>
        <v/>
      </c>
      <c r="M67" s="47">
        <f>SUMIFS(DuLieu!$O$3:$O$101908,DuLieu!$T$3:$T$101908,A67,DuLieu!$U$3:$U$101908,Q67)</f>
        <v/>
      </c>
      <c r="N67" s="47">
        <f>SUMIFS(DuLieu!$P$3:$P$101908,DuLieu!$T$3:$T$101908,A67,DuLieu!$U$3:$U$101908,Q67)</f>
        <v/>
      </c>
      <c r="O67" s="47">
        <f>SUMIFS(DuLieu!$Q$3:$Q$101908,DuLieu!$T$3:$T$101908,A67,DuLieu!$U$3:$U$101908,Q67)</f>
        <v/>
      </c>
      <c r="P67" s="47">
        <f>SUMIFS(DuLieu!$R$3:$R$101908,DuLieu!$T$3:$T$101908,A67,DuLieu!$U$3:$U$101908,Q67)</f>
        <v/>
      </c>
      <c r="Q67" s="49" t="n">
        <v>1</v>
      </c>
      <c r="R67" s="26" t="n">
        <v>2026</v>
      </c>
    </row>
    <row r="68">
      <c r="A68" s="48" t="n">
        <v>4</v>
      </c>
      <c r="B68" s="47">
        <f>SUMIFS(DuLieu!$D$3:$D$101908,DuLieu!$T$3:$T$101928,A68,DuLieu!$U$3:$U$101928,Q68)</f>
        <v/>
      </c>
      <c r="C68" s="47">
        <f>SUMIFS(DuLieu!$E$3:$E$101908,DuLieu!$T$3:$T$101908,A68,DuLieu!$U$3:$U$101908,Q68)</f>
        <v/>
      </c>
      <c r="D68" s="47">
        <f>SUMIFS(DuLieu!$F$3:$F$101908,DuLieu!$T$3:$T$1001908,A68,DuLieu!$U$3:$U$101908,Q68)</f>
        <v/>
      </c>
      <c r="E68" s="47">
        <f>SUMIFS(DuLieu!$G$3:$G$101908,DuLieu!$T$3:$T$101908,A68,DuLieu!$U$3:$U$101908,Q68)</f>
        <v/>
      </c>
      <c r="F68" s="47">
        <f>SUMIFS(DuLieu!$H$3:$H$101908,DuLieu!$T$3:$T$101908,A68,DuLieu!$U$3:$U$101908,Q68)</f>
        <v/>
      </c>
      <c r="G68" s="47">
        <f>SUMIFS(DuLieu!$I$3:$I$11908,DuLieu!$T$3:$T$101908,A68,DuLieu!$U$3:$U$101908,Q68)</f>
        <v/>
      </c>
      <c r="H68" s="47">
        <f>SUMIFS(DuLieu!$J$3:$J$101908,DuLieu!$T$3:$T$101908,A68,DuLieu!$U$3:$U$101908,Q68)</f>
        <v/>
      </c>
      <c r="I68" s="47">
        <f>SUMIFS(DuLieu!$K$3:$K$101908,DuLieu!$T$3:$T$101908,A68,DuLieu!$U$3:$U$101908,Q68)</f>
        <v/>
      </c>
      <c r="J68" s="47">
        <f>SUMIFS(DuLieu!$L$3:$L$101908,DuLieu!$T$3:$T$101908,A68,DuLieu!$U$3:$U$101908,Q68)</f>
        <v/>
      </c>
      <c r="K68" s="47">
        <f>SUMIFS(DuLieu!$M$3:$M$101908,DuLieu!$T$3:$T$101908,A68,DuLieu!$U$3:$U$101908,Q68)</f>
        <v/>
      </c>
      <c r="L68" s="47">
        <f>SUMIFS(DuLieu!$N$3:$N$101908,DuLieu!$T$3:$T$101908,A68,DuLieu!$U$3:$U$101908,Q68)</f>
        <v/>
      </c>
      <c r="M68" s="47">
        <f>SUMIFS(DuLieu!$O$3:$O$101908,DuLieu!$T$3:$T$101908,A68,DuLieu!$U$3:$U$101908,Q68)</f>
        <v/>
      </c>
      <c r="N68" s="47">
        <f>SUMIFS(DuLieu!$P$3:$P$101908,DuLieu!$T$3:$T$101908,A68,DuLieu!$U$3:$U$101908,Q68)</f>
        <v/>
      </c>
      <c r="O68" s="47">
        <f>SUMIFS(DuLieu!$Q$3:$Q$101908,DuLieu!$T$3:$T$101908,A68,DuLieu!$U$3:$U$101908,Q68)</f>
        <v/>
      </c>
      <c r="P68" s="47">
        <f>SUMIFS(DuLieu!$R$3:$R$101908,DuLieu!$T$3:$T$101908,A68,DuLieu!$U$3:$U$101908,Q68)</f>
        <v/>
      </c>
      <c r="Q68" s="49" t="n">
        <v>1</v>
      </c>
      <c r="R68" s="26" t="n">
        <v>2026</v>
      </c>
    </row>
    <row r="69">
      <c r="A69" s="46" t="n">
        <v>5</v>
      </c>
      <c r="B69" s="47">
        <f>SUMIFS(DuLieu!$D$3:$D$101908,DuLieu!$T$3:$T$101928,A69,DuLieu!$U$3:$U$101928,Q69)</f>
        <v/>
      </c>
      <c r="C69" s="47">
        <f>SUMIFS(DuLieu!$E$3:$E$101908,DuLieu!$T$3:$T$101908,A69,DuLieu!$U$3:$U$101908,Q69)</f>
        <v/>
      </c>
      <c r="D69" s="47">
        <f>SUMIFS(DuLieu!$F$3:$F$101908,DuLieu!$T$3:$T$1001908,A69,DuLieu!$U$3:$U$101908,Q69)</f>
        <v/>
      </c>
      <c r="E69" s="47">
        <f>SUMIFS(DuLieu!$G$3:$G$101908,DuLieu!$T$3:$T$101908,A69,DuLieu!$U$3:$U$101908,Q69)</f>
        <v/>
      </c>
      <c r="F69" s="47">
        <f>SUMIFS(DuLieu!$H$3:$H$101908,DuLieu!$T$3:$T$101908,A69,DuLieu!$U$3:$U$101908,Q69)</f>
        <v/>
      </c>
      <c r="G69" s="47">
        <f>SUMIFS(DuLieu!$I$3:$I$11908,DuLieu!$T$3:$T$101908,A69,DuLieu!$U$3:$U$101908,Q69)</f>
        <v/>
      </c>
      <c r="H69" s="47">
        <f>SUMIFS(DuLieu!$J$3:$J$101908,DuLieu!$T$3:$T$101908,A69,DuLieu!$U$3:$U$101908,Q69)</f>
        <v/>
      </c>
      <c r="I69" s="47">
        <f>SUMIFS(DuLieu!$K$3:$K$101908,DuLieu!$T$3:$T$101908,A69,DuLieu!$U$3:$U$101908,Q69)</f>
        <v/>
      </c>
      <c r="J69" s="47">
        <f>SUMIFS(DuLieu!$L$3:$L$101908,DuLieu!$T$3:$T$101908,A69,DuLieu!$U$3:$U$101908,Q69)</f>
        <v/>
      </c>
      <c r="K69" s="47">
        <f>SUMIFS(DuLieu!$M$3:$M$101908,DuLieu!$T$3:$T$101908,A69,DuLieu!$U$3:$U$101908,Q69)</f>
        <v/>
      </c>
      <c r="L69" s="47">
        <f>SUMIFS(DuLieu!$N$3:$N$101908,DuLieu!$T$3:$T$101908,A69,DuLieu!$U$3:$U$101908,Q69)</f>
        <v/>
      </c>
      <c r="M69" s="47">
        <f>SUMIFS(DuLieu!$O$3:$O$101908,DuLieu!$T$3:$T$101908,A69,DuLieu!$U$3:$U$101908,Q69)</f>
        <v/>
      </c>
      <c r="N69" s="47">
        <f>SUMIFS(DuLieu!$P$3:$P$101908,DuLieu!$T$3:$T$101908,A69,DuLieu!$U$3:$U$101908,Q69)</f>
        <v/>
      </c>
      <c r="O69" s="47">
        <f>SUMIFS(DuLieu!$Q$3:$Q$101908,DuLieu!$T$3:$T$101908,A69,DuLieu!$U$3:$U$101908,Q69)</f>
        <v/>
      </c>
      <c r="P69" s="47">
        <f>SUMIFS(DuLieu!$R$3:$R$101908,DuLieu!$T$3:$T$101908,A69,DuLieu!$U$3:$U$101908,Q69)</f>
        <v/>
      </c>
      <c r="Q69" s="49" t="n">
        <v>1</v>
      </c>
      <c r="R69" s="26" t="n">
        <v>2026</v>
      </c>
    </row>
    <row r="70">
      <c r="A70" s="48" t="n">
        <v>6</v>
      </c>
      <c r="B70" s="47">
        <f>SUMIFS(DuLieu!$D$3:$D$101908,DuLieu!$T$3:$T$101928,A70,DuLieu!$U$3:$U$101928,Q70)</f>
        <v/>
      </c>
      <c r="C70" s="47">
        <f>SUMIFS(DuLieu!$E$3:$E$101908,DuLieu!$T$3:$T$101908,A70,DuLieu!$U$3:$U$101908,Q70)</f>
        <v/>
      </c>
      <c r="D70" s="47">
        <f>SUMIFS(DuLieu!$F$3:$F$101908,DuLieu!$T$3:$T$1001908,A70,DuLieu!$U$3:$U$101908,Q70)</f>
        <v/>
      </c>
      <c r="E70" s="47">
        <f>SUMIFS(DuLieu!$G$3:$G$101908,DuLieu!$T$3:$T$101908,A70,DuLieu!$U$3:$U$101908,Q70)</f>
        <v/>
      </c>
      <c r="F70" s="47">
        <f>SUMIFS(DuLieu!$H$3:$H$101908,DuLieu!$T$3:$T$101908,A70,DuLieu!$U$3:$U$101908,Q70)</f>
        <v/>
      </c>
      <c r="G70" s="47">
        <f>SUMIFS(DuLieu!$I$3:$I$11908,DuLieu!$T$3:$T$101908,A70,DuLieu!$U$3:$U$101908,Q70)</f>
        <v/>
      </c>
      <c r="H70" s="47">
        <f>SUMIFS(DuLieu!$J$3:$J$101908,DuLieu!$T$3:$T$101908,A70,DuLieu!$U$3:$U$101908,Q70)</f>
        <v/>
      </c>
      <c r="I70" s="47">
        <f>SUMIFS(DuLieu!$K$3:$K$101908,DuLieu!$T$3:$T$101908,A70,DuLieu!$U$3:$U$101908,Q70)</f>
        <v/>
      </c>
      <c r="J70" s="47">
        <f>SUMIFS(DuLieu!$L$3:$L$101908,DuLieu!$T$3:$T$101908,A70,DuLieu!$U$3:$U$101908,Q70)</f>
        <v/>
      </c>
      <c r="K70" s="47">
        <f>SUMIFS(DuLieu!$M$3:$M$101908,DuLieu!$T$3:$T$101908,A70,DuLieu!$U$3:$U$101908,Q70)</f>
        <v/>
      </c>
      <c r="L70" s="47">
        <f>SUMIFS(DuLieu!$N$3:$N$101908,DuLieu!$T$3:$T$101908,A70,DuLieu!$U$3:$U$101908,Q70)</f>
        <v/>
      </c>
      <c r="M70" s="47">
        <f>SUMIFS(DuLieu!$O$3:$O$101908,DuLieu!$T$3:$T$101908,A70,DuLieu!$U$3:$U$101908,Q70)</f>
        <v/>
      </c>
      <c r="N70" s="47">
        <f>SUMIFS(DuLieu!$P$3:$P$101908,DuLieu!$T$3:$T$101908,A70,DuLieu!$U$3:$U$101908,Q70)</f>
        <v/>
      </c>
      <c r="O70" s="47">
        <f>SUMIFS(DuLieu!$Q$3:$Q$101908,DuLieu!$T$3:$T$101908,A70,DuLieu!$U$3:$U$101908,Q70)</f>
        <v/>
      </c>
      <c r="P70" s="47">
        <f>SUMIFS(DuLieu!$R$3:$R$101908,DuLieu!$T$3:$T$101908,A70,DuLieu!$U$3:$U$101908,Q70)</f>
        <v/>
      </c>
      <c r="Q70" s="49" t="n">
        <v>1</v>
      </c>
      <c r="R70" s="26" t="n">
        <v>2026</v>
      </c>
    </row>
    <row r="71">
      <c r="A71" s="46" t="n">
        <v>7</v>
      </c>
      <c r="B71" s="47">
        <f>SUMIFS(DuLieu!$D$3:$D$101908,DuLieu!$T$3:$T$101928,A71,DuLieu!$U$3:$U$101928,Q71)</f>
        <v/>
      </c>
      <c r="C71" s="47">
        <f>SUMIFS(DuLieu!$E$3:$E$101908,DuLieu!$T$3:$T$101908,A71,DuLieu!$U$3:$U$101908,Q71)</f>
        <v/>
      </c>
      <c r="D71" s="47">
        <f>SUMIFS(DuLieu!$F$3:$F$101908,DuLieu!$T$3:$T$1001908,A71,DuLieu!$U$3:$U$101908,Q71)</f>
        <v/>
      </c>
      <c r="E71" s="47">
        <f>SUMIFS(DuLieu!$G$3:$G$101908,DuLieu!$T$3:$T$101908,A71,DuLieu!$U$3:$U$101908,Q71)</f>
        <v/>
      </c>
      <c r="F71" s="47">
        <f>SUMIFS(DuLieu!$H$3:$H$101908,DuLieu!$T$3:$T$101908,A71,DuLieu!$U$3:$U$101908,Q71)</f>
        <v/>
      </c>
      <c r="G71" s="47">
        <f>SUMIFS(DuLieu!$I$3:$I$11908,DuLieu!$T$3:$T$101908,A71,DuLieu!$U$3:$U$101908,Q71)</f>
        <v/>
      </c>
      <c r="H71" s="47">
        <f>SUMIFS(DuLieu!$J$3:$J$101908,DuLieu!$T$3:$T$101908,A71,DuLieu!$U$3:$U$101908,Q71)</f>
        <v/>
      </c>
      <c r="I71" s="47">
        <f>SUMIFS(DuLieu!$K$3:$K$101908,DuLieu!$T$3:$T$101908,A71,DuLieu!$U$3:$U$101908,Q71)</f>
        <v/>
      </c>
      <c r="J71" s="47">
        <f>SUMIFS(DuLieu!$L$3:$L$101908,DuLieu!$T$3:$T$101908,A71,DuLieu!$U$3:$U$101908,Q71)</f>
        <v/>
      </c>
      <c r="K71" s="47">
        <f>SUMIFS(DuLieu!$M$3:$M$101908,DuLieu!$T$3:$T$101908,A71,DuLieu!$U$3:$U$101908,Q71)</f>
        <v/>
      </c>
      <c r="L71" s="47">
        <f>SUMIFS(DuLieu!$N$3:$N$101908,DuLieu!$T$3:$T$101908,A71,DuLieu!$U$3:$U$101908,Q71)</f>
        <v/>
      </c>
      <c r="M71" s="47">
        <f>SUMIFS(DuLieu!$O$3:$O$101908,DuLieu!$T$3:$T$101908,A71,DuLieu!$U$3:$U$101908,Q71)</f>
        <v/>
      </c>
      <c r="N71" s="47">
        <f>SUMIFS(DuLieu!$P$3:$P$101908,DuLieu!$T$3:$T$101908,A71,DuLieu!$U$3:$U$101908,Q71)</f>
        <v/>
      </c>
      <c r="O71" s="47">
        <f>SUMIFS(DuLieu!$Q$3:$Q$101908,DuLieu!$T$3:$T$101908,A71,DuLieu!$U$3:$U$101908,Q71)</f>
        <v/>
      </c>
      <c r="P71" s="47">
        <f>SUMIFS(DuLieu!$R$3:$R$101908,DuLieu!$T$3:$T$101908,A71,DuLieu!$U$3:$U$101908,Q71)</f>
        <v/>
      </c>
      <c r="Q71" s="49" t="n">
        <v>1</v>
      </c>
      <c r="R71" s="26" t="n">
        <v>2026</v>
      </c>
    </row>
    <row r="72">
      <c r="A72" s="48" t="n">
        <v>8</v>
      </c>
      <c r="B72" s="47">
        <f>SUMIFS(DuLieu!$D$3:$D$101908,DuLieu!$T$3:$T$101928,A72,DuLieu!$U$3:$U$101928,Q72)</f>
        <v/>
      </c>
      <c r="C72" s="47">
        <f>SUMIFS(DuLieu!$E$3:$E$101908,DuLieu!$T$3:$T$101908,A72,DuLieu!$U$3:$U$101908,Q72)</f>
        <v/>
      </c>
      <c r="D72" s="47">
        <f>SUMIFS(DuLieu!$F$3:$F$101908,DuLieu!$T$3:$T$1001908,A72,DuLieu!$U$3:$U$101908,Q72)</f>
        <v/>
      </c>
      <c r="E72" s="47">
        <f>SUMIFS(DuLieu!$G$3:$G$101908,DuLieu!$T$3:$T$101908,A72,DuLieu!$U$3:$U$101908,Q72)</f>
        <v/>
      </c>
      <c r="F72" s="47">
        <f>SUMIFS(DuLieu!$H$3:$H$101908,DuLieu!$T$3:$T$101908,A72,DuLieu!$U$3:$U$101908,Q72)</f>
        <v/>
      </c>
      <c r="G72" s="47">
        <f>SUMIFS(DuLieu!$I$3:$I$11908,DuLieu!$T$3:$T$101908,A72,DuLieu!$U$3:$U$101908,Q72)</f>
        <v/>
      </c>
      <c r="H72" s="47">
        <f>SUMIFS(DuLieu!$J$3:$J$101908,DuLieu!$T$3:$T$101908,A72,DuLieu!$U$3:$U$101908,Q72)</f>
        <v/>
      </c>
      <c r="I72" s="47">
        <f>SUMIFS(DuLieu!$K$3:$K$101908,DuLieu!$T$3:$T$101908,A72,DuLieu!$U$3:$U$101908,Q72)</f>
        <v/>
      </c>
      <c r="J72" s="47">
        <f>SUMIFS(DuLieu!$L$3:$L$101908,DuLieu!$T$3:$T$101908,A72,DuLieu!$U$3:$U$101908,Q72)</f>
        <v/>
      </c>
      <c r="K72" s="47">
        <f>SUMIFS(DuLieu!$M$3:$M$101908,DuLieu!$T$3:$T$101908,A72,DuLieu!$U$3:$U$101908,Q72)</f>
        <v/>
      </c>
      <c r="L72" s="47">
        <f>SUMIFS(DuLieu!$N$3:$N$101908,DuLieu!$T$3:$T$101908,A72,DuLieu!$U$3:$U$101908,Q72)</f>
        <v/>
      </c>
      <c r="M72" s="47">
        <f>SUMIFS(DuLieu!$O$3:$O$101908,DuLieu!$T$3:$T$101908,A72,DuLieu!$U$3:$U$101908,Q72)</f>
        <v/>
      </c>
      <c r="N72" s="47">
        <f>SUMIFS(DuLieu!$P$3:$P$101908,DuLieu!$T$3:$T$101908,A72,DuLieu!$U$3:$U$101908,Q72)</f>
        <v/>
      </c>
      <c r="O72" s="47">
        <f>SUMIFS(DuLieu!$Q$3:$Q$101908,DuLieu!$T$3:$T$101908,A72,DuLieu!$U$3:$U$101908,Q72)</f>
        <v/>
      </c>
      <c r="P72" s="47">
        <f>SUMIFS(DuLieu!$R$3:$R$101908,DuLieu!$T$3:$T$101908,A72,DuLieu!$U$3:$U$101908,Q72)</f>
        <v/>
      </c>
      <c r="Q72" s="49" t="n">
        <v>1</v>
      </c>
      <c r="R72" s="26" t="n">
        <v>2026</v>
      </c>
    </row>
    <row r="73">
      <c r="A73" s="46" t="n">
        <v>9</v>
      </c>
      <c r="B73" s="47">
        <f>SUMIFS(DuLieu!$D$3:$D$101908,DuLieu!$T$3:$T$101928,A73,DuLieu!$U$3:$U$101928,Q73)</f>
        <v/>
      </c>
      <c r="C73" s="47">
        <f>SUMIFS(DuLieu!$E$3:$E$101908,DuLieu!$T$3:$T$101908,A73,DuLieu!$U$3:$U$101908,Q73)</f>
        <v/>
      </c>
      <c r="D73" s="47">
        <f>SUMIFS(DuLieu!$F$3:$F$101908,DuLieu!$T$3:$T$1001908,A73,DuLieu!$U$3:$U$101908,Q73)</f>
        <v/>
      </c>
      <c r="E73" s="47">
        <f>SUMIFS(DuLieu!$G$3:$G$101908,DuLieu!$T$3:$T$101908,A73,DuLieu!$U$3:$U$101908,Q73)</f>
        <v/>
      </c>
      <c r="F73" s="47">
        <f>SUMIFS(DuLieu!$H$3:$H$101908,DuLieu!$T$3:$T$101908,A73,DuLieu!$U$3:$U$101908,Q73)</f>
        <v/>
      </c>
      <c r="G73" s="47">
        <f>SUMIFS(DuLieu!$I$3:$I$11908,DuLieu!$T$3:$T$101908,A73,DuLieu!$U$3:$U$101908,Q73)</f>
        <v/>
      </c>
      <c r="H73" s="47">
        <f>SUMIFS(DuLieu!$J$3:$J$101908,DuLieu!$T$3:$T$101908,A73,DuLieu!$U$3:$U$101908,Q73)</f>
        <v/>
      </c>
      <c r="I73" s="47">
        <f>SUMIFS(DuLieu!$K$3:$K$101908,DuLieu!$T$3:$T$101908,A73,DuLieu!$U$3:$U$101908,Q73)</f>
        <v/>
      </c>
      <c r="J73" s="47">
        <f>SUMIFS(DuLieu!$L$3:$L$101908,DuLieu!$T$3:$T$101908,A73,DuLieu!$U$3:$U$101908,Q73)</f>
        <v/>
      </c>
      <c r="K73" s="47">
        <f>SUMIFS(DuLieu!$M$3:$M$101908,DuLieu!$T$3:$T$101908,A73,DuLieu!$U$3:$U$101908,Q73)</f>
        <v/>
      </c>
      <c r="L73" s="47">
        <f>SUMIFS(DuLieu!$N$3:$N$101908,DuLieu!$T$3:$T$101908,A73,DuLieu!$U$3:$U$101908,Q73)</f>
        <v/>
      </c>
      <c r="M73" s="47">
        <f>SUMIFS(DuLieu!$O$3:$O$101908,DuLieu!$T$3:$T$101908,A73,DuLieu!$U$3:$U$101908,Q73)</f>
        <v/>
      </c>
      <c r="N73" s="47">
        <f>SUMIFS(DuLieu!$P$3:$P$101908,DuLieu!$T$3:$T$101908,A73,DuLieu!$U$3:$U$101908,Q73)</f>
        <v/>
      </c>
      <c r="O73" s="47">
        <f>SUMIFS(DuLieu!$Q$3:$Q$101908,DuLieu!$T$3:$T$101908,A73,DuLieu!$U$3:$U$101908,Q73)</f>
        <v/>
      </c>
      <c r="P73" s="47">
        <f>SUMIFS(DuLieu!$R$3:$R$101908,DuLieu!$T$3:$T$101908,A73,DuLieu!$U$3:$U$101908,Q73)</f>
        <v/>
      </c>
      <c r="Q73" s="49" t="n">
        <v>1</v>
      </c>
      <c r="R73" s="26" t="n">
        <v>2026</v>
      </c>
    </row>
    <row r="74">
      <c r="A74" s="48" t="n">
        <v>10</v>
      </c>
      <c r="B74" s="47">
        <f>SUMIFS(DuLieu!$D$3:$D$101908,DuLieu!$T$3:$T$101928,A74,DuLieu!$U$3:$U$101928,Q74)</f>
        <v/>
      </c>
      <c r="C74" s="47">
        <f>SUMIFS(DuLieu!$E$3:$E$101908,DuLieu!$T$3:$T$101908,A74,DuLieu!$U$3:$U$101908,Q74)</f>
        <v/>
      </c>
      <c r="D74" s="47">
        <f>SUMIFS(DuLieu!$F$3:$F$101908,DuLieu!$T$3:$T$1001908,A74,DuLieu!$U$3:$U$101908,Q74)</f>
        <v/>
      </c>
      <c r="E74" s="47">
        <f>SUMIFS(DuLieu!$G$3:$G$101908,DuLieu!$T$3:$T$101908,A74,DuLieu!$U$3:$U$101908,Q74)</f>
        <v/>
      </c>
      <c r="F74" s="47">
        <f>SUMIFS(DuLieu!$H$3:$H$101908,DuLieu!$T$3:$T$101908,A74,DuLieu!$U$3:$U$101908,Q74)</f>
        <v/>
      </c>
      <c r="G74" s="47">
        <f>SUMIFS(DuLieu!$I$3:$I$11908,DuLieu!$T$3:$T$101908,A74,DuLieu!$U$3:$U$101908,Q74)</f>
        <v/>
      </c>
      <c r="H74" s="47">
        <f>SUMIFS(DuLieu!$J$3:$J$101908,DuLieu!$T$3:$T$101908,A74,DuLieu!$U$3:$U$101908,Q74)</f>
        <v/>
      </c>
      <c r="I74" s="47">
        <f>SUMIFS(DuLieu!$K$3:$K$101908,DuLieu!$T$3:$T$101908,A74,DuLieu!$U$3:$U$101908,Q74)</f>
        <v/>
      </c>
      <c r="J74" s="47">
        <f>SUMIFS(DuLieu!$L$3:$L$101908,DuLieu!$T$3:$T$101908,A74,DuLieu!$U$3:$U$101908,Q74)</f>
        <v/>
      </c>
      <c r="K74" s="47">
        <f>SUMIFS(DuLieu!$M$3:$M$101908,DuLieu!$T$3:$T$101908,A74,DuLieu!$U$3:$U$101908,Q74)</f>
        <v/>
      </c>
      <c r="L74" s="47">
        <f>SUMIFS(DuLieu!$N$3:$N$101908,DuLieu!$T$3:$T$101908,A74,DuLieu!$U$3:$U$101908,Q74)</f>
        <v/>
      </c>
      <c r="M74" s="47">
        <f>SUMIFS(DuLieu!$O$3:$O$101908,DuLieu!$T$3:$T$101908,A74,DuLieu!$U$3:$U$101908,Q74)</f>
        <v/>
      </c>
      <c r="N74" s="47">
        <f>SUMIFS(DuLieu!$P$3:$P$101908,DuLieu!$T$3:$T$101908,A74,DuLieu!$U$3:$U$101908,Q74)</f>
        <v/>
      </c>
      <c r="O74" s="47">
        <f>SUMIFS(DuLieu!$Q$3:$Q$101908,DuLieu!$T$3:$T$101908,A74,DuLieu!$U$3:$U$101908,Q74)</f>
        <v/>
      </c>
      <c r="P74" s="47">
        <f>SUMIFS(DuLieu!$R$3:$R$101908,DuLieu!$T$3:$T$101908,A74,DuLieu!$U$3:$U$101908,Q74)</f>
        <v/>
      </c>
      <c r="Q74" s="49" t="n">
        <v>1</v>
      </c>
      <c r="R74" s="26" t="n">
        <v>2026</v>
      </c>
    </row>
    <row r="75">
      <c r="A75" s="46" t="n">
        <v>11</v>
      </c>
      <c r="B75" s="47">
        <f>SUMIFS(DuLieu!$D$3:$D$101908,DuLieu!$T$3:$T$101928,A75,DuLieu!$U$3:$U$101928,Q75)</f>
        <v/>
      </c>
      <c r="C75" s="47">
        <f>SUMIFS(DuLieu!$E$3:$E$101908,DuLieu!$T$3:$T$101908,A75,DuLieu!$U$3:$U$101908,Q75)</f>
        <v/>
      </c>
      <c r="D75" s="47">
        <f>SUMIFS(DuLieu!$F$3:$F$101908,DuLieu!$T$3:$T$1001908,A75,DuLieu!$U$3:$U$101908,Q75)</f>
        <v/>
      </c>
      <c r="E75" s="47">
        <f>SUMIFS(DuLieu!$G$3:$G$101908,DuLieu!$T$3:$T$101908,A75,DuLieu!$U$3:$U$101908,Q75)</f>
        <v/>
      </c>
      <c r="F75" s="47">
        <f>SUMIFS(DuLieu!$H$3:$H$101908,DuLieu!$T$3:$T$101908,A75,DuLieu!$U$3:$U$101908,Q75)</f>
        <v/>
      </c>
      <c r="G75" s="47">
        <f>SUMIFS(DuLieu!$I$3:$I$11908,DuLieu!$T$3:$T$101908,A75,DuLieu!$U$3:$U$101908,Q75)</f>
        <v/>
      </c>
      <c r="H75" s="47">
        <f>SUMIFS(DuLieu!$J$3:$J$101908,DuLieu!$T$3:$T$101908,A75,DuLieu!$U$3:$U$101908,Q75)</f>
        <v/>
      </c>
      <c r="I75" s="47">
        <f>SUMIFS(DuLieu!$K$3:$K$101908,DuLieu!$T$3:$T$101908,A75,DuLieu!$U$3:$U$101908,Q75)</f>
        <v/>
      </c>
      <c r="J75" s="47">
        <f>SUMIFS(DuLieu!$L$3:$L$101908,DuLieu!$T$3:$T$101908,A75,DuLieu!$U$3:$U$101908,Q75)</f>
        <v/>
      </c>
      <c r="K75" s="47">
        <f>SUMIFS(DuLieu!$M$3:$M$101908,DuLieu!$T$3:$T$101908,A75,DuLieu!$U$3:$U$101908,Q75)</f>
        <v/>
      </c>
      <c r="L75" s="47">
        <f>SUMIFS(DuLieu!$N$3:$N$101908,DuLieu!$T$3:$T$101908,A75,DuLieu!$U$3:$U$101908,Q75)</f>
        <v/>
      </c>
      <c r="M75" s="47">
        <f>SUMIFS(DuLieu!$O$3:$O$101908,DuLieu!$T$3:$T$101908,A75,DuLieu!$U$3:$U$101908,Q75)</f>
        <v/>
      </c>
      <c r="N75" s="47">
        <f>SUMIFS(DuLieu!$P$3:$P$101908,DuLieu!$T$3:$T$101908,A75,DuLieu!$U$3:$U$101908,Q75)</f>
        <v/>
      </c>
      <c r="O75" s="47">
        <f>SUMIFS(DuLieu!$Q$3:$Q$101908,DuLieu!$T$3:$T$101908,A75,DuLieu!$U$3:$U$101908,Q75)</f>
        <v/>
      </c>
      <c r="P75" s="47">
        <f>SUMIFS(DuLieu!$R$3:$R$101908,DuLieu!$T$3:$T$101908,A75,DuLieu!$U$3:$U$101908,Q75)</f>
        <v/>
      </c>
      <c r="Q75" s="49" t="n">
        <v>1</v>
      </c>
      <c r="R75" s="26" t="n">
        <v>2026</v>
      </c>
    </row>
    <row r="76">
      <c r="A76" s="48" t="n">
        <v>12</v>
      </c>
      <c r="B76" s="47">
        <f>SUMIFS(DuLieu!$D$3:$D$101908,DuLieu!$T$3:$T$101928,A76,DuLieu!$U$3:$U$101928,Q76)</f>
        <v/>
      </c>
      <c r="C76" s="47">
        <f>SUMIFS(DuLieu!$E$3:$E$101908,DuLieu!$T$3:$T$101908,A76,DuLieu!$U$3:$U$101908,Q76)</f>
        <v/>
      </c>
      <c r="D76" s="47">
        <f>SUMIFS(DuLieu!$F$3:$F$101908,DuLieu!$T$3:$T$1001908,A76,DuLieu!$U$3:$U$101908,Q76)</f>
        <v/>
      </c>
      <c r="E76" s="47">
        <f>SUMIFS(DuLieu!$G$3:$G$101908,DuLieu!$T$3:$T$101908,A76,DuLieu!$U$3:$U$101908,Q76)</f>
        <v/>
      </c>
      <c r="F76" s="47">
        <f>SUMIFS(DuLieu!$H$3:$H$101908,DuLieu!$T$3:$T$101908,A76,DuLieu!$U$3:$U$101908,Q76)</f>
        <v/>
      </c>
      <c r="G76" s="47">
        <f>SUMIFS(DuLieu!$I$3:$I$11908,DuLieu!$T$3:$T$101908,A76,DuLieu!$U$3:$U$101908,Q76)</f>
        <v/>
      </c>
      <c r="H76" s="47">
        <f>SUMIFS(DuLieu!$J$3:$J$101908,DuLieu!$T$3:$T$101908,A76,DuLieu!$U$3:$U$101908,Q76)</f>
        <v/>
      </c>
      <c r="I76" s="47">
        <f>SUMIFS(DuLieu!$K$3:$K$101908,DuLieu!$T$3:$T$101908,A76,DuLieu!$U$3:$U$101908,Q76)</f>
        <v/>
      </c>
      <c r="J76" s="47">
        <f>SUMIFS(DuLieu!$L$3:$L$101908,DuLieu!$T$3:$T$101908,A76,DuLieu!$U$3:$U$101908,Q76)</f>
        <v/>
      </c>
      <c r="K76" s="47">
        <f>SUMIFS(DuLieu!$M$3:$M$101908,DuLieu!$T$3:$T$101908,A76,DuLieu!$U$3:$U$101908,Q76)</f>
        <v/>
      </c>
      <c r="L76" s="47">
        <f>SUMIFS(DuLieu!$N$3:$N$101908,DuLieu!$T$3:$T$101908,A76,DuLieu!$U$3:$U$101908,Q76)</f>
        <v/>
      </c>
      <c r="M76" s="47">
        <f>SUMIFS(DuLieu!$O$3:$O$101908,DuLieu!$T$3:$T$101908,A76,DuLieu!$U$3:$U$101908,Q76)</f>
        <v/>
      </c>
      <c r="N76" s="47">
        <f>SUMIFS(DuLieu!$P$3:$P$101908,DuLieu!$T$3:$T$101908,A76,DuLieu!$U$3:$U$101908,Q76)</f>
        <v/>
      </c>
      <c r="O76" s="47">
        <f>SUMIFS(DuLieu!$Q$3:$Q$101908,DuLieu!$T$3:$T$101908,A76,DuLieu!$U$3:$U$101908,Q76)</f>
        <v/>
      </c>
      <c r="P76" s="47">
        <f>SUMIFS(DuLieu!$R$3:$R$101908,DuLieu!$T$3:$T$101908,A76,DuLieu!$U$3:$U$101908,Q76)</f>
        <v/>
      </c>
      <c r="Q76" s="49" t="n">
        <v>1</v>
      </c>
      <c r="R76" s="26" t="n">
        <v>2026</v>
      </c>
    </row>
    <row r="77">
      <c r="A77" s="46" t="n">
        <v>13</v>
      </c>
      <c r="B77" s="47">
        <f>SUMIFS(DuLieu!$D$3:$D$101908,DuLieu!$T$3:$T$101928,A77,DuLieu!$U$3:$U$101928,Q77)</f>
        <v/>
      </c>
      <c r="C77" s="47">
        <f>SUMIFS(DuLieu!$E$3:$E$101908,DuLieu!$T$3:$T$101908,A77,DuLieu!$U$3:$U$101908,Q77)</f>
        <v/>
      </c>
      <c r="D77" s="47">
        <f>SUMIFS(DuLieu!$F$3:$F$101908,DuLieu!$T$3:$T$1001908,A77,DuLieu!$U$3:$U$101908,Q77)</f>
        <v/>
      </c>
      <c r="E77" s="47">
        <f>SUMIFS(DuLieu!$G$3:$G$101908,DuLieu!$T$3:$T$101908,A77,DuLieu!$U$3:$U$101908,Q77)</f>
        <v/>
      </c>
      <c r="F77" s="47">
        <f>SUMIFS(DuLieu!$H$3:$H$101908,DuLieu!$T$3:$T$101908,A77,DuLieu!$U$3:$U$101908,Q77)</f>
        <v/>
      </c>
      <c r="G77" s="47">
        <f>SUMIFS(DuLieu!$I$3:$I$11908,DuLieu!$T$3:$T$101908,A77,DuLieu!$U$3:$U$101908,Q77)</f>
        <v/>
      </c>
      <c r="H77" s="47">
        <f>SUMIFS(DuLieu!$J$3:$J$101908,DuLieu!$T$3:$T$101908,A77,DuLieu!$U$3:$U$101908,Q77)</f>
        <v/>
      </c>
      <c r="I77" s="47">
        <f>SUMIFS(DuLieu!$K$3:$K$101908,DuLieu!$T$3:$T$101908,A77,DuLieu!$U$3:$U$101908,Q77)</f>
        <v/>
      </c>
      <c r="J77" s="47">
        <f>SUMIFS(DuLieu!$L$3:$L$101908,DuLieu!$T$3:$T$101908,A77,DuLieu!$U$3:$U$101908,Q77)</f>
        <v/>
      </c>
      <c r="K77" s="47">
        <f>SUMIFS(DuLieu!$M$3:$M$101908,DuLieu!$T$3:$T$101908,A77,DuLieu!$U$3:$U$101908,Q77)</f>
        <v/>
      </c>
      <c r="L77" s="47">
        <f>SUMIFS(DuLieu!$N$3:$N$101908,DuLieu!$T$3:$T$101908,A77,DuLieu!$U$3:$U$101908,Q77)</f>
        <v/>
      </c>
      <c r="M77" s="47">
        <f>SUMIFS(DuLieu!$O$3:$O$101908,DuLieu!$T$3:$T$101908,A77,DuLieu!$U$3:$U$101908,Q77)</f>
        <v/>
      </c>
      <c r="N77" s="47">
        <f>SUMIFS(DuLieu!$P$3:$P$101908,DuLieu!$T$3:$T$101908,A77,DuLieu!$U$3:$U$101908,Q77)</f>
        <v/>
      </c>
      <c r="O77" s="47">
        <f>SUMIFS(DuLieu!$Q$3:$Q$101908,DuLieu!$T$3:$T$101908,A77,DuLieu!$U$3:$U$101908,Q77)</f>
        <v/>
      </c>
      <c r="P77" s="47">
        <f>SUMIFS(DuLieu!$R$3:$R$101908,DuLieu!$T$3:$T$101908,A77,DuLieu!$U$3:$U$101908,Q77)</f>
        <v/>
      </c>
      <c r="Q77" s="49" t="n">
        <v>1</v>
      </c>
      <c r="R77" s="26" t="n">
        <v>2026</v>
      </c>
    </row>
    <row r="78">
      <c r="A78" s="48" t="n">
        <v>14</v>
      </c>
      <c r="B78" s="47">
        <f>SUMIFS(DuLieu!$D$3:$D$101908,DuLieu!$T$3:$T$101928,A78,DuLieu!$U$3:$U$101928,Q78)</f>
        <v/>
      </c>
      <c r="C78" s="47">
        <f>SUMIFS(DuLieu!$E$3:$E$101908,DuLieu!$T$3:$T$101908,A78,DuLieu!$U$3:$U$101908,Q78)</f>
        <v/>
      </c>
      <c r="D78" s="47">
        <f>SUMIFS(DuLieu!$F$3:$F$101908,DuLieu!$T$3:$T$1001908,A78,DuLieu!$U$3:$U$101908,Q78)</f>
        <v/>
      </c>
      <c r="E78" s="47">
        <f>SUMIFS(DuLieu!$G$3:$G$101908,DuLieu!$T$3:$T$101908,A78,DuLieu!$U$3:$U$101908,Q78)</f>
        <v/>
      </c>
      <c r="F78" s="47">
        <f>SUMIFS(DuLieu!$H$3:$H$101908,DuLieu!$T$3:$T$101908,A78,DuLieu!$U$3:$U$101908,Q78)</f>
        <v/>
      </c>
      <c r="G78" s="47">
        <f>SUMIFS(DuLieu!$I$3:$I$11908,DuLieu!$T$3:$T$101908,A78,DuLieu!$U$3:$U$101908,Q78)</f>
        <v/>
      </c>
      <c r="H78" s="47">
        <f>SUMIFS(DuLieu!$J$3:$J$101908,DuLieu!$T$3:$T$101908,A78,DuLieu!$U$3:$U$101908,Q78)</f>
        <v/>
      </c>
      <c r="I78" s="47">
        <f>SUMIFS(DuLieu!$K$3:$K$101908,DuLieu!$T$3:$T$101908,A78,DuLieu!$U$3:$U$101908,Q78)</f>
        <v/>
      </c>
      <c r="J78" s="47">
        <f>SUMIFS(DuLieu!$L$3:$L$101908,DuLieu!$T$3:$T$101908,A78,DuLieu!$U$3:$U$101908,Q78)</f>
        <v/>
      </c>
      <c r="K78" s="47">
        <f>SUMIFS(DuLieu!$M$3:$M$101908,DuLieu!$T$3:$T$101908,A78,DuLieu!$U$3:$U$101908,Q78)</f>
        <v/>
      </c>
      <c r="L78" s="47">
        <f>SUMIFS(DuLieu!$N$3:$N$101908,DuLieu!$T$3:$T$101908,A78,DuLieu!$U$3:$U$101908,Q78)</f>
        <v/>
      </c>
      <c r="M78" s="47">
        <f>SUMIFS(DuLieu!$O$3:$O$101908,DuLieu!$T$3:$T$101908,A78,DuLieu!$U$3:$U$101908,Q78)</f>
        <v/>
      </c>
      <c r="N78" s="47">
        <f>SUMIFS(DuLieu!$P$3:$P$101908,DuLieu!$T$3:$T$101908,A78,DuLieu!$U$3:$U$101908,Q78)</f>
        <v/>
      </c>
      <c r="O78" s="47">
        <f>SUMIFS(DuLieu!$Q$3:$Q$101908,DuLieu!$T$3:$T$101908,A78,DuLieu!$U$3:$U$101908,Q78)</f>
        <v/>
      </c>
      <c r="P78" s="47">
        <f>SUMIFS(DuLieu!$R$3:$R$101908,DuLieu!$T$3:$T$101908,A78,DuLieu!$U$3:$U$101908,Q78)</f>
        <v/>
      </c>
      <c r="Q78" s="49" t="n">
        <v>1</v>
      </c>
      <c r="R78" s="26" t="n">
        <v>2026</v>
      </c>
    </row>
    <row r="79">
      <c r="A79" s="46" t="n">
        <v>15</v>
      </c>
      <c r="B79" s="47">
        <f>SUMIFS(DuLieu!$D$3:$D$101908,DuLieu!$T$3:$T$101928,A79,DuLieu!$U$3:$U$101928,Q79)</f>
        <v/>
      </c>
      <c r="C79" s="47">
        <f>SUMIFS(DuLieu!$E$3:$E$101908,DuLieu!$T$3:$T$101908,A79,DuLieu!$U$3:$U$101908,Q79)</f>
        <v/>
      </c>
      <c r="D79" s="47">
        <f>SUMIFS(DuLieu!$F$3:$F$101908,DuLieu!$T$3:$T$1001908,A79,DuLieu!$U$3:$U$101908,Q79)</f>
        <v/>
      </c>
      <c r="E79" s="47">
        <f>SUMIFS(DuLieu!$G$3:$G$101908,DuLieu!$T$3:$T$101908,A79,DuLieu!$U$3:$U$101908,Q79)</f>
        <v/>
      </c>
      <c r="F79" s="47">
        <f>SUMIFS(DuLieu!$H$3:$H$101908,DuLieu!$T$3:$T$101908,A79,DuLieu!$U$3:$U$101908,Q79)</f>
        <v/>
      </c>
      <c r="G79" s="47">
        <f>SUMIFS(DuLieu!$I$3:$I$11908,DuLieu!$T$3:$T$101908,A79,DuLieu!$U$3:$U$101908,Q79)</f>
        <v/>
      </c>
      <c r="H79" s="47">
        <f>SUMIFS(DuLieu!$J$3:$J$101908,DuLieu!$T$3:$T$101908,A79,DuLieu!$U$3:$U$101908,Q79)</f>
        <v/>
      </c>
      <c r="I79" s="47">
        <f>SUMIFS(DuLieu!$K$3:$K$101908,DuLieu!$T$3:$T$101908,A79,DuLieu!$U$3:$U$101908,Q79)</f>
        <v/>
      </c>
      <c r="J79" s="47">
        <f>SUMIFS(DuLieu!$L$3:$L$101908,DuLieu!$T$3:$T$101908,A79,DuLieu!$U$3:$U$101908,Q79)</f>
        <v/>
      </c>
      <c r="K79" s="47">
        <f>SUMIFS(DuLieu!$M$3:$M$101908,DuLieu!$T$3:$T$101908,A79,DuLieu!$U$3:$U$101908,Q79)</f>
        <v/>
      </c>
      <c r="L79" s="47">
        <f>SUMIFS(DuLieu!$N$3:$N$101908,DuLieu!$T$3:$T$101908,A79,DuLieu!$U$3:$U$101908,Q79)</f>
        <v/>
      </c>
      <c r="M79" s="47">
        <f>SUMIFS(DuLieu!$O$3:$O$101908,DuLieu!$T$3:$T$101908,A79,DuLieu!$U$3:$U$101908,Q79)</f>
        <v/>
      </c>
      <c r="N79" s="47">
        <f>SUMIFS(DuLieu!$P$3:$P$101908,DuLieu!$T$3:$T$101908,A79,DuLieu!$U$3:$U$101908,Q79)</f>
        <v/>
      </c>
      <c r="O79" s="47">
        <f>SUMIFS(DuLieu!$Q$3:$Q$101908,DuLieu!$T$3:$T$101908,A79,DuLieu!$U$3:$U$101908,Q79)</f>
        <v/>
      </c>
      <c r="P79" s="47">
        <f>SUMIFS(DuLieu!$R$3:$R$101908,DuLieu!$T$3:$T$101908,A79,DuLieu!$U$3:$U$101908,Q79)</f>
        <v/>
      </c>
      <c r="Q79" s="49" t="n">
        <v>1</v>
      </c>
      <c r="R79" s="26" t="n">
        <v>2026</v>
      </c>
    </row>
    <row r="80">
      <c r="A80" s="48" t="n">
        <v>16</v>
      </c>
      <c r="B80" s="47">
        <f>SUMIFS(DuLieu!$D$3:$D$101908,DuLieu!$T$3:$T$101928,A80,DuLieu!$U$3:$U$101928,Q80)</f>
        <v/>
      </c>
      <c r="C80" s="47">
        <f>SUMIFS(DuLieu!$E$3:$E$101908,DuLieu!$T$3:$T$101908,A80,DuLieu!$U$3:$U$101908,Q80)</f>
        <v/>
      </c>
      <c r="D80" s="47">
        <f>SUMIFS(DuLieu!$F$3:$F$101908,DuLieu!$T$3:$T$1001908,A80,DuLieu!$U$3:$U$101908,Q80)</f>
        <v/>
      </c>
      <c r="E80" s="47">
        <f>SUMIFS(DuLieu!$G$3:$G$101908,DuLieu!$T$3:$T$101908,A80,DuLieu!$U$3:$U$101908,Q80)</f>
        <v/>
      </c>
      <c r="F80" s="47">
        <f>SUMIFS(DuLieu!$H$3:$H$101908,DuLieu!$T$3:$T$101908,A80,DuLieu!$U$3:$U$101908,Q80)</f>
        <v/>
      </c>
      <c r="G80" s="47">
        <f>SUMIFS(DuLieu!$I$3:$I$11908,DuLieu!$T$3:$T$101908,A80,DuLieu!$U$3:$U$101908,Q80)</f>
        <v/>
      </c>
      <c r="H80" s="47">
        <f>SUMIFS(DuLieu!$J$3:$J$101908,DuLieu!$T$3:$T$101908,A80,DuLieu!$U$3:$U$101908,Q80)</f>
        <v/>
      </c>
      <c r="I80" s="47">
        <f>SUMIFS(DuLieu!$K$3:$K$101908,DuLieu!$T$3:$T$101908,A80,DuLieu!$U$3:$U$101908,Q80)</f>
        <v/>
      </c>
      <c r="J80" s="47">
        <f>SUMIFS(DuLieu!$L$3:$L$101908,DuLieu!$T$3:$T$101908,A80,DuLieu!$U$3:$U$101908,Q80)</f>
        <v/>
      </c>
      <c r="K80" s="47">
        <f>SUMIFS(DuLieu!$M$3:$M$101908,DuLieu!$T$3:$T$101908,A80,DuLieu!$U$3:$U$101908,Q80)</f>
        <v/>
      </c>
      <c r="L80" s="47">
        <f>SUMIFS(DuLieu!$N$3:$N$101908,DuLieu!$T$3:$T$101908,A80,DuLieu!$U$3:$U$101908,Q80)</f>
        <v/>
      </c>
      <c r="M80" s="47">
        <f>SUMIFS(DuLieu!$O$3:$O$101908,DuLieu!$T$3:$T$101908,A80,DuLieu!$U$3:$U$101908,Q80)</f>
        <v/>
      </c>
      <c r="N80" s="47">
        <f>SUMIFS(DuLieu!$P$3:$P$101908,DuLieu!$T$3:$T$101908,A80,DuLieu!$U$3:$U$101908,Q80)</f>
        <v/>
      </c>
      <c r="O80" s="47">
        <f>SUMIFS(DuLieu!$Q$3:$Q$101908,DuLieu!$T$3:$T$101908,A80,DuLieu!$U$3:$U$101908,Q80)</f>
        <v/>
      </c>
      <c r="P80" s="47">
        <f>SUMIFS(DuLieu!$R$3:$R$101908,DuLieu!$T$3:$T$101908,A80,DuLieu!$U$3:$U$101908,Q80)</f>
        <v/>
      </c>
      <c r="Q80" s="49" t="n">
        <v>1</v>
      </c>
      <c r="R80" s="26" t="n">
        <v>2026</v>
      </c>
    </row>
    <row r="81">
      <c r="A81" s="46" t="n">
        <v>17</v>
      </c>
      <c r="B81" s="47">
        <f>SUMIFS(DuLieu!$D$3:$D$101908,DuLieu!$T$3:$T$101928,A81,DuLieu!$U$3:$U$101928,Q81)</f>
        <v/>
      </c>
      <c r="C81" s="47">
        <f>SUMIFS(DuLieu!$E$3:$E$101908,DuLieu!$T$3:$T$101908,A81,DuLieu!$U$3:$U$101908,Q81)</f>
        <v/>
      </c>
      <c r="D81" s="47">
        <f>SUMIFS(DuLieu!$F$3:$F$101908,DuLieu!$T$3:$T$1001908,A81,DuLieu!$U$3:$U$101908,Q81)</f>
        <v/>
      </c>
      <c r="E81" s="47">
        <f>SUMIFS(DuLieu!$G$3:$G$101908,DuLieu!$T$3:$T$101908,A81,DuLieu!$U$3:$U$101908,Q81)</f>
        <v/>
      </c>
      <c r="F81" s="47">
        <f>SUMIFS(DuLieu!$H$3:$H$101908,DuLieu!$T$3:$T$101908,A81,DuLieu!$U$3:$U$101908,Q81)</f>
        <v/>
      </c>
      <c r="G81" s="47">
        <f>SUMIFS(DuLieu!$I$3:$I$11908,DuLieu!$T$3:$T$101908,A81,DuLieu!$U$3:$U$101908,Q81)</f>
        <v/>
      </c>
      <c r="H81" s="47">
        <f>SUMIFS(DuLieu!$J$3:$J$101908,DuLieu!$T$3:$T$101908,A81,DuLieu!$U$3:$U$101908,Q81)</f>
        <v/>
      </c>
      <c r="I81" s="47">
        <f>SUMIFS(DuLieu!$K$3:$K$101908,DuLieu!$T$3:$T$101908,A81,DuLieu!$U$3:$U$101908,Q81)</f>
        <v/>
      </c>
      <c r="J81" s="47">
        <f>SUMIFS(DuLieu!$L$3:$L$101908,DuLieu!$T$3:$T$101908,A81,DuLieu!$U$3:$U$101908,Q81)</f>
        <v/>
      </c>
      <c r="K81" s="47">
        <f>SUMIFS(DuLieu!$M$3:$M$101908,DuLieu!$T$3:$T$101908,A81,DuLieu!$U$3:$U$101908,Q81)</f>
        <v/>
      </c>
      <c r="L81" s="47">
        <f>SUMIFS(DuLieu!$N$3:$N$101908,DuLieu!$T$3:$T$101908,A81,DuLieu!$U$3:$U$101908,Q81)</f>
        <v/>
      </c>
      <c r="M81" s="47">
        <f>SUMIFS(DuLieu!$O$3:$O$101908,DuLieu!$T$3:$T$101908,A81,DuLieu!$U$3:$U$101908,Q81)</f>
        <v/>
      </c>
      <c r="N81" s="47">
        <f>SUMIFS(DuLieu!$P$3:$P$101908,DuLieu!$T$3:$T$101908,A81,DuLieu!$U$3:$U$101908,Q81)</f>
        <v/>
      </c>
      <c r="O81" s="47">
        <f>SUMIFS(DuLieu!$Q$3:$Q$101908,DuLieu!$T$3:$T$101908,A81,DuLieu!$U$3:$U$101908,Q81)</f>
        <v/>
      </c>
      <c r="P81" s="47">
        <f>SUMIFS(DuLieu!$R$3:$R$101908,DuLieu!$T$3:$T$101908,A81,DuLieu!$U$3:$U$101908,Q81)</f>
        <v/>
      </c>
      <c r="Q81" s="49" t="n">
        <v>1</v>
      </c>
      <c r="R81" s="26" t="n">
        <v>2026</v>
      </c>
    </row>
    <row r="82">
      <c r="A82" s="48" t="n">
        <v>18</v>
      </c>
      <c r="B82" s="47">
        <f>SUMIFS(DuLieu!$D$3:$D$101908,DuLieu!$T$3:$T$101928,A82,DuLieu!$U$3:$U$101928,Q82)</f>
        <v/>
      </c>
      <c r="C82" s="47">
        <f>SUMIFS(DuLieu!$E$3:$E$101908,DuLieu!$T$3:$T$101908,A82,DuLieu!$U$3:$U$101908,Q82)</f>
        <v/>
      </c>
      <c r="D82" s="47">
        <f>SUMIFS(DuLieu!$F$3:$F$101908,DuLieu!$T$3:$T$1001908,A82,DuLieu!$U$3:$U$101908,Q82)</f>
        <v/>
      </c>
      <c r="E82" s="47">
        <f>SUMIFS(DuLieu!$G$3:$G$101908,DuLieu!$T$3:$T$101908,A82,DuLieu!$U$3:$U$101908,Q82)</f>
        <v/>
      </c>
      <c r="F82" s="47">
        <f>SUMIFS(DuLieu!$H$3:$H$101908,DuLieu!$T$3:$T$101908,A82,DuLieu!$U$3:$U$101908,Q82)</f>
        <v/>
      </c>
      <c r="G82" s="47">
        <f>SUMIFS(DuLieu!$I$3:$I$11908,DuLieu!$T$3:$T$101908,A82,DuLieu!$U$3:$U$101908,Q82)</f>
        <v/>
      </c>
      <c r="H82" s="47">
        <f>SUMIFS(DuLieu!$J$3:$J$101908,DuLieu!$T$3:$T$101908,A82,DuLieu!$U$3:$U$101908,Q82)</f>
        <v/>
      </c>
      <c r="I82" s="47">
        <f>SUMIFS(DuLieu!$K$3:$K$101908,DuLieu!$T$3:$T$101908,A82,DuLieu!$U$3:$U$101908,Q82)</f>
        <v/>
      </c>
      <c r="J82" s="47">
        <f>SUMIFS(DuLieu!$L$3:$L$101908,DuLieu!$T$3:$T$101908,A82,DuLieu!$U$3:$U$101908,Q82)</f>
        <v/>
      </c>
      <c r="K82" s="47">
        <f>SUMIFS(DuLieu!$M$3:$M$101908,DuLieu!$T$3:$T$101908,A82,DuLieu!$U$3:$U$101908,Q82)</f>
        <v/>
      </c>
      <c r="L82" s="47">
        <f>SUMIFS(DuLieu!$N$3:$N$101908,DuLieu!$T$3:$T$101908,A82,DuLieu!$U$3:$U$101908,Q82)</f>
        <v/>
      </c>
      <c r="M82" s="47">
        <f>SUMIFS(DuLieu!$O$3:$O$101908,DuLieu!$T$3:$T$101908,A82,DuLieu!$U$3:$U$101908,Q82)</f>
        <v/>
      </c>
      <c r="N82" s="47">
        <f>SUMIFS(DuLieu!$P$3:$P$101908,DuLieu!$T$3:$T$101908,A82,DuLieu!$U$3:$U$101908,Q82)</f>
        <v/>
      </c>
      <c r="O82" s="47">
        <f>SUMIFS(DuLieu!$Q$3:$Q$101908,DuLieu!$T$3:$T$101908,A82,DuLieu!$U$3:$U$101908,Q82)</f>
        <v/>
      </c>
      <c r="P82" s="47">
        <f>SUMIFS(DuLieu!$R$3:$R$101908,DuLieu!$T$3:$T$101908,A82,DuLieu!$U$3:$U$101908,Q82)</f>
        <v/>
      </c>
      <c r="Q82" s="49" t="n">
        <v>1</v>
      </c>
      <c r="R82" s="26" t="n">
        <v>2026</v>
      </c>
    </row>
    <row r="83">
      <c r="A83" s="46" t="n">
        <v>19</v>
      </c>
      <c r="B83" s="47">
        <f>SUMIFS(DuLieu!$D$3:$D$101908,DuLieu!$T$3:$T$101928,A83,DuLieu!$U$3:$U$101928,Q83)</f>
        <v/>
      </c>
      <c r="C83" s="47">
        <f>SUMIFS(DuLieu!$E$3:$E$101908,DuLieu!$T$3:$T$101908,A83,DuLieu!$U$3:$U$101908,Q83)</f>
        <v/>
      </c>
      <c r="D83" s="47">
        <f>SUMIFS(DuLieu!$F$3:$F$101908,DuLieu!$T$3:$T$1001908,A83,DuLieu!$U$3:$U$101908,Q83)</f>
        <v/>
      </c>
      <c r="E83" s="47">
        <f>SUMIFS(DuLieu!$G$3:$G$101908,DuLieu!$T$3:$T$101908,A83,DuLieu!$U$3:$U$101908,Q83)</f>
        <v/>
      </c>
      <c r="F83" s="47">
        <f>SUMIFS(DuLieu!$H$3:$H$101908,DuLieu!$T$3:$T$101908,A83,DuLieu!$U$3:$U$101908,Q83)</f>
        <v/>
      </c>
      <c r="G83" s="47">
        <f>SUMIFS(DuLieu!$I$3:$I$11908,DuLieu!$T$3:$T$101908,A83,DuLieu!$U$3:$U$101908,Q83)</f>
        <v/>
      </c>
      <c r="H83" s="47">
        <f>SUMIFS(DuLieu!$J$3:$J$101908,DuLieu!$T$3:$T$101908,A83,DuLieu!$U$3:$U$101908,Q83)</f>
        <v/>
      </c>
      <c r="I83" s="47">
        <f>SUMIFS(DuLieu!$K$3:$K$101908,DuLieu!$T$3:$T$101908,A83,DuLieu!$U$3:$U$101908,Q83)</f>
        <v/>
      </c>
      <c r="J83" s="47">
        <f>SUMIFS(DuLieu!$L$3:$L$101908,DuLieu!$T$3:$T$101908,A83,DuLieu!$U$3:$U$101908,Q83)</f>
        <v/>
      </c>
      <c r="K83" s="47">
        <f>SUMIFS(DuLieu!$M$3:$M$101908,DuLieu!$T$3:$T$101908,A83,DuLieu!$U$3:$U$101908,Q83)</f>
        <v/>
      </c>
      <c r="L83" s="47">
        <f>SUMIFS(DuLieu!$N$3:$N$101908,DuLieu!$T$3:$T$101908,A83,DuLieu!$U$3:$U$101908,Q83)</f>
        <v/>
      </c>
      <c r="M83" s="47">
        <f>SUMIFS(DuLieu!$O$3:$O$101908,DuLieu!$T$3:$T$101908,A83,DuLieu!$U$3:$U$101908,Q83)</f>
        <v/>
      </c>
      <c r="N83" s="47">
        <f>SUMIFS(DuLieu!$P$3:$P$101908,DuLieu!$T$3:$T$101908,A83,DuLieu!$U$3:$U$101908,Q83)</f>
        <v/>
      </c>
      <c r="O83" s="47">
        <f>SUMIFS(DuLieu!$Q$3:$Q$101908,DuLieu!$T$3:$T$101908,A83,DuLieu!$U$3:$U$101908,Q83)</f>
        <v/>
      </c>
      <c r="P83" s="47">
        <f>SUMIFS(DuLieu!$R$3:$R$101908,DuLieu!$T$3:$T$101908,A83,DuLieu!$U$3:$U$101908,Q83)</f>
        <v/>
      </c>
      <c r="Q83" s="49" t="n">
        <v>1</v>
      </c>
      <c r="R83" s="26" t="n">
        <v>2026</v>
      </c>
    </row>
    <row r="84">
      <c r="A84" s="48" t="n">
        <v>20</v>
      </c>
      <c r="B84" s="47">
        <f>SUMIFS(DuLieu!$D$3:$D$101908,DuLieu!$T$3:$T$101928,A84,DuLieu!$U$3:$U$101928,Q84)</f>
        <v/>
      </c>
      <c r="C84" s="47">
        <f>SUMIFS(DuLieu!$E$3:$E$101908,DuLieu!$T$3:$T$101908,A84,DuLieu!$U$3:$U$101908,Q84)</f>
        <v/>
      </c>
      <c r="D84" s="47">
        <f>SUMIFS(DuLieu!$F$3:$F$101908,DuLieu!$T$3:$T$1001908,A84,DuLieu!$U$3:$U$101908,Q84)</f>
        <v/>
      </c>
      <c r="E84" s="47">
        <f>SUMIFS(DuLieu!$G$3:$G$101908,DuLieu!$T$3:$T$101908,A84,DuLieu!$U$3:$U$101908,Q84)</f>
        <v/>
      </c>
      <c r="F84" s="47">
        <f>SUMIFS(DuLieu!$H$3:$H$101908,DuLieu!$T$3:$T$101908,A84,DuLieu!$U$3:$U$101908,Q84)</f>
        <v/>
      </c>
      <c r="G84" s="47">
        <f>SUMIFS(DuLieu!$I$3:$I$11908,DuLieu!$T$3:$T$101908,A84,DuLieu!$U$3:$U$101908,Q84)</f>
        <v/>
      </c>
      <c r="H84" s="47">
        <f>SUMIFS(DuLieu!$J$3:$J$101908,DuLieu!$T$3:$T$101908,A84,DuLieu!$U$3:$U$101908,Q84)</f>
        <v/>
      </c>
      <c r="I84" s="47">
        <f>SUMIFS(DuLieu!$K$3:$K$101908,DuLieu!$T$3:$T$101908,A84,DuLieu!$U$3:$U$101908,Q84)</f>
        <v/>
      </c>
      <c r="J84" s="47">
        <f>SUMIFS(DuLieu!$L$3:$L$101908,DuLieu!$T$3:$T$101908,A84,DuLieu!$U$3:$U$101908,Q84)</f>
        <v/>
      </c>
      <c r="K84" s="47">
        <f>SUMIFS(DuLieu!$M$3:$M$101908,DuLieu!$T$3:$T$101908,A84,DuLieu!$U$3:$U$101908,Q84)</f>
        <v/>
      </c>
      <c r="L84" s="47">
        <f>SUMIFS(DuLieu!$N$3:$N$101908,DuLieu!$T$3:$T$101908,A84,DuLieu!$U$3:$U$101908,Q84)</f>
        <v/>
      </c>
      <c r="M84" s="47">
        <f>SUMIFS(DuLieu!$O$3:$O$101908,DuLieu!$T$3:$T$101908,A84,DuLieu!$U$3:$U$101908,Q84)</f>
        <v/>
      </c>
      <c r="N84" s="47">
        <f>SUMIFS(DuLieu!$P$3:$P$101908,DuLieu!$T$3:$T$101908,A84,DuLieu!$U$3:$U$101908,Q84)</f>
        <v/>
      </c>
      <c r="O84" s="47">
        <f>SUMIFS(DuLieu!$Q$3:$Q$101908,DuLieu!$T$3:$T$101908,A84,DuLieu!$U$3:$U$101908,Q84)</f>
        <v/>
      </c>
      <c r="P84" s="47">
        <f>SUMIFS(DuLieu!$R$3:$R$101908,DuLieu!$T$3:$T$101908,A84,DuLieu!$U$3:$U$101908,Q84)</f>
        <v/>
      </c>
      <c r="Q84" s="49" t="n">
        <v>1</v>
      </c>
      <c r="R84" s="26" t="n">
        <v>2026</v>
      </c>
    </row>
    <row r="85">
      <c r="A85" s="46" t="n">
        <v>21</v>
      </c>
      <c r="B85" s="47">
        <f>SUMIFS(DuLieu!$D$3:$D$101908,DuLieu!$T$3:$T$101928,A85,DuLieu!$U$3:$U$101928,Q85)</f>
        <v/>
      </c>
      <c r="C85" s="47">
        <f>SUMIFS(DuLieu!$E$3:$E$101908,DuLieu!$T$3:$T$101908,A85,DuLieu!$U$3:$U$101908,Q85)</f>
        <v/>
      </c>
      <c r="D85" s="47">
        <f>SUMIFS(DuLieu!$F$3:$F$101908,DuLieu!$T$3:$T$1001908,A85,DuLieu!$U$3:$U$101908,Q85)</f>
        <v/>
      </c>
      <c r="E85" s="47">
        <f>SUMIFS(DuLieu!$G$3:$G$101908,DuLieu!$T$3:$T$101908,A85,DuLieu!$U$3:$U$101908,Q85)</f>
        <v/>
      </c>
      <c r="F85" s="47">
        <f>SUMIFS(DuLieu!$H$3:$H$101908,DuLieu!$T$3:$T$101908,A85,DuLieu!$U$3:$U$101908,Q85)</f>
        <v/>
      </c>
      <c r="G85" s="47">
        <f>SUMIFS(DuLieu!$I$3:$I$11908,DuLieu!$T$3:$T$101908,A85,DuLieu!$U$3:$U$101908,Q85)</f>
        <v/>
      </c>
      <c r="H85" s="47">
        <f>SUMIFS(DuLieu!$J$3:$J$101908,DuLieu!$T$3:$T$101908,A85,DuLieu!$U$3:$U$101908,Q85)</f>
        <v/>
      </c>
      <c r="I85" s="47">
        <f>SUMIFS(DuLieu!$K$3:$K$101908,DuLieu!$T$3:$T$101908,A85,DuLieu!$U$3:$U$101908,Q85)</f>
        <v/>
      </c>
      <c r="J85" s="47">
        <f>SUMIFS(DuLieu!$L$3:$L$101908,DuLieu!$T$3:$T$101908,A85,DuLieu!$U$3:$U$101908,Q85)</f>
        <v/>
      </c>
      <c r="K85" s="47">
        <f>SUMIFS(DuLieu!$M$3:$M$101908,DuLieu!$T$3:$T$101908,A85,DuLieu!$U$3:$U$101908,Q85)</f>
        <v/>
      </c>
      <c r="L85" s="47">
        <f>SUMIFS(DuLieu!$N$3:$N$101908,DuLieu!$T$3:$T$101908,A85,DuLieu!$U$3:$U$101908,Q85)</f>
        <v/>
      </c>
      <c r="M85" s="47">
        <f>SUMIFS(DuLieu!$O$3:$O$101908,DuLieu!$T$3:$T$101908,A85,DuLieu!$U$3:$U$101908,Q85)</f>
        <v/>
      </c>
      <c r="N85" s="47">
        <f>SUMIFS(DuLieu!$P$3:$P$101908,DuLieu!$T$3:$T$101908,A85,DuLieu!$U$3:$U$101908,Q85)</f>
        <v/>
      </c>
      <c r="O85" s="47">
        <f>SUMIFS(DuLieu!$Q$3:$Q$101908,DuLieu!$T$3:$T$101908,A85,DuLieu!$U$3:$U$101908,Q85)</f>
        <v/>
      </c>
      <c r="P85" s="47">
        <f>SUMIFS(DuLieu!$R$3:$R$101908,DuLieu!$T$3:$T$101908,A85,DuLieu!$U$3:$U$101908,Q85)</f>
        <v/>
      </c>
      <c r="Q85" s="49" t="n">
        <v>1</v>
      </c>
      <c r="R85" s="26" t="n">
        <v>2026</v>
      </c>
    </row>
    <row r="86">
      <c r="A86" s="48" t="n">
        <v>22</v>
      </c>
      <c r="B86" s="47">
        <f>SUMIFS(DuLieu!$D$3:$D$101908,DuLieu!$T$3:$T$101928,A86,DuLieu!$U$3:$U$101928,Q86)</f>
        <v/>
      </c>
      <c r="C86" s="47">
        <f>SUMIFS(DuLieu!$E$3:$E$101908,DuLieu!$T$3:$T$101908,A86,DuLieu!$U$3:$U$101908,Q86)</f>
        <v/>
      </c>
      <c r="D86" s="47">
        <f>SUMIFS(DuLieu!$F$3:$F$101908,DuLieu!$T$3:$T$1001908,A86,DuLieu!$U$3:$U$101908,Q86)</f>
        <v/>
      </c>
      <c r="E86" s="47">
        <f>SUMIFS(DuLieu!$G$3:$G$101908,DuLieu!$T$3:$T$101908,A86,DuLieu!$U$3:$U$101908,Q86)</f>
        <v/>
      </c>
      <c r="F86" s="47">
        <f>SUMIFS(DuLieu!$H$3:$H$101908,DuLieu!$T$3:$T$101908,A86,DuLieu!$U$3:$U$101908,Q86)</f>
        <v/>
      </c>
      <c r="G86" s="47">
        <f>SUMIFS(DuLieu!$I$3:$I$11908,DuLieu!$T$3:$T$101908,A86,DuLieu!$U$3:$U$101908,Q86)</f>
        <v/>
      </c>
      <c r="H86" s="47">
        <f>SUMIFS(DuLieu!$J$3:$J$101908,DuLieu!$T$3:$T$101908,A86,DuLieu!$U$3:$U$101908,Q86)</f>
        <v/>
      </c>
      <c r="I86" s="47">
        <f>SUMIFS(DuLieu!$K$3:$K$101908,DuLieu!$T$3:$T$101908,A86,DuLieu!$U$3:$U$101908,Q86)</f>
        <v/>
      </c>
      <c r="J86" s="47">
        <f>SUMIFS(DuLieu!$L$3:$L$101908,DuLieu!$T$3:$T$101908,A86,DuLieu!$U$3:$U$101908,Q86)</f>
        <v/>
      </c>
      <c r="K86" s="47">
        <f>SUMIFS(DuLieu!$M$3:$M$101908,DuLieu!$T$3:$T$101908,A86,DuLieu!$U$3:$U$101908,Q86)</f>
        <v/>
      </c>
      <c r="L86" s="47">
        <f>SUMIFS(DuLieu!$N$3:$N$101908,DuLieu!$T$3:$T$101908,A86,DuLieu!$U$3:$U$101908,Q86)</f>
        <v/>
      </c>
      <c r="M86" s="47">
        <f>SUMIFS(DuLieu!$O$3:$O$101908,DuLieu!$T$3:$T$101908,A86,DuLieu!$U$3:$U$101908,Q86)</f>
        <v/>
      </c>
      <c r="N86" s="47">
        <f>SUMIFS(DuLieu!$P$3:$P$101908,DuLieu!$T$3:$T$101908,A86,DuLieu!$U$3:$U$101908,Q86)</f>
        <v/>
      </c>
      <c r="O86" s="47">
        <f>SUMIFS(DuLieu!$Q$3:$Q$101908,DuLieu!$T$3:$T$101908,A86,DuLieu!$U$3:$U$101908,Q86)</f>
        <v/>
      </c>
      <c r="P86" s="47">
        <f>SUMIFS(DuLieu!$R$3:$R$101908,DuLieu!$T$3:$T$101908,A86,DuLieu!$U$3:$U$101908,Q86)</f>
        <v/>
      </c>
      <c r="Q86" s="49" t="n">
        <v>1</v>
      </c>
      <c r="R86" s="26" t="n">
        <v>2026</v>
      </c>
    </row>
    <row r="87">
      <c r="A87" s="46" t="n">
        <v>23</v>
      </c>
      <c r="B87" s="47">
        <f>SUMIFS(DuLieu!$D$3:$D$101908,DuLieu!$T$3:$T$101928,A87,DuLieu!$U$3:$U$101928,Q87)</f>
        <v/>
      </c>
      <c r="C87" s="47">
        <f>SUMIFS(DuLieu!$E$3:$E$101908,DuLieu!$T$3:$T$101908,A87,DuLieu!$U$3:$U$101908,Q87)</f>
        <v/>
      </c>
      <c r="D87" s="47">
        <f>SUMIFS(DuLieu!$F$3:$F$101908,DuLieu!$T$3:$T$1001908,A87,DuLieu!$U$3:$U$101908,Q87)</f>
        <v/>
      </c>
      <c r="E87" s="47">
        <f>SUMIFS(DuLieu!$G$3:$G$101908,DuLieu!$T$3:$T$101908,A87,DuLieu!$U$3:$U$101908,Q87)</f>
        <v/>
      </c>
      <c r="F87" s="47">
        <f>SUMIFS(DuLieu!$H$3:$H$101908,DuLieu!$T$3:$T$101908,A87,DuLieu!$U$3:$U$101908,Q87)</f>
        <v/>
      </c>
      <c r="G87" s="47">
        <f>SUMIFS(DuLieu!$I$3:$I$11908,DuLieu!$T$3:$T$101908,A87,DuLieu!$U$3:$U$101908,Q87)</f>
        <v/>
      </c>
      <c r="H87" s="47">
        <f>SUMIFS(DuLieu!$J$3:$J$101908,DuLieu!$T$3:$T$101908,A87,DuLieu!$U$3:$U$101908,Q87)</f>
        <v/>
      </c>
      <c r="I87" s="47">
        <f>SUMIFS(DuLieu!$K$3:$K$101908,DuLieu!$T$3:$T$101908,A87,DuLieu!$U$3:$U$101908,Q87)</f>
        <v/>
      </c>
      <c r="J87" s="47">
        <f>SUMIFS(DuLieu!$L$3:$L$101908,DuLieu!$T$3:$T$101908,A87,DuLieu!$U$3:$U$101908,Q87)</f>
        <v/>
      </c>
      <c r="K87" s="47">
        <f>SUMIFS(DuLieu!$M$3:$M$101908,DuLieu!$T$3:$T$101908,A87,DuLieu!$U$3:$U$101908,Q87)</f>
        <v/>
      </c>
      <c r="L87" s="47">
        <f>SUMIFS(DuLieu!$N$3:$N$101908,DuLieu!$T$3:$T$101908,A87,DuLieu!$U$3:$U$101908,Q87)</f>
        <v/>
      </c>
      <c r="M87" s="47">
        <f>SUMIFS(DuLieu!$O$3:$O$101908,DuLieu!$T$3:$T$101908,A87,DuLieu!$U$3:$U$101908,Q87)</f>
        <v/>
      </c>
      <c r="N87" s="47">
        <f>SUMIFS(DuLieu!$P$3:$P$101908,DuLieu!$T$3:$T$101908,A87,DuLieu!$U$3:$U$101908,Q87)</f>
        <v/>
      </c>
      <c r="O87" s="47">
        <f>SUMIFS(DuLieu!$Q$3:$Q$101908,DuLieu!$T$3:$T$101908,A87,DuLieu!$U$3:$U$101908,Q87)</f>
        <v/>
      </c>
      <c r="P87" s="47">
        <f>SUMIFS(DuLieu!$R$3:$R$101908,DuLieu!$T$3:$T$101908,A87,DuLieu!$U$3:$U$101908,Q87)</f>
        <v/>
      </c>
      <c r="Q87" s="49" t="n">
        <v>1</v>
      </c>
      <c r="R87" s="26" t="n">
        <v>2026</v>
      </c>
    </row>
    <row r="88">
      <c r="A88" s="48" t="n">
        <v>24</v>
      </c>
      <c r="B88" s="47">
        <f>SUMIFS(DuLieu!$D$3:$D$101908,DuLieu!$T$3:$T$101928,A88,DuLieu!$U$3:$U$101928,Q88)</f>
        <v/>
      </c>
      <c r="C88" s="47">
        <f>SUMIFS(DuLieu!$E$3:$E$101908,DuLieu!$T$3:$T$101908,A88,DuLieu!$U$3:$U$101908,Q88)</f>
        <v/>
      </c>
      <c r="D88" s="47">
        <f>SUMIFS(DuLieu!$F$3:$F$101908,DuLieu!$T$3:$T$1001908,A88,DuLieu!$U$3:$U$101908,Q88)</f>
        <v/>
      </c>
      <c r="E88" s="47">
        <f>SUMIFS(DuLieu!$G$3:$G$101908,DuLieu!$T$3:$T$101908,A88,DuLieu!$U$3:$U$101908,Q88)</f>
        <v/>
      </c>
      <c r="F88" s="47">
        <f>SUMIFS(DuLieu!$H$3:$H$101908,DuLieu!$T$3:$T$101908,A88,DuLieu!$U$3:$U$101908,Q88)</f>
        <v/>
      </c>
      <c r="G88" s="47">
        <f>SUMIFS(DuLieu!$I$3:$I$11908,DuLieu!$T$3:$T$101908,A88,DuLieu!$U$3:$U$101908,Q88)</f>
        <v/>
      </c>
      <c r="H88" s="47">
        <f>SUMIFS(DuLieu!$J$3:$J$101908,DuLieu!$T$3:$T$101908,A88,DuLieu!$U$3:$U$101908,Q88)</f>
        <v/>
      </c>
      <c r="I88" s="47">
        <f>SUMIFS(DuLieu!$K$3:$K$101908,DuLieu!$T$3:$T$101908,A88,DuLieu!$U$3:$U$101908,Q88)</f>
        <v/>
      </c>
      <c r="J88" s="47">
        <f>SUMIFS(DuLieu!$L$3:$L$101908,DuLieu!$T$3:$T$101908,A88,DuLieu!$U$3:$U$101908,Q88)</f>
        <v/>
      </c>
      <c r="K88" s="47">
        <f>SUMIFS(DuLieu!$M$3:$M$101908,DuLieu!$T$3:$T$101908,A88,DuLieu!$U$3:$U$101908,Q88)</f>
        <v/>
      </c>
      <c r="L88" s="47">
        <f>SUMIFS(DuLieu!$N$3:$N$101908,DuLieu!$T$3:$T$101908,A88,DuLieu!$U$3:$U$101908,Q88)</f>
        <v/>
      </c>
      <c r="M88" s="47">
        <f>SUMIFS(DuLieu!$O$3:$O$101908,DuLieu!$T$3:$T$101908,A88,DuLieu!$U$3:$U$101908,Q88)</f>
        <v/>
      </c>
      <c r="N88" s="47">
        <f>SUMIFS(DuLieu!$P$3:$P$101908,DuLieu!$T$3:$T$101908,A88,DuLieu!$U$3:$U$101908,Q88)</f>
        <v/>
      </c>
      <c r="O88" s="47">
        <f>SUMIFS(DuLieu!$Q$3:$Q$101908,DuLieu!$T$3:$T$101908,A88,DuLieu!$U$3:$U$101908,Q88)</f>
        <v/>
      </c>
      <c r="P88" s="47">
        <f>SUMIFS(DuLieu!$R$3:$R$101908,DuLieu!$T$3:$T$101908,A88,DuLieu!$U$3:$U$101908,Q88)</f>
        <v/>
      </c>
      <c r="Q88" s="49" t="n">
        <v>1</v>
      </c>
      <c r="R88" s="26" t="n">
        <v>2026</v>
      </c>
    </row>
    <row r="89">
      <c r="A89" s="46" t="n">
        <v>25</v>
      </c>
      <c r="B89" s="47">
        <f>SUMIFS(DuLieu!$D$3:$D$101908,DuLieu!$T$3:$T$101928,A89,DuLieu!$U$3:$U$101928,Q89)</f>
        <v/>
      </c>
      <c r="C89" s="47">
        <f>SUMIFS(DuLieu!$E$3:$E$101908,DuLieu!$T$3:$T$101908,A89,DuLieu!$U$3:$U$101908,Q89)</f>
        <v/>
      </c>
      <c r="D89" s="47">
        <f>SUMIFS(DuLieu!$F$3:$F$101908,DuLieu!$T$3:$T$1001908,A89,DuLieu!$U$3:$U$101908,Q89)</f>
        <v/>
      </c>
      <c r="E89" s="47">
        <f>SUMIFS(DuLieu!$G$3:$G$101908,DuLieu!$T$3:$T$101908,A89,DuLieu!$U$3:$U$101908,Q89)</f>
        <v/>
      </c>
      <c r="F89" s="47">
        <f>SUMIFS(DuLieu!$H$3:$H$101908,DuLieu!$T$3:$T$101908,A89,DuLieu!$U$3:$U$101908,Q89)</f>
        <v/>
      </c>
      <c r="G89" s="47">
        <f>SUMIFS(DuLieu!$I$3:$I$11908,DuLieu!$T$3:$T$101908,A89,DuLieu!$U$3:$U$101908,Q89)</f>
        <v/>
      </c>
      <c r="H89" s="47">
        <f>SUMIFS(DuLieu!$J$3:$J$101908,DuLieu!$T$3:$T$101908,A89,DuLieu!$U$3:$U$101908,Q89)</f>
        <v/>
      </c>
      <c r="I89" s="47">
        <f>SUMIFS(DuLieu!$K$3:$K$101908,DuLieu!$T$3:$T$101908,A89,DuLieu!$U$3:$U$101908,Q89)</f>
        <v/>
      </c>
      <c r="J89" s="47">
        <f>SUMIFS(DuLieu!$L$3:$L$101908,DuLieu!$T$3:$T$101908,A89,DuLieu!$U$3:$U$101908,Q89)</f>
        <v/>
      </c>
      <c r="K89" s="47">
        <f>SUMIFS(DuLieu!$M$3:$M$101908,DuLieu!$T$3:$T$101908,A89,DuLieu!$U$3:$U$101908,Q89)</f>
        <v/>
      </c>
      <c r="L89" s="47">
        <f>SUMIFS(DuLieu!$N$3:$N$101908,DuLieu!$T$3:$T$101908,A89,DuLieu!$U$3:$U$101908,Q89)</f>
        <v/>
      </c>
      <c r="M89" s="47">
        <f>SUMIFS(DuLieu!$O$3:$O$101908,DuLieu!$T$3:$T$101908,A89,DuLieu!$U$3:$U$101908,Q89)</f>
        <v/>
      </c>
      <c r="N89" s="47">
        <f>SUMIFS(DuLieu!$P$3:$P$101908,DuLieu!$T$3:$T$101908,A89,DuLieu!$U$3:$U$101908,Q89)</f>
        <v/>
      </c>
      <c r="O89" s="47">
        <f>SUMIFS(DuLieu!$Q$3:$Q$101908,DuLieu!$T$3:$T$101908,A89,DuLieu!$U$3:$U$101908,Q89)</f>
        <v/>
      </c>
      <c r="P89" s="47">
        <f>SUMIFS(DuLieu!$R$3:$R$101908,DuLieu!$T$3:$T$101908,A89,DuLieu!$U$3:$U$101908,Q89)</f>
        <v/>
      </c>
      <c r="Q89" s="49" t="n">
        <v>1</v>
      </c>
      <c r="R89" s="26" t="n">
        <v>2026</v>
      </c>
    </row>
    <row r="90">
      <c r="A90" s="48" t="n">
        <v>26</v>
      </c>
      <c r="B90" s="47">
        <f>SUMIFS(DuLieu!$D$3:$D$101908,DuLieu!$T$3:$T$101928,A90,DuLieu!$U$3:$U$101928,Q90)</f>
        <v/>
      </c>
      <c r="C90" s="47">
        <f>SUMIFS(DuLieu!$E$3:$E$101908,DuLieu!$T$3:$T$101908,A90,DuLieu!$U$3:$U$101908,Q90)</f>
        <v/>
      </c>
      <c r="D90" s="47">
        <f>SUMIFS(DuLieu!$F$3:$F$101908,DuLieu!$T$3:$T$1001908,A90,DuLieu!$U$3:$U$101908,Q90)</f>
        <v/>
      </c>
      <c r="E90" s="47">
        <f>SUMIFS(DuLieu!$G$3:$G$101908,DuLieu!$T$3:$T$101908,A90,DuLieu!$U$3:$U$101908,Q90)</f>
        <v/>
      </c>
      <c r="F90" s="47">
        <f>SUMIFS(DuLieu!$H$3:$H$101908,DuLieu!$T$3:$T$101908,A90,DuLieu!$U$3:$U$101908,Q90)</f>
        <v/>
      </c>
      <c r="G90" s="47">
        <f>SUMIFS(DuLieu!$I$3:$I$11908,DuLieu!$T$3:$T$101908,A90,DuLieu!$U$3:$U$101908,Q90)</f>
        <v/>
      </c>
      <c r="H90" s="47">
        <f>SUMIFS(DuLieu!$J$3:$J$101908,DuLieu!$T$3:$T$101908,A90,DuLieu!$U$3:$U$101908,Q90)</f>
        <v/>
      </c>
      <c r="I90" s="47">
        <f>SUMIFS(DuLieu!$K$3:$K$101908,DuLieu!$T$3:$T$101908,A90,DuLieu!$U$3:$U$101908,Q90)</f>
        <v/>
      </c>
      <c r="J90" s="47">
        <f>SUMIFS(DuLieu!$L$3:$L$101908,DuLieu!$T$3:$T$101908,A90,DuLieu!$U$3:$U$101908,Q90)</f>
        <v/>
      </c>
      <c r="K90" s="47">
        <f>SUMIFS(DuLieu!$M$3:$M$101908,DuLieu!$T$3:$T$101908,A90,DuLieu!$U$3:$U$101908,Q90)</f>
        <v/>
      </c>
      <c r="L90" s="47">
        <f>SUMIFS(DuLieu!$N$3:$N$101908,DuLieu!$T$3:$T$101908,A90,DuLieu!$U$3:$U$101908,Q90)</f>
        <v/>
      </c>
      <c r="M90" s="47">
        <f>SUMIFS(DuLieu!$O$3:$O$101908,DuLieu!$T$3:$T$101908,A90,DuLieu!$U$3:$U$101908,Q90)</f>
        <v/>
      </c>
      <c r="N90" s="47">
        <f>SUMIFS(DuLieu!$P$3:$P$101908,DuLieu!$T$3:$T$101908,A90,DuLieu!$U$3:$U$101908,Q90)</f>
        <v/>
      </c>
      <c r="O90" s="47">
        <f>SUMIFS(DuLieu!$Q$3:$Q$101908,DuLieu!$T$3:$T$101908,A90,DuLieu!$U$3:$U$101908,Q90)</f>
        <v/>
      </c>
      <c r="P90" s="47">
        <f>SUMIFS(DuLieu!$R$3:$R$101908,DuLieu!$T$3:$T$101908,A90,DuLieu!$U$3:$U$101908,Q90)</f>
        <v/>
      </c>
      <c r="Q90" s="49" t="n">
        <v>1</v>
      </c>
      <c r="R90" s="26" t="n">
        <v>2026</v>
      </c>
    </row>
    <row r="91">
      <c r="A91" s="46" t="n">
        <v>27</v>
      </c>
      <c r="B91" s="47">
        <f>SUMIFS(DuLieu!$D$3:$D$101908,DuLieu!$T$3:$T$101928,A91,DuLieu!$U$3:$U$101928,Q91)</f>
        <v/>
      </c>
      <c r="C91" s="47">
        <f>SUMIFS(DuLieu!$E$3:$E$101908,DuLieu!$T$3:$T$101908,A91,DuLieu!$U$3:$U$101908,Q91)</f>
        <v/>
      </c>
      <c r="D91" s="47">
        <f>SUMIFS(DuLieu!$F$3:$F$101908,DuLieu!$T$3:$T$1001908,A91,DuLieu!$U$3:$U$101908,Q91)</f>
        <v/>
      </c>
      <c r="E91" s="47">
        <f>SUMIFS(DuLieu!$G$3:$G$101908,DuLieu!$T$3:$T$101908,A91,DuLieu!$U$3:$U$101908,Q91)</f>
        <v/>
      </c>
      <c r="F91" s="47">
        <f>SUMIFS(DuLieu!$H$3:$H$101908,DuLieu!$T$3:$T$101908,A91,DuLieu!$U$3:$U$101908,Q91)</f>
        <v/>
      </c>
      <c r="G91" s="47">
        <f>SUMIFS(DuLieu!$I$3:$I$11908,DuLieu!$T$3:$T$101908,A91,DuLieu!$U$3:$U$101908,Q91)</f>
        <v/>
      </c>
      <c r="H91" s="47">
        <f>SUMIFS(DuLieu!$J$3:$J$101908,DuLieu!$T$3:$T$101908,A91,DuLieu!$U$3:$U$101908,Q91)</f>
        <v/>
      </c>
      <c r="I91" s="47">
        <f>SUMIFS(DuLieu!$K$3:$K$101908,DuLieu!$T$3:$T$101908,A91,DuLieu!$U$3:$U$101908,Q91)</f>
        <v/>
      </c>
      <c r="J91" s="47">
        <f>SUMIFS(DuLieu!$L$3:$L$101908,DuLieu!$T$3:$T$101908,A91,DuLieu!$U$3:$U$101908,Q91)</f>
        <v/>
      </c>
      <c r="K91" s="47">
        <f>SUMIFS(DuLieu!$M$3:$M$101908,DuLieu!$T$3:$T$101908,A91,DuLieu!$U$3:$U$101908,Q91)</f>
        <v/>
      </c>
      <c r="L91" s="47">
        <f>SUMIFS(DuLieu!$N$3:$N$101908,DuLieu!$T$3:$T$101908,A91,DuLieu!$U$3:$U$101908,Q91)</f>
        <v/>
      </c>
      <c r="M91" s="47">
        <f>SUMIFS(DuLieu!$O$3:$O$101908,DuLieu!$T$3:$T$101908,A91,DuLieu!$U$3:$U$101908,Q91)</f>
        <v/>
      </c>
      <c r="N91" s="47">
        <f>SUMIFS(DuLieu!$P$3:$P$101908,DuLieu!$T$3:$T$101908,A91,DuLieu!$U$3:$U$101908,Q91)</f>
        <v/>
      </c>
      <c r="O91" s="47">
        <f>SUMIFS(DuLieu!$Q$3:$Q$101908,DuLieu!$T$3:$T$101908,A91,DuLieu!$U$3:$U$101908,Q91)</f>
        <v/>
      </c>
      <c r="P91" s="47">
        <f>SUMIFS(DuLieu!$R$3:$R$101908,DuLieu!$T$3:$T$101908,A91,DuLieu!$U$3:$U$101908,Q91)</f>
        <v/>
      </c>
      <c r="Q91" s="49" t="n">
        <v>1</v>
      </c>
      <c r="R91" s="26" t="n">
        <v>2026</v>
      </c>
    </row>
    <row r="92">
      <c r="A92" s="48" t="n">
        <v>28</v>
      </c>
      <c r="B92" s="47">
        <f>SUMIFS(DuLieu!$D$3:$D$101908,DuLieu!$T$3:$T$101928,A92,DuLieu!$U$3:$U$101928,Q92)</f>
        <v/>
      </c>
      <c r="C92" s="47">
        <f>SUMIFS(DuLieu!$E$3:$E$101908,DuLieu!$T$3:$T$101908,A92,DuLieu!$U$3:$U$101908,Q92)</f>
        <v/>
      </c>
      <c r="D92" s="47">
        <f>SUMIFS(DuLieu!$F$3:$F$101908,DuLieu!$T$3:$T$1001908,A92,DuLieu!$U$3:$U$101908,Q92)</f>
        <v/>
      </c>
      <c r="E92" s="47">
        <f>SUMIFS(DuLieu!$G$3:$G$101908,DuLieu!$T$3:$T$101908,A92,DuLieu!$U$3:$U$101908,Q92)</f>
        <v/>
      </c>
      <c r="F92" s="47">
        <f>SUMIFS(DuLieu!$H$3:$H$101908,DuLieu!$T$3:$T$101908,A92,DuLieu!$U$3:$U$101908,Q92)</f>
        <v/>
      </c>
      <c r="G92" s="47">
        <f>SUMIFS(DuLieu!$I$3:$I$11908,DuLieu!$T$3:$T$101908,A92,DuLieu!$U$3:$U$101908,Q92)</f>
        <v/>
      </c>
      <c r="H92" s="47">
        <f>SUMIFS(DuLieu!$J$3:$J$101908,DuLieu!$T$3:$T$101908,A92,DuLieu!$U$3:$U$101908,Q92)</f>
        <v/>
      </c>
      <c r="I92" s="47">
        <f>SUMIFS(DuLieu!$K$3:$K$101908,DuLieu!$T$3:$T$101908,A92,DuLieu!$U$3:$U$101908,Q92)</f>
        <v/>
      </c>
      <c r="J92" s="47">
        <f>SUMIFS(DuLieu!$L$3:$L$101908,DuLieu!$T$3:$T$101908,A92,DuLieu!$U$3:$U$101908,Q92)</f>
        <v/>
      </c>
      <c r="K92" s="47">
        <f>SUMIFS(DuLieu!$M$3:$M$101908,DuLieu!$T$3:$T$101908,A92,DuLieu!$U$3:$U$101908,Q92)</f>
        <v/>
      </c>
      <c r="L92" s="47">
        <f>SUMIFS(DuLieu!$N$3:$N$101908,DuLieu!$T$3:$T$101908,A92,DuLieu!$U$3:$U$101908,Q92)</f>
        <v/>
      </c>
      <c r="M92" s="47">
        <f>SUMIFS(DuLieu!$O$3:$O$101908,DuLieu!$T$3:$T$101908,A92,DuLieu!$U$3:$U$101908,Q92)</f>
        <v/>
      </c>
      <c r="N92" s="47">
        <f>SUMIFS(DuLieu!$P$3:$P$101908,DuLieu!$T$3:$T$101908,A92,DuLieu!$U$3:$U$101908,Q92)</f>
        <v/>
      </c>
      <c r="O92" s="47">
        <f>SUMIFS(DuLieu!$Q$3:$Q$101908,DuLieu!$T$3:$T$101908,A92,DuLieu!$U$3:$U$101908,Q92)</f>
        <v/>
      </c>
      <c r="P92" s="47">
        <f>SUMIFS(DuLieu!$R$3:$R$101908,DuLieu!$T$3:$T$101908,A92,DuLieu!$U$3:$U$101908,Q92)</f>
        <v/>
      </c>
      <c r="Q92" s="49" t="n">
        <v>1</v>
      </c>
      <c r="R92" s="26" t="n">
        <v>2026</v>
      </c>
    </row>
    <row r="93">
      <c r="A93" s="46" t="n">
        <v>29</v>
      </c>
      <c r="B93" s="47">
        <f>SUMIFS(DuLieu!$D$3:$D$101908,DuLieu!$T$3:$T$101928,A93,DuLieu!$U$3:$U$101928,Q93)</f>
        <v/>
      </c>
      <c r="C93" s="47">
        <f>SUMIFS(DuLieu!$E$3:$E$101908,DuLieu!$T$3:$T$101908,A93,DuLieu!$U$3:$U$101908,Q93)</f>
        <v/>
      </c>
      <c r="D93" s="47">
        <f>SUMIFS(DuLieu!$F$3:$F$101908,DuLieu!$T$3:$T$1001908,A93,DuLieu!$U$3:$U$101908,Q93)</f>
        <v/>
      </c>
      <c r="E93" s="47">
        <f>SUMIFS(DuLieu!$G$3:$G$101908,DuLieu!$T$3:$T$101908,A93,DuLieu!$U$3:$U$101908,Q93)</f>
        <v/>
      </c>
      <c r="F93" s="47">
        <f>SUMIFS(DuLieu!$H$3:$H$101908,DuLieu!$T$3:$T$101908,A93,DuLieu!$U$3:$U$101908,Q93)</f>
        <v/>
      </c>
      <c r="G93" s="47">
        <f>SUMIFS(DuLieu!$I$3:$I$11908,DuLieu!$T$3:$T$101908,A93,DuLieu!$U$3:$U$101908,Q93)</f>
        <v/>
      </c>
      <c r="H93" s="47">
        <f>SUMIFS(DuLieu!$J$3:$J$101908,DuLieu!$T$3:$T$101908,A93,DuLieu!$U$3:$U$101908,Q93)</f>
        <v/>
      </c>
      <c r="I93" s="47">
        <f>SUMIFS(DuLieu!$K$3:$K$101908,DuLieu!$T$3:$T$101908,A93,DuLieu!$U$3:$U$101908,Q93)</f>
        <v/>
      </c>
      <c r="J93" s="47">
        <f>SUMIFS(DuLieu!$L$3:$L$101908,DuLieu!$T$3:$T$101908,A93,DuLieu!$U$3:$U$101908,Q93)</f>
        <v/>
      </c>
      <c r="K93" s="47">
        <f>SUMIFS(DuLieu!$M$3:$M$101908,DuLieu!$T$3:$T$101908,A93,DuLieu!$U$3:$U$101908,Q93)</f>
        <v/>
      </c>
      <c r="L93" s="47">
        <f>SUMIFS(DuLieu!$N$3:$N$101908,DuLieu!$T$3:$T$101908,A93,DuLieu!$U$3:$U$101908,Q93)</f>
        <v/>
      </c>
      <c r="M93" s="47">
        <f>SUMIFS(DuLieu!$O$3:$O$101908,DuLieu!$T$3:$T$101908,A93,DuLieu!$U$3:$U$101908,Q93)</f>
        <v/>
      </c>
      <c r="N93" s="47">
        <f>SUMIFS(DuLieu!$P$3:$P$101908,DuLieu!$T$3:$T$101908,A93,DuLieu!$U$3:$U$101908,Q93)</f>
        <v/>
      </c>
      <c r="O93" s="47">
        <f>SUMIFS(DuLieu!$Q$3:$Q$101908,DuLieu!$T$3:$T$101908,A93,DuLieu!$U$3:$U$101908,Q93)</f>
        <v/>
      </c>
      <c r="P93" s="47">
        <f>SUMIFS(DuLieu!$R$3:$R$101908,DuLieu!$T$3:$T$101908,A93,DuLieu!$U$3:$U$101908,Q93)</f>
        <v/>
      </c>
      <c r="Q93" s="49" t="n">
        <v>1</v>
      </c>
      <c r="R93" s="26" t="n">
        <v>2026</v>
      </c>
    </row>
    <row r="94">
      <c r="A94" s="48" t="n">
        <v>30</v>
      </c>
      <c r="B94" s="47">
        <f>SUMIFS(DuLieu!$D$3:$D$101908,DuLieu!$T$3:$T$101928,A94,DuLieu!$U$3:$U$101928,Q94)</f>
        <v/>
      </c>
      <c r="C94" s="47">
        <f>SUMIFS(DuLieu!$E$3:$E$101908,DuLieu!$T$3:$T$101908,A94,DuLieu!$U$3:$U$101908,Q94)</f>
        <v/>
      </c>
      <c r="D94" s="47">
        <f>SUMIFS(DuLieu!$F$3:$F$101908,DuLieu!$T$3:$T$1001908,A94,DuLieu!$U$3:$U$101908,Q94)</f>
        <v/>
      </c>
      <c r="E94" s="47">
        <f>SUMIFS(DuLieu!$G$3:$G$101908,DuLieu!$T$3:$T$101908,A94,DuLieu!$U$3:$U$101908,Q94)</f>
        <v/>
      </c>
      <c r="F94" s="47">
        <f>SUMIFS(DuLieu!$H$3:$H$101908,DuLieu!$T$3:$T$101908,A94,DuLieu!$U$3:$U$101908,Q94)</f>
        <v/>
      </c>
      <c r="G94" s="47">
        <f>SUMIFS(DuLieu!$I$3:$I$11908,DuLieu!$T$3:$T$101908,A94,DuLieu!$U$3:$U$101908,Q94)</f>
        <v/>
      </c>
      <c r="H94" s="47">
        <f>SUMIFS(DuLieu!$J$3:$J$101908,DuLieu!$T$3:$T$101908,A94,DuLieu!$U$3:$U$101908,Q94)</f>
        <v/>
      </c>
      <c r="I94" s="47">
        <f>SUMIFS(DuLieu!$K$3:$K$101908,DuLieu!$T$3:$T$101908,A94,DuLieu!$U$3:$U$101908,Q94)</f>
        <v/>
      </c>
      <c r="J94" s="47">
        <f>SUMIFS(DuLieu!$L$3:$L$101908,DuLieu!$T$3:$T$101908,A94,DuLieu!$U$3:$U$101908,Q94)</f>
        <v/>
      </c>
      <c r="K94" s="47">
        <f>SUMIFS(DuLieu!$M$3:$M$101908,DuLieu!$T$3:$T$101908,A94,DuLieu!$U$3:$U$101908,Q94)</f>
        <v/>
      </c>
      <c r="L94" s="47">
        <f>SUMIFS(DuLieu!$N$3:$N$101908,DuLieu!$T$3:$T$101908,A94,DuLieu!$U$3:$U$101908,Q94)</f>
        <v/>
      </c>
      <c r="M94" s="47">
        <f>SUMIFS(DuLieu!$O$3:$O$101908,DuLieu!$T$3:$T$101908,A94,DuLieu!$U$3:$U$101908,Q94)</f>
        <v/>
      </c>
      <c r="N94" s="47">
        <f>SUMIFS(DuLieu!$P$3:$P$101908,DuLieu!$T$3:$T$101908,A94,DuLieu!$U$3:$U$101908,Q94)</f>
        <v/>
      </c>
      <c r="O94" s="47">
        <f>SUMIFS(DuLieu!$Q$3:$Q$101908,DuLieu!$T$3:$T$101908,A94,DuLieu!$U$3:$U$101908,Q94)</f>
        <v/>
      </c>
      <c r="P94" s="47">
        <f>SUMIFS(DuLieu!$R$3:$R$101908,DuLieu!$T$3:$T$101908,A94,DuLieu!$U$3:$U$101908,Q94)</f>
        <v/>
      </c>
      <c r="Q94" s="49" t="n">
        <v>1</v>
      </c>
      <c r="R94" s="26" t="n">
        <v>2026</v>
      </c>
    </row>
    <row r="95">
      <c r="A95" s="46" t="n">
        <v>31</v>
      </c>
      <c r="B95" s="47">
        <f>SUMIFS(DuLieu!$D$3:$D$101908,DuLieu!$T$3:$T$101928,A95,DuLieu!$U$3:$U$101928,Q95)</f>
        <v/>
      </c>
      <c r="C95" s="47">
        <f>SUMIFS(DuLieu!$E$3:$E$101908,DuLieu!$T$3:$T$101908,A95,DuLieu!$U$3:$U$101908,Q95)</f>
        <v/>
      </c>
      <c r="D95" s="47">
        <f>SUMIFS(DuLieu!$F$3:$F$101908,DuLieu!$T$3:$T$1001908,A95,DuLieu!$U$3:$U$101908,Q95)</f>
        <v/>
      </c>
      <c r="E95" s="47">
        <f>SUMIFS(DuLieu!$G$3:$G$101908,DuLieu!$T$3:$T$101908,A95,DuLieu!$U$3:$U$101908,Q95)</f>
        <v/>
      </c>
      <c r="F95" s="47">
        <f>SUMIFS(DuLieu!$H$3:$H$101908,DuLieu!$T$3:$T$101908,A95,DuLieu!$U$3:$U$101908,Q95)</f>
        <v/>
      </c>
      <c r="G95" s="47">
        <f>SUMIFS(DuLieu!$I$3:$I$11908,DuLieu!$T$3:$T$101908,A95,DuLieu!$U$3:$U$101908,Q95)</f>
        <v/>
      </c>
      <c r="H95" s="47">
        <f>SUMIFS(DuLieu!$J$3:$J$101908,DuLieu!$T$3:$T$101908,A95,DuLieu!$U$3:$U$101908,Q95)</f>
        <v/>
      </c>
      <c r="I95" s="47">
        <f>SUMIFS(DuLieu!$K$3:$K$101908,DuLieu!$T$3:$T$101908,A95,DuLieu!$U$3:$U$101908,Q95)</f>
        <v/>
      </c>
      <c r="J95" s="47">
        <f>SUMIFS(DuLieu!$L$3:$L$101908,DuLieu!$T$3:$T$101908,A95,DuLieu!$U$3:$U$101908,Q95)</f>
        <v/>
      </c>
      <c r="K95" s="47">
        <f>SUMIFS(DuLieu!$M$3:$M$101908,DuLieu!$T$3:$T$101908,A95,DuLieu!$U$3:$U$101908,Q95)</f>
        <v/>
      </c>
      <c r="L95" s="47">
        <f>SUMIFS(DuLieu!$N$3:$N$101908,DuLieu!$T$3:$T$101908,A95,DuLieu!$U$3:$U$101908,Q95)</f>
        <v/>
      </c>
      <c r="M95" s="47">
        <f>SUMIFS(DuLieu!$O$3:$O$101908,DuLieu!$T$3:$T$101908,A95,DuLieu!$U$3:$U$101908,Q95)</f>
        <v/>
      </c>
      <c r="N95" s="47">
        <f>SUMIFS(DuLieu!$P$3:$P$101908,DuLieu!$T$3:$T$101908,A95,DuLieu!$U$3:$U$101908,Q95)</f>
        <v/>
      </c>
      <c r="O95" s="47">
        <f>SUMIFS(DuLieu!$Q$3:$Q$101908,DuLieu!$T$3:$T$101908,A95,DuLieu!$U$3:$U$101908,Q95)</f>
        <v/>
      </c>
      <c r="P95" s="47">
        <f>SUMIFS(DuLieu!$R$3:$R$101908,DuLieu!$T$3:$T$101908,A95,DuLieu!$U$3:$U$101908,Q95)</f>
        <v/>
      </c>
      <c r="Q95" s="49" t="n">
        <v>1</v>
      </c>
      <c r="R95" s="26" t="n">
        <v>2026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S29"/>
  <sheetViews>
    <sheetView workbookViewId="0">
      <selection activeCell="A1" sqref="A1"/>
    </sheetView>
  </sheetViews>
  <sheetFormatPr baseColWidth="8" defaultColWidth="12.5703125" defaultRowHeight="15.75" customHeight="1"/>
  <cols>
    <col width="25.28515625" customWidth="1" style="117" min="1" max="2"/>
  </cols>
  <sheetData>
    <row r="1">
      <c r="A1" s="50" t="n"/>
      <c r="B1" s="61" t="inlineStr">
        <is>
          <t>Mục tiêu</t>
        </is>
      </c>
      <c r="C1" s="132" t="inlineStr">
        <is>
          <t>Tuần 1</t>
        </is>
      </c>
      <c r="D1" s="129" t="n"/>
      <c r="E1" s="130" t="n"/>
      <c r="F1" s="132" t="inlineStr">
        <is>
          <t>Tuần 2</t>
        </is>
      </c>
      <c r="G1" s="129" t="n"/>
      <c r="H1" s="130" t="n"/>
      <c r="I1" s="132" t="inlineStr">
        <is>
          <t>Tuần 3</t>
        </is>
      </c>
      <c r="J1" s="129" t="n"/>
      <c r="K1" s="130" t="n"/>
      <c r="L1" s="132" t="inlineStr">
        <is>
          <t>Tuần 4</t>
        </is>
      </c>
      <c r="M1" s="129" t="n"/>
      <c r="N1" s="130" t="n"/>
      <c r="O1" s="132" t="inlineStr">
        <is>
          <t>Tháng</t>
        </is>
      </c>
      <c r="P1" s="129" t="n"/>
      <c r="Q1" s="130" t="n"/>
    </row>
    <row r="2">
      <c r="A2" s="50" t="n"/>
      <c r="B2" s="131" t="n"/>
      <c r="C2" s="51" t="inlineStr">
        <is>
          <t>KH giao</t>
        </is>
      </c>
      <c r="D2" s="51" t="inlineStr">
        <is>
          <t>Thực hiện</t>
        </is>
      </c>
      <c r="E2" s="51" t="inlineStr">
        <is>
          <t>Còn lại</t>
        </is>
      </c>
      <c r="F2" s="51" t="inlineStr">
        <is>
          <t>KH giao</t>
        </is>
      </c>
      <c r="G2" s="51" t="inlineStr">
        <is>
          <t>Thực hiện</t>
        </is>
      </c>
      <c r="H2" s="51" t="inlineStr">
        <is>
          <t>Còn lại</t>
        </is>
      </c>
      <c r="I2" s="51" t="inlineStr">
        <is>
          <t>KH giao</t>
        </is>
      </c>
      <c r="J2" s="51" t="inlineStr">
        <is>
          <t>Thực hiện</t>
        </is>
      </c>
      <c r="K2" s="51" t="inlineStr">
        <is>
          <t>Còn lại</t>
        </is>
      </c>
      <c r="L2" s="51" t="inlineStr">
        <is>
          <t>KH giao</t>
        </is>
      </c>
      <c r="M2" s="51" t="inlineStr">
        <is>
          <t>Thực hiện</t>
        </is>
      </c>
      <c r="N2" s="51" t="inlineStr">
        <is>
          <t>Còn lại</t>
        </is>
      </c>
      <c r="O2" s="51" t="inlineStr">
        <is>
          <t>KH giao</t>
        </is>
      </c>
      <c r="P2" s="51" t="inlineStr">
        <is>
          <t>Thực hiện</t>
        </is>
      </c>
      <c r="Q2" s="51" t="inlineStr">
        <is>
          <t>Còn lại</t>
        </is>
      </c>
      <c r="R2" s="91" t="inlineStr">
        <is>
          <t>Thang</t>
        </is>
      </c>
      <c r="S2" s="91" t="inlineStr">
        <is>
          <t>Nam</t>
        </is>
      </c>
    </row>
    <row r="3">
      <c r="A3" s="52" t="inlineStr">
        <is>
          <t>TTVT Xuân Lộc</t>
        </is>
      </c>
      <c r="B3" s="53" t="inlineStr">
        <is>
          <t>Tiếp thị DV Fiber</t>
        </is>
      </c>
      <c r="C3" s="65" t="n">
        <v>1</v>
      </c>
      <c r="D3" s="55">
        <f>SUMIFS(Ngay!$B$3:$B$100000,Ngay!$A$3:$A$100000,"&gt;=1",Ngay!$A$3:$A$100000,"&lt;=7",Ngay!$Q$3:$Q$100000,$R3,Ngay!$R$3:$R$100000,$S3)</f>
        <v/>
      </c>
      <c r="E3" s="65">
        <f>IF(C3&gt;=D3,C3-D3,0)</f>
        <v/>
      </c>
      <c r="F3" s="65" t="n">
        <v>1</v>
      </c>
      <c r="G3" s="55">
        <f>SUMIFS(Ngay!$B$3:$B$100000,Ngay!$A$3:$A$100000,"&gt;=8",Ngay!$A$3:$A$100000,"&lt;=14",Ngay!$Q$3:$Q$100000,$R3,Ngay!$R$3:$R$100000,$S3)</f>
        <v/>
      </c>
      <c r="H3" s="65">
        <f>IF(F3&gt;=G3,F3-G3,0)</f>
        <v/>
      </c>
      <c r="I3" s="65" t="n">
        <v>2</v>
      </c>
      <c r="J3" s="55">
        <f>SUMIFS(Ngay!$B$3:$B$100000,Ngay!$A$3:$A$100000,"&gt;=15",Ngay!$A$3:$A$100000,"&lt;=21",Ngay!$Q$3:$Q$100000,$R3,Ngay!$R$3:$R$100000,$S3)</f>
        <v/>
      </c>
      <c r="K3" s="65">
        <f>IF(I3&gt;=J3,I3-J3,0)</f>
        <v/>
      </c>
      <c r="L3" s="65" t="n">
        <v>2</v>
      </c>
      <c r="M3" s="55">
        <f>SUMIFS(Ngay!$B$3:$B$100000,Ngay!$A$3:$A$100000,"&gt;=22",Ngay!$A$3:$A$100000,"&lt;=31",Ngay!$Q$3:$Q$100000,$R3,Ngay!$R$3:$R$100000,$S3)</f>
        <v/>
      </c>
      <c r="N3" s="65">
        <f>IF(L3&gt;=M3,L3-M3,0)</f>
        <v/>
      </c>
      <c r="O3" s="65" t="n">
        <v>4</v>
      </c>
      <c r="P3" s="57">
        <f>D3+G3+J3+M3</f>
        <v/>
      </c>
      <c r="Q3" s="47">
        <f>IF(O3&gt;=P3,O3-P3,0)</f>
        <v/>
      </c>
      <c r="R3" s="49" t="n">
        <v>11</v>
      </c>
      <c r="S3" s="49" t="n">
        <v>2025</v>
      </c>
    </row>
    <row r="4">
      <c r="A4" s="52" t="inlineStr">
        <is>
          <t>TTVT Xuân Lộc</t>
        </is>
      </c>
      <c r="B4" s="58" t="inlineStr">
        <is>
          <t>Tiếp thị DV MyTV</t>
        </is>
      </c>
      <c r="C4" s="65" t="n">
        <v>1</v>
      </c>
      <c r="D4" s="55">
        <f>SUMIFS(Ngay!$C$3:$C$100000,Ngay!$A$3:$A$100000,"&gt;=1",Ngay!$A$3:$A$100000,"&lt;=7",Ngay!$Q$3:$Q$100000,$R4,Ngay!$R$3:$R$100000,$S4)</f>
        <v/>
      </c>
      <c r="E4" s="65">
        <f>IF(C4&gt;=D4,C4-D4,0)</f>
        <v/>
      </c>
      <c r="F4" s="65" t="n">
        <v>1</v>
      </c>
      <c r="G4" s="55">
        <f>SUMIFS(Ngay!$C$3:$C$100000,Ngay!$A$3:$A$100000,"&gt;=8",Ngay!$A$3:$A$100000,"&lt;=14",Ngay!$Q$3:$Q$100000,$R4,Ngay!$R$3:$R$100000,$S4)</f>
        <v/>
      </c>
      <c r="H4" s="65">
        <f>IF(F4&gt;=G4,F4-G4,0)</f>
        <v/>
      </c>
      <c r="I4" s="65" t="n">
        <v>2</v>
      </c>
      <c r="J4" s="55">
        <f>SUMIFS(Ngay!$C$3:$C$100000,Ngay!$A$3:$A$100000,"&gt;=15",Ngay!$A$3:$A$100000,"&lt;=21",Ngay!$Q$3:$Q$100000,$R4,Ngay!$R$3:$R$100000,$S4)</f>
        <v/>
      </c>
      <c r="K4" s="65">
        <f>IF(I4&gt;=J4,I4-J4,0)</f>
        <v/>
      </c>
      <c r="L4" s="65" t="n">
        <v>2</v>
      </c>
      <c r="M4" s="55">
        <f>SUMIFS(Ngay!$C$3:$C$100000,Ngay!$A$3:$A$100000,"&gt;=22",Ngay!$A$3:$A$100000,"&lt;=31",Ngay!$Q$3:$Q$100000,$R4,Ngay!$R$3:$R$100000,$S4)</f>
        <v/>
      </c>
      <c r="N4" s="65">
        <f>IF(L4&gt;=M4,L4-M4,0)</f>
        <v/>
      </c>
      <c r="O4" s="65" t="n">
        <v>5</v>
      </c>
      <c r="P4" s="57">
        <f>D4+G4+J4+M4</f>
        <v/>
      </c>
      <c r="Q4" s="47">
        <f>IF(O4&gt;=P4,O4-P4,0)</f>
        <v/>
      </c>
      <c r="R4" s="49" t="n">
        <v>11</v>
      </c>
      <c r="S4" s="49" t="n">
        <v>2025</v>
      </c>
    </row>
    <row r="5">
      <c r="A5" s="52" t="inlineStr">
        <is>
          <t>TTVT Xuân Lộc</t>
        </is>
      </c>
      <c r="B5" s="53" t="inlineStr">
        <is>
          <t>Tiếp thị DV Camera/Mesh</t>
        </is>
      </c>
      <c r="C5" s="65" t="n">
        <v>1</v>
      </c>
      <c r="D5" s="55">
        <f>SUMIFS(Ngay!$D$3:$D$100000,Ngay!$A$3:$A$100000,"&gt;=1",Ngay!$A$3:$A$100000,"&lt;=7",Ngay!$Q$3:$Q$100000,$R5,Ngay!$R$3:$R$100000,$S5)</f>
        <v/>
      </c>
      <c r="E5" s="65">
        <f>IF(C5&gt;=D5,C5-D5,0)</f>
        <v/>
      </c>
      <c r="F5" s="65" t="n">
        <v>1</v>
      </c>
      <c r="G5" s="55">
        <f>SUMIFS(Ngay!$D$3:$D$100000,Ngay!$A$3:$A$100000,"&gt;=8",Ngay!$A$3:$A$100000,"&lt;=14",Ngay!$Q$3:$Q$100000,$R5,Ngay!$R$3:$R$100000,$S5)</f>
        <v/>
      </c>
      <c r="H5" s="65">
        <f>IF(F5&gt;=G5,F5-G5,0)</f>
        <v/>
      </c>
      <c r="I5" s="65" t="n">
        <v>2</v>
      </c>
      <c r="J5" s="55">
        <f>SUMIFS(Ngay!$D$3:$D$100000,Ngay!$A$3:$A$100000,"&gt;=15",Ngay!$A$3:$A$100000,"&lt;=21",Ngay!$Q$3:$Q$100000,$R5,Ngay!$R$3:$R$100000,$S5)</f>
        <v/>
      </c>
      <c r="K5" s="65">
        <f>IF(I5&gt;=J5,I5-J5,0)</f>
        <v/>
      </c>
      <c r="L5" s="65" t="n">
        <v>2</v>
      </c>
      <c r="M5" s="55">
        <f>SUMIFS(Ngay!$D$3:$D$100000,Ngay!$A$3:$A$100000,"&gt;=22",Ngay!$A$3:$A$100000,"&lt;=31",Ngay!$Q$3:$Q$100000,$R5,Ngay!$R$3:$R$100000,$S5)</f>
        <v/>
      </c>
      <c r="N5" s="65">
        <f>IF(L5&gt;=M5,L5-M5,0)</f>
        <v/>
      </c>
      <c r="O5" s="65" t="n">
        <v>6</v>
      </c>
      <c r="P5" s="57">
        <f>D5+G5+J5+M5</f>
        <v/>
      </c>
      <c r="Q5" s="47">
        <f>IF(O5&gt;=P5,O5-P5,0)</f>
        <v/>
      </c>
      <c r="R5" s="49" t="n">
        <v>11</v>
      </c>
      <c r="S5" s="49" t="n">
        <v>2025</v>
      </c>
    </row>
    <row r="6">
      <c r="A6" s="52" t="inlineStr">
        <is>
          <t>TTVT Xuân Lộc</t>
        </is>
      </c>
      <c r="B6" s="58" t="inlineStr">
        <is>
          <t>Tạm ngưng Fiber</t>
        </is>
      </c>
      <c r="C6" s="59" t="n"/>
      <c r="D6" s="55">
        <f>SUMIFS(Ngay!$E$3:$E$100000,Ngay!$A$3:$A$100000,"&gt;=1",Ngay!$A$3:$A$100000,"&lt;=7",Ngay!$Q$3:$Q$100000,$R6,Ngay!$R$3:$R$100000,$S6)</f>
        <v/>
      </c>
      <c r="E6" s="65">
        <f>IF(C6&gt;=D6,C6-D6,0)</f>
        <v/>
      </c>
      <c r="F6" s="59" t="n"/>
      <c r="G6" s="55">
        <f>SUMIFS(Ngay!$E$3:$E$100000,Ngay!$A$3:$A$100000,"&gt;=8",Ngay!$A$3:$A$100000,"&lt;=14",Ngay!$Q$3:$Q$100000,$R6,Ngay!$R$3:$R$100000,$S6)</f>
        <v/>
      </c>
      <c r="H6" s="65">
        <f>IF(F6&gt;=G6,F6-G6,0)</f>
        <v/>
      </c>
      <c r="I6" s="59" t="n"/>
      <c r="J6" s="55">
        <f>SUMIFS(Ngay!$E$3:$E$100000,Ngay!$A$3:$A$100000,"&gt;=15",Ngay!$A$3:$A$100000,"&lt;=21",Ngay!$Q$3:$Q$100000,$R6,Ngay!$R$3:$R$100000,$S6)</f>
        <v/>
      </c>
      <c r="K6" s="65">
        <f>IF(I6&gt;=J6,I6-J6,0)</f>
        <v/>
      </c>
      <c r="L6" s="59" t="n"/>
      <c r="M6" s="55">
        <f>SUMIFS(Ngay!$E$3:$E$100000,Ngay!$A$3:$A$100000,"&gt;=22",Ngay!$A$3:$A$100000,"&lt;=31",Ngay!$Q$3:$Q$100000,$R6,Ngay!$R$3:$R$100000,$S6)</f>
        <v/>
      </c>
      <c r="N6" s="65">
        <f>IF(L6&gt;=M6,L6-M6,0)</f>
        <v/>
      </c>
      <c r="O6" s="65" t="n">
        <v>4</v>
      </c>
      <c r="P6" s="57">
        <f>D6+G6+J6+M6</f>
        <v/>
      </c>
      <c r="Q6" s="47">
        <f>IF(O6&gt;=P6,O6-P6,0)</f>
        <v/>
      </c>
      <c r="R6" s="49" t="n">
        <v>11</v>
      </c>
      <c r="S6" s="49" t="n">
        <v>2025</v>
      </c>
    </row>
    <row r="7">
      <c r="A7" s="52" t="inlineStr">
        <is>
          <t>TTVT Xuân Lộc</t>
        </is>
      </c>
      <c r="B7" s="53" t="inlineStr">
        <is>
          <t>Tạm ngưng Mytv</t>
        </is>
      </c>
      <c r="C7" s="59" t="n"/>
      <c r="D7" s="55">
        <f>SUMIFS(Ngay!$F$3:$F$100000,Ngay!$A$3:$A$100000,"&gt;=1",Ngay!$A$3:$A$100000,"&lt;=7",Ngay!$Q$3:$Q$100000,$R7,Ngay!$R$3:$R$100000,$S7)</f>
        <v/>
      </c>
      <c r="E7" s="65">
        <f>IF(C7&gt;=D7,C7-D7,0)</f>
        <v/>
      </c>
      <c r="F7" s="59" t="n"/>
      <c r="G7" s="55">
        <f>SUMIFS(Ngay!$F$3:$F$100000,Ngay!$A$3:$A$100000,"&gt;=8",Ngay!$A$3:$A$100000,"&lt;=14",Ngay!$Q$3:$Q$100000,$R7,Ngay!$R$3:$R$100000,$S7)</f>
        <v/>
      </c>
      <c r="H7" s="65">
        <f>IF(F7&gt;=G7,F7-G7,0)</f>
        <v/>
      </c>
      <c r="I7" s="59" t="n"/>
      <c r="J7" s="55">
        <f>SUMIFS(Ngay!$F$3:$F$100000,Ngay!$A$3:$A$100000,"&gt;=15",Ngay!$A$3:$A$100000,"&lt;=21",Ngay!$Q$3:$Q$100000,$R7,Ngay!$R$3:$R$100000,$S7)</f>
        <v/>
      </c>
      <c r="K7" s="65">
        <f>IF(I7&gt;=J7,I7-J7,0)</f>
        <v/>
      </c>
      <c r="L7" s="59" t="n"/>
      <c r="M7" s="55">
        <f>SUMIFS(Ngay!$F$3:$F$100000,Ngay!$A$3:$A$100000,"&gt;=22",Ngay!$A$3:$A$100000,"&lt;=31",Ngay!$Q$3:$Q$100000,$R7,Ngay!$R$3:$R$100000,$S7)</f>
        <v/>
      </c>
      <c r="N7" s="65">
        <f>IF(L7&gt;=M7,L7-M7,0)</f>
        <v/>
      </c>
      <c r="O7" s="65" t="n">
        <v>2</v>
      </c>
      <c r="P7" s="57">
        <f>D7+G7+J7+M7</f>
        <v/>
      </c>
      <c r="Q7" s="47">
        <f>IF(O7&gt;=P7,O7-P7,0)</f>
        <v/>
      </c>
      <c r="R7" s="49" t="n">
        <v>11</v>
      </c>
      <c r="S7" s="49" t="n">
        <v>2025</v>
      </c>
    </row>
    <row r="8">
      <c r="A8" s="52" t="inlineStr">
        <is>
          <t>TTVT Xuân Lộc</t>
        </is>
      </c>
      <c r="B8" s="58" t="inlineStr">
        <is>
          <t>Thay thế ONT 2 băng tần</t>
        </is>
      </c>
      <c r="C8" s="65" t="n">
        <v>10</v>
      </c>
      <c r="D8" s="55">
        <f>SUMIFS(Ngay!$G$3:$G$100000,Ngay!$A$3:$A$100000,"&gt;=1",Ngay!$A$3:$A$100000,"&lt;=7",Ngay!$Q$3:$Q$100000,$R8,Ngay!$R$3:$R$100000,$S8)</f>
        <v/>
      </c>
      <c r="E8" s="65">
        <f>IF(C8&gt;=D8,C8-D8,0)</f>
        <v/>
      </c>
      <c r="F8" s="65" t="n">
        <v>10</v>
      </c>
      <c r="G8" s="55">
        <f>SUMIFS(Ngay!$G$3:$G$100000,Ngay!$A$3:$A$100000,"&gt;=8",Ngay!$A$3:$A$100000,"&lt;=14",Ngay!$Q$3:$Q$100000,$R8,Ngay!$R$3:$R$100000,$S8)</f>
        <v/>
      </c>
      <c r="H8" s="65">
        <f>IF(F8&gt;=G8,F8-G8,0)</f>
        <v/>
      </c>
      <c r="I8" s="65" t="n">
        <v>10</v>
      </c>
      <c r="J8" s="55">
        <f>SUMIFS(Ngay!$G$3:$G$100000,Ngay!$A$3:$A$100000,"&gt;=15",Ngay!$A$3:$A$100000,"&lt;=21",Ngay!$Q$3:$Q$100000,$R8,Ngay!$R$3:$R$100000,$S8)</f>
        <v/>
      </c>
      <c r="K8" s="65">
        <f>IF(I8&gt;=J8,I8-J8,0)</f>
        <v/>
      </c>
      <c r="L8" s="65" t="n">
        <v>10</v>
      </c>
      <c r="M8" s="55">
        <f>SUMIFS(Ngay!$G$3:$G$100000,Ngay!$A$3:$A$100000,"&gt;=22",Ngay!$A$3:$A$100000,"&lt;=31",Ngay!$Q$3:$Q$100000,$R8,Ngay!$R$3:$R$100000,$S8)</f>
        <v/>
      </c>
      <c r="N8" s="65">
        <f>IF(L8&gt;=M8,L8-M8,0)</f>
        <v/>
      </c>
      <c r="O8" s="65" t="n">
        <v>40</v>
      </c>
      <c r="P8" s="57">
        <f>D8+G8+J8+M8</f>
        <v/>
      </c>
      <c r="Q8" s="47">
        <f>IF(O8&gt;=P8,O8-P8,0)</f>
        <v/>
      </c>
      <c r="R8" s="49" t="n">
        <v>11</v>
      </c>
      <c r="S8" s="49" t="n">
        <v>2025</v>
      </c>
    </row>
    <row r="9">
      <c r="A9" s="52" t="inlineStr">
        <is>
          <t>TTVT Xuân Lộc</t>
        </is>
      </c>
      <c r="B9" s="53" t="inlineStr">
        <is>
          <t>CSKH HVC chuyển XGSPON</t>
        </is>
      </c>
      <c r="C9" s="65" t="n">
        <v>10</v>
      </c>
      <c r="D9" s="55">
        <f>SUMIFS(Ngay!$H$3:$H$100000,Ngay!$A$3:$A$100000,"&gt;=1",Ngay!$A$3:$A$100000,"&lt;=7",Ngay!$Q$3:$Q$100000,$R9,Ngay!$R$3:$R$100000,$S9)</f>
        <v/>
      </c>
      <c r="E9" s="65">
        <f>IF(C9&gt;=D9,C9-D9,0)</f>
        <v/>
      </c>
      <c r="F9" s="65" t="n">
        <v>10</v>
      </c>
      <c r="G9" s="55">
        <f>SUMIFS(Ngay!$H$3:$H$100000,Ngay!$A$3:$A$100000,"&gt;=8",Ngay!$A$3:$A$100000,"&lt;=14",Ngay!$Q$3:$Q$100000,$R9,Ngay!$R$3:$R$100000,$S9)</f>
        <v/>
      </c>
      <c r="H9" s="65">
        <f>IF(F9&gt;=G9,F9-G9,0)</f>
        <v/>
      </c>
      <c r="I9" s="65" t="n">
        <v>10</v>
      </c>
      <c r="J9" s="55">
        <f>SUMIFS(Ngay!$H$3:$H$100000,Ngay!$A$3:$A$100000,"&gt;=15",Ngay!$A$3:$A$100000,"&lt;=31",Ngay!$Q$3:$Q$100000,$R9,Ngay!$R$3:$R$100000,$S9)</f>
        <v/>
      </c>
      <c r="K9" s="65">
        <f>IF(I9&gt;=J9,I9-J9,0)</f>
        <v/>
      </c>
      <c r="L9" s="65" t="n">
        <v>10</v>
      </c>
      <c r="M9" s="55">
        <f>SUMIFS(Ngay!$H$3:$H$100000,Ngay!$A$3:$A$100000,"&gt;=22",Ngay!$A$3:$A$100000,"&lt;=31",Ngay!$Q$3:$Q$100000,$R9,Ngay!$R$3:$R$100000,$S9)</f>
        <v/>
      </c>
      <c r="N9" s="65">
        <f>IF(L9&gt;=M9,L9-M9,0)</f>
        <v/>
      </c>
      <c r="O9" s="65" t="n">
        <v>20</v>
      </c>
      <c r="P9" s="57">
        <f>D9+G9+J9+M9</f>
        <v/>
      </c>
      <c r="Q9" s="47">
        <f>IF(O9&gt;=P9,O9-P9,0)</f>
        <v/>
      </c>
      <c r="R9" s="49" t="n">
        <v>11</v>
      </c>
      <c r="S9" s="49" t="n">
        <v>2025</v>
      </c>
    </row>
    <row r="10">
      <c r="A10" s="52" t="inlineStr">
        <is>
          <t>TTVT Xuân Lộc</t>
        </is>
      </c>
      <c r="B10" s="58" t="inlineStr">
        <is>
          <t>Phiếu GHTT tháng T</t>
        </is>
      </c>
      <c r="C10" s="65" t="n">
        <v>50</v>
      </c>
      <c r="D10" s="55">
        <f>SUMIFS(Ngay!$I$3:$I$100000,Ngay!$A$3:$A$100000,"&gt;=1",Ngay!$A$3:$A$100000,"&lt;=7",Ngay!$Q$3:$Q$100000,$R10,Ngay!$R$3:$R$100000,$S10)</f>
        <v/>
      </c>
      <c r="E10" s="65">
        <f>IF(C10&gt;=D10,C10-D10,0)</f>
        <v/>
      </c>
      <c r="F10" s="65" t="n">
        <v>50</v>
      </c>
      <c r="G10" s="55">
        <f>SUMIFS(Ngay!$I$3:$I$100000,Ngay!$A$3:$A$100000,"&gt;=8",Ngay!$A$3:$A$100000,"&lt;=14",Ngay!$Q$3:$Q$100000,$R10,Ngay!$R$3:$R$100000,$S10)</f>
        <v/>
      </c>
      <c r="H10" s="65">
        <f>IF(F10&gt;=G10,F10-G10,0)</f>
        <v/>
      </c>
      <c r="I10" s="65" t="n">
        <v>50</v>
      </c>
      <c r="J10" s="55">
        <f>SUMIFS(Ngay!$I$3:$I$100000,Ngay!$A$3:$A$100000,"&gt;=15",Ngay!$A$3:$A$100000,"&lt;=21",Ngay!$Q$3:$Q$100000,$R10,Ngay!$R$3:$R$100000,$S10)</f>
        <v/>
      </c>
      <c r="K10" s="65">
        <f>IF(I10&gt;=J10,I10-J10,0)</f>
        <v/>
      </c>
      <c r="L10" s="65" t="n">
        <v>50</v>
      </c>
      <c r="M10" s="55">
        <f>SUMIFS(Ngay!$I$3:$I$100000,Ngay!$A$3:$A$100000,"&gt;=22",Ngay!$A$3:$A$100000,"&lt;=31",Ngay!$Q$3:$Q$100000,$R10,Ngay!$R$3:$R$100000,$S10)</f>
        <v/>
      </c>
      <c r="N10" s="65">
        <f>IF(L10&gt;=M10,L10-M10,0)</f>
        <v/>
      </c>
      <c r="O10" s="65" t="n">
        <v>150</v>
      </c>
      <c r="P10" s="57">
        <f>D10+G10+J10+M10</f>
        <v/>
      </c>
      <c r="Q10" s="47">
        <f>IF(O10&gt;=P10,O10-P10,0)</f>
        <v/>
      </c>
      <c r="R10" s="49" t="n">
        <v>11</v>
      </c>
      <c r="S10" s="49" t="n">
        <v>2025</v>
      </c>
    </row>
    <row r="11">
      <c r="A11" s="52" t="inlineStr">
        <is>
          <t>TTVT Xuân Lộc</t>
        </is>
      </c>
      <c r="B11" s="53" t="inlineStr">
        <is>
          <t>Phiếu GHTT tháng T+1</t>
        </is>
      </c>
      <c r="C11" s="65" t="n">
        <v>10</v>
      </c>
      <c r="D11" s="55">
        <f>SUMIFS(Ngay!$J$3:$J$100000,Ngay!$A$3:$A$100000,"&gt;=1",Ngay!$A$3:$A$100000,"&lt;=7",Ngay!$Q$3:$Q$100000,$R11,Ngay!$R$3:$R$100000,$S11)</f>
        <v/>
      </c>
      <c r="E11" s="65">
        <f>IF(C11&gt;=D11,C11-D11,0)</f>
        <v/>
      </c>
      <c r="F11" s="65" t="n">
        <v>10</v>
      </c>
      <c r="G11" s="55">
        <f>SUMIFS(Ngay!$J$3:$J$100000,Ngay!$A$3:$A$100000,"&gt;=8",Ngay!$A$3:$A$100000,"&lt;=14",Ngay!$Q$3:$Q$100000,$R11,Ngay!$R$3:$R$100000,$S11)</f>
        <v/>
      </c>
      <c r="H11" s="65">
        <f>IF(F11&gt;=G11,F11-G11,0)</f>
        <v/>
      </c>
      <c r="I11" s="65" t="n">
        <v>10</v>
      </c>
      <c r="J11" s="55">
        <f>SUMIFS(Ngay!$J$3:$J$100000,Ngay!$A$3:$A$100000,"&gt;=15",Ngay!$A$3:$A$100000,"&lt;=21",Ngay!$Q$3:$Q$100000,$R11,Ngay!$R$3:$R$100000,$S11)</f>
        <v/>
      </c>
      <c r="K11" s="65">
        <f>IF(I11&gt;=J11,I11-J11,0)</f>
        <v/>
      </c>
      <c r="L11" s="65" t="n">
        <v>10</v>
      </c>
      <c r="M11" s="55">
        <f>SUMIFS(Ngay!$J$3:$J$100000,Ngay!$A$3:$A$100000,"&gt;=22",Ngay!$A$3:$A$100000,"&lt;=31",Ngay!$Q$3:$Q$100000,$R11,Ngay!$R$3:$R$100000,$S11)</f>
        <v/>
      </c>
      <c r="N11" s="65">
        <f>IF(L11&gt;=M11,L11-M11,0)</f>
        <v/>
      </c>
      <c r="O11" s="65" t="n">
        <v>1</v>
      </c>
      <c r="P11" s="57">
        <f>D11+G11+J11+M11</f>
        <v/>
      </c>
      <c r="Q11" s="65">
        <f>IF(O11&gt;=P11,O11-P11,0)</f>
        <v/>
      </c>
      <c r="R11" s="49" t="n">
        <v>11</v>
      </c>
      <c r="S11" s="49" t="n">
        <v>2025</v>
      </c>
    </row>
    <row r="12">
      <c r="A12" s="52" t="inlineStr">
        <is>
          <t>TTVT Xuân Lộc</t>
        </is>
      </c>
      <c r="B12" s="53" t="inlineStr">
        <is>
          <t>Tiếp thị DV Fiber</t>
        </is>
      </c>
      <c r="C12" s="65" t="n">
        <v>1</v>
      </c>
      <c r="D12" s="55">
        <f>SUMIFS(Ngay!$B$3:$B$100000,Ngay!$A$3:$A$100000,"&gt;=1",Ngay!$A$3:$A$100000,"&lt;=7",Ngay!$Q$3:$Q$100000,$R12,Ngay!$R$3:$R$100000,$S12)</f>
        <v/>
      </c>
      <c r="E12" s="65">
        <f>IF(C12&gt;=D12,C12-D12,0)</f>
        <v/>
      </c>
      <c r="F12" s="65" t="n">
        <v>1</v>
      </c>
      <c r="G12" s="55">
        <f>SUMIFS(Ngay!$B$3:$B$100000,Ngay!$A$3:$A$100000,"&gt;=8",Ngay!$A$3:$A$100000,"&lt;=14",Ngay!$Q$3:$Q$100000,$R12,Ngay!$R$3:$R$100000,$S12)</f>
        <v/>
      </c>
      <c r="H12" s="65">
        <f>IF(F12&gt;=G12,F12-G12,0)</f>
        <v/>
      </c>
      <c r="I12" s="65" t="n">
        <v>2</v>
      </c>
      <c r="J12" s="55">
        <f>SUMIFS(Ngay!$B$3:$B$100000,Ngay!$A$3:$A$100000,"&gt;=15",Ngay!$A$3:$A$100000,"&lt;=21",Ngay!$Q$3:$Q$100000,$R12,Ngay!$R$3:$R$100000,$S12)</f>
        <v/>
      </c>
      <c r="K12" s="65">
        <f>IF(I12&gt;=J12,I12-J12,0)</f>
        <v/>
      </c>
      <c r="L12" s="65" t="n">
        <v>2</v>
      </c>
      <c r="M12" s="55">
        <f>SUMIFS(Ngay!$B$3:$B$100000,Ngay!$A$3:$A$100000,"&gt;=22",Ngay!$A$3:$A$100000,"&lt;=31",Ngay!$Q$3:$Q$100000,$R12,Ngay!$R$3:$R$100000,$S12)</f>
        <v/>
      </c>
      <c r="N12" s="65">
        <f>IF(L12&gt;=M12,L12-M12,0)</f>
        <v/>
      </c>
      <c r="O12" s="65" t="n">
        <v>4</v>
      </c>
      <c r="P12" s="57">
        <f>D12+G12+J12+M12</f>
        <v/>
      </c>
      <c r="Q12" s="47">
        <f>IF(O12&gt;=P12,O12-P12,0)</f>
        <v/>
      </c>
      <c r="R12" s="49" t="n">
        <v>12</v>
      </c>
      <c r="S12" s="49" t="n">
        <v>2025</v>
      </c>
    </row>
    <row r="13">
      <c r="A13" s="52" t="inlineStr">
        <is>
          <t>TTVT Xuân Lộc</t>
        </is>
      </c>
      <c r="B13" s="58" t="inlineStr">
        <is>
          <t>Tiếp thị DV MyTV</t>
        </is>
      </c>
      <c r="C13" s="65" t="n">
        <v>1</v>
      </c>
      <c r="D13" s="55">
        <f>SUMIFS(Ngay!$C$3:$C$100000,Ngay!$A$3:$A$100000,"&gt;=1",Ngay!$A$3:$A$100000,"&lt;=7",Ngay!$Q$3:$Q$100000,$R13,Ngay!$R$3:$R$100000,$S13)</f>
        <v/>
      </c>
      <c r="E13" s="65">
        <f>IF(C13&gt;=D13,C13-D13,0)</f>
        <v/>
      </c>
      <c r="F13" s="65" t="n">
        <v>1</v>
      </c>
      <c r="G13" s="55">
        <f>SUMIFS(Ngay!$C$3:$C$100000,Ngay!$A$3:$A$100000,"&gt;=8",Ngay!$A$3:$A$100000,"&lt;=14",Ngay!$Q$3:$Q$100000,$R13,Ngay!$R$3:$R$100000,$S13)</f>
        <v/>
      </c>
      <c r="H13" s="65">
        <f>IF(F13&gt;=G13,F13-G13,0)</f>
        <v/>
      </c>
      <c r="I13" s="65" t="n">
        <v>2</v>
      </c>
      <c r="J13" s="55">
        <f>SUMIFS(Ngay!$C$3:$C$100000,Ngay!$A$3:$A$100000,"&gt;=15",Ngay!$A$3:$A$100000,"&lt;=21",Ngay!$Q$3:$Q$100000,$R13,Ngay!$R$3:$R$100000,$S13)</f>
        <v/>
      </c>
      <c r="K13" s="65">
        <f>IF(I13&gt;=J13,I13-J13,0)</f>
        <v/>
      </c>
      <c r="L13" s="65" t="n">
        <v>2</v>
      </c>
      <c r="M13" s="55">
        <f>SUMIFS(Ngay!$C$3:$C$100000,Ngay!$A$3:$A$100000,"&gt;=22",Ngay!$A$3:$A$100000,"&lt;=31",Ngay!$Q$3:$Q$100000,$R13,Ngay!$R$3:$R$100000,$S13)</f>
        <v/>
      </c>
      <c r="N13" s="65">
        <f>IF(L13&gt;=M13,L13-M13,0)</f>
        <v/>
      </c>
      <c r="O13" s="65" t="n">
        <v>5</v>
      </c>
      <c r="P13" s="57">
        <f>D13+G13+J13+M13</f>
        <v/>
      </c>
      <c r="Q13" s="47">
        <f>IF(O13&gt;=P13,O13-P13,0)</f>
        <v/>
      </c>
      <c r="R13" s="49" t="n">
        <v>12</v>
      </c>
      <c r="S13" s="49" t="n">
        <v>2025</v>
      </c>
    </row>
    <row r="14">
      <c r="A14" s="52" t="inlineStr">
        <is>
          <t>TTVT Xuân Lộc</t>
        </is>
      </c>
      <c r="B14" s="53" t="inlineStr">
        <is>
          <t>Tiếp thị DV Camera/Mesh</t>
        </is>
      </c>
      <c r="C14" s="65" t="n">
        <v>1</v>
      </c>
      <c r="D14" s="55">
        <f>SUMIFS(Ngay!$D$3:$D$100000,Ngay!$A$3:$A$100000,"&gt;=1",Ngay!$A$3:$A$100000,"&lt;=7",Ngay!$Q$3:$Q$100000,$R14,Ngay!$R$3:$R$100000,$S14)</f>
        <v/>
      </c>
      <c r="E14" s="65">
        <f>IF(C14&gt;=D14,C14-D14,0)</f>
        <v/>
      </c>
      <c r="F14" s="65" t="n">
        <v>1</v>
      </c>
      <c r="G14" s="55">
        <f>SUMIFS(Ngay!$D$3:$D$100000,Ngay!$A$3:$A$100000,"&gt;=8",Ngay!$A$3:$A$100000,"&lt;=14",Ngay!$Q$3:$Q$100000,$R14,Ngay!$R$3:$R$100000,$S14)</f>
        <v/>
      </c>
      <c r="H14" s="65">
        <f>IF(F14&gt;=G14,F14-G14,0)</f>
        <v/>
      </c>
      <c r="I14" s="65" t="n">
        <v>2</v>
      </c>
      <c r="J14" s="55">
        <f>SUMIFS(Ngay!$D$3:$D$100000,Ngay!$A$3:$A$100000,"&gt;=15",Ngay!$A$3:$A$100000,"&lt;=21",Ngay!$Q$3:$Q$100000,$R14,Ngay!$R$3:$R$100000,$S14)</f>
        <v/>
      </c>
      <c r="K14" s="65">
        <f>IF(I14&gt;=J14,I14-J14,0)</f>
        <v/>
      </c>
      <c r="L14" s="65" t="n">
        <v>2</v>
      </c>
      <c r="M14" s="55">
        <f>SUMIFS(Ngay!$D$3:$D$100000,Ngay!$A$3:$A$100000,"&gt;=22",Ngay!$A$3:$A$100000,"&lt;=31",Ngay!$Q$3:$Q$100000,$R14,Ngay!$R$3:$R$100000,$S14)</f>
        <v/>
      </c>
      <c r="N14" s="65">
        <f>IF(L14&gt;=M14,L14-M14,0)</f>
        <v/>
      </c>
      <c r="O14" s="65" t="n">
        <v>6</v>
      </c>
      <c r="P14" s="57">
        <f>D14+G14+J14+M14</f>
        <v/>
      </c>
      <c r="Q14" s="47">
        <f>IF(O14&gt;=P14,O14-P14,0)</f>
        <v/>
      </c>
      <c r="R14" s="49" t="n">
        <v>12</v>
      </c>
      <c r="S14" s="49" t="n">
        <v>2025</v>
      </c>
    </row>
    <row r="15">
      <c r="A15" s="52" t="inlineStr">
        <is>
          <t>TTVT Xuân Lộc</t>
        </is>
      </c>
      <c r="B15" s="58" t="inlineStr">
        <is>
          <t>Tạm ngưng Fiber</t>
        </is>
      </c>
      <c r="C15" s="59" t="n"/>
      <c r="D15" s="55">
        <f>SUMIFS(Ngay!$E$3:$E$100000,Ngay!$A$3:$A$100000,"&gt;=1",Ngay!$A$3:$A$100000,"&lt;=7",Ngay!$Q$3:$Q$100000,$R15,Ngay!$R$3:$R$100000,$S15)</f>
        <v/>
      </c>
      <c r="E15" s="65">
        <f>IF(C15&gt;=D15,C15-D15,0)</f>
        <v/>
      </c>
      <c r="F15" s="59" t="n"/>
      <c r="G15" s="55">
        <f>SUMIFS(Ngay!$E$3:$E$100000,Ngay!$A$3:$A$100000,"&gt;=8",Ngay!$A$3:$A$100000,"&lt;=14",Ngay!$Q$3:$Q$100000,$R15,Ngay!$R$3:$R$100000,$S15)</f>
        <v/>
      </c>
      <c r="H15" s="65">
        <f>IF(F15&gt;=G15,F15-G15,0)</f>
        <v/>
      </c>
      <c r="I15" s="59" t="n"/>
      <c r="J15" s="55">
        <f>SUMIFS(Ngay!$E$3:$E$100000,Ngay!$A$3:$A$100000,"&gt;=15",Ngay!$A$3:$A$100000,"&lt;=21",Ngay!$Q$3:$Q$100000,$R15,Ngay!$R$3:$R$100000,$S15)</f>
        <v/>
      </c>
      <c r="K15" s="65">
        <f>IF(I15&gt;=J15,I15-J15,0)</f>
        <v/>
      </c>
      <c r="L15" s="59" t="n"/>
      <c r="M15" s="55">
        <f>SUMIFS(Ngay!$E$3:$E$100000,Ngay!$A$3:$A$100000,"&gt;=22",Ngay!$A$3:$A$100000,"&lt;=31",Ngay!$Q$3:$Q$100000,$R15,Ngay!$R$3:$R$100000,$S15)</f>
        <v/>
      </c>
      <c r="N15" s="65">
        <f>IF(L15&gt;=M15,L15-M15,0)</f>
        <v/>
      </c>
      <c r="O15" s="65" t="n">
        <v>4</v>
      </c>
      <c r="P15" s="57">
        <f>D15+G15+J15+M15</f>
        <v/>
      </c>
      <c r="Q15" s="47">
        <f>IF(O15&gt;=P15,O15-P15,0)</f>
        <v/>
      </c>
      <c r="R15" s="49" t="n">
        <v>12</v>
      </c>
      <c r="S15" s="49" t="n">
        <v>2025</v>
      </c>
    </row>
    <row r="16">
      <c r="A16" s="52" t="inlineStr">
        <is>
          <t>TTVT Xuân Lộc</t>
        </is>
      </c>
      <c r="B16" s="53" t="inlineStr">
        <is>
          <t>Tạm ngưng Mytv</t>
        </is>
      </c>
      <c r="C16" s="59" t="n"/>
      <c r="D16" s="55">
        <f>SUMIFS(Ngay!$F$3:$F$100000,Ngay!$A$3:$A$100000,"&gt;=1",Ngay!$A$3:$A$100000,"&lt;=7",Ngay!$Q$3:$Q$100000,$R16,Ngay!$R$3:$R$100000,$S16)</f>
        <v/>
      </c>
      <c r="E16" s="65">
        <f>IF(C16&gt;=D16,C16-D16,0)</f>
        <v/>
      </c>
      <c r="F16" s="59" t="n"/>
      <c r="G16" s="55">
        <f>SUMIFS(Ngay!$F$3:$F$100000,Ngay!$A$3:$A$100000,"&gt;=8",Ngay!$A$3:$A$100000,"&lt;=14",Ngay!$Q$3:$Q$100000,$R16,Ngay!$R$3:$R$100000,$S16)</f>
        <v/>
      </c>
      <c r="H16" s="65">
        <f>IF(F16&gt;=G16,F16-G16,0)</f>
        <v/>
      </c>
      <c r="I16" s="59" t="n"/>
      <c r="J16" s="55">
        <f>SUMIFS(Ngay!$F$3:$F$100000,Ngay!$A$3:$A$100000,"&gt;=15",Ngay!$A$3:$A$100000,"&lt;=21",Ngay!$Q$3:$Q$100000,$R16,Ngay!$R$3:$R$100000,$S16)</f>
        <v/>
      </c>
      <c r="K16" s="65">
        <f>IF(I16&gt;=J16,I16-J16,0)</f>
        <v/>
      </c>
      <c r="L16" s="59" t="n"/>
      <c r="M16" s="55">
        <f>SUMIFS(Ngay!$F$3:$F$100000,Ngay!$A$3:$A$100000,"&gt;=22",Ngay!$A$3:$A$100000,"&lt;=31",Ngay!$Q$3:$Q$100000,$R16,Ngay!$R$3:$R$100000,$S16)</f>
        <v/>
      </c>
      <c r="N16" s="65">
        <f>IF(L16&gt;=M16,L16-M16,0)</f>
        <v/>
      </c>
      <c r="O16" s="65" t="n">
        <v>2</v>
      </c>
      <c r="P16" s="57">
        <f>D16+G16+J16+M16</f>
        <v/>
      </c>
      <c r="Q16" s="47">
        <f>IF(O16&gt;=P16,O16-P16,0)</f>
        <v/>
      </c>
      <c r="R16" s="49" t="n">
        <v>12</v>
      </c>
      <c r="S16" s="49" t="n">
        <v>2025</v>
      </c>
    </row>
    <row r="17">
      <c r="A17" s="52" t="inlineStr">
        <is>
          <t>TTVT Xuân Lộc</t>
        </is>
      </c>
      <c r="B17" s="58" t="inlineStr">
        <is>
          <t>Thay thế ONT 2 băng tần</t>
        </is>
      </c>
      <c r="C17" s="65" t="n">
        <v>10</v>
      </c>
      <c r="D17" s="55">
        <f>SUMIFS(Ngay!$G$3:$G$100000,Ngay!$A$3:$A$100000,"&gt;=1",Ngay!$A$3:$A$100000,"&lt;=7",Ngay!$Q$3:$Q$100000,$R17,Ngay!$R$3:$R$100000,$S17)</f>
        <v/>
      </c>
      <c r="E17" s="65">
        <f>IF(C17&gt;=D17,C17-D17,0)</f>
        <v/>
      </c>
      <c r="F17" s="65" t="n">
        <v>10</v>
      </c>
      <c r="G17" s="55">
        <f>SUMIFS(Ngay!$G$3:$G$100000,Ngay!$A$3:$A$100000,"&gt;=8",Ngay!$A$3:$A$100000,"&lt;=14",Ngay!$Q$3:$Q$100000,$R17,Ngay!$R$3:$R$100000,$S17)</f>
        <v/>
      </c>
      <c r="H17" s="65">
        <f>IF(F17&gt;=G17,F17-G17,0)</f>
        <v/>
      </c>
      <c r="I17" s="65" t="n">
        <v>10</v>
      </c>
      <c r="J17" s="55">
        <f>SUMIFS(Ngay!$G$3:$G$100000,Ngay!$A$3:$A$100000,"&gt;=15",Ngay!$A$3:$A$100000,"&lt;=21",Ngay!$Q$3:$Q$100000,$R17,Ngay!$R$3:$R$100000,$S17)</f>
        <v/>
      </c>
      <c r="K17" s="65">
        <f>IF(I17&gt;=J17,I17-J17,0)</f>
        <v/>
      </c>
      <c r="L17" s="65" t="n">
        <v>10</v>
      </c>
      <c r="M17" s="55">
        <f>SUMIFS(Ngay!$G$3:$G$100000,Ngay!$A$3:$A$100000,"&gt;=22",Ngay!$A$3:$A$100000,"&lt;=31",Ngay!$Q$3:$Q$100000,$R17,Ngay!$R$3:$R$100000,$S17)</f>
        <v/>
      </c>
      <c r="N17" s="65">
        <f>IF(L17&gt;=M17,L17-M17,0)</f>
        <v/>
      </c>
      <c r="O17" s="65" t="n">
        <v>40</v>
      </c>
      <c r="P17" s="57">
        <f>D17+G17+J17+M17</f>
        <v/>
      </c>
      <c r="Q17" s="47">
        <f>IF(O17&gt;=P17,O17-P17,0)</f>
        <v/>
      </c>
      <c r="R17" s="49" t="n">
        <v>12</v>
      </c>
      <c r="S17" s="49" t="n">
        <v>2025</v>
      </c>
    </row>
    <row r="18">
      <c r="A18" s="52" t="inlineStr">
        <is>
          <t>TTVT Xuân Lộc</t>
        </is>
      </c>
      <c r="B18" s="53" t="inlineStr">
        <is>
          <t>CSKH HVC chuyển XGSPON</t>
        </is>
      </c>
      <c r="C18" s="65" t="n">
        <v>10</v>
      </c>
      <c r="D18" s="55">
        <f>SUMIFS(Ngay!$H$3:$H$100000,Ngay!$A$3:$A$100000,"&gt;=1",Ngay!$A$3:$A$100000,"&lt;=7",Ngay!$Q$3:$Q$100000,$R18,Ngay!$R$3:$R$100000,$S18)</f>
        <v/>
      </c>
      <c r="E18" s="65">
        <f>IF(C18&gt;=D18,C18-D18,0)</f>
        <v/>
      </c>
      <c r="F18" s="65" t="n">
        <v>10</v>
      </c>
      <c r="G18" s="55">
        <f>SUMIFS(Ngay!$H$3:$H$100000,Ngay!$A$3:$A$100000,"&gt;=8",Ngay!$A$3:$A$100000,"&lt;=14",Ngay!$Q$3:$Q$100000,$R18,Ngay!$R$3:$R$100000,$S18)</f>
        <v/>
      </c>
      <c r="H18" s="65">
        <f>IF(F18&gt;=G18,F18-G18,0)</f>
        <v/>
      </c>
      <c r="I18" s="65" t="n">
        <v>10</v>
      </c>
      <c r="J18" s="55">
        <f>SUMIFS(Ngay!$H$3:$H$100000,Ngay!$A$3:$A$100000,"&gt;=15",Ngay!$A$3:$A$100000,"&lt;=15",Ngay!$Q$3:$Q$100000,$R18,Ngay!$R$3:$R$100000,$S18)</f>
        <v/>
      </c>
      <c r="K18" s="65">
        <f>IF(I18&gt;=J18,I18-J18,0)</f>
        <v/>
      </c>
      <c r="L18" s="65" t="n">
        <v>10</v>
      </c>
      <c r="M18" s="55">
        <f>SUMIFS(Ngay!$H$3:$H$100000,Ngay!$A$3:$A$100000,"&gt;=22",Ngay!$A$3:$A$100000,"&lt;=31",Ngay!$Q$3:$Q$100000,$R18,Ngay!$R$3:$R$100000,$S18)</f>
        <v/>
      </c>
      <c r="N18" s="65">
        <f>IF(L18&gt;=M18,L18-M18,0)</f>
        <v/>
      </c>
      <c r="O18" s="65" t="n">
        <v>20</v>
      </c>
      <c r="P18" s="57">
        <f>D18+G18+J18+M18</f>
        <v/>
      </c>
      <c r="Q18" s="47">
        <f>IF(O18&gt;=P18,O18-P18,0)</f>
        <v/>
      </c>
      <c r="R18" s="49" t="n">
        <v>12</v>
      </c>
      <c r="S18" s="49" t="n">
        <v>2025</v>
      </c>
    </row>
    <row r="19">
      <c r="A19" s="52" t="inlineStr">
        <is>
          <t>TTVT Xuân Lộc</t>
        </is>
      </c>
      <c r="B19" s="58" t="inlineStr">
        <is>
          <t>Phiếu GHTT tháng T</t>
        </is>
      </c>
      <c r="C19" s="65" t="n">
        <v>50</v>
      </c>
      <c r="D19" s="55">
        <f>SUMIFS(Ngay!$I$3:$I$100000,Ngay!$A$3:$A$100000,"&gt;=1",Ngay!$A$3:$A$100000,"&lt;=7",Ngay!$Q$3:$Q$100000,$R19,Ngay!$R$3:$R$100000,$S19)</f>
        <v/>
      </c>
      <c r="E19" s="65">
        <f>IF(C19&gt;=D19,C19-D19,0)</f>
        <v/>
      </c>
      <c r="F19" s="65" t="n">
        <v>50</v>
      </c>
      <c r="G19" s="55">
        <f>SUMIFS(Ngay!$I$3:$I$100000,Ngay!$A$3:$A$100000,"&gt;=8",Ngay!$A$3:$A$100000,"&lt;=14",Ngay!$Q$3:$Q$100000,$R19,Ngay!$R$3:$R$100000,$S19)</f>
        <v/>
      </c>
      <c r="H19" s="65">
        <f>IF(F19&gt;=G19,F19-G19,0)</f>
        <v/>
      </c>
      <c r="I19" s="65" t="n">
        <v>50</v>
      </c>
      <c r="J19" s="55">
        <f>SUMIFS(Ngay!$I$3:$I$100000,Ngay!$A$3:$A$100000,"&gt;=15",Ngay!$A$3:$A$100000,"&lt;=21",Ngay!$Q$3:$Q$100000,$R19,Ngay!$R$3:$R$100000,$S19)</f>
        <v/>
      </c>
      <c r="K19" s="65">
        <f>IF(I19&gt;=J19,I19-J19,0)</f>
        <v/>
      </c>
      <c r="L19" s="65" t="n">
        <v>50</v>
      </c>
      <c r="M19" s="55">
        <f>SUMIFS(Ngay!$I$3:$I$100000,Ngay!$A$3:$A$100000,"&gt;=22",Ngay!$A$3:$A$100000,"&lt;=31",Ngay!$Q$3:$Q$100000,$R19,Ngay!$R$3:$R$100000,$S19)</f>
        <v/>
      </c>
      <c r="N19" s="65">
        <f>IF(L19&gt;=M19,L19-M19,0)</f>
        <v/>
      </c>
      <c r="O19" s="65" t="n">
        <v>150</v>
      </c>
      <c r="P19" s="57">
        <f>D19+G19+J19+M19</f>
        <v/>
      </c>
      <c r="Q19" s="47">
        <f>IF(O19&gt;=P19,O19-P19,0)</f>
        <v/>
      </c>
      <c r="R19" s="49" t="n">
        <v>12</v>
      </c>
      <c r="S19" s="49" t="n">
        <v>2025</v>
      </c>
    </row>
    <row r="20">
      <c r="A20" s="52" t="inlineStr">
        <is>
          <t>TTVT Xuân Lộc</t>
        </is>
      </c>
      <c r="B20" s="53" t="inlineStr">
        <is>
          <t>Phiếu GHTT tháng T+1</t>
        </is>
      </c>
      <c r="C20" s="65" t="n">
        <v>10</v>
      </c>
      <c r="D20" s="55">
        <f>SUMIFS(Ngay!$J$3:$J$100000,Ngay!$A$3:$A$100000,"&gt;=1",Ngay!$A$3:$A$100000,"&lt;=7",Ngay!$Q$3:$Q$100000,$R20,Ngay!$R$3:$R$100000,$S20)</f>
        <v/>
      </c>
      <c r="E20" s="65">
        <f>IF(C20&gt;=D20,C20-D20,0)</f>
        <v/>
      </c>
      <c r="F20" s="65" t="n">
        <v>10</v>
      </c>
      <c r="G20" s="55">
        <f>SUMIFS(Ngay!$J$3:$J$100000,Ngay!$A$3:$A$100000,"&gt;=8",Ngay!$A$3:$A$100000,"&lt;=14",Ngay!$Q$3:$Q$100000,$R20,Ngay!$R$3:$R$100000,$S20)</f>
        <v/>
      </c>
      <c r="H20" s="65">
        <f>IF(F20&gt;=G20,F20-G20,0)</f>
        <v/>
      </c>
      <c r="I20" s="65" t="n">
        <v>10</v>
      </c>
      <c r="J20" s="55">
        <f>SUMIFS(Ngay!$J$3:$J$100000,Ngay!$A$3:$A$100000,"&gt;=15",Ngay!$A$3:$A$100000,"&lt;=21",Ngay!$Q$3:$Q$100000,$R20,Ngay!$R$3:$R$100000,$S20)</f>
        <v/>
      </c>
      <c r="K20" s="65">
        <f>IF(I20&gt;=J20,I20-J20,0)</f>
        <v/>
      </c>
      <c r="L20" s="65" t="n">
        <v>10</v>
      </c>
      <c r="M20" s="55">
        <f>SUMIFS(Ngay!$J$3:$J$100000,Ngay!$A$3:$A$100000,"&gt;=22",Ngay!$A$3:$A$100000,"&lt;=31",Ngay!$Q$3:$Q$100000,$R20,Ngay!$R$3:$R$100000,$S20)</f>
        <v/>
      </c>
      <c r="N20" s="65">
        <f>IF(L20&gt;=M20,L20-M20,0)</f>
        <v/>
      </c>
      <c r="O20" s="65" t="n">
        <v>1</v>
      </c>
      <c r="P20" s="57">
        <f>D20+G20+J20+M20</f>
        <v/>
      </c>
      <c r="Q20" s="65">
        <f>IF(O20&gt;=P20,O20-P20,0)</f>
        <v/>
      </c>
      <c r="R20" s="49" t="n">
        <v>12</v>
      </c>
      <c r="S20" s="49" t="n">
        <v>2025</v>
      </c>
    </row>
    <row r="21">
      <c r="A21" s="52" t="inlineStr">
        <is>
          <t>TTVT Xuân Lộc</t>
        </is>
      </c>
      <c r="B21" s="53" t="inlineStr">
        <is>
          <t>Tiếp thị DV Fiber</t>
        </is>
      </c>
      <c r="C21" s="65" t="n">
        <v>1</v>
      </c>
      <c r="D21" s="55">
        <f>SUMIFS(Ngay!$B$3:$B$100000,Ngay!$A$3:$A$100000,"&gt;=1",Ngay!$A$3:$A$100000,"&lt;=7",Ngay!$Q$3:$Q$100000,$R21,Ngay!$R$3:$R$100000,$S21)</f>
        <v/>
      </c>
      <c r="E21" s="65">
        <f>IF(C21&gt;=D21,C21-D21,0)</f>
        <v/>
      </c>
      <c r="F21" s="65" t="n">
        <v>1</v>
      </c>
      <c r="G21" s="55">
        <f>SUMIFS(Ngay!$B$3:$B$100000,Ngay!$A$3:$A$100000,"&gt;=8",Ngay!$A$3:$A$100000,"&lt;=14",Ngay!$Q$3:$Q$100000,$R21,Ngay!$R$3:$R$100000,$S21)</f>
        <v/>
      </c>
      <c r="H21" s="65">
        <f>IF(F21&gt;=G21,F21-G21,0)</f>
        <v/>
      </c>
      <c r="I21" s="65" t="n">
        <v>2</v>
      </c>
      <c r="J21" s="55">
        <f>SUMIFS(Ngay!$B$3:$B$100000,Ngay!$A$3:$A$100000,"&gt;=15",Ngay!$A$3:$A$100000,"&lt;=21",Ngay!$Q$3:$Q$100000,$R21,Ngay!$R$3:$R$100000,$S21)</f>
        <v/>
      </c>
      <c r="K21" s="65">
        <f>IF(I21&gt;=J21,I21-J21,0)</f>
        <v/>
      </c>
      <c r="L21" s="65" t="n">
        <v>2</v>
      </c>
      <c r="M21" s="55">
        <f>SUMIFS(Ngay!$B$3:$B$100000,Ngay!$A$3:$A$100000,"&gt;=22",Ngay!$A$3:$A$100000,"&lt;=31",Ngay!$Q$3:$Q$100000,$R21,Ngay!$R$3:$R$100000,$S21)</f>
        <v/>
      </c>
      <c r="N21" s="65">
        <f>IF(L21&gt;=M21,L21-M21,0)</f>
        <v/>
      </c>
      <c r="O21" s="65" t="n">
        <v>4</v>
      </c>
      <c r="P21" s="57">
        <f>D21+G21+J21+M21</f>
        <v/>
      </c>
      <c r="Q21" s="47">
        <f>IF(O21&gt;=P21,O21-P21,0)</f>
        <v/>
      </c>
      <c r="R21" s="49" t="n">
        <v>1</v>
      </c>
      <c r="S21" s="49" t="n">
        <v>2026</v>
      </c>
    </row>
    <row r="22">
      <c r="A22" s="52" t="inlineStr">
        <is>
          <t>TTVT Xuân Lộc</t>
        </is>
      </c>
      <c r="B22" s="58" t="inlineStr">
        <is>
          <t>Tiếp thị DV MyTV</t>
        </is>
      </c>
      <c r="C22" s="65" t="n">
        <v>1</v>
      </c>
      <c r="D22" s="55">
        <f>SUMIFS(Ngay!$C$3:$C$100000,Ngay!$A$3:$A$100000,"&gt;=1",Ngay!$A$3:$A$100000,"&lt;=7",Ngay!$Q$3:$Q$100000,$R22,Ngay!$R$3:$R$100000,$S22)</f>
        <v/>
      </c>
      <c r="E22" s="65">
        <f>IF(C22&gt;=D22,C22-D22,0)</f>
        <v/>
      </c>
      <c r="F22" s="65" t="n">
        <v>1</v>
      </c>
      <c r="G22" s="55">
        <f>SUMIFS(Ngay!$C$3:$C$100000,Ngay!$A$3:$A$100000,"&gt;=8",Ngay!$A$3:$A$100000,"&lt;=14",Ngay!$Q$3:$Q$100000,$R22,Ngay!$R$3:$R$100000,$S22)</f>
        <v/>
      </c>
      <c r="H22" s="65">
        <f>IF(F22&gt;=G22,F22-G22,0)</f>
        <v/>
      </c>
      <c r="I22" s="65" t="n">
        <v>2</v>
      </c>
      <c r="J22" s="55">
        <f>SUMIFS(Ngay!$C$3:$C$100000,Ngay!$A$3:$A$100000,"&gt;=15",Ngay!$A$3:$A$100000,"&lt;=21",Ngay!$Q$3:$Q$100000,$R22,Ngay!$R$3:$R$100000,$S22)</f>
        <v/>
      </c>
      <c r="K22" s="65">
        <f>IF(I22&gt;=J22,I22-J22,0)</f>
        <v/>
      </c>
      <c r="L22" s="65" t="n">
        <v>2</v>
      </c>
      <c r="M22" s="55">
        <f>SUMIFS(Ngay!$C$3:$C$100000,Ngay!$A$3:$A$100000,"&gt;=22",Ngay!$A$3:$A$100000,"&lt;=31",Ngay!$Q$3:$Q$100000,$R22,Ngay!$R$3:$R$100000,$S22)</f>
        <v/>
      </c>
      <c r="N22" s="65">
        <f>IF(L22&gt;=M22,L22-M22,0)</f>
        <v/>
      </c>
      <c r="O22" s="65" t="n">
        <v>5</v>
      </c>
      <c r="P22" s="57">
        <f>D22+G22+J22+M22</f>
        <v/>
      </c>
      <c r="Q22" s="47">
        <f>IF(O22&gt;=P22,O22-P22,0)</f>
        <v/>
      </c>
      <c r="R22" s="49" t="n">
        <v>1</v>
      </c>
      <c r="S22" s="49" t="n">
        <v>2026</v>
      </c>
    </row>
    <row r="23">
      <c r="A23" s="52" t="inlineStr">
        <is>
          <t>TTVT Xuân Lộc</t>
        </is>
      </c>
      <c r="B23" s="53" t="inlineStr">
        <is>
          <t>Tiếp thị DV Camera/Mesh</t>
        </is>
      </c>
      <c r="C23" s="65" t="n">
        <v>1</v>
      </c>
      <c r="D23" s="55">
        <f>SUMIFS(Ngay!$D$3:$D$100000,Ngay!$A$3:$A$100000,"&gt;=1",Ngay!$A$3:$A$100000,"&lt;=7",Ngay!$Q$3:$Q$100000,$R23,Ngay!$R$3:$R$100000,$S23)</f>
        <v/>
      </c>
      <c r="E23" s="65">
        <f>IF(C23&gt;=D23,C23-D23,0)</f>
        <v/>
      </c>
      <c r="F23" s="65" t="n">
        <v>1</v>
      </c>
      <c r="G23" s="55">
        <f>SUMIFS(Ngay!$D$3:$D$100000,Ngay!$A$3:$A$100000,"&gt;=8",Ngay!$A$3:$A$100000,"&lt;=14",Ngay!$Q$3:$Q$100000,$R23,Ngay!$R$3:$R$100000,$S23)</f>
        <v/>
      </c>
      <c r="H23" s="65">
        <f>IF(F23&gt;=G23,F23-G23,0)</f>
        <v/>
      </c>
      <c r="I23" s="65" t="n">
        <v>2</v>
      </c>
      <c r="J23" s="55">
        <f>SUMIFS(Ngay!$D$3:$D$100000,Ngay!$A$3:$A$100000,"&gt;=15",Ngay!$A$3:$A$100000,"&lt;=21",Ngay!$Q$3:$Q$100000,$R23,Ngay!$R$3:$R$100000,$S23)</f>
        <v/>
      </c>
      <c r="K23" s="65">
        <f>IF(I23&gt;=J23,I23-J23,0)</f>
        <v/>
      </c>
      <c r="L23" s="65" t="n">
        <v>2</v>
      </c>
      <c r="M23" s="55">
        <f>SUMIFS(Ngay!$D$3:$D$100000,Ngay!$A$3:$A$100000,"&gt;=22",Ngay!$A$3:$A$100000,"&lt;=31",Ngay!$Q$3:$Q$100000,$R23,Ngay!$R$3:$R$100000,$S23)</f>
        <v/>
      </c>
      <c r="N23" s="65">
        <f>IF(L23&gt;=M23,L23-M23,0)</f>
        <v/>
      </c>
      <c r="O23" s="65" t="n">
        <v>6</v>
      </c>
      <c r="P23" s="57">
        <f>D23+G23+J23+M23</f>
        <v/>
      </c>
      <c r="Q23" s="47">
        <f>IF(O23&gt;=P23,O23-P23,0)</f>
        <v/>
      </c>
      <c r="R23" s="49" t="n">
        <v>1</v>
      </c>
      <c r="S23" s="49" t="n">
        <v>2026</v>
      </c>
    </row>
    <row r="24">
      <c r="A24" s="52" t="inlineStr">
        <is>
          <t>TTVT Xuân Lộc</t>
        </is>
      </c>
      <c r="B24" s="58" t="inlineStr">
        <is>
          <t>Tạm ngưng Fiber</t>
        </is>
      </c>
      <c r="C24" s="59" t="n"/>
      <c r="D24" s="55">
        <f>SUMIFS(Ngay!$E$3:$E$100000,Ngay!$A$3:$A$100000,"&gt;=1",Ngay!$A$3:$A$100000,"&lt;=7",Ngay!$Q$3:$Q$100000,$R24,Ngay!$R$3:$R$100000,$S24)</f>
        <v/>
      </c>
      <c r="E24" s="65">
        <f>IF(C24&gt;=D24,C24-D24,0)</f>
        <v/>
      </c>
      <c r="F24" s="59" t="n"/>
      <c r="G24" s="55">
        <f>SUMIFS(Ngay!$E$3:$E$100000,Ngay!$A$3:$A$100000,"&gt;=8",Ngay!$A$3:$A$100000,"&lt;=14",Ngay!$Q$3:$Q$100000,$R24,Ngay!$R$3:$R$100000,$S24)</f>
        <v/>
      </c>
      <c r="H24" s="65">
        <f>IF(F24&gt;=G24,F24-G24,0)</f>
        <v/>
      </c>
      <c r="I24" s="59" t="n"/>
      <c r="J24" s="55">
        <f>SUMIFS(Ngay!$E$3:$E$100000,Ngay!$A$3:$A$100000,"&gt;=15",Ngay!$A$3:$A$100000,"&lt;=21",Ngay!$Q$3:$Q$100000,$R24,Ngay!$R$3:$R$100000,$S24)</f>
        <v/>
      </c>
      <c r="K24" s="65">
        <f>IF(I24&gt;=J24,I24-J24,0)</f>
        <v/>
      </c>
      <c r="L24" s="59" t="n"/>
      <c r="M24" s="55">
        <f>SUMIFS(Ngay!$E$3:$E$100000,Ngay!$A$3:$A$100000,"&gt;=22",Ngay!$A$3:$A$100000,"&lt;=31",Ngay!$Q$3:$Q$100000,$R24,Ngay!$R$3:$R$100000,$S24)</f>
        <v/>
      </c>
      <c r="N24" s="65">
        <f>IF(L24&gt;=M24,L24-M24,0)</f>
        <v/>
      </c>
      <c r="O24" s="65" t="n">
        <v>4</v>
      </c>
      <c r="P24" s="57">
        <f>D24+G24+J24+M24</f>
        <v/>
      </c>
      <c r="Q24" s="47">
        <f>IF(O24&gt;=P24,O24-P24,0)</f>
        <v/>
      </c>
      <c r="R24" s="49" t="n">
        <v>1</v>
      </c>
      <c r="S24" s="49" t="n">
        <v>2026</v>
      </c>
    </row>
    <row r="25">
      <c r="A25" s="52" t="inlineStr">
        <is>
          <t>TTVT Xuân Lộc</t>
        </is>
      </c>
      <c r="B25" s="53" t="inlineStr">
        <is>
          <t>Tạm ngưng Mytv</t>
        </is>
      </c>
      <c r="C25" s="59" t="n"/>
      <c r="D25" s="55">
        <f>SUMIFS(Ngay!$F$3:$F$100000,Ngay!$A$3:$A$100000,"&gt;=1",Ngay!$A$3:$A$100000,"&lt;=7",Ngay!$Q$3:$Q$100000,$R25,Ngay!$R$3:$R$100000,$S25)</f>
        <v/>
      </c>
      <c r="E25" s="65">
        <f>IF(C25&gt;=D25,C25-D25,0)</f>
        <v/>
      </c>
      <c r="F25" s="59" t="n"/>
      <c r="G25" s="55">
        <f>SUMIFS(Ngay!$F$3:$F$100000,Ngay!$A$3:$A$100000,"&gt;=8",Ngay!$A$3:$A$100000,"&lt;=14",Ngay!$Q$3:$Q$100000,$R25,Ngay!$R$3:$R$100000,$S25)</f>
        <v/>
      </c>
      <c r="H25" s="65">
        <f>IF(F25&gt;=G25,F25-G25,0)</f>
        <v/>
      </c>
      <c r="I25" s="59" t="n"/>
      <c r="J25" s="55">
        <f>SUMIFS(Ngay!$F$3:$F$100000,Ngay!$A$3:$A$100000,"&gt;=15",Ngay!$A$3:$A$100000,"&lt;=21",Ngay!$Q$3:$Q$100000,$R25,Ngay!$R$3:$R$100000,$S25)</f>
        <v/>
      </c>
      <c r="K25" s="65">
        <f>IF(I25&gt;=J25,I25-J25,0)</f>
        <v/>
      </c>
      <c r="L25" s="59" t="n"/>
      <c r="M25" s="55">
        <f>SUMIFS(Ngay!$F$3:$F$100000,Ngay!$A$3:$A$100000,"&gt;=22",Ngay!$A$3:$A$100000,"&lt;=31",Ngay!$Q$3:$Q$100000,$R25,Ngay!$R$3:$R$100000,$S25)</f>
        <v/>
      </c>
      <c r="N25" s="65">
        <f>IF(L25&gt;=M25,L25-M25,0)</f>
        <v/>
      </c>
      <c r="O25" s="65" t="n">
        <v>2</v>
      </c>
      <c r="P25" s="57">
        <f>D25+G25+J25+M25</f>
        <v/>
      </c>
      <c r="Q25" s="47">
        <f>IF(O25&gt;=P25,O25-P25,0)</f>
        <v/>
      </c>
      <c r="R25" s="49" t="n">
        <v>1</v>
      </c>
      <c r="S25" s="49" t="n">
        <v>2026</v>
      </c>
    </row>
    <row r="26">
      <c r="A26" s="52" t="inlineStr">
        <is>
          <t>TTVT Xuân Lộc</t>
        </is>
      </c>
      <c r="B26" s="58" t="inlineStr">
        <is>
          <t>Thay thế ONT 2 băng tần</t>
        </is>
      </c>
      <c r="C26" s="65" t="n">
        <v>10</v>
      </c>
      <c r="D26" s="55">
        <f>SUMIFS(Ngay!$G$3:$G$100000,Ngay!$A$3:$A$100000,"&gt;=1",Ngay!$A$3:$A$100000,"&lt;=7",Ngay!$Q$3:$Q$100000,$R26,Ngay!$R$3:$R$100000,$S26)</f>
        <v/>
      </c>
      <c r="E26" s="65">
        <f>IF(C26&gt;=D26,C26-D26,0)</f>
        <v/>
      </c>
      <c r="F26" s="65" t="n">
        <v>10</v>
      </c>
      <c r="G26" s="55">
        <f>SUMIFS(Ngay!$G$3:$G$100000,Ngay!$A$3:$A$100000,"&gt;=8",Ngay!$A$3:$A$100000,"&lt;=14",Ngay!$Q$3:$Q$100000,$R26,Ngay!$R$3:$R$100000,$S26)</f>
        <v/>
      </c>
      <c r="H26" s="65">
        <f>IF(F26&gt;=G26,F26-G26,0)</f>
        <v/>
      </c>
      <c r="I26" s="65" t="n">
        <v>10</v>
      </c>
      <c r="J26" s="55">
        <f>SUMIFS(Ngay!$G$3:$G$100000,Ngay!$A$3:$A$100000,"&gt;=15",Ngay!$A$3:$A$100000,"&lt;=21",Ngay!$Q$3:$Q$100000,$R26,Ngay!$R$3:$R$100000,$S26)</f>
        <v/>
      </c>
      <c r="K26" s="65">
        <f>IF(I26&gt;=J26,I26-J26,0)</f>
        <v/>
      </c>
      <c r="L26" s="65" t="n">
        <v>10</v>
      </c>
      <c r="M26" s="55">
        <f>SUMIFS(Ngay!$G$3:$G$100000,Ngay!$A$3:$A$100000,"&gt;=22",Ngay!$A$3:$A$100000,"&lt;=31",Ngay!$Q$3:$Q$100000,$R26,Ngay!$R$3:$R$100000,$S26)</f>
        <v/>
      </c>
      <c r="N26" s="65">
        <f>IF(L26&gt;=M26,L26-M26,0)</f>
        <v/>
      </c>
      <c r="O26" s="65" t="n">
        <v>40</v>
      </c>
      <c r="P26" s="57">
        <f>D26+G26+J26+M26</f>
        <v/>
      </c>
      <c r="Q26" s="47">
        <f>IF(O26&gt;=P26,O26-P26,0)</f>
        <v/>
      </c>
      <c r="R26" s="49" t="n">
        <v>1</v>
      </c>
      <c r="S26" s="49" t="n">
        <v>2026</v>
      </c>
    </row>
    <row r="27">
      <c r="A27" s="52" t="inlineStr">
        <is>
          <t>TTVT Xuân Lộc</t>
        </is>
      </c>
      <c r="B27" s="53" t="inlineStr">
        <is>
          <t>CSKH HVC chuyển XGSPON</t>
        </is>
      </c>
      <c r="C27" s="65" t="n">
        <v>10</v>
      </c>
      <c r="D27" s="55">
        <f>SUMIFS(Ngay!$H$3:$H$100000,Ngay!$A$3:$A$100000,"&gt;=1",Ngay!$A$3:$A$100000,"&lt;=7",Ngay!$Q$3:$Q$100000,$R27,Ngay!$R$3:$R$100000,$S27)</f>
        <v/>
      </c>
      <c r="E27" s="65">
        <f>IF(C27&gt;=D27,C27-D27,0)</f>
        <v/>
      </c>
      <c r="F27" s="65" t="n">
        <v>10</v>
      </c>
      <c r="G27" s="55">
        <f>SUMIFS(Ngay!$H$3:$H$100000,Ngay!$A$3:$A$100000,"&gt;=8",Ngay!$A$3:$A$100000,"&lt;=14",Ngay!$Q$3:$Q$100000,$R27,Ngay!$R$3:$R$100000,$S27)</f>
        <v/>
      </c>
      <c r="H27" s="65">
        <f>IF(F27&gt;=G27,F27-G27,0)</f>
        <v/>
      </c>
      <c r="I27" s="65" t="n">
        <v>10</v>
      </c>
      <c r="J27" s="55">
        <f>SUMIFS(Ngay!$H$3:$H$100000,Ngay!$A$3:$A$100000,"&gt;=15",Ngay!$A$3:$A$100000,"&lt;=15",Ngay!$Q$3:$Q$100000,$R27,Ngay!$R$3:$R$100000,$S27)</f>
        <v/>
      </c>
      <c r="K27" s="65">
        <f>IF(I27&gt;=J27,I27-J27,0)</f>
        <v/>
      </c>
      <c r="L27" s="65" t="n">
        <v>10</v>
      </c>
      <c r="M27" s="55">
        <f>SUMIFS(Ngay!$H$3:$H$100000,Ngay!$A$3:$A$100000,"&gt;=22",Ngay!$A$3:$A$100000,"&lt;=31",Ngay!$Q$3:$Q$100000,$R27,Ngay!$R$3:$R$100000,$S27)</f>
        <v/>
      </c>
      <c r="N27" s="65">
        <f>IF(L27&gt;=M27,L27-M27,0)</f>
        <v/>
      </c>
      <c r="O27" s="65" t="n">
        <v>20</v>
      </c>
      <c r="P27" s="57">
        <f>D27+G27+J27+M27</f>
        <v/>
      </c>
      <c r="Q27" s="47">
        <f>IF(O27&gt;=P27,O27-P27,0)</f>
        <v/>
      </c>
      <c r="R27" s="49" t="n">
        <v>1</v>
      </c>
      <c r="S27" s="49" t="n">
        <v>2026</v>
      </c>
    </row>
    <row r="28">
      <c r="A28" s="52" t="inlineStr">
        <is>
          <t>TTVT Xuân Lộc</t>
        </is>
      </c>
      <c r="B28" s="58" t="inlineStr">
        <is>
          <t>Phiếu GHTT tháng T</t>
        </is>
      </c>
      <c r="C28" s="65" t="n">
        <v>50</v>
      </c>
      <c r="D28" s="55">
        <f>SUMIFS(Ngay!$I$3:$I$100000,Ngay!$A$3:$A$100000,"&gt;=1",Ngay!$A$3:$A$100000,"&lt;=7",Ngay!$Q$3:$Q$100000,$R28,Ngay!$R$3:$R$100000,$S28)</f>
        <v/>
      </c>
      <c r="E28" s="65">
        <f>IF(C28&gt;=D28,C28-D28,0)</f>
        <v/>
      </c>
      <c r="F28" s="65" t="n">
        <v>50</v>
      </c>
      <c r="G28" s="55">
        <f>SUMIFS(Ngay!$I$3:$I$100000,Ngay!$A$3:$A$100000,"&gt;=8",Ngay!$A$3:$A$100000,"&lt;=14",Ngay!$Q$3:$Q$100000,$R28,Ngay!$R$3:$R$100000,$S28)</f>
        <v/>
      </c>
      <c r="H28" s="65">
        <f>IF(F28&gt;=G28,F28-G28,0)</f>
        <v/>
      </c>
      <c r="I28" s="65" t="n">
        <v>50</v>
      </c>
      <c r="J28" s="55">
        <f>SUMIFS(Ngay!$I$3:$I$100000,Ngay!$A$3:$A$100000,"&gt;=15",Ngay!$A$3:$A$100000,"&lt;=21",Ngay!$Q$3:$Q$100000,$R28,Ngay!$R$3:$R$100000,$S28)</f>
        <v/>
      </c>
      <c r="K28" s="65">
        <f>IF(I28&gt;=J28,I28-J28,0)</f>
        <v/>
      </c>
      <c r="L28" s="65" t="n">
        <v>50</v>
      </c>
      <c r="M28" s="55">
        <f>SUMIFS(Ngay!$I$3:$I$100000,Ngay!$A$3:$A$100000,"&gt;=22",Ngay!$A$3:$A$100000,"&lt;=31",Ngay!$Q$3:$Q$100000,$R28,Ngay!$R$3:$R$100000,$S28)</f>
        <v/>
      </c>
      <c r="N28" s="65">
        <f>IF(L28&gt;=M28,L28-M28,0)</f>
        <v/>
      </c>
      <c r="O28" s="65" t="n">
        <v>150</v>
      </c>
      <c r="P28" s="57">
        <f>D28+G28+J28+M28</f>
        <v/>
      </c>
      <c r="Q28" s="47">
        <f>IF(O28&gt;=P28,O28-P28,0)</f>
        <v/>
      </c>
      <c r="R28" s="49" t="n">
        <v>1</v>
      </c>
      <c r="S28" s="49" t="n">
        <v>2026</v>
      </c>
    </row>
    <row r="29">
      <c r="A29" s="52" t="inlineStr">
        <is>
          <t>TTVT Xuân Lộc</t>
        </is>
      </c>
      <c r="B29" s="53" t="inlineStr">
        <is>
          <t>Phiếu GHTT tháng T+1</t>
        </is>
      </c>
      <c r="C29" s="65" t="n">
        <v>10</v>
      </c>
      <c r="D29" s="55">
        <f>SUMIFS(Ngay!$J$3:$J$100000,Ngay!$A$3:$A$100000,"&gt;=1",Ngay!$A$3:$A$100000,"&lt;=7",Ngay!$Q$3:$Q$100000,$R29,Ngay!$R$3:$R$100000,$S29)</f>
        <v/>
      </c>
      <c r="E29" s="65">
        <f>IF(C29&gt;=D29,C29-D29,0)</f>
        <v/>
      </c>
      <c r="F29" s="65" t="n">
        <v>10</v>
      </c>
      <c r="G29" s="55">
        <f>SUMIFS(Ngay!$J$3:$J$100000,Ngay!$A$3:$A$100000,"&gt;=8",Ngay!$A$3:$A$100000,"&lt;=14",Ngay!$Q$3:$Q$100000,$R29,Ngay!$R$3:$R$100000,$S29)</f>
        <v/>
      </c>
      <c r="H29" s="65">
        <f>IF(F29&gt;=G29,F29-G29,0)</f>
        <v/>
      </c>
      <c r="I29" s="65" t="n">
        <v>10</v>
      </c>
      <c r="J29" s="55">
        <f>SUMIFS(Ngay!$J$3:$J$100000,Ngay!$A$3:$A$100000,"&gt;=15",Ngay!$A$3:$A$100000,"&lt;=21",Ngay!$Q$3:$Q$100000,$R29,Ngay!$R$3:$R$100000,$S29)</f>
        <v/>
      </c>
      <c r="K29" s="65">
        <f>IF(I29&gt;=J29,I29-J29,0)</f>
        <v/>
      </c>
      <c r="L29" s="65" t="n">
        <v>10</v>
      </c>
      <c r="M29" s="55">
        <f>SUMIFS(Ngay!$J$3:$J$100000,Ngay!$A$3:$A$100000,"&gt;=22",Ngay!$A$3:$A$100000,"&lt;=31",Ngay!$Q$3:$Q$100000,$R29,Ngay!$R$3:$R$100000,$S29)</f>
        <v/>
      </c>
      <c r="N29" s="65">
        <f>IF(L29&gt;=M29,L29-M29,0)</f>
        <v/>
      </c>
      <c r="O29" s="65" t="n">
        <v>1</v>
      </c>
      <c r="P29" s="57">
        <f>D29+G29+J29+M29</f>
        <v/>
      </c>
      <c r="Q29" s="65">
        <f>IF(O29&gt;=P29,O29-P29,0)</f>
        <v/>
      </c>
      <c r="R29" s="49" t="n">
        <v>1</v>
      </c>
      <c r="S29" s="49" t="n">
        <v>2026</v>
      </c>
    </row>
  </sheetData>
  <mergeCells count="6">
    <mergeCell ref="L1:N1"/>
    <mergeCell ref="C1:E1"/>
    <mergeCell ref="O1:Q1"/>
    <mergeCell ref="F1:H1"/>
    <mergeCell ref="I1:K1"/>
    <mergeCell ref="B1:B2"/>
  </mergeCells>
  <conditionalFormatting sqref="D1:D990 G3:G990 J3:J990 M3:M990 P3:P990">
    <cfRule type="expression" priority="1" dxfId="2">
      <formula>IF(D1&lt;&gt;"",IF(    OR($B1="Tạm ngưng Fiber", $B1="Tạm ngưng Mytv"),    D1 &gt; 0.9 * OFFSET(D1, 0, -1),    D1 &lt;= 0.5 * OFFSET(D1, 0, -1) ))</formula>
    </cfRule>
    <cfRule type="expression" priority="2" dxfId="1">
      <formula>IF(D1,IF(    OR($B1="Tạm ngưng Fiber", $B1="Tạm ngưng Mytv"),    AND(D1&gt;0.5*OFFSET(D1,0,-1), D1&lt;=0.9*OFFSET(D1,0,-1)),    AND(D1&gt;0.5*OFFSET(D1,0,-1), D1&lt;OFFSET(D1,0,-1)) ),)</formula>
    </cfRule>
    <cfRule type="expression" priority="3" dxfId="0">
      <formula>IF(D1&lt;&gt;"",IF(    OR($B1="Tạm ngưng Fiber", $B1="Tạm ngưng Mytv"),    D1&lt;=0.5*OFFSET(D1,0,-1),    D1&gt;OFFSET(D1,0,-1) 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A97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5703125" defaultRowHeight="15.75" customHeight="1"/>
  <cols>
    <col width="23.85546875" customWidth="1" style="117" min="1" max="1"/>
    <col width="30" customWidth="1" style="117" min="2" max="2"/>
  </cols>
  <sheetData>
    <row r="1">
      <c r="A1" s="60" t="n"/>
      <c r="B1" s="91" t="n"/>
      <c r="C1" s="132" t="inlineStr">
        <is>
          <t>Tuần 1</t>
        </is>
      </c>
      <c r="D1" s="129" t="n"/>
      <c r="E1" s="130" t="n"/>
      <c r="F1" s="132" t="inlineStr">
        <is>
          <t>Tuần 2</t>
        </is>
      </c>
      <c r="G1" s="129" t="n"/>
      <c r="H1" s="130" t="n"/>
      <c r="I1" s="132" t="inlineStr">
        <is>
          <t>Tuần 3</t>
        </is>
      </c>
      <c r="J1" s="129" t="n"/>
      <c r="K1" s="130" t="n"/>
      <c r="L1" s="132" t="inlineStr">
        <is>
          <t>Tuần 4</t>
        </is>
      </c>
      <c r="M1" s="129" t="n"/>
      <c r="N1" s="130" t="n"/>
      <c r="O1" s="132" t="inlineStr">
        <is>
          <t>Tháng</t>
        </is>
      </c>
      <c r="P1" s="129" t="n"/>
      <c r="Q1" s="130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</row>
    <row r="2">
      <c r="A2" s="50" t="inlineStr">
        <is>
          <t>Nhân Viên</t>
        </is>
      </c>
      <c r="B2" s="91" t="inlineStr">
        <is>
          <t>Mục tiêu</t>
        </is>
      </c>
      <c r="C2" s="51" t="inlineStr">
        <is>
          <t>KH giao</t>
        </is>
      </c>
      <c r="D2" s="51" t="inlineStr">
        <is>
          <t>Thực hiện</t>
        </is>
      </c>
      <c r="E2" s="51" t="inlineStr">
        <is>
          <t>Còn lại</t>
        </is>
      </c>
      <c r="F2" s="51" t="inlineStr">
        <is>
          <t>KH giao</t>
        </is>
      </c>
      <c r="G2" s="51" t="inlineStr">
        <is>
          <t>Thực hiện</t>
        </is>
      </c>
      <c r="H2" s="51" t="inlineStr">
        <is>
          <t>Còn lại</t>
        </is>
      </c>
      <c r="I2" s="51" t="inlineStr">
        <is>
          <t>KH giao</t>
        </is>
      </c>
      <c r="J2" s="51" t="inlineStr">
        <is>
          <t>Thực hiện</t>
        </is>
      </c>
      <c r="K2" s="51" t="inlineStr">
        <is>
          <t>Còn lại</t>
        </is>
      </c>
      <c r="L2" s="51" t="inlineStr">
        <is>
          <t>KH giao</t>
        </is>
      </c>
      <c r="M2" s="51" t="inlineStr">
        <is>
          <t>Thực hiện</t>
        </is>
      </c>
      <c r="N2" s="51" t="inlineStr">
        <is>
          <t>Còn lại</t>
        </is>
      </c>
      <c r="O2" s="51" t="inlineStr">
        <is>
          <t>KH giao</t>
        </is>
      </c>
      <c r="P2" s="61" t="inlineStr">
        <is>
          <t>Thực hiện</t>
        </is>
      </c>
      <c r="Q2" s="51" t="inlineStr">
        <is>
          <t>Còn lại</t>
        </is>
      </c>
      <c r="R2" s="91" t="inlineStr">
        <is>
          <t>Thang</t>
        </is>
      </c>
      <c r="S2" s="91" t="n"/>
      <c r="T2" s="91" t="n"/>
      <c r="U2" s="91" t="n"/>
      <c r="V2" s="91" t="n"/>
      <c r="W2" s="91" t="n"/>
      <c r="X2" s="91" t="n"/>
      <c r="Y2" s="91" t="n"/>
      <c r="Z2" s="91" t="n"/>
      <c r="AA2" s="91" t="n"/>
    </row>
    <row r="3">
      <c r="A3" s="62" t="inlineStr">
        <is>
          <t>Trần Trung Giang</t>
        </is>
      </c>
      <c r="B3" s="53" t="inlineStr">
        <is>
          <t>Tiếp thị DV Fiber</t>
        </is>
      </c>
      <c r="C3" s="68" t="n">
        <v>2</v>
      </c>
      <c r="D3" s="81">
        <f>SUMIFS(DuLieu!$D$3:$D$11921,DuLieu!$B$3:$B$101921,$A3,DuLieu!$T$3:$T$101921,"&gt;=1", DuLieu!$T$3:$T$101921,"&lt;=7",DuLieu!$U$3:$U$101921,$R3)</f>
        <v/>
      </c>
      <c r="E3" s="81">
        <f>IF(C3&gt;=D3,C3-D3,0)</f>
        <v/>
      </c>
      <c r="F3" s="65" t="n">
        <v>2</v>
      </c>
      <c r="G3" s="81">
        <f>SUMIFS(DuLieu!$D$3:$D$11921,DuLieu!$B$3:$B$101921,$A3,DuLieu!$T$3:$T$101921,"&gt;=8", DuLieu!$T$3:$T$101921,"&lt;=14",DuLieu!$U$3:$U$101921,$R3)</f>
        <v/>
      </c>
      <c r="H3" s="81">
        <f>IF(F3&gt;=G3,F3-G3,0)</f>
        <v/>
      </c>
      <c r="I3" s="78" t="n">
        <v>2</v>
      </c>
      <c r="J3" s="81">
        <f>SUMIFS(DuLieu!$D$3:$D$11921,DuLieu!$B$3:$B$101921,$A3,DuLieu!$T$3:$T$101921,"&gt;=15", DuLieu!$T$3:$T$101921,"&lt;=21",DuLieu!$U$3:$U$101921,$R3)</f>
        <v/>
      </c>
      <c r="K3" s="81">
        <f>IF(I3&gt;=J3,I3-J3,0)</f>
        <v/>
      </c>
      <c r="L3" s="68" t="n">
        <v>1</v>
      </c>
      <c r="M3" s="81">
        <f>SUMIFS(DuLieu!$D$3:$D$101921,DuLieu!$B$3:$B$101921,$A3,DuLieu!$T$3:$T$101921,"&gt;=1", DuLieu!$T$3:$T$101921,"&lt;=7",DuLieu!$U$3:$U$101921,$R3)</f>
        <v/>
      </c>
      <c r="N3" s="81">
        <f>IF(L3&gt;=M3,L3-M3,0)</f>
        <v/>
      </c>
      <c r="O3" s="81" t="n">
        <v>4</v>
      </c>
      <c r="P3" s="81">
        <f>$D3+$G3+$J3+$M3</f>
        <v/>
      </c>
      <c r="Q3" s="81">
        <f>IF(O3&gt;=P3,O3-P3,0)</f>
        <v/>
      </c>
      <c r="R3" s="67" t="n">
        <v>11</v>
      </c>
      <c r="S3" s="91" t="n"/>
      <c r="T3" s="91" t="n"/>
      <c r="U3" s="91" t="n"/>
      <c r="V3" s="91" t="n"/>
      <c r="W3" s="91" t="n"/>
      <c r="X3" s="91" t="n"/>
      <c r="Y3" s="91" t="n"/>
      <c r="Z3" s="91" t="n"/>
      <c r="AA3" s="91" t="n"/>
    </row>
    <row r="4">
      <c r="A4" s="62" t="inlineStr">
        <is>
          <t>Trần Trung Giang</t>
        </is>
      </c>
      <c r="B4" s="58" t="inlineStr">
        <is>
          <t>Tiếp thị DV MyTV</t>
        </is>
      </c>
      <c r="C4" s="68" t="n">
        <v>2</v>
      </c>
      <c r="D4" s="81">
        <f>SUMIFS(DuLieu!$E$3:$E$11921,DuLieu!$B$3:$B$101921,$A4,DuLieu!$T$3:$T$101921,"&gt;=1", DuLieu!$T$3:$T$101921,"&lt;=7",DuLieu!$U$3:$U$101921,$R4)</f>
        <v/>
      </c>
      <c r="E4" s="81">
        <f>IF(C4&gt;=D4,C4-D4,0)</f>
        <v/>
      </c>
      <c r="F4" s="65" t="n">
        <v>2</v>
      </c>
      <c r="G4" s="81">
        <f>SUMIFS(DuLieu!$E$3:$E$11921,DuLieu!$B$3:$B$101921,$A4,DuLieu!$T$3:$T$101921,"&gt;=8", DuLieu!$T$3:$T$101921,"&lt;=14",DuLieu!$U$3:$U$101921,$R4)</f>
        <v/>
      </c>
      <c r="H4" s="81">
        <f>IF(F4&gt;=G4,F4-G4,0)</f>
        <v/>
      </c>
      <c r="I4" s="78" t="n">
        <v>2</v>
      </c>
      <c r="J4" s="81">
        <f>SUMIFS(DuLieu!$E$3:$E$11921,DuLieu!$B$3:$B$101921,$A4,DuLieu!$T$3:$T$101921,"&gt;=15", DuLieu!$T$3:$T$101921,"&lt;=21",DuLieu!$U$3:$U$101921,$R4)</f>
        <v/>
      </c>
      <c r="K4" s="81">
        <f>IF(I4&gt;=J4,I4-J4,0)</f>
        <v/>
      </c>
      <c r="L4" s="68" t="n">
        <v>1</v>
      </c>
      <c r="M4" s="81">
        <f>SUMIFS(DuLieu!$D$3:$D$101921,DuLieu!$B$3:$B$101921,$A4,DuLieu!$T$3:$T$101921,"&gt;=1", DuLieu!$T$3:$T$101921,"&lt;=7",DuLieu!$U$3:$U$101921,$R4)</f>
        <v/>
      </c>
      <c r="N4" s="81">
        <f>IF(L4&gt;=M4,L4-M4,0)</f>
        <v/>
      </c>
      <c r="O4" s="81" t="n">
        <v>5</v>
      </c>
      <c r="P4" s="81">
        <f>$D4+$G4+$J4+$M4</f>
        <v/>
      </c>
      <c r="Q4" s="81">
        <f>IF(O4&gt;=P4,O4-P4,0)</f>
        <v/>
      </c>
      <c r="R4" s="67" t="n">
        <v>11</v>
      </c>
      <c r="S4" s="91" t="n"/>
      <c r="T4" s="91" t="n"/>
      <c r="U4" s="91" t="n"/>
      <c r="V4" s="91" t="n"/>
      <c r="W4" s="91" t="n"/>
      <c r="X4" s="91" t="n"/>
      <c r="Y4" s="91" t="n"/>
      <c r="Z4" s="91" t="n"/>
      <c r="AA4" s="91" t="n"/>
    </row>
    <row r="5">
      <c r="A5" s="62" t="inlineStr">
        <is>
          <t>Trần Trung Giang</t>
        </is>
      </c>
      <c r="B5" s="53" t="inlineStr">
        <is>
          <t>Tiếp thị DV Camera/Mesh</t>
        </is>
      </c>
      <c r="C5" s="73" t="n">
        <v>1</v>
      </c>
      <c r="D5" s="81">
        <f>SUMIFS(DuLieu!$F$3:$F$11921,DuLieu!$B$3:$B$101921,$A5,DuLieu!$T$3:$T$101921,"&gt;=1", DuLieu!$T$3:$T$101921,"&lt;=7",DuLieu!$U$3:$U$101921,$R5)</f>
        <v/>
      </c>
      <c r="E5" s="81">
        <f>IF(C5&gt;=D5,C5-D5,0)</f>
        <v/>
      </c>
      <c r="F5" s="65" t="n">
        <v>1</v>
      </c>
      <c r="G5" s="81">
        <f>SUMIFS(DuLieu!$F$3:$F$11921,DuLieu!$B$3:$B$101921,$A5,DuLieu!$T$3:$T$101921,"&gt;=8", DuLieu!$T$3:$T$101921,"&lt;=14",DuLieu!$U$3:$U$101921,$R5)</f>
        <v/>
      </c>
      <c r="H5" s="81">
        <f>IF(F5&gt;=G5,F5-G5,0)</f>
        <v/>
      </c>
      <c r="I5" s="78" t="n">
        <v>0</v>
      </c>
      <c r="J5" s="81">
        <f>SUMIFS(DuLieu!$F$3:$F$11921,DuLieu!$B$3:$B$101921,$A5,DuLieu!$T$3:$T$101921,"&gt;=15", DuLieu!$T$3:$T$101921,"&lt;=21",DuLieu!$U$3:$U$101921,$R5)</f>
        <v/>
      </c>
      <c r="K5" s="81">
        <f>IF(I5&gt;=J5,I5-J5,0)</f>
        <v/>
      </c>
      <c r="L5" s="68" t="n">
        <v>0</v>
      </c>
      <c r="M5" s="81">
        <f>SUMIFS(DuLieu!$D$3:$D$101921,DuLieu!$B$3:$B$101921,$A5,DuLieu!$T$3:$T$101921,"&gt;=1", DuLieu!$T$3:$T$101921,"&lt;=7",DuLieu!$U$3:$U$101921,$R5)</f>
        <v/>
      </c>
      <c r="N5" s="81">
        <f>IF(L5&gt;=M5,L5-M5,0)</f>
        <v/>
      </c>
      <c r="O5" s="81" t="n">
        <v>6</v>
      </c>
      <c r="P5" s="81">
        <f>$D5+$G5+$J5+$M5</f>
        <v/>
      </c>
      <c r="Q5" s="81">
        <f>IF(O5&gt;=P5,O5-P5,0)</f>
        <v/>
      </c>
      <c r="R5" s="67" t="n">
        <v>11</v>
      </c>
      <c r="S5" s="91" t="n"/>
      <c r="T5" s="91" t="n"/>
      <c r="U5" s="91" t="n"/>
      <c r="V5" s="91" t="n"/>
      <c r="W5" s="91" t="n"/>
      <c r="X5" s="91" t="n"/>
      <c r="Y5" s="91" t="n"/>
      <c r="Z5" s="91" t="n"/>
      <c r="AA5" s="91" t="n"/>
    </row>
    <row r="6">
      <c r="A6" s="62" t="inlineStr">
        <is>
          <t>Trần Trung Giang</t>
        </is>
      </c>
      <c r="B6" s="53" t="inlineStr">
        <is>
          <t>Tạm ngưng Fiber</t>
        </is>
      </c>
      <c r="C6" s="73" t="n">
        <v>1</v>
      </c>
      <c r="D6" s="81">
        <f>SUMIFS(DuLieu!$G$3:$G$11921,DuLieu!$B$3:$B$101921,$A6,DuLieu!$T$3:$T$101921,"&gt;=1", DuLieu!$T$3:$T$101921,"&lt;=7",DuLieu!$U$3:$U$101921,$R6)</f>
        <v/>
      </c>
      <c r="E6" s="81">
        <f>IF(C6&gt;=D6,C6-D6,0)</f>
        <v/>
      </c>
      <c r="F6" s="70" t="n">
        <v>1</v>
      </c>
      <c r="G6" s="81">
        <f>SUMIFS(DuLieu!$G$3:$G$11921,DuLieu!$B$3:$B$101921,D6,DuLieu!$T$3:$T$101921,"&gt;=8", DuLieu!$T$3:$T$101921,"&lt;=14",DuLieu!$U$3:$U$101921,$R6)</f>
        <v/>
      </c>
      <c r="H6" s="81">
        <f>IF(F6&gt;=G6,F6-G6,0)</f>
        <v/>
      </c>
      <c r="I6" s="72" t="n">
        <v>1</v>
      </c>
      <c r="J6" s="81">
        <f>SUMIFS(DuLieu!$G$3:$G$11921,DuLieu!$B$3:$B$101921,$A6,DuLieu!$T$3:$T$101921,"&gt;=15", DuLieu!$T$3:$T$101921,"&lt;=21",DuLieu!$U$3:$U$101921,$R6)</f>
        <v/>
      </c>
      <c r="K6" s="81">
        <f>IF(I6&gt;=J6,I6-J6,0)</f>
        <v/>
      </c>
      <c r="L6" s="73" t="n">
        <v>1</v>
      </c>
      <c r="M6" s="81">
        <f>SUMIFS(DuLieu!$D$3:$D$101921,DuLieu!$B$3:$B$101921,$A6,DuLieu!$T$3:$T$101921,"&gt;=1", DuLieu!$T$3:$T$101921,"&lt;=7",DuLieu!$U$3:$U$101921,$R6)</f>
        <v/>
      </c>
      <c r="N6" s="81">
        <f>IF(L6&gt;=M6,L6-M6,0)</f>
        <v/>
      </c>
      <c r="O6" s="81" t="n">
        <v>4</v>
      </c>
      <c r="P6" s="81">
        <f>$D6+$G6+$J6+$M6</f>
        <v/>
      </c>
      <c r="Q6" s="81">
        <f>IF(O6&gt;=P6,O6-P6,0)</f>
        <v/>
      </c>
      <c r="R6" s="67" t="n">
        <v>11</v>
      </c>
      <c r="S6" s="91" t="n"/>
      <c r="T6" s="91" t="n"/>
      <c r="U6" s="91" t="n"/>
      <c r="V6" s="91" t="n"/>
      <c r="W6" s="91" t="n"/>
      <c r="X6" s="91" t="n"/>
      <c r="Y6" s="91" t="n"/>
      <c r="Z6" s="91" t="n"/>
      <c r="AA6" s="91" t="n"/>
    </row>
    <row r="7">
      <c r="A7" s="62" t="inlineStr">
        <is>
          <t>Trần Trung Giang</t>
        </is>
      </c>
      <c r="B7" s="53" t="inlineStr">
        <is>
          <t>Tạm ngưng Mytv</t>
        </is>
      </c>
      <c r="C7" s="73" t="n">
        <v>2</v>
      </c>
      <c r="D7" s="81">
        <f>SUMIFS(DuLieu!$H$3:$H$11921,DuLieu!$B$3:$B$101921,$A7,DuLieu!$T$3:$T$101921,"&gt;=1", DuLieu!$T$3:$T$101921,"&lt;=7",DuLieu!$U$3:$U$101921,$R7)</f>
        <v/>
      </c>
      <c r="E7" s="81">
        <f>IF(C7&gt;=D7,C7-D7,0)</f>
        <v/>
      </c>
      <c r="F7" s="70" t="n">
        <v>1</v>
      </c>
      <c r="G7" s="81">
        <f>SUMIFS(DuLieu!$H$3:$H$11921,DuLieu!$B$3:$B$101921,$A7,DuLieu!$T$3:$T$101921,"&gt;=8", DuLieu!$T$3:$T$101921,"&lt;=14",DuLieu!$U$3:$U$101921,$R7)</f>
        <v/>
      </c>
      <c r="H7" s="81">
        <f>IF(F7&gt;=G7,F7-G7,0)</f>
        <v/>
      </c>
      <c r="I7" s="72" t="n">
        <v>1</v>
      </c>
      <c r="J7" s="81">
        <f>SUMIFS(DuLieu!$H$3:$H$11921,DuLieu!$B$3:$B$101921,$A7,DuLieu!$T$3:$T$101921,"&gt;=15", DuLieu!$T$3:$T$101921,"&lt;=21",DuLieu!$U$3:$U$101921,$R7)</f>
        <v/>
      </c>
      <c r="K7" s="81">
        <f>IF(I7&gt;=J7,I7-J7,0)</f>
        <v/>
      </c>
      <c r="L7" s="73" t="n">
        <v>1</v>
      </c>
      <c r="M7" s="81">
        <f>SUMIFS(DuLieu!$D$3:$D$101921,DuLieu!$B$3:$B$101921,$A7,DuLieu!$T$3:$T$101921,"&gt;=1", DuLieu!$T$3:$T$101921,"&lt;=7",DuLieu!$U$3:$U$101921,$R7)</f>
        <v/>
      </c>
      <c r="N7" s="81">
        <f>IF(L7&gt;=M7,L7-M7,0)</f>
        <v/>
      </c>
      <c r="O7" s="81" t="n">
        <v>2</v>
      </c>
      <c r="P7" s="81">
        <f>$D7+$G7+$J7+$M7</f>
        <v/>
      </c>
      <c r="Q7" s="81">
        <f>IF(O7&gt;=P7,O7-P7,0)</f>
        <v/>
      </c>
      <c r="R7" s="67" t="n">
        <v>11</v>
      </c>
      <c r="S7" s="91" t="n"/>
      <c r="T7" s="91" t="n"/>
      <c r="U7" s="91" t="n"/>
      <c r="V7" s="91" t="n"/>
      <c r="W7" s="91" t="n"/>
      <c r="X7" s="91" t="n"/>
      <c r="Y7" s="91" t="n"/>
      <c r="Z7" s="91" t="n"/>
      <c r="AA7" s="91" t="n"/>
    </row>
    <row r="8">
      <c r="A8" s="62" t="inlineStr">
        <is>
          <t>Trần Trung Giang</t>
        </is>
      </c>
      <c r="B8" s="53" t="inlineStr">
        <is>
          <t>Thay thế ONT 2 băng tần</t>
        </is>
      </c>
      <c r="C8" s="73" t="n">
        <v>6</v>
      </c>
      <c r="D8" s="81">
        <f>SUMIFS(DuLieu!$I$3:$I$11921,DuLieu!$B$3:$B$101921,$A8,DuLieu!$T$3:$T$101921,"&gt;=1", DuLieu!$T$3:$T$101921,"&lt;=7",DuLieu!$U$3:$U$101921,$R8)</f>
        <v/>
      </c>
      <c r="E8" s="81">
        <f>IF(C8&gt;=D8,C8-D8,0)</f>
        <v/>
      </c>
      <c r="F8" s="70" t="n">
        <v>6</v>
      </c>
      <c r="G8" s="81">
        <f>SUMIFS(DuLieu!$I$3:$I$11921,DuLieu!$B$3:$B$101921,$A8,DuLieu!$T$3:$T$101921,"&gt;=8", DuLieu!$T$3:$T$101921,"&lt;=14",DuLieu!$U$3:$U$101921,$R8)</f>
        <v/>
      </c>
      <c r="H8" s="81">
        <f>IF(F8&gt;=G8,F8-G8,0)</f>
        <v/>
      </c>
      <c r="I8" s="72" t="n">
        <v>6</v>
      </c>
      <c r="J8" s="81">
        <f>SUMIFS(DuLieu!$I$3:$I$11921,DuLieu!$B$3:$B$101921,$A8,DuLieu!$T$3:$T$101921,"&gt;=15", DuLieu!$T$3:$T$101921,"&lt;=21",DuLieu!$U$3:$U$101921,$R8)</f>
        <v/>
      </c>
      <c r="K8" s="81">
        <f>IF(I8&gt;=J8,I8-J8,0)</f>
        <v/>
      </c>
      <c r="L8" s="73" t="n">
        <v>5</v>
      </c>
      <c r="M8" s="81">
        <f>SUMIFS(DuLieu!$D$3:$D$101921,DuLieu!$B$3:$B$101921,$A8,DuLieu!$T$3:$T$101921,"&gt;=1", DuLieu!$T$3:$T$101921,"&lt;=7",DuLieu!$U$3:$U$101921,$R8)</f>
        <v/>
      </c>
      <c r="N8" s="81">
        <f>IF(L8&gt;=M8,L8-M8,0)</f>
        <v/>
      </c>
      <c r="O8" s="81" t="n">
        <v>40</v>
      </c>
      <c r="P8" s="81">
        <f>$D8+$G8+$J8+$M8</f>
        <v/>
      </c>
      <c r="Q8" s="81">
        <f>IF(O8&gt;=P8,O8-P8,0)</f>
        <v/>
      </c>
      <c r="R8" s="67" t="n">
        <v>11</v>
      </c>
      <c r="S8" s="91" t="n"/>
      <c r="T8" s="91" t="n"/>
      <c r="U8" s="91" t="n"/>
      <c r="V8" s="91" t="n"/>
      <c r="W8" s="91" t="n"/>
      <c r="X8" s="91" t="n"/>
      <c r="Y8" s="91" t="n"/>
      <c r="Z8" s="91" t="n"/>
      <c r="AA8" s="91" t="n"/>
    </row>
    <row r="9">
      <c r="A9" s="62" t="inlineStr">
        <is>
          <t>Trần Trung Giang</t>
        </is>
      </c>
      <c r="B9" s="53" t="inlineStr">
        <is>
          <t>CSKH HVC chuyển XGSPON</t>
        </is>
      </c>
      <c r="C9" s="68" t="n">
        <v>0</v>
      </c>
      <c r="D9" s="81">
        <f>SUMIFS(DuLieu!$J$3:$J$11921,DuLieu!$B$3:$B$101921,$A9,DuLieu!$T$3:$T$101921,"&gt;=1", DuLieu!$T$3:$T$101921,"&lt;=7",DuLieu!$U$3:$U$101921,$R9)</f>
        <v/>
      </c>
      <c r="E9" s="81">
        <f>IF(C9&gt;=D9,C9-D9,0)</f>
        <v/>
      </c>
      <c r="F9" s="65" t="n">
        <v>0</v>
      </c>
      <c r="G9" s="81">
        <f>SUMIFS(DuLieu!$J$3:$J$11921,DuLieu!$B$3:$B$101921,$A9,DuLieu!$T$3:$T$101921,"&gt;=8", DuLieu!$T$3:$T$101921,"&lt;=14",DuLieu!$U$3:$U$101921,$R9)</f>
        <v/>
      </c>
      <c r="H9" s="81">
        <f>IF(F9&gt;=G9,F9-G9,0)</f>
        <v/>
      </c>
      <c r="I9" s="72" t="n"/>
      <c r="J9" s="81">
        <f>SUMIFS(DuLieu!$J$3:$J$11921,DuLieu!$B$3:$B$101921,$A9,DuLieu!$T$3:$T$101921,"&gt;=15", DuLieu!$T$3:$T$101921,"&lt;=21",DuLieu!$U$3:$U$101921,$R9)</f>
        <v/>
      </c>
      <c r="K9" s="81">
        <f>IF(I9&gt;=J9,I9-J9,0)</f>
        <v/>
      </c>
      <c r="L9" s="73" t="n"/>
      <c r="M9" s="81">
        <f>SUMIFS(DuLieu!$D$3:$D$101921,DuLieu!$B$3:$B$101921,$A9,DuLieu!$T$3:$T$101921,"&gt;=1", DuLieu!$T$3:$T$101921,"&lt;=7",DuLieu!$U$3:$U$101921,$R9)</f>
        <v/>
      </c>
      <c r="N9" s="81">
        <f>IF(L9&gt;=M9,L9-M9,0)</f>
        <v/>
      </c>
      <c r="O9" s="81" t="n">
        <v>20</v>
      </c>
      <c r="P9" s="81">
        <f>$D9+$G9+$J9+$M9</f>
        <v/>
      </c>
      <c r="Q9" s="81">
        <f>IF(O9&gt;=P9,O9-P9,0)</f>
        <v/>
      </c>
      <c r="R9" s="67" t="n">
        <v>11</v>
      </c>
      <c r="S9" s="91" t="n"/>
      <c r="T9" s="91" t="n"/>
      <c r="U9" s="91" t="n"/>
      <c r="V9" s="91" t="n"/>
      <c r="W9" s="91" t="n"/>
      <c r="X9" s="91" t="n"/>
      <c r="Y9" s="91" t="n"/>
      <c r="Z9" s="91" t="n"/>
      <c r="AA9" s="91" t="n"/>
    </row>
    <row r="10">
      <c r="A10" s="62" t="inlineStr">
        <is>
          <t>Trần Trung Giang</t>
        </is>
      </c>
      <c r="B10" s="53" t="inlineStr">
        <is>
          <t>Phiếu GHTT tháng T</t>
        </is>
      </c>
      <c r="C10" s="68" t="n">
        <v>16</v>
      </c>
      <c r="D10" s="81">
        <f>SUMIFS(DuLieu!$K$3:$K$11921,DuLieu!$B$3:$B$101921,$A10,DuLieu!$T$3:$T$101921,"&gt;=1", DuLieu!$T$3:$T$101921,"&lt;=7",DuLieu!$U$3:$U$101921,$R10)</f>
        <v/>
      </c>
      <c r="E10" s="81">
        <f>IF(C10&gt;=D10,C10-D10,0)</f>
        <v/>
      </c>
      <c r="F10" s="65" t="n">
        <v>16</v>
      </c>
      <c r="G10" s="81">
        <f>SUMIFS(DuLieu!$K$3:$K$11921,DuLieu!$B$3:$B$101921,$A10,DuLieu!$T$3:$T$101921,"&gt;=8", DuLieu!$T$3:$T$101921,"&lt;=14",DuLieu!$U$3:$U$101921,$R10)</f>
        <v/>
      </c>
      <c r="H10" s="81">
        <f>IF(F10&gt;=G10,F10-G10,0)</f>
        <v/>
      </c>
      <c r="I10" s="78" t="n">
        <v>16</v>
      </c>
      <c r="J10" s="81">
        <f>SUMIFS(DuLieu!$K$3:$K$11921,DuLieu!$B$3:$B$101921,$A10,DuLieu!$T$3:$T$101921,"&gt;=15", DuLieu!$T$3:$T$101921,"&lt;=21",DuLieu!$U$3:$U$101921,$R10)</f>
        <v/>
      </c>
      <c r="K10" s="81">
        <f>IF(I10&gt;=J10,I10-J10,0)</f>
        <v/>
      </c>
      <c r="L10" s="68" t="n">
        <v>15</v>
      </c>
      <c r="M10" s="81">
        <f>SUMIFS(DuLieu!$D$3:$D$101921,DuLieu!$B$3:$B$101921,$A10,DuLieu!$T$3:$T$101921,"&gt;=1", DuLieu!$T$3:$T$101921,"&lt;=7",DuLieu!$U$3:$U$101921,$R10)</f>
        <v/>
      </c>
      <c r="N10" s="81">
        <f>IF(L10&gt;=M10,L10-M10,0)</f>
        <v/>
      </c>
      <c r="O10" s="81" t="n">
        <v>150</v>
      </c>
      <c r="P10" s="81">
        <f>$D10+$G10+$J10+$M10</f>
        <v/>
      </c>
      <c r="Q10" s="81">
        <f>IF(O10&gt;=P10,O10-P10,0)</f>
        <v/>
      </c>
      <c r="R10" s="67" t="n">
        <v>11</v>
      </c>
      <c r="S10" s="91" t="n"/>
      <c r="T10" s="91" t="n"/>
      <c r="U10" s="91" t="n"/>
      <c r="V10" s="91" t="n"/>
      <c r="W10" s="91" t="n"/>
      <c r="X10" s="91" t="n"/>
      <c r="Y10" s="91" t="n"/>
      <c r="Z10" s="91" t="n"/>
      <c r="AA10" s="91" t="n"/>
    </row>
    <row r="11">
      <c r="A11" s="62" t="inlineStr">
        <is>
          <t>Trần Trung Giang</t>
        </is>
      </c>
      <c r="B11" s="53" t="inlineStr">
        <is>
          <t>Phiếu GHTT tháng T+1</t>
        </is>
      </c>
      <c r="C11" s="68" t="n">
        <v>5</v>
      </c>
      <c r="D11" s="81">
        <f>SUMIFS(DuLieu!$L$3:$L$11921,DuLieu!$B$3:$B$101921,$A11,DuLieu!$T$3:$T$101921,"&gt;=1", DuLieu!$T$3:$T$101921,"&lt;=7",DuLieu!$U$3:$U$101921,$R11)</f>
        <v/>
      </c>
      <c r="E11" s="81">
        <f>IF(C11&gt;=D11,C11-D11,0)</f>
        <v/>
      </c>
      <c r="F11" s="59" t="n"/>
      <c r="G11" s="81">
        <f>SUMIFS(DuLieu!$L$3:$L$11921,DuLieu!$B$3:$B$101921,$A11,DuLieu!$T$3:$T$101921,"&gt;=8", DuLieu!$T$3:$T$101921,"&lt;=14",DuLieu!$U$3:$U$101921,$R11)</f>
        <v/>
      </c>
      <c r="H11" s="81">
        <f>IF(F11&gt;=G11,F11-G11,0)</f>
        <v/>
      </c>
      <c r="I11" s="72" t="n"/>
      <c r="J11" s="81">
        <f>SUMIFS(DuLieu!$L$3:$L$11921,DuLieu!$B$3:$B$101921,$A11,DuLieu!$T$3:$T$101921,"&gt;=15", DuLieu!$T$3:$T$101921,"&lt;=21",DuLieu!$U$3:$U$101921,$R11)</f>
        <v/>
      </c>
      <c r="K11" s="81">
        <f>IF(I11&gt;=J11,I11-J11,0)</f>
        <v/>
      </c>
      <c r="L11" s="73" t="n"/>
      <c r="M11" s="81">
        <f>SUMIFS(DuLieu!$D$3:$D$101921,DuLieu!$B$3:$B$101921,$A11,DuLieu!$T$3:$T$101921,"&gt;=1", DuLieu!$T$3:$T$101921,"&lt;=7",DuLieu!$U$3:$U$101921,$R11)</f>
        <v/>
      </c>
      <c r="N11" s="81">
        <f>IF(L11&gt;=M11,L11-M11,0)</f>
        <v/>
      </c>
      <c r="O11" s="81" t="n">
        <v>1</v>
      </c>
      <c r="P11" s="81">
        <f>$D11+$G11+$J11+$M11</f>
        <v/>
      </c>
      <c r="Q11" s="81">
        <f>IF(O11&gt;=P11,O11-P11,0)</f>
        <v/>
      </c>
      <c r="R11" s="67" t="n">
        <v>11</v>
      </c>
      <c r="S11" s="91" t="n"/>
      <c r="T11" s="91" t="n"/>
      <c r="U11" s="91" t="n"/>
      <c r="V11" s="91" t="n"/>
      <c r="W11" s="91" t="n"/>
      <c r="X11" s="91" t="n"/>
      <c r="Y11" s="91" t="n"/>
      <c r="Z11" s="91" t="n"/>
      <c r="AA11" s="91" t="n"/>
    </row>
    <row r="12" ht="15.75" customHeight="1" s="117">
      <c r="A12" s="114" t="inlineStr">
        <is>
          <t>Nguyễn Văn Hiệp</t>
        </is>
      </c>
      <c r="B12" s="58" t="inlineStr">
        <is>
          <t>Tiếp thị DV Fiber</t>
        </is>
      </c>
      <c r="C12" s="68" t="n">
        <v>2</v>
      </c>
      <c r="D12" s="87">
        <f>SUMIFS(DuLieu!$D$3:$D$11921,DuLieu!$B$3:$B$101921,$A12,DuLieu!$T$3:$T$101921,"&gt;=1", DuLieu!$T$3:$T$101921,"&lt;=7",DuLieu!$U$3:$U$101921,$R12)</f>
        <v/>
      </c>
      <c r="E12" s="87">
        <f>IF(C12&gt;=D12,C12-D12,0)</f>
        <v/>
      </c>
      <c r="F12" s="65" t="n">
        <v>2</v>
      </c>
      <c r="G12" s="87">
        <f>SUMIFS(DuLieu!$D$3:$D$11921,DuLieu!$B$3:$B$101921,$A12,DuLieu!$T$3:$T$101921,"&gt;=8", DuLieu!$T$3:$T$101921,"&lt;=14",DuLieu!$U$3:$U$101921,$R12)</f>
        <v/>
      </c>
      <c r="H12" s="87">
        <f>IF(F12&gt;=G12,F12-G12,0)</f>
        <v/>
      </c>
      <c r="I12" s="78" t="n">
        <v>2</v>
      </c>
      <c r="J12" s="86">
        <f>SUMIFS(DuLieu!$D$3:$D$11921,DuLieu!$B$3:$B$101921,$A12,DuLieu!$T$3:$T$101921,"&gt;=15", DuLieu!$T$3:$T$101921,"&lt;=21",DuLieu!$U$3:$U$101921,$R12)</f>
        <v/>
      </c>
      <c r="K12" s="87">
        <f>IF(I12&gt;=J12,I12-J12,0)</f>
        <v/>
      </c>
      <c r="L12" s="68" t="n">
        <v>1</v>
      </c>
      <c r="M12" s="87">
        <f>SUMIFS(DuLieu!$D$3:$D$101921,DuLieu!$B$3:$B$101921,$A12,DuLieu!$T$3:$T$101921,"&gt;=1", DuLieu!$T$3:$T$101921,"&lt;=7",DuLieu!$U$3:$U$101921,$R12)</f>
        <v/>
      </c>
      <c r="N12" s="87">
        <f>IF(L12&gt;=M12,L12-M12,0)</f>
        <v/>
      </c>
      <c r="O12" s="87" t="n">
        <v>4</v>
      </c>
      <c r="P12" s="87">
        <f>$D12+$G12+$J12+$M12</f>
        <v/>
      </c>
      <c r="Q12" s="87">
        <f>IF(O12&gt;=P12,O12-P12,0)</f>
        <v/>
      </c>
      <c r="R12" s="77" t="n">
        <v>11</v>
      </c>
      <c r="S12" s="91" t="n"/>
      <c r="T12" s="91" t="n"/>
      <c r="U12" s="91" t="n"/>
      <c r="V12" s="91" t="n"/>
      <c r="W12" s="91" t="n"/>
      <c r="X12" s="91" t="n"/>
      <c r="Y12" s="91" t="n"/>
      <c r="Z12" s="91" t="n"/>
      <c r="AA12" s="91" t="n"/>
    </row>
    <row r="13" ht="15.75" customHeight="1" s="117">
      <c r="A13" s="114" t="inlineStr">
        <is>
          <t>Nguyễn Văn Hiệp</t>
        </is>
      </c>
      <c r="B13" s="58" t="inlineStr">
        <is>
          <t>Tiếp thị DV MyTV</t>
        </is>
      </c>
      <c r="C13" s="68" t="n">
        <v>2</v>
      </c>
      <c r="D13" s="87">
        <f>SUMIFS(DuLieu!$E$3:$E$11921,DuLieu!$B$3:$B$101921,$A13,DuLieu!$T$3:$T$101921,"&gt;=1", DuLieu!$T$3:$T$101921,"&lt;=7",DuLieu!$U$3:$U$101921,$R13)</f>
        <v/>
      </c>
      <c r="E13" s="87">
        <f>IF(C13&gt;=D13,C13-D13,0)</f>
        <v/>
      </c>
      <c r="F13" s="65" t="n">
        <v>2</v>
      </c>
      <c r="G13" s="87">
        <f>SUMIFS(DuLieu!$E$3:$E$11921,DuLieu!$B$3:$B$101921,$A13,DuLieu!$T$3:$T$101921,"&gt;=8", DuLieu!$T$3:$T$101921,"&lt;=14",DuLieu!$U$3:$U$101921,$R13)</f>
        <v/>
      </c>
      <c r="H13" s="87">
        <f>IF(F13&gt;=G13,F13-G13,0)</f>
        <v/>
      </c>
      <c r="I13" s="78" t="n">
        <v>1</v>
      </c>
      <c r="J13" s="86">
        <f>SUMIFS(DuLieu!$E$3:$E$11921,DuLieu!$B$3:$B$101921,$A13,DuLieu!$T$3:$T$101921,"&gt;=15", DuLieu!$T$3:$T$101921,"&lt;=21",DuLieu!$U$3:$U$101921,$R13)</f>
        <v/>
      </c>
      <c r="K13" s="87">
        <f>IF(I13&gt;=J13,I13-J13,0)</f>
        <v/>
      </c>
      <c r="L13" s="68" t="n">
        <v>1</v>
      </c>
      <c r="M13" s="87">
        <f>SUMIFS(DuLieu!$D$3:$D$101921,DuLieu!$B$3:$B$101921,$A13,DuLieu!$T$3:$T$101921,"&gt;=1", DuLieu!$T$3:$T$101921,"&lt;=7",DuLieu!$U$3:$U$101921,$R13)</f>
        <v/>
      </c>
      <c r="N13" s="87">
        <f>IF(L13&gt;=M13,L13-M13,0)</f>
        <v/>
      </c>
      <c r="O13" s="87" t="n">
        <v>5</v>
      </c>
      <c r="P13" s="87">
        <f>$D13+$G13+$J13+$M13</f>
        <v/>
      </c>
      <c r="Q13" s="87">
        <f>IF(O13&gt;=P13,O13-P13,0)</f>
        <v/>
      </c>
      <c r="R13" s="77" t="n">
        <v>11</v>
      </c>
      <c r="S13" s="91" t="n"/>
      <c r="T13" s="91" t="n"/>
      <c r="U13" s="91" t="n"/>
      <c r="V13" s="91" t="n"/>
      <c r="W13" s="91" t="n"/>
      <c r="X13" s="91" t="n"/>
      <c r="Y13" s="91" t="n"/>
      <c r="Z13" s="91" t="n"/>
      <c r="AA13" s="91" t="n"/>
    </row>
    <row r="14" ht="15.75" customHeight="1" s="117">
      <c r="A14" s="114" t="inlineStr">
        <is>
          <t>Nguyễn Văn Hiệp</t>
        </is>
      </c>
      <c r="B14" s="58" t="inlineStr">
        <is>
          <t>Tiếp thị DV Camera/Mesh</t>
        </is>
      </c>
      <c r="C14" s="68" t="n">
        <v>1</v>
      </c>
      <c r="D14" s="87">
        <f>SUMIFS(DuLieu!$F$3:$F$11921,DuLieu!$B$3:$B$101921,$A14,DuLieu!$T$3:$T$101921,"&gt;=1", DuLieu!$T$3:$T$101921,"&lt;=7",DuLieu!$U$3:$U$101921,$R14)</f>
        <v/>
      </c>
      <c r="E14" s="87">
        <f>IF(C14&gt;=D14,C14-D14,0)</f>
        <v/>
      </c>
      <c r="F14" s="65" t="n">
        <v>1</v>
      </c>
      <c r="G14" s="87">
        <f>SUMIFS(DuLieu!$F$3:$F$11921,DuLieu!$B$3:$B$101921,$A14,DuLieu!$T$3:$T$101921,"&gt;=8", DuLieu!$T$3:$T$101921,"&lt;=14",DuLieu!$U$3:$U$101921,$R14)</f>
        <v/>
      </c>
      <c r="H14" s="87">
        <f>IF(F14&gt;=G14,F14-G14,0)</f>
        <v/>
      </c>
      <c r="I14" s="78" t="n">
        <v>0</v>
      </c>
      <c r="J14" s="86">
        <f>SUMIFS(DuLieu!$F$3:$F$11921,DuLieu!$B$3:$B$101921,$A14,DuLieu!$T$3:$T$101921,"&gt;=15", DuLieu!$T$3:$T$101921,"&lt;=21",DuLieu!$U$3:$U$101921,$R14)</f>
        <v/>
      </c>
      <c r="K14" s="87">
        <f>IF(I14&gt;=J14,I14-J14,0)</f>
        <v/>
      </c>
      <c r="L14" s="73" t="n">
        <v>0</v>
      </c>
      <c r="M14" s="87">
        <f>SUMIFS(DuLieu!$D$3:$D$101921,DuLieu!$B$3:$B$101921,$A14,DuLieu!$T$3:$T$101921,"&gt;=1", DuLieu!$T$3:$T$101921,"&lt;=7",DuLieu!$U$3:$U$101921,$R14)</f>
        <v/>
      </c>
      <c r="N14" s="87">
        <f>IF(L14&gt;=M14,L14-M14,0)</f>
        <v/>
      </c>
      <c r="O14" s="87" t="n">
        <v>6</v>
      </c>
      <c r="P14" s="87">
        <f>$D14+$G14+$J14+$M14</f>
        <v/>
      </c>
      <c r="Q14" s="87">
        <f>IF(O14&gt;=P14,O14-P14,0)</f>
        <v/>
      </c>
      <c r="R14" s="77" t="n">
        <v>11</v>
      </c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</row>
    <row r="15" ht="15.75" customHeight="1" s="117">
      <c r="A15" s="114" t="inlineStr">
        <is>
          <t>Nguyễn Văn Hiệp</t>
        </is>
      </c>
      <c r="B15" s="58" t="inlineStr">
        <is>
          <t>Tạm ngưng Fiber</t>
        </is>
      </c>
      <c r="C15" s="73" t="n">
        <v>1</v>
      </c>
      <c r="D15" s="87">
        <f>SUMIFS(DuLieu!$G$3:$G$11921,DuLieu!$B$3:$B$101921,$A15,DuLieu!$T$3:$T$101921,"&gt;=1", DuLieu!$T$3:$T$101921,"&lt;=7",DuLieu!$U$3:$U$101921,$R15)</f>
        <v/>
      </c>
      <c r="E15" s="87">
        <f>IF(C15&gt;=D15,C15-D15,0)</f>
        <v/>
      </c>
      <c r="F15" s="70" t="n">
        <v>1</v>
      </c>
      <c r="G15" s="87">
        <f>SUMIFS(DuLieu!$G$3:$G$11921,DuLieu!$B$3:$B$101921,D15,DuLieu!$T$3:$T$101921,"&gt;=8", DuLieu!$T$3:$T$101921,"&lt;=14",DuLieu!$U$3:$U$101921,$R15)</f>
        <v/>
      </c>
      <c r="H15" s="87">
        <f>IF(F15&gt;=G15,F15-G15,0)</f>
        <v/>
      </c>
      <c r="I15" s="72" t="n">
        <v>1</v>
      </c>
      <c r="J15" s="86">
        <f>SUMIFS(DuLieu!$G$3:$G$11921,DuLieu!$B$3:$B$101921,$A15,DuLieu!$T$3:$T$101921,"&gt;=15", DuLieu!$T$3:$T$101921,"&lt;=21",DuLieu!$U$3:$U$101921,$R15)</f>
        <v/>
      </c>
      <c r="K15" s="87">
        <f>IF(I15&gt;=J15,I15-J15,0)</f>
        <v/>
      </c>
      <c r="L15" s="73" t="n">
        <v>1</v>
      </c>
      <c r="M15" s="87">
        <f>SUMIFS(DuLieu!$D$3:$D$101921,DuLieu!$B$3:$B$101921,$A15,DuLieu!$T$3:$T$101921,"&gt;=1", DuLieu!$T$3:$T$101921,"&lt;=7",DuLieu!$U$3:$U$101921,$R15)</f>
        <v/>
      </c>
      <c r="N15" s="87">
        <f>IF(L15&gt;=M15,L15-M15,0)</f>
        <v/>
      </c>
      <c r="O15" s="87" t="n">
        <v>4</v>
      </c>
      <c r="P15" s="87">
        <f>$D15+$G15+$J15+$M15</f>
        <v/>
      </c>
      <c r="Q15" s="87">
        <f>IF(O15&gt;=P15,O15-P15,0)</f>
        <v/>
      </c>
      <c r="R15" s="77" t="n">
        <v>11</v>
      </c>
      <c r="S15" s="91" t="n"/>
      <c r="T15" s="91" t="n"/>
      <c r="U15" s="91" t="n"/>
      <c r="V15" s="91" t="n"/>
      <c r="W15" s="91" t="n"/>
      <c r="X15" s="91" t="n"/>
      <c r="Y15" s="91" t="n"/>
      <c r="Z15" s="91" t="n"/>
      <c r="AA15" s="91" t="n"/>
    </row>
    <row r="16" ht="15.75" customHeight="1" s="117">
      <c r="A16" s="114" t="inlineStr">
        <is>
          <t>Nguyễn Văn Hiệp</t>
        </is>
      </c>
      <c r="B16" s="58" t="inlineStr">
        <is>
          <t>Tạm ngưng Mytv</t>
        </is>
      </c>
      <c r="C16" s="73" t="n">
        <v>2</v>
      </c>
      <c r="D16" s="87">
        <f>SUMIFS(DuLieu!$H$3:$H$11921,DuLieu!$B$3:$B$101921,$A16,DuLieu!$T$3:$T$101921,"&gt;=1", DuLieu!$T$3:$T$101921,"&lt;=7",DuLieu!$U$3:$U$101921,$R16)</f>
        <v/>
      </c>
      <c r="E16" s="87">
        <f>IF(C16&gt;=D16,C16-D16,0)</f>
        <v/>
      </c>
      <c r="F16" s="70" t="n">
        <v>1</v>
      </c>
      <c r="G16" s="87">
        <f>SUMIFS(DuLieu!$H$3:$H$11921,DuLieu!$B$3:$B$101921,$A16,DuLieu!$T$3:$T$101921,"&gt;=8", DuLieu!$T$3:$T$101921,"&lt;=14",DuLieu!$U$3:$U$101921,$R16)</f>
        <v/>
      </c>
      <c r="H16" s="87">
        <f>IF(F16&gt;=G16,F16-G16,0)</f>
        <v/>
      </c>
      <c r="I16" s="72" t="n">
        <v>1</v>
      </c>
      <c r="J16" s="86">
        <f>SUMIFS(DuLieu!$H$3:$H$11921,DuLieu!$B$3:$B$101921,$A16,DuLieu!$T$3:$T$101921,"&gt;=15", DuLieu!$T$3:$T$101921,"&lt;=21",DuLieu!$U$3:$U$101921,$R16)</f>
        <v/>
      </c>
      <c r="K16" s="87">
        <f>IF(I16&gt;=J16,I16-J16,0)</f>
        <v/>
      </c>
      <c r="L16" s="73" t="n">
        <v>1</v>
      </c>
      <c r="M16" s="87">
        <f>SUMIFS(DuLieu!$D$3:$D$101921,DuLieu!$B$3:$B$101921,$A16,DuLieu!$T$3:$T$101921,"&gt;=1", DuLieu!$T$3:$T$101921,"&lt;=7",DuLieu!$U$3:$U$101921,$R16)</f>
        <v/>
      </c>
      <c r="N16" s="87">
        <f>IF(L16&gt;=M16,L16-M16,0)</f>
        <v/>
      </c>
      <c r="O16" s="87" t="n">
        <v>2</v>
      </c>
      <c r="P16" s="87">
        <f>$D16+$G16+$J16+$M16</f>
        <v/>
      </c>
      <c r="Q16" s="87">
        <f>IF(O16&gt;=P16,O16-P16,0)</f>
        <v/>
      </c>
      <c r="R16" s="77" t="n">
        <v>11</v>
      </c>
      <c r="S16" s="91" t="n"/>
      <c r="T16" s="91" t="n"/>
      <c r="U16" s="91" t="n"/>
      <c r="V16" s="91" t="n"/>
      <c r="W16" s="91" t="n"/>
      <c r="X16" s="91" t="n"/>
      <c r="Y16" s="91" t="n"/>
      <c r="Z16" s="91" t="n"/>
      <c r="AA16" s="91" t="n"/>
    </row>
    <row r="17" ht="15.75" customHeight="1" s="117">
      <c r="A17" s="114" t="inlineStr">
        <is>
          <t>Nguyễn Văn Hiệp</t>
        </is>
      </c>
      <c r="B17" s="58" t="inlineStr">
        <is>
          <t>Thay thế ONT 2 băng tần</t>
        </is>
      </c>
      <c r="C17" s="73" t="n">
        <v>6</v>
      </c>
      <c r="D17" s="87">
        <f>SUMIFS(DuLieu!$I$3:$I$11921,DuLieu!$B$3:$B$101921,$A17,DuLieu!$T$3:$T$101921,"&gt;=1", DuLieu!$T$3:$T$101921,"&lt;=7",DuLieu!$U$3:$U$101921,$R17)</f>
        <v/>
      </c>
      <c r="E17" s="87">
        <f>IF(C17&gt;=D17,C17-D17,0)</f>
        <v/>
      </c>
      <c r="F17" s="70" t="n">
        <v>6</v>
      </c>
      <c r="G17" s="87">
        <f>SUMIFS(DuLieu!$I$3:$I$11921,DuLieu!$B$3:$B$101921,$A17,DuLieu!$T$3:$T$101921,"&gt;=8", DuLieu!$T$3:$T$101921,"&lt;=14",DuLieu!$U$3:$U$101921,$R17)</f>
        <v/>
      </c>
      <c r="H17" s="87">
        <f>IF(F17&gt;=G17,F17-G17,0)</f>
        <v/>
      </c>
      <c r="I17" s="72" t="n">
        <v>6</v>
      </c>
      <c r="J17" s="86">
        <f>SUMIFS(DuLieu!$I$3:$I$11921,DuLieu!$B$3:$B$101921,$A17,DuLieu!$T$3:$T$101921,"&gt;=15", DuLieu!$T$3:$T$101921,"&lt;=21",DuLieu!$U$3:$U$101921,$R17)</f>
        <v/>
      </c>
      <c r="K17" s="87">
        <f>IF(I17&gt;=J17,I17-J17,0)</f>
        <v/>
      </c>
      <c r="L17" s="73" t="n">
        <v>5</v>
      </c>
      <c r="M17" s="87">
        <f>SUMIFS(DuLieu!$D$3:$D$101921,DuLieu!$B$3:$B$101921,$A17,DuLieu!$T$3:$T$101921,"&gt;=1", DuLieu!$T$3:$T$101921,"&lt;=7",DuLieu!$U$3:$U$101921,$R17)</f>
        <v/>
      </c>
      <c r="N17" s="87">
        <f>IF(L17&gt;=M17,L17-M17,0)</f>
        <v/>
      </c>
      <c r="O17" s="87" t="n">
        <v>40</v>
      </c>
      <c r="P17" s="87">
        <f>$D17+$G17+$J17+$M17</f>
        <v/>
      </c>
      <c r="Q17" s="87">
        <f>IF(O17&gt;=P17,O17-P17,0)</f>
        <v/>
      </c>
      <c r="R17" s="77" t="n">
        <v>11</v>
      </c>
      <c r="S17" s="91" t="n"/>
      <c r="T17" s="91" t="n"/>
      <c r="U17" s="91" t="n"/>
      <c r="V17" s="91" t="n"/>
      <c r="W17" s="91" t="n"/>
      <c r="X17" s="91" t="n"/>
      <c r="Y17" s="91" t="n"/>
      <c r="Z17" s="91" t="n"/>
      <c r="AA17" s="91" t="n"/>
    </row>
    <row r="18" ht="15.75" customHeight="1" s="117">
      <c r="A18" s="114" t="inlineStr">
        <is>
          <t>Nguyễn Văn Hiệp</t>
        </is>
      </c>
      <c r="B18" s="58" t="inlineStr">
        <is>
          <t>CSKH HVC chuyển XGSPON</t>
        </is>
      </c>
      <c r="C18" s="73" t="n"/>
      <c r="D18" s="87">
        <f>SUMIFS(DuLieu!$J$3:$J$11921,DuLieu!$B$3:$B$101921,$A18,DuLieu!$T$3:$T$101921,"&gt;=1", DuLieu!$T$3:$T$101921,"&lt;=7",DuLieu!$U$3:$U$101921,$R18)</f>
        <v/>
      </c>
      <c r="E18" s="87">
        <f>IF(C18&gt;=D18,C18-D18,0)</f>
        <v/>
      </c>
      <c r="F18" s="59" t="n"/>
      <c r="G18" s="87">
        <f>SUMIFS(DuLieu!$J$3:$J$11921,DuLieu!$B$3:$B$101921,$A18,DuLieu!$T$3:$T$101921,"&gt;=8", DuLieu!$T$3:$T$101921,"&lt;=14",DuLieu!$U$3:$U$101921,$R18)</f>
        <v/>
      </c>
      <c r="H18" s="87">
        <f>IF(F18&gt;=G18,F18-G18,0)</f>
        <v/>
      </c>
      <c r="I18" s="72" t="n"/>
      <c r="J18" s="86">
        <f>SUMIFS(DuLieu!$J$3:$J$11921,DuLieu!$B$3:$B$101921,$A18,DuLieu!$T$3:$T$101921,"&gt;=15", DuLieu!$T$3:$T$101921,"&lt;=21",DuLieu!$U$3:$U$101921,$R18)</f>
        <v/>
      </c>
      <c r="K18" s="87">
        <f>IF(I18&gt;=J18,I18-J18,0)</f>
        <v/>
      </c>
      <c r="L18" s="73" t="n"/>
      <c r="M18" s="87">
        <f>SUMIFS(DuLieu!$D$3:$D$101921,DuLieu!$B$3:$B$101921,$A18,DuLieu!$T$3:$T$101921,"&gt;=1", DuLieu!$T$3:$T$101921,"&lt;=7",DuLieu!$U$3:$U$101921,$R18)</f>
        <v/>
      </c>
      <c r="N18" s="87">
        <f>IF(L18&gt;=M18,L18-M18,0)</f>
        <v/>
      </c>
      <c r="O18" s="87" t="n">
        <v>20</v>
      </c>
      <c r="P18" s="87">
        <f>$D18+$G18+$J18+$M18</f>
        <v/>
      </c>
      <c r="Q18" s="87">
        <f>IF(O18&gt;=P18,O18-P18,0)</f>
        <v/>
      </c>
      <c r="R18" s="77" t="n">
        <v>11</v>
      </c>
      <c r="S18" s="91" t="n"/>
      <c r="T18" s="91" t="n"/>
      <c r="U18" s="91" t="n"/>
      <c r="V18" s="91" t="n"/>
      <c r="W18" s="91" t="n"/>
      <c r="X18" s="91" t="n"/>
      <c r="Y18" s="91" t="n"/>
      <c r="Z18" s="91" t="n"/>
      <c r="AA18" s="91" t="n"/>
    </row>
    <row r="19" ht="15.75" customHeight="1" s="117">
      <c r="A19" s="114" t="inlineStr">
        <is>
          <t>Nguyễn Văn Hiệp</t>
        </is>
      </c>
      <c r="B19" s="58" t="inlineStr">
        <is>
          <t>Phiếu GHTT tháng T</t>
        </is>
      </c>
      <c r="C19" s="68" t="n">
        <v>7</v>
      </c>
      <c r="D19" s="87">
        <f>SUMIFS(DuLieu!$K$3:$K$11921,DuLieu!$B$3:$B$101921,$A19,DuLieu!$T$3:$T$101921,"&gt;=1", DuLieu!$T$3:$T$101921,"&lt;=7",DuLieu!$U$3:$U$101921,$R19)</f>
        <v/>
      </c>
      <c r="E19" s="87">
        <f>IF(C19&gt;=D19,C19-D19,0)</f>
        <v/>
      </c>
      <c r="F19" s="65" t="n">
        <v>7</v>
      </c>
      <c r="G19" s="87">
        <f>SUMIFS(DuLieu!$K$3:$K$11921,DuLieu!$B$3:$B$101921,$A19,DuLieu!$T$3:$T$101921,"&gt;=8", DuLieu!$T$3:$T$101921,"&lt;=14",DuLieu!$U$3:$U$101921,$R19)</f>
        <v/>
      </c>
      <c r="H19" s="87">
        <f>IF(F19&gt;=G19,F19-G19,0)</f>
        <v/>
      </c>
      <c r="I19" s="78" t="n">
        <v>6</v>
      </c>
      <c r="J19" s="86">
        <f>SUMIFS(DuLieu!$K$3:$K$11921,DuLieu!$B$3:$B$101921,$A19,DuLieu!$T$3:$T$101921,"&gt;=15", DuLieu!$T$3:$T$101921,"&lt;=21",DuLieu!$U$3:$U$101921,$R19)</f>
        <v/>
      </c>
      <c r="K19" s="87">
        <f>IF(I19&gt;=J19,I19-J19,0)</f>
        <v/>
      </c>
      <c r="L19" s="68" t="n">
        <v>6</v>
      </c>
      <c r="M19" s="87">
        <f>SUMIFS(DuLieu!$D$3:$D$101921,DuLieu!$B$3:$B$101921,$A19,DuLieu!$T$3:$T$101921,"&gt;=1", DuLieu!$T$3:$T$101921,"&lt;=7",DuLieu!$U$3:$U$101921,$R19)</f>
        <v/>
      </c>
      <c r="N19" s="87">
        <f>IF(L19&gt;=M19,L19-M19,0)</f>
        <v/>
      </c>
      <c r="O19" s="87" t="n">
        <v>150</v>
      </c>
      <c r="P19" s="87">
        <f>$D19+$G19+$J19+$M19</f>
        <v/>
      </c>
      <c r="Q19" s="87">
        <f>IF(O19&gt;=P19,O19-P19,0)</f>
        <v/>
      </c>
      <c r="R19" s="77" t="n">
        <v>11</v>
      </c>
      <c r="S19" s="91" t="n"/>
      <c r="T19" s="91" t="n"/>
      <c r="U19" s="91" t="n"/>
      <c r="V19" s="91" t="n"/>
      <c r="W19" s="91" t="n"/>
      <c r="X19" s="91" t="n"/>
      <c r="Y19" s="91" t="n"/>
      <c r="Z19" s="91" t="n"/>
      <c r="AA19" s="91" t="n"/>
    </row>
    <row r="20" ht="15.75" customHeight="1" s="117">
      <c r="A20" s="114" t="inlineStr">
        <is>
          <t>Nguyễn Văn Hiệp</t>
        </is>
      </c>
      <c r="B20" s="58" t="inlineStr">
        <is>
          <t>Phiếu GHTT tháng T+1</t>
        </is>
      </c>
      <c r="C20" s="68" t="n">
        <v>4</v>
      </c>
      <c r="D20" s="87">
        <f>SUMIFS(DuLieu!$L$3:$L$11921,DuLieu!$B$3:$B$101921,$A20,DuLieu!$T$3:$T$101921,"&gt;=1", DuLieu!$T$3:$T$101921,"&lt;=7",DuLieu!$U$3:$U$101921,$R20)</f>
        <v/>
      </c>
      <c r="E20" s="87">
        <f>IF(C20&gt;=D20,C20-D20,0)</f>
        <v/>
      </c>
      <c r="F20" s="65" t="n">
        <v>4</v>
      </c>
      <c r="G20" s="87">
        <f>SUMIFS(DuLieu!$L$3:$L$11921,DuLieu!$B$3:$B$101921,$A20,DuLieu!$T$3:$T$101921,"&gt;=8", DuLieu!$T$3:$T$101921,"&lt;=14",DuLieu!$U$3:$U$101921,$R20)</f>
        <v/>
      </c>
      <c r="H20" s="87">
        <f>IF(F20&gt;=G20,F20-G20,0)</f>
        <v/>
      </c>
      <c r="I20" s="72" t="n"/>
      <c r="J20" s="86">
        <f>SUMIFS(DuLieu!$L$3:$L$11921,DuLieu!$B$3:$B$101921,$A20,DuLieu!$T$3:$T$101921,"&gt;=15", DuLieu!$T$3:$T$101921,"&lt;=21",DuLieu!$U$3:$U$101921,$R20)</f>
        <v/>
      </c>
      <c r="K20" s="87">
        <f>IF(I20&gt;=J20,I20-J20,0)</f>
        <v/>
      </c>
      <c r="L20" s="73" t="n"/>
      <c r="M20" s="87">
        <f>SUMIFS(DuLieu!$D$3:$D$101921,DuLieu!$B$3:$B$101921,$A20,DuLieu!$T$3:$T$101921,"&gt;=1", DuLieu!$T$3:$T$101921,"&lt;=7",DuLieu!$U$3:$U$101921,$R20)</f>
        <v/>
      </c>
      <c r="N20" s="87">
        <f>IF(L20&gt;=M20,L20-M20,0)</f>
        <v/>
      </c>
      <c r="O20" s="87" t="n">
        <v>1</v>
      </c>
      <c r="P20" s="87">
        <f>$D20+$G20+$J20+$M20</f>
        <v/>
      </c>
      <c r="Q20" s="87">
        <f>IF(O20&gt;=P20,O20-P20,0)</f>
        <v/>
      </c>
      <c r="R20" s="77" t="n">
        <v>11</v>
      </c>
      <c r="S20" s="91" t="n"/>
      <c r="T20" s="91" t="n"/>
      <c r="U20" s="91" t="n"/>
      <c r="V20" s="91" t="n"/>
      <c r="W20" s="91" t="n"/>
      <c r="X20" s="91" t="n"/>
      <c r="Y20" s="91" t="n"/>
      <c r="Z20" s="91" t="n"/>
      <c r="AA20" s="91" t="n"/>
    </row>
    <row r="21" ht="15.75" customHeight="1" s="117">
      <c r="A21" s="114" t="inlineStr">
        <is>
          <t>Nguyễn Tuấn Anh</t>
        </is>
      </c>
      <c r="B21" s="48" t="inlineStr">
        <is>
          <t>Tiếp thị DV Fiber</t>
        </is>
      </c>
      <c r="C21" s="68" t="n">
        <v>2</v>
      </c>
      <c r="D21" s="81">
        <f>SUMIFS(DuLieu!$D$3:$D$11921,DuLieu!$B$3:$B$101921,$A21,DuLieu!$T$3:$T$101921,"&gt;=1", DuLieu!$T$3:$T$101921,"&lt;=7",DuLieu!$U$3:$U$101921,$R21)</f>
        <v/>
      </c>
      <c r="E21" s="85">
        <f>IF(C21&gt;=D21,C21-D21,0)</f>
        <v/>
      </c>
      <c r="F21" s="65" t="n">
        <v>2</v>
      </c>
      <c r="G21" s="85">
        <f>SUMIFS(DuLieu!$D$3:$D$11921,DuLieu!$B$3:$B$101921,$A21,DuLieu!$T$3:$T$101921,"&gt;=8", DuLieu!$T$3:$T$101921,"&lt;=14",DuLieu!$U$3:$U$101921,$R21)</f>
        <v/>
      </c>
      <c r="H21" s="85">
        <f>IF(F21&gt;=G21,F21-G21,0)</f>
        <v/>
      </c>
      <c r="I21" s="78" t="n">
        <v>2</v>
      </c>
      <c r="J21" s="81">
        <f>SUMIFS(DuLieu!$D$3:$D$11921,DuLieu!$B$3:$B$101921,$A21,DuLieu!$T$3:$T$101921,"&gt;=15", DuLieu!$T$3:$T$101921,"&lt;=21",DuLieu!$U$3:$U$101921,$R21)</f>
        <v/>
      </c>
      <c r="K21" s="85">
        <f>IF(I21&gt;=J21,I21-J21,0)</f>
        <v/>
      </c>
      <c r="L21" s="68" t="n">
        <v>1</v>
      </c>
      <c r="M21" s="81">
        <f>SUMIFS(DuLieu!$D$3:$D$101921,DuLieu!$B$3:$B$101921,$A21,DuLieu!$T$3:$T$101921,"&gt;=1", DuLieu!$T$3:$T$101921,"&lt;=7",DuLieu!$U$3:$U$101921,$R21)</f>
        <v/>
      </c>
      <c r="N21" s="85">
        <f>IF(L21&gt;=M21,L21-M21,0)</f>
        <v/>
      </c>
      <c r="O21" s="85" t="n">
        <v>4</v>
      </c>
      <c r="P21" s="81">
        <f>$D21+$G21+$J21+$M21</f>
        <v/>
      </c>
      <c r="Q21" s="85">
        <f>IF(O21&gt;=P21,O21-P21,0)</f>
        <v/>
      </c>
      <c r="R21" s="80" t="n">
        <v>11</v>
      </c>
      <c r="S21" s="91" t="n"/>
      <c r="T21" s="91" t="n"/>
      <c r="U21" s="91" t="n"/>
      <c r="V21" s="91" t="n"/>
      <c r="W21" s="91" t="n"/>
      <c r="X21" s="91" t="n"/>
      <c r="Y21" s="91" t="n"/>
      <c r="Z21" s="91" t="n"/>
      <c r="AA21" s="91" t="n"/>
    </row>
    <row r="22" ht="15.75" customHeight="1" s="117">
      <c r="A22" s="114" t="inlineStr">
        <is>
          <t>Nguyễn Tuấn Anh</t>
        </is>
      </c>
      <c r="B22" s="48" t="inlineStr">
        <is>
          <t>Tiếp thị DV MyTV</t>
        </is>
      </c>
      <c r="C22" s="68" t="n">
        <v>2</v>
      </c>
      <c r="D22" s="81">
        <f>SUMIFS(DuLieu!$E$3:$E$11921,DuLieu!$B$3:$B$101921,$A22,DuLieu!$T$3:$T$101921,"&gt;=1", DuLieu!$T$3:$T$101921,"&lt;=7",DuLieu!$U$3:$U$101921,$R22)</f>
        <v/>
      </c>
      <c r="E22" s="85">
        <f>IF(C22&gt;=D22,C22-D22,0)</f>
        <v/>
      </c>
      <c r="F22" s="65" t="n">
        <v>2</v>
      </c>
      <c r="G22" s="85">
        <f>SUMIFS(DuLieu!$E$3:$E$11921,DuLieu!$B$3:$B$101921,$A22,DuLieu!$T$3:$T$101921,"&gt;=8", DuLieu!$T$3:$T$101921,"&lt;=14",DuLieu!$U$3:$U$101921,$R22)</f>
        <v/>
      </c>
      <c r="H22" s="85">
        <f>IF(F22&gt;=G22,F22-G22,0)</f>
        <v/>
      </c>
      <c r="I22" s="78" t="n">
        <v>2</v>
      </c>
      <c r="J22" s="81">
        <f>SUMIFS(DuLieu!$E$3:$E$11921,DuLieu!$B$3:$B$101921,$A22,DuLieu!$T$3:$T$101921,"&gt;=15", DuLieu!$T$3:$T$101921,"&lt;=21",DuLieu!$U$3:$U$101921,$R22)</f>
        <v/>
      </c>
      <c r="K22" s="85">
        <f>IF(I22&gt;=J22,I22-J22,0)</f>
        <v/>
      </c>
      <c r="L22" s="68" t="n">
        <v>1</v>
      </c>
      <c r="M22" s="81">
        <f>SUMIFS(DuLieu!$D$3:$D$101921,DuLieu!$B$3:$B$101921,$A22,DuLieu!$T$3:$T$101921,"&gt;=1", DuLieu!$T$3:$T$101921,"&lt;=7",DuLieu!$U$3:$U$101921,$R22)</f>
        <v/>
      </c>
      <c r="N22" s="85">
        <f>IF(L22&gt;=M22,L22-M22,0)</f>
        <v/>
      </c>
      <c r="O22" s="85" t="n">
        <v>5</v>
      </c>
      <c r="P22" s="81">
        <f>$D22+$G22+$J22+$M22</f>
        <v/>
      </c>
      <c r="Q22" s="85">
        <f>IF(O22&gt;=P22,O22-P22,0)</f>
        <v/>
      </c>
      <c r="R22" s="80" t="n">
        <v>11</v>
      </c>
      <c r="S22" s="91" t="n"/>
      <c r="T22" s="91" t="n"/>
      <c r="U22" s="91" t="n"/>
      <c r="V22" s="91" t="n"/>
      <c r="W22" s="91" t="n"/>
      <c r="X22" s="91" t="n"/>
      <c r="Y22" s="91" t="n"/>
      <c r="Z22" s="91" t="n"/>
      <c r="AA22" s="91" t="n"/>
    </row>
    <row r="23" ht="15.75" customHeight="1" s="117">
      <c r="A23" s="114" t="inlineStr">
        <is>
          <t>Nguyễn Tuấn Anh</t>
        </is>
      </c>
      <c r="B23" s="48" t="inlineStr">
        <is>
          <t>Tiếp thị DV Camera/Mesh</t>
        </is>
      </c>
      <c r="C23" s="68" t="n">
        <v>1</v>
      </c>
      <c r="D23" s="81">
        <f>SUMIFS(DuLieu!$F$3:$F$11921,DuLieu!$B$3:$B$101921,$A23,DuLieu!$T$3:$T$101921,"&gt;=1", DuLieu!$T$3:$T$101921,"&lt;=7",DuLieu!$U$3:$U$101921,$R23)</f>
        <v/>
      </c>
      <c r="E23" s="85">
        <f>IF(C23&gt;=D23,C23-D23,0)</f>
        <v/>
      </c>
      <c r="F23" s="65" t="n">
        <v>1</v>
      </c>
      <c r="G23" s="85">
        <f>SUMIFS(DuLieu!$F$3:$F$11921,DuLieu!$B$3:$B$101921,$A23,DuLieu!$T$3:$T$101921,"&gt;=8", DuLieu!$T$3:$T$101921,"&lt;=14",DuLieu!$U$3:$U$101921,$R23)</f>
        <v/>
      </c>
      <c r="H23" s="85">
        <f>IF(F23&gt;=G23,F23-G23,0)</f>
        <v/>
      </c>
      <c r="I23" s="78" t="n">
        <v>1</v>
      </c>
      <c r="J23" s="81">
        <f>SUMIFS(DuLieu!$F$3:$F$11921,DuLieu!$B$3:$B$101921,$A23,DuLieu!$T$3:$T$101921,"&gt;=15", DuLieu!$T$3:$T$101921,"&lt;=21",DuLieu!$U$3:$U$101921,$R23)</f>
        <v/>
      </c>
      <c r="K23" s="85">
        <f>IF(I23&gt;=J23,I23-J23,0)</f>
        <v/>
      </c>
      <c r="L23" s="68" t="n">
        <v>0</v>
      </c>
      <c r="M23" s="81">
        <f>SUMIFS(DuLieu!$D$3:$D$101921,DuLieu!$B$3:$B$101921,$A23,DuLieu!$T$3:$T$101921,"&gt;=1", DuLieu!$T$3:$T$101921,"&lt;=7",DuLieu!$U$3:$U$101921,$R23)</f>
        <v/>
      </c>
      <c r="N23" s="85">
        <f>IF(L23&gt;=M23,L23-M23,0)</f>
        <v/>
      </c>
      <c r="O23" s="85" t="n">
        <v>6</v>
      </c>
      <c r="P23" s="81">
        <f>$D23+$G23+$J23+$M23</f>
        <v/>
      </c>
      <c r="Q23" s="85">
        <f>IF(O23&gt;=P23,O23-P23,0)</f>
        <v/>
      </c>
      <c r="R23" s="80" t="n">
        <v>11</v>
      </c>
      <c r="S23" s="91" t="n"/>
      <c r="T23" s="91" t="n"/>
      <c r="U23" s="91" t="n"/>
      <c r="V23" s="91" t="n"/>
      <c r="W23" s="91" t="n"/>
      <c r="X23" s="91" t="n"/>
      <c r="Y23" s="91" t="n"/>
      <c r="Z23" s="91" t="n"/>
      <c r="AA23" s="91" t="n"/>
    </row>
    <row r="24" ht="15.75" customHeight="1" s="117">
      <c r="A24" s="114" t="inlineStr">
        <is>
          <t>Nguyễn Tuấn Anh</t>
        </is>
      </c>
      <c r="B24" s="48" t="inlineStr">
        <is>
          <t>Tạm ngưng Fiber</t>
        </is>
      </c>
      <c r="C24" s="73" t="n">
        <v>2</v>
      </c>
      <c r="D24" s="81">
        <f>SUMIFS(DuLieu!$G$3:$G$11921,DuLieu!$B$3:$B$101921,$A24,DuLieu!$T$3:$T$101921,"&gt;=1", DuLieu!$T$3:$T$101921,"&lt;=7",DuLieu!$U$3:$U$101921,$R24)</f>
        <v/>
      </c>
      <c r="E24" s="85">
        <f>IF(C24&gt;=D24,C24-D24,0)</f>
        <v/>
      </c>
      <c r="F24" s="70" t="n">
        <v>1</v>
      </c>
      <c r="G24" s="85">
        <f>SUMIFS(DuLieu!$G$3:$G$11921,DuLieu!$B$3:$B$101921,D24,DuLieu!$T$3:$T$101921,"&gt;=8", DuLieu!$T$3:$T$101921,"&lt;=14",DuLieu!$U$3:$U$101921,$R24)</f>
        <v/>
      </c>
      <c r="H24" s="85">
        <f>IF(F24&gt;=G24,F24-G24,0)</f>
        <v/>
      </c>
      <c r="I24" s="72" t="n">
        <v>1</v>
      </c>
      <c r="J24" s="81">
        <f>SUMIFS(DuLieu!$G$3:$G$11921,DuLieu!$B$3:$B$101921,$A24,DuLieu!$T$3:$T$101921,"&gt;=15", DuLieu!$T$3:$T$101921,"&lt;=21",DuLieu!$U$3:$U$101921,$R24)</f>
        <v/>
      </c>
      <c r="K24" s="85">
        <f>IF(I24&gt;=J24,I24-J24,0)</f>
        <v/>
      </c>
      <c r="L24" s="73" t="n">
        <v>1</v>
      </c>
      <c r="M24" s="81">
        <f>SUMIFS(DuLieu!$D$3:$D$101921,DuLieu!$B$3:$B$101921,$A24,DuLieu!$T$3:$T$101921,"&gt;=1", DuLieu!$T$3:$T$101921,"&lt;=7",DuLieu!$U$3:$U$101921,$R24)</f>
        <v/>
      </c>
      <c r="N24" s="85">
        <f>IF(L24&gt;=M24,L24-M24,0)</f>
        <v/>
      </c>
      <c r="O24" s="85" t="n">
        <v>4</v>
      </c>
      <c r="P24" s="81">
        <f>$D24+$G24+$J24+$M24</f>
        <v/>
      </c>
      <c r="Q24" s="85">
        <f>IF(O24&gt;=P24,O24-P24,0)</f>
        <v/>
      </c>
      <c r="R24" s="80" t="n">
        <v>11</v>
      </c>
      <c r="S24" s="91" t="n"/>
      <c r="T24" s="91" t="n"/>
      <c r="U24" s="91" t="n"/>
      <c r="V24" s="91" t="n"/>
      <c r="W24" s="91" t="n"/>
      <c r="X24" s="91" t="n"/>
      <c r="Y24" s="91" t="n"/>
      <c r="Z24" s="91" t="n"/>
      <c r="AA24" s="91" t="n"/>
    </row>
    <row r="25" ht="15.75" customHeight="1" s="117">
      <c r="A25" s="114" t="inlineStr">
        <is>
          <t>Nguyễn Tuấn Anh</t>
        </is>
      </c>
      <c r="B25" s="48" t="inlineStr">
        <is>
          <t>Tạm ngưng Mytv</t>
        </is>
      </c>
      <c r="C25" s="73" t="n">
        <v>3</v>
      </c>
      <c r="D25" s="81">
        <f>SUMIFS(DuLieu!$H$3:$H$11921,DuLieu!$B$3:$B$101921,$A25,DuLieu!$T$3:$T$101921,"&gt;=1", DuLieu!$T$3:$T$101921,"&lt;=7",DuLieu!$U$3:$U$101921,$R25)</f>
        <v/>
      </c>
      <c r="E25" s="85">
        <f>IF(C25&gt;=D25,C25-D25,0)</f>
        <v/>
      </c>
      <c r="F25" s="70" t="n">
        <v>2</v>
      </c>
      <c r="G25" s="85">
        <f>SUMIFS(DuLieu!$H$3:$H$11921,DuLieu!$B$3:$B$101921,$A25,DuLieu!$T$3:$T$101921,"&gt;=8", DuLieu!$T$3:$T$101921,"&lt;=14",DuLieu!$U$3:$U$101921,$R25)</f>
        <v/>
      </c>
      <c r="H25" s="85">
        <f>IF(F25&gt;=G25,F25-G25,0)</f>
        <v/>
      </c>
      <c r="I25" s="72" t="n">
        <v>2</v>
      </c>
      <c r="J25" s="81">
        <f>SUMIFS(DuLieu!$H$3:$H$11921,DuLieu!$B$3:$B$101921,$A25,DuLieu!$T$3:$T$101921,"&gt;=15", DuLieu!$T$3:$T$101921,"&lt;=21",DuLieu!$U$3:$U$101921,$R25)</f>
        <v/>
      </c>
      <c r="K25" s="85">
        <f>IF(I25&gt;=J25,I25-J25,0)</f>
        <v/>
      </c>
      <c r="L25" s="73" t="n">
        <v>2</v>
      </c>
      <c r="M25" s="81">
        <f>SUMIFS(DuLieu!$D$3:$D$101921,DuLieu!$B$3:$B$101921,$A25,DuLieu!$T$3:$T$101921,"&gt;=1", DuLieu!$T$3:$T$101921,"&lt;=7",DuLieu!$U$3:$U$101921,$R25)</f>
        <v/>
      </c>
      <c r="N25" s="85">
        <f>IF(L25&gt;=M25,L25-M25,0)</f>
        <v/>
      </c>
      <c r="O25" s="85" t="n">
        <v>2</v>
      </c>
      <c r="P25" s="81">
        <f>$D25+$G25+$J25+$M25</f>
        <v/>
      </c>
      <c r="Q25" s="85">
        <f>IF(O25&gt;=P25,O25-P25,0)</f>
        <v/>
      </c>
      <c r="R25" s="80" t="n">
        <v>11</v>
      </c>
      <c r="S25" s="91" t="n"/>
      <c r="T25" s="91" t="n"/>
      <c r="U25" s="91" t="n"/>
      <c r="V25" s="91" t="n"/>
      <c r="W25" s="91" t="n"/>
      <c r="X25" s="91" t="n"/>
      <c r="Y25" s="91" t="n"/>
      <c r="Z25" s="91" t="n"/>
      <c r="AA25" s="91" t="n"/>
    </row>
    <row r="26">
      <c r="A26" s="114" t="inlineStr">
        <is>
          <t>Nguyễn Tuấn Anh</t>
        </is>
      </c>
      <c r="B26" s="48" t="inlineStr">
        <is>
          <t>Thay thế ONT 2 băng tần</t>
        </is>
      </c>
      <c r="C26" s="73" t="n">
        <v>6</v>
      </c>
      <c r="D26" s="81">
        <f>SUMIFS(DuLieu!$I$3:$I$11921,DuLieu!$B$3:$B$101921,$A26,DuLieu!$T$3:$T$101921,"&gt;=1", DuLieu!$T$3:$T$101921,"&lt;=7",DuLieu!$U$3:$U$101921,$R26)</f>
        <v/>
      </c>
      <c r="E26" s="85">
        <f>IF(C26&gt;=D26,C26-D26,0)</f>
        <v/>
      </c>
      <c r="F26" s="70" t="n">
        <v>6</v>
      </c>
      <c r="G26" s="85">
        <f>SUMIFS(DuLieu!$I$3:$I$11921,DuLieu!$B$3:$B$101921,$A26,DuLieu!$T$3:$T$101921,"&gt;=8", DuLieu!$T$3:$T$101921,"&lt;=14",DuLieu!$U$3:$U$101921,$R26)</f>
        <v/>
      </c>
      <c r="H26" s="85">
        <f>IF(F26&gt;=G26,F26-G26,0)</f>
        <v/>
      </c>
      <c r="I26" s="72" t="n">
        <v>6</v>
      </c>
      <c r="J26" s="81">
        <f>SUMIFS(DuLieu!$I$3:$I$11921,DuLieu!$B$3:$B$101921,$A26,DuLieu!$T$3:$T$101921,"&gt;=15", DuLieu!$T$3:$T$101921,"&lt;=21",DuLieu!$U$3:$U$101921,$R26)</f>
        <v/>
      </c>
      <c r="K26" s="85">
        <f>IF(I26&gt;=J26,I26-J26,0)</f>
        <v/>
      </c>
      <c r="L26" s="73" t="n">
        <v>5</v>
      </c>
      <c r="M26" s="81">
        <f>SUMIFS(DuLieu!$D$3:$D$101921,DuLieu!$B$3:$B$101921,$A26,DuLieu!$T$3:$T$101921,"&gt;=1", DuLieu!$T$3:$T$101921,"&lt;=7",DuLieu!$U$3:$U$101921,$R26)</f>
        <v/>
      </c>
      <c r="N26" s="85">
        <f>IF(L26&gt;=M26,L26-M26,0)</f>
        <v/>
      </c>
      <c r="O26" s="85" t="n">
        <v>40</v>
      </c>
      <c r="P26" s="81">
        <f>$D26+$G26+$J26+$M26</f>
        <v/>
      </c>
      <c r="Q26" s="85">
        <f>IF(O26&gt;=P26,O26-P26,0)</f>
        <v/>
      </c>
      <c r="R26" s="80" t="n">
        <v>11</v>
      </c>
      <c r="S26" s="91" t="n"/>
      <c r="T26" s="91" t="n"/>
      <c r="U26" s="91" t="n"/>
      <c r="V26" s="91" t="n"/>
      <c r="W26" s="91" t="n"/>
      <c r="X26" s="91" t="n"/>
      <c r="Y26" s="91" t="n"/>
      <c r="Z26" s="91" t="n"/>
      <c r="AA26" s="91" t="n"/>
    </row>
    <row r="27">
      <c r="A27" s="114" t="inlineStr">
        <is>
          <t>Nguyễn Tuấn Anh</t>
        </is>
      </c>
      <c r="B27" s="48" t="inlineStr">
        <is>
          <t>CSKH HVC chuyển XGSPON</t>
        </is>
      </c>
      <c r="C27" s="73" t="n"/>
      <c r="D27" s="81">
        <f>SUMIFS(DuLieu!$J$3:$J$11921,DuLieu!$B$3:$B$101921,$A27,DuLieu!$T$3:$T$101921,"&gt;=1", DuLieu!$T$3:$T$101921,"&lt;=7",DuLieu!$U$3:$U$101921,$R27)</f>
        <v/>
      </c>
      <c r="E27" s="85">
        <f>IF(C27&gt;=D27,C27-D27,0)</f>
        <v/>
      </c>
      <c r="F27" s="59" t="n"/>
      <c r="G27" s="85">
        <f>SUMIFS(DuLieu!$J$3:$J$11921,DuLieu!$B$3:$B$101921,$A27,DuLieu!$T$3:$T$101921,"&gt;=8", DuLieu!$T$3:$T$101921,"&lt;=14",DuLieu!$U$3:$U$101921,$R27)</f>
        <v/>
      </c>
      <c r="H27" s="85">
        <f>IF(F27&gt;=G27,F27-G27,0)</f>
        <v/>
      </c>
      <c r="I27" s="72" t="n"/>
      <c r="J27" s="81">
        <f>SUMIFS(DuLieu!$J$3:$J$11921,DuLieu!$B$3:$B$101921,$A27,DuLieu!$T$3:$T$101921,"&gt;=15", DuLieu!$T$3:$T$101921,"&lt;=21",DuLieu!$U$3:$U$101921,$R27)</f>
        <v/>
      </c>
      <c r="K27" s="85">
        <f>IF(I27&gt;=J27,I27-J27,0)</f>
        <v/>
      </c>
      <c r="L27" s="73" t="n"/>
      <c r="M27" s="81">
        <f>SUMIFS(DuLieu!$D$3:$D$101921,DuLieu!$B$3:$B$101921,$A27,DuLieu!$T$3:$T$101921,"&gt;=1", DuLieu!$T$3:$T$101921,"&lt;=7",DuLieu!$U$3:$U$101921,$R27)</f>
        <v/>
      </c>
      <c r="N27" s="85">
        <f>IF(L27&gt;=M27,L27-M27,0)</f>
        <v/>
      </c>
      <c r="O27" s="85" t="n">
        <v>20</v>
      </c>
      <c r="P27" s="81">
        <f>$D27+$G27+$J27+$M27</f>
        <v/>
      </c>
      <c r="Q27" s="85">
        <f>IF(O27&gt;=P27,O27-P27,0)</f>
        <v/>
      </c>
      <c r="R27" s="80" t="n">
        <v>11</v>
      </c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</row>
    <row r="28">
      <c r="A28" s="114" t="inlineStr">
        <is>
          <t>Nguyễn Tuấn Anh</t>
        </is>
      </c>
      <c r="B28" s="48" t="inlineStr">
        <is>
          <t>Phiếu GHTT tháng T</t>
        </is>
      </c>
      <c r="C28" s="68" t="n">
        <v>28</v>
      </c>
      <c r="D28" s="81">
        <f>SUMIFS(DuLieu!$K$3:$K$11921,DuLieu!$B$3:$B$101921,$A28,DuLieu!$T$3:$T$101921,"&gt;=1", DuLieu!$T$3:$T$101921,"&lt;=7",DuLieu!$U$3:$U$101921,$R28)</f>
        <v/>
      </c>
      <c r="E28" s="85">
        <f>IF(C28&gt;=D28,C28-D28,0)</f>
        <v/>
      </c>
      <c r="F28" s="65" t="n">
        <v>28</v>
      </c>
      <c r="G28" s="85">
        <f>SUMIFS(DuLieu!$K$3:$K$11921,DuLieu!$B$3:$B$101921,$A28,DuLieu!$T$3:$T$101921,"&gt;=8", DuLieu!$T$3:$T$101921,"&lt;=14",DuLieu!$U$3:$U$101921,$R28)</f>
        <v/>
      </c>
      <c r="H28" s="85">
        <f>IF(F28&gt;=G28,F28-G28,0)</f>
        <v/>
      </c>
      <c r="I28" s="78" t="n">
        <v>28</v>
      </c>
      <c r="J28" s="81">
        <f>SUMIFS(DuLieu!$K$3:$K$11921,DuLieu!$B$3:$B$101921,$A28,DuLieu!$T$3:$T$101921,"&gt;=15", DuLieu!$T$3:$T$101921,"&lt;=21",DuLieu!$U$3:$U$101921,$R28)</f>
        <v/>
      </c>
      <c r="K28" s="85">
        <f>IF(I28&gt;=J28,I28-J28,0)</f>
        <v/>
      </c>
      <c r="L28" s="68" t="n">
        <v>27</v>
      </c>
      <c r="M28" s="81">
        <f>SUMIFS(DuLieu!$D$3:$D$101921,DuLieu!$B$3:$B$101921,$A28,DuLieu!$T$3:$T$101921,"&gt;=1", DuLieu!$T$3:$T$101921,"&lt;=7",DuLieu!$U$3:$U$101921,$R28)</f>
        <v/>
      </c>
      <c r="N28" s="85">
        <f>IF(L28&gt;=M28,L28-M28,0)</f>
        <v/>
      </c>
      <c r="O28" s="85" t="n">
        <v>150</v>
      </c>
      <c r="P28" s="81">
        <f>$D28+$G28+$J28+$M28</f>
        <v/>
      </c>
      <c r="Q28" s="85">
        <f>IF(O28&gt;=P28,O28-P28,0)</f>
        <v/>
      </c>
      <c r="R28" s="80" t="n">
        <v>11</v>
      </c>
      <c r="S28" s="91" t="n"/>
      <c r="T28" s="91" t="n"/>
      <c r="U28" s="91" t="n"/>
      <c r="V28" s="91" t="n"/>
      <c r="W28" s="91" t="n"/>
      <c r="X28" s="91" t="n"/>
      <c r="Y28" s="91" t="n"/>
      <c r="Z28" s="91" t="n"/>
      <c r="AA28" s="91" t="n"/>
    </row>
    <row r="29">
      <c r="A29" s="114" t="inlineStr">
        <is>
          <t>Nguyễn Tuấn Anh</t>
        </is>
      </c>
      <c r="B29" s="48" t="inlineStr">
        <is>
          <t>Phiếu GHTT tháng T+1</t>
        </is>
      </c>
      <c r="C29" s="68" t="n">
        <v>7</v>
      </c>
      <c r="D29" s="81">
        <f>SUMIFS(DuLieu!$L$3:$L$11921,DuLieu!$B$3:$B$101921,$A29,DuLieu!$T$3:$T$101921,"&gt;=1", DuLieu!$T$3:$T$101921,"&lt;=7",DuLieu!$U$3:$U$101921,$R29)</f>
        <v/>
      </c>
      <c r="E29" s="85">
        <f>IF(C29&gt;=D29,C29-D29,0)</f>
        <v/>
      </c>
      <c r="F29" s="65" t="n">
        <v>10</v>
      </c>
      <c r="G29" s="85">
        <f>SUMIFS(DuLieu!$L$3:$L$11921,DuLieu!$B$3:$B$101921,$A29,DuLieu!$T$3:$T$101921,"&gt;=8", DuLieu!$T$3:$T$101921,"&lt;=14",DuLieu!$U$3:$U$101921,$R29)</f>
        <v/>
      </c>
      <c r="H29" s="85">
        <f>IF(F29&gt;=G29,F29-G29,0)</f>
        <v/>
      </c>
      <c r="I29" s="72" t="n"/>
      <c r="J29" s="81">
        <f>SUMIFS(DuLieu!$L$3:$L$11921,DuLieu!$B$3:$B$101921,$A29,DuLieu!$T$3:$T$101921,"&gt;=15", DuLieu!$T$3:$T$101921,"&lt;=21",DuLieu!$U$3:$U$101921,$R29)</f>
        <v/>
      </c>
      <c r="K29" s="85">
        <f>IF(I29&gt;=J29,I29-J29,0)</f>
        <v/>
      </c>
      <c r="L29" s="73" t="n"/>
      <c r="M29" s="81">
        <f>SUMIFS(DuLieu!$D$3:$D$101921,DuLieu!$B$3:$B$101921,$A29,DuLieu!$T$3:$T$101921,"&gt;=1", DuLieu!$T$3:$T$101921,"&lt;=7",DuLieu!$U$3:$U$101921,$R29)</f>
        <v/>
      </c>
      <c r="N29" s="85">
        <f>IF(L29&gt;=M29,L29-M29,0)</f>
        <v/>
      </c>
      <c r="O29" s="85" t="n">
        <v>1</v>
      </c>
      <c r="P29" s="81">
        <f>$D29+$G29+$J29+$M29</f>
        <v/>
      </c>
      <c r="Q29" s="85">
        <f>IF(O29&gt;=P29,O29-P29,0)</f>
        <v/>
      </c>
      <c r="R29" s="80" t="n">
        <v>11</v>
      </c>
      <c r="S29" s="91" t="n"/>
      <c r="T29" s="91" t="n"/>
      <c r="U29" s="91" t="n"/>
      <c r="V29" s="91" t="n"/>
      <c r="W29" s="91" t="n"/>
      <c r="X29" s="91" t="n"/>
      <c r="Y29" s="91" t="n"/>
      <c r="Z29" s="91" t="n"/>
      <c r="AA29" s="91" t="n"/>
    </row>
    <row r="30">
      <c r="A30" s="114" t="inlineStr">
        <is>
          <t>Huỳnh Văn Lực</t>
        </is>
      </c>
      <c r="B30" s="58" t="inlineStr">
        <is>
          <t>Tiếp thị DV Fiber</t>
        </is>
      </c>
      <c r="C30" s="68" t="n">
        <v>2</v>
      </c>
      <c r="D30" s="87">
        <f>SUMIFS(DuLieu!$D$3:$D$11921,DuLieu!$B$3:$B$101921,$A30,DuLieu!$T$3:$T$101921,"&gt;=1", DuLieu!$T$3:$T$101921,"&lt;=7",DuLieu!$U$3:$U$101921,$R30)</f>
        <v/>
      </c>
      <c r="E30" s="87">
        <f>IF(C30&gt;=D30,C30-D30,0)</f>
        <v/>
      </c>
      <c r="F30" s="65" t="n">
        <v>2</v>
      </c>
      <c r="G30" s="87">
        <f>SUMIFS(DuLieu!$D$3:$D$11921,DuLieu!$B$3:$B$101921,$A30,DuLieu!$T$3:$T$101921,"&gt;=8", DuLieu!$T$3:$T$101921,"&lt;=14",DuLieu!$U$3:$U$101921,$R30)</f>
        <v/>
      </c>
      <c r="H30" s="87">
        <f>IF(F30&gt;=G30,F30-G30,0)</f>
        <v/>
      </c>
      <c r="I30" s="78" t="n">
        <v>2</v>
      </c>
      <c r="J30" s="86">
        <f>SUMIFS(DuLieu!$D$3:$D$11921,DuLieu!$B$3:$B$101921,$A30,DuLieu!$T$3:$T$101921,"&gt;=15", DuLieu!$T$3:$T$101921,"&lt;=21",DuLieu!$U$3:$U$101921,$R30)</f>
        <v/>
      </c>
      <c r="K30" s="87">
        <f>IF(I30&gt;=J30,I30-J30,0)</f>
        <v/>
      </c>
      <c r="L30" s="68" t="n">
        <v>2</v>
      </c>
      <c r="M30" s="87">
        <f>SUMIFS(DuLieu!$D$3:$D$101921,DuLieu!$B$3:$B$101921,$A30,DuLieu!$T$3:$T$101921,"&gt;=1", DuLieu!$T$3:$T$101921,"&lt;=7",DuLieu!$U$3:$U$101921,$R30)</f>
        <v/>
      </c>
      <c r="N30" s="87">
        <f>IF(L30&gt;=M30,L30-M30,0)</f>
        <v/>
      </c>
      <c r="O30" s="87" t="n">
        <v>4</v>
      </c>
      <c r="P30" s="87">
        <f>$D30+$G30+$J30+$M30</f>
        <v/>
      </c>
      <c r="Q30" s="87">
        <f>IF(O30&gt;=P30,O30-P30,0)</f>
        <v/>
      </c>
      <c r="R30" s="77" t="n">
        <v>11</v>
      </c>
      <c r="S30" s="91" t="n"/>
      <c r="T30" s="91" t="n"/>
      <c r="U30" s="91" t="n"/>
      <c r="V30" s="91" t="n"/>
      <c r="W30" s="91" t="n"/>
      <c r="X30" s="91" t="n"/>
      <c r="Y30" s="91" t="n"/>
      <c r="Z30" s="91" t="n"/>
      <c r="AA30" s="91" t="n"/>
    </row>
    <row r="31">
      <c r="A31" s="114" t="inlineStr">
        <is>
          <t>Huỳnh Văn Lực</t>
        </is>
      </c>
      <c r="B31" s="58" t="inlineStr">
        <is>
          <t>Tiếp thị DV MyTV</t>
        </is>
      </c>
      <c r="C31" s="68" t="n">
        <v>2</v>
      </c>
      <c r="D31" s="87">
        <f>SUMIFS(DuLieu!$E$3:$E$11921,DuLieu!$B$3:$B$101921,$A31,DuLieu!$T$3:$T$101921,"&gt;=1", DuLieu!$T$3:$T$101921,"&lt;=7",DuLieu!$U$3:$U$101921,$R31)</f>
        <v/>
      </c>
      <c r="E31" s="87">
        <f>IF(C31&gt;=D31,C31-D31,0)</f>
        <v/>
      </c>
      <c r="F31" s="65" t="n">
        <v>2</v>
      </c>
      <c r="G31" s="87">
        <f>SUMIFS(DuLieu!$E$3:$E$11921,DuLieu!$B$3:$B$101921,$A31,DuLieu!$T$3:$T$101921,"&gt;=8", DuLieu!$T$3:$T$101921,"&lt;=14",DuLieu!$U$3:$U$101921,$R31)</f>
        <v/>
      </c>
      <c r="H31" s="87">
        <f>IF(F31&gt;=G31,F31-G31,0)</f>
        <v/>
      </c>
      <c r="I31" s="78" t="n">
        <v>1</v>
      </c>
      <c r="J31" s="86">
        <f>SUMIFS(DuLieu!$E$3:$E$11921,DuLieu!$B$3:$B$101921,$A31,DuLieu!$T$3:$T$101921,"&gt;=15", DuLieu!$T$3:$T$101921,"&lt;=21",DuLieu!$U$3:$U$101921,$R31)</f>
        <v/>
      </c>
      <c r="K31" s="87">
        <f>IF(I31&gt;=J31,I31-J31,0)</f>
        <v/>
      </c>
      <c r="L31" s="68" t="n">
        <v>1</v>
      </c>
      <c r="M31" s="87">
        <f>SUMIFS(DuLieu!$D$3:$D$101921,DuLieu!$B$3:$B$101921,$A31,DuLieu!$T$3:$T$101921,"&gt;=1", DuLieu!$T$3:$T$101921,"&lt;=7",DuLieu!$U$3:$U$101921,$R31)</f>
        <v/>
      </c>
      <c r="N31" s="87">
        <f>IF(L31&gt;=M31,L31-M31,0)</f>
        <v/>
      </c>
      <c r="O31" s="87" t="n">
        <v>5</v>
      </c>
      <c r="P31" s="87">
        <f>$D31+$G31+$J31+$M31</f>
        <v/>
      </c>
      <c r="Q31" s="87">
        <f>IF(O31&gt;=P31,O31-P31,0)</f>
        <v/>
      </c>
      <c r="R31" s="77" t="n">
        <v>11</v>
      </c>
      <c r="S31" s="91" t="n"/>
      <c r="T31" s="91" t="n"/>
      <c r="U31" s="91" t="n"/>
      <c r="V31" s="91" t="n"/>
      <c r="W31" s="91" t="n"/>
      <c r="X31" s="91" t="n"/>
      <c r="Y31" s="91" t="n"/>
      <c r="Z31" s="91" t="n"/>
      <c r="AA31" s="91" t="n"/>
    </row>
    <row r="32">
      <c r="A32" s="114" t="inlineStr">
        <is>
          <t>Huỳnh Văn Lực</t>
        </is>
      </c>
      <c r="B32" s="58" t="inlineStr">
        <is>
          <t>Tiếp thị DV Camera/Mesh</t>
        </is>
      </c>
      <c r="C32" s="68" t="n">
        <v>1</v>
      </c>
      <c r="D32" s="87">
        <f>SUMIFS(DuLieu!$F$3:$F$11921,DuLieu!$B$3:$B$101921,$A32,DuLieu!$T$3:$T$101921,"&gt;=1", DuLieu!$T$3:$T$101921,"&lt;=7",DuLieu!$U$3:$U$101921,$R32)</f>
        <v/>
      </c>
      <c r="E32" s="87">
        <f>IF(C32&gt;=D32,C32-D32,0)</f>
        <v/>
      </c>
      <c r="F32" s="65" t="n">
        <v>1</v>
      </c>
      <c r="G32" s="87">
        <f>SUMIFS(DuLieu!$F$3:$F$11921,DuLieu!$B$3:$B$101921,$A32,DuLieu!$T$3:$T$101921,"&gt;=8", DuLieu!$T$3:$T$101921,"&lt;=14",DuLieu!$U$3:$U$101921,$R32)</f>
        <v/>
      </c>
      <c r="H32" s="87">
        <f>IF(F32&gt;=G32,F32-G32,0)</f>
        <v/>
      </c>
      <c r="I32" s="78" t="n">
        <v>1</v>
      </c>
      <c r="J32" s="86">
        <f>SUMIFS(DuLieu!$F$3:$F$11921,DuLieu!$B$3:$B$101921,$A32,DuLieu!$T$3:$T$101921,"&gt;=15", DuLieu!$T$3:$T$101921,"&lt;=21",DuLieu!$U$3:$U$101921,$R32)</f>
        <v/>
      </c>
      <c r="K32" s="87">
        <f>IF(I32&gt;=J32,I32-J32,0)</f>
        <v/>
      </c>
      <c r="L32" s="68" t="n">
        <v>0</v>
      </c>
      <c r="M32" s="87">
        <f>SUMIFS(DuLieu!$D$3:$D$101921,DuLieu!$B$3:$B$101921,$A32,DuLieu!$T$3:$T$101921,"&gt;=1", DuLieu!$T$3:$T$101921,"&lt;=7",DuLieu!$U$3:$U$101921,$R32)</f>
        <v/>
      </c>
      <c r="N32" s="87">
        <f>IF(L32&gt;=M32,L32-M32,0)</f>
        <v/>
      </c>
      <c r="O32" s="87" t="n">
        <v>6</v>
      </c>
      <c r="P32" s="87">
        <f>$D32+$G32+$J32+$M32</f>
        <v/>
      </c>
      <c r="Q32" s="87">
        <f>IF(O32&gt;=P32,O32-P32,0)</f>
        <v/>
      </c>
      <c r="R32" s="77" t="n">
        <v>11</v>
      </c>
      <c r="S32" s="91" t="n"/>
      <c r="T32" s="91" t="n"/>
      <c r="U32" s="91" t="n"/>
      <c r="V32" s="91" t="n"/>
      <c r="W32" s="91" t="n"/>
      <c r="X32" s="91" t="n"/>
      <c r="Y32" s="91" t="n"/>
      <c r="Z32" s="91" t="n"/>
      <c r="AA32" s="91" t="n"/>
    </row>
    <row r="33">
      <c r="A33" s="114" t="inlineStr">
        <is>
          <t>Huỳnh Văn Lực</t>
        </is>
      </c>
      <c r="B33" s="58" t="inlineStr">
        <is>
          <t>Tạm ngưng Fiber</t>
        </is>
      </c>
      <c r="C33" s="73" t="n">
        <v>1</v>
      </c>
      <c r="D33" s="87">
        <f>SUMIFS(DuLieu!$G$3:$G$11921,DuLieu!$B$3:$B$101921,$A33,DuLieu!$T$3:$T$101921,"&gt;=1", DuLieu!$T$3:$T$101921,"&lt;=7",DuLieu!$U$3:$U$101921,$R33)</f>
        <v/>
      </c>
      <c r="E33" s="87">
        <f>IF(C33&gt;=D33,C33-D33,0)</f>
        <v/>
      </c>
      <c r="F33" s="70" t="n">
        <v>1</v>
      </c>
      <c r="G33" s="87">
        <f>SUMIFS(DuLieu!$G$3:$G$11921,DuLieu!$B$3:$B$101921,D33,DuLieu!$T$3:$T$101921,"&gt;=8", DuLieu!$T$3:$T$101921,"&lt;=14",DuLieu!$U$3:$U$101921,$R33)</f>
        <v/>
      </c>
      <c r="H33" s="87">
        <f>IF(F33&gt;=G33,F33-G33,0)</f>
        <v/>
      </c>
      <c r="I33" s="72" t="n">
        <v>1</v>
      </c>
      <c r="J33" s="86">
        <f>SUMIFS(DuLieu!$G$3:$G$11921,DuLieu!$B$3:$B$101921,$A33,DuLieu!$T$3:$T$101921,"&gt;=15", DuLieu!$T$3:$T$101921,"&lt;=21",DuLieu!$U$3:$U$101921,$R33)</f>
        <v/>
      </c>
      <c r="K33" s="87">
        <f>IF(I33&gt;=J33,I33-J33,0)</f>
        <v/>
      </c>
      <c r="L33" s="73" t="n">
        <v>1</v>
      </c>
      <c r="M33" s="87">
        <f>SUMIFS(DuLieu!$D$3:$D$101921,DuLieu!$B$3:$B$101921,$A33,DuLieu!$T$3:$T$101921,"&gt;=1", DuLieu!$T$3:$T$101921,"&lt;=7",DuLieu!$U$3:$U$101921,$R33)</f>
        <v/>
      </c>
      <c r="N33" s="87">
        <f>IF(L33&gt;=M33,L33-M33,0)</f>
        <v/>
      </c>
      <c r="O33" s="87" t="n">
        <v>4</v>
      </c>
      <c r="P33" s="87">
        <f>$D33+$G33+$J33+$M33</f>
        <v/>
      </c>
      <c r="Q33" s="87">
        <f>IF(O33&gt;=P33,O33-P33,0)</f>
        <v/>
      </c>
      <c r="R33" s="77" t="n">
        <v>11</v>
      </c>
      <c r="S33" s="91" t="n"/>
      <c r="T33" s="91" t="n"/>
      <c r="U33" s="91" t="n"/>
      <c r="V33" s="91" t="n"/>
      <c r="W33" s="91" t="n"/>
      <c r="X33" s="91" t="n"/>
      <c r="Y33" s="91" t="n"/>
      <c r="Z33" s="91" t="n"/>
      <c r="AA33" s="91" t="n"/>
    </row>
    <row r="34">
      <c r="A34" s="114" t="inlineStr">
        <is>
          <t>Huỳnh Văn Lực</t>
        </is>
      </c>
      <c r="B34" s="58" t="inlineStr">
        <is>
          <t>Tạm ngưng Mytv</t>
        </is>
      </c>
      <c r="C34" s="73" t="n">
        <v>2</v>
      </c>
      <c r="D34" s="87">
        <f>SUMIFS(DuLieu!$H$3:$H$11921,DuLieu!$B$3:$B$101921,$A34,DuLieu!$T$3:$T$101921,"&gt;=1", DuLieu!$T$3:$T$101921,"&lt;=7",DuLieu!$U$3:$U$101921,$R34)</f>
        <v/>
      </c>
      <c r="E34" s="87">
        <f>IF(C34&gt;=D34,C34-D34,0)</f>
        <v/>
      </c>
      <c r="F34" s="70" t="n">
        <v>1</v>
      </c>
      <c r="G34" s="87">
        <f>SUMIFS(DuLieu!$H$3:$H$11921,DuLieu!$B$3:$B$101921,$A34,DuLieu!$T$3:$T$101921,"&gt;=8", DuLieu!$T$3:$T$101921,"&lt;=14",DuLieu!$U$3:$U$101921,$R34)</f>
        <v/>
      </c>
      <c r="H34" s="87">
        <f>IF(F34&gt;=G34,F34-G34,0)</f>
        <v/>
      </c>
      <c r="I34" s="72" t="n">
        <v>1</v>
      </c>
      <c r="J34" s="86">
        <f>SUMIFS(DuLieu!$H$3:$H$11921,DuLieu!$B$3:$B$101921,$A34,DuLieu!$T$3:$T$101921,"&gt;=15", DuLieu!$T$3:$T$101921,"&lt;=21",DuLieu!$U$3:$U$101921,$R34)</f>
        <v/>
      </c>
      <c r="K34" s="87">
        <f>IF(I34&gt;=J34,I34-J34,0)</f>
        <v/>
      </c>
      <c r="L34" s="73" t="n">
        <v>1</v>
      </c>
      <c r="M34" s="87">
        <f>SUMIFS(DuLieu!$D$3:$D$101921,DuLieu!$B$3:$B$101921,$A34,DuLieu!$T$3:$T$101921,"&gt;=1", DuLieu!$T$3:$T$101921,"&lt;=7",DuLieu!$U$3:$U$101921,$R34)</f>
        <v/>
      </c>
      <c r="N34" s="87">
        <f>IF(L34&gt;=M34,L34-M34,0)</f>
        <v/>
      </c>
      <c r="O34" s="87" t="n">
        <v>2</v>
      </c>
      <c r="P34" s="87">
        <f>$D34+$G34+$J34+$M34</f>
        <v/>
      </c>
      <c r="Q34" s="87">
        <f>IF(O34&gt;=P34,O34-P34,0)</f>
        <v/>
      </c>
      <c r="R34" s="77" t="n">
        <v>11</v>
      </c>
      <c r="S34" s="91" t="n"/>
      <c r="T34" s="91" t="n"/>
      <c r="U34" s="91" t="n"/>
      <c r="V34" s="91" t="n"/>
      <c r="W34" s="91" t="n"/>
      <c r="X34" s="91" t="n"/>
      <c r="Y34" s="91" t="n"/>
      <c r="Z34" s="91" t="n"/>
      <c r="AA34" s="91" t="n"/>
    </row>
    <row r="35">
      <c r="A35" s="114" t="inlineStr">
        <is>
          <t>Huỳnh Văn Lực</t>
        </is>
      </c>
      <c r="B35" s="58" t="inlineStr">
        <is>
          <t>Thay thế ONT 2 băng tần</t>
        </is>
      </c>
      <c r="C35" s="73" t="n">
        <v>6</v>
      </c>
      <c r="D35" s="87">
        <f>SUMIFS(DuLieu!$I$3:$I$11921,DuLieu!$B$3:$B$101921,$A35,DuLieu!$T$3:$T$101921,"&gt;=1", DuLieu!$T$3:$T$101921,"&lt;=7",DuLieu!$U$3:$U$101921,$R35)</f>
        <v/>
      </c>
      <c r="E35" s="87">
        <f>IF(C35&gt;=D35,C35-D35,0)</f>
        <v/>
      </c>
      <c r="F35" s="70" t="n">
        <v>6</v>
      </c>
      <c r="G35" s="87">
        <f>SUMIFS(DuLieu!$I$3:$I$11921,DuLieu!$B$3:$B$101921,$A35,DuLieu!$T$3:$T$101921,"&gt;=8", DuLieu!$T$3:$T$101921,"&lt;=14",DuLieu!$U$3:$U$101921,$R35)</f>
        <v/>
      </c>
      <c r="H35" s="87">
        <f>IF(F35&gt;=G35,F35-G35,0)</f>
        <v/>
      </c>
      <c r="I35" s="72" t="n">
        <v>6</v>
      </c>
      <c r="J35" s="86">
        <f>SUMIFS(DuLieu!$I$3:$I$11921,DuLieu!$B$3:$B$101921,$A35,DuLieu!$T$3:$T$101921,"&gt;=15", DuLieu!$T$3:$T$101921,"&lt;=21",DuLieu!$U$3:$U$101921,$R35)</f>
        <v/>
      </c>
      <c r="K35" s="87">
        <f>IF(I35&gt;=J35,I35-J35,0)</f>
        <v/>
      </c>
      <c r="L35" s="73" t="n">
        <v>5</v>
      </c>
      <c r="M35" s="87">
        <f>SUMIFS(DuLieu!$D$3:$D$101921,DuLieu!$B$3:$B$101921,$A35,DuLieu!$T$3:$T$101921,"&gt;=1", DuLieu!$T$3:$T$101921,"&lt;=7",DuLieu!$U$3:$U$101921,$R35)</f>
        <v/>
      </c>
      <c r="N35" s="87">
        <f>IF(L35&gt;=M35,L35-M35,0)</f>
        <v/>
      </c>
      <c r="O35" s="87" t="n">
        <v>40</v>
      </c>
      <c r="P35" s="87">
        <f>$D35+$G35+$J35+$M35</f>
        <v/>
      </c>
      <c r="Q35" s="87">
        <f>IF(O35&gt;=P35,O35-P35,0)</f>
        <v/>
      </c>
      <c r="R35" s="77" t="n">
        <v>11</v>
      </c>
      <c r="S35" s="91" t="n"/>
      <c r="T35" s="91" t="n"/>
      <c r="U35" s="91" t="n"/>
      <c r="V35" s="91" t="n"/>
      <c r="W35" s="91" t="n"/>
      <c r="X35" s="91" t="n"/>
      <c r="Y35" s="91" t="n"/>
      <c r="Z35" s="91" t="n"/>
      <c r="AA35" s="91" t="n"/>
    </row>
    <row r="36">
      <c r="A36" s="114" t="inlineStr">
        <is>
          <t>Huỳnh Văn Lực</t>
        </is>
      </c>
      <c r="B36" s="58" t="inlineStr">
        <is>
          <t>CSKH HVC chuyển XGSPON</t>
        </is>
      </c>
      <c r="C36" s="73" t="n"/>
      <c r="D36" s="87">
        <f>SUMIFS(DuLieu!$J$3:$J$11921,DuLieu!$B$3:$B$101921,$A36,DuLieu!$T$3:$T$101921,"&gt;=1", DuLieu!$T$3:$T$101921,"&lt;=7",DuLieu!$U$3:$U$101921,$R36)</f>
        <v/>
      </c>
      <c r="E36" s="87">
        <f>IF(C36&gt;=D36,C36-D36,0)</f>
        <v/>
      </c>
      <c r="F36" s="59" t="n"/>
      <c r="G36" s="87">
        <f>SUMIFS(DuLieu!$J$3:$J$11921,DuLieu!$B$3:$B$101921,$A36,DuLieu!$T$3:$T$101921,"&gt;=8", DuLieu!$T$3:$T$101921,"&lt;=14",DuLieu!$U$3:$U$101921,$R36)</f>
        <v/>
      </c>
      <c r="H36" s="87">
        <f>IF(F36&gt;=G36,F36-G36,0)</f>
        <v/>
      </c>
      <c r="I36" s="72" t="n"/>
      <c r="J36" s="86">
        <f>SUMIFS(DuLieu!$J$3:$J$11921,DuLieu!$B$3:$B$101921,$A36,DuLieu!$T$3:$T$101921,"&gt;=15", DuLieu!$T$3:$T$101921,"&lt;=21",DuLieu!$U$3:$U$101921,$R36)</f>
        <v/>
      </c>
      <c r="K36" s="87">
        <f>IF(I36&gt;=J36,I36-J36,0)</f>
        <v/>
      </c>
      <c r="L36" s="73" t="n"/>
      <c r="M36" s="87">
        <f>SUMIFS(DuLieu!$D$3:$D$101921,DuLieu!$B$3:$B$101921,$A36,DuLieu!$T$3:$T$101921,"&gt;=1", DuLieu!$T$3:$T$101921,"&lt;=7",DuLieu!$U$3:$U$101921,$R36)</f>
        <v/>
      </c>
      <c r="N36" s="87">
        <f>IF(L36&gt;=M36,L36-M36,0)</f>
        <v/>
      </c>
      <c r="O36" s="87" t="n">
        <v>20</v>
      </c>
      <c r="P36" s="87">
        <f>$D36+$G36+$J36+$M36</f>
        <v/>
      </c>
      <c r="Q36" s="87">
        <f>IF(O36&gt;=P36,O36-P36,0)</f>
        <v/>
      </c>
      <c r="R36" s="77" t="n">
        <v>11</v>
      </c>
      <c r="S36" s="91" t="n"/>
      <c r="T36" s="91" t="n"/>
      <c r="U36" s="91" t="n"/>
      <c r="V36" s="91" t="n"/>
      <c r="W36" s="91" t="n"/>
      <c r="X36" s="91" t="n"/>
      <c r="Y36" s="91" t="n"/>
      <c r="Z36" s="91" t="n"/>
      <c r="AA36" s="91" t="n"/>
    </row>
    <row r="37">
      <c r="A37" s="114" t="inlineStr">
        <is>
          <t>Huỳnh Văn Lực</t>
        </is>
      </c>
      <c r="B37" s="58" t="inlineStr">
        <is>
          <t>Phiếu GHTT tháng T</t>
        </is>
      </c>
      <c r="C37" s="68" t="n">
        <v>11</v>
      </c>
      <c r="D37" s="87">
        <f>SUMIFS(DuLieu!$K$3:$K$11921,DuLieu!$B$3:$B$101921,$A37,DuLieu!$T$3:$T$101921,"&gt;=1", DuLieu!$T$3:$T$101921,"&lt;=7",DuLieu!$U$3:$U$101921,$R37)</f>
        <v/>
      </c>
      <c r="E37" s="87">
        <f>IF(C37&gt;=D37,C37-D37,0)</f>
        <v/>
      </c>
      <c r="F37" s="65" t="n">
        <v>11</v>
      </c>
      <c r="G37" s="87">
        <f>SUMIFS(DuLieu!$K$3:$K$11921,DuLieu!$B$3:$B$101921,$A37,DuLieu!$T$3:$T$101921,"&gt;=8", DuLieu!$T$3:$T$101921,"&lt;=14",DuLieu!$U$3:$U$101921,$R37)</f>
        <v/>
      </c>
      <c r="H37" s="87">
        <f>IF(F37&gt;=G37,F37-G37,0)</f>
        <v/>
      </c>
      <c r="I37" s="78" t="n">
        <v>11</v>
      </c>
      <c r="J37" s="86">
        <f>SUMIFS(DuLieu!$K$3:$K$11921,DuLieu!$B$3:$B$101921,$A37,DuLieu!$T$3:$T$101921,"&gt;=15", DuLieu!$T$3:$T$101921,"&lt;=21",DuLieu!$U$3:$U$101921,$R37)</f>
        <v/>
      </c>
      <c r="K37" s="87">
        <f>IF(I37&gt;=J37,I37-J37,0)</f>
        <v/>
      </c>
      <c r="L37" s="68" t="n">
        <v>11</v>
      </c>
      <c r="M37" s="87">
        <f>SUMIFS(DuLieu!$D$3:$D$101921,DuLieu!$B$3:$B$101921,$A37,DuLieu!$T$3:$T$101921,"&gt;=1", DuLieu!$T$3:$T$101921,"&lt;=7",DuLieu!$U$3:$U$101921,$R37)</f>
        <v/>
      </c>
      <c r="N37" s="87">
        <f>IF(L37&gt;=M37,L37-M37,0)</f>
        <v/>
      </c>
      <c r="O37" s="87" t="n">
        <v>150</v>
      </c>
      <c r="P37" s="87">
        <f>$D37+$G37+$J37+$M37</f>
        <v/>
      </c>
      <c r="Q37" s="87">
        <f>IF(O37&gt;=P37,O37-P37,0)</f>
        <v/>
      </c>
      <c r="R37" s="77" t="n">
        <v>11</v>
      </c>
      <c r="S37" s="91" t="n"/>
      <c r="T37" s="91" t="n"/>
      <c r="U37" s="91" t="n"/>
      <c r="V37" s="91" t="n"/>
      <c r="W37" s="91" t="n"/>
      <c r="X37" s="91" t="n"/>
      <c r="Y37" s="91" t="n"/>
      <c r="Z37" s="91" t="n"/>
      <c r="AA37" s="91" t="n"/>
    </row>
    <row r="38">
      <c r="A38" s="114" t="inlineStr">
        <is>
          <t>Huỳnh Văn Lực</t>
        </is>
      </c>
      <c r="B38" s="58" t="inlineStr">
        <is>
          <t>Phiếu GHTT tháng T+1</t>
        </is>
      </c>
      <c r="C38" s="68" t="n">
        <v>6</v>
      </c>
      <c r="D38" s="87">
        <f>SUMIFS(DuLieu!$L$3:$L$11921,DuLieu!$B$3:$B$101921,$A38,DuLieu!$T$3:$T$101921,"&gt;=1", DuLieu!$T$3:$T$101921,"&lt;=7",DuLieu!$U$3:$U$101921,$R38)</f>
        <v/>
      </c>
      <c r="E38" s="87">
        <f>IF(C38&gt;=D38,C38-D38,0)</f>
        <v/>
      </c>
      <c r="F38" s="65" t="n">
        <v>6</v>
      </c>
      <c r="G38" s="87">
        <f>SUMIFS(DuLieu!$L$3:$L$11921,DuLieu!$B$3:$B$101921,$A38,DuLieu!$T$3:$T$101921,"&gt;=8", DuLieu!$T$3:$T$101921,"&lt;=14",DuLieu!$U$3:$U$101921,$R38)</f>
        <v/>
      </c>
      <c r="H38" s="87">
        <f>IF(F38&gt;=G38,F38-G38,0)</f>
        <v/>
      </c>
      <c r="I38" s="72" t="n"/>
      <c r="J38" s="86">
        <f>SUMIFS(DuLieu!$L$3:$L$11921,DuLieu!$B$3:$B$101921,$A38,DuLieu!$T$3:$T$101921,"&gt;=15", DuLieu!$T$3:$T$101921,"&lt;=21",DuLieu!$U$3:$U$101921,$R38)</f>
        <v/>
      </c>
      <c r="K38" s="87">
        <f>IF(I38&gt;=J38,I38-J38,0)</f>
        <v/>
      </c>
      <c r="L38" s="73" t="n"/>
      <c r="M38" s="87">
        <f>SUMIFS(DuLieu!$D$3:$D$101921,DuLieu!$B$3:$B$101921,$A38,DuLieu!$T$3:$T$101921,"&gt;=1", DuLieu!$T$3:$T$101921,"&lt;=7",DuLieu!$U$3:$U$101921,$R38)</f>
        <v/>
      </c>
      <c r="N38" s="87">
        <f>IF(L38&gt;=M38,L38-M38,0)</f>
        <v/>
      </c>
      <c r="O38" s="87" t="n">
        <v>1</v>
      </c>
      <c r="P38" s="87">
        <f>$D38+$G38+$J38+$M38</f>
        <v/>
      </c>
      <c r="Q38" s="87">
        <f>IF(O38&gt;=P38,O38-P38,0)</f>
        <v/>
      </c>
      <c r="R38" s="77" t="n">
        <v>11</v>
      </c>
      <c r="S38" s="91" t="n"/>
      <c r="T38" s="91" t="n"/>
      <c r="U38" s="91" t="n"/>
      <c r="V38" s="91" t="n"/>
      <c r="W38" s="91" t="n"/>
      <c r="X38" s="91" t="n"/>
      <c r="Y38" s="91" t="n"/>
      <c r="Z38" s="91" t="n"/>
      <c r="AA38" s="91" t="n"/>
    </row>
    <row r="39">
      <c r="A39" s="114" t="inlineStr">
        <is>
          <t>Nguyễn Quang Anh Tuấn</t>
        </is>
      </c>
      <c r="B39" s="48" t="inlineStr">
        <is>
          <t>Tiếp thị DV Fiber</t>
        </is>
      </c>
      <c r="C39" s="68" t="n">
        <v>2</v>
      </c>
      <c r="D39" s="81">
        <f>SUMIFS(DuLieu!$D$3:$D$11921,DuLieu!$B$3:$B$101921,$A39,DuLieu!$T$3:$T$101921,"&gt;=1", DuLieu!$T$3:$T$101921,"&lt;=7",DuLieu!$U$3:$U$101921,$R39)</f>
        <v/>
      </c>
      <c r="E39" s="85">
        <f>IF(C39&gt;=D39,C39-D39,0)</f>
        <v/>
      </c>
      <c r="F39" s="65" t="n">
        <v>2</v>
      </c>
      <c r="G39" s="85">
        <f>SUMIFS(DuLieu!$D$3:$D$11921,DuLieu!$B$3:$B$101921,$A39,DuLieu!$T$3:$T$101921,"&gt;=8", DuLieu!$T$3:$T$101921,"&lt;=14",DuLieu!$U$3:$U$101921,$R39)</f>
        <v/>
      </c>
      <c r="H39" s="85">
        <f>IF(F39&gt;=G39,F39-G39,0)</f>
        <v/>
      </c>
      <c r="I39" s="78" t="n">
        <v>2</v>
      </c>
      <c r="J39" s="81">
        <f>SUMIFS(DuLieu!$D$3:$D$11921,DuLieu!$B$3:$B$101921,$A39,DuLieu!$T$3:$T$101921,"&gt;=15", DuLieu!$T$3:$T$101921,"&lt;=21",DuLieu!$U$3:$U$101921,$R39)</f>
        <v/>
      </c>
      <c r="K39" s="85">
        <f>IF(I39&gt;=J39,I39-J39,0)</f>
        <v/>
      </c>
      <c r="L39" s="68" t="n">
        <v>1</v>
      </c>
      <c r="M39" s="81">
        <f>SUMIFS(DuLieu!$D$3:$D$101921,DuLieu!$B$3:$B$101921,$A39,DuLieu!$T$3:$T$101921,"&gt;=1", DuLieu!$T$3:$T$101921,"&lt;=7",DuLieu!$U$3:$U$101921,$R39)</f>
        <v/>
      </c>
      <c r="N39" s="85">
        <f>IF(L39&gt;=M39,L39-M39,0)</f>
        <v/>
      </c>
      <c r="O39" s="85" t="n">
        <v>4</v>
      </c>
      <c r="P39" s="81">
        <f>$D39+$G39+$J39+$M39</f>
        <v/>
      </c>
      <c r="Q39" s="85">
        <f>IF(O39&gt;=P39,O39-P39,0)</f>
        <v/>
      </c>
      <c r="R39" s="80" t="n">
        <v>11</v>
      </c>
      <c r="S39" s="91" t="n"/>
      <c r="T39" s="91" t="n"/>
      <c r="U39" s="91" t="n"/>
      <c r="V39" s="91" t="n"/>
      <c r="W39" s="91" t="n"/>
      <c r="X39" s="91" t="n"/>
      <c r="Y39" s="91" t="n"/>
      <c r="Z39" s="91" t="n"/>
      <c r="AA39" s="91" t="n"/>
    </row>
    <row r="40">
      <c r="A40" s="114" t="inlineStr">
        <is>
          <t>Nguyễn Quang Anh Tuấn</t>
        </is>
      </c>
      <c r="B40" s="48" t="inlineStr">
        <is>
          <t>Tiếp thị DV MyTV</t>
        </is>
      </c>
      <c r="C40" s="68" t="n">
        <v>2</v>
      </c>
      <c r="D40" s="81">
        <f>SUMIFS(DuLieu!$E$3:$E$11921,DuLieu!$B$3:$B$101921,$A40,DuLieu!$T$3:$T$101921,"&gt;=1", DuLieu!$T$3:$T$101921,"&lt;=7",DuLieu!$U$3:$U$101921,$R40)</f>
        <v/>
      </c>
      <c r="E40" s="85">
        <f>IF(C40&gt;=D40,C40-D40,0)</f>
        <v/>
      </c>
      <c r="F40" s="65" t="n">
        <v>2</v>
      </c>
      <c r="G40" s="85">
        <f>SUMIFS(DuLieu!$E$3:$E$11921,DuLieu!$B$3:$B$101921,$A40,DuLieu!$T$3:$T$101921,"&gt;=8", DuLieu!$T$3:$T$101921,"&lt;=14",DuLieu!$U$3:$U$101921,$R40)</f>
        <v/>
      </c>
      <c r="H40" s="85">
        <f>IF(F40&gt;=G40,F40-G40,0)</f>
        <v/>
      </c>
      <c r="I40" s="78" t="n">
        <v>2</v>
      </c>
      <c r="J40" s="81">
        <f>SUMIFS(DuLieu!$E$3:$E$11921,DuLieu!$B$3:$B$101921,$A40,DuLieu!$T$3:$T$101921,"&gt;=15", DuLieu!$T$3:$T$101921,"&lt;=21",DuLieu!$U$3:$U$101921,$R40)</f>
        <v/>
      </c>
      <c r="K40" s="85">
        <f>IF(I40&gt;=J40,I40-J40,0)</f>
        <v/>
      </c>
      <c r="L40" s="68" t="n">
        <v>1</v>
      </c>
      <c r="M40" s="81">
        <f>SUMIFS(DuLieu!$D$3:$D$101921,DuLieu!$B$3:$B$101921,$A40,DuLieu!$T$3:$T$101921,"&gt;=1", DuLieu!$T$3:$T$101921,"&lt;=7",DuLieu!$U$3:$U$101921,$R40)</f>
        <v/>
      </c>
      <c r="N40" s="85">
        <f>IF(L40&gt;=M40,L40-M40,0)</f>
        <v/>
      </c>
      <c r="O40" s="85" t="n">
        <v>5</v>
      </c>
      <c r="P40" s="81">
        <f>$D40+$G40+$J40+$M40</f>
        <v/>
      </c>
      <c r="Q40" s="85">
        <f>IF(O40&gt;=P40,O40-P40,0)</f>
        <v/>
      </c>
      <c r="R40" s="80" t="n">
        <v>11</v>
      </c>
      <c r="S40" s="91" t="n"/>
      <c r="T40" s="91" t="n"/>
      <c r="U40" s="91" t="n"/>
      <c r="V40" s="91" t="n"/>
      <c r="W40" s="91" t="n"/>
      <c r="X40" s="91" t="n"/>
      <c r="Y40" s="91" t="n"/>
      <c r="Z40" s="91" t="n"/>
      <c r="AA40" s="91" t="n"/>
    </row>
    <row r="41">
      <c r="A41" s="114" t="inlineStr">
        <is>
          <t>Nguyễn Quang Anh Tuấn</t>
        </is>
      </c>
      <c r="B41" s="48" t="inlineStr">
        <is>
          <t>Tiếp thị DV Camera/Mesh</t>
        </is>
      </c>
      <c r="C41" s="68" t="n">
        <v>1</v>
      </c>
      <c r="D41" s="81">
        <f>SUMIFS(DuLieu!$F$3:$F$11921,DuLieu!$B$3:$B$101921,$A41,DuLieu!$T$3:$T$101921,"&gt;=1", DuLieu!$T$3:$T$101921,"&lt;=7",DuLieu!$U$3:$U$101921,$R41)</f>
        <v/>
      </c>
      <c r="E41" s="85">
        <f>IF(C41&gt;=D41,C41-D41,0)</f>
        <v/>
      </c>
      <c r="F41" s="65" t="n">
        <v>1</v>
      </c>
      <c r="G41" s="85">
        <f>SUMIFS(DuLieu!$F$3:$F$11921,DuLieu!$B$3:$B$101921,$A41,DuLieu!$T$3:$T$101921,"&gt;=8", DuLieu!$T$3:$T$101921,"&lt;=14",DuLieu!$U$3:$U$101921,$R41)</f>
        <v/>
      </c>
      <c r="H41" s="85">
        <f>IF(F41&gt;=G41,F41-G41,0)</f>
        <v/>
      </c>
      <c r="I41" s="78" t="n">
        <v>0</v>
      </c>
      <c r="J41" s="81">
        <f>SUMIFS(DuLieu!$F$3:$F$11921,DuLieu!$B$3:$B$101921,$A41,DuLieu!$T$3:$T$101921,"&gt;=15", DuLieu!$T$3:$T$101921,"&lt;=21",DuLieu!$U$3:$U$101921,$R41)</f>
        <v/>
      </c>
      <c r="K41" s="85">
        <f>IF(I41&gt;=J41,I41-J41,0)</f>
        <v/>
      </c>
      <c r="L41" s="68" t="n">
        <v>0</v>
      </c>
      <c r="M41" s="81">
        <f>SUMIFS(DuLieu!$D$3:$D$101921,DuLieu!$B$3:$B$101921,$A41,DuLieu!$T$3:$T$101921,"&gt;=1", DuLieu!$T$3:$T$101921,"&lt;=7",DuLieu!$U$3:$U$101921,$R41)</f>
        <v/>
      </c>
      <c r="N41" s="85">
        <f>IF(L41&gt;=M41,L41-M41,0)</f>
        <v/>
      </c>
      <c r="O41" s="85" t="n">
        <v>6</v>
      </c>
      <c r="P41" s="81">
        <f>$D41+$G41+$J41+$M41</f>
        <v/>
      </c>
      <c r="Q41" s="85">
        <f>IF(O41&gt;=P41,O41-P41,0)</f>
        <v/>
      </c>
      <c r="R41" s="80" t="n">
        <v>11</v>
      </c>
      <c r="S41" s="91" t="n"/>
      <c r="T41" s="91" t="n"/>
      <c r="U41" s="91" t="n"/>
      <c r="V41" s="91" t="n"/>
      <c r="W41" s="91" t="n"/>
      <c r="X41" s="91" t="n"/>
      <c r="Y41" s="91" t="n"/>
      <c r="Z41" s="91" t="n"/>
      <c r="AA41" s="91" t="n"/>
    </row>
    <row r="42">
      <c r="A42" s="114" t="inlineStr">
        <is>
          <t>Nguyễn Quang Anh Tuấn</t>
        </is>
      </c>
      <c r="B42" s="48" t="inlineStr">
        <is>
          <t>Tạm ngưng Fiber</t>
        </is>
      </c>
      <c r="C42" s="73" t="n">
        <v>2</v>
      </c>
      <c r="D42" s="81">
        <f>SUMIFS(DuLieu!$G$3:$G$11921,DuLieu!$B$3:$B$101921,$A42,DuLieu!$T$3:$T$101921,"&gt;=1", DuLieu!$T$3:$T$101921,"&lt;=7",DuLieu!$U$3:$U$101921,$R42)</f>
        <v/>
      </c>
      <c r="E42" s="85">
        <f>IF(C42&gt;=D42,C42-D42,0)</f>
        <v/>
      </c>
      <c r="F42" s="70" t="n">
        <v>1</v>
      </c>
      <c r="G42" s="85">
        <f>SUMIFS(DuLieu!$G$3:$G$11921,DuLieu!$B$3:$B$101921,D42,DuLieu!$T$3:$T$101921,"&gt;=8", DuLieu!$T$3:$T$101921,"&lt;=14",DuLieu!$U$3:$U$101921,$R42)</f>
        <v/>
      </c>
      <c r="H42" s="85">
        <f>IF(F42&gt;=G42,F42-G42,0)</f>
        <v/>
      </c>
      <c r="I42" s="72" t="n">
        <v>1</v>
      </c>
      <c r="J42" s="81">
        <f>SUMIFS(DuLieu!$G$3:$G$11921,DuLieu!$B$3:$B$101921,$A42,DuLieu!$T$3:$T$101921,"&gt;=15", DuLieu!$T$3:$T$101921,"&lt;=21",DuLieu!$U$3:$U$101921,$R42)</f>
        <v/>
      </c>
      <c r="K42" s="85">
        <f>IF(I42&gt;=J42,I42-J42,0)</f>
        <v/>
      </c>
      <c r="L42" s="73" t="n">
        <v>1</v>
      </c>
      <c r="M42" s="81">
        <f>SUMIFS(DuLieu!$D$3:$D$101921,DuLieu!$B$3:$B$101921,$A42,DuLieu!$T$3:$T$101921,"&gt;=1", DuLieu!$T$3:$T$101921,"&lt;=7",DuLieu!$U$3:$U$101921,$R42)</f>
        <v/>
      </c>
      <c r="N42" s="85">
        <f>IF(L42&gt;=M42,L42-M42,0)</f>
        <v/>
      </c>
      <c r="O42" s="85" t="n">
        <v>4</v>
      </c>
      <c r="P42" s="81">
        <f>$D42+$G42+$J42+$M42</f>
        <v/>
      </c>
      <c r="Q42" s="85">
        <f>IF(O42&gt;=P42,O42-P42,0)</f>
        <v/>
      </c>
      <c r="R42" s="80" t="n">
        <v>11</v>
      </c>
      <c r="S42" s="91" t="n"/>
      <c r="T42" s="91" t="n"/>
      <c r="U42" s="91" t="n"/>
      <c r="V42" s="91" t="n"/>
      <c r="W42" s="91" t="n"/>
      <c r="X42" s="91" t="n"/>
      <c r="Y42" s="91" t="n"/>
      <c r="Z42" s="91" t="n"/>
      <c r="AA42" s="91" t="n"/>
    </row>
    <row r="43">
      <c r="A43" s="114" t="inlineStr">
        <is>
          <t>Nguyễn Quang Anh Tuấn</t>
        </is>
      </c>
      <c r="B43" s="48" t="inlineStr">
        <is>
          <t>Tạm ngưng Mytv</t>
        </is>
      </c>
      <c r="C43" s="73" t="n">
        <v>2</v>
      </c>
      <c r="D43" s="81">
        <f>SUMIFS(DuLieu!$H$3:$H$11921,DuLieu!$B$3:$B$101921,$A43,DuLieu!$T$3:$T$101921,"&gt;=1", DuLieu!$T$3:$T$101921,"&lt;=7",DuLieu!$U$3:$U$101921,$R43)</f>
        <v/>
      </c>
      <c r="E43" s="85">
        <f>IF(C43&gt;=D43,C43-D43,0)</f>
        <v/>
      </c>
      <c r="F43" s="70" t="n">
        <v>2</v>
      </c>
      <c r="G43" s="85">
        <f>SUMIFS(DuLieu!$H$3:$H$11921,DuLieu!$B$3:$B$101921,$A43,DuLieu!$T$3:$T$101921,"&gt;=8", DuLieu!$T$3:$T$101921,"&lt;=14",DuLieu!$U$3:$U$101921,$R43)</f>
        <v/>
      </c>
      <c r="H43" s="85">
        <f>IF(F43&gt;=G43,F43-G43,0)</f>
        <v/>
      </c>
      <c r="I43" s="72" t="n">
        <v>2</v>
      </c>
      <c r="J43" s="81">
        <f>SUMIFS(DuLieu!$H$3:$H$11921,DuLieu!$B$3:$B$101921,$A43,DuLieu!$T$3:$T$101921,"&gt;=15", DuLieu!$T$3:$T$101921,"&lt;=21",DuLieu!$U$3:$U$101921,$R43)</f>
        <v/>
      </c>
      <c r="K43" s="85">
        <f>IF(I43&gt;=J43,I43-J43,0)</f>
        <v/>
      </c>
      <c r="L43" s="73" t="n">
        <v>2</v>
      </c>
      <c r="M43" s="81">
        <f>SUMIFS(DuLieu!$D$3:$D$101921,DuLieu!$B$3:$B$101921,$A43,DuLieu!$T$3:$T$101921,"&gt;=1", DuLieu!$T$3:$T$101921,"&lt;=7",DuLieu!$U$3:$U$101921,$R43)</f>
        <v/>
      </c>
      <c r="N43" s="85">
        <f>IF(L43&gt;=M43,L43-M43,0)</f>
        <v/>
      </c>
      <c r="O43" s="85" t="n">
        <v>2</v>
      </c>
      <c r="P43" s="81">
        <f>$D43+$G43+$J43+$M43</f>
        <v/>
      </c>
      <c r="Q43" s="85">
        <f>IF(O43&gt;=P43,O43-P43,0)</f>
        <v/>
      </c>
      <c r="R43" s="80" t="n">
        <v>11</v>
      </c>
      <c r="S43" s="91" t="n"/>
      <c r="T43" s="91" t="n"/>
      <c r="U43" s="91" t="n"/>
      <c r="V43" s="91" t="n"/>
      <c r="W43" s="91" t="n"/>
      <c r="X43" s="91" t="n"/>
      <c r="Y43" s="91" t="n"/>
      <c r="Z43" s="91" t="n"/>
      <c r="AA43" s="91" t="n"/>
    </row>
    <row r="44">
      <c r="A44" s="114" t="inlineStr">
        <is>
          <t>Nguyễn Quang Anh Tuấn</t>
        </is>
      </c>
      <c r="B44" s="48" t="inlineStr">
        <is>
          <t>Thay thế ONT 2 băng tần</t>
        </is>
      </c>
      <c r="C44" s="73" t="n">
        <v>7</v>
      </c>
      <c r="D44" s="81">
        <f>SUMIFS(DuLieu!$I$3:$I$11921,DuLieu!$B$3:$B$101921,$A44,DuLieu!$T$3:$T$101921,"&gt;=1", DuLieu!$T$3:$T$101921,"&lt;=7",DuLieu!$U$3:$U$101921,$R44)</f>
        <v/>
      </c>
      <c r="E44" s="85">
        <f>IF(C44&gt;=D44,C44-D44,0)</f>
        <v/>
      </c>
      <c r="F44" s="70" t="n">
        <v>6</v>
      </c>
      <c r="G44" s="85">
        <f>SUMIFS(DuLieu!$I$3:$I$11921,DuLieu!$B$3:$B$101921,$A44,DuLieu!$T$3:$T$101921,"&gt;=8", DuLieu!$T$3:$T$101921,"&lt;=14",DuLieu!$U$3:$U$101921,$R44)</f>
        <v/>
      </c>
      <c r="H44" s="85">
        <f>IF(F44&gt;=G44,F44-G44,0)</f>
        <v/>
      </c>
      <c r="I44" s="72" t="n">
        <v>6</v>
      </c>
      <c r="J44" s="81">
        <f>SUMIFS(DuLieu!$I$3:$I$11921,DuLieu!$B$3:$B$101921,$A44,DuLieu!$T$3:$T$101921,"&gt;=15", DuLieu!$T$3:$T$101921,"&lt;=21",DuLieu!$U$3:$U$101921,$R44)</f>
        <v/>
      </c>
      <c r="K44" s="85">
        <f>IF(I44&gt;=J44,I44-J44,0)</f>
        <v/>
      </c>
      <c r="L44" s="73" t="n">
        <v>6</v>
      </c>
      <c r="M44" s="81">
        <f>SUMIFS(DuLieu!$D$3:$D$101921,DuLieu!$B$3:$B$101921,$A44,DuLieu!$T$3:$T$101921,"&gt;=1", DuLieu!$T$3:$T$101921,"&lt;=7",DuLieu!$U$3:$U$101921,$R44)</f>
        <v/>
      </c>
      <c r="N44" s="85">
        <f>IF(L44&gt;=M44,L44-M44,0)</f>
        <v/>
      </c>
      <c r="O44" s="85" t="n">
        <v>40</v>
      </c>
      <c r="P44" s="81">
        <f>$D44+$G44+$J44+$M44</f>
        <v/>
      </c>
      <c r="Q44" s="85">
        <f>IF(O44&gt;=P44,O44-P44,0)</f>
        <v/>
      </c>
      <c r="R44" s="80" t="n">
        <v>11</v>
      </c>
      <c r="S44" s="91" t="n"/>
      <c r="T44" s="91" t="n"/>
      <c r="U44" s="91" t="n"/>
      <c r="V44" s="91" t="n"/>
      <c r="W44" s="91" t="n"/>
      <c r="X44" s="91" t="n"/>
      <c r="Y44" s="91" t="n"/>
      <c r="Z44" s="91" t="n"/>
      <c r="AA44" s="91" t="n"/>
    </row>
    <row r="45">
      <c r="A45" s="114" t="inlineStr">
        <is>
          <t>Nguyễn Quang Anh Tuấn</t>
        </is>
      </c>
      <c r="B45" s="48" t="inlineStr">
        <is>
          <t>CSKH HVC chuyển XGSPON</t>
        </is>
      </c>
      <c r="C45" s="73" t="n"/>
      <c r="D45" s="81">
        <f>SUMIFS(DuLieu!$J$3:$J$11921,DuLieu!$B$3:$B$101921,$A45,DuLieu!$T$3:$T$101921,"&gt;=1", DuLieu!$T$3:$T$101921,"&lt;=7",DuLieu!$U$3:$U$101921,$R45)</f>
        <v/>
      </c>
      <c r="E45" s="85">
        <f>IF(C45&gt;=D45,C45-D45,0)</f>
        <v/>
      </c>
      <c r="F45" s="59" t="n"/>
      <c r="G45" s="85">
        <f>SUMIFS(DuLieu!$J$3:$J$11921,DuLieu!$B$3:$B$101921,$A45,DuLieu!$T$3:$T$101921,"&gt;=8", DuLieu!$T$3:$T$101921,"&lt;=14",DuLieu!$U$3:$U$101921,$R45)</f>
        <v/>
      </c>
      <c r="H45" s="85">
        <f>IF(F45&gt;=G45,F45-G45,0)</f>
        <v/>
      </c>
      <c r="I45" s="72" t="n"/>
      <c r="J45" s="81">
        <f>SUMIFS(DuLieu!$J$3:$J$11921,DuLieu!$B$3:$B$101921,$A45,DuLieu!$T$3:$T$101921,"&gt;=15", DuLieu!$T$3:$T$101921,"&lt;=21",DuLieu!$U$3:$U$101921,$R45)</f>
        <v/>
      </c>
      <c r="K45" s="85">
        <f>IF(I45&gt;=J45,I45-J45,0)</f>
        <v/>
      </c>
      <c r="L45" s="73" t="n"/>
      <c r="M45" s="81">
        <f>SUMIFS(DuLieu!$D$3:$D$101921,DuLieu!$B$3:$B$101921,$A45,DuLieu!$T$3:$T$101921,"&gt;=1", DuLieu!$T$3:$T$101921,"&lt;=7",DuLieu!$U$3:$U$101921,$R45)</f>
        <v/>
      </c>
      <c r="N45" s="85">
        <f>IF(L45&gt;=M45,L45-M45,0)</f>
        <v/>
      </c>
      <c r="O45" s="85" t="n">
        <v>20</v>
      </c>
      <c r="P45" s="81">
        <f>$D45+$G45+$J45+$M45</f>
        <v/>
      </c>
      <c r="Q45" s="85">
        <f>IF(O45&gt;=P45,O45-P45,0)</f>
        <v/>
      </c>
      <c r="R45" s="80" t="n">
        <v>11</v>
      </c>
      <c r="S45" s="91" t="n"/>
      <c r="T45" s="91" t="n"/>
      <c r="U45" s="91" t="n"/>
      <c r="V45" s="91" t="n"/>
      <c r="W45" s="91" t="n"/>
      <c r="X45" s="91" t="n"/>
      <c r="Y45" s="91" t="n"/>
      <c r="Z45" s="91" t="n"/>
      <c r="AA45" s="91" t="n"/>
    </row>
    <row r="46">
      <c r="A46" s="114" t="inlineStr">
        <is>
          <t>Nguyễn Quang Anh Tuấn</t>
        </is>
      </c>
      <c r="B46" s="48" t="inlineStr">
        <is>
          <t>Phiếu GHTT tháng T</t>
        </is>
      </c>
      <c r="C46" s="68" t="n">
        <v>20</v>
      </c>
      <c r="D46" s="81">
        <f>SUMIFS(DuLieu!$K$3:$K$11921,DuLieu!$B$3:$B$101921,$A46,DuLieu!$T$3:$T$101921,"&gt;=1", DuLieu!$T$3:$T$101921,"&lt;=7",DuLieu!$U$3:$U$101921,$R46)</f>
        <v/>
      </c>
      <c r="E46" s="85">
        <f>IF(C46&gt;=D46,C46-D46,0)</f>
        <v/>
      </c>
      <c r="F46" s="65" t="n">
        <v>20</v>
      </c>
      <c r="G46" s="85">
        <f>SUMIFS(DuLieu!$K$3:$K$11921,DuLieu!$B$3:$B$101921,$A46,DuLieu!$T$3:$T$101921,"&gt;=8", DuLieu!$T$3:$T$101921,"&lt;=14",DuLieu!$U$3:$U$101921,$R46)</f>
        <v/>
      </c>
      <c r="H46" s="85">
        <f>IF(F46&gt;=G46,F46-G46,0)</f>
        <v/>
      </c>
      <c r="I46" s="78" t="n">
        <v>20</v>
      </c>
      <c r="J46" s="81">
        <f>SUMIFS(DuLieu!$K$3:$K$11921,DuLieu!$B$3:$B$101921,$A46,DuLieu!$T$3:$T$101921,"&gt;=15", DuLieu!$T$3:$T$101921,"&lt;=21",DuLieu!$U$3:$U$101921,$R46)</f>
        <v/>
      </c>
      <c r="K46" s="85">
        <f>IF(I46&gt;=J46,I46-J46,0)</f>
        <v/>
      </c>
      <c r="L46" s="68" t="n">
        <v>20</v>
      </c>
      <c r="M46" s="81">
        <f>SUMIFS(DuLieu!$D$3:$D$101921,DuLieu!$B$3:$B$101921,$A46,DuLieu!$T$3:$T$101921,"&gt;=1", DuLieu!$T$3:$T$101921,"&lt;=7",DuLieu!$U$3:$U$101921,$R46)</f>
        <v/>
      </c>
      <c r="N46" s="85">
        <f>IF(L46&gt;=M46,L46-M46,0)</f>
        <v/>
      </c>
      <c r="O46" s="85" t="n">
        <v>150</v>
      </c>
      <c r="P46" s="81">
        <f>$D46+$G46+$J46+$M46</f>
        <v/>
      </c>
      <c r="Q46" s="85">
        <f>IF(O46&gt;=P46,O46-P46,0)</f>
        <v/>
      </c>
      <c r="R46" s="80" t="n">
        <v>11</v>
      </c>
      <c r="S46" s="91" t="n"/>
      <c r="T46" s="91" t="n"/>
      <c r="U46" s="91" t="n"/>
      <c r="V46" s="91" t="n"/>
      <c r="W46" s="91" t="n"/>
      <c r="X46" s="91" t="n"/>
      <c r="Y46" s="91" t="n"/>
      <c r="Z46" s="91" t="n"/>
      <c r="AA46" s="91" t="n"/>
    </row>
    <row r="47">
      <c r="A47" s="114" t="inlineStr">
        <is>
          <t>Nguyễn Quang Anh Tuấn</t>
        </is>
      </c>
      <c r="B47" s="48" t="inlineStr">
        <is>
          <t>Phiếu GHTT tháng T+1</t>
        </is>
      </c>
      <c r="C47" s="68" t="n">
        <v>15</v>
      </c>
      <c r="D47" s="81">
        <f>SUMIFS(DuLieu!$L$3:$L$11921,DuLieu!$B$3:$B$101921,$A47,DuLieu!$T$3:$T$101921,"&gt;=1", DuLieu!$T$3:$T$101921,"&lt;=7",DuLieu!$U$3:$U$101921,$R47)</f>
        <v/>
      </c>
      <c r="E47" s="85">
        <f>IF(C47&gt;=D47,C47-D47,0)</f>
        <v/>
      </c>
      <c r="F47" s="65" t="n">
        <v>6</v>
      </c>
      <c r="G47" s="85">
        <f>SUMIFS(DuLieu!$L$3:$L$11921,DuLieu!$B$3:$B$101921,$A47,DuLieu!$T$3:$T$101921,"&gt;=8", DuLieu!$T$3:$T$101921,"&lt;=14",DuLieu!$U$3:$U$101921,$R47)</f>
        <v/>
      </c>
      <c r="H47" s="85">
        <f>IF(F47&gt;=G47,F47-G47,0)</f>
        <v/>
      </c>
      <c r="I47" s="72" t="n"/>
      <c r="J47" s="81">
        <f>SUMIFS(DuLieu!$L$3:$L$11921,DuLieu!$B$3:$B$101921,$A47,DuLieu!$T$3:$T$101921,"&gt;=15", DuLieu!$T$3:$T$101921,"&lt;=21",DuLieu!$U$3:$U$101921,$R47)</f>
        <v/>
      </c>
      <c r="K47" s="85">
        <f>IF(I47&gt;=J47,I47-J47,0)</f>
        <v/>
      </c>
      <c r="L47" s="73" t="n"/>
      <c r="M47" s="81">
        <f>SUMIFS(DuLieu!$D$3:$D$101921,DuLieu!$B$3:$B$101921,$A47,DuLieu!$T$3:$T$101921,"&gt;=1", DuLieu!$T$3:$T$101921,"&lt;=7",DuLieu!$U$3:$U$101921,$R47)</f>
        <v/>
      </c>
      <c r="N47" s="85">
        <f>IF(L47&gt;=M47,L47-M47,0)</f>
        <v/>
      </c>
      <c r="O47" s="85" t="n">
        <v>1</v>
      </c>
      <c r="P47" s="81">
        <f>$D47+$G47+$J47+$M47</f>
        <v/>
      </c>
      <c r="Q47" s="85">
        <f>IF(O47&gt;=P47,O47-P47,0)</f>
        <v/>
      </c>
      <c r="R47" s="80" t="n">
        <v>11</v>
      </c>
      <c r="S47" s="91" t="n"/>
      <c r="T47" s="91" t="n"/>
      <c r="U47" s="91" t="n"/>
      <c r="V47" s="91" t="n"/>
      <c r="W47" s="91" t="n"/>
      <c r="X47" s="91" t="n"/>
      <c r="Y47" s="91" t="n"/>
      <c r="Z47" s="91" t="n"/>
      <c r="AA47" s="91" t="n"/>
    </row>
    <row r="48">
      <c r="A48" s="114" t="inlineStr">
        <is>
          <t>Đặng Hoài Anh</t>
        </is>
      </c>
      <c r="B48" s="58" t="inlineStr">
        <is>
          <t>Tiếp thị DV Fiber</t>
        </is>
      </c>
      <c r="C48" s="68" t="n">
        <v>2</v>
      </c>
      <c r="D48" s="87">
        <f>SUMIFS(DuLieu!$D$3:$D$11921,DuLieu!$B$3:$B$101921,$A48,DuLieu!$T$3:$T$101921,"&gt;=1", DuLieu!$T$3:$T$101921,"&lt;=7",DuLieu!$U$3:$U$101921,$R48)</f>
        <v/>
      </c>
      <c r="E48" s="87">
        <f>IF(C48&gt;=D48,C48-D48,0)</f>
        <v/>
      </c>
      <c r="F48" s="65" t="n">
        <v>2</v>
      </c>
      <c r="G48" s="87">
        <f>SUMIFS(DuLieu!$D$3:$D$11921,DuLieu!$B$3:$B$101921,$A48,DuLieu!$T$3:$T$101921,"&gt;=8", DuLieu!$T$3:$T$101921,"&lt;=14",DuLieu!$U$3:$U$101921,$R48)</f>
        <v/>
      </c>
      <c r="H48" s="87">
        <f>IF(F48&gt;=G48,F48-G48,0)</f>
        <v/>
      </c>
      <c r="I48" s="78" t="n">
        <v>2</v>
      </c>
      <c r="J48" s="86">
        <f>SUMIFS(DuLieu!$D$3:$D$11921,DuLieu!$B$3:$B$101921,$A48,DuLieu!$T$3:$T$101921,"&gt;=15", DuLieu!$T$3:$T$101921,"&lt;=21",DuLieu!$U$3:$U$101921,$R48)</f>
        <v/>
      </c>
      <c r="K48" s="87">
        <f>IF(I48&gt;=J48,I48-J48,0)</f>
        <v/>
      </c>
      <c r="L48" s="68" t="n">
        <v>1</v>
      </c>
      <c r="M48" s="87">
        <f>SUMIFS(DuLieu!$D$3:$D$101921,DuLieu!$B$3:$B$101921,$A48,DuLieu!$T$3:$T$101921,"&gt;=1", DuLieu!$T$3:$T$101921,"&lt;=7",DuLieu!$U$3:$U$101921,$R48)</f>
        <v/>
      </c>
      <c r="N48" s="87">
        <f>IF(L48&gt;=M48,L48-M48,0)</f>
        <v/>
      </c>
      <c r="O48" s="87" t="n">
        <v>4</v>
      </c>
      <c r="P48" s="87">
        <f>$D48+$G48+$J48+$M48</f>
        <v/>
      </c>
      <c r="Q48" s="87">
        <f>IF(O48&gt;=P48,O48-P48,0)</f>
        <v/>
      </c>
      <c r="R48" s="77" t="n">
        <v>11</v>
      </c>
      <c r="S48" s="91" t="n"/>
      <c r="T48" s="91" t="n"/>
      <c r="U48" s="91" t="n"/>
      <c r="V48" s="91" t="n"/>
      <c r="W48" s="91" t="n"/>
      <c r="X48" s="91" t="n"/>
      <c r="Y48" s="91" t="n"/>
      <c r="Z48" s="91" t="n"/>
      <c r="AA48" s="91" t="n"/>
    </row>
    <row r="49">
      <c r="A49" s="114" t="inlineStr">
        <is>
          <t>Đặng Hoài Anh</t>
        </is>
      </c>
      <c r="B49" s="58" t="inlineStr">
        <is>
          <t>Tiếp thị DV MyTV</t>
        </is>
      </c>
      <c r="C49" s="68" t="n">
        <v>2</v>
      </c>
      <c r="D49" s="87">
        <f>SUMIFS(DuLieu!$E$3:$E$11921,DuLieu!$B$3:$B$101921,$A49,DuLieu!$T$3:$T$101921,"&gt;=1", DuLieu!$T$3:$T$101921,"&lt;=7",DuLieu!$U$3:$U$101921,$R49)</f>
        <v/>
      </c>
      <c r="E49" s="87">
        <f>IF(C49&gt;=D49,C49-D49,0)</f>
        <v/>
      </c>
      <c r="F49" s="65" t="n">
        <v>2</v>
      </c>
      <c r="G49" s="87">
        <f>SUMIFS(DuLieu!$E$3:$E$11921,DuLieu!$B$3:$B$101921,$A49,DuLieu!$T$3:$T$101921,"&gt;=8", DuLieu!$T$3:$T$101921,"&lt;=14",DuLieu!$U$3:$U$101921,$R49)</f>
        <v/>
      </c>
      <c r="H49" s="87">
        <f>IF(F49&gt;=G49,F49-G49,0)</f>
        <v/>
      </c>
      <c r="I49" s="78" t="n">
        <v>1</v>
      </c>
      <c r="J49" s="86">
        <f>SUMIFS(DuLieu!$E$3:$E$11921,DuLieu!$B$3:$B$101921,$A49,DuLieu!$T$3:$T$101921,"&gt;=15", DuLieu!$T$3:$T$101921,"&lt;=21",DuLieu!$U$3:$U$101921,$R49)</f>
        <v/>
      </c>
      <c r="K49" s="87">
        <f>IF(I49&gt;=J49,I49-J49,0)</f>
        <v/>
      </c>
      <c r="L49" s="68" t="n">
        <v>1</v>
      </c>
      <c r="M49" s="87">
        <f>SUMIFS(DuLieu!$D$3:$D$101921,DuLieu!$B$3:$B$101921,$A49,DuLieu!$T$3:$T$101921,"&gt;=1", DuLieu!$T$3:$T$101921,"&lt;=7",DuLieu!$U$3:$U$101921,$R49)</f>
        <v/>
      </c>
      <c r="N49" s="87">
        <f>IF(L49&gt;=M49,L49-M49,0)</f>
        <v/>
      </c>
      <c r="O49" s="87" t="n">
        <v>5</v>
      </c>
      <c r="P49" s="87">
        <f>$D49+$G49+$J49+$M49</f>
        <v/>
      </c>
      <c r="Q49" s="87">
        <f>IF(O49&gt;=P49,O49-P49,0)</f>
        <v/>
      </c>
      <c r="R49" s="77" t="n">
        <v>11</v>
      </c>
      <c r="S49" s="91" t="n"/>
      <c r="T49" s="91" t="n"/>
      <c r="U49" s="91" t="n"/>
      <c r="V49" s="91" t="n"/>
      <c r="W49" s="91" t="n"/>
      <c r="X49" s="91" t="n"/>
      <c r="Y49" s="91" t="n"/>
      <c r="Z49" s="91" t="n"/>
      <c r="AA49" s="91" t="n"/>
    </row>
    <row r="50">
      <c r="A50" s="114" t="inlineStr">
        <is>
          <t>Đặng Hoài Anh</t>
        </is>
      </c>
      <c r="B50" s="58" t="inlineStr">
        <is>
          <t>Tiếp thị DV Camera/Mesh</t>
        </is>
      </c>
      <c r="C50" s="68" t="n">
        <v>1</v>
      </c>
      <c r="D50" s="87">
        <f>SUMIFS(DuLieu!$F$3:$F$11921,DuLieu!$B$3:$B$101921,$A50,DuLieu!$T$3:$T$101921,"&gt;=1", DuLieu!$T$3:$T$101921,"&lt;=7",DuLieu!$U$3:$U$101921,$R50)</f>
        <v/>
      </c>
      <c r="E50" s="87">
        <f>IF(C50&gt;=D50,C50-D50,0)</f>
        <v/>
      </c>
      <c r="F50" s="65" t="n">
        <v>1</v>
      </c>
      <c r="G50" s="87">
        <f>SUMIFS(DuLieu!$F$3:$F$11921,DuLieu!$B$3:$B$101921,$A50,DuLieu!$T$3:$T$101921,"&gt;=8", DuLieu!$T$3:$T$101921,"&lt;=14",DuLieu!$U$3:$U$101921,$R50)</f>
        <v/>
      </c>
      <c r="H50" s="87">
        <f>IF(F50&gt;=G50,F50-G50,0)</f>
        <v/>
      </c>
      <c r="I50" s="78" t="n">
        <v>0</v>
      </c>
      <c r="J50" s="86">
        <f>SUMIFS(DuLieu!$F$3:$F$11921,DuLieu!$B$3:$B$101921,$A50,DuLieu!$T$3:$T$101921,"&gt;=15", DuLieu!$T$3:$T$101921,"&lt;=21",DuLieu!$U$3:$U$101921,$R50)</f>
        <v/>
      </c>
      <c r="K50" s="87">
        <f>IF(I50&gt;=J50,I50-J50,0)</f>
        <v/>
      </c>
      <c r="L50" s="68" t="n">
        <v>0</v>
      </c>
      <c r="M50" s="87">
        <f>SUMIFS(DuLieu!$D$3:$D$101921,DuLieu!$B$3:$B$101921,$A50,DuLieu!$T$3:$T$101921,"&gt;=1", DuLieu!$T$3:$T$101921,"&lt;=7",DuLieu!$U$3:$U$101921,$R50)</f>
        <v/>
      </c>
      <c r="N50" s="87">
        <f>IF(L50&gt;=M50,L50-M50,0)</f>
        <v/>
      </c>
      <c r="O50" s="87" t="n">
        <v>6</v>
      </c>
      <c r="P50" s="87">
        <f>$D50+$G50+$J50+$M50</f>
        <v/>
      </c>
      <c r="Q50" s="87">
        <f>IF(O50&gt;=P50,O50-P50,0)</f>
        <v/>
      </c>
      <c r="R50" s="77" t="n">
        <v>11</v>
      </c>
      <c r="S50" s="91" t="n"/>
      <c r="T50" s="91" t="n"/>
      <c r="U50" s="91" t="n"/>
      <c r="V50" s="91" t="n"/>
      <c r="W50" s="91" t="n"/>
      <c r="X50" s="91" t="n"/>
      <c r="Y50" s="91" t="n"/>
      <c r="Z50" s="91" t="n"/>
      <c r="AA50" s="91" t="n"/>
    </row>
    <row r="51">
      <c r="A51" s="114" t="inlineStr">
        <is>
          <t>Đặng Hoài Anh</t>
        </is>
      </c>
      <c r="B51" s="58" t="inlineStr">
        <is>
          <t>Tạm ngưng Fiber</t>
        </is>
      </c>
      <c r="C51" s="73" t="n">
        <v>1</v>
      </c>
      <c r="D51" s="87">
        <f>SUMIFS(DuLieu!$G$3:$G$11921,DuLieu!$B$3:$B$101921,$A51,DuLieu!$T$3:$T$101921,"&gt;=1", DuLieu!$T$3:$T$101921,"&lt;=7",DuLieu!$U$3:$U$101921,$R51)</f>
        <v/>
      </c>
      <c r="E51" s="87">
        <f>IF(C51&gt;=D51,C51-D51,0)</f>
        <v/>
      </c>
      <c r="F51" s="70" t="n">
        <v>1</v>
      </c>
      <c r="G51" s="87">
        <f>SUMIFS(DuLieu!$G$3:$G$11921,DuLieu!$B$3:$B$101921,D51,DuLieu!$T$3:$T$101921,"&gt;=8", DuLieu!$T$3:$T$101921,"&lt;=14",DuLieu!$U$3:$U$101921,$R51)</f>
        <v/>
      </c>
      <c r="H51" s="87">
        <f>IF(F51&gt;=G51,F51-G51,0)</f>
        <v/>
      </c>
      <c r="I51" s="72" t="n">
        <v>1</v>
      </c>
      <c r="J51" s="86">
        <f>SUMIFS(DuLieu!$G$3:$G$11921,DuLieu!$B$3:$B$101921,$A51,DuLieu!$T$3:$T$101921,"&gt;=15", DuLieu!$T$3:$T$101921,"&lt;=21",DuLieu!$U$3:$U$101921,$R51)</f>
        <v/>
      </c>
      <c r="K51" s="87">
        <f>IF(I51&gt;=J51,I51-J51,0)</f>
        <v/>
      </c>
      <c r="L51" s="73" t="n">
        <v>1</v>
      </c>
      <c r="M51" s="87">
        <f>SUMIFS(DuLieu!$D$3:$D$101921,DuLieu!$B$3:$B$101921,$A51,DuLieu!$T$3:$T$101921,"&gt;=1", DuLieu!$T$3:$T$101921,"&lt;=7",DuLieu!$U$3:$U$101921,$R51)</f>
        <v/>
      </c>
      <c r="N51" s="87">
        <f>IF(L51&gt;=M51,L51-M51,0)</f>
        <v/>
      </c>
      <c r="O51" s="87" t="n">
        <v>4</v>
      </c>
      <c r="P51" s="87">
        <f>$D51+$G51+$J51+$M51</f>
        <v/>
      </c>
      <c r="Q51" s="87">
        <f>IF(O51&gt;=P51,O51-P51,0)</f>
        <v/>
      </c>
      <c r="R51" s="77" t="n">
        <v>11</v>
      </c>
      <c r="S51" s="91" t="n"/>
      <c r="T51" s="91" t="n"/>
      <c r="U51" s="91" t="n"/>
      <c r="V51" s="91" t="n"/>
      <c r="W51" s="91" t="n"/>
      <c r="X51" s="91" t="n"/>
      <c r="Y51" s="91" t="n"/>
      <c r="Z51" s="91" t="n"/>
      <c r="AA51" s="91" t="n"/>
    </row>
    <row r="52">
      <c r="A52" s="114" t="inlineStr">
        <is>
          <t>Đặng Hoài Anh</t>
        </is>
      </c>
      <c r="B52" s="58" t="inlineStr">
        <is>
          <t>Tạm ngưng Mytv</t>
        </is>
      </c>
      <c r="C52" s="73" t="n"/>
      <c r="D52" s="87">
        <f>SUMIFS(DuLieu!$H$3:$H$11921,DuLieu!$B$3:$B$101921,$A52,DuLieu!$T$3:$T$101921,"&gt;=1", DuLieu!$T$3:$T$101921,"&lt;=7",DuLieu!$U$3:$U$101921,$R52)</f>
        <v/>
      </c>
      <c r="E52" s="87">
        <f>IF(C52&gt;=D52,C52-D52,0)</f>
        <v/>
      </c>
      <c r="F52" s="59" t="n"/>
      <c r="G52" s="87">
        <f>SUMIFS(DuLieu!$H$3:$H$11921,DuLieu!$B$3:$B$101921,$A52,DuLieu!$T$3:$T$101921,"&gt;=8", DuLieu!$T$3:$T$101921,"&lt;=14",DuLieu!$U$3:$U$101921,$R52)</f>
        <v/>
      </c>
      <c r="H52" s="87">
        <f>IF(F52&gt;=G52,F52-G52,0)</f>
        <v/>
      </c>
      <c r="I52" s="72" t="n"/>
      <c r="J52" s="86">
        <f>SUMIFS(DuLieu!$H$3:$H$11921,DuLieu!$B$3:$B$101921,$A52,DuLieu!$T$3:$T$101921,"&gt;=15", DuLieu!$T$3:$T$101921,"&lt;=21",DuLieu!$U$3:$U$101921,$R52)</f>
        <v/>
      </c>
      <c r="K52" s="87">
        <f>IF(I52&gt;=J52,I52-J52,0)</f>
        <v/>
      </c>
      <c r="L52" s="73" t="n"/>
      <c r="M52" s="87">
        <f>SUMIFS(DuLieu!$D$3:$D$101921,DuLieu!$B$3:$B$101921,$A52,DuLieu!$T$3:$T$101921,"&gt;=1", DuLieu!$T$3:$T$101921,"&lt;=7",DuLieu!$U$3:$U$101921,$R52)</f>
        <v/>
      </c>
      <c r="N52" s="87">
        <f>IF(L52&gt;=M52,L52-M52,0)</f>
        <v/>
      </c>
      <c r="O52" s="87" t="n">
        <v>2</v>
      </c>
      <c r="P52" s="87">
        <f>$D52+$G52+$J52+$M52</f>
        <v/>
      </c>
      <c r="Q52" s="87">
        <f>IF(O52&gt;=P52,O52-P52,0)</f>
        <v/>
      </c>
      <c r="R52" s="77" t="n">
        <v>11</v>
      </c>
      <c r="S52" s="91" t="n"/>
      <c r="T52" s="91" t="n"/>
      <c r="U52" s="91" t="n"/>
      <c r="V52" s="91" t="n"/>
      <c r="W52" s="91" t="n"/>
      <c r="X52" s="91" t="n"/>
      <c r="Y52" s="91" t="n"/>
      <c r="Z52" s="91" t="n"/>
      <c r="AA52" s="91" t="n"/>
    </row>
    <row r="53">
      <c r="A53" s="114" t="inlineStr">
        <is>
          <t>Đặng Hoài Anh</t>
        </is>
      </c>
      <c r="B53" s="58" t="inlineStr">
        <is>
          <t>Thay thế ONT 2 băng tần</t>
        </is>
      </c>
      <c r="C53" s="73" t="n"/>
      <c r="D53" s="87">
        <f>SUMIFS(DuLieu!$I$3:$I$11921,DuLieu!$B$3:$B$101921,$A53,DuLieu!$T$3:$T$101921,"&gt;=1", DuLieu!$T$3:$T$101921,"&lt;=7",DuLieu!$U$3:$U$101921,$R53)</f>
        <v/>
      </c>
      <c r="E53" s="87">
        <f>IF(C53&gt;=D53,C53-D53,0)</f>
        <v/>
      </c>
      <c r="F53" s="59" t="n"/>
      <c r="G53" s="87">
        <f>SUMIFS(DuLieu!$I$3:$I$11921,DuLieu!$B$3:$B$101921,$A53,DuLieu!$T$3:$T$101921,"&gt;=8", DuLieu!$T$3:$T$101921,"&lt;=14",DuLieu!$U$3:$U$101921,$R53)</f>
        <v/>
      </c>
      <c r="H53" s="87">
        <f>IF(F53&gt;=G53,F53-G53,0)</f>
        <v/>
      </c>
      <c r="I53" s="72" t="n"/>
      <c r="J53" s="86">
        <f>SUMIFS(DuLieu!$I$3:$I$11921,DuLieu!$B$3:$B$101921,$A53,DuLieu!$T$3:$T$101921,"&gt;=15", DuLieu!$T$3:$T$101921,"&lt;=21",DuLieu!$U$3:$U$101921,$R53)</f>
        <v/>
      </c>
      <c r="K53" s="87">
        <f>IF(I53&gt;=J53,I53-J53,0)</f>
        <v/>
      </c>
      <c r="L53" s="73" t="n"/>
      <c r="M53" s="87">
        <f>SUMIFS(DuLieu!$D$3:$D$101921,DuLieu!$B$3:$B$101921,$A53,DuLieu!$T$3:$T$101921,"&gt;=1", DuLieu!$T$3:$T$101921,"&lt;=7",DuLieu!$U$3:$U$101921,$R53)</f>
        <v/>
      </c>
      <c r="N53" s="87">
        <f>IF(L53&gt;=M53,L53-M53,0)</f>
        <v/>
      </c>
      <c r="O53" s="87" t="n">
        <v>40</v>
      </c>
      <c r="P53" s="87">
        <f>$D53+$G53+$J53+$M53</f>
        <v/>
      </c>
      <c r="Q53" s="87">
        <f>IF(O53&gt;=P53,O53-P53,0)</f>
        <v/>
      </c>
      <c r="R53" s="77" t="n">
        <v>11</v>
      </c>
      <c r="S53" s="91" t="n"/>
      <c r="T53" s="91" t="n"/>
      <c r="U53" s="91" t="n"/>
      <c r="V53" s="91" t="n"/>
      <c r="W53" s="91" t="n"/>
      <c r="X53" s="91" t="n"/>
      <c r="Y53" s="91" t="n"/>
      <c r="Z53" s="91" t="n"/>
      <c r="AA53" s="91" t="n"/>
    </row>
    <row r="54">
      <c r="A54" s="114" t="inlineStr">
        <is>
          <t>Đặng Hoài Anh</t>
        </is>
      </c>
      <c r="B54" s="58" t="inlineStr">
        <is>
          <t>CSKH HVC chuyển XGSPON</t>
        </is>
      </c>
      <c r="C54" s="73" t="n"/>
      <c r="D54" s="87">
        <f>SUMIFS(DuLieu!$J$3:$J$11921,DuLieu!$B$3:$B$101921,$A54,DuLieu!$T$3:$T$101921,"&gt;=1", DuLieu!$T$3:$T$101921,"&lt;=7",DuLieu!$U$3:$U$101921,$R54)</f>
        <v/>
      </c>
      <c r="E54" s="87">
        <f>IF(C54&gt;=D54,C54-D54,0)</f>
        <v/>
      </c>
      <c r="F54" s="59" t="n"/>
      <c r="G54" s="87">
        <f>SUMIFS(DuLieu!$J$3:$J$11921,DuLieu!$B$3:$B$101921,$A54,DuLieu!$T$3:$T$101921,"&gt;=8", DuLieu!$T$3:$T$101921,"&lt;=14",DuLieu!$U$3:$U$101921,$R54)</f>
        <v/>
      </c>
      <c r="H54" s="87">
        <f>IF(F54&gt;=G54,F54-G54,0)</f>
        <v/>
      </c>
      <c r="I54" s="72" t="n"/>
      <c r="J54" s="86">
        <f>SUMIFS(DuLieu!$J$3:$J$11921,DuLieu!$B$3:$B$101921,$A54,DuLieu!$T$3:$T$101921,"&gt;=15", DuLieu!$T$3:$T$101921,"&lt;=21",DuLieu!$U$3:$U$101921,$R54)</f>
        <v/>
      </c>
      <c r="K54" s="87">
        <f>IF(I54&gt;=J54,I54-J54,0)</f>
        <v/>
      </c>
      <c r="L54" s="73" t="n"/>
      <c r="M54" s="87">
        <f>SUMIFS(DuLieu!$D$3:$D$101921,DuLieu!$B$3:$B$101921,$A54,DuLieu!$T$3:$T$101921,"&gt;=1", DuLieu!$T$3:$T$101921,"&lt;=7",DuLieu!$U$3:$U$101921,$R54)</f>
        <v/>
      </c>
      <c r="N54" s="87">
        <f>IF(L54&gt;=M54,L54-M54,0)</f>
        <v/>
      </c>
      <c r="O54" s="87" t="n">
        <v>20</v>
      </c>
      <c r="P54" s="87">
        <f>$D54+$G54+$J54+$M54</f>
        <v/>
      </c>
      <c r="Q54" s="87">
        <f>IF(O54&gt;=P54,O54-P54,0)</f>
        <v/>
      </c>
      <c r="R54" s="77" t="n">
        <v>11</v>
      </c>
      <c r="S54" s="91" t="n"/>
      <c r="T54" s="91" t="n"/>
      <c r="U54" s="91" t="n"/>
      <c r="V54" s="91" t="n"/>
      <c r="W54" s="91" t="n"/>
      <c r="X54" s="91" t="n"/>
      <c r="Y54" s="91" t="n"/>
      <c r="Z54" s="91" t="n"/>
      <c r="AA54" s="91" t="n"/>
    </row>
    <row r="55">
      <c r="A55" s="114" t="inlineStr">
        <is>
          <t>Đặng Hoài Anh</t>
        </is>
      </c>
      <c r="B55" s="58" t="inlineStr">
        <is>
          <t>Phiếu GHTT tháng T</t>
        </is>
      </c>
      <c r="C55" s="68" t="n">
        <v>16</v>
      </c>
      <c r="D55" s="87">
        <f>SUMIFS(DuLieu!$K$3:$K$11921,DuLieu!$B$3:$B$101921,$A55,DuLieu!$T$3:$T$101921,"&gt;=1", DuLieu!$T$3:$T$101921,"&lt;=7",DuLieu!$U$3:$U$101921,$R55)</f>
        <v/>
      </c>
      <c r="E55" s="87">
        <f>IF(C55&gt;=D55,C55-D55,0)</f>
        <v/>
      </c>
      <c r="F55" s="65" t="n">
        <v>16</v>
      </c>
      <c r="G55" s="87">
        <f>SUMIFS(DuLieu!$K$3:$K$11921,DuLieu!$B$3:$B$101921,$A55,DuLieu!$T$3:$T$101921,"&gt;=8", DuLieu!$T$3:$T$101921,"&lt;=14",DuLieu!$U$3:$U$101921,$R55)</f>
        <v/>
      </c>
      <c r="H55" s="87">
        <f>IF(F55&gt;=G55,F55-G55,0)</f>
        <v/>
      </c>
      <c r="I55" s="78" t="n">
        <v>15</v>
      </c>
      <c r="J55" s="86">
        <f>SUMIFS(DuLieu!$K$3:$K$11921,DuLieu!$B$3:$B$101921,$A55,DuLieu!$T$3:$T$101921,"&gt;=15", DuLieu!$T$3:$T$101921,"&lt;=21",DuLieu!$U$3:$U$101921,$R55)</f>
        <v/>
      </c>
      <c r="K55" s="87">
        <f>IF(I55&gt;=J55,I55-J55,0)</f>
        <v/>
      </c>
      <c r="L55" s="68" t="n">
        <v>15</v>
      </c>
      <c r="M55" s="87">
        <f>SUMIFS(DuLieu!$D$3:$D$101921,DuLieu!$B$3:$B$101921,$A55,DuLieu!$T$3:$T$101921,"&gt;=1", DuLieu!$T$3:$T$101921,"&lt;=7",DuLieu!$U$3:$U$101921,$R55)</f>
        <v/>
      </c>
      <c r="N55" s="87">
        <f>IF(L55&gt;=M55,L55-M55,0)</f>
        <v/>
      </c>
      <c r="O55" s="87" t="n">
        <v>150</v>
      </c>
      <c r="P55" s="87">
        <f>$D55+$G55+$J55+$M55</f>
        <v/>
      </c>
      <c r="Q55" s="87">
        <f>IF(O55&gt;=P55,O55-P55,0)</f>
        <v/>
      </c>
      <c r="R55" s="77" t="n">
        <v>11</v>
      </c>
      <c r="S55" s="91" t="n"/>
      <c r="T55" s="91" t="n"/>
      <c r="U55" s="91" t="n"/>
      <c r="V55" s="91" t="n"/>
      <c r="W55" s="91" t="n"/>
      <c r="X55" s="91" t="n"/>
      <c r="Y55" s="91" t="n"/>
      <c r="Z55" s="91" t="n"/>
      <c r="AA55" s="91" t="n"/>
    </row>
    <row r="56">
      <c r="A56" s="114" t="inlineStr">
        <is>
          <t>Đặng Hoài Anh</t>
        </is>
      </c>
      <c r="B56" s="58" t="inlineStr">
        <is>
          <t>Phiếu GHTT tháng T+1</t>
        </is>
      </c>
      <c r="C56" s="68" t="n">
        <v>3</v>
      </c>
      <c r="D56" s="87">
        <f>SUMIFS(DuLieu!$L$3:$L$11921,DuLieu!$B$3:$B$101921,$A56,DuLieu!$T$3:$T$101921,"&gt;=1", DuLieu!$T$3:$T$101921,"&lt;=7",DuLieu!$U$3:$U$101921,$R56)</f>
        <v/>
      </c>
      <c r="E56" s="87">
        <f>IF(C56&gt;=D56,C56-D56,0)</f>
        <v/>
      </c>
      <c r="F56" s="65" t="n">
        <v>2</v>
      </c>
      <c r="G56" s="87">
        <f>SUMIFS(DuLieu!$L$3:$L$11921,DuLieu!$B$3:$B$101921,$A56,DuLieu!$T$3:$T$101921,"&gt;=8", DuLieu!$T$3:$T$101921,"&lt;=14",DuLieu!$U$3:$U$101921,$R56)</f>
        <v/>
      </c>
      <c r="H56" s="87">
        <f>IF(F56&gt;=G56,F56-G56,0)</f>
        <v/>
      </c>
      <c r="I56" s="72" t="n"/>
      <c r="J56" s="86">
        <f>SUMIFS(DuLieu!$L$3:$L$11921,DuLieu!$B$3:$B$101921,$A56,DuLieu!$T$3:$T$101921,"&gt;=15", DuLieu!$T$3:$T$101921,"&lt;=21",DuLieu!$U$3:$U$101921,$R56)</f>
        <v/>
      </c>
      <c r="K56" s="87">
        <f>IF(I56&gt;=J56,I56-J56,0)</f>
        <v/>
      </c>
      <c r="L56" s="73" t="n"/>
      <c r="M56" s="87">
        <f>SUMIFS(DuLieu!$D$3:$D$101921,DuLieu!$B$3:$B$101921,$A56,DuLieu!$T$3:$T$101921,"&gt;=1", DuLieu!$T$3:$T$101921,"&lt;=7",DuLieu!$U$3:$U$101921,$R56)</f>
        <v/>
      </c>
      <c r="N56" s="87">
        <f>IF(L56&gt;=M56,L56-M56,0)</f>
        <v/>
      </c>
      <c r="O56" s="87" t="n">
        <v>1</v>
      </c>
      <c r="P56" s="87">
        <f>$D56+$G56+$J56+$M56</f>
        <v/>
      </c>
      <c r="Q56" s="87">
        <f>IF(O56&gt;=P56,O56-P56,0)</f>
        <v/>
      </c>
      <c r="R56" s="77" t="n">
        <v>11</v>
      </c>
      <c r="S56" s="91" t="n"/>
      <c r="T56" s="91" t="n"/>
      <c r="U56" s="91" t="n"/>
      <c r="V56" s="91" t="n"/>
      <c r="W56" s="91" t="n"/>
      <c r="X56" s="91" t="n"/>
      <c r="Y56" s="91" t="n"/>
      <c r="Z56" s="91" t="n"/>
      <c r="AA56" s="91" t="n"/>
    </row>
    <row r="57">
      <c r="A57" s="114" t="inlineStr">
        <is>
          <t>Vòng Nhật Sang</t>
        </is>
      </c>
      <c r="B57" s="48" t="inlineStr">
        <is>
          <t>Tiếp thị DV Fiber</t>
        </is>
      </c>
      <c r="C57" s="68" t="n">
        <v>2</v>
      </c>
      <c r="D57" s="81">
        <f>SUMIFS(DuLieu!$D$3:$D$11921,DuLieu!$B$3:$B$101921,$A57,DuLieu!$T$3:$T$101921,"&gt;=1", DuLieu!$T$3:$T$101921,"&lt;=7",DuLieu!$U$3:$U$101921,$R57)</f>
        <v/>
      </c>
      <c r="E57" s="85">
        <f>IF(C57&gt;=D57,C57-D57,0)</f>
        <v/>
      </c>
      <c r="F57" s="65" t="n">
        <v>2</v>
      </c>
      <c r="G57" s="85">
        <f>SUMIFS(DuLieu!$D$3:$D$11921,DuLieu!$B$3:$B$101921,$A57,DuLieu!$T$3:$T$101921,"&gt;=8", DuLieu!$T$3:$T$101921,"&lt;=14",DuLieu!$U$3:$U$101921,$R57)</f>
        <v/>
      </c>
      <c r="H57" s="85">
        <f>IF(F57&gt;=G57,F57-G57,0)</f>
        <v/>
      </c>
      <c r="I57" s="78" t="n">
        <v>2</v>
      </c>
      <c r="J57" s="81">
        <f>SUMIFS(DuLieu!$D$3:$D$11921,DuLieu!$B$3:$B$101921,$A57,DuLieu!$T$3:$T$101921,"&gt;=15", DuLieu!$T$3:$T$101921,"&lt;=21",DuLieu!$U$3:$U$101921,$R57)</f>
        <v/>
      </c>
      <c r="K57" s="85">
        <f>IF(I57&gt;=J57,I57-J57,0)</f>
        <v/>
      </c>
      <c r="L57" s="68" t="n">
        <v>2</v>
      </c>
      <c r="M57" s="81">
        <f>SUMIFS(DuLieu!$D$3:$D$101921,DuLieu!$B$3:$B$101921,$A57,DuLieu!$T$3:$T$101921,"&gt;=1", DuLieu!$T$3:$T$101921,"&lt;=7",DuLieu!$U$3:$U$101921,$R57)</f>
        <v/>
      </c>
      <c r="N57" s="85">
        <f>IF(L57&gt;=M57,L57-M57,0)</f>
        <v/>
      </c>
      <c r="O57" s="85" t="n">
        <v>4</v>
      </c>
      <c r="P57" s="81">
        <f>$D57+$G57+$J57+$M57</f>
        <v/>
      </c>
      <c r="Q57" s="85">
        <f>IF(O57&gt;=P57,O57-P57,0)</f>
        <v/>
      </c>
      <c r="R57" s="80" t="n">
        <v>11</v>
      </c>
      <c r="S57" s="91" t="n"/>
      <c r="T57" s="91" t="n"/>
      <c r="U57" s="91" t="n"/>
      <c r="V57" s="91" t="n"/>
      <c r="W57" s="91" t="n"/>
      <c r="X57" s="91" t="n"/>
      <c r="Y57" s="91" t="n"/>
      <c r="Z57" s="91" t="n"/>
      <c r="AA57" s="91" t="n"/>
    </row>
    <row r="58">
      <c r="A58" s="114" t="inlineStr">
        <is>
          <t>Vòng Nhật Sang</t>
        </is>
      </c>
      <c r="B58" s="48" t="inlineStr">
        <is>
          <t>Tiếp thị DV MyTV</t>
        </is>
      </c>
      <c r="C58" s="68" t="n">
        <v>2</v>
      </c>
      <c r="D58" s="81">
        <f>SUMIFS(DuLieu!$E$3:$E$11921,DuLieu!$B$3:$B$101921,$A58,DuLieu!$T$3:$T$101921,"&gt;=1", DuLieu!$T$3:$T$101921,"&lt;=7",DuLieu!$U$3:$U$101921,$R58)</f>
        <v/>
      </c>
      <c r="E58" s="85">
        <f>IF(C58&gt;=D58,C58-D58,0)</f>
        <v/>
      </c>
      <c r="F58" s="65" t="n">
        <v>2</v>
      </c>
      <c r="G58" s="85">
        <f>SUMIFS(DuLieu!$E$3:$E$11921,DuLieu!$B$3:$B$101921,$A58,DuLieu!$T$3:$T$101921,"&gt;=8", DuLieu!$T$3:$T$101921,"&lt;=14",DuLieu!$U$3:$U$101921,$R58)</f>
        <v/>
      </c>
      <c r="H58" s="85">
        <f>IF(F58&gt;=G58,F58-G58,0)</f>
        <v/>
      </c>
      <c r="I58" s="78" t="n">
        <v>2</v>
      </c>
      <c r="J58" s="81">
        <f>SUMIFS(DuLieu!$E$3:$E$11921,DuLieu!$B$3:$B$101921,$A58,DuLieu!$T$3:$T$101921,"&gt;=15", DuLieu!$T$3:$T$101921,"&lt;=21",DuLieu!$U$3:$U$101921,$R58)</f>
        <v/>
      </c>
      <c r="K58" s="85">
        <f>IF(I58&gt;=J58,I58-J58,0)</f>
        <v/>
      </c>
      <c r="L58" s="68" t="n">
        <v>1</v>
      </c>
      <c r="M58" s="81">
        <f>SUMIFS(DuLieu!$D$3:$D$101921,DuLieu!$B$3:$B$101921,$A58,DuLieu!$T$3:$T$101921,"&gt;=1", DuLieu!$T$3:$T$101921,"&lt;=7",DuLieu!$U$3:$U$101921,$R58)</f>
        <v/>
      </c>
      <c r="N58" s="85">
        <f>IF(L58&gt;=M58,L58-M58,0)</f>
        <v/>
      </c>
      <c r="O58" s="85" t="n">
        <v>5</v>
      </c>
      <c r="P58" s="81">
        <f>$D58+$G58+$J58+$M58</f>
        <v/>
      </c>
      <c r="Q58" s="85">
        <f>IF(O58&gt;=P58,O58-P58,0)</f>
        <v/>
      </c>
      <c r="R58" s="80" t="n">
        <v>11</v>
      </c>
      <c r="S58" s="91" t="n"/>
      <c r="T58" s="91" t="n"/>
      <c r="U58" s="91" t="n"/>
      <c r="V58" s="91" t="n"/>
      <c r="W58" s="91" t="n"/>
      <c r="X58" s="91" t="n"/>
      <c r="Y58" s="91" t="n"/>
      <c r="Z58" s="91" t="n"/>
      <c r="AA58" s="91" t="n"/>
    </row>
    <row r="59">
      <c r="A59" s="114" t="inlineStr">
        <is>
          <t>Vòng Nhật Sang</t>
        </is>
      </c>
      <c r="B59" s="48" t="inlineStr">
        <is>
          <t>Tiếp thị DV Camera/Mesh</t>
        </is>
      </c>
      <c r="C59" s="68" t="n">
        <v>1</v>
      </c>
      <c r="D59" s="81">
        <f>SUMIFS(DuLieu!$F$3:$F$11921,DuLieu!$B$3:$B$101921,$A59,DuLieu!$T$3:$T$101921,"&gt;=1", DuLieu!$T$3:$T$101921,"&lt;=7",DuLieu!$U$3:$U$101921,$R59)</f>
        <v/>
      </c>
      <c r="E59" s="85">
        <f>IF(C59&gt;=D59,C59-D59,0)</f>
        <v/>
      </c>
      <c r="F59" s="65" t="n">
        <v>1</v>
      </c>
      <c r="G59" s="85">
        <f>SUMIFS(DuLieu!$F$3:$F$11921,DuLieu!$B$3:$B$101921,$A59,DuLieu!$T$3:$T$101921,"&gt;=8", DuLieu!$T$3:$T$101921,"&lt;=14",DuLieu!$U$3:$U$101921,$R59)</f>
        <v/>
      </c>
      <c r="H59" s="85">
        <f>IF(F59&gt;=G59,F59-G59,0)</f>
        <v/>
      </c>
      <c r="I59" s="78" t="n">
        <v>1</v>
      </c>
      <c r="J59" s="81">
        <f>SUMIFS(DuLieu!$F$3:$F$11921,DuLieu!$B$3:$B$101921,$A59,DuLieu!$T$3:$T$101921,"&gt;=15", DuLieu!$T$3:$T$101921,"&lt;=21",DuLieu!$U$3:$U$101921,$R59)</f>
        <v/>
      </c>
      <c r="K59" s="85">
        <f>IF(I59&gt;=J59,I59-J59,0)</f>
        <v/>
      </c>
      <c r="L59" s="73" t="n">
        <v>0</v>
      </c>
      <c r="M59" s="81">
        <f>SUMIFS(DuLieu!$D$3:$D$101921,DuLieu!$B$3:$B$101921,$A59,DuLieu!$T$3:$T$101921,"&gt;=1", DuLieu!$T$3:$T$101921,"&lt;=7",DuLieu!$U$3:$U$101921,$R59)</f>
        <v/>
      </c>
      <c r="N59" s="85">
        <f>IF(L59&gt;=M59,L59-M59,0)</f>
        <v/>
      </c>
      <c r="O59" s="85" t="n">
        <v>6</v>
      </c>
      <c r="P59" s="81">
        <f>$D59+$G59+$J59+$M59</f>
        <v/>
      </c>
      <c r="Q59" s="85">
        <f>IF(O59&gt;=P59,O59-P59,0)</f>
        <v/>
      </c>
      <c r="R59" s="80" t="n">
        <v>11</v>
      </c>
      <c r="S59" s="91" t="n"/>
      <c r="T59" s="91" t="n"/>
      <c r="U59" s="91" t="n"/>
      <c r="V59" s="91" t="n"/>
      <c r="W59" s="91" t="n"/>
      <c r="X59" s="91" t="n"/>
      <c r="Y59" s="91" t="n"/>
      <c r="Z59" s="91" t="n"/>
      <c r="AA59" s="91" t="n"/>
    </row>
    <row r="60">
      <c r="A60" s="114" t="inlineStr">
        <is>
          <t>Vòng Nhật Sang</t>
        </is>
      </c>
      <c r="B60" s="48" t="inlineStr">
        <is>
          <t>Tạm ngưng Fiber</t>
        </is>
      </c>
      <c r="C60" s="73" t="n">
        <v>2</v>
      </c>
      <c r="D60" s="81" t="n">
        <v>1</v>
      </c>
      <c r="E60" s="85">
        <f>IF(C60&gt;=D60,C60-D60,0)</f>
        <v/>
      </c>
      <c r="F60" s="70" t="n">
        <v>2</v>
      </c>
      <c r="G60" s="85">
        <f>SUMIFS(DuLieu!$G$3:$G$11921,DuLieu!$B$3:$B$101921,D60,DuLieu!$T$3:$T$101921,"&gt;=8", DuLieu!$T$3:$T$101921,"&lt;=14",DuLieu!$U$3:$U$101921,$R60)</f>
        <v/>
      </c>
      <c r="H60" s="85">
        <f>IF(F60&gt;=G60,F60-G60,0)</f>
        <v/>
      </c>
      <c r="I60" s="72" t="n">
        <v>1</v>
      </c>
      <c r="J60" s="81">
        <f>SUMIFS(DuLieu!$G$3:$G$11921,DuLieu!$B$3:$B$101921,$A60,DuLieu!$T$3:$T$101921,"&gt;=15", DuLieu!$T$3:$T$101921,"&lt;=21",DuLieu!$U$3:$U$101921,$R60)</f>
        <v/>
      </c>
      <c r="K60" s="85">
        <f>IF(I60&gt;=J60,I60-J60,0)</f>
        <v/>
      </c>
      <c r="L60" s="73" t="n">
        <v>1</v>
      </c>
      <c r="M60" s="81">
        <f>SUMIFS(DuLieu!$D$3:$D$101921,DuLieu!$B$3:$B$101921,$A60,DuLieu!$T$3:$T$101921,"&gt;=1", DuLieu!$T$3:$T$101921,"&lt;=7",DuLieu!$U$3:$U$101921,$R60)</f>
        <v/>
      </c>
      <c r="N60" s="85">
        <f>IF(L60&gt;=M60,L60-M60,0)</f>
        <v/>
      </c>
      <c r="O60" s="85" t="n">
        <v>4</v>
      </c>
      <c r="P60" s="81">
        <f>$D60+$G60+$J60+$M60</f>
        <v/>
      </c>
      <c r="Q60" s="85">
        <f>IF(O60&gt;=P60,O60-P60,0)</f>
        <v/>
      </c>
      <c r="R60" s="80" t="n">
        <v>11</v>
      </c>
      <c r="S60" s="91" t="n"/>
      <c r="T60" s="91" t="n"/>
      <c r="U60" s="91" t="n"/>
      <c r="V60" s="91" t="n"/>
      <c r="W60" s="91" t="n"/>
      <c r="X60" s="91" t="n"/>
      <c r="Y60" s="91" t="n"/>
      <c r="Z60" s="91" t="n"/>
      <c r="AA60" s="91" t="n"/>
    </row>
    <row r="61">
      <c r="A61" s="114" t="inlineStr">
        <is>
          <t>Vòng Nhật Sang</t>
        </is>
      </c>
      <c r="B61" s="48" t="inlineStr">
        <is>
          <t>Tạm ngưng Mytv</t>
        </is>
      </c>
      <c r="C61" s="73" t="n">
        <v>2</v>
      </c>
      <c r="D61" s="81">
        <f>SUMIFS(DuLieu!$H$3:$H$11921,DuLieu!$B$3:$B$101921,$A61,DuLieu!$T$3:$T$101921,"&gt;=1", DuLieu!$T$3:$T$101921,"&lt;=7",DuLieu!$U$3:$U$101921,$R61)</f>
        <v/>
      </c>
      <c r="E61" s="85">
        <f>IF(C61&gt;=D61,C61-D61,0)</f>
        <v/>
      </c>
      <c r="F61" s="59" t="n"/>
      <c r="G61" s="85">
        <f>SUMIFS(DuLieu!$H$3:$H$11921,DuLieu!$B$3:$B$101921,$A61,DuLieu!$T$3:$T$101921,"&gt;=8", DuLieu!$T$3:$T$101921,"&lt;=14",DuLieu!$U$3:$U$101921,$R61)</f>
        <v/>
      </c>
      <c r="H61" s="85">
        <f>IF(F61&gt;=G61,F61-G61,0)</f>
        <v/>
      </c>
      <c r="I61" s="72" t="n"/>
      <c r="J61" s="81">
        <f>SUMIFS(DuLieu!$H$3:$H$11921,DuLieu!$B$3:$B$101921,$A61,DuLieu!$T$3:$T$101921,"&gt;=15", DuLieu!$T$3:$T$101921,"&lt;=21",DuLieu!$U$3:$U$101921,$R61)</f>
        <v/>
      </c>
      <c r="K61" s="85">
        <f>IF(I61&gt;=J61,I61-J61,0)</f>
        <v/>
      </c>
      <c r="L61" s="73" t="n"/>
      <c r="M61" s="81">
        <f>SUMIFS(DuLieu!$D$3:$D$101921,DuLieu!$B$3:$B$101921,$A61,DuLieu!$T$3:$T$101921,"&gt;=1", DuLieu!$T$3:$T$101921,"&lt;=7",DuLieu!$U$3:$U$101921,$R61)</f>
        <v/>
      </c>
      <c r="N61" s="85">
        <f>IF(L61&gt;=M61,L61-M61,0)</f>
        <v/>
      </c>
      <c r="O61" s="85" t="n">
        <v>2</v>
      </c>
      <c r="P61" s="81">
        <f>$D61+$G61+$J61+$M61</f>
        <v/>
      </c>
      <c r="Q61" s="85">
        <f>IF(O61&gt;=P61,O61-P61,0)</f>
        <v/>
      </c>
      <c r="R61" s="80" t="n">
        <v>11</v>
      </c>
      <c r="S61" s="91" t="n"/>
      <c r="T61" s="91" t="n"/>
      <c r="U61" s="91" t="n"/>
      <c r="V61" s="91" t="n"/>
      <c r="W61" s="91" t="n"/>
      <c r="X61" s="91" t="n"/>
      <c r="Y61" s="91" t="n"/>
      <c r="Z61" s="91" t="n"/>
      <c r="AA61" s="91" t="n"/>
    </row>
    <row r="62">
      <c r="A62" s="114" t="inlineStr">
        <is>
          <t>Vòng Nhật Sang</t>
        </is>
      </c>
      <c r="B62" s="48" t="inlineStr">
        <is>
          <t>Thay thế ONT 2 băng tần</t>
        </is>
      </c>
      <c r="C62" s="73" t="n">
        <v>10</v>
      </c>
      <c r="D62" s="81">
        <f>SUMIFS(DuLieu!$I$3:$I$11921,DuLieu!$B$3:$B$101921,$A62,DuLieu!$T$3:$T$101921,"&gt;=1", DuLieu!$T$3:$T$101921,"&lt;=7",DuLieu!$U$3:$U$101921,$R62)</f>
        <v/>
      </c>
      <c r="E62" s="85">
        <f>IF(C62&gt;=D62,C62-D62,0)</f>
        <v/>
      </c>
      <c r="F62" s="70" t="n">
        <v>10</v>
      </c>
      <c r="G62" s="85">
        <f>SUMIFS(DuLieu!$I$3:$I$11921,DuLieu!$B$3:$B$101921,$A62,DuLieu!$T$3:$T$101921,"&gt;=8", DuLieu!$T$3:$T$101921,"&lt;=14",DuLieu!$U$3:$U$101921,$R62)</f>
        <v/>
      </c>
      <c r="H62" s="85">
        <f>IF(F62&gt;=G62,F62-G62,0)</f>
        <v/>
      </c>
      <c r="I62" s="72" t="n">
        <v>10</v>
      </c>
      <c r="J62" s="81">
        <f>SUMIFS(DuLieu!$I$3:$I$11921,DuLieu!$B$3:$B$101921,$A62,DuLieu!$T$3:$T$101921,"&gt;=15", DuLieu!$T$3:$T$101921,"&lt;=21",DuLieu!$U$3:$U$101921,$R62)</f>
        <v/>
      </c>
      <c r="K62" s="85">
        <f>IF(I62&gt;=J62,I62-J62,0)</f>
        <v/>
      </c>
      <c r="L62" s="73" t="n">
        <v>10</v>
      </c>
      <c r="M62" s="81">
        <f>SUMIFS(DuLieu!$D$3:$D$101921,DuLieu!$B$3:$B$101921,$A62,DuLieu!$T$3:$T$101921,"&gt;=1", DuLieu!$T$3:$T$101921,"&lt;=7",DuLieu!$U$3:$U$101921,$R62)</f>
        <v/>
      </c>
      <c r="N62" s="85">
        <f>IF(L62&gt;=M62,L62-M62,0)</f>
        <v/>
      </c>
      <c r="O62" s="85" t="n">
        <v>40</v>
      </c>
      <c r="P62" s="81">
        <f>$D62+$G62+$J62+$M62</f>
        <v/>
      </c>
      <c r="Q62" s="85">
        <f>IF(O62&gt;=P62,O62-P62,0)</f>
        <v/>
      </c>
      <c r="R62" s="80" t="n">
        <v>11</v>
      </c>
      <c r="S62" s="91" t="n"/>
      <c r="T62" s="91" t="n"/>
      <c r="U62" s="91" t="n"/>
      <c r="V62" s="91" t="n"/>
      <c r="W62" s="91" t="n"/>
      <c r="X62" s="91" t="n"/>
      <c r="Y62" s="91" t="n"/>
      <c r="Z62" s="91" t="n"/>
      <c r="AA62" s="91" t="n"/>
    </row>
    <row r="63">
      <c r="A63" s="114" t="inlineStr">
        <is>
          <t>Vòng Nhật Sang</t>
        </is>
      </c>
      <c r="B63" s="48" t="inlineStr">
        <is>
          <t>CSKH HVC chuyển XGSPON</t>
        </is>
      </c>
      <c r="C63" s="73" t="n"/>
      <c r="D63" s="81">
        <f>SUMIFS(DuLieu!$J$3:$J$11921,DuLieu!$B$3:$B$101921,$A63,DuLieu!$T$3:$T$101921,"&gt;=1", DuLieu!$T$3:$T$101921,"&lt;=7",DuLieu!$U$3:$U$101921,$R63)</f>
        <v/>
      </c>
      <c r="E63" s="85">
        <f>IF(C63&gt;=D63,C63-D63,0)</f>
        <v/>
      </c>
      <c r="F63" s="59" t="n"/>
      <c r="G63" s="85">
        <f>SUMIFS(DuLieu!$J$3:$J$11921,DuLieu!$B$3:$B$101921,$A63,DuLieu!$T$3:$T$101921,"&gt;=8", DuLieu!$T$3:$T$101921,"&lt;=14",DuLieu!$U$3:$U$101921,$R63)</f>
        <v/>
      </c>
      <c r="H63" s="85">
        <f>IF(F63&gt;=G63,F63-G63,0)</f>
        <v/>
      </c>
      <c r="I63" s="72" t="n"/>
      <c r="J63" s="81">
        <f>SUMIFS(DuLieu!$J$3:$J$11921,DuLieu!$B$3:$B$101921,$A63,DuLieu!$T$3:$T$101921,"&gt;=15", DuLieu!$T$3:$T$101921,"&lt;=21",DuLieu!$U$3:$U$101921,$R63)</f>
        <v/>
      </c>
      <c r="K63" s="85">
        <f>IF(I63&gt;=J63,I63-J63,0)</f>
        <v/>
      </c>
      <c r="L63" s="73" t="n"/>
      <c r="M63" s="81">
        <f>SUMIFS(DuLieu!$D$3:$D$101921,DuLieu!$B$3:$B$101921,$A63,DuLieu!$T$3:$T$101921,"&gt;=1", DuLieu!$T$3:$T$101921,"&lt;=7",DuLieu!$U$3:$U$101921,$R63)</f>
        <v/>
      </c>
      <c r="N63" s="85">
        <f>IF(L63&gt;=M63,L63-M63,0)</f>
        <v/>
      </c>
      <c r="O63" s="85" t="n">
        <v>20</v>
      </c>
      <c r="P63" s="81">
        <f>$D63+$G63+$J63+$M63</f>
        <v/>
      </c>
      <c r="Q63" s="85">
        <f>IF(O63&gt;=P63,O63-P63,0)</f>
        <v/>
      </c>
      <c r="R63" s="80" t="n">
        <v>11</v>
      </c>
      <c r="S63" s="91" t="n"/>
      <c r="T63" s="91" t="n"/>
      <c r="U63" s="91" t="n"/>
      <c r="V63" s="91" t="n"/>
      <c r="W63" s="91" t="n"/>
      <c r="X63" s="91" t="n"/>
      <c r="Y63" s="91" t="n"/>
      <c r="Z63" s="91" t="n"/>
      <c r="AA63" s="91" t="n"/>
    </row>
    <row r="64">
      <c r="A64" s="114" t="inlineStr">
        <is>
          <t>Vòng Nhật Sang</t>
        </is>
      </c>
      <c r="B64" s="48" t="inlineStr">
        <is>
          <t>Phiếu GHTT tháng T</t>
        </is>
      </c>
      <c r="C64" s="68" t="n">
        <v>80</v>
      </c>
      <c r="D64" s="81">
        <f>SUMIFS(DuLieu!$K$3:$K$11921,DuLieu!$B$3:$B$101921,$A64,DuLieu!$T$3:$T$101921,"&gt;=1", DuLieu!$T$3:$T$101921,"&lt;=7",DuLieu!$U$3:$U$101921,$R64)</f>
        <v/>
      </c>
      <c r="E64" s="85">
        <f>IF(C64&gt;=D64,C64-D64,0)</f>
        <v/>
      </c>
      <c r="F64" s="65" t="n">
        <v>80</v>
      </c>
      <c r="G64" s="85">
        <f>SUMIFS(DuLieu!$K$3:$K$11921,DuLieu!$B$3:$B$101921,$A64,DuLieu!$T$3:$T$101921,"&gt;=8", DuLieu!$T$3:$T$101921,"&lt;=14",DuLieu!$U$3:$U$101921,$R64)</f>
        <v/>
      </c>
      <c r="H64" s="85">
        <f>IF(F64&gt;=G64,F64-G64,0)</f>
        <v/>
      </c>
      <c r="I64" s="78" t="n">
        <v>80</v>
      </c>
      <c r="J64" s="81">
        <f>SUMIFS(DuLieu!$K$3:$K$11921,DuLieu!$B$3:$B$101921,$A64,DuLieu!$T$3:$T$101921,"&gt;=15", DuLieu!$T$3:$T$101921,"&lt;=21",DuLieu!$U$3:$U$101921,$R64)</f>
        <v/>
      </c>
      <c r="K64" s="85">
        <f>IF(I64&gt;=J64,I64-J64,0)</f>
        <v/>
      </c>
      <c r="L64" s="68" t="n">
        <v>78</v>
      </c>
      <c r="M64" s="81">
        <f>SUMIFS(DuLieu!$D$3:$D$101921,DuLieu!$B$3:$B$101921,$A64,DuLieu!$T$3:$T$101921,"&gt;=1", DuLieu!$T$3:$T$101921,"&lt;=7",DuLieu!$U$3:$U$101921,$R64)</f>
        <v/>
      </c>
      <c r="N64" s="85">
        <f>IF(L64&gt;=M64,L64-M64,0)</f>
        <v/>
      </c>
      <c r="O64" s="85" t="n">
        <v>150</v>
      </c>
      <c r="P64" s="81">
        <f>$D64+$G64+$J64+$M64</f>
        <v/>
      </c>
      <c r="Q64" s="85">
        <f>IF(O64&gt;=P64,O64-P64,0)</f>
        <v/>
      </c>
      <c r="R64" s="80" t="n">
        <v>11</v>
      </c>
      <c r="S64" s="91" t="n"/>
      <c r="T64" s="91" t="n"/>
      <c r="U64" s="91" t="n"/>
      <c r="V64" s="91" t="n"/>
      <c r="W64" s="91" t="n"/>
      <c r="X64" s="91" t="n"/>
      <c r="Y64" s="91" t="n"/>
      <c r="Z64" s="91" t="n"/>
      <c r="AA64" s="91" t="n"/>
    </row>
    <row r="65">
      <c r="A65" s="114" t="inlineStr">
        <is>
          <t>Vòng Nhật Sang</t>
        </is>
      </c>
      <c r="B65" s="48" t="inlineStr">
        <is>
          <t>Phiếu GHTT tháng T+1</t>
        </is>
      </c>
      <c r="C65" s="68" t="n">
        <v>6</v>
      </c>
      <c r="D65" s="81">
        <f>SUMIFS(DuLieu!$L$3:$L$11921,DuLieu!$B$3:$B$101921,$A65,DuLieu!$T$3:$T$101921,"&gt;=1", DuLieu!$T$3:$T$101921,"&lt;=7",DuLieu!$U$3:$U$101921,$R65)</f>
        <v/>
      </c>
      <c r="E65" s="85">
        <f>IF(C65&gt;=D65,C65-D65,0)</f>
        <v/>
      </c>
      <c r="F65" s="65" t="n">
        <v>6</v>
      </c>
      <c r="G65" s="85">
        <f>SUMIFS(DuLieu!$L$3:$L$11921,DuLieu!$B$3:$B$101921,$A65,DuLieu!$T$3:$T$101921,"&gt;=8", DuLieu!$T$3:$T$101921,"&lt;=14",DuLieu!$U$3:$U$101921,$R65)</f>
        <v/>
      </c>
      <c r="H65" s="85">
        <f>IF(F65&gt;=G65,F65-G65,0)</f>
        <v/>
      </c>
      <c r="I65" s="72" t="n">
        <v>6</v>
      </c>
      <c r="J65" s="81">
        <f>SUMIFS(DuLieu!$L$3:$L$11921,DuLieu!$B$3:$B$101921,$A65,DuLieu!$T$3:$T$101921,"&gt;=15", DuLieu!$T$3:$T$101921,"&lt;=21",DuLieu!$U$3:$U$101921,$R65)</f>
        <v/>
      </c>
      <c r="K65" s="85">
        <f>IF(I65&gt;=J65,I65-J65,0)</f>
        <v/>
      </c>
      <c r="L65" s="73" t="n">
        <v>5</v>
      </c>
      <c r="M65" s="81">
        <f>SUMIFS(DuLieu!$D$3:$D$101921,DuLieu!$B$3:$B$101921,$A65,DuLieu!$T$3:$T$101921,"&gt;=1", DuLieu!$T$3:$T$101921,"&lt;=7",DuLieu!$U$3:$U$101921,$R65)</f>
        <v/>
      </c>
      <c r="N65" s="85">
        <f>IF(L65&gt;=M65,L65-M65,0)</f>
        <v/>
      </c>
      <c r="O65" s="85" t="n">
        <v>1</v>
      </c>
      <c r="P65" s="81">
        <f>$D65+$G65+$J65+$M65</f>
        <v/>
      </c>
      <c r="Q65" s="85">
        <f>IF(O65&gt;=P65,O65-P65,0)</f>
        <v/>
      </c>
      <c r="R65" s="80" t="n">
        <v>11</v>
      </c>
      <c r="S65" s="91" t="n"/>
      <c r="T65" s="91" t="n"/>
      <c r="U65" s="91" t="n"/>
      <c r="V65" s="91" t="n"/>
      <c r="W65" s="91" t="n"/>
      <c r="X65" s="91" t="n"/>
      <c r="Y65" s="91" t="n"/>
      <c r="Z65" s="91" t="n"/>
      <c r="AA65" s="91" t="n"/>
    </row>
    <row r="66">
      <c r="A66" s="114" t="inlineStr">
        <is>
          <t>Dương Minh Tiến</t>
        </is>
      </c>
      <c r="B66" s="58" t="inlineStr">
        <is>
          <t>Tiếp thị DV Fiber</t>
        </is>
      </c>
      <c r="C66" s="68" t="n">
        <v>2</v>
      </c>
      <c r="D66" s="87">
        <f>SUMIFS(DuLieu!$D$3:$D$11921,DuLieu!$B$3:$B$101921,$A66,DuLieu!$T$3:$T$101921,"&gt;=1", DuLieu!$T$3:$T$101921,"&lt;=7",DuLieu!$U$3:$U$101921,$R66)</f>
        <v/>
      </c>
      <c r="E66" s="87">
        <f>IF(C66&gt;=D66,C66-D66,0)</f>
        <v/>
      </c>
      <c r="F66" s="65" t="n">
        <v>2</v>
      </c>
      <c r="G66" s="87">
        <f>SUMIFS(DuLieu!$D$3:$D$11921,DuLieu!$B$3:$B$101921,$A66,DuLieu!$T$3:$T$101921,"&gt;=8", DuLieu!$T$3:$T$101921,"&lt;=14",DuLieu!$U$3:$U$101921,$R66)</f>
        <v/>
      </c>
      <c r="H66" s="87">
        <f>IF(F66&gt;=G66,F66-G66,0)</f>
        <v/>
      </c>
      <c r="I66" s="78" t="n">
        <v>2</v>
      </c>
      <c r="J66" s="86">
        <f>SUMIFS(DuLieu!$D$3:$D$11921,DuLieu!$B$3:$B$101921,$A66,DuLieu!$T$3:$T$101921,"&gt;=15", DuLieu!$T$3:$T$101921,"&lt;=21",DuLieu!$U$3:$U$101921,$R66)</f>
        <v/>
      </c>
      <c r="K66" s="87">
        <f>IF(I66&gt;=J66,I66-J66,0)</f>
        <v/>
      </c>
      <c r="L66" s="68" t="n">
        <v>2</v>
      </c>
      <c r="M66" s="87">
        <f>SUMIFS(DuLieu!$D$3:$D$101921,DuLieu!$B$3:$B$101921,$A66,DuLieu!$T$3:$T$101921,"&gt;=1", DuLieu!$T$3:$T$101921,"&lt;=7",DuLieu!$U$3:$U$101921,$R66)</f>
        <v/>
      </c>
      <c r="N66" s="87">
        <f>IF(L66&gt;=M66,L66-M66,0)</f>
        <v/>
      </c>
      <c r="O66" s="87" t="n">
        <v>4</v>
      </c>
      <c r="P66" s="87">
        <f>$D66+$G66+$J66+$M66</f>
        <v/>
      </c>
      <c r="Q66" s="87">
        <f>IF(O66&gt;=P66,O66-P66,0)</f>
        <v/>
      </c>
      <c r="R66" s="77" t="n">
        <v>11</v>
      </c>
      <c r="S66" s="91" t="n"/>
      <c r="T66" s="91" t="n"/>
      <c r="U66" s="91" t="n"/>
      <c r="V66" s="91" t="n"/>
      <c r="W66" s="91" t="n"/>
      <c r="X66" s="91" t="n"/>
      <c r="Y66" s="91" t="n"/>
      <c r="Z66" s="91" t="n"/>
      <c r="AA66" s="91" t="n"/>
    </row>
    <row r="67">
      <c r="A67" s="114" t="inlineStr">
        <is>
          <t>Dương Minh Tiến</t>
        </is>
      </c>
      <c r="B67" s="58" t="inlineStr">
        <is>
          <t>Tiếp thị DV MyTV</t>
        </is>
      </c>
      <c r="C67" s="68" t="n">
        <v>2</v>
      </c>
      <c r="D67" s="87">
        <f>SUMIFS(DuLieu!$E$3:$E$11921,DuLieu!$B$3:$B$101921,$A67,DuLieu!$T$3:$T$101921,"&gt;=1", DuLieu!$T$3:$T$101921,"&lt;=7",DuLieu!$U$3:$U$101921,$R67)</f>
        <v/>
      </c>
      <c r="E67" s="87">
        <f>IF(C67&gt;=D67,C67-D67,0)</f>
        <v/>
      </c>
      <c r="F67" s="65" t="n">
        <v>1</v>
      </c>
      <c r="G67" s="87">
        <f>SUMIFS(DuLieu!$E$3:$E$11921,DuLieu!$B$3:$B$101921,$A67,DuLieu!$T$3:$T$101921,"&gt;=8", DuLieu!$T$3:$T$101921,"&lt;=14",DuLieu!$U$3:$U$101921,$R67)</f>
        <v/>
      </c>
      <c r="H67" s="87">
        <f>IF(F67&gt;=G67,F67-G67,0)</f>
        <v/>
      </c>
      <c r="I67" s="78" t="n">
        <v>2</v>
      </c>
      <c r="J67" s="86">
        <f>SUMIFS(DuLieu!$E$3:$E$11921,DuLieu!$B$3:$B$101921,$A67,DuLieu!$T$3:$T$101921,"&gt;=15", DuLieu!$T$3:$T$101921,"&lt;=21",DuLieu!$U$3:$U$101921,$R67)</f>
        <v/>
      </c>
      <c r="K67" s="87">
        <f>IF(I67&gt;=J67,I67-J67,0)</f>
        <v/>
      </c>
      <c r="L67" s="68" t="n">
        <v>1</v>
      </c>
      <c r="M67" s="87">
        <f>SUMIFS(DuLieu!$D$3:$D$101921,DuLieu!$B$3:$B$101921,$A67,DuLieu!$T$3:$T$101921,"&gt;=1", DuLieu!$T$3:$T$101921,"&lt;=7",DuLieu!$U$3:$U$101921,$R67)</f>
        <v/>
      </c>
      <c r="N67" s="87">
        <f>IF(L67&gt;=M67,L67-M67,0)</f>
        <v/>
      </c>
      <c r="O67" s="87" t="n">
        <v>5</v>
      </c>
      <c r="P67" s="87">
        <f>$D67+$G67+$J67+$M67</f>
        <v/>
      </c>
      <c r="Q67" s="87">
        <f>IF(O67&gt;=P67,O67-P67,0)</f>
        <v/>
      </c>
      <c r="R67" s="77" t="n">
        <v>11</v>
      </c>
      <c r="S67" s="91" t="n"/>
      <c r="T67" s="91" t="n"/>
      <c r="U67" s="91" t="n"/>
      <c r="V67" s="91" t="n"/>
      <c r="W67" s="91" t="n"/>
      <c r="X67" s="91" t="n"/>
      <c r="Y67" s="91" t="n"/>
      <c r="Z67" s="91" t="n"/>
      <c r="AA67" s="91" t="n"/>
    </row>
    <row r="68">
      <c r="A68" s="114" t="inlineStr">
        <is>
          <t>Dương Minh Tiến</t>
        </is>
      </c>
      <c r="B68" s="58" t="inlineStr">
        <is>
          <t>Tiếp thị DV Camera/Mesh</t>
        </is>
      </c>
      <c r="C68" s="68" t="n">
        <v>1</v>
      </c>
      <c r="D68" s="87">
        <f>SUMIFS(DuLieu!$F$3:$F$11921,DuLieu!$B$3:$B$101921,$A68,DuLieu!$T$3:$T$101921,"&gt;=1", DuLieu!$T$3:$T$101921,"&lt;=7",DuLieu!$U$3:$U$101921,$R68)</f>
        <v/>
      </c>
      <c r="E68" s="87">
        <f>IF(C68&gt;=D68,C68-D68,0)</f>
        <v/>
      </c>
      <c r="F68" s="65" t="n">
        <v>1</v>
      </c>
      <c r="G68" s="87">
        <f>SUMIFS(DuLieu!$F$3:$F$11921,DuLieu!$B$3:$B$101921,$A68,DuLieu!$T$3:$T$101921,"&gt;=8", DuLieu!$T$3:$T$101921,"&lt;=14",DuLieu!$U$3:$U$101921,$R68)</f>
        <v/>
      </c>
      <c r="H68" s="87">
        <f>IF(F68&gt;=G68,F68-G68,0)</f>
        <v/>
      </c>
      <c r="I68" s="78" t="n">
        <v>1</v>
      </c>
      <c r="J68" s="86">
        <f>SUMIFS(DuLieu!$F$3:$F$11921,DuLieu!$B$3:$B$101921,$A68,DuLieu!$T$3:$T$101921,"&gt;=15", DuLieu!$T$3:$T$101921,"&lt;=21",DuLieu!$U$3:$U$101921,$R68)</f>
        <v/>
      </c>
      <c r="K68" s="87">
        <f>IF(I68&gt;=J68,I68-J68,0)</f>
        <v/>
      </c>
      <c r="L68" s="73" t="n">
        <v>0</v>
      </c>
      <c r="M68" s="87">
        <f>SUMIFS(DuLieu!$D$3:$D$101921,DuLieu!$B$3:$B$101921,$A68,DuLieu!$T$3:$T$101921,"&gt;=1", DuLieu!$T$3:$T$101921,"&lt;=7",DuLieu!$U$3:$U$101921,$R68)</f>
        <v/>
      </c>
      <c r="N68" s="87">
        <f>IF(L68&gt;=M68,L68-M68,0)</f>
        <v/>
      </c>
      <c r="O68" s="87" t="n">
        <v>6</v>
      </c>
      <c r="P68" s="87">
        <f>$D68+$G68+$J68+$M68</f>
        <v/>
      </c>
      <c r="Q68" s="87">
        <f>IF(O68&gt;=P68,O68-P68,0)</f>
        <v/>
      </c>
      <c r="R68" s="77" t="n">
        <v>11</v>
      </c>
      <c r="S68" s="91" t="n"/>
      <c r="T68" s="91" t="n"/>
      <c r="U68" s="91" t="n"/>
      <c r="V68" s="91" t="n"/>
      <c r="W68" s="91" t="n"/>
      <c r="X68" s="91" t="n"/>
      <c r="Y68" s="91" t="n"/>
      <c r="Z68" s="91" t="n"/>
      <c r="AA68" s="91" t="n"/>
    </row>
    <row r="69">
      <c r="A69" s="114" t="inlineStr">
        <is>
          <t>Dương Minh Tiến</t>
        </is>
      </c>
      <c r="B69" s="58" t="inlineStr">
        <is>
          <t>Tạm ngưng Fiber</t>
        </is>
      </c>
      <c r="C69" s="73" t="n">
        <v>2</v>
      </c>
      <c r="D69" s="87">
        <f>SUMIFS(DuLieu!$G$3:$G$11921,DuLieu!$B$3:$B$101921,$A69,DuLieu!$T$3:$T$101921,"&gt;=1", DuLieu!$T$3:$T$101921,"&lt;=7",DuLieu!$U$3:$U$101921,$R69)</f>
        <v/>
      </c>
      <c r="E69" s="87">
        <f>IF(C69&gt;=D69,C69-D69,0)</f>
        <v/>
      </c>
      <c r="F69" s="70" t="n">
        <v>1</v>
      </c>
      <c r="G69" s="87">
        <f>SUMIFS(DuLieu!$G$3:$G$11921,DuLieu!$B$3:$B$101921,D69,DuLieu!$T$3:$T$101921,"&gt;=8", DuLieu!$T$3:$T$101921,"&lt;=14",DuLieu!$U$3:$U$101921,$R69)</f>
        <v/>
      </c>
      <c r="H69" s="87">
        <f>IF(F69&gt;=G69,F69-G69,0)</f>
        <v/>
      </c>
      <c r="I69" s="72" t="n">
        <v>1</v>
      </c>
      <c r="J69" s="86">
        <f>SUMIFS(DuLieu!$G$3:$G$11921,DuLieu!$B$3:$B$101921,$A69,DuLieu!$T$3:$T$101921,"&gt;=15", DuLieu!$T$3:$T$101921,"&lt;=21",DuLieu!$U$3:$U$101921,$R69)</f>
        <v/>
      </c>
      <c r="K69" s="87">
        <f>IF(I69&gt;=J69,I69-J69,0)</f>
        <v/>
      </c>
      <c r="L69" s="73" t="n">
        <v>1</v>
      </c>
      <c r="M69" s="87">
        <f>SUMIFS(DuLieu!$D$3:$D$101921,DuLieu!$B$3:$B$101921,$A69,DuLieu!$T$3:$T$101921,"&gt;=1", DuLieu!$T$3:$T$101921,"&lt;=7",DuLieu!$U$3:$U$101921,$R69)</f>
        <v/>
      </c>
      <c r="N69" s="87">
        <f>IF(L69&gt;=M69,L69-M69,0)</f>
        <v/>
      </c>
      <c r="O69" s="87" t="n">
        <v>4</v>
      </c>
      <c r="P69" s="87">
        <f>$D69+$G69+$J69+$M69</f>
        <v/>
      </c>
      <c r="Q69" s="87">
        <f>IF(O69&gt;=P69,O69-P69,0)</f>
        <v/>
      </c>
      <c r="R69" s="77" t="n">
        <v>11</v>
      </c>
      <c r="S69" s="91" t="n"/>
      <c r="T69" s="91" t="n"/>
      <c r="U69" s="91" t="n"/>
      <c r="V69" s="91" t="n"/>
      <c r="W69" s="91" t="n"/>
      <c r="X69" s="91" t="n"/>
      <c r="Y69" s="91" t="n"/>
      <c r="Z69" s="91" t="n"/>
      <c r="AA69" s="91" t="n"/>
    </row>
    <row r="70">
      <c r="A70" s="114" t="inlineStr">
        <is>
          <t>Dương Minh Tiến</t>
        </is>
      </c>
      <c r="B70" s="58" t="inlineStr">
        <is>
          <t>Tạm ngưng Mytv</t>
        </is>
      </c>
      <c r="C70" s="73" t="n">
        <v>2</v>
      </c>
      <c r="D70" s="87">
        <f>SUMIFS(DuLieu!$H$3:$H$11921,DuLieu!$B$3:$B$101921,$A70,DuLieu!$T$3:$T$101921,"&gt;=1", DuLieu!$T$3:$T$101921,"&lt;=7",DuLieu!$U$3:$U$101921,$R70)</f>
        <v/>
      </c>
      <c r="E70" s="87">
        <f>IF(C70&gt;=D70,C70-D70,0)</f>
        <v/>
      </c>
      <c r="F70" s="70" t="n">
        <v>1</v>
      </c>
      <c r="G70" s="87">
        <f>SUMIFS(DuLieu!$H$3:$H$11921,DuLieu!$B$3:$B$101921,$A70,DuLieu!$T$3:$T$101921,"&gt;=8", DuLieu!$T$3:$T$101921,"&lt;=14",DuLieu!$U$3:$U$101921,$R70)</f>
        <v/>
      </c>
      <c r="H70" s="87">
        <f>IF(F70&gt;=G70,F70-G70,0)</f>
        <v/>
      </c>
      <c r="I70" s="72" t="n">
        <v>1</v>
      </c>
      <c r="J70" s="86">
        <f>SUMIFS(DuLieu!$H$3:$H$11921,DuLieu!$B$3:$B$101921,$A70,DuLieu!$T$3:$T$101921,"&gt;=15", DuLieu!$T$3:$T$101921,"&lt;=21",DuLieu!$U$3:$U$101921,$R70)</f>
        <v/>
      </c>
      <c r="K70" s="87">
        <f>IF(I70&gt;=J70,I70-J70,0)</f>
        <v/>
      </c>
      <c r="L70" s="73" t="n">
        <v>1</v>
      </c>
      <c r="M70" s="87">
        <f>SUMIFS(DuLieu!$D$3:$D$101921,DuLieu!$B$3:$B$101921,$A70,DuLieu!$T$3:$T$101921,"&gt;=1", DuLieu!$T$3:$T$101921,"&lt;=7",DuLieu!$U$3:$U$101921,$R70)</f>
        <v/>
      </c>
      <c r="N70" s="87">
        <f>IF(L70&gt;=M70,L70-M70,0)</f>
        <v/>
      </c>
      <c r="O70" s="87" t="n">
        <v>2</v>
      </c>
      <c r="P70" s="87">
        <f>$D70+$G70+$J70+$M70</f>
        <v/>
      </c>
      <c r="Q70" s="87">
        <f>IF(O70&gt;=P70,O70-P70,0)</f>
        <v/>
      </c>
      <c r="R70" s="77" t="n">
        <v>11</v>
      </c>
      <c r="S70" s="91" t="n"/>
      <c r="T70" s="91" t="n"/>
      <c r="U70" s="91" t="n"/>
      <c r="V70" s="91" t="n"/>
      <c r="W70" s="91" t="n"/>
      <c r="X70" s="91" t="n"/>
      <c r="Y70" s="91" t="n"/>
      <c r="Z70" s="91" t="n"/>
      <c r="AA70" s="91" t="n"/>
    </row>
    <row r="71">
      <c r="A71" s="114" t="inlineStr">
        <is>
          <t>Dương Minh Tiến</t>
        </is>
      </c>
      <c r="B71" s="58" t="inlineStr">
        <is>
          <t>Thay thế ONT 2 băng tần</t>
        </is>
      </c>
      <c r="C71" s="73" t="n">
        <v>5</v>
      </c>
      <c r="D71" s="87">
        <f>SUMIFS(DuLieu!$I$3:$I$11921,DuLieu!$B$3:$B$101921,$A71,DuLieu!$T$3:$T$101921,"&gt;=1", DuLieu!$T$3:$T$101921,"&lt;=7",DuLieu!$U$3:$U$101921,$R71)</f>
        <v/>
      </c>
      <c r="E71" s="87">
        <f>IF(C71&gt;=D71,C71-D71,0)</f>
        <v/>
      </c>
      <c r="F71" s="70" t="n">
        <v>5</v>
      </c>
      <c r="G71" s="87">
        <f>SUMIFS(DuLieu!$I$3:$I$11921,DuLieu!$B$3:$B$101921,$A71,DuLieu!$T$3:$T$101921,"&gt;=8", DuLieu!$T$3:$T$101921,"&lt;=14",DuLieu!$U$3:$U$101921,$R71)</f>
        <v/>
      </c>
      <c r="H71" s="87">
        <f>IF(F71&gt;=G71,F71-G71,0)</f>
        <v/>
      </c>
      <c r="I71" s="72" t="n">
        <v>5</v>
      </c>
      <c r="J71" s="86">
        <f>SUMIFS(DuLieu!$I$3:$I$11921,DuLieu!$B$3:$B$101921,$A71,DuLieu!$T$3:$T$101921,"&gt;=15", DuLieu!$T$3:$T$101921,"&lt;=21",DuLieu!$U$3:$U$101921,$R71)</f>
        <v/>
      </c>
      <c r="K71" s="87">
        <f>IF(I71&gt;=J71,I71-J71,0)</f>
        <v/>
      </c>
      <c r="L71" s="73" t="n">
        <v>5</v>
      </c>
      <c r="M71" s="87">
        <f>SUMIFS(DuLieu!$D$3:$D$101921,DuLieu!$B$3:$B$101921,$A71,DuLieu!$T$3:$T$101921,"&gt;=1", DuLieu!$T$3:$T$101921,"&lt;=7",DuLieu!$U$3:$U$101921,$R71)</f>
        <v/>
      </c>
      <c r="N71" s="87">
        <f>IF(L71&gt;=M71,L71-M71,0)</f>
        <v/>
      </c>
      <c r="O71" s="87" t="n">
        <v>40</v>
      </c>
      <c r="P71" s="87">
        <f>$D71+$G71+$J71+$M71</f>
        <v/>
      </c>
      <c r="Q71" s="87">
        <f>IF(O71&gt;=P71,O71-P71,0)</f>
        <v/>
      </c>
      <c r="R71" s="77" t="n">
        <v>11</v>
      </c>
      <c r="S71" s="91" t="n"/>
      <c r="T71" s="91" t="n"/>
      <c r="U71" s="91" t="n"/>
      <c r="V71" s="91" t="n"/>
      <c r="W71" s="91" t="n"/>
      <c r="X71" s="91" t="n"/>
      <c r="Y71" s="91" t="n"/>
      <c r="Z71" s="91" t="n"/>
      <c r="AA71" s="91" t="n"/>
    </row>
    <row r="72">
      <c r="A72" s="114" t="inlineStr">
        <is>
          <t>Dương Minh Tiến</t>
        </is>
      </c>
      <c r="B72" s="58" t="inlineStr">
        <is>
          <t>CSKH HVC chuyển XGSPON</t>
        </is>
      </c>
      <c r="C72" s="73" t="n"/>
      <c r="D72" s="87">
        <f>SUMIFS(DuLieu!$J$3:$J$11921,DuLieu!$B$3:$B$101921,$A72,DuLieu!$T$3:$T$101921,"&gt;=1", DuLieu!$T$3:$T$101921,"&lt;=7",DuLieu!$U$3:$U$101921,$R72)</f>
        <v/>
      </c>
      <c r="E72" s="87">
        <f>IF(C72&gt;=D72,C72-D72,0)</f>
        <v/>
      </c>
      <c r="F72" s="59" t="n"/>
      <c r="G72" s="87">
        <f>SUMIFS(DuLieu!$J$3:$J$11921,DuLieu!$B$3:$B$101921,$A72,DuLieu!$T$3:$T$101921,"&gt;=8", DuLieu!$T$3:$T$101921,"&lt;=14",DuLieu!$U$3:$U$101921,$R72)</f>
        <v/>
      </c>
      <c r="H72" s="87">
        <f>IF(F72&gt;=G72,F72-G72,0)</f>
        <v/>
      </c>
      <c r="I72" s="72" t="n"/>
      <c r="J72" s="86">
        <f>SUMIFS(DuLieu!$J$3:$J$11921,DuLieu!$B$3:$B$101921,$A72,DuLieu!$T$3:$T$101921,"&gt;=15", DuLieu!$T$3:$T$101921,"&lt;=21",DuLieu!$U$3:$U$101921,$R72)</f>
        <v/>
      </c>
      <c r="K72" s="87">
        <f>IF(I72&gt;=J72,I72-J72,0)</f>
        <v/>
      </c>
      <c r="L72" s="73" t="n"/>
      <c r="M72" s="87">
        <f>SUMIFS(DuLieu!$D$3:$D$101921,DuLieu!$B$3:$B$101921,$A72,DuLieu!$T$3:$T$101921,"&gt;=1", DuLieu!$T$3:$T$101921,"&lt;=7",DuLieu!$U$3:$U$101921,$R72)</f>
        <v/>
      </c>
      <c r="N72" s="87">
        <f>IF(L72&gt;=M72,L72-M72,0)</f>
        <v/>
      </c>
      <c r="O72" s="87" t="n">
        <v>20</v>
      </c>
      <c r="P72" s="87">
        <f>$D72+$G72+$J72+$M72</f>
        <v/>
      </c>
      <c r="Q72" s="87">
        <f>IF(O72&gt;=P72,O72-P72,0)</f>
        <v/>
      </c>
      <c r="R72" s="77" t="n">
        <v>11</v>
      </c>
      <c r="S72" s="91" t="n"/>
      <c r="T72" s="91" t="n"/>
      <c r="U72" s="91" t="n"/>
      <c r="V72" s="91" t="n"/>
      <c r="W72" s="91" t="n"/>
      <c r="X72" s="91" t="n"/>
      <c r="Y72" s="91" t="n"/>
      <c r="Z72" s="91" t="n"/>
      <c r="AA72" s="91" t="n"/>
    </row>
    <row r="73">
      <c r="A73" s="114" t="inlineStr">
        <is>
          <t>Dương Minh Tiến</t>
        </is>
      </c>
      <c r="B73" s="58" t="inlineStr">
        <is>
          <t>Phiếu GHTT tháng T</t>
        </is>
      </c>
      <c r="C73" s="68" t="n">
        <v>50</v>
      </c>
      <c r="D73" s="87">
        <f>SUMIFS(DuLieu!$K$3:$K$11921,DuLieu!$B$3:$B$101921,$A73,DuLieu!$T$3:$T$101921,"&gt;=1", DuLieu!$T$3:$T$101921,"&lt;=7",DuLieu!$U$3:$U$101921,$R73)</f>
        <v/>
      </c>
      <c r="E73" s="87">
        <f>IF(C73&gt;=D73,C73-D73,0)</f>
        <v/>
      </c>
      <c r="F73" s="65" t="n">
        <v>50</v>
      </c>
      <c r="G73" s="87">
        <f>SUMIFS(DuLieu!$K$3:$K$11921,DuLieu!$B$3:$B$101921,$A73,DuLieu!$T$3:$T$101921,"&gt;=8", DuLieu!$T$3:$T$101921,"&lt;=14",DuLieu!$U$3:$U$101921,$R73)</f>
        <v/>
      </c>
      <c r="H73" s="87">
        <f>IF(F73&gt;=G73,F73-G73,0)</f>
        <v/>
      </c>
      <c r="I73" s="78" t="n">
        <v>80</v>
      </c>
      <c r="J73" s="86">
        <f>SUMIFS(DuLieu!$K$3:$K$11921,DuLieu!$B$3:$B$101921,$A73,DuLieu!$T$3:$T$101921,"&gt;=15", DuLieu!$T$3:$T$101921,"&lt;=21",DuLieu!$U$3:$U$101921,$R73)</f>
        <v/>
      </c>
      <c r="K73" s="87">
        <f>IF(I73&gt;=J73,I73-J73,0)</f>
        <v/>
      </c>
      <c r="L73" s="68" t="n">
        <v>82</v>
      </c>
      <c r="M73" s="87">
        <f>SUMIFS(DuLieu!$D$3:$D$101921,DuLieu!$B$3:$B$101921,$A73,DuLieu!$T$3:$T$101921,"&gt;=1", DuLieu!$T$3:$T$101921,"&lt;=7",DuLieu!$U$3:$U$101921,$R73)</f>
        <v/>
      </c>
      <c r="N73" s="87">
        <f>IF(L73&gt;=M73,L73-M73,0)</f>
        <v/>
      </c>
      <c r="O73" s="87" t="n">
        <v>150</v>
      </c>
      <c r="P73" s="87">
        <f>$D73+$G73+$J73+$M73</f>
        <v/>
      </c>
      <c r="Q73" s="87">
        <f>IF(O73&gt;=P73,O73-P73,0)</f>
        <v/>
      </c>
      <c r="R73" s="77" t="n">
        <v>11</v>
      </c>
      <c r="S73" s="91" t="n"/>
      <c r="T73" s="91" t="n"/>
      <c r="U73" s="91" t="n"/>
      <c r="V73" s="91" t="n"/>
      <c r="W73" s="91" t="n"/>
      <c r="X73" s="91" t="n"/>
      <c r="Y73" s="91" t="n"/>
      <c r="Z73" s="91" t="n"/>
      <c r="AA73" s="91" t="n"/>
    </row>
    <row r="74">
      <c r="A74" s="114" t="inlineStr">
        <is>
          <t>Dương Minh Tiến</t>
        </is>
      </c>
      <c r="B74" s="58" t="inlineStr">
        <is>
          <t>Phiếu GHTT tháng T+1</t>
        </is>
      </c>
      <c r="C74" s="68" t="n">
        <v>9</v>
      </c>
      <c r="D74" s="87">
        <f>SUMIFS(DuLieu!$L$3:$L$11921,DuLieu!$B$3:$B$101921,$A74,DuLieu!$T$3:$T$101921,"&gt;=1", DuLieu!$T$3:$T$101921,"&lt;=7",DuLieu!$U$3:$U$101921,$R74)</f>
        <v/>
      </c>
      <c r="E74" s="87">
        <f>IF(C74&gt;=D74,C74-D74,0)</f>
        <v/>
      </c>
      <c r="F74" s="65" t="n">
        <v>8</v>
      </c>
      <c r="G74" s="87">
        <f>SUMIFS(DuLieu!$L$3:$L$11921,DuLieu!$B$3:$B$101921,$A74,DuLieu!$T$3:$T$101921,"&gt;=8", DuLieu!$T$3:$T$101921,"&lt;=14",DuLieu!$U$3:$U$101921,$R74)</f>
        <v/>
      </c>
      <c r="H74" s="87">
        <f>IF(F74&gt;=G74,F74-G74,0)</f>
        <v/>
      </c>
      <c r="I74" s="72" t="n">
        <v>8</v>
      </c>
      <c r="J74" s="86">
        <f>SUMIFS(DuLieu!$L$3:$L$11921,DuLieu!$B$3:$B$101921,$A74,DuLieu!$T$3:$T$101921,"&gt;=15", DuLieu!$T$3:$T$101921,"&lt;=21",DuLieu!$U$3:$U$101921,$R74)</f>
        <v/>
      </c>
      <c r="K74" s="87">
        <f>IF(I74&gt;=J74,I74-J74,0)</f>
        <v/>
      </c>
      <c r="L74" s="73" t="n">
        <v>8</v>
      </c>
      <c r="M74" s="87">
        <f>SUMIFS(DuLieu!$D$3:$D$101921,DuLieu!$B$3:$B$101921,$A74,DuLieu!$T$3:$T$101921,"&gt;=1", DuLieu!$T$3:$T$101921,"&lt;=7",DuLieu!$U$3:$U$101921,$R74)</f>
        <v/>
      </c>
      <c r="N74" s="87">
        <f>IF(L74&gt;=M74,L74-M74,0)</f>
        <v/>
      </c>
      <c r="O74" s="87" t="n">
        <v>1</v>
      </c>
      <c r="P74" s="87">
        <f>$D74+$G74+$J74+$M74</f>
        <v/>
      </c>
      <c r="Q74" s="87">
        <f>IF(O74&gt;=P74,O74-P74,0)</f>
        <v/>
      </c>
      <c r="R74" s="77" t="n">
        <v>11</v>
      </c>
      <c r="S74" s="91" t="n"/>
      <c r="T74" s="91" t="n"/>
      <c r="U74" s="91" t="n"/>
      <c r="V74" s="91" t="n"/>
      <c r="W74" s="91" t="n"/>
      <c r="X74" s="91" t="n"/>
      <c r="Y74" s="91" t="n"/>
      <c r="Z74" s="91" t="n"/>
      <c r="AA74" s="91" t="n"/>
    </row>
    <row r="75">
      <c r="A75" s="114" t="inlineStr">
        <is>
          <t>Lê Văn Hồng</t>
        </is>
      </c>
      <c r="B75" s="48" t="inlineStr">
        <is>
          <t>Tiếp thị DV Fiber</t>
        </is>
      </c>
      <c r="C75" s="68" t="n">
        <v>2</v>
      </c>
      <c r="D75" s="81">
        <f>SUMIFS(DuLieu!$D$3:$D$11921,DuLieu!$B$3:$B$101921,$A75,DuLieu!$T$3:$T$101921,"&gt;=1", DuLieu!$T$3:$T$101921,"&lt;=7",DuLieu!$U$3:$U$101921,$R75)</f>
        <v/>
      </c>
      <c r="E75" s="85">
        <f>IF(C75&gt;=D75,C75-D75,0)</f>
        <v/>
      </c>
      <c r="F75" s="65" t="n">
        <v>2</v>
      </c>
      <c r="G75" s="85">
        <f>SUMIFS(DuLieu!$D$3:$D$11921,DuLieu!$B$3:$B$101921,$A75,DuLieu!$T$3:$T$101921,"&gt;=8", DuLieu!$T$3:$T$101921,"&lt;=14",DuLieu!$U$3:$U$101921,$R75)</f>
        <v/>
      </c>
      <c r="H75" s="85">
        <f>IF(F75&gt;=G75,F75-G75,0)</f>
        <v/>
      </c>
      <c r="I75" s="78" t="n">
        <v>2</v>
      </c>
      <c r="J75" s="81">
        <f>SUMIFS(DuLieu!$D$3:$D$11921,DuLieu!$B$3:$B$101921,$A75,DuLieu!$T$3:$T$101921,"&gt;=15", DuLieu!$T$3:$T$101921,"&lt;=21",DuLieu!$U$3:$U$101921,$R75)</f>
        <v/>
      </c>
      <c r="K75" s="85">
        <f>IF(I75&gt;=J75,I75-J75,0)</f>
        <v/>
      </c>
      <c r="L75" s="68" t="n">
        <v>2</v>
      </c>
      <c r="M75" s="81">
        <f>SUMIFS(DuLieu!$D$3:$D$101921,DuLieu!$B$3:$B$101921,$A75,DuLieu!$T$3:$T$101921,"&gt;=1", DuLieu!$T$3:$T$101921,"&lt;=7",DuLieu!$U$3:$U$101921,$R75)</f>
        <v/>
      </c>
      <c r="N75" s="85">
        <f>IF(L75&gt;=M75,L75-M75,0)</f>
        <v/>
      </c>
      <c r="O75" s="85" t="n">
        <v>4</v>
      </c>
      <c r="P75" s="81">
        <f>$D75+$G75+$J75+$M75</f>
        <v/>
      </c>
      <c r="Q75" s="85">
        <f>IF(O75&gt;=P75,O75-P75,0)</f>
        <v/>
      </c>
      <c r="R75" s="80" t="n">
        <v>11</v>
      </c>
      <c r="S75" s="91" t="n"/>
      <c r="T75" s="91" t="n"/>
      <c r="U75" s="91" t="n"/>
      <c r="V75" s="91" t="n"/>
      <c r="W75" s="91" t="n"/>
      <c r="X75" s="91" t="n"/>
      <c r="Y75" s="91" t="n"/>
      <c r="Z75" s="91" t="n"/>
      <c r="AA75" s="91" t="n"/>
    </row>
    <row r="76">
      <c r="A76" s="114" t="inlineStr">
        <is>
          <t>Lê Văn Hồng</t>
        </is>
      </c>
      <c r="B76" s="48" t="inlineStr">
        <is>
          <t>Tiếp thị DV MyTV</t>
        </is>
      </c>
      <c r="C76" s="68" t="n">
        <v>1</v>
      </c>
      <c r="D76" s="81">
        <f>SUMIFS(DuLieu!$E$3:$E$11921,DuLieu!$B$3:$B$101921,$A76,DuLieu!$T$3:$T$101921,"&gt;=1", DuLieu!$T$3:$T$101921,"&lt;=7",DuLieu!$U$3:$U$101921,$R76)</f>
        <v/>
      </c>
      <c r="E76" s="85">
        <f>IF(C76&gt;=D76,C76-D76,0)</f>
        <v/>
      </c>
      <c r="F76" s="65" t="n">
        <v>1</v>
      </c>
      <c r="G76" s="85">
        <f>SUMIFS(DuLieu!$E$3:$E$11921,DuLieu!$B$3:$B$101921,$A76,DuLieu!$T$3:$T$101921,"&gt;=8", DuLieu!$T$3:$T$101921,"&lt;=14",DuLieu!$U$3:$U$101921,$R76)</f>
        <v/>
      </c>
      <c r="H76" s="85">
        <f>IF(F76&gt;=G76,F76-G76,0)</f>
        <v/>
      </c>
      <c r="I76" s="78" t="n">
        <v>1</v>
      </c>
      <c r="J76" s="81">
        <f>SUMIFS(DuLieu!$E$3:$E$11921,DuLieu!$B$3:$B$101921,$A76,DuLieu!$T$3:$T$101921,"&gt;=15", DuLieu!$T$3:$T$101921,"&lt;=21",DuLieu!$U$3:$U$101921,$R76)</f>
        <v/>
      </c>
      <c r="K76" s="85">
        <f>IF(I76&gt;=J76,I76-J76,0)</f>
        <v/>
      </c>
      <c r="L76" s="68" t="n">
        <v>1</v>
      </c>
      <c r="M76" s="81">
        <f>SUMIFS(DuLieu!$D$3:$D$101921,DuLieu!$B$3:$B$101921,$A76,DuLieu!$T$3:$T$101921,"&gt;=1", DuLieu!$T$3:$T$101921,"&lt;=7",DuLieu!$U$3:$U$101921,$R76)</f>
        <v/>
      </c>
      <c r="N76" s="85">
        <f>IF(L76&gt;=M76,L76-M76,0)</f>
        <v/>
      </c>
      <c r="O76" s="85" t="n">
        <v>5</v>
      </c>
      <c r="P76" s="81">
        <f>$D76+$G76+$J76+$M76</f>
        <v/>
      </c>
      <c r="Q76" s="85">
        <f>IF(O76&gt;=P76,O76-P76,0)</f>
        <v/>
      </c>
      <c r="R76" s="80" t="n">
        <v>11</v>
      </c>
      <c r="S76" s="91" t="n"/>
      <c r="T76" s="91" t="n"/>
      <c r="U76" s="91" t="n"/>
      <c r="V76" s="91" t="n"/>
      <c r="W76" s="91" t="n"/>
      <c r="X76" s="91" t="n"/>
      <c r="Y76" s="91" t="n"/>
      <c r="Z76" s="91" t="n"/>
      <c r="AA76" s="91" t="n"/>
    </row>
    <row r="77">
      <c r="A77" s="114" t="inlineStr">
        <is>
          <t>Lê Văn Hồng</t>
        </is>
      </c>
      <c r="B77" s="48" t="inlineStr">
        <is>
          <t>Tiếp thị DV Camera/Mesh</t>
        </is>
      </c>
      <c r="C77" s="68" t="n">
        <v>1</v>
      </c>
      <c r="D77" s="81">
        <f>SUMIFS(DuLieu!$F$3:$F$11921,DuLieu!$B$3:$B$101921,$A77,DuLieu!$T$3:$T$101921,"&gt;=1", DuLieu!$T$3:$T$101921,"&lt;=7",DuLieu!$U$3:$U$101921,$R77)</f>
        <v/>
      </c>
      <c r="E77" s="85">
        <f>IF(C77&gt;=D77,C77-D77,0)</f>
        <v/>
      </c>
      <c r="F77" s="65" t="n">
        <v>1</v>
      </c>
      <c r="G77" s="85">
        <f>SUMIFS(DuLieu!$F$3:$F$11921,DuLieu!$B$3:$B$101921,$A77,DuLieu!$T$3:$T$101921,"&gt;=8", DuLieu!$T$3:$T$101921,"&lt;=14",DuLieu!$U$3:$U$101921,$R77)</f>
        <v/>
      </c>
      <c r="H77" s="85">
        <f>IF(F77&gt;=G77,F77-G77,0)</f>
        <v/>
      </c>
      <c r="I77" s="78" t="n">
        <v>1</v>
      </c>
      <c r="J77" s="81">
        <f>SUMIFS(DuLieu!$F$3:$F$11921,DuLieu!$B$3:$B$101921,$A77,DuLieu!$T$3:$T$101921,"&gt;=15", DuLieu!$T$3:$T$101921,"&lt;=21",DuLieu!$U$3:$U$101921,$R77)</f>
        <v/>
      </c>
      <c r="K77" s="85">
        <f>IF(I77&gt;=J77,I77-J77,0)</f>
        <v/>
      </c>
      <c r="L77" s="68" t="n">
        <v>0</v>
      </c>
      <c r="M77" s="81">
        <f>SUMIFS(DuLieu!$D$3:$D$101921,DuLieu!$B$3:$B$101921,$A77,DuLieu!$T$3:$T$101921,"&gt;=1", DuLieu!$T$3:$T$101921,"&lt;=7",DuLieu!$U$3:$U$101921,$R77)</f>
        <v/>
      </c>
      <c r="N77" s="85">
        <f>IF(L77&gt;=M77,L77-M77,0)</f>
        <v/>
      </c>
      <c r="O77" s="85" t="n">
        <v>6</v>
      </c>
      <c r="P77" s="81">
        <f>$D77+$G77+$J77+$M77</f>
        <v/>
      </c>
      <c r="Q77" s="85">
        <f>IF(O77&gt;=P77,O77-P77,0)</f>
        <v/>
      </c>
      <c r="R77" s="80" t="n">
        <v>11</v>
      </c>
      <c r="S77" s="91" t="n"/>
      <c r="T77" s="91" t="n"/>
      <c r="U77" s="91" t="n"/>
      <c r="V77" s="91" t="n"/>
      <c r="W77" s="91" t="n"/>
      <c r="X77" s="91" t="n"/>
      <c r="Y77" s="91" t="n"/>
      <c r="Z77" s="91" t="n"/>
      <c r="AA77" s="91" t="n"/>
    </row>
    <row r="78">
      <c r="A78" s="114" t="inlineStr">
        <is>
          <t>Lê Văn Hồng</t>
        </is>
      </c>
      <c r="B78" s="48" t="inlineStr">
        <is>
          <t>Tạm ngưng Fiber</t>
        </is>
      </c>
      <c r="C78" s="73" t="n">
        <v>2</v>
      </c>
      <c r="D78" s="81">
        <f>SUMIFS(DuLieu!$G$3:$G$11921,DuLieu!$B$3:$B$101921,$A78,DuLieu!$T$3:$T$101921,"&gt;=1", DuLieu!$T$3:$T$101921,"&lt;=7",DuLieu!$U$3:$U$101921,$R78)</f>
        <v/>
      </c>
      <c r="E78" s="85">
        <f>IF(C78&gt;=D78,C78-D78,0)</f>
        <v/>
      </c>
      <c r="F78" s="70" t="n">
        <v>1</v>
      </c>
      <c r="G78" s="85">
        <f>SUMIFS(DuLieu!$G$3:$G$11921,DuLieu!$B$3:$B$101921,D78,DuLieu!$T$3:$T$101921,"&gt;=8", DuLieu!$T$3:$T$101921,"&lt;=14",DuLieu!$U$3:$U$101921,$R78)</f>
        <v/>
      </c>
      <c r="H78" s="85">
        <f>IF(F78&gt;=G78,F78-G78,0)</f>
        <v/>
      </c>
      <c r="I78" s="72" t="n">
        <v>1</v>
      </c>
      <c r="J78" s="81">
        <f>SUMIFS(DuLieu!$G$3:$G$11921,DuLieu!$B$3:$B$101921,$A78,DuLieu!$T$3:$T$101921,"&gt;=15", DuLieu!$T$3:$T$101921,"&lt;=21",DuLieu!$U$3:$U$101921,$R78)</f>
        <v/>
      </c>
      <c r="K78" s="85">
        <f>IF(I78&gt;=J78,I78-J78,0)</f>
        <v/>
      </c>
      <c r="L78" s="73" t="n">
        <v>1</v>
      </c>
      <c r="M78" s="81">
        <f>SUMIFS(DuLieu!$D$3:$D$101921,DuLieu!$B$3:$B$101921,$A78,DuLieu!$T$3:$T$101921,"&gt;=1", DuLieu!$T$3:$T$101921,"&lt;=7",DuLieu!$U$3:$U$101921,$R78)</f>
        <v/>
      </c>
      <c r="N78" s="85">
        <f>IF(L78&gt;=M78,L78-M78,0)</f>
        <v/>
      </c>
      <c r="O78" s="85" t="n">
        <v>4</v>
      </c>
      <c r="P78" s="81">
        <f>$D78+$G78+$J78+$M78</f>
        <v/>
      </c>
      <c r="Q78" s="85">
        <f>IF(O78&gt;=P78,O78-P78,0)</f>
        <v/>
      </c>
      <c r="R78" s="80" t="n">
        <v>11</v>
      </c>
      <c r="S78" s="91" t="n"/>
      <c r="T78" s="91" t="n"/>
      <c r="U78" s="91" t="n"/>
      <c r="V78" s="91" t="n"/>
      <c r="W78" s="91" t="n"/>
      <c r="X78" s="91" t="n"/>
      <c r="Y78" s="91" t="n"/>
      <c r="Z78" s="91" t="n"/>
      <c r="AA78" s="91" t="n"/>
    </row>
    <row r="79">
      <c r="A79" s="114" t="inlineStr">
        <is>
          <t>Lê Văn Hồng</t>
        </is>
      </c>
      <c r="B79" s="48" t="inlineStr">
        <is>
          <t>Tạm ngưng Mytv</t>
        </is>
      </c>
      <c r="C79" s="73" t="n">
        <v>2</v>
      </c>
      <c r="D79" s="81">
        <f>SUMIFS(DuLieu!$H$3:$H$11921,DuLieu!$B$3:$B$101921,$A79,DuLieu!$T$3:$T$101921,"&gt;=1", DuLieu!$T$3:$T$101921,"&lt;=7",DuLieu!$U$3:$U$101921,$R79)</f>
        <v/>
      </c>
      <c r="E79" s="85">
        <f>IF(C79&gt;=D79,C79-D79,0)</f>
        <v/>
      </c>
      <c r="F79" s="70" t="n">
        <v>2</v>
      </c>
      <c r="G79" s="85">
        <f>SUMIFS(DuLieu!$H$3:$H$11921,DuLieu!$B$3:$B$101921,$A79,DuLieu!$T$3:$T$101921,"&gt;=8", DuLieu!$T$3:$T$101921,"&lt;=14",DuLieu!$U$3:$U$101921,$R79)</f>
        <v/>
      </c>
      <c r="H79" s="85">
        <f>IF(F79&gt;=G79,F79-G79,0)</f>
        <v/>
      </c>
      <c r="I79" s="72" t="n">
        <v>2</v>
      </c>
      <c r="J79" s="81">
        <f>SUMIFS(DuLieu!$H$3:$H$11921,DuLieu!$B$3:$B$101921,$A79,DuLieu!$T$3:$T$101921,"&gt;=15", DuLieu!$T$3:$T$101921,"&lt;=21",DuLieu!$U$3:$U$101921,$R79)</f>
        <v/>
      </c>
      <c r="K79" s="85">
        <f>IF(I79&gt;=J79,I79-J79,0)</f>
        <v/>
      </c>
      <c r="L79" s="73" t="n">
        <v>1</v>
      </c>
      <c r="M79" s="81">
        <f>SUMIFS(DuLieu!$D$3:$D$101921,DuLieu!$B$3:$B$101921,$A79,DuLieu!$T$3:$T$101921,"&gt;=1", DuLieu!$T$3:$T$101921,"&lt;=7",DuLieu!$U$3:$U$101921,$R79)</f>
        <v/>
      </c>
      <c r="N79" s="85">
        <f>IF(L79&gt;=M79,L79-M79,0)</f>
        <v/>
      </c>
      <c r="O79" s="85" t="n">
        <v>2</v>
      </c>
      <c r="P79" s="81">
        <f>$D79+$G79+$J79+$M79</f>
        <v/>
      </c>
      <c r="Q79" s="85">
        <f>IF(O79&gt;=P79,O79-P79,0)</f>
        <v/>
      </c>
      <c r="R79" s="80" t="n">
        <v>11</v>
      </c>
      <c r="S79" s="91" t="n"/>
      <c r="T79" s="91" t="n"/>
      <c r="U79" s="91" t="n"/>
      <c r="V79" s="91" t="n"/>
      <c r="W79" s="91" t="n"/>
      <c r="X79" s="91" t="n"/>
      <c r="Y79" s="91" t="n"/>
      <c r="Z79" s="91" t="n"/>
      <c r="AA79" s="91" t="n"/>
    </row>
    <row r="80">
      <c r="A80" s="114" t="inlineStr">
        <is>
          <t>Lê Văn Hồng</t>
        </is>
      </c>
      <c r="B80" s="48" t="inlineStr">
        <is>
          <t>Thay thế ONT 2 băng tần</t>
        </is>
      </c>
      <c r="C80" s="73" t="n">
        <v>5</v>
      </c>
      <c r="D80" s="81">
        <f>SUMIFS(DuLieu!$I$3:$I$11921,DuLieu!$B$3:$B$101921,$A80,DuLieu!$T$3:$T$101921,"&gt;=1", DuLieu!$T$3:$T$101921,"&lt;=7",DuLieu!$U$3:$U$101921,$R80)</f>
        <v/>
      </c>
      <c r="E80" s="85">
        <f>IF(C80&gt;=D80,C80-D80,0)</f>
        <v/>
      </c>
      <c r="F80" s="70" t="n">
        <v>5</v>
      </c>
      <c r="G80" s="85">
        <f>SUMIFS(DuLieu!$I$3:$I$11921,DuLieu!$B$3:$B$101921,$A80,DuLieu!$T$3:$T$101921,"&gt;=8", DuLieu!$T$3:$T$101921,"&lt;=14",DuLieu!$U$3:$U$101921,$R80)</f>
        <v/>
      </c>
      <c r="H80" s="85">
        <f>IF(F80&gt;=G80,F80-G80,0)</f>
        <v/>
      </c>
      <c r="I80" s="72" t="n">
        <v>5</v>
      </c>
      <c r="J80" s="81">
        <f>SUMIFS(DuLieu!$I$3:$I$11921,DuLieu!$B$3:$B$101921,$A80,DuLieu!$T$3:$T$101921,"&gt;=15", DuLieu!$T$3:$T$101921,"&lt;=21",DuLieu!$U$3:$U$101921,$R80)</f>
        <v/>
      </c>
      <c r="K80" s="85">
        <f>IF(I80&gt;=J80,I80-J80,0)</f>
        <v/>
      </c>
      <c r="L80" s="73" t="n">
        <v>5</v>
      </c>
      <c r="M80" s="81">
        <f>SUMIFS(DuLieu!$D$3:$D$101921,DuLieu!$B$3:$B$101921,$A80,DuLieu!$T$3:$T$101921,"&gt;=1", DuLieu!$T$3:$T$101921,"&lt;=7",DuLieu!$U$3:$U$101921,$R80)</f>
        <v/>
      </c>
      <c r="N80" s="85">
        <f>IF(L80&gt;=M80,L80-M80,0)</f>
        <v/>
      </c>
      <c r="O80" s="85" t="n">
        <v>40</v>
      </c>
      <c r="P80" s="81">
        <f>$D80+$G80+$J80+$M80</f>
        <v/>
      </c>
      <c r="Q80" s="85">
        <f>IF(O80&gt;=P80,O80-P80,0)</f>
        <v/>
      </c>
      <c r="R80" s="80" t="n">
        <v>11</v>
      </c>
      <c r="S80" s="91" t="n"/>
      <c r="T80" s="91" t="n"/>
      <c r="U80" s="91" t="n"/>
      <c r="V80" s="91" t="n"/>
      <c r="W80" s="91" t="n"/>
      <c r="X80" s="91" t="n"/>
      <c r="Y80" s="91" t="n"/>
      <c r="Z80" s="91" t="n"/>
      <c r="AA80" s="91" t="n"/>
    </row>
    <row r="81">
      <c r="A81" s="114" t="inlineStr">
        <is>
          <t>Lê Văn Hồng</t>
        </is>
      </c>
      <c r="B81" s="48" t="inlineStr">
        <is>
          <t>CSKH HVC chuyển XGSPON</t>
        </is>
      </c>
      <c r="C81" s="73" t="n"/>
      <c r="D81" s="81">
        <f>SUMIFS(DuLieu!$J$3:$J$11921,DuLieu!$B$3:$B$101921,$A81,DuLieu!$T$3:$T$101921,"&gt;=1", DuLieu!$T$3:$T$101921,"&lt;=7",DuLieu!$U$3:$U$101921,$R81)</f>
        <v/>
      </c>
      <c r="E81" s="85">
        <f>IF(C81&gt;=D81,C81-D81,0)</f>
        <v/>
      </c>
      <c r="F81" s="59" t="n"/>
      <c r="G81" s="85">
        <f>SUMIFS(DuLieu!$J$3:$J$11921,DuLieu!$B$3:$B$101921,$A81,DuLieu!$T$3:$T$101921,"&gt;=8", DuLieu!$T$3:$T$101921,"&lt;=14",DuLieu!$U$3:$U$101921,$R81)</f>
        <v/>
      </c>
      <c r="H81" s="85">
        <f>IF(F81&gt;=G81,F81-G81,0)</f>
        <v/>
      </c>
      <c r="I81" s="72" t="n"/>
      <c r="J81" s="81">
        <f>SUMIFS(DuLieu!$J$3:$J$11921,DuLieu!$B$3:$B$101921,$A81,DuLieu!$T$3:$T$101921,"&gt;=15", DuLieu!$T$3:$T$101921,"&lt;=21",DuLieu!$U$3:$U$101921,$R81)</f>
        <v/>
      </c>
      <c r="K81" s="85">
        <f>IF(I81&gt;=J81,I81-J81,0)</f>
        <v/>
      </c>
      <c r="L81" s="73" t="n"/>
      <c r="M81" s="81">
        <f>SUMIFS(DuLieu!$D$3:$D$101921,DuLieu!$B$3:$B$101921,$A81,DuLieu!$T$3:$T$101921,"&gt;=1", DuLieu!$T$3:$T$101921,"&lt;=7",DuLieu!$U$3:$U$101921,$R81)</f>
        <v/>
      </c>
      <c r="N81" s="85">
        <f>IF(L81&gt;=M81,L81-M81,0)</f>
        <v/>
      </c>
      <c r="O81" s="85" t="n">
        <v>20</v>
      </c>
      <c r="P81" s="81">
        <f>$D81+$G81+$J81+$M81</f>
        <v/>
      </c>
      <c r="Q81" s="85">
        <f>IF(O81&gt;=P81,O81-P81,0)</f>
        <v/>
      </c>
      <c r="R81" s="80" t="n">
        <v>11</v>
      </c>
      <c r="S81" s="91" t="n"/>
      <c r="T81" s="91" t="n"/>
      <c r="U81" s="91" t="n"/>
      <c r="V81" s="91" t="n"/>
      <c r="W81" s="91" t="n"/>
      <c r="X81" s="91" t="n"/>
      <c r="Y81" s="91" t="n"/>
      <c r="Z81" s="91" t="n"/>
      <c r="AA81" s="91" t="n"/>
    </row>
    <row r="82">
      <c r="A82" s="114" t="inlineStr">
        <is>
          <t>Lê Văn Hồng</t>
        </is>
      </c>
      <c r="B82" s="48" t="inlineStr">
        <is>
          <t>Phiếu GHTT tháng T</t>
        </is>
      </c>
      <c r="C82" s="68" t="n">
        <v>55</v>
      </c>
      <c r="D82" s="81">
        <f>SUMIFS(DuLieu!$K$3:$K$11921,DuLieu!$B$3:$B$101921,$A82,DuLieu!$T$3:$T$101921,"&gt;=1", DuLieu!$T$3:$T$101921,"&lt;=7",DuLieu!$U$3:$U$101921,$R82)</f>
        <v/>
      </c>
      <c r="E82" s="85">
        <f>IF(C82&gt;=D82,C82-D82,0)</f>
        <v/>
      </c>
      <c r="F82" s="65" t="n">
        <v>55</v>
      </c>
      <c r="G82" s="85">
        <f>SUMIFS(DuLieu!$K$3:$K$11921,DuLieu!$B$3:$B$101921,$A82,DuLieu!$T$3:$T$101921,"&gt;=8", DuLieu!$T$3:$T$101921,"&lt;=14",DuLieu!$U$3:$U$101921,$R82)</f>
        <v/>
      </c>
      <c r="H82" s="85">
        <f>IF(F82&gt;=G82,F82-G82,0)</f>
        <v/>
      </c>
      <c r="I82" s="78" t="n">
        <v>55</v>
      </c>
      <c r="J82" s="81">
        <f>SUMIFS(DuLieu!$K$3:$K$11921,DuLieu!$B$3:$B$101921,$A82,DuLieu!$T$3:$T$101921,"&gt;=15", DuLieu!$T$3:$T$101921,"&lt;=21",DuLieu!$U$3:$U$101921,$R82)</f>
        <v/>
      </c>
      <c r="K82" s="85">
        <f>IF(I82&gt;=J82,I82-J82,0)</f>
        <v/>
      </c>
      <c r="L82" s="68" t="n">
        <v>52</v>
      </c>
      <c r="M82" s="81">
        <f>SUMIFS(DuLieu!$D$3:$D$101921,DuLieu!$B$3:$B$101921,$A82,DuLieu!$T$3:$T$101921,"&gt;=1", DuLieu!$T$3:$T$101921,"&lt;=7",DuLieu!$U$3:$U$101921,$R82)</f>
        <v/>
      </c>
      <c r="N82" s="85">
        <f>IF(L82&gt;=M82,L82-M82,0)</f>
        <v/>
      </c>
      <c r="O82" s="85" t="n">
        <v>150</v>
      </c>
      <c r="P82" s="81">
        <f>$D82+$G82+$J82+$M82</f>
        <v/>
      </c>
      <c r="Q82" s="85">
        <f>IF(O82&gt;=P82,O82-P82,0)</f>
        <v/>
      </c>
      <c r="R82" s="80" t="n">
        <v>11</v>
      </c>
      <c r="S82" s="91" t="n"/>
      <c r="T82" s="91" t="n"/>
      <c r="U82" s="91" t="n"/>
      <c r="V82" s="91" t="n"/>
      <c r="W82" s="91" t="n"/>
      <c r="X82" s="91" t="n"/>
      <c r="Y82" s="91" t="n"/>
      <c r="Z82" s="91" t="n"/>
      <c r="AA82" s="91" t="n"/>
    </row>
    <row r="83">
      <c r="A83" s="114" t="inlineStr">
        <is>
          <t>Lê Văn Hồng</t>
        </is>
      </c>
      <c r="B83" s="48" t="inlineStr">
        <is>
          <t>Phiếu GHTT tháng T+1</t>
        </is>
      </c>
      <c r="C83" s="68" t="n">
        <v>7</v>
      </c>
      <c r="D83" s="81">
        <f>SUMIFS(DuLieu!$L$3:$L$11921,DuLieu!$B$3:$B$101921,$A83,DuLieu!$T$3:$T$101921,"&gt;=1", DuLieu!$T$3:$T$101921,"&lt;=7",DuLieu!$U$3:$U$101921,$R83)</f>
        <v/>
      </c>
      <c r="E83" s="85">
        <f>IF(C83&gt;=D83,C83-D83,0)</f>
        <v/>
      </c>
      <c r="F83" s="65" t="n">
        <v>6</v>
      </c>
      <c r="G83" s="85">
        <f>SUMIFS(DuLieu!$L$3:$L$11921,DuLieu!$B$3:$B$101921,$A83,DuLieu!$T$3:$T$101921,"&gt;=8", DuLieu!$T$3:$T$101921,"&lt;=14",DuLieu!$U$3:$U$101921,$R83)</f>
        <v/>
      </c>
      <c r="H83" s="85">
        <f>IF(F83&gt;=G83,F83-G83,0)</f>
        <v/>
      </c>
      <c r="I83" s="72" t="n">
        <v>6</v>
      </c>
      <c r="J83" s="81">
        <f>SUMIFS(DuLieu!$L$3:$L$11921,DuLieu!$B$3:$B$101921,$A83,DuLieu!$T$3:$T$101921,"&gt;=15", DuLieu!$T$3:$T$101921,"&lt;=21",DuLieu!$U$3:$U$101921,$R83)</f>
        <v/>
      </c>
      <c r="K83" s="85">
        <f>IF(I83&gt;=J83,I83-J83,0)</f>
        <v/>
      </c>
      <c r="L83" s="73" t="n">
        <v>6</v>
      </c>
      <c r="M83" s="81">
        <f>SUMIFS(DuLieu!$D$3:$D$101921,DuLieu!$B$3:$B$101921,$A83,DuLieu!$T$3:$T$101921,"&gt;=1", DuLieu!$T$3:$T$101921,"&lt;=7",DuLieu!$U$3:$U$101921,$R83)</f>
        <v/>
      </c>
      <c r="N83" s="85">
        <f>IF(L83&gt;=M83,L83-M83,0)</f>
        <v/>
      </c>
      <c r="O83" s="85" t="n">
        <v>1</v>
      </c>
      <c r="P83" s="81">
        <f>$D83+$G83+$J83+$M83</f>
        <v/>
      </c>
      <c r="Q83" s="85">
        <f>IF(O83&gt;=P83,O83-P83,0)</f>
        <v/>
      </c>
      <c r="R83" s="80" t="n">
        <v>11</v>
      </c>
      <c r="S83" s="91" t="n"/>
      <c r="T83" s="91" t="n"/>
      <c r="U83" s="91" t="n"/>
      <c r="V83" s="91" t="n"/>
      <c r="W83" s="91" t="n"/>
      <c r="X83" s="91" t="n"/>
      <c r="Y83" s="91" t="n"/>
      <c r="Z83" s="91" t="n"/>
      <c r="AA83" s="91" t="n"/>
    </row>
    <row r="84">
      <c r="A84" s="114" t="inlineStr">
        <is>
          <t>Trần Minh Khánh</t>
        </is>
      </c>
      <c r="B84" s="58" t="inlineStr">
        <is>
          <t>Tiếp thị DV Fiber</t>
        </is>
      </c>
      <c r="C84" s="68" t="n">
        <v>2</v>
      </c>
      <c r="D84" s="87">
        <f>SUMIFS(DuLieu!$D$3:$D$11921,DuLieu!$B$3:$B$101921,$A84,DuLieu!$T$3:$T$101921,"&gt;=1", DuLieu!$T$3:$T$101921,"&lt;=7",DuLieu!$U$3:$U$101921,$R84)</f>
        <v/>
      </c>
      <c r="E84" s="87">
        <f>IF(C84&gt;=D84,C84-D84,0)</f>
        <v/>
      </c>
      <c r="F84" s="65" t="n">
        <v>2</v>
      </c>
      <c r="G84" s="87">
        <f>SUMIFS(DuLieu!$D$3:$D$11921,DuLieu!$B$3:$B$101921,$A84,DuLieu!$T$3:$T$101921,"&gt;=8", DuLieu!$T$3:$T$101921,"&lt;=14",DuLieu!$U$3:$U$101921,$R84)</f>
        <v/>
      </c>
      <c r="H84" s="87">
        <f>IF(F84&gt;=G84,F84-G84,0)</f>
        <v/>
      </c>
      <c r="I84" s="78" t="n">
        <v>2</v>
      </c>
      <c r="J84" s="86">
        <f>SUMIFS(DuLieu!$D$3:$D$11921,DuLieu!$B$3:$B$101921,$A84,DuLieu!$T$3:$T$101921,"&gt;=15", DuLieu!$T$3:$T$101921,"&lt;=21",DuLieu!$U$3:$U$101921,$R84)</f>
        <v/>
      </c>
      <c r="K84" s="87">
        <f>IF(I84&gt;=J84,I84-J84,0)</f>
        <v/>
      </c>
      <c r="L84" s="68" t="n">
        <v>2</v>
      </c>
      <c r="M84" s="87">
        <f>SUMIFS(DuLieu!$D$3:$D$101921,DuLieu!$B$3:$B$101921,$A84,DuLieu!$T$3:$T$101921,"&gt;=1", DuLieu!$T$3:$T$101921,"&lt;=7",DuLieu!$U$3:$U$101921,$R84)</f>
        <v/>
      </c>
      <c r="N84" s="87">
        <f>IF(L84&gt;=M84,L84-M84,0)</f>
        <v/>
      </c>
      <c r="O84" s="87" t="n">
        <v>4</v>
      </c>
      <c r="P84" s="87">
        <f>$D84+$G84+$J84+$M84</f>
        <v/>
      </c>
      <c r="Q84" s="87">
        <f>IF(O84&gt;=P84,O84-P84,0)</f>
        <v/>
      </c>
      <c r="R84" s="77" t="n">
        <v>11</v>
      </c>
      <c r="S84" s="91" t="n"/>
      <c r="T84" s="91" t="n"/>
      <c r="U84" s="91" t="n"/>
      <c r="V84" s="91" t="n"/>
      <c r="W84" s="91" t="n"/>
      <c r="X84" s="91" t="n"/>
      <c r="Y84" s="91" t="n"/>
      <c r="Z84" s="91" t="n"/>
      <c r="AA84" s="91" t="n"/>
    </row>
    <row r="85">
      <c r="A85" s="114" t="inlineStr">
        <is>
          <t>Trần Minh Khánh</t>
        </is>
      </c>
      <c r="B85" s="58" t="inlineStr">
        <is>
          <t>Tiếp thị DV MyTV</t>
        </is>
      </c>
      <c r="C85" s="68" t="n">
        <v>2</v>
      </c>
      <c r="D85" s="87">
        <f>SUMIFS(DuLieu!$E$3:$E$11921,DuLieu!$B$3:$B$101921,$A85,DuLieu!$T$3:$T$101921,"&gt;=1", DuLieu!$T$3:$T$101921,"&lt;=7",DuLieu!$U$3:$U$101921,$R85)</f>
        <v/>
      </c>
      <c r="E85" s="87">
        <f>IF(C85&gt;=D85,C85-D85,0)</f>
        <v/>
      </c>
      <c r="F85" s="65" t="n">
        <v>2</v>
      </c>
      <c r="G85" s="87">
        <f>SUMIFS(DuLieu!$E$3:$E$11921,DuLieu!$B$3:$B$101921,$A85,DuLieu!$T$3:$T$101921,"&gt;=8", DuLieu!$T$3:$T$101921,"&lt;=14",DuLieu!$U$3:$U$101921,$R85)</f>
        <v/>
      </c>
      <c r="H85" s="87">
        <f>IF(F85&gt;=G85,F85-G85,0)</f>
        <v/>
      </c>
      <c r="I85" s="78" t="n">
        <v>1</v>
      </c>
      <c r="J85" s="86">
        <f>SUMIFS(DuLieu!$E$3:$E$11921,DuLieu!$B$3:$B$101921,$A85,DuLieu!$T$3:$T$101921,"&gt;=15", DuLieu!$T$3:$T$101921,"&lt;=21",DuLieu!$U$3:$U$101921,$R85)</f>
        <v/>
      </c>
      <c r="K85" s="87">
        <f>IF(I85&gt;=J85,I85-J85,0)</f>
        <v/>
      </c>
      <c r="L85" s="68" t="n">
        <v>1</v>
      </c>
      <c r="M85" s="87">
        <f>SUMIFS(DuLieu!$D$3:$D$101921,DuLieu!$B$3:$B$101921,$A85,DuLieu!$T$3:$T$101921,"&gt;=1", DuLieu!$T$3:$T$101921,"&lt;=7",DuLieu!$U$3:$U$101921,$R85)</f>
        <v/>
      </c>
      <c r="N85" s="87">
        <f>IF(L85&gt;=M85,L85-M85,0)</f>
        <v/>
      </c>
      <c r="O85" s="87" t="n">
        <v>5</v>
      </c>
      <c r="P85" s="87">
        <f>$D85+$G85+$J85+$M85</f>
        <v/>
      </c>
      <c r="Q85" s="87">
        <f>IF(O85&gt;=P85,O85-P85,0)</f>
        <v/>
      </c>
      <c r="R85" s="77" t="n">
        <v>11</v>
      </c>
      <c r="S85" s="91" t="n"/>
      <c r="T85" s="91" t="n"/>
      <c r="U85" s="91" t="n"/>
      <c r="V85" s="91" t="n"/>
      <c r="W85" s="91" t="n"/>
      <c r="X85" s="91" t="n"/>
      <c r="Y85" s="91" t="n"/>
      <c r="Z85" s="91" t="n"/>
      <c r="AA85" s="91" t="n"/>
    </row>
    <row r="86">
      <c r="A86" s="114" t="inlineStr">
        <is>
          <t>Trần Minh Khánh</t>
        </is>
      </c>
      <c r="B86" s="58" t="inlineStr">
        <is>
          <t>Tiếp thị DV Camera/Mesh</t>
        </is>
      </c>
      <c r="C86" s="68" t="n">
        <v>1</v>
      </c>
      <c r="D86" s="87">
        <f>SUMIFS(DuLieu!$F$3:$F$11921,DuLieu!$B$3:$B$101921,$A86,DuLieu!$T$3:$T$101921,"&gt;=1", DuLieu!$T$3:$T$101921,"&lt;=7",DuLieu!$U$3:$U$101921,$R86)</f>
        <v/>
      </c>
      <c r="E86" s="87">
        <f>IF(C86&gt;=D86,C86-D86,0)</f>
        <v/>
      </c>
      <c r="F86" s="65" t="n">
        <v>1</v>
      </c>
      <c r="G86" s="87">
        <f>SUMIFS(DuLieu!$F$3:$F$11921,DuLieu!$B$3:$B$101921,$A86,DuLieu!$T$3:$T$101921,"&gt;=8", DuLieu!$T$3:$T$101921,"&lt;=14",DuLieu!$U$3:$U$101921,$R86)</f>
        <v/>
      </c>
      <c r="H86" s="87">
        <f>IF(F86&gt;=G86,F86-G86,0)</f>
        <v/>
      </c>
      <c r="I86" s="78" t="n">
        <v>1</v>
      </c>
      <c r="J86" s="86">
        <f>SUMIFS(DuLieu!$F$3:$F$11921,DuLieu!$B$3:$B$101921,$A86,DuLieu!$T$3:$T$101921,"&gt;=15", DuLieu!$T$3:$T$101921,"&lt;=21",DuLieu!$U$3:$U$101921,$R86)</f>
        <v/>
      </c>
      <c r="K86" s="87">
        <f>IF(I86&gt;=J86,I86-J86,0)</f>
        <v/>
      </c>
      <c r="L86" s="68" t="n">
        <v>0</v>
      </c>
      <c r="M86" s="87">
        <f>SUMIFS(DuLieu!$D$3:$D$101921,DuLieu!$B$3:$B$101921,$A86,DuLieu!$T$3:$T$101921,"&gt;=1", DuLieu!$T$3:$T$101921,"&lt;=7",DuLieu!$U$3:$U$101921,$R86)</f>
        <v/>
      </c>
      <c r="N86" s="87">
        <f>IF(L86&gt;=M86,L86-M86,0)</f>
        <v/>
      </c>
      <c r="O86" s="87" t="n">
        <v>6</v>
      </c>
      <c r="P86" s="87">
        <f>$D86+$G86+$J86+$M86</f>
        <v/>
      </c>
      <c r="Q86" s="87">
        <f>IF(O86&gt;=P86,O86-P86,0)</f>
        <v/>
      </c>
      <c r="R86" s="77" t="n">
        <v>11</v>
      </c>
      <c r="S86" s="91" t="n"/>
      <c r="T86" s="91" t="n"/>
      <c r="U86" s="91" t="n"/>
      <c r="V86" s="91" t="n"/>
      <c r="W86" s="91" t="n"/>
      <c r="X86" s="91" t="n"/>
      <c r="Y86" s="91" t="n"/>
      <c r="Z86" s="91" t="n"/>
      <c r="AA86" s="91" t="n"/>
    </row>
    <row r="87">
      <c r="A87" s="114" t="inlineStr">
        <is>
          <t>Trần Minh Khánh</t>
        </is>
      </c>
      <c r="B87" s="58" t="inlineStr">
        <is>
          <t>Tạm ngưng Fiber</t>
        </is>
      </c>
      <c r="C87" s="73" t="n">
        <v>2</v>
      </c>
      <c r="D87" s="87">
        <f>SUMIFS(DuLieu!$G$3:$G$11921,DuLieu!$B$3:$B$101921,$A87,DuLieu!$T$3:$T$101921,"&gt;=1", DuLieu!$T$3:$T$101921,"&lt;=7",DuLieu!$U$3:$U$101921,$R87)</f>
        <v/>
      </c>
      <c r="E87" s="87">
        <f>IF(C87&gt;=D87,C87-D87,0)</f>
        <v/>
      </c>
      <c r="F87" s="70" t="n">
        <v>2</v>
      </c>
      <c r="G87" s="87">
        <f>SUMIFS(DuLieu!$G$3:$G$11921,DuLieu!$B$3:$B$101921,D87,DuLieu!$T$3:$T$101921,"&gt;=8", DuLieu!$T$3:$T$101921,"&lt;=14",DuLieu!$U$3:$U$101921,$R87)</f>
        <v/>
      </c>
      <c r="H87" s="87">
        <f>IF(F87&gt;=G87,F87-G87,0)</f>
        <v/>
      </c>
      <c r="I87" s="72" t="n">
        <v>1</v>
      </c>
      <c r="J87" s="86">
        <f>SUMIFS(DuLieu!$G$3:$G$11921,DuLieu!$B$3:$B$101921,$A87,DuLieu!$T$3:$T$101921,"&gt;=15", DuLieu!$T$3:$T$101921,"&lt;=21",DuLieu!$U$3:$U$101921,$R87)</f>
        <v/>
      </c>
      <c r="K87" s="87">
        <f>IF(I87&gt;=J87,I87-J87,0)</f>
        <v/>
      </c>
      <c r="L87" s="73" t="n">
        <v>1</v>
      </c>
      <c r="M87" s="87">
        <f>SUMIFS(DuLieu!$D$3:$D$101921,DuLieu!$B$3:$B$101921,$A87,DuLieu!$T$3:$T$101921,"&gt;=1", DuLieu!$T$3:$T$101921,"&lt;=7",DuLieu!$U$3:$U$101921,$R87)</f>
        <v/>
      </c>
      <c r="N87" s="87">
        <f>IF(L87&gt;=M87,L87-M87,0)</f>
        <v/>
      </c>
      <c r="O87" s="87" t="n">
        <v>4</v>
      </c>
      <c r="P87" s="87">
        <f>$D87+$G87+$J87+$M87</f>
        <v/>
      </c>
      <c r="Q87" s="87">
        <f>IF(O87&gt;=P87,O87-P87,0)</f>
        <v/>
      </c>
      <c r="R87" s="77" t="n">
        <v>11</v>
      </c>
      <c r="S87" s="91" t="n"/>
      <c r="T87" s="91" t="n"/>
      <c r="U87" s="91" t="n"/>
      <c r="V87" s="91" t="n"/>
      <c r="W87" s="91" t="n"/>
      <c r="X87" s="91" t="n"/>
      <c r="Y87" s="91" t="n"/>
      <c r="Z87" s="91" t="n"/>
      <c r="AA87" s="91" t="n"/>
    </row>
    <row r="88">
      <c r="A88" s="114" t="inlineStr">
        <is>
          <t>Trần Minh Khánh</t>
        </is>
      </c>
      <c r="B88" s="58" t="inlineStr">
        <is>
          <t>Tạm ngưng Mytv</t>
        </is>
      </c>
      <c r="C88" s="73" t="n">
        <v>2</v>
      </c>
      <c r="D88" s="87">
        <f>SUMIFS(DuLieu!$H$3:$H$11921,DuLieu!$B$3:$B$101921,$A88,DuLieu!$T$3:$T$101921,"&gt;=1", DuLieu!$T$3:$T$101921,"&lt;=7",DuLieu!$U$3:$U$101921,$R88)</f>
        <v/>
      </c>
      <c r="E88" s="87">
        <f>IF(C88&gt;=D88,C88-D88,0)</f>
        <v/>
      </c>
      <c r="F88" s="70" t="n">
        <v>2</v>
      </c>
      <c r="G88" s="87">
        <f>SUMIFS(DuLieu!$H$3:$H$11921,DuLieu!$B$3:$B$101921,$A88,DuLieu!$T$3:$T$101921,"&gt;=8", DuLieu!$T$3:$T$101921,"&lt;=14",DuLieu!$U$3:$U$101921,$R88)</f>
        <v/>
      </c>
      <c r="H88" s="87">
        <f>IF(F88&gt;=G88,F88-G88,0)</f>
        <v/>
      </c>
      <c r="I88" s="72" t="n">
        <v>2</v>
      </c>
      <c r="J88" s="86">
        <f>SUMIFS(DuLieu!$H$3:$H$11921,DuLieu!$B$3:$B$101921,$A88,DuLieu!$T$3:$T$101921,"&gt;=15", DuLieu!$T$3:$T$101921,"&lt;=21",DuLieu!$U$3:$U$101921,$R88)</f>
        <v/>
      </c>
      <c r="K88" s="87">
        <f>IF(I88&gt;=J88,I88-J88,0)</f>
        <v/>
      </c>
      <c r="L88" s="73" t="n">
        <v>1</v>
      </c>
      <c r="M88" s="87">
        <f>SUMIFS(DuLieu!$D$3:$D$101921,DuLieu!$B$3:$B$101921,$A88,DuLieu!$T$3:$T$101921,"&gt;=1", DuLieu!$T$3:$T$101921,"&lt;=7",DuLieu!$U$3:$U$101921,$R88)</f>
        <v/>
      </c>
      <c r="N88" s="87">
        <f>IF(L88&gt;=M88,L88-M88,0)</f>
        <v/>
      </c>
      <c r="O88" s="87" t="n">
        <v>2</v>
      </c>
      <c r="P88" s="87">
        <f>$D88+$G88+$J88+$M88</f>
        <v/>
      </c>
      <c r="Q88" s="87">
        <f>IF(O88&gt;=P88,O88-P88,0)</f>
        <v/>
      </c>
      <c r="R88" s="77" t="n">
        <v>11</v>
      </c>
      <c r="S88" s="91" t="n"/>
      <c r="T88" s="91" t="n"/>
      <c r="U88" s="91" t="n"/>
      <c r="V88" s="91" t="n"/>
      <c r="W88" s="91" t="n"/>
      <c r="X88" s="91" t="n"/>
      <c r="Y88" s="91" t="n"/>
      <c r="Z88" s="91" t="n"/>
      <c r="AA88" s="91" t="n"/>
    </row>
    <row r="89">
      <c r="A89" s="114" t="inlineStr">
        <is>
          <t>Trần Minh Khánh</t>
        </is>
      </c>
      <c r="B89" s="58" t="inlineStr">
        <is>
          <t>Thay thế ONT 2 băng tần</t>
        </is>
      </c>
      <c r="C89" s="73" t="n">
        <v>5</v>
      </c>
      <c r="D89" s="87">
        <f>SUMIFS(DuLieu!$I$3:$I$11921,DuLieu!$B$3:$B$101921,$A89,DuLieu!$T$3:$T$101921,"&gt;=1", DuLieu!$T$3:$T$101921,"&lt;=7",DuLieu!$U$3:$U$101921,$R89)</f>
        <v/>
      </c>
      <c r="E89" s="87">
        <f>IF(C89&gt;=D89,C89-D89,0)</f>
        <v/>
      </c>
      <c r="F89" s="70" t="n">
        <v>5</v>
      </c>
      <c r="G89" s="87">
        <f>SUMIFS(DuLieu!$I$3:$I$11921,DuLieu!$B$3:$B$101921,$A89,DuLieu!$T$3:$T$101921,"&gt;=8", DuLieu!$T$3:$T$101921,"&lt;=14",DuLieu!$U$3:$U$101921,$R89)</f>
        <v/>
      </c>
      <c r="H89" s="87">
        <f>IF(F89&gt;=G89,F89-G89,0)</f>
        <v/>
      </c>
      <c r="I89" s="72" t="n">
        <v>5</v>
      </c>
      <c r="J89" s="86">
        <f>SUMIFS(DuLieu!$I$3:$I$11921,DuLieu!$B$3:$B$101921,$A89,DuLieu!$T$3:$T$101921,"&gt;=15", DuLieu!$T$3:$T$101921,"&lt;=21",DuLieu!$U$3:$U$101921,$R89)</f>
        <v/>
      </c>
      <c r="K89" s="87">
        <f>IF(I89&gt;=J89,I89-J89,0)</f>
        <v/>
      </c>
      <c r="L89" s="73" t="n">
        <v>5</v>
      </c>
      <c r="M89" s="87">
        <f>SUMIFS(DuLieu!$D$3:$D$101921,DuLieu!$B$3:$B$101921,$A89,DuLieu!$T$3:$T$101921,"&gt;=1", DuLieu!$T$3:$T$101921,"&lt;=7",DuLieu!$U$3:$U$101921,$R89)</f>
        <v/>
      </c>
      <c r="N89" s="87">
        <f>IF(L89&gt;=M89,L89-M89,0)</f>
        <v/>
      </c>
      <c r="O89" s="87" t="n">
        <v>40</v>
      </c>
      <c r="P89" s="87">
        <f>$D89+$G89+$J89+$M89</f>
        <v/>
      </c>
      <c r="Q89" s="87">
        <f>IF(O89&gt;=P89,O89-P89,0)</f>
        <v/>
      </c>
      <c r="R89" s="77" t="n">
        <v>11</v>
      </c>
      <c r="S89" s="91" t="n"/>
      <c r="T89" s="91" t="n"/>
      <c r="U89" s="91" t="n"/>
      <c r="V89" s="91" t="n"/>
      <c r="W89" s="91" t="n"/>
      <c r="X89" s="91" t="n"/>
      <c r="Y89" s="91" t="n"/>
      <c r="Z89" s="91" t="n"/>
      <c r="AA89" s="91" t="n"/>
    </row>
    <row r="90">
      <c r="A90" s="114" t="inlineStr">
        <is>
          <t>Trần Minh Khánh</t>
        </is>
      </c>
      <c r="B90" s="58" t="inlineStr">
        <is>
          <t>CSKH HVC chuyển XGSPON</t>
        </is>
      </c>
      <c r="C90" s="73" t="n"/>
      <c r="D90" s="87">
        <f>SUMIFS(DuLieu!$J$3:$J$11921,DuLieu!$B$3:$B$101921,$A90,DuLieu!$T$3:$T$101921,"&gt;=1", DuLieu!$T$3:$T$101921,"&lt;=7",DuLieu!$U$3:$U$101921,$R90)</f>
        <v/>
      </c>
      <c r="E90" s="87">
        <f>IF(C90&gt;=D90,C90-D90,0)</f>
        <v/>
      </c>
      <c r="F90" s="59" t="n"/>
      <c r="G90" s="87">
        <f>SUMIFS(DuLieu!$J$3:$J$11921,DuLieu!$B$3:$B$101921,$A90,DuLieu!$T$3:$T$101921,"&gt;=8", DuLieu!$T$3:$T$101921,"&lt;=14",DuLieu!$U$3:$U$101921,$R90)</f>
        <v/>
      </c>
      <c r="H90" s="87">
        <f>IF(F90&gt;=G90,F90-G90,0)</f>
        <v/>
      </c>
      <c r="I90" s="72" t="n"/>
      <c r="J90" s="86">
        <f>SUMIFS(DuLieu!$J$3:$J$11921,DuLieu!$B$3:$B$101921,$A90,DuLieu!$T$3:$T$101921,"&gt;=15", DuLieu!$T$3:$T$101921,"&lt;=21",DuLieu!$U$3:$U$101921,$R90)</f>
        <v/>
      </c>
      <c r="K90" s="87">
        <f>IF(I90&gt;=J90,I90-J90,0)</f>
        <v/>
      </c>
      <c r="L90" s="73" t="n"/>
      <c r="M90" s="87">
        <f>SUMIFS(DuLieu!$D$3:$D$101921,DuLieu!$B$3:$B$101921,$A90,DuLieu!$T$3:$T$101921,"&gt;=1", DuLieu!$T$3:$T$101921,"&lt;=7",DuLieu!$U$3:$U$101921,$R90)</f>
        <v/>
      </c>
      <c r="N90" s="87">
        <f>IF(L90&gt;=M90,L90-M90,0)</f>
        <v/>
      </c>
      <c r="O90" s="87" t="n">
        <v>20</v>
      </c>
      <c r="P90" s="87">
        <f>$D90+$G90+$J90+$M90</f>
        <v/>
      </c>
      <c r="Q90" s="87">
        <f>IF(O90&gt;=P90,O90-P90,0)</f>
        <v/>
      </c>
      <c r="R90" s="77" t="n">
        <v>11</v>
      </c>
      <c r="S90" s="91" t="n"/>
      <c r="T90" s="91" t="n"/>
      <c r="U90" s="91" t="n"/>
      <c r="V90" s="91" t="n"/>
      <c r="W90" s="91" t="n"/>
      <c r="X90" s="91" t="n"/>
      <c r="Y90" s="91" t="n"/>
      <c r="Z90" s="91" t="n"/>
      <c r="AA90" s="91" t="n"/>
    </row>
    <row r="91">
      <c r="A91" s="114" t="inlineStr">
        <is>
          <t>Trần Minh Khánh</t>
        </is>
      </c>
      <c r="B91" s="58" t="inlineStr">
        <is>
          <t>Phiếu GHTT tháng T</t>
        </is>
      </c>
      <c r="C91" s="68" t="n">
        <v>59</v>
      </c>
      <c r="D91" s="87">
        <f>SUMIFS(DuLieu!$K$3:$K$11921,DuLieu!$B$3:$B$101921,$A91,DuLieu!$T$3:$T$101921,"&gt;=1", DuLieu!$T$3:$T$101921,"&lt;=7",DuLieu!$U$3:$U$101921,$R91)</f>
        <v/>
      </c>
      <c r="E91" s="87">
        <f>IF(C91&gt;=D91,C91-D91,0)</f>
        <v/>
      </c>
      <c r="F91" s="65" t="n">
        <v>58</v>
      </c>
      <c r="G91" s="87">
        <f>SUMIFS(DuLieu!$K$3:$K$11921,DuLieu!$B$3:$B$101921,$A91,DuLieu!$T$3:$T$101921,"&gt;=8", DuLieu!$T$3:$T$101921,"&lt;=14",DuLieu!$U$3:$U$101921,$R91)</f>
        <v/>
      </c>
      <c r="H91" s="87">
        <f>IF(F91&gt;=G91,F91-G91,0)</f>
        <v/>
      </c>
      <c r="I91" s="78" t="n">
        <v>58</v>
      </c>
      <c r="J91" s="86">
        <f>SUMIFS(DuLieu!$K$3:$K$11921,DuLieu!$B$3:$B$101921,$A91,DuLieu!$T$3:$T$101921,"&gt;=15", DuLieu!$T$3:$T$101921,"&lt;=21",DuLieu!$U$3:$U$101921,$R91)</f>
        <v/>
      </c>
      <c r="K91" s="87">
        <f>IF(I91&gt;=J91,I91-J91,0)</f>
        <v/>
      </c>
      <c r="L91" s="68" t="n">
        <v>58</v>
      </c>
      <c r="M91" s="87">
        <f>SUMIFS(DuLieu!$D$3:$D$101921,DuLieu!$B$3:$B$101921,$A91,DuLieu!$T$3:$T$101921,"&gt;=1", DuLieu!$T$3:$T$101921,"&lt;=7",DuLieu!$U$3:$U$101921,$R91)</f>
        <v/>
      </c>
      <c r="N91" s="87">
        <f>IF(L91&gt;=M91,L91-M91,0)</f>
        <v/>
      </c>
      <c r="O91" s="87" t="n">
        <v>150</v>
      </c>
      <c r="P91" s="87">
        <f>$D91+$G91+$J91+$M91</f>
        <v/>
      </c>
      <c r="Q91" s="87">
        <f>IF(O91&gt;=P91,O91-P91,0)</f>
        <v/>
      </c>
      <c r="R91" s="77" t="n">
        <v>11</v>
      </c>
      <c r="S91" s="91" t="n"/>
      <c r="T91" s="91" t="n"/>
      <c r="U91" s="91" t="n"/>
      <c r="V91" s="91" t="n"/>
      <c r="W91" s="91" t="n"/>
      <c r="X91" s="91" t="n"/>
      <c r="Y91" s="91" t="n"/>
      <c r="Z91" s="91" t="n"/>
      <c r="AA91" s="91" t="n"/>
    </row>
    <row r="92">
      <c r="A92" s="114" t="inlineStr">
        <is>
          <t>Trần Minh Khánh</t>
        </is>
      </c>
      <c r="B92" s="58" t="inlineStr">
        <is>
          <t>Phiếu GHTT tháng T+1</t>
        </is>
      </c>
      <c r="C92" s="68" t="n">
        <v>12</v>
      </c>
      <c r="D92" s="87">
        <f>SUMIFS(DuLieu!$L$3:$L$11921,DuLieu!$B$3:$B$101921,$A92,DuLieu!$T$3:$T$101921,"&gt;=1", DuLieu!$T$3:$T$101921,"&lt;=7",DuLieu!$U$3:$U$101921,$R92)</f>
        <v/>
      </c>
      <c r="E92" s="87">
        <f>IF(C92&gt;=D92,C92-D92,0)</f>
        <v/>
      </c>
      <c r="F92" s="65" t="n">
        <v>12</v>
      </c>
      <c r="G92" s="87">
        <f>SUMIFS(DuLieu!$L$3:$L$11921,DuLieu!$B$3:$B$101921,$A92,DuLieu!$T$3:$T$101921,"&gt;=8", DuLieu!$T$3:$T$101921,"&lt;=14",DuLieu!$U$3:$U$101921,$R92)</f>
        <v/>
      </c>
      <c r="H92" s="87">
        <f>IF(F92&gt;=G92,F92-G92,0)</f>
        <v/>
      </c>
      <c r="I92" s="72" t="n">
        <v>12</v>
      </c>
      <c r="J92" s="86">
        <f>SUMIFS(DuLieu!$L$3:$L$11921,DuLieu!$B$3:$B$101921,$A92,DuLieu!$T$3:$T$101921,"&gt;=15", DuLieu!$T$3:$T$101921,"&lt;=21",DuLieu!$U$3:$U$101921,$R92)</f>
        <v/>
      </c>
      <c r="K92" s="87">
        <f>IF(I92&gt;=J92,I92-J92,0)</f>
        <v/>
      </c>
      <c r="L92" s="73" t="n">
        <v>11</v>
      </c>
      <c r="M92" s="87">
        <f>SUMIFS(DuLieu!$D$3:$D$101921,DuLieu!$B$3:$B$101921,$A92,DuLieu!$T$3:$T$101921,"&gt;=1", DuLieu!$T$3:$T$101921,"&lt;=7",DuLieu!$U$3:$U$101921,$R92)</f>
        <v/>
      </c>
      <c r="N92" s="87">
        <f>IF(L92&gt;=M92,L92-M92,0)</f>
        <v/>
      </c>
      <c r="O92" s="87" t="n">
        <v>1</v>
      </c>
      <c r="P92" s="87">
        <f>$D92+$G92+$J92+$M92</f>
        <v/>
      </c>
      <c r="Q92" s="87">
        <f>IF(O92&gt;=P92,O92-P92,0)</f>
        <v/>
      </c>
      <c r="R92" s="77" t="n">
        <v>11</v>
      </c>
      <c r="S92" s="91" t="n"/>
      <c r="T92" s="91" t="n"/>
      <c r="U92" s="91" t="n"/>
      <c r="V92" s="91" t="n"/>
      <c r="W92" s="91" t="n"/>
      <c r="X92" s="91" t="n"/>
      <c r="Y92" s="91" t="n"/>
      <c r="Z92" s="91" t="n"/>
      <c r="AA92" s="91" t="n"/>
    </row>
    <row r="93">
      <c r="A93" s="114" t="inlineStr">
        <is>
          <t>Hoàng Văn Chất</t>
        </is>
      </c>
      <c r="B93" s="48" t="inlineStr">
        <is>
          <t>Tiếp thị DV Fiber</t>
        </is>
      </c>
      <c r="C93" s="68" t="n">
        <v>2</v>
      </c>
      <c r="D93" s="81">
        <f>SUMIFS(DuLieu!$D$3:$D$11921,DuLieu!$B$3:$B$101921,$A93,DuLieu!$T$3:$T$101921,"&gt;=1", DuLieu!$T$3:$T$101921,"&lt;=7",DuLieu!$U$3:$U$101921,$R93)</f>
        <v/>
      </c>
      <c r="E93" s="85">
        <f>IF(C93&gt;=D93,C93-D93,0)</f>
        <v/>
      </c>
      <c r="F93" s="65" t="n">
        <v>2</v>
      </c>
      <c r="G93" s="85">
        <f>SUMIFS(DuLieu!$D$3:$D$11921,DuLieu!$B$3:$B$101921,$A93,DuLieu!$T$3:$T$101921,"&gt;=8", DuLieu!$T$3:$T$101921,"&lt;=14",DuLieu!$U$3:$U$101921,$R93)</f>
        <v/>
      </c>
      <c r="H93" s="85">
        <f>IF(F93&gt;=G93,F93-G93,0)</f>
        <v/>
      </c>
      <c r="I93" s="78" t="n">
        <v>1</v>
      </c>
      <c r="J93" s="81">
        <f>SUMIFS(DuLieu!$D$3:$D$11921,DuLieu!$B$3:$B$101921,$A93,DuLieu!$T$3:$T$101921,"&gt;=15", DuLieu!$T$3:$T$101921,"&lt;=21",DuLieu!$U$3:$U$101921,$R93)</f>
        <v/>
      </c>
      <c r="K93" s="85">
        <f>IF(I93&gt;=J93,I93-J93,0)</f>
        <v/>
      </c>
      <c r="L93" s="68" t="n">
        <v>1</v>
      </c>
      <c r="M93" s="81">
        <f>SUMIFS(DuLieu!$D$3:$D$101921,DuLieu!$B$3:$B$101921,$A93,DuLieu!$T$3:$T$101921,"&gt;=1", DuLieu!$T$3:$T$101921,"&lt;=7",DuLieu!$U$3:$U$101921,$R93)</f>
        <v/>
      </c>
      <c r="N93" s="85">
        <f>IF(L93&gt;=M93,L93-M93,0)</f>
        <v/>
      </c>
      <c r="O93" s="85" t="n">
        <v>4</v>
      </c>
      <c r="P93" s="81">
        <f>$D93+$G93+$J93+$M93</f>
        <v/>
      </c>
      <c r="Q93" s="85">
        <f>IF(O93&gt;=P93,O93-P93,0)</f>
        <v/>
      </c>
      <c r="R93" s="80" t="n">
        <v>11</v>
      </c>
      <c r="S93" s="91" t="n"/>
      <c r="T93" s="91" t="n"/>
      <c r="U93" s="91" t="n"/>
      <c r="V93" s="91" t="n"/>
      <c r="W93" s="91" t="n"/>
      <c r="X93" s="91" t="n"/>
      <c r="Y93" s="91" t="n"/>
      <c r="Z93" s="91" t="n"/>
      <c r="AA93" s="91" t="n"/>
    </row>
    <row r="94">
      <c r="A94" s="114" t="inlineStr">
        <is>
          <t>Hoàng Văn Chất</t>
        </is>
      </c>
      <c r="B94" s="48" t="inlineStr">
        <is>
          <t>Tiếp thị DV MyTV</t>
        </is>
      </c>
      <c r="C94" s="68" t="n">
        <v>2</v>
      </c>
      <c r="D94" s="81">
        <f>SUMIFS(DuLieu!$E$3:$E$11921,DuLieu!$B$3:$B$101921,$A94,DuLieu!$T$3:$T$101921,"&gt;=1", DuLieu!$T$3:$T$101921,"&lt;=7",DuLieu!$U$3:$U$101921,$R94)</f>
        <v/>
      </c>
      <c r="E94" s="85">
        <f>IF(C94&gt;=D94,C94-D94,0)</f>
        <v/>
      </c>
      <c r="F94" s="65" t="n">
        <v>2</v>
      </c>
      <c r="G94" s="85">
        <f>SUMIFS(DuLieu!$E$3:$E$11921,DuLieu!$B$3:$B$101921,$A94,DuLieu!$T$3:$T$101921,"&gt;=8", DuLieu!$T$3:$T$101921,"&lt;=14",DuLieu!$U$3:$U$101921,$R94)</f>
        <v/>
      </c>
      <c r="H94" s="85">
        <f>IF(F94&gt;=G94,F94-G94,0)</f>
        <v/>
      </c>
      <c r="I94" s="78" t="n">
        <v>1</v>
      </c>
      <c r="J94" s="81">
        <f>SUMIFS(DuLieu!$E$3:$E$11921,DuLieu!$B$3:$B$101921,$A94,DuLieu!$T$3:$T$101921,"&gt;=15", DuLieu!$T$3:$T$101921,"&lt;=21",DuLieu!$U$3:$U$101921,$R94)</f>
        <v/>
      </c>
      <c r="K94" s="85">
        <f>IF(I94&gt;=J94,I94-J94,0)</f>
        <v/>
      </c>
      <c r="L94" s="68" t="n">
        <v>1</v>
      </c>
      <c r="M94" s="81">
        <f>SUMIFS(DuLieu!$D$3:$D$101921,DuLieu!$B$3:$B$101921,$A94,DuLieu!$T$3:$T$101921,"&gt;=1", DuLieu!$T$3:$T$101921,"&lt;=7",DuLieu!$U$3:$U$101921,$R94)</f>
        <v/>
      </c>
      <c r="N94" s="85">
        <f>IF(L94&gt;=M94,L94-M94,0)</f>
        <v/>
      </c>
      <c r="O94" s="85" t="n">
        <v>5</v>
      </c>
      <c r="P94" s="81">
        <f>$D94+$G94+$J94+$M94</f>
        <v/>
      </c>
      <c r="Q94" s="85">
        <f>IF(O94&gt;=P94,O94-P94,0)</f>
        <v/>
      </c>
      <c r="R94" s="80" t="n">
        <v>11</v>
      </c>
      <c r="S94" s="91" t="n"/>
      <c r="T94" s="91" t="n"/>
      <c r="U94" s="91" t="n"/>
      <c r="V94" s="91" t="n"/>
      <c r="W94" s="91" t="n"/>
      <c r="X94" s="91" t="n"/>
      <c r="Y94" s="91" t="n"/>
      <c r="Z94" s="91" t="n"/>
      <c r="AA94" s="91" t="n"/>
    </row>
    <row r="95">
      <c r="A95" s="114" t="inlineStr">
        <is>
          <t>Hoàng Văn Chất</t>
        </is>
      </c>
      <c r="B95" s="48" t="inlineStr">
        <is>
          <t>Tiếp thị DV Camera/Mesh</t>
        </is>
      </c>
      <c r="C95" s="68" t="n">
        <v>1</v>
      </c>
      <c r="D95" s="81">
        <f>SUMIFS(DuLieu!$F$3:$F$11921,DuLieu!$B$3:$B$101921,$A95,DuLieu!$T$3:$T$101921,"&gt;=1", DuLieu!$T$3:$T$101921,"&lt;=7",DuLieu!$U$3:$U$101921,$R95)</f>
        <v/>
      </c>
      <c r="E95" s="85">
        <f>IF(C95&gt;=D95,C95-D95,0)</f>
        <v/>
      </c>
      <c r="F95" s="65" t="n">
        <v>0</v>
      </c>
      <c r="G95" s="85">
        <f>SUMIFS(DuLieu!$F$3:$F$11921,DuLieu!$B$3:$B$101921,$A95,DuLieu!$T$3:$T$101921,"&gt;=8", DuLieu!$T$3:$T$101921,"&lt;=14",DuLieu!$U$3:$U$101921,$R95)</f>
        <v/>
      </c>
      <c r="H95" s="85">
        <f>IF(F95&gt;=G95,F95-G95,0)</f>
        <v/>
      </c>
      <c r="I95" s="78" t="n">
        <v>0</v>
      </c>
      <c r="J95" s="81">
        <f>SUMIFS(DuLieu!$F$3:$F$11921,DuLieu!$B$3:$B$101921,$A95,DuLieu!$T$3:$T$101921,"&gt;=15", DuLieu!$T$3:$T$101921,"&lt;=21",DuLieu!$U$3:$U$101921,$R95)</f>
        <v/>
      </c>
      <c r="K95" s="85">
        <f>IF(I95&gt;=J95,I95-J95,0)</f>
        <v/>
      </c>
      <c r="L95" s="68" t="n">
        <v>0</v>
      </c>
      <c r="M95" s="81">
        <f>SUMIFS(DuLieu!$D$3:$D$101921,DuLieu!$B$3:$B$101921,$A95,DuLieu!$T$3:$T$101921,"&gt;=1", DuLieu!$T$3:$T$101921,"&lt;=7",DuLieu!$U$3:$U$101921,$R95)</f>
        <v/>
      </c>
      <c r="N95" s="85">
        <f>IF(L95&gt;=M95,L95-M95,0)</f>
        <v/>
      </c>
      <c r="O95" s="85" t="n">
        <v>6</v>
      </c>
      <c r="P95" s="81">
        <f>$D95+$G95+$J95+$M95</f>
        <v/>
      </c>
      <c r="Q95" s="85">
        <f>IF(O95&gt;=P95,O95-P95,0)</f>
        <v/>
      </c>
      <c r="R95" s="80" t="n">
        <v>11</v>
      </c>
      <c r="S95" s="91" t="n"/>
      <c r="T95" s="91" t="n"/>
      <c r="U95" s="91" t="n"/>
      <c r="V95" s="91" t="n"/>
      <c r="W95" s="91" t="n"/>
      <c r="X95" s="91" t="n"/>
      <c r="Y95" s="91" t="n"/>
      <c r="Z95" s="91" t="n"/>
      <c r="AA95" s="91" t="n"/>
    </row>
    <row r="96">
      <c r="A96" s="114" t="inlineStr">
        <is>
          <t>Hoàng Văn Chất</t>
        </is>
      </c>
      <c r="B96" s="48" t="inlineStr">
        <is>
          <t>Tạm ngưng Fiber</t>
        </is>
      </c>
      <c r="C96" s="73" t="n">
        <v>1</v>
      </c>
      <c r="D96" s="81">
        <f>SUMIFS(DuLieu!$G$3:$G$11921,DuLieu!$B$3:$B$101921,$A96,DuLieu!$T$3:$T$101921,"&gt;=1", DuLieu!$T$3:$T$101921,"&lt;=7",DuLieu!$U$3:$U$101921,$R96)</f>
        <v/>
      </c>
      <c r="E96" s="85">
        <f>IF(C96&gt;=D96,C96-D96,0)</f>
        <v/>
      </c>
      <c r="F96" s="70" t="n">
        <v>1</v>
      </c>
      <c r="G96" s="85">
        <f>SUMIFS(DuLieu!$G$3:$G$11921,DuLieu!$B$3:$B$101921,D96,DuLieu!$T$3:$T$101921,"&gt;=8", DuLieu!$T$3:$T$101921,"&lt;=14",DuLieu!$U$3:$U$101921,$R96)</f>
        <v/>
      </c>
      <c r="H96" s="85">
        <f>IF(F96&gt;=G96,F96-G96,0)</f>
        <v/>
      </c>
      <c r="I96" s="72" t="n">
        <v>1</v>
      </c>
      <c r="J96" s="81">
        <f>SUMIFS(DuLieu!$G$3:$G$11921,DuLieu!$B$3:$B$101921,$A96,DuLieu!$T$3:$T$101921,"&gt;=15", DuLieu!$T$3:$T$101921,"&lt;=21",DuLieu!$U$3:$U$101921,$R96)</f>
        <v/>
      </c>
      <c r="K96" s="85">
        <f>IF(I96&gt;=J96,I96-J96,0)</f>
        <v/>
      </c>
      <c r="L96" s="73" t="n">
        <v>0</v>
      </c>
      <c r="M96" s="81">
        <f>SUMIFS(DuLieu!$D$3:$D$101921,DuLieu!$B$3:$B$101921,$A96,DuLieu!$T$3:$T$101921,"&gt;=1", DuLieu!$T$3:$T$101921,"&lt;=7",DuLieu!$U$3:$U$101921,$R96)</f>
        <v/>
      </c>
      <c r="N96" s="85">
        <f>IF(L96&gt;=M96,L96-M96,0)</f>
        <v/>
      </c>
      <c r="O96" s="85" t="n">
        <v>4</v>
      </c>
      <c r="P96" s="81">
        <f>$D96+$G96+$J96+$M96</f>
        <v/>
      </c>
      <c r="Q96" s="85">
        <f>IF(O96&gt;=P96,O96-P96,0)</f>
        <v/>
      </c>
      <c r="R96" s="80" t="n">
        <v>11</v>
      </c>
      <c r="S96" s="91" t="n"/>
      <c r="T96" s="91" t="n"/>
      <c r="U96" s="91" t="n"/>
      <c r="V96" s="91" t="n"/>
      <c r="W96" s="91" t="n"/>
      <c r="X96" s="91" t="n"/>
      <c r="Y96" s="91" t="n"/>
      <c r="Z96" s="91" t="n"/>
      <c r="AA96" s="91" t="n"/>
    </row>
    <row r="97">
      <c r="A97" s="114" t="inlineStr">
        <is>
          <t>Hoàng Văn Chất</t>
        </is>
      </c>
      <c r="B97" s="48" t="inlineStr">
        <is>
          <t>Tạm ngưng Mytv</t>
        </is>
      </c>
      <c r="C97" s="73" t="n">
        <v>2</v>
      </c>
      <c r="D97" s="81">
        <f>SUMIFS(DuLieu!$H$3:$H$11921,DuLieu!$B$3:$B$101921,$A97,DuLieu!$T$3:$T$101921,"&gt;=1", DuLieu!$T$3:$T$101921,"&lt;=7",DuLieu!$U$3:$U$101921,$R97)</f>
        <v/>
      </c>
      <c r="E97" s="85">
        <f>IF(C97&gt;=D97,C97-D97,0)</f>
        <v/>
      </c>
      <c r="F97" s="70" t="n">
        <v>1</v>
      </c>
      <c r="G97" s="85">
        <f>SUMIFS(DuLieu!$H$3:$H$11921,DuLieu!$B$3:$B$101921,$A97,DuLieu!$T$3:$T$101921,"&gt;=8", DuLieu!$T$3:$T$101921,"&lt;=14",DuLieu!$U$3:$U$101921,$R97)</f>
        <v/>
      </c>
      <c r="H97" s="85">
        <f>IF(F97&gt;=G97,F97-G97,0)</f>
        <v/>
      </c>
      <c r="I97" s="72" t="n">
        <v>1</v>
      </c>
      <c r="J97" s="81">
        <f>SUMIFS(DuLieu!$H$3:$H$11921,DuLieu!$B$3:$B$101921,$A97,DuLieu!$T$3:$T$101921,"&gt;=15", DuLieu!$T$3:$T$101921,"&lt;=21",DuLieu!$U$3:$U$101921,$R97)</f>
        <v/>
      </c>
      <c r="K97" s="85">
        <f>IF(I97&gt;=J97,I97-J97,0)</f>
        <v/>
      </c>
      <c r="L97" s="73" t="n">
        <v>1</v>
      </c>
      <c r="M97" s="81">
        <f>SUMIFS(DuLieu!$D$3:$D$101921,DuLieu!$B$3:$B$101921,$A97,DuLieu!$T$3:$T$101921,"&gt;=1", DuLieu!$T$3:$T$101921,"&lt;=7",DuLieu!$U$3:$U$101921,$R97)</f>
        <v/>
      </c>
      <c r="N97" s="85">
        <f>IF(L97&gt;=M97,L97-M97,0)</f>
        <v/>
      </c>
      <c r="O97" s="85" t="n">
        <v>2</v>
      </c>
      <c r="P97" s="81">
        <f>$D97+$G97+$J97+$M97</f>
        <v/>
      </c>
      <c r="Q97" s="85">
        <f>IF(O97&gt;=P97,O97-P97,0)</f>
        <v/>
      </c>
      <c r="R97" s="80" t="n">
        <v>11</v>
      </c>
      <c r="S97" s="91" t="n"/>
      <c r="T97" s="91" t="n"/>
      <c r="U97" s="91" t="n"/>
      <c r="V97" s="91" t="n"/>
      <c r="W97" s="91" t="n"/>
      <c r="X97" s="91" t="n"/>
      <c r="Y97" s="91" t="n"/>
      <c r="Z97" s="91" t="n"/>
      <c r="AA97" s="91" t="n"/>
    </row>
    <row r="98">
      <c r="A98" s="114" t="inlineStr">
        <is>
          <t>Hoàng Văn Chất</t>
        </is>
      </c>
      <c r="B98" s="48" t="inlineStr">
        <is>
          <t>Thay thế ONT 2 băng tần</t>
        </is>
      </c>
      <c r="C98" s="73" t="n"/>
      <c r="D98" s="81">
        <f>SUMIFS(DuLieu!$I$3:$I$11921,DuLieu!$B$3:$B$101921,$A98,DuLieu!$T$3:$T$101921,"&gt;=1", DuLieu!$T$3:$T$101921,"&lt;=7",DuLieu!$U$3:$U$101921,$R98)</f>
        <v/>
      </c>
      <c r="E98" s="85">
        <f>IF(C98&gt;=D98,C98-D98,0)</f>
        <v/>
      </c>
      <c r="F98" s="59" t="n"/>
      <c r="G98" s="85">
        <f>SUMIFS(DuLieu!$I$3:$I$11921,DuLieu!$B$3:$B$101921,$A98,DuLieu!$T$3:$T$101921,"&gt;=8", DuLieu!$T$3:$T$101921,"&lt;=14",DuLieu!$U$3:$U$101921,$R98)</f>
        <v/>
      </c>
      <c r="H98" s="85">
        <f>IF(F98&gt;=G98,F98-G98,0)</f>
        <v/>
      </c>
      <c r="I98" s="72" t="n"/>
      <c r="J98" s="81">
        <f>SUMIFS(DuLieu!$I$3:$I$11921,DuLieu!$B$3:$B$101921,$A98,DuLieu!$T$3:$T$101921,"&gt;=15", DuLieu!$T$3:$T$101921,"&lt;=21",DuLieu!$U$3:$U$101921,$R98)</f>
        <v/>
      </c>
      <c r="K98" s="85">
        <f>IF(I98&gt;=J98,I98-J98,0)</f>
        <v/>
      </c>
      <c r="L98" s="73" t="n"/>
      <c r="M98" s="81">
        <f>SUMIFS(DuLieu!$D$3:$D$101921,DuLieu!$B$3:$B$101921,$A98,DuLieu!$T$3:$T$101921,"&gt;=1", DuLieu!$T$3:$T$101921,"&lt;=7",DuLieu!$U$3:$U$101921,$R98)</f>
        <v/>
      </c>
      <c r="N98" s="85">
        <f>IF(L98&gt;=M98,L98-M98,0)</f>
        <v/>
      </c>
      <c r="O98" s="85" t="n">
        <v>40</v>
      </c>
      <c r="P98" s="81">
        <f>$D98+$G98+$J98+$M98</f>
        <v/>
      </c>
      <c r="Q98" s="85">
        <f>IF(O98&gt;=P98,O98-P98,0)</f>
        <v/>
      </c>
      <c r="R98" s="80" t="n">
        <v>11</v>
      </c>
      <c r="S98" s="91" t="n"/>
      <c r="T98" s="91" t="n"/>
      <c r="U98" s="91" t="n"/>
      <c r="V98" s="91" t="n"/>
      <c r="W98" s="91" t="n"/>
      <c r="X98" s="91" t="n"/>
      <c r="Y98" s="91" t="n"/>
      <c r="Z98" s="91" t="n"/>
      <c r="AA98" s="91" t="n"/>
    </row>
    <row r="99">
      <c r="A99" s="114" t="inlineStr">
        <is>
          <t>Hoàng Văn Chất</t>
        </is>
      </c>
      <c r="B99" s="48" t="inlineStr">
        <is>
          <t>CSKH HVC chuyển XGSPON</t>
        </is>
      </c>
      <c r="C99" s="73" t="n"/>
      <c r="D99" s="81">
        <f>SUMIFS(DuLieu!$J$3:$J$11921,DuLieu!$B$3:$B$101921,$A99,DuLieu!$T$3:$T$101921,"&gt;=1", DuLieu!$T$3:$T$101921,"&lt;=7",DuLieu!$U$3:$U$101921,$R99)</f>
        <v/>
      </c>
      <c r="E99" s="85">
        <f>IF(C99&gt;=D99,C99-D99,0)</f>
        <v/>
      </c>
      <c r="F99" s="59" t="n"/>
      <c r="G99" s="85">
        <f>SUMIFS(DuLieu!$J$3:$J$11921,DuLieu!$B$3:$B$101921,$A99,DuLieu!$T$3:$T$101921,"&gt;=8", DuLieu!$T$3:$T$101921,"&lt;=14",DuLieu!$U$3:$U$101921,$R99)</f>
        <v/>
      </c>
      <c r="H99" s="85">
        <f>IF(F99&gt;=G99,F99-G99,0)</f>
        <v/>
      </c>
      <c r="I99" s="72" t="n"/>
      <c r="J99" s="81">
        <f>SUMIFS(DuLieu!$J$3:$J$11921,DuLieu!$B$3:$B$101921,$A99,DuLieu!$T$3:$T$101921,"&gt;=15", DuLieu!$T$3:$T$101921,"&lt;=21",DuLieu!$U$3:$U$101921,$R99)</f>
        <v/>
      </c>
      <c r="K99" s="85">
        <f>IF(I99&gt;=J99,I99-J99,0)</f>
        <v/>
      </c>
      <c r="L99" s="73" t="n"/>
      <c r="M99" s="81">
        <f>SUMIFS(DuLieu!$D$3:$D$101921,DuLieu!$B$3:$B$101921,$A99,DuLieu!$T$3:$T$101921,"&gt;=1", DuLieu!$T$3:$T$101921,"&lt;=7",DuLieu!$U$3:$U$101921,$R99)</f>
        <v/>
      </c>
      <c r="N99" s="85">
        <f>IF(L99&gt;=M99,L99-M99,0)</f>
        <v/>
      </c>
      <c r="O99" s="85" t="n">
        <v>20</v>
      </c>
      <c r="P99" s="81">
        <f>$D99+$G99+$J99+$M99</f>
        <v/>
      </c>
      <c r="Q99" s="85">
        <f>IF(O99&gt;=P99,O99-P99,0)</f>
        <v/>
      </c>
      <c r="R99" s="80" t="n">
        <v>11</v>
      </c>
      <c r="S99" s="91" t="n"/>
      <c r="T99" s="91" t="n"/>
      <c r="U99" s="91" t="n"/>
      <c r="V99" s="91" t="n"/>
      <c r="W99" s="91" t="n"/>
      <c r="X99" s="91" t="n"/>
      <c r="Y99" s="91" t="n"/>
      <c r="Z99" s="91" t="n"/>
      <c r="AA99" s="91" t="n"/>
    </row>
    <row r="100">
      <c r="A100" s="114" t="inlineStr">
        <is>
          <t>Hoàng Văn Chất</t>
        </is>
      </c>
      <c r="B100" s="48" t="inlineStr">
        <is>
          <t>Phiếu GHTT tháng T</t>
        </is>
      </c>
      <c r="C100" s="68" t="n">
        <v>58</v>
      </c>
      <c r="D100" s="81">
        <f>SUMIFS(DuLieu!$K$3:$K$11921,DuLieu!$B$3:$B$101921,$A100,DuLieu!$T$3:$T$101921,"&gt;=1", DuLieu!$T$3:$T$101921,"&lt;=7",DuLieu!$U$3:$U$101921,$R100)</f>
        <v/>
      </c>
      <c r="E100" s="85">
        <f>IF(C100&gt;=D100,C100-D100,0)</f>
        <v/>
      </c>
      <c r="F100" s="65" t="n">
        <v>58</v>
      </c>
      <c r="G100" s="85">
        <f>SUMIFS(DuLieu!$K$3:$K$11921,DuLieu!$B$3:$B$101921,$A100,DuLieu!$T$3:$T$101921,"&gt;=8", DuLieu!$T$3:$T$101921,"&lt;=14",DuLieu!$U$3:$U$101921,$R100)</f>
        <v/>
      </c>
      <c r="H100" s="85">
        <f>IF(F100&gt;=G100,F100-G100,0)</f>
        <v/>
      </c>
      <c r="I100" s="78" t="n">
        <v>58</v>
      </c>
      <c r="J100" s="81">
        <f>SUMIFS(DuLieu!$K$3:$K$11921,DuLieu!$B$3:$B$101921,$A100,DuLieu!$T$3:$T$101921,"&gt;=15", DuLieu!$T$3:$T$101921,"&lt;=21",DuLieu!$U$3:$U$101921,$R100)</f>
        <v/>
      </c>
      <c r="K100" s="85">
        <f>IF(I100&gt;=J100,I100-J100,0)</f>
        <v/>
      </c>
      <c r="L100" s="68" t="n">
        <v>57</v>
      </c>
      <c r="M100" s="81">
        <f>SUMIFS(DuLieu!$D$3:$D$101921,DuLieu!$B$3:$B$101921,$A100,DuLieu!$T$3:$T$101921,"&gt;=1", DuLieu!$T$3:$T$101921,"&lt;=7",DuLieu!$U$3:$U$101921,$R100)</f>
        <v/>
      </c>
      <c r="N100" s="85">
        <f>IF(L100&gt;=M100,L100-M100,0)</f>
        <v/>
      </c>
      <c r="O100" s="85" t="n">
        <v>150</v>
      </c>
      <c r="P100" s="81">
        <f>$D100+$G100+$J100+$M100</f>
        <v/>
      </c>
      <c r="Q100" s="85">
        <f>IF(O100&gt;=P100,O100-P100,0)</f>
        <v/>
      </c>
      <c r="R100" s="80" t="n">
        <v>11</v>
      </c>
      <c r="S100" s="91" t="n"/>
      <c r="T100" s="91" t="n"/>
      <c r="U100" s="91" t="n"/>
      <c r="V100" s="91" t="n"/>
      <c r="W100" s="91" t="n"/>
      <c r="X100" s="91" t="n"/>
      <c r="Y100" s="91" t="n"/>
      <c r="Z100" s="91" t="n"/>
      <c r="AA100" s="91" t="n"/>
    </row>
    <row r="101">
      <c r="A101" s="114" t="inlineStr">
        <is>
          <t>Hoàng Văn Chất</t>
        </is>
      </c>
      <c r="B101" s="48" t="inlineStr">
        <is>
          <t>Phiếu GHTT tháng T+1</t>
        </is>
      </c>
      <c r="C101" s="68" t="n">
        <v>9</v>
      </c>
      <c r="D101" s="81">
        <f>SUMIFS(DuLieu!$L$3:$L$11921,DuLieu!$B$3:$B$101921,$A101,DuLieu!$T$3:$T$101921,"&gt;=1", DuLieu!$T$3:$T$101921,"&lt;=7",DuLieu!$U$3:$U$101921,$R101)</f>
        <v/>
      </c>
      <c r="E101" s="85">
        <f>IF(C101&gt;=D101,C101-D101,0)</f>
        <v/>
      </c>
      <c r="F101" s="65" t="n">
        <v>9</v>
      </c>
      <c r="G101" s="85">
        <f>SUMIFS(DuLieu!$L$3:$L$11921,DuLieu!$B$3:$B$101921,$A101,DuLieu!$T$3:$T$101921,"&gt;=8", DuLieu!$T$3:$T$101921,"&lt;=14",DuLieu!$U$3:$U$101921,$R101)</f>
        <v/>
      </c>
      <c r="H101" s="85">
        <f>IF(F101&gt;=G101,F101-G101,0)</f>
        <v/>
      </c>
      <c r="I101" s="72" t="n">
        <v>9</v>
      </c>
      <c r="J101" s="81">
        <f>SUMIFS(DuLieu!$L$3:$L$11921,DuLieu!$B$3:$B$101921,$A101,DuLieu!$T$3:$T$101921,"&gt;=15", DuLieu!$T$3:$T$101921,"&lt;=21",DuLieu!$U$3:$U$101921,$R101)</f>
        <v/>
      </c>
      <c r="K101" s="85">
        <f>IF(I101&gt;=J101,I101-J101,0)</f>
        <v/>
      </c>
      <c r="L101" s="73" t="n">
        <v>8</v>
      </c>
      <c r="M101" s="81">
        <f>SUMIFS(DuLieu!$D$3:$D$101921,DuLieu!$B$3:$B$101921,$A101,DuLieu!$T$3:$T$101921,"&gt;=1", DuLieu!$T$3:$T$101921,"&lt;=7",DuLieu!$U$3:$U$101921,$R101)</f>
        <v/>
      </c>
      <c r="N101" s="85">
        <f>IF(L101&gt;=M101,L101-M101,0)</f>
        <v/>
      </c>
      <c r="O101" s="85" t="n">
        <v>1</v>
      </c>
      <c r="P101" s="81">
        <f>$D101+$G101+$J101+$M101</f>
        <v/>
      </c>
      <c r="Q101" s="85">
        <f>IF(O101&gt;=P101,O101-P101,0)</f>
        <v/>
      </c>
      <c r="R101" s="80" t="n">
        <v>11</v>
      </c>
      <c r="S101" s="91" t="n"/>
      <c r="T101" s="91" t="n"/>
      <c r="U101" s="91" t="n"/>
      <c r="V101" s="91" t="n"/>
      <c r="W101" s="91" t="n"/>
      <c r="X101" s="91" t="n"/>
      <c r="Y101" s="91" t="n"/>
      <c r="Z101" s="91" t="n"/>
      <c r="AA101" s="91" t="n"/>
    </row>
    <row r="102">
      <c r="A102" s="114" t="inlineStr">
        <is>
          <t>Lê Hồng Phong</t>
        </is>
      </c>
      <c r="B102" s="82" t="inlineStr">
        <is>
          <t>Tiếp thị DV Fiber</t>
        </is>
      </c>
      <c r="C102" s="68" t="n">
        <v>2</v>
      </c>
      <c r="D102" s="87">
        <f>SUMIFS(DuLieu!$D$3:$D$11921,DuLieu!$B$3:$B$101921,$A102,DuLieu!$T$3:$T$101921,"&gt;=1", DuLieu!$T$3:$T$101921,"&lt;=7",DuLieu!$U$3:$U$101921,$R102)</f>
        <v/>
      </c>
      <c r="E102" s="86">
        <f>IF(C102&gt;=D102,C102-D102,0)</f>
        <v/>
      </c>
      <c r="F102" s="65" t="n">
        <v>2</v>
      </c>
      <c r="G102" s="86">
        <f>SUMIFS(DuLieu!$D$3:$D$11921,DuLieu!$B$3:$B$101921,$A102,DuLieu!$T$3:$T$101921,"&gt;=8", DuLieu!$T$3:$T$101921,"&lt;=14",DuLieu!$U$3:$U$101921,$R102)</f>
        <v/>
      </c>
      <c r="H102" s="86">
        <f>IF(F102&gt;=G102,F102-G102,0)</f>
        <v/>
      </c>
      <c r="I102" s="78" t="n">
        <v>1</v>
      </c>
      <c r="J102" s="86">
        <f>SUMIFS(DuLieu!$D$3:$D$11921,DuLieu!$B$3:$B$101921,$A102,DuLieu!$T$3:$T$101921,"&gt;=15", DuLieu!$T$3:$T$101921,"&lt;=21",DuLieu!$U$3:$U$101921,$R102)</f>
        <v/>
      </c>
      <c r="K102" s="86">
        <f>IF(I102&gt;=J102,I102-J102,0)</f>
        <v/>
      </c>
      <c r="L102" s="68" t="n">
        <v>1</v>
      </c>
      <c r="M102" s="87">
        <f>SUMIFS(DuLieu!$D$3:$D$101921,DuLieu!$B$3:$B$101921,$A102,DuLieu!$T$3:$T$101921,"&gt;=1", DuLieu!$T$3:$T$101921,"&lt;=7",DuLieu!$U$3:$U$101921,$R102)</f>
        <v/>
      </c>
      <c r="N102" s="86">
        <f>IF(L102&gt;=M102,L102-M102,0)</f>
        <v/>
      </c>
      <c r="O102" s="86" t="n">
        <v>4</v>
      </c>
      <c r="P102" s="87">
        <f>$D102+$G102+$J102+$M102</f>
        <v/>
      </c>
      <c r="Q102" s="86">
        <f>IF(O102&gt;=P102,O102-P102,0)</f>
        <v/>
      </c>
      <c r="R102" s="83" t="n">
        <v>11</v>
      </c>
      <c r="S102" s="84" t="n"/>
      <c r="T102" s="84" t="n"/>
      <c r="U102" s="84" t="n"/>
      <c r="V102" s="84" t="n"/>
      <c r="W102" s="84" t="n"/>
      <c r="X102" s="84" t="n"/>
      <c r="Y102" s="84" t="n"/>
      <c r="Z102" s="84" t="n"/>
      <c r="AA102" s="84" t="n"/>
    </row>
    <row r="103">
      <c r="A103" s="114" t="inlineStr">
        <is>
          <t>Lê Hồng Phong</t>
        </is>
      </c>
      <c r="B103" s="58" t="inlineStr">
        <is>
          <t>Tiếp thị DV MyTV</t>
        </is>
      </c>
      <c r="C103" s="68" t="n">
        <v>2</v>
      </c>
      <c r="D103" s="87">
        <f>SUMIFS(DuLieu!$E$3:$E$11921,DuLieu!$B$3:$B$101921,$A103,DuLieu!$T$3:$T$101921,"&gt;=1", DuLieu!$T$3:$T$101921,"&lt;=7",DuLieu!$U$3:$U$101921,$R103)</f>
        <v/>
      </c>
      <c r="E103" s="87">
        <f>IF(C103&gt;=D103,C103-D103,0)</f>
        <v/>
      </c>
      <c r="F103" s="65" t="n">
        <v>2</v>
      </c>
      <c r="G103" s="87">
        <f>SUMIFS(DuLieu!$E$3:$E$11921,DuLieu!$B$3:$B$101921,$A103,DuLieu!$T$3:$T$101921,"&gt;=8", DuLieu!$T$3:$T$101921,"&lt;=14",DuLieu!$U$3:$U$101921,$R103)</f>
        <v/>
      </c>
      <c r="H103" s="87">
        <f>IF(F103&gt;=G103,F103-G103,0)</f>
        <v/>
      </c>
      <c r="I103" s="78" t="n">
        <v>1</v>
      </c>
      <c r="J103" s="86">
        <f>SUMIFS(DuLieu!$E$3:$E$11921,DuLieu!$B$3:$B$101921,$A103,DuLieu!$T$3:$T$101921,"&gt;=15", DuLieu!$T$3:$T$101921,"&lt;=21",DuLieu!$U$3:$U$101921,$R103)</f>
        <v/>
      </c>
      <c r="K103" s="87">
        <f>IF(I103&gt;=J103,I103-J103,0)</f>
        <v/>
      </c>
      <c r="L103" s="68" t="n">
        <v>1</v>
      </c>
      <c r="M103" s="87">
        <f>SUMIFS(DuLieu!$D$3:$D$101921,DuLieu!$B$3:$B$101921,$A103,DuLieu!$T$3:$T$101921,"&gt;=1", DuLieu!$T$3:$T$101921,"&lt;=7",DuLieu!$U$3:$U$101921,$R103)</f>
        <v/>
      </c>
      <c r="N103" s="87">
        <f>IF(L103&gt;=M103,L103-M103,0)</f>
        <v/>
      </c>
      <c r="O103" s="87" t="n">
        <v>5</v>
      </c>
      <c r="P103" s="87">
        <f>$D103+$G103+$J103+$M103</f>
        <v/>
      </c>
      <c r="Q103" s="87">
        <f>IF(O103&gt;=P103,O103-P103,0)</f>
        <v/>
      </c>
      <c r="R103" s="77" t="n">
        <v>11</v>
      </c>
      <c r="S103" s="91" t="n"/>
      <c r="T103" s="91" t="n"/>
      <c r="U103" s="91" t="n"/>
      <c r="V103" s="91" t="n"/>
      <c r="W103" s="91" t="n"/>
      <c r="X103" s="91" t="n"/>
      <c r="Y103" s="91" t="n"/>
      <c r="Z103" s="91" t="n"/>
      <c r="AA103" s="91" t="n"/>
    </row>
    <row r="104">
      <c r="A104" s="114" t="inlineStr">
        <is>
          <t>Lê Hồng Phong</t>
        </is>
      </c>
      <c r="B104" s="58" t="inlineStr">
        <is>
          <t>Tiếp thị DV Camera/Mesh</t>
        </is>
      </c>
      <c r="C104" s="68" t="n">
        <v>1</v>
      </c>
      <c r="D104" s="87">
        <f>SUMIFS(DuLieu!$F$3:$F$11921,DuLieu!$B$3:$B$101921,$A104,DuLieu!$T$3:$T$101921,"&gt;=1", DuLieu!$T$3:$T$101921,"&lt;=7",DuLieu!$U$3:$U$101921,$R104)</f>
        <v/>
      </c>
      <c r="E104" s="87">
        <f>IF(C104&gt;=D104,C104-D104,0)</f>
        <v/>
      </c>
      <c r="F104" s="65" t="n">
        <v>0</v>
      </c>
      <c r="G104" s="87">
        <f>SUMIFS(DuLieu!$F$3:$F$11921,DuLieu!$B$3:$B$101921,$A104,DuLieu!$T$3:$T$101921,"&gt;=8", DuLieu!$T$3:$T$101921,"&lt;=14",DuLieu!$U$3:$U$101921,$R104)</f>
        <v/>
      </c>
      <c r="H104" s="87">
        <f>IF(F104&gt;=G104,F104-G104,0)</f>
        <v/>
      </c>
      <c r="I104" s="78" t="n">
        <v>0</v>
      </c>
      <c r="J104" s="86">
        <f>SUMIFS(DuLieu!$F$3:$F$11921,DuLieu!$B$3:$B$101921,$A104,DuLieu!$T$3:$T$101921,"&gt;=15", DuLieu!$T$3:$T$101921,"&lt;=21",DuLieu!$U$3:$U$101921,$R104)</f>
        <v/>
      </c>
      <c r="K104" s="87">
        <f>IF(I104&gt;=J104,I104-J104,0)</f>
        <v/>
      </c>
      <c r="L104" s="68" t="n">
        <v>0</v>
      </c>
      <c r="M104" s="87">
        <f>SUMIFS(DuLieu!$D$3:$D$101921,DuLieu!$B$3:$B$101921,$A104,DuLieu!$T$3:$T$101921,"&gt;=1", DuLieu!$T$3:$T$101921,"&lt;=7",DuLieu!$U$3:$U$101921,$R104)</f>
        <v/>
      </c>
      <c r="N104" s="87">
        <f>IF(L104&gt;=M104,L104-M104,0)</f>
        <v/>
      </c>
      <c r="O104" s="87" t="n">
        <v>6</v>
      </c>
      <c r="P104" s="87">
        <f>$D104+$G104+$J104+$M104</f>
        <v/>
      </c>
      <c r="Q104" s="87">
        <f>IF(O104&gt;=P104,O104-P104,0)</f>
        <v/>
      </c>
      <c r="R104" s="77" t="n">
        <v>11</v>
      </c>
      <c r="S104" s="91" t="n"/>
      <c r="T104" s="91" t="n"/>
      <c r="U104" s="91" t="n"/>
      <c r="V104" s="91" t="n"/>
      <c r="W104" s="91" t="n"/>
      <c r="X104" s="91" t="n"/>
      <c r="Y104" s="91" t="n"/>
      <c r="Z104" s="91" t="n"/>
      <c r="AA104" s="91" t="n"/>
    </row>
    <row r="105">
      <c r="A105" s="114" t="inlineStr">
        <is>
          <t>Lê Hồng Phong</t>
        </is>
      </c>
      <c r="B105" s="58" t="inlineStr">
        <is>
          <t>Tạm ngưng Fiber</t>
        </is>
      </c>
      <c r="C105" s="73" t="n">
        <v>1</v>
      </c>
      <c r="D105" s="87">
        <f>SUMIFS(DuLieu!$G$3:$G$11921,DuLieu!$B$3:$B$101921,$A105,DuLieu!$T$3:$T$101921,"&gt;=1", DuLieu!$T$3:$T$101921,"&lt;=7",DuLieu!$U$3:$U$101921,$R105)</f>
        <v/>
      </c>
      <c r="E105" s="87">
        <f>IF(C105&gt;=D105,C105-D105,0)</f>
        <v/>
      </c>
      <c r="F105" s="70" t="n">
        <v>1</v>
      </c>
      <c r="G105" s="87">
        <f>SUMIFS(DuLieu!$G$3:$G$11921,DuLieu!$B$3:$B$101921,D105,DuLieu!$T$3:$T$101921,"&gt;=8", DuLieu!$T$3:$T$101921,"&lt;=14",DuLieu!$U$3:$U$101921,$R105)</f>
        <v/>
      </c>
      <c r="H105" s="87">
        <f>IF(F105&gt;=G105,F105-G105,0)</f>
        <v/>
      </c>
      <c r="I105" s="72" t="n">
        <v>1</v>
      </c>
      <c r="J105" s="86">
        <f>SUMIFS(DuLieu!$G$3:$G$11921,DuLieu!$B$3:$B$101921,$A105,DuLieu!$T$3:$T$101921,"&gt;=15", DuLieu!$T$3:$T$101921,"&lt;=21",DuLieu!$U$3:$U$101921,$R105)</f>
        <v/>
      </c>
      <c r="K105" s="87">
        <f>IF(I105&gt;=J105,I105-J105,0)</f>
        <v/>
      </c>
      <c r="L105" s="73" t="n">
        <v>0</v>
      </c>
      <c r="M105" s="87">
        <f>SUMIFS(DuLieu!$D$3:$D$101921,DuLieu!$B$3:$B$101921,$A105,DuLieu!$T$3:$T$101921,"&gt;=1", DuLieu!$T$3:$T$101921,"&lt;=7",DuLieu!$U$3:$U$101921,$R105)</f>
        <v/>
      </c>
      <c r="N105" s="87">
        <f>IF(L105&gt;=M105,L105-M105,0)</f>
        <v/>
      </c>
      <c r="O105" s="87" t="n">
        <v>4</v>
      </c>
      <c r="P105" s="87">
        <f>$D105+$G105+$J105+$M105</f>
        <v/>
      </c>
      <c r="Q105" s="87">
        <f>IF(O105&gt;=P105,O105-P105,0)</f>
        <v/>
      </c>
      <c r="R105" s="77" t="n">
        <v>11</v>
      </c>
      <c r="S105" s="91" t="n"/>
      <c r="T105" s="91" t="n"/>
      <c r="U105" s="91" t="n"/>
      <c r="V105" s="91" t="n"/>
      <c r="W105" s="91" t="n"/>
      <c r="X105" s="91" t="n"/>
      <c r="Y105" s="91" t="n"/>
      <c r="Z105" s="91" t="n"/>
      <c r="AA105" s="91" t="n"/>
    </row>
    <row r="106">
      <c r="A106" s="114" t="inlineStr">
        <is>
          <t>Lê Hồng Phong</t>
        </is>
      </c>
      <c r="B106" s="58" t="inlineStr">
        <is>
          <t>Tạm ngưng Mytv</t>
        </is>
      </c>
      <c r="C106" s="73" t="n">
        <v>2</v>
      </c>
      <c r="D106" s="87">
        <f>SUMIFS(DuLieu!$H$3:$H$11921,DuLieu!$B$3:$B$101921,$A106,DuLieu!$T$3:$T$101921,"&gt;=1", DuLieu!$T$3:$T$101921,"&lt;=7",DuLieu!$U$3:$U$101921,$R106)</f>
        <v/>
      </c>
      <c r="E106" s="87">
        <f>IF(C106&gt;=D106,C106-D106,0)</f>
        <v/>
      </c>
      <c r="F106" s="70" t="n">
        <v>1</v>
      </c>
      <c r="G106" s="87">
        <f>SUMIFS(DuLieu!$H$3:$H$11921,DuLieu!$B$3:$B$101921,$A106,DuLieu!$T$3:$T$101921,"&gt;=8", DuLieu!$T$3:$T$101921,"&lt;=14",DuLieu!$U$3:$U$101921,$R106)</f>
        <v/>
      </c>
      <c r="H106" s="87">
        <f>IF(F106&gt;=G106,F106-G106,0)</f>
        <v/>
      </c>
      <c r="I106" s="72" t="n">
        <v>1</v>
      </c>
      <c r="J106" s="86">
        <f>SUMIFS(DuLieu!$H$3:$H$11921,DuLieu!$B$3:$B$101921,$A106,DuLieu!$T$3:$T$101921,"&gt;=15", DuLieu!$T$3:$T$101921,"&lt;=21",DuLieu!$U$3:$U$101921,$R106)</f>
        <v/>
      </c>
      <c r="K106" s="87">
        <f>IF(I106&gt;=J106,I106-J106,0)</f>
        <v/>
      </c>
      <c r="L106" s="73" t="n">
        <v>1</v>
      </c>
      <c r="M106" s="87">
        <f>SUMIFS(DuLieu!$D$3:$D$101921,DuLieu!$B$3:$B$101921,$A106,DuLieu!$T$3:$T$101921,"&gt;=1", DuLieu!$T$3:$T$101921,"&lt;=7",DuLieu!$U$3:$U$101921,$R106)</f>
        <v/>
      </c>
      <c r="N106" s="87">
        <f>IF(L106&gt;=M106,L106-M106,0)</f>
        <v/>
      </c>
      <c r="O106" s="87" t="n">
        <v>2</v>
      </c>
      <c r="P106" s="87">
        <f>$D106+$G106+$J106+$M106</f>
        <v/>
      </c>
      <c r="Q106" s="87">
        <f>IF(O106&gt;=P106,O106-P106,0)</f>
        <v/>
      </c>
      <c r="R106" s="77" t="n">
        <v>11</v>
      </c>
      <c r="S106" s="91" t="n"/>
      <c r="T106" s="91" t="n"/>
      <c r="U106" s="91" t="n"/>
      <c r="V106" s="91" t="n"/>
      <c r="W106" s="91" t="n"/>
      <c r="X106" s="91" t="n"/>
      <c r="Y106" s="91" t="n"/>
      <c r="Z106" s="91" t="n"/>
      <c r="AA106" s="91" t="n"/>
    </row>
    <row r="107">
      <c r="A107" s="114" t="inlineStr">
        <is>
          <t>Lê Hồng Phong</t>
        </is>
      </c>
      <c r="B107" s="58" t="inlineStr">
        <is>
          <t>Thay thế ONT 2 băng tần</t>
        </is>
      </c>
      <c r="C107" s="73" t="n"/>
      <c r="D107" s="87">
        <f>SUMIFS(DuLieu!$I$3:$I$11921,DuLieu!$B$3:$B$101921,$A107,DuLieu!$T$3:$T$101921,"&gt;=1", DuLieu!$T$3:$T$101921,"&lt;=7",DuLieu!$U$3:$U$101921,$R107)</f>
        <v/>
      </c>
      <c r="E107" s="87">
        <f>IF(C107&gt;=D107,C107-D107,0)</f>
        <v/>
      </c>
      <c r="F107" s="59" t="n"/>
      <c r="G107" s="87">
        <f>SUMIFS(DuLieu!$I$3:$I$11921,DuLieu!$B$3:$B$101921,$A107,DuLieu!$T$3:$T$101921,"&gt;=8", DuLieu!$T$3:$T$101921,"&lt;=14",DuLieu!$U$3:$U$101921,$R107)</f>
        <v/>
      </c>
      <c r="H107" s="87">
        <f>IF(F107&gt;=G107,F107-G107,0)</f>
        <v/>
      </c>
      <c r="I107" s="72" t="n"/>
      <c r="J107" s="86">
        <f>SUMIFS(DuLieu!$I$3:$I$11921,DuLieu!$B$3:$B$101921,$A107,DuLieu!$T$3:$T$101921,"&gt;=15", DuLieu!$T$3:$T$101921,"&lt;=21",DuLieu!$U$3:$U$101921,$R107)</f>
        <v/>
      </c>
      <c r="K107" s="87">
        <f>IF(I107&gt;=J107,I107-J107,0)</f>
        <v/>
      </c>
      <c r="L107" s="73" t="n"/>
      <c r="M107" s="87">
        <f>SUMIFS(DuLieu!$D$3:$D$101921,DuLieu!$B$3:$B$101921,$A107,DuLieu!$T$3:$T$101921,"&gt;=1", DuLieu!$T$3:$T$101921,"&lt;=7",DuLieu!$U$3:$U$101921,$R107)</f>
        <v/>
      </c>
      <c r="N107" s="87">
        <f>IF(L107&gt;=M107,L107-M107,0)</f>
        <v/>
      </c>
      <c r="O107" s="87" t="n">
        <v>40</v>
      </c>
      <c r="P107" s="87">
        <f>$D107+$G107+$J107+$M107</f>
        <v/>
      </c>
      <c r="Q107" s="87">
        <f>IF(O107&gt;=P107,O107-P107,0)</f>
        <v/>
      </c>
      <c r="R107" s="77" t="n">
        <v>11</v>
      </c>
      <c r="S107" s="91" t="n"/>
      <c r="T107" s="91" t="n"/>
      <c r="U107" s="91" t="n"/>
      <c r="V107" s="91" t="n"/>
      <c r="W107" s="91" t="n"/>
      <c r="X107" s="91" t="n"/>
      <c r="Y107" s="91" t="n"/>
      <c r="Z107" s="91" t="n"/>
      <c r="AA107" s="91" t="n"/>
    </row>
    <row r="108">
      <c r="A108" s="114" t="inlineStr">
        <is>
          <t>Lê Hồng Phong</t>
        </is>
      </c>
      <c r="B108" s="58" t="inlineStr">
        <is>
          <t>CSKH HVC chuyển XGSPON</t>
        </is>
      </c>
      <c r="C108" s="73" t="n"/>
      <c r="D108" s="87">
        <f>SUMIFS(DuLieu!$J$3:$J$11921,DuLieu!$B$3:$B$101921,$A108,DuLieu!$T$3:$T$101921,"&gt;=1", DuLieu!$T$3:$T$101921,"&lt;=7",DuLieu!$U$3:$U$101921,$R108)</f>
        <v/>
      </c>
      <c r="E108" s="87">
        <f>IF(C108&gt;=D108,C108-D108,0)</f>
        <v/>
      </c>
      <c r="F108" s="59" t="n"/>
      <c r="G108" s="87">
        <f>SUMIFS(DuLieu!$J$3:$J$11921,DuLieu!$B$3:$B$101921,$A108,DuLieu!$T$3:$T$101921,"&gt;=8", DuLieu!$T$3:$T$101921,"&lt;=14",DuLieu!$U$3:$U$101921,$R108)</f>
        <v/>
      </c>
      <c r="H108" s="87">
        <f>IF(F108&gt;=G108,F108-G108,0)</f>
        <v/>
      </c>
      <c r="I108" s="72" t="n"/>
      <c r="J108" s="86">
        <f>SUMIFS(DuLieu!$J$3:$J$11921,DuLieu!$B$3:$B$101921,$A108,DuLieu!$T$3:$T$101921,"&gt;=15", DuLieu!$T$3:$T$101921,"&lt;=21",DuLieu!$U$3:$U$101921,$R108)</f>
        <v/>
      </c>
      <c r="K108" s="87">
        <f>IF(I108&gt;=J108,I108-J108,0)</f>
        <v/>
      </c>
      <c r="L108" s="73" t="n"/>
      <c r="M108" s="87">
        <f>SUMIFS(DuLieu!$D$3:$D$101921,DuLieu!$B$3:$B$101921,$A108,DuLieu!$T$3:$T$101921,"&gt;=1", DuLieu!$T$3:$T$101921,"&lt;=7",DuLieu!$U$3:$U$101921,$R108)</f>
        <v/>
      </c>
      <c r="N108" s="87">
        <f>IF(L108&gt;=M108,L108-M108,0)</f>
        <v/>
      </c>
      <c r="O108" s="87" t="n">
        <v>20</v>
      </c>
      <c r="P108" s="87">
        <f>$D108+$G108+$J108+$M108</f>
        <v/>
      </c>
      <c r="Q108" s="87">
        <f>IF(O108&gt;=P108,O108-P108,0)</f>
        <v/>
      </c>
      <c r="R108" s="77" t="n">
        <v>11</v>
      </c>
      <c r="S108" s="91" t="n"/>
      <c r="T108" s="91" t="n"/>
      <c r="U108" s="91" t="n"/>
      <c r="V108" s="91" t="n"/>
      <c r="W108" s="91" t="n"/>
      <c r="X108" s="91" t="n"/>
      <c r="Y108" s="91" t="n"/>
      <c r="Z108" s="91" t="n"/>
      <c r="AA108" s="91" t="n"/>
    </row>
    <row r="109">
      <c r="A109" s="114" t="inlineStr">
        <is>
          <t>Lê Hồng Phong</t>
        </is>
      </c>
      <c r="B109" s="58" t="inlineStr">
        <is>
          <t>Phiếu GHTT tháng T</t>
        </is>
      </c>
      <c r="C109" s="68" t="n">
        <v>50</v>
      </c>
      <c r="D109" s="87">
        <f>SUMIFS(DuLieu!$K$3:$K$11921,DuLieu!$B$3:$B$101921,$A109,DuLieu!$T$3:$T$101921,"&gt;=1", DuLieu!$T$3:$T$101921,"&lt;=7",DuLieu!$U$3:$U$101921,$R109)</f>
        <v/>
      </c>
      <c r="E109" s="87">
        <f>IF(C109&gt;=D109,C109-D109,0)</f>
        <v/>
      </c>
      <c r="F109" s="65" t="n">
        <v>49</v>
      </c>
      <c r="G109" s="87">
        <f>SUMIFS(DuLieu!$K$3:$K$11921,DuLieu!$B$3:$B$101921,$A109,DuLieu!$T$3:$T$101921,"&gt;=8", DuLieu!$T$3:$T$101921,"&lt;=14",DuLieu!$U$3:$U$101921,$R109)</f>
        <v/>
      </c>
      <c r="H109" s="87">
        <f>IF(F109&gt;=G109,F109-G109,0)</f>
        <v/>
      </c>
      <c r="I109" s="78" t="n">
        <v>49</v>
      </c>
      <c r="J109" s="86">
        <f>SUMIFS(DuLieu!$K$3:$K$11921,DuLieu!$B$3:$B$101921,$A109,DuLieu!$T$3:$T$101921,"&gt;=15", DuLieu!$T$3:$T$101921,"&lt;=21",DuLieu!$U$3:$U$101921,$R109)</f>
        <v/>
      </c>
      <c r="K109" s="87">
        <f>IF(I109&gt;=J109,I109-J109,0)</f>
        <v/>
      </c>
      <c r="L109" s="68" t="n">
        <v>49</v>
      </c>
      <c r="M109" s="87">
        <f>SUMIFS(DuLieu!$D$3:$D$101921,DuLieu!$B$3:$B$101921,$A109,DuLieu!$T$3:$T$101921,"&gt;=1", DuLieu!$T$3:$T$101921,"&lt;=7",DuLieu!$U$3:$U$101921,$R109)</f>
        <v/>
      </c>
      <c r="N109" s="87">
        <f>IF(L109&gt;=M109,L109-M109,0)</f>
        <v/>
      </c>
      <c r="O109" s="87" t="n">
        <v>150</v>
      </c>
      <c r="P109" s="87">
        <f>$D109+$G109+$J109+$M109</f>
        <v/>
      </c>
      <c r="Q109" s="87">
        <f>IF(O109&gt;=P109,O109-P109,0)</f>
        <v/>
      </c>
      <c r="R109" s="77" t="n">
        <v>11</v>
      </c>
      <c r="S109" s="91" t="n"/>
      <c r="T109" s="91" t="n"/>
      <c r="U109" s="91" t="n"/>
      <c r="V109" s="91" t="n"/>
      <c r="W109" s="91" t="n"/>
      <c r="X109" s="91" t="n"/>
      <c r="Y109" s="91" t="n"/>
      <c r="Z109" s="91" t="n"/>
      <c r="AA109" s="91" t="n"/>
    </row>
    <row r="110">
      <c r="A110" s="114" t="inlineStr">
        <is>
          <t>Lê Hồng Phong</t>
        </is>
      </c>
      <c r="B110" s="58" t="inlineStr">
        <is>
          <t>Phiếu GHTT tháng T+1</t>
        </is>
      </c>
      <c r="C110" s="68" t="n">
        <v>12</v>
      </c>
      <c r="D110" s="87">
        <f>SUMIFS(DuLieu!$L$3:$L$11921,DuLieu!$B$3:$B$101921,$A110,DuLieu!$T$3:$T$101921,"&gt;=1", DuLieu!$T$3:$T$101921,"&lt;=7",DuLieu!$U$3:$U$101921,$R110)</f>
        <v/>
      </c>
      <c r="E110" s="87">
        <f>IF(C110&gt;=D110,C110-D110,0)</f>
        <v/>
      </c>
      <c r="F110" s="65" t="n">
        <v>10</v>
      </c>
      <c r="G110" s="87">
        <f>SUMIFS(DuLieu!$L$3:$L$11921,DuLieu!$B$3:$B$101921,$A110,DuLieu!$T$3:$T$101921,"&gt;=8", DuLieu!$T$3:$T$101921,"&lt;=14",DuLieu!$U$3:$U$101921,$R110)</f>
        <v/>
      </c>
      <c r="H110" s="87">
        <f>IF(F110&gt;=G110,F110-G110,0)</f>
        <v/>
      </c>
      <c r="I110" s="72" t="n">
        <v>10</v>
      </c>
      <c r="J110" s="86">
        <f>SUMIFS(DuLieu!$L$3:$L$11921,DuLieu!$B$3:$B$101921,$A110,DuLieu!$T$3:$T$101921,"&gt;=15", DuLieu!$T$3:$T$101921,"&lt;=21",DuLieu!$U$3:$U$101921,$R110)</f>
        <v/>
      </c>
      <c r="K110" s="87">
        <f>IF(I110&gt;=J110,I110-J110,0)</f>
        <v/>
      </c>
      <c r="L110" s="73" t="n">
        <v>10</v>
      </c>
      <c r="M110" s="87">
        <f>SUMIFS(DuLieu!$D$3:$D$101921,DuLieu!$B$3:$B$101921,$A110,DuLieu!$T$3:$T$101921,"&gt;=1", DuLieu!$T$3:$T$101921,"&lt;=7",DuLieu!$U$3:$U$101921,$R110)</f>
        <v/>
      </c>
      <c r="N110" s="87">
        <f>IF(L110&gt;=M110,L110-M110,0)</f>
        <v/>
      </c>
      <c r="O110" s="87" t="n">
        <v>1</v>
      </c>
      <c r="P110" s="87">
        <f>$D110+$G110+$J110+$M110</f>
        <v/>
      </c>
      <c r="Q110" s="87">
        <f>IF(O110&gt;=P110,O110-P110,0)</f>
        <v/>
      </c>
      <c r="R110" s="77" t="n">
        <v>11</v>
      </c>
      <c r="S110" s="91" t="n"/>
      <c r="T110" s="91" t="n"/>
      <c r="U110" s="91" t="n"/>
      <c r="V110" s="91" t="n"/>
      <c r="W110" s="91" t="n"/>
      <c r="X110" s="91" t="n"/>
      <c r="Y110" s="91" t="n"/>
      <c r="Z110" s="91" t="n"/>
      <c r="AA110" s="91" t="n"/>
    </row>
    <row r="111">
      <c r="A111" s="114" t="inlineStr">
        <is>
          <t>Hồ Xuân Việt</t>
        </is>
      </c>
      <c r="B111" s="48" t="inlineStr">
        <is>
          <t>Tiếp thị DV Fiber</t>
        </is>
      </c>
      <c r="C111" s="68" t="n">
        <v>2</v>
      </c>
      <c r="D111" s="81">
        <f>SUMIFS(DuLieu!$D$3:$D$11921,DuLieu!$B$3:$B$101921,$A111,DuLieu!$T$3:$T$101921,"&gt;=1", DuLieu!$T$3:$T$101921,"&lt;=7",DuLieu!$U$3:$U$101921,$R111)</f>
        <v/>
      </c>
      <c r="E111" s="85">
        <f>IF(C111&gt;=D111,C111-D111,0)</f>
        <v/>
      </c>
      <c r="F111" s="65" t="n">
        <v>2</v>
      </c>
      <c r="G111" s="85">
        <f>SUMIFS(DuLieu!$D$3:$D$11921,DuLieu!$B$3:$B$101921,$A111,DuLieu!$T$3:$T$101921,"&gt;=8", DuLieu!$T$3:$T$101921,"&lt;=14",DuLieu!$U$3:$U$101921,$R111)</f>
        <v/>
      </c>
      <c r="H111" s="85">
        <f>IF(F111&gt;=G111,F111-G111,0)</f>
        <v/>
      </c>
      <c r="I111" s="78" t="n">
        <v>2</v>
      </c>
      <c r="J111" s="81">
        <f>SUMIFS(DuLieu!$D$3:$D$11921,DuLieu!$B$3:$B$101921,$A111,DuLieu!$T$3:$T$101921,"&gt;=15", DuLieu!$T$3:$T$101921,"&lt;=21",DuLieu!$U$3:$U$101921,$R111)</f>
        <v/>
      </c>
      <c r="K111" s="85">
        <f>IF(I111&gt;=J111,I111-J111,0)</f>
        <v/>
      </c>
      <c r="L111" s="68" t="n">
        <v>1</v>
      </c>
      <c r="M111" s="81">
        <f>SUMIFS(DuLieu!$D$3:$D$101921,DuLieu!$B$3:$B$101921,$A111,DuLieu!$T$3:$T$101921,"&gt;=1", DuLieu!$T$3:$T$101921,"&lt;=7",DuLieu!$U$3:$U$101921,$R111)</f>
        <v/>
      </c>
      <c r="N111" s="85">
        <f>IF(L111&gt;=M111,L111-M111,0)</f>
        <v/>
      </c>
      <c r="O111" s="85" t="n">
        <v>7</v>
      </c>
      <c r="P111" s="81">
        <f>$D111+$G111+$J111+$M111</f>
        <v/>
      </c>
      <c r="Q111" s="85">
        <f>IF(O111&gt;=P111,O111-P111,0)</f>
        <v/>
      </c>
      <c r="R111" s="80" t="n">
        <v>11</v>
      </c>
      <c r="S111" s="91" t="n"/>
      <c r="T111" s="91" t="n"/>
      <c r="U111" s="91" t="n"/>
      <c r="V111" s="91" t="n"/>
      <c r="W111" s="91" t="n"/>
      <c r="X111" s="91" t="n"/>
      <c r="Y111" s="91" t="n"/>
      <c r="Z111" s="91" t="n"/>
      <c r="AA111" s="91" t="n"/>
    </row>
    <row r="112">
      <c r="A112" s="114" t="inlineStr">
        <is>
          <t>Hồ Xuân Việt</t>
        </is>
      </c>
      <c r="B112" s="48" t="inlineStr">
        <is>
          <t>Tiếp thị DV MyTV</t>
        </is>
      </c>
      <c r="C112" s="68" t="n">
        <v>2</v>
      </c>
      <c r="D112" s="81">
        <f>SUMIFS(DuLieu!$E$3:$E$11921,DuLieu!$B$3:$B$101921,$A112,DuLieu!$T$3:$T$101921,"&gt;=1", DuLieu!$T$3:$T$101921,"&lt;=7",DuLieu!$U$3:$U$101921,$R112)</f>
        <v/>
      </c>
      <c r="E112" s="85">
        <f>IF(C112&gt;=D112,C112-D112,0)</f>
        <v/>
      </c>
      <c r="F112" s="65" t="n">
        <v>2</v>
      </c>
      <c r="G112" s="85">
        <f>SUMIFS(DuLieu!$E$3:$E$11921,DuLieu!$B$3:$B$101921,$A112,DuLieu!$T$3:$T$101921,"&gt;=8", DuLieu!$T$3:$T$101921,"&lt;=14",DuLieu!$U$3:$U$101921,$R112)</f>
        <v/>
      </c>
      <c r="H112" s="85">
        <f>IF(F112&gt;=G112,F112-G112,0)</f>
        <v/>
      </c>
      <c r="I112" s="78" t="n">
        <v>2</v>
      </c>
      <c r="J112" s="81">
        <f>SUMIFS(DuLieu!$E$3:$E$11921,DuLieu!$B$3:$B$101921,$A112,DuLieu!$T$3:$T$101921,"&gt;=15", DuLieu!$T$3:$T$101921,"&lt;=21",DuLieu!$U$3:$U$101921,$R112)</f>
        <v/>
      </c>
      <c r="K112" s="85">
        <f>IF(I112&gt;=J112,I112-J112,0)</f>
        <v/>
      </c>
      <c r="L112" s="68" t="n">
        <v>1</v>
      </c>
      <c r="M112" s="81">
        <f>SUMIFS(DuLieu!$D$3:$D$101921,DuLieu!$B$3:$B$101921,$A112,DuLieu!$T$3:$T$101921,"&gt;=1", DuLieu!$T$3:$T$101921,"&lt;=7",DuLieu!$U$3:$U$101921,$R112)</f>
        <v/>
      </c>
      <c r="N112" s="85">
        <f>IF(L112&gt;=M112,L112-M112,0)</f>
        <v/>
      </c>
      <c r="O112" s="85" t="n">
        <v>7</v>
      </c>
      <c r="P112" s="81">
        <f>$D112+$G112+$J112+$M112</f>
        <v/>
      </c>
      <c r="Q112" s="85">
        <f>IF(O112&gt;=P112,O112-P112,0)</f>
        <v/>
      </c>
      <c r="R112" s="80" t="n">
        <v>11</v>
      </c>
      <c r="S112" s="91" t="n"/>
      <c r="T112" s="91" t="n"/>
      <c r="U112" s="91" t="n"/>
      <c r="V112" s="91" t="n"/>
      <c r="W112" s="91" t="n"/>
      <c r="X112" s="91" t="n"/>
      <c r="Y112" s="91" t="n"/>
      <c r="Z112" s="91" t="n"/>
      <c r="AA112" s="91" t="n"/>
    </row>
    <row r="113">
      <c r="A113" s="114" t="inlineStr">
        <is>
          <t>Hồ Xuân Việt</t>
        </is>
      </c>
      <c r="B113" s="48" t="inlineStr">
        <is>
          <t>Tiếp thị DV Camera/Mesh</t>
        </is>
      </c>
      <c r="C113" s="68" t="n">
        <v>1</v>
      </c>
      <c r="D113" s="81">
        <f>SUMIFS(DuLieu!$F$3:$F$11921,DuLieu!$B$3:$B$101921,$A113,DuLieu!$T$3:$T$101921,"&gt;=1", DuLieu!$T$3:$T$101921,"&lt;=7",DuLieu!$U$3:$U$101921,$R113)</f>
        <v/>
      </c>
      <c r="E113" s="85">
        <f>IF(C113&gt;=D113,C113-D113,0)</f>
        <v/>
      </c>
      <c r="F113" s="65" t="n">
        <v>1</v>
      </c>
      <c r="G113" s="85">
        <f>SUMIFS(DuLieu!$F$3:$F$11921,DuLieu!$B$3:$B$101921,$A113,DuLieu!$T$3:$T$101921,"&gt;=8", DuLieu!$T$3:$T$101921,"&lt;=14",DuLieu!$U$3:$U$101921,$R113)</f>
        <v/>
      </c>
      <c r="H113" s="85">
        <f>IF(F113&gt;=G113,F113-G113,0)</f>
        <v/>
      </c>
      <c r="I113" s="78" t="n">
        <v>1</v>
      </c>
      <c r="J113" s="81">
        <f>SUMIFS(DuLieu!$F$3:$F$11921,DuLieu!$B$3:$B$101921,$A113,DuLieu!$T$3:$T$101921,"&gt;=15", DuLieu!$T$3:$T$101921,"&lt;=21",DuLieu!$U$3:$U$101921,$R113)</f>
        <v/>
      </c>
      <c r="K113" s="85">
        <f>IF(I113&gt;=J113,I113-J113,0)</f>
        <v/>
      </c>
      <c r="L113" s="68" t="n">
        <v>1</v>
      </c>
      <c r="M113" s="81">
        <f>SUMIFS(DuLieu!$D$3:$D$101921,DuLieu!$B$3:$B$101921,$A113,DuLieu!$T$3:$T$101921,"&gt;=1", DuLieu!$T$3:$T$101921,"&lt;=7",DuLieu!$U$3:$U$101921,$R113)</f>
        <v/>
      </c>
      <c r="N113" s="85">
        <f>IF(L113&gt;=M113,L113-M113,0)</f>
        <v/>
      </c>
      <c r="O113" s="85" t="n">
        <v>4</v>
      </c>
      <c r="P113" s="81">
        <f>$D113+$G113+$J113+$M113</f>
        <v/>
      </c>
      <c r="Q113" s="85">
        <f>IF(O113&gt;=P113,O113-P113,0)</f>
        <v/>
      </c>
      <c r="R113" s="80" t="n">
        <v>11</v>
      </c>
      <c r="S113" s="91" t="n"/>
      <c r="T113" s="91" t="n"/>
      <c r="U113" s="91" t="n"/>
      <c r="V113" s="91" t="n"/>
      <c r="W113" s="91" t="n"/>
      <c r="X113" s="91" t="n"/>
      <c r="Y113" s="91" t="n"/>
      <c r="Z113" s="91" t="n"/>
      <c r="AA113" s="91" t="n"/>
    </row>
    <row r="114">
      <c r="A114" s="114" t="inlineStr">
        <is>
          <t>Hồ Xuân Việt</t>
        </is>
      </c>
      <c r="B114" s="48" t="inlineStr">
        <is>
          <t>Tạm ngưng Fiber</t>
        </is>
      </c>
      <c r="C114" s="73" t="n">
        <v>1</v>
      </c>
      <c r="D114" s="81">
        <f>SUMIFS(DuLieu!$G$3:$G$11921,DuLieu!$B$3:$B$101921,$A114,DuLieu!$T$3:$T$101921,"&gt;=1", DuLieu!$T$3:$T$101921,"&lt;=7",DuLieu!$U$3:$U$101921,$R114)</f>
        <v/>
      </c>
      <c r="E114" s="85">
        <f>IF(C114&gt;=D114,C114-D114,0)</f>
        <v/>
      </c>
      <c r="F114" s="70" t="n">
        <v>1</v>
      </c>
      <c r="G114" s="85">
        <f>SUMIFS(DuLieu!$G$3:$G$11921,DuLieu!$B$3:$B$101921,D114,DuLieu!$T$3:$T$101921,"&gt;=8", DuLieu!$T$3:$T$101921,"&lt;=14",DuLieu!$U$3:$U$101921,$R114)</f>
        <v/>
      </c>
      <c r="H114" s="85">
        <f>IF(F114&gt;=G114,F114-G114,0)</f>
        <v/>
      </c>
      <c r="I114" s="72" t="n">
        <v>1</v>
      </c>
      <c r="J114" s="81">
        <f>SUMIFS(DuLieu!$G$3:$G$11921,DuLieu!$B$3:$B$101921,$A114,DuLieu!$T$3:$T$101921,"&gt;=15", DuLieu!$T$3:$T$101921,"&lt;=21",DuLieu!$U$3:$U$101921,$R114)</f>
        <v/>
      </c>
      <c r="K114" s="85">
        <f>IF(I114&gt;=J114,I114-J114,0)</f>
        <v/>
      </c>
      <c r="L114" s="73" t="n">
        <v>1</v>
      </c>
      <c r="M114" s="81">
        <f>SUMIFS(DuLieu!$D$3:$D$101921,DuLieu!$B$3:$B$101921,$A114,DuLieu!$T$3:$T$101921,"&gt;=1", DuLieu!$T$3:$T$101921,"&lt;=7",DuLieu!$U$3:$U$101921,$R114)</f>
        <v/>
      </c>
      <c r="N114" s="85">
        <f>IF(L114&gt;=M114,L114-M114,0)</f>
        <v/>
      </c>
      <c r="O114" s="85" t="n">
        <v>4</v>
      </c>
      <c r="P114" s="81">
        <f>$D114+$G114+$J114+$M114</f>
        <v/>
      </c>
      <c r="Q114" s="85">
        <f>IF(O114&gt;=P114,O114-P114,0)</f>
        <v/>
      </c>
      <c r="R114" s="80" t="n">
        <v>11</v>
      </c>
      <c r="S114" s="91" t="n"/>
      <c r="T114" s="91" t="n"/>
      <c r="U114" s="91" t="n"/>
      <c r="V114" s="91" t="n"/>
      <c r="W114" s="91" t="n"/>
      <c r="X114" s="91" t="n"/>
      <c r="Y114" s="91" t="n"/>
      <c r="Z114" s="91" t="n"/>
      <c r="AA114" s="91" t="n"/>
    </row>
    <row r="115">
      <c r="A115" s="114" t="inlineStr">
        <is>
          <t>Hồ Xuân Việt</t>
        </is>
      </c>
      <c r="B115" s="48" t="inlineStr">
        <is>
          <t>Tạm ngưng Mytv</t>
        </is>
      </c>
      <c r="C115" s="73" t="n">
        <v>1</v>
      </c>
      <c r="D115" s="81">
        <f>SUMIFS(DuLieu!$H$3:$H$11921,DuLieu!$B$3:$B$101921,$A115,DuLieu!$T$3:$T$101921,"&gt;=1", DuLieu!$T$3:$T$101921,"&lt;=7",DuLieu!$U$3:$U$101921,$R115)</f>
        <v/>
      </c>
      <c r="E115" s="85">
        <f>IF(C115&gt;=D115,C115-D115,0)</f>
        <v/>
      </c>
      <c r="F115" s="70" t="n">
        <v>2</v>
      </c>
      <c r="G115" s="85">
        <f>SUMIFS(DuLieu!$H$3:$H$11921,DuLieu!$B$3:$B$101921,$A115,DuLieu!$T$3:$T$101921,"&gt;=8", DuLieu!$T$3:$T$101921,"&lt;=14",DuLieu!$U$3:$U$101921,$R115)</f>
        <v/>
      </c>
      <c r="H115" s="85">
        <f>IF(F115&gt;=G115,F115-G115,0)</f>
        <v/>
      </c>
      <c r="I115" s="72" t="n">
        <v>2</v>
      </c>
      <c r="J115" s="81">
        <f>SUMIFS(DuLieu!$H$3:$H$11921,DuLieu!$B$3:$B$101921,$A115,DuLieu!$T$3:$T$101921,"&gt;=15", DuLieu!$T$3:$T$101921,"&lt;=21",DuLieu!$U$3:$U$101921,$R115)</f>
        <v/>
      </c>
      <c r="K115" s="85">
        <f>IF(I115&gt;=J115,I115-J115,0)</f>
        <v/>
      </c>
      <c r="L115" s="73" t="n">
        <v>1</v>
      </c>
      <c r="M115" s="81">
        <f>SUMIFS(DuLieu!$D$3:$D$101921,DuLieu!$B$3:$B$101921,$A115,DuLieu!$T$3:$T$101921,"&gt;=1", DuLieu!$T$3:$T$101921,"&lt;=7",DuLieu!$U$3:$U$101921,$R115)</f>
        <v/>
      </c>
      <c r="N115" s="85">
        <f>IF(L115&gt;=M115,L115-M115,0)</f>
        <v/>
      </c>
      <c r="O115" s="85" t="n">
        <v>6</v>
      </c>
      <c r="P115" s="81">
        <f>$D115+$G115+$J115+$M115</f>
        <v/>
      </c>
      <c r="Q115" s="85">
        <f>IF(O115&gt;=P115,O115-P115,0)</f>
        <v/>
      </c>
      <c r="R115" s="80" t="n">
        <v>11</v>
      </c>
      <c r="S115" s="91" t="n"/>
      <c r="T115" s="91" t="n"/>
      <c r="U115" s="91" t="n"/>
      <c r="V115" s="91" t="n"/>
      <c r="W115" s="91" t="n"/>
      <c r="X115" s="91" t="n"/>
      <c r="Y115" s="91" t="n"/>
      <c r="Z115" s="91" t="n"/>
      <c r="AA115" s="91" t="n"/>
    </row>
    <row r="116">
      <c r="A116" s="114" t="inlineStr">
        <is>
          <t>Hồ Xuân Việt</t>
        </is>
      </c>
      <c r="B116" s="48" t="inlineStr">
        <is>
          <t>Thay thế ONT 2 băng tần</t>
        </is>
      </c>
      <c r="C116" s="68" t="n">
        <v>10</v>
      </c>
      <c r="D116" s="81">
        <f>SUMIFS(DuLieu!$I$3:$I$11921,DuLieu!$B$3:$B$101921,$A116,DuLieu!$T$3:$T$101921,"&gt;=1", DuLieu!$T$3:$T$101921,"&lt;=7",DuLieu!$U$3:$U$101921,$R116)</f>
        <v/>
      </c>
      <c r="E116" s="85">
        <f>IF(C116&gt;=D116,C116-D116,0)</f>
        <v/>
      </c>
      <c r="F116" s="65" t="n">
        <v>10</v>
      </c>
      <c r="G116" s="85">
        <f>SUMIFS(DuLieu!$I$3:$I$11921,DuLieu!$B$3:$B$101921,$A116,DuLieu!$T$3:$T$101921,"&gt;=8", DuLieu!$T$3:$T$101921,"&lt;=14",DuLieu!$U$3:$U$101921,$R116)</f>
        <v/>
      </c>
      <c r="H116" s="85">
        <f>IF(F116&gt;=G116,F116-G116,0)</f>
        <v/>
      </c>
      <c r="I116" s="78" t="n">
        <v>0</v>
      </c>
      <c r="J116" s="81" t="n">
        <v>0</v>
      </c>
      <c r="K116" s="85">
        <f>IF(I116&gt;=J116,I116-J116,0)</f>
        <v/>
      </c>
      <c r="L116" s="68" t="n">
        <v>0</v>
      </c>
      <c r="M116" s="81">
        <f>SUMIFS(DuLieu!$D$3:$D$101921,DuLieu!$B$3:$B$101921,$A116,DuLieu!$T$3:$T$101921,"&gt;=1", DuLieu!$T$3:$T$101921,"&lt;=7",DuLieu!$U$3:$U$101921,$R116)</f>
        <v/>
      </c>
      <c r="N116" s="85">
        <f>IF(L116&gt;=M116,L116-M116,0)</f>
        <v/>
      </c>
      <c r="O116" s="85" t="n">
        <v>20</v>
      </c>
      <c r="P116" s="81">
        <f>$D116+$G116+$J116+$M116</f>
        <v/>
      </c>
      <c r="Q116" s="85">
        <f>IF(O116&gt;=P116,O116-P116,0)</f>
        <v/>
      </c>
      <c r="R116" s="80" t="n">
        <v>11</v>
      </c>
      <c r="S116" s="91" t="n"/>
      <c r="T116" s="91" t="n"/>
      <c r="U116" s="91" t="n"/>
      <c r="V116" s="91" t="n"/>
      <c r="W116" s="91" t="n"/>
      <c r="X116" s="91" t="n"/>
      <c r="Y116" s="91" t="n"/>
      <c r="Z116" s="91" t="n"/>
      <c r="AA116" s="91" t="n"/>
    </row>
    <row r="117">
      <c r="A117" s="114" t="inlineStr">
        <is>
          <t>Hồ Xuân Việt</t>
        </is>
      </c>
      <c r="B117" s="48" t="inlineStr">
        <is>
          <t>CSKH HVC chuyển XGSPON</t>
        </is>
      </c>
      <c r="C117" s="68" t="n">
        <v>0</v>
      </c>
      <c r="D117" s="81">
        <f>SUMIFS(DuLieu!$J$3:$J$11921,DuLieu!$B$3:$B$101921,$A117,DuLieu!$T$3:$T$101921,"&gt;=1", DuLieu!$T$3:$T$101921,"&lt;=7",DuLieu!$U$3:$U$101921,$R117)</f>
        <v/>
      </c>
      <c r="E117" s="85">
        <f>IF(C117&gt;=D117,C117-D117,0)</f>
        <v/>
      </c>
      <c r="F117" s="65" t="n">
        <v>0</v>
      </c>
      <c r="G117" s="85">
        <f>SUMIFS(DuLieu!$J$3:$J$11921,DuLieu!$B$3:$B$101921,$A117,DuLieu!$T$3:$T$101921,"&gt;=8", DuLieu!$T$3:$T$101921,"&lt;=14",DuLieu!$U$3:$U$101921,$R117)</f>
        <v/>
      </c>
      <c r="H117" s="85">
        <f>IF(F117&gt;=G117,F117-G117,0)</f>
        <v/>
      </c>
      <c r="I117" s="78" t="n">
        <v>0</v>
      </c>
      <c r="J117" s="81">
        <f>SUMIFS(DuLieu!$J$3:$J$11921,DuLieu!$B$3:$B$101921,$A117,DuLieu!$T$3:$T$101921,"&gt;=15", DuLieu!$T$3:$T$101921,"&lt;=21",DuLieu!$U$3:$U$101921,$R117)</f>
        <v/>
      </c>
      <c r="K117" s="85">
        <f>IF(I117&gt;=J117,I117-J117,0)</f>
        <v/>
      </c>
      <c r="L117" s="68" t="n">
        <v>0</v>
      </c>
      <c r="M117" s="81">
        <f>SUMIFS(DuLieu!$D$3:$D$101921,DuLieu!$B$3:$B$101921,$A117,DuLieu!$T$3:$T$101921,"&gt;=1", DuLieu!$T$3:$T$101921,"&lt;=7",DuLieu!$U$3:$U$101921,$R117)</f>
        <v/>
      </c>
      <c r="N117" s="85">
        <f>IF(L117&gt;=M117,L117-M117,0)</f>
        <v/>
      </c>
      <c r="O117" s="85" t="n">
        <v>20</v>
      </c>
      <c r="P117" s="81">
        <f>$D117+$G117+$J117+$M117</f>
        <v/>
      </c>
      <c r="Q117" s="85">
        <f>IF(O117&gt;=P117,O117-P117,0)</f>
        <v/>
      </c>
      <c r="R117" s="80" t="n">
        <v>11</v>
      </c>
      <c r="S117" s="91" t="n"/>
      <c r="T117" s="91" t="n"/>
      <c r="U117" s="91" t="n"/>
      <c r="V117" s="91" t="n"/>
      <c r="W117" s="91" t="n"/>
      <c r="X117" s="91" t="n"/>
      <c r="Y117" s="91" t="n"/>
      <c r="Z117" s="91" t="n"/>
      <c r="AA117" s="91" t="n"/>
    </row>
    <row r="118">
      <c r="A118" s="114" t="inlineStr">
        <is>
          <t>Hồ Xuân Việt</t>
        </is>
      </c>
      <c r="B118" s="48" t="inlineStr">
        <is>
          <t>Phiếu GHTT tháng T</t>
        </is>
      </c>
      <c r="C118" s="68" t="n">
        <v>40</v>
      </c>
      <c r="D118" s="81">
        <f>SUMIFS(DuLieu!$K$3:$K$11921,DuLieu!$B$3:$B$101921,$A118,DuLieu!$T$3:$T$101921,"&gt;=1", DuLieu!$T$3:$T$101921,"&lt;=7",DuLieu!$U$3:$U$101921,$R118)</f>
        <v/>
      </c>
      <c r="E118" s="85">
        <f>IF(C118&gt;=D118,C118-D118,0)</f>
        <v/>
      </c>
      <c r="F118" s="65" t="n">
        <v>70</v>
      </c>
      <c r="G118" s="85" t="n">
        <v>0</v>
      </c>
      <c r="H118" s="85">
        <f>IF(F118&gt;=G118,F118-G118,0)</f>
        <v/>
      </c>
      <c r="I118" s="78" t="n">
        <v>70</v>
      </c>
      <c r="J118" s="81" t="n">
        <v>0</v>
      </c>
      <c r="K118" s="85">
        <f>IF(I118&gt;=J118,I118-J118,0)</f>
        <v/>
      </c>
      <c r="L118" s="68" t="n">
        <v>45</v>
      </c>
      <c r="M118" s="81">
        <f>SUMIFS(DuLieu!$D$3:$D$101921,DuLieu!$B$3:$B$101921,$A118,DuLieu!$T$3:$T$101921,"&gt;=1", DuLieu!$T$3:$T$101921,"&lt;=7",DuLieu!$U$3:$U$101921,$R118)</f>
        <v/>
      </c>
      <c r="N118" s="85">
        <f>IF(L118&gt;=M118,L118-M118,0)</f>
        <v/>
      </c>
      <c r="O118" s="85" t="n">
        <v>225</v>
      </c>
      <c r="P118" s="81">
        <f>$D118+$G118+$J118+$M118</f>
        <v/>
      </c>
      <c r="Q118" s="85">
        <f>IF(O118&gt;=P118,O118-P118,0)</f>
        <v/>
      </c>
      <c r="R118" s="80" t="n">
        <v>11</v>
      </c>
      <c r="S118" s="91" t="n"/>
      <c r="T118" s="91" t="n"/>
      <c r="U118" s="91" t="n"/>
      <c r="V118" s="91" t="n"/>
      <c r="W118" s="91" t="n"/>
      <c r="X118" s="91" t="n"/>
      <c r="Y118" s="91" t="n"/>
      <c r="Z118" s="91" t="n"/>
      <c r="AA118" s="91" t="n"/>
    </row>
    <row r="119">
      <c r="A119" s="114" t="inlineStr">
        <is>
          <t>Hồ Xuân Việt</t>
        </is>
      </c>
      <c r="B119" s="48" t="inlineStr">
        <is>
          <t>Phiếu GHTT tháng T+1</t>
        </is>
      </c>
      <c r="C119" s="68" t="n">
        <v>12</v>
      </c>
      <c r="D119" s="81">
        <f>SUMIFS(DuLieu!$L$3:$L$11921,DuLieu!$B$3:$B$101921,$A119,DuLieu!$T$3:$T$101921,"&gt;=1", DuLieu!$T$3:$T$101921,"&lt;=7",DuLieu!$U$3:$U$101921,$R119)</f>
        <v/>
      </c>
      <c r="E119" s="85">
        <f>IF(C119&gt;=D119,C119-D119,0)</f>
        <v/>
      </c>
      <c r="F119" s="65" t="n">
        <v>10</v>
      </c>
      <c r="G119" s="85">
        <f>SUMIFS(DuLieu!$L$3:$L$11921,DuLieu!$B$3:$B$101921,$A119,DuLieu!$T$3:$T$101921,"&gt;=8", DuLieu!$T$3:$T$101921,"&lt;=14",DuLieu!$U$3:$U$101921,$R119)</f>
        <v/>
      </c>
      <c r="H119" s="85">
        <f>IF(F119&gt;=G119,F119-G119,0)</f>
        <v/>
      </c>
      <c r="I119" s="78" t="n">
        <v>10</v>
      </c>
      <c r="J119" s="81">
        <f>SUMIFS(DuLieu!$L$3:$L$11921,DuLieu!$B$3:$B$101921,$A119,DuLieu!$T$3:$T$101921,"&gt;=15", DuLieu!$T$3:$T$101921,"&lt;=21",DuLieu!$U$3:$U$101921,$R119)</f>
        <v/>
      </c>
      <c r="K119" s="85">
        <f>IF(I119&gt;=J119,I119-J119,0)</f>
        <v/>
      </c>
      <c r="L119" s="68" t="n">
        <v>0</v>
      </c>
      <c r="M119" s="81">
        <f>SUMIFS(DuLieu!$D$3:$D$101921,DuLieu!$B$3:$B$101921,$A119,DuLieu!$T$3:$T$101921,"&gt;=1", DuLieu!$T$3:$T$101921,"&lt;=7",DuLieu!$U$3:$U$101921,$R119)</f>
        <v/>
      </c>
      <c r="N119" s="85">
        <f>IF(L119&gt;=M119,L119-M119,0)</f>
        <v/>
      </c>
      <c r="O119" s="85" t="n">
        <v>32</v>
      </c>
      <c r="P119" s="81">
        <f>$D119+$G119+$J119+$M119</f>
        <v/>
      </c>
      <c r="Q119" s="85">
        <f>IF(O119&gt;=P119,O119-P119,0)</f>
        <v/>
      </c>
      <c r="R119" s="80" t="n">
        <v>11</v>
      </c>
      <c r="S119" s="91" t="n"/>
      <c r="T119" s="91" t="n"/>
      <c r="U119" s="91" t="n"/>
      <c r="V119" s="91" t="n"/>
      <c r="W119" s="91" t="n"/>
      <c r="X119" s="91" t="n"/>
      <c r="Y119" s="91" t="n"/>
      <c r="Z119" s="91" t="n"/>
      <c r="AA119" s="91" t="n"/>
    </row>
    <row r="120">
      <c r="A120" s="114" t="inlineStr">
        <is>
          <t>Trần Xuân Khoa</t>
        </is>
      </c>
      <c r="B120" s="58" t="inlineStr">
        <is>
          <t>Tiếp thị DV Fiber</t>
        </is>
      </c>
      <c r="C120" s="68" t="n">
        <v>2</v>
      </c>
      <c r="D120" s="87">
        <f>SUMIFS(DuLieu!$D$3:$D$11921,DuLieu!$B$3:$B$101921,$A120,DuLieu!$T$3:$T$101921,"&gt;=1", DuLieu!$T$3:$T$101921,"&lt;=7",DuLieu!$U$3:$U$101921,$R120)</f>
        <v/>
      </c>
      <c r="E120" s="87">
        <f>IF(C120&gt;=D120,C120-D120,0)</f>
        <v/>
      </c>
      <c r="F120" s="65" t="n">
        <v>2</v>
      </c>
      <c r="G120" s="87">
        <f>SUMIFS(DuLieu!$D$3:$D$11921,DuLieu!$B$3:$B$101921,$A120,DuLieu!$T$3:$T$101921,"&gt;=8", DuLieu!$T$3:$T$101921,"&lt;=14",DuLieu!$U$3:$U$101921,$R120)</f>
        <v/>
      </c>
      <c r="H120" s="87">
        <f>IF(F120&gt;=G120,F120-G120,0)</f>
        <v/>
      </c>
      <c r="I120" s="78" t="n">
        <v>2</v>
      </c>
      <c r="J120" s="86" t="n">
        <v>0</v>
      </c>
      <c r="K120" s="87">
        <f>IF(I120&gt;=J120,I120-J120,0)</f>
        <v/>
      </c>
      <c r="L120" s="68" t="n">
        <v>1</v>
      </c>
      <c r="M120" s="87">
        <f>SUMIFS(DuLieu!$D$3:$D$101921,DuLieu!$B$3:$B$101921,$A120,DuLieu!$T$3:$T$101921,"&gt;=1", DuLieu!$T$3:$T$101921,"&lt;=7",DuLieu!$U$3:$U$101921,$R120)</f>
        <v/>
      </c>
      <c r="N120" s="87">
        <f>IF(L120&gt;=M120,L120-M120,0)</f>
        <v/>
      </c>
      <c r="O120" s="87" t="n">
        <v>7</v>
      </c>
      <c r="P120" s="87">
        <f>$D120+$G120+$J120+$M120</f>
        <v/>
      </c>
      <c r="Q120" s="87">
        <f>IF(O120&gt;=P120,O120-P120,0)</f>
        <v/>
      </c>
      <c r="R120" s="77" t="n">
        <v>11</v>
      </c>
      <c r="S120" s="88" t="n"/>
      <c r="T120" s="88" t="n"/>
      <c r="U120" s="88" t="n"/>
      <c r="V120" s="88" t="n"/>
      <c r="W120" s="88" t="n"/>
      <c r="X120" s="88" t="n"/>
      <c r="Y120" s="88" t="n"/>
      <c r="Z120" s="88" t="n"/>
      <c r="AA120" s="88" t="n"/>
    </row>
    <row r="121">
      <c r="A121" s="114" t="inlineStr">
        <is>
          <t>Trần Xuân Khoa</t>
        </is>
      </c>
      <c r="B121" s="58" t="inlineStr">
        <is>
          <t>Tiếp thị DV MyTV</t>
        </is>
      </c>
      <c r="C121" s="68" t="n">
        <v>2</v>
      </c>
      <c r="D121" s="87">
        <f>SUMIFS(DuLieu!$E$3:$E$11921,DuLieu!$B$3:$B$101921,$A121,DuLieu!$T$3:$T$101921,"&gt;=1", DuLieu!$T$3:$T$101921,"&lt;=7",DuLieu!$U$3:$U$101921,$R121)</f>
        <v/>
      </c>
      <c r="E121" s="87">
        <f>IF(C121&gt;=D121,C121-D121,0)</f>
        <v/>
      </c>
      <c r="F121" s="65" t="n">
        <v>2</v>
      </c>
      <c r="G121" s="87">
        <f>SUMIFS(DuLieu!$E$3:$E$11921,DuLieu!$B$3:$B$101921,$A121,DuLieu!$T$3:$T$101921,"&gt;=8", DuLieu!$T$3:$T$101921,"&lt;=14",DuLieu!$U$3:$U$101921,$R121)</f>
        <v/>
      </c>
      <c r="H121" s="87">
        <f>IF(F121&gt;=G121,F121-G121,0)</f>
        <v/>
      </c>
      <c r="I121" s="78" t="n">
        <v>1</v>
      </c>
      <c r="J121" s="86" t="n">
        <v>0</v>
      </c>
      <c r="K121" s="87">
        <f>IF(I121&gt;=J121,I121-J121,0)</f>
        <v/>
      </c>
      <c r="L121" s="68" t="n">
        <v>1</v>
      </c>
      <c r="M121" s="87">
        <f>SUMIFS(DuLieu!$D$3:$D$101921,DuLieu!$B$3:$B$101921,$A121,DuLieu!$T$3:$T$101921,"&gt;=1", DuLieu!$T$3:$T$101921,"&lt;=7",DuLieu!$U$3:$U$101921,$R121)</f>
        <v/>
      </c>
      <c r="N121" s="87">
        <f>IF(L121&gt;=M121,L121-M121,0)</f>
        <v/>
      </c>
      <c r="O121" s="87" t="n">
        <v>6</v>
      </c>
      <c r="P121" s="87">
        <f>$D121+$G121+$J121+$M121</f>
        <v/>
      </c>
      <c r="Q121" s="87">
        <f>IF(O121&gt;=P121,O121-P121,0)</f>
        <v/>
      </c>
      <c r="R121" s="77" t="n">
        <v>11</v>
      </c>
      <c r="S121" s="91" t="n"/>
      <c r="T121" s="91" t="n"/>
      <c r="U121" s="91" t="n"/>
      <c r="V121" s="91" t="n"/>
      <c r="W121" s="91" t="n"/>
      <c r="X121" s="91" t="n"/>
      <c r="Y121" s="91" t="n"/>
      <c r="Z121" s="91" t="n"/>
      <c r="AA121" s="91" t="n"/>
    </row>
    <row r="122">
      <c r="A122" s="114" t="inlineStr">
        <is>
          <t>Trần Xuân Khoa</t>
        </is>
      </c>
      <c r="B122" s="58" t="inlineStr">
        <is>
          <t>Tiếp thị DV Camera/Mesh</t>
        </is>
      </c>
      <c r="C122" s="68" t="n">
        <v>1</v>
      </c>
      <c r="D122" s="87">
        <f>SUMIFS(DuLieu!$F$3:$F$11921,DuLieu!$B$3:$B$101921,$A122,DuLieu!$T$3:$T$101921,"&gt;=1", DuLieu!$T$3:$T$101921,"&lt;=7",DuLieu!$U$3:$U$101921,$R122)</f>
        <v/>
      </c>
      <c r="E122" s="87">
        <f>IF(C122&gt;=D122,C122-D122,0)</f>
        <v/>
      </c>
      <c r="F122" s="65" t="n">
        <v>2</v>
      </c>
      <c r="G122" s="87">
        <f>SUMIFS(DuLieu!$F$3:$F$11921,DuLieu!$B$3:$B$101921,$A122,DuLieu!$T$3:$T$101921,"&gt;=8", DuLieu!$T$3:$T$101921,"&lt;=14",DuLieu!$U$3:$U$101921,$R122)</f>
        <v/>
      </c>
      <c r="H122" s="87">
        <f>IF(F122&gt;=G122,F122-G122,0)</f>
        <v/>
      </c>
      <c r="I122" s="78" t="n">
        <v>1</v>
      </c>
      <c r="J122" s="86">
        <f>SUMIFS(DuLieu!$F$3:$F$11921,DuLieu!$B$3:$B$101921,$A122,DuLieu!$T$3:$T$101921,"&gt;=15", DuLieu!$T$3:$T$101921,"&lt;=21",DuLieu!$U$3:$U$101921,$R122)</f>
        <v/>
      </c>
      <c r="K122" s="87">
        <f>IF(I122&gt;=J122,I122-J122,0)</f>
        <v/>
      </c>
      <c r="L122" s="68" t="n">
        <v>1</v>
      </c>
      <c r="M122" s="87">
        <f>SUMIFS(DuLieu!$D$3:$D$101921,DuLieu!$B$3:$B$101921,$A122,DuLieu!$T$3:$T$101921,"&gt;=1", DuLieu!$T$3:$T$101921,"&lt;=7",DuLieu!$U$3:$U$101921,$R122)</f>
        <v/>
      </c>
      <c r="N122" s="87">
        <f>IF(L122&gt;=M122,L122-M122,0)</f>
        <v/>
      </c>
      <c r="O122" s="87" t="n">
        <v>5</v>
      </c>
      <c r="P122" s="87">
        <f>$D122+$G122+$J122+$M122</f>
        <v/>
      </c>
      <c r="Q122" s="87">
        <f>IF(O122&gt;=P122,O122-P122,0)</f>
        <v/>
      </c>
      <c r="R122" s="77" t="n">
        <v>11</v>
      </c>
      <c r="S122" s="91" t="n"/>
      <c r="T122" s="91" t="n"/>
      <c r="U122" s="91" t="n"/>
      <c r="V122" s="91" t="n"/>
      <c r="W122" s="91" t="n"/>
      <c r="X122" s="91" t="n"/>
      <c r="Y122" s="91" t="n"/>
      <c r="Z122" s="91" t="n"/>
      <c r="AA122" s="91" t="n"/>
    </row>
    <row r="123">
      <c r="A123" s="114" t="inlineStr">
        <is>
          <t>Trần Xuân Khoa</t>
        </is>
      </c>
      <c r="B123" s="58" t="inlineStr">
        <is>
          <t>Tạm ngưng Fiber</t>
        </is>
      </c>
      <c r="C123" s="73" t="n">
        <v>1</v>
      </c>
      <c r="D123" s="87">
        <f>SUMIFS(DuLieu!$G$3:$G$11921,DuLieu!$B$3:$B$101921,$A123,DuLieu!$T$3:$T$101921,"&gt;=1", DuLieu!$T$3:$T$101921,"&lt;=7",DuLieu!$U$3:$U$101921,$R123)</f>
        <v/>
      </c>
      <c r="E123" s="87">
        <f>IF(C123&gt;=D123,C123-D123,0)</f>
        <v/>
      </c>
      <c r="F123" s="70" t="n">
        <v>2</v>
      </c>
      <c r="G123" s="87">
        <f>SUMIFS(DuLieu!$G$3:$G$11921,DuLieu!$B$3:$B$101921,D123,DuLieu!$T$3:$T$101921,"&gt;=8", DuLieu!$T$3:$T$101921,"&lt;=14",DuLieu!$U$3:$U$101921,$R123)</f>
        <v/>
      </c>
      <c r="H123" s="87">
        <f>IF(F123&gt;=G123,F123-G123,0)</f>
        <v/>
      </c>
      <c r="I123" s="72" t="n">
        <v>1</v>
      </c>
      <c r="J123" s="86">
        <f>SUMIFS(DuLieu!$G$3:$G$11921,DuLieu!$B$3:$B$101921,$A123,DuLieu!$T$3:$T$101921,"&gt;=15", DuLieu!$T$3:$T$101921,"&lt;=21",DuLieu!$U$3:$U$101921,$R123)</f>
        <v/>
      </c>
      <c r="K123" s="87">
        <f>IF(I123&gt;=J123,I123-J123,0)</f>
        <v/>
      </c>
      <c r="L123" s="73" t="n">
        <v>1</v>
      </c>
      <c r="M123" s="87">
        <f>SUMIFS(DuLieu!$D$3:$D$101921,DuLieu!$B$3:$B$101921,$A123,DuLieu!$T$3:$T$101921,"&gt;=1", DuLieu!$T$3:$T$101921,"&lt;=7",DuLieu!$U$3:$U$101921,$R123)</f>
        <v/>
      </c>
      <c r="N123" s="87">
        <f>IF(L123&gt;=M123,L123-M123,0)</f>
        <v/>
      </c>
      <c r="O123" s="87" t="n">
        <v>5</v>
      </c>
      <c r="P123" s="87">
        <f>$D123+$G123+$J123+$M123</f>
        <v/>
      </c>
      <c r="Q123" s="87">
        <f>IF(O123&gt;=P123,O123-P123,0)</f>
        <v/>
      </c>
      <c r="R123" s="77" t="n">
        <v>11</v>
      </c>
      <c r="S123" s="91" t="n"/>
      <c r="T123" s="91" t="n"/>
      <c r="U123" s="91" t="n"/>
      <c r="V123" s="91" t="n"/>
      <c r="W123" s="91" t="n"/>
      <c r="X123" s="91" t="n"/>
      <c r="Y123" s="91" t="n"/>
      <c r="Z123" s="91" t="n"/>
      <c r="AA123" s="91" t="n"/>
    </row>
    <row r="124">
      <c r="A124" s="114" t="inlineStr">
        <is>
          <t>Trần Xuân Khoa</t>
        </is>
      </c>
      <c r="B124" s="58" t="inlineStr">
        <is>
          <t>Tạm ngưng Mytv</t>
        </is>
      </c>
      <c r="C124" s="73" t="n">
        <v>2</v>
      </c>
      <c r="D124" s="87">
        <f>SUMIFS(DuLieu!$H$3:$H$11921,DuLieu!$B$3:$B$101921,$A124,DuLieu!$T$3:$T$101921,"&gt;=1", DuLieu!$T$3:$T$101921,"&lt;=7",DuLieu!$U$3:$U$101921,$R124)</f>
        <v/>
      </c>
      <c r="E124" s="87">
        <f>IF(C124&gt;=D124,C124-D124,0)</f>
        <v/>
      </c>
      <c r="F124" s="70" t="n">
        <v>2</v>
      </c>
      <c r="G124" s="87">
        <f>SUMIFS(DuLieu!$H$3:$H$11921,DuLieu!$B$3:$B$101921,$A124,DuLieu!$T$3:$T$101921,"&gt;=8", DuLieu!$T$3:$T$101921,"&lt;=14",DuLieu!$U$3:$U$101921,$R124)</f>
        <v/>
      </c>
      <c r="H124" s="87">
        <f>IF(F124&gt;=G124,F124-G124,0)</f>
        <v/>
      </c>
      <c r="I124" s="72" t="n">
        <v>2</v>
      </c>
      <c r="J124" s="86">
        <f>SUMIFS(DuLieu!$H$3:$H$11921,DuLieu!$B$3:$B$101921,$A124,DuLieu!$T$3:$T$101921,"&gt;=15", DuLieu!$T$3:$T$101921,"&lt;=21",DuLieu!$U$3:$U$101921,$R124)</f>
        <v/>
      </c>
      <c r="K124" s="87">
        <f>IF(I124&gt;=J124,I124-J124,0)</f>
        <v/>
      </c>
      <c r="L124" s="73" t="n">
        <v>2</v>
      </c>
      <c r="M124" s="87">
        <f>SUMIFS(DuLieu!$D$3:$D$101921,DuLieu!$B$3:$B$101921,$A124,DuLieu!$T$3:$T$101921,"&gt;=1", DuLieu!$T$3:$T$101921,"&lt;=7",DuLieu!$U$3:$U$101921,$R124)</f>
        <v/>
      </c>
      <c r="N124" s="87">
        <f>IF(L124&gt;=M124,L124-M124,0)</f>
        <v/>
      </c>
      <c r="O124" s="87" t="n">
        <v>8</v>
      </c>
      <c r="P124" s="87">
        <f>$D124+$G124+$J124+$M124</f>
        <v/>
      </c>
      <c r="Q124" s="87">
        <f>IF(O124&gt;=P124,O124-P124,0)</f>
        <v/>
      </c>
      <c r="R124" s="77" t="n">
        <v>11</v>
      </c>
      <c r="S124" s="91" t="n"/>
      <c r="T124" s="91" t="n"/>
      <c r="U124" s="91" t="n"/>
      <c r="V124" s="91" t="n"/>
      <c r="W124" s="91" t="n"/>
      <c r="X124" s="91" t="n"/>
      <c r="Y124" s="91" t="n"/>
      <c r="Z124" s="91" t="n"/>
      <c r="AA124" s="91" t="n"/>
    </row>
    <row r="125">
      <c r="A125" s="114" t="inlineStr">
        <is>
          <t>Trần Xuân Khoa</t>
        </is>
      </c>
      <c r="B125" s="58" t="inlineStr">
        <is>
          <t>Thay thế ONT 2 băng tần</t>
        </is>
      </c>
      <c r="C125" s="68" t="n">
        <v>10</v>
      </c>
      <c r="D125" s="87">
        <f>SUMIFS(DuLieu!$I$3:$I$11921,DuLieu!$B$3:$B$101921,$A125,DuLieu!$T$3:$T$101921,"&gt;=1", DuLieu!$T$3:$T$101921,"&lt;=7",DuLieu!$U$3:$U$101921,$R125)</f>
        <v/>
      </c>
      <c r="E125" s="87">
        <f>IF(C125&gt;=D125,C125-D125,0)</f>
        <v/>
      </c>
      <c r="F125" s="65" t="n">
        <v>10</v>
      </c>
      <c r="G125" s="87">
        <f>SUMIFS(DuLieu!$I$3:$I$11921,DuLieu!$B$3:$B$101921,$A125,DuLieu!$T$3:$T$101921,"&gt;=8", DuLieu!$T$3:$T$101921,"&lt;=14",DuLieu!$U$3:$U$101921,$R125)</f>
        <v/>
      </c>
      <c r="H125" s="87">
        <f>IF(F125&gt;=G125,F125-G125,0)</f>
        <v/>
      </c>
      <c r="I125" s="78" t="n">
        <v>0</v>
      </c>
      <c r="J125" s="86" t="n">
        <v>0</v>
      </c>
      <c r="K125" s="87">
        <f>IF(I125&gt;=J125,I125-J125,0)</f>
        <v/>
      </c>
      <c r="L125" s="68" t="n">
        <v>0</v>
      </c>
      <c r="M125" s="87">
        <f>SUMIFS(DuLieu!$D$3:$D$101921,DuLieu!$B$3:$B$101921,$A125,DuLieu!$T$3:$T$101921,"&gt;=1", DuLieu!$T$3:$T$101921,"&lt;=7",DuLieu!$U$3:$U$101921,$R125)</f>
        <v/>
      </c>
      <c r="N125" s="87">
        <f>IF(L125&gt;=M125,L125-M125,0)</f>
        <v/>
      </c>
      <c r="O125" s="87" t="n">
        <v>20</v>
      </c>
      <c r="P125" s="87">
        <f>$D125+$G125+$J125+$M125</f>
        <v/>
      </c>
      <c r="Q125" s="87">
        <f>IF(O125&gt;=P125,O125-P125,0)</f>
        <v/>
      </c>
      <c r="R125" s="77" t="n">
        <v>11</v>
      </c>
      <c r="S125" s="91" t="n"/>
      <c r="T125" s="91" t="n"/>
      <c r="U125" s="91" t="n"/>
      <c r="V125" s="91" t="n"/>
      <c r="W125" s="91" t="n"/>
      <c r="X125" s="91" t="n"/>
      <c r="Y125" s="91" t="n"/>
      <c r="Z125" s="91" t="n"/>
      <c r="AA125" s="91" t="n"/>
    </row>
    <row r="126">
      <c r="A126" s="114" t="inlineStr">
        <is>
          <t>Trần Xuân Khoa</t>
        </is>
      </c>
      <c r="B126" s="58" t="inlineStr">
        <is>
          <t>CSKH HVC chuyển XGSPON</t>
        </is>
      </c>
      <c r="C126" s="68" t="n">
        <v>0</v>
      </c>
      <c r="D126" s="87">
        <f>SUMIFS(DuLieu!$J$3:$J$11921,DuLieu!$B$3:$B$101921,$A126,DuLieu!$T$3:$T$101921,"&gt;=1", DuLieu!$T$3:$T$101921,"&lt;=7",DuLieu!$U$3:$U$101921,$R126)</f>
        <v/>
      </c>
      <c r="E126" s="87">
        <f>IF(C126&gt;=D126,C126-D126,0)</f>
        <v/>
      </c>
      <c r="F126" s="65" t="n">
        <v>2</v>
      </c>
      <c r="G126" s="87">
        <f>SUMIFS(DuLieu!$J$3:$J$11921,DuLieu!$B$3:$B$101921,$A126,DuLieu!$T$3:$T$101921,"&gt;=8", DuLieu!$T$3:$T$101921,"&lt;=14",DuLieu!$U$3:$U$101921,$R126)</f>
        <v/>
      </c>
      <c r="H126" s="87">
        <f>IF(F126&gt;=G126,F126-G126,0)</f>
        <v/>
      </c>
      <c r="I126" s="78" t="n">
        <v>0</v>
      </c>
      <c r="J126" s="86">
        <f>SUMIFS(DuLieu!$J$3:$J$11921,DuLieu!$B$3:$B$101921,$A126,DuLieu!$T$3:$T$101921,"&gt;=15", DuLieu!$T$3:$T$101921,"&lt;=21",DuLieu!$U$3:$U$101921,$R126)</f>
        <v/>
      </c>
      <c r="K126" s="87">
        <f>IF(I126&gt;=J126,I126-J126,0)</f>
        <v/>
      </c>
      <c r="L126" s="68" t="n">
        <v>0</v>
      </c>
      <c r="M126" s="87">
        <f>SUMIFS(DuLieu!$D$3:$D$101921,DuLieu!$B$3:$B$101921,$A126,DuLieu!$T$3:$T$101921,"&gt;=1", DuLieu!$T$3:$T$101921,"&lt;=7",DuLieu!$U$3:$U$101921,$R126)</f>
        <v/>
      </c>
      <c r="N126" s="87">
        <f>IF(L126&gt;=M126,L126-M126,0)</f>
        <v/>
      </c>
      <c r="O126" s="87" t="n">
        <v>20</v>
      </c>
      <c r="P126" s="87">
        <f>$D126+$G126+$J126+$M126</f>
        <v/>
      </c>
      <c r="Q126" s="87">
        <f>IF(O126&gt;=P126,O126-P126,0)</f>
        <v/>
      </c>
      <c r="R126" s="77" t="n">
        <v>11</v>
      </c>
      <c r="S126" s="91" t="n"/>
      <c r="T126" s="91" t="n"/>
      <c r="U126" s="91" t="n"/>
      <c r="V126" s="91" t="n"/>
      <c r="W126" s="91" t="n"/>
      <c r="X126" s="91" t="n"/>
      <c r="Y126" s="91" t="n"/>
      <c r="Z126" s="91" t="n"/>
      <c r="AA126" s="91" t="n"/>
    </row>
    <row r="127">
      <c r="A127" s="114" t="inlineStr">
        <is>
          <t>Trần Xuân Khoa</t>
        </is>
      </c>
      <c r="B127" s="58" t="inlineStr">
        <is>
          <t>Phiếu GHTT tháng T</t>
        </is>
      </c>
      <c r="C127" s="68" t="n">
        <v>50</v>
      </c>
      <c r="D127" s="87">
        <f>SUMIFS(DuLieu!$K$3:$K$11921,DuLieu!$B$3:$B$101921,$A127,DuLieu!$T$3:$T$101921,"&gt;=1", DuLieu!$T$3:$T$101921,"&lt;=7",DuLieu!$U$3:$U$101921,$R127)</f>
        <v/>
      </c>
      <c r="E127" s="87">
        <f>IF(C127&gt;=D127,C127-D127,0)</f>
        <v/>
      </c>
      <c r="F127" s="65" t="n">
        <v>75</v>
      </c>
      <c r="G127" s="87" t="n">
        <v>0</v>
      </c>
      <c r="H127" s="87">
        <f>IF(F127&gt;=G127,F127-G127,0)</f>
        <v/>
      </c>
      <c r="I127" s="78" t="n">
        <v>75</v>
      </c>
      <c r="J127" s="86" t="n">
        <v>0</v>
      </c>
      <c r="K127" s="87">
        <f>IF(I127&gt;=J127,I127-J127,0)</f>
        <v/>
      </c>
      <c r="L127" s="68" t="n">
        <v>68</v>
      </c>
      <c r="M127" s="87">
        <f>SUMIFS(DuLieu!$D$3:$D$101921,DuLieu!$B$3:$B$101921,$A127,DuLieu!$T$3:$T$101921,"&gt;=1", DuLieu!$T$3:$T$101921,"&lt;=7",DuLieu!$U$3:$U$101921,$R127)</f>
        <v/>
      </c>
      <c r="N127" s="87">
        <f>IF(L127&gt;=M127,L127-M127,0)</f>
        <v/>
      </c>
      <c r="O127" s="87" t="n">
        <v>268</v>
      </c>
      <c r="P127" s="87">
        <f>$D127+$G127+$J127+$M127</f>
        <v/>
      </c>
      <c r="Q127" s="87">
        <f>IF(O127&gt;=P127,O127-P127,0)</f>
        <v/>
      </c>
      <c r="R127" s="77" t="n">
        <v>11</v>
      </c>
      <c r="S127" s="91" t="n"/>
      <c r="T127" s="91" t="n"/>
      <c r="U127" s="91" t="n"/>
      <c r="V127" s="91" t="n"/>
      <c r="W127" s="91" t="n"/>
      <c r="X127" s="91" t="n"/>
      <c r="Y127" s="91" t="n"/>
      <c r="Z127" s="91" t="n"/>
      <c r="AA127" s="91" t="n"/>
    </row>
    <row r="128">
      <c r="A128" s="114" t="inlineStr">
        <is>
          <t>Trần Xuân Khoa</t>
        </is>
      </c>
      <c r="B128" s="58" t="inlineStr">
        <is>
          <t>Phiếu GHTT tháng T+1</t>
        </is>
      </c>
      <c r="C128" s="68" t="n">
        <v>12</v>
      </c>
      <c r="D128" s="87">
        <f>SUMIFS(DuLieu!$L$3:$L$11921,DuLieu!$B$3:$B$101921,$A128,DuLieu!$T$3:$T$101921,"&gt;=1", DuLieu!$T$3:$T$101921,"&lt;=7",DuLieu!$U$3:$U$101921,$R128)</f>
        <v/>
      </c>
      <c r="E128" s="87">
        <f>IF(C128&gt;=D128,C128-D128,0)</f>
        <v/>
      </c>
      <c r="F128" s="65" t="n">
        <v>10</v>
      </c>
      <c r="G128" s="87">
        <f>SUMIFS(DuLieu!$L$3:$L$11921,DuLieu!$B$3:$B$101921,$A128,DuLieu!$T$3:$T$101921,"&gt;=8", DuLieu!$T$3:$T$101921,"&lt;=14",DuLieu!$U$3:$U$101921,$R128)</f>
        <v/>
      </c>
      <c r="H128" s="87">
        <f>IF(F128&gt;=G128,F128-G128,0)</f>
        <v/>
      </c>
      <c r="I128" s="72" t="n">
        <v>4</v>
      </c>
      <c r="J128" s="86" t="n">
        <v>0</v>
      </c>
      <c r="K128" s="87">
        <f>IF(I128&gt;=J128,I128-J128,0)</f>
        <v/>
      </c>
      <c r="L128" s="73" t="n"/>
      <c r="M128" s="87">
        <f>SUMIFS(DuLieu!$D$3:$D$101921,DuLieu!$B$3:$B$101921,$A128,DuLieu!$T$3:$T$101921,"&gt;=1", DuLieu!$T$3:$T$101921,"&lt;=7",DuLieu!$U$3:$U$101921,$R128)</f>
        <v/>
      </c>
      <c r="N128" s="87">
        <f>IF(L128&gt;=M128,L128-M128,0)</f>
        <v/>
      </c>
      <c r="O128" s="87" t="n">
        <v>26</v>
      </c>
      <c r="P128" s="87">
        <f>$D128+$G128+$J128+$M128</f>
        <v/>
      </c>
      <c r="Q128" s="87">
        <f>IF(O128&gt;=P128,O128-P128,0)</f>
        <v/>
      </c>
      <c r="R128" s="77" t="n">
        <v>11</v>
      </c>
      <c r="S128" s="91" t="n"/>
      <c r="T128" s="91" t="n"/>
      <c r="U128" s="91" t="n"/>
      <c r="V128" s="91" t="n"/>
      <c r="W128" s="91" t="n"/>
      <c r="X128" s="91" t="n"/>
      <c r="Y128" s="91" t="n"/>
      <c r="Z128" s="91" t="n"/>
      <c r="AA128" s="91" t="n"/>
    </row>
    <row r="129">
      <c r="A129" s="114" t="inlineStr">
        <is>
          <t>Nguyễn Thành Lâm</t>
        </is>
      </c>
      <c r="B129" s="48" t="inlineStr">
        <is>
          <t>Tiếp thị DV Fiber</t>
        </is>
      </c>
      <c r="C129" s="68" t="n">
        <v>2</v>
      </c>
      <c r="D129" s="81" t="n">
        <v>1</v>
      </c>
      <c r="E129" s="85">
        <f>IF(C129&gt;=D129,C129-D129,0)</f>
        <v/>
      </c>
      <c r="F129" s="65" t="n">
        <v>2</v>
      </c>
      <c r="G129" s="85">
        <f>SUMIFS(DuLieu!$D$3:$D$11921,DuLieu!$B$3:$B$101921,$A129,DuLieu!$T$3:$T$101921,"&gt;=8", DuLieu!$T$3:$T$101921,"&lt;=14",DuLieu!$U$3:$U$101921,$R129)</f>
        <v/>
      </c>
      <c r="H129" s="85">
        <f>IF(F129&gt;=G129,F129-G129,0)</f>
        <v/>
      </c>
      <c r="I129" s="78" t="n">
        <v>2</v>
      </c>
      <c r="J129" s="81" t="n">
        <v>0</v>
      </c>
      <c r="K129" s="85">
        <f>IF(I129&gt;=J129,I129-J129,0)</f>
        <v/>
      </c>
      <c r="L129" s="68" t="n">
        <v>1</v>
      </c>
      <c r="M129" s="81">
        <f>SUMIFS(DuLieu!$D$3:$D$101921,DuLieu!$B$3:$B$101921,$A129,DuLieu!$T$3:$T$101921,"&gt;=1", DuLieu!$T$3:$T$101921,"&lt;=7",DuLieu!$U$3:$U$101921,$R129)</f>
        <v/>
      </c>
      <c r="N129" s="85">
        <f>IF(L129&gt;=M129,L129-M129,0)</f>
        <v/>
      </c>
      <c r="O129" s="85" t="n">
        <v>7</v>
      </c>
      <c r="P129" s="81">
        <f>$D129+$G129+$J129+$M129</f>
        <v/>
      </c>
      <c r="Q129" s="85">
        <f>IF(O129&gt;=P129,O129-P129,0)</f>
        <v/>
      </c>
      <c r="R129" s="80" t="n">
        <v>11</v>
      </c>
      <c r="S129" s="91" t="n"/>
      <c r="T129" s="91" t="n"/>
      <c r="U129" s="91" t="n"/>
      <c r="V129" s="91" t="n"/>
      <c r="W129" s="91" t="n"/>
      <c r="X129" s="91" t="n"/>
      <c r="Y129" s="91" t="n"/>
      <c r="Z129" s="91" t="n"/>
      <c r="AA129" s="91" t="n"/>
    </row>
    <row r="130">
      <c r="A130" s="114" t="inlineStr">
        <is>
          <t>Nguyễn Thành Lâm</t>
        </is>
      </c>
      <c r="B130" s="48" t="inlineStr">
        <is>
          <t>Tiếp thị DV MyTV</t>
        </is>
      </c>
      <c r="C130" s="68" t="n">
        <v>2</v>
      </c>
      <c r="D130" s="81">
        <f>SUMIFS(DuLieu!$E$3:$E$11921,DuLieu!$B$3:$B$101921,$A130,DuLieu!$T$3:$T$101921,"&gt;=1", DuLieu!$T$3:$T$101921,"&lt;=7",DuLieu!$U$3:$U$101921,$R130)</f>
        <v/>
      </c>
      <c r="E130" s="85">
        <f>IF(C130&gt;=D130,C130-D130,0)</f>
        <v/>
      </c>
      <c r="F130" s="65" t="n">
        <v>2</v>
      </c>
      <c r="G130" s="85">
        <f>SUMIFS(DuLieu!$E$3:$E$11921,DuLieu!$B$3:$B$101921,$A130,DuLieu!$T$3:$T$101921,"&gt;=8", DuLieu!$T$3:$T$101921,"&lt;=14",DuLieu!$U$3:$U$101921,$R130)</f>
        <v/>
      </c>
      <c r="H130" s="85">
        <f>IF(F130&gt;=G130,F130-G130,0)</f>
        <v/>
      </c>
      <c r="I130" s="78" t="n">
        <v>2</v>
      </c>
      <c r="J130" s="81" t="n">
        <v>0</v>
      </c>
      <c r="K130" s="85">
        <f>IF(I130&gt;=J130,I130-J130,0)</f>
        <v/>
      </c>
      <c r="L130" s="68" t="n">
        <v>1</v>
      </c>
      <c r="M130" s="81">
        <f>SUMIFS(DuLieu!$D$3:$D$101921,DuLieu!$B$3:$B$101921,$A130,DuLieu!$T$3:$T$101921,"&gt;=1", DuLieu!$T$3:$T$101921,"&lt;=7",DuLieu!$U$3:$U$101921,$R130)</f>
        <v/>
      </c>
      <c r="N130" s="85">
        <f>IF(L130&gt;=M130,L130-M130,0)</f>
        <v/>
      </c>
      <c r="O130" s="85" t="n">
        <v>7</v>
      </c>
      <c r="P130" s="81">
        <f>$D130+$G130+$J130+$M130</f>
        <v/>
      </c>
      <c r="Q130" s="85">
        <f>IF(O130&gt;=P130,O130-P130,0)</f>
        <v/>
      </c>
      <c r="R130" s="80" t="n">
        <v>11</v>
      </c>
      <c r="S130" s="91" t="n"/>
      <c r="T130" s="91" t="n"/>
      <c r="U130" s="91" t="n"/>
      <c r="V130" s="91" t="n"/>
      <c r="W130" s="91" t="n"/>
      <c r="X130" s="91" t="n"/>
      <c r="Y130" s="91" t="n"/>
      <c r="Z130" s="91" t="n"/>
      <c r="AA130" s="91" t="n"/>
    </row>
    <row r="131">
      <c r="A131" s="114" t="inlineStr">
        <is>
          <t>Nguyễn Thành Lâm</t>
        </is>
      </c>
      <c r="B131" s="48" t="inlineStr">
        <is>
          <t>Tiếp thị DV Camera/Mesh</t>
        </is>
      </c>
      <c r="C131" s="68" t="n">
        <v>1</v>
      </c>
      <c r="D131" s="81">
        <f>SUMIFS(DuLieu!$F$3:$F$11921,DuLieu!$B$3:$B$101921,$A131,DuLieu!$T$3:$T$101921,"&gt;=1", DuLieu!$T$3:$T$101921,"&lt;=7",DuLieu!$U$3:$U$101921,$R131)</f>
        <v/>
      </c>
      <c r="E131" s="85">
        <f>IF(C131&gt;=D131,C131-D131,0)</f>
        <v/>
      </c>
      <c r="F131" s="65" t="n">
        <v>1</v>
      </c>
      <c r="G131" s="85">
        <f>SUMIFS(DuLieu!$F$3:$F$11921,DuLieu!$B$3:$B$101921,$A131,DuLieu!$T$3:$T$101921,"&gt;=8", DuLieu!$T$3:$T$101921,"&lt;=14",DuLieu!$U$3:$U$101921,$R131)</f>
        <v/>
      </c>
      <c r="H131" s="85">
        <f>IF(F131&gt;=G131,F131-G131,0)</f>
        <v/>
      </c>
      <c r="I131" s="78" t="n">
        <v>1</v>
      </c>
      <c r="J131" s="81">
        <f>SUMIFS(DuLieu!$F$3:$F$11921,DuLieu!$B$3:$B$101921,$A131,DuLieu!$T$3:$T$101921,"&gt;=15", DuLieu!$T$3:$T$101921,"&lt;=21",DuLieu!$U$3:$U$101921,$R131)</f>
        <v/>
      </c>
      <c r="K131" s="85">
        <f>IF(I131&gt;=J131,I131-J131,0)</f>
        <v/>
      </c>
      <c r="L131" s="73" t="n">
        <v>1</v>
      </c>
      <c r="M131" s="81">
        <f>SUMIFS(DuLieu!$D$3:$D$101921,DuLieu!$B$3:$B$101921,$A131,DuLieu!$T$3:$T$101921,"&gt;=1", DuLieu!$T$3:$T$101921,"&lt;=7",DuLieu!$U$3:$U$101921,$R131)</f>
        <v/>
      </c>
      <c r="N131" s="85">
        <f>IF(L131&gt;=M131,L131-M131,0)</f>
        <v/>
      </c>
      <c r="O131" s="85" t="n">
        <v>4</v>
      </c>
      <c r="P131" s="81">
        <f>$D131+$G131+$J131+$M131</f>
        <v/>
      </c>
      <c r="Q131" s="85">
        <f>IF(O131&gt;=P131,O131-P131,0)</f>
        <v/>
      </c>
      <c r="R131" s="80" t="n">
        <v>11</v>
      </c>
      <c r="S131" s="91" t="n"/>
      <c r="T131" s="91" t="n"/>
      <c r="U131" s="91" t="n"/>
      <c r="V131" s="91" t="n"/>
      <c r="W131" s="91" t="n"/>
      <c r="X131" s="91" t="n"/>
      <c r="Y131" s="91" t="n"/>
      <c r="Z131" s="91" t="n"/>
      <c r="AA131" s="91" t="n"/>
    </row>
    <row r="132">
      <c r="A132" s="114" t="inlineStr">
        <is>
          <t>Nguyễn Thành Lâm</t>
        </is>
      </c>
      <c r="B132" s="48" t="inlineStr">
        <is>
          <t>Tạm ngưng Fiber</t>
        </is>
      </c>
      <c r="C132" s="73" t="n">
        <v>1</v>
      </c>
      <c r="D132" s="81">
        <f>SUMIFS(DuLieu!$G$3:$G$11921,DuLieu!$B$3:$B$101921,$A132,DuLieu!$T$3:$T$101921,"&gt;=1", DuLieu!$T$3:$T$101921,"&lt;=7",DuLieu!$U$3:$U$101921,$R132)</f>
        <v/>
      </c>
      <c r="E132" s="85">
        <f>IF(C132&gt;=D132,C132-D132,0)</f>
        <v/>
      </c>
      <c r="F132" s="70" t="n">
        <v>1</v>
      </c>
      <c r="G132" s="85">
        <f>SUMIFS(DuLieu!$G$3:$G$11921,DuLieu!$B$3:$B$101921,D132,DuLieu!$T$3:$T$101921,"&gt;=8", DuLieu!$T$3:$T$101921,"&lt;=14",DuLieu!$U$3:$U$101921,$R132)</f>
        <v/>
      </c>
      <c r="H132" s="85">
        <f>IF(F132&gt;=G132,F132-G132,0)</f>
        <v/>
      </c>
      <c r="I132" s="72" t="n">
        <v>1</v>
      </c>
      <c r="J132" s="81" t="n">
        <v>0</v>
      </c>
      <c r="K132" s="85">
        <f>IF(I132&gt;=J132,I132-J132,0)</f>
        <v/>
      </c>
      <c r="L132" s="73" t="n"/>
      <c r="M132" s="81">
        <f>SUMIFS(DuLieu!$D$3:$D$101921,DuLieu!$B$3:$B$101921,$A132,DuLieu!$T$3:$T$101921,"&gt;=1", DuLieu!$T$3:$T$101921,"&lt;=7",DuLieu!$U$3:$U$101921,$R132)</f>
        <v/>
      </c>
      <c r="N132" s="85">
        <f>IF(L132&gt;=M132,L132-M132,0)</f>
        <v/>
      </c>
      <c r="O132" s="85" t="n">
        <v>3</v>
      </c>
      <c r="P132" s="81">
        <f>$D132+$G132+$J132+$M132</f>
        <v/>
      </c>
      <c r="Q132" s="85">
        <f>IF(O132&gt;=P132,O132-P132,0)</f>
        <v/>
      </c>
      <c r="R132" s="80" t="n">
        <v>11</v>
      </c>
      <c r="S132" s="91" t="n"/>
      <c r="T132" s="91" t="n"/>
      <c r="U132" s="91" t="n"/>
      <c r="V132" s="91" t="n"/>
      <c r="W132" s="91" t="n"/>
      <c r="X132" s="91" t="n"/>
      <c r="Y132" s="91" t="n"/>
      <c r="Z132" s="91" t="n"/>
      <c r="AA132" s="91" t="n"/>
    </row>
    <row r="133">
      <c r="A133" s="114" t="inlineStr">
        <is>
          <t>Nguyễn Thành Lâm</t>
        </is>
      </c>
      <c r="B133" s="48" t="inlineStr">
        <is>
          <t>Tạm ngưng Mytv</t>
        </is>
      </c>
      <c r="C133" s="73" t="n">
        <v>2</v>
      </c>
      <c r="D133" s="81">
        <f>SUMIFS(DuLieu!$H$3:$H$11921,DuLieu!$B$3:$B$101921,$A133,DuLieu!$T$3:$T$101921,"&gt;=1", DuLieu!$T$3:$T$101921,"&lt;=7",DuLieu!$U$3:$U$101921,$R133)</f>
        <v/>
      </c>
      <c r="E133" s="85">
        <f>IF(C133&gt;=D133,C133-D133,0)</f>
        <v/>
      </c>
      <c r="F133" s="70" t="n">
        <v>2</v>
      </c>
      <c r="G133" s="85" t="n">
        <v>0</v>
      </c>
      <c r="H133" s="85">
        <f>IF(F133&gt;=G133,F133-G133,0)</f>
        <v/>
      </c>
      <c r="I133" s="72" t="n">
        <v>1</v>
      </c>
      <c r="J133" s="81" t="n">
        <v>0</v>
      </c>
      <c r="K133" s="85">
        <f>IF(I133&gt;=J133,I133-J133,0)</f>
        <v/>
      </c>
      <c r="L133" s="73" t="n">
        <v>1</v>
      </c>
      <c r="M133" s="81">
        <f>SUMIFS(DuLieu!$D$3:$D$101921,DuLieu!$B$3:$B$101921,$A133,DuLieu!$T$3:$T$101921,"&gt;=1", DuLieu!$T$3:$T$101921,"&lt;=7",DuLieu!$U$3:$U$101921,$R133)</f>
        <v/>
      </c>
      <c r="N133" s="85">
        <f>IF(L133&gt;=M133,L133-M133,0)</f>
        <v/>
      </c>
      <c r="O133" s="85" t="n">
        <v>6</v>
      </c>
      <c r="P133" s="81">
        <f>$D133+$G133+$J133+$M133</f>
        <v/>
      </c>
      <c r="Q133" s="85">
        <f>IF(O133&gt;=P133,O133-P133,0)</f>
        <v/>
      </c>
      <c r="R133" s="80" t="n">
        <v>11</v>
      </c>
      <c r="S133" s="91" t="n"/>
      <c r="T133" s="91" t="n"/>
      <c r="U133" s="91" t="n"/>
      <c r="V133" s="91" t="n"/>
      <c r="W133" s="91" t="n"/>
      <c r="X133" s="91" t="n"/>
      <c r="Y133" s="91" t="n"/>
      <c r="Z133" s="91" t="n"/>
      <c r="AA133" s="91" t="n"/>
    </row>
    <row r="134">
      <c r="A134" s="114" t="inlineStr">
        <is>
          <t>Nguyễn Thành Lâm</t>
        </is>
      </c>
      <c r="B134" s="48" t="inlineStr">
        <is>
          <t>Thay thế ONT 2 băng tần</t>
        </is>
      </c>
      <c r="C134" s="68" t="n">
        <v>10</v>
      </c>
      <c r="D134" s="81">
        <f>SUMIFS(DuLieu!$I$3:$I$11921,DuLieu!$B$3:$B$101921,$A134,DuLieu!$T$3:$T$101921,"&gt;=1", DuLieu!$T$3:$T$101921,"&lt;=7",DuLieu!$U$3:$U$101921,$R134)</f>
        <v/>
      </c>
      <c r="E134" s="85">
        <f>IF(C134&gt;=D134,C134-D134,0)</f>
        <v/>
      </c>
      <c r="F134" s="65" t="n">
        <v>10</v>
      </c>
      <c r="G134" s="85" t="n">
        <v>0</v>
      </c>
      <c r="H134" s="85">
        <f>IF(F134&gt;=G134,F134-G134,0)</f>
        <v/>
      </c>
      <c r="I134" s="78" t="n">
        <v>0</v>
      </c>
      <c r="J134" s="81" t="n">
        <v>0</v>
      </c>
      <c r="K134" s="85">
        <f>IF(I134&gt;=J134,I134-J134,0)</f>
        <v/>
      </c>
      <c r="L134" s="68" t="n">
        <v>0</v>
      </c>
      <c r="M134" s="81">
        <f>SUMIFS(DuLieu!$D$3:$D$101921,DuLieu!$B$3:$B$101921,$A134,DuLieu!$T$3:$T$101921,"&gt;=1", DuLieu!$T$3:$T$101921,"&lt;=7",DuLieu!$U$3:$U$101921,$R134)</f>
        <v/>
      </c>
      <c r="N134" s="85">
        <f>IF(L134&gt;=M134,L134-M134,0)</f>
        <v/>
      </c>
      <c r="O134" s="85" t="n">
        <v>20</v>
      </c>
      <c r="P134" s="81">
        <f>$D134+$G134+$J134+$M134</f>
        <v/>
      </c>
      <c r="Q134" s="85">
        <f>IF(O134&gt;=P134,O134-P134,0)</f>
        <v/>
      </c>
      <c r="R134" s="80" t="n">
        <v>11</v>
      </c>
      <c r="S134" s="91" t="n"/>
      <c r="T134" s="91" t="n"/>
      <c r="U134" s="91" t="n"/>
      <c r="V134" s="91" t="n"/>
      <c r="W134" s="91" t="n"/>
      <c r="X134" s="91" t="n"/>
      <c r="Y134" s="91" t="n"/>
      <c r="Z134" s="91" t="n"/>
      <c r="AA134" s="91" t="n"/>
    </row>
    <row r="135">
      <c r="A135" s="114" t="inlineStr">
        <is>
          <t>Nguyễn Thành Lâm</t>
        </is>
      </c>
      <c r="B135" s="48" t="inlineStr">
        <is>
          <t>CSKH HVC chuyển XGSPON</t>
        </is>
      </c>
      <c r="C135" s="68" t="n">
        <v>0</v>
      </c>
      <c r="D135" s="81">
        <f>SUMIFS(DuLieu!$J$3:$J$11921,DuLieu!$B$3:$B$101921,$A135,DuLieu!$T$3:$T$101921,"&gt;=1", DuLieu!$T$3:$T$101921,"&lt;=7",DuLieu!$U$3:$U$101921,$R135)</f>
        <v/>
      </c>
      <c r="E135" s="85">
        <f>IF(C135&gt;=D135,C135-D135,0)</f>
        <v/>
      </c>
      <c r="F135" s="65" t="n">
        <v>0</v>
      </c>
      <c r="G135" s="85">
        <f>SUMIFS(DuLieu!$J$3:$J$11921,DuLieu!$B$3:$B$101921,$A135,DuLieu!$T$3:$T$101921,"&gt;=8", DuLieu!$T$3:$T$101921,"&lt;=14",DuLieu!$U$3:$U$101921,$R135)</f>
        <v/>
      </c>
      <c r="H135" s="85">
        <f>IF(F135&gt;=G135,F135-G135,0)</f>
        <v/>
      </c>
      <c r="I135" s="78" t="n">
        <v>0</v>
      </c>
      <c r="J135" s="81">
        <f>SUMIFS(DuLieu!$J$3:$J$11921,DuLieu!$B$3:$B$101921,$A135,DuLieu!$T$3:$T$101921,"&gt;=15", DuLieu!$T$3:$T$101921,"&lt;=21",DuLieu!$U$3:$U$101921,$R135)</f>
        <v/>
      </c>
      <c r="K135" s="85">
        <f>IF(I135&gt;=J135,I135-J135,0)</f>
        <v/>
      </c>
      <c r="L135" s="68" t="n">
        <v>0</v>
      </c>
      <c r="M135" s="81">
        <f>SUMIFS(DuLieu!$D$3:$D$101921,DuLieu!$B$3:$B$101921,$A135,DuLieu!$T$3:$T$101921,"&gt;=1", DuLieu!$T$3:$T$101921,"&lt;=7",DuLieu!$U$3:$U$101921,$R135)</f>
        <v/>
      </c>
      <c r="N135" s="85">
        <f>IF(L135&gt;=M135,L135-M135,0)</f>
        <v/>
      </c>
      <c r="O135" s="85" t="n">
        <v>20</v>
      </c>
      <c r="P135" s="81">
        <f>$D135+$G135+$J135+$M135</f>
        <v/>
      </c>
      <c r="Q135" s="85">
        <f>IF(O135&gt;=P135,O135-P135,0)</f>
        <v/>
      </c>
      <c r="R135" s="80" t="n">
        <v>11</v>
      </c>
      <c r="S135" s="91" t="n"/>
      <c r="T135" s="91" t="n"/>
      <c r="U135" s="91" t="n"/>
      <c r="V135" s="91" t="n"/>
      <c r="W135" s="91" t="n"/>
      <c r="X135" s="91" t="n"/>
      <c r="Y135" s="91" t="n"/>
      <c r="Z135" s="91" t="n"/>
      <c r="AA135" s="91" t="n"/>
    </row>
    <row r="136">
      <c r="A136" s="114" t="inlineStr">
        <is>
          <t>Nguyễn Thành Lâm</t>
        </is>
      </c>
      <c r="B136" s="48" t="inlineStr">
        <is>
          <t>Phiếu GHTT tháng T</t>
        </is>
      </c>
      <c r="C136" s="68" t="n">
        <v>30</v>
      </c>
      <c r="D136" s="81">
        <f>SUMIFS(DuLieu!$K$3:$K$11921,DuLieu!$B$3:$B$101921,$A136,DuLieu!$T$3:$T$101921,"&gt;=1", DuLieu!$T$3:$T$101921,"&lt;=7",DuLieu!$U$3:$U$101921,$R136)</f>
        <v/>
      </c>
      <c r="E136" s="85">
        <f>IF(C136&gt;=D136,C136-D136,0)</f>
        <v/>
      </c>
      <c r="F136" s="65" t="n">
        <v>50</v>
      </c>
      <c r="G136" s="85" t="n">
        <v>0</v>
      </c>
      <c r="H136" s="85">
        <f>IF(F136&gt;=G136,F136-G136,0)</f>
        <v/>
      </c>
      <c r="I136" s="78" t="n">
        <v>50</v>
      </c>
      <c r="J136" s="81" t="n">
        <v>0</v>
      </c>
      <c r="K136" s="85">
        <f>IF(I136&gt;=J136,I136-J136,0)</f>
        <v/>
      </c>
      <c r="L136" s="68" t="n">
        <v>21</v>
      </c>
      <c r="M136" s="81">
        <f>SUMIFS(DuLieu!$D$3:$D$101921,DuLieu!$B$3:$B$101921,$A136,DuLieu!$T$3:$T$101921,"&gt;=1", DuLieu!$T$3:$T$101921,"&lt;=7",DuLieu!$U$3:$U$101921,$R136)</f>
        <v/>
      </c>
      <c r="N136" s="85">
        <f>IF(L136&gt;=M136,L136-M136,0)</f>
        <v/>
      </c>
      <c r="O136" s="85" t="n">
        <v>151</v>
      </c>
      <c r="P136" s="81">
        <f>$D136+$G136+$J136+$M136</f>
        <v/>
      </c>
      <c r="Q136" s="85">
        <f>IF(O136&gt;=P136,O136-P136,0)</f>
        <v/>
      </c>
      <c r="R136" s="80" t="n">
        <v>11</v>
      </c>
      <c r="S136" s="91" t="n"/>
      <c r="T136" s="91" t="n"/>
      <c r="U136" s="91" t="n"/>
      <c r="V136" s="91" t="n"/>
      <c r="W136" s="91" t="n"/>
      <c r="X136" s="91" t="n"/>
      <c r="Y136" s="91" t="n"/>
      <c r="Z136" s="91" t="n"/>
      <c r="AA136" s="91" t="n"/>
    </row>
    <row r="137">
      <c r="A137" s="114" t="inlineStr">
        <is>
          <t>Nguyễn Thành Lâm</t>
        </is>
      </c>
      <c r="B137" s="48" t="inlineStr">
        <is>
          <t>Phiếu GHTT tháng T+1</t>
        </is>
      </c>
      <c r="C137" s="68" t="n">
        <v>6</v>
      </c>
      <c r="D137" s="81">
        <f>SUMIFS(DuLieu!$L$3:$L$11921,DuLieu!$B$3:$B$101921,$A137,DuLieu!$T$3:$T$101921,"&gt;=1", DuLieu!$T$3:$T$101921,"&lt;=7",DuLieu!$U$3:$U$101921,$R137)</f>
        <v/>
      </c>
      <c r="E137" s="85">
        <f>IF(C137&gt;=D137,C137-D137,0)</f>
        <v/>
      </c>
      <c r="F137" s="65" t="n">
        <v>6</v>
      </c>
      <c r="G137" s="85" t="n">
        <v>0</v>
      </c>
      <c r="H137" s="85">
        <f>IF(F137&gt;=G137,F137-G137,0)</f>
        <v/>
      </c>
      <c r="I137" s="78" t="n">
        <v>6</v>
      </c>
      <c r="J137" s="81">
        <f>SUMIFS(DuLieu!$L$3:$L$11921,DuLieu!$B$3:$B$101921,$A137,DuLieu!$T$3:$T$101921,"&gt;=15", DuLieu!$T$3:$T$101921,"&lt;=21",DuLieu!$U$3:$U$101921,$R137)</f>
        <v/>
      </c>
      <c r="K137" s="85">
        <f>IF(I137&gt;=J137,I137-J137,0)</f>
        <v/>
      </c>
      <c r="L137" s="68" t="n">
        <v>0</v>
      </c>
      <c r="M137" s="81">
        <f>SUMIFS(DuLieu!$D$3:$D$101921,DuLieu!$B$3:$B$101921,$A137,DuLieu!$T$3:$T$101921,"&gt;=1", DuLieu!$T$3:$T$101921,"&lt;=7",DuLieu!$U$3:$U$101921,$R137)</f>
        <v/>
      </c>
      <c r="N137" s="85">
        <f>IF(L137&gt;=M137,L137-M137,0)</f>
        <v/>
      </c>
      <c r="O137" s="85" t="n">
        <v>18</v>
      </c>
      <c r="P137" s="81">
        <f>$D137+$G137+$J137+$M137</f>
        <v/>
      </c>
      <c r="Q137" s="85">
        <f>IF(O137&gt;=P137,O137-P137,0)</f>
        <v/>
      </c>
      <c r="R137" s="80" t="n">
        <v>11</v>
      </c>
      <c r="S137" s="91" t="n"/>
      <c r="T137" s="91" t="n"/>
      <c r="U137" s="91" t="n"/>
      <c r="V137" s="91" t="n"/>
      <c r="W137" s="91" t="n"/>
      <c r="X137" s="91" t="n"/>
      <c r="Y137" s="91" t="n"/>
      <c r="Z137" s="91" t="n"/>
      <c r="AA137" s="91" t="n"/>
    </row>
    <row r="138">
      <c r="A138" s="114" t="inlineStr">
        <is>
          <t>Nguyễn Văn Nhật</t>
        </is>
      </c>
      <c r="B138" s="58" t="inlineStr">
        <is>
          <t>Tiếp thị DV Fiber</t>
        </is>
      </c>
      <c r="C138" s="68" t="n">
        <v>2</v>
      </c>
      <c r="D138" s="87">
        <f>SUMIFS(DuLieu!$D$3:$D$11921,DuLieu!$B$3:$B$101921,$A138,DuLieu!$T$3:$T$101921,"&gt;=1", DuLieu!$T$3:$T$101921,"&lt;=7",DuLieu!$U$3:$U$101921,$R138)</f>
        <v/>
      </c>
      <c r="E138" s="87">
        <f>IF(C138&gt;=D138,C138-D138,0)</f>
        <v/>
      </c>
      <c r="F138" s="65" t="n">
        <v>2</v>
      </c>
      <c r="G138" s="87">
        <f>SUMIFS(DuLieu!$D$3:$D$11921,DuLieu!$B$3:$B$101921,$A138,DuLieu!$T$3:$T$101921,"&gt;=8", DuLieu!$T$3:$T$101921,"&lt;=14",DuLieu!$U$3:$U$101921,$R138)</f>
        <v/>
      </c>
      <c r="H138" s="87">
        <f>IF(F138&gt;=G138,F138-G138,0)</f>
        <v/>
      </c>
      <c r="I138" s="78" t="n">
        <v>2</v>
      </c>
      <c r="J138" s="86" t="n">
        <v>0</v>
      </c>
      <c r="K138" s="87">
        <f>IF(I138&gt;=J138,I138-J138,0)</f>
        <v/>
      </c>
      <c r="L138" s="68" t="n">
        <v>1</v>
      </c>
      <c r="M138" s="87">
        <f>SUMIFS(DuLieu!$D$3:$D$101921,DuLieu!$B$3:$B$101921,$A138,DuLieu!$T$3:$T$101921,"&gt;=1", DuLieu!$T$3:$T$101921,"&lt;=7",DuLieu!$U$3:$U$101921,$R138)</f>
        <v/>
      </c>
      <c r="N138" s="87">
        <f>IF(L138&gt;=M138,L138-M138,0)</f>
        <v/>
      </c>
      <c r="O138" s="87" t="n">
        <v>7</v>
      </c>
      <c r="P138" s="87">
        <f>$D138+$G138+$J138+$M138</f>
        <v/>
      </c>
      <c r="Q138" s="87">
        <f>IF(O138&gt;=P138,O138-P138,0)</f>
        <v/>
      </c>
      <c r="R138" s="77" t="n">
        <v>11</v>
      </c>
      <c r="S138" s="88" t="n"/>
      <c r="T138" s="88" t="n"/>
      <c r="U138" s="88" t="n"/>
      <c r="V138" s="88" t="n"/>
      <c r="W138" s="88" t="n"/>
      <c r="X138" s="88" t="n"/>
      <c r="Y138" s="88" t="n"/>
      <c r="Z138" s="88" t="n"/>
      <c r="AA138" s="88" t="n"/>
    </row>
    <row r="139">
      <c r="A139" s="114" t="inlineStr">
        <is>
          <t>Nguyễn Văn Nhật</t>
        </is>
      </c>
      <c r="B139" s="58" t="inlineStr">
        <is>
          <t>Tiếp thị DV MyTV</t>
        </is>
      </c>
      <c r="C139" s="68" t="n">
        <v>2</v>
      </c>
      <c r="D139" s="87">
        <f>SUMIFS(DuLieu!$E$3:$E$11921,DuLieu!$B$3:$B$101921,$A139,DuLieu!$T$3:$T$101921,"&gt;=1", DuLieu!$T$3:$T$101921,"&lt;=7",DuLieu!$U$3:$U$101921,$R139)</f>
        <v/>
      </c>
      <c r="E139" s="87">
        <f>IF(C139&gt;=D139,C139-D139,0)</f>
        <v/>
      </c>
      <c r="F139" s="65" t="n">
        <v>2</v>
      </c>
      <c r="G139" s="87">
        <f>SUMIFS(DuLieu!$E$3:$E$11921,DuLieu!$B$3:$B$101921,$A139,DuLieu!$T$3:$T$101921,"&gt;=8", DuLieu!$T$3:$T$101921,"&lt;=14",DuLieu!$U$3:$U$101921,$R139)</f>
        <v/>
      </c>
      <c r="H139" s="87">
        <f>IF(F139&gt;=G139,F139-G139,0)</f>
        <v/>
      </c>
      <c r="I139" s="78" t="n">
        <v>2</v>
      </c>
      <c r="J139" s="86">
        <f>SUMIFS(DuLieu!$E$3:$E$11921,DuLieu!$B$3:$B$101921,$A139,DuLieu!$T$3:$T$101921,"&gt;=15", DuLieu!$T$3:$T$101921,"&lt;=21",DuLieu!$U$3:$U$101921,$R139)</f>
        <v/>
      </c>
      <c r="K139" s="87">
        <f>IF(I139&gt;=J139,I139-J139,0)</f>
        <v/>
      </c>
      <c r="L139" s="68" t="n">
        <v>1</v>
      </c>
      <c r="M139" s="87">
        <f>SUMIFS(DuLieu!$D$3:$D$101921,DuLieu!$B$3:$B$101921,$A139,DuLieu!$T$3:$T$101921,"&gt;=1", DuLieu!$T$3:$T$101921,"&lt;=7",DuLieu!$U$3:$U$101921,$R139)</f>
        <v/>
      </c>
      <c r="N139" s="87">
        <f>IF(L139&gt;=M139,L139-M139,0)</f>
        <v/>
      </c>
      <c r="O139" s="87" t="n">
        <v>7</v>
      </c>
      <c r="P139" s="87">
        <f>$D139+$G139+$J139+$M139</f>
        <v/>
      </c>
      <c r="Q139" s="87">
        <f>IF(O139&gt;=P139,O139-P139,0)</f>
        <v/>
      </c>
      <c r="R139" s="77" t="n">
        <v>11</v>
      </c>
      <c r="S139" s="91" t="n"/>
      <c r="T139" s="91" t="n"/>
      <c r="U139" s="91" t="n"/>
      <c r="V139" s="91" t="n"/>
      <c r="W139" s="91" t="n"/>
      <c r="X139" s="91" t="n"/>
      <c r="Y139" s="91" t="n"/>
      <c r="Z139" s="91" t="n"/>
      <c r="AA139" s="91" t="n"/>
    </row>
    <row r="140">
      <c r="A140" s="114" t="inlineStr">
        <is>
          <t>Nguyễn Văn Nhật</t>
        </is>
      </c>
      <c r="B140" s="58" t="inlineStr">
        <is>
          <t>Tiếp thị DV Camera/Mesh</t>
        </is>
      </c>
      <c r="C140" s="68" t="n">
        <v>1</v>
      </c>
      <c r="D140" s="87">
        <f>SUMIFS(DuLieu!$F$3:$F$11921,DuLieu!$B$3:$B$101921,$A140,DuLieu!$T$3:$T$101921,"&gt;=1", DuLieu!$T$3:$T$101921,"&lt;=7",DuLieu!$U$3:$U$101921,$R140)</f>
        <v/>
      </c>
      <c r="E140" s="87">
        <f>IF(C140&gt;=D140,C140-D140,0)</f>
        <v/>
      </c>
      <c r="F140" s="65" t="n">
        <v>1</v>
      </c>
      <c r="G140" s="87">
        <f>SUMIFS(DuLieu!$F$3:$F$11921,DuLieu!$B$3:$B$101921,$A140,DuLieu!$T$3:$T$101921,"&gt;=8", DuLieu!$T$3:$T$101921,"&lt;=14",DuLieu!$U$3:$U$101921,$R140)</f>
        <v/>
      </c>
      <c r="H140" s="87">
        <f>IF(F140&gt;=G140,F140-G140,0)</f>
        <v/>
      </c>
      <c r="I140" s="78" t="n">
        <v>1</v>
      </c>
      <c r="J140" s="86">
        <f>SUMIFS(DuLieu!$F$3:$F$11921,DuLieu!$B$3:$B$101921,$A140,DuLieu!$T$3:$T$101921,"&gt;=15", DuLieu!$T$3:$T$101921,"&lt;=21",DuLieu!$U$3:$U$101921,$R140)</f>
        <v/>
      </c>
      <c r="K140" s="87">
        <f>IF(I140&gt;=J140,I140-J140,0)</f>
        <v/>
      </c>
      <c r="L140" s="68" t="n">
        <v>1</v>
      </c>
      <c r="M140" s="87">
        <f>SUMIFS(DuLieu!$D$3:$D$101921,DuLieu!$B$3:$B$101921,$A140,DuLieu!$T$3:$T$101921,"&gt;=1", DuLieu!$T$3:$T$101921,"&lt;=7",DuLieu!$U$3:$U$101921,$R140)</f>
        <v/>
      </c>
      <c r="N140" s="87">
        <f>IF(L140&gt;=M140,L140-M140,0)</f>
        <v/>
      </c>
      <c r="O140" s="87" t="n">
        <v>4</v>
      </c>
      <c r="P140" s="87">
        <f>$D140+$G140+$J140+$M140</f>
        <v/>
      </c>
      <c r="Q140" s="87">
        <f>IF(O140&gt;=P140,O140-P140,0)</f>
        <v/>
      </c>
      <c r="R140" s="77" t="n">
        <v>11</v>
      </c>
      <c r="S140" s="91" t="n"/>
      <c r="T140" s="91" t="n"/>
      <c r="U140" s="91" t="n"/>
      <c r="V140" s="91" t="n"/>
      <c r="W140" s="91" t="n"/>
      <c r="X140" s="91" t="n"/>
      <c r="Y140" s="91" t="n"/>
      <c r="Z140" s="91" t="n"/>
      <c r="AA140" s="91" t="n"/>
    </row>
    <row r="141">
      <c r="A141" s="114" t="inlineStr">
        <is>
          <t>Nguyễn Văn Nhật</t>
        </is>
      </c>
      <c r="B141" s="58" t="inlineStr">
        <is>
          <t>Tạm ngưng Fiber</t>
        </is>
      </c>
      <c r="C141" s="73" t="n">
        <v>1</v>
      </c>
      <c r="D141" s="87">
        <f>SUMIFS(DuLieu!$G$3:$G$11921,DuLieu!$B$3:$B$101921,$A141,DuLieu!$T$3:$T$101921,"&gt;=1", DuLieu!$T$3:$T$101921,"&lt;=7",DuLieu!$U$3:$U$101921,$R141)</f>
        <v/>
      </c>
      <c r="E141" s="87">
        <f>IF(C141&gt;=D141,C141-D141,0)</f>
        <v/>
      </c>
      <c r="F141" s="70" t="n">
        <v>2</v>
      </c>
      <c r="G141" s="87">
        <f>SUMIFS(DuLieu!$G$3:$G$11921,DuLieu!$B$3:$B$101921,D141,DuLieu!$T$3:$T$101921,"&gt;=8", DuLieu!$T$3:$T$101921,"&lt;=14",DuLieu!$U$3:$U$101921,$R141)</f>
        <v/>
      </c>
      <c r="H141" s="87">
        <f>IF(F141&gt;=G141,F141-G141,0)</f>
        <v/>
      </c>
      <c r="I141" s="72" t="n">
        <v>1</v>
      </c>
      <c r="J141" s="86" t="n">
        <v>0</v>
      </c>
      <c r="K141" s="87">
        <f>IF(I141&gt;=J141,I141-J141,0)</f>
        <v/>
      </c>
      <c r="L141" s="73" t="n">
        <v>1</v>
      </c>
      <c r="M141" s="87">
        <f>SUMIFS(DuLieu!$D$3:$D$101921,DuLieu!$B$3:$B$101921,$A141,DuLieu!$T$3:$T$101921,"&gt;=1", DuLieu!$T$3:$T$101921,"&lt;=7",DuLieu!$U$3:$U$101921,$R141)</f>
        <v/>
      </c>
      <c r="N141" s="87">
        <f>IF(L141&gt;=M141,L141-M141,0)</f>
        <v/>
      </c>
      <c r="O141" s="87" t="n">
        <v>5</v>
      </c>
      <c r="P141" s="87">
        <f>$D141+$G141+$J141+$M141</f>
        <v/>
      </c>
      <c r="Q141" s="87">
        <f>IF(O141&gt;=P141,O141-P141,0)</f>
        <v/>
      </c>
      <c r="R141" s="77" t="n">
        <v>11</v>
      </c>
      <c r="S141" s="91" t="n"/>
      <c r="T141" s="91" t="n"/>
      <c r="U141" s="91" t="n"/>
      <c r="V141" s="91" t="n"/>
      <c r="W141" s="91" t="n"/>
      <c r="X141" s="91" t="n"/>
      <c r="Y141" s="91" t="n"/>
      <c r="Z141" s="91" t="n"/>
      <c r="AA141" s="91" t="n"/>
    </row>
    <row r="142">
      <c r="A142" s="114" t="inlineStr">
        <is>
          <t>Nguyễn Văn Nhật</t>
        </is>
      </c>
      <c r="B142" s="58" t="inlineStr">
        <is>
          <t>Tạm ngưng Mytv</t>
        </is>
      </c>
      <c r="C142" s="73" t="n">
        <v>2</v>
      </c>
      <c r="D142" s="87">
        <f>SUMIFS(DuLieu!$H$3:$H$11921,DuLieu!$B$3:$B$101921,$A142,DuLieu!$T$3:$T$101921,"&gt;=1", DuLieu!$T$3:$T$101921,"&lt;=7",DuLieu!$U$3:$U$101921,$R142)</f>
        <v/>
      </c>
      <c r="E142" s="87">
        <f>IF(C142&gt;=D142,C142-D142,0)</f>
        <v/>
      </c>
      <c r="F142" s="70" t="n">
        <v>2</v>
      </c>
      <c r="G142" s="87">
        <f>SUMIFS(DuLieu!$H$3:$H$11921,DuLieu!$B$3:$B$101921,$A142,DuLieu!$T$3:$T$101921,"&gt;=8", DuLieu!$T$3:$T$101921,"&lt;=14",DuLieu!$U$3:$U$101921,$R142)</f>
        <v/>
      </c>
      <c r="H142" s="87">
        <f>IF(F142&gt;=G142,F142-G142,0)</f>
        <v/>
      </c>
      <c r="I142" s="72" t="n">
        <v>2</v>
      </c>
      <c r="J142" s="86" t="n">
        <v>0</v>
      </c>
      <c r="K142" s="87">
        <f>IF(I142&gt;=J142,I142-J142,0)</f>
        <v/>
      </c>
      <c r="L142" s="73" t="n">
        <v>1</v>
      </c>
      <c r="M142" s="87">
        <f>SUMIFS(DuLieu!$D$3:$D$101921,DuLieu!$B$3:$B$101921,$A142,DuLieu!$T$3:$T$101921,"&gt;=1", DuLieu!$T$3:$T$101921,"&lt;=7",DuLieu!$U$3:$U$101921,$R142)</f>
        <v/>
      </c>
      <c r="N142" s="87">
        <f>IF(L142&gt;=M142,L142-M142,0)</f>
        <v/>
      </c>
      <c r="O142" s="87" t="n">
        <v>7</v>
      </c>
      <c r="P142" s="87">
        <f>$D142+$G142+$J142+$M142</f>
        <v/>
      </c>
      <c r="Q142" s="87">
        <f>IF(O142&gt;=P142,O142-P142,0)</f>
        <v/>
      </c>
      <c r="R142" s="77" t="n">
        <v>11</v>
      </c>
      <c r="S142" s="91" t="n"/>
      <c r="T142" s="91" t="n"/>
      <c r="U142" s="91" t="n"/>
      <c r="V142" s="91" t="n"/>
      <c r="W142" s="91" t="n"/>
      <c r="X142" s="91" t="n"/>
      <c r="Y142" s="91" t="n"/>
      <c r="Z142" s="91" t="n"/>
      <c r="AA142" s="91" t="n"/>
    </row>
    <row r="143">
      <c r="A143" s="114" t="inlineStr">
        <is>
          <t>Nguyễn Văn Nhật</t>
        </is>
      </c>
      <c r="B143" s="58" t="inlineStr">
        <is>
          <t>Thay thế ONT 2 băng tần</t>
        </is>
      </c>
      <c r="C143" s="68" t="n">
        <v>10</v>
      </c>
      <c r="D143" s="87">
        <f>SUMIFS(DuLieu!$I$3:$I$11921,DuLieu!$B$3:$B$101921,$A143,DuLieu!$T$3:$T$101921,"&gt;=1", DuLieu!$T$3:$T$101921,"&lt;=7",DuLieu!$U$3:$U$101921,$R143)</f>
        <v/>
      </c>
      <c r="E143" s="87">
        <f>IF(C143&gt;=D143,C143-D143,0)</f>
        <v/>
      </c>
      <c r="F143" s="65" t="n">
        <v>10</v>
      </c>
      <c r="G143" s="87">
        <f>SUMIFS(DuLieu!$I$3:$I$11921,DuLieu!$B$3:$B$101921,$A143,DuLieu!$T$3:$T$101921,"&gt;=8", DuLieu!$T$3:$T$101921,"&lt;=14",DuLieu!$U$3:$U$101921,$R143)</f>
        <v/>
      </c>
      <c r="H143" s="87">
        <f>IF(F143&gt;=G143,F143-G143,0)</f>
        <v/>
      </c>
      <c r="I143" s="78" t="n">
        <v>0</v>
      </c>
      <c r="J143" s="86">
        <f>SUMIFS(DuLieu!$I$3:$I$11921,DuLieu!$B$3:$B$101921,$A143,DuLieu!$T$3:$T$101921,"&gt;=15", DuLieu!$T$3:$T$101921,"&lt;=21",DuLieu!$U$3:$U$101921,$R143)</f>
        <v/>
      </c>
      <c r="K143" s="87">
        <f>IF(I143&gt;=J143,I143-J143,0)</f>
        <v/>
      </c>
      <c r="L143" s="68" t="n">
        <v>0</v>
      </c>
      <c r="M143" s="87">
        <f>SUMIFS(DuLieu!$D$3:$D$101921,DuLieu!$B$3:$B$101921,$A143,DuLieu!$T$3:$T$101921,"&gt;=1", DuLieu!$T$3:$T$101921,"&lt;=7",DuLieu!$U$3:$U$101921,$R143)</f>
        <v/>
      </c>
      <c r="N143" s="87">
        <f>IF(L143&gt;=M143,L143-M143,0)</f>
        <v/>
      </c>
      <c r="O143" s="87" t="n">
        <v>20</v>
      </c>
      <c r="P143" s="87">
        <f>$D143+$G143+$J143+$M143</f>
        <v/>
      </c>
      <c r="Q143" s="87">
        <f>IF(O143&gt;=P143,O143-P143,0)</f>
        <v/>
      </c>
      <c r="R143" s="77" t="n">
        <v>11</v>
      </c>
      <c r="S143" s="91" t="n"/>
      <c r="T143" s="91" t="n"/>
      <c r="U143" s="91" t="n"/>
      <c r="V143" s="91" t="n"/>
      <c r="W143" s="91" t="n"/>
      <c r="X143" s="91" t="n"/>
      <c r="Y143" s="91" t="n"/>
      <c r="Z143" s="91" t="n"/>
      <c r="AA143" s="91" t="n"/>
    </row>
    <row r="144">
      <c r="A144" s="114" t="inlineStr">
        <is>
          <t>Nguyễn Văn Nhật</t>
        </is>
      </c>
      <c r="B144" s="58" t="inlineStr">
        <is>
          <t>CSKH HVC chuyển XGSPON</t>
        </is>
      </c>
      <c r="C144" s="68" t="n">
        <v>0</v>
      </c>
      <c r="D144" s="87">
        <f>SUMIFS(DuLieu!$J$3:$J$11921,DuLieu!$B$3:$B$101921,$A144,DuLieu!$T$3:$T$101921,"&gt;=1", DuLieu!$T$3:$T$101921,"&lt;=7",DuLieu!$U$3:$U$101921,$R144)</f>
        <v/>
      </c>
      <c r="E144" s="87">
        <f>IF(C144&gt;=D144,C144-D144,0)</f>
        <v/>
      </c>
      <c r="F144" s="65" t="n">
        <v>0</v>
      </c>
      <c r="G144" s="87">
        <f>SUMIFS(DuLieu!$J$3:$J$11921,DuLieu!$B$3:$B$101921,$A144,DuLieu!$T$3:$T$101921,"&gt;=8", DuLieu!$T$3:$T$101921,"&lt;=14",DuLieu!$U$3:$U$101921,$R144)</f>
        <v/>
      </c>
      <c r="H144" s="87">
        <f>IF(F144&gt;=G144,F144-G144,0)</f>
        <v/>
      </c>
      <c r="I144" s="78" t="n">
        <v>0</v>
      </c>
      <c r="J144" s="86">
        <f>SUMIFS(DuLieu!$J$3:$J$11921,DuLieu!$B$3:$B$101921,$A144,DuLieu!$T$3:$T$101921,"&gt;=15", DuLieu!$T$3:$T$101921,"&lt;=21",DuLieu!$U$3:$U$101921,$R144)</f>
        <v/>
      </c>
      <c r="K144" s="87">
        <f>IF(I144&gt;=J144,I144-J144,0)</f>
        <v/>
      </c>
      <c r="L144" s="68" t="n">
        <v>0</v>
      </c>
      <c r="M144" s="87">
        <f>SUMIFS(DuLieu!$D$3:$D$101921,DuLieu!$B$3:$B$101921,$A144,DuLieu!$T$3:$T$101921,"&gt;=1", DuLieu!$T$3:$T$101921,"&lt;=7",DuLieu!$U$3:$U$101921,$R144)</f>
        <v/>
      </c>
      <c r="N144" s="87">
        <f>IF(L144&gt;=M144,L144-M144,0)</f>
        <v/>
      </c>
      <c r="O144" s="87" t="n">
        <v>20</v>
      </c>
      <c r="P144" s="87">
        <f>$D144+$G144+$J144+$M144</f>
        <v/>
      </c>
      <c r="Q144" s="87">
        <f>IF(O144&gt;=P144,O144-P144,0)</f>
        <v/>
      </c>
      <c r="R144" s="77" t="n">
        <v>11</v>
      </c>
      <c r="S144" s="91" t="n"/>
      <c r="T144" s="91" t="n"/>
      <c r="U144" s="91" t="n"/>
      <c r="V144" s="91" t="n"/>
      <c r="W144" s="91" t="n"/>
      <c r="X144" s="91" t="n"/>
      <c r="Y144" s="91" t="n"/>
      <c r="Z144" s="91" t="n"/>
      <c r="AA144" s="91" t="n"/>
    </row>
    <row r="145">
      <c r="A145" s="114" t="inlineStr">
        <is>
          <t>Nguyễn Văn Nhật</t>
        </is>
      </c>
      <c r="B145" s="58" t="inlineStr">
        <is>
          <t>Phiếu GHTT tháng T</t>
        </is>
      </c>
      <c r="C145" s="68" t="n">
        <v>37</v>
      </c>
      <c r="D145" s="87">
        <f>SUMIFS(DuLieu!$K$3:$K$11921,DuLieu!$B$3:$B$101921,$A145,DuLieu!$T$3:$T$101921,"&gt;=1", DuLieu!$T$3:$T$101921,"&lt;=7",DuLieu!$U$3:$U$101921,$R145)</f>
        <v/>
      </c>
      <c r="E145" s="87">
        <f>IF(C145&gt;=D145,C145-D145,0)</f>
        <v/>
      </c>
      <c r="F145" s="65" t="n">
        <v>70</v>
      </c>
      <c r="G145" s="87" t="n">
        <v>0</v>
      </c>
      <c r="H145" s="87">
        <f>IF(F145&gt;=G145,F145-G145,0)</f>
        <v/>
      </c>
      <c r="I145" s="78" t="n">
        <v>70</v>
      </c>
      <c r="J145" s="86" t="n">
        <v>0</v>
      </c>
      <c r="K145" s="87">
        <f>IF(I145&gt;=J145,I145-J145,0)</f>
        <v/>
      </c>
      <c r="L145" s="68" t="n">
        <v>40</v>
      </c>
      <c r="M145" s="87">
        <f>SUMIFS(DuLieu!$D$3:$D$101921,DuLieu!$B$3:$B$101921,$A145,DuLieu!$T$3:$T$101921,"&gt;=1", DuLieu!$T$3:$T$101921,"&lt;=7",DuLieu!$U$3:$U$101921,$R145)</f>
        <v/>
      </c>
      <c r="N145" s="87">
        <f>IF(L145&gt;=M145,L145-M145,0)</f>
        <v/>
      </c>
      <c r="O145" s="87" t="n">
        <v>217</v>
      </c>
      <c r="P145" s="87">
        <f>$D145+$G145+$J145+$M145</f>
        <v/>
      </c>
      <c r="Q145" s="87">
        <f>IF(O145&gt;=P145,O145-P145,0)</f>
        <v/>
      </c>
      <c r="R145" s="77" t="n">
        <v>11</v>
      </c>
      <c r="S145" s="91" t="n"/>
      <c r="T145" s="91" t="n"/>
      <c r="U145" s="91" t="n"/>
      <c r="V145" s="91" t="n"/>
      <c r="W145" s="91" t="n"/>
      <c r="X145" s="91" t="n"/>
      <c r="Y145" s="91" t="n"/>
      <c r="Z145" s="91" t="n"/>
      <c r="AA145" s="91" t="n"/>
    </row>
    <row r="146">
      <c r="A146" s="114" t="inlineStr">
        <is>
          <t>Nguyễn Văn Nhật</t>
        </is>
      </c>
      <c r="B146" s="58" t="inlineStr">
        <is>
          <t>Phiếu GHTT tháng T+1</t>
        </is>
      </c>
      <c r="C146" s="68" t="n">
        <v>10</v>
      </c>
      <c r="D146" s="87">
        <f>SUMIFS(DuLieu!$L$3:$L$11921,DuLieu!$B$3:$B$101921,$A146,DuLieu!$T$3:$T$101921,"&gt;=1", DuLieu!$T$3:$T$101921,"&lt;=7",DuLieu!$U$3:$U$101921,$R146)</f>
        <v/>
      </c>
      <c r="E146" s="87">
        <f>IF(C146&gt;=D146,C146-D146,0)</f>
        <v/>
      </c>
      <c r="F146" s="65" t="n">
        <v>10</v>
      </c>
      <c r="G146" s="87" t="n">
        <v>0</v>
      </c>
      <c r="H146" s="87">
        <f>IF(F146&gt;=G146,F146-G146,0)</f>
        <v/>
      </c>
      <c r="I146" s="78" t="n">
        <v>0</v>
      </c>
      <c r="J146" s="86" t="n">
        <v>0</v>
      </c>
      <c r="K146" s="87">
        <f>IF(I146&gt;=J146,I146-J146,0)</f>
        <v/>
      </c>
      <c r="L146" s="68" t="n">
        <v>0</v>
      </c>
      <c r="M146" s="87">
        <f>SUMIFS(DuLieu!$D$3:$D$101921,DuLieu!$B$3:$B$101921,$A146,DuLieu!$T$3:$T$101921,"&gt;=1", DuLieu!$T$3:$T$101921,"&lt;=7",DuLieu!$U$3:$U$101921,$R146)</f>
        <v/>
      </c>
      <c r="N146" s="87">
        <f>IF(L146&gt;=M146,L146-M146,0)</f>
        <v/>
      </c>
      <c r="O146" s="87" t="n">
        <v>29</v>
      </c>
      <c r="P146" s="87">
        <f>$D146+$G146+$J146+$M146</f>
        <v/>
      </c>
      <c r="Q146" s="87">
        <f>IF(O146&gt;=P146,O146-P146,0)</f>
        <v/>
      </c>
      <c r="R146" s="77" t="n">
        <v>11</v>
      </c>
      <c r="S146" s="91" t="n"/>
      <c r="T146" s="91" t="n"/>
      <c r="U146" s="91" t="n"/>
      <c r="V146" s="91" t="n"/>
      <c r="W146" s="91" t="n"/>
      <c r="X146" s="91" t="n"/>
      <c r="Y146" s="91" t="n"/>
      <c r="Z146" s="91" t="n"/>
      <c r="AA146" s="91" t="n"/>
    </row>
    <row r="147">
      <c r="A147" s="114" t="inlineStr">
        <is>
          <t>Phan Ngọc Sang</t>
        </is>
      </c>
      <c r="B147" s="48" t="inlineStr">
        <is>
          <t>Tiếp thị DV Fiber</t>
        </is>
      </c>
      <c r="C147" s="68" t="n">
        <v>2</v>
      </c>
      <c r="D147" s="81">
        <f>SUMIFS(DuLieu!$D$3:$D$11921,DuLieu!$B$3:$B$101921,$A147,DuLieu!$T$3:$T$101921,"&gt;=1", DuLieu!$T$3:$T$101921,"&lt;=7",DuLieu!$U$3:$U$101921,$R147)</f>
        <v/>
      </c>
      <c r="E147" s="85">
        <f>IF(C147&gt;=D147,C147-D147,0)</f>
        <v/>
      </c>
      <c r="F147" s="65" t="n">
        <v>2</v>
      </c>
      <c r="G147" s="85">
        <f>SUMIFS(DuLieu!$D$3:$D$11921,DuLieu!$B$3:$B$101921,$A147,DuLieu!$T$3:$T$101921,"&gt;=8", DuLieu!$T$3:$T$101921,"&lt;=14",DuLieu!$U$3:$U$101921,$R147)</f>
        <v/>
      </c>
      <c r="H147" s="85">
        <f>IF(F147&gt;=G147,F147-G147,0)</f>
        <v/>
      </c>
      <c r="I147" s="78" t="n">
        <v>2</v>
      </c>
      <c r="J147" s="81" t="n">
        <v>0</v>
      </c>
      <c r="K147" s="85">
        <f>IF(I147&gt;=J147,I147-J147,0)</f>
        <v/>
      </c>
      <c r="L147" s="68" t="n">
        <v>1</v>
      </c>
      <c r="M147" s="81">
        <f>SUMIFS(DuLieu!$D$3:$D$101921,DuLieu!$B$3:$B$101921,$A147,DuLieu!$T$3:$T$101921,"&gt;=1", DuLieu!$T$3:$T$101921,"&lt;=7",DuLieu!$U$3:$U$101921,$R147)</f>
        <v/>
      </c>
      <c r="N147" s="85">
        <f>IF(L147&gt;=M147,L147-M147,0)</f>
        <v/>
      </c>
      <c r="O147" s="85" t="n">
        <v>7</v>
      </c>
      <c r="P147" s="81">
        <f>$D147+$G147+$J147+$M147</f>
        <v/>
      </c>
      <c r="Q147" s="85">
        <f>IF(O147&gt;=P147,O147-P147,0)</f>
        <v/>
      </c>
      <c r="R147" s="80" t="n">
        <v>11</v>
      </c>
      <c r="S147" s="89" t="n"/>
      <c r="T147" s="89" t="n"/>
      <c r="U147" s="89" t="n"/>
      <c r="V147" s="89" t="n"/>
      <c r="W147" s="89" t="n"/>
      <c r="X147" s="89" t="n"/>
      <c r="Y147" s="89" t="n"/>
      <c r="Z147" s="89" t="n"/>
      <c r="AA147" s="89" t="n"/>
    </row>
    <row r="148">
      <c r="A148" s="114" t="inlineStr">
        <is>
          <t>Phan Ngọc Sang</t>
        </is>
      </c>
      <c r="B148" s="48" t="inlineStr">
        <is>
          <t>Tiếp thị DV MyTV</t>
        </is>
      </c>
      <c r="C148" s="68" t="n">
        <v>2</v>
      </c>
      <c r="D148" s="81">
        <f>SUMIFS(DuLieu!$E$3:$E$11921,DuLieu!$B$3:$B$101921,$A148,DuLieu!$T$3:$T$101921,"&gt;=1", DuLieu!$T$3:$T$101921,"&lt;=7",DuLieu!$U$3:$U$101921,$R148)</f>
        <v/>
      </c>
      <c r="E148" s="85">
        <f>IF(C148&gt;=D148,C148-D148,0)</f>
        <v/>
      </c>
      <c r="F148" s="65" t="n">
        <v>2</v>
      </c>
      <c r="G148" s="85">
        <f>SUMIFS(DuLieu!$E$3:$E$11921,DuLieu!$B$3:$B$101921,$A148,DuLieu!$T$3:$T$101921,"&gt;=8", DuLieu!$T$3:$T$101921,"&lt;=14",DuLieu!$U$3:$U$101921,$R148)</f>
        <v/>
      </c>
      <c r="H148" s="85">
        <f>IF(F148&gt;=G148,F148-G148,0)</f>
        <v/>
      </c>
      <c r="I148" s="78" t="n">
        <v>2</v>
      </c>
      <c r="J148" s="81" t="n">
        <v>0</v>
      </c>
      <c r="K148" s="85">
        <f>IF(I148&gt;=J148,I148-J148,0)</f>
        <v/>
      </c>
      <c r="L148" s="68" t="n">
        <v>1</v>
      </c>
      <c r="M148" s="81">
        <f>SUMIFS(DuLieu!$D$3:$D$101921,DuLieu!$B$3:$B$101921,$A148,DuLieu!$T$3:$T$101921,"&gt;=1", DuLieu!$T$3:$T$101921,"&lt;=7",DuLieu!$U$3:$U$101921,$R148)</f>
        <v/>
      </c>
      <c r="N148" s="85">
        <f>IF(L148&gt;=M148,L148-M148,0)</f>
        <v/>
      </c>
      <c r="O148" s="85" t="n">
        <v>7</v>
      </c>
      <c r="P148" s="81">
        <f>$D148+$G148+$J148+$M148</f>
        <v/>
      </c>
      <c r="Q148" s="85">
        <f>IF(O148&gt;=P148,O148-P148,0)</f>
        <v/>
      </c>
      <c r="R148" s="80" t="n">
        <v>11</v>
      </c>
      <c r="S148" s="89" t="n"/>
      <c r="T148" s="89" t="n"/>
      <c r="U148" s="89" t="n"/>
      <c r="V148" s="89" t="n"/>
      <c r="W148" s="89" t="n"/>
      <c r="X148" s="89" t="n"/>
      <c r="Y148" s="89" t="n"/>
      <c r="Z148" s="89" t="n"/>
      <c r="AA148" s="89" t="n"/>
    </row>
    <row r="149">
      <c r="A149" s="114" t="inlineStr">
        <is>
          <t>Phan Ngọc Sang</t>
        </is>
      </c>
      <c r="B149" s="48" t="inlineStr">
        <is>
          <t>Tiếp thị DV Camera/Mesh</t>
        </is>
      </c>
      <c r="C149" s="68" t="n">
        <v>1</v>
      </c>
      <c r="D149" s="81">
        <f>SUMIFS(DuLieu!$F$3:$F$11921,DuLieu!$B$3:$B$101921,$A149,DuLieu!$T$3:$T$101921,"&gt;=1", DuLieu!$T$3:$T$101921,"&lt;=7",DuLieu!$U$3:$U$101921,$R149)</f>
        <v/>
      </c>
      <c r="E149" s="85">
        <f>IF(C149&gt;=D149,C149-D149,0)</f>
        <v/>
      </c>
      <c r="F149" s="65" t="n">
        <v>1</v>
      </c>
      <c r="G149" s="85">
        <f>SUMIFS(DuLieu!$F$3:$F$11921,DuLieu!$B$3:$B$101921,$A149,DuLieu!$T$3:$T$101921,"&gt;=8", DuLieu!$T$3:$T$101921,"&lt;=14",DuLieu!$U$3:$U$101921,$R149)</f>
        <v/>
      </c>
      <c r="H149" s="85">
        <f>IF(F149&gt;=G149,F149-G149,0)</f>
        <v/>
      </c>
      <c r="I149" s="78" t="n">
        <v>1</v>
      </c>
      <c r="J149" s="81">
        <f>SUMIFS(DuLieu!$F$3:$F$11921,DuLieu!$B$3:$B$101921,$A149,DuLieu!$T$3:$T$101921,"&gt;=15", DuLieu!$T$3:$T$101921,"&lt;=21",DuLieu!$U$3:$U$101921,$R149)</f>
        <v/>
      </c>
      <c r="K149" s="85">
        <f>IF(I149&gt;=J149,I149-J149,0)</f>
        <v/>
      </c>
      <c r="L149" s="68" t="n">
        <v>1</v>
      </c>
      <c r="M149" s="81">
        <f>SUMIFS(DuLieu!$D$3:$D$101921,DuLieu!$B$3:$B$101921,$A149,DuLieu!$T$3:$T$101921,"&gt;=1", DuLieu!$T$3:$T$101921,"&lt;=7",DuLieu!$U$3:$U$101921,$R149)</f>
        <v/>
      </c>
      <c r="N149" s="85">
        <f>IF(L149&gt;=M149,L149-M149,0)</f>
        <v/>
      </c>
      <c r="O149" s="85" t="n">
        <v>4</v>
      </c>
      <c r="P149" s="81">
        <f>$D149+$G149+$J149+$M149</f>
        <v/>
      </c>
      <c r="Q149" s="85">
        <f>IF(O149&gt;=P149,O149-P149,0)</f>
        <v/>
      </c>
      <c r="R149" s="80" t="n">
        <v>11</v>
      </c>
      <c r="S149" s="89" t="n"/>
      <c r="T149" s="89" t="n"/>
      <c r="U149" s="89" t="n"/>
      <c r="V149" s="89" t="n"/>
      <c r="W149" s="89" t="n"/>
      <c r="X149" s="89" t="n"/>
      <c r="Y149" s="89" t="n"/>
      <c r="Z149" s="89" t="n"/>
      <c r="AA149" s="89" t="n"/>
    </row>
    <row r="150">
      <c r="A150" s="114" t="inlineStr">
        <is>
          <t>Phan Ngọc Sang</t>
        </is>
      </c>
      <c r="B150" s="48" t="inlineStr">
        <is>
          <t>Tạm ngưng Fiber</t>
        </is>
      </c>
      <c r="C150" s="73" t="n">
        <v>1</v>
      </c>
      <c r="D150" s="81">
        <f>SUMIFS(DuLieu!$G$3:$G$11921,DuLieu!$B$3:$B$101921,$A150,DuLieu!$T$3:$T$101921,"&gt;=1", DuLieu!$T$3:$T$101921,"&lt;=7",DuLieu!$U$3:$U$101921,$R150)</f>
        <v/>
      </c>
      <c r="E150" s="85">
        <f>IF(C150&gt;=D150,C150-D150,0)</f>
        <v/>
      </c>
      <c r="F150" s="70" t="n">
        <v>1</v>
      </c>
      <c r="G150" s="85">
        <f>SUMIFS(DuLieu!$G$3:$G$11921,DuLieu!$B$3:$B$101921,D150,DuLieu!$T$3:$T$101921,"&gt;=8", DuLieu!$T$3:$T$101921,"&lt;=14",DuLieu!$U$3:$U$101921,$R150)</f>
        <v/>
      </c>
      <c r="H150" s="85">
        <f>IF(F150&gt;=G150,F150-G150,0)</f>
        <v/>
      </c>
      <c r="I150" s="72" t="n">
        <v>1</v>
      </c>
      <c r="J150" s="81" t="n">
        <v>0</v>
      </c>
      <c r="K150" s="85">
        <f>IF(I150&gt;=J150,I150-J150,0)</f>
        <v/>
      </c>
      <c r="L150" s="73" t="n">
        <v>1</v>
      </c>
      <c r="M150" s="81">
        <f>SUMIFS(DuLieu!$D$3:$D$101921,DuLieu!$B$3:$B$101921,$A150,DuLieu!$T$3:$T$101921,"&gt;=1", DuLieu!$T$3:$T$101921,"&lt;=7",DuLieu!$U$3:$U$101921,$R150)</f>
        <v/>
      </c>
      <c r="N150" s="85">
        <f>IF(L150&gt;=M150,L150-M150,0)</f>
        <v/>
      </c>
      <c r="O150" s="85" t="n">
        <v>4</v>
      </c>
      <c r="P150" s="81">
        <f>$D150+$G150+$J150+$M150</f>
        <v/>
      </c>
      <c r="Q150" s="85">
        <f>IF(O150&gt;=P150,O150-P150,0)</f>
        <v/>
      </c>
      <c r="R150" s="80" t="n">
        <v>11</v>
      </c>
      <c r="S150" s="89" t="n"/>
      <c r="T150" s="89" t="n"/>
      <c r="U150" s="89" t="n"/>
      <c r="V150" s="89" t="n"/>
      <c r="W150" s="89" t="n"/>
      <c r="X150" s="89" t="n"/>
      <c r="Y150" s="89" t="n"/>
      <c r="Z150" s="89" t="n"/>
      <c r="AA150" s="89" t="n"/>
    </row>
    <row r="151">
      <c r="A151" s="114" t="inlineStr">
        <is>
          <t>Phan Ngọc Sang</t>
        </is>
      </c>
      <c r="B151" s="48" t="inlineStr">
        <is>
          <t>Tạm ngưng Mytv</t>
        </is>
      </c>
      <c r="C151" s="73" t="n">
        <v>1</v>
      </c>
      <c r="D151" s="81">
        <f>SUMIFS(DuLieu!$H$3:$H$11921,DuLieu!$B$3:$B$101921,$A151,DuLieu!$T$3:$T$101921,"&gt;=1", DuLieu!$T$3:$T$101921,"&lt;=7",DuLieu!$U$3:$U$101921,$R151)</f>
        <v/>
      </c>
      <c r="E151" s="85">
        <f>IF(C151&gt;=D151,C151-D151,0)</f>
        <v/>
      </c>
      <c r="F151" s="70" t="n">
        <v>2</v>
      </c>
      <c r="G151" s="85">
        <f>SUMIFS(DuLieu!$H$3:$H$11921,DuLieu!$B$3:$B$101921,$A151,DuLieu!$T$3:$T$101921,"&gt;=8", DuLieu!$T$3:$T$101921,"&lt;=14",DuLieu!$U$3:$U$101921,$R151)</f>
        <v/>
      </c>
      <c r="H151" s="85">
        <f>IF(F151&gt;=G151,F151-G151,0)</f>
        <v/>
      </c>
      <c r="I151" s="72" t="n">
        <v>2</v>
      </c>
      <c r="J151" s="81" t="n">
        <v>0</v>
      </c>
      <c r="K151" s="85">
        <f>IF(I151&gt;=J151,I151-J151,0)</f>
        <v/>
      </c>
      <c r="L151" s="73" t="n">
        <v>2</v>
      </c>
      <c r="M151" s="81">
        <f>SUMIFS(DuLieu!$D$3:$D$101921,DuLieu!$B$3:$B$101921,$A151,DuLieu!$T$3:$T$101921,"&gt;=1", DuLieu!$T$3:$T$101921,"&lt;=7",DuLieu!$U$3:$U$101921,$R151)</f>
        <v/>
      </c>
      <c r="N151" s="85">
        <f>IF(L151&gt;=M151,L151-M151,0)</f>
        <v/>
      </c>
      <c r="O151" s="85" t="n">
        <v>7</v>
      </c>
      <c r="P151" s="81">
        <f>$D151+$G151+$J151+$M151</f>
        <v/>
      </c>
      <c r="Q151" s="85">
        <f>IF(O151&gt;=P151,O151-P151,0)</f>
        <v/>
      </c>
      <c r="R151" s="80" t="n">
        <v>11</v>
      </c>
      <c r="S151" s="89" t="n"/>
      <c r="T151" s="89" t="n"/>
      <c r="U151" s="89" t="n"/>
      <c r="V151" s="89" t="n"/>
      <c r="W151" s="89" t="n"/>
      <c r="X151" s="89" t="n"/>
      <c r="Y151" s="89" t="n"/>
      <c r="Z151" s="89" t="n"/>
      <c r="AA151" s="89" t="n"/>
    </row>
    <row r="152">
      <c r="A152" s="114" t="inlineStr">
        <is>
          <t>Phan Ngọc Sang</t>
        </is>
      </c>
      <c r="B152" s="48" t="inlineStr">
        <is>
          <t>Thay thế ONT 2 băng tần</t>
        </is>
      </c>
      <c r="C152" s="68" t="n">
        <v>10</v>
      </c>
      <c r="D152" s="81">
        <f>SUMIFS(DuLieu!$I$3:$I$11921,DuLieu!$B$3:$B$101921,$A152,DuLieu!$T$3:$T$101921,"&gt;=1", DuLieu!$T$3:$T$101921,"&lt;=7",DuLieu!$U$3:$U$101921,$R152)</f>
        <v/>
      </c>
      <c r="E152" s="85">
        <f>IF(C152&gt;=D152,C152-D152,0)</f>
        <v/>
      </c>
      <c r="F152" s="65" t="n">
        <v>10</v>
      </c>
      <c r="G152" s="85" t="n">
        <v>0</v>
      </c>
      <c r="H152" s="85">
        <f>IF(F152&gt;=G152,F152-G152,0)</f>
        <v/>
      </c>
      <c r="I152" s="78" t="n">
        <v>0</v>
      </c>
      <c r="J152" s="81" t="n">
        <v>0</v>
      </c>
      <c r="K152" s="85">
        <f>IF(I152&gt;=J152,I152-J152,0)</f>
        <v/>
      </c>
      <c r="L152" s="68" t="n">
        <v>0</v>
      </c>
      <c r="M152" s="81">
        <f>SUMIFS(DuLieu!$D$3:$D$101921,DuLieu!$B$3:$B$101921,$A152,DuLieu!$T$3:$T$101921,"&gt;=1", DuLieu!$T$3:$T$101921,"&lt;=7",DuLieu!$U$3:$U$101921,$R152)</f>
        <v/>
      </c>
      <c r="N152" s="85">
        <f>IF(L152&gt;=M152,L152-M152,0)</f>
        <v/>
      </c>
      <c r="O152" s="85" t="n">
        <v>20</v>
      </c>
      <c r="P152" s="81">
        <f>$D152+$G152+$J152+$M152</f>
        <v/>
      </c>
      <c r="Q152" s="85">
        <f>IF(O152&gt;=P152,O152-P152,0)</f>
        <v/>
      </c>
      <c r="R152" s="80" t="n">
        <v>11</v>
      </c>
      <c r="S152" s="89" t="n"/>
      <c r="T152" s="89" t="n"/>
      <c r="U152" s="89" t="n"/>
      <c r="V152" s="89" t="n"/>
      <c r="W152" s="89" t="n"/>
      <c r="X152" s="89" t="n"/>
      <c r="Y152" s="89" t="n"/>
      <c r="Z152" s="89" t="n"/>
      <c r="AA152" s="89" t="n"/>
    </row>
    <row r="153">
      <c r="A153" s="114" t="inlineStr">
        <is>
          <t>Phan Ngọc Sang</t>
        </is>
      </c>
      <c r="B153" s="48" t="inlineStr">
        <is>
          <t>CSKH HVC chuyển XGSPON</t>
        </is>
      </c>
      <c r="C153" s="68" t="n">
        <v>0</v>
      </c>
      <c r="D153" s="81">
        <f>SUMIFS(DuLieu!$J$3:$J$11921,DuLieu!$B$3:$B$101921,$A153,DuLieu!$T$3:$T$101921,"&gt;=1", DuLieu!$T$3:$T$101921,"&lt;=7",DuLieu!$U$3:$U$101921,$R153)</f>
        <v/>
      </c>
      <c r="E153" s="85">
        <f>IF(C153&gt;=D153,C153-D153,0)</f>
        <v/>
      </c>
      <c r="F153" s="65" t="n">
        <v>0</v>
      </c>
      <c r="G153" s="85">
        <f>SUMIFS(DuLieu!$J$3:$J$11921,DuLieu!$B$3:$B$101921,$A153,DuLieu!$T$3:$T$101921,"&gt;=8", DuLieu!$T$3:$T$101921,"&lt;=14",DuLieu!$U$3:$U$101921,$R153)</f>
        <v/>
      </c>
      <c r="H153" s="85">
        <f>IF(F153&gt;=G153,F153-G153,0)</f>
        <v/>
      </c>
      <c r="I153" s="78" t="n">
        <v>0</v>
      </c>
      <c r="J153" s="81">
        <f>SUMIFS(DuLieu!$J$3:$J$11921,DuLieu!$B$3:$B$101921,$A153,DuLieu!$T$3:$T$101921,"&gt;=15", DuLieu!$T$3:$T$101921,"&lt;=21",DuLieu!$U$3:$U$101921,$R153)</f>
        <v/>
      </c>
      <c r="K153" s="85">
        <f>IF(I153&gt;=J153,I153-J153,0)</f>
        <v/>
      </c>
      <c r="L153" s="68" t="n">
        <v>0</v>
      </c>
      <c r="M153" s="81">
        <f>SUMIFS(DuLieu!$D$3:$D$101921,DuLieu!$B$3:$B$101921,$A153,DuLieu!$T$3:$T$101921,"&gt;=1", DuLieu!$T$3:$T$101921,"&lt;=7",DuLieu!$U$3:$U$101921,$R153)</f>
        <v/>
      </c>
      <c r="N153" s="85">
        <f>IF(L153&gt;=M153,L153-M153,0)</f>
        <v/>
      </c>
      <c r="O153" s="85" t="n">
        <v>20</v>
      </c>
      <c r="P153" s="81">
        <f>$D153+$G153+$J153+$M153</f>
        <v/>
      </c>
      <c r="Q153" s="85">
        <f>IF(O153&gt;=P153,O153-P153,0)</f>
        <v/>
      </c>
      <c r="R153" s="80" t="n">
        <v>11</v>
      </c>
      <c r="S153" s="89" t="n"/>
      <c r="T153" s="89" t="n"/>
      <c r="U153" s="89" t="n"/>
      <c r="V153" s="89" t="n"/>
      <c r="W153" s="89" t="n"/>
      <c r="X153" s="89" t="n"/>
      <c r="Y153" s="89" t="n"/>
      <c r="Z153" s="89" t="n"/>
      <c r="AA153" s="89" t="n"/>
    </row>
    <row r="154">
      <c r="A154" s="114" t="inlineStr">
        <is>
          <t>Phan Ngọc Sang</t>
        </is>
      </c>
      <c r="B154" s="48" t="inlineStr">
        <is>
          <t>Phiếu GHTT tháng T</t>
        </is>
      </c>
      <c r="C154" s="68" t="n">
        <v>30</v>
      </c>
      <c r="D154" s="81">
        <f>SUMIFS(DuLieu!$K$3:$K$11921,DuLieu!$B$3:$B$101921,$A154,DuLieu!$T$3:$T$101921,"&gt;=1", DuLieu!$T$3:$T$101921,"&lt;=7",DuLieu!$U$3:$U$101921,$R154)</f>
        <v/>
      </c>
      <c r="E154" s="85">
        <f>IF(C154&gt;=D154,C154-D154,0)</f>
        <v/>
      </c>
      <c r="F154" s="65" t="n">
        <v>50</v>
      </c>
      <c r="G154" s="85" t="n">
        <v>0</v>
      </c>
      <c r="H154" s="85">
        <f>IF(F154&gt;=G154,F154-G154,0)</f>
        <v/>
      </c>
      <c r="I154" s="78" t="n">
        <v>50</v>
      </c>
      <c r="J154" s="81" t="n">
        <v>0</v>
      </c>
      <c r="K154" s="85">
        <f>IF(I154&gt;=J154,I154-J154,0)</f>
        <v/>
      </c>
      <c r="L154" s="68" t="n">
        <v>40</v>
      </c>
      <c r="M154" s="81">
        <f>SUMIFS(DuLieu!$D$3:$D$101921,DuLieu!$B$3:$B$101921,$A154,DuLieu!$T$3:$T$101921,"&gt;=1", DuLieu!$T$3:$T$101921,"&lt;=7",DuLieu!$U$3:$U$101921,$R154)</f>
        <v/>
      </c>
      <c r="N154" s="85">
        <f>IF(L154&gt;=M154,L154-M154,0)</f>
        <v/>
      </c>
      <c r="O154" s="85" t="n">
        <v>170</v>
      </c>
      <c r="P154" s="81">
        <f>$D154+$G154+$J154+$M154</f>
        <v/>
      </c>
      <c r="Q154" s="85">
        <f>IF(O154&gt;=P154,O154-P154,0)</f>
        <v/>
      </c>
      <c r="R154" s="80" t="n">
        <v>11</v>
      </c>
      <c r="S154" s="89" t="n"/>
      <c r="T154" s="89" t="n"/>
      <c r="U154" s="89" t="n"/>
      <c r="V154" s="89" t="n"/>
      <c r="W154" s="89" t="n"/>
      <c r="X154" s="89" t="n"/>
      <c r="Y154" s="89" t="n"/>
      <c r="Z154" s="89" t="n"/>
      <c r="AA154" s="89" t="n"/>
    </row>
    <row r="155">
      <c r="A155" s="114" t="inlineStr">
        <is>
          <t>Phan Ngọc Sang</t>
        </is>
      </c>
      <c r="B155" s="48" t="inlineStr">
        <is>
          <t>Phiếu GHTT tháng T+1</t>
        </is>
      </c>
      <c r="C155" s="68" t="n">
        <v>5</v>
      </c>
      <c r="D155" s="81">
        <f>SUMIFS(DuLieu!$L$3:$L$11921,DuLieu!$B$3:$B$101921,$A155,DuLieu!$T$3:$T$101921,"&gt;=1", DuLieu!$T$3:$T$101921,"&lt;=7",DuLieu!$U$3:$U$101921,$R155)</f>
        <v/>
      </c>
      <c r="E155" s="85">
        <f>IF(C155&gt;=D155,C155-D155,0)</f>
        <v/>
      </c>
      <c r="F155" s="65" t="n">
        <v>4</v>
      </c>
      <c r="G155" s="85">
        <f>SUMIFS(DuLieu!$L$3:$L$11921,DuLieu!$B$3:$B$101921,$A155,DuLieu!$T$3:$T$101921,"&gt;=8", DuLieu!$T$3:$T$101921,"&lt;=14",DuLieu!$U$3:$U$101921,$R155)</f>
        <v/>
      </c>
      <c r="H155" s="85">
        <f>IF(F155&gt;=G155,F155-G155,0)</f>
        <v/>
      </c>
      <c r="I155" s="78" t="n">
        <v>4</v>
      </c>
      <c r="J155" s="81">
        <f>SUMIFS(DuLieu!$L$3:$L$11921,DuLieu!$B$3:$B$101921,$A155,DuLieu!$T$3:$T$101921,"&gt;=15", DuLieu!$T$3:$T$101921,"&lt;=21",DuLieu!$U$3:$U$101921,$R155)</f>
        <v/>
      </c>
      <c r="K155" s="85">
        <f>IF(I155&gt;=J155,I155-J155,0)</f>
        <v/>
      </c>
      <c r="L155" s="68" t="n">
        <v>0</v>
      </c>
      <c r="M155" s="81">
        <f>SUMIFS(DuLieu!$D$3:$D$101921,DuLieu!$B$3:$B$101921,$A155,DuLieu!$T$3:$T$101921,"&gt;=1", DuLieu!$T$3:$T$101921,"&lt;=7",DuLieu!$U$3:$U$101921,$R155)</f>
        <v/>
      </c>
      <c r="N155" s="85">
        <f>IF(L155&gt;=M155,L155-M155,0)</f>
        <v/>
      </c>
      <c r="O155" s="85" t="n">
        <v>13</v>
      </c>
      <c r="P155" s="81">
        <f>$D155+$G155+$J155+$M155</f>
        <v/>
      </c>
      <c r="Q155" s="85">
        <f>IF(O155&gt;=P155,O155-P155,0)</f>
        <v/>
      </c>
      <c r="R155" s="80" t="n">
        <v>11</v>
      </c>
      <c r="S155" s="89" t="n"/>
      <c r="T155" s="89" t="n"/>
      <c r="U155" s="89" t="n"/>
      <c r="V155" s="89" t="n"/>
      <c r="W155" s="89" t="n"/>
      <c r="X155" s="89" t="n"/>
      <c r="Y155" s="89" t="n"/>
      <c r="Z155" s="89" t="n"/>
      <c r="AA155" s="89" t="n"/>
    </row>
    <row r="156">
      <c r="A156" s="114" t="inlineStr">
        <is>
          <t>Đào Công Trung</t>
        </is>
      </c>
      <c r="B156" s="58" t="inlineStr">
        <is>
          <t>Tiếp thị DV Fiber</t>
        </is>
      </c>
      <c r="C156" s="68" t="n">
        <v>2</v>
      </c>
      <c r="D156" s="87">
        <f>SUMIFS(DuLieu!$D$3:$D$11921,DuLieu!$B$3:$B$101921,$A156,DuLieu!$T$3:$T$101921,"&gt;=1", DuLieu!$T$3:$T$101921,"&lt;=7",DuLieu!$U$3:$U$101921,$R156)</f>
        <v/>
      </c>
      <c r="E156" s="87">
        <f>IF(C156&gt;=D156,C156-D156,0)</f>
        <v/>
      </c>
      <c r="F156" s="65" t="n">
        <v>2</v>
      </c>
      <c r="G156" s="87" t="n">
        <v>0</v>
      </c>
      <c r="H156" s="87">
        <f>IF(F156&gt;=G156,F156-G156,0)</f>
        <v/>
      </c>
      <c r="I156" s="78" t="n">
        <v>2</v>
      </c>
      <c r="J156" s="86">
        <f>SUMIFS(DuLieu!$D$3:$D$11921,DuLieu!$B$3:$B$101921,$A156,DuLieu!$T$3:$T$101921,"&gt;=15", DuLieu!$T$3:$T$101921,"&lt;=21",DuLieu!$U$3:$U$101921,$R156)</f>
        <v/>
      </c>
      <c r="K156" s="87">
        <f>IF(I156&gt;=J156,I156-J156,0)</f>
        <v/>
      </c>
      <c r="L156" s="68" t="n">
        <v>2</v>
      </c>
      <c r="M156" s="87">
        <f>SUMIFS(DuLieu!$D$3:$D$101921,DuLieu!$B$3:$B$101921,$A156,DuLieu!$T$3:$T$101921,"&gt;=1", DuLieu!$T$3:$T$101921,"&lt;=7",DuLieu!$U$3:$U$101921,$R156)</f>
        <v/>
      </c>
      <c r="N156" s="87">
        <f>IF(L156&gt;=M156,L156-M156,0)</f>
        <v/>
      </c>
      <c r="O156" s="87" t="n">
        <v>8</v>
      </c>
      <c r="P156" s="87">
        <f>$D156+$G156+$J156+$M156</f>
        <v/>
      </c>
      <c r="Q156" s="87">
        <f>IF(O156&gt;=P156,O156-P156,0)</f>
        <v/>
      </c>
      <c r="R156" s="77" t="n">
        <v>11</v>
      </c>
      <c r="S156" s="91" t="n"/>
      <c r="T156" s="91" t="n"/>
      <c r="U156" s="91" t="n"/>
      <c r="V156" s="91" t="n"/>
      <c r="W156" s="91" t="n"/>
      <c r="X156" s="91" t="n"/>
      <c r="Y156" s="91" t="n"/>
      <c r="Z156" s="91" t="n"/>
      <c r="AA156" s="91" t="n"/>
    </row>
    <row r="157">
      <c r="A157" s="114" t="inlineStr">
        <is>
          <t>Đào Công Trung</t>
        </is>
      </c>
      <c r="B157" s="58" t="inlineStr">
        <is>
          <t>Tiếp thị DV MyTV</t>
        </is>
      </c>
      <c r="C157" s="68" t="n">
        <v>1</v>
      </c>
      <c r="D157" s="87">
        <f>SUMIFS(DuLieu!$E$3:$E$11921,DuLieu!$B$3:$B$101921,$A157,DuLieu!$T$3:$T$101921,"&gt;=1", DuLieu!$T$3:$T$101921,"&lt;=7",DuLieu!$U$3:$U$101921,$R157)</f>
        <v/>
      </c>
      <c r="E157" s="87">
        <f>IF(C157&gt;=D157,C157-D157,0)</f>
        <v/>
      </c>
      <c r="F157" s="65" t="n">
        <v>2</v>
      </c>
      <c r="G157" s="87" t="n">
        <v>0</v>
      </c>
      <c r="H157" s="87">
        <f>IF(F157&gt;=G157,F157-G157,0)</f>
        <v/>
      </c>
      <c r="I157" s="78" t="n">
        <v>2</v>
      </c>
      <c r="J157" s="86">
        <f>SUMIFS(DuLieu!$E$3:$E$11921,DuLieu!$B$3:$B$101921,$A157,DuLieu!$T$3:$T$101921,"&gt;=15", DuLieu!$T$3:$T$101921,"&lt;=21",DuLieu!$U$3:$U$101921,$R157)</f>
        <v/>
      </c>
      <c r="K157" s="87">
        <f>IF(I157&gt;=J157,I157-J157,0)</f>
        <v/>
      </c>
      <c r="L157" s="68" t="n">
        <v>1</v>
      </c>
      <c r="M157" s="87">
        <f>SUMIFS(DuLieu!$D$3:$D$101921,DuLieu!$B$3:$B$101921,$A157,DuLieu!$T$3:$T$101921,"&gt;=1", DuLieu!$T$3:$T$101921,"&lt;=7",DuLieu!$U$3:$U$101921,$R157)</f>
        <v/>
      </c>
      <c r="N157" s="87">
        <f>IF(L157&gt;=M157,L157-M157,0)</f>
        <v/>
      </c>
      <c r="O157" s="87" t="n">
        <v>6</v>
      </c>
      <c r="P157" s="87">
        <f>$D157+$G157+$J157+$M157</f>
        <v/>
      </c>
      <c r="Q157" s="87">
        <f>IF(O157&gt;=P157,O157-P157,0)</f>
        <v/>
      </c>
      <c r="R157" s="77" t="n">
        <v>11</v>
      </c>
      <c r="S157" s="91" t="n"/>
      <c r="T157" s="91" t="n"/>
      <c r="U157" s="91" t="n"/>
      <c r="V157" s="91" t="n"/>
      <c r="W157" s="91" t="n"/>
      <c r="X157" s="91" t="n"/>
      <c r="Y157" s="91" t="n"/>
      <c r="Z157" s="91" t="n"/>
      <c r="AA157" s="91" t="n"/>
    </row>
    <row r="158">
      <c r="A158" s="114" t="inlineStr">
        <is>
          <t>Đào Công Trung</t>
        </is>
      </c>
      <c r="B158" s="58" t="inlineStr">
        <is>
          <t>Tiếp thị DV Camera/Mesh</t>
        </is>
      </c>
      <c r="C158" s="68" t="n">
        <v>1</v>
      </c>
      <c r="D158" s="87">
        <f>SUMIFS(DuLieu!$F$3:$F$11921,DuLieu!$B$3:$B$101921,$A158,DuLieu!$T$3:$T$101921,"&gt;=1", DuLieu!$T$3:$T$101921,"&lt;=7",DuLieu!$U$3:$U$101921,$R158)</f>
        <v/>
      </c>
      <c r="E158" s="87">
        <f>IF(C158&gt;=D158,C158-D158,0)</f>
        <v/>
      </c>
      <c r="F158" s="65" t="n">
        <v>1</v>
      </c>
      <c r="G158" s="87">
        <f>SUMIFS(DuLieu!$F$3:$F$11921,DuLieu!$B$3:$B$101921,$A158,DuLieu!$T$3:$T$101921,"&gt;=8", DuLieu!$T$3:$T$101921,"&lt;=14",DuLieu!$U$3:$U$101921,$R158)</f>
        <v/>
      </c>
      <c r="H158" s="87">
        <f>IF(F158&gt;=G158,F158-G158,0)</f>
        <v/>
      </c>
      <c r="I158" s="78" t="n">
        <v>1</v>
      </c>
      <c r="J158" s="86">
        <f>SUMIFS(DuLieu!$F$3:$F$11921,DuLieu!$B$3:$B$101921,$A158,DuLieu!$T$3:$T$101921,"&gt;=15", DuLieu!$T$3:$T$101921,"&lt;=21",DuLieu!$U$3:$U$101921,$R158)</f>
        <v/>
      </c>
      <c r="K158" s="87">
        <f>IF(I158&gt;=J158,I158-J158,0)</f>
        <v/>
      </c>
      <c r="L158" s="68" t="n">
        <v>1</v>
      </c>
      <c r="M158" s="87">
        <f>SUMIFS(DuLieu!$D$3:$D$101921,DuLieu!$B$3:$B$101921,$A158,DuLieu!$T$3:$T$101921,"&gt;=1", DuLieu!$T$3:$T$101921,"&lt;=7",DuLieu!$U$3:$U$101921,$R158)</f>
        <v/>
      </c>
      <c r="N158" s="87">
        <f>IF(L158&gt;=M158,L158-M158,0)</f>
        <v/>
      </c>
      <c r="O158" s="87" t="n">
        <v>4</v>
      </c>
      <c r="P158" s="87">
        <f>$D158+$G158+$J158+$M158</f>
        <v/>
      </c>
      <c r="Q158" s="87">
        <f>IF(O158&gt;=P158,O158-P158,0)</f>
        <v/>
      </c>
      <c r="R158" s="77" t="n">
        <v>11</v>
      </c>
      <c r="S158" s="91" t="n"/>
      <c r="T158" s="91" t="n"/>
      <c r="U158" s="91" t="n"/>
      <c r="V158" s="91" t="n"/>
      <c r="W158" s="91" t="n"/>
      <c r="X158" s="91" t="n"/>
      <c r="Y158" s="91" t="n"/>
      <c r="Z158" s="91" t="n"/>
      <c r="AA158" s="91" t="n"/>
    </row>
    <row r="159">
      <c r="A159" s="114" t="inlineStr">
        <is>
          <t>Đào Công Trung</t>
        </is>
      </c>
      <c r="B159" s="58" t="inlineStr">
        <is>
          <t>Tạm ngưng Fiber</t>
        </is>
      </c>
      <c r="C159" s="73" t="n">
        <v>1</v>
      </c>
      <c r="D159" s="87">
        <f>SUMIFS(DuLieu!$G$3:$G$11921,DuLieu!$B$3:$B$101921,$A159,DuLieu!$T$3:$T$101921,"&gt;=1", DuLieu!$T$3:$T$101921,"&lt;=7",DuLieu!$U$3:$U$101921,$R159)</f>
        <v/>
      </c>
      <c r="E159" s="87">
        <f>IF(C159&gt;=D159,C159-D159,0)</f>
        <v/>
      </c>
      <c r="F159" s="70" t="n">
        <v>1</v>
      </c>
      <c r="G159" s="87">
        <f>SUMIFS(DuLieu!$G$3:$G$11921,DuLieu!$B$3:$B$101921,D159,DuLieu!$T$3:$T$101921,"&gt;=8", DuLieu!$T$3:$T$101921,"&lt;=14",DuLieu!$U$3:$U$101921,$R159)</f>
        <v/>
      </c>
      <c r="H159" s="87">
        <f>IF(F159&gt;=G159,F159-G159,0)</f>
        <v/>
      </c>
      <c r="I159" s="72" t="n">
        <v>1</v>
      </c>
      <c r="J159" s="86">
        <f>SUMIFS(DuLieu!$G$3:$G$11921,DuLieu!$B$3:$B$101921,$A159,DuLieu!$T$3:$T$101921,"&gt;=15", DuLieu!$T$3:$T$101921,"&lt;=21",DuLieu!$U$3:$U$101921,$R159)</f>
        <v/>
      </c>
      <c r="K159" s="87">
        <f>IF(I159&gt;=J159,I159-J159,0)</f>
        <v/>
      </c>
      <c r="L159" s="73" t="n">
        <v>1</v>
      </c>
      <c r="M159" s="87">
        <f>SUMIFS(DuLieu!$D$3:$D$101921,DuLieu!$B$3:$B$101921,$A159,DuLieu!$T$3:$T$101921,"&gt;=1", DuLieu!$T$3:$T$101921,"&lt;=7",DuLieu!$U$3:$U$101921,$R159)</f>
        <v/>
      </c>
      <c r="N159" s="87">
        <f>IF(L159&gt;=M159,L159-M159,0)</f>
        <v/>
      </c>
      <c r="O159" s="87" t="n">
        <v>4</v>
      </c>
      <c r="P159" s="87">
        <f>$D159+$G159+$J159+$M159</f>
        <v/>
      </c>
      <c r="Q159" s="87">
        <f>IF(O159&gt;=P159,O159-P159,0)</f>
        <v/>
      </c>
      <c r="R159" s="77" t="n">
        <v>11</v>
      </c>
      <c r="S159" s="91" t="n"/>
      <c r="T159" s="91" t="n"/>
      <c r="U159" s="91" t="n"/>
      <c r="V159" s="91" t="n"/>
      <c r="W159" s="91" t="n"/>
      <c r="X159" s="91" t="n"/>
      <c r="Y159" s="91" t="n"/>
      <c r="Z159" s="91" t="n"/>
      <c r="AA159" s="91" t="n"/>
    </row>
    <row r="160">
      <c r="A160" s="114" t="inlineStr">
        <is>
          <t>Đào Công Trung</t>
        </is>
      </c>
      <c r="B160" s="58" t="inlineStr">
        <is>
          <t>Tạm ngưng Mytv</t>
        </is>
      </c>
      <c r="C160" s="73" t="n">
        <v>1</v>
      </c>
      <c r="D160" s="87">
        <f>SUMIFS(DuLieu!$H$3:$H$11921,DuLieu!$B$3:$B$101921,$A160,DuLieu!$T$3:$T$101921,"&gt;=1", DuLieu!$T$3:$T$101921,"&lt;=7",DuLieu!$U$3:$U$101921,$R160)</f>
        <v/>
      </c>
      <c r="E160" s="87">
        <f>IF(C160&gt;=D160,C160-D160,0)</f>
        <v/>
      </c>
      <c r="F160" s="70" t="n">
        <v>2</v>
      </c>
      <c r="G160" s="87">
        <f>SUMIFS(DuLieu!$H$3:$H$11921,DuLieu!$B$3:$B$101921,$A160,DuLieu!$T$3:$T$101921,"&gt;=8", DuLieu!$T$3:$T$101921,"&lt;=14",DuLieu!$U$3:$U$101921,$R160)</f>
        <v/>
      </c>
      <c r="H160" s="87">
        <f>IF(F160&gt;=G160,F160-G160,0)</f>
        <v/>
      </c>
      <c r="I160" s="72" t="n">
        <v>2</v>
      </c>
      <c r="J160" s="86">
        <f>SUMIFS(DuLieu!$H$3:$H$11921,DuLieu!$B$3:$B$101921,$A160,DuLieu!$T$3:$T$101921,"&gt;=15", DuLieu!$T$3:$T$101921,"&lt;=21",DuLieu!$U$3:$U$101921,$R160)</f>
        <v/>
      </c>
      <c r="K160" s="87">
        <f>IF(I160&gt;=J160,I160-J160,0)</f>
        <v/>
      </c>
      <c r="L160" s="73" t="n">
        <v>2</v>
      </c>
      <c r="M160" s="87">
        <f>SUMIFS(DuLieu!$D$3:$D$101921,DuLieu!$B$3:$B$101921,$A160,DuLieu!$T$3:$T$101921,"&gt;=1", DuLieu!$T$3:$T$101921,"&lt;=7",DuLieu!$U$3:$U$101921,$R160)</f>
        <v/>
      </c>
      <c r="N160" s="87">
        <f>IF(L160&gt;=M160,L160-M160,0)</f>
        <v/>
      </c>
      <c r="O160" s="87" t="n">
        <v>7</v>
      </c>
      <c r="P160" s="87">
        <f>$D160+$G160+$J160+$M160</f>
        <v/>
      </c>
      <c r="Q160" s="87">
        <f>IF(O160&gt;=P160,O160-P160,0)</f>
        <v/>
      </c>
      <c r="R160" s="77" t="n">
        <v>11</v>
      </c>
      <c r="S160" s="91" t="n"/>
      <c r="T160" s="91" t="n"/>
      <c r="U160" s="91" t="n"/>
      <c r="V160" s="91" t="n"/>
      <c r="W160" s="91" t="n"/>
      <c r="X160" s="91" t="n"/>
      <c r="Y160" s="91" t="n"/>
      <c r="Z160" s="91" t="n"/>
      <c r="AA160" s="91" t="n"/>
    </row>
    <row r="161">
      <c r="A161" s="114" t="inlineStr">
        <is>
          <t>Đào Công Trung</t>
        </is>
      </c>
      <c r="B161" s="58" t="inlineStr">
        <is>
          <t>Thay thế ONT 2 băng tần</t>
        </is>
      </c>
      <c r="C161" s="68" t="n">
        <v>10</v>
      </c>
      <c r="D161" s="87">
        <f>SUMIFS(DuLieu!$I$3:$I$11921,DuLieu!$B$3:$B$101921,$A161,DuLieu!$T$3:$T$101921,"&gt;=1", DuLieu!$T$3:$T$101921,"&lt;=7",DuLieu!$U$3:$U$101921,$R161)</f>
        <v/>
      </c>
      <c r="E161" s="87">
        <f>IF(C161&gt;=D161,C161-D161,0)</f>
        <v/>
      </c>
      <c r="F161" s="65" t="n">
        <v>10</v>
      </c>
      <c r="G161" s="87">
        <f>SUMIFS(DuLieu!$I$3:$I$11921,DuLieu!$B$3:$B$101921,$A161,DuLieu!$T$3:$T$101921,"&gt;=8", DuLieu!$T$3:$T$101921,"&lt;=14",DuLieu!$U$3:$U$101921,$R161)</f>
        <v/>
      </c>
      <c r="H161" s="87">
        <f>IF(F161&gt;=G161,F161-G161,0)</f>
        <v/>
      </c>
      <c r="I161" s="78" t="n">
        <v>0</v>
      </c>
      <c r="J161" s="86" t="n">
        <v>0</v>
      </c>
      <c r="K161" s="87">
        <f>IF(I161&gt;=J161,I161-J161,0)</f>
        <v/>
      </c>
      <c r="L161" s="68" t="n">
        <v>0</v>
      </c>
      <c r="M161" s="87">
        <f>SUMIFS(DuLieu!$D$3:$D$101921,DuLieu!$B$3:$B$101921,$A161,DuLieu!$T$3:$T$101921,"&gt;=1", DuLieu!$T$3:$T$101921,"&lt;=7",DuLieu!$U$3:$U$101921,$R161)</f>
        <v/>
      </c>
      <c r="N161" s="87">
        <f>IF(L161&gt;=M161,L161-M161,0)</f>
        <v/>
      </c>
      <c r="O161" s="87" t="n">
        <v>20</v>
      </c>
      <c r="P161" s="87">
        <f>$D161+$G161+$J161+$M161</f>
        <v/>
      </c>
      <c r="Q161" s="87">
        <f>IF(O161&gt;=P161,O161-P161,0)</f>
        <v/>
      </c>
      <c r="R161" s="77" t="n">
        <v>11</v>
      </c>
      <c r="S161" s="91" t="n"/>
      <c r="T161" s="91" t="n"/>
      <c r="U161" s="91" t="n"/>
      <c r="V161" s="91" t="n"/>
      <c r="W161" s="91" t="n"/>
      <c r="X161" s="91" t="n"/>
      <c r="Y161" s="91" t="n"/>
      <c r="Z161" s="91" t="n"/>
      <c r="AA161" s="91" t="n"/>
    </row>
    <row r="162">
      <c r="A162" s="114" t="inlineStr">
        <is>
          <t>Đào Công Trung</t>
        </is>
      </c>
      <c r="B162" s="58" t="inlineStr">
        <is>
          <t>CSKH HVC chuyển XGSPON</t>
        </is>
      </c>
      <c r="C162" s="68" t="n">
        <v>0</v>
      </c>
      <c r="D162" s="87">
        <f>SUMIFS(DuLieu!$J$3:$J$11921,DuLieu!$B$3:$B$101921,$A162,DuLieu!$T$3:$T$101921,"&gt;=1", DuLieu!$T$3:$T$101921,"&lt;=7",DuLieu!$U$3:$U$101921,$R162)</f>
        <v/>
      </c>
      <c r="E162" s="87">
        <f>IF(C162&gt;=D162,C162-D162,0)</f>
        <v/>
      </c>
      <c r="F162" s="65" t="n">
        <v>0</v>
      </c>
      <c r="G162" s="87">
        <f>SUMIFS(DuLieu!$J$3:$J$11921,DuLieu!$B$3:$B$101921,$A162,DuLieu!$T$3:$T$101921,"&gt;=8", DuLieu!$T$3:$T$101921,"&lt;=14",DuLieu!$U$3:$U$101921,$R162)</f>
        <v/>
      </c>
      <c r="H162" s="87">
        <f>IF(F162&gt;=G162,F162-G162,0)</f>
        <v/>
      </c>
      <c r="I162" s="78" t="n">
        <v>0</v>
      </c>
      <c r="J162" s="86">
        <f>SUMIFS(DuLieu!$J$3:$J$11921,DuLieu!$B$3:$B$101921,$A162,DuLieu!$T$3:$T$101921,"&gt;=15", DuLieu!$T$3:$T$101921,"&lt;=21",DuLieu!$U$3:$U$101921,$R162)</f>
        <v/>
      </c>
      <c r="K162" s="87">
        <f>IF(I162&gt;=J162,I162-J162,0)</f>
        <v/>
      </c>
      <c r="L162" s="68" t="n">
        <v>0</v>
      </c>
      <c r="M162" s="87">
        <f>SUMIFS(DuLieu!$D$3:$D$101921,DuLieu!$B$3:$B$101921,$A162,DuLieu!$T$3:$T$101921,"&gt;=1", DuLieu!$T$3:$T$101921,"&lt;=7",DuLieu!$U$3:$U$101921,$R162)</f>
        <v/>
      </c>
      <c r="N162" s="87">
        <f>IF(L162&gt;=M162,L162-M162,0)</f>
        <v/>
      </c>
      <c r="O162" s="87" t="n">
        <v>20</v>
      </c>
      <c r="P162" s="87">
        <f>$D162+$G162+$J162+$M162</f>
        <v/>
      </c>
      <c r="Q162" s="87">
        <f>IF(O162&gt;=P162,O162-P162,0)</f>
        <v/>
      </c>
      <c r="R162" s="77" t="n">
        <v>11</v>
      </c>
      <c r="S162" s="91" t="n"/>
      <c r="T162" s="91" t="n"/>
      <c r="U162" s="91" t="n"/>
      <c r="V162" s="91" t="n"/>
      <c r="W162" s="91" t="n"/>
      <c r="X162" s="91" t="n"/>
      <c r="Y162" s="91" t="n"/>
      <c r="Z162" s="91" t="n"/>
      <c r="AA162" s="91" t="n"/>
    </row>
    <row r="163">
      <c r="A163" s="114" t="inlineStr">
        <is>
          <t>Đào Công Trung</t>
        </is>
      </c>
      <c r="B163" s="58" t="inlineStr">
        <is>
          <t>Phiếu GHTT tháng T</t>
        </is>
      </c>
      <c r="C163" s="68" t="n">
        <v>32</v>
      </c>
      <c r="D163" s="87">
        <f>SUMIFS(DuLieu!$K$3:$K$11921,DuLieu!$B$3:$B$101921,$A163,DuLieu!$T$3:$T$101921,"&gt;=1", DuLieu!$T$3:$T$101921,"&lt;=7",DuLieu!$U$3:$U$101921,$R163)</f>
        <v/>
      </c>
      <c r="E163" s="87">
        <f>IF(C163&gt;=D163,C163-D163,0)</f>
        <v/>
      </c>
      <c r="F163" s="65" t="n">
        <v>50</v>
      </c>
      <c r="G163" s="87" t="n">
        <v>0</v>
      </c>
      <c r="H163" s="87">
        <f>IF(F163&gt;=G163,F163-G163,0)</f>
        <v/>
      </c>
      <c r="I163" s="78" t="n">
        <v>50</v>
      </c>
      <c r="J163" s="86" t="n">
        <v>0</v>
      </c>
      <c r="K163" s="87">
        <f>IF(I163&gt;=J163,I163-J163,0)</f>
        <v/>
      </c>
      <c r="L163" s="68" t="n">
        <v>50</v>
      </c>
      <c r="M163" s="87">
        <f>SUMIFS(DuLieu!$D$3:$D$101921,DuLieu!$B$3:$B$101921,$A163,DuLieu!$T$3:$T$101921,"&gt;=1", DuLieu!$T$3:$T$101921,"&lt;=7",DuLieu!$U$3:$U$101921,$R163)</f>
        <v/>
      </c>
      <c r="N163" s="87">
        <f>IF(L163&gt;=M163,L163-M163,0)</f>
        <v/>
      </c>
      <c r="O163" s="87" t="n">
        <v>182</v>
      </c>
      <c r="P163" s="87">
        <f>$D163+$G163+$J163+$M163</f>
        <v/>
      </c>
      <c r="Q163" s="87">
        <f>IF(O163&gt;=P163,O163-P163,0)</f>
        <v/>
      </c>
      <c r="R163" s="77" t="n">
        <v>11</v>
      </c>
      <c r="S163" s="91" t="n"/>
      <c r="T163" s="91" t="n"/>
      <c r="U163" s="91" t="n"/>
      <c r="V163" s="91" t="n"/>
      <c r="W163" s="91" t="n"/>
      <c r="X163" s="91" t="n"/>
      <c r="Y163" s="91" t="n"/>
      <c r="Z163" s="91" t="n"/>
      <c r="AA163" s="91" t="n"/>
    </row>
    <row r="164">
      <c r="A164" s="114" t="inlineStr">
        <is>
          <t>Đào Công Trung</t>
        </is>
      </c>
      <c r="B164" s="58" t="inlineStr">
        <is>
          <t>Phiếu GHTT tháng T+1</t>
        </is>
      </c>
      <c r="C164" s="68" t="n">
        <v>9</v>
      </c>
      <c r="D164" s="87">
        <f>SUMIFS(DuLieu!$L$3:$L$11921,DuLieu!$B$3:$B$101921,$A164,DuLieu!$T$3:$T$101921,"&gt;=1", DuLieu!$T$3:$T$101921,"&lt;=7",DuLieu!$U$3:$U$101921,$R164)</f>
        <v/>
      </c>
      <c r="E164" s="87">
        <f>IF(C164&gt;=D164,C164-D164,0)</f>
        <v/>
      </c>
      <c r="F164" s="65" t="n">
        <v>8</v>
      </c>
      <c r="G164" s="87">
        <f>SUMIFS(DuLieu!$L$3:$L$11921,DuLieu!$B$3:$B$101921,$A164,DuLieu!$T$3:$T$101921,"&gt;=8", DuLieu!$T$3:$T$101921,"&lt;=14",DuLieu!$U$3:$U$101921,$R164)</f>
        <v/>
      </c>
      <c r="H164" s="87">
        <f>IF(F164&gt;=G164,F164-G164,0)</f>
        <v/>
      </c>
      <c r="I164" s="78" t="n">
        <v>8</v>
      </c>
      <c r="J164" s="86">
        <f>SUMIFS(DuLieu!$L$3:$L$11921,DuLieu!$B$3:$B$101921,$A164,DuLieu!$T$3:$T$101921,"&gt;=15", DuLieu!$T$3:$T$101921,"&lt;=21",DuLieu!$U$3:$U$101921,$R164)</f>
        <v/>
      </c>
      <c r="K164" s="87">
        <f>IF(I164&gt;=J164,I164-J164,0)</f>
        <v/>
      </c>
      <c r="L164" s="68" t="n">
        <v>0</v>
      </c>
      <c r="M164" s="87">
        <f>SUMIFS(DuLieu!$D$3:$D$101921,DuLieu!$B$3:$B$101921,$A164,DuLieu!$T$3:$T$101921,"&gt;=1", DuLieu!$T$3:$T$101921,"&lt;=7",DuLieu!$U$3:$U$101921,$R164)</f>
        <v/>
      </c>
      <c r="N164" s="87">
        <f>IF(L164&gt;=M164,L164-M164,0)</f>
        <v/>
      </c>
      <c r="O164" s="87" t="n">
        <v>25</v>
      </c>
      <c r="P164" s="87">
        <f>$D164+$G164+$J164+$M164</f>
        <v/>
      </c>
      <c r="Q164" s="87">
        <f>IF(O164&gt;=P164,O164-P164,0)</f>
        <v/>
      </c>
      <c r="R164" s="77" t="n">
        <v>11</v>
      </c>
      <c r="S164" s="91" t="n"/>
      <c r="T164" s="91" t="n"/>
      <c r="U164" s="91" t="n"/>
      <c r="V164" s="91" t="n"/>
      <c r="W164" s="91" t="n"/>
      <c r="X164" s="91" t="n"/>
      <c r="Y164" s="91" t="n"/>
      <c r="Z164" s="91" t="n"/>
      <c r="AA164" s="91" t="n"/>
    </row>
    <row r="165">
      <c r="A165" s="90" t="inlineStr">
        <is>
          <t>Phan Thành Thái</t>
        </is>
      </c>
      <c r="B165" s="48" t="inlineStr">
        <is>
          <t>Tiếp thị DV Fiber</t>
        </is>
      </c>
      <c r="C165" s="68" t="n">
        <v>4</v>
      </c>
      <c r="D165" s="81">
        <f>SUMIFS(DuLieu!$D$3:$D$11921,DuLieu!$B$3:$B$101921,$A165,DuLieu!$T$3:$T$101921,"&gt;=1", DuLieu!$T$3:$T$101921,"&lt;=7",DuLieu!$U$3:$U$101921,$R165)</f>
        <v/>
      </c>
      <c r="E165" s="85">
        <f>IF(C165&gt;=D165,C165-D165,0)</f>
        <v/>
      </c>
      <c r="F165" s="65" t="n">
        <v>4</v>
      </c>
      <c r="G165" s="85" t="n">
        <v>0</v>
      </c>
      <c r="H165" s="85">
        <f>IF(F165&gt;=G165,F165-G165,0)</f>
        <v/>
      </c>
      <c r="I165" s="78" t="n">
        <v>4</v>
      </c>
      <c r="J165" s="81" t="n">
        <v>0</v>
      </c>
      <c r="K165" s="85">
        <f>IF(I165&gt;=J165,I165-J165,0)</f>
        <v/>
      </c>
      <c r="L165" s="68" t="n">
        <v>4</v>
      </c>
      <c r="M165" s="81">
        <f>SUMIFS(DuLieu!$D$3:$D$101921,DuLieu!$B$3:$B$101921,$A165,DuLieu!$T$3:$T$101921,"&gt;=1", DuLieu!$T$3:$T$101921,"&lt;=7",DuLieu!$U$3:$U$101921,$R165)</f>
        <v/>
      </c>
      <c r="N165" s="85">
        <f>IF(L165&gt;=M165,L165-M165,0)</f>
        <v/>
      </c>
      <c r="O165" s="85" t="n">
        <v>8</v>
      </c>
      <c r="P165" s="81">
        <f>$D165+$G165+$J165+$M165</f>
        <v/>
      </c>
      <c r="Q165" s="85">
        <f>IF(O165&gt;=P165,O165-P165,0)</f>
        <v/>
      </c>
      <c r="R165" s="80" t="n">
        <v>11</v>
      </c>
      <c r="S165" s="89" t="n"/>
      <c r="T165" s="89" t="n"/>
      <c r="U165" s="89" t="n"/>
      <c r="V165" s="89" t="n"/>
      <c r="W165" s="89" t="n"/>
      <c r="X165" s="89" t="n"/>
      <c r="Y165" s="89" t="n"/>
      <c r="Z165" s="89" t="n"/>
      <c r="AA165" s="89" t="n"/>
    </row>
    <row r="166">
      <c r="A166" s="90" t="inlineStr">
        <is>
          <t>Phan Thành Thái</t>
        </is>
      </c>
      <c r="B166" s="48" t="inlineStr">
        <is>
          <t>Tiếp thị DV MyTV</t>
        </is>
      </c>
      <c r="C166" s="68" t="n">
        <v>1</v>
      </c>
      <c r="D166" s="81">
        <f>SUMIFS(DuLieu!$E$3:$E$11921,DuLieu!$B$3:$B$101921,$A166,DuLieu!$T$3:$T$101921,"&gt;=1", DuLieu!$T$3:$T$101921,"&lt;=7",DuLieu!$U$3:$U$101921,$R166)</f>
        <v/>
      </c>
      <c r="E166" s="85">
        <f>IF(C166&gt;=D166,C166-D166,0)</f>
        <v/>
      </c>
      <c r="F166" s="65" t="n">
        <v>1</v>
      </c>
      <c r="G166" s="85" t="n">
        <v>0</v>
      </c>
      <c r="H166" s="85">
        <f>IF(F166&gt;=G166,F166-G166,0)</f>
        <v/>
      </c>
      <c r="I166" s="78" t="n">
        <v>1</v>
      </c>
      <c r="J166" s="81" t="n">
        <v>0</v>
      </c>
      <c r="K166" s="85">
        <f>IF(I166&gt;=J166,I166-J166,0)</f>
        <v/>
      </c>
      <c r="L166" s="68" t="n">
        <v>1</v>
      </c>
      <c r="M166" s="81">
        <f>SUMIFS(DuLieu!$D$3:$D$101921,DuLieu!$B$3:$B$101921,$A166,DuLieu!$T$3:$T$101921,"&gt;=1", DuLieu!$T$3:$T$101921,"&lt;=7",DuLieu!$U$3:$U$101921,$R166)</f>
        <v/>
      </c>
      <c r="N166" s="85">
        <f>IF(L166&gt;=M166,L166-M166,0)</f>
        <v/>
      </c>
      <c r="O166" s="85" t="n">
        <v>6</v>
      </c>
      <c r="P166" s="81">
        <f>$D166+$G166+$J166+$M166</f>
        <v/>
      </c>
      <c r="Q166" s="85">
        <f>IF(O166&gt;=P166,O166-P166,0)</f>
        <v/>
      </c>
      <c r="R166" s="80" t="n">
        <v>11</v>
      </c>
      <c r="S166" s="89" t="n"/>
      <c r="T166" s="89" t="n"/>
      <c r="U166" s="89" t="n"/>
      <c r="V166" s="89" t="n"/>
      <c r="W166" s="89" t="n"/>
      <c r="X166" s="89" t="n"/>
      <c r="Y166" s="89" t="n"/>
      <c r="Z166" s="89" t="n"/>
      <c r="AA166" s="89" t="n"/>
    </row>
    <row r="167">
      <c r="A167" s="90" t="inlineStr">
        <is>
          <t>Phan Thành Thái</t>
        </is>
      </c>
      <c r="B167" s="48" t="inlineStr">
        <is>
          <t>Tiếp thị DV Camera/Mesh</t>
        </is>
      </c>
      <c r="C167" s="68" t="n">
        <v>1</v>
      </c>
      <c r="D167" s="81">
        <f>SUMIFS(DuLieu!$F$3:$F$11921,DuLieu!$B$3:$B$101921,$A167,DuLieu!$T$3:$T$101921,"&gt;=1", DuLieu!$T$3:$T$101921,"&lt;=7",DuLieu!$U$3:$U$101921,$R167)</f>
        <v/>
      </c>
      <c r="E167" s="85">
        <f>IF(C167&gt;=D167,C167-D167,0)</f>
        <v/>
      </c>
      <c r="F167" s="65" t="n">
        <v>2</v>
      </c>
      <c r="G167" s="85" t="n">
        <v>0</v>
      </c>
      <c r="H167" s="85">
        <f>IF(F167&gt;=G167,F167-G167,0)</f>
        <v/>
      </c>
      <c r="I167" s="78" t="n">
        <v>1</v>
      </c>
      <c r="J167" s="81" t="n">
        <v>0</v>
      </c>
      <c r="K167" s="85">
        <f>IF(I167&gt;=J167,I167-J167,0)</f>
        <v/>
      </c>
      <c r="L167" s="68" t="n">
        <v>1</v>
      </c>
      <c r="M167" s="81">
        <f>SUMIFS(DuLieu!$D$3:$D$101921,DuLieu!$B$3:$B$101921,$A167,DuLieu!$T$3:$T$101921,"&gt;=1", DuLieu!$T$3:$T$101921,"&lt;=7",DuLieu!$U$3:$U$101921,$R167)</f>
        <v/>
      </c>
      <c r="N167" s="85">
        <f>IF(L167&gt;=M167,L167-M167,0)</f>
        <v/>
      </c>
      <c r="O167" s="85" t="n">
        <v>5</v>
      </c>
      <c r="P167" s="81">
        <f>$D167+$G167+$J167+$M167</f>
        <v/>
      </c>
      <c r="Q167" s="85">
        <f>IF(O167&gt;=P167,O167-P167,0)</f>
        <v/>
      </c>
      <c r="R167" s="80" t="n">
        <v>11</v>
      </c>
      <c r="S167" s="89" t="n"/>
      <c r="T167" s="89" t="n"/>
      <c r="U167" s="89" t="n"/>
      <c r="V167" s="89" t="n"/>
      <c r="W167" s="89" t="n"/>
      <c r="X167" s="89" t="n"/>
      <c r="Y167" s="89" t="n"/>
      <c r="Z167" s="89" t="n"/>
      <c r="AA167" s="89" t="n"/>
    </row>
    <row r="168">
      <c r="A168" s="90" t="inlineStr">
        <is>
          <t>Phan Thành Thái</t>
        </is>
      </c>
      <c r="B168" s="48" t="inlineStr">
        <is>
          <t>Tạm ngưng Fiber</t>
        </is>
      </c>
      <c r="C168" s="73" t="n">
        <v>1</v>
      </c>
      <c r="D168" s="81">
        <f>SUMIFS(DuLieu!$G$3:$G$11921,DuLieu!$B$3:$B$101921,$A168,DuLieu!$T$3:$T$101921,"&gt;=1", DuLieu!$T$3:$T$101921,"&lt;=7",DuLieu!$U$3:$U$101921,$R168)</f>
        <v/>
      </c>
      <c r="E168" s="85">
        <f>IF(C168&gt;=D168,C168-D168,0)</f>
        <v/>
      </c>
      <c r="F168" s="70" t="n">
        <v>2</v>
      </c>
      <c r="G168" s="85">
        <f>SUMIFS(DuLieu!$G$3:$G$11921,DuLieu!$B$3:$B$101921,D168,DuLieu!$T$3:$T$101921,"&gt;=8", DuLieu!$T$3:$T$101921,"&lt;=14",DuLieu!$U$3:$U$101921,$R168)</f>
        <v/>
      </c>
      <c r="H168" s="85">
        <f>IF(F168&gt;=G168,F168-G168,0)</f>
        <v/>
      </c>
      <c r="I168" s="72" t="n">
        <v>1</v>
      </c>
      <c r="J168" s="81" t="n">
        <v>0</v>
      </c>
      <c r="K168" s="85">
        <f>IF(I168&gt;=J168,I168-J168,0)</f>
        <v/>
      </c>
      <c r="L168" s="73" t="n">
        <v>1</v>
      </c>
      <c r="M168" s="81">
        <f>SUMIFS(DuLieu!$D$3:$D$101921,DuLieu!$B$3:$B$101921,$A168,DuLieu!$T$3:$T$101921,"&gt;=1", DuLieu!$T$3:$T$101921,"&lt;=7",DuLieu!$U$3:$U$101921,$R168)</f>
        <v/>
      </c>
      <c r="N168" s="85">
        <f>IF(L168&gt;=M168,L168-M168,0)</f>
        <v/>
      </c>
      <c r="O168" s="85" t="n">
        <v>5</v>
      </c>
      <c r="P168" s="81">
        <f>$D168+$G168+$J168+$M168</f>
        <v/>
      </c>
      <c r="Q168" s="85">
        <f>IF(O168&gt;=P168,O168-P168,0)</f>
        <v/>
      </c>
      <c r="R168" s="80" t="n">
        <v>11</v>
      </c>
      <c r="S168" s="89" t="n"/>
      <c r="T168" s="89" t="n"/>
      <c r="U168" s="89" t="n"/>
      <c r="V168" s="89" t="n"/>
      <c r="W168" s="89" t="n"/>
      <c r="X168" s="89" t="n"/>
      <c r="Y168" s="89" t="n"/>
      <c r="Z168" s="89" t="n"/>
      <c r="AA168" s="89" t="n"/>
    </row>
    <row r="169">
      <c r="A169" s="90" t="inlineStr">
        <is>
          <t>Phan Thành Thái</t>
        </is>
      </c>
      <c r="B169" s="48" t="inlineStr">
        <is>
          <t>Tạm ngưng Mytv</t>
        </is>
      </c>
      <c r="C169" s="73" t="n">
        <v>2</v>
      </c>
      <c r="D169" s="81">
        <f>SUMIFS(DuLieu!$H$3:$H$11921,DuLieu!$B$3:$B$101921,$A169,DuLieu!$T$3:$T$101921,"&gt;=1", DuLieu!$T$3:$T$101921,"&lt;=7",DuLieu!$U$3:$U$101921,$R169)</f>
        <v/>
      </c>
      <c r="E169" s="85">
        <f>IF(C169&gt;=D169,C169-D169,0)</f>
        <v/>
      </c>
      <c r="F169" s="70" t="n">
        <v>2</v>
      </c>
      <c r="G169" s="85" t="n">
        <v>0</v>
      </c>
      <c r="H169" s="85">
        <f>IF(F169&gt;=G169,F169-G169,0)</f>
        <v/>
      </c>
      <c r="I169" s="72" t="n">
        <v>2</v>
      </c>
      <c r="J169" s="81" t="n">
        <v>0</v>
      </c>
      <c r="K169" s="85">
        <f>IF(I169&gt;=J169,I169-J169,0)</f>
        <v/>
      </c>
      <c r="L169" s="73" t="n">
        <v>3</v>
      </c>
      <c r="M169" s="81">
        <f>SUMIFS(DuLieu!$D$3:$D$101921,DuLieu!$B$3:$B$101921,$A169,DuLieu!$T$3:$T$101921,"&gt;=1", DuLieu!$T$3:$T$101921,"&lt;=7",DuLieu!$U$3:$U$101921,$R169)</f>
        <v/>
      </c>
      <c r="N169" s="85">
        <f>IF(L169&gt;=M169,L169-M169,0)</f>
        <v/>
      </c>
      <c r="O169" s="85" t="n">
        <v>9</v>
      </c>
      <c r="P169" s="81">
        <f>$D169+$G169+$J169+$M169</f>
        <v/>
      </c>
      <c r="Q169" s="85">
        <f>IF(O169&gt;=P169,O169-P169,0)</f>
        <v/>
      </c>
      <c r="R169" s="80" t="n">
        <v>11</v>
      </c>
      <c r="S169" s="89" t="n"/>
      <c r="T169" s="89" t="n"/>
      <c r="U169" s="89" t="n"/>
      <c r="V169" s="89" t="n"/>
      <c r="W169" s="89" t="n"/>
      <c r="X169" s="89" t="n"/>
      <c r="Y169" s="89" t="n"/>
      <c r="Z169" s="89" t="n"/>
      <c r="AA169" s="89" t="n"/>
    </row>
    <row r="170">
      <c r="A170" s="90" t="inlineStr">
        <is>
          <t>Phan Thành Thái</t>
        </is>
      </c>
      <c r="B170" s="48" t="inlineStr">
        <is>
          <t>Thay thế ONT 2 băng tần</t>
        </is>
      </c>
      <c r="C170" s="68" t="n">
        <v>10</v>
      </c>
      <c r="D170" s="81">
        <f>SUMIFS(DuLieu!$I$3:$I$11921,DuLieu!$B$3:$B$101921,$A170,DuLieu!$T$3:$T$101921,"&gt;=1", DuLieu!$T$3:$T$101921,"&lt;=7",DuLieu!$U$3:$U$101921,$R170)</f>
        <v/>
      </c>
      <c r="E170" s="85">
        <f>IF(C170&gt;=D170,C170-D170,0)</f>
        <v/>
      </c>
      <c r="F170" s="65" t="n">
        <v>10</v>
      </c>
      <c r="G170" s="85" t="n">
        <v>0</v>
      </c>
      <c r="H170" s="85">
        <f>IF(F170&gt;=G170,F170-G170,0)</f>
        <v/>
      </c>
      <c r="I170" s="78" t="n">
        <v>0</v>
      </c>
      <c r="J170" s="81" t="n">
        <v>0</v>
      </c>
      <c r="K170" s="85">
        <f>IF(I170&gt;=J170,I170-J170,0)</f>
        <v/>
      </c>
      <c r="L170" s="68" t="n">
        <v>0</v>
      </c>
      <c r="M170" s="81">
        <f>SUMIFS(DuLieu!$D$3:$D$101921,DuLieu!$B$3:$B$101921,$A170,DuLieu!$T$3:$T$101921,"&gt;=1", DuLieu!$T$3:$T$101921,"&lt;=7",DuLieu!$U$3:$U$101921,$R170)</f>
        <v/>
      </c>
      <c r="N170" s="85">
        <f>IF(L170&gt;=M170,L170-M170,0)</f>
        <v/>
      </c>
      <c r="O170" s="85" t="n">
        <v>20</v>
      </c>
      <c r="P170" s="81">
        <f>$D170+$G170+$J170+$M170</f>
        <v/>
      </c>
      <c r="Q170" s="85">
        <f>IF(O170&gt;=P170,O170-P170,0)</f>
        <v/>
      </c>
      <c r="R170" s="80" t="n">
        <v>11</v>
      </c>
      <c r="S170" s="89" t="n"/>
      <c r="T170" s="89" t="n"/>
      <c r="U170" s="89" t="n"/>
      <c r="V170" s="89" t="n"/>
      <c r="W170" s="89" t="n"/>
      <c r="X170" s="89" t="n"/>
      <c r="Y170" s="89" t="n"/>
      <c r="Z170" s="89" t="n"/>
      <c r="AA170" s="89" t="n"/>
    </row>
    <row r="171">
      <c r="A171" s="90" t="inlineStr">
        <is>
          <t>Phan Thành Thái</t>
        </is>
      </c>
      <c r="B171" s="48" t="inlineStr">
        <is>
          <t>CSKH HVC chuyển XGSPON</t>
        </is>
      </c>
      <c r="C171" s="68" t="n">
        <v>0</v>
      </c>
      <c r="D171" s="81">
        <f>SUMIFS(DuLieu!$J$3:$J$11921,DuLieu!$B$3:$B$101921,$A171,DuLieu!$T$3:$T$101921,"&gt;=1", DuLieu!$T$3:$T$101921,"&lt;=7",DuLieu!$U$3:$U$101921,$R171)</f>
        <v/>
      </c>
      <c r="E171" s="85">
        <f>IF(C171&gt;=D171,C171-D171,0)</f>
        <v/>
      </c>
      <c r="F171" s="65" t="n">
        <v>0</v>
      </c>
      <c r="G171" s="85" t="n">
        <v>0</v>
      </c>
      <c r="H171" s="85">
        <f>IF(F171&gt;=G171,F171-G171,0)</f>
        <v/>
      </c>
      <c r="I171" s="78" t="n">
        <v>0</v>
      </c>
      <c r="J171" s="81" t="n">
        <v>0</v>
      </c>
      <c r="K171" s="85">
        <f>IF(I171&gt;=J171,I171-J171,0)</f>
        <v/>
      </c>
      <c r="L171" s="68" t="n">
        <v>0</v>
      </c>
      <c r="M171" s="81">
        <f>SUMIFS(DuLieu!$D$3:$D$101921,DuLieu!$B$3:$B$101921,$A171,DuLieu!$T$3:$T$101921,"&gt;=1", DuLieu!$T$3:$T$101921,"&lt;=7",DuLieu!$U$3:$U$101921,$R171)</f>
        <v/>
      </c>
      <c r="N171" s="85">
        <f>IF(L171&gt;=M171,L171-M171,0)</f>
        <v/>
      </c>
      <c r="O171" s="85" t="n">
        <v>20</v>
      </c>
      <c r="P171" s="81">
        <f>$D171+$G171+$J171+$M171</f>
        <v/>
      </c>
      <c r="Q171" s="85">
        <f>IF(O171&gt;=P171,O171-P171,0)</f>
        <v/>
      </c>
      <c r="R171" s="80" t="n">
        <v>11</v>
      </c>
      <c r="S171" s="89" t="n"/>
      <c r="T171" s="89" t="n"/>
      <c r="U171" s="89" t="n"/>
      <c r="V171" s="89" t="n"/>
      <c r="W171" s="89" t="n"/>
      <c r="X171" s="89" t="n"/>
      <c r="Y171" s="89" t="n"/>
      <c r="Z171" s="89" t="n"/>
      <c r="AA171" s="89" t="n"/>
    </row>
    <row r="172">
      <c r="A172" s="90" t="inlineStr">
        <is>
          <t>Phan Thành Thái</t>
        </is>
      </c>
      <c r="B172" s="48" t="inlineStr">
        <is>
          <t>Phiếu GHTT tháng T</t>
        </is>
      </c>
      <c r="C172" s="68" t="n">
        <v>30</v>
      </c>
      <c r="D172" s="81">
        <f>SUMIFS(DuLieu!$K$3:$K$11921,DuLieu!$B$3:$B$101921,$A172,DuLieu!$T$3:$T$101921,"&gt;=1", DuLieu!$T$3:$T$101921,"&lt;=7",DuLieu!$U$3:$U$101921,$R172)</f>
        <v/>
      </c>
      <c r="E172" s="85">
        <f>IF(C172&gt;=D172,C172-D172,0)</f>
        <v/>
      </c>
      <c r="F172" s="65" t="n">
        <v>40</v>
      </c>
      <c r="G172" s="85" t="n">
        <v>0</v>
      </c>
      <c r="H172" s="85">
        <f>IF(F172&gt;=G172,F172-G172,0)</f>
        <v/>
      </c>
      <c r="I172" s="78" t="n">
        <v>40</v>
      </c>
      <c r="J172" s="81" t="n">
        <v>0</v>
      </c>
      <c r="K172" s="85">
        <f>IF(I172&gt;=J172,I172-J172,0)</f>
        <v/>
      </c>
      <c r="L172" s="68" t="n">
        <v>24</v>
      </c>
      <c r="M172" s="81">
        <f>SUMIFS(DuLieu!$D$3:$D$101921,DuLieu!$B$3:$B$101921,$A172,DuLieu!$T$3:$T$101921,"&gt;=1", DuLieu!$T$3:$T$101921,"&lt;=7",DuLieu!$U$3:$U$101921,$R172)</f>
        <v/>
      </c>
      <c r="N172" s="85">
        <f>IF(L172&gt;=M172,L172-M172,0)</f>
        <v/>
      </c>
      <c r="O172" s="85" t="n">
        <v>134</v>
      </c>
      <c r="P172" s="81">
        <f>$D172+$G172+$J172+$M172</f>
        <v/>
      </c>
      <c r="Q172" s="85">
        <f>IF(O172&gt;=P172,O172-P172,0)</f>
        <v/>
      </c>
      <c r="R172" s="80" t="n">
        <v>11</v>
      </c>
      <c r="S172" s="89" t="n"/>
      <c r="T172" s="89" t="n"/>
      <c r="U172" s="89" t="n"/>
      <c r="V172" s="89" t="n"/>
      <c r="W172" s="89" t="n"/>
      <c r="X172" s="89" t="n"/>
      <c r="Y172" s="89" t="n"/>
      <c r="Z172" s="89" t="n"/>
      <c r="AA172" s="89" t="n"/>
    </row>
    <row r="173">
      <c r="A173" s="90" t="inlineStr">
        <is>
          <t>Phan Thành Thái</t>
        </is>
      </c>
      <c r="B173" s="48" t="inlineStr">
        <is>
          <t>Phiếu GHTT tháng T+1</t>
        </is>
      </c>
      <c r="C173" s="68" t="n">
        <v>4</v>
      </c>
      <c r="D173" s="81">
        <f>SUMIFS(DuLieu!$L$3:$L$11921,DuLieu!$B$3:$B$101921,$A173,DuLieu!$T$3:$T$101921,"&gt;=1", DuLieu!$T$3:$T$101921,"&lt;=7",DuLieu!$U$3:$U$101921,$R173)</f>
        <v/>
      </c>
      <c r="E173" s="85">
        <f>IF(C173&gt;=D173,C173-D173,0)</f>
        <v/>
      </c>
      <c r="F173" s="65" t="n">
        <v>4</v>
      </c>
      <c r="G173" s="85">
        <f>SUMIFS(DuLieu!$L$3:$L$11921,DuLieu!$B$3:$B$101921,$A173,DuLieu!$T$3:$T$101921,"&gt;=8", DuLieu!$T$3:$T$101921,"&lt;=14",DuLieu!$U$3:$U$101921,$R173)</f>
        <v/>
      </c>
      <c r="H173" s="85">
        <f>IF(F173&gt;=G173,F173-G173,0)</f>
        <v/>
      </c>
      <c r="I173" s="78" t="n">
        <v>2</v>
      </c>
      <c r="J173" s="81">
        <f>SUMIFS(DuLieu!$L$3:$L$11921,DuLieu!$B$3:$B$101921,$A173,DuLieu!$T$3:$T$101921,"&gt;=15", DuLieu!$T$3:$T$101921,"&lt;=21",DuLieu!$U$3:$U$101921,$R173)</f>
        <v/>
      </c>
      <c r="K173" s="85">
        <f>IF(I173&gt;=J173,I173-J173,0)</f>
        <v/>
      </c>
      <c r="L173" s="68" t="n">
        <v>0</v>
      </c>
      <c r="M173" s="81">
        <f>SUMIFS(DuLieu!$D$3:$D$101921,DuLieu!$B$3:$B$101921,$A173,DuLieu!$T$3:$T$101921,"&gt;=1", DuLieu!$T$3:$T$101921,"&lt;=7",DuLieu!$U$3:$U$101921,$R173)</f>
        <v/>
      </c>
      <c r="N173" s="85">
        <f>IF(L173&gt;=M173,L173-M173,0)</f>
        <v/>
      </c>
      <c r="O173" s="85" t="n">
        <v>10</v>
      </c>
      <c r="P173" s="81">
        <f>$D173+$G173+$J173+$M173</f>
        <v/>
      </c>
      <c r="Q173" s="85">
        <f>IF(O173&gt;=P173,O173-P173,0)</f>
        <v/>
      </c>
      <c r="R173" s="80" t="n">
        <v>11</v>
      </c>
      <c r="S173" s="89" t="n"/>
      <c r="T173" s="89" t="n"/>
      <c r="U173" s="89" t="n"/>
      <c r="V173" s="89" t="n"/>
      <c r="W173" s="89" t="n"/>
      <c r="X173" s="89" t="n"/>
      <c r="Y173" s="89" t="n"/>
      <c r="Z173" s="89" t="n"/>
      <c r="AA173" s="89" t="n"/>
    </row>
    <row r="174" ht="14.25" customHeight="1" s="117">
      <c r="A174" s="91" t="inlineStr">
        <is>
          <t>Lương Duy Hoàng</t>
        </is>
      </c>
      <c r="B174" s="58" t="inlineStr">
        <is>
          <t>Tiếp thị DV Fiber</t>
        </is>
      </c>
      <c r="C174" s="68" t="n">
        <v>2</v>
      </c>
      <c r="D174" s="87">
        <f>SUMIFS(DuLieu!$D$3:$D$11921,DuLieu!$B$3:$B$101921,$A174,DuLieu!$T$3:$T$101921,"&gt;=1", DuLieu!$T$3:$T$101921,"&lt;=7",DuLieu!$U$3:$U$101921,$R174)</f>
        <v/>
      </c>
      <c r="E174" s="87">
        <f>IF(C174&gt;=D174,C174-D174,0)</f>
        <v/>
      </c>
      <c r="F174" s="65" t="n">
        <v>1</v>
      </c>
      <c r="G174" s="87">
        <f>SUMIFS(DuLieu!$D$3:$D$11921,DuLieu!$B$3:$B$101921,$A174,DuLieu!$T$3:$T$101921,"&gt;=8", DuLieu!$T$3:$T$101921,"&lt;=14",DuLieu!$U$3:$U$101921,$R174)</f>
        <v/>
      </c>
      <c r="H174" s="87">
        <f>IF(F174&gt;=G174,F174-G174,0)</f>
        <v/>
      </c>
      <c r="I174" s="78" t="n">
        <v>1</v>
      </c>
      <c r="J174" s="86">
        <f>SUMIFS(DuLieu!$D$3:$D$11921,DuLieu!$B$3:$B$101921,$A174,DuLieu!$T$3:$T$101921,"&gt;=15", DuLieu!$T$3:$T$101921,"&lt;=21",DuLieu!$U$3:$U$101921,$R174)</f>
        <v/>
      </c>
      <c r="K174" s="87">
        <f>IF(I174&gt;=J174,I174-J174,0)</f>
        <v/>
      </c>
      <c r="L174" s="68" t="n">
        <v>1</v>
      </c>
      <c r="M174" s="87">
        <f>SUMIFS(DuLieu!$D$3:$D$101921,DuLieu!$B$3:$B$101921,$A174,DuLieu!$T$3:$T$101921,"&gt;=1", DuLieu!$T$3:$T$101921,"&lt;=7",DuLieu!$U$3:$U$101921,$R174)</f>
        <v/>
      </c>
      <c r="N174" s="87">
        <f>IF(L174&gt;=M174,L174-M174,0)</f>
        <v/>
      </c>
      <c r="O174" s="87" t="n">
        <v>4</v>
      </c>
      <c r="P174" s="87">
        <f>$D174+$G174+$J174+$M174</f>
        <v/>
      </c>
      <c r="Q174" s="87">
        <f>IF(O174&gt;=P174,O174-P174,0)</f>
        <v/>
      </c>
      <c r="R174" s="77" t="n">
        <v>11</v>
      </c>
      <c r="S174" s="91" t="n"/>
      <c r="T174" s="91" t="n"/>
      <c r="U174" s="91" t="n"/>
      <c r="V174" s="91" t="n"/>
      <c r="W174" s="91" t="n"/>
      <c r="X174" s="91" t="n"/>
      <c r="Y174" s="91" t="n"/>
      <c r="Z174" s="91" t="n"/>
      <c r="AA174" s="91" t="n"/>
    </row>
    <row r="175" ht="14.25" customHeight="1" s="117">
      <c r="A175" s="91" t="inlineStr">
        <is>
          <t>Lương Duy Hoàng</t>
        </is>
      </c>
      <c r="B175" s="58" t="inlineStr">
        <is>
          <t>Tiếp thị DV MyTV</t>
        </is>
      </c>
      <c r="C175" s="68" t="n">
        <v>1</v>
      </c>
      <c r="D175" s="87">
        <f>SUMIFS(DuLieu!$E$3:$E$11921,DuLieu!$B$3:$B$101921,$A175,DuLieu!$T$3:$T$101921,"&gt;=1", DuLieu!$T$3:$T$101921,"&lt;=7",DuLieu!$U$3:$U$101921,$R175)</f>
        <v/>
      </c>
      <c r="E175" s="87">
        <f>IF(C175&gt;=D175,C175-D175,0)</f>
        <v/>
      </c>
      <c r="F175" s="65" t="n">
        <v>1</v>
      </c>
      <c r="G175" s="87">
        <f>SUMIFS(DuLieu!$E$3:$E$11921,DuLieu!$B$3:$B$101921,$A175,DuLieu!$T$3:$T$101921,"&gt;=8", DuLieu!$T$3:$T$101921,"&lt;=14",DuLieu!$U$3:$U$101921,$R175)</f>
        <v/>
      </c>
      <c r="H175" s="87">
        <f>IF(F175&gt;=G175,F175-G175,0)</f>
        <v/>
      </c>
      <c r="I175" s="78" t="n">
        <v>1</v>
      </c>
      <c r="J175" s="86">
        <f>SUMIFS(DuLieu!$E$3:$E$11921,DuLieu!$B$3:$B$101921,$A175,DuLieu!$T$3:$T$101921,"&gt;=15", DuLieu!$T$3:$T$101921,"&lt;=21",DuLieu!$U$3:$U$101921,$R175)</f>
        <v/>
      </c>
      <c r="K175" s="87">
        <f>IF(I175&gt;=J175,I175-J175,0)</f>
        <v/>
      </c>
      <c r="L175" s="68" t="n">
        <v>1</v>
      </c>
      <c r="M175" s="87">
        <f>SUMIFS(DuLieu!$D$3:$D$101921,DuLieu!$B$3:$B$101921,$A175,DuLieu!$T$3:$T$101921,"&gt;=1", DuLieu!$T$3:$T$101921,"&lt;=7",DuLieu!$U$3:$U$101921,$R175)</f>
        <v/>
      </c>
      <c r="N175" s="87">
        <f>IF(L175&gt;=M175,L175-M175,0)</f>
        <v/>
      </c>
      <c r="O175" s="87" t="n">
        <v>5</v>
      </c>
      <c r="P175" s="87">
        <f>$D175+$G175+$J175+$M175</f>
        <v/>
      </c>
      <c r="Q175" s="87">
        <f>IF(O175&gt;=P175,O175-P175,0)</f>
        <v/>
      </c>
      <c r="R175" s="77" t="n">
        <v>11</v>
      </c>
      <c r="S175" s="91" t="n"/>
      <c r="T175" s="91" t="n"/>
      <c r="U175" s="91" t="n"/>
      <c r="V175" s="91" t="n"/>
      <c r="W175" s="91" t="n"/>
      <c r="X175" s="91" t="n"/>
      <c r="Y175" s="91" t="n"/>
      <c r="Z175" s="91" t="n"/>
      <c r="AA175" s="91" t="n"/>
    </row>
    <row r="176" ht="14.25" customHeight="1" s="117">
      <c r="A176" s="91" t="inlineStr">
        <is>
          <t>Lương Duy Hoàng</t>
        </is>
      </c>
      <c r="B176" s="58" t="inlineStr">
        <is>
          <t>Tiếp thị DV Camera/Mesh</t>
        </is>
      </c>
      <c r="C176" s="68" t="n">
        <v>1</v>
      </c>
      <c r="D176" s="87">
        <f>SUMIFS(DuLieu!$F$3:$F$11921,DuLieu!$B$3:$B$101921,$A176,DuLieu!$T$3:$T$101921,"&gt;=1", DuLieu!$T$3:$T$101921,"&lt;=7",DuLieu!$U$3:$U$101921,$R176)</f>
        <v/>
      </c>
      <c r="E176" s="87">
        <f>IF(C176&gt;=D176,C176-D176,0)</f>
        <v/>
      </c>
      <c r="F176" s="65" t="n">
        <v>1</v>
      </c>
      <c r="G176" s="87">
        <f>SUMIFS(DuLieu!$F$3:$F$11921,DuLieu!$B$3:$B$101921,$A176,DuLieu!$T$3:$T$101921,"&gt;=8", DuLieu!$T$3:$T$101921,"&lt;=14",DuLieu!$U$3:$U$101921,$R176)</f>
        <v/>
      </c>
      <c r="H176" s="87">
        <f>IF(F176&gt;=G176,F176-G176,0)</f>
        <v/>
      </c>
      <c r="I176" s="78" t="n">
        <v>1</v>
      </c>
      <c r="J176" s="86">
        <f>SUMIFS(DuLieu!$F$3:$F$11921,DuLieu!$B$3:$B$101921,$A176,DuLieu!$T$3:$T$101921,"&gt;=15", DuLieu!$T$3:$T$101921,"&lt;=21",DuLieu!$U$3:$U$101921,$R176)</f>
        <v/>
      </c>
      <c r="K176" s="87">
        <f>IF(I176&gt;=J176,I176-J176,0)</f>
        <v/>
      </c>
      <c r="L176" s="73" t="n"/>
      <c r="M176" s="87">
        <f>SUMIFS(DuLieu!$D$3:$D$101921,DuLieu!$B$3:$B$101921,$A176,DuLieu!$T$3:$T$101921,"&gt;=1", DuLieu!$T$3:$T$101921,"&lt;=7",DuLieu!$U$3:$U$101921,$R176)</f>
        <v/>
      </c>
      <c r="N176" s="87">
        <f>IF(L176&gt;=M176,L176-M176,0)</f>
        <v/>
      </c>
      <c r="O176" s="87" t="n">
        <v>6</v>
      </c>
      <c r="P176" s="87">
        <f>$D176+$G176+$J176+$M176</f>
        <v/>
      </c>
      <c r="Q176" s="87">
        <f>IF(O176&gt;=P176,O176-P176,0)</f>
        <v/>
      </c>
      <c r="R176" s="77" t="n">
        <v>11</v>
      </c>
      <c r="S176" s="91" t="n"/>
      <c r="T176" s="91" t="n"/>
      <c r="U176" s="91" t="n"/>
      <c r="V176" s="91" t="n"/>
      <c r="W176" s="91" t="n"/>
      <c r="X176" s="91" t="n"/>
      <c r="Y176" s="91" t="n"/>
      <c r="Z176" s="91" t="n"/>
      <c r="AA176" s="91" t="n"/>
    </row>
    <row r="177" ht="15" customHeight="1" s="117">
      <c r="A177" s="91" t="inlineStr">
        <is>
          <t>Lương Duy Hoàng</t>
        </is>
      </c>
      <c r="B177" s="58" t="inlineStr">
        <is>
          <t>Tạm ngưng Fiber</t>
        </is>
      </c>
      <c r="C177" s="73" t="n"/>
      <c r="D177" s="87">
        <f>SUMIFS(DuLieu!$G$3:$G$11921,DuLieu!$B$3:$B$101921,$A177,DuLieu!$T$3:$T$101921,"&gt;=1", DuLieu!$T$3:$T$101921,"&lt;=7",DuLieu!$U$3:$U$101921,$R177)</f>
        <v/>
      </c>
      <c r="E177" s="87">
        <f>IF(C177&gt;=D177,C177-D177,0)</f>
        <v/>
      </c>
      <c r="F177" s="59" t="n"/>
      <c r="G177" s="87">
        <f>SUMIFS(DuLieu!$G$3:$G$11921,DuLieu!$B$3:$B$101921,D177,DuLieu!$T$3:$T$101921,"&gt;=8", DuLieu!$T$3:$T$101921,"&lt;=14",DuLieu!$U$3:$U$101921,$R177)</f>
        <v/>
      </c>
      <c r="H177" s="87">
        <f>IF(F177&gt;=G177,F177-G177,0)</f>
        <v/>
      </c>
      <c r="I177" s="72" t="n"/>
      <c r="J177" s="86">
        <f>SUMIFS(DuLieu!$G$3:$G$11921,DuLieu!$B$3:$B$101921,$A177,DuLieu!$T$3:$T$101921,"&gt;=15", DuLieu!$T$3:$T$101921,"&lt;=21",DuLieu!$U$3:$U$101921,$R177)</f>
        <v/>
      </c>
      <c r="K177" s="87">
        <f>IF(I177&gt;=J177,I177-J177,0)</f>
        <v/>
      </c>
      <c r="L177" s="73" t="n"/>
      <c r="M177" s="87">
        <f>SUMIFS(DuLieu!$D$3:$D$101921,DuLieu!$B$3:$B$101921,$A177,DuLieu!$T$3:$T$101921,"&gt;=1", DuLieu!$T$3:$T$101921,"&lt;=7",DuLieu!$U$3:$U$101921,$R177)</f>
        <v/>
      </c>
      <c r="N177" s="87">
        <f>IF(L177&gt;=M177,L177-M177,0)</f>
        <v/>
      </c>
      <c r="O177" s="87" t="n">
        <v>4</v>
      </c>
      <c r="P177" s="87">
        <f>$D177+$G177+$J177+$M177</f>
        <v/>
      </c>
      <c r="Q177" s="87">
        <f>IF(O177&gt;=P177,O177-P177,0)</f>
        <v/>
      </c>
      <c r="R177" s="77" t="n">
        <v>11</v>
      </c>
      <c r="S177" s="91" t="n"/>
      <c r="T177" s="91" t="n"/>
      <c r="U177" s="91" t="n"/>
      <c r="V177" s="91" t="n"/>
      <c r="W177" s="91" t="n"/>
      <c r="X177" s="91" t="n"/>
      <c r="Y177" s="91" t="n"/>
      <c r="Z177" s="91" t="n"/>
      <c r="AA177" s="91" t="n"/>
    </row>
    <row r="178" ht="15" customHeight="1" s="117">
      <c r="A178" s="91" t="inlineStr">
        <is>
          <t>Lương Duy Hoàng</t>
        </is>
      </c>
      <c r="B178" s="58" t="inlineStr">
        <is>
          <t>Tạm ngưng Mytv</t>
        </is>
      </c>
      <c r="C178" s="73" t="n"/>
      <c r="D178" s="87">
        <f>SUMIFS(DuLieu!$H$3:$H$11921,DuLieu!$B$3:$B$101921,$A178,DuLieu!$T$3:$T$101921,"&gt;=1", DuLieu!$T$3:$T$101921,"&lt;=7",DuLieu!$U$3:$U$101921,$R178)</f>
        <v/>
      </c>
      <c r="E178" s="87">
        <f>IF(C178&gt;=D178,C178-D178,0)</f>
        <v/>
      </c>
      <c r="F178" s="59" t="n"/>
      <c r="G178" s="87">
        <f>SUMIFS(DuLieu!$H$3:$H$11921,DuLieu!$B$3:$B$101921,$A178,DuLieu!$T$3:$T$101921,"&gt;=8", DuLieu!$T$3:$T$101921,"&lt;=14",DuLieu!$U$3:$U$101921,$R178)</f>
        <v/>
      </c>
      <c r="H178" s="87">
        <f>IF(F178&gt;=G178,F178-G178,0)</f>
        <v/>
      </c>
      <c r="I178" s="72" t="n"/>
      <c r="J178" s="86">
        <f>SUMIFS(DuLieu!$H$3:$H$11921,DuLieu!$B$3:$B$101921,$A178,DuLieu!$T$3:$T$101921,"&gt;=15", DuLieu!$T$3:$T$101921,"&lt;=21",DuLieu!$U$3:$U$101921,$R178)</f>
        <v/>
      </c>
      <c r="K178" s="87">
        <f>IF(I178&gt;=J178,I178-J178,0)</f>
        <v/>
      </c>
      <c r="L178" s="73" t="n"/>
      <c r="M178" s="87">
        <f>SUMIFS(DuLieu!$D$3:$D$101921,DuLieu!$B$3:$B$101921,$A178,DuLieu!$T$3:$T$101921,"&gt;=1", DuLieu!$T$3:$T$101921,"&lt;=7",DuLieu!$U$3:$U$101921,$R178)</f>
        <v/>
      </c>
      <c r="N178" s="87">
        <f>IF(L178&gt;=M178,L178-M178,0)</f>
        <v/>
      </c>
      <c r="O178" s="87" t="n">
        <v>2</v>
      </c>
      <c r="P178" s="87">
        <f>$D178+$G178+$J178+$M178</f>
        <v/>
      </c>
      <c r="Q178" s="87">
        <f>IF(O178&gt;=P178,O178-P178,0)</f>
        <v/>
      </c>
      <c r="R178" s="77" t="n">
        <v>11</v>
      </c>
      <c r="S178" s="91" t="n"/>
      <c r="T178" s="91" t="n"/>
      <c r="U178" s="91" t="n"/>
      <c r="V178" s="91" t="n"/>
      <c r="W178" s="91" t="n"/>
      <c r="X178" s="91" t="n"/>
      <c r="Y178" s="91" t="n"/>
      <c r="Z178" s="91" t="n"/>
      <c r="AA178" s="91" t="n"/>
    </row>
    <row r="179" ht="15" customHeight="1" s="117">
      <c r="A179" s="91" t="inlineStr">
        <is>
          <t>Lương Duy Hoàng</t>
        </is>
      </c>
      <c r="B179" s="58" t="inlineStr">
        <is>
          <t>Thay thế ONT 2 băng tần</t>
        </is>
      </c>
      <c r="C179" s="68" t="n">
        <v>0</v>
      </c>
      <c r="D179" s="87">
        <f>SUMIFS(DuLieu!$I$3:$I$11921,DuLieu!$B$3:$B$101921,$A179,DuLieu!$T$3:$T$101921,"&gt;=1", DuLieu!$T$3:$T$101921,"&lt;=7",DuLieu!$U$3:$U$101921,$R179)</f>
        <v/>
      </c>
      <c r="E179" s="87">
        <f>IF(C179&gt;=D179,C179-D179,0)</f>
        <v/>
      </c>
      <c r="F179" s="59" t="n"/>
      <c r="G179" s="87">
        <f>SUMIFS(DuLieu!$I$3:$I$11921,DuLieu!$B$3:$B$101921,$A179,DuLieu!$T$3:$T$101921,"&gt;=8", DuLieu!$T$3:$T$101921,"&lt;=14",DuLieu!$U$3:$U$101921,$R179)</f>
        <v/>
      </c>
      <c r="H179" s="87">
        <f>IF(F179&gt;=G179,F179-G179,0)</f>
        <v/>
      </c>
      <c r="I179" s="72" t="n"/>
      <c r="J179" s="86">
        <f>SUMIFS(DuLieu!$I$3:$I$11921,DuLieu!$B$3:$B$101921,$A179,DuLieu!$T$3:$T$101921,"&gt;=15", DuLieu!$T$3:$T$101921,"&lt;=21",DuLieu!$U$3:$U$101921,$R179)</f>
        <v/>
      </c>
      <c r="K179" s="87">
        <f>IF(I179&gt;=J179,I179-J179,0)</f>
        <v/>
      </c>
      <c r="L179" s="73" t="n"/>
      <c r="M179" s="87">
        <f>SUMIFS(DuLieu!$D$3:$D$101921,DuLieu!$B$3:$B$101921,$A179,DuLieu!$T$3:$T$101921,"&gt;=1", DuLieu!$T$3:$T$101921,"&lt;=7",DuLieu!$U$3:$U$101921,$R179)</f>
        <v/>
      </c>
      <c r="N179" s="87">
        <f>IF(L179&gt;=M179,L179-M179,0)</f>
        <v/>
      </c>
      <c r="O179" s="87" t="n">
        <v>40</v>
      </c>
      <c r="P179" s="87">
        <f>$D179+$G179+$J179+$M179</f>
        <v/>
      </c>
      <c r="Q179" s="87">
        <f>IF(O179&gt;=P179,O179-P179,0)</f>
        <v/>
      </c>
      <c r="R179" s="77" t="n">
        <v>11</v>
      </c>
      <c r="S179" s="91" t="n"/>
      <c r="T179" s="91" t="n"/>
      <c r="U179" s="91" t="n"/>
      <c r="V179" s="91" t="n"/>
      <c r="W179" s="91" t="n"/>
      <c r="X179" s="91" t="n"/>
      <c r="Y179" s="91" t="n"/>
      <c r="Z179" s="91" t="n"/>
      <c r="AA179" s="91" t="n"/>
    </row>
    <row r="180" ht="15" customHeight="1" s="117">
      <c r="A180" s="91" t="inlineStr">
        <is>
          <t>Lương Duy Hoàng</t>
        </is>
      </c>
      <c r="B180" s="58" t="inlineStr">
        <is>
          <t>CSKH HVC chuyển XGSPON</t>
        </is>
      </c>
      <c r="C180" s="68" t="n">
        <v>0</v>
      </c>
      <c r="D180" s="87">
        <f>SUMIFS(DuLieu!$J$3:$J$11921,DuLieu!$B$3:$B$101921,$A180,DuLieu!$T$3:$T$101921,"&gt;=1", DuLieu!$T$3:$T$101921,"&lt;=7",DuLieu!$U$3:$U$101921,$R180)</f>
        <v/>
      </c>
      <c r="E180" s="87">
        <f>IF(C180&gt;=D180,C180-D180,0)</f>
        <v/>
      </c>
      <c r="F180" s="59" t="n"/>
      <c r="G180" s="87">
        <f>SUMIFS(DuLieu!$J$3:$J$11921,DuLieu!$B$3:$B$101921,$A180,DuLieu!$T$3:$T$101921,"&gt;=8", DuLieu!$T$3:$T$101921,"&lt;=14",DuLieu!$U$3:$U$101921,$R180)</f>
        <v/>
      </c>
      <c r="H180" s="87">
        <f>IF(F180&gt;=G180,F180-G180,0)</f>
        <v/>
      </c>
      <c r="I180" s="72" t="n"/>
      <c r="J180" s="86">
        <f>SUMIFS(DuLieu!$J$3:$J$11921,DuLieu!$B$3:$B$101921,$A180,DuLieu!$T$3:$T$101921,"&gt;=15", DuLieu!$T$3:$T$101921,"&lt;=21",DuLieu!$U$3:$U$101921,$R180)</f>
        <v/>
      </c>
      <c r="K180" s="87">
        <f>IF(I180&gt;=J180,I180-J180,0)</f>
        <v/>
      </c>
      <c r="L180" s="73" t="n"/>
      <c r="M180" s="87">
        <f>SUMIFS(DuLieu!$D$3:$D$101921,DuLieu!$B$3:$B$101921,$A180,DuLieu!$T$3:$T$101921,"&gt;=1", DuLieu!$T$3:$T$101921,"&lt;=7",DuLieu!$U$3:$U$101921,$R180)</f>
        <v/>
      </c>
      <c r="N180" s="87">
        <f>IF(L180&gt;=M180,L180-M180,0)</f>
        <v/>
      </c>
      <c r="O180" s="87" t="n">
        <v>20</v>
      </c>
      <c r="P180" s="87">
        <f>$D180+$G180+$J180+$M180</f>
        <v/>
      </c>
      <c r="Q180" s="87">
        <f>IF(O180&gt;=P180,O180-P180,0)</f>
        <v/>
      </c>
      <c r="R180" s="77" t="n">
        <v>11</v>
      </c>
      <c r="S180" s="91" t="n"/>
      <c r="T180" s="91" t="n"/>
      <c r="U180" s="91" t="n"/>
      <c r="V180" s="91" t="n"/>
      <c r="W180" s="91" t="n"/>
      <c r="X180" s="91" t="n"/>
      <c r="Y180" s="91" t="n"/>
      <c r="Z180" s="91" t="n"/>
      <c r="AA180" s="91" t="n"/>
    </row>
    <row r="181" ht="14.25" customHeight="1" s="117">
      <c r="A181" s="91" t="inlineStr">
        <is>
          <t>Lương Duy Hoàng</t>
        </is>
      </c>
      <c r="B181" s="58" t="inlineStr">
        <is>
          <t>Phiếu GHTT tháng T</t>
        </is>
      </c>
      <c r="C181" s="68" t="n">
        <v>40</v>
      </c>
      <c r="D181" s="87">
        <f>SUMIFS(DuLieu!$K$3:$K$11921,DuLieu!$B$3:$B$101921,$A181,DuLieu!$T$3:$T$101921,"&gt;=1", DuLieu!$T$3:$T$101921,"&lt;=7",DuLieu!$U$3:$U$101921,$R181)</f>
        <v/>
      </c>
      <c r="E181" s="87">
        <f>IF(C181&gt;=D181,C181-D181,0)</f>
        <v/>
      </c>
      <c r="F181" s="65" t="n">
        <v>40</v>
      </c>
      <c r="G181" s="87">
        <f>SUMIFS(DuLieu!$K$3:$K$11921,DuLieu!$B$3:$B$101921,$A181,DuLieu!$T$3:$T$101921,"&gt;=8", DuLieu!$T$3:$T$101921,"&lt;=14",DuLieu!$U$3:$U$101921,$R181)</f>
        <v/>
      </c>
      <c r="H181" s="87">
        <f>IF(F181&gt;=G181,F181-G181,0)</f>
        <v/>
      </c>
      <c r="I181" s="78" t="n">
        <v>40</v>
      </c>
      <c r="J181" s="86">
        <f>SUMIFS(DuLieu!$K$3:$K$11921,DuLieu!$B$3:$B$101921,$A181,DuLieu!$T$3:$T$101921,"&gt;=15", DuLieu!$T$3:$T$101921,"&lt;=21",DuLieu!$U$3:$U$101921,$R181)</f>
        <v/>
      </c>
      <c r="K181" s="87">
        <f>IF(I181&gt;=J181,I181-J181,0)</f>
        <v/>
      </c>
      <c r="L181" s="68" t="n">
        <v>46</v>
      </c>
      <c r="M181" s="87">
        <f>SUMIFS(DuLieu!$D$3:$D$101921,DuLieu!$B$3:$B$101921,$A181,DuLieu!$T$3:$T$101921,"&gt;=1", DuLieu!$T$3:$T$101921,"&lt;=7",DuLieu!$U$3:$U$101921,$R181)</f>
        <v/>
      </c>
      <c r="N181" s="87">
        <f>IF(L181&gt;=M181,L181-M181,0)</f>
        <v/>
      </c>
      <c r="O181" s="87" t="n">
        <v>150</v>
      </c>
      <c r="P181" s="87">
        <f>$D181+$G181+$J181+$M181</f>
        <v/>
      </c>
      <c r="Q181" s="87">
        <f>IF(O181&gt;=P181,O181-P181,0)</f>
        <v/>
      </c>
      <c r="R181" s="77" t="n">
        <v>11</v>
      </c>
      <c r="S181" s="91" t="n"/>
      <c r="T181" s="91" t="n"/>
      <c r="U181" s="91" t="n"/>
      <c r="V181" s="91" t="n"/>
      <c r="W181" s="91" t="n"/>
      <c r="X181" s="91" t="n"/>
      <c r="Y181" s="91" t="n"/>
      <c r="Z181" s="91" t="n"/>
      <c r="AA181" s="91" t="n"/>
    </row>
    <row r="182" ht="14.25" customHeight="1" s="117">
      <c r="A182" s="91" t="inlineStr">
        <is>
          <t>Lương Duy Hoàng</t>
        </is>
      </c>
      <c r="B182" s="58" t="inlineStr">
        <is>
          <t>Phiếu GHTT tháng T+1</t>
        </is>
      </c>
      <c r="C182" s="68" t="n">
        <v>30</v>
      </c>
      <c r="D182" s="87">
        <f>SUMIFS(DuLieu!$L$3:$L$11921,DuLieu!$B$3:$B$101921,$A182,DuLieu!$T$3:$T$101921,"&gt;=1", DuLieu!$T$3:$T$101921,"&lt;=7",DuLieu!$U$3:$U$101921,$R182)</f>
        <v/>
      </c>
      <c r="E182" s="87">
        <f>IF(C182&gt;=D182,C182-D182,0)</f>
        <v/>
      </c>
      <c r="F182" s="65" t="n">
        <v>20</v>
      </c>
      <c r="G182" s="87">
        <f>SUMIFS(DuLieu!$L$3:$L$11921,DuLieu!$B$3:$B$101921,$A182,DuLieu!$T$3:$T$101921,"&gt;=8", DuLieu!$T$3:$T$101921,"&lt;=14",DuLieu!$U$3:$U$101921,$R182)</f>
        <v/>
      </c>
      <c r="H182" s="87">
        <f>IF(F182&gt;=G182,F182-G182,0)</f>
        <v/>
      </c>
      <c r="I182" s="78" t="n">
        <v>5</v>
      </c>
      <c r="J182" s="86">
        <f>SUMIFS(DuLieu!$L$3:$L$11921,DuLieu!$B$3:$B$101921,$A182,DuLieu!$T$3:$T$101921,"&gt;=15", DuLieu!$T$3:$T$101921,"&lt;=21",DuLieu!$U$3:$U$101921,$R182)</f>
        <v/>
      </c>
      <c r="K182" s="87">
        <f>IF(I182&gt;=J182,I182-J182,0)</f>
        <v/>
      </c>
      <c r="L182" s="73" t="n"/>
      <c r="M182" s="87">
        <f>SUMIFS(DuLieu!$D$3:$D$101921,DuLieu!$B$3:$B$101921,$A182,DuLieu!$T$3:$T$101921,"&gt;=1", DuLieu!$T$3:$T$101921,"&lt;=7",DuLieu!$U$3:$U$101921,$R182)</f>
        <v/>
      </c>
      <c r="N182" s="87">
        <f>IF(L182&gt;=M182,L182-M182,0)</f>
        <v/>
      </c>
      <c r="O182" s="87" t="n">
        <v>1</v>
      </c>
      <c r="P182" s="87">
        <f>$D182+$G182+$J182+$M182</f>
        <v/>
      </c>
      <c r="Q182" s="87">
        <f>IF(O182&gt;=P182,O182-P182,0)</f>
        <v/>
      </c>
      <c r="R182" s="77" t="n">
        <v>11</v>
      </c>
      <c r="S182" s="91" t="n"/>
      <c r="T182" s="91" t="n"/>
      <c r="U182" s="91" t="n"/>
      <c r="V182" s="91" t="n"/>
      <c r="W182" s="91" t="n"/>
      <c r="X182" s="91" t="n"/>
      <c r="Y182" s="91" t="n"/>
      <c r="Z182" s="91" t="n"/>
      <c r="AA182" s="91" t="n"/>
    </row>
    <row r="183">
      <c r="A183" s="90" t="inlineStr">
        <is>
          <t>Lương Duy Hải</t>
        </is>
      </c>
      <c r="B183" s="48" t="inlineStr">
        <is>
          <t>Tiếp thị DV Fiber</t>
        </is>
      </c>
      <c r="C183" s="68" t="n">
        <v>2</v>
      </c>
      <c r="D183" s="85">
        <f>SUMIFS(DuLieu!$D$1912:$D$13958,DuLieu!$B$1912:$B$103958,$A183,DuLieu!$U$1912:$U$103958,"&gt;=1", DuLieu!$U$1912:$U$103958,"&lt;=7",DuLieu!$W$1912:$W$103958,$R183)</f>
        <v/>
      </c>
      <c r="E183" s="85">
        <f>IF(C183&gt;=D183,C183-D183,0)</f>
        <v/>
      </c>
      <c r="F183" s="65" t="n">
        <v>2</v>
      </c>
      <c r="G183" s="85">
        <f>SUMIFS(DuLieu!$D$1912:$D$13958,DuLieu!$B$1912:$B$103958,$A183,DuLieu!$U$1912:$U$103958,"&gt;=8", DuLieu!$U$1912:$U$103958,"&lt;=14",DuLieu!$W$1912:$W$103958,$R183)</f>
        <v/>
      </c>
      <c r="H183" s="85">
        <f>IF(F183&gt;=G183,F183-G183,0)</f>
        <v/>
      </c>
      <c r="I183" s="78" t="n">
        <v>1</v>
      </c>
      <c r="J183" s="85">
        <f>SUMIFS(DuLieu!$D$1912:$D$13958,DuLieu!$B$1912:$B$103958,$A183,DuLieu!$U$1912:$U$103958,"&gt;=15", DuLieu!$U$1912:$U$103958,"&lt;=21",DuLieu!$W$1912:$W$103958,$R183)</f>
        <v/>
      </c>
      <c r="K183" s="85">
        <f>IF(I183&gt;=J183,I183-J183,0)</f>
        <v/>
      </c>
      <c r="L183" s="68" t="n">
        <v>1</v>
      </c>
      <c r="M183" s="85">
        <f>SUMIFS(DuLieu!$D$1912:$D$103958,DuLieu!$B$1912:$B$103958,$A183,DuLieu!$U$1912:$U$103958,"&gt;=1", DuLieu!$U$1912:$U$103958,"&lt;=7",DuLieu!$W$1912:$W$103958,$R183)</f>
        <v/>
      </c>
      <c r="N183" s="85">
        <f>IF(L183&gt;=M183,L183-M183,0)</f>
        <v/>
      </c>
      <c r="O183" s="85" t="n">
        <v>4</v>
      </c>
      <c r="P183" s="85">
        <f>$D183+$G183+$J183+$M183</f>
        <v/>
      </c>
      <c r="Q183" s="85">
        <f>IF(O183&gt;=P183,O183-P183,0)</f>
        <v/>
      </c>
      <c r="R183" s="80" t="n">
        <v>11</v>
      </c>
      <c r="S183" s="89" t="n"/>
      <c r="T183" s="89" t="n"/>
      <c r="U183" s="89" t="n"/>
      <c r="V183" s="89" t="n"/>
      <c r="W183" s="89" t="n"/>
      <c r="X183" s="89" t="n"/>
      <c r="Y183" s="89" t="n"/>
      <c r="Z183" s="89" t="n"/>
      <c r="AA183" s="89" t="n"/>
    </row>
    <row r="184">
      <c r="A184" s="90" t="inlineStr">
        <is>
          <t>Lương Duy Hải</t>
        </is>
      </c>
      <c r="B184" s="48" t="inlineStr">
        <is>
          <t>Tiếp thị DV MyTV</t>
        </is>
      </c>
      <c r="C184" s="68" t="n">
        <v>1</v>
      </c>
      <c r="D184" s="85">
        <f>SUMIFS(DuLieu!$E$1912:$E$13958,DuLieu!$B$1912:$B$103958,$A184,DuLieu!$U$1912:$U$103958,"&gt;=1", DuLieu!$U$1912:$U$103958,"&lt;=7",DuLieu!$W$1912:$W$103958,$R184)</f>
        <v/>
      </c>
      <c r="E184" s="85">
        <f>IF(C184&gt;=D184,C184-D184,0)</f>
        <v/>
      </c>
      <c r="F184" s="65" t="n">
        <v>1</v>
      </c>
      <c r="G184" s="85">
        <f>SUMIFS(DuLieu!$E$1912:$E$13958,DuLieu!$B$1912:$B$103958,$A184,DuLieu!$U$1912:$U$103958,"&gt;=8", DuLieu!$U$1912:$U$103958,"&lt;=14",DuLieu!$W$1912:$W$103958,$R184)</f>
        <v/>
      </c>
      <c r="H184" s="85">
        <f>IF(F184&gt;=G184,F184-G184,0)</f>
        <v/>
      </c>
      <c r="I184" s="78" t="n">
        <v>1</v>
      </c>
      <c r="J184" s="85">
        <f>SUMIFS(DuLieu!$E$1912:$E$13958,DuLieu!$B$1912:$B$103958,$A184,DuLieu!$U$1912:$U$103958,"&gt;=15", DuLieu!$U$1912:$U$103958,"&lt;=21",DuLieu!$W$1912:$W$103958,$R184)</f>
        <v/>
      </c>
      <c r="K184" s="85">
        <f>IF(I184&gt;=J184,I184-J184,0)</f>
        <v/>
      </c>
      <c r="L184" s="68" t="n">
        <v>1</v>
      </c>
      <c r="M184" s="85">
        <f>SUMIFS(DuLieu!$D$1912:$D$103958,DuLieu!$B$1912:$B$103958,$A184,DuLieu!$U$1912:$U$103958,"&gt;=1", DuLieu!$U$1912:$U$103958,"&lt;=7",DuLieu!$W$1912:$W$103958,$R184)</f>
        <v/>
      </c>
      <c r="N184" s="85">
        <f>IF(L184&gt;=M184,L184-M184,0)</f>
        <v/>
      </c>
      <c r="O184" s="85" t="n">
        <v>5</v>
      </c>
      <c r="P184" s="85">
        <f>$D184+$G184+$J184+$M184</f>
        <v/>
      </c>
      <c r="Q184" s="85">
        <f>IF(O184&gt;=P184,O184-P184,0)</f>
        <v/>
      </c>
      <c r="R184" s="80" t="n">
        <v>11</v>
      </c>
      <c r="S184" s="89" t="n"/>
      <c r="T184" s="89" t="n"/>
      <c r="U184" s="89" t="n"/>
      <c r="V184" s="89" t="n"/>
      <c r="W184" s="89" t="n"/>
      <c r="X184" s="89" t="n"/>
      <c r="Y184" s="89" t="n"/>
      <c r="Z184" s="89" t="n"/>
      <c r="AA184" s="89" t="n"/>
    </row>
    <row r="185">
      <c r="A185" s="90" t="inlineStr">
        <is>
          <t>Lương Duy Hải</t>
        </is>
      </c>
      <c r="B185" s="48" t="inlineStr">
        <is>
          <t>Tiếp thị DV Camera/Mesh</t>
        </is>
      </c>
      <c r="C185" s="68" t="n">
        <v>1</v>
      </c>
      <c r="D185" s="85">
        <f>SUMIFS(DuLieu!$F$1912:$F$13958,DuLieu!$B$1912:$B$103958,$A185,DuLieu!$U$1912:$U$103958,"&gt;=1", DuLieu!$U$1912:$U$103958,"&lt;=7",DuLieu!$W$1912:$W$103958,$R185)</f>
        <v/>
      </c>
      <c r="E185" s="85">
        <f>IF(C185&gt;=D185,C185-D185,0)</f>
        <v/>
      </c>
      <c r="F185" s="65" t="n">
        <v>1</v>
      </c>
      <c r="G185" s="85">
        <f>SUMIFS(DuLieu!$F$1912:$F$13958,DuLieu!$B$1912:$B$103958,$A185,DuLieu!$U$1912:$U$103958,"&gt;=8", DuLieu!$U$1912:$U$103958,"&lt;=14",DuLieu!$W$1912:$W$103958,$R185)</f>
        <v/>
      </c>
      <c r="H185" s="85">
        <f>IF(F185&gt;=G185,F185-G185,0)</f>
        <v/>
      </c>
      <c r="I185" s="78" t="n">
        <v>1</v>
      </c>
      <c r="J185" s="85">
        <f>SUMIFS(DuLieu!$F$1912:$F$13958,DuLieu!$B$1912:$B$103958,$A185,DuLieu!$U$1912:$U$103958,"&gt;=15", DuLieu!$U$1912:$U$103958,"&lt;=21",DuLieu!$W$1912:$W$103958,$R185)</f>
        <v/>
      </c>
      <c r="K185" s="85">
        <f>IF(I185&gt;=J185,I185-J185,0)</f>
        <v/>
      </c>
      <c r="L185" s="73" t="n"/>
      <c r="M185" s="85">
        <f>SUMIFS(DuLieu!$D$1912:$D$103958,DuLieu!$B$1912:$B$103958,$A185,DuLieu!$U$1912:$U$103958,"&gt;=1", DuLieu!$U$1912:$U$103958,"&lt;=7",DuLieu!$W$1912:$W$103958,$R185)</f>
        <v/>
      </c>
      <c r="N185" s="85">
        <f>IF(L185&gt;=M185,L185-M185,0)</f>
        <v/>
      </c>
      <c r="O185" s="85" t="n">
        <v>6</v>
      </c>
      <c r="P185" s="85">
        <f>$D185+$G185+$J185+$M185</f>
        <v/>
      </c>
      <c r="Q185" s="85">
        <f>IF(O185&gt;=P185,O185-P185,0)</f>
        <v/>
      </c>
      <c r="R185" s="80" t="n">
        <v>11</v>
      </c>
      <c r="S185" s="89" t="n"/>
      <c r="T185" s="89" t="n"/>
      <c r="U185" s="89" t="n"/>
      <c r="V185" s="89" t="n"/>
      <c r="W185" s="89" t="n"/>
      <c r="X185" s="89" t="n"/>
      <c r="Y185" s="89" t="n"/>
      <c r="Z185" s="89" t="n"/>
      <c r="AA185" s="89" t="n"/>
    </row>
    <row r="186">
      <c r="A186" s="90" t="inlineStr">
        <is>
          <t>Lương Duy Hải</t>
        </is>
      </c>
      <c r="B186" s="48" t="inlineStr">
        <is>
          <t>Tạm ngưng Fiber</t>
        </is>
      </c>
      <c r="C186" s="73" t="n"/>
      <c r="D186" s="85">
        <f>SUMIFS(DuLieu!$G$1912:$G$13958,DuLieu!$B$1912:$B$103958,$A186,DuLieu!$U$1912:$U$103958,"&gt;=1", DuLieu!$U$1912:$U$103958,"&lt;=7",DuLieu!$W$1912:$W$103958,$R186)</f>
        <v/>
      </c>
      <c r="E186" s="85">
        <f>IF(C186&gt;=D186,C186-D186,0)</f>
        <v/>
      </c>
      <c r="F186" s="59" t="n"/>
      <c r="G186" s="85">
        <f>SUMIFS(DuLieu!$G$1912:$G$13958,DuLieu!$B$1912:$B$103958,D186,DuLieu!$U$1912:$U$103958,"&gt;=8", DuLieu!$U$1912:$U$103958,"&lt;=14",DuLieu!$W$1912:$W$103958,$R186)</f>
        <v/>
      </c>
      <c r="H186" s="85">
        <f>IF(F186&gt;=G186,F186-G186,0)</f>
        <v/>
      </c>
      <c r="I186" s="72" t="n"/>
      <c r="J186" s="85">
        <f>SUMIFS(DuLieu!$G$1912:$G$13958,DuLieu!$B$1912:$B$103958,$A186,DuLieu!$U$1912:$U$103958,"&gt;=15", DuLieu!$U$1912:$U$103958,"&lt;=21",DuLieu!$W$1912:$W$103958,$R186)</f>
        <v/>
      </c>
      <c r="K186" s="85">
        <f>IF(I186&gt;=J186,I186-J186,0)</f>
        <v/>
      </c>
      <c r="L186" s="73" t="n"/>
      <c r="M186" s="85">
        <f>SUMIFS(DuLieu!$D$1912:$D$103958,DuLieu!$B$1912:$B$103958,$A186,DuLieu!$U$1912:$U$103958,"&gt;=1", DuLieu!$U$1912:$U$103958,"&lt;=7",DuLieu!$W$1912:$W$103958,$R186)</f>
        <v/>
      </c>
      <c r="N186" s="85">
        <f>IF(L186&gt;=M186,L186-M186,0)</f>
        <v/>
      </c>
      <c r="O186" s="85" t="n">
        <v>4</v>
      </c>
      <c r="P186" s="85">
        <f>$D186+$G186+$J186+$M186</f>
        <v/>
      </c>
      <c r="Q186" s="85">
        <f>IF(O186&gt;=P186,O186-P186,0)</f>
        <v/>
      </c>
      <c r="R186" s="80" t="n">
        <v>11</v>
      </c>
      <c r="S186" s="89" t="n"/>
      <c r="T186" s="89" t="n"/>
      <c r="U186" s="89" t="n"/>
      <c r="V186" s="89" t="n"/>
      <c r="W186" s="89" t="n"/>
      <c r="X186" s="89" t="n"/>
      <c r="Y186" s="89" t="n"/>
      <c r="Z186" s="89" t="n"/>
      <c r="AA186" s="89" t="n"/>
    </row>
    <row r="187">
      <c r="A187" s="90" t="inlineStr">
        <is>
          <t>Lương Duy Hải</t>
        </is>
      </c>
      <c r="B187" s="48" t="inlineStr">
        <is>
          <t>Tạm ngưng Mytv</t>
        </is>
      </c>
      <c r="C187" s="73" t="n"/>
      <c r="D187" s="85">
        <f>SUMIFS(DuLieu!$H$1912:$H$13958,DuLieu!$B$1912:$B$103958,$A187,DuLieu!$U$1912:$U$103958,"&gt;=1", DuLieu!$U$1912:$U$103958,"&lt;=7",DuLieu!$W$1912:$W$103958,$R187)</f>
        <v/>
      </c>
      <c r="E187" s="85">
        <f>IF(C187&gt;=D187,C187-D187,0)</f>
        <v/>
      </c>
      <c r="F187" s="59" t="n"/>
      <c r="G187" s="85">
        <f>SUMIFS(DuLieu!$H$1912:$H$13958,DuLieu!$B$1912:$B$103958,$A187,DuLieu!$U$1912:$U$103958,"&gt;=8", DuLieu!$U$1912:$U$103958,"&lt;=14",DuLieu!$W$1912:$W$103958,$R187)</f>
        <v/>
      </c>
      <c r="H187" s="85">
        <f>IF(F187&gt;=G187,F187-G187,0)</f>
        <v/>
      </c>
      <c r="I187" s="72" t="n"/>
      <c r="J187" s="85">
        <f>SUMIFS(DuLieu!$H$1912:$H$13958,DuLieu!$B$1912:$B$103958,$A187,DuLieu!$U$1912:$U$103958,"&gt;=15", DuLieu!$U$1912:$U$103958,"&lt;=21",DuLieu!$W$1912:$W$103958,$R187)</f>
        <v/>
      </c>
      <c r="K187" s="85">
        <f>IF(I187&gt;=J187,I187-J187,0)</f>
        <v/>
      </c>
      <c r="L187" s="73" t="n"/>
      <c r="M187" s="85">
        <f>SUMIFS(DuLieu!$D$1912:$D$103958,DuLieu!$B$1912:$B$103958,$A187,DuLieu!$U$1912:$U$103958,"&gt;=1", DuLieu!$U$1912:$U$103958,"&lt;=7",DuLieu!$W$1912:$W$103958,$R187)</f>
        <v/>
      </c>
      <c r="N187" s="85">
        <f>IF(L187&gt;=M187,L187-M187,0)</f>
        <v/>
      </c>
      <c r="O187" s="85" t="n">
        <v>2</v>
      </c>
      <c r="P187" s="85">
        <f>$D187+$G187+$J187+$M187</f>
        <v/>
      </c>
      <c r="Q187" s="85">
        <f>IF(O187&gt;=P187,O187-P187,0)</f>
        <v/>
      </c>
      <c r="R187" s="80" t="n">
        <v>11</v>
      </c>
      <c r="S187" s="89" t="n"/>
      <c r="T187" s="89" t="n"/>
      <c r="U187" s="89" t="n"/>
      <c r="V187" s="89" t="n"/>
      <c r="W187" s="89" t="n"/>
      <c r="X187" s="89" t="n"/>
      <c r="Y187" s="89" t="n"/>
      <c r="Z187" s="89" t="n"/>
      <c r="AA187" s="89" t="n"/>
    </row>
    <row r="188">
      <c r="A188" s="90" t="inlineStr">
        <is>
          <t>Lương Duy Hải</t>
        </is>
      </c>
      <c r="B188" s="48" t="inlineStr">
        <is>
          <t>Thay thế ONT 2 băng tần</t>
        </is>
      </c>
      <c r="C188" s="73" t="n"/>
      <c r="D188" s="85">
        <f>SUMIFS(DuLieu!$I$1912:$I$13958,DuLieu!$B$1912:$B$103958,$A188,DuLieu!$U$1912:$U$103958,"&gt;=1", DuLieu!$U$1912:$U$103958,"&lt;=7",DuLieu!$W$1912:$W$103958,$R188)</f>
        <v/>
      </c>
      <c r="E188" s="85">
        <f>IF(C188&gt;=D188,C188-D188,0)</f>
        <v/>
      </c>
      <c r="F188" s="59" t="n"/>
      <c r="G188" s="85">
        <f>SUMIFS(DuLieu!$I$1912:$I$13958,DuLieu!$B$1912:$B$103958,$A188,DuLieu!$U$1912:$U$103958,"&gt;=8", DuLieu!$U$1912:$U$103958,"&lt;=14",DuLieu!$W$1912:$W$103958,$R188)</f>
        <v/>
      </c>
      <c r="H188" s="85">
        <f>IF(F188&gt;=G188,F188-G188,0)</f>
        <v/>
      </c>
      <c r="I188" s="72" t="n"/>
      <c r="J188" s="85">
        <f>SUMIFS(DuLieu!$I$1912:$I$13958,DuLieu!$B$1912:$B$103958,$A188,DuLieu!$U$1912:$U$103958,"&gt;=15", DuLieu!$U$1912:$U$103958,"&lt;=21",DuLieu!$W$1912:$W$103958,$R188)</f>
        <v/>
      </c>
      <c r="K188" s="85">
        <f>IF(I188&gt;=J188,I188-J188,0)</f>
        <v/>
      </c>
      <c r="L188" s="73" t="n"/>
      <c r="M188" s="85">
        <f>SUMIFS(DuLieu!$D$1912:$D$103958,DuLieu!$B$1912:$B$103958,$A188,DuLieu!$U$1912:$U$103958,"&gt;=1", DuLieu!$U$1912:$U$103958,"&lt;=7",DuLieu!$W$1912:$W$103958,$R188)</f>
        <v/>
      </c>
      <c r="N188" s="85">
        <f>IF(L188&gt;=M188,L188-M188,0)</f>
        <v/>
      </c>
      <c r="O188" s="85" t="n">
        <v>40</v>
      </c>
      <c r="P188" s="85">
        <f>$D188+$G188+$J188+$M188</f>
        <v/>
      </c>
      <c r="Q188" s="85">
        <f>IF(O188&gt;=P188,O188-P188,0)</f>
        <v/>
      </c>
      <c r="R188" s="80" t="n">
        <v>11</v>
      </c>
      <c r="S188" s="89" t="n"/>
      <c r="T188" s="89" t="n"/>
      <c r="U188" s="89" t="n"/>
      <c r="V188" s="89" t="n"/>
      <c r="W188" s="89" t="n"/>
      <c r="X188" s="89" t="n"/>
      <c r="Y188" s="89" t="n"/>
      <c r="Z188" s="89" t="n"/>
      <c r="AA188" s="89" t="n"/>
    </row>
    <row r="189">
      <c r="A189" s="90" t="inlineStr">
        <is>
          <t>Lương Duy Hải</t>
        </is>
      </c>
      <c r="B189" s="48" t="inlineStr">
        <is>
          <t>CSKH HVC chuyển XGSPON</t>
        </is>
      </c>
      <c r="C189" s="68" t="n">
        <v>2</v>
      </c>
      <c r="D189" s="85">
        <f>SUMIFS(DuLieu!$J$1912:$J$13958,DuLieu!$B$1912:$B$103958,$A189,DuLieu!$U$1912:$U$103958,"&gt;=1", DuLieu!$U$1912:$U$103958,"&lt;=7",DuLieu!$W$1912:$W$103958,$R189)</f>
        <v/>
      </c>
      <c r="E189" s="85">
        <f>IF(C189&gt;=D189,C189-D189,0)</f>
        <v/>
      </c>
      <c r="F189" s="65" t="n">
        <v>8</v>
      </c>
      <c r="G189" s="85">
        <f>SUMIFS(DuLieu!$J$1912:$J$13958,DuLieu!$B$1912:$B$103958,$A189,DuLieu!$U$1912:$U$103958,"&gt;=8", DuLieu!$U$1912:$U$103958,"&lt;=14",DuLieu!$W$1912:$W$103958,$R189)</f>
        <v/>
      </c>
      <c r="H189" s="85">
        <f>IF(F189&gt;=G189,F189-G189,0)</f>
        <v/>
      </c>
      <c r="I189" s="72" t="n"/>
      <c r="J189" s="85">
        <f>SUMIFS(DuLieu!$J$1912:$J$13958,DuLieu!$B$1912:$B$103958,$A189,DuLieu!$U$1912:$U$103958,"&gt;=15", DuLieu!$U$1912:$U$103958,"&lt;=21",DuLieu!$W$1912:$W$103958,$R189)</f>
        <v/>
      </c>
      <c r="K189" s="85">
        <f>IF(I189&gt;=J189,I189-J189,0)</f>
        <v/>
      </c>
      <c r="L189" s="73" t="n"/>
      <c r="M189" s="85">
        <f>SUMIFS(DuLieu!$D$1912:$D$103958,DuLieu!$B$1912:$B$103958,$A189,DuLieu!$U$1912:$U$103958,"&gt;=1", DuLieu!$U$1912:$U$103958,"&lt;=7",DuLieu!$W$1912:$W$103958,$R189)</f>
        <v/>
      </c>
      <c r="N189" s="85">
        <f>IF(L189&gt;=M189,L189-M189,0)</f>
        <v/>
      </c>
      <c r="O189" s="85" t="n">
        <v>20</v>
      </c>
      <c r="P189" s="85">
        <f>$D189+$G189+$J189+$M189</f>
        <v/>
      </c>
      <c r="Q189" s="85">
        <f>IF(O189&gt;=P189,O189-P189,0)</f>
        <v/>
      </c>
      <c r="R189" s="80" t="n">
        <v>11</v>
      </c>
      <c r="S189" s="89" t="n"/>
      <c r="T189" s="89" t="n"/>
      <c r="U189" s="89" t="n"/>
      <c r="V189" s="89" t="n"/>
      <c r="W189" s="89" t="n"/>
      <c r="X189" s="89" t="n"/>
      <c r="Y189" s="89" t="n"/>
      <c r="Z189" s="89" t="n"/>
      <c r="AA189" s="89" t="n"/>
    </row>
    <row r="190">
      <c r="A190" s="90" t="inlineStr">
        <is>
          <t>Lương Duy Hải</t>
        </is>
      </c>
      <c r="B190" s="48" t="inlineStr">
        <is>
          <t>Phiếu GHTT tháng T</t>
        </is>
      </c>
      <c r="C190" s="68" t="n">
        <v>50</v>
      </c>
      <c r="D190" s="85">
        <f>SUMIFS(DuLieu!$K$1912:$K$13958,DuLieu!$B$1912:$B$103958,$A190,DuLieu!$U$1912:$U$103958,"&gt;=1", DuLieu!$U$1912:$U$103958,"&lt;=7",DuLieu!$W$1912:$W$103958,$R190)</f>
        <v/>
      </c>
      <c r="E190" s="85">
        <f>IF(C190&gt;=D190,C190-D190,0)</f>
        <v/>
      </c>
      <c r="F190" s="65" t="n">
        <v>50</v>
      </c>
      <c r="G190" s="85">
        <f>SUMIFS(DuLieu!$K$1912:$K$13958,DuLieu!$B$1912:$B$103958,$A190,DuLieu!$U$1912:$U$103958,"&gt;=8", DuLieu!$U$1912:$U$103958,"&lt;=14",DuLieu!$W$1912:$W$103958,$R190)</f>
        <v/>
      </c>
      <c r="H190" s="85">
        <f>IF(F190&gt;=G190,F190-G190,0)</f>
        <v/>
      </c>
      <c r="I190" s="78" t="n">
        <v>50</v>
      </c>
      <c r="J190" s="85">
        <f>SUMIFS(DuLieu!$K$1912:$K$13958,DuLieu!$B$1912:$B$103958,$A190,DuLieu!$U$1912:$U$103958,"&gt;=15", DuLieu!$U$1912:$U$103958,"&lt;=21",DuLieu!$W$1912:$W$103958,$R190)</f>
        <v/>
      </c>
      <c r="K190" s="85">
        <f>IF(I190&gt;=J190,I190-J190,0)</f>
        <v/>
      </c>
      <c r="L190" s="68" t="n">
        <v>57</v>
      </c>
      <c r="M190" s="85">
        <f>SUMIFS(DuLieu!$D$1912:$D$103958,DuLieu!$B$1912:$B$103958,$A190,DuLieu!$U$1912:$U$103958,"&gt;=1", DuLieu!$U$1912:$U$103958,"&lt;=7",DuLieu!$W$1912:$W$103958,$R190)</f>
        <v/>
      </c>
      <c r="N190" s="85">
        <f>IF(L190&gt;=M190,L190-M190,0)</f>
        <v/>
      </c>
      <c r="O190" s="85" t="n">
        <v>150</v>
      </c>
      <c r="P190" s="85">
        <f>$D190+$G190+$J190+$M190</f>
        <v/>
      </c>
      <c r="Q190" s="85">
        <f>IF(O190&gt;=P190,O190-P190,0)</f>
        <v/>
      </c>
      <c r="R190" s="80" t="n">
        <v>11</v>
      </c>
      <c r="S190" s="89" t="n"/>
      <c r="T190" s="89" t="n"/>
      <c r="U190" s="89" t="n"/>
      <c r="V190" s="89" t="n"/>
      <c r="W190" s="89" t="n"/>
      <c r="X190" s="89" t="n"/>
      <c r="Y190" s="89" t="n"/>
      <c r="Z190" s="89" t="n"/>
      <c r="AA190" s="89" t="n"/>
    </row>
    <row r="191">
      <c r="A191" s="90" t="inlineStr">
        <is>
          <t>Lương Duy Hải</t>
        </is>
      </c>
      <c r="B191" s="48" t="inlineStr">
        <is>
          <t>Phiếu GHTT tháng T+1</t>
        </is>
      </c>
      <c r="C191" s="68" t="n">
        <v>7</v>
      </c>
      <c r="D191" s="85">
        <f>SUMIFS(DuLieu!$L$1912:$L$13958,DuLieu!$B$1912:$B$103958,$A191,DuLieu!$U$1912:$U$103958,"&gt;=1", DuLieu!$U$1912:$U$103958,"&lt;=7",DuLieu!$W$1912:$W$103958,$R191)</f>
        <v/>
      </c>
      <c r="E191" s="85">
        <f>IF(C191&gt;=D191,C191-D191,0)</f>
        <v/>
      </c>
      <c r="F191" s="65" t="n">
        <v>7</v>
      </c>
      <c r="G191" s="85">
        <f>SUMIFS(DuLieu!$L$1912:$L$13958,DuLieu!$B$1912:$B$103958,$A191,DuLieu!$U$1912:$U$103958,"&gt;=8", DuLieu!$U$1912:$U$103958,"&lt;=14",DuLieu!$W$1912:$W$103958,$R191)</f>
        <v/>
      </c>
      <c r="H191" s="85">
        <f>IF(F191&gt;=G191,F191-G191,0)</f>
        <v/>
      </c>
      <c r="I191" s="78" t="n">
        <v>3</v>
      </c>
      <c r="J191" s="85">
        <f>SUMIFS(DuLieu!$L$1912:$L$13958,DuLieu!$B$1912:$B$103958,$A191,DuLieu!$U$1912:$U$103958,"&gt;=15", DuLieu!$U$1912:$U$103958,"&lt;=21",DuLieu!$W$1912:$W$103958,$R191)</f>
        <v/>
      </c>
      <c r="K191" s="85">
        <f>IF(I191&gt;=J191,I191-J191,0)</f>
        <v/>
      </c>
      <c r="L191" s="73" t="n"/>
      <c r="M191" s="85">
        <f>SUMIFS(DuLieu!$D$1912:$D$103958,DuLieu!$B$1912:$B$103958,$A191,DuLieu!$U$1912:$U$103958,"&gt;=1", DuLieu!$U$1912:$U$103958,"&lt;=7",DuLieu!$W$1912:$W$103958,$R191)</f>
        <v/>
      </c>
      <c r="N191" s="85">
        <f>IF(L191&gt;=M191,L191-M191,0)</f>
        <v/>
      </c>
      <c r="O191" s="85" t="n">
        <v>1</v>
      </c>
      <c r="P191" s="85">
        <f>$D191+$G191+$J191+$M191</f>
        <v/>
      </c>
      <c r="Q191" s="85">
        <f>IF(O191&gt;=P191,O191-P191,0)</f>
        <v/>
      </c>
      <c r="R191" s="80" t="n">
        <v>11</v>
      </c>
      <c r="S191" s="89" t="n"/>
      <c r="T191" s="89" t="n"/>
      <c r="U191" s="89" t="n"/>
      <c r="V191" s="89" t="n"/>
      <c r="W191" s="89" t="n"/>
      <c r="X191" s="89" t="n"/>
      <c r="Y191" s="89" t="n"/>
      <c r="Z191" s="89" t="n"/>
      <c r="AA191" s="89" t="n"/>
    </row>
    <row r="192" ht="14.25" customHeight="1" s="117">
      <c r="A192" s="91" t="inlineStr">
        <is>
          <t>Nguyễn Hồng Minh</t>
        </is>
      </c>
      <c r="B192" s="58" t="inlineStr">
        <is>
          <t>Tiếp thị DV Fiber</t>
        </is>
      </c>
      <c r="C192" s="68" t="n">
        <v>2</v>
      </c>
      <c r="D192" s="87">
        <f>SUMIFS(DuLieu!$D$1912:$D$13958,DuLieu!$B$1912:$B$103958,$A192,DuLieu!$U$1912:$U$103958,"&gt;=1", DuLieu!$U$1912:$U$103958,"&lt;=7",DuLieu!$W$1912:$W$103958,$R192)</f>
        <v/>
      </c>
      <c r="E192" s="87">
        <f>IF(C192&gt;=D192,C192-D192,0)</f>
        <v/>
      </c>
      <c r="F192" s="65" t="n">
        <v>1</v>
      </c>
      <c r="G192" s="87">
        <f>SUMIFS(DuLieu!$D$1912:$D$13958,DuLieu!$B$1912:$B$103958,$A192,DuLieu!$U$1912:$U$103958,"&gt;=8", DuLieu!$U$1912:$U$103958,"&lt;=14",DuLieu!$W$1912:$W$103958,$R192)</f>
        <v/>
      </c>
      <c r="H192" s="87">
        <f>IF(F192&gt;=G192,F192-G192,0)</f>
        <v/>
      </c>
      <c r="I192" s="78" t="n">
        <v>1</v>
      </c>
      <c r="J192" s="86">
        <f>SUMIFS(DuLieu!$D$1912:$D$13958,DuLieu!$B$1912:$B$103958,$A192,DuLieu!$U$1912:$U$103958,"&gt;=15", DuLieu!$U$1912:$U$103958,"&lt;=21",DuLieu!$W$1912:$W$103958,$R192)</f>
        <v/>
      </c>
      <c r="K192" s="87">
        <f>IF(I192&gt;=J192,I192-J192,0)</f>
        <v/>
      </c>
      <c r="L192" s="68" t="n">
        <v>1</v>
      </c>
      <c r="M192" s="87">
        <f>SUMIFS(DuLieu!$D$1912:$D$103958,DuLieu!$B$1912:$B$103958,$A192,DuLieu!$U$1912:$U$103958,"&gt;=1", DuLieu!$U$1912:$U$103958,"&lt;=7",DuLieu!$W$1912:$W$103958,$R192)</f>
        <v/>
      </c>
      <c r="N192" s="87">
        <f>IF(L192&gt;=M192,L192-M192,0)</f>
        <v/>
      </c>
      <c r="O192" s="87" t="n">
        <v>4</v>
      </c>
      <c r="P192" s="87">
        <f>$D192+$G192+$J192+$M192</f>
        <v/>
      </c>
      <c r="Q192" s="87">
        <f>IF(O192&gt;=P192,O192-P192,0)</f>
        <v/>
      </c>
      <c r="R192" s="77" t="n">
        <v>11</v>
      </c>
      <c r="S192" s="91" t="n"/>
      <c r="T192" s="91" t="n"/>
      <c r="U192" s="91" t="n"/>
      <c r="V192" s="91" t="n"/>
      <c r="W192" s="91" t="n"/>
      <c r="X192" s="91" t="n"/>
      <c r="Y192" s="91" t="n"/>
      <c r="Z192" s="91" t="n"/>
      <c r="AA192" s="91" t="n"/>
    </row>
    <row r="193" ht="14.25" customHeight="1" s="117">
      <c r="A193" s="91" t="inlineStr">
        <is>
          <t>Nguyễn Hồng Minh</t>
        </is>
      </c>
      <c r="B193" s="58" t="inlineStr">
        <is>
          <t>Tiếp thị DV MyTV</t>
        </is>
      </c>
      <c r="C193" s="68" t="n">
        <v>1</v>
      </c>
      <c r="D193" s="87">
        <f>SUMIFS(DuLieu!$E$1912:$E$13958,DuLieu!$B$1912:$B$103958,$A193,DuLieu!$U$1912:$U$103958,"&gt;=1", DuLieu!$U$1912:$U$103958,"&lt;=7",DuLieu!$W$1912:$W$103958,$R193)</f>
        <v/>
      </c>
      <c r="E193" s="87">
        <f>IF(C193&gt;=D193,C193-D193,0)</f>
        <v/>
      </c>
      <c r="F193" s="65" t="n">
        <v>1</v>
      </c>
      <c r="G193" s="87">
        <f>SUMIFS(DuLieu!$E$1912:$E$13958,DuLieu!$B$1912:$B$103958,$A193,DuLieu!$U$1912:$U$103958,"&gt;=8", DuLieu!$U$1912:$U$103958,"&lt;=14",DuLieu!$W$1912:$W$103958,$R193)</f>
        <v/>
      </c>
      <c r="H193" s="87">
        <f>IF(F193&gt;=G193,F193-G193,0)</f>
        <v/>
      </c>
      <c r="I193" s="78" t="n">
        <v>1</v>
      </c>
      <c r="J193" s="86">
        <f>SUMIFS(DuLieu!$E$1912:$E$13958,DuLieu!$B$1912:$B$103958,$A193,DuLieu!$U$1912:$U$103958,"&gt;=15", DuLieu!$U$1912:$U$103958,"&lt;=21",DuLieu!$W$1912:$W$103958,$R193)</f>
        <v/>
      </c>
      <c r="K193" s="87">
        <f>IF(I193&gt;=J193,I193-J193,0)</f>
        <v/>
      </c>
      <c r="L193" s="68" t="n">
        <v>1</v>
      </c>
      <c r="M193" s="87">
        <f>SUMIFS(DuLieu!$D$1912:$D$103958,DuLieu!$B$1912:$B$103958,$A193,DuLieu!$U$1912:$U$103958,"&gt;=1", DuLieu!$U$1912:$U$103958,"&lt;=7",DuLieu!$W$1912:$W$103958,$R193)</f>
        <v/>
      </c>
      <c r="N193" s="87">
        <f>IF(L193&gt;=M193,L193-M193,0)</f>
        <v/>
      </c>
      <c r="O193" s="87" t="n">
        <v>5</v>
      </c>
      <c r="P193" s="87">
        <f>$D193+$G193+$J193+$M193</f>
        <v/>
      </c>
      <c r="Q193" s="87">
        <f>IF(O193&gt;=P193,O193-P193,0)</f>
        <v/>
      </c>
      <c r="R193" s="77" t="n">
        <v>11</v>
      </c>
      <c r="S193" s="91" t="n"/>
      <c r="T193" s="91" t="n"/>
      <c r="U193" s="91" t="n"/>
      <c r="V193" s="91" t="n"/>
      <c r="W193" s="91" t="n"/>
      <c r="X193" s="91" t="n"/>
      <c r="Y193" s="91" t="n"/>
      <c r="Z193" s="91" t="n"/>
      <c r="AA193" s="91" t="n"/>
    </row>
    <row r="194" ht="14.25" customHeight="1" s="117">
      <c r="A194" s="91" t="inlineStr">
        <is>
          <t>Nguyễn Hồng Minh</t>
        </is>
      </c>
      <c r="B194" s="58" t="inlineStr">
        <is>
          <t>Tiếp thị DV Camera/Mesh</t>
        </is>
      </c>
      <c r="C194" s="68" t="n">
        <v>1</v>
      </c>
      <c r="D194" s="87">
        <f>SUMIFS(DuLieu!$F$1912:$F$13958,DuLieu!$B$1912:$B$103958,$A194,DuLieu!$U$1912:$U$103958,"&gt;=1", DuLieu!$U$1912:$U$103958,"&lt;=7",DuLieu!$W$1912:$W$103958,$R194)</f>
        <v/>
      </c>
      <c r="E194" s="87">
        <f>IF(C194&gt;=D194,C194-D194,0)</f>
        <v/>
      </c>
      <c r="F194" s="65" t="n">
        <v>1</v>
      </c>
      <c r="G194" s="87">
        <f>SUMIFS(DuLieu!$F$1912:$F$13958,DuLieu!$B$1912:$B$103958,$A194,DuLieu!$U$1912:$U$103958,"&gt;=8", DuLieu!$U$1912:$U$103958,"&lt;=14",DuLieu!$W$1912:$W$103958,$R194)</f>
        <v/>
      </c>
      <c r="H194" s="87">
        <f>IF(F194&gt;=G194,F194-G194,0)</f>
        <v/>
      </c>
      <c r="I194" s="78" t="n">
        <v>1</v>
      </c>
      <c r="J194" s="86">
        <f>SUMIFS(DuLieu!$F$1912:$F$13958,DuLieu!$B$1912:$B$103958,$A194,DuLieu!$U$1912:$U$103958,"&gt;=15", DuLieu!$U$1912:$U$103958,"&lt;=21",DuLieu!$W$1912:$W$103958,$R194)</f>
        <v/>
      </c>
      <c r="K194" s="87">
        <f>IF(I194&gt;=J194,I194-J194,0)</f>
        <v/>
      </c>
      <c r="L194" s="73" t="n"/>
      <c r="M194" s="87">
        <f>SUMIFS(DuLieu!$D$1912:$D$103958,DuLieu!$B$1912:$B$103958,$A194,DuLieu!$U$1912:$U$103958,"&gt;=1", DuLieu!$U$1912:$U$103958,"&lt;=7",DuLieu!$W$1912:$W$103958,$R194)</f>
        <v/>
      </c>
      <c r="N194" s="87">
        <f>IF(L194&gt;=M194,L194-M194,0)</f>
        <v/>
      </c>
      <c r="O194" s="87" t="n">
        <v>6</v>
      </c>
      <c r="P194" s="87">
        <f>$D194+$G194+$J194+$M194</f>
        <v/>
      </c>
      <c r="Q194" s="87">
        <f>IF(O194&gt;=P194,O194-P194,0)</f>
        <v/>
      </c>
      <c r="R194" s="77" t="n">
        <v>11</v>
      </c>
      <c r="S194" s="91" t="n"/>
      <c r="T194" s="91" t="n"/>
      <c r="U194" s="91" t="n"/>
      <c r="V194" s="91" t="n"/>
      <c r="W194" s="91" t="n"/>
      <c r="X194" s="91" t="n"/>
      <c r="Y194" s="91" t="n"/>
      <c r="Z194" s="91" t="n"/>
      <c r="AA194" s="91" t="n"/>
    </row>
    <row r="195" ht="15" customHeight="1" s="117">
      <c r="A195" s="91" t="inlineStr">
        <is>
          <t>Nguyễn Hồng Minh</t>
        </is>
      </c>
      <c r="B195" s="58" t="inlineStr">
        <is>
          <t>Tạm ngưng Fiber</t>
        </is>
      </c>
      <c r="C195" s="73" t="n"/>
      <c r="D195" s="87">
        <f>SUMIFS(DuLieu!$G$1912:$G$13958,DuLieu!$B$1912:$B$103958,$A195,DuLieu!$U$1912:$U$103958,"&gt;=1", DuLieu!$U$1912:$U$103958,"&lt;=7",DuLieu!$W$1912:$W$103958,$R195)</f>
        <v/>
      </c>
      <c r="E195" s="87">
        <f>IF(C195&gt;=D195,C195-D195,0)</f>
        <v/>
      </c>
      <c r="F195" s="59" t="n"/>
      <c r="G195" s="87">
        <f>SUMIFS(DuLieu!$G$1912:$G$13958,DuLieu!$B$1912:$B$103958,D195,DuLieu!$U$1912:$U$103958,"&gt;=8", DuLieu!$U$1912:$U$103958,"&lt;=14",DuLieu!$W$1912:$W$103958,$R195)</f>
        <v/>
      </c>
      <c r="H195" s="87">
        <f>IF(F195&gt;=G195,F195-G195,0)</f>
        <v/>
      </c>
      <c r="I195" s="72" t="n"/>
      <c r="J195" s="86">
        <f>SUMIFS(DuLieu!$G$1912:$G$13958,DuLieu!$B$1912:$B$103958,$A195,DuLieu!$U$1912:$U$103958,"&gt;=15", DuLieu!$U$1912:$U$103958,"&lt;=21",DuLieu!$W$1912:$W$103958,$R195)</f>
        <v/>
      </c>
      <c r="K195" s="87">
        <f>IF(I195&gt;=J195,I195-J195,0)</f>
        <v/>
      </c>
      <c r="L195" s="73" t="n"/>
      <c r="M195" s="87">
        <f>SUMIFS(DuLieu!$D$1912:$D$103958,DuLieu!$B$1912:$B$103958,$A195,DuLieu!$U$1912:$U$103958,"&gt;=1", DuLieu!$U$1912:$U$103958,"&lt;=7",DuLieu!$W$1912:$W$103958,$R195)</f>
        <v/>
      </c>
      <c r="N195" s="87">
        <f>IF(L195&gt;=M195,L195-M195,0)</f>
        <v/>
      </c>
      <c r="O195" s="87" t="n">
        <v>4</v>
      </c>
      <c r="P195" s="87">
        <f>$D195+$G195+$J195+$M195</f>
        <v/>
      </c>
      <c r="Q195" s="87">
        <f>IF(O195&gt;=P195,O195-P195,0)</f>
        <v/>
      </c>
      <c r="R195" s="77" t="n">
        <v>11</v>
      </c>
      <c r="S195" s="91" t="n"/>
      <c r="T195" s="91" t="n"/>
      <c r="U195" s="91" t="n"/>
      <c r="V195" s="91" t="n"/>
      <c r="W195" s="91" t="n"/>
      <c r="X195" s="91" t="n"/>
      <c r="Y195" s="91" t="n"/>
      <c r="Z195" s="91" t="n"/>
      <c r="AA195" s="91" t="n"/>
    </row>
    <row r="196" ht="15" customHeight="1" s="117">
      <c r="A196" s="91" t="inlineStr">
        <is>
          <t>Nguyễn Hồng Minh</t>
        </is>
      </c>
      <c r="B196" s="58" t="inlineStr">
        <is>
          <t>Tạm ngưng Mytv</t>
        </is>
      </c>
      <c r="C196" s="73" t="n"/>
      <c r="D196" s="87">
        <f>SUMIFS(DuLieu!$H$1912:$H$13958,DuLieu!$B$1912:$B$103958,$A196,DuLieu!$U$1912:$U$103958,"&gt;=1", DuLieu!$U$1912:$U$103958,"&lt;=7",DuLieu!$W$1912:$W$103958,$R196)</f>
        <v/>
      </c>
      <c r="E196" s="87">
        <f>IF(C196&gt;=D196,C196-D196,0)</f>
        <v/>
      </c>
      <c r="F196" s="59" t="n"/>
      <c r="G196" s="87">
        <f>SUMIFS(DuLieu!$H$1912:$H$13958,DuLieu!$B$1912:$B$103958,$A196,DuLieu!$U$1912:$U$103958,"&gt;=8", DuLieu!$U$1912:$U$103958,"&lt;=14",DuLieu!$W$1912:$W$103958,$R196)</f>
        <v/>
      </c>
      <c r="H196" s="87">
        <f>IF(F196&gt;=G196,F196-G196,0)</f>
        <v/>
      </c>
      <c r="I196" s="72" t="n"/>
      <c r="J196" s="86">
        <f>SUMIFS(DuLieu!$H$1912:$H$13958,DuLieu!$B$1912:$B$103958,$A196,DuLieu!$U$1912:$U$103958,"&gt;=15", DuLieu!$U$1912:$U$103958,"&lt;=21",DuLieu!$W$1912:$W$103958,$R196)</f>
        <v/>
      </c>
      <c r="K196" s="87">
        <f>IF(I196&gt;=J196,I196-J196,0)</f>
        <v/>
      </c>
      <c r="L196" s="73" t="n"/>
      <c r="M196" s="87">
        <f>SUMIFS(DuLieu!$D$1912:$D$103958,DuLieu!$B$1912:$B$103958,$A196,DuLieu!$U$1912:$U$103958,"&gt;=1", DuLieu!$U$1912:$U$103958,"&lt;=7",DuLieu!$W$1912:$W$103958,$R196)</f>
        <v/>
      </c>
      <c r="N196" s="87">
        <f>IF(L196&gt;=M196,L196-M196,0)</f>
        <v/>
      </c>
      <c r="O196" s="87" t="n">
        <v>2</v>
      </c>
      <c r="P196" s="87">
        <f>$D196+$G196+$J196+$M196</f>
        <v/>
      </c>
      <c r="Q196" s="87">
        <f>IF(O196&gt;=P196,O196-P196,0)</f>
        <v/>
      </c>
      <c r="R196" s="77" t="n">
        <v>11</v>
      </c>
      <c r="S196" s="91" t="n"/>
      <c r="T196" s="91" t="n"/>
      <c r="U196" s="91" t="n"/>
      <c r="V196" s="91" t="n"/>
      <c r="W196" s="91" t="n"/>
      <c r="X196" s="91" t="n"/>
      <c r="Y196" s="91" t="n"/>
      <c r="Z196" s="91" t="n"/>
      <c r="AA196" s="91" t="n"/>
    </row>
    <row r="197" ht="15" customHeight="1" s="117">
      <c r="A197" s="91" t="inlineStr">
        <is>
          <t>Nguyễn Hồng Minh</t>
        </is>
      </c>
      <c r="B197" s="58" t="inlineStr">
        <is>
          <t>Thay thế ONT 2 băng tần</t>
        </is>
      </c>
      <c r="C197" s="73" t="n"/>
      <c r="D197" s="87">
        <f>SUMIFS(DuLieu!$I$1912:$I$13958,DuLieu!$B$1912:$B$103958,$A197,DuLieu!$U$1912:$U$103958,"&gt;=1", DuLieu!$U$1912:$U$103958,"&lt;=7",DuLieu!$W$1912:$W$103958,$R197)</f>
        <v/>
      </c>
      <c r="E197" s="87">
        <f>IF(C197&gt;=D197,C197-D197,0)</f>
        <v/>
      </c>
      <c r="F197" s="59" t="n"/>
      <c r="G197" s="87">
        <f>SUMIFS(DuLieu!$I$1912:$I$13958,DuLieu!$B$1912:$B$103958,$A197,DuLieu!$U$1912:$U$103958,"&gt;=8", DuLieu!$U$1912:$U$103958,"&lt;=14",DuLieu!$W$1912:$W$103958,$R197)</f>
        <v/>
      </c>
      <c r="H197" s="87">
        <f>IF(F197&gt;=G197,F197-G197,0)</f>
        <v/>
      </c>
      <c r="I197" s="72" t="n"/>
      <c r="J197" s="86">
        <f>SUMIFS(DuLieu!$I$1912:$I$13958,DuLieu!$B$1912:$B$103958,$A197,DuLieu!$U$1912:$U$103958,"&gt;=15", DuLieu!$U$1912:$U$103958,"&lt;=21",DuLieu!$W$1912:$W$103958,$R197)</f>
        <v/>
      </c>
      <c r="K197" s="87">
        <f>IF(I197&gt;=J197,I197-J197,0)</f>
        <v/>
      </c>
      <c r="L197" s="73" t="n"/>
      <c r="M197" s="87">
        <f>SUMIFS(DuLieu!$D$1912:$D$103958,DuLieu!$B$1912:$B$103958,$A197,DuLieu!$U$1912:$U$103958,"&gt;=1", DuLieu!$U$1912:$U$103958,"&lt;=7",DuLieu!$W$1912:$W$103958,$R197)</f>
        <v/>
      </c>
      <c r="N197" s="87">
        <f>IF(L197&gt;=M197,L197-M197,0)</f>
        <v/>
      </c>
      <c r="O197" s="87" t="n">
        <v>40</v>
      </c>
      <c r="P197" s="87">
        <f>$D197+$G197+$J197+$M197</f>
        <v/>
      </c>
      <c r="Q197" s="87">
        <f>IF(O197&gt;=P197,O197-P197,0)</f>
        <v/>
      </c>
      <c r="R197" s="77" t="n">
        <v>11</v>
      </c>
      <c r="S197" s="91" t="n"/>
      <c r="T197" s="91" t="n"/>
      <c r="U197" s="91" t="n"/>
      <c r="V197" s="91" t="n"/>
      <c r="W197" s="91" t="n"/>
      <c r="X197" s="91" t="n"/>
      <c r="Y197" s="91" t="n"/>
      <c r="Z197" s="91" t="n"/>
      <c r="AA197" s="91" t="n"/>
    </row>
    <row r="198" ht="14.25" customHeight="1" s="117">
      <c r="A198" s="91" t="inlineStr">
        <is>
          <t>Nguyễn Hồng Minh</t>
        </is>
      </c>
      <c r="B198" s="58" t="inlineStr">
        <is>
          <t>CSKH HVC chuyển XGSPON</t>
        </is>
      </c>
      <c r="C198" s="73" t="n"/>
      <c r="D198" s="87">
        <f>SUMIFS(DuLieu!$J$1912:$J$13958,DuLieu!$B$1912:$B$103958,$A198,DuLieu!$U$1912:$U$103958,"&gt;=1", DuLieu!$U$1912:$U$103958,"&lt;=7",DuLieu!$W$1912:$W$103958,$R198)</f>
        <v/>
      </c>
      <c r="E198" s="87">
        <f>IF(C198&gt;=D198,C198-D198,0)</f>
        <v/>
      </c>
      <c r="F198" s="65" t="n">
        <v>2</v>
      </c>
      <c r="G198" s="87">
        <f>SUMIFS(DuLieu!$J$1912:$J$13958,DuLieu!$B$1912:$B$103958,$A198,DuLieu!$U$1912:$U$103958,"&gt;=8", DuLieu!$U$1912:$U$103958,"&lt;=14",DuLieu!$W$1912:$W$103958,$R198)</f>
        <v/>
      </c>
      <c r="H198" s="87">
        <f>IF(F198&gt;=G198,F198-G198,0)</f>
        <v/>
      </c>
      <c r="I198" s="72" t="n"/>
      <c r="J198" s="86">
        <f>SUMIFS(DuLieu!$J$1912:$J$13958,DuLieu!$B$1912:$B$103958,$A198,DuLieu!$U$1912:$U$103958,"&gt;=15", DuLieu!$U$1912:$U$103958,"&lt;=21",DuLieu!$W$1912:$W$103958,$R198)</f>
        <v/>
      </c>
      <c r="K198" s="87">
        <f>IF(I198&gt;=J198,I198-J198,0)</f>
        <v/>
      </c>
      <c r="L198" s="73" t="n"/>
      <c r="M198" s="87">
        <f>SUMIFS(DuLieu!$D$1912:$D$103958,DuLieu!$B$1912:$B$103958,$A198,DuLieu!$U$1912:$U$103958,"&gt;=1", DuLieu!$U$1912:$U$103958,"&lt;=7",DuLieu!$W$1912:$W$103958,$R198)</f>
        <v/>
      </c>
      <c r="N198" s="87">
        <f>IF(L198&gt;=M198,L198-M198,0)</f>
        <v/>
      </c>
      <c r="O198" s="87" t="n">
        <v>20</v>
      </c>
      <c r="P198" s="87">
        <f>$D198+$G198+$J198+$M198</f>
        <v/>
      </c>
      <c r="Q198" s="87">
        <f>IF(O198&gt;=P198,O198-P198,0)</f>
        <v/>
      </c>
      <c r="R198" s="77" t="n">
        <v>11</v>
      </c>
      <c r="S198" s="91" t="n"/>
      <c r="T198" s="91" t="n"/>
      <c r="U198" s="91" t="n"/>
      <c r="V198" s="91" t="n"/>
      <c r="W198" s="91" t="n"/>
      <c r="X198" s="91" t="n"/>
      <c r="Y198" s="91" t="n"/>
      <c r="Z198" s="91" t="n"/>
      <c r="AA198" s="91" t="n"/>
    </row>
    <row r="199" ht="14.25" customHeight="1" s="117">
      <c r="A199" s="91" t="inlineStr">
        <is>
          <t>Nguyễn Hồng Minh</t>
        </is>
      </c>
      <c r="B199" s="58" t="inlineStr">
        <is>
          <t>Phiếu GHTT tháng T</t>
        </is>
      </c>
      <c r="C199" s="68" t="n">
        <v>50</v>
      </c>
      <c r="D199" s="87">
        <f>SUMIFS(DuLieu!$K$1912:$K$13958,DuLieu!$B$1912:$B$103958,$A199,DuLieu!$U$1912:$U$103958,"&gt;=1", DuLieu!$U$1912:$U$103958,"&lt;=7",DuLieu!$W$1912:$W$103958,$R199)</f>
        <v/>
      </c>
      <c r="E199" s="87">
        <f>IF(C199&gt;=D199,C199-D199,0)</f>
        <v/>
      </c>
      <c r="F199" s="65" t="n">
        <v>50</v>
      </c>
      <c r="G199" s="87">
        <f>SUMIFS(DuLieu!$K$1912:$K$13958,DuLieu!$B$1912:$B$103958,$A199,DuLieu!$U$1912:$U$103958,"&gt;=8", DuLieu!$U$1912:$U$103958,"&lt;=14",DuLieu!$W$1912:$W$103958,$R199)</f>
        <v/>
      </c>
      <c r="H199" s="87">
        <f>IF(F199&gt;=G199,F199-G199,0)</f>
        <v/>
      </c>
      <c r="I199" s="78" t="n">
        <v>50</v>
      </c>
      <c r="J199" s="86">
        <f>SUMIFS(DuLieu!$K$1912:$K$13958,DuLieu!$B$1912:$B$103958,$A199,DuLieu!$U$1912:$U$103958,"&gt;=15", DuLieu!$U$1912:$U$103958,"&lt;=21",DuLieu!$W$1912:$W$103958,$R199)</f>
        <v/>
      </c>
      <c r="K199" s="87">
        <f>IF(I199&gt;=J199,I199-J199,0)</f>
        <v/>
      </c>
      <c r="L199" s="68" t="n">
        <v>50</v>
      </c>
      <c r="M199" s="87">
        <f>SUMIFS(DuLieu!$D$1912:$D$103958,DuLieu!$B$1912:$B$103958,$A199,DuLieu!$U$1912:$U$103958,"&gt;=1", DuLieu!$U$1912:$U$103958,"&lt;=7",DuLieu!$W$1912:$W$103958,$R199)</f>
        <v/>
      </c>
      <c r="N199" s="87">
        <f>IF(L199&gt;=M199,L199-M199,0)</f>
        <v/>
      </c>
      <c r="O199" s="87" t="n">
        <v>150</v>
      </c>
      <c r="P199" s="87">
        <f>$D199+$G199+$J199+$M199</f>
        <v/>
      </c>
      <c r="Q199" s="87">
        <f>IF(O199&gt;=P199,O199-P199,0)</f>
        <v/>
      </c>
      <c r="R199" s="77" t="n">
        <v>11</v>
      </c>
      <c r="S199" s="91" t="n"/>
      <c r="T199" s="91" t="n"/>
      <c r="U199" s="91" t="n"/>
      <c r="V199" s="91" t="n"/>
      <c r="W199" s="91" t="n"/>
      <c r="X199" s="91" t="n"/>
      <c r="Y199" s="91" t="n"/>
      <c r="Z199" s="91" t="n"/>
      <c r="AA199" s="91" t="n"/>
    </row>
    <row r="200" ht="14.25" customHeight="1" s="117">
      <c r="A200" s="91" t="inlineStr">
        <is>
          <t>Nguyễn Hồng Minh</t>
        </is>
      </c>
      <c r="B200" s="58" t="inlineStr">
        <is>
          <t>Phiếu GHTT tháng T+1</t>
        </is>
      </c>
      <c r="C200" s="68" t="n">
        <v>3</v>
      </c>
      <c r="D200" s="87">
        <f>SUMIFS(DuLieu!$L$1912:$L$13958,DuLieu!$B$1912:$B$103958,$A200,DuLieu!$U$1912:$U$103958,"&gt;=1", DuLieu!$U$1912:$U$103958,"&lt;=7",DuLieu!$W$1912:$W$103958,$R200)</f>
        <v/>
      </c>
      <c r="E200" s="87">
        <f>IF(C200&gt;=D200,C200-D200,0)</f>
        <v/>
      </c>
      <c r="F200" s="65" t="n">
        <v>3</v>
      </c>
      <c r="G200" s="87">
        <f>SUMIFS(DuLieu!$L$1912:$L$13958,DuLieu!$B$1912:$B$103958,$A200,DuLieu!$U$1912:$U$103958,"&gt;=8", DuLieu!$U$1912:$U$103958,"&lt;=14",DuLieu!$W$1912:$W$103958,$R200)</f>
        <v/>
      </c>
      <c r="H200" s="87">
        <f>IF(F200&gt;=G200,F200-G200,0)</f>
        <v/>
      </c>
      <c r="I200" s="78" t="n">
        <v>3</v>
      </c>
      <c r="J200" s="86">
        <f>SUMIFS(DuLieu!$L$1912:$L$13958,DuLieu!$B$1912:$B$103958,$A200,DuLieu!$U$1912:$U$103958,"&gt;=15", DuLieu!$U$1912:$U$103958,"&lt;=21",DuLieu!$W$1912:$W$103958,$R200)</f>
        <v/>
      </c>
      <c r="K200" s="87">
        <f>IF(I200&gt;=J200,I200-J200,0)</f>
        <v/>
      </c>
      <c r="L200" s="68" t="n">
        <v>2</v>
      </c>
      <c r="M200" s="87">
        <f>SUMIFS(DuLieu!$D$1912:$D$103958,DuLieu!$B$1912:$B$103958,$A200,DuLieu!$U$1912:$U$103958,"&gt;=1", DuLieu!$U$1912:$U$103958,"&lt;=7",DuLieu!$W$1912:$W$103958,$R200)</f>
        <v/>
      </c>
      <c r="N200" s="87">
        <f>IF(L200&gt;=M200,L200-M200,0)</f>
        <v/>
      </c>
      <c r="O200" s="87" t="n">
        <v>1</v>
      </c>
      <c r="P200" s="87">
        <f>$D200+$G200+$J200+$M200</f>
        <v/>
      </c>
      <c r="Q200" s="87">
        <f>IF(O200&gt;=P200,O200-P200,0)</f>
        <v/>
      </c>
      <c r="R200" s="77" t="n">
        <v>11</v>
      </c>
      <c r="S200" s="91" t="n"/>
      <c r="T200" s="91" t="n"/>
      <c r="U200" s="91" t="n"/>
      <c r="V200" s="91" t="n"/>
      <c r="W200" s="91" t="n"/>
      <c r="X200" s="91" t="n"/>
      <c r="Y200" s="91" t="n"/>
      <c r="Z200" s="91" t="n"/>
      <c r="AA200" s="91" t="n"/>
    </row>
    <row r="201">
      <c r="A201" s="90" t="inlineStr">
        <is>
          <t>Đặng Hữu Danh</t>
        </is>
      </c>
      <c r="B201" s="48" t="inlineStr">
        <is>
          <t>Tiếp thị DV Fiber</t>
        </is>
      </c>
      <c r="C201" s="68" t="n">
        <v>2</v>
      </c>
      <c r="D201" s="85">
        <f>SUMIFS(DuLieu!$D$1912:$D$13958,DuLieu!$B$1912:$B$103958,$A201,DuLieu!$U$1912:$U$103958,"&gt;=1", DuLieu!$U$1912:$U$103958,"&lt;=7",DuLieu!$W$1912:$W$103958,$R201)</f>
        <v/>
      </c>
      <c r="E201" s="85">
        <f>IF(C201&gt;=D201,C201-D201,0)</f>
        <v/>
      </c>
      <c r="F201" s="65" t="n">
        <v>1</v>
      </c>
      <c r="G201" s="85">
        <f>SUMIFS(DuLieu!$D$1912:$D$13958,DuLieu!$B$1912:$B$103958,$A201,DuLieu!$U$1912:$U$103958,"&gt;=8", DuLieu!$U$1912:$U$103958,"&lt;=14",DuLieu!$W$1912:$W$103958,$R201)</f>
        <v/>
      </c>
      <c r="H201" s="85">
        <f>IF(F201&gt;=G201,F201-G201,0)</f>
        <v/>
      </c>
      <c r="I201" s="78" t="n">
        <v>1</v>
      </c>
      <c r="J201" s="85">
        <f>SUMIFS(DuLieu!$D$1912:$D$13958,DuLieu!$B$1912:$B$103958,$A201,DuLieu!$U$1912:$U$103958,"&gt;=15", DuLieu!$U$1912:$U$103958,"&lt;=21",DuLieu!$W$1912:$W$103958,$R201)</f>
        <v/>
      </c>
      <c r="K201" s="85">
        <f>IF(I201&gt;=J201,I201-J201,0)</f>
        <v/>
      </c>
      <c r="L201" s="68" t="n">
        <v>1</v>
      </c>
      <c r="M201" s="85">
        <f>SUMIFS(DuLieu!$D$1912:$D$103958,DuLieu!$B$1912:$B$103958,$A201,DuLieu!$U$1912:$U$103958,"&gt;=1", DuLieu!$U$1912:$U$103958,"&lt;=7",DuLieu!$W$1912:$W$103958,$R201)</f>
        <v/>
      </c>
      <c r="N201" s="85">
        <f>IF(L201&gt;=M201,L201-M201,0)</f>
        <v/>
      </c>
      <c r="O201" s="85" t="n">
        <v>4</v>
      </c>
      <c r="P201" s="85">
        <f>$D201+$G201+$J201+$M201</f>
        <v/>
      </c>
      <c r="Q201" s="85">
        <f>IF(O201&gt;=P201,O201-P201,0)</f>
        <v/>
      </c>
      <c r="R201" s="80" t="n">
        <v>11</v>
      </c>
      <c r="S201" s="89" t="n"/>
      <c r="T201" s="89" t="n"/>
      <c r="U201" s="89" t="n"/>
      <c r="V201" s="89" t="n"/>
      <c r="W201" s="89" t="n"/>
      <c r="X201" s="89" t="n"/>
      <c r="Y201" s="89" t="n"/>
      <c r="Z201" s="89" t="n"/>
      <c r="AA201" s="89" t="n"/>
    </row>
    <row r="202">
      <c r="A202" s="90" t="inlineStr">
        <is>
          <t>Đặng Hữu Danh</t>
        </is>
      </c>
      <c r="B202" s="48" t="inlineStr">
        <is>
          <t>Tiếp thị DV MyTV</t>
        </is>
      </c>
      <c r="C202" s="68" t="n">
        <v>1</v>
      </c>
      <c r="D202" s="85">
        <f>SUMIFS(DuLieu!$E$1912:$E$13958,DuLieu!$B$1912:$B$103958,$A202,DuLieu!$U$1912:$U$103958,"&gt;=1", DuLieu!$U$1912:$U$103958,"&lt;=7",DuLieu!$W$1912:$W$103958,$R202)</f>
        <v/>
      </c>
      <c r="E202" s="85">
        <f>IF(C202&gt;=D202,C202-D202,0)</f>
        <v/>
      </c>
      <c r="F202" s="65" t="n">
        <v>1</v>
      </c>
      <c r="G202" s="85">
        <f>SUMIFS(DuLieu!$E$1912:$E$13958,DuLieu!$B$1912:$B$103958,$A202,DuLieu!$U$1912:$U$103958,"&gt;=8", DuLieu!$U$1912:$U$103958,"&lt;=14",DuLieu!$W$1912:$W$103958,$R202)</f>
        <v/>
      </c>
      <c r="H202" s="85">
        <f>IF(F202&gt;=G202,F202-G202,0)</f>
        <v/>
      </c>
      <c r="I202" s="78" t="n">
        <v>1</v>
      </c>
      <c r="J202" s="85">
        <f>SUMIFS(DuLieu!$E$1912:$E$13958,DuLieu!$B$1912:$B$103958,$A202,DuLieu!$U$1912:$U$103958,"&gt;=15", DuLieu!$U$1912:$U$103958,"&lt;=21",DuLieu!$W$1912:$W$103958,$R202)</f>
        <v/>
      </c>
      <c r="K202" s="85">
        <f>IF(I202&gt;=J202,I202-J202,0)</f>
        <v/>
      </c>
      <c r="L202" s="68" t="n">
        <v>1</v>
      </c>
      <c r="M202" s="85">
        <f>SUMIFS(DuLieu!$D$1912:$D$103958,DuLieu!$B$1912:$B$103958,$A202,DuLieu!$U$1912:$U$103958,"&gt;=1", DuLieu!$U$1912:$U$103958,"&lt;=7",DuLieu!$W$1912:$W$103958,$R202)</f>
        <v/>
      </c>
      <c r="N202" s="85">
        <f>IF(L202&gt;=M202,L202-M202,0)</f>
        <v/>
      </c>
      <c r="O202" s="85" t="n">
        <v>5</v>
      </c>
      <c r="P202" s="85">
        <f>$D202+$G202+$J202+$M202</f>
        <v/>
      </c>
      <c r="Q202" s="85">
        <f>IF(O202&gt;=P202,O202-P202,0)</f>
        <v/>
      </c>
      <c r="R202" s="80" t="n">
        <v>11</v>
      </c>
      <c r="S202" s="89" t="n"/>
      <c r="T202" s="89" t="n"/>
      <c r="U202" s="89" t="n"/>
      <c r="V202" s="89" t="n"/>
      <c r="W202" s="89" t="n"/>
      <c r="X202" s="89" t="n"/>
      <c r="Y202" s="89" t="n"/>
      <c r="Z202" s="89" t="n"/>
      <c r="AA202" s="89" t="n"/>
    </row>
    <row r="203">
      <c r="A203" s="90" t="inlineStr">
        <is>
          <t>Đặng Hữu Danh</t>
        </is>
      </c>
      <c r="B203" s="48" t="inlineStr">
        <is>
          <t>Tiếp thị DV Camera/Mesh</t>
        </is>
      </c>
      <c r="C203" s="68" t="n">
        <v>1</v>
      </c>
      <c r="D203" s="85">
        <f>SUMIFS(DuLieu!$F$1912:$F$13958,DuLieu!$B$1912:$B$103958,$A203,DuLieu!$U$1912:$U$103958,"&gt;=1", DuLieu!$U$1912:$U$103958,"&lt;=7",DuLieu!$W$1912:$W$103958,$R203)</f>
        <v/>
      </c>
      <c r="E203" s="85">
        <f>IF(C203&gt;=D203,C203-D203,0)</f>
        <v/>
      </c>
      <c r="F203" s="65" t="n">
        <v>1</v>
      </c>
      <c r="G203" s="85">
        <f>SUMIFS(DuLieu!$F$1912:$F$13958,DuLieu!$B$1912:$B$103958,$A203,DuLieu!$U$1912:$U$103958,"&gt;=8", DuLieu!$U$1912:$U$103958,"&lt;=14",DuLieu!$W$1912:$W$103958,$R203)</f>
        <v/>
      </c>
      <c r="H203" s="85">
        <f>IF(F203&gt;=G203,F203-G203,0)</f>
        <v/>
      </c>
      <c r="I203" s="78" t="n">
        <v>1</v>
      </c>
      <c r="J203" s="85">
        <f>SUMIFS(DuLieu!$F$1912:$F$13958,DuLieu!$B$1912:$B$103958,$A203,DuLieu!$U$1912:$U$103958,"&gt;=15", DuLieu!$U$1912:$U$103958,"&lt;=21",DuLieu!$W$1912:$W$103958,$R203)</f>
        <v/>
      </c>
      <c r="K203" s="85">
        <f>IF(I203&gt;=J203,I203-J203,0)</f>
        <v/>
      </c>
      <c r="L203" s="73" t="n"/>
      <c r="M203" s="85">
        <f>SUMIFS(DuLieu!$D$1912:$D$103958,DuLieu!$B$1912:$B$103958,$A203,DuLieu!$U$1912:$U$103958,"&gt;=1", DuLieu!$U$1912:$U$103958,"&lt;=7",DuLieu!$W$1912:$W$103958,$R203)</f>
        <v/>
      </c>
      <c r="N203" s="85">
        <f>IF(L203&gt;=M203,L203-M203,0)</f>
        <v/>
      </c>
      <c r="O203" s="85" t="n">
        <v>6</v>
      </c>
      <c r="P203" s="85">
        <f>$D203+$G203+$J203+$M203</f>
        <v/>
      </c>
      <c r="Q203" s="85">
        <f>IF(O203&gt;=P203,O203-P203,0)</f>
        <v/>
      </c>
      <c r="R203" s="80" t="n">
        <v>11</v>
      </c>
      <c r="S203" s="89" t="n"/>
      <c r="T203" s="89" t="n"/>
      <c r="U203" s="89" t="n"/>
      <c r="V203" s="89" t="n"/>
      <c r="W203" s="89" t="n"/>
      <c r="X203" s="89" t="n"/>
      <c r="Y203" s="89" t="n"/>
      <c r="Z203" s="89" t="n"/>
      <c r="AA203" s="89" t="n"/>
    </row>
    <row r="204">
      <c r="A204" s="90" t="inlineStr">
        <is>
          <t>Đặng Hữu Danh</t>
        </is>
      </c>
      <c r="B204" s="48" t="inlineStr">
        <is>
          <t>Tạm ngưng Fiber</t>
        </is>
      </c>
      <c r="C204" s="73" t="n"/>
      <c r="D204" s="85">
        <f>SUMIFS(DuLieu!$G$1912:$G$13958,DuLieu!$B$1912:$B$103958,$A204,DuLieu!$U$1912:$U$103958,"&gt;=1", DuLieu!$U$1912:$U$103958,"&lt;=7",DuLieu!$W$1912:$W$103958,$R204)</f>
        <v/>
      </c>
      <c r="E204" s="85">
        <f>IF(C204&gt;=D204,C204-D204,0)</f>
        <v/>
      </c>
      <c r="F204" s="59" t="n"/>
      <c r="G204" s="85">
        <f>SUMIFS(DuLieu!$G$1912:$G$13958,DuLieu!$B$1912:$B$103958,D204,DuLieu!$U$1912:$U$103958,"&gt;=8", DuLieu!$U$1912:$U$103958,"&lt;=14",DuLieu!$W$1912:$W$103958,$R204)</f>
        <v/>
      </c>
      <c r="H204" s="85">
        <f>IF(F204&gt;=G204,F204-G204,0)</f>
        <v/>
      </c>
      <c r="I204" s="72" t="n"/>
      <c r="J204" s="85">
        <f>SUMIFS(DuLieu!$G$1912:$G$13958,DuLieu!$B$1912:$B$103958,$A204,DuLieu!$U$1912:$U$103958,"&gt;=15", DuLieu!$U$1912:$U$103958,"&lt;=21",DuLieu!$W$1912:$W$103958,$R204)</f>
        <v/>
      </c>
      <c r="K204" s="85">
        <f>IF(I204&gt;=J204,I204-J204,0)</f>
        <v/>
      </c>
      <c r="L204" s="73" t="n"/>
      <c r="M204" s="85">
        <f>SUMIFS(DuLieu!$D$1912:$D$103958,DuLieu!$B$1912:$B$103958,$A204,DuLieu!$U$1912:$U$103958,"&gt;=1", DuLieu!$U$1912:$U$103958,"&lt;=7",DuLieu!$W$1912:$W$103958,$R204)</f>
        <v/>
      </c>
      <c r="N204" s="85">
        <f>IF(L204&gt;=M204,L204-M204,0)</f>
        <v/>
      </c>
      <c r="O204" s="85" t="n">
        <v>4</v>
      </c>
      <c r="P204" s="85">
        <f>$D204+$G204+$J204+$M204</f>
        <v/>
      </c>
      <c r="Q204" s="85">
        <f>IF(O204&gt;=P204,O204-P204,0)</f>
        <v/>
      </c>
      <c r="R204" s="80" t="n">
        <v>11</v>
      </c>
      <c r="S204" s="89" t="n"/>
      <c r="T204" s="89" t="n"/>
      <c r="U204" s="89" t="n"/>
      <c r="V204" s="89" t="n"/>
      <c r="W204" s="89" t="n"/>
      <c r="X204" s="89" t="n"/>
      <c r="Y204" s="89" t="n"/>
      <c r="Z204" s="89" t="n"/>
      <c r="AA204" s="89" t="n"/>
    </row>
    <row r="205">
      <c r="A205" s="90" t="inlineStr">
        <is>
          <t>Đặng Hữu Danh</t>
        </is>
      </c>
      <c r="B205" s="48" t="inlineStr">
        <is>
          <t>Tạm ngưng Mytv</t>
        </is>
      </c>
      <c r="C205" s="73" t="n"/>
      <c r="D205" s="85">
        <f>SUMIFS(DuLieu!$H$1912:$H$13958,DuLieu!$B$1912:$B$103958,$A205,DuLieu!$U$1912:$U$103958,"&gt;=1", DuLieu!$U$1912:$U$103958,"&lt;=7",DuLieu!$W$1912:$W$103958,$R205)</f>
        <v/>
      </c>
      <c r="E205" s="85">
        <f>IF(C205&gt;=D205,C205-D205,0)</f>
        <v/>
      </c>
      <c r="F205" s="59" t="n"/>
      <c r="G205" s="85">
        <f>SUMIFS(DuLieu!$H$1912:$H$13958,DuLieu!$B$1912:$B$103958,$A205,DuLieu!$U$1912:$U$103958,"&gt;=8", DuLieu!$U$1912:$U$103958,"&lt;=14",DuLieu!$W$1912:$W$103958,$R205)</f>
        <v/>
      </c>
      <c r="H205" s="85">
        <f>IF(F205&gt;=G205,F205-G205,0)</f>
        <v/>
      </c>
      <c r="I205" s="72" t="n"/>
      <c r="J205" s="85">
        <f>SUMIFS(DuLieu!$H$1912:$H$13958,DuLieu!$B$1912:$B$103958,$A205,DuLieu!$U$1912:$U$103958,"&gt;=15", DuLieu!$U$1912:$U$103958,"&lt;=21",DuLieu!$W$1912:$W$103958,$R205)</f>
        <v/>
      </c>
      <c r="K205" s="85">
        <f>IF(I205&gt;=J205,I205-J205,0)</f>
        <v/>
      </c>
      <c r="L205" s="73" t="n"/>
      <c r="M205" s="85">
        <f>SUMIFS(DuLieu!$D$1912:$D$103958,DuLieu!$B$1912:$B$103958,$A205,DuLieu!$U$1912:$U$103958,"&gt;=1", DuLieu!$U$1912:$U$103958,"&lt;=7",DuLieu!$W$1912:$W$103958,$R205)</f>
        <v/>
      </c>
      <c r="N205" s="85">
        <f>IF(L205&gt;=M205,L205-M205,0)</f>
        <v/>
      </c>
      <c r="O205" s="85" t="n">
        <v>2</v>
      </c>
      <c r="P205" s="85">
        <f>$D205+$G205+$J205+$M205</f>
        <v/>
      </c>
      <c r="Q205" s="85">
        <f>IF(O205&gt;=P205,O205-P205,0)</f>
        <v/>
      </c>
      <c r="R205" s="80" t="n">
        <v>11</v>
      </c>
      <c r="S205" s="89" t="n"/>
      <c r="T205" s="89" t="n"/>
      <c r="U205" s="89" t="n"/>
      <c r="V205" s="89" t="n"/>
      <c r="W205" s="89" t="n"/>
      <c r="X205" s="89" t="n"/>
      <c r="Y205" s="89" t="n"/>
      <c r="Z205" s="89" t="n"/>
      <c r="AA205" s="89" t="n"/>
    </row>
    <row r="206">
      <c r="A206" s="90" t="inlineStr">
        <is>
          <t>Đặng Hữu Danh</t>
        </is>
      </c>
      <c r="B206" s="48" t="inlineStr">
        <is>
          <t>Thay thế ONT 2 băng tần</t>
        </is>
      </c>
      <c r="C206" s="73" t="n"/>
      <c r="D206" s="85">
        <f>SUMIFS(DuLieu!$I$1912:$I$13958,DuLieu!$B$1912:$B$103958,$A206,DuLieu!$U$1912:$U$103958,"&gt;=1", DuLieu!$U$1912:$U$103958,"&lt;=7",DuLieu!$W$1912:$W$103958,$R206)</f>
        <v/>
      </c>
      <c r="E206" s="85">
        <f>IF(C206&gt;=D206,C206-D206,0)</f>
        <v/>
      </c>
      <c r="F206" s="59" t="n"/>
      <c r="G206" s="85">
        <f>SUMIFS(DuLieu!$I$1912:$I$13958,DuLieu!$B$1912:$B$103958,$A206,DuLieu!$U$1912:$U$103958,"&gt;=8", DuLieu!$U$1912:$U$103958,"&lt;=14",DuLieu!$W$1912:$W$103958,$R206)</f>
        <v/>
      </c>
      <c r="H206" s="85">
        <f>IF(F206&gt;=G206,F206-G206,0)</f>
        <v/>
      </c>
      <c r="I206" s="72" t="n"/>
      <c r="J206" s="85">
        <f>SUMIFS(DuLieu!$I$1912:$I$13958,DuLieu!$B$1912:$B$103958,$A206,DuLieu!$U$1912:$U$103958,"&gt;=15", DuLieu!$U$1912:$U$103958,"&lt;=21",DuLieu!$W$1912:$W$103958,$R206)</f>
        <v/>
      </c>
      <c r="K206" s="85">
        <f>IF(I206&gt;=J206,I206-J206,0)</f>
        <v/>
      </c>
      <c r="L206" s="73" t="n"/>
      <c r="M206" s="85">
        <f>SUMIFS(DuLieu!$D$1912:$D$103958,DuLieu!$B$1912:$B$103958,$A206,DuLieu!$U$1912:$U$103958,"&gt;=1", DuLieu!$U$1912:$U$103958,"&lt;=7",DuLieu!$W$1912:$W$103958,$R206)</f>
        <v/>
      </c>
      <c r="N206" s="85">
        <f>IF(L206&gt;=M206,L206-M206,0)</f>
        <v/>
      </c>
      <c r="O206" s="85" t="n">
        <v>40</v>
      </c>
      <c r="P206" s="85">
        <f>$D206+$G206+$J206+$M206</f>
        <v/>
      </c>
      <c r="Q206" s="85">
        <f>IF(O206&gt;=P206,O206-P206,0)</f>
        <v/>
      </c>
      <c r="R206" s="80" t="n">
        <v>11</v>
      </c>
      <c r="S206" s="89" t="n"/>
      <c r="T206" s="89" t="n"/>
      <c r="U206" s="89" t="n"/>
      <c r="V206" s="89" t="n"/>
      <c r="W206" s="89" t="n"/>
      <c r="X206" s="89" t="n"/>
      <c r="Y206" s="89" t="n"/>
      <c r="Z206" s="89" t="n"/>
      <c r="AA206" s="89" t="n"/>
    </row>
    <row r="207">
      <c r="A207" s="90" t="inlineStr">
        <is>
          <t>Đặng Hữu Danh</t>
        </is>
      </c>
      <c r="B207" s="48" t="inlineStr">
        <is>
          <t>CSKH HVC chuyển XGSPON</t>
        </is>
      </c>
      <c r="C207" s="73" t="n"/>
      <c r="D207" s="85">
        <f>SUMIFS(DuLieu!$J$1912:$J$13958,DuLieu!$B$1912:$B$103958,$A207,DuLieu!$U$1912:$U$103958,"&gt;=1", DuLieu!$U$1912:$U$103958,"&lt;=7",DuLieu!$W$1912:$W$103958,$R207)</f>
        <v/>
      </c>
      <c r="E207" s="85">
        <f>IF(C207&gt;=D207,C207-D207,0)</f>
        <v/>
      </c>
      <c r="F207" s="59" t="n"/>
      <c r="G207" s="85">
        <f>SUMIFS(DuLieu!$J$1912:$J$13958,DuLieu!$B$1912:$B$103958,$A207,DuLieu!$U$1912:$U$103958,"&gt;=8", DuLieu!$U$1912:$U$103958,"&lt;=14",DuLieu!$W$1912:$W$103958,$R207)</f>
        <v/>
      </c>
      <c r="H207" s="85">
        <f>IF(F207&gt;=G207,F207-G207,0)</f>
        <v/>
      </c>
      <c r="I207" s="72" t="n"/>
      <c r="J207" s="85">
        <f>SUMIFS(DuLieu!$J$1912:$J$13958,DuLieu!$B$1912:$B$103958,$A207,DuLieu!$U$1912:$U$103958,"&gt;=15", DuLieu!$U$1912:$U$103958,"&lt;=21",DuLieu!$W$1912:$W$103958,$R207)</f>
        <v/>
      </c>
      <c r="K207" s="85">
        <f>IF(I207&gt;=J207,I207-J207,0)</f>
        <v/>
      </c>
      <c r="L207" s="73" t="n"/>
      <c r="M207" s="85">
        <f>SUMIFS(DuLieu!$D$1912:$D$103958,DuLieu!$B$1912:$B$103958,$A207,DuLieu!$U$1912:$U$103958,"&gt;=1", DuLieu!$U$1912:$U$103958,"&lt;=7",DuLieu!$W$1912:$W$103958,$R207)</f>
        <v/>
      </c>
      <c r="N207" s="85">
        <f>IF(L207&gt;=M207,L207-M207,0)</f>
        <v/>
      </c>
      <c r="O207" s="85" t="n">
        <v>20</v>
      </c>
      <c r="P207" s="85">
        <f>$D207+$G207+$J207+$M207</f>
        <v/>
      </c>
      <c r="Q207" s="85">
        <f>IF(O207&gt;=P207,O207-P207,0)</f>
        <v/>
      </c>
      <c r="R207" s="80" t="n">
        <v>11</v>
      </c>
      <c r="S207" s="89" t="n"/>
      <c r="T207" s="89" t="n"/>
      <c r="U207" s="89" t="n"/>
      <c r="V207" s="89" t="n"/>
      <c r="W207" s="89" t="n"/>
      <c r="X207" s="89" t="n"/>
      <c r="Y207" s="89" t="n"/>
      <c r="Z207" s="89" t="n"/>
      <c r="AA207" s="89" t="n"/>
    </row>
    <row r="208">
      <c r="A208" s="90" t="inlineStr">
        <is>
          <t>Đặng Hữu Danh</t>
        </is>
      </c>
      <c r="B208" s="48" t="inlineStr">
        <is>
          <t>Phiếu GHTT tháng T</t>
        </is>
      </c>
      <c r="C208" s="68" t="n">
        <v>55</v>
      </c>
      <c r="D208" s="85">
        <f>SUMIFS(DuLieu!$K$1912:$K$13958,DuLieu!$B$1912:$B$103958,$A208,DuLieu!$U$1912:$U$103958,"&gt;=1", DuLieu!$U$1912:$U$103958,"&lt;=7",DuLieu!$W$1912:$W$103958,$R208)</f>
        <v/>
      </c>
      <c r="E208" s="85">
        <f>IF(C208&gt;=D208,C208-D208,0)</f>
        <v/>
      </c>
      <c r="F208" s="65" t="n">
        <v>55</v>
      </c>
      <c r="G208" s="85">
        <f>SUMIFS(DuLieu!$K$1912:$K$13958,DuLieu!$B$1912:$B$103958,$A208,DuLieu!$U$1912:$U$103958,"&gt;=8", DuLieu!$U$1912:$U$103958,"&lt;=14",DuLieu!$W$1912:$W$103958,$R208)</f>
        <v/>
      </c>
      <c r="H208" s="85">
        <f>IF(F208&gt;=G208,F208-G208,0)</f>
        <v/>
      </c>
      <c r="I208" s="78" t="n">
        <v>55</v>
      </c>
      <c r="J208" s="85">
        <f>SUMIFS(DuLieu!$K$1912:$K$13958,DuLieu!$B$1912:$B$103958,$A208,DuLieu!$U$1912:$U$103958,"&gt;=15", DuLieu!$U$1912:$U$103958,"&lt;=21",DuLieu!$W$1912:$W$103958,$R208)</f>
        <v/>
      </c>
      <c r="K208" s="85">
        <f>IF(I208&gt;=J208,I208-J208,0)</f>
        <v/>
      </c>
      <c r="L208" s="68" t="n">
        <v>56</v>
      </c>
      <c r="M208" s="85">
        <f>SUMIFS(DuLieu!$D$1912:$D$103958,DuLieu!$B$1912:$B$103958,$A208,DuLieu!$U$1912:$U$103958,"&gt;=1", DuLieu!$U$1912:$U$103958,"&lt;=7",DuLieu!$W$1912:$W$103958,$R208)</f>
        <v/>
      </c>
      <c r="N208" s="85">
        <f>IF(L208&gt;=M208,L208-M208,0)</f>
        <v/>
      </c>
      <c r="O208" s="85" t="n">
        <v>150</v>
      </c>
      <c r="P208" s="85">
        <f>$D208+$G208+$J208+$M208</f>
        <v/>
      </c>
      <c r="Q208" s="85">
        <f>IF(O208&gt;=P208,O208-P208,0)</f>
        <v/>
      </c>
      <c r="R208" s="80" t="n">
        <v>11</v>
      </c>
      <c r="S208" s="89" t="n"/>
      <c r="T208" s="89" t="n"/>
      <c r="U208" s="89" t="n"/>
      <c r="V208" s="89" t="n"/>
      <c r="W208" s="89" t="n"/>
      <c r="X208" s="89" t="n"/>
      <c r="Y208" s="89" t="n"/>
      <c r="Z208" s="89" t="n"/>
      <c r="AA208" s="89" t="n"/>
    </row>
    <row r="209">
      <c r="A209" s="90" t="inlineStr">
        <is>
          <t>Đặng Hữu Danh</t>
        </is>
      </c>
      <c r="B209" s="48" t="inlineStr">
        <is>
          <t>Phiếu GHTT tháng T+1</t>
        </is>
      </c>
      <c r="C209" s="68" t="n">
        <v>28</v>
      </c>
      <c r="D209" s="85">
        <f>SUMIFS(DuLieu!$L$1912:$L$13958,DuLieu!$B$1912:$B$103958,$A209,DuLieu!$U$1912:$U$103958,"&gt;=1", DuLieu!$U$1912:$U$103958,"&lt;=7",DuLieu!$W$1912:$W$103958,$R209)</f>
        <v/>
      </c>
      <c r="E209" s="85">
        <f>IF(C209&gt;=D209,C209-D209,0)</f>
        <v/>
      </c>
      <c r="F209" s="65" t="n">
        <v>28</v>
      </c>
      <c r="G209" s="85">
        <f>SUMIFS(DuLieu!$L$1912:$L$13958,DuLieu!$B$1912:$B$103958,$A209,DuLieu!$U$1912:$U$103958,"&gt;=8", DuLieu!$U$1912:$U$103958,"&lt;=14",DuLieu!$W$1912:$W$103958,$R209)</f>
        <v/>
      </c>
      <c r="H209" s="85">
        <f>IF(F209&gt;=G209,F209-G209,0)</f>
        <v/>
      </c>
      <c r="I209" s="72" t="n"/>
      <c r="J209" s="85">
        <f>SUMIFS(DuLieu!$L$1912:$L$13958,DuLieu!$B$1912:$B$103958,$A209,DuLieu!$U$1912:$U$103958,"&gt;=15", DuLieu!$U$1912:$U$103958,"&lt;=21",DuLieu!$W$1912:$W$103958,$R209)</f>
        <v/>
      </c>
      <c r="K209" s="85">
        <f>IF(I209&gt;=J209,I209-J209,0)</f>
        <v/>
      </c>
      <c r="L209" s="73" t="n"/>
      <c r="M209" s="85">
        <f>SUMIFS(DuLieu!$D$1912:$D$103958,DuLieu!$B$1912:$B$103958,$A209,DuLieu!$U$1912:$U$103958,"&gt;=1", DuLieu!$U$1912:$U$103958,"&lt;=7",DuLieu!$W$1912:$W$103958,$R209)</f>
        <v/>
      </c>
      <c r="N209" s="85">
        <f>IF(L209&gt;=M209,L209-M209,0)</f>
        <v/>
      </c>
      <c r="O209" s="85" t="n">
        <v>1</v>
      </c>
      <c r="P209" s="85">
        <f>$D209+$G209+$J209+$M209</f>
        <v/>
      </c>
      <c r="Q209" s="85">
        <f>IF(O209&gt;=P209,O209-P209,0)</f>
        <v/>
      </c>
      <c r="R209" s="80" t="n">
        <v>11</v>
      </c>
      <c r="S209" s="89" t="n"/>
      <c r="T209" s="89" t="n"/>
      <c r="U209" s="89" t="n"/>
      <c r="V209" s="89" t="n"/>
      <c r="W209" s="89" t="n"/>
      <c r="X209" s="89" t="n"/>
      <c r="Y209" s="89" t="n"/>
      <c r="Z209" s="89" t="n"/>
      <c r="AA209" s="89" t="n"/>
    </row>
    <row r="210" ht="14.25" customHeight="1" s="117">
      <c r="A210" s="91" t="inlineStr">
        <is>
          <t>Lê Quốc Duy</t>
        </is>
      </c>
      <c r="B210" s="58" t="inlineStr">
        <is>
          <t>Tiếp thị DV Fiber</t>
        </is>
      </c>
      <c r="C210" s="68" t="n">
        <v>2</v>
      </c>
      <c r="D210" s="87">
        <f>SUMIFS(DuLieu!$D$1912:$D$13958,DuLieu!$B$1912:$B$103958,$A210,DuLieu!$U$1912:$U$103958,"&gt;=1", DuLieu!$U$1912:$U$103958,"&lt;=7",DuLieu!$W$1912:$W$103958,$R210)</f>
        <v/>
      </c>
      <c r="E210" s="87">
        <f>IF(C210&gt;=D210,C210-D210,0)</f>
        <v/>
      </c>
      <c r="F210" s="65" t="n">
        <v>1</v>
      </c>
      <c r="G210" s="87">
        <f>SUMIFS(DuLieu!$D$1912:$D$13958,DuLieu!$B$1912:$B$103958,$A210,DuLieu!$U$1912:$U$103958,"&gt;=8", DuLieu!$U$1912:$U$103958,"&lt;=14",DuLieu!$W$1912:$W$103958,$R210)</f>
        <v/>
      </c>
      <c r="H210" s="87">
        <f>IF(F210&gt;=G210,F210-G210,0)</f>
        <v/>
      </c>
      <c r="I210" s="78" t="n">
        <v>1</v>
      </c>
      <c r="J210" s="86">
        <f>SUMIFS(DuLieu!$D$1912:$D$13958,DuLieu!$B$1912:$B$103958,$A210,DuLieu!$U$1912:$U$103958,"&gt;=15", DuLieu!$U$1912:$U$103958,"&lt;=21",DuLieu!$W$1912:$W$103958,$R210)</f>
        <v/>
      </c>
      <c r="K210" s="87">
        <f>IF(I210&gt;=J210,I210-J210,0)</f>
        <v/>
      </c>
      <c r="L210" s="68" t="n">
        <v>1</v>
      </c>
      <c r="M210" s="87">
        <f>SUMIFS(DuLieu!$D$1912:$D$103958,DuLieu!$B$1912:$B$103958,$A210,DuLieu!$U$1912:$U$103958,"&gt;=1", DuLieu!$U$1912:$U$103958,"&lt;=7",DuLieu!$W$1912:$W$103958,$R210)</f>
        <v/>
      </c>
      <c r="N210" s="87">
        <f>IF(L210&gt;=M210,L210-M210,0)</f>
        <v/>
      </c>
      <c r="O210" s="87" t="n">
        <v>4</v>
      </c>
      <c r="P210" s="87">
        <f>$D210+$G210+$J210+$M210</f>
        <v/>
      </c>
      <c r="Q210" s="87">
        <f>IF(O210&gt;=P210,O210-P210,0)</f>
        <v/>
      </c>
      <c r="R210" s="77" t="n">
        <v>11</v>
      </c>
      <c r="S210" s="91" t="n"/>
      <c r="T210" s="91" t="n"/>
      <c r="U210" s="91" t="n"/>
      <c r="V210" s="91" t="n"/>
      <c r="W210" s="91" t="n"/>
      <c r="X210" s="91" t="n"/>
      <c r="Y210" s="91" t="n"/>
      <c r="Z210" s="91" t="n"/>
      <c r="AA210" s="91" t="n"/>
    </row>
    <row r="211" ht="14.25" customHeight="1" s="117">
      <c r="A211" s="91" t="inlineStr">
        <is>
          <t>Lê Quốc Duy</t>
        </is>
      </c>
      <c r="B211" s="58" t="inlineStr">
        <is>
          <t>Tiếp thị DV MyTV</t>
        </is>
      </c>
      <c r="C211" s="68" t="n">
        <v>1</v>
      </c>
      <c r="D211" s="87">
        <f>SUMIFS(DuLieu!$E$1912:$E$13958,DuLieu!$B$1912:$B$103958,$A211,DuLieu!$U$1912:$U$103958,"&gt;=1", DuLieu!$U$1912:$U$103958,"&lt;=7",DuLieu!$W$1912:$W$103958,$R211)</f>
        <v/>
      </c>
      <c r="E211" s="87">
        <f>IF(C211&gt;=D211,C211-D211,0)</f>
        <v/>
      </c>
      <c r="F211" s="65" t="n">
        <v>1</v>
      </c>
      <c r="G211" s="87">
        <f>SUMIFS(DuLieu!$E$1912:$E$13958,DuLieu!$B$1912:$B$103958,$A211,DuLieu!$U$1912:$U$103958,"&gt;=8", DuLieu!$U$1912:$U$103958,"&lt;=14",DuLieu!$W$1912:$W$103958,$R211)</f>
        <v/>
      </c>
      <c r="H211" s="87">
        <f>IF(F211&gt;=G211,F211-G211,0)</f>
        <v/>
      </c>
      <c r="I211" s="78" t="n">
        <v>1</v>
      </c>
      <c r="J211" s="86">
        <f>SUMIFS(DuLieu!$E$1912:$E$13958,DuLieu!$B$1912:$B$103958,$A211,DuLieu!$U$1912:$U$103958,"&gt;=15", DuLieu!$U$1912:$U$103958,"&lt;=21",DuLieu!$W$1912:$W$103958,$R211)</f>
        <v/>
      </c>
      <c r="K211" s="87">
        <f>IF(I211&gt;=J211,I211-J211,0)</f>
        <v/>
      </c>
      <c r="L211" s="68" t="n">
        <v>1</v>
      </c>
      <c r="M211" s="87">
        <f>SUMIFS(DuLieu!$D$1912:$D$103958,DuLieu!$B$1912:$B$103958,$A211,DuLieu!$U$1912:$U$103958,"&gt;=1", DuLieu!$U$1912:$U$103958,"&lt;=7",DuLieu!$W$1912:$W$103958,$R211)</f>
        <v/>
      </c>
      <c r="N211" s="87">
        <f>IF(L211&gt;=M211,L211-M211,0)</f>
        <v/>
      </c>
      <c r="O211" s="87" t="n">
        <v>5</v>
      </c>
      <c r="P211" s="87">
        <f>$D211+$G211+$J211+$M211</f>
        <v/>
      </c>
      <c r="Q211" s="87">
        <f>IF(O211&gt;=P211,O211-P211,0)</f>
        <v/>
      </c>
      <c r="R211" s="77" t="n">
        <v>11</v>
      </c>
      <c r="S211" s="91" t="n"/>
      <c r="T211" s="91" t="n"/>
      <c r="U211" s="91" t="n"/>
      <c r="V211" s="91" t="n"/>
      <c r="W211" s="91" t="n"/>
      <c r="X211" s="91" t="n"/>
      <c r="Y211" s="91" t="n"/>
      <c r="Z211" s="91" t="n"/>
      <c r="AA211" s="91" t="n"/>
    </row>
    <row r="212" ht="14.25" customHeight="1" s="117">
      <c r="A212" s="91" t="inlineStr">
        <is>
          <t>Lê Quốc Duy</t>
        </is>
      </c>
      <c r="B212" s="58" t="inlineStr">
        <is>
          <t>Tiếp thị DV Camera/Mesh</t>
        </is>
      </c>
      <c r="C212" s="68" t="n">
        <v>1</v>
      </c>
      <c r="D212" s="87">
        <f>SUMIFS(DuLieu!$F$1912:$F$13958,DuLieu!$B$1912:$B$103958,$A212,DuLieu!$U$1912:$U$103958,"&gt;=1", DuLieu!$U$1912:$U$103958,"&lt;=7",DuLieu!$W$1912:$W$103958,$R212)</f>
        <v/>
      </c>
      <c r="E212" s="87">
        <f>IF(C212&gt;=D212,C212-D212,0)</f>
        <v/>
      </c>
      <c r="F212" s="65" t="n">
        <v>1</v>
      </c>
      <c r="G212" s="87">
        <f>SUMIFS(DuLieu!$F$1912:$F$13958,DuLieu!$B$1912:$B$103958,$A212,DuLieu!$U$1912:$U$103958,"&gt;=8", DuLieu!$U$1912:$U$103958,"&lt;=14",DuLieu!$W$1912:$W$103958,$R212)</f>
        <v/>
      </c>
      <c r="H212" s="87">
        <f>IF(F212&gt;=G212,F212-G212,0)</f>
        <v/>
      </c>
      <c r="I212" s="78" t="n">
        <v>1</v>
      </c>
      <c r="J212" s="86">
        <f>SUMIFS(DuLieu!$F$1912:$F$13958,DuLieu!$B$1912:$B$103958,$A212,DuLieu!$U$1912:$U$103958,"&gt;=15", DuLieu!$U$1912:$U$103958,"&lt;=21",DuLieu!$W$1912:$W$103958,$R212)</f>
        <v/>
      </c>
      <c r="K212" s="87">
        <f>IF(I212&gt;=J212,I212-J212,0)</f>
        <v/>
      </c>
      <c r="L212" s="73" t="n"/>
      <c r="M212" s="87">
        <f>SUMIFS(DuLieu!$D$1912:$D$103958,DuLieu!$B$1912:$B$103958,$A212,DuLieu!$U$1912:$U$103958,"&gt;=1", DuLieu!$U$1912:$U$103958,"&lt;=7",DuLieu!$W$1912:$W$103958,$R212)</f>
        <v/>
      </c>
      <c r="N212" s="87">
        <f>IF(L212&gt;=M212,L212-M212,0)</f>
        <v/>
      </c>
      <c r="O212" s="87" t="n">
        <v>6</v>
      </c>
      <c r="P212" s="87">
        <f>$D212+$G212+$J212+$M212</f>
        <v/>
      </c>
      <c r="Q212" s="87">
        <f>IF(O212&gt;=P212,O212-P212,0)</f>
        <v/>
      </c>
      <c r="R212" s="77" t="n">
        <v>11</v>
      </c>
      <c r="S212" s="91" t="n"/>
      <c r="T212" s="91" t="n"/>
      <c r="U212" s="91" t="n"/>
      <c r="V212" s="91" t="n"/>
      <c r="W212" s="91" t="n"/>
      <c r="X212" s="91" t="n"/>
      <c r="Y212" s="91" t="n"/>
      <c r="Z212" s="91" t="n"/>
      <c r="AA212" s="91" t="n"/>
    </row>
    <row r="213" ht="15" customHeight="1" s="117">
      <c r="A213" s="91" t="inlineStr">
        <is>
          <t>Lê Quốc Duy</t>
        </is>
      </c>
      <c r="B213" s="58" t="inlineStr">
        <is>
          <t>Tạm ngưng Fiber</t>
        </is>
      </c>
      <c r="C213" s="73" t="n"/>
      <c r="D213" s="87">
        <f>SUMIFS(DuLieu!$G$1912:$G$13958,DuLieu!$B$1912:$B$103958,$A213,DuLieu!$U$1912:$U$103958,"&gt;=1", DuLieu!$U$1912:$U$103958,"&lt;=7",DuLieu!$W$1912:$W$103958,$R213)</f>
        <v/>
      </c>
      <c r="E213" s="87">
        <f>IF(C213&gt;=D213,C213-D213,0)</f>
        <v/>
      </c>
      <c r="F213" s="59" t="n"/>
      <c r="G213" s="87">
        <f>SUMIFS(DuLieu!$G$1912:$G$13958,DuLieu!$B$1912:$B$103958,D213,DuLieu!$U$1912:$U$103958,"&gt;=8", DuLieu!$U$1912:$U$103958,"&lt;=14",DuLieu!$W$1912:$W$103958,$R213)</f>
        <v/>
      </c>
      <c r="H213" s="87">
        <f>IF(F213&gt;=G213,F213-G213,0)</f>
        <v/>
      </c>
      <c r="I213" s="72" t="n"/>
      <c r="J213" s="86">
        <f>SUMIFS(DuLieu!$G$1912:$G$13958,DuLieu!$B$1912:$B$103958,$A213,DuLieu!$U$1912:$U$103958,"&gt;=15", DuLieu!$U$1912:$U$103958,"&lt;=21",DuLieu!$W$1912:$W$103958,$R213)</f>
        <v/>
      </c>
      <c r="K213" s="87">
        <f>IF(I213&gt;=J213,I213-J213,0)</f>
        <v/>
      </c>
      <c r="L213" s="73" t="n"/>
      <c r="M213" s="87">
        <f>SUMIFS(DuLieu!$D$1912:$D$103958,DuLieu!$B$1912:$B$103958,$A213,DuLieu!$U$1912:$U$103958,"&gt;=1", DuLieu!$U$1912:$U$103958,"&lt;=7",DuLieu!$W$1912:$W$103958,$R213)</f>
        <v/>
      </c>
      <c r="N213" s="87">
        <f>IF(L213&gt;=M213,L213-M213,0)</f>
        <v/>
      </c>
      <c r="O213" s="87" t="n">
        <v>4</v>
      </c>
      <c r="P213" s="87">
        <f>$D213+$G213+$J213+$M213</f>
        <v/>
      </c>
      <c r="Q213" s="87">
        <f>IF(O213&gt;=P213,O213-P213,0)</f>
        <v/>
      </c>
      <c r="R213" s="77" t="n">
        <v>11</v>
      </c>
      <c r="S213" s="91" t="n"/>
      <c r="T213" s="91" t="n"/>
      <c r="U213" s="91" t="n"/>
      <c r="V213" s="91" t="n"/>
      <c r="W213" s="91" t="n"/>
      <c r="X213" s="91" t="n"/>
      <c r="Y213" s="91" t="n"/>
      <c r="Z213" s="91" t="n"/>
      <c r="AA213" s="91" t="n"/>
    </row>
    <row r="214" ht="15" customHeight="1" s="117">
      <c r="A214" s="91" t="inlineStr">
        <is>
          <t>Lê Quốc Duy</t>
        </is>
      </c>
      <c r="B214" s="58" t="inlineStr">
        <is>
          <t>Tạm ngưng Mytv</t>
        </is>
      </c>
      <c r="C214" s="73" t="n"/>
      <c r="D214" s="87">
        <f>SUMIFS(DuLieu!$H$1912:$H$13958,DuLieu!$B$1912:$B$103958,$A214,DuLieu!$U$1912:$U$103958,"&gt;=1", DuLieu!$U$1912:$U$103958,"&lt;=7",DuLieu!$W$1912:$W$103958,$R214)</f>
        <v/>
      </c>
      <c r="E214" s="87">
        <f>IF(C214&gt;=D214,C214-D214,0)</f>
        <v/>
      </c>
      <c r="F214" s="59" t="n"/>
      <c r="G214" s="87">
        <f>SUMIFS(DuLieu!$H$1912:$H$13958,DuLieu!$B$1912:$B$103958,$A214,DuLieu!$U$1912:$U$103958,"&gt;=8", DuLieu!$U$1912:$U$103958,"&lt;=14",DuLieu!$W$1912:$W$103958,$R214)</f>
        <v/>
      </c>
      <c r="H214" s="87">
        <f>IF(F214&gt;=G214,F214-G214,0)</f>
        <v/>
      </c>
      <c r="I214" s="72" t="n"/>
      <c r="J214" s="86">
        <f>SUMIFS(DuLieu!$H$1912:$H$13958,DuLieu!$B$1912:$B$103958,$A214,DuLieu!$U$1912:$U$103958,"&gt;=15", DuLieu!$U$1912:$U$103958,"&lt;=21",DuLieu!$W$1912:$W$103958,$R214)</f>
        <v/>
      </c>
      <c r="K214" s="87">
        <f>IF(I214&gt;=J214,I214-J214,0)</f>
        <v/>
      </c>
      <c r="L214" s="73" t="n"/>
      <c r="M214" s="87">
        <f>SUMIFS(DuLieu!$D$1912:$D$103958,DuLieu!$B$1912:$B$103958,$A214,DuLieu!$U$1912:$U$103958,"&gt;=1", DuLieu!$U$1912:$U$103958,"&lt;=7",DuLieu!$W$1912:$W$103958,$R214)</f>
        <v/>
      </c>
      <c r="N214" s="87">
        <f>IF(L214&gt;=M214,L214-M214,0)</f>
        <v/>
      </c>
      <c r="O214" s="87" t="n">
        <v>2</v>
      </c>
      <c r="P214" s="87">
        <f>$D214+$G214+$J214+$M214</f>
        <v/>
      </c>
      <c r="Q214" s="87">
        <f>IF(O214&gt;=P214,O214-P214,0)</f>
        <v/>
      </c>
      <c r="R214" s="77" t="n">
        <v>11</v>
      </c>
      <c r="S214" s="91" t="n"/>
      <c r="T214" s="91" t="n"/>
      <c r="U214" s="91" t="n"/>
      <c r="V214" s="91" t="n"/>
      <c r="W214" s="91" t="n"/>
      <c r="X214" s="91" t="n"/>
      <c r="Y214" s="91" t="n"/>
      <c r="Z214" s="91" t="n"/>
      <c r="AA214" s="91" t="n"/>
    </row>
    <row r="215" ht="15" customHeight="1" s="117">
      <c r="A215" s="91" t="inlineStr">
        <is>
          <t>Lê Quốc Duy</t>
        </is>
      </c>
      <c r="B215" s="58" t="inlineStr">
        <is>
          <t>Thay thế ONT 2 băng tần</t>
        </is>
      </c>
      <c r="C215" s="73" t="n"/>
      <c r="D215" s="87">
        <f>SUMIFS(DuLieu!$I$1912:$I$13958,DuLieu!$B$1912:$B$103958,$A215,DuLieu!$U$1912:$U$103958,"&gt;=1", DuLieu!$U$1912:$U$103958,"&lt;=7",DuLieu!$W$1912:$W$103958,$R215)</f>
        <v/>
      </c>
      <c r="E215" s="87">
        <f>IF(C215&gt;=D215,C215-D215,0)</f>
        <v/>
      </c>
      <c r="F215" s="59" t="n"/>
      <c r="G215" s="87">
        <f>SUMIFS(DuLieu!$I$1912:$I$13958,DuLieu!$B$1912:$B$103958,$A215,DuLieu!$U$1912:$U$103958,"&gt;=8", DuLieu!$U$1912:$U$103958,"&lt;=14",DuLieu!$W$1912:$W$103958,$R215)</f>
        <v/>
      </c>
      <c r="H215" s="87">
        <f>IF(F215&gt;=G215,F215-G215,0)</f>
        <v/>
      </c>
      <c r="I215" s="72" t="n"/>
      <c r="J215" s="86">
        <f>SUMIFS(DuLieu!$I$1912:$I$13958,DuLieu!$B$1912:$B$103958,$A215,DuLieu!$U$1912:$U$103958,"&gt;=15", DuLieu!$U$1912:$U$103958,"&lt;=21",DuLieu!$W$1912:$W$103958,$R215)</f>
        <v/>
      </c>
      <c r="K215" s="87">
        <f>IF(I215&gt;=J215,I215-J215,0)</f>
        <v/>
      </c>
      <c r="L215" s="73" t="n"/>
      <c r="M215" s="87">
        <f>SUMIFS(DuLieu!$D$1912:$D$103958,DuLieu!$B$1912:$B$103958,$A215,DuLieu!$U$1912:$U$103958,"&gt;=1", DuLieu!$U$1912:$U$103958,"&lt;=7",DuLieu!$W$1912:$W$103958,$R215)</f>
        <v/>
      </c>
      <c r="N215" s="87">
        <f>IF(L215&gt;=M215,L215-M215,0)</f>
        <v/>
      </c>
      <c r="O215" s="87" t="n">
        <v>40</v>
      </c>
      <c r="P215" s="87">
        <f>$D215+$G215+$J215+$M215</f>
        <v/>
      </c>
      <c r="Q215" s="87">
        <f>IF(O215&gt;=P215,O215-P215,0)</f>
        <v/>
      </c>
      <c r="R215" s="77" t="n">
        <v>11</v>
      </c>
      <c r="S215" s="91" t="n"/>
      <c r="T215" s="91" t="n"/>
      <c r="U215" s="91" t="n"/>
      <c r="V215" s="91" t="n"/>
      <c r="W215" s="91" t="n"/>
      <c r="X215" s="91" t="n"/>
      <c r="Y215" s="91" t="n"/>
      <c r="Z215" s="91" t="n"/>
      <c r="AA215" s="91" t="n"/>
    </row>
    <row r="216" ht="15" customHeight="1" s="117">
      <c r="A216" s="91" t="inlineStr">
        <is>
          <t>Lê Quốc Duy</t>
        </is>
      </c>
      <c r="B216" s="58" t="inlineStr">
        <is>
          <t>CSKH HVC chuyển XGSPON</t>
        </is>
      </c>
      <c r="C216" s="73" t="n"/>
      <c r="D216" s="87">
        <f>SUMIFS(DuLieu!$J$1912:$J$13958,DuLieu!$B$1912:$B$103958,$A216,DuLieu!$U$1912:$U$103958,"&gt;=1", DuLieu!$U$1912:$U$103958,"&lt;=7",DuLieu!$W$1912:$W$103958,$R216)</f>
        <v/>
      </c>
      <c r="E216" s="87">
        <f>IF(C216&gt;=D216,C216-D216,0)</f>
        <v/>
      </c>
      <c r="F216" s="59" t="n"/>
      <c r="G216" s="87">
        <f>SUMIFS(DuLieu!$J$1912:$J$13958,DuLieu!$B$1912:$B$103958,$A216,DuLieu!$U$1912:$U$103958,"&gt;=8", DuLieu!$U$1912:$U$103958,"&lt;=14",DuLieu!$W$1912:$W$103958,$R216)</f>
        <v/>
      </c>
      <c r="H216" s="87">
        <f>IF(F216&gt;=G216,F216-G216,0)</f>
        <v/>
      </c>
      <c r="I216" s="72" t="n"/>
      <c r="J216" s="86">
        <f>SUMIFS(DuLieu!$J$1912:$J$13958,DuLieu!$B$1912:$B$103958,$A216,DuLieu!$U$1912:$U$103958,"&gt;=15", DuLieu!$U$1912:$U$103958,"&lt;=21",DuLieu!$W$1912:$W$103958,$R216)</f>
        <v/>
      </c>
      <c r="K216" s="87">
        <f>IF(I216&gt;=J216,I216-J216,0)</f>
        <v/>
      </c>
      <c r="L216" s="73" t="n"/>
      <c r="M216" s="87">
        <f>SUMIFS(DuLieu!$D$1912:$D$103958,DuLieu!$B$1912:$B$103958,$A216,DuLieu!$U$1912:$U$103958,"&gt;=1", DuLieu!$U$1912:$U$103958,"&lt;=7",DuLieu!$W$1912:$W$103958,$R216)</f>
        <v/>
      </c>
      <c r="N216" s="87">
        <f>IF(L216&gt;=M216,L216-M216,0)</f>
        <v/>
      </c>
      <c r="O216" s="87" t="n">
        <v>20</v>
      </c>
      <c r="P216" s="87">
        <f>$D216+$G216+$J216+$M216</f>
        <v/>
      </c>
      <c r="Q216" s="87">
        <f>IF(O216&gt;=P216,O216-P216,0)</f>
        <v/>
      </c>
      <c r="R216" s="77" t="n">
        <v>11</v>
      </c>
      <c r="S216" s="91" t="n"/>
      <c r="T216" s="91" t="n"/>
      <c r="U216" s="91" t="n"/>
      <c r="V216" s="91" t="n"/>
      <c r="W216" s="91" t="n"/>
      <c r="X216" s="91" t="n"/>
      <c r="Y216" s="91" t="n"/>
      <c r="Z216" s="91" t="n"/>
      <c r="AA216" s="91" t="n"/>
    </row>
    <row r="217" ht="14.25" customHeight="1" s="117">
      <c r="A217" s="91" t="inlineStr">
        <is>
          <t>Lê Quốc Duy</t>
        </is>
      </c>
      <c r="B217" s="58" t="inlineStr">
        <is>
          <t>Phiếu GHTT tháng T</t>
        </is>
      </c>
      <c r="C217" s="68" t="n">
        <v>68</v>
      </c>
      <c r="D217" s="87">
        <f>SUMIFS(DuLieu!$K$1912:$K$13958,DuLieu!$B$1912:$B$103958,$A217,DuLieu!$U$1912:$U$103958,"&gt;=1", DuLieu!$U$1912:$U$103958,"&lt;=7",DuLieu!$W$1912:$W$103958,$R217)</f>
        <v/>
      </c>
      <c r="E217" s="87">
        <f>IF(C217&gt;=D217,C217-D217,0)</f>
        <v/>
      </c>
      <c r="F217" s="65" t="n">
        <v>68</v>
      </c>
      <c r="G217" s="87">
        <f>SUMIFS(DuLieu!$K$1912:$K$13958,DuLieu!$B$1912:$B$103958,$A217,DuLieu!$U$1912:$U$103958,"&gt;=8", DuLieu!$U$1912:$U$103958,"&lt;=14",DuLieu!$W$1912:$W$103958,$R217)</f>
        <v/>
      </c>
      <c r="H217" s="87">
        <f>IF(F217&gt;=G217,F217-G217,0)</f>
        <v/>
      </c>
      <c r="I217" s="78" t="n">
        <v>68</v>
      </c>
      <c r="J217" s="86">
        <f>SUMIFS(DuLieu!$K$1912:$K$13958,DuLieu!$B$1912:$B$103958,$A217,DuLieu!$U$1912:$U$103958,"&gt;=15", DuLieu!$U$1912:$U$103958,"&lt;=21",DuLieu!$W$1912:$W$103958,$R217)</f>
        <v/>
      </c>
      <c r="K217" s="87">
        <f>IF(I217&gt;=J217,I217-J217,0)</f>
        <v/>
      </c>
      <c r="L217" s="68" t="n">
        <v>70</v>
      </c>
      <c r="M217" s="87">
        <f>SUMIFS(DuLieu!$D$1912:$D$103958,DuLieu!$B$1912:$B$103958,$A217,DuLieu!$U$1912:$U$103958,"&gt;=1", DuLieu!$U$1912:$U$103958,"&lt;=7",DuLieu!$W$1912:$W$103958,$R217)</f>
        <v/>
      </c>
      <c r="N217" s="87">
        <f>IF(L217&gt;=M217,L217-M217,0)</f>
        <v/>
      </c>
      <c r="O217" s="87" t="n">
        <v>150</v>
      </c>
      <c r="P217" s="87">
        <f>$D217+$G217+$J217+$M217</f>
        <v/>
      </c>
      <c r="Q217" s="87">
        <f>IF(O217&gt;=P217,O217-P217,0)</f>
        <v/>
      </c>
      <c r="R217" s="77" t="n">
        <v>11</v>
      </c>
      <c r="S217" s="91" t="n"/>
      <c r="T217" s="91" t="n"/>
      <c r="U217" s="91" t="n"/>
      <c r="V217" s="91" t="n"/>
      <c r="W217" s="91" t="n"/>
      <c r="X217" s="91" t="n"/>
      <c r="Y217" s="91" t="n"/>
      <c r="Z217" s="91" t="n"/>
      <c r="AA217" s="91" t="n"/>
    </row>
    <row r="218" ht="14.25" customHeight="1" s="117">
      <c r="A218" s="91" t="inlineStr">
        <is>
          <t>Lê Quốc Duy</t>
        </is>
      </c>
      <c r="B218" s="58" t="inlineStr">
        <is>
          <t>Phiếu GHTT tháng T+1</t>
        </is>
      </c>
      <c r="C218" s="68" t="n">
        <v>29</v>
      </c>
      <c r="D218" s="87">
        <f>SUMIFS(DuLieu!$L$1912:$L$13958,DuLieu!$B$1912:$B$103958,$A218,DuLieu!$U$1912:$U$103958,"&gt;=1", DuLieu!$U$1912:$U$103958,"&lt;=7",DuLieu!$W$1912:$W$103958,$R218)</f>
        <v/>
      </c>
      <c r="E218" s="87">
        <f>IF(C218&gt;=D218,C218-D218,0)</f>
        <v/>
      </c>
      <c r="F218" s="65" t="n">
        <v>29</v>
      </c>
      <c r="G218" s="87">
        <f>SUMIFS(DuLieu!$L$1912:$L$13958,DuLieu!$B$1912:$B$103958,$A218,DuLieu!$U$1912:$U$103958,"&gt;=8", DuLieu!$U$1912:$U$103958,"&lt;=14",DuLieu!$W$1912:$W$103958,$R218)</f>
        <v/>
      </c>
      <c r="H218" s="87">
        <f>IF(F218&gt;=G218,F218-G218,0)</f>
        <v/>
      </c>
      <c r="I218" s="72" t="n"/>
      <c r="J218" s="86">
        <f>SUMIFS(DuLieu!$L$1912:$L$13958,DuLieu!$B$1912:$B$103958,$A218,DuLieu!$U$1912:$U$103958,"&gt;=15", DuLieu!$U$1912:$U$103958,"&lt;=21",DuLieu!$W$1912:$W$103958,$R218)</f>
        <v/>
      </c>
      <c r="K218" s="87">
        <f>IF(I218&gt;=J218,I218-J218,0)</f>
        <v/>
      </c>
      <c r="L218" s="73" t="n"/>
      <c r="M218" s="87">
        <f>SUMIFS(DuLieu!$D$1912:$D$103958,DuLieu!$B$1912:$B$103958,$A218,DuLieu!$U$1912:$U$103958,"&gt;=1", DuLieu!$U$1912:$U$103958,"&lt;=7",DuLieu!$W$1912:$W$103958,$R218)</f>
        <v/>
      </c>
      <c r="N218" s="87">
        <f>IF(L218&gt;=M218,L218-M218,0)</f>
        <v/>
      </c>
      <c r="O218" s="87" t="n">
        <v>1</v>
      </c>
      <c r="P218" s="87">
        <f>$D218+$G218+$J218+$M218</f>
        <v/>
      </c>
      <c r="Q218" s="87">
        <f>IF(O218&gt;=P218,O218-P218,0)</f>
        <v/>
      </c>
      <c r="R218" s="77" t="n">
        <v>11</v>
      </c>
      <c r="S218" s="91" t="n"/>
      <c r="T218" s="91" t="n"/>
      <c r="U218" s="91" t="n"/>
      <c r="V218" s="91" t="n"/>
      <c r="W218" s="91" t="n"/>
      <c r="X218" s="91" t="n"/>
      <c r="Y218" s="91" t="n"/>
      <c r="Z218" s="91" t="n"/>
      <c r="AA218" s="91" t="n"/>
    </row>
    <row r="219">
      <c r="A219" s="90" t="inlineStr">
        <is>
          <t>Hồ Thái Minh Trí</t>
        </is>
      </c>
      <c r="B219" s="48" t="inlineStr">
        <is>
          <t>Tiếp thị DV Fiber</t>
        </is>
      </c>
      <c r="C219" s="68" t="n">
        <v>2</v>
      </c>
      <c r="D219" s="85">
        <f>SUMIFS(DuLieu!$D$1912:$D$13958,DuLieu!$B$1912:$B$103958,$A219,DuLieu!$U$1912:$U$103958,"&gt;=1", DuLieu!$U$1912:$U$103958,"&lt;=7",DuLieu!$W$1912:$W$103958,$R219)</f>
        <v/>
      </c>
      <c r="E219" s="85">
        <f>IF(C219&gt;=D219,C219-D219,0)</f>
        <v/>
      </c>
      <c r="F219" s="65" t="n">
        <v>2</v>
      </c>
      <c r="G219" s="85">
        <f>SUMIFS(DuLieu!$D$1912:$D$13958,DuLieu!$B$1912:$B$103958,$A219,DuLieu!$U$1912:$U$103958,"&gt;=8", DuLieu!$U$1912:$U$103958,"&lt;=14",DuLieu!$W$1912:$W$103958,$R219)</f>
        <v/>
      </c>
      <c r="H219" s="85">
        <f>IF(F219&gt;=G219,F219-G219,0)</f>
        <v/>
      </c>
      <c r="I219" s="78" t="n">
        <v>1</v>
      </c>
      <c r="J219" s="85">
        <f>SUMIFS(DuLieu!$D$1912:$D$13958,DuLieu!$B$1912:$B$103958,$A219,DuLieu!$U$1912:$U$103958,"&gt;=15", DuLieu!$U$1912:$U$103958,"&lt;=21",DuLieu!$W$1912:$W$103958,$R219)</f>
        <v/>
      </c>
      <c r="K219" s="85">
        <f>IF(I219&gt;=J219,I219-J219,0)</f>
        <v/>
      </c>
      <c r="L219" s="68" t="n">
        <v>1</v>
      </c>
      <c r="M219" s="85">
        <f>SUMIFS(DuLieu!$D$1912:$D$103958,DuLieu!$B$1912:$B$103958,$A219,DuLieu!$U$1912:$U$103958,"&gt;=1", DuLieu!$U$1912:$U$103958,"&lt;=7",DuLieu!$W$1912:$W$103958,$R219)</f>
        <v/>
      </c>
      <c r="N219" s="85">
        <f>IF(L219&gt;=M219,L219-M219,0)</f>
        <v/>
      </c>
      <c r="O219" s="85" t="n">
        <v>4</v>
      </c>
      <c r="P219" s="85">
        <f>$D219+$G219+$J219+$M219</f>
        <v/>
      </c>
      <c r="Q219" s="85">
        <f>IF(O219&gt;=P219,O219-P219,0)</f>
        <v/>
      </c>
      <c r="R219" s="80" t="n">
        <v>11</v>
      </c>
      <c r="S219" s="89" t="n"/>
      <c r="T219" s="89" t="n"/>
      <c r="U219" s="89" t="n"/>
      <c r="V219" s="89" t="n"/>
      <c r="W219" s="89" t="n"/>
      <c r="X219" s="89" t="n"/>
      <c r="Y219" s="89" t="n"/>
      <c r="Z219" s="89" t="n"/>
      <c r="AA219" s="89" t="n"/>
    </row>
    <row r="220">
      <c r="A220" s="90" t="inlineStr">
        <is>
          <t>Hồ Thái Minh Trí</t>
        </is>
      </c>
      <c r="B220" s="48" t="inlineStr">
        <is>
          <t>Tiếp thị DV MyTV</t>
        </is>
      </c>
      <c r="C220" s="68" t="n">
        <v>1</v>
      </c>
      <c r="D220" s="85">
        <f>SUMIFS(DuLieu!$E$1912:$E$13958,DuLieu!$B$1912:$B$103958,$A220,DuLieu!$U$1912:$U$103958,"&gt;=1", DuLieu!$U$1912:$U$103958,"&lt;=7",DuLieu!$W$1912:$W$103958,$R220)</f>
        <v/>
      </c>
      <c r="E220" s="85">
        <f>IF(C220&gt;=D220,C220-D220,0)</f>
        <v/>
      </c>
      <c r="F220" s="65" t="n">
        <v>1</v>
      </c>
      <c r="G220" s="85">
        <f>SUMIFS(DuLieu!$E$1912:$E$13958,DuLieu!$B$1912:$B$103958,$A220,DuLieu!$U$1912:$U$103958,"&gt;=8", DuLieu!$U$1912:$U$103958,"&lt;=14",DuLieu!$W$1912:$W$103958,$R220)</f>
        <v/>
      </c>
      <c r="H220" s="85">
        <f>IF(F220&gt;=G220,F220-G220,0)</f>
        <v/>
      </c>
      <c r="I220" s="78" t="n">
        <v>1</v>
      </c>
      <c r="J220" s="85">
        <f>SUMIFS(DuLieu!$E$1912:$E$13958,DuLieu!$B$1912:$B$103958,$A220,DuLieu!$U$1912:$U$103958,"&gt;=15", DuLieu!$U$1912:$U$103958,"&lt;=21",DuLieu!$W$1912:$W$103958,$R220)</f>
        <v/>
      </c>
      <c r="K220" s="85">
        <f>IF(I220&gt;=J220,I220-J220,0)</f>
        <v/>
      </c>
      <c r="L220" s="68" t="n">
        <v>1</v>
      </c>
      <c r="M220" s="85">
        <f>SUMIFS(DuLieu!$D$1912:$D$103958,DuLieu!$B$1912:$B$103958,$A220,DuLieu!$U$1912:$U$103958,"&gt;=1", DuLieu!$U$1912:$U$103958,"&lt;=7",DuLieu!$W$1912:$W$103958,$R220)</f>
        <v/>
      </c>
      <c r="N220" s="85">
        <f>IF(L220&gt;=M220,L220-M220,0)</f>
        <v/>
      </c>
      <c r="O220" s="85" t="n">
        <v>5</v>
      </c>
      <c r="P220" s="85">
        <f>$D220+$G220+$J220+$M220</f>
        <v/>
      </c>
      <c r="Q220" s="85">
        <f>IF(O220&gt;=P220,O220-P220,0)</f>
        <v/>
      </c>
      <c r="R220" s="80" t="n">
        <v>11</v>
      </c>
      <c r="S220" s="89" t="n"/>
      <c r="T220" s="89" t="n"/>
      <c r="U220" s="89" t="n"/>
      <c r="V220" s="89" t="n"/>
      <c r="W220" s="89" t="n"/>
      <c r="X220" s="89" t="n"/>
      <c r="Y220" s="89" t="n"/>
      <c r="Z220" s="89" t="n"/>
      <c r="AA220" s="89" t="n"/>
    </row>
    <row r="221">
      <c r="A221" s="90" t="inlineStr">
        <is>
          <t>Hồ Thái Minh Trí</t>
        </is>
      </c>
      <c r="B221" s="48" t="inlineStr">
        <is>
          <t>Tiếp thị DV Camera/Mesh</t>
        </is>
      </c>
      <c r="C221" s="68" t="n">
        <v>1</v>
      </c>
      <c r="D221" s="85">
        <f>SUMIFS(DuLieu!$F$1912:$F$13958,DuLieu!$B$1912:$B$103958,$A221,DuLieu!$U$1912:$U$103958,"&gt;=1", DuLieu!$U$1912:$U$103958,"&lt;=7",DuLieu!$W$1912:$W$103958,$R221)</f>
        <v/>
      </c>
      <c r="E221" s="85">
        <f>IF(C221&gt;=D221,C221-D221,0)</f>
        <v/>
      </c>
      <c r="F221" s="65" t="n">
        <v>1</v>
      </c>
      <c r="G221" s="85">
        <f>SUMIFS(DuLieu!$F$1912:$F$13958,DuLieu!$B$1912:$B$103958,$A221,DuLieu!$U$1912:$U$103958,"&gt;=8", DuLieu!$U$1912:$U$103958,"&lt;=14",DuLieu!$W$1912:$W$103958,$R221)</f>
        <v/>
      </c>
      <c r="H221" s="85">
        <f>IF(F221&gt;=G221,F221-G221,0)</f>
        <v/>
      </c>
      <c r="I221" s="78" t="n">
        <v>1</v>
      </c>
      <c r="J221" s="85">
        <f>SUMIFS(DuLieu!$F$1912:$F$13958,DuLieu!$B$1912:$B$103958,$A221,DuLieu!$U$1912:$U$103958,"&gt;=15", DuLieu!$U$1912:$U$103958,"&lt;=21",DuLieu!$W$1912:$W$103958,$R221)</f>
        <v/>
      </c>
      <c r="K221" s="85">
        <f>IF(I221&gt;=J221,I221-J221,0)</f>
        <v/>
      </c>
      <c r="L221" s="73" t="n"/>
      <c r="M221" s="85">
        <f>SUMIFS(DuLieu!$D$1912:$D$103958,DuLieu!$B$1912:$B$103958,$A221,DuLieu!$U$1912:$U$103958,"&gt;=1", DuLieu!$U$1912:$U$103958,"&lt;=7",DuLieu!$W$1912:$W$103958,$R221)</f>
        <v/>
      </c>
      <c r="N221" s="85">
        <f>IF(L221&gt;=M221,L221-M221,0)</f>
        <v/>
      </c>
      <c r="O221" s="85" t="n">
        <v>6</v>
      </c>
      <c r="P221" s="85">
        <f>$D221+$G221+$J221+$M221</f>
        <v/>
      </c>
      <c r="Q221" s="85">
        <f>IF(O221&gt;=P221,O221-P221,0)</f>
        <v/>
      </c>
      <c r="R221" s="80" t="n">
        <v>11</v>
      </c>
      <c r="S221" s="89" t="n"/>
      <c r="T221" s="89" t="n"/>
      <c r="U221" s="89" t="n"/>
      <c r="V221" s="89" t="n"/>
      <c r="W221" s="89" t="n"/>
      <c r="X221" s="89" t="n"/>
      <c r="Y221" s="89" t="n"/>
      <c r="Z221" s="89" t="n"/>
      <c r="AA221" s="89" t="n"/>
    </row>
    <row r="222">
      <c r="A222" s="90" t="inlineStr">
        <is>
          <t>Hồ Thái Minh Trí</t>
        </is>
      </c>
      <c r="B222" s="48" t="inlineStr">
        <is>
          <t>Tạm ngưng Fiber</t>
        </is>
      </c>
      <c r="C222" s="73" t="n"/>
      <c r="D222" s="85">
        <f>SUMIFS(DuLieu!$G$1912:$G$13958,DuLieu!$B$1912:$B$103958,$A222,DuLieu!$U$1912:$U$103958,"&gt;=1", DuLieu!$U$1912:$U$103958,"&lt;=7",DuLieu!$W$1912:$W$103958,$R222)</f>
        <v/>
      </c>
      <c r="E222" s="85">
        <f>IF(C222&gt;=D222,C222-D222,0)</f>
        <v/>
      </c>
      <c r="F222" s="59" t="n"/>
      <c r="G222" s="85">
        <f>SUMIFS(DuLieu!$G$1912:$G$13958,DuLieu!$B$1912:$B$103958,D222,DuLieu!$U$1912:$U$103958,"&gt;=8", DuLieu!$U$1912:$U$103958,"&lt;=14",DuLieu!$W$1912:$W$103958,$R222)</f>
        <v/>
      </c>
      <c r="H222" s="85">
        <f>IF(F222&gt;=G222,F222-G222,0)</f>
        <v/>
      </c>
      <c r="I222" s="72" t="n"/>
      <c r="J222" s="85">
        <f>SUMIFS(DuLieu!$G$1912:$G$13958,DuLieu!$B$1912:$B$103958,$A222,DuLieu!$U$1912:$U$103958,"&gt;=15", DuLieu!$U$1912:$U$103958,"&lt;=21",DuLieu!$W$1912:$W$103958,$R222)</f>
        <v/>
      </c>
      <c r="K222" s="85">
        <f>IF(I222&gt;=J222,I222-J222,0)</f>
        <v/>
      </c>
      <c r="L222" s="73" t="n"/>
      <c r="M222" s="85">
        <f>SUMIFS(DuLieu!$D$1912:$D$103958,DuLieu!$B$1912:$B$103958,$A222,DuLieu!$U$1912:$U$103958,"&gt;=1", DuLieu!$U$1912:$U$103958,"&lt;=7",DuLieu!$W$1912:$W$103958,$R222)</f>
        <v/>
      </c>
      <c r="N222" s="85">
        <f>IF(L222&gt;=M222,L222-M222,0)</f>
        <v/>
      </c>
      <c r="O222" s="85" t="n">
        <v>4</v>
      </c>
      <c r="P222" s="85">
        <f>$D222+$G222+$J222+$M222</f>
        <v/>
      </c>
      <c r="Q222" s="85">
        <f>IF(O222&gt;=P222,O222-P222,0)</f>
        <v/>
      </c>
      <c r="R222" s="80" t="n">
        <v>11</v>
      </c>
      <c r="S222" s="89" t="n"/>
      <c r="T222" s="89" t="n"/>
      <c r="U222" s="89" t="n"/>
      <c r="V222" s="89" t="n"/>
      <c r="W222" s="89" t="n"/>
      <c r="X222" s="89" t="n"/>
      <c r="Y222" s="89" t="n"/>
      <c r="Z222" s="89" t="n"/>
      <c r="AA222" s="89" t="n"/>
    </row>
    <row r="223">
      <c r="A223" s="90" t="inlineStr">
        <is>
          <t>Hồ Thái Minh Trí</t>
        </is>
      </c>
      <c r="B223" s="48" t="inlineStr">
        <is>
          <t>Tạm ngưng Mytv</t>
        </is>
      </c>
      <c r="C223" s="73" t="n"/>
      <c r="D223" s="85">
        <f>SUMIFS(DuLieu!$H$1912:$H$13958,DuLieu!$B$1912:$B$103958,$A223,DuLieu!$U$1912:$U$103958,"&gt;=1", DuLieu!$U$1912:$U$103958,"&lt;=7",DuLieu!$W$1912:$W$103958,$R223)</f>
        <v/>
      </c>
      <c r="E223" s="85">
        <f>IF(C223&gt;=D223,C223-D223,0)</f>
        <v/>
      </c>
      <c r="F223" s="59" t="n"/>
      <c r="G223" s="85">
        <f>SUMIFS(DuLieu!$H$1912:$H$13958,DuLieu!$B$1912:$B$103958,$A223,DuLieu!$U$1912:$U$103958,"&gt;=8", DuLieu!$U$1912:$U$103958,"&lt;=14",DuLieu!$W$1912:$W$103958,$R223)</f>
        <v/>
      </c>
      <c r="H223" s="85">
        <f>IF(F223&gt;=G223,F223-G223,0)</f>
        <v/>
      </c>
      <c r="I223" s="72" t="n"/>
      <c r="J223" s="85">
        <f>SUMIFS(DuLieu!$H$1912:$H$13958,DuLieu!$B$1912:$B$103958,$A223,DuLieu!$U$1912:$U$103958,"&gt;=15", DuLieu!$U$1912:$U$103958,"&lt;=21",DuLieu!$W$1912:$W$103958,$R223)</f>
        <v/>
      </c>
      <c r="K223" s="85">
        <f>IF(I223&gt;=J223,I223-J223,0)</f>
        <v/>
      </c>
      <c r="L223" s="73" t="n"/>
      <c r="M223" s="85">
        <f>SUMIFS(DuLieu!$D$1912:$D$103958,DuLieu!$B$1912:$B$103958,$A223,DuLieu!$U$1912:$U$103958,"&gt;=1", DuLieu!$U$1912:$U$103958,"&lt;=7",DuLieu!$W$1912:$W$103958,$R223)</f>
        <v/>
      </c>
      <c r="N223" s="85">
        <f>IF(L223&gt;=M223,L223-M223,0)</f>
        <v/>
      </c>
      <c r="O223" s="85" t="n">
        <v>2</v>
      </c>
      <c r="P223" s="85">
        <f>$D223+$G223+$J223+$M223</f>
        <v/>
      </c>
      <c r="Q223" s="85">
        <f>IF(O223&gt;=P223,O223-P223,0)</f>
        <v/>
      </c>
      <c r="R223" s="80" t="n">
        <v>11</v>
      </c>
      <c r="S223" s="89" t="n"/>
      <c r="T223" s="89" t="n"/>
      <c r="U223" s="89" t="n"/>
      <c r="V223" s="89" t="n"/>
      <c r="W223" s="89" t="n"/>
      <c r="X223" s="89" t="n"/>
      <c r="Y223" s="89" t="n"/>
      <c r="Z223" s="89" t="n"/>
      <c r="AA223" s="89" t="n"/>
    </row>
    <row r="224">
      <c r="A224" s="90" t="inlineStr">
        <is>
          <t>Hồ Thái Minh Trí</t>
        </is>
      </c>
      <c r="B224" s="48" t="inlineStr">
        <is>
          <t>Thay thế ONT 2 băng tần</t>
        </is>
      </c>
      <c r="C224" s="73" t="n"/>
      <c r="D224" s="85">
        <f>SUMIFS(DuLieu!$I$1912:$I$13958,DuLieu!$B$1912:$B$103958,$A224,DuLieu!$U$1912:$U$103958,"&gt;=1", DuLieu!$U$1912:$U$103958,"&lt;=7",DuLieu!$W$1912:$W$103958,$R224)</f>
        <v/>
      </c>
      <c r="E224" s="85">
        <f>IF(C224&gt;=D224,C224-D224,0)</f>
        <v/>
      </c>
      <c r="F224" s="59" t="n"/>
      <c r="G224" s="85">
        <f>SUMIFS(DuLieu!$I$1912:$I$13958,DuLieu!$B$1912:$B$103958,$A224,DuLieu!$U$1912:$U$103958,"&gt;=8", DuLieu!$U$1912:$U$103958,"&lt;=14",DuLieu!$W$1912:$W$103958,$R224)</f>
        <v/>
      </c>
      <c r="H224" s="85">
        <f>IF(F224&gt;=G224,F224-G224,0)</f>
        <v/>
      </c>
      <c r="I224" s="72" t="n"/>
      <c r="J224" s="85">
        <f>SUMIFS(DuLieu!$I$1912:$I$13958,DuLieu!$B$1912:$B$103958,$A224,DuLieu!$U$1912:$U$103958,"&gt;=15", DuLieu!$U$1912:$U$103958,"&lt;=21",DuLieu!$W$1912:$W$103958,$R224)</f>
        <v/>
      </c>
      <c r="K224" s="85">
        <f>IF(I224&gt;=J224,I224-J224,0)</f>
        <v/>
      </c>
      <c r="L224" s="73" t="n"/>
      <c r="M224" s="85">
        <f>SUMIFS(DuLieu!$D$1912:$D$103958,DuLieu!$B$1912:$B$103958,$A224,DuLieu!$U$1912:$U$103958,"&gt;=1", DuLieu!$U$1912:$U$103958,"&lt;=7",DuLieu!$W$1912:$W$103958,$R224)</f>
        <v/>
      </c>
      <c r="N224" s="85">
        <f>IF(L224&gt;=M224,L224-M224,0)</f>
        <v/>
      </c>
      <c r="O224" s="85" t="n">
        <v>40</v>
      </c>
      <c r="P224" s="85">
        <f>$D224+$G224+$J224+$M224</f>
        <v/>
      </c>
      <c r="Q224" s="85">
        <f>IF(O224&gt;=P224,O224-P224,0)</f>
        <v/>
      </c>
      <c r="R224" s="80" t="n">
        <v>11</v>
      </c>
      <c r="S224" s="89" t="n"/>
      <c r="T224" s="89" t="n"/>
      <c r="U224" s="89" t="n"/>
      <c r="V224" s="89" t="n"/>
      <c r="W224" s="89" t="n"/>
      <c r="X224" s="89" t="n"/>
      <c r="Y224" s="89" t="n"/>
      <c r="Z224" s="89" t="n"/>
      <c r="AA224" s="89" t="n"/>
    </row>
    <row r="225">
      <c r="A225" s="90" t="inlineStr">
        <is>
          <t>Hồ Thái Minh Trí</t>
        </is>
      </c>
      <c r="B225" s="48" t="inlineStr">
        <is>
          <t>CSKH HVC chuyển XGSPON</t>
        </is>
      </c>
      <c r="C225" s="73" t="n"/>
      <c r="D225" s="85">
        <f>SUMIFS(DuLieu!$J$1912:$J$13958,DuLieu!$B$1912:$B$103958,$A225,DuLieu!$U$1912:$U$103958,"&gt;=1", DuLieu!$U$1912:$U$103958,"&lt;=7",DuLieu!$W$1912:$W$103958,$R225)</f>
        <v/>
      </c>
      <c r="E225" s="85">
        <f>IF(C225&gt;=D225,C225-D225,0)</f>
        <v/>
      </c>
      <c r="F225" s="59" t="n"/>
      <c r="G225" s="85">
        <f>SUMIFS(DuLieu!$J$1912:$J$13958,DuLieu!$B$1912:$B$103958,$A225,DuLieu!$U$1912:$U$103958,"&gt;=8", DuLieu!$U$1912:$U$103958,"&lt;=14",DuLieu!$W$1912:$W$103958,$R225)</f>
        <v/>
      </c>
      <c r="H225" s="85">
        <f>IF(F225&gt;=G225,F225-G225,0)</f>
        <v/>
      </c>
      <c r="I225" s="72" t="n"/>
      <c r="J225" s="85">
        <f>SUMIFS(DuLieu!$J$1912:$J$13958,DuLieu!$B$1912:$B$103958,$A225,DuLieu!$U$1912:$U$103958,"&gt;=15", DuLieu!$U$1912:$U$103958,"&lt;=21",DuLieu!$W$1912:$W$103958,$R225)</f>
        <v/>
      </c>
      <c r="K225" s="85">
        <f>IF(I225&gt;=J225,I225-J225,0)</f>
        <v/>
      </c>
      <c r="L225" s="73" t="n"/>
      <c r="M225" s="85">
        <f>SUMIFS(DuLieu!$D$1912:$D$103958,DuLieu!$B$1912:$B$103958,$A225,DuLieu!$U$1912:$U$103958,"&gt;=1", DuLieu!$U$1912:$U$103958,"&lt;=7",DuLieu!$W$1912:$W$103958,$R225)</f>
        <v/>
      </c>
      <c r="N225" s="85">
        <f>IF(L225&gt;=M225,L225-M225,0)</f>
        <v/>
      </c>
      <c r="O225" s="85" t="n">
        <v>20</v>
      </c>
      <c r="P225" s="85">
        <f>$D225+$G225+$J225+$M225</f>
        <v/>
      </c>
      <c r="Q225" s="85">
        <f>IF(O225&gt;=P225,O225-P225,0)</f>
        <v/>
      </c>
      <c r="R225" s="80" t="n">
        <v>11</v>
      </c>
      <c r="S225" s="89" t="n"/>
      <c r="T225" s="89" t="n"/>
      <c r="U225" s="89" t="n"/>
      <c r="V225" s="89" t="n"/>
      <c r="W225" s="89" t="n"/>
      <c r="X225" s="89" t="n"/>
      <c r="Y225" s="89" t="n"/>
      <c r="Z225" s="89" t="n"/>
      <c r="AA225" s="89" t="n"/>
    </row>
    <row r="226">
      <c r="A226" s="90" t="inlineStr">
        <is>
          <t>Hồ Thái Minh Trí</t>
        </is>
      </c>
      <c r="B226" s="48" t="inlineStr">
        <is>
          <t>Phiếu GHTT tháng T</t>
        </is>
      </c>
      <c r="C226" s="68" t="n">
        <v>79</v>
      </c>
      <c r="D226" s="85">
        <f>SUMIFS(DuLieu!$K$1912:$K$13958,DuLieu!$B$1912:$B$103958,$A226,DuLieu!$U$1912:$U$103958,"&gt;=1", DuLieu!$U$1912:$U$103958,"&lt;=7",DuLieu!$W$1912:$W$103958,$R226)</f>
        <v/>
      </c>
      <c r="E226" s="85">
        <f>IF(C226&gt;=D226,C226-D226,0)</f>
        <v/>
      </c>
      <c r="F226" s="65" t="n">
        <v>79</v>
      </c>
      <c r="G226" s="85">
        <f>SUMIFS(DuLieu!$K$1912:$K$13958,DuLieu!$B$1912:$B$103958,$A226,DuLieu!$U$1912:$U$103958,"&gt;=8", DuLieu!$U$1912:$U$103958,"&lt;=14",DuLieu!$W$1912:$W$103958,$R226)</f>
        <v/>
      </c>
      <c r="H226" s="85">
        <f>IF(F226&gt;=G226,F226-G226,0)</f>
        <v/>
      </c>
      <c r="I226" s="78" t="n">
        <v>79</v>
      </c>
      <c r="J226" s="85">
        <f>SUMIFS(DuLieu!$K$1912:$K$13958,DuLieu!$B$1912:$B$103958,$A226,DuLieu!$U$1912:$U$103958,"&gt;=15", DuLieu!$U$1912:$U$103958,"&lt;=21",DuLieu!$W$1912:$W$103958,$R226)</f>
        <v/>
      </c>
      <c r="K226" s="85">
        <f>IF(I226&gt;=J226,I226-J226,0)</f>
        <v/>
      </c>
      <c r="L226" s="68" t="n">
        <v>78</v>
      </c>
      <c r="M226" s="85">
        <f>SUMIFS(DuLieu!$D$1912:$D$103958,DuLieu!$B$1912:$B$103958,$A226,DuLieu!$U$1912:$U$103958,"&gt;=1", DuLieu!$U$1912:$U$103958,"&lt;=7",DuLieu!$W$1912:$W$103958,$R226)</f>
        <v/>
      </c>
      <c r="N226" s="85">
        <f>IF(L226&gt;=M226,L226-M226,0)</f>
        <v/>
      </c>
      <c r="O226" s="85" t="n">
        <v>150</v>
      </c>
      <c r="P226" s="85">
        <f>$D226+$G226+$J226+$M226</f>
        <v/>
      </c>
      <c r="Q226" s="85">
        <f>IF(O226&gt;=P226,O226-P226,0)</f>
        <v/>
      </c>
      <c r="R226" s="80" t="n">
        <v>11</v>
      </c>
      <c r="S226" s="89" t="n"/>
      <c r="T226" s="89" t="n"/>
      <c r="U226" s="89" t="n"/>
      <c r="V226" s="89" t="n"/>
      <c r="W226" s="89" t="n"/>
      <c r="X226" s="89" t="n"/>
      <c r="Y226" s="89" t="n"/>
      <c r="Z226" s="89" t="n"/>
      <c r="AA226" s="89" t="n"/>
    </row>
    <row r="227">
      <c r="A227" s="90" t="inlineStr">
        <is>
          <t>Hồ Thái Minh Trí</t>
        </is>
      </c>
      <c r="B227" s="48" t="inlineStr">
        <is>
          <t>Phiếu GHTT tháng T+1</t>
        </is>
      </c>
      <c r="C227" s="68" t="n">
        <v>18</v>
      </c>
      <c r="D227" s="85">
        <f>SUMIFS(DuLieu!$L$1912:$L$13958,DuLieu!$B$1912:$B$103958,$A227,DuLieu!$U$1912:$U$103958,"&gt;=1", DuLieu!$U$1912:$U$103958,"&lt;=7",DuLieu!$W$1912:$W$103958,$R227)</f>
        <v/>
      </c>
      <c r="E227" s="85">
        <f>IF(C227&gt;=D227,C227-D227,0)</f>
        <v/>
      </c>
      <c r="F227" s="65" t="n">
        <v>18</v>
      </c>
      <c r="G227" s="85">
        <f>SUMIFS(DuLieu!$L$1912:$L$13958,DuLieu!$B$1912:$B$103958,$A227,DuLieu!$U$1912:$U$103958,"&gt;=8", DuLieu!$U$1912:$U$103958,"&lt;=14",DuLieu!$W$1912:$W$103958,$R227)</f>
        <v/>
      </c>
      <c r="H227" s="85">
        <f>IF(F227&gt;=G227,F227-G227,0)</f>
        <v/>
      </c>
      <c r="I227" s="72" t="n"/>
      <c r="J227" s="85">
        <f>SUMIFS(DuLieu!$L$1912:$L$13958,DuLieu!$B$1912:$B$103958,$A227,DuLieu!$U$1912:$U$103958,"&gt;=15", DuLieu!$U$1912:$U$103958,"&lt;=21",DuLieu!$W$1912:$W$103958,$R227)</f>
        <v/>
      </c>
      <c r="K227" s="85">
        <f>IF(I227&gt;=J227,I227-J227,0)</f>
        <v/>
      </c>
      <c r="L227" s="73" t="n"/>
      <c r="M227" s="85">
        <f>SUMIFS(DuLieu!$D$1912:$D$103958,DuLieu!$B$1912:$B$103958,$A227,DuLieu!$U$1912:$U$103958,"&gt;=1", DuLieu!$U$1912:$U$103958,"&lt;=7",DuLieu!$W$1912:$W$103958,$R227)</f>
        <v/>
      </c>
      <c r="N227" s="85">
        <f>IF(L227&gt;=M227,L227-M227,0)</f>
        <v/>
      </c>
      <c r="O227" s="85" t="n">
        <v>1</v>
      </c>
      <c r="P227" s="85">
        <f>$D227+$G227+$J227+$M227</f>
        <v/>
      </c>
      <c r="Q227" s="85">
        <f>IF(O227&gt;=P227,O227-P227,0)</f>
        <v/>
      </c>
      <c r="R227" s="80" t="n">
        <v>11</v>
      </c>
      <c r="S227" s="89" t="n"/>
      <c r="T227" s="89" t="n"/>
      <c r="U227" s="89" t="n"/>
      <c r="V227" s="89" t="n"/>
      <c r="W227" s="89" t="n"/>
      <c r="X227" s="89" t="n"/>
      <c r="Y227" s="89" t="n"/>
      <c r="Z227" s="89" t="n"/>
      <c r="AA227" s="89" t="n"/>
    </row>
    <row r="228" ht="14.25" customHeight="1" s="117">
      <c r="A228" s="91" t="inlineStr">
        <is>
          <t>Bùi Duy Cường</t>
        </is>
      </c>
      <c r="B228" s="58" t="inlineStr">
        <is>
          <t>Tiếp thị DV Fiber</t>
        </is>
      </c>
      <c r="C228" s="68" t="n">
        <v>2</v>
      </c>
      <c r="D228" s="87">
        <f>SUMIFS(DuLieu!$D$1912:$D$13958,DuLieu!$B$1912:$B$103958,$A228,DuLieu!$U$1912:$U$103958,"&gt;=1", DuLieu!$U$1912:$U$103958,"&lt;=7",DuLieu!$W$1912:$W$103958,$R228)</f>
        <v/>
      </c>
      <c r="E228" s="87">
        <f>IF(C228&gt;=D228,C228-D228,0)</f>
        <v/>
      </c>
      <c r="F228" s="65" t="n">
        <v>1</v>
      </c>
      <c r="G228" s="87">
        <f>SUMIFS(DuLieu!$D$1912:$D$13958,DuLieu!$B$1912:$B$103958,$A228,DuLieu!$U$1912:$U$103958,"&gt;=8", DuLieu!$U$1912:$U$103958,"&lt;=14",DuLieu!$W$1912:$W$103958,$R228)</f>
        <v/>
      </c>
      <c r="H228" s="87">
        <f>IF(F228&gt;=G228,F228-G228,0)</f>
        <v/>
      </c>
      <c r="I228" s="78" t="n">
        <v>1</v>
      </c>
      <c r="J228" s="86">
        <f>SUMIFS(DuLieu!$D$1912:$D$13958,DuLieu!$B$1912:$B$103958,$A228,DuLieu!$U$1912:$U$103958,"&gt;=15", DuLieu!$U$1912:$U$103958,"&lt;=21",DuLieu!$W$1912:$W$103958,$R228)</f>
        <v/>
      </c>
      <c r="K228" s="87">
        <f>IF(I228&gt;=J228,I228-J228,0)</f>
        <v/>
      </c>
      <c r="L228" s="68" t="n">
        <v>1</v>
      </c>
      <c r="M228" s="87">
        <f>SUMIFS(DuLieu!$D$1912:$D$103958,DuLieu!$B$1912:$B$103958,$A228,DuLieu!$U$1912:$U$103958,"&gt;=1", DuLieu!$U$1912:$U$103958,"&lt;=7",DuLieu!$W$1912:$W$103958,$R228)</f>
        <v/>
      </c>
      <c r="N228" s="87">
        <f>IF(L228&gt;=M228,L228-M228,0)</f>
        <v/>
      </c>
      <c r="O228" s="87" t="n">
        <v>4</v>
      </c>
      <c r="P228" s="87">
        <f>$D228+$G228+$J228+$M228</f>
        <v/>
      </c>
      <c r="Q228" s="87">
        <f>IF(O228&gt;=P228,O228-P228,0)</f>
        <v/>
      </c>
      <c r="R228" s="77" t="n">
        <v>11</v>
      </c>
      <c r="S228" s="91" t="n"/>
      <c r="T228" s="91" t="n"/>
      <c r="U228" s="91" t="n"/>
      <c r="V228" s="91" t="n"/>
      <c r="W228" s="91" t="n"/>
      <c r="X228" s="91" t="n"/>
      <c r="Y228" s="91" t="n"/>
      <c r="Z228" s="91" t="n"/>
      <c r="AA228" s="91" t="n"/>
    </row>
    <row r="229" ht="14.25" customHeight="1" s="117">
      <c r="A229" s="91" t="inlineStr">
        <is>
          <t>Bùi Duy Cường</t>
        </is>
      </c>
      <c r="B229" s="58" t="inlineStr">
        <is>
          <t>Tiếp thị DV MyTV</t>
        </is>
      </c>
      <c r="C229" s="68" t="n">
        <v>1</v>
      </c>
      <c r="D229" s="87">
        <f>SUMIFS(DuLieu!$E$1912:$E$13958,DuLieu!$B$1912:$B$103958,$A229,DuLieu!$U$1912:$U$103958,"&gt;=1", DuLieu!$U$1912:$U$103958,"&lt;=7",DuLieu!$W$1912:$W$103958,$R229)</f>
        <v/>
      </c>
      <c r="E229" s="87">
        <f>IF(C229&gt;=D229,C229-D229,0)</f>
        <v/>
      </c>
      <c r="F229" s="65" t="n">
        <v>1</v>
      </c>
      <c r="G229" s="87">
        <f>SUMIFS(DuLieu!$E$1912:$E$13958,DuLieu!$B$1912:$B$103958,$A229,DuLieu!$U$1912:$U$103958,"&gt;=8", DuLieu!$U$1912:$U$103958,"&lt;=14",DuLieu!$W$1912:$W$103958,$R229)</f>
        <v/>
      </c>
      <c r="H229" s="87">
        <f>IF(F229&gt;=G229,F229-G229,0)</f>
        <v/>
      </c>
      <c r="I229" s="78" t="n">
        <v>1</v>
      </c>
      <c r="J229" s="86">
        <f>SUMIFS(DuLieu!$E$1912:$E$13958,DuLieu!$B$1912:$B$103958,$A229,DuLieu!$U$1912:$U$103958,"&gt;=15", DuLieu!$U$1912:$U$103958,"&lt;=21",DuLieu!$W$1912:$W$103958,$R229)</f>
        <v/>
      </c>
      <c r="K229" s="87">
        <f>IF(I229&gt;=J229,I229-J229,0)</f>
        <v/>
      </c>
      <c r="L229" s="68" t="n">
        <v>1</v>
      </c>
      <c r="M229" s="87">
        <f>SUMIFS(DuLieu!$D$1912:$D$103958,DuLieu!$B$1912:$B$103958,$A229,DuLieu!$U$1912:$U$103958,"&gt;=1", DuLieu!$U$1912:$U$103958,"&lt;=7",DuLieu!$W$1912:$W$103958,$R229)</f>
        <v/>
      </c>
      <c r="N229" s="87">
        <f>IF(L229&gt;=M229,L229-M229,0)</f>
        <v/>
      </c>
      <c r="O229" s="87" t="n">
        <v>5</v>
      </c>
      <c r="P229" s="87">
        <f>$D229+$G229+$J229+$M229</f>
        <v/>
      </c>
      <c r="Q229" s="87">
        <f>IF(O229&gt;=P229,O229-P229,0)</f>
        <v/>
      </c>
      <c r="R229" s="77" t="n">
        <v>11</v>
      </c>
      <c r="S229" s="91" t="n"/>
      <c r="T229" s="91" t="n"/>
      <c r="U229" s="91" t="n"/>
      <c r="V229" s="91" t="n"/>
      <c r="W229" s="91" t="n"/>
      <c r="X229" s="91" t="n"/>
      <c r="Y229" s="91" t="n"/>
      <c r="Z229" s="91" t="n"/>
      <c r="AA229" s="91" t="n"/>
    </row>
    <row r="230" ht="14.25" customHeight="1" s="117">
      <c r="A230" s="91" t="inlineStr">
        <is>
          <t>Bùi Duy Cường</t>
        </is>
      </c>
      <c r="B230" s="58" t="inlineStr">
        <is>
          <t>Tiếp thị DV Camera/Mesh</t>
        </is>
      </c>
      <c r="C230" s="68" t="n">
        <v>1</v>
      </c>
      <c r="D230" s="87">
        <f>SUMIFS(DuLieu!$F$1912:$F$13958,DuLieu!$B$1912:$B$103958,$A230,DuLieu!$U$1912:$U$103958,"&gt;=1", DuLieu!$U$1912:$U$103958,"&lt;=7",DuLieu!$W$1912:$W$103958,$R230)</f>
        <v/>
      </c>
      <c r="E230" s="87">
        <f>IF(C230&gt;=D230,C230-D230,0)</f>
        <v/>
      </c>
      <c r="F230" s="65" t="n">
        <v>1</v>
      </c>
      <c r="G230" s="87">
        <f>SUMIFS(DuLieu!$F$1912:$F$13958,DuLieu!$B$1912:$B$103958,$A230,DuLieu!$U$1912:$U$103958,"&gt;=8", DuLieu!$U$1912:$U$103958,"&lt;=14",DuLieu!$W$1912:$W$103958,$R230)</f>
        <v/>
      </c>
      <c r="H230" s="87">
        <f>IF(F230&gt;=G230,F230-G230,0)</f>
        <v/>
      </c>
      <c r="I230" s="78" t="n">
        <v>1</v>
      </c>
      <c r="J230" s="86">
        <f>SUMIFS(DuLieu!$F$1912:$F$13958,DuLieu!$B$1912:$B$103958,$A230,DuLieu!$U$1912:$U$103958,"&gt;=15", DuLieu!$U$1912:$U$103958,"&lt;=21",DuLieu!$W$1912:$W$103958,$R230)</f>
        <v/>
      </c>
      <c r="K230" s="87">
        <f>IF(I230&gt;=J230,I230-J230,0)</f>
        <v/>
      </c>
      <c r="L230" s="73" t="n"/>
      <c r="M230" s="87">
        <f>SUMIFS(DuLieu!$D$1912:$D$103958,DuLieu!$B$1912:$B$103958,$A230,DuLieu!$U$1912:$U$103958,"&gt;=1", DuLieu!$U$1912:$U$103958,"&lt;=7",DuLieu!$W$1912:$W$103958,$R230)</f>
        <v/>
      </c>
      <c r="N230" s="87">
        <f>IF(L230&gt;=M230,L230-M230,0)</f>
        <v/>
      </c>
      <c r="O230" s="87" t="n">
        <v>6</v>
      </c>
      <c r="P230" s="87">
        <f>$D230+$G230+$J230+$M230</f>
        <v/>
      </c>
      <c r="Q230" s="87">
        <f>IF(O230&gt;=P230,O230-P230,0)</f>
        <v/>
      </c>
      <c r="R230" s="77" t="n">
        <v>11</v>
      </c>
      <c r="S230" s="91" t="n"/>
      <c r="T230" s="91" t="n"/>
      <c r="U230" s="91" t="n"/>
      <c r="V230" s="91" t="n"/>
      <c r="W230" s="91" t="n"/>
      <c r="X230" s="91" t="n"/>
      <c r="Y230" s="91" t="n"/>
      <c r="Z230" s="91" t="n"/>
      <c r="AA230" s="91" t="n"/>
    </row>
    <row r="231" ht="15" customHeight="1" s="117">
      <c r="A231" s="91" t="inlineStr">
        <is>
          <t>Bùi Duy Cường</t>
        </is>
      </c>
      <c r="B231" s="58" t="inlineStr">
        <is>
          <t>Tạm ngưng Fiber</t>
        </is>
      </c>
      <c r="C231" s="73" t="n"/>
      <c r="D231" s="87">
        <f>SUMIFS(DuLieu!$G$1912:$G$13958,DuLieu!$B$1912:$B$103958,$A231,DuLieu!$U$1912:$U$103958,"&gt;=1", DuLieu!$U$1912:$U$103958,"&lt;=7",DuLieu!$W$1912:$W$103958,$R231)</f>
        <v/>
      </c>
      <c r="E231" s="87">
        <f>IF(C231&gt;=D231,C231-D231,0)</f>
        <v/>
      </c>
      <c r="F231" s="59" t="n"/>
      <c r="G231" s="87">
        <f>SUMIFS(DuLieu!$G$1912:$G$13958,DuLieu!$B$1912:$B$103958,D231,DuLieu!$U$1912:$U$103958,"&gt;=8", DuLieu!$U$1912:$U$103958,"&lt;=14",DuLieu!$W$1912:$W$103958,$R231)</f>
        <v/>
      </c>
      <c r="H231" s="87">
        <f>IF(F231&gt;=G231,F231-G231,0)</f>
        <v/>
      </c>
      <c r="I231" s="72" t="n"/>
      <c r="J231" s="86">
        <f>SUMIFS(DuLieu!$G$1912:$G$13958,DuLieu!$B$1912:$B$103958,$A231,DuLieu!$U$1912:$U$103958,"&gt;=15", DuLieu!$U$1912:$U$103958,"&lt;=21",DuLieu!$W$1912:$W$103958,$R231)</f>
        <v/>
      </c>
      <c r="K231" s="87">
        <f>IF(I231&gt;=J231,I231-J231,0)</f>
        <v/>
      </c>
      <c r="L231" s="73" t="n"/>
      <c r="M231" s="87">
        <f>SUMIFS(DuLieu!$D$1912:$D$103958,DuLieu!$B$1912:$B$103958,$A231,DuLieu!$U$1912:$U$103958,"&gt;=1", DuLieu!$U$1912:$U$103958,"&lt;=7",DuLieu!$W$1912:$W$103958,$R231)</f>
        <v/>
      </c>
      <c r="N231" s="87">
        <f>IF(L231&gt;=M231,L231-M231,0)</f>
        <v/>
      </c>
      <c r="O231" s="87" t="n">
        <v>4</v>
      </c>
      <c r="P231" s="87">
        <f>$D231+$G231+$J231+$M231</f>
        <v/>
      </c>
      <c r="Q231" s="87">
        <f>IF(O231&gt;=P231,O231-P231,0)</f>
        <v/>
      </c>
      <c r="R231" s="77" t="n">
        <v>11</v>
      </c>
      <c r="S231" s="91" t="n"/>
      <c r="T231" s="91" t="n"/>
      <c r="U231" s="91" t="n"/>
      <c r="V231" s="91" t="n"/>
      <c r="W231" s="91" t="n"/>
      <c r="X231" s="91" t="n"/>
      <c r="Y231" s="91" t="n"/>
      <c r="Z231" s="91" t="n"/>
      <c r="AA231" s="91" t="n"/>
    </row>
    <row r="232" ht="15" customHeight="1" s="117">
      <c r="A232" s="91" t="inlineStr">
        <is>
          <t>Bùi Duy Cường</t>
        </is>
      </c>
      <c r="B232" s="58" t="inlineStr">
        <is>
          <t>Tạm ngưng Mytv</t>
        </is>
      </c>
      <c r="C232" s="73" t="n"/>
      <c r="D232" s="87">
        <f>SUMIFS(DuLieu!$H$1912:$H$13958,DuLieu!$B$1912:$B$103958,$A232,DuLieu!$U$1912:$U$103958,"&gt;=1", DuLieu!$U$1912:$U$103958,"&lt;=7",DuLieu!$W$1912:$W$103958,$R232)</f>
        <v/>
      </c>
      <c r="E232" s="87">
        <f>IF(C232&gt;=D232,C232-D232,0)</f>
        <v/>
      </c>
      <c r="F232" s="59" t="n"/>
      <c r="G232" s="87">
        <f>SUMIFS(DuLieu!$H$1912:$H$13958,DuLieu!$B$1912:$B$103958,$A232,DuLieu!$U$1912:$U$103958,"&gt;=8", DuLieu!$U$1912:$U$103958,"&lt;=14",DuLieu!$W$1912:$W$103958,$R232)</f>
        <v/>
      </c>
      <c r="H232" s="87">
        <f>IF(F232&gt;=G232,F232-G232,0)</f>
        <v/>
      </c>
      <c r="I232" s="72" t="n"/>
      <c r="J232" s="86">
        <f>SUMIFS(DuLieu!$H$1912:$H$13958,DuLieu!$B$1912:$B$103958,$A232,DuLieu!$U$1912:$U$103958,"&gt;=15", DuLieu!$U$1912:$U$103958,"&lt;=21",DuLieu!$W$1912:$W$103958,$R232)</f>
        <v/>
      </c>
      <c r="K232" s="87">
        <f>IF(I232&gt;=J232,I232-J232,0)</f>
        <v/>
      </c>
      <c r="L232" s="73" t="n"/>
      <c r="M232" s="87">
        <f>SUMIFS(DuLieu!$D$1912:$D$103958,DuLieu!$B$1912:$B$103958,$A232,DuLieu!$U$1912:$U$103958,"&gt;=1", DuLieu!$U$1912:$U$103958,"&lt;=7",DuLieu!$W$1912:$W$103958,$R232)</f>
        <v/>
      </c>
      <c r="N232" s="87">
        <f>IF(L232&gt;=M232,L232-M232,0)</f>
        <v/>
      </c>
      <c r="O232" s="87" t="n">
        <v>2</v>
      </c>
      <c r="P232" s="87">
        <f>$D232+$G232+$J232+$M232</f>
        <v/>
      </c>
      <c r="Q232" s="87">
        <f>IF(O232&gt;=P232,O232-P232,0)</f>
        <v/>
      </c>
      <c r="R232" s="77" t="n">
        <v>11</v>
      </c>
      <c r="S232" s="91" t="n"/>
      <c r="T232" s="91" t="n"/>
      <c r="U232" s="91" t="n"/>
      <c r="V232" s="91" t="n"/>
      <c r="W232" s="91" t="n"/>
      <c r="X232" s="91" t="n"/>
      <c r="Y232" s="91" t="n"/>
      <c r="Z232" s="91" t="n"/>
      <c r="AA232" s="91" t="n"/>
    </row>
    <row r="233" ht="15" customHeight="1" s="117">
      <c r="A233" s="91" t="inlineStr">
        <is>
          <t>Bùi Duy Cường</t>
        </is>
      </c>
      <c r="B233" s="58" t="inlineStr">
        <is>
          <t>Thay thế ONT 2 băng tần</t>
        </is>
      </c>
      <c r="C233" s="73" t="n"/>
      <c r="D233" s="87">
        <f>SUMIFS(DuLieu!$I$1912:$I$13958,DuLieu!$B$1912:$B$103958,$A233,DuLieu!$U$1912:$U$103958,"&gt;=1", DuLieu!$U$1912:$U$103958,"&lt;=7",DuLieu!$W$1912:$W$103958,$R233)</f>
        <v/>
      </c>
      <c r="E233" s="87">
        <f>IF(C233&gt;=D233,C233-D233,0)</f>
        <v/>
      </c>
      <c r="F233" s="59" t="n"/>
      <c r="G233" s="87">
        <f>SUMIFS(DuLieu!$I$1912:$I$13958,DuLieu!$B$1912:$B$103958,$A233,DuLieu!$U$1912:$U$103958,"&gt;=8", DuLieu!$U$1912:$U$103958,"&lt;=14",DuLieu!$W$1912:$W$103958,$R233)</f>
        <v/>
      </c>
      <c r="H233" s="87">
        <f>IF(F233&gt;=G233,F233-G233,0)</f>
        <v/>
      </c>
      <c r="I233" s="72" t="n"/>
      <c r="J233" s="86">
        <f>SUMIFS(DuLieu!$I$1912:$I$13958,DuLieu!$B$1912:$B$103958,$A233,DuLieu!$U$1912:$U$103958,"&gt;=15", DuLieu!$U$1912:$U$103958,"&lt;=21",DuLieu!$W$1912:$W$103958,$R233)</f>
        <v/>
      </c>
      <c r="K233" s="87">
        <f>IF(I233&gt;=J233,I233-J233,0)</f>
        <v/>
      </c>
      <c r="L233" s="73" t="n"/>
      <c r="M233" s="87">
        <f>SUMIFS(DuLieu!$D$1912:$D$103958,DuLieu!$B$1912:$B$103958,$A233,DuLieu!$U$1912:$U$103958,"&gt;=1", DuLieu!$U$1912:$U$103958,"&lt;=7",DuLieu!$W$1912:$W$103958,$R233)</f>
        <v/>
      </c>
      <c r="N233" s="87">
        <f>IF(L233&gt;=M233,L233-M233,0)</f>
        <v/>
      </c>
      <c r="O233" s="87" t="n">
        <v>40</v>
      </c>
      <c r="P233" s="87">
        <f>$D233+$G233+$J233+$M233</f>
        <v/>
      </c>
      <c r="Q233" s="87">
        <f>IF(O233&gt;=P233,O233-P233,0)</f>
        <v/>
      </c>
      <c r="R233" s="77" t="n">
        <v>11</v>
      </c>
      <c r="S233" s="91" t="n"/>
      <c r="T233" s="91" t="n"/>
      <c r="U233" s="91" t="n"/>
      <c r="V233" s="91" t="n"/>
      <c r="W233" s="91" t="n"/>
      <c r="X233" s="91" t="n"/>
      <c r="Y233" s="91" t="n"/>
      <c r="Z233" s="91" t="n"/>
      <c r="AA233" s="91" t="n"/>
    </row>
    <row r="234" ht="15" customHeight="1" s="117">
      <c r="A234" s="91" t="inlineStr">
        <is>
          <t>Bùi Duy Cường</t>
        </is>
      </c>
      <c r="B234" s="58" t="inlineStr">
        <is>
          <t>CSKH HVC chuyển XGSPON</t>
        </is>
      </c>
      <c r="C234" s="73" t="n"/>
      <c r="D234" s="87">
        <f>SUMIFS(DuLieu!$J$1912:$J$13958,DuLieu!$B$1912:$B$103958,$A234,DuLieu!$U$1912:$U$103958,"&gt;=1", DuLieu!$U$1912:$U$103958,"&lt;=7",DuLieu!$W$1912:$W$103958,$R234)</f>
        <v/>
      </c>
      <c r="E234" s="87">
        <f>IF(C234&gt;=D234,C234-D234,0)</f>
        <v/>
      </c>
      <c r="F234" s="59" t="n"/>
      <c r="G234" s="87">
        <f>SUMIFS(DuLieu!$J$1912:$J$13958,DuLieu!$B$1912:$B$103958,$A234,DuLieu!$U$1912:$U$103958,"&gt;=8", DuLieu!$U$1912:$U$103958,"&lt;=14",DuLieu!$W$1912:$W$103958,$R234)</f>
        <v/>
      </c>
      <c r="H234" s="87">
        <f>IF(F234&gt;=G234,F234-G234,0)</f>
        <v/>
      </c>
      <c r="I234" s="72" t="n"/>
      <c r="J234" s="86">
        <f>SUMIFS(DuLieu!$J$1912:$J$13958,DuLieu!$B$1912:$B$103958,$A234,DuLieu!$U$1912:$U$103958,"&gt;=15", DuLieu!$U$1912:$U$103958,"&lt;=21",DuLieu!$W$1912:$W$103958,$R234)</f>
        <v/>
      </c>
      <c r="K234" s="87">
        <f>IF(I234&gt;=J234,I234-J234,0)</f>
        <v/>
      </c>
      <c r="L234" s="73" t="n"/>
      <c r="M234" s="87">
        <f>SUMIFS(DuLieu!$D$1912:$D$103958,DuLieu!$B$1912:$B$103958,$A234,DuLieu!$U$1912:$U$103958,"&gt;=1", DuLieu!$U$1912:$U$103958,"&lt;=7",DuLieu!$W$1912:$W$103958,$R234)</f>
        <v/>
      </c>
      <c r="N234" s="87">
        <f>IF(L234&gt;=M234,L234-M234,0)</f>
        <v/>
      </c>
      <c r="O234" s="87" t="n">
        <v>20</v>
      </c>
      <c r="P234" s="87">
        <f>$D234+$G234+$J234+$M234</f>
        <v/>
      </c>
      <c r="Q234" s="87">
        <f>IF(O234&gt;=P234,O234-P234,0)</f>
        <v/>
      </c>
      <c r="R234" s="77" t="n">
        <v>11</v>
      </c>
      <c r="S234" s="91" t="n"/>
      <c r="T234" s="91" t="n"/>
      <c r="U234" s="91" t="n"/>
      <c r="V234" s="91" t="n"/>
      <c r="W234" s="91" t="n"/>
      <c r="X234" s="91" t="n"/>
      <c r="Y234" s="91" t="n"/>
      <c r="Z234" s="91" t="n"/>
      <c r="AA234" s="91" t="n"/>
    </row>
    <row r="235" ht="14.25" customHeight="1" s="117">
      <c r="A235" s="91" t="inlineStr">
        <is>
          <t>Bùi Duy Cường</t>
        </is>
      </c>
      <c r="B235" s="58" t="inlineStr">
        <is>
          <t>Phiếu GHTT tháng T</t>
        </is>
      </c>
      <c r="C235" s="68" t="n">
        <v>100</v>
      </c>
      <c r="D235" s="87">
        <f>SUMIFS(DuLieu!$K$1912:$K$13958,DuLieu!$B$1912:$B$103958,$A235,DuLieu!$U$1912:$U$103958,"&gt;=1", DuLieu!$U$1912:$U$103958,"&lt;=7",DuLieu!$W$1912:$W$103958,$R235)</f>
        <v/>
      </c>
      <c r="E235" s="87">
        <f>IF(C235&gt;=D235,C235-D235,0)</f>
        <v/>
      </c>
      <c r="F235" s="65" t="n">
        <v>100</v>
      </c>
      <c r="G235" s="87">
        <f>SUMIFS(DuLieu!$K$1912:$K$13958,DuLieu!$B$1912:$B$103958,$A235,DuLieu!$U$1912:$U$103958,"&gt;=8", DuLieu!$U$1912:$U$103958,"&lt;=14",DuLieu!$W$1912:$W$103958,$R235)</f>
        <v/>
      </c>
      <c r="H235" s="87">
        <f>IF(F235&gt;=G235,F235-G235,0)</f>
        <v/>
      </c>
      <c r="I235" s="78" t="n">
        <v>100</v>
      </c>
      <c r="J235" s="86">
        <f>SUMIFS(DuLieu!$K$1912:$K$13958,DuLieu!$B$1912:$B$103958,$A235,DuLieu!$U$1912:$U$103958,"&gt;=15", DuLieu!$U$1912:$U$103958,"&lt;=21",DuLieu!$W$1912:$W$103958,$R235)</f>
        <v/>
      </c>
      <c r="K235" s="87">
        <f>IF(I235&gt;=J235,I235-J235,0)</f>
        <v/>
      </c>
      <c r="L235" s="68" t="n">
        <v>99</v>
      </c>
      <c r="M235" s="87">
        <f>SUMIFS(DuLieu!$D$1912:$D$103958,DuLieu!$B$1912:$B$103958,$A235,DuLieu!$U$1912:$U$103958,"&gt;=1", DuLieu!$U$1912:$U$103958,"&lt;=7",DuLieu!$W$1912:$W$103958,$R235)</f>
        <v/>
      </c>
      <c r="N235" s="87">
        <f>IF(L235&gt;=M235,L235-M235,0)</f>
        <v/>
      </c>
      <c r="O235" s="87" t="n">
        <v>150</v>
      </c>
      <c r="P235" s="87">
        <f>$D235+$G235+$J235+$M235</f>
        <v/>
      </c>
      <c r="Q235" s="87">
        <f>IF(O235&gt;=P235,O235-P235,0)</f>
        <v/>
      </c>
      <c r="R235" s="77" t="n">
        <v>11</v>
      </c>
      <c r="S235" s="91" t="n"/>
      <c r="T235" s="91" t="n"/>
      <c r="U235" s="91" t="n"/>
      <c r="V235" s="91" t="n"/>
      <c r="W235" s="91" t="n"/>
      <c r="X235" s="91" t="n"/>
      <c r="Y235" s="91" t="n"/>
      <c r="Z235" s="91" t="n"/>
      <c r="AA235" s="91" t="n"/>
    </row>
    <row r="236" ht="14.25" customHeight="1" s="117">
      <c r="A236" s="91" t="inlineStr">
        <is>
          <t>Bùi Duy Cường</t>
        </is>
      </c>
      <c r="B236" s="58" t="inlineStr">
        <is>
          <t>Phiếu GHTT tháng T+1</t>
        </is>
      </c>
      <c r="C236" s="68" t="n">
        <v>22</v>
      </c>
      <c r="D236" s="87">
        <f>SUMIFS(DuLieu!$L$1912:$L$13958,DuLieu!$B$1912:$B$103958,$A236,DuLieu!$U$1912:$U$103958,"&gt;=1", DuLieu!$U$1912:$U$103958,"&lt;=7",DuLieu!$W$1912:$W$103958,$R236)</f>
        <v/>
      </c>
      <c r="E236" s="87">
        <f>IF(C236&gt;=D236,C236-D236,0)</f>
        <v/>
      </c>
      <c r="F236" s="65" t="n">
        <v>22</v>
      </c>
      <c r="G236" s="87">
        <f>SUMIFS(DuLieu!$L$1912:$L$13958,DuLieu!$B$1912:$B$103958,$A236,DuLieu!$U$1912:$U$103958,"&gt;=8", DuLieu!$U$1912:$U$103958,"&lt;=14",DuLieu!$W$1912:$W$103958,$R236)</f>
        <v/>
      </c>
      <c r="H236" s="87">
        <f>IF(F236&gt;=G236,F236-G236,0)</f>
        <v/>
      </c>
      <c r="I236" s="72" t="n"/>
      <c r="J236" s="86">
        <f>SUMIFS(DuLieu!$L$1912:$L$13958,DuLieu!$B$1912:$B$103958,$A236,DuLieu!$U$1912:$U$103958,"&gt;=15", DuLieu!$U$1912:$U$103958,"&lt;=21",DuLieu!$W$1912:$W$103958,$R236)</f>
        <v/>
      </c>
      <c r="K236" s="87">
        <f>IF(I236&gt;=J236,I236-J236,0)</f>
        <v/>
      </c>
      <c r="L236" s="73" t="n"/>
      <c r="M236" s="87">
        <f>SUMIFS(DuLieu!$D$1912:$D$103958,DuLieu!$B$1912:$B$103958,$A236,DuLieu!$U$1912:$U$103958,"&gt;=1", DuLieu!$U$1912:$U$103958,"&lt;=7",DuLieu!$W$1912:$W$103958,$R236)</f>
        <v/>
      </c>
      <c r="N236" s="87">
        <f>IF(L236&gt;=M236,L236-M236,0)</f>
        <v/>
      </c>
      <c r="O236" s="87" t="n">
        <v>1</v>
      </c>
      <c r="P236" s="87">
        <f>$D236+$G236+$J236+$M236</f>
        <v/>
      </c>
      <c r="Q236" s="87">
        <f>IF(O236&gt;=P236,O236-P236,0)</f>
        <v/>
      </c>
      <c r="R236" s="77" t="n">
        <v>11</v>
      </c>
      <c r="S236" s="91" t="n"/>
      <c r="T236" s="91" t="n"/>
      <c r="U236" s="91" t="n"/>
      <c r="V236" s="91" t="n"/>
      <c r="W236" s="91" t="n"/>
      <c r="X236" s="91" t="n"/>
      <c r="Y236" s="91" t="n"/>
      <c r="Z236" s="91" t="n"/>
      <c r="AA236" s="91" t="n"/>
    </row>
    <row r="237" ht="12.75" customHeight="1" s="117">
      <c r="A237" s="91" t="n"/>
      <c r="B237" s="91" t="n"/>
      <c r="C237" s="91" t="n"/>
      <c r="D237" s="91" t="n"/>
      <c r="E237" s="91" t="n"/>
      <c r="F237" s="91" t="n"/>
      <c r="G237" s="91" t="n"/>
      <c r="H237" s="91" t="n"/>
      <c r="I237" s="91" t="n"/>
      <c r="J237" s="91" t="n"/>
      <c r="K237" s="91" t="n"/>
      <c r="L237" s="91" t="n"/>
      <c r="M237" s="91" t="n"/>
      <c r="N237" s="91" t="n"/>
      <c r="O237" s="91" t="n"/>
      <c r="P237" s="91" t="n"/>
      <c r="Q237" s="91" t="n"/>
      <c r="R237" s="91" t="n"/>
      <c r="S237" s="91" t="n"/>
      <c r="T237" s="91" t="n"/>
      <c r="U237" s="91" t="n"/>
      <c r="V237" s="91" t="n"/>
      <c r="W237" s="91" t="n"/>
      <c r="X237" s="91" t="n"/>
      <c r="Y237" s="91" t="n"/>
      <c r="Z237" s="91" t="n"/>
      <c r="AA237" s="91" t="n"/>
    </row>
    <row r="238" ht="12.75" customHeight="1" s="117">
      <c r="A238" s="91" t="n"/>
      <c r="B238" s="91" t="n"/>
      <c r="C238" s="91" t="n"/>
      <c r="D238" s="91" t="n"/>
      <c r="E238" s="91" t="n"/>
      <c r="F238" s="91" t="n"/>
      <c r="G238" s="91" t="n"/>
      <c r="H238" s="91" t="n"/>
      <c r="I238" s="91" t="n"/>
      <c r="J238" s="91" t="n"/>
      <c r="K238" s="91" t="n"/>
      <c r="L238" s="91" t="n"/>
      <c r="M238" s="91" t="n"/>
      <c r="N238" s="91" t="n"/>
      <c r="O238" s="91" t="n"/>
      <c r="P238" s="91" t="n"/>
      <c r="Q238" s="91" t="n"/>
      <c r="R238" s="91" t="n"/>
      <c r="S238" s="91" t="n"/>
      <c r="T238" s="91" t="n"/>
      <c r="U238" s="91" t="n"/>
      <c r="V238" s="91" t="n"/>
      <c r="W238" s="91" t="n"/>
      <c r="X238" s="91" t="n"/>
      <c r="Y238" s="91" t="n"/>
      <c r="Z238" s="91" t="n"/>
      <c r="AA238" s="91" t="n"/>
    </row>
    <row r="239" ht="12.75" customHeight="1" s="117">
      <c r="A239" s="91" t="n"/>
      <c r="B239" s="91" t="n"/>
      <c r="C239" s="91" t="n"/>
      <c r="D239" s="91" t="n"/>
      <c r="E239" s="91" t="n"/>
      <c r="F239" s="91" t="n"/>
      <c r="G239" s="91" t="n"/>
      <c r="H239" s="91" t="n"/>
      <c r="I239" s="91" t="n"/>
      <c r="J239" s="91" t="n"/>
      <c r="K239" s="91" t="n"/>
      <c r="L239" s="91" t="n"/>
      <c r="M239" s="91" t="n"/>
      <c r="N239" s="91" t="n"/>
      <c r="O239" s="91" t="n"/>
      <c r="P239" s="91" t="n"/>
      <c r="Q239" s="91" t="n"/>
      <c r="R239" s="91" t="n"/>
      <c r="S239" s="91" t="n"/>
      <c r="T239" s="91" t="n"/>
      <c r="U239" s="91" t="n"/>
      <c r="V239" s="91" t="n"/>
      <c r="W239" s="91" t="n"/>
      <c r="X239" s="91" t="n"/>
      <c r="Y239" s="91" t="n"/>
      <c r="Z239" s="91" t="n"/>
      <c r="AA239" s="91" t="n"/>
    </row>
    <row r="240" ht="12.75" customHeight="1" s="117">
      <c r="A240" s="91" t="n"/>
      <c r="B240" s="91" t="n"/>
      <c r="C240" s="91" t="n"/>
      <c r="D240" s="91" t="n"/>
      <c r="E240" s="91" t="n"/>
      <c r="F240" s="91" t="n"/>
      <c r="G240" s="91" t="n"/>
      <c r="H240" s="91" t="n"/>
      <c r="I240" s="91" t="n"/>
      <c r="J240" s="91" t="n"/>
      <c r="K240" s="91" t="n"/>
      <c r="L240" s="91" t="n"/>
      <c r="M240" s="91" t="n"/>
      <c r="N240" s="91" t="n"/>
      <c r="O240" s="91" t="n"/>
      <c r="P240" s="91" t="n"/>
      <c r="Q240" s="91" t="n"/>
      <c r="R240" s="91" t="n"/>
      <c r="S240" s="91" t="n"/>
      <c r="T240" s="91" t="n"/>
      <c r="U240" s="91" t="n"/>
      <c r="V240" s="91" t="n"/>
      <c r="W240" s="91" t="n"/>
      <c r="X240" s="91" t="n"/>
      <c r="Y240" s="91" t="n"/>
      <c r="Z240" s="91" t="n"/>
      <c r="AA240" s="91" t="n"/>
    </row>
    <row r="241" ht="12.75" customHeight="1" s="117">
      <c r="A241" s="91" t="n"/>
      <c r="B241" s="91" t="n"/>
      <c r="C241" s="91" t="n"/>
      <c r="D241" s="91" t="n"/>
      <c r="E241" s="91" t="n"/>
      <c r="F241" s="91" t="n"/>
      <c r="G241" s="91" t="n"/>
      <c r="H241" s="91" t="n"/>
      <c r="I241" s="91" t="n"/>
      <c r="J241" s="91" t="n"/>
      <c r="K241" s="91" t="n"/>
      <c r="L241" s="91" t="n"/>
      <c r="M241" s="91" t="n"/>
      <c r="N241" s="91" t="n"/>
      <c r="O241" s="91" t="n"/>
      <c r="P241" s="91" t="n"/>
      <c r="Q241" s="91" t="n"/>
      <c r="R241" s="91" t="n"/>
      <c r="S241" s="91" t="n"/>
      <c r="T241" s="91" t="n"/>
      <c r="U241" s="91" t="n"/>
      <c r="V241" s="91" t="n"/>
      <c r="W241" s="91" t="n"/>
      <c r="X241" s="91" t="n"/>
      <c r="Y241" s="91" t="n"/>
      <c r="Z241" s="91" t="n"/>
      <c r="AA241" s="91" t="n"/>
    </row>
    <row r="242" ht="12.75" customHeight="1" s="117">
      <c r="A242" s="91" t="n"/>
      <c r="B242" s="91" t="n"/>
      <c r="C242" s="91" t="n"/>
      <c r="D242" s="91" t="n"/>
      <c r="E242" s="91" t="n"/>
      <c r="F242" s="91" t="n"/>
      <c r="G242" s="91" t="n"/>
      <c r="H242" s="91" t="n"/>
      <c r="I242" s="91" t="n"/>
      <c r="J242" s="91" t="n"/>
      <c r="K242" s="91" t="n"/>
      <c r="L242" s="91" t="n"/>
      <c r="M242" s="91" t="n"/>
      <c r="N242" s="91" t="n"/>
      <c r="O242" s="91" t="n"/>
      <c r="P242" s="91" t="n"/>
      <c r="Q242" s="91" t="n"/>
      <c r="R242" s="91" t="n"/>
      <c r="S242" s="91" t="n"/>
      <c r="T242" s="91" t="n"/>
      <c r="U242" s="91" t="n"/>
      <c r="V242" s="91" t="n"/>
      <c r="W242" s="91" t="n"/>
      <c r="X242" s="91" t="n"/>
      <c r="Y242" s="91" t="n"/>
      <c r="Z242" s="91" t="n"/>
      <c r="AA242" s="91" t="n"/>
    </row>
    <row r="243" ht="12.75" customHeight="1" s="117">
      <c r="A243" s="91" t="n"/>
      <c r="B243" s="91" t="n"/>
      <c r="C243" s="91" t="n"/>
      <c r="D243" s="91" t="n"/>
      <c r="E243" s="91" t="n"/>
      <c r="F243" s="91" t="n"/>
      <c r="G243" s="91" t="n"/>
      <c r="H243" s="91" t="n"/>
      <c r="I243" s="91" t="n"/>
      <c r="J243" s="91" t="n"/>
      <c r="K243" s="91" t="n"/>
      <c r="L243" s="91" t="n"/>
      <c r="M243" s="91" t="n"/>
      <c r="N243" s="91" t="n"/>
      <c r="O243" s="91" t="n"/>
      <c r="P243" s="91" t="n"/>
      <c r="Q243" s="91" t="n"/>
      <c r="R243" s="91" t="n"/>
      <c r="S243" s="91" t="n"/>
      <c r="T243" s="91" t="n"/>
      <c r="U243" s="91" t="n"/>
      <c r="V243" s="91" t="n"/>
      <c r="W243" s="91" t="n"/>
      <c r="X243" s="91" t="n"/>
      <c r="Y243" s="91" t="n"/>
      <c r="Z243" s="91" t="n"/>
      <c r="AA243" s="91" t="n"/>
    </row>
    <row r="244" ht="12.75" customHeight="1" s="117">
      <c r="A244" s="91" t="n"/>
      <c r="B244" s="91" t="n"/>
      <c r="C244" s="91" t="n"/>
      <c r="D244" s="91" t="n"/>
      <c r="E244" s="91" t="n"/>
      <c r="F244" s="91" t="n"/>
      <c r="G244" s="91" t="n"/>
      <c r="H244" s="91" t="n"/>
      <c r="I244" s="91" t="n"/>
      <c r="J244" s="91" t="n"/>
      <c r="K244" s="91" t="n"/>
      <c r="L244" s="91" t="n"/>
      <c r="M244" s="91" t="n"/>
      <c r="N244" s="91" t="n"/>
      <c r="O244" s="91" t="n"/>
      <c r="P244" s="91" t="n"/>
      <c r="Q244" s="91" t="n"/>
      <c r="R244" s="91" t="n"/>
      <c r="S244" s="91" t="n"/>
      <c r="T244" s="91" t="n"/>
      <c r="U244" s="91" t="n"/>
      <c r="V244" s="91" t="n"/>
      <c r="W244" s="91" t="n"/>
      <c r="X244" s="91" t="n"/>
      <c r="Y244" s="91" t="n"/>
      <c r="Z244" s="91" t="n"/>
      <c r="AA244" s="91" t="n"/>
    </row>
    <row r="245" ht="12.75" customHeight="1" s="117">
      <c r="A245" s="91" t="n"/>
      <c r="B245" s="91" t="n"/>
      <c r="C245" s="91" t="n"/>
      <c r="D245" s="91" t="n"/>
      <c r="E245" s="91" t="n"/>
      <c r="F245" s="91" t="n"/>
      <c r="G245" s="91" t="n"/>
      <c r="H245" s="91" t="n"/>
      <c r="I245" s="91" t="n"/>
      <c r="J245" s="91" t="n"/>
      <c r="K245" s="91" t="n"/>
      <c r="L245" s="91" t="n"/>
      <c r="M245" s="91" t="n"/>
      <c r="N245" s="91" t="n"/>
      <c r="O245" s="91" t="n"/>
      <c r="P245" s="91" t="n"/>
      <c r="Q245" s="91" t="n"/>
      <c r="R245" s="91" t="n"/>
      <c r="S245" s="91" t="n"/>
      <c r="T245" s="91" t="n"/>
      <c r="U245" s="91" t="n"/>
      <c r="V245" s="91" t="n"/>
      <c r="W245" s="91" t="n"/>
      <c r="X245" s="91" t="n"/>
      <c r="Y245" s="91" t="n"/>
      <c r="Z245" s="91" t="n"/>
      <c r="AA245" s="91" t="n"/>
    </row>
    <row r="246" ht="12.75" customHeight="1" s="117">
      <c r="A246" s="91" t="n"/>
      <c r="B246" s="91" t="n"/>
      <c r="C246" s="91" t="n"/>
      <c r="D246" s="91" t="n"/>
      <c r="E246" s="91" t="n"/>
      <c r="F246" s="91" t="n"/>
      <c r="G246" s="91" t="n"/>
      <c r="H246" s="91" t="n"/>
      <c r="I246" s="91" t="n"/>
      <c r="J246" s="91" t="n"/>
      <c r="K246" s="91" t="n"/>
      <c r="L246" s="91" t="n"/>
      <c r="M246" s="91" t="n"/>
      <c r="N246" s="91" t="n"/>
      <c r="O246" s="91" t="n"/>
      <c r="P246" s="91" t="n"/>
      <c r="Q246" s="91" t="n"/>
      <c r="R246" s="91" t="n"/>
      <c r="S246" s="91" t="n"/>
      <c r="T246" s="91" t="n"/>
      <c r="U246" s="91" t="n"/>
      <c r="V246" s="91" t="n"/>
      <c r="W246" s="91" t="n"/>
      <c r="X246" s="91" t="n"/>
      <c r="Y246" s="91" t="n"/>
      <c r="Z246" s="91" t="n"/>
      <c r="AA246" s="91" t="n"/>
    </row>
    <row r="247" ht="12.75" customHeight="1" s="117">
      <c r="A247" s="91" t="n"/>
      <c r="B247" s="91" t="n"/>
      <c r="C247" s="91" t="n"/>
      <c r="D247" s="91" t="n"/>
      <c r="E247" s="91" t="n"/>
      <c r="F247" s="91" t="n"/>
      <c r="G247" s="91" t="n"/>
      <c r="H247" s="91" t="n"/>
      <c r="I247" s="91" t="n"/>
      <c r="J247" s="91" t="n"/>
      <c r="K247" s="91" t="n"/>
      <c r="L247" s="91" t="n"/>
      <c r="M247" s="91" t="n"/>
      <c r="N247" s="91" t="n"/>
      <c r="O247" s="91" t="n"/>
      <c r="P247" s="91" t="n"/>
      <c r="Q247" s="91" t="n"/>
      <c r="R247" s="91" t="n"/>
      <c r="S247" s="91" t="n"/>
      <c r="T247" s="91" t="n"/>
      <c r="U247" s="91" t="n"/>
      <c r="V247" s="91" t="n"/>
      <c r="W247" s="91" t="n"/>
      <c r="X247" s="91" t="n"/>
      <c r="Y247" s="91" t="n"/>
      <c r="Z247" s="91" t="n"/>
      <c r="AA247" s="91" t="n"/>
    </row>
    <row r="248" ht="12.75" customHeight="1" s="117">
      <c r="A248" s="91" t="n"/>
      <c r="B248" s="91" t="n"/>
      <c r="C248" s="91" t="n"/>
      <c r="D248" s="91" t="n"/>
      <c r="E248" s="91" t="n"/>
      <c r="F248" s="91" t="n"/>
      <c r="G248" s="91" t="n"/>
      <c r="H248" s="91" t="n"/>
      <c r="I248" s="91" t="n"/>
      <c r="J248" s="91" t="n"/>
      <c r="K248" s="91" t="n"/>
      <c r="L248" s="91" t="n"/>
      <c r="M248" s="91" t="n"/>
      <c r="N248" s="91" t="n"/>
      <c r="O248" s="91" t="n"/>
      <c r="P248" s="91" t="n"/>
      <c r="Q248" s="91" t="n"/>
      <c r="R248" s="91" t="n"/>
      <c r="S248" s="91" t="n"/>
      <c r="T248" s="91" t="n"/>
      <c r="U248" s="91" t="n"/>
      <c r="V248" s="91" t="n"/>
      <c r="W248" s="91" t="n"/>
      <c r="X248" s="91" t="n"/>
      <c r="Y248" s="91" t="n"/>
      <c r="Z248" s="91" t="n"/>
      <c r="AA248" s="91" t="n"/>
    </row>
    <row r="249" ht="12.75" customHeight="1" s="117">
      <c r="A249" s="91" t="n"/>
      <c r="B249" s="91" t="n"/>
      <c r="C249" s="91" t="n"/>
      <c r="D249" s="91" t="n"/>
      <c r="E249" s="91" t="n"/>
      <c r="F249" s="91" t="n"/>
      <c r="G249" s="91" t="n"/>
      <c r="H249" s="91" t="n"/>
      <c r="I249" s="91" t="n"/>
      <c r="J249" s="91" t="n"/>
      <c r="K249" s="91" t="n"/>
      <c r="L249" s="91" t="n"/>
      <c r="M249" s="91" t="n"/>
      <c r="N249" s="91" t="n"/>
      <c r="O249" s="91" t="n"/>
      <c r="P249" s="91" t="n"/>
      <c r="Q249" s="91" t="n"/>
      <c r="R249" s="91" t="n"/>
      <c r="S249" s="91" t="n"/>
      <c r="T249" s="91" t="n"/>
      <c r="U249" s="91" t="n"/>
      <c r="V249" s="91" t="n"/>
      <c r="W249" s="91" t="n"/>
      <c r="X249" s="91" t="n"/>
      <c r="Y249" s="91" t="n"/>
      <c r="Z249" s="91" t="n"/>
      <c r="AA249" s="91" t="n"/>
    </row>
    <row r="250" ht="12.75" customHeight="1" s="117">
      <c r="A250" s="91" t="n"/>
      <c r="B250" s="91" t="n"/>
      <c r="C250" s="91" t="n"/>
      <c r="D250" s="91" t="n"/>
      <c r="E250" s="91" t="n"/>
      <c r="F250" s="91" t="n"/>
      <c r="G250" s="91" t="n"/>
      <c r="H250" s="91" t="n"/>
      <c r="I250" s="91" t="n"/>
      <c r="J250" s="91" t="n"/>
      <c r="K250" s="91" t="n"/>
      <c r="L250" s="91" t="n"/>
      <c r="M250" s="91" t="n"/>
      <c r="N250" s="91" t="n"/>
      <c r="O250" s="91" t="n"/>
      <c r="P250" s="91" t="n"/>
      <c r="Q250" s="91" t="n"/>
      <c r="R250" s="91" t="n"/>
      <c r="S250" s="91" t="n"/>
      <c r="T250" s="91" t="n"/>
      <c r="U250" s="91" t="n"/>
      <c r="V250" s="91" t="n"/>
      <c r="W250" s="91" t="n"/>
      <c r="X250" s="91" t="n"/>
      <c r="Y250" s="91" t="n"/>
      <c r="Z250" s="91" t="n"/>
      <c r="AA250" s="91" t="n"/>
    </row>
    <row r="251" ht="12.75" customHeight="1" s="117">
      <c r="A251" s="91" t="n"/>
      <c r="B251" s="91" t="n"/>
      <c r="C251" s="91" t="n"/>
      <c r="D251" s="91" t="n"/>
      <c r="E251" s="91" t="n"/>
      <c r="F251" s="91" t="n"/>
      <c r="G251" s="91" t="n"/>
      <c r="H251" s="91" t="n"/>
      <c r="I251" s="91" t="n"/>
      <c r="J251" s="91" t="n"/>
      <c r="K251" s="91" t="n"/>
      <c r="L251" s="91" t="n"/>
      <c r="M251" s="91" t="n"/>
      <c r="N251" s="91" t="n"/>
      <c r="O251" s="91" t="n"/>
      <c r="P251" s="91" t="n"/>
      <c r="Q251" s="91" t="n"/>
      <c r="R251" s="91" t="n"/>
      <c r="S251" s="91" t="n"/>
      <c r="T251" s="91" t="n"/>
      <c r="U251" s="91" t="n"/>
      <c r="V251" s="91" t="n"/>
      <c r="W251" s="91" t="n"/>
      <c r="X251" s="91" t="n"/>
      <c r="Y251" s="91" t="n"/>
      <c r="Z251" s="91" t="n"/>
      <c r="AA251" s="91" t="n"/>
    </row>
    <row r="252" ht="12.75" customHeight="1" s="117">
      <c r="A252" s="91" t="n"/>
      <c r="B252" s="91" t="n"/>
      <c r="C252" s="91" t="n"/>
      <c r="D252" s="91" t="n"/>
      <c r="E252" s="91" t="n"/>
      <c r="F252" s="91" t="n"/>
      <c r="G252" s="91" t="n"/>
      <c r="H252" s="91" t="n"/>
      <c r="I252" s="91" t="n"/>
      <c r="J252" s="91" t="n"/>
      <c r="K252" s="91" t="n"/>
      <c r="L252" s="91" t="n"/>
      <c r="M252" s="91" t="n"/>
      <c r="N252" s="91" t="n"/>
      <c r="O252" s="91" t="n"/>
      <c r="P252" s="91" t="n"/>
      <c r="Q252" s="91" t="n"/>
      <c r="R252" s="91" t="n"/>
      <c r="S252" s="91" t="n"/>
      <c r="T252" s="91" t="n"/>
      <c r="U252" s="91" t="n"/>
      <c r="V252" s="91" t="n"/>
      <c r="W252" s="91" t="n"/>
      <c r="X252" s="91" t="n"/>
      <c r="Y252" s="91" t="n"/>
      <c r="Z252" s="91" t="n"/>
      <c r="AA252" s="91" t="n"/>
    </row>
    <row r="253" ht="12.75" customHeight="1" s="117">
      <c r="A253" s="91" t="n"/>
      <c r="B253" s="91" t="n"/>
      <c r="C253" s="91" t="n"/>
      <c r="D253" s="91" t="n"/>
      <c r="E253" s="91" t="n"/>
      <c r="F253" s="91" t="n"/>
      <c r="G253" s="91" t="n"/>
      <c r="H253" s="91" t="n"/>
      <c r="I253" s="91" t="n"/>
      <c r="J253" s="91" t="n"/>
      <c r="K253" s="91" t="n"/>
      <c r="L253" s="91" t="n"/>
      <c r="M253" s="91" t="n"/>
      <c r="N253" s="91" t="n"/>
      <c r="O253" s="91" t="n"/>
      <c r="P253" s="91" t="n"/>
      <c r="Q253" s="91" t="n"/>
      <c r="R253" s="91" t="n"/>
      <c r="S253" s="91" t="n"/>
      <c r="T253" s="91" t="n"/>
      <c r="U253" s="91" t="n"/>
      <c r="V253" s="91" t="n"/>
      <c r="W253" s="91" t="n"/>
      <c r="X253" s="91" t="n"/>
      <c r="Y253" s="91" t="n"/>
      <c r="Z253" s="91" t="n"/>
      <c r="AA253" s="91" t="n"/>
    </row>
    <row r="254" ht="12.75" customHeight="1" s="117">
      <c r="A254" s="91" t="n"/>
      <c r="B254" s="91" t="n"/>
      <c r="C254" s="91" t="n"/>
      <c r="D254" s="91" t="n"/>
      <c r="E254" s="91" t="n"/>
      <c r="F254" s="91" t="n"/>
      <c r="G254" s="91" t="n"/>
      <c r="H254" s="91" t="n"/>
      <c r="I254" s="91" t="n"/>
      <c r="J254" s="91" t="n"/>
      <c r="K254" s="91" t="n"/>
      <c r="L254" s="91" t="n"/>
      <c r="M254" s="91" t="n"/>
      <c r="N254" s="91" t="n"/>
      <c r="O254" s="91" t="n"/>
      <c r="P254" s="91" t="n"/>
      <c r="Q254" s="91" t="n"/>
      <c r="R254" s="91" t="n"/>
      <c r="S254" s="91" t="n"/>
      <c r="T254" s="91" t="n"/>
      <c r="U254" s="91" t="n"/>
      <c r="V254" s="91" t="n"/>
      <c r="W254" s="91" t="n"/>
      <c r="X254" s="91" t="n"/>
      <c r="Y254" s="91" t="n"/>
      <c r="Z254" s="91" t="n"/>
      <c r="AA254" s="91" t="n"/>
    </row>
    <row r="255" ht="12.75" customHeight="1" s="117">
      <c r="A255" s="91" t="n"/>
      <c r="B255" s="91" t="n"/>
      <c r="C255" s="91" t="n"/>
      <c r="D255" s="91" t="n"/>
      <c r="E255" s="91" t="n"/>
      <c r="F255" s="91" t="n"/>
      <c r="G255" s="91" t="n"/>
      <c r="H255" s="91" t="n"/>
      <c r="I255" s="91" t="n"/>
      <c r="J255" s="91" t="n"/>
      <c r="K255" s="91" t="n"/>
      <c r="L255" s="91" t="n"/>
      <c r="M255" s="91" t="n"/>
      <c r="N255" s="91" t="n"/>
      <c r="O255" s="91" t="n"/>
      <c r="P255" s="91" t="n"/>
      <c r="Q255" s="91" t="n"/>
      <c r="R255" s="91" t="n"/>
      <c r="S255" s="91" t="n"/>
      <c r="T255" s="91" t="n"/>
      <c r="U255" s="91" t="n"/>
      <c r="V255" s="91" t="n"/>
      <c r="W255" s="91" t="n"/>
      <c r="X255" s="91" t="n"/>
      <c r="Y255" s="91" t="n"/>
      <c r="Z255" s="91" t="n"/>
      <c r="AA255" s="91" t="n"/>
    </row>
    <row r="256" ht="12.75" customHeight="1" s="117">
      <c r="A256" s="91" t="n"/>
      <c r="B256" s="91" t="n"/>
      <c r="C256" s="91" t="n"/>
      <c r="D256" s="91" t="n"/>
      <c r="E256" s="91" t="n"/>
      <c r="F256" s="91" t="n"/>
      <c r="G256" s="91" t="n"/>
      <c r="H256" s="91" t="n"/>
      <c r="I256" s="91" t="n"/>
      <c r="J256" s="91" t="n"/>
      <c r="K256" s="91" t="n"/>
      <c r="L256" s="91" t="n"/>
      <c r="M256" s="91" t="n"/>
      <c r="N256" s="91" t="n"/>
      <c r="O256" s="91" t="n"/>
      <c r="P256" s="91" t="n"/>
      <c r="Q256" s="91" t="n"/>
      <c r="R256" s="91" t="n"/>
      <c r="S256" s="91" t="n"/>
      <c r="T256" s="91" t="n"/>
      <c r="U256" s="91" t="n"/>
      <c r="V256" s="91" t="n"/>
      <c r="W256" s="91" t="n"/>
      <c r="X256" s="91" t="n"/>
      <c r="Y256" s="91" t="n"/>
      <c r="Z256" s="91" t="n"/>
      <c r="AA256" s="91" t="n"/>
    </row>
    <row r="257" ht="12.75" customHeight="1" s="117">
      <c r="A257" s="91" t="n"/>
      <c r="B257" s="91" t="n"/>
      <c r="C257" s="91" t="n"/>
      <c r="D257" s="91" t="n"/>
      <c r="E257" s="91" t="n"/>
      <c r="F257" s="91" t="n"/>
      <c r="G257" s="91" t="n"/>
      <c r="H257" s="91" t="n"/>
      <c r="I257" s="91" t="n"/>
      <c r="J257" s="91" t="n"/>
      <c r="K257" s="91" t="n"/>
      <c r="L257" s="91" t="n"/>
      <c r="M257" s="91" t="n"/>
      <c r="N257" s="91" t="n"/>
      <c r="O257" s="91" t="n"/>
      <c r="P257" s="91" t="n"/>
      <c r="Q257" s="91" t="n"/>
      <c r="R257" s="91" t="n"/>
      <c r="S257" s="91" t="n"/>
      <c r="T257" s="91" t="n"/>
      <c r="U257" s="91" t="n"/>
      <c r="V257" s="91" t="n"/>
      <c r="W257" s="91" t="n"/>
      <c r="X257" s="91" t="n"/>
      <c r="Y257" s="91" t="n"/>
      <c r="Z257" s="91" t="n"/>
      <c r="AA257" s="91" t="n"/>
    </row>
    <row r="258" ht="12.75" customHeight="1" s="117">
      <c r="A258" s="91" t="n"/>
      <c r="B258" s="91" t="n"/>
      <c r="C258" s="91" t="n"/>
      <c r="D258" s="91" t="n"/>
      <c r="E258" s="91" t="n"/>
      <c r="F258" s="91" t="n"/>
      <c r="G258" s="91" t="n"/>
      <c r="H258" s="91" t="n"/>
      <c r="I258" s="91" t="n"/>
      <c r="J258" s="91" t="n"/>
      <c r="K258" s="91" t="n"/>
      <c r="L258" s="91" t="n"/>
      <c r="M258" s="91" t="n"/>
      <c r="N258" s="91" t="n"/>
      <c r="O258" s="91" t="n"/>
      <c r="P258" s="91" t="n"/>
      <c r="Q258" s="91" t="n"/>
      <c r="R258" s="91" t="n"/>
      <c r="S258" s="91" t="n"/>
      <c r="T258" s="91" t="n"/>
      <c r="U258" s="91" t="n"/>
      <c r="V258" s="91" t="n"/>
      <c r="W258" s="91" t="n"/>
      <c r="X258" s="91" t="n"/>
      <c r="Y258" s="91" t="n"/>
      <c r="Z258" s="91" t="n"/>
      <c r="AA258" s="91" t="n"/>
    </row>
    <row r="259" ht="12.75" customHeight="1" s="117">
      <c r="A259" s="91" t="n"/>
      <c r="B259" s="91" t="n"/>
      <c r="C259" s="91" t="n"/>
      <c r="D259" s="91" t="n"/>
      <c r="E259" s="91" t="n"/>
      <c r="F259" s="91" t="n"/>
      <c r="G259" s="91" t="n"/>
      <c r="H259" s="91" t="n"/>
      <c r="I259" s="91" t="n"/>
      <c r="J259" s="91" t="n"/>
      <c r="K259" s="91" t="n"/>
      <c r="L259" s="91" t="n"/>
      <c r="M259" s="91" t="n"/>
      <c r="N259" s="91" t="n"/>
      <c r="O259" s="91" t="n"/>
      <c r="P259" s="91" t="n"/>
      <c r="Q259" s="91" t="n"/>
      <c r="R259" s="91" t="n"/>
      <c r="S259" s="91" t="n"/>
      <c r="T259" s="91" t="n"/>
      <c r="U259" s="91" t="n"/>
      <c r="V259" s="91" t="n"/>
      <c r="W259" s="91" t="n"/>
      <c r="X259" s="91" t="n"/>
      <c r="Y259" s="91" t="n"/>
      <c r="Z259" s="91" t="n"/>
      <c r="AA259" s="91" t="n"/>
    </row>
    <row r="260" ht="12.75" customHeight="1" s="117">
      <c r="A260" s="91" t="n"/>
      <c r="B260" s="91" t="n"/>
      <c r="C260" s="91" t="n"/>
      <c r="D260" s="91" t="n"/>
      <c r="E260" s="91" t="n"/>
      <c r="F260" s="91" t="n"/>
      <c r="G260" s="91" t="n"/>
      <c r="H260" s="91" t="n"/>
      <c r="I260" s="91" t="n"/>
      <c r="J260" s="91" t="n"/>
      <c r="K260" s="91" t="n"/>
      <c r="L260" s="91" t="n"/>
      <c r="M260" s="91" t="n"/>
      <c r="N260" s="91" t="n"/>
      <c r="O260" s="91" t="n"/>
      <c r="P260" s="91" t="n"/>
      <c r="Q260" s="91" t="n"/>
      <c r="R260" s="91" t="n"/>
      <c r="S260" s="91" t="n"/>
      <c r="T260" s="91" t="n"/>
      <c r="U260" s="91" t="n"/>
      <c r="V260" s="91" t="n"/>
      <c r="W260" s="91" t="n"/>
      <c r="X260" s="91" t="n"/>
      <c r="Y260" s="91" t="n"/>
      <c r="Z260" s="91" t="n"/>
      <c r="AA260" s="91" t="n"/>
    </row>
    <row r="261" ht="12.75" customHeight="1" s="117">
      <c r="A261" s="91" t="n"/>
      <c r="B261" s="91" t="n"/>
      <c r="C261" s="91" t="n"/>
      <c r="D261" s="91" t="n"/>
      <c r="E261" s="91" t="n"/>
      <c r="F261" s="91" t="n"/>
      <c r="G261" s="91" t="n"/>
      <c r="H261" s="91" t="n"/>
      <c r="I261" s="91" t="n"/>
      <c r="J261" s="91" t="n"/>
      <c r="K261" s="91" t="n"/>
      <c r="L261" s="91" t="n"/>
      <c r="M261" s="91" t="n"/>
      <c r="N261" s="91" t="n"/>
      <c r="O261" s="91" t="n"/>
      <c r="P261" s="91" t="n"/>
      <c r="Q261" s="91" t="n"/>
      <c r="R261" s="91" t="n"/>
      <c r="S261" s="91" t="n"/>
      <c r="T261" s="91" t="n"/>
      <c r="U261" s="91" t="n"/>
      <c r="V261" s="91" t="n"/>
      <c r="W261" s="91" t="n"/>
      <c r="X261" s="91" t="n"/>
      <c r="Y261" s="91" t="n"/>
      <c r="Z261" s="91" t="n"/>
      <c r="AA261" s="91" t="n"/>
    </row>
    <row r="262" ht="12.75" customHeight="1" s="117">
      <c r="A262" s="91" t="n"/>
      <c r="B262" s="91" t="n"/>
      <c r="C262" s="91" t="n"/>
      <c r="D262" s="91" t="n"/>
      <c r="E262" s="91" t="n"/>
      <c r="F262" s="91" t="n"/>
      <c r="G262" s="91" t="n"/>
      <c r="H262" s="91" t="n"/>
      <c r="I262" s="91" t="n"/>
      <c r="J262" s="91" t="n"/>
      <c r="K262" s="91" t="n"/>
      <c r="L262" s="91" t="n"/>
      <c r="M262" s="91" t="n"/>
      <c r="N262" s="91" t="n"/>
      <c r="O262" s="91" t="n"/>
      <c r="P262" s="91" t="n"/>
      <c r="Q262" s="91" t="n"/>
      <c r="R262" s="91" t="n"/>
      <c r="S262" s="91" t="n"/>
      <c r="T262" s="91" t="n"/>
      <c r="U262" s="91" t="n"/>
      <c r="V262" s="91" t="n"/>
      <c r="W262" s="91" t="n"/>
      <c r="X262" s="91" t="n"/>
      <c r="Y262" s="91" t="n"/>
      <c r="Z262" s="91" t="n"/>
      <c r="AA262" s="91" t="n"/>
    </row>
    <row r="263" ht="12.75" customHeight="1" s="117">
      <c r="A263" s="91" t="n"/>
      <c r="B263" s="91" t="n"/>
      <c r="C263" s="91" t="n"/>
      <c r="D263" s="91" t="n"/>
      <c r="E263" s="91" t="n"/>
      <c r="F263" s="91" t="n"/>
      <c r="G263" s="91" t="n"/>
      <c r="H263" s="91" t="n"/>
      <c r="I263" s="91" t="n"/>
      <c r="J263" s="91" t="n"/>
      <c r="K263" s="91" t="n"/>
      <c r="L263" s="91" t="n"/>
      <c r="M263" s="91" t="n"/>
      <c r="N263" s="91" t="n"/>
      <c r="O263" s="91" t="n"/>
      <c r="P263" s="91" t="n"/>
      <c r="Q263" s="91" t="n"/>
      <c r="R263" s="91" t="n"/>
      <c r="S263" s="91" t="n"/>
      <c r="T263" s="91" t="n"/>
      <c r="U263" s="91" t="n"/>
      <c r="V263" s="91" t="n"/>
      <c r="W263" s="91" t="n"/>
      <c r="X263" s="91" t="n"/>
      <c r="Y263" s="91" t="n"/>
      <c r="Z263" s="91" t="n"/>
      <c r="AA263" s="91" t="n"/>
    </row>
    <row r="264" ht="12.75" customHeight="1" s="117">
      <c r="A264" s="91" t="n"/>
      <c r="B264" s="91" t="n"/>
      <c r="C264" s="91" t="n"/>
      <c r="D264" s="91" t="n"/>
      <c r="E264" s="91" t="n"/>
      <c r="F264" s="91" t="n"/>
      <c r="G264" s="91" t="n"/>
      <c r="H264" s="91" t="n"/>
      <c r="I264" s="91" t="n"/>
      <c r="J264" s="91" t="n"/>
      <c r="K264" s="91" t="n"/>
      <c r="L264" s="91" t="n"/>
      <c r="M264" s="91" t="n"/>
      <c r="N264" s="91" t="n"/>
      <c r="O264" s="91" t="n"/>
      <c r="P264" s="91" t="n"/>
      <c r="Q264" s="91" t="n"/>
      <c r="R264" s="91" t="n"/>
      <c r="S264" s="91" t="n"/>
      <c r="T264" s="91" t="n"/>
      <c r="U264" s="91" t="n"/>
      <c r="V264" s="91" t="n"/>
      <c r="W264" s="91" t="n"/>
      <c r="X264" s="91" t="n"/>
      <c r="Y264" s="91" t="n"/>
      <c r="Z264" s="91" t="n"/>
      <c r="AA264" s="91" t="n"/>
    </row>
    <row r="265" ht="12.75" customHeight="1" s="117">
      <c r="A265" s="91" t="n"/>
      <c r="B265" s="91" t="n"/>
      <c r="C265" s="91" t="n"/>
      <c r="D265" s="91" t="n"/>
      <c r="E265" s="91" t="n"/>
      <c r="F265" s="91" t="n"/>
      <c r="G265" s="91" t="n"/>
      <c r="H265" s="91" t="n"/>
      <c r="I265" s="91" t="n"/>
      <c r="J265" s="91" t="n"/>
      <c r="K265" s="91" t="n"/>
      <c r="L265" s="91" t="n"/>
      <c r="M265" s="91" t="n"/>
      <c r="N265" s="91" t="n"/>
      <c r="O265" s="91" t="n"/>
      <c r="P265" s="91" t="n"/>
      <c r="Q265" s="91" t="n"/>
      <c r="R265" s="91" t="n"/>
      <c r="S265" s="91" t="n"/>
      <c r="T265" s="91" t="n"/>
      <c r="U265" s="91" t="n"/>
      <c r="V265" s="91" t="n"/>
      <c r="W265" s="91" t="n"/>
      <c r="X265" s="91" t="n"/>
      <c r="Y265" s="91" t="n"/>
      <c r="Z265" s="91" t="n"/>
      <c r="AA265" s="91" t="n"/>
    </row>
    <row r="266" ht="12.75" customHeight="1" s="117">
      <c r="A266" s="91" t="n"/>
      <c r="B266" s="91" t="n"/>
      <c r="C266" s="91" t="n"/>
      <c r="D266" s="91" t="n"/>
      <c r="E266" s="91" t="n"/>
      <c r="F266" s="91" t="n"/>
      <c r="G266" s="91" t="n"/>
      <c r="H266" s="91" t="n"/>
      <c r="I266" s="91" t="n"/>
      <c r="J266" s="91" t="n"/>
      <c r="K266" s="91" t="n"/>
      <c r="L266" s="91" t="n"/>
      <c r="M266" s="91" t="n"/>
      <c r="N266" s="91" t="n"/>
      <c r="O266" s="91" t="n"/>
      <c r="P266" s="91" t="n"/>
      <c r="Q266" s="91" t="n"/>
      <c r="R266" s="91" t="n"/>
      <c r="S266" s="91" t="n"/>
      <c r="T266" s="91" t="n"/>
      <c r="U266" s="91" t="n"/>
      <c r="V266" s="91" t="n"/>
      <c r="W266" s="91" t="n"/>
      <c r="X266" s="91" t="n"/>
      <c r="Y266" s="91" t="n"/>
      <c r="Z266" s="91" t="n"/>
      <c r="AA266" s="91" t="n"/>
    </row>
    <row r="267" ht="12.75" customHeight="1" s="117">
      <c r="A267" s="91" t="n"/>
      <c r="B267" s="91" t="n"/>
      <c r="C267" s="91" t="n"/>
      <c r="D267" s="91" t="n"/>
      <c r="E267" s="91" t="n"/>
      <c r="F267" s="91" t="n"/>
      <c r="G267" s="91" t="n"/>
      <c r="H267" s="91" t="n"/>
      <c r="I267" s="91" t="n"/>
      <c r="J267" s="91" t="n"/>
      <c r="K267" s="91" t="n"/>
      <c r="L267" s="91" t="n"/>
      <c r="M267" s="91" t="n"/>
      <c r="N267" s="91" t="n"/>
      <c r="O267" s="91" t="n"/>
      <c r="P267" s="91" t="n"/>
      <c r="Q267" s="91" t="n"/>
      <c r="R267" s="91" t="n"/>
      <c r="S267" s="91" t="n"/>
      <c r="T267" s="91" t="n"/>
      <c r="U267" s="91" t="n"/>
      <c r="V267" s="91" t="n"/>
      <c r="W267" s="91" t="n"/>
      <c r="X267" s="91" t="n"/>
      <c r="Y267" s="91" t="n"/>
      <c r="Z267" s="91" t="n"/>
      <c r="AA267" s="91" t="n"/>
    </row>
    <row r="268" ht="12.75" customHeight="1" s="117">
      <c r="A268" s="91" t="n"/>
      <c r="B268" s="91" t="n"/>
      <c r="C268" s="91" t="n"/>
      <c r="D268" s="91" t="n"/>
      <c r="E268" s="91" t="n"/>
      <c r="F268" s="91" t="n"/>
      <c r="G268" s="91" t="n"/>
      <c r="H268" s="91" t="n"/>
      <c r="I268" s="91" t="n"/>
      <c r="J268" s="91" t="n"/>
      <c r="K268" s="91" t="n"/>
      <c r="L268" s="91" t="n"/>
      <c r="M268" s="91" t="n"/>
      <c r="N268" s="91" t="n"/>
      <c r="O268" s="91" t="n"/>
      <c r="P268" s="91" t="n"/>
      <c r="Q268" s="91" t="n"/>
      <c r="R268" s="91" t="n"/>
      <c r="S268" s="91" t="n"/>
      <c r="T268" s="91" t="n"/>
      <c r="U268" s="91" t="n"/>
      <c r="V268" s="91" t="n"/>
      <c r="W268" s="91" t="n"/>
      <c r="X268" s="91" t="n"/>
      <c r="Y268" s="91" t="n"/>
      <c r="Z268" s="91" t="n"/>
      <c r="AA268" s="91" t="n"/>
    </row>
    <row r="269" ht="12.75" customHeight="1" s="117">
      <c r="A269" s="91" t="n"/>
      <c r="B269" s="91" t="n"/>
      <c r="C269" s="91" t="n"/>
      <c r="D269" s="91" t="n"/>
      <c r="E269" s="91" t="n"/>
      <c r="F269" s="91" t="n"/>
      <c r="G269" s="91" t="n"/>
      <c r="H269" s="91" t="n"/>
      <c r="I269" s="91" t="n"/>
      <c r="J269" s="91" t="n"/>
      <c r="K269" s="91" t="n"/>
      <c r="L269" s="91" t="n"/>
      <c r="M269" s="91" t="n"/>
      <c r="N269" s="91" t="n"/>
      <c r="O269" s="91" t="n"/>
      <c r="P269" s="91" t="n"/>
      <c r="Q269" s="91" t="n"/>
      <c r="R269" s="91" t="n"/>
      <c r="S269" s="91" t="n"/>
      <c r="T269" s="91" t="n"/>
      <c r="U269" s="91" t="n"/>
      <c r="V269" s="91" t="n"/>
      <c r="W269" s="91" t="n"/>
      <c r="X269" s="91" t="n"/>
      <c r="Y269" s="91" t="n"/>
      <c r="Z269" s="91" t="n"/>
      <c r="AA269" s="91" t="n"/>
    </row>
    <row r="270" ht="12.75" customHeight="1" s="117">
      <c r="A270" s="91" t="n"/>
      <c r="B270" s="91" t="n"/>
      <c r="C270" s="91" t="n"/>
      <c r="D270" s="91" t="n"/>
      <c r="E270" s="91" t="n"/>
      <c r="F270" s="91" t="n"/>
      <c r="G270" s="91" t="n"/>
      <c r="H270" s="91" t="n"/>
      <c r="I270" s="91" t="n"/>
      <c r="J270" s="91" t="n"/>
      <c r="K270" s="91" t="n"/>
      <c r="L270" s="91" t="n"/>
      <c r="M270" s="91" t="n"/>
      <c r="N270" s="91" t="n"/>
      <c r="O270" s="91" t="n"/>
      <c r="P270" s="91" t="n"/>
      <c r="Q270" s="91" t="n"/>
      <c r="R270" s="91" t="n"/>
      <c r="S270" s="91" t="n"/>
      <c r="T270" s="91" t="n"/>
      <c r="U270" s="91" t="n"/>
      <c r="V270" s="91" t="n"/>
      <c r="W270" s="91" t="n"/>
      <c r="X270" s="91" t="n"/>
      <c r="Y270" s="91" t="n"/>
      <c r="Z270" s="91" t="n"/>
      <c r="AA270" s="91" t="n"/>
    </row>
    <row r="271" ht="12.75" customHeight="1" s="117">
      <c r="A271" s="91" t="n"/>
      <c r="B271" s="91" t="n"/>
      <c r="C271" s="91" t="n"/>
      <c r="D271" s="91" t="n"/>
      <c r="E271" s="91" t="n"/>
      <c r="F271" s="91" t="n"/>
      <c r="G271" s="91" t="n"/>
      <c r="H271" s="91" t="n"/>
      <c r="I271" s="91" t="n"/>
      <c r="J271" s="91" t="n"/>
      <c r="K271" s="91" t="n"/>
      <c r="L271" s="91" t="n"/>
      <c r="M271" s="91" t="n"/>
      <c r="N271" s="91" t="n"/>
      <c r="O271" s="91" t="n"/>
      <c r="P271" s="91" t="n"/>
      <c r="Q271" s="91" t="n"/>
      <c r="R271" s="91" t="n"/>
      <c r="S271" s="91" t="n"/>
      <c r="T271" s="91" t="n"/>
      <c r="U271" s="91" t="n"/>
      <c r="V271" s="91" t="n"/>
      <c r="W271" s="91" t="n"/>
      <c r="X271" s="91" t="n"/>
      <c r="Y271" s="91" t="n"/>
      <c r="Z271" s="91" t="n"/>
      <c r="AA271" s="91" t="n"/>
    </row>
    <row r="272" ht="12.75" customHeight="1" s="117">
      <c r="A272" s="91" t="n"/>
      <c r="B272" s="91" t="n"/>
      <c r="C272" s="91" t="n"/>
      <c r="D272" s="91" t="n"/>
      <c r="E272" s="91" t="n"/>
      <c r="F272" s="91" t="n"/>
      <c r="G272" s="91" t="n"/>
      <c r="H272" s="91" t="n"/>
      <c r="I272" s="91" t="n"/>
      <c r="J272" s="91" t="n"/>
      <c r="K272" s="91" t="n"/>
      <c r="L272" s="91" t="n"/>
      <c r="M272" s="91" t="n"/>
      <c r="N272" s="91" t="n"/>
      <c r="O272" s="91" t="n"/>
      <c r="P272" s="91" t="n"/>
      <c r="Q272" s="91" t="n"/>
      <c r="R272" s="91" t="n"/>
      <c r="S272" s="91" t="n"/>
      <c r="T272" s="91" t="n"/>
      <c r="U272" s="91" t="n"/>
      <c r="V272" s="91" t="n"/>
      <c r="W272" s="91" t="n"/>
      <c r="X272" s="91" t="n"/>
      <c r="Y272" s="91" t="n"/>
      <c r="Z272" s="91" t="n"/>
      <c r="AA272" s="91" t="n"/>
    </row>
    <row r="273" ht="12.75" customHeight="1" s="117">
      <c r="A273" s="91" t="n"/>
      <c r="B273" s="91" t="n"/>
      <c r="C273" s="91" t="n"/>
      <c r="D273" s="91" t="n"/>
      <c r="E273" s="91" t="n"/>
      <c r="F273" s="91" t="n"/>
      <c r="G273" s="91" t="n"/>
      <c r="H273" s="91" t="n"/>
      <c r="I273" s="91" t="n"/>
      <c r="J273" s="91" t="n"/>
      <c r="K273" s="91" t="n"/>
      <c r="L273" s="91" t="n"/>
      <c r="M273" s="91" t="n"/>
      <c r="N273" s="91" t="n"/>
      <c r="O273" s="91" t="n"/>
      <c r="P273" s="91" t="n"/>
      <c r="Q273" s="91" t="n"/>
      <c r="R273" s="91" t="n"/>
      <c r="S273" s="91" t="n"/>
      <c r="T273" s="91" t="n"/>
      <c r="U273" s="91" t="n"/>
      <c r="V273" s="91" t="n"/>
      <c r="W273" s="91" t="n"/>
      <c r="X273" s="91" t="n"/>
      <c r="Y273" s="91" t="n"/>
      <c r="Z273" s="91" t="n"/>
      <c r="AA273" s="91" t="n"/>
    </row>
    <row r="274" ht="12.75" customHeight="1" s="117">
      <c r="A274" s="91" t="n"/>
      <c r="B274" s="91" t="n"/>
      <c r="C274" s="91" t="n"/>
      <c r="D274" s="91" t="n"/>
      <c r="E274" s="91" t="n"/>
      <c r="F274" s="91" t="n"/>
      <c r="G274" s="91" t="n"/>
      <c r="H274" s="91" t="n"/>
      <c r="I274" s="91" t="n"/>
      <c r="J274" s="91" t="n"/>
      <c r="K274" s="91" t="n"/>
      <c r="L274" s="91" t="n"/>
      <c r="M274" s="91" t="n"/>
      <c r="N274" s="91" t="n"/>
      <c r="O274" s="91" t="n"/>
      <c r="P274" s="91" t="n"/>
      <c r="Q274" s="91" t="n"/>
      <c r="R274" s="91" t="n"/>
      <c r="S274" s="91" t="n"/>
      <c r="T274" s="91" t="n"/>
      <c r="U274" s="91" t="n"/>
      <c r="V274" s="91" t="n"/>
      <c r="W274" s="91" t="n"/>
      <c r="X274" s="91" t="n"/>
      <c r="Y274" s="91" t="n"/>
      <c r="Z274" s="91" t="n"/>
      <c r="AA274" s="91" t="n"/>
    </row>
    <row r="275" ht="12.75" customHeight="1" s="117">
      <c r="A275" s="91" t="n"/>
      <c r="B275" s="91" t="n"/>
      <c r="C275" s="91" t="n"/>
      <c r="D275" s="91" t="n"/>
      <c r="E275" s="91" t="n"/>
      <c r="F275" s="91" t="n"/>
      <c r="G275" s="91" t="n"/>
      <c r="H275" s="91" t="n"/>
      <c r="I275" s="91" t="n"/>
      <c r="J275" s="91" t="n"/>
      <c r="K275" s="91" t="n"/>
      <c r="L275" s="91" t="n"/>
      <c r="M275" s="91" t="n"/>
      <c r="N275" s="91" t="n"/>
      <c r="O275" s="91" t="n"/>
      <c r="P275" s="91" t="n"/>
      <c r="Q275" s="91" t="n"/>
      <c r="R275" s="91" t="n"/>
      <c r="S275" s="91" t="n"/>
      <c r="T275" s="91" t="n"/>
      <c r="U275" s="91" t="n"/>
      <c r="V275" s="91" t="n"/>
      <c r="W275" s="91" t="n"/>
      <c r="X275" s="91" t="n"/>
      <c r="Y275" s="91" t="n"/>
      <c r="Z275" s="91" t="n"/>
      <c r="AA275" s="91" t="n"/>
    </row>
    <row r="276" ht="12.75" customHeight="1" s="117">
      <c r="A276" s="91" t="n"/>
      <c r="B276" s="91" t="n"/>
      <c r="C276" s="91" t="n"/>
      <c r="D276" s="91" t="n"/>
      <c r="E276" s="91" t="n"/>
      <c r="F276" s="91" t="n"/>
      <c r="G276" s="91" t="n"/>
      <c r="H276" s="91" t="n"/>
      <c r="I276" s="91" t="n"/>
      <c r="J276" s="91" t="n"/>
      <c r="K276" s="91" t="n"/>
      <c r="L276" s="91" t="n"/>
      <c r="M276" s="91" t="n"/>
      <c r="N276" s="91" t="n"/>
      <c r="O276" s="91" t="n"/>
      <c r="P276" s="91" t="n"/>
      <c r="Q276" s="91" t="n"/>
      <c r="R276" s="91" t="n"/>
      <c r="S276" s="91" t="n"/>
      <c r="T276" s="91" t="n"/>
      <c r="U276" s="91" t="n"/>
      <c r="V276" s="91" t="n"/>
      <c r="W276" s="91" t="n"/>
      <c r="X276" s="91" t="n"/>
      <c r="Y276" s="91" t="n"/>
      <c r="Z276" s="91" t="n"/>
      <c r="AA276" s="91" t="n"/>
    </row>
    <row r="277" ht="12.75" customHeight="1" s="117">
      <c r="A277" s="91" t="n"/>
      <c r="B277" s="91" t="n"/>
      <c r="C277" s="91" t="n"/>
      <c r="D277" s="91" t="n"/>
      <c r="E277" s="91" t="n"/>
      <c r="F277" s="91" t="n"/>
      <c r="G277" s="91" t="n"/>
      <c r="H277" s="91" t="n"/>
      <c r="I277" s="91" t="n"/>
      <c r="J277" s="91" t="n"/>
      <c r="K277" s="91" t="n"/>
      <c r="L277" s="91" t="n"/>
      <c r="M277" s="91" t="n"/>
      <c r="N277" s="91" t="n"/>
      <c r="O277" s="91" t="n"/>
      <c r="P277" s="91" t="n"/>
      <c r="Q277" s="91" t="n"/>
      <c r="R277" s="91" t="n"/>
      <c r="S277" s="91" t="n"/>
      <c r="T277" s="91" t="n"/>
      <c r="U277" s="91" t="n"/>
      <c r="V277" s="91" t="n"/>
      <c r="W277" s="91" t="n"/>
      <c r="X277" s="91" t="n"/>
      <c r="Y277" s="91" t="n"/>
      <c r="Z277" s="91" t="n"/>
      <c r="AA277" s="91" t="n"/>
    </row>
    <row r="278" ht="12.75" customHeight="1" s="117">
      <c r="A278" s="91" t="n"/>
      <c r="B278" s="91" t="n"/>
      <c r="C278" s="91" t="n"/>
      <c r="D278" s="91" t="n"/>
      <c r="E278" s="91" t="n"/>
      <c r="F278" s="91" t="n"/>
      <c r="G278" s="91" t="n"/>
      <c r="H278" s="91" t="n"/>
      <c r="I278" s="91" t="n"/>
      <c r="J278" s="91" t="n"/>
      <c r="K278" s="91" t="n"/>
      <c r="L278" s="91" t="n"/>
      <c r="M278" s="91" t="n"/>
      <c r="N278" s="91" t="n"/>
      <c r="O278" s="91" t="n"/>
      <c r="P278" s="91" t="n"/>
      <c r="Q278" s="91" t="n"/>
      <c r="R278" s="91" t="n"/>
      <c r="S278" s="91" t="n"/>
      <c r="T278" s="91" t="n"/>
      <c r="U278" s="91" t="n"/>
      <c r="V278" s="91" t="n"/>
      <c r="W278" s="91" t="n"/>
      <c r="X278" s="91" t="n"/>
      <c r="Y278" s="91" t="n"/>
      <c r="Z278" s="91" t="n"/>
      <c r="AA278" s="91" t="n"/>
    </row>
    <row r="279" ht="12.75" customHeight="1" s="117">
      <c r="A279" s="91" t="n"/>
      <c r="B279" s="91" t="n"/>
      <c r="C279" s="91" t="n"/>
      <c r="D279" s="91" t="n"/>
      <c r="E279" s="91" t="n"/>
      <c r="F279" s="91" t="n"/>
      <c r="G279" s="91" t="n"/>
      <c r="H279" s="91" t="n"/>
      <c r="I279" s="91" t="n"/>
      <c r="J279" s="91" t="n"/>
      <c r="K279" s="91" t="n"/>
      <c r="L279" s="91" t="n"/>
      <c r="M279" s="91" t="n"/>
      <c r="N279" s="91" t="n"/>
      <c r="O279" s="91" t="n"/>
      <c r="P279" s="91" t="n"/>
      <c r="Q279" s="91" t="n"/>
      <c r="R279" s="91" t="n"/>
      <c r="S279" s="91" t="n"/>
      <c r="T279" s="91" t="n"/>
      <c r="U279" s="91" t="n"/>
      <c r="V279" s="91" t="n"/>
      <c r="W279" s="91" t="n"/>
      <c r="X279" s="91" t="n"/>
      <c r="Y279" s="91" t="n"/>
      <c r="Z279" s="91" t="n"/>
      <c r="AA279" s="91" t="n"/>
    </row>
    <row r="280" ht="12.75" customHeight="1" s="117">
      <c r="A280" s="91" t="n"/>
      <c r="B280" s="91" t="n"/>
      <c r="C280" s="91" t="n"/>
      <c r="D280" s="91" t="n"/>
      <c r="E280" s="91" t="n"/>
      <c r="F280" s="91" t="n"/>
      <c r="G280" s="91" t="n"/>
      <c r="H280" s="91" t="n"/>
      <c r="I280" s="91" t="n"/>
      <c r="J280" s="91" t="n"/>
      <c r="K280" s="91" t="n"/>
      <c r="L280" s="91" t="n"/>
      <c r="M280" s="91" t="n"/>
      <c r="N280" s="91" t="n"/>
      <c r="O280" s="91" t="n"/>
      <c r="P280" s="91" t="n"/>
      <c r="Q280" s="91" t="n"/>
      <c r="R280" s="91" t="n"/>
      <c r="S280" s="91" t="n"/>
      <c r="T280" s="91" t="n"/>
      <c r="U280" s="91" t="n"/>
      <c r="V280" s="91" t="n"/>
      <c r="W280" s="91" t="n"/>
      <c r="X280" s="91" t="n"/>
      <c r="Y280" s="91" t="n"/>
      <c r="Z280" s="91" t="n"/>
      <c r="AA280" s="91" t="n"/>
    </row>
    <row r="281" ht="12.75" customHeight="1" s="117">
      <c r="A281" s="91" t="n"/>
      <c r="B281" s="91" t="n"/>
      <c r="C281" s="91" t="n"/>
      <c r="D281" s="91" t="n"/>
      <c r="E281" s="91" t="n"/>
      <c r="F281" s="91" t="n"/>
      <c r="G281" s="91" t="n"/>
      <c r="H281" s="91" t="n"/>
      <c r="I281" s="91" t="n"/>
      <c r="J281" s="91" t="n"/>
      <c r="K281" s="91" t="n"/>
      <c r="L281" s="91" t="n"/>
      <c r="M281" s="91" t="n"/>
      <c r="N281" s="91" t="n"/>
      <c r="O281" s="91" t="n"/>
      <c r="P281" s="91" t="n"/>
      <c r="Q281" s="91" t="n"/>
      <c r="R281" s="91" t="n"/>
      <c r="S281" s="91" t="n"/>
      <c r="T281" s="91" t="n"/>
      <c r="U281" s="91" t="n"/>
      <c r="V281" s="91" t="n"/>
      <c r="W281" s="91" t="n"/>
      <c r="X281" s="91" t="n"/>
      <c r="Y281" s="91" t="n"/>
      <c r="Z281" s="91" t="n"/>
      <c r="AA281" s="91" t="n"/>
    </row>
    <row r="282" ht="12.75" customHeight="1" s="117">
      <c r="A282" s="91" t="n"/>
      <c r="B282" s="91" t="n"/>
      <c r="C282" s="91" t="n"/>
      <c r="D282" s="91" t="n"/>
      <c r="E282" s="91" t="n"/>
      <c r="F282" s="91" t="n"/>
      <c r="G282" s="91" t="n"/>
      <c r="H282" s="91" t="n"/>
      <c r="I282" s="91" t="n"/>
      <c r="J282" s="91" t="n"/>
      <c r="K282" s="91" t="n"/>
      <c r="L282" s="91" t="n"/>
      <c r="M282" s="91" t="n"/>
      <c r="N282" s="91" t="n"/>
      <c r="O282" s="91" t="n"/>
      <c r="P282" s="91" t="n"/>
      <c r="Q282" s="91" t="n"/>
      <c r="R282" s="91" t="n"/>
      <c r="S282" s="91" t="n"/>
      <c r="T282" s="91" t="n"/>
      <c r="U282" s="91" t="n"/>
      <c r="V282" s="91" t="n"/>
      <c r="W282" s="91" t="n"/>
      <c r="X282" s="91" t="n"/>
      <c r="Y282" s="91" t="n"/>
      <c r="Z282" s="91" t="n"/>
      <c r="AA282" s="91" t="n"/>
    </row>
    <row r="283" ht="12.75" customHeight="1" s="117">
      <c r="A283" s="91" t="n"/>
      <c r="B283" s="91" t="n"/>
      <c r="C283" s="91" t="n"/>
      <c r="D283" s="91" t="n"/>
      <c r="E283" s="91" t="n"/>
      <c r="F283" s="91" t="n"/>
      <c r="G283" s="91" t="n"/>
      <c r="H283" s="91" t="n"/>
      <c r="I283" s="91" t="n"/>
      <c r="J283" s="91" t="n"/>
      <c r="K283" s="91" t="n"/>
      <c r="L283" s="91" t="n"/>
      <c r="M283" s="91" t="n"/>
      <c r="N283" s="91" t="n"/>
      <c r="O283" s="91" t="n"/>
      <c r="P283" s="91" t="n"/>
      <c r="Q283" s="91" t="n"/>
      <c r="R283" s="91" t="n"/>
      <c r="S283" s="91" t="n"/>
      <c r="T283" s="91" t="n"/>
      <c r="U283" s="91" t="n"/>
      <c r="V283" s="91" t="n"/>
      <c r="W283" s="91" t="n"/>
      <c r="X283" s="91" t="n"/>
      <c r="Y283" s="91" t="n"/>
      <c r="Z283" s="91" t="n"/>
      <c r="AA283" s="91" t="n"/>
    </row>
    <row r="284" ht="12.75" customHeight="1" s="117">
      <c r="A284" s="91" t="n"/>
      <c r="B284" s="91" t="n"/>
      <c r="C284" s="91" t="n"/>
      <c r="D284" s="91" t="n"/>
      <c r="E284" s="91" t="n"/>
      <c r="F284" s="91" t="n"/>
      <c r="G284" s="91" t="n"/>
      <c r="H284" s="91" t="n"/>
      <c r="I284" s="91" t="n"/>
      <c r="J284" s="91" t="n"/>
      <c r="K284" s="91" t="n"/>
      <c r="L284" s="91" t="n"/>
      <c r="M284" s="91" t="n"/>
      <c r="N284" s="91" t="n"/>
      <c r="O284" s="91" t="n"/>
      <c r="P284" s="91" t="n"/>
      <c r="Q284" s="91" t="n"/>
      <c r="R284" s="91" t="n"/>
      <c r="S284" s="91" t="n"/>
      <c r="T284" s="91" t="n"/>
      <c r="U284" s="91" t="n"/>
      <c r="V284" s="91" t="n"/>
      <c r="W284" s="91" t="n"/>
      <c r="X284" s="91" t="n"/>
      <c r="Y284" s="91" t="n"/>
      <c r="Z284" s="91" t="n"/>
      <c r="AA284" s="91" t="n"/>
    </row>
    <row r="285" ht="12.75" customHeight="1" s="117">
      <c r="A285" s="91" t="n"/>
      <c r="B285" s="91" t="n"/>
      <c r="C285" s="91" t="n"/>
      <c r="D285" s="91" t="n"/>
      <c r="E285" s="91" t="n"/>
      <c r="F285" s="91" t="n"/>
      <c r="G285" s="91" t="n"/>
      <c r="H285" s="91" t="n"/>
      <c r="I285" s="91" t="n"/>
      <c r="J285" s="91" t="n"/>
      <c r="K285" s="91" t="n"/>
      <c r="L285" s="91" t="n"/>
      <c r="M285" s="91" t="n"/>
      <c r="N285" s="91" t="n"/>
      <c r="O285" s="91" t="n"/>
      <c r="P285" s="91" t="n"/>
      <c r="Q285" s="91" t="n"/>
      <c r="R285" s="91" t="n"/>
      <c r="S285" s="91" t="n"/>
      <c r="T285" s="91" t="n"/>
      <c r="U285" s="91" t="n"/>
      <c r="V285" s="91" t="n"/>
      <c r="W285" s="91" t="n"/>
      <c r="X285" s="91" t="n"/>
      <c r="Y285" s="91" t="n"/>
      <c r="Z285" s="91" t="n"/>
      <c r="AA285" s="91" t="n"/>
    </row>
    <row r="286" ht="12.75" customHeight="1" s="117">
      <c r="A286" s="91" t="n"/>
      <c r="B286" s="91" t="n"/>
      <c r="C286" s="91" t="n"/>
      <c r="D286" s="91" t="n"/>
      <c r="E286" s="91" t="n"/>
      <c r="F286" s="91" t="n"/>
      <c r="G286" s="91" t="n"/>
      <c r="H286" s="91" t="n"/>
      <c r="I286" s="91" t="n"/>
      <c r="J286" s="91" t="n"/>
      <c r="K286" s="91" t="n"/>
      <c r="L286" s="91" t="n"/>
      <c r="M286" s="91" t="n"/>
      <c r="N286" s="91" t="n"/>
      <c r="O286" s="91" t="n"/>
      <c r="P286" s="91" t="n"/>
      <c r="Q286" s="91" t="n"/>
      <c r="R286" s="91" t="n"/>
      <c r="S286" s="91" t="n"/>
      <c r="T286" s="91" t="n"/>
      <c r="U286" s="91" t="n"/>
      <c r="V286" s="91" t="n"/>
      <c r="W286" s="91" t="n"/>
      <c r="X286" s="91" t="n"/>
      <c r="Y286" s="91" t="n"/>
      <c r="Z286" s="91" t="n"/>
      <c r="AA286" s="91" t="n"/>
    </row>
    <row r="287" ht="12.75" customHeight="1" s="117">
      <c r="A287" s="91" t="n"/>
      <c r="B287" s="91" t="n"/>
      <c r="C287" s="91" t="n"/>
      <c r="D287" s="91" t="n"/>
      <c r="E287" s="91" t="n"/>
      <c r="F287" s="91" t="n"/>
      <c r="G287" s="91" t="n"/>
      <c r="H287" s="91" t="n"/>
      <c r="I287" s="91" t="n"/>
      <c r="J287" s="91" t="n"/>
      <c r="K287" s="91" t="n"/>
      <c r="L287" s="91" t="n"/>
      <c r="M287" s="91" t="n"/>
      <c r="N287" s="91" t="n"/>
      <c r="O287" s="91" t="n"/>
      <c r="P287" s="91" t="n"/>
      <c r="Q287" s="91" t="n"/>
      <c r="R287" s="91" t="n"/>
      <c r="S287" s="91" t="n"/>
      <c r="T287" s="91" t="n"/>
      <c r="U287" s="91" t="n"/>
      <c r="V287" s="91" t="n"/>
      <c r="W287" s="91" t="n"/>
      <c r="X287" s="91" t="n"/>
      <c r="Y287" s="91" t="n"/>
      <c r="Z287" s="91" t="n"/>
      <c r="AA287" s="91" t="n"/>
    </row>
    <row r="288" ht="12.75" customHeight="1" s="117">
      <c r="A288" s="91" t="n"/>
      <c r="B288" s="91" t="n"/>
      <c r="C288" s="91" t="n"/>
      <c r="D288" s="91" t="n"/>
      <c r="E288" s="91" t="n"/>
      <c r="F288" s="91" t="n"/>
      <c r="G288" s="91" t="n"/>
      <c r="H288" s="91" t="n"/>
      <c r="I288" s="91" t="n"/>
      <c r="J288" s="91" t="n"/>
      <c r="K288" s="91" t="n"/>
      <c r="L288" s="91" t="n"/>
      <c r="M288" s="91" t="n"/>
      <c r="N288" s="91" t="n"/>
      <c r="O288" s="91" t="n"/>
      <c r="P288" s="91" t="n"/>
      <c r="Q288" s="91" t="n"/>
      <c r="R288" s="91" t="n"/>
      <c r="S288" s="91" t="n"/>
      <c r="T288" s="91" t="n"/>
      <c r="U288" s="91" t="n"/>
      <c r="V288" s="91" t="n"/>
      <c r="W288" s="91" t="n"/>
      <c r="X288" s="91" t="n"/>
      <c r="Y288" s="91" t="n"/>
      <c r="Z288" s="91" t="n"/>
      <c r="AA288" s="91" t="n"/>
    </row>
    <row r="289" ht="12.75" customHeight="1" s="117">
      <c r="A289" s="91" t="n"/>
      <c r="B289" s="91" t="n"/>
      <c r="C289" s="91" t="n"/>
      <c r="D289" s="91" t="n"/>
      <c r="E289" s="91" t="n"/>
      <c r="F289" s="91" t="n"/>
      <c r="G289" s="91" t="n"/>
      <c r="H289" s="91" t="n"/>
      <c r="I289" s="91" t="n"/>
      <c r="J289" s="91" t="n"/>
      <c r="K289" s="91" t="n"/>
      <c r="L289" s="91" t="n"/>
      <c r="M289" s="91" t="n"/>
      <c r="N289" s="91" t="n"/>
      <c r="O289" s="91" t="n"/>
      <c r="P289" s="91" t="n"/>
      <c r="Q289" s="91" t="n"/>
      <c r="R289" s="91" t="n"/>
      <c r="S289" s="91" t="n"/>
      <c r="T289" s="91" t="n"/>
      <c r="U289" s="91" t="n"/>
      <c r="V289" s="91" t="n"/>
      <c r="W289" s="91" t="n"/>
      <c r="X289" s="91" t="n"/>
      <c r="Y289" s="91" t="n"/>
      <c r="Z289" s="91" t="n"/>
      <c r="AA289" s="91" t="n"/>
    </row>
    <row r="290" ht="12.75" customHeight="1" s="117">
      <c r="A290" s="91" t="n"/>
      <c r="B290" s="91" t="n"/>
      <c r="C290" s="91" t="n"/>
      <c r="D290" s="91" t="n"/>
      <c r="E290" s="91" t="n"/>
      <c r="F290" s="91" t="n"/>
      <c r="G290" s="91" t="n"/>
      <c r="H290" s="91" t="n"/>
      <c r="I290" s="91" t="n"/>
      <c r="J290" s="91" t="n"/>
      <c r="K290" s="91" t="n"/>
      <c r="L290" s="91" t="n"/>
      <c r="M290" s="91" t="n"/>
      <c r="N290" s="91" t="n"/>
      <c r="O290" s="91" t="n"/>
      <c r="P290" s="91" t="n"/>
      <c r="Q290" s="91" t="n"/>
      <c r="R290" s="91" t="n"/>
      <c r="S290" s="91" t="n"/>
      <c r="T290" s="91" t="n"/>
      <c r="U290" s="91" t="n"/>
      <c r="V290" s="91" t="n"/>
      <c r="W290" s="91" t="n"/>
      <c r="X290" s="91" t="n"/>
      <c r="Y290" s="91" t="n"/>
      <c r="Z290" s="91" t="n"/>
      <c r="AA290" s="91" t="n"/>
    </row>
    <row r="291" ht="12.75" customHeight="1" s="117">
      <c r="A291" s="91" t="n"/>
      <c r="B291" s="91" t="n"/>
      <c r="C291" s="91" t="n"/>
      <c r="D291" s="91" t="n"/>
      <c r="E291" s="91" t="n"/>
      <c r="F291" s="91" t="n"/>
      <c r="G291" s="91" t="n"/>
      <c r="H291" s="91" t="n"/>
      <c r="I291" s="91" t="n"/>
      <c r="J291" s="91" t="n"/>
      <c r="K291" s="91" t="n"/>
      <c r="L291" s="91" t="n"/>
      <c r="M291" s="91" t="n"/>
      <c r="N291" s="91" t="n"/>
      <c r="O291" s="91" t="n"/>
      <c r="P291" s="91" t="n"/>
      <c r="Q291" s="91" t="n"/>
      <c r="R291" s="91" t="n"/>
      <c r="S291" s="91" t="n"/>
      <c r="T291" s="91" t="n"/>
      <c r="U291" s="91" t="n"/>
      <c r="V291" s="91" t="n"/>
      <c r="W291" s="91" t="n"/>
      <c r="X291" s="91" t="n"/>
      <c r="Y291" s="91" t="n"/>
      <c r="Z291" s="91" t="n"/>
      <c r="AA291" s="91" t="n"/>
    </row>
    <row r="292" ht="12.75" customHeight="1" s="117">
      <c r="A292" s="91" t="n"/>
      <c r="B292" s="91" t="n"/>
      <c r="C292" s="91" t="n"/>
      <c r="D292" s="91" t="n"/>
      <c r="E292" s="91" t="n"/>
      <c r="F292" s="91" t="n"/>
      <c r="G292" s="91" t="n"/>
      <c r="H292" s="91" t="n"/>
      <c r="I292" s="91" t="n"/>
      <c r="J292" s="91" t="n"/>
      <c r="K292" s="91" t="n"/>
      <c r="L292" s="91" t="n"/>
      <c r="M292" s="91" t="n"/>
      <c r="N292" s="91" t="n"/>
      <c r="O292" s="91" t="n"/>
      <c r="P292" s="91" t="n"/>
      <c r="Q292" s="91" t="n"/>
      <c r="R292" s="91" t="n"/>
      <c r="S292" s="91" t="n"/>
      <c r="T292" s="91" t="n"/>
      <c r="U292" s="91" t="n"/>
      <c r="V292" s="91" t="n"/>
      <c r="W292" s="91" t="n"/>
      <c r="X292" s="91" t="n"/>
      <c r="Y292" s="91" t="n"/>
      <c r="Z292" s="91" t="n"/>
      <c r="AA292" s="91" t="n"/>
    </row>
    <row r="293" ht="12.75" customHeight="1" s="117">
      <c r="A293" s="91" t="n"/>
      <c r="B293" s="91" t="n"/>
      <c r="C293" s="91" t="n"/>
      <c r="D293" s="91" t="n"/>
      <c r="E293" s="91" t="n"/>
      <c r="F293" s="91" t="n"/>
      <c r="G293" s="91" t="n"/>
      <c r="H293" s="91" t="n"/>
      <c r="I293" s="91" t="n"/>
      <c r="J293" s="91" t="n"/>
      <c r="K293" s="91" t="n"/>
      <c r="L293" s="91" t="n"/>
      <c r="M293" s="91" t="n"/>
      <c r="N293" s="91" t="n"/>
      <c r="O293" s="91" t="n"/>
      <c r="P293" s="91" t="n"/>
      <c r="Q293" s="91" t="n"/>
      <c r="R293" s="91" t="n"/>
      <c r="S293" s="91" t="n"/>
      <c r="T293" s="91" t="n"/>
      <c r="U293" s="91" t="n"/>
      <c r="V293" s="91" t="n"/>
      <c r="W293" s="91" t="n"/>
      <c r="X293" s="91" t="n"/>
      <c r="Y293" s="91" t="n"/>
      <c r="Z293" s="91" t="n"/>
      <c r="AA293" s="91" t="n"/>
    </row>
    <row r="294" ht="12.75" customHeight="1" s="117">
      <c r="A294" s="91" t="n"/>
      <c r="B294" s="91" t="n"/>
      <c r="C294" s="91" t="n"/>
      <c r="D294" s="91" t="n"/>
      <c r="E294" s="91" t="n"/>
      <c r="F294" s="91" t="n"/>
      <c r="G294" s="91" t="n"/>
      <c r="H294" s="91" t="n"/>
      <c r="I294" s="91" t="n"/>
      <c r="J294" s="91" t="n"/>
      <c r="K294" s="91" t="n"/>
      <c r="L294" s="91" t="n"/>
      <c r="M294" s="91" t="n"/>
      <c r="N294" s="91" t="n"/>
      <c r="O294" s="91" t="n"/>
      <c r="P294" s="91" t="n"/>
      <c r="Q294" s="91" t="n"/>
      <c r="R294" s="91" t="n"/>
      <c r="S294" s="91" t="n"/>
      <c r="T294" s="91" t="n"/>
      <c r="U294" s="91" t="n"/>
      <c r="V294" s="91" t="n"/>
      <c r="W294" s="91" t="n"/>
      <c r="X294" s="91" t="n"/>
      <c r="Y294" s="91" t="n"/>
      <c r="Z294" s="91" t="n"/>
      <c r="AA294" s="91" t="n"/>
    </row>
    <row r="295" ht="12.75" customHeight="1" s="117">
      <c r="A295" s="91" t="n"/>
      <c r="B295" s="91" t="n"/>
      <c r="C295" s="91" t="n"/>
      <c r="D295" s="91" t="n"/>
      <c r="E295" s="91" t="n"/>
      <c r="F295" s="91" t="n"/>
      <c r="G295" s="91" t="n"/>
      <c r="H295" s="91" t="n"/>
      <c r="I295" s="91" t="n"/>
      <c r="J295" s="91" t="n"/>
      <c r="K295" s="91" t="n"/>
      <c r="L295" s="91" t="n"/>
      <c r="M295" s="91" t="n"/>
      <c r="N295" s="91" t="n"/>
      <c r="O295" s="91" t="n"/>
      <c r="P295" s="91" t="n"/>
      <c r="Q295" s="91" t="n"/>
      <c r="R295" s="91" t="n"/>
      <c r="S295" s="91" t="n"/>
      <c r="T295" s="91" t="n"/>
      <c r="U295" s="91" t="n"/>
      <c r="V295" s="91" t="n"/>
      <c r="W295" s="91" t="n"/>
      <c r="X295" s="91" t="n"/>
      <c r="Y295" s="91" t="n"/>
      <c r="Z295" s="91" t="n"/>
      <c r="AA295" s="91" t="n"/>
    </row>
    <row r="296" ht="12.75" customHeight="1" s="117">
      <c r="A296" s="91" t="n"/>
      <c r="B296" s="91" t="n"/>
      <c r="C296" s="91" t="n"/>
      <c r="D296" s="91" t="n"/>
      <c r="E296" s="91" t="n"/>
      <c r="F296" s="91" t="n"/>
      <c r="G296" s="91" t="n"/>
      <c r="H296" s="91" t="n"/>
      <c r="I296" s="91" t="n"/>
      <c r="J296" s="91" t="n"/>
      <c r="K296" s="91" t="n"/>
      <c r="L296" s="91" t="n"/>
      <c r="M296" s="91" t="n"/>
      <c r="N296" s="91" t="n"/>
      <c r="O296" s="91" t="n"/>
      <c r="P296" s="91" t="n"/>
      <c r="Q296" s="91" t="n"/>
      <c r="R296" s="91" t="n"/>
      <c r="S296" s="91" t="n"/>
      <c r="T296" s="91" t="n"/>
      <c r="U296" s="91" t="n"/>
      <c r="V296" s="91" t="n"/>
      <c r="W296" s="91" t="n"/>
      <c r="X296" s="91" t="n"/>
      <c r="Y296" s="91" t="n"/>
      <c r="Z296" s="91" t="n"/>
      <c r="AA296" s="91" t="n"/>
    </row>
    <row r="297" ht="12.75" customHeight="1" s="117">
      <c r="A297" s="91" t="n"/>
      <c r="B297" s="91" t="n"/>
      <c r="C297" s="91" t="n"/>
      <c r="D297" s="91" t="n"/>
      <c r="E297" s="91" t="n"/>
      <c r="F297" s="91" t="n"/>
      <c r="G297" s="91" t="n"/>
      <c r="H297" s="91" t="n"/>
      <c r="I297" s="91" t="n"/>
      <c r="J297" s="91" t="n"/>
      <c r="K297" s="91" t="n"/>
      <c r="L297" s="91" t="n"/>
      <c r="M297" s="91" t="n"/>
      <c r="N297" s="91" t="n"/>
      <c r="O297" s="91" t="n"/>
      <c r="P297" s="91" t="n"/>
      <c r="Q297" s="91" t="n"/>
      <c r="R297" s="91" t="n"/>
      <c r="S297" s="91" t="n"/>
      <c r="T297" s="91" t="n"/>
      <c r="U297" s="91" t="n"/>
      <c r="V297" s="91" t="n"/>
      <c r="W297" s="91" t="n"/>
      <c r="X297" s="91" t="n"/>
      <c r="Y297" s="91" t="n"/>
      <c r="Z297" s="91" t="n"/>
      <c r="AA297" s="91" t="n"/>
    </row>
    <row r="298" ht="12.75" customHeight="1" s="117">
      <c r="A298" s="91" t="n"/>
      <c r="B298" s="91" t="n"/>
      <c r="C298" s="91" t="n"/>
      <c r="D298" s="91" t="n"/>
      <c r="E298" s="91" t="n"/>
      <c r="F298" s="91" t="n"/>
      <c r="G298" s="91" t="n"/>
      <c r="H298" s="91" t="n"/>
      <c r="I298" s="91" t="n"/>
      <c r="J298" s="91" t="n"/>
      <c r="K298" s="91" t="n"/>
      <c r="L298" s="91" t="n"/>
      <c r="M298" s="91" t="n"/>
      <c r="N298" s="91" t="n"/>
      <c r="O298" s="91" t="n"/>
      <c r="P298" s="91" t="n"/>
      <c r="Q298" s="91" t="n"/>
      <c r="R298" s="91" t="n"/>
      <c r="S298" s="91" t="n"/>
      <c r="T298" s="91" t="n"/>
      <c r="U298" s="91" t="n"/>
      <c r="V298" s="91" t="n"/>
      <c r="W298" s="91" t="n"/>
      <c r="X298" s="91" t="n"/>
      <c r="Y298" s="91" t="n"/>
      <c r="Z298" s="91" t="n"/>
      <c r="AA298" s="91" t="n"/>
    </row>
    <row r="299" ht="12.75" customHeight="1" s="117">
      <c r="A299" s="91" t="n"/>
      <c r="B299" s="91" t="n"/>
      <c r="C299" s="91" t="n"/>
      <c r="D299" s="91" t="n"/>
      <c r="E299" s="91" t="n"/>
      <c r="F299" s="91" t="n"/>
      <c r="G299" s="91" t="n"/>
      <c r="H299" s="91" t="n"/>
      <c r="I299" s="91" t="n"/>
      <c r="J299" s="91" t="n"/>
      <c r="K299" s="91" t="n"/>
      <c r="L299" s="91" t="n"/>
      <c r="M299" s="91" t="n"/>
      <c r="N299" s="91" t="n"/>
      <c r="O299" s="91" t="n"/>
      <c r="P299" s="91" t="n"/>
      <c r="Q299" s="91" t="n"/>
      <c r="R299" s="91" t="n"/>
      <c r="S299" s="91" t="n"/>
      <c r="T299" s="91" t="n"/>
      <c r="U299" s="91" t="n"/>
      <c r="V299" s="91" t="n"/>
      <c r="W299" s="91" t="n"/>
      <c r="X299" s="91" t="n"/>
      <c r="Y299" s="91" t="n"/>
      <c r="Z299" s="91" t="n"/>
      <c r="AA299" s="91" t="n"/>
    </row>
    <row r="300" ht="12.75" customHeight="1" s="117">
      <c r="A300" s="91" t="n"/>
      <c r="B300" s="91" t="n"/>
      <c r="C300" s="91" t="n"/>
      <c r="D300" s="91" t="n"/>
      <c r="E300" s="91" t="n"/>
      <c r="F300" s="91" t="n"/>
      <c r="G300" s="91" t="n"/>
      <c r="H300" s="91" t="n"/>
      <c r="I300" s="91" t="n"/>
      <c r="J300" s="91" t="n"/>
      <c r="K300" s="91" t="n"/>
      <c r="L300" s="91" t="n"/>
      <c r="M300" s="91" t="n"/>
      <c r="N300" s="91" t="n"/>
      <c r="O300" s="91" t="n"/>
      <c r="P300" s="91" t="n"/>
      <c r="Q300" s="91" t="n"/>
      <c r="R300" s="91" t="n"/>
      <c r="S300" s="91" t="n"/>
      <c r="T300" s="91" t="n"/>
      <c r="U300" s="91" t="n"/>
      <c r="V300" s="91" t="n"/>
      <c r="W300" s="91" t="n"/>
      <c r="X300" s="91" t="n"/>
      <c r="Y300" s="91" t="n"/>
      <c r="Z300" s="91" t="n"/>
      <c r="AA300" s="91" t="n"/>
    </row>
    <row r="301" ht="12.75" customHeight="1" s="117">
      <c r="A301" s="91" t="n"/>
      <c r="B301" s="91" t="n"/>
      <c r="C301" s="91" t="n"/>
      <c r="D301" s="91" t="n"/>
      <c r="E301" s="91" t="n"/>
      <c r="F301" s="91" t="n"/>
      <c r="G301" s="91" t="n"/>
      <c r="H301" s="91" t="n"/>
      <c r="I301" s="91" t="n"/>
      <c r="J301" s="91" t="n"/>
      <c r="K301" s="91" t="n"/>
      <c r="L301" s="91" t="n"/>
      <c r="M301" s="91" t="n"/>
      <c r="N301" s="91" t="n"/>
      <c r="O301" s="91" t="n"/>
      <c r="P301" s="91" t="n"/>
      <c r="Q301" s="91" t="n"/>
      <c r="R301" s="91" t="n"/>
      <c r="S301" s="91" t="n"/>
      <c r="T301" s="91" t="n"/>
      <c r="U301" s="91" t="n"/>
      <c r="V301" s="91" t="n"/>
      <c r="W301" s="91" t="n"/>
      <c r="X301" s="91" t="n"/>
      <c r="Y301" s="91" t="n"/>
      <c r="Z301" s="91" t="n"/>
      <c r="AA301" s="91" t="n"/>
    </row>
    <row r="302" ht="12.75" customHeight="1" s="117">
      <c r="A302" s="91" t="n"/>
      <c r="B302" s="91" t="n"/>
      <c r="C302" s="91" t="n"/>
      <c r="D302" s="91" t="n"/>
      <c r="E302" s="91" t="n"/>
      <c r="F302" s="91" t="n"/>
      <c r="G302" s="91" t="n"/>
      <c r="H302" s="91" t="n"/>
      <c r="I302" s="91" t="n"/>
      <c r="J302" s="91" t="n"/>
      <c r="K302" s="91" t="n"/>
      <c r="L302" s="91" t="n"/>
      <c r="M302" s="91" t="n"/>
      <c r="N302" s="91" t="n"/>
      <c r="O302" s="91" t="n"/>
      <c r="P302" s="91" t="n"/>
      <c r="Q302" s="91" t="n"/>
      <c r="R302" s="91" t="n"/>
      <c r="S302" s="91" t="n"/>
      <c r="T302" s="91" t="n"/>
      <c r="U302" s="91" t="n"/>
      <c r="V302" s="91" t="n"/>
      <c r="W302" s="91" t="n"/>
      <c r="X302" s="91" t="n"/>
      <c r="Y302" s="91" t="n"/>
      <c r="Z302" s="91" t="n"/>
      <c r="AA302" s="91" t="n"/>
    </row>
    <row r="303" ht="12.75" customHeight="1" s="117">
      <c r="A303" s="91" t="n"/>
      <c r="B303" s="91" t="n"/>
      <c r="C303" s="91" t="n"/>
      <c r="D303" s="91" t="n"/>
      <c r="E303" s="91" t="n"/>
      <c r="F303" s="91" t="n"/>
      <c r="G303" s="91" t="n"/>
      <c r="H303" s="91" t="n"/>
      <c r="I303" s="91" t="n"/>
      <c r="J303" s="91" t="n"/>
      <c r="K303" s="91" t="n"/>
      <c r="L303" s="91" t="n"/>
      <c r="M303" s="91" t="n"/>
      <c r="N303" s="91" t="n"/>
      <c r="O303" s="91" t="n"/>
      <c r="P303" s="91" t="n"/>
      <c r="Q303" s="91" t="n"/>
      <c r="R303" s="91" t="n"/>
      <c r="S303" s="91" t="n"/>
      <c r="T303" s="91" t="n"/>
      <c r="U303" s="91" t="n"/>
      <c r="V303" s="91" t="n"/>
      <c r="W303" s="91" t="n"/>
      <c r="X303" s="91" t="n"/>
      <c r="Y303" s="91" t="n"/>
      <c r="Z303" s="91" t="n"/>
      <c r="AA303" s="91" t="n"/>
    </row>
    <row r="304" ht="12.75" customHeight="1" s="117">
      <c r="A304" s="91" t="n"/>
      <c r="B304" s="91" t="n"/>
      <c r="C304" s="91" t="n"/>
      <c r="D304" s="91" t="n"/>
      <c r="E304" s="91" t="n"/>
      <c r="F304" s="91" t="n"/>
      <c r="G304" s="91" t="n"/>
      <c r="H304" s="91" t="n"/>
      <c r="I304" s="91" t="n"/>
      <c r="J304" s="91" t="n"/>
      <c r="K304" s="91" t="n"/>
      <c r="L304" s="91" t="n"/>
      <c r="M304" s="91" t="n"/>
      <c r="N304" s="91" t="n"/>
      <c r="O304" s="91" t="n"/>
      <c r="P304" s="91" t="n"/>
      <c r="Q304" s="91" t="n"/>
      <c r="R304" s="91" t="n"/>
      <c r="S304" s="91" t="n"/>
      <c r="T304" s="91" t="n"/>
      <c r="U304" s="91" t="n"/>
      <c r="V304" s="91" t="n"/>
      <c r="W304" s="91" t="n"/>
      <c r="X304" s="91" t="n"/>
      <c r="Y304" s="91" t="n"/>
      <c r="Z304" s="91" t="n"/>
      <c r="AA304" s="91" t="n"/>
    </row>
    <row r="305" ht="12.75" customHeight="1" s="117">
      <c r="A305" s="91" t="n"/>
      <c r="B305" s="91" t="n"/>
      <c r="C305" s="91" t="n"/>
      <c r="D305" s="91" t="n"/>
      <c r="E305" s="91" t="n"/>
      <c r="F305" s="91" t="n"/>
      <c r="G305" s="91" t="n"/>
      <c r="H305" s="91" t="n"/>
      <c r="I305" s="91" t="n"/>
      <c r="J305" s="91" t="n"/>
      <c r="K305" s="91" t="n"/>
      <c r="L305" s="91" t="n"/>
      <c r="M305" s="91" t="n"/>
      <c r="N305" s="91" t="n"/>
      <c r="O305" s="91" t="n"/>
      <c r="P305" s="91" t="n"/>
      <c r="Q305" s="91" t="n"/>
      <c r="R305" s="91" t="n"/>
      <c r="S305" s="91" t="n"/>
      <c r="T305" s="91" t="n"/>
      <c r="U305" s="91" t="n"/>
      <c r="V305" s="91" t="n"/>
      <c r="W305" s="91" t="n"/>
      <c r="X305" s="91" t="n"/>
      <c r="Y305" s="91" t="n"/>
      <c r="Z305" s="91" t="n"/>
      <c r="AA305" s="91" t="n"/>
    </row>
    <row r="306" ht="12.75" customHeight="1" s="117">
      <c r="A306" s="91" t="n"/>
      <c r="B306" s="91" t="n"/>
      <c r="C306" s="91" t="n"/>
      <c r="D306" s="91" t="n"/>
      <c r="E306" s="91" t="n"/>
      <c r="F306" s="91" t="n"/>
      <c r="G306" s="91" t="n"/>
      <c r="H306" s="91" t="n"/>
      <c r="I306" s="91" t="n"/>
      <c r="J306" s="91" t="n"/>
      <c r="K306" s="91" t="n"/>
      <c r="L306" s="91" t="n"/>
      <c r="M306" s="91" t="n"/>
      <c r="N306" s="91" t="n"/>
      <c r="O306" s="91" t="n"/>
      <c r="P306" s="91" t="n"/>
      <c r="Q306" s="91" t="n"/>
      <c r="R306" s="91" t="n"/>
      <c r="S306" s="91" t="n"/>
      <c r="T306" s="91" t="n"/>
      <c r="U306" s="91" t="n"/>
      <c r="V306" s="91" t="n"/>
      <c r="W306" s="91" t="n"/>
      <c r="X306" s="91" t="n"/>
      <c r="Y306" s="91" t="n"/>
      <c r="Z306" s="91" t="n"/>
      <c r="AA306" s="91" t="n"/>
    </row>
    <row r="307" ht="12.75" customHeight="1" s="117">
      <c r="A307" s="91" t="n"/>
      <c r="B307" s="91" t="n"/>
      <c r="C307" s="91" t="n"/>
      <c r="D307" s="91" t="n"/>
      <c r="E307" s="91" t="n"/>
      <c r="F307" s="91" t="n"/>
      <c r="G307" s="91" t="n"/>
      <c r="H307" s="91" t="n"/>
      <c r="I307" s="91" t="n"/>
      <c r="J307" s="91" t="n"/>
      <c r="K307" s="91" t="n"/>
      <c r="L307" s="91" t="n"/>
      <c r="M307" s="91" t="n"/>
      <c r="N307" s="91" t="n"/>
      <c r="O307" s="91" t="n"/>
      <c r="P307" s="91" t="n"/>
      <c r="Q307" s="91" t="n"/>
      <c r="R307" s="91" t="n"/>
      <c r="S307" s="91" t="n"/>
      <c r="T307" s="91" t="n"/>
      <c r="U307" s="91" t="n"/>
      <c r="V307" s="91" t="n"/>
      <c r="W307" s="91" t="n"/>
      <c r="X307" s="91" t="n"/>
      <c r="Y307" s="91" t="n"/>
      <c r="Z307" s="91" t="n"/>
      <c r="AA307" s="91" t="n"/>
    </row>
    <row r="308" ht="12.75" customHeight="1" s="117">
      <c r="A308" s="91" t="n"/>
      <c r="B308" s="91" t="n"/>
      <c r="C308" s="91" t="n"/>
      <c r="D308" s="91" t="n"/>
      <c r="E308" s="91" t="n"/>
      <c r="F308" s="91" t="n"/>
      <c r="G308" s="91" t="n"/>
      <c r="H308" s="91" t="n"/>
      <c r="I308" s="91" t="n"/>
      <c r="J308" s="91" t="n"/>
      <c r="K308" s="91" t="n"/>
      <c r="L308" s="91" t="n"/>
      <c r="M308" s="91" t="n"/>
      <c r="N308" s="91" t="n"/>
      <c r="O308" s="91" t="n"/>
      <c r="P308" s="91" t="n"/>
      <c r="Q308" s="91" t="n"/>
      <c r="R308" s="91" t="n"/>
      <c r="S308" s="91" t="n"/>
      <c r="T308" s="91" t="n"/>
      <c r="U308" s="91" t="n"/>
      <c r="V308" s="91" t="n"/>
      <c r="W308" s="91" t="n"/>
      <c r="X308" s="91" t="n"/>
      <c r="Y308" s="91" t="n"/>
      <c r="Z308" s="91" t="n"/>
      <c r="AA308" s="91" t="n"/>
    </row>
    <row r="309" ht="12.75" customHeight="1" s="117">
      <c r="A309" s="91" t="n"/>
      <c r="B309" s="91" t="n"/>
      <c r="C309" s="91" t="n"/>
      <c r="D309" s="91" t="n"/>
      <c r="E309" s="91" t="n"/>
      <c r="F309" s="91" t="n"/>
      <c r="G309" s="91" t="n"/>
      <c r="H309" s="91" t="n"/>
      <c r="I309" s="91" t="n"/>
      <c r="J309" s="91" t="n"/>
      <c r="K309" s="91" t="n"/>
      <c r="L309" s="91" t="n"/>
      <c r="M309" s="91" t="n"/>
      <c r="N309" s="91" t="n"/>
      <c r="O309" s="91" t="n"/>
      <c r="P309" s="91" t="n"/>
      <c r="Q309" s="91" t="n"/>
      <c r="R309" s="91" t="n"/>
      <c r="S309" s="91" t="n"/>
      <c r="T309" s="91" t="n"/>
      <c r="U309" s="91" t="n"/>
      <c r="V309" s="91" t="n"/>
      <c r="W309" s="91" t="n"/>
      <c r="X309" s="91" t="n"/>
      <c r="Y309" s="91" t="n"/>
      <c r="Z309" s="91" t="n"/>
      <c r="AA309" s="91" t="n"/>
    </row>
    <row r="310" ht="12.75" customHeight="1" s="117">
      <c r="A310" s="91" t="n"/>
      <c r="B310" s="91" t="n"/>
      <c r="C310" s="91" t="n"/>
      <c r="D310" s="91" t="n"/>
      <c r="E310" s="91" t="n"/>
      <c r="F310" s="91" t="n"/>
      <c r="G310" s="91" t="n"/>
      <c r="H310" s="91" t="n"/>
      <c r="I310" s="91" t="n"/>
      <c r="J310" s="91" t="n"/>
      <c r="K310" s="91" t="n"/>
      <c r="L310" s="91" t="n"/>
      <c r="M310" s="91" t="n"/>
      <c r="N310" s="91" t="n"/>
      <c r="O310" s="91" t="n"/>
      <c r="P310" s="91" t="n"/>
      <c r="Q310" s="91" t="n"/>
      <c r="R310" s="91" t="n"/>
      <c r="S310" s="91" t="n"/>
      <c r="T310" s="91" t="n"/>
      <c r="U310" s="91" t="n"/>
      <c r="V310" s="91" t="n"/>
      <c r="W310" s="91" t="n"/>
      <c r="X310" s="91" t="n"/>
      <c r="Y310" s="91" t="n"/>
      <c r="Z310" s="91" t="n"/>
      <c r="AA310" s="91" t="n"/>
    </row>
    <row r="311" ht="12.75" customHeight="1" s="117">
      <c r="A311" s="91" t="n"/>
      <c r="B311" s="91" t="n"/>
      <c r="C311" s="91" t="n"/>
      <c r="D311" s="91" t="n"/>
      <c r="E311" s="91" t="n"/>
      <c r="F311" s="91" t="n"/>
      <c r="G311" s="91" t="n"/>
      <c r="H311" s="91" t="n"/>
      <c r="I311" s="91" t="n"/>
      <c r="J311" s="91" t="n"/>
      <c r="K311" s="91" t="n"/>
      <c r="L311" s="91" t="n"/>
      <c r="M311" s="91" t="n"/>
      <c r="N311" s="91" t="n"/>
      <c r="O311" s="91" t="n"/>
      <c r="P311" s="91" t="n"/>
      <c r="Q311" s="91" t="n"/>
      <c r="R311" s="91" t="n"/>
      <c r="S311" s="91" t="n"/>
      <c r="T311" s="91" t="n"/>
      <c r="U311" s="91" t="n"/>
      <c r="V311" s="91" t="n"/>
      <c r="W311" s="91" t="n"/>
      <c r="X311" s="91" t="n"/>
      <c r="Y311" s="91" t="n"/>
      <c r="Z311" s="91" t="n"/>
      <c r="AA311" s="91" t="n"/>
    </row>
    <row r="312" ht="12.75" customHeight="1" s="117">
      <c r="A312" s="91" t="n"/>
      <c r="B312" s="91" t="n"/>
      <c r="C312" s="91" t="n"/>
      <c r="D312" s="91" t="n"/>
      <c r="E312" s="91" t="n"/>
      <c r="F312" s="91" t="n"/>
      <c r="G312" s="91" t="n"/>
      <c r="H312" s="91" t="n"/>
      <c r="I312" s="91" t="n"/>
      <c r="J312" s="91" t="n"/>
      <c r="K312" s="91" t="n"/>
      <c r="L312" s="91" t="n"/>
      <c r="M312" s="91" t="n"/>
      <c r="N312" s="91" t="n"/>
      <c r="O312" s="91" t="n"/>
      <c r="P312" s="91" t="n"/>
      <c r="Q312" s="91" t="n"/>
      <c r="R312" s="91" t="n"/>
      <c r="S312" s="91" t="n"/>
      <c r="T312" s="91" t="n"/>
      <c r="U312" s="91" t="n"/>
      <c r="V312" s="91" t="n"/>
      <c r="W312" s="91" t="n"/>
      <c r="X312" s="91" t="n"/>
      <c r="Y312" s="91" t="n"/>
      <c r="Z312" s="91" t="n"/>
      <c r="AA312" s="91" t="n"/>
    </row>
    <row r="313" ht="12.75" customHeight="1" s="117">
      <c r="A313" s="91" t="n"/>
      <c r="B313" s="91" t="n"/>
      <c r="C313" s="91" t="n"/>
      <c r="D313" s="91" t="n"/>
      <c r="E313" s="91" t="n"/>
      <c r="F313" s="91" t="n"/>
      <c r="G313" s="91" t="n"/>
      <c r="H313" s="91" t="n"/>
      <c r="I313" s="91" t="n"/>
      <c r="J313" s="91" t="n"/>
      <c r="K313" s="91" t="n"/>
      <c r="L313" s="91" t="n"/>
      <c r="M313" s="91" t="n"/>
      <c r="N313" s="91" t="n"/>
      <c r="O313" s="91" t="n"/>
      <c r="P313" s="91" t="n"/>
      <c r="Q313" s="91" t="n"/>
      <c r="R313" s="91" t="n"/>
      <c r="S313" s="91" t="n"/>
      <c r="T313" s="91" t="n"/>
      <c r="U313" s="91" t="n"/>
      <c r="V313" s="91" t="n"/>
      <c r="W313" s="91" t="n"/>
      <c r="X313" s="91" t="n"/>
      <c r="Y313" s="91" t="n"/>
      <c r="Z313" s="91" t="n"/>
      <c r="AA313" s="91" t="n"/>
    </row>
    <row r="314" ht="12.75" customHeight="1" s="117">
      <c r="A314" s="91" t="n"/>
      <c r="B314" s="91" t="n"/>
      <c r="C314" s="91" t="n"/>
      <c r="D314" s="91" t="n"/>
      <c r="E314" s="91" t="n"/>
      <c r="F314" s="91" t="n"/>
      <c r="G314" s="91" t="n"/>
      <c r="H314" s="91" t="n"/>
      <c r="I314" s="91" t="n"/>
      <c r="J314" s="91" t="n"/>
      <c r="K314" s="91" t="n"/>
      <c r="L314" s="91" t="n"/>
      <c r="M314" s="91" t="n"/>
      <c r="N314" s="91" t="n"/>
      <c r="O314" s="91" t="n"/>
      <c r="P314" s="91" t="n"/>
      <c r="Q314" s="91" t="n"/>
      <c r="R314" s="91" t="n"/>
      <c r="S314" s="91" t="n"/>
      <c r="T314" s="91" t="n"/>
      <c r="U314" s="91" t="n"/>
      <c r="V314" s="91" t="n"/>
      <c r="W314" s="91" t="n"/>
      <c r="X314" s="91" t="n"/>
      <c r="Y314" s="91" t="n"/>
      <c r="Z314" s="91" t="n"/>
      <c r="AA314" s="91" t="n"/>
    </row>
    <row r="315" ht="12.75" customHeight="1" s="117">
      <c r="A315" s="91" t="n"/>
      <c r="B315" s="91" t="n"/>
      <c r="C315" s="91" t="n"/>
      <c r="D315" s="91" t="n"/>
      <c r="E315" s="91" t="n"/>
      <c r="F315" s="91" t="n"/>
      <c r="G315" s="91" t="n"/>
      <c r="H315" s="91" t="n"/>
      <c r="I315" s="91" t="n"/>
      <c r="J315" s="91" t="n"/>
      <c r="K315" s="91" t="n"/>
      <c r="L315" s="91" t="n"/>
      <c r="M315" s="91" t="n"/>
      <c r="N315" s="91" t="n"/>
      <c r="O315" s="91" t="n"/>
      <c r="P315" s="91" t="n"/>
      <c r="Q315" s="91" t="n"/>
      <c r="R315" s="91" t="n"/>
      <c r="S315" s="91" t="n"/>
      <c r="T315" s="91" t="n"/>
      <c r="U315" s="91" t="n"/>
      <c r="V315" s="91" t="n"/>
      <c r="W315" s="91" t="n"/>
      <c r="X315" s="91" t="n"/>
      <c r="Y315" s="91" t="n"/>
      <c r="Z315" s="91" t="n"/>
      <c r="AA315" s="91" t="n"/>
    </row>
    <row r="316" ht="12.75" customHeight="1" s="117">
      <c r="A316" s="91" t="n"/>
      <c r="B316" s="91" t="n"/>
      <c r="C316" s="91" t="n"/>
      <c r="D316" s="91" t="n"/>
      <c r="E316" s="91" t="n"/>
      <c r="F316" s="91" t="n"/>
      <c r="G316" s="91" t="n"/>
      <c r="H316" s="91" t="n"/>
      <c r="I316" s="91" t="n"/>
      <c r="J316" s="91" t="n"/>
      <c r="K316" s="91" t="n"/>
      <c r="L316" s="91" t="n"/>
      <c r="M316" s="91" t="n"/>
      <c r="N316" s="91" t="n"/>
      <c r="O316" s="91" t="n"/>
      <c r="P316" s="91" t="n"/>
      <c r="Q316" s="91" t="n"/>
      <c r="R316" s="91" t="n"/>
      <c r="S316" s="91" t="n"/>
      <c r="T316" s="91" t="n"/>
      <c r="U316" s="91" t="n"/>
      <c r="V316" s="91" t="n"/>
      <c r="W316" s="91" t="n"/>
      <c r="X316" s="91" t="n"/>
      <c r="Y316" s="91" t="n"/>
      <c r="Z316" s="91" t="n"/>
      <c r="AA316" s="91" t="n"/>
    </row>
    <row r="317" ht="12.75" customHeight="1" s="117">
      <c r="A317" s="91" t="n"/>
      <c r="B317" s="91" t="n"/>
      <c r="C317" s="91" t="n"/>
      <c r="D317" s="91" t="n"/>
      <c r="E317" s="91" t="n"/>
      <c r="F317" s="91" t="n"/>
      <c r="G317" s="91" t="n"/>
      <c r="H317" s="91" t="n"/>
      <c r="I317" s="91" t="n"/>
      <c r="J317" s="91" t="n"/>
      <c r="K317" s="91" t="n"/>
      <c r="L317" s="91" t="n"/>
      <c r="M317" s="91" t="n"/>
      <c r="N317" s="91" t="n"/>
      <c r="O317" s="91" t="n"/>
      <c r="P317" s="91" t="n"/>
      <c r="Q317" s="91" t="n"/>
      <c r="R317" s="91" t="n"/>
      <c r="S317" s="91" t="n"/>
      <c r="T317" s="91" t="n"/>
      <c r="U317" s="91" t="n"/>
      <c r="V317" s="91" t="n"/>
      <c r="W317" s="91" t="n"/>
      <c r="X317" s="91" t="n"/>
      <c r="Y317" s="91" t="n"/>
      <c r="Z317" s="91" t="n"/>
      <c r="AA317" s="91" t="n"/>
    </row>
    <row r="318" ht="12.75" customHeight="1" s="117">
      <c r="A318" s="91" t="n"/>
      <c r="B318" s="91" t="n"/>
      <c r="C318" s="91" t="n"/>
      <c r="D318" s="91" t="n"/>
      <c r="E318" s="91" t="n"/>
      <c r="F318" s="91" t="n"/>
      <c r="G318" s="91" t="n"/>
      <c r="H318" s="91" t="n"/>
      <c r="I318" s="91" t="n"/>
      <c r="J318" s="91" t="n"/>
      <c r="K318" s="91" t="n"/>
      <c r="L318" s="91" t="n"/>
      <c r="M318" s="91" t="n"/>
      <c r="N318" s="91" t="n"/>
      <c r="O318" s="91" t="n"/>
      <c r="P318" s="91" t="n"/>
      <c r="Q318" s="91" t="n"/>
      <c r="R318" s="91" t="n"/>
      <c r="S318" s="91" t="n"/>
      <c r="T318" s="91" t="n"/>
      <c r="U318" s="91" t="n"/>
      <c r="V318" s="91" t="n"/>
      <c r="W318" s="91" t="n"/>
      <c r="X318" s="91" t="n"/>
      <c r="Y318" s="91" t="n"/>
      <c r="Z318" s="91" t="n"/>
      <c r="AA318" s="91" t="n"/>
    </row>
    <row r="319" ht="12.75" customHeight="1" s="117">
      <c r="A319" s="91" t="n"/>
      <c r="B319" s="91" t="n"/>
      <c r="C319" s="91" t="n"/>
      <c r="D319" s="91" t="n"/>
      <c r="E319" s="91" t="n"/>
      <c r="F319" s="91" t="n"/>
      <c r="G319" s="91" t="n"/>
      <c r="H319" s="91" t="n"/>
      <c r="I319" s="91" t="n"/>
      <c r="J319" s="91" t="n"/>
      <c r="K319" s="91" t="n"/>
      <c r="L319" s="91" t="n"/>
      <c r="M319" s="91" t="n"/>
      <c r="N319" s="91" t="n"/>
      <c r="O319" s="91" t="n"/>
      <c r="P319" s="91" t="n"/>
      <c r="Q319" s="91" t="n"/>
      <c r="R319" s="91" t="n"/>
      <c r="S319" s="91" t="n"/>
      <c r="T319" s="91" t="n"/>
      <c r="U319" s="91" t="n"/>
      <c r="V319" s="91" t="n"/>
      <c r="W319" s="91" t="n"/>
      <c r="X319" s="91" t="n"/>
      <c r="Y319" s="91" t="n"/>
      <c r="Z319" s="91" t="n"/>
      <c r="AA319" s="91" t="n"/>
    </row>
    <row r="320" ht="12.75" customHeight="1" s="117">
      <c r="A320" s="91" t="n"/>
      <c r="B320" s="91" t="n"/>
      <c r="C320" s="91" t="n"/>
      <c r="D320" s="91" t="n"/>
      <c r="E320" s="91" t="n"/>
      <c r="F320" s="91" t="n"/>
      <c r="G320" s="91" t="n"/>
      <c r="H320" s="91" t="n"/>
      <c r="I320" s="91" t="n"/>
      <c r="J320" s="91" t="n"/>
      <c r="K320" s="91" t="n"/>
      <c r="L320" s="91" t="n"/>
      <c r="M320" s="91" t="n"/>
      <c r="N320" s="91" t="n"/>
      <c r="O320" s="91" t="n"/>
      <c r="P320" s="91" t="n"/>
      <c r="Q320" s="91" t="n"/>
      <c r="R320" s="91" t="n"/>
      <c r="S320" s="91" t="n"/>
      <c r="T320" s="91" t="n"/>
      <c r="U320" s="91" t="n"/>
      <c r="V320" s="91" t="n"/>
      <c r="W320" s="91" t="n"/>
      <c r="X320" s="91" t="n"/>
      <c r="Y320" s="91" t="n"/>
      <c r="Z320" s="91" t="n"/>
      <c r="AA320" s="91" t="n"/>
    </row>
    <row r="321" ht="12.75" customHeight="1" s="117">
      <c r="A321" s="91" t="n"/>
      <c r="B321" s="91" t="n"/>
      <c r="C321" s="91" t="n"/>
      <c r="D321" s="91" t="n"/>
      <c r="E321" s="91" t="n"/>
      <c r="F321" s="91" t="n"/>
      <c r="G321" s="91" t="n"/>
      <c r="H321" s="91" t="n"/>
      <c r="I321" s="91" t="n"/>
      <c r="J321" s="91" t="n"/>
      <c r="K321" s="91" t="n"/>
      <c r="L321" s="91" t="n"/>
      <c r="M321" s="91" t="n"/>
      <c r="N321" s="91" t="n"/>
      <c r="O321" s="91" t="n"/>
      <c r="P321" s="91" t="n"/>
      <c r="Q321" s="91" t="n"/>
      <c r="R321" s="91" t="n"/>
      <c r="S321" s="91" t="n"/>
      <c r="T321" s="91" t="n"/>
      <c r="U321" s="91" t="n"/>
      <c r="V321" s="91" t="n"/>
      <c r="W321" s="91" t="n"/>
      <c r="X321" s="91" t="n"/>
      <c r="Y321" s="91" t="n"/>
      <c r="Z321" s="91" t="n"/>
      <c r="AA321" s="91" t="n"/>
    </row>
    <row r="322" ht="12.75" customHeight="1" s="117">
      <c r="A322" s="91" t="n"/>
      <c r="B322" s="91" t="n"/>
      <c r="C322" s="91" t="n"/>
      <c r="D322" s="91" t="n"/>
      <c r="E322" s="91" t="n"/>
      <c r="F322" s="91" t="n"/>
      <c r="G322" s="91" t="n"/>
      <c r="H322" s="91" t="n"/>
      <c r="I322" s="91" t="n"/>
      <c r="J322" s="91" t="n"/>
      <c r="K322" s="91" t="n"/>
      <c r="L322" s="91" t="n"/>
      <c r="M322" s="91" t="n"/>
      <c r="N322" s="91" t="n"/>
      <c r="O322" s="91" t="n"/>
      <c r="P322" s="91" t="n"/>
      <c r="Q322" s="91" t="n"/>
      <c r="R322" s="91" t="n"/>
      <c r="S322" s="91" t="n"/>
      <c r="T322" s="91" t="n"/>
      <c r="U322" s="91" t="n"/>
      <c r="V322" s="91" t="n"/>
      <c r="W322" s="91" t="n"/>
      <c r="X322" s="91" t="n"/>
      <c r="Y322" s="91" t="n"/>
      <c r="Z322" s="91" t="n"/>
      <c r="AA322" s="91" t="n"/>
    </row>
    <row r="323" ht="12.75" customHeight="1" s="117">
      <c r="A323" s="91" t="n"/>
      <c r="B323" s="91" t="n"/>
      <c r="C323" s="91" t="n"/>
      <c r="D323" s="91" t="n"/>
      <c r="E323" s="91" t="n"/>
      <c r="F323" s="91" t="n"/>
      <c r="G323" s="91" t="n"/>
      <c r="H323" s="91" t="n"/>
      <c r="I323" s="91" t="n"/>
      <c r="J323" s="91" t="n"/>
      <c r="K323" s="91" t="n"/>
      <c r="L323" s="91" t="n"/>
      <c r="M323" s="91" t="n"/>
      <c r="N323" s="91" t="n"/>
      <c r="O323" s="91" t="n"/>
      <c r="P323" s="91" t="n"/>
      <c r="Q323" s="91" t="n"/>
      <c r="R323" s="91" t="n"/>
      <c r="S323" s="91" t="n"/>
      <c r="T323" s="91" t="n"/>
      <c r="U323" s="91" t="n"/>
      <c r="V323" s="91" t="n"/>
      <c r="W323" s="91" t="n"/>
      <c r="X323" s="91" t="n"/>
      <c r="Y323" s="91" t="n"/>
      <c r="Z323" s="91" t="n"/>
      <c r="AA323" s="91" t="n"/>
    </row>
    <row r="324" ht="12.75" customHeight="1" s="117">
      <c r="A324" s="91" t="n"/>
      <c r="B324" s="91" t="n"/>
      <c r="C324" s="91" t="n"/>
      <c r="D324" s="91" t="n"/>
      <c r="E324" s="91" t="n"/>
      <c r="F324" s="91" t="n"/>
      <c r="G324" s="91" t="n"/>
      <c r="H324" s="91" t="n"/>
      <c r="I324" s="91" t="n"/>
      <c r="J324" s="91" t="n"/>
      <c r="K324" s="91" t="n"/>
      <c r="L324" s="91" t="n"/>
      <c r="M324" s="91" t="n"/>
      <c r="N324" s="91" t="n"/>
      <c r="O324" s="91" t="n"/>
      <c r="P324" s="91" t="n"/>
      <c r="Q324" s="91" t="n"/>
      <c r="R324" s="91" t="n"/>
      <c r="S324" s="91" t="n"/>
      <c r="T324" s="91" t="n"/>
      <c r="U324" s="91" t="n"/>
      <c r="V324" s="91" t="n"/>
      <c r="W324" s="91" t="n"/>
      <c r="X324" s="91" t="n"/>
      <c r="Y324" s="91" t="n"/>
      <c r="Z324" s="91" t="n"/>
      <c r="AA324" s="91" t="n"/>
    </row>
    <row r="325" ht="12.75" customHeight="1" s="117">
      <c r="A325" s="91" t="n"/>
      <c r="B325" s="91" t="n"/>
      <c r="C325" s="91" t="n"/>
      <c r="D325" s="91" t="n"/>
      <c r="E325" s="91" t="n"/>
      <c r="F325" s="91" t="n"/>
      <c r="G325" s="91" t="n"/>
      <c r="H325" s="91" t="n"/>
      <c r="I325" s="91" t="n"/>
      <c r="J325" s="91" t="n"/>
      <c r="K325" s="91" t="n"/>
      <c r="L325" s="91" t="n"/>
      <c r="M325" s="91" t="n"/>
      <c r="N325" s="91" t="n"/>
      <c r="O325" s="91" t="n"/>
      <c r="P325" s="91" t="n"/>
      <c r="Q325" s="91" t="n"/>
      <c r="R325" s="91" t="n"/>
      <c r="S325" s="91" t="n"/>
      <c r="T325" s="91" t="n"/>
      <c r="U325" s="91" t="n"/>
      <c r="V325" s="91" t="n"/>
      <c r="W325" s="91" t="n"/>
      <c r="X325" s="91" t="n"/>
      <c r="Y325" s="91" t="n"/>
      <c r="Z325" s="91" t="n"/>
      <c r="AA325" s="91" t="n"/>
    </row>
    <row r="326" ht="12.75" customHeight="1" s="117">
      <c r="A326" s="91" t="n"/>
      <c r="B326" s="91" t="n"/>
      <c r="C326" s="91" t="n"/>
      <c r="D326" s="91" t="n"/>
      <c r="E326" s="91" t="n"/>
      <c r="F326" s="91" t="n"/>
      <c r="G326" s="91" t="n"/>
      <c r="H326" s="91" t="n"/>
      <c r="I326" s="91" t="n"/>
      <c r="J326" s="91" t="n"/>
      <c r="K326" s="91" t="n"/>
      <c r="L326" s="91" t="n"/>
      <c r="M326" s="91" t="n"/>
      <c r="N326" s="91" t="n"/>
      <c r="O326" s="91" t="n"/>
      <c r="P326" s="91" t="n"/>
      <c r="Q326" s="91" t="n"/>
      <c r="R326" s="91" t="n"/>
      <c r="S326" s="91" t="n"/>
      <c r="T326" s="91" t="n"/>
      <c r="U326" s="91" t="n"/>
      <c r="V326" s="91" t="n"/>
      <c r="W326" s="91" t="n"/>
      <c r="X326" s="91" t="n"/>
      <c r="Y326" s="91" t="n"/>
      <c r="Z326" s="91" t="n"/>
      <c r="AA326" s="91" t="n"/>
    </row>
    <row r="327" ht="12.75" customHeight="1" s="117">
      <c r="A327" s="91" t="n"/>
      <c r="B327" s="91" t="n"/>
      <c r="C327" s="91" t="n"/>
      <c r="D327" s="91" t="n"/>
      <c r="E327" s="91" t="n"/>
      <c r="F327" s="91" t="n"/>
      <c r="G327" s="91" t="n"/>
      <c r="H327" s="91" t="n"/>
      <c r="I327" s="91" t="n"/>
      <c r="J327" s="91" t="n"/>
      <c r="K327" s="91" t="n"/>
      <c r="L327" s="91" t="n"/>
      <c r="M327" s="91" t="n"/>
      <c r="N327" s="91" t="n"/>
      <c r="O327" s="91" t="n"/>
      <c r="P327" s="91" t="n"/>
      <c r="Q327" s="91" t="n"/>
      <c r="R327" s="91" t="n"/>
      <c r="S327" s="91" t="n"/>
      <c r="T327" s="91" t="n"/>
      <c r="U327" s="91" t="n"/>
      <c r="V327" s="91" t="n"/>
      <c r="W327" s="91" t="n"/>
      <c r="X327" s="91" t="n"/>
      <c r="Y327" s="91" t="n"/>
      <c r="Z327" s="91" t="n"/>
      <c r="AA327" s="91" t="n"/>
    </row>
    <row r="328" ht="12.75" customHeight="1" s="117">
      <c r="A328" s="91" t="n"/>
      <c r="B328" s="91" t="n"/>
      <c r="C328" s="91" t="n"/>
      <c r="D328" s="91" t="n"/>
      <c r="E328" s="91" t="n"/>
      <c r="F328" s="91" t="n"/>
      <c r="G328" s="91" t="n"/>
      <c r="H328" s="91" t="n"/>
      <c r="I328" s="91" t="n"/>
      <c r="J328" s="91" t="n"/>
      <c r="K328" s="91" t="n"/>
      <c r="L328" s="91" t="n"/>
      <c r="M328" s="91" t="n"/>
      <c r="N328" s="91" t="n"/>
      <c r="O328" s="91" t="n"/>
      <c r="P328" s="91" t="n"/>
      <c r="Q328" s="91" t="n"/>
      <c r="R328" s="91" t="n"/>
      <c r="S328" s="91" t="n"/>
      <c r="T328" s="91" t="n"/>
      <c r="U328" s="91" t="n"/>
      <c r="V328" s="91" t="n"/>
      <c r="W328" s="91" t="n"/>
      <c r="X328" s="91" t="n"/>
      <c r="Y328" s="91" t="n"/>
      <c r="Z328" s="91" t="n"/>
      <c r="AA328" s="91" t="n"/>
    </row>
    <row r="329" ht="12.75" customHeight="1" s="117">
      <c r="A329" s="91" t="n"/>
      <c r="B329" s="91" t="n"/>
      <c r="C329" s="91" t="n"/>
      <c r="D329" s="91" t="n"/>
      <c r="E329" s="91" t="n"/>
      <c r="F329" s="91" t="n"/>
      <c r="G329" s="91" t="n"/>
      <c r="H329" s="91" t="n"/>
      <c r="I329" s="91" t="n"/>
      <c r="J329" s="91" t="n"/>
      <c r="K329" s="91" t="n"/>
      <c r="L329" s="91" t="n"/>
      <c r="M329" s="91" t="n"/>
      <c r="N329" s="91" t="n"/>
      <c r="O329" s="91" t="n"/>
      <c r="P329" s="91" t="n"/>
      <c r="Q329" s="91" t="n"/>
      <c r="R329" s="91" t="n"/>
      <c r="S329" s="91" t="n"/>
      <c r="T329" s="91" t="n"/>
      <c r="U329" s="91" t="n"/>
      <c r="V329" s="91" t="n"/>
      <c r="W329" s="91" t="n"/>
      <c r="X329" s="91" t="n"/>
      <c r="Y329" s="91" t="n"/>
      <c r="Z329" s="91" t="n"/>
      <c r="AA329" s="91" t="n"/>
    </row>
    <row r="330" ht="12.75" customHeight="1" s="117">
      <c r="A330" s="91" t="n"/>
      <c r="B330" s="91" t="n"/>
      <c r="C330" s="91" t="n"/>
      <c r="D330" s="91" t="n"/>
      <c r="E330" s="91" t="n"/>
      <c r="F330" s="91" t="n"/>
      <c r="G330" s="91" t="n"/>
      <c r="H330" s="91" t="n"/>
      <c r="I330" s="91" t="n"/>
      <c r="J330" s="91" t="n"/>
      <c r="K330" s="91" t="n"/>
      <c r="L330" s="91" t="n"/>
      <c r="M330" s="91" t="n"/>
      <c r="N330" s="91" t="n"/>
      <c r="O330" s="91" t="n"/>
      <c r="P330" s="91" t="n"/>
      <c r="Q330" s="91" t="n"/>
      <c r="R330" s="91" t="n"/>
      <c r="S330" s="91" t="n"/>
      <c r="T330" s="91" t="n"/>
      <c r="U330" s="91" t="n"/>
      <c r="V330" s="91" t="n"/>
      <c r="W330" s="91" t="n"/>
      <c r="X330" s="91" t="n"/>
      <c r="Y330" s="91" t="n"/>
      <c r="Z330" s="91" t="n"/>
      <c r="AA330" s="91" t="n"/>
    </row>
    <row r="331" ht="12.75" customHeight="1" s="117">
      <c r="A331" s="91" t="n"/>
      <c r="B331" s="91" t="n"/>
      <c r="C331" s="91" t="n"/>
      <c r="D331" s="91" t="n"/>
      <c r="E331" s="91" t="n"/>
      <c r="F331" s="91" t="n"/>
      <c r="G331" s="91" t="n"/>
      <c r="H331" s="91" t="n"/>
      <c r="I331" s="91" t="n"/>
      <c r="J331" s="91" t="n"/>
      <c r="K331" s="91" t="n"/>
      <c r="L331" s="91" t="n"/>
      <c r="M331" s="91" t="n"/>
      <c r="N331" s="91" t="n"/>
      <c r="O331" s="91" t="n"/>
      <c r="P331" s="91" t="n"/>
      <c r="Q331" s="91" t="n"/>
      <c r="R331" s="91" t="n"/>
      <c r="S331" s="91" t="n"/>
      <c r="T331" s="91" t="n"/>
      <c r="U331" s="91" t="n"/>
      <c r="V331" s="91" t="n"/>
      <c r="W331" s="91" t="n"/>
      <c r="X331" s="91" t="n"/>
      <c r="Y331" s="91" t="n"/>
      <c r="Z331" s="91" t="n"/>
      <c r="AA331" s="91" t="n"/>
    </row>
    <row r="332" ht="12.75" customHeight="1" s="117">
      <c r="A332" s="91" t="n"/>
      <c r="B332" s="91" t="n"/>
      <c r="C332" s="91" t="n"/>
      <c r="D332" s="91" t="n"/>
      <c r="E332" s="91" t="n"/>
      <c r="F332" s="91" t="n"/>
      <c r="G332" s="91" t="n"/>
      <c r="H332" s="91" t="n"/>
      <c r="I332" s="91" t="n"/>
      <c r="J332" s="91" t="n"/>
      <c r="K332" s="91" t="n"/>
      <c r="L332" s="91" t="n"/>
      <c r="M332" s="91" t="n"/>
      <c r="N332" s="91" t="n"/>
      <c r="O332" s="91" t="n"/>
      <c r="P332" s="91" t="n"/>
      <c r="Q332" s="91" t="n"/>
      <c r="R332" s="91" t="n"/>
      <c r="S332" s="91" t="n"/>
      <c r="T332" s="91" t="n"/>
      <c r="U332" s="91" t="n"/>
      <c r="V332" s="91" t="n"/>
      <c r="W332" s="91" t="n"/>
      <c r="X332" s="91" t="n"/>
      <c r="Y332" s="91" t="n"/>
      <c r="Z332" s="91" t="n"/>
      <c r="AA332" s="91" t="n"/>
    </row>
    <row r="333" ht="12.75" customHeight="1" s="117">
      <c r="A333" s="91" t="n"/>
      <c r="B333" s="91" t="n"/>
      <c r="C333" s="91" t="n"/>
      <c r="D333" s="91" t="n"/>
      <c r="E333" s="91" t="n"/>
      <c r="F333" s="91" t="n"/>
      <c r="G333" s="91" t="n"/>
      <c r="H333" s="91" t="n"/>
      <c r="I333" s="91" t="n"/>
      <c r="J333" s="91" t="n"/>
      <c r="K333" s="91" t="n"/>
      <c r="L333" s="91" t="n"/>
      <c r="M333" s="91" t="n"/>
      <c r="N333" s="91" t="n"/>
      <c r="O333" s="91" t="n"/>
      <c r="P333" s="91" t="n"/>
      <c r="Q333" s="91" t="n"/>
      <c r="R333" s="91" t="n"/>
      <c r="S333" s="91" t="n"/>
      <c r="T333" s="91" t="n"/>
      <c r="U333" s="91" t="n"/>
      <c r="V333" s="91" t="n"/>
      <c r="W333" s="91" t="n"/>
      <c r="X333" s="91" t="n"/>
      <c r="Y333" s="91" t="n"/>
      <c r="Z333" s="91" t="n"/>
      <c r="AA333" s="91" t="n"/>
    </row>
    <row r="334" ht="12.75" customHeight="1" s="117">
      <c r="A334" s="91" t="n"/>
      <c r="B334" s="91" t="n"/>
      <c r="C334" s="91" t="n"/>
      <c r="D334" s="91" t="n"/>
      <c r="E334" s="91" t="n"/>
      <c r="F334" s="91" t="n"/>
      <c r="G334" s="91" t="n"/>
      <c r="H334" s="91" t="n"/>
      <c r="I334" s="91" t="n"/>
      <c r="J334" s="91" t="n"/>
      <c r="K334" s="91" t="n"/>
      <c r="L334" s="91" t="n"/>
      <c r="M334" s="91" t="n"/>
      <c r="N334" s="91" t="n"/>
      <c r="O334" s="91" t="n"/>
      <c r="P334" s="91" t="n"/>
      <c r="Q334" s="91" t="n"/>
      <c r="R334" s="91" t="n"/>
      <c r="S334" s="91" t="n"/>
      <c r="T334" s="91" t="n"/>
      <c r="U334" s="91" t="n"/>
      <c r="V334" s="91" t="n"/>
      <c r="W334" s="91" t="n"/>
      <c r="X334" s="91" t="n"/>
      <c r="Y334" s="91" t="n"/>
      <c r="Z334" s="91" t="n"/>
      <c r="AA334" s="91" t="n"/>
    </row>
    <row r="335" ht="12.75" customHeight="1" s="117">
      <c r="A335" s="91" t="n"/>
      <c r="B335" s="91" t="n"/>
      <c r="C335" s="91" t="n"/>
      <c r="D335" s="91" t="n"/>
      <c r="E335" s="91" t="n"/>
      <c r="F335" s="91" t="n"/>
      <c r="G335" s="91" t="n"/>
      <c r="H335" s="91" t="n"/>
      <c r="I335" s="91" t="n"/>
      <c r="J335" s="91" t="n"/>
      <c r="K335" s="91" t="n"/>
      <c r="L335" s="91" t="n"/>
      <c r="M335" s="91" t="n"/>
      <c r="N335" s="91" t="n"/>
      <c r="O335" s="91" t="n"/>
      <c r="P335" s="91" t="n"/>
      <c r="Q335" s="91" t="n"/>
      <c r="R335" s="91" t="n"/>
      <c r="S335" s="91" t="n"/>
      <c r="T335" s="91" t="n"/>
      <c r="U335" s="91" t="n"/>
      <c r="V335" s="91" t="n"/>
      <c r="W335" s="91" t="n"/>
      <c r="X335" s="91" t="n"/>
      <c r="Y335" s="91" t="n"/>
      <c r="Z335" s="91" t="n"/>
      <c r="AA335" s="91" t="n"/>
    </row>
    <row r="336" ht="12.75" customHeight="1" s="117">
      <c r="A336" s="91" t="n"/>
      <c r="B336" s="91" t="n"/>
      <c r="C336" s="91" t="n"/>
      <c r="D336" s="91" t="n"/>
      <c r="E336" s="91" t="n"/>
      <c r="F336" s="91" t="n"/>
      <c r="G336" s="91" t="n"/>
      <c r="H336" s="91" t="n"/>
      <c r="I336" s="91" t="n"/>
      <c r="J336" s="91" t="n"/>
      <c r="K336" s="91" t="n"/>
      <c r="L336" s="91" t="n"/>
      <c r="M336" s="91" t="n"/>
      <c r="N336" s="91" t="n"/>
      <c r="O336" s="91" t="n"/>
      <c r="P336" s="91" t="n"/>
      <c r="Q336" s="91" t="n"/>
      <c r="R336" s="91" t="n"/>
      <c r="S336" s="91" t="n"/>
      <c r="T336" s="91" t="n"/>
      <c r="U336" s="91" t="n"/>
      <c r="V336" s="91" t="n"/>
      <c r="W336" s="91" t="n"/>
      <c r="X336" s="91" t="n"/>
      <c r="Y336" s="91" t="n"/>
      <c r="Z336" s="91" t="n"/>
      <c r="AA336" s="91" t="n"/>
    </row>
    <row r="337" ht="12.75" customHeight="1" s="117">
      <c r="A337" s="91" t="n"/>
      <c r="B337" s="91" t="n"/>
      <c r="C337" s="91" t="n"/>
      <c r="D337" s="91" t="n"/>
      <c r="E337" s="91" t="n"/>
      <c r="F337" s="91" t="n"/>
      <c r="G337" s="91" t="n"/>
      <c r="H337" s="91" t="n"/>
      <c r="I337" s="91" t="n"/>
      <c r="J337" s="91" t="n"/>
      <c r="K337" s="91" t="n"/>
      <c r="L337" s="91" t="n"/>
      <c r="M337" s="91" t="n"/>
      <c r="N337" s="91" t="n"/>
      <c r="O337" s="91" t="n"/>
      <c r="P337" s="91" t="n"/>
      <c r="Q337" s="91" t="n"/>
      <c r="R337" s="91" t="n"/>
      <c r="S337" s="91" t="n"/>
      <c r="T337" s="91" t="n"/>
      <c r="U337" s="91" t="n"/>
      <c r="V337" s="91" t="n"/>
      <c r="W337" s="91" t="n"/>
      <c r="X337" s="91" t="n"/>
      <c r="Y337" s="91" t="n"/>
      <c r="Z337" s="91" t="n"/>
      <c r="AA337" s="91" t="n"/>
    </row>
    <row r="338" ht="12.75" customHeight="1" s="117">
      <c r="A338" s="91" t="n"/>
      <c r="B338" s="91" t="n"/>
      <c r="C338" s="91" t="n"/>
      <c r="D338" s="91" t="n"/>
      <c r="E338" s="91" t="n"/>
      <c r="F338" s="91" t="n"/>
      <c r="G338" s="91" t="n"/>
      <c r="H338" s="91" t="n"/>
      <c r="I338" s="91" t="n"/>
      <c r="J338" s="91" t="n"/>
      <c r="K338" s="91" t="n"/>
      <c r="L338" s="91" t="n"/>
      <c r="M338" s="91" t="n"/>
      <c r="N338" s="91" t="n"/>
      <c r="O338" s="91" t="n"/>
      <c r="P338" s="91" t="n"/>
      <c r="Q338" s="91" t="n"/>
      <c r="R338" s="91" t="n"/>
      <c r="S338" s="91" t="n"/>
      <c r="T338" s="91" t="n"/>
      <c r="U338" s="91" t="n"/>
      <c r="V338" s="91" t="n"/>
      <c r="W338" s="91" t="n"/>
      <c r="X338" s="91" t="n"/>
      <c r="Y338" s="91" t="n"/>
      <c r="Z338" s="91" t="n"/>
      <c r="AA338" s="91" t="n"/>
    </row>
    <row r="339" ht="12.75" customHeight="1" s="117">
      <c r="A339" s="91" t="n"/>
      <c r="B339" s="91" t="n"/>
      <c r="C339" s="91" t="n"/>
      <c r="D339" s="91" t="n"/>
      <c r="E339" s="91" t="n"/>
      <c r="F339" s="91" t="n"/>
      <c r="G339" s="91" t="n"/>
      <c r="H339" s="91" t="n"/>
      <c r="I339" s="91" t="n"/>
      <c r="J339" s="91" t="n"/>
      <c r="K339" s="91" t="n"/>
      <c r="L339" s="91" t="n"/>
      <c r="M339" s="91" t="n"/>
      <c r="N339" s="91" t="n"/>
      <c r="O339" s="91" t="n"/>
      <c r="P339" s="91" t="n"/>
      <c r="Q339" s="91" t="n"/>
      <c r="R339" s="91" t="n"/>
      <c r="S339" s="91" t="n"/>
      <c r="T339" s="91" t="n"/>
      <c r="U339" s="91" t="n"/>
      <c r="V339" s="91" t="n"/>
      <c r="W339" s="91" t="n"/>
      <c r="X339" s="91" t="n"/>
      <c r="Y339" s="91" t="n"/>
      <c r="Z339" s="91" t="n"/>
      <c r="AA339" s="91" t="n"/>
    </row>
    <row r="340" ht="12.75" customHeight="1" s="117">
      <c r="A340" s="91" t="n"/>
      <c r="B340" s="91" t="n"/>
      <c r="C340" s="91" t="n"/>
      <c r="D340" s="91" t="n"/>
      <c r="E340" s="91" t="n"/>
      <c r="F340" s="91" t="n"/>
      <c r="G340" s="91" t="n"/>
      <c r="H340" s="91" t="n"/>
      <c r="I340" s="91" t="n"/>
      <c r="J340" s="91" t="n"/>
      <c r="K340" s="91" t="n"/>
      <c r="L340" s="91" t="n"/>
      <c r="M340" s="91" t="n"/>
      <c r="N340" s="91" t="n"/>
      <c r="O340" s="91" t="n"/>
      <c r="P340" s="91" t="n"/>
      <c r="Q340" s="91" t="n"/>
      <c r="R340" s="91" t="n"/>
      <c r="S340" s="91" t="n"/>
      <c r="T340" s="91" t="n"/>
      <c r="U340" s="91" t="n"/>
      <c r="V340" s="91" t="n"/>
      <c r="W340" s="91" t="n"/>
      <c r="X340" s="91" t="n"/>
      <c r="Y340" s="91" t="n"/>
      <c r="Z340" s="91" t="n"/>
      <c r="AA340" s="91" t="n"/>
    </row>
    <row r="341" ht="12.75" customHeight="1" s="117">
      <c r="A341" s="91" t="n"/>
      <c r="B341" s="91" t="n"/>
      <c r="C341" s="91" t="n"/>
      <c r="D341" s="91" t="n"/>
      <c r="E341" s="91" t="n"/>
      <c r="F341" s="91" t="n"/>
      <c r="G341" s="91" t="n"/>
      <c r="H341" s="91" t="n"/>
      <c r="I341" s="91" t="n"/>
      <c r="J341" s="91" t="n"/>
      <c r="K341" s="91" t="n"/>
      <c r="L341" s="91" t="n"/>
      <c r="M341" s="91" t="n"/>
      <c r="N341" s="91" t="n"/>
      <c r="O341" s="91" t="n"/>
      <c r="P341" s="91" t="n"/>
      <c r="Q341" s="91" t="n"/>
      <c r="R341" s="91" t="n"/>
      <c r="S341" s="91" t="n"/>
      <c r="T341" s="91" t="n"/>
      <c r="U341" s="91" t="n"/>
      <c r="V341" s="91" t="n"/>
      <c r="W341" s="91" t="n"/>
      <c r="X341" s="91" t="n"/>
      <c r="Y341" s="91" t="n"/>
      <c r="Z341" s="91" t="n"/>
      <c r="AA341" s="91" t="n"/>
    </row>
    <row r="342" ht="12.75" customHeight="1" s="117">
      <c r="A342" s="91" t="n"/>
      <c r="B342" s="91" t="n"/>
      <c r="C342" s="91" t="n"/>
      <c r="D342" s="91" t="n"/>
      <c r="E342" s="91" t="n"/>
      <c r="F342" s="91" t="n"/>
      <c r="G342" s="91" t="n"/>
      <c r="H342" s="91" t="n"/>
      <c r="I342" s="91" t="n"/>
      <c r="J342" s="91" t="n"/>
      <c r="K342" s="91" t="n"/>
      <c r="L342" s="91" t="n"/>
      <c r="M342" s="91" t="n"/>
      <c r="N342" s="91" t="n"/>
      <c r="O342" s="91" t="n"/>
      <c r="P342" s="91" t="n"/>
      <c r="Q342" s="91" t="n"/>
      <c r="R342" s="91" t="n"/>
      <c r="S342" s="91" t="n"/>
      <c r="T342" s="91" t="n"/>
      <c r="U342" s="91" t="n"/>
      <c r="V342" s="91" t="n"/>
      <c r="W342" s="91" t="n"/>
      <c r="X342" s="91" t="n"/>
      <c r="Y342" s="91" t="n"/>
      <c r="Z342" s="91" t="n"/>
      <c r="AA342" s="91" t="n"/>
    </row>
    <row r="343" ht="12.75" customHeight="1" s="117">
      <c r="A343" s="91" t="n"/>
      <c r="B343" s="91" t="n"/>
      <c r="C343" s="91" t="n"/>
      <c r="D343" s="91" t="n"/>
      <c r="E343" s="91" t="n"/>
      <c r="F343" s="91" t="n"/>
      <c r="G343" s="91" t="n"/>
      <c r="H343" s="91" t="n"/>
      <c r="I343" s="91" t="n"/>
      <c r="J343" s="91" t="n"/>
      <c r="K343" s="91" t="n"/>
      <c r="L343" s="91" t="n"/>
      <c r="M343" s="91" t="n"/>
      <c r="N343" s="91" t="n"/>
      <c r="O343" s="91" t="n"/>
      <c r="P343" s="91" t="n"/>
      <c r="Q343" s="91" t="n"/>
      <c r="R343" s="91" t="n"/>
      <c r="S343" s="91" t="n"/>
      <c r="T343" s="91" t="n"/>
      <c r="U343" s="91" t="n"/>
      <c r="V343" s="91" t="n"/>
      <c r="W343" s="91" t="n"/>
      <c r="X343" s="91" t="n"/>
      <c r="Y343" s="91" t="n"/>
      <c r="Z343" s="91" t="n"/>
      <c r="AA343" s="91" t="n"/>
    </row>
    <row r="344" ht="12.75" customHeight="1" s="117">
      <c r="A344" s="91" t="n"/>
      <c r="B344" s="91" t="n"/>
      <c r="C344" s="91" t="n"/>
      <c r="D344" s="91" t="n"/>
      <c r="E344" s="91" t="n"/>
      <c r="F344" s="91" t="n"/>
      <c r="G344" s="91" t="n"/>
      <c r="H344" s="91" t="n"/>
      <c r="I344" s="91" t="n"/>
      <c r="J344" s="91" t="n"/>
      <c r="K344" s="91" t="n"/>
      <c r="L344" s="91" t="n"/>
      <c r="M344" s="91" t="n"/>
      <c r="N344" s="91" t="n"/>
      <c r="O344" s="91" t="n"/>
      <c r="P344" s="91" t="n"/>
      <c r="Q344" s="91" t="n"/>
      <c r="R344" s="91" t="n"/>
      <c r="S344" s="91" t="n"/>
      <c r="T344" s="91" t="n"/>
      <c r="U344" s="91" t="n"/>
      <c r="V344" s="91" t="n"/>
      <c r="W344" s="91" t="n"/>
      <c r="X344" s="91" t="n"/>
      <c r="Y344" s="91" t="n"/>
      <c r="Z344" s="91" t="n"/>
      <c r="AA344" s="91" t="n"/>
    </row>
    <row r="345" ht="12.75" customHeight="1" s="117">
      <c r="A345" s="91" t="n"/>
      <c r="B345" s="91" t="n"/>
      <c r="C345" s="91" t="n"/>
      <c r="D345" s="91" t="n"/>
      <c r="E345" s="91" t="n"/>
      <c r="F345" s="91" t="n"/>
      <c r="G345" s="91" t="n"/>
      <c r="H345" s="91" t="n"/>
      <c r="I345" s="91" t="n"/>
      <c r="J345" s="91" t="n"/>
      <c r="K345" s="91" t="n"/>
      <c r="L345" s="91" t="n"/>
      <c r="M345" s="91" t="n"/>
      <c r="N345" s="91" t="n"/>
      <c r="O345" s="91" t="n"/>
      <c r="P345" s="91" t="n"/>
      <c r="Q345" s="91" t="n"/>
      <c r="R345" s="91" t="n"/>
      <c r="S345" s="91" t="n"/>
      <c r="T345" s="91" t="n"/>
      <c r="U345" s="91" t="n"/>
      <c r="V345" s="91" t="n"/>
      <c r="W345" s="91" t="n"/>
      <c r="X345" s="91" t="n"/>
      <c r="Y345" s="91" t="n"/>
      <c r="Z345" s="91" t="n"/>
      <c r="AA345" s="91" t="n"/>
    </row>
    <row r="346" ht="12.75" customHeight="1" s="117">
      <c r="A346" s="91" t="n"/>
      <c r="B346" s="91" t="n"/>
      <c r="C346" s="91" t="n"/>
      <c r="D346" s="91" t="n"/>
      <c r="E346" s="91" t="n"/>
      <c r="F346" s="91" t="n"/>
      <c r="G346" s="91" t="n"/>
      <c r="H346" s="91" t="n"/>
      <c r="I346" s="91" t="n"/>
      <c r="J346" s="91" t="n"/>
      <c r="K346" s="91" t="n"/>
      <c r="L346" s="91" t="n"/>
      <c r="M346" s="91" t="n"/>
      <c r="N346" s="91" t="n"/>
      <c r="O346" s="91" t="n"/>
      <c r="P346" s="91" t="n"/>
      <c r="Q346" s="91" t="n"/>
      <c r="R346" s="91" t="n"/>
      <c r="S346" s="91" t="n"/>
      <c r="T346" s="91" t="n"/>
      <c r="U346" s="91" t="n"/>
      <c r="V346" s="91" t="n"/>
      <c r="W346" s="91" t="n"/>
      <c r="X346" s="91" t="n"/>
      <c r="Y346" s="91" t="n"/>
      <c r="Z346" s="91" t="n"/>
      <c r="AA346" s="91" t="n"/>
    </row>
    <row r="347" ht="12.75" customHeight="1" s="117">
      <c r="A347" s="91" t="n"/>
      <c r="B347" s="91" t="n"/>
      <c r="C347" s="91" t="n"/>
      <c r="D347" s="91" t="n"/>
      <c r="E347" s="91" t="n"/>
      <c r="F347" s="91" t="n"/>
      <c r="G347" s="91" t="n"/>
      <c r="H347" s="91" t="n"/>
      <c r="I347" s="91" t="n"/>
      <c r="J347" s="91" t="n"/>
      <c r="K347" s="91" t="n"/>
      <c r="L347" s="91" t="n"/>
      <c r="M347" s="91" t="n"/>
      <c r="N347" s="91" t="n"/>
      <c r="O347" s="91" t="n"/>
      <c r="P347" s="91" t="n"/>
      <c r="Q347" s="91" t="n"/>
      <c r="R347" s="91" t="n"/>
      <c r="S347" s="91" t="n"/>
      <c r="T347" s="91" t="n"/>
      <c r="U347" s="91" t="n"/>
      <c r="V347" s="91" t="n"/>
      <c r="W347" s="91" t="n"/>
      <c r="X347" s="91" t="n"/>
      <c r="Y347" s="91" t="n"/>
      <c r="Z347" s="91" t="n"/>
      <c r="AA347" s="91" t="n"/>
    </row>
    <row r="348" ht="12.75" customHeight="1" s="117">
      <c r="A348" s="91" t="n"/>
      <c r="B348" s="91" t="n"/>
      <c r="C348" s="91" t="n"/>
      <c r="D348" s="91" t="n"/>
      <c r="E348" s="91" t="n"/>
      <c r="F348" s="91" t="n"/>
      <c r="G348" s="91" t="n"/>
      <c r="H348" s="91" t="n"/>
      <c r="I348" s="91" t="n"/>
      <c r="J348" s="91" t="n"/>
      <c r="K348" s="91" t="n"/>
      <c r="L348" s="91" t="n"/>
      <c r="M348" s="91" t="n"/>
      <c r="N348" s="91" t="n"/>
      <c r="O348" s="91" t="n"/>
      <c r="P348" s="91" t="n"/>
      <c r="Q348" s="91" t="n"/>
      <c r="R348" s="91" t="n"/>
      <c r="S348" s="91" t="n"/>
      <c r="T348" s="91" t="n"/>
      <c r="U348" s="91" t="n"/>
      <c r="V348" s="91" t="n"/>
      <c r="W348" s="91" t="n"/>
      <c r="X348" s="91" t="n"/>
      <c r="Y348" s="91" t="n"/>
      <c r="Z348" s="91" t="n"/>
      <c r="AA348" s="91" t="n"/>
    </row>
    <row r="349" ht="12.75" customHeight="1" s="117">
      <c r="A349" s="91" t="n"/>
      <c r="B349" s="91" t="n"/>
      <c r="C349" s="91" t="n"/>
      <c r="D349" s="91" t="n"/>
      <c r="E349" s="91" t="n"/>
      <c r="F349" s="91" t="n"/>
      <c r="G349" s="91" t="n"/>
      <c r="H349" s="91" t="n"/>
      <c r="I349" s="91" t="n"/>
      <c r="J349" s="91" t="n"/>
      <c r="K349" s="91" t="n"/>
      <c r="L349" s="91" t="n"/>
      <c r="M349" s="91" t="n"/>
      <c r="N349" s="91" t="n"/>
      <c r="O349" s="91" t="n"/>
      <c r="P349" s="91" t="n"/>
      <c r="Q349" s="91" t="n"/>
      <c r="R349" s="91" t="n"/>
      <c r="S349" s="91" t="n"/>
      <c r="T349" s="91" t="n"/>
      <c r="U349" s="91" t="n"/>
      <c r="V349" s="91" t="n"/>
      <c r="W349" s="91" t="n"/>
      <c r="X349" s="91" t="n"/>
      <c r="Y349" s="91" t="n"/>
      <c r="Z349" s="91" t="n"/>
      <c r="AA349" s="91" t="n"/>
    </row>
    <row r="350" ht="12.75" customHeight="1" s="117">
      <c r="A350" s="91" t="n"/>
      <c r="B350" s="91" t="n"/>
      <c r="C350" s="91" t="n"/>
      <c r="D350" s="91" t="n"/>
      <c r="E350" s="91" t="n"/>
      <c r="F350" s="91" t="n"/>
      <c r="G350" s="91" t="n"/>
      <c r="H350" s="91" t="n"/>
      <c r="I350" s="91" t="n"/>
      <c r="J350" s="91" t="n"/>
      <c r="K350" s="91" t="n"/>
      <c r="L350" s="91" t="n"/>
      <c r="M350" s="91" t="n"/>
      <c r="N350" s="91" t="n"/>
      <c r="O350" s="91" t="n"/>
      <c r="P350" s="91" t="n"/>
      <c r="Q350" s="91" t="n"/>
      <c r="R350" s="91" t="n"/>
      <c r="S350" s="91" t="n"/>
      <c r="T350" s="91" t="n"/>
      <c r="U350" s="91" t="n"/>
      <c r="V350" s="91" t="n"/>
      <c r="W350" s="91" t="n"/>
      <c r="X350" s="91" t="n"/>
      <c r="Y350" s="91" t="n"/>
      <c r="Z350" s="91" t="n"/>
      <c r="AA350" s="91" t="n"/>
    </row>
    <row r="351" ht="12.75" customHeight="1" s="117">
      <c r="A351" s="91" t="n"/>
      <c r="B351" s="91" t="n"/>
      <c r="C351" s="91" t="n"/>
      <c r="D351" s="91" t="n"/>
      <c r="E351" s="91" t="n"/>
      <c r="F351" s="91" t="n"/>
      <c r="G351" s="91" t="n"/>
      <c r="H351" s="91" t="n"/>
      <c r="I351" s="91" t="n"/>
      <c r="J351" s="91" t="n"/>
      <c r="K351" s="91" t="n"/>
      <c r="L351" s="91" t="n"/>
      <c r="M351" s="91" t="n"/>
      <c r="N351" s="91" t="n"/>
      <c r="O351" s="91" t="n"/>
      <c r="P351" s="91" t="n"/>
      <c r="Q351" s="91" t="n"/>
      <c r="R351" s="91" t="n"/>
      <c r="S351" s="91" t="n"/>
      <c r="T351" s="91" t="n"/>
      <c r="U351" s="91" t="n"/>
      <c r="V351" s="91" t="n"/>
      <c r="W351" s="91" t="n"/>
      <c r="X351" s="91" t="n"/>
      <c r="Y351" s="91" t="n"/>
      <c r="Z351" s="91" t="n"/>
      <c r="AA351" s="91" t="n"/>
    </row>
    <row r="352" ht="12.75" customHeight="1" s="117">
      <c r="A352" s="91" t="n"/>
      <c r="B352" s="91" t="n"/>
      <c r="C352" s="91" t="n"/>
      <c r="D352" s="91" t="n"/>
      <c r="E352" s="91" t="n"/>
      <c r="F352" s="91" t="n"/>
      <c r="G352" s="91" t="n"/>
      <c r="H352" s="91" t="n"/>
      <c r="I352" s="91" t="n"/>
      <c r="J352" s="91" t="n"/>
      <c r="K352" s="91" t="n"/>
      <c r="L352" s="91" t="n"/>
      <c r="M352" s="91" t="n"/>
      <c r="N352" s="91" t="n"/>
      <c r="O352" s="91" t="n"/>
      <c r="P352" s="91" t="n"/>
      <c r="Q352" s="91" t="n"/>
      <c r="R352" s="91" t="n"/>
      <c r="S352" s="91" t="n"/>
      <c r="T352" s="91" t="n"/>
      <c r="U352" s="91" t="n"/>
      <c r="V352" s="91" t="n"/>
      <c r="W352" s="91" t="n"/>
      <c r="X352" s="91" t="n"/>
      <c r="Y352" s="91" t="n"/>
      <c r="Z352" s="91" t="n"/>
      <c r="AA352" s="91" t="n"/>
    </row>
    <row r="353" ht="12.75" customHeight="1" s="117">
      <c r="A353" s="91" t="n"/>
      <c r="B353" s="91" t="n"/>
      <c r="C353" s="91" t="n"/>
      <c r="D353" s="91" t="n"/>
      <c r="E353" s="91" t="n"/>
      <c r="F353" s="91" t="n"/>
      <c r="G353" s="91" t="n"/>
      <c r="H353" s="91" t="n"/>
      <c r="I353" s="91" t="n"/>
      <c r="J353" s="91" t="n"/>
      <c r="K353" s="91" t="n"/>
      <c r="L353" s="91" t="n"/>
      <c r="M353" s="91" t="n"/>
      <c r="N353" s="91" t="n"/>
      <c r="O353" s="91" t="n"/>
      <c r="P353" s="91" t="n"/>
      <c r="Q353" s="91" t="n"/>
      <c r="R353" s="91" t="n"/>
      <c r="S353" s="91" t="n"/>
      <c r="T353" s="91" t="n"/>
      <c r="U353" s="91" t="n"/>
      <c r="V353" s="91" t="n"/>
      <c r="W353" s="91" t="n"/>
      <c r="X353" s="91" t="n"/>
      <c r="Y353" s="91" t="n"/>
      <c r="Z353" s="91" t="n"/>
      <c r="AA353" s="91" t="n"/>
    </row>
    <row r="354" ht="12.75" customHeight="1" s="117">
      <c r="A354" s="91" t="n"/>
      <c r="B354" s="91" t="n"/>
      <c r="C354" s="91" t="n"/>
      <c r="D354" s="91" t="n"/>
      <c r="E354" s="91" t="n"/>
      <c r="F354" s="91" t="n"/>
      <c r="G354" s="91" t="n"/>
      <c r="H354" s="91" t="n"/>
      <c r="I354" s="91" t="n"/>
      <c r="J354" s="91" t="n"/>
      <c r="K354" s="91" t="n"/>
      <c r="L354" s="91" t="n"/>
      <c r="M354" s="91" t="n"/>
      <c r="N354" s="91" t="n"/>
      <c r="O354" s="91" t="n"/>
      <c r="P354" s="91" t="n"/>
      <c r="Q354" s="91" t="n"/>
      <c r="R354" s="91" t="n"/>
      <c r="S354" s="91" t="n"/>
      <c r="T354" s="91" t="n"/>
      <c r="U354" s="91" t="n"/>
      <c r="V354" s="91" t="n"/>
      <c r="W354" s="91" t="n"/>
      <c r="X354" s="91" t="n"/>
      <c r="Y354" s="91" t="n"/>
      <c r="Z354" s="91" t="n"/>
      <c r="AA354" s="91" t="n"/>
    </row>
    <row r="355" ht="12.75" customHeight="1" s="117">
      <c r="A355" s="91" t="n"/>
      <c r="B355" s="91" t="n"/>
      <c r="C355" s="91" t="n"/>
      <c r="D355" s="91" t="n"/>
      <c r="E355" s="91" t="n"/>
      <c r="F355" s="91" t="n"/>
      <c r="G355" s="91" t="n"/>
      <c r="H355" s="91" t="n"/>
      <c r="I355" s="91" t="n"/>
      <c r="J355" s="91" t="n"/>
      <c r="K355" s="91" t="n"/>
      <c r="L355" s="91" t="n"/>
      <c r="M355" s="91" t="n"/>
      <c r="N355" s="91" t="n"/>
      <c r="O355" s="91" t="n"/>
      <c r="P355" s="91" t="n"/>
      <c r="Q355" s="91" t="n"/>
      <c r="R355" s="91" t="n"/>
      <c r="S355" s="91" t="n"/>
      <c r="T355" s="91" t="n"/>
      <c r="U355" s="91" t="n"/>
      <c r="V355" s="91" t="n"/>
      <c r="W355" s="91" t="n"/>
      <c r="X355" s="91" t="n"/>
      <c r="Y355" s="91" t="n"/>
      <c r="Z355" s="91" t="n"/>
      <c r="AA355" s="91" t="n"/>
    </row>
    <row r="356" ht="12.75" customHeight="1" s="117">
      <c r="A356" s="91" t="n"/>
      <c r="B356" s="91" t="n"/>
      <c r="C356" s="91" t="n"/>
      <c r="D356" s="91" t="n"/>
      <c r="E356" s="91" t="n"/>
      <c r="F356" s="91" t="n"/>
      <c r="G356" s="91" t="n"/>
      <c r="H356" s="91" t="n"/>
      <c r="I356" s="91" t="n"/>
      <c r="J356" s="91" t="n"/>
      <c r="K356" s="91" t="n"/>
      <c r="L356" s="91" t="n"/>
      <c r="M356" s="91" t="n"/>
      <c r="N356" s="91" t="n"/>
      <c r="O356" s="91" t="n"/>
      <c r="P356" s="91" t="n"/>
      <c r="Q356" s="91" t="n"/>
      <c r="R356" s="91" t="n"/>
      <c r="S356" s="91" t="n"/>
      <c r="T356" s="91" t="n"/>
      <c r="U356" s="91" t="n"/>
      <c r="V356" s="91" t="n"/>
      <c r="W356" s="91" t="n"/>
      <c r="X356" s="91" t="n"/>
      <c r="Y356" s="91" t="n"/>
      <c r="Z356" s="91" t="n"/>
      <c r="AA356" s="91" t="n"/>
    </row>
    <row r="357" ht="12.75" customHeight="1" s="117">
      <c r="A357" s="91" t="n"/>
      <c r="B357" s="91" t="n"/>
      <c r="C357" s="91" t="n"/>
      <c r="D357" s="91" t="n"/>
      <c r="E357" s="91" t="n"/>
      <c r="F357" s="91" t="n"/>
      <c r="G357" s="91" t="n"/>
      <c r="H357" s="91" t="n"/>
      <c r="I357" s="91" t="n"/>
      <c r="J357" s="91" t="n"/>
      <c r="K357" s="91" t="n"/>
      <c r="L357" s="91" t="n"/>
      <c r="M357" s="91" t="n"/>
      <c r="N357" s="91" t="n"/>
      <c r="O357" s="91" t="n"/>
      <c r="P357" s="91" t="n"/>
      <c r="Q357" s="91" t="n"/>
      <c r="R357" s="91" t="n"/>
      <c r="S357" s="91" t="n"/>
      <c r="T357" s="91" t="n"/>
      <c r="U357" s="91" t="n"/>
      <c r="V357" s="91" t="n"/>
      <c r="W357" s="91" t="n"/>
      <c r="X357" s="91" t="n"/>
      <c r="Y357" s="91" t="n"/>
      <c r="Z357" s="91" t="n"/>
      <c r="AA357" s="91" t="n"/>
    </row>
    <row r="358" ht="12.75" customHeight="1" s="117">
      <c r="A358" s="91" t="n"/>
      <c r="B358" s="91" t="n"/>
      <c r="C358" s="91" t="n"/>
      <c r="D358" s="91" t="n"/>
      <c r="E358" s="91" t="n"/>
      <c r="F358" s="91" t="n"/>
      <c r="G358" s="91" t="n"/>
      <c r="H358" s="91" t="n"/>
      <c r="I358" s="91" t="n"/>
      <c r="J358" s="91" t="n"/>
      <c r="K358" s="91" t="n"/>
      <c r="L358" s="91" t="n"/>
      <c r="M358" s="91" t="n"/>
      <c r="N358" s="91" t="n"/>
      <c r="O358" s="91" t="n"/>
      <c r="P358" s="91" t="n"/>
      <c r="Q358" s="91" t="n"/>
      <c r="R358" s="91" t="n"/>
      <c r="S358" s="91" t="n"/>
      <c r="T358" s="91" t="n"/>
      <c r="U358" s="91" t="n"/>
      <c r="V358" s="91" t="n"/>
      <c r="W358" s="91" t="n"/>
      <c r="X358" s="91" t="n"/>
      <c r="Y358" s="91" t="n"/>
      <c r="Z358" s="91" t="n"/>
      <c r="AA358" s="91" t="n"/>
    </row>
    <row r="359" ht="12.75" customHeight="1" s="117">
      <c r="A359" s="91" t="n"/>
      <c r="B359" s="91" t="n"/>
      <c r="C359" s="91" t="n"/>
      <c r="D359" s="91" t="n"/>
      <c r="E359" s="91" t="n"/>
      <c r="F359" s="91" t="n"/>
      <c r="G359" s="91" t="n"/>
      <c r="H359" s="91" t="n"/>
      <c r="I359" s="91" t="n"/>
      <c r="J359" s="91" t="n"/>
      <c r="K359" s="91" t="n"/>
      <c r="L359" s="91" t="n"/>
      <c r="M359" s="91" t="n"/>
      <c r="N359" s="91" t="n"/>
      <c r="O359" s="91" t="n"/>
      <c r="P359" s="91" t="n"/>
      <c r="Q359" s="91" t="n"/>
      <c r="R359" s="91" t="n"/>
      <c r="S359" s="91" t="n"/>
      <c r="T359" s="91" t="n"/>
      <c r="U359" s="91" t="n"/>
      <c r="V359" s="91" t="n"/>
      <c r="W359" s="91" t="n"/>
      <c r="X359" s="91" t="n"/>
      <c r="Y359" s="91" t="n"/>
      <c r="Z359" s="91" t="n"/>
      <c r="AA359" s="91" t="n"/>
    </row>
    <row r="360" ht="12.75" customHeight="1" s="117">
      <c r="A360" s="91" t="n"/>
      <c r="B360" s="91" t="n"/>
      <c r="C360" s="91" t="n"/>
      <c r="D360" s="91" t="n"/>
      <c r="E360" s="91" t="n"/>
      <c r="F360" s="91" t="n"/>
      <c r="G360" s="91" t="n"/>
      <c r="H360" s="91" t="n"/>
      <c r="I360" s="91" t="n"/>
      <c r="J360" s="91" t="n"/>
      <c r="K360" s="91" t="n"/>
      <c r="L360" s="91" t="n"/>
      <c r="M360" s="91" t="n"/>
      <c r="N360" s="91" t="n"/>
      <c r="O360" s="91" t="n"/>
      <c r="P360" s="91" t="n"/>
      <c r="Q360" s="91" t="n"/>
      <c r="R360" s="91" t="n"/>
      <c r="S360" s="91" t="n"/>
      <c r="T360" s="91" t="n"/>
      <c r="U360" s="91" t="n"/>
      <c r="V360" s="91" t="n"/>
      <c r="W360" s="91" t="n"/>
      <c r="X360" s="91" t="n"/>
      <c r="Y360" s="91" t="n"/>
      <c r="Z360" s="91" t="n"/>
      <c r="AA360" s="91" t="n"/>
    </row>
    <row r="361" ht="12.75" customHeight="1" s="117">
      <c r="A361" s="91" t="n"/>
      <c r="B361" s="91" t="n"/>
      <c r="C361" s="91" t="n"/>
      <c r="D361" s="91" t="n"/>
      <c r="E361" s="91" t="n"/>
      <c r="F361" s="91" t="n"/>
      <c r="G361" s="91" t="n"/>
      <c r="H361" s="91" t="n"/>
      <c r="I361" s="91" t="n"/>
      <c r="J361" s="91" t="n"/>
      <c r="K361" s="91" t="n"/>
      <c r="L361" s="91" t="n"/>
      <c r="M361" s="91" t="n"/>
      <c r="N361" s="91" t="n"/>
      <c r="O361" s="91" t="n"/>
      <c r="P361" s="91" t="n"/>
      <c r="Q361" s="91" t="n"/>
      <c r="R361" s="91" t="n"/>
      <c r="S361" s="91" t="n"/>
      <c r="T361" s="91" t="n"/>
      <c r="U361" s="91" t="n"/>
      <c r="V361" s="91" t="n"/>
      <c r="W361" s="91" t="n"/>
      <c r="X361" s="91" t="n"/>
      <c r="Y361" s="91" t="n"/>
      <c r="Z361" s="91" t="n"/>
      <c r="AA361" s="91" t="n"/>
    </row>
    <row r="362" ht="12.75" customHeight="1" s="117">
      <c r="A362" s="91" t="n"/>
      <c r="B362" s="91" t="n"/>
      <c r="C362" s="91" t="n"/>
      <c r="D362" s="91" t="n"/>
      <c r="E362" s="91" t="n"/>
      <c r="F362" s="91" t="n"/>
      <c r="G362" s="91" t="n"/>
      <c r="H362" s="91" t="n"/>
      <c r="I362" s="91" t="n"/>
      <c r="J362" s="91" t="n"/>
      <c r="K362" s="91" t="n"/>
      <c r="L362" s="91" t="n"/>
      <c r="M362" s="91" t="n"/>
      <c r="N362" s="91" t="n"/>
      <c r="O362" s="91" t="n"/>
      <c r="P362" s="91" t="n"/>
      <c r="Q362" s="91" t="n"/>
      <c r="R362" s="91" t="n"/>
      <c r="S362" s="91" t="n"/>
      <c r="T362" s="91" t="n"/>
      <c r="U362" s="91" t="n"/>
      <c r="V362" s="91" t="n"/>
      <c r="W362" s="91" t="n"/>
      <c r="X362" s="91" t="n"/>
      <c r="Y362" s="91" t="n"/>
      <c r="Z362" s="91" t="n"/>
      <c r="AA362" s="91" t="n"/>
    </row>
    <row r="363" ht="12.75" customHeight="1" s="117">
      <c r="A363" s="91" t="n"/>
      <c r="B363" s="91" t="n"/>
      <c r="C363" s="91" t="n"/>
      <c r="D363" s="91" t="n"/>
      <c r="E363" s="91" t="n"/>
      <c r="F363" s="91" t="n"/>
      <c r="G363" s="91" t="n"/>
      <c r="H363" s="91" t="n"/>
      <c r="I363" s="91" t="n"/>
      <c r="J363" s="91" t="n"/>
      <c r="K363" s="91" t="n"/>
      <c r="L363" s="91" t="n"/>
      <c r="M363" s="91" t="n"/>
      <c r="N363" s="91" t="n"/>
      <c r="O363" s="91" t="n"/>
      <c r="P363" s="91" t="n"/>
      <c r="Q363" s="91" t="n"/>
      <c r="R363" s="91" t="n"/>
      <c r="S363" s="91" t="n"/>
      <c r="T363" s="91" t="n"/>
      <c r="U363" s="91" t="n"/>
      <c r="V363" s="91" t="n"/>
      <c r="W363" s="91" t="n"/>
      <c r="X363" s="91" t="n"/>
      <c r="Y363" s="91" t="n"/>
      <c r="Z363" s="91" t="n"/>
      <c r="AA363" s="91" t="n"/>
    </row>
    <row r="364" ht="12.75" customHeight="1" s="117">
      <c r="A364" s="91" t="n"/>
      <c r="B364" s="91" t="n"/>
      <c r="C364" s="91" t="n"/>
      <c r="D364" s="91" t="n"/>
      <c r="E364" s="91" t="n"/>
      <c r="F364" s="91" t="n"/>
      <c r="G364" s="91" t="n"/>
      <c r="H364" s="91" t="n"/>
      <c r="I364" s="91" t="n"/>
      <c r="J364" s="91" t="n"/>
      <c r="K364" s="91" t="n"/>
      <c r="L364" s="91" t="n"/>
      <c r="M364" s="91" t="n"/>
      <c r="N364" s="91" t="n"/>
      <c r="O364" s="91" t="n"/>
      <c r="P364" s="91" t="n"/>
      <c r="Q364" s="91" t="n"/>
      <c r="R364" s="91" t="n"/>
      <c r="S364" s="91" t="n"/>
      <c r="T364" s="91" t="n"/>
      <c r="U364" s="91" t="n"/>
      <c r="V364" s="91" t="n"/>
      <c r="W364" s="91" t="n"/>
      <c r="X364" s="91" t="n"/>
      <c r="Y364" s="91" t="n"/>
      <c r="Z364" s="91" t="n"/>
      <c r="AA364" s="91" t="n"/>
    </row>
    <row r="365" ht="12.75" customHeight="1" s="117">
      <c r="A365" s="91" t="n"/>
      <c r="B365" s="91" t="n"/>
      <c r="C365" s="91" t="n"/>
      <c r="D365" s="91" t="n"/>
      <c r="E365" s="91" t="n"/>
      <c r="F365" s="91" t="n"/>
      <c r="G365" s="91" t="n"/>
      <c r="H365" s="91" t="n"/>
      <c r="I365" s="91" t="n"/>
      <c r="J365" s="91" t="n"/>
      <c r="K365" s="91" t="n"/>
      <c r="L365" s="91" t="n"/>
      <c r="M365" s="91" t="n"/>
      <c r="N365" s="91" t="n"/>
      <c r="O365" s="91" t="n"/>
      <c r="P365" s="91" t="n"/>
      <c r="Q365" s="91" t="n"/>
      <c r="R365" s="91" t="n"/>
      <c r="S365" s="91" t="n"/>
      <c r="T365" s="91" t="n"/>
      <c r="U365" s="91" t="n"/>
      <c r="V365" s="91" t="n"/>
      <c r="W365" s="91" t="n"/>
      <c r="X365" s="91" t="n"/>
      <c r="Y365" s="91" t="n"/>
      <c r="Z365" s="91" t="n"/>
      <c r="AA365" s="91" t="n"/>
    </row>
    <row r="366" ht="12.75" customHeight="1" s="117">
      <c r="A366" s="91" t="n"/>
      <c r="B366" s="91" t="n"/>
      <c r="C366" s="91" t="n"/>
      <c r="D366" s="91" t="n"/>
      <c r="E366" s="91" t="n"/>
      <c r="F366" s="91" t="n"/>
      <c r="G366" s="91" t="n"/>
      <c r="H366" s="91" t="n"/>
      <c r="I366" s="91" t="n"/>
      <c r="J366" s="91" t="n"/>
      <c r="K366" s="91" t="n"/>
      <c r="L366" s="91" t="n"/>
      <c r="M366" s="91" t="n"/>
      <c r="N366" s="91" t="n"/>
      <c r="O366" s="91" t="n"/>
      <c r="P366" s="91" t="n"/>
      <c r="Q366" s="91" t="n"/>
      <c r="R366" s="91" t="n"/>
      <c r="S366" s="91" t="n"/>
      <c r="T366" s="91" t="n"/>
      <c r="U366" s="91" t="n"/>
      <c r="V366" s="91" t="n"/>
      <c r="W366" s="91" t="n"/>
      <c r="X366" s="91" t="n"/>
      <c r="Y366" s="91" t="n"/>
      <c r="Z366" s="91" t="n"/>
      <c r="AA366" s="91" t="n"/>
    </row>
    <row r="367" ht="12.75" customHeight="1" s="117">
      <c r="A367" s="91" t="n"/>
      <c r="B367" s="91" t="n"/>
      <c r="C367" s="91" t="n"/>
      <c r="D367" s="91" t="n"/>
      <c r="E367" s="91" t="n"/>
      <c r="F367" s="91" t="n"/>
      <c r="G367" s="91" t="n"/>
      <c r="H367" s="91" t="n"/>
      <c r="I367" s="91" t="n"/>
      <c r="J367" s="91" t="n"/>
      <c r="K367" s="91" t="n"/>
      <c r="L367" s="91" t="n"/>
      <c r="M367" s="91" t="n"/>
      <c r="N367" s="91" t="n"/>
      <c r="O367" s="91" t="n"/>
      <c r="P367" s="91" t="n"/>
      <c r="Q367" s="91" t="n"/>
      <c r="R367" s="91" t="n"/>
      <c r="S367" s="91" t="n"/>
      <c r="T367" s="91" t="n"/>
      <c r="U367" s="91" t="n"/>
      <c r="V367" s="91" t="n"/>
      <c r="W367" s="91" t="n"/>
      <c r="X367" s="91" t="n"/>
      <c r="Y367" s="91" t="n"/>
      <c r="Z367" s="91" t="n"/>
      <c r="AA367" s="91" t="n"/>
    </row>
    <row r="368" ht="12.75" customHeight="1" s="117">
      <c r="A368" s="91" t="n"/>
      <c r="B368" s="91" t="n"/>
      <c r="C368" s="91" t="n"/>
      <c r="D368" s="91" t="n"/>
      <c r="E368" s="91" t="n"/>
      <c r="F368" s="91" t="n"/>
      <c r="G368" s="91" t="n"/>
      <c r="H368" s="91" t="n"/>
      <c r="I368" s="91" t="n"/>
      <c r="J368" s="91" t="n"/>
      <c r="K368" s="91" t="n"/>
      <c r="L368" s="91" t="n"/>
      <c r="M368" s="91" t="n"/>
      <c r="N368" s="91" t="n"/>
      <c r="O368" s="91" t="n"/>
      <c r="P368" s="91" t="n"/>
      <c r="Q368" s="91" t="n"/>
      <c r="R368" s="91" t="n"/>
      <c r="S368" s="91" t="n"/>
      <c r="T368" s="91" t="n"/>
      <c r="U368" s="91" t="n"/>
      <c r="V368" s="91" t="n"/>
      <c r="W368" s="91" t="n"/>
      <c r="X368" s="91" t="n"/>
      <c r="Y368" s="91" t="n"/>
      <c r="Z368" s="91" t="n"/>
      <c r="AA368" s="91" t="n"/>
    </row>
    <row r="369" ht="12.75" customHeight="1" s="117">
      <c r="A369" s="91" t="n"/>
      <c r="B369" s="91" t="n"/>
      <c r="C369" s="91" t="n"/>
      <c r="D369" s="91" t="n"/>
      <c r="E369" s="91" t="n"/>
      <c r="F369" s="91" t="n"/>
      <c r="G369" s="91" t="n"/>
      <c r="H369" s="91" t="n"/>
      <c r="I369" s="91" t="n"/>
      <c r="J369" s="91" t="n"/>
      <c r="K369" s="91" t="n"/>
      <c r="L369" s="91" t="n"/>
      <c r="M369" s="91" t="n"/>
      <c r="N369" s="91" t="n"/>
      <c r="O369" s="91" t="n"/>
      <c r="P369" s="91" t="n"/>
      <c r="Q369" s="91" t="n"/>
      <c r="R369" s="91" t="n"/>
      <c r="S369" s="91" t="n"/>
      <c r="T369" s="91" t="n"/>
      <c r="U369" s="91" t="n"/>
      <c r="V369" s="91" t="n"/>
      <c r="W369" s="91" t="n"/>
      <c r="X369" s="91" t="n"/>
      <c r="Y369" s="91" t="n"/>
      <c r="Z369" s="91" t="n"/>
      <c r="AA369" s="91" t="n"/>
    </row>
    <row r="370" ht="12.75" customHeight="1" s="117">
      <c r="A370" s="91" t="n"/>
      <c r="B370" s="91" t="n"/>
      <c r="C370" s="91" t="n"/>
      <c r="D370" s="91" t="n"/>
      <c r="E370" s="91" t="n"/>
      <c r="F370" s="91" t="n"/>
      <c r="G370" s="91" t="n"/>
      <c r="H370" s="91" t="n"/>
      <c r="I370" s="91" t="n"/>
      <c r="J370" s="91" t="n"/>
      <c r="K370" s="91" t="n"/>
      <c r="L370" s="91" t="n"/>
      <c r="M370" s="91" t="n"/>
      <c r="N370" s="91" t="n"/>
      <c r="O370" s="91" t="n"/>
      <c r="P370" s="91" t="n"/>
      <c r="Q370" s="91" t="n"/>
      <c r="R370" s="91" t="n"/>
      <c r="S370" s="91" t="n"/>
      <c r="T370" s="91" t="n"/>
      <c r="U370" s="91" t="n"/>
      <c r="V370" s="91" t="n"/>
      <c r="W370" s="91" t="n"/>
      <c r="X370" s="91" t="n"/>
      <c r="Y370" s="91" t="n"/>
      <c r="Z370" s="91" t="n"/>
      <c r="AA370" s="91" t="n"/>
    </row>
    <row r="371" ht="12.75" customHeight="1" s="117">
      <c r="A371" s="91" t="n"/>
      <c r="B371" s="91" t="n"/>
      <c r="C371" s="91" t="n"/>
      <c r="D371" s="91" t="n"/>
      <c r="E371" s="91" t="n"/>
      <c r="F371" s="91" t="n"/>
      <c r="G371" s="91" t="n"/>
      <c r="H371" s="91" t="n"/>
      <c r="I371" s="91" t="n"/>
      <c r="J371" s="91" t="n"/>
      <c r="K371" s="91" t="n"/>
      <c r="L371" s="91" t="n"/>
      <c r="M371" s="91" t="n"/>
      <c r="N371" s="91" t="n"/>
      <c r="O371" s="91" t="n"/>
      <c r="P371" s="91" t="n"/>
      <c r="Q371" s="91" t="n"/>
      <c r="R371" s="91" t="n"/>
      <c r="S371" s="91" t="n"/>
      <c r="T371" s="91" t="n"/>
      <c r="U371" s="91" t="n"/>
      <c r="V371" s="91" t="n"/>
      <c r="W371" s="91" t="n"/>
      <c r="X371" s="91" t="n"/>
      <c r="Y371" s="91" t="n"/>
      <c r="Z371" s="91" t="n"/>
      <c r="AA371" s="91" t="n"/>
    </row>
    <row r="372" ht="12.75" customHeight="1" s="117">
      <c r="A372" s="91" t="n"/>
      <c r="B372" s="91" t="n"/>
      <c r="C372" s="91" t="n"/>
      <c r="D372" s="91" t="n"/>
      <c r="E372" s="91" t="n"/>
      <c r="F372" s="91" t="n"/>
      <c r="G372" s="91" t="n"/>
      <c r="H372" s="91" t="n"/>
      <c r="I372" s="91" t="n"/>
      <c r="J372" s="91" t="n"/>
      <c r="K372" s="91" t="n"/>
      <c r="L372" s="91" t="n"/>
      <c r="M372" s="91" t="n"/>
      <c r="N372" s="91" t="n"/>
      <c r="O372" s="91" t="n"/>
      <c r="P372" s="91" t="n"/>
      <c r="Q372" s="91" t="n"/>
      <c r="R372" s="91" t="n"/>
      <c r="S372" s="91" t="n"/>
      <c r="T372" s="91" t="n"/>
      <c r="U372" s="91" t="n"/>
      <c r="V372" s="91" t="n"/>
      <c r="W372" s="91" t="n"/>
      <c r="X372" s="91" t="n"/>
      <c r="Y372" s="91" t="n"/>
      <c r="Z372" s="91" t="n"/>
      <c r="AA372" s="91" t="n"/>
    </row>
    <row r="373" ht="12.75" customHeight="1" s="117">
      <c r="A373" s="91" t="n"/>
      <c r="B373" s="91" t="n"/>
      <c r="C373" s="91" t="n"/>
      <c r="D373" s="91" t="n"/>
      <c r="E373" s="91" t="n"/>
      <c r="F373" s="91" t="n"/>
      <c r="G373" s="91" t="n"/>
      <c r="H373" s="91" t="n"/>
      <c r="I373" s="91" t="n"/>
      <c r="J373" s="91" t="n"/>
      <c r="K373" s="91" t="n"/>
      <c r="L373" s="91" t="n"/>
      <c r="M373" s="91" t="n"/>
      <c r="N373" s="91" t="n"/>
      <c r="O373" s="91" t="n"/>
      <c r="P373" s="91" t="n"/>
      <c r="Q373" s="91" t="n"/>
      <c r="R373" s="91" t="n"/>
      <c r="S373" s="91" t="n"/>
      <c r="T373" s="91" t="n"/>
      <c r="U373" s="91" t="n"/>
      <c r="V373" s="91" t="n"/>
      <c r="W373" s="91" t="n"/>
      <c r="X373" s="91" t="n"/>
      <c r="Y373" s="91" t="n"/>
      <c r="Z373" s="91" t="n"/>
      <c r="AA373" s="91" t="n"/>
    </row>
    <row r="374" ht="12.75" customHeight="1" s="117">
      <c r="A374" s="91" t="n"/>
      <c r="B374" s="91" t="n"/>
      <c r="C374" s="91" t="n"/>
      <c r="D374" s="91" t="n"/>
      <c r="E374" s="91" t="n"/>
      <c r="F374" s="91" t="n"/>
      <c r="G374" s="91" t="n"/>
      <c r="H374" s="91" t="n"/>
      <c r="I374" s="91" t="n"/>
      <c r="J374" s="91" t="n"/>
      <c r="K374" s="91" t="n"/>
      <c r="L374" s="91" t="n"/>
      <c r="M374" s="91" t="n"/>
      <c r="N374" s="91" t="n"/>
      <c r="O374" s="91" t="n"/>
      <c r="P374" s="91" t="n"/>
      <c r="Q374" s="91" t="n"/>
      <c r="R374" s="91" t="n"/>
      <c r="S374" s="91" t="n"/>
      <c r="T374" s="91" t="n"/>
      <c r="U374" s="91" t="n"/>
      <c r="V374" s="91" t="n"/>
      <c r="W374" s="91" t="n"/>
      <c r="X374" s="91" t="n"/>
      <c r="Y374" s="91" t="n"/>
      <c r="Z374" s="91" t="n"/>
      <c r="AA374" s="91" t="n"/>
    </row>
    <row r="375" ht="12.75" customHeight="1" s="117">
      <c r="A375" s="91" t="n"/>
      <c r="B375" s="91" t="n"/>
      <c r="C375" s="91" t="n"/>
      <c r="D375" s="91" t="n"/>
      <c r="E375" s="91" t="n"/>
      <c r="F375" s="91" t="n"/>
      <c r="G375" s="91" t="n"/>
      <c r="H375" s="91" t="n"/>
      <c r="I375" s="91" t="n"/>
      <c r="J375" s="91" t="n"/>
      <c r="K375" s="91" t="n"/>
      <c r="L375" s="91" t="n"/>
      <c r="M375" s="91" t="n"/>
      <c r="N375" s="91" t="n"/>
      <c r="O375" s="91" t="n"/>
      <c r="P375" s="91" t="n"/>
      <c r="Q375" s="91" t="n"/>
      <c r="R375" s="91" t="n"/>
      <c r="S375" s="91" t="n"/>
      <c r="T375" s="91" t="n"/>
      <c r="U375" s="91" t="n"/>
      <c r="V375" s="91" t="n"/>
      <c r="W375" s="91" t="n"/>
      <c r="X375" s="91" t="n"/>
      <c r="Y375" s="91" t="n"/>
      <c r="Z375" s="91" t="n"/>
      <c r="AA375" s="91" t="n"/>
    </row>
    <row r="376" ht="12.75" customHeight="1" s="117">
      <c r="A376" s="91" t="n"/>
      <c r="B376" s="91" t="n"/>
      <c r="C376" s="91" t="n"/>
      <c r="D376" s="91" t="n"/>
      <c r="E376" s="91" t="n"/>
      <c r="F376" s="91" t="n"/>
      <c r="G376" s="91" t="n"/>
      <c r="H376" s="91" t="n"/>
      <c r="I376" s="91" t="n"/>
      <c r="J376" s="91" t="n"/>
      <c r="K376" s="91" t="n"/>
      <c r="L376" s="91" t="n"/>
      <c r="M376" s="91" t="n"/>
      <c r="N376" s="91" t="n"/>
      <c r="O376" s="91" t="n"/>
      <c r="P376" s="91" t="n"/>
      <c r="Q376" s="91" t="n"/>
      <c r="R376" s="91" t="n"/>
      <c r="S376" s="91" t="n"/>
      <c r="T376" s="91" t="n"/>
      <c r="U376" s="91" t="n"/>
      <c r="V376" s="91" t="n"/>
      <c r="W376" s="91" t="n"/>
      <c r="X376" s="91" t="n"/>
      <c r="Y376" s="91" t="n"/>
      <c r="Z376" s="91" t="n"/>
      <c r="AA376" s="91" t="n"/>
    </row>
    <row r="377" ht="12.75" customHeight="1" s="117">
      <c r="A377" s="91" t="n"/>
      <c r="B377" s="91" t="n"/>
      <c r="C377" s="91" t="n"/>
      <c r="D377" s="91" t="n"/>
      <c r="E377" s="91" t="n"/>
      <c r="F377" s="91" t="n"/>
      <c r="G377" s="91" t="n"/>
      <c r="H377" s="91" t="n"/>
      <c r="I377" s="91" t="n"/>
      <c r="J377" s="91" t="n"/>
      <c r="K377" s="91" t="n"/>
      <c r="L377" s="91" t="n"/>
      <c r="M377" s="91" t="n"/>
      <c r="N377" s="91" t="n"/>
      <c r="O377" s="91" t="n"/>
      <c r="P377" s="91" t="n"/>
      <c r="Q377" s="91" t="n"/>
      <c r="R377" s="91" t="n"/>
      <c r="S377" s="91" t="n"/>
      <c r="T377" s="91" t="n"/>
      <c r="U377" s="91" t="n"/>
      <c r="V377" s="91" t="n"/>
      <c r="W377" s="91" t="n"/>
      <c r="X377" s="91" t="n"/>
      <c r="Y377" s="91" t="n"/>
      <c r="Z377" s="91" t="n"/>
      <c r="AA377" s="91" t="n"/>
    </row>
    <row r="378" ht="12.75" customHeight="1" s="117">
      <c r="A378" s="91" t="n"/>
      <c r="B378" s="91" t="n"/>
      <c r="C378" s="91" t="n"/>
      <c r="D378" s="91" t="n"/>
      <c r="E378" s="91" t="n"/>
      <c r="F378" s="91" t="n"/>
      <c r="G378" s="91" t="n"/>
      <c r="H378" s="91" t="n"/>
      <c r="I378" s="91" t="n"/>
      <c r="J378" s="91" t="n"/>
      <c r="K378" s="91" t="n"/>
      <c r="L378" s="91" t="n"/>
      <c r="M378" s="91" t="n"/>
      <c r="N378" s="91" t="n"/>
      <c r="O378" s="91" t="n"/>
      <c r="P378" s="91" t="n"/>
      <c r="Q378" s="91" t="n"/>
      <c r="R378" s="91" t="n"/>
      <c r="S378" s="91" t="n"/>
      <c r="T378" s="91" t="n"/>
      <c r="U378" s="91" t="n"/>
      <c r="V378" s="91" t="n"/>
      <c r="W378" s="91" t="n"/>
      <c r="X378" s="91" t="n"/>
      <c r="Y378" s="91" t="n"/>
      <c r="Z378" s="91" t="n"/>
      <c r="AA378" s="91" t="n"/>
    </row>
    <row r="379" ht="12.75" customHeight="1" s="117">
      <c r="A379" s="91" t="n"/>
      <c r="B379" s="91" t="n"/>
      <c r="C379" s="91" t="n"/>
      <c r="D379" s="91" t="n"/>
      <c r="E379" s="91" t="n"/>
      <c r="F379" s="91" t="n"/>
      <c r="G379" s="91" t="n"/>
      <c r="H379" s="91" t="n"/>
      <c r="I379" s="91" t="n"/>
      <c r="J379" s="91" t="n"/>
      <c r="K379" s="91" t="n"/>
      <c r="L379" s="91" t="n"/>
      <c r="M379" s="91" t="n"/>
      <c r="N379" s="91" t="n"/>
      <c r="O379" s="91" t="n"/>
      <c r="P379" s="91" t="n"/>
      <c r="Q379" s="91" t="n"/>
      <c r="R379" s="91" t="n"/>
      <c r="S379" s="91" t="n"/>
      <c r="T379" s="91" t="n"/>
      <c r="U379" s="91" t="n"/>
      <c r="V379" s="91" t="n"/>
      <c r="W379" s="91" t="n"/>
      <c r="X379" s="91" t="n"/>
      <c r="Y379" s="91" t="n"/>
      <c r="Z379" s="91" t="n"/>
      <c r="AA379" s="91" t="n"/>
    </row>
    <row r="380" ht="12.75" customHeight="1" s="117">
      <c r="A380" s="91" t="n"/>
      <c r="B380" s="91" t="n"/>
      <c r="C380" s="91" t="n"/>
      <c r="D380" s="91" t="n"/>
      <c r="E380" s="91" t="n"/>
      <c r="F380" s="91" t="n"/>
      <c r="G380" s="91" t="n"/>
      <c r="H380" s="91" t="n"/>
      <c r="I380" s="91" t="n"/>
      <c r="J380" s="91" t="n"/>
      <c r="K380" s="91" t="n"/>
      <c r="L380" s="91" t="n"/>
      <c r="M380" s="91" t="n"/>
      <c r="N380" s="91" t="n"/>
      <c r="O380" s="91" t="n"/>
      <c r="P380" s="91" t="n"/>
      <c r="Q380" s="91" t="n"/>
      <c r="R380" s="91" t="n"/>
      <c r="S380" s="91" t="n"/>
      <c r="T380" s="91" t="n"/>
      <c r="U380" s="91" t="n"/>
      <c r="V380" s="91" t="n"/>
      <c r="W380" s="91" t="n"/>
      <c r="X380" s="91" t="n"/>
      <c r="Y380" s="91" t="n"/>
      <c r="Z380" s="91" t="n"/>
      <c r="AA380" s="91" t="n"/>
    </row>
    <row r="381" ht="12.75" customHeight="1" s="117">
      <c r="A381" s="91" t="n"/>
      <c r="B381" s="91" t="n"/>
      <c r="C381" s="91" t="n"/>
      <c r="D381" s="91" t="n"/>
      <c r="E381" s="91" t="n"/>
      <c r="F381" s="91" t="n"/>
      <c r="G381" s="91" t="n"/>
      <c r="H381" s="91" t="n"/>
      <c r="I381" s="91" t="n"/>
      <c r="J381" s="91" t="n"/>
      <c r="K381" s="91" t="n"/>
      <c r="L381" s="91" t="n"/>
      <c r="M381" s="91" t="n"/>
      <c r="N381" s="91" t="n"/>
      <c r="O381" s="91" t="n"/>
      <c r="P381" s="91" t="n"/>
      <c r="Q381" s="91" t="n"/>
      <c r="R381" s="91" t="n"/>
      <c r="S381" s="91" t="n"/>
      <c r="T381" s="91" t="n"/>
      <c r="U381" s="91" t="n"/>
      <c r="V381" s="91" t="n"/>
      <c r="W381" s="91" t="n"/>
      <c r="X381" s="91" t="n"/>
      <c r="Y381" s="91" t="n"/>
      <c r="Z381" s="91" t="n"/>
      <c r="AA381" s="91" t="n"/>
    </row>
    <row r="382" ht="12.75" customHeight="1" s="117">
      <c r="A382" s="91" t="n"/>
      <c r="B382" s="91" t="n"/>
      <c r="C382" s="91" t="n"/>
      <c r="D382" s="91" t="n"/>
      <c r="E382" s="91" t="n"/>
      <c r="F382" s="91" t="n"/>
      <c r="G382" s="91" t="n"/>
      <c r="H382" s="91" t="n"/>
      <c r="I382" s="91" t="n"/>
      <c r="J382" s="91" t="n"/>
      <c r="K382" s="91" t="n"/>
      <c r="L382" s="91" t="n"/>
      <c r="M382" s="91" t="n"/>
      <c r="N382" s="91" t="n"/>
      <c r="O382" s="91" t="n"/>
      <c r="P382" s="91" t="n"/>
      <c r="Q382" s="91" t="n"/>
      <c r="R382" s="91" t="n"/>
      <c r="S382" s="91" t="n"/>
      <c r="T382" s="91" t="n"/>
      <c r="U382" s="91" t="n"/>
      <c r="V382" s="91" t="n"/>
      <c r="W382" s="91" t="n"/>
      <c r="X382" s="91" t="n"/>
      <c r="Y382" s="91" t="n"/>
      <c r="Z382" s="91" t="n"/>
      <c r="AA382" s="91" t="n"/>
    </row>
    <row r="383" ht="12.75" customHeight="1" s="117">
      <c r="A383" s="91" t="n"/>
      <c r="B383" s="91" t="n"/>
      <c r="C383" s="91" t="n"/>
      <c r="D383" s="91" t="n"/>
      <c r="E383" s="91" t="n"/>
      <c r="F383" s="91" t="n"/>
      <c r="G383" s="91" t="n"/>
      <c r="H383" s="91" t="n"/>
      <c r="I383" s="91" t="n"/>
      <c r="J383" s="91" t="n"/>
      <c r="K383" s="91" t="n"/>
      <c r="L383" s="91" t="n"/>
      <c r="M383" s="91" t="n"/>
      <c r="N383" s="91" t="n"/>
      <c r="O383" s="91" t="n"/>
      <c r="P383" s="91" t="n"/>
      <c r="Q383" s="91" t="n"/>
      <c r="R383" s="91" t="n"/>
      <c r="S383" s="91" t="n"/>
      <c r="T383" s="91" t="n"/>
      <c r="U383" s="91" t="n"/>
      <c r="V383" s="91" t="n"/>
      <c r="W383" s="91" t="n"/>
      <c r="X383" s="91" t="n"/>
      <c r="Y383" s="91" t="n"/>
      <c r="Z383" s="91" t="n"/>
      <c r="AA383" s="91" t="n"/>
    </row>
    <row r="384" ht="12.75" customHeight="1" s="117">
      <c r="A384" s="91" t="n"/>
      <c r="B384" s="91" t="n"/>
      <c r="C384" s="91" t="n"/>
      <c r="D384" s="91" t="n"/>
      <c r="E384" s="91" t="n"/>
      <c r="F384" s="91" t="n"/>
      <c r="G384" s="91" t="n"/>
      <c r="H384" s="91" t="n"/>
      <c r="I384" s="91" t="n"/>
      <c r="J384" s="91" t="n"/>
      <c r="K384" s="91" t="n"/>
      <c r="L384" s="91" t="n"/>
      <c r="M384" s="91" t="n"/>
      <c r="N384" s="91" t="n"/>
      <c r="O384" s="91" t="n"/>
      <c r="P384" s="91" t="n"/>
      <c r="Q384" s="91" t="n"/>
      <c r="R384" s="91" t="n"/>
      <c r="S384" s="91" t="n"/>
      <c r="T384" s="91" t="n"/>
      <c r="U384" s="91" t="n"/>
      <c r="V384" s="91" t="n"/>
      <c r="W384" s="91" t="n"/>
      <c r="X384" s="91" t="n"/>
      <c r="Y384" s="91" t="n"/>
      <c r="Z384" s="91" t="n"/>
      <c r="AA384" s="91" t="n"/>
    </row>
    <row r="385" ht="12.75" customHeight="1" s="117">
      <c r="A385" s="91" t="n"/>
      <c r="B385" s="91" t="n"/>
      <c r="C385" s="91" t="n"/>
      <c r="D385" s="91" t="n"/>
      <c r="E385" s="91" t="n"/>
      <c r="F385" s="91" t="n"/>
      <c r="G385" s="91" t="n"/>
      <c r="H385" s="91" t="n"/>
      <c r="I385" s="91" t="n"/>
      <c r="J385" s="91" t="n"/>
      <c r="K385" s="91" t="n"/>
      <c r="L385" s="91" t="n"/>
      <c r="M385" s="91" t="n"/>
      <c r="N385" s="91" t="n"/>
      <c r="O385" s="91" t="n"/>
      <c r="P385" s="91" t="n"/>
      <c r="Q385" s="91" t="n"/>
      <c r="R385" s="91" t="n"/>
      <c r="S385" s="91" t="n"/>
      <c r="T385" s="91" t="n"/>
      <c r="U385" s="91" t="n"/>
      <c r="V385" s="91" t="n"/>
      <c r="W385" s="91" t="n"/>
      <c r="X385" s="91" t="n"/>
      <c r="Y385" s="91" t="n"/>
      <c r="Z385" s="91" t="n"/>
      <c r="AA385" s="91" t="n"/>
    </row>
    <row r="386" ht="12.75" customHeight="1" s="117">
      <c r="A386" s="91" t="n"/>
      <c r="B386" s="91" t="n"/>
      <c r="C386" s="91" t="n"/>
      <c r="D386" s="91" t="n"/>
      <c r="E386" s="91" t="n"/>
      <c r="F386" s="91" t="n"/>
      <c r="G386" s="91" t="n"/>
      <c r="H386" s="91" t="n"/>
      <c r="I386" s="91" t="n"/>
      <c r="J386" s="91" t="n"/>
      <c r="K386" s="91" t="n"/>
      <c r="L386" s="91" t="n"/>
      <c r="M386" s="91" t="n"/>
      <c r="N386" s="91" t="n"/>
      <c r="O386" s="91" t="n"/>
      <c r="P386" s="91" t="n"/>
      <c r="Q386" s="91" t="n"/>
      <c r="R386" s="91" t="n"/>
      <c r="S386" s="91" t="n"/>
      <c r="T386" s="91" t="n"/>
      <c r="U386" s="91" t="n"/>
      <c r="V386" s="91" t="n"/>
      <c r="W386" s="91" t="n"/>
      <c r="X386" s="91" t="n"/>
      <c r="Y386" s="91" t="n"/>
      <c r="Z386" s="91" t="n"/>
      <c r="AA386" s="91" t="n"/>
    </row>
    <row r="387" ht="12.75" customHeight="1" s="117">
      <c r="A387" s="91" t="n"/>
      <c r="B387" s="91" t="n"/>
      <c r="C387" s="91" t="n"/>
      <c r="D387" s="91" t="n"/>
      <c r="E387" s="91" t="n"/>
      <c r="F387" s="91" t="n"/>
      <c r="G387" s="91" t="n"/>
      <c r="H387" s="91" t="n"/>
      <c r="I387" s="91" t="n"/>
      <c r="J387" s="91" t="n"/>
      <c r="K387" s="91" t="n"/>
      <c r="L387" s="91" t="n"/>
      <c r="M387" s="91" t="n"/>
      <c r="N387" s="91" t="n"/>
      <c r="O387" s="91" t="n"/>
      <c r="P387" s="91" t="n"/>
      <c r="Q387" s="91" t="n"/>
      <c r="R387" s="91" t="n"/>
      <c r="S387" s="91" t="n"/>
      <c r="T387" s="91" t="n"/>
      <c r="U387" s="91" t="n"/>
      <c r="V387" s="91" t="n"/>
      <c r="W387" s="91" t="n"/>
      <c r="X387" s="91" t="n"/>
      <c r="Y387" s="91" t="n"/>
      <c r="Z387" s="91" t="n"/>
      <c r="AA387" s="91" t="n"/>
    </row>
    <row r="388" ht="12.75" customHeight="1" s="117">
      <c r="A388" s="91" t="n"/>
      <c r="B388" s="91" t="n"/>
      <c r="C388" s="91" t="n"/>
      <c r="D388" s="91" t="n"/>
      <c r="E388" s="91" t="n"/>
      <c r="F388" s="91" t="n"/>
      <c r="G388" s="91" t="n"/>
      <c r="H388" s="91" t="n"/>
      <c r="I388" s="91" t="n"/>
      <c r="J388" s="91" t="n"/>
      <c r="K388" s="91" t="n"/>
      <c r="L388" s="91" t="n"/>
      <c r="M388" s="91" t="n"/>
      <c r="N388" s="91" t="n"/>
      <c r="O388" s="91" t="n"/>
      <c r="P388" s="91" t="n"/>
      <c r="Q388" s="91" t="n"/>
      <c r="R388" s="91" t="n"/>
      <c r="S388" s="91" t="n"/>
      <c r="T388" s="91" t="n"/>
      <c r="U388" s="91" t="n"/>
      <c r="V388" s="91" t="n"/>
      <c r="W388" s="91" t="n"/>
      <c r="X388" s="91" t="n"/>
      <c r="Y388" s="91" t="n"/>
      <c r="Z388" s="91" t="n"/>
      <c r="AA388" s="91" t="n"/>
    </row>
    <row r="389" ht="12.75" customHeight="1" s="117">
      <c r="A389" s="91" t="n"/>
      <c r="B389" s="91" t="n"/>
      <c r="C389" s="91" t="n"/>
      <c r="D389" s="91" t="n"/>
      <c r="E389" s="91" t="n"/>
      <c r="F389" s="91" t="n"/>
      <c r="G389" s="91" t="n"/>
      <c r="H389" s="91" t="n"/>
      <c r="I389" s="91" t="n"/>
      <c r="J389" s="91" t="n"/>
      <c r="K389" s="91" t="n"/>
      <c r="L389" s="91" t="n"/>
      <c r="M389" s="91" t="n"/>
      <c r="N389" s="91" t="n"/>
      <c r="O389" s="91" t="n"/>
      <c r="P389" s="91" t="n"/>
      <c r="Q389" s="91" t="n"/>
      <c r="R389" s="91" t="n"/>
      <c r="S389" s="91" t="n"/>
      <c r="T389" s="91" t="n"/>
      <c r="U389" s="91" t="n"/>
      <c r="V389" s="91" t="n"/>
      <c r="W389" s="91" t="n"/>
      <c r="X389" s="91" t="n"/>
      <c r="Y389" s="91" t="n"/>
      <c r="Z389" s="91" t="n"/>
      <c r="AA389" s="91" t="n"/>
    </row>
    <row r="390" ht="12.75" customHeight="1" s="117">
      <c r="A390" s="91" t="n"/>
      <c r="B390" s="91" t="n"/>
      <c r="C390" s="91" t="n"/>
      <c r="D390" s="91" t="n"/>
      <c r="E390" s="91" t="n"/>
      <c r="F390" s="91" t="n"/>
      <c r="G390" s="91" t="n"/>
      <c r="H390" s="91" t="n"/>
      <c r="I390" s="91" t="n"/>
      <c r="J390" s="91" t="n"/>
      <c r="K390" s="91" t="n"/>
      <c r="L390" s="91" t="n"/>
      <c r="M390" s="91" t="n"/>
      <c r="N390" s="91" t="n"/>
      <c r="O390" s="91" t="n"/>
      <c r="P390" s="91" t="n"/>
      <c r="Q390" s="91" t="n"/>
      <c r="R390" s="91" t="n"/>
      <c r="S390" s="91" t="n"/>
      <c r="T390" s="91" t="n"/>
      <c r="U390" s="91" t="n"/>
      <c r="V390" s="91" t="n"/>
      <c r="W390" s="91" t="n"/>
      <c r="X390" s="91" t="n"/>
      <c r="Y390" s="91" t="n"/>
      <c r="Z390" s="91" t="n"/>
      <c r="AA390" s="91" t="n"/>
    </row>
    <row r="391" ht="12.75" customHeight="1" s="117">
      <c r="A391" s="91" t="n"/>
      <c r="B391" s="91" t="n"/>
      <c r="C391" s="91" t="n"/>
      <c r="D391" s="91" t="n"/>
      <c r="E391" s="91" t="n"/>
      <c r="F391" s="91" t="n"/>
      <c r="G391" s="91" t="n"/>
      <c r="H391" s="91" t="n"/>
      <c r="I391" s="91" t="n"/>
      <c r="J391" s="91" t="n"/>
      <c r="K391" s="91" t="n"/>
      <c r="L391" s="91" t="n"/>
      <c r="M391" s="91" t="n"/>
      <c r="N391" s="91" t="n"/>
      <c r="O391" s="91" t="n"/>
      <c r="P391" s="91" t="n"/>
      <c r="Q391" s="91" t="n"/>
      <c r="R391" s="91" t="n"/>
      <c r="S391" s="91" t="n"/>
      <c r="T391" s="91" t="n"/>
      <c r="U391" s="91" t="n"/>
      <c r="V391" s="91" t="n"/>
      <c r="W391" s="91" t="n"/>
      <c r="X391" s="91" t="n"/>
      <c r="Y391" s="91" t="n"/>
      <c r="Z391" s="91" t="n"/>
      <c r="AA391" s="91" t="n"/>
    </row>
    <row r="392" ht="12.75" customHeight="1" s="117">
      <c r="A392" s="91" t="n"/>
      <c r="B392" s="91" t="n"/>
      <c r="C392" s="91" t="n"/>
      <c r="D392" s="91" t="n"/>
      <c r="E392" s="91" t="n"/>
      <c r="F392" s="91" t="n"/>
      <c r="G392" s="91" t="n"/>
      <c r="H392" s="91" t="n"/>
      <c r="I392" s="91" t="n"/>
      <c r="J392" s="91" t="n"/>
      <c r="K392" s="91" t="n"/>
      <c r="L392" s="91" t="n"/>
      <c r="M392" s="91" t="n"/>
      <c r="N392" s="91" t="n"/>
      <c r="O392" s="91" t="n"/>
      <c r="P392" s="91" t="n"/>
      <c r="Q392" s="91" t="n"/>
      <c r="R392" s="91" t="n"/>
      <c r="S392" s="91" t="n"/>
      <c r="T392" s="91" t="n"/>
      <c r="U392" s="91" t="n"/>
      <c r="V392" s="91" t="n"/>
      <c r="W392" s="91" t="n"/>
      <c r="X392" s="91" t="n"/>
      <c r="Y392" s="91" t="n"/>
      <c r="Z392" s="91" t="n"/>
      <c r="AA392" s="91" t="n"/>
    </row>
    <row r="393" ht="12.75" customHeight="1" s="117">
      <c r="A393" s="91" t="n"/>
      <c r="B393" s="91" t="n"/>
      <c r="C393" s="91" t="n"/>
      <c r="D393" s="91" t="n"/>
      <c r="E393" s="91" t="n"/>
      <c r="F393" s="91" t="n"/>
      <c r="G393" s="91" t="n"/>
      <c r="H393" s="91" t="n"/>
      <c r="I393" s="91" t="n"/>
      <c r="J393" s="91" t="n"/>
      <c r="K393" s="91" t="n"/>
      <c r="L393" s="91" t="n"/>
      <c r="M393" s="91" t="n"/>
      <c r="N393" s="91" t="n"/>
      <c r="O393" s="91" t="n"/>
      <c r="P393" s="91" t="n"/>
      <c r="Q393" s="91" t="n"/>
      <c r="R393" s="91" t="n"/>
      <c r="S393" s="91" t="n"/>
      <c r="T393" s="91" t="n"/>
      <c r="U393" s="91" t="n"/>
      <c r="V393" s="91" t="n"/>
      <c r="W393" s="91" t="n"/>
      <c r="X393" s="91" t="n"/>
      <c r="Y393" s="91" t="n"/>
      <c r="Z393" s="91" t="n"/>
      <c r="AA393" s="91" t="n"/>
    </row>
    <row r="394" ht="12.75" customHeight="1" s="117">
      <c r="A394" s="91" t="n"/>
      <c r="B394" s="91" t="n"/>
      <c r="C394" s="91" t="n"/>
      <c r="D394" s="91" t="n"/>
      <c r="E394" s="91" t="n"/>
      <c r="F394" s="91" t="n"/>
      <c r="G394" s="91" t="n"/>
      <c r="H394" s="91" t="n"/>
      <c r="I394" s="91" t="n"/>
      <c r="J394" s="91" t="n"/>
      <c r="K394" s="91" t="n"/>
      <c r="L394" s="91" t="n"/>
      <c r="M394" s="91" t="n"/>
      <c r="N394" s="91" t="n"/>
      <c r="O394" s="91" t="n"/>
      <c r="P394" s="91" t="n"/>
      <c r="Q394" s="91" t="n"/>
      <c r="R394" s="91" t="n"/>
      <c r="S394" s="91" t="n"/>
      <c r="T394" s="91" t="n"/>
      <c r="U394" s="91" t="n"/>
      <c r="V394" s="91" t="n"/>
      <c r="W394" s="91" t="n"/>
      <c r="X394" s="91" t="n"/>
      <c r="Y394" s="91" t="n"/>
      <c r="Z394" s="91" t="n"/>
      <c r="AA394" s="91" t="n"/>
    </row>
    <row r="395" ht="12.75" customHeight="1" s="117">
      <c r="A395" s="91" t="n"/>
      <c r="B395" s="91" t="n"/>
      <c r="C395" s="91" t="n"/>
      <c r="D395" s="91" t="n"/>
      <c r="E395" s="91" t="n"/>
      <c r="F395" s="91" t="n"/>
      <c r="G395" s="91" t="n"/>
      <c r="H395" s="91" t="n"/>
      <c r="I395" s="91" t="n"/>
      <c r="J395" s="91" t="n"/>
      <c r="K395" s="91" t="n"/>
      <c r="L395" s="91" t="n"/>
      <c r="M395" s="91" t="n"/>
      <c r="N395" s="91" t="n"/>
      <c r="O395" s="91" t="n"/>
      <c r="P395" s="91" t="n"/>
      <c r="Q395" s="91" t="n"/>
      <c r="R395" s="91" t="n"/>
      <c r="S395" s="91" t="n"/>
      <c r="T395" s="91" t="n"/>
      <c r="U395" s="91" t="n"/>
      <c r="V395" s="91" t="n"/>
      <c r="W395" s="91" t="n"/>
      <c r="X395" s="91" t="n"/>
      <c r="Y395" s="91" t="n"/>
      <c r="Z395" s="91" t="n"/>
      <c r="AA395" s="91" t="n"/>
    </row>
    <row r="396" ht="12.75" customHeight="1" s="117">
      <c r="A396" s="91" t="n"/>
      <c r="B396" s="91" t="n"/>
      <c r="C396" s="91" t="n"/>
      <c r="D396" s="91" t="n"/>
      <c r="E396" s="91" t="n"/>
      <c r="F396" s="91" t="n"/>
      <c r="G396" s="91" t="n"/>
      <c r="H396" s="91" t="n"/>
      <c r="I396" s="91" t="n"/>
      <c r="J396" s="91" t="n"/>
      <c r="K396" s="91" t="n"/>
      <c r="L396" s="91" t="n"/>
      <c r="M396" s="91" t="n"/>
      <c r="N396" s="91" t="n"/>
      <c r="O396" s="91" t="n"/>
      <c r="P396" s="91" t="n"/>
      <c r="Q396" s="91" t="n"/>
      <c r="R396" s="91" t="n"/>
      <c r="S396" s="91" t="n"/>
      <c r="T396" s="91" t="n"/>
      <c r="U396" s="91" t="n"/>
      <c r="V396" s="91" t="n"/>
      <c r="W396" s="91" t="n"/>
      <c r="X396" s="91" t="n"/>
      <c r="Y396" s="91" t="n"/>
      <c r="Z396" s="91" t="n"/>
      <c r="AA396" s="91" t="n"/>
    </row>
    <row r="397" ht="12.75" customHeight="1" s="117">
      <c r="A397" s="91" t="n"/>
      <c r="B397" s="91" t="n"/>
      <c r="C397" s="91" t="n"/>
      <c r="D397" s="91" t="n"/>
      <c r="E397" s="91" t="n"/>
      <c r="F397" s="91" t="n"/>
      <c r="G397" s="91" t="n"/>
      <c r="H397" s="91" t="n"/>
      <c r="I397" s="91" t="n"/>
      <c r="J397" s="91" t="n"/>
      <c r="K397" s="91" t="n"/>
      <c r="L397" s="91" t="n"/>
      <c r="M397" s="91" t="n"/>
      <c r="N397" s="91" t="n"/>
      <c r="O397" s="91" t="n"/>
      <c r="P397" s="91" t="n"/>
      <c r="Q397" s="91" t="n"/>
      <c r="R397" s="91" t="n"/>
      <c r="S397" s="91" t="n"/>
      <c r="T397" s="91" t="n"/>
      <c r="U397" s="91" t="n"/>
      <c r="V397" s="91" t="n"/>
      <c r="W397" s="91" t="n"/>
      <c r="X397" s="91" t="n"/>
      <c r="Y397" s="91" t="n"/>
      <c r="Z397" s="91" t="n"/>
      <c r="AA397" s="91" t="n"/>
    </row>
    <row r="398" ht="12.75" customHeight="1" s="117">
      <c r="A398" s="91" t="n"/>
      <c r="B398" s="91" t="n"/>
      <c r="C398" s="91" t="n"/>
      <c r="D398" s="91" t="n"/>
      <c r="E398" s="91" t="n"/>
      <c r="F398" s="91" t="n"/>
      <c r="G398" s="91" t="n"/>
      <c r="H398" s="91" t="n"/>
      <c r="I398" s="91" t="n"/>
      <c r="J398" s="91" t="n"/>
      <c r="K398" s="91" t="n"/>
      <c r="L398" s="91" t="n"/>
      <c r="M398" s="91" t="n"/>
      <c r="N398" s="91" t="n"/>
      <c r="O398" s="91" t="n"/>
      <c r="P398" s="91" t="n"/>
      <c r="Q398" s="91" t="n"/>
      <c r="R398" s="91" t="n"/>
      <c r="S398" s="91" t="n"/>
      <c r="T398" s="91" t="n"/>
      <c r="U398" s="91" t="n"/>
      <c r="V398" s="91" t="n"/>
      <c r="W398" s="91" t="n"/>
      <c r="X398" s="91" t="n"/>
      <c r="Y398" s="91" t="n"/>
      <c r="Z398" s="91" t="n"/>
      <c r="AA398" s="91" t="n"/>
    </row>
    <row r="399" ht="12.75" customHeight="1" s="117">
      <c r="A399" s="91" t="n"/>
      <c r="B399" s="91" t="n"/>
      <c r="C399" s="91" t="n"/>
      <c r="D399" s="91" t="n"/>
      <c r="E399" s="91" t="n"/>
      <c r="F399" s="91" t="n"/>
      <c r="G399" s="91" t="n"/>
      <c r="H399" s="91" t="n"/>
      <c r="I399" s="91" t="n"/>
      <c r="J399" s="91" t="n"/>
      <c r="K399" s="91" t="n"/>
      <c r="L399" s="91" t="n"/>
      <c r="M399" s="91" t="n"/>
      <c r="N399" s="91" t="n"/>
      <c r="O399" s="91" t="n"/>
      <c r="P399" s="91" t="n"/>
      <c r="Q399" s="91" t="n"/>
      <c r="R399" s="91" t="n"/>
      <c r="S399" s="91" t="n"/>
      <c r="T399" s="91" t="n"/>
      <c r="U399" s="91" t="n"/>
      <c r="V399" s="91" t="n"/>
      <c r="W399" s="91" t="n"/>
      <c r="X399" s="91" t="n"/>
      <c r="Y399" s="91" t="n"/>
      <c r="Z399" s="91" t="n"/>
      <c r="AA399" s="91" t="n"/>
    </row>
    <row r="400" ht="12.75" customHeight="1" s="117">
      <c r="A400" s="91" t="n"/>
      <c r="B400" s="91" t="n"/>
      <c r="C400" s="91" t="n"/>
      <c r="D400" s="91" t="n"/>
      <c r="E400" s="91" t="n"/>
      <c r="F400" s="91" t="n"/>
      <c r="G400" s="91" t="n"/>
      <c r="H400" s="91" t="n"/>
      <c r="I400" s="91" t="n"/>
      <c r="J400" s="91" t="n"/>
      <c r="K400" s="91" t="n"/>
      <c r="L400" s="91" t="n"/>
      <c r="M400" s="91" t="n"/>
      <c r="N400" s="91" t="n"/>
      <c r="O400" s="91" t="n"/>
      <c r="P400" s="91" t="n"/>
      <c r="Q400" s="91" t="n"/>
      <c r="R400" s="91" t="n"/>
      <c r="S400" s="91" t="n"/>
      <c r="T400" s="91" t="n"/>
      <c r="U400" s="91" t="n"/>
      <c r="V400" s="91" t="n"/>
      <c r="W400" s="91" t="n"/>
      <c r="X400" s="91" t="n"/>
      <c r="Y400" s="91" t="n"/>
      <c r="Z400" s="91" t="n"/>
      <c r="AA400" s="91" t="n"/>
    </row>
    <row r="401" ht="12.75" customHeight="1" s="117">
      <c r="A401" s="91" t="n"/>
      <c r="B401" s="91" t="n"/>
      <c r="C401" s="91" t="n"/>
      <c r="D401" s="91" t="n"/>
      <c r="E401" s="91" t="n"/>
      <c r="F401" s="91" t="n"/>
      <c r="G401" s="91" t="n"/>
      <c r="H401" s="91" t="n"/>
      <c r="I401" s="91" t="n"/>
      <c r="J401" s="91" t="n"/>
      <c r="K401" s="91" t="n"/>
      <c r="L401" s="91" t="n"/>
      <c r="M401" s="91" t="n"/>
      <c r="N401" s="91" t="n"/>
      <c r="O401" s="91" t="n"/>
      <c r="P401" s="91" t="n"/>
      <c r="Q401" s="91" t="n"/>
      <c r="R401" s="91" t="n"/>
      <c r="S401" s="91" t="n"/>
      <c r="T401" s="91" t="n"/>
      <c r="U401" s="91" t="n"/>
      <c r="V401" s="91" t="n"/>
      <c r="W401" s="91" t="n"/>
      <c r="X401" s="91" t="n"/>
      <c r="Y401" s="91" t="n"/>
      <c r="Z401" s="91" t="n"/>
      <c r="AA401" s="91" t="n"/>
    </row>
    <row r="402" ht="12.75" customHeight="1" s="117">
      <c r="A402" s="91" t="n"/>
      <c r="B402" s="91" t="n"/>
      <c r="C402" s="91" t="n"/>
      <c r="D402" s="91" t="n"/>
      <c r="E402" s="91" t="n"/>
      <c r="F402" s="91" t="n"/>
      <c r="G402" s="91" t="n"/>
      <c r="H402" s="91" t="n"/>
      <c r="I402" s="91" t="n"/>
      <c r="J402" s="91" t="n"/>
      <c r="K402" s="91" t="n"/>
      <c r="L402" s="91" t="n"/>
      <c r="M402" s="91" t="n"/>
      <c r="N402" s="91" t="n"/>
      <c r="O402" s="91" t="n"/>
      <c r="P402" s="91" t="n"/>
      <c r="Q402" s="91" t="n"/>
      <c r="R402" s="91" t="n"/>
      <c r="S402" s="91" t="n"/>
      <c r="T402" s="91" t="n"/>
      <c r="U402" s="91" t="n"/>
      <c r="V402" s="91" t="n"/>
      <c r="W402" s="91" t="n"/>
      <c r="X402" s="91" t="n"/>
      <c r="Y402" s="91" t="n"/>
      <c r="Z402" s="91" t="n"/>
      <c r="AA402" s="91" t="n"/>
    </row>
    <row r="403" ht="12.75" customHeight="1" s="117">
      <c r="A403" s="91" t="n"/>
      <c r="B403" s="91" t="n"/>
      <c r="C403" s="91" t="n"/>
      <c r="D403" s="91" t="n"/>
      <c r="E403" s="91" t="n"/>
      <c r="F403" s="91" t="n"/>
      <c r="G403" s="91" t="n"/>
      <c r="H403" s="91" t="n"/>
      <c r="I403" s="91" t="n"/>
      <c r="J403" s="91" t="n"/>
      <c r="K403" s="91" t="n"/>
      <c r="L403" s="91" t="n"/>
      <c r="M403" s="91" t="n"/>
      <c r="N403" s="91" t="n"/>
      <c r="O403" s="91" t="n"/>
      <c r="P403" s="91" t="n"/>
      <c r="Q403" s="91" t="n"/>
      <c r="R403" s="91" t="n"/>
      <c r="S403" s="91" t="n"/>
      <c r="T403" s="91" t="n"/>
      <c r="U403" s="91" t="n"/>
      <c r="V403" s="91" t="n"/>
      <c r="W403" s="91" t="n"/>
      <c r="X403" s="91" t="n"/>
      <c r="Y403" s="91" t="n"/>
      <c r="Z403" s="91" t="n"/>
      <c r="AA403" s="91" t="n"/>
    </row>
    <row r="404" ht="12.75" customHeight="1" s="117">
      <c r="A404" s="91" t="n"/>
      <c r="B404" s="91" t="n"/>
      <c r="C404" s="91" t="n"/>
      <c r="D404" s="91" t="n"/>
      <c r="E404" s="91" t="n"/>
      <c r="F404" s="91" t="n"/>
      <c r="G404" s="91" t="n"/>
      <c r="H404" s="91" t="n"/>
      <c r="I404" s="91" t="n"/>
      <c r="J404" s="91" t="n"/>
      <c r="K404" s="91" t="n"/>
      <c r="L404" s="91" t="n"/>
      <c r="M404" s="91" t="n"/>
      <c r="N404" s="91" t="n"/>
      <c r="O404" s="91" t="n"/>
      <c r="P404" s="91" t="n"/>
      <c r="Q404" s="91" t="n"/>
      <c r="R404" s="91" t="n"/>
      <c r="S404" s="91" t="n"/>
      <c r="T404" s="91" t="n"/>
      <c r="U404" s="91" t="n"/>
      <c r="V404" s="91" t="n"/>
      <c r="W404" s="91" t="n"/>
      <c r="X404" s="91" t="n"/>
      <c r="Y404" s="91" t="n"/>
      <c r="Z404" s="91" t="n"/>
      <c r="AA404" s="91" t="n"/>
    </row>
    <row r="405" ht="12.75" customHeight="1" s="117">
      <c r="A405" s="91" t="n"/>
      <c r="B405" s="91" t="n"/>
      <c r="C405" s="91" t="n"/>
      <c r="D405" s="91" t="n"/>
      <c r="E405" s="91" t="n"/>
      <c r="F405" s="91" t="n"/>
      <c r="G405" s="91" t="n"/>
      <c r="H405" s="91" t="n"/>
      <c r="I405" s="91" t="n"/>
      <c r="J405" s="91" t="n"/>
      <c r="K405" s="91" t="n"/>
      <c r="L405" s="91" t="n"/>
      <c r="M405" s="91" t="n"/>
      <c r="N405" s="91" t="n"/>
      <c r="O405" s="91" t="n"/>
      <c r="P405" s="91" t="n"/>
      <c r="Q405" s="91" t="n"/>
      <c r="R405" s="91" t="n"/>
      <c r="S405" s="91" t="n"/>
      <c r="T405" s="91" t="n"/>
      <c r="U405" s="91" t="n"/>
      <c r="V405" s="91" t="n"/>
      <c r="W405" s="91" t="n"/>
      <c r="X405" s="91" t="n"/>
      <c r="Y405" s="91" t="n"/>
      <c r="Z405" s="91" t="n"/>
      <c r="AA405" s="91" t="n"/>
    </row>
    <row r="406" ht="12.75" customHeight="1" s="117">
      <c r="A406" s="91" t="n"/>
      <c r="B406" s="91" t="n"/>
      <c r="C406" s="91" t="n"/>
      <c r="D406" s="91" t="n"/>
      <c r="E406" s="91" t="n"/>
      <c r="F406" s="91" t="n"/>
      <c r="G406" s="91" t="n"/>
      <c r="H406" s="91" t="n"/>
      <c r="I406" s="91" t="n"/>
      <c r="J406" s="91" t="n"/>
      <c r="K406" s="91" t="n"/>
      <c r="L406" s="91" t="n"/>
      <c r="M406" s="91" t="n"/>
      <c r="N406" s="91" t="n"/>
      <c r="O406" s="91" t="n"/>
      <c r="P406" s="91" t="n"/>
      <c r="Q406" s="91" t="n"/>
      <c r="R406" s="91" t="n"/>
      <c r="S406" s="91" t="n"/>
      <c r="T406" s="91" t="n"/>
      <c r="U406" s="91" t="n"/>
      <c r="V406" s="91" t="n"/>
      <c r="W406" s="91" t="n"/>
      <c r="X406" s="91" t="n"/>
      <c r="Y406" s="91" t="n"/>
      <c r="Z406" s="91" t="n"/>
      <c r="AA406" s="91" t="n"/>
    </row>
    <row r="407" ht="12.75" customHeight="1" s="117">
      <c r="A407" s="91" t="n"/>
      <c r="B407" s="91" t="n"/>
      <c r="C407" s="91" t="n"/>
      <c r="D407" s="91" t="n"/>
      <c r="E407" s="91" t="n"/>
      <c r="F407" s="91" t="n"/>
      <c r="G407" s="91" t="n"/>
      <c r="H407" s="91" t="n"/>
      <c r="I407" s="91" t="n"/>
      <c r="J407" s="91" t="n"/>
      <c r="K407" s="91" t="n"/>
      <c r="L407" s="91" t="n"/>
      <c r="M407" s="91" t="n"/>
      <c r="N407" s="91" t="n"/>
      <c r="O407" s="91" t="n"/>
      <c r="P407" s="91" t="n"/>
      <c r="Q407" s="91" t="n"/>
      <c r="R407" s="91" t="n"/>
      <c r="S407" s="91" t="n"/>
      <c r="T407" s="91" t="n"/>
      <c r="U407" s="91" t="n"/>
      <c r="V407" s="91" t="n"/>
      <c r="W407" s="91" t="n"/>
      <c r="X407" s="91" t="n"/>
      <c r="Y407" s="91" t="n"/>
      <c r="Z407" s="91" t="n"/>
      <c r="AA407" s="91" t="n"/>
    </row>
    <row r="408" ht="12.75" customHeight="1" s="117">
      <c r="A408" s="91" t="n"/>
      <c r="B408" s="91" t="n"/>
      <c r="C408" s="91" t="n"/>
      <c r="D408" s="91" t="n"/>
      <c r="E408" s="91" t="n"/>
      <c r="F408" s="91" t="n"/>
      <c r="G408" s="91" t="n"/>
      <c r="H408" s="91" t="n"/>
      <c r="I408" s="91" t="n"/>
      <c r="J408" s="91" t="n"/>
      <c r="K408" s="91" t="n"/>
      <c r="L408" s="91" t="n"/>
      <c r="M408" s="91" t="n"/>
      <c r="N408" s="91" t="n"/>
      <c r="O408" s="91" t="n"/>
      <c r="P408" s="91" t="n"/>
      <c r="Q408" s="91" t="n"/>
      <c r="R408" s="91" t="n"/>
      <c r="S408" s="91" t="n"/>
      <c r="T408" s="91" t="n"/>
      <c r="U408" s="91" t="n"/>
      <c r="V408" s="91" t="n"/>
      <c r="W408" s="91" t="n"/>
      <c r="X408" s="91" t="n"/>
      <c r="Y408" s="91" t="n"/>
      <c r="Z408" s="91" t="n"/>
      <c r="AA408" s="91" t="n"/>
    </row>
    <row r="409" ht="12.75" customHeight="1" s="117">
      <c r="A409" s="91" t="n"/>
      <c r="B409" s="91" t="n"/>
      <c r="C409" s="91" t="n"/>
      <c r="D409" s="91" t="n"/>
      <c r="E409" s="91" t="n"/>
      <c r="F409" s="91" t="n"/>
      <c r="G409" s="91" t="n"/>
      <c r="H409" s="91" t="n"/>
      <c r="I409" s="91" t="n"/>
      <c r="J409" s="91" t="n"/>
      <c r="K409" s="91" t="n"/>
      <c r="L409" s="91" t="n"/>
      <c r="M409" s="91" t="n"/>
      <c r="N409" s="91" t="n"/>
      <c r="O409" s="91" t="n"/>
      <c r="P409" s="91" t="n"/>
      <c r="Q409" s="91" t="n"/>
      <c r="R409" s="91" t="n"/>
      <c r="S409" s="91" t="n"/>
      <c r="T409" s="91" t="n"/>
      <c r="U409" s="91" t="n"/>
      <c r="V409" s="91" t="n"/>
      <c r="W409" s="91" t="n"/>
      <c r="X409" s="91" t="n"/>
      <c r="Y409" s="91" t="n"/>
      <c r="Z409" s="91" t="n"/>
      <c r="AA409" s="91" t="n"/>
    </row>
    <row r="410" ht="12.75" customHeight="1" s="117">
      <c r="A410" s="91" t="n"/>
      <c r="B410" s="91" t="n"/>
      <c r="C410" s="91" t="n"/>
      <c r="D410" s="91" t="n"/>
      <c r="E410" s="91" t="n"/>
      <c r="F410" s="91" t="n"/>
      <c r="G410" s="91" t="n"/>
      <c r="H410" s="91" t="n"/>
      <c r="I410" s="91" t="n"/>
      <c r="J410" s="91" t="n"/>
      <c r="K410" s="91" t="n"/>
      <c r="L410" s="91" t="n"/>
      <c r="M410" s="91" t="n"/>
      <c r="N410" s="91" t="n"/>
      <c r="O410" s="91" t="n"/>
      <c r="P410" s="91" t="n"/>
      <c r="Q410" s="91" t="n"/>
      <c r="R410" s="91" t="n"/>
      <c r="S410" s="91" t="n"/>
      <c r="T410" s="91" t="n"/>
      <c r="U410" s="91" t="n"/>
      <c r="V410" s="91" t="n"/>
      <c r="W410" s="91" t="n"/>
      <c r="X410" s="91" t="n"/>
      <c r="Y410" s="91" t="n"/>
      <c r="Z410" s="91" t="n"/>
      <c r="AA410" s="91" t="n"/>
    </row>
    <row r="411" ht="12.75" customHeight="1" s="117">
      <c r="A411" s="91" t="n"/>
      <c r="B411" s="91" t="n"/>
      <c r="C411" s="91" t="n"/>
      <c r="D411" s="91" t="n"/>
      <c r="E411" s="91" t="n"/>
      <c r="F411" s="91" t="n"/>
      <c r="G411" s="91" t="n"/>
      <c r="H411" s="91" t="n"/>
      <c r="I411" s="91" t="n"/>
      <c r="J411" s="91" t="n"/>
      <c r="K411" s="91" t="n"/>
      <c r="L411" s="91" t="n"/>
      <c r="M411" s="91" t="n"/>
      <c r="N411" s="91" t="n"/>
      <c r="O411" s="91" t="n"/>
      <c r="P411" s="91" t="n"/>
      <c r="Q411" s="91" t="n"/>
      <c r="R411" s="91" t="n"/>
      <c r="S411" s="91" t="n"/>
      <c r="T411" s="91" t="n"/>
      <c r="U411" s="91" t="n"/>
      <c r="V411" s="91" t="n"/>
      <c r="W411" s="91" t="n"/>
      <c r="X411" s="91" t="n"/>
      <c r="Y411" s="91" t="n"/>
      <c r="Z411" s="91" t="n"/>
      <c r="AA411" s="91" t="n"/>
    </row>
    <row r="412" ht="12.75" customHeight="1" s="117">
      <c r="A412" s="91" t="n"/>
      <c r="B412" s="91" t="n"/>
      <c r="C412" s="91" t="n"/>
      <c r="D412" s="91" t="n"/>
      <c r="E412" s="91" t="n"/>
      <c r="F412" s="91" t="n"/>
      <c r="G412" s="91" t="n"/>
      <c r="H412" s="91" t="n"/>
      <c r="I412" s="91" t="n"/>
      <c r="J412" s="91" t="n"/>
      <c r="K412" s="91" t="n"/>
      <c r="L412" s="91" t="n"/>
      <c r="M412" s="91" t="n"/>
      <c r="N412" s="91" t="n"/>
      <c r="O412" s="91" t="n"/>
      <c r="P412" s="91" t="n"/>
      <c r="Q412" s="91" t="n"/>
      <c r="R412" s="91" t="n"/>
      <c r="S412" s="91" t="n"/>
      <c r="T412" s="91" t="n"/>
      <c r="U412" s="91" t="n"/>
      <c r="V412" s="91" t="n"/>
      <c r="W412" s="91" t="n"/>
      <c r="X412" s="91" t="n"/>
      <c r="Y412" s="91" t="n"/>
      <c r="Z412" s="91" t="n"/>
      <c r="AA412" s="91" t="n"/>
    </row>
    <row r="413" ht="12.75" customHeight="1" s="117">
      <c r="A413" s="91" t="n"/>
      <c r="B413" s="91" t="n"/>
      <c r="C413" s="91" t="n"/>
      <c r="D413" s="91" t="n"/>
      <c r="E413" s="91" t="n"/>
      <c r="F413" s="91" t="n"/>
      <c r="G413" s="91" t="n"/>
      <c r="H413" s="91" t="n"/>
      <c r="I413" s="91" t="n"/>
      <c r="J413" s="91" t="n"/>
      <c r="K413" s="91" t="n"/>
      <c r="L413" s="91" t="n"/>
      <c r="M413" s="91" t="n"/>
      <c r="N413" s="91" t="n"/>
      <c r="O413" s="91" t="n"/>
      <c r="P413" s="91" t="n"/>
      <c r="Q413" s="91" t="n"/>
      <c r="R413" s="91" t="n"/>
      <c r="S413" s="91" t="n"/>
      <c r="T413" s="91" t="n"/>
      <c r="U413" s="91" t="n"/>
      <c r="V413" s="91" t="n"/>
      <c r="W413" s="91" t="n"/>
      <c r="X413" s="91" t="n"/>
      <c r="Y413" s="91" t="n"/>
      <c r="Z413" s="91" t="n"/>
      <c r="AA413" s="91" t="n"/>
    </row>
    <row r="414" ht="12.75" customHeight="1" s="117">
      <c r="A414" s="91" t="n"/>
      <c r="B414" s="91" t="n"/>
      <c r="C414" s="91" t="n"/>
      <c r="D414" s="91" t="n"/>
      <c r="E414" s="91" t="n"/>
      <c r="F414" s="91" t="n"/>
      <c r="G414" s="91" t="n"/>
      <c r="H414" s="91" t="n"/>
      <c r="I414" s="91" t="n"/>
      <c r="J414" s="91" t="n"/>
      <c r="K414" s="91" t="n"/>
      <c r="L414" s="91" t="n"/>
      <c r="M414" s="91" t="n"/>
      <c r="N414" s="91" t="n"/>
      <c r="O414" s="91" t="n"/>
      <c r="P414" s="91" t="n"/>
      <c r="Q414" s="91" t="n"/>
      <c r="R414" s="91" t="n"/>
      <c r="S414" s="91" t="n"/>
      <c r="T414" s="91" t="n"/>
      <c r="U414" s="91" t="n"/>
      <c r="V414" s="91" t="n"/>
      <c r="W414" s="91" t="n"/>
      <c r="X414" s="91" t="n"/>
      <c r="Y414" s="91" t="n"/>
      <c r="Z414" s="91" t="n"/>
      <c r="AA414" s="91" t="n"/>
    </row>
    <row r="415" ht="12.75" customHeight="1" s="117">
      <c r="A415" s="91" t="n"/>
      <c r="B415" s="91" t="n"/>
      <c r="C415" s="91" t="n"/>
      <c r="D415" s="91" t="n"/>
      <c r="E415" s="91" t="n"/>
      <c r="F415" s="91" t="n"/>
      <c r="G415" s="91" t="n"/>
      <c r="H415" s="91" t="n"/>
      <c r="I415" s="91" t="n"/>
      <c r="J415" s="91" t="n"/>
      <c r="K415" s="91" t="n"/>
      <c r="L415" s="91" t="n"/>
      <c r="M415" s="91" t="n"/>
      <c r="N415" s="91" t="n"/>
      <c r="O415" s="91" t="n"/>
      <c r="P415" s="91" t="n"/>
      <c r="Q415" s="91" t="n"/>
      <c r="R415" s="91" t="n"/>
      <c r="S415" s="91" t="n"/>
      <c r="T415" s="91" t="n"/>
      <c r="U415" s="91" t="n"/>
      <c r="V415" s="91" t="n"/>
      <c r="W415" s="91" t="n"/>
      <c r="X415" s="91" t="n"/>
      <c r="Y415" s="91" t="n"/>
      <c r="Z415" s="91" t="n"/>
      <c r="AA415" s="91" t="n"/>
    </row>
    <row r="416" ht="12.75" customHeight="1" s="117">
      <c r="A416" s="91" t="n"/>
      <c r="B416" s="91" t="n"/>
      <c r="C416" s="91" t="n"/>
      <c r="D416" s="91" t="n"/>
      <c r="E416" s="91" t="n"/>
      <c r="F416" s="91" t="n"/>
      <c r="G416" s="91" t="n"/>
      <c r="H416" s="91" t="n"/>
      <c r="I416" s="91" t="n"/>
      <c r="J416" s="91" t="n"/>
      <c r="K416" s="91" t="n"/>
      <c r="L416" s="91" t="n"/>
      <c r="M416" s="91" t="n"/>
      <c r="N416" s="91" t="n"/>
      <c r="O416" s="91" t="n"/>
      <c r="P416" s="91" t="n"/>
      <c r="Q416" s="91" t="n"/>
      <c r="R416" s="91" t="n"/>
      <c r="S416" s="91" t="n"/>
      <c r="T416" s="91" t="n"/>
      <c r="U416" s="91" t="n"/>
      <c r="V416" s="91" t="n"/>
      <c r="W416" s="91" t="n"/>
      <c r="X416" s="91" t="n"/>
      <c r="Y416" s="91" t="n"/>
      <c r="Z416" s="91" t="n"/>
      <c r="AA416" s="91" t="n"/>
    </row>
    <row r="417" ht="12.75" customHeight="1" s="117">
      <c r="A417" s="91" t="n"/>
      <c r="B417" s="91" t="n"/>
      <c r="C417" s="91" t="n"/>
      <c r="D417" s="91" t="n"/>
      <c r="E417" s="91" t="n"/>
      <c r="F417" s="91" t="n"/>
      <c r="G417" s="91" t="n"/>
      <c r="H417" s="91" t="n"/>
      <c r="I417" s="91" t="n"/>
      <c r="J417" s="91" t="n"/>
      <c r="K417" s="91" t="n"/>
      <c r="L417" s="91" t="n"/>
      <c r="M417" s="91" t="n"/>
      <c r="N417" s="91" t="n"/>
      <c r="O417" s="91" t="n"/>
      <c r="P417" s="91" t="n"/>
      <c r="Q417" s="91" t="n"/>
      <c r="R417" s="91" t="n"/>
      <c r="S417" s="91" t="n"/>
      <c r="T417" s="91" t="n"/>
      <c r="U417" s="91" t="n"/>
      <c r="V417" s="91" t="n"/>
      <c r="W417" s="91" t="n"/>
      <c r="X417" s="91" t="n"/>
      <c r="Y417" s="91" t="n"/>
      <c r="Z417" s="91" t="n"/>
      <c r="AA417" s="91" t="n"/>
    </row>
    <row r="418" ht="12.75" customHeight="1" s="117">
      <c r="A418" s="91" t="n"/>
      <c r="B418" s="91" t="n"/>
      <c r="C418" s="91" t="n"/>
      <c r="D418" s="91" t="n"/>
      <c r="E418" s="91" t="n"/>
      <c r="F418" s="91" t="n"/>
      <c r="G418" s="91" t="n"/>
      <c r="H418" s="91" t="n"/>
      <c r="I418" s="91" t="n"/>
      <c r="J418" s="91" t="n"/>
      <c r="K418" s="91" t="n"/>
      <c r="L418" s="91" t="n"/>
      <c r="M418" s="91" t="n"/>
      <c r="N418" s="91" t="n"/>
      <c r="O418" s="91" t="n"/>
      <c r="P418" s="91" t="n"/>
      <c r="Q418" s="91" t="n"/>
      <c r="R418" s="91" t="n"/>
      <c r="S418" s="91" t="n"/>
      <c r="T418" s="91" t="n"/>
      <c r="U418" s="91" t="n"/>
      <c r="V418" s="91" t="n"/>
      <c r="W418" s="91" t="n"/>
      <c r="X418" s="91" t="n"/>
      <c r="Y418" s="91" t="n"/>
      <c r="Z418" s="91" t="n"/>
      <c r="AA418" s="91" t="n"/>
    </row>
    <row r="419" ht="12.75" customHeight="1" s="117">
      <c r="A419" s="91" t="n"/>
      <c r="B419" s="91" t="n"/>
      <c r="C419" s="91" t="n"/>
      <c r="D419" s="91" t="n"/>
      <c r="E419" s="91" t="n"/>
      <c r="F419" s="91" t="n"/>
      <c r="G419" s="91" t="n"/>
      <c r="H419" s="91" t="n"/>
      <c r="I419" s="91" t="n"/>
      <c r="J419" s="91" t="n"/>
      <c r="K419" s="91" t="n"/>
      <c r="L419" s="91" t="n"/>
      <c r="M419" s="91" t="n"/>
      <c r="N419" s="91" t="n"/>
      <c r="O419" s="91" t="n"/>
      <c r="P419" s="91" t="n"/>
      <c r="Q419" s="91" t="n"/>
      <c r="R419" s="91" t="n"/>
      <c r="S419" s="91" t="n"/>
      <c r="T419" s="91" t="n"/>
      <c r="U419" s="91" t="n"/>
      <c r="V419" s="91" t="n"/>
      <c r="W419" s="91" t="n"/>
      <c r="X419" s="91" t="n"/>
      <c r="Y419" s="91" t="n"/>
      <c r="Z419" s="91" t="n"/>
      <c r="AA419" s="91" t="n"/>
    </row>
    <row r="420" ht="12.75" customHeight="1" s="117">
      <c r="A420" s="91" t="n"/>
      <c r="B420" s="91" t="n"/>
      <c r="C420" s="91" t="n"/>
      <c r="D420" s="91" t="n"/>
      <c r="E420" s="91" t="n"/>
      <c r="F420" s="91" t="n"/>
      <c r="G420" s="91" t="n"/>
      <c r="H420" s="91" t="n"/>
      <c r="I420" s="91" t="n"/>
      <c r="J420" s="91" t="n"/>
      <c r="K420" s="91" t="n"/>
      <c r="L420" s="91" t="n"/>
      <c r="M420" s="91" t="n"/>
      <c r="N420" s="91" t="n"/>
      <c r="O420" s="91" t="n"/>
      <c r="P420" s="91" t="n"/>
      <c r="Q420" s="91" t="n"/>
      <c r="R420" s="91" t="n"/>
      <c r="S420" s="91" t="n"/>
      <c r="T420" s="91" t="n"/>
      <c r="U420" s="91" t="n"/>
      <c r="V420" s="91" t="n"/>
      <c r="W420" s="91" t="n"/>
      <c r="X420" s="91" t="n"/>
      <c r="Y420" s="91" t="n"/>
      <c r="Z420" s="91" t="n"/>
      <c r="AA420" s="91" t="n"/>
    </row>
    <row r="421" ht="12.75" customHeight="1" s="117">
      <c r="A421" s="91" t="n"/>
      <c r="B421" s="91" t="n"/>
      <c r="C421" s="91" t="n"/>
      <c r="D421" s="91" t="n"/>
      <c r="E421" s="91" t="n"/>
      <c r="F421" s="91" t="n"/>
      <c r="G421" s="91" t="n"/>
      <c r="H421" s="91" t="n"/>
      <c r="I421" s="91" t="n"/>
      <c r="J421" s="91" t="n"/>
      <c r="K421" s="91" t="n"/>
      <c r="L421" s="91" t="n"/>
      <c r="M421" s="91" t="n"/>
      <c r="N421" s="91" t="n"/>
      <c r="O421" s="91" t="n"/>
      <c r="P421" s="91" t="n"/>
      <c r="Q421" s="91" t="n"/>
      <c r="R421" s="91" t="n"/>
      <c r="S421" s="91" t="n"/>
      <c r="T421" s="91" t="n"/>
      <c r="U421" s="91" t="n"/>
      <c r="V421" s="91" t="n"/>
      <c r="W421" s="91" t="n"/>
      <c r="X421" s="91" t="n"/>
      <c r="Y421" s="91" t="n"/>
      <c r="Z421" s="91" t="n"/>
      <c r="AA421" s="91" t="n"/>
    </row>
    <row r="422" ht="12.75" customHeight="1" s="117">
      <c r="A422" s="91" t="n"/>
      <c r="B422" s="91" t="n"/>
      <c r="C422" s="91" t="n"/>
      <c r="D422" s="91" t="n"/>
      <c r="E422" s="91" t="n"/>
      <c r="F422" s="91" t="n"/>
      <c r="G422" s="91" t="n"/>
      <c r="H422" s="91" t="n"/>
      <c r="I422" s="91" t="n"/>
      <c r="J422" s="91" t="n"/>
      <c r="K422" s="91" t="n"/>
      <c r="L422" s="91" t="n"/>
      <c r="M422" s="91" t="n"/>
      <c r="N422" s="91" t="n"/>
      <c r="O422" s="91" t="n"/>
      <c r="P422" s="91" t="n"/>
      <c r="Q422" s="91" t="n"/>
      <c r="R422" s="91" t="n"/>
      <c r="S422" s="91" t="n"/>
      <c r="T422" s="91" t="n"/>
      <c r="U422" s="91" t="n"/>
      <c r="V422" s="91" t="n"/>
      <c r="W422" s="91" t="n"/>
      <c r="X422" s="91" t="n"/>
      <c r="Y422" s="91" t="n"/>
      <c r="Z422" s="91" t="n"/>
      <c r="AA422" s="91" t="n"/>
    </row>
    <row r="423" ht="12.75" customHeight="1" s="117">
      <c r="A423" s="91" t="n"/>
      <c r="B423" s="91" t="n"/>
      <c r="C423" s="91" t="n"/>
      <c r="D423" s="91" t="n"/>
      <c r="E423" s="91" t="n"/>
      <c r="F423" s="91" t="n"/>
      <c r="G423" s="91" t="n"/>
      <c r="H423" s="91" t="n"/>
      <c r="I423" s="91" t="n"/>
      <c r="J423" s="91" t="n"/>
      <c r="K423" s="91" t="n"/>
      <c r="L423" s="91" t="n"/>
      <c r="M423" s="91" t="n"/>
      <c r="N423" s="91" t="n"/>
      <c r="O423" s="91" t="n"/>
      <c r="P423" s="91" t="n"/>
      <c r="Q423" s="91" t="n"/>
      <c r="R423" s="91" t="n"/>
      <c r="S423" s="91" t="n"/>
      <c r="T423" s="91" t="n"/>
      <c r="U423" s="91" t="n"/>
      <c r="V423" s="91" t="n"/>
      <c r="W423" s="91" t="n"/>
      <c r="X423" s="91" t="n"/>
      <c r="Y423" s="91" t="n"/>
      <c r="Z423" s="91" t="n"/>
      <c r="AA423" s="91" t="n"/>
    </row>
    <row r="424" ht="12.75" customHeight="1" s="117">
      <c r="A424" s="91" t="n"/>
      <c r="B424" s="91" t="n"/>
      <c r="C424" s="91" t="n"/>
      <c r="D424" s="91" t="n"/>
      <c r="E424" s="91" t="n"/>
      <c r="F424" s="91" t="n"/>
      <c r="G424" s="91" t="n"/>
      <c r="H424" s="91" t="n"/>
      <c r="I424" s="91" t="n"/>
      <c r="J424" s="91" t="n"/>
      <c r="K424" s="91" t="n"/>
      <c r="L424" s="91" t="n"/>
      <c r="M424" s="91" t="n"/>
      <c r="N424" s="91" t="n"/>
      <c r="O424" s="91" t="n"/>
      <c r="P424" s="91" t="n"/>
      <c r="Q424" s="91" t="n"/>
      <c r="R424" s="91" t="n"/>
      <c r="S424" s="91" t="n"/>
      <c r="T424" s="91" t="n"/>
      <c r="U424" s="91" t="n"/>
      <c r="V424" s="91" t="n"/>
      <c r="W424" s="91" t="n"/>
      <c r="X424" s="91" t="n"/>
      <c r="Y424" s="91" t="n"/>
      <c r="Z424" s="91" t="n"/>
      <c r="AA424" s="91" t="n"/>
    </row>
    <row r="425" ht="12.75" customHeight="1" s="117">
      <c r="A425" s="91" t="n"/>
      <c r="B425" s="91" t="n"/>
      <c r="C425" s="91" t="n"/>
      <c r="D425" s="91" t="n"/>
      <c r="E425" s="91" t="n"/>
      <c r="F425" s="91" t="n"/>
      <c r="G425" s="91" t="n"/>
      <c r="H425" s="91" t="n"/>
      <c r="I425" s="91" t="n"/>
      <c r="J425" s="91" t="n"/>
      <c r="K425" s="91" t="n"/>
      <c r="L425" s="91" t="n"/>
      <c r="M425" s="91" t="n"/>
      <c r="N425" s="91" t="n"/>
      <c r="O425" s="91" t="n"/>
      <c r="P425" s="91" t="n"/>
      <c r="Q425" s="91" t="n"/>
      <c r="R425" s="91" t="n"/>
      <c r="S425" s="91" t="n"/>
      <c r="T425" s="91" t="n"/>
      <c r="U425" s="91" t="n"/>
      <c r="V425" s="91" t="n"/>
      <c r="W425" s="91" t="n"/>
      <c r="X425" s="91" t="n"/>
      <c r="Y425" s="91" t="n"/>
      <c r="Z425" s="91" t="n"/>
      <c r="AA425" s="91" t="n"/>
    </row>
    <row r="426" ht="12.75" customHeight="1" s="117">
      <c r="A426" s="91" t="n"/>
      <c r="B426" s="91" t="n"/>
      <c r="C426" s="91" t="n"/>
      <c r="D426" s="91" t="n"/>
      <c r="E426" s="91" t="n"/>
      <c r="F426" s="91" t="n"/>
      <c r="G426" s="91" t="n"/>
      <c r="H426" s="91" t="n"/>
      <c r="I426" s="91" t="n"/>
      <c r="J426" s="91" t="n"/>
      <c r="K426" s="91" t="n"/>
      <c r="L426" s="91" t="n"/>
      <c r="M426" s="91" t="n"/>
      <c r="N426" s="91" t="n"/>
      <c r="O426" s="91" t="n"/>
      <c r="P426" s="91" t="n"/>
      <c r="Q426" s="91" t="n"/>
      <c r="R426" s="91" t="n"/>
      <c r="S426" s="91" t="n"/>
      <c r="T426" s="91" t="n"/>
      <c r="U426" s="91" t="n"/>
      <c r="V426" s="91" t="n"/>
      <c r="W426" s="91" t="n"/>
      <c r="X426" s="91" t="n"/>
      <c r="Y426" s="91" t="n"/>
      <c r="Z426" s="91" t="n"/>
      <c r="AA426" s="91" t="n"/>
    </row>
    <row r="427" ht="12.75" customHeight="1" s="117">
      <c r="A427" s="91" t="n"/>
      <c r="B427" s="91" t="n"/>
      <c r="C427" s="91" t="n"/>
      <c r="D427" s="91" t="n"/>
      <c r="E427" s="91" t="n"/>
      <c r="F427" s="91" t="n"/>
      <c r="G427" s="91" t="n"/>
      <c r="H427" s="91" t="n"/>
      <c r="I427" s="91" t="n"/>
      <c r="J427" s="91" t="n"/>
      <c r="K427" s="91" t="n"/>
      <c r="L427" s="91" t="n"/>
      <c r="M427" s="91" t="n"/>
      <c r="N427" s="91" t="n"/>
      <c r="O427" s="91" t="n"/>
      <c r="P427" s="91" t="n"/>
      <c r="Q427" s="91" t="n"/>
      <c r="R427" s="91" t="n"/>
      <c r="S427" s="91" t="n"/>
      <c r="T427" s="91" t="n"/>
      <c r="U427" s="91" t="n"/>
      <c r="V427" s="91" t="n"/>
      <c r="W427" s="91" t="n"/>
      <c r="X427" s="91" t="n"/>
      <c r="Y427" s="91" t="n"/>
      <c r="Z427" s="91" t="n"/>
      <c r="AA427" s="91" t="n"/>
    </row>
    <row r="428" ht="12.75" customHeight="1" s="117">
      <c r="A428" s="91" t="n"/>
      <c r="B428" s="91" t="n"/>
      <c r="C428" s="91" t="n"/>
      <c r="D428" s="91" t="n"/>
      <c r="E428" s="91" t="n"/>
      <c r="F428" s="91" t="n"/>
      <c r="G428" s="91" t="n"/>
      <c r="H428" s="91" t="n"/>
      <c r="I428" s="91" t="n"/>
      <c r="J428" s="91" t="n"/>
      <c r="K428" s="91" t="n"/>
      <c r="L428" s="91" t="n"/>
      <c r="M428" s="91" t="n"/>
      <c r="N428" s="91" t="n"/>
      <c r="O428" s="91" t="n"/>
      <c r="P428" s="91" t="n"/>
      <c r="Q428" s="91" t="n"/>
      <c r="R428" s="91" t="n"/>
      <c r="S428" s="91" t="n"/>
      <c r="T428" s="91" t="n"/>
      <c r="U428" s="91" t="n"/>
      <c r="V428" s="91" t="n"/>
      <c r="W428" s="91" t="n"/>
      <c r="X428" s="91" t="n"/>
      <c r="Y428" s="91" t="n"/>
      <c r="Z428" s="91" t="n"/>
      <c r="AA428" s="91" t="n"/>
    </row>
    <row r="429" ht="12.75" customHeight="1" s="117">
      <c r="A429" s="91" t="n"/>
      <c r="B429" s="91" t="n"/>
      <c r="C429" s="91" t="n"/>
      <c r="D429" s="91" t="n"/>
      <c r="E429" s="91" t="n"/>
      <c r="F429" s="91" t="n"/>
      <c r="G429" s="91" t="n"/>
      <c r="H429" s="91" t="n"/>
      <c r="I429" s="91" t="n"/>
      <c r="J429" s="91" t="n"/>
      <c r="K429" s="91" t="n"/>
      <c r="L429" s="91" t="n"/>
      <c r="M429" s="91" t="n"/>
      <c r="N429" s="91" t="n"/>
      <c r="O429" s="91" t="n"/>
      <c r="P429" s="91" t="n"/>
      <c r="Q429" s="91" t="n"/>
      <c r="R429" s="91" t="n"/>
      <c r="S429" s="91" t="n"/>
      <c r="T429" s="91" t="n"/>
      <c r="U429" s="91" t="n"/>
      <c r="V429" s="91" t="n"/>
      <c r="W429" s="91" t="n"/>
      <c r="X429" s="91" t="n"/>
      <c r="Y429" s="91" t="n"/>
      <c r="Z429" s="91" t="n"/>
      <c r="AA429" s="91" t="n"/>
    </row>
    <row r="430" ht="12.75" customHeight="1" s="117">
      <c r="A430" s="91" t="n"/>
      <c r="B430" s="91" t="n"/>
      <c r="C430" s="91" t="n"/>
      <c r="D430" s="91" t="n"/>
      <c r="E430" s="91" t="n"/>
      <c r="F430" s="91" t="n"/>
      <c r="G430" s="91" t="n"/>
      <c r="H430" s="91" t="n"/>
      <c r="I430" s="91" t="n"/>
      <c r="J430" s="91" t="n"/>
      <c r="K430" s="91" t="n"/>
      <c r="L430" s="91" t="n"/>
      <c r="M430" s="91" t="n"/>
      <c r="N430" s="91" t="n"/>
      <c r="O430" s="91" t="n"/>
      <c r="P430" s="91" t="n"/>
      <c r="Q430" s="91" t="n"/>
      <c r="R430" s="91" t="n"/>
      <c r="S430" s="91" t="n"/>
      <c r="T430" s="91" t="n"/>
      <c r="U430" s="91" t="n"/>
      <c r="V430" s="91" t="n"/>
      <c r="W430" s="91" t="n"/>
      <c r="X430" s="91" t="n"/>
      <c r="Y430" s="91" t="n"/>
      <c r="Z430" s="91" t="n"/>
      <c r="AA430" s="91" t="n"/>
    </row>
    <row r="431" ht="12.75" customHeight="1" s="117">
      <c r="A431" s="91" t="n"/>
      <c r="B431" s="91" t="n"/>
      <c r="C431" s="91" t="n"/>
      <c r="D431" s="91" t="n"/>
      <c r="E431" s="91" t="n"/>
      <c r="F431" s="91" t="n"/>
      <c r="G431" s="91" t="n"/>
      <c r="H431" s="91" t="n"/>
      <c r="I431" s="91" t="n"/>
      <c r="J431" s="91" t="n"/>
      <c r="K431" s="91" t="n"/>
      <c r="L431" s="91" t="n"/>
      <c r="M431" s="91" t="n"/>
      <c r="N431" s="91" t="n"/>
      <c r="O431" s="91" t="n"/>
      <c r="P431" s="91" t="n"/>
      <c r="Q431" s="91" t="n"/>
      <c r="R431" s="91" t="n"/>
      <c r="S431" s="91" t="n"/>
      <c r="T431" s="91" t="n"/>
      <c r="U431" s="91" t="n"/>
      <c r="V431" s="91" t="n"/>
      <c r="W431" s="91" t="n"/>
      <c r="X431" s="91" t="n"/>
      <c r="Y431" s="91" t="n"/>
      <c r="Z431" s="91" t="n"/>
      <c r="AA431" s="91" t="n"/>
    </row>
    <row r="432" ht="12.75" customHeight="1" s="117">
      <c r="A432" s="91" t="n"/>
      <c r="B432" s="91" t="n"/>
      <c r="C432" s="91" t="n"/>
      <c r="D432" s="91" t="n"/>
      <c r="E432" s="91" t="n"/>
      <c r="F432" s="91" t="n"/>
      <c r="G432" s="91" t="n"/>
      <c r="H432" s="91" t="n"/>
      <c r="I432" s="91" t="n"/>
      <c r="J432" s="91" t="n"/>
      <c r="K432" s="91" t="n"/>
      <c r="L432" s="91" t="n"/>
      <c r="M432" s="91" t="n"/>
      <c r="N432" s="91" t="n"/>
      <c r="O432" s="91" t="n"/>
      <c r="P432" s="91" t="n"/>
      <c r="Q432" s="91" t="n"/>
      <c r="R432" s="91" t="n"/>
      <c r="S432" s="91" t="n"/>
      <c r="T432" s="91" t="n"/>
      <c r="U432" s="91" t="n"/>
      <c r="V432" s="91" t="n"/>
      <c r="W432" s="91" t="n"/>
      <c r="X432" s="91" t="n"/>
      <c r="Y432" s="91" t="n"/>
      <c r="Z432" s="91" t="n"/>
      <c r="AA432" s="91" t="n"/>
    </row>
    <row r="433" ht="12.75" customHeight="1" s="117">
      <c r="A433" s="91" t="n"/>
      <c r="B433" s="91" t="n"/>
      <c r="C433" s="91" t="n"/>
      <c r="D433" s="91" t="n"/>
      <c r="E433" s="91" t="n"/>
      <c r="F433" s="91" t="n"/>
      <c r="G433" s="91" t="n"/>
      <c r="H433" s="91" t="n"/>
      <c r="I433" s="91" t="n"/>
      <c r="J433" s="91" t="n"/>
      <c r="K433" s="91" t="n"/>
      <c r="L433" s="91" t="n"/>
      <c r="M433" s="91" t="n"/>
      <c r="N433" s="91" t="n"/>
      <c r="O433" s="91" t="n"/>
      <c r="P433" s="91" t="n"/>
      <c r="Q433" s="91" t="n"/>
      <c r="R433" s="91" t="n"/>
      <c r="S433" s="91" t="n"/>
      <c r="T433" s="91" t="n"/>
      <c r="U433" s="91" t="n"/>
      <c r="V433" s="91" t="n"/>
      <c r="W433" s="91" t="n"/>
      <c r="X433" s="91" t="n"/>
      <c r="Y433" s="91" t="n"/>
      <c r="Z433" s="91" t="n"/>
      <c r="AA433" s="91" t="n"/>
    </row>
    <row r="434" ht="12.75" customHeight="1" s="117">
      <c r="A434" s="91" t="n"/>
      <c r="B434" s="91" t="n"/>
      <c r="C434" s="91" t="n"/>
      <c r="D434" s="91" t="n"/>
      <c r="E434" s="91" t="n"/>
      <c r="F434" s="91" t="n"/>
      <c r="G434" s="91" t="n"/>
      <c r="H434" s="91" t="n"/>
      <c r="I434" s="91" t="n"/>
      <c r="J434" s="91" t="n"/>
      <c r="K434" s="91" t="n"/>
      <c r="L434" s="91" t="n"/>
      <c r="M434" s="91" t="n"/>
      <c r="N434" s="91" t="n"/>
      <c r="O434" s="91" t="n"/>
      <c r="P434" s="91" t="n"/>
      <c r="Q434" s="91" t="n"/>
      <c r="R434" s="91" t="n"/>
      <c r="S434" s="91" t="n"/>
      <c r="T434" s="91" t="n"/>
      <c r="U434" s="91" t="n"/>
      <c r="V434" s="91" t="n"/>
      <c r="W434" s="91" t="n"/>
      <c r="X434" s="91" t="n"/>
      <c r="Y434" s="91" t="n"/>
      <c r="Z434" s="91" t="n"/>
      <c r="AA434" s="91" t="n"/>
    </row>
    <row r="435" ht="12.75" customHeight="1" s="117">
      <c r="A435" s="91" t="n"/>
      <c r="B435" s="91" t="n"/>
      <c r="C435" s="91" t="n"/>
      <c r="D435" s="91" t="n"/>
      <c r="E435" s="91" t="n"/>
      <c r="F435" s="91" t="n"/>
      <c r="G435" s="91" t="n"/>
      <c r="H435" s="91" t="n"/>
      <c r="I435" s="91" t="n"/>
      <c r="J435" s="91" t="n"/>
      <c r="K435" s="91" t="n"/>
      <c r="L435" s="91" t="n"/>
      <c r="M435" s="91" t="n"/>
      <c r="N435" s="91" t="n"/>
      <c r="O435" s="91" t="n"/>
      <c r="P435" s="91" t="n"/>
      <c r="Q435" s="91" t="n"/>
      <c r="R435" s="91" t="n"/>
      <c r="S435" s="91" t="n"/>
      <c r="T435" s="91" t="n"/>
      <c r="U435" s="91" t="n"/>
      <c r="V435" s="91" t="n"/>
      <c r="W435" s="91" t="n"/>
      <c r="X435" s="91" t="n"/>
      <c r="Y435" s="91" t="n"/>
      <c r="Z435" s="91" t="n"/>
      <c r="AA435" s="91" t="n"/>
    </row>
    <row r="436" ht="12.75" customHeight="1" s="117">
      <c r="A436" s="91" t="n"/>
      <c r="B436" s="91" t="n"/>
      <c r="C436" s="91" t="n"/>
      <c r="D436" s="91" t="n"/>
      <c r="E436" s="91" t="n"/>
      <c r="F436" s="91" t="n"/>
      <c r="G436" s="91" t="n"/>
      <c r="H436" s="91" t="n"/>
      <c r="I436" s="91" t="n"/>
      <c r="J436" s="91" t="n"/>
      <c r="K436" s="91" t="n"/>
      <c r="L436" s="91" t="n"/>
      <c r="M436" s="91" t="n"/>
      <c r="N436" s="91" t="n"/>
      <c r="O436" s="91" t="n"/>
      <c r="P436" s="91" t="n"/>
      <c r="Q436" s="91" t="n"/>
      <c r="R436" s="91" t="n"/>
      <c r="S436" s="91" t="n"/>
      <c r="T436" s="91" t="n"/>
      <c r="U436" s="91" t="n"/>
      <c r="V436" s="91" t="n"/>
      <c r="W436" s="91" t="n"/>
      <c r="X436" s="91" t="n"/>
      <c r="Y436" s="91" t="n"/>
      <c r="Z436" s="91" t="n"/>
      <c r="AA436" s="91" t="n"/>
    </row>
    <row r="437" ht="12.75" customHeight="1" s="117">
      <c r="A437" s="91" t="n"/>
      <c r="B437" s="91" t="n"/>
      <c r="C437" s="91" t="n"/>
      <c r="D437" s="91" t="n"/>
      <c r="E437" s="91" t="n"/>
      <c r="F437" s="91" t="n"/>
      <c r="G437" s="91" t="n"/>
      <c r="H437" s="91" t="n"/>
      <c r="I437" s="91" t="n"/>
      <c r="J437" s="91" t="n"/>
      <c r="K437" s="91" t="n"/>
      <c r="L437" s="91" t="n"/>
      <c r="M437" s="91" t="n"/>
      <c r="N437" s="91" t="n"/>
      <c r="O437" s="91" t="n"/>
      <c r="P437" s="91" t="n"/>
      <c r="Q437" s="91" t="n"/>
      <c r="R437" s="91" t="n"/>
      <c r="S437" s="91" t="n"/>
      <c r="T437" s="91" t="n"/>
      <c r="U437" s="91" t="n"/>
      <c r="V437" s="91" t="n"/>
      <c r="W437" s="91" t="n"/>
      <c r="X437" s="91" t="n"/>
      <c r="Y437" s="91" t="n"/>
      <c r="Z437" s="91" t="n"/>
      <c r="AA437" s="91" t="n"/>
    </row>
    <row r="438" ht="12.75" customHeight="1" s="117">
      <c r="A438" s="91" t="n"/>
      <c r="B438" s="91" t="n"/>
      <c r="C438" s="91" t="n"/>
      <c r="D438" s="91" t="n"/>
      <c r="E438" s="91" t="n"/>
      <c r="F438" s="91" t="n"/>
      <c r="G438" s="91" t="n"/>
      <c r="H438" s="91" t="n"/>
      <c r="I438" s="91" t="n"/>
      <c r="J438" s="91" t="n"/>
      <c r="K438" s="91" t="n"/>
      <c r="L438" s="91" t="n"/>
      <c r="M438" s="91" t="n"/>
      <c r="N438" s="91" t="n"/>
      <c r="O438" s="91" t="n"/>
      <c r="P438" s="91" t="n"/>
      <c r="Q438" s="91" t="n"/>
      <c r="R438" s="91" t="n"/>
      <c r="S438" s="91" t="n"/>
      <c r="T438" s="91" t="n"/>
      <c r="U438" s="91" t="n"/>
      <c r="V438" s="91" t="n"/>
      <c r="W438" s="91" t="n"/>
      <c r="X438" s="91" t="n"/>
      <c r="Y438" s="91" t="n"/>
      <c r="Z438" s="91" t="n"/>
      <c r="AA438" s="91" t="n"/>
    </row>
    <row r="439" ht="12.75" customHeight="1" s="117">
      <c r="A439" s="91" t="n"/>
      <c r="B439" s="91" t="n"/>
      <c r="C439" s="91" t="n"/>
      <c r="D439" s="91" t="n"/>
      <c r="E439" s="91" t="n"/>
      <c r="F439" s="91" t="n"/>
      <c r="G439" s="91" t="n"/>
      <c r="H439" s="91" t="n"/>
      <c r="I439" s="91" t="n"/>
      <c r="J439" s="91" t="n"/>
      <c r="K439" s="91" t="n"/>
      <c r="L439" s="91" t="n"/>
      <c r="M439" s="91" t="n"/>
      <c r="N439" s="91" t="n"/>
      <c r="O439" s="91" t="n"/>
      <c r="P439" s="91" t="n"/>
      <c r="Q439" s="91" t="n"/>
      <c r="R439" s="91" t="n"/>
      <c r="S439" s="91" t="n"/>
      <c r="T439" s="91" t="n"/>
      <c r="U439" s="91" t="n"/>
      <c r="V439" s="91" t="n"/>
      <c r="W439" s="91" t="n"/>
      <c r="X439" s="91" t="n"/>
      <c r="Y439" s="91" t="n"/>
      <c r="Z439" s="91" t="n"/>
      <c r="AA439" s="91" t="n"/>
    </row>
    <row r="440" ht="12.75" customHeight="1" s="117">
      <c r="A440" s="91" t="n"/>
      <c r="B440" s="91" t="n"/>
      <c r="C440" s="91" t="n"/>
      <c r="D440" s="91" t="n"/>
      <c r="E440" s="91" t="n"/>
      <c r="F440" s="91" t="n"/>
      <c r="G440" s="91" t="n"/>
      <c r="H440" s="91" t="n"/>
      <c r="I440" s="91" t="n"/>
      <c r="J440" s="91" t="n"/>
      <c r="K440" s="91" t="n"/>
      <c r="L440" s="91" t="n"/>
      <c r="M440" s="91" t="n"/>
      <c r="N440" s="91" t="n"/>
      <c r="O440" s="91" t="n"/>
      <c r="P440" s="91" t="n"/>
      <c r="Q440" s="91" t="n"/>
      <c r="R440" s="91" t="n"/>
      <c r="S440" s="91" t="n"/>
      <c r="T440" s="91" t="n"/>
      <c r="U440" s="91" t="n"/>
      <c r="V440" s="91" t="n"/>
      <c r="W440" s="91" t="n"/>
      <c r="X440" s="91" t="n"/>
      <c r="Y440" s="91" t="n"/>
      <c r="Z440" s="91" t="n"/>
      <c r="AA440" s="91" t="n"/>
    </row>
    <row r="441" ht="12.75" customHeight="1" s="117">
      <c r="A441" s="91" t="n"/>
      <c r="B441" s="91" t="n"/>
      <c r="C441" s="91" t="n"/>
      <c r="D441" s="91" t="n"/>
      <c r="E441" s="91" t="n"/>
      <c r="F441" s="91" t="n"/>
      <c r="G441" s="91" t="n"/>
      <c r="H441" s="91" t="n"/>
      <c r="I441" s="91" t="n"/>
      <c r="J441" s="91" t="n"/>
      <c r="K441" s="91" t="n"/>
      <c r="L441" s="91" t="n"/>
      <c r="M441" s="91" t="n"/>
      <c r="N441" s="91" t="n"/>
      <c r="O441" s="91" t="n"/>
      <c r="P441" s="91" t="n"/>
      <c r="Q441" s="91" t="n"/>
      <c r="R441" s="91" t="n"/>
      <c r="S441" s="91" t="n"/>
      <c r="T441" s="91" t="n"/>
      <c r="U441" s="91" t="n"/>
      <c r="V441" s="91" t="n"/>
      <c r="W441" s="91" t="n"/>
      <c r="X441" s="91" t="n"/>
      <c r="Y441" s="91" t="n"/>
      <c r="Z441" s="91" t="n"/>
      <c r="AA441" s="91" t="n"/>
    </row>
    <row r="442" ht="12.75" customHeight="1" s="117">
      <c r="A442" s="91" t="n"/>
      <c r="B442" s="91" t="n"/>
      <c r="C442" s="91" t="n"/>
      <c r="D442" s="91" t="n"/>
      <c r="E442" s="91" t="n"/>
      <c r="F442" s="91" t="n"/>
      <c r="G442" s="91" t="n"/>
      <c r="H442" s="91" t="n"/>
      <c r="I442" s="91" t="n"/>
      <c r="J442" s="91" t="n"/>
      <c r="K442" s="91" t="n"/>
      <c r="L442" s="91" t="n"/>
      <c r="M442" s="91" t="n"/>
      <c r="N442" s="91" t="n"/>
      <c r="O442" s="91" t="n"/>
      <c r="P442" s="91" t="n"/>
      <c r="Q442" s="91" t="n"/>
      <c r="R442" s="91" t="n"/>
      <c r="S442" s="91" t="n"/>
      <c r="T442" s="91" t="n"/>
      <c r="U442" s="91" t="n"/>
      <c r="V442" s="91" t="n"/>
      <c r="W442" s="91" t="n"/>
      <c r="X442" s="91" t="n"/>
      <c r="Y442" s="91" t="n"/>
      <c r="Z442" s="91" t="n"/>
      <c r="AA442" s="91" t="n"/>
    </row>
    <row r="443" ht="12.75" customHeight="1" s="117">
      <c r="A443" s="91" t="n"/>
      <c r="B443" s="91" t="n"/>
      <c r="C443" s="91" t="n"/>
      <c r="D443" s="91" t="n"/>
      <c r="E443" s="91" t="n"/>
      <c r="F443" s="91" t="n"/>
      <c r="G443" s="91" t="n"/>
      <c r="H443" s="91" t="n"/>
      <c r="I443" s="91" t="n"/>
      <c r="J443" s="91" t="n"/>
      <c r="K443" s="91" t="n"/>
      <c r="L443" s="91" t="n"/>
      <c r="M443" s="91" t="n"/>
      <c r="N443" s="91" t="n"/>
      <c r="O443" s="91" t="n"/>
      <c r="P443" s="91" t="n"/>
      <c r="Q443" s="91" t="n"/>
      <c r="R443" s="91" t="n"/>
      <c r="S443" s="91" t="n"/>
      <c r="T443" s="91" t="n"/>
      <c r="U443" s="91" t="n"/>
      <c r="V443" s="91" t="n"/>
      <c r="W443" s="91" t="n"/>
      <c r="X443" s="91" t="n"/>
      <c r="Y443" s="91" t="n"/>
      <c r="Z443" s="91" t="n"/>
      <c r="AA443" s="91" t="n"/>
    </row>
    <row r="444" ht="12.75" customHeight="1" s="117">
      <c r="A444" s="91" t="n"/>
      <c r="B444" s="91" t="n"/>
      <c r="C444" s="91" t="n"/>
      <c r="D444" s="91" t="n"/>
      <c r="E444" s="91" t="n"/>
      <c r="F444" s="91" t="n"/>
      <c r="G444" s="91" t="n"/>
      <c r="H444" s="91" t="n"/>
      <c r="I444" s="91" t="n"/>
      <c r="J444" s="91" t="n"/>
      <c r="K444" s="91" t="n"/>
      <c r="L444" s="91" t="n"/>
      <c r="M444" s="91" t="n"/>
      <c r="N444" s="91" t="n"/>
      <c r="O444" s="91" t="n"/>
      <c r="P444" s="91" t="n"/>
      <c r="Q444" s="91" t="n"/>
      <c r="R444" s="91" t="n"/>
      <c r="S444" s="91" t="n"/>
      <c r="T444" s="91" t="n"/>
      <c r="U444" s="91" t="n"/>
      <c r="V444" s="91" t="n"/>
      <c r="W444" s="91" t="n"/>
      <c r="X444" s="91" t="n"/>
      <c r="Y444" s="91" t="n"/>
      <c r="Z444" s="91" t="n"/>
      <c r="AA444" s="91" t="n"/>
    </row>
    <row r="445" ht="12.75" customHeight="1" s="117">
      <c r="A445" s="91" t="n"/>
      <c r="B445" s="91" t="n"/>
      <c r="C445" s="91" t="n"/>
      <c r="D445" s="91" t="n"/>
      <c r="E445" s="91" t="n"/>
      <c r="F445" s="91" t="n"/>
      <c r="G445" s="91" t="n"/>
      <c r="H445" s="91" t="n"/>
      <c r="I445" s="91" t="n"/>
      <c r="J445" s="91" t="n"/>
      <c r="K445" s="91" t="n"/>
      <c r="L445" s="91" t="n"/>
      <c r="M445" s="91" t="n"/>
      <c r="N445" s="91" t="n"/>
      <c r="O445" s="91" t="n"/>
      <c r="P445" s="91" t="n"/>
      <c r="Q445" s="91" t="n"/>
      <c r="R445" s="91" t="n"/>
      <c r="S445" s="91" t="n"/>
      <c r="T445" s="91" t="n"/>
      <c r="U445" s="91" t="n"/>
      <c r="V445" s="91" t="n"/>
      <c r="W445" s="91" t="n"/>
      <c r="X445" s="91" t="n"/>
      <c r="Y445" s="91" t="n"/>
      <c r="Z445" s="91" t="n"/>
      <c r="AA445" s="91" t="n"/>
    </row>
    <row r="446" ht="12.75" customHeight="1" s="117">
      <c r="A446" s="91" t="n"/>
      <c r="B446" s="91" t="n"/>
      <c r="C446" s="91" t="n"/>
      <c r="D446" s="91" t="n"/>
      <c r="E446" s="91" t="n"/>
      <c r="F446" s="91" t="n"/>
      <c r="G446" s="91" t="n"/>
      <c r="H446" s="91" t="n"/>
      <c r="I446" s="91" t="n"/>
      <c r="J446" s="91" t="n"/>
      <c r="K446" s="91" t="n"/>
      <c r="L446" s="91" t="n"/>
      <c r="M446" s="91" t="n"/>
      <c r="N446" s="91" t="n"/>
      <c r="O446" s="91" t="n"/>
      <c r="P446" s="91" t="n"/>
      <c r="Q446" s="91" t="n"/>
      <c r="R446" s="91" t="n"/>
      <c r="S446" s="91" t="n"/>
      <c r="T446" s="91" t="n"/>
      <c r="U446" s="91" t="n"/>
      <c r="V446" s="91" t="n"/>
      <c r="W446" s="91" t="n"/>
      <c r="X446" s="91" t="n"/>
      <c r="Y446" s="91" t="n"/>
      <c r="Z446" s="91" t="n"/>
      <c r="AA446" s="91" t="n"/>
    </row>
    <row r="447" ht="12.75" customHeight="1" s="117">
      <c r="A447" s="91" t="n"/>
      <c r="B447" s="91" t="n"/>
      <c r="C447" s="91" t="n"/>
      <c r="D447" s="91" t="n"/>
      <c r="E447" s="91" t="n"/>
      <c r="F447" s="91" t="n"/>
      <c r="G447" s="91" t="n"/>
      <c r="H447" s="91" t="n"/>
      <c r="I447" s="91" t="n"/>
      <c r="J447" s="91" t="n"/>
      <c r="K447" s="91" t="n"/>
      <c r="L447" s="91" t="n"/>
      <c r="M447" s="91" t="n"/>
      <c r="N447" s="91" t="n"/>
      <c r="O447" s="91" t="n"/>
      <c r="P447" s="91" t="n"/>
      <c r="Q447" s="91" t="n"/>
      <c r="R447" s="91" t="n"/>
      <c r="S447" s="91" t="n"/>
      <c r="T447" s="91" t="n"/>
      <c r="U447" s="91" t="n"/>
      <c r="V447" s="91" t="n"/>
      <c r="W447" s="91" t="n"/>
      <c r="X447" s="91" t="n"/>
      <c r="Y447" s="91" t="n"/>
      <c r="Z447" s="91" t="n"/>
      <c r="AA447" s="91" t="n"/>
    </row>
    <row r="448" ht="12.75" customHeight="1" s="117">
      <c r="A448" s="91" t="n"/>
      <c r="B448" s="91" t="n"/>
      <c r="C448" s="91" t="n"/>
      <c r="D448" s="91" t="n"/>
      <c r="E448" s="91" t="n"/>
      <c r="F448" s="91" t="n"/>
      <c r="G448" s="91" t="n"/>
      <c r="H448" s="91" t="n"/>
      <c r="I448" s="91" t="n"/>
      <c r="J448" s="91" t="n"/>
      <c r="K448" s="91" t="n"/>
      <c r="L448" s="91" t="n"/>
      <c r="M448" s="91" t="n"/>
      <c r="N448" s="91" t="n"/>
      <c r="O448" s="91" t="n"/>
      <c r="P448" s="91" t="n"/>
      <c r="Q448" s="91" t="n"/>
      <c r="R448" s="91" t="n"/>
      <c r="S448" s="91" t="n"/>
      <c r="T448" s="91" t="n"/>
      <c r="U448" s="91" t="n"/>
      <c r="V448" s="91" t="n"/>
      <c r="W448" s="91" t="n"/>
      <c r="X448" s="91" t="n"/>
      <c r="Y448" s="91" t="n"/>
      <c r="Z448" s="91" t="n"/>
      <c r="AA448" s="91" t="n"/>
    </row>
    <row r="449" ht="12.75" customHeight="1" s="117">
      <c r="A449" s="91" t="n"/>
      <c r="B449" s="91" t="n"/>
      <c r="C449" s="91" t="n"/>
      <c r="D449" s="91" t="n"/>
      <c r="E449" s="91" t="n"/>
      <c r="F449" s="91" t="n"/>
      <c r="G449" s="91" t="n"/>
      <c r="H449" s="91" t="n"/>
      <c r="I449" s="91" t="n"/>
      <c r="J449" s="91" t="n"/>
      <c r="K449" s="91" t="n"/>
      <c r="L449" s="91" t="n"/>
      <c r="M449" s="91" t="n"/>
      <c r="N449" s="91" t="n"/>
      <c r="O449" s="91" t="n"/>
      <c r="P449" s="91" t="n"/>
      <c r="Q449" s="91" t="n"/>
      <c r="R449" s="91" t="n"/>
      <c r="S449" s="91" t="n"/>
      <c r="T449" s="91" t="n"/>
      <c r="U449" s="91" t="n"/>
      <c r="V449" s="91" t="n"/>
      <c r="W449" s="91" t="n"/>
      <c r="X449" s="91" t="n"/>
      <c r="Y449" s="91" t="n"/>
      <c r="Z449" s="91" t="n"/>
      <c r="AA449" s="91" t="n"/>
    </row>
    <row r="450" ht="12.75" customHeight="1" s="117">
      <c r="A450" s="91" t="n"/>
      <c r="B450" s="91" t="n"/>
      <c r="C450" s="91" t="n"/>
      <c r="D450" s="91" t="n"/>
      <c r="E450" s="91" t="n"/>
      <c r="F450" s="91" t="n"/>
      <c r="G450" s="91" t="n"/>
      <c r="H450" s="91" t="n"/>
      <c r="I450" s="91" t="n"/>
      <c r="J450" s="91" t="n"/>
      <c r="K450" s="91" t="n"/>
      <c r="L450" s="91" t="n"/>
      <c r="M450" s="91" t="n"/>
      <c r="N450" s="91" t="n"/>
      <c r="O450" s="91" t="n"/>
      <c r="P450" s="91" t="n"/>
      <c r="Q450" s="91" t="n"/>
      <c r="R450" s="91" t="n"/>
      <c r="S450" s="91" t="n"/>
      <c r="T450" s="91" t="n"/>
      <c r="U450" s="91" t="n"/>
      <c r="V450" s="91" t="n"/>
      <c r="W450" s="91" t="n"/>
      <c r="X450" s="91" t="n"/>
      <c r="Y450" s="91" t="n"/>
      <c r="Z450" s="91" t="n"/>
      <c r="AA450" s="91" t="n"/>
    </row>
    <row r="451" ht="12.75" customHeight="1" s="117">
      <c r="A451" s="91" t="n"/>
      <c r="B451" s="91" t="n"/>
      <c r="C451" s="91" t="n"/>
      <c r="D451" s="91" t="n"/>
      <c r="E451" s="91" t="n"/>
      <c r="F451" s="91" t="n"/>
      <c r="G451" s="91" t="n"/>
      <c r="H451" s="91" t="n"/>
      <c r="I451" s="91" t="n"/>
      <c r="J451" s="91" t="n"/>
      <c r="K451" s="91" t="n"/>
      <c r="L451" s="91" t="n"/>
      <c r="M451" s="91" t="n"/>
      <c r="N451" s="91" t="n"/>
      <c r="O451" s="91" t="n"/>
      <c r="P451" s="91" t="n"/>
      <c r="Q451" s="91" t="n"/>
      <c r="R451" s="91" t="n"/>
      <c r="S451" s="91" t="n"/>
      <c r="T451" s="91" t="n"/>
      <c r="U451" s="91" t="n"/>
      <c r="V451" s="91" t="n"/>
      <c r="W451" s="91" t="n"/>
      <c r="X451" s="91" t="n"/>
      <c r="Y451" s="91" t="n"/>
      <c r="Z451" s="91" t="n"/>
      <c r="AA451" s="91" t="n"/>
    </row>
    <row r="452" ht="12.75" customHeight="1" s="117">
      <c r="A452" s="91" t="n"/>
      <c r="B452" s="91" t="n"/>
      <c r="C452" s="91" t="n"/>
      <c r="D452" s="91" t="n"/>
      <c r="E452" s="91" t="n"/>
      <c r="F452" s="91" t="n"/>
      <c r="G452" s="91" t="n"/>
      <c r="H452" s="91" t="n"/>
      <c r="I452" s="91" t="n"/>
      <c r="J452" s="91" t="n"/>
      <c r="K452" s="91" t="n"/>
      <c r="L452" s="91" t="n"/>
      <c r="M452" s="91" t="n"/>
      <c r="N452" s="91" t="n"/>
      <c r="O452" s="91" t="n"/>
      <c r="P452" s="91" t="n"/>
      <c r="Q452" s="91" t="n"/>
      <c r="R452" s="91" t="n"/>
      <c r="S452" s="91" t="n"/>
      <c r="T452" s="91" t="n"/>
      <c r="U452" s="91" t="n"/>
      <c r="V452" s="91" t="n"/>
      <c r="W452" s="91" t="n"/>
      <c r="X452" s="91" t="n"/>
      <c r="Y452" s="91" t="n"/>
      <c r="Z452" s="91" t="n"/>
      <c r="AA452" s="91" t="n"/>
    </row>
    <row r="453" ht="12.75" customHeight="1" s="117">
      <c r="A453" s="91" t="n"/>
      <c r="B453" s="91" t="n"/>
      <c r="C453" s="91" t="n"/>
      <c r="D453" s="91" t="n"/>
      <c r="E453" s="91" t="n"/>
      <c r="F453" s="91" t="n"/>
      <c r="G453" s="91" t="n"/>
      <c r="H453" s="91" t="n"/>
      <c r="I453" s="91" t="n"/>
      <c r="J453" s="91" t="n"/>
      <c r="K453" s="91" t="n"/>
      <c r="L453" s="91" t="n"/>
      <c r="M453" s="91" t="n"/>
      <c r="N453" s="91" t="n"/>
      <c r="O453" s="91" t="n"/>
      <c r="P453" s="91" t="n"/>
      <c r="Q453" s="91" t="n"/>
      <c r="R453" s="91" t="n"/>
      <c r="S453" s="91" t="n"/>
      <c r="T453" s="91" t="n"/>
      <c r="U453" s="91" t="n"/>
      <c r="V453" s="91" t="n"/>
      <c r="W453" s="91" t="n"/>
      <c r="X453" s="91" t="n"/>
      <c r="Y453" s="91" t="n"/>
      <c r="Z453" s="91" t="n"/>
      <c r="AA453" s="91" t="n"/>
    </row>
    <row r="454" ht="12.75" customHeight="1" s="117">
      <c r="A454" s="91" t="n"/>
      <c r="B454" s="91" t="n"/>
      <c r="C454" s="91" t="n"/>
      <c r="D454" s="91" t="n"/>
      <c r="E454" s="91" t="n"/>
      <c r="F454" s="91" t="n"/>
      <c r="G454" s="91" t="n"/>
      <c r="H454" s="91" t="n"/>
      <c r="I454" s="91" t="n"/>
      <c r="J454" s="91" t="n"/>
      <c r="K454" s="91" t="n"/>
      <c r="L454" s="91" t="n"/>
      <c r="M454" s="91" t="n"/>
      <c r="N454" s="91" t="n"/>
      <c r="O454" s="91" t="n"/>
      <c r="P454" s="91" t="n"/>
      <c r="Q454" s="91" t="n"/>
      <c r="R454" s="91" t="n"/>
      <c r="S454" s="91" t="n"/>
      <c r="T454" s="91" t="n"/>
      <c r="U454" s="91" t="n"/>
      <c r="V454" s="91" t="n"/>
      <c r="W454" s="91" t="n"/>
      <c r="X454" s="91" t="n"/>
      <c r="Y454" s="91" t="n"/>
      <c r="Z454" s="91" t="n"/>
      <c r="AA454" s="91" t="n"/>
    </row>
    <row r="455" ht="12.75" customHeight="1" s="117">
      <c r="A455" s="91" t="n"/>
      <c r="B455" s="91" t="n"/>
      <c r="C455" s="91" t="n"/>
      <c r="D455" s="91" t="n"/>
      <c r="E455" s="91" t="n"/>
      <c r="F455" s="91" t="n"/>
      <c r="G455" s="91" t="n"/>
      <c r="H455" s="91" t="n"/>
      <c r="I455" s="91" t="n"/>
      <c r="J455" s="91" t="n"/>
      <c r="K455" s="91" t="n"/>
      <c r="L455" s="91" t="n"/>
      <c r="M455" s="91" t="n"/>
      <c r="N455" s="91" t="n"/>
      <c r="O455" s="91" t="n"/>
      <c r="P455" s="91" t="n"/>
      <c r="Q455" s="91" t="n"/>
      <c r="R455" s="91" t="n"/>
      <c r="S455" s="91" t="n"/>
      <c r="T455" s="91" t="n"/>
      <c r="U455" s="91" t="n"/>
      <c r="V455" s="91" t="n"/>
      <c r="W455" s="91" t="n"/>
      <c r="X455" s="91" t="n"/>
      <c r="Y455" s="91" t="n"/>
      <c r="Z455" s="91" t="n"/>
      <c r="AA455" s="91" t="n"/>
    </row>
    <row r="456" ht="12.75" customHeight="1" s="117">
      <c r="A456" s="91" t="n"/>
      <c r="B456" s="91" t="n"/>
      <c r="C456" s="91" t="n"/>
      <c r="D456" s="91" t="n"/>
      <c r="E456" s="91" t="n"/>
      <c r="F456" s="91" t="n"/>
      <c r="G456" s="91" t="n"/>
      <c r="H456" s="91" t="n"/>
      <c r="I456" s="91" t="n"/>
      <c r="J456" s="91" t="n"/>
      <c r="K456" s="91" t="n"/>
      <c r="L456" s="91" t="n"/>
      <c r="M456" s="91" t="n"/>
      <c r="N456" s="91" t="n"/>
      <c r="O456" s="91" t="n"/>
      <c r="P456" s="91" t="n"/>
      <c r="Q456" s="91" t="n"/>
      <c r="R456" s="91" t="n"/>
      <c r="S456" s="91" t="n"/>
      <c r="T456" s="91" t="n"/>
      <c r="U456" s="91" t="n"/>
      <c r="V456" s="91" t="n"/>
      <c r="W456" s="91" t="n"/>
      <c r="X456" s="91" t="n"/>
      <c r="Y456" s="91" t="n"/>
      <c r="Z456" s="91" t="n"/>
      <c r="AA456" s="91" t="n"/>
    </row>
    <row r="457" ht="12.75" customHeight="1" s="117">
      <c r="A457" s="91" t="n"/>
      <c r="B457" s="91" t="n"/>
      <c r="C457" s="91" t="n"/>
      <c r="D457" s="91" t="n"/>
      <c r="E457" s="91" t="n"/>
      <c r="F457" s="91" t="n"/>
      <c r="G457" s="91" t="n"/>
      <c r="H457" s="91" t="n"/>
      <c r="I457" s="91" t="n"/>
      <c r="J457" s="91" t="n"/>
      <c r="K457" s="91" t="n"/>
      <c r="L457" s="91" t="n"/>
      <c r="M457" s="91" t="n"/>
      <c r="N457" s="91" t="n"/>
      <c r="O457" s="91" t="n"/>
      <c r="P457" s="91" t="n"/>
      <c r="Q457" s="91" t="n"/>
      <c r="R457" s="91" t="n"/>
      <c r="S457" s="91" t="n"/>
      <c r="T457" s="91" t="n"/>
      <c r="U457" s="91" t="n"/>
      <c r="V457" s="91" t="n"/>
      <c r="W457" s="91" t="n"/>
      <c r="X457" s="91" t="n"/>
      <c r="Y457" s="91" t="n"/>
      <c r="Z457" s="91" t="n"/>
      <c r="AA457" s="91" t="n"/>
    </row>
    <row r="458" ht="12.75" customHeight="1" s="117">
      <c r="A458" s="91" t="n"/>
      <c r="B458" s="91" t="n"/>
      <c r="C458" s="91" t="n"/>
      <c r="D458" s="91" t="n"/>
      <c r="E458" s="91" t="n"/>
      <c r="F458" s="91" t="n"/>
      <c r="G458" s="91" t="n"/>
      <c r="H458" s="91" t="n"/>
      <c r="I458" s="91" t="n"/>
      <c r="J458" s="91" t="n"/>
      <c r="K458" s="91" t="n"/>
      <c r="L458" s="91" t="n"/>
      <c r="M458" s="91" t="n"/>
      <c r="N458" s="91" t="n"/>
      <c r="O458" s="91" t="n"/>
      <c r="P458" s="91" t="n"/>
      <c r="Q458" s="91" t="n"/>
      <c r="R458" s="91" t="n"/>
      <c r="S458" s="91" t="n"/>
      <c r="T458" s="91" t="n"/>
      <c r="U458" s="91" t="n"/>
      <c r="V458" s="91" t="n"/>
      <c r="W458" s="91" t="n"/>
      <c r="X458" s="91" t="n"/>
      <c r="Y458" s="91" t="n"/>
      <c r="Z458" s="91" t="n"/>
      <c r="AA458" s="91" t="n"/>
    </row>
    <row r="459" ht="12.75" customHeight="1" s="117">
      <c r="A459" s="91" t="n"/>
      <c r="B459" s="91" t="n"/>
      <c r="C459" s="91" t="n"/>
      <c r="D459" s="91" t="n"/>
      <c r="E459" s="91" t="n"/>
      <c r="F459" s="91" t="n"/>
      <c r="G459" s="91" t="n"/>
      <c r="H459" s="91" t="n"/>
      <c r="I459" s="91" t="n"/>
      <c r="J459" s="91" t="n"/>
      <c r="K459" s="91" t="n"/>
      <c r="L459" s="91" t="n"/>
      <c r="M459" s="91" t="n"/>
      <c r="N459" s="91" t="n"/>
      <c r="O459" s="91" t="n"/>
      <c r="P459" s="91" t="n"/>
      <c r="Q459" s="91" t="n"/>
      <c r="R459" s="91" t="n"/>
      <c r="S459" s="91" t="n"/>
      <c r="T459" s="91" t="n"/>
      <c r="U459" s="91" t="n"/>
      <c r="V459" s="91" t="n"/>
      <c r="W459" s="91" t="n"/>
      <c r="X459" s="91" t="n"/>
      <c r="Y459" s="91" t="n"/>
      <c r="Z459" s="91" t="n"/>
      <c r="AA459" s="91" t="n"/>
    </row>
    <row r="460" ht="12.75" customHeight="1" s="117">
      <c r="A460" s="91" t="n"/>
      <c r="B460" s="91" t="n"/>
      <c r="C460" s="91" t="n"/>
      <c r="D460" s="91" t="n"/>
      <c r="E460" s="91" t="n"/>
      <c r="F460" s="91" t="n"/>
      <c r="G460" s="91" t="n"/>
      <c r="H460" s="91" t="n"/>
      <c r="I460" s="91" t="n"/>
      <c r="J460" s="91" t="n"/>
      <c r="K460" s="91" t="n"/>
      <c r="L460" s="91" t="n"/>
      <c r="M460" s="91" t="n"/>
      <c r="N460" s="91" t="n"/>
      <c r="O460" s="91" t="n"/>
      <c r="P460" s="91" t="n"/>
      <c r="Q460" s="91" t="n"/>
      <c r="R460" s="91" t="n"/>
      <c r="S460" s="91" t="n"/>
      <c r="T460" s="91" t="n"/>
      <c r="U460" s="91" t="n"/>
      <c r="V460" s="91" t="n"/>
      <c r="W460" s="91" t="n"/>
      <c r="X460" s="91" t="n"/>
      <c r="Y460" s="91" t="n"/>
      <c r="Z460" s="91" t="n"/>
      <c r="AA460" s="91" t="n"/>
    </row>
    <row r="461" ht="12.75" customHeight="1" s="117">
      <c r="A461" s="91" t="n"/>
      <c r="B461" s="91" t="n"/>
      <c r="C461" s="91" t="n"/>
      <c r="D461" s="91" t="n"/>
      <c r="E461" s="91" t="n"/>
      <c r="F461" s="91" t="n"/>
      <c r="G461" s="91" t="n"/>
      <c r="H461" s="91" t="n"/>
      <c r="I461" s="91" t="n"/>
      <c r="J461" s="91" t="n"/>
      <c r="K461" s="91" t="n"/>
      <c r="L461" s="91" t="n"/>
      <c r="M461" s="91" t="n"/>
      <c r="N461" s="91" t="n"/>
      <c r="O461" s="91" t="n"/>
      <c r="P461" s="91" t="n"/>
      <c r="Q461" s="91" t="n"/>
      <c r="R461" s="91" t="n"/>
      <c r="S461" s="91" t="n"/>
      <c r="T461" s="91" t="n"/>
      <c r="U461" s="91" t="n"/>
      <c r="V461" s="91" t="n"/>
      <c r="W461" s="91" t="n"/>
      <c r="X461" s="91" t="n"/>
      <c r="Y461" s="91" t="n"/>
      <c r="Z461" s="91" t="n"/>
      <c r="AA461" s="91" t="n"/>
    </row>
    <row r="462" ht="12.75" customHeight="1" s="117">
      <c r="A462" s="91" t="n"/>
      <c r="B462" s="91" t="n"/>
      <c r="C462" s="91" t="n"/>
      <c r="D462" s="91" t="n"/>
      <c r="E462" s="91" t="n"/>
      <c r="F462" s="91" t="n"/>
      <c r="G462" s="91" t="n"/>
      <c r="H462" s="91" t="n"/>
      <c r="I462" s="91" t="n"/>
      <c r="J462" s="91" t="n"/>
      <c r="K462" s="91" t="n"/>
      <c r="L462" s="91" t="n"/>
      <c r="M462" s="91" t="n"/>
      <c r="N462" s="91" t="n"/>
      <c r="O462" s="91" t="n"/>
      <c r="P462" s="91" t="n"/>
      <c r="Q462" s="91" t="n"/>
      <c r="R462" s="91" t="n"/>
      <c r="S462" s="91" t="n"/>
      <c r="T462" s="91" t="n"/>
      <c r="U462" s="91" t="n"/>
      <c r="V462" s="91" t="n"/>
      <c r="W462" s="91" t="n"/>
      <c r="X462" s="91" t="n"/>
      <c r="Y462" s="91" t="n"/>
      <c r="Z462" s="91" t="n"/>
      <c r="AA462" s="91" t="n"/>
    </row>
    <row r="463" ht="12.75" customHeight="1" s="117">
      <c r="A463" s="91" t="n"/>
      <c r="B463" s="91" t="n"/>
      <c r="C463" s="91" t="n"/>
      <c r="D463" s="91" t="n"/>
      <c r="E463" s="91" t="n"/>
      <c r="F463" s="91" t="n"/>
      <c r="G463" s="91" t="n"/>
      <c r="H463" s="91" t="n"/>
      <c r="I463" s="91" t="n"/>
      <c r="J463" s="91" t="n"/>
      <c r="K463" s="91" t="n"/>
      <c r="L463" s="91" t="n"/>
      <c r="M463" s="91" t="n"/>
      <c r="N463" s="91" t="n"/>
      <c r="O463" s="91" t="n"/>
      <c r="P463" s="91" t="n"/>
      <c r="Q463" s="91" t="n"/>
      <c r="R463" s="91" t="n"/>
      <c r="S463" s="91" t="n"/>
      <c r="T463" s="91" t="n"/>
      <c r="U463" s="91" t="n"/>
      <c r="V463" s="91" t="n"/>
      <c r="W463" s="91" t="n"/>
      <c r="X463" s="91" t="n"/>
      <c r="Y463" s="91" t="n"/>
      <c r="Z463" s="91" t="n"/>
      <c r="AA463" s="91" t="n"/>
    </row>
    <row r="464" ht="12.75" customHeight="1" s="117">
      <c r="A464" s="91" t="n"/>
      <c r="B464" s="91" t="n"/>
      <c r="C464" s="91" t="n"/>
      <c r="D464" s="91" t="n"/>
      <c r="E464" s="91" t="n"/>
      <c r="F464" s="91" t="n"/>
      <c r="G464" s="91" t="n"/>
      <c r="H464" s="91" t="n"/>
      <c r="I464" s="91" t="n"/>
      <c r="J464" s="91" t="n"/>
      <c r="K464" s="91" t="n"/>
      <c r="L464" s="91" t="n"/>
      <c r="M464" s="91" t="n"/>
      <c r="N464" s="91" t="n"/>
      <c r="O464" s="91" t="n"/>
      <c r="P464" s="91" t="n"/>
      <c r="Q464" s="91" t="n"/>
      <c r="R464" s="91" t="n"/>
      <c r="S464" s="91" t="n"/>
      <c r="T464" s="91" t="n"/>
      <c r="U464" s="91" t="n"/>
      <c r="V464" s="91" t="n"/>
      <c r="W464" s="91" t="n"/>
      <c r="X464" s="91" t="n"/>
      <c r="Y464" s="91" t="n"/>
      <c r="Z464" s="91" t="n"/>
      <c r="AA464" s="91" t="n"/>
    </row>
    <row r="465" ht="12.75" customHeight="1" s="117">
      <c r="A465" s="91" t="n"/>
      <c r="B465" s="91" t="n"/>
      <c r="C465" s="91" t="n"/>
      <c r="D465" s="91" t="n"/>
      <c r="E465" s="91" t="n"/>
      <c r="F465" s="91" t="n"/>
      <c r="G465" s="91" t="n"/>
      <c r="H465" s="91" t="n"/>
      <c r="I465" s="91" t="n"/>
      <c r="J465" s="91" t="n"/>
      <c r="K465" s="91" t="n"/>
      <c r="L465" s="91" t="n"/>
      <c r="M465" s="91" t="n"/>
      <c r="N465" s="91" t="n"/>
      <c r="O465" s="91" t="n"/>
      <c r="P465" s="91" t="n"/>
      <c r="Q465" s="91" t="n"/>
      <c r="R465" s="91" t="n"/>
      <c r="S465" s="91" t="n"/>
      <c r="T465" s="91" t="n"/>
      <c r="U465" s="91" t="n"/>
      <c r="V465" s="91" t="n"/>
      <c r="W465" s="91" t="n"/>
      <c r="X465" s="91" t="n"/>
      <c r="Y465" s="91" t="n"/>
      <c r="Z465" s="91" t="n"/>
      <c r="AA465" s="91" t="n"/>
    </row>
    <row r="466" ht="12.75" customHeight="1" s="117">
      <c r="A466" s="91" t="n"/>
      <c r="B466" s="91" t="n"/>
      <c r="C466" s="91" t="n"/>
      <c r="D466" s="91" t="n"/>
      <c r="E466" s="91" t="n"/>
      <c r="F466" s="91" t="n"/>
      <c r="G466" s="91" t="n"/>
      <c r="H466" s="91" t="n"/>
      <c r="I466" s="91" t="n"/>
      <c r="J466" s="91" t="n"/>
      <c r="K466" s="91" t="n"/>
      <c r="L466" s="91" t="n"/>
      <c r="M466" s="91" t="n"/>
      <c r="N466" s="91" t="n"/>
      <c r="O466" s="91" t="n"/>
      <c r="P466" s="91" t="n"/>
      <c r="Q466" s="91" t="n"/>
      <c r="R466" s="91" t="n"/>
      <c r="S466" s="91" t="n"/>
      <c r="T466" s="91" t="n"/>
      <c r="U466" s="91" t="n"/>
      <c r="V466" s="91" t="n"/>
      <c r="W466" s="91" t="n"/>
      <c r="X466" s="91" t="n"/>
      <c r="Y466" s="91" t="n"/>
      <c r="Z466" s="91" t="n"/>
      <c r="AA466" s="91" t="n"/>
    </row>
    <row r="467" ht="12.75" customHeight="1" s="117">
      <c r="A467" s="91" t="n"/>
      <c r="B467" s="91" t="n"/>
      <c r="C467" s="91" t="n"/>
      <c r="D467" s="91" t="n"/>
      <c r="E467" s="91" t="n"/>
      <c r="F467" s="91" t="n"/>
      <c r="G467" s="91" t="n"/>
      <c r="H467" s="91" t="n"/>
      <c r="I467" s="91" t="n"/>
      <c r="J467" s="91" t="n"/>
      <c r="K467" s="91" t="n"/>
      <c r="L467" s="91" t="n"/>
      <c r="M467" s="91" t="n"/>
      <c r="N467" s="91" t="n"/>
      <c r="O467" s="91" t="n"/>
      <c r="P467" s="91" t="n"/>
      <c r="Q467" s="91" t="n"/>
      <c r="R467" s="91" t="n"/>
      <c r="S467" s="91" t="n"/>
      <c r="T467" s="91" t="n"/>
      <c r="U467" s="91" t="n"/>
      <c r="V467" s="91" t="n"/>
      <c r="W467" s="91" t="n"/>
      <c r="X467" s="91" t="n"/>
      <c r="Y467" s="91" t="n"/>
      <c r="Z467" s="91" t="n"/>
      <c r="AA467" s="91" t="n"/>
    </row>
    <row r="468" ht="12.75" customHeight="1" s="117">
      <c r="A468" s="91" t="n"/>
      <c r="B468" s="91" t="n"/>
      <c r="C468" s="91" t="n"/>
      <c r="D468" s="91" t="n"/>
      <c r="E468" s="91" t="n"/>
      <c r="F468" s="91" t="n"/>
      <c r="G468" s="91" t="n"/>
      <c r="H468" s="91" t="n"/>
      <c r="I468" s="91" t="n"/>
      <c r="J468" s="91" t="n"/>
      <c r="K468" s="91" t="n"/>
      <c r="L468" s="91" t="n"/>
      <c r="M468" s="91" t="n"/>
      <c r="N468" s="91" t="n"/>
      <c r="O468" s="91" t="n"/>
      <c r="P468" s="91" t="n"/>
      <c r="Q468" s="91" t="n"/>
      <c r="R468" s="91" t="n"/>
      <c r="S468" s="91" t="n"/>
      <c r="T468" s="91" t="n"/>
      <c r="U468" s="91" t="n"/>
      <c r="V468" s="91" t="n"/>
      <c r="W468" s="91" t="n"/>
      <c r="X468" s="91" t="n"/>
      <c r="Y468" s="91" t="n"/>
      <c r="Z468" s="91" t="n"/>
      <c r="AA468" s="91" t="n"/>
    </row>
    <row r="469" ht="12.75" customHeight="1" s="117">
      <c r="A469" s="91" t="n"/>
      <c r="B469" s="91" t="n"/>
      <c r="C469" s="91" t="n"/>
      <c r="D469" s="91" t="n"/>
      <c r="E469" s="91" t="n"/>
      <c r="F469" s="91" t="n"/>
      <c r="G469" s="91" t="n"/>
      <c r="H469" s="91" t="n"/>
      <c r="I469" s="91" t="n"/>
      <c r="J469" s="91" t="n"/>
      <c r="K469" s="91" t="n"/>
      <c r="L469" s="91" t="n"/>
      <c r="M469" s="91" t="n"/>
      <c r="N469" s="91" t="n"/>
      <c r="O469" s="91" t="n"/>
      <c r="P469" s="91" t="n"/>
      <c r="Q469" s="91" t="n"/>
      <c r="R469" s="91" t="n"/>
      <c r="S469" s="91" t="n"/>
      <c r="T469" s="91" t="n"/>
      <c r="U469" s="91" t="n"/>
      <c r="V469" s="91" t="n"/>
      <c r="W469" s="91" t="n"/>
      <c r="X469" s="91" t="n"/>
      <c r="Y469" s="91" t="n"/>
      <c r="Z469" s="91" t="n"/>
      <c r="AA469" s="91" t="n"/>
    </row>
    <row r="470" ht="12.75" customHeight="1" s="117">
      <c r="A470" s="91" t="n"/>
      <c r="B470" s="91" t="n"/>
      <c r="C470" s="91" t="n"/>
      <c r="D470" s="91" t="n"/>
      <c r="E470" s="91" t="n"/>
      <c r="F470" s="91" t="n"/>
      <c r="G470" s="91" t="n"/>
      <c r="H470" s="91" t="n"/>
      <c r="I470" s="91" t="n"/>
      <c r="J470" s="91" t="n"/>
      <c r="K470" s="91" t="n"/>
      <c r="L470" s="91" t="n"/>
      <c r="M470" s="91" t="n"/>
      <c r="N470" s="91" t="n"/>
      <c r="O470" s="91" t="n"/>
      <c r="P470" s="91" t="n"/>
      <c r="Q470" s="91" t="n"/>
      <c r="R470" s="91" t="n"/>
      <c r="S470" s="91" t="n"/>
      <c r="T470" s="91" t="n"/>
      <c r="U470" s="91" t="n"/>
      <c r="V470" s="91" t="n"/>
      <c r="W470" s="91" t="n"/>
      <c r="X470" s="91" t="n"/>
      <c r="Y470" s="91" t="n"/>
      <c r="Z470" s="91" t="n"/>
      <c r="AA470" s="91" t="n"/>
    </row>
    <row r="471" ht="12.75" customHeight="1" s="117">
      <c r="A471" s="91" t="n"/>
      <c r="B471" s="91" t="n"/>
      <c r="C471" s="91" t="n"/>
      <c r="D471" s="91" t="n"/>
      <c r="E471" s="91" t="n"/>
      <c r="F471" s="91" t="n"/>
      <c r="G471" s="91" t="n"/>
      <c r="H471" s="91" t="n"/>
      <c r="I471" s="91" t="n"/>
      <c r="J471" s="91" t="n"/>
      <c r="K471" s="91" t="n"/>
      <c r="L471" s="91" t="n"/>
      <c r="M471" s="91" t="n"/>
      <c r="N471" s="91" t="n"/>
      <c r="O471" s="91" t="n"/>
      <c r="P471" s="91" t="n"/>
      <c r="Q471" s="91" t="n"/>
      <c r="R471" s="91" t="n"/>
      <c r="S471" s="91" t="n"/>
      <c r="T471" s="91" t="n"/>
      <c r="U471" s="91" t="n"/>
      <c r="V471" s="91" t="n"/>
      <c r="W471" s="91" t="n"/>
      <c r="X471" s="91" t="n"/>
      <c r="Y471" s="91" t="n"/>
      <c r="Z471" s="91" t="n"/>
      <c r="AA471" s="91" t="n"/>
    </row>
    <row r="472" ht="12.75" customHeight="1" s="117">
      <c r="A472" s="91" t="n"/>
      <c r="B472" s="91" t="n"/>
      <c r="C472" s="91" t="n"/>
      <c r="D472" s="91" t="n"/>
      <c r="E472" s="91" t="n"/>
      <c r="F472" s="91" t="n"/>
      <c r="G472" s="91" t="n"/>
      <c r="H472" s="91" t="n"/>
      <c r="I472" s="91" t="n"/>
      <c r="J472" s="91" t="n"/>
      <c r="K472" s="91" t="n"/>
      <c r="L472" s="91" t="n"/>
      <c r="M472" s="91" t="n"/>
      <c r="N472" s="91" t="n"/>
      <c r="O472" s="91" t="n"/>
      <c r="P472" s="91" t="n"/>
      <c r="Q472" s="91" t="n"/>
      <c r="R472" s="91" t="n"/>
      <c r="S472" s="91" t="n"/>
      <c r="T472" s="91" t="n"/>
      <c r="U472" s="91" t="n"/>
      <c r="V472" s="91" t="n"/>
      <c r="W472" s="91" t="n"/>
      <c r="X472" s="91" t="n"/>
      <c r="Y472" s="91" t="n"/>
      <c r="Z472" s="91" t="n"/>
      <c r="AA472" s="91" t="n"/>
    </row>
    <row r="473" ht="12.75" customHeight="1" s="117">
      <c r="A473" s="91" t="n"/>
      <c r="B473" s="91" t="n"/>
      <c r="C473" s="91" t="n"/>
      <c r="D473" s="91" t="n"/>
      <c r="E473" s="91" t="n"/>
      <c r="F473" s="91" t="n"/>
      <c r="G473" s="91" t="n"/>
      <c r="H473" s="91" t="n"/>
      <c r="I473" s="91" t="n"/>
      <c r="J473" s="91" t="n"/>
      <c r="K473" s="91" t="n"/>
      <c r="L473" s="91" t="n"/>
      <c r="M473" s="91" t="n"/>
      <c r="N473" s="91" t="n"/>
      <c r="O473" s="91" t="n"/>
      <c r="P473" s="91" t="n"/>
      <c r="Q473" s="91" t="n"/>
      <c r="R473" s="91" t="n"/>
      <c r="S473" s="91" t="n"/>
      <c r="T473" s="91" t="n"/>
      <c r="U473" s="91" t="n"/>
      <c r="V473" s="91" t="n"/>
      <c r="W473" s="91" t="n"/>
      <c r="X473" s="91" t="n"/>
      <c r="Y473" s="91" t="n"/>
      <c r="Z473" s="91" t="n"/>
      <c r="AA473" s="91" t="n"/>
    </row>
    <row r="474" ht="12.75" customHeight="1" s="117">
      <c r="A474" s="91" t="n"/>
      <c r="B474" s="91" t="n"/>
      <c r="C474" s="91" t="n"/>
      <c r="D474" s="91" t="n"/>
      <c r="E474" s="91" t="n"/>
      <c r="F474" s="91" t="n"/>
      <c r="G474" s="91" t="n"/>
      <c r="H474" s="91" t="n"/>
      <c r="I474" s="91" t="n"/>
      <c r="J474" s="91" t="n"/>
      <c r="K474" s="91" t="n"/>
      <c r="L474" s="91" t="n"/>
      <c r="M474" s="91" t="n"/>
      <c r="N474" s="91" t="n"/>
      <c r="O474" s="91" t="n"/>
      <c r="P474" s="91" t="n"/>
      <c r="Q474" s="91" t="n"/>
      <c r="R474" s="91" t="n"/>
      <c r="S474" s="91" t="n"/>
      <c r="T474" s="91" t="n"/>
      <c r="U474" s="91" t="n"/>
      <c r="V474" s="91" t="n"/>
      <c r="W474" s="91" t="n"/>
      <c r="X474" s="91" t="n"/>
      <c r="Y474" s="91" t="n"/>
      <c r="Z474" s="91" t="n"/>
      <c r="AA474" s="91" t="n"/>
    </row>
    <row r="475" ht="12.75" customHeight="1" s="117">
      <c r="A475" s="91" t="n"/>
      <c r="B475" s="91" t="n"/>
      <c r="C475" s="91" t="n"/>
      <c r="D475" s="91" t="n"/>
      <c r="E475" s="91" t="n"/>
      <c r="F475" s="91" t="n"/>
      <c r="G475" s="91" t="n"/>
      <c r="H475" s="91" t="n"/>
      <c r="I475" s="91" t="n"/>
      <c r="J475" s="91" t="n"/>
      <c r="K475" s="91" t="n"/>
      <c r="L475" s="91" t="n"/>
      <c r="M475" s="91" t="n"/>
      <c r="N475" s="91" t="n"/>
      <c r="O475" s="91" t="n"/>
      <c r="P475" s="91" t="n"/>
      <c r="Q475" s="91" t="n"/>
      <c r="R475" s="91" t="n"/>
      <c r="S475" s="91" t="n"/>
      <c r="T475" s="91" t="n"/>
      <c r="U475" s="91" t="n"/>
      <c r="V475" s="91" t="n"/>
      <c r="W475" s="91" t="n"/>
      <c r="X475" s="91" t="n"/>
      <c r="Y475" s="91" t="n"/>
      <c r="Z475" s="91" t="n"/>
      <c r="AA475" s="91" t="n"/>
    </row>
    <row r="476" ht="12.75" customHeight="1" s="117">
      <c r="A476" s="91" t="n"/>
      <c r="B476" s="91" t="n"/>
      <c r="C476" s="91" t="n"/>
      <c r="D476" s="91" t="n"/>
      <c r="E476" s="91" t="n"/>
      <c r="F476" s="91" t="n"/>
      <c r="G476" s="91" t="n"/>
      <c r="H476" s="91" t="n"/>
      <c r="I476" s="91" t="n"/>
      <c r="J476" s="91" t="n"/>
      <c r="K476" s="91" t="n"/>
      <c r="L476" s="91" t="n"/>
      <c r="M476" s="91" t="n"/>
      <c r="N476" s="91" t="n"/>
      <c r="O476" s="91" t="n"/>
      <c r="P476" s="91" t="n"/>
      <c r="Q476" s="91" t="n"/>
      <c r="R476" s="91" t="n"/>
      <c r="S476" s="91" t="n"/>
      <c r="T476" s="91" t="n"/>
      <c r="U476" s="91" t="n"/>
      <c r="V476" s="91" t="n"/>
      <c r="W476" s="91" t="n"/>
      <c r="X476" s="91" t="n"/>
      <c r="Y476" s="91" t="n"/>
      <c r="Z476" s="91" t="n"/>
      <c r="AA476" s="91" t="n"/>
    </row>
    <row r="477" ht="12.75" customHeight="1" s="117">
      <c r="A477" s="91" t="n"/>
      <c r="B477" s="91" t="n"/>
      <c r="C477" s="91" t="n"/>
      <c r="D477" s="91" t="n"/>
      <c r="E477" s="91" t="n"/>
      <c r="F477" s="91" t="n"/>
      <c r="G477" s="91" t="n"/>
      <c r="H477" s="91" t="n"/>
      <c r="I477" s="91" t="n"/>
      <c r="J477" s="91" t="n"/>
      <c r="K477" s="91" t="n"/>
      <c r="L477" s="91" t="n"/>
      <c r="M477" s="91" t="n"/>
      <c r="N477" s="91" t="n"/>
      <c r="O477" s="91" t="n"/>
      <c r="P477" s="91" t="n"/>
      <c r="Q477" s="91" t="n"/>
      <c r="R477" s="91" t="n"/>
      <c r="S477" s="91" t="n"/>
      <c r="T477" s="91" t="n"/>
      <c r="U477" s="91" t="n"/>
      <c r="V477" s="91" t="n"/>
      <c r="W477" s="91" t="n"/>
      <c r="X477" s="91" t="n"/>
      <c r="Y477" s="91" t="n"/>
      <c r="Z477" s="91" t="n"/>
      <c r="AA477" s="91" t="n"/>
    </row>
    <row r="478" ht="12.75" customHeight="1" s="117">
      <c r="A478" s="91" t="n"/>
      <c r="B478" s="91" t="n"/>
      <c r="C478" s="91" t="n"/>
      <c r="D478" s="91" t="n"/>
      <c r="E478" s="91" t="n"/>
      <c r="F478" s="91" t="n"/>
      <c r="G478" s="91" t="n"/>
      <c r="H478" s="91" t="n"/>
      <c r="I478" s="91" t="n"/>
      <c r="J478" s="91" t="n"/>
      <c r="K478" s="91" t="n"/>
      <c r="L478" s="91" t="n"/>
      <c r="M478" s="91" t="n"/>
      <c r="N478" s="91" t="n"/>
      <c r="O478" s="91" t="n"/>
      <c r="P478" s="91" t="n"/>
      <c r="Q478" s="91" t="n"/>
      <c r="R478" s="91" t="n"/>
      <c r="S478" s="91" t="n"/>
      <c r="T478" s="91" t="n"/>
      <c r="U478" s="91" t="n"/>
      <c r="V478" s="91" t="n"/>
      <c r="W478" s="91" t="n"/>
      <c r="X478" s="91" t="n"/>
      <c r="Y478" s="91" t="n"/>
      <c r="Z478" s="91" t="n"/>
      <c r="AA478" s="91" t="n"/>
    </row>
    <row r="479" ht="12.75" customHeight="1" s="117">
      <c r="A479" s="91" t="n"/>
      <c r="B479" s="91" t="n"/>
      <c r="C479" s="91" t="n"/>
      <c r="D479" s="91" t="n"/>
      <c r="E479" s="91" t="n"/>
      <c r="F479" s="91" t="n"/>
      <c r="G479" s="91" t="n"/>
      <c r="H479" s="91" t="n"/>
      <c r="I479" s="91" t="n"/>
      <c r="J479" s="91" t="n"/>
      <c r="K479" s="91" t="n"/>
      <c r="L479" s="91" t="n"/>
      <c r="M479" s="91" t="n"/>
      <c r="N479" s="91" t="n"/>
      <c r="O479" s="91" t="n"/>
      <c r="P479" s="91" t="n"/>
      <c r="Q479" s="91" t="n"/>
      <c r="R479" s="91" t="n"/>
      <c r="S479" s="91" t="n"/>
      <c r="T479" s="91" t="n"/>
      <c r="U479" s="91" t="n"/>
      <c r="V479" s="91" t="n"/>
      <c r="W479" s="91" t="n"/>
      <c r="X479" s="91" t="n"/>
      <c r="Y479" s="91" t="n"/>
      <c r="Z479" s="91" t="n"/>
      <c r="AA479" s="91" t="n"/>
    </row>
    <row r="480" ht="12.75" customHeight="1" s="117">
      <c r="A480" s="91" t="n"/>
      <c r="B480" s="91" t="n"/>
      <c r="C480" s="91" t="n"/>
      <c r="D480" s="91" t="n"/>
      <c r="E480" s="91" t="n"/>
      <c r="F480" s="91" t="n"/>
      <c r="G480" s="91" t="n"/>
      <c r="H480" s="91" t="n"/>
      <c r="I480" s="91" t="n"/>
      <c r="J480" s="91" t="n"/>
      <c r="K480" s="91" t="n"/>
      <c r="L480" s="91" t="n"/>
      <c r="M480" s="91" t="n"/>
      <c r="N480" s="91" t="n"/>
      <c r="O480" s="91" t="n"/>
      <c r="P480" s="91" t="n"/>
      <c r="Q480" s="91" t="n"/>
      <c r="R480" s="91" t="n"/>
      <c r="S480" s="91" t="n"/>
      <c r="T480" s="91" t="n"/>
      <c r="U480" s="91" t="n"/>
      <c r="V480" s="91" t="n"/>
      <c r="W480" s="91" t="n"/>
      <c r="X480" s="91" t="n"/>
      <c r="Y480" s="91" t="n"/>
      <c r="Z480" s="91" t="n"/>
      <c r="AA480" s="91" t="n"/>
    </row>
    <row r="481" ht="12.75" customHeight="1" s="117">
      <c r="A481" s="91" t="n"/>
      <c r="B481" s="91" t="n"/>
      <c r="C481" s="91" t="n"/>
      <c r="D481" s="91" t="n"/>
      <c r="E481" s="91" t="n"/>
      <c r="F481" s="91" t="n"/>
      <c r="G481" s="91" t="n"/>
      <c r="H481" s="91" t="n"/>
      <c r="I481" s="91" t="n"/>
      <c r="J481" s="91" t="n"/>
      <c r="K481" s="91" t="n"/>
      <c r="L481" s="91" t="n"/>
      <c r="M481" s="91" t="n"/>
      <c r="N481" s="91" t="n"/>
      <c r="O481" s="91" t="n"/>
      <c r="P481" s="91" t="n"/>
      <c r="Q481" s="91" t="n"/>
      <c r="R481" s="91" t="n"/>
      <c r="S481" s="91" t="n"/>
      <c r="T481" s="91" t="n"/>
      <c r="U481" s="91" t="n"/>
      <c r="V481" s="91" t="n"/>
      <c r="W481" s="91" t="n"/>
      <c r="X481" s="91" t="n"/>
      <c r="Y481" s="91" t="n"/>
      <c r="Z481" s="91" t="n"/>
      <c r="AA481" s="91" t="n"/>
    </row>
    <row r="482" ht="12.75" customHeight="1" s="117">
      <c r="A482" s="91" t="n"/>
      <c r="B482" s="91" t="n"/>
      <c r="C482" s="91" t="n"/>
      <c r="D482" s="91" t="n"/>
      <c r="E482" s="91" t="n"/>
      <c r="F482" s="91" t="n"/>
      <c r="G482" s="91" t="n"/>
      <c r="H482" s="91" t="n"/>
      <c r="I482" s="91" t="n"/>
      <c r="J482" s="91" t="n"/>
      <c r="K482" s="91" t="n"/>
      <c r="L482" s="91" t="n"/>
      <c r="M482" s="91" t="n"/>
      <c r="N482" s="91" t="n"/>
      <c r="O482" s="91" t="n"/>
      <c r="P482" s="91" t="n"/>
      <c r="Q482" s="91" t="n"/>
      <c r="R482" s="91" t="n"/>
      <c r="S482" s="91" t="n"/>
      <c r="T482" s="91" t="n"/>
      <c r="U482" s="91" t="n"/>
      <c r="V482" s="91" t="n"/>
      <c r="W482" s="91" t="n"/>
      <c r="X482" s="91" t="n"/>
      <c r="Y482" s="91" t="n"/>
      <c r="Z482" s="91" t="n"/>
      <c r="AA482" s="91" t="n"/>
    </row>
    <row r="483" ht="12.75" customHeight="1" s="117">
      <c r="A483" s="91" t="n"/>
      <c r="B483" s="91" t="n"/>
      <c r="C483" s="91" t="n"/>
      <c r="D483" s="91" t="n"/>
      <c r="E483" s="91" t="n"/>
      <c r="F483" s="91" t="n"/>
      <c r="G483" s="91" t="n"/>
      <c r="H483" s="91" t="n"/>
      <c r="I483" s="91" t="n"/>
      <c r="J483" s="91" t="n"/>
      <c r="K483" s="91" t="n"/>
      <c r="L483" s="91" t="n"/>
      <c r="M483" s="91" t="n"/>
      <c r="N483" s="91" t="n"/>
      <c r="O483" s="91" t="n"/>
      <c r="P483" s="91" t="n"/>
      <c r="Q483" s="91" t="n"/>
      <c r="R483" s="91" t="n"/>
      <c r="S483" s="91" t="n"/>
      <c r="T483" s="91" t="n"/>
      <c r="U483" s="91" t="n"/>
      <c r="V483" s="91" t="n"/>
      <c r="W483" s="91" t="n"/>
      <c r="X483" s="91" t="n"/>
      <c r="Y483" s="91" t="n"/>
      <c r="Z483" s="91" t="n"/>
      <c r="AA483" s="91" t="n"/>
    </row>
    <row r="484" ht="12.75" customHeight="1" s="117">
      <c r="A484" s="91" t="n"/>
      <c r="B484" s="91" t="n"/>
      <c r="C484" s="91" t="n"/>
      <c r="D484" s="91" t="n"/>
      <c r="E484" s="91" t="n"/>
      <c r="F484" s="91" t="n"/>
      <c r="G484" s="91" t="n"/>
      <c r="H484" s="91" t="n"/>
      <c r="I484" s="91" t="n"/>
      <c r="J484" s="91" t="n"/>
      <c r="K484" s="91" t="n"/>
      <c r="L484" s="91" t="n"/>
      <c r="M484" s="91" t="n"/>
      <c r="N484" s="91" t="n"/>
      <c r="O484" s="91" t="n"/>
      <c r="P484" s="91" t="n"/>
      <c r="Q484" s="91" t="n"/>
      <c r="R484" s="91" t="n"/>
      <c r="S484" s="91" t="n"/>
      <c r="T484" s="91" t="n"/>
      <c r="U484" s="91" t="n"/>
      <c r="V484" s="91" t="n"/>
      <c r="W484" s="91" t="n"/>
      <c r="X484" s="91" t="n"/>
      <c r="Y484" s="91" t="n"/>
      <c r="Z484" s="91" t="n"/>
      <c r="AA484" s="91" t="n"/>
    </row>
    <row r="485" ht="12.75" customHeight="1" s="117">
      <c r="A485" s="91" t="n"/>
      <c r="B485" s="91" t="n"/>
      <c r="C485" s="91" t="n"/>
      <c r="D485" s="91" t="n"/>
      <c r="E485" s="91" t="n"/>
      <c r="F485" s="91" t="n"/>
      <c r="G485" s="91" t="n"/>
      <c r="H485" s="91" t="n"/>
      <c r="I485" s="91" t="n"/>
      <c r="J485" s="91" t="n"/>
      <c r="K485" s="91" t="n"/>
      <c r="L485" s="91" t="n"/>
      <c r="M485" s="91" t="n"/>
      <c r="N485" s="91" t="n"/>
      <c r="O485" s="91" t="n"/>
      <c r="P485" s="91" t="n"/>
      <c r="Q485" s="91" t="n"/>
      <c r="R485" s="91" t="n"/>
      <c r="S485" s="91" t="n"/>
      <c r="T485" s="91" t="n"/>
      <c r="U485" s="91" t="n"/>
      <c r="V485" s="91" t="n"/>
      <c r="W485" s="91" t="n"/>
      <c r="X485" s="91" t="n"/>
      <c r="Y485" s="91" t="n"/>
      <c r="Z485" s="91" t="n"/>
      <c r="AA485" s="91" t="n"/>
    </row>
    <row r="486" ht="12.75" customHeight="1" s="117">
      <c r="A486" s="91" t="n"/>
      <c r="B486" s="91" t="n"/>
      <c r="C486" s="91" t="n"/>
      <c r="D486" s="91" t="n"/>
      <c r="E486" s="91" t="n"/>
      <c r="F486" s="91" t="n"/>
      <c r="G486" s="91" t="n"/>
      <c r="H486" s="91" t="n"/>
      <c r="I486" s="91" t="n"/>
      <c r="J486" s="91" t="n"/>
      <c r="K486" s="91" t="n"/>
      <c r="L486" s="91" t="n"/>
      <c r="M486" s="91" t="n"/>
      <c r="N486" s="91" t="n"/>
      <c r="O486" s="91" t="n"/>
      <c r="P486" s="91" t="n"/>
      <c r="Q486" s="91" t="n"/>
      <c r="R486" s="91" t="n"/>
      <c r="S486" s="91" t="n"/>
      <c r="T486" s="91" t="n"/>
      <c r="U486" s="91" t="n"/>
      <c r="V486" s="91" t="n"/>
      <c r="W486" s="91" t="n"/>
      <c r="X486" s="91" t="n"/>
      <c r="Y486" s="91" t="n"/>
      <c r="Z486" s="91" t="n"/>
      <c r="AA486" s="91" t="n"/>
    </row>
    <row r="487" ht="12.75" customHeight="1" s="117">
      <c r="A487" s="91" t="n"/>
      <c r="B487" s="91" t="n"/>
      <c r="C487" s="91" t="n"/>
      <c r="D487" s="91" t="n"/>
      <c r="E487" s="91" t="n"/>
      <c r="F487" s="91" t="n"/>
      <c r="G487" s="91" t="n"/>
      <c r="H487" s="91" t="n"/>
      <c r="I487" s="91" t="n"/>
      <c r="J487" s="91" t="n"/>
      <c r="K487" s="91" t="n"/>
      <c r="L487" s="91" t="n"/>
      <c r="M487" s="91" t="n"/>
      <c r="N487" s="91" t="n"/>
      <c r="O487" s="91" t="n"/>
      <c r="P487" s="91" t="n"/>
      <c r="Q487" s="91" t="n"/>
      <c r="R487" s="91" t="n"/>
      <c r="S487" s="91" t="n"/>
      <c r="T487" s="91" t="n"/>
      <c r="U487" s="91" t="n"/>
      <c r="V487" s="91" t="n"/>
      <c r="W487" s="91" t="n"/>
      <c r="X487" s="91" t="n"/>
      <c r="Y487" s="91" t="n"/>
      <c r="Z487" s="91" t="n"/>
      <c r="AA487" s="91" t="n"/>
    </row>
    <row r="488" ht="12.75" customHeight="1" s="117">
      <c r="A488" s="91" t="n"/>
      <c r="B488" s="91" t="n"/>
      <c r="C488" s="91" t="n"/>
      <c r="D488" s="91" t="n"/>
      <c r="E488" s="91" t="n"/>
      <c r="F488" s="91" t="n"/>
      <c r="G488" s="91" t="n"/>
      <c r="H488" s="91" t="n"/>
      <c r="I488" s="91" t="n"/>
      <c r="J488" s="91" t="n"/>
      <c r="K488" s="91" t="n"/>
      <c r="L488" s="91" t="n"/>
      <c r="M488" s="91" t="n"/>
      <c r="N488" s="91" t="n"/>
      <c r="O488" s="91" t="n"/>
      <c r="P488" s="91" t="n"/>
      <c r="Q488" s="91" t="n"/>
      <c r="R488" s="91" t="n"/>
      <c r="S488" s="91" t="n"/>
      <c r="T488" s="91" t="n"/>
      <c r="U488" s="91" t="n"/>
      <c r="V488" s="91" t="n"/>
      <c r="W488" s="91" t="n"/>
      <c r="X488" s="91" t="n"/>
      <c r="Y488" s="91" t="n"/>
      <c r="Z488" s="91" t="n"/>
      <c r="AA488" s="91" t="n"/>
    </row>
    <row r="489" ht="12.75" customHeight="1" s="117">
      <c r="A489" s="91" t="n"/>
      <c r="B489" s="91" t="n"/>
      <c r="C489" s="91" t="n"/>
      <c r="D489" s="91" t="n"/>
      <c r="E489" s="91" t="n"/>
      <c r="F489" s="91" t="n"/>
      <c r="G489" s="91" t="n"/>
      <c r="H489" s="91" t="n"/>
      <c r="I489" s="91" t="n"/>
      <c r="J489" s="91" t="n"/>
      <c r="K489" s="91" t="n"/>
      <c r="L489" s="91" t="n"/>
      <c r="M489" s="91" t="n"/>
      <c r="N489" s="91" t="n"/>
      <c r="O489" s="91" t="n"/>
      <c r="P489" s="91" t="n"/>
      <c r="Q489" s="91" t="n"/>
      <c r="R489" s="91" t="n"/>
      <c r="S489" s="91" t="n"/>
      <c r="T489" s="91" t="n"/>
      <c r="U489" s="91" t="n"/>
      <c r="V489" s="91" t="n"/>
      <c r="W489" s="91" t="n"/>
      <c r="X489" s="91" t="n"/>
      <c r="Y489" s="91" t="n"/>
      <c r="Z489" s="91" t="n"/>
      <c r="AA489" s="91" t="n"/>
    </row>
    <row r="490" ht="12.75" customHeight="1" s="117">
      <c r="A490" s="91" t="n"/>
      <c r="B490" s="91" t="n"/>
      <c r="C490" s="91" t="n"/>
      <c r="D490" s="91" t="n"/>
      <c r="E490" s="91" t="n"/>
      <c r="F490" s="91" t="n"/>
      <c r="G490" s="91" t="n"/>
      <c r="H490" s="91" t="n"/>
      <c r="I490" s="91" t="n"/>
      <c r="J490" s="91" t="n"/>
      <c r="K490" s="91" t="n"/>
      <c r="L490" s="91" t="n"/>
      <c r="M490" s="91" t="n"/>
      <c r="N490" s="91" t="n"/>
      <c r="O490" s="91" t="n"/>
      <c r="P490" s="91" t="n"/>
      <c r="Q490" s="91" t="n"/>
      <c r="R490" s="91" t="n"/>
      <c r="S490" s="91" t="n"/>
      <c r="T490" s="91" t="n"/>
      <c r="U490" s="91" t="n"/>
      <c r="V490" s="91" t="n"/>
      <c r="W490" s="91" t="n"/>
      <c r="X490" s="91" t="n"/>
      <c r="Y490" s="91" t="n"/>
      <c r="Z490" s="91" t="n"/>
      <c r="AA490" s="91" t="n"/>
    </row>
    <row r="491" ht="12.75" customHeight="1" s="117">
      <c r="A491" s="91" t="n"/>
      <c r="B491" s="91" t="n"/>
      <c r="C491" s="91" t="n"/>
      <c r="D491" s="91" t="n"/>
      <c r="E491" s="91" t="n"/>
      <c r="F491" s="91" t="n"/>
      <c r="G491" s="91" t="n"/>
      <c r="H491" s="91" t="n"/>
      <c r="I491" s="91" t="n"/>
      <c r="J491" s="91" t="n"/>
      <c r="K491" s="91" t="n"/>
      <c r="L491" s="91" t="n"/>
      <c r="M491" s="91" t="n"/>
      <c r="N491" s="91" t="n"/>
      <c r="O491" s="91" t="n"/>
      <c r="P491" s="91" t="n"/>
      <c r="Q491" s="91" t="n"/>
      <c r="R491" s="91" t="n"/>
      <c r="S491" s="91" t="n"/>
      <c r="T491" s="91" t="n"/>
      <c r="U491" s="91" t="n"/>
      <c r="V491" s="91" t="n"/>
      <c r="W491" s="91" t="n"/>
      <c r="X491" s="91" t="n"/>
      <c r="Y491" s="91" t="n"/>
      <c r="Z491" s="91" t="n"/>
      <c r="AA491" s="91" t="n"/>
    </row>
    <row r="492" ht="12.75" customHeight="1" s="117">
      <c r="A492" s="91" t="n"/>
      <c r="B492" s="91" t="n"/>
      <c r="C492" s="91" t="n"/>
      <c r="D492" s="91" t="n"/>
      <c r="E492" s="91" t="n"/>
      <c r="F492" s="91" t="n"/>
      <c r="G492" s="91" t="n"/>
      <c r="H492" s="91" t="n"/>
      <c r="I492" s="91" t="n"/>
      <c r="J492" s="91" t="n"/>
      <c r="K492" s="91" t="n"/>
      <c r="L492" s="91" t="n"/>
      <c r="M492" s="91" t="n"/>
      <c r="N492" s="91" t="n"/>
      <c r="O492" s="91" t="n"/>
      <c r="P492" s="91" t="n"/>
      <c r="Q492" s="91" t="n"/>
      <c r="R492" s="91" t="n"/>
      <c r="S492" s="91" t="n"/>
      <c r="T492" s="91" t="n"/>
      <c r="U492" s="91" t="n"/>
      <c r="V492" s="91" t="n"/>
      <c r="W492" s="91" t="n"/>
      <c r="X492" s="91" t="n"/>
      <c r="Y492" s="91" t="n"/>
      <c r="Z492" s="91" t="n"/>
      <c r="AA492" s="91" t="n"/>
    </row>
    <row r="493" ht="12.75" customHeight="1" s="117">
      <c r="A493" s="91" t="n"/>
      <c r="B493" s="91" t="n"/>
      <c r="C493" s="91" t="n"/>
      <c r="D493" s="91" t="n"/>
      <c r="E493" s="91" t="n"/>
      <c r="F493" s="91" t="n"/>
      <c r="G493" s="91" t="n"/>
      <c r="H493" s="91" t="n"/>
      <c r="I493" s="91" t="n"/>
      <c r="J493" s="91" t="n"/>
      <c r="K493" s="91" t="n"/>
      <c r="L493" s="91" t="n"/>
      <c r="M493" s="91" t="n"/>
      <c r="N493" s="91" t="n"/>
      <c r="O493" s="91" t="n"/>
      <c r="P493" s="91" t="n"/>
      <c r="Q493" s="91" t="n"/>
      <c r="R493" s="91" t="n"/>
      <c r="S493" s="91" t="n"/>
      <c r="T493" s="91" t="n"/>
      <c r="U493" s="91" t="n"/>
      <c r="V493" s="91" t="n"/>
      <c r="W493" s="91" t="n"/>
      <c r="X493" s="91" t="n"/>
      <c r="Y493" s="91" t="n"/>
      <c r="Z493" s="91" t="n"/>
      <c r="AA493" s="91" t="n"/>
    </row>
    <row r="494" ht="12.75" customHeight="1" s="117">
      <c r="A494" s="91" t="n"/>
      <c r="B494" s="91" t="n"/>
      <c r="C494" s="91" t="n"/>
      <c r="D494" s="91" t="n"/>
      <c r="E494" s="91" t="n"/>
      <c r="F494" s="91" t="n"/>
      <c r="G494" s="91" t="n"/>
      <c r="H494" s="91" t="n"/>
      <c r="I494" s="91" t="n"/>
      <c r="J494" s="91" t="n"/>
      <c r="K494" s="91" t="n"/>
      <c r="L494" s="91" t="n"/>
      <c r="M494" s="91" t="n"/>
      <c r="N494" s="91" t="n"/>
      <c r="O494" s="91" t="n"/>
      <c r="P494" s="91" t="n"/>
      <c r="Q494" s="91" t="n"/>
      <c r="R494" s="91" t="n"/>
      <c r="S494" s="91" t="n"/>
      <c r="T494" s="91" t="n"/>
      <c r="U494" s="91" t="n"/>
      <c r="V494" s="91" t="n"/>
      <c r="W494" s="91" t="n"/>
      <c r="X494" s="91" t="n"/>
      <c r="Y494" s="91" t="n"/>
      <c r="Z494" s="91" t="n"/>
      <c r="AA494" s="91" t="n"/>
    </row>
    <row r="495" ht="12.75" customHeight="1" s="117">
      <c r="A495" s="91" t="n"/>
      <c r="B495" s="91" t="n"/>
      <c r="C495" s="91" t="n"/>
      <c r="D495" s="91" t="n"/>
      <c r="E495" s="91" t="n"/>
      <c r="F495" s="91" t="n"/>
      <c r="G495" s="91" t="n"/>
      <c r="H495" s="91" t="n"/>
      <c r="I495" s="91" t="n"/>
      <c r="J495" s="91" t="n"/>
      <c r="K495" s="91" t="n"/>
      <c r="L495" s="91" t="n"/>
      <c r="M495" s="91" t="n"/>
      <c r="N495" s="91" t="n"/>
      <c r="O495" s="91" t="n"/>
      <c r="P495" s="91" t="n"/>
      <c r="Q495" s="91" t="n"/>
      <c r="R495" s="91" t="n"/>
      <c r="S495" s="91" t="n"/>
      <c r="T495" s="91" t="n"/>
      <c r="U495" s="91" t="n"/>
      <c r="V495" s="91" t="n"/>
      <c r="W495" s="91" t="n"/>
      <c r="X495" s="91" t="n"/>
      <c r="Y495" s="91" t="n"/>
      <c r="Z495" s="91" t="n"/>
      <c r="AA495" s="91" t="n"/>
    </row>
    <row r="496" ht="12.75" customHeight="1" s="117">
      <c r="A496" s="91" t="n"/>
      <c r="B496" s="91" t="n"/>
      <c r="C496" s="91" t="n"/>
      <c r="D496" s="91" t="n"/>
      <c r="E496" s="91" t="n"/>
      <c r="F496" s="91" t="n"/>
      <c r="G496" s="91" t="n"/>
      <c r="H496" s="91" t="n"/>
      <c r="I496" s="91" t="n"/>
      <c r="J496" s="91" t="n"/>
      <c r="K496" s="91" t="n"/>
      <c r="L496" s="91" t="n"/>
      <c r="M496" s="91" t="n"/>
      <c r="N496" s="91" t="n"/>
      <c r="O496" s="91" t="n"/>
      <c r="P496" s="91" t="n"/>
      <c r="Q496" s="91" t="n"/>
      <c r="R496" s="91" t="n"/>
      <c r="S496" s="91" t="n"/>
      <c r="T496" s="91" t="n"/>
      <c r="U496" s="91" t="n"/>
      <c r="V496" s="91" t="n"/>
      <c r="W496" s="91" t="n"/>
      <c r="X496" s="91" t="n"/>
      <c r="Y496" s="91" t="n"/>
      <c r="Z496" s="91" t="n"/>
      <c r="AA496" s="91" t="n"/>
    </row>
    <row r="497" ht="12.75" customHeight="1" s="117">
      <c r="A497" s="91" t="n"/>
      <c r="B497" s="91" t="n"/>
      <c r="C497" s="91" t="n"/>
      <c r="D497" s="91" t="n"/>
      <c r="E497" s="91" t="n"/>
      <c r="F497" s="91" t="n"/>
      <c r="G497" s="91" t="n"/>
      <c r="H497" s="91" t="n"/>
      <c r="I497" s="91" t="n"/>
      <c r="J497" s="91" t="n"/>
      <c r="K497" s="91" t="n"/>
      <c r="L497" s="91" t="n"/>
      <c r="M497" s="91" t="n"/>
      <c r="N497" s="91" t="n"/>
      <c r="O497" s="91" t="n"/>
      <c r="P497" s="91" t="n"/>
      <c r="Q497" s="91" t="n"/>
      <c r="R497" s="91" t="n"/>
      <c r="S497" s="91" t="n"/>
      <c r="T497" s="91" t="n"/>
      <c r="U497" s="91" t="n"/>
      <c r="V497" s="91" t="n"/>
      <c r="W497" s="91" t="n"/>
      <c r="X497" s="91" t="n"/>
      <c r="Y497" s="91" t="n"/>
      <c r="Z497" s="91" t="n"/>
      <c r="AA497" s="91" t="n"/>
    </row>
    <row r="498" ht="12.75" customHeight="1" s="117">
      <c r="A498" s="91" t="n"/>
      <c r="B498" s="91" t="n"/>
      <c r="C498" s="91" t="n"/>
      <c r="D498" s="91" t="n"/>
      <c r="E498" s="91" t="n"/>
      <c r="F498" s="91" t="n"/>
      <c r="G498" s="91" t="n"/>
      <c r="H498" s="91" t="n"/>
      <c r="I498" s="91" t="n"/>
      <c r="J498" s="91" t="n"/>
      <c r="K498" s="91" t="n"/>
      <c r="L498" s="91" t="n"/>
      <c r="M498" s="91" t="n"/>
      <c r="N498" s="91" t="n"/>
      <c r="O498" s="91" t="n"/>
      <c r="P498" s="91" t="n"/>
      <c r="Q498" s="91" t="n"/>
      <c r="R498" s="91" t="n"/>
      <c r="S498" s="91" t="n"/>
      <c r="T498" s="91" t="n"/>
      <c r="U498" s="91" t="n"/>
      <c r="V498" s="91" t="n"/>
      <c r="W498" s="91" t="n"/>
      <c r="X498" s="91" t="n"/>
      <c r="Y498" s="91" t="n"/>
      <c r="Z498" s="91" t="n"/>
      <c r="AA498" s="91" t="n"/>
    </row>
    <row r="499" ht="12.75" customHeight="1" s="117">
      <c r="A499" s="91" t="n"/>
      <c r="B499" s="91" t="n"/>
      <c r="C499" s="91" t="n"/>
      <c r="D499" s="91" t="n"/>
      <c r="E499" s="91" t="n"/>
      <c r="F499" s="91" t="n"/>
      <c r="G499" s="91" t="n"/>
      <c r="H499" s="91" t="n"/>
      <c r="I499" s="91" t="n"/>
      <c r="J499" s="91" t="n"/>
      <c r="K499" s="91" t="n"/>
      <c r="L499" s="91" t="n"/>
      <c r="M499" s="91" t="n"/>
      <c r="N499" s="91" t="n"/>
      <c r="O499" s="91" t="n"/>
      <c r="P499" s="91" t="n"/>
      <c r="Q499" s="91" t="n"/>
      <c r="R499" s="91" t="n"/>
      <c r="S499" s="91" t="n"/>
      <c r="T499" s="91" t="n"/>
      <c r="U499" s="91" t="n"/>
      <c r="V499" s="91" t="n"/>
      <c r="W499" s="91" t="n"/>
      <c r="X499" s="91" t="n"/>
      <c r="Y499" s="91" t="n"/>
      <c r="Z499" s="91" t="n"/>
      <c r="AA499" s="91" t="n"/>
    </row>
    <row r="500" ht="12.75" customHeight="1" s="117">
      <c r="A500" s="91" t="n"/>
      <c r="B500" s="91" t="n"/>
      <c r="C500" s="91" t="n"/>
      <c r="D500" s="91" t="n"/>
      <c r="E500" s="91" t="n"/>
      <c r="F500" s="91" t="n"/>
      <c r="G500" s="91" t="n"/>
      <c r="H500" s="91" t="n"/>
      <c r="I500" s="91" t="n"/>
      <c r="J500" s="91" t="n"/>
      <c r="K500" s="91" t="n"/>
      <c r="L500" s="91" t="n"/>
      <c r="M500" s="91" t="n"/>
      <c r="N500" s="91" t="n"/>
      <c r="O500" s="91" t="n"/>
      <c r="P500" s="91" t="n"/>
      <c r="Q500" s="91" t="n"/>
      <c r="R500" s="91" t="n"/>
      <c r="S500" s="91" t="n"/>
      <c r="T500" s="91" t="n"/>
      <c r="U500" s="91" t="n"/>
      <c r="V500" s="91" t="n"/>
      <c r="W500" s="91" t="n"/>
      <c r="X500" s="91" t="n"/>
      <c r="Y500" s="91" t="n"/>
      <c r="Z500" s="91" t="n"/>
      <c r="AA500" s="91" t="n"/>
    </row>
    <row r="501" ht="12.75" customHeight="1" s="117">
      <c r="A501" s="91" t="n"/>
      <c r="B501" s="91" t="n"/>
      <c r="C501" s="91" t="n"/>
      <c r="D501" s="91" t="n"/>
      <c r="E501" s="91" t="n"/>
      <c r="F501" s="91" t="n"/>
      <c r="G501" s="91" t="n"/>
      <c r="H501" s="91" t="n"/>
      <c r="I501" s="91" t="n"/>
      <c r="J501" s="91" t="n"/>
      <c r="K501" s="91" t="n"/>
      <c r="L501" s="91" t="n"/>
      <c r="M501" s="91" t="n"/>
      <c r="N501" s="91" t="n"/>
      <c r="O501" s="91" t="n"/>
      <c r="P501" s="91" t="n"/>
      <c r="Q501" s="91" t="n"/>
      <c r="R501" s="91" t="n"/>
      <c r="S501" s="91" t="n"/>
      <c r="T501" s="91" t="n"/>
      <c r="U501" s="91" t="n"/>
      <c r="V501" s="91" t="n"/>
      <c r="W501" s="91" t="n"/>
      <c r="X501" s="91" t="n"/>
      <c r="Y501" s="91" t="n"/>
      <c r="Z501" s="91" t="n"/>
      <c r="AA501" s="91" t="n"/>
    </row>
    <row r="502" ht="12.75" customHeight="1" s="117">
      <c r="A502" s="91" t="n"/>
      <c r="B502" s="91" t="n"/>
      <c r="C502" s="91" t="n"/>
      <c r="D502" s="91" t="n"/>
      <c r="E502" s="91" t="n"/>
      <c r="F502" s="91" t="n"/>
      <c r="G502" s="91" t="n"/>
      <c r="H502" s="91" t="n"/>
      <c r="I502" s="91" t="n"/>
      <c r="J502" s="91" t="n"/>
      <c r="K502" s="91" t="n"/>
      <c r="L502" s="91" t="n"/>
      <c r="M502" s="91" t="n"/>
      <c r="N502" s="91" t="n"/>
      <c r="O502" s="91" t="n"/>
      <c r="P502" s="91" t="n"/>
      <c r="Q502" s="91" t="n"/>
      <c r="R502" s="91" t="n"/>
      <c r="S502" s="91" t="n"/>
      <c r="T502" s="91" t="n"/>
      <c r="U502" s="91" t="n"/>
      <c r="V502" s="91" t="n"/>
      <c r="W502" s="91" t="n"/>
      <c r="X502" s="91" t="n"/>
      <c r="Y502" s="91" t="n"/>
      <c r="Z502" s="91" t="n"/>
      <c r="AA502" s="91" t="n"/>
    </row>
    <row r="503" ht="12.75" customHeight="1" s="117">
      <c r="A503" s="91" t="n"/>
      <c r="B503" s="91" t="n"/>
      <c r="C503" s="91" t="n"/>
      <c r="D503" s="91" t="n"/>
      <c r="E503" s="91" t="n"/>
      <c r="F503" s="91" t="n"/>
      <c r="G503" s="91" t="n"/>
      <c r="H503" s="91" t="n"/>
      <c r="I503" s="91" t="n"/>
      <c r="J503" s="91" t="n"/>
      <c r="K503" s="91" t="n"/>
      <c r="L503" s="91" t="n"/>
      <c r="M503" s="91" t="n"/>
      <c r="N503" s="91" t="n"/>
      <c r="O503" s="91" t="n"/>
      <c r="P503" s="91" t="n"/>
      <c r="Q503" s="91" t="n"/>
      <c r="R503" s="91" t="n"/>
      <c r="S503" s="91" t="n"/>
      <c r="T503" s="91" t="n"/>
      <c r="U503" s="91" t="n"/>
      <c r="V503" s="91" t="n"/>
      <c r="W503" s="91" t="n"/>
      <c r="X503" s="91" t="n"/>
      <c r="Y503" s="91" t="n"/>
      <c r="Z503" s="91" t="n"/>
      <c r="AA503" s="91" t="n"/>
    </row>
    <row r="504" ht="12.75" customHeight="1" s="117">
      <c r="A504" s="91" t="n"/>
      <c r="B504" s="91" t="n"/>
      <c r="C504" s="91" t="n"/>
      <c r="D504" s="91" t="n"/>
      <c r="E504" s="91" t="n"/>
      <c r="F504" s="91" t="n"/>
      <c r="G504" s="91" t="n"/>
      <c r="H504" s="91" t="n"/>
      <c r="I504" s="91" t="n"/>
      <c r="J504" s="91" t="n"/>
      <c r="K504" s="91" t="n"/>
      <c r="L504" s="91" t="n"/>
      <c r="M504" s="91" t="n"/>
      <c r="N504" s="91" t="n"/>
      <c r="O504" s="91" t="n"/>
      <c r="P504" s="91" t="n"/>
      <c r="Q504" s="91" t="n"/>
      <c r="R504" s="91" t="n"/>
      <c r="S504" s="91" t="n"/>
      <c r="T504" s="91" t="n"/>
      <c r="U504" s="91" t="n"/>
      <c r="V504" s="91" t="n"/>
      <c r="W504" s="91" t="n"/>
      <c r="X504" s="91" t="n"/>
      <c r="Y504" s="91" t="n"/>
      <c r="Z504" s="91" t="n"/>
      <c r="AA504" s="91" t="n"/>
    </row>
    <row r="505" ht="12.75" customHeight="1" s="117">
      <c r="A505" s="91" t="n"/>
      <c r="B505" s="91" t="n"/>
      <c r="C505" s="91" t="n"/>
      <c r="D505" s="91" t="n"/>
      <c r="E505" s="91" t="n"/>
      <c r="F505" s="91" t="n"/>
      <c r="G505" s="91" t="n"/>
      <c r="H505" s="91" t="n"/>
      <c r="I505" s="91" t="n"/>
      <c r="J505" s="91" t="n"/>
      <c r="K505" s="91" t="n"/>
      <c r="L505" s="91" t="n"/>
      <c r="M505" s="91" t="n"/>
      <c r="N505" s="91" t="n"/>
      <c r="O505" s="91" t="n"/>
      <c r="P505" s="91" t="n"/>
      <c r="Q505" s="91" t="n"/>
      <c r="R505" s="91" t="n"/>
      <c r="S505" s="91" t="n"/>
      <c r="T505" s="91" t="n"/>
      <c r="U505" s="91" t="n"/>
      <c r="V505" s="91" t="n"/>
      <c r="W505" s="91" t="n"/>
      <c r="X505" s="91" t="n"/>
      <c r="Y505" s="91" t="n"/>
      <c r="Z505" s="91" t="n"/>
      <c r="AA505" s="91" t="n"/>
    </row>
    <row r="506" ht="12.75" customHeight="1" s="117">
      <c r="A506" s="91" t="n"/>
      <c r="B506" s="91" t="n"/>
      <c r="C506" s="91" t="n"/>
      <c r="D506" s="91" t="n"/>
      <c r="E506" s="91" t="n"/>
      <c r="F506" s="91" t="n"/>
      <c r="G506" s="91" t="n"/>
      <c r="H506" s="91" t="n"/>
      <c r="I506" s="91" t="n"/>
      <c r="J506" s="91" t="n"/>
      <c r="K506" s="91" t="n"/>
      <c r="L506" s="91" t="n"/>
      <c r="M506" s="91" t="n"/>
      <c r="N506" s="91" t="n"/>
      <c r="O506" s="91" t="n"/>
      <c r="P506" s="91" t="n"/>
      <c r="Q506" s="91" t="n"/>
      <c r="R506" s="91" t="n"/>
      <c r="S506" s="91" t="n"/>
      <c r="T506" s="91" t="n"/>
      <c r="U506" s="91" t="n"/>
      <c r="V506" s="91" t="n"/>
      <c r="W506" s="91" t="n"/>
      <c r="X506" s="91" t="n"/>
      <c r="Y506" s="91" t="n"/>
      <c r="Z506" s="91" t="n"/>
      <c r="AA506" s="91" t="n"/>
    </row>
    <row r="507" ht="12.75" customHeight="1" s="117">
      <c r="A507" s="91" t="n"/>
      <c r="B507" s="91" t="n"/>
      <c r="C507" s="91" t="n"/>
      <c r="D507" s="91" t="n"/>
      <c r="E507" s="91" t="n"/>
      <c r="F507" s="91" t="n"/>
      <c r="G507" s="91" t="n"/>
      <c r="H507" s="91" t="n"/>
      <c r="I507" s="91" t="n"/>
      <c r="J507" s="91" t="n"/>
      <c r="K507" s="91" t="n"/>
      <c r="L507" s="91" t="n"/>
      <c r="M507" s="91" t="n"/>
      <c r="N507" s="91" t="n"/>
      <c r="O507" s="91" t="n"/>
      <c r="P507" s="91" t="n"/>
      <c r="Q507" s="91" t="n"/>
      <c r="R507" s="91" t="n"/>
      <c r="S507" s="91" t="n"/>
      <c r="T507" s="91" t="n"/>
      <c r="U507" s="91" t="n"/>
      <c r="V507" s="91" t="n"/>
      <c r="W507" s="91" t="n"/>
      <c r="X507" s="91" t="n"/>
      <c r="Y507" s="91" t="n"/>
      <c r="Z507" s="91" t="n"/>
      <c r="AA507" s="91" t="n"/>
    </row>
    <row r="508" ht="12.75" customHeight="1" s="117">
      <c r="A508" s="91" t="n"/>
      <c r="B508" s="91" t="n"/>
      <c r="C508" s="91" t="n"/>
      <c r="D508" s="91" t="n"/>
      <c r="E508" s="91" t="n"/>
      <c r="F508" s="91" t="n"/>
      <c r="G508" s="91" t="n"/>
      <c r="H508" s="91" t="n"/>
      <c r="I508" s="91" t="n"/>
      <c r="J508" s="91" t="n"/>
      <c r="K508" s="91" t="n"/>
      <c r="L508" s="91" t="n"/>
      <c r="M508" s="91" t="n"/>
      <c r="N508" s="91" t="n"/>
      <c r="O508" s="91" t="n"/>
      <c r="P508" s="91" t="n"/>
      <c r="Q508" s="91" t="n"/>
      <c r="R508" s="91" t="n"/>
      <c r="S508" s="91" t="n"/>
      <c r="T508" s="91" t="n"/>
      <c r="U508" s="91" t="n"/>
      <c r="V508" s="91" t="n"/>
      <c r="W508" s="91" t="n"/>
      <c r="X508" s="91" t="n"/>
      <c r="Y508" s="91" t="n"/>
      <c r="Z508" s="91" t="n"/>
      <c r="AA508" s="91" t="n"/>
    </row>
    <row r="509" ht="12.75" customHeight="1" s="117">
      <c r="A509" s="91" t="n"/>
      <c r="B509" s="91" t="n"/>
      <c r="C509" s="91" t="n"/>
      <c r="D509" s="91" t="n"/>
      <c r="E509" s="91" t="n"/>
      <c r="F509" s="91" t="n"/>
      <c r="G509" s="91" t="n"/>
      <c r="H509" s="91" t="n"/>
      <c r="I509" s="91" t="n"/>
      <c r="J509" s="91" t="n"/>
      <c r="K509" s="91" t="n"/>
      <c r="L509" s="91" t="n"/>
      <c r="M509" s="91" t="n"/>
      <c r="N509" s="91" t="n"/>
      <c r="O509" s="91" t="n"/>
      <c r="P509" s="91" t="n"/>
      <c r="Q509" s="91" t="n"/>
      <c r="R509" s="91" t="n"/>
      <c r="S509" s="91" t="n"/>
      <c r="T509" s="91" t="n"/>
      <c r="U509" s="91" t="n"/>
      <c r="V509" s="91" t="n"/>
      <c r="W509" s="91" t="n"/>
      <c r="X509" s="91" t="n"/>
      <c r="Y509" s="91" t="n"/>
      <c r="Z509" s="91" t="n"/>
      <c r="AA509" s="91" t="n"/>
    </row>
    <row r="510" ht="12.75" customHeight="1" s="117">
      <c r="A510" s="91" t="n"/>
      <c r="B510" s="91" t="n"/>
      <c r="C510" s="91" t="n"/>
      <c r="D510" s="91" t="n"/>
      <c r="E510" s="91" t="n"/>
      <c r="F510" s="91" t="n"/>
      <c r="G510" s="91" t="n"/>
      <c r="H510" s="91" t="n"/>
      <c r="I510" s="91" t="n"/>
      <c r="J510" s="91" t="n"/>
      <c r="K510" s="91" t="n"/>
      <c r="L510" s="91" t="n"/>
      <c r="M510" s="91" t="n"/>
      <c r="N510" s="91" t="n"/>
      <c r="O510" s="91" t="n"/>
      <c r="P510" s="91" t="n"/>
      <c r="Q510" s="91" t="n"/>
      <c r="R510" s="91" t="n"/>
      <c r="S510" s="91" t="n"/>
      <c r="T510" s="91" t="n"/>
      <c r="U510" s="91" t="n"/>
      <c r="V510" s="91" t="n"/>
      <c r="W510" s="91" t="n"/>
      <c r="X510" s="91" t="n"/>
      <c r="Y510" s="91" t="n"/>
      <c r="Z510" s="91" t="n"/>
      <c r="AA510" s="91" t="n"/>
    </row>
    <row r="511" ht="12.75" customHeight="1" s="117">
      <c r="A511" s="91" t="n"/>
      <c r="B511" s="91" t="n"/>
      <c r="C511" s="91" t="n"/>
      <c r="D511" s="91" t="n"/>
      <c r="E511" s="91" t="n"/>
      <c r="F511" s="91" t="n"/>
      <c r="G511" s="91" t="n"/>
      <c r="H511" s="91" t="n"/>
      <c r="I511" s="91" t="n"/>
      <c r="J511" s="91" t="n"/>
      <c r="K511" s="91" t="n"/>
      <c r="L511" s="91" t="n"/>
      <c r="M511" s="91" t="n"/>
      <c r="N511" s="91" t="n"/>
      <c r="O511" s="91" t="n"/>
      <c r="P511" s="91" t="n"/>
      <c r="Q511" s="91" t="n"/>
      <c r="R511" s="91" t="n"/>
      <c r="S511" s="91" t="n"/>
      <c r="T511" s="91" t="n"/>
      <c r="U511" s="91" t="n"/>
      <c r="V511" s="91" t="n"/>
      <c r="W511" s="91" t="n"/>
      <c r="X511" s="91" t="n"/>
      <c r="Y511" s="91" t="n"/>
      <c r="Z511" s="91" t="n"/>
      <c r="AA511" s="91" t="n"/>
    </row>
    <row r="512" ht="12.75" customHeight="1" s="117">
      <c r="A512" s="91" t="n"/>
      <c r="B512" s="91" t="n"/>
      <c r="C512" s="91" t="n"/>
      <c r="D512" s="91" t="n"/>
      <c r="E512" s="91" t="n"/>
      <c r="F512" s="91" t="n"/>
      <c r="G512" s="91" t="n"/>
      <c r="H512" s="91" t="n"/>
      <c r="I512" s="91" t="n"/>
      <c r="J512" s="91" t="n"/>
      <c r="K512" s="91" t="n"/>
      <c r="L512" s="91" t="n"/>
      <c r="M512" s="91" t="n"/>
      <c r="N512" s="91" t="n"/>
      <c r="O512" s="91" t="n"/>
      <c r="P512" s="91" t="n"/>
      <c r="Q512" s="91" t="n"/>
      <c r="R512" s="91" t="n"/>
      <c r="S512" s="91" t="n"/>
      <c r="T512" s="91" t="n"/>
      <c r="U512" s="91" t="n"/>
      <c r="V512" s="91" t="n"/>
      <c r="W512" s="91" t="n"/>
      <c r="X512" s="91" t="n"/>
      <c r="Y512" s="91" t="n"/>
      <c r="Z512" s="91" t="n"/>
      <c r="AA512" s="91" t="n"/>
    </row>
    <row r="513" ht="12.75" customHeight="1" s="117">
      <c r="A513" s="91" t="n"/>
      <c r="B513" s="91" t="n"/>
      <c r="C513" s="91" t="n"/>
      <c r="D513" s="91" t="n"/>
      <c r="E513" s="91" t="n"/>
      <c r="F513" s="91" t="n"/>
      <c r="G513" s="91" t="n"/>
      <c r="H513" s="91" t="n"/>
      <c r="I513" s="91" t="n"/>
      <c r="J513" s="91" t="n"/>
      <c r="K513" s="91" t="n"/>
      <c r="L513" s="91" t="n"/>
      <c r="M513" s="91" t="n"/>
      <c r="N513" s="91" t="n"/>
      <c r="O513" s="91" t="n"/>
      <c r="P513" s="91" t="n"/>
      <c r="Q513" s="91" t="n"/>
      <c r="R513" s="91" t="n"/>
      <c r="S513" s="91" t="n"/>
      <c r="T513" s="91" t="n"/>
      <c r="U513" s="91" t="n"/>
      <c r="V513" s="91" t="n"/>
      <c r="W513" s="91" t="n"/>
      <c r="X513" s="91" t="n"/>
      <c r="Y513" s="91" t="n"/>
      <c r="Z513" s="91" t="n"/>
      <c r="AA513" s="91" t="n"/>
    </row>
    <row r="514" ht="12.75" customHeight="1" s="117">
      <c r="A514" s="91" t="n"/>
      <c r="B514" s="91" t="n"/>
      <c r="C514" s="91" t="n"/>
      <c r="D514" s="91" t="n"/>
      <c r="E514" s="91" t="n"/>
      <c r="F514" s="91" t="n"/>
      <c r="G514" s="91" t="n"/>
      <c r="H514" s="91" t="n"/>
      <c r="I514" s="91" t="n"/>
      <c r="J514" s="91" t="n"/>
      <c r="K514" s="91" t="n"/>
      <c r="L514" s="91" t="n"/>
      <c r="M514" s="91" t="n"/>
      <c r="N514" s="91" t="n"/>
      <c r="O514" s="91" t="n"/>
      <c r="P514" s="91" t="n"/>
      <c r="Q514" s="91" t="n"/>
      <c r="R514" s="91" t="n"/>
      <c r="S514" s="91" t="n"/>
      <c r="T514" s="91" t="n"/>
      <c r="U514" s="91" t="n"/>
      <c r="V514" s="91" t="n"/>
      <c r="W514" s="91" t="n"/>
      <c r="X514" s="91" t="n"/>
      <c r="Y514" s="91" t="n"/>
      <c r="Z514" s="91" t="n"/>
      <c r="AA514" s="91" t="n"/>
    </row>
    <row r="515" ht="12.75" customHeight="1" s="117">
      <c r="A515" s="91" t="n"/>
      <c r="B515" s="91" t="n"/>
      <c r="C515" s="91" t="n"/>
      <c r="D515" s="91" t="n"/>
      <c r="E515" s="91" t="n"/>
      <c r="F515" s="91" t="n"/>
      <c r="G515" s="91" t="n"/>
      <c r="H515" s="91" t="n"/>
      <c r="I515" s="91" t="n"/>
      <c r="J515" s="91" t="n"/>
      <c r="K515" s="91" t="n"/>
      <c r="L515" s="91" t="n"/>
      <c r="M515" s="91" t="n"/>
      <c r="N515" s="91" t="n"/>
      <c r="O515" s="91" t="n"/>
      <c r="P515" s="91" t="n"/>
      <c r="Q515" s="91" t="n"/>
      <c r="R515" s="91" t="n"/>
      <c r="S515" s="91" t="n"/>
      <c r="T515" s="91" t="n"/>
      <c r="U515" s="91" t="n"/>
      <c r="V515" s="91" t="n"/>
      <c r="W515" s="91" t="n"/>
      <c r="X515" s="91" t="n"/>
      <c r="Y515" s="91" t="n"/>
      <c r="Z515" s="91" t="n"/>
      <c r="AA515" s="91" t="n"/>
    </row>
    <row r="516" ht="12.75" customHeight="1" s="117">
      <c r="A516" s="91" t="n"/>
      <c r="B516" s="91" t="n"/>
      <c r="C516" s="91" t="n"/>
      <c r="D516" s="91" t="n"/>
      <c r="E516" s="91" t="n"/>
      <c r="F516" s="91" t="n"/>
      <c r="G516" s="91" t="n"/>
      <c r="H516" s="91" t="n"/>
      <c r="I516" s="91" t="n"/>
      <c r="J516" s="91" t="n"/>
      <c r="K516" s="91" t="n"/>
      <c r="L516" s="91" t="n"/>
      <c r="M516" s="91" t="n"/>
      <c r="N516" s="91" t="n"/>
      <c r="O516" s="91" t="n"/>
      <c r="P516" s="91" t="n"/>
      <c r="Q516" s="91" t="n"/>
      <c r="R516" s="91" t="n"/>
      <c r="S516" s="91" t="n"/>
      <c r="T516" s="91" t="n"/>
      <c r="U516" s="91" t="n"/>
      <c r="V516" s="91" t="n"/>
      <c r="W516" s="91" t="n"/>
      <c r="X516" s="91" t="n"/>
      <c r="Y516" s="91" t="n"/>
      <c r="Z516" s="91" t="n"/>
      <c r="AA516" s="91" t="n"/>
    </row>
    <row r="517" ht="12.75" customHeight="1" s="117">
      <c r="A517" s="91" t="n"/>
      <c r="B517" s="91" t="n"/>
      <c r="C517" s="91" t="n"/>
      <c r="D517" s="91" t="n"/>
      <c r="E517" s="91" t="n"/>
      <c r="F517" s="91" t="n"/>
      <c r="G517" s="91" t="n"/>
      <c r="H517" s="91" t="n"/>
      <c r="I517" s="91" t="n"/>
      <c r="J517" s="91" t="n"/>
      <c r="K517" s="91" t="n"/>
      <c r="L517" s="91" t="n"/>
      <c r="M517" s="91" t="n"/>
      <c r="N517" s="91" t="n"/>
      <c r="O517" s="91" t="n"/>
      <c r="P517" s="91" t="n"/>
      <c r="Q517" s="91" t="n"/>
      <c r="R517" s="91" t="n"/>
      <c r="S517" s="91" t="n"/>
      <c r="T517" s="91" t="n"/>
      <c r="U517" s="91" t="n"/>
      <c r="V517" s="91" t="n"/>
      <c r="W517" s="91" t="n"/>
      <c r="X517" s="91" t="n"/>
      <c r="Y517" s="91" t="n"/>
      <c r="Z517" s="91" t="n"/>
      <c r="AA517" s="91" t="n"/>
    </row>
    <row r="518" ht="12.75" customHeight="1" s="117">
      <c r="A518" s="91" t="n"/>
      <c r="B518" s="91" t="n"/>
      <c r="C518" s="91" t="n"/>
      <c r="D518" s="91" t="n"/>
      <c r="E518" s="91" t="n"/>
      <c r="F518" s="91" t="n"/>
      <c r="G518" s="91" t="n"/>
      <c r="H518" s="91" t="n"/>
      <c r="I518" s="91" t="n"/>
      <c r="J518" s="91" t="n"/>
      <c r="K518" s="91" t="n"/>
      <c r="L518" s="91" t="n"/>
      <c r="M518" s="91" t="n"/>
      <c r="N518" s="91" t="n"/>
      <c r="O518" s="91" t="n"/>
      <c r="P518" s="91" t="n"/>
      <c r="Q518" s="91" t="n"/>
      <c r="R518" s="91" t="n"/>
      <c r="S518" s="91" t="n"/>
      <c r="T518" s="91" t="n"/>
      <c r="U518" s="91" t="n"/>
      <c r="V518" s="91" t="n"/>
      <c r="W518" s="91" t="n"/>
      <c r="X518" s="91" t="n"/>
      <c r="Y518" s="91" t="n"/>
      <c r="Z518" s="91" t="n"/>
      <c r="AA518" s="91" t="n"/>
    </row>
    <row r="519" ht="12.75" customHeight="1" s="117">
      <c r="A519" s="91" t="n"/>
      <c r="B519" s="91" t="n"/>
      <c r="C519" s="91" t="n"/>
      <c r="D519" s="91" t="n"/>
      <c r="E519" s="91" t="n"/>
      <c r="F519" s="91" t="n"/>
      <c r="G519" s="91" t="n"/>
      <c r="H519" s="91" t="n"/>
      <c r="I519" s="91" t="n"/>
      <c r="J519" s="91" t="n"/>
      <c r="K519" s="91" t="n"/>
      <c r="L519" s="91" t="n"/>
      <c r="M519" s="91" t="n"/>
      <c r="N519" s="91" t="n"/>
      <c r="O519" s="91" t="n"/>
      <c r="P519" s="91" t="n"/>
      <c r="Q519" s="91" t="n"/>
      <c r="R519" s="91" t="n"/>
      <c r="S519" s="91" t="n"/>
      <c r="T519" s="91" t="n"/>
      <c r="U519" s="91" t="n"/>
      <c r="V519" s="91" t="n"/>
      <c r="W519" s="91" t="n"/>
      <c r="X519" s="91" t="n"/>
      <c r="Y519" s="91" t="n"/>
      <c r="Z519" s="91" t="n"/>
      <c r="AA519" s="91" t="n"/>
    </row>
    <row r="520" ht="12.75" customHeight="1" s="117">
      <c r="A520" s="91" t="n"/>
      <c r="B520" s="91" t="n"/>
      <c r="C520" s="91" t="n"/>
      <c r="D520" s="91" t="n"/>
      <c r="E520" s="91" t="n"/>
      <c r="F520" s="91" t="n"/>
      <c r="G520" s="91" t="n"/>
      <c r="H520" s="91" t="n"/>
      <c r="I520" s="91" t="n"/>
      <c r="J520" s="91" t="n"/>
      <c r="K520" s="91" t="n"/>
      <c r="L520" s="91" t="n"/>
      <c r="M520" s="91" t="n"/>
      <c r="N520" s="91" t="n"/>
      <c r="O520" s="91" t="n"/>
      <c r="P520" s="91" t="n"/>
      <c r="Q520" s="91" t="n"/>
      <c r="R520" s="91" t="n"/>
      <c r="S520" s="91" t="n"/>
      <c r="T520" s="91" t="n"/>
      <c r="U520" s="91" t="n"/>
      <c r="V520" s="91" t="n"/>
      <c r="W520" s="91" t="n"/>
      <c r="X520" s="91" t="n"/>
      <c r="Y520" s="91" t="n"/>
      <c r="Z520" s="91" t="n"/>
      <c r="AA520" s="91" t="n"/>
    </row>
    <row r="521" ht="12.75" customHeight="1" s="117">
      <c r="A521" s="91" t="n"/>
      <c r="B521" s="91" t="n"/>
      <c r="C521" s="91" t="n"/>
      <c r="D521" s="91" t="n"/>
      <c r="E521" s="91" t="n"/>
      <c r="F521" s="91" t="n"/>
      <c r="G521" s="91" t="n"/>
      <c r="H521" s="91" t="n"/>
      <c r="I521" s="91" t="n"/>
      <c r="J521" s="91" t="n"/>
      <c r="K521" s="91" t="n"/>
      <c r="L521" s="91" t="n"/>
      <c r="M521" s="91" t="n"/>
      <c r="N521" s="91" t="n"/>
      <c r="O521" s="91" t="n"/>
      <c r="P521" s="91" t="n"/>
      <c r="Q521" s="91" t="n"/>
      <c r="R521" s="91" t="n"/>
      <c r="S521" s="91" t="n"/>
      <c r="T521" s="91" t="n"/>
      <c r="U521" s="91" t="n"/>
      <c r="V521" s="91" t="n"/>
      <c r="W521" s="91" t="n"/>
      <c r="X521" s="91" t="n"/>
      <c r="Y521" s="91" t="n"/>
      <c r="Z521" s="91" t="n"/>
      <c r="AA521" s="91" t="n"/>
    </row>
    <row r="522" ht="12.75" customHeight="1" s="117">
      <c r="A522" s="91" t="n"/>
      <c r="B522" s="91" t="n"/>
      <c r="C522" s="91" t="n"/>
      <c r="D522" s="91" t="n"/>
      <c r="E522" s="91" t="n"/>
      <c r="F522" s="91" t="n"/>
      <c r="G522" s="91" t="n"/>
      <c r="H522" s="91" t="n"/>
      <c r="I522" s="91" t="n"/>
      <c r="J522" s="91" t="n"/>
      <c r="K522" s="91" t="n"/>
      <c r="L522" s="91" t="n"/>
      <c r="M522" s="91" t="n"/>
      <c r="N522" s="91" t="n"/>
      <c r="O522" s="91" t="n"/>
      <c r="P522" s="91" t="n"/>
      <c r="Q522" s="91" t="n"/>
      <c r="R522" s="91" t="n"/>
      <c r="S522" s="91" t="n"/>
      <c r="T522" s="91" t="n"/>
      <c r="U522" s="91" t="n"/>
      <c r="V522" s="91" t="n"/>
      <c r="W522" s="91" t="n"/>
      <c r="X522" s="91" t="n"/>
      <c r="Y522" s="91" t="n"/>
      <c r="Z522" s="91" t="n"/>
      <c r="AA522" s="91" t="n"/>
    </row>
    <row r="523" ht="12.75" customHeight="1" s="117">
      <c r="A523" s="91" t="n"/>
      <c r="B523" s="91" t="n"/>
      <c r="C523" s="91" t="n"/>
      <c r="D523" s="91" t="n"/>
      <c r="E523" s="91" t="n"/>
      <c r="F523" s="91" t="n"/>
      <c r="G523" s="91" t="n"/>
      <c r="H523" s="91" t="n"/>
      <c r="I523" s="91" t="n"/>
      <c r="J523" s="91" t="n"/>
      <c r="K523" s="91" t="n"/>
      <c r="L523" s="91" t="n"/>
      <c r="M523" s="91" t="n"/>
      <c r="N523" s="91" t="n"/>
      <c r="O523" s="91" t="n"/>
      <c r="P523" s="91" t="n"/>
      <c r="Q523" s="91" t="n"/>
      <c r="R523" s="91" t="n"/>
      <c r="S523" s="91" t="n"/>
      <c r="T523" s="91" t="n"/>
      <c r="U523" s="91" t="n"/>
      <c r="V523" s="91" t="n"/>
      <c r="W523" s="91" t="n"/>
      <c r="X523" s="91" t="n"/>
      <c r="Y523" s="91" t="n"/>
      <c r="Z523" s="91" t="n"/>
      <c r="AA523" s="91" t="n"/>
    </row>
    <row r="524" ht="12.75" customHeight="1" s="117">
      <c r="A524" s="91" t="n"/>
      <c r="B524" s="91" t="n"/>
      <c r="C524" s="91" t="n"/>
      <c r="D524" s="91" t="n"/>
      <c r="E524" s="91" t="n"/>
      <c r="F524" s="91" t="n"/>
      <c r="G524" s="91" t="n"/>
      <c r="H524" s="91" t="n"/>
      <c r="I524" s="91" t="n"/>
      <c r="J524" s="91" t="n"/>
      <c r="K524" s="91" t="n"/>
      <c r="L524" s="91" t="n"/>
      <c r="M524" s="91" t="n"/>
      <c r="N524" s="91" t="n"/>
      <c r="O524" s="91" t="n"/>
      <c r="P524" s="91" t="n"/>
      <c r="Q524" s="91" t="n"/>
      <c r="R524" s="91" t="n"/>
      <c r="S524" s="91" t="n"/>
      <c r="T524" s="91" t="n"/>
      <c r="U524" s="91" t="n"/>
      <c r="V524" s="91" t="n"/>
      <c r="W524" s="91" t="n"/>
      <c r="X524" s="91" t="n"/>
      <c r="Y524" s="91" t="n"/>
      <c r="Z524" s="91" t="n"/>
      <c r="AA524" s="91" t="n"/>
    </row>
    <row r="525" ht="12.75" customHeight="1" s="117">
      <c r="A525" s="91" t="n"/>
      <c r="B525" s="91" t="n"/>
      <c r="C525" s="91" t="n"/>
      <c r="D525" s="91" t="n"/>
      <c r="E525" s="91" t="n"/>
      <c r="F525" s="91" t="n"/>
      <c r="G525" s="91" t="n"/>
      <c r="H525" s="91" t="n"/>
      <c r="I525" s="91" t="n"/>
      <c r="J525" s="91" t="n"/>
      <c r="K525" s="91" t="n"/>
      <c r="L525" s="91" t="n"/>
      <c r="M525" s="91" t="n"/>
      <c r="N525" s="91" t="n"/>
      <c r="O525" s="91" t="n"/>
      <c r="P525" s="91" t="n"/>
      <c r="Q525" s="91" t="n"/>
      <c r="R525" s="91" t="n"/>
      <c r="S525" s="91" t="n"/>
      <c r="T525" s="91" t="n"/>
      <c r="U525" s="91" t="n"/>
      <c r="V525" s="91" t="n"/>
      <c r="W525" s="91" t="n"/>
      <c r="X525" s="91" t="n"/>
      <c r="Y525" s="91" t="n"/>
      <c r="Z525" s="91" t="n"/>
      <c r="AA525" s="91" t="n"/>
    </row>
    <row r="526" ht="12.75" customHeight="1" s="117">
      <c r="A526" s="91" t="n"/>
      <c r="B526" s="91" t="n"/>
      <c r="C526" s="91" t="n"/>
      <c r="D526" s="91" t="n"/>
      <c r="E526" s="91" t="n"/>
      <c r="F526" s="91" t="n"/>
      <c r="G526" s="91" t="n"/>
      <c r="H526" s="91" t="n"/>
      <c r="I526" s="91" t="n"/>
      <c r="J526" s="91" t="n"/>
      <c r="K526" s="91" t="n"/>
      <c r="L526" s="91" t="n"/>
      <c r="M526" s="91" t="n"/>
      <c r="N526" s="91" t="n"/>
      <c r="O526" s="91" t="n"/>
      <c r="P526" s="91" t="n"/>
      <c r="Q526" s="91" t="n"/>
      <c r="R526" s="91" t="n"/>
      <c r="S526" s="91" t="n"/>
      <c r="T526" s="91" t="n"/>
      <c r="U526" s="91" t="n"/>
      <c r="V526" s="91" t="n"/>
      <c r="W526" s="91" t="n"/>
      <c r="X526" s="91" t="n"/>
      <c r="Y526" s="91" t="n"/>
      <c r="Z526" s="91" t="n"/>
      <c r="AA526" s="91" t="n"/>
    </row>
    <row r="527" ht="12.75" customHeight="1" s="117">
      <c r="A527" s="91" t="n"/>
      <c r="B527" s="91" t="n"/>
      <c r="C527" s="91" t="n"/>
      <c r="D527" s="91" t="n"/>
      <c r="E527" s="91" t="n"/>
      <c r="F527" s="91" t="n"/>
      <c r="G527" s="91" t="n"/>
      <c r="H527" s="91" t="n"/>
      <c r="I527" s="91" t="n"/>
      <c r="J527" s="91" t="n"/>
      <c r="K527" s="91" t="n"/>
      <c r="L527" s="91" t="n"/>
      <c r="M527" s="91" t="n"/>
      <c r="N527" s="91" t="n"/>
      <c r="O527" s="91" t="n"/>
      <c r="P527" s="91" t="n"/>
      <c r="Q527" s="91" t="n"/>
      <c r="R527" s="91" t="n"/>
      <c r="S527" s="91" t="n"/>
      <c r="T527" s="91" t="n"/>
      <c r="U527" s="91" t="n"/>
      <c r="V527" s="91" t="n"/>
      <c r="W527" s="91" t="n"/>
      <c r="X527" s="91" t="n"/>
      <c r="Y527" s="91" t="n"/>
      <c r="Z527" s="91" t="n"/>
      <c r="AA527" s="91" t="n"/>
    </row>
    <row r="528" ht="12.75" customHeight="1" s="117">
      <c r="A528" s="91" t="n"/>
      <c r="B528" s="91" t="n"/>
      <c r="C528" s="91" t="n"/>
      <c r="D528" s="91" t="n"/>
      <c r="E528" s="91" t="n"/>
      <c r="F528" s="91" t="n"/>
      <c r="G528" s="91" t="n"/>
      <c r="H528" s="91" t="n"/>
      <c r="I528" s="91" t="n"/>
      <c r="J528" s="91" t="n"/>
      <c r="K528" s="91" t="n"/>
      <c r="L528" s="91" t="n"/>
      <c r="M528" s="91" t="n"/>
      <c r="N528" s="91" t="n"/>
      <c r="O528" s="91" t="n"/>
      <c r="P528" s="91" t="n"/>
      <c r="Q528" s="91" t="n"/>
      <c r="R528" s="91" t="n"/>
      <c r="S528" s="91" t="n"/>
      <c r="T528" s="91" t="n"/>
      <c r="U528" s="91" t="n"/>
      <c r="V528" s="91" t="n"/>
      <c r="W528" s="91" t="n"/>
      <c r="X528" s="91" t="n"/>
      <c r="Y528" s="91" t="n"/>
      <c r="Z528" s="91" t="n"/>
      <c r="AA528" s="91" t="n"/>
    </row>
    <row r="529" ht="12.75" customHeight="1" s="117">
      <c r="A529" s="91" t="n"/>
      <c r="B529" s="91" t="n"/>
      <c r="C529" s="91" t="n"/>
      <c r="D529" s="91" t="n"/>
      <c r="E529" s="91" t="n"/>
      <c r="F529" s="91" t="n"/>
      <c r="G529" s="91" t="n"/>
      <c r="H529" s="91" t="n"/>
      <c r="I529" s="91" t="n"/>
      <c r="J529" s="91" t="n"/>
      <c r="K529" s="91" t="n"/>
      <c r="L529" s="91" t="n"/>
      <c r="M529" s="91" t="n"/>
      <c r="N529" s="91" t="n"/>
      <c r="O529" s="91" t="n"/>
      <c r="P529" s="91" t="n"/>
      <c r="Q529" s="91" t="n"/>
      <c r="R529" s="91" t="n"/>
      <c r="S529" s="91" t="n"/>
      <c r="T529" s="91" t="n"/>
      <c r="U529" s="91" t="n"/>
      <c r="V529" s="91" t="n"/>
      <c r="W529" s="91" t="n"/>
      <c r="X529" s="91" t="n"/>
      <c r="Y529" s="91" t="n"/>
      <c r="Z529" s="91" t="n"/>
      <c r="AA529" s="91" t="n"/>
    </row>
    <row r="530" ht="12.75" customHeight="1" s="117">
      <c r="A530" s="91" t="n"/>
      <c r="B530" s="91" t="n"/>
      <c r="C530" s="91" t="n"/>
      <c r="D530" s="91" t="n"/>
      <c r="E530" s="91" t="n"/>
      <c r="F530" s="91" t="n"/>
      <c r="G530" s="91" t="n"/>
      <c r="H530" s="91" t="n"/>
      <c r="I530" s="91" t="n"/>
      <c r="J530" s="91" t="n"/>
      <c r="K530" s="91" t="n"/>
      <c r="L530" s="91" t="n"/>
      <c r="M530" s="91" t="n"/>
      <c r="N530" s="91" t="n"/>
      <c r="O530" s="91" t="n"/>
      <c r="P530" s="91" t="n"/>
      <c r="Q530" s="91" t="n"/>
      <c r="R530" s="91" t="n"/>
      <c r="S530" s="91" t="n"/>
      <c r="T530" s="91" t="n"/>
      <c r="U530" s="91" t="n"/>
      <c r="V530" s="91" t="n"/>
      <c r="W530" s="91" t="n"/>
      <c r="X530" s="91" t="n"/>
      <c r="Y530" s="91" t="n"/>
      <c r="Z530" s="91" t="n"/>
      <c r="AA530" s="91" t="n"/>
    </row>
    <row r="531" ht="12.75" customHeight="1" s="117">
      <c r="A531" s="91" t="n"/>
      <c r="B531" s="91" t="n"/>
      <c r="C531" s="91" t="n"/>
      <c r="D531" s="91" t="n"/>
      <c r="E531" s="91" t="n"/>
      <c r="F531" s="91" t="n"/>
      <c r="G531" s="91" t="n"/>
      <c r="H531" s="91" t="n"/>
      <c r="I531" s="91" t="n"/>
      <c r="J531" s="91" t="n"/>
      <c r="K531" s="91" t="n"/>
      <c r="L531" s="91" t="n"/>
      <c r="M531" s="91" t="n"/>
      <c r="N531" s="91" t="n"/>
      <c r="O531" s="91" t="n"/>
      <c r="P531" s="91" t="n"/>
      <c r="Q531" s="91" t="n"/>
      <c r="R531" s="91" t="n"/>
      <c r="S531" s="91" t="n"/>
      <c r="T531" s="91" t="n"/>
      <c r="U531" s="91" t="n"/>
      <c r="V531" s="91" t="n"/>
      <c r="W531" s="91" t="n"/>
      <c r="X531" s="91" t="n"/>
      <c r="Y531" s="91" t="n"/>
      <c r="Z531" s="91" t="n"/>
      <c r="AA531" s="91" t="n"/>
    </row>
    <row r="532" ht="12.75" customHeight="1" s="117">
      <c r="A532" s="91" t="n"/>
      <c r="B532" s="91" t="n"/>
      <c r="C532" s="91" t="n"/>
      <c r="D532" s="91" t="n"/>
      <c r="E532" s="91" t="n"/>
      <c r="F532" s="91" t="n"/>
      <c r="G532" s="91" t="n"/>
      <c r="H532" s="91" t="n"/>
      <c r="I532" s="91" t="n"/>
      <c r="J532" s="91" t="n"/>
      <c r="K532" s="91" t="n"/>
      <c r="L532" s="91" t="n"/>
      <c r="M532" s="91" t="n"/>
      <c r="N532" s="91" t="n"/>
      <c r="O532" s="91" t="n"/>
      <c r="P532" s="91" t="n"/>
      <c r="Q532" s="91" t="n"/>
      <c r="R532" s="91" t="n"/>
      <c r="S532" s="91" t="n"/>
      <c r="T532" s="91" t="n"/>
      <c r="U532" s="91" t="n"/>
      <c r="V532" s="91" t="n"/>
      <c r="W532" s="91" t="n"/>
      <c r="X532" s="91" t="n"/>
      <c r="Y532" s="91" t="n"/>
      <c r="Z532" s="91" t="n"/>
      <c r="AA532" s="91" t="n"/>
    </row>
    <row r="533" ht="12.75" customHeight="1" s="117">
      <c r="A533" s="91" t="n"/>
      <c r="B533" s="91" t="n"/>
      <c r="C533" s="91" t="n"/>
      <c r="D533" s="91" t="n"/>
      <c r="E533" s="91" t="n"/>
      <c r="F533" s="91" t="n"/>
      <c r="G533" s="91" t="n"/>
      <c r="H533" s="91" t="n"/>
      <c r="I533" s="91" t="n"/>
      <c r="J533" s="91" t="n"/>
      <c r="K533" s="91" t="n"/>
      <c r="L533" s="91" t="n"/>
      <c r="M533" s="91" t="n"/>
      <c r="N533" s="91" t="n"/>
      <c r="O533" s="91" t="n"/>
      <c r="P533" s="91" t="n"/>
      <c r="Q533" s="91" t="n"/>
      <c r="R533" s="91" t="n"/>
      <c r="S533" s="91" t="n"/>
      <c r="T533" s="91" t="n"/>
      <c r="U533" s="91" t="n"/>
      <c r="V533" s="91" t="n"/>
      <c r="W533" s="91" t="n"/>
      <c r="X533" s="91" t="n"/>
      <c r="Y533" s="91" t="n"/>
      <c r="Z533" s="91" t="n"/>
      <c r="AA533" s="91" t="n"/>
    </row>
    <row r="534" ht="12.75" customHeight="1" s="117">
      <c r="A534" s="91" t="n"/>
      <c r="B534" s="91" t="n"/>
      <c r="C534" s="91" t="n"/>
      <c r="D534" s="91" t="n"/>
      <c r="E534" s="91" t="n"/>
      <c r="F534" s="91" t="n"/>
      <c r="G534" s="91" t="n"/>
      <c r="H534" s="91" t="n"/>
      <c r="I534" s="91" t="n"/>
      <c r="J534" s="91" t="n"/>
      <c r="K534" s="91" t="n"/>
      <c r="L534" s="91" t="n"/>
      <c r="M534" s="91" t="n"/>
      <c r="N534" s="91" t="n"/>
      <c r="O534" s="91" t="n"/>
      <c r="P534" s="91" t="n"/>
      <c r="Q534" s="91" t="n"/>
      <c r="R534" s="91" t="n"/>
      <c r="S534" s="91" t="n"/>
      <c r="T534" s="91" t="n"/>
      <c r="U534" s="91" t="n"/>
      <c r="V534" s="91" t="n"/>
      <c r="W534" s="91" t="n"/>
      <c r="X534" s="91" t="n"/>
      <c r="Y534" s="91" t="n"/>
      <c r="Z534" s="91" t="n"/>
      <c r="AA534" s="91" t="n"/>
    </row>
    <row r="535" ht="12.75" customHeight="1" s="117">
      <c r="A535" s="91" t="n"/>
      <c r="B535" s="91" t="n"/>
      <c r="C535" s="91" t="n"/>
      <c r="D535" s="91" t="n"/>
      <c r="E535" s="91" t="n"/>
      <c r="F535" s="91" t="n"/>
      <c r="G535" s="91" t="n"/>
      <c r="H535" s="91" t="n"/>
      <c r="I535" s="91" t="n"/>
      <c r="J535" s="91" t="n"/>
      <c r="K535" s="91" t="n"/>
      <c r="L535" s="91" t="n"/>
      <c r="M535" s="91" t="n"/>
      <c r="N535" s="91" t="n"/>
      <c r="O535" s="91" t="n"/>
      <c r="P535" s="91" t="n"/>
      <c r="Q535" s="91" t="n"/>
      <c r="R535" s="91" t="n"/>
      <c r="S535" s="91" t="n"/>
      <c r="T535" s="91" t="n"/>
      <c r="U535" s="91" t="n"/>
      <c r="V535" s="91" t="n"/>
      <c r="W535" s="91" t="n"/>
      <c r="X535" s="91" t="n"/>
      <c r="Y535" s="91" t="n"/>
      <c r="Z535" s="91" t="n"/>
      <c r="AA535" s="91" t="n"/>
    </row>
    <row r="536" ht="12.75" customHeight="1" s="117">
      <c r="A536" s="91" t="n"/>
      <c r="B536" s="91" t="n"/>
      <c r="C536" s="91" t="n"/>
      <c r="D536" s="91" t="n"/>
      <c r="E536" s="91" t="n"/>
      <c r="F536" s="91" t="n"/>
      <c r="G536" s="91" t="n"/>
      <c r="H536" s="91" t="n"/>
      <c r="I536" s="91" t="n"/>
      <c r="J536" s="91" t="n"/>
      <c r="K536" s="91" t="n"/>
      <c r="L536" s="91" t="n"/>
      <c r="M536" s="91" t="n"/>
      <c r="N536" s="91" t="n"/>
      <c r="O536" s="91" t="n"/>
      <c r="P536" s="91" t="n"/>
      <c r="Q536" s="91" t="n"/>
      <c r="R536" s="91" t="n"/>
      <c r="S536" s="91" t="n"/>
      <c r="T536" s="91" t="n"/>
      <c r="U536" s="91" t="n"/>
      <c r="V536" s="91" t="n"/>
      <c r="W536" s="91" t="n"/>
      <c r="X536" s="91" t="n"/>
      <c r="Y536" s="91" t="n"/>
      <c r="Z536" s="91" t="n"/>
      <c r="AA536" s="91" t="n"/>
    </row>
    <row r="537" ht="12.75" customHeight="1" s="117">
      <c r="A537" s="91" t="n"/>
      <c r="B537" s="91" t="n"/>
      <c r="C537" s="91" t="n"/>
      <c r="D537" s="91" t="n"/>
      <c r="E537" s="91" t="n"/>
      <c r="F537" s="91" t="n"/>
      <c r="G537" s="91" t="n"/>
      <c r="H537" s="91" t="n"/>
      <c r="I537" s="91" t="n"/>
      <c r="J537" s="91" t="n"/>
      <c r="K537" s="91" t="n"/>
      <c r="L537" s="91" t="n"/>
      <c r="M537" s="91" t="n"/>
      <c r="N537" s="91" t="n"/>
      <c r="O537" s="91" t="n"/>
      <c r="P537" s="91" t="n"/>
      <c r="Q537" s="91" t="n"/>
      <c r="R537" s="91" t="n"/>
      <c r="S537" s="91" t="n"/>
      <c r="T537" s="91" t="n"/>
      <c r="U537" s="91" t="n"/>
      <c r="V537" s="91" t="n"/>
      <c r="W537" s="91" t="n"/>
      <c r="X537" s="91" t="n"/>
      <c r="Y537" s="91" t="n"/>
      <c r="Z537" s="91" t="n"/>
      <c r="AA537" s="91" t="n"/>
    </row>
    <row r="538" ht="12.75" customHeight="1" s="117">
      <c r="A538" s="91" t="n"/>
      <c r="B538" s="91" t="n"/>
      <c r="C538" s="91" t="n"/>
      <c r="D538" s="91" t="n"/>
      <c r="E538" s="91" t="n"/>
      <c r="F538" s="91" t="n"/>
      <c r="G538" s="91" t="n"/>
      <c r="H538" s="91" t="n"/>
      <c r="I538" s="91" t="n"/>
      <c r="J538" s="91" t="n"/>
      <c r="K538" s="91" t="n"/>
      <c r="L538" s="91" t="n"/>
      <c r="M538" s="91" t="n"/>
      <c r="N538" s="91" t="n"/>
      <c r="O538" s="91" t="n"/>
      <c r="P538" s="91" t="n"/>
      <c r="Q538" s="91" t="n"/>
      <c r="R538" s="91" t="n"/>
      <c r="S538" s="91" t="n"/>
      <c r="T538" s="91" t="n"/>
      <c r="U538" s="91" t="n"/>
      <c r="V538" s="91" t="n"/>
      <c r="W538" s="91" t="n"/>
      <c r="X538" s="91" t="n"/>
      <c r="Y538" s="91" t="n"/>
      <c r="Z538" s="91" t="n"/>
      <c r="AA538" s="91" t="n"/>
    </row>
    <row r="539" ht="12.75" customHeight="1" s="117">
      <c r="A539" s="91" t="n"/>
      <c r="B539" s="91" t="n"/>
      <c r="C539" s="91" t="n"/>
      <c r="D539" s="91" t="n"/>
      <c r="E539" s="91" t="n"/>
      <c r="F539" s="91" t="n"/>
      <c r="G539" s="91" t="n"/>
      <c r="H539" s="91" t="n"/>
      <c r="I539" s="91" t="n"/>
      <c r="J539" s="91" t="n"/>
      <c r="K539" s="91" t="n"/>
      <c r="L539" s="91" t="n"/>
      <c r="M539" s="91" t="n"/>
      <c r="N539" s="91" t="n"/>
      <c r="O539" s="91" t="n"/>
      <c r="P539" s="91" t="n"/>
      <c r="Q539" s="91" t="n"/>
      <c r="R539" s="91" t="n"/>
      <c r="S539" s="91" t="n"/>
      <c r="T539" s="91" t="n"/>
      <c r="U539" s="91" t="n"/>
      <c r="V539" s="91" t="n"/>
      <c r="W539" s="91" t="n"/>
      <c r="X539" s="91" t="n"/>
      <c r="Y539" s="91" t="n"/>
      <c r="Z539" s="91" t="n"/>
      <c r="AA539" s="91" t="n"/>
    </row>
    <row r="540" ht="12.75" customHeight="1" s="117">
      <c r="A540" s="91" t="n"/>
      <c r="B540" s="91" t="n"/>
      <c r="C540" s="91" t="n"/>
      <c r="D540" s="91" t="n"/>
      <c r="E540" s="91" t="n"/>
      <c r="F540" s="91" t="n"/>
      <c r="G540" s="91" t="n"/>
      <c r="H540" s="91" t="n"/>
      <c r="I540" s="91" t="n"/>
      <c r="J540" s="91" t="n"/>
      <c r="K540" s="91" t="n"/>
      <c r="L540" s="91" t="n"/>
      <c r="M540" s="91" t="n"/>
      <c r="N540" s="91" t="n"/>
      <c r="O540" s="91" t="n"/>
      <c r="P540" s="91" t="n"/>
      <c r="Q540" s="91" t="n"/>
      <c r="R540" s="91" t="n"/>
      <c r="S540" s="91" t="n"/>
      <c r="T540" s="91" t="n"/>
      <c r="U540" s="91" t="n"/>
      <c r="V540" s="91" t="n"/>
      <c r="W540" s="91" t="n"/>
      <c r="X540" s="91" t="n"/>
      <c r="Y540" s="91" t="n"/>
      <c r="Z540" s="91" t="n"/>
      <c r="AA540" s="91" t="n"/>
    </row>
    <row r="541" ht="12.75" customHeight="1" s="117">
      <c r="A541" s="91" t="n"/>
      <c r="B541" s="91" t="n"/>
      <c r="C541" s="91" t="n"/>
      <c r="D541" s="91" t="n"/>
      <c r="E541" s="91" t="n"/>
      <c r="F541" s="91" t="n"/>
      <c r="G541" s="91" t="n"/>
      <c r="H541" s="91" t="n"/>
      <c r="I541" s="91" t="n"/>
      <c r="J541" s="91" t="n"/>
      <c r="K541" s="91" t="n"/>
      <c r="L541" s="91" t="n"/>
      <c r="M541" s="91" t="n"/>
      <c r="N541" s="91" t="n"/>
      <c r="O541" s="91" t="n"/>
      <c r="P541" s="91" t="n"/>
      <c r="Q541" s="91" t="n"/>
      <c r="R541" s="91" t="n"/>
      <c r="S541" s="91" t="n"/>
      <c r="T541" s="91" t="n"/>
      <c r="U541" s="91" t="n"/>
      <c r="V541" s="91" t="n"/>
      <c r="W541" s="91" t="n"/>
      <c r="X541" s="91" t="n"/>
      <c r="Y541" s="91" t="n"/>
      <c r="Z541" s="91" t="n"/>
      <c r="AA541" s="91" t="n"/>
    </row>
    <row r="542" ht="12.75" customHeight="1" s="117">
      <c r="A542" s="91" t="n"/>
      <c r="B542" s="91" t="n"/>
      <c r="C542" s="91" t="n"/>
      <c r="D542" s="91" t="n"/>
      <c r="E542" s="91" t="n"/>
      <c r="F542" s="91" t="n"/>
      <c r="G542" s="91" t="n"/>
      <c r="H542" s="91" t="n"/>
      <c r="I542" s="91" t="n"/>
      <c r="J542" s="91" t="n"/>
      <c r="K542" s="91" t="n"/>
      <c r="L542" s="91" t="n"/>
      <c r="M542" s="91" t="n"/>
      <c r="N542" s="91" t="n"/>
      <c r="O542" s="91" t="n"/>
      <c r="P542" s="91" t="n"/>
      <c r="Q542" s="91" t="n"/>
      <c r="R542" s="91" t="n"/>
      <c r="S542" s="91" t="n"/>
      <c r="T542" s="91" t="n"/>
      <c r="U542" s="91" t="n"/>
      <c r="V542" s="91" t="n"/>
      <c r="W542" s="91" t="n"/>
      <c r="X542" s="91" t="n"/>
      <c r="Y542" s="91" t="n"/>
      <c r="Z542" s="91" t="n"/>
      <c r="AA542" s="91" t="n"/>
    </row>
    <row r="543" ht="12.75" customHeight="1" s="117">
      <c r="A543" s="91" t="n"/>
      <c r="B543" s="91" t="n"/>
      <c r="C543" s="91" t="n"/>
      <c r="D543" s="91" t="n"/>
      <c r="E543" s="91" t="n"/>
      <c r="F543" s="91" t="n"/>
      <c r="G543" s="91" t="n"/>
      <c r="H543" s="91" t="n"/>
      <c r="I543" s="91" t="n"/>
      <c r="J543" s="91" t="n"/>
      <c r="K543" s="91" t="n"/>
      <c r="L543" s="91" t="n"/>
      <c r="M543" s="91" t="n"/>
      <c r="N543" s="91" t="n"/>
      <c r="O543" s="91" t="n"/>
      <c r="P543" s="91" t="n"/>
      <c r="Q543" s="91" t="n"/>
      <c r="R543" s="91" t="n"/>
      <c r="S543" s="91" t="n"/>
      <c r="T543" s="91" t="n"/>
      <c r="U543" s="91" t="n"/>
      <c r="V543" s="91" t="n"/>
      <c r="W543" s="91" t="n"/>
      <c r="X543" s="91" t="n"/>
      <c r="Y543" s="91" t="n"/>
      <c r="Z543" s="91" t="n"/>
      <c r="AA543" s="91" t="n"/>
    </row>
    <row r="544" ht="12.75" customHeight="1" s="117">
      <c r="A544" s="91" t="n"/>
      <c r="B544" s="91" t="n"/>
      <c r="C544" s="91" t="n"/>
      <c r="D544" s="91" t="n"/>
      <c r="E544" s="91" t="n"/>
      <c r="F544" s="91" t="n"/>
      <c r="G544" s="91" t="n"/>
      <c r="H544" s="91" t="n"/>
      <c r="I544" s="91" t="n"/>
      <c r="J544" s="91" t="n"/>
      <c r="K544" s="91" t="n"/>
      <c r="L544" s="91" t="n"/>
      <c r="M544" s="91" t="n"/>
      <c r="N544" s="91" t="n"/>
      <c r="O544" s="91" t="n"/>
      <c r="P544" s="91" t="n"/>
      <c r="Q544" s="91" t="n"/>
      <c r="R544" s="91" t="n"/>
      <c r="S544" s="91" t="n"/>
      <c r="T544" s="91" t="n"/>
      <c r="U544" s="91" t="n"/>
      <c r="V544" s="91" t="n"/>
      <c r="W544" s="91" t="n"/>
      <c r="X544" s="91" t="n"/>
      <c r="Y544" s="91" t="n"/>
      <c r="Z544" s="91" t="n"/>
      <c r="AA544" s="91" t="n"/>
    </row>
    <row r="545" ht="12.75" customHeight="1" s="117">
      <c r="A545" s="91" t="n"/>
      <c r="B545" s="91" t="n"/>
      <c r="C545" s="91" t="n"/>
      <c r="D545" s="91" t="n"/>
      <c r="E545" s="91" t="n"/>
      <c r="F545" s="91" t="n"/>
      <c r="G545" s="91" t="n"/>
      <c r="H545" s="91" t="n"/>
      <c r="I545" s="91" t="n"/>
      <c r="J545" s="91" t="n"/>
      <c r="K545" s="91" t="n"/>
      <c r="L545" s="91" t="n"/>
      <c r="M545" s="91" t="n"/>
      <c r="N545" s="91" t="n"/>
      <c r="O545" s="91" t="n"/>
      <c r="P545" s="91" t="n"/>
      <c r="Q545" s="91" t="n"/>
      <c r="R545" s="91" t="n"/>
      <c r="S545" s="91" t="n"/>
      <c r="T545" s="91" t="n"/>
      <c r="U545" s="91" t="n"/>
      <c r="V545" s="91" t="n"/>
      <c r="W545" s="91" t="n"/>
      <c r="X545" s="91" t="n"/>
      <c r="Y545" s="91" t="n"/>
      <c r="Z545" s="91" t="n"/>
      <c r="AA545" s="91" t="n"/>
    </row>
    <row r="546" ht="12.75" customHeight="1" s="117">
      <c r="A546" s="91" t="n"/>
      <c r="B546" s="91" t="n"/>
      <c r="C546" s="91" t="n"/>
      <c r="D546" s="91" t="n"/>
      <c r="E546" s="91" t="n"/>
      <c r="F546" s="91" t="n"/>
      <c r="G546" s="91" t="n"/>
      <c r="H546" s="91" t="n"/>
      <c r="I546" s="91" t="n"/>
      <c r="J546" s="91" t="n"/>
      <c r="K546" s="91" t="n"/>
      <c r="L546" s="91" t="n"/>
      <c r="M546" s="91" t="n"/>
      <c r="N546" s="91" t="n"/>
      <c r="O546" s="91" t="n"/>
      <c r="P546" s="91" t="n"/>
      <c r="Q546" s="91" t="n"/>
      <c r="R546" s="91" t="n"/>
      <c r="S546" s="91" t="n"/>
      <c r="T546" s="91" t="n"/>
      <c r="U546" s="91" t="n"/>
      <c r="V546" s="91" t="n"/>
      <c r="W546" s="91" t="n"/>
      <c r="X546" s="91" t="n"/>
      <c r="Y546" s="91" t="n"/>
      <c r="Z546" s="91" t="n"/>
      <c r="AA546" s="91" t="n"/>
    </row>
    <row r="547" ht="12.75" customHeight="1" s="117">
      <c r="A547" s="91" t="n"/>
      <c r="B547" s="91" t="n"/>
      <c r="C547" s="91" t="n"/>
      <c r="D547" s="91" t="n"/>
      <c r="E547" s="91" t="n"/>
      <c r="F547" s="91" t="n"/>
      <c r="G547" s="91" t="n"/>
      <c r="H547" s="91" t="n"/>
      <c r="I547" s="91" t="n"/>
      <c r="J547" s="91" t="n"/>
      <c r="K547" s="91" t="n"/>
      <c r="L547" s="91" t="n"/>
      <c r="M547" s="91" t="n"/>
      <c r="N547" s="91" t="n"/>
      <c r="O547" s="91" t="n"/>
      <c r="P547" s="91" t="n"/>
      <c r="Q547" s="91" t="n"/>
      <c r="R547" s="91" t="n"/>
      <c r="S547" s="91" t="n"/>
      <c r="T547" s="91" t="n"/>
      <c r="U547" s="91" t="n"/>
      <c r="V547" s="91" t="n"/>
      <c r="W547" s="91" t="n"/>
      <c r="X547" s="91" t="n"/>
      <c r="Y547" s="91" t="n"/>
      <c r="Z547" s="91" t="n"/>
      <c r="AA547" s="91" t="n"/>
    </row>
    <row r="548" ht="12.75" customHeight="1" s="117">
      <c r="A548" s="91" t="n"/>
      <c r="B548" s="91" t="n"/>
      <c r="C548" s="91" t="n"/>
      <c r="D548" s="91" t="n"/>
      <c r="E548" s="91" t="n"/>
      <c r="F548" s="91" t="n"/>
      <c r="G548" s="91" t="n"/>
      <c r="H548" s="91" t="n"/>
      <c r="I548" s="91" t="n"/>
      <c r="J548" s="91" t="n"/>
      <c r="K548" s="91" t="n"/>
      <c r="L548" s="91" t="n"/>
      <c r="M548" s="91" t="n"/>
      <c r="N548" s="91" t="n"/>
      <c r="O548" s="91" t="n"/>
      <c r="P548" s="91" t="n"/>
      <c r="Q548" s="91" t="n"/>
      <c r="R548" s="91" t="n"/>
      <c r="S548" s="91" t="n"/>
      <c r="T548" s="91" t="n"/>
      <c r="U548" s="91" t="n"/>
      <c r="V548" s="91" t="n"/>
      <c r="W548" s="91" t="n"/>
      <c r="X548" s="91" t="n"/>
      <c r="Y548" s="91" t="n"/>
      <c r="Z548" s="91" t="n"/>
      <c r="AA548" s="91" t="n"/>
    </row>
    <row r="549" ht="12.75" customHeight="1" s="117">
      <c r="A549" s="91" t="n"/>
      <c r="B549" s="91" t="n"/>
      <c r="C549" s="91" t="n"/>
      <c r="D549" s="91" t="n"/>
      <c r="E549" s="91" t="n"/>
      <c r="F549" s="91" t="n"/>
      <c r="G549" s="91" t="n"/>
      <c r="H549" s="91" t="n"/>
      <c r="I549" s="91" t="n"/>
      <c r="J549" s="91" t="n"/>
      <c r="K549" s="91" t="n"/>
      <c r="L549" s="91" t="n"/>
      <c r="M549" s="91" t="n"/>
      <c r="N549" s="91" t="n"/>
      <c r="O549" s="91" t="n"/>
      <c r="P549" s="91" t="n"/>
      <c r="Q549" s="91" t="n"/>
      <c r="R549" s="91" t="n"/>
      <c r="S549" s="91" t="n"/>
      <c r="T549" s="91" t="n"/>
      <c r="U549" s="91" t="n"/>
      <c r="V549" s="91" t="n"/>
      <c r="W549" s="91" t="n"/>
      <c r="X549" s="91" t="n"/>
      <c r="Y549" s="91" t="n"/>
      <c r="Z549" s="91" t="n"/>
      <c r="AA549" s="91" t="n"/>
    </row>
    <row r="550" ht="12.75" customHeight="1" s="117">
      <c r="A550" s="91" t="n"/>
      <c r="B550" s="91" t="n"/>
      <c r="C550" s="91" t="n"/>
      <c r="D550" s="91" t="n"/>
      <c r="E550" s="91" t="n"/>
      <c r="F550" s="91" t="n"/>
      <c r="G550" s="91" t="n"/>
      <c r="H550" s="91" t="n"/>
      <c r="I550" s="91" t="n"/>
      <c r="J550" s="91" t="n"/>
      <c r="K550" s="91" t="n"/>
      <c r="L550" s="91" t="n"/>
      <c r="M550" s="91" t="n"/>
      <c r="N550" s="91" t="n"/>
      <c r="O550" s="91" t="n"/>
      <c r="P550" s="91" t="n"/>
      <c r="Q550" s="91" t="n"/>
      <c r="R550" s="91" t="n"/>
      <c r="S550" s="91" t="n"/>
      <c r="T550" s="91" t="n"/>
      <c r="U550" s="91" t="n"/>
      <c r="V550" s="91" t="n"/>
      <c r="W550" s="91" t="n"/>
      <c r="X550" s="91" t="n"/>
      <c r="Y550" s="91" t="n"/>
      <c r="Z550" s="91" t="n"/>
      <c r="AA550" s="91" t="n"/>
    </row>
    <row r="551" ht="12.75" customHeight="1" s="117">
      <c r="A551" s="91" t="n"/>
      <c r="B551" s="91" t="n"/>
      <c r="C551" s="91" t="n"/>
      <c r="D551" s="91" t="n"/>
      <c r="E551" s="91" t="n"/>
      <c r="F551" s="91" t="n"/>
      <c r="G551" s="91" t="n"/>
      <c r="H551" s="91" t="n"/>
      <c r="I551" s="91" t="n"/>
      <c r="J551" s="91" t="n"/>
      <c r="K551" s="91" t="n"/>
      <c r="L551" s="91" t="n"/>
      <c r="M551" s="91" t="n"/>
      <c r="N551" s="91" t="n"/>
      <c r="O551" s="91" t="n"/>
      <c r="P551" s="91" t="n"/>
      <c r="Q551" s="91" t="n"/>
      <c r="R551" s="91" t="n"/>
      <c r="S551" s="91" t="n"/>
      <c r="T551" s="91" t="n"/>
      <c r="U551" s="91" t="n"/>
      <c r="V551" s="91" t="n"/>
      <c r="W551" s="91" t="n"/>
      <c r="X551" s="91" t="n"/>
      <c r="Y551" s="91" t="n"/>
      <c r="Z551" s="91" t="n"/>
      <c r="AA551" s="91" t="n"/>
    </row>
    <row r="552" ht="12.75" customHeight="1" s="117">
      <c r="A552" s="91" t="n"/>
      <c r="B552" s="91" t="n"/>
      <c r="C552" s="91" t="n"/>
      <c r="D552" s="91" t="n"/>
      <c r="E552" s="91" t="n"/>
      <c r="F552" s="91" t="n"/>
      <c r="G552" s="91" t="n"/>
      <c r="H552" s="91" t="n"/>
      <c r="I552" s="91" t="n"/>
      <c r="J552" s="91" t="n"/>
      <c r="K552" s="91" t="n"/>
      <c r="L552" s="91" t="n"/>
      <c r="M552" s="91" t="n"/>
      <c r="N552" s="91" t="n"/>
      <c r="O552" s="91" t="n"/>
      <c r="P552" s="91" t="n"/>
      <c r="Q552" s="91" t="n"/>
      <c r="R552" s="91" t="n"/>
      <c r="S552" s="91" t="n"/>
      <c r="T552" s="91" t="n"/>
      <c r="U552" s="91" t="n"/>
      <c r="V552" s="91" t="n"/>
      <c r="W552" s="91" t="n"/>
      <c r="X552" s="91" t="n"/>
      <c r="Y552" s="91" t="n"/>
      <c r="Z552" s="91" t="n"/>
      <c r="AA552" s="91" t="n"/>
    </row>
    <row r="553" ht="12.75" customHeight="1" s="117">
      <c r="A553" s="91" t="n"/>
      <c r="B553" s="91" t="n"/>
      <c r="C553" s="91" t="n"/>
      <c r="D553" s="91" t="n"/>
      <c r="E553" s="91" t="n"/>
      <c r="F553" s="91" t="n"/>
      <c r="G553" s="91" t="n"/>
      <c r="H553" s="91" t="n"/>
      <c r="I553" s="91" t="n"/>
      <c r="J553" s="91" t="n"/>
      <c r="K553" s="91" t="n"/>
      <c r="L553" s="91" t="n"/>
      <c r="M553" s="91" t="n"/>
      <c r="N553" s="91" t="n"/>
      <c r="O553" s="91" t="n"/>
      <c r="P553" s="91" t="n"/>
      <c r="Q553" s="91" t="n"/>
      <c r="R553" s="91" t="n"/>
      <c r="S553" s="91" t="n"/>
      <c r="T553" s="91" t="n"/>
      <c r="U553" s="91" t="n"/>
      <c r="V553" s="91" t="n"/>
      <c r="W553" s="91" t="n"/>
      <c r="X553" s="91" t="n"/>
      <c r="Y553" s="91" t="n"/>
      <c r="Z553" s="91" t="n"/>
      <c r="AA553" s="91" t="n"/>
    </row>
    <row r="554" ht="12.75" customHeight="1" s="117">
      <c r="A554" s="91" t="n"/>
      <c r="B554" s="91" t="n"/>
      <c r="C554" s="91" t="n"/>
      <c r="D554" s="91" t="n"/>
      <c r="E554" s="91" t="n"/>
      <c r="F554" s="91" t="n"/>
      <c r="G554" s="91" t="n"/>
      <c r="H554" s="91" t="n"/>
      <c r="I554" s="91" t="n"/>
      <c r="J554" s="91" t="n"/>
      <c r="K554" s="91" t="n"/>
      <c r="L554" s="91" t="n"/>
      <c r="M554" s="91" t="n"/>
      <c r="N554" s="91" t="n"/>
      <c r="O554" s="91" t="n"/>
      <c r="P554" s="91" t="n"/>
      <c r="Q554" s="91" t="n"/>
      <c r="R554" s="91" t="n"/>
      <c r="S554" s="91" t="n"/>
      <c r="T554" s="91" t="n"/>
      <c r="U554" s="91" t="n"/>
      <c r="V554" s="91" t="n"/>
      <c r="W554" s="91" t="n"/>
      <c r="X554" s="91" t="n"/>
      <c r="Y554" s="91" t="n"/>
      <c r="Z554" s="91" t="n"/>
      <c r="AA554" s="91" t="n"/>
    </row>
    <row r="555" ht="12.75" customHeight="1" s="117">
      <c r="A555" s="91" t="n"/>
      <c r="B555" s="91" t="n"/>
      <c r="C555" s="91" t="n"/>
      <c r="D555" s="91" t="n"/>
      <c r="E555" s="91" t="n"/>
      <c r="F555" s="91" t="n"/>
      <c r="G555" s="91" t="n"/>
      <c r="H555" s="91" t="n"/>
      <c r="I555" s="91" t="n"/>
      <c r="J555" s="91" t="n"/>
      <c r="K555" s="91" t="n"/>
      <c r="L555" s="91" t="n"/>
      <c r="M555" s="91" t="n"/>
      <c r="N555" s="91" t="n"/>
      <c r="O555" s="91" t="n"/>
      <c r="P555" s="91" t="n"/>
      <c r="Q555" s="91" t="n"/>
      <c r="R555" s="91" t="n"/>
      <c r="S555" s="91" t="n"/>
      <c r="T555" s="91" t="n"/>
      <c r="U555" s="91" t="n"/>
      <c r="V555" s="91" t="n"/>
      <c r="W555" s="91" t="n"/>
      <c r="X555" s="91" t="n"/>
      <c r="Y555" s="91" t="n"/>
      <c r="Z555" s="91" t="n"/>
      <c r="AA555" s="91" t="n"/>
    </row>
    <row r="556" ht="12.75" customHeight="1" s="117">
      <c r="A556" s="91" t="n"/>
      <c r="B556" s="91" t="n"/>
      <c r="C556" s="91" t="n"/>
      <c r="D556" s="91" t="n"/>
      <c r="E556" s="91" t="n"/>
      <c r="F556" s="91" t="n"/>
      <c r="G556" s="91" t="n"/>
      <c r="H556" s="91" t="n"/>
      <c r="I556" s="91" t="n"/>
      <c r="J556" s="91" t="n"/>
      <c r="K556" s="91" t="n"/>
      <c r="L556" s="91" t="n"/>
      <c r="M556" s="91" t="n"/>
      <c r="N556" s="91" t="n"/>
      <c r="O556" s="91" t="n"/>
      <c r="P556" s="91" t="n"/>
      <c r="Q556" s="91" t="n"/>
      <c r="R556" s="91" t="n"/>
      <c r="S556" s="91" t="n"/>
      <c r="T556" s="91" t="n"/>
      <c r="U556" s="91" t="n"/>
      <c r="V556" s="91" t="n"/>
      <c r="W556" s="91" t="n"/>
      <c r="X556" s="91" t="n"/>
      <c r="Y556" s="91" t="n"/>
      <c r="Z556" s="91" t="n"/>
      <c r="AA556" s="91" t="n"/>
    </row>
    <row r="557" ht="12.75" customHeight="1" s="117">
      <c r="A557" s="91" t="n"/>
      <c r="B557" s="91" t="n"/>
      <c r="C557" s="91" t="n"/>
      <c r="D557" s="91" t="n"/>
      <c r="E557" s="91" t="n"/>
      <c r="F557" s="91" t="n"/>
      <c r="G557" s="91" t="n"/>
      <c r="H557" s="91" t="n"/>
      <c r="I557" s="91" t="n"/>
      <c r="J557" s="91" t="n"/>
      <c r="K557" s="91" t="n"/>
      <c r="L557" s="91" t="n"/>
      <c r="M557" s="91" t="n"/>
      <c r="N557" s="91" t="n"/>
      <c r="O557" s="91" t="n"/>
      <c r="P557" s="91" t="n"/>
      <c r="Q557" s="91" t="n"/>
      <c r="R557" s="91" t="n"/>
      <c r="S557" s="91" t="n"/>
      <c r="T557" s="91" t="n"/>
      <c r="U557" s="91" t="n"/>
      <c r="V557" s="91" t="n"/>
      <c r="W557" s="91" t="n"/>
      <c r="X557" s="91" t="n"/>
      <c r="Y557" s="91" t="n"/>
      <c r="Z557" s="91" t="n"/>
      <c r="AA557" s="91" t="n"/>
    </row>
    <row r="558" ht="12.75" customHeight="1" s="117">
      <c r="A558" s="91" t="n"/>
      <c r="B558" s="91" t="n"/>
      <c r="C558" s="91" t="n"/>
      <c r="D558" s="91" t="n"/>
      <c r="E558" s="91" t="n"/>
      <c r="F558" s="91" t="n"/>
      <c r="G558" s="91" t="n"/>
      <c r="H558" s="91" t="n"/>
      <c r="I558" s="91" t="n"/>
      <c r="J558" s="91" t="n"/>
      <c r="K558" s="91" t="n"/>
      <c r="L558" s="91" t="n"/>
      <c r="M558" s="91" t="n"/>
      <c r="N558" s="91" t="n"/>
      <c r="O558" s="91" t="n"/>
      <c r="P558" s="91" t="n"/>
      <c r="Q558" s="91" t="n"/>
      <c r="R558" s="91" t="n"/>
      <c r="S558" s="91" t="n"/>
      <c r="T558" s="91" t="n"/>
      <c r="U558" s="91" t="n"/>
      <c r="V558" s="91" t="n"/>
      <c r="W558" s="91" t="n"/>
      <c r="X558" s="91" t="n"/>
      <c r="Y558" s="91" t="n"/>
      <c r="Z558" s="91" t="n"/>
      <c r="AA558" s="91" t="n"/>
    </row>
    <row r="559" ht="12.75" customHeight="1" s="117">
      <c r="A559" s="91" t="n"/>
      <c r="B559" s="91" t="n"/>
      <c r="C559" s="91" t="n"/>
      <c r="D559" s="91" t="n"/>
      <c r="E559" s="91" t="n"/>
      <c r="F559" s="91" t="n"/>
      <c r="G559" s="91" t="n"/>
      <c r="H559" s="91" t="n"/>
      <c r="I559" s="91" t="n"/>
      <c r="J559" s="91" t="n"/>
      <c r="K559" s="91" t="n"/>
      <c r="L559" s="91" t="n"/>
      <c r="M559" s="91" t="n"/>
      <c r="N559" s="91" t="n"/>
      <c r="O559" s="91" t="n"/>
      <c r="P559" s="91" t="n"/>
      <c r="Q559" s="91" t="n"/>
      <c r="R559" s="91" t="n"/>
      <c r="S559" s="91" t="n"/>
      <c r="T559" s="91" t="n"/>
      <c r="U559" s="91" t="n"/>
      <c r="V559" s="91" t="n"/>
      <c r="W559" s="91" t="n"/>
      <c r="X559" s="91" t="n"/>
      <c r="Y559" s="91" t="n"/>
      <c r="Z559" s="91" t="n"/>
      <c r="AA559" s="91" t="n"/>
    </row>
    <row r="560" ht="12.75" customHeight="1" s="117">
      <c r="A560" s="91" t="n"/>
      <c r="B560" s="91" t="n"/>
      <c r="C560" s="91" t="n"/>
      <c r="D560" s="91" t="n"/>
      <c r="E560" s="91" t="n"/>
      <c r="F560" s="91" t="n"/>
      <c r="G560" s="91" t="n"/>
      <c r="H560" s="91" t="n"/>
      <c r="I560" s="91" t="n"/>
      <c r="J560" s="91" t="n"/>
      <c r="K560" s="91" t="n"/>
      <c r="L560" s="91" t="n"/>
      <c r="M560" s="91" t="n"/>
      <c r="N560" s="91" t="n"/>
      <c r="O560" s="91" t="n"/>
      <c r="P560" s="91" t="n"/>
      <c r="Q560" s="91" t="n"/>
      <c r="R560" s="91" t="n"/>
      <c r="S560" s="91" t="n"/>
      <c r="T560" s="91" t="n"/>
      <c r="U560" s="91" t="n"/>
      <c r="V560" s="91" t="n"/>
      <c r="W560" s="91" t="n"/>
      <c r="X560" s="91" t="n"/>
      <c r="Y560" s="91" t="n"/>
      <c r="Z560" s="91" t="n"/>
      <c r="AA560" s="91" t="n"/>
    </row>
    <row r="561" ht="12.75" customHeight="1" s="117">
      <c r="A561" s="91" t="n"/>
      <c r="B561" s="91" t="n"/>
      <c r="C561" s="91" t="n"/>
      <c r="D561" s="91" t="n"/>
      <c r="E561" s="91" t="n"/>
      <c r="F561" s="91" t="n"/>
      <c r="G561" s="91" t="n"/>
      <c r="H561" s="91" t="n"/>
      <c r="I561" s="91" t="n"/>
      <c r="J561" s="91" t="n"/>
      <c r="K561" s="91" t="n"/>
      <c r="L561" s="91" t="n"/>
      <c r="M561" s="91" t="n"/>
      <c r="N561" s="91" t="n"/>
      <c r="O561" s="91" t="n"/>
      <c r="P561" s="91" t="n"/>
      <c r="Q561" s="91" t="n"/>
      <c r="R561" s="91" t="n"/>
      <c r="S561" s="91" t="n"/>
      <c r="T561" s="91" t="n"/>
      <c r="U561" s="91" t="n"/>
      <c r="V561" s="91" t="n"/>
      <c r="W561" s="91" t="n"/>
      <c r="X561" s="91" t="n"/>
      <c r="Y561" s="91" t="n"/>
      <c r="Z561" s="91" t="n"/>
      <c r="AA561" s="91" t="n"/>
    </row>
    <row r="562" ht="12.75" customHeight="1" s="117">
      <c r="A562" s="91" t="n"/>
      <c r="B562" s="91" t="n"/>
      <c r="C562" s="91" t="n"/>
      <c r="D562" s="91" t="n"/>
      <c r="E562" s="91" t="n"/>
      <c r="F562" s="91" t="n"/>
      <c r="G562" s="91" t="n"/>
      <c r="H562" s="91" t="n"/>
      <c r="I562" s="91" t="n"/>
      <c r="J562" s="91" t="n"/>
      <c r="K562" s="91" t="n"/>
      <c r="L562" s="91" t="n"/>
      <c r="M562" s="91" t="n"/>
      <c r="N562" s="91" t="n"/>
      <c r="O562" s="91" t="n"/>
      <c r="P562" s="91" t="n"/>
      <c r="Q562" s="91" t="n"/>
      <c r="R562" s="91" t="n"/>
      <c r="S562" s="91" t="n"/>
      <c r="T562" s="91" t="n"/>
      <c r="U562" s="91" t="n"/>
      <c r="V562" s="91" t="n"/>
      <c r="W562" s="91" t="n"/>
      <c r="X562" s="91" t="n"/>
      <c r="Y562" s="91" t="n"/>
      <c r="Z562" s="91" t="n"/>
      <c r="AA562" s="91" t="n"/>
    </row>
    <row r="563" ht="12.75" customHeight="1" s="117">
      <c r="A563" s="91" t="n"/>
      <c r="B563" s="91" t="n"/>
      <c r="C563" s="91" t="n"/>
      <c r="D563" s="91" t="n"/>
      <c r="E563" s="91" t="n"/>
      <c r="F563" s="91" t="n"/>
      <c r="G563" s="91" t="n"/>
      <c r="H563" s="91" t="n"/>
      <c r="I563" s="91" t="n"/>
      <c r="J563" s="91" t="n"/>
      <c r="K563" s="91" t="n"/>
      <c r="L563" s="91" t="n"/>
      <c r="M563" s="91" t="n"/>
      <c r="N563" s="91" t="n"/>
      <c r="O563" s="91" t="n"/>
      <c r="P563" s="91" t="n"/>
      <c r="Q563" s="91" t="n"/>
      <c r="R563" s="91" t="n"/>
      <c r="S563" s="91" t="n"/>
      <c r="T563" s="91" t="n"/>
      <c r="U563" s="91" t="n"/>
      <c r="V563" s="91" t="n"/>
      <c r="W563" s="91" t="n"/>
      <c r="X563" s="91" t="n"/>
      <c r="Y563" s="91" t="n"/>
      <c r="Z563" s="91" t="n"/>
      <c r="AA563" s="91" t="n"/>
    </row>
    <row r="564" ht="12.75" customHeight="1" s="117">
      <c r="A564" s="91" t="n"/>
      <c r="B564" s="91" t="n"/>
      <c r="C564" s="91" t="n"/>
      <c r="D564" s="91" t="n"/>
      <c r="E564" s="91" t="n"/>
      <c r="F564" s="91" t="n"/>
      <c r="G564" s="91" t="n"/>
      <c r="H564" s="91" t="n"/>
      <c r="I564" s="91" t="n"/>
      <c r="J564" s="91" t="n"/>
      <c r="K564" s="91" t="n"/>
      <c r="L564" s="91" t="n"/>
      <c r="M564" s="91" t="n"/>
      <c r="N564" s="91" t="n"/>
      <c r="O564" s="91" t="n"/>
      <c r="P564" s="91" t="n"/>
      <c r="Q564" s="91" t="n"/>
      <c r="R564" s="91" t="n"/>
      <c r="S564" s="91" t="n"/>
      <c r="T564" s="91" t="n"/>
      <c r="U564" s="91" t="n"/>
      <c r="V564" s="91" t="n"/>
      <c r="W564" s="91" t="n"/>
      <c r="X564" s="91" t="n"/>
      <c r="Y564" s="91" t="n"/>
      <c r="Z564" s="91" t="n"/>
      <c r="AA564" s="91" t="n"/>
    </row>
    <row r="565" ht="12.75" customHeight="1" s="117">
      <c r="A565" s="91" t="n"/>
      <c r="B565" s="91" t="n"/>
      <c r="C565" s="91" t="n"/>
      <c r="D565" s="91" t="n"/>
      <c r="E565" s="91" t="n"/>
      <c r="F565" s="91" t="n"/>
      <c r="G565" s="91" t="n"/>
      <c r="H565" s="91" t="n"/>
      <c r="I565" s="91" t="n"/>
      <c r="J565" s="91" t="n"/>
      <c r="K565" s="91" t="n"/>
      <c r="L565" s="91" t="n"/>
      <c r="M565" s="91" t="n"/>
      <c r="N565" s="91" t="n"/>
      <c r="O565" s="91" t="n"/>
      <c r="P565" s="91" t="n"/>
      <c r="Q565" s="91" t="n"/>
      <c r="R565" s="91" t="n"/>
      <c r="S565" s="91" t="n"/>
      <c r="T565" s="91" t="n"/>
      <c r="U565" s="91" t="n"/>
      <c r="V565" s="91" t="n"/>
      <c r="W565" s="91" t="n"/>
      <c r="X565" s="91" t="n"/>
      <c r="Y565" s="91" t="n"/>
      <c r="Z565" s="91" t="n"/>
      <c r="AA565" s="91" t="n"/>
    </row>
    <row r="566" ht="12.75" customHeight="1" s="117">
      <c r="A566" s="91" t="n"/>
      <c r="B566" s="91" t="n"/>
      <c r="C566" s="91" t="n"/>
      <c r="D566" s="91" t="n"/>
      <c r="E566" s="91" t="n"/>
      <c r="F566" s="91" t="n"/>
      <c r="G566" s="91" t="n"/>
      <c r="H566" s="91" t="n"/>
      <c r="I566" s="91" t="n"/>
      <c r="J566" s="91" t="n"/>
      <c r="K566" s="91" t="n"/>
      <c r="L566" s="91" t="n"/>
      <c r="M566" s="91" t="n"/>
      <c r="N566" s="91" t="n"/>
      <c r="O566" s="91" t="n"/>
      <c r="P566" s="91" t="n"/>
      <c r="Q566" s="91" t="n"/>
      <c r="R566" s="91" t="n"/>
      <c r="S566" s="91" t="n"/>
      <c r="T566" s="91" t="n"/>
      <c r="U566" s="91" t="n"/>
      <c r="V566" s="91" t="n"/>
      <c r="W566" s="91" t="n"/>
      <c r="X566" s="91" t="n"/>
      <c r="Y566" s="91" t="n"/>
      <c r="Z566" s="91" t="n"/>
      <c r="AA566" s="91" t="n"/>
    </row>
    <row r="567" ht="12.75" customHeight="1" s="117">
      <c r="A567" s="91" t="n"/>
      <c r="B567" s="91" t="n"/>
      <c r="C567" s="91" t="n"/>
      <c r="D567" s="91" t="n"/>
      <c r="E567" s="91" t="n"/>
      <c r="F567" s="91" t="n"/>
      <c r="G567" s="91" t="n"/>
      <c r="H567" s="91" t="n"/>
      <c r="I567" s="91" t="n"/>
      <c r="J567" s="91" t="n"/>
      <c r="K567" s="91" t="n"/>
      <c r="L567" s="91" t="n"/>
      <c r="M567" s="91" t="n"/>
      <c r="N567" s="91" t="n"/>
      <c r="O567" s="91" t="n"/>
      <c r="P567" s="91" t="n"/>
      <c r="Q567" s="91" t="n"/>
      <c r="R567" s="91" t="n"/>
      <c r="S567" s="91" t="n"/>
      <c r="T567" s="91" t="n"/>
      <c r="U567" s="91" t="n"/>
      <c r="V567" s="91" t="n"/>
      <c r="W567" s="91" t="n"/>
      <c r="X567" s="91" t="n"/>
      <c r="Y567" s="91" t="n"/>
      <c r="Z567" s="91" t="n"/>
      <c r="AA567" s="91" t="n"/>
    </row>
    <row r="568" ht="12.75" customHeight="1" s="117">
      <c r="A568" s="91" t="n"/>
      <c r="B568" s="91" t="n"/>
      <c r="C568" s="91" t="n"/>
      <c r="D568" s="91" t="n"/>
      <c r="E568" s="91" t="n"/>
      <c r="F568" s="91" t="n"/>
      <c r="G568" s="91" t="n"/>
      <c r="H568" s="91" t="n"/>
      <c r="I568" s="91" t="n"/>
      <c r="J568" s="91" t="n"/>
      <c r="K568" s="91" t="n"/>
      <c r="L568" s="91" t="n"/>
      <c r="M568" s="91" t="n"/>
      <c r="N568" s="91" t="n"/>
      <c r="O568" s="91" t="n"/>
      <c r="P568" s="91" t="n"/>
      <c r="Q568" s="91" t="n"/>
      <c r="R568" s="91" t="n"/>
      <c r="S568" s="91" t="n"/>
      <c r="T568" s="91" t="n"/>
      <c r="U568" s="91" t="n"/>
      <c r="V568" s="91" t="n"/>
      <c r="W568" s="91" t="n"/>
      <c r="X568" s="91" t="n"/>
      <c r="Y568" s="91" t="n"/>
      <c r="Z568" s="91" t="n"/>
      <c r="AA568" s="91" t="n"/>
    </row>
    <row r="569" ht="12.75" customHeight="1" s="117">
      <c r="A569" s="91" t="n"/>
      <c r="B569" s="91" t="n"/>
      <c r="C569" s="91" t="n"/>
      <c r="D569" s="91" t="n"/>
      <c r="E569" s="91" t="n"/>
      <c r="F569" s="91" t="n"/>
      <c r="G569" s="91" t="n"/>
      <c r="H569" s="91" t="n"/>
      <c r="I569" s="91" t="n"/>
      <c r="J569" s="91" t="n"/>
      <c r="K569" s="91" t="n"/>
      <c r="L569" s="91" t="n"/>
      <c r="M569" s="91" t="n"/>
      <c r="N569" s="91" t="n"/>
      <c r="O569" s="91" t="n"/>
      <c r="P569" s="91" t="n"/>
      <c r="Q569" s="91" t="n"/>
      <c r="R569" s="91" t="n"/>
      <c r="S569" s="91" t="n"/>
      <c r="T569" s="91" t="n"/>
      <c r="U569" s="91" t="n"/>
      <c r="V569" s="91" t="n"/>
      <c r="W569" s="91" t="n"/>
      <c r="X569" s="91" t="n"/>
      <c r="Y569" s="91" t="n"/>
      <c r="Z569" s="91" t="n"/>
      <c r="AA569" s="91" t="n"/>
    </row>
    <row r="570" ht="12.75" customHeight="1" s="117">
      <c r="A570" s="91" t="n"/>
      <c r="B570" s="91" t="n"/>
      <c r="C570" s="91" t="n"/>
      <c r="D570" s="91" t="n"/>
      <c r="E570" s="91" t="n"/>
      <c r="F570" s="91" t="n"/>
      <c r="G570" s="91" t="n"/>
      <c r="H570" s="91" t="n"/>
      <c r="I570" s="91" t="n"/>
      <c r="J570" s="91" t="n"/>
      <c r="K570" s="91" t="n"/>
      <c r="L570" s="91" t="n"/>
      <c r="M570" s="91" t="n"/>
      <c r="N570" s="91" t="n"/>
      <c r="O570" s="91" t="n"/>
      <c r="P570" s="91" t="n"/>
      <c r="Q570" s="91" t="n"/>
      <c r="R570" s="91" t="n"/>
      <c r="S570" s="91" t="n"/>
      <c r="T570" s="91" t="n"/>
      <c r="U570" s="91" t="n"/>
      <c r="V570" s="91" t="n"/>
      <c r="W570" s="91" t="n"/>
      <c r="X570" s="91" t="n"/>
      <c r="Y570" s="91" t="n"/>
      <c r="Z570" s="91" t="n"/>
      <c r="AA570" s="91" t="n"/>
    </row>
    <row r="571" ht="12.75" customHeight="1" s="117">
      <c r="A571" s="91" t="n"/>
      <c r="B571" s="91" t="n"/>
      <c r="C571" s="91" t="n"/>
      <c r="D571" s="91" t="n"/>
      <c r="E571" s="91" t="n"/>
      <c r="F571" s="91" t="n"/>
      <c r="G571" s="91" t="n"/>
      <c r="H571" s="91" t="n"/>
      <c r="I571" s="91" t="n"/>
      <c r="J571" s="91" t="n"/>
      <c r="K571" s="91" t="n"/>
      <c r="L571" s="91" t="n"/>
      <c r="M571" s="91" t="n"/>
      <c r="N571" s="91" t="n"/>
      <c r="O571" s="91" t="n"/>
      <c r="P571" s="91" t="n"/>
      <c r="Q571" s="91" t="n"/>
      <c r="R571" s="91" t="n"/>
      <c r="S571" s="91" t="n"/>
      <c r="T571" s="91" t="n"/>
      <c r="U571" s="91" t="n"/>
      <c r="V571" s="91" t="n"/>
      <c r="W571" s="91" t="n"/>
      <c r="X571" s="91" t="n"/>
      <c r="Y571" s="91" t="n"/>
      <c r="Z571" s="91" t="n"/>
      <c r="AA571" s="91" t="n"/>
    </row>
    <row r="572" ht="12.75" customHeight="1" s="117">
      <c r="A572" s="91" t="n"/>
      <c r="B572" s="91" t="n"/>
      <c r="C572" s="91" t="n"/>
      <c r="D572" s="91" t="n"/>
      <c r="E572" s="91" t="n"/>
      <c r="F572" s="91" t="n"/>
      <c r="G572" s="91" t="n"/>
      <c r="H572" s="91" t="n"/>
      <c r="I572" s="91" t="n"/>
      <c r="J572" s="91" t="n"/>
      <c r="K572" s="91" t="n"/>
      <c r="L572" s="91" t="n"/>
      <c r="M572" s="91" t="n"/>
      <c r="N572" s="91" t="n"/>
      <c r="O572" s="91" t="n"/>
      <c r="P572" s="91" t="n"/>
      <c r="Q572" s="91" t="n"/>
      <c r="R572" s="91" t="n"/>
      <c r="S572" s="91" t="n"/>
      <c r="T572" s="91" t="n"/>
      <c r="U572" s="91" t="n"/>
      <c r="V572" s="91" t="n"/>
      <c r="W572" s="91" t="n"/>
      <c r="X572" s="91" t="n"/>
      <c r="Y572" s="91" t="n"/>
      <c r="Z572" s="91" t="n"/>
      <c r="AA572" s="91" t="n"/>
    </row>
    <row r="573" ht="12.75" customHeight="1" s="117">
      <c r="A573" s="91" t="n"/>
      <c r="B573" s="91" t="n"/>
      <c r="C573" s="91" t="n"/>
      <c r="D573" s="91" t="n"/>
      <c r="E573" s="91" t="n"/>
      <c r="F573" s="91" t="n"/>
      <c r="G573" s="91" t="n"/>
      <c r="H573" s="91" t="n"/>
      <c r="I573" s="91" t="n"/>
      <c r="J573" s="91" t="n"/>
      <c r="K573" s="91" t="n"/>
      <c r="L573" s="91" t="n"/>
      <c r="M573" s="91" t="n"/>
      <c r="N573" s="91" t="n"/>
      <c r="O573" s="91" t="n"/>
      <c r="P573" s="91" t="n"/>
      <c r="Q573" s="91" t="n"/>
      <c r="R573" s="91" t="n"/>
      <c r="S573" s="91" t="n"/>
      <c r="T573" s="91" t="n"/>
      <c r="U573" s="91" t="n"/>
      <c r="V573" s="91" t="n"/>
      <c r="W573" s="91" t="n"/>
      <c r="X573" s="91" t="n"/>
      <c r="Y573" s="91" t="n"/>
      <c r="Z573" s="91" t="n"/>
      <c r="AA573" s="91" t="n"/>
    </row>
    <row r="574" ht="12.75" customHeight="1" s="117">
      <c r="A574" s="91" t="n"/>
      <c r="B574" s="91" t="n"/>
      <c r="C574" s="91" t="n"/>
      <c r="D574" s="91" t="n"/>
      <c r="E574" s="91" t="n"/>
      <c r="F574" s="91" t="n"/>
      <c r="G574" s="91" t="n"/>
      <c r="H574" s="91" t="n"/>
      <c r="I574" s="91" t="n"/>
      <c r="J574" s="91" t="n"/>
      <c r="K574" s="91" t="n"/>
      <c r="L574" s="91" t="n"/>
      <c r="M574" s="91" t="n"/>
      <c r="N574" s="91" t="n"/>
      <c r="O574" s="91" t="n"/>
      <c r="P574" s="91" t="n"/>
      <c r="Q574" s="91" t="n"/>
      <c r="R574" s="91" t="n"/>
      <c r="S574" s="91" t="n"/>
      <c r="T574" s="91" t="n"/>
      <c r="U574" s="91" t="n"/>
      <c r="V574" s="91" t="n"/>
      <c r="W574" s="91" t="n"/>
      <c r="X574" s="91" t="n"/>
      <c r="Y574" s="91" t="n"/>
      <c r="Z574" s="91" t="n"/>
      <c r="AA574" s="91" t="n"/>
    </row>
    <row r="575" ht="12.75" customHeight="1" s="117">
      <c r="A575" s="91" t="n"/>
      <c r="B575" s="91" t="n"/>
      <c r="C575" s="91" t="n"/>
      <c r="D575" s="91" t="n"/>
      <c r="E575" s="91" t="n"/>
      <c r="F575" s="91" t="n"/>
      <c r="G575" s="91" t="n"/>
      <c r="H575" s="91" t="n"/>
      <c r="I575" s="91" t="n"/>
      <c r="J575" s="91" t="n"/>
      <c r="K575" s="91" t="n"/>
      <c r="L575" s="91" t="n"/>
      <c r="M575" s="91" t="n"/>
      <c r="N575" s="91" t="n"/>
      <c r="O575" s="91" t="n"/>
      <c r="P575" s="91" t="n"/>
      <c r="Q575" s="91" t="n"/>
      <c r="R575" s="91" t="n"/>
      <c r="S575" s="91" t="n"/>
      <c r="T575" s="91" t="n"/>
      <c r="U575" s="91" t="n"/>
      <c r="V575" s="91" t="n"/>
      <c r="W575" s="91" t="n"/>
      <c r="X575" s="91" t="n"/>
      <c r="Y575" s="91" t="n"/>
      <c r="Z575" s="91" t="n"/>
      <c r="AA575" s="91" t="n"/>
    </row>
    <row r="576" ht="12.75" customHeight="1" s="117">
      <c r="A576" s="91" t="n"/>
      <c r="B576" s="91" t="n"/>
      <c r="C576" s="91" t="n"/>
      <c r="D576" s="91" t="n"/>
      <c r="E576" s="91" t="n"/>
      <c r="F576" s="91" t="n"/>
      <c r="G576" s="91" t="n"/>
      <c r="H576" s="91" t="n"/>
      <c r="I576" s="91" t="n"/>
      <c r="J576" s="91" t="n"/>
      <c r="K576" s="91" t="n"/>
      <c r="L576" s="91" t="n"/>
      <c r="M576" s="91" t="n"/>
      <c r="N576" s="91" t="n"/>
      <c r="O576" s="91" t="n"/>
      <c r="P576" s="91" t="n"/>
      <c r="Q576" s="91" t="n"/>
      <c r="R576" s="91" t="n"/>
      <c r="S576" s="91" t="n"/>
      <c r="T576" s="91" t="n"/>
      <c r="U576" s="91" t="n"/>
      <c r="V576" s="91" t="n"/>
      <c r="W576" s="91" t="n"/>
      <c r="X576" s="91" t="n"/>
      <c r="Y576" s="91" t="n"/>
      <c r="Z576" s="91" t="n"/>
      <c r="AA576" s="91" t="n"/>
    </row>
    <row r="577" ht="12.75" customHeight="1" s="117">
      <c r="A577" s="91" t="n"/>
      <c r="B577" s="91" t="n"/>
      <c r="C577" s="91" t="n"/>
      <c r="D577" s="91" t="n"/>
      <c r="E577" s="91" t="n"/>
      <c r="F577" s="91" t="n"/>
      <c r="G577" s="91" t="n"/>
      <c r="H577" s="91" t="n"/>
      <c r="I577" s="91" t="n"/>
      <c r="J577" s="91" t="n"/>
      <c r="K577" s="91" t="n"/>
      <c r="L577" s="91" t="n"/>
      <c r="M577" s="91" t="n"/>
      <c r="N577" s="91" t="n"/>
      <c r="O577" s="91" t="n"/>
      <c r="P577" s="91" t="n"/>
      <c r="Q577" s="91" t="n"/>
      <c r="R577" s="91" t="n"/>
      <c r="S577" s="91" t="n"/>
      <c r="T577" s="91" t="n"/>
      <c r="U577" s="91" t="n"/>
      <c r="V577" s="91" t="n"/>
      <c r="W577" s="91" t="n"/>
      <c r="X577" s="91" t="n"/>
      <c r="Y577" s="91" t="n"/>
      <c r="Z577" s="91" t="n"/>
      <c r="AA577" s="91" t="n"/>
    </row>
    <row r="578" ht="12.75" customHeight="1" s="117">
      <c r="A578" s="91" t="n"/>
      <c r="B578" s="91" t="n"/>
      <c r="C578" s="91" t="n"/>
      <c r="D578" s="91" t="n"/>
      <c r="E578" s="91" t="n"/>
      <c r="F578" s="91" t="n"/>
      <c r="G578" s="91" t="n"/>
      <c r="H578" s="91" t="n"/>
      <c r="I578" s="91" t="n"/>
      <c r="J578" s="91" t="n"/>
      <c r="K578" s="91" t="n"/>
      <c r="L578" s="91" t="n"/>
      <c r="M578" s="91" t="n"/>
      <c r="N578" s="91" t="n"/>
      <c r="O578" s="91" t="n"/>
      <c r="P578" s="91" t="n"/>
      <c r="Q578" s="91" t="n"/>
      <c r="R578" s="91" t="n"/>
      <c r="S578" s="91" t="n"/>
      <c r="T578" s="91" t="n"/>
      <c r="U578" s="91" t="n"/>
      <c r="V578" s="91" t="n"/>
      <c r="W578" s="91" t="n"/>
      <c r="X578" s="91" t="n"/>
      <c r="Y578" s="91" t="n"/>
      <c r="Z578" s="91" t="n"/>
      <c r="AA578" s="91" t="n"/>
    </row>
    <row r="579" ht="12.75" customHeight="1" s="117">
      <c r="A579" s="91" t="n"/>
      <c r="B579" s="91" t="n"/>
      <c r="C579" s="91" t="n"/>
      <c r="D579" s="91" t="n"/>
      <c r="E579" s="91" t="n"/>
      <c r="F579" s="91" t="n"/>
      <c r="G579" s="91" t="n"/>
      <c r="H579" s="91" t="n"/>
      <c r="I579" s="91" t="n"/>
      <c r="J579" s="91" t="n"/>
      <c r="K579" s="91" t="n"/>
      <c r="L579" s="91" t="n"/>
      <c r="M579" s="91" t="n"/>
      <c r="N579" s="91" t="n"/>
      <c r="O579" s="91" t="n"/>
      <c r="P579" s="91" t="n"/>
      <c r="Q579" s="91" t="n"/>
      <c r="R579" s="91" t="n"/>
      <c r="S579" s="91" t="n"/>
      <c r="T579" s="91" t="n"/>
      <c r="U579" s="91" t="n"/>
      <c r="V579" s="91" t="n"/>
      <c r="W579" s="91" t="n"/>
      <c r="X579" s="91" t="n"/>
      <c r="Y579" s="91" t="n"/>
      <c r="Z579" s="91" t="n"/>
      <c r="AA579" s="91" t="n"/>
    </row>
    <row r="580" ht="12.75" customHeight="1" s="117">
      <c r="A580" s="91" t="n"/>
      <c r="B580" s="91" t="n"/>
      <c r="C580" s="91" t="n"/>
      <c r="D580" s="91" t="n"/>
      <c r="E580" s="91" t="n"/>
      <c r="F580" s="91" t="n"/>
      <c r="G580" s="91" t="n"/>
      <c r="H580" s="91" t="n"/>
      <c r="I580" s="91" t="n"/>
      <c r="J580" s="91" t="n"/>
      <c r="K580" s="91" t="n"/>
      <c r="L580" s="91" t="n"/>
      <c r="M580" s="91" t="n"/>
      <c r="N580" s="91" t="n"/>
      <c r="O580" s="91" t="n"/>
      <c r="P580" s="91" t="n"/>
      <c r="Q580" s="91" t="n"/>
      <c r="R580" s="91" t="n"/>
      <c r="S580" s="91" t="n"/>
      <c r="T580" s="91" t="n"/>
      <c r="U580" s="91" t="n"/>
      <c r="V580" s="91" t="n"/>
      <c r="W580" s="91" t="n"/>
      <c r="X580" s="91" t="n"/>
      <c r="Y580" s="91" t="n"/>
      <c r="Z580" s="91" t="n"/>
      <c r="AA580" s="91" t="n"/>
    </row>
    <row r="581" ht="12.75" customHeight="1" s="117">
      <c r="A581" s="91" t="n"/>
      <c r="B581" s="91" t="n"/>
      <c r="C581" s="91" t="n"/>
      <c r="D581" s="91" t="n"/>
      <c r="E581" s="91" t="n"/>
      <c r="F581" s="91" t="n"/>
      <c r="G581" s="91" t="n"/>
      <c r="H581" s="91" t="n"/>
      <c r="I581" s="91" t="n"/>
      <c r="J581" s="91" t="n"/>
      <c r="K581" s="91" t="n"/>
      <c r="L581" s="91" t="n"/>
      <c r="M581" s="91" t="n"/>
      <c r="N581" s="91" t="n"/>
      <c r="O581" s="91" t="n"/>
      <c r="P581" s="91" t="n"/>
      <c r="Q581" s="91" t="n"/>
      <c r="R581" s="91" t="n"/>
      <c r="S581" s="91" t="n"/>
      <c r="T581" s="91" t="n"/>
      <c r="U581" s="91" t="n"/>
      <c r="V581" s="91" t="n"/>
      <c r="W581" s="91" t="n"/>
      <c r="X581" s="91" t="n"/>
      <c r="Y581" s="91" t="n"/>
      <c r="Z581" s="91" t="n"/>
      <c r="AA581" s="91" t="n"/>
    </row>
    <row r="582" ht="12.75" customHeight="1" s="117">
      <c r="A582" s="91" t="n"/>
      <c r="B582" s="91" t="n"/>
      <c r="C582" s="91" t="n"/>
      <c r="D582" s="91" t="n"/>
      <c r="E582" s="91" t="n"/>
      <c r="F582" s="91" t="n"/>
      <c r="G582" s="91" t="n"/>
      <c r="H582" s="91" t="n"/>
      <c r="I582" s="91" t="n"/>
      <c r="J582" s="91" t="n"/>
      <c r="K582" s="91" t="n"/>
      <c r="L582" s="91" t="n"/>
      <c r="M582" s="91" t="n"/>
      <c r="N582" s="91" t="n"/>
      <c r="O582" s="91" t="n"/>
      <c r="P582" s="91" t="n"/>
      <c r="Q582" s="91" t="n"/>
      <c r="R582" s="91" t="n"/>
      <c r="S582" s="91" t="n"/>
      <c r="T582" s="91" t="n"/>
      <c r="U582" s="91" t="n"/>
      <c r="V582" s="91" t="n"/>
      <c r="W582" s="91" t="n"/>
      <c r="X582" s="91" t="n"/>
      <c r="Y582" s="91" t="n"/>
      <c r="Z582" s="91" t="n"/>
      <c r="AA582" s="91" t="n"/>
    </row>
    <row r="583" ht="12.75" customHeight="1" s="117">
      <c r="A583" s="91" t="n"/>
      <c r="B583" s="91" t="n"/>
      <c r="C583" s="91" t="n"/>
      <c r="D583" s="91" t="n"/>
      <c r="E583" s="91" t="n"/>
      <c r="F583" s="91" t="n"/>
      <c r="G583" s="91" t="n"/>
      <c r="H583" s="91" t="n"/>
      <c r="I583" s="91" t="n"/>
      <c r="J583" s="91" t="n"/>
      <c r="K583" s="91" t="n"/>
      <c r="L583" s="91" t="n"/>
      <c r="M583" s="91" t="n"/>
      <c r="N583" s="91" t="n"/>
      <c r="O583" s="91" t="n"/>
      <c r="P583" s="91" t="n"/>
      <c r="Q583" s="91" t="n"/>
      <c r="R583" s="91" t="n"/>
      <c r="S583" s="91" t="n"/>
      <c r="T583" s="91" t="n"/>
      <c r="U583" s="91" t="n"/>
      <c r="V583" s="91" t="n"/>
      <c r="W583" s="91" t="n"/>
      <c r="X583" s="91" t="n"/>
      <c r="Y583" s="91" t="n"/>
      <c r="Z583" s="91" t="n"/>
      <c r="AA583" s="91" t="n"/>
    </row>
    <row r="584" ht="12.75" customHeight="1" s="117">
      <c r="A584" s="91" t="n"/>
      <c r="B584" s="91" t="n"/>
      <c r="C584" s="91" t="n"/>
      <c r="D584" s="91" t="n"/>
      <c r="E584" s="91" t="n"/>
      <c r="F584" s="91" t="n"/>
      <c r="G584" s="91" t="n"/>
      <c r="H584" s="91" t="n"/>
      <c r="I584" s="91" t="n"/>
      <c r="J584" s="91" t="n"/>
      <c r="K584" s="91" t="n"/>
      <c r="L584" s="91" t="n"/>
      <c r="M584" s="91" t="n"/>
      <c r="N584" s="91" t="n"/>
      <c r="O584" s="91" t="n"/>
      <c r="P584" s="91" t="n"/>
      <c r="Q584" s="91" t="n"/>
      <c r="R584" s="91" t="n"/>
      <c r="S584" s="91" t="n"/>
      <c r="T584" s="91" t="n"/>
      <c r="U584" s="91" t="n"/>
      <c r="V584" s="91" t="n"/>
      <c r="W584" s="91" t="n"/>
      <c r="X584" s="91" t="n"/>
      <c r="Y584" s="91" t="n"/>
      <c r="Z584" s="91" t="n"/>
      <c r="AA584" s="91" t="n"/>
    </row>
    <row r="585" ht="12.75" customHeight="1" s="117">
      <c r="A585" s="91" t="n"/>
      <c r="B585" s="91" t="n"/>
      <c r="C585" s="91" t="n"/>
      <c r="D585" s="91" t="n"/>
      <c r="E585" s="91" t="n"/>
      <c r="F585" s="91" t="n"/>
      <c r="G585" s="91" t="n"/>
      <c r="H585" s="91" t="n"/>
      <c r="I585" s="91" t="n"/>
      <c r="J585" s="91" t="n"/>
      <c r="K585" s="91" t="n"/>
      <c r="L585" s="91" t="n"/>
      <c r="M585" s="91" t="n"/>
      <c r="N585" s="91" t="n"/>
      <c r="O585" s="91" t="n"/>
      <c r="P585" s="91" t="n"/>
      <c r="Q585" s="91" t="n"/>
      <c r="R585" s="91" t="n"/>
      <c r="S585" s="91" t="n"/>
      <c r="T585" s="91" t="n"/>
      <c r="U585" s="91" t="n"/>
      <c r="V585" s="91" t="n"/>
      <c r="W585" s="91" t="n"/>
      <c r="X585" s="91" t="n"/>
      <c r="Y585" s="91" t="n"/>
      <c r="Z585" s="91" t="n"/>
      <c r="AA585" s="91" t="n"/>
    </row>
    <row r="586" ht="12.75" customHeight="1" s="117">
      <c r="A586" s="91" t="n"/>
      <c r="B586" s="91" t="n"/>
      <c r="C586" s="91" t="n"/>
      <c r="D586" s="91" t="n"/>
      <c r="E586" s="91" t="n"/>
      <c r="F586" s="91" t="n"/>
      <c r="G586" s="91" t="n"/>
      <c r="H586" s="91" t="n"/>
      <c r="I586" s="91" t="n"/>
      <c r="J586" s="91" t="n"/>
      <c r="K586" s="91" t="n"/>
      <c r="L586" s="91" t="n"/>
      <c r="M586" s="91" t="n"/>
      <c r="N586" s="91" t="n"/>
      <c r="O586" s="91" t="n"/>
      <c r="P586" s="91" t="n"/>
      <c r="Q586" s="91" t="n"/>
      <c r="R586" s="91" t="n"/>
      <c r="S586" s="91" t="n"/>
      <c r="T586" s="91" t="n"/>
      <c r="U586" s="91" t="n"/>
      <c r="V586" s="91" t="n"/>
      <c r="W586" s="91" t="n"/>
      <c r="X586" s="91" t="n"/>
      <c r="Y586" s="91" t="n"/>
      <c r="Z586" s="91" t="n"/>
      <c r="AA586" s="91" t="n"/>
    </row>
    <row r="587" ht="12.75" customHeight="1" s="117">
      <c r="A587" s="91" t="n"/>
      <c r="B587" s="91" t="n"/>
      <c r="C587" s="91" t="n"/>
      <c r="D587" s="91" t="n"/>
      <c r="E587" s="91" t="n"/>
      <c r="F587" s="91" t="n"/>
      <c r="G587" s="91" t="n"/>
      <c r="H587" s="91" t="n"/>
      <c r="I587" s="91" t="n"/>
      <c r="J587" s="91" t="n"/>
      <c r="K587" s="91" t="n"/>
      <c r="L587" s="91" t="n"/>
      <c r="M587" s="91" t="n"/>
      <c r="N587" s="91" t="n"/>
      <c r="O587" s="91" t="n"/>
      <c r="P587" s="91" t="n"/>
      <c r="Q587" s="91" t="n"/>
      <c r="R587" s="91" t="n"/>
      <c r="S587" s="91" t="n"/>
      <c r="T587" s="91" t="n"/>
      <c r="U587" s="91" t="n"/>
      <c r="V587" s="91" t="n"/>
      <c r="W587" s="91" t="n"/>
      <c r="X587" s="91" t="n"/>
      <c r="Y587" s="91" t="n"/>
      <c r="Z587" s="91" t="n"/>
      <c r="AA587" s="91" t="n"/>
    </row>
    <row r="588" ht="12.75" customHeight="1" s="117">
      <c r="A588" s="91" t="n"/>
      <c r="B588" s="91" t="n"/>
      <c r="C588" s="91" t="n"/>
      <c r="D588" s="91" t="n"/>
      <c r="E588" s="91" t="n"/>
      <c r="F588" s="91" t="n"/>
      <c r="G588" s="91" t="n"/>
      <c r="H588" s="91" t="n"/>
      <c r="I588" s="91" t="n"/>
      <c r="J588" s="91" t="n"/>
      <c r="K588" s="91" t="n"/>
      <c r="L588" s="91" t="n"/>
      <c r="M588" s="91" t="n"/>
      <c r="N588" s="91" t="n"/>
      <c r="O588" s="91" t="n"/>
      <c r="P588" s="91" t="n"/>
      <c r="Q588" s="91" t="n"/>
      <c r="R588" s="91" t="n"/>
      <c r="S588" s="91" t="n"/>
      <c r="T588" s="91" t="n"/>
      <c r="U588" s="91" t="n"/>
      <c r="V588" s="91" t="n"/>
      <c r="W588" s="91" t="n"/>
      <c r="X588" s="91" t="n"/>
      <c r="Y588" s="91" t="n"/>
      <c r="Z588" s="91" t="n"/>
      <c r="AA588" s="91" t="n"/>
    </row>
    <row r="589" ht="12.75" customHeight="1" s="117">
      <c r="A589" s="91" t="n"/>
      <c r="B589" s="91" t="n"/>
      <c r="C589" s="91" t="n"/>
      <c r="D589" s="91" t="n"/>
      <c r="E589" s="91" t="n"/>
      <c r="F589" s="91" t="n"/>
      <c r="G589" s="91" t="n"/>
      <c r="H589" s="91" t="n"/>
      <c r="I589" s="91" t="n"/>
      <c r="J589" s="91" t="n"/>
      <c r="K589" s="91" t="n"/>
      <c r="L589" s="91" t="n"/>
      <c r="M589" s="91" t="n"/>
      <c r="N589" s="91" t="n"/>
      <c r="O589" s="91" t="n"/>
      <c r="P589" s="91" t="n"/>
      <c r="Q589" s="91" t="n"/>
      <c r="R589" s="91" t="n"/>
      <c r="S589" s="91" t="n"/>
      <c r="T589" s="91" t="n"/>
      <c r="U589" s="91" t="n"/>
      <c r="V589" s="91" t="n"/>
      <c r="W589" s="91" t="n"/>
      <c r="X589" s="91" t="n"/>
      <c r="Y589" s="91" t="n"/>
      <c r="Z589" s="91" t="n"/>
      <c r="AA589" s="91" t="n"/>
    </row>
    <row r="590" ht="12.75" customHeight="1" s="117">
      <c r="A590" s="91" t="n"/>
      <c r="B590" s="91" t="n"/>
      <c r="C590" s="91" t="n"/>
      <c r="D590" s="91" t="n"/>
      <c r="E590" s="91" t="n"/>
      <c r="F590" s="91" t="n"/>
      <c r="G590" s="91" t="n"/>
      <c r="H590" s="91" t="n"/>
      <c r="I590" s="91" t="n"/>
      <c r="J590" s="91" t="n"/>
      <c r="K590" s="91" t="n"/>
      <c r="L590" s="91" t="n"/>
      <c r="M590" s="91" t="n"/>
      <c r="N590" s="91" t="n"/>
      <c r="O590" s="91" t="n"/>
      <c r="P590" s="91" t="n"/>
      <c r="Q590" s="91" t="n"/>
      <c r="R590" s="91" t="n"/>
      <c r="S590" s="91" t="n"/>
      <c r="T590" s="91" t="n"/>
      <c r="U590" s="91" t="n"/>
      <c r="V590" s="91" t="n"/>
      <c r="W590" s="91" t="n"/>
      <c r="X590" s="91" t="n"/>
      <c r="Y590" s="91" t="n"/>
      <c r="Z590" s="91" t="n"/>
      <c r="AA590" s="91" t="n"/>
    </row>
    <row r="591" ht="12.75" customHeight="1" s="117">
      <c r="A591" s="91" t="n"/>
      <c r="B591" s="91" t="n"/>
      <c r="C591" s="91" t="n"/>
      <c r="D591" s="91" t="n"/>
      <c r="E591" s="91" t="n"/>
      <c r="F591" s="91" t="n"/>
      <c r="G591" s="91" t="n"/>
      <c r="H591" s="91" t="n"/>
      <c r="I591" s="91" t="n"/>
      <c r="J591" s="91" t="n"/>
      <c r="K591" s="91" t="n"/>
      <c r="L591" s="91" t="n"/>
      <c r="M591" s="91" t="n"/>
      <c r="N591" s="91" t="n"/>
      <c r="O591" s="91" t="n"/>
      <c r="P591" s="91" t="n"/>
      <c r="Q591" s="91" t="n"/>
      <c r="R591" s="91" t="n"/>
      <c r="S591" s="91" t="n"/>
      <c r="T591" s="91" t="n"/>
      <c r="U591" s="91" t="n"/>
      <c r="V591" s="91" t="n"/>
      <c r="W591" s="91" t="n"/>
      <c r="X591" s="91" t="n"/>
      <c r="Y591" s="91" t="n"/>
      <c r="Z591" s="91" t="n"/>
      <c r="AA591" s="91" t="n"/>
    </row>
    <row r="592" ht="12.75" customHeight="1" s="117">
      <c r="A592" s="91" t="n"/>
      <c r="B592" s="91" t="n"/>
      <c r="C592" s="91" t="n"/>
      <c r="D592" s="91" t="n"/>
      <c r="E592" s="91" t="n"/>
      <c r="F592" s="91" t="n"/>
      <c r="G592" s="91" t="n"/>
      <c r="H592" s="91" t="n"/>
      <c r="I592" s="91" t="n"/>
      <c r="J592" s="91" t="n"/>
      <c r="K592" s="91" t="n"/>
      <c r="L592" s="91" t="n"/>
      <c r="M592" s="91" t="n"/>
      <c r="N592" s="91" t="n"/>
      <c r="O592" s="91" t="n"/>
      <c r="P592" s="91" t="n"/>
      <c r="Q592" s="91" t="n"/>
      <c r="R592" s="91" t="n"/>
      <c r="S592" s="91" t="n"/>
      <c r="T592" s="91" t="n"/>
      <c r="U592" s="91" t="n"/>
      <c r="V592" s="91" t="n"/>
      <c r="W592" s="91" t="n"/>
      <c r="X592" s="91" t="n"/>
      <c r="Y592" s="91" t="n"/>
      <c r="Z592" s="91" t="n"/>
      <c r="AA592" s="91" t="n"/>
    </row>
    <row r="593" ht="12.75" customHeight="1" s="117">
      <c r="A593" s="91" t="n"/>
      <c r="B593" s="91" t="n"/>
      <c r="C593" s="91" t="n"/>
      <c r="D593" s="91" t="n"/>
      <c r="E593" s="91" t="n"/>
      <c r="F593" s="91" t="n"/>
      <c r="G593" s="91" t="n"/>
      <c r="H593" s="91" t="n"/>
      <c r="I593" s="91" t="n"/>
      <c r="J593" s="91" t="n"/>
      <c r="K593" s="91" t="n"/>
      <c r="L593" s="91" t="n"/>
      <c r="M593" s="91" t="n"/>
      <c r="N593" s="91" t="n"/>
      <c r="O593" s="91" t="n"/>
      <c r="P593" s="91" t="n"/>
      <c r="Q593" s="91" t="n"/>
      <c r="R593" s="91" t="n"/>
      <c r="S593" s="91" t="n"/>
      <c r="T593" s="91" t="n"/>
      <c r="U593" s="91" t="n"/>
      <c r="V593" s="91" t="n"/>
      <c r="W593" s="91" t="n"/>
      <c r="X593" s="91" t="n"/>
      <c r="Y593" s="91" t="n"/>
      <c r="Z593" s="91" t="n"/>
      <c r="AA593" s="91" t="n"/>
    </row>
    <row r="594" ht="12.75" customHeight="1" s="117">
      <c r="A594" s="91" t="n"/>
      <c r="B594" s="91" t="n"/>
      <c r="C594" s="91" t="n"/>
      <c r="D594" s="91" t="n"/>
      <c r="E594" s="91" t="n"/>
      <c r="F594" s="91" t="n"/>
      <c r="G594" s="91" t="n"/>
      <c r="H594" s="91" t="n"/>
      <c r="I594" s="91" t="n"/>
      <c r="J594" s="91" t="n"/>
      <c r="K594" s="91" t="n"/>
      <c r="L594" s="91" t="n"/>
      <c r="M594" s="91" t="n"/>
      <c r="N594" s="91" t="n"/>
      <c r="O594" s="91" t="n"/>
      <c r="P594" s="91" t="n"/>
      <c r="Q594" s="91" t="n"/>
      <c r="R594" s="91" t="n"/>
      <c r="S594" s="91" t="n"/>
      <c r="T594" s="91" t="n"/>
      <c r="U594" s="91" t="n"/>
      <c r="V594" s="91" t="n"/>
      <c r="W594" s="91" t="n"/>
      <c r="X594" s="91" t="n"/>
      <c r="Y594" s="91" t="n"/>
      <c r="Z594" s="91" t="n"/>
      <c r="AA594" s="91" t="n"/>
    </row>
    <row r="595" ht="12.75" customHeight="1" s="117">
      <c r="A595" s="91" t="n"/>
      <c r="B595" s="91" t="n"/>
      <c r="C595" s="91" t="n"/>
      <c r="D595" s="91" t="n"/>
      <c r="E595" s="91" t="n"/>
      <c r="F595" s="91" t="n"/>
      <c r="G595" s="91" t="n"/>
      <c r="H595" s="91" t="n"/>
      <c r="I595" s="91" t="n"/>
      <c r="J595" s="91" t="n"/>
      <c r="K595" s="91" t="n"/>
      <c r="L595" s="91" t="n"/>
      <c r="M595" s="91" t="n"/>
      <c r="N595" s="91" t="n"/>
      <c r="O595" s="91" t="n"/>
      <c r="P595" s="91" t="n"/>
      <c r="Q595" s="91" t="n"/>
      <c r="R595" s="91" t="n"/>
      <c r="S595" s="91" t="n"/>
      <c r="T595" s="91" t="n"/>
      <c r="U595" s="91" t="n"/>
      <c r="V595" s="91" t="n"/>
      <c r="W595" s="91" t="n"/>
      <c r="X595" s="91" t="n"/>
      <c r="Y595" s="91" t="n"/>
      <c r="Z595" s="91" t="n"/>
      <c r="AA595" s="91" t="n"/>
    </row>
    <row r="596" ht="12.75" customHeight="1" s="117">
      <c r="A596" s="91" t="n"/>
      <c r="B596" s="91" t="n"/>
      <c r="C596" s="91" t="n"/>
      <c r="D596" s="91" t="n"/>
      <c r="E596" s="91" t="n"/>
      <c r="F596" s="91" t="n"/>
      <c r="G596" s="91" t="n"/>
      <c r="H596" s="91" t="n"/>
      <c r="I596" s="91" t="n"/>
      <c r="J596" s="91" t="n"/>
      <c r="K596" s="91" t="n"/>
      <c r="L596" s="91" t="n"/>
      <c r="M596" s="91" t="n"/>
      <c r="N596" s="91" t="n"/>
      <c r="O596" s="91" t="n"/>
      <c r="P596" s="91" t="n"/>
      <c r="Q596" s="91" t="n"/>
      <c r="R596" s="91" t="n"/>
      <c r="S596" s="91" t="n"/>
      <c r="T596" s="91" t="n"/>
      <c r="U596" s="91" t="n"/>
      <c r="V596" s="91" t="n"/>
      <c r="W596" s="91" t="n"/>
      <c r="X596" s="91" t="n"/>
      <c r="Y596" s="91" t="n"/>
      <c r="Z596" s="91" t="n"/>
      <c r="AA596" s="91" t="n"/>
    </row>
    <row r="597" ht="12.75" customHeight="1" s="117">
      <c r="A597" s="91" t="n"/>
      <c r="B597" s="91" t="n"/>
      <c r="C597" s="91" t="n"/>
      <c r="D597" s="91" t="n"/>
      <c r="E597" s="91" t="n"/>
      <c r="F597" s="91" t="n"/>
      <c r="G597" s="91" t="n"/>
      <c r="H597" s="91" t="n"/>
      <c r="I597" s="91" t="n"/>
      <c r="J597" s="91" t="n"/>
      <c r="K597" s="91" t="n"/>
      <c r="L597" s="91" t="n"/>
      <c r="M597" s="91" t="n"/>
      <c r="N597" s="91" t="n"/>
      <c r="O597" s="91" t="n"/>
      <c r="P597" s="91" t="n"/>
      <c r="Q597" s="91" t="n"/>
      <c r="R597" s="91" t="n"/>
      <c r="S597" s="91" t="n"/>
      <c r="T597" s="91" t="n"/>
      <c r="U597" s="91" t="n"/>
      <c r="V597" s="91" t="n"/>
      <c r="W597" s="91" t="n"/>
      <c r="X597" s="91" t="n"/>
      <c r="Y597" s="91" t="n"/>
      <c r="Z597" s="91" t="n"/>
      <c r="AA597" s="91" t="n"/>
    </row>
    <row r="598" ht="12.75" customHeight="1" s="117">
      <c r="A598" s="91" t="n"/>
      <c r="B598" s="91" t="n"/>
      <c r="C598" s="91" t="n"/>
      <c r="D598" s="91" t="n"/>
      <c r="E598" s="91" t="n"/>
      <c r="F598" s="91" t="n"/>
      <c r="G598" s="91" t="n"/>
      <c r="H598" s="91" t="n"/>
      <c r="I598" s="91" t="n"/>
      <c r="J598" s="91" t="n"/>
      <c r="K598" s="91" t="n"/>
      <c r="L598" s="91" t="n"/>
      <c r="M598" s="91" t="n"/>
      <c r="N598" s="91" t="n"/>
      <c r="O598" s="91" t="n"/>
      <c r="P598" s="91" t="n"/>
      <c r="Q598" s="91" t="n"/>
      <c r="R598" s="91" t="n"/>
      <c r="S598" s="91" t="n"/>
      <c r="T598" s="91" t="n"/>
      <c r="U598" s="91" t="n"/>
      <c r="V598" s="91" t="n"/>
      <c r="W598" s="91" t="n"/>
      <c r="X598" s="91" t="n"/>
      <c r="Y598" s="91" t="n"/>
      <c r="Z598" s="91" t="n"/>
      <c r="AA598" s="91" t="n"/>
    </row>
    <row r="599" ht="12.75" customHeight="1" s="117">
      <c r="A599" s="91" t="n"/>
      <c r="B599" s="91" t="n"/>
      <c r="C599" s="91" t="n"/>
      <c r="D599" s="91" t="n"/>
      <c r="E599" s="91" t="n"/>
      <c r="F599" s="91" t="n"/>
      <c r="G599" s="91" t="n"/>
      <c r="H599" s="91" t="n"/>
      <c r="I599" s="91" t="n"/>
      <c r="J599" s="91" t="n"/>
      <c r="K599" s="91" t="n"/>
      <c r="L599" s="91" t="n"/>
      <c r="M599" s="91" t="n"/>
      <c r="N599" s="91" t="n"/>
      <c r="O599" s="91" t="n"/>
      <c r="P599" s="91" t="n"/>
      <c r="Q599" s="91" t="n"/>
      <c r="R599" s="91" t="n"/>
      <c r="S599" s="91" t="n"/>
      <c r="T599" s="91" t="n"/>
      <c r="U599" s="91" t="n"/>
      <c r="V599" s="91" t="n"/>
      <c r="W599" s="91" t="n"/>
      <c r="X599" s="91" t="n"/>
      <c r="Y599" s="91" t="n"/>
      <c r="Z599" s="91" t="n"/>
      <c r="AA599" s="91" t="n"/>
    </row>
    <row r="600" ht="12.75" customHeight="1" s="117">
      <c r="A600" s="91" t="n"/>
      <c r="B600" s="91" t="n"/>
      <c r="C600" s="91" t="n"/>
      <c r="D600" s="91" t="n"/>
      <c r="E600" s="91" t="n"/>
      <c r="F600" s="91" t="n"/>
      <c r="G600" s="91" t="n"/>
      <c r="H600" s="91" t="n"/>
      <c r="I600" s="91" t="n"/>
      <c r="J600" s="91" t="n"/>
      <c r="K600" s="91" t="n"/>
      <c r="L600" s="91" t="n"/>
      <c r="M600" s="91" t="n"/>
      <c r="N600" s="91" t="n"/>
      <c r="O600" s="91" t="n"/>
      <c r="P600" s="91" t="n"/>
      <c r="Q600" s="91" t="n"/>
      <c r="R600" s="91" t="n"/>
      <c r="S600" s="91" t="n"/>
      <c r="T600" s="91" t="n"/>
      <c r="U600" s="91" t="n"/>
      <c r="V600" s="91" t="n"/>
      <c r="W600" s="91" t="n"/>
      <c r="X600" s="91" t="n"/>
      <c r="Y600" s="91" t="n"/>
      <c r="Z600" s="91" t="n"/>
      <c r="AA600" s="91" t="n"/>
    </row>
    <row r="601" ht="12.75" customHeight="1" s="117">
      <c r="A601" s="91" t="n"/>
      <c r="B601" s="91" t="n"/>
      <c r="C601" s="91" t="n"/>
      <c r="D601" s="91" t="n"/>
      <c r="E601" s="91" t="n"/>
      <c r="F601" s="91" t="n"/>
      <c r="G601" s="91" t="n"/>
      <c r="H601" s="91" t="n"/>
      <c r="I601" s="91" t="n"/>
      <c r="J601" s="91" t="n"/>
      <c r="K601" s="91" t="n"/>
      <c r="L601" s="91" t="n"/>
      <c r="M601" s="91" t="n"/>
      <c r="N601" s="91" t="n"/>
      <c r="O601" s="91" t="n"/>
      <c r="P601" s="91" t="n"/>
      <c r="Q601" s="91" t="n"/>
      <c r="R601" s="91" t="n"/>
      <c r="S601" s="91" t="n"/>
      <c r="T601" s="91" t="n"/>
      <c r="U601" s="91" t="n"/>
      <c r="V601" s="91" t="n"/>
      <c r="W601" s="91" t="n"/>
      <c r="X601" s="91" t="n"/>
      <c r="Y601" s="91" t="n"/>
      <c r="Z601" s="91" t="n"/>
      <c r="AA601" s="91" t="n"/>
    </row>
    <row r="602" ht="12.75" customHeight="1" s="117">
      <c r="A602" s="91" t="n"/>
      <c r="B602" s="91" t="n"/>
      <c r="C602" s="91" t="n"/>
      <c r="D602" s="91" t="n"/>
      <c r="E602" s="91" t="n"/>
      <c r="F602" s="91" t="n"/>
      <c r="G602" s="91" t="n"/>
      <c r="H602" s="91" t="n"/>
      <c r="I602" s="91" t="n"/>
      <c r="J602" s="91" t="n"/>
      <c r="K602" s="91" t="n"/>
      <c r="L602" s="91" t="n"/>
      <c r="M602" s="91" t="n"/>
      <c r="N602" s="91" t="n"/>
      <c r="O602" s="91" t="n"/>
      <c r="P602" s="91" t="n"/>
      <c r="Q602" s="91" t="n"/>
      <c r="R602" s="91" t="n"/>
      <c r="S602" s="91" t="n"/>
      <c r="T602" s="91" t="n"/>
      <c r="U602" s="91" t="n"/>
      <c r="V602" s="91" t="n"/>
      <c r="W602" s="91" t="n"/>
      <c r="X602" s="91" t="n"/>
      <c r="Y602" s="91" t="n"/>
      <c r="Z602" s="91" t="n"/>
      <c r="AA602" s="91" t="n"/>
    </row>
    <row r="603" ht="12.75" customHeight="1" s="117">
      <c r="A603" s="91" t="n"/>
      <c r="B603" s="91" t="n"/>
      <c r="C603" s="91" t="n"/>
      <c r="D603" s="91" t="n"/>
      <c r="E603" s="91" t="n"/>
      <c r="F603" s="91" t="n"/>
      <c r="G603" s="91" t="n"/>
      <c r="H603" s="91" t="n"/>
      <c r="I603" s="91" t="n"/>
      <c r="J603" s="91" t="n"/>
      <c r="K603" s="91" t="n"/>
      <c r="L603" s="91" t="n"/>
      <c r="M603" s="91" t="n"/>
      <c r="N603" s="91" t="n"/>
      <c r="O603" s="91" t="n"/>
      <c r="P603" s="91" t="n"/>
      <c r="Q603" s="91" t="n"/>
      <c r="R603" s="91" t="n"/>
      <c r="S603" s="91" t="n"/>
      <c r="T603" s="91" t="n"/>
      <c r="U603" s="91" t="n"/>
      <c r="V603" s="91" t="n"/>
      <c r="W603" s="91" t="n"/>
      <c r="X603" s="91" t="n"/>
      <c r="Y603" s="91" t="n"/>
      <c r="Z603" s="91" t="n"/>
      <c r="AA603" s="91" t="n"/>
    </row>
    <row r="604" ht="12.75" customHeight="1" s="117">
      <c r="A604" s="91" t="n"/>
      <c r="B604" s="91" t="n"/>
      <c r="C604" s="91" t="n"/>
      <c r="D604" s="91" t="n"/>
      <c r="E604" s="91" t="n"/>
      <c r="F604" s="91" t="n"/>
      <c r="G604" s="91" t="n"/>
      <c r="H604" s="91" t="n"/>
      <c r="I604" s="91" t="n"/>
      <c r="J604" s="91" t="n"/>
      <c r="K604" s="91" t="n"/>
      <c r="L604" s="91" t="n"/>
      <c r="M604" s="91" t="n"/>
      <c r="N604" s="91" t="n"/>
      <c r="O604" s="91" t="n"/>
      <c r="P604" s="91" t="n"/>
      <c r="Q604" s="91" t="n"/>
      <c r="R604" s="91" t="n"/>
      <c r="S604" s="91" t="n"/>
      <c r="T604" s="91" t="n"/>
      <c r="U604" s="91" t="n"/>
      <c r="V604" s="91" t="n"/>
      <c r="W604" s="91" t="n"/>
      <c r="X604" s="91" t="n"/>
      <c r="Y604" s="91" t="n"/>
      <c r="Z604" s="91" t="n"/>
      <c r="AA604" s="91" t="n"/>
    </row>
    <row r="605" ht="12.75" customHeight="1" s="117">
      <c r="A605" s="91" t="n"/>
      <c r="B605" s="91" t="n"/>
      <c r="C605" s="91" t="n"/>
      <c r="D605" s="91" t="n"/>
      <c r="E605" s="91" t="n"/>
      <c r="F605" s="91" t="n"/>
      <c r="G605" s="91" t="n"/>
      <c r="H605" s="91" t="n"/>
      <c r="I605" s="91" t="n"/>
      <c r="J605" s="91" t="n"/>
      <c r="K605" s="91" t="n"/>
      <c r="L605" s="91" t="n"/>
      <c r="M605" s="91" t="n"/>
      <c r="N605" s="91" t="n"/>
      <c r="O605" s="91" t="n"/>
      <c r="P605" s="91" t="n"/>
      <c r="Q605" s="91" t="n"/>
      <c r="R605" s="91" t="n"/>
      <c r="S605" s="91" t="n"/>
      <c r="T605" s="91" t="n"/>
      <c r="U605" s="91" t="n"/>
      <c r="V605" s="91" t="n"/>
      <c r="W605" s="91" t="n"/>
      <c r="X605" s="91" t="n"/>
      <c r="Y605" s="91" t="n"/>
      <c r="Z605" s="91" t="n"/>
      <c r="AA605" s="91" t="n"/>
    </row>
    <row r="606" ht="12.75" customHeight="1" s="117">
      <c r="A606" s="91" t="n"/>
      <c r="B606" s="91" t="n"/>
      <c r="C606" s="91" t="n"/>
      <c r="D606" s="91" t="n"/>
      <c r="E606" s="91" t="n"/>
      <c r="F606" s="91" t="n"/>
      <c r="G606" s="91" t="n"/>
      <c r="H606" s="91" t="n"/>
      <c r="I606" s="91" t="n"/>
      <c r="J606" s="91" t="n"/>
      <c r="K606" s="91" t="n"/>
      <c r="L606" s="91" t="n"/>
      <c r="M606" s="91" t="n"/>
      <c r="N606" s="91" t="n"/>
      <c r="O606" s="91" t="n"/>
      <c r="P606" s="91" t="n"/>
      <c r="Q606" s="91" t="n"/>
      <c r="R606" s="91" t="n"/>
      <c r="S606" s="91" t="n"/>
      <c r="T606" s="91" t="n"/>
      <c r="U606" s="91" t="n"/>
      <c r="V606" s="91" t="n"/>
      <c r="W606" s="91" t="n"/>
      <c r="X606" s="91" t="n"/>
      <c r="Y606" s="91" t="n"/>
      <c r="Z606" s="91" t="n"/>
      <c r="AA606" s="91" t="n"/>
    </row>
    <row r="607" ht="12.75" customHeight="1" s="117">
      <c r="A607" s="91" t="n"/>
      <c r="B607" s="91" t="n"/>
      <c r="C607" s="91" t="n"/>
      <c r="D607" s="91" t="n"/>
      <c r="E607" s="91" t="n"/>
      <c r="F607" s="91" t="n"/>
      <c r="G607" s="91" t="n"/>
      <c r="H607" s="91" t="n"/>
      <c r="I607" s="91" t="n"/>
      <c r="J607" s="91" t="n"/>
      <c r="K607" s="91" t="n"/>
      <c r="L607" s="91" t="n"/>
      <c r="M607" s="91" t="n"/>
      <c r="N607" s="91" t="n"/>
      <c r="O607" s="91" t="n"/>
      <c r="P607" s="91" t="n"/>
      <c r="Q607" s="91" t="n"/>
      <c r="R607" s="91" t="n"/>
      <c r="S607" s="91" t="n"/>
      <c r="T607" s="91" t="n"/>
      <c r="U607" s="91" t="n"/>
      <c r="V607" s="91" t="n"/>
      <c r="W607" s="91" t="n"/>
      <c r="X607" s="91" t="n"/>
      <c r="Y607" s="91" t="n"/>
      <c r="Z607" s="91" t="n"/>
      <c r="AA607" s="91" t="n"/>
    </row>
    <row r="608" ht="12.75" customHeight="1" s="117">
      <c r="A608" s="91" t="n"/>
      <c r="B608" s="91" t="n"/>
      <c r="C608" s="91" t="n"/>
      <c r="D608" s="91" t="n"/>
      <c r="E608" s="91" t="n"/>
      <c r="F608" s="91" t="n"/>
      <c r="G608" s="91" t="n"/>
      <c r="H608" s="91" t="n"/>
      <c r="I608" s="91" t="n"/>
      <c r="J608" s="91" t="n"/>
      <c r="K608" s="91" t="n"/>
      <c r="L608" s="91" t="n"/>
      <c r="M608" s="91" t="n"/>
      <c r="N608" s="91" t="n"/>
      <c r="O608" s="91" t="n"/>
      <c r="P608" s="91" t="n"/>
      <c r="Q608" s="91" t="n"/>
      <c r="R608" s="91" t="n"/>
      <c r="S608" s="91" t="n"/>
      <c r="T608" s="91" t="n"/>
      <c r="U608" s="91" t="n"/>
      <c r="V608" s="91" t="n"/>
      <c r="W608" s="91" t="n"/>
      <c r="X608" s="91" t="n"/>
      <c r="Y608" s="91" t="n"/>
      <c r="Z608" s="91" t="n"/>
      <c r="AA608" s="91" t="n"/>
    </row>
    <row r="609" ht="12.75" customHeight="1" s="117">
      <c r="A609" s="91" t="n"/>
      <c r="B609" s="91" t="n"/>
      <c r="C609" s="91" t="n"/>
      <c r="D609" s="91" t="n"/>
      <c r="E609" s="91" t="n"/>
      <c r="F609" s="91" t="n"/>
      <c r="G609" s="91" t="n"/>
      <c r="H609" s="91" t="n"/>
      <c r="I609" s="91" t="n"/>
      <c r="J609" s="91" t="n"/>
      <c r="K609" s="91" t="n"/>
      <c r="L609" s="91" t="n"/>
      <c r="M609" s="91" t="n"/>
      <c r="N609" s="91" t="n"/>
      <c r="O609" s="91" t="n"/>
      <c r="P609" s="91" t="n"/>
      <c r="Q609" s="91" t="n"/>
      <c r="R609" s="91" t="n"/>
      <c r="S609" s="91" t="n"/>
      <c r="T609" s="91" t="n"/>
      <c r="U609" s="91" t="n"/>
      <c r="V609" s="91" t="n"/>
      <c r="W609" s="91" t="n"/>
      <c r="X609" s="91" t="n"/>
      <c r="Y609" s="91" t="n"/>
      <c r="Z609" s="91" t="n"/>
      <c r="AA609" s="91" t="n"/>
    </row>
    <row r="610" ht="12.75" customHeight="1" s="117">
      <c r="A610" s="91" t="n"/>
      <c r="B610" s="91" t="n"/>
      <c r="C610" s="91" t="n"/>
      <c r="D610" s="91" t="n"/>
      <c r="E610" s="91" t="n"/>
      <c r="F610" s="91" t="n"/>
      <c r="G610" s="91" t="n"/>
      <c r="H610" s="91" t="n"/>
      <c r="I610" s="91" t="n"/>
      <c r="J610" s="91" t="n"/>
      <c r="K610" s="91" t="n"/>
      <c r="L610" s="91" t="n"/>
      <c r="M610" s="91" t="n"/>
      <c r="N610" s="91" t="n"/>
      <c r="O610" s="91" t="n"/>
      <c r="P610" s="91" t="n"/>
      <c r="Q610" s="91" t="n"/>
      <c r="R610" s="91" t="n"/>
      <c r="S610" s="91" t="n"/>
      <c r="T610" s="91" t="n"/>
      <c r="U610" s="91" t="n"/>
      <c r="V610" s="91" t="n"/>
      <c r="W610" s="91" t="n"/>
      <c r="X610" s="91" t="n"/>
      <c r="Y610" s="91" t="n"/>
      <c r="Z610" s="91" t="n"/>
      <c r="AA610" s="91" t="n"/>
    </row>
    <row r="611" ht="12.75" customHeight="1" s="117">
      <c r="A611" s="91" t="n"/>
      <c r="B611" s="91" t="n"/>
      <c r="C611" s="91" t="n"/>
      <c r="D611" s="91" t="n"/>
      <c r="E611" s="91" t="n"/>
      <c r="F611" s="91" t="n"/>
      <c r="G611" s="91" t="n"/>
      <c r="H611" s="91" t="n"/>
      <c r="I611" s="91" t="n"/>
      <c r="J611" s="91" t="n"/>
      <c r="K611" s="91" t="n"/>
      <c r="L611" s="91" t="n"/>
      <c r="M611" s="91" t="n"/>
      <c r="N611" s="91" t="n"/>
      <c r="O611" s="91" t="n"/>
      <c r="P611" s="91" t="n"/>
      <c r="Q611" s="91" t="n"/>
      <c r="R611" s="91" t="n"/>
      <c r="S611" s="91" t="n"/>
      <c r="T611" s="91" t="n"/>
      <c r="U611" s="91" t="n"/>
      <c r="V611" s="91" t="n"/>
      <c r="W611" s="91" t="n"/>
      <c r="X611" s="91" t="n"/>
      <c r="Y611" s="91" t="n"/>
      <c r="Z611" s="91" t="n"/>
      <c r="AA611" s="91" t="n"/>
    </row>
    <row r="612" ht="12.75" customHeight="1" s="117">
      <c r="A612" s="91" t="n"/>
      <c r="B612" s="91" t="n"/>
      <c r="C612" s="91" t="n"/>
      <c r="D612" s="91" t="n"/>
      <c r="E612" s="91" t="n"/>
      <c r="F612" s="91" t="n"/>
      <c r="G612" s="91" t="n"/>
      <c r="H612" s="91" t="n"/>
      <c r="I612" s="91" t="n"/>
      <c r="J612" s="91" t="n"/>
      <c r="K612" s="91" t="n"/>
      <c r="L612" s="91" t="n"/>
      <c r="M612" s="91" t="n"/>
      <c r="N612" s="91" t="n"/>
      <c r="O612" s="91" t="n"/>
      <c r="P612" s="91" t="n"/>
      <c r="Q612" s="91" t="n"/>
      <c r="R612" s="91" t="n"/>
      <c r="S612" s="91" t="n"/>
      <c r="T612" s="91" t="n"/>
      <c r="U612" s="91" t="n"/>
      <c r="V612" s="91" t="n"/>
      <c r="W612" s="91" t="n"/>
      <c r="X612" s="91" t="n"/>
      <c r="Y612" s="91" t="n"/>
      <c r="Z612" s="91" t="n"/>
      <c r="AA612" s="91" t="n"/>
    </row>
    <row r="613" ht="12.75" customHeight="1" s="117">
      <c r="A613" s="91" t="n"/>
      <c r="B613" s="91" t="n"/>
      <c r="C613" s="91" t="n"/>
      <c r="D613" s="91" t="n"/>
      <c r="E613" s="91" t="n"/>
      <c r="F613" s="91" t="n"/>
      <c r="G613" s="91" t="n"/>
      <c r="H613" s="91" t="n"/>
      <c r="I613" s="91" t="n"/>
      <c r="J613" s="91" t="n"/>
      <c r="K613" s="91" t="n"/>
      <c r="L613" s="91" t="n"/>
      <c r="M613" s="91" t="n"/>
      <c r="N613" s="91" t="n"/>
      <c r="O613" s="91" t="n"/>
      <c r="P613" s="91" t="n"/>
      <c r="Q613" s="91" t="n"/>
      <c r="R613" s="91" t="n"/>
      <c r="S613" s="91" t="n"/>
      <c r="T613" s="91" t="n"/>
      <c r="U613" s="91" t="n"/>
      <c r="V613" s="91" t="n"/>
      <c r="W613" s="91" t="n"/>
      <c r="X613" s="91" t="n"/>
      <c r="Y613" s="91" t="n"/>
      <c r="Z613" s="91" t="n"/>
      <c r="AA613" s="91" t="n"/>
    </row>
    <row r="614" ht="12.75" customHeight="1" s="117">
      <c r="A614" s="91" t="n"/>
      <c r="B614" s="91" t="n"/>
      <c r="C614" s="91" t="n"/>
      <c r="D614" s="91" t="n"/>
      <c r="E614" s="91" t="n"/>
      <c r="F614" s="91" t="n"/>
      <c r="G614" s="91" t="n"/>
      <c r="H614" s="91" t="n"/>
      <c r="I614" s="91" t="n"/>
      <c r="J614" s="91" t="n"/>
      <c r="K614" s="91" t="n"/>
      <c r="L614" s="91" t="n"/>
      <c r="M614" s="91" t="n"/>
      <c r="N614" s="91" t="n"/>
      <c r="O614" s="91" t="n"/>
      <c r="P614" s="91" t="n"/>
      <c r="Q614" s="91" t="n"/>
      <c r="R614" s="91" t="n"/>
      <c r="S614" s="91" t="n"/>
      <c r="T614" s="91" t="n"/>
      <c r="U614" s="91" t="n"/>
      <c r="V614" s="91" t="n"/>
      <c r="W614" s="91" t="n"/>
      <c r="X614" s="91" t="n"/>
      <c r="Y614" s="91" t="n"/>
      <c r="Z614" s="91" t="n"/>
      <c r="AA614" s="91" t="n"/>
    </row>
    <row r="615" ht="12.75" customHeight="1" s="117">
      <c r="A615" s="91" t="n"/>
      <c r="B615" s="91" t="n"/>
      <c r="C615" s="91" t="n"/>
      <c r="D615" s="91" t="n"/>
      <c r="E615" s="91" t="n"/>
      <c r="F615" s="91" t="n"/>
      <c r="G615" s="91" t="n"/>
      <c r="H615" s="91" t="n"/>
      <c r="I615" s="91" t="n"/>
      <c r="J615" s="91" t="n"/>
      <c r="K615" s="91" t="n"/>
      <c r="L615" s="91" t="n"/>
      <c r="M615" s="91" t="n"/>
      <c r="N615" s="91" t="n"/>
      <c r="O615" s="91" t="n"/>
      <c r="P615" s="91" t="n"/>
      <c r="Q615" s="91" t="n"/>
      <c r="R615" s="91" t="n"/>
      <c r="S615" s="91" t="n"/>
      <c r="T615" s="91" t="n"/>
      <c r="U615" s="91" t="n"/>
      <c r="V615" s="91" t="n"/>
      <c r="W615" s="91" t="n"/>
      <c r="X615" s="91" t="n"/>
      <c r="Y615" s="91" t="n"/>
      <c r="Z615" s="91" t="n"/>
      <c r="AA615" s="91" t="n"/>
    </row>
    <row r="616" ht="12.75" customHeight="1" s="117">
      <c r="A616" s="91" t="n"/>
      <c r="B616" s="91" t="n"/>
      <c r="C616" s="91" t="n"/>
      <c r="D616" s="91" t="n"/>
      <c r="E616" s="91" t="n"/>
      <c r="F616" s="91" t="n"/>
      <c r="G616" s="91" t="n"/>
      <c r="H616" s="91" t="n"/>
      <c r="I616" s="91" t="n"/>
      <c r="J616" s="91" t="n"/>
      <c r="K616" s="91" t="n"/>
      <c r="L616" s="91" t="n"/>
      <c r="M616" s="91" t="n"/>
      <c r="N616" s="91" t="n"/>
      <c r="O616" s="91" t="n"/>
      <c r="P616" s="91" t="n"/>
      <c r="Q616" s="91" t="n"/>
      <c r="R616" s="91" t="n"/>
      <c r="S616" s="91" t="n"/>
      <c r="T616" s="91" t="n"/>
      <c r="U616" s="91" t="n"/>
      <c r="V616" s="91" t="n"/>
      <c r="W616" s="91" t="n"/>
      <c r="X616" s="91" t="n"/>
      <c r="Y616" s="91" t="n"/>
      <c r="Z616" s="91" t="n"/>
      <c r="AA616" s="91" t="n"/>
    </row>
    <row r="617" ht="12.75" customHeight="1" s="117">
      <c r="A617" s="91" t="n"/>
      <c r="B617" s="91" t="n"/>
      <c r="C617" s="91" t="n"/>
      <c r="D617" s="91" t="n"/>
      <c r="E617" s="91" t="n"/>
      <c r="F617" s="91" t="n"/>
      <c r="G617" s="91" t="n"/>
      <c r="H617" s="91" t="n"/>
      <c r="I617" s="91" t="n"/>
      <c r="J617" s="91" t="n"/>
      <c r="K617" s="91" t="n"/>
      <c r="L617" s="91" t="n"/>
      <c r="M617" s="91" t="n"/>
      <c r="N617" s="91" t="n"/>
      <c r="O617" s="91" t="n"/>
      <c r="P617" s="91" t="n"/>
      <c r="Q617" s="91" t="n"/>
      <c r="R617" s="91" t="n"/>
      <c r="S617" s="91" t="n"/>
      <c r="T617" s="91" t="n"/>
      <c r="U617" s="91" t="n"/>
      <c r="V617" s="91" t="n"/>
      <c r="W617" s="91" t="n"/>
      <c r="X617" s="91" t="n"/>
      <c r="Y617" s="91" t="n"/>
      <c r="Z617" s="91" t="n"/>
      <c r="AA617" s="91" t="n"/>
    </row>
    <row r="618" ht="12.75" customHeight="1" s="117">
      <c r="A618" s="91" t="n"/>
      <c r="B618" s="91" t="n"/>
      <c r="C618" s="91" t="n"/>
      <c r="D618" s="91" t="n"/>
      <c r="E618" s="91" t="n"/>
      <c r="F618" s="91" t="n"/>
      <c r="G618" s="91" t="n"/>
      <c r="H618" s="91" t="n"/>
      <c r="I618" s="91" t="n"/>
      <c r="J618" s="91" t="n"/>
      <c r="K618" s="91" t="n"/>
      <c r="L618" s="91" t="n"/>
      <c r="M618" s="91" t="n"/>
      <c r="N618" s="91" t="n"/>
      <c r="O618" s="91" t="n"/>
      <c r="P618" s="91" t="n"/>
      <c r="Q618" s="91" t="n"/>
      <c r="R618" s="91" t="n"/>
      <c r="S618" s="91" t="n"/>
      <c r="T618" s="91" t="n"/>
      <c r="U618" s="91" t="n"/>
      <c r="V618" s="91" t="n"/>
      <c r="W618" s="91" t="n"/>
      <c r="X618" s="91" t="n"/>
      <c r="Y618" s="91" t="n"/>
      <c r="Z618" s="91" t="n"/>
      <c r="AA618" s="91" t="n"/>
    </row>
    <row r="619" ht="12.75" customHeight="1" s="117">
      <c r="A619" s="91" t="n"/>
      <c r="B619" s="91" t="n"/>
      <c r="C619" s="91" t="n"/>
      <c r="D619" s="91" t="n"/>
      <c r="E619" s="91" t="n"/>
      <c r="F619" s="91" t="n"/>
      <c r="G619" s="91" t="n"/>
      <c r="H619" s="91" t="n"/>
      <c r="I619" s="91" t="n"/>
      <c r="J619" s="91" t="n"/>
      <c r="K619" s="91" t="n"/>
      <c r="L619" s="91" t="n"/>
      <c r="M619" s="91" t="n"/>
      <c r="N619" s="91" t="n"/>
      <c r="O619" s="91" t="n"/>
      <c r="P619" s="91" t="n"/>
      <c r="Q619" s="91" t="n"/>
      <c r="R619" s="91" t="n"/>
      <c r="S619" s="91" t="n"/>
      <c r="T619" s="91" t="n"/>
      <c r="U619" s="91" t="n"/>
      <c r="V619" s="91" t="n"/>
      <c r="W619" s="91" t="n"/>
      <c r="X619" s="91" t="n"/>
      <c r="Y619" s="91" t="n"/>
      <c r="Z619" s="91" t="n"/>
      <c r="AA619" s="91" t="n"/>
    </row>
    <row r="620" ht="12.75" customHeight="1" s="117">
      <c r="A620" s="91" t="n"/>
      <c r="B620" s="91" t="n"/>
      <c r="C620" s="91" t="n"/>
      <c r="D620" s="91" t="n"/>
      <c r="E620" s="91" t="n"/>
      <c r="F620" s="91" t="n"/>
      <c r="G620" s="91" t="n"/>
      <c r="H620" s="91" t="n"/>
      <c r="I620" s="91" t="n"/>
      <c r="J620" s="91" t="n"/>
      <c r="K620" s="91" t="n"/>
      <c r="L620" s="91" t="n"/>
      <c r="M620" s="91" t="n"/>
      <c r="N620" s="91" t="n"/>
      <c r="O620" s="91" t="n"/>
      <c r="P620" s="91" t="n"/>
      <c r="Q620" s="91" t="n"/>
      <c r="R620" s="91" t="n"/>
      <c r="S620" s="91" t="n"/>
      <c r="T620" s="91" t="n"/>
      <c r="U620" s="91" t="n"/>
      <c r="V620" s="91" t="n"/>
      <c r="W620" s="91" t="n"/>
      <c r="X620" s="91" t="n"/>
      <c r="Y620" s="91" t="n"/>
      <c r="Z620" s="91" t="n"/>
      <c r="AA620" s="91" t="n"/>
    </row>
    <row r="621" ht="12.75" customHeight="1" s="117">
      <c r="A621" s="91" t="n"/>
      <c r="B621" s="91" t="n"/>
      <c r="C621" s="91" t="n"/>
      <c r="D621" s="91" t="n"/>
      <c r="E621" s="91" t="n"/>
      <c r="F621" s="91" t="n"/>
      <c r="G621" s="91" t="n"/>
      <c r="H621" s="91" t="n"/>
      <c r="I621" s="91" t="n"/>
      <c r="J621" s="91" t="n"/>
      <c r="K621" s="91" t="n"/>
      <c r="L621" s="91" t="n"/>
      <c r="M621" s="91" t="n"/>
      <c r="N621" s="91" t="n"/>
      <c r="O621" s="91" t="n"/>
      <c r="P621" s="91" t="n"/>
      <c r="Q621" s="91" t="n"/>
      <c r="R621" s="91" t="n"/>
      <c r="S621" s="91" t="n"/>
      <c r="T621" s="91" t="n"/>
      <c r="U621" s="91" t="n"/>
      <c r="V621" s="91" t="n"/>
      <c r="W621" s="91" t="n"/>
      <c r="X621" s="91" t="n"/>
      <c r="Y621" s="91" t="n"/>
      <c r="Z621" s="91" t="n"/>
      <c r="AA621" s="91" t="n"/>
    </row>
    <row r="622" ht="12.75" customHeight="1" s="117">
      <c r="A622" s="91" t="n"/>
      <c r="B622" s="91" t="n"/>
      <c r="C622" s="91" t="n"/>
      <c r="D622" s="91" t="n"/>
      <c r="E622" s="91" t="n"/>
      <c r="F622" s="91" t="n"/>
      <c r="G622" s="91" t="n"/>
      <c r="H622" s="91" t="n"/>
      <c r="I622" s="91" t="n"/>
      <c r="J622" s="91" t="n"/>
      <c r="K622" s="91" t="n"/>
      <c r="L622" s="91" t="n"/>
      <c r="M622" s="91" t="n"/>
      <c r="N622" s="91" t="n"/>
      <c r="O622" s="91" t="n"/>
      <c r="P622" s="91" t="n"/>
      <c r="Q622" s="91" t="n"/>
      <c r="R622" s="91" t="n"/>
      <c r="S622" s="91" t="n"/>
      <c r="T622" s="91" t="n"/>
      <c r="U622" s="91" t="n"/>
      <c r="V622" s="91" t="n"/>
      <c r="W622" s="91" t="n"/>
      <c r="X622" s="91" t="n"/>
      <c r="Y622" s="91" t="n"/>
      <c r="Z622" s="91" t="n"/>
      <c r="AA622" s="91" t="n"/>
    </row>
    <row r="623" ht="12.75" customHeight="1" s="117">
      <c r="A623" s="91" t="n"/>
      <c r="B623" s="91" t="n"/>
      <c r="C623" s="91" t="n"/>
      <c r="D623" s="91" t="n"/>
      <c r="E623" s="91" t="n"/>
      <c r="F623" s="91" t="n"/>
      <c r="G623" s="91" t="n"/>
      <c r="H623" s="91" t="n"/>
      <c r="I623" s="91" t="n"/>
      <c r="J623" s="91" t="n"/>
      <c r="K623" s="91" t="n"/>
      <c r="L623" s="91" t="n"/>
      <c r="M623" s="91" t="n"/>
      <c r="N623" s="91" t="n"/>
      <c r="O623" s="91" t="n"/>
      <c r="P623" s="91" t="n"/>
      <c r="Q623" s="91" t="n"/>
      <c r="R623" s="91" t="n"/>
      <c r="S623" s="91" t="n"/>
      <c r="T623" s="91" t="n"/>
      <c r="U623" s="91" t="n"/>
      <c r="V623" s="91" t="n"/>
      <c r="W623" s="91" t="n"/>
      <c r="X623" s="91" t="n"/>
      <c r="Y623" s="91" t="n"/>
      <c r="Z623" s="91" t="n"/>
      <c r="AA623" s="91" t="n"/>
    </row>
    <row r="624" ht="12.75" customHeight="1" s="117">
      <c r="A624" s="91" t="n"/>
      <c r="B624" s="91" t="n"/>
      <c r="C624" s="91" t="n"/>
      <c r="D624" s="91" t="n"/>
      <c r="E624" s="91" t="n"/>
      <c r="F624" s="91" t="n"/>
      <c r="G624" s="91" t="n"/>
      <c r="H624" s="91" t="n"/>
      <c r="I624" s="91" t="n"/>
      <c r="J624" s="91" t="n"/>
      <c r="K624" s="91" t="n"/>
      <c r="L624" s="91" t="n"/>
      <c r="M624" s="91" t="n"/>
      <c r="N624" s="91" t="n"/>
      <c r="O624" s="91" t="n"/>
      <c r="P624" s="91" t="n"/>
      <c r="Q624" s="91" t="n"/>
      <c r="R624" s="91" t="n"/>
      <c r="S624" s="91" t="n"/>
      <c r="T624" s="91" t="n"/>
      <c r="U624" s="91" t="n"/>
      <c r="V624" s="91" t="n"/>
      <c r="W624" s="91" t="n"/>
      <c r="X624" s="91" t="n"/>
      <c r="Y624" s="91" t="n"/>
      <c r="Z624" s="91" t="n"/>
      <c r="AA624" s="91" t="n"/>
    </row>
    <row r="625" ht="12.75" customHeight="1" s="117">
      <c r="A625" s="91" t="n"/>
      <c r="B625" s="91" t="n"/>
      <c r="C625" s="91" t="n"/>
      <c r="D625" s="91" t="n"/>
      <c r="E625" s="91" t="n"/>
      <c r="F625" s="91" t="n"/>
      <c r="G625" s="91" t="n"/>
      <c r="H625" s="91" t="n"/>
      <c r="I625" s="91" t="n"/>
      <c r="J625" s="91" t="n"/>
      <c r="K625" s="91" t="n"/>
      <c r="L625" s="91" t="n"/>
      <c r="M625" s="91" t="n"/>
      <c r="N625" s="91" t="n"/>
      <c r="O625" s="91" t="n"/>
      <c r="P625" s="91" t="n"/>
      <c r="Q625" s="91" t="n"/>
      <c r="R625" s="91" t="n"/>
      <c r="S625" s="91" t="n"/>
      <c r="T625" s="91" t="n"/>
      <c r="U625" s="91" t="n"/>
      <c r="V625" s="91" t="n"/>
      <c r="W625" s="91" t="n"/>
      <c r="X625" s="91" t="n"/>
      <c r="Y625" s="91" t="n"/>
      <c r="Z625" s="91" t="n"/>
      <c r="AA625" s="91" t="n"/>
    </row>
    <row r="626" ht="12.75" customHeight="1" s="117">
      <c r="A626" s="91" t="n"/>
      <c r="B626" s="91" t="n"/>
      <c r="C626" s="91" t="n"/>
      <c r="D626" s="91" t="n"/>
      <c r="E626" s="91" t="n"/>
      <c r="F626" s="91" t="n"/>
      <c r="G626" s="91" t="n"/>
      <c r="H626" s="91" t="n"/>
      <c r="I626" s="91" t="n"/>
      <c r="J626" s="91" t="n"/>
      <c r="K626" s="91" t="n"/>
      <c r="L626" s="91" t="n"/>
      <c r="M626" s="91" t="n"/>
      <c r="N626" s="91" t="n"/>
      <c r="O626" s="91" t="n"/>
      <c r="P626" s="91" t="n"/>
      <c r="Q626" s="91" t="n"/>
      <c r="R626" s="91" t="n"/>
      <c r="S626" s="91" t="n"/>
      <c r="T626" s="91" t="n"/>
      <c r="U626" s="91" t="n"/>
      <c r="V626" s="91" t="n"/>
      <c r="W626" s="91" t="n"/>
      <c r="X626" s="91" t="n"/>
      <c r="Y626" s="91" t="n"/>
      <c r="Z626" s="91" t="n"/>
      <c r="AA626" s="91" t="n"/>
    </row>
    <row r="627" ht="12.75" customHeight="1" s="117">
      <c r="A627" s="91" t="n"/>
      <c r="B627" s="91" t="n"/>
      <c r="C627" s="91" t="n"/>
      <c r="D627" s="91" t="n"/>
      <c r="E627" s="91" t="n"/>
      <c r="F627" s="91" t="n"/>
      <c r="G627" s="91" t="n"/>
      <c r="H627" s="91" t="n"/>
      <c r="I627" s="91" t="n"/>
      <c r="J627" s="91" t="n"/>
      <c r="K627" s="91" t="n"/>
      <c r="L627" s="91" t="n"/>
      <c r="M627" s="91" t="n"/>
      <c r="N627" s="91" t="n"/>
      <c r="O627" s="91" t="n"/>
      <c r="P627" s="91" t="n"/>
      <c r="Q627" s="91" t="n"/>
      <c r="R627" s="91" t="n"/>
      <c r="S627" s="91" t="n"/>
      <c r="T627" s="91" t="n"/>
      <c r="U627" s="91" t="n"/>
      <c r="V627" s="91" t="n"/>
      <c r="W627" s="91" t="n"/>
      <c r="X627" s="91" t="n"/>
      <c r="Y627" s="91" t="n"/>
      <c r="Z627" s="91" t="n"/>
      <c r="AA627" s="91" t="n"/>
    </row>
    <row r="628" ht="12.75" customHeight="1" s="117">
      <c r="A628" s="91" t="n"/>
      <c r="B628" s="91" t="n"/>
      <c r="C628" s="91" t="n"/>
      <c r="D628" s="91" t="n"/>
      <c r="E628" s="91" t="n"/>
      <c r="F628" s="91" t="n"/>
      <c r="G628" s="91" t="n"/>
      <c r="H628" s="91" t="n"/>
      <c r="I628" s="91" t="n"/>
      <c r="J628" s="91" t="n"/>
      <c r="K628" s="91" t="n"/>
      <c r="L628" s="91" t="n"/>
      <c r="M628" s="91" t="n"/>
      <c r="N628" s="91" t="n"/>
      <c r="O628" s="91" t="n"/>
      <c r="P628" s="91" t="n"/>
      <c r="Q628" s="91" t="n"/>
      <c r="R628" s="91" t="n"/>
      <c r="S628" s="91" t="n"/>
      <c r="T628" s="91" t="n"/>
      <c r="U628" s="91" t="n"/>
      <c r="V628" s="91" t="n"/>
      <c r="W628" s="91" t="n"/>
      <c r="X628" s="91" t="n"/>
      <c r="Y628" s="91" t="n"/>
      <c r="Z628" s="91" t="n"/>
      <c r="AA628" s="91" t="n"/>
    </row>
    <row r="629" ht="12.75" customHeight="1" s="117">
      <c r="A629" s="91" t="n"/>
      <c r="B629" s="91" t="n"/>
      <c r="C629" s="91" t="n"/>
      <c r="D629" s="91" t="n"/>
      <c r="E629" s="91" t="n"/>
      <c r="F629" s="91" t="n"/>
      <c r="G629" s="91" t="n"/>
      <c r="H629" s="91" t="n"/>
      <c r="I629" s="91" t="n"/>
      <c r="J629" s="91" t="n"/>
      <c r="K629" s="91" t="n"/>
      <c r="L629" s="91" t="n"/>
      <c r="M629" s="91" t="n"/>
      <c r="N629" s="91" t="n"/>
      <c r="O629" s="91" t="n"/>
      <c r="P629" s="91" t="n"/>
      <c r="Q629" s="91" t="n"/>
      <c r="R629" s="91" t="n"/>
      <c r="S629" s="91" t="n"/>
      <c r="T629" s="91" t="n"/>
      <c r="U629" s="91" t="n"/>
      <c r="V629" s="91" t="n"/>
      <c r="W629" s="91" t="n"/>
      <c r="X629" s="91" t="n"/>
      <c r="Y629" s="91" t="n"/>
      <c r="Z629" s="91" t="n"/>
      <c r="AA629" s="91" t="n"/>
    </row>
    <row r="630" ht="12.75" customHeight="1" s="117">
      <c r="A630" s="91" t="n"/>
      <c r="B630" s="91" t="n"/>
      <c r="C630" s="91" t="n"/>
      <c r="D630" s="91" t="n"/>
      <c r="E630" s="91" t="n"/>
      <c r="F630" s="91" t="n"/>
      <c r="G630" s="91" t="n"/>
      <c r="H630" s="91" t="n"/>
      <c r="I630" s="91" t="n"/>
      <c r="J630" s="91" t="n"/>
      <c r="K630" s="91" t="n"/>
      <c r="L630" s="91" t="n"/>
      <c r="M630" s="91" t="n"/>
      <c r="N630" s="91" t="n"/>
      <c r="O630" s="91" t="n"/>
      <c r="P630" s="91" t="n"/>
      <c r="Q630" s="91" t="n"/>
      <c r="R630" s="91" t="n"/>
      <c r="S630" s="91" t="n"/>
      <c r="T630" s="91" t="n"/>
      <c r="U630" s="91" t="n"/>
      <c r="V630" s="91" t="n"/>
      <c r="W630" s="91" t="n"/>
      <c r="X630" s="91" t="n"/>
      <c r="Y630" s="91" t="n"/>
      <c r="Z630" s="91" t="n"/>
      <c r="AA630" s="91" t="n"/>
    </row>
    <row r="631" ht="12.75" customHeight="1" s="117">
      <c r="A631" s="91" t="n"/>
      <c r="B631" s="91" t="n"/>
      <c r="C631" s="91" t="n"/>
      <c r="D631" s="91" t="n"/>
      <c r="E631" s="91" t="n"/>
      <c r="F631" s="91" t="n"/>
      <c r="G631" s="91" t="n"/>
      <c r="H631" s="91" t="n"/>
      <c r="I631" s="91" t="n"/>
      <c r="J631" s="91" t="n"/>
      <c r="K631" s="91" t="n"/>
      <c r="L631" s="91" t="n"/>
      <c r="M631" s="91" t="n"/>
      <c r="N631" s="91" t="n"/>
      <c r="O631" s="91" t="n"/>
      <c r="P631" s="91" t="n"/>
      <c r="Q631" s="91" t="n"/>
      <c r="R631" s="91" t="n"/>
      <c r="S631" s="91" t="n"/>
      <c r="T631" s="91" t="n"/>
      <c r="U631" s="91" t="n"/>
      <c r="V631" s="91" t="n"/>
      <c r="W631" s="91" t="n"/>
      <c r="X631" s="91" t="n"/>
      <c r="Y631" s="91" t="n"/>
      <c r="Z631" s="91" t="n"/>
      <c r="AA631" s="91" t="n"/>
    </row>
    <row r="632" ht="12.75" customHeight="1" s="117">
      <c r="A632" s="91" t="n"/>
      <c r="B632" s="91" t="n"/>
      <c r="C632" s="91" t="n"/>
      <c r="D632" s="91" t="n"/>
      <c r="E632" s="91" t="n"/>
      <c r="F632" s="91" t="n"/>
      <c r="G632" s="91" t="n"/>
      <c r="H632" s="91" t="n"/>
      <c r="I632" s="91" t="n"/>
      <c r="J632" s="91" t="n"/>
      <c r="K632" s="91" t="n"/>
      <c r="L632" s="91" t="n"/>
      <c r="M632" s="91" t="n"/>
      <c r="N632" s="91" t="n"/>
      <c r="O632" s="91" t="n"/>
      <c r="P632" s="91" t="n"/>
      <c r="Q632" s="91" t="n"/>
      <c r="R632" s="91" t="n"/>
      <c r="S632" s="91" t="n"/>
      <c r="T632" s="91" t="n"/>
      <c r="U632" s="91" t="n"/>
      <c r="V632" s="91" t="n"/>
      <c r="W632" s="91" t="n"/>
      <c r="X632" s="91" t="n"/>
      <c r="Y632" s="91" t="n"/>
      <c r="Z632" s="91" t="n"/>
      <c r="AA632" s="91" t="n"/>
    </row>
    <row r="633" ht="12.75" customHeight="1" s="117">
      <c r="A633" s="91" t="n"/>
      <c r="B633" s="91" t="n"/>
      <c r="C633" s="91" t="n"/>
      <c r="D633" s="91" t="n"/>
      <c r="E633" s="91" t="n"/>
      <c r="F633" s="91" t="n"/>
      <c r="G633" s="91" t="n"/>
      <c r="H633" s="91" t="n"/>
      <c r="I633" s="91" t="n"/>
      <c r="J633" s="91" t="n"/>
      <c r="K633" s="91" t="n"/>
      <c r="L633" s="91" t="n"/>
      <c r="M633" s="91" t="n"/>
      <c r="N633" s="91" t="n"/>
      <c r="O633" s="91" t="n"/>
      <c r="P633" s="91" t="n"/>
      <c r="Q633" s="91" t="n"/>
      <c r="R633" s="91" t="n"/>
      <c r="S633" s="91" t="n"/>
      <c r="T633" s="91" t="n"/>
      <c r="U633" s="91" t="n"/>
      <c r="V633" s="91" t="n"/>
      <c r="W633" s="91" t="n"/>
      <c r="X633" s="91" t="n"/>
      <c r="Y633" s="91" t="n"/>
      <c r="Z633" s="91" t="n"/>
      <c r="AA633" s="91" t="n"/>
    </row>
    <row r="634" ht="12.75" customHeight="1" s="117">
      <c r="A634" s="91" t="n"/>
      <c r="B634" s="91" t="n"/>
      <c r="C634" s="91" t="n"/>
      <c r="D634" s="91" t="n"/>
      <c r="E634" s="91" t="n"/>
      <c r="F634" s="91" t="n"/>
      <c r="G634" s="91" t="n"/>
      <c r="H634" s="91" t="n"/>
      <c r="I634" s="91" t="n"/>
      <c r="J634" s="91" t="n"/>
      <c r="K634" s="91" t="n"/>
      <c r="L634" s="91" t="n"/>
      <c r="M634" s="91" t="n"/>
      <c r="N634" s="91" t="n"/>
      <c r="O634" s="91" t="n"/>
      <c r="P634" s="91" t="n"/>
      <c r="Q634" s="91" t="n"/>
      <c r="R634" s="91" t="n"/>
      <c r="S634" s="91" t="n"/>
      <c r="T634" s="91" t="n"/>
      <c r="U634" s="91" t="n"/>
      <c r="V634" s="91" t="n"/>
      <c r="W634" s="91" t="n"/>
      <c r="X634" s="91" t="n"/>
      <c r="Y634" s="91" t="n"/>
      <c r="Z634" s="91" t="n"/>
      <c r="AA634" s="91" t="n"/>
    </row>
    <row r="635" ht="12.75" customHeight="1" s="117">
      <c r="A635" s="91" t="n"/>
      <c r="B635" s="91" t="n"/>
      <c r="C635" s="91" t="n"/>
      <c r="D635" s="91" t="n"/>
      <c r="E635" s="91" t="n"/>
      <c r="F635" s="91" t="n"/>
      <c r="G635" s="91" t="n"/>
      <c r="H635" s="91" t="n"/>
      <c r="I635" s="91" t="n"/>
      <c r="J635" s="91" t="n"/>
      <c r="K635" s="91" t="n"/>
      <c r="L635" s="91" t="n"/>
      <c r="M635" s="91" t="n"/>
      <c r="N635" s="91" t="n"/>
      <c r="O635" s="91" t="n"/>
      <c r="P635" s="91" t="n"/>
      <c r="Q635" s="91" t="n"/>
      <c r="R635" s="91" t="n"/>
      <c r="S635" s="91" t="n"/>
      <c r="T635" s="91" t="n"/>
      <c r="U635" s="91" t="n"/>
      <c r="V635" s="91" t="n"/>
      <c r="W635" s="91" t="n"/>
      <c r="X635" s="91" t="n"/>
      <c r="Y635" s="91" t="n"/>
      <c r="Z635" s="91" t="n"/>
      <c r="AA635" s="91" t="n"/>
    </row>
    <row r="636" ht="12.75" customHeight="1" s="117">
      <c r="A636" s="91" t="n"/>
      <c r="B636" s="91" t="n"/>
      <c r="C636" s="91" t="n"/>
      <c r="D636" s="91" t="n"/>
      <c r="E636" s="91" t="n"/>
      <c r="F636" s="91" t="n"/>
      <c r="G636" s="91" t="n"/>
      <c r="H636" s="91" t="n"/>
      <c r="I636" s="91" t="n"/>
      <c r="J636" s="91" t="n"/>
      <c r="K636" s="91" t="n"/>
      <c r="L636" s="91" t="n"/>
      <c r="M636" s="91" t="n"/>
      <c r="N636" s="91" t="n"/>
      <c r="O636" s="91" t="n"/>
      <c r="P636" s="91" t="n"/>
      <c r="Q636" s="91" t="n"/>
      <c r="R636" s="91" t="n"/>
      <c r="S636" s="91" t="n"/>
      <c r="T636" s="91" t="n"/>
      <c r="U636" s="91" t="n"/>
      <c r="V636" s="91" t="n"/>
      <c r="W636" s="91" t="n"/>
      <c r="X636" s="91" t="n"/>
      <c r="Y636" s="91" t="n"/>
      <c r="Z636" s="91" t="n"/>
      <c r="AA636" s="91" t="n"/>
    </row>
    <row r="637" ht="12.75" customHeight="1" s="117">
      <c r="A637" s="91" t="n"/>
      <c r="B637" s="91" t="n"/>
      <c r="C637" s="91" t="n"/>
      <c r="D637" s="91" t="n"/>
      <c r="E637" s="91" t="n"/>
      <c r="F637" s="91" t="n"/>
      <c r="G637" s="91" t="n"/>
      <c r="H637" s="91" t="n"/>
      <c r="I637" s="91" t="n"/>
      <c r="J637" s="91" t="n"/>
      <c r="K637" s="91" t="n"/>
      <c r="L637" s="91" t="n"/>
      <c r="M637" s="91" t="n"/>
      <c r="N637" s="91" t="n"/>
      <c r="O637" s="91" t="n"/>
      <c r="P637" s="91" t="n"/>
      <c r="Q637" s="91" t="n"/>
      <c r="R637" s="91" t="n"/>
      <c r="S637" s="91" t="n"/>
      <c r="T637" s="91" t="n"/>
      <c r="U637" s="91" t="n"/>
      <c r="V637" s="91" t="n"/>
      <c r="W637" s="91" t="n"/>
      <c r="X637" s="91" t="n"/>
      <c r="Y637" s="91" t="n"/>
      <c r="Z637" s="91" t="n"/>
      <c r="AA637" s="91" t="n"/>
    </row>
    <row r="638" ht="12.75" customHeight="1" s="117">
      <c r="A638" s="91" t="n"/>
      <c r="B638" s="91" t="n"/>
      <c r="C638" s="91" t="n"/>
      <c r="D638" s="91" t="n"/>
      <c r="E638" s="91" t="n"/>
      <c r="F638" s="91" t="n"/>
      <c r="G638" s="91" t="n"/>
      <c r="H638" s="91" t="n"/>
      <c r="I638" s="91" t="n"/>
      <c r="J638" s="91" t="n"/>
      <c r="K638" s="91" t="n"/>
      <c r="L638" s="91" t="n"/>
      <c r="M638" s="91" t="n"/>
      <c r="N638" s="91" t="n"/>
      <c r="O638" s="91" t="n"/>
      <c r="P638" s="91" t="n"/>
      <c r="Q638" s="91" t="n"/>
      <c r="R638" s="91" t="n"/>
      <c r="S638" s="91" t="n"/>
      <c r="T638" s="91" t="n"/>
      <c r="U638" s="91" t="n"/>
      <c r="V638" s="91" t="n"/>
      <c r="W638" s="91" t="n"/>
      <c r="X638" s="91" t="n"/>
      <c r="Y638" s="91" t="n"/>
      <c r="Z638" s="91" t="n"/>
      <c r="AA638" s="91" t="n"/>
    </row>
    <row r="639" ht="12.75" customHeight="1" s="117">
      <c r="A639" s="91" t="n"/>
      <c r="B639" s="91" t="n"/>
      <c r="C639" s="91" t="n"/>
      <c r="D639" s="91" t="n"/>
      <c r="E639" s="91" t="n"/>
      <c r="F639" s="91" t="n"/>
      <c r="G639" s="91" t="n"/>
      <c r="H639" s="91" t="n"/>
      <c r="I639" s="91" t="n"/>
      <c r="J639" s="91" t="n"/>
      <c r="K639" s="91" t="n"/>
      <c r="L639" s="91" t="n"/>
      <c r="M639" s="91" t="n"/>
      <c r="N639" s="91" t="n"/>
      <c r="O639" s="91" t="n"/>
      <c r="P639" s="91" t="n"/>
      <c r="Q639" s="91" t="n"/>
      <c r="R639" s="91" t="n"/>
      <c r="S639" s="91" t="n"/>
      <c r="T639" s="91" t="n"/>
      <c r="U639" s="91" t="n"/>
      <c r="V639" s="91" t="n"/>
      <c r="W639" s="91" t="n"/>
      <c r="X639" s="91" t="n"/>
      <c r="Y639" s="91" t="n"/>
      <c r="Z639" s="91" t="n"/>
      <c r="AA639" s="91" t="n"/>
    </row>
    <row r="640" ht="12.75" customHeight="1" s="117">
      <c r="A640" s="91" t="n"/>
      <c r="B640" s="91" t="n"/>
      <c r="C640" s="91" t="n"/>
      <c r="D640" s="91" t="n"/>
      <c r="E640" s="91" t="n"/>
      <c r="F640" s="91" t="n"/>
      <c r="G640" s="91" t="n"/>
      <c r="H640" s="91" t="n"/>
      <c r="I640" s="91" t="n"/>
      <c r="J640" s="91" t="n"/>
      <c r="K640" s="91" t="n"/>
      <c r="L640" s="91" t="n"/>
      <c r="M640" s="91" t="n"/>
      <c r="N640" s="91" t="n"/>
      <c r="O640" s="91" t="n"/>
      <c r="P640" s="91" t="n"/>
      <c r="Q640" s="91" t="n"/>
      <c r="R640" s="91" t="n"/>
      <c r="S640" s="91" t="n"/>
      <c r="T640" s="91" t="n"/>
      <c r="U640" s="91" t="n"/>
      <c r="V640" s="91" t="n"/>
      <c r="W640" s="91" t="n"/>
      <c r="X640" s="91" t="n"/>
      <c r="Y640" s="91" t="n"/>
      <c r="Z640" s="91" t="n"/>
      <c r="AA640" s="91" t="n"/>
    </row>
    <row r="641" ht="12.75" customHeight="1" s="117">
      <c r="A641" s="91" t="n"/>
      <c r="B641" s="91" t="n"/>
      <c r="C641" s="91" t="n"/>
      <c r="D641" s="91" t="n"/>
      <c r="E641" s="91" t="n"/>
      <c r="F641" s="91" t="n"/>
      <c r="G641" s="91" t="n"/>
      <c r="H641" s="91" t="n"/>
      <c r="I641" s="91" t="n"/>
      <c r="J641" s="91" t="n"/>
      <c r="K641" s="91" t="n"/>
      <c r="L641" s="91" t="n"/>
      <c r="M641" s="91" t="n"/>
      <c r="N641" s="91" t="n"/>
      <c r="O641" s="91" t="n"/>
      <c r="P641" s="91" t="n"/>
      <c r="Q641" s="91" t="n"/>
      <c r="R641" s="91" t="n"/>
      <c r="S641" s="91" t="n"/>
      <c r="T641" s="91" t="n"/>
      <c r="U641" s="91" t="n"/>
      <c r="V641" s="91" t="n"/>
      <c r="W641" s="91" t="n"/>
      <c r="X641" s="91" t="n"/>
      <c r="Y641" s="91" t="n"/>
      <c r="Z641" s="91" t="n"/>
      <c r="AA641" s="91" t="n"/>
    </row>
    <row r="642" ht="12.75" customHeight="1" s="117">
      <c r="A642" s="91" t="n"/>
      <c r="B642" s="91" t="n"/>
      <c r="C642" s="91" t="n"/>
      <c r="D642" s="91" t="n"/>
      <c r="E642" s="91" t="n"/>
      <c r="F642" s="91" t="n"/>
      <c r="G642" s="91" t="n"/>
      <c r="H642" s="91" t="n"/>
      <c r="I642" s="91" t="n"/>
      <c r="J642" s="91" t="n"/>
      <c r="K642" s="91" t="n"/>
      <c r="L642" s="91" t="n"/>
      <c r="M642" s="91" t="n"/>
      <c r="N642" s="91" t="n"/>
      <c r="O642" s="91" t="n"/>
      <c r="P642" s="91" t="n"/>
      <c r="Q642" s="91" t="n"/>
      <c r="R642" s="91" t="n"/>
      <c r="S642" s="91" t="n"/>
      <c r="T642" s="91" t="n"/>
      <c r="U642" s="91" t="n"/>
      <c r="V642" s="91" t="n"/>
      <c r="W642" s="91" t="n"/>
      <c r="X642" s="91" t="n"/>
      <c r="Y642" s="91" t="n"/>
      <c r="Z642" s="91" t="n"/>
      <c r="AA642" s="91" t="n"/>
    </row>
    <row r="643" ht="12.75" customHeight="1" s="117">
      <c r="A643" s="91" t="n"/>
      <c r="B643" s="91" t="n"/>
      <c r="C643" s="91" t="n"/>
      <c r="D643" s="91" t="n"/>
      <c r="E643" s="91" t="n"/>
      <c r="F643" s="91" t="n"/>
      <c r="G643" s="91" t="n"/>
      <c r="H643" s="91" t="n"/>
      <c r="I643" s="91" t="n"/>
      <c r="J643" s="91" t="n"/>
      <c r="K643" s="91" t="n"/>
      <c r="L643" s="91" t="n"/>
      <c r="M643" s="91" t="n"/>
      <c r="N643" s="91" t="n"/>
      <c r="O643" s="91" t="n"/>
      <c r="P643" s="91" t="n"/>
      <c r="Q643" s="91" t="n"/>
      <c r="R643" s="91" t="n"/>
      <c r="S643" s="91" t="n"/>
      <c r="T643" s="91" t="n"/>
      <c r="U643" s="91" t="n"/>
      <c r="V643" s="91" t="n"/>
      <c r="W643" s="91" t="n"/>
      <c r="X643" s="91" t="n"/>
      <c r="Y643" s="91" t="n"/>
      <c r="Z643" s="91" t="n"/>
      <c r="AA643" s="91" t="n"/>
    </row>
    <row r="644" ht="12.75" customHeight="1" s="117">
      <c r="A644" s="91" t="n"/>
      <c r="B644" s="91" t="n"/>
      <c r="C644" s="91" t="n"/>
      <c r="D644" s="91" t="n"/>
      <c r="E644" s="91" t="n"/>
      <c r="F644" s="91" t="n"/>
      <c r="G644" s="91" t="n"/>
      <c r="H644" s="91" t="n"/>
      <c r="I644" s="91" t="n"/>
      <c r="J644" s="91" t="n"/>
      <c r="K644" s="91" t="n"/>
      <c r="L644" s="91" t="n"/>
      <c r="M644" s="91" t="n"/>
      <c r="N644" s="91" t="n"/>
      <c r="O644" s="91" t="n"/>
      <c r="P644" s="91" t="n"/>
      <c r="Q644" s="91" t="n"/>
      <c r="R644" s="91" t="n"/>
      <c r="S644" s="91" t="n"/>
      <c r="T644" s="91" t="n"/>
      <c r="U644" s="91" t="n"/>
      <c r="V644" s="91" t="n"/>
      <c r="W644" s="91" t="n"/>
      <c r="X644" s="91" t="n"/>
      <c r="Y644" s="91" t="n"/>
      <c r="Z644" s="91" t="n"/>
      <c r="AA644" s="91" t="n"/>
    </row>
    <row r="645" ht="12.75" customHeight="1" s="117">
      <c r="A645" s="91" t="n"/>
      <c r="B645" s="91" t="n"/>
      <c r="C645" s="91" t="n"/>
      <c r="D645" s="91" t="n"/>
      <c r="E645" s="91" t="n"/>
      <c r="F645" s="91" t="n"/>
      <c r="G645" s="91" t="n"/>
      <c r="H645" s="91" t="n"/>
      <c r="I645" s="91" t="n"/>
      <c r="J645" s="91" t="n"/>
      <c r="K645" s="91" t="n"/>
      <c r="L645" s="91" t="n"/>
      <c r="M645" s="91" t="n"/>
      <c r="N645" s="91" t="n"/>
      <c r="O645" s="91" t="n"/>
      <c r="P645" s="91" t="n"/>
      <c r="Q645" s="91" t="n"/>
      <c r="R645" s="91" t="n"/>
      <c r="S645" s="91" t="n"/>
      <c r="T645" s="91" t="n"/>
      <c r="U645" s="91" t="n"/>
      <c r="V645" s="91" t="n"/>
      <c r="W645" s="91" t="n"/>
      <c r="X645" s="91" t="n"/>
      <c r="Y645" s="91" t="n"/>
      <c r="Z645" s="91" t="n"/>
      <c r="AA645" s="91" t="n"/>
    </row>
    <row r="646" ht="12.75" customHeight="1" s="117">
      <c r="A646" s="91" t="n"/>
      <c r="B646" s="91" t="n"/>
      <c r="C646" s="91" t="n"/>
      <c r="D646" s="91" t="n"/>
      <c r="E646" s="91" t="n"/>
      <c r="F646" s="91" t="n"/>
      <c r="G646" s="91" t="n"/>
      <c r="H646" s="91" t="n"/>
      <c r="I646" s="91" t="n"/>
      <c r="J646" s="91" t="n"/>
      <c r="K646" s="91" t="n"/>
      <c r="L646" s="91" t="n"/>
      <c r="M646" s="91" t="n"/>
      <c r="N646" s="91" t="n"/>
      <c r="O646" s="91" t="n"/>
      <c r="P646" s="91" t="n"/>
      <c r="Q646" s="91" t="n"/>
      <c r="R646" s="91" t="n"/>
      <c r="S646" s="91" t="n"/>
      <c r="T646" s="91" t="n"/>
      <c r="U646" s="91" t="n"/>
      <c r="V646" s="91" t="n"/>
      <c r="W646" s="91" t="n"/>
      <c r="X646" s="91" t="n"/>
      <c r="Y646" s="91" t="n"/>
      <c r="Z646" s="91" t="n"/>
      <c r="AA646" s="91" t="n"/>
    </row>
    <row r="647" ht="12.75" customHeight="1" s="117">
      <c r="A647" s="91" t="n"/>
      <c r="B647" s="91" t="n"/>
      <c r="C647" s="91" t="n"/>
      <c r="D647" s="91" t="n"/>
      <c r="E647" s="91" t="n"/>
      <c r="F647" s="91" t="n"/>
      <c r="G647" s="91" t="n"/>
      <c r="H647" s="91" t="n"/>
      <c r="I647" s="91" t="n"/>
      <c r="J647" s="91" t="n"/>
      <c r="K647" s="91" t="n"/>
      <c r="L647" s="91" t="n"/>
      <c r="M647" s="91" t="n"/>
      <c r="N647" s="91" t="n"/>
      <c r="O647" s="91" t="n"/>
      <c r="P647" s="91" t="n"/>
      <c r="Q647" s="91" t="n"/>
      <c r="R647" s="91" t="n"/>
      <c r="S647" s="91" t="n"/>
      <c r="T647" s="91" t="n"/>
      <c r="U647" s="91" t="n"/>
      <c r="V647" s="91" t="n"/>
      <c r="W647" s="91" t="n"/>
      <c r="X647" s="91" t="n"/>
      <c r="Y647" s="91" t="n"/>
      <c r="Z647" s="91" t="n"/>
      <c r="AA647" s="91" t="n"/>
    </row>
    <row r="648" ht="12.75" customHeight="1" s="117">
      <c r="A648" s="91" t="n"/>
      <c r="B648" s="91" t="n"/>
      <c r="C648" s="91" t="n"/>
      <c r="D648" s="91" t="n"/>
      <c r="E648" s="91" t="n"/>
      <c r="F648" s="91" t="n"/>
      <c r="G648" s="91" t="n"/>
      <c r="H648" s="91" t="n"/>
      <c r="I648" s="91" t="n"/>
      <c r="J648" s="91" t="n"/>
      <c r="K648" s="91" t="n"/>
      <c r="L648" s="91" t="n"/>
      <c r="M648" s="91" t="n"/>
      <c r="N648" s="91" t="n"/>
      <c r="O648" s="91" t="n"/>
      <c r="P648" s="91" t="n"/>
      <c r="Q648" s="91" t="n"/>
      <c r="R648" s="91" t="n"/>
      <c r="S648" s="91" t="n"/>
      <c r="T648" s="91" t="n"/>
      <c r="U648" s="91" t="n"/>
      <c r="V648" s="91" t="n"/>
      <c r="W648" s="91" t="n"/>
      <c r="X648" s="91" t="n"/>
      <c r="Y648" s="91" t="n"/>
      <c r="Z648" s="91" t="n"/>
      <c r="AA648" s="91" t="n"/>
    </row>
    <row r="649" ht="12.75" customHeight="1" s="117">
      <c r="A649" s="91" t="n"/>
      <c r="B649" s="91" t="n"/>
      <c r="C649" s="91" t="n"/>
      <c r="D649" s="91" t="n"/>
      <c r="E649" s="91" t="n"/>
      <c r="F649" s="91" t="n"/>
      <c r="G649" s="91" t="n"/>
      <c r="H649" s="91" t="n"/>
      <c r="I649" s="91" t="n"/>
      <c r="J649" s="91" t="n"/>
      <c r="K649" s="91" t="n"/>
      <c r="L649" s="91" t="n"/>
      <c r="M649" s="91" t="n"/>
      <c r="N649" s="91" t="n"/>
      <c r="O649" s="91" t="n"/>
      <c r="P649" s="91" t="n"/>
      <c r="Q649" s="91" t="n"/>
      <c r="R649" s="91" t="n"/>
      <c r="S649" s="91" t="n"/>
      <c r="T649" s="91" t="n"/>
      <c r="U649" s="91" t="n"/>
      <c r="V649" s="91" t="n"/>
      <c r="W649" s="91" t="n"/>
      <c r="X649" s="91" t="n"/>
      <c r="Y649" s="91" t="n"/>
      <c r="Z649" s="91" t="n"/>
      <c r="AA649" s="91" t="n"/>
    </row>
    <row r="650" ht="12.75" customHeight="1" s="117">
      <c r="A650" s="91" t="n"/>
      <c r="B650" s="91" t="n"/>
      <c r="C650" s="91" t="n"/>
      <c r="D650" s="91" t="n"/>
      <c r="E650" s="91" t="n"/>
      <c r="F650" s="91" t="n"/>
      <c r="G650" s="91" t="n"/>
      <c r="H650" s="91" t="n"/>
      <c r="I650" s="91" t="n"/>
      <c r="J650" s="91" t="n"/>
      <c r="K650" s="91" t="n"/>
      <c r="L650" s="91" t="n"/>
      <c r="M650" s="91" t="n"/>
      <c r="N650" s="91" t="n"/>
      <c r="O650" s="91" t="n"/>
      <c r="P650" s="91" t="n"/>
      <c r="Q650" s="91" t="n"/>
      <c r="R650" s="91" t="n"/>
      <c r="S650" s="91" t="n"/>
      <c r="T650" s="91" t="n"/>
      <c r="U650" s="91" t="n"/>
      <c r="V650" s="91" t="n"/>
      <c r="W650" s="91" t="n"/>
      <c r="X650" s="91" t="n"/>
      <c r="Y650" s="91" t="n"/>
      <c r="Z650" s="91" t="n"/>
      <c r="AA650" s="91" t="n"/>
    </row>
    <row r="651" ht="12.75" customHeight="1" s="117">
      <c r="A651" s="91" t="n"/>
      <c r="B651" s="91" t="n"/>
      <c r="C651" s="91" t="n"/>
      <c r="D651" s="91" t="n"/>
      <c r="E651" s="91" t="n"/>
      <c r="F651" s="91" t="n"/>
      <c r="G651" s="91" t="n"/>
      <c r="H651" s="91" t="n"/>
      <c r="I651" s="91" t="n"/>
      <c r="J651" s="91" t="n"/>
      <c r="K651" s="91" t="n"/>
      <c r="L651" s="91" t="n"/>
      <c r="M651" s="91" t="n"/>
      <c r="N651" s="91" t="n"/>
      <c r="O651" s="91" t="n"/>
      <c r="P651" s="91" t="n"/>
      <c r="Q651" s="91" t="n"/>
      <c r="R651" s="91" t="n"/>
      <c r="S651" s="91" t="n"/>
      <c r="T651" s="91" t="n"/>
      <c r="U651" s="91" t="n"/>
      <c r="V651" s="91" t="n"/>
      <c r="W651" s="91" t="n"/>
      <c r="X651" s="91" t="n"/>
      <c r="Y651" s="91" t="n"/>
      <c r="Z651" s="91" t="n"/>
      <c r="AA651" s="91" t="n"/>
    </row>
    <row r="652" ht="12.75" customHeight="1" s="117">
      <c r="A652" s="91" t="n"/>
      <c r="B652" s="91" t="n"/>
      <c r="C652" s="91" t="n"/>
      <c r="D652" s="91" t="n"/>
      <c r="E652" s="91" t="n"/>
      <c r="F652" s="91" t="n"/>
      <c r="G652" s="91" t="n"/>
      <c r="H652" s="91" t="n"/>
      <c r="I652" s="91" t="n"/>
      <c r="J652" s="91" t="n"/>
      <c r="K652" s="91" t="n"/>
      <c r="L652" s="91" t="n"/>
      <c r="M652" s="91" t="n"/>
      <c r="N652" s="91" t="n"/>
      <c r="O652" s="91" t="n"/>
      <c r="P652" s="91" t="n"/>
      <c r="Q652" s="91" t="n"/>
      <c r="R652" s="91" t="n"/>
      <c r="S652" s="91" t="n"/>
      <c r="T652" s="91" t="n"/>
      <c r="U652" s="91" t="n"/>
      <c r="V652" s="91" t="n"/>
      <c r="W652" s="91" t="n"/>
      <c r="X652" s="91" t="n"/>
      <c r="Y652" s="91" t="n"/>
      <c r="Z652" s="91" t="n"/>
      <c r="AA652" s="91" t="n"/>
    </row>
    <row r="653" ht="12.75" customHeight="1" s="117">
      <c r="A653" s="91" t="n"/>
      <c r="B653" s="91" t="n"/>
      <c r="C653" s="91" t="n"/>
      <c r="D653" s="91" t="n"/>
      <c r="E653" s="91" t="n"/>
      <c r="F653" s="91" t="n"/>
      <c r="G653" s="91" t="n"/>
      <c r="H653" s="91" t="n"/>
      <c r="I653" s="91" t="n"/>
      <c r="J653" s="91" t="n"/>
      <c r="K653" s="91" t="n"/>
      <c r="L653" s="91" t="n"/>
      <c r="M653" s="91" t="n"/>
      <c r="N653" s="91" t="n"/>
      <c r="O653" s="91" t="n"/>
      <c r="P653" s="91" t="n"/>
      <c r="Q653" s="91" t="n"/>
      <c r="R653" s="91" t="n"/>
      <c r="S653" s="91" t="n"/>
      <c r="T653" s="91" t="n"/>
      <c r="U653" s="91" t="n"/>
      <c r="V653" s="91" t="n"/>
      <c r="W653" s="91" t="n"/>
      <c r="X653" s="91" t="n"/>
      <c r="Y653" s="91" t="n"/>
      <c r="Z653" s="91" t="n"/>
      <c r="AA653" s="91" t="n"/>
    </row>
    <row r="654" ht="12.75" customHeight="1" s="117">
      <c r="A654" s="91" t="n"/>
      <c r="B654" s="91" t="n"/>
      <c r="C654" s="91" t="n"/>
      <c r="D654" s="91" t="n"/>
      <c r="E654" s="91" t="n"/>
      <c r="F654" s="91" t="n"/>
      <c r="G654" s="91" t="n"/>
      <c r="H654" s="91" t="n"/>
      <c r="I654" s="91" t="n"/>
      <c r="J654" s="91" t="n"/>
      <c r="K654" s="91" t="n"/>
      <c r="L654" s="91" t="n"/>
      <c r="M654" s="91" t="n"/>
      <c r="N654" s="91" t="n"/>
      <c r="O654" s="91" t="n"/>
      <c r="P654" s="91" t="n"/>
      <c r="Q654" s="91" t="n"/>
      <c r="R654" s="91" t="n"/>
      <c r="S654" s="91" t="n"/>
      <c r="T654" s="91" t="n"/>
      <c r="U654" s="91" t="n"/>
      <c r="V654" s="91" t="n"/>
      <c r="W654" s="91" t="n"/>
      <c r="X654" s="91" t="n"/>
      <c r="Y654" s="91" t="n"/>
      <c r="Z654" s="91" t="n"/>
      <c r="AA654" s="91" t="n"/>
    </row>
    <row r="655" ht="12.75" customHeight="1" s="117">
      <c r="A655" s="91" t="n"/>
      <c r="B655" s="91" t="n"/>
      <c r="C655" s="91" t="n"/>
      <c r="D655" s="91" t="n"/>
      <c r="E655" s="91" t="n"/>
      <c r="F655" s="91" t="n"/>
      <c r="G655" s="91" t="n"/>
      <c r="H655" s="91" t="n"/>
      <c r="I655" s="91" t="n"/>
      <c r="J655" s="91" t="n"/>
      <c r="K655" s="91" t="n"/>
      <c r="L655" s="91" t="n"/>
      <c r="M655" s="91" t="n"/>
      <c r="N655" s="91" t="n"/>
      <c r="O655" s="91" t="n"/>
      <c r="P655" s="91" t="n"/>
      <c r="Q655" s="91" t="n"/>
      <c r="R655" s="91" t="n"/>
      <c r="S655" s="91" t="n"/>
      <c r="T655" s="91" t="n"/>
      <c r="U655" s="91" t="n"/>
      <c r="V655" s="91" t="n"/>
      <c r="W655" s="91" t="n"/>
      <c r="X655" s="91" t="n"/>
      <c r="Y655" s="91" t="n"/>
      <c r="Z655" s="91" t="n"/>
      <c r="AA655" s="91" t="n"/>
    </row>
    <row r="656" ht="12.75" customHeight="1" s="117">
      <c r="A656" s="91" t="n"/>
      <c r="B656" s="91" t="n"/>
      <c r="C656" s="91" t="n"/>
      <c r="D656" s="91" t="n"/>
      <c r="E656" s="91" t="n"/>
      <c r="F656" s="91" t="n"/>
      <c r="G656" s="91" t="n"/>
      <c r="H656" s="91" t="n"/>
      <c r="I656" s="91" t="n"/>
      <c r="J656" s="91" t="n"/>
      <c r="K656" s="91" t="n"/>
      <c r="L656" s="91" t="n"/>
      <c r="M656" s="91" t="n"/>
      <c r="N656" s="91" t="n"/>
      <c r="O656" s="91" t="n"/>
      <c r="P656" s="91" t="n"/>
      <c r="Q656" s="91" t="n"/>
      <c r="R656" s="91" t="n"/>
      <c r="S656" s="91" t="n"/>
      <c r="T656" s="91" t="n"/>
      <c r="U656" s="91" t="n"/>
      <c r="V656" s="91" t="n"/>
      <c r="W656" s="91" t="n"/>
      <c r="X656" s="91" t="n"/>
      <c r="Y656" s="91" t="n"/>
      <c r="Z656" s="91" t="n"/>
      <c r="AA656" s="91" t="n"/>
    </row>
    <row r="657" ht="12.75" customHeight="1" s="117">
      <c r="A657" s="91" t="n"/>
      <c r="B657" s="91" t="n"/>
      <c r="C657" s="91" t="n"/>
      <c r="D657" s="91" t="n"/>
      <c r="E657" s="91" t="n"/>
      <c r="F657" s="91" t="n"/>
      <c r="G657" s="91" t="n"/>
      <c r="H657" s="91" t="n"/>
      <c r="I657" s="91" t="n"/>
      <c r="J657" s="91" t="n"/>
      <c r="K657" s="91" t="n"/>
      <c r="L657" s="91" t="n"/>
      <c r="M657" s="91" t="n"/>
      <c r="N657" s="91" t="n"/>
      <c r="O657" s="91" t="n"/>
      <c r="P657" s="91" t="n"/>
      <c r="Q657" s="91" t="n"/>
      <c r="R657" s="91" t="n"/>
      <c r="S657" s="91" t="n"/>
      <c r="T657" s="91" t="n"/>
      <c r="U657" s="91" t="n"/>
      <c r="V657" s="91" t="n"/>
      <c r="W657" s="91" t="n"/>
      <c r="X657" s="91" t="n"/>
      <c r="Y657" s="91" t="n"/>
      <c r="Z657" s="91" t="n"/>
      <c r="AA657" s="91" t="n"/>
    </row>
    <row r="658" ht="12.75" customHeight="1" s="117">
      <c r="A658" s="91" t="n"/>
      <c r="B658" s="91" t="n"/>
      <c r="C658" s="91" t="n"/>
      <c r="D658" s="91" t="n"/>
      <c r="E658" s="91" t="n"/>
      <c r="F658" s="91" t="n"/>
      <c r="G658" s="91" t="n"/>
      <c r="H658" s="91" t="n"/>
      <c r="I658" s="91" t="n"/>
      <c r="J658" s="91" t="n"/>
      <c r="K658" s="91" t="n"/>
      <c r="L658" s="91" t="n"/>
      <c r="M658" s="91" t="n"/>
      <c r="N658" s="91" t="n"/>
      <c r="O658" s="91" t="n"/>
      <c r="P658" s="91" t="n"/>
      <c r="Q658" s="91" t="n"/>
      <c r="R658" s="91" t="n"/>
      <c r="S658" s="91" t="n"/>
      <c r="T658" s="91" t="n"/>
      <c r="U658" s="91" t="n"/>
      <c r="V658" s="91" t="n"/>
      <c r="W658" s="91" t="n"/>
      <c r="X658" s="91" t="n"/>
      <c r="Y658" s="91" t="n"/>
      <c r="Z658" s="91" t="n"/>
      <c r="AA658" s="91" t="n"/>
    </row>
    <row r="659" ht="12.75" customHeight="1" s="117">
      <c r="A659" s="91" t="n"/>
      <c r="B659" s="91" t="n"/>
      <c r="C659" s="91" t="n"/>
      <c r="D659" s="91" t="n"/>
      <c r="E659" s="91" t="n"/>
      <c r="F659" s="91" t="n"/>
      <c r="G659" s="91" t="n"/>
      <c r="H659" s="91" t="n"/>
      <c r="I659" s="91" t="n"/>
      <c r="J659" s="91" t="n"/>
      <c r="K659" s="91" t="n"/>
      <c r="L659" s="91" t="n"/>
      <c r="M659" s="91" t="n"/>
      <c r="N659" s="91" t="n"/>
      <c r="O659" s="91" t="n"/>
      <c r="P659" s="91" t="n"/>
      <c r="Q659" s="91" t="n"/>
      <c r="R659" s="91" t="n"/>
      <c r="S659" s="91" t="n"/>
      <c r="T659" s="91" t="n"/>
      <c r="U659" s="91" t="n"/>
      <c r="V659" s="91" t="n"/>
      <c r="W659" s="91" t="n"/>
      <c r="X659" s="91" t="n"/>
      <c r="Y659" s="91" t="n"/>
      <c r="Z659" s="91" t="n"/>
      <c r="AA659" s="91" t="n"/>
    </row>
    <row r="660" ht="12.75" customHeight="1" s="117">
      <c r="A660" s="91" t="n"/>
      <c r="B660" s="91" t="n"/>
      <c r="C660" s="91" t="n"/>
      <c r="D660" s="91" t="n"/>
      <c r="E660" s="91" t="n"/>
      <c r="F660" s="91" t="n"/>
      <c r="G660" s="91" t="n"/>
      <c r="H660" s="91" t="n"/>
      <c r="I660" s="91" t="n"/>
      <c r="J660" s="91" t="n"/>
      <c r="K660" s="91" t="n"/>
      <c r="L660" s="91" t="n"/>
      <c r="M660" s="91" t="n"/>
      <c r="N660" s="91" t="n"/>
      <c r="O660" s="91" t="n"/>
      <c r="P660" s="91" t="n"/>
      <c r="Q660" s="91" t="n"/>
      <c r="R660" s="91" t="n"/>
      <c r="S660" s="91" t="n"/>
      <c r="T660" s="91" t="n"/>
      <c r="U660" s="91" t="n"/>
      <c r="V660" s="91" t="n"/>
      <c r="W660" s="91" t="n"/>
      <c r="X660" s="91" t="n"/>
      <c r="Y660" s="91" t="n"/>
      <c r="Z660" s="91" t="n"/>
      <c r="AA660" s="91" t="n"/>
    </row>
    <row r="661" ht="12.75" customHeight="1" s="117">
      <c r="A661" s="91" t="n"/>
      <c r="B661" s="91" t="n"/>
      <c r="C661" s="91" t="n"/>
      <c r="D661" s="91" t="n"/>
      <c r="E661" s="91" t="n"/>
      <c r="F661" s="91" t="n"/>
      <c r="G661" s="91" t="n"/>
      <c r="H661" s="91" t="n"/>
      <c r="I661" s="91" t="n"/>
      <c r="J661" s="91" t="n"/>
      <c r="K661" s="91" t="n"/>
      <c r="L661" s="91" t="n"/>
      <c r="M661" s="91" t="n"/>
      <c r="N661" s="91" t="n"/>
      <c r="O661" s="91" t="n"/>
      <c r="P661" s="91" t="n"/>
      <c r="Q661" s="91" t="n"/>
      <c r="R661" s="91" t="n"/>
      <c r="S661" s="91" t="n"/>
      <c r="T661" s="91" t="n"/>
      <c r="U661" s="91" t="n"/>
      <c r="V661" s="91" t="n"/>
      <c r="W661" s="91" t="n"/>
      <c r="X661" s="91" t="n"/>
      <c r="Y661" s="91" t="n"/>
      <c r="Z661" s="91" t="n"/>
      <c r="AA661" s="91" t="n"/>
    </row>
    <row r="662" ht="12.75" customHeight="1" s="117">
      <c r="A662" s="91" t="n"/>
      <c r="B662" s="91" t="n"/>
      <c r="C662" s="91" t="n"/>
      <c r="D662" s="91" t="n"/>
      <c r="E662" s="91" t="n"/>
      <c r="F662" s="91" t="n"/>
      <c r="G662" s="91" t="n"/>
      <c r="H662" s="91" t="n"/>
      <c r="I662" s="91" t="n"/>
      <c r="J662" s="91" t="n"/>
      <c r="K662" s="91" t="n"/>
      <c r="L662" s="91" t="n"/>
      <c r="M662" s="91" t="n"/>
      <c r="N662" s="91" t="n"/>
      <c r="O662" s="91" t="n"/>
      <c r="P662" s="91" t="n"/>
      <c r="Q662" s="91" t="n"/>
      <c r="R662" s="91" t="n"/>
      <c r="S662" s="91" t="n"/>
      <c r="T662" s="91" t="n"/>
      <c r="U662" s="91" t="n"/>
      <c r="V662" s="91" t="n"/>
      <c r="W662" s="91" t="n"/>
      <c r="X662" s="91" t="n"/>
      <c r="Y662" s="91" t="n"/>
      <c r="Z662" s="91" t="n"/>
      <c r="AA662" s="91" t="n"/>
    </row>
    <row r="663" ht="12.75" customHeight="1" s="117">
      <c r="A663" s="91" t="n"/>
      <c r="B663" s="91" t="n"/>
      <c r="C663" s="91" t="n"/>
      <c r="D663" s="91" t="n"/>
      <c r="E663" s="91" t="n"/>
      <c r="F663" s="91" t="n"/>
      <c r="G663" s="91" t="n"/>
      <c r="H663" s="91" t="n"/>
      <c r="I663" s="91" t="n"/>
      <c r="J663" s="91" t="n"/>
      <c r="K663" s="91" t="n"/>
      <c r="L663" s="91" t="n"/>
      <c r="M663" s="91" t="n"/>
      <c r="N663" s="91" t="n"/>
      <c r="O663" s="91" t="n"/>
      <c r="P663" s="91" t="n"/>
      <c r="Q663" s="91" t="n"/>
      <c r="R663" s="91" t="n"/>
      <c r="S663" s="91" t="n"/>
      <c r="T663" s="91" t="n"/>
      <c r="U663" s="91" t="n"/>
      <c r="V663" s="91" t="n"/>
      <c r="W663" s="91" t="n"/>
      <c r="X663" s="91" t="n"/>
      <c r="Y663" s="91" t="n"/>
      <c r="Z663" s="91" t="n"/>
      <c r="AA663" s="91" t="n"/>
    </row>
    <row r="664" ht="12.75" customHeight="1" s="117">
      <c r="A664" s="91" t="n"/>
      <c r="B664" s="91" t="n"/>
      <c r="C664" s="91" t="n"/>
      <c r="D664" s="91" t="n"/>
      <c r="E664" s="91" t="n"/>
      <c r="F664" s="91" t="n"/>
      <c r="G664" s="91" t="n"/>
      <c r="H664" s="91" t="n"/>
      <c r="I664" s="91" t="n"/>
      <c r="J664" s="91" t="n"/>
      <c r="K664" s="91" t="n"/>
      <c r="L664" s="91" t="n"/>
      <c r="M664" s="91" t="n"/>
      <c r="N664" s="91" t="n"/>
      <c r="O664" s="91" t="n"/>
      <c r="P664" s="91" t="n"/>
      <c r="Q664" s="91" t="n"/>
      <c r="R664" s="91" t="n"/>
      <c r="S664" s="91" t="n"/>
      <c r="T664" s="91" t="n"/>
      <c r="U664" s="91" t="n"/>
      <c r="V664" s="91" t="n"/>
      <c r="W664" s="91" t="n"/>
      <c r="X664" s="91" t="n"/>
      <c r="Y664" s="91" t="n"/>
      <c r="Z664" s="91" t="n"/>
      <c r="AA664" s="91" t="n"/>
    </row>
    <row r="665" ht="12.75" customHeight="1" s="117">
      <c r="A665" s="91" t="n"/>
      <c r="B665" s="91" t="n"/>
      <c r="C665" s="91" t="n"/>
      <c r="D665" s="91" t="n"/>
      <c r="E665" s="91" t="n"/>
      <c r="F665" s="91" t="n"/>
      <c r="G665" s="91" t="n"/>
      <c r="H665" s="91" t="n"/>
      <c r="I665" s="91" t="n"/>
      <c r="J665" s="91" t="n"/>
      <c r="K665" s="91" t="n"/>
      <c r="L665" s="91" t="n"/>
      <c r="M665" s="91" t="n"/>
      <c r="N665" s="91" t="n"/>
      <c r="O665" s="91" t="n"/>
      <c r="P665" s="91" t="n"/>
      <c r="Q665" s="91" t="n"/>
      <c r="R665" s="91" t="n"/>
      <c r="S665" s="91" t="n"/>
      <c r="T665" s="91" t="n"/>
      <c r="U665" s="91" t="n"/>
      <c r="V665" s="91" t="n"/>
      <c r="W665" s="91" t="n"/>
      <c r="X665" s="91" t="n"/>
      <c r="Y665" s="91" t="n"/>
      <c r="Z665" s="91" t="n"/>
      <c r="AA665" s="91" t="n"/>
    </row>
    <row r="666" ht="12.75" customHeight="1" s="117">
      <c r="A666" s="91" t="n"/>
      <c r="B666" s="91" t="n"/>
      <c r="C666" s="91" t="n"/>
      <c r="D666" s="91" t="n"/>
      <c r="E666" s="91" t="n"/>
      <c r="F666" s="91" t="n"/>
      <c r="G666" s="91" t="n"/>
      <c r="H666" s="91" t="n"/>
      <c r="I666" s="91" t="n"/>
      <c r="J666" s="91" t="n"/>
      <c r="K666" s="91" t="n"/>
      <c r="L666" s="91" t="n"/>
      <c r="M666" s="91" t="n"/>
      <c r="N666" s="91" t="n"/>
      <c r="O666" s="91" t="n"/>
      <c r="P666" s="91" t="n"/>
      <c r="Q666" s="91" t="n"/>
      <c r="R666" s="91" t="n"/>
      <c r="S666" s="91" t="n"/>
      <c r="T666" s="91" t="n"/>
      <c r="U666" s="91" t="n"/>
      <c r="V666" s="91" t="n"/>
      <c r="W666" s="91" t="n"/>
      <c r="X666" s="91" t="n"/>
      <c r="Y666" s="91" t="n"/>
      <c r="Z666" s="91" t="n"/>
      <c r="AA666" s="91" t="n"/>
    </row>
    <row r="667" ht="12.75" customHeight="1" s="117">
      <c r="A667" s="91" t="n"/>
      <c r="B667" s="91" t="n"/>
      <c r="C667" s="91" t="n"/>
      <c r="D667" s="91" t="n"/>
      <c r="E667" s="91" t="n"/>
      <c r="F667" s="91" t="n"/>
      <c r="G667" s="91" t="n"/>
      <c r="H667" s="91" t="n"/>
      <c r="I667" s="91" t="n"/>
      <c r="J667" s="91" t="n"/>
      <c r="K667" s="91" t="n"/>
      <c r="L667" s="91" t="n"/>
      <c r="M667" s="91" t="n"/>
      <c r="N667" s="91" t="n"/>
      <c r="O667" s="91" t="n"/>
      <c r="P667" s="91" t="n"/>
      <c r="Q667" s="91" t="n"/>
      <c r="R667" s="91" t="n"/>
      <c r="S667" s="91" t="n"/>
      <c r="T667" s="91" t="n"/>
      <c r="U667" s="91" t="n"/>
      <c r="V667" s="91" t="n"/>
      <c r="W667" s="91" t="n"/>
      <c r="X667" s="91" t="n"/>
      <c r="Y667" s="91" t="n"/>
      <c r="Z667" s="91" t="n"/>
      <c r="AA667" s="91" t="n"/>
    </row>
    <row r="668" ht="12.75" customHeight="1" s="117">
      <c r="A668" s="91" t="n"/>
      <c r="B668" s="91" t="n"/>
      <c r="C668" s="91" t="n"/>
      <c r="D668" s="91" t="n"/>
      <c r="E668" s="91" t="n"/>
      <c r="F668" s="91" t="n"/>
      <c r="G668" s="91" t="n"/>
      <c r="H668" s="91" t="n"/>
      <c r="I668" s="91" t="n"/>
      <c r="J668" s="91" t="n"/>
      <c r="K668" s="91" t="n"/>
      <c r="L668" s="91" t="n"/>
      <c r="M668" s="91" t="n"/>
      <c r="N668" s="91" t="n"/>
      <c r="O668" s="91" t="n"/>
      <c r="P668" s="91" t="n"/>
      <c r="Q668" s="91" t="n"/>
      <c r="R668" s="91" t="n"/>
      <c r="S668" s="91" t="n"/>
      <c r="T668" s="91" t="n"/>
      <c r="U668" s="91" t="n"/>
      <c r="V668" s="91" t="n"/>
      <c r="W668" s="91" t="n"/>
      <c r="X668" s="91" t="n"/>
      <c r="Y668" s="91" t="n"/>
      <c r="Z668" s="91" t="n"/>
      <c r="AA668" s="91" t="n"/>
    </row>
    <row r="669" ht="12.75" customHeight="1" s="117">
      <c r="A669" s="91" t="n"/>
      <c r="B669" s="91" t="n"/>
      <c r="C669" s="91" t="n"/>
      <c r="D669" s="91" t="n"/>
      <c r="E669" s="91" t="n"/>
      <c r="F669" s="91" t="n"/>
      <c r="G669" s="91" t="n"/>
      <c r="H669" s="91" t="n"/>
      <c r="I669" s="91" t="n"/>
      <c r="J669" s="91" t="n"/>
      <c r="K669" s="91" t="n"/>
      <c r="L669" s="91" t="n"/>
      <c r="M669" s="91" t="n"/>
      <c r="N669" s="91" t="n"/>
      <c r="O669" s="91" t="n"/>
      <c r="P669" s="91" t="n"/>
      <c r="Q669" s="91" t="n"/>
      <c r="R669" s="91" t="n"/>
      <c r="S669" s="91" t="n"/>
      <c r="T669" s="91" t="n"/>
      <c r="U669" s="91" t="n"/>
      <c r="V669" s="91" t="n"/>
      <c r="W669" s="91" t="n"/>
      <c r="X669" s="91" t="n"/>
      <c r="Y669" s="91" t="n"/>
      <c r="Z669" s="91" t="n"/>
      <c r="AA669" s="91" t="n"/>
    </row>
    <row r="670" ht="12.75" customHeight="1" s="117">
      <c r="A670" s="91" t="n"/>
      <c r="B670" s="91" t="n"/>
      <c r="C670" s="91" t="n"/>
      <c r="D670" s="91" t="n"/>
      <c r="E670" s="91" t="n"/>
      <c r="F670" s="91" t="n"/>
      <c r="G670" s="91" t="n"/>
      <c r="H670" s="91" t="n"/>
      <c r="I670" s="91" t="n"/>
      <c r="J670" s="91" t="n"/>
      <c r="K670" s="91" t="n"/>
      <c r="L670" s="91" t="n"/>
      <c r="M670" s="91" t="n"/>
      <c r="N670" s="91" t="n"/>
      <c r="O670" s="91" t="n"/>
      <c r="P670" s="91" t="n"/>
      <c r="Q670" s="91" t="n"/>
      <c r="R670" s="91" t="n"/>
      <c r="S670" s="91" t="n"/>
      <c r="T670" s="91" t="n"/>
      <c r="U670" s="91" t="n"/>
      <c r="V670" s="91" t="n"/>
      <c r="W670" s="91" t="n"/>
      <c r="X670" s="91" t="n"/>
      <c r="Y670" s="91" t="n"/>
      <c r="Z670" s="91" t="n"/>
      <c r="AA670" s="91" t="n"/>
    </row>
    <row r="671" ht="12.75" customHeight="1" s="117">
      <c r="A671" s="91" t="n"/>
      <c r="B671" s="91" t="n"/>
      <c r="C671" s="91" t="n"/>
      <c r="D671" s="91" t="n"/>
      <c r="E671" s="91" t="n"/>
      <c r="F671" s="91" t="n"/>
      <c r="G671" s="91" t="n"/>
      <c r="H671" s="91" t="n"/>
      <c r="I671" s="91" t="n"/>
      <c r="J671" s="91" t="n"/>
      <c r="K671" s="91" t="n"/>
      <c r="L671" s="91" t="n"/>
      <c r="M671" s="91" t="n"/>
      <c r="N671" s="91" t="n"/>
      <c r="O671" s="91" t="n"/>
      <c r="P671" s="91" t="n"/>
      <c r="Q671" s="91" t="n"/>
      <c r="R671" s="91" t="n"/>
      <c r="S671" s="91" t="n"/>
      <c r="T671" s="91" t="n"/>
      <c r="U671" s="91" t="n"/>
      <c r="V671" s="91" t="n"/>
      <c r="W671" s="91" t="n"/>
      <c r="X671" s="91" t="n"/>
      <c r="Y671" s="91" t="n"/>
      <c r="Z671" s="91" t="n"/>
      <c r="AA671" s="91" t="n"/>
    </row>
    <row r="672" ht="12.75" customHeight="1" s="117">
      <c r="A672" s="91" t="n"/>
      <c r="B672" s="91" t="n"/>
      <c r="C672" s="91" t="n"/>
      <c r="D672" s="91" t="n"/>
      <c r="E672" s="91" t="n"/>
      <c r="F672" s="91" t="n"/>
      <c r="G672" s="91" t="n"/>
      <c r="H672" s="91" t="n"/>
      <c r="I672" s="91" t="n"/>
      <c r="J672" s="91" t="n"/>
      <c r="K672" s="91" t="n"/>
      <c r="L672" s="91" t="n"/>
      <c r="M672" s="91" t="n"/>
      <c r="N672" s="91" t="n"/>
      <c r="O672" s="91" t="n"/>
      <c r="P672" s="91" t="n"/>
      <c r="Q672" s="91" t="n"/>
      <c r="R672" s="91" t="n"/>
      <c r="S672" s="91" t="n"/>
      <c r="T672" s="91" t="n"/>
      <c r="U672" s="91" t="n"/>
      <c r="V672" s="91" t="n"/>
      <c r="W672" s="91" t="n"/>
      <c r="X672" s="91" t="n"/>
      <c r="Y672" s="91" t="n"/>
      <c r="Z672" s="91" t="n"/>
      <c r="AA672" s="91" t="n"/>
    </row>
    <row r="673" ht="12.75" customHeight="1" s="117">
      <c r="A673" s="91" t="n"/>
      <c r="B673" s="91" t="n"/>
      <c r="C673" s="91" t="n"/>
      <c r="D673" s="91" t="n"/>
      <c r="E673" s="91" t="n"/>
      <c r="F673" s="91" t="n"/>
      <c r="G673" s="91" t="n"/>
      <c r="H673" s="91" t="n"/>
      <c r="I673" s="91" t="n"/>
      <c r="J673" s="91" t="n"/>
      <c r="K673" s="91" t="n"/>
      <c r="L673" s="91" t="n"/>
      <c r="M673" s="91" t="n"/>
      <c r="N673" s="91" t="n"/>
      <c r="O673" s="91" t="n"/>
      <c r="P673" s="91" t="n"/>
      <c r="Q673" s="91" t="n"/>
      <c r="R673" s="91" t="n"/>
      <c r="S673" s="91" t="n"/>
      <c r="T673" s="91" t="n"/>
      <c r="U673" s="91" t="n"/>
      <c r="V673" s="91" t="n"/>
      <c r="W673" s="91" t="n"/>
      <c r="X673" s="91" t="n"/>
      <c r="Y673" s="91" t="n"/>
      <c r="Z673" s="91" t="n"/>
      <c r="AA673" s="91" t="n"/>
    </row>
    <row r="674" ht="12.75" customHeight="1" s="117">
      <c r="A674" s="91" t="n"/>
      <c r="B674" s="91" t="n"/>
      <c r="C674" s="91" t="n"/>
      <c r="D674" s="91" t="n"/>
      <c r="E674" s="91" t="n"/>
      <c r="F674" s="91" t="n"/>
      <c r="G674" s="91" t="n"/>
      <c r="H674" s="91" t="n"/>
      <c r="I674" s="91" t="n"/>
      <c r="J674" s="91" t="n"/>
      <c r="K674" s="91" t="n"/>
      <c r="L674" s="91" t="n"/>
      <c r="M674" s="91" t="n"/>
      <c r="N674" s="91" t="n"/>
      <c r="O674" s="91" t="n"/>
      <c r="P674" s="91" t="n"/>
      <c r="Q674" s="91" t="n"/>
      <c r="R674" s="91" t="n"/>
      <c r="S674" s="91" t="n"/>
      <c r="T674" s="91" t="n"/>
      <c r="U674" s="91" t="n"/>
      <c r="V674" s="91" t="n"/>
      <c r="W674" s="91" t="n"/>
      <c r="X674" s="91" t="n"/>
      <c r="Y674" s="91" t="n"/>
      <c r="Z674" s="91" t="n"/>
      <c r="AA674" s="91" t="n"/>
    </row>
    <row r="675" ht="12.75" customHeight="1" s="117">
      <c r="A675" s="91" t="n"/>
      <c r="B675" s="91" t="n"/>
      <c r="C675" s="91" t="n"/>
      <c r="D675" s="91" t="n"/>
      <c r="E675" s="91" t="n"/>
      <c r="F675" s="91" t="n"/>
      <c r="G675" s="91" t="n"/>
      <c r="H675" s="91" t="n"/>
      <c r="I675" s="91" t="n"/>
      <c r="J675" s="91" t="n"/>
      <c r="K675" s="91" t="n"/>
      <c r="L675" s="91" t="n"/>
      <c r="M675" s="91" t="n"/>
      <c r="N675" s="91" t="n"/>
      <c r="O675" s="91" t="n"/>
      <c r="P675" s="91" t="n"/>
      <c r="Q675" s="91" t="n"/>
      <c r="R675" s="91" t="n"/>
      <c r="S675" s="91" t="n"/>
      <c r="T675" s="91" t="n"/>
      <c r="U675" s="91" t="n"/>
      <c r="V675" s="91" t="n"/>
      <c r="W675" s="91" t="n"/>
      <c r="X675" s="91" t="n"/>
      <c r="Y675" s="91" t="n"/>
      <c r="Z675" s="91" t="n"/>
      <c r="AA675" s="91" t="n"/>
    </row>
    <row r="676" ht="12.75" customHeight="1" s="117">
      <c r="A676" s="91" t="n"/>
      <c r="B676" s="91" t="n"/>
      <c r="C676" s="91" t="n"/>
      <c r="D676" s="91" t="n"/>
      <c r="E676" s="91" t="n"/>
      <c r="F676" s="91" t="n"/>
      <c r="G676" s="91" t="n"/>
      <c r="H676" s="91" t="n"/>
      <c r="I676" s="91" t="n"/>
      <c r="J676" s="91" t="n"/>
      <c r="K676" s="91" t="n"/>
      <c r="L676" s="91" t="n"/>
      <c r="M676" s="91" t="n"/>
      <c r="N676" s="91" t="n"/>
      <c r="O676" s="91" t="n"/>
      <c r="P676" s="91" t="n"/>
      <c r="Q676" s="91" t="n"/>
      <c r="R676" s="91" t="n"/>
      <c r="S676" s="91" t="n"/>
      <c r="T676" s="91" t="n"/>
      <c r="U676" s="91" t="n"/>
      <c r="V676" s="91" t="n"/>
      <c r="W676" s="91" t="n"/>
      <c r="X676" s="91" t="n"/>
      <c r="Y676" s="91" t="n"/>
      <c r="Z676" s="91" t="n"/>
      <c r="AA676" s="91" t="n"/>
    </row>
    <row r="677" ht="12.75" customHeight="1" s="117">
      <c r="A677" s="91" t="n"/>
      <c r="B677" s="91" t="n"/>
      <c r="C677" s="91" t="n"/>
      <c r="D677" s="91" t="n"/>
      <c r="E677" s="91" t="n"/>
      <c r="F677" s="91" t="n"/>
      <c r="G677" s="91" t="n"/>
      <c r="H677" s="91" t="n"/>
      <c r="I677" s="91" t="n"/>
      <c r="J677" s="91" t="n"/>
      <c r="K677" s="91" t="n"/>
      <c r="L677" s="91" t="n"/>
      <c r="M677" s="91" t="n"/>
      <c r="N677" s="91" t="n"/>
      <c r="O677" s="91" t="n"/>
      <c r="P677" s="91" t="n"/>
      <c r="Q677" s="91" t="n"/>
      <c r="R677" s="91" t="n"/>
      <c r="S677" s="91" t="n"/>
      <c r="T677" s="91" t="n"/>
      <c r="U677" s="91" t="n"/>
      <c r="V677" s="91" t="n"/>
      <c r="W677" s="91" t="n"/>
      <c r="X677" s="91" t="n"/>
      <c r="Y677" s="91" t="n"/>
      <c r="Z677" s="91" t="n"/>
      <c r="AA677" s="91" t="n"/>
    </row>
    <row r="678" ht="12.75" customHeight="1" s="117">
      <c r="A678" s="91" t="n"/>
      <c r="B678" s="91" t="n"/>
      <c r="C678" s="91" t="n"/>
      <c r="D678" s="91" t="n"/>
      <c r="E678" s="91" t="n"/>
      <c r="F678" s="91" t="n"/>
      <c r="G678" s="91" t="n"/>
      <c r="H678" s="91" t="n"/>
      <c r="I678" s="91" t="n"/>
      <c r="J678" s="91" t="n"/>
      <c r="K678" s="91" t="n"/>
      <c r="L678" s="91" t="n"/>
      <c r="M678" s="91" t="n"/>
      <c r="N678" s="91" t="n"/>
      <c r="O678" s="91" t="n"/>
      <c r="P678" s="91" t="n"/>
      <c r="Q678" s="91" t="n"/>
      <c r="R678" s="91" t="n"/>
      <c r="S678" s="91" t="n"/>
      <c r="T678" s="91" t="n"/>
      <c r="U678" s="91" t="n"/>
      <c r="V678" s="91" t="n"/>
      <c r="W678" s="91" t="n"/>
      <c r="X678" s="91" t="n"/>
      <c r="Y678" s="91" t="n"/>
      <c r="Z678" s="91" t="n"/>
      <c r="AA678" s="91" t="n"/>
    </row>
    <row r="679" ht="12.75" customHeight="1" s="117">
      <c r="A679" s="91" t="n"/>
      <c r="B679" s="91" t="n"/>
      <c r="C679" s="91" t="n"/>
      <c r="D679" s="91" t="n"/>
      <c r="E679" s="91" t="n"/>
      <c r="F679" s="91" t="n"/>
      <c r="G679" s="91" t="n"/>
      <c r="H679" s="91" t="n"/>
      <c r="I679" s="91" t="n"/>
      <c r="J679" s="91" t="n"/>
      <c r="K679" s="91" t="n"/>
      <c r="L679" s="91" t="n"/>
      <c r="M679" s="91" t="n"/>
      <c r="N679" s="91" t="n"/>
      <c r="O679" s="91" t="n"/>
      <c r="P679" s="91" t="n"/>
      <c r="Q679" s="91" t="n"/>
      <c r="R679" s="91" t="n"/>
      <c r="S679" s="91" t="n"/>
      <c r="T679" s="91" t="n"/>
      <c r="U679" s="91" t="n"/>
      <c r="V679" s="91" t="n"/>
      <c r="W679" s="91" t="n"/>
      <c r="X679" s="91" t="n"/>
      <c r="Y679" s="91" t="n"/>
      <c r="Z679" s="91" t="n"/>
      <c r="AA679" s="91" t="n"/>
    </row>
    <row r="680" ht="12.75" customHeight="1" s="117">
      <c r="A680" s="91" t="n"/>
      <c r="B680" s="91" t="n"/>
      <c r="C680" s="91" t="n"/>
      <c r="D680" s="91" t="n"/>
      <c r="E680" s="91" t="n"/>
      <c r="F680" s="91" t="n"/>
      <c r="G680" s="91" t="n"/>
      <c r="H680" s="91" t="n"/>
      <c r="I680" s="91" t="n"/>
      <c r="J680" s="91" t="n"/>
      <c r="K680" s="91" t="n"/>
      <c r="L680" s="91" t="n"/>
      <c r="M680" s="91" t="n"/>
      <c r="N680" s="91" t="n"/>
      <c r="O680" s="91" t="n"/>
      <c r="P680" s="91" t="n"/>
      <c r="Q680" s="91" t="n"/>
      <c r="R680" s="91" t="n"/>
      <c r="S680" s="91" t="n"/>
      <c r="T680" s="91" t="n"/>
      <c r="U680" s="91" t="n"/>
      <c r="V680" s="91" t="n"/>
      <c r="W680" s="91" t="n"/>
      <c r="X680" s="91" t="n"/>
      <c r="Y680" s="91" t="n"/>
      <c r="Z680" s="91" t="n"/>
      <c r="AA680" s="91" t="n"/>
    </row>
    <row r="681" ht="12.75" customHeight="1" s="117">
      <c r="A681" s="91" t="n"/>
      <c r="B681" s="91" t="n"/>
      <c r="C681" s="91" t="n"/>
      <c r="D681" s="91" t="n"/>
      <c r="E681" s="91" t="n"/>
      <c r="F681" s="91" t="n"/>
      <c r="G681" s="91" t="n"/>
      <c r="H681" s="91" t="n"/>
      <c r="I681" s="91" t="n"/>
      <c r="J681" s="91" t="n"/>
      <c r="K681" s="91" t="n"/>
      <c r="L681" s="91" t="n"/>
      <c r="M681" s="91" t="n"/>
      <c r="N681" s="91" t="n"/>
      <c r="O681" s="91" t="n"/>
      <c r="P681" s="91" t="n"/>
      <c r="Q681" s="91" t="n"/>
      <c r="R681" s="91" t="n"/>
      <c r="S681" s="91" t="n"/>
      <c r="T681" s="91" t="n"/>
      <c r="U681" s="91" t="n"/>
      <c r="V681" s="91" t="n"/>
      <c r="W681" s="91" t="n"/>
      <c r="X681" s="91" t="n"/>
      <c r="Y681" s="91" t="n"/>
      <c r="Z681" s="91" t="n"/>
      <c r="AA681" s="91" t="n"/>
    </row>
    <row r="682" ht="12.75" customHeight="1" s="117">
      <c r="A682" s="91" t="n"/>
      <c r="B682" s="91" t="n"/>
      <c r="C682" s="91" t="n"/>
      <c r="D682" s="91" t="n"/>
      <c r="E682" s="91" t="n"/>
      <c r="F682" s="91" t="n"/>
      <c r="G682" s="91" t="n"/>
      <c r="H682" s="91" t="n"/>
      <c r="I682" s="91" t="n"/>
      <c r="J682" s="91" t="n"/>
      <c r="K682" s="91" t="n"/>
      <c r="L682" s="91" t="n"/>
      <c r="M682" s="91" t="n"/>
      <c r="N682" s="91" t="n"/>
      <c r="O682" s="91" t="n"/>
      <c r="P682" s="91" t="n"/>
      <c r="Q682" s="91" t="n"/>
      <c r="R682" s="91" t="n"/>
      <c r="S682" s="91" t="n"/>
      <c r="T682" s="91" t="n"/>
      <c r="U682" s="91" t="n"/>
      <c r="V682" s="91" t="n"/>
      <c r="W682" s="91" t="n"/>
      <c r="X682" s="91" t="n"/>
      <c r="Y682" s="91" t="n"/>
      <c r="Z682" s="91" t="n"/>
      <c r="AA682" s="91" t="n"/>
    </row>
    <row r="683" ht="12.75" customHeight="1" s="117">
      <c r="A683" s="91" t="n"/>
      <c r="B683" s="91" t="n"/>
      <c r="C683" s="91" t="n"/>
      <c r="D683" s="91" t="n"/>
      <c r="E683" s="91" t="n"/>
      <c r="F683" s="91" t="n"/>
      <c r="G683" s="91" t="n"/>
      <c r="H683" s="91" t="n"/>
      <c r="I683" s="91" t="n"/>
      <c r="J683" s="91" t="n"/>
      <c r="K683" s="91" t="n"/>
      <c r="L683" s="91" t="n"/>
      <c r="M683" s="91" t="n"/>
      <c r="N683" s="91" t="n"/>
      <c r="O683" s="91" t="n"/>
      <c r="P683" s="91" t="n"/>
      <c r="Q683" s="91" t="n"/>
      <c r="R683" s="91" t="n"/>
      <c r="S683" s="91" t="n"/>
      <c r="T683" s="91" t="n"/>
      <c r="U683" s="91" t="n"/>
      <c r="V683" s="91" t="n"/>
      <c r="W683" s="91" t="n"/>
      <c r="X683" s="91" t="n"/>
      <c r="Y683" s="91" t="n"/>
      <c r="Z683" s="91" t="n"/>
      <c r="AA683" s="91" t="n"/>
    </row>
    <row r="684" ht="12.75" customHeight="1" s="117">
      <c r="A684" s="91" t="n"/>
      <c r="B684" s="91" t="n"/>
      <c r="C684" s="91" t="n"/>
      <c r="D684" s="91" t="n"/>
      <c r="E684" s="91" t="n"/>
      <c r="F684" s="91" t="n"/>
      <c r="G684" s="91" t="n"/>
      <c r="H684" s="91" t="n"/>
      <c r="I684" s="91" t="n"/>
      <c r="J684" s="91" t="n"/>
      <c r="K684" s="91" t="n"/>
      <c r="L684" s="91" t="n"/>
      <c r="M684" s="91" t="n"/>
      <c r="N684" s="91" t="n"/>
      <c r="O684" s="91" t="n"/>
      <c r="P684" s="91" t="n"/>
      <c r="Q684" s="91" t="n"/>
      <c r="R684" s="91" t="n"/>
      <c r="S684" s="91" t="n"/>
      <c r="T684" s="91" t="n"/>
      <c r="U684" s="91" t="n"/>
      <c r="V684" s="91" t="n"/>
      <c r="W684" s="91" t="n"/>
      <c r="X684" s="91" t="n"/>
      <c r="Y684" s="91" t="n"/>
      <c r="Z684" s="91" t="n"/>
      <c r="AA684" s="91" t="n"/>
    </row>
    <row r="685" ht="12.75" customHeight="1" s="117">
      <c r="A685" s="91" t="n"/>
      <c r="B685" s="91" t="n"/>
      <c r="C685" s="91" t="n"/>
      <c r="D685" s="91" t="n"/>
      <c r="E685" s="91" t="n"/>
      <c r="F685" s="91" t="n"/>
      <c r="G685" s="91" t="n"/>
      <c r="H685" s="91" t="n"/>
      <c r="I685" s="91" t="n"/>
      <c r="J685" s="91" t="n"/>
      <c r="K685" s="91" t="n"/>
      <c r="L685" s="91" t="n"/>
      <c r="M685" s="91" t="n"/>
      <c r="N685" s="91" t="n"/>
      <c r="O685" s="91" t="n"/>
      <c r="P685" s="91" t="n"/>
      <c r="Q685" s="91" t="n"/>
      <c r="R685" s="91" t="n"/>
      <c r="S685" s="91" t="n"/>
      <c r="T685" s="91" t="n"/>
      <c r="U685" s="91" t="n"/>
      <c r="V685" s="91" t="n"/>
      <c r="W685" s="91" t="n"/>
      <c r="X685" s="91" t="n"/>
      <c r="Y685" s="91" t="n"/>
      <c r="Z685" s="91" t="n"/>
      <c r="AA685" s="91" t="n"/>
    </row>
    <row r="686" ht="12.75" customHeight="1" s="117">
      <c r="A686" s="91" t="n"/>
      <c r="B686" s="91" t="n"/>
      <c r="C686" s="91" t="n"/>
      <c r="D686" s="91" t="n"/>
      <c r="E686" s="91" t="n"/>
      <c r="F686" s="91" t="n"/>
      <c r="G686" s="91" t="n"/>
      <c r="H686" s="91" t="n"/>
      <c r="I686" s="91" t="n"/>
      <c r="J686" s="91" t="n"/>
      <c r="K686" s="91" t="n"/>
      <c r="L686" s="91" t="n"/>
      <c r="M686" s="91" t="n"/>
      <c r="N686" s="91" t="n"/>
      <c r="O686" s="91" t="n"/>
      <c r="P686" s="91" t="n"/>
      <c r="Q686" s="91" t="n"/>
      <c r="R686" s="91" t="n"/>
      <c r="S686" s="91" t="n"/>
      <c r="T686" s="91" t="n"/>
      <c r="U686" s="91" t="n"/>
      <c r="V686" s="91" t="n"/>
      <c r="W686" s="91" t="n"/>
      <c r="X686" s="91" t="n"/>
      <c r="Y686" s="91" t="n"/>
      <c r="Z686" s="91" t="n"/>
      <c r="AA686" s="91" t="n"/>
    </row>
    <row r="687" ht="12.75" customHeight="1" s="117">
      <c r="A687" s="91" t="n"/>
      <c r="B687" s="91" t="n"/>
      <c r="C687" s="91" t="n"/>
      <c r="D687" s="91" t="n"/>
      <c r="E687" s="91" t="n"/>
      <c r="F687" s="91" t="n"/>
      <c r="G687" s="91" t="n"/>
      <c r="H687" s="91" t="n"/>
      <c r="I687" s="91" t="n"/>
      <c r="J687" s="91" t="n"/>
      <c r="K687" s="91" t="n"/>
      <c r="L687" s="91" t="n"/>
      <c r="M687" s="91" t="n"/>
      <c r="N687" s="91" t="n"/>
      <c r="O687" s="91" t="n"/>
      <c r="P687" s="91" t="n"/>
      <c r="Q687" s="91" t="n"/>
      <c r="R687" s="91" t="n"/>
      <c r="S687" s="91" t="n"/>
      <c r="T687" s="91" t="n"/>
      <c r="U687" s="91" t="n"/>
      <c r="V687" s="91" t="n"/>
      <c r="W687" s="91" t="n"/>
      <c r="X687" s="91" t="n"/>
      <c r="Y687" s="91" t="n"/>
      <c r="Z687" s="91" t="n"/>
      <c r="AA687" s="91" t="n"/>
    </row>
    <row r="688" ht="12.75" customHeight="1" s="117">
      <c r="A688" s="91" t="n"/>
      <c r="B688" s="91" t="n"/>
      <c r="C688" s="91" t="n"/>
      <c r="D688" s="91" t="n"/>
      <c r="E688" s="91" t="n"/>
      <c r="F688" s="91" t="n"/>
      <c r="G688" s="91" t="n"/>
      <c r="H688" s="91" t="n"/>
      <c r="I688" s="91" t="n"/>
      <c r="J688" s="91" t="n"/>
      <c r="K688" s="91" t="n"/>
      <c r="L688" s="91" t="n"/>
      <c r="M688" s="91" t="n"/>
      <c r="N688" s="91" t="n"/>
      <c r="O688" s="91" t="n"/>
      <c r="P688" s="91" t="n"/>
      <c r="Q688" s="91" t="n"/>
      <c r="R688" s="91" t="n"/>
      <c r="S688" s="91" t="n"/>
      <c r="T688" s="91" t="n"/>
      <c r="U688" s="91" t="n"/>
      <c r="V688" s="91" t="n"/>
      <c r="W688" s="91" t="n"/>
      <c r="X688" s="91" t="n"/>
      <c r="Y688" s="91" t="n"/>
      <c r="Z688" s="91" t="n"/>
      <c r="AA688" s="91" t="n"/>
    </row>
    <row r="689" ht="12.75" customHeight="1" s="117">
      <c r="A689" s="91" t="n"/>
      <c r="B689" s="91" t="n"/>
      <c r="C689" s="91" t="n"/>
      <c r="D689" s="91" t="n"/>
      <c r="E689" s="91" t="n"/>
      <c r="F689" s="91" t="n"/>
      <c r="G689" s="91" t="n"/>
      <c r="H689" s="91" t="n"/>
      <c r="I689" s="91" t="n"/>
      <c r="J689" s="91" t="n"/>
      <c r="K689" s="91" t="n"/>
      <c r="L689" s="91" t="n"/>
      <c r="M689" s="91" t="n"/>
      <c r="N689" s="91" t="n"/>
      <c r="O689" s="91" t="n"/>
      <c r="P689" s="91" t="n"/>
      <c r="Q689" s="91" t="n"/>
      <c r="R689" s="91" t="n"/>
      <c r="S689" s="91" t="n"/>
      <c r="T689" s="91" t="n"/>
      <c r="U689" s="91" t="n"/>
      <c r="V689" s="91" t="n"/>
      <c r="W689" s="91" t="n"/>
      <c r="X689" s="91" t="n"/>
      <c r="Y689" s="91" t="n"/>
      <c r="Z689" s="91" t="n"/>
      <c r="AA689" s="91" t="n"/>
    </row>
    <row r="690" ht="12.75" customHeight="1" s="117">
      <c r="A690" s="91" t="n"/>
      <c r="B690" s="91" t="n"/>
      <c r="C690" s="91" t="n"/>
      <c r="D690" s="91" t="n"/>
      <c r="E690" s="91" t="n"/>
      <c r="F690" s="91" t="n"/>
      <c r="G690" s="91" t="n"/>
      <c r="H690" s="91" t="n"/>
      <c r="I690" s="91" t="n"/>
      <c r="J690" s="91" t="n"/>
      <c r="K690" s="91" t="n"/>
      <c r="L690" s="91" t="n"/>
      <c r="M690" s="91" t="n"/>
      <c r="N690" s="91" t="n"/>
      <c r="O690" s="91" t="n"/>
      <c r="P690" s="91" t="n"/>
      <c r="Q690" s="91" t="n"/>
      <c r="R690" s="91" t="n"/>
      <c r="S690" s="91" t="n"/>
      <c r="T690" s="91" t="n"/>
      <c r="U690" s="91" t="n"/>
      <c r="V690" s="91" t="n"/>
      <c r="W690" s="91" t="n"/>
      <c r="X690" s="91" t="n"/>
      <c r="Y690" s="91" t="n"/>
      <c r="Z690" s="91" t="n"/>
      <c r="AA690" s="91" t="n"/>
    </row>
    <row r="691" ht="12.75" customHeight="1" s="117">
      <c r="A691" s="91" t="n"/>
      <c r="B691" s="91" t="n"/>
      <c r="C691" s="91" t="n"/>
      <c r="D691" s="91" t="n"/>
      <c r="E691" s="91" t="n"/>
      <c r="F691" s="91" t="n"/>
      <c r="G691" s="91" t="n"/>
      <c r="H691" s="91" t="n"/>
      <c r="I691" s="91" t="n"/>
      <c r="J691" s="91" t="n"/>
      <c r="K691" s="91" t="n"/>
      <c r="L691" s="91" t="n"/>
      <c r="M691" s="91" t="n"/>
      <c r="N691" s="91" t="n"/>
      <c r="O691" s="91" t="n"/>
      <c r="P691" s="91" t="n"/>
      <c r="Q691" s="91" t="n"/>
      <c r="R691" s="91" t="n"/>
      <c r="S691" s="91" t="n"/>
      <c r="T691" s="91" t="n"/>
      <c r="U691" s="91" t="n"/>
      <c r="V691" s="91" t="n"/>
      <c r="W691" s="91" t="n"/>
      <c r="X691" s="91" t="n"/>
      <c r="Y691" s="91" t="n"/>
      <c r="Z691" s="91" t="n"/>
      <c r="AA691" s="91" t="n"/>
    </row>
    <row r="692" ht="12.75" customHeight="1" s="117">
      <c r="A692" s="91" t="n"/>
      <c r="B692" s="91" t="n"/>
      <c r="C692" s="91" t="n"/>
      <c r="D692" s="91" t="n"/>
      <c r="E692" s="91" t="n"/>
      <c r="F692" s="91" t="n"/>
      <c r="G692" s="91" t="n"/>
      <c r="H692" s="91" t="n"/>
      <c r="I692" s="91" t="n"/>
      <c r="J692" s="91" t="n"/>
      <c r="K692" s="91" t="n"/>
      <c r="L692" s="91" t="n"/>
      <c r="M692" s="91" t="n"/>
      <c r="N692" s="91" t="n"/>
      <c r="O692" s="91" t="n"/>
      <c r="P692" s="91" t="n"/>
      <c r="Q692" s="91" t="n"/>
      <c r="R692" s="91" t="n"/>
      <c r="S692" s="91" t="n"/>
      <c r="T692" s="91" t="n"/>
      <c r="U692" s="91" t="n"/>
      <c r="V692" s="91" t="n"/>
      <c r="W692" s="91" t="n"/>
      <c r="X692" s="91" t="n"/>
      <c r="Y692" s="91" t="n"/>
      <c r="Z692" s="91" t="n"/>
      <c r="AA692" s="91" t="n"/>
    </row>
    <row r="693" ht="12.75" customHeight="1" s="117">
      <c r="A693" s="91" t="n"/>
      <c r="B693" s="91" t="n"/>
      <c r="C693" s="91" t="n"/>
      <c r="D693" s="91" t="n"/>
      <c r="E693" s="91" t="n"/>
      <c r="F693" s="91" t="n"/>
      <c r="G693" s="91" t="n"/>
      <c r="H693" s="91" t="n"/>
      <c r="I693" s="91" t="n"/>
      <c r="J693" s="91" t="n"/>
      <c r="K693" s="91" t="n"/>
      <c r="L693" s="91" t="n"/>
      <c r="M693" s="91" t="n"/>
      <c r="N693" s="91" t="n"/>
      <c r="O693" s="91" t="n"/>
      <c r="P693" s="91" t="n"/>
      <c r="Q693" s="91" t="n"/>
      <c r="R693" s="91" t="n"/>
      <c r="S693" s="91" t="n"/>
      <c r="T693" s="91" t="n"/>
      <c r="U693" s="91" t="n"/>
      <c r="V693" s="91" t="n"/>
      <c r="W693" s="91" t="n"/>
      <c r="X693" s="91" t="n"/>
      <c r="Y693" s="91" t="n"/>
      <c r="Z693" s="91" t="n"/>
      <c r="AA693" s="91" t="n"/>
    </row>
    <row r="694" ht="12.75" customHeight="1" s="117">
      <c r="A694" s="91" t="n"/>
      <c r="B694" s="91" t="n"/>
      <c r="C694" s="91" t="n"/>
      <c r="D694" s="91" t="n"/>
      <c r="E694" s="91" t="n"/>
      <c r="F694" s="91" t="n"/>
      <c r="G694" s="91" t="n"/>
      <c r="H694" s="91" t="n"/>
      <c r="I694" s="91" t="n"/>
      <c r="J694" s="91" t="n"/>
      <c r="K694" s="91" t="n"/>
      <c r="L694" s="91" t="n"/>
      <c r="M694" s="91" t="n"/>
      <c r="N694" s="91" t="n"/>
      <c r="O694" s="91" t="n"/>
      <c r="P694" s="91" t="n"/>
      <c r="Q694" s="91" t="n"/>
      <c r="R694" s="91" t="n"/>
      <c r="S694" s="91" t="n"/>
      <c r="T694" s="91" t="n"/>
      <c r="U694" s="91" t="n"/>
      <c r="V694" s="91" t="n"/>
      <c r="W694" s="91" t="n"/>
      <c r="X694" s="91" t="n"/>
      <c r="Y694" s="91" t="n"/>
      <c r="Z694" s="91" t="n"/>
      <c r="AA694" s="91" t="n"/>
    </row>
    <row r="695" ht="12.75" customHeight="1" s="117">
      <c r="A695" s="91" t="n"/>
      <c r="B695" s="91" t="n"/>
      <c r="C695" s="91" t="n"/>
      <c r="D695" s="91" t="n"/>
      <c r="E695" s="91" t="n"/>
      <c r="F695" s="91" t="n"/>
      <c r="G695" s="91" t="n"/>
      <c r="H695" s="91" t="n"/>
      <c r="I695" s="91" t="n"/>
      <c r="J695" s="91" t="n"/>
      <c r="K695" s="91" t="n"/>
      <c r="L695" s="91" t="n"/>
      <c r="M695" s="91" t="n"/>
      <c r="N695" s="91" t="n"/>
      <c r="O695" s="91" t="n"/>
      <c r="P695" s="91" t="n"/>
      <c r="Q695" s="91" t="n"/>
      <c r="R695" s="91" t="n"/>
      <c r="S695" s="91" t="n"/>
      <c r="T695" s="91" t="n"/>
      <c r="U695" s="91" t="n"/>
      <c r="V695" s="91" t="n"/>
      <c r="W695" s="91" t="n"/>
      <c r="X695" s="91" t="n"/>
      <c r="Y695" s="91" t="n"/>
      <c r="Z695" s="91" t="n"/>
      <c r="AA695" s="91" t="n"/>
    </row>
    <row r="696" ht="12.75" customHeight="1" s="117">
      <c r="A696" s="91" t="n"/>
      <c r="B696" s="91" t="n"/>
      <c r="C696" s="91" t="n"/>
      <c r="D696" s="91" t="n"/>
      <c r="E696" s="91" t="n"/>
      <c r="F696" s="91" t="n"/>
      <c r="G696" s="91" t="n"/>
      <c r="H696" s="91" t="n"/>
      <c r="I696" s="91" t="n"/>
      <c r="J696" s="91" t="n"/>
      <c r="K696" s="91" t="n"/>
      <c r="L696" s="91" t="n"/>
      <c r="M696" s="91" t="n"/>
      <c r="N696" s="91" t="n"/>
      <c r="O696" s="91" t="n"/>
      <c r="P696" s="91" t="n"/>
      <c r="Q696" s="91" t="n"/>
      <c r="R696" s="91" t="n"/>
      <c r="S696" s="91" t="n"/>
      <c r="T696" s="91" t="n"/>
      <c r="U696" s="91" t="n"/>
      <c r="V696" s="91" t="n"/>
      <c r="W696" s="91" t="n"/>
      <c r="X696" s="91" t="n"/>
      <c r="Y696" s="91" t="n"/>
      <c r="Z696" s="91" t="n"/>
      <c r="AA696" s="91" t="n"/>
    </row>
    <row r="697" ht="12.75" customHeight="1" s="117">
      <c r="A697" s="91" t="n"/>
      <c r="B697" s="91" t="n"/>
      <c r="C697" s="91" t="n"/>
      <c r="D697" s="91" t="n"/>
      <c r="E697" s="91" t="n"/>
      <c r="F697" s="91" t="n"/>
      <c r="G697" s="91" t="n"/>
      <c r="H697" s="91" t="n"/>
      <c r="I697" s="91" t="n"/>
      <c r="J697" s="91" t="n"/>
      <c r="K697" s="91" t="n"/>
      <c r="L697" s="91" t="n"/>
      <c r="M697" s="91" t="n"/>
      <c r="N697" s="91" t="n"/>
      <c r="O697" s="91" t="n"/>
      <c r="P697" s="91" t="n"/>
      <c r="Q697" s="91" t="n"/>
      <c r="R697" s="91" t="n"/>
      <c r="S697" s="91" t="n"/>
      <c r="T697" s="91" t="n"/>
      <c r="U697" s="91" t="n"/>
      <c r="V697" s="91" t="n"/>
      <c r="W697" s="91" t="n"/>
      <c r="X697" s="91" t="n"/>
      <c r="Y697" s="91" t="n"/>
      <c r="Z697" s="91" t="n"/>
      <c r="AA697" s="91" t="n"/>
    </row>
    <row r="698" ht="12.75" customHeight="1" s="117">
      <c r="A698" s="91" t="n"/>
      <c r="B698" s="91" t="n"/>
      <c r="C698" s="91" t="n"/>
      <c r="D698" s="91" t="n"/>
      <c r="E698" s="91" t="n"/>
      <c r="F698" s="91" t="n"/>
      <c r="G698" s="91" t="n"/>
      <c r="H698" s="91" t="n"/>
      <c r="I698" s="91" t="n"/>
      <c r="J698" s="91" t="n"/>
      <c r="K698" s="91" t="n"/>
      <c r="L698" s="91" t="n"/>
      <c r="M698" s="91" t="n"/>
      <c r="N698" s="91" t="n"/>
      <c r="O698" s="91" t="n"/>
      <c r="P698" s="91" t="n"/>
      <c r="Q698" s="91" t="n"/>
      <c r="R698" s="91" t="n"/>
      <c r="S698" s="91" t="n"/>
      <c r="T698" s="91" t="n"/>
      <c r="U698" s="91" t="n"/>
      <c r="V698" s="91" t="n"/>
      <c r="W698" s="91" t="n"/>
      <c r="X698" s="91" t="n"/>
      <c r="Y698" s="91" t="n"/>
      <c r="Z698" s="91" t="n"/>
      <c r="AA698" s="91" t="n"/>
    </row>
    <row r="699" ht="12.75" customHeight="1" s="117">
      <c r="A699" s="91" t="n"/>
      <c r="B699" s="91" t="n"/>
      <c r="C699" s="91" t="n"/>
      <c r="D699" s="91" t="n"/>
      <c r="E699" s="91" t="n"/>
      <c r="F699" s="91" t="n"/>
      <c r="G699" s="91" t="n"/>
      <c r="H699" s="91" t="n"/>
      <c r="I699" s="91" t="n"/>
      <c r="J699" s="91" t="n"/>
      <c r="K699" s="91" t="n"/>
      <c r="L699" s="91" t="n"/>
      <c r="M699" s="91" t="n"/>
      <c r="N699" s="91" t="n"/>
      <c r="O699" s="91" t="n"/>
      <c r="P699" s="91" t="n"/>
      <c r="Q699" s="91" t="n"/>
      <c r="R699" s="91" t="n"/>
      <c r="S699" s="91" t="n"/>
      <c r="T699" s="91" t="n"/>
      <c r="U699" s="91" t="n"/>
      <c r="V699" s="91" t="n"/>
      <c r="W699" s="91" t="n"/>
      <c r="X699" s="91" t="n"/>
      <c r="Y699" s="91" t="n"/>
      <c r="Z699" s="91" t="n"/>
      <c r="AA699" s="91" t="n"/>
    </row>
    <row r="700" ht="12.75" customHeight="1" s="117">
      <c r="A700" s="91" t="n"/>
      <c r="B700" s="91" t="n"/>
      <c r="C700" s="91" t="n"/>
      <c r="D700" s="91" t="n"/>
      <c r="E700" s="91" t="n"/>
      <c r="F700" s="91" t="n"/>
      <c r="G700" s="91" t="n"/>
      <c r="H700" s="91" t="n"/>
      <c r="I700" s="91" t="n"/>
      <c r="J700" s="91" t="n"/>
      <c r="K700" s="91" t="n"/>
      <c r="L700" s="91" t="n"/>
      <c r="M700" s="91" t="n"/>
      <c r="N700" s="91" t="n"/>
      <c r="O700" s="91" t="n"/>
      <c r="P700" s="91" t="n"/>
      <c r="Q700" s="91" t="n"/>
      <c r="R700" s="91" t="n"/>
      <c r="S700" s="91" t="n"/>
      <c r="T700" s="91" t="n"/>
      <c r="U700" s="91" t="n"/>
      <c r="V700" s="91" t="n"/>
      <c r="W700" s="91" t="n"/>
      <c r="X700" s="91" t="n"/>
      <c r="Y700" s="91" t="n"/>
      <c r="Z700" s="91" t="n"/>
      <c r="AA700" s="91" t="n"/>
    </row>
    <row r="701" ht="12.75" customHeight="1" s="117">
      <c r="A701" s="91" t="n"/>
      <c r="B701" s="91" t="n"/>
      <c r="C701" s="91" t="n"/>
      <c r="D701" s="91" t="n"/>
      <c r="E701" s="91" t="n"/>
      <c r="F701" s="91" t="n"/>
      <c r="G701" s="91" t="n"/>
      <c r="H701" s="91" t="n"/>
      <c r="I701" s="91" t="n"/>
      <c r="J701" s="91" t="n"/>
      <c r="K701" s="91" t="n"/>
      <c r="L701" s="91" t="n"/>
      <c r="M701" s="91" t="n"/>
      <c r="N701" s="91" t="n"/>
      <c r="O701" s="91" t="n"/>
      <c r="P701" s="91" t="n"/>
      <c r="Q701" s="91" t="n"/>
      <c r="R701" s="91" t="n"/>
      <c r="S701" s="91" t="n"/>
      <c r="T701" s="91" t="n"/>
      <c r="U701" s="91" t="n"/>
      <c r="V701" s="91" t="n"/>
      <c r="W701" s="91" t="n"/>
      <c r="X701" s="91" t="n"/>
      <c r="Y701" s="91" t="n"/>
      <c r="Z701" s="91" t="n"/>
      <c r="AA701" s="91" t="n"/>
    </row>
    <row r="702" ht="12.75" customHeight="1" s="117">
      <c r="A702" s="91" t="n"/>
      <c r="B702" s="91" t="n"/>
      <c r="C702" s="91" t="n"/>
      <c r="D702" s="91" t="n"/>
      <c r="E702" s="91" t="n"/>
      <c r="F702" s="91" t="n"/>
      <c r="G702" s="91" t="n"/>
      <c r="H702" s="91" t="n"/>
      <c r="I702" s="91" t="n"/>
      <c r="J702" s="91" t="n"/>
      <c r="K702" s="91" t="n"/>
      <c r="L702" s="91" t="n"/>
      <c r="M702" s="91" t="n"/>
      <c r="N702" s="91" t="n"/>
      <c r="O702" s="91" t="n"/>
      <c r="P702" s="91" t="n"/>
      <c r="Q702" s="91" t="n"/>
      <c r="R702" s="91" t="n"/>
      <c r="S702" s="91" t="n"/>
      <c r="T702" s="91" t="n"/>
      <c r="U702" s="91" t="n"/>
      <c r="V702" s="91" t="n"/>
      <c r="W702" s="91" t="n"/>
      <c r="X702" s="91" t="n"/>
      <c r="Y702" s="91" t="n"/>
      <c r="Z702" s="91" t="n"/>
      <c r="AA702" s="91" t="n"/>
    </row>
    <row r="703" ht="12.75" customHeight="1" s="117">
      <c r="A703" s="91" t="n"/>
      <c r="B703" s="91" t="n"/>
      <c r="C703" s="91" t="n"/>
      <c r="D703" s="91" t="n"/>
      <c r="E703" s="91" t="n"/>
      <c r="F703" s="91" t="n"/>
      <c r="G703" s="91" t="n"/>
      <c r="H703" s="91" t="n"/>
      <c r="I703" s="91" t="n"/>
      <c r="J703" s="91" t="n"/>
      <c r="K703" s="91" t="n"/>
      <c r="L703" s="91" t="n"/>
      <c r="M703" s="91" t="n"/>
      <c r="N703" s="91" t="n"/>
      <c r="O703" s="91" t="n"/>
      <c r="P703" s="91" t="n"/>
      <c r="Q703" s="91" t="n"/>
      <c r="R703" s="91" t="n"/>
      <c r="S703" s="91" t="n"/>
      <c r="T703" s="91" t="n"/>
      <c r="U703" s="91" t="n"/>
      <c r="V703" s="91" t="n"/>
      <c r="W703" s="91" t="n"/>
      <c r="X703" s="91" t="n"/>
      <c r="Y703" s="91" t="n"/>
      <c r="Z703" s="91" t="n"/>
      <c r="AA703" s="91" t="n"/>
    </row>
    <row r="704" ht="12.75" customHeight="1" s="117">
      <c r="A704" s="91" t="n"/>
      <c r="B704" s="91" t="n"/>
      <c r="C704" s="91" t="n"/>
      <c r="D704" s="91" t="n"/>
      <c r="E704" s="91" t="n"/>
      <c r="F704" s="91" t="n"/>
      <c r="G704" s="91" t="n"/>
      <c r="H704" s="91" t="n"/>
      <c r="I704" s="91" t="n"/>
      <c r="J704" s="91" t="n"/>
      <c r="K704" s="91" t="n"/>
      <c r="L704" s="91" t="n"/>
      <c r="M704" s="91" t="n"/>
      <c r="N704" s="91" t="n"/>
      <c r="O704" s="91" t="n"/>
      <c r="P704" s="91" t="n"/>
      <c r="Q704" s="91" t="n"/>
      <c r="R704" s="91" t="n"/>
      <c r="S704" s="91" t="n"/>
      <c r="T704" s="91" t="n"/>
      <c r="U704" s="91" t="n"/>
      <c r="V704" s="91" t="n"/>
      <c r="W704" s="91" t="n"/>
      <c r="X704" s="91" t="n"/>
      <c r="Y704" s="91" t="n"/>
      <c r="Z704" s="91" t="n"/>
      <c r="AA704" s="91" t="n"/>
    </row>
    <row r="705" ht="12.75" customHeight="1" s="117">
      <c r="A705" s="91" t="n"/>
      <c r="B705" s="91" t="n"/>
      <c r="C705" s="91" t="n"/>
      <c r="D705" s="91" t="n"/>
      <c r="E705" s="91" t="n"/>
      <c r="F705" s="91" t="n"/>
      <c r="G705" s="91" t="n"/>
      <c r="H705" s="91" t="n"/>
      <c r="I705" s="91" t="n"/>
      <c r="J705" s="91" t="n"/>
      <c r="K705" s="91" t="n"/>
      <c r="L705" s="91" t="n"/>
      <c r="M705" s="91" t="n"/>
      <c r="N705" s="91" t="n"/>
      <c r="O705" s="91" t="n"/>
      <c r="P705" s="91" t="n"/>
      <c r="Q705" s="91" t="n"/>
      <c r="R705" s="91" t="n"/>
      <c r="S705" s="91" t="n"/>
      <c r="T705" s="91" t="n"/>
      <c r="U705" s="91" t="n"/>
      <c r="V705" s="91" t="n"/>
      <c r="W705" s="91" t="n"/>
      <c r="X705" s="91" t="n"/>
      <c r="Y705" s="91" t="n"/>
      <c r="Z705" s="91" t="n"/>
      <c r="AA705" s="91" t="n"/>
    </row>
    <row r="706" ht="12.75" customHeight="1" s="117">
      <c r="A706" s="91" t="n"/>
      <c r="B706" s="91" t="n"/>
      <c r="C706" s="91" t="n"/>
      <c r="D706" s="91" t="n"/>
      <c r="E706" s="91" t="n"/>
      <c r="F706" s="91" t="n"/>
      <c r="G706" s="91" t="n"/>
      <c r="H706" s="91" t="n"/>
      <c r="I706" s="91" t="n"/>
      <c r="J706" s="91" t="n"/>
      <c r="K706" s="91" t="n"/>
      <c r="L706" s="91" t="n"/>
      <c r="M706" s="91" t="n"/>
      <c r="N706" s="91" t="n"/>
      <c r="O706" s="91" t="n"/>
      <c r="P706" s="91" t="n"/>
      <c r="Q706" s="91" t="n"/>
      <c r="R706" s="91" t="n"/>
      <c r="S706" s="91" t="n"/>
      <c r="T706" s="91" t="n"/>
      <c r="U706" s="91" t="n"/>
      <c r="V706" s="91" t="n"/>
      <c r="W706" s="91" t="n"/>
      <c r="X706" s="91" t="n"/>
      <c r="Y706" s="91" t="n"/>
      <c r="Z706" s="91" t="n"/>
      <c r="AA706" s="91" t="n"/>
    </row>
    <row r="707" ht="12.75" customHeight="1" s="117">
      <c r="A707" s="91" t="n"/>
      <c r="B707" s="91" t="n"/>
      <c r="C707" s="91" t="n"/>
      <c r="D707" s="91" t="n"/>
      <c r="E707" s="91" t="n"/>
      <c r="F707" s="91" t="n"/>
      <c r="G707" s="91" t="n"/>
      <c r="H707" s="91" t="n"/>
      <c r="I707" s="91" t="n"/>
      <c r="J707" s="91" t="n"/>
      <c r="K707" s="91" t="n"/>
      <c r="L707" s="91" t="n"/>
      <c r="M707" s="91" t="n"/>
      <c r="N707" s="91" t="n"/>
      <c r="O707" s="91" t="n"/>
      <c r="P707" s="91" t="n"/>
      <c r="Q707" s="91" t="n"/>
      <c r="R707" s="91" t="n"/>
      <c r="S707" s="91" t="n"/>
      <c r="T707" s="91" t="n"/>
      <c r="U707" s="91" t="n"/>
      <c r="V707" s="91" t="n"/>
      <c r="W707" s="91" t="n"/>
      <c r="X707" s="91" t="n"/>
      <c r="Y707" s="91" t="n"/>
      <c r="Z707" s="91" t="n"/>
      <c r="AA707" s="91" t="n"/>
    </row>
    <row r="708" ht="12.75" customHeight="1" s="117">
      <c r="A708" s="91" t="n"/>
      <c r="B708" s="91" t="n"/>
      <c r="C708" s="91" t="n"/>
      <c r="D708" s="91" t="n"/>
      <c r="E708" s="91" t="n"/>
      <c r="F708" s="91" t="n"/>
      <c r="G708" s="91" t="n"/>
      <c r="H708" s="91" t="n"/>
      <c r="I708" s="91" t="n"/>
      <c r="J708" s="91" t="n"/>
      <c r="K708" s="91" t="n"/>
      <c r="L708" s="91" t="n"/>
      <c r="M708" s="91" t="n"/>
      <c r="N708" s="91" t="n"/>
      <c r="O708" s="91" t="n"/>
      <c r="P708" s="91" t="n"/>
      <c r="Q708" s="91" t="n"/>
      <c r="R708" s="91" t="n"/>
      <c r="S708" s="91" t="n"/>
      <c r="T708" s="91" t="n"/>
      <c r="U708" s="91" t="n"/>
      <c r="V708" s="91" t="n"/>
      <c r="W708" s="91" t="n"/>
      <c r="X708" s="91" t="n"/>
      <c r="Y708" s="91" t="n"/>
      <c r="Z708" s="91" t="n"/>
      <c r="AA708" s="91" t="n"/>
    </row>
    <row r="709" ht="12.75" customHeight="1" s="117">
      <c r="A709" s="91" t="n"/>
      <c r="B709" s="91" t="n"/>
      <c r="C709" s="91" t="n"/>
      <c r="D709" s="91" t="n"/>
      <c r="E709" s="91" t="n"/>
      <c r="F709" s="91" t="n"/>
      <c r="G709" s="91" t="n"/>
      <c r="H709" s="91" t="n"/>
      <c r="I709" s="91" t="n"/>
      <c r="J709" s="91" t="n"/>
      <c r="K709" s="91" t="n"/>
      <c r="L709" s="91" t="n"/>
      <c r="M709" s="91" t="n"/>
      <c r="N709" s="91" t="n"/>
      <c r="O709" s="91" t="n"/>
      <c r="P709" s="91" t="n"/>
      <c r="Q709" s="91" t="n"/>
      <c r="R709" s="91" t="n"/>
      <c r="S709" s="91" t="n"/>
      <c r="T709" s="91" t="n"/>
      <c r="U709" s="91" t="n"/>
      <c r="V709" s="91" t="n"/>
      <c r="W709" s="91" t="n"/>
      <c r="X709" s="91" t="n"/>
      <c r="Y709" s="91" t="n"/>
      <c r="Z709" s="91" t="n"/>
      <c r="AA709" s="91" t="n"/>
    </row>
    <row r="710" ht="12.75" customHeight="1" s="117">
      <c r="A710" s="91" t="n"/>
      <c r="B710" s="91" t="n"/>
      <c r="C710" s="91" t="n"/>
      <c r="D710" s="91" t="n"/>
      <c r="E710" s="91" t="n"/>
      <c r="F710" s="91" t="n"/>
      <c r="G710" s="91" t="n"/>
      <c r="H710" s="91" t="n"/>
      <c r="I710" s="91" t="n"/>
      <c r="J710" s="91" t="n"/>
      <c r="K710" s="91" t="n"/>
      <c r="L710" s="91" t="n"/>
      <c r="M710" s="91" t="n"/>
      <c r="N710" s="91" t="n"/>
      <c r="O710" s="91" t="n"/>
      <c r="P710" s="91" t="n"/>
      <c r="Q710" s="91" t="n"/>
      <c r="R710" s="91" t="n"/>
      <c r="S710" s="91" t="n"/>
      <c r="T710" s="91" t="n"/>
      <c r="U710" s="91" t="n"/>
      <c r="V710" s="91" t="n"/>
      <c r="W710" s="91" t="n"/>
      <c r="X710" s="91" t="n"/>
      <c r="Y710" s="91" t="n"/>
      <c r="Z710" s="91" t="n"/>
      <c r="AA710" s="91" t="n"/>
    </row>
    <row r="711" ht="12.75" customHeight="1" s="117">
      <c r="A711" s="91" t="n"/>
      <c r="B711" s="91" t="n"/>
      <c r="C711" s="91" t="n"/>
      <c r="D711" s="91" t="n"/>
      <c r="E711" s="91" t="n"/>
      <c r="F711" s="91" t="n"/>
      <c r="G711" s="91" t="n"/>
      <c r="H711" s="91" t="n"/>
      <c r="I711" s="91" t="n"/>
      <c r="J711" s="91" t="n"/>
      <c r="K711" s="91" t="n"/>
      <c r="L711" s="91" t="n"/>
      <c r="M711" s="91" t="n"/>
      <c r="N711" s="91" t="n"/>
      <c r="O711" s="91" t="n"/>
      <c r="P711" s="91" t="n"/>
      <c r="Q711" s="91" t="n"/>
      <c r="R711" s="91" t="n"/>
      <c r="S711" s="91" t="n"/>
      <c r="T711" s="91" t="n"/>
      <c r="U711" s="91" t="n"/>
      <c r="V711" s="91" t="n"/>
      <c r="W711" s="91" t="n"/>
      <c r="X711" s="91" t="n"/>
      <c r="Y711" s="91" t="n"/>
      <c r="Z711" s="91" t="n"/>
      <c r="AA711" s="91" t="n"/>
    </row>
    <row r="712" ht="12.75" customHeight="1" s="117">
      <c r="A712" s="91" t="n"/>
      <c r="B712" s="91" t="n"/>
      <c r="C712" s="91" t="n"/>
      <c r="D712" s="91" t="n"/>
      <c r="E712" s="91" t="n"/>
      <c r="F712" s="91" t="n"/>
      <c r="G712" s="91" t="n"/>
      <c r="H712" s="91" t="n"/>
      <c r="I712" s="91" t="n"/>
      <c r="J712" s="91" t="n"/>
      <c r="K712" s="91" t="n"/>
      <c r="L712" s="91" t="n"/>
      <c r="M712" s="91" t="n"/>
      <c r="N712" s="91" t="n"/>
      <c r="O712" s="91" t="n"/>
      <c r="P712" s="91" t="n"/>
      <c r="Q712" s="91" t="n"/>
      <c r="R712" s="91" t="n"/>
      <c r="S712" s="91" t="n"/>
      <c r="T712" s="91" t="n"/>
      <c r="U712" s="91" t="n"/>
      <c r="V712" s="91" t="n"/>
      <c r="W712" s="91" t="n"/>
      <c r="X712" s="91" t="n"/>
      <c r="Y712" s="91" t="n"/>
      <c r="Z712" s="91" t="n"/>
      <c r="AA712" s="91" t="n"/>
    </row>
    <row r="713" ht="12.75" customHeight="1" s="117">
      <c r="A713" s="91" t="n"/>
      <c r="B713" s="91" t="n"/>
      <c r="C713" s="91" t="n"/>
      <c r="D713" s="91" t="n"/>
      <c r="E713" s="91" t="n"/>
      <c r="F713" s="91" t="n"/>
      <c r="G713" s="91" t="n"/>
      <c r="H713" s="91" t="n"/>
      <c r="I713" s="91" t="n"/>
      <c r="J713" s="91" t="n"/>
      <c r="K713" s="91" t="n"/>
      <c r="L713" s="91" t="n"/>
      <c r="M713" s="91" t="n"/>
      <c r="N713" s="91" t="n"/>
      <c r="O713" s="91" t="n"/>
      <c r="P713" s="91" t="n"/>
      <c r="Q713" s="91" t="n"/>
      <c r="R713" s="91" t="n"/>
      <c r="S713" s="91" t="n"/>
      <c r="T713" s="91" t="n"/>
      <c r="U713" s="91" t="n"/>
      <c r="V713" s="91" t="n"/>
      <c r="W713" s="91" t="n"/>
      <c r="X713" s="91" t="n"/>
      <c r="Y713" s="91" t="n"/>
      <c r="Z713" s="91" t="n"/>
      <c r="AA713" s="91" t="n"/>
    </row>
    <row r="714" ht="12.75" customHeight="1" s="117">
      <c r="A714" s="91" t="n"/>
      <c r="B714" s="91" t="n"/>
      <c r="C714" s="91" t="n"/>
      <c r="D714" s="91" t="n"/>
      <c r="E714" s="91" t="n"/>
      <c r="F714" s="91" t="n"/>
      <c r="G714" s="91" t="n"/>
      <c r="H714" s="91" t="n"/>
      <c r="I714" s="91" t="n"/>
      <c r="J714" s="91" t="n"/>
      <c r="K714" s="91" t="n"/>
      <c r="L714" s="91" t="n"/>
      <c r="M714" s="91" t="n"/>
      <c r="N714" s="91" t="n"/>
      <c r="O714" s="91" t="n"/>
      <c r="P714" s="91" t="n"/>
      <c r="Q714" s="91" t="n"/>
      <c r="R714" s="91" t="n"/>
      <c r="S714" s="91" t="n"/>
      <c r="T714" s="91" t="n"/>
      <c r="U714" s="91" t="n"/>
      <c r="V714" s="91" t="n"/>
      <c r="W714" s="91" t="n"/>
      <c r="X714" s="91" t="n"/>
      <c r="Y714" s="91" t="n"/>
      <c r="Z714" s="91" t="n"/>
      <c r="AA714" s="91" t="n"/>
    </row>
    <row r="715" ht="12.75" customHeight="1" s="117">
      <c r="A715" s="91" t="n"/>
      <c r="B715" s="91" t="n"/>
      <c r="C715" s="91" t="n"/>
      <c r="D715" s="91" t="n"/>
      <c r="E715" s="91" t="n"/>
      <c r="F715" s="91" t="n"/>
      <c r="G715" s="91" t="n"/>
      <c r="H715" s="91" t="n"/>
      <c r="I715" s="91" t="n"/>
      <c r="J715" s="91" t="n"/>
      <c r="K715" s="91" t="n"/>
      <c r="L715" s="91" t="n"/>
      <c r="M715" s="91" t="n"/>
      <c r="N715" s="91" t="n"/>
      <c r="O715" s="91" t="n"/>
      <c r="P715" s="91" t="n"/>
      <c r="Q715" s="91" t="n"/>
      <c r="R715" s="91" t="n"/>
      <c r="S715" s="91" t="n"/>
      <c r="T715" s="91" t="n"/>
      <c r="U715" s="91" t="n"/>
      <c r="V715" s="91" t="n"/>
      <c r="W715" s="91" t="n"/>
      <c r="X715" s="91" t="n"/>
      <c r="Y715" s="91" t="n"/>
      <c r="Z715" s="91" t="n"/>
      <c r="AA715" s="91" t="n"/>
    </row>
    <row r="716" ht="12.75" customHeight="1" s="117">
      <c r="A716" s="91" t="n"/>
      <c r="B716" s="91" t="n"/>
      <c r="C716" s="91" t="n"/>
      <c r="D716" s="91" t="n"/>
      <c r="E716" s="91" t="n"/>
      <c r="F716" s="91" t="n"/>
      <c r="G716" s="91" t="n"/>
      <c r="H716" s="91" t="n"/>
      <c r="I716" s="91" t="n"/>
      <c r="J716" s="91" t="n"/>
      <c r="K716" s="91" t="n"/>
      <c r="L716" s="91" t="n"/>
      <c r="M716" s="91" t="n"/>
      <c r="N716" s="91" t="n"/>
      <c r="O716" s="91" t="n"/>
      <c r="P716" s="91" t="n"/>
      <c r="Q716" s="91" t="n"/>
      <c r="R716" s="91" t="n"/>
      <c r="S716" s="91" t="n"/>
      <c r="T716" s="91" t="n"/>
      <c r="U716" s="91" t="n"/>
      <c r="V716" s="91" t="n"/>
      <c r="W716" s="91" t="n"/>
      <c r="X716" s="91" t="n"/>
      <c r="Y716" s="91" t="n"/>
      <c r="Z716" s="91" t="n"/>
      <c r="AA716" s="91" t="n"/>
    </row>
    <row r="717" ht="12.75" customHeight="1" s="117">
      <c r="A717" s="91" t="n"/>
      <c r="B717" s="91" t="n"/>
      <c r="C717" s="91" t="n"/>
      <c r="D717" s="91" t="n"/>
      <c r="E717" s="91" t="n"/>
      <c r="F717" s="91" t="n"/>
      <c r="G717" s="91" t="n"/>
      <c r="H717" s="91" t="n"/>
      <c r="I717" s="91" t="n"/>
      <c r="J717" s="91" t="n"/>
      <c r="K717" s="91" t="n"/>
      <c r="L717" s="91" t="n"/>
      <c r="M717" s="91" t="n"/>
      <c r="N717" s="91" t="n"/>
      <c r="O717" s="91" t="n"/>
      <c r="P717" s="91" t="n"/>
      <c r="Q717" s="91" t="n"/>
      <c r="R717" s="91" t="n"/>
      <c r="S717" s="91" t="n"/>
      <c r="T717" s="91" t="n"/>
      <c r="U717" s="91" t="n"/>
      <c r="V717" s="91" t="n"/>
      <c r="W717" s="91" t="n"/>
      <c r="X717" s="91" t="n"/>
      <c r="Y717" s="91" t="n"/>
      <c r="Z717" s="91" t="n"/>
      <c r="AA717" s="91" t="n"/>
    </row>
    <row r="718" ht="12.75" customHeight="1" s="117">
      <c r="A718" s="91" t="n"/>
      <c r="B718" s="91" t="n"/>
      <c r="C718" s="91" t="n"/>
      <c r="D718" s="91" t="n"/>
      <c r="E718" s="91" t="n"/>
      <c r="F718" s="91" t="n"/>
      <c r="G718" s="91" t="n"/>
      <c r="H718" s="91" t="n"/>
      <c r="I718" s="91" t="n"/>
      <c r="J718" s="91" t="n"/>
      <c r="K718" s="91" t="n"/>
      <c r="L718" s="91" t="n"/>
      <c r="M718" s="91" t="n"/>
      <c r="N718" s="91" t="n"/>
      <c r="O718" s="91" t="n"/>
      <c r="P718" s="91" t="n"/>
      <c r="Q718" s="91" t="n"/>
      <c r="R718" s="91" t="n"/>
      <c r="S718" s="91" t="n"/>
      <c r="T718" s="91" t="n"/>
      <c r="U718" s="91" t="n"/>
      <c r="V718" s="91" t="n"/>
      <c r="W718" s="91" t="n"/>
      <c r="X718" s="91" t="n"/>
      <c r="Y718" s="91" t="n"/>
      <c r="Z718" s="91" t="n"/>
      <c r="AA718" s="91" t="n"/>
    </row>
    <row r="719" ht="12.75" customHeight="1" s="117">
      <c r="A719" s="91" t="n"/>
      <c r="B719" s="91" t="n"/>
      <c r="C719" s="91" t="n"/>
      <c r="D719" s="91" t="n"/>
      <c r="E719" s="91" t="n"/>
      <c r="F719" s="91" t="n"/>
      <c r="G719" s="91" t="n"/>
      <c r="H719" s="91" t="n"/>
      <c r="I719" s="91" t="n"/>
      <c r="J719" s="91" t="n"/>
      <c r="K719" s="91" t="n"/>
      <c r="L719" s="91" t="n"/>
      <c r="M719" s="91" t="n"/>
      <c r="N719" s="91" t="n"/>
      <c r="O719" s="91" t="n"/>
      <c r="P719" s="91" t="n"/>
      <c r="Q719" s="91" t="n"/>
      <c r="R719" s="91" t="n"/>
      <c r="S719" s="91" t="n"/>
      <c r="T719" s="91" t="n"/>
      <c r="U719" s="91" t="n"/>
      <c r="V719" s="91" t="n"/>
      <c r="W719" s="91" t="n"/>
      <c r="X719" s="91" t="n"/>
      <c r="Y719" s="91" t="n"/>
      <c r="Z719" s="91" t="n"/>
      <c r="AA719" s="91" t="n"/>
    </row>
    <row r="720" ht="12.75" customHeight="1" s="117">
      <c r="A720" s="91" t="n"/>
      <c r="B720" s="91" t="n"/>
      <c r="C720" s="91" t="n"/>
      <c r="D720" s="91" t="n"/>
      <c r="E720" s="91" t="n"/>
      <c r="F720" s="91" t="n"/>
      <c r="G720" s="91" t="n"/>
      <c r="H720" s="91" t="n"/>
      <c r="I720" s="91" t="n"/>
      <c r="J720" s="91" t="n"/>
      <c r="K720" s="91" t="n"/>
      <c r="L720" s="91" t="n"/>
      <c r="M720" s="91" t="n"/>
      <c r="N720" s="91" t="n"/>
      <c r="O720" s="91" t="n"/>
      <c r="P720" s="91" t="n"/>
      <c r="Q720" s="91" t="n"/>
      <c r="R720" s="91" t="n"/>
      <c r="S720" s="91" t="n"/>
      <c r="T720" s="91" t="n"/>
      <c r="U720" s="91" t="n"/>
      <c r="V720" s="91" t="n"/>
      <c r="W720" s="91" t="n"/>
      <c r="X720" s="91" t="n"/>
      <c r="Y720" s="91" t="n"/>
      <c r="Z720" s="91" t="n"/>
      <c r="AA720" s="91" t="n"/>
    </row>
    <row r="721" ht="12.75" customHeight="1" s="117">
      <c r="A721" s="91" t="n"/>
      <c r="B721" s="91" t="n"/>
      <c r="C721" s="91" t="n"/>
      <c r="D721" s="91" t="n"/>
      <c r="E721" s="91" t="n"/>
      <c r="F721" s="91" t="n"/>
      <c r="G721" s="91" t="n"/>
      <c r="H721" s="91" t="n"/>
      <c r="I721" s="91" t="n"/>
      <c r="J721" s="91" t="n"/>
      <c r="K721" s="91" t="n"/>
      <c r="L721" s="91" t="n"/>
      <c r="M721" s="91" t="n"/>
      <c r="N721" s="91" t="n"/>
      <c r="O721" s="91" t="n"/>
      <c r="P721" s="91" t="n"/>
      <c r="Q721" s="91" t="n"/>
      <c r="R721" s="91" t="n"/>
      <c r="S721" s="91" t="n"/>
      <c r="T721" s="91" t="n"/>
      <c r="U721" s="91" t="n"/>
      <c r="V721" s="91" t="n"/>
      <c r="W721" s="91" t="n"/>
      <c r="X721" s="91" t="n"/>
      <c r="Y721" s="91" t="n"/>
      <c r="Z721" s="91" t="n"/>
      <c r="AA721" s="91" t="n"/>
    </row>
    <row r="722" ht="12.75" customHeight="1" s="117">
      <c r="A722" s="91" t="n"/>
      <c r="B722" s="91" t="n"/>
      <c r="C722" s="91" t="n"/>
      <c r="D722" s="91" t="n"/>
      <c r="E722" s="91" t="n"/>
      <c r="F722" s="91" t="n"/>
      <c r="G722" s="91" t="n"/>
      <c r="H722" s="91" t="n"/>
      <c r="I722" s="91" t="n"/>
      <c r="J722" s="91" t="n"/>
      <c r="K722" s="91" t="n"/>
      <c r="L722" s="91" t="n"/>
      <c r="M722" s="91" t="n"/>
      <c r="N722" s="91" t="n"/>
      <c r="O722" s="91" t="n"/>
      <c r="P722" s="91" t="n"/>
      <c r="Q722" s="91" t="n"/>
      <c r="R722" s="91" t="n"/>
      <c r="S722" s="91" t="n"/>
      <c r="T722" s="91" t="n"/>
      <c r="U722" s="91" t="n"/>
      <c r="V722" s="91" t="n"/>
      <c r="W722" s="91" t="n"/>
      <c r="X722" s="91" t="n"/>
      <c r="Y722" s="91" t="n"/>
      <c r="Z722" s="91" t="n"/>
      <c r="AA722" s="91" t="n"/>
    </row>
    <row r="723" ht="12.75" customHeight="1" s="117">
      <c r="A723" s="91" t="n"/>
      <c r="B723" s="91" t="n"/>
      <c r="C723" s="91" t="n"/>
      <c r="D723" s="91" t="n"/>
      <c r="E723" s="91" t="n"/>
      <c r="F723" s="91" t="n"/>
      <c r="G723" s="91" t="n"/>
      <c r="H723" s="91" t="n"/>
      <c r="I723" s="91" t="n"/>
      <c r="J723" s="91" t="n"/>
      <c r="K723" s="91" t="n"/>
      <c r="L723" s="91" t="n"/>
      <c r="M723" s="91" t="n"/>
      <c r="N723" s="91" t="n"/>
      <c r="O723" s="91" t="n"/>
      <c r="P723" s="91" t="n"/>
      <c r="Q723" s="91" t="n"/>
      <c r="R723" s="91" t="n"/>
      <c r="S723" s="91" t="n"/>
      <c r="T723" s="91" t="n"/>
      <c r="U723" s="91" t="n"/>
      <c r="V723" s="91" t="n"/>
      <c r="W723" s="91" t="n"/>
      <c r="X723" s="91" t="n"/>
      <c r="Y723" s="91" t="n"/>
      <c r="Z723" s="91" t="n"/>
      <c r="AA723" s="91" t="n"/>
    </row>
    <row r="724" ht="12.75" customHeight="1" s="117">
      <c r="A724" s="91" t="n"/>
      <c r="B724" s="91" t="n"/>
      <c r="C724" s="91" t="n"/>
      <c r="D724" s="91" t="n"/>
      <c r="E724" s="91" t="n"/>
      <c r="F724" s="91" t="n"/>
      <c r="G724" s="91" t="n"/>
      <c r="H724" s="91" t="n"/>
      <c r="I724" s="91" t="n"/>
      <c r="J724" s="91" t="n"/>
      <c r="K724" s="91" t="n"/>
      <c r="L724" s="91" t="n"/>
      <c r="M724" s="91" t="n"/>
      <c r="N724" s="91" t="n"/>
      <c r="O724" s="91" t="n"/>
      <c r="P724" s="91" t="n"/>
      <c r="Q724" s="91" t="n"/>
      <c r="R724" s="91" t="n"/>
      <c r="S724" s="91" t="n"/>
      <c r="T724" s="91" t="n"/>
      <c r="U724" s="91" t="n"/>
      <c r="V724" s="91" t="n"/>
      <c r="W724" s="91" t="n"/>
      <c r="X724" s="91" t="n"/>
      <c r="Y724" s="91" t="n"/>
      <c r="Z724" s="91" t="n"/>
      <c r="AA724" s="91" t="n"/>
    </row>
    <row r="725" ht="12.75" customHeight="1" s="117">
      <c r="A725" s="91" t="n"/>
      <c r="B725" s="91" t="n"/>
      <c r="C725" s="91" t="n"/>
      <c r="D725" s="91" t="n"/>
      <c r="E725" s="91" t="n"/>
      <c r="F725" s="91" t="n"/>
      <c r="G725" s="91" t="n"/>
      <c r="H725" s="91" t="n"/>
      <c r="I725" s="91" t="n"/>
      <c r="J725" s="91" t="n"/>
      <c r="K725" s="91" t="n"/>
      <c r="L725" s="91" t="n"/>
      <c r="M725" s="91" t="n"/>
      <c r="N725" s="91" t="n"/>
      <c r="O725" s="91" t="n"/>
      <c r="P725" s="91" t="n"/>
      <c r="Q725" s="91" t="n"/>
      <c r="R725" s="91" t="n"/>
      <c r="S725" s="91" t="n"/>
      <c r="T725" s="91" t="n"/>
      <c r="U725" s="91" t="n"/>
      <c r="V725" s="91" t="n"/>
      <c r="W725" s="91" t="n"/>
      <c r="X725" s="91" t="n"/>
      <c r="Y725" s="91" t="n"/>
      <c r="Z725" s="91" t="n"/>
      <c r="AA725" s="91" t="n"/>
    </row>
    <row r="726" ht="12.75" customHeight="1" s="117">
      <c r="A726" s="91" t="n"/>
      <c r="B726" s="91" t="n"/>
      <c r="C726" s="91" t="n"/>
      <c r="D726" s="91" t="n"/>
      <c r="E726" s="91" t="n"/>
      <c r="F726" s="91" t="n"/>
      <c r="G726" s="91" t="n"/>
      <c r="H726" s="91" t="n"/>
      <c r="I726" s="91" t="n"/>
      <c r="J726" s="91" t="n"/>
      <c r="K726" s="91" t="n"/>
      <c r="L726" s="91" t="n"/>
      <c r="M726" s="91" t="n"/>
      <c r="N726" s="91" t="n"/>
      <c r="O726" s="91" t="n"/>
      <c r="P726" s="91" t="n"/>
      <c r="Q726" s="91" t="n"/>
      <c r="R726" s="91" t="n"/>
      <c r="S726" s="91" t="n"/>
      <c r="T726" s="91" t="n"/>
      <c r="U726" s="91" t="n"/>
      <c r="V726" s="91" t="n"/>
      <c r="W726" s="91" t="n"/>
      <c r="X726" s="91" t="n"/>
      <c r="Y726" s="91" t="n"/>
      <c r="Z726" s="91" t="n"/>
      <c r="AA726" s="91" t="n"/>
    </row>
    <row r="727" ht="12.75" customHeight="1" s="117">
      <c r="A727" s="91" t="n"/>
      <c r="B727" s="91" t="n"/>
      <c r="C727" s="91" t="n"/>
      <c r="D727" s="91" t="n"/>
      <c r="E727" s="91" t="n"/>
      <c r="F727" s="91" t="n"/>
      <c r="G727" s="91" t="n"/>
      <c r="H727" s="91" t="n"/>
      <c r="I727" s="91" t="n"/>
      <c r="J727" s="91" t="n"/>
      <c r="K727" s="91" t="n"/>
      <c r="L727" s="91" t="n"/>
      <c r="M727" s="91" t="n"/>
      <c r="N727" s="91" t="n"/>
      <c r="O727" s="91" t="n"/>
      <c r="P727" s="91" t="n"/>
      <c r="Q727" s="91" t="n"/>
      <c r="R727" s="91" t="n"/>
      <c r="S727" s="91" t="n"/>
      <c r="T727" s="91" t="n"/>
      <c r="U727" s="91" t="n"/>
      <c r="V727" s="91" t="n"/>
      <c r="W727" s="91" t="n"/>
      <c r="X727" s="91" t="n"/>
      <c r="Y727" s="91" t="n"/>
      <c r="Z727" s="91" t="n"/>
      <c r="AA727" s="91" t="n"/>
    </row>
    <row r="728" ht="12.75" customHeight="1" s="117">
      <c r="A728" s="91" t="n"/>
      <c r="B728" s="91" t="n"/>
      <c r="C728" s="91" t="n"/>
      <c r="D728" s="91" t="n"/>
      <c r="E728" s="91" t="n"/>
      <c r="F728" s="91" t="n"/>
      <c r="G728" s="91" t="n"/>
      <c r="H728" s="91" t="n"/>
      <c r="I728" s="91" t="n"/>
      <c r="J728" s="91" t="n"/>
      <c r="K728" s="91" t="n"/>
      <c r="L728" s="91" t="n"/>
      <c r="M728" s="91" t="n"/>
      <c r="N728" s="91" t="n"/>
      <c r="O728" s="91" t="n"/>
      <c r="P728" s="91" t="n"/>
      <c r="Q728" s="91" t="n"/>
      <c r="R728" s="91" t="n"/>
      <c r="S728" s="91" t="n"/>
      <c r="T728" s="91" t="n"/>
      <c r="U728" s="91" t="n"/>
      <c r="V728" s="91" t="n"/>
      <c r="W728" s="91" t="n"/>
      <c r="X728" s="91" t="n"/>
      <c r="Y728" s="91" t="n"/>
      <c r="Z728" s="91" t="n"/>
      <c r="AA728" s="91" t="n"/>
    </row>
    <row r="729" ht="12.75" customHeight="1" s="117">
      <c r="A729" s="91" t="n"/>
      <c r="B729" s="91" t="n"/>
      <c r="C729" s="91" t="n"/>
      <c r="D729" s="91" t="n"/>
      <c r="E729" s="91" t="n"/>
      <c r="F729" s="91" t="n"/>
      <c r="G729" s="91" t="n"/>
      <c r="H729" s="91" t="n"/>
      <c r="I729" s="91" t="n"/>
      <c r="J729" s="91" t="n"/>
      <c r="K729" s="91" t="n"/>
      <c r="L729" s="91" t="n"/>
      <c r="M729" s="91" t="n"/>
      <c r="N729" s="91" t="n"/>
      <c r="O729" s="91" t="n"/>
      <c r="P729" s="91" t="n"/>
      <c r="Q729" s="91" t="n"/>
      <c r="R729" s="91" t="n"/>
      <c r="S729" s="91" t="n"/>
      <c r="T729" s="91" t="n"/>
      <c r="U729" s="91" t="n"/>
      <c r="V729" s="91" t="n"/>
      <c r="W729" s="91" t="n"/>
      <c r="X729" s="91" t="n"/>
      <c r="Y729" s="91" t="n"/>
      <c r="Z729" s="91" t="n"/>
      <c r="AA729" s="91" t="n"/>
    </row>
    <row r="730" ht="12.75" customHeight="1" s="117">
      <c r="A730" s="91" t="n"/>
      <c r="B730" s="91" t="n"/>
      <c r="C730" s="91" t="n"/>
      <c r="D730" s="91" t="n"/>
      <c r="E730" s="91" t="n"/>
      <c r="F730" s="91" t="n"/>
      <c r="G730" s="91" t="n"/>
      <c r="H730" s="91" t="n"/>
      <c r="I730" s="91" t="n"/>
      <c r="J730" s="91" t="n"/>
      <c r="K730" s="91" t="n"/>
      <c r="L730" s="91" t="n"/>
      <c r="M730" s="91" t="n"/>
      <c r="N730" s="91" t="n"/>
      <c r="O730" s="91" t="n"/>
      <c r="P730" s="91" t="n"/>
      <c r="Q730" s="91" t="n"/>
      <c r="R730" s="91" t="n"/>
      <c r="S730" s="91" t="n"/>
      <c r="T730" s="91" t="n"/>
      <c r="U730" s="91" t="n"/>
      <c r="V730" s="91" t="n"/>
      <c r="W730" s="91" t="n"/>
      <c r="X730" s="91" t="n"/>
      <c r="Y730" s="91" t="n"/>
      <c r="Z730" s="91" t="n"/>
      <c r="AA730" s="91" t="n"/>
    </row>
    <row r="731" ht="12.75" customHeight="1" s="117">
      <c r="A731" s="91" t="n"/>
      <c r="B731" s="91" t="n"/>
      <c r="C731" s="91" t="n"/>
      <c r="D731" s="91" t="n"/>
      <c r="E731" s="91" t="n"/>
      <c r="F731" s="91" t="n"/>
      <c r="G731" s="91" t="n"/>
      <c r="H731" s="91" t="n"/>
      <c r="I731" s="91" t="n"/>
      <c r="J731" s="91" t="n"/>
      <c r="K731" s="91" t="n"/>
      <c r="L731" s="91" t="n"/>
      <c r="M731" s="91" t="n"/>
      <c r="N731" s="91" t="n"/>
      <c r="O731" s="91" t="n"/>
      <c r="P731" s="91" t="n"/>
      <c r="Q731" s="91" t="n"/>
      <c r="R731" s="91" t="n"/>
      <c r="S731" s="91" t="n"/>
      <c r="T731" s="91" t="n"/>
      <c r="U731" s="91" t="n"/>
      <c r="V731" s="91" t="n"/>
      <c r="W731" s="91" t="n"/>
      <c r="X731" s="91" t="n"/>
      <c r="Y731" s="91" t="n"/>
      <c r="Z731" s="91" t="n"/>
      <c r="AA731" s="91" t="n"/>
    </row>
    <row r="732" ht="12.75" customHeight="1" s="117">
      <c r="A732" s="91" t="n"/>
      <c r="B732" s="91" t="n"/>
      <c r="C732" s="91" t="n"/>
      <c r="D732" s="91" t="n"/>
      <c r="E732" s="91" t="n"/>
      <c r="F732" s="91" t="n"/>
      <c r="G732" s="91" t="n"/>
      <c r="H732" s="91" t="n"/>
      <c r="I732" s="91" t="n"/>
      <c r="J732" s="91" t="n"/>
      <c r="K732" s="91" t="n"/>
      <c r="L732" s="91" t="n"/>
      <c r="M732" s="91" t="n"/>
      <c r="N732" s="91" t="n"/>
      <c r="O732" s="91" t="n"/>
      <c r="P732" s="91" t="n"/>
      <c r="Q732" s="91" t="n"/>
      <c r="R732" s="91" t="n"/>
      <c r="S732" s="91" t="n"/>
      <c r="T732" s="91" t="n"/>
      <c r="U732" s="91" t="n"/>
      <c r="V732" s="91" t="n"/>
      <c r="W732" s="91" t="n"/>
      <c r="X732" s="91" t="n"/>
      <c r="Y732" s="91" t="n"/>
      <c r="Z732" s="91" t="n"/>
      <c r="AA732" s="91" t="n"/>
    </row>
    <row r="733" ht="12.75" customHeight="1" s="117">
      <c r="A733" s="91" t="n"/>
      <c r="B733" s="91" t="n"/>
      <c r="C733" s="91" t="n"/>
      <c r="D733" s="91" t="n"/>
      <c r="E733" s="91" t="n"/>
      <c r="F733" s="91" t="n"/>
      <c r="G733" s="91" t="n"/>
      <c r="H733" s="91" t="n"/>
      <c r="I733" s="91" t="n"/>
      <c r="J733" s="91" t="n"/>
      <c r="K733" s="91" t="n"/>
      <c r="L733" s="91" t="n"/>
      <c r="M733" s="91" t="n"/>
      <c r="N733" s="91" t="n"/>
      <c r="O733" s="91" t="n"/>
      <c r="P733" s="91" t="n"/>
      <c r="Q733" s="91" t="n"/>
      <c r="R733" s="91" t="n"/>
      <c r="S733" s="91" t="n"/>
      <c r="T733" s="91" t="n"/>
      <c r="U733" s="91" t="n"/>
      <c r="V733" s="91" t="n"/>
      <c r="W733" s="91" t="n"/>
      <c r="X733" s="91" t="n"/>
      <c r="Y733" s="91" t="n"/>
      <c r="Z733" s="91" t="n"/>
      <c r="AA733" s="91" t="n"/>
    </row>
    <row r="734" ht="12.75" customHeight="1" s="117">
      <c r="A734" s="91" t="n"/>
      <c r="B734" s="91" t="n"/>
      <c r="C734" s="91" t="n"/>
      <c r="D734" s="91" t="n"/>
      <c r="E734" s="91" t="n"/>
      <c r="F734" s="91" t="n"/>
      <c r="G734" s="91" t="n"/>
      <c r="H734" s="91" t="n"/>
      <c r="I734" s="91" t="n"/>
      <c r="J734" s="91" t="n"/>
      <c r="K734" s="91" t="n"/>
      <c r="L734" s="91" t="n"/>
      <c r="M734" s="91" t="n"/>
      <c r="N734" s="91" t="n"/>
      <c r="O734" s="91" t="n"/>
      <c r="P734" s="91" t="n"/>
      <c r="Q734" s="91" t="n"/>
      <c r="R734" s="91" t="n"/>
      <c r="S734" s="91" t="n"/>
      <c r="T734" s="91" t="n"/>
      <c r="U734" s="91" t="n"/>
      <c r="V734" s="91" t="n"/>
      <c r="W734" s="91" t="n"/>
      <c r="X734" s="91" t="n"/>
      <c r="Y734" s="91" t="n"/>
      <c r="Z734" s="91" t="n"/>
      <c r="AA734" s="91" t="n"/>
    </row>
    <row r="735" ht="12.75" customHeight="1" s="117">
      <c r="A735" s="91" t="n"/>
      <c r="B735" s="91" t="n"/>
      <c r="C735" s="91" t="n"/>
      <c r="D735" s="91" t="n"/>
      <c r="E735" s="91" t="n"/>
      <c r="F735" s="91" t="n"/>
      <c r="G735" s="91" t="n"/>
      <c r="H735" s="91" t="n"/>
      <c r="I735" s="91" t="n"/>
      <c r="J735" s="91" t="n"/>
      <c r="K735" s="91" t="n"/>
      <c r="L735" s="91" t="n"/>
      <c r="M735" s="91" t="n"/>
      <c r="N735" s="91" t="n"/>
      <c r="O735" s="91" t="n"/>
      <c r="P735" s="91" t="n"/>
      <c r="Q735" s="91" t="n"/>
      <c r="R735" s="91" t="n"/>
      <c r="S735" s="91" t="n"/>
      <c r="T735" s="91" t="n"/>
      <c r="U735" s="91" t="n"/>
      <c r="V735" s="91" t="n"/>
      <c r="W735" s="91" t="n"/>
      <c r="X735" s="91" t="n"/>
      <c r="Y735" s="91" t="n"/>
      <c r="Z735" s="91" t="n"/>
      <c r="AA735" s="91" t="n"/>
    </row>
    <row r="736" ht="12.75" customHeight="1" s="117">
      <c r="A736" s="91" t="n"/>
      <c r="B736" s="91" t="n"/>
      <c r="C736" s="91" t="n"/>
      <c r="D736" s="91" t="n"/>
      <c r="E736" s="91" t="n"/>
      <c r="F736" s="91" t="n"/>
      <c r="G736" s="91" t="n"/>
      <c r="H736" s="91" t="n"/>
      <c r="I736" s="91" t="n"/>
      <c r="J736" s="91" t="n"/>
      <c r="K736" s="91" t="n"/>
      <c r="L736" s="91" t="n"/>
      <c r="M736" s="91" t="n"/>
      <c r="N736" s="91" t="n"/>
      <c r="O736" s="91" t="n"/>
      <c r="P736" s="91" t="n"/>
      <c r="Q736" s="91" t="n"/>
      <c r="R736" s="91" t="n"/>
      <c r="S736" s="91" t="n"/>
      <c r="T736" s="91" t="n"/>
      <c r="U736" s="91" t="n"/>
      <c r="V736" s="91" t="n"/>
      <c r="W736" s="91" t="n"/>
      <c r="X736" s="91" t="n"/>
      <c r="Y736" s="91" t="n"/>
      <c r="Z736" s="91" t="n"/>
      <c r="AA736" s="91" t="n"/>
    </row>
    <row r="737" ht="12.75" customHeight="1" s="117">
      <c r="A737" s="91" t="n"/>
      <c r="B737" s="91" t="n"/>
      <c r="C737" s="91" t="n"/>
      <c r="D737" s="91" t="n"/>
      <c r="E737" s="91" t="n"/>
      <c r="F737" s="91" t="n"/>
      <c r="G737" s="91" t="n"/>
      <c r="H737" s="91" t="n"/>
      <c r="I737" s="91" t="n"/>
      <c r="J737" s="91" t="n"/>
      <c r="K737" s="91" t="n"/>
      <c r="L737" s="91" t="n"/>
      <c r="M737" s="91" t="n"/>
      <c r="N737" s="91" t="n"/>
      <c r="O737" s="91" t="n"/>
      <c r="P737" s="91" t="n"/>
      <c r="Q737" s="91" t="n"/>
      <c r="R737" s="91" t="n"/>
      <c r="S737" s="91" t="n"/>
      <c r="T737" s="91" t="n"/>
      <c r="U737" s="91" t="n"/>
      <c r="V737" s="91" t="n"/>
      <c r="W737" s="91" t="n"/>
      <c r="X737" s="91" t="n"/>
      <c r="Y737" s="91" t="n"/>
      <c r="Z737" s="91" t="n"/>
      <c r="AA737" s="91" t="n"/>
    </row>
    <row r="738" ht="12.75" customHeight="1" s="117">
      <c r="A738" s="91" t="n"/>
      <c r="B738" s="91" t="n"/>
      <c r="C738" s="91" t="n"/>
      <c r="D738" s="91" t="n"/>
      <c r="E738" s="91" t="n"/>
      <c r="F738" s="91" t="n"/>
      <c r="G738" s="91" t="n"/>
      <c r="H738" s="91" t="n"/>
      <c r="I738" s="91" t="n"/>
      <c r="J738" s="91" t="n"/>
      <c r="K738" s="91" t="n"/>
      <c r="L738" s="91" t="n"/>
      <c r="M738" s="91" t="n"/>
      <c r="N738" s="91" t="n"/>
      <c r="O738" s="91" t="n"/>
      <c r="P738" s="91" t="n"/>
      <c r="Q738" s="91" t="n"/>
      <c r="R738" s="91" t="n"/>
      <c r="S738" s="91" t="n"/>
      <c r="T738" s="91" t="n"/>
      <c r="U738" s="91" t="n"/>
      <c r="V738" s="91" t="n"/>
      <c r="W738" s="91" t="n"/>
      <c r="X738" s="91" t="n"/>
      <c r="Y738" s="91" t="n"/>
      <c r="Z738" s="91" t="n"/>
      <c r="AA738" s="91" t="n"/>
    </row>
    <row r="739" ht="12.75" customHeight="1" s="117">
      <c r="A739" s="91" t="n"/>
      <c r="B739" s="91" t="n"/>
      <c r="C739" s="91" t="n"/>
      <c r="D739" s="91" t="n"/>
      <c r="E739" s="91" t="n"/>
      <c r="F739" s="91" t="n"/>
      <c r="G739" s="91" t="n"/>
      <c r="H739" s="91" t="n"/>
      <c r="I739" s="91" t="n"/>
      <c r="J739" s="91" t="n"/>
      <c r="K739" s="91" t="n"/>
      <c r="L739" s="91" t="n"/>
      <c r="M739" s="91" t="n"/>
      <c r="N739" s="91" t="n"/>
      <c r="O739" s="91" t="n"/>
      <c r="P739" s="91" t="n"/>
      <c r="Q739" s="91" t="n"/>
      <c r="R739" s="91" t="n"/>
      <c r="S739" s="91" t="n"/>
      <c r="T739" s="91" t="n"/>
      <c r="U739" s="91" t="n"/>
      <c r="V739" s="91" t="n"/>
      <c r="W739" s="91" t="n"/>
      <c r="X739" s="91" t="n"/>
      <c r="Y739" s="91" t="n"/>
      <c r="Z739" s="91" t="n"/>
      <c r="AA739" s="91" t="n"/>
    </row>
    <row r="740" ht="12.75" customHeight="1" s="117">
      <c r="A740" s="91" t="n"/>
      <c r="B740" s="91" t="n"/>
      <c r="C740" s="91" t="n"/>
      <c r="D740" s="91" t="n"/>
      <c r="E740" s="91" t="n"/>
      <c r="F740" s="91" t="n"/>
      <c r="G740" s="91" t="n"/>
      <c r="H740" s="91" t="n"/>
      <c r="I740" s="91" t="n"/>
      <c r="J740" s="91" t="n"/>
      <c r="K740" s="91" t="n"/>
      <c r="L740" s="91" t="n"/>
      <c r="M740" s="91" t="n"/>
      <c r="N740" s="91" t="n"/>
      <c r="O740" s="91" t="n"/>
      <c r="P740" s="91" t="n"/>
      <c r="Q740" s="91" t="n"/>
      <c r="R740" s="91" t="n"/>
      <c r="S740" s="91" t="n"/>
      <c r="T740" s="91" t="n"/>
      <c r="U740" s="91" t="n"/>
      <c r="V740" s="91" t="n"/>
      <c r="W740" s="91" t="n"/>
      <c r="X740" s="91" t="n"/>
      <c r="Y740" s="91" t="n"/>
      <c r="Z740" s="91" t="n"/>
      <c r="AA740" s="91" t="n"/>
    </row>
    <row r="741" ht="12.75" customHeight="1" s="117">
      <c r="A741" s="91" t="n"/>
      <c r="B741" s="91" t="n"/>
      <c r="C741" s="91" t="n"/>
      <c r="D741" s="91" t="n"/>
      <c r="E741" s="91" t="n"/>
      <c r="F741" s="91" t="n"/>
      <c r="G741" s="91" t="n"/>
      <c r="H741" s="91" t="n"/>
      <c r="I741" s="91" t="n"/>
      <c r="J741" s="91" t="n"/>
      <c r="K741" s="91" t="n"/>
      <c r="L741" s="91" t="n"/>
      <c r="M741" s="91" t="n"/>
      <c r="N741" s="91" t="n"/>
      <c r="O741" s="91" t="n"/>
      <c r="P741" s="91" t="n"/>
      <c r="Q741" s="91" t="n"/>
      <c r="R741" s="91" t="n"/>
      <c r="S741" s="91" t="n"/>
      <c r="T741" s="91" t="n"/>
      <c r="U741" s="91" t="n"/>
      <c r="V741" s="91" t="n"/>
      <c r="W741" s="91" t="n"/>
      <c r="X741" s="91" t="n"/>
      <c r="Y741" s="91" t="n"/>
      <c r="Z741" s="91" t="n"/>
      <c r="AA741" s="91" t="n"/>
    </row>
    <row r="742" ht="12.75" customHeight="1" s="117">
      <c r="A742" s="91" t="n"/>
      <c r="B742" s="91" t="n"/>
      <c r="C742" s="91" t="n"/>
      <c r="D742" s="91" t="n"/>
      <c r="E742" s="91" t="n"/>
      <c r="F742" s="91" t="n"/>
      <c r="G742" s="91" t="n"/>
      <c r="H742" s="91" t="n"/>
      <c r="I742" s="91" t="n"/>
      <c r="J742" s="91" t="n"/>
      <c r="K742" s="91" t="n"/>
      <c r="L742" s="91" t="n"/>
      <c r="M742" s="91" t="n"/>
      <c r="N742" s="91" t="n"/>
      <c r="O742" s="91" t="n"/>
      <c r="P742" s="91" t="n"/>
      <c r="Q742" s="91" t="n"/>
      <c r="R742" s="91" t="n"/>
      <c r="S742" s="91" t="n"/>
      <c r="T742" s="91" t="n"/>
      <c r="U742" s="91" t="n"/>
      <c r="V742" s="91" t="n"/>
      <c r="W742" s="91" t="n"/>
      <c r="X742" s="91" t="n"/>
      <c r="Y742" s="91" t="n"/>
      <c r="Z742" s="91" t="n"/>
      <c r="AA742" s="91" t="n"/>
    </row>
    <row r="743" ht="12.75" customHeight="1" s="117">
      <c r="A743" s="91" t="n"/>
      <c r="B743" s="91" t="n"/>
      <c r="C743" s="91" t="n"/>
      <c r="D743" s="91" t="n"/>
      <c r="E743" s="91" t="n"/>
      <c r="F743" s="91" t="n"/>
      <c r="G743" s="91" t="n"/>
      <c r="H743" s="91" t="n"/>
      <c r="I743" s="91" t="n"/>
      <c r="J743" s="91" t="n"/>
      <c r="K743" s="91" t="n"/>
      <c r="L743" s="91" t="n"/>
      <c r="M743" s="91" t="n"/>
      <c r="N743" s="91" t="n"/>
      <c r="O743" s="91" t="n"/>
      <c r="P743" s="91" t="n"/>
      <c r="Q743" s="91" t="n"/>
      <c r="R743" s="91" t="n"/>
      <c r="S743" s="91" t="n"/>
      <c r="T743" s="91" t="n"/>
      <c r="U743" s="91" t="n"/>
      <c r="V743" s="91" t="n"/>
      <c r="W743" s="91" t="n"/>
      <c r="X743" s="91" t="n"/>
      <c r="Y743" s="91" t="n"/>
      <c r="Z743" s="91" t="n"/>
      <c r="AA743" s="91" t="n"/>
    </row>
    <row r="744" ht="12.75" customHeight="1" s="117">
      <c r="A744" s="91" t="n"/>
      <c r="B744" s="91" t="n"/>
      <c r="C744" s="91" t="n"/>
      <c r="D744" s="91" t="n"/>
      <c r="E744" s="91" t="n"/>
      <c r="F744" s="91" t="n"/>
      <c r="G744" s="91" t="n"/>
      <c r="H744" s="91" t="n"/>
      <c r="I744" s="91" t="n"/>
      <c r="J744" s="91" t="n"/>
      <c r="K744" s="91" t="n"/>
      <c r="L744" s="91" t="n"/>
      <c r="M744" s="91" t="n"/>
      <c r="N744" s="91" t="n"/>
      <c r="O744" s="91" t="n"/>
      <c r="P744" s="91" t="n"/>
      <c r="Q744" s="91" t="n"/>
      <c r="R744" s="91" t="n"/>
      <c r="S744" s="91" t="n"/>
      <c r="T744" s="91" t="n"/>
      <c r="U744" s="91" t="n"/>
      <c r="V744" s="91" t="n"/>
      <c r="W744" s="91" t="n"/>
      <c r="X744" s="91" t="n"/>
      <c r="Y744" s="91" t="n"/>
      <c r="Z744" s="91" t="n"/>
      <c r="AA744" s="91" t="n"/>
    </row>
    <row r="745" ht="12.75" customHeight="1" s="117">
      <c r="A745" s="91" t="n"/>
      <c r="B745" s="91" t="n"/>
      <c r="C745" s="91" t="n"/>
      <c r="D745" s="91" t="n"/>
      <c r="E745" s="91" t="n"/>
      <c r="F745" s="91" t="n"/>
      <c r="G745" s="91" t="n"/>
      <c r="H745" s="91" t="n"/>
      <c r="I745" s="91" t="n"/>
      <c r="J745" s="91" t="n"/>
      <c r="K745" s="91" t="n"/>
      <c r="L745" s="91" t="n"/>
      <c r="M745" s="91" t="n"/>
      <c r="N745" s="91" t="n"/>
      <c r="O745" s="91" t="n"/>
      <c r="P745" s="91" t="n"/>
      <c r="Q745" s="91" t="n"/>
      <c r="R745" s="91" t="n"/>
      <c r="S745" s="91" t="n"/>
      <c r="T745" s="91" t="n"/>
      <c r="U745" s="91" t="n"/>
      <c r="V745" s="91" t="n"/>
      <c r="W745" s="91" t="n"/>
      <c r="X745" s="91" t="n"/>
      <c r="Y745" s="91" t="n"/>
      <c r="Z745" s="91" t="n"/>
      <c r="AA745" s="91" t="n"/>
    </row>
    <row r="746" ht="12.75" customHeight="1" s="117">
      <c r="A746" s="91" t="n"/>
      <c r="B746" s="91" t="n"/>
      <c r="C746" s="91" t="n"/>
      <c r="D746" s="91" t="n"/>
      <c r="E746" s="91" t="n"/>
      <c r="F746" s="91" t="n"/>
      <c r="G746" s="91" t="n"/>
      <c r="H746" s="91" t="n"/>
      <c r="I746" s="91" t="n"/>
      <c r="J746" s="91" t="n"/>
      <c r="K746" s="91" t="n"/>
      <c r="L746" s="91" t="n"/>
      <c r="M746" s="91" t="n"/>
      <c r="N746" s="91" t="n"/>
      <c r="O746" s="91" t="n"/>
      <c r="P746" s="91" t="n"/>
      <c r="Q746" s="91" t="n"/>
      <c r="R746" s="91" t="n"/>
      <c r="S746" s="91" t="n"/>
      <c r="T746" s="91" t="n"/>
      <c r="U746" s="91" t="n"/>
      <c r="V746" s="91" t="n"/>
      <c r="W746" s="91" t="n"/>
      <c r="X746" s="91" t="n"/>
      <c r="Y746" s="91" t="n"/>
      <c r="Z746" s="91" t="n"/>
      <c r="AA746" s="91" t="n"/>
    </row>
    <row r="747" ht="12.75" customHeight="1" s="117">
      <c r="A747" s="91" t="n"/>
      <c r="B747" s="91" t="n"/>
      <c r="C747" s="91" t="n"/>
      <c r="D747" s="91" t="n"/>
      <c r="E747" s="91" t="n"/>
      <c r="F747" s="91" t="n"/>
      <c r="G747" s="91" t="n"/>
      <c r="H747" s="91" t="n"/>
      <c r="I747" s="91" t="n"/>
      <c r="J747" s="91" t="n"/>
      <c r="K747" s="91" t="n"/>
      <c r="L747" s="91" t="n"/>
      <c r="M747" s="91" t="n"/>
      <c r="N747" s="91" t="n"/>
      <c r="O747" s="91" t="n"/>
      <c r="P747" s="91" t="n"/>
      <c r="Q747" s="91" t="n"/>
      <c r="R747" s="91" t="n"/>
      <c r="S747" s="91" t="n"/>
      <c r="T747" s="91" t="n"/>
      <c r="U747" s="91" t="n"/>
      <c r="V747" s="91" t="n"/>
      <c r="W747" s="91" t="n"/>
      <c r="X747" s="91" t="n"/>
      <c r="Y747" s="91" t="n"/>
      <c r="Z747" s="91" t="n"/>
      <c r="AA747" s="91" t="n"/>
    </row>
    <row r="748" ht="12.75" customHeight="1" s="117">
      <c r="A748" s="91" t="n"/>
      <c r="B748" s="91" t="n"/>
      <c r="C748" s="91" t="n"/>
      <c r="D748" s="91" t="n"/>
      <c r="E748" s="91" t="n"/>
      <c r="F748" s="91" t="n"/>
      <c r="G748" s="91" t="n"/>
      <c r="H748" s="91" t="n"/>
      <c r="I748" s="91" t="n"/>
      <c r="J748" s="91" t="n"/>
      <c r="K748" s="91" t="n"/>
      <c r="L748" s="91" t="n"/>
      <c r="M748" s="91" t="n"/>
      <c r="N748" s="91" t="n"/>
      <c r="O748" s="91" t="n"/>
      <c r="P748" s="91" t="n"/>
      <c r="Q748" s="91" t="n"/>
      <c r="R748" s="91" t="n"/>
      <c r="S748" s="91" t="n"/>
      <c r="T748" s="91" t="n"/>
      <c r="U748" s="91" t="n"/>
      <c r="V748" s="91" t="n"/>
      <c r="W748" s="91" t="n"/>
      <c r="X748" s="91" t="n"/>
      <c r="Y748" s="91" t="n"/>
      <c r="Z748" s="91" t="n"/>
      <c r="AA748" s="91" t="n"/>
    </row>
    <row r="749" ht="12.75" customHeight="1" s="117">
      <c r="A749" s="91" t="n"/>
      <c r="B749" s="91" t="n"/>
      <c r="C749" s="91" t="n"/>
      <c r="D749" s="91" t="n"/>
      <c r="E749" s="91" t="n"/>
      <c r="F749" s="91" t="n"/>
      <c r="G749" s="91" t="n"/>
      <c r="H749" s="91" t="n"/>
      <c r="I749" s="91" t="n"/>
      <c r="J749" s="91" t="n"/>
      <c r="K749" s="91" t="n"/>
      <c r="L749" s="91" t="n"/>
      <c r="M749" s="91" t="n"/>
      <c r="N749" s="91" t="n"/>
      <c r="O749" s="91" t="n"/>
      <c r="P749" s="91" t="n"/>
      <c r="Q749" s="91" t="n"/>
      <c r="R749" s="91" t="n"/>
      <c r="S749" s="91" t="n"/>
      <c r="T749" s="91" t="n"/>
      <c r="U749" s="91" t="n"/>
      <c r="V749" s="91" t="n"/>
      <c r="W749" s="91" t="n"/>
      <c r="X749" s="91" t="n"/>
      <c r="Y749" s="91" t="n"/>
      <c r="Z749" s="91" t="n"/>
      <c r="AA749" s="91" t="n"/>
    </row>
    <row r="750" ht="12.75" customHeight="1" s="117">
      <c r="A750" s="91" t="n"/>
      <c r="B750" s="91" t="n"/>
      <c r="C750" s="91" t="n"/>
      <c r="D750" s="91" t="n"/>
      <c r="E750" s="91" t="n"/>
      <c r="F750" s="91" t="n"/>
      <c r="G750" s="91" t="n"/>
      <c r="H750" s="91" t="n"/>
      <c r="I750" s="91" t="n"/>
      <c r="J750" s="91" t="n"/>
      <c r="K750" s="91" t="n"/>
      <c r="L750" s="91" t="n"/>
      <c r="M750" s="91" t="n"/>
      <c r="N750" s="91" t="n"/>
      <c r="O750" s="91" t="n"/>
      <c r="P750" s="91" t="n"/>
      <c r="Q750" s="91" t="n"/>
      <c r="R750" s="91" t="n"/>
      <c r="S750" s="91" t="n"/>
      <c r="T750" s="91" t="n"/>
      <c r="U750" s="91" t="n"/>
      <c r="V750" s="91" t="n"/>
      <c r="W750" s="91" t="n"/>
      <c r="X750" s="91" t="n"/>
      <c r="Y750" s="91" t="n"/>
      <c r="Z750" s="91" t="n"/>
      <c r="AA750" s="91" t="n"/>
    </row>
    <row r="751" ht="12.75" customHeight="1" s="117">
      <c r="A751" s="91" t="n"/>
      <c r="B751" s="91" t="n"/>
      <c r="C751" s="91" t="n"/>
      <c r="D751" s="91" t="n"/>
      <c r="E751" s="91" t="n"/>
      <c r="F751" s="91" t="n"/>
      <c r="G751" s="91" t="n"/>
      <c r="H751" s="91" t="n"/>
      <c r="I751" s="91" t="n"/>
      <c r="J751" s="91" t="n"/>
      <c r="K751" s="91" t="n"/>
      <c r="L751" s="91" t="n"/>
      <c r="M751" s="91" t="n"/>
      <c r="N751" s="91" t="n"/>
      <c r="O751" s="91" t="n"/>
      <c r="P751" s="91" t="n"/>
      <c r="Q751" s="91" t="n"/>
      <c r="R751" s="91" t="n"/>
      <c r="S751" s="91" t="n"/>
      <c r="T751" s="91" t="n"/>
      <c r="U751" s="91" t="n"/>
      <c r="V751" s="91" t="n"/>
      <c r="W751" s="91" t="n"/>
      <c r="X751" s="91" t="n"/>
      <c r="Y751" s="91" t="n"/>
      <c r="Z751" s="91" t="n"/>
      <c r="AA751" s="91" t="n"/>
    </row>
    <row r="752" ht="12.75" customHeight="1" s="117">
      <c r="A752" s="91" t="n"/>
      <c r="B752" s="91" t="n"/>
      <c r="C752" s="91" t="n"/>
      <c r="D752" s="91" t="n"/>
      <c r="E752" s="91" t="n"/>
      <c r="F752" s="91" t="n"/>
      <c r="G752" s="91" t="n"/>
      <c r="H752" s="91" t="n"/>
      <c r="I752" s="91" t="n"/>
      <c r="J752" s="91" t="n"/>
      <c r="K752" s="91" t="n"/>
      <c r="L752" s="91" t="n"/>
      <c r="M752" s="91" t="n"/>
      <c r="N752" s="91" t="n"/>
      <c r="O752" s="91" t="n"/>
      <c r="P752" s="91" t="n"/>
      <c r="Q752" s="91" t="n"/>
      <c r="R752" s="91" t="n"/>
      <c r="S752" s="91" t="n"/>
      <c r="T752" s="91" t="n"/>
      <c r="U752" s="91" t="n"/>
      <c r="V752" s="91" t="n"/>
      <c r="W752" s="91" t="n"/>
      <c r="X752" s="91" t="n"/>
      <c r="Y752" s="91" t="n"/>
      <c r="Z752" s="91" t="n"/>
      <c r="AA752" s="91" t="n"/>
    </row>
    <row r="753" ht="12.75" customHeight="1" s="117">
      <c r="A753" s="91" t="n"/>
      <c r="B753" s="91" t="n"/>
      <c r="C753" s="91" t="n"/>
      <c r="D753" s="91" t="n"/>
      <c r="E753" s="91" t="n"/>
      <c r="F753" s="91" t="n"/>
      <c r="G753" s="91" t="n"/>
      <c r="H753" s="91" t="n"/>
      <c r="I753" s="91" t="n"/>
      <c r="J753" s="91" t="n"/>
      <c r="K753" s="91" t="n"/>
      <c r="L753" s="91" t="n"/>
      <c r="M753" s="91" t="n"/>
      <c r="N753" s="91" t="n"/>
      <c r="O753" s="91" t="n"/>
      <c r="P753" s="91" t="n"/>
      <c r="Q753" s="91" t="n"/>
      <c r="R753" s="91" t="n"/>
      <c r="S753" s="91" t="n"/>
      <c r="T753" s="91" t="n"/>
      <c r="U753" s="91" t="n"/>
      <c r="V753" s="91" t="n"/>
      <c r="W753" s="91" t="n"/>
      <c r="X753" s="91" t="n"/>
      <c r="Y753" s="91" t="n"/>
      <c r="Z753" s="91" t="n"/>
      <c r="AA753" s="91" t="n"/>
    </row>
    <row r="754" ht="12.75" customHeight="1" s="117">
      <c r="A754" s="91" t="n"/>
      <c r="B754" s="91" t="n"/>
      <c r="C754" s="91" t="n"/>
      <c r="D754" s="91" t="n"/>
      <c r="E754" s="91" t="n"/>
      <c r="F754" s="91" t="n"/>
      <c r="G754" s="91" t="n"/>
      <c r="H754" s="91" t="n"/>
      <c r="I754" s="91" t="n"/>
      <c r="J754" s="91" t="n"/>
      <c r="K754" s="91" t="n"/>
      <c r="L754" s="91" t="n"/>
      <c r="M754" s="91" t="n"/>
      <c r="N754" s="91" t="n"/>
      <c r="O754" s="91" t="n"/>
      <c r="P754" s="91" t="n"/>
      <c r="Q754" s="91" t="n"/>
      <c r="R754" s="91" t="n"/>
      <c r="S754" s="91" t="n"/>
      <c r="T754" s="91" t="n"/>
      <c r="U754" s="91" t="n"/>
      <c r="V754" s="91" t="n"/>
      <c r="W754" s="91" t="n"/>
      <c r="X754" s="91" t="n"/>
      <c r="Y754" s="91" t="n"/>
      <c r="Z754" s="91" t="n"/>
      <c r="AA754" s="91" t="n"/>
    </row>
    <row r="755" ht="12.75" customHeight="1" s="117">
      <c r="A755" s="91" t="n"/>
      <c r="B755" s="91" t="n"/>
      <c r="C755" s="91" t="n"/>
      <c r="D755" s="91" t="n"/>
      <c r="E755" s="91" t="n"/>
      <c r="F755" s="91" t="n"/>
      <c r="G755" s="91" t="n"/>
      <c r="H755" s="91" t="n"/>
      <c r="I755" s="91" t="n"/>
      <c r="J755" s="91" t="n"/>
      <c r="K755" s="91" t="n"/>
      <c r="L755" s="91" t="n"/>
      <c r="M755" s="91" t="n"/>
      <c r="N755" s="91" t="n"/>
      <c r="O755" s="91" t="n"/>
      <c r="P755" s="91" t="n"/>
      <c r="Q755" s="91" t="n"/>
      <c r="R755" s="91" t="n"/>
      <c r="S755" s="91" t="n"/>
      <c r="T755" s="91" t="n"/>
      <c r="U755" s="91" t="n"/>
      <c r="V755" s="91" t="n"/>
      <c r="W755" s="91" t="n"/>
      <c r="X755" s="91" t="n"/>
      <c r="Y755" s="91" t="n"/>
      <c r="Z755" s="91" t="n"/>
      <c r="AA755" s="91" t="n"/>
    </row>
    <row r="756" ht="12.75" customHeight="1" s="117">
      <c r="A756" s="91" t="n"/>
      <c r="B756" s="91" t="n"/>
      <c r="C756" s="91" t="n"/>
      <c r="D756" s="91" t="n"/>
      <c r="E756" s="91" t="n"/>
      <c r="F756" s="91" t="n"/>
      <c r="G756" s="91" t="n"/>
      <c r="H756" s="91" t="n"/>
      <c r="I756" s="91" t="n"/>
      <c r="J756" s="91" t="n"/>
      <c r="K756" s="91" t="n"/>
      <c r="L756" s="91" t="n"/>
      <c r="M756" s="91" t="n"/>
      <c r="N756" s="91" t="n"/>
      <c r="O756" s="91" t="n"/>
      <c r="P756" s="91" t="n"/>
      <c r="Q756" s="91" t="n"/>
      <c r="R756" s="91" t="n"/>
      <c r="S756" s="91" t="n"/>
      <c r="T756" s="91" t="n"/>
      <c r="U756" s="91" t="n"/>
      <c r="V756" s="91" t="n"/>
      <c r="W756" s="91" t="n"/>
      <c r="X756" s="91" t="n"/>
      <c r="Y756" s="91" t="n"/>
      <c r="Z756" s="91" t="n"/>
      <c r="AA756" s="91" t="n"/>
    </row>
    <row r="757" ht="12.75" customHeight="1" s="117">
      <c r="A757" s="91" t="n"/>
      <c r="B757" s="91" t="n"/>
      <c r="C757" s="91" t="n"/>
      <c r="D757" s="91" t="n"/>
      <c r="E757" s="91" t="n"/>
      <c r="F757" s="91" t="n"/>
      <c r="G757" s="91" t="n"/>
      <c r="H757" s="91" t="n"/>
      <c r="I757" s="91" t="n"/>
      <c r="J757" s="91" t="n"/>
      <c r="K757" s="91" t="n"/>
      <c r="L757" s="91" t="n"/>
      <c r="M757" s="91" t="n"/>
      <c r="N757" s="91" t="n"/>
      <c r="O757" s="91" t="n"/>
      <c r="P757" s="91" t="n"/>
      <c r="Q757" s="91" t="n"/>
      <c r="R757" s="91" t="n"/>
      <c r="S757" s="91" t="n"/>
      <c r="T757" s="91" t="n"/>
      <c r="U757" s="91" t="n"/>
      <c r="V757" s="91" t="n"/>
      <c r="W757" s="91" t="n"/>
      <c r="X757" s="91" t="n"/>
      <c r="Y757" s="91" t="n"/>
      <c r="Z757" s="91" t="n"/>
      <c r="AA757" s="91" t="n"/>
    </row>
    <row r="758" ht="12.75" customHeight="1" s="117">
      <c r="A758" s="91" t="n"/>
      <c r="B758" s="91" t="n"/>
      <c r="C758" s="91" t="n"/>
      <c r="D758" s="91" t="n"/>
      <c r="E758" s="91" t="n"/>
      <c r="F758" s="91" t="n"/>
      <c r="G758" s="91" t="n"/>
      <c r="H758" s="91" t="n"/>
      <c r="I758" s="91" t="n"/>
      <c r="J758" s="91" t="n"/>
      <c r="K758" s="91" t="n"/>
      <c r="L758" s="91" t="n"/>
      <c r="M758" s="91" t="n"/>
      <c r="N758" s="91" t="n"/>
      <c r="O758" s="91" t="n"/>
      <c r="P758" s="91" t="n"/>
      <c r="Q758" s="91" t="n"/>
      <c r="R758" s="91" t="n"/>
      <c r="S758" s="91" t="n"/>
      <c r="T758" s="91" t="n"/>
      <c r="U758" s="91" t="n"/>
      <c r="V758" s="91" t="n"/>
      <c r="W758" s="91" t="n"/>
      <c r="X758" s="91" t="n"/>
      <c r="Y758" s="91" t="n"/>
      <c r="Z758" s="91" t="n"/>
      <c r="AA758" s="91" t="n"/>
    </row>
    <row r="759" ht="12.75" customHeight="1" s="117">
      <c r="A759" s="91" t="n"/>
      <c r="B759" s="91" t="n"/>
      <c r="C759" s="91" t="n"/>
      <c r="D759" s="91" t="n"/>
      <c r="E759" s="91" t="n"/>
      <c r="F759" s="91" t="n"/>
      <c r="G759" s="91" t="n"/>
      <c r="H759" s="91" t="n"/>
      <c r="I759" s="91" t="n"/>
      <c r="J759" s="91" t="n"/>
      <c r="K759" s="91" t="n"/>
      <c r="L759" s="91" t="n"/>
      <c r="M759" s="91" t="n"/>
      <c r="N759" s="91" t="n"/>
      <c r="O759" s="91" t="n"/>
      <c r="P759" s="91" t="n"/>
      <c r="Q759" s="91" t="n"/>
      <c r="R759" s="91" t="n"/>
      <c r="S759" s="91" t="n"/>
      <c r="T759" s="91" t="n"/>
      <c r="U759" s="91" t="n"/>
      <c r="V759" s="91" t="n"/>
      <c r="W759" s="91" t="n"/>
      <c r="X759" s="91" t="n"/>
      <c r="Y759" s="91" t="n"/>
      <c r="Z759" s="91" t="n"/>
      <c r="AA759" s="91" t="n"/>
    </row>
    <row r="760" ht="12.75" customHeight="1" s="117">
      <c r="A760" s="91" t="n"/>
      <c r="B760" s="91" t="n"/>
      <c r="C760" s="91" t="n"/>
      <c r="D760" s="91" t="n"/>
      <c r="E760" s="91" t="n"/>
      <c r="F760" s="91" t="n"/>
      <c r="G760" s="91" t="n"/>
      <c r="H760" s="91" t="n"/>
      <c r="I760" s="91" t="n"/>
      <c r="J760" s="91" t="n"/>
      <c r="K760" s="91" t="n"/>
      <c r="L760" s="91" t="n"/>
      <c r="M760" s="91" t="n"/>
      <c r="N760" s="91" t="n"/>
      <c r="O760" s="91" t="n"/>
      <c r="P760" s="91" t="n"/>
      <c r="Q760" s="91" t="n"/>
      <c r="R760" s="91" t="n"/>
      <c r="S760" s="91" t="n"/>
      <c r="T760" s="91" t="n"/>
      <c r="U760" s="91" t="n"/>
      <c r="V760" s="91" t="n"/>
      <c r="W760" s="91" t="n"/>
      <c r="X760" s="91" t="n"/>
      <c r="Y760" s="91" t="n"/>
      <c r="Z760" s="91" t="n"/>
      <c r="AA760" s="91" t="n"/>
    </row>
    <row r="761" ht="12.75" customHeight="1" s="117">
      <c r="A761" s="91" t="n"/>
      <c r="B761" s="91" t="n"/>
      <c r="C761" s="91" t="n"/>
      <c r="D761" s="91" t="n"/>
      <c r="E761" s="91" t="n"/>
      <c r="F761" s="91" t="n"/>
      <c r="G761" s="91" t="n"/>
      <c r="H761" s="91" t="n"/>
      <c r="I761" s="91" t="n"/>
      <c r="J761" s="91" t="n"/>
      <c r="K761" s="91" t="n"/>
      <c r="L761" s="91" t="n"/>
      <c r="M761" s="91" t="n"/>
      <c r="N761" s="91" t="n"/>
      <c r="O761" s="91" t="n"/>
      <c r="P761" s="91" t="n"/>
      <c r="Q761" s="91" t="n"/>
      <c r="R761" s="91" t="n"/>
      <c r="S761" s="91" t="n"/>
      <c r="T761" s="91" t="n"/>
      <c r="U761" s="91" t="n"/>
      <c r="V761" s="91" t="n"/>
      <c r="W761" s="91" t="n"/>
      <c r="X761" s="91" t="n"/>
      <c r="Y761" s="91" t="n"/>
      <c r="Z761" s="91" t="n"/>
      <c r="AA761" s="91" t="n"/>
    </row>
    <row r="762" ht="12.75" customHeight="1" s="117">
      <c r="A762" s="91" t="n"/>
      <c r="B762" s="91" t="n"/>
      <c r="C762" s="91" t="n"/>
      <c r="D762" s="91" t="n"/>
      <c r="E762" s="91" t="n"/>
      <c r="F762" s="91" t="n"/>
      <c r="G762" s="91" t="n"/>
      <c r="H762" s="91" t="n"/>
      <c r="I762" s="91" t="n"/>
      <c r="J762" s="91" t="n"/>
      <c r="K762" s="91" t="n"/>
      <c r="L762" s="91" t="n"/>
      <c r="M762" s="91" t="n"/>
      <c r="N762" s="91" t="n"/>
      <c r="O762" s="91" t="n"/>
      <c r="P762" s="91" t="n"/>
      <c r="Q762" s="91" t="n"/>
      <c r="R762" s="91" t="n"/>
      <c r="S762" s="91" t="n"/>
      <c r="T762" s="91" t="n"/>
      <c r="U762" s="91" t="n"/>
      <c r="V762" s="91" t="n"/>
      <c r="W762" s="91" t="n"/>
      <c r="X762" s="91" t="n"/>
      <c r="Y762" s="91" t="n"/>
      <c r="Z762" s="91" t="n"/>
      <c r="AA762" s="91" t="n"/>
    </row>
    <row r="763" ht="12.75" customHeight="1" s="117">
      <c r="A763" s="91" t="n"/>
      <c r="B763" s="91" t="n"/>
      <c r="C763" s="91" t="n"/>
      <c r="D763" s="91" t="n"/>
      <c r="E763" s="91" t="n"/>
      <c r="F763" s="91" t="n"/>
      <c r="G763" s="91" t="n"/>
      <c r="H763" s="91" t="n"/>
      <c r="I763" s="91" t="n"/>
      <c r="J763" s="91" t="n"/>
      <c r="K763" s="91" t="n"/>
      <c r="L763" s="91" t="n"/>
      <c r="M763" s="91" t="n"/>
      <c r="N763" s="91" t="n"/>
      <c r="O763" s="91" t="n"/>
      <c r="P763" s="91" t="n"/>
      <c r="Q763" s="91" t="n"/>
      <c r="R763" s="91" t="n"/>
      <c r="S763" s="91" t="n"/>
      <c r="T763" s="91" t="n"/>
      <c r="U763" s="91" t="n"/>
      <c r="V763" s="91" t="n"/>
      <c r="W763" s="91" t="n"/>
      <c r="X763" s="91" t="n"/>
      <c r="Y763" s="91" t="n"/>
      <c r="Z763" s="91" t="n"/>
      <c r="AA763" s="91" t="n"/>
    </row>
    <row r="764" ht="12.75" customHeight="1" s="117">
      <c r="A764" s="91" t="n"/>
      <c r="B764" s="91" t="n"/>
      <c r="C764" s="91" t="n"/>
      <c r="D764" s="91" t="n"/>
      <c r="E764" s="91" t="n"/>
      <c r="F764" s="91" t="n"/>
      <c r="G764" s="91" t="n"/>
      <c r="H764" s="91" t="n"/>
      <c r="I764" s="91" t="n"/>
      <c r="J764" s="91" t="n"/>
      <c r="K764" s="91" t="n"/>
      <c r="L764" s="91" t="n"/>
      <c r="M764" s="91" t="n"/>
      <c r="N764" s="91" t="n"/>
      <c r="O764" s="91" t="n"/>
      <c r="P764" s="91" t="n"/>
      <c r="Q764" s="91" t="n"/>
      <c r="R764" s="91" t="n"/>
      <c r="S764" s="91" t="n"/>
      <c r="T764" s="91" t="n"/>
      <c r="U764" s="91" t="n"/>
      <c r="V764" s="91" t="n"/>
      <c r="W764" s="91" t="n"/>
      <c r="X764" s="91" t="n"/>
      <c r="Y764" s="91" t="n"/>
      <c r="Z764" s="91" t="n"/>
      <c r="AA764" s="91" t="n"/>
    </row>
    <row r="765" ht="12.75" customHeight="1" s="117">
      <c r="A765" s="91" t="n"/>
      <c r="B765" s="91" t="n"/>
      <c r="C765" s="91" t="n"/>
      <c r="D765" s="91" t="n"/>
      <c r="E765" s="91" t="n"/>
      <c r="F765" s="91" t="n"/>
      <c r="G765" s="91" t="n"/>
      <c r="H765" s="91" t="n"/>
      <c r="I765" s="91" t="n"/>
      <c r="J765" s="91" t="n"/>
      <c r="K765" s="91" t="n"/>
      <c r="L765" s="91" t="n"/>
      <c r="M765" s="91" t="n"/>
      <c r="N765" s="91" t="n"/>
      <c r="O765" s="91" t="n"/>
      <c r="P765" s="91" t="n"/>
      <c r="Q765" s="91" t="n"/>
      <c r="R765" s="91" t="n"/>
      <c r="S765" s="91" t="n"/>
      <c r="T765" s="91" t="n"/>
      <c r="U765" s="91" t="n"/>
      <c r="V765" s="91" t="n"/>
      <c r="W765" s="91" t="n"/>
      <c r="X765" s="91" t="n"/>
      <c r="Y765" s="91" t="n"/>
      <c r="Z765" s="91" t="n"/>
      <c r="AA765" s="91" t="n"/>
    </row>
    <row r="766" ht="12.75" customHeight="1" s="117">
      <c r="A766" s="91" t="n"/>
      <c r="B766" s="91" t="n"/>
      <c r="C766" s="91" t="n"/>
      <c r="D766" s="91" t="n"/>
      <c r="E766" s="91" t="n"/>
      <c r="F766" s="91" t="n"/>
      <c r="G766" s="91" t="n"/>
      <c r="H766" s="91" t="n"/>
      <c r="I766" s="91" t="n"/>
      <c r="J766" s="91" t="n"/>
      <c r="K766" s="91" t="n"/>
      <c r="L766" s="91" t="n"/>
      <c r="M766" s="91" t="n"/>
      <c r="N766" s="91" t="n"/>
      <c r="O766" s="91" t="n"/>
      <c r="P766" s="91" t="n"/>
      <c r="Q766" s="91" t="n"/>
      <c r="R766" s="91" t="n"/>
      <c r="S766" s="91" t="n"/>
      <c r="T766" s="91" t="n"/>
      <c r="U766" s="91" t="n"/>
      <c r="V766" s="91" t="n"/>
      <c r="W766" s="91" t="n"/>
      <c r="X766" s="91" t="n"/>
      <c r="Y766" s="91" t="n"/>
      <c r="Z766" s="91" t="n"/>
      <c r="AA766" s="91" t="n"/>
    </row>
    <row r="767" ht="12.75" customHeight="1" s="117">
      <c r="A767" s="91" t="n"/>
      <c r="B767" s="91" t="n"/>
      <c r="C767" s="91" t="n"/>
      <c r="D767" s="91" t="n"/>
      <c r="E767" s="91" t="n"/>
      <c r="F767" s="91" t="n"/>
      <c r="G767" s="91" t="n"/>
      <c r="H767" s="91" t="n"/>
      <c r="I767" s="91" t="n"/>
      <c r="J767" s="91" t="n"/>
      <c r="K767" s="91" t="n"/>
      <c r="L767" s="91" t="n"/>
      <c r="M767" s="91" t="n"/>
      <c r="N767" s="91" t="n"/>
      <c r="O767" s="91" t="n"/>
      <c r="P767" s="91" t="n"/>
      <c r="Q767" s="91" t="n"/>
      <c r="R767" s="91" t="n"/>
      <c r="S767" s="91" t="n"/>
      <c r="T767" s="91" t="n"/>
      <c r="U767" s="91" t="n"/>
      <c r="V767" s="91" t="n"/>
      <c r="W767" s="91" t="n"/>
      <c r="X767" s="91" t="n"/>
      <c r="Y767" s="91" t="n"/>
      <c r="Z767" s="91" t="n"/>
      <c r="AA767" s="91" t="n"/>
    </row>
    <row r="768" ht="12.75" customHeight="1" s="117">
      <c r="A768" s="91" t="n"/>
      <c r="B768" s="91" t="n"/>
      <c r="C768" s="91" t="n"/>
      <c r="D768" s="91" t="n"/>
      <c r="E768" s="91" t="n"/>
      <c r="F768" s="91" t="n"/>
      <c r="G768" s="91" t="n"/>
      <c r="H768" s="91" t="n"/>
      <c r="I768" s="91" t="n"/>
      <c r="J768" s="91" t="n"/>
      <c r="K768" s="91" t="n"/>
      <c r="L768" s="91" t="n"/>
      <c r="M768" s="91" t="n"/>
      <c r="N768" s="91" t="n"/>
      <c r="O768" s="91" t="n"/>
      <c r="P768" s="91" t="n"/>
      <c r="Q768" s="91" t="n"/>
      <c r="R768" s="91" t="n"/>
      <c r="S768" s="91" t="n"/>
      <c r="T768" s="91" t="n"/>
      <c r="U768" s="91" t="n"/>
      <c r="V768" s="91" t="n"/>
      <c r="W768" s="91" t="n"/>
      <c r="X768" s="91" t="n"/>
      <c r="Y768" s="91" t="n"/>
      <c r="Z768" s="91" t="n"/>
      <c r="AA768" s="91" t="n"/>
    </row>
    <row r="769" ht="12.75" customHeight="1" s="117">
      <c r="A769" s="91" t="n"/>
      <c r="B769" s="91" t="n"/>
      <c r="C769" s="91" t="n"/>
      <c r="D769" s="91" t="n"/>
      <c r="E769" s="91" t="n"/>
      <c r="F769" s="91" t="n"/>
      <c r="G769" s="91" t="n"/>
      <c r="H769" s="91" t="n"/>
      <c r="I769" s="91" t="n"/>
      <c r="J769" s="91" t="n"/>
      <c r="K769" s="91" t="n"/>
      <c r="L769" s="91" t="n"/>
      <c r="M769" s="91" t="n"/>
      <c r="N769" s="91" t="n"/>
      <c r="O769" s="91" t="n"/>
      <c r="P769" s="91" t="n"/>
      <c r="Q769" s="91" t="n"/>
      <c r="R769" s="91" t="n"/>
      <c r="S769" s="91" t="n"/>
      <c r="T769" s="91" t="n"/>
      <c r="U769" s="91" t="n"/>
      <c r="V769" s="91" t="n"/>
      <c r="W769" s="91" t="n"/>
      <c r="X769" s="91" t="n"/>
      <c r="Y769" s="91" t="n"/>
      <c r="Z769" s="91" t="n"/>
      <c r="AA769" s="91" t="n"/>
    </row>
    <row r="770" ht="12.75" customHeight="1" s="117">
      <c r="A770" s="91" t="n"/>
      <c r="B770" s="91" t="n"/>
      <c r="C770" s="91" t="n"/>
      <c r="D770" s="91" t="n"/>
      <c r="E770" s="91" t="n"/>
      <c r="F770" s="91" t="n"/>
      <c r="G770" s="91" t="n"/>
      <c r="H770" s="91" t="n"/>
      <c r="I770" s="91" t="n"/>
      <c r="J770" s="91" t="n"/>
      <c r="K770" s="91" t="n"/>
      <c r="L770" s="91" t="n"/>
      <c r="M770" s="91" t="n"/>
      <c r="N770" s="91" t="n"/>
      <c r="O770" s="91" t="n"/>
      <c r="P770" s="91" t="n"/>
      <c r="Q770" s="91" t="n"/>
      <c r="R770" s="91" t="n"/>
      <c r="S770" s="91" t="n"/>
      <c r="T770" s="91" t="n"/>
      <c r="U770" s="91" t="n"/>
      <c r="V770" s="91" t="n"/>
      <c r="W770" s="91" t="n"/>
      <c r="X770" s="91" t="n"/>
      <c r="Y770" s="91" t="n"/>
      <c r="Z770" s="91" t="n"/>
      <c r="AA770" s="91" t="n"/>
    </row>
    <row r="771" ht="12.75" customHeight="1" s="117">
      <c r="A771" s="91" t="n"/>
      <c r="B771" s="91" t="n"/>
      <c r="C771" s="91" t="n"/>
      <c r="D771" s="91" t="n"/>
      <c r="E771" s="91" t="n"/>
      <c r="F771" s="91" t="n"/>
      <c r="G771" s="91" t="n"/>
      <c r="H771" s="91" t="n"/>
      <c r="I771" s="91" t="n"/>
      <c r="J771" s="91" t="n"/>
      <c r="K771" s="91" t="n"/>
      <c r="L771" s="91" t="n"/>
      <c r="M771" s="91" t="n"/>
      <c r="N771" s="91" t="n"/>
      <c r="O771" s="91" t="n"/>
      <c r="P771" s="91" t="n"/>
      <c r="Q771" s="91" t="n"/>
      <c r="R771" s="91" t="n"/>
      <c r="S771" s="91" t="n"/>
      <c r="T771" s="91" t="n"/>
      <c r="U771" s="91" t="n"/>
      <c r="V771" s="91" t="n"/>
      <c r="W771" s="91" t="n"/>
      <c r="X771" s="91" t="n"/>
      <c r="Y771" s="91" t="n"/>
      <c r="Z771" s="91" t="n"/>
      <c r="AA771" s="91" t="n"/>
    </row>
    <row r="772" ht="12.75" customHeight="1" s="117">
      <c r="A772" s="91" t="n"/>
      <c r="B772" s="91" t="n"/>
      <c r="C772" s="91" t="n"/>
      <c r="D772" s="91" t="n"/>
      <c r="E772" s="91" t="n"/>
      <c r="F772" s="91" t="n"/>
      <c r="G772" s="91" t="n"/>
      <c r="H772" s="91" t="n"/>
      <c r="I772" s="91" t="n"/>
      <c r="J772" s="91" t="n"/>
      <c r="K772" s="91" t="n"/>
      <c r="L772" s="91" t="n"/>
      <c r="M772" s="91" t="n"/>
      <c r="N772" s="91" t="n"/>
      <c r="O772" s="91" t="n"/>
      <c r="P772" s="91" t="n"/>
      <c r="Q772" s="91" t="n"/>
      <c r="R772" s="91" t="n"/>
      <c r="S772" s="91" t="n"/>
      <c r="T772" s="91" t="n"/>
      <c r="U772" s="91" t="n"/>
      <c r="V772" s="91" t="n"/>
      <c r="W772" s="91" t="n"/>
      <c r="X772" s="91" t="n"/>
      <c r="Y772" s="91" t="n"/>
      <c r="Z772" s="91" t="n"/>
      <c r="AA772" s="91" t="n"/>
    </row>
    <row r="773" ht="12.75" customHeight="1" s="117">
      <c r="A773" s="91" t="n"/>
      <c r="B773" s="91" t="n"/>
      <c r="C773" s="91" t="n"/>
      <c r="D773" s="91" t="n"/>
      <c r="E773" s="91" t="n"/>
      <c r="F773" s="91" t="n"/>
      <c r="G773" s="91" t="n"/>
      <c r="H773" s="91" t="n"/>
      <c r="I773" s="91" t="n"/>
      <c r="J773" s="91" t="n"/>
      <c r="K773" s="91" t="n"/>
      <c r="L773" s="91" t="n"/>
      <c r="M773" s="91" t="n"/>
      <c r="N773" s="91" t="n"/>
      <c r="O773" s="91" t="n"/>
      <c r="P773" s="91" t="n"/>
      <c r="Q773" s="91" t="n"/>
      <c r="R773" s="91" t="n"/>
      <c r="S773" s="91" t="n"/>
      <c r="T773" s="91" t="n"/>
      <c r="U773" s="91" t="n"/>
      <c r="V773" s="91" t="n"/>
      <c r="W773" s="91" t="n"/>
      <c r="X773" s="91" t="n"/>
      <c r="Y773" s="91" t="n"/>
      <c r="Z773" s="91" t="n"/>
      <c r="AA773" s="91" t="n"/>
    </row>
    <row r="774" ht="12.75" customHeight="1" s="117">
      <c r="A774" s="91" t="n"/>
      <c r="B774" s="91" t="n"/>
      <c r="C774" s="91" t="n"/>
      <c r="D774" s="91" t="n"/>
      <c r="E774" s="91" t="n"/>
      <c r="F774" s="91" t="n"/>
      <c r="G774" s="91" t="n"/>
      <c r="H774" s="91" t="n"/>
      <c r="I774" s="91" t="n"/>
      <c r="J774" s="91" t="n"/>
      <c r="K774" s="91" t="n"/>
      <c r="L774" s="91" t="n"/>
      <c r="M774" s="91" t="n"/>
      <c r="N774" s="91" t="n"/>
      <c r="O774" s="91" t="n"/>
      <c r="P774" s="91" t="n"/>
      <c r="Q774" s="91" t="n"/>
      <c r="R774" s="91" t="n"/>
      <c r="S774" s="91" t="n"/>
      <c r="T774" s="91" t="n"/>
      <c r="U774" s="91" t="n"/>
      <c r="V774" s="91" t="n"/>
      <c r="W774" s="91" t="n"/>
      <c r="X774" s="91" t="n"/>
      <c r="Y774" s="91" t="n"/>
      <c r="Z774" s="91" t="n"/>
      <c r="AA774" s="91" t="n"/>
    </row>
    <row r="775" ht="12.75" customHeight="1" s="117">
      <c r="A775" s="91" t="n"/>
      <c r="B775" s="91" t="n"/>
      <c r="C775" s="91" t="n"/>
      <c r="D775" s="91" t="n"/>
      <c r="E775" s="91" t="n"/>
      <c r="F775" s="91" t="n"/>
      <c r="G775" s="91" t="n"/>
      <c r="H775" s="91" t="n"/>
      <c r="I775" s="91" t="n"/>
      <c r="J775" s="91" t="n"/>
      <c r="K775" s="91" t="n"/>
      <c r="L775" s="91" t="n"/>
      <c r="M775" s="91" t="n"/>
      <c r="N775" s="91" t="n"/>
      <c r="O775" s="91" t="n"/>
      <c r="P775" s="91" t="n"/>
      <c r="Q775" s="91" t="n"/>
      <c r="R775" s="91" t="n"/>
      <c r="S775" s="91" t="n"/>
      <c r="T775" s="91" t="n"/>
      <c r="U775" s="91" t="n"/>
      <c r="V775" s="91" t="n"/>
      <c r="W775" s="91" t="n"/>
      <c r="X775" s="91" t="n"/>
      <c r="Y775" s="91" t="n"/>
      <c r="Z775" s="91" t="n"/>
      <c r="AA775" s="91" t="n"/>
    </row>
    <row r="776" ht="12.75" customHeight="1" s="117">
      <c r="A776" s="91" t="n"/>
      <c r="B776" s="91" t="n"/>
      <c r="C776" s="91" t="n"/>
      <c r="D776" s="91" t="n"/>
      <c r="E776" s="91" t="n"/>
      <c r="F776" s="91" t="n"/>
      <c r="G776" s="91" t="n"/>
      <c r="H776" s="91" t="n"/>
      <c r="I776" s="91" t="n"/>
      <c r="J776" s="91" t="n"/>
      <c r="K776" s="91" t="n"/>
      <c r="L776" s="91" t="n"/>
      <c r="M776" s="91" t="n"/>
      <c r="N776" s="91" t="n"/>
      <c r="O776" s="91" t="n"/>
      <c r="P776" s="91" t="n"/>
      <c r="Q776" s="91" t="n"/>
      <c r="R776" s="91" t="n"/>
      <c r="S776" s="91" t="n"/>
      <c r="T776" s="91" t="n"/>
      <c r="U776" s="91" t="n"/>
      <c r="V776" s="91" t="n"/>
      <c r="W776" s="91" t="n"/>
      <c r="X776" s="91" t="n"/>
      <c r="Y776" s="91" t="n"/>
      <c r="Z776" s="91" t="n"/>
      <c r="AA776" s="91" t="n"/>
    </row>
    <row r="777" ht="12.75" customHeight="1" s="117">
      <c r="A777" s="91" t="n"/>
      <c r="B777" s="91" t="n"/>
      <c r="C777" s="91" t="n"/>
      <c r="D777" s="91" t="n"/>
      <c r="E777" s="91" t="n"/>
      <c r="F777" s="91" t="n"/>
      <c r="G777" s="91" t="n"/>
      <c r="H777" s="91" t="n"/>
      <c r="I777" s="91" t="n"/>
      <c r="J777" s="91" t="n"/>
      <c r="K777" s="91" t="n"/>
      <c r="L777" s="91" t="n"/>
      <c r="M777" s="91" t="n"/>
      <c r="N777" s="91" t="n"/>
      <c r="O777" s="91" t="n"/>
      <c r="P777" s="91" t="n"/>
      <c r="Q777" s="91" t="n"/>
      <c r="R777" s="91" t="n"/>
      <c r="S777" s="91" t="n"/>
      <c r="T777" s="91" t="n"/>
      <c r="U777" s="91" t="n"/>
      <c r="V777" s="91" t="n"/>
      <c r="W777" s="91" t="n"/>
      <c r="X777" s="91" t="n"/>
      <c r="Y777" s="91" t="n"/>
      <c r="Z777" s="91" t="n"/>
      <c r="AA777" s="91" t="n"/>
    </row>
    <row r="778" ht="12.75" customHeight="1" s="117">
      <c r="A778" s="91" t="n"/>
      <c r="B778" s="91" t="n"/>
      <c r="C778" s="91" t="n"/>
      <c r="D778" s="91" t="n"/>
      <c r="E778" s="91" t="n"/>
      <c r="F778" s="91" t="n"/>
      <c r="G778" s="91" t="n"/>
      <c r="H778" s="91" t="n"/>
      <c r="I778" s="91" t="n"/>
      <c r="J778" s="91" t="n"/>
      <c r="K778" s="91" t="n"/>
      <c r="L778" s="91" t="n"/>
      <c r="M778" s="91" t="n"/>
      <c r="N778" s="91" t="n"/>
      <c r="O778" s="91" t="n"/>
      <c r="P778" s="91" t="n"/>
      <c r="Q778" s="91" t="n"/>
      <c r="R778" s="91" t="n"/>
      <c r="S778" s="91" t="n"/>
      <c r="T778" s="91" t="n"/>
      <c r="U778" s="91" t="n"/>
      <c r="V778" s="91" t="n"/>
      <c r="W778" s="91" t="n"/>
      <c r="X778" s="91" t="n"/>
      <c r="Y778" s="91" t="n"/>
      <c r="Z778" s="91" t="n"/>
      <c r="AA778" s="91" t="n"/>
    </row>
    <row r="779" ht="12.75" customHeight="1" s="117">
      <c r="A779" s="91" t="n"/>
      <c r="B779" s="91" t="n"/>
      <c r="C779" s="91" t="n"/>
      <c r="D779" s="91" t="n"/>
      <c r="E779" s="91" t="n"/>
      <c r="F779" s="91" t="n"/>
      <c r="G779" s="91" t="n"/>
      <c r="H779" s="91" t="n"/>
      <c r="I779" s="91" t="n"/>
      <c r="J779" s="91" t="n"/>
      <c r="K779" s="91" t="n"/>
      <c r="L779" s="91" t="n"/>
      <c r="M779" s="91" t="n"/>
      <c r="N779" s="91" t="n"/>
      <c r="O779" s="91" t="n"/>
      <c r="P779" s="91" t="n"/>
      <c r="Q779" s="91" t="n"/>
      <c r="R779" s="91" t="n"/>
      <c r="S779" s="91" t="n"/>
      <c r="T779" s="91" t="n"/>
      <c r="U779" s="91" t="n"/>
      <c r="V779" s="91" t="n"/>
      <c r="W779" s="91" t="n"/>
      <c r="X779" s="91" t="n"/>
      <c r="Y779" s="91" t="n"/>
      <c r="Z779" s="91" t="n"/>
      <c r="AA779" s="91" t="n"/>
    </row>
    <row r="780" ht="12.75" customHeight="1" s="117">
      <c r="A780" s="91" t="n"/>
      <c r="B780" s="91" t="n"/>
      <c r="C780" s="91" t="n"/>
      <c r="D780" s="91" t="n"/>
      <c r="E780" s="91" t="n"/>
      <c r="F780" s="91" t="n"/>
      <c r="G780" s="91" t="n"/>
      <c r="H780" s="91" t="n"/>
      <c r="I780" s="91" t="n"/>
      <c r="J780" s="91" t="n"/>
      <c r="K780" s="91" t="n"/>
      <c r="L780" s="91" t="n"/>
      <c r="M780" s="91" t="n"/>
      <c r="N780" s="91" t="n"/>
      <c r="O780" s="91" t="n"/>
      <c r="P780" s="91" t="n"/>
      <c r="Q780" s="91" t="n"/>
      <c r="R780" s="91" t="n"/>
      <c r="S780" s="91" t="n"/>
      <c r="T780" s="91" t="n"/>
      <c r="U780" s="91" t="n"/>
      <c r="V780" s="91" t="n"/>
      <c r="W780" s="91" t="n"/>
      <c r="X780" s="91" t="n"/>
      <c r="Y780" s="91" t="n"/>
      <c r="Z780" s="91" t="n"/>
      <c r="AA780" s="91" t="n"/>
    </row>
    <row r="781" ht="12.75" customHeight="1" s="117">
      <c r="A781" s="91" t="n"/>
      <c r="B781" s="91" t="n"/>
      <c r="C781" s="91" t="n"/>
      <c r="D781" s="91" t="n"/>
      <c r="E781" s="91" t="n"/>
      <c r="F781" s="91" t="n"/>
      <c r="G781" s="91" t="n"/>
      <c r="H781" s="91" t="n"/>
      <c r="I781" s="91" t="n"/>
      <c r="J781" s="91" t="n"/>
      <c r="K781" s="91" t="n"/>
      <c r="L781" s="91" t="n"/>
      <c r="M781" s="91" t="n"/>
      <c r="N781" s="91" t="n"/>
      <c r="O781" s="91" t="n"/>
      <c r="P781" s="91" t="n"/>
      <c r="Q781" s="91" t="n"/>
      <c r="R781" s="91" t="n"/>
      <c r="S781" s="91" t="n"/>
      <c r="T781" s="91" t="n"/>
      <c r="U781" s="91" t="n"/>
      <c r="V781" s="91" t="n"/>
      <c r="W781" s="91" t="n"/>
      <c r="X781" s="91" t="n"/>
      <c r="Y781" s="91" t="n"/>
      <c r="Z781" s="91" t="n"/>
      <c r="AA781" s="91" t="n"/>
    </row>
    <row r="782" ht="12.75" customHeight="1" s="117">
      <c r="A782" s="91" t="n"/>
      <c r="B782" s="91" t="n"/>
      <c r="C782" s="91" t="n"/>
      <c r="D782" s="91" t="n"/>
      <c r="E782" s="91" t="n"/>
      <c r="F782" s="91" t="n"/>
      <c r="G782" s="91" t="n"/>
      <c r="H782" s="91" t="n"/>
      <c r="I782" s="91" t="n"/>
      <c r="J782" s="91" t="n"/>
      <c r="K782" s="91" t="n"/>
      <c r="L782" s="91" t="n"/>
      <c r="M782" s="91" t="n"/>
      <c r="N782" s="91" t="n"/>
      <c r="O782" s="91" t="n"/>
      <c r="P782" s="91" t="n"/>
      <c r="Q782" s="91" t="n"/>
      <c r="R782" s="91" t="n"/>
      <c r="S782" s="91" t="n"/>
      <c r="T782" s="91" t="n"/>
      <c r="U782" s="91" t="n"/>
      <c r="V782" s="91" t="n"/>
      <c r="W782" s="91" t="n"/>
      <c r="X782" s="91" t="n"/>
      <c r="Y782" s="91" t="n"/>
      <c r="Z782" s="91" t="n"/>
      <c r="AA782" s="91" t="n"/>
    </row>
    <row r="783" ht="12.75" customHeight="1" s="117">
      <c r="A783" s="91" t="n"/>
      <c r="B783" s="91" t="n"/>
      <c r="C783" s="91" t="n"/>
      <c r="D783" s="91" t="n"/>
      <c r="E783" s="91" t="n"/>
      <c r="F783" s="91" t="n"/>
      <c r="G783" s="91" t="n"/>
      <c r="H783" s="91" t="n"/>
      <c r="I783" s="91" t="n"/>
      <c r="J783" s="91" t="n"/>
      <c r="K783" s="91" t="n"/>
      <c r="L783" s="91" t="n"/>
      <c r="M783" s="91" t="n"/>
      <c r="N783" s="91" t="n"/>
      <c r="O783" s="91" t="n"/>
      <c r="P783" s="91" t="n"/>
      <c r="Q783" s="91" t="n"/>
      <c r="R783" s="91" t="n"/>
      <c r="S783" s="91" t="n"/>
      <c r="T783" s="91" t="n"/>
      <c r="U783" s="91" t="n"/>
      <c r="V783" s="91" t="n"/>
      <c r="W783" s="91" t="n"/>
      <c r="X783" s="91" t="n"/>
      <c r="Y783" s="91" t="n"/>
      <c r="Z783" s="91" t="n"/>
      <c r="AA783" s="91" t="n"/>
    </row>
    <row r="784" ht="12.75" customHeight="1" s="117">
      <c r="A784" s="91" t="n"/>
      <c r="B784" s="91" t="n"/>
      <c r="C784" s="91" t="n"/>
      <c r="D784" s="91" t="n"/>
      <c r="E784" s="91" t="n"/>
      <c r="F784" s="91" t="n"/>
      <c r="G784" s="91" t="n"/>
      <c r="H784" s="91" t="n"/>
      <c r="I784" s="91" t="n"/>
      <c r="J784" s="91" t="n"/>
      <c r="K784" s="91" t="n"/>
      <c r="L784" s="91" t="n"/>
      <c r="M784" s="91" t="n"/>
      <c r="N784" s="91" t="n"/>
      <c r="O784" s="91" t="n"/>
      <c r="P784" s="91" t="n"/>
      <c r="Q784" s="91" t="n"/>
      <c r="R784" s="91" t="n"/>
      <c r="S784" s="91" t="n"/>
      <c r="T784" s="91" t="n"/>
      <c r="U784" s="91" t="n"/>
      <c r="V784" s="91" t="n"/>
      <c r="W784" s="91" t="n"/>
      <c r="X784" s="91" t="n"/>
      <c r="Y784" s="91" t="n"/>
      <c r="Z784" s="91" t="n"/>
      <c r="AA784" s="91" t="n"/>
    </row>
    <row r="785" ht="12.75" customHeight="1" s="117">
      <c r="A785" s="91" t="n"/>
      <c r="B785" s="91" t="n"/>
      <c r="C785" s="91" t="n"/>
      <c r="D785" s="91" t="n"/>
      <c r="E785" s="91" t="n"/>
      <c r="F785" s="91" t="n"/>
      <c r="G785" s="91" t="n"/>
      <c r="H785" s="91" t="n"/>
      <c r="I785" s="91" t="n"/>
      <c r="J785" s="91" t="n"/>
      <c r="K785" s="91" t="n"/>
      <c r="L785" s="91" t="n"/>
      <c r="M785" s="91" t="n"/>
      <c r="N785" s="91" t="n"/>
      <c r="O785" s="91" t="n"/>
      <c r="P785" s="91" t="n"/>
      <c r="Q785" s="91" t="n"/>
      <c r="R785" s="91" t="n"/>
      <c r="S785" s="91" t="n"/>
      <c r="T785" s="91" t="n"/>
      <c r="U785" s="91" t="n"/>
      <c r="V785" s="91" t="n"/>
      <c r="W785" s="91" t="n"/>
      <c r="X785" s="91" t="n"/>
      <c r="Y785" s="91" t="n"/>
      <c r="Z785" s="91" t="n"/>
      <c r="AA785" s="91" t="n"/>
    </row>
    <row r="786" ht="12.75" customHeight="1" s="117">
      <c r="A786" s="91" t="n"/>
      <c r="B786" s="91" t="n"/>
      <c r="C786" s="91" t="n"/>
      <c r="D786" s="91" t="n"/>
      <c r="E786" s="91" t="n"/>
      <c r="F786" s="91" t="n"/>
      <c r="G786" s="91" t="n"/>
      <c r="H786" s="91" t="n"/>
      <c r="I786" s="91" t="n"/>
      <c r="J786" s="91" t="n"/>
      <c r="K786" s="91" t="n"/>
      <c r="L786" s="91" t="n"/>
      <c r="M786" s="91" t="n"/>
      <c r="N786" s="91" t="n"/>
      <c r="O786" s="91" t="n"/>
      <c r="P786" s="91" t="n"/>
      <c r="Q786" s="91" t="n"/>
      <c r="R786" s="91" t="n"/>
      <c r="S786" s="91" t="n"/>
      <c r="T786" s="91" t="n"/>
      <c r="U786" s="91" t="n"/>
      <c r="V786" s="91" t="n"/>
      <c r="W786" s="91" t="n"/>
      <c r="X786" s="91" t="n"/>
      <c r="Y786" s="91" t="n"/>
      <c r="Z786" s="91" t="n"/>
      <c r="AA786" s="91" t="n"/>
    </row>
    <row r="787" ht="12.75" customHeight="1" s="117">
      <c r="A787" s="91" t="n"/>
      <c r="B787" s="91" t="n"/>
      <c r="C787" s="91" t="n"/>
      <c r="D787" s="91" t="n"/>
      <c r="E787" s="91" t="n"/>
      <c r="F787" s="91" t="n"/>
      <c r="G787" s="91" t="n"/>
      <c r="H787" s="91" t="n"/>
      <c r="I787" s="91" t="n"/>
      <c r="J787" s="91" t="n"/>
      <c r="K787" s="91" t="n"/>
      <c r="L787" s="91" t="n"/>
      <c r="M787" s="91" t="n"/>
      <c r="N787" s="91" t="n"/>
      <c r="O787" s="91" t="n"/>
      <c r="P787" s="91" t="n"/>
      <c r="Q787" s="91" t="n"/>
      <c r="R787" s="91" t="n"/>
      <c r="S787" s="91" t="n"/>
      <c r="T787" s="91" t="n"/>
      <c r="U787" s="91" t="n"/>
      <c r="V787" s="91" t="n"/>
      <c r="W787" s="91" t="n"/>
      <c r="X787" s="91" t="n"/>
      <c r="Y787" s="91" t="n"/>
      <c r="Z787" s="91" t="n"/>
      <c r="AA787" s="91" t="n"/>
    </row>
    <row r="788" ht="12.75" customHeight="1" s="117">
      <c r="A788" s="91" t="n"/>
      <c r="B788" s="91" t="n"/>
      <c r="C788" s="91" t="n"/>
      <c r="D788" s="91" t="n"/>
      <c r="E788" s="91" t="n"/>
      <c r="F788" s="91" t="n"/>
      <c r="G788" s="91" t="n"/>
      <c r="H788" s="91" t="n"/>
      <c r="I788" s="91" t="n"/>
      <c r="J788" s="91" t="n"/>
      <c r="K788" s="91" t="n"/>
      <c r="L788" s="91" t="n"/>
      <c r="M788" s="91" t="n"/>
      <c r="N788" s="91" t="n"/>
      <c r="O788" s="91" t="n"/>
      <c r="P788" s="91" t="n"/>
      <c r="Q788" s="91" t="n"/>
      <c r="R788" s="91" t="n"/>
      <c r="S788" s="91" t="n"/>
      <c r="T788" s="91" t="n"/>
      <c r="U788" s="91" t="n"/>
      <c r="V788" s="91" t="n"/>
      <c r="W788" s="91" t="n"/>
      <c r="X788" s="91" t="n"/>
      <c r="Y788" s="91" t="n"/>
      <c r="Z788" s="91" t="n"/>
      <c r="AA788" s="91" t="n"/>
    </row>
    <row r="789" ht="12.75" customHeight="1" s="117">
      <c r="A789" s="91" t="n"/>
      <c r="B789" s="91" t="n"/>
      <c r="C789" s="91" t="n"/>
      <c r="D789" s="91" t="n"/>
      <c r="E789" s="91" t="n"/>
      <c r="F789" s="91" t="n"/>
      <c r="G789" s="91" t="n"/>
      <c r="H789" s="91" t="n"/>
      <c r="I789" s="91" t="n"/>
      <c r="J789" s="91" t="n"/>
      <c r="K789" s="91" t="n"/>
      <c r="L789" s="91" t="n"/>
      <c r="M789" s="91" t="n"/>
      <c r="N789" s="91" t="n"/>
      <c r="O789" s="91" t="n"/>
      <c r="P789" s="91" t="n"/>
      <c r="Q789" s="91" t="n"/>
      <c r="R789" s="91" t="n"/>
      <c r="S789" s="91" t="n"/>
      <c r="T789" s="91" t="n"/>
      <c r="U789" s="91" t="n"/>
      <c r="V789" s="91" t="n"/>
      <c r="W789" s="91" t="n"/>
      <c r="X789" s="91" t="n"/>
      <c r="Y789" s="91" t="n"/>
      <c r="Z789" s="91" t="n"/>
      <c r="AA789" s="91" t="n"/>
    </row>
    <row r="790" ht="12.75" customHeight="1" s="117">
      <c r="A790" s="91" t="n"/>
      <c r="B790" s="91" t="n"/>
      <c r="C790" s="91" t="n"/>
      <c r="D790" s="91" t="n"/>
      <c r="E790" s="91" t="n"/>
      <c r="F790" s="91" t="n"/>
      <c r="G790" s="91" t="n"/>
      <c r="H790" s="91" t="n"/>
      <c r="I790" s="91" t="n"/>
      <c r="J790" s="91" t="n"/>
      <c r="K790" s="91" t="n"/>
      <c r="L790" s="91" t="n"/>
      <c r="M790" s="91" t="n"/>
      <c r="N790" s="91" t="n"/>
      <c r="O790" s="91" t="n"/>
      <c r="P790" s="91" t="n"/>
      <c r="Q790" s="91" t="n"/>
      <c r="R790" s="91" t="n"/>
      <c r="S790" s="91" t="n"/>
      <c r="T790" s="91" t="n"/>
      <c r="U790" s="91" t="n"/>
      <c r="V790" s="91" t="n"/>
      <c r="W790" s="91" t="n"/>
      <c r="X790" s="91" t="n"/>
      <c r="Y790" s="91" t="n"/>
      <c r="Z790" s="91" t="n"/>
      <c r="AA790" s="91" t="n"/>
    </row>
    <row r="791" ht="12.75" customHeight="1" s="117">
      <c r="A791" s="91" t="n"/>
      <c r="B791" s="91" t="n"/>
      <c r="C791" s="91" t="n"/>
      <c r="D791" s="91" t="n"/>
      <c r="E791" s="91" t="n"/>
      <c r="F791" s="91" t="n"/>
      <c r="G791" s="91" t="n"/>
      <c r="H791" s="91" t="n"/>
      <c r="I791" s="91" t="n"/>
      <c r="J791" s="91" t="n"/>
      <c r="K791" s="91" t="n"/>
      <c r="L791" s="91" t="n"/>
      <c r="M791" s="91" t="n"/>
      <c r="N791" s="91" t="n"/>
      <c r="O791" s="91" t="n"/>
      <c r="P791" s="91" t="n"/>
      <c r="Q791" s="91" t="n"/>
      <c r="R791" s="91" t="n"/>
      <c r="S791" s="91" t="n"/>
      <c r="T791" s="91" t="n"/>
      <c r="U791" s="91" t="n"/>
      <c r="V791" s="91" t="n"/>
      <c r="W791" s="91" t="n"/>
      <c r="X791" s="91" t="n"/>
      <c r="Y791" s="91" t="n"/>
      <c r="Z791" s="91" t="n"/>
      <c r="AA791" s="91" t="n"/>
    </row>
    <row r="792" ht="12.75" customHeight="1" s="117">
      <c r="A792" s="91" t="n"/>
      <c r="B792" s="91" t="n"/>
      <c r="C792" s="91" t="n"/>
      <c r="D792" s="91" t="n"/>
      <c r="E792" s="91" t="n"/>
      <c r="F792" s="91" t="n"/>
      <c r="G792" s="91" t="n"/>
      <c r="H792" s="91" t="n"/>
      <c r="I792" s="91" t="n"/>
      <c r="J792" s="91" t="n"/>
      <c r="K792" s="91" t="n"/>
      <c r="L792" s="91" t="n"/>
      <c r="M792" s="91" t="n"/>
      <c r="N792" s="91" t="n"/>
      <c r="O792" s="91" t="n"/>
      <c r="P792" s="91" t="n"/>
      <c r="Q792" s="91" t="n"/>
      <c r="R792" s="91" t="n"/>
      <c r="S792" s="91" t="n"/>
      <c r="T792" s="91" t="n"/>
      <c r="U792" s="91" t="n"/>
      <c r="V792" s="91" t="n"/>
      <c r="W792" s="91" t="n"/>
      <c r="X792" s="91" t="n"/>
      <c r="Y792" s="91" t="n"/>
      <c r="Z792" s="91" t="n"/>
      <c r="AA792" s="91" t="n"/>
    </row>
    <row r="793" ht="12.75" customHeight="1" s="117">
      <c r="A793" s="91" t="n"/>
      <c r="B793" s="91" t="n"/>
      <c r="C793" s="91" t="n"/>
      <c r="D793" s="91" t="n"/>
      <c r="E793" s="91" t="n"/>
      <c r="F793" s="91" t="n"/>
      <c r="G793" s="91" t="n"/>
      <c r="H793" s="91" t="n"/>
      <c r="I793" s="91" t="n"/>
      <c r="J793" s="91" t="n"/>
      <c r="K793" s="91" t="n"/>
      <c r="L793" s="91" t="n"/>
      <c r="M793" s="91" t="n"/>
      <c r="N793" s="91" t="n"/>
      <c r="O793" s="91" t="n"/>
      <c r="P793" s="91" t="n"/>
      <c r="Q793" s="91" t="n"/>
      <c r="R793" s="91" t="n"/>
      <c r="S793" s="91" t="n"/>
      <c r="T793" s="91" t="n"/>
      <c r="U793" s="91" t="n"/>
      <c r="V793" s="91" t="n"/>
      <c r="W793" s="91" t="n"/>
      <c r="X793" s="91" t="n"/>
      <c r="Y793" s="91" t="n"/>
      <c r="Z793" s="91" t="n"/>
      <c r="AA793" s="91" t="n"/>
    </row>
    <row r="794" ht="12.75" customHeight="1" s="117">
      <c r="A794" s="91" t="n"/>
      <c r="B794" s="91" t="n"/>
      <c r="C794" s="91" t="n"/>
      <c r="D794" s="91" t="n"/>
      <c r="E794" s="91" t="n"/>
      <c r="F794" s="91" t="n"/>
      <c r="G794" s="91" t="n"/>
      <c r="H794" s="91" t="n"/>
      <c r="I794" s="91" t="n"/>
      <c r="J794" s="91" t="n"/>
      <c r="K794" s="91" t="n"/>
      <c r="L794" s="91" t="n"/>
      <c r="M794" s="91" t="n"/>
      <c r="N794" s="91" t="n"/>
      <c r="O794" s="91" t="n"/>
      <c r="P794" s="91" t="n"/>
      <c r="Q794" s="91" t="n"/>
      <c r="R794" s="91" t="n"/>
      <c r="S794" s="91" t="n"/>
      <c r="T794" s="91" t="n"/>
      <c r="U794" s="91" t="n"/>
      <c r="V794" s="91" t="n"/>
      <c r="W794" s="91" t="n"/>
      <c r="X794" s="91" t="n"/>
      <c r="Y794" s="91" t="n"/>
      <c r="Z794" s="91" t="n"/>
      <c r="AA794" s="91" t="n"/>
    </row>
    <row r="795" ht="12.75" customHeight="1" s="117">
      <c r="A795" s="91" t="n"/>
      <c r="B795" s="91" t="n"/>
      <c r="C795" s="91" t="n"/>
      <c r="D795" s="91" t="n"/>
      <c r="E795" s="91" t="n"/>
      <c r="F795" s="91" t="n"/>
      <c r="G795" s="91" t="n"/>
      <c r="H795" s="91" t="n"/>
      <c r="I795" s="91" t="n"/>
      <c r="J795" s="91" t="n"/>
      <c r="K795" s="91" t="n"/>
      <c r="L795" s="91" t="n"/>
      <c r="M795" s="91" t="n"/>
      <c r="N795" s="91" t="n"/>
      <c r="O795" s="91" t="n"/>
      <c r="P795" s="91" t="n"/>
      <c r="Q795" s="91" t="n"/>
      <c r="R795" s="91" t="n"/>
      <c r="S795" s="91" t="n"/>
      <c r="T795" s="91" t="n"/>
      <c r="U795" s="91" t="n"/>
      <c r="V795" s="91" t="n"/>
      <c r="W795" s="91" t="n"/>
      <c r="X795" s="91" t="n"/>
      <c r="Y795" s="91" t="n"/>
      <c r="Z795" s="91" t="n"/>
      <c r="AA795" s="91" t="n"/>
    </row>
    <row r="796" ht="12.75" customHeight="1" s="117">
      <c r="A796" s="91" t="n"/>
      <c r="B796" s="91" t="n"/>
      <c r="C796" s="91" t="n"/>
      <c r="D796" s="91" t="n"/>
      <c r="E796" s="91" t="n"/>
      <c r="F796" s="91" t="n"/>
      <c r="G796" s="91" t="n"/>
      <c r="H796" s="91" t="n"/>
      <c r="I796" s="91" t="n"/>
      <c r="J796" s="91" t="n"/>
      <c r="K796" s="91" t="n"/>
      <c r="L796" s="91" t="n"/>
      <c r="M796" s="91" t="n"/>
      <c r="N796" s="91" t="n"/>
      <c r="O796" s="91" t="n"/>
      <c r="P796" s="91" t="n"/>
      <c r="Q796" s="91" t="n"/>
      <c r="R796" s="91" t="n"/>
      <c r="S796" s="91" t="n"/>
      <c r="T796" s="91" t="n"/>
      <c r="U796" s="91" t="n"/>
      <c r="V796" s="91" t="n"/>
      <c r="W796" s="91" t="n"/>
      <c r="X796" s="91" t="n"/>
      <c r="Y796" s="91" t="n"/>
      <c r="Z796" s="91" t="n"/>
      <c r="AA796" s="91" t="n"/>
    </row>
    <row r="797" ht="12.75" customHeight="1" s="117">
      <c r="A797" s="91" t="n"/>
      <c r="B797" s="91" t="n"/>
      <c r="C797" s="91" t="n"/>
      <c r="D797" s="91" t="n"/>
      <c r="E797" s="91" t="n"/>
      <c r="F797" s="91" t="n"/>
      <c r="G797" s="91" t="n"/>
      <c r="H797" s="91" t="n"/>
      <c r="I797" s="91" t="n"/>
      <c r="J797" s="91" t="n"/>
      <c r="K797" s="91" t="n"/>
      <c r="L797" s="91" t="n"/>
      <c r="M797" s="91" t="n"/>
      <c r="N797" s="91" t="n"/>
      <c r="O797" s="91" t="n"/>
      <c r="P797" s="91" t="n"/>
      <c r="Q797" s="91" t="n"/>
      <c r="R797" s="91" t="n"/>
      <c r="S797" s="91" t="n"/>
      <c r="T797" s="91" t="n"/>
      <c r="U797" s="91" t="n"/>
      <c r="V797" s="91" t="n"/>
      <c r="W797" s="91" t="n"/>
      <c r="X797" s="91" t="n"/>
      <c r="Y797" s="91" t="n"/>
      <c r="Z797" s="91" t="n"/>
      <c r="AA797" s="91" t="n"/>
    </row>
    <row r="798" ht="12.75" customHeight="1" s="117">
      <c r="A798" s="91" t="n"/>
      <c r="B798" s="91" t="n"/>
      <c r="C798" s="91" t="n"/>
      <c r="D798" s="91" t="n"/>
      <c r="E798" s="91" t="n"/>
      <c r="F798" s="91" t="n"/>
      <c r="G798" s="91" t="n"/>
      <c r="H798" s="91" t="n"/>
      <c r="I798" s="91" t="n"/>
      <c r="J798" s="91" t="n"/>
      <c r="K798" s="91" t="n"/>
      <c r="L798" s="91" t="n"/>
      <c r="M798" s="91" t="n"/>
      <c r="N798" s="91" t="n"/>
      <c r="O798" s="91" t="n"/>
      <c r="P798" s="91" t="n"/>
      <c r="Q798" s="91" t="n"/>
      <c r="R798" s="91" t="n"/>
      <c r="S798" s="91" t="n"/>
      <c r="T798" s="91" t="n"/>
      <c r="U798" s="91" t="n"/>
      <c r="V798" s="91" t="n"/>
      <c r="W798" s="91" t="n"/>
      <c r="X798" s="91" t="n"/>
      <c r="Y798" s="91" t="n"/>
      <c r="Z798" s="91" t="n"/>
      <c r="AA798" s="91" t="n"/>
    </row>
    <row r="799" ht="12.75" customHeight="1" s="117">
      <c r="A799" s="91" t="n"/>
      <c r="B799" s="91" t="n"/>
      <c r="C799" s="91" t="n"/>
      <c r="D799" s="91" t="n"/>
      <c r="E799" s="91" t="n"/>
      <c r="F799" s="91" t="n"/>
      <c r="G799" s="91" t="n"/>
      <c r="H799" s="91" t="n"/>
      <c r="I799" s="91" t="n"/>
      <c r="J799" s="91" t="n"/>
      <c r="K799" s="91" t="n"/>
      <c r="L799" s="91" t="n"/>
      <c r="M799" s="91" t="n"/>
      <c r="N799" s="91" t="n"/>
      <c r="O799" s="91" t="n"/>
      <c r="P799" s="91" t="n"/>
      <c r="Q799" s="91" t="n"/>
      <c r="R799" s="91" t="n"/>
      <c r="S799" s="91" t="n"/>
      <c r="T799" s="91" t="n"/>
      <c r="U799" s="91" t="n"/>
      <c r="V799" s="91" t="n"/>
      <c r="W799" s="91" t="n"/>
      <c r="X799" s="91" t="n"/>
      <c r="Y799" s="91" t="n"/>
      <c r="Z799" s="91" t="n"/>
      <c r="AA799" s="91" t="n"/>
    </row>
    <row r="800" ht="12.75" customHeight="1" s="117">
      <c r="A800" s="91" t="n"/>
      <c r="B800" s="91" t="n"/>
      <c r="C800" s="91" t="n"/>
      <c r="D800" s="91" t="n"/>
      <c r="E800" s="91" t="n"/>
      <c r="F800" s="91" t="n"/>
      <c r="G800" s="91" t="n"/>
      <c r="H800" s="91" t="n"/>
      <c r="I800" s="91" t="n"/>
      <c r="J800" s="91" t="n"/>
      <c r="K800" s="91" t="n"/>
      <c r="L800" s="91" t="n"/>
      <c r="M800" s="91" t="n"/>
      <c r="N800" s="91" t="n"/>
      <c r="O800" s="91" t="n"/>
      <c r="P800" s="91" t="n"/>
      <c r="Q800" s="91" t="n"/>
      <c r="R800" s="91" t="n"/>
      <c r="S800" s="91" t="n"/>
      <c r="T800" s="91" t="n"/>
      <c r="U800" s="91" t="n"/>
      <c r="V800" s="91" t="n"/>
      <c r="W800" s="91" t="n"/>
      <c r="X800" s="91" t="n"/>
      <c r="Y800" s="91" t="n"/>
      <c r="Z800" s="91" t="n"/>
      <c r="AA800" s="91" t="n"/>
    </row>
    <row r="801" ht="12.75" customHeight="1" s="117">
      <c r="A801" s="91" t="n"/>
      <c r="B801" s="91" t="n"/>
      <c r="C801" s="91" t="n"/>
      <c r="D801" s="91" t="n"/>
      <c r="E801" s="91" t="n"/>
      <c r="F801" s="91" t="n"/>
      <c r="G801" s="91" t="n"/>
      <c r="H801" s="91" t="n"/>
      <c r="I801" s="91" t="n"/>
      <c r="J801" s="91" t="n"/>
      <c r="K801" s="91" t="n"/>
      <c r="L801" s="91" t="n"/>
      <c r="M801" s="91" t="n"/>
      <c r="N801" s="91" t="n"/>
      <c r="O801" s="91" t="n"/>
      <c r="P801" s="91" t="n"/>
      <c r="Q801" s="91" t="n"/>
      <c r="R801" s="91" t="n"/>
      <c r="S801" s="91" t="n"/>
      <c r="T801" s="91" t="n"/>
      <c r="U801" s="91" t="n"/>
      <c r="V801" s="91" t="n"/>
      <c r="W801" s="91" t="n"/>
      <c r="X801" s="91" t="n"/>
      <c r="Y801" s="91" t="n"/>
      <c r="Z801" s="91" t="n"/>
      <c r="AA801" s="91" t="n"/>
    </row>
    <row r="802" ht="12.75" customHeight="1" s="117">
      <c r="A802" s="91" t="n"/>
      <c r="B802" s="91" t="n"/>
      <c r="C802" s="91" t="n"/>
      <c r="D802" s="91" t="n"/>
      <c r="E802" s="91" t="n"/>
      <c r="F802" s="91" t="n"/>
      <c r="G802" s="91" t="n"/>
      <c r="H802" s="91" t="n"/>
      <c r="I802" s="91" t="n"/>
      <c r="J802" s="91" t="n"/>
      <c r="K802" s="91" t="n"/>
      <c r="L802" s="91" t="n"/>
      <c r="M802" s="91" t="n"/>
      <c r="N802" s="91" t="n"/>
      <c r="O802" s="91" t="n"/>
      <c r="P802" s="91" t="n"/>
      <c r="Q802" s="91" t="n"/>
      <c r="R802" s="91" t="n"/>
      <c r="S802" s="91" t="n"/>
      <c r="T802" s="91" t="n"/>
      <c r="U802" s="91" t="n"/>
      <c r="V802" s="91" t="n"/>
      <c r="W802" s="91" t="n"/>
      <c r="X802" s="91" t="n"/>
      <c r="Y802" s="91" t="n"/>
      <c r="Z802" s="91" t="n"/>
      <c r="AA802" s="91" t="n"/>
    </row>
    <row r="803" ht="12.75" customHeight="1" s="117">
      <c r="A803" s="91" t="n"/>
      <c r="B803" s="91" t="n"/>
      <c r="C803" s="91" t="n"/>
      <c r="D803" s="91" t="n"/>
      <c r="E803" s="91" t="n"/>
      <c r="F803" s="91" t="n"/>
      <c r="G803" s="91" t="n"/>
      <c r="H803" s="91" t="n"/>
      <c r="I803" s="91" t="n"/>
      <c r="J803" s="91" t="n"/>
      <c r="K803" s="91" t="n"/>
      <c r="L803" s="91" t="n"/>
      <c r="M803" s="91" t="n"/>
      <c r="N803" s="91" t="n"/>
      <c r="O803" s="91" t="n"/>
      <c r="P803" s="91" t="n"/>
      <c r="Q803" s="91" t="n"/>
      <c r="R803" s="91" t="n"/>
      <c r="S803" s="91" t="n"/>
      <c r="T803" s="91" t="n"/>
      <c r="U803" s="91" t="n"/>
      <c r="V803" s="91" t="n"/>
      <c r="W803" s="91" t="n"/>
      <c r="X803" s="91" t="n"/>
      <c r="Y803" s="91" t="n"/>
      <c r="Z803" s="91" t="n"/>
      <c r="AA803" s="91" t="n"/>
    </row>
    <row r="804" ht="12.75" customHeight="1" s="117">
      <c r="A804" s="91" t="n"/>
      <c r="B804" s="91" t="n"/>
      <c r="C804" s="91" t="n"/>
      <c r="D804" s="91" t="n"/>
      <c r="E804" s="91" t="n"/>
      <c r="F804" s="91" t="n"/>
      <c r="G804" s="91" t="n"/>
      <c r="H804" s="91" t="n"/>
      <c r="I804" s="91" t="n"/>
      <c r="J804" s="91" t="n"/>
      <c r="K804" s="91" t="n"/>
      <c r="L804" s="91" t="n"/>
      <c r="M804" s="91" t="n"/>
      <c r="N804" s="91" t="n"/>
      <c r="O804" s="91" t="n"/>
      <c r="P804" s="91" t="n"/>
      <c r="Q804" s="91" t="n"/>
      <c r="R804" s="91" t="n"/>
      <c r="S804" s="91" t="n"/>
      <c r="T804" s="91" t="n"/>
      <c r="U804" s="91" t="n"/>
      <c r="V804" s="91" t="n"/>
      <c r="W804" s="91" t="n"/>
      <c r="X804" s="91" t="n"/>
      <c r="Y804" s="91" t="n"/>
      <c r="Z804" s="91" t="n"/>
      <c r="AA804" s="91" t="n"/>
    </row>
    <row r="805" ht="12.75" customHeight="1" s="117">
      <c r="A805" s="91" t="n"/>
      <c r="B805" s="91" t="n"/>
      <c r="C805" s="91" t="n"/>
      <c r="D805" s="91" t="n"/>
      <c r="E805" s="91" t="n"/>
      <c r="F805" s="91" t="n"/>
      <c r="G805" s="91" t="n"/>
      <c r="H805" s="91" t="n"/>
      <c r="I805" s="91" t="n"/>
      <c r="J805" s="91" t="n"/>
      <c r="K805" s="91" t="n"/>
      <c r="L805" s="91" t="n"/>
      <c r="M805" s="91" t="n"/>
      <c r="N805" s="91" t="n"/>
      <c r="O805" s="91" t="n"/>
      <c r="P805" s="91" t="n"/>
      <c r="Q805" s="91" t="n"/>
      <c r="R805" s="91" t="n"/>
      <c r="S805" s="91" t="n"/>
      <c r="T805" s="91" t="n"/>
      <c r="U805" s="91" t="n"/>
      <c r="V805" s="91" t="n"/>
      <c r="W805" s="91" t="n"/>
      <c r="X805" s="91" t="n"/>
      <c r="Y805" s="91" t="n"/>
      <c r="Z805" s="91" t="n"/>
      <c r="AA805" s="91" t="n"/>
    </row>
    <row r="806" ht="12.75" customHeight="1" s="117">
      <c r="A806" s="91" t="n"/>
      <c r="B806" s="91" t="n"/>
      <c r="C806" s="91" t="n"/>
      <c r="D806" s="91" t="n"/>
      <c r="E806" s="91" t="n"/>
      <c r="F806" s="91" t="n"/>
      <c r="G806" s="91" t="n"/>
      <c r="H806" s="91" t="n"/>
      <c r="I806" s="91" t="n"/>
      <c r="J806" s="91" t="n"/>
      <c r="K806" s="91" t="n"/>
      <c r="L806" s="91" t="n"/>
      <c r="M806" s="91" t="n"/>
      <c r="N806" s="91" t="n"/>
      <c r="O806" s="91" t="n"/>
      <c r="P806" s="91" t="n"/>
      <c r="Q806" s="91" t="n"/>
      <c r="R806" s="91" t="n"/>
      <c r="S806" s="91" t="n"/>
      <c r="T806" s="91" t="n"/>
      <c r="U806" s="91" t="n"/>
      <c r="V806" s="91" t="n"/>
      <c r="W806" s="91" t="n"/>
      <c r="X806" s="91" t="n"/>
      <c r="Y806" s="91" t="n"/>
      <c r="Z806" s="91" t="n"/>
      <c r="AA806" s="91" t="n"/>
    </row>
    <row r="807" ht="12.75" customHeight="1" s="117">
      <c r="A807" s="91" t="n"/>
      <c r="B807" s="91" t="n"/>
      <c r="C807" s="91" t="n"/>
      <c r="D807" s="91" t="n"/>
      <c r="E807" s="91" t="n"/>
      <c r="F807" s="91" t="n"/>
      <c r="G807" s="91" t="n"/>
      <c r="H807" s="91" t="n"/>
      <c r="I807" s="91" t="n"/>
      <c r="J807" s="91" t="n"/>
      <c r="K807" s="91" t="n"/>
      <c r="L807" s="91" t="n"/>
      <c r="M807" s="91" t="n"/>
      <c r="N807" s="91" t="n"/>
      <c r="O807" s="91" t="n"/>
      <c r="P807" s="91" t="n"/>
      <c r="Q807" s="91" t="n"/>
      <c r="R807" s="91" t="n"/>
      <c r="S807" s="91" t="n"/>
      <c r="T807" s="91" t="n"/>
      <c r="U807" s="91" t="n"/>
      <c r="V807" s="91" t="n"/>
      <c r="W807" s="91" t="n"/>
      <c r="X807" s="91" t="n"/>
      <c r="Y807" s="91" t="n"/>
      <c r="Z807" s="91" t="n"/>
      <c r="AA807" s="91" t="n"/>
    </row>
    <row r="808" ht="12.75" customHeight="1" s="117">
      <c r="A808" s="91" t="n"/>
      <c r="B808" s="91" t="n"/>
      <c r="C808" s="91" t="n"/>
      <c r="D808" s="91" t="n"/>
      <c r="E808" s="91" t="n"/>
      <c r="F808" s="91" t="n"/>
      <c r="G808" s="91" t="n"/>
      <c r="H808" s="91" t="n"/>
      <c r="I808" s="91" t="n"/>
      <c r="J808" s="91" t="n"/>
      <c r="K808" s="91" t="n"/>
      <c r="L808" s="91" t="n"/>
      <c r="M808" s="91" t="n"/>
      <c r="N808" s="91" t="n"/>
      <c r="O808" s="91" t="n"/>
      <c r="P808" s="91" t="n"/>
      <c r="Q808" s="91" t="n"/>
      <c r="R808" s="91" t="n"/>
      <c r="S808" s="91" t="n"/>
      <c r="T808" s="91" t="n"/>
      <c r="U808" s="91" t="n"/>
      <c r="V808" s="91" t="n"/>
      <c r="W808" s="91" t="n"/>
      <c r="X808" s="91" t="n"/>
      <c r="Y808" s="91" t="n"/>
      <c r="Z808" s="91" t="n"/>
      <c r="AA808" s="91" t="n"/>
    </row>
    <row r="809" ht="12.75" customHeight="1" s="117">
      <c r="A809" s="91" t="n"/>
      <c r="B809" s="91" t="n"/>
      <c r="C809" s="91" t="n"/>
      <c r="D809" s="91" t="n"/>
      <c r="E809" s="91" t="n"/>
      <c r="F809" s="91" t="n"/>
      <c r="G809" s="91" t="n"/>
      <c r="H809" s="91" t="n"/>
      <c r="I809" s="91" t="n"/>
      <c r="J809" s="91" t="n"/>
      <c r="K809" s="91" t="n"/>
      <c r="L809" s="91" t="n"/>
      <c r="M809" s="91" t="n"/>
      <c r="N809" s="91" t="n"/>
      <c r="O809" s="91" t="n"/>
      <c r="P809" s="91" t="n"/>
      <c r="Q809" s="91" t="n"/>
      <c r="R809" s="91" t="n"/>
      <c r="S809" s="91" t="n"/>
      <c r="T809" s="91" t="n"/>
      <c r="U809" s="91" t="n"/>
      <c r="V809" s="91" t="n"/>
      <c r="W809" s="91" t="n"/>
      <c r="X809" s="91" t="n"/>
      <c r="Y809" s="91" t="n"/>
      <c r="Z809" s="91" t="n"/>
      <c r="AA809" s="91" t="n"/>
    </row>
    <row r="810" ht="12.75" customHeight="1" s="117">
      <c r="A810" s="91" t="n"/>
      <c r="B810" s="91" t="n"/>
      <c r="C810" s="91" t="n"/>
      <c r="D810" s="91" t="n"/>
      <c r="E810" s="91" t="n"/>
      <c r="F810" s="91" t="n"/>
      <c r="G810" s="91" t="n"/>
      <c r="H810" s="91" t="n"/>
      <c r="I810" s="91" t="n"/>
      <c r="J810" s="91" t="n"/>
      <c r="K810" s="91" t="n"/>
      <c r="L810" s="91" t="n"/>
      <c r="M810" s="91" t="n"/>
      <c r="N810" s="91" t="n"/>
      <c r="O810" s="91" t="n"/>
      <c r="P810" s="91" t="n"/>
      <c r="Q810" s="91" t="n"/>
      <c r="R810" s="91" t="n"/>
      <c r="S810" s="91" t="n"/>
      <c r="T810" s="91" t="n"/>
      <c r="U810" s="91" t="n"/>
      <c r="V810" s="91" t="n"/>
      <c r="W810" s="91" t="n"/>
      <c r="X810" s="91" t="n"/>
      <c r="Y810" s="91" t="n"/>
      <c r="Z810" s="91" t="n"/>
      <c r="AA810" s="91" t="n"/>
    </row>
    <row r="811" ht="12.75" customHeight="1" s="117">
      <c r="A811" s="91" t="n"/>
      <c r="B811" s="91" t="n"/>
      <c r="C811" s="91" t="n"/>
      <c r="D811" s="91" t="n"/>
      <c r="E811" s="91" t="n"/>
      <c r="F811" s="91" t="n"/>
      <c r="G811" s="91" t="n"/>
      <c r="H811" s="91" t="n"/>
      <c r="I811" s="91" t="n"/>
      <c r="J811" s="91" t="n"/>
      <c r="K811" s="91" t="n"/>
      <c r="L811" s="91" t="n"/>
      <c r="M811" s="91" t="n"/>
      <c r="N811" s="91" t="n"/>
      <c r="O811" s="91" t="n"/>
      <c r="P811" s="91" t="n"/>
      <c r="Q811" s="91" t="n"/>
      <c r="R811" s="91" t="n"/>
      <c r="S811" s="91" t="n"/>
      <c r="T811" s="91" t="n"/>
      <c r="U811" s="91" t="n"/>
      <c r="V811" s="91" t="n"/>
      <c r="W811" s="91" t="n"/>
      <c r="X811" s="91" t="n"/>
      <c r="Y811" s="91" t="n"/>
      <c r="Z811" s="91" t="n"/>
      <c r="AA811" s="91" t="n"/>
    </row>
    <row r="812" ht="12.75" customHeight="1" s="117">
      <c r="A812" s="91" t="n"/>
      <c r="B812" s="91" t="n"/>
      <c r="C812" s="91" t="n"/>
      <c r="D812" s="91" t="n"/>
      <c r="E812" s="91" t="n"/>
      <c r="F812" s="91" t="n"/>
      <c r="G812" s="91" t="n"/>
      <c r="H812" s="91" t="n"/>
      <c r="I812" s="91" t="n"/>
      <c r="J812" s="91" t="n"/>
      <c r="K812" s="91" t="n"/>
      <c r="L812" s="91" t="n"/>
      <c r="M812" s="91" t="n"/>
      <c r="N812" s="91" t="n"/>
      <c r="O812" s="91" t="n"/>
      <c r="P812" s="91" t="n"/>
      <c r="Q812" s="91" t="n"/>
      <c r="R812" s="91" t="n"/>
      <c r="S812" s="91" t="n"/>
      <c r="T812" s="91" t="n"/>
      <c r="U812" s="91" t="n"/>
      <c r="V812" s="91" t="n"/>
      <c r="W812" s="91" t="n"/>
      <c r="X812" s="91" t="n"/>
      <c r="Y812" s="91" t="n"/>
      <c r="Z812" s="91" t="n"/>
      <c r="AA812" s="91" t="n"/>
    </row>
    <row r="813" ht="12.75" customHeight="1" s="117">
      <c r="A813" s="91" t="n"/>
      <c r="B813" s="91" t="n"/>
      <c r="C813" s="91" t="n"/>
      <c r="D813" s="91" t="n"/>
      <c r="E813" s="91" t="n"/>
      <c r="F813" s="91" t="n"/>
      <c r="G813" s="91" t="n"/>
      <c r="H813" s="91" t="n"/>
      <c r="I813" s="91" t="n"/>
      <c r="J813" s="91" t="n"/>
      <c r="K813" s="91" t="n"/>
      <c r="L813" s="91" t="n"/>
      <c r="M813" s="91" t="n"/>
      <c r="N813" s="91" t="n"/>
      <c r="O813" s="91" t="n"/>
      <c r="P813" s="91" t="n"/>
      <c r="Q813" s="91" t="n"/>
      <c r="R813" s="91" t="n"/>
      <c r="S813" s="91" t="n"/>
      <c r="T813" s="91" t="n"/>
      <c r="U813" s="91" t="n"/>
      <c r="V813" s="91" t="n"/>
      <c r="W813" s="91" t="n"/>
      <c r="X813" s="91" t="n"/>
      <c r="Y813" s="91" t="n"/>
      <c r="Z813" s="91" t="n"/>
      <c r="AA813" s="91" t="n"/>
    </row>
    <row r="814" ht="12.75" customHeight="1" s="117">
      <c r="A814" s="91" t="n"/>
      <c r="B814" s="91" t="n"/>
      <c r="C814" s="91" t="n"/>
      <c r="D814" s="91" t="n"/>
      <c r="E814" s="91" t="n"/>
      <c r="F814" s="91" t="n"/>
      <c r="G814" s="91" t="n"/>
      <c r="H814" s="91" t="n"/>
      <c r="I814" s="91" t="n"/>
      <c r="J814" s="91" t="n"/>
      <c r="K814" s="91" t="n"/>
      <c r="L814" s="91" t="n"/>
      <c r="M814" s="91" t="n"/>
      <c r="N814" s="91" t="n"/>
      <c r="O814" s="91" t="n"/>
      <c r="P814" s="91" t="n"/>
      <c r="Q814" s="91" t="n"/>
      <c r="R814" s="91" t="n"/>
      <c r="S814" s="91" t="n"/>
      <c r="T814" s="91" t="n"/>
      <c r="U814" s="91" t="n"/>
      <c r="V814" s="91" t="n"/>
      <c r="W814" s="91" t="n"/>
      <c r="X814" s="91" t="n"/>
      <c r="Y814" s="91" t="n"/>
      <c r="Z814" s="91" t="n"/>
      <c r="AA814" s="91" t="n"/>
    </row>
    <row r="815" ht="12.75" customHeight="1" s="117">
      <c r="A815" s="91" t="n"/>
      <c r="B815" s="91" t="n"/>
      <c r="C815" s="91" t="n"/>
      <c r="D815" s="91" t="n"/>
      <c r="E815" s="91" t="n"/>
      <c r="F815" s="91" t="n"/>
      <c r="G815" s="91" t="n"/>
      <c r="H815" s="91" t="n"/>
      <c r="I815" s="91" t="n"/>
      <c r="J815" s="91" t="n"/>
      <c r="K815" s="91" t="n"/>
      <c r="L815" s="91" t="n"/>
      <c r="M815" s="91" t="n"/>
      <c r="N815" s="91" t="n"/>
      <c r="O815" s="91" t="n"/>
      <c r="P815" s="91" t="n"/>
      <c r="Q815" s="91" t="n"/>
      <c r="R815" s="91" t="n"/>
      <c r="S815" s="91" t="n"/>
      <c r="T815" s="91" t="n"/>
      <c r="U815" s="91" t="n"/>
      <c r="V815" s="91" t="n"/>
      <c r="W815" s="91" t="n"/>
      <c r="X815" s="91" t="n"/>
      <c r="Y815" s="91" t="n"/>
      <c r="Z815" s="91" t="n"/>
      <c r="AA815" s="91" t="n"/>
    </row>
    <row r="816" ht="12.75" customHeight="1" s="117">
      <c r="A816" s="91" t="n"/>
      <c r="B816" s="91" t="n"/>
      <c r="C816" s="91" t="n"/>
      <c r="D816" s="91" t="n"/>
      <c r="E816" s="91" t="n"/>
      <c r="F816" s="91" t="n"/>
      <c r="G816" s="91" t="n"/>
      <c r="H816" s="91" t="n"/>
      <c r="I816" s="91" t="n"/>
      <c r="J816" s="91" t="n"/>
      <c r="K816" s="91" t="n"/>
      <c r="L816" s="91" t="n"/>
      <c r="M816" s="91" t="n"/>
      <c r="N816" s="91" t="n"/>
      <c r="O816" s="91" t="n"/>
      <c r="P816" s="91" t="n"/>
      <c r="Q816" s="91" t="n"/>
      <c r="R816" s="91" t="n"/>
      <c r="S816" s="91" t="n"/>
      <c r="T816" s="91" t="n"/>
      <c r="U816" s="91" t="n"/>
      <c r="V816" s="91" t="n"/>
      <c r="W816" s="91" t="n"/>
      <c r="X816" s="91" t="n"/>
      <c r="Y816" s="91" t="n"/>
      <c r="Z816" s="91" t="n"/>
      <c r="AA816" s="91" t="n"/>
    </row>
    <row r="817" ht="12.75" customHeight="1" s="117">
      <c r="A817" s="91" t="n"/>
      <c r="B817" s="91" t="n"/>
      <c r="C817" s="91" t="n"/>
      <c r="D817" s="91" t="n"/>
      <c r="E817" s="91" t="n"/>
      <c r="F817" s="91" t="n"/>
      <c r="G817" s="91" t="n"/>
      <c r="H817" s="91" t="n"/>
      <c r="I817" s="91" t="n"/>
      <c r="J817" s="91" t="n"/>
      <c r="K817" s="91" t="n"/>
      <c r="L817" s="91" t="n"/>
      <c r="M817" s="91" t="n"/>
      <c r="N817" s="91" t="n"/>
      <c r="O817" s="91" t="n"/>
      <c r="P817" s="91" t="n"/>
      <c r="Q817" s="91" t="n"/>
      <c r="R817" s="91" t="n"/>
      <c r="S817" s="91" t="n"/>
      <c r="T817" s="91" t="n"/>
      <c r="U817" s="91" t="n"/>
      <c r="V817" s="91" t="n"/>
      <c r="W817" s="91" t="n"/>
      <c r="X817" s="91" t="n"/>
      <c r="Y817" s="91" t="n"/>
      <c r="Z817" s="91" t="n"/>
      <c r="AA817" s="91" t="n"/>
    </row>
    <row r="818" ht="12.75" customHeight="1" s="117">
      <c r="A818" s="91" t="n"/>
      <c r="B818" s="91" t="n"/>
      <c r="C818" s="91" t="n"/>
      <c r="D818" s="91" t="n"/>
      <c r="E818" s="91" t="n"/>
      <c r="F818" s="91" t="n"/>
      <c r="G818" s="91" t="n"/>
      <c r="H818" s="91" t="n"/>
      <c r="I818" s="91" t="n"/>
      <c r="J818" s="91" t="n"/>
      <c r="K818" s="91" t="n"/>
      <c r="L818" s="91" t="n"/>
      <c r="M818" s="91" t="n"/>
      <c r="N818" s="91" t="n"/>
      <c r="O818" s="91" t="n"/>
      <c r="P818" s="91" t="n"/>
      <c r="Q818" s="91" t="n"/>
      <c r="R818" s="91" t="n"/>
      <c r="S818" s="91" t="n"/>
      <c r="T818" s="91" t="n"/>
      <c r="U818" s="91" t="n"/>
      <c r="V818" s="91" t="n"/>
      <c r="W818" s="91" t="n"/>
      <c r="X818" s="91" t="n"/>
      <c r="Y818" s="91" t="n"/>
      <c r="Z818" s="91" t="n"/>
      <c r="AA818" s="91" t="n"/>
    </row>
    <row r="819" ht="12.75" customHeight="1" s="117">
      <c r="A819" s="91" t="n"/>
      <c r="B819" s="91" t="n"/>
      <c r="C819" s="91" t="n"/>
      <c r="D819" s="91" t="n"/>
      <c r="E819" s="91" t="n"/>
      <c r="F819" s="91" t="n"/>
      <c r="G819" s="91" t="n"/>
      <c r="H819" s="91" t="n"/>
      <c r="I819" s="91" t="n"/>
      <c r="J819" s="91" t="n"/>
      <c r="K819" s="91" t="n"/>
      <c r="L819" s="91" t="n"/>
      <c r="M819" s="91" t="n"/>
      <c r="N819" s="91" t="n"/>
      <c r="O819" s="91" t="n"/>
      <c r="P819" s="91" t="n"/>
      <c r="Q819" s="91" t="n"/>
      <c r="R819" s="91" t="n"/>
      <c r="S819" s="91" t="n"/>
      <c r="T819" s="91" t="n"/>
      <c r="U819" s="91" t="n"/>
      <c r="V819" s="91" t="n"/>
      <c r="W819" s="91" t="n"/>
      <c r="X819" s="91" t="n"/>
      <c r="Y819" s="91" t="n"/>
      <c r="Z819" s="91" t="n"/>
      <c r="AA819" s="91" t="n"/>
    </row>
    <row r="820" ht="12.75" customHeight="1" s="117">
      <c r="A820" s="91" t="n"/>
      <c r="B820" s="91" t="n"/>
      <c r="C820" s="91" t="n"/>
      <c r="D820" s="91" t="n"/>
      <c r="E820" s="91" t="n"/>
      <c r="F820" s="91" t="n"/>
      <c r="G820" s="91" t="n"/>
      <c r="H820" s="91" t="n"/>
      <c r="I820" s="91" t="n"/>
      <c r="J820" s="91" t="n"/>
      <c r="K820" s="91" t="n"/>
      <c r="L820" s="91" t="n"/>
      <c r="M820" s="91" t="n"/>
      <c r="N820" s="91" t="n"/>
      <c r="O820" s="91" t="n"/>
      <c r="P820" s="91" t="n"/>
      <c r="Q820" s="91" t="n"/>
      <c r="R820" s="91" t="n"/>
      <c r="S820" s="91" t="n"/>
      <c r="T820" s="91" t="n"/>
      <c r="U820" s="91" t="n"/>
      <c r="V820" s="91" t="n"/>
      <c r="W820" s="91" t="n"/>
      <c r="X820" s="91" t="n"/>
      <c r="Y820" s="91" t="n"/>
      <c r="Z820" s="91" t="n"/>
      <c r="AA820" s="91" t="n"/>
    </row>
    <row r="821" ht="12.75" customHeight="1" s="117">
      <c r="A821" s="91" t="n"/>
      <c r="B821" s="91" t="n"/>
      <c r="C821" s="91" t="n"/>
      <c r="D821" s="91" t="n"/>
      <c r="E821" s="91" t="n"/>
      <c r="F821" s="91" t="n"/>
      <c r="G821" s="91" t="n"/>
      <c r="H821" s="91" t="n"/>
      <c r="I821" s="91" t="n"/>
      <c r="J821" s="91" t="n"/>
      <c r="K821" s="91" t="n"/>
      <c r="L821" s="91" t="n"/>
      <c r="M821" s="91" t="n"/>
      <c r="N821" s="91" t="n"/>
      <c r="O821" s="91" t="n"/>
      <c r="P821" s="91" t="n"/>
      <c r="Q821" s="91" t="n"/>
      <c r="R821" s="91" t="n"/>
      <c r="S821" s="91" t="n"/>
      <c r="T821" s="91" t="n"/>
      <c r="U821" s="91" t="n"/>
      <c r="V821" s="91" t="n"/>
      <c r="W821" s="91" t="n"/>
      <c r="X821" s="91" t="n"/>
      <c r="Y821" s="91" t="n"/>
      <c r="Z821" s="91" t="n"/>
      <c r="AA821" s="91" t="n"/>
    </row>
    <row r="822" ht="12.75" customHeight="1" s="117">
      <c r="A822" s="91" t="n"/>
      <c r="B822" s="91" t="n"/>
      <c r="C822" s="91" t="n"/>
      <c r="D822" s="91" t="n"/>
      <c r="E822" s="91" t="n"/>
      <c r="F822" s="91" t="n"/>
      <c r="G822" s="91" t="n"/>
      <c r="H822" s="91" t="n"/>
      <c r="I822" s="91" t="n"/>
      <c r="J822" s="91" t="n"/>
      <c r="K822" s="91" t="n"/>
      <c r="L822" s="91" t="n"/>
      <c r="M822" s="91" t="n"/>
      <c r="N822" s="91" t="n"/>
      <c r="O822" s="91" t="n"/>
      <c r="P822" s="91" t="n"/>
      <c r="Q822" s="91" t="n"/>
      <c r="R822" s="91" t="n"/>
      <c r="S822" s="91" t="n"/>
      <c r="T822" s="91" t="n"/>
      <c r="U822" s="91" t="n"/>
      <c r="V822" s="91" t="n"/>
      <c r="W822" s="91" t="n"/>
      <c r="X822" s="91" t="n"/>
      <c r="Y822" s="91" t="n"/>
      <c r="Z822" s="91" t="n"/>
      <c r="AA822" s="91" t="n"/>
    </row>
    <row r="823" ht="12.75" customHeight="1" s="117">
      <c r="A823" s="91" t="n"/>
      <c r="B823" s="91" t="n"/>
      <c r="C823" s="91" t="n"/>
      <c r="D823" s="91" t="n"/>
      <c r="E823" s="91" t="n"/>
      <c r="F823" s="91" t="n"/>
      <c r="G823" s="91" t="n"/>
      <c r="H823" s="91" t="n"/>
      <c r="I823" s="91" t="n"/>
      <c r="J823" s="91" t="n"/>
      <c r="K823" s="91" t="n"/>
      <c r="L823" s="91" t="n"/>
      <c r="M823" s="91" t="n"/>
      <c r="N823" s="91" t="n"/>
      <c r="O823" s="91" t="n"/>
      <c r="P823" s="91" t="n"/>
      <c r="Q823" s="91" t="n"/>
      <c r="R823" s="91" t="n"/>
      <c r="S823" s="91" t="n"/>
      <c r="T823" s="91" t="n"/>
      <c r="U823" s="91" t="n"/>
      <c r="V823" s="91" t="n"/>
      <c r="W823" s="91" t="n"/>
      <c r="X823" s="91" t="n"/>
      <c r="Y823" s="91" t="n"/>
      <c r="Z823" s="91" t="n"/>
      <c r="AA823" s="91" t="n"/>
    </row>
    <row r="824" ht="12.75" customHeight="1" s="117">
      <c r="A824" s="91" t="n"/>
      <c r="B824" s="91" t="n"/>
      <c r="C824" s="91" t="n"/>
      <c r="D824" s="91" t="n"/>
      <c r="E824" s="91" t="n"/>
      <c r="F824" s="91" t="n"/>
      <c r="G824" s="91" t="n"/>
      <c r="H824" s="91" t="n"/>
      <c r="I824" s="91" t="n"/>
      <c r="J824" s="91" t="n"/>
      <c r="K824" s="91" t="n"/>
      <c r="L824" s="91" t="n"/>
      <c r="M824" s="91" t="n"/>
      <c r="N824" s="91" t="n"/>
      <c r="O824" s="91" t="n"/>
      <c r="P824" s="91" t="n"/>
      <c r="Q824" s="91" t="n"/>
      <c r="R824" s="91" t="n"/>
      <c r="S824" s="91" t="n"/>
      <c r="T824" s="91" t="n"/>
      <c r="U824" s="91" t="n"/>
      <c r="V824" s="91" t="n"/>
      <c r="W824" s="91" t="n"/>
      <c r="X824" s="91" t="n"/>
      <c r="Y824" s="91" t="n"/>
      <c r="Z824" s="91" t="n"/>
      <c r="AA824" s="91" t="n"/>
    </row>
    <row r="825" ht="12.75" customHeight="1" s="117">
      <c r="A825" s="91" t="n"/>
      <c r="B825" s="91" t="n"/>
      <c r="C825" s="91" t="n"/>
      <c r="D825" s="91" t="n"/>
      <c r="E825" s="91" t="n"/>
      <c r="F825" s="91" t="n"/>
      <c r="G825" s="91" t="n"/>
      <c r="H825" s="91" t="n"/>
      <c r="I825" s="91" t="n"/>
      <c r="J825" s="91" t="n"/>
      <c r="K825" s="91" t="n"/>
      <c r="L825" s="91" t="n"/>
      <c r="M825" s="91" t="n"/>
      <c r="N825" s="91" t="n"/>
      <c r="O825" s="91" t="n"/>
      <c r="P825" s="91" t="n"/>
      <c r="Q825" s="91" t="n"/>
      <c r="R825" s="91" t="n"/>
      <c r="S825" s="91" t="n"/>
      <c r="T825" s="91" t="n"/>
      <c r="U825" s="91" t="n"/>
      <c r="V825" s="91" t="n"/>
      <c r="W825" s="91" t="n"/>
      <c r="X825" s="91" t="n"/>
      <c r="Y825" s="91" t="n"/>
      <c r="Z825" s="91" t="n"/>
      <c r="AA825" s="91" t="n"/>
    </row>
    <row r="826" ht="12.75" customHeight="1" s="117">
      <c r="A826" s="91" t="n"/>
      <c r="B826" s="91" t="n"/>
      <c r="C826" s="91" t="n"/>
      <c r="D826" s="91" t="n"/>
      <c r="E826" s="91" t="n"/>
      <c r="F826" s="91" t="n"/>
      <c r="G826" s="91" t="n"/>
      <c r="H826" s="91" t="n"/>
      <c r="I826" s="91" t="n"/>
      <c r="J826" s="91" t="n"/>
      <c r="K826" s="91" t="n"/>
      <c r="L826" s="91" t="n"/>
      <c r="M826" s="91" t="n"/>
      <c r="N826" s="91" t="n"/>
      <c r="O826" s="91" t="n"/>
      <c r="P826" s="91" t="n"/>
      <c r="Q826" s="91" t="n"/>
      <c r="R826" s="91" t="n"/>
      <c r="S826" s="91" t="n"/>
      <c r="T826" s="91" t="n"/>
      <c r="U826" s="91" t="n"/>
      <c r="V826" s="91" t="n"/>
      <c r="W826" s="91" t="n"/>
      <c r="X826" s="91" t="n"/>
      <c r="Y826" s="91" t="n"/>
      <c r="Z826" s="91" t="n"/>
      <c r="AA826" s="91" t="n"/>
    </row>
    <row r="827" ht="12.75" customHeight="1" s="117">
      <c r="A827" s="91" t="n"/>
      <c r="B827" s="91" t="n"/>
      <c r="C827" s="91" t="n"/>
      <c r="D827" s="91" t="n"/>
      <c r="E827" s="91" t="n"/>
      <c r="F827" s="91" t="n"/>
      <c r="G827" s="91" t="n"/>
      <c r="H827" s="91" t="n"/>
      <c r="I827" s="91" t="n"/>
      <c r="J827" s="91" t="n"/>
      <c r="K827" s="91" t="n"/>
      <c r="L827" s="91" t="n"/>
      <c r="M827" s="91" t="n"/>
      <c r="N827" s="91" t="n"/>
      <c r="O827" s="91" t="n"/>
      <c r="P827" s="91" t="n"/>
      <c r="Q827" s="91" t="n"/>
      <c r="R827" s="91" t="n"/>
      <c r="S827" s="91" t="n"/>
      <c r="T827" s="91" t="n"/>
      <c r="U827" s="91" t="n"/>
      <c r="V827" s="91" t="n"/>
      <c r="W827" s="91" t="n"/>
      <c r="X827" s="91" t="n"/>
      <c r="Y827" s="91" t="n"/>
      <c r="Z827" s="91" t="n"/>
      <c r="AA827" s="91" t="n"/>
    </row>
    <row r="828" ht="12.75" customHeight="1" s="117">
      <c r="A828" s="91" t="n"/>
      <c r="B828" s="91" t="n"/>
      <c r="C828" s="91" t="n"/>
      <c r="D828" s="91" t="n"/>
      <c r="E828" s="91" t="n"/>
      <c r="F828" s="91" t="n"/>
      <c r="G828" s="91" t="n"/>
      <c r="H828" s="91" t="n"/>
      <c r="I828" s="91" t="n"/>
      <c r="J828" s="91" t="n"/>
      <c r="K828" s="91" t="n"/>
      <c r="L828" s="91" t="n"/>
      <c r="M828" s="91" t="n"/>
      <c r="N828" s="91" t="n"/>
      <c r="O828" s="91" t="n"/>
      <c r="P828" s="91" t="n"/>
      <c r="Q828" s="91" t="n"/>
      <c r="R828" s="91" t="n"/>
      <c r="S828" s="91" t="n"/>
      <c r="T828" s="91" t="n"/>
      <c r="U828" s="91" t="n"/>
      <c r="V828" s="91" t="n"/>
      <c r="W828" s="91" t="n"/>
      <c r="X828" s="91" t="n"/>
      <c r="Y828" s="91" t="n"/>
      <c r="Z828" s="91" t="n"/>
      <c r="AA828" s="91" t="n"/>
    </row>
    <row r="829" ht="12.75" customHeight="1" s="117">
      <c r="A829" s="91" t="n"/>
      <c r="B829" s="91" t="n"/>
      <c r="C829" s="91" t="n"/>
      <c r="D829" s="91" t="n"/>
      <c r="E829" s="91" t="n"/>
      <c r="F829" s="91" t="n"/>
      <c r="G829" s="91" t="n"/>
      <c r="H829" s="91" t="n"/>
      <c r="I829" s="91" t="n"/>
      <c r="J829" s="91" t="n"/>
      <c r="K829" s="91" t="n"/>
      <c r="L829" s="91" t="n"/>
      <c r="M829" s="91" t="n"/>
      <c r="N829" s="91" t="n"/>
      <c r="O829" s="91" t="n"/>
      <c r="P829" s="91" t="n"/>
      <c r="Q829" s="91" t="n"/>
      <c r="R829" s="91" t="n"/>
      <c r="S829" s="91" t="n"/>
      <c r="T829" s="91" t="n"/>
      <c r="U829" s="91" t="n"/>
      <c r="V829" s="91" t="n"/>
      <c r="W829" s="91" t="n"/>
      <c r="X829" s="91" t="n"/>
      <c r="Y829" s="91" t="n"/>
      <c r="Z829" s="91" t="n"/>
      <c r="AA829" s="91" t="n"/>
    </row>
    <row r="830" ht="12.75" customHeight="1" s="117">
      <c r="A830" s="91" t="n"/>
      <c r="B830" s="91" t="n"/>
      <c r="C830" s="91" t="n"/>
      <c r="D830" s="91" t="n"/>
      <c r="E830" s="91" t="n"/>
      <c r="F830" s="91" t="n"/>
      <c r="G830" s="91" t="n"/>
      <c r="H830" s="91" t="n"/>
      <c r="I830" s="91" t="n"/>
      <c r="J830" s="91" t="n"/>
      <c r="K830" s="91" t="n"/>
      <c r="L830" s="91" t="n"/>
      <c r="M830" s="91" t="n"/>
      <c r="N830" s="91" t="n"/>
      <c r="O830" s="91" t="n"/>
      <c r="P830" s="91" t="n"/>
      <c r="Q830" s="91" t="n"/>
      <c r="R830" s="91" t="n"/>
      <c r="S830" s="91" t="n"/>
      <c r="T830" s="91" t="n"/>
      <c r="U830" s="91" t="n"/>
      <c r="V830" s="91" t="n"/>
      <c r="W830" s="91" t="n"/>
      <c r="X830" s="91" t="n"/>
      <c r="Y830" s="91" t="n"/>
      <c r="Z830" s="91" t="n"/>
      <c r="AA830" s="91" t="n"/>
    </row>
    <row r="831" ht="12.75" customHeight="1" s="117">
      <c r="A831" s="91" t="n"/>
      <c r="B831" s="91" t="n"/>
      <c r="C831" s="91" t="n"/>
      <c r="D831" s="91" t="n"/>
      <c r="E831" s="91" t="n"/>
      <c r="F831" s="91" t="n"/>
      <c r="G831" s="91" t="n"/>
      <c r="H831" s="91" t="n"/>
      <c r="I831" s="91" t="n"/>
      <c r="J831" s="91" t="n"/>
      <c r="K831" s="91" t="n"/>
      <c r="L831" s="91" t="n"/>
      <c r="M831" s="91" t="n"/>
      <c r="N831" s="91" t="n"/>
      <c r="O831" s="91" t="n"/>
      <c r="P831" s="91" t="n"/>
      <c r="Q831" s="91" t="n"/>
      <c r="R831" s="91" t="n"/>
      <c r="S831" s="91" t="n"/>
      <c r="T831" s="91" t="n"/>
      <c r="U831" s="91" t="n"/>
      <c r="V831" s="91" t="n"/>
      <c r="W831" s="91" t="n"/>
      <c r="X831" s="91" t="n"/>
      <c r="Y831" s="91" t="n"/>
      <c r="Z831" s="91" t="n"/>
      <c r="AA831" s="91" t="n"/>
    </row>
    <row r="832" ht="12.75" customHeight="1" s="117">
      <c r="A832" s="91" t="n"/>
      <c r="B832" s="91" t="n"/>
      <c r="C832" s="91" t="n"/>
      <c r="D832" s="91" t="n"/>
      <c r="E832" s="91" t="n"/>
      <c r="F832" s="91" t="n"/>
      <c r="G832" s="91" t="n"/>
      <c r="H832" s="91" t="n"/>
      <c r="I832" s="91" t="n"/>
      <c r="J832" s="91" t="n"/>
      <c r="K832" s="91" t="n"/>
      <c r="L832" s="91" t="n"/>
      <c r="M832" s="91" t="n"/>
      <c r="N832" s="91" t="n"/>
      <c r="O832" s="91" t="n"/>
      <c r="P832" s="91" t="n"/>
      <c r="Q832" s="91" t="n"/>
      <c r="R832" s="91" t="n"/>
      <c r="S832" s="91" t="n"/>
      <c r="T832" s="91" t="n"/>
      <c r="U832" s="91" t="n"/>
      <c r="V832" s="91" t="n"/>
      <c r="W832" s="91" t="n"/>
      <c r="X832" s="91" t="n"/>
      <c r="Y832" s="91" t="n"/>
      <c r="Z832" s="91" t="n"/>
      <c r="AA832" s="91" t="n"/>
    </row>
    <row r="833" ht="12.75" customHeight="1" s="117">
      <c r="A833" s="91" t="n"/>
      <c r="B833" s="91" t="n"/>
      <c r="C833" s="91" t="n"/>
      <c r="D833" s="91" t="n"/>
      <c r="E833" s="91" t="n"/>
      <c r="F833" s="91" t="n"/>
      <c r="G833" s="91" t="n"/>
      <c r="H833" s="91" t="n"/>
      <c r="I833" s="91" t="n"/>
      <c r="J833" s="91" t="n"/>
      <c r="K833" s="91" t="n"/>
      <c r="L833" s="91" t="n"/>
      <c r="M833" s="91" t="n"/>
      <c r="N833" s="91" t="n"/>
      <c r="O833" s="91" t="n"/>
      <c r="P833" s="91" t="n"/>
      <c r="Q833" s="91" t="n"/>
      <c r="R833" s="91" t="n"/>
      <c r="S833" s="91" t="n"/>
      <c r="T833" s="91" t="n"/>
      <c r="U833" s="91" t="n"/>
      <c r="V833" s="91" t="n"/>
      <c r="W833" s="91" t="n"/>
      <c r="X833" s="91" t="n"/>
      <c r="Y833" s="91" t="n"/>
      <c r="Z833" s="91" t="n"/>
      <c r="AA833" s="91" t="n"/>
    </row>
    <row r="834" ht="12.75" customHeight="1" s="117">
      <c r="A834" s="91" t="n"/>
      <c r="B834" s="91" t="n"/>
      <c r="C834" s="91" t="n"/>
      <c r="D834" s="91" t="n"/>
      <c r="E834" s="91" t="n"/>
      <c r="F834" s="91" t="n"/>
      <c r="G834" s="91" t="n"/>
      <c r="H834" s="91" t="n"/>
      <c r="I834" s="91" t="n"/>
      <c r="J834" s="91" t="n"/>
      <c r="K834" s="91" t="n"/>
      <c r="L834" s="91" t="n"/>
      <c r="M834" s="91" t="n"/>
      <c r="N834" s="91" t="n"/>
      <c r="O834" s="91" t="n"/>
      <c r="P834" s="91" t="n"/>
      <c r="Q834" s="91" t="n"/>
      <c r="R834" s="91" t="n"/>
      <c r="S834" s="91" t="n"/>
      <c r="T834" s="91" t="n"/>
      <c r="U834" s="91" t="n"/>
      <c r="V834" s="91" t="n"/>
      <c r="W834" s="91" t="n"/>
      <c r="X834" s="91" t="n"/>
      <c r="Y834" s="91" t="n"/>
      <c r="Z834" s="91" t="n"/>
      <c r="AA834" s="91" t="n"/>
    </row>
    <row r="835" ht="12.75" customHeight="1" s="117">
      <c r="A835" s="91" t="n"/>
      <c r="B835" s="91" t="n"/>
      <c r="C835" s="91" t="n"/>
      <c r="D835" s="91" t="n"/>
      <c r="E835" s="91" t="n"/>
      <c r="F835" s="91" t="n"/>
      <c r="G835" s="91" t="n"/>
      <c r="H835" s="91" t="n"/>
      <c r="I835" s="91" t="n"/>
      <c r="J835" s="91" t="n"/>
      <c r="K835" s="91" t="n"/>
      <c r="L835" s="91" t="n"/>
      <c r="M835" s="91" t="n"/>
      <c r="N835" s="91" t="n"/>
      <c r="O835" s="91" t="n"/>
      <c r="P835" s="91" t="n"/>
      <c r="Q835" s="91" t="n"/>
      <c r="R835" s="91" t="n"/>
      <c r="S835" s="91" t="n"/>
      <c r="T835" s="91" t="n"/>
      <c r="U835" s="91" t="n"/>
      <c r="V835" s="91" t="n"/>
      <c r="W835" s="91" t="n"/>
      <c r="X835" s="91" t="n"/>
      <c r="Y835" s="91" t="n"/>
      <c r="Z835" s="91" t="n"/>
      <c r="AA835" s="91" t="n"/>
    </row>
    <row r="836" ht="12.75" customHeight="1" s="117">
      <c r="A836" s="91" t="n"/>
      <c r="B836" s="91" t="n"/>
      <c r="C836" s="91" t="n"/>
      <c r="D836" s="91" t="n"/>
      <c r="E836" s="91" t="n"/>
      <c r="F836" s="91" t="n"/>
      <c r="G836" s="91" t="n"/>
      <c r="H836" s="91" t="n"/>
      <c r="I836" s="91" t="n"/>
      <c r="J836" s="91" t="n"/>
      <c r="K836" s="91" t="n"/>
      <c r="L836" s="91" t="n"/>
      <c r="M836" s="91" t="n"/>
      <c r="N836" s="91" t="n"/>
      <c r="O836" s="91" t="n"/>
      <c r="P836" s="91" t="n"/>
      <c r="Q836" s="91" t="n"/>
      <c r="R836" s="91" t="n"/>
      <c r="S836" s="91" t="n"/>
      <c r="T836" s="91" t="n"/>
      <c r="U836" s="91" t="n"/>
      <c r="V836" s="91" t="n"/>
      <c r="W836" s="91" t="n"/>
      <c r="X836" s="91" t="n"/>
      <c r="Y836" s="91" t="n"/>
      <c r="Z836" s="91" t="n"/>
      <c r="AA836" s="91" t="n"/>
    </row>
    <row r="837" ht="12.75" customHeight="1" s="117">
      <c r="A837" s="91" t="n"/>
      <c r="B837" s="91" t="n"/>
      <c r="C837" s="91" t="n"/>
      <c r="D837" s="91" t="n"/>
      <c r="E837" s="91" t="n"/>
      <c r="F837" s="91" t="n"/>
      <c r="G837" s="91" t="n"/>
      <c r="H837" s="91" t="n"/>
      <c r="I837" s="91" t="n"/>
      <c r="J837" s="91" t="n"/>
      <c r="K837" s="91" t="n"/>
      <c r="L837" s="91" t="n"/>
      <c r="M837" s="91" t="n"/>
      <c r="N837" s="91" t="n"/>
      <c r="O837" s="91" t="n"/>
      <c r="P837" s="91" t="n"/>
      <c r="Q837" s="91" t="n"/>
      <c r="R837" s="91" t="n"/>
      <c r="S837" s="91" t="n"/>
      <c r="T837" s="91" t="n"/>
      <c r="U837" s="91" t="n"/>
      <c r="V837" s="91" t="n"/>
      <c r="W837" s="91" t="n"/>
      <c r="X837" s="91" t="n"/>
      <c r="Y837" s="91" t="n"/>
      <c r="Z837" s="91" t="n"/>
      <c r="AA837" s="91" t="n"/>
    </row>
    <row r="838" ht="12.75" customHeight="1" s="117">
      <c r="A838" s="91" t="n"/>
      <c r="B838" s="91" t="n"/>
      <c r="C838" s="91" t="n"/>
      <c r="D838" s="91" t="n"/>
      <c r="E838" s="91" t="n"/>
      <c r="F838" s="91" t="n"/>
      <c r="G838" s="91" t="n"/>
      <c r="H838" s="91" t="n"/>
      <c r="I838" s="91" t="n"/>
      <c r="J838" s="91" t="n"/>
      <c r="K838" s="91" t="n"/>
      <c r="L838" s="91" t="n"/>
      <c r="M838" s="91" t="n"/>
      <c r="N838" s="91" t="n"/>
      <c r="O838" s="91" t="n"/>
      <c r="P838" s="91" t="n"/>
      <c r="Q838" s="91" t="n"/>
      <c r="R838" s="91" t="n"/>
      <c r="S838" s="91" t="n"/>
      <c r="T838" s="91" t="n"/>
      <c r="U838" s="91" t="n"/>
      <c r="V838" s="91" t="n"/>
      <c r="W838" s="91" t="n"/>
      <c r="X838" s="91" t="n"/>
      <c r="Y838" s="91" t="n"/>
      <c r="Z838" s="91" t="n"/>
      <c r="AA838" s="91" t="n"/>
    </row>
    <row r="839" ht="12.75" customHeight="1" s="117">
      <c r="A839" s="91" t="n"/>
      <c r="B839" s="91" t="n"/>
      <c r="C839" s="91" t="n"/>
      <c r="D839" s="91" t="n"/>
      <c r="E839" s="91" t="n"/>
      <c r="F839" s="91" t="n"/>
      <c r="G839" s="91" t="n"/>
      <c r="H839" s="91" t="n"/>
      <c r="I839" s="91" t="n"/>
      <c r="J839" s="91" t="n"/>
      <c r="K839" s="91" t="n"/>
      <c r="L839" s="91" t="n"/>
      <c r="M839" s="91" t="n"/>
      <c r="N839" s="91" t="n"/>
      <c r="O839" s="91" t="n"/>
      <c r="P839" s="91" t="n"/>
      <c r="Q839" s="91" t="n"/>
      <c r="R839" s="91" t="n"/>
      <c r="S839" s="91" t="n"/>
      <c r="T839" s="91" t="n"/>
      <c r="U839" s="91" t="n"/>
      <c r="V839" s="91" t="n"/>
      <c r="W839" s="91" t="n"/>
      <c r="X839" s="91" t="n"/>
      <c r="Y839" s="91" t="n"/>
      <c r="Z839" s="91" t="n"/>
      <c r="AA839" s="91" t="n"/>
    </row>
    <row r="840" ht="12.75" customHeight="1" s="117">
      <c r="A840" s="91" t="n"/>
      <c r="B840" s="91" t="n"/>
      <c r="C840" s="91" t="n"/>
      <c r="D840" s="91" t="n"/>
      <c r="E840" s="91" t="n"/>
      <c r="F840" s="91" t="n"/>
      <c r="G840" s="91" t="n"/>
      <c r="H840" s="91" t="n"/>
      <c r="I840" s="91" t="n"/>
      <c r="J840" s="91" t="n"/>
      <c r="K840" s="91" t="n"/>
      <c r="L840" s="91" t="n"/>
      <c r="M840" s="91" t="n"/>
      <c r="N840" s="91" t="n"/>
      <c r="O840" s="91" t="n"/>
      <c r="P840" s="91" t="n"/>
      <c r="Q840" s="91" t="n"/>
      <c r="R840" s="91" t="n"/>
      <c r="S840" s="91" t="n"/>
      <c r="T840" s="91" t="n"/>
      <c r="U840" s="91" t="n"/>
      <c r="V840" s="91" t="n"/>
      <c r="W840" s="91" t="n"/>
      <c r="X840" s="91" t="n"/>
      <c r="Y840" s="91" t="n"/>
      <c r="Z840" s="91" t="n"/>
      <c r="AA840" s="91" t="n"/>
    </row>
    <row r="841" ht="12.75" customHeight="1" s="117">
      <c r="A841" s="91" t="n"/>
      <c r="B841" s="91" t="n"/>
      <c r="C841" s="91" t="n"/>
      <c r="D841" s="91" t="n"/>
      <c r="E841" s="91" t="n"/>
      <c r="F841" s="91" t="n"/>
      <c r="G841" s="91" t="n"/>
      <c r="H841" s="91" t="n"/>
      <c r="I841" s="91" t="n"/>
      <c r="J841" s="91" t="n"/>
      <c r="K841" s="91" t="n"/>
      <c r="L841" s="91" t="n"/>
      <c r="M841" s="91" t="n"/>
      <c r="N841" s="91" t="n"/>
      <c r="O841" s="91" t="n"/>
      <c r="P841" s="91" t="n"/>
      <c r="Q841" s="91" t="n"/>
      <c r="R841" s="91" t="n"/>
      <c r="S841" s="91" t="n"/>
      <c r="T841" s="91" t="n"/>
      <c r="U841" s="91" t="n"/>
      <c r="V841" s="91" t="n"/>
      <c r="W841" s="91" t="n"/>
      <c r="X841" s="91" t="n"/>
      <c r="Y841" s="91" t="n"/>
      <c r="Z841" s="91" t="n"/>
      <c r="AA841" s="91" t="n"/>
    </row>
    <row r="842" ht="12.75" customHeight="1" s="117">
      <c r="A842" s="91" t="n"/>
      <c r="B842" s="91" t="n"/>
      <c r="C842" s="91" t="n"/>
      <c r="D842" s="91" t="n"/>
      <c r="E842" s="91" t="n"/>
      <c r="F842" s="91" t="n"/>
      <c r="G842" s="91" t="n"/>
      <c r="H842" s="91" t="n"/>
      <c r="I842" s="91" t="n"/>
      <c r="J842" s="91" t="n"/>
      <c r="K842" s="91" t="n"/>
      <c r="L842" s="91" t="n"/>
      <c r="M842" s="91" t="n"/>
      <c r="N842" s="91" t="n"/>
      <c r="O842" s="91" t="n"/>
      <c r="P842" s="91" t="n"/>
      <c r="Q842" s="91" t="n"/>
      <c r="R842" s="91" t="n"/>
      <c r="S842" s="91" t="n"/>
      <c r="T842" s="91" t="n"/>
      <c r="U842" s="91" t="n"/>
      <c r="V842" s="91" t="n"/>
      <c r="W842" s="91" t="n"/>
      <c r="X842" s="91" t="n"/>
      <c r="Y842" s="91" t="n"/>
      <c r="Z842" s="91" t="n"/>
      <c r="AA842" s="91" t="n"/>
    </row>
    <row r="843" ht="12.75" customHeight="1" s="117">
      <c r="A843" s="91" t="n"/>
      <c r="B843" s="91" t="n"/>
      <c r="C843" s="91" t="n"/>
      <c r="D843" s="91" t="n"/>
      <c r="E843" s="91" t="n"/>
      <c r="F843" s="91" t="n"/>
      <c r="G843" s="91" t="n"/>
      <c r="H843" s="91" t="n"/>
      <c r="I843" s="91" t="n"/>
      <c r="J843" s="91" t="n"/>
      <c r="K843" s="91" t="n"/>
      <c r="L843" s="91" t="n"/>
      <c r="M843" s="91" t="n"/>
      <c r="N843" s="91" t="n"/>
      <c r="O843" s="91" t="n"/>
      <c r="P843" s="91" t="n"/>
      <c r="Q843" s="91" t="n"/>
      <c r="R843" s="91" t="n"/>
      <c r="S843" s="91" t="n"/>
      <c r="T843" s="91" t="n"/>
      <c r="U843" s="91" t="n"/>
      <c r="V843" s="91" t="n"/>
      <c r="W843" s="91" t="n"/>
      <c r="X843" s="91" t="n"/>
      <c r="Y843" s="91" t="n"/>
      <c r="Z843" s="91" t="n"/>
      <c r="AA843" s="91" t="n"/>
    </row>
    <row r="844" ht="12.75" customHeight="1" s="117">
      <c r="A844" s="91" t="n"/>
      <c r="B844" s="91" t="n"/>
      <c r="C844" s="91" t="n"/>
      <c r="D844" s="91" t="n"/>
      <c r="E844" s="91" t="n"/>
      <c r="F844" s="91" t="n"/>
      <c r="G844" s="91" t="n"/>
      <c r="H844" s="91" t="n"/>
      <c r="I844" s="91" t="n"/>
      <c r="J844" s="91" t="n"/>
      <c r="K844" s="91" t="n"/>
      <c r="L844" s="91" t="n"/>
      <c r="M844" s="91" t="n"/>
      <c r="N844" s="91" t="n"/>
      <c r="O844" s="91" t="n"/>
      <c r="P844" s="91" t="n"/>
      <c r="Q844" s="91" t="n"/>
      <c r="R844" s="91" t="n"/>
      <c r="S844" s="91" t="n"/>
      <c r="T844" s="91" t="n"/>
      <c r="U844" s="91" t="n"/>
      <c r="V844" s="91" t="n"/>
      <c r="W844" s="91" t="n"/>
      <c r="X844" s="91" t="n"/>
      <c r="Y844" s="91" t="n"/>
      <c r="Z844" s="91" t="n"/>
      <c r="AA844" s="91" t="n"/>
    </row>
    <row r="845" ht="12.75" customHeight="1" s="117">
      <c r="A845" s="91" t="n"/>
      <c r="B845" s="91" t="n"/>
      <c r="C845" s="91" t="n"/>
      <c r="D845" s="91" t="n"/>
      <c r="E845" s="91" t="n"/>
      <c r="F845" s="91" t="n"/>
      <c r="G845" s="91" t="n"/>
      <c r="H845" s="91" t="n"/>
      <c r="I845" s="91" t="n"/>
      <c r="J845" s="91" t="n"/>
      <c r="K845" s="91" t="n"/>
      <c r="L845" s="91" t="n"/>
      <c r="M845" s="91" t="n"/>
      <c r="N845" s="91" t="n"/>
      <c r="O845" s="91" t="n"/>
      <c r="P845" s="91" t="n"/>
      <c r="Q845" s="91" t="n"/>
      <c r="R845" s="91" t="n"/>
      <c r="S845" s="91" t="n"/>
      <c r="T845" s="91" t="n"/>
      <c r="U845" s="91" t="n"/>
      <c r="V845" s="91" t="n"/>
      <c r="W845" s="91" t="n"/>
      <c r="X845" s="91" t="n"/>
      <c r="Y845" s="91" t="n"/>
      <c r="Z845" s="91" t="n"/>
      <c r="AA845" s="91" t="n"/>
    </row>
    <row r="846" ht="12.75" customHeight="1" s="117">
      <c r="A846" s="91" t="n"/>
      <c r="B846" s="91" t="n"/>
      <c r="C846" s="91" t="n"/>
      <c r="D846" s="91" t="n"/>
      <c r="E846" s="91" t="n"/>
      <c r="F846" s="91" t="n"/>
      <c r="G846" s="91" t="n"/>
      <c r="H846" s="91" t="n"/>
      <c r="I846" s="91" t="n"/>
      <c r="J846" s="91" t="n"/>
      <c r="K846" s="91" t="n"/>
      <c r="L846" s="91" t="n"/>
      <c r="M846" s="91" t="n"/>
      <c r="N846" s="91" t="n"/>
      <c r="O846" s="91" t="n"/>
      <c r="P846" s="91" t="n"/>
      <c r="Q846" s="91" t="n"/>
      <c r="R846" s="91" t="n"/>
      <c r="S846" s="91" t="n"/>
      <c r="T846" s="91" t="n"/>
      <c r="U846" s="91" t="n"/>
      <c r="V846" s="91" t="n"/>
      <c r="W846" s="91" t="n"/>
      <c r="X846" s="91" t="n"/>
      <c r="Y846" s="91" t="n"/>
      <c r="Z846" s="91" t="n"/>
      <c r="AA846" s="91" t="n"/>
    </row>
    <row r="847" ht="12.75" customHeight="1" s="117">
      <c r="A847" s="91" t="n"/>
      <c r="B847" s="91" t="n"/>
      <c r="C847" s="91" t="n"/>
      <c r="D847" s="91" t="n"/>
      <c r="E847" s="91" t="n"/>
      <c r="F847" s="91" t="n"/>
      <c r="G847" s="91" t="n"/>
      <c r="H847" s="91" t="n"/>
      <c r="I847" s="91" t="n"/>
      <c r="J847" s="91" t="n"/>
      <c r="K847" s="91" t="n"/>
      <c r="L847" s="91" t="n"/>
      <c r="M847" s="91" t="n"/>
      <c r="N847" s="91" t="n"/>
      <c r="O847" s="91" t="n"/>
      <c r="P847" s="91" t="n"/>
      <c r="Q847" s="91" t="n"/>
      <c r="R847" s="91" t="n"/>
      <c r="S847" s="91" t="n"/>
      <c r="T847" s="91" t="n"/>
      <c r="U847" s="91" t="n"/>
      <c r="V847" s="91" t="n"/>
      <c r="W847" s="91" t="n"/>
      <c r="X847" s="91" t="n"/>
      <c r="Y847" s="91" t="n"/>
      <c r="Z847" s="91" t="n"/>
      <c r="AA847" s="91" t="n"/>
    </row>
    <row r="848" ht="12.75" customHeight="1" s="117">
      <c r="A848" s="91" t="n"/>
      <c r="B848" s="91" t="n"/>
      <c r="C848" s="91" t="n"/>
      <c r="D848" s="91" t="n"/>
      <c r="E848" s="91" t="n"/>
      <c r="F848" s="91" t="n"/>
      <c r="G848" s="91" t="n"/>
      <c r="H848" s="91" t="n"/>
      <c r="I848" s="91" t="n"/>
      <c r="J848" s="91" t="n"/>
      <c r="K848" s="91" t="n"/>
      <c r="L848" s="91" t="n"/>
      <c r="M848" s="91" t="n"/>
      <c r="N848" s="91" t="n"/>
      <c r="O848" s="91" t="n"/>
      <c r="P848" s="91" t="n"/>
      <c r="Q848" s="91" t="n"/>
      <c r="R848" s="91" t="n"/>
      <c r="S848" s="91" t="n"/>
      <c r="T848" s="91" t="n"/>
      <c r="U848" s="91" t="n"/>
      <c r="V848" s="91" t="n"/>
      <c r="W848" s="91" t="n"/>
      <c r="X848" s="91" t="n"/>
      <c r="Y848" s="91" t="n"/>
      <c r="Z848" s="91" t="n"/>
      <c r="AA848" s="91" t="n"/>
    </row>
    <row r="849" ht="12.75" customHeight="1" s="117">
      <c r="A849" s="91" t="n"/>
      <c r="B849" s="91" t="n"/>
      <c r="C849" s="91" t="n"/>
      <c r="D849" s="91" t="n"/>
      <c r="E849" s="91" t="n"/>
      <c r="F849" s="91" t="n"/>
      <c r="G849" s="91" t="n"/>
      <c r="H849" s="91" t="n"/>
      <c r="I849" s="91" t="n"/>
      <c r="J849" s="91" t="n"/>
      <c r="K849" s="91" t="n"/>
      <c r="L849" s="91" t="n"/>
      <c r="M849" s="91" t="n"/>
      <c r="N849" s="91" t="n"/>
      <c r="O849" s="91" t="n"/>
      <c r="P849" s="91" t="n"/>
      <c r="Q849" s="91" t="n"/>
      <c r="R849" s="91" t="n"/>
      <c r="S849" s="91" t="n"/>
      <c r="T849" s="91" t="n"/>
      <c r="U849" s="91" t="n"/>
      <c r="V849" s="91" t="n"/>
      <c r="W849" s="91" t="n"/>
      <c r="X849" s="91" t="n"/>
      <c r="Y849" s="91" t="n"/>
      <c r="Z849" s="91" t="n"/>
      <c r="AA849" s="91" t="n"/>
    </row>
    <row r="850" ht="12.75" customHeight="1" s="117">
      <c r="A850" s="91" t="n"/>
      <c r="B850" s="91" t="n"/>
      <c r="C850" s="91" t="n"/>
      <c r="D850" s="91" t="n"/>
      <c r="E850" s="91" t="n"/>
      <c r="F850" s="91" t="n"/>
      <c r="G850" s="91" t="n"/>
      <c r="H850" s="91" t="n"/>
      <c r="I850" s="91" t="n"/>
      <c r="J850" s="91" t="n"/>
      <c r="K850" s="91" t="n"/>
      <c r="L850" s="91" t="n"/>
      <c r="M850" s="91" t="n"/>
      <c r="N850" s="91" t="n"/>
      <c r="O850" s="91" t="n"/>
      <c r="P850" s="91" t="n"/>
      <c r="Q850" s="91" t="n"/>
      <c r="R850" s="91" t="n"/>
      <c r="S850" s="91" t="n"/>
      <c r="T850" s="91" t="n"/>
      <c r="U850" s="91" t="n"/>
      <c r="V850" s="91" t="n"/>
      <c r="W850" s="91" t="n"/>
      <c r="X850" s="91" t="n"/>
      <c r="Y850" s="91" t="n"/>
      <c r="Z850" s="91" t="n"/>
      <c r="AA850" s="91" t="n"/>
    </row>
    <row r="851" ht="12.75" customHeight="1" s="117">
      <c r="A851" s="91" t="n"/>
      <c r="B851" s="91" t="n"/>
      <c r="C851" s="91" t="n"/>
      <c r="D851" s="91" t="n"/>
      <c r="E851" s="91" t="n"/>
      <c r="F851" s="91" t="n"/>
      <c r="G851" s="91" t="n"/>
      <c r="H851" s="91" t="n"/>
      <c r="I851" s="91" t="n"/>
      <c r="J851" s="91" t="n"/>
      <c r="K851" s="91" t="n"/>
      <c r="L851" s="91" t="n"/>
      <c r="M851" s="91" t="n"/>
      <c r="N851" s="91" t="n"/>
      <c r="O851" s="91" t="n"/>
      <c r="P851" s="91" t="n"/>
      <c r="Q851" s="91" t="n"/>
      <c r="R851" s="91" t="n"/>
      <c r="S851" s="91" t="n"/>
      <c r="T851" s="91" t="n"/>
      <c r="U851" s="91" t="n"/>
      <c r="V851" s="91" t="n"/>
      <c r="W851" s="91" t="n"/>
      <c r="X851" s="91" t="n"/>
      <c r="Y851" s="91" t="n"/>
      <c r="Z851" s="91" t="n"/>
      <c r="AA851" s="91" t="n"/>
    </row>
    <row r="852" ht="12.75" customHeight="1" s="117">
      <c r="A852" s="91" t="n"/>
      <c r="B852" s="91" t="n"/>
      <c r="C852" s="91" t="n"/>
      <c r="D852" s="91" t="n"/>
      <c r="E852" s="91" t="n"/>
      <c r="F852" s="91" t="n"/>
      <c r="G852" s="91" t="n"/>
      <c r="H852" s="91" t="n"/>
      <c r="I852" s="91" t="n"/>
      <c r="J852" s="91" t="n"/>
      <c r="K852" s="91" t="n"/>
      <c r="L852" s="91" t="n"/>
      <c r="M852" s="91" t="n"/>
      <c r="N852" s="91" t="n"/>
      <c r="O852" s="91" t="n"/>
      <c r="P852" s="91" t="n"/>
      <c r="Q852" s="91" t="n"/>
      <c r="R852" s="91" t="n"/>
      <c r="S852" s="91" t="n"/>
      <c r="T852" s="91" t="n"/>
      <c r="U852" s="91" t="n"/>
      <c r="V852" s="91" t="n"/>
      <c r="W852" s="91" t="n"/>
      <c r="X852" s="91" t="n"/>
      <c r="Y852" s="91" t="n"/>
      <c r="Z852" s="91" t="n"/>
      <c r="AA852" s="91" t="n"/>
    </row>
    <row r="853" ht="12.75" customHeight="1" s="117">
      <c r="A853" s="91" t="n"/>
      <c r="B853" s="91" t="n"/>
      <c r="C853" s="91" t="n"/>
      <c r="D853" s="91" t="n"/>
      <c r="E853" s="91" t="n"/>
      <c r="F853" s="91" t="n"/>
      <c r="G853" s="91" t="n"/>
      <c r="H853" s="91" t="n"/>
      <c r="I853" s="91" t="n"/>
      <c r="J853" s="91" t="n"/>
      <c r="K853" s="91" t="n"/>
      <c r="L853" s="91" t="n"/>
      <c r="M853" s="91" t="n"/>
      <c r="N853" s="91" t="n"/>
      <c r="O853" s="91" t="n"/>
      <c r="P853" s="91" t="n"/>
      <c r="Q853" s="91" t="n"/>
      <c r="R853" s="91" t="n"/>
      <c r="S853" s="91" t="n"/>
      <c r="T853" s="91" t="n"/>
      <c r="U853" s="91" t="n"/>
      <c r="V853" s="91" t="n"/>
      <c r="W853" s="91" t="n"/>
      <c r="X853" s="91" t="n"/>
      <c r="Y853" s="91" t="n"/>
      <c r="Z853" s="91" t="n"/>
      <c r="AA853" s="91" t="n"/>
    </row>
    <row r="854" ht="12.75" customHeight="1" s="117">
      <c r="A854" s="91" t="n"/>
      <c r="B854" s="91" t="n"/>
      <c r="C854" s="91" t="n"/>
      <c r="D854" s="91" t="n"/>
      <c r="E854" s="91" t="n"/>
      <c r="F854" s="91" t="n"/>
      <c r="G854" s="91" t="n"/>
      <c r="H854" s="91" t="n"/>
      <c r="I854" s="91" t="n"/>
      <c r="J854" s="91" t="n"/>
      <c r="K854" s="91" t="n"/>
      <c r="L854" s="91" t="n"/>
      <c r="M854" s="91" t="n"/>
      <c r="N854" s="91" t="n"/>
      <c r="O854" s="91" t="n"/>
      <c r="P854" s="91" t="n"/>
      <c r="Q854" s="91" t="n"/>
      <c r="R854" s="91" t="n"/>
      <c r="S854" s="91" t="n"/>
      <c r="T854" s="91" t="n"/>
      <c r="U854" s="91" t="n"/>
      <c r="V854" s="91" t="n"/>
      <c r="W854" s="91" t="n"/>
      <c r="X854" s="91" t="n"/>
      <c r="Y854" s="91" t="n"/>
      <c r="Z854" s="91" t="n"/>
      <c r="AA854" s="91" t="n"/>
    </row>
    <row r="855" ht="12.75" customHeight="1" s="117">
      <c r="A855" s="91" t="n"/>
      <c r="B855" s="91" t="n"/>
      <c r="C855" s="91" t="n"/>
      <c r="D855" s="91" t="n"/>
      <c r="E855" s="91" t="n"/>
      <c r="F855" s="91" t="n"/>
      <c r="G855" s="91" t="n"/>
      <c r="H855" s="91" t="n"/>
      <c r="I855" s="91" t="n"/>
      <c r="J855" s="91" t="n"/>
      <c r="K855" s="91" t="n"/>
      <c r="L855" s="91" t="n"/>
      <c r="M855" s="91" t="n"/>
      <c r="N855" s="91" t="n"/>
      <c r="O855" s="91" t="n"/>
      <c r="P855" s="91" t="n"/>
      <c r="Q855" s="91" t="n"/>
      <c r="R855" s="91" t="n"/>
      <c r="S855" s="91" t="n"/>
      <c r="T855" s="91" t="n"/>
      <c r="U855" s="91" t="n"/>
      <c r="V855" s="91" t="n"/>
      <c r="W855" s="91" t="n"/>
      <c r="X855" s="91" t="n"/>
      <c r="Y855" s="91" t="n"/>
      <c r="Z855" s="91" t="n"/>
      <c r="AA855" s="91" t="n"/>
    </row>
    <row r="856" ht="12.75" customHeight="1" s="117">
      <c r="A856" s="91" t="n"/>
      <c r="B856" s="91" t="n"/>
      <c r="C856" s="91" t="n"/>
      <c r="D856" s="91" t="n"/>
      <c r="E856" s="91" t="n"/>
      <c r="F856" s="91" t="n"/>
      <c r="G856" s="91" t="n"/>
      <c r="H856" s="91" t="n"/>
      <c r="I856" s="91" t="n"/>
      <c r="J856" s="91" t="n"/>
      <c r="K856" s="91" t="n"/>
      <c r="L856" s="91" t="n"/>
      <c r="M856" s="91" t="n"/>
      <c r="N856" s="91" t="n"/>
      <c r="O856" s="91" t="n"/>
      <c r="P856" s="91" t="n"/>
      <c r="Q856" s="91" t="n"/>
      <c r="R856" s="91" t="n"/>
      <c r="S856" s="91" t="n"/>
      <c r="T856" s="91" t="n"/>
      <c r="U856" s="91" t="n"/>
      <c r="V856" s="91" t="n"/>
      <c r="W856" s="91" t="n"/>
      <c r="X856" s="91" t="n"/>
      <c r="Y856" s="91" t="n"/>
      <c r="Z856" s="91" t="n"/>
      <c r="AA856" s="91" t="n"/>
    </row>
    <row r="857" ht="12.75" customHeight="1" s="117">
      <c r="A857" s="91" t="n"/>
      <c r="B857" s="91" t="n"/>
      <c r="C857" s="91" t="n"/>
      <c r="D857" s="91" t="n"/>
      <c r="E857" s="91" t="n"/>
      <c r="F857" s="91" t="n"/>
      <c r="G857" s="91" t="n"/>
      <c r="H857" s="91" t="n"/>
      <c r="I857" s="91" t="n"/>
      <c r="J857" s="91" t="n"/>
      <c r="K857" s="91" t="n"/>
      <c r="L857" s="91" t="n"/>
      <c r="M857" s="91" t="n"/>
      <c r="N857" s="91" t="n"/>
      <c r="O857" s="91" t="n"/>
      <c r="P857" s="91" t="n"/>
      <c r="Q857" s="91" t="n"/>
      <c r="R857" s="91" t="n"/>
      <c r="S857" s="91" t="n"/>
      <c r="T857" s="91" t="n"/>
      <c r="U857" s="91" t="n"/>
      <c r="V857" s="91" t="n"/>
      <c r="W857" s="91" t="n"/>
      <c r="X857" s="91" t="n"/>
      <c r="Y857" s="91" t="n"/>
      <c r="Z857" s="91" t="n"/>
      <c r="AA857" s="91" t="n"/>
    </row>
    <row r="858" ht="12.75" customHeight="1" s="117">
      <c r="A858" s="91" t="n"/>
      <c r="B858" s="91" t="n"/>
      <c r="C858" s="91" t="n"/>
      <c r="D858" s="91" t="n"/>
      <c r="E858" s="91" t="n"/>
      <c r="F858" s="91" t="n"/>
      <c r="G858" s="91" t="n"/>
      <c r="H858" s="91" t="n"/>
      <c r="I858" s="91" t="n"/>
      <c r="J858" s="91" t="n"/>
      <c r="K858" s="91" t="n"/>
      <c r="L858" s="91" t="n"/>
      <c r="M858" s="91" t="n"/>
      <c r="N858" s="91" t="n"/>
      <c r="O858" s="91" t="n"/>
      <c r="P858" s="91" t="n"/>
      <c r="Q858" s="91" t="n"/>
      <c r="R858" s="91" t="n"/>
      <c r="S858" s="91" t="n"/>
      <c r="T858" s="91" t="n"/>
      <c r="U858" s="91" t="n"/>
      <c r="V858" s="91" t="n"/>
      <c r="W858" s="91" t="n"/>
      <c r="X858" s="91" t="n"/>
      <c r="Y858" s="91" t="n"/>
      <c r="Z858" s="91" t="n"/>
      <c r="AA858" s="91" t="n"/>
    </row>
    <row r="859" ht="12.75" customHeight="1" s="117">
      <c r="A859" s="91" t="n"/>
      <c r="B859" s="91" t="n"/>
      <c r="C859" s="91" t="n"/>
      <c r="D859" s="91" t="n"/>
      <c r="E859" s="91" t="n"/>
      <c r="F859" s="91" t="n"/>
      <c r="G859" s="91" t="n"/>
      <c r="H859" s="91" t="n"/>
      <c r="I859" s="91" t="n"/>
      <c r="J859" s="91" t="n"/>
      <c r="K859" s="91" t="n"/>
      <c r="L859" s="91" t="n"/>
      <c r="M859" s="91" t="n"/>
      <c r="N859" s="91" t="n"/>
      <c r="O859" s="91" t="n"/>
      <c r="P859" s="91" t="n"/>
      <c r="Q859" s="91" t="n"/>
      <c r="R859" s="91" t="n"/>
      <c r="S859" s="91" t="n"/>
      <c r="T859" s="91" t="n"/>
      <c r="U859" s="91" t="n"/>
      <c r="V859" s="91" t="n"/>
      <c r="W859" s="91" t="n"/>
      <c r="X859" s="91" t="n"/>
      <c r="Y859" s="91" t="n"/>
      <c r="Z859" s="91" t="n"/>
      <c r="AA859" s="91" t="n"/>
    </row>
    <row r="860" ht="12.75" customHeight="1" s="117">
      <c r="A860" s="91" t="n"/>
      <c r="B860" s="91" t="n"/>
      <c r="C860" s="91" t="n"/>
      <c r="D860" s="91" t="n"/>
      <c r="E860" s="91" t="n"/>
      <c r="F860" s="91" t="n"/>
      <c r="G860" s="91" t="n"/>
      <c r="H860" s="91" t="n"/>
      <c r="I860" s="91" t="n"/>
      <c r="J860" s="91" t="n"/>
      <c r="K860" s="91" t="n"/>
      <c r="L860" s="91" t="n"/>
      <c r="M860" s="91" t="n"/>
      <c r="N860" s="91" t="n"/>
      <c r="O860" s="91" t="n"/>
      <c r="P860" s="91" t="n"/>
      <c r="Q860" s="91" t="n"/>
      <c r="R860" s="91" t="n"/>
      <c r="S860" s="91" t="n"/>
      <c r="T860" s="91" t="n"/>
      <c r="U860" s="91" t="n"/>
      <c r="V860" s="91" t="n"/>
      <c r="W860" s="91" t="n"/>
      <c r="X860" s="91" t="n"/>
      <c r="Y860" s="91" t="n"/>
      <c r="Z860" s="91" t="n"/>
      <c r="AA860" s="91" t="n"/>
    </row>
    <row r="861" ht="12.75" customHeight="1" s="117">
      <c r="A861" s="91" t="n"/>
      <c r="B861" s="91" t="n"/>
      <c r="C861" s="91" t="n"/>
      <c r="D861" s="91" t="n"/>
      <c r="E861" s="91" t="n"/>
      <c r="F861" s="91" t="n"/>
      <c r="G861" s="91" t="n"/>
      <c r="H861" s="91" t="n"/>
      <c r="I861" s="91" t="n"/>
      <c r="J861" s="91" t="n"/>
      <c r="K861" s="91" t="n"/>
      <c r="L861" s="91" t="n"/>
      <c r="M861" s="91" t="n"/>
      <c r="N861" s="91" t="n"/>
      <c r="O861" s="91" t="n"/>
      <c r="P861" s="91" t="n"/>
      <c r="Q861" s="91" t="n"/>
      <c r="R861" s="91" t="n"/>
      <c r="S861" s="91" t="n"/>
      <c r="T861" s="91" t="n"/>
      <c r="U861" s="91" t="n"/>
      <c r="V861" s="91" t="n"/>
      <c r="W861" s="91" t="n"/>
      <c r="X861" s="91" t="n"/>
      <c r="Y861" s="91" t="n"/>
      <c r="Z861" s="91" t="n"/>
      <c r="AA861" s="91" t="n"/>
    </row>
    <row r="862" ht="12.75" customHeight="1" s="117">
      <c r="A862" s="91" t="n"/>
      <c r="B862" s="91" t="n"/>
      <c r="C862" s="91" t="n"/>
      <c r="D862" s="91" t="n"/>
      <c r="E862" s="91" t="n"/>
      <c r="F862" s="91" t="n"/>
      <c r="G862" s="91" t="n"/>
      <c r="H862" s="91" t="n"/>
      <c r="I862" s="91" t="n"/>
      <c r="J862" s="91" t="n"/>
      <c r="K862" s="91" t="n"/>
      <c r="L862" s="91" t="n"/>
      <c r="M862" s="91" t="n"/>
      <c r="N862" s="91" t="n"/>
      <c r="O862" s="91" t="n"/>
      <c r="P862" s="91" t="n"/>
      <c r="Q862" s="91" t="n"/>
      <c r="R862" s="91" t="n"/>
      <c r="S862" s="91" t="n"/>
      <c r="T862" s="91" t="n"/>
      <c r="U862" s="91" t="n"/>
      <c r="V862" s="91" t="n"/>
      <c r="W862" s="91" t="n"/>
      <c r="X862" s="91" t="n"/>
      <c r="Y862" s="91" t="n"/>
      <c r="Z862" s="91" t="n"/>
      <c r="AA862" s="91" t="n"/>
    </row>
    <row r="863" ht="12.75" customHeight="1" s="117">
      <c r="A863" s="91" t="n"/>
      <c r="B863" s="91" t="n"/>
      <c r="C863" s="91" t="n"/>
      <c r="D863" s="91" t="n"/>
      <c r="E863" s="91" t="n"/>
      <c r="F863" s="91" t="n"/>
      <c r="G863" s="91" t="n"/>
      <c r="H863" s="91" t="n"/>
      <c r="I863" s="91" t="n"/>
      <c r="J863" s="91" t="n"/>
      <c r="K863" s="91" t="n"/>
      <c r="L863" s="91" t="n"/>
      <c r="M863" s="91" t="n"/>
      <c r="N863" s="91" t="n"/>
      <c r="O863" s="91" t="n"/>
      <c r="P863" s="91" t="n"/>
      <c r="Q863" s="91" t="n"/>
      <c r="R863" s="91" t="n"/>
      <c r="S863" s="91" t="n"/>
      <c r="T863" s="91" t="n"/>
      <c r="U863" s="91" t="n"/>
      <c r="V863" s="91" t="n"/>
      <c r="W863" s="91" t="n"/>
      <c r="X863" s="91" t="n"/>
      <c r="Y863" s="91" t="n"/>
      <c r="Z863" s="91" t="n"/>
      <c r="AA863" s="91" t="n"/>
    </row>
    <row r="864" ht="12.75" customHeight="1" s="117">
      <c r="A864" s="91" t="n"/>
      <c r="B864" s="91" t="n"/>
      <c r="C864" s="91" t="n"/>
      <c r="D864" s="91" t="n"/>
      <c r="E864" s="91" t="n"/>
      <c r="F864" s="91" t="n"/>
      <c r="G864" s="91" t="n"/>
      <c r="H864" s="91" t="n"/>
      <c r="I864" s="91" t="n"/>
      <c r="J864" s="91" t="n"/>
      <c r="K864" s="91" t="n"/>
      <c r="L864" s="91" t="n"/>
      <c r="M864" s="91" t="n"/>
      <c r="N864" s="91" t="n"/>
      <c r="O864" s="91" t="n"/>
      <c r="P864" s="91" t="n"/>
      <c r="Q864" s="91" t="n"/>
      <c r="R864" s="91" t="n"/>
      <c r="S864" s="91" t="n"/>
      <c r="T864" s="91" t="n"/>
      <c r="U864" s="91" t="n"/>
      <c r="V864" s="91" t="n"/>
      <c r="W864" s="91" t="n"/>
      <c r="X864" s="91" t="n"/>
      <c r="Y864" s="91" t="n"/>
      <c r="Z864" s="91" t="n"/>
      <c r="AA864" s="91" t="n"/>
    </row>
    <row r="865" ht="12.75" customHeight="1" s="117">
      <c r="A865" s="91" t="n"/>
      <c r="B865" s="91" t="n"/>
      <c r="C865" s="91" t="n"/>
      <c r="D865" s="91" t="n"/>
      <c r="E865" s="91" t="n"/>
      <c r="F865" s="91" t="n"/>
      <c r="G865" s="91" t="n"/>
      <c r="H865" s="91" t="n"/>
      <c r="I865" s="91" t="n"/>
      <c r="J865" s="91" t="n"/>
      <c r="K865" s="91" t="n"/>
      <c r="L865" s="91" t="n"/>
      <c r="M865" s="91" t="n"/>
      <c r="N865" s="91" t="n"/>
      <c r="O865" s="91" t="n"/>
      <c r="P865" s="91" t="n"/>
      <c r="Q865" s="91" t="n"/>
      <c r="R865" s="91" t="n"/>
      <c r="S865" s="91" t="n"/>
      <c r="T865" s="91" t="n"/>
      <c r="U865" s="91" t="n"/>
      <c r="V865" s="91" t="n"/>
      <c r="W865" s="91" t="n"/>
      <c r="X865" s="91" t="n"/>
      <c r="Y865" s="91" t="n"/>
      <c r="Z865" s="91" t="n"/>
      <c r="AA865" s="91" t="n"/>
    </row>
    <row r="866" ht="12.75" customHeight="1" s="117">
      <c r="A866" s="91" t="n"/>
      <c r="B866" s="91" t="n"/>
      <c r="C866" s="91" t="n"/>
      <c r="D866" s="91" t="n"/>
      <c r="E866" s="91" t="n"/>
      <c r="F866" s="91" t="n"/>
      <c r="G866" s="91" t="n"/>
      <c r="H866" s="91" t="n"/>
      <c r="I866" s="91" t="n"/>
      <c r="J866" s="91" t="n"/>
      <c r="K866" s="91" t="n"/>
      <c r="L866" s="91" t="n"/>
      <c r="M866" s="91" t="n"/>
      <c r="N866" s="91" t="n"/>
      <c r="O866" s="91" t="n"/>
      <c r="P866" s="91" t="n"/>
      <c r="Q866" s="91" t="n"/>
      <c r="R866" s="91" t="n"/>
      <c r="S866" s="91" t="n"/>
      <c r="T866" s="91" t="n"/>
      <c r="U866" s="91" t="n"/>
      <c r="V866" s="91" t="n"/>
      <c r="W866" s="91" t="n"/>
      <c r="X866" s="91" t="n"/>
      <c r="Y866" s="91" t="n"/>
      <c r="Z866" s="91" t="n"/>
      <c r="AA866" s="91" t="n"/>
    </row>
    <row r="867" ht="12.75" customHeight="1" s="117">
      <c r="A867" s="91" t="n"/>
      <c r="B867" s="91" t="n"/>
      <c r="C867" s="91" t="n"/>
      <c r="D867" s="91" t="n"/>
      <c r="E867" s="91" t="n"/>
      <c r="F867" s="91" t="n"/>
      <c r="G867" s="91" t="n"/>
      <c r="H867" s="91" t="n"/>
      <c r="I867" s="91" t="n"/>
      <c r="J867" s="91" t="n"/>
      <c r="K867" s="91" t="n"/>
      <c r="L867" s="91" t="n"/>
      <c r="M867" s="91" t="n"/>
      <c r="N867" s="91" t="n"/>
      <c r="O867" s="91" t="n"/>
      <c r="P867" s="91" t="n"/>
      <c r="Q867" s="91" t="n"/>
      <c r="R867" s="91" t="n"/>
      <c r="S867" s="91" t="n"/>
      <c r="T867" s="91" t="n"/>
      <c r="U867" s="91" t="n"/>
      <c r="V867" s="91" t="n"/>
      <c r="W867" s="91" t="n"/>
      <c r="X867" s="91" t="n"/>
      <c r="Y867" s="91" t="n"/>
      <c r="Z867" s="91" t="n"/>
      <c r="AA867" s="91" t="n"/>
    </row>
    <row r="868" ht="12.75" customHeight="1" s="117">
      <c r="A868" s="91" t="n"/>
      <c r="B868" s="91" t="n"/>
      <c r="C868" s="91" t="n"/>
      <c r="D868" s="91" t="n"/>
      <c r="E868" s="91" t="n"/>
      <c r="F868" s="91" t="n"/>
      <c r="G868" s="91" t="n"/>
      <c r="H868" s="91" t="n"/>
      <c r="I868" s="91" t="n"/>
      <c r="J868" s="91" t="n"/>
      <c r="K868" s="91" t="n"/>
      <c r="L868" s="91" t="n"/>
      <c r="M868" s="91" t="n"/>
      <c r="N868" s="91" t="n"/>
      <c r="O868" s="91" t="n"/>
      <c r="P868" s="91" t="n"/>
      <c r="Q868" s="91" t="n"/>
      <c r="R868" s="91" t="n"/>
      <c r="S868" s="91" t="n"/>
      <c r="T868" s="91" t="n"/>
      <c r="U868" s="91" t="n"/>
      <c r="V868" s="91" t="n"/>
      <c r="W868" s="91" t="n"/>
      <c r="X868" s="91" t="n"/>
      <c r="Y868" s="91" t="n"/>
      <c r="Z868" s="91" t="n"/>
      <c r="AA868" s="91" t="n"/>
    </row>
    <row r="869" ht="12.75" customHeight="1" s="117">
      <c r="A869" s="91" t="n"/>
      <c r="B869" s="91" t="n"/>
      <c r="C869" s="91" t="n"/>
      <c r="D869" s="91" t="n"/>
      <c r="E869" s="91" t="n"/>
      <c r="F869" s="91" t="n"/>
      <c r="G869" s="91" t="n"/>
      <c r="H869" s="91" t="n"/>
      <c r="I869" s="91" t="n"/>
      <c r="J869" s="91" t="n"/>
      <c r="K869" s="91" t="n"/>
      <c r="L869" s="91" t="n"/>
      <c r="M869" s="91" t="n"/>
      <c r="N869" s="91" t="n"/>
      <c r="O869" s="91" t="n"/>
      <c r="P869" s="91" t="n"/>
      <c r="Q869" s="91" t="n"/>
      <c r="R869" s="91" t="n"/>
      <c r="S869" s="91" t="n"/>
      <c r="T869" s="91" t="n"/>
      <c r="U869" s="91" t="n"/>
      <c r="V869" s="91" t="n"/>
      <c r="W869" s="91" t="n"/>
      <c r="X869" s="91" t="n"/>
      <c r="Y869" s="91" t="n"/>
      <c r="Z869" s="91" t="n"/>
      <c r="AA869" s="91" t="n"/>
    </row>
    <row r="870" ht="12.75" customHeight="1" s="117">
      <c r="A870" s="91" t="n"/>
      <c r="B870" s="91" t="n"/>
      <c r="C870" s="91" t="n"/>
      <c r="D870" s="91" t="n"/>
      <c r="E870" s="91" t="n"/>
      <c r="F870" s="91" t="n"/>
      <c r="G870" s="91" t="n"/>
      <c r="H870" s="91" t="n"/>
      <c r="I870" s="91" t="n"/>
      <c r="J870" s="91" t="n"/>
      <c r="K870" s="91" t="n"/>
      <c r="L870" s="91" t="n"/>
      <c r="M870" s="91" t="n"/>
      <c r="N870" s="91" t="n"/>
      <c r="O870" s="91" t="n"/>
      <c r="P870" s="91" t="n"/>
      <c r="Q870" s="91" t="n"/>
      <c r="R870" s="91" t="n"/>
      <c r="S870" s="91" t="n"/>
      <c r="T870" s="91" t="n"/>
      <c r="U870" s="91" t="n"/>
      <c r="V870" s="91" t="n"/>
      <c r="W870" s="91" t="n"/>
      <c r="X870" s="91" t="n"/>
      <c r="Y870" s="91" t="n"/>
      <c r="Z870" s="91" t="n"/>
      <c r="AA870" s="91" t="n"/>
    </row>
    <row r="871" ht="12.75" customHeight="1" s="117">
      <c r="A871" s="91" t="n"/>
      <c r="B871" s="91" t="n"/>
      <c r="C871" s="91" t="n"/>
      <c r="D871" s="91" t="n"/>
      <c r="E871" s="91" t="n"/>
      <c r="F871" s="91" t="n"/>
      <c r="G871" s="91" t="n"/>
      <c r="H871" s="91" t="n"/>
      <c r="I871" s="91" t="n"/>
      <c r="J871" s="91" t="n"/>
      <c r="K871" s="91" t="n"/>
      <c r="L871" s="91" t="n"/>
      <c r="M871" s="91" t="n"/>
      <c r="N871" s="91" t="n"/>
      <c r="O871" s="91" t="n"/>
      <c r="P871" s="91" t="n"/>
      <c r="Q871" s="91" t="n"/>
      <c r="R871" s="91" t="n"/>
      <c r="S871" s="91" t="n"/>
      <c r="T871" s="91" t="n"/>
      <c r="U871" s="91" t="n"/>
      <c r="V871" s="91" t="n"/>
      <c r="W871" s="91" t="n"/>
      <c r="X871" s="91" t="n"/>
      <c r="Y871" s="91" t="n"/>
      <c r="Z871" s="91" t="n"/>
      <c r="AA871" s="91" t="n"/>
    </row>
    <row r="872" ht="12.75" customHeight="1" s="117">
      <c r="A872" s="91" t="n"/>
      <c r="B872" s="91" t="n"/>
      <c r="C872" s="91" t="n"/>
      <c r="D872" s="91" t="n"/>
      <c r="E872" s="91" t="n"/>
      <c r="F872" s="91" t="n"/>
      <c r="G872" s="91" t="n"/>
      <c r="H872" s="91" t="n"/>
      <c r="I872" s="91" t="n"/>
      <c r="J872" s="91" t="n"/>
      <c r="K872" s="91" t="n"/>
      <c r="L872" s="91" t="n"/>
      <c r="M872" s="91" t="n"/>
      <c r="N872" s="91" t="n"/>
      <c r="O872" s="91" t="n"/>
      <c r="P872" s="91" t="n"/>
      <c r="Q872" s="91" t="n"/>
      <c r="R872" s="91" t="n"/>
      <c r="S872" s="91" t="n"/>
      <c r="T872" s="91" t="n"/>
      <c r="U872" s="91" t="n"/>
      <c r="V872" s="91" t="n"/>
      <c r="W872" s="91" t="n"/>
      <c r="X872" s="91" t="n"/>
      <c r="Y872" s="91" t="n"/>
      <c r="Z872" s="91" t="n"/>
      <c r="AA872" s="91" t="n"/>
    </row>
    <row r="873" ht="12.75" customHeight="1" s="117">
      <c r="A873" s="91" t="n"/>
      <c r="B873" s="91" t="n"/>
      <c r="C873" s="91" t="n"/>
      <c r="D873" s="91" t="n"/>
      <c r="E873" s="91" t="n"/>
      <c r="F873" s="91" t="n"/>
      <c r="G873" s="91" t="n"/>
      <c r="H873" s="91" t="n"/>
      <c r="I873" s="91" t="n"/>
      <c r="J873" s="91" t="n"/>
      <c r="K873" s="91" t="n"/>
      <c r="L873" s="91" t="n"/>
      <c r="M873" s="91" t="n"/>
      <c r="N873" s="91" t="n"/>
      <c r="O873" s="91" t="n"/>
      <c r="P873" s="91" t="n"/>
      <c r="Q873" s="91" t="n"/>
      <c r="R873" s="91" t="n"/>
      <c r="S873" s="91" t="n"/>
      <c r="T873" s="91" t="n"/>
      <c r="U873" s="91" t="n"/>
      <c r="V873" s="91" t="n"/>
      <c r="W873" s="91" t="n"/>
      <c r="X873" s="91" t="n"/>
      <c r="Y873" s="91" t="n"/>
      <c r="Z873" s="91" t="n"/>
      <c r="AA873" s="91" t="n"/>
    </row>
    <row r="874" ht="12.75" customHeight="1" s="117">
      <c r="A874" s="91" t="n"/>
      <c r="B874" s="91" t="n"/>
      <c r="C874" s="91" t="n"/>
      <c r="D874" s="91" t="n"/>
      <c r="E874" s="91" t="n"/>
      <c r="F874" s="91" t="n"/>
      <c r="G874" s="91" t="n"/>
      <c r="H874" s="91" t="n"/>
      <c r="I874" s="91" t="n"/>
      <c r="J874" s="91" t="n"/>
      <c r="K874" s="91" t="n"/>
      <c r="L874" s="91" t="n"/>
      <c r="M874" s="91" t="n"/>
      <c r="N874" s="91" t="n"/>
      <c r="O874" s="91" t="n"/>
      <c r="P874" s="91" t="n"/>
      <c r="Q874" s="91" t="n"/>
      <c r="R874" s="91" t="n"/>
      <c r="S874" s="91" t="n"/>
      <c r="T874" s="91" t="n"/>
      <c r="U874" s="91" t="n"/>
      <c r="V874" s="91" t="n"/>
      <c r="W874" s="91" t="n"/>
      <c r="X874" s="91" t="n"/>
      <c r="Y874" s="91" t="n"/>
      <c r="Z874" s="91" t="n"/>
      <c r="AA874" s="91" t="n"/>
    </row>
    <row r="875" ht="12.75" customHeight="1" s="117">
      <c r="A875" s="91" t="n"/>
      <c r="B875" s="91" t="n"/>
      <c r="C875" s="91" t="n"/>
      <c r="D875" s="91" t="n"/>
      <c r="E875" s="91" t="n"/>
      <c r="F875" s="91" t="n"/>
      <c r="G875" s="91" t="n"/>
      <c r="H875" s="91" t="n"/>
      <c r="I875" s="91" t="n"/>
      <c r="J875" s="91" t="n"/>
      <c r="K875" s="91" t="n"/>
      <c r="L875" s="91" t="n"/>
      <c r="M875" s="91" t="n"/>
      <c r="N875" s="91" t="n"/>
      <c r="O875" s="91" t="n"/>
      <c r="P875" s="91" t="n"/>
      <c r="Q875" s="91" t="n"/>
      <c r="R875" s="91" t="n"/>
      <c r="S875" s="91" t="n"/>
      <c r="T875" s="91" t="n"/>
      <c r="U875" s="91" t="n"/>
      <c r="V875" s="91" t="n"/>
      <c r="W875" s="91" t="n"/>
      <c r="X875" s="91" t="n"/>
      <c r="Y875" s="91" t="n"/>
      <c r="Z875" s="91" t="n"/>
      <c r="AA875" s="91" t="n"/>
    </row>
    <row r="876" ht="12.75" customHeight="1" s="117">
      <c r="A876" s="91" t="n"/>
      <c r="B876" s="91" t="n"/>
      <c r="C876" s="91" t="n"/>
      <c r="D876" s="91" t="n"/>
      <c r="E876" s="91" t="n"/>
      <c r="F876" s="91" t="n"/>
      <c r="G876" s="91" t="n"/>
      <c r="H876" s="91" t="n"/>
      <c r="I876" s="91" t="n"/>
      <c r="J876" s="91" t="n"/>
      <c r="K876" s="91" t="n"/>
      <c r="L876" s="91" t="n"/>
      <c r="M876" s="91" t="n"/>
      <c r="N876" s="91" t="n"/>
      <c r="O876" s="91" t="n"/>
      <c r="P876" s="91" t="n"/>
      <c r="Q876" s="91" t="n"/>
      <c r="R876" s="91" t="n"/>
      <c r="S876" s="91" t="n"/>
      <c r="T876" s="91" t="n"/>
      <c r="U876" s="91" t="n"/>
      <c r="V876" s="91" t="n"/>
      <c r="W876" s="91" t="n"/>
      <c r="X876" s="91" t="n"/>
      <c r="Y876" s="91" t="n"/>
      <c r="Z876" s="91" t="n"/>
      <c r="AA876" s="91" t="n"/>
    </row>
    <row r="877" ht="12.75" customHeight="1" s="117">
      <c r="A877" s="91" t="n"/>
      <c r="B877" s="91" t="n"/>
      <c r="C877" s="91" t="n"/>
      <c r="D877" s="91" t="n"/>
      <c r="E877" s="91" t="n"/>
      <c r="F877" s="91" t="n"/>
      <c r="G877" s="91" t="n"/>
      <c r="H877" s="91" t="n"/>
      <c r="I877" s="91" t="n"/>
      <c r="J877" s="91" t="n"/>
      <c r="K877" s="91" t="n"/>
      <c r="L877" s="91" t="n"/>
      <c r="M877" s="91" t="n"/>
      <c r="N877" s="91" t="n"/>
      <c r="O877" s="91" t="n"/>
      <c r="P877" s="91" t="n"/>
      <c r="Q877" s="91" t="n"/>
      <c r="R877" s="91" t="n"/>
      <c r="S877" s="91" t="n"/>
      <c r="T877" s="91" t="n"/>
      <c r="U877" s="91" t="n"/>
      <c r="V877" s="91" t="n"/>
      <c r="W877" s="91" t="n"/>
      <c r="X877" s="91" t="n"/>
      <c r="Y877" s="91" t="n"/>
      <c r="Z877" s="91" t="n"/>
      <c r="AA877" s="91" t="n"/>
    </row>
    <row r="878" ht="12.75" customHeight="1" s="117">
      <c r="A878" s="91" t="n"/>
      <c r="B878" s="91" t="n"/>
      <c r="C878" s="91" t="n"/>
      <c r="D878" s="91" t="n"/>
      <c r="E878" s="91" t="n"/>
      <c r="F878" s="91" t="n"/>
      <c r="G878" s="91" t="n"/>
      <c r="H878" s="91" t="n"/>
      <c r="I878" s="91" t="n"/>
      <c r="J878" s="91" t="n"/>
      <c r="K878" s="91" t="n"/>
      <c r="L878" s="91" t="n"/>
      <c r="M878" s="91" t="n"/>
      <c r="N878" s="91" t="n"/>
      <c r="O878" s="91" t="n"/>
      <c r="P878" s="91" t="n"/>
      <c r="Q878" s="91" t="n"/>
      <c r="R878" s="91" t="n"/>
      <c r="S878" s="91" t="n"/>
      <c r="T878" s="91" t="n"/>
      <c r="U878" s="91" t="n"/>
      <c r="V878" s="91" t="n"/>
      <c r="W878" s="91" t="n"/>
      <c r="X878" s="91" t="n"/>
      <c r="Y878" s="91" t="n"/>
      <c r="Z878" s="91" t="n"/>
      <c r="AA878" s="91" t="n"/>
    </row>
    <row r="879" ht="12.75" customHeight="1" s="117">
      <c r="A879" s="91" t="n"/>
      <c r="B879" s="91" t="n"/>
      <c r="C879" s="91" t="n"/>
      <c r="D879" s="91" t="n"/>
      <c r="E879" s="91" t="n"/>
      <c r="F879" s="91" t="n"/>
      <c r="G879" s="91" t="n"/>
      <c r="H879" s="91" t="n"/>
      <c r="I879" s="91" t="n"/>
      <c r="J879" s="91" t="n"/>
      <c r="K879" s="91" t="n"/>
      <c r="L879" s="91" t="n"/>
      <c r="M879" s="91" t="n"/>
      <c r="N879" s="91" t="n"/>
      <c r="O879" s="91" t="n"/>
      <c r="P879" s="91" t="n"/>
      <c r="Q879" s="91" t="n"/>
      <c r="R879" s="91" t="n"/>
      <c r="S879" s="91" t="n"/>
      <c r="T879" s="91" t="n"/>
      <c r="U879" s="91" t="n"/>
      <c r="V879" s="91" t="n"/>
      <c r="W879" s="91" t="n"/>
      <c r="X879" s="91" t="n"/>
      <c r="Y879" s="91" t="n"/>
      <c r="Z879" s="91" t="n"/>
      <c r="AA879" s="91" t="n"/>
    </row>
    <row r="880" ht="12.75" customHeight="1" s="117">
      <c r="A880" s="91" t="n"/>
      <c r="B880" s="91" t="n"/>
      <c r="C880" s="91" t="n"/>
      <c r="D880" s="91" t="n"/>
      <c r="E880" s="91" t="n"/>
      <c r="F880" s="91" t="n"/>
      <c r="G880" s="91" t="n"/>
      <c r="H880" s="91" t="n"/>
      <c r="I880" s="91" t="n"/>
      <c r="J880" s="91" t="n"/>
      <c r="K880" s="91" t="n"/>
      <c r="L880" s="91" t="n"/>
      <c r="M880" s="91" t="n"/>
      <c r="N880" s="91" t="n"/>
      <c r="O880" s="91" t="n"/>
      <c r="P880" s="91" t="n"/>
      <c r="Q880" s="91" t="n"/>
      <c r="R880" s="91" t="n"/>
      <c r="S880" s="91" t="n"/>
      <c r="T880" s="91" t="n"/>
      <c r="U880" s="91" t="n"/>
      <c r="V880" s="91" t="n"/>
      <c r="W880" s="91" t="n"/>
      <c r="X880" s="91" t="n"/>
      <c r="Y880" s="91" t="n"/>
      <c r="Z880" s="91" t="n"/>
      <c r="AA880" s="91" t="n"/>
    </row>
    <row r="881" ht="12.75" customHeight="1" s="117">
      <c r="A881" s="91" t="n"/>
      <c r="B881" s="91" t="n"/>
      <c r="C881" s="91" t="n"/>
      <c r="D881" s="91" t="n"/>
      <c r="E881" s="91" t="n"/>
      <c r="F881" s="91" t="n"/>
      <c r="G881" s="91" t="n"/>
      <c r="H881" s="91" t="n"/>
      <c r="I881" s="91" t="n"/>
      <c r="J881" s="91" t="n"/>
      <c r="K881" s="91" t="n"/>
      <c r="L881" s="91" t="n"/>
      <c r="M881" s="91" t="n"/>
      <c r="N881" s="91" t="n"/>
      <c r="O881" s="91" t="n"/>
      <c r="P881" s="91" t="n"/>
      <c r="Q881" s="91" t="n"/>
      <c r="R881" s="91" t="n"/>
      <c r="S881" s="91" t="n"/>
      <c r="T881" s="91" t="n"/>
      <c r="U881" s="91" t="n"/>
      <c r="V881" s="91" t="n"/>
      <c r="W881" s="91" t="n"/>
      <c r="X881" s="91" t="n"/>
      <c r="Y881" s="91" t="n"/>
      <c r="Z881" s="91" t="n"/>
      <c r="AA881" s="91" t="n"/>
    </row>
    <row r="882" ht="12.75" customHeight="1" s="117">
      <c r="A882" s="91" t="n"/>
      <c r="B882" s="91" t="n"/>
      <c r="C882" s="91" t="n"/>
      <c r="D882" s="91" t="n"/>
      <c r="E882" s="91" t="n"/>
      <c r="F882" s="91" t="n"/>
      <c r="G882" s="91" t="n"/>
      <c r="H882" s="91" t="n"/>
      <c r="I882" s="91" t="n"/>
      <c r="J882" s="91" t="n"/>
      <c r="K882" s="91" t="n"/>
      <c r="L882" s="91" t="n"/>
      <c r="M882" s="91" t="n"/>
      <c r="N882" s="91" t="n"/>
      <c r="O882" s="91" t="n"/>
      <c r="P882" s="91" t="n"/>
      <c r="Q882" s="91" t="n"/>
      <c r="R882" s="91" t="n"/>
      <c r="S882" s="91" t="n"/>
      <c r="T882" s="91" t="n"/>
      <c r="U882" s="91" t="n"/>
      <c r="V882" s="91" t="n"/>
      <c r="W882" s="91" t="n"/>
      <c r="X882" s="91" t="n"/>
      <c r="Y882" s="91" t="n"/>
      <c r="Z882" s="91" t="n"/>
      <c r="AA882" s="91" t="n"/>
    </row>
    <row r="883" ht="12.75" customHeight="1" s="117">
      <c r="A883" s="91" t="n"/>
      <c r="B883" s="91" t="n"/>
      <c r="C883" s="91" t="n"/>
      <c r="D883" s="91" t="n"/>
      <c r="E883" s="91" t="n"/>
      <c r="F883" s="91" t="n"/>
      <c r="G883" s="91" t="n"/>
      <c r="H883" s="91" t="n"/>
      <c r="I883" s="91" t="n"/>
      <c r="J883" s="91" t="n"/>
      <c r="K883" s="91" t="n"/>
      <c r="L883" s="91" t="n"/>
      <c r="M883" s="91" t="n"/>
      <c r="N883" s="91" t="n"/>
      <c r="O883" s="91" t="n"/>
      <c r="P883" s="91" t="n"/>
      <c r="Q883" s="91" t="n"/>
      <c r="R883" s="91" t="n"/>
      <c r="S883" s="91" t="n"/>
      <c r="T883" s="91" t="n"/>
      <c r="U883" s="91" t="n"/>
      <c r="V883" s="91" t="n"/>
      <c r="W883" s="91" t="n"/>
      <c r="X883" s="91" t="n"/>
      <c r="Y883" s="91" t="n"/>
      <c r="Z883" s="91" t="n"/>
      <c r="AA883" s="91" t="n"/>
    </row>
    <row r="884" ht="12.75" customHeight="1" s="117">
      <c r="A884" s="91" t="n"/>
      <c r="B884" s="91" t="n"/>
      <c r="C884" s="91" t="n"/>
      <c r="D884" s="91" t="n"/>
      <c r="E884" s="91" t="n"/>
      <c r="F884" s="91" t="n"/>
      <c r="G884" s="91" t="n"/>
      <c r="H884" s="91" t="n"/>
      <c r="I884" s="91" t="n"/>
      <c r="J884" s="91" t="n"/>
      <c r="K884" s="91" t="n"/>
      <c r="L884" s="91" t="n"/>
      <c r="M884" s="91" t="n"/>
      <c r="N884" s="91" t="n"/>
      <c r="O884" s="91" t="n"/>
      <c r="P884" s="91" t="n"/>
      <c r="Q884" s="91" t="n"/>
      <c r="R884" s="91" t="n"/>
      <c r="S884" s="91" t="n"/>
      <c r="T884" s="91" t="n"/>
      <c r="U884" s="91" t="n"/>
      <c r="V884" s="91" t="n"/>
      <c r="W884" s="91" t="n"/>
      <c r="X884" s="91" t="n"/>
      <c r="Y884" s="91" t="n"/>
      <c r="Z884" s="91" t="n"/>
      <c r="AA884" s="91" t="n"/>
    </row>
    <row r="885" ht="12.75" customHeight="1" s="117">
      <c r="A885" s="91" t="n"/>
      <c r="B885" s="91" t="n"/>
      <c r="C885" s="91" t="n"/>
      <c r="D885" s="91" t="n"/>
      <c r="E885" s="91" t="n"/>
      <c r="F885" s="91" t="n"/>
      <c r="G885" s="91" t="n"/>
      <c r="H885" s="91" t="n"/>
      <c r="I885" s="91" t="n"/>
      <c r="J885" s="91" t="n"/>
      <c r="K885" s="91" t="n"/>
      <c r="L885" s="91" t="n"/>
      <c r="M885" s="91" t="n"/>
      <c r="N885" s="91" t="n"/>
      <c r="O885" s="91" t="n"/>
      <c r="P885" s="91" t="n"/>
      <c r="Q885" s="91" t="n"/>
      <c r="R885" s="91" t="n"/>
      <c r="S885" s="91" t="n"/>
      <c r="T885" s="91" t="n"/>
      <c r="U885" s="91" t="n"/>
      <c r="V885" s="91" t="n"/>
      <c r="W885" s="91" t="n"/>
      <c r="X885" s="91" t="n"/>
      <c r="Y885" s="91" t="n"/>
      <c r="Z885" s="91" t="n"/>
      <c r="AA885" s="91" t="n"/>
    </row>
    <row r="886" ht="12.75" customHeight="1" s="117">
      <c r="A886" s="91" t="n"/>
      <c r="B886" s="91" t="n"/>
      <c r="C886" s="91" t="n"/>
      <c r="D886" s="91" t="n"/>
      <c r="E886" s="91" t="n"/>
      <c r="F886" s="91" t="n"/>
      <c r="G886" s="91" t="n"/>
      <c r="H886" s="91" t="n"/>
      <c r="I886" s="91" t="n"/>
      <c r="J886" s="91" t="n"/>
      <c r="K886" s="91" t="n"/>
      <c r="L886" s="91" t="n"/>
      <c r="M886" s="91" t="n"/>
      <c r="N886" s="91" t="n"/>
      <c r="O886" s="91" t="n"/>
      <c r="P886" s="91" t="n"/>
      <c r="Q886" s="91" t="n"/>
      <c r="R886" s="91" t="n"/>
      <c r="S886" s="91" t="n"/>
      <c r="T886" s="91" t="n"/>
      <c r="U886" s="91" t="n"/>
      <c r="V886" s="91" t="n"/>
      <c r="W886" s="91" t="n"/>
      <c r="X886" s="91" t="n"/>
      <c r="Y886" s="91" t="n"/>
      <c r="Z886" s="91" t="n"/>
      <c r="AA886" s="91" t="n"/>
    </row>
    <row r="887" ht="12.75" customHeight="1" s="117">
      <c r="A887" s="91" t="n"/>
      <c r="B887" s="91" t="n"/>
      <c r="C887" s="91" t="n"/>
      <c r="D887" s="91" t="n"/>
      <c r="E887" s="91" t="n"/>
      <c r="F887" s="91" t="n"/>
      <c r="G887" s="91" t="n"/>
      <c r="H887" s="91" t="n"/>
      <c r="I887" s="91" t="n"/>
      <c r="J887" s="91" t="n"/>
      <c r="K887" s="91" t="n"/>
      <c r="L887" s="91" t="n"/>
      <c r="M887" s="91" t="n"/>
      <c r="N887" s="91" t="n"/>
      <c r="O887" s="91" t="n"/>
      <c r="P887" s="91" t="n"/>
      <c r="Q887" s="91" t="n"/>
      <c r="R887" s="91" t="n"/>
      <c r="S887" s="91" t="n"/>
      <c r="T887" s="91" t="n"/>
      <c r="U887" s="91" t="n"/>
      <c r="V887" s="91" t="n"/>
      <c r="W887" s="91" t="n"/>
      <c r="X887" s="91" t="n"/>
      <c r="Y887" s="91" t="n"/>
      <c r="Z887" s="91" t="n"/>
      <c r="AA887" s="91" t="n"/>
    </row>
    <row r="888" ht="12.75" customHeight="1" s="117">
      <c r="A888" s="91" t="n"/>
      <c r="B888" s="91" t="n"/>
      <c r="C888" s="91" t="n"/>
      <c r="D888" s="91" t="n"/>
      <c r="E888" s="91" t="n"/>
      <c r="F888" s="91" t="n"/>
      <c r="G888" s="91" t="n"/>
      <c r="H888" s="91" t="n"/>
      <c r="I888" s="91" t="n"/>
      <c r="J888" s="91" t="n"/>
      <c r="K888" s="91" t="n"/>
      <c r="L888" s="91" t="n"/>
      <c r="M888" s="91" t="n"/>
      <c r="N888" s="91" t="n"/>
      <c r="O888" s="91" t="n"/>
      <c r="P888" s="91" t="n"/>
      <c r="Q888" s="91" t="n"/>
      <c r="R888" s="91" t="n"/>
      <c r="S888" s="91" t="n"/>
      <c r="T888" s="91" t="n"/>
      <c r="U888" s="91" t="n"/>
      <c r="V888" s="91" t="n"/>
      <c r="W888" s="91" t="n"/>
      <c r="X888" s="91" t="n"/>
      <c r="Y888" s="91" t="n"/>
      <c r="Z888" s="91" t="n"/>
      <c r="AA888" s="91" t="n"/>
    </row>
    <row r="889" ht="12.75" customHeight="1" s="117">
      <c r="A889" s="91" t="n"/>
      <c r="B889" s="91" t="n"/>
      <c r="C889" s="91" t="n"/>
      <c r="D889" s="91" t="n"/>
      <c r="E889" s="91" t="n"/>
      <c r="F889" s="91" t="n"/>
      <c r="G889" s="91" t="n"/>
      <c r="H889" s="91" t="n"/>
      <c r="I889" s="91" t="n"/>
      <c r="J889" s="91" t="n"/>
      <c r="K889" s="91" t="n"/>
      <c r="L889" s="91" t="n"/>
      <c r="M889" s="91" t="n"/>
      <c r="N889" s="91" t="n"/>
      <c r="O889" s="91" t="n"/>
      <c r="P889" s="91" t="n"/>
      <c r="Q889" s="91" t="n"/>
      <c r="R889" s="91" t="n"/>
      <c r="S889" s="91" t="n"/>
      <c r="T889" s="91" t="n"/>
      <c r="U889" s="91" t="n"/>
      <c r="V889" s="91" t="n"/>
      <c r="W889" s="91" t="n"/>
      <c r="X889" s="91" t="n"/>
      <c r="Y889" s="91" t="n"/>
      <c r="Z889" s="91" t="n"/>
      <c r="AA889" s="91" t="n"/>
    </row>
    <row r="890" ht="12.75" customHeight="1" s="117">
      <c r="A890" s="91" t="n"/>
      <c r="B890" s="91" t="n"/>
      <c r="C890" s="91" t="n"/>
      <c r="D890" s="91" t="n"/>
      <c r="E890" s="91" t="n"/>
      <c r="F890" s="91" t="n"/>
      <c r="G890" s="91" t="n"/>
      <c r="H890" s="91" t="n"/>
      <c r="I890" s="91" t="n"/>
      <c r="J890" s="91" t="n"/>
      <c r="K890" s="91" t="n"/>
      <c r="L890" s="91" t="n"/>
      <c r="M890" s="91" t="n"/>
      <c r="N890" s="91" t="n"/>
      <c r="O890" s="91" t="n"/>
      <c r="P890" s="91" t="n"/>
      <c r="Q890" s="91" t="n"/>
      <c r="R890" s="91" t="n"/>
      <c r="S890" s="91" t="n"/>
      <c r="T890" s="91" t="n"/>
      <c r="U890" s="91" t="n"/>
      <c r="V890" s="91" t="n"/>
      <c r="W890" s="91" t="n"/>
      <c r="X890" s="91" t="n"/>
      <c r="Y890" s="91" t="n"/>
      <c r="Z890" s="91" t="n"/>
      <c r="AA890" s="91" t="n"/>
    </row>
    <row r="891" ht="12.75" customHeight="1" s="117">
      <c r="A891" s="91" t="n"/>
      <c r="B891" s="91" t="n"/>
      <c r="C891" s="91" t="n"/>
      <c r="D891" s="91" t="n"/>
      <c r="E891" s="91" t="n"/>
      <c r="F891" s="91" t="n"/>
      <c r="G891" s="91" t="n"/>
      <c r="H891" s="91" t="n"/>
      <c r="I891" s="91" t="n"/>
      <c r="J891" s="91" t="n"/>
      <c r="K891" s="91" t="n"/>
      <c r="L891" s="91" t="n"/>
      <c r="M891" s="91" t="n"/>
      <c r="N891" s="91" t="n"/>
      <c r="O891" s="91" t="n"/>
      <c r="P891" s="91" t="n"/>
      <c r="Q891" s="91" t="n"/>
      <c r="R891" s="91" t="n"/>
      <c r="S891" s="91" t="n"/>
      <c r="T891" s="91" t="n"/>
      <c r="U891" s="91" t="n"/>
      <c r="V891" s="91" t="n"/>
      <c r="W891" s="91" t="n"/>
      <c r="X891" s="91" t="n"/>
      <c r="Y891" s="91" t="n"/>
      <c r="Z891" s="91" t="n"/>
      <c r="AA891" s="91" t="n"/>
    </row>
    <row r="892" ht="12.75" customHeight="1" s="117">
      <c r="A892" s="91" t="n"/>
      <c r="B892" s="91" t="n"/>
      <c r="C892" s="91" t="n"/>
      <c r="D892" s="91" t="n"/>
      <c r="E892" s="91" t="n"/>
      <c r="F892" s="91" t="n"/>
      <c r="G892" s="91" t="n"/>
      <c r="H892" s="91" t="n"/>
      <c r="I892" s="91" t="n"/>
      <c r="J892" s="91" t="n"/>
      <c r="K892" s="91" t="n"/>
      <c r="L892" s="91" t="n"/>
      <c r="M892" s="91" t="n"/>
      <c r="N892" s="91" t="n"/>
      <c r="O892" s="91" t="n"/>
      <c r="P892" s="91" t="n"/>
      <c r="Q892" s="91" t="n"/>
      <c r="R892" s="91" t="n"/>
      <c r="S892" s="91" t="n"/>
      <c r="T892" s="91" t="n"/>
      <c r="U892" s="91" t="n"/>
      <c r="V892" s="91" t="n"/>
      <c r="W892" s="91" t="n"/>
      <c r="X892" s="91" t="n"/>
      <c r="Y892" s="91" t="n"/>
      <c r="Z892" s="91" t="n"/>
      <c r="AA892" s="91" t="n"/>
    </row>
    <row r="893" ht="12.75" customHeight="1" s="117">
      <c r="A893" s="91" t="n"/>
      <c r="B893" s="91" t="n"/>
      <c r="C893" s="91" t="n"/>
      <c r="D893" s="91" t="n"/>
      <c r="E893" s="91" t="n"/>
      <c r="F893" s="91" t="n"/>
      <c r="G893" s="91" t="n"/>
      <c r="H893" s="91" t="n"/>
      <c r="I893" s="91" t="n"/>
      <c r="J893" s="91" t="n"/>
      <c r="K893" s="91" t="n"/>
      <c r="L893" s="91" t="n"/>
      <c r="M893" s="91" t="n"/>
      <c r="N893" s="91" t="n"/>
      <c r="O893" s="91" t="n"/>
      <c r="P893" s="91" t="n"/>
      <c r="Q893" s="91" t="n"/>
      <c r="R893" s="91" t="n"/>
      <c r="S893" s="91" t="n"/>
      <c r="T893" s="91" t="n"/>
      <c r="U893" s="91" t="n"/>
      <c r="V893" s="91" t="n"/>
      <c r="W893" s="91" t="n"/>
      <c r="X893" s="91" t="n"/>
      <c r="Y893" s="91" t="n"/>
      <c r="Z893" s="91" t="n"/>
      <c r="AA893" s="91" t="n"/>
    </row>
    <row r="894" ht="12.75" customHeight="1" s="117">
      <c r="A894" s="91" t="n"/>
      <c r="B894" s="91" t="n"/>
      <c r="C894" s="91" t="n"/>
      <c r="D894" s="91" t="n"/>
      <c r="E894" s="91" t="n"/>
      <c r="F894" s="91" t="n"/>
      <c r="G894" s="91" t="n"/>
      <c r="H894" s="91" t="n"/>
      <c r="I894" s="91" t="n"/>
      <c r="J894" s="91" t="n"/>
      <c r="K894" s="91" t="n"/>
      <c r="L894" s="91" t="n"/>
      <c r="M894" s="91" t="n"/>
      <c r="N894" s="91" t="n"/>
      <c r="O894" s="91" t="n"/>
      <c r="P894" s="91" t="n"/>
      <c r="Q894" s="91" t="n"/>
      <c r="R894" s="91" t="n"/>
      <c r="S894" s="91" t="n"/>
      <c r="T894" s="91" t="n"/>
      <c r="U894" s="91" t="n"/>
      <c r="V894" s="91" t="n"/>
      <c r="W894" s="91" t="n"/>
      <c r="X894" s="91" t="n"/>
      <c r="Y894" s="91" t="n"/>
      <c r="Z894" s="91" t="n"/>
      <c r="AA894" s="91" t="n"/>
    </row>
    <row r="895" ht="12.75" customHeight="1" s="117">
      <c r="A895" s="91" t="n"/>
      <c r="B895" s="91" t="n"/>
      <c r="C895" s="91" t="n"/>
      <c r="D895" s="91" t="n"/>
      <c r="E895" s="91" t="n"/>
      <c r="F895" s="91" t="n"/>
      <c r="G895" s="91" t="n"/>
      <c r="H895" s="91" t="n"/>
      <c r="I895" s="91" t="n"/>
      <c r="J895" s="91" t="n"/>
      <c r="K895" s="91" t="n"/>
      <c r="L895" s="91" t="n"/>
      <c r="M895" s="91" t="n"/>
      <c r="N895" s="91" t="n"/>
      <c r="O895" s="91" t="n"/>
      <c r="P895" s="91" t="n"/>
      <c r="Q895" s="91" t="n"/>
      <c r="R895" s="91" t="n"/>
      <c r="S895" s="91" t="n"/>
      <c r="T895" s="91" t="n"/>
      <c r="U895" s="91" t="n"/>
      <c r="V895" s="91" t="n"/>
      <c r="W895" s="91" t="n"/>
      <c r="X895" s="91" t="n"/>
      <c r="Y895" s="91" t="n"/>
      <c r="Z895" s="91" t="n"/>
      <c r="AA895" s="91" t="n"/>
    </row>
    <row r="896" ht="12.75" customHeight="1" s="117">
      <c r="A896" s="91" t="n"/>
      <c r="B896" s="91" t="n"/>
      <c r="C896" s="91" t="n"/>
      <c r="D896" s="91" t="n"/>
      <c r="E896" s="91" t="n"/>
      <c r="F896" s="91" t="n"/>
      <c r="G896" s="91" t="n"/>
      <c r="H896" s="91" t="n"/>
      <c r="I896" s="91" t="n"/>
      <c r="J896" s="91" t="n"/>
      <c r="K896" s="91" t="n"/>
      <c r="L896" s="91" t="n"/>
      <c r="M896" s="91" t="n"/>
      <c r="N896" s="91" t="n"/>
      <c r="O896" s="91" t="n"/>
      <c r="P896" s="91" t="n"/>
      <c r="Q896" s="91" t="n"/>
      <c r="R896" s="91" t="n"/>
      <c r="S896" s="91" t="n"/>
      <c r="T896" s="91" t="n"/>
      <c r="U896" s="91" t="n"/>
      <c r="V896" s="91" t="n"/>
      <c r="W896" s="91" t="n"/>
      <c r="X896" s="91" t="n"/>
      <c r="Y896" s="91" t="n"/>
      <c r="Z896" s="91" t="n"/>
      <c r="AA896" s="91" t="n"/>
    </row>
    <row r="897" ht="12.75" customHeight="1" s="117">
      <c r="A897" s="91" t="n"/>
      <c r="B897" s="91" t="n"/>
      <c r="C897" s="91" t="n"/>
      <c r="D897" s="91" t="n"/>
      <c r="E897" s="91" t="n"/>
      <c r="F897" s="91" t="n"/>
      <c r="G897" s="91" t="n"/>
      <c r="H897" s="91" t="n"/>
      <c r="I897" s="91" t="n"/>
      <c r="J897" s="91" t="n"/>
      <c r="K897" s="91" t="n"/>
      <c r="L897" s="91" t="n"/>
      <c r="M897" s="91" t="n"/>
      <c r="N897" s="91" t="n"/>
      <c r="O897" s="91" t="n"/>
      <c r="P897" s="91" t="n"/>
      <c r="Q897" s="91" t="n"/>
      <c r="R897" s="91" t="n"/>
      <c r="S897" s="91" t="n"/>
      <c r="T897" s="91" t="n"/>
      <c r="U897" s="91" t="n"/>
      <c r="V897" s="91" t="n"/>
      <c r="W897" s="91" t="n"/>
      <c r="X897" s="91" t="n"/>
      <c r="Y897" s="91" t="n"/>
      <c r="Z897" s="91" t="n"/>
      <c r="AA897" s="91" t="n"/>
    </row>
    <row r="898" ht="12.75" customHeight="1" s="117">
      <c r="A898" s="91" t="n"/>
      <c r="B898" s="91" t="n"/>
      <c r="C898" s="91" t="n"/>
      <c r="D898" s="91" t="n"/>
      <c r="E898" s="91" t="n"/>
      <c r="F898" s="91" t="n"/>
      <c r="G898" s="91" t="n"/>
      <c r="H898" s="91" t="n"/>
      <c r="I898" s="91" t="n"/>
      <c r="J898" s="91" t="n"/>
      <c r="K898" s="91" t="n"/>
      <c r="L898" s="91" t="n"/>
      <c r="M898" s="91" t="n"/>
      <c r="N898" s="91" t="n"/>
      <c r="O898" s="91" t="n"/>
      <c r="P898" s="91" t="n"/>
      <c r="Q898" s="91" t="n"/>
      <c r="R898" s="91" t="n"/>
      <c r="S898" s="91" t="n"/>
      <c r="T898" s="91" t="n"/>
      <c r="U898" s="91" t="n"/>
      <c r="V898" s="91" t="n"/>
      <c r="W898" s="91" t="n"/>
      <c r="X898" s="91" t="n"/>
      <c r="Y898" s="91" t="n"/>
      <c r="Z898" s="91" t="n"/>
      <c r="AA898" s="91" t="n"/>
    </row>
    <row r="899" ht="12.75" customHeight="1" s="117">
      <c r="A899" s="91" t="n"/>
      <c r="B899" s="91" t="n"/>
      <c r="C899" s="91" t="n"/>
      <c r="D899" s="91" t="n"/>
      <c r="E899" s="91" t="n"/>
      <c r="F899" s="91" t="n"/>
      <c r="G899" s="91" t="n"/>
      <c r="H899" s="91" t="n"/>
      <c r="I899" s="91" t="n"/>
      <c r="J899" s="91" t="n"/>
      <c r="K899" s="91" t="n"/>
      <c r="L899" s="91" t="n"/>
      <c r="M899" s="91" t="n"/>
      <c r="N899" s="91" t="n"/>
      <c r="O899" s="91" t="n"/>
      <c r="P899" s="91" t="n"/>
      <c r="Q899" s="91" t="n"/>
      <c r="R899" s="91" t="n"/>
      <c r="S899" s="91" t="n"/>
      <c r="T899" s="91" t="n"/>
      <c r="U899" s="91" t="n"/>
      <c r="V899" s="91" t="n"/>
      <c r="W899" s="91" t="n"/>
      <c r="X899" s="91" t="n"/>
      <c r="Y899" s="91" t="n"/>
      <c r="Z899" s="91" t="n"/>
      <c r="AA899" s="91" t="n"/>
    </row>
    <row r="900" ht="12.75" customHeight="1" s="117">
      <c r="A900" s="91" t="n"/>
      <c r="B900" s="91" t="n"/>
      <c r="C900" s="91" t="n"/>
      <c r="D900" s="91" t="n"/>
      <c r="E900" s="91" t="n"/>
      <c r="F900" s="91" t="n"/>
      <c r="G900" s="91" t="n"/>
      <c r="H900" s="91" t="n"/>
      <c r="I900" s="91" t="n"/>
      <c r="J900" s="91" t="n"/>
      <c r="K900" s="91" t="n"/>
      <c r="L900" s="91" t="n"/>
      <c r="M900" s="91" t="n"/>
      <c r="N900" s="91" t="n"/>
      <c r="O900" s="91" t="n"/>
      <c r="P900" s="91" t="n"/>
      <c r="Q900" s="91" t="n"/>
      <c r="R900" s="91" t="n"/>
      <c r="S900" s="91" t="n"/>
      <c r="T900" s="91" t="n"/>
      <c r="U900" s="91" t="n"/>
      <c r="V900" s="91" t="n"/>
      <c r="W900" s="91" t="n"/>
      <c r="X900" s="91" t="n"/>
      <c r="Y900" s="91" t="n"/>
      <c r="Z900" s="91" t="n"/>
      <c r="AA900" s="91" t="n"/>
    </row>
    <row r="901" ht="12.75" customHeight="1" s="117">
      <c r="A901" s="91" t="n"/>
      <c r="B901" s="91" t="n"/>
      <c r="C901" s="91" t="n"/>
      <c r="D901" s="91" t="n"/>
      <c r="E901" s="91" t="n"/>
      <c r="F901" s="91" t="n"/>
      <c r="G901" s="91" t="n"/>
      <c r="H901" s="91" t="n"/>
      <c r="I901" s="91" t="n"/>
      <c r="J901" s="91" t="n"/>
      <c r="K901" s="91" t="n"/>
      <c r="L901" s="91" t="n"/>
      <c r="M901" s="91" t="n"/>
      <c r="N901" s="91" t="n"/>
      <c r="O901" s="91" t="n"/>
      <c r="P901" s="91" t="n"/>
      <c r="Q901" s="91" t="n"/>
      <c r="R901" s="91" t="n"/>
      <c r="S901" s="91" t="n"/>
      <c r="T901" s="91" t="n"/>
      <c r="U901" s="91" t="n"/>
      <c r="V901" s="91" t="n"/>
      <c r="W901" s="91" t="n"/>
      <c r="X901" s="91" t="n"/>
      <c r="Y901" s="91" t="n"/>
      <c r="Z901" s="91" t="n"/>
      <c r="AA901" s="91" t="n"/>
    </row>
    <row r="902" ht="12.75" customHeight="1" s="117">
      <c r="A902" s="91" t="n"/>
      <c r="B902" s="91" t="n"/>
      <c r="C902" s="91" t="n"/>
      <c r="D902" s="91" t="n"/>
      <c r="E902" s="91" t="n"/>
      <c r="F902" s="91" t="n"/>
      <c r="G902" s="91" t="n"/>
      <c r="H902" s="91" t="n"/>
      <c r="I902" s="91" t="n"/>
      <c r="J902" s="91" t="n"/>
      <c r="K902" s="91" t="n"/>
      <c r="L902" s="91" t="n"/>
      <c r="M902" s="91" t="n"/>
      <c r="N902" s="91" t="n"/>
      <c r="O902" s="91" t="n"/>
      <c r="P902" s="91" t="n"/>
      <c r="Q902" s="91" t="n"/>
      <c r="R902" s="91" t="n"/>
      <c r="S902" s="91" t="n"/>
      <c r="T902" s="91" t="n"/>
      <c r="U902" s="91" t="n"/>
      <c r="V902" s="91" t="n"/>
      <c r="W902" s="91" t="n"/>
      <c r="X902" s="91" t="n"/>
      <c r="Y902" s="91" t="n"/>
      <c r="Z902" s="91" t="n"/>
      <c r="AA902" s="91" t="n"/>
    </row>
    <row r="903" ht="12.75" customHeight="1" s="117">
      <c r="A903" s="91" t="n"/>
      <c r="B903" s="91" t="n"/>
      <c r="C903" s="91" t="n"/>
      <c r="D903" s="91" t="n"/>
      <c r="E903" s="91" t="n"/>
      <c r="F903" s="91" t="n"/>
      <c r="G903" s="91" t="n"/>
      <c r="H903" s="91" t="n"/>
      <c r="I903" s="91" t="n"/>
      <c r="J903" s="91" t="n"/>
      <c r="K903" s="91" t="n"/>
      <c r="L903" s="91" t="n"/>
      <c r="M903" s="91" t="n"/>
      <c r="N903" s="91" t="n"/>
      <c r="O903" s="91" t="n"/>
      <c r="P903" s="91" t="n"/>
      <c r="Q903" s="91" t="n"/>
      <c r="R903" s="91" t="n"/>
      <c r="S903" s="91" t="n"/>
      <c r="T903" s="91" t="n"/>
      <c r="U903" s="91" t="n"/>
      <c r="V903" s="91" t="n"/>
      <c r="W903" s="91" t="n"/>
      <c r="X903" s="91" t="n"/>
      <c r="Y903" s="91" t="n"/>
      <c r="Z903" s="91" t="n"/>
      <c r="AA903" s="91" t="n"/>
    </row>
    <row r="904" ht="12.75" customHeight="1" s="117">
      <c r="A904" s="91" t="n"/>
      <c r="B904" s="91" t="n"/>
      <c r="C904" s="91" t="n"/>
      <c r="D904" s="91" t="n"/>
      <c r="E904" s="91" t="n"/>
      <c r="F904" s="91" t="n"/>
      <c r="G904" s="91" t="n"/>
      <c r="H904" s="91" t="n"/>
      <c r="I904" s="91" t="n"/>
      <c r="J904" s="91" t="n"/>
      <c r="K904" s="91" t="n"/>
      <c r="L904" s="91" t="n"/>
      <c r="M904" s="91" t="n"/>
      <c r="N904" s="91" t="n"/>
      <c r="O904" s="91" t="n"/>
      <c r="P904" s="91" t="n"/>
      <c r="Q904" s="91" t="n"/>
      <c r="R904" s="91" t="n"/>
      <c r="S904" s="91" t="n"/>
      <c r="T904" s="91" t="n"/>
      <c r="U904" s="91" t="n"/>
      <c r="V904" s="91" t="n"/>
      <c r="W904" s="91" t="n"/>
      <c r="X904" s="91" t="n"/>
      <c r="Y904" s="91" t="n"/>
      <c r="Z904" s="91" t="n"/>
      <c r="AA904" s="91" t="n"/>
    </row>
    <row r="905" ht="12.75" customHeight="1" s="117">
      <c r="A905" s="91" t="n"/>
      <c r="B905" s="91" t="n"/>
      <c r="C905" s="91" t="n"/>
      <c r="D905" s="91" t="n"/>
      <c r="E905" s="91" t="n"/>
      <c r="F905" s="91" t="n"/>
      <c r="G905" s="91" t="n"/>
      <c r="H905" s="91" t="n"/>
      <c r="I905" s="91" t="n"/>
      <c r="J905" s="91" t="n"/>
      <c r="K905" s="91" t="n"/>
      <c r="L905" s="91" t="n"/>
      <c r="M905" s="91" t="n"/>
      <c r="N905" s="91" t="n"/>
      <c r="O905" s="91" t="n"/>
      <c r="P905" s="91" t="n"/>
      <c r="Q905" s="91" t="n"/>
      <c r="R905" s="91" t="n"/>
      <c r="S905" s="91" t="n"/>
      <c r="T905" s="91" t="n"/>
      <c r="U905" s="91" t="n"/>
      <c r="V905" s="91" t="n"/>
      <c r="W905" s="91" t="n"/>
      <c r="X905" s="91" t="n"/>
      <c r="Y905" s="91" t="n"/>
      <c r="Z905" s="91" t="n"/>
      <c r="AA905" s="91" t="n"/>
    </row>
    <row r="906" ht="12.75" customHeight="1" s="117">
      <c r="A906" s="91" t="n"/>
      <c r="B906" s="91" t="n"/>
      <c r="C906" s="91" t="n"/>
      <c r="D906" s="91" t="n"/>
      <c r="E906" s="91" t="n"/>
      <c r="F906" s="91" t="n"/>
      <c r="G906" s="91" t="n"/>
      <c r="H906" s="91" t="n"/>
      <c r="I906" s="91" t="n"/>
      <c r="J906" s="91" t="n"/>
      <c r="K906" s="91" t="n"/>
      <c r="L906" s="91" t="n"/>
      <c r="M906" s="91" t="n"/>
      <c r="N906" s="91" t="n"/>
      <c r="O906" s="91" t="n"/>
      <c r="P906" s="91" t="n"/>
      <c r="Q906" s="91" t="n"/>
      <c r="R906" s="91" t="n"/>
      <c r="S906" s="91" t="n"/>
      <c r="T906" s="91" t="n"/>
      <c r="U906" s="91" t="n"/>
      <c r="V906" s="91" t="n"/>
      <c r="W906" s="91" t="n"/>
      <c r="X906" s="91" t="n"/>
      <c r="Y906" s="91" t="n"/>
      <c r="Z906" s="91" t="n"/>
      <c r="AA906" s="91" t="n"/>
    </row>
    <row r="907" ht="12.75" customHeight="1" s="117">
      <c r="A907" s="91" t="n"/>
      <c r="B907" s="91" t="n"/>
      <c r="C907" s="91" t="n"/>
      <c r="D907" s="91" t="n"/>
      <c r="E907" s="91" t="n"/>
      <c r="F907" s="91" t="n"/>
      <c r="G907" s="91" t="n"/>
      <c r="H907" s="91" t="n"/>
      <c r="I907" s="91" t="n"/>
      <c r="J907" s="91" t="n"/>
      <c r="K907" s="91" t="n"/>
      <c r="L907" s="91" t="n"/>
      <c r="M907" s="91" t="n"/>
      <c r="N907" s="91" t="n"/>
      <c r="O907" s="91" t="n"/>
      <c r="P907" s="91" t="n"/>
      <c r="Q907" s="91" t="n"/>
      <c r="R907" s="91" t="n"/>
      <c r="S907" s="91" t="n"/>
      <c r="T907" s="91" t="n"/>
      <c r="U907" s="91" t="n"/>
      <c r="V907" s="91" t="n"/>
      <c r="W907" s="91" t="n"/>
      <c r="X907" s="91" t="n"/>
      <c r="Y907" s="91" t="n"/>
      <c r="Z907" s="91" t="n"/>
      <c r="AA907" s="91" t="n"/>
    </row>
    <row r="908" ht="12.75" customHeight="1" s="117">
      <c r="A908" s="91" t="n"/>
      <c r="B908" s="91" t="n"/>
      <c r="C908" s="91" t="n"/>
      <c r="D908" s="91" t="n"/>
      <c r="E908" s="91" t="n"/>
      <c r="F908" s="91" t="n"/>
      <c r="G908" s="91" t="n"/>
      <c r="H908" s="91" t="n"/>
      <c r="I908" s="91" t="n"/>
      <c r="J908" s="91" t="n"/>
      <c r="K908" s="91" t="n"/>
      <c r="L908" s="91" t="n"/>
      <c r="M908" s="91" t="n"/>
      <c r="N908" s="91" t="n"/>
      <c r="O908" s="91" t="n"/>
      <c r="P908" s="91" t="n"/>
      <c r="Q908" s="91" t="n"/>
      <c r="R908" s="91" t="n"/>
      <c r="S908" s="91" t="n"/>
      <c r="T908" s="91" t="n"/>
      <c r="U908" s="91" t="n"/>
      <c r="V908" s="91" t="n"/>
      <c r="W908" s="91" t="n"/>
      <c r="X908" s="91" t="n"/>
      <c r="Y908" s="91" t="n"/>
      <c r="Z908" s="91" t="n"/>
      <c r="AA908" s="91" t="n"/>
    </row>
    <row r="909" ht="12.75" customHeight="1" s="117">
      <c r="A909" s="91" t="n"/>
      <c r="B909" s="91" t="n"/>
      <c r="C909" s="91" t="n"/>
      <c r="D909" s="91" t="n"/>
      <c r="E909" s="91" t="n"/>
      <c r="F909" s="91" t="n"/>
      <c r="G909" s="91" t="n"/>
      <c r="H909" s="91" t="n"/>
      <c r="I909" s="91" t="n"/>
      <c r="J909" s="91" t="n"/>
      <c r="K909" s="91" t="n"/>
      <c r="L909" s="91" t="n"/>
      <c r="M909" s="91" t="n"/>
      <c r="N909" s="91" t="n"/>
      <c r="O909" s="91" t="n"/>
      <c r="P909" s="91" t="n"/>
      <c r="Q909" s="91" t="n"/>
      <c r="R909" s="91" t="n"/>
      <c r="S909" s="91" t="n"/>
      <c r="T909" s="91" t="n"/>
      <c r="U909" s="91" t="n"/>
      <c r="V909" s="91" t="n"/>
      <c r="W909" s="91" t="n"/>
      <c r="X909" s="91" t="n"/>
      <c r="Y909" s="91" t="n"/>
      <c r="Z909" s="91" t="n"/>
      <c r="AA909" s="91" t="n"/>
    </row>
    <row r="910" ht="12.75" customHeight="1" s="117">
      <c r="A910" s="91" t="n"/>
      <c r="B910" s="91" t="n"/>
      <c r="C910" s="91" t="n"/>
      <c r="D910" s="91" t="n"/>
      <c r="E910" s="91" t="n"/>
      <c r="F910" s="91" t="n"/>
      <c r="G910" s="91" t="n"/>
      <c r="H910" s="91" t="n"/>
      <c r="I910" s="91" t="n"/>
      <c r="J910" s="91" t="n"/>
      <c r="K910" s="91" t="n"/>
      <c r="L910" s="91" t="n"/>
      <c r="M910" s="91" t="n"/>
      <c r="N910" s="91" t="n"/>
      <c r="O910" s="91" t="n"/>
      <c r="P910" s="91" t="n"/>
      <c r="Q910" s="91" t="n"/>
      <c r="R910" s="91" t="n"/>
      <c r="S910" s="91" t="n"/>
      <c r="T910" s="91" t="n"/>
      <c r="U910" s="91" t="n"/>
      <c r="V910" s="91" t="n"/>
      <c r="W910" s="91" t="n"/>
      <c r="X910" s="91" t="n"/>
      <c r="Y910" s="91" t="n"/>
      <c r="Z910" s="91" t="n"/>
      <c r="AA910" s="91" t="n"/>
    </row>
    <row r="911" ht="12.75" customHeight="1" s="117">
      <c r="A911" s="91" t="n"/>
      <c r="B911" s="91" t="n"/>
      <c r="C911" s="91" t="n"/>
      <c r="D911" s="91" t="n"/>
      <c r="E911" s="91" t="n"/>
      <c r="F911" s="91" t="n"/>
      <c r="G911" s="91" t="n"/>
      <c r="H911" s="91" t="n"/>
      <c r="I911" s="91" t="n"/>
      <c r="J911" s="91" t="n"/>
      <c r="K911" s="91" t="n"/>
      <c r="L911" s="91" t="n"/>
      <c r="M911" s="91" t="n"/>
      <c r="N911" s="91" t="n"/>
      <c r="O911" s="91" t="n"/>
      <c r="P911" s="91" t="n"/>
      <c r="Q911" s="91" t="n"/>
      <c r="R911" s="91" t="n"/>
      <c r="S911" s="91" t="n"/>
      <c r="T911" s="91" t="n"/>
      <c r="U911" s="91" t="n"/>
      <c r="V911" s="91" t="n"/>
      <c r="W911" s="91" t="n"/>
      <c r="X911" s="91" t="n"/>
      <c r="Y911" s="91" t="n"/>
      <c r="Z911" s="91" t="n"/>
      <c r="AA911" s="91" t="n"/>
    </row>
    <row r="912" ht="12.75" customHeight="1" s="117">
      <c r="A912" s="91" t="n"/>
      <c r="B912" s="91" t="n"/>
      <c r="C912" s="91" t="n"/>
      <c r="D912" s="91" t="n"/>
      <c r="E912" s="91" t="n"/>
      <c r="F912" s="91" t="n"/>
      <c r="G912" s="91" t="n"/>
      <c r="H912" s="91" t="n"/>
      <c r="I912" s="91" t="n"/>
      <c r="J912" s="91" t="n"/>
      <c r="K912" s="91" t="n"/>
      <c r="L912" s="91" t="n"/>
      <c r="M912" s="91" t="n"/>
      <c r="N912" s="91" t="n"/>
      <c r="O912" s="91" t="n"/>
      <c r="P912" s="91" t="n"/>
      <c r="Q912" s="91" t="n"/>
      <c r="R912" s="91" t="n"/>
      <c r="S912" s="91" t="n"/>
      <c r="T912" s="91" t="n"/>
      <c r="U912" s="91" t="n"/>
      <c r="V912" s="91" t="n"/>
      <c r="W912" s="91" t="n"/>
      <c r="X912" s="91" t="n"/>
      <c r="Y912" s="91" t="n"/>
      <c r="Z912" s="91" t="n"/>
      <c r="AA912" s="91" t="n"/>
    </row>
    <row r="913" ht="12.75" customHeight="1" s="117">
      <c r="A913" s="91" t="n"/>
      <c r="B913" s="91" t="n"/>
      <c r="C913" s="91" t="n"/>
      <c r="D913" s="91" t="n"/>
      <c r="E913" s="91" t="n"/>
      <c r="F913" s="91" t="n"/>
      <c r="G913" s="91" t="n"/>
      <c r="H913" s="91" t="n"/>
      <c r="I913" s="91" t="n"/>
      <c r="J913" s="91" t="n"/>
      <c r="K913" s="91" t="n"/>
      <c r="L913" s="91" t="n"/>
      <c r="M913" s="91" t="n"/>
      <c r="N913" s="91" t="n"/>
      <c r="O913" s="91" t="n"/>
      <c r="P913" s="91" t="n"/>
      <c r="Q913" s="91" t="n"/>
      <c r="R913" s="91" t="n"/>
      <c r="S913" s="91" t="n"/>
      <c r="T913" s="91" t="n"/>
      <c r="U913" s="91" t="n"/>
      <c r="V913" s="91" t="n"/>
      <c r="W913" s="91" t="n"/>
      <c r="X913" s="91" t="n"/>
      <c r="Y913" s="91" t="n"/>
      <c r="Z913" s="91" t="n"/>
      <c r="AA913" s="91" t="n"/>
    </row>
    <row r="914" ht="12.75" customHeight="1" s="117">
      <c r="A914" s="91" t="n"/>
      <c r="B914" s="91" t="n"/>
      <c r="C914" s="91" t="n"/>
      <c r="D914" s="91" t="n"/>
      <c r="E914" s="91" t="n"/>
      <c r="F914" s="91" t="n"/>
      <c r="G914" s="91" t="n"/>
      <c r="H914" s="91" t="n"/>
      <c r="I914" s="91" t="n"/>
      <c r="J914" s="91" t="n"/>
      <c r="K914" s="91" t="n"/>
      <c r="L914" s="91" t="n"/>
      <c r="M914" s="91" t="n"/>
      <c r="N914" s="91" t="n"/>
      <c r="O914" s="91" t="n"/>
      <c r="P914" s="91" t="n"/>
      <c r="Q914" s="91" t="n"/>
      <c r="R914" s="91" t="n"/>
      <c r="S914" s="91" t="n"/>
      <c r="T914" s="91" t="n"/>
      <c r="U914" s="91" t="n"/>
      <c r="V914" s="91" t="n"/>
      <c r="W914" s="91" t="n"/>
      <c r="X914" s="91" t="n"/>
      <c r="Y914" s="91" t="n"/>
      <c r="Z914" s="91" t="n"/>
      <c r="AA914" s="91" t="n"/>
    </row>
    <row r="915" ht="12.75" customHeight="1" s="117">
      <c r="A915" s="91" t="n"/>
      <c r="B915" s="91" t="n"/>
      <c r="C915" s="91" t="n"/>
      <c r="D915" s="91" t="n"/>
      <c r="E915" s="91" t="n"/>
      <c r="F915" s="91" t="n"/>
      <c r="G915" s="91" t="n"/>
      <c r="H915" s="91" t="n"/>
      <c r="I915" s="91" t="n"/>
      <c r="J915" s="91" t="n"/>
      <c r="K915" s="91" t="n"/>
      <c r="L915" s="91" t="n"/>
      <c r="M915" s="91" t="n"/>
      <c r="N915" s="91" t="n"/>
      <c r="O915" s="91" t="n"/>
      <c r="P915" s="91" t="n"/>
      <c r="Q915" s="91" t="n"/>
      <c r="R915" s="91" t="n"/>
      <c r="S915" s="91" t="n"/>
      <c r="T915" s="91" t="n"/>
      <c r="U915" s="91" t="n"/>
      <c r="V915" s="91" t="n"/>
      <c r="W915" s="91" t="n"/>
      <c r="X915" s="91" t="n"/>
      <c r="Y915" s="91" t="n"/>
      <c r="Z915" s="91" t="n"/>
      <c r="AA915" s="91" t="n"/>
    </row>
    <row r="916" ht="12.75" customHeight="1" s="117">
      <c r="A916" s="91" t="n"/>
      <c r="B916" s="91" t="n"/>
      <c r="C916" s="91" t="n"/>
      <c r="D916" s="91" t="n"/>
      <c r="E916" s="91" t="n"/>
      <c r="F916" s="91" t="n"/>
      <c r="G916" s="91" t="n"/>
      <c r="H916" s="91" t="n"/>
      <c r="I916" s="91" t="n"/>
      <c r="J916" s="91" t="n"/>
      <c r="K916" s="91" t="n"/>
      <c r="L916" s="91" t="n"/>
      <c r="M916" s="91" t="n"/>
      <c r="N916" s="91" t="n"/>
      <c r="O916" s="91" t="n"/>
      <c r="P916" s="91" t="n"/>
      <c r="Q916" s="91" t="n"/>
      <c r="R916" s="91" t="n"/>
      <c r="S916" s="91" t="n"/>
      <c r="T916" s="91" t="n"/>
      <c r="U916" s="91" t="n"/>
      <c r="V916" s="91" t="n"/>
      <c r="W916" s="91" t="n"/>
      <c r="X916" s="91" t="n"/>
      <c r="Y916" s="91" t="n"/>
      <c r="Z916" s="91" t="n"/>
      <c r="AA916" s="91" t="n"/>
    </row>
    <row r="917" ht="12.75" customHeight="1" s="117">
      <c r="A917" s="91" t="n"/>
      <c r="B917" s="91" t="n"/>
      <c r="C917" s="91" t="n"/>
      <c r="D917" s="91" t="n"/>
      <c r="E917" s="91" t="n"/>
      <c r="F917" s="91" t="n"/>
      <c r="G917" s="91" t="n"/>
      <c r="H917" s="91" t="n"/>
      <c r="I917" s="91" t="n"/>
      <c r="J917" s="91" t="n"/>
      <c r="K917" s="91" t="n"/>
      <c r="L917" s="91" t="n"/>
      <c r="M917" s="91" t="n"/>
      <c r="N917" s="91" t="n"/>
      <c r="O917" s="91" t="n"/>
      <c r="P917" s="91" t="n"/>
      <c r="Q917" s="91" t="n"/>
      <c r="R917" s="91" t="n"/>
      <c r="S917" s="91" t="n"/>
      <c r="T917" s="91" t="n"/>
      <c r="U917" s="91" t="n"/>
      <c r="V917" s="91" t="n"/>
      <c r="W917" s="91" t="n"/>
      <c r="X917" s="91" t="n"/>
      <c r="Y917" s="91" t="n"/>
      <c r="Z917" s="91" t="n"/>
      <c r="AA917" s="91" t="n"/>
    </row>
    <row r="918" ht="12.75" customHeight="1" s="117">
      <c r="A918" s="91" t="n"/>
      <c r="B918" s="91" t="n"/>
      <c r="C918" s="91" t="n"/>
      <c r="D918" s="91" t="n"/>
      <c r="E918" s="91" t="n"/>
      <c r="F918" s="91" t="n"/>
      <c r="G918" s="91" t="n"/>
      <c r="H918" s="91" t="n"/>
      <c r="I918" s="91" t="n"/>
      <c r="J918" s="91" t="n"/>
      <c r="K918" s="91" t="n"/>
      <c r="L918" s="91" t="n"/>
      <c r="M918" s="91" t="n"/>
      <c r="N918" s="91" t="n"/>
      <c r="O918" s="91" t="n"/>
      <c r="P918" s="91" t="n"/>
      <c r="Q918" s="91" t="n"/>
      <c r="R918" s="91" t="n"/>
      <c r="S918" s="91" t="n"/>
      <c r="T918" s="91" t="n"/>
      <c r="U918" s="91" t="n"/>
      <c r="V918" s="91" t="n"/>
      <c r="W918" s="91" t="n"/>
      <c r="X918" s="91" t="n"/>
      <c r="Y918" s="91" t="n"/>
      <c r="Z918" s="91" t="n"/>
      <c r="AA918" s="91" t="n"/>
    </row>
    <row r="919" ht="12.75" customHeight="1" s="117">
      <c r="A919" s="91" t="n"/>
      <c r="B919" s="91" t="n"/>
      <c r="C919" s="91" t="n"/>
      <c r="D919" s="91" t="n"/>
      <c r="E919" s="91" t="n"/>
      <c r="F919" s="91" t="n"/>
      <c r="G919" s="91" t="n"/>
      <c r="H919" s="91" t="n"/>
      <c r="I919" s="91" t="n"/>
      <c r="J919" s="91" t="n"/>
      <c r="K919" s="91" t="n"/>
      <c r="L919" s="91" t="n"/>
      <c r="M919" s="91" t="n"/>
      <c r="N919" s="91" t="n"/>
      <c r="O919" s="91" t="n"/>
      <c r="P919" s="91" t="n"/>
      <c r="Q919" s="91" t="n"/>
      <c r="R919" s="91" t="n"/>
      <c r="S919" s="91" t="n"/>
      <c r="T919" s="91" t="n"/>
      <c r="U919" s="91" t="n"/>
      <c r="V919" s="91" t="n"/>
      <c r="W919" s="91" t="n"/>
      <c r="X919" s="91" t="n"/>
      <c r="Y919" s="91" t="n"/>
      <c r="Z919" s="91" t="n"/>
      <c r="AA919" s="91" t="n"/>
    </row>
    <row r="920" ht="12.75" customHeight="1" s="117">
      <c r="A920" s="91" t="n"/>
      <c r="B920" s="91" t="n"/>
      <c r="C920" s="91" t="n"/>
      <c r="D920" s="91" t="n"/>
      <c r="E920" s="91" t="n"/>
      <c r="F920" s="91" t="n"/>
      <c r="G920" s="91" t="n"/>
      <c r="H920" s="91" t="n"/>
      <c r="I920" s="91" t="n"/>
      <c r="J920" s="91" t="n"/>
      <c r="K920" s="91" t="n"/>
      <c r="L920" s="91" t="n"/>
      <c r="M920" s="91" t="n"/>
      <c r="N920" s="91" t="n"/>
      <c r="O920" s="91" t="n"/>
      <c r="P920" s="91" t="n"/>
      <c r="Q920" s="91" t="n"/>
      <c r="R920" s="91" t="n"/>
      <c r="S920" s="91" t="n"/>
      <c r="T920" s="91" t="n"/>
      <c r="U920" s="91" t="n"/>
      <c r="V920" s="91" t="n"/>
      <c r="W920" s="91" t="n"/>
      <c r="X920" s="91" t="n"/>
      <c r="Y920" s="91" t="n"/>
      <c r="Z920" s="91" t="n"/>
      <c r="AA920" s="91" t="n"/>
    </row>
    <row r="921" ht="12.75" customHeight="1" s="117">
      <c r="A921" s="91" t="n"/>
      <c r="B921" s="91" t="n"/>
      <c r="C921" s="91" t="n"/>
      <c r="D921" s="91" t="n"/>
      <c r="E921" s="91" t="n"/>
      <c r="F921" s="91" t="n"/>
      <c r="G921" s="91" t="n"/>
      <c r="H921" s="91" t="n"/>
      <c r="I921" s="91" t="n"/>
      <c r="J921" s="91" t="n"/>
      <c r="K921" s="91" t="n"/>
      <c r="L921" s="91" t="n"/>
      <c r="M921" s="91" t="n"/>
      <c r="N921" s="91" t="n"/>
      <c r="O921" s="91" t="n"/>
      <c r="P921" s="91" t="n"/>
      <c r="Q921" s="91" t="n"/>
      <c r="R921" s="91" t="n"/>
      <c r="S921" s="91" t="n"/>
      <c r="T921" s="91" t="n"/>
      <c r="U921" s="91" t="n"/>
      <c r="V921" s="91" t="n"/>
      <c r="W921" s="91" t="n"/>
      <c r="X921" s="91" t="n"/>
      <c r="Y921" s="91" t="n"/>
      <c r="Z921" s="91" t="n"/>
      <c r="AA921" s="91" t="n"/>
    </row>
    <row r="922" ht="12.75" customHeight="1" s="117">
      <c r="A922" s="91" t="n"/>
      <c r="B922" s="91" t="n"/>
      <c r="C922" s="91" t="n"/>
      <c r="D922" s="91" t="n"/>
      <c r="E922" s="91" t="n"/>
      <c r="F922" s="91" t="n"/>
      <c r="G922" s="91" t="n"/>
      <c r="H922" s="91" t="n"/>
      <c r="I922" s="91" t="n"/>
      <c r="J922" s="91" t="n"/>
      <c r="K922" s="91" t="n"/>
      <c r="L922" s="91" t="n"/>
      <c r="M922" s="91" t="n"/>
      <c r="N922" s="91" t="n"/>
      <c r="O922" s="91" t="n"/>
      <c r="P922" s="91" t="n"/>
      <c r="Q922" s="91" t="n"/>
      <c r="R922" s="91" t="n"/>
      <c r="S922" s="91" t="n"/>
      <c r="T922" s="91" t="n"/>
      <c r="U922" s="91" t="n"/>
      <c r="V922" s="91" t="n"/>
      <c r="W922" s="91" t="n"/>
      <c r="X922" s="91" t="n"/>
      <c r="Y922" s="91" t="n"/>
      <c r="Z922" s="91" t="n"/>
      <c r="AA922" s="91" t="n"/>
    </row>
    <row r="923" ht="12.75" customHeight="1" s="117">
      <c r="A923" s="91" t="n"/>
      <c r="B923" s="91" t="n"/>
      <c r="C923" s="91" t="n"/>
      <c r="D923" s="91" t="n"/>
      <c r="E923" s="91" t="n"/>
      <c r="F923" s="91" t="n"/>
      <c r="G923" s="91" t="n"/>
      <c r="H923" s="91" t="n"/>
      <c r="I923" s="91" t="n"/>
      <c r="J923" s="91" t="n"/>
      <c r="K923" s="91" t="n"/>
      <c r="L923" s="91" t="n"/>
      <c r="M923" s="91" t="n"/>
      <c r="N923" s="91" t="n"/>
      <c r="O923" s="91" t="n"/>
      <c r="P923" s="91" t="n"/>
      <c r="Q923" s="91" t="n"/>
      <c r="R923" s="91" t="n"/>
      <c r="S923" s="91" t="n"/>
      <c r="T923" s="91" t="n"/>
      <c r="U923" s="91" t="n"/>
      <c r="V923" s="91" t="n"/>
      <c r="W923" s="91" t="n"/>
      <c r="X923" s="91" t="n"/>
      <c r="Y923" s="91" t="n"/>
      <c r="Z923" s="91" t="n"/>
      <c r="AA923" s="91" t="n"/>
    </row>
    <row r="924" ht="12.75" customHeight="1" s="117">
      <c r="A924" s="91" t="n"/>
      <c r="B924" s="91" t="n"/>
      <c r="C924" s="91" t="n"/>
      <c r="D924" s="91" t="n"/>
      <c r="E924" s="91" t="n"/>
      <c r="F924" s="91" t="n"/>
      <c r="G924" s="91" t="n"/>
      <c r="H924" s="91" t="n"/>
      <c r="I924" s="91" t="n"/>
      <c r="J924" s="91" t="n"/>
      <c r="K924" s="91" t="n"/>
      <c r="L924" s="91" t="n"/>
      <c r="M924" s="91" t="n"/>
      <c r="N924" s="91" t="n"/>
      <c r="O924" s="91" t="n"/>
      <c r="P924" s="91" t="n"/>
      <c r="Q924" s="91" t="n"/>
      <c r="R924" s="91" t="n"/>
      <c r="S924" s="91" t="n"/>
      <c r="T924" s="91" t="n"/>
      <c r="U924" s="91" t="n"/>
      <c r="V924" s="91" t="n"/>
      <c r="W924" s="91" t="n"/>
      <c r="X924" s="91" t="n"/>
      <c r="Y924" s="91" t="n"/>
      <c r="Z924" s="91" t="n"/>
      <c r="AA924" s="91" t="n"/>
    </row>
    <row r="925" ht="12.75" customHeight="1" s="117">
      <c r="A925" s="91" t="n"/>
      <c r="B925" s="91" t="n"/>
      <c r="C925" s="91" t="n"/>
      <c r="D925" s="91" t="n"/>
      <c r="E925" s="91" t="n"/>
      <c r="F925" s="91" t="n"/>
      <c r="G925" s="91" t="n"/>
      <c r="H925" s="91" t="n"/>
      <c r="I925" s="91" t="n"/>
      <c r="J925" s="91" t="n"/>
      <c r="K925" s="91" t="n"/>
      <c r="L925" s="91" t="n"/>
      <c r="M925" s="91" t="n"/>
      <c r="N925" s="91" t="n"/>
      <c r="O925" s="91" t="n"/>
      <c r="P925" s="91" t="n"/>
      <c r="Q925" s="91" t="n"/>
      <c r="R925" s="91" t="n"/>
      <c r="S925" s="91" t="n"/>
      <c r="T925" s="91" t="n"/>
      <c r="U925" s="91" t="n"/>
      <c r="V925" s="91" t="n"/>
      <c r="W925" s="91" t="n"/>
      <c r="X925" s="91" t="n"/>
      <c r="Y925" s="91" t="n"/>
      <c r="Z925" s="91" t="n"/>
      <c r="AA925" s="91" t="n"/>
    </row>
    <row r="926" ht="12.75" customHeight="1" s="117">
      <c r="A926" s="91" t="n"/>
      <c r="B926" s="91" t="n"/>
      <c r="C926" s="91" t="n"/>
      <c r="D926" s="91" t="n"/>
      <c r="E926" s="91" t="n"/>
      <c r="F926" s="91" t="n"/>
      <c r="G926" s="91" t="n"/>
      <c r="H926" s="91" t="n"/>
      <c r="I926" s="91" t="n"/>
      <c r="J926" s="91" t="n"/>
      <c r="K926" s="91" t="n"/>
      <c r="L926" s="91" t="n"/>
      <c r="M926" s="91" t="n"/>
      <c r="N926" s="91" t="n"/>
      <c r="O926" s="91" t="n"/>
      <c r="P926" s="91" t="n"/>
      <c r="Q926" s="91" t="n"/>
      <c r="R926" s="91" t="n"/>
      <c r="S926" s="91" t="n"/>
      <c r="T926" s="91" t="n"/>
      <c r="U926" s="91" t="n"/>
      <c r="V926" s="91" t="n"/>
      <c r="W926" s="91" t="n"/>
      <c r="X926" s="91" t="n"/>
      <c r="Y926" s="91" t="n"/>
      <c r="Z926" s="91" t="n"/>
      <c r="AA926" s="91" t="n"/>
    </row>
    <row r="927" ht="12.75" customHeight="1" s="117">
      <c r="A927" s="91" t="n"/>
      <c r="B927" s="91" t="n"/>
      <c r="C927" s="91" t="n"/>
      <c r="D927" s="91" t="n"/>
      <c r="E927" s="91" t="n"/>
      <c r="F927" s="91" t="n"/>
      <c r="G927" s="91" t="n"/>
      <c r="H927" s="91" t="n"/>
      <c r="I927" s="91" t="n"/>
      <c r="J927" s="91" t="n"/>
      <c r="K927" s="91" t="n"/>
      <c r="L927" s="91" t="n"/>
      <c r="M927" s="91" t="n"/>
      <c r="N927" s="91" t="n"/>
      <c r="O927" s="91" t="n"/>
      <c r="P927" s="91" t="n"/>
      <c r="Q927" s="91" t="n"/>
      <c r="R927" s="91" t="n"/>
      <c r="S927" s="91" t="n"/>
      <c r="T927" s="91" t="n"/>
      <c r="U927" s="91" t="n"/>
      <c r="V927" s="91" t="n"/>
      <c r="W927" s="91" t="n"/>
      <c r="X927" s="91" t="n"/>
      <c r="Y927" s="91" t="n"/>
      <c r="Z927" s="91" t="n"/>
      <c r="AA927" s="91" t="n"/>
    </row>
    <row r="928" ht="12.75" customHeight="1" s="117">
      <c r="A928" s="91" t="n"/>
      <c r="B928" s="91" t="n"/>
      <c r="C928" s="91" t="n"/>
      <c r="D928" s="91" t="n"/>
      <c r="E928" s="91" t="n"/>
      <c r="F928" s="91" t="n"/>
      <c r="G928" s="91" t="n"/>
      <c r="H928" s="91" t="n"/>
      <c r="I928" s="91" t="n"/>
      <c r="J928" s="91" t="n"/>
      <c r="K928" s="91" t="n"/>
      <c r="L928" s="91" t="n"/>
      <c r="M928" s="91" t="n"/>
      <c r="N928" s="91" t="n"/>
      <c r="O928" s="91" t="n"/>
      <c r="P928" s="91" t="n"/>
      <c r="Q928" s="91" t="n"/>
      <c r="R928" s="91" t="n"/>
      <c r="S928" s="91" t="n"/>
      <c r="T928" s="91" t="n"/>
      <c r="U928" s="91" t="n"/>
      <c r="V928" s="91" t="n"/>
      <c r="W928" s="91" t="n"/>
      <c r="X928" s="91" t="n"/>
      <c r="Y928" s="91" t="n"/>
      <c r="Z928" s="91" t="n"/>
      <c r="AA928" s="91" t="n"/>
    </row>
    <row r="929" ht="12.75" customHeight="1" s="117">
      <c r="A929" s="91" t="n"/>
      <c r="B929" s="91" t="n"/>
      <c r="C929" s="91" t="n"/>
      <c r="D929" s="91" t="n"/>
      <c r="E929" s="91" t="n"/>
      <c r="F929" s="91" t="n"/>
      <c r="G929" s="91" t="n"/>
      <c r="H929" s="91" t="n"/>
      <c r="I929" s="91" t="n"/>
      <c r="J929" s="91" t="n"/>
      <c r="K929" s="91" t="n"/>
      <c r="L929" s="91" t="n"/>
      <c r="M929" s="91" t="n"/>
      <c r="N929" s="91" t="n"/>
      <c r="O929" s="91" t="n"/>
      <c r="P929" s="91" t="n"/>
      <c r="Q929" s="91" t="n"/>
      <c r="R929" s="91" t="n"/>
      <c r="S929" s="91" t="n"/>
      <c r="T929" s="91" t="n"/>
      <c r="U929" s="91" t="n"/>
      <c r="V929" s="91" t="n"/>
      <c r="W929" s="91" t="n"/>
      <c r="X929" s="91" t="n"/>
      <c r="Y929" s="91" t="n"/>
      <c r="Z929" s="91" t="n"/>
      <c r="AA929" s="91" t="n"/>
    </row>
    <row r="930" ht="12.75" customHeight="1" s="117">
      <c r="A930" s="91" t="n"/>
      <c r="B930" s="91" t="n"/>
      <c r="C930" s="91" t="n"/>
      <c r="D930" s="91" t="n"/>
      <c r="E930" s="91" t="n"/>
      <c r="F930" s="91" t="n"/>
      <c r="G930" s="91" t="n"/>
      <c r="H930" s="91" t="n"/>
      <c r="I930" s="91" t="n"/>
      <c r="J930" s="91" t="n"/>
      <c r="K930" s="91" t="n"/>
      <c r="L930" s="91" t="n"/>
      <c r="M930" s="91" t="n"/>
      <c r="N930" s="91" t="n"/>
      <c r="O930" s="91" t="n"/>
      <c r="P930" s="91" t="n"/>
      <c r="Q930" s="91" t="n"/>
      <c r="R930" s="91" t="n"/>
      <c r="S930" s="91" t="n"/>
      <c r="T930" s="91" t="n"/>
      <c r="U930" s="91" t="n"/>
      <c r="V930" s="91" t="n"/>
      <c r="W930" s="91" t="n"/>
      <c r="X930" s="91" t="n"/>
      <c r="Y930" s="91" t="n"/>
      <c r="Z930" s="91" t="n"/>
      <c r="AA930" s="91" t="n"/>
    </row>
    <row r="931" ht="12.75" customHeight="1" s="117">
      <c r="A931" s="91" t="n"/>
      <c r="B931" s="91" t="n"/>
      <c r="C931" s="91" t="n"/>
      <c r="D931" s="91" t="n"/>
      <c r="E931" s="91" t="n"/>
      <c r="F931" s="91" t="n"/>
      <c r="G931" s="91" t="n"/>
      <c r="H931" s="91" t="n"/>
      <c r="I931" s="91" t="n"/>
      <c r="J931" s="91" t="n"/>
      <c r="K931" s="91" t="n"/>
      <c r="L931" s="91" t="n"/>
      <c r="M931" s="91" t="n"/>
      <c r="N931" s="91" t="n"/>
      <c r="O931" s="91" t="n"/>
      <c r="P931" s="91" t="n"/>
      <c r="Q931" s="91" t="n"/>
      <c r="R931" s="91" t="n"/>
      <c r="S931" s="91" t="n"/>
      <c r="T931" s="91" t="n"/>
      <c r="U931" s="91" t="n"/>
      <c r="V931" s="91" t="n"/>
      <c r="W931" s="91" t="n"/>
      <c r="X931" s="91" t="n"/>
      <c r="Y931" s="91" t="n"/>
      <c r="Z931" s="91" t="n"/>
      <c r="AA931" s="91" t="n"/>
    </row>
    <row r="932" ht="12.75" customHeight="1" s="117">
      <c r="A932" s="91" t="n"/>
      <c r="B932" s="91" t="n"/>
      <c r="C932" s="91" t="n"/>
      <c r="D932" s="91" t="n"/>
      <c r="E932" s="91" t="n"/>
      <c r="F932" s="91" t="n"/>
      <c r="G932" s="91" t="n"/>
      <c r="H932" s="91" t="n"/>
      <c r="I932" s="91" t="n"/>
      <c r="J932" s="91" t="n"/>
      <c r="K932" s="91" t="n"/>
      <c r="L932" s="91" t="n"/>
      <c r="M932" s="91" t="n"/>
      <c r="N932" s="91" t="n"/>
      <c r="O932" s="91" t="n"/>
      <c r="P932" s="91" t="n"/>
      <c r="Q932" s="91" t="n"/>
      <c r="R932" s="91" t="n"/>
      <c r="S932" s="91" t="n"/>
      <c r="T932" s="91" t="n"/>
      <c r="U932" s="91" t="n"/>
      <c r="V932" s="91" t="n"/>
      <c r="W932" s="91" t="n"/>
      <c r="X932" s="91" t="n"/>
      <c r="Y932" s="91" t="n"/>
      <c r="Z932" s="91" t="n"/>
      <c r="AA932" s="91" t="n"/>
    </row>
    <row r="933" ht="12.75" customHeight="1" s="117">
      <c r="A933" s="91" t="n"/>
      <c r="B933" s="91" t="n"/>
      <c r="C933" s="91" t="n"/>
      <c r="D933" s="91" t="n"/>
      <c r="E933" s="91" t="n"/>
      <c r="F933" s="91" t="n"/>
      <c r="G933" s="91" t="n"/>
      <c r="H933" s="91" t="n"/>
      <c r="I933" s="91" t="n"/>
      <c r="J933" s="91" t="n"/>
      <c r="K933" s="91" t="n"/>
      <c r="L933" s="91" t="n"/>
      <c r="M933" s="91" t="n"/>
      <c r="N933" s="91" t="n"/>
      <c r="O933" s="91" t="n"/>
      <c r="P933" s="91" t="n"/>
      <c r="Q933" s="91" t="n"/>
      <c r="R933" s="91" t="n"/>
      <c r="S933" s="91" t="n"/>
      <c r="T933" s="91" t="n"/>
      <c r="U933" s="91" t="n"/>
      <c r="V933" s="91" t="n"/>
      <c r="W933" s="91" t="n"/>
      <c r="X933" s="91" t="n"/>
      <c r="Y933" s="91" t="n"/>
      <c r="Z933" s="91" t="n"/>
      <c r="AA933" s="91" t="n"/>
    </row>
    <row r="934" ht="12.75" customHeight="1" s="117">
      <c r="A934" s="91" t="n"/>
      <c r="B934" s="91" t="n"/>
      <c r="C934" s="91" t="n"/>
      <c r="D934" s="91" t="n"/>
      <c r="E934" s="91" t="n"/>
      <c r="F934" s="91" t="n"/>
      <c r="G934" s="91" t="n"/>
      <c r="H934" s="91" t="n"/>
      <c r="I934" s="91" t="n"/>
      <c r="J934" s="91" t="n"/>
      <c r="K934" s="91" t="n"/>
      <c r="L934" s="91" t="n"/>
      <c r="M934" s="91" t="n"/>
      <c r="N934" s="91" t="n"/>
      <c r="O934" s="91" t="n"/>
      <c r="P934" s="91" t="n"/>
      <c r="Q934" s="91" t="n"/>
      <c r="R934" s="91" t="n"/>
      <c r="S934" s="91" t="n"/>
      <c r="T934" s="91" t="n"/>
      <c r="U934" s="91" t="n"/>
      <c r="V934" s="91" t="n"/>
      <c r="W934" s="91" t="n"/>
      <c r="X934" s="91" t="n"/>
      <c r="Y934" s="91" t="n"/>
      <c r="Z934" s="91" t="n"/>
      <c r="AA934" s="91" t="n"/>
    </row>
    <row r="935" ht="12.75" customHeight="1" s="117">
      <c r="A935" s="91" t="n"/>
      <c r="B935" s="91" t="n"/>
      <c r="C935" s="91" t="n"/>
      <c r="D935" s="91" t="n"/>
      <c r="E935" s="91" t="n"/>
      <c r="F935" s="91" t="n"/>
      <c r="G935" s="91" t="n"/>
      <c r="H935" s="91" t="n"/>
      <c r="I935" s="91" t="n"/>
      <c r="J935" s="91" t="n"/>
      <c r="K935" s="91" t="n"/>
      <c r="L935" s="91" t="n"/>
      <c r="M935" s="91" t="n"/>
      <c r="N935" s="91" t="n"/>
      <c r="O935" s="91" t="n"/>
      <c r="P935" s="91" t="n"/>
      <c r="Q935" s="91" t="n"/>
      <c r="R935" s="91" t="n"/>
      <c r="S935" s="91" t="n"/>
      <c r="T935" s="91" t="n"/>
      <c r="U935" s="91" t="n"/>
      <c r="V935" s="91" t="n"/>
      <c r="W935" s="91" t="n"/>
      <c r="X935" s="91" t="n"/>
      <c r="Y935" s="91" t="n"/>
      <c r="Z935" s="91" t="n"/>
      <c r="AA935" s="91" t="n"/>
    </row>
    <row r="936" ht="12.75" customHeight="1" s="117">
      <c r="A936" s="91" t="n"/>
      <c r="B936" s="91" t="n"/>
      <c r="C936" s="91" t="n"/>
      <c r="D936" s="91" t="n"/>
      <c r="E936" s="91" t="n"/>
      <c r="F936" s="91" t="n"/>
      <c r="G936" s="91" t="n"/>
      <c r="H936" s="91" t="n"/>
      <c r="I936" s="91" t="n"/>
      <c r="J936" s="91" t="n"/>
      <c r="K936" s="91" t="n"/>
      <c r="L936" s="91" t="n"/>
      <c r="M936" s="91" t="n"/>
      <c r="N936" s="91" t="n"/>
      <c r="O936" s="91" t="n"/>
      <c r="P936" s="91" t="n"/>
      <c r="Q936" s="91" t="n"/>
      <c r="R936" s="91" t="n"/>
      <c r="S936" s="91" t="n"/>
      <c r="T936" s="91" t="n"/>
      <c r="U936" s="91" t="n"/>
      <c r="V936" s="91" t="n"/>
      <c r="W936" s="91" t="n"/>
      <c r="X936" s="91" t="n"/>
      <c r="Y936" s="91" t="n"/>
      <c r="Z936" s="91" t="n"/>
      <c r="AA936" s="91" t="n"/>
    </row>
    <row r="937" ht="12.75" customHeight="1" s="117">
      <c r="A937" s="91" t="n"/>
      <c r="B937" s="91" t="n"/>
      <c r="C937" s="91" t="n"/>
      <c r="D937" s="91" t="n"/>
      <c r="E937" s="91" t="n"/>
      <c r="F937" s="91" t="n"/>
      <c r="G937" s="91" t="n"/>
      <c r="H937" s="91" t="n"/>
      <c r="I937" s="91" t="n"/>
      <c r="J937" s="91" t="n"/>
      <c r="K937" s="91" t="n"/>
      <c r="L937" s="91" t="n"/>
      <c r="M937" s="91" t="n"/>
      <c r="N937" s="91" t="n"/>
      <c r="O937" s="91" t="n"/>
      <c r="P937" s="91" t="n"/>
      <c r="Q937" s="91" t="n"/>
      <c r="R937" s="91" t="n"/>
      <c r="S937" s="91" t="n"/>
      <c r="T937" s="91" t="n"/>
      <c r="U937" s="91" t="n"/>
      <c r="V937" s="91" t="n"/>
      <c r="W937" s="91" t="n"/>
      <c r="X937" s="91" t="n"/>
      <c r="Y937" s="91" t="n"/>
      <c r="Z937" s="91" t="n"/>
      <c r="AA937" s="91" t="n"/>
    </row>
    <row r="938" ht="12.75" customHeight="1" s="117">
      <c r="A938" s="91" t="n"/>
      <c r="B938" s="91" t="n"/>
      <c r="C938" s="91" t="n"/>
      <c r="D938" s="91" t="n"/>
      <c r="E938" s="91" t="n"/>
      <c r="F938" s="91" t="n"/>
      <c r="G938" s="91" t="n"/>
      <c r="H938" s="91" t="n"/>
      <c r="I938" s="91" t="n"/>
      <c r="J938" s="91" t="n"/>
      <c r="K938" s="91" t="n"/>
      <c r="L938" s="91" t="n"/>
      <c r="M938" s="91" t="n"/>
      <c r="N938" s="91" t="n"/>
      <c r="O938" s="91" t="n"/>
      <c r="P938" s="91" t="n"/>
      <c r="Q938" s="91" t="n"/>
      <c r="R938" s="91" t="n"/>
      <c r="S938" s="91" t="n"/>
      <c r="T938" s="91" t="n"/>
      <c r="U938" s="91" t="n"/>
      <c r="V938" s="91" t="n"/>
      <c r="W938" s="91" t="n"/>
      <c r="X938" s="91" t="n"/>
      <c r="Y938" s="91" t="n"/>
      <c r="Z938" s="91" t="n"/>
      <c r="AA938" s="91" t="n"/>
    </row>
    <row r="939" ht="12.75" customHeight="1" s="117">
      <c r="A939" s="91" t="n"/>
      <c r="B939" s="91" t="n"/>
      <c r="C939" s="91" t="n"/>
      <c r="D939" s="91" t="n"/>
      <c r="E939" s="91" t="n"/>
      <c r="F939" s="91" t="n"/>
      <c r="G939" s="91" t="n"/>
      <c r="H939" s="91" t="n"/>
      <c r="I939" s="91" t="n"/>
      <c r="J939" s="91" t="n"/>
      <c r="K939" s="91" t="n"/>
      <c r="L939" s="91" t="n"/>
      <c r="M939" s="91" t="n"/>
      <c r="N939" s="91" t="n"/>
      <c r="O939" s="91" t="n"/>
      <c r="P939" s="91" t="n"/>
      <c r="Q939" s="91" t="n"/>
      <c r="R939" s="91" t="n"/>
      <c r="S939" s="91" t="n"/>
      <c r="T939" s="91" t="n"/>
      <c r="U939" s="91" t="n"/>
      <c r="V939" s="91" t="n"/>
      <c r="W939" s="91" t="n"/>
      <c r="X939" s="91" t="n"/>
      <c r="Y939" s="91" t="n"/>
      <c r="Z939" s="91" t="n"/>
      <c r="AA939" s="91" t="n"/>
    </row>
    <row r="940" ht="12.75" customHeight="1" s="117">
      <c r="A940" s="91" t="n"/>
      <c r="B940" s="91" t="n"/>
      <c r="C940" s="91" t="n"/>
      <c r="D940" s="91" t="n"/>
      <c r="E940" s="91" t="n"/>
      <c r="F940" s="91" t="n"/>
      <c r="G940" s="91" t="n"/>
      <c r="H940" s="91" t="n"/>
      <c r="I940" s="91" t="n"/>
      <c r="J940" s="91" t="n"/>
      <c r="K940" s="91" t="n"/>
      <c r="L940" s="91" t="n"/>
      <c r="M940" s="91" t="n"/>
      <c r="N940" s="91" t="n"/>
      <c r="O940" s="91" t="n"/>
      <c r="P940" s="91" t="n"/>
      <c r="Q940" s="91" t="n"/>
      <c r="R940" s="91" t="n"/>
      <c r="S940" s="91" t="n"/>
      <c r="T940" s="91" t="n"/>
      <c r="U940" s="91" t="n"/>
      <c r="V940" s="91" t="n"/>
      <c r="W940" s="91" t="n"/>
      <c r="X940" s="91" t="n"/>
      <c r="Y940" s="91" t="n"/>
      <c r="Z940" s="91" t="n"/>
      <c r="AA940" s="91" t="n"/>
    </row>
    <row r="941" ht="12.75" customHeight="1" s="117">
      <c r="A941" s="91" t="n"/>
      <c r="B941" s="91" t="n"/>
      <c r="C941" s="91" t="n"/>
      <c r="D941" s="91" t="n"/>
      <c r="E941" s="91" t="n"/>
      <c r="F941" s="91" t="n"/>
      <c r="G941" s="91" t="n"/>
      <c r="H941" s="91" t="n"/>
      <c r="I941" s="91" t="n"/>
      <c r="J941" s="91" t="n"/>
      <c r="K941" s="91" t="n"/>
      <c r="L941" s="91" t="n"/>
      <c r="M941" s="91" t="n"/>
      <c r="N941" s="91" t="n"/>
      <c r="O941" s="91" t="n"/>
      <c r="P941" s="91" t="n"/>
      <c r="Q941" s="91" t="n"/>
      <c r="R941" s="91" t="n"/>
      <c r="S941" s="91" t="n"/>
      <c r="T941" s="91" t="n"/>
      <c r="U941" s="91" t="n"/>
      <c r="V941" s="91" t="n"/>
      <c r="W941" s="91" t="n"/>
      <c r="X941" s="91" t="n"/>
      <c r="Y941" s="91" t="n"/>
      <c r="Z941" s="91" t="n"/>
      <c r="AA941" s="91" t="n"/>
    </row>
    <row r="942" ht="12.75" customHeight="1" s="117">
      <c r="A942" s="91" t="n"/>
      <c r="B942" s="91" t="n"/>
      <c r="C942" s="91" t="n"/>
      <c r="D942" s="91" t="n"/>
      <c r="E942" s="91" t="n"/>
      <c r="F942" s="91" t="n"/>
      <c r="G942" s="91" t="n"/>
      <c r="H942" s="91" t="n"/>
      <c r="I942" s="91" t="n"/>
      <c r="J942" s="91" t="n"/>
      <c r="K942" s="91" t="n"/>
      <c r="L942" s="91" t="n"/>
      <c r="M942" s="91" t="n"/>
      <c r="N942" s="91" t="n"/>
      <c r="O942" s="91" t="n"/>
      <c r="P942" s="91" t="n"/>
      <c r="Q942" s="91" t="n"/>
      <c r="R942" s="91" t="n"/>
      <c r="S942" s="91" t="n"/>
      <c r="T942" s="91" t="n"/>
      <c r="U942" s="91" t="n"/>
      <c r="V942" s="91" t="n"/>
      <c r="W942" s="91" t="n"/>
      <c r="X942" s="91" t="n"/>
      <c r="Y942" s="91" t="n"/>
      <c r="Z942" s="91" t="n"/>
      <c r="AA942" s="91" t="n"/>
    </row>
    <row r="943" ht="12.75" customHeight="1" s="117">
      <c r="A943" s="91" t="n"/>
      <c r="B943" s="91" t="n"/>
      <c r="C943" s="91" t="n"/>
      <c r="D943" s="91" t="n"/>
      <c r="E943" s="91" t="n"/>
      <c r="F943" s="91" t="n"/>
      <c r="G943" s="91" t="n"/>
      <c r="H943" s="91" t="n"/>
      <c r="I943" s="91" t="n"/>
      <c r="J943" s="91" t="n"/>
      <c r="K943" s="91" t="n"/>
      <c r="L943" s="91" t="n"/>
      <c r="M943" s="91" t="n"/>
      <c r="N943" s="91" t="n"/>
      <c r="O943" s="91" t="n"/>
      <c r="P943" s="91" t="n"/>
      <c r="Q943" s="91" t="n"/>
      <c r="R943" s="91" t="n"/>
      <c r="S943" s="91" t="n"/>
      <c r="T943" s="91" t="n"/>
      <c r="U943" s="91" t="n"/>
      <c r="V943" s="91" t="n"/>
      <c r="W943" s="91" t="n"/>
      <c r="X943" s="91" t="n"/>
      <c r="Y943" s="91" t="n"/>
      <c r="Z943" s="91" t="n"/>
      <c r="AA943" s="91" t="n"/>
    </row>
    <row r="944" ht="12.75" customHeight="1" s="117">
      <c r="A944" s="91" t="n"/>
      <c r="B944" s="91" t="n"/>
      <c r="C944" s="91" t="n"/>
      <c r="D944" s="91" t="n"/>
      <c r="E944" s="91" t="n"/>
      <c r="F944" s="91" t="n"/>
      <c r="G944" s="91" t="n"/>
      <c r="H944" s="91" t="n"/>
      <c r="I944" s="91" t="n"/>
      <c r="J944" s="91" t="n"/>
      <c r="K944" s="91" t="n"/>
      <c r="L944" s="91" t="n"/>
      <c r="M944" s="91" t="n"/>
      <c r="N944" s="91" t="n"/>
      <c r="O944" s="91" t="n"/>
      <c r="P944" s="91" t="n"/>
      <c r="Q944" s="91" t="n"/>
      <c r="R944" s="91" t="n"/>
      <c r="S944" s="91" t="n"/>
      <c r="T944" s="91" t="n"/>
      <c r="U944" s="91" t="n"/>
      <c r="V944" s="91" t="n"/>
      <c r="W944" s="91" t="n"/>
      <c r="X944" s="91" t="n"/>
      <c r="Y944" s="91" t="n"/>
      <c r="Z944" s="91" t="n"/>
      <c r="AA944" s="91" t="n"/>
    </row>
    <row r="945" ht="12.75" customHeight="1" s="117">
      <c r="A945" s="91" t="n"/>
      <c r="B945" s="91" t="n"/>
      <c r="C945" s="91" t="n"/>
      <c r="D945" s="91" t="n"/>
      <c r="E945" s="91" t="n"/>
      <c r="F945" s="91" t="n"/>
      <c r="G945" s="91" t="n"/>
      <c r="H945" s="91" t="n"/>
      <c r="I945" s="91" t="n"/>
      <c r="J945" s="91" t="n"/>
      <c r="K945" s="91" t="n"/>
      <c r="L945" s="91" t="n"/>
      <c r="M945" s="91" t="n"/>
      <c r="N945" s="91" t="n"/>
      <c r="O945" s="91" t="n"/>
      <c r="P945" s="91" t="n"/>
      <c r="Q945" s="91" t="n"/>
      <c r="R945" s="91" t="n"/>
      <c r="S945" s="91" t="n"/>
      <c r="T945" s="91" t="n"/>
      <c r="U945" s="91" t="n"/>
      <c r="V945" s="91" t="n"/>
      <c r="W945" s="91" t="n"/>
      <c r="X945" s="91" t="n"/>
      <c r="Y945" s="91" t="n"/>
      <c r="Z945" s="91" t="n"/>
      <c r="AA945" s="91" t="n"/>
    </row>
    <row r="946" ht="12.75" customHeight="1" s="117">
      <c r="A946" s="91" t="n"/>
      <c r="B946" s="91" t="n"/>
      <c r="C946" s="91" t="n"/>
      <c r="D946" s="91" t="n"/>
      <c r="E946" s="91" t="n"/>
      <c r="F946" s="91" t="n"/>
      <c r="G946" s="91" t="n"/>
      <c r="H946" s="91" t="n"/>
      <c r="I946" s="91" t="n"/>
      <c r="J946" s="91" t="n"/>
      <c r="K946" s="91" t="n"/>
      <c r="L946" s="91" t="n"/>
      <c r="M946" s="91" t="n"/>
      <c r="N946" s="91" t="n"/>
      <c r="O946" s="91" t="n"/>
      <c r="P946" s="91" t="n"/>
      <c r="Q946" s="91" t="n"/>
      <c r="R946" s="91" t="n"/>
      <c r="S946" s="91" t="n"/>
      <c r="T946" s="91" t="n"/>
      <c r="U946" s="91" t="n"/>
      <c r="V946" s="91" t="n"/>
      <c r="W946" s="91" t="n"/>
      <c r="X946" s="91" t="n"/>
      <c r="Y946" s="91" t="n"/>
      <c r="Z946" s="91" t="n"/>
      <c r="AA946" s="91" t="n"/>
    </row>
    <row r="947" ht="12.75" customHeight="1" s="117">
      <c r="A947" s="91" t="n"/>
      <c r="B947" s="91" t="n"/>
      <c r="C947" s="91" t="n"/>
      <c r="D947" s="91" t="n"/>
      <c r="E947" s="91" t="n"/>
      <c r="F947" s="91" t="n"/>
      <c r="G947" s="91" t="n"/>
      <c r="H947" s="91" t="n"/>
      <c r="I947" s="91" t="n"/>
      <c r="J947" s="91" t="n"/>
      <c r="K947" s="91" t="n"/>
      <c r="L947" s="91" t="n"/>
      <c r="M947" s="91" t="n"/>
      <c r="N947" s="91" t="n"/>
      <c r="O947" s="91" t="n"/>
      <c r="P947" s="91" t="n"/>
      <c r="Q947" s="91" t="n"/>
      <c r="R947" s="91" t="n"/>
      <c r="S947" s="91" t="n"/>
      <c r="T947" s="91" t="n"/>
      <c r="U947" s="91" t="n"/>
      <c r="V947" s="91" t="n"/>
      <c r="W947" s="91" t="n"/>
      <c r="X947" s="91" t="n"/>
      <c r="Y947" s="91" t="n"/>
      <c r="Z947" s="91" t="n"/>
      <c r="AA947" s="91" t="n"/>
    </row>
    <row r="948" ht="12.75" customHeight="1" s="117">
      <c r="A948" s="91" t="n"/>
      <c r="B948" s="91" t="n"/>
      <c r="C948" s="91" t="n"/>
      <c r="D948" s="91" t="n"/>
      <c r="E948" s="91" t="n"/>
      <c r="F948" s="91" t="n"/>
      <c r="G948" s="91" t="n"/>
      <c r="H948" s="91" t="n"/>
      <c r="I948" s="91" t="n"/>
      <c r="J948" s="91" t="n"/>
      <c r="K948" s="91" t="n"/>
      <c r="L948" s="91" t="n"/>
      <c r="M948" s="91" t="n"/>
      <c r="N948" s="91" t="n"/>
      <c r="O948" s="91" t="n"/>
      <c r="P948" s="91" t="n"/>
      <c r="Q948" s="91" t="n"/>
      <c r="R948" s="91" t="n"/>
      <c r="S948" s="91" t="n"/>
      <c r="T948" s="91" t="n"/>
      <c r="U948" s="91" t="n"/>
      <c r="V948" s="91" t="n"/>
      <c r="W948" s="91" t="n"/>
      <c r="X948" s="91" t="n"/>
      <c r="Y948" s="91" t="n"/>
      <c r="Z948" s="91" t="n"/>
      <c r="AA948" s="91" t="n"/>
    </row>
    <row r="949" ht="12.75" customHeight="1" s="117">
      <c r="A949" s="91" t="n"/>
      <c r="B949" s="91" t="n"/>
      <c r="C949" s="91" t="n"/>
      <c r="D949" s="91" t="n"/>
      <c r="E949" s="91" t="n"/>
      <c r="F949" s="91" t="n"/>
      <c r="G949" s="91" t="n"/>
      <c r="H949" s="91" t="n"/>
      <c r="I949" s="91" t="n"/>
      <c r="J949" s="91" t="n"/>
      <c r="K949" s="91" t="n"/>
      <c r="L949" s="91" t="n"/>
      <c r="M949" s="91" t="n"/>
      <c r="N949" s="91" t="n"/>
      <c r="O949" s="91" t="n"/>
      <c r="P949" s="91" t="n"/>
      <c r="Q949" s="91" t="n"/>
      <c r="R949" s="91" t="n"/>
      <c r="S949" s="91" t="n"/>
      <c r="T949" s="91" t="n"/>
      <c r="U949" s="91" t="n"/>
      <c r="V949" s="91" t="n"/>
      <c r="W949" s="91" t="n"/>
      <c r="X949" s="91" t="n"/>
      <c r="Y949" s="91" t="n"/>
      <c r="Z949" s="91" t="n"/>
      <c r="AA949" s="91" t="n"/>
    </row>
    <row r="950" ht="12.75" customHeight="1" s="117">
      <c r="A950" s="91" t="n"/>
      <c r="B950" s="91" t="n"/>
      <c r="C950" s="91" t="n"/>
      <c r="D950" s="91" t="n"/>
      <c r="E950" s="91" t="n"/>
      <c r="F950" s="91" t="n"/>
      <c r="G950" s="91" t="n"/>
      <c r="H950" s="91" t="n"/>
      <c r="I950" s="91" t="n"/>
      <c r="J950" s="91" t="n"/>
      <c r="K950" s="91" t="n"/>
      <c r="L950" s="91" t="n"/>
      <c r="M950" s="91" t="n"/>
      <c r="N950" s="91" t="n"/>
      <c r="O950" s="91" t="n"/>
      <c r="P950" s="91" t="n"/>
      <c r="Q950" s="91" t="n"/>
      <c r="R950" s="91" t="n"/>
      <c r="S950" s="91" t="n"/>
      <c r="T950" s="91" t="n"/>
      <c r="U950" s="91" t="n"/>
      <c r="V950" s="91" t="n"/>
      <c r="W950" s="91" t="n"/>
      <c r="X950" s="91" t="n"/>
      <c r="Y950" s="91" t="n"/>
      <c r="Z950" s="91" t="n"/>
      <c r="AA950" s="91" t="n"/>
    </row>
    <row r="951" ht="12.75" customHeight="1" s="117">
      <c r="A951" s="91" t="n"/>
      <c r="B951" s="91" t="n"/>
      <c r="C951" s="91" t="n"/>
      <c r="D951" s="91" t="n"/>
      <c r="E951" s="91" t="n"/>
      <c r="F951" s="91" t="n"/>
      <c r="G951" s="91" t="n"/>
      <c r="H951" s="91" t="n"/>
      <c r="I951" s="91" t="n"/>
      <c r="J951" s="91" t="n"/>
      <c r="K951" s="91" t="n"/>
      <c r="L951" s="91" t="n"/>
      <c r="M951" s="91" t="n"/>
      <c r="N951" s="91" t="n"/>
      <c r="O951" s="91" t="n"/>
      <c r="P951" s="91" t="n"/>
      <c r="Q951" s="91" t="n"/>
      <c r="R951" s="91" t="n"/>
      <c r="S951" s="91" t="n"/>
      <c r="T951" s="91" t="n"/>
      <c r="U951" s="91" t="n"/>
      <c r="V951" s="91" t="n"/>
      <c r="W951" s="91" t="n"/>
      <c r="X951" s="91" t="n"/>
      <c r="Y951" s="91" t="n"/>
      <c r="Z951" s="91" t="n"/>
      <c r="AA951" s="91" t="n"/>
    </row>
    <row r="952" ht="12.75" customHeight="1" s="117">
      <c r="A952" s="91" t="n"/>
      <c r="B952" s="91" t="n"/>
      <c r="C952" s="91" t="n"/>
      <c r="D952" s="91" t="n"/>
      <c r="E952" s="91" t="n"/>
      <c r="F952" s="91" t="n"/>
      <c r="G952" s="91" t="n"/>
      <c r="H952" s="91" t="n"/>
      <c r="I952" s="91" t="n"/>
      <c r="J952" s="91" t="n"/>
      <c r="K952" s="91" t="n"/>
      <c r="L952" s="91" t="n"/>
      <c r="M952" s="91" t="n"/>
      <c r="N952" s="91" t="n"/>
      <c r="O952" s="91" t="n"/>
      <c r="P952" s="91" t="n"/>
      <c r="Q952" s="91" t="n"/>
      <c r="R952" s="91" t="n"/>
      <c r="S952" s="91" t="n"/>
      <c r="T952" s="91" t="n"/>
      <c r="U952" s="91" t="n"/>
      <c r="V952" s="91" t="n"/>
      <c r="W952" s="91" t="n"/>
      <c r="X952" s="91" t="n"/>
      <c r="Y952" s="91" t="n"/>
      <c r="Z952" s="91" t="n"/>
      <c r="AA952" s="91" t="n"/>
    </row>
    <row r="953" ht="12.75" customHeight="1" s="117">
      <c r="A953" s="91" t="n"/>
      <c r="B953" s="91" t="n"/>
      <c r="C953" s="91" t="n"/>
      <c r="D953" s="91" t="n"/>
      <c r="E953" s="91" t="n"/>
      <c r="F953" s="91" t="n"/>
      <c r="G953" s="91" t="n"/>
      <c r="H953" s="91" t="n"/>
      <c r="I953" s="91" t="n"/>
      <c r="J953" s="91" t="n"/>
      <c r="K953" s="91" t="n"/>
      <c r="L953" s="91" t="n"/>
      <c r="M953" s="91" t="n"/>
      <c r="N953" s="91" t="n"/>
      <c r="O953" s="91" t="n"/>
      <c r="P953" s="91" t="n"/>
      <c r="Q953" s="91" t="n"/>
      <c r="R953" s="91" t="n"/>
      <c r="S953" s="91" t="n"/>
      <c r="T953" s="91" t="n"/>
      <c r="U953" s="91" t="n"/>
      <c r="V953" s="91" t="n"/>
      <c r="W953" s="91" t="n"/>
      <c r="X953" s="91" t="n"/>
      <c r="Y953" s="91" t="n"/>
      <c r="Z953" s="91" t="n"/>
      <c r="AA953" s="91" t="n"/>
    </row>
    <row r="954" ht="12.75" customHeight="1" s="117">
      <c r="A954" s="91" t="n"/>
      <c r="B954" s="91" t="n"/>
      <c r="C954" s="91" t="n"/>
      <c r="D954" s="91" t="n"/>
      <c r="E954" s="91" t="n"/>
      <c r="F954" s="91" t="n"/>
      <c r="G954" s="91" t="n"/>
      <c r="H954" s="91" t="n"/>
      <c r="I954" s="91" t="n"/>
      <c r="J954" s="91" t="n"/>
      <c r="K954" s="91" t="n"/>
      <c r="L954" s="91" t="n"/>
      <c r="M954" s="91" t="n"/>
      <c r="N954" s="91" t="n"/>
      <c r="O954" s="91" t="n"/>
      <c r="P954" s="91" t="n"/>
      <c r="Q954" s="91" t="n"/>
      <c r="R954" s="91" t="n"/>
      <c r="S954" s="91" t="n"/>
      <c r="T954" s="91" t="n"/>
      <c r="U954" s="91" t="n"/>
      <c r="V954" s="91" t="n"/>
      <c r="W954" s="91" t="n"/>
      <c r="X954" s="91" t="n"/>
      <c r="Y954" s="91" t="n"/>
      <c r="Z954" s="91" t="n"/>
      <c r="AA954" s="91" t="n"/>
    </row>
    <row r="955" ht="12.75" customHeight="1" s="117">
      <c r="A955" s="91" t="n"/>
      <c r="B955" s="91" t="n"/>
      <c r="C955" s="91" t="n"/>
      <c r="D955" s="91" t="n"/>
      <c r="E955" s="91" t="n"/>
      <c r="F955" s="91" t="n"/>
      <c r="G955" s="91" t="n"/>
      <c r="H955" s="91" t="n"/>
      <c r="I955" s="91" t="n"/>
      <c r="J955" s="91" t="n"/>
      <c r="K955" s="91" t="n"/>
      <c r="L955" s="91" t="n"/>
      <c r="M955" s="91" t="n"/>
      <c r="N955" s="91" t="n"/>
      <c r="O955" s="91" t="n"/>
      <c r="P955" s="91" t="n"/>
      <c r="Q955" s="91" t="n"/>
      <c r="R955" s="91" t="n"/>
      <c r="S955" s="91" t="n"/>
      <c r="T955" s="91" t="n"/>
      <c r="U955" s="91" t="n"/>
      <c r="V955" s="91" t="n"/>
      <c r="W955" s="91" t="n"/>
      <c r="X955" s="91" t="n"/>
      <c r="Y955" s="91" t="n"/>
      <c r="Z955" s="91" t="n"/>
      <c r="AA955" s="91" t="n"/>
    </row>
    <row r="956" ht="12.75" customHeight="1" s="117">
      <c r="A956" s="91" t="n"/>
      <c r="B956" s="91" t="n"/>
      <c r="C956" s="91" t="n"/>
      <c r="D956" s="91" t="n"/>
      <c r="E956" s="91" t="n"/>
      <c r="F956" s="91" t="n"/>
      <c r="G956" s="91" t="n"/>
      <c r="H956" s="91" t="n"/>
      <c r="I956" s="91" t="n"/>
      <c r="J956" s="91" t="n"/>
      <c r="K956" s="91" t="n"/>
      <c r="L956" s="91" t="n"/>
      <c r="M956" s="91" t="n"/>
      <c r="N956" s="91" t="n"/>
      <c r="O956" s="91" t="n"/>
      <c r="P956" s="91" t="n"/>
      <c r="Q956" s="91" t="n"/>
      <c r="R956" s="91" t="n"/>
      <c r="S956" s="91" t="n"/>
      <c r="T956" s="91" t="n"/>
      <c r="U956" s="91" t="n"/>
      <c r="V956" s="91" t="n"/>
      <c r="W956" s="91" t="n"/>
      <c r="X956" s="91" t="n"/>
      <c r="Y956" s="91" t="n"/>
      <c r="Z956" s="91" t="n"/>
      <c r="AA956" s="91" t="n"/>
    </row>
    <row r="957" ht="12.75" customHeight="1" s="117">
      <c r="A957" s="91" t="n"/>
      <c r="B957" s="91" t="n"/>
      <c r="C957" s="91" t="n"/>
      <c r="D957" s="91" t="n"/>
      <c r="E957" s="91" t="n"/>
      <c r="F957" s="91" t="n"/>
      <c r="G957" s="91" t="n"/>
      <c r="H957" s="91" t="n"/>
      <c r="I957" s="91" t="n"/>
      <c r="J957" s="91" t="n"/>
      <c r="K957" s="91" t="n"/>
      <c r="L957" s="91" t="n"/>
      <c r="M957" s="91" t="n"/>
      <c r="N957" s="91" t="n"/>
      <c r="O957" s="91" t="n"/>
      <c r="P957" s="91" t="n"/>
      <c r="Q957" s="91" t="n"/>
      <c r="R957" s="91" t="n"/>
      <c r="S957" s="91" t="n"/>
      <c r="T957" s="91" t="n"/>
      <c r="U957" s="91" t="n"/>
      <c r="V957" s="91" t="n"/>
      <c r="W957" s="91" t="n"/>
      <c r="X957" s="91" t="n"/>
      <c r="Y957" s="91" t="n"/>
      <c r="Z957" s="91" t="n"/>
      <c r="AA957" s="91" t="n"/>
    </row>
    <row r="958" ht="12.75" customHeight="1" s="117">
      <c r="A958" s="91" t="n"/>
      <c r="B958" s="91" t="n"/>
      <c r="C958" s="91" t="n"/>
      <c r="D958" s="91" t="n"/>
      <c r="E958" s="91" t="n"/>
      <c r="F958" s="91" t="n"/>
      <c r="G958" s="91" t="n"/>
      <c r="H958" s="91" t="n"/>
      <c r="I958" s="91" t="n"/>
      <c r="J958" s="91" t="n"/>
      <c r="K958" s="91" t="n"/>
      <c r="L958" s="91" t="n"/>
      <c r="M958" s="91" t="n"/>
      <c r="N958" s="91" t="n"/>
      <c r="O958" s="91" t="n"/>
      <c r="P958" s="91" t="n"/>
      <c r="Q958" s="91" t="n"/>
      <c r="R958" s="91" t="n"/>
      <c r="S958" s="91" t="n"/>
      <c r="T958" s="91" t="n"/>
      <c r="U958" s="91" t="n"/>
      <c r="V958" s="91" t="n"/>
      <c r="W958" s="91" t="n"/>
      <c r="X958" s="91" t="n"/>
      <c r="Y958" s="91" t="n"/>
      <c r="Z958" s="91" t="n"/>
      <c r="AA958" s="91" t="n"/>
    </row>
    <row r="959" ht="12.75" customHeight="1" s="117">
      <c r="A959" s="91" t="n"/>
      <c r="B959" s="91" t="n"/>
      <c r="C959" s="91" t="n"/>
      <c r="D959" s="91" t="n"/>
      <c r="E959" s="91" t="n"/>
      <c r="F959" s="91" t="n"/>
      <c r="G959" s="91" t="n"/>
      <c r="H959" s="91" t="n"/>
      <c r="I959" s="91" t="n"/>
      <c r="J959" s="91" t="n"/>
      <c r="K959" s="91" t="n"/>
      <c r="L959" s="91" t="n"/>
      <c r="M959" s="91" t="n"/>
      <c r="N959" s="91" t="n"/>
      <c r="O959" s="91" t="n"/>
      <c r="P959" s="91" t="n"/>
      <c r="Q959" s="91" t="n"/>
      <c r="R959" s="91" t="n"/>
      <c r="S959" s="91" t="n"/>
      <c r="T959" s="91" t="n"/>
      <c r="U959" s="91" t="n"/>
      <c r="V959" s="91" t="n"/>
      <c r="W959" s="91" t="n"/>
      <c r="X959" s="91" t="n"/>
      <c r="Y959" s="91" t="n"/>
      <c r="Z959" s="91" t="n"/>
      <c r="AA959" s="91" t="n"/>
    </row>
    <row r="960" ht="12.75" customHeight="1" s="117">
      <c r="A960" s="91" t="n"/>
      <c r="B960" s="91" t="n"/>
      <c r="C960" s="91" t="n"/>
      <c r="D960" s="91" t="n"/>
      <c r="E960" s="91" t="n"/>
      <c r="F960" s="91" t="n"/>
      <c r="G960" s="91" t="n"/>
      <c r="H960" s="91" t="n"/>
      <c r="I960" s="91" t="n"/>
      <c r="J960" s="91" t="n"/>
      <c r="K960" s="91" t="n"/>
      <c r="L960" s="91" t="n"/>
      <c r="M960" s="91" t="n"/>
      <c r="N960" s="91" t="n"/>
      <c r="O960" s="91" t="n"/>
      <c r="P960" s="91" t="n"/>
      <c r="Q960" s="91" t="n"/>
      <c r="R960" s="91" t="n"/>
      <c r="S960" s="91" t="n"/>
      <c r="T960" s="91" t="n"/>
      <c r="U960" s="91" t="n"/>
      <c r="V960" s="91" t="n"/>
      <c r="W960" s="91" t="n"/>
      <c r="X960" s="91" t="n"/>
      <c r="Y960" s="91" t="n"/>
      <c r="Z960" s="91" t="n"/>
      <c r="AA960" s="91" t="n"/>
    </row>
    <row r="961" ht="12.75" customHeight="1" s="117">
      <c r="A961" s="91" t="n"/>
      <c r="B961" s="91" t="n"/>
      <c r="C961" s="91" t="n"/>
      <c r="D961" s="91" t="n"/>
      <c r="E961" s="91" t="n"/>
      <c r="F961" s="91" t="n"/>
      <c r="G961" s="91" t="n"/>
      <c r="H961" s="91" t="n"/>
      <c r="I961" s="91" t="n"/>
      <c r="J961" s="91" t="n"/>
      <c r="K961" s="91" t="n"/>
      <c r="L961" s="91" t="n"/>
      <c r="M961" s="91" t="n"/>
      <c r="N961" s="91" t="n"/>
      <c r="O961" s="91" t="n"/>
      <c r="P961" s="91" t="n"/>
      <c r="Q961" s="91" t="n"/>
      <c r="R961" s="91" t="n"/>
      <c r="S961" s="91" t="n"/>
      <c r="T961" s="91" t="n"/>
      <c r="U961" s="91" t="n"/>
      <c r="V961" s="91" t="n"/>
      <c r="W961" s="91" t="n"/>
      <c r="X961" s="91" t="n"/>
      <c r="Y961" s="91" t="n"/>
      <c r="Z961" s="91" t="n"/>
      <c r="AA961" s="91" t="n"/>
    </row>
    <row r="962" ht="12.75" customHeight="1" s="117">
      <c r="A962" s="91" t="n"/>
      <c r="B962" s="91" t="n"/>
      <c r="C962" s="91" t="n"/>
      <c r="D962" s="91" t="n"/>
      <c r="E962" s="91" t="n"/>
      <c r="F962" s="91" t="n"/>
      <c r="G962" s="91" t="n"/>
      <c r="H962" s="91" t="n"/>
      <c r="I962" s="91" t="n"/>
      <c r="J962" s="91" t="n"/>
      <c r="K962" s="91" t="n"/>
      <c r="L962" s="91" t="n"/>
      <c r="M962" s="91" t="n"/>
      <c r="N962" s="91" t="n"/>
      <c r="O962" s="91" t="n"/>
      <c r="P962" s="91" t="n"/>
      <c r="Q962" s="91" t="n"/>
      <c r="R962" s="91" t="n"/>
      <c r="S962" s="91" t="n"/>
      <c r="T962" s="91" t="n"/>
      <c r="U962" s="91" t="n"/>
      <c r="V962" s="91" t="n"/>
      <c r="W962" s="91" t="n"/>
      <c r="X962" s="91" t="n"/>
      <c r="Y962" s="91" t="n"/>
      <c r="Z962" s="91" t="n"/>
      <c r="AA962" s="91" t="n"/>
    </row>
    <row r="963" ht="12.75" customHeight="1" s="117">
      <c r="A963" s="91" t="n"/>
      <c r="B963" s="91" t="n"/>
      <c r="C963" s="91" t="n"/>
      <c r="D963" s="91" t="n"/>
      <c r="E963" s="91" t="n"/>
      <c r="F963" s="91" t="n"/>
      <c r="G963" s="91" t="n"/>
      <c r="H963" s="91" t="n"/>
      <c r="I963" s="91" t="n"/>
      <c r="J963" s="91" t="n"/>
      <c r="K963" s="91" t="n"/>
      <c r="L963" s="91" t="n"/>
      <c r="M963" s="91" t="n"/>
      <c r="N963" s="91" t="n"/>
      <c r="O963" s="91" t="n"/>
      <c r="P963" s="91" t="n"/>
      <c r="Q963" s="91" t="n"/>
      <c r="R963" s="91" t="n"/>
      <c r="S963" s="91" t="n"/>
      <c r="T963" s="91" t="n"/>
      <c r="U963" s="91" t="n"/>
      <c r="V963" s="91" t="n"/>
      <c r="W963" s="91" t="n"/>
      <c r="X963" s="91" t="n"/>
      <c r="Y963" s="91" t="n"/>
      <c r="Z963" s="91" t="n"/>
      <c r="AA963" s="91" t="n"/>
    </row>
    <row r="964" ht="12.75" customHeight="1" s="117">
      <c r="A964" s="91" t="n"/>
      <c r="B964" s="91" t="n"/>
      <c r="C964" s="91" t="n"/>
      <c r="D964" s="91" t="n"/>
      <c r="E964" s="91" t="n"/>
      <c r="F964" s="91" t="n"/>
      <c r="G964" s="91" t="n"/>
      <c r="H964" s="91" t="n"/>
      <c r="I964" s="91" t="n"/>
      <c r="J964" s="91" t="n"/>
      <c r="K964" s="91" t="n"/>
      <c r="L964" s="91" t="n"/>
      <c r="M964" s="91" t="n"/>
      <c r="N964" s="91" t="n"/>
      <c r="O964" s="91" t="n"/>
      <c r="P964" s="91" t="n"/>
      <c r="Q964" s="91" t="n"/>
      <c r="R964" s="91" t="n"/>
      <c r="S964" s="91" t="n"/>
      <c r="T964" s="91" t="n"/>
      <c r="U964" s="91" t="n"/>
      <c r="V964" s="91" t="n"/>
      <c r="W964" s="91" t="n"/>
      <c r="X964" s="91" t="n"/>
      <c r="Y964" s="91" t="n"/>
      <c r="Z964" s="91" t="n"/>
      <c r="AA964" s="91" t="n"/>
    </row>
    <row r="965" ht="12.75" customHeight="1" s="117">
      <c r="A965" s="91" t="n"/>
      <c r="B965" s="91" t="n"/>
      <c r="C965" s="91" t="n"/>
      <c r="D965" s="91" t="n"/>
      <c r="E965" s="91" t="n"/>
      <c r="F965" s="91" t="n"/>
      <c r="G965" s="91" t="n"/>
      <c r="H965" s="91" t="n"/>
      <c r="I965" s="91" t="n"/>
      <c r="J965" s="91" t="n"/>
      <c r="K965" s="91" t="n"/>
      <c r="L965" s="91" t="n"/>
      <c r="M965" s="91" t="n"/>
      <c r="N965" s="91" t="n"/>
      <c r="O965" s="91" t="n"/>
      <c r="P965" s="91" t="n"/>
      <c r="Q965" s="91" t="n"/>
      <c r="R965" s="91" t="n"/>
      <c r="S965" s="91" t="n"/>
      <c r="T965" s="91" t="n"/>
      <c r="U965" s="91" t="n"/>
      <c r="V965" s="91" t="n"/>
      <c r="W965" s="91" t="n"/>
      <c r="X965" s="91" t="n"/>
      <c r="Y965" s="91" t="n"/>
      <c r="Z965" s="91" t="n"/>
      <c r="AA965" s="91" t="n"/>
    </row>
    <row r="966" ht="12.75" customHeight="1" s="117">
      <c r="A966" s="91" t="n"/>
      <c r="B966" s="91" t="n"/>
      <c r="C966" s="91" t="n"/>
      <c r="D966" s="91" t="n"/>
      <c r="E966" s="91" t="n"/>
      <c r="F966" s="91" t="n"/>
      <c r="G966" s="91" t="n"/>
      <c r="H966" s="91" t="n"/>
      <c r="I966" s="91" t="n"/>
      <c r="J966" s="91" t="n"/>
      <c r="K966" s="91" t="n"/>
      <c r="L966" s="91" t="n"/>
      <c r="M966" s="91" t="n"/>
      <c r="N966" s="91" t="n"/>
      <c r="O966" s="91" t="n"/>
      <c r="P966" s="91" t="n"/>
      <c r="Q966" s="91" t="n"/>
      <c r="R966" s="91" t="n"/>
      <c r="S966" s="91" t="n"/>
      <c r="T966" s="91" t="n"/>
      <c r="U966" s="91" t="n"/>
      <c r="V966" s="91" t="n"/>
      <c r="W966" s="91" t="n"/>
      <c r="X966" s="91" t="n"/>
      <c r="Y966" s="91" t="n"/>
      <c r="Z966" s="91" t="n"/>
      <c r="AA966" s="91" t="n"/>
    </row>
    <row r="967" ht="12.75" customHeight="1" s="117">
      <c r="A967" s="91" t="n"/>
      <c r="B967" s="91" t="n"/>
      <c r="C967" s="91" t="n"/>
      <c r="D967" s="91" t="n"/>
      <c r="E967" s="91" t="n"/>
      <c r="F967" s="91" t="n"/>
      <c r="G967" s="91" t="n"/>
      <c r="H967" s="91" t="n"/>
      <c r="I967" s="91" t="n"/>
      <c r="J967" s="91" t="n"/>
      <c r="K967" s="91" t="n"/>
      <c r="L967" s="91" t="n"/>
      <c r="M967" s="91" t="n"/>
      <c r="N967" s="91" t="n"/>
      <c r="O967" s="91" t="n"/>
      <c r="P967" s="91" t="n"/>
      <c r="Q967" s="91" t="n"/>
      <c r="R967" s="91" t="n"/>
      <c r="S967" s="91" t="n"/>
      <c r="T967" s="91" t="n"/>
      <c r="U967" s="91" t="n"/>
      <c r="V967" s="91" t="n"/>
      <c r="W967" s="91" t="n"/>
      <c r="X967" s="91" t="n"/>
      <c r="Y967" s="91" t="n"/>
      <c r="Z967" s="91" t="n"/>
      <c r="AA967" s="91" t="n"/>
    </row>
    <row r="968" ht="12.75" customHeight="1" s="117">
      <c r="A968" s="91" t="n"/>
      <c r="B968" s="91" t="n"/>
      <c r="C968" s="91" t="n"/>
      <c r="D968" s="91" t="n"/>
      <c r="E968" s="91" t="n"/>
      <c r="F968" s="91" t="n"/>
      <c r="G968" s="91" t="n"/>
      <c r="H968" s="91" t="n"/>
      <c r="I968" s="91" t="n"/>
      <c r="J968" s="91" t="n"/>
      <c r="K968" s="91" t="n"/>
      <c r="L968" s="91" t="n"/>
      <c r="M968" s="91" t="n"/>
      <c r="N968" s="91" t="n"/>
      <c r="O968" s="91" t="n"/>
      <c r="P968" s="91" t="n"/>
      <c r="Q968" s="91" t="n"/>
      <c r="R968" s="91" t="n"/>
      <c r="S968" s="91" t="n"/>
      <c r="T968" s="91" t="n"/>
      <c r="U968" s="91" t="n"/>
      <c r="V968" s="91" t="n"/>
      <c r="W968" s="91" t="n"/>
      <c r="X968" s="91" t="n"/>
      <c r="Y968" s="91" t="n"/>
      <c r="Z968" s="91" t="n"/>
      <c r="AA968" s="91" t="n"/>
    </row>
    <row r="969" ht="12.75" customHeight="1" s="117">
      <c r="A969" s="91" t="n"/>
      <c r="B969" s="91" t="n"/>
      <c r="C969" s="91" t="n"/>
      <c r="D969" s="91" t="n"/>
      <c r="E969" s="91" t="n"/>
      <c r="F969" s="91" t="n"/>
      <c r="G969" s="91" t="n"/>
      <c r="H969" s="91" t="n"/>
      <c r="I969" s="91" t="n"/>
      <c r="J969" s="91" t="n"/>
      <c r="K969" s="91" t="n"/>
      <c r="L969" s="91" t="n"/>
      <c r="M969" s="91" t="n"/>
      <c r="N969" s="91" t="n"/>
      <c r="O969" s="91" t="n"/>
      <c r="P969" s="91" t="n"/>
      <c r="Q969" s="91" t="n"/>
      <c r="R969" s="91" t="n"/>
      <c r="S969" s="91" t="n"/>
      <c r="T969" s="91" t="n"/>
      <c r="U969" s="91" t="n"/>
      <c r="V969" s="91" t="n"/>
      <c r="W969" s="91" t="n"/>
      <c r="X969" s="91" t="n"/>
      <c r="Y969" s="91" t="n"/>
      <c r="Z969" s="91" t="n"/>
      <c r="AA969" s="91" t="n"/>
    </row>
    <row r="970" ht="12.75" customHeight="1" s="117">
      <c r="A970" s="91" t="n"/>
      <c r="B970" s="91" t="n"/>
      <c r="C970" s="91" t="n"/>
      <c r="D970" s="91" t="n"/>
      <c r="E970" s="91" t="n"/>
      <c r="F970" s="91" t="n"/>
      <c r="G970" s="91" t="n"/>
      <c r="H970" s="91" t="n"/>
      <c r="I970" s="91" t="n"/>
      <c r="J970" s="91" t="n"/>
      <c r="K970" s="91" t="n"/>
      <c r="L970" s="91" t="n"/>
      <c r="M970" s="91" t="n"/>
      <c r="N970" s="91" t="n"/>
      <c r="O970" s="91" t="n"/>
      <c r="P970" s="91" t="n"/>
      <c r="Q970" s="91" t="n"/>
      <c r="R970" s="91" t="n"/>
      <c r="S970" s="91" t="n"/>
      <c r="T970" s="91" t="n"/>
      <c r="U970" s="91" t="n"/>
      <c r="V970" s="91" t="n"/>
      <c r="W970" s="91" t="n"/>
      <c r="X970" s="91" t="n"/>
      <c r="Y970" s="91" t="n"/>
      <c r="Z970" s="91" t="n"/>
      <c r="AA970" s="91" t="n"/>
    </row>
    <row r="971" ht="12.75" customHeight="1" s="117">
      <c r="A971" s="91" t="n"/>
      <c r="B971" s="91" t="n"/>
      <c r="C971" s="91" t="n"/>
      <c r="D971" s="91" t="n"/>
      <c r="E971" s="91" t="n"/>
      <c r="F971" s="91" t="n"/>
      <c r="G971" s="91" t="n"/>
      <c r="H971" s="91" t="n"/>
      <c r="I971" s="91" t="n"/>
      <c r="J971" s="91" t="n"/>
      <c r="K971" s="91" t="n"/>
      <c r="L971" s="91" t="n"/>
      <c r="M971" s="91" t="n"/>
      <c r="N971" s="91" t="n"/>
      <c r="O971" s="91" t="n"/>
      <c r="P971" s="91" t="n"/>
      <c r="Q971" s="91" t="n"/>
      <c r="R971" s="91" t="n"/>
      <c r="S971" s="91" t="n"/>
      <c r="T971" s="91" t="n"/>
      <c r="U971" s="91" t="n"/>
      <c r="V971" s="91" t="n"/>
      <c r="W971" s="91" t="n"/>
      <c r="X971" s="91" t="n"/>
      <c r="Y971" s="91" t="n"/>
      <c r="Z971" s="91" t="n"/>
      <c r="AA971" s="91" t="n"/>
    </row>
    <row r="972" ht="12.75" customHeight="1" s="117">
      <c r="A972" s="91" t="n"/>
      <c r="B972" s="91" t="n"/>
      <c r="C972" s="91" t="n"/>
      <c r="D972" s="91" t="n"/>
      <c r="E972" s="91" t="n"/>
      <c r="F972" s="91" t="n"/>
      <c r="G972" s="91" t="n"/>
      <c r="H972" s="91" t="n"/>
      <c r="I972" s="91" t="n"/>
      <c r="J972" s="91" t="n"/>
      <c r="K972" s="91" t="n"/>
      <c r="L972" s="91" t="n"/>
      <c r="M972" s="91" t="n"/>
      <c r="N972" s="91" t="n"/>
      <c r="O972" s="91" t="n"/>
      <c r="P972" s="91" t="n"/>
      <c r="Q972" s="91" t="n"/>
      <c r="R972" s="91" t="n"/>
      <c r="S972" s="91" t="n"/>
      <c r="T972" s="91" t="n"/>
      <c r="U972" s="91" t="n"/>
      <c r="V972" s="91" t="n"/>
      <c r="W972" s="91" t="n"/>
      <c r="X972" s="91" t="n"/>
      <c r="Y972" s="91" t="n"/>
      <c r="Z972" s="91" t="n"/>
      <c r="AA972" s="91" t="n"/>
    </row>
    <row r="973" ht="12.75" customHeight="1" s="117">
      <c r="A973" s="91" t="n"/>
      <c r="B973" s="91" t="n"/>
      <c r="C973" s="91" t="n"/>
      <c r="D973" s="91" t="n"/>
      <c r="E973" s="91" t="n"/>
      <c r="F973" s="91" t="n"/>
      <c r="G973" s="91" t="n"/>
      <c r="H973" s="91" t="n"/>
      <c r="I973" s="91" t="n"/>
      <c r="J973" s="91" t="n"/>
      <c r="K973" s="91" t="n"/>
      <c r="L973" s="91" t="n"/>
      <c r="M973" s="91" t="n"/>
      <c r="N973" s="91" t="n"/>
      <c r="O973" s="91" t="n"/>
      <c r="P973" s="91" t="n"/>
      <c r="Q973" s="91" t="n"/>
      <c r="R973" s="91" t="n"/>
      <c r="S973" s="91" t="n"/>
      <c r="T973" s="91" t="n"/>
      <c r="U973" s="91" t="n"/>
      <c r="V973" s="91" t="n"/>
      <c r="W973" s="91" t="n"/>
      <c r="X973" s="91" t="n"/>
      <c r="Y973" s="91" t="n"/>
      <c r="Z973" s="91" t="n"/>
      <c r="AA973" s="91" t="n"/>
    </row>
    <row r="974" ht="12.75" customHeight="1" s="117">
      <c r="A974" s="91" t="n"/>
      <c r="B974" s="91" t="n"/>
      <c r="C974" s="91" t="n"/>
      <c r="D974" s="91" t="n"/>
      <c r="E974" s="91" t="n"/>
      <c r="F974" s="91" t="n"/>
      <c r="G974" s="91" t="n"/>
      <c r="H974" s="91" t="n"/>
      <c r="I974" s="91" t="n"/>
      <c r="J974" s="91" t="n"/>
      <c r="K974" s="91" t="n"/>
      <c r="L974" s="91" t="n"/>
      <c r="M974" s="91" t="n"/>
      <c r="N974" s="91" t="n"/>
      <c r="O974" s="91" t="n"/>
      <c r="P974" s="91" t="n"/>
      <c r="Q974" s="91" t="n"/>
      <c r="R974" s="91" t="n"/>
      <c r="S974" s="91" t="n"/>
      <c r="T974" s="91" t="n"/>
      <c r="U974" s="91" t="n"/>
      <c r="V974" s="91" t="n"/>
      <c r="W974" s="91" t="n"/>
      <c r="X974" s="91" t="n"/>
      <c r="Y974" s="91" t="n"/>
      <c r="Z974" s="91" t="n"/>
      <c r="AA974" s="91" t="n"/>
    </row>
    <row r="975" ht="12.75" customHeight="1" s="117">
      <c r="A975" s="91" t="n"/>
      <c r="B975" s="91" t="n"/>
      <c r="C975" s="91" t="n"/>
      <c r="D975" s="91" t="n"/>
      <c r="E975" s="91" t="n"/>
      <c r="F975" s="91" t="n"/>
      <c r="G975" s="91" t="n"/>
      <c r="H975" s="91" t="n"/>
      <c r="I975" s="91" t="n"/>
      <c r="J975" s="91" t="n"/>
      <c r="K975" s="91" t="n"/>
      <c r="L975" s="91" t="n"/>
      <c r="M975" s="91" t="n"/>
      <c r="N975" s="91" t="n"/>
      <c r="O975" s="91" t="n"/>
      <c r="P975" s="91" t="n"/>
      <c r="Q975" s="91" t="n"/>
      <c r="R975" s="91" t="n"/>
      <c r="S975" s="91" t="n"/>
      <c r="T975" s="91" t="n"/>
      <c r="U975" s="91" t="n"/>
      <c r="V975" s="91" t="n"/>
      <c r="W975" s="91" t="n"/>
      <c r="X975" s="91" t="n"/>
      <c r="Y975" s="91" t="n"/>
      <c r="Z975" s="91" t="n"/>
      <c r="AA975" s="91" t="n"/>
    </row>
    <row r="976" ht="12.75" customHeight="1" s="117">
      <c r="A976" s="91" t="n"/>
      <c r="B976" s="91" t="n"/>
      <c r="C976" s="91" t="n"/>
      <c r="D976" s="91" t="n"/>
      <c r="E976" s="91" t="n"/>
      <c r="F976" s="91" t="n"/>
      <c r="G976" s="91" t="n"/>
      <c r="H976" s="91" t="n"/>
      <c r="I976" s="91" t="n"/>
      <c r="J976" s="91" t="n"/>
      <c r="K976" s="91" t="n"/>
      <c r="L976" s="91" t="n"/>
      <c r="M976" s="91" t="n"/>
      <c r="N976" s="91" t="n"/>
      <c r="O976" s="91" t="n"/>
      <c r="P976" s="91" t="n"/>
      <c r="Q976" s="91" t="n"/>
      <c r="R976" s="91" t="n"/>
      <c r="S976" s="91" t="n"/>
      <c r="T976" s="91" t="n"/>
      <c r="U976" s="91" t="n"/>
      <c r="V976" s="91" t="n"/>
      <c r="W976" s="91" t="n"/>
      <c r="X976" s="91" t="n"/>
      <c r="Y976" s="91" t="n"/>
      <c r="Z976" s="91" t="n"/>
      <c r="AA976" s="91" t="n"/>
    </row>
    <row r="977" ht="12.75" customHeight="1" s="117">
      <c r="A977" s="91" t="n"/>
      <c r="B977" s="91" t="n"/>
      <c r="C977" s="91" t="n"/>
      <c r="D977" s="91" t="n"/>
      <c r="E977" s="91" t="n"/>
      <c r="F977" s="91" t="n"/>
      <c r="G977" s="91" t="n"/>
      <c r="H977" s="91" t="n"/>
      <c r="I977" s="91" t="n"/>
      <c r="J977" s="91" t="n"/>
      <c r="K977" s="91" t="n"/>
      <c r="L977" s="91" t="n"/>
      <c r="M977" s="91" t="n"/>
      <c r="N977" s="91" t="n"/>
      <c r="O977" s="91" t="n"/>
      <c r="P977" s="91" t="n"/>
      <c r="Q977" s="91" t="n"/>
      <c r="R977" s="91" t="n"/>
      <c r="S977" s="91" t="n"/>
      <c r="T977" s="91" t="n"/>
      <c r="U977" s="91" t="n"/>
      <c r="V977" s="91" t="n"/>
      <c r="W977" s="91" t="n"/>
      <c r="X977" s="91" t="n"/>
      <c r="Y977" s="91" t="n"/>
      <c r="Z977" s="91" t="n"/>
      <c r="AA977" s="91" t="n"/>
    </row>
  </sheetData>
  <mergeCells count="5">
    <mergeCell ref="L1:N1"/>
    <mergeCell ref="C1:E1"/>
    <mergeCell ref="O1:Q1"/>
    <mergeCell ref="F1:H1"/>
    <mergeCell ref="I1:K1"/>
  </mergeCells>
  <conditionalFormatting sqref="D3:D10990 G3:G10990 J3:J10990 M3:M10990 P3:P10990">
    <cfRule type="expression" priority="1" dxfId="2">
      <formula>IF(D3&lt;&gt;"",IF(    OR($B3="Tạm ngưng Fiber", $B3="Tạm ngưng Mytv"),    D3 &gt; 0.9 * OFFSET(D3, 0, -1),    D3 &lt;= 0.5 * OFFSET(D3, 0, -1) ))</formula>
    </cfRule>
    <cfRule type="expression" priority="2" dxfId="1">
      <formula>IF(D3,IF(    OR($B3="Tạm ngưng Fiber", $B3="Tạm ngưng Mytv"),    AND(D3&gt;0.5*OFFSET(D3,0,-1), D3&lt;=0.9*OFFSET(D3,0,-1)),    AND(D3&gt;0.5*OFFSET(D3,0,-1), D3&lt;OFFSET(D3,0,-1)) ),)</formula>
    </cfRule>
    <cfRule type="expression" priority="3" dxfId="0">
      <formula>IF(D3&lt;&gt;"",IF(    OR($B3="Tạm ngưng Fiber", $B3="Tạm ngưng Mytv"),    D3&lt;=0.5*OFFSET(D3,0,-1),    D3&gt;=OFFSET(D3,0,-1) 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G987"/>
  <sheetViews>
    <sheetView workbookViewId="0">
      <selection activeCell="A1" sqref="A1"/>
    </sheetView>
  </sheetViews>
  <sheetFormatPr baseColWidth="8" defaultColWidth="12.5703125" defaultRowHeight="15.75" customHeight="1"/>
  <cols>
    <col width="5" customWidth="1" style="117" min="1" max="1"/>
    <col width="27.5703125" customWidth="1" style="117" min="2" max="2"/>
    <col width="5" customWidth="1" style="117" min="3" max="33"/>
  </cols>
  <sheetData>
    <row r="1" ht="15.75" customHeight="1" s="117">
      <c r="A1" s="92" t="n"/>
      <c r="B1" s="93" t="inlineStr">
        <is>
          <t>HỌ VÀ TÊN</t>
        </is>
      </c>
      <c r="C1" s="94" t="inlineStr">
        <is>
          <t>Ngày</t>
        </is>
      </c>
      <c r="D1" s="129" t="n"/>
      <c r="E1" s="129" t="n"/>
      <c r="F1" s="129" t="n"/>
      <c r="G1" s="129" t="n"/>
      <c r="H1" s="129" t="n"/>
      <c r="I1" s="129" t="n"/>
      <c r="J1" s="129" t="n"/>
      <c r="K1" s="129" t="n"/>
      <c r="L1" s="129" t="n"/>
      <c r="M1" s="129" t="n"/>
      <c r="N1" s="129" t="n"/>
      <c r="O1" s="129" t="n"/>
      <c r="P1" s="129" t="n"/>
      <c r="Q1" s="129" t="n"/>
      <c r="R1" s="129" t="n"/>
      <c r="S1" s="129" t="n"/>
      <c r="T1" s="129" t="n"/>
      <c r="U1" s="129" t="n"/>
      <c r="V1" s="129" t="n"/>
      <c r="W1" s="129" t="n"/>
      <c r="X1" s="129" t="n"/>
      <c r="Y1" s="129" t="n"/>
      <c r="Z1" s="129" t="n"/>
      <c r="AA1" s="129" t="n"/>
      <c r="AB1" s="129" t="n"/>
      <c r="AC1" s="129" t="n"/>
      <c r="AD1" s="129" t="n"/>
      <c r="AE1" s="129" t="n"/>
      <c r="AF1" s="129" t="n"/>
      <c r="AG1" s="130" t="n"/>
    </row>
    <row r="2">
      <c r="A2" s="94" t="inlineStr">
        <is>
          <t>STT</t>
        </is>
      </c>
      <c r="B2" s="94">
        <f>COUNTA(B3:B23)</f>
        <v/>
      </c>
      <c r="C2" s="94" t="n">
        <v>1</v>
      </c>
      <c r="D2" s="94" t="n">
        <v>2</v>
      </c>
      <c r="E2" s="94" t="n">
        <v>3</v>
      </c>
      <c r="F2" s="94" t="n">
        <v>4</v>
      </c>
      <c r="G2" s="94" t="n">
        <v>5</v>
      </c>
      <c r="H2" s="94" t="n">
        <v>6</v>
      </c>
      <c r="I2" s="94" t="n">
        <v>7</v>
      </c>
      <c r="J2" s="94" t="n">
        <v>8</v>
      </c>
      <c r="K2" s="94" t="n">
        <v>9</v>
      </c>
      <c r="L2" s="94" t="n">
        <v>10</v>
      </c>
      <c r="M2" s="94" t="n">
        <v>11</v>
      </c>
      <c r="N2" s="94" t="n">
        <v>12</v>
      </c>
      <c r="O2" s="94" t="n">
        <v>13</v>
      </c>
      <c r="P2" s="94" t="n">
        <v>14</v>
      </c>
      <c r="Q2" s="94" t="n">
        <v>15</v>
      </c>
      <c r="R2" s="94" t="n">
        <v>16</v>
      </c>
      <c r="S2" s="94" t="n">
        <v>17</v>
      </c>
      <c r="T2" s="94" t="n">
        <v>18</v>
      </c>
      <c r="U2" s="94" t="n">
        <v>19</v>
      </c>
      <c r="V2" s="94" t="n">
        <v>20</v>
      </c>
      <c r="W2" s="94" t="n">
        <v>21</v>
      </c>
      <c r="X2" s="94" t="n">
        <v>22</v>
      </c>
      <c r="Y2" s="94" t="n">
        <v>23</v>
      </c>
      <c r="Z2" s="94" t="n">
        <v>24</v>
      </c>
      <c r="AA2" s="94" t="n">
        <v>25</v>
      </c>
      <c r="AB2" s="94" t="n">
        <v>26</v>
      </c>
      <c r="AC2" s="94" t="n">
        <v>27</v>
      </c>
      <c r="AD2" s="94" t="n">
        <v>28</v>
      </c>
      <c r="AE2" s="94" t="n">
        <v>29</v>
      </c>
      <c r="AF2" s="94" t="n">
        <v>30</v>
      </c>
      <c r="AG2" s="94" t="n">
        <v>31</v>
      </c>
    </row>
    <row r="3" ht="15.75" customHeight="1" s="117">
      <c r="A3" s="112" t="n">
        <v>1</v>
      </c>
      <c r="B3" s="27" t="inlineStr">
        <is>
          <t>Bùi Duy Cường</t>
        </is>
      </c>
      <c r="C3" s="96">
        <f>IF(
   DATE(YEAR(TODAY()),MONTH(TODAY()),C$2) &gt; TODAY(),
   "",
   IF(
     COUNTIFS(
       DuLieu!$B:$B,$B3,
       DuLieu!$C:$C,"&gt;="&amp;DATE(YEAR(TODAY()),MONTH(TODAY()),C$2),
       DuLieu!$C:$C,"&lt;"&amp;DATE(YEAR(TODAY()),MONTH(TODAY()),C$2)+1
     )&gt;0,
     "✅",
     "❌"
   )
)</f>
        <v/>
      </c>
      <c r="D3" s="96">
        <f>IF(
   DATE(YEAR(TODAY()),MONTH(TODAY()),D$2) &gt; TODAY(),
   "",
   IF(
     COUNTIFS(
       DuLieu!$B:$B,$B3,
       DuLieu!$C:$C,"&gt;="&amp;DATE(YEAR(TODAY()),MONTH(TODAY()),D$2),
       DuLieu!$C:$C,"&lt;"&amp;DATE(YEAR(TODAY()),MONTH(TODAY()),D$2)+1
     )&gt;0,
     "✅",
     "❌"
   )
)</f>
        <v/>
      </c>
      <c r="E3" s="97">
        <f>IF(
   DATE(YEAR(TODAY()),MONTH(TODAY()),E$2) &gt; TODAY(),
   "",
   IF(
     COUNTIFS(
       DuLieu!$B:$B,$B3,
       DuLieu!$C:$C,"&gt;="&amp;DATE(YEAR(TODAY()),MONTH(TODAY()),E$2),
       DuLieu!$C:$C,"&lt;"&amp;DATE(YEAR(TODAY()),MONTH(TODAY()),E$2)+1
     )&gt;0,
     "✅",
     "❌"
   )
)</f>
        <v/>
      </c>
      <c r="F3" s="97">
        <f>IF(
   DATE(YEAR(TODAY()),MONTH(TODAY()),F$2) &gt; TODAY(),
   "",
   IF(
     COUNTIFS(
       DuLieu!$B:$B,$B3,
       DuLieu!$C:$C,"&gt;="&amp;DATE(YEAR(TODAY()),MONTH(TODAY()),F$2),
       DuLieu!$C:$C,"&lt;"&amp;DATE(YEAR(TODAY()),MONTH(TODAY()),F$2)+1
     )&gt;0,
     "✅",
     "❌"
   )
)</f>
        <v/>
      </c>
      <c r="G3" s="29">
        <f>IF(
   DATE(YEAR(TODAY()),MONTH(TODAY()),G$2) &gt; TODAY(),
   "",
   IF(
     COUNTIFS(
       DuLieu!$B:$B,$B3,
       DuLieu!$C:$C,"&gt;="&amp;DATE(YEAR(TODAY()),MONTH(TODAY()),G$2),
       DuLieu!$C:$C,"&lt;"&amp;DATE(YEAR(TODAY()),MONTH(TODAY()),G$2)+1
     )&gt;0,
     "✅",
     "❌"
   )
)</f>
        <v/>
      </c>
      <c r="H3" s="29">
        <f>IF(
   DATE(YEAR(TODAY()),MONTH(TODAY()),H$2) &gt; TODAY(),
   "",
   IF(
     COUNTIFS(
       DuLieu!$B:$B,$B3,
       DuLieu!$C:$C,"&gt;="&amp;DATE(YEAR(TODAY()),MONTH(TODAY()),H$2),
       DuLieu!$C:$C,"&lt;"&amp;DATE(YEAR(TODAY()),MONTH(TODAY()),H$2)+1
     )&gt;0,
     "✅",
     "❌"
   )
)</f>
        <v/>
      </c>
      <c r="I3" s="29">
        <f>IF(
   DATE(YEAR(TODAY()),MONTH(TODAY()),I$2) &gt; TODAY(),
   "",
   IF(
     COUNTIFS(
       DuLieu!$B:$B,$B3,
       DuLieu!$C:$C,"&gt;="&amp;DATE(YEAR(TODAY()),MONTH(TODAY()),I$2),
       DuLieu!$C:$C,"&lt;"&amp;DATE(YEAR(TODAY()),MONTH(TODAY()),I$2)+1
     )&gt;0,
     "✅",
     "❌"
   )
)</f>
        <v/>
      </c>
      <c r="J3" s="29">
        <f>IF(
   DATE(YEAR(TODAY()),MONTH(TODAY()),J$2) &gt; TODAY(),
   "",
   IF(
     COUNTIFS(
       DuLieu!$B:$B,$B3,
       DuLieu!$C:$C,"&gt;="&amp;DATE(YEAR(TODAY()),MONTH(TODAY()),J$2),
       DuLieu!$C:$C,"&lt;"&amp;DATE(YEAR(TODAY()),MONTH(TODAY()),J$2)+1
     )&gt;0,
     "✅",
     "❌"
   )
)</f>
        <v/>
      </c>
      <c r="K3" s="29">
        <f>IF(
   DATE(YEAR(TODAY()),MONTH(TODAY()),K$2) &gt; TODAY(),
   "",
   IF(
     COUNTIFS(
       DuLieu!$B:$B,$B3,
       DuLieu!$C:$C,"&gt;="&amp;DATE(YEAR(TODAY()),MONTH(TODAY()),K$2),
       DuLieu!$C:$C,"&lt;"&amp;DATE(YEAR(TODAY()),MONTH(TODAY()),K$2)+1
     )&gt;0,
     "✅",
     "❌"
   )
)</f>
        <v/>
      </c>
      <c r="L3" s="29">
        <f>IF(
   DATE(YEAR(TODAY()),MONTH(TODAY()),L$2) &gt; TODAY(),
   "",
   IF(
     COUNTIFS(
       DuLieu!$B:$B,$B3,
       DuLieu!$C:$C,"&gt;="&amp;DATE(YEAR(TODAY()),MONTH(TODAY()),L$2),
       DuLieu!$C:$C,"&lt;"&amp;DATE(YEAR(TODAY()),MONTH(TODAY()),L$2)+1
     )&gt;0,
     "✅",
     "❌"
   )
)</f>
        <v/>
      </c>
      <c r="M3" s="29">
        <f>IF(
   DATE(YEAR(TODAY()),MONTH(TODAY()),M$2) &gt; TODAY(),
   "",
   IF(
     COUNTIFS(
       DuLieu!$B:$B,$B3,
       DuLieu!$C:$C,"&gt;="&amp;DATE(YEAR(TODAY()),MONTH(TODAY()),M$2),
       DuLieu!$C:$C,"&lt;"&amp;DATE(YEAR(TODAY()),MONTH(TODAY()),M$2)+1
     )&gt;0,
     "✅",
     "❌"
   )
)</f>
        <v/>
      </c>
      <c r="N3" s="29">
        <f>IF(
   DATE(YEAR(TODAY()),MONTH(TODAY()),N$2) &gt; TODAY(),
   "",
   IF(
     COUNTIFS(
       DuLieu!$B:$B,$B3,
       DuLieu!$C:$C,"&gt;="&amp;DATE(YEAR(TODAY()),MONTH(TODAY()),N$2),
       DuLieu!$C:$C,"&lt;"&amp;DATE(YEAR(TODAY()),MONTH(TODAY()),N$2)+1
     )&gt;0,
     "✅",
     "❌"
   )
)</f>
        <v/>
      </c>
      <c r="O3" s="29">
        <f>IF(
   DATE(YEAR(TODAY()),MONTH(TODAY()),O$2) &gt; TODAY(),
   "",
   IF(
     COUNTIFS(
       DuLieu!$B:$B,$B3,
       DuLieu!$C:$C,"&gt;="&amp;DATE(YEAR(TODAY()),MONTH(TODAY()),O$2),
       DuLieu!$C:$C,"&lt;"&amp;DATE(YEAR(TODAY()),MONTH(TODAY()),O$2)+1
     )&gt;0,
     "✅",
     "❌"
   )
)</f>
        <v/>
      </c>
      <c r="P3" s="29">
        <f>IF(
   DATE(YEAR(TODAY()),MONTH(TODAY()),P$2) &gt; TODAY(),
   "",
   IF(
     COUNTIFS(
       DuLieu!$B:$B,$B3,
       DuLieu!$C:$C,"&gt;="&amp;DATE(YEAR(TODAY()),MONTH(TODAY()),P$2),
       DuLieu!$C:$C,"&lt;"&amp;DATE(YEAR(TODAY()),MONTH(TODAY()),P$2)+1
     )&gt;0,
     "✅",
     "❌"
   )
)</f>
        <v/>
      </c>
      <c r="Q3" s="29">
        <f>IF(
   DATE(YEAR(TODAY()),MONTH(TODAY()),Q$2) &gt; TODAY(),
   "",
   IF(
     COUNTIFS(
       DuLieu!$B:$B,$B3,
       DuLieu!$C:$C,"&gt;="&amp;DATE(YEAR(TODAY()),MONTH(TODAY()),Q$2),
       DuLieu!$C:$C,"&lt;"&amp;DATE(YEAR(TODAY()),MONTH(TODAY()),Q$2)+1
     )&gt;0,
     "✅",
     "❌"
   )
)</f>
        <v/>
      </c>
      <c r="R3" s="29">
        <f>IF(
   DATE(YEAR(TODAY()),MONTH(TODAY()),R$2) &gt; TODAY(),
   "",
   IF(
     COUNTIFS(
       DuLieu!$B:$B,$B3,
       DuLieu!$C:$C,"&gt;="&amp;DATE(YEAR(TODAY()),MONTH(TODAY()),R$2),
       DuLieu!$C:$C,"&lt;"&amp;DATE(YEAR(TODAY()),MONTH(TODAY()),R$2)+1
     )&gt;0,
     "✅",
     "❌"
   )
)</f>
        <v/>
      </c>
      <c r="S3" s="29">
        <f>IF(
   DATE(YEAR(TODAY()),MONTH(TODAY()),S$2) &gt; TODAY(),
   "",
   IF(
     COUNTIFS(
       DuLieu!$B:$B,$B3,
       DuLieu!$C:$C,"&gt;="&amp;DATE(YEAR(TODAY()),MONTH(TODAY()),S$2),
       DuLieu!$C:$C,"&lt;"&amp;DATE(YEAR(TODAY()),MONTH(TODAY()),S$2)+1
     )&gt;0,
     "✅",
     "❌"
   )
)</f>
        <v/>
      </c>
      <c r="T3" s="29">
        <f>IF(
   DATE(YEAR(TODAY()),MONTH(TODAY()),T$2) &gt; TODAY(),
   "",
   IF(
     COUNTIFS(
       DuLieu!$B:$B,$B3,
       DuLieu!$C:$C,"&gt;="&amp;DATE(YEAR(TODAY()),MONTH(TODAY()),T$2),
       DuLieu!$C:$C,"&lt;"&amp;DATE(YEAR(TODAY()),MONTH(TODAY()),T$2)+1
     )&gt;0,
     "✅",
     "❌"
   )
)</f>
        <v/>
      </c>
      <c r="U3" s="29">
        <f>IF(
   DATE(YEAR(TODAY()),MONTH(TODAY()),U$2) &gt; TODAY(),
   "",
   IF(
     COUNTIFS(
       DuLieu!$B:$B,$B3,
       DuLieu!$C:$C,"&gt;="&amp;DATE(YEAR(TODAY()),MONTH(TODAY()),U$2),
       DuLieu!$C:$C,"&lt;"&amp;DATE(YEAR(TODAY()),MONTH(TODAY()),U$2)+1
     )&gt;0,
     "✅",
     "❌"
   )
)</f>
        <v/>
      </c>
      <c r="V3" s="29">
        <f>IF(
   DATE(YEAR(TODAY()),MONTH(TODAY()),V$2) &gt; TODAY(),
   "",
   IF(
     COUNTIFS(
       DuLieu!$B:$B,$B3,
       DuLieu!$C:$C,"&gt;="&amp;DATE(YEAR(TODAY()),MONTH(TODAY()),V$2),
       DuLieu!$C:$C,"&lt;"&amp;DATE(YEAR(TODAY()),MONTH(TODAY()),V$2)+1
     )&gt;0,
     "✅",
     "❌"
   )
)</f>
        <v/>
      </c>
      <c r="W3" s="29">
        <f>IF(
   DATE(YEAR(TODAY()),MONTH(TODAY()),W$2) &gt; TODAY(),
   "",
   IF(
     COUNTIFS(
       DuLieu!$B:$B,$B3,
       DuLieu!$C:$C,"&gt;="&amp;DATE(YEAR(TODAY()),MONTH(TODAY()),W$2),
       DuLieu!$C:$C,"&lt;"&amp;DATE(YEAR(TODAY()),MONTH(TODAY()),W$2)+1
     )&gt;0,
     "✅",
     "❌"
   )
)</f>
        <v/>
      </c>
      <c r="X3" s="29">
        <f>IF(
   DATE(YEAR(TODAY()),MONTH(TODAY()),X$2) &gt; TODAY(),
   "",
   IF(
     COUNTIFS(
       DuLieu!$B:$B,$B3,
       DuLieu!$C:$C,"&gt;="&amp;DATE(YEAR(TODAY()),MONTH(TODAY()),X$2),
       DuLieu!$C:$C,"&lt;"&amp;DATE(YEAR(TODAY()),MONTH(TODAY()),X$2)+1
     )&gt;0,
     "✅",
     "❌"
   )
)</f>
        <v/>
      </c>
      <c r="Y3" s="29">
        <f>IF(
   DATE(YEAR(TODAY()),MONTH(TODAY()),Y$2) &gt; TODAY(),
   "",
   IF(
     COUNTIFS(
       DuLieu!$B:$B,$B3,
       DuLieu!$C:$C,"&gt;="&amp;DATE(YEAR(TODAY()),MONTH(TODAY()),Y$2),
       DuLieu!$C:$C,"&lt;"&amp;DATE(YEAR(TODAY()),MONTH(TODAY()),Y$2)+1
     )&gt;0,
     "✅",
     "❌"
   )
)</f>
        <v/>
      </c>
      <c r="Z3" s="29">
        <f>IF(
   DATE(YEAR(TODAY()),MONTH(TODAY()),Z$2) &gt; TODAY(),
   "",
   IF(
     COUNTIFS(
       DuLieu!$B:$B,$B3,
       DuLieu!$C:$C,"&gt;="&amp;DATE(YEAR(TODAY()),MONTH(TODAY()),Z$2),
       DuLieu!$C:$C,"&lt;"&amp;DATE(YEAR(TODAY()),MONTH(TODAY()),Z$2)+1
     )&gt;0,
     "✅",
     "❌"
   )
)</f>
        <v/>
      </c>
      <c r="AA3" s="29">
        <f>IF(
   DATE(YEAR(TODAY()),MONTH(TODAY()),AA$2) &gt; TODAY(),
   "",
   IF(
     COUNTIFS(
       DuLieu!$B:$B,$B3,
       DuLieu!$C:$C,"&gt;="&amp;DATE(YEAR(TODAY()),MONTH(TODAY()),AA$2),
       DuLieu!$C:$C,"&lt;"&amp;DATE(YEAR(TODAY()),MONTH(TODAY()),AA$2)+1
     )&gt;0,
     "✅",
     "❌"
   )
)</f>
        <v/>
      </c>
      <c r="AB3" s="29">
        <f>IF(
   DATE(YEAR(TODAY()),MONTH(TODAY()),AB$2) &gt; TODAY(),
   "",
   IF(
     COUNTIFS(
       DuLieu!$B:$B,$B3,
       DuLieu!$C:$C,"&gt;="&amp;DATE(YEAR(TODAY()),MONTH(TODAY()),AB$2),
       DuLieu!$C:$C,"&lt;"&amp;DATE(YEAR(TODAY()),MONTH(TODAY()),AB$2)+1
     )&gt;0,
     "✅",
     "❌"
   )
)</f>
        <v/>
      </c>
      <c r="AC3" s="29">
        <f>IF(
   DATE(YEAR(TODAY()),MONTH(TODAY()),AC$2) &gt; TODAY(),
   "",
   IF(
     COUNTIFS(
       DuLieu!$B:$B,$B3,
       DuLieu!$C:$C,"&gt;="&amp;DATE(YEAR(TODAY()),MONTH(TODAY()),AC$2),
       DuLieu!$C:$C,"&lt;"&amp;DATE(YEAR(TODAY()),MONTH(TODAY()),AC$2)+1
     )&gt;0,
     "✅",
     "❌"
   )
)</f>
        <v/>
      </c>
      <c r="AD3" s="29">
        <f>IF(
   DATE(YEAR(TODAY()),MONTH(TODAY()),AD$2) &gt; TODAY(),
   "",
   IF(
     COUNTIFS(
       DuLieu!$B:$B,$B3,
       DuLieu!$C:$C,"&gt;="&amp;DATE(YEAR(TODAY()),MONTH(TODAY()),AD$2),
       DuLieu!$C:$C,"&lt;"&amp;DATE(YEAR(TODAY()),MONTH(TODAY()),AD$2)+1
     )&gt;0,
     "✅",
     "❌"
   )
)</f>
        <v/>
      </c>
      <c r="AE3" s="29">
        <f>IF(
   DATE(YEAR(TODAY()),MONTH(TODAY()),AE$2) &gt; TODAY(),
   "",
   IF(
     COUNTIFS(
       DuLieu!$B:$B,$B3,
       DuLieu!$C:$C,"&gt;="&amp;DATE(YEAR(TODAY()),MONTH(TODAY()),AE$2),
       DuLieu!$C:$C,"&lt;"&amp;DATE(YEAR(TODAY()),MONTH(TODAY()),AE$2)+1
     )&gt;0,
     "✅",
     "❌"
   )
)</f>
        <v/>
      </c>
      <c r="AF3" s="29">
        <f>IF(
   DATE(YEAR(TODAY()),MONTH(TODAY()),AF$2) &gt; TODAY(),
   "",
   IF(
     COUNTIFS(
       DuLieu!$B:$B,$B3,
       DuLieu!$C:$C,"&gt;="&amp;DATE(YEAR(TODAY()),MONTH(TODAY()),AF$2),
       DuLieu!$C:$C,"&lt;"&amp;DATE(YEAR(TODAY()),MONTH(TODAY()),AF$2)+1
     )&gt;0,
     "✅",
     "❌"
   )
)</f>
        <v/>
      </c>
      <c r="AG3" s="29">
        <f>IF(
   DATE(YEAR(TODAY()),MONTH(TODAY()),AG$2) &gt; TODAY(),
   "",
   IF(
     COUNTIFS(
       DuLieu!$B:$B,$B3,
       DuLieu!$C:$C,"&gt;="&amp;DATE(YEAR(TODAY()),MONTH(TODAY()),AG$2),
       DuLieu!$C:$C,"&lt;"&amp;DATE(YEAR(TODAY()),MONTH(TODAY()),AG$2)+1
     )&gt;0,
     "✅",
     "❌"
   )
)</f>
        <v/>
      </c>
    </row>
    <row r="4" ht="15.75" customHeight="1" s="117">
      <c r="A4" s="112" t="n">
        <v>2</v>
      </c>
      <c r="B4" s="27" t="inlineStr">
        <is>
          <t>Dương Minh Tiến</t>
        </is>
      </c>
      <c r="C4" s="97">
        <f>IF(
   DATE(YEAR(TODAY()),MONTH(TODAY()),C$2) &gt; TODAY(),
   "",
   IF(
     COUNTIFS(
       DuLieu!$B:$B,$B4,
       DuLieu!$C:$C,"&gt;="&amp;DATE(YEAR(TODAY()),MONTH(TODAY()),C$2),
       DuLieu!$C:$C,"&lt;"&amp;DATE(YEAR(TODAY()),MONTH(TODAY()),C$2)+1
     )&gt;0,
     "✅",
     "❌"
   )
)</f>
        <v/>
      </c>
      <c r="D4" s="97">
        <f>IF(
   DATE(YEAR(TODAY()),MONTH(TODAY()),D$2) &gt; TODAY(),
   "",
   IF(
     COUNTIFS(
       DuLieu!$B:$B,$B4,
       DuLieu!$C:$C,"&gt;="&amp;DATE(YEAR(TODAY()),MONTH(TODAY()),D$2),
       DuLieu!$C:$C,"&lt;"&amp;DATE(YEAR(TODAY()),MONTH(TODAY()),D$2)+1
     )&gt;0,
     "✅",
     "❌"
   )
)</f>
        <v/>
      </c>
      <c r="E4" s="97">
        <f>IF(
   DATE(YEAR(TODAY()),MONTH(TODAY()),E$2) &gt; TODAY(),
   "",
   IF(
     COUNTIFS(
       DuLieu!$B:$B,$B4,
       DuLieu!$C:$C,"&gt;="&amp;DATE(YEAR(TODAY()),MONTH(TODAY()),E$2),
       DuLieu!$C:$C,"&lt;"&amp;DATE(YEAR(TODAY()),MONTH(TODAY()),E$2)+1
     )&gt;0,
     "✅",
     "❌"
   )
)</f>
        <v/>
      </c>
      <c r="F4" s="97">
        <f>IF(
   DATE(YEAR(TODAY()),MONTH(TODAY()),F$2) &gt; TODAY(),
   "",
   IF(
     COUNTIFS(
       DuLieu!$B:$B,$B4,
       DuLieu!$C:$C,"&gt;="&amp;DATE(YEAR(TODAY()),MONTH(TODAY()),F$2),
       DuLieu!$C:$C,"&lt;"&amp;DATE(YEAR(TODAY()),MONTH(TODAY()),F$2)+1
     )&gt;0,
     "✅",
     "❌"
   )
)</f>
        <v/>
      </c>
      <c r="G4" s="29">
        <f>IF(
   DATE(YEAR(TODAY()),MONTH(TODAY()),G$2) &gt; TODAY(),
   "",
   IF(
     COUNTIFS(
       DuLieu!$B:$B,$B4,
       DuLieu!$C:$C,"&gt;="&amp;DATE(YEAR(TODAY()),MONTH(TODAY()),G$2),
       DuLieu!$C:$C,"&lt;"&amp;DATE(YEAR(TODAY()),MONTH(TODAY()),G$2)+1
     )&gt;0,
     "✅",
     "❌"
   )
)</f>
        <v/>
      </c>
      <c r="H4" s="29">
        <f>IF(
   DATE(YEAR(TODAY()),MONTH(TODAY()),H$2) &gt; TODAY(),
   "",
   IF(
     COUNTIFS(
       DuLieu!$B:$B,$B4,
       DuLieu!$C:$C,"&gt;="&amp;DATE(YEAR(TODAY()),MONTH(TODAY()),H$2),
       DuLieu!$C:$C,"&lt;"&amp;DATE(YEAR(TODAY()),MONTH(TODAY()),H$2)+1
     )&gt;0,
     "✅",
     "❌"
   )
)</f>
        <v/>
      </c>
      <c r="I4" s="29">
        <f>IF(
   DATE(YEAR(TODAY()),MONTH(TODAY()),I$2) &gt; TODAY(),
   "",
   IF(
     COUNTIFS(
       DuLieu!$B:$B,$B4,
       DuLieu!$C:$C,"&gt;="&amp;DATE(YEAR(TODAY()),MONTH(TODAY()),I$2),
       DuLieu!$C:$C,"&lt;"&amp;DATE(YEAR(TODAY()),MONTH(TODAY()),I$2)+1
     )&gt;0,
     "✅",
     "❌"
   )
)</f>
        <v/>
      </c>
      <c r="J4" s="29">
        <f>IF(
   DATE(YEAR(TODAY()),MONTH(TODAY()),J$2) &gt; TODAY(),
   "",
   IF(
     COUNTIFS(
       DuLieu!$B:$B,$B4,
       DuLieu!$C:$C,"&gt;="&amp;DATE(YEAR(TODAY()),MONTH(TODAY()),J$2),
       DuLieu!$C:$C,"&lt;"&amp;DATE(YEAR(TODAY()),MONTH(TODAY()),J$2)+1
     )&gt;0,
     "✅",
     "❌"
   )
)</f>
        <v/>
      </c>
      <c r="K4" s="29">
        <f>IF(
   DATE(YEAR(TODAY()),MONTH(TODAY()),K$2) &gt; TODAY(),
   "",
   IF(
     COUNTIFS(
       DuLieu!$B:$B,$B4,
       DuLieu!$C:$C,"&gt;="&amp;DATE(YEAR(TODAY()),MONTH(TODAY()),K$2),
       DuLieu!$C:$C,"&lt;"&amp;DATE(YEAR(TODAY()),MONTH(TODAY()),K$2)+1
     )&gt;0,
     "✅",
     "❌"
   )
)</f>
        <v/>
      </c>
      <c r="L4" s="29">
        <f>IF(
   DATE(YEAR(TODAY()),MONTH(TODAY()),L$2) &gt; TODAY(),
   "",
   IF(
     COUNTIFS(
       DuLieu!$B:$B,$B4,
       DuLieu!$C:$C,"&gt;="&amp;DATE(YEAR(TODAY()),MONTH(TODAY()),L$2),
       DuLieu!$C:$C,"&lt;"&amp;DATE(YEAR(TODAY()),MONTH(TODAY()),L$2)+1
     )&gt;0,
     "✅",
     "❌"
   )
)</f>
        <v/>
      </c>
      <c r="M4" s="29">
        <f>IF(
   DATE(YEAR(TODAY()),MONTH(TODAY()),M$2) &gt; TODAY(),
   "",
   IF(
     COUNTIFS(
       DuLieu!$B:$B,$B4,
       DuLieu!$C:$C,"&gt;="&amp;DATE(YEAR(TODAY()),MONTH(TODAY()),M$2),
       DuLieu!$C:$C,"&lt;"&amp;DATE(YEAR(TODAY()),MONTH(TODAY()),M$2)+1
     )&gt;0,
     "✅",
     "❌"
   )
)</f>
        <v/>
      </c>
      <c r="N4" s="29">
        <f>IF(
   DATE(YEAR(TODAY()),MONTH(TODAY()),N$2) &gt; TODAY(),
   "",
   IF(
     COUNTIFS(
       DuLieu!$B:$B,$B4,
       DuLieu!$C:$C,"&gt;="&amp;DATE(YEAR(TODAY()),MONTH(TODAY()),N$2),
       DuLieu!$C:$C,"&lt;"&amp;DATE(YEAR(TODAY()),MONTH(TODAY()),N$2)+1
     )&gt;0,
     "✅",
     "❌"
   )
)</f>
        <v/>
      </c>
      <c r="O4" s="29">
        <f>IF(
   DATE(YEAR(TODAY()),MONTH(TODAY()),O$2) &gt; TODAY(),
   "",
   IF(
     COUNTIFS(
       DuLieu!$B:$B,$B4,
       DuLieu!$C:$C,"&gt;="&amp;DATE(YEAR(TODAY()),MONTH(TODAY()),O$2),
       DuLieu!$C:$C,"&lt;"&amp;DATE(YEAR(TODAY()),MONTH(TODAY()),O$2)+1
     )&gt;0,
     "✅",
     "❌"
   )
)</f>
        <v/>
      </c>
      <c r="P4" s="29">
        <f>IF(
   DATE(YEAR(TODAY()),MONTH(TODAY()),P$2) &gt; TODAY(),
   "",
   IF(
     COUNTIFS(
       DuLieu!$B:$B,$B4,
       DuLieu!$C:$C,"&gt;="&amp;DATE(YEAR(TODAY()),MONTH(TODAY()),P$2),
       DuLieu!$C:$C,"&lt;"&amp;DATE(YEAR(TODAY()),MONTH(TODAY()),P$2)+1
     )&gt;0,
     "✅",
     "❌"
   )
)</f>
        <v/>
      </c>
      <c r="Q4" s="29">
        <f>IF(
   DATE(YEAR(TODAY()),MONTH(TODAY()),Q$2) &gt; TODAY(),
   "",
   IF(
     COUNTIFS(
       DuLieu!$B:$B,$B4,
       DuLieu!$C:$C,"&gt;="&amp;DATE(YEAR(TODAY()),MONTH(TODAY()),Q$2),
       DuLieu!$C:$C,"&lt;"&amp;DATE(YEAR(TODAY()),MONTH(TODAY()),Q$2)+1
     )&gt;0,
     "✅",
     "❌"
   )
)</f>
        <v/>
      </c>
      <c r="R4" s="29">
        <f>IF(
   DATE(YEAR(TODAY()),MONTH(TODAY()),R$2) &gt; TODAY(),
   "",
   IF(
     COUNTIFS(
       DuLieu!$B:$B,$B4,
       DuLieu!$C:$C,"&gt;="&amp;DATE(YEAR(TODAY()),MONTH(TODAY()),R$2),
       DuLieu!$C:$C,"&lt;"&amp;DATE(YEAR(TODAY()),MONTH(TODAY()),R$2)+1
     )&gt;0,
     "✅",
     "❌"
   )
)</f>
        <v/>
      </c>
      <c r="S4" s="29">
        <f>IF(
   DATE(YEAR(TODAY()),MONTH(TODAY()),S$2) &gt; TODAY(),
   "",
   IF(
     COUNTIFS(
       DuLieu!$B:$B,$B4,
       DuLieu!$C:$C,"&gt;="&amp;DATE(YEAR(TODAY()),MONTH(TODAY()),S$2),
       DuLieu!$C:$C,"&lt;"&amp;DATE(YEAR(TODAY()),MONTH(TODAY()),S$2)+1
     )&gt;0,
     "✅",
     "❌"
   )
)</f>
        <v/>
      </c>
      <c r="T4" s="29">
        <f>IF(
   DATE(YEAR(TODAY()),MONTH(TODAY()),T$2) &gt; TODAY(),
   "",
   IF(
     COUNTIFS(
       DuLieu!$B:$B,$B4,
       DuLieu!$C:$C,"&gt;="&amp;DATE(YEAR(TODAY()),MONTH(TODAY()),T$2),
       DuLieu!$C:$C,"&lt;"&amp;DATE(YEAR(TODAY()),MONTH(TODAY()),T$2)+1
     )&gt;0,
     "✅",
     "❌"
   )
)</f>
        <v/>
      </c>
      <c r="U4" s="29">
        <f>IF(
   DATE(YEAR(TODAY()),MONTH(TODAY()),U$2) &gt; TODAY(),
   "",
   IF(
     COUNTIFS(
       DuLieu!$B:$B,$B4,
       DuLieu!$C:$C,"&gt;="&amp;DATE(YEAR(TODAY()),MONTH(TODAY()),U$2),
       DuLieu!$C:$C,"&lt;"&amp;DATE(YEAR(TODAY()),MONTH(TODAY()),U$2)+1
     )&gt;0,
     "✅",
     "❌"
   )
)</f>
        <v/>
      </c>
      <c r="V4" s="29">
        <f>IF(
   DATE(YEAR(TODAY()),MONTH(TODAY()),V$2) &gt; TODAY(),
   "",
   IF(
     COUNTIFS(
       DuLieu!$B:$B,$B4,
       DuLieu!$C:$C,"&gt;="&amp;DATE(YEAR(TODAY()),MONTH(TODAY()),V$2),
       DuLieu!$C:$C,"&lt;"&amp;DATE(YEAR(TODAY()),MONTH(TODAY()),V$2)+1
     )&gt;0,
     "✅",
     "❌"
   )
)</f>
        <v/>
      </c>
      <c r="W4" s="29">
        <f>IF(
   DATE(YEAR(TODAY()),MONTH(TODAY()),W$2) &gt; TODAY(),
   "",
   IF(
     COUNTIFS(
       DuLieu!$B:$B,$B4,
       DuLieu!$C:$C,"&gt;="&amp;DATE(YEAR(TODAY()),MONTH(TODAY()),W$2),
       DuLieu!$C:$C,"&lt;"&amp;DATE(YEAR(TODAY()),MONTH(TODAY()),W$2)+1
     )&gt;0,
     "✅",
     "❌"
   )
)</f>
        <v/>
      </c>
      <c r="X4" s="29">
        <f>IF(
   DATE(YEAR(TODAY()),MONTH(TODAY()),X$2) &gt; TODAY(),
   "",
   IF(
     COUNTIFS(
       DuLieu!$B:$B,$B4,
       DuLieu!$C:$C,"&gt;="&amp;DATE(YEAR(TODAY()),MONTH(TODAY()),X$2),
       DuLieu!$C:$C,"&lt;"&amp;DATE(YEAR(TODAY()),MONTH(TODAY()),X$2)+1
     )&gt;0,
     "✅",
     "❌"
   )
)</f>
        <v/>
      </c>
      <c r="Y4" s="29">
        <f>IF(
   DATE(YEAR(TODAY()),MONTH(TODAY()),Y$2) &gt; TODAY(),
   "",
   IF(
     COUNTIFS(
       DuLieu!$B:$B,$B4,
       DuLieu!$C:$C,"&gt;="&amp;DATE(YEAR(TODAY()),MONTH(TODAY()),Y$2),
       DuLieu!$C:$C,"&lt;"&amp;DATE(YEAR(TODAY()),MONTH(TODAY()),Y$2)+1
     )&gt;0,
     "✅",
     "❌"
   )
)</f>
        <v/>
      </c>
      <c r="Z4" s="29">
        <f>IF(
   DATE(YEAR(TODAY()),MONTH(TODAY()),Z$2) &gt; TODAY(),
   "",
   IF(
     COUNTIFS(
       DuLieu!$B:$B,$B4,
       DuLieu!$C:$C,"&gt;="&amp;DATE(YEAR(TODAY()),MONTH(TODAY()),Z$2),
       DuLieu!$C:$C,"&lt;"&amp;DATE(YEAR(TODAY()),MONTH(TODAY()),Z$2)+1
     )&gt;0,
     "✅",
     "❌"
   )
)</f>
        <v/>
      </c>
      <c r="AA4" s="29">
        <f>IF(
   DATE(YEAR(TODAY()),MONTH(TODAY()),AA$2) &gt; TODAY(),
   "",
   IF(
     COUNTIFS(
       DuLieu!$B:$B,$B4,
       DuLieu!$C:$C,"&gt;="&amp;DATE(YEAR(TODAY()),MONTH(TODAY()),AA$2),
       DuLieu!$C:$C,"&lt;"&amp;DATE(YEAR(TODAY()),MONTH(TODAY()),AA$2)+1
     )&gt;0,
     "✅",
     "❌"
   )
)</f>
        <v/>
      </c>
      <c r="AB4" s="29">
        <f>IF(
   DATE(YEAR(TODAY()),MONTH(TODAY()),AB$2) &gt; TODAY(),
   "",
   IF(
     COUNTIFS(
       DuLieu!$B:$B,$B4,
       DuLieu!$C:$C,"&gt;="&amp;DATE(YEAR(TODAY()),MONTH(TODAY()),AB$2),
       DuLieu!$C:$C,"&lt;"&amp;DATE(YEAR(TODAY()),MONTH(TODAY()),AB$2)+1
     )&gt;0,
     "✅",
     "❌"
   )
)</f>
        <v/>
      </c>
      <c r="AC4" s="29">
        <f>IF(
   DATE(YEAR(TODAY()),MONTH(TODAY()),AC$2) &gt; TODAY(),
   "",
   IF(
     COUNTIFS(
       DuLieu!$B:$B,$B4,
       DuLieu!$C:$C,"&gt;="&amp;DATE(YEAR(TODAY()),MONTH(TODAY()),AC$2),
       DuLieu!$C:$C,"&lt;"&amp;DATE(YEAR(TODAY()),MONTH(TODAY()),AC$2)+1
     )&gt;0,
     "✅",
     "❌"
   )
)</f>
        <v/>
      </c>
      <c r="AD4" s="29">
        <f>IF(
   DATE(YEAR(TODAY()),MONTH(TODAY()),AD$2) &gt; TODAY(),
   "",
   IF(
     COUNTIFS(
       DuLieu!$B:$B,$B4,
       DuLieu!$C:$C,"&gt;="&amp;DATE(YEAR(TODAY()),MONTH(TODAY()),AD$2),
       DuLieu!$C:$C,"&lt;"&amp;DATE(YEAR(TODAY()),MONTH(TODAY()),AD$2)+1
     )&gt;0,
     "✅",
     "❌"
   )
)</f>
        <v/>
      </c>
      <c r="AE4" s="29">
        <f>IF(
   DATE(YEAR(TODAY()),MONTH(TODAY()),AE$2) &gt; TODAY(),
   "",
   IF(
     COUNTIFS(
       DuLieu!$B:$B,$B4,
       DuLieu!$C:$C,"&gt;="&amp;DATE(YEAR(TODAY()),MONTH(TODAY()),AE$2),
       DuLieu!$C:$C,"&lt;"&amp;DATE(YEAR(TODAY()),MONTH(TODAY()),AE$2)+1
     )&gt;0,
     "✅",
     "❌"
   )
)</f>
        <v/>
      </c>
      <c r="AF4" s="29">
        <f>IF(
   DATE(YEAR(TODAY()),MONTH(TODAY()),AF$2) &gt; TODAY(),
   "",
   IF(
     COUNTIFS(
       DuLieu!$B:$B,$B4,
       DuLieu!$C:$C,"&gt;="&amp;DATE(YEAR(TODAY()),MONTH(TODAY()),AF$2),
       DuLieu!$C:$C,"&lt;"&amp;DATE(YEAR(TODAY()),MONTH(TODAY()),AF$2)+1
     )&gt;0,
     "✅",
     "❌"
   )
)</f>
        <v/>
      </c>
      <c r="AG4" s="29">
        <f>IF(
   DATE(YEAR(TODAY()),MONTH(TODAY()),AG$2) &gt; TODAY(),
   "",
   IF(
     COUNTIFS(
       DuLieu!$B:$B,$B4,
       DuLieu!$C:$C,"&gt;="&amp;DATE(YEAR(TODAY()),MONTH(TODAY()),AG$2),
       DuLieu!$C:$C,"&lt;"&amp;DATE(YEAR(TODAY()),MONTH(TODAY()),AG$2)+1
     )&gt;0,
     "✅",
     "❌"
   )
)</f>
        <v/>
      </c>
    </row>
    <row r="5" ht="15.75" customHeight="1" s="117">
      <c r="A5" s="112" t="n">
        <v>3</v>
      </c>
      <c r="B5" s="27" t="inlineStr">
        <is>
          <t>Hoàng Văn Chất</t>
        </is>
      </c>
      <c r="C5" s="97">
        <f>IF(
   DATE(YEAR(TODAY()),MONTH(TODAY()),C$2) &gt; TODAY(),
   "",
   IF(
     COUNTIFS(
       DuLieu!$B:$B,$B5,
       DuLieu!$C:$C,"&gt;="&amp;DATE(YEAR(TODAY()),MONTH(TODAY()),C$2),
       DuLieu!$C:$C,"&lt;"&amp;DATE(YEAR(TODAY()),MONTH(TODAY()),C$2)+1
     )&gt;0,
     "✅",
     "❌"
   )
)</f>
        <v/>
      </c>
      <c r="D5" s="97">
        <f>IF(
   DATE(YEAR(TODAY()),MONTH(TODAY()),D$2) &gt; TODAY(),
   "",
   IF(
     COUNTIFS(
       DuLieu!$B:$B,$B5,
       DuLieu!$C:$C,"&gt;="&amp;DATE(YEAR(TODAY()),MONTH(TODAY()),D$2),
       DuLieu!$C:$C,"&lt;"&amp;DATE(YEAR(TODAY()),MONTH(TODAY()),D$2)+1
     )&gt;0,
     "✅",
     "❌"
   )
)</f>
        <v/>
      </c>
      <c r="E5" s="97">
        <f>IF(
   DATE(YEAR(TODAY()),MONTH(TODAY()),E$2) &gt; TODAY(),
   "",
   IF(
     COUNTIFS(
       DuLieu!$B:$B,$B5,
       DuLieu!$C:$C,"&gt;="&amp;DATE(YEAR(TODAY()),MONTH(TODAY()),E$2),
       DuLieu!$C:$C,"&lt;"&amp;DATE(YEAR(TODAY()),MONTH(TODAY()),E$2)+1
     )&gt;0,
     "✅",
     "❌"
   )
)</f>
        <v/>
      </c>
      <c r="F5" s="97">
        <f>IF(
   DATE(YEAR(TODAY()),MONTH(TODAY()),F$2) &gt; TODAY(),
   "",
   IF(
     COUNTIFS(
       DuLieu!$B:$B,$B5,
       DuLieu!$C:$C,"&gt;="&amp;DATE(YEAR(TODAY()),MONTH(TODAY()),F$2),
       DuLieu!$C:$C,"&lt;"&amp;DATE(YEAR(TODAY()),MONTH(TODAY()),F$2)+1
     )&gt;0,
     "✅",
     "❌"
   )
)</f>
        <v/>
      </c>
      <c r="G5" s="29">
        <f>IF(
   DATE(YEAR(TODAY()),MONTH(TODAY()),G$2) &gt; TODAY(),
   "",
   IF(
     COUNTIFS(
       DuLieu!$B:$B,$B5,
       DuLieu!$C:$C,"&gt;="&amp;DATE(YEAR(TODAY()),MONTH(TODAY()),G$2),
       DuLieu!$C:$C,"&lt;"&amp;DATE(YEAR(TODAY()),MONTH(TODAY()),G$2)+1
     )&gt;0,
     "✅",
     "❌"
   )
)</f>
        <v/>
      </c>
      <c r="H5" s="29">
        <f>IF(
   DATE(YEAR(TODAY()),MONTH(TODAY()),H$2) &gt; TODAY(),
   "",
   IF(
     COUNTIFS(
       DuLieu!$B:$B,$B5,
       DuLieu!$C:$C,"&gt;="&amp;DATE(YEAR(TODAY()),MONTH(TODAY()),H$2),
       DuLieu!$C:$C,"&lt;"&amp;DATE(YEAR(TODAY()),MONTH(TODAY()),H$2)+1
     )&gt;0,
     "✅",
     "❌"
   )
)</f>
        <v/>
      </c>
      <c r="I5" s="29">
        <f>IF(
   DATE(YEAR(TODAY()),MONTH(TODAY()),I$2) &gt; TODAY(),
   "",
   IF(
     COUNTIFS(
       DuLieu!$B:$B,$B5,
       DuLieu!$C:$C,"&gt;="&amp;DATE(YEAR(TODAY()),MONTH(TODAY()),I$2),
       DuLieu!$C:$C,"&lt;"&amp;DATE(YEAR(TODAY()),MONTH(TODAY()),I$2)+1
     )&gt;0,
     "✅",
     "❌"
   )
)</f>
        <v/>
      </c>
      <c r="J5" s="29">
        <f>IF(
   DATE(YEAR(TODAY()),MONTH(TODAY()),J$2) &gt; TODAY(),
   "",
   IF(
     COUNTIFS(
       DuLieu!$B:$B,$B5,
       DuLieu!$C:$C,"&gt;="&amp;DATE(YEAR(TODAY()),MONTH(TODAY()),J$2),
       DuLieu!$C:$C,"&lt;"&amp;DATE(YEAR(TODAY()),MONTH(TODAY()),J$2)+1
     )&gt;0,
     "✅",
     "❌"
   )
)</f>
        <v/>
      </c>
      <c r="K5" s="29">
        <f>IF(
   DATE(YEAR(TODAY()),MONTH(TODAY()),K$2) &gt; TODAY(),
   "",
   IF(
     COUNTIFS(
       DuLieu!$B:$B,$B5,
       DuLieu!$C:$C,"&gt;="&amp;DATE(YEAR(TODAY()),MONTH(TODAY()),K$2),
       DuLieu!$C:$C,"&lt;"&amp;DATE(YEAR(TODAY()),MONTH(TODAY()),K$2)+1
     )&gt;0,
     "✅",
     "❌"
   )
)</f>
        <v/>
      </c>
      <c r="L5" s="29">
        <f>IF(
   DATE(YEAR(TODAY()),MONTH(TODAY()),L$2) &gt; TODAY(),
   "",
   IF(
     COUNTIFS(
       DuLieu!$B:$B,$B5,
       DuLieu!$C:$C,"&gt;="&amp;DATE(YEAR(TODAY()),MONTH(TODAY()),L$2),
       DuLieu!$C:$C,"&lt;"&amp;DATE(YEAR(TODAY()),MONTH(TODAY()),L$2)+1
     )&gt;0,
     "✅",
     "❌"
   )
)</f>
        <v/>
      </c>
      <c r="M5" s="29">
        <f>IF(
   DATE(YEAR(TODAY()),MONTH(TODAY()),M$2) &gt; TODAY(),
   "",
   IF(
     COUNTIFS(
       DuLieu!$B:$B,$B5,
       DuLieu!$C:$C,"&gt;="&amp;DATE(YEAR(TODAY()),MONTH(TODAY()),M$2),
       DuLieu!$C:$C,"&lt;"&amp;DATE(YEAR(TODAY()),MONTH(TODAY()),M$2)+1
     )&gt;0,
     "✅",
     "❌"
   )
)</f>
        <v/>
      </c>
      <c r="N5" s="29">
        <f>IF(
   DATE(YEAR(TODAY()),MONTH(TODAY()),N$2) &gt; TODAY(),
   "",
   IF(
     COUNTIFS(
       DuLieu!$B:$B,$B5,
       DuLieu!$C:$C,"&gt;="&amp;DATE(YEAR(TODAY()),MONTH(TODAY()),N$2),
       DuLieu!$C:$C,"&lt;"&amp;DATE(YEAR(TODAY()),MONTH(TODAY()),N$2)+1
     )&gt;0,
     "✅",
     "❌"
   )
)</f>
        <v/>
      </c>
      <c r="O5" s="29">
        <f>IF(
   DATE(YEAR(TODAY()),MONTH(TODAY()),O$2) &gt; TODAY(),
   "",
   IF(
     COUNTIFS(
       DuLieu!$B:$B,$B5,
       DuLieu!$C:$C,"&gt;="&amp;DATE(YEAR(TODAY()),MONTH(TODAY()),O$2),
       DuLieu!$C:$C,"&lt;"&amp;DATE(YEAR(TODAY()),MONTH(TODAY()),O$2)+1
     )&gt;0,
     "✅",
     "❌"
   )
)</f>
        <v/>
      </c>
      <c r="P5" s="29">
        <f>IF(
   DATE(YEAR(TODAY()),MONTH(TODAY()),P$2) &gt; TODAY(),
   "",
   IF(
     COUNTIFS(
       DuLieu!$B:$B,$B5,
       DuLieu!$C:$C,"&gt;="&amp;DATE(YEAR(TODAY()),MONTH(TODAY()),P$2),
       DuLieu!$C:$C,"&lt;"&amp;DATE(YEAR(TODAY()),MONTH(TODAY()),P$2)+1
     )&gt;0,
     "✅",
     "❌"
   )
)</f>
        <v/>
      </c>
      <c r="Q5" s="29">
        <f>IF(
   DATE(YEAR(TODAY()),MONTH(TODAY()),Q$2) &gt; TODAY(),
   "",
   IF(
     COUNTIFS(
       DuLieu!$B:$B,$B5,
       DuLieu!$C:$C,"&gt;="&amp;DATE(YEAR(TODAY()),MONTH(TODAY()),Q$2),
       DuLieu!$C:$C,"&lt;"&amp;DATE(YEAR(TODAY()),MONTH(TODAY()),Q$2)+1
     )&gt;0,
     "✅",
     "❌"
   )
)</f>
        <v/>
      </c>
      <c r="R5" s="29">
        <f>IF(
   DATE(YEAR(TODAY()),MONTH(TODAY()),R$2) &gt; TODAY(),
   "",
   IF(
     COUNTIFS(
       DuLieu!$B:$B,$B5,
       DuLieu!$C:$C,"&gt;="&amp;DATE(YEAR(TODAY()),MONTH(TODAY()),R$2),
       DuLieu!$C:$C,"&lt;"&amp;DATE(YEAR(TODAY()),MONTH(TODAY()),R$2)+1
     )&gt;0,
     "✅",
     "❌"
   )
)</f>
        <v/>
      </c>
      <c r="S5" s="29">
        <f>IF(
   DATE(YEAR(TODAY()),MONTH(TODAY()),S$2) &gt; TODAY(),
   "",
   IF(
     COUNTIFS(
       DuLieu!$B:$B,$B5,
       DuLieu!$C:$C,"&gt;="&amp;DATE(YEAR(TODAY()),MONTH(TODAY()),S$2),
       DuLieu!$C:$C,"&lt;"&amp;DATE(YEAR(TODAY()),MONTH(TODAY()),S$2)+1
     )&gt;0,
     "✅",
     "❌"
   )
)</f>
        <v/>
      </c>
      <c r="T5" s="29">
        <f>IF(
   DATE(YEAR(TODAY()),MONTH(TODAY()),T$2) &gt; TODAY(),
   "",
   IF(
     COUNTIFS(
       DuLieu!$B:$B,$B5,
       DuLieu!$C:$C,"&gt;="&amp;DATE(YEAR(TODAY()),MONTH(TODAY()),T$2),
       DuLieu!$C:$C,"&lt;"&amp;DATE(YEAR(TODAY()),MONTH(TODAY()),T$2)+1
     )&gt;0,
     "✅",
     "❌"
   )
)</f>
        <v/>
      </c>
      <c r="U5" s="29">
        <f>IF(
   DATE(YEAR(TODAY()),MONTH(TODAY()),U$2) &gt; TODAY(),
   "",
   IF(
     COUNTIFS(
       DuLieu!$B:$B,$B5,
       DuLieu!$C:$C,"&gt;="&amp;DATE(YEAR(TODAY()),MONTH(TODAY()),U$2),
       DuLieu!$C:$C,"&lt;"&amp;DATE(YEAR(TODAY()),MONTH(TODAY()),U$2)+1
     )&gt;0,
     "✅",
     "❌"
   )
)</f>
        <v/>
      </c>
      <c r="V5" s="29">
        <f>IF(
   DATE(YEAR(TODAY()),MONTH(TODAY()),V$2) &gt; TODAY(),
   "",
   IF(
     COUNTIFS(
       DuLieu!$B:$B,$B5,
       DuLieu!$C:$C,"&gt;="&amp;DATE(YEAR(TODAY()),MONTH(TODAY()),V$2),
       DuLieu!$C:$C,"&lt;"&amp;DATE(YEAR(TODAY()),MONTH(TODAY()),V$2)+1
     )&gt;0,
     "✅",
     "❌"
   )
)</f>
        <v/>
      </c>
      <c r="W5" s="29">
        <f>IF(
   DATE(YEAR(TODAY()),MONTH(TODAY()),W$2) &gt; TODAY(),
   "",
   IF(
     COUNTIFS(
       DuLieu!$B:$B,$B5,
       DuLieu!$C:$C,"&gt;="&amp;DATE(YEAR(TODAY()),MONTH(TODAY()),W$2),
       DuLieu!$C:$C,"&lt;"&amp;DATE(YEAR(TODAY()),MONTH(TODAY()),W$2)+1
     )&gt;0,
     "✅",
     "❌"
   )
)</f>
        <v/>
      </c>
      <c r="X5" s="29">
        <f>IF(
   DATE(YEAR(TODAY()),MONTH(TODAY()),X$2) &gt; TODAY(),
   "",
   IF(
     COUNTIFS(
       DuLieu!$B:$B,$B5,
       DuLieu!$C:$C,"&gt;="&amp;DATE(YEAR(TODAY()),MONTH(TODAY()),X$2),
       DuLieu!$C:$C,"&lt;"&amp;DATE(YEAR(TODAY()),MONTH(TODAY()),X$2)+1
     )&gt;0,
     "✅",
     "❌"
   )
)</f>
        <v/>
      </c>
      <c r="Y5" s="29">
        <f>IF(
   DATE(YEAR(TODAY()),MONTH(TODAY()),Y$2) &gt; TODAY(),
   "",
   IF(
     COUNTIFS(
       DuLieu!$B:$B,$B5,
       DuLieu!$C:$C,"&gt;="&amp;DATE(YEAR(TODAY()),MONTH(TODAY()),Y$2),
       DuLieu!$C:$C,"&lt;"&amp;DATE(YEAR(TODAY()),MONTH(TODAY()),Y$2)+1
     )&gt;0,
     "✅",
     "❌"
   )
)</f>
        <v/>
      </c>
      <c r="Z5" s="29">
        <f>IF(
   DATE(YEAR(TODAY()),MONTH(TODAY()),Z$2) &gt; TODAY(),
   "",
   IF(
     COUNTIFS(
       DuLieu!$B:$B,$B5,
       DuLieu!$C:$C,"&gt;="&amp;DATE(YEAR(TODAY()),MONTH(TODAY()),Z$2),
       DuLieu!$C:$C,"&lt;"&amp;DATE(YEAR(TODAY()),MONTH(TODAY()),Z$2)+1
     )&gt;0,
     "✅",
     "❌"
   )
)</f>
        <v/>
      </c>
      <c r="AA5" s="29">
        <f>IF(
   DATE(YEAR(TODAY()),MONTH(TODAY()),AA$2) &gt; TODAY(),
   "",
   IF(
     COUNTIFS(
       DuLieu!$B:$B,$B5,
       DuLieu!$C:$C,"&gt;="&amp;DATE(YEAR(TODAY()),MONTH(TODAY()),AA$2),
       DuLieu!$C:$C,"&lt;"&amp;DATE(YEAR(TODAY()),MONTH(TODAY()),AA$2)+1
     )&gt;0,
     "✅",
     "❌"
   )
)</f>
        <v/>
      </c>
      <c r="AB5" s="29">
        <f>IF(
   DATE(YEAR(TODAY()),MONTH(TODAY()),AB$2) &gt; TODAY(),
   "",
   IF(
     COUNTIFS(
       DuLieu!$B:$B,$B5,
       DuLieu!$C:$C,"&gt;="&amp;DATE(YEAR(TODAY()),MONTH(TODAY()),AB$2),
       DuLieu!$C:$C,"&lt;"&amp;DATE(YEAR(TODAY()),MONTH(TODAY()),AB$2)+1
     )&gt;0,
     "✅",
     "❌"
   )
)</f>
        <v/>
      </c>
      <c r="AC5" s="29">
        <f>IF(
   DATE(YEAR(TODAY()),MONTH(TODAY()),AC$2) &gt; TODAY(),
   "",
   IF(
     COUNTIFS(
       DuLieu!$B:$B,$B5,
       DuLieu!$C:$C,"&gt;="&amp;DATE(YEAR(TODAY()),MONTH(TODAY()),AC$2),
       DuLieu!$C:$C,"&lt;"&amp;DATE(YEAR(TODAY()),MONTH(TODAY()),AC$2)+1
     )&gt;0,
     "✅",
     "❌"
   )
)</f>
        <v/>
      </c>
      <c r="AD5" s="29">
        <f>IF(
   DATE(YEAR(TODAY()),MONTH(TODAY()),AD$2) &gt; TODAY(),
   "",
   IF(
     COUNTIFS(
       DuLieu!$B:$B,$B5,
       DuLieu!$C:$C,"&gt;="&amp;DATE(YEAR(TODAY()),MONTH(TODAY()),AD$2),
       DuLieu!$C:$C,"&lt;"&amp;DATE(YEAR(TODAY()),MONTH(TODAY()),AD$2)+1
     )&gt;0,
     "✅",
     "❌"
   )
)</f>
        <v/>
      </c>
      <c r="AE5" s="29">
        <f>IF(
   DATE(YEAR(TODAY()),MONTH(TODAY()),AE$2) &gt; TODAY(),
   "",
   IF(
     COUNTIFS(
       DuLieu!$B:$B,$B5,
       DuLieu!$C:$C,"&gt;="&amp;DATE(YEAR(TODAY()),MONTH(TODAY()),AE$2),
       DuLieu!$C:$C,"&lt;"&amp;DATE(YEAR(TODAY()),MONTH(TODAY()),AE$2)+1
     )&gt;0,
     "✅",
     "❌"
   )
)</f>
        <v/>
      </c>
      <c r="AF5" s="29">
        <f>IF(
   DATE(YEAR(TODAY()),MONTH(TODAY()),AF$2) &gt; TODAY(),
   "",
   IF(
     COUNTIFS(
       DuLieu!$B:$B,$B5,
       DuLieu!$C:$C,"&gt;="&amp;DATE(YEAR(TODAY()),MONTH(TODAY()),AF$2),
       DuLieu!$C:$C,"&lt;"&amp;DATE(YEAR(TODAY()),MONTH(TODAY()),AF$2)+1
     )&gt;0,
     "✅",
     "❌"
   )
)</f>
        <v/>
      </c>
      <c r="AG5" s="29">
        <f>IF(
   DATE(YEAR(TODAY()),MONTH(TODAY()),AG$2) &gt; TODAY(),
   "",
   IF(
     COUNTIFS(
       DuLieu!$B:$B,$B5,
       DuLieu!$C:$C,"&gt;="&amp;DATE(YEAR(TODAY()),MONTH(TODAY()),AG$2),
       DuLieu!$C:$C,"&lt;"&amp;DATE(YEAR(TODAY()),MONTH(TODAY()),AG$2)+1
     )&gt;0,
     "✅",
     "❌"
   )
)</f>
        <v/>
      </c>
    </row>
    <row r="6" ht="15.75" customHeight="1" s="117">
      <c r="A6" s="112" t="n">
        <v>4</v>
      </c>
      <c r="B6" s="27" t="inlineStr">
        <is>
          <t>Huỳnh Văn Lực</t>
        </is>
      </c>
      <c r="C6" s="97">
        <f>IF(
   DATE(YEAR(TODAY()),MONTH(TODAY()),C$2) &gt; TODAY(),
   "",
   IF(
     COUNTIFS(
       DuLieu!$B:$B,$B6,
       DuLieu!$C:$C,"&gt;="&amp;DATE(YEAR(TODAY()),MONTH(TODAY()),C$2),
       DuLieu!$C:$C,"&lt;"&amp;DATE(YEAR(TODAY()),MONTH(TODAY()),C$2)+1
     )&gt;0,
     "✅",
     "❌"
   )
)</f>
        <v/>
      </c>
      <c r="D6" s="97">
        <f>IF(
   DATE(YEAR(TODAY()),MONTH(TODAY()),D$2) &gt; TODAY(),
   "",
   IF(
     COUNTIFS(
       DuLieu!$B:$B,$B6,
       DuLieu!$C:$C,"&gt;="&amp;DATE(YEAR(TODAY()),MONTH(TODAY()),D$2),
       DuLieu!$C:$C,"&lt;"&amp;DATE(YEAR(TODAY()),MONTH(TODAY()),D$2)+1
     )&gt;0,
     "✅",
     "❌"
   )
)</f>
        <v/>
      </c>
      <c r="E6" s="97">
        <f>IF(
   DATE(YEAR(TODAY()),MONTH(TODAY()),E$2) &gt; TODAY(),
   "",
   IF(
     COUNTIFS(
       DuLieu!$B:$B,$B6,
       DuLieu!$C:$C,"&gt;="&amp;DATE(YEAR(TODAY()),MONTH(TODAY()),E$2),
       DuLieu!$C:$C,"&lt;"&amp;DATE(YEAR(TODAY()),MONTH(TODAY()),E$2)+1
     )&gt;0,
     "✅",
     "❌"
   )
)</f>
        <v/>
      </c>
      <c r="F6" s="97">
        <f>IF(
   DATE(YEAR(TODAY()),MONTH(TODAY()),F$2) &gt; TODAY(),
   "",
   IF(
     COUNTIFS(
       DuLieu!$B:$B,$B6,
       DuLieu!$C:$C,"&gt;="&amp;DATE(YEAR(TODAY()),MONTH(TODAY()),F$2),
       DuLieu!$C:$C,"&lt;"&amp;DATE(YEAR(TODAY()),MONTH(TODAY()),F$2)+1
     )&gt;0,
     "✅",
     "❌"
   )
)</f>
        <v/>
      </c>
      <c r="G6" s="29">
        <f>IF(
   DATE(YEAR(TODAY()),MONTH(TODAY()),G$2) &gt; TODAY(),
   "",
   IF(
     COUNTIFS(
       DuLieu!$B:$B,$B6,
       DuLieu!$C:$C,"&gt;="&amp;DATE(YEAR(TODAY()),MONTH(TODAY()),G$2),
       DuLieu!$C:$C,"&lt;"&amp;DATE(YEAR(TODAY()),MONTH(TODAY()),G$2)+1
     )&gt;0,
     "✅",
     "❌"
   )
)</f>
        <v/>
      </c>
      <c r="H6" s="29">
        <f>IF(
   DATE(YEAR(TODAY()),MONTH(TODAY()),H$2) &gt; TODAY(),
   "",
   IF(
     COUNTIFS(
       DuLieu!$B:$B,$B6,
       DuLieu!$C:$C,"&gt;="&amp;DATE(YEAR(TODAY()),MONTH(TODAY()),H$2),
       DuLieu!$C:$C,"&lt;"&amp;DATE(YEAR(TODAY()),MONTH(TODAY()),H$2)+1
     )&gt;0,
     "✅",
     "❌"
   )
)</f>
        <v/>
      </c>
      <c r="I6" s="29">
        <f>IF(
   DATE(YEAR(TODAY()),MONTH(TODAY()),I$2) &gt; TODAY(),
   "",
   IF(
     COUNTIFS(
       DuLieu!$B:$B,$B6,
       DuLieu!$C:$C,"&gt;="&amp;DATE(YEAR(TODAY()),MONTH(TODAY()),I$2),
       DuLieu!$C:$C,"&lt;"&amp;DATE(YEAR(TODAY()),MONTH(TODAY()),I$2)+1
     )&gt;0,
     "✅",
     "❌"
   )
)</f>
        <v/>
      </c>
      <c r="J6" s="29">
        <f>IF(
   DATE(YEAR(TODAY()),MONTH(TODAY()),J$2) &gt; TODAY(),
   "",
   IF(
     COUNTIFS(
       DuLieu!$B:$B,$B6,
       DuLieu!$C:$C,"&gt;="&amp;DATE(YEAR(TODAY()),MONTH(TODAY()),J$2),
       DuLieu!$C:$C,"&lt;"&amp;DATE(YEAR(TODAY()),MONTH(TODAY()),J$2)+1
     )&gt;0,
     "✅",
     "❌"
   )
)</f>
        <v/>
      </c>
      <c r="K6" s="29">
        <f>IF(
   DATE(YEAR(TODAY()),MONTH(TODAY()),K$2) &gt; TODAY(),
   "",
   IF(
     COUNTIFS(
       DuLieu!$B:$B,$B6,
       DuLieu!$C:$C,"&gt;="&amp;DATE(YEAR(TODAY()),MONTH(TODAY()),K$2),
       DuLieu!$C:$C,"&lt;"&amp;DATE(YEAR(TODAY()),MONTH(TODAY()),K$2)+1
     )&gt;0,
     "✅",
     "❌"
   )
)</f>
        <v/>
      </c>
      <c r="L6" s="29">
        <f>IF(
   DATE(YEAR(TODAY()),MONTH(TODAY()),L$2) &gt; TODAY(),
   "",
   IF(
     COUNTIFS(
       DuLieu!$B:$B,$B6,
       DuLieu!$C:$C,"&gt;="&amp;DATE(YEAR(TODAY()),MONTH(TODAY()),L$2),
       DuLieu!$C:$C,"&lt;"&amp;DATE(YEAR(TODAY()),MONTH(TODAY()),L$2)+1
     )&gt;0,
     "✅",
     "❌"
   )
)</f>
        <v/>
      </c>
      <c r="M6" s="29">
        <f>IF(
   DATE(YEAR(TODAY()),MONTH(TODAY()),M$2) &gt; TODAY(),
   "",
   IF(
     COUNTIFS(
       DuLieu!$B:$B,$B6,
       DuLieu!$C:$C,"&gt;="&amp;DATE(YEAR(TODAY()),MONTH(TODAY()),M$2),
       DuLieu!$C:$C,"&lt;"&amp;DATE(YEAR(TODAY()),MONTH(TODAY()),M$2)+1
     )&gt;0,
     "✅",
     "❌"
   )
)</f>
        <v/>
      </c>
      <c r="N6" s="29">
        <f>IF(
   DATE(YEAR(TODAY()),MONTH(TODAY()),N$2) &gt; TODAY(),
   "",
   IF(
     COUNTIFS(
       DuLieu!$B:$B,$B6,
       DuLieu!$C:$C,"&gt;="&amp;DATE(YEAR(TODAY()),MONTH(TODAY()),N$2),
       DuLieu!$C:$C,"&lt;"&amp;DATE(YEAR(TODAY()),MONTH(TODAY()),N$2)+1
     )&gt;0,
     "✅",
     "❌"
   )
)</f>
        <v/>
      </c>
      <c r="O6" s="29">
        <f>IF(
   DATE(YEAR(TODAY()),MONTH(TODAY()),O$2) &gt; TODAY(),
   "",
   IF(
     COUNTIFS(
       DuLieu!$B:$B,$B6,
       DuLieu!$C:$C,"&gt;="&amp;DATE(YEAR(TODAY()),MONTH(TODAY()),O$2),
       DuLieu!$C:$C,"&lt;"&amp;DATE(YEAR(TODAY()),MONTH(TODAY()),O$2)+1
     )&gt;0,
     "✅",
     "❌"
   )
)</f>
        <v/>
      </c>
      <c r="P6" s="29">
        <f>IF(
   DATE(YEAR(TODAY()),MONTH(TODAY()),P$2) &gt; TODAY(),
   "",
   IF(
     COUNTIFS(
       DuLieu!$B:$B,$B6,
       DuLieu!$C:$C,"&gt;="&amp;DATE(YEAR(TODAY()),MONTH(TODAY()),P$2),
       DuLieu!$C:$C,"&lt;"&amp;DATE(YEAR(TODAY()),MONTH(TODAY()),P$2)+1
     )&gt;0,
     "✅",
     "❌"
   )
)</f>
        <v/>
      </c>
      <c r="Q6" s="29">
        <f>IF(
   DATE(YEAR(TODAY()),MONTH(TODAY()),Q$2) &gt; TODAY(),
   "",
   IF(
     COUNTIFS(
       DuLieu!$B:$B,$B6,
       DuLieu!$C:$C,"&gt;="&amp;DATE(YEAR(TODAY()),MONTH(TODAY()),Q$2),
       DuLieu!$C:$C,"&lt;"&amp;DATE(YEAR(TODAY()),MONTH(TODAY()),Q$2)+1
     )&gt;0,
     "✅",
     "❌"
   )
)</f>
        <v/>
      </c>
      <c r="R6" s="29">
        <f>IF(
   DATE(YEAR(TODAY()),MONTH(TODAY()),R$2) &gt; TODAY(),
   "",
   IF(
     COUNTIFS(
       DuLieu!$B:$B,$B6,
       DuLieu!$C:$C,"&gt;="&amp;DATE(YEAR(TODAY()),MONTH(TODAY()),R$2),
       DuLieu!$C:$C,"&lt;"&amp;DATE(YEAR(TODAY()),MONTH(TODAY()),R$2)+1
     )&gt;0,
     "✅",
     "❌"
   )
)</f>
        <v/>
      </c>
      <c r="S6" s="29">
        <f>IF(
   DATE(YEAR(TODAY()),MONTH(TODAY()),S$2) &gt; TODAY(),
   "",
   IF(
     COUNTIFS(
       DuLieu!$B:$B,$B6,
       DuLieu!$C:$C,"&gt;="&amp;DATE(YEAR(TODAY()),MONTH(TODAY()),S$2),
       DuLieu!$C:$C,"&lt;"&amp;DATE(YEAR(TODAY()),MONTH(TODAY()),S$2)+1
     )&gt;0,
     "✅",
     "❌"
   )
)</f>
        <v/>
      </c>
      <c r="T6" s="29">
        <f>IF(
   DATE(YEAR(TODAY()),MONTH(TODAY()),T$2) &gt; TODAY(),
   "",
   IF(
     COUNTIFS(
       DuLieu!$B:$B,$B6,
       DuLieu!$C:$C,"&gt;="&amp;DATE(YEAR(TODAY()),MONTH(TODAY()),T$2),
       DuLieu!$C:$C,"&lt;"&amp;DATE(YEAR(TODAY()),MONTH(TODAY()),T$2)+1
     )&gt;0,
     "✅",
     "❌"
   )
)</f>
        <v/>
      </c>
      <c r="U6" s="29">
        <f>IF(
   DATE(YEAR(TODAY()),MONTH(TODAY()),U$2) &gt; TODAY(),
   "",
   IF(
     COUNTIFS(
       DuLieu!$B:$B,$B6,
       DuLieu!$C:$C,"&gt;="&amp;DATE(YEAR(TODAY()),MONTH(TODAY()),U$2),
       DuLieu!$C:$C,"&lt;"&amp;DATE(YEAR(TODAY()),MONTH(TODAY()),U$2)+1
     )&gt;0,
     "✅",
     "❌"
   )
)</f>
        <v/>
      </c>
      <c r="V6" s="29">
        <f>IF(
   DATE(YEAR(TODAY()),MONTH(TODAY()),V$2) &gt; TODAY(),
   "",
   IF(
     COUNTIFS(
       DuLieu!$B:$B,$B6,
       DuLieu!$C:$C,"&gt;="&amp;DATE(YEAR(TODAY()),MONTH(TODAY()),V$2),
       DuLieu!$C:$C,"&lt;"&amp;DATE(YEAR(TODAY()),MONTH(TODAY()),V$2)+1
     )&gt;0,
     "✅",
     "❌"
   )
)</f>
        <v/>
      </c>
      <c r="W6" s="29">
        <f>IF(
   DATE(YEAR(TODAY()),MONTH(TODAY()),W$2) &gt; TODAY(),
   "",
   IF(
     COUNTIFS(
       DuLieu!$B:$B,$B6,
       DuLieu!$C:$C,"&gt;="&amp;DATE(YEAR(TODAY()),MONTH(TODAY()),W$2),
       DuLieu!$C:$C,"&lt;"&amp;DATE(YEAR(TODAY()),MONTH(TODAY()),W$2)+1
     )&gt;0,
     "✅",
     "❌"
   )
)</f>
        <v/>
      </c>
      <c r="X6" s="29">
        <f>IF(
   DATE(YEAR(TODAY()),MONTH(TODAY()),X$2) &gt; TODAY(),
   "",
   IF(
     COUNTIFS(
       DuLieu!$B:$B,$B6,
       DuLieu!$C:$C,"&gt;="&amp;DATE(YEAR(TODAY()),MONTH(TODAY()),X$2),
       DuLieu!$C:$C,"&lt;"&amp;DATE(YEAR(TODAY()),MONTH(TODAY()),X$2)+1
     )&gt;0,
     "✅",
     "❌"
   )
)</f>
        <v/>
      </c>
      <c r="Y6" s="29">
        <f>IF(
   DATE(YEAR(TODAY()),MONTH(TODAY()),Y$2) &gt; TODAY(),
   "",
   IF(
     COUNTIFS(
       DuLieu!$B:$B,$B6,
       DuLieu!$C:$C,"&gt;="&amp;DATE(YEAR(TODAY()),MONTH(TODAY()),Y$2),
       DuLieu!$C:$C,"&lt;"&amp;DATE(YEAR(TODAY()),MONTH(TODAY()),Y$2)+1
     )&gt;0,
     "✅",
     "❌"
   )
)</f>
        <v/>
      </c>
      <c r="Z6" s="29">
        <f>IF(
   DATE(YEAR(TODAY()),MONTH(TODAY()),Z$2) &gt; TODAY(),
   "",
   IF(
     COUNTIFS(
       DuLieu!$B:$B,$B6,
       DuLieu!$C:$C,"&gt;="&amp;DATE(YEAR(TODAY()),MONTH(TODAY()),Z$2),
       DuLieu!$C:$C,"&lt;"&amp;DATE(YEAR(TODAY()),MONTH(TODAY()),Z$2)+1
     )&gt;0,
     "✅",
     "❌"
   )
)</f>
        <v/>
      </c>
      <c r="AA6" s="29">
        <f>IF(
   DATE(YEAR(TODAY()),MONTH(TODAY()),AA$2) &gt; TODAY(),
   "",
   IF(
     COUNTIFS(
       DuLieu!$B:$B,$B6,
       DuLieu!$C:$C,"&gt;="&amp;DATE(YEAR(TODAY()),MONTH(TODAY()),AA$2),
       DuLieu!$C:$C,"&lt;"&amp;DATE(YEAR(TODAY()),MONTH(TODAY()),AA$2)+1
     )&gt;0,
     "✅",
     "❌"
   )
)</f>
        <v/>
      </c>
      <c r="AB6" s="29">
        <f>IF(
   DATE(YEAR(TODAY()),MONTH(TODAY()),AB$2) &gt; TODAY(),
   "",
   IF(
     COUNTIFS(
       DuLieu!$B:$B,$B6,
       DuLieu!$C:$C,"&gt;="&amp;DATE(YEAR(TODAY()),MONTH(TODAY()),AB$2),
       DuLieu!$C:$C,"&lt;"&amp;DATE(YEAR(TODAY()),MONTH(TODAY()),AB$2)+1
     )&gt;0,
     "✅",
     "❌"
   )
)</f>
        <v/>
      </c>
      <c r="AC6" s="29">
        <f>IF(
   DATE(YEAR(TODAY()),MONTH(TODAY()),AC$2) &gt; TODAY(),
   "",
   IF(
     COUNTIFS(
       DuLieu!$B:$B,$B6,
       DuLieu!$C:$C,"&gt;="&amp;DATE(YEAR(TODAY()),MONTH(TODAY()),AC$2),
       DuLieu!$C:$C,"&lt;"&amp;DATE(YEAR(TODAY()),MONTH(TODAY()),AC$2)+1
     )&gt;0,
     "✅",
     "❌"
   )
)</f>
        <v/>
      </c>
      <c r="AD6" s="29">
        <f>IF(
   DATE(YEAR(TODAY()),MONTH(TODAY()),AD$2) &gt; TODAY(),
   "",
   IF(
     COUNTIFS(
       DuLieu!$B:$B,$B6,
       DuLieu!$C:$C,"&gt;="&amp;DATE(YEAR(TODAY()),MONTH(TODAY()),AD$2),
       DuLieu!$C:$C,"&lt;"&amp;DATE(YEAR(TODAY()),MONTH(TODAY()),AD$2)+1
     )&gt;0,
     "✅",
     "❌"
   )
)</f>
        <v/>
      </c>
      <c r="AE6" s="29">
        <f>IF(
   DATE(YEAR(TODAY()),MONTH(TODAY()),AE$2) &gt; TODAY(),
   "",
   IF(
     COUNTIFS(
       DuLieu!$B:$B,$B6,
       DuLieu!$C:$C,"&gt;="&amp;DATE(YEAR(TODAY()),MONTH(TODAY()),AE$2),
       DuLieu!$C:$C,"&lt;"&amp;DATE(YEAR(TODAY()),MONTH(TODAY()),AE$2)+1
     )&gt;0,
     "✅",
     "❌"
   )
)</f>
        <v/>
      </c>
      <c r="AF6" s="29">
        <f>IF(
   DATE(YEAR(TODAY()),MONTH(TODAY()),AF$2) &gt; TODAY(),
   "",
   IF(
     COUNTIFS(
       DuLieu!$B:$B,$B6,
       DuLieu!$C:$C,"&gt;="&amp;DATE(YEAR(TODAY()),MONTH(TODAY()),AF$2),
       DuLieu!$C:$C,"&lt;"&amp;DATE(YEAR(TODAY()),MONTH(TODAY()),AF$2)+1
     )&gt;0,
     "✅",
     "❌"
   )
)</f>
        <v/>
      </c>
      <c r="AG6" s="29">
        <f>IF(
   DATE(YEAR(TODAY()),MONTH(TODAY()),AG$2) &gt; TODAY(),
   "",
   IF(
     COUNTIFS(
       DuLieu!$B:$B,$B6,
       DuLieu!$C:$C,"&gt;="&amp;DATE(YEAR(TODAY()),MONTH(TODAY()),AG$2),
       DuLieu!$C:$C,"&lt;"&amp;DATE(YEAR(TODAY()),MONTH(TODAY()),AG$2)+1
     )&gt;0,
     "✅",
     "❌"
   )
)</f>
        <v/>
      </c>
    </row>
    <row r="7" ht="15.75" customHeight="1" s="117">
      <c r="A7" s="112" t="n">
        <v>5</v>
      </c>
      <c r="B7" s="27" t="inlineStr">
        <is>
          <t>Hồ Thái Minh Trí</t>
        </is>
      </c>
      <c r="C7" s="97">
        <f>IF(
   DATE(YEAR(TODAY()),MONTH(TODAY()),C$2) &gt; TODAY(),
   "",
   IF(
     COUNTIFS(
       DuLieu!$B:$B,$B7,
       DuLieu!$C:$C,"&gt;="&amp;DATE(YEAR(TODAY()),MONTH(TODAY()),C$2),
       DuLieu!$C:$C,"&lt;"&amp;DATE(YEAR(TODAY()),MONTH(TODAY()),C$2)+1
     )&gt;0,
     "✅",
     "❌"
   )
)</f>
        <v/>
      </c>
      <c r="D7" s="97">
        <f>IF(
   DATE(YEAR(TODAY()),MONTH(TODAY()),D$2) &gt; TODAY(),
   "",
   IF(
     COUNTIFS(
       DuLieu!$B:$B,$B7,
       DuLieu!$C:$C,"&gt;="&amp;DATE(YEAR(TODAY()),MONTH(TODAY()),D$2),
       DuLieu!$C:$C,"&lt;"&amp;DATE(YEAR(TODAY()),MONTH(TODAY()),D$2)+1
     )&gt;0,
     "✅",
     "❌"
   )
)</f>
        <v/>
      </c>
      <c r="E7" s="97">
        <f>IF(
   DATE(YEAR(TODAY()),MONTH(TODAY()),E$2) &gt; TODAY(),
   "",
   IF(
     COUNTIFS(
       DuLieu!$B:$B,$B7,
       DuLieu!$C:$C,"&gt;="&amp;DATE(YEAR(TODAY()),MONTH(TODAY()),E$2),
       DuLieu!$C:$C,"&lt;"&amp;DATE(YEAR(TODAY()),MONTH(TODAY()),E$2)+1
     )&gt;0,
     "✅",
     "❌"
   )
)</f>
        <v/>
      </c>
      <c r="F7" s="97">
        <f>IF(
   DATE(YEAR(TODAY()),MONTH(TODAY()),F$2) &gt; TODAY(),
   "",
   IF(
     COUNTIFS(
       DuLieu!$B:$B,$B7,
       DuLieu!$C:$C,"&gt;="&amp;DATE(YEAR(TODAY()),MONTH(TODAY()),F$2),
       DuLieu!$C:$C,"&lt;"&amp;DATE(YEAR(TODAY()),MONTH(TODAY()),F$2)+1
     )&gt;0,
     "✅",
     "❌"
   )
)</f>
        <v/>
      </c>
      <c r="G7" s="29">
        <f>IF(
   DATE(YEAR(TODAY()),MONTH(TODAY()),G$2) &gt; TODAY(),
   "",
   IF(
     COUNTIFS(
       DuLieu!$B:$B,$B7,
       DuLieu!$C:$C,"&gt;="&amp;DATE(YEAR(TODAY()),MONTH(TODAY()),G$2),
       DuLieu!$C:$C,"&lt;"&amp;DATE(YEAR(TODAY()),MONTH(TODAY()),G$2)+1
     )&gt;0,
     "✅",
     "❌"
   )
)</f>
        <v/>
      </c>
      <c r="H7" s="29">
        <f>IF(
   DATE(YEAR(TODAY()),MONTH(TODAY()),H$2) &gt; TODAY(),
   "",
   IF(
     COUNTIFS(
       DuLieu!$B:$B,$B7,
       DuLieu!$C:$C,"&gt;="&amp;DATE(YEAR(TODAY()),MONTH(TODAY()),H$2),
       DuLieu!$C:$C,"&lt;"&amp;DATE(YEAR(TODAY()),MONTH(TODAY()),H$2)+1
     )&gt;0,
     "✅",
     "❌"
   )
)</f>
        <v/>
      </c>
      <c r="I7" s="29">
        <f>IF(
   DATE(YEAR(TODAY()),MONTH(TODAY()),I$2) &gt; TODAY(),
   "",
   IF(
     COUNTIFS(
       DuLieu!$B:$B,$B7,
       DuLieu!$C:$C,"&gt;="&amp;DATE(YEAR(TODAY()),MONTH(TODAY()),I$2),
       DuLieu!$C:$C,"&lt;"&amp;DATE(YEAR(TODAY()),MONTH(TODAY()),I$2)+1
     )&gt;0,
     "✅",
     "❌"
   )
)</f>
        <v/>
      </c>
      <c r="J7" s="29">
        <f>IF(
   DATE(YEAR(TODAY()),MONTH(TODAY()),J$2) &gt; TODAY(),
   "",
   IF(
     COUNTIFS(
       DuLieu!$B:$B,$B7,
       DuLieu!$C:$C,"&gt;="&amp;DATE(YEAR(TODAY()),MONTH(TODAY()),J$2),
       DuLieu!$C:$C,"&lt;"&amp;DATE(YEAR(TODAY()),MONTH(TODAY()),J$2)+1
     )&gt;0,
     "✅",
     "❌"
   )
)</f>
        <v/>
      </c>
      <c r="K7" s="29">
        <f>IF(
   DATE(YEAR(TODAY()),MONTH(TODAY()),K$2) &gt; TODAY(),
   "",
   IF(
     COUNTIFS(
       DuLieu!$B:$B,$B7,
       DuLieu!$C:$C,"&gt;="&amp;DATE(YEAR(TODAY()),MONTH(TODAY()),K$2),
       DuLieu!$C:$C,"&lt;"&amp;DATE(YEAR(TODAY()),MONTH(TODAY()),K$2)+1
     )&gt;0,
     "✅",
     "❌"
   )
)</f>
        <v/>
      </c>
      <c r="L7" s="29">
        <f>IF(
   DATE(YEAR(TODAY()),MONTH(TODAY()),L$2) &gt; TODAY(),
   "",
   IF(
     COUNTIFS(
       DuLieu!$B:$B,$B7,
       DuLieu!$C:$C,"&gt;="&amp;DATE(YEAR(TODAY()),MONTH(TODAY()),L$2),
       DuLieu!$C:$C,"&lt;"&amp;DATE(YEAR(TODAY()),MONTH(TODAY()),L$2)+1
     )&gt;0,
     "✅",
     "❌"
   )
)</f>
        <v/>
      </c>
      <c r="M7" s="29">
        <f>IF(
   DATE(YEAR(TODAY()),MONTH(TODAY()),M$2) &gt; TODAY(),
   "",
   IF(
     COUNTIFS(
       DuLieu!$B:$B,$B7,
       DuLieu!$C:$C,"&gt;="&amp;DATE(YEAR(TODAY()),MONTH(TODAY()),M$2),
       DuLieu!$C:$C,"&lt;"&amp;DATE(YEAR(TODAY()),MONTH(TODAY()),M$2)+1
     )&gt;0,
     "✅",
     "❌"
   )
)</f>
        <v/>
      </c>
      <c r="N7" s="29">
        <f>IF(
   DATE(YEAR(TODAY()),MONTH(TODAY()),N$2) &gt; TODAY(),
   "",
   IF(
     COUNTIFS(
       DuLieu!$B:$B,$B7,
       DuLieu!$C:$C,"&gt;="&amp;DATE(YEAR(TODAY()),MONTH(TODAY()),N$2),
       DuLieu!$C:$C,"&lt;"&amp;DATE(YEAR(TODAY()),MONTH(TODAY()),N$2)+1
     )&gt;0,
     "✅",
     "❌"
   )
)</f>
        <v/>
      </c>
      <c r="O7" s="29">
        <f>IF(
   DATE(YEAR(TODAY()),MONTH(TODAY()),O$2) &gt; TODAY(),
   "",
   IF(
     COUNTIFS(
       DuLieu!$B:$B,$B7,
       DuLieu!$C:$C,"&gt;="&amp;DATE(YEAR(TODAY()),MONTH(TODAY()),O$2),
       DuLieu!$C:$C,"&lt;"&amp;DATE(YEAR(TODAY()),MONTH(TODAY()),O$2)+1
     )&gt;0,
     "✅",
     "❌"
   )
)</f>
        <v/>
      </c>
      <c r="P7" s="29">
        <f>IF(
   DATE(YEAR(TODAY()),MONTH(TODAY()),P$2) &gt; TODAY(),
   "",
   IF(
     COUNTIFS(
       DuLieu!$B:$B,$B7,
       DuLieu!$C:$C,"&gt;="&amp;DATE(YEAR(TODAY()),MONTH(TODAY()),P$2),
       DuLieu!$C:$C,"&lt;"&amp;DATE(YEAR(TODAY()),MONTH(TODAY()),P$2)+1
     )&gt;0,
     "✅",
     "❌"
   )
)</f>
        <v/>
      </c>
      <c r="Q7" s="29">
        <f>IF(
   DATE(YEAR(TODAY()),MONTH(TODAY()),Q$2) &gt; TODAY(),
   "",
   IF(
     COUNTIFS(
       DuLieu!$B:$B,$B7,
       DuLieu!$C:$C,"&gt;="&amp;DATE(YEAR(TODAY()),MONTH(TODAY()),Q$2),
       DuLieu!$C:$C,"&lt;"&amp;DATE(YEAR(TODAY()),MONTH(TODAY()),Q$2)+1
     )&gt;0,
     "✅",
     "❌"
   )
)</f>
        <v/>
      </c>
      <c r="R7" s="29">
        <f>IF(
   DATE(YEAR(TODAY()),MONTH(TODAY()),R$2) &gt; TODAY(),
   "",
   IF(
     COUNTIFS(
       DuLieu!$B:$B,$B7,
       DuLieu!$C:$C,"&gt;="&amp;DATE(YEAR(TODAY()),MONTH(TODAY()),R$2),
       DuLieu!$C:$C,"&lt;"&amp;DATE(YEAR(TODAY()),MONTH(TODAY()),R$2)+1
     )&gt;0,
     "✅",
     "❌"
   )
)</f>
        <v/>
      </c>
      <c r="S7" s="29">
        <f>IF(
   DATE(YEAR(TODAY()),MONTH(TODAY()),S$2) &gt; TODAY(),
   "",
   IF(
     COUNTIFS(
       DuLieu!$B:$B,$B7,
       DuLieu!$C:$C,"&gt;="&amp;DATE(YEAR(TODAY()),MONTH(TODAY()),S$2),
       DuLieu!$C:$C,"&lt;"&amp;DATE(YEAR(TODAY()),MONTH(TODAY()),S$2)+1
     )&gt;0,
     "✅",
     "❌"
   )
)</f>
        <v/>
      </c>
      <c r="T7" s="29">
        <f>IF(
   DATE(YEAR(TODAY()),MONTH(TODAY()),T$2) &gt; TODAY(),
   "",
   IF(
     COUNTIFS(
       DuLieu!$B:$B,$B7,
       DuLieu!$C:$C,"&gt;="&amp;DATE(YEAR(TODAY()),MONTH(TODAY()),T$2),
       DuLieu!$C:$C,"&lt;"&amp;DATE(YEAR(TODAY()),MONTH(TODAY()),T$2)+1
     )&gt;0,
     "✅",
     "❌"
   )
)</f>
        <v/>
      </c>
      <c r="U7" s="29">
        <f>IF(
   DATE(YEAR(TODAY()),MONTH(TODAY()),U$2) &gt; TODAY(),
   "",
   IF(
     COUNTIFS(
       DuLieu!$B:$B,$B7,
       DuLieu!$C:$C,"&gt;="&amp;DATE(YEAR(TODAY()),MONTH(TODAY()),U$2),
       DuLieu!$C:$C,"&lt;"&amp;DATE(YEAR(TODAY()),MONTH(TODAY()),U$2)+1
     )&gt;0,
     "✅",
     "❌"
   )
)</f>
        <v/>
      </c>
      <c r="V7" s="29">
        <f>IF(
   DATE(YEAR(TODAY()),MONTH(TODAY()),V$2) &gt; TODAY(),
   "",
   IF(
     COUNTIFS(
       DuLieu!$B:$B,$B7,
       DuLieu!$C:$C,"&gt;="&amp;DATE(YEAR(TODAY()),MONTH(TODAY()),V$2),
       DuLieu!$C:$C,"&lt;"&amp;DATE(YEAR(TODAY()),MONTH(TODAY()),V$2)+1
     )&gt;0,
     "✅",
     "❌"
   )
)</f>
        <v/>
      </c>
      <c r="W7" s="29">
        <f>IF(
   DATE(YEAR(TODAY()),MONTH(TODAY()),W$2) &gt; TODAY(),
   "",
   IF(
     COUNTIFS(
       DuLieu!$B:$B,$B7,
       DuLieu!$C:$C,"&gt;="&amp;DATE(YEAR(TODAY()),MONTH(TODAY()),W$2),
       DuLieu!$C:$C,"&lt;"&amp;DATE(YEAR(TODAY()),MONTH(TODAY()),W$2)+1
     )&gt;0,
     "✅",
     "❌"
   )
)</f>
        <v/>
      </c>
      <c r="X7" s="29">
        <f>IF(
   DATE(YEAR(TODAY()),MONTH(TODAY()),X$2) &gt; TODAY(),
   "",
   IF(
     COUNTIFS(
       DuLieu!$B:$B,$B7,
       DuLieu!$C:$C,"&gt;="&amp;DATE(YEAR(TODAY()),MONTH(TODAY()),X$2),
       DuLieu!$C:$C,"&lt;"&amp;DATE(YEAR(TODAY()),MONTH(TODAY()),X$2)+1
     )&gt;0,
     "✅",
     "❌"
   )
)</f>
        <v/>
      </c>
      <c r="Y7" s="29">
        <f>IF(
   DATE(YEAR(TODAY()),MONTH(TODAY()),Y$2) &gt; TODAY(),
   "",
   IF(
     COUNTIFS(
       DuLieu!$B:$B,$B7,
       DuLieu!$C:$C,"&gt;="&amp;DATE(YEAR(TODAY()),MONTH(TODAY()),Y$2),
       DuLieu!$C:$C,"&lt;"&amp;DATE(YEAR(TODAY()),MONTH(TODAY()),Y$2)+1
     )&gt;0,
     "✅",
     "❌"
   )
)</f>
        <v/>
      </c>
      <c r="Z7" s="29">
        <f>IF(
   DATE(YEAR(TODAY()),MONTH(TODAY()),Z$2) &gt; TODAY(),
   "",
   IF(
     COUNTIFS(
       DuLieu!$B:$B,$B7,
       DuLieu!$C:$C,"&gt;="&amp;DATE(YEAR(TODAY()),MONTH(TODAY()),Z$2),
       DuLieu!$C:$C,"&lt;"&amp;DATE(YEAR(TODAY()),MONTH(TODAY()),Z$2)+1
     )&gt;0,
     "✅",
     "❌"
   )
)</f>
        <v/>
      </c>
      <c r="AA7" s="29">
        <f>IF(
   DATE(YEAR(TODAY()),MONTH(TODAY()),AA$2) &gt; TODAY(),
   "",
   IF(
     COUNTIFS(
       DuLieu!$B:$B,$B7,
       DuLieu!$C:$C,"&gt;="&amp;DATE(YEAR(TODAY()),MONTH(TODAY()),AA$2),
       DuLieu!$C:$C,"&lt;"&amp;DATE(YEAR(TODAY()),MONTH(TODAY()),AA$2)+1
     )&gt;0,
     "✅",
     "❌"
   )
)</f>
        <v/>
      </c>
      <c r="AB7" s="29">
        <f>IF(
   DATE(YEAR(TODAY()),MONTH(TODAY()),AB$2) &gt; TODAY(),
   "",
   IF(
     COUNTIFS(
       DuLieu!$B:$B,$B7,
       DuLieu!$C:$C,"&gt;="&amp;DATE(YEAR(TODAY()),MONTH(TODAY()),AB$2),
       DuLieu!$C:$C,"&lt;"&amp;DATE(YEAR(TODAY()),MONTH(TODAY()),AB$2)+1
     )&gt;0,
     "✅",
     "❌"
   )
)</f>
        <v/>
      </c>
      <c r="AC7" s="29">
        <f>IF(
   DATE(YEAR(TODAY()),MONTH(TODAY()),AC$2) &gt; TODAY(),
   "",
   IF(
     COUNTIFS(
       DuLieu!$B:$B,$B7,
       DuLieu!$C:$C,"&gt;="&amp;DATE(YEAR(TODAY()),MONTH(TODAY()),AC$2),
       DuLieu!$C:$C,"&lt;"&amp;DATE(YEAR(TODAY()),MONTH(TODAY()),AC$2)+1
     )&gt;0,
     "✅",
     "❌"
   )
)</f>
        <v/>
      </c>
      <c r="AD7" s="29">
        <f>IF(
   DATE(YEAR(TODAY()),MONTH(TODAY()),AD$2) &gt; TODAY(),
   "",
   IF(
     COUNTIFS(
       DuLieu!$B:$B,$B7,
       DuLieu!$C:$C,"&gt;="&amp;DATE(YEAR(TODAY()),MONTH(TODAY()),AD$2),
       DuLieu!$C:$C,"&lt;"&amp;DATE(YEAR(TODAY()),MONTH(TODAY()),AD$2)+1
     )&gt;0,
     "✅",
     "❌"
   )
)</f>
        <v/>
      </c>
      <c r="AE7" s="29">
        <f>IF(
   DATE(YEAR(TODAY()),MONTH(TODAY()),AE$2) &gt; TODAY(),
   "",
   IF(
     COUNTIFS(
       DuLieu!$B:$B,$B7,
       DuLieu!$C:$C,"&gt;="&amp;DATE(YEAR(TODAY()),MONTH(TODAY()),AE$2),
       DuLieu!$C:$C,"&lt;"&amp;DATE(YEAR(TODAY()),MONTH(TODAY()),AE$2)+1
     )&gt;0,
     "✅",
     "❌"
   )
)</f>
        <v/>
      </c>
      <c r="AF7" s="29">
        <f>IF(
   DATE(YEAR(TODAY()),MONTH(TODAY()),AF$2) &gt; TODAY(),
   "",
   IF(
     COUNTIFS(
       DuLieu!$B:$B,$B7,
       DuLieu!$C:$C,"&gt;="&amp;DATE(YEAR(TODAY()),MONTH(TODAY()),AF$2),
       DuLieu!$C:$C,"&lt;"&amp;DATE(YEAR(TODAY()),MONTH(TODAY()),AF$2)+1
     )&gt;0,
     "✅",
     "❌"
   )
)</f>
        <v/>
      </c>
      <c r="AG7" s="29">
        <f>IF(
   DATE(YEAR(TODAY()),MONTH(TODAY()),AG$2) &gt; TODAY(),
   "",
   IF(
     COUNTIFS(
       DuLieu!$B:$B,$B7,
       DuLieu!$C:$C,"&gt;="&amp;DATE(YEAR(TODAY()),MONTH(TODAY()),AG$2),
       DuLieu!$C:$C,"&lt;"&amp;DATE(YEAR(TODAY()),MONTH(TODAY()),AG$2)+1
     )&gt;0,
     "✅",
     "❌"
   )
)</f>
        <v/>
      </c>
    </row>
    <row r="8" ht="15.75" customHeight="1" s="117">
      <c r="A8" s="112" t="n">
        <v>6</v>
      </c>
      <c r="B8" s="27" t="inlineStr">
        <is>
          <t>Hồ Xuân Việt</t>
        </is>
      </c>
      <c r="C8" s="97">
        <f>IF(
   DATE(YEAR(TODAY()),MONTH(TODAY()),C$2) &gt; TODAY(),
   "",
   IF(
     COUNTIFS(
       DuLieu!$B:$B,$B8,
       DuLieu!$C:$C,"&gt;="&amp;DATE(YEAR(TODAY()),MONTH(TODAY()),C$2),
       DuLieu!$C:$C,"&lt;"&amp;DATE(YEAR(TODAY()),MONTH(TODAY()),C$2)+1
     )&gt;0,
     "✅",
     "❌"
   )
)</f>
        <v/>
      </c>
      <c r="D8" s="97">
        <f>IF(
   DATE(YEAR(TODAY()),MONTH(TODAY()),D$2) &gt; TODAY(),
   "",
   IF(
     COUNTIFS(
       DuLieu!$B:$B,$B8,
       DuLieu!$C:$C,"&gt;="&amp;DATE(YEAR(TODAY()),MONTH(TODAY()),D$2),
       DuLieu!$C:$C,"&lt;"&amp;DATE(YEAR(TODAY()),MONTH(TODAY()),D$2)+1
     )&gt;0,
     "✅",
     "❌"
   )
)</f>
        <v/>
      </c>
      <c r="E8" s="97">
        <f>IF(
   DATE(YEAR(TODAY()),MONTH(TODAY()),E$2) &gt; TODAY(),
   "",
   IF(
     COUNTIFS(
       DuLieu!$B:$B,$B8,
       DuLieu!$C:$C,"&gt;="&amp;DATE(YEAR(TODAY()),MONTH(TODAY()),E$2),
       DuLieu!$C:$C,"&lt;"&amp;DATE(YEAR(TODAY()),MONTH(TODAY()),E$2)+1
     )&gt;0,
     "✅",
     "❌"
   )
)</f>
        <v/>
      </c>
      <c r="F8" s="97">
        <f>IF(
   DATE(YEAR(TODAY()),MONTH(TODAY()),F$2) &gt; TODAY(),
   "",
   IF(
     COUNTIFS(
       DuLieu!$B:$B,$B8,
       DuLieu!$C:$C,"&gt;="&amp;DATE(YEAR(TODAY()),MONTH(TODAY()),F$2),
       DuLieu!$C:$C,"&lt;"&amp;DATE(YEAR(TODAY()),MONTH(TODAY()),F$2)+1
     )&gt;0,
     "✅",
     "❌"
   )
)</f>
        <v/>
      </c>
      <c r="G8" s="29">
        <f>IF(
   DATE(YEAR(TODAY()),MONTH(TODAY()),G$2) &gt; TODAY(),
   "",
   IF(
     COUNTIFS(
       DuLieu!$B:$B,$B8,
       DuLieu!$C:$C,"&gt;="&amp;DATE(YEAR(TODAY()),MONTH(TODAY()),G$2),
       DuLieu!$C:$C,"&lt;"&amp;DATE(YEAR(TODAY()),MONTH(TODAY()),G$2)+1
     )&gt;0,
     "✅",
     "❌"
   )
)</f>
        <v/>
      </c>
      <c r="H8" s="29">
        <f>IF(
   DATE(YEAR(TODAY()),MONTH(TODAY()),H$2) &gt; TODAY(),
   "",
   IF(
     COUNTIFS(
       DuLieu!$B:$B,$B8,
       DuLieu!$C:$C,"&gt;="&amp;DATE(YEAR(TODAY()),MONTH(TODAY()),H$2),
       DuLieu!$C:$C,"&lt;"&amp;DATE(YEAR(TODAY()),MONTH(TODAY()),H$2)+1
     )&gt;0,
     "✅",
     "❌"
   )
)</f>
        <v/>
      </c>
      <c r="I8" s="29">
        <f>IF(
   DATE(YEAR(TODAY()),MONTH(TODAY()),I$2) &gt; TODAY(),
   "",
   IF(
     COUNTIFS(
       DuLieu!$B:$B,$B8,
       DuLieu!$C:$C,"&gt;="&amp;DATE(YEAR(TODAY()),MONTH(TODAY()),I$2),
       DuLieu!$C:$C,"&lt;"&amp;DATE(YEAR(TODAY()),MONTH(TODAY()),I$2)+1
     )&gt;0,
     "✅",
     "❌"
   )
)</f>
        <v/>
      </c>
      <c r="J8" s="29">
        <f>IF(
   DATE(YEAR(TODAY()),MONTH(TODAY()),J$2) &gt; TODAY(),
   "",
   IF(
     COUNTIFS(
       DuLieu!$B:$B,$B8,
       DuLieu!$C:$C,"&gt;="&amp;DATE(YEAR(TODAY()),MONTH(TODAY()),J$2),
       DuLieu!$C:$C,"&lt;"&amp;DATE(YEAR(TODAY()),MONTH(TODAY()),J$2)+1
     )&gt;0,
     "✅",
     "❌"
   )
)</f>
        <v/>
      </c>
      <c r="K8" s="29">
        <f>IF(
   DATE(YEAR(TODAY()),MONTH(TODAY()),K$2) &gt; TODAY(),
   "",
   IF(
     COUNTIFS(
       DuLieu!$B:$B,$B8,
       DuLieu!$C:$C,"&gt;="&amp;DATE(YEAR(TODAY()),MONTH(TODAY()),K$2),
       DuLieu!$C:$C,"&lt;"&amp;DATE(YEAR(TODAY()),MONTH(TODAY()),K$2)+1
     )&gt;0,
     "✅",
     "❌"
   )
)</f>
        <v/>
      </c>
      <c r="L8" s="29">
        <f>IF(
   DATE(YEAR(TODAY()),MONTH(TODAY()),L$2) &gt; TODAY(),
   "",
   IF(
     COUNTIFS(
       DuLieu!$B:$B,$B8,
       DuLieu!$C:$C,"&gt;="&amp;DATE(YEAR(TODAY()),MONTH(TODAY()),L$2),
       DuLieu!$C:$C,"&lt;"&amp;DATE(YEAR(TODAY()),MONTH(TODAY()),L$2)+1
     )&gt;0,
     "✅",
     "❌"
   )
)</f>
        <v/>
      </c>
      <c r="M8" s="29">
        <f>IF(
   DATE(YEAR(TODAY()),MONTH(TODAY()),M$2) &gt; TODAY(),
   "",
   IF(
     COUNTIFS(
       DuLieu!$B:$B,$B8,
       DuLieu!$C:$C,"&gt;="&amp;DATE(YEAR(TODAY()),MONTH(TODAY()),M$2),
       DuLieu!$C:$C,"&lt;"&amp;DATE(YEAR(TODAY()),MONTH(TODAY()),M$2)+1
     )&gt;0,
     "✅",
     "❌"
   )
)</f>
        <v/>
      </c>
      <c r="N8" s="29">
        <f>IF(
   DATE(YEAR(TODAY()),MONTH(TODAY()),N$2) &gt; TODAY(),
   "",
   IF(
     COUNTIFS(
       DuLieu!$B:$B,$B8,
       DuLieu!$C:$C,"&gt;="&amp;DATE(YEAR(TODAY()),MONTH(TODAY()),N$2),
       DuLieu!$C:$C,"&lt;"&amp;DATE(YEAR(TODAY()),MONTH(TODAY()),N$2)+1
     )&gt;0,
     "✅",
     "❌"
   )
)</f>
        <v/>
      </c>
      <c r="O8" s="29">
        <f>IF(
   DATE(YEAR(TODAY()),MONTH(TODAY()),O$2) &gt; TODAY(),
   "",
   IF(
     COUNTIFS(
       DuLieu!$B:$B,$B8,
       DuLieu!$C:$C,"&gt;="&amp;DATE(YEAR(TODAY()),MONTH(TODAY()),O$2),
       DuLieu!$C:$C,"&lt;"&amp;DATE(YEAR(TODAY()),MONTH(TODAY()),O$2)+1
     )&gt;0,
     "✅",
     "❌"
   )
)</f>
        <v/>
      </c>
      <c r="P8" s="29">
        <f>IF(
   DATE(YEAR(TODAY()),MONTH(TODAY()),P$2) &gt; TODAY(),
   "",
   IF(
     COUNTIFS(
       DuLieu!$B:$B,$B8,
       DuLieu!$C:$C,"&gt;="&amp;DATE(YEAR(TODAY()),MONTH(TODAY()),P$2),
       DuLieu!$C:$C,"&lt;"&amp;DATE(YEAR(TODAY()),MONTH(TODAY()),P$2)+1
     )&gt;0,
     "✅",
     "❌"
   )
)</f>
        <v/>
      </c>
      <c r="Q8" s="29">
        <f>IF(
   DATE(YEAR(TODAY()),MONTH(TODAY()),Q$2) &gt; TODAY(),
   "",
   IF(
     COUNTIFS(
       DuLieu!$B:$B,$B8,
       DuLieu!$C:$C,"&gt;="&amp;DATE(YEAR(TODAY()),MONTH(TODAY()),Q$2),
       DuLieu!$C:$C,"&lt;"&amp;DATE(YEAR(TODAY()),MONTH(TODAY()),Q$2)+1
     )&gt;0,
     "✅",
     "❌"
   )
)</f>
        <v/>
      </c>
      <c r="R8" s="29">
        <f>IF(
   DATE(YEAR(TODAY()),MONTH(TODAY()),R$2) &gt; TODAY(),
   "",
   IF(
     COUNTIFS(
       DuLieu!$B:$B,$B8,
       DuLieu!$C:$C,"&gt;="&amp;DATE(YEAR(TODAY()),MONTH(TODAY()),R$2),
       DuLieu!$C:$C,"&lt;"&amp;DATE(YEAR(TODAY()),MONTH(TODAY()),R$2)+1
     )&gt;0,
     "✅",
     "❌"
   )
)</f>
        <v/>
      </c>
      <c r="S8" s="29">
        <f>IF(
   DATE(YEAR(TODAY()),MONTH(TODAY()),S$2) &gt; TODAY(),
   "",
   IF(
     COUNTIFS(
       DuLieu!$B:$B,$B8,
       DuLieu!$C:$C,"&gt;="&amp;DATE(YEAR(TODAY()),MONTH(TODAY()),S$2),
       DuLieu!$C:$C,"&lt;"&amp;DATE(YEAR(TODAY()),MONTH(TODAY()),S$2)+1
     )&gt;0,
     "✅",
     "❌"
   )
)</f>
        <v/>
      </c>
      <c r="T8" s="29">
        <f>IF(
   DATE(YEAR(TODAY()),MONTH(TODAY()),T$2) &gt; TODAY(),
   "",
   IF(
     COUNTIFS(
       DuLieu!$B:$B,$B8,
       DuLieu!$C:$C,"&gt;="&amp;DATE(YEAR(TODAY()),MONTH(TODAY()),T$2),
       DuLieu!$C:$C,"&lt;"&amp;DATE(YEAR(TODAY()),MONTH(TODAY()),T$2)+1
     )&gt;0,
     "✅",
     "❌"
   )
)</f>
        <v/>
      </c>
      <c r="U8" s="29">
        <f>IF(
   DATE(YEAR(TODAY()),MONTH(TODAY()),U$2) &gt; TODAY(),
   "",
   IF(
     COUNTIFS(
       DuLieu!$B:$B,$B8,
       DuLieu!$C:$C,"&gt;="&amp;DATE(YEAR(TODAY()),MONTH(TODAY()),U$2),
       DuLieu!$C:$C,"&lt;"&amp;DATE(YEAR(TODAY()),MONTH(TODAY()),U$2)+1
     )&gt;0,
     "✅",
     "❌"
   )
)</f>
        <v/>
      </c>
      <c r="V8" s="29">
        <f>IF(
   DATE(YEAR(TODAY()),MONTH(TODAY()),V$2) &gt; TODAY(),
   "",
   IF(
     COUNTIFS(
       DuLieu!$B:$B,$B8,
       DuLieu!$C:$C,"&gt;="&amp;DATE(YEAR(TODAY()),MONTH(TODAY()),V$2),
       DuLieu!$C:$C,"&lt;"&amp;DATE(YEAR(TODAY()),MONTH(TODAY()),V$2)+1
     )&gt;0,
     "✅",
     "❌"
   )
)</f>
        <v/>
      </c>
      <c r="W8" s="29">
        <f>IF(
   DATE(YEAR(TODAY()),MONTH(TODAY()),W$2) &gt; TODAY(),
   "",
   IF(
     COUNTIFS(
       DuLieu!$B:$B,$B8,
       DuLieu!$C:$C,"&gt;="&amp;DATE(YEAR(TODAY()),MONTH(TODAY()),W$2),
       DuLieu!$C:$C,"&lt;"&amp;DATE(YEAR(TODAY()),MONTH(TODAY()),W$2)+1
     )&gt;0,
     "✅",
     "❌"
   )
)</f>
        <v/>
      </c>
      <c r="X8" s="29">
        <f>IF(
   DATE(YEAR(TODAY()),MONTH(TODAY()),X$2) &gt; TODAY(),
   "",
   IF(
     COUNTIFS(
       DuLieu!$B:$B,$B8,
       DuLieu!$C:$C,"&gt;="&amp;DATE(YEAR(TODAY()),MONTH(TODAY()),X$2),
       DuLieu!$C:$C,"&lt;"&amp;DATE(YEAR(TODAY()),MONTH(TODAY()),X$2)+1
     )&gt;0,
     "✅",
     "❌"
   )
)</f>
        <v/>
      </c>
      <c r="Y8" s="29">
        <f>IF(
   DATE(YEAR(TODAY()),MONTH(TODAY()),Y$2) &gt; TODAY(),
   "",
   IF(
     COUNTIFS(
       DuLieu!$B:$B,$B8,
       DuLieu!$C:$C,"&gt;="&amp;DATE(YEAR(TODAY()),MONTH(TODAY()),Y$2),
       DuLieu!$C:$C,"&lt;"&amp;DATE(YEAR(TODAY()),MONTH(TODAY()),Y$2)+1
     )&gt;0,
     "✅",
     "❌"
   )
)</f>
        <v/>
      </c>
      <c r="Z8" s="29">
        <f>IF(
   DATE(YEAR(TODAY()),MONTH(TODAY()),Z$2) &gt; TODAY(),
   "",
   IF(
     COUNTIFS(
       DuLieu!$B:$B,$B8,
       DuLieu!$C:$C,"&gt;="&amp;DATE(YEAR(TODAY()),MONTH(TODAY()),Z$2),
       DuLieu!$C:$C,"&lt;"&amp;DATE(YEAR(TODAY()),MONTH(TODAY()),Z$2)+1
     )&gt;0,
     "✅",
     "❌"
   )
)</f>
        <v/>
      </c>
      <c r="AA8" s="29">
        <f>IF(
   DATE(YEAR(TODAY()),MONTH(TODAY()),AA$2) &gt; TODAY(),
   "",
   IF(
     COUNTIFS(
       DuLieu!$B:$B,$B8,
       DuLieu!$C:$C,"&gt;="&amp;DATE(YEAR(TODAY()),MONTH(TODAY()),AA$2),
       DuLieu!$C:$C,"&lt;"&amp;DATE(YEAR(TODAY()),MONTH(TODAY()),AA$2)+1
     )&gt;0,
     "✅",
     "❌"
   )
)</f>
        <v/>
      </c>
      <c r="AB8" s="29">
        <f>IF(
   DATE(YEAR(TODAY()),MONTH(TODAY()),AB$2) &gt; TODAY(),
   "",
   IF(
     COUNTIFS(
       DuLieu!$B:$B,$B8,
       DuLieu!$C:$C,"&gt;="&amp;DATE(YEAR(TODAY()),MONTH(TODAY()),AB$2),
       DuLieu!$C:$C,"&lt;"&amp;DATE(YEAR(TODAY()),MONTH(TODAY()),AB$2)+1
     )&gt;0,
     "✅",
     "❌"
   )
)</f>
        <v/>
      </c>
      <c r="AC8" s="29">
        <f>IF(
   DATE(YEAR(TODAY()),MONTH(TODAY()),AC$2) &gt; TODAY(),
   "",
   IF(
     COUNTIFS(
       DuLieu!$B:$B,$B8,
       DuLieu!$C:$C,"&gt;="&amp;DATE(YEAR(TODAY()),MONTH(TODAY()),AC$2),
       DuLieu!$C:$C,"&lt;"&amp;DATE(YEAR(TODAY()),MONTH(TODAY()),AC$2)+1
     )&gt;0,
     "✅",
     "❌"
   )
)</f>
        <v/>
      </c>
      <c r="AD8" s="29">
        <f>IF(
   DATE(YEAR(TODAY()),MONTH(TODAY()),AD$2) &gt; TODAY(),
   "",
   IF(
     COUNTIFS(
       DuLieu!$B:$B,$B8,
       DuLieu!$C:$C,"&gt;="&amp;DATE(YEAR(TODAY()),MONTH(TODAY()),AD$2),
       DuLieu!$C:$C,"&lt;"&amp;DATE(YEAR(TODAY()),MONTH(TODAY()),AD$2)+1
     )&gt;0,
     "✅",
     "❌"
   )
)</f>
        <v/>
      </c>
      <c r="AE8" s="29">
        <f>IF(
   DATE(YEAR(TODAY()),MONTH(TODAY()),AE$2) &gt; TODAY(),
   "",
   IF(
     COUNTIFS(
       DuLieu!$B:$B,$B8,
       DuLieu!$C:$C,"&gt;="&amp;DATE(YEAR(TODAY()),MONTH(TODAY()),AE$2),
       DuLieu!$C:$C,"&lt;"&amp;DATE(YEAR(TODAY()),MONTH(TODAY()),AE$2)+1
     )&gt;0,
     "✅",
     "❌"
   )
)</f>
        <v/>
      </c>
      <c r="AF8" s="29">
        <f>IF(
   DATE(YEAR(TODAY()),MONTH(TODAY()),AF$2) &gt; TODAY(),
   "",
   IF(
     COUNTIFS(
       DuLieu!$B:$B,$B8,
       DuLieu!$C:$C,"&gt;="&amp;DATE(YEAR(TODAY()),MONTH(TODAY()),AF$2),
       DuLieu!$C:$C,"&lt;"&amp;DATE(YEAR(TODAY()),MONTH(TODAY()),AF$2)+1
     )&gt;0,
     "✅",
     "❌"
   )
)</f>
        <v/>
      </c>
      <c r="AG8" s="29">
        <f>IF(
   DATE(YEAR(TODAY()),MONTH(TODAY()),AG$2) &gt; TODAY(),
   "",
   IF(
     COUNTIFS(
       DuLieu!$B:$B,$B8,
       DuLieu!$C:$C,"&gt;="&amp;DATE(YEAR(TODAY()),MONTH(TODAY()),AG$2),
       DuLieu!$C:$C,"&lt;"&amp;DATE(YEAR(TODAY()),MONTH(TODAY()),AG$2)+1
     )&gt;0,
     "✅",
     "❌"
   )
)</f>
        <v/>
      </c>
    </row>
    <row r="9" ht="15.75" customHeight="1" s="117">
      <c r="A9" s="112" t="n">
        <v>7</v>
      </c>
      <c r="B9" s="27" t="inlineStr">
        <is>
          <t>Lê Hồng Phong</t>
        </is>
      </c>
      <c r="C9" s="97">
        <f>IF(
   DATE(YEAR(TODAY()),MONTH(TODAY()),C$2) &gt; TODAY(),
   "",
   IF(
     COUNTIFS(
       DuLieu!$B:$B,$B9,
       DuLieu!$C:$C,"&gt;="&amp;DATE(YEAR(TODAY()),MONTH(TODAY()),C$2),
       DuLieu!$C:$C,"&lt;"&amp;DATE(YEAR(TODAY()),MONTH(TODAY()),C$2)+1
     )&gt;0,
     "✅",
     "❌"
   )
)</f>
        <v/>
      </c>
      <c r="D9" s="97">
        <f>IF(
   DATE(YEAR(TODAY()),MONTH(TODAY()),D$2) &gt; TODAY(),
   "",
   IF(
     COUNTIFS(
       DuLieu!$B:$B,$B9,
       DuLieu!$C:$C,"&gt;="&amp;DATE(YEAR(TODAY()),MONTH(TODAY()),D$2),
       DuLieu!$C:$C,"&lt;"&amp;DATE(YEAR(TODAY()),MONTH(TODAY()),D$2)+1
     )&gt;0,
     "✅",
     "❌"
   )
)</f>
        <v/>
      </c>
      <c r="E9" s="97">
        <f>IF(
   DATE(YEAR(TODAY()),MONTH(TODAY()),E$2) &gt; TODAY(),
   "",
   IF(
     COUNTIFS(
       DuLieu!$B:$B,$B9,
       DuLieu!$C:$C,"&gt;="&amp;DATE(YEAR(TODAY()),MONTH(TODAY()),E$2),
       DuLieu!$C:$C,"&lt;"&amp;DATE(YEAR(TODAY()),MONTH(TODAY()),E$2)+1
     )&gt;0,
     "✅",
     "❌"
   )
)</f>
        <v/>
      </c>
      <c r="F9" s="97">
        <f>IF(
   DATE(YEAR(TODAY()),MONTH(TODAY()),F$2) &gt; TODAY(),
   "",
   IF(
     COUNTIFS(
       DuLieu!$B:$B,$B9,
       DuLieu!$C:$C,"&gt;="&amp;DATE(YEAR(TODAY()),MONTH(TODAY()),F$2),
       DuLieu!$C:$C,"&lt;"&amp;DATE(YEAR(TODAY()),MONTH(TODAY()),F$2)+1
     )&gt;0,
     "✅",
     "❌"
   )
)</f>
        <v/>
      </c>
      <c r="G9" s="29">
        <f>IF(
   DATE(YEAR(TODAY()),MONTH(TODAY()),G$2) &gt; TODAY(),
   "",
   IF(
     COUNTIFS(
       DuLieu!$B:$B,$B9,
       DuLieu!$C:$C,"&gt;="&amp;DATE(YEAR(TODAY()),MONTH(TODAY()),G$2),
       DuLieu!$C:$C,"&lt;"&amp;DATE(YEAR(TODAY()),MONTH(TODAY()),G$2)+1
     )&gt;0,
     "✅",
     "❌"
   )
)</f>
        <v/>
      </c>
      <c r="H9" s="29">
        <f>IF(
   DATE(YEAR(TODAY()),MONTH(TODAY()),H$2) &gt; TODAY(),
   "",
   IF(
     COUNTIFS(
       DuLieu!$B:$B,$B9,
       DuLieu!$C:$C,"&gt;="&amp;DATE(YEAR(TODAY()),MONTH(TODAY()),H$2),
       DuLieu!$C:$C,"&lt;"&amp;DATE(YEAR(TODAY()),MONTH(TODAY()),H$2)+1
     )&gt;0,
     "✅",
     "❌"
   )
)</f>
        <v/>
      </c>
      <c r="I9" s="29">
        <f>IF(
   DATE(YEAR(TODAY()),MONTH(TODAY()),I$2) &gt; TODAY(),
   "",
   IF(
     COUNTIFS(
       DuLieu!$B:$B,$B9,
       DuLieu!$C:$C,"&gt;="&amp;DATE(YEAR(TODAY()),MONTH(TODAY()),I$2),
       DuLieu!$C:$C,"&lt;"&amp;DATE(YEAR(TODAY()),MONTH(TODAY()),I$2)+1
     )&gt;0,
     "✅",
     "❌"
   )
)</f>
        <v/>
      </c>
      <c r="J9" s="29">
        <f>IF(
   DATE(YEAR(TODAY()),MONTH(TODAY()),J$2) &gt; TODAY(),
   "",
   IF(
     COUNTIFS(
       DuLieu!$B:$B,$B9,
       DuLieu!$C:$C,"&gt;="&amp;DATE(YEAR(TODAY()),MONTH(TODAY()),J$2),
       DuLieu!$C:$C,"&lt;"&amp;DATE(YEAR(TODAY()),MONTH(TODAY()),J$2)+1
     )&gt;0,
     "✅",
     "❌"
   )
)</f>
        <v/>
      </c>
      <c r="K9" s="29">
        <f>IF(
   DATE(YEAR(TODAY()),MONTH(TODAY()),K$2) &gt; TODAY(),
   "",
   IF(
     COUNTIFS(
       DuLieu!$B:$B,$B9,
       DuLieu!$C:$C,"&gt;="&amp;DATE(YEAR(TODAY()),MONTH(TODAY()),K$2),
       DuLieu!$C:$C,"&lt;"&amp;DATE(YEAR(TODAY()),MONTH(TODAY()),K$2)+1
     )&gt;0,
     "✅",
     "❌"
   )
)</f>
        <v/>
      </c>
      <c r="L9" s="29">
        <f>IF(
   DATE(YEAR(TODAY()),MONTH(TODAY()),L$2) &gt; TODAY(),
   "",
   IF(
     COUNTIFS(
       DuLieu!$B:$B,$B9,
       DuLieu!$C:$C,"&gt;="&amp;DATE(YEAR(TODAY()),MONTH(TODAY()),L$2),
       DuLieu!$C:$C,"&lt;"&amp;DATE(YEAR(TODAY()),MONTH(TODAY()),L$2)+1
     )&gt;0,
     "✅",
     "❌"
   )
)</f>
        <v/>
      </c>
      <c r="M9" s="29">
        <f>IF(
   DATE(YEAR(TODAY()),MONTH(TODAY()),M$2) &gt; TODAY(),
   "",
   IF(
     COUNTIFS(
       DuLieu!$B:$B,$B9,
       DuLieu!$C:$C,"&gt;="&amp;DATE(YEAR(TODAY()),MONTH(TODAY()),M$2),
       DuLieu!$C:$C,"&lt;"&amp;DATE(YEAR(TODAY()),MONTH(TODAY()),M$2)+1
     )&gt;0,
     "✅",
     "❌"
   )
)</f>
        <v/>
      </c>
      <c r="N9" s="29">
        <f>IF(
   DATE(YEAR(TODAY()),MONTH(TODAY()),N$2) &gt; TODAY(),
   "",
   IF(
     COUNTIFS(
       DuLieu!$B:$B,$B9,
       DuLieu!$C:$C,"&gt;="&amp;DATE(YEAR(TODAY()),MONTH(TODAY()),N$2),
       DuLieu!$C:$C,"&lt;"&amp;DATE(YEAR(TODAY()),MONTH(TODAY()),N$2)+1
     )&gt;0,
     "✅",
     "❌"
   )
)</f>
        <v/>
      </c>
      <c r="O9" s="29">
        <f>IF(
   DATE(YEAR(TODAY()),MONTH(TODAY()),O$2) &gt; TODAY(),
   "",
   IF(
     COUNTIFS(
       DuLieu!$B:$B,$B9,
       DuLieu!$C:$C,"&gt;="&amp;DATE(YEAR(TODAY()),MONTH(TODAY()),O$2),
       DuLieu!$C:$C,"&lt;"&amp;DATE(YEAR(TODAY()),MONTH(TODAY()),O$2)+1
     )&gt;0,
     "✅",
     "❌"
   )
)</f>
        <v/>
      </c>
      <c r="P9" s="29">
        <f>IF(
   DATE(YEAR(TODAY()),MONTH(TODAY()),P$2) &gt; TODAY(),
   "",
   IF(
     COUNTIFS(
       DuLieu!$B:$B,$B9,
       DuLieu!$C:$C,"&gt;="&amp;DATE(YEAR(TODAY()),MONTH(TODAY()),P$2),
       DuLieu!$C:$C,"&lt;"&amp;DATE(YEAR(TODAY()),MONTH(TODAY()),P$2)+1
     )&gt;0,
     "✅",
     "❌"
   )
)</f>
        <v/>
      </c>
      <c r="Q9" s="29">
        <f>IF(
   DATE(YEAR(TODAY()),MONTH(TODAY()),Q$2) &gt; TODAY(),
   "",
   IF(
     COUNTIFS(
       DuLieu!$B:$B,$B9,
       DuLieu!$C:$C,"&gt;="&amp;DATE(YEAR(TODAY()),MONTH(TODAY()),Q$2),
       DuLieu!$C:$C,"&lt;"&amp;DATE(YEAR(TODAY()),MONTH(TODAY()),Q$2)+1
     )&gt;0,
     "✅",
     "❌"
   )
)</f>
        <v/>
      </c>
      <c r="R9" s="29">
        <f>IF(
   DATE(YEAR(TODAY()),MONTH(TODAY()),R$2) &gt; TODAY(),
   "",
   IF(
     COUNTIFS(
       DuLieu!$B:$B,$B9,
       DuLieu!$C:$C,"&gt;="&amp;DATE(YEAR(TODAY()),MONTH(TODAY()),R$2),
       DuLieu!$C:$C,"&lt;"&amp;DATE(YEAR(TODAY()),MONTH(TODAY()),R$2)+1
     )&gt;0,
     "✅",
     "❌"
   )
)</f>
        <v/>
      </c>
      <c r="S9" s="29">
        <f>IF(
   DATE(YEAR(TODAY()),MONTH(TODAY()),S$2) &gt; TODAY(),
   "",
   IF(
     COUNTIFS(
       DuLieu!$B:$B,$B9,
       DuLieu!$C:$C,"&gt;="&amp;DATE(YEAR(TODAY()),MONTH(TODAY()),S$2),
       DuLieu!$C:$C,"&lt;"&amp;DATE(YEAR(TODAY()),MONTH(TODAY()),S$2)+1
     )&gt;0,
     "✅",
     "❌"
   )
)</f>
        <v/>
      </c>
      <c r="T9" s="29">
        <f>IF(
   DATE(YEAR(TODAY()),MONTH(TODAY()),T$2) &gt; TODAY(),
   "",
   IF(
     COUNTIFS(
       DuLieu!$B:$B,$B9,
       DuLieu!$C:$C,"&gt;="&amp;DATE(YEAR(TODAY()),MONTH(TODAY()),T$2),
       DuLieu!$C:$C,"&lt;"&amp;DATE(YEAR(TODAY()),MONTH(TODAY()),T$2)+1
     )&gt;0,
     "✅",
     "❌"
   )
)</f>
        <v/>
      </c>
      <c r="U9" s="29">
        <f>IF(
   DATE(YEAR(TODAY()),MONTH(TODAY()),U$2) &gt; TODAY(),
   "",
   IF(
     COUNTIFS(
       DuLieu!$B:$B,$B9,
       DuLieu!$C:$C,"&gt;="&amp;DATE(YEAR(TODAY()),MONTH(TODAY()),U$2),
       DuLieu!$C:$C,"&lt;"&amp;DATE(YEAR(TODAY()),MONTH(TODAY()),U$2)+1
     )&gt;0,
     "✅",
     "❌"
   )
)</f>
        <v/>
      </c>
      <c r="V9" s="29">
        <f>IF(
   DATE(YEAR(TODAY()),MONTH(TODAY()),V$2) &gt; TODAY(),
   "",
   IF(
     COUNTIFS(
       DuLieu!$B:$B,$B9,
       DuLieu!$C:$C,"&gt;="&amp;DATE(YEAR(TODAY()),MONTH(TODAY()),V$2),
       DuLieu!$C:$C,"&lt;"&amp;DATE(YEAR(TODAY()),MONTH(TODAY()),V$2)+1
     )&gt;0,
     "✅",
     "❌"
   )
)</f>
        <v/>
      </c>
      <c r="W9" s="29">
        <f>IF(
   DATE(YEAR(TODAY()),MONTH(TODAY()),W$2) &gt; TODAY(),
   "",
   IF(
     COUNTIFS(
       DuLieu!$B:$B,$B9,
       DuLieu!$C:$C,"&gt;="&amp;DATE(YEAR(TODAY()),MONTH(TODAY()),W$2),
       DuLieu!$C:$C,"&lt;"&amp;DATE(YEAR(TODAY()),MONTH(TODAY()),W$2)+1
     )&gt;0,
     "✅",
     "❌"
   )
)</f>
        <v/>
      </c>
      <c r="X9" s="29">
        <f>IF(
   DATE(YEAR(TODAY()),MONTH(TODAY()),X$2) &gt; TODAY(),
   "",
   IF(
     COUNTIFS(
       DuLieu!$B:$B,$B9,
       DuLieu!$C:$C,"&gt;="&amp;DATE(YEAR(TODAY()),MONTH(TODAY()),X$2),
       DuLieu!$C:$C,"&lt;"&amp;DATE(YEAR(TODAY()),MONTH(TODAY()),X$2)+1
     )&gt;0,
     "✅",
     "❌"
   )
)</f>
        <v/>
      </c>
      <c r="Y9" s="29">
        <f>IF(
   DATE(YEAR(TODAY()),MONTH(TODAY()),Y$2) &gt; TODAY(),
   "",
   IF(
     COUNTIFS(
       DuLieu!$B:$B,$B9,
       DuLieu!$C:$C,"&gt;="&amp;DATE(YEAR(TODAY()),MONTH(TODAY()),Y$2),
       DuLieu!$C:$C,"&lt;"&amp;DATE(YEAR(TODAY()),MONTH(TODAY()),Y$2)+1
     )&gt;0,
     "✅",
     "❌"
   )
)</f>
        <v/>
      </c>
      <c r="Z9" s="29">
        <f>IF(
   DATE(YEAR(TODAY()),MONTH(TODAY()),Z$2) &gt; TODAY(),
   "",
   IF(
     COUNTIFS(
       DuLieu!$B:$B,$B9,
       DuLieu!$C:$C,"&gt;="&amp;DATE(YEAR(TODAY()),MONTH(TODAY()),Z$2),
       DuLieu!$C:$C,"&lt;"&amp;DATE(YEAR(TODAY()),MONTH(TODAY()),Z$2)+1
     )&gt;0,
     "✅",
     "❌"
   )
)</f>
        <v/>
      </c>
      <c r="AA9" s="29">
        <f>IF(
   DATE(YEAR(TODAY()),MONTH(TODAY()),AA$2) &gt; TODAY(),
   "",
   IF(
     COUNTIFS(
       DuLieu!$B:$B,$B9,
       DuLieu!$C:$C,"&gt;="&amp;DATE(YEAR(TODAY()),MONTH(TODAY()),AA$2),
       DuLieu!$C:$C,"&lt;"&amp;DATE(YEAR(TODAY()),MONTH(TODAY()),AA$2)+1
     )&gt;0,
     "✅",
     "❌"
   )
)</f>
        <v/>
      </c>
      <c r="AB9" s="29">
        <f>IF(
   DATE(YEAR(TODAY()),MONTH(TODAY()),AB$2) &gt; TODAY(),
   "",
   IF(
     COUNTIFS(
       DuLieu!$B:$B,$B9,
       DuLieu!$C:$C,"&gt;="&amp;DATE(YEAR(TODAY()),MONTH(TODAY()),AB$2),
       DuLieu!$C:$C,"&lt;"&amp;DATE(YEAR(TODAY()),MONTH(TODAY()),AB$2)+1
     )&gt;0,
     "✅",
     "❌"
   )
)</f>
        <v/>
      </c>
      <c r="AC9" s="29">
        <f>IF(
   DATE(YEAR(TODAY()),MONTH(TODAY()),AC$2) &gt; TODAY(),
   "",
   IF(
     COUNTIFS(
       DuLieu!$B:$B,$B9,
       DuLieu!$C:$C,"&gt;="&amp;DATE(YEAR(TODAY()),MONTH(TODAY()),AC$2),
       DuLieu!$C:$C,"&lt;"&amp;DATE(YEAR(TODAY()),MONTH(TODAY()),AC$2)+1
     )&gt;0,
     "✅",
     "❌"
   )
)</f>
        <v/>
      </c>
      <c r="AD9" s="29">
        <f>IF(
   DATE(YEAR(TODAY()),MONTH(TODAY()),AD$2) &gt; TODAY(),
   "",
   IF(
     COUNTIFS(
       DuLieu!$B:$B,$B9,
       DuLieu!$C:$C,"&gt;="&amp;DATE(YEAR(TODAY()),MONTH(TODAY()),AD$2),
       DuLieu!$C:$C,"&lt;"&amp;DATE(YEAR(TODAY()),MONTH(TODAY()),AD$2)+1
     )&gt;0,
     "✅",
     "❌"
   )
)</f>
        <v/>
      </c>
      <c r="AE9" s="29">
        <f>IF(
   DATE(YEAR(TODAY()),MONTH(TODAY()),AE$2) &gt; TODAY(),
   "",
   IF(
     COUNTIFS(
       DuLieu!$B:$B,$B9,
       DuLieu!$C:$C,"&gt;="&amp;DATE(YEAR(TODAY()),MONTH(TODAY()),AE$2),
       DuLieu!$C:$C,"&lt;"&amp;DATE(YEAR(TODAY()),MONTH(TODAY()),AE$2)+1
     )&gt;0,
     "✅",
     "❌"
   )
)</f>
        <v/>
      </c>
      <c r="AF9" s="29">
        <f>IF(
   DATE(YEAR(TODAY()),MONTH(TODAY()),AF$2) &gt; TODAY(),
   "",
   IF(
     COUNTIFS(
       DuLieu!$B:$B,$B9,
       DuLieu!$C:$C,"&gt;="&amp;DATE(YEAR(TODAY()),MONTH(TODAY()),AF$2),
       DuLieu!$C:$C,"&lt;"&amp;DATE(YEAR(TODAY()),MONTH(TODAY()),AF$2)+1
     )&gt;0,
     "✅",
     "❌"
   )
)</f>
        <v/>
      </c>
      <c r="AG9" s="29">
        <f>IF(
   DATE(YEAR(TODAY()),MONTH(TODAY()),AG$2) &gt; TODAY(),
   "",
   IF(
     COUNTIFS(
       DuLieu!$B:$B,$B9,
       DuLieu!$C:$C,"&gt;="&amp;DATE(YEAR(TODAY()),MONTH(TODAY()),AG$2),
       DuLieu!$C:$C,"&lt;"&amp;DATE(YEAR(TODAY()),MONTH(TODAY()),AG$2)+1
     )&gt;0,
     "✅",
     "❌"
   )
)</f>
        <v/>
      </c>
    </row>
    <row r="10" ht="15.75" customHeight="1" s="117">
      <c r="A10" s="112" t="n">
        <v>8</v>
      </c>
      <c r="B10" s="27" t="inlineStr">
        <is>
          <t>Lê Quốc Duy</t>
        </is>
      </c>
      <c r="C10" s="97">
        <f>IF(
   DATE(YEAR(TODAY()),MONTH(TODAY()),C$2) &gt; TODAY(),
   "",
   IF(
     COUNTIFS(
       DuLieu!$B:$B,$B10,
       DuLieu!$C:$C,"&gt;="&amp;DATE(YEAR(TODAY()),MONTH(TODAY()),C$2),
       DuLieu!$C:$C,"&lt;"&amp;DATE(YEAR(TODAY()),MONTH(TODAY()),C$2)+1
     )&gt;0,
     "✅",
     "❌"
   )
)</f>
        <v/>
      </c>
      <c r="D10" s="97">
        <f>IF(
   DATE(YEAR(TODAY()),MONTH(TODAY()),D$2) &gt; TODAY(),
   "",
   IF(
     COUNTIFS(
       DuLieu!$B:$B,$B10,
       DuLieu!$C:$C,"&gt;="&amp;DATE(YEAR(TODAY()),MONTH(TODAY()),D$2),
       DuLieu!$C:$C,"&lt;"&amp;DATE(YEAR(TODAY()),MONTH(TODAY()),D$2)+1
     )&gt;0,
     "✅",
     "❌"
   )
)</f>
        <v/>
      </c>
      <c r="E10" s="97">
        <f>IF(
   DATE(YEAR(TODAY()),MONTH(TODAY()),E$2) &gt; TODAY(),
   "",
   IF(
     COUNTIFS(
       DuLieu!$B:$B,$B10,
       DuLieu!$C:$C,"&gt;="&amp;DATE(YEAR(TODAY()),MONTH(TODAY()),E$2),
       DuLieu!$C:$C,"&lt;"&amp;DATE(YEAR(TODAY()),MONTH(TODAY()),E$2)+1
     )&gt;0,
     "✅",
     "❌"
   )
)</f>
        <v/>
      </c>
      <c r="F10" s="97">
        <f>IF(
   DATE(YEAR(TODAY()),MONTH(TODAY()),F$2) &gt; TODAY(),
   "",
   IF(
     COUNTIFS(
       DuLieu!$B:$B,$B10,
       DuLieu!$C:$C,"&gt;="&amp;DATE(YEAR(TODAY()),MONTH(TODAY()),F$2),
       DuLieu!$C:$C,"&lt;"&amp;DATE(YEAR(TODAY()),MONTH(TODAY()),F$2)+1
     )&gt;0,
     "✅",
     "❌"
   )
)</f>
        <v/>
      </c>
      <c r="G10" s="29">
        <f>IF(
   DATE(YEAR(TODAY()),MONTH(TODAY()),G$2) &gt; TODAY(),
   "",
   IF(
     COUNTIFS(
       DuLieu!$B:$B,$B10,
       DuLieu!$C:$C,"&gt;="&amp;DATE(YEAR(TODAY()),MONTH(TODAY()),G$2),
       DuLieu!$C:$C,"&lt;"&amp;DATE(YEAR(TODAY()),MONTH(TODAY()),G$2)+1
     )&gt;0,
     "✅",
     "❌"
   )
)</f>
        <v/>
      </c>
      <c r="H10" s="29">
        <f>IF(
   DATE(YEAR(TODAY()),MONTH(TODAY()),H$2) &gt; TODAY(),
   "",
   IF(
     COUNTIFS(
       DuLieu!$B:$B,$B10,
       DuLieu!$C:$C,"&gt;="&amp;DATE(YEAR(TODAY()),MONTH(TODAY()),H$2),
       DuLieu!$C:$C,"&lt;"&amp;DATE(YEAR(TODAY()),MONTH(TODAY()),H$2)+1
     )&gt;0,
     "✅",
     "❌"
   )
)</f>
        <v/>
      </c>
      <c r="I10" s="29">
        <f>IF(
   DATE(YEAR(TODAY()),MONTH(TODAY()),I$2) &gt; TODAY(),
   "",
   IF(
     COUNTIFS(
       DuLieu!$B:$B,$B10,
       DuLieu!$C:$C,"&gt;="&amp;DATE(YEAR(TODAY()),MONTH(TODAY()),I$2),
       DuLieu!$C:$C,"&lt;"&amp;DATE(YEAR(TODAY()),MONTH(TODAY()),I$2)+1
     )&gt;0,
     "✅",
     "❌"
   )
)</f>
        <v/>
      </c>
      <c r="J10" s="29">
        <f>IF(
   DATE(YEAR(TODAY()),MONTH(TODAY()),J$2) &gt; TODAY(),
   "",
   IF(
     COUNTIFS(
       DuLieu!$B:$B,$B10,
       DuLieu!$C:$C,"&gt;="&amp;DATE(YEAR(TODAY()),MONTH(TODAY()),J$2),
       DuLieu!$C:$C,"&lt;"&amp;DATE(YEAR(TODAY()),MONTH(TODAY()),J$2)+1
     )&gt;0,
     "✅",
     "❌"
   )
)</f>
        <v/>
      </c>
      <c r="K10" s="29">
        <f>IF(
   DATE(YEAR(TODAY()),MONTH(TODAY()),K$2) &gt; TODAY(),
   "",
   IF(
     COUNTIFS(
       DuLieu!$B:$B,$B10,
       DuLieu!$C:$C,"&gt;="&amp;DATE(YEAR(TODAY()),MONTH(TODAY()),K$2),
       DuLieu!$C:$C,"&lt;"&amp;DATE(YEAR(TODAY()),MONTH(TODAY()),K$2)+1
     )&gt;0,
     "✅",
     "❌"
   )
)</f>
        <v/>
      </c>
      <c r="L10" s="29">
        <f>IF(
   DATE(YEAR(TODAY()),MONTH(TODAY()),L$2) &gt; TODAY(),
   "",
   IF(
     COUNTIFS(
       DuLieu!$B:$B,$B10,
       DuLieu!$C:$C,"&gt;="&amp;DATE(YEAR(TODAY()),MONTH(TODAY()),L$2),
       DuLieu!$C:$C,"&lt;"&amp;DATE(YEAR(TODAY()),MONTH(TODAY()),L$2)+1
     )&gt;0,
     "✅",
     "❌"
   )
)</f>
        <v/>
      </c>
      <c r="M10" s="29">
        <f>IF(
   DATE(YEAR(TODAY()),MONTH(TODAY()),M$2) &gt; TODAY(),
   "",
   IF(
     COUNTIFS(
       DuLieu!$B:$B,$B10,
       DuLieu!$C:$C,"&gt;="&amp;DATE(YEAR(TODAY()),MONTH(TODAY()),M$2),
       DuLieu!$C:$C,"&lt;"&amp;DATE(YEAR(TODAY()),MONTH(TODAY()),M$2)+1
     )&gt;0,
     "✅",
     "❌"
   )
)</f>
        <v/>
      </c>
      <c r="N10" s="29">
        <f>IF(
   DATE(YEAR(TODAY()),MONTH(TODAY()),N$2) &gt; TODAY(),
   "",
   IF(
     COUNTIFS(
       DuLieu!$B:$B,$B10,
       DuLieu!$C:$C,"&gt;="&amp;DATE(YEAR(TODAY()),MONTH(TODAY()),N$2),
       DuLieu!$C:$C,"&lt;"&amp;DATE(YEAR(TODAY()),MONTH(TODAY()),N$2)+1
     )&gt;0,
     "✅",
     "❌"
   )
)</f>
        <v/>
      </c>
      <c r="O10" s="29">
        <f>IF(
   DATE(YEAR(TODAY()),MONTH(TODAY()),O$2) &gt; TODAY(),
   "",
   IF(
     COUNTIFS(
       DuLieu!$B:$B,$B10,
       DuLieu!$C:$C,"&gt;="&amp;DATE(YEAR(TODAY()),MONTH(TODAY()),O$2),
       DuLieu!$C:$C,"&lt;"&amp;DATE(YEAR(TODAY()),MONTH(TODAY()),O$2)+1
     )&gt;0,
     "✅",
     "❌"
   )
)</f>
        <v/>
      </c>
      <c r="P10" s="29">
        <f>IF(
   DATE(YEAR(TODAY()),MONTH(TODAY()),P$2) &gt; TODAY(),
   "",
   IF(
     COUNTIFS(
       DuLieu!$B:$B,$B10,
       DuLieu!$C:$C,"&gt;="&amp;DATE(YEAR(TODAY()),MONTH(TODAY()),P$2),
       DuLieu!$C:$C,"&lt;"&amp;DATE(YEAR(TODAY()),MONTH(TODAY()),P$2)+1
     )&gt;0,
     "✅",
     "❌"
   )
)</f>
        <v/>
      </c>
      <c r="Q10" s="29">
        <f>IF(
   DATE(YEAR(TODAY()),MONTH(TODAY()),Q$2) &gt; TODAY(),
   "",
   IF(
     COUNTIFS(
       DuLieu!$B:$B,$B10,
       DuLieu!$C:$C,"&gt;="&amp;DATE(YEAR(TODAY()),MONTH(TODAY()),Q$2),
       DuLieu!$C:$C,"&lt;"&amp;DATE(YEAR(TODAY()),MONTH(TODAY()),Q$2)+1
     )&gt;0,
     "✅",
     "❌"
   )
)</f>
        <v/>
      </c>
      <c r="R10" s="29">
        <f>IF(
   DATE(YEAR(TODAY()),MONTH(TODAY()),R$2) &gt; TODAY(),
   "",
   IF(
     COUNTIFS(
       DuLieu!$B:$B,$B10,
       DuLieu!$C:$C,"&gt;="&amp;DATE(YEAR(TODAY()),MONTH(TODAY()),R$2),
       DuLieu!$C:$C,"&lt;"&amp;DATE(YEAR(TODAY()),MONTH(TODAY()),R$2)+1
     )&gt;0,
     "✅",
     "❌"
   )
)</f>
        <v/>
      </c>
      <c r="S10" s="29">
        <f>IF(
   DATE(YEAR(TODAY()),MONTH(TODAY()),S$2) &gt; TODAY(),
   "",
   IF(
     COUNTIFS(
       DuLieu!$B:$B,$B10,
       DuLieu!$C:$C,"&gt;="&amp;DATE(YEAR(TODAY()),MONTH(TODAY()),S$2),
       DuLieu!$C:$C,"&lt;"&amp;DATE(YEAR(TODAY()),MONTH(TODAY()),S$2)+1
     )&gt;0,
     "✅",
     "❌"
   )
)</f>
        <v/>
      </c>
      <c r="T10" s="29">
        <f>IF(
   DATE(YEAR(TODAY()),MONTH(TODAY()),T$2) &gt; TODAY(),
   "",
   IF(
     COUNTIFS(
       DuLieu!$B:$B,$B10,
       DuLieu!$C:$C,"&gt;="&amp;DATE(YEAR(TODAY()),MONTH(TODAY()),T$2),
       DuLieu!$C:$C,"&lt;"&amp;DATE(YEAR(TODAY()),MONTH(TODAY()),T$2)+1
     )&gt;0,
     "✅",
     "❌"
   )
)</f>
        <v/>
      </c>
      <c r="U10" s="29">
        <f>IF(
   DATE(YEAR(TODAY()),MONTH(TODAY()),U$2) &gt; TODAY(),
   "",
   IF(
     COUNTIFS(
       DuLieu!$B:$B,$B10,
       DuLieu!$C:$C,"&gt;="&amp;DATE(YEAR(TODAY()),MONTH(TODAY()),U$2),
       DuLieu!$C:$C,"&lt;"&amp;DATE(YEAR(TODAY()),MONTH(TODAY()),U$2)+1
     )&gt;0,
     "✅",
     "❌"
   )
)</f>
        <v/>
      </c>
      <c r="V10" s="29">
        <f>IF(
   DATE(YEAR(TODAY()),MONTH(TODAY()),V$2) &gt; TODAY(),
   "",
   IF(
     COUNTIFS(
       DuLieu!$B:$B,$B10,
       DuLieu!$C:$C,"&gt;="&amp;DATE(YEAR(TODAY()),MONTH(TODAY()),V$2),
       DuLieu!$C:$C,"&lt;"&amp;DATE(YEAR(TODAY()),MONTH(TODAY()),V$2)+1
     )&gt;0,
     "✅",
     "❌"
   )
)</f>
        <v/>
      </c>
      <c r="W10" s="29">
        <f>IF(
   DATE(YEAR(TODAY()),MONTH(TODAY()),W$2) &gt; TODAY(),
   "",
   IF(
     COUNTIFS(
       DuLieu!$B:$B,$B10,
       DuLieu!$C:$C,"&gt;="&amp;DATE(YEAR(TODAY()),MONTH(TODAY()),W$2),
       DuLieu!$C:$C,"&lt;"&amp;DATE(YEAR(TODAY()),MONTH(TODAY()),W$2)+1
     )&gt;0,
     "✅",
     "❌"
   )
)</f>
        <v/>
      </c>
      <c r="X10" s="29">
        <f>IF(
   DATE(YEAR(TODAY()),MONTH(TODAY()),X$2) &gt; TODAY(),
   "",
   IF(
     COUNTIFS(
       DuLieu!$B:$B,$B10,
       DuLieu!$C:$C,"&gt;="&amp;DATE(YEAR(TODAY()),MONTH(TODAY()),X$2),
       DuLieu!$C:$C,"&lt;"&amp;DATE(YEAR(TODAY()),MONTH(TODAY()),X$2)+1
     )&gt;0,
     "✅",
     "❌"
   )
)</f>
        <v/>
      </c>
      <c r="Y10" s="29">
        <f>IF(
   DATE(YEAR(TODAY()),MONTH(TODAY()),Y$2) &gt; TODAY(),
   "",
   IF(
     COUNTIFS(
       DuLieu!$B:$B,$B10,
       DuLieu!$C:$C,"&gt;="&amp;DATE(YEAR(TODAY()),MONTH(TODAY()),Y$2),
       DuLieu!$C:$C,"&lt;"&amp;DATE(YEAR(TODAY()),MONTH(TODAY()),Y$2)+1
     )&gt;0,
     "✅",
     "❌"
   )
)</f>
        <v/>
      </c>
      <c r="Z10" s="29">
        <f>IF(
   DATE(YEAR(TODAY()),MONTH(TODAY()),Z$2) &gt; TODAY(),
   "",
   IF(
     COUNTIFS(
       DuLieu!$B:$B,$B10,
       DuLieu!$C:$C,"&gt;="&amp;DATE(YEAR(TODAY()),MONTH(TODAY()),Z$2),
       DuLieu!$C:$C,"&lt;"&amp;DATE(YEAR(TODAY()),MONTH(TODAY()),Z$2)+1
     )&gt;0,
     "✅",
     "❌"
   )
)</f>
        <v/>
      </c>
      <c r="AA10" s="29">
        <f>IF(
   DATE(YEAR(TODAY()),MONTH(TODAY()),AA$2) &gt; TODAY(),
   "",
   IF(
     COUNTIFS(
       DuLieu!$B:$B,$B10,
       DuLieu!$C:$C,"&gt;="&amp;DATE(YEAR(TODAY()),MONTH(TODAY()),AA$2),
       DuLieu!$C:$C,"&lt;"&amp;DATE(YEAR(TODAY()),MONTH(TODAY()),AA$2)+1
     )&gt;0,
     "✅",
     "❌"
   )
)</f>
        <v/>
      </c>
      <c r="AB10" s="29">
        <f>IF(
   DATE(YEAR(TODAY()),MONTH(TODAY()),AB$2) &gt; TODAY(),
   "",
   IF(
     COUNTIFS(
       DuLieu!$B:$B,$B10,
       DuLieu!$C:$C,"&gt;="&amp;DATE(YEAR(TODAY()),MONTH(TODAY()),AB$2),
       DuLieu!$C:$C,"&lt;"&amp;DATE(YEAR(TODAY()),MONTH(TODAY()),AB$2)+1
     )&gt;0,
     "✅",
     "❌"
   )
)</f>
        <v/>
      </c>
      <c r="AC10" s="29">
        <f>IF(
   DATE(YEAR(TODAY()),MONTH(TODAY()),AC$2) &gt; TODAY(),
   "",
   IF(
     COUNTIFS(
       DuLieu!$B:$B,$B10,
       DuLieu!$C:$C,"&gt;="&amp;DATE(YEAR(TODAY()),MONTH(TODAY()),AC$2),
       DuLieu!$C:$C,"&lt;"&amp;DATE(YEAR(TODAY()),MONTH(TODAY()),AC$2)+1
     )&gt;0,
     "✅",
     "❌"
   )
)</f>
        <v/>
      </c>
      <c r="AD10" s="29">
        <f>IF(
   DATE(YEAR(TODAY()),MONTH(TODAY()),AD$2) &gt; TODAY(),
   "",
   IF(
     COUNTIFS(
       DuLieu!$B:$B,$B10,
       DuLieu!$C:$C,"&gt;="&amp;DATE(YEAR(TODAY()),MONTH(TODAY()),AD$2),
       DuLieu!$C:$C,"&lt;"&amp;DATE(YEAR(TODAY()),MONTH(TODAY()),AD$2)+1
     )&gt;0,
     "✅",
     "❌"
   )
)</f>
        <v/>
      </c>
      <c r="AE10" s="29">
        <f>IF(
   DATE(YEAR(TODAY()),MONTH(TODAY()),AE$2) &gt; TODAY(),
   "",
   IF(
     COUNTIFS(
       DuLieu!$B:$B,$B10,
       DuLieu!$C:$C,"&gt;="&amp;DATE(YEAR(TODAY()),MONTH(TODAY()),AE$2),
       DuLieu!$C:$C,"&lt;"&amp;DATE(YEAR(TODAY()),MONTH(TODAY()),AE$2)+1
     )&gt;0,
     "✅",
     "❌"
   )
)</f>
        <v/>
      </c>
      <c r="AF10" s="29">
        <f>IF(
   DATE(YEAR(TODAY()),MONTH(TODAY()),AF$2) &gt; TODAY(),
   "",
   IF(
     COUNTIFS(
       DuLieu!$B:$B,$B10,
       DuLieu!$C:$C,"&gt;="&amp;DATE(YEAR(TODAY()),MONTH(TODAY()),AF$2),
       DuLieu!$C:$C,"&lt;"&amp;DATE(YEAR(TODAY()),MONTH(TODAY()),AF$2)+1
     )&gt;0,
     "✅",
     "❌"
   )
)</f>
        <v/>
      </c>
      <c r="AG10" s="29">
        <f>IF(
   DATE(YEAR(TODAY()),MONTH(TODAY()),AG$2) &gt; TODAY(),
   "",
   IF(
     COUNTIFS(
       DuLieu!$B:$B,$B10,
       DuLieu!$C:$C,"&gt;="&amp;DATE(YEAR(TODAY()),MONTH(TODAY()),AG$2),
       DuLieu!$C:$C,"&lt;"&amp;DATE(YEAR(TODAY()),MONTH(TODAY()),AG$2)+1
     )&gt;0,
     "✅",
     "❌"
   )
)</f>
        <v/>
      </c>
    </row>
    <row r="11" ht="15.75" customHeight="1" s="117">
      <c r="A11" s="112" t="n">
        <v>9</v>
      </c>
      <c r="B11" s="27" t="inlineStr">
        <is>
          <t>Lê Văn Hồng</t>
        </is>
      </c>
      <c r="C11" s="97">
        <f>IF(
   DATE(YEAR(TODAY()),MONTH(TODAY()),C$2) &gt; TODAY(),
   "",
   IF(
     COUNTIFS(
       DuLieu!$B:$B,$B11,
       DuLieu!$C:$C,"&gt;="&amp;DATE(YEAR(TODAY()),MONTH(TODAY()),C$2),
       DuLieu!$C:$C,"&lt;"&amp;DATE(YEAR(TODAY()),MONTH(TODAY()),C$2)+1
     )&gt;0,
     "✅",
     "❌"
   )
)</f>
        <v/>
      </c>
      <c r="D11" s="97">
        <f>IF(
   DATE(YEAR(TODAY()),MONTH(TODAY()),D$2) &gt; TODAY(),
   "",
   IF(
     COUNTIFS(
       DuLieu!$B:$B,$B11,
       DuLieu!$C:$C,"&gt;="&amp;DATE(YEAR(TODAY()),MONTH(TODAY()),D$2),
       DuLieu!$C:$C,"&lt;"&amp;DATE(YEAR(TODAY()),MONTH(TODAY()),D$2)+1
     )&gt;0,
     "✅",
     "❌"
   )
)</f>
        <v/>
      </c>
      <c r="E11" s="97">
        <f>IF(
   DATE(YEAR(TODAY()),MONTH(TODAY()),E$2) &gt; TODAY(),
   "",
   IF(
     COUNTIFS(
       DuLieu!$B:$B,$B11,
       DuLieu!$C:$C,"&gt;="&amp;DATE(YEAR(TODAY()),MONTH(TODAY()),E$2),
       DuLieu!$C:$C,"&lt;"&amp;DATE(YEAR(TODAY()),MONTH(TODAY()),E$2)+1
     )&gt;0,
     "✅",
     "❌"
   )
)</f>
        <v/>
      </c>
      <c r="F11" s="97">
        <f>IF(
   DATE(YEAR(TODAY()),MONTH(TODAY()),F$2) &gt; TODAY(),
   "",
   IF(
     COUNTIFS(
       DuLieu!$B:$B,$B11,
       DuLieu!$C:$C,"&gt;="&amp;DATE(YEAR(TODAY()),MONTH(TODAY()),F$2),
       DuLieu!$C:$C,"&lt;"&amp;DATE(YEAR(TODAY()),MONTH(TODAY()),F$2)+1
     )&gt;0,
     "✅",
     "❌"
   )
)</f>
        <v/>
      </c>
      <c r="G11" s="29">
        <f>IF(
   DATE(YEAR(TODAY()),MONTH(TODAY()),G$2) &gt; TODAY(),
   "",
   IF(
     COUNTIFS(
       DuLieu!$B:$B,$B11,
       DuLieu!$C:$C,"&gt;="&amp;DATE(YEAR(TODAY()),MONTH(TODAY()),G$2),
       DuLieu!$C:$C,"&lt;"&amp;DATE(YEAR(TODAY()),MONTH(TODAY()),G$2)+1
     )&gt;0,
     "✅",
     "❌"
   )
)</f>
        <v/>
      </c>
      <c r="H11" s="29">
        <f>IF(
   DATE(YEAR(TODAY()),MONTH(TODAY()),H$2) &gt; TODAY(),
   "",
   IF(
     COUNTIFS(
       DuLieu!$B:$B,$B11,
       DuLieu!$C:$C,"&gt;="&amp;DATE(YEAR(TODAY()),MONTH(TODAY()),H$2),
       DuLieu!$C:$C,"&lt;"&amp;DATE(YEAR(TODAY()),MONTH(TODAY()),H$2)+1
     )&gt;0,
     "✅",
     "❌"
   )
)</f>
        <v/>
      </c>
      <c r="I11" s="29">
        <f>IF(
   DATE(YEAR(TODAY()),MONTH(TODAY()),I$2) &gt; TODAY(),
   "",
   IF(
     COUNTIFS(
       DuLieu!$B:$B,$B11,
       DuLieu!$C:$C,"&gt;="&amp;DATE(YEAR(TODAY()),MONTH(TODAY()),I$2),
       DuLieu!$C:$C,"&lt;"&amp;DATE(YEAR(TODAY()),MONTH(TODAY()),I$2)+1
     )&gt;0,
     "✅",
     "❌"
   )
)</f>
        <v/>
      </c>
      <c r="J11" s="29">
        <f>IF(
   DATE(YEAR(TODAY()),MONTH(TODAY()),J$2) &gt; TODAY(),
   "",
   IF(
     COUNTIFS(
       DuLieu!$B:$B,$B11,
       DuLieu!$C:$C,"&gt;="&amp;DATE(YEAR(TODAY()),MONTH(TODAY()),J$2),
       DuLieu!$C:$C,"&lt;"&amp;DATE(YEAR(TODAY()),MONTH(TODAY()),J$2)+1
     )&gt;0,
     "✅",
     "❌"
   )
)</f>
        <v/>
      </c>
      <c r="K11" s="29">
        <f>IF(
   DATE(YEAR(TODAY()),MONTH(TODAY()),K$2) &gt; TODAY(),
   "",
   IF(
     COUNTIFS(
       DuLieu!$B:$B,$B11,
       DuLieu!$C:$C,"&gt;="&amp;DATE(YEAR(TODAY()),MONTH(TODAY()),K$2),
       DuLieu!$C:$C,"&lt;"&amp;DATE(YEAR(TODAY()),MONTH(TODAY()),K$2)+1
     )&gt;0,
     "✅",
     "❌"
   )
)</f>
        <v/>
      </c>
      <c r="L11" s="29">
        <f>IF(
   DATE(YEAR(TODAY()),MONTH(TODAY()),L$2) &gt; TODAY(),
   "",
   IF(
     COUNTIFS(
       DuLieu!$B:$B,$B11,
       DuLieu!$C:$C,"&gt;="&amp;DATE(YEAR(TODAY()),MONTH(TODAY()),L$2),
       DuLieu!$C:$C,"&lt;"&amp;DATE(YEAR(TODAY()),MONTH(TODAY()),L$2)+1
     )&gt;0,
     "✅",
     "❌"
   )
)</f>
        <v/>
      </c>
      <c r="M11" s="29">
        <f>IF(
   DATE(YEAR(TODAY()),MONTH(TODAY()),M$2) &gt; TODAY(),
   "",
   IF(
     COUNTIFS(
       DuLieu!$B:$B,$B11,
       DuLieu!$C:$C,"&gt;="&amp;DATE(YEAR(TODAY()),MONTH(TODAY()),M$2),
       DuLieu!$C:$C,"&lt;"&amp;DATE(YEAR(TODAY()),MONTH(TODAY()),M$2)+1
     )&gt;0,
     "✅",
     "❌"
   )
)</f>
        <v/>
      </c>
      <c r="N11" s="29">
        <f>IF(
   DATE(YEAR(TODAY()),MONTH(TODAY()),N$2) &gt; TODAY(),
   "",
   IF(
     COUNTIFS(
       DuLieu!$B:$B,$B11,
       DuLieu!$C:$C,"&gt;="&amp;DATE(YEAR(TODAY()),MONTH(TODAY()),N$2),
       DuLieu!$C:$C,"&lt;"&amp;DATE(YEAR(TODAY()),MONTH(TODAY()),N$2)+1
     )&gt;0,
     "✅",
     "❌"
   )
)</f>
        <v/>
      </c>
      <c r="O11" s="29">
        <f>IF(
   DATE(YEAR(TODAY()),MONTH(TODAY()),O$2) &gt; TODAY(),
   "",
   IF(
     COUNTIFS(
       DuLieu!$B:$B,$B11,
       DuLieu!$C:$C,"&gt;="&amp;DATE(YEAR(TODAY()),MONTH(TODAY()),O$2),
       DuLieu!$C:$C,"&lt;"&amp;DATE(YEAR(TODAY()),MONTH(TODAY()),O$2)+1
     )&gt;0,
     "✅",
     "❌"
   )
)</f>
        <v/>
      </c>
      <c r="P11" s="29">
        <f>IF(
   DATE(YEAR(TODAY()),MONTH(TODAY()),P$2) &gt; TODAY(),
   "",
   IF(
     COUNTIFS(
       DuLieu!$B:$B,$B11,
       DuLieu!$C:$C,"&gt;="&amp;DATE(YEAR(TODAY()),MONTH(TODAY()),P$2),
       DuLieu!$C:$C,"&lt;"&amp;DATE(YEAR(TODAY()),MONTH(TODAY()),P$2)+1
     )&gt;0,
     "✅",
     "❌"
   )
)</f>
        <v/>
      </c>
      <c r="Q11" s="29">
        <f>IF(
   DATE(YEAR(TODAY()),MONTH(TODAY()),Q$2) &gt; TODAY(),
   "",
   IF(
     COUNTIFS(
       DuLieu!$B:$B,$B11,
       DuLieu!$C:$C,"&gt;="&amp;DATE(YEAR(TODAY()),MONTH(TODAY()),Q$2),
       DuLieu!$C:$C,"&lt;"&amp;DATE(YEAR(TODAY()),MONTH(TODAY()),Q$2)+1
     )&gt;0,
     "✅",
     "❌"
   )
)</f>
        <v/>
      </c>
      <c r="R11" s="29">
        <f>IF(
   DATE(YEAR(TODAY()),MONTH(TODAY()),R$2) &gt; TODAY(),
   "",
   IF(
     COUNTIFS(
       DuLieu!$B:$B,$B11,
       DuLieu!$C:$C,"&gt;="&amp;DATE(YEAR(TODAY()),MONTH(TODAY()),R$2),
       DuLieu!$C:$C,"&lt;"&amp;DATE(YEAR(TODAY()),MONTH(TODAY()),R$2)+1
     )&gt;0,
     "✅",
     "❌"
   )
)</f>
        <v/>
      </c>
      <c r="S11" s="29">
        <f>IF(
   DATE(YEAR(TODAY()),MONTH(TODAY()),S$2) &gt; TODAY(),
   "",
   IF(
     COUNTIFS(
       DuLieu!$B:$B,$B11,
       DuLieu!$C:$C,"&gt;="&amp;DATE(YEAR(TODAY()),MONTH(TODAY()),S$2),
       DuLieu!$C:$C,"&lt;"&amp;DATE(YEAR(TODAY()),MONTH(TODAY()),S$2)+1
     )&gt;0,
     "✅",
     "❌"
   )
)</f>
        <v/>
      </c>
      <c r="T11" s="29">
        <f>IF(
   DATE(YEAR(TODAY()),MONTH(TODAY()),T$2) &gt; TODAY(),
   "",
   IF(
     COUNTIFS(
       DuLieu!$B:$B,$B11,
       DuLieu!$C:$C,"&gt;="&amp;DATE(YEAR(TODAY()),MONTH(TODAY()),T$2),
       DuLieu!$C:$C,"&lt;"&amp;DATE(YEAR(TODAY()),MONTH(TODAY()),T$2)+1
     )&gt;0,
     "✅",
     "❌"
   )
)</f>
        <v/>
      </c>
      <c r="U11" s="29">
        <f>IF(
   DATE(YEAR(TODAY()),MONTH(TODAY()),U$2) &gt; TODAY(),
   "",
   IF(
     COUNTIFS(
       DuLieu!$B:$B,$B11,
       DuLieu!$C:$C,"&gt;="&amp;DATE(YEAR(TODAY()),MONTH(TODAY()),U$2),
       DuLieu!$C:$C,"&lt;"&amp;DATE(YEAR(TODAY()),MONTH(TODAY()),U$2)+1
     )&gt;0,
     "✅",
     "❌"
   )
)</f>
        <v/>
      </c>
      <c r="V11" s="29">
        <f>IF(
   DATE(YEAR(TODAY()),MONTH(TODAY()),V$2) &gt; TODAY(),
   "",
   IF(
     COUNTIFS(
       DuLieu!$B:$B,$B11,
       DuLieu!$C:$C,"&gt;="&amp;DATE(YEAR(TODAY()),MONTH(TODAY()),V$2),
       DuLieu!$C:$C,"&lt;"&amp;DATE(YEAR(TODAY()),MONTH(TODAY()),V$2)+1
     )&gt;0,
     "✅",
     "❌"
   )
)</f>
        <v/>
      </c>
      <c r="W11" s="29">
        <f>IF(
   DATE(YEAR(TODAY()),MONTH(TODAY()),W$2) &gt; TODAY(),
   "",
   IF(
     COUNTIFS(
       DuLieu!$B:$B,$B11,
       DuLieu!$C:$C,"&gt;="&amp;DATE(YEAR(TODAY()),MONTH(TODAY()),W$2),
       DuLieu!$C:$C,"&lt;"&amp;DATE(YEAR(TODAY()),MONTH(TODAY()),W$2)+1
     )&gt;0,
     "✅",
     "❌"
   )
)</f>
        <v/>
      </c>
      <c r="X11" s="29">
        <f>IF(
   DATE(YEAR(TODAY()),MONTH(TODAY()),X$2) &gt; TODAY(),
   "",
   IF(
     COUNTIFS(
       DuLieu!$B:$B,$B11,
       DuLieu!$C:$C,"&gt;="&amp;DATE(YEAR(TODAY()),MONTH(TODAY()),X$2),
       DuLieu!$C:$C,"&lt;"&amp;DATE(YEAR(TODAY()),MONTH(TODAY()),X$2)+1
     )&gt;0,
     "✅",
     "❌"
   )
)</f>
        <v/>
      </c>
      <c r="Y11" s="29">
        <f>IF(
   DATE(YEAR(TODAY()),MONTH(TODAY()),Y$2) &gt; TODAY(),
   "",
   IF(
     COUNTIFS(
       DuLieu!$B:$B,$B11,
       DuLieu!$C:$C,"&gt;="&amp;DATE(YEAR(TODAY()),MONTH(TODAY()),Y$2),
       DuLieu!$C:$C,"&lt;"&amp;DATE(YEAR(TODAY()),MONTH(TODAY()),Y$2)+1
     )&gt;0,
     "✅",
     "❌"
   )
)</f>
        <v/>
      </c>
      <c r="Z11" s="29">
        <f>IF(
   DATE(YEAR(TODAY()),MONTH(TODAY()),Z$2) &gt; TODAY(),
   "",
   IF(
     COUNTIFS(
       DuLieu!$B:$B,$B11,
       DuLieu!$C:$C,"&gt;="&amp;DATE(YEAR(TODAY()),MONTH(TODAY()),Z$2),
       DuLieu!$C:$C,"&lt;"&amp;DATE(YEAR(TODAY()),MONTH(TODAY()),Z$2)+1
     )&gt;0,
     "✅",
     "❌"
   )
)</f>
        <v/>
      </c>
      <c r="AA11" s="29">
        <f>IF(
   DATE(YEAR(TODAY()),MONTH(TODAY()),AA$2) &gt; TODAY(),
   "",
   IF(
     COUNTIFS(
       DuLieu!$B:$B,$B11,
       DuLieu!$C:$C,"&gt;="&amp;DATE(YEAR(TODAY()),MONTH(TODAY()),AA$2),
       DuLieu!$C:$C,"&lt;"&amp;DATE(YEAR(TODAY()),MONTH(TODAY()),AA$2)+1
     )&gt;0,
     "✅",
     "❌"
   )
)</f>
        <v/>
      </c>
      <c r="AB11" s="29">
        <f>IF(
   DATE(YEAR(TODAY()),MONTH(TODAY()),AB$2) &gt; TODAY(),
   "",
   IF(
     COUNTIFS(
       DuLieu!$B:$B,$B11,
       DuLieu!$C:$C,"&gt;="&amp;DATE(YEAR(TODAY()),MONTH(TODAY()),AB$2),
       DuLieu!$C:$C,"&lt;"&amp;DATE(YEAR(TODAY()),MONTH(TODAY()),AB$2)+1
     )&gt;0,
     "✅",
     "❌"
   )
)</f>
        <v/>
      </c>
      <c r="AC11" s="29">
        <f>IF(
   DATE(YEAR(TODAY()),MONTH(TODAY()),AC$2) &gt; TODAY(),
   "",
   IF(
     COUNTIFS(
       DuLieu!$B:$B,$B11,
       DuLieu!$C:$C,"&gt;="&amp;DATE(YEAR(TODAY()),MONTH(TODAY()),AC$2),
       DuLieu!$C:$C,"&lt;"&amp;DATE(YEAR(TODAY()),MONTH(TODAY()),AC$2)+1
     )&gt;0,
     "✅",
     "❌"
   )
)</f>
        <v/>
      </c>
      <c r="AD11" s="29">
        <f>IF(
   DATE(YEAR(TODAY()),MONTH(TODAY()),AD$2) &gt; TODAY(),
   "",
   IF(
     COUNTIFS(
       DuLieu!$B:$B,$B11,
       DuLieu!$C:$C,"&gt;="&amp;DATE(YEAR(TODAY()),MONTH(TODAY()),AD$2),
       DuLieu!$C:$C,"&lt;"&amp;DATE(YEAR(TODAY()),MONTH(TODAY()),AD$2)+1
     )&gt;0,
     "✅",
     "❌"
   )
)</f>
        <v/>
      </c>
      <c r="AE11" s="29">
        <f>IF(
   DATE(YEAR(TODAY()),MONTH(TODAY()),AE$2) &gt; TODAY(),
   "",
   IF(
     COUNTIFS(
       DuLieu!$B:$B,$B11,
       DuLieu!$C:$C,"&gt;="&amp;DATE(YEAR(TODAY()),MONTH(TODAY()),AE$2),
       DuLieu!$C:$C,"&lt;"&amp;DATE(YEAR(TODAY()),MONTH(TODAY()),AE$2)+1
     )&gt;0,
     "✅",
     "❌"
   )
)</f>
        <v/>
      </c>
      <c r="AF11" s="29">
        <f>IF(
   DATE(YEAR(TODAY()),MONTH(TODAY()),AF$2) &gt; TODAY(),
   "",
   IF(
     COUNTIFS(
       DuLieu!$B:$B,$B11,
       DuLieu!$C:$C,"&gt;="&amp;DATE(YEAR(TODAY()),MONTH(TODAY()),AF$2),
       DuLieu!$C:$C,"&lt;"&amp;DATE(YEAR(TODAY()),MONTH(TODAY()),AF$2)+1
     )&gt;0,
     "✅",
     "❌"
   )
)</f>
        <v/>
      </c>
      <c r="AG11" s="29">
        <f>IF(
   DATE(YEAR(TODAY()),MONTH(TODAY()),AG$2) &gt; TODAY(),
   "",
   IF(
     COUNTIFS(
       DuLieu!$B:$B,$B11,
       DuLieu!$C:$C,"&gt;="&amp;DATE(YEAR(TODAY()),MONTH(TODAY()),AG$2),
       DuLieu!$C:$C,"&lt;"&amp;DATE(YEAR(TODAY()),MONTH(TODAY()),AG$2)+1
     )&gt;0,
     "✅",
     "❌"
   )
)</f>
        <v/>
      </c>
    </row>
    <row r="12" ht="15.75" customHeight="1" s="117">
      <c r="A12" s="112" t="n">
        <v>10</v>
      </c>
      <c r="B12" s="27" t="inlineStr">
        <is>
          <t>Lương Duy Hoàng</t>
        </is>
      </c>
      <c r="C12" s="97">
        <f>IF(
   DATE(YEAR(TODAY()),MONTH(TODAY()),C$2) &gt; TODAY(),
   "",
   IF(
     COUNTIFS(
       DuLieu!$B:$B,$B12,
       DuLieu!$C:$C,"&gt;="&amp;DATE(YEAR(TODAY()),MONTH(TODAY()),C$2),
       DuLieu!$C:$C,"&lt;"&amp;DATE(YEAR(TODAY()),MONTH(TODAY()),C$2)+1
     )&gt;0,
     "✅",
     "❌"
   )
)</f>
        <v/>
      </c>
      <c r="D12" s="97">
        <f>IF(
   DATE(YEAR(TODAY()),MONTH(TODAY()),D$2) &gt; TODAY(),
   "",
   IF(
     COUNTIFS(
       DuLieu!$B:$B,$B12,
       DuLieu!$C:$C,"&gt;="&amp;DATE(YEAR(TODAY()),MONTH(TODAY()),D$2),
       DuLieu!$C:$C,"&lt;"&amp;DATE(YEAR(TODAY()),MONTH(TODAY()),D$2)+1
     )&gt;0,
     "✅",
     "❌"
   )
)</f>
        <v/>
      </c>
      <c r="E12" s="97">
        <f>IF(
   DATE(YEAR(TODAY()),MONTH(TODAY()),E$2) &gt; TODAY(),
   "",
   IF(
     COUNTIFS(
       DuLieu!$B:$B,$B12,
       DuLieu!$C:$C,"&gt;="&amp;DATE(YEAR(TODAY()),MONTH(TODAY()),E$2),
       DuLieu!$C:$C,"&lt;"&amp;DATE(YEAR(TODAY()),MONTH(TODAY()),E$2)+1
     )&gt;0,
     "✅",
     "❌"
   )
)</f>
        <v/>
      </c>
      <c r="F12" s="97">
        <f>IF(
   DATE(YEAR(TODAY()),MONTH(TODAY()),F$2) &gt; TODAY(),
   "",
   IF(
     COUNTIFS(
       DuLieu!$B:$B,$B12,
       DuLieu!$C:$C,"&gt;="&amp;DATE(YEAR(TODAY()),MONTH(TODAY()),F$2),
       DuLieu!$C:$C,"&lt;"&amp;DATE(YEAR(TODAY()),MONTH(TODAY()),F$2)+1
     )&gt;0,
     "✅",
     "❌"
   )
)</f>
        <v/>
      </c>
      <c r="G12" s="29">
        <f>IF(
   DATE(YEAR(TODAY()),MONTH(TODAY()),G$2) &gt; TODAY(),
   "",
   IF(
     COUNTIFS(
       DuLieu!$B:$B,$B12,
       DuLieu!$C:$C,"&gt;="&amp;DATE(YEAR(TODAY()),MONTH(TODAY()),G$2),
       DuLieu!$C:$C,"&lt;"&amp;DATE(YEAR(TODAY()),MONTH(TODAY()),G$2)+1
     )&gt;0,
     "✅",
     "❌"
   )
)</f>
        <v/>
      </c>
      <c r="H12" s="29">
        <f>IF(
   DATE(YEAR(TODAY()),MONTH(TODAY()),H$2) &gt; TODAY(),
   "",
   IF(
     COUNTIFS(
       DuLieu!$B:$B,$B12,
       DuLieu!$C:$C,"&gt;="&amp;DATE(YEAR(TODAY()),MONTH(TODAY()),H$2),
       DuLieu!$C:$C,"&lt;"&amp;DATE(YEAR(TODAY()),MONTH(TODAY()),H$2)+1
     )&gt;0,
     "✅",
     "❌"
   )
)</f>
        <v/>
      </c>
      <c r="I12" s="29">
        <f>IF(
   DATE(YEAR(TODAY()),MONTH(TODAY()),I$2) &gt; TODAY(),
   "",
   IF(
     COUNTIFS(
       DuLieu!$B:$B,$B12,
       DuLieu!$C:$C,"&gt;="&amp;DATE(YEAR(TODAY()),MONTH(TODAY()),I$2),
       DuLieu!$C:$C,"&lt;"&amp;DATE(YEAR(TODAY()),MONTH(TODAY()),I$2)+1
     )&gt;0,
     "✅",
     "❌"
   )
)</f>
        <v/>
      </c>
      <c r="J12" s="29">
        <f>IF(
   DATE(YEAR(TODAY()),MONTH(TODAY()),J$2) &gt; TODAY(),
   "",
   IF(
     COUNTIFS(
       DuLieu!$B:$B,$B12,
       DuLieu!$C:$C,"&gt;="&amp;DATE(YEAR(TODAY()),MONTH(TODAY()),J$2),
       DuLieu!$C:$C,"&lt;"&amp;DATE(YEAR(TODAY()),MONTH(TODAY()),J$2)+1
     )&gt;0,
     "✅",
     "❌"
   )
)</f>
        <v/>
      </c>
      <c r="K12" s="29">
        <f>IF(
   DATE(YEAR(TODAY()),MONTH(TODAY()),K$2) &gt; TODAY(),
   "",
   IF(
     COUNTIFS(
       DuLieu!$B:$B,$B12,
       DuLieu!$C:$C,"&gt;="&amp;DATE(YEAR(TODAY()),MONTH(TODAY()),K$2),
       DuLieu!$C:$C,"&lt;"&amp;DATE(YEAR(TODAY()),MONTH(TODAY()),K$2)+1
     )&gt;0,
     "✅",
     "❌"
   )
)</f>
        <v/>
      </c>
      <c r="L12" s="29">
        <f>IF(
   DATE(YEAR(TODAY()),MONTH(TODAY()),L$2) &gt; TODAY(),
   "",
   IF(
     COUNTIFS(
       DuLieu!$B:$B,$B12,
       DuLieu!$C:$C,"&gt;="&amp;DATE(YEAR(TODAY()),MONTH(TODAY()),L$2),
       DuLieu!$C:$C,"&lt;"&amp;DATE(YEAR(TODAY()),MONTH(TODAY()),L$2)+1
     )&gt;0,
     "✅",
     "❌"
   )
)</f>
        <v/>
      </c>
      <c r="M12" s="29">
        <f>IF(
   DATE(YEAR(TODAY()),MONTH(TODAY()),M$2) &gt; TODAY(),
   "",
   IF(
     COUNTIFS(
       DuLieu!$B:$B,$B12,
       DuLieu!$C:$C,"&gt;="&amp;DATE(YEAR(TODAY()),MONTH(TODAY()),M$2),
       DuLieu!$C:$C,"&lt;"&amp;DATE(YEAR(TODAY()),MONTH(TODAY()),M$2)+1
     )&gt;0,
     "✅",
     "❌"
   )
)</f>
        <v/>
      </c>
      <c r="N12" s="29">
        <f>IF(
   DATE(YEAR(TODAY()),MONTH(TODAY()),N$2) &gt; TODAY(),
   "",
   IF(
     COUNTIFS(
       DuLieu!$B:$B,$B12,
       DuLieu!$C:$C,"&gt;="&amp;DATE(YEAR(TODAY()),MONTH(TODAY()),N$2),
       DuLieu!$C:$C,"&lt;"&amp;DATE(YEAR(TODAY()),MONTH(TODAY()),N$2)+1
     )&gt;0,
     "✅",
     "❌"
   )
)</f>
        <v/>
      </c>
      <c r="O12" s="29">
        <f>IF(
   DATE(YEAR(TODAY()),MONTH(TODAY()),O$2) &gt; TODAY(),
   "",
   IF(
     COUNTIFS(
       DuLieu!$B:$B,$B12,
       DuLieu!$C:$C,"&gt;="&amp;DATE(YEAR(TODAY()),MONTH(TODAY()),O$2),
       DuLieu!$C:$C,"&lt;"&amp;DATE(YEAR(TODAY()),MONTH(TODAY()),O$2)+1
     )&gt;0,
     "✅",
     "❌"
   )
)</f>
        <v/>
      </c>
      <c r="P12" s="29">
        <f>IF(
   DATE(YEAR(TODAY()),MONTH(TODAY()),P$2) &gt; TODAY(),
   "",
   IF(
     COUNTIFS(
       DuLieu!$B:$B,$B12,
       DuLieu!$C:$C,"&gt;="&amp;DATE(YEAR(TODAY()),MONTH(TODAY()),P$2),
       DuLieu!$C:$C,"&lt;"&amp;DATE(YEAR(TODAY()),MONTH(TODAY()),P$2)+1
     )&gt;0,
     "✅",
     "❌"
   )
)</f>
        <v/>
      </c>
      <c r="Q12" s="29">
        <f>IF(
   DATE(YEAR(TODAY()),MONTH(TODAY()),Q$2) &gt; TODAY(),
   "",
   IF(
     COUNTIFS(
       DuLieu!$B:$B,$B12,
       DuLieu!$C:$C,"&gt;="&amp;DATE(YEAR(TODAY()),MONTH(TODAY()),Q$2),
       DuLieu!$C:$C,"&lt;"&amp;DATE(YEAR(TODAY()),MONTH(TODAY()),Q$2)+1
     )&gt;0,
     "✅",
     "❌"
   )
)</f>
        <v/>
      </c>
      <c r="R12" s="29">
        <f>IF(
   DATE(YEAR(TODAY()),MONTH(TODAY()),R$2) &gt; TODAY(),
   "",
   IF(
     COUNTIFS(
       DuLieu!$B:$B,$B12,
       DuLieu!$C:$C,"&gt;="&amp;DATE(YEAR(TODAY()),MONTH(TODAY()),R$2),
       DuLieu!$C:$C,"&lt;"&amp;DATE(YEAR(TODAY()),MONTH(TODAY()),R$2)+1
     )&gt;0,
     "✅",
     "❌"
   )
)</f>
        <v/>
      </c>
      <c r="S12" s="29">
        <f>IF(
   DATE(YEAR(TODAY()),MONTH(TODAY()),S$2) &gt; TODAY(),
   "",
   IF(
     COUNTIFS(
       DuLieu!$B:$B,$B12,
       DuLieu!$C:$C,"&gt;="&amp;DATE(YEAR(TODAY()),MONTH(TODAY()),S$2),
       DuLieu!$C:$C,"&lt;"&amp;DATE(YEAR(TODAY()),MONTH(TODAY()),S$2)+1
     )&gt;0,
     "✅",
     "❌"
   )
)</f>
        <v/>
      </c>
      <c r="T12" s="29">
        <f>IF(
   DATE(YEAR(TODAY()),MONTH(TODAY()),T$2) &gt; TODAY(),
   "",
   IF(
     COUNTIFS(
       DuLieu!$B:$B,$B12,
       DuLieu!$C:$C,"&gt;="&amp;DATE(YEAR(TODAY()),MONTH(TODAY()),T$2),
       DuLieu!$C:$C,"&lt;"&amp;DATE(YEAR(TODAY()),MONTH(TODAY()),T$2)+1
     )&gt;0,
     "✅",
     "❌"
   )
)</f>
        <v/>
      </c>
      <c r="U12" s="29">
        <f>IF(
   DATE(YEAR(TODAY()),MONTH(TODAY()),U$2) &gt; TODAY(),
   "",
   IF(
     COUNTIFS(
       DuLieu!$B:$B,$B12,
       DuLieu!$C:$C,"&gt;="&amp;DATE(YEAR(TODAY()),MONTH(TODAY()),U$2),
       DuLieu!$C:$C,"&lt;"&amp;DATE(YEAR(TODAY()),MONTH(TODAY()),U$2)+1
     )&gt;0,
     "✅",
     "❌"
   )
)</f>
        <v/>
      </c>
      <c r="V12" s="29">
        <f>IF(
   DATE(YEAR(TODAY()),MONTH(TODAY()),V$2) &gt; TODAY(),
   "",
   IF(
     COUNTIFS(
       DuLieu!$B:$B,$B12,
       DuLieu!$C:$C,"&gt;="&amp;DATE(YEAR(TODAY()),MONTH(TODAY()),V$2),
       DuLieu!$C:$C,"&lt;"&amp;DATE(YEAR(TODAY()),MONTH(TODAY()),V$2)+1
     )&gt;0,
     "✅",
     "❌"
   )
)</f>
        <v/>
      </c>
      <c r="W12" s="29">
        <f>IF(
   DATE(YEAR(TODAY()),MONTH(TODAY()),W$2) &gt; TODAY(),
   "",
   IF(
     COUNTIFS(
       DuLieu!$B:$B,$B12,
       DuLieu!$C:$C,"&gt;="&amp;DATE(YEAR(TODAY()),MONTH(TODAY()),W$2),
       DuLieu!$C:$C,"&lt;"&amp;DATE(YEAR(TODAY()),MONTH(TODAY()),W$2)+1
     )&gt;0,
     "✅",
     "❌"
   )
)</f>
        <v/>
      </c>
      <c r="X12" s="29">
        <f>IF(
   DATE(YEAR(TODAY()),MONTH(TODAY()),X$2) &gt; TODAY(),
   "",
   IF(
     COUNTIFS(
       DuLieu!$B:$B,$B12,
       DuLieu!$C:$C,"&gt;="&amp;DATE(YEAR(TODAY()),MONTH(TODAY()),X$2),
       DuLieu!$C:$C,"&lt;"&amp;DATE(YEAR(TODAY()),MONTH(TODAY()),X$2)+1
     )&gt;0,
     "✅",
     "❌"
   )
)</f>
        <v/>
      </c>
      <c r="Y12" s="29">
        <f>IF(
   DATE(YEAR(TODAY()),MONTH(TODAY()),Y$2) &gt; TODAY(),
   "",
   IF(
     COUNTIFS(
       DuLieu!$B:$B,$B12,
       DuLieu!$C:$C,"&gt;="&amp;DATE(YEAR(TODAY()),MONTH(TODAY()),Y$2),
       DuLieu!$C:$C,"&lt;"&amp;DATE(YEAR(TODAY()),MONTH(TODAY()),Y$2)+1
     )&gt;0,
     "✅",
     "❌"
   )
)</f>
        <v/>
      </c>
      <c r="Z12" s="29">
        <f>IF(
   DATE(YEAR(TODAY()),MONTH(TODAY()),Z$2) &gt; TODAY(),
   "",
   IF(
     COUNTIFS(
       DuLieu!$B:$B,$B12,
       DuLieu!$C:$C,"&gt;="&amp;DATE(YEAR(TODAY()),MONTH(TODAY()),Z$2),
       DuLieu!$C:$C,"&lt;"&amp;DATE(YEAR(TODAY()),MONTH(TODAY()),Z$2)+1
     )&gt;0,
     "✅",
     "❌"
   )
)</f>
        <v/>
      </c>
      <c r="AA12" s="29">
        <f>IF(
   DATE(YEAR(TODAY()),MONTH(TODAY()),AA$2) &gt; TODAY(),
   "",
   IF(
     COUNTIFS(
       DuLieu!$B:$B,$B12,
       DuLieu!$C:$C,"&gt;="&amp;DATE(YEAR(TODAY()),MONTH(TODAY()),AA$2),
       DuLieu!$C:$C,"&lt;"&amp;DATE(YEAR(TODAY()),MONTH(TODAY()),AA$2)+1
     )&gt;0,
     "✅",
     "❌"
   )
)</f>
        <v/>
      </c>
      <c r="AB12" s="29">
        <f>IF(
   DATE(YEAR(TODAY()),MONTH(TODAY()),AB$2) &gt; TODAY(),
   "",
   IF(
     COUNTIFS(
       DuLieu!$B:$B,$B12,
       DuLieu!$C:$C,"&gt;="&amp;DATE(YEAR(TODAY()),MONTH(TODAY()),AB$2),
       DuLieu!$C:$C,"&lt;"&amp;DATE(YEAR(TODAY()),MONTH(TODAY()),AB$2)+1
     )&gt;0,
     "✅",
     "❌"
   )
)</f>
        <v/>
      </c>
      <c r="AC12" s="29">
        <f>IF(
   DATE(YEAR(TODAY()),MONTH(TODAY()),AC$2) &gt; TODAY(),
   "",
   IF(
     COUNTIFS(
       DuLieu!$B:$B,$B12,
       DuLieu!$C:$C,"&gt;="&amp;DATE(YEAR(TODAY()),MONTH(TODAY()),AC$2),
       DuLieu!$C:$C,"&lt;"&amp;DATE(YEAR(TODAY()),MONTH(TODAY()),AC$2)+1
     )&gt;0,
     "✅",
     "❌"
   )
)</f>
        <v/>
      </c>
      <c r="AD12" s="29">
        <f>IF(
   DATE(YEAR(TODAY()),MONTH(TODAY()),AD$2) &gt; TODAY(),
   "",
   IF(
     COUNTIFS(
       DuLieu!$B:$B,$B12,
       DuLieu!$C:$C,"&gt;="&amp;DATE(YEAR(TODAY()),MONTH(TODAY()),AD$2),
       DuLieu!$C:$C,"&lt;"&amp;DATE(YEAR(TODAY()),MONTH(TODAY()),AD$2)+1
     )&gt;0,
     "✅",
     "❌"
   )
)</f>
        <v/>
      </c>
      <c r="AE12" s="29">
        <f>IF(
   DATE(YEAR(TODAY()),MONTH(TODAY()),AE$2) &gt; TODAY(),
   "",
   IF(
     COUNTIFS(
       DuLieu!$B:$B,$B12,
       DuLieu!$C:$C,"&gt;="&amp;DATE(YEAR(TODAY()),MONTH(TODAY()),AE$2),
       DuLieu!$C:$C,"&lt;"&amp;DATE(YEAR(TODAY()),MONTH(TODAY()),AE$2)+1
     )&gt;0,
     "✅",
     "❌"
   )
)</f>
        <v/>
      </c>
      <c r="AF12" s="29">
        <f>IF(
   DATE(YEAR(TODAY()),MONTH(TODAY()),AF$2) &gt; TODAY(),
   "",
   IF(
     COUNTIFS(
       DuLieu!$B:$B,$B12,
       DuLieu!$C:$C,"&gt;="&amp;DATE(YEAR(TODAY()),MONTH(TODAY()),AF$2),
       DuLieu!$C:$C,"&lt;"&amp;DATE(YEAR(TODAY()),MONTH(TODAY()),AF$2)+1
     )&gt;0,
     "✅",
     "❌"
   )
)</f>
        <v/>
      </c>
      <c r="AG12" s="29">
        <f>IF(
   DATE(YEAR(TODAY()),MONTH(TODAY()),AG$2) &gt; TODAY(),
   "",
   IF(
     COUNTIFS(
       DuLieu!$B:$B,$B12,
       DuLieu!$C:$C,"&gt;="&amp;DATE(YEAR(TODAY()),MONTH(TODAY()),AG$2),
       DuLieu!$C:$C,"&lt;"&amp;DATE(YEAR(TODAY()),MONTH(TODAY()),AG$2)+1
     )&gt;0,
     "✅",
     "❌"
   )
)</f>
        <v/>
      </c>
    </row>
    <row r="13" ht="15.75" customHeight="1" s="117">
      <c r="A13" s="112" t="n">
        <v>11</v>
      </c>
      <c r="B13" s="27" t="inlineStr">
        <is>
          <t>Lương Duy Hải</t>
        </is>
      </c>
      <c r="C13" s="97">
        <f>IF(
   DATE(YEAR(TODAY()),MONTH(TODAY()),C$2) &gt; TODAY(),
   "",
   IF(
     COUNTIFS(
       DuLieu!$B:$B,$B13,
       DuLieu!$C:$C,"&gt;="&amp;DATE(YEAR(TODAY()),MONTH(TODAY()),C$2),
       DuLieu!$C:$C,"&lt;"&amp;DATE(YEAR(TODAY()),MONTH(TODAY()),C$2)+1
     )&gt;0,
     "✅",
     "❌"
   )
)</f>
        <v/>
      </c>
      <c r="D13" s="97">
        <f>IF(
   DATE(YEAR(TODAY()),MONTH(TODAY()),D$2) &gt; TODAY(),
   "",
   IF(
     COUNTIFS(
       DuLieu!$B:$B,$B13,
       DuLieu!$C:$C,"&gt;="&amp;DATE(YEAR(TODAY()),MONTH(TODAY()),D$2),
       DuLieu!$C:$C,"&lt;"&amp;DATE(YEAR(TODAY()),MONTH(TODAY()),D$2)+1
     )&gt;0,
     "✅",
     "❌"
   )
)</f>
        <v/>
      </c>
      <c r="E13" s="97">
        <f>IF(
   DATE(YEAR(TODAY()),MONTH(TODAY()),E$2) &gt; TODAY(),
   "",
   IF(
     COUNTIFS(
       DuLieu!$B:$B,$B13,
       DuLieu!$C:$C,"&gt;="&amp;DATE(YEAR(TODAY()),MONTH(TODAY()),E$2),
       DuLieu!$C:$C,"&lt;"&amp;DATE(YEAR(TODAY()),MONTH(TODAY()),E$2)+1
     )&gt;0,
     "✅",
     "❌"
   )
)</f>
        <v/>
      </c>
      <c r="F13" s="97">
        <f>IF(
   DATE(YEAR(TODAY()),MONTH(TODAY()),F$2) &gt; TODAY(),
   "",
   IF(
     COUNTIFS(
       DuLieu!$B:$B,$B13,
       DuLieu!$C:$C,"&gt;="&amp;DATE(YEAR(TODAY()),MONTH(TODAY()),F$2),
       DuLieu!$C:$C,"&lt;"&amp;DATE(YEAR(TODAY()),MONTH(TODAY()),F$2)+1
     )&gt;0,
     "✅",
     "❌"
   )
)</f>
        <v/>
      </c>
      <c r="G13" s="29">
        <f>IF(
   DATE(YEAR(TODAY()),MONTH(TODAY()),G$2) &gt; TODAY(),
   "",
   IF(
     COUNTIFS(
       DuLieu!$B:$B,$B13,
       DuLieu!$C:$C,"&gt;="&amp;DATE(YEAR(TODAY()),MONTH(TODAY()),G$2),
       DuLieu!$C:$C,"&lt;"&amp;DATE(YEAR(TODAY()),MONTH(TODAY()),G$2)+1
     )&gt;0,
     "✅",
     "❌"
   )
)</f>
        <v/>
      </c>
      <c r="H13" s="29">
        <f>IF(
   DATE(YEAR(TODAY()),MONTH(TODAY()),H$2) &gt; TODAY(),
   "",
   IF(
     COUNTIFS(
       DuLieu!$B:$B,$B13,
       DuLieu!$C:$C,"&gt;="&amp;DATE(YEAR(TODAY()),MONTH(TODAY()),H$2),
       DuLieu!$C:$C,"&lt;"&amp;DATE(YEAR(TODAY()),MONTH(TODAY()),H$2)+1
     )&gt;0,
     "✅",
     "❌"
   )
)</f>
        <v/>
      </c>
      <c r="I13" s="29">
        <f>IF(
   DATE(YEAR(TODAY()),MONTH(TODAY()),I$2) &gt; TODAY(),
   "",
   IF(
     COUNTIFS(
       DuLieu!$B:$B,$B13,
       DuLieu!$C:$C,"&gt;="&amp;DATE(YEAR(TODAY()),MONTH(TODAY()),I$2),
       DuLieu!$C:$C,"&lt;"&amp;DATE(YEAR(TODAY()),MONTH(TODAY()),I$2)+1
     )&gt;0,
     "✅",
     "❌"
   )
)</f>
        <v/>
      </c>
      <c r="J13" s="29">
        <f>IF(
   DATE(YEAR(TODAY()),MONTH(TODAY()),J$2) &gt; TODAY(),
   "",
   IF(
     COUNTIFS(
       DuLieu!$B:$B,$B13,
       DuLieu!$C:$C,"&gt;="&amp;DATE(YEAR(TODAY()),MONTH(TODAY()),J$2),
       DuLieu!$C:$C,"&lt;"&amp;DATE(YEAR(TODAY()),MONTH(TODAY()),J$2)+1
     )&gt;0,
     "✅",
     "❌"
   )
)</f>
        <v/>
      </c>
      <c r="K13" s="29">
        <f>IF(
   DATE(YEAR(TODAY()),MONTH(TODAY()),K$2) &gt; TODAY(),
   "",
   IF(
     COUNTIFS(
       DuLieu!$B:$B,$B13,
       DuLieu!$C:$C,"&gt;="&amp;DATE(YEAR(TODAY()),MONTH(TODAY()),K$2),
       DuLieu!$C:$C,"&lt;"&amp;DATE(YEAR(TODAY()),MONTH(TODAY()),K$2)+1
     )&gt;0,
     "✅",
     "❌"
   )
)</f>
        <v/>
      </c>
      <c r="L13" s="29">
        <f>IF(
   DATE(YEAR(TODAY()),MONTH(TODAY()),L$2) &gt; TODAY(),
   "",
   IF(
     COUNTIFS(
       DuLieu!$B:$B,$B13,
       DuLieu!$C:$C,"&gt;="&amp;DATE(YEAR(TODAY()),MONTH(TODAY()),L$2),
       DuLieu!$C:$C,"&lt;"&amp;DATE(YEAR(TODAY()),MONTH(TODAY()),L$2)+1
     )&gt;0,
     "✅",
     "❌"
   )
)</f>
        <v/>
      </c>
      <c r="M13" s="29">
        <f>IF(
   DATE(YEAR(TODAY()),MONTH(TODAY()),M$2) &gt; TODAY(),
   "",
   IF(
     COUNTIFS(
       DuLieu!$B:$B,$B13,
       DuLieu!$C:$C,"&gt;="&amp;DATE(YEAR(TODAY()),MONTH(TODAY()),M$2),
       DuLieu!$C:$C,"&lt;"&amp;DATE(YEAR(TODAY()),MONTH(TODAY()),M$2)+1
     )&gt;0,
     "✅",
     "❌"
   )
)</f>
        <v/>
      </c>
      <c r="N13" s="29">
        <f>IF(
   DATE(YEAR(TODAY()),MONTH(TODAY()),N$2) &gt; TODAY(),
   "",
   IF(
     COUNTIFS(
       DuLieu!$B:$B,$B13,
       DuLieu!$C:$C,"&gt;="&amp;DATE(YEAR(TODAY()),MONTH(TODAY()),N$2),
       DuLieu!$C:$C,"&lt;"&amp;DATE(YEAR(TODAY()),MONTH(TODAY()),N$2)+1
     )&gt;0,
     "✅",
     "❌"
   )
)</f>
        <v/>
      </c>
      <c r="O13" s="29">
        <f>IF(
   DATE(YEAR(TODAY()),MONTH(TODAY()),O$2) &gt; TODAY(),
   "",
   IF(
     COUNTIFS(
       DuLieu!$B:$B,$B13,
       DuLieu!$C:$C,"&gt;="&amp;DATE(YEAR(TODAY()),MONTH(TODAY()),O$2),
       DuLieu!$C:$C,"&lt;"&amp;DATE(YEAR(TODAY()),MONTH(TODAY()),O$2)+1
     )&gt;0,
     "✅",
     "❌"
   )
)</f>
        <v/>
      </c>
      <c r="P13" s="29">
        <f>IF(
   DATE(YEAR(TODAY()),MONTH(TODAY()),P$2) &gt; TODAY(),
   "",
   IF(
     COUNTIFS(
       DuLieu!$B:$B,$B13,
       DuLieu!$C:$C,"&gt;="&amp;DATE(YEAR(TODAY()),MONTH(TODAY()),P$2),
       DuLieu!$C:$C,"&lt;"&amp;DATE(YEAR(TODAY()),MONTH(TODAY()),P$2)+1
     )&gt;0,
     "✅",
     "❌"
   )
)</f>
        <v/>
      </c>
      <c r="Q13" s="29">
        <f>IF(
   DATE(YEAR(TODAY()),MONTH(TODAY()),Q$2) &gt; TODAY(),
   "",
   IF(
     COUNTIFS(
       DuLieu!$B:$B,$B13,
       DuLieu!$C:$C,"&gt;="&amp;DATE(YEAR(TODAY()),MONTH(TODAY()),Q$2),
       DuLieu!$C:$C,"&lt;"&amp;DATE(YEAR(TODAY()),MONTH(TODAY()),Q$2)+1
     )&gt;0,
     "✅",
     "❌"
   )
)</f>
        <v/>
      </c>
      <c r="R13" s="29">
        <f>IF(
   DATE(YEAR(TODAY()),MONTH(TODAY()),R$2) &gt; TODAY(),
   "",
   IF(
     COUNTIFS(
       DuLieu!$B:$B,$B13,
       DuLieu!$C:$C,"&gt;="&amp;DATE(YEAR(TODAY()),MONTH(TODAY()),R$2),
       DuLieu!$C:$C,"&lt;"&amp;DATE(YEAR(TODAY()),MONTH(TODAY()),R$2)+1
     )&gt;0,
     "✅",
     "❌"
   )
)</f>
        <v/>
      </c>
      <c r="S13" s="29">
        <f>IF(
   DATE(YEAR(TODAY()),MONTH(TODAY()),S$2) &gt; TODAY(),
   "",
   IF(
     COUNTIFS(
       DuLieu!$B:$B,$B13,
       DuLieu!$C:$C,"&gt;="&amp;DATE(YEAR(TODAY()),MONTH(TODAY()),S$2),
       DuLieu!$C:$C,"&lt;"&amp;DATE(YEAR(TODAY()),MONTH(TODAY()),S$2)+1
     )&gt;0,
     "✅",
     "❌"
   )
)</f>
        <v/>
      </c>
      <c r="T13" s="29">
        <f>IF(
   DATE(YEAR(TODAY()),MONTH(TODAY()),T$2) &gt; TODAY(),
   "",
   IF(
     COUNTIFS(
       DuLieu!$B:$B,$B13,
       DuLieu!$C:$C,"&gt;="&amp;DATE(YEAR(TODAY()),MONTH(TODAY()),T$2),
       DuLieu!$C:$C,"&lt;"&amp;DATE(YEAR(TODAY()),MONTH(TODAY()),T$2)+1
     )&gt;0,
     "✅",
     "❌"
   )
)</f>
        <v/>
      </c>
      <c r="U13" s="29">
        <f>IF(
   DATE(YEAR(TODAY()),MONTH(TODAY()),U$2) &gt; TODAY(),
   "",
   IF(
     COUNTIFS(
       DuLieu!$B:$B,$B13,
       DuLieu!$C:$C,"&gt;="&amp;DATE(YEAR(TODAY()),MONTH(TODAY()),U$2),
       DuLieu!$C:$C,"&lt;"&amp;DATE(YEAR(TODAY()),MONTH(TODAY()),U$2)+1
     )&gt;0,
     "✅",
     "❌"
   )
)</f>
        <v/>
      </c>
      <c r="V13" s="29">
        <f>IF(
   DATE(YEAR(TODAY()),MONTH(TODAY()),V$2) &gt; TODAY(),
   "",
   IF(
     COUNTIFS(
       DuLieu!$B:$B,$B13,
       DuLieu!$C:$C,"&gt;="&amp;DATE(YEAR(TODAY()),MONTH(TODAY()),V$2),
       DuLieu!$C:$C,"&lt;"&amp;DATE(YEAR(TODAY()),MONTH(TODAY()),V$2)+1
     )&gt;0,
     "✅",
     "❌"
   )
)</f>
        <v/>
      </c>
      <c r="W13" s="29">
        <f>IF(
   DATE(YEAR(TODAY()),MONTH(TODAY()),W$2) &gt; TODAY(),
   "",
   IF(
     COUNTIFS(
       DuLieu!$B:$B,$B13,
       DuLieu!$C:$C,"&gt;="&amp;DATE(YEAR(TODAY()),MONTH(TODAY()),W$2),
       DuLieu!$C:$C,"&lt;"&amp;DATE(YEAR(TODAY()),MONTH(TODAY()),W$2)+1
     )&gt;0,
     "✅",
     "❌"
   )
)</f>
        <v/>
      </c>
      <c r="X13" s="29">
        <f>IF(
   DATE(YEAR(TODAY()),MONTH(TODAY()),X$2) &gt; TODAY(),
   "",
   IF(
     COUNTIFS(
       DuLieu!$B:$B,$B13,
       DuLieu!$C:$C,"&gt;="&amp;DATE(YEAR(TODAY()),MONTH(TODAY()),X$2),
       DuLieu!$C:$C,"&lt;"&amp;DATE(YEAR(TODAY()),MONTH(TODAY()),X$2)+1
     )&gt;0,
     "✅",
     "❌"
   )
)</f>
        <v/>
      </c>
      <c r="Y13" s="29">
        <f>IF(
   DATE(YEAR(TODAY()),MONTH(TODAY()),Y$2) &gt; TODAY(),
   "",
   IF(
     COUNTIFS(
       DuLieu!$B:$B,$B13,
       DuLieu!$C:$C,"&gt;="&amp;DATE(YEAR(TODAY()),MONTH(TODAY()),Y$2),
       DuLieu!$C:$C,"&lt;"&amp;DATE(YEAR(TODAY()),MONTH(TODAY()),Y$2)+1
     )&gt;0,
     "✅",
     "❌"
   )
)</f>
        <v/>
      </c>
      <c r="Z13" s="29">
        <f>IF(
   DATE(YEAR(TODAY()),MONTH(TODAY()),Z$2) &gt; TODAY(),
   "",
   IF(
     COUNTIFS(
       DuLieu!$B:$B,$B13,
       DuLieu!$C:$C,"&gt;="&amp;DATE(YEAR(TODAY()),MONTH(TODAY()),Z$2),
       DuLieu!$C:$C,"&lt;"&amp;DATE(YEAR(TODAY()),MONTH(TODAY()),Z$2)+1
     )&gt;0,
     "✅",
     "❌"
   )
)</f>
        <v/>
      </c>
      <c r="AA13" s="29">
        <f>IF(
   DATE(YEAR(TODAY()),MONTH(TODAY()),AA$2) &gt; TODAY(),
   "",
   IF(
     COUNTIFS(
       DuLieu!$B:$B,$B13,
       DuLieu!$C:$C,"&gt;="&amp;DATE(YEAR(TODAY()),MONTH(TODAY()),AA$2),
       DuLieu!$C:$C,"&lt;"&amp;DATE(YEAR(TODAY()),MONTH(TODAY()),AA$2)+1
     )&gt;0,
     "✅",
     "❌"
   )
)</f>
        <v/>
      </c>
      <c r="AB13" s="29">
        <f>IF(
   DATE(YEAR(TODAY()),MONTH(TODAY()),AB$2) &gt; TODAY(),
   "",
   IF(
     COUNTIFS(
       DuLieu!$B:$B,$B13,
       DuLieu!$C:$C,"&gt;="&amp;DATE(YEAR(TODAY()),MONTH(TODAY()),AB$2),
       DuLieu!$C:$C,"&lt;"&amp;DATE(YEAR(TODAY()),MONTH(TODAY()),AB$2)+1
     )&gt;0,
     "✅",
     "❌"
   )
)</f>
        <v/>
      </c>
      <c r="AC13" s="29">
        <f>IF(
   DATE(YEAR(TODAY()),MONTH(TODAY()),AC$2) &gt; TODAY(),
   "",
   IF(
     COUNTIFS(
       DuLieu!$B:$B,$B13,
       DuLieu!$C:$C,"&gt;="&amp;DATE(YEAR(TODAY()),MONTH(TODAY()),AC$2),
       DuLieu!$C:$C,"&lt;"&amp;DATE(YEAR(TODAY()),MONTH(TODAY()),AC$2)+1
     )&gt;0,
     "✅",
     "❌"
   )
)</f>
        <v/>
      </c>
      <c r="AD13" s="29">
        <f>IF(
   DATE(YEAR(TODAY()),MONTH(TODAY()),AD$2) &gt; TODAY(),
   "",
   IF(
     COUNTIFS(
       DuLieu!$B:$B,$B13,
       DuLieu!$C:$C,"&gt;="&amp;DATE(YEAR(TODAY()),MONTH(TODAY()),AD$2),
       DuLieu!$C:$C,"&lt;"&amp;DATE(YEAR(TODAY()),MONTH(TODAY()),AD$2)+1
     )&gt;0,
     "✅",
     "❌"
   )
)</f>
        <v/>
      </c>
      <c r="AE13" s="29">
        <f>IF(
   DATE(YEAR(TODAY()),MONTH(TODAY()),AE$2) &gt; TODAY(),
   "",
   IF(
     COUNTIFS(
       DuLieu!$B:$B,$B13,
       DuLieu!$C:$C,"&gt;="&amp;DATE(YEAR(TODAY()),MONTH(TODAY()),AE$2),
       DuLieu!$C:$C,"&lt;"&amp;DATE(YEAR(TODAY()),MONTH(TODAY()),AE$2)+1
     )&gt;0,
     "✅",
     "❌"
   )
)</f>
        <v/>
      </c>
      <c r="AF13" s="29">
        <f>IF(
   DATE(YEAR(TODAY()),MONTH(TODAY()),AF$2) &gt; TODAY(),
   "",
   IF(
     COUNTIFS(
       DuLieu!$B:$B,$B13,
       DuLieu!$C:$C,"&gt;="&amp;DATE(YEAR(TODAY()),MONTH(TODAY()),AF$2),
       DuLieu!$C:$C,"&lt;"&amp;DATE(YEAR(TODAY()),MONTH(TODAY()),AF$2)+1
     )&gt;0,
     "✅",
     "❌"
   )
)</f>
        <v/>
      </c>
      <c r="AG13" s="29">
        <f>IF(
   DATE(YEAR(TODAY()),MONTH(TODAY()),AG$2) &gt; TODAY(),
   "",
   IF(
     COUNTIFS(
       DuLieu!$B:$B,$B13,
       DuLieu!$C:$C,"&gt;="&amp;DATE(YEAR(TODAY()),MONTH(TODAY()),AG$2),
       DuLieu!$C:$C,"&lt;"&amp;DATE(YEAR(TODAY()),MONTH(TODAY()),AG$2)+1
     )&gt;0,
     "✅",
     "❌"
   )
)</f>
        <v/>
      </c>
    </row>
    <row r="14" ht="15.75" customHeight="1" s="117">
      <c r="A14" s="112" t="n">
        <v>12</v>
      </c>
      <c r="B14" s="27" t="inlineStr">
        <is>
          <t>Nguyễn Hồng Minh</t>
        </is>
      </c>
      <c r="C14" s="97">
        <f>IF(
   DATE(YEAR(TODAY()),MONTH(TODAY()),C$2) &gt; TODAY(),
   "",
   IF(
     COUNTIFS(
       DuLieu!$B:$B,$B14,
       DuLieu!$C:$C,"&gt;="&amp;DATE(YEAR(TODAY()),MONTH(TODAY()),C$2),
       DuLieu!$C:$C,"&lt;"&amp;DATE(YEAR(TODAY()),MONTH(TODAY()),C$2)+1
     )&gt;0,
     "✅",
     "❌"
   )
)</f>
        <v/>
      </c>
      <c r="D14" s="97">
        <f>IF(
   DATE(YEAR(TODAY()),MONTH(TODAY()),D$2) &gt; TODAY(),
   "",
   IF(
     COUNTIFS(
       DuLieu!$B:$B,$B14,
       DuLieu!$C:$C,"&gt;="&amp;DATE(YEAR(TODAY()),MONTH(TODAY()),D$2),
       DuLieu!$C:$C,"&lt;"&amp;DATE(YEAR(TODAY()),MONTH(TODAY()),D$2)+1
     )&gt;0,
     "✅",
     "❌"
   )
)</f>
        <v/>
      </c>
      <c r="E14" s="97">
        <f>IF(
   DATE(YEAR(TODAY()),MONTH(TODAY()),E$2) &gt; TODAY(),
   "",
   IF(
     COUNTIFS(
       DuLieu!$B:$B,$B14,
       DuLieu!$C:$C,"&gt;="&amp;DATE(YEAR(TODAY()),MONTH(TODAY()),E$2),
       DuLieu!$C:$C,"&lt;"&amp;DATE(YEAR(TODAY()),MONTH(TODAY()),E$2)+1
     )&gt;0,
     "✅",
     "❌"
   )
)</f>
        <v/>
      </c>
      <c r="F14" s="97">
        <f>IF(
   DATE(YEAR(TODAY()),MONTH(TODAY()),F$2) &gt; TODAY(),
   "",
   IF(
     COUNTIFS(
       DuLieu!$B:$B,$B14,
       DuLieu!$C:$C,"&gt;="&amp;DATE(YEAR(TODAY()),MONTH(TODAY()),F$2),
       DuLieu!$C:$C,"&lt;"&amp;DATE(YEAR(TODAY()),MONTH(TODAY()),F$2)+1
     )&gt;0,
     "✅",
     "❌"
   )
)</f>
        <v/>
      </c>
      <c r="G14" s="29">
        <f>IF(
   DATE(YEAR(TODAY()),MONTH(TODAY()),G$2) &gt; TODAY(),
   "",
   IF(
     COUNTIFS(
       DuLieu!$B:$B,$B14,
       DuLieu!$C:$C,"&gt;="&amp;DATE(YEAR(TODAY()),MONTH(TODAY()),G$2),
       DuLieu!$C:$C,"&lt;"&amp;DATE(YEAR(TODAY()),MONTH(TODAY()),G$2)+1
     )&gt;0,
     "✅",
     "❌"
   )
)</f>
        <v/>
      </c>
      <c r="H14" s="29">
        <f>IF(
   DATE(YEAR(TODAY()),MONTH(TODAY()),H$2) &gt; TODAY(),
   "",
   IF(
     COUNTIFS(
       DuLieu!$B:$B,$B14,
       DuLieu!$C:$C,"&gt;="&amp;DATE(YEAR(TODAY()),MONTH(TODAY()),H$2),
       DuLieu!$C:$C,"&lt;"&amp;DATE(YEAR(TODAY()),MONTH(TODAY()),H$2)+1
     )&gt;0,
     "✅",
     "❌"
   )
)</f>
        <v/>
      </c>
      <c r="I14" s="29">
        <f>IF(
   DATE(YEAR(TODAY()),MONTH(TODAY()),I$2) &gt; TODAY(),
   "",
   IF(
     COUNTIFS(
       DuLieu!$B:$B,$B14,
       DuLieu!$C:$C,"&gt;="&amp;DATE(YEAR(TODAY()),MONTH(TODAY()),I$2),
       DuLieu!$C:$C,"&lt;"&amp;DATE(YEAR(TODAY()),MONTH(TODAY()),I$2)+1
     )&gt;0,
     "✅",
     "❌"
   )
)</f>
        <v/>
      </c>
      <c r="J14" s="29">
        <f>IF(
   DATE(YEAR(TODAY()),MONTH(TODAY()),J$2) &gt; TODAY(),
   "",
   IF(
     COUNTIFS(
       DuLieu!$B:$B,$B14,
       DuLieu!$C:$C,"&gt;="&amp;DATE(YEAR(TODAY()),MONTH(TODAY()),J$2),
       DuLieu!$C:$C,"&lt;"&amp;DATE(YEAR(TODAY()),MONTH(TODAY()),J$2)+1
     )&gt;0,
     "✅",
     "❌"
   )
)</f>
        <v/>
      </c>
      <c r="K14" s="29">
        <f>IF(
   DATE(YEAR(TODAY()),MONTH(TODAY()),K$2) &gt; TODAY(),
   "",
   IF(
     COUNTIFS(
       DuLieu!$B:$B,$B14,
       DuLieu!$C:$C,"&gt;="&amp;DATE(YEAR(TODAY()),MONTH(TODAY()),K$2),
       DuLieu!$C:$C,"&lt;"&amp;DATE(YEAR(TODAY()),MONTH(TODAY()),K$2)+1
     )&gt;0,
     "✅",
     "❌"
   )
)</f>
        <v/>
      </c>
      <c r="L14" s="29">
        <f>IF(
   DATE(YEAR(TODAY()),MONTH(TODAY()),L$2) &gt; TODAY(),
   "",
   IF(
     COUNTIFS(
       DuLieu!$B:$B,$B14,
       DuLieu!$C:$C,"&gt;="&amp;DATE(YEAR(TODAY()),MONTH(TODAY()),L$2),
       DuLieu!$C:$C,"&lt;"&amp;DATE(YEAR(TODAY()),MONTH(TODAY()),L$2)+1
     )&gt;0,
     "✅",
     "❌"
   )
)</f>
        <v/>
      </c>
      <c r="M14" s="29">
        <f>IF(
   DATE(YEAR(TODAY()),MONTH(TODAY()),M$2) &gt; TODAY(),
   "",
   IF(
     COUNTIFS(
       DuLieu!$B:$B,$B14,
       DuLieu!$C:$C,"&gt;="&amp;DATE(YEAR(TODAY()),MONTH(TODAY()),M$2),
       DuLieu!$C:$C,"&lt;"&amp;DATE(YEAR(TODAY()),MONTH(TODAY()),M$2)+1
     )&gt;0,
     "✅",
     "❌"
   )
)</f>
        <v/>
      </c>
      <c r="N14" s="29">
        <f>IF(
   DATE(YEAR(TODAY()),MONTH(TODAY()),N$2) &gt; TODAY(),
   "",
   IF(
     COUNTIFS(
       DuLieu!$B:$B,$B14,
       DuLieu!$C:$C,"&gt;="&amp;DATE(YEAR(TODAY()),MONTH(TODAY()),N$2),
       DuLieu!$C:$C,"&lt;"&amp;DATE(YEAR(TODAY()),MONTH(TODAY()),N$2)+1
     )&gt;0,
     "✅",
     "❌"
   )
)</f>
        <v/>
      </c>
      <c r="O14" s="29">
        <f>IF(
   DATE(YEAR(TODAY()),MONTH(TODAY()),O$2) &gt; TODAY(),
   "",
   IF(
     COUNTIFS(
       DuLieu!$B:$B,$B14,
       DuLieu!$C:$C,"&gt;="&amp;DATE(YEAR(TODAY()),MONTH(TODAY()),O$2),
       DuLieu!$C:$C,"&lt;"&amp;DATE(YEAR(TODAY()),MONTH(TODAY()),O$2)+1
     )&gt;0,
     "✅",
     "❌"
   )
)</f>
        <v/>
      </c>
      <c r="P14" s="29">
        <f>IF(
   DATE(YEAR(TODAY()),MONTH(TODAY()),P$2) &gt; TODAY(),
   "",
   IF(
     COUNTIFS(
       DuLieu!$B:$B,$B14,
       DuLieu!$C:$C,"&gt;="&amp;DATE(YEAR(TODAY()),MONTH(TODAY()),P$2),
       DuLieu!$C:$C,"&lt;"&amp;DATE(YEAR(TODAY()),MONTH(TODAY()),P$2)+1
     )&gt;0,
     "✅",
     "❌"
   )
)</f>
        <v/>
      </c>
      <c r="Q14" s="29">
        <f>IF(
   DATE(YEAR(TODAY()),MONTH(TODAY()),Q$2) &gt; TODAY(),
   "",
   IF(
     COUNTIFS(
       DuLieu!$B:$B,$B14,
       DuLieu!$C:$C,"&gt;="&amp;DATE(YEAR(TODAY()),MONTH(TODAY()),Q$2),
       DuLieu!$C:$C,"&lt;"&amp;DATE(YEAR(TODAY()),MONTH(TODAY()),Q$2)+1
     )&gt;0,
     "✅",
     "❌"
   )
)</f>
        <v/>
      </c>
      <c r="R14" s="29">
        <f>IF(
   DATE(YEAR(TODAY()),MONTH(TODAY()),R$2) &gt; TODAY(),
   "",
   IF(
     COUNTIFS(
       DuLieu!$B:$B,$B14,
       DuLieu!$C:$C,"&gt;="&amp;DATE(YEAR(TODAY()),MONTH(TODAY()),R$2),
       DuLieu!$C:$C,"&lt;"&amp;DATE(YEAR(TODAY()),MONTH(TODAY()),R$2)+1
     )&gt;0,
     "✅",
     "❌"
   )
)</f>
        <v/>
      </c>
      <c r="S14" s="29">
        <f>IF(
   DATE(YEAR(TODAY()),MONTH(TODAY()),S$2) &gt; TODAY(),
   "",
   IF(
     COUNTIFS(
       DuLieu!$B:$B,$B14,
       DuLieu!$C:$C,"&gt;="&amp;DATE(YEAR(TODAY()),MONTH(TODAY()),S$2),
       DuLieu!$C:$C,"&lt;"&amp;DATE(YEAR(TODAY()),MONTH(TODAY()),S$2)+1
     )&gt;0,
     "✅",
     "❌"
   )
)</f>
        <v/>
      </c>
      <c r="T14" s="29">
        <f>IF(
   DATE(YEAR(TODAY()),MONTH(TODAY()),T$2) &gt; TODAY(),
   "",
   IF(
     COUNTIFS(
       DuLieu!$B:$B,$B14,
       DuLieu!$C:$C,"&gt;="&amp;DATE(YEAR(TODAY()),MONTH(TODAY()),T$2),
       DuLieu!$C:$C,"&lt;"&amp;DATE(YEAR(TODAY()),MONTH(TODAY()),T$2)+1
     )&gt;0,
     "✅",
     "❌"
   )
)</f>
        <v/>
      </c>
      <c r="U14" s="29">
        <f>IF(
   DATE(YEAR(TODAY()),MONTH(TODAY()),U$2) &gt; TODAY(),
   "",
   IF(
     COUNTIFS(
       DuLieu!$B:$B,$B14,
       DuLieu!$C:$C,"&gt;="&amp;DATE(YEAR(TODAY()),MONTH(TODAY()),U$2),
       DuLieu!$C:$C,"&lt;"&amp;DATE(YEAR(TODAY()),MONTH(TODAY()),U$2)+1
     )&gt;0,
     "✅",
     "❌"
   )
)</f>
        <v/>
      </c>
      <c r="V14" s="29">
        <f>IF(
   DATE(YEAR(TODAY()),MONTH(TODAY()),V$2) &gt; TODAY(),
   "",
   IF(
     COUNTIFS(
       DuLieu!$B:$B,$B14,
       DuLieu!$C:$C,"&gt;="&amp;DATE(YEAR(TODAY()),MONTH(TODAY()),V$2),
       DuLieu!$C:$C,"&lt;"&amp;DATE(YEAR(TODAY()),MONTH(TODAY()),V$2)+1
     )&gt;0,
     "✅",
     "❌"
   )
)</f>
        <v/>
      </c>
      <c r="W14" s="29">
        <f>IF(
   DATE(YEAR(TODAY()),MONTH(TODAY()),W$2) &gt; TODAY(),
   "",
   IF(
     COUNTIFS(
       DuLieu!$B:$B,$B14,
       DuLieu!$C:$C,"&gt;="&amp;DATE(YEAR(TODAY()),MONTH(TODAY()),W$2),
       DuLieu!$C:$C,"&lt;"&amp;DATE(YEAR(TODAY()),MONTH(TODAY()),W$2)+1
     )&gt;0,
     "✅",
     "❌"
   )
)</f>
        <v/>
      </c>
      <c r="X14" s="29">
        <f>IF(
   DATE(YEAR(TODAY()),MONTH(TODAY()),X$2) &gt; TODAY(),
   "",
   IF(
     COUNTIFS(
       DuLieu!$B:$B,$B14,
       DuLieu!$C:$C,"&gt;="&amp;DATE(YEAR(TODAY()),MONTH(TODAY()),X$2),
       DuLieu!$C:$C,"&lt;"&amp;DATE(YEAR(TODAY()),MONTH(TODAY()),X$2)+1
     )&gt;0,
     "✅",
     "❌"
   )
)</f>
        <v/>
      </c>
      <c r="Y14" s="29">
        <f>IF(
   DATE(YEAR(TODAY()),MONTH(TODAY()),Y$2) &gt; TODAY(),
   "",
   IF(
     COUNTIFS(
       DuLieu!$B:$B,$B14,
       DuLieu!$C:$C,"&gt;="&amp;DATE(YEAR(TODAY()),MONTH(TODAY()),Y$2),
       DuLieu!$C:$C,"&lt;"&amp;DATE(YEAR(TODAY()),MONTH(TODAY()),Y$2)+1
     )&gt;0,
     "✅",
     "❌"
   )
)</f>
        <v/>
      </c>
      <c r="Z14" s="29">
        <f>IF(
   DATE(YEAR(TODAY()),MONTH(TODAY()),Z$2) &gt; TODAY(),
   "",
   IF(
     COUNTIFS(
       DuLieu!$B:$B,$B14,
       DuLieu!$C:$C,"&gt;="&amp;DATE(YEAR(TODAY()),MONTH(TODAY()),Z$2),
       DuLieu!$C:$C,"&lt;"&amp;DATE(YEAR(TODAY()),MONTH(TODAY()),Z$2)+1
     )&gt;0,
     "✅",
     "❌"
   )
)</f>
        <v/>
      </c>
      <c r="AA14" s="29">
        <f>IF(
   DATE(YEAR(TODAY()),MONTH(TODAY()),AA$2) &gt; TODAY(),
   "",
   IF(
     COUNTIFS(
       DuLieu!$B:$B,$B14,
       DuLieu!$C:$C,"&gt;="&amp;DATE(YEAR(TODAY()),MONTH(TODAY()),AA$2),
       DuLieu!$C:$C,"&lt;"&amp;DATE(YEAR(TODAY()),MONTH(TODAY()),AA$2)+1
     )&gt;0,
     "✅",
     "❌"
   )
)</f>
        <v/>
      </c>
      <c r="AB14" s="29">
        <f>IF(
   DATE(YEAR(TODAY()),MONTH(TODAY()),AB$2) &gt; TODAY(),
   "",
   IF(
     COUNTIFS(
       DuLieu!$B:$B,$B14,
       DuLieu!$C:$C,"&gt;="&amp;DATE(YEAR(TODAY()),MONTH(TODAY()),AB$2),
       DuLieu!$C:$C,"&lt;"&amp;DATE(YEAR(TODAY()),MONTH(TODAY()),AB$2)+1
     )&gt;0,
     "✅",
     "❌"
   )
)</f>
        <v/>
      </c>
      <c r="AC14" s="29">
        <f>IF(
   DATE(YEAR(TODAY()),MONTH(TODAY()),AC$2) &gt; TODAY(),
   "",
   IF(
     COUNTIFS(
       DuLieu!$B:$B,$B14,
       DuLieu!$C:$C,"&gt;="&amp;DATE(YEAR(TODAY()),MONTH(TODAY()),AC$2),
       DuLieu!$C:$C,"&lt;"&amp;DATE(YEAR(TODAY()),MONTH(TODAY()),AC$2)+1
     )&gt;0,
     "✅",
     "❌"
   )
)</f>
        <v/>
      </c>
      <c r="AD14" s="29">
        <f>IF(
   DATE(YEAR(TODAY()),MONTH(TODAY()),AD$2) &gt; TODAY(),
   "",
   IF(
     COUNTIFS(
       DuLieu!$B:$B,$B14,
       DuLieu!$C:$C,"&gt;="&amp;DATE(YEAR(TODAY()),MONTH(TODAY()),AD$2),
       DuLieu!$C:$C,"&lt;"&amp;DATE(YEAR(TODAY()),MONTH(TODAY()),AD$2)+1
     )&gt;0,
     "✅",
     "❌"
   )
)</f>
        <v/>
      </c>
      <c r="AE14" s="29">
        <f>IF(
   DATE(YEAR(TODAY()),MONTH(TODAY()),AE$2) &gt; TODAY(),
   "",
   IF(
     COUNTIFS(
       DuLieu!$B:$B,$B14,
       DuLieu!$C:$C,"&gt;="&amp;DATE(YEAR(TODAY()),MONTH(TODAY()),AE$2),
       DuLieu!$C:$C,"&lt;"&amp;DATE(YEAR(TODAY()),MONTH(TODAY()),AE$2)+1
     )&gt;0,
     "✅",
     "❌"
   )
)</f>
        <v/>
      </c>
      <c r="AF14" s="29">
        <f>IF(
   DATE(YEAR(TODAY()),MONTH(TODAY()),AF$2) &gt; TODAY(),
   "",
   IF(
     COUNTIFS(
       DuLieu!$B:$B,$B14,
       DuLieu!$C:$C,"&gt;="&amp;DATE(YEAR(TODAY()),MONTH(TODAY()),AF$2),
       DuLieu!$C:$C,"&lt;"&amp;DATE(YEAR(TODAY()),MONTH(TODAY()),AF$2)+1
     )&gt;0,
     "✅",
     "❌"
   )
)</f>
        <v/>
      </c>
      <c r="AG14" s="29">
        <f>IF(
   DATE(YEAR(TODAY()),MONTH(TODAY()),AG$2) &gt; TODAY(),
   "",
   IF(
     COUNTIFS(
       DuLieu!$B:$B,$B14,
       DuLieu!$C:$C,"&gt;="&amp;DATE(YEAR(TODAY()),MONTH(TODAY()),AG$2),
       DuLieu!$C:$C,"&lt;"&amp;DATE(YEAR(TODAY()),MONTH(TODAY()),AG$2)+1
     )&gt;0,
     "✅",
     "❌"
   )
)</f>
        <v/>
      </c>
    </row>
    <row r="15" ht="15.75" customHeight="1" s="117">
      <c r="A15" s="112" t="n">
        <v>13</v>
      </c>
      <c r="B15" s="27" t="inlineStr">
        <is>
          <t>Nguyễn Quang Anh Tuấn</t>
        </is>
      </c>
      <c r="C15" s="97">
        <f>IF(
   DATE(YEAR(TODAY()),MONTH(TODAY()),C$2) &gt; TODAY(),
   "",
   IF(
     COUNTIFS(
       DuLieu!$B:$B,$B15,
       DuLieu!$C:$C,"&gt;="&amp;DATE(YEAR(TODAY()),MONTH(TODAY()),C$2),
       DuLieu!$C:$C,"&lt;"&amp;DATE(YEAR(TODAY()),MONTH(TODAY()),C$2)+1
     )&gt;0,
     "✅",
     "❌"
   )
)</f>
        <v/>
      </c>
      <c r="D15" s="97">
        <f>IF(
   DATE(YEAR(TODAY()),MONTH(TODAY()),D$2) &gt; TODAY(),
   "",
   IF(
     COUNTIFS(
       DuLieu!$B:$B,$B15,
       DuLieu!$C:$C,"&gt;="&amp;DATE(YEAR(TODAY()),MONTH(TODAY()),D$2),
       DuLieu!$C:$C,"&lt;"&amp;DATE(YEAR(TODAY()),MONTH(TODAY()),D$2)+1
     )&gt;0,
     "✅",
     "❌"
   )
)</f>
        <v/>
      </c>
      <c r="E15" s="97">
        <f>IF(
   DATE(YEAR(TODAY()),MONTH(TODAY()),E$2) &gt; TODAY(),
   "",
   IF(
     COUNTIFS(
       DuLieu!$B:$B,$B15,
       DuLieu!$C:$C,"&gt;="&amp;DATE(YEAR(TODAY()),MONTH(TODAY()),E$2),
       DuLieu!$C:$C,"&lt;"&amp;DATE(YEAR(TODAY()),MONTH(TODAY()),E$2)+1
     )&gt;0,
     "✅",
     "❌"
   )
)</f>
        <v/>
      </c>
      <c r="F15" s="97">
        <f>IF(
   DATE(YEAR(TODAY()),MONTH(TODAY()),F$2) &gt; TODAY(),
   "",
   IF(
     COUNTIFS(
       DuLieu!$B:$B,$B15,
       DuLieu!$C:$C,"&gt;="&amp;DATE(YEAR(TODAY()),MONTH(TODAY()),F$2),
       DuLieu!$C:$C,"&lt;"&amp;DATE(YEAR(TODAY()),MONTH(TODAY()),F$2)+1
     )&gt;0,
     "✅",
     "❌"
   )
)</f>
        <v/>
      </c>
      <c r="G15" s="29">
        <f>IF(
   DATE(YEAR(TODAY()),MONTH(TODAY()),G$2) &gt; TODAY(),
   "",
   IF(
     COUNTIFS(
       DuLieu!$B:$B,$B15,
       DuLieu!$C:$C,"&gt;="&amp;DATE(YEAR(TODAY()),MONTH(TODAY()),G$2),
       DuLieu!$C:$C,"&lt;"&amp;DATE(YEAR(TODAY()),MONTH(TODAY()),G$2)+1
     )&gt;0,
     "✅",
     "❌"
   )
)</f>
        <v/>
      </c>
      <c r="H15" s="29">
        <f>IF(
   DATE(YEAR(TODAY()),MONTH(TODAY()),H$2) &gt; TODAY(),
   "",
   IF(
     COUNTIFS(
       DuLieu!$B:$B,$B15,
       DuLieu!$C:$C,"&gt;="&amp;DATE(YEAR(TODAY()),MONTH(TODAY()),H$2),
       DuLieu!$C:$C,"&lt;"&amp;DATE(YEAR(TODAY()),MONTH(TODAY()),H$2)+1
     )&gt;0,
     "✅",
     "❌"
   )
)</f>
        <v/>
      </c>
      <c r="I15" s="29">
        <f>IF(
   DATE(YEAR(TODAY()),MONTH(TODAY()),I$2) &gt; TODAY(),
   "",
   IF(
     COUNTIFS(
       DuLieu!$B:$B,$B15,
       DuLieu!$C:$C,"&gt;="&amp;DATE(YEAR(TODAY()),MONTH(TODAY()),I$2),
       DuLieu!$C:$C,"&lt;"&amp;DATE(YEAR(TODAY()),MONTH(TODAY()),I$2)+1
     )&gt;0,
     "✅",
     "❌"
   )
)</f>
        <v/>
      </c>
      <c r="J15" s="29">
        <f>IF(
   DATE(YEAR(TODAY()),MONTH(TODAY()),J$2) &gt; TODAY(),
   "",
   IF(
     COUNTIFS(
       DuLieu!$B:$B,$B15,
       DuLieu!$C:$C,"&gt;="&amp;DATE(YEAR(TODAY()),MONTH(TODAY()),J$2),
       DuLieu!$C:$C,"&lt;"&amp;DATE(YEAR(TODAY()),MONTH(TODAY()),J$2)+1
     )&gt;0,
     "✅",
     "❌"
   )
)</f>
        <v/>
      </c>
      <c r="K15" s="29">
        <f>IF(
   DATE(YEAR(TODAY()),MONTH(TODAY()),K$2) &gt; TODAY(),
   "",
   IF(
     COUNTIFS(
       DuLieu!$B:$B,$B15,
       DuLieu!$C:$C,"&gt;="&amp;DATE(YEAR(TODAY()),MONTH(TODAY()),K$2),
       DuLieu!$C:$C,"&lt;"&amp;DATE(YEAR(TODAY()),MONTH(TODAY()),K$2)+1
     )&gt;0,
     "✅",
     "❌"
   )
)</f>
        <v/>
      </c>
      <c r="L15" s="29">
        <f>IF(
   DATE(YEAR(TODAY()),MONTH(TODAY()),L$2) &gt; TODAY(),
   "",
   IF(
     COUNTIFS(
       DuLieu!$B:$B,$B15,
       DuLieu!$C:$C,"&gt;="&amp;DATE(YEAR(TODAY()),MONTH(TODAY()),L$2),
       DuLieu!$C:$C,"&lt;"&amp;DATE(YEAR(TODAY()),MONTH(TODAY()),L$2)+1
     )&gt;0,
     "✅",
     "❌"
   )
)</f>
        <v/>
      </c>
      <c r="M15" s="29">
        <f>IF(
   DATE(YEAR(TODAY()),MONTH(TODAY()),M$2) &gt; TODAY(),
   "",
   IF(
     COUNTIFS(
       DuLieu!$B:$B,$B15,
       DuLieu!$C:$C,"&gt;="&amp;DATE(YEAR(TODAY()),MONTH(TODAY()),M$2),
       DuLieu!$C:$C,"&lt;"&amp;DATE(YEAR(TODAY()),MONTH(TODAY()),M$2)+1
     )&gt;0,
     "✅",
     "❌"
   )
)</f>
        <v/>
      </c>
      <c r="N15" s="29">
        <f>IF(
   DATE(YEAR(TODAY()),MONTH(TODAY()),N$2) &gt; TODAY(),
   "",
   IF(
     COUNTIFS(
       DuLieu!$B:$B,$B15,
       DuLieu!$C:$C,"&gt;="&amp;DATE(YEAR(TODAY()),MONTH(TODAY()),N$2),
       DuLieu!$C:$C,"&lt;"&amp;DATE(YEAR(TODAY()),MONTH(TODAY()),N$2)+1
     )&gt;0,
     "✅",
     "❌"
   )
)</f>
        <v/>
      </c>
      <c r="O15" s="29">
        <f>IF(
   DATE(YEAR(TODAY()),MONTH(TODAY()),O$2) &gt; TODAY(),
   "",
   IF(
     COUNTIFS(
       DuLieu!$B:$B,$B15,
       DuLieu!$C:$C,"&gt;="&amp;DATE(YEAR(TODAY()),MONTH(TODAY()),O$2),
       DuLieu!$C:$C,"&lt;"&amp;DATE(YEAR(TODAY()),MONTH(TODAY()),O$2)+1
     )&gt;0,
     "✅",
     "❌"
   )
)</f>
        <v/>
      </c>
      <c r="P15" s="29">
        <f>IF(
   DATE(YEAR(TODAY()),MONTH(TODAY()),P$2) &gt; TODAY(),
   "",
   IF(
     COUNTIFS(
       DuLieu!$B:$B,$B15,
       DuLieu!$C:$C,"&gt;="&amp;DATE(YEAR(TODAY()),MONTH(TODAY()),P$2),
       DuLieu!$C:$C,"&lt;"&amp;DATE(YEAR(TODAY()),MONTH(TODAY()),P$2)+1
     )&gt;0,
     "✅",
     "❌"
   )
)</f>
        <v/>
      </c>
      <c r="Q15" s="29">
        <f>IF(
   DATE(YEAR(TODAY()),MONTH(TODAY()),Q$2) &gt; TODAY(),
   "",
   IF(
     COUNTIFS(
       DuLieu!$B:$B,$B15,
       DuLieu!$C:$C,"&gt;="&amp;DATE(YEAR(TODAY()),MONTH(TODAY()),Q$2),
       DuLieu!$C:$C,"&lt;"&amp;DATE(YEAR(TODAY()),MONTH(TODAY()),Q$2)+1
     )&gt;0,
     "✅",
     "❌"
   )
)</f>
        <v/>
      </c>
      <c r="R15" s="29">
        <f>IF(
   DATE(YEAR(TODAY()),MONTH(TODAY()),R$2) &gt; TODAY(),
   "",
   IF(
     COUNTIFS(
       DuLieu!$B:$B,$B15,
       DuLieu!$C:$C,"&gt;="&amp;DATE(YEAR(TODAY()),MONTH(TODAY()),R$2),
       DuLieu!$C:$C,"&lt;"&amp;DATE(YEAR(TODAY()),MONTH(TODAY()),R$2)+1
     )&gt;0,
     "✅",
     "❌"
   )
)</f>
        <v/>
      </c>
      <c r="S15" s="29">
        <f>IF(
   DATE(YEAR(TODAY()),MONTH(TODAY()),S$2) &gt; TODAY(),
   "",
   IF(
     COUNTIFS(
       DuLieu!$B:$B,$B15,
       DuLieu!$C:$C,"&gt;="&amp;DATE(YEAR(TODAY()),MONTH(TODAY()),S$2),
       DuLieu!$C:$C,"&lt;"&amp;DATE(YEAR(TODAY()),MONTH(TODAY()),S$2)+1
     )&gt;0,
     "✅",
     "❌"
   )
)</f>
        <v/>
      </c>
      <c r="T15" s="29">
        <f>IF(
   DATE(YEAR(TODAY()),MONTH(TODAY()),T$2) &gt; TODAY(),
   "",
   IF(
     COUNTIFS(
       DuLieu!$B:$B,$B15,
       DuLieu!$C:$C,"&gt;="&amp;DATE(YEAR(TODAY()),MONTH(TODAY()),T$2),
       DuLieu!$C:$C,"&lt;"&amp;DATE(YEAR(TODAY()),MONTH(TODAY()),T$2)+1
     )&gt;0,
     "✅",
     "❌"
   )
)</f>
        <v/>
      </c>
      <c r="U15" s="29">
        <f>IF(
   DATE(YEAR(TODAY()),MONTH(TODAY()),U$2) &gt; TODAY(),
   "",
   IF(
     COUNTIFS(
       DuLieu!$B:$B,$B15,
       DuLieu!$C:$C,"&gt;="&amp;DATE(YEAR(TODAY()),MONTH(TODAY()),U$2),
       DuLieu!$C:$C,"&lt;"&amp;DATE(YEAR(TODAY()),MONTH(TODAY()),U$2)+1
     )&gt;0,
     "✅",
     "❌"
   )
)</f>
        <v/>
      </c>
      <c r="V15" s="29">
        <f>IF(
   DATE(YEAR(TODAY()),MONTH(TODAY()),V$2) &gt; TODAY(),
   "",
   IF(
     COUNTIFS(
       DuLieu!$B:$B,$B15,
       DuLieu!$C:$C,"&gt;="&amp;DATE(YEAR(TODAY()),MONTH(TODAY()),V$2),
       DuLieu!$C:$C,"&lt;"&amp;DATE(YEAR(TODAY()),MONTH(TODAY()),V$2)+1
     )&gt;0,
     "✅",
     "❌"
   )
)</f>
        <v/>
      </c>
      <c r="W15" s="29">
        <f>IF(
   DATE(YEAR(TODAY()),MONTH(TODAY()),W$2) &gt; TODAY(),
   "",
   IF(
     COUNTIFS(
       DuLieu!$B:$B,$B15,
       DuLieu!$C:$C,"&gt;="&amp;DATE(YEAR(TODAY()),MONTH(TODAY()),W$2),
       DuLieu!$C:$C,"&lt;"&amp;DATE(YEAR(TODAY()),MONTH(TODAY()),W$2)+1
     )&gt;0,
     "✅",
     "❌"
   )
)</f>
        <v/>
      </c>
      <c r="X15" s="29">
        <f>IF(
   DATE(YEAR(TODAY()),MONTH(TODAY()),X$2) &gt; TODAY(),
   "",
   IF(
     COUNTIFS(
       DuLieu!$B:$B,$B15,
       DuLieu!$C:$C,"&gt;="&amp;DATE(YEAR(TODAY()),MONTH(TODAY()),X$2),
       DuLieu!$C:$C,"&lt;"&amp;DATE(YEAR(TODAY()),MONTH(TODAY()),X$2)+1
     )&gt;0,
     "✅",
     "❌"
   )
)</f>
        <v/>
      </c>
      <c r="Y15" s="29">
        <f>IF(
   DATE(YEAR(TODAY()),MONTH(TODAY()),Y$2) &gt; TODAY(),
   "",
   IF(
     COUNTIFS(
       DuLieu!$B:$B,$B15,
       DuLieu!$C:$C,"&gt;="&amp;DATE(YEAR(TODAY()),MONTH(TODAY()),Y$2),
       DuLieu!$C:$C,"&lt;"&amp;DATE(YEAR(TODAY()),MONTH(TODAY()),Y$2)+1
     )&gt;0,
     "✅",
     "❌"
   )
)</f>
        <v/>
      </c>
      <c r="Z15" s="29">
        <f>IF(
   DATE(YEAR(TODAY()),MONTH(TODAY()),Z$2) &gt; TODAY(),
   "",
   IF(
     COUNTIFS(
       DuLieu!$B:$B,$B15,
       DuLieu!$C:$C,"&gt;="&amp;DATE(YEAR(TODAY()),MONTH(TODAY()),Z$2),
       DuLieu!$C:$C,"&lt;"&amp;DATE(YEAR(TODAY()),MONTH(TODAY()),Z$2)+1
     )&gt;0,
     "✅",
     "❌"
   )
)</f>
        <v/>
      </c>
      <c r="AA15" s="29">
        <f>IF(
   DATE(YEAR(TODAY()),MONTH(TODAY()),AA$2) &gt; TODAY(),
   "",
   IF(
     COUNTIFS(
       DuLieu!$B:$B,$B15,
       DuLieu!$C:$C,"&gt;="&amp;DATE(YEAR(TODAY()),MONTH(TODAY()),AA$2),
       DuLieu!$C:$C,"&lt;"&amp;DATE(YEAR(TODAY()),MONTH(TODAY()),AA$2)+1
     )&gt;0,
     "✅",
     "❌"
   )
)</f>
        <v/>
      </c>
      <c r="AB15" s="29">
        <f>IF(
   DATE(YEAR(TODAY()),MONTH(TODAY()),AB$2) &gt; TODAY(),
   "",
   IF(
     COUNTIFS(
       DuLieu!$B:$B,$B15,
       DuLieu!$C:$C,"&gt;="&amp;DATE(YEAR(TODAY()),MONTH(TODAY()),AB$2),
       DuLieu!$C:$C,"&lt;"&amp;DATE(YEAR(TODAY()),MONTH(TODAY()),AB$2)+1
     )&gt;0,
     "✅",
     "❌"
   )
)</f>
        <v/>
      </c>
      <c r="AC15" s="29">
        <f>IF(
   DATE(YEAR(TODAY()),MONTH(TODAY()),AC$2) &gt; TODAY(),
   "",
   IF(
     COUNTIFS(
       DuLieu!$B:$B,$B15,
       DuLieu!$C:$C,"&gt;="&amp;DATE(YEAR(TODAY()),MONTH(TODAY()),AC$2),
       DuLieu!$C:$C,"&lt;"&amp;DATE(YEAR(TODAY()),MONTH(TODAY()),AC$2)+1
     )&gt;0,
     "✅",
     "❌"
   )
)</f>
        <v/>
      </c>
      <c r="AD15" s="29">
        <f>IF(
   DATE(YEAR(TODAY()),MONTH(TODAY()),AD$2) &gt; TODAY(),
   "",
   IF(
     COUNTIFS(
       DuLieu!$B:$B,$B15,
       DuLieu!$C:$C,"&gt;="&amp;DATE(YEAR(TODAY()),MONTH(TODAY()),AD$2),
       DuLieu!$C:$C,"&lt;"&amp;DATE(YEAR(TODAY()),MONTH(TODAY()),AD$2)+1
     )&gt;0,
     "✅",
     "❌"
   )
)</f>
        <v/>
      </c>
      <c r="AE15" s="29">
        <f>IF(
   DATE(YEAR(TODAY()),MONTH(TODAY()),AE$2) &gt; TODAY(),
   "",
   IF(
     COUNTIFS(
       DuLieu!$B:$B,$B15,
       DuLieu!$C:$C,"&gt;="&amp;DATE(YEAR(TODAY()),MONTH(TODAY()),AE$2),
       DuLieu!$C:$C,"&lt;"&amp;DATE(YEAR(TODAY()),MONTH(TODAY()),AE$2)+1
     )&gt;0,
     "✅",
     "❌"
   )
)</f>
        <v/>
      </c>
      <c r="AF15" s="29">
        <f>IF(
   DATE(YEAR(TODAY()),MONTH(TODAY()),AF$2) &gt; TODAY(),
   "",
   IF(
     COUNTIFS(
       DuLieu!$B:$B,$B15,
       DuLieu!$C:$C,"&gt;="&amp;DATE(YEAR(TODAY()),MONTH(TODAY()),AF$2),
       DuLieu!$C:$C,"&lt;"&amp;DATE(YEAR(TODAY()),MONTH(TODAY()),AF$2)+1
     )&gt;0,
     "✅",
     "❌"
   )
)</f>
        <v/>
      </c>
      <c r="AG15" s="29">
        <f>IF(
   DATE(YEAR(TODAY()),MONTH(TODAY()),AG$2) &gt; TODAY(),
   "",
   IF(
     COUNTIFS(
       DuLieu!$B:$B,$B15,
       DuLieu!$C:$C,"&gt;="&amp;DATE(YEAR(TODAY()),MONTH(TODAY()),AG$2),
       DuLieu!$C:$C,"&lt;"&amp;DATE(YEAR(TODAY()),MONTH(TODAY()),AG$2)+1
     )&gt;0,
     "✅",
     "❌"
   )
)</f>
        <v/>
      </c>
    </row>
    <row r="16" ht="15.75" customHeight="1" s="117">
      <c r="A16" s="112" t="n">
        <v>14</v>
      </c>
      <c r="B16" s="27" t="inlineStr">
        <is>
          <t>Nguyễn Thành Lâm</t>
        </is>
      </c>
      <c r="C16" s="97">
        <f>IF(
   DATE(YEAR(TODAY()),MONTH(TODAY()),C$2) &gt; TODAY(),
   "",
   IF(
     COUNTIFS(
       DuLieu!$B:$B,$B16,
       DuLieu!$C:$C,"&gt;="&amp;DATE(YEAR(TODAY()),MONTH(TODAY()),C$2),
       DuLieu!$C:$C,"&lt;"&amp;DATE(YEAR(TODAY()),MONTH(TODAY()),C$2)+1
     )&gt;0,
     "✅",
     "❌"
   )
)</f>
        <v/>
      </c>
      <c r="D16" s="97">
        <f>IF(
   DATE(YEAR(TODAY()),MONTH(TODAY()),D$2) &gt; TODAY(),
   "",
   IF(
     COUNTIFS(
       DuLieu!$B:$B,$B16,
       DuLieu!$C:$C,"&gt;="&amp;DATE(YEAR(TODAY()),MONTH(TODAY()),D$2),
       DuLieu!$C:$C,"&lt;"&amp;DATE(YEAR(TODAY()),MONTH(TODAY()),D$2)+1
     )&gt;0,
     "✅",
     "❌"
   )
)</f>
        <v/>
      </c>
      <c r="E16" s="97">
        <f>IF(
   DATE(YEAR(TODAY()),MONTH(TODAY()),E$2) &gt; TODAY(),
   "",
   IF(
     COUNTIFS(
       DuLieu!$B:$B,$B16,
       DuLieu!$C:$C,"&gt;="&amp;DATE(YEAR(TODAY()),MONTH(TODAY()),E$2),
       DuLieu!$C:$C,"&lt;"&amp;DATE(YEAR(TODAY()),MONTH(TODAY()),E$2)+1
     )&gt;0,
     "✅",
     "❌"
   )
)</f>
        <v/>
      </c>
      <c r="F16" s="97">
        <f>IF(
   DATE(YEAR(TODAY()),MONTH(TODAY()),F$2) &gt; TODAY(),
   "",
   IF(
     COUNTIFS(
       DuLieu!$B:$B,$B16,
       DuLieu!$C:$C,"&gt;="&amp;DATE(YEAR(TODAY()),MONTH(TODAY()),F$2),
       DuLieu!$C:$C,"&lt;"&amp;DATE(YEAR(TODAY()),MONTH(TODAY()),F$2)+1
     )&gt;0,
     "✅",
     "❌"
   )
)</f>
        <v/>
      </c>
      <c r="G16" s="29">
        <f>IF(
   DATE(YEAR(TODAY()),MONTH(TODAY()),G$2) &gt; TODAY(),
   "",
   IF(
     COUNTIFS(
       DuLieu!$B:$B,$B16,
       DuLieu!$C:$C,"&gt;="&amp;DATE(YEAR(TODAY()),MONTH(TODAY()),G$2),
       DuLieu!$C:$C,"&lt;"&amp;DATE(YEAR(TODAY()),MONTH(TODAY()),G$2)+1
     )&gt;0,
     "✅",
     "❌"
   )
)</f>
        <v/>
      </c>
      <c r="H16" s="29">
        <f>IF(
   DATE(YEAR(TODAY()),MONTH(TODAY()),H$2) &gt; TODAY(),
   "",
   IF(
     COUNTIFS(
       DuLieu!$B:$B,$B16,
       DuLieu!$C:$C,"&gt;="&amp;DATE(YEAR(TODAY()),MONTH(TODAY()),H$2),
       DuLieu!$C:$C,"&lt;"&amp;DATE(YEAR(TODAY()),MONTH(TODAY()),H$2)+1
     )&gt;0,
     "✅",
     "❌"
   )
)</f>
        <v/>
      </c>
      <c r="I16" s="29">
        <f>IF(
   DATE(YEAR(TODAY()),MONTH(TODAY()),I$2) &gt; TODAY(),
   "",
   IF(
     COUNTIFS(
       DuLieu!$B:$B,$B16,
       DuLieu!$C:$C,"&gt;="&amp;DATE(YEAR(TODAY()),MONTH(TODAY()),I$2),
       DuLieu!$C:$C,"&lt;"&amp;DATE(YEAR(TODAY()),MONTH(TODAY()),I$2)+1
     )&gt;0,
     "✅",
     "❌"
   )
)</f>
        <v/>
      </c>
      <c r="J16" s="29">
        <f>IF(
   DATE(YEAR(TODAY()),MONTH(TODAY()),J$2) &gt; TODAY(),
   "",
   IF(
     COUNTIFS(
       DuLieu!$B:$B,$B16,
       DuLieu!$C:$C,"&gt;="&amp;DATE(YEAR(TODAY()),MONTH(TODAY()),J$2),
       DuLieu!$C:$C,"&lt;"&amp;DATE(YEAR(TODAY()),MONTH(TODAY()),J$2)+1
     )&gt;0,
     "✅",
     "❌"
   )
)</f>
        <v/>
      </c>
      <c r="K16" s="29">
        <f>IF(
   DATE(YEAR(TODAY()),MONTH(TODAY()),K$2) &gt; TODAY(),
   "",
   IF(
     COUNTIFS(
       DuLieu!$B:$B,$B16,
       DuLieu!$C:$C,"&gt;="&amp;DATE(YEAR(TODAY()),MONTH(TODAY()),K$2),
       DuLieu!$C:$C,"&lt;"&amp;DATE(YEAR(TODAY()),MONTH(TODAY()),K$2)+1
     )&gt;0,
     "✅",
     "❌"
   )
)</f>
        <v/>
      </c>
      <c r="L16" s="29">
        <f>IF(
   DATE(YEAR(TODAY()),MONTH(TODAY()),L$2) &gt; TODAY(),
   "",
   IF(
     COUNTIFS(
       DuLieu!$B:$B,$B16,
       DuLieu!$C:$C,"&gt;="&amp;DATE(YEAR(TODAY()),MONTH(TODAY()),L$2),
       DuLieu!$C:$C,"&lt;"&amp;DATE(YEAR(TODAY()),MONTH(TODAY()),L$2)+1
     )&gt;0,
     "✅",
     "❌"
   )
)</f>
        <v/>
      </c>
      <c r="M16" s="29">
        <f>IF(
   DATE(YEAR(TODAY()),MONTH(TODAY()),M$2) &gt; TODAY(),
   "",
   IF(
     COUNTIFS(
       DuLieu!$B:$B,$B16,
       DuLieu!$C:$C,"&gt;="&amp;DATE(YEAR(TODAY()),MONTH(TODAY()),M$2),
       DuLieu!$C:$C,"&lt;"&amp;DATE(YEAR(TODAY()),MONTH(TODAY()),M$2)+1
     )&gt;0,
     "✅",
     "❌"
   )
)</f>
        <v/>
      </c>
      <c r="N16" s="29">
        <f>IF(
   DATE(YEAR(TODAY()),MONTH(TODAY()),N$2) &gt; TODAY(),
   "",
   IF(
     COUNTIFS(
       DuLieu!$B:$B,$B16,
       DuLieu!$C:$C,"&gt;="&amp;DATE(YEAR(TODAY()),MONTH(TODAY()),N$2),
       DuLieu!$C:$C,"&lt;"&amp;DATE(YEAR(TODAY()),MONTH(TODAY()),N$2)+1
     )&gt;0,
     "✅",
     "❌"
   )
)</f>
        <v/>
      </c>
      <c r="O16" s="29">
        <f>IF(
   DATE(YEAR(TODAY()),MONTH(TODAY()),O$2) &gt; TODAY(),
   "",
   IF(
     COUNTIFS(
       DuLieu!$B:$B,$B16,
       DuLieu!$C:$C,"&gt;="&amp;DATE(YEAR(TODAY()),MONTH(TODAY()),O$2),
       DuLieu!$C:$C,"&lt;"&amp;DATE(YEAR(TODAY()),MONTH(TODAY()),O$2)+1
     )&gt;0,
     "✅",
     "❌"
   )
)</f>
        <v/>
      </c>
      <c r="P16" s="29">
        <f>IF(
   DATE(YEAR(TODAY()),MONTH(TODAY()),P$2) &gt; TODAY(),
   "",
   IF(
     COUNTIFS(
       DuLieu!$B:$B,$B16,
       DuLieu!$C:$C,"&gt;="&amp;DATE(YEAR(TODAY()),MONTH(TODAY()),P$2),
       DuLieu!$C:$C,"&lt;"&amp;DATE(YEAR(TODAY()),MONTH(TODAY()),P$2)+1
     )&gt;0,
     "✅",
     "❌"
   )
)</f>
        <v/>
      </c>
      <c r="Q16" s="29">
        <f>IF(
   DATE(YEAR(TODAY()),MONTH(TODAY()),Q$2) &gt; TODAY(),
   "",
   IF(
     COUNTIFS(
       DuLieu!$B:$B,$B16,
       DuLieu!$C:$C,"&gt;="&amp;DATE(YEAR(TODAY()),MONTH(TODAY()),Q$2),
       DuLieu!$C:$C,"&lt;"&amp;DATE(YEAR(TODAY()),MONTH(TODAY()),Q$2)+1
     )&gt;0,
     "✅",
     "❌"
   )
)</f>
        <v/>
      </c>
      <c r="R16" s="29">
        <f>IF(
   DATE(YEAR(TODAY()),MONTH(TODAY()),R$2) &gt; TODAY(),
   "",
   IF(
     COUNTIFS(
       DuLieu!$B:$B,$B16,
       DuLieu!$C:$C,"&gt;="&amp;DATE(YEAR(TODAY()),MONTH(TODAY()),R$2),
       DuLieu!$C:$C,"&lt;"&amp;DATE(YEAR(TODAY()),MONTH(TODAY()),R$2)+1
     )&gt;0,
     "✅",
     "❌"
   )
)</f>
        <v/>
      </c>
      <c r="S16" s="29">
        <f>IF(
   DATE(YEAR(TODAY()),MONTH(TODAY()),S$2) &gt; TODAY(),
   "",
   IF(
     COUNTIFS(
       DuLieu!$B:$B,$B16,
       DuLieu!$C:$C,"&gt;="&amp;DATE(YEAR(TODAY()),MONTH(TODAY()),S$2),
       DuLieu!$C:$C,"&lt;"&amp;DATE(YEAR(TODAY()),MONTH(TODAY()),S$2)+1
     )&gt;0,
     "✅",
     "❌"
   )
)</f>
        <v/>
      </c>
      <c r="T16" s="29">
        <f>IF(
   DATE(YEAR(TODAY()),MONTH(TODAY()),T$2) &gt; TODAY(),
   "",
   IF(
     COUNTIFS(
       DuLieu!$B:$B,$B16,
       DuLieu!$C:$C,"&gt;="&amp;DATE(YEAR(TODAY()),MONTH(TODAY()),T$2),
       DuLieu!$C:$C,"&lt;"&amp;DATE(YEAR(TODAY()),MONTH(TODAY()),T$2)+1
     )&gt;0,
     "✅",
     "❌"
   )
)</f>
        <v/>
      </c>
      <c r="U16" s="29">
        <f>IF(
   DATE(YEAR(TODAY()),MONTH(TODAY()),U$2) &gt; TODAY(),
   "",
   IF(
     COUNTIFS(
       DuLieu!$B:$B,$B16,
       DuLieu!$C:$C,"&gt;="&amp;DATE(YEAR(TODAY()),MONTH(TODAY()),U$2),
       DuLieu!$C:$C,"&lt;"&amp;DATE(YEAR(TODAY()),MONTH(TODAY()),U$2)+1
     )&gt;0,
     "✅",
     "❌"
   )
)</f>
        <v/>
      </c>
      <c r="V16" s="29">
        <f>IF(
   DATE(YEAR(TODAY()),MONTH(TODAY()),V$2) &gt; TODAY(),
   "",
   IF(
     COUNTIFS(
       DuLieu!$B:$B,$B16,
       DuLieu!$C:$C,"&gt;="&amp;DATE(YEAR(TODAY()),MONTH(TODAY()),V$2),
       DuLieu!$C:$C,"&lt;"&amp;DATE(YEAR(TODAY()),MONTH(TODAY()),V$2)+1
     )&gt;0,
     "✅",
     "❌"
   )
)</f>
        <v/>
      </c>
      <c r="W16" s="29">
        <f>IF(
   DATE(YEAR(TODAY()),MONTH(TODAY()),W$2) &gt; TODAY(),
   "",
   IF(
     COUNTIFS(
       DuLieu!$B:$B,$B16,
       DuLieu!$C:$C,"&gt;="&amp;DATE(YEAR(TODAY()),MONTH(TODAY()),W$2),
       DuLieu!$C:$C,"&lt;"&amp;DATE(YEAR(TODAY()),MONTH(TODAY()),W$2)+1
     )&gt;0,
     "✅",
     "❌"
   )
)</f>
        <v/>
      </c>
      <c r="X16" s="29">
        <f>IF(
   DATE(YEAR(TODAY()),MONTH(TODAY()),X$2) &gt; TODAY(),
   "",
   IF(
     COUNTIFS(
       DuLieu!$B:$B,$B16,
       DuLieu!$C:$C,"&gt;="&amp;DATE(YEAR(TODAY()),MONTH(TODAY()),X$2),
       DuLieu!$C:$C,"&lt;"&amp;DATE(YEAR(TODAY()),MONTH(TODAY()),X$2)+1
     )&gt;0,
     "✅",
     "❌"
   )
)</f>
        <v/>
      </c>
      <c r="Y16" s="29">
        <f>IF(
   DATE(YEAR(TODAY()),MONTH(TODAY()),Y$2) &gt; TODAY(),
   "",
   IF(
     COUNTIFS(
       DuLieu!$B:$B,$B16,
       DuLieu!$C:$C,"&gt;="&amp;DATE(YEAR(TODAY()),MONTH(TODAY()),Y$2),
       DuLieu!$C:$C,"&lt;"&amp;DATE(YEAR(TODAY()),MONTH(TODAY()),Y$2)+1
     )&gt;0,
     "✅",
     "❌"
   )
)</f>
        <v/>
      </c>
      <c r="Z16" s="29">
        <f>IF(
   DATE(YEAR(TODAY()),MONTH(TODAY()),Z$2) &gt; TODAY(),
   "",
   IF(
     COUNTIFS(
       DuLieu!$B:$B,$B16,
       DuLieu!$C:$C,"&gt;="&amp;DATE(YEAR(TODAY()),MONTH(TODAY()),Z$2),
       DuLieu!$C:$C,"&lt;"&amp;DATE(YEAR(TODAY()),MONTH(TODAY()),Z$2)+1
     )&gt;0,
     "✅",
     "❌"
   )
)</f>
        <v/>
      </c>
      <c r="AA16" s="29">
        <f>IF(
   DATE(YEAR(TODAY()),MONTH(TODAY()),AA$2) &gt; TODAY(),
   "",
   IF(
     COUNTIFS(
       DuLieu!$B:$B,$B16,
       DuLieu!$C:$C,"&gt;="&amp;DATE(YEAR(TODAY()),MONTH(TODAY()),AA$2),
       DuLieu!$C:$C,"&lt;"&amp;DATE(YEAR(TODAY()),MONTH(TODAY()),AA$2)+1
     )&gt;0,
     "✅",
     "❌"
   )
)</f>
        <v/>
      </c>
      <c r="AB16" s="29">
        <f>IF(
   DATE(YEAR(TODAY()),MONTH(TODAY()),AB$2) &gt; TODAY(),
   "",
   IF(
     COUNTIFS(
       DuLieu!$B:$B,$B16,
       DuLieu!$C:$C,"&gt;="&amp;DATE(YEAR(TODAY()),MONTH(TODAY()),AB$2),
       DuLieu!$C:$C,"&lt;"&amp;DATE(YEAR(TODAY()),MONTH(TODAY()),AB$2)+1
     )&gt;0,
     "✅",
     "❌"
   )
)</f>
        <v/>
      </c>
      <c r="AC16" s="29">
        <f>IF(
   DATE(YEAR(TODAY()),MONTH(TODAY()),AC$2) &gt; TODAY(),
   "",
   IF(
     COUNTIFS(
       DuLieu!$B:$B,$B16,
       DuLieu!$C:$C,"&gt;="&amp;DATE(YEAR(TODAY()),MONTH(TODAY()),AC$2),
       DuLieu!$C:$C,"&lt;"&amp;DATE(YEAR(TODAY()),MONTH(TODAY()),AC$2)+1
     )&gt;0,
     "✅",
     "❌"
   )
)</f>
        <v/>
      </c>
      <c r="AD16" s="29">
        <f>IF(
   DATE(YEAR(TODAY()),MONTH(TODAY()),AD$2) &gt; TODAY(),
   "",
   IF(
     COUNTIFS(
       DuLieu!$B:$B,$B16,
       DuLieu!$C:$C,"&gt;="&amp;DATE(YEAR(TODAY()),MONTH(TODAY()),AD$2),
       DuLieu!$C:$C,"&lt;"&amp;DATE(YEAR(TODAY()),MONTH(TODAY()),AD$2)+1
     )&gt;0,
     "✅",
     "❌"
   )
)</f>
        <v/>
      </c>
      <c r="AE16" s="29">
        <f>IF(
   DATE(YEAR(TODAY()),MONTH(TODAY()),AE$2) &gt; TODAY(),
   "",
   IF(
     COUNTIFS(
       DuLieu!$B:$B,$B16,
       DuLieu!$C:$C,"&gt;="&amp;DATE(YEAR(TODAY()),MONTH(TODAY()),AE$2),
       DuLieu!$C:$C,"&lt;"&amp;DATE(YEAR(TODAY()),MONTH(TODAY()),AE$2)+1
     )&gt;0,
     "✅",
     "❌"
   )
)</f>
        <v/>
      </c>
      <c r="AF16" s="29">
        <f>IF(
   DATE(YEAR(TODAY()),MONTH(TODAY()),AF$2) &gt; TODAY(),
   "",
   IF(
     COUNTIFS(
       DuLieu!$B:$B,$B16,
       DuLieu!$C:$C,"&gt;="&amp;DATE(YEAR(TODAY()),MONTH(TODAY()),AF$2),
       DuLieu!$C:$C,"&lt;"&amp;DATE(YEAR(TODAY()),MONTH(TODAY()),AF$2)+1
     )&gt;0,
     "✅",
     "❌"
   )
)</f>
        <v/>
      </c>
      <c r="AG16" s="29">
        <f>IF(
   DATE(YEAR(TODAY()),MONTH(TODAY()),AG$2) &gt; TODAY(),
   "",
   IF(
     COUNTIFS(
       DuLieu!$B:$B,$B16,
       DuLieu!$C:$C,"&gt;="&amp;DATE(YEAR(TODAY()),MONTH(TODAY()),AG$2),
       DuLieu!$C:$C,"&lt;"&amp;DATE(YEAR(TODAY()),MONTH(TODAY()),AG$2)+1
     )&gt;0,
     "✅",
     "❌"
   )
)</f>
        <v/>
      </c>
    </row>
    <row r="17" ht="15.75" customHeight="1" s="117">
      <c r="A17" s="112" t="n">
        <v>15</v>
      </c>
      <c r="B17" s="27" t="inlineStr">
        <is>
          <t>Nguyễn Tuấn Anh</t>
        </is>
      </c>
      <c r="C17" s="97">
        <f>IF(
   DATE(YEAR(TODAY()),MONTH(TODAY()),C$2) &gt; TODAY(),
   "",
   IF(
     COUNTIFS(
       DuLieu!$B:$B,$B17,
       DuLieu!$C:$C,"&gt;="&amp;DATE(YEAR(TODAY()),MONTH(TODAY()),C$2),
       DuLieu!$C:$C,"&lt;"&amp;DATE(YEAR(TODAY()),MONTH(TODAY()),C$2)+1
     )&gt;0,
     "✅",
     "❌"
   )
)</f>
        <v/>
      </c>
      <c r="D17" s="97">
        <f>IF(
   DATE(YEAR(TODAY()),MONTH(TODAY()),D$2) &gt; TODAY(),
   "",
   IF(
     COUNTIFS(
       DuLieu!$B:$B,$B17,
       DuLieu!$C:$C,"&gt;="&amp;DATE(YEAR(TODAY()),MONTH(TODAY()),D$2),
       DuLieu!$C:$C,"&lt;"&amp;DATE(YEAR(TODAY()),MONTH(TODAY()),D$2)+1
     )&gt;0,
     "✅",
     "❌"
   )
)</f>
        <v/>
      </c>
      <c r="E17" s="97">
        <f>IF(
   DATE(YEAR(TODAY()),MONTH(TODAY()),E$2) &gt; TODAY(),
   "",
   IF(
     COUNTIFS(
       DuLieu!$B:$B,$B17,
       DuLieu!$C:$C,"&gt;="&amp;DATE(YEAR(TODAY()),MONTH(TODAY()),E$2),
       DuLieu!$C:$C,"&lt;"&amp;DATE(YEAR(TODAY()),MONTH(TODAY()),E$2)+1
     )&gt;0,
     "✅",
     "❌"
   )
)</f>
        <v/>
      </c>
      <c r="F17" s="97">
        <f>IF(
   DATE(YEAR(TODAY()),MONTH(TODAY()),F$2) &gt; TODAY(),
   "",
   IF(
     COUNTIFS(
       DuLieu!$B:$B,$B17,
       DuLieu!$C:$C,"&gt;="&amp;DATE(YEAR(TODAY()),MONTH(TODAY()),F$2),
       DuLieu!$C:$C,"&lt;"&amp;DATE(YEAR(TODAY()),MONTH(TODAY()),F$2)+1
     )&gt;0,
     "✅",
     "❌"
   )
)</f>
        <v/>
      </c>
      <c r="G17" s="29">
        <f>IF(
   DATE(YEAR(TODAY()),MONTH(TODAY()),G$2) &gt; TODAY(),
   "",
   IF(
     COUNTIFS(
       DuLieu!$B:$B,$B17,
       DuLieu!$C:$C,"&gt;="&amp;DATE(YEAR(TODAY()),MONTH(TODAY()),G$2),
       DuLieu!$C:$C,"&lt;"&amp;DATE(YEAR(TODAY()),MONTH(TODAY()),G$2)+1
     )&gt;0,
     "✅",
     "❌"
   )
)</f>
        <v/>
      </c>
      <c r="H17" s="29">
        <f>IF(
   DATE(YEAR(TODAY()),MONTH(TODAY()),H$2) &gt; TODAY(),
   "",
   IF(
     COUNTIFS(
       DuLieu!$B:$B,$B17,
       DuLieu!$C:$C,"&gt;="&amp;DATE(YEAR(TODAY()),MONTH(TODAY()),H$2),
       DuLieu!$C:$C,"&lt;"&amp;DATE(YEAR(TODAY()),MONTH(TODAY()),H$2)+1
     )&gt;0,
     "✅",
     "❌"
   )
)</f>
        <v/>
      </c>
      <c r="I17" s="29">
        <f>IF(
   DATE(YEAR(TODAY()),MONTH(TODAY()),I$2) &gt; TODAY(),
   "",
   IF(
     COUNTIFS(
       DuLieu!$B:$B,$B17,
       DuLieu!$C:$C,"&gt;="&amp;DATE(YEAR(TODAY()),MONTH(TODAY()),I$2),
       DuLieu!$C:$C,"&lt;"&amp;DATE(YEAR(TODAY()),MONTH(TODAY()),I$2)+1
     )&gt;0,
     "✅",
     "❌"
   )
)</f>
        <v/>
      </c>
      <c r="J17" s="29">
        <f>IF(
   DATE(YEAR(TODAY()),MONTH(TODAY()),J$2) &gt; TODAY(),
   "",
   IF(
     COUNTIFS(
       DuLieu!$B:$B,$B17,
       DuLieu!$C:$C,"&gt;="&amp;DATE(YEAR(TODAY()),MONTH(TODAY()),J$2),
       DuLieu!$C:$C,"&lt;"&amp;DATE(YEAR(TODAY()),MONTH(TODAY()),J$2)+1
     )&gt;0,
     "✅",
     "❌"
   )
)</f>
        <v/>
      </c>
      <c r="K17" s="29">
        <f>IF(
   DATE(YEAR(TODAY()),MONTH(TODAY()),K$2) &gt; TODAY(),
   "",
   IF(
     COUNTIFS(
       DuLieu!$B:$B,$B17,
       DuLieu!$C:$C,"&gt;="&amp;DATE(YEAR(TODAY()),MONTH(TODAY()),K$2),
       DuLieu!$C:$C,"&lt;"&amp;DATE(YEAR(TODAY()),MONTH(TODAY()),K$2)+1
     )&gt;0,
     "✅",
     "❌"
   )
)</f>
        <v/>
      </c>
      <c r="L17" s="29">
        <f>IF(
   DATE(YEAR(TODAY()),MONTH(TODAY()),L$2) &gt; TODAY(),
   "",
   IF(
     COUNTIFS(
       DuLieu!$B:$B,$B17,
       DuLieu!$C:$C,"&gt;="&amp;DATE(YEAR(TODAY()),MONTH(TODAY()),L$2),
       DuLieu!$C:$C,"&lt;"&amp;DATE(YEAR(TODAY()),MONTH(TODAY()),L$2)+1
     )&gt;0,
     "✅",
     "❌"
   )
)</f>
        <v/>
      </c>
      <c r="M17" s="29">
        <f>IF(
   DATE(YEAR(TODAY()),MONTH(TODAY()),M$2) &gt; TODAY(),
   "",
   IF(
     COUNTIFS(
       DuLieu!$B:$B,$B17,
       DuLieu!$C:$C,"&gt;="&amp;DATE(YEAR(TODAY()),MONTH(TODAY()),M$2),
       DuLieu!$C:$C,"&lt;"&amp;DATE(YEAR(TODAY()),MONTH(TODAY()),M$2)+1
     )&gt;0,
     "✅",
     "❌"
   )
)</f>
        <v/>
      </c>
      <c r="N17" s="29">
        <f>IF(
   DATE(YEAR(TODAY()),MONTH(TODAY()),N$2) &gt; TODAY(),
   "",
   IF(
     COUNTIFS(
       DuLieu!$B:$B,$B17,
       DuLieu!$C:$C,"&gt;="&amp;DATE(YEAR(TODAY()),MONTH(TODAY()),N$2),
       DuLieu!$C:$C,"&lt;"&amp;DATE(YEAR(TODAY()),MONTH(TODAY()),N$2)+1
     )&gt;0,
     "✅",
     "❌"
   )
)</f>
        <v/>
      </c>
      <c r="O17" s="29">
        <f>IF(
   DATE(YEAR(TODAY()),MONTH(TODAY()),O$2) &gt; TODAY(),
   "",
   IF(
     COUNTIFS(
       DuLieu!$B:$B,$B17,
       DuLieu!$C:$C,"&gt;="&amp;DATE(YEAR(TODAY()),MONTH(TODAY()),O$2),
       DuLieu!$C:$C,"&lt;"&amp;DATE(YEAR(TODAY()),MONTH(TODAY()),O$2)+1
     )&gt;0,
     "✅",
     "❌"
   )
)</f>
        <v/>
      </c>
      <c r="P17" s="29">
        <f>IF(
   DATE(YEAR(TODAY()),MONTH(TODAY()),P$2) &gt; TODAY(),
   "",
   IF(
     COUNTIFS(
       DuLieu!$B:$B,$B17,
       DuLieu!$C:$C,"&gt;="&amp;DATE(YEAR(TODAY()),MONTH(TODAY()),P$2),
       DuLieu!$C:$C,"&lt;"&amp;DATE(YEAR(TODAY()),MONTH(TODAY()),P$2)+1
     )&gt;0,
     "✅",
     "❌"
   )
)</f>
        <v/>
      </c>
      <c r="Q17" s="29">
        <f>IF(
   DATE(YEAR(TODAY()),MONTH(TODAY()),Q$2) &gt; TODAY(),
   "",
   IF(
     COUNTIFS(
       DuLieu!$B:$B,$B17,
       DuLieu!$C:$C,"&gt;="&amp;DATE(YEAR(TODAY()),MONTH(TODAY()),Q$2),
       DuLieu!$C:$C,"&lt;"&amp;DATE(YEAR(TODAY()),MONTH(TODAY()),Q$2)+1
     )&gt;0,
     "✅",
     "❌"
   )
)</f>
        <v/>
      </c>
      <c r="R17" s="29">
        <f>IF(
   DATE(YEAR(TODAY()),MONTH(TODAY()),R$2) &gt; TODAY(),
   "",
   IF(
     COUNTIFS(
       DuLieu!$B:$B,$B17,
       DuLieu!$C:$C,"&gt;="&amp;DATE(YEAR(TODAY()),MONTH(TODAY()),R$2),
       DuLieu!$C:$C,"&lt;"&amp;DATE(YEAR(TODAY()),MONTH(TODAY()),R$2)+1
     )&gt;0,
     "✅",
     "❌"
   )
)</f>
        <v/>
      </c>
      <c r="S17" s="29">
        <f>IF(
   DATE(YEAR(TODAY()),MONTH(TODAY()),S$2) &gt; TODAY(),
   "",
   IF(
     COUNTIFS(
       DuLieu!$B:$B,$B17,
       DuLieu!$C:$C,"&gt;="&amp;DATE(YEAR(TODAY()),MONTH(TODAY()),S$2),
       DuLieu!$C:$C,"&lt;"&amp;DATE(YEAR(TODAY()),MONTH(TODAY()),S$2)+1
     )&gt;0,
     "✅",
     "❌"
   )
)</f>
        <v/>
      </c>
      <c r="T17" s="29">
        <f>IF(
   DATE(YEAR(TODAY()),MONTH(TODAY()),T$2) &gt; TODAY(),
   "",
   IF(
     COUNTIFS(
       DuLieu!$B:$B,$B17,
       DuLieu!$C:$C,"&gt;="&amp;DATE(YEAR(TODAY()),MONTH(TODAY()),T$2),
       DuLieu!$C:$C,"&lt;"&amp;DATE(YEAR(TODAY()),MONTH(TODAY()),T$2)+1
     )&gt;0,
     "✅",
     "❌"
   )
)</f>
        <v/>
      </c>
      <c r="U17" s="29">
        <f>IF(
   DATE(YEAR(TODAY()),MONTH(TODAY()),U$2) &gt; TODAY(),
   "",
   IF(
     COUNTIFS(
       DuLieu!$B:$B,$B17,
       DuLieu!$C:$C,"&gt;="&amp;DATE(YEAR(TODAY()),MONTH(TODAY()),U$2),
       DuLieu!$C:$C,"&lt;"&amp;DATE(YEAR(TODAY()),MONTH(TODAY()),U$2)+1
     )&gt;0,
     "✅",
     "❌"
   )
)</f>
        <v/>
      </c>
      <c r="V17" s="29">
        <f>IF(
   DATE(YEAR(TODAY()),MONTH(TODAY()),V$2) &gt; TODAY(),
   "",
   IF(
     COUNTIFS(
       DuLieu!$B:$B,$B17,
       DuLieu!$C:$C,"&gt;="&amp;DATE(YEAR(TODAY()),MONTH(TODAY()),V$2),
       DuLieu!$C:$C,"&lt;"&amp;DATE(YEAR(TODAY()),MONTH(TODAY()),V$2)+1
     )&gt;0,
     "✅",
     "❌"
   )
)</f>
        <v/>
      </c>
      <c r="W17" s="29">
        <f>IF(
   DATE(YEAR(TODAY()),MONTH(TODAY()),W$2) &gt; TODAY(),
   "",
   IF(
     COUNTIFS(
       DuLieu!$B:$B,$B17,
       DuLieu!$C:$C,"&gt;="&amp;DATE(YEAR(TODAY()),MONTH(TODAY()),W$2),
       DuLieu!$C:$C,"&lt;"&amp;DATE(YEAR(TODAY()),MONTH(TODAY()),W$2)+1
     )&gt;0,
     "✅",
     "❌"
   )
)</f>
        <v/>
      </c>
      <c r="X17" s="29">
        <f>IF(
   DATE(YEAR(TODAY()),MONTH(TODAY()),X$2) &gt; TODAY(),
   "",
   IF(
     COUNTIFS(
       DuLieu!$B:$B,$B17,
       DuLieu!$C:$C,"&gt;="&amp;DATE(YEAR(TODAY()),MONTH(TODAY()),X$2),
       DuLieu!$C:$C,"&lt;"&amp;DATE(YEAR(TODAY()),MONTH(TODAY()),X$2)+1
     )&gt;0,
     "✅",
     "❌"
   )
)</f>
        <v/>
      </c>
      <c r="Y17" s="29">
        <f>IF(
   DATE(YEAR(TODAY()),MONTH(TODAY()),Y$2) &gt; TODAY(),
   "",
   IF(
     COUNTIFS(
       DuLieu!$B:$B,$B17,
       DuLieu!$C:$C,"&gt;="&amp;DATE(YEAR(TODAY()),MONTH(TODAY()),Y$2),
       DuLieu!$C:$C,"&lt;"&amp;DATE(YEAR(TODAY()),MONTH(TODAY()),Y$2)+1
     )&gt;0,
     "✅",
     "❌"
   )
)</f>
        <v/>
      </c>
      <c r="Z17" s="29">
        <f>IF(
   DATE(YEAR(TODAY()),MONTH(TODAY()),Z$2) &gt; TODAY(),
   "",
   IF(
     COUNTIFS(
       DuLieu!$B:$B,$B17,
       DuLieu!$C:$C,"&gt;="&amp;DATE(YEAR(TODAY()),MONTH(TODAY()),Z$2),
       DuLieu!$C:$C,"&lt;"&amp;DATE(YEAR(TODAY()),MONTH(TODAY()),Z$2)+1
     )&gt;0,
     "✅",
     "❌"
   )
)</f>
        <v/>
      </c>
      <c r="AA17" s="29">
        <f>IF(
   DATE(YEAR(TODAY()),MONTH(TODAY()),AA$2) &gt; TODAY(),
   "",
   IF(
     COUNTIFS(
       DuLieu!$B:$B,$B17,
       DuLieu!$C:$C,"&gt;="&amp;DATE(YEAR(TODAY()),MONTH(TODAY()),AA$2),
       DuLieu!$C:$C,"&lt;"&amp;DATE(YEAR(TODAY()),MONTH(TODAY()),AA$2)+1
     )&gt;0,
     "✅",
     "❌"
   )
)</f>
        <v/>
      </c>
      <c r="AB17" s="29">
        <f>IF(
   DATE(YEAR(TODAY()),MONTH(TODAY()),AB$2) &gt; TODAY(),
   "",
   IF(
     COUNTIFS(
       DuLieu!$B:$B,$B17,
       DuLieu!$C:$C,"&gt;="&amp;DATE(YEAR(TODAY()),MONTH(TODAY()),AB$2),
       DuLieu!$C:$C,"&lt;"&amp;DATE(YEAR(TODAY()),MONTH(TODAY()),AB$2)+1
     )&gt;0,
     "✅",
     "❌"
   )
)</f>
        <v/>
      </c>
      <c r="AC17" s="29">
        <f>IF(
   DATE(YEAR(TODAY()),MONTH(TODAY()),AC$2) &gt; TODAY(),
   "",
   IF(
     COUNTIFS(
       DuLieu!$B:$B,$B17,
       DuLieu!$C:$C,"&gt;="&amp;DATE(YEAR(TODAY()),MONTH(TODAY()),AC$2),
       DuLieu!$C:$C,"&lt;"&amp;DATE(YEAR(TODAY()),MONTH(TODAY()),AC$2)+1
     )&gt;0,
     "✅",
     "❌"
   )
)</f>
        <v/>
      </c>
      <c r="AD17" s="29">
        <f>IF(
   DATE(YEAR(TODAY()),MONTH(TODAY()),AD$2) &gt; TODAY(),
   "",
   IF(
     COUNTIFS(
       DuLieu!$B:$B,$B17,
       DuLieu!$C:$C,"&gt;="&amp;DATE(YEAR(TODAY()),MONTH(TODAY()),AD$2),
       DuLieu!$C:$C,"&lt;"&amp;DATE(YEAR(TODAY()),MONTH(TODAY()),AD$2)+1
     )&gt;0,
     "✅",
     "❌"
   )
)</f>
        <v/>
      </c>
      <c r="AE17" s="29">
        <f>IF(
   DATE(YEAR(TODAY()),MONTH(TODAY()),AE$2) &gt; TODAY(),
   "",
   IF(
     COUNTIFS(
       DuLieu!$B:$B,$B17,
       DuLieu!$C:$C,"&gt;="&amp;DATE(YEAR(TODAY()),MONTH(TODAY()),AE$2),
       DuLieu!$C:$C,"&lt;"&amp;DATE(YEAR(TODAY()),MONTH(TODAY()),AE$2)+1
     )&gt;0,
     "✅",
     "❌"
   )
)</f>
        <v/>
      </c>
      <c r="AF17" s="29">
        <f>IF(
   DATE(YEAR(TODAY()),MONTH(TODAY()),AF$2) &gt; TODAY(),
   "",
   IF(
     COUNTIFS(
       DuLieu!$B:$B,$B17,
       DuLieu!$C:$C,"&gt;="&amp;DATE(YEAR(TODAY()),MONTH(TODAY()),AF$2),
       DuLieu!$C:$C,"&lt;"&amp;DATE(YEAR(TODAY()),MONTH(TODAY()),AF$2)+1
     )&gt;0,
     "✅",
     "❌"
   )
)</f>
        <v/>
      </c>
      <c r="AG17" s="29">
        <f>IF(
   DATE(YEAR(TODAY()),MONTH(TODAY()),AG$2) &gt; TODAY(),
   "",
   IF(
     COUNTIFS(
       DuLieu!$B:$B,$B17,
       DuLieu!$C:$C,"&gt;="&amp;DATE(YEAR(TODAY()),MONTH(TODAY()),AG$2),
       DuLieu!$C:$C,"&lt;"&amp;DATE(YEAR(TODAY()),MONTH(TODAY()),AG$2)+1
     )&gt;0,
     "✅",
     "❌"
   )
)</f>
        <v/>
      </c>
    </row>
    <row r="18" ht="15.75" customHeight="1" s="117">
      <c r="A18" s="112" t="n">
        <v>16</v>
      </c>
      <c r="B18" s="27" t="inlineStr">
        <is>
          <t>Nguyễn Văn Hiệp</t>
        </is>
      </c>
      <c r="C18" s="97">
        <f>IF(
   DATE(YEAR(TODAY()),MONTH(TODAY()),C$2) &gt; TODAY(),
   "",
   IF(
     COUNTIFS(
       DuLieu!$B:$B,$B18,
       DuLieu!$C:$C,"&gt;="&amp;DATE(YEAR(TODAY()),MONTH(TODAY()),C$2),
       DuLieu!$C:$C,"&lt;"&amp;DATE(YEAR(TODAY()),MONTH(TODAY()),C$2)+1
     )&gt;0,
     "✅",
     "❌"
   )
)</f>
        <v/>
      </c>
      <c r="D18" s="97">
        <f>IF(
   DATE(YEAR(TODAY()),MONTH(TODAY()),D$2) &gt; TODAY(),
   "",
   IF(
     COUNTIFS(
       DuLieu!$B:$B,$B18,
       DuLieu!$C:$C,"&gt;="&amp;DATE(YEAR(TODAY()),MONTH(TODAY()),D$2),
       DuLieu!$C:$C,"&lt;"&amp;DATE(YEAR(TODAY()),MONTH(TODAY()),D$2)+1
     )&gt;0,
     "✅",
     "❌"
   )
)</f>
        <v/>
      </c>
      <c r="E18" s="97">
        <f>IF(
   DATE(YEAR(TODAY()),MONTH(TODAY()),E$2) &gt; TODAY(),
   "",
   IF(
     COUNTIFS(
       DuLieu!$B:$B,$B18,
       DuLieu!$C:$C,"&gt;="&amp;DATE(YEAR(TODAY()),MONTH(TODAY()),E$2),
       DuLieu!$C:$C,"&lt;"&amp;DATE(YEAR(TODAY()),MONTH(TODAY()),E$2)+1
     )&gt;0,
     "✅",
     "❌"
   )
)</f>
        <v/>
      </c>
      <c r="F18" s="97">
        <f>IF(
   DATE(YEAR(TODAY()),MONTH(TODAY()),F$2) &gt; TODAY(),
   "",
   IF(
     COUNTIFS(
       DuLieu!$B:$B,$B18,
       DuLieu!$C:$C,"&gt;="&amp;DATE(YEAR(TODAY()),MONTH(TODAY()),F$2),
       DuLieu!$C:$C,"&lt;"&amp;DATE(YEAR(TODAY()),MONTH(TODAY()),F$2)+1
     )&gt;0,
     "✅",
     "❌"
   )
)</f>
        <v/>
      </c>
      <c r="G18" s="29">
        <f>IF(
   DATE(YEAR(TODAY()),MONTH(TODAY()),G$2) &gt; TODAY(),
   "",
   IF(
     COUNTIFS(
       DuLieu!$B:$B,$B18,
       DuLieu!$C:$C,"&gt;="&amp;DATE(YEAR(TODAY()),MONTH(TODAY()),G$2),
       DuLieu!$C:$C,"&lt;"&amp;DATE(YEAR(TODAY()),MONTH(TODAY()),G$2)+1
     )&gt;0,
     "✅",
     "❌"
   )
)</f>
        <v/>
      </c>
      <c r="H18" s="29">
        <f>IF(
   DATE(YEAR(TODAY()),MONTH(TODAY()),H$2) &gt; TODAY(),
   "",
   IF(
     COUNTIFS(
       DuLieu!$B:$B,$B18,
       DuLieu!$C:$C,"&gt;="&amp;DATE(YEAR(TODAY()),MONTH(TODAY()),H$2),
       DuLieu!$C:$C,"&lt;"&amp;DATE(YEAR(TODAY()),MONTH(TODAY()),H$2)+1
     )&gt;0,
     "✅",
     "❌"
   )
)</f>
        <v/>
      </c>
      <c r="I18" s="29">
        <f>IF(
   DATE(YEAR(TODAY()),MONTH(TODAY()),I$2) &gt; TODAY(),
   "",
   IF(
     COUNTIFS(
       DuLieu!$B:$B,$B18,
       DuLieu!$C:$C,"&gt;="&amp;DATE(YEAR(TODAY()),MONTH(TODAY()),I$2),
       DuLieu!$C:$C,"&lt;"&amp;DATE(YEAR(TODAY()),MONTH(TODAY()),I$2)+1
     )&gt;0,
     "✅",
     "❌"
   )
)</f>
        <v/>
      </c>
      <c r="J18" s="29">
        <f>IF(
   DATE(YEAR(TODAY()),MONTH(TODAY()),J$2) &gt; TODAY(),
   "",
   IF(
     COUNTIFS(
       DuLieu!$B:$B,$B18,
       DuLieu!$C:$C,"&gt;="&amp;DATE(YEAR(TODAY()),MONTH(TODAY()),J$2),
       DuLieu!$C:$C,"&lt;"&amp;DATE(YEAR(TODAY()),MONTH(TODAY()),J$2)+1
     )&gt;0,
     "✅",
     "❌"
   )
)</f>
        <v/>
      </c>
      <c r="K18" s="29">
        <f>IF(
   DATE(YEAR(TODAY()),MONTH(TODAY()),K$2) &gt; TODAY(),
   "",
   IF(
     COUNTIFS(
       DuLieu!$B:$B,$B18,
       DuLieu!$C:$C,"&gt;="&amp;DATE(YEAR(TODAY()),MONTH(TODAY()),K$2),
       DuLieu!$C:$C,"&lt;"&amp;DATE(YEAR(TODAY()),MONTH(TODAY()),K$2)+1
     )&gt;0,
     "✅",
     "❌"
   )
)</f>
        <v/>
      </c>
      <c r="L18" s="29">
        <f>IF(
   DATE(YEAR(TODAY()),MONTH(TODAY()),L$2) &gt; TODAY(),
   "",
   IF(
     COUNTIFS(
       DuLieu!$B:$B,$B18,
       DuLieu!$C:$C,"&gt;="&amp;DATE(YEAR(TODAY()),MONTH(TODAY()),L$2),
       DuLieu!$C:$C,"&lt;"&amp;DATE(YEAR(TODAY()),MONTH(TODAY()),L$2)+1
     )&gt;0,
     "✅",
     "❌"
   )
)</f>
        <v/>
      </c>
      <c r="M18" s="29">
        <f>IF(
   DATE(YEAR(TODAY()),MONTH(TODAY()),M$2) &gt; TODAY(),
   "",
   IF(
     COUNTIFS(
       DuLieu!$B:$B,$B18,
       DuLieu!$C:$C,"&gt;="&amp;DATE(YEAR(TODAY()),MONTH(TODAY()),M$2),
       DuLieu!$C:$C,"&lt;"&amp;DATE(YEAR(TODAY()),MONTH(TODAY()),M$2)+1
     )&gt;0,
     "✅",
     "❌"
   )
)</f>
        <v/>
      </c>
      <c r="N18" s="29">
        <f>IF(
   DATE(YEAR(TODAY()),MONTH(TODAY()),N$2) &gt; TODAY(),
   "",
   IF(
     COUNTIFS(
       DuLieu!$B:$B,$B18,
       DuLieu!$C:$C,"&gt;="&amp;DATE(YEAR(TODAY()),MONTH(TODAY()),N$2),
       DuLieu!$C:$C,"&lt;"&amp;DATE(YEAR(TODAY()),MONTH(TODAY()),N$2)+1
     )&gt;0,
     "✅",
     "❌"
   )
)</f>
        <v/>
      </c>
      <c r="O18" s="29">
        <f>IF(
   DATE(YEAR(TODAY()),MONTH(TODAY()),O$2) &gt; TODAY(),
   "",
   IF(
     COUNTIFS(
       DuLieu!$B:$B,$B18,
       DuLieu!$C:$C,"&gt;="&amp;DATE(YEAR(TODAY()),MONTH(TODAY()),O$2),
       DuLieu!$C:$C,"&lt;"&amp;DATE(YEAR(TODAY()),MONTH(TODAY()),O$2)+1
     )&gt;0,
     "✅",
     "❌"
   )
)</f>
        <v/>
      </c>
      <c r="P18" s="29">
        <f>IF(
   DATE(YEAR(TODAY()),MONTH(TODAY()),P$2) &gt; TODAY(),
   "",
   IF(
     COUNTIFS(
       DuLieu!$B:$B,$B18,
       DuLieu!$C:$C,"&gt;="&amp;DATE(YEAR(TODAY()),MONTH(TODAY()),P$2),
       DuLieu!$C:$C,"&lt;"&amp;DATE(YEAR(TODAY()),MONTH(TODAY()),P$2)+1
     )&gt;0,
     "✅",
     "❌"
   )
)</f>
        <v/>
      </c>
      <c r="Q18" s="29">
        <f>IF(
   DATE(YEAR(TODAY()),MONTH(TODAY()),Q$2) &gt; TODAY(),
   "",
   IF(
     COUNTIFS(
       DuLieu!$B:$B,$B18,
       DuLieu!$C:$C,"&gt;="&amp;DATE(YEAR(TODAY()),MONTH(TODAY()),Q$2),
       DuLieu!$C:$C,"&lt;"&amp;DATE(YEAR(TODAY()),MONTH(TODAY()),Q$2)+1
     )&gt;0,
     "✅",
     "❌"
   )
)</f>
        <v/>
      </c>
      <c r="R18" s="29">
        <f>IF(
   DATE(YEAR(TODAY()),MONTH(TODAY()),R$2) &gt; TODAY(),
   "",
   IF(
     COUNTIFS(
       DuLieu!$B:$B,$B18,
       DuLieu!$C:$C,"&gt;="&amp;DATE(YEAR(TODAY()),MONTH(TODAY()),R$2),
       DuLieu!$C:$C,"&lt;"&amp;DATE(YEAR(TODAY()),MONTH(TODAY()),R$2)+1
     )&gt;0,
     "✅",
     "❌"
   )
)</f>
        <v/>
      </c>
      <c r="S18" s="29">
        <f>IF(
   DATE(YEAR(TODAY()),MONTH(TODAY()),S$2) &gt; TODAY(),
   "",
   IF(
     COUNTIFS(
       DuLieu!$B:$B,$B18,
       DuLieu!$C:$C,"&gt;="&amp;DATE(YEAR(TODAY()),MONTH(TODAY()),S$2),
       DuLieu!$C:$C,"&lt;"&amp;DATE(YEAR(TODAY()),MONTH(TODAY()),S$2)+1
     )&gt;0,
     "✅",
     "❌"
   )
)</f>
        <v/>
      </c>
      <c r="T18" s="29">
        <f>IF(
   DATE(YEAR(TODAY()),MONTH(TODAY()),T$2) &gt; TODAY(),
   "",
   IF(
     COUNTIFS(
       DuLieu!$B:$B,$B18,
       DuLieu!$C:$C,"&gt;="&amp;DATE(YEAR(TODAY()),MONTH(TODAY()),T$2),
       DuLieu!$C:$C,"&lt;"&amp;DATE(YEAR(TODAY()),MONTH(TODAY()),T$2)+1
     )&gt;0,
     "✅",
     "❌"
   )
)</f>
        <v/>
      </c>
      <c r="U18" s="29">
        <f>IF(
   DATE(YEAR(TODAY()),MONTH(TODAY()),U$2) &gt; TODAY(),
   "",
   IF(
     COUNTIFS(
       DuLieu!$B:$B,$B18,
       DuLieu!$C:$C,"&gt;="&amp;DATE(YEAR(TODAY()),MONTH(TODAY()),U$2),
       DuLieu!$C:$C,"&lt;"&amp;DATE(YEAR(TODAY()),MONTH(TODAY()),U$2)+1
     )&gt;0,
     "✅",
     "❌"
   )
)</f>
        <v/>
      </c>
      <c r="V18" s="29">
        <f>IF(
   DATE(YEAR(TODAY()),MONTH(TODAY()),V$2) &gt; TODAY(),
   "",
   IF(
     COUNTIFS(
       DuLieu!$B:$B,$B18,
       DuLieu!$C:$C,"&gt;="&amp;DATE(YEAR(TODAY()),MONTH(TODAY()),V$2),
       DuLieu!$C:$C,"&lt;"&amp;DATE(YEAR(TODAY()),MONTH(TODAY()),V$2)+1
     )&gt;0,
     "✅",
     "❌"
   )
)</f>
        <v/>
      </c>
      <c r="W18" s="29">
        <f>IF(
   DATE(YEAR(TODAY()),MONTH(TODAY()),W$2) &gt; TODAY(),
   "",
   IF(
     COUNTIFS(
       DuLieu!$B:$B,$B18,
       DuLieu!$C:$C,"&gt;="&amp;DATE(YEAR(TODAY()),MONTH(TODAY()),W$2),
       DuLieu!$C:$C,"&lt;"&amp;DATE(YEAR(TODAY()),MONTH(TODAY()),W$2)+1
     )&gt;0,
     "✅",
     "❌"
   )
)</f>
        <v/>
      </c>
      <c r="X18" s="29">
        <f>IF(
   DATE(YEAR(TODAY()),MONTH(TODAY()),X$2) &gt; TODAY(),
   "",
   IF(
     COUNTIFS(
       DuLieu!$B:$B,$B18,
       DuLieu!$C:$C,"&gt;="&amp;DATE(YEAR(TODAY()),MONTH(TODAY()),X$2),
       DuLieu!$C:$C,"&lt;"&amp;DATE(YEAR(TODAY()),MONTH(TODAY()),X$2)+1
     )&gt;0,
     "✅",
     "❌"
   )
)</f>
        <v/>
      </c>
      <c r="Y18" s="29">
        <f>IF(
   DATE(YEAR(TODAY()),MONTH(TODAY()),Y$2) &gt; TODAY(),
   "",
   IF(
     COUNTIFS(
       DuLieu!$B:$B,$B18,
       DuLieu!$C:$C,"&gt;="&amp;DATE(YEAR(TODAY()),MONTH(TODAY()),Y$2),
       DuLieu!$C:$C,"&lt;"&amp;DATE(YEAR(TODAY()),MONTH(TODAY()),Y$2)+1
     )&gt;0,
     "✅",
     "❌"
   )
)</f>
        <v/>
      </c>
      <c r="Z18" s="29">
        <f>IF(
   DATE(YEAR(TODAY()),MONTH(TODAY()),Z$2) &gt; TODAY(),
   "",
   IF(
     COUNTIFS(
       DuLieu!$B:$B,$B18,
       DuLieu!$C:$C,"&gt;="&amp;DATE(YEAR(TODAY()),MONTH(TODAY()),Z$2),
       DuLieu!$C:$C,"&lt;"&amp;DATE(YEAR(TODAY()),MONTH(TODAY()),Z$2)+1
     )&gt;0,
     "✅",
     "❌"
   )
)</f>
        <v/>
      </c>
      <c r="AA18" s="29">
        <f>IF(
   DATE(YEAR(TODAY()),MONTH(TODAY()),AA$2) &gt; TODAY(),
   "",
   IF(
     COUNTIFS(
       DuLieu!$B:$B,$B18,
       DuLieu!$C:$C,"&gt;="&amp;DATE(YEAR(TODAY()),MONTH(TODAY()),AA$2),
       DuLieu!$C:$C,"&lt;"&amp;DATE(YEAR(TODAY()),MONTH(TODAY()),AA$2)+1
     )&gt;0,
     "✅",
     "❌"
   )
)</f>
        <v/>
      </c>
      <c r="AB18" s="29">
        <f>IF(
   DATE(YEAR(TODAY()),MONTH(TODAY()),AB$2) &gt; TODAY(),
   "",
   IF(
     COUNTIFS(
       DuLieu!$B:$B,$B18,
       DuLieu!$C:$C,"&gt;="&amp;DATE(YEAR(TODAY()),MONTH(TODAY()),AB$2),
       DuLieu!$C:$C,"&lt;"&amp;DATE(YEAR(TODAY()),MONTH(TODAY()),AB$2)+1
     )&gt;0,
     "✅",
     "❌"
   )
)</f>
        <v/>
      </c>
      <c r="AC18" s="29">
        <f>IF(
   DATE(YEAR(TODAY()),MONTH(TODAY()),AC$2) &gt; TODAY(),
   "",
   IF(
     COUNTIFS(
       DuLieu!$B:$B,$B18,
       DuLieu!$C:$C,"&gt;="&amp;DATE(YEAR(TODAY()),MONTH(TODAY()),AC$2),
       DuLieu!$C:$C,"&lt;"&amp;DATE(YEAR(TODAY()),MONTH(TODAY()),AC$2)+1
     )&gt;0,
     "✅",
     "❌"
   )
)</f>
        <v/>
      </c>
      <c r="AD18" s="29">
        <f>IF(
   DATE(YEAR(TODAY()),MONTH(TODAY()),AD$2) &gt; TODAY(),
   "",
   IF(
     COUNTIFS(
       DuLieu!$B:$B,$B18,
       DuLieu!$C:$C,"&gt;="&amp;DATE(YEAR(TODAY()),MONTH(TODAY()),AD$2),
       DuLieu!$C:$C,"&lt;"&amp;DATE(YEAR(TODAY()),MONTH(TODAY()),AD$2)+1
     )&gt;0,
     "✅",
     "❌"
   )
)</f>
        <v/>
      </c>
      <c r="AE18" s="29">
        <f>IF(
   DATE(YEAR(TODAY()),MONTH(TODAY()),AE$2) &gt; TODAY(),
   "",
   IF(
     COUNTIFS(
       DuLieu!$B:$B,$B18,
       DuLieu!$C:$C,"&gt;="&amp;DATE(YEAR(TODAY()),MONTH(TODAY()),AE$2),
       DuLieu!$C:$C,"&lt;"&amp;DATE(YEAR(TODAY()),MONTH(TODAY()),AE$2)+1
     )&gt;0,
     "✅",
     "❌"
   )
)</f>
        <v/>
      </c>
      <c r="AF18" s="29">
        <f>IF(
   DATE(YEAR(TODAY()),MONTH(TODAY()),AF$2) &gt; TODAY(),
   "",
   IF(
     COUNTIFS(
       DuLieu!$B:$B,$B18,
       DuLieu!$C:$C,"&gt;="&amp;DATE(YEAR(TODAY()),MONTH(TODAY()),AF$2),
       DuLieu!$C:$C,"&lt;"&amp;DATE(YEAR(TODAY()),MONTH(TODAY()),AF$2)+1
     )&gt;0,
     "✅",
     "❌"
   )
)</f>
        <v/>
      </c>
      <c r="AG18" s="29">
        <f>IF(
   DATE(YEAR(TODAY()),MONTH(TODAY()),AG$2) &gt; TODAY(),
   "",
   IF(
     COUNTIFS(
       DuLieu!$B:$B,$B18,
       DuLieu!$C:$C,"&gt;="&amp;DATE(YEAR(TODAY()),MONTH(TODAY()),AG$2),
       DuLieu!$C:$C,"&lt;"&amp;DATE(YEAR(TODAY()),MONTH(TODAY()),AG$2)+1
     )&gt;0,
     "✅",
     "❌"
   )
)</f>
        <v/>
      </c>
    </row>
    <row r="19" ht="15.75" customHeight="1" s="117">
      <c r="A19" s="112" t="n">
        <v>17</v>
      </c>
      <c r="B19" s="27" t="inlineStr">
        <is>
          <t>Nguyễn Văn Nhật</t>
        </is>
      </c>
      <c r="C19" s="97">
        <f>IF(
   DATE(YEAR(TODAY()),MONTH(TODAY()),C$2) &gt; TODAY(),
   "",
   IF(
     COUNTIFS(
       DuLieu!$B:$B,$B19,
       DuLieu!$C:$C,"&gt;="&amp;DATE(YEAR(TODAY()),MONTH(TODAY()),C$2),
       DuLieu!$C:$C,"&lt;"&amp;DATE(YEAR(TODAY()),MONTH(TODAY()),C$2)+1
     )&gt;0,
     "✅",
     "❌"
   )
)</f>
        <v/>
      </c>
      <c r="D19" s="97">
        <f>IF(
   DATE(YEAR(TODAY()),MONTH(TODAY()),D$2) &gt; TODAY(),
   "",
   IF(
     COUNTIFS(
       DuLieu!$B:$B,$B19,
       DuLieu!$C:$C,"&gt;="&amp;DATE(YEAR(TODAY()),MONTH(TODAY()),D$2),
       DuLieu!$C:$C,"&lt;"&amp;DATE(YEAR(TODAY()),MONTH(TODAY()),D$2)+1
     )&gt;0,
     "✅",
     "❌"
   )
)</f>
        <v/>
      </c>
      <c r="E19" s="97">
        <f>IF(
   DATE(YEAR(TODAY()),MONTH(TODAY()),E$2) &gt; TODAY(),
   "",
   IF(
     COUNTIFS(
       DuLieu!$B:$B,$B19,
       DuLieu!$C:$C,"&gt;="&amp;DATE(YEAR(TODAY()),MONTH(TODAY()),E$2),
       DuLieu!$C:$C,"&lt;"&amp;DATE(YEAR(TODAY()),MONTH(TODAY()),E$2)+1
     )&gt;0,
     "✅",
     "❌"
   )
)</f>
        <v/>
      </c>
      <c r="F19" s="97">
        <f>IF(
   DATE(YEAR(TODAY()),MONTH(TODAY()),F$2) &gt; TODAY(),
   "",
   IF(
     COUNTIFS(
       DuLieu!$B:$B,$B19,
       DuLieu!$C:$C,"&gt;="&amp;DATE(YEAR(TODAY()),MONTH(TODAY()),F$2),
       DuLieu!$C:$C,"&lt;"&amp;DATE(YEAR(TODAY()),MONTH(TODAY()),F$2)+1
     )&gt;0,
     "✅",
     "❌"
   )
)</f>
        <v/>
      </c>
      <c r="G19" s="29">
        <f>IF(
   DATE(YEAR(TODAY()),MONTH(TODAY()),G$2) &gt; TODAY(),
   "",
   IF(
     COUNTIFS(
       DuLieu!$B:$B,$B19,
       DuLieu!$C:$C,"&gt;="&amp;DATE(YEAR(TODAY()),MONTH(TODAY()),G$2),
       DuLieu!$C:$C,"&lt;"&amp;DATE(YEAR(TODAY()),MONTH(TODAY()),G$2)+1
     )&gt;0,
     "✅",
     "❌"
   )
)</f>
        <v/>
      </c>
      <c r="H19" s="29">
        <f>IF(
   DATE(YEAR(TODAY()),MONTH(TODAY()),H$2) &gt; TODAY(),
   "",
   IF(
     COUNTIFS(
       DuLieu!$B:$B,$B19,
       DuLieu!$C:$C,"&gt;="&amp;DATE(YEAR(TODAY()),MONTH(TODAY()),H$2),
       DuLieu!$C:$C,"&lt;"&amp;DATE(YEAR(TODAY()),MONTH(TODAY()),H$2)+1
     )&gt;0,
     "✅",
     "❌"
   )
)</f>
        <v/>
      </c>
      <c r="I19" s="29">
        <f>IF(
   DATE(YEAR(TODAY()),MONTH(TODAY()),I$2) &gt; TODAY(),
   "",
   IF(
     COUNTIFS(
       DuLieu!$B:$B,$B19,
       DuLieu!$C:$C,"&gt;="&amp;DATE(YEAR(TODAY()),MONTH(TODAY()),I$2),
       DuLieu!$C:$C,"&lt;"&amp;DATE(YEAR(TODAY()),MONTH(TODAY()),I$2)+1
     )&gt;0,
     "✅",
     "❌"
   )
)</f>
        <v/>
      </c>
      <c r="J19" s="29">
        <f>IF(
   DATE(YEAR(TODAY()),MONTH(TODAY()),J$2) &gt; TODAY(),
   "",
   IF(
     COUNTIFS(
       DuLieu!$B:$B,$B19,
       DuLieu!$C:$C,"&gt;="&amp;DATE(YEAR(TODAY()),MONTH(TODAY()),J$2),
       DuLieu!$C:$C,"&lt;"&amp;DATE(YEAR(TODAY()),MONTH(TODAY()),J$2)+1
     )&gt;0,
     "✅",
     "❌"
   )
)</f>
        <v/>
      </c>
      <c r="K19" s="29">
        <f>IF(
   DATE(YEAR(TODAY()),MONTH(TODAY()),K$2) &gt; TODAY(),
   "",
   IF(
     COUNTIFS(
       DuLieu!$B:$B,$B19,
       DuLieu!$C:$C,"&gt;="&amp;DATE(YEAR(TODAY()),MONTH(TODAY()),K$2),
       DuLieu!$C:$C,"&lt;"&amp;DATE(YEAR(TODAY()),MONTH(TODAY()),K$2)+1
     )&gt;0,
     "✅",
     "❌"
   )
)</f>
        <v/>
      </c>
      <c r="L19" s="29">
        <f>IF(
   DATE(YEAR(TODAY()),MONTH(TODAY()),L$2) &gt; TODAY(),
   "",
   IF(
     COUNTIFS(
       DuLieu!$B:$B,$B19,
       DuLieu!$C:$C,"&gt;="&amp;DATE(YEAR(TODAY()),MONTH(TODAY()),L$2),
       DuLieu!$C:$C,"&lt;"&amp;DATE(YEAR(TODAY()),MONTH(TODAY()),L$2)+1
     )&gt;0,
     "✅",
     "❌"
   )
)</f>
        <v/>
      </c>
      <c r="M19" s="29">
        <f>IF(
   DATE(YEAR(TODAY()),MONTH(TODAY()),M$2) &gt; TODAY(),
   "",
   IF(
     COUNTIFS(
       DuLieu!$B:$B,$B19,
       DuLieu!$C:$C,"&gt;="&amp;DATE(YEAR(TODAY()),MONTH(TODAY()),M$2),
       DuLieu!$C:$C,"&lt;"&amp;DATE(YEAR(TODAY()),MONTH(TODAY()),M$2)+1
     )&gt;0,
     "✅",
     "❌"
   )
)</f>
        <v/>
      </c>
      <c r="N19" s="29">
        <f>IF(
   DATE(YEAR(TODAY()),MONTH(TODAY()),N$2) &gt; TODAY(),
   "",
   IF(
     COUNTIFS(
       DuLieu!$B:$B,$B19,
       DuLieu!$C:$C,"&gt;="&amp;DATE(YEAR(TODAY()),MONTH(TODAY()),N$2),
       DuLieu!$C:$C,"&lt;"&amp;DATE(YEAR(TODAY()),MONTH(TODAY()),N$2)+1
     )&gt;0,
     "✅",
     "❌"
   )
)</f>
        <v/>
      </c>
      <c r="O19" s="29">
        <f>IF(
   DATE(YEAR(TODAY()),MONTH(TODAY()),O$2) &gt; TODAY(),
   "",
   IF(
     COUNTIFS(
       DuLieu!$B:$B,$B19,
       DuLieu!$C:$C,"&gt;="&amp;DATE(YEAR(TODAY()),MONTH(TODAY()),O$2),
       DuLieu!$C:$C,"&lt;"&amp;DATE(YEAR(TODAY()),MONTH(TODAY()),O$2)+1
     )&gt;0,
     "✅",
     "❌"
   )
)</f>
        <v/>
      </c>
      <c r="P19" s="29">
        <f>IF(
   DATE(YEAR(TODAY()),MONTH(TODAY()),P$2) &gt; TODAY(),
   "",
   IF(
     COUNTIFS(
       DuLieu!$B:$B,$B19,
       DuLieu!$C:$C,"&gt;="&amp;DATE(YEAR(TODAY()),MONTH(TODAY()),P$2),
       DuLieu!$C:$C,"&lt;"&amp;DATE(YEAR(TODAY()),MONTH(TODAY()),P$2)+1
     )&gt;0,
     "✅",
     "❌"
   )
)</f>
        <v/>
      </c>
      <c r="Q19" s="29">
        <f>IF(
   DATE(YEAR(TODAY()),MONTH(TODAY()),Q$2) &gt; TODAY(),
   "",
   IF(
     COUNTIFS(
       DuLieu!$B:$B,$B19,
       DuLieu!$C:$C,"&gt;="&amp;DATE(YEAR(TODAY()),MONTH(TODAY()),Q$2),
       DuLieu!$C:$C,"&lt;"&amp;DATE(YEAR(TODAY()),MONTH(TODAY()),Q$2)+1
     )&gt;0,
     "✅",
     "❌"
   )
)</f>
        <v/>
      </c>
      <c r="R19" s="29">
        <f>IF(
   DATE(YEAR(TODAY()),MONTH(TODAY()),R$2) &gt; TODAY(),
   "",
   IF(
     COUNTIFS(
       DuLieu!$B:$B,$B19,
       DuLieu!$C:$C,"&gt;="&amp;DATE(YEAR(TODAY()),MONTH(TODAY()),R$2),
       DuLieu!$C:$C,"&lt;"&amp;DATE(YEAR(TODAY()),MONTH(TODAY()),R$2)+1
     )&gt;0,
     "✅",
     "❌"
   )
)</f>
        <v/>
      </c>
      <c r="S19" s="29">
        <f>IF(
   DATE(YEAR(TODAY()),MONTH(TODAY()),S$2) &gt; TODAY(),
   "",
   IF(
     COUNTIFS(
       DuLieu!$B:$B,$B19,
       DuLieu!$C:$C,"&gt;="&amp;DATE(YEAR(TODAY()),MONTH(TODAY()),S$2),
       DuLieu!$C:$C,"&lt;"&amp;DATE(YEAR(TODAY()),MONTH(TODAY()),S$2)+1
     )&gt;0,
     "✅",
     "❌"
   )
)</f>
        <v/>
      </c>
      <c r="T19" s="29">
        <f>IF(
   DATE(YEAR(TODAY()),MONTH(TODAY()),T$2) &gt; TODAY(),
   "",
   IF(
     COUNTIFS(
       DuLieu!$B:$B,$B19,
       DuLieu!$C:$C,"&gt;="&amp;DATE(YEAR(TODAY()),MONTH(TODAY()),T$2),
       DuLieu!$C:$C,"&lt;"&amp;DATE(YEAR(TODAY()),MONTH(TODAY()),T$2)+1
     )&gt;0,
     "✅",
     "❌"
   )
)</f>
        <v/>
      </c>
      <c r="U19" s="29">
        <f>IF(
   DATE(YEAR(TODAY()),MONTH(TODAY()),U$2) &gt; TODAY(),
   "",
   IF(
     COUNTIFS(
       DuLieu!$B:$B,$B19,
       DuLieu!$C:$C,"&gt;="&amp;DATE(YEAR(TODAY()),MONTH(TODAY()),U$2),
       DuLieu!$C:$C,"&lt;"&amp;DATE(YEAR(TODAY()),MONTH(TODAY()),U$2)+1
     )&gt;0,
     "✅",
     "❌"
   )
)</f>
        <v/>
      </c>
      <c r="V19" s="29">
        <f>IF(
   DATE(YEAR(TODAY()),MONTH(TODAY()),V$2) &gt; TODAY(),
   "",
   IF(
     COUNTIFS(
       DuLieu!$B:$B,$B19,
       DuLieu!$C:$C,"&gt;="&amp;DATE(YEAR(TODAY()),MONTH(TODAY()),V$2),
       DuLieu!$C:$C,"&lt;"&amp;DATE(YEAR(TODAY()),MONTH(TODAY()),V$2)+1
     )&gt;0,
     "✅",
     "❌"
   )
)</f>
        <v/>
      </c>
      <c r="W19" s="29">
        <f>IF(
   DATE(YEAR(TODAY()),MONTH(TODAY()),W$2) &gt; TODAY(),
   "",
   IF(
     COUNTIFS(
       DuLieu!$B:$B,$B19,
       DuLieu!$C:$C,"&gt;="&amp;DATE(YEAR(TODAY()),MONTH(TODAY()),W$2),
       DuLieu!$C:$C,"&lt;"&amp;DATE(YEAR(TODAY()),MONTH(TODAY()),W$2)+1
     )&gt;0,
     "✅",
     "❌"
   )
)</f>
        <v/>
      </c>
      <c r="X19" s="29">
        <f>IF(
   DATE(YEAR(TODAY()),MONTH(TODAY()),X$2) &gt; TODAY(),
   "",
   IF(
     COUNTIFS(
       DuLieu!$B:$B,$B19,
       DuLieu!$C:$C,"&gt;="&amp;DATE(YEAR(TODAY()),MONTH(TODAY()),X$2),
       DuLieu!$C:$C,"&lt;"&amp;DATE(YEAR(TODAY()),MONTH(TODAY()),X$2)+1
     )&gt;0,
     "✅",
     "❌"
   )
)</f>
        <v/>
      </c>
      <c r="Y19" s="29">
        <f>IF(
   DATE(YEAR(TODAY()),MONTH(TODAY()),Y$2) &gt; TODAY(),
   "",
   IF(
     COUNTIFS(
       DuLieu!$B:$B,$B19,
       DuLieu!$C:$C,"&gt;="&amp;DATE(YEAR(TODAY()),MONTH(TODAY()),Y$2),
       DuLieu!$C:$C,"&lt;"&amp;DATE(YEAR(TODAY()),MONTH(TODAY()),Y$2)+1
     )&gt;0,
     "✅",
     "❌"
   )
)</f>
        <v/>
      </c>
      <c r="Z19" s="29">
        <f>IF(
   DATE(YEAR(TODAY()),MONTH(TODAY()),Z$2) &gt; TODAY(),
   "",
   IF(
     COUNTIFS(
       DuLieu!$B:$B,$B19,
       DuLieu!$C:$C,"&gt;="&amp;DATE(YEAR(TODAY()),MONTH(TODAY()),Z$2),
       DuLieu!$C:$C,"&lt;"&amp;DATE(YEAR(TODAY()),MONTH(TODAY()),Z$2)+1
     )&gt;0,
     "✅",
     "❌"
   )
)</f>
        <v/>
      </c>
      <c r="AA19" s="29">
        <f>IF(
   DATE(YEAR(TODAY()),MONTH(TODAY()),AA$2) &gt; TODAY(),
   "",
   IF(
     COUNTIFS(
       DuLieu!$B:$B,$B19,
       DuLieu!$C:$C,"&gt;="&amp;DATE(YEAR(TODAY()),MONTH(TODAY()),AA$2),
       DuLieu!$C:$C,"&lt;"&amp;DATE(YEAR(TODAY()),MONTH(TODAY()),AA$2)+1
     )&gt;0,
     "✅",
     "❌"
   )
)</f>
        <v/>
      </c>
      <c r="AB19" s="29">
        <f>IF(
   DATE(YEAR(TODAY()),MONTH(TODAY()),AB$2) &gt; TODAY(),
   "",
   IF(
     COUNTIFS(
       DuLieu!$B:$B,$B19,
       DuLieu!$C:$C,"&gt;="&amp;DATE(YEAR(TODAY()),MONTH(TODAY()),AB$2),
       DuLieu!$C:$C,"&lt;"&amp;DATE(YEAR(TODAY()),MONTH(TODAY()),AB$2)+1
     )&gt;0,
     "✅",
     "❌"
   )
)</f>
        <v/>
      </c>
      <c r="AC19" s="29">
        <f>IF(
   DATE(YEAR(TODAY()),MONTH(TODAY()),AC$2) &gt; TODAY(),
   "",
   IF(
     COUNTIFS(
       DuLieu!$B:$B,$B19,
       DuLieu!$C:$C,"&gt;="&amp;DATE(YEAR(TODAY()),MONTH(TODAY()),AC$2),
       DuLieu!$C:$C,"&lt;"&amp;DATE(YEAR(TODAY()),MONTH(TODAY()),AC$2)+1
     )&gt;0,
     "✅",
     "❌"
   )
)</f>
        <v/>
      </c>
      <c r="AD19" s="29">
        <f>IF(
   DATE(YEAR(TODAY()),MONTH(TODAY()),AD$2) &gt; TODAY(),
   "",
   IF(
     COUNTIFS(
       DuLieu!$B:$B,$B19,
       DuLieu!$C:$C,"&gt;="&amp;DATE(YEAR(TODAY()),MONTH(TODAY()),AD$2),
       DuLieu!$C:$C,"&lt;"&amp;DATE(YEAR(TODAY()),MONTH(TODAY()),AD$2)+1
     )&gt;0,
     "✅",
     "❌"
   )
)</f>
        <v/>
      </c>
      <c r="AE19" s="29">
        <f>IF(
   DATE(YEAR(TODAY()),MONTH(TODAY()),AE$2) &gt; TODAY(),
   "",
   IF(
     COUNTIFS(
       DuLieu!$B:$B,$B19,
       DuLieu!$C:$C,"&gt;="&amp;DATE(YEAR(TODAY()),MONTH(TODAY()),AE$2),
       DuLieu!$C:$C,"&lt;"&amp;DATE(YEAR(TODAY()),MONTH(TODAY()),AE$2)+1
     )&gt;0,
     "✅",
     "❌"
   )
)</f>
        <v/>
      </c>
      <c r="AF19" s="29">
        <f>IF(
   DATE(YEAR(TODAY()),MONTH(TODAY()),AF$2) &gt; TODAY(),
   "",
   IF(
     COUNTIFS(
       DuLieu!$B:$B,$B19,
       DuLieu!$C:$C,"&gt;="&amp;DATE(YEAR(TODAY()),MONTH(TODAY()),AF$2),
       DuLieu!$C:$C,"&lt;"&amp;DATE(YEAR(TODAY()),MONTH(TODAY()),AF$2)+1
     )&gt;0,
     "✅",
     "❌"
   )
)</f>
        <v/>
      </c>
      <c r="AG19" s="29">
        <f>IF(
   DATE(YEAR(TODAY()),MONTH(TODAY()),AG$2) &gt; TODAY(),
   "",
   IF(
     COUNTIFS(
       DuLieu!$B:$B,$B19,
       DuLieu!$C:$C,"&gt;="&amp;DATE(YEAR(TODAY()),MONTH(TODAY()),AG$2),
       DuLieu!$C:$C,"&lt;"&amp;DATE(YEAR(TODAY()),MONTH(TODAY()),AG$2)+1
     )&gt;0,
     "✅",
     "❌"
   )
)</f>
        <v/>
      </c>
    </row>
    <row r="20" ht="15.75" customHeight="1" s="117">
      <c r="A20" s="112" t="n">
        <v>18</v>
      </c>
      <c r="B20" s="27" t="inlineStr">
        <is>
          <t>Phan Ngọc Sang</t>
        </is>
      </c>
      <c r="C20" s="97">
        <f>IF(
   DATE(YEAR(TODAY()),MONTH(TODAY()),C$2) &gt; TODAY(),
   "",
   IF(
     COUNTIFS(
       DuLieu!$B:$B,$B20,
       DuLieu!$C:$C,"&gt;="&amp;DATE(YEAR(TODAY()),MONTH(TODAY()),C$2),
       DuLieu!$C:$C,"&lt;"&amp;DATE(YEAR(TODAY()),MONTH(TODAY()),C$2)+1
     )&gt;0,
     "✅",
     "❌"
   )
)</f>
        <v/>
      </c>
      <c r="D20" s="97">
        <f>IF(
   DATE(YEAR(TODAY()),MONTH(TODAY()),D$2) &gt; TODAY(),
   "",
   IF(
     COUNTIFS(
       DuLieu!$B:$B,$B20,
       DuLieu!$C:$C,"&gt;="&amp;DATE(YEAR(TODAY()),MONTH(TODAY()),D$2),
       DuLieu!$C:$C,"&lt;"&amp;DATE(YEAR(TODAY()),MONTH(TODAY()),D$2)+1
     )&gt;0,
     "✅",
     "❌"
   )
)</f>
        <v/>
      </c>
      <c r="E20" s="97">
        <f>IF(
   DATE(YEAR(TODAY()),MONTH(TODAY()),E$2) &gt; TODAY(),
   "",
   IF(
     COUNTIFS(
       DuLieu!$B:$B,$B20,
       DuLieu!$C:$C,"&gt;="&amp;DATE(YEAR(TODAY()),MONTH(TODAY()),E$2),
       DuLieu!$C:$C,"&lt;"&amp;DATE(YEAR(TODAY()),MONTH(TODAY()),E$2)+1
     )&gt;0,
     "✅",
     "❌"
   )
)</f>
        <v/>
      </c>
      <c r="F20" s="97">
        <f>IF(
   DATE(YEAR(TODAY()),MONTH(TODAY()),F$2) &gt; TODAY(),
   "",
   IF(
     COUNTIFS(
       DuLieu!$B:$B,$B20,
       DuLieu!$C:$C,"&gt;="&amp;DATE(YEAR(TODAY()),MONTH(TODAY()),F$2),
       DuLieu!$C:$C,"&lt;"&amp;DATE(YEAR(TODAY()),MONTH(TODAY()),F$2)+1
     )&gt;0,
     "✅",
     "❌"
   )
)</f>
        <v/>
      </c>
      <c r="G20" s="29">
        <f>IF(
   DATE(YEAR(TODAY()),MONTH(TODAY()),G$2) &gt; TODAY(),
   "",
   IF(
     COUNTIFS(
       DuLieu!$B:$B,$B20,
       DuLieu!$C:$C,"&gt;="&amp;DATE(YEAR(TODAY()),MONTH(TODAY()),G$2),
       DuLieu!$C:$C,"&lt;"&amp;DATE(YEAR(TODAY()),MONTH(TODAY()),G$2)+1
     )&gt;0,
     "✅",
     "❌"
   )
)</f>
        <v/>
      </c>
      <c r="H20" s="29">
        <f>IF(
   DATE(YEAR(TODAY()),MONTH(TODAY()),H$2) &gt; TODAY(),
   "",
   IF(
     COUNTIFS(
       DuLieu!$B:$B,$B20,
       DuLieu!$C:$C,"&gt;="&amp;DATE(YEAR(TODAY()),MONTH(TODAY()),H$2),
       DuLieu!$C:$C,"&lt;"&amp;DATE(YEAR(TODAY()),MONTH(TODAY()),H$2)+1
     )&gt;0,
     "✅",
     "❌"
   )
)</f>
        <v/>
      </c>
      <c r="I20" s="29">
        <f>IF(
   DATE(YEAR(TODAY()),MONTH(TODAY()),I$2) &gt; TODAY(),
   "",
   IF(
     COUNTIFS(
       DuLieu!$B:$B,$B20,
       DuLieu!$C:$C,"&gt;="&amp;DATE(YEAR(TODAY()),MONTH(TODAY()),I$2),
       DuLieu!$C:$C,"&lt;"&amp;DATE(YEAR(TODAY()),MONTH(TODAY()),I$2)+1
     )&gt;0,
     "✅",
     "❌"
   )
)</f>
        <v/>
      </c>
      <c r="J20" s="29">
        <f>IF(
   DATE(YEAR(TODAY()),MONTH(TODAY()),J$2) &gt; TODAY(),
   "",
   IF(
     COUNTIFS(
       DuLieu!$B:$B,$B20,
       DuLieu!$C:$C,"&gt;="&amp;DATE(YEAR(TODAY()),MONTH(TODAY()),J$2),
       DuLieu!$C:$C,"&lt;"&amp;DATE(YEAR(TODAY()),MONTH(TODAY()),J$2)+1
     )&gt;0,
     "✅",
     "❌"
   )
)</f>
        <v/>
      </c>
      <c r="K20" s="29">
        <f>IF(
   DATE(YEAR(TODAY()),MONTH(TODAY()),K$2) &gt; TODAY(),
   "",
   IF(
     COUNTIFS(
       DuLieu!$B:$B,$B20,
       DuLieu!$C:$C,"&gt;="&amp;DATE(YEAR(TODAY()),MONTH(TODAY()),K$2),
       DuLieu!$C:$C,"&lt;"&amp;DATE(YEAR(TODAY()),MONTH(TODAY()),K$2)+1
     )&gt;0,
     "✅",
     "❌"
   )
)</f>
        <v/>
      </c>
      <c r="L20" s="29">
        <f>IF(
   DATE(YEAR(TODAY()),MONTH(TODAY()),L$2) &gt; TODAY(),
   "",
   IF(
     COUNTIFS(
       DuLieu!$B:$B,$B20,
       DuLieu!$C:$C,"&gt;="&amp;DATE(YEAR(TODAY()),MONTH(TODAY()),L$2),
       DuLieu!$C:$C,"&lt;"&amp;DATE(YEAR(TODAY()),MONTH(TODAY()),L$2)+1
     )&gt;0,
     "✅",
     "❌"
   )
)</f>
        <v/>
      </c>
      <c r="M20" s="29">
        <f>IF(
   DATE(YEAR(TODAY()),MONTH(TODAY()),M$2) &gt; TODAY(),
   "",
   IF(
     COUNTIFS(
       DuLieu!$B:$B,$B20,
       DuLieu!$C:$C,"&gt;="&amp;DATE(YEAR(TODAY()),MONTH(TODAY()),M$2),
       DuLieu!$C:$C,"&lt;"&amp;DATE(YEAR(TODAY()),MONTH(TODAY()),M$2)+1
     )&gt;0,
     "✅",
     "❌"
   )
)</f>
        <v/>
      </c>
      <c r="N20" s="29">
        <f>IF(
   DATE(YEAR(TODAY()),MONTH(TODAY()),N$2) &gt; TODAY(),
   "",
   IF(
     COUNTIFS(
       DuLieu!$B:$B,$B20,
       DuLieu!$C:$C,"&gt;="&amp;DATE(YEAR(TODAY()),MONTH(TODAY()),N$2),
       DuLieu!$C:$C,"&lt;"&amp;DATE(YEAR(TODAY()),MONTH(TODAY()),N$2)+1
     )&gt;0,
     "✅",
     "❌"
   )
)</f>
        <v/>
      </c>
      <c r="O20" s="29">
        <f>IF(
   DATE(YEAR(TODAY()),MONTH(TODAY()),O$2) &gt; TODAY(),
   "",
   IF(
     COUNTIFS(
       DuLieu!$B:$B,$B20,
       DuLieu!$C:$C,"&gt;="&amp;DATE(YEAR(TODAY()),MONTH(TODAY()),O$2),
       DuLieu!$C:$C,"&lt;"&amp;DATE(YEAR(TODAY()),MONTH(TODAY()),O$2)+1
     )&gt;0,
     "✅",
     "❌"
   )
)</f>
        <v/>
      </c>
      <c r="P20" s="29">
        <f>IF(
   DATE(YEAR(TODAY()),MONTH(TODAY()),P$2) &gt; TODAY(),
   "",
   IF(
     COUNTIFS(
       DuLieu!$B:$B,$B20,
       DuLieu!$C:$C,"&gt;="&amp;DATE(YEAR(TODAY()),MONTH(TODAY()),P$2),
       DuLieu!$C:$C,"&lt;"&amp;DATE(YEAR(TODAY()),MONTH(TODAY()),P$2)+1
     )&gt;0,
     "✅",
     "❌"
   )
)</f>
        <v/>
      </c>
      <c r="Q20" s="29">
        <f>IF(
   DATE(YEAR(TODAY()),MONTH(TODAY()),Q$2) &gt; TODAY(),
   "",
   IF(
     COUNTIFS(
       DuLieu!$B:$B,$B20,
       DuLieu!$C:$C,"&gt;="&amp;DATE(YEAR(TODAY()),MONTH(TODAY()),Q$2),
       DuLieu!$C:$C,"&lt;"&amp;DATE(YEAR(TODAY()),MONTH(TODAY()),Q$2)+1
     )&gt;0,
     "✅",
     "❌"
   )
)</f>
        <v/>
      </c>
      <c r="R20" s="29">
        <f>IF(
   DATE(YEAR(TODAY()),MONTH(TODAY()),R$2) &gt; TODAY(),
   "",
   IF(
     COUNTIFS(
       DuLieu!$B:$B,$B20,
       DuLieu!$C:$C,"&gt;="&amp;DATE(YEAR(TODAY()),MONTH(TODAY()),R$2),
       DuLieu!$C:$C,"&lt;"&amp;DATE(YEAR(TODAY()),MONTH(TODAY()),R$2)+1
     )&gt;0,
     "✅",
     "❌"
   )
)</f>
        <v/>
      </c>
      <c r="S20" s="29">
        <f>IF(
   DATE(YEAR(TODAY()),MONTH(TODAY()),S$2) &gt; TODAY(),
   "",
   IF(
     COUNTIFS(
       DuLieu!$B:$B,$B20,
       DuLieu!$C:$C,"&gt;="&amp;DATE(YEAR(TODAY()),MONTH(TODAY()),S$2),
       DuLieu!$C:$C,"&lt;"&amp;DATE(YEAR(TODAY()),MONTH(TODAY()),S$2)+1
     )&gt;0,
     "✅",
     "❌"
   )
)</f>
        <v/>
      </c>
      <c r="T20" s="29">
        <f>IF(
   DATE(YEAR(TODAY()),MONTH(TODAY()),T$2) &gt; TODAY(),
   "",
   IF(
     COUNTIFS(
       DuLieu!$B:$B,$B20,
       DuLieu!$C:$C,"&gt;="&amp;DATE(YEAR(TODAY()),MONTH(TODAY()),T$2),
       DuLieu!$C:$C,"&lt;"&amp;DATE(YEAR(TODAY()),MONTH(TODAY()),T$2)+1
     )&gt;0,
     "✅",
     "❌"
   )
)</f>
        <v/>
      </c>
      <c r="U20" s="29">
        <f>IF(
   DATE(YEAR(TODAY()),MONTH(TODAY()),U$2) &gt; TODAY(),
   "",
   IF(
     COUNTIFS(
       DuLieu!$B:$B,$B20,
       DuLieu!$C:$C,"&gt;="&amp;DATE(YEAR(TODAY()),MONTH(TODAY()),U$2),
       DuLieu!$C:$C,"&lt;"&amp;DATE(YEAR(TODAY()),MONTH(TODAY()),U$2)+1
     )&gt;0,
     "✅",
     "❌"
   )
)</f>
        <v/>
      </c>
      <c r="V20" s="29">
        <f>IF(
   DATE(YEAR(TODAY()),MONTH(TODAY()),V$2) &gt; TODAY(),
   "",
   IF(
     COUNTIFS(
       DuLieu!$B:$B,$B20,
       DuLieu!$C:$C,"&gt;="&amp;DATE(YEAR(TODAY()),MONTH(TODAY()),V$2),
       DuLieu!$C:$C,"&lt;"&amp;DATE(YEAR(TODAY()),MONTH(TODAY()),V$2)+1
     )&gt;0,
     "✅",
     "❌"
   )
)</f>
        <v/>
      </c>
      <c r="W20" s="29">
        <f>IF(
   DATE(YEAR(TODAY()),MONTH(TODAY()),W$2) &gt; TODAY(),
   "",
   IF(
     COUNTIFS(
       DuLieu!$B:$B,$B20,
       DuLieu!$C:$C,"&gt;="&amp;DATE(YEAR(TODAY()),MONTH(TODAY()),W$2),
       DuLieu!$C:$C,"&lt;"&amp;DATE(YEAR(TODAY()),MONTH(TODAY()),W$2)+1
     )&gt;0,
     "✅",
     "❌"
   )
)</f>
        <v/>
      </c>
      <c r="X20" s="29">
        <f>IF(
   DATE(YEAR(TODAY()),MONTH(TODAY()),X$2) &gt; TODAY(),
   "",
   IF(
     COUNTIFS(
       DuLieu!$B:$B,$B20,
       DuLieu!$C:$C,"&gt;="&amp;DATE(YEAR(TODAY()),MONTH(TODAY()),X$2),
       DuLieu!$C:$C,"&lt;"&amp;DATE(YEAR(TODAY()),MONTH(TODAY()),X$2)+1
     )&gt;0,
     "✅",
     "❌"
   )
)</f>
        <v/>
      </c>
      <c r="Y20" s="29">
        <f>IF(
   DATE(YEAR(TODAY()),MONTH(TODAY()),Y$2) &gt; TODAY(),
   "",
   IF(
     COUNTIFS(
       DuLieu!$B:$B,$B20,
       DuLieu!$C:$C,"&gt;="&amp;DATE(YEAR(TODAY()),MONTH(TODAY()),Y$2),
       DuLieu!$C:$C,"&lt;"&amp;DATE(YEAR(TODAY()),MONTH(TODAY()),Y$2)+1
     )&gt;0,
     "✅",
     "❌"
   )
)</f>
        <v/>
      </c>
      <c r="Z20" s="29">
        <f>IF(
   DATE(YEAR(TODAY()),MONTH(TODAY()),Z$2) &gt; TODAY(),
   "",
   IF(
     COUNTIFS(
       DuLieu!$B:$B,$B20,
       DuLieu!$C:$C,"&gt;="&amp;DATE(YEAR(TODAY()),MONTH(TODAY()),Z$2),
       DuLieu!$C:$C,"&lt;"&amp;DATE(YEAR(TODAY()),MONTH(TODAY()),Z$2)+1
     )&gt;0,
     "✅",
     "❌"
   )
)</f>
        <v/>
      </c>
      <c r="AA20" s="29">
        <f>IF(
   DATE(YEAR(TODAY()),MONTH(TODAY()),AA$2) &gt; TODAY(),
   "",
   IF(
     COUNTIFS(
       DuLieu!$B:$B,$B20,
       DuLieu!$C:$C,"&gt;="&amp;DATE(YEAR(TODAY()),MONTH(TODAY()),AA$2),
       DuLieu!$C:$C,"&lt;"&amp;DATE(YEAR(TODAY()),MONTH(TODAY()),AA$2)+1
     )&gt;0,
     "✅",
     "❌"
   )
)</f>
        <v/>
      </c>
      <c r="AB20" s="29">
        <f>IF(
   DATE(YEAR(TODAY()),MONTH(TODAY()),AB$2) &gt; TODAY(),
   "",
   IF(
     COUNTIFS(
       DuLieu!$B:$B,$B20,
       DuLieu!$C:$C,"&gt;="&amp;DATE(YEAR(TODAY()),MONTH(TODAY()),AB$2),
       DuLieu!$C:$C,"&lt;"&amp;DATE(YEAR(TODAY()),MONTH(TODAY()),AB$2)+1
     )&gt;0,
     "✅",
     "❌"
   )
)</f>
        <v/>
      </c>
      <c r="AC20" s="29">
        <f>IF(
   DATE(YEAR(TODAY()),MONTH(TODAY()),AC$2) &gt; TODAY(),
   "",
   IF(
     COUNTIFS(
       DuLieu!$B:$B,$B20,
       DuLieu!$C:$C,"&gt;="&amp;DATE(YEAR(TODAY()),MONTH(TODAY()),AC$2),
       DuLieu!$C:$C,"&lt;"&amp;DATE(YEAR(TODAY()),MONTH(TODAY()),AC$2)+1
     )&gt;0,
     "✅",
     "❌"
   )
)</f>
        <v/>
      </c>
      <c r="AD20" s="29">
        <f>IF(
   DATE(YEAR(TODAY()),MONTH(TODAY()),AD$2) &gt; TODAY(),
   "",
   IF(
     COUNTIFS(
       DuLieu!$B:$B,$B20,
       DuLieu!$C:$C,"&gt;="&amp;DATE(YEAR(TODAY()),MONTH(TODAY()),AD$2),
       DuLieu!$C:$C,"&lt;"&amp;DATE(YEAR(TODAY()),MONTH(TODAY()),AD$2)+1
     )&gt;0,
     "✅",
     "❌"
   )
)</f>
        <v/>
      </c>
      <c r="AE20" s="29">
        <f>IF(
   DATE(YEAR(TODAY()),MONTH(TODAY()),AE$2) &gt; TODAY(),
   "",
   IF(
     COUNTIFS(
       DuLieu!$B:$B,$B20,
       DuLieu!$C:$C,"&gt;="&amp;DATE(YEAR(TODAY()),MONTH(TODAY()),AE$2),
       DuLieu!$C:$C,"&lt;"&amp;DATE(YEAR(TODAY()),MONTH(TODAY()),AE$2)+1
     )&gt;0,
     "✅",
     "❌"
   )
)</f>
        <v/>
      </c>
      <c r="AF20" s="29">
        <f>IF(
   DATE(YEAR(TODAY()),MONTH(TODAY()),AF$2) &gt; TODAY(),
   "",
   IF(
     COUNTIFS(
       DuLieu!$B:$B,$B20,
       DuLieu!$C:$C,"&gt;="&amp;DATE(YEAR(TODAY()),MONTH(TODAY()),AF$2),
       DuLieu!$C:$C,"&lt;"&amp;DATE(YEAR(TODAY()),MONTH(TODAY()),AF$2)+1
     )&gt;0,
     "✅",
     "❌"
   )
)</f>
        <v/>
      </c>
      <c r="AG20" s="29">
        <f>IF(
   DATE(YEAR(TODAY()),MONTH(TODAY()),AG$2) &gt; TODAY(),
   "",
   IF(
     COUNTIFS(
       DuLieu!$B:$B,$B20,
       DuLieu!$C:$C,"&gt;="&amp;DATE(YEAR(TODAY()),MONTH(TODAY()),AG$2),
       DuLieu!$C:$C,"&lt;"&amp;DATE(YEAR(TODAY()),MONTH(TODAY()),AG$2)+1
     )&gt;0,
     "✅",
     "❌"
   )
)</f>
        <v/>
      </c>
    </row>
    <row r="21" ht="15.75" customHeight="1" s="117">
      <c r="A21" s="112" t="n">
        <v>19</v>
      </c>
      <c r="B21" s="27" t="inlineStr">
        <is>
          <t>Phan Thành Thái</t>
        </is>
      </c>
      <c r="C21" s="97">
        <f>IF(
   DATE(YEAR(TODAY()),MONTH(TODAY()),C$2) &gt; TODAY(),
   "",
   IF(
     COUNTIFS(
       DuLieu!$B:$B,$B21,
       DuLieu!$C:$C,"&gt;="&amp;DATE(YEAR(TODAY()),MONTH(TODAY()),C$2),
       DuLieu!$C:$C,"&lt;"&amp;DATE(YEAR(TODAY()),MONTH(TODAY()),C$2)+1
     )&gt;0,
     "✅",
     "❌"
   )
)</f>
        <v/>
      </c>
      <c r="D21" s="97">
        <f>IF(
   DATE(YEAR(TODAY()),MONTH(TODAY()),D$2) &gt; TODAY(),
   "",
   IF(
     COUNTIFS(
       DuLieu!$B:$B,$B21,
       DuLieu!$C:$C,"&gt;="&amp;DATE(YEAR(TODAY()),MONTH(TODAY()),D$2),
       DuLieu!$C:$C,"&lt;"&amp;DATE(YEAR(TODAY()),MONTH(TODAY()),D$2)+1
     )&gt;0,
     "✅",
     "❌"
   )
)</f>
        <v/>
      </c>
      <c r="E21" s="97">
        <f>IF(
   DATE(YEAR(TODAY()),MONTH(TODAY()),E$2) &gt; TODAY(),
   "",
   IF(
     COUNTIFS(
       DuLieu!$B:$B,$B21,
       DuLieu!$C:$C,"&gt;="&amp;DATE(YEAR(TODAY()),MONTH(TODAY()),E$2),
       DuLieu!$C:$C,"&lt;"&amp;DATE(YEAR(TODAY()),MONTH(TODAY()),E$2)+1
     )&gt;0,
     "✅",
     "❌"
   )
)</f>
        <v/>
      </c>
      <c r="F21" s="97">
        <f>IF(
   DATE(YEAR(TODAY()),MONTH(TODAY()),F$2) &gt; TODAY(),
   "",
   IF(
     COUNTIFS(
       DuLieu!$B:$B,$B21,
       DuLieu!$C:$C,"&gt;="&amp;DATE(YEAR(TODAY()),MONTH(TODAY()),F$2),
       DuLieu!$C:$C,"&lt;"&amp;DATE(YEAR(TODAY()),MONTH(TODAY()),F$2)+1
     )&gt;0,
     "✅",
     "❌"
   )
)</f>
        <v/>
      </c>
      <c r="G21" s="29">
        <f>IF(
   DATE(YEAR(TODAY()),MONTH(TODAY()),G$2) &gt; TODAY(),
   "",
   IF(
     COUNTIFS(
       DuLieu!$B:$B,$B21,
       DuLieu!$C:$C,"&gt;="&amp;DATE(YEAR(TODAY()),MONTH(TODAY()),G$2),
       DuLieu!$C:$C,"&lt;"&amp;DATE(YEAR(TODAY()),MONTH(TODAY()),G$2)+1
     )&gt;0,
     "✅",
     "❌"
   )
)</f>
        <v/>
      </c>
      <c r="H21" s="29">
        <f>IF(
   DATE(YEAR(TODAY()),MONTH(TODAY()),H$2) &gt; TODAY(),
   "",
   IF(
     COUNTIFS(
       DuLieu!$B:$B,$B21,
       DuLieu!$C:$C,"&gt;="&amp;DATE(YEAR(TODAY()),MONTH(TODAY()),H$2),
       DuLieu!$C:$C,"&lt;"&amp;DATE(YEAR(TODAY()),MONTH(TODAY()),H$2)+1
     )&gt;0,
     "✅",
     "❌"
   )
)</f>
        <v/>
      </c>
      <c r="I21" s="29">
        <f>IF(
   DATE(YEAR(TODAY()),MONTH(TODAY()),I$2) &gt; TODAY(),
   "",
   IF(
     COUNTIFS(
       DuLieu!$B:$B,$B21,
       DuLieu!$C:$C,"&gt;="&amp;DATE(YEAR(TODAY()),MONTH(TODAY()),I$2),
       DuLieu!$C:$C,"&lt;"&amp;DATE(YEAR(TODAY()),MONTH(TODAY()),I$2)+1
     )&gt;0,
     "✅",
     "❌"
   )
)</f>
        <v/>
      </c>
      <c r="J21" s="29">
        <f>IF(
   DATE(YEAR(TODAY()),MONTH(TODAY()),J$2) &gt; TODAY(),
   "",
   IF(
     COUNTIFS(
       DuLieu!$B:$B,$B21,
       DuLieu!$C:$C,"&gt;="&amp;DATE(YEAR(TODAY()),MONTH(TODAY()),J$2),
       DuLieu!$C:$C,"&lt;"&amp;DATE(YEAR(TODAY()),MONTH(TODAY()),J$2)+1
     )&gt;0,
     "✅",
     "❌"
   )
)</f>
        <v/>
      </c>
      <c r="K21" s="29">
        <f>IF(
   DATE(YEAR(TODAY()),MONTH(TODAY()),K$2) &gt; TODAY(),
   "",
   IF(
     COUNTIFS(
       DuLieu!$B:$B,$B21,
       DuLieu!$C:$C,"&gt;="&amp;DATE(YEAR(TODAY()),MONTH(TODAY()),K$2),
       DuLieu!$C:$C,"&lt;"&amp;DATE(YEAR(TODAY()),MONTH(TODAY()),K$2)+1
     )&gt;0,
     "✅",
     "❌"
   )
)</f>
        <v/>
      </c>
      <c r="L21" s="29">
        <f>IF(
   DATE(YEAR(TODAY()),MONTH(TODAY()),L$2) &gt; TODAY(),
   "",
   IF(
     COUNTIFS(
       DuLieu!$B:$B,$B21,
       DuLieu!$C:$C,"&gt;="&amp;DATE(YEAR(TODAY()),MONTH(TODAY()),L$2),
       DuLieu!$C:$C,"&lt;"&amp;DATE(YEAR(TODAY()),MONTH(TODAY()),L$2)+1
     )&gt;0,
     "✅",
     "❌"
   )
)</f>
        <v/>
      </c>
      <c r="M21" s="29">
        <f>IF(
   DATE(YEAR(TODAY()),MONTH(TODAY()),M$2) &gt; TODAY(),
   "",
   IF(
     COUNTIFS(
       DuLieu!$B:$B,$B21,
       DuLieu!$C:$C,"&gt;="&amp;DATE(YEAR(TODAY()),MONTH(TODAY()),M$2),
       DuLieu!$C:$C,"&lt;"&amp;DATE(YEAR(TODAY()),MONTH(TODAY()),M$2)+1
     )&gt;0,
     "✅",
     "❌"
   )
)</f>
        <v/>
      </c>
      <c r="N21" s="29">
        <f>IF(
   DATE(YEAR(TODAY()),MONTH(TODAY()),N$2) &gt; TODAY(),
   "",
   IF(
     COUNTIFS(
       DuLieu!$B:$B,$B21,
       DuLieu!$C:$C,"&gt;="&amp;DATE(YEAR(TODAY()),MONTH(TODAY()),N$2),
       DuLieu!$C:$C,"&lt;"&amp;DATE(YEAR(TODAY()),MONTH(TODAY()),N$2)+1
     )&gt;0,
     "✅",
     "❌"
   )
)</f>
        <v/>
      </c>
      <c r="O21" s="29">
        <f>IF(
   DATE(YEAR(TODAY()),MONTH(TODAY()),O$2) &gt; TODAY(),
   "",
   IF(
     COUNTIFS(
       DuLieu!$B:$B,$B21,
       DuLieu!$C:$C,"&gt;="&amp;DATE(YEAR(TODAY()),MONTH(TODAY()),O$2),
       DuLieu!$C:$C,"&lt;"&amp;DATE(YEAR(TODAY()),MONTH(TODAY()),O$2)+1
     )&gt;0,
     "✅",
     "❌"
   )
)</f>
        <v/>
      </c>
      <c r="P21" s="29">
        <f>IF(
   DATE(YEAR(TODAY()),MONTH(TODAY()),P$2) &gt; TODAY(),
   "",
   IF(
     COUNTIFS(
       DuLieu!$B:$B,$B21,
       DuLieu!$C:$C,"&gt;="&amp;DATE(YEAR(TODAY()),MONTH(TODAY()),P$2),
       DuLieu!$C:$C,"&lt;"&amp;DATE(YEAR(TODAY()),MONTH(TODAY()),P$2)+1
     )&gt;0,
     "✅",
     "❌"
   )
)</f>
        <v/>
      </c>
      <c r="Q21" s="29">
        <f>IF(
   DATE(YEAR(TODAY()),MONTH(TODAY()),Q$2) &gt; TODAY(),
   "",
   IF(
     COUNTIFS(
       DuLieu!$B:$B,$B21,
       DuLieu!$C:$C,"&gt;="&amp;DATE(YEAR(TODAY()),MONTH(TODAY()),Q$2),
       DuLieu!$C:$C,"&lt;"&amp;DATE(YEAR(TODAY()),MONTH(TODAY()),Q$2)+1
     )&gt;0,
     "✅",
     "❌"
   )
)</f>
        <v/>
      </c>
      <c r="R21" s="29">
        <f>IF(
   DATE(YEAR(TODAY()),MONTH(TODAY()),R$2) &gt; TODAY(),
   "",
   IF(
     COUNTIFS(
       DuLieu!$B:$B,$B21,
       DuLieu!$C:$C,"&gt;="&amp;DATE(YEAR(TODAY()),MONTH(TODAY()),R$2),
       DuLieu!$C:$C,"&lt;"&amp;DATE(YEAR(TODAY()),MONTH(TODAY()),R$2)+1
     )&gt;0,
     "✅",
     "❌"
   )
)</f>
        <v/>
      </c>
      <c r="S21" s="29">
        <f>IF(
   DATE(YEAR(TODAY()),MONTH(TODAY()),S$2) &gt; TODAY(),
   "",
   IF(
     COUNTIFS(
       DuLieu!$B:$B,$B21,
       DuLieu!$C:$C,"&gt;="&amp;DATE(YEAR(TODAY()),MONTH(TODAY()),S$2),
       DuLieu!$C:$C,"&lt;"&amp;DATE(YEAR(TODAY()),MONTH(TODAY()),S$2)+1
     )&gt;0,
     "✅",
     "❌"
   )
)</f>
        <v/>
      </c>
      <c r="T21" s="29">
        <f>IF(
   DATE(YEAR(TODAY()),MONTH(TODAY()),T$2) &gt; TODAY(),
   "",
   IF(
     COUNTIFS(
       DuLieu!$B:$B,$B21,
       DuLieu!$C:$C,"&gt;="&amp;DATE(YEAR(TODAY()),MONTH(TODAY()),T$2),
       DuLieu!$C:$C,"&lt;"&amp;DATE(YEAR(TODAY()),MONTH(TODAY()),T$2)+1
     )&gt;0,
     "✅",
     "❌"
   )
)</f>
        <v/>
      </c>
      <c r="U21" s="29">
        <f>IF(
   DATE(YEAR(TODAY()),MONTH(TODAY()),U$2) &gt; TODAY(),
   "",
   IF(
     COUNTIFS(
       DuLieu!$B:$B,$B21,
       DuLieu!$C:$C,"&gt;="&amp;DATE(YEAR(TODAY()),MONTH(TODAY()),U$2),
       DuLieu!$C:$C,"&lt;"&amp;DATE(YEAR(TODAY()),MONTH(TODAY()),U$2)+1
     )&gt;0,
     "✅",
     "❌"
   )
)</f>
        <v/>
      </c>
      <c r="V21" s="29">
        <f>IF(
   DATE(YEAR(TODAY()),MONTH(TODAY()),V$2) &gt; TODAY(),
   "",
   IF(
     COUNTIFS(
       DuLieu!$B:$B,$B21,
       DuLieu!$C:$C,"&gt;="&amp;DATE(YEAR(TODAY()),MONTH(TODAY()),V$2),
       DuLieu!$C:$C,"&lt;"&amp;DATE(YEAR(TODAY()),MONTH(TODAY()),V$2)+1
     )&gt;0,
     "✅",
     "❌"
   )
)</f>
        <v/>
      </c>
      <c r="W21" s="29">
        <f>IF(
   DATE(YEAR(TODAY()),MONTH(TODAY()),W$2) &gt; TODAY(),
   "",
   IF(
     COUNTIFS(
       DuLieu!$B:$B,$B21,
       DuLieu!$C:$C,"&gt;="&amp;DATE(YEAR(TODAY()),MONTH(TODAY()),W$2),
       DuLieu!$C:$C,"&lt;"&amp;DATE(YEAR(TODAY()),MONTH(TODAY()),W$2)+1
     )&gt;0,
     "✅",
     "❌"
   )
)</f>
        <v/>
      </c>
      <c r="X21" s="29">
        <f>IF(
   DATE(YEAR(TODAY()),MONTH(TODAY()),X$2) &gt; TODAY(),
   "",
   IF(
     COUNTIFS(
       DuLieu!$B:$B,$B21,
       DuLieu!$C:$C,"&gt;="&amp;DATE(YEAR(TODAY()),MONTH(TODAY()),X$2),
       DuLieu!$C:$C,"&lt;"&amp;DATE(YEAR(TODAY()),MONTH(TODAY()),X$2)+1
     )&gt;0,
     "✅",
     "❌"
   )
)</f>
        <v/>
      </c>
      <c r="Y21" s="29">
        <f>IF(
   DATE(YEAR(TODAY()),MONTH(TODAY()),Y$2) &gt; TODAY(),
   "",
   IF(
     COUNTIFS(
       DuLieu!$B:$B,$B21,
       DuLieu!$C:$C,"&gt;="&amp;DATE(YEAR(TODAY()),MONTH(TODAY()),Y$2),
       DuLieu!$C:$C,"&lt;"&amp;DATE(YEAR(TODAY()),MONTH(TODAY()),Y$2)+1
     )&gt;0,
     "✅",
     "❌"
   )
)</f>
        <v/>
      </c>
      <c r="Z21" s="29">
        <f>IF(
   DATE(YEAR(TODAY()),MONTH(TODAY()),Z$2) &gt; TODAY(),
   "",
   IF(
     COUNTIFS(
       DuLieu!$B:$B,$B21,
       DuLieu!$C:$C,"&gt;="&amp;DATE(YEAR(TODAY()),MONTH(TODAY()),Z$2),
       DuLieu!$C:$C,"&lt;"&amp;DATE(YEAR(TODAY()),MONTH(TODAY()),Z$2)+1
     )&gt;0,
     "✅",
     "❌"
   )
)</f>
        <v/>
      </c>
      <c r="AA21" s="29">
        <f>IF(
   DATE(YEAR(TODAY()),MONTH(TODAY()),AA$2) &gt; TODAY(),
   "",
   IF(
     COUNTIFS(
       DuLieu!$B:$B,$B21,
       DuLieu!$C:$C,"&gt;="&amp;DATE(YEAR(TODAY()),MONTH(TODAY()),AA$2),
       DuLieu!$C:$C,"&lt;"&amp;DATE(YEAR(TODAY()),MONTH(TODAY()),AA$2)+1
     )&gt;0,
     "✅",
     "❌"
   )
)</f>
        <v/>
      </c>
      <c r="AB21" s="29">
        <f>IF(
   DATE(YEAR(TODAY()),MONTH(TODAY()),AB$2) &gt; TODAY(),
   "",
   IF(
     COUNTIFS(
       DuLieu!$B:$B,$B21,
       DuLieu!$C:$C,"&gt;="&amp;DATE(YEAR(TODAY()),MONTH(TODAY()),AB$2),
       DuLieu!$C:$C,"&lt;"&amp;DATE(YEAR(TODAY()),MONTH(TODAY()),AB$2)+1
     )&gt;0,
     "✅",
     "❌"
   )
)</f>
        <v/>
      </c>
      <c r="AC21" s="29">
        <f>IF(
   DATE(YEAR(TODAY()),MONTH(TODAY()),AC$2) &gt; TODAY(),
   "",
   IF(
     COUNTIFS(
       DuLieu!$B:$B,$B21,
       DuLieu!$C:$C,"&gt;="&amp;DATE(YEAR(TODAY()),MONTH(TODAY()),AC$2),
       DuLieu!$C:$C,"&lt;"&amp;DATE(YEAR(TODAY()),MONTH(TODAY()),AC$2)+1
     )&gt;0,
     "✅",
     "❌"
   )
)</f>
        <v/>
      </c>
      <c r="AD21" s="29">
        <f>IF(
   DATE(YEAR(TODAY()),MONTH(TODAY()),AD$2) &gt; TODAY(),
   "",
   IF(
     COUNTIFS(
       DuLieu!$B:$B,$B21,
       DuLieu!$C:$C,"&gt;="&amp;DATE(YEAR(TODAY()),MONTH(TODAY()),AD$2),
       DuLieu!$C:$C,"&lt;"&amp;DATE(YEAR(TODAY()),MONTH(TODAY()),AD$2)+1
     )&gt;0,
     "✅",
     "❌"
   )
)</f>
        <v/>
      </c>
      <c r="AE21" s="29">
        <f>IF(
   DATE(YEAR(TODAY()),MONTH(TODAY()),AE$2) &gt; TODAY(),
   "",
   IF(
     COUNTIFS(
       DuLieu!$B:$B,$B21,
       DuLieu!$C:$C,"&gt;="&amp;DATE(YEAR(TODAY()),MONTH(TODAY()),AE$2),
       DuLieu!$C:$C,"&lt;"&amp;DATE(YEAR(TODAY()),MONTH(TODAY()),AE$2)+1
     )&gt;0,
     "✅",
     "❌"
   )
)</f>
        <v/>
      </c>
      <c r="AF21" s="29">
        <f>IF(
   DATE(YEAR(TODAY()),MONTH(TODAY()),AF$2) &gt; TODAY(),
   "",
   IF(
     COUNTIFS(
       DuLieu!$B:$B,$B21,
       DuLieu!$C:$C,"&gt;="&amp;DATE(YEAR(TODAY()),MONTH(TODAY()),AF$2),
       DuLieu!$C:$C,"&lt;"&amp;DATE(YEAR(TODAY()),MONTH(TODAY()),AF$2)+1
     )&gt;0,
     "✅",
     "❌"
   )
)</f>
        <v/>
      </c>
      <c r="AG21" s="29">
        <f>IF(
   DATE(YEAR(TODAY()),MONTH(TODAY()),AG$2) &gt; TODAY(),
   "",
   IF(
     COUNTIFS(
       DuLieu!$B:$B,$B21,
       DuLieu!$C:$C,"&gt;="&amp;DATE(YEAR(TODAY()),MONTH(TODAY()),AG$2),
       DuLieu!$C:$C,"&lt;"&amp;DATE(YEAR(TODAY()),MONTH(TODAY()),AG$2)+1
     )&gt;0,
     "✅",
     "❌"
   )
)</f>
        <v/>
      </c>
    </row>
    <row r="22" ht="15.75" customHeight="1" s="117">
      <c r="A22" s="112" t="n">
        <v>20</v>
      </c>
      <c r="B22" s="27" t="inlineStr">
        <is>
          <t>Trần Minh Khánh</t>
        </is>
      </c>
      <c r="C22" s="97">
        <f>IF(
   DATE(YEAR(TODAY()),MONTH(TODAY()),C$2) &gt; TODAY(),
   "",
   IF(
     COUNTIFS(
       DuLieu!$B:$B,$B22,
       DuLieu!$C:$C,"&gt;="&amp;DATE(YEAR(TODAY()),MONTH(TODAY()),C$2),
       DuLieu!$C:$C,"&lt;"&amp;DATE(YEAR(TODAY()),MONTH(TODAY()),C$2)+1
     )&gt;0,
     "✅",
     "❌"
   )
)</f>
        <v/>
      </c>
      <c r="D22" s="97">
        <f>IF(
   DATE(YEAR(TODAY()),MONTH(TODAY()),D$2) &gt; TODAY(),
   "",
   IF(
     COUNTIFS(
       DuLieu!$B:$B,$B22,
       DuLieu!$C:$C,"&gt;="&amp;DATE(YEAR(TODAY()),MONTH(TODAY()),D$2),
       DuLieu!$C:$C,"&lt;"&amp;DATE(YEAR(TODAY()),MONTH(TODAY()),D$2)+1
     )&gt;0,
     "✅",
     "❌"
   )
)</f>
        <v/>
      </c>
      <c r="E22" s="97">
        <f>IF(
   DATE(YEAR(TODAY()),MONTH(TODAY()),E$2) &gt; TODAY(),
   "",
   IF(
     COUNTIFS(
       DuLieu!$B:$B,$B22,
       DuLieu!$C:$C,"&gt;="&amp;DATE(YEAR(TODAY()),MONTH(TODAY()),E$2),
       DuLieu!$C:$C,"&lt;"&amp;DATE(YEAR(TODAY()),MONTH(TODAY()),E$2)+1
     )&gt;0,
     "✅",
     "❌"
   )
)</f>
        <v/>
      </c>
      <c r="F22" s="97">
        <f>IF(
   DATE(YEAR(TODAY()),MONTH(TODAY()),F$2) &gt; TODAY(),
   "",
   IF(
     COUNTIFS(
       DuLieu!$B:$B,$B22,
       DuLieu!$C:$C,"&gt;="&amp;DATE(YEAR(TODAY()),MONTH(TODAY()),F$2),
       DuLieu!$C:$C,"&lt;"&amp;DATE(YEAR(TODAY()),MONTH(TODAY()),F$2)+1
     )&gt;0,
     "✅",
     "❌"
   )
)</f>
        <v/>
      </c>
      <c r="G22" s="29">
        <f>IF(
   DATE(YEAR(TODAY()),MONTH(TODAY()),G$2) &gt; TODAY(),
   "",
   IF(
     COUNTIFS(
       DuLieu!$B:$B,$B22,
       DuLieu!$C:$C,"&gt;="&amp;DATE(YEAR(TODAY()),MONTH(TODAY()),G$2),
       DuLieu!$C:$C,"&lt;"&amp;DATE(YEAR(TODAY()),MONTH(TODAY()),G$2)+1
     )&gt;0,
     "✅",
     "❌"
   )
)</f>
        <v/>
      </c>
      <c r="H22" s="29">
        <f>IF(
   DATE(YEAR(TODAY()),MONTH(TODAY()),H$2) &gt; TODAY(),
   "",
   IF(
     COUNTIFS(
       DuLieu!$B:$B,$B22,
       DuLieu!$C:$C,"&gt;="&amp;DATE(YEAR(TODAY()),MONTH(TODAY()),H$2),
       DuLieu!$C:$C,"&lt;"&amp;DATE(YEAR(TODAY()),MONTH(TODAY()),H$2)+1
     )&gt;0,
     "✅",
     "❌"
   )
)</f>
        <v/>
      </c>
      <c r="I22" s="29">
        <f>IF(
   DATE(YEAR(TODAY()),MONTH(TODAY()),I$2) &gt; TODAY(),
   "",
   IF(
     COUNTIFS(
       DuLieu!$B:$B,$B22,
       DuLieu!$C:$C,"&gt;="&amp;DATE(YEAR(TODAY()),MONTH(TODAY()),I$2),
       DuLieu!$C:$C,"&lt;"&amp;DATE(YEAR(TODAY()),MONTH(TODAY()),I$2)+1
     )&gt;0,
     "✅",
     "❌"
   )
)</f>
        <v/>
      </c>
      <c r="J22" s="29">
        <f>IF(
   DATE(YEAR(TODAY()),MONTH(TODAY()),J$2) &gt; TODAY(),
   "",
   IF(
     COUNTIFS(
       DuLieu!$B:$B,$B22,
       DuLieu!$C:$C,"&gt;="&amp;DATE(YEAR(TODAY()),MONTH(TODAY()),J$2),
       DuLieu!$C:$C,"&lt;"&amp;DATE(YEAR(TODAY()),MONTH(TODAY()),J$2)+1
     )&gt;0,
     "✅",
     "❌"
   )
)</f>
        <v/>
      </c>
      <c r="K22" s="29">
        <f>IF(
   DATE(YEAR(TODAY()),MONTH(TODAY()),K$2) &gt; TODAY(),
   "",
   IF(
     COUNTIFS(
       DuLieu!$B:$B,$B22,
       DuLieu!$C:$C,"&gt;="&amp;DATE(YEAR(TODAY()),MONTH(TODAY()),K$2),
       DuLieu!$C:$C,"&lt;"&amp;DATE(YEAR(TODAY()),MONTH(TODAY()),K$2)+1
     )&gt;0,
     "✅",
     "❌"
   )
)</f>
        <v/>
      </c>
      <c r="L22" s="29">
        <f>IF(
   DATE(YEAR(TODAY()),MONTH(TODAY()),L$2) &gt; TODAY(),
   "",
   IF(
     COUNTIFS(
       DuLieu!$B:$B,$B22,
       DuLieu!$C:$C,"&gt;="&amp;DATE(YEAR(TODAY()),MONTH(TODAY()),L$2),
       DuLieu!$C:$C,"&lt;"&amp;DATE(YEAR(TODAY()),MONTH(TODAY()),L$2)+1
     )&gt;0,
     "✅",
     "❌"
   )
)</f>
        <v/>
      </c>
      <c r="M22" s="29">
        <f>IF(
   DATE(YEAR(TODAY()),MONTH(TODAY()),M$2) &gt; TODAY(),
   "",
   IF(
     COUNTIFS(
       DuLieu!$B:$B,$B22,
       DuLieu!$C:$C,"&gt;="&amp;DATE(YEAR(TODAY()),MONTH(TODAY()),M$2),
       DuLieu!$C:$C,"&lt;"&amp;DATE(YEAR(TODAY()),MONTH(TODAY()),M$2)+1
     )&gt;0,
     "✅",
     "❌"
   )
)</f>
        <v/>
      </c>
      <c r="N22" s="29">
        <f>IF(
   DATE(YEAR(TODAY()),MONTH(TODAY()),N$2) &gt; TODAY(),
   "",
   IF(
     COUNTIFS(
       DuLieu!$B:$B,$B22,
       DuLieu!$C:$C,"&gt;="&amp;DATE(YEAR(TODAY()),MONTH(TODAY()),N$2),
       DuLieu!$C:$C,"&lt;"&amp;DATE(YEAR(TODAY()),MONTH(TODAY()),N$2)+1
     )&gt;0,
     "✅",
     "❌"
   )
)</f>
        <v/>
      </c>
      <c r="O22" s="29">
        <f>IF(
   DATE(YEAR(TODAY()),MONTH(TODAY()),O$2) &gt; TODAY(),
   "",
   IF(
     COUNTIFS(
       DuLieu!$B:$B,$B22,
       DuLieu!$C:$C,"&gt;="&amp;DATE(YEAR(TODAY()),MONTH(TODAY()),O$2),
       DuLieu!$C:$C,"&lt;"&amp;DATE(YEAR(TODAY()),MONTH(TODAY()),O$2)+1
     )&gt;0,
     "✅",
     "❌"
   )
)</f>
        <v/>
      </c>
      <c r="P22" s="29">
        <f>IF(
   DATE(YEAR(TODAY()),MONTH(TODAY()),P$2) &gt; TODAY(),
   "",
   IF(
     COUNTIFS(
       DuLieu!$B:$B,$B22,
       DuLieu!$C:$C,"&gt;="&amp;DATE(YEAR(TODAY()),MONTH(TODAY()),P$2),
       DuLieu!$C:$C,"&lt;"&amp;DATE(YEAR(TODAY()),MONTH(TODAY()),P$2)+1
     )&gt;0,
     "✅",
     "❌"
   )
)</f>
        <v/>
      </c>
      <c r="Q22" s="29">
        <f>IF(
   DATE(YEAR(TODAY()),MONTH(TODAY()),Q$2) &gt; TODAY(),
   "",
   IF(
     COUNTIFS(
       DuLieu!$B:$B,$B22,
       DuLieu!$C:$C,"&gt;="&amp;DATE(YEAR(TODAY()),MONTH(TODAY()),Q$2),
       DuLieu!$C:$C,"&lt;"&amp;DATE(YEAR(TODAY()),MONTH(TODAY()),Q$2)+1
     )&gt;0,
     "✅",
     "❌"
   )
)</f>
        <v/>
      </c>
      <c r="R22" s="29">
        <f>IF(
   DATE(YEAR(TODAY()),MONTH(TODAY()),R$2) &gt; TODAY(),
   "",
   IF(
     COUNTIFS(
       DuLieu!$B:$B,$B22,
       DuLieu!$C:$C,"&gt;="&amp;DATE(YEAR(TODAY()),MONTH(TODAY()),R$2),
       DuLieu!$C:$C,"&lt;"&amp;DATE(YEAR(TODAY()),MONTH(TODAY()),R$2)+1
     )&gt;0,
     "✅",
     "❌"
   )
)</f>
        <v/>
      </c>
      <c r="S22" s="29">
        <f>IF(
   DATE(YEAR(TODAY()),MONTH(TODAY()),S$2) &gt; TODAY(),
   "",
   IF(
     COUNTIFS(
       DuLieu!$B:$B,$B22,
       DuLieu!$C:$C,"&gt;="&amp;DATE(YEAR(TODAY()),MONTH(TODAY()),S$2),
       DuLieu!$C:$C,"&lt;"&amp;DATE(YEAR(TODAY()),MONTH(TODAY()),S$2)+1
     )&gt;0,
     "✅",
     "❌"
   )
)</f>
        <v/>
      </c>
      <c r="T22" s="29">
        <f>IF(
   DATE(YEAR(TODAY()),MONTH(TODAY()),T$2) &gt; TODAY(),
   "",
   IF(
     COUNTIFS(
       DuLieu!$B:$B,$B22,
       DuLieu!$C:$C,"&gt;="&amp;DATE(YEAR(TODAY()),MONTH(TODAY()),T$2),
       DuLieu!$C:$C,"&lt;"&amp;DATE(YEAR(TODAY()),MONTH(TODAY()),T$2)+1
     )&gt;0,
     "✅",
     "❌"
   )
)</f>
        <v/>
      </c>
      <c r="U22" s="29">
        <f>IF(
   DATE(YEAR(TODAY()),MONTH(TODAY()),U$2) &gt; TODAY(),
   "",
   IF(
     COUNTIFS(
       DuLieu!$B:$B,$B22,
       DuLieu!$C:$C,"&gt;="&amp;DATE(YEAR(TODAY()),MONTH(TODAY()),U$2),
       DuLieu!$C:$C,"&lt;"&amp;DATE(YEAR(TODAY()),MONTH(TODAY()),U$2)+1
     )&gt;0,
     "✅",
     "❌"
   )
)</f>
        <v/>
      </c>
      <c r="V22" s="29">
        <f>IF(
   DATE(YEAR(TODAY()),MONTH(TODAY()),V$2) &gt; TODAY(),
   "",
   IF(
     COUNTIFS(
       DuLieu!$B:$B,$B22,
       DuLieu!$C:$C,"&gt;="&amp;DATE(YEAR(TODAY()),MONTH(TODAY()),V$2),
       DuLieu!$C:$C,"&lt;"&amp;DATE(YEAR(TODAY()),MONTH(TODAY()),V$2)+1
     )&gt;0,
     "✅",
     "❌"
   )
)</f>
        <v/>
      </c>
      <c r="W22" s="29">
        <f>IF(
   DATE(YEAR(TODAY()),MONTH(TODAY()),W$2) &gt; TODAY(),
   "",
   IF(
     COUNTIFS(
       DuLieu!$B:$B,$B22,
       DuLieu!$C:$C,"&gt;="&amp;DATE(YEAR(TODAY()),MONTH(TODAY()),W$2),
       DuLieu!$C:$C,"&lt;"&amp;DATE(YEAR(TODAY()),MONTH(TODAY()),W$2)+1
     )&gt;0,
     "✅",
     "❌"
   )
)</f>
        <v/>
      </c>
      <c r="X22" s="29">
        <f>IF(
   DATE(YEAR(TODAY()),MONTH(TODAY()),X$2) &gt; TODAY(),
   "",
   IF(
     COUNTIFS(
       DuLieu!$B:$B,$B22,
       DuLieu!$C:$C,"&gt;="&amp;DATE(YEAR(TODAY()),MONTH(TODAY()),X$2),
       DuLieu!$C:$C,"&lt;"&amp;DATE(YEAR(TODAY()),MONTH(TODAY()),X$2)+1
     )&gt;0,
     "✅",
     "❌"
   )
)</f>
        <v/>
      </c>
      <c r="Y22" s="29">
        <f>IF(
   DATE(YEAR(TODAY()),MONTH(TODAY()),Y$2) &gt; TODAY(),
   "",
   IF(
     COUNTIFS(
       DuLieu!$B:$B,$B22,
       DuLieu!$C:$C,"&gt;="&amp;DATE(YEAR(TODAY()),MONTH(TODAY()),Y$2),
       DuLieu!$C:$C,"&lt;"&amp;DATE(YEAR(TODAY()),MONTH(TODAY()),Y$2)+1
     )&gt;0,
     "✅",
     "❌"
   )
)</f>
        <v/>
      </c>
      <c r="Z22" s="29">
        <f>IF(
   DATE(YEAR(TODAY()),MONTH(TODAY()),Z$2) &gt; TODAY(),
   "",
   IF(
     COUNTIFS(
       DuLieu!$B:$B,$B22,
       DuLieu!$C:$C,"&gt;="&amp;DATE(YEAR(TODAY()),MONTH(TODAY()),Z$2),
       DuLieu!$C:$C,"&lt;"&amp;DATE(YEAR(TODAY()),MONTH(TODAY()),Z$2)+1
     )&gt;0,
     "✅",
     "❌"
   )
)</f>
        <v/>
      </c>
      <c r="AA22" s="29">
        <f>IF(
   DATE(YEAR(TODAY()),MONTH(TODAY()),AA$2) &gt; TODAY(),
   "",
   IF(
     COUNTIFS(
       DuLieu!$B:$B,$B22,
       DuLieu!$C:$C,"&gt;="&amp;DATE(YEAR(TODAY()),MONTH(TODAY()),AA$2),
       DuLieu!$C:$C,"&lt;"&amp;DATE(YEAR(TODAY()),MONTH(TODAY()),AA$2)+1
     )&gt;0,
     "✅",
     "❌"
   )
)</f>
        <v/>
      </c>
      <c r="AB22" s="29">
        <f>IF(
   DATE(YEAR(TODAY()),MONTH(TODAY()),AB$2) &gt; TODAY(),
   "",
   IF(
     COUNTIFS(
       DuLieu!$B:$B,$B22,
       DuLieu!$C:$C,"&gt;="&amp;DATE(YEAR(TODAY()),MONTH(TODAY()),AB$2),
       DuLieu!$C:$C,"&lt;"&amp;DATE(YEAR(TODAY()),MONTH(TODAY()),AB$2)+1
     )&gt;0,
     "✅",
     "❌"
   )
)</f>
        <v/>
      </c>
      <c r="AC22" s="29">
        <f>IF(
   DATE(YEAR(TODAY()),MONTH(TODAY()),AC$2) &gt; TODAY(),
   "",
   IF(
     COUNTIFS(
       DuLieu!$B:$B,$B22,
       DuLieu!$C:$C,"&gt;="&amp;DATE(YEAR(TODAY()),MONTH(TODAY()),AC$2),
       DuLieu!$C:$C,"&lt;"&amp;DATE(YEAR(TODAY()),MONTH(TODAY()),AC$2)+1
     )&gt;0,
     "✅",
     "❌"
   )
)</f>
        <v/>
      </c>
      <c r="AD22" s="29">
        <f>IF(
   DATE(YEAR(TODAY()),MONTH(TODAY()),AD$2) &gt; TODAY(),
   "",
   IF(
     COUNTIFS(
       DuLieu!$B:$B,$B22,
       DuLieu!$C:$C,"&gt;="&amp;DATE(YEAR(TODAY()),MONTH(TODAY()),AD$2),
       DuLieu!$C:$C,"&lt;"&amp;DATE(YEAR(TODAY()),MONTH(TODAY()),AD$2)+1
     )&gt;0,
     "✅",
     "❌"
   )
)</f>
        <v/>
      </c>
      <c r="AE22" s="29">
        <f>IF(
   DATE(YEAR(TODAY()),MONTH(TODAY()),AE$2) &gt; TODAY(),
   "",
   IF(
     COUNTIFS(
       DuLieu!$B:$B,$B22,
       DuLieu!$C:$C,"&gt;="&amp;DATE(YEAR(TODAY()),MONTH(TODAY()),AE$2),
       DuLieu!$C:$C,"&lt;"&amp;DATE(YEAR(TODAY()),MONTH(TODAY()),AE$2)+1
     )&gt;0,
     "✅",
     "❌"
   )
)</f>
        <v/>
      </c>
      <c r="AF22" s="29">
        <f>IF(
   DATE(YEAR(TODAY()),MONTH(TODAY()),AF$2) &gt; TODAY(),
   "",
   IF(
     COUNTIFS(
       DuLieu!$B:$B,$B22,
       DuLieu!$C:$C,"&gt;="&amp;DATE(YEAR(TODAY()),MONTH(TODAY()),AF$2),
       DuLieu!$C:$C,"&lt;"&amp;DATE(YEAR(TODAY()),MONTH(TODAY()),AF$2)+1
     )&gt;0,
     "✅",
     "❌"
   )
)</f>
        <v/>
      </c>
      <c r="AG22" s="29">
        <f>IF(
   DATE(YEAR(TODAY()),MONTH(TODAY()),AG$2) &gt; TODAY(),
   "",
   IF(
     COUNTIFS(
       DuLieu!$B:$B,$B22,
       DuLieu!$C:$C,"&gt;="&amp;DATE(YEAR(TODAY()),MONTH(TODAY()),AG$2),
       DuLieu!$C:$C,"&lt;"&amp;DATE(YEAR(TODAY()),MONTH(TODAY()),AG$2)+1
     )&gt;0,
     "✅",
     "❌"
   )
)</f>
        <v/>
      </c>
    </row>
    <row r="23" ht="16.5" customHeight="1" s="117">
      <c r="A23" s="112" t="n">
        <v>21</v>
      </c>
      <c r="B23" s="27" t="inlineStr">
        <is>
          <t>Trần Trung Giang</t>
        </is>
      </c>
      <c r="C23" s="97">
        <f>IF(
   DATE(YEAR(TODAY()),MONTH(TODAY()),C$2) &gt; TODAY(),
   "",
   IF(
     COUNTIFS(
       DuLieu!$B:$B,$B23,
       DuLieu!$C:$C,"&gt;="&amp;DATE(YEAR(TODAY()),MONTH(TODAY()),C$2),
       DuLieu!$C:$C,"&lt;"&amp;DATE(YEAR(TODAY()),MONTH(TODAY()),C$2)+1
     )&gt;0,
     "✅",
     "❌"
   )
)</f>
        <v/>
      </c>
      <c r="D23" s="97">
        <f>IF(
   DATE(YEAR(TODAY()),MONTH(TODAY()),D$2) &gt; TODAY(),
   "",
   IF(
     COUNTIFS(
       DuLieu!$B:$B,$B23,
       DuLieu!$C:$C,"&gt;="&amp;DATE(YEAR(TODAY()),MONTH(TODAY()),D$2),
       DuLieu!$C:$C,"&lt;"&amp;DATE(YEAR(TODAY()),MONTH(TODAY()),D$2)+1
     )&gt;0,
     "✅",
     "❌"
   )
)</f>
        <v/>
      </c>
      <c r="E23" s="97">
        <f>IF(
   DATE(YEAR(TODAY()),MONTH(TODAY()),E$2) &gt; TODAY(),
   "",
   IF(
     COUNTIFS(
       DuLieu!$B:$B,$B23,
       DuLieu!$C:$C,"&gt;="&amp;DATE(YEAR(TODAY()),MONTH(TODAY()),E$2),
       DuLieu!$C:$C,"&lt;"&amp;DATE(YEAR(TODAY()),MONTH(TODAY()),E$2)+1
     )&gt;0,
     "✅",
     "❌"
   )
)</f>
        <v/>
      </c>
      <c r="F23" s="97">
        <f>IF(
   DATE(YEAR(TODAY()),MONTH(TODAY()),F$2) &gt; TODAY(),
   "",
   IF(
     COUNTIFS(
       DuLieu!$B:$B,$B23,
       DuLieu!$C:$C,"&gt;="&amp;DATE(YEAR(TODAY()),MONTH(TODAY()),F$2),
       DuLieu!$C:$C,"&lt;"&amp;DATE(YEAR(TODAY()),MONTH(TODAY()),F$2)+1
     )&gt;0,
     "✅",
     "❌"
   )
)</f>
        <v/>
      </c>
      <c r="G23" s="29">
        <f>IF(
   DATE(YEAR(TODAY()),MONTH(TODAY()),G$2) &gt; TODAY(),
   "",
   IF(
     COUNTIFS(
       DuLieu!$B:$B,$B23,
       DuLieu!$C:$C,"&gt;="&amp;DATE(YEAR(TODAY()),MONTH(TODAY()),G$2),
       DuLieu!$C:$C,"&lt;"&amp;DATE(YEAR(TODAY()),MONTH(TODAY()),G$2)+1
     )&gt;0,
     "✅",
     "❌"
   )
)</f>
        <v/>
      </c>
      <c r="H23" s="29">
        <f>IF(
   DATE(YEAR(TODAY()),MONTH(TODAY()),H$2) &gt; TODAY(),
   "",
   IF(
     COUNTIFS(
       DuLieu!$B:$B,$B23,
       DuLieu!$C:$C,"&gt;="&amp;DATE(YEAR(TODAY()),MONTH(TODAY()),H$2),
       DuLieu!$C:$C,"&lt;"&amp;DATE(YEAR(TODAY()),MONTH(TODAY()),H$2)+1
     )&gt;0,
     "✅",
     "❌"
   )
)</f>
        <v/>
      </c>
      <c r="I23" s="29">
        <f>IF(
   DATE(YEAR(TODAY()),MONTH(TODAY()),I$2) &gt; TODAY(),
   "",
   IF(
     COUNTIFS(
       DuLieu!$B:$B,$B23,
       DuLieu!$C:$C,"&gt;="&amp;DATE(YEAR(TODAY()),MONTH(TODAY()),I$2),
       DuLieu!$C:$C,"&lt;"&amp;DATE(YEAR(TODAY()),MONTH(TODAY()),I$2)+1
     )&gt;0,
     "✅",
     "❌"
   )
)</f>
        <v/>
      </c>
      <c r="J23" s="29">
        <f>IF(
   DATE(YEAR(TODAY()),MONTH(TODAY()),J$2) &gt; TODAY(),
   "",
   IF(
     COUNTIFS(
       DuLieu!$B:$B,$B23,
       DuLieu!$C:$C,"&gt;="&amp;DATE(YEAR(TODAY()),MONTH(TODAY()),J$2),
       DuLieu!$C:$C,"&lt;"&amp;DATE(YEAR(TODAY()),MONTH(TODAY()),J$2)+1
     )&gt;0,
     "✅",
     "❌"
   )
)</f>
        <v/>
      </c>
      <c r="K23" s="29">
        <f>IF(
   DATE(YEAR(TODAY()),MONTH(TODAY()),K$2) &gt; TODAY(),
   "",
   IF(
     COUNTIFS(
       DuLieu!$B:$B,$B23,
       DuLieu!$C:$C,"&gt;="&amp;DATE(YEAR(TODAY()),MONTH(TODAY()),K$2),
       DuLieu!$C:$C,"&lt;"&amp;DATE(YEAR(TODAY()),MONTH(TODAY()),K$2)+1
     )&gt;0,
     "✅",
     "❌"
   )
)</f>
        <v/>
      </c>
      <c r="L23" s="29">
        <f>IF(
   DATE(YEAR(TODAY()),MONTH(TODAY()),L$2) &gt; TODAY(),
   "",
   IF(
     COUNTIFS(
       DuLieu!$B:$B,$B23,
       DuLieu!$C:$C,"&gt;="&amp;DATE(YEAR(TODAY()),MONTH(TODAY()),L$2),
       DuLieu!$C:$C,"&lt;"&amp;DATE(YEAR(TODAY()),MONTH(TODAY()),L$2)+1
     )&gt;0,
     "✅",
     "❌"
   )
)</f>
        <v/>
      </c>
      <c r="M23" s="29">
        <f>IF(
   DATE(YEAR(TODAY()),MONTH(TODAY()),M$2) &gt; TODAY(),
   "",
   IF(
     COUNTIFS(
       DuLieu!$B:$B,$B23,
       DuLieu!$C:$C,"&gt;="&amp;DATE(YEAR(TODAY()),MONTH(TODAY()),M$2),
       DuLieu!$C:$C,"&lt;"&amp;DATE(YEAR(TODAY()),MONTH(TODAY()),M$2)+1
     )&gt;0,
     "✅",
     "❌"
   )
)</f>
        <v/>
      </c>
      <c r="N23" s="29">
        <f>IF(
   DATE(YEAR(TODAY()),MONTH(TODAY()),N$2) &gt; TODAY(),
   "",
   IF(
     COUNTIFS(
       DuLieu!$B:$B,$B23,
       DuLieu!$C:$C,"&gt;="&amp;DATE(YEAR(TODAY()),MONTH(TODAY()),N$2),
       DuLieu!$C:$C,"&lt;"&amp;DATE(YEAR(TODAY()),MONTH(TODAY()),N$2)+1
     )&gt;0,
     "✅",
     "❌"
   )
)</f>
        <v/>
      </c>
      <c r="O23" s="29">
        <f>IF(
   DATE(YEAR(TODAY()),MONTH(TODAY()),O$2) &gt; TODAY(),
   "",
   IF(
     COUNTIFS(
       DuLieu!$B:$B,$B23,
       DuLieu!$C:$C,"&gt;="&amp;DATE(YEAR(TODAY()),MONTH(TODAY()),O$2),
       DuLieu!$C:$C,"&lt;"&amp;DATE(YEAR(TODAY()),MONTH(TODAY()),O$2)+1
     )&gt;0,
     "✅",
     "❌"
   )
)</f>
        <v/>
      </c>
      <c r="P23" s="29">
        <f>IF(
   DATE(YEAR(TODAY()),MONTH(TODAY()),P$2) &gt; TODAY(),
   "",
   IF(
     COUNTIFS(
       DuLieu!$B:$B,$B23,
       DuLieu!$C:$C,"&gt;="&amp;DATE(YEAR(TODAY()),MONTH(TODAY()),P$2),
       DuLieu!$C:$C,"&lt;"&amp;DATE(YEAR(TODAY()),MONTH(TODAY()),P$2)+1
     )&gt;0,
     "✅",
     "❌"
   )
)</f>
        <v/>
      </c>
      <c r="Q23" s="29">
        <f>IF(
   DATE(YEAR(TODAY()),MONTH(TODAY()),Q$2) &gt; TODAY(),
   "",
   IF(
     COUNTIFS(
       DuLieu!$B:$B,$B23,
       DuLieu!$C:$C,"&gt;="&amp;DATE(YEAR(TODAY()),MONTH(TODAY()),Q$2),
       DuLieu!$C:$C,"&lt;"&amp;DATE(YEAR(TODAY()),MONTH(TODAY()),Q$2)+1
     )&gt;0,
     "✅",
     "❌"
   )
)</f>
        <v/>
      </c>
      <c r="R23" s="29">
        <f>IF(
   DATE(YEAR(TODAY()),MONTH(TODAY()),R$2) &gt; TODAY(),
   "",
   IF(
     COUNTIFS(
       DuLieu!$B:$B,$B23,
       DuLieu!$C:$C,"&gt;="&amp;DATE(YEAR(TODAY()),MONTH(TODAY()),R$2),
       DuLieu!$C:$C,"&lt;"&amp;DATE(YEAR(TODAY()),MONTH(TODAY()),R$2)+1
     )&gt;0,
     "✅",
     "❌"
   )
)</f>
        <v/>
      </c>
      <c r="S23" s="29">
        <f>IF(
   DATE(YEAR(TODAY()),MONTH(TODAY()),S$2) &gt; TODAY(),
   "",
   IF(
     COUNTIFS(
       DuLieu!$B:$B,$B23,
       DuLieu!$C:$C,"&gt;="&amp;DATE(YEAR(TODAY()),MONTH(TODAY()),S$2),
       DuLieu!$C:$C,"&lt;"&amp;DATE(YEAR(TODAY()),MONTH(TODAY()),S$2)+1
     )&gt;0,
     "✅",
     "❌"
   )
)</f>
        <v/>
      </c>
      <c r="T23" s="29">
        <f>IF(
   DATE(YEAR(TODAY()),MONTH(TODAY()),T$2) &gt; TODAY(),
   "",
   IF(
     COUNTIFS(
       DuLieu!$B:$B,$B23,
       DuLieu!$C:$C,"&gt;="&amp;DATE(YEAR(TODAY()),MONTH(TODAY()),T$2),
       DuLieu!$C:$C,"&lt;"&amp;DATE(YEAR(TODAY()),MONTH(TODAY()),T$2)+1
     )&gt;0,
     "✅",
     "❌"
   )
)</f>
        <v/>
      </c>
      <c r="U23" s="29">
        <f>IF(
   DATE(YEAR(TODAY()),MONTH(TODAY()),U$2) &gt; TODAY(),
   "",
   IF(
     COUNTIFS(
       DuLieu!$B:$B,$B23,
       DuLieu!$C:$C,"&gt;="&amp;DATE(YEAR(TODAY()),MONTH(TODAY()),U$2),
       DuLieu!$C:$C,"&lt;"&amp;DATE(YEAR(TODAY()),MONTH(TODAY()),U$2)+1
     )&gt;0,
     "✅",
     "❌"
   )
)</f>
        <v/>
      </c>
      <c r="V23" s="29">
        <f>IF(
   DATE(YEAR(TODAY()),MONTH(TODAY()),V$2) &gt; TODAY(),
   "",
   IF(
     COUNTIFS(
       DuLieu!$B:$B,$B23,
       DuLieu!$C:$C,"&gt;="&amp;DATE(YEAR(TODAY()),MONTH(TODAY()),V$2),
       DuLieu!$C:$C,"&lt;"&amp;DATE(YEAR(TODAY()),MONTH(TODAY()),V$2)+1
     )&gt;0,
     "✅",
     "❌"
   )
)</f>
        <v/>
      </c>
      <c r="W23" s="29">
        <f>IF(
   DATE(YEAR(TODAY()),MONTH(TODAY()),W$2) &gt; TODAY(),
   "",
   IF(
     COUNTIFS(
       DuLieu!$B:$B,$B23,
       DuLieu!$C:$C,"&gt;="&amp;DATE(YEAR(TODAY()),MONTH(TODAY()),W$2),
       DuLieu!$C:$C,"&lt;"&amp;DATE(YEAR(TODAY()),MONTH(TODAY()),W$2)+1
     )&gt;0,
     "✅",
     "❌"
   )
)</f>
        <v/>
      </c>
      <c r="X23" s="29">
        <f>IF(
   DATE(YEAR(TODAY()),MONTH(TODAY()),X$2) &gt; TODAY(),
   "",
   IF(
     COUNTIFS(
       DuLieu!$B:$B,$B23,
       DuLieu!$C:$C,"&gt;="&amp;DATE(YEAR(TODAY()),MONTH(TODAY()),X$2),
       DuLieu!$C:$C,"&lt;"&amp;DATE(YEAR(TODAY()),MONTH(TODAY()),X$2)+1
     )&gt;0,
     "✅",
     "❌"
   )
)</f>
        <v/>
      </c>
      <c r="Y23" s="29">
        <f>IF(
   DATE(YEAR(TODAY()),MONTH(TODAY()),Y$2) &gt; TODAY(),
   "",
   IF(
     COUNTIFS(
       DuLieu!$B:$B,$B23,
       DuLieu!$C:$C,"&gt;="&amp;DATE(YEAR(TODAY()),MONTH(TODAY()),Y$2),
       DuLieu!$C:$C,"&lt;"&amp;DATE(YEAR(TODAY()),MONTH(TODAY()),Y$2)+1
     )&gt;0,
     "✅",
     "❌"
   )
)</f>
        <v/>
      </c>
      <c r="Z23" s="29">
        <f>IF(
   DATE(YEAR(TODAY()),MONTH(TODAY()),Z$2) &gt; TODAY(),
   "",
   IF(
     COUNTIFS(
       DuLieu!$B:$B,$B23,
       DuLieu!$C:$C,"&gt;="&amp;DATE(YEAR(TODAY()),MONTH(TODAY()),Z$2),
       DuLieu!$C:$C,"&lt;"&amp;DATE(YEAR(TODAY()),MONTH(TODAY()),Z$2)+1
     )&gt;0,
     "✅",
     "❌"
   )
)</f>
        <v/>
      </c>
      <c r="AA23" s="29">
        <f>IF(
   DATE(YEAR(TODAY()),MONTH(TODAY()),AA$2) &gt; TODAY(),
   "",
   IF(
     COUNTIFS(
       DuLieu!$B:$B,$B23,
       DuLieu!$C:$C,"&gt;="&amp;DATE(YEAR(TODAY()),MONTH(TODAY()),AA$2),
       DuLieu!$C:$C,"&lt;"&amp;DATE(YEAR(TODAY()),MONTH(TODAY()),AA$2)+1
     )&gt;0,
     "✅",
     "❌"
   )
)</f>
        <v/>
      </c>
      <c r="AB23" s="29">
        <f>IF(
   DATE(YEAR(TODAY()),MONTH(TODAY()),AB$2) &gt; TODAY(),
   "",
   IF(
     COUNTIFS(
       DuLieu!$B:$B,$B23,
       DuLieu!$C:$C,"&gt;="&amp;DATE(YEAR(TODAY()),MONTH(TODAY()),AB$2),
       DuLieu!$C:$C,"&lt;"&amp;DATE(YEAR(TODAY()),MONTH(TODAY()),AB$2)+1
     )&gt;0,
     "✅",
     "❌"
   )
)</f>
        <v/>
      </c>
      <c r="AC23" s="29">
        <f>IF(
   DATE(YEAR(TODAY()),MONTH(TODAY()),AC$2) &gt; TODAY(),
   "",
   IF(
     COUNTIFS(
       DuLieu!$B:$B,$B23,
       DuLieu!$C:$C,"&gt;="&amp;DATE(YEAR(TODAY()),MONTH(TODAY()),AC$2),
       DuLieu!$C:$C,"&lt;"&amp;DATE(YEAR(TODAY()),MONTH(TODAY()),AC$2)+1
     )&gt;0,
     "✅",
     "❌"
   )
)</f>
        <v/>
      </c>
      <c r="AD23" s="29">
        <f>IF(
   DATE(YEAR(TODAY()),MONTH(TODAY()),AD$2) &gt; TODAY(),
   "",
   IF(
     COUNTIFS(
       DuLieu!$B:$B,$B23,
       DuLieu!$C:$C,"&gt;="&amp;DATE(YEAR(TODAY()),MONTH(TODAY()),AD$2),
       DuLieu!$C:$C,"&lt;"&amp;DATE(YEAR(TODAY()),MONTH(TODAY()),AD$2)+1
     )&gt;0,
     "✅",
     "❌"
   )
)</f>
        <v/>
      </c>
      <c r="AE23" s="29">
        <f>IF(
   DATE(YEAR(TODAY()),MONTH(TODAY()),AE$2) &gt; TODAY(),
   "",
   IF(
     COUNTIFS(
       DuLieu!$B:$B,$B23,
       DuLieu!$C:$C,"&gt;="&amp;DATE(YEAR(TODAY()),MONTH(TODAY()),AE$2),
       DuLieu!$C:$C,"&lt;"&amp;DATE(YEAR(TODAY()),MONTH(TODAY()),AE$2)+1
     )&gt;0,
     "✅",
     "❌"
   )
)</f>
        <v/>
      </c>
      <c r="AF23" s="29">
        <f>IF(
   DATE(YEAR(TODAY()),MONTH(TODAY()),AF$2) &gt; TODAY(),
   "",
   IF(
     COUNTIFS(
       DuLieu!$B:$B,$B23,
       DuLieu!$C:$C,"&gt;="&amp;DATE(YEAR(TODAY()),MONTH(TODAY()),AF$2),
       DuLieu!$C:$C,"&lt;"&amp;DATE(YEAR(TODAY()),MONTH(TODAY()),AF$2)+1
     )&gt;0,
     "✅",
     "❌"
   )
)</f>
        <v/>
      </c>
      <c r="AG23" s="29">
        <f>IF(
   DATE(YEAR(TODAY()),MONTH(TODAY()),AG$2) &gt; TODAY(),
   "",
   IF(
     COUNTIFS(
       DuLieu!$B:$B,$B23,
       DuLieu!$C:$C,"&gt;="&amp;DATE(YEAR(TODAY()),MONTH(TODAY()),AG$2),
       DuLieu!$C:$C,"&lt;"&amp;DATE(YEAR(TODAY()),MONTH(TODAY()),AG$2)+1
     )&gt;0,
     "✅",
     "❌"
   )
)</f>
        <v/>
      </c>
    </row>
    <row r="24" ht="16.5" customHeight="1" s="117">
      <c r="A24" s="112" t="n">
        <v>22</v>
      </c>
      <c r="B24" s="27" t="inlineStr">
        <is>
          <t>Trần Xuân Khoa</t>
        </is>
      </c>
      <c r="C24" s="97">
        <f>IF(
   DATE(YEAR(TODAY()),MONTH(TODAY()),C$2) &gt; TODAY(),
   "",
   IF(
     COUNTIFS(
       DuLieu!$B:$B,$B24,
       DuLieu!$C:$C,"&gt;="&amp;DATE(YEAR(TODAY()),MONTH(TODAY()),C$2),
       DuLieu!$C:$C,"&lt;"&amp;DATE(YEAR(TODAY()),MONTH(TODAY()),C$2)+1
     )&gt;0,
     "✅",
     "❌"
   )
)</f>
        <v/>
      </c>
      <c r="D24" s="97">
        <f>IF(
   DATE(YEAR(TODAY()),MONTH(TODAY()),D$2) &gt; TODAY(),
   "",
   IF(
     COUNTIFS(
       DuLieu!$B:$B,$B24,
       DuLieu!$C:$C,"&gt;="&amp;DATE(YEAR(TODAY()),MONTH(TODAY()),D$2),
       DuLieu!$C:$C,"&lt;"&amp;DATE(YEAR(TODAY()),MONTH(TODAY()),D$2)+1
     )&gt;0,
     "✅",
     "❌"
   )
)</f>
        <v/>
      </c>
      <c r="E24" s="97">
        <f>IF(
   DATE(YEAR(TODAY()),MONTH(TODAY()),E$2) &gt; TODAY(),
   "",
   IF(
     COUNTIFS(
       DuLieu!$B:$B,$B24,
       DuLieu!$C:$C,"&gt;="&amp;DATE(YEAR(TODAY()),MONTH(TODAY()),E$2),
       DuLieu!$C:$C,"&lt;"&amp;DATE(YEAR(TODAY()),MONTH(TODAY()),E$2)+1
     )&gt;0,
     "✅",
     "❌"
   )
)</f>
        <v/>
      </c>
      <c r="F24" s="97">
        <f>IF(
   DATE(YEAR(TODAY()),MONTH(TODAY()),F$2) &gt; TODAY(),
   "",
   IF(
     COUNTIFS(
       DuLieu!$B:$B,$B24,
       DuLieu!$C:$C,"&gt;="&amp;DATE(YEAR(TODAY()),MONTH(TODAY()),F$2),
       DuLieu!$C:$C,"&lt;"&amp;DATE(YEAR(TODAY()),MONTH(TODAY()),F$2)+1
     )&gt;0,
     "✅",
     "❌"
   )
)</f>
        <v/>
      </c>
      <c r="G24" s="29">
        <f>IF(
   DATE(YEAR(TODAY()),MONTH(TODAY()),G$2) &gt; TODAY(),
   "",
   IF(
     COUNTIFS(
       DuLieu!$B:$B,$B24,
       DuLieu!$C:$C,"&gt;="&amp;DATE(YEAR(TODAY()),MONTH(TODAY()),G$2),
       DuLieu!$C:$C,"&lt;"&amp;DATE(YEAR(TODAY()),MONTH(TODAY()),G$2)+1
     )&gt;0,
     "✅",
     "❌"
   )
)</f>
        <v/>
      </c>
      <c r="H24" s="29">
        <f>IF(
   DATE(YEAR(TODAY()),MONTH(TODAY()),H$2) &gt; TODAY(),
   "",
   IF(
     COUNTIFS(
       DuLieu!$B:$B,$B24,
       DuLieu!$C:$C,"&gt;="&amp;DATE(YEAR(TODAY()),MONTH(TODAY()),H$2),
       DuLieu!$C:$C,"&lt;"&amp;DATE(YEAR(TODAY()),MONTH(TODAY()),H$2)+1
     )&gt;0,
     "✅",
     "❌"
   )
)</f>
        <v/>
      </c>
      <c r="I24" s="29">
        <f>IF(
   DATE(YEAR(TODAY()),MONTH(TODAY()),I$2) &gt; TODAY(),
   "",
   IF(
     COUNTIFS(
       DuLieu!$B:$B,$B24,
       DuLieu!$C:$C,"&gt;="&amp;DATE(YEAR(TODAY()),MONTH(TODAY()),I$2),
       DuLieu!$C:$C,"&lt;"&amp;DATE(YEAR(TODAY()),MONTH(TODAY()),I$2)+1
     )&gt;0,
     "✅",
     "❌"
   )
)</f>
        <v/>
      </c>
      <c r="J24" s="29">
        <f>IF(
   DATE(YEAR(TODAY()),MONTH(TODAY()),J$2) &gt; TODAY(),
   "",
   IF(
     COUNTIFS(
       DuLieu!$B:$B,$B24,
       DuLieu!$C:$C,"&gt;="&amp;DATE(YEAR(TODAY()),MONTH(TODAY()),J$2),
       DuLieu!$C:$C,"&lt;"&amp;DATE(YEAR(TODAY()),MONTH(TODAY()),J$2)+1
     )&gt;0,
     "✅",
     "❌"
   )
)</f>
        <v/>
      </c>
      <c r="K24" s="29">
        <f>IF(
   DATE(YEAR(TODAY()),MONTH(TODAY()),K$2) &gt; TODAY(),
   "",
   IF(
     COUNTIFS(
       DuLieu!$B:$B,$B24,
       DuLieu!$C:$C,"&gt;="&amp;DATE(YEAR(TODAY()),MONTH(TODAY()),K$2),
       DuLieu!$C:$C,"&lt;"&amp;DATE(YEAR(TODAY()),MONTH(TODAY()),K$2)+1
     )&gt;0,
     "✅",
     "❌"
   )
)</f>
        <v/>
      </c>
      <c r="L24" s="29">
        <f>IF(
   DATE(YEAR(TODAY()),MONTH(TODAY()),L$2) &gt; TODAY(),
   "",
   IF(
     COUNTIFS(
       DuLieu!$B:$B,$B24,
       DuLieu!$C:$C,"&gt;="&amp;DATE(YEAR(TODAY()),MONTH(TODAY()),L$2),
       DuLieu!$C:$C,"&lt;"&amp;DATE(YEAR(TODAY()),MONTH(TODAY()),L$2)+1
     )&gt;0,
     "✅",
     "❌"
   )
)</f>
        <v/>
      </c>
      <c r="M24" s="29">
        <f>IF(
   DATE(YEAR(TODAY()),MONTH(TODAY()),M$2) &gt; TODAY(),
   "",
   IF(
     COUNTIFS(
       DuLieu!$B:$B,$B24,
       DuLieu!$C:$C,"&gt;="&amp;DATE(YEAR(TODAY()),MONTH(TODAY()),M$2),
       DuLieu!$C:$C,"&lt;"&amp;DATE(YEAR(TODAY()),MONTH(TODAY()),M$2)+1
     )&gt;0,
     "✅",
     "❌"
   )
)</f>
        <v/>
      </c>
      <c r="N24" s="29">
        <f>IF(
   DATE(YEAR(TODAY()),MONTH(TODAY()),N$2) &gt; TODAY(),
   "",
   IF(
     COUNTIFS(
       DuLieu!$B:$B,$B24,
       DuLieu!$C:$C,"&gt;="&amp;DATE(YEAR(TODAY()),MONTH(TODAY()),N$2),
       DuLieu!$C:$C,"&lt;"&amp;DATE(YEAR(TODAY()),MONTH(TODAY()),N$2)+1
     )&gt;0,
     "✅",
     "❌"
   )
)</f>
        <v/>
      </c>
      <c r="O24" s="29">
        <f>IF(
   DATE(YEAR(TODAY()),MONTH(TODAY()),O$2) &gt; TODAY(),
   "",
   IF(
     COUNTIFS(
       DuLieu!$B:$B,$B24,
       DuLieu!$C:$C,"&gt;="&amp;DATE(YEAR(TODAY()),MONTH(TODAY()),O$2),
       DuLieu!$C:$C,"&lt;"&amp;DATE(YEAR(TODAY()),MONTH(TODAY()),O$2)+1
     )&gt;0,
     "✅",
     "❌"
   )
)</f>
        <v/>
      </c>
      <c r="P24" s="29">
        <f>IF(
   DATE(YEAR(TODAY()),MONTH(TODAY()),P$2) &gt; TODAY(),
   "",
   IF(
     COUNTIFS(
       DuLieu!$B:$B,$B24,
       DuLieu!$C:$C,"&gt;="&amp;DATE(YEAR(TODAY()),MONTH(TODAY()),P$2),
       DuLieu!$C:$C,"&lt;"&amp;DATE(YEAR(TODAY()),MONTH(TODAY()),P$2)+1
     )&gt;0,
     "✅",
     "❌"
   )
)</f>
        <v/>
      </c>
      <c r="Q24" s="29">
        <f>IF(
   DATE(YEAR(TODAY()),MONTH(TODAY()),Q$2) &gt; TODAY(),
   "",
   IF(
     COUNTIFS(
       DuLieu!$B:$B,$B24,
       DuLieu!$C:$C,"&gt;="&amp;DATE(YEAR(TODAY()),MONTH(TODAY()),Q$2),
       DuLieu!$C:$C,"&lt;"&amp;DATE(YEAR(TODAY()),MONTH(TODAY()),Q$2)+1
     )&gt;0,
     "✅",
     "❌"
   )
)</f>
        <v/>
      </c>
      <c r="R24" s="29">
        <f>IF(
   DATE(YEAR(TODAY()),MONTH(TODAY()),R$2) &gt; TODAY(),
   "",
   IF(
     COUNTIFS(
       DuLieu!$B:$B,$B24,
       DuLieu!$C:$C,"&gt;="&amp;DATE(YEAR(TODAY()),MONTH(TODAY()),R$2),
       DuLieu!$C:$C,"&lt;"&amp;DATE(YEAR(TODAY()),MONTH(TODAY()),R$2)+1
     )&gt;0,
     "✅",
     "❌"
   )
)</f>
        <v/>
      </c>
      <c r="S24" s="29">
        <f>IF(
   DATE(YEAR(TODAY()),MONTH(TODAY()),S$2) &gt; TODAY(),
   "",
   IF(
     COUNTIFS(
       DuLieu!$B:$B,$B24,
       DuLieu!$C:$C,"&gt;="&amp;DATE(YEAR(TODAY()),MONTH(TODAY()),S$2),
       DuLieu!$C:$C,"&lt;"&amp;DATE(YEAR(TODAY()),MONTH(TODAY()),S$2)+1
     )&gt;0,
     "✅",
     "❌"
   )
)</f>
        <v/>
      </c>
      <c r="T24" s="29">
        <f>IF(
   DATE(YEAR(TODAY()),MONTH(TODAY()),T$2) &gt; TODAY(),
   "",
   IF(
     COUNTIFS(
       DuLieu!$B:$B,$B24,
       DuLieu!$C:$C,"&gt;="&amp;DATE(YEAR(TODAY()),MONTH(TODAY()),T$2),
       DuLieu!$C:$C,"&lt;"&amp;DATE(YEAR(TODAY()),MONTH(TODAY()),T$2)+1
     )&gt;0,
     "✅",
     "❌"
   )
)</f>
        <v/>
      </c>
      <c r="U24" s="29">
        <f>IF(
   DATE(YEAR(TODAY()),MONTH(TODAY()),U$2) &gt; TODAY(),
   "",
   IF(
     COUNTIFS(
       DuLieu!$B:$B,$B24,
       DuLieu!$C:$C,"&gt;="&amp;DATE(YEAR(TODAY()),MONTH(TODAY()),U$2),
       DuLieu!$C:$C,"&lt;"&amp;DATE(YEAR(TODAY()),MONTH(TODAY()),U$2)+1
     )&gt;0,
     "✅",
     "❌"
   )
)</f>
        <v/>
      </c>
      <c r="V24" s="29">
        <f>IF(
   DATE(YEAR(TODAY()),MONTH(TODAY()),V$2) &gt; TODAY(),
   "",
   IF(
     COUNTIFS(
       DuLieu!$B:$B,$B24,
       DuLieu!$C:$C,"&gt;="&amp;DATE(YEAR(TODAY()),MONTH(TODAY()),V$2),
       DuLieu!$C:$C,"&lt;"&amp;DATE(YEAR(TODAY()),MONTH(TODAY()),V$2)+1
     )&gt;0,
     "✅",
     "❌"
   )
)</f>
        <v/>
      </c>
      <c r="W24" s="29">
        <f>IF(
   DATE(YEAR(TODAY()),MONTH(TODAY()),W$2) &gt; TODAY(),
   "",
   IF(
     COUNTIFS(
       DuLieu!$B:$B,$B24,
       DuLieu!$C:$C,"&gt;="&amp;DATE(YEAR(TODAY()),MONTH(TODAY()),W$2),
       DuLieu!$C:$C,"&lt;"&amp;DATE(YEAR(TODAY()),MONTH(TODAY()),W$2)+1
     )&gt;0,
     "✅",
     "❌"
   )
)</f>
        <v/>
      </c>
      <c r="X24" s="29">
        <f>IF(
   DATE(YEAR(TODAY()),MONTH(TODAY()),X$2) &gt; TODAY(),
   "",
   IF(
     COUNTIFS(
       DuLieu!$B:$B,$B24,
       DuLieu!$C:$C,"&gt;="&amp;DATE(YEAR(TODAY()),MONTH(TODAY()),X$2),
       DuLieu!$C:$C,"&lt;"&amp;DATE(YEAR(TODAY()),MONTH(TODAY()),X$2)+1
     )&gt;0,
     "✅",
     "❌"
   )
)</f>
        <v/>
      </c>
      <c r="Y24" s="29">
        <f>IF(
   DATE(YEAR(TODAY()),MONTH(TODAY()),Y$2) &gt; TODAY(),
   "",
   IF(
     COUNTIFS(
       DuLieu!$B:$B,$B24,
       DuLieu!$C:$C,"&gt;="&amp;DATE(YEAR(TODAY()),MONTH(TODAY()),Y$2),
       DuLieu!$C:$C,"&lt;"&amp;DATE(YEAR(TODAY()),MONTH(TODAY()),Y$2)+1
     )&gt;0,
     "✅",
     "❌"
   )
)</f>
        <v/>
      </c>
      <c r="Z24" s="29">
        <f>IF(
   DATE(YEAR(TODAY()),MONTH(TODAY()),Z$2) &gt; TODAY(),
   "",
   IF(
     COUNTIFS(
       DuLieu!$B:$B,$B24,
       DuLieu!$C:$C,"&gt;="&amp;DATE(YEAR(TODAY()),MONTH(TODAY()),Z$2),
       DuLieu!$C:$C,"&lt;"&amp;DATE(YEAR(TODAY()),MONTH(TODAY()),Z$2)+1
     )&gt;0,
     "✅",
     "❌"
   )
)</f>
        <v/>
      </c>
      <c r="AA24" s="29">
        <f>IF(
   DATE(YEAR(TODAY()),MONTH(TODAY()),AA$2) &gt; TODAY(),
   "",
   IF(
     COUNTIFS(
       DuLieu!$B:$B,$B24,
       DuLieu!$C:$C,"&gt;="&amp;DATE(YEAR(TODAY()),MONTH(TODAY()),AA$2),
       DuLieu!$C:$C,"&lt;"&amp;DATE(YEAR(TODAY()),MONTH(TODAY()),AA$2)+1
     )&gt;0,
     "✅",
     "❌"
   )
)</f>
        <v/>
      </c>
      <c r="AB24" s="29">
        <f>IF(
   DATE(YEAR(TODAY()),MONTH(TODAY()),AB$2) &gt; TODAY(),
   "",
   IF(
     COUNTIFS(
       DuLieu!$B:$B,$B24,
       DuLieu!$C:$C,"&gt;="&amp;DATE(YEAR(TODAY()),MONTH(TODAY()),AB$2),
       DuLieu!$C:$C,"&lt;"&amp;DATE(YEAR(TODAY()),MONTH(TODAY()),AB$2)+1
     )&gt;0,
     "✅",
     "❌"
   )
)</f>
        <v/>
      </c>
      <c r="AC24" s="29">
        <f>IF(
   DATE(YEAR(TODAY()),MONTH(TODAY()),AC$2) &gt; TODAY(),
   "",
   IF(
     COUNTIFS(
       DuLieu!$B:$B,$B24,
       DuLieu!$C:$C,"&gt;="&amp;DATE(YEAR(TODAY()),MONTH(TODAY()),AC$2),
       DuLieu!$C:$C,"&lt;"&amp;DATE(YEAR(TODAY()),MONTH(TODAY()),AC$2)+1
     )&gt;0,
     "✅",
     "❌"
   )
)</f>
        <v/>
      </c>
      <c r="AD24" s="29">
        <f>IF(
   DATE(YEAR(TODAY()),MONTH(TODAY()),AD$2) &gt; TODAY(),
   "",
   IF(
     COUNTIFS(
       DuLieu!$B:$B,$B24,
       DuLieu!$C:$C,"&gt;="&amp;DATE(YEAR(TODAY()),MONTH(TODAY()),AD$2),
       DuLieu!$C:$C,"&lt;"&amp;DATE(YEAR(TODAY()),MONTH(TODAY()),AD$2)+1
     )&gt;0,
     "✅",
     "❌"
   )
)</f>
        <v/>
      </c>
      <c r="AE24" s="29">
        <f>IF(
   DATE(YEAR(TODAY()),MONTH(TODAY()),AE$2) &gt; TODAY(),
   "",
   IF(
     COUNTIFS(
       DuLieu!$B:$B,$B24,
       DuLieu!$C:$C,"&gt;="&amp;DATE(YEAR(TODAY()),MONTH(TODAY()),AE$2),
       DuLieu!$C:$C,"&lt;"&amp;DATE(YEAR(TODAY()),MONTH(TODAY()),AE$2)+1
     )&gt;0,
     "✅",
     "❌"
   )
)</f>
        <v/>
      </c>
      <c r="AF24" s="29">
        <f>IF(
   DATE(YEAR(TODAY()),MONTH(TODAY()),AF$2) &gt; TODAY(),
   "",
   IF(
     COUNTIFS(
       DuLieu!$B:$B,$B24,
       DuLieu!$C:$C,"&gt;="&amp;DATE(YEAR(TODAY()),MONTH(TODAY()),AF$2),
       DuLieu!$C:$C,"&lt;"&amp;DATE(YEAR(TODAY()),MONTH(TODAY()),AF$2)+1
     )&gt;0,
     "✅",
     "❌"
   )
)</f>
        <v/>
      </c>
      <c r="AG24" s="29">
        <f>IF(
   DATE(YEAR(TODAY()),MONTH(TODAY()),AG$2) &gt; TODAY(),
   "",
   IF(
     COUNTIFS(
       DuLieu!$B:$B,$B24,
       DuLieu!$C:$C,"&gt;="&amp;DATE(YEAR(TODAY()),MONTH(TODAY()),AG$2),
       DuLieu!$C:$C,"&lt;"&amp;DATE(YEAR(TODAY()),MONTH(TODAY()),AG$2)+1
     )&gt;0,
     "✅",
     "❌"
   )
)</f>
        <v/>
      </c>
    </row>
    <row r="25" ht="16.5" customHeight="1" s="117">
      <c r="A25" s="112" t="n">
        <v>23</v>
      </c>
      <c r="B25" s="27" t="inlineStr">
        <is>
          <t>Vòng Nhật Sang</t>
        </is>
      </c>
      <c r="C25" s="97">
        <f>IF(
   DATE(YEAR(TODAY()),MONTH(TODAY()),C$2) &gt; TODAY(),
   "",
   IF(
     COUNTIFS(
       DuLieu!$B:$B,$B25,
       DuLieu!$C:$C,"&gt;="&amp;DATE(YEAR(TODAY()),MONTH(TODAY()),C$2),
       DuLieu!$C:$C,"&lt;"&amp;DATE(YEAR(TODAY()),MONTH(TODAY()),C$2)+1
     )&gt;0,
     "✅",
     "❌"
   )
)</f>
        <v/>
      </c>
      <c r="D25" s="97">
        <f>IF(
   DATE(YEAR(TODAY()),MONTH(TODAY()),D$2) &gt; TODAY(),
   "",
   IF(
     COUNTIFS(
       DuLieu!$B:$B,$B25,
       DuLieu!$C:$C,"&gt;="&amp;DATE(YEAR(TODAY()),MONTH(TODAY()),D$2),
       DuLieu!$C:$C,"&lt;"&amp;DATE(YEAR(TODAY()),MONTH(TODAY()),D$2)+1
     )&gt;0,
     "✅",
     "❌"
   )
)</f>
        <v/>
      </c>
      <c r="E25" s="97">
        <f>IF(
   DATE(YEAR(TODAY()),MONTH(TODAY()),E$2) &gt; TODAY(),
   "",
   IF(
     COUNTIFS(
       DuLieu!$B:$B,$B25,
       DuLieu!$C:$C,"&gt;="&amp;DATE(YEAR(TODAY()),MONTH(TODAY()),E$2),
       DuLieu!$C:$C,"&lt;"&amp;DATE(YEAR(TODAY()),MONTH(TODAY()),E$2)+1
     )&gt;0,
     "✅",
     "❌"
   )
)</f>
        <v/>
      </c>
      <c r="F25" s="97">
        <f>IF(
   DATE(YEAR(TODAY()),MONTH(TODAY()),F$2) &gt; TODAY(),
   "",
   IF(
     COUNTIFS(
       DuLieu!$B:$B,$B25,
       DuLieu!$C:$C,"&gt;="&amp;DATE(YEAR(TODAY()),MONTH(TODAY()),F$2),
       DuLieu!$C:$C,"&lt;"&amp;DATE(YEAR(TODAY()),MONTH(TODAY()),F$2)+1
     )&gt;0,
     "✅",
     "❌"
   )
)</f>
        <v/>
      </c>
      <c r="G25" s="29">
        <f>IF(
   DATE(YEAR(TODAY()),MONTH(TODAY()),G$2) &gt; TODAY(),
   "",
   IF(
     COUNTIFS(
       DuLieu!$B:$B,$B25,
       DuLieu!$C:$C,"&gt;="&amp;DATE(YEAR(TODAY()),MONTH(TODAY()),G$2),
       DuLieu!$C:$C,"&lt;"&amp;DATE(YEAR(TODAY()),MONTH(TODAY()),G$2)+1
     )&gt;0,
     "✅",
     "❌"
   )
)</f>
        <v/>
      </c>
      <c r="H25" s="29">
        <f>IF(
   DATE(YEAR(TODAY()),MONTH(TODAY()),H$2) &gt; TODAY(),
   "",
   IF(
     COUNTIFS(
       DuLieu!$B:$B,$B25,
       DuLieu!$C:$C,"&gt;="&amp;DATE(YEAR(TODAY()),MONTH(TODAY()),H$2),
       DuLieu!$C:$C,"&lt;"&amp;DATE(YEAR(TODAY()),MONTH(TODAY()),H$2)+1
     )&gt;0,
     "✅",
     "❌"
   )
)</f>
        <v/>
      </c>
      <c r="I25" s="29">
        <f>IF(
   DATE(YEAR(TODAY()),MONTH(TODAY()),I$2) &gt; TODAY(),
   "",
   IF(
     COUNTIFS(
       DuLieu!$B:$B,$B25,
       DuLieu!$C:$C,"&gt;="&amp;DATE(YEAR(TODAY()),MONTH(TODAY()),I$2),
       DuLieu!$C:$C,"&lt;"&amp;DATE(YEAR(TODAY()),MONTH(TODAY()),I$2)+1
     )&gt;0,
     "✅",
     "❌"
   )
)</f>
        <v/>
      </c>
      <c r="J25" s="29">
        <f>IF(
   DATE(YEAR(TODAY()),MONTH(TODAY()),J$2) &gt; TODAY(),
   "",
   IF(
     COUNTIFS(
       DuLieu!$B:$B,$B25,
       DuLieu!$C:$C,"&gt;="&amp;DATE(YEAR(TODAY()),MONTH(TODAY()),J$2),
       DuLieu!$C:$C,"&lt;"&amp;DATE(YEAR(TODAY()),MONTH(TODAY()),J$2)+1
     )&gt;0,
     "✅",
     "❌"
   )
)</f>
        <v/>
      </c>
      <c r="K25" s="29">
        <f>IF(
   DATE(YEAR(TODAY()),MONTH(TODAY()),K$2) &gt; TODAY(),
   "",
   IF(
     COUNTIFS(
       DuLieu!$B:$B,$B25,
       DuLieu!$C:$C,"&gt;="&amp;DATE(YEAR(TODAY()),MONTH(TODAY()),K$2),
       DuLieu!$C:$C,"&lt;"&amp;DATE(YEAR(TODAY()),MONTH(TODAY()),K$2)+1
     )&gt;0,
     "✅",
     "❌"
   )
)</f>
        <v/>
      </c>
      <c r="L25" s="29">
        <f>IF(
   DATE(YEAR(TODAY()),MONTH(TODAY()),L$2) &gt; TODAY(),
   "",
   IF(
     COUNTIFS(
       DuLieu!$B:$B,$B25,
       DuLieu!$C:$C,"&gt;="&amp;DATE(YEAR(TODAY()),MONTH(TODAY()),L$2),
       DuLieu!$C:$C,"&lt;"&amp;DATE(YEAR(TODAY()),MONTH(TODAY()),L$2)+1
     )&gt;0,
     "✅",
     "❌"
   )
)</f>
        <v/>
      </c>
      <c r="M25" s="29">
        <f>IF(
   DATE(YEAR(TODAY()),MONTH(TODAY()),M$2) &gt; TODAY(),
   "",
   IF(
     COUNTIFS(
       DuLieu!$B:$B,$B25,
       DuLieu!$C:$C,"&gt;="&amp;DATE(YEAR(TODAY()),MONTH(TODAY()),M$2),
       DuLieu!$C:$C,"&lt;"&amp;DATE(YEAR(TODAY()),MONTH(TODAY()),M$2)+1
     )&gt;0,
     "✅",
     "❌"
   )
)</f>
        <v/>
      </c>
      <c r="N25" s="29">
        <f>IF(
   DATE(YEAR(TODAY()),MONTH(TODAY()),N$2) &gt; TODAY(),
   "",
   IF(
     COUNTIFS(
       DuLieu!$B:$B,$B25,
       DuLieu!$C:$C,"&gt;="&amp;DATE(YEAR(TODAY()),MONTH(TODAY()),N$2),
       DuLieu!$C:$C,"&lt;"&amp;DATE(YEAR(TODAY()),MONTH(TODAY()),N$2)+1
     )&gt;0,
     "✅",
     "❌"
   )
)</f>
        <v/>
      </c>
      <c r="O25" s="29">
        <f>IF(
   DATE(YEAR(TODAY()),MONTH(TODAY()),O$2) &gt; TODAY(),
   "",
   IF(
     COUNTIFS(
       DuLieu!$B:$B,$B25,
       DuLieu!$C:$C,"&gt;="&amp;DATE(YEAR(TODAY()),MONTH(TODAY()),O$2),
       DuLieu!$C:$C,"&lt;"&amp;DATE(YEAR(TODAY()),MONTH(TODAY()),O$2)+1
     )&gt;0,
     "✅",
     "❌"
   )
)</f>
        <v/>
      </c>
      <c r="P25" s="29">
        <f>IF(
   DATE(YEAR(TODAY()),MONTH(TODAY()),P$2) &gt; TODAY(),
   "",
   IF(
     COUNTIFS(
       DuLieu!$B:$B,$B25,
       DuLieu!$C:$C,"&gt;="&amp;DATE(YEAR(TODAY()),MONTH(TODAY()),P$2),
       DuLieu!$C:$C,"&lt;"&amp;DATE(YEAR(TODAY()),MONTH(TODAY()),P$2)+1
     )&gt;0,
     "✅",
     "❌"
   )
)</f>
        <v/>
      </c>
      <c r="Q25" s="29">
        <f>IF(
   DATE(YEAR(TODAY()),MONTH(TODAY()),Q$2) &gt; TODAY(),
   "",
   IF(
     COUNTIFS(
       DuLieu!$B:$B,$B25,
       DuLieu!$C:$C,"&gt;="&amp;DATE(YEAR(TODAY()),MONTH(TODAY()),Q$2),
       DuLieu!$C:$C,"&lt;"&amp;DATE(YEAR(TODAY()),MONTH(TODAY()),Q$2)+1
     )&gt;0,
     "✅",
     "❌"
   )
)</f>
        <v/>
      </c>
      <c r="R25" s="29">
        <f>IF(
   DATE(YEAR(TODAY()),MONTH(TODAY()),R$2) &gt; TODAY(),
   "",
   IF(
     COUNTIFS(
       DuLieu!$B:$B,$B25,
       DuLieu!$C:$C,"&gt;="&amp;DATE(YEAR(TODAY()),MONTH(TODAY()),R$2),
       DuLieu!$C:$C,"&lt;"&amp;DATE(YEAR(TODAY()),MONTH(TODAY()),R$2)+1
     )&gt;0,
     "✅",
     "❌"
   )
)</f>
        <v/>
      </c>
      <c r="S25" s="29">
        <f>IF(
   DATE(YEAR(TODAY()),MONTH(TODAY()),S$2) &gt; TODAY(),
   "",
   IF(
     COUNTIFS(
       DuLieu!$B:$B,$B25,
       DuLieu!$C:$C,"&gt;="&amp;DATE(YEAR(TODAY()),MONTH(TODAY()),S$2),
       DuLieu!$C:$C,"&lt;"&amp;DATE(YEAR(TODAY()),MONTH(TODAY()),S$2)+1
     )&gt;0,
     "✅",
     "❌"
   )
)</f>
        <v/>
      </c>
      <c r="T25" s="29">
        <f>IF(
   DATE(YEAR(TODAY()),MONTH(TODAY()),T$2) &gt; TODAY(),
   "",
   IF(
     COUNTIFS(
       DuLieu!$B:$B,$B25,
       DuLieu!$C:$C,"&gt;="&amp;DATE(YEAR(TODAY()),MONTH(TODAY()),T$2),
       DuLieu!$C:$C,"&lt;"&amp;DATE(YEAR(TODAY()),MONTH(TODAY()),T$2)+1
     )&gt;0,
     "✅",
     "❌"
   )
)</f>
        <v/>
      </c>
      <c r="U25" s="29">
        <f>IF(
   DATE(YEAR(TODAY()),MONTH(TODAY()),U$2) &gt; TODAY(),
   "",
   IF(
     COUNTIFS(
       DuLieu!$B:$B,$B25,
       DuLieu!$C:$C,"&gt;="&amp;DATE(YEAR(TODAY()),MONTH(TODAY()),U$2),
       DuLieu!$C:$C,"&lt;"&amp;DATE(YEAR(TODAY()),MONTH(TODAY()),U$2)+1
     )&gt;0,
     "✅",
     "❌"
   )
)</f>
        <v/>
      </c>
      <c r="V25" s="29">
        <f>IF(
   DATE(YEAR(TODAY()),MONTH(TODAY()),V$2) &gt; TODAY(),
   "",
   IF(
     COUNTIFS(
       DuLieu!$B:$B,$B25,
       DuLieu!$C:$C,"&gt;="&amp;DATE(YEAR(TODAY()),MONTH(TODAY()),V$2),
       DuLieu!$C:$C,"&lt;"&amp;DATE(YEAR(TODAY()),MONTH(TODAY()),V$2)+1
     )&gt;0,
     "✅",
     "❌"
   )
)</f>
        <v/>
      </c>
      <c r="W25" s="29">
        <f>IF(
   DATE(YEAR(TODAY()),MONTH(TODAY()),W$2) &gt; TODAY(),
   "",
   IF(
     COUNTIFS(
       DuLieu!$B:$B,$B25,
       DuLieu!$C:$C,"&gt;="&amp;DATE(YEAR(TODAY()),MONTH(TODAY()),W$2),
       DuLieu!$C:$C,"&lt;"&amp;DATE(YEAR(TODAY()),MONTH(TODAY()),W$2)+1
     )&gt;0,
     "✅",
     "❌"
   )
)</f>
        <v/>
      </c>
      <c r="X25" s="29">
        <f>IF(
   DATE(YEAR(TODAY()),MONTH(TODAY()),X$2) &gt; TODAY(),
   "",
   IF(
     COUNTIFS(
       DuLieu!$B:$B,$B25,
       DuLieu!$C:$C,"&gt;="&amp;DATE(YEAR(TODAY()),MONTH(TODAY()),X$2),
       DuLieu!$C:$C,"&lt;"&amp;DATE(YEAR(TODAY()),MONTH(TODAY()),X$2)+1
     )&gt;0,
     "✅",
     "❌"
   )
)</f>
        <v/>
      </c>
      <c r="Y25" s="29">
        <f>IF(
   DATE(YEAR(TODAY()),MONTH(TODAY()),Y$2) &gt; TODAY(),
   "",
   IF(
     COUNTIFS(
       DuLieu!$B:$B,$B25,
       DuLieu!$C:$C,"&gt;="&amp;DATE(YEAR(TODAY()),MONTH(TODAY()),Y$2),
       DuLieu!$C:$C,"&lt;"&amp;DATE(YEAR(TODAY()),MONTH(TODAY()),Y$2)+1
     )&gt;0,
     "✅",
     "❌"
   )
)</f>
        <v/>
      </c>
      <c r="Z25" s="29">
        <f>IF(
   DATE(YEAR(TODAY()),MONTH(TODAY()),Z$2) &gt; TODAY(),
   "",
   IF(
     COUNTIFS(
       DuLieu!$B:$B,$B25,
       DuLieu!$C:$C,"&gt;="&amp;DATE(YEAR(TODAY()),MONTH(TODAY()),Z$2),
       DuLieu!$C:$C,"&lt;"&amp;DATE(YEAR(TODAY()),MONTH(TODAY()),Z$2)+1
     )&gt;0,
     "✅",
     "❌"
   )
)</f>
        <v/>
      </c>
      <c r="AA25" s="29">
        <f>IF(
   DATE(YEAR(TODAY()),MONTH(TODAY()),AA$2) &gt; TODAY(),
   "",
   IF(
     COUNTIFS(
       DuLieu!$B:$B,$B25,
       DuLieu!$C:$C,"&gt;="&amp;DATE(YEAR(TODAY()),MONTH(TODAY()),AA$2),
       DuLieu!$C:$C,"&lt;"&amp;DATE(YEAR(TODAY()),MONTH(TODAY()),AA$2)+1
     )&gt;0,
     "✅",
     "❌"
   )
)</f>
        <v/>
      </c>
      <c r="AB25" s="29">
        <f>IF(
   DATE(YEAR(TODAY()),MONTH(TODAY()),AB$2) &gt; TODAY(),
   "",
   IF(
     COUNTIFS(
       DuLieu!$B:$B,$B25,
       DuLieu!$C:$C,"&gt;="&amp;DATE(YEAR(TODAY()),MONTH(TODAY()),AB$2),
       DuLieu!$C:$C,"&lt;"&amp;DATE(YEAR(TODAY()),MONTH(TODAY()),AB$2)+1
     )&gt;0,
     "✅",
     "❌"
   )
)</f>
        <v/>
      </c>
      <c r="AC25" s="29">
        <f>IF(
   DATE(YEAR(TODAY()),MONTH(TODAY()),AC$2) &gt; TODAY(),
   "",
   IF(
     COUNTIFS(
       DuLieu!$B:$B,$B25,
       DuLieu!$C:$C,"&gt;="&amp;DATE(YEAR(TODAY()),MONTH(TODAY()),AC$2),
       DuLieu!$C:$C,"&lt;"&amp;DATE(YEAR(TODAY()),MONTH(TODAY()),AC$2)+1
     )&gt;0,
     "✅",
     "❌"
   )
)</f>
        <v/>
      </c>
      <c r="AD25" s="29">
        <f>IF(
   DATE(YEAR(TODAY()),MONTH(TODAY()),AD$2) &gt; TODAY(),
   "",
   IF(
     COUNTIFS(
       DuLieu!$B:$B,$B25,
       DuLieu!$C:$C,"&gt;="&amp;DATE(YEAR(TODAY()),MONTH(TODAY()),AD$2),
       DuLieu!$C:$C,"&lt;"&amp;DATE(YEAR(TODAY()),MONTH(TODAY()),AD$2)+1
     )&gt;0,
     "✅",
     "❌"
   )
)</f>
        <v/>
      </c>
      <c r="AE25" s="29">
        <f>IF(
   DATE(YEAR(TODAY()),MONTH(TODAY()),AE$2) &gt; TODAY(),
   "",
   IF(
     COUNTIFS(
       DuLieu!$B:$B,$B25,
       DuLieu!$C:$C,"&gt;="&amp;DATE(YEAR(TODAY()),MONTH(TODAY()),AE$2),
       DuLieu!$C:$C,"&lt;"&amp;DATE(YEAR(TODAY()),MONTH(TODAY()),AE$2)+1
     )&gt;0,
     "✅",
     "❌"
   )
)</f>
        <v/>
      </c>
      <c r="AF25" s="29">
        <f>IF(
   DATE(YEAR(TODAY()),MONTH(TODAY()),AF$2) &gt; TODAY(),
   "",
   IF(
     COUNTIFS(
       DuLieu!$B:$B,$B25,
       DuLieu!$C:$C,"&gt;="&amp;DATE(YEAR(TODAY()),MONTH(TODAY()),AF$2),
       DuLieu!$C:$C,"&lt;"&amp;DATE(YEAR(TODAY()),MONTH(TODAY()),AF$2)+1
     )&gt;0,
     "✅",
     "❌"
   )
)</f>
        <v/>
      </c>
      <c r="AG25" s="29">
        <f>IF(
   DATE(YEAR(TODAY()),MONTH(TODAY()),AG$2) &gt; TODAY(),
   "",
   IF(
     COUNTIFS(
       DuLieu!$B:$B,$B25,
       DuLieu!$C:$C,"&gt;="&amp;DATE(YEAR(TODAY()),MONTH(TODAY()),AG$2),
       DuLieu!$C:$C,"&lt;"&amp;DATE(YEAR(TODAY()),MONTH(TODAY()),AG$2)+1
     )&gt;0,
     "✅",
     "❌"
   )
)</f>
        <v/>
      </c>
    </row>
    <row r="26" ht="16.5" customHeight="1" s="117">
      <c r="A26" s="112" t="n">
        <v>24</v>
      </c>
      <c r="B26" s="27" t="inlineStr">
        <is>
          <t>Đào Công Trung</t>
        </is>
      </c>
      <c r="C26" s="97">
        <f>IF(
   DATE(YEAR(TODAY()),MONTH(TODAY()),C$2) &gt; TODAY(),
   "",
   IF(
     COUNTIFS(
       DuLieu!$B:$B,$B26,
       DuLieu!$C:$C,"&gt;="&amp;DATE(YEAR(TODAY()),MONTH(TODAY()),C$2),
       DuLieu!$C:$C,"&lt;"&amp;DATE(YEAR(TODAY()),MONTH(TODAY()),C$2)+1
     )&gt;0,
     "✅",
     "❌"
   )
)</f>
        <v/>
      </c>
      <c r="D26" s="97">
        <f>IF(
   DATE(YEAR(TODAY()),MONTH(TODAY()),D$2) &gt; TODAY(),
   "",
   IF(
     COUNTIFS(
       DuLieu!$B:$B,$B26,
       DuLieu!$C:$C,"&gt;="&amp;DATE(YEAR(TODAY()),MONTH(TODAY()),D$2),
       DuLieu!$C:$C,"&lt;"&amp;DATE(YEAR(TODAY()),MONTH(TODAY()),D$2)+1
     )&gt;0,
     "✅",
     "❌"
   )
)</f>
        <v/>
      </c>
      <c r="E26" s="97">
        <f>IF(
   DATE(YEAR(TODAY()),MONTH(TODAY()),E$2) &gt; TODAY(),
   "",
   IF(
     COUNTIFS(
       DuLieu!$B:$B,$B26,
       DuLieu!$C:$C,"&gt;="&amp;DATE(YEAR(TODAY()),MONTH(TODAY()),E$2),
       DuLieu!$C:$C,"&lt;"&amp;DATE(YEAR(TODAY()),MONTH(TODAY()),E$2)+1
     )&gt;0,
     "✅",
     "❌"
   )
)</f>
        <v/>
      </c>
      <c r="F26" s="97">
        <f>IF(
   DATE(YEAR(TODAY()),MONTH(TODAY()),F$2) &gt; TODAY(),
   "",
   IF(
     COUNTIFS(
       DuLieu!$B:$B,$B26,
       DuLieu!$C:$C,"&gt;="&amp;DATE(YEAR(TODAY()),MONTH(TODAY()),F$2),
       DuLieu!$C:$C,"&lt;"&amp;DATE(YEAR(TODAY()),MONTH(TODAY()),F$2)+1
     )&gt;0,
     "✅",
     "❌"
   )
)</f>
        <v/>
      </c>
      <c r="G26" s="29">
        <f>IF(
   DATE(YEAR(TODAY()),MONTH(TODAY()),G$2) &gt; TODAY(),
   "",
   IF(
     COUNTIFS(
       DuLieu!$B:$B,$B26,
       DuLieu!$C:$C,"&gt;="&amp;DATE(YEAR(TODAY()),MONTH(TODAY()),G$2),
       DuLieu!$C:$C,"&lt;"&amp;DATE(YEAR(TODAY()),MONTH(TODAY()),G$2)+1
     )&gt;0,
     "✅",
     "❌"
   )
)</f>
        <v/>
      </c>
      <c r="H26" s="29">
        <f>IF(
   DATE(YEAR(TODAY()),MONTH(TODAY()),H$2) &gt; TODAY(),
   "",
   IF(
     COUNTIFS(
       DuLieu!$B:$B,$B26,
       DuLieu!$C:$C,"&gt;="&amp;DATE(YEAR(TODAY()),MONTH(TODAY()),H$2),
       DuLieu!$C:$C,"&lt;"&amp;DATE(YEAR(TODAY()),MONTH(TODAY()),H$2)+1
     )&gt;0,
     "✅",
     "❌"
   )
)</f>
        <v/>
      </c>
      <c r="I26" s="29">
        <f>IF(
   DATE(YEAR(TODAY()),MONTH(TODAY()),I$2) &gt; TODAY(),
   "",
   IF(
     COUNTIFS(
       DuLieu!$B:$B,$B26,
       DuLieu!$C:$C,"&gt;="&amp;DATE(YEAR(TODAY()),MONTH(TODAY()),I$2),
       DuLieu!$C:$C,"&lt;"&amp;DATE(YEAR(TODAY()),MONTH(TODAY()),I$2)+1
     )&gt;0,
     "✅",
     "❌"
   )
)</f>
        <v/>
      </c>
      <c r="J26" s="29">
        <f>IF(
   DATE(YEAR(TODAY()),MONTH(TODAY()),J$2) &gt; TODAY(),
   "",
   IF(
     COUNTIFS(
       DuLieu!$B:$B,$B26,
       DuLieu!$C:$C,"&gt;="&amp;DATE(YEAR(TODAY()),MONTH(TODAY()),J$2),
       DuLieu!$C:$C,"&lt;"&amp;DATE(YEAR(TODAY()),MONTH(TODAY()),J$2)+1
     )&gt;0,
     "✅",
     "❌"
   )
)</f>
        <v/>
      </c>
      <c r="K26" s="29">
        <f>IF(
   DATE(YEAR(TODAY()),MONTH(TODAY()),K$2) &gt; TODAY(),
   "",
   IF(
     COUNTIFS(
       DuLieu!$B:$B,$B26,
       DuLieu!$C:$C,"&gt;="&amp;DATE(YEAR(TODAY()),MONTH(TODAY()),K$2),
       DuLieu!$C:$C,"&lt;"&amp;DATE(YEAR(TODAY()),MONTH(TODAY()),K$2)+1
     )&gt;0,
     "✅",
     "❌"
   )
)</f>
        <v/>
      </c>
      <c r="L26" s="29">
        <f>IF(
   DATE(YEAR(TODAY()),MONTH(TODAY()),L$2) &gt; TODAY(),
   "",
   IF(
     COUNTIFS(
       DuLieu!$B:$B,$B26,
       DuLieu!$C:$C,"&gt;="&amp;DATE(YEAR(TODAY()),MONTH(TODAY()),L$2),
       DuLieu!$C:$C,"&lt;"&amp;DATE(YEAR(TODAY()),MONTH(TODAY()),L$2)+1
     )&gt;0,
     "✅",
     "❌"
   )
)</f>
        <v/>
      </c>
      <c r="M26" s="29">
        <f>IF(
   DATE(YEAR(TODAY()),MONTH(TODAY()),M$2) &gt; TODAY(),
   "",
   IF(
     COUNTIFS(
       DuLieu!$B:$B,$B26,
       DuLieu!$C:$C,"&gt;="&amp;DATE(YEAR(TODAY()),MONTH(TODAY()),M$2),
       DuLieu!$C:$C,"&lt;"&amp;DATE(YEAR(TODAY()),MONTH(TODAY()),M$2)+1
     )&gt;0,
     "✅",
     "❌"
   )
)</f>
        <v/>
      </c>
      <c r="N26" s="29">
        <f>IF(
   DATE(YEAR(TODAY()),MONTH(TODAY()),N$2) &gt; TODAY(),
   "",
   IF(
     COUNTIFS(
       DuLieu!$B:$B,$B26,
       DuLieu!$C:$C,"&gt;="&amp;DATE(YEAR(TODAY()),MONTH(TODAY()),N$2),
       DuLieu!$C:$C,"&lt;"&amp;DATE(YEAR(TODAY()),MONTH(TODAY()),N$2)+1
     )&gt;0,
     "✅",
     "❌"
   )
)</f>
        <v/>
      </c>
      <c r="O26" s="29">
        <f>IF(
   DATE(YEAR(TODAY()),MONTH(TODAY()),O$2) &gt; TODAY(),
   "",
   IF(
     COUNTIFS(
       DuLieu!$B:$B,$B26,
       DuLieu!$C:$C,"&gt;="&amp;DATE(YEAR(TODAY()),MONTH(TODAY()),O$2),
       DuLieu!$C:$C,"&lt;"&amp;DATE(YEAR(TODAY()),MONTH(TODAY()),O$2)+1
     )&gt;0,
     "✅",
     "❌"
   )
)</f>
        <v/>
      </c>
      <c r="P26" s="29">
        <f>IF(
   DATE(YEAR(TODAY()),MONTH(TODAY()),P$2) &gt; TODAY(),
   "",
   IF(
     COUNTIFS(
       DuLieu!$B:$B,$B26,
       DuLieu!$C:$C,"&gt;="&amp;DATE(YEAR(TODAY()),MONTH(TODAY()),P$2),
       DuLieu!$C:$C,"&lt;"&amp;DATE(YEAR(TODAY()),MONTH(TODAY()),P$2)+1
     )&gt;0,
     "✅",
     "❌"
   )
)</f>
        <v/>
      </c>
      <c r="Q26" s="29">
        <f>IF(
   DATE(YEAR(TODAY()),MONTH(TODAY()),Q$2) &gt; TODAY(),
   "",
   IF(
     COUNTIFS(
       DuLieu!$B:$B,$B26,
       DuLieu!$C:$C,"&gt;="&amp;DATE(YEAR(TODAY()),MONTH(TODAY()),Q$2),
       DuLieu!$C:$C,"&lt;"&amp;DATE(YEAR(TODAY()),MONTH(TODAY()),Q$2)+1
     )&gt;0,
     "✅",
     "❌"
   )
)</f>
        <v/>
      </c>
      <c r="R26" s="29">
        <f>IF(
   DATE(YEAR(TODAY()),MONTH(TODAY()),R$2) &gt; TODAY(),
   "",
   IF(
     COUNTIFS(
       DuLieu!$B:$B,$B26,
       DuLieu!$C:$C,"&gt;="&amp;DATE(YEAR(TODAY()),MONTH(TODAY()),R$2),
       DuLieu!$C:$C,"&lt;"&amp;DATE(YEAR(TODAY()),MONTH(TODAY()),R$2)+1
     )&gt;0,
     "✅",
     "❌"
   )
)</f>
        <v/>
      </c>
      <c r="S26" s="29">
        <f>IF(
   DATE(YEAR(TODAY()),MONTH(TODAY()),S$2) &gt; TODAY(),
   "",
   IF(
     COUNTIFS(
       DuLieu!$B:$B,$B26,
       DuLieu!$C:$C,"&gt;="&amp;DATE(YEAR(TODAY()),MONTH(TODAY()),S$2),
       DuLieu!$C:$C,"&lt;"&amp;DATE(YEAR(TODAY()),MONTH(TODAY()),S$2)+1
     )&gt;0,
     "✅",
     "❌"
   )
)</f>
        <v/>
      </c>
      <c r="T26" s="29">
        <f>IF(
   DATE(YEAR(TODAY()),MONTH(TODAY()),T$2) &gt; TODAY(),
   "",
   IF(
     COUNTIFS(
       DuLieu!$B:$B,$B26,
       DuLieu!$C:$C,"&gt;="&amp;DATE(YEAR(TODAY()),MONTH(TODAY()),T$2),
       DuLieu!$C:$C,"&lt;"&amp;DATE(YEAR(TODAY()),MONTH(TODAY()),T$2)+1
     )&gt;0,
     "✅",
     "❌"
   )
)</f>
        <v/>
      </c>
      <c r="U26" s="29">
        <f>IF(
   DATE(YEAR(TODAY()),MONTH(TODAY()),U$2) &gt; TODAY(),
   "",
   IF(
     COUNTIFS(
       DuLieu!$B:$B,$B26,
       DuLieu!$C:$C,"&gt;="&amp;DATE(YEAR(TODAY()),MONTH(TODAY()),U$2),
       DuLieu!$C:$C,"&lt;"&amp;DATE(YEAR(TODAY()),MONTH(TODAY()),U$2)+1
     )&gt;0,
     "✅",
     "❌"
   )
)</f>
        <v/>
      </c>
      <c r="V26" s="29">
        <f>IF(
   DATE(YEAR(TODAY()),MONTH(TODAY()),V$2) &gt; TODAY(),
   "",
   IF(
     COUNTIFS(
       DuLieu!$B:$B,$B26,
       DuLieu!$C:$C,"&gt;="&amp;DATE(YEAR(TODAY()),MONTH(TODAY()),V$2),
       DuLieu!$C:$C,"&lt;"&amp;DATE(YEAR(TODAY()),MONTH(TODAY()),V$2)+1
     )&gt;0,
     "✅",
     "❌"
   )
)</f>
        <v/>
      </c>
      <c r="W26" s="29">
        <f>IF(
   DATE(YEAR(TODAY()),MONTH(TODAY()),W$2) &gt; TODAY(),
   "",
   IF(
     COUNTIFS(
       DuLieu!$B:$B,$B26,
       DuLieu!$C:$C,"&gt;="&amp;DATE(YEAR(TODAY()),MONTH(TODAY()),W$2),
       DuLieu!$C:$C,"&lt;"&amp;DATE(YEAR(TODAY()),MONTH(TODAY()),W$2)+1
     )&gt;0,
     "✅",
     "❌"
   )
)</f>
        <v/>
      </c>
      <c r="X26" s="29">
        <f>IF(
   DATE(YEAR(TODAY()),MONTH(TODAY()),X$2) &gt; TODAY(),
   "",
   IF(
     COUNTIFS(
       DuLieu!$B:$B,$B26,
       DuLieu!$C:$C,"&gt;="&amp;DATE(YEAR(TODAY()),MONTH(TODAY()),X$2),
       DuLieu!$C:$C,"&lt;"&amp;DATE(YEAR(TODAY()),MONTH(TODAY()),X$2)+1
     )&gt;0,
     "✅",
     "❌"
   )
)</f>
        <v/>
      </c>
      <c r="Y26" s="29">
        <f>IF(
   DATE(YEAR(TODAY()),MONTH(TODAY()),Y$2) &gt; TODAY(),
   "",
   IF(
     COUNTIFS(
       DuLieu!$B:$B,$B26,
       DuLieu!$C:$C,"&gt;="&amp;DATE(YEAR(TODAY()),MONTH(TODAY()),Y$2),
       DuLieu!$C:$C,"&lt;"&amp;DATE(YEAR(TODAY()),MONTH(TODAY()),Y$2)+1
     )&gt;0,
     "✅",
     "❌"
   )
)</f>
        <v/>
      </c>
      <c r="Z26" s="29">
        <f>IF(
   DATE(YEAR(TODAY()),MONTH(TODAY()),Z$2) &gt; TODAY(),
   "",
   IF(
     COUNTIFS(
       DuLieu!$B:$B,$B26,
       DuLieu!$C:$C,"&gt;="&amp;DATE(YEAR(TODAY()),MONTH(TODAY()),Z$2),
       DuLieu!$C:$C,"&lt;"&amp;DATE(YEAR(TODAY()),MONTH(TODAY()),Z$2)+1
     )&gt;0,
     "✅",
     "❌"
   )
)</f>
        <v/>
      </c>
      <c r="AA26" s="29">
        <f>IF(
   DATE(YEAR(TODAY()),MONTH(TODAY()),AA$2) &gt; TODAY(),
   "",
   IF(
     COUNTIFS(
       DuLieu!$B:$B,$B26,
       DuLieu!$C:$C,"&gt;="&amp;DATE(YEAR(TODAY()),MONTH(TODAY()),AA$2),
       DuLieu!$C:$C,"&lt;"&amp;DATE(YEAR(TODAY()),MONTH(TODAY()),AA$2)+1
     )&gt;0,
     "✅",
     "❌"
   )
)</f>
        <v/>
      </c>
      <c r="AB26" s="29">
        <f>IF(
   DATE(YEAR(TODAY()),MONTH(TODAY()),AB$2) &gt; TODAY(),
   "",
   IF(
     COUNTIFS(
       DuLieu!$B:$B,$B26,
       DuLieu!$C:$C,"&gt;="&amp;DATE(YEAR(TODAY()),MONTH(TODAY()),AB$2),
       DuLieu!$C:$C,"&lt;"&amp;DATE(YEAR(TODAY()),MONTH(TODAY()),AB$2)+1
     )&gt;0,
     "✅",
     "❌"
   )
)</f>
        <v/>
      </c>
      <c r="AC26" s="29">
        <f>IF(
   DATE(YEAR(TODAY()),MONTH(TODAY()),AC$2) &gt; TODAY(),
   "",
   IF(
     COUNTIFS(
       DuLieu!$B:$B,$B26,
       DuLieu!$C:$C,"&gt;="&amp;DATE(YEAR(TODAY()),MONTH(TODAY()),AC$2),
       DuLieu!$C:$C,"&lt;"&amp;DATE(YEAR(TODAY()),MONTH(TODAY()),AC$2)+1
     )&gt;0,
     "✅",
     "❌"
   )
)</f>
        <v/>
      </c>
      <c r="AD26" s="29">
        <f>IF(
   DATE(YEAR(TODAY()),MONTH(TODAY()),AD$2) &gt; TODAY(),
   "",
   IF(
     COUNTIFS(
       DuLieu!$B:$B,$B26,
       DuLieu!$C:$C,"&gt;="&amp;DATE(YEAR(TODAY()),MONTH(TODAY()),AD$2),
       DuLieu!$C:$C,"&lt;"&amp;DATE(YEAR(TODAY()),MONTH(TODAY()),AD$2)+1
     )&gt;0,
     "✅",
     "❌"
   )
)</f>
        <v/>
      </c>
      <c r="AE26" s="29">
        <f>IF(
   DATE(YEAR(TODAY()),MONTH(TODAY()),AE$2) &gt; TODAY(),
   "",
   IF(
     COUNTIFS(
       DuLieu!$B:$B,$B26,
       DuLieu!$C:$C,"&gt;="&amp;DATE(YEAR(TODAY()),MONTH(TODAY()),AE$2),
       DuLieu!$C:$C,"&lt;"&amp;DATE(YEAR(TODAY()),MONTH(TODAY()),AE$2)+1
     )&gt;0,
     "✅",
     "❌"
   )
)</f>
        <v/>
      </c>
      <c r="AF26" s="29">
        <f>IF(
   DATE(YEAR(TODAY()),MONTH(TODAY()),AF$2) &gt; TODAY(),
   "",
   IF(
     COUNTIFS(
       DuLieu!$B:$B,$B26,
       DuLieu!$C:$C,"&gt;="&amp;DATE(YEAR(TODAY()),MONTH(TODAY()),AF$2),
       DuLieu!$C:$C,"&lt;"&amp;DATE(YEAR(TODAY()),MONTH(TODAY()),AF$2)+1
     )&gt;0,
     "✅",
     "❌"
   )
)</f>
        <v/>
      </c>
      <c r="AG26" s="29">
        <f>IF(
   DATE(YEAR(TODAY()),MONTH(TODAY()),AG$2) &gt; TODAY(),
   "",
   IF(
     COUNTIFS(
       DuLieu!$B:$B,$B26,
       DuLieu!$C:$C,"&gt;="&amp;DATE(YEAR(TODAY()),MONTH(TODAY()),AG$2),
       DuLieu!$C:$C,"&lt;"&amp;DATE(YEAR(TODAY()),MONTH(TODAY()),AG$2)+1
     )&gt;0,
     "✅",
     "❌"
   )
)</f>
        <v/>
      </c>
    </row>
    <row r="27" ht="16.5" customHeight="1" s="117">
      <c r="A27" s="112" t="n">
        <v>25</v>
      </c>
      <c r="B27" s="27" t="inlineStr">
        <is>
          <t>Đặng Hoài Anh</t>
        </is>
      </c>
      <c r="C27" s="97">
        <f>IF(
   DATE(YEAR(TODAY()),MONTH(TODAY()),C$2) &gt; TODAY(),
   "",
   IF(
     COUNTIFS(
       DuLieu!$B:$B,$B27,
       DuLieu!$C:$C,"&gt;="&amp;DATE(YEAR(TODAY()),MONTH(TODAY()),C$2),
       DuLieu!$C:$C,"&lt;"&amp;DATE(YEAR(TODAY()),MONTH(TODAY()),C$2)+1
     )&gt;0,
     "✅",
     "❌"
   )
)</f>
        <v/>
      </c>
      <c r="D27" s="97">
        <f>IF(
   DATE(YEAR(TODAY()),MONTH(TODAY()),D$2) &gt; TODAY(),
   "",
   IF(
     COUNTIFS(
       DuLieu!$B:$B,$B27,
       DuLieu!$C:$C,"&gt;="&amp;DATE(YEAR(TODAY()),MONTH(TODAY()),D$2),
       DuLieu!$C:$C,"&lt;"&amp;DATE(YEAR(TODAY()),MONTH(TODAY()),D$2)+1
     )&gt;0,
     "✅",
     "❌"
   )
)</f>
        <v/>
      </c>
      <c r="E27" s="97">
        <f>IF(
   DATE(YEAR(TODAY()),MONTH(TODAY()),E$2) &gt; TODAY(),
   "",
   IF(
     COUNTIFS(
       DuLieu!$B:$B,$B27,
       DuLieu!$C:$C,"&gt;="&amp;DATE(YEAR(TODAY()),MONTH(TODAY()),E$2),
       DuLieu!$C:$C,"&lt;"&amp;DATE(YEAR(TODAY()),MONTH(TODAY()),E$2)+1
     )&gt;0,
     "✅",
     "❌"
   )
)</f>
        <v/>
      </c>
      <c r="F27" s="97">
        <f>IF(
   DATE(YEAR(TODAY()),MONTH(TODAY()),F$2) &gt; TODAY(),
   "",
   IF(
     COUNTIFS(
       DuLieu!$B:$B,$B27,
       DuLieu!$C:$C,"&gt;="&amp;DATE(YEAR(TODAY()),MONTH(TODAY()),F$2),
       DuLieu!$C:$C,"&lt;"&amp;DATE(YEAR(TODAY()),MONTH(TODAY()),F$2)+1
     )&gt;0,
     "✅",
     "❌"
   )
)</f>
        <v/>
      </c>
      <c r="G27" s="29">
        <f>IF(
   DATE(YEAR(TODAY()),MONTH(TODAY()),G$2) &gt; TODAY(),
   "",
   IF(
     COUNTIFS(
       DuLieu!$B:$B,$B27,
       DuLieu!$C:$C,"&gt;="&amp;DATE(YEAR(TODAY()),MONTH(TODAY()),G$2),
       DuLieu!$C:$C,"&lt;"&amp;DATE(YEAR(TODAY()),MONTH(TODAY()),G$2)+1
     )&gt;0,
     "✅",
     "❌"
   )
)</f>
        <v/>
      </c>
      <c r="H27" s="29">
        <f>IF(
   DATE(YEAR(TODAY()),MONTH(TODAY()),H$2) &gt; TODAY(),
   "",
   IF(
     COUNTIFS(
       DuLieu!$B:$B,$B27,
       DuLieu!$C:$C,"&gt;="&amp;DATE(YEAR(TODAY()),MONTH(TODAY()),H$2),
       DuLieu!$C:$C,"&lt;"&amp;DATE(YEAR(TODAY()),MONTH(TODAY()),H$2)+1
     )&gt;0,
     "✅",
     "❌"
   )
)</f>
        <v/>
      </c>
      <c r="I27" s="29">
        <f>IF(
   DATE(YEAR(TODAY()),MONTH(TODAY()),I$2) &gt; TODAY(),
   "",
   IF(
     COUNTIFS(
       DuLieu!$B:$B,$B27,
       DuLieu!$C:$C,"&gt;="&amp;DATE(YEAR(TODAY()),MONTH(TODAY()),I$2),
       DuLieu!$C:$C,"&lt;"&amp;DATE(YEAR(TODAY()),MONTH(TODAY()),I$2)+1
     )&gt;0,
     "✅",
     "❌"
   )
)</f>
        <v/>
      </c>
      <c r="J27" s="29">
        <f>IF(
   DATE(YEAR(TODAY()),MONTH(TODAY()),J$2) &gt; TODAY(),
   "",
   IF(
     COUNTIFS(
       DuLieu!$B:$B,$B27,
       DuLieu!$C:$C,"&gt;="&amp;DATE(YEAR(TODAY()),MONTH(TODAY()),J$2),
       DuLieu!$C:$C,"&lt;"&amp;DATE(YEAR(TODAY()),MONTH(TODAY()),J$2)+1
     )&gt;0,
     "✅",
     "❌"
   )
)</f>
        <v/>
      </c>
      <c r="K27" s="29">
        <f>IF(
   DATE(YEAR(TODAY()),MONTH(TODAY()),K$2) &gt; TODAY(),
   "",
   IF(
     COUNTIFS(
       DuLieu!$B:$B,$B27,
       DuLieu!$C:$C,"&gt;="&amp;DATE(YEAR(TODAY()),MONTH(TODAY()),K$2),
       DuLieu!$C:$C,"&lt;"&amp;DATE(YEAR(TODAY()),MONTH(TODAY()),K$2)+1
     )&gt;0,
     "✅",
     "❌"
   )
)</f>
        <v/>
      </c>
      <c r="L27" s="29">
        <f>IF(
   DATE(YEAR(TODAY()),MONTH(TODAY()),L$2) &gt; TODAY(),
   "",
   IF(
     COUNTIFS(
       DuLieu!$B:$B,$B27,
       DuLieu!$C:$C,"&gt;="&amp;DATE(YEAR(TODAY()),MONTH(TODAY()),L$2),
       DuLieu!$C:$C,"&lt;"&amp;DATE(YEAR(TODAY()),MONTH(TODAY()),L$2)+1
     )&gt;0,
     "✅",
     "❌"
   )
)</f>
        <v/>
      </c>
      <c r="M27" s="29">
        <f>IF(
   DATE(YEAR(TODAY()),MONTH(TODAY()),M$2) &gt; TODAY(),
   "",
   IF(
     COUNTIFS(
       DuLieu!$B:$B,$B27,
       DuLieu!$C:$C,"&gt;="&amp;DATE(YEAR(TODAY()),MONTH(TODAY()),M$2),
       DuLieu!$C:$C,"&lt;"&amp;DATE(YEAR(TODAY()),MONTH(TODAY()),M$2)+1
     )&gt;0,
     "✅",
     "❌"
   )
)</f>
        <v/>
      </c>
      <c r="N27" s="29">
        <f>IF(
   DATE(YEAR(TODAY()),MONTH(TODAY()),N$2) &gt; TODAY(),
   "",
   IF(
     COUNTIFS(
       DuLieu!$B:$B,$B27,
       DuLieu!$C:$C,"&gt;="&amp;DATE(YEAR(TODAY()),MONTH(TODAY()),N$2),
       DuLieu!$C:$C,"&lt;"&amp;DATE(YEAR(TODAY()),MONTH(TODAY()),N$2)+1
     )&gt;0,
     "✅",
     "❌"
   )
)</f>
        <v/>
      </c>
      <c r="O27" s="29">
        <f>IF(
   DATE(YEAR(TODAY()),MONTH(TODAY()),O$2) &gt; TODAY(),
   "",
   IF(
     COUNTIFS(
       DuLieu!$B:$B,$B27,
       DuLieu!$C:$C,"&gt;="&amp;DATE(YEAR(TODAY()),MONTH(TODAY()),O$2),
       DuLieu!$C:$C,"&lt;"&amp;DATE(YEAR(TODAY()),MONTH(TODAY()),O$2)+1
     )&gt;0,
     "✅",
     "❌"
   )
)</f>
        <v/>
      </c>
      <c r="P27" s="29">
        <f>IF(
   DATE(YEAR(TODAY()),MONTH(TODAY()),P$2) &gt; TODAY(),
   "",
   IF(
     COUNTIFS(
       DuLieu!$B:$B,$B27,
       DuLieu!$C:$C,"&gt;="&amp;DATE(YEAR(TODAY()),MONTH(TODAY()),P$2),
       DuLieu!$C:$C,"&lt;"&amp;DATE(YEAR(TODAY()),MONTH(TODAY()),P$2)+1
     )&gt;0,
     "✅",
     "❌"
   )
)</f>
        <v/>
      </c>
      <c r="Q27" s="29">
        <f>IF(
   DATE(YEAR(TODAY()),MONTH(TODAY()),Q$2) &gt; TODAY(),
   "",
   IF(
     COUNTIFS(
       DuLieu!$B:$B,$B27,
       DuLieu!$C:$C,"&gt;="&amp;DATE(YEAR(TODAY()),MONTH(TODAY()),Q$2),
       DuLieu!$C:$C,"&lt;"&amp;DATE(YEAR(TODAY()),MONTH(TODAY()),Q$2)+1
     )&gt;0,
     "✅",
     "❌"
   )
)</f>
        <v/>
      </c>
      <c r="R27" s="29">
        <f>IF(
   DATE(YEAR(TODAY()),MONTH(TODAY()),R$2) &gt; TODAY(),
   "",
   IF(
     COUNTIFS(
       DuLieu!$B:$B,$B27,
       DuLieu!$C:$C,"&gt;="&amp;DATE(YEAR(TODAY()),MONTH(TODAY()),R$2),
       DuLieu!$C:$C,"&lt;"&amp;DATE(YEAR(TODAY()),MONTH(TODAY()),R$2)+1
     )&gt;0,
     "✅",
     "❌"
   )
)</f>
        <v/>
      </c>
      <c r="S27" s="29">
        <f>IF(
   DATE(YEAR(TODAY()),MONTH(TODAY()),S$2) &gt; TODAY(),
   "",
   IF(
     COUNTIFS(
       DuLieu!$B:$B,$B27,
       DuLieu!$C:$C,"&gt;="&amp;DATE(YEAR(TODAY()),MONTH(TODAY()),S$2),
       DuLieu!$C:$C,"&lt;"&amp;DATE(YEAR(TODAY()),MONTH(TODAY()),S$2)+1
     )&gt;0,
     "✅",
     "❌"
   )
)</f>
        <v/>
      </c>
      <c r="T27" s="29">
        <f>IF(
   DATE(YEAR(TODAY()),MONTH(TODAY()),T$2) &gt; TODAY(),
   "",
   IF(
     COUNTIFS(
       DuLieu!$B:$B,$B27,
       DuLieu!$C:$C,"&gt;="&amp;DATE(YEAR(TODAY()),MONTH(TODAY()),T$2),
       DuLieu!$C:$C,"&lt;"&amp;DATE(YEAR(TODAY()),MONTH(TODAY()),T$2)+1
     )&gt;0,
     "✅",
     "❌"
   )
)</f>
        <v/>
      </c>
      <c r="U27" s="29">
        <f>IF(
   DATE(YEAR(TODAY()),MONTH(TODAY()),U$2) &gt; TODAY(),
   "",
   IF(
     COUNTIFS(
       DuLieu!$B:$B,$B27,
       DuLieu!$C:$C,"&gt;="&amp;DATE(YEAR(TODAY()),MONTH(TODAY()),U$2),
       DuLieu!$C:$C,"&lt;"&amp;DATE(YEAR(TODAY()),MONTH(TODAY()),U$2)+1
     )&gt;0,
     "✅",
     "❌"
   )
)</f>
        <v/>
      </c>
      <c r="V27" s="29">
        <f>IF(
   DATE(YEAR(TODAY()),MONTH(TODAY()),V$2) &gt; TODAY(),
   "",
   IF(
     COUNTIFS(
       DuLieu!$B:$B,$B27,
       DuLieu!$C:$C,"&gt;="&amp;DATE(YEAR(TODAY()),MONTH(TODAY()),V$2),
       DuLieu!$C:$C,"&lt;"&amp;DATE(YEAR(TODAY()),MONTH(TODAY()),V$2)+1
     )&gt;0,
     "✅",
     "❌"
   )
)</f>
        <v/>
      </c>
      <c r="W27" s="29">
        <f>IF(
   DATE(YEAR(TODAY()),MONTH(TODAY()),W$2) &gt; TODAY(),
   "",
   IF(
     COUNTIFS(
       DuLieu!$B:$B,$B27,
       DuLieu!$C:$C,"&gt;="&amp;DATE(YEAR(TODAY()),MONTH(TODAY()),W$2),
       DuLieu!$C:$C,"&lt;"&amp;DATE(YEAR(TODAY()),MONTH(TODAY()),W$2)+1
     )&gt;0,
     "✅",
     "❌"
   )
)</f>
        <v/>
      </c>
      <c r="X27" s="29">
        <f>IF(
   DATE(YEAR(TODAY()),MONTH(TODAY()),X$2) &gt; TODAY(),
   "",
   IF(
     COUNTIFS(
       DuLieu!$B:$B,$B27,
       DuLieu!$C:$C,"&gt;="&amp;DATE(YEAR(TODAY()),MONTH(TODAY()),X$2),
       DuLieu!$C:$C,"&lt;"&amp;DATE(YEAR(TODAY()),MONTH(TODAY()),X$2)+1
     )&gt;0,
     "✅",
     "❌"
   )
)</f>
        <v/>
      </c>
      <c r="Y27" s="29">
        <f>IF(
   DATE(YEAR(TODAY()),MONTH(TODAY()),Y$2) &gt; TODAY(),
   "",
   IF(
     COUNTIFS(
       DuLieu!$B:$B,$B27,
       DuLieu!$C:$C,"&gt;="&amp;DATE(YEAR(TODAY()),MONTH(TODAY()),Y$2),
       DuLieu!$C:$C,"&lt;"&amp;DATE(YEAR(TODAY()),MONTH(TODAY()),Y$2)+1
     )&gt;0,
     "✅",
     "❌"
   )
)</f>
        <v/>
      </c>
      <c r="Z27" s="29">
        <f>IF(
   DATE(YEAR(TODAY()),MONTH(TODAY()),Z$2) &gt; TODAY(),
   "",
   IF(
     COUNTIFS(
       DuLieu!$B:$B,$B27,
       DuLieu!$C:$C,"&gt;="&amp;DATE(YEAR(TODAY()),MONTH(TODAY()),Z$2),
       DuLieu!$C:$C,"&lt;"&amp;DATE(YEAR(TODAY()),MONTH(TODAY()),Z$2)+1
     )&gt;0,
     "✅",
     "❌"
   )
)</f>
        <v/>
      </c>
      <c r="AA27" s="29">
        <f>IF(
   DATE(YEAR(TODAY()),MONTH(TODAY()),AA$2) &gt; TODAY(),
   "",
   IF(
     COUNTIFS(
       DuLieu!$B:$B,$B27,
       DuLieu!$C:$C,"&gt;="&amp;DATE(YEAR(TODAY()),MONTH(TODAY()),AA$2),
       DuLieu!$C:$C,"&lt;"&amp;DATE(YEAR(TODAY()),MONTH(TODAY()),AA$2)+1
     )&gt;0,
     "✅",
     "❌"
   )
)</f>
        <v/>
      </c>
      <c r="AB27" s="29">
        <f>IF(
   DATE(YEAR(TODAY()),MONTH(TODAY()),AB$2) &gt; TODAY(),
   "",
   IF(
     COUNTIFS(
       DuLieu!$B:$B,$B27,
       DuLieu!$C:$C,"&gt;="&amp;DATE(YEAR(TODAY()),MONTH(TODAY()),AB$2),
       DuLieu!$C:$C,"&lt;"&amp;DATE(YEAR(TODAY()),MONTH(TODAY()),AB$2)+1
     )&gt;0,
     "✅",
     "❌"
   )
)</f>
        <v/>
      </c>
      <c r="AC27" s="29">
        <f>IF(
   DATE(YEAR(TODAY()),MONTH(TODAY()),AC$2) &gt; TODAY(),
   "",
   IF(
     COUNTIFS(
       DuLieu!$B:$B,$B27,
       DuLieu!$C:$C,"&gt;="&amp;DATE(YEAR(TODAY()),MONTH(TODAY()),AC$2),
       DuLieu!$C:$C,"&lt;"&amp;DATE(YEAR(TODAY()),MONTH(TODAY()),AC$2)+1
     )&gt;0,
     "✅",
     "❌"
   )
)</f>
        <v/>
      </c>
      <c r="AD27" s="29">
        <f>IF(
   DATE(YEAR(TODAY()),MONTH(TODAY()),AD$2) &gt; TODAY(),
   "",
   IF(
     COUNTIFS(
       DuLieu!$B:$B,$B27,
       DuLieu!$C:$C,"&gt;="&amp;DATE(YEAR(TODAY()),MONTH(TODAY()),AD$2),
       DuLieu!$C:$C,"&lt;"&amp;DATE(YEAR(TODAY()),MONTH(TODAY()),AD$2)+1
     )&gt;0,
     "✅",
     "❌"
   )
)</f>
        <v/>
      </c>
      <c r="AE27" s="29">
        <f>IF(
   DATE(YEAR(TODAY()),MONTH(TODAY()),AE$2) &gt; TODAY(),
   "",
   IF(
     COUNTIFS(
       DuLieu!$B:$B,$B27,
       DuLieu!$C:$C,"&gt;="&amp;DATE(YEAR(TODAY()),MONTH(TODAY()),AE$2),
       DuLieu!$C:$C,"&lt;"&amp;DATE(YEAR(TODAY()),MONTH(TODAY()),AE$2)+1
     )&gt;0,
     "✅",
     "❌"
   )
)</f>
        <v/>
      </c>
      <c r="AF27" s="29">
        <f>IF(
   DATE(YEAR(TODAY()),MONTH(TODAY()),AF$2) &gt; TODAY(),
   "",
   IF(
     COUNTIFS(
       DuLieu!$B:$B,$B27,
       DuLieu!$C:$C,"&gt;="&amp;DATE(YEAR(TODAY()),MONTH(TODAY()),AF$2),
       DuLieu!$C:$C,"&lt;"&amp;DATE(YEAR(TODAY()),MONTH(TODAY()),AF$2)+1
     )&gt;0,
     "✅",
     "❌"
   )
)</f>
        <v/>
      </c>
      <c r="AG27" s="29">
        <f>IF(
   DATE(YEAR(TODAY()),MONTH(TODAY()),AG$2) &gt; TODAY(),
   "",
   IF(
     COUNTIFS(
       DuLieu!$B:$B,$B27,
       DuLieu!$C:$C,"&gt;="&amp;DATE(YEAR(TODAY()),MONTH(TODAY()),AG$2),
       DuLieu!$C:$C,"&lt;"&amp;DATE(YEAR(TODAY()),MONTH(TODAY()),AG$2)+1
     )&gt;0,
     "✅",
     "❌"
   )
)</f>
        <v/>
      </c>
    </row>
    <row r="28" ht="16.5" customHeight="1" s="117">
      <c r="A28" s="112" t="n">
        <v>26</v>
      </c>
      <c r="B28" s="27" t="inlineStr">
        <is>
          <t>Đặng Hữu Danh</t>
        </is>
      </c>
      <c r="C28" s="97">
        <f>IF(
   DATE(YEAR(TODAY()),MONTH(TODAY()),C$2) &gt; TODAY(),
   "",
   IF(
     COUNTIFS(
       DuLieu!$B:$B,$B28,
       DuLieu!$C:$C,"&gt;="&amp;DATE(YEAR(TODAY()),MONTH(TODAY()),C$2),
       DuLieu!$C:$C,"&lt;"&amp;DATE(YEAR(TODAY()),MONTH(TODAY()),C$2)+1
     )&gt;0,
     "✅",
     "❌"
   )
)</f>
        <v/>
      </c>
      <c r="D28" s="97">
        <f>IF(
   DATE(YEAR(TODAY()),MONTH(TODAY()),D$2) &gt; TODAY(),
   "",
   IF(
     COUNTIFS(
       DuLieu!$B:$B,$B28,
       DuLieu!$C:$C,"&gt;="&amp;DATE(YEAR(TODAY()),MONTH(TODAY()),D$2),
       DuLieu!$C:$C,"&lt;"&amp;DATE(YEAR(TODAY()),MONTH(TODAY()),D$2)+1
     )&gt;0,
     "✅",
     "❌"
   )
)</f>
        <v/>
      </c>
      <c r="E28" s="97">
        <f>IF(
   DATE(YEAR(TODAY()),MONTH(TODAY()),E$2) &gt; TODAY(),
   "",
   IF(
     COUNTIFS(
       DuLieu!$B:$B,$B28,
       DuLieu!$C:$C,"&gt;="&amp;DATE(YEAR(TODAY()),MONTH(TODAY()),E$2),
       DuLieu!$C:$C,"&lt;"&amp;DATE(YEAR(TODAY()),MONTH(TODAY()),E$2)+1
     )&gt;0,
     "✅",
     "❌"
   )
)</f>
        <v/>
      </c>
      <c r="F28" s="97">
        <f>IF(
   DATE(YEAR(TODAY()),MONTH(TODAY()),F$2) &gt; TODAY(),
   "",
   IF(
     COUNTIFS(
       DuLieu!$B:$B,$B28,
       DuLieu!$C:$C,"&gt;="&amp;DATE(YEAR(TODAY()),MONTH(TODAY()),F$2),
       DuLieu!$C:$C,"&lt;"&amp;DATE(YEAR(TODAY()),MONTH(TODAY()),F$2)+1
     )&gt;0,
     "✅",
     "❌"
   )
)</f>
        <v/>
      </c>
      <c r="G28" s="29">
        <f>IF(
   DATE(YEAR(TODAY()),MONTH(TODAY()),G$2) &gt; TODAY(),
   "",
   IF(
     COUNTIFS(
       DuLieu!$B:$B,$B28,
       DuLieu!$C:$C,"&gt;="&amp;DATE(YEAR(TODAY()),MONTH(TODAY()),G$2),
       DuLieu!$C:$C,"&lt;"&amp;DATE(YEAR(TODAY()),MONTH(TODAY()),G$2)+1
     )&gt;0,
     "✅",
     "❌"
   )
)</f>
        <v/>
      </c>
      <c r="H28" s="29">
        <f>IF(
   DATE(YEAR(TODAY()),MONTH(TODAY()),H$2) &gt; TODAY(),
   "",
   IF(
     COUNTIFS(
       DuLieu!$B:$B,$B28,
       DuLieu!$C:$C,"&gt;="&amp;DATE(YEAR(TODAY()),MONTH(TODAY()),H$2),
       DuLieu!$C:$C,"&lt;"&amp;DATE(YEAR(TODAY()),MONTH(TODAY()),H$2)+1
     )&gt;0,
     "✅",
     "❌"
   )
)</f>
        <v/>
      </c>
      <c r="I28" s="29">
        <f>IF(
   DATE(YEAR(TODAY()),MONTH(TODAY()),I$2) &gt; TODAY(),
   "",
   IF(
     COUNTIFS(
       DuLieu!$B:$B,$B28,
       DuLieu!$C:$C,"&gt;="&amp;DATE(YEAR(TODAY()),MONTH(TODAY()),I$2),
       DuLieu!$C:$C,"&lt;"&amp;DATE(YEAR(TODAY()),MONTH(TODAY()),I$2)+1
     )&gt;0,
     "✅",
     "❌"
   )
)</f>
        <v/>
      </c>
      <c r="J28" s="29">
        <f>IF(
   DATE(YEAR(TODAY()),MONTH(TODAY()),J$2) &gt; TODAY(),
   "",
   IF(
     COUNTIFS(
       DuLieu!$B:$B,$B28,
       DuLieu!$C:$C,"&gt;="&amp;DATE(YEAR(TODAY()),MONTH(TODAY()),J$2),
       DuLieu!$C:$C,"&lt;"&amp;DATE(YEAR(TODAY()),MONTH(TODAY()),J$2)+1
     )&gt;0,
     "✅",
     "❌"
   )
)</f>
        <v/>
      </c>
      <c r="K28" s="29">
        <f>IF(
   DATE(YEAR(TODAY()),MONTH(TODAY()),K$2) &gt; TODAY(),
   "",
   IF(
     COUNTIFS(
       DuLieu!$B:$B,$B28,
       DuLieu!$C:$C,"&gt;="&amp;DATE(YEAR(TODAY()),MONTH(TODAY()),K$2),
       DuLieu!$C:$C,"&lt;"&amp;DATE(YEAR(TODAY()),MONTH(TODAY()),K$2)+1
     )&gt;0,
     "✅",
     "❌"
   )
)</f>
        <v/>
      </c>
      <c r="L28" s="29">
        <f>IF(
   DATE(YEAR(TODAY()),MONTH(TODAY()),L$2) &gt; TODAY(),
   "",
   IF(
     COUNTIFS(
       DuLieu!$B:$B,$B28,
       DuLieu!$C:$C,"&gt;="&amp;DATE(YEAR(TODAY()),MONTH(TODAY()),L$2),
       DuLieu!$C:$C,"&lt;"&amp;DATE(YEAR(TODAY()),MONTH(TODAY()),L$2)+1
     )&gt;0,
     "✅",
     "❌"
   )
)</f>
        <v/>
      </c>
      <c r="M28" s="29">
        <f>IF(
   DATE(YEAR(TODAY()),MONTH(TODAY()),M$2) &gt; TODAY(),
   "",
   IF(
     COUNTIFS(
       DuLieu!$B:$B,$B28,
       DuLieu!$C:$C,"&gt;="&amp;DATE(YEAR(TODAY()),MONTH(TODAY()),M$2),
       DuLieu!$C:$C,"&lt;"&amp;DATE(YEAR(TODAY()),MONTH(TODAY()),M$2)+1
     )&gt;0,
     "✅",
     "❌"
   )
)</f>
        <v/>
      </c>
      <c r="N28" s="29">
        <f>IF(
   DATE(YEAR(TODAY()),MONTH(TODAY()),N$2) &gt; TODAY(),
   "",
   IF(
     COUNTIFS(
       DuLieu!$B:$B,$B28,
       DuLieu!$C:$C,"&gt;="&amp;DATE(YEAR(TODAY()),MONTH(TODAY()),N$2),
       DuLieu!$C:$C,"&lt;"&amp;DATE(YEAR(TODAY()),MONTH(TODAY()),N$2)+1
     )&gt;0,
     "✅",
     "❌"
   )
)</f>
        <v/>
      </c>
      <c r="O28" s="29">
        <f>IF(
   DATE(YEAR(TODAY()),MONTH(TODAY()),O$2) &gt; TODAY(),
   "",
   IF(
     COUNTIFS(
       DuLieu!$B:$B,$B28,
       DuLieu!$C:$C,"&gt;="&amp;DATE(YEAR(TODAY()),MONTH(TODAY()),O$2),
       DuLieu!$C:$C,"&lt;"&amp;DATE(YEAR(TODAY()),MONTH(TODAY()),O$2)+1
     )&gt;0,
     "✅",
     "❌"
   )
)</f>
        <v/>
      </c>
      <c r="P28" s="29">
        <f>IF(
   DATE(YEAR(TODAY()),MONTH(TODAY()),P$2) &gt; TODAY(),
   "",
   IF(
     COUNTIFS(
       DuLieu!$B:$B,$B28,
       DuLieu!$C:$C,"&gt;="&amp;DATE(YEAR(TODAY()),MONTH(TODAY()),P$2),
       DuLieu!$C:$C,"&lt;"&amp;DATE(YEAR(TODAY()),MONTH(TODAY()),P$2)+1
     )&gt;0,
     "✅",
     "❌"
   )
)</f>
        <v/>
      </c>
      <c r="Q28" s="29">
        <f>IF(
   DATE(YEAR(TODAY()),MONTH(TODAY()),Q$2) &gt; TODAY(),
   "",
   IF(
     COUNTIFS(
       DuLieu!$B:$B,$B28,
       DuLieu!$C:$C,"&gt;="&amp;DATE(YEAR(TODAY()),MONTH(TODAY()),Q$2),
       DuLieu!$C:$C,"&lt;"&amp;DATE(YEAR(TODAY()),MONTH(TODAY()),Q$2)+1
     )&gt;0,
     "✅",
     "❌"
   )
)</f>
        <v/>
      </c>
      <c r="R28" s="29">
        <f>IF(
   DATE(YEAR(TODAY()),MONTH(TODAY()),R$2) &gt; TODAY(),
   "",
   IF(
     COUNTIFS(
       DuLieu!$B:$B,$B28,
       DuLieu!$C:$C,"&gt;="&amp;DATE(YEAR(TODAY()),MONTH(TODAY()),R$2),
       DuLieu!$C:$C,"&lt;"&amp;DATE(YEAR(TODAY()),MONTH(TODAY()),R$2)+1
     )&gt;0,
     "✅",
     "❌"
   )
)</f>
        <v/>
      </c>
      <c r="S28" s="29">
        <f>IF(
   DATE(YEAR(TODAY()),MONTH(TODAY()),S$2) &gt; TODAY(),
   "",
   IF(
     COUNTIFS(
       DuLieu!$B:$B,$B28,
       DuLieu!$C:$C,"&gt;="&amp;DATE(YEAR(TODAY()),MONTH(TODAY()),S$2),
       DuLieu!$C:$C,"&lt;"&amp;DATE(YEAR(TODAY()),MONTH(TODAY()),S$2)+1
     )&gt;0,
     "✅",
     "❌"
   )
)</f>
        <v/>
      </c>
      <c r="T28" s="29">
        <f>IF(
   DATE(YEAR(TODAY()),MONTH(TODAY()),T$2) &gt; TODAY(),
   "",
   IF(
     COUNTIFS(
       DuLieu!$B:$B,$B28,
       DuLieu!$C:$C,"&gt;="&amp;DATE(YEAR(TODAY()),MONTH(TODAY()),T$2),
       DuLieu!$C:$C,"&lt;"&amp;DATE(YEAR(TODAY()),MONTH(TODAY()),T$2)+1
     )&gt;0,
     "✅",
     "❌"
   )
)</f>
        <v/>
      </c>
      <c r="U28" s="29">
        <f>IF(
   DATE(YEAR(TODAY()),MONTH(TODAY()),U$2) &gt; TODAY(),
   "",
   IF(
     COUNTIFS(
       DuLieu!$B:$B,$B28,
       DuLieu!$C:$C,"&gt;="&amp;DATE(YEAR(TODAY()),MONTH(TODAY()),U$2),
       DuLieu!$C:$C,"&lt;"&amp;DATE(YEAR(TODAY()),MONTH(TODAY()),U$2)+1
     )&gt;0,
     "✅",
     "❌"
   )
)</f>
        <v/>
      </c>
      <c r="V28" s="29">
        <f>IF(
   DATE(YEAR(TODAY()),MONTH(TODAY()),V$2) &gt; TODAY(),
   "",
   IF(
     COUNTIFS(
       DuLieu!$B:$B,$B28,
       DuLieu!$C:$C,"&gt;="&amp;DATE(YEAR(TODAY()),MONTH(TODAY()),V$2),
       DuLieu!$C:$C,"&lt;"&amp;DATE(YEAR(TODAY()),MONTH(TODAY()),V$2)+1
     )&gt;0,
     "✅",
     "❌"
   )
)</f>
        <v/>
      </c>
      <c r="W28" s="29">
        <f>IF(
   DATE(YEAR(TODAY()),MONTH(TODAY()),W$2) &gt; TODAY(),
   "",
   IF(
     COUNTIFS(
       DuLieu!$B:$B,$B28,
       DuLieu!$C:$C,"&gt;="&amp;DATE(YEAR(TODAY()),MONTH(TODAY()),W$2),
       DuLieu!$C:$C,"&lt;"&amp;DATE(YEAR(TODAY()),MONTH(TODAY()),W$2)+1
     )&gt;0,
     "✅",
     "❌"
   )
)</f>
        <v/>
      </c>
      <c r="X28" s="29">
        <f>IF(
   DATE(YEAR(TODAY()),MONTH(TODAY()),X$2) &gt; TODAY(),
   "",
   IF(
     COUNTIFS(
       DuLieu!$B:$B,$B28,
       DuLieu!$C:$C,"&gt;="&amp;DATE(YEAR(TODAY()),MONTH(TODAY()),X$2),
       DuLieu!$C:$C,"&lt;"&amp;DATE(YEAR(TODAY()),MONTH(TODAY()),X$2)+1
     )&gt;0,
     "✅",
     "❌"
   )
)</f>
        <v/>
      </c>
      <c r="Y28" s="29">
        <f>IF(
   DATE(YEAR(TODAY()),MONTH(TODAY()),Y$2) &gt; TODAY(),
   "",
   IF(
     COUNTIFS(
       DuLieu!$B:$B,$B28,
       DuLieu!$C:$C,"&gt;="&amp;DATE(YEAR(TODAY()),MONTH(TODAY()),Y$2),
       DuLieu!$C:$C,"&lt;"&amp;DATE(YEAR(TODAY()),MONTH(TODAY()),Y$2)+1
     )&gt;0,
     "✅",
     "❌"
   )
)</f>
        <v/>
      </c>
      <c r="Z28" s="29">
        <f>IF(
   DATE(YEAR(TODAY()),MONTH(TODAY()),Z$2) &gt; TODAY(),
   "",
   IF(
     COUNTIFS(
       DuLieu!$B:$B,$B28,
       DuLieu!$C:$C,"&gt;="&amp;DATE(YEAR(TODAY()),MONTH(TODAY()),Z$2),
       DuLieu!$C:$C,"&lt;"&amp;DATE(YEAR(TODAY()),MONTH(TODAY()),Z$2)+1
     )&gt;0,
     "✅",
     "❌"
   )
)</f>
        <v/>
      </c>
      <c r="AA28" s="29">
        <f>IF(
   DATE(YEAR(TODAY()),MONTH(TODAY()),AA$2) &gt; TODAY(),
   "",
   IF(
     COUNTIFS(
       DuLieu!$B:$B,$B28,
       DuLieu!$C:$C,"&gt;="&amp;DATE(YEAR(TODAY()),MONTH(TODAY()),AA$2),
       DuLieu!$C:$C,"&lt;"&amp;DATE(YEAR(TODAY()),MONTH(TODAY()),AA$2)+1
     )&gt;0,
     "✅",
     "❌"
   )
)</f>
        <v/>
      </c>
      <c r="AB28" s="29">
        <f>IF(
   DATE(YEAR(TODAY()),MONTH(TODAY()),AB$2) &gt; TODAY(),
   "",
   IF(
     COUNTIFS(
       DuLieu!$B:$B,$B28,
       DuLieu!$C:$C,"&gt;="&amp;DATE(YEAR(TODAY()),MONTH(TODAY()),AB$2),
       DuLieu!$C:$C,"&lt;"&amp;DATE(YEAR(TODAY()),MONTH(TODAY()),AB$2)+1
     )&gt;0,
     "✅",
     "❌"
   )
)</f>
        <v/>
      </c>
      <c r="AC28" s="29">
        <f>IF(
   DATE(YEAR(TODAY()),MONTH(TODAY()),AC$2) &gt; TODAY(),
   "",
   IF(
     COUNTIFS(
       DuLieu!$B:$B,$B28,
       DuLieu!$C:$C,"&gt;="&amp;DATE(YEAR(TODAY()),MONTH(TODAY()),AC$2),
       DuLieu!$C:$C,"&lt;"&amp;DATE(YEAR(TODAY()),MONTH(TODAY()),AC$2)+1
     )&gt;0,
     "✅",
     "❌"
   )
)</f>
        <v/>
      </c>
      <c r="AD28" s="29">
        <f>IF(
   DATE(YEAR(TODAY()),MONTH(TODAY()),AD$2) &gt; TODAY(),
   "",
   IF(
     COUNTIFS(
       DuLieu!$B:$B,$B28,
       DuLieu!$C:$C,"&gt;="&amp;DATE(YEAR(TODAY()),MONTH(TODAY()),AD$2),
       DuLieu!$C:$C,"&lt;"&amp;DATE(YEAR(TODAY()),MONTH(TODAY()),AD$2)+1
     )&gt;0,
     "✅",
     "❌"
   )
)</f>
        <v/>
      </c>
      <c r="AE28" s="29">
        <f>IF(
   DATE(YEAR(TODAY()),MONTH(TODAY()),AE$2) &gt; TODAY(),
   "",
   IF(
     COUNTIFS(
       DuLieu!$B:$B,$B28,
       DuLieu!$C:$C,"&gt;="&amp;DATE(YEAR(TODAY()),MONTH(TODAY()),AE$2),
       DuLieu!$C:$C,"&lt;"&amp;DATE(YEAR(TODAY()),MONTH(TODAY()),AE$2)+1
     )&gt;0,
     "✅",
     "❌"
   )
)</f>
        <v/>
      </c>
      <c r="AF28" s="29">
        <f>IF(
   DATE(YEAR(TODAY()),MONTH(TODAY()),AF$2) &gt; TODAY(),
   "",
   IF(
     COUNTIFS(
       DuLieu!$B:$B,$B28,
       DuLieu!$C:$C,"&gt;="&amp;DATE(YEAR(TODAY()),MONTH(TODAY()),AF$2),
       DuLieu!$C:$C,"&lt;"&amp;DATE(YEAR(TODAY()),MONTH(TODAY()),AF$2)+1
     )&gt;0,
     "✅",
     "❌"
   )
)</f>
        <v/>
      </c>
      <c r="AG28" s="29">
        <f>IF(
   DATE(YEAR(TODAY()),MONTH(TODAY()),AG$2) &gt; TODAY(),
   "",
   IF(
     COUNTIFS(
       DuLieu!$B:$B,$B28,
       DuLieu!$C:$C,"&gt;="&amp;DATE(YEAR(TODAY()),MONTH(TODAY()),AG$2),
       DuLieu!$C:$C,"&lt;"&amp;DATE(YEAR(TODAY()),MONTH(TODAY()),AG$2)+1
     )&gt;0,
     "✅",
     "❌"
   )
)</f>
        <v/>
      </c>
    </row>
    <row r="29" ht="12.75" customHeight="1" s="117">
      <c r="A29" s="91" t="n"/>
      <c r="B29" s="91" t="n"/>
      <c r="C29" s="91" t="n"/>
      <c r="D29" s="91" t="n"/>
      <c r="E29" s="91" t="n"/>
      <c r="F29" s="91" t="n"/>
      <c r="G29" s="91" t="n"/>
      <c r="H29" s="91" t="n"/>
      <c r="I29" s="91" t="n"/>
      <c r="J29" s="91" t="n"/>
      <c r="K29" s="91" t="n"/>
      <c r="L29" s="91" t="n"/>
      <c r="M29" s="91" t="n"/>
      <c r="N29" s="91" t="n"/>
      <c r="O29" s="91" t="n"/>
      <c r="P29" s="91" t="n"/>
      <c r="Q29" s="91" t="n"/>
      <c r="R29" s="91" t="n"/>
      <c r="S29" s="91" t="n"/>
      <c r="T29" s="91" t="n"/>
      <c r="U29" s="91" t="n"/>
      <c r="V29" s="91" t="n"/>
      <c r="W29" s="91" t="n"/>
      <c r="X29" s="91" t="n"/>
      <c r="Y29" s="91" t="n"/>
      <c r="Z29" s="91" t="n"/>
      <c r="AA29" s="91" t="n"/>
      <c r="AB29" s="91" t="n"/>
      <c r="AC29" s="91" t="n"/>
      <c r="AD29" s="91" t="n"/>
      <c r="AE29" s="91" t="n"/>
      <c r="AF29" s="91" t="n"/>
      <c r="AG29" s="91" t="n"/>
    </row>
    <row r="30" ht="12.75" customHeight="1" s="117">
      <c r="A30" s="91" t="n"/>
      <c r="B30" s="91" t="n"/>
      <c r="C30" s="91" t="n"/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  <c r="M30" s="91" t="n"/>
      <c r="N30" s="91" t="n"/>
      <c r="O30" s="91" t="n"/>
      <c r="P30" s="91" t="n"/>
      <c r="Q30" s="91" t="n"/>
      <c r="R30" s="91" t="n"/>
      <c r="S30" s="91" t="n"/>
      <c r="T30" s="91" t="n"/>
      <c r="U30" s="91" t="n"/>
      <c r="V30" s="91" t="n"/>
      <c r="W30" s="91" t="n"/>
      <c r="X30" s="91" t="n"/>
      <c r="Y30" s="91" t="n"/>
      <c r="Z30" s="91" t="n"/>
      <c r="AA30" s="91" t="n"/>
      <c r="AB30" s="91" t="n"/>
      <c r="AC30" s="91" t="n"/>
      <c r="AD30" s="91" t="n"/>
      <c r="AE30" s="91" t="n"/>
      <c r="AF30" s="91" t="n"/>
      <c r="AG30" s="91" t="n"/>
    </row>
    <row r="31" ht="12.75" customHeight="1" s="117">
      <c r="A31" s="91" t="n"/>
      <c r="B31" s="91" t="n"/>
      <c r="C31" s="91" t="n"/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1" t="n"/>
      <c r="N31" s="91" t="n"/>
      <c r="O31" s="91" t="n"/>
      <c r="P31" s="91" t="n"/>
      <c r="Q31" s="91" t="n"/>
      <c r="R31" s="91" t="n"/>
      <c r="S31" s="91" t="n"/>
      <c r="T31" s="91" t="n"/>
      <c r="U31" s="91" t="n"/>
      <c r="V31" s="91" t="n"/>
      <c r="W31" s="91" t="n"/>
      <c r="X31" s="91" t="n"/>
      <c r="Y31" s="91" t="n"/>
      <c r="Z31" s="91" t="n"/>
      <c r="AA31" s="91" t="n"/>
      <c r="AB31" s="91" t="n"/>
      <c r="AC31" s="91" t="n"/>
      <c r="AD31" s="91" t="n"/>
      <c r="AE31" s="91" t="n"/>
      <c r="AF31" s="91" t="n"/>
      <c r="AG31" s="91" t="n"/>
    </row>
    <row r="32" ht="12.75" customHeight="1" s="117">
      <c r="A32" s="91" t="n"/>
      <c r="B32" s="91" t="n"/>
      <c r="C32" s="91" t="n"/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  <c r="M32" s="91" t="n"/>
      <c r="N32" s="91" t="n"/>
      <c r="O32" s="91" t="n"/>
      <c r="P32" s="91" t="n"/>
      <c r="Q32" s="91" t="n"/>
      <c r="R32" s="91" t="n"/>
      <c r="S32" s="91" t="n"/>
      <c r="T32" s="91" t="n"/>
      <c r="U32" s="91" t="n"/>
      <c r="V32" s="91" t="n"/>
      <c r="W32" s="91" t="n"/>
      <c r="X32" s="91" t="n"/>
      <c r="Y32" s="91" t="n"/>
      <c r="Z32" s="91" t="n"/>
      <c r="AA32" s="91" t="n"/>
      <c r="AB32" s="91" t="n"/>
      <c r="AC32" s="91" t="n"/>
      <c r="AD32" s="91" t="n"/>
      <c r="AE32" s="91" t="n"/>
      <c r="AF32" s="91" t="n"/>
      <c r="AG32" s="91" t="n"/>
    </row>
    <row r="33" ht="12.75" customHeight="1" s="117">
      <c r="A33" s="91" t="n"/>
      <c r="B33" s="91" t="n"/>
      <c r="C33" s="91" t="n"/>
      <c r="D33" s="91" t="n"/>
      <c r="E33" s="91" t="n"/>
      <c r="F33" s="91" t="n"/>
      <c r="G33" s="91" t="n"/>
      <c r="H33" s="91" t="n"/>
      <c r="I33" s="91" t="n"/>
      <c r="J33" s="91" t="n"/>
      <c r="K33" s="91" t="n"/>
      <c r="L33" s="91" t="n"/>
      <c r="M33" s="91" t="n"/>
      <c r="N33" s="91" t="n"/>
      <c r="O33" s="91" t="n"/>
      <c r="P33" s="91" t="n"/>
      <c r="Q33" s="91" t="n"/>
      <c r="R33" s="91" t="n"/>
      <c r="S33" s="91" t="n"/>
      <c r="T33" s="91" t="n"/>
      <c r="U33" s="91" t="n"/>
      <c r="V33" s="91" t="n"/>
      <c r="W33" s="91" t="n"/>
      <c r="X33" s="91" t="n"/>
      <c r="Y33" s="91" t="n"/>
      <c r="Z33" s="91" t="n"/>
      <c r="AA33" s="91" t="n"/>
      <c r="AB33" s="91" t="n"/>
      <c r="AC33" s="91" t="n"/>
      <c r="AD33" s="91" t="n"/>
      <c r="AE33" s="91" t="n"/>
      <c r="AF33" s="91" t="n"/>
      <c r="AG33" s="91" t="n"/>
    </row>
    <row r="34" ht="12.75" customHeight="1" s="117">
      <c r="A34" s="91" t="n"/>
      <c r="B34" s="91" t="n"/>
      <c r="C34" s="91" t="n"/>
      <c r="D34" s="91" t="n"/>
      <c r="E34" s="91" t="n"/>
      <c r="F34" s="91" t="n"/>
      <c r="G34" s="91" t="n"/>
      <c r="H34" s="91" t="n"/>
      <c r="I34" s="91" t="n"/>
      <c r="J34" s="91" t="n"/>
      <c r="K34" s="91" t="n"/>
      <c r="L34" s="91" t="n"/>
      <c r="M34" s="91" t="n"/>
      <c r="N34" s="91" t="n"/>
      <c r="O34" s="91" t="n"/>
      <c r="P34" s="91" t="n"/>
      <c r="Q34" s="91" t="n"/>
      <c r="R34" s="91" t="n"/>
      <c r="S34" s="91" t="n"/>
      <c r="T34" s="91" t="n"/>
      <c r="U34" s="91" t="n"/>
      <c r="V34" s="91" t="n"/>
      <c r="W34" s="91" t="n"/>
      <c r="X34" s="91" t="n"/>
      <c r="Y34" s="91" t="n"/>
      <c r="Z34" s="91" t="n"/>
      <c r="AA34" s="91" t="n"/>
      <c r="AB34" s="91" t="n"/>
      <c r="AC34" s="91" t="n"/>
      <c r="AD34" s="91" t="n"/>
      <c r="AE34" s="91" t="n"/>
      <c r="AF34" s="91" t="n"/>
      <c r="AG34" s="91" t="n"/>
    </row>
    <row r="35" ht="12.75" customHeight="1" s="117">
      <c r="A35" s="91" t="n"/>
      <c r="B35" s="91" t="n"/>
      <c r="C35" s="91" t="n"/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  <c r="M35" s="91" t="n"/>
      <c r="N35" s="91" t="n"/>
      <c r="O35" s="91" t="n"/>
      <c r="P35" s="91" t="n"/>
      <c r="Q35" s="91" t="n"/>
      <c r="R35" s="91" t="n"/>
      <c r="S35" s="91" t="n"/>
      <c r="T35" s="91" t="n"/>
      <c r="U35" s="91" t="n"/>
      <c r="V35" s="91" t="n"/>
      <c r="W35" s="91" t="n"/>
      <c r="X35" s="91" t="n"/>
      <c r="Y35" s="91" t="n"/>
      <c r="Z35" s="91" t="n"/>
      <c r="AA35" s="91" t="n"/>
      <c r="AB35" s="91" t="n"/>
      <c r="AC35" s="91" t="n"/>
      <c r="AD35" s="91" t="n"/>
      <c r="AE35" s="91" t="n"/>
      <c r="AF35" s="91" t="n"/>
      <c r="AG35" s="91" t="n"/>
    </row>
    <row r="36" ht="12.75" customHeight="1" s="117">
      <c r="A36" s="91" t="n"/>
      <c r="B36" s="91" t="n"/>
      <c r="C36" s="91" t="n"/>
      <c r="D36" s="91" t="n"/>
      <c r="E36" s="91" t="n"/>
      <c r="F36" s="91" t="n"/>
      <c r="G36" s="91" t="n"/>
      <c r="H36" s="91" t="n"/>
      <c r="I36" s="91" t="n"/>
      <c r="J36" s="91" t="n"/>
      <c r="K36" s="91" t="n"/>
      <c r="L36" s="91" t="n"/>
      <c r="M36" s="91" t="n"/>
      <c r="N36" s="91" t="n"/>
      <c r="O36" s="91" t="n"/>
      <c r="P36" s="91" t="n"/>
      <c r="Q36" s="91" t="n"/>
      <c r="R36" s="91" t="n"/>
      <c r="S36" s="91" t="n"/>
      <c r="T36" s="91" t="n"/>
      <c r="U36" s="91" t="n"/>
      <c r="V36" s="91" t="n"/>
      <c r="W36" s="91" t="n"/>
      <c r="X36" s="91" t="n"/>
      <c r="Y36" s="91" t="n"/>
      <c r="Z36" s="91" t="n"/>
      <c r="AA36" s="91" t="n"/>
      <c r="AB36" s="91" t="n"/>
      <c r="AC36" s="91" t="n"/>
      <c r="AD36" s="91" t="n"/>
      <c r="AE36" s="91" t="n"/>
      <c r="AF36" s="91" t="n"/>
      <c r="AG36" s="91" t="n"/>
    </row>
    <row r="37" ht="12.75" customHeight="1" s="117">
      <c r="A37" s="91" t="n"/>
      <c r="B37" s="91" t="n"/>
      <c r="C37" s="91" t="n"/>
      <c r="D37" s="91" t="n"/>
      <c r="E37" s="91" t="n"/>
      <c r="F37" s="91" t="n"/>
      <c r="G37" s="91" t="n"/>
      <c r="H37" s="91" t="n"/>
      <c r="I37" s="91" t="n"/>
      <c r="J37" s="91" t="n"/>
      <c r="K37" s="91" t="n"/>
      <c r="L37" s="91" t="n"/>
      <c r="M37" s="91" t="n"/>
      <c r="N37" s="91" t="n"/>
      <c r="O37" s="91" t="n"/>
      <c r="P37" s="91" t="n"/>
      <c r="Q37" s="91" t="n"/>
      <c r="R37" s="91" t="n"/>
      <c r="S37" s="91" t="n"/>
      <c r="T37" s="91" t="n"/>
      <c r="U37" s="91" t="n"/>
      <c r="V37" s="91" t="n"/>
      <c r="W37" s="91" t="n"/>
      <c r="X37" s="91" t="n"/>
      <c r="Y37" s="91" t="n"/>
      <c r="Z37" s="91" t="n"/>
      <c r="AA37" s="91" t="n"/>
      <c r="AB37" s="91" t="n"/>
      <c r="AC37" s="91" t="n"/>
      <c r="AD37" s="91" t="n"/>
      <c r="AE37" s="91" t="n"/>
      <c r="AF37" s="91" t="n"/>
      <c r="AG37" s="91" t="n"/>
    </row>
    <row r="38" ht="12.75" customHeight="1" s="117">
      <c r="A38" s="91" t="n"/>
      <c r="B38" s="91" t="n"/>
      <c r="C38" s="91" t="n"/>
      <c r="D38" s="91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91" t="n"/>
      <c r="T38" s="91" t="n"/>
      <c r="U38" s="91" t="n"/>
      <c r="V38" s="91" t="n"/>
      <c r="W38" s="91" t="n"/>
      <c r="X38" s="91" t="n"/>
      <c r="Y38" s="91" t="n"/>
      <c r="Z38" s="91" t="n"/>
      <c r="AA38" s="91" t="n"/>
      <c r="AB38" s="91" t="n"/>
      <c r="AC38" s="91" t="n"/>
      <c r="AD38" s="91" t="n"/>
      <c r="AE38" s="91" t="n"/>
      <c r="AF38" s="91" t="n"/>
      <c r="AG38" s="91" t="n"/>
    </row>
    <row r="39" ht="12.75" customHeight="1" s="117">
      <c r="A39" s="91" t="n"/>
      <c r="B39" s="91" t="n"/>
      <c r="C39" s="91" t="n"/>
      <c r="D39" s="91" t="n"/>
      <c r="E39" s="91" t="n"/>
      <c r="F39" s="91" t="n"/>
      <c r="G39" s="91" t="n"/>
      <c r="H39" s="91" t="n"/>
      <c r="I39" s="91" t="n"/>
      <c r="J39" s="91" t="n"/>
      <c r="K39" s="91" t="n"/>
      <c r="L39" s="91" t="n"/>
      <c r="M39" s="91" t="n"/>
      <c r="N39" s="91" t="n"/>
      <c r="O39" s="91" t="n"/>
      <c r="P39" s="91" t="n"/>
      <c r="Q39" s="91" t="n"/>
      <c r="R39" s="91" t="n"/>
      <c r="S39" s="91" t="n"/>
      <c r="T39" s="91" t="n"/>
      <c r="U39" s="91" t="n"/>
      <c r="V39" s="91" t="n"/>
      <c r="W39" s="91" t="n"/>
      <c r="X39" s="91" t="n"/>
      <c r="Y39" s="91" t="n"/>
      <c r="Z39" s="91" t="n"/>
      <c r="AA39" s="91" t="n"/>
      <c r="AB39" s="91" t="n"/>
      <c r="AC39" s="91" t="n"/>
      <c r="AD39" s="91" t="n"/>
      <c r="AE39" s="91" t="n"/>
      <c r="AF39" s="91" t="n"/>
      <c r="AG39" s="91" t="n"/>
    </row>
    <row r="40" ht="12.75" customHeight="1" s="117">
      <c r="A40" s="91" t="n"/>
      <c r="B40" s="91" t="n"/>
      <c r="C40" s="91" t="n"/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91" t="n"/>
      <c r="T40" s="91" t="n"/>
      <c r="U40" s="91" t="n"/>
      <c r="V40" s="91" t="n"/>
      <c r="W40" s="91" t="n"/>
      <c r="X40" s="91" t="n"/>
      <c r="Y40" s="91" t="n"/>
      <c r="Z40" s="91" t="n"/>
      <c r="AA40" s="91" t="n"/>
      <c r="AB40" s="91" t="n"/>
      <c r="AC40" s="91" t="n"/>
      <c r="AD40" s="91" t="n"/>
      <c r="AE40" s="91" t="n"/>
      <c r="AF40" s="91" t="n"/>
      <c r="AG40" s="91" t="n"/>
    </row>
    <row r="41" ht="12.75" customHeight="1" s="117">
      <c r="A41" s="91" t="n"/>
      <c r="B41" s="91" t="n"/>
      <c r="C41" s="91" t="n"/>
      <c r="D41" s="91" t="n"/>
      <c r="E41" s="91" t="n"/>
      <c r="F41" s="91" t="n"/>
      <c r="G41" s="91" t="n"/>
      <c r="H41" s="91" t="n"/>
      <c r="I41" s="91" t="n"/>
      <c r="J41" s="91" t="n"/>
      <c r="K41" s="91" t="n"/>
      <c r="L41" s="91" t="n"/>
      <c r="M41" s="91" t="n"/>
      <c r="N41" s="91" t="n"/>
      <c r="O41" s="91" t="n"/>
      <c r="P41" s="91" t="n"/>
      <c r="Q41" s="91" t="n"/>
      <c r="R41" s="91" t="n"/>
      <c r="S41" s="91" t="n"/>
      <c r="T41" s="91" t="n"/>
      <c r="U41" s="91" t="n"/>
      <c r="V41" s="91" t="n"/>
      <c r="W41" s="91" t="n"/>
      <c r="X41" s="91" t="n"/>
      <c r="Y41" s="91" t="n"/>
      <c r="Z41" s="91" t="n"/>
      <c r="AA41" s="91" t="n"/>
      <c r="AB41" s="91" t="n"/>
      <c r="AC41" s="91" t="n"/>
      <c r="AD41" s="91" t="n"/>
      <c r="AE41" s="91" t="n"/>
      <c r="AF41" s="91" t="n"/>
      <c r="AG41" s="91" t="n"/>
    </row>
    <row r="42" ht="12.75" customHeight="1" s="117">
      <c r="A42" s="91" t="n"/>
      <c r="B42" s="91" t="n"/>
      <c r="C42" s="91" t="n"/>
      <c r="D42" s="91" t="n"/>
      <c r="E42" s="91" t="n"/>
      <c r="F42" s="91" t="n"/>
      <c r="G42" s="91" t="n"/>
      <c r="H42" s="91" t="n"/>
      <c r="I42" s="91" t="n"/>
      <c r="J42" s="91" t="n"/>
      <c r="K42" s="91" t="n"/>
      <c r="L42" s="91" t="n"/>
      <c r="M42" s="91" t="n"/>
      <c r="N42" s="91" t="n"/>
      <c r="O42" s="91" t="n"/>
      <c r="P42" s="91" t="n"/>
      <c r="Q42" s="91" t="n"/>
      <c r="R42" s="91" t="n"/>
      <c r="S42" s="91" t="n"/>
      <c r="T42" s="91" t="n"/>
      <c r="U42" s="91" t="n"/>
      <c r="V42" s="91" t="n"/>
      <c r="W42" s="91" t="n"/>
      <c r="X42" s="91" t="n"/>
      <c r="Y42" s="91" t="n"/>
      <c r="Z42" s="91" t="n"/>
      <c r="AA42" s="91" t="n"/>
      <c r="AB42" s="91" t="n"/>
      <c r="AC42" s="91" t="n"/>
      <c r="AD42" s="91" t="n"/>
      <c r="AE42" s="91" t="n"/>
      <c r="AF42" s="91" t="n"/>
      <c r="AG42" s="91" t="n"/>
    </row>
    <row r="43" ht="12.75" customHeight="1" s="117">
      <c r="A43" s="91" t="n"/>
      <c r="B43" s="91" t="n"/>
      <c r="C43" s="91" t="n"/>
      <c r="D43" s="91" t="n"/>
      <c r="E43" s="91" t="n"/>
      <c r="F43" s="91" t="n"/>
      <c r="G43" s="91" t="n"/>
      <c r="H43" s="91" t="n"/>
      <c r="I43" s="91" t="n"/>
      <c r="J43" s="91" t="n"/>
      <c r="K43" s="91" t="n"/>
      <c r="L43" s="91" t="n"/>
      <c r="M43" s="91" t="n"/>
      <c r="N43" s="91" t="n"/>
      <c r="O43" s="91" t="n"/>
      <c r="P43" s="91" t="n"/>
      <c r="Q43" s="91" t="n"/>
      <c r="R43" s="91" t="n"/>
      <c r="S43" s="91" t="n"/>
      <c r="T43" s="91" t="n"/>
      <c r="U43" s="91" t="n"/>
      <c r="V43" s="91" t="n"/>
      <c r="W43" s="91" t="n"/>
      <c r="X43" s="91" t="n"/>
      <c r="Y43" s="91" t="n"/>
      <c r="Z43" s="91" t="n"/>
      <c r="AA43" s="91" t="n"/>
      <c r="AB43" s="91" t="n"/>
      <c r="AC43" s="91" t="n"/>
      <c r="AD43" s="91" t="n"/>
      <c r="AE43" s="91" t="n"/>
      <c r="AF43" s="91" t="n"/>
      <c r="AG43" s="91" t="n"/>
    </row>
    <row r="44" ht="12.75" customHeight="1" s="117">
      <c r="A44" s="91" t="n"/>
      <c r="B44" s="91" t="n"/>
      <c r="C44" s="91" t="n"/>
      <c r="D44" s="91" t="n"/>
      <c r="E44" s="91" t="n"/>
      <c r="F44" s="91" t="n"/>
      <c r="G44" s="91" t="n"/>
      <c r="H44" s="91" t="n"/>
      <c r="I44" s="91" t="n"/>
      <c r="J44" s="91" t="n"/>
      <c r="K44" s="91" t="n"/>
      <c r="L44" s="91" t="n"/>
      <c r="M44" s="91" t="n"/>
      <c r="N44" s="91" t="n"/>
      <c r="O44" s="91" t="n"/>
      <c r="P44" s="91" t="n"/>
      <c r="Q44" s="91" t="n"/>
      <c r="R44" s="91" t="n"/>
      <c r="S44" s="91" t="n"/>
      <c r="T44" s="91" t="n"/>
      <c r="U44" s="91" t="n"/>
      <c r="V44" s="91" t="n"/>
      <c r="W44" s="91" t="n"/>
      <c r="X44" s="91" t="n"/>
      <c r="Y44" s="91" t="n"/>
      <c r="Z44" s="91" t="n"/>
      <c r="AA44" s="91" t="n"/>
      <c r="AB44" s="91" t="n"/>
      <c r="AC44" s="91" t="n"/>
      <c r="AD44" s="91" t="n"/>
      <c r="AE44" s="91" t="n"/>
      <c r="AF44" s="91" t="n"/>
      <c r="AG44" s="91" t="n"/>
    </row>
    <row r="45" ht="12.75" customHeight="1" s="117">
      <c r="A45" s="91" t="n"/>
      <c r="B45" s="91" t="n"/>
      <c r="C45" s="91" t="n"/>
      <c r="D45" s="91" t="n"/>
      <c r="E45" s="91" t="n"/>
      <c r="F45" s="91" t="n"/>
      <c r="G45" s="91" t="n"/>
      <c r="H45" s="91" t="n"/>
      <c r="I45" s="91" t="n"/>
      <c r="J45" s="91" t="n"/>
      <c r="K45" s="91" t="n"/>
      <c r="L45" s="91" t="n"/>
      <c r="M45" s="91" t="n"/>
      <c r="N45" s="91" t="n"/>
      <c r="O45" s="91" t="n"/>
      <c r="P45" s="91" t="n"/>
      <c r="Q45" s="91" t="n"/>
      <c r="R45" s="91" t="n"/>
      <c r="S45" s="91" t="n"/>
      <c r="T45" s="91" t="n"/>
      <c r="U45" s="91" t="n"/>
      <c r="V45" s="91" t="n"/>
      <c r="W45" s="91" t="n"/>
      <c r="X45" s="91" t="n"/>
      <c r="Y45" s="91" t="n"/>
      <c r="Z45" s="91" t="n"/>
      <c r="AA45" s="91" t="n"/>
      <c r="AB45" s="91" t="n"/>
      <c r="AC45" s="91" t="n"/>
      <c r="AD45" s="91" t="n"/>
      <c r="AE45" s="91" t="n"/>
      <c r="AF45" s="91" t="n"/>
      <c r="AG45" s="91" t="n"/>
    </row>
    <row r="46" ht="12.75" customHeight="1" s="117">
      <c r="A46" s="91" t="n"/>
      <c r="B46" s="91" t="n"/>
      <c r="C46" s="91" t="n"/>
      <c r="D46" s="91" t="n"/>
      <c r="E46" s="91" t="n"/>
      <c r="F46" s="91" t="n"/>
      <c r="G46" s="91" t="n"/>
      <c r="H46" s="91" t="n"/>
      <c r="I46" s="91" t="n"/>
      <c r="J46" s="91" t="n"/>
      <c r="K46" s="91" t="n"/>
      <c r="L46" s="91" t="n"/>
      <c r="M46" s="91" t="n"/>
      <c r="N46" s="91" t="n"/>
      <c r="O46" s="91" t="n"/>
      <c r="P46" s="91" t="n"/>
      <c r="Q46" s="91" t="n"/>
      <c r="R46" s="91" t="n"/>
      <c r="S46" s="91" t="n"/>
      <c r="T46" s="91" t="n"/>
      <c r="U46" s="91" t="n"/>
      <c r="V46" s="91" t="n"/>
      <c r="W46" s="91" t="n"/>
      <c r="X46" s="91" t="n"/>
      <c r="Y46" s="91" t="n"/>
      <c r="Z46" s="91" t="n"/>
      <c r="AA46" s="91" t="n"/>
      <c r="AB46" s="91" t="n"/>
      <c r="AC46" s="91" t="n"/>
      <c r="AD46" s="91" t="n"/>
      <c r="AE46" s="91" t="n"/>
      <c r="AF46" s="91" t="n"/>
      <c r="AG46" s="91" t="n"/>
    </row>
    <row r="47" ht="12.75" customHeight="1" s="117">
      <c r="A47" s="91" t="n"/>
      <c r="B47" s="91" t="n"/>
      <c r="C47" s="91" t="n"/>
      <c r="D47" s="91" t="n"/>
      <c r="E47" s="91" t="n"/>
      <c r="F47" s="91" t="n"/>
      <c r="G47" s="91" t="n"/>
      <c r="H47" s="91" t="n"/>
      <c r="I47" s="91" t="n"/>
      <c r="J47" s="91" t="n"/>
      <c r="K47" s="91" t="n"/>
      <c r="L47" s="91" t="n"/>
      <c r="M47" s="91" t="n"/>
      <c r="N47" s="91" t="n"/>
      <c r="O47" s="91" t="n"/>
      <c r="P47" s="91" t="n"/>
      <c r="Q47" s="91" t="n"/>
      <c r="R47" s="91" t="n"/>
      <c r="S47" s="91" t="n"/>
      <c r="T47" s="91" t="n"/>
      <c r="U47" s="91" t="n"/>
      <c r="V47" s="91" t="n"/>
      <c r="W47" s="91" t="n"/>
      <c r="X47" s="91" t="n"/>
      <c r="Y47" s="91" t="n"/>
      <c r="Z47" s="91" t="n"/>
      <c r="AA47" s="91" t="n"/>
      <c r="AB47" s="91" t="n"/>
      <c r="AC47" s="91" t="n"/>
      <c r="AD47" s="91" t="n"/>
      <c r="AE47" s="91" t="n"/>
      <c r="AF47" s="91" t="n"/>
      <c r="AG47" s="91" t="n"/>
    </row>
    <row r="48" ht="12.75" customHeight="1" s="117">
      <c r="A48" s="91" t="n"/>
      <c r="B48" s="91" t="n"/>
      <c r="C48" s="91" t="n"/>
      <c r="D48" s="91" t="n"/>
      <c r="E48" s="91" t="n"/>
      <c r="F48" s="91" t="n"/>
      <c r="G48" s="91" t="n"/>
      <c r="H48" s="91" t="n"/>
      <c r="I48" s="91" t="n"/>
      <c r="J48" s="91" t="n"/>
      <c r="K48" s="91" t="n"/>
      <c r="L48" s="91" t="n"/>
      <c r="M48" s="91" t="n"/>
      <c r="N48" s="91" t="n"/>
      <c r="O48" s="91" t="n"/>
      <c r="P48" s="91" t="n"/>
      <c r="Q48" s="91" t="n"/>
      <c r="R48" s="91" t="n"/>
      <c r="S48" s="91" t="n"/>
      <c r="T48" s="91" t="n"/>
      <c r="U48" s="91" t="n"/>
      <c r="V48" s="91" t="n"/>
      <c r="W48" s="91" t="n"/>
      <c r="X48" s="91" t="n"/>
      <c r="Y48" s="91" t="n"/>
      <c r="Z48" s="91" t="n"/>
      <c r="AA48" s="91" t="n"/>
      <c r="AB48" s="91" t="n"/>
      <c r="AC48" s="91" t="n"/>
      <c r="AD48" s="91" t="n"/>
      <c r="AE48" s="91" t="n"/>
      <c r="AF48" s="91" t="n"/>
      <c r="AG48" s="91" t="n"/>
    </row>
    <row r="49" ht="12.75" customHeight="1" s="117">
      <c r="A49" s="91" t="n"/>
      <c r="B49" s="91" t="n"/>
      <c r="C49" s="91" t="n"/>
      <c r="D49" s="91" t="n"/>
      <c r="E49" s="91" t="n"/>
      <c r="F49" s="91" t="n"/>
      <c r="G49" s="91" t="n"/>
      <c r="H49" s="91" t="n"/>
      <c r="I49" s="91" t="n"/>
      <c r="J49" s="91" t="n"/>
      <c r="K49" s="91" t="n"/>
      <c r="L49" s="91" t="n"/>
      <c r="M49" s="91" t="n"/>
      <c r="N49" s="91" t="n"/>
      <c r="O49" s="91" t="n"/>
      <c r="P49" s="91" t="n"/>
      <c r="Q49" s="91" t="n"/>
      <c r="R49" s="91" t="n"/>
      <c r="S49" s="91" t="n"/>
      <c r="T49" s="91" t="n"/>
      <c r="U49" s="91" t="n"/>
      <c r="V49" s="91" t="n"/>
      <c r="W49" s="91" t="n"/>
      <c r="X49" s="91" t="n"/>
      <c r="Y49" s="91" t="n"/>
      <c r="Z49" s="91" t="n"/>
      <c r="AA49" s="91" t="n"/>
      <c r="AB49" s="91" t="n"/>
      <c r="AC49" s="91" t="n"/>
      <c r="AD49" s="91" t="n"/>
      <c r="AE49" s="91" t="n"/>
      <c r="AF49" s="91" t="n"/>
      <c r="AG49" s="91" t="n"/>
    </row>
    <row r="50" ht="12.75" customHeight="1" s="117">
      <c r="A50" s="91" t="n"/>
      <c r="B50" s="91" t="n"/>
      <c r="C50" s="91" t="n"/>
      <c r="D50" s="91" t="n"/>
      <c r="E50" s="91" t="n"/>
      <c r="F50" s="91" t="n"/>
      <c r="G50" s="91" t="n"/>
      <c r="H50" s="91" t="n"/>
      <c r="I50" s="91" t="n"/>
      <c r="J50" s="91" t="n"/>
      <c r="K50" s="91" t="n"/>
      <c r="L50" s="91" t="n"/>
      <c r="M50" s="91" t="n"/>
      <c r="N50" s="91" t="n"/>
      <c r="O50" s="91" t="n"/>
      <c r="P50" s="91" t="n"/>
      <c r="Q50" s="91" t="n"/>
      <c r="R50" s="91" t="n"/>
      <c r="S50" s="91" t="n"/>
      <c r="T50" s="91" t="n"/>
      <c r="U50" s="91" t="n"/>
      <c r="V50" s="91" t="n"/>
      <c r="W50" s="91" t="n"/>
      <c r="X50" s="91" t="n"/>
      <c r="Y50" s="91" t="n"/>
      <c r="Z50" s="91" t="n"/>
      <c r="AA50" s="91" t="n"/>
      <c r="AB50" s="91" t="n"/>
      <c r="AC50" s="91" t="n"/>
      <c r="AD50" s="91" t="n"/>
      <c r="AE50" s="91" t="n"/>
      <c r="AF50" s="91" t="n"/>
      <c r="AG50" s="91" t="n"/>
    </row>
    <row r="51" ht="12.75" customHeight="1" s="117">
      <c r="A51" s="91" t="n"/>
      <c r="B51" s="91" t="n"/>
      <c r="C51" s="91" t="n"/>
      <c r="D51" s="91" t="n"/>
      <c r="E51" s="91" t="n"/>
      <c r="F51" s="91" t="n"/>
      <c r="G51" s="91" t="n"/>
      <c r="H51" s="91" t="n"/>
      <c r="I51" s="91" t="n"/>
      <c r="J51" s="91" t="n"/>
      <c r="K51" s="91" t="n"/>
      <c r="L51" s="91" t="n"/>
      <c r="M51" s="91" t="n"/>
      <c r="N51" s="91" t="n"/>
      <c r="O51" s="91" t="n"/>
      <c r="P51" s="91" t="n"/>
      <c r="Q51" s="91" t="n"/>
      <c r="R51" s="91" t="n"/>
      <c r="S51" s="91" t="n"/>
      <c r="T51" s="91" t="n"/>
      <c r="U51" s="91" t="n"/>
      <c r="V51" s="91" t="n"/>
      <c r="W51" s="91" t="n"/>
      <c r="X51" s="91" t="n"/>
      <c r="Y51" s="91" t="n"/>
      <c r="Z51" s="91" t="n"/>
      <c r="AA51" s="91" t="n"/>
      <c r="AB51" s="91" t="n"/>
      <c r="AC51" s="91" t="n"/>
      <c r="AD51" s="91" t="n"/>
      <c r="AE51" s="91" t="n"/>
      <c r="AF51" s="91" t="n"/>
      <c r="AG51" s="91" t="n"/>
    </row>
    <row r="52" ht="12.75" customHeight="1" s="117">
      <c r="A52" s="91" t="n"/>
      <c r="B52" s="91" t="n"/>
      <c r="C52" s="91" t="n"/>
      <c r="D52" s="91" t="n"/>
      <c r="E52" s="91" t="n"/>
      <c r="F52" s="91" t="n"/>
      <c r="G52" s="91" t="n"/>
      <c r="H52" s="91" t="n"/>
      <c r="I52" s="91" t="n"/>
      <c r="J52" s="91" t="n"/>
      <c r="K52" s="91" t="n"/>
      <c r="L52" s="91" t="n"/>
      <c r="M52" s="91" t="n"/>
      <c r="N52" s="91" t="n"/>
      <c r="O52" s="91" t="n"/>
      <c r="P52" s="91" t="n"/>
      <c r="Q52" s="91" t="n"/>
      <c r="R52" s="91" t="n"/>
      <c r="S52" s="91" t="n"/>
      <c r="T52" s="91" t="n"/>
      <c r="U52" s="91" t="n"/>
      <c r="V52" s="91" t="n"/>
      <c r="W52" s="91" t="n"/>
      <c r="X52" s="91" t="n"/>
      <c r="Y52" s="91" t="n"/>
      <c r="Z52" s="91" t="n"/>
      <c r="AA52" s="91" t="n"/>
      <c r="AB52" s="91" t="n"/>
      <c r="AC52" s="91" t="n"/>
      <c r="AD52" s="91" t="n"/>
      <c r="AE52" s="91" t="n"/>
      <c r="AF52" s="91" t="n"/>
      <c r="AG52" s="91" t="n"/>
    </row>
    <row r="53" ht="12.75" customHeight="1" s="117">
      <c r="A53" s="91" t="n"/>
      <c r="B53" s="91" t="n"/>
      <c r="C53" s="91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91" t="n"/>
      <c r="T53" s="91" t="n"/>
      <c r="U53" s="91" t="n"/>
      <c r="V53" s="91" t="n"/>
      <c r="W53" s="91" t="n"/>
      <c r="X53" s="91" t="n"/>
      <c r="Y53" s="91" t="n"/>
      <c r="Z53" s="91" t="n"/>
      <c r="AA53" s="91" t="n"/>
      <c r="AB53" s="91" t="n"/>
      <c r="AC53" s="91" t="n"/>
      <c r="AD53" s="91" t="n"/>
      <c r="AE53" s="91" t="n"/>
      <c r="AF53" s="91" t="n"/>
      <c r="AG53" s="91" t="n"/>
    </row>
    <row r="54" ht="12.75" customHeight="1" s="117">
      <c r="A54" s="91" t="n"/>
      <c r="B54" s="91" t="n"/>
      <c r="C54" s="91" t="n"/>
      <c r="D54" s="91" t="n"/>
      <c r="E54" s="91" t="n"/>
      <c r="F54" s="91" t="n"/>
      <c r="G54" s="91" t="n"/>
      <c r="H54" s="91" t="n"/>
      <c r="I54" s="91" t="n"/>
      <c r="J54" s="91" t="n"/>
      <c r="K54" s="91" t="n"/>
      <c r="L54" s="91" t="n"/>
      <c r="M54" s="91" t="n"/>
      <c r="N54" s="91" t="n"/>
      <c r="O54" s="91" t="n"/>
      <c r="P54" s="91" t="n"/>
      <c r="Q54" s="91" t="n"/>
      <c r="R54" s="91" t="n"/>
      <c r="S54" s="91" t="n"/>
      <c r="T54" s="91" t="n"/>
      <c r="U54" s="91" t="n"/>
      <c r="V54" s="91" t="n"/>
      <c r="W54" s="91" t="n"/>
      <c r="X54" s="91" t="n"/>
      <c r="Y54" s="91" t="n"/>
      <c r="Z54" s="91" t="n"/>
      <c r="AA54" s="91" t="n"/>
      <c r="AB54" s="91" t="n"/>
      <c r="AC54" s="91" t="n"/>
      <c r="AD54" s="91" t="n"/>
      <c r="AE54" s="91" t="n"/>
      <c r="AF54" s="91" t="n"/>
      <c r="AG54" s="91" t="n"/>
    </row>
    <row r="55" ht="12.75" customHeight="1" s="117">
      <c r="A55" s="91" t="n"/>
      <c r="B55" s="91" t="n"/>
      <c r="C55" s="91" t="n"/>
      <c r="D55" s="91" t="n"/>
      <c r="E55" s="91" t="n"/>
      <c r="F55" s="91" t="n"/>
      <c r="G55" s="91" t="n"/>
      <c r="H55" s="91" t="n"/>
      <c r="I55" s="91" t="n"/>
      <c r="J55" s="91" t="n"/>
      <c r="K55" s="91" t="n"/>
      <c r="L55" s="91" t="n"/>
      <c r="M55" s="91" t="n"/>
      <c r="N55" s="91" t="n"/>
      <c r="O55" s="91" t="n"/>
      <c r="P55" s="91" t="n"/>
      <c r="Q55" s="91" t="n"/>
      <c r="R55" s="91" t="n"/>
      <c r="S55" s="91" t="n"/>
      <c r="T55" s="91" t="n"/>
      <c r="U55" s="91" t="n"/>
      <c r="V55" s="91" t="n"/>
      <c r="W55" s="91" t="n"/>
      <c r="X55" s="91" t="n"/>
      <c r="Y55" s="91" t="n"/>
      <c r="Z55" s="91" t="n"/>
      <c r="AA55" s="91" t="n"/>
      <c r="AB55" s="91" t="n"/>
      <c r="AC55" s="91" t="n"/>
      <c r="AD55" s="91" t="n"/>
      <c r="AE55" s="91" t="n"/>
      <c r="AF55" s="91" t="n"/>
      <c r="AG55" s="91" t="n"/>
    </row>
    <row r="56" ht="12.75" customHeight="1" s="117">
      <c r="A56" s="91" t="n"/>
      <c r="B56" s="91" t="n"/>
      <c r="C56" s="91" t="n"/>
      <c r="D56" s="91" t="n"/>
      <c r="E56" s="91" t="n"/>
      <c r="F56" s="91" t="n"/>
      <c r="G56" s="91" t="n"/>
      <c r="H56" s="91" t="n"/>
      <c r="I56" s="91" t="n"/>
      <c r="J56" s="91" t="n"/>
      <c r="K56" s="91" t="n"/>
      <c r="L56" s="91" t="n"/>
      <c r="M56" s="91" t="n"/>
      <c r="N56" s="91" t="n"/>
      <c r="O56" s="91" t="n"/>
      <c r="P56" s="91" t="n"/>
      <c r="Q56" s="91" t="n"/>
      <c r="R56" s="91" t="n"/>
      <c r="S56" s="91" t="n"/>
      <c r="T56" s="91" t="n"/>
      <c r="U56" s="91" t="n"/>
      <c r="V56" s="91" t="n"/>
      <c r="W56" s="91" t="n"/>
      <c r="X56" s="91" t="n"/>
      <c r="Y56" s="91" t="n"/>
      <c r="Z56" s="91" t="n"/>
      <c r="AA56" s="91" t="n"/>
      <c r="AB56" s="91" t="n"/>
      <c r="AC56" s="91" t="n"/>
      <c r="AD56" s="91" t="n"/>
      <c r="AE56" s="91" t="n"/>
      <c r="AF56" s="91" t="n"/>
      <c r="AG56" s="91" t="n"/>
    </row>
    <row r="57" ht="12.75" customHeight="1" s="117">
      <c r="A57" s="91" t="n"/>
      <c r="B57" s="91" t="n"/>
      <c r="C57" s="91" t="n"/>
      <c r="D57" s="91" t="n"/>
      <c r="E57" s="91" t="n"/>
      <c r="F57" s="91" t="n"/>
      <c r="G57" s="91" t="n"/>
      <c r="H57" s="91" t="n"/>
      <c r="I57" s="91" t="n"/>
      <c r="J57" s="91" t="n"/>
      <c r="K57" s="91" t="n"/>
      <c r="L57" s="91" t="n"/>
      <c r="M57" s="91" t="n"/>
      <c r="N57" s="91" t="n"/>
      <c r="O57" s="91" t="n"/>
      <c r="P57" s="91" t="n"/>
      <c r="Q57" s="91" t="n"/>
      <c r="R57" s="91" t="n"/>
      <c r="S57" s="91" t="n"/>
      <c r="T57" s="91" t="n"/>
      <c r="U57" s="91" t="n"/>
      <c r="V57" s="91" t="n"/>
      <c r="W57" s="91" t="n"/>
      <c r="X57" s="91" t="n"/>
      <c r="Y57" s="91" t="n"/>
      <c r="Z57" s="91" t="n"/>
      <c r="AA57" s="91" t="n"/>
      <c r="AB57" s="91" t="n"/>
      <c r="AC57" s="91" t="n"/>
      <c r="AD57" s="91" t="n"/>
      <c r="AE57" s="91" t="n"/>
      <c r="AF57" s="91" t="n"/>
      <c r="AG57" s="91" t="n"/>
    </row>
    <row r="58" ht="12.75" customHeight="1" s="117">
      <c r="A58" s="91" t="n"/>
      <c r="B58" s="91" t="n"/>
      <c r="C58" s="91" t="n"/>
      <c r="D58" s="91" t="n"/>
      <c r="E58" s="91" t="n"/>
      <c r="F58" s="91" t="n"/>
      <c r="G58" s="91" t="n"/>
      <c r="H58" s="91" t="n"/>
      <c r="I58" s="91" t="n"/>
      <c r="J58" s="91" t="n"/>
      <c r="K58" s="91" t="n"/>
      <c r="L58" s="91" t="n"/>
      <c r="M58" s="91" t="n"/>
      <c r="N58" s="91" t="n"/>
      <c r="O58" s="91" t="n"/>
      <c r="P58" s="91" t="n"/>
      <c r="Q58" s="91" t="n"/>
      <c r="R58" s="91" t="n"/>
      <c r="S58" s="91" t="n"/>
      <c r="T58" s="91" t="n"/>
      <c r="U58" s="91" t="n"/>
      <c r="V58" s="91" t="n"/>
      <c r="W58" s="91" t="n"/>
      <c r="X58" s="91" t="n"/>
      <c r="Y58" s="91" t="n"/>
      <c r="Z58" s="91" t="n"/>
      <c r="AA58" s="91" t="n"/>
      <c r="AB58" s="91" t="n"/>
      <c r="AC58" s="91" t="n"/>
      <c r="AD58" s="91" t="n"/>
      <c r="AE58" s="91" t="n"/>
      <c r="AF58" s="91" t="n"/>
      <c r="AG58" s="91" t="n"/>
    </row>
    <row r="59" ht="12.75" customHeight="1" s="117">
      <c r="A59" s="91" t="n"/>
      <c r="B59" s="91" t="n"/>
      <c r="C59" s="91" t="n"/>
      <c r="D59" s="91" t="n"/>
      <c r="E59" s="91" t="n"/>
      <c r="F59" s="91" t="n"/>
      <c r="G59" s="91" t="n"/>
      <c r="H59" s="91" t="n"/>
      <c r="I59" s="91" t="n"/>
      <c r="J59" s="91" t="n"/>
      <c r="K59" s="91" t="n"/>
      <c r="L59" s="91" t="n"/>
      <c r="M59" s="91" t="n"/>
      <c r="N59" s="91" t="n"/>
      <c r="O59" s="91" t="n"/>
      <c r="P59" s="91" t="n"/>
      <c r="Q59" s="91" t="n"/>
      <c r="R59" s="91" t="n"/>
      <c r="S59" s="91" t="n"/>
      <c r="T59" s="91" t="n"/>
      <c r="U59" s="91" t="n"/>
      <c r="V59" s="91" t="n"/>
      <c r="W59" s="91" t="n"/>
      <c r="X59" s="91" t="n"/>
      <c r="Y59" s="91" t="n"/>
      <c r="Z59" s="91" t="n"/>
      <c r="AA59" s="91" t="n"/>
      <c r="AB59" s="91" t="n"/>
      <c r="AC59" s="91" t="n"/>
      <c r="AD59" s="91" t="n"/>
      <c r="AE59" s="91" t="n"/>
      <c r="AF59" s="91" t="n"/>
      <c r="AG59" s="91" t="n"/>
    </row>
    <row r="60" ht="12.75" customHeight="1" s="117">
      <c r="A60" s="91" t="n"/>
      <c r="B60" s="91" t="n"/>
      <c r="C60" s="91" t="n"/>
      <c r="D60" s="91" t="n"/>
      <c r="E60" s="91" t="n"/>
      <c r="F60" s="91" t="n"/>
      <c r="G60" s="91" t="n"/>
      <c r="H60" s="91" t="n"/>
      <c r="I60" s="91" t="n"/>
      <c r="J60" s="91" t="n"/>
      <c r="K60" s="91" t="n"/>
      <c r="L60" s="91" t="n"/>
      <c r="M60" s="91" t="n"/>
      <c r="N60" s="91" t="n"/>
      <c r="O60" s="91" t="n"/>
      <c r="P60" s="91" t="n"/>
      <c r="Q60" s="91" t="n"/>
      <c r="R60" s="91" t="n"/>
      <c r="S60" s="91" t="n"/>
      <c r="T60" s="91" t="n"/>
      <c r="U60" s="91" t="n"/>
      <c r="V60" s="91" t="n"/>
      <c r="W60" s="91" t="n"/>
      <c r="X60" s="91" t="n"/>
      <c r="Y60" s="91" t="n"/>
      <c r="Z60" s="91" t="n"/>
      <c r="AA60" s="91" t="n"/>
      <c r="AB60" s="91" t="n"/>
      <c r="AC60" s="91" t="n"/>
      <c r="AD60" s="91" t="n"/>
      <c r="AE60" s="91" t="n"/>
      <c r="AF60" s="91" t="n"/>
      <c r="AG60" s="91" t="n"/>
    </row>
    <row r="61" ht="12.75" customHeight="1" s="117">
      <c r="A61" s="91" t="n"/>
      <c r="B61" s="91" t="n"/>
      <c r="C61" s="91" t="n"/>
      <c r="D61" s="91" t="n"/>
      <c r="E61" s="91" t="n"/>
      <c r="F61" s="91" t="n"/>
      <c r="G61" s="91" t="n"/>
      <c r="H61" s="91" t="n"/>
      <c r="I61" s="91" t="n"/>
      <c r="J61" s="91" t="n"/>
      <c r="K61" s="91" t="n"/>
      <c r="L61" s="91" t="n"/>
      <c r="M61" s="91" t="n"/>
      <c r="N61" s="91" t="n"/>
      <c r="O61" s="91" t="n"/>
      <c r="P61" s="91" t="n"/>
      <c r="Q61" s="91" t="n"/>
      <c r="R61" s="91" t="n"/>
      <c r="S61" s="91" t="n"/>
      <c r="T61" s="91" t="n"/>
      <c r="U61" s="91" t="n"/>
      <c r="V61" s="91" t="n"/>
      <c r="W61" s="91" t="n"/>
      <c r="X61" s="91" t="n"/>
      <c r="Y61" s="91" t="n"/>
      <c r="Z61" s="91" t="n"/>
      <c r="AA61" s="91" t="n"/>
      <c r="AB61" s="91" t="n"/>
      <c r="AC61" s="91" t="n"/>
      <c r="AD61" s="91" t="n"/>
      <c r="AE61" s="91" t="n"/>
      <c r="AF61" s="91" t="n"/>
      <c r="AG61" s="91" t="n"/>
    </row>
    <row r="62" ht="12.75" customHeight="1" s="117">
      <c r="A62" s="91" t="n"/>
      <c r="B62" s="91" t="n"/>
      <c r="C62" s="91" t="n"/>
      <c r="D62" s="91" t="n"/>
      <c r="E62" s="91" t="n"/>
      <c r="F62" s="91" t="n"/>
      <c r="G62" s="91" t="n"/>
      <c r="H62" s="91" t="n"/>
      <c r="I62" s="91" t="n"/>
      <c r="J62" s="91" t="n"/>
      <c r="K62" s="91" t="n"/>
      <c r="L62" s="91" t="n"/>
      <c r="M62" s="91" t="n"/>
      <c r="N62" s="91" t="n"/>
      <c r="O62" s="91" t="n"/>
      <c r="P62" s="91" t="n"/>
      <c r="Q62" s="91" t="n"/>
      <c r="R62" s="91" t="n"/>
      <c r="S62" s="91" t="n"/>
      <c r="T62" s="91" t="n"/>
      <c r="U62" s="91" t="n"/>
      <c r="V62" s="91" t="n"/>
      <c r="W62" s="91" t="n"/>
      <c r="X62" s="91" t="n"/>
      <c r="Y62" s="91" t="n"/>
      <c r="Z62" s="91" t="n"/>
      <c r="AA62" s="91" t="n"/>
      <c r="AB62" s="91" t="n"/>
      <c r="AC62" s="91" t="n"/>
      <c r="AD62" s="91" t="n"/>
      <c r="AE62" s="91" t="n"/>
      <c r="AF62" s="91" t="n"/>
      <c r="AG62" s="91" t="n"/>
    </row>
    <row r="63" ht="12.75" customHeight="1" s="117">
      <c r="A63" s="91" t="n"/>
      <c r="B63" s="91" t="n"/>
      <c r="C63" s="91" t="n"/>
      <c r="D63" s="91" t="n"/>
      <c r="E63" s="91" t="n"/>
      <c r="F63" s="91" t="n"/>
      <c r="G63" s="91" t="n"/>
      <c r="H63" s="91" t="n"/>
      <c r="I63" s="91" t="n"/>
      <c r="J63" s="91" t="n"/>
      <c r="K63" s="91" t="n"/>
      <c r="L63" s="91" t="n"/>
      <c r="M63" s="91" t="n"/>
      <c r="N63" s="91" t="n"/>
      <c r="O63" s="91" t="n"/>
      <c r="P63" s="91" t="n"/>
      <c r="Q63" s="91" t="n"/>
      <c r="R63" s="91" t="n"/>
      <c r="S63" s="91" t="n"/>
      <c r="T63" s="91" t="n"/>
      <c r="U63" s="91" t="n"/>
      <c r="V63" s="91" t="n"/>
      <c r="W63" s="91" t="n"/>
      <c r="X63" s="91" t="n"/>
      <c r="Y63" s="91" t="n"/>
      <c r="Z63" s="91" t="n"/>
      <c r="AA63" s="91" t="n"/>
      <c r="AB63" s="91" t="n"/>
      <c r="AC63" s="91" t="n"/>
      <c r="AD63" s="91" t="n"/>
      <c r="AE63" s="91" t="n"/>
      <c r="AF63" s="91" t="n"/>
      <c r="AG63" s="91" t="n"/>
    </row>
    <row r="64" ht="12.75" customHeight="1" s="117">
      <c r="A64" s="91" t="n"/>
      <c r="B64" s="91" t="n"/>
      <c r="C64" s="91" t="n"/>
      <c r="D64" s="91" t="n"/>
      <c r="E64" s="91" t="n"/>
      <c r="F64" s="91" t="n"/>
      <c r="G64" s="91" t="n"/>
      <c r="H64" s="91" t="n"/>
      <c r="I64" s="91" t="n"/>
      <c r="J64" s="91" t="n"/>
      <c r="K64" s="91" t="n"/>
      <c r="L64" s="91" t="n"/>
      <c r="M64" s="91" t="n"/>
      <c r="N64" s="91" t="n"/>
      <c r="O64" s="91" t="n"/>
      <c r="P64" s="91" t="n"/>
      <c r="Q64" s="91" t="n"/>
      <c r="R64" s="91" t="n"/>
      <c r="S64" s="91" t="n"/>
      <c r="T64" s="91" t="n"/>
      <c r="U64" s="91" t="n"/>
      <c r="V64" s="91" t="n"/>
      <c r="W64" s="91" t="n"/>
      <c r="X64" s="91" t="n"/>
      <c r="Y64" s="91" t="n"/>
      <c r="Z64" s="91" t="n"/>
      <c r="AA64" s="91" t="n"/>
      <c r="AB64" s="91" t="n"/>
      <c r="AC64" s="91" t="n"/>
      <c r="AD64" s="91" t="n"/>
      <c r="AE64" s="91" t="n"/>
      <c r="AF64" s="91" t="n"/>
      <c r="AG64" s="91" t="n"/>
    </row>
    <row r="65" ht="12.75" customHeight="1" s="117">
      <c r="A65" s="91" t="n"/>
      <c r="B65" s="91" t="n"/>
      <c r="C65" s="91" t="n"/>
      <c r="D65" s="91" t="n"/>
      <c r="E65" s="91" t="n"/>
      <c r="F65" s="91" t="n"/>
      <c r="G65" s="91" t="n"/>
      <c r="H65" s="91" t="n"/>
      <c r="I65" s="91" t="n"/>
      <c r="J65" s="91" t="n"/>
      <c r="K65" s="91" t="n"/>
      <c r="L65" s="91" t="n"/>
      <c r="M65" s="91" t="n"/>
      <c r="N65" s="91" t="n"/>
      <c r="O65" s="91" t="n"/>
      <c r="P65" s="91" t="n"/>
      <c r="Q65" s="91" t="n"/>
      <c r="R65" s="91" t="n"/>
      <c r="S65" s="91" t="n"/>
      <c r="T65" s="91" t="n"/>
      <c r="U65" s="91" t="n"/>
      <c r="V65" s="91" t="n"/>
      <c r="W65" s="91" t="n"/>
      <c r="X65" s="91" t="n"/>
      <c r="Y65" s="91" t="n"/>
      <c r="Z65" s="91" t="n"/>
      <c r="AA65" s="91" t="n"/>
      <c r="AB65" s="91" t="n"/>
      <c r="AC65" s="91" t="n"/>
      <c r="AD65" s="91" t="n"/>
      <c r="AE65" s="91" t="n"/>
      <c r="AF65" s="91" t="n"/>
      <c r="AG65" s="91" t="n"/>
    </row>
    <row r="66" ht="12.75" customHeight="1" s="117">
      <c r="A66" s="91" t="n"/>
      <c r="B66" s="91" t="n"/>
      <c r="C66" s="91" t="n"/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91" t="n"/>
      <c r="T66" s="91" t="n"/>
      <c r="U66" s="91" t="n"/>
      <c r="V66" s="91" t="n"/>
      <c r="W66" s="91" t="n"/>
      <c r="X66" s="91" t="n"/>
      <c r="Y66" s="91" t="n"/>
      <c r="Z66" s="91" t="n"/>
      <c r="AA66" s="91" t="n"/>
      <c r="AB66" s="91" t="n"/>
      <c r="AC66" s="91" t="n"/>
      <c r="AD66" s="91" t="n"/>
      <c r="AE66" s="91" t="n"/>
      <c r="AF66" s="91" t="n"/>
      <c r="AG66" s="91" t="n"/>
    </row>
    <row r="67" ht="12.75" customHeight="1" s="117">
      <c r="A67" s="91" t="n"/>
      <c r="B67" s="91" t="n"/>
      <c r="C67" s="91" t="n"/>
      <c r="D67" s="91" t="n"/>
      <c r="E67" s="91" t="n"/>
      <c r="F67" s="91" t="n"/>
      <c r="G67" s="91" t="n"/>
      <c r="H67" s="91" t="n"/>
      <c r="I67" s="91" t="n"/>
      <c r="J67" s="91" t="n"/>
      <c r="K67" s="91" t="n"/>
      <c r="L67" s="91" t="n"/>
      <c r="M67" s="91" t="n"/>
      <c r="N67" s="91" t="n"/>
      <c r="O67" s="91" t="n"/>
      <c r="P67" s="91" t="n"/>
      <c r="Q67" s="91" t="n"/>
      <c r="R67" s="91" t="n"/>
      <c r="S67" s="91" t="n"/>
      <c r="T67" s="91" t="n"/>
      <c r="U67" s="91" t="n"/>
      <c r="V67" s="91" t="n"/>
      <c r="W67" s="91" t="n"/>
      <c r="X67" s="91" t="n"/>
      <c r="Y67" s="91" t="n"/>
      <c r="Z67" s="91" t="n"/>
      <c r="AA67" s="91" t="n"/>
      <c r="AB67" s="91" t="n"/>
      <c r="AC67" s="91" t="n"/>
      <c r="AD67" s="91" t="n"/>
      <c r="AE67" s="91" t="n"/>
      <c r="AF67" s="91" t="n"/>
      <c r="AG67" s="91" t="n"/>
    </row>
    <row r="68" ht="12.75" customHeight="1" s="117">
      <c r="A68" s="91" t="n"/>
      <c r="B68" s="91" t="n"/>
      <c r="C68" s="91" t="n"/>
      <c r="D68" s="91" t="n"/>
      <c r="E68" s="91" t="n"/>
      <c r="F68" s="91" t="n"/>
      <c r="G68" s="91" t="n"/>
      <c r="H68" s="91" t="n"/>
      <c r="I68" s="91" t="n"/>
      <c r="J68" s="91" t="n"/>
      <c r="K68" s="91" t="n"/>
      <c r="L68" s="91" t="n"/>
      <c r="M68" s="91" t="n"/>
      <c r="N68" s="91" t="n"/>
      <c r="O68" s="91" t="n"/>
      <c r="P68" s="91" t="n"/>
      <c r="Q68" s="91" t="n"/>
      <c r="R68" s="91" t="n"/>
      <c r="S68" s="91" t="n"/>
      <c r="T68" s="91" t="n"/>
      <c r="U68" s="91" t="n"/>
      <c r="V68" s="91" t="n"/>
      <c r="W68" s="91" t="n"/>
      <c r="X68" s="91" t="n"/>
      <c r="Y68" s="91" t="n"/>
      <c r="Z68" s="91" t="n"/>
      <c r="AA68" s="91" t="n"/>
      <c r="AB68" s="91" t="n"/>
      <c r="AC68" s="91" t="n"/>
      <c r="AD68" s="91" t="n"/>
      <c r="AE68" s="91" t="n"/>
      <c r="AF68" s="91" t="n"/>
      <c r="AG68" s="91" t="n"/>
    </row>
    <row r="69" ht="12.75" customHeight="1" s="117">
      <c r="A69" s="91" t="n"/>
      <c r="B69" s="91" t="n"/>
      <c r="C69" s="91" t="n"/>
      <c r="D69" s="91" t="n"/>
      <c r="E69" s="91" t="n"/>
      <c r="F69" s="91" t="n"/>
      <c r="G69" s="91" t="n"/>
      <c r="H69" s="91" t="n"/>
      <c r="I69" s="91" t="n"/>
      <c r="J69" s="91" t="n"/>
      <c r="K69" s="91" t="n"/>
      <c r="L69" s="91" t="n"/>
      <c r="M69" s="91" t="n"/>
      <c r="N69" s="91" t="n"/>
      <c r="O69" s="91" t="n"/>
      <c r="P69" s="91" t="n"/>
      <c r="Q69" s="91" t="n"/>
      <c r="R69" s="91" t="n"/>
      <c r="S69" s="91" t="n"/>
      <c r="T69" s="91" t="n"/>
      <c r="U69" s="91" t="n"/>
      <c r="V69" s="91" t="n"/>
      <c r="W69" s="91" t="n"/>
      <c r="X69" s="91" t="n"/>
      <c r="Y69" s="91" t="n"/>
      <c r="Z69" s="91" t="n"/>
      <c r="AA69" s="91" t="n"/>
      <c r="AB69" s="91" t="n"/>
      <c r="AC69" s="91" t="n"/>
      <c r="AD69" s="91" t="n"/>
      <c r="AE69" s="91" t="n"/>
      <c r="AF69" s="91" t="n"/>
      <c r="AG69" s="91" t="n"/>
    </row>
    <row r="70" ht="12.75" customHeight="1" s="117">
      <c r="A70" s="91" t="n"/>
      <c r="B70" s="91" t="n"/>
      <c r="C70" s="91" t="n"/>
      <c r="D70" s="91" t="n"/>
      <c r="E70" s="91" t="n"/>
      <c r="F70" s="91" t="n"/>
      <c r="G70" s="91" t="n"/>
      <c r="H70" s="91" t="n"/>
      <c r="I70" s="91" t="n"/>
      <c r="J70" s="91" t="n"/>
      <c r="K70" s="91" t="n"/>
      <c r="L70" s="91" t="n"/>
      <c r="M70" s="91" t="n"/>
      <c r="N70" s="91" t="n"/>
      <c r="O70" s="91" t="n"/>
      <c r="P70" s="91" t="n"/>
      <c r="Q70" s="91" t="n"/>
      <c r="R70" s="91" t="n"/>
      <c r="S70" s="91" t="n"/>
      <c r="T70" s="91" t="n"/>
      <c r="U70" s="91" t="n"/>
      <c r="V70" s="91" t="n"/>
      <c r="W70" s="91" t="n"/>
      <c r="X70" s="91" t="n"/>
      <c r="Y70" s="91" t="n"/>
      <c r="Z70" s="91" t="n"/>
      <c r="AA70" s="91" t="n"/>
      <c r="AB70" s="91" t="n"/>
      <c r="AC70" s="91" t="n"/>
      <c r="AD70" s="91" t="n"/>
      <c r="AE70" s="91" t="n"/>
      <c r="AF70" s="91" t="n"/>
      <c r="AG70" s="91" t="n"/>
    </row>
    <row r="71" ht="12.75" customHeight="1" s="117">
      <c r="A71" s="91" t="n"/>
      <c r="B71" s="91" t="n"/>
      <c r="C71" s="91" t="n"/>
      <c r="D71" s="91" t="n"/>
      <c r="E71" s="91" t="n"/>
      <c r="F71" s="91" t="n"/>
      <c r="G71" s="91" t="n"/>
      <c r="H71" s="91" t="n"/>
      <c r="I71" s="91" t="n"/>
      <c r="J71" s="91" t="n"/>
      <c r="K71" s="91" t="n"/>
      <c r="L71" s="91" t="n"/>
      <c r="M71" s="91" t="n"/>
      <c r="N71" s="91" t="n"/>
      <c r="O71" s="91" t="n"/>
      <c r="P71" s="91" t="n"/>
      <c r="Q71" s="91" t="n"/>
      <c r="R71" s="91" t="n"/>
      <c r="S71" s="91" t="n"/>
      <c r="T71" s="91" t="n"/>
      <c r="U71" s="91" t="n"/>
      <c r="V71" s="91" t="n"/>
      <c r="W71" s="91" t="n"/>
      <c r="X71" s="91" t="n"/>
      <c r="Y71" s="91" t="n"/>
      <c r="Z71" s="91" t="n"/>
      <c r="AA71" s="91" t="n"/>
      <c r="AB71" s="91" t="n"/>
      <c r="AC71" s="91" t="n"/>
      <c r="AD71" s="91" t="n"/>
      <c r="AE71" s="91" t="n"/>
      <c r="AF71" s="91" t="n"/>
      <c r="AG71" s="91" t="n"/>
    </row>
    <row r="72" ht="12.75" customHeight="1" s="117">
      <c r="A72" s="91" t="n"/>
      <c r="B72" s="91" t="n"/>
      <c r="C72" s="91" t="n"/>
      <c r="D72" s="91" t="n"/>
      <c r="E72" s="91" t="n"/>
      <c r="F72" s="91" t="n"/>
      <c r="G72" s="91" t="n"/>
      <c r="H72" s="91" t="n"/>
      <c r="I72" s="91" t="n"/>
      <c r="J72" s="91" t="n"/>
      <c r="K72" s="91" t="n"/>
      <c r="L72" s="91" t="n"/>
      <c r="M72" s="91" t="n"/>
      <c r="N72" s="91" t="n"/>
      <c r="O72" s="91" t="n"/>
      <c r="P72" s="91" t="n"/>
      <c r="Q72" s="91" t="n"/>
      <c r="R72" s="91" t="n"/>
      <c r="S72" s="91" t="n"/>
      <c r="T72" s="91" t="n"/>
      <c r="U72" s="91" t="n"/>
      <c r="V72" s="91" t="n"/>
      <c r="W72" s="91" t="n"/>
      <c r="X72" s="91" t="n"/>
      <c r="Y72" s="91" t="n"/>
      <c r="Z72" s="91" t="n"/>
      <c r="AA72" s="91" t="n"/>
      <c r="AB72" s="91" t="n"/>
      <c r="AC72" s="91" t="n"/>
      <c r="AD72" s="91" t="n"/>
      <c r="AE72" s="91" t="n"/>
      <c r="AF72" s="91" t="n"/>
      <c r="AG72" s="91" t="n"/>
    </row>
    <row r="73" ht="12.75" customHeight="1" s="117">
      <c r="A73" s="91" t="n"/>
      <c r="B73" s="91" t="n"/>
      <c r="C73" s="91" t="n"/>
      <c r="D73" s="91" t="n"/>
      <c r="E73" s="91" t="n"/>
      <c r="F73" s="91" t="n"/>
      <c r="G73" s="91" t="n"/>
      <c r="H73" s="91" t="n"/>
      <c r="I73" s="91" t="n"/>
      <c r="J73" s="91" t="n"/>
      <c r="K73" s="91" t="n"/>
      <c r="L73" s="91" t="n"/>
      <c r="M73" s="91" t="n"/>
      <c r="N73" s="91" t="n"/>
      <c r="O73" s="91" t="n"/>
      <c r="P73" s="91" t="n"/>
      <c r="Q73" s="91" t="n"/>
      <c r="R73" s="91" t="n"/>
      <c r="S73" s="91" t="n"/>
      <c r="T73" s="91" t="n"/>
      <c r="U73" s="91" t="n"/>
      <c r="V73" s="91" t="n"/>
      <c r="W73" s="91" t="n"/>
      <c r="X73" s="91" t="n"/>
      <c r="Y73" s="91" t="n"/>
      <c r="Z73" s="91" t="n"/>
      <c r="AA73" s="91" t="n"/>
      <c r="AB73" s="91" t="n"/>
      <c r="AC73" s="91" t="n"/>
      <c r="AD73" s="91" t="n"/>
      <c r="AE73" s="91" t="n"/>
      <c r="AF73" s="91" t="n"/>
      <c r="AG73" s="91" t="n"/>
    </row>
    <row r="74" ht="12.75" customHeight="1" s="117">
      <c r="A74" s="91" t="n"/>
      <c r="B74" s="91" t="n"/>
      <c r="C74" s="91" t="n"/>
      <c r="D74" s="91" t="n"/>
      <c r="E74" s="91" t="n"/>
      <c r="F74" s="91" t="n"/>
      <c r="G74" s="91" t="n"/>
      <c r="H74" s="91" t="n"/>
      <c r="I74" s="91" t="n"/>
      <c r="J74" s="91" t="n"/>
      <c r="K74" s="91" t="n"/>
      <c r="L74" s="91" t="n"/>
      <c r="M74" s="91" t="n"/>
      <c r="N74" s="91" t="n"/>
      <c r="O74" s="91" t="n"/>
      <c r="P74" s="91" t="n"/>
      <c r="Q74" s="91" t="n"/>
      <c r="R74" s="91" t="n"/>
      <c r="S74" s="91" t="n"/>
      <c r="T74" s="91" t="n"/>
      <c r="U74" s="91" t="n"/>
      <c r="V74" s="91" t="n"/>
      <c r="W74" s="91" t="n"/>
      <c r="X74" s="91" t="n"/>
      <c r="Y74" s="91" t="n"/>
      <c r="Z74" s="91" t="n"/>
      <c r="AA74" s="91" t="n"/>
      <c r="AB74" s="91" t="n"/>
      <c r="AC74" s="91" t="n"/>
      <c r="AD74" s="91" t="n"/>
      <c r="AE74" s="91" t="n"/>
      <c r="AF74" s="91" t="n"/>
      <c r="AG74" s="91" t="n"/>
    </row>
    <row r="75" ht="12.75" customHeight="1" s="117">
      <c r="A75" s="91" t="n"/>
      <c r="B75" s="91" t="n"/>
      <c r="C75" s="91" t="n"/>
      <c r="D75" s="91" t="n"/>
      <c r="E75" s="91" t="n"/>
      <c r="F75" s="91" t="n"/>
      <c r="G75" s="91" t="n"/>
      <c r="H75" s="91" t="n"/>
      <c r="I75" s="91" t="n"/>
      <c r="J75" s="91" t="n"/>
      <c r="K75" s="91" t="n"/>
      <c r="L75" s="91" t="n"/>
      <c r="M75" s="91" t="n"/>
      <c r="N75" s="91" t="n"/>
      <c r="O75" s="91" t="n"/>
      <c r="P75" s="91" t="n"/>
      <c r="Q75" s="91" t="n"/>
      <c r="R75" s="91" t="n"/>
      <c r="S75" s="91" t="n"/>
      <c r="T75" s="91" t="n"/>
      <c r="U75" s="91" t="n"/>
      <c r="V75" s="91" t="n"/>
      <c r="W75" s="91" t="n"/>
      <c r="X75" s="91" t="n"/>
      <c r="Y75" s="91" t="n"/>
      <c r="Z75" s="91" t="n"/>
      <c r="AA75" s="91" t="n"/>
      <c r="AB75" s="91" t="n"/>
      <c r="AC75" s="91" t="n"/>
      <c r="AD75" s="91" t="n"/>
      <c r="AE75" s="91" t="n"/>
      <c r="AF75" s="91" t="n"/>
      <c r="AG75" s="91" t="n"/>
    </row>
    <row r="76" ht="12.75" customHeight="1" s="117">
      <c r="A76" s="91" t="n"/>
      <c r="B76" s="91" t="n"/>
      <c r="C76" s="91" t="n"/>
      <c r="D76" s="91" t="n"/>
      <c r="E76" s="91" t="n"/>
      <c r="F76" s="91" t="n"/>
      <c r="G76" s="91" t="n"/>
      <c r="H76" s="91" t="n"/>
      <c r="I76" s="91" t="n"/>
      <c r="J76" s="91" t="n"/>
      <c r="K76" s="91" t="n"/>
      <c r="L76" s="91" t="n"/>
      <c r="M76" s="91" t="n"/>
      <c r="N76" s="91" t="n"/>
      <c r="O76" s="91" t="n"/>
      <c r="P76" s="91" t="n"/>
      <c r="Q76" s="91" t="n"/>
      <c r="R76" s="91" t="n"/>
      <c r="S76" s="91" t="n"/>
      <c r="T76" s="91" t="n"/>
      <c r="U76" s="91" t="n"/>
      <c r="V76" s="91" t="n"/>
      <c r="W76" s="91" t="n"/>
      <c r="X76" s="91" t="n"/>
      <c r="Y76" s="91" t="n"/>
      <c r="Z76" s="91" t="n"/>
      <c r="AA76" s="91" t="n"/>
      <c r="AB76" s="91" t="n"/>
      <c r="AC76" s="91" t="n"/>
      <c r="AD76" s="91" t="n"/>
      <c r="AE76" s="91" t="n"/>
      <c r="AF76" s="91" t="n"/>
      <c r="AG76" s="91" t="n"/>
    </row>
    <row r="77" ht="12.75" customHeight="1" s="117">
      <c r="A77" s="91" t="n"/>
      <c r="B77" s="91" t="n"/>
      <c r="C77" s="91" t="n"/>
      <c r="D77" s="91" t="n"/>
      <c r="E77" s="91" t="n"/>
      <c r="F77" s="91" t="n"/>
      <c r="G77" s="91" t="n"/>
      <c r="H77" s="91" t="n"/>
      <c r="I77" s="91" t="n"/>
      <c r="J77" s="91" t="n"/>
      <c r="K77" s="91" t="n"/>
      <c r="L77" s="91" t="n"/>
      <c r="M77" s="91" t="n"/>
      <c r="N77" s="91" t="n"/>
      <c r="O77" s="91" t="n"/>
      <c r="P77" s="91" t="n"/>
      <c r="Q77" s="91" t="n"/>
      <c r="R77" s="91" t="n"/>
      <c r="S77" s="91" t="n"/>
      <c r="T77" s="91" t="n"/>
      <c r="U77" s="91" t="n"/>
      <c r="V77" s="91" t="n"/>
      <c r="W77" s="91" t="n"/>
      <c r="X77" s="91" t="n"/>
      <c r="Y77" s="91" t="n"/>
      <c r="Z77" s="91" t="n"/>
      <c r="AA77" s="91" t="n"/>
      <c r="AB77" s="91" t="n"/>
      <c r="AC77" s="91" t="n"/>
      <c r="AD77" s="91" t="n"/>
      <c r="AE77" s="91" t="n"/>
      <c r="AF77" s="91" t="n"/>
      <c r="AG77" s="91" t="n"/>
    </row>
    <row r="78" ht="12.75" customHeight="1" s="117">
      <c r="A78" s="91" t="n"/>
      <c r="B78" s="91" t="n"/>
      <c r="C78" s="91" t="n"/>
      <c r="D78" s="91" t="n"/>
      <c r="E78" s="91" t="n"/>
      <c r="F78" s="91" t="n"/>
      <c r="G78" s="91" t="n"/>
      <c r="H78" s="91" t="n"/>
      <c r="I78" s="91" t="n"/>
      <c r="J78" s="91" t="n"/>
      <c r="K78" s="91" t="n"/>
      <c r="L78" s="91" t="n"/>
      <c r="M78" s="91" t="n"/>
      <c r="N78" s="91" t="n"/>
      <c r="O78" s="91" t="n"/>
      <c r="P78" s="91" t="n"/>
      <c r="Q78" s="91" t="n"/>
      <c r="R78" s="91" t="n"/>
      <c r="S78" s="91" t="n"/>
      <c r="T78" s="91" t="n"/>
      <c r="U78" s="91" t="n"/>
      <c r="V78" s="91" t="n"/>
      <c r="W78" s="91" t="n"/>
      <c r="X78" s="91" t="n"/>
      <c r="Y78" s="91" t="n"/>
      <c r="Z78" s="91" t="n"/>
      <c r="AA78" s="91" t="n"/>
      <c r="AB78" s="91" t="n"/>
      <c r="AC78" s="91" t="n"/>
      <c r="AD78" s="91" t="n"/>
      <c r="AE78" s="91" t="n"/>
      <c r="AF78" s="91" t="n"/>
      <c r="AG78" s="91" t="n"/>
    </row>
    <row r="79" ht="12.75" customHeight="1" s="117">
      <c r="A79" s="91" t="n"/>
      <c r="B79" s="91" t="n"/>
      <c r="C79" s="91" t="n"/>
      <c r="D79" s="91" t="n"/>
      <c r="E79" s="91" t="n"/>
      <c r="F79" s="91" t="n"/>
      <c r="G79" s="91" t="n"/>
      <c r="H79" s="91" t="n"/>
      <c r="I79" s="91" t="n"/>
      <c r="J79" s="91" t="n"/>
      <c r="K79" s="91" t="n"/>
      <c r="L79" s="91" t="n"/>
      <c r="M79" s="91" t="n"/>
      <c r="N79" s="91" t="n"/>
      <c r="O79" s="91" t="n"/>
      <c r="P79" s="91" t="n"/>
      <c r="Q79" s="91" t="n"/>
      <c r="R79" s="91" t="n"/>
      <c r="S79" s="91" t="n"/>
      <c r="T79" s="91" t="n"/>
      <c r="U79" s="91" t="n"/>
      <c r="V79" s="91" t="n"/>
      <c r="W79" s="91" t="n"/>
      <c r="X79" s="91" t="n"/>
      <c r="Y79" s="91" t="n"/>
      <c r="Z79" s="91" t="n"/>
      <c r="AA79" s="91" t="n"/>
      <c r="AB79" s="91" t="n"/>
      <c r="AC79" s="91" t="n"/>
      <c r="AD79" s="91" t="n"/>
      <c r="AE79" s="91" t="n"/>
      <c r="AF79" s="91" t="n"/>
      <c r="AG79" s="91" t="n"/>
    </row>
    <row r="80" ht="12.75" customHeight="1" s="117">
      <c r="A80" s="91" t="n"/>
      <c r="B80" s="91" t="n"/>
      <c r="C80" s="91" t="n"/>
      <c r="D80" s="91" t="n"/>
      <c r="E80" s="91" t="n"/>
      <c r="F80" s="91" t="n"/>
      <c r="G80" s="91" t="n"/>
      <c r="H80" s="91" t="n"/>
      <c r="I80" s="91" t="n"/>
      <c r="J80" s="91" t="n"/>
      <c r="K80" s="91" t="n"/>
      <c r="L80" s="91" t="n"/>
      <c r="M80" s="91" t="n"/>
      <c r="N80" s="91" t="n"/>
      <c r="O80" s="91" t="n"/>
      <c r="P80" s="91" t="n"/>
      <c r="Q80" s="91" t="n"/>
      <c r="R80" s="91" t="n"/>
      <c r="S80" s="91" t="n"/>
      <c r="T80" s="91" t="n"/>
      <c r="U80" s="91" t="n"/>
      <c r="V80" s="91" t="n"/>
      <c r="W80" s="91" t="n"/>
      <c r="X80" s="91" t="n"/>
      <c r="Y80" s="91" t="n"/>
      <c r="Z80" s="91" t="n"/>
      <c r="AA80" s="91" t="n"/>
      <c r="AB80" s="91" t="n"/>
      <c r="AC80" s="91" t="n"/>
      <c r="AD80" s="91" t="n"/>
      <c r="AE80" s="91" t="n"/>
      <c r="AF80" s="91" t="n"/>
      <c r="AG80" s="91" t="n"/>
    </row>
    <row r="81" ht="12.75" customHeight="1" s="117">
      <c r="A81" s="91" t="n"/>
      <c r="B81" s="91" t="n"/>
      <c r="C81" s="91" t="n"/>
      <c r="D81" s="91" t="n"/>
      <c r="E81" s="91" t="n"/>
      <c r="F81" s="91" t="n"/>
      <c r="G81" s="91" t="n"/>
      <c r="H81" s="91" t="n"/>
      <c r="I81" s="91" t="n"/>
      <c r="J81" s="91" t="n"/>
      <c r="K81" s="91" t="n"/>
      <c r="L81" s="91" t="n"/>
      <c r="M81" s="91" t="n"/>
      <c r="N81" s="91" t="n"/>
      <c r="O81" s="91" t="n"/>
      <c r="P81" s="91" t="n"/>
      <c r="Q81" s="91" t="n"/>
      <c r="R81" s="91" t="n"/>
      <c r="S81" s="91" t="n"/>
      <c r="T81" s="91" t="n"/>
      <c r="U81" s="91" t="n"/>
      <c r="V81" s="91" t="n"/>
      <c r="W81" s="91" t="n"/>
      <c r="X81" s="91" t="n"/>
      <c r="Y81" s="91" t="n"/>
      <c r="Z81" s="91" t="n"/>
      <c r="AA81" s="91" t="n"/>
      <c r="AB81" s="91" t="n"/>
      <c r="AC81" s="91" t="n"/>
      <c r="AD81" s="91" t="n"/>
      <c r="AE81" s="91" t="n"/>
      <c r="AF81" s="91" t="n"/>
      <c r="AG81" s="91" t="n"/>
    </row>
    <row r="82" ht="12.75" customHeight="1" s="117">
      <c r="A82" s="91" t="n"/>
      <c r="B82" s="91" t="n"/>
      <c r="C82" s="91" t="n"/>
      <c r="D82" s="91" t="n"/>
      <c r="E82" s="91" t="n"/>
      <c r="F82" s="91" t="n"/>
      <c r="G82" s="91" t="n"/>
      <c r="H82" s="91" t="n"/>
      <c r="I82" s="91" t="n"/>
      <c r="J82" s="91" t="n"/>
      <c r="K82" s="91" t="n"/>
      <c r="L82" s="91" t="n"/>
      <c r="M82" s="91" t="n"/>
      <c r="N82" s="91" t="n"/>
      <c r="O82" s="91" t="n"/>
      <c r="P82" s="91" t="n"/>
      <c r="Q82" s="91" t="n"/>
      <c r="R82" s="91" t="n"/>
      <c r="S82" s="91" t="n"/>
      <c r="T82" s="91" t="n"/>
      <c r="U82" s="91" t="n"/>
      <c r="V82" s="91" t="n"/>
      <c r="W82" s="91" t="n"/>
      <c r="X82" s="91" t="n"/>
      <c r="Y82" s="91" t="n"/>
      <c r="Z82" s="91" t="n"/>
      <c r="AA82" s="91" t="n"/>
      <c r="AB82" s="91" t="n"/>
      <c r="AC82" s="91" t="n"/>
      <c r="AD82" s="91" t="n"/>
      <c r="AE82" s="91" t="n"/>
      <c r="AF82" s="91" t="n"/>
      <c r="AG82" s="91" t="n"/>
    </row>
    <row r="83" ht="12.75" customHeight="1" s="117">
      <c r="A83" s="91" t="n"/>
      <c r="B83" s="91" t="n"/>
      <c r="C83" s="91" t="n"/>
      <c r="D83" s="91" t="n"/>
      <c r="E83" s="91" t="n"/>
      <c r="F83" s="91" t="n"/>
      <c r="G83" s="91" t="n"/>
      <c r="H83" s="91" t="n"/>
      <c r="I83" s="91" t="n"/>
      <c r="J83" s="91" t="n"/>
      <c r="K83" s="91" t="n"/>
      <c r="L83" s="91" t="n"/>
      <c r="M83" s="91" t="n"/>
      <c r="N83" s="91" t="n"/>
      <c r="O83" s="91" t="n"/>
      <c r="P83" s="91" t="n"/>
      <c r="Q83" s="91" t="n"/>
      <c r="R83" s="91" t="n"/>
      <c r="S83" s="91" t="n"/>
      <c r="T83" s="91" t="n"/>
      <c r="U83" s="91" t="n"/>
      <c r="V83" s="91" t="n"/>
      <c r="W83" s="91" t="n"/>
      <c r="X83" s="91" t="n"/>
      <c r="Y83" s="91" t="n"/>
      <c r="Z83" s="91" t="n"/>
      <c r="AA83" s="91" t="n"/>
      <c r="AB83" s="91" t="n"/>
      <c r="AC83" s="91" t="n"/>
      <c r="AD83" s="91" t="n"/>
      <c r="AE83" s="91" t="n"/>
      <c r="AF83" s="91" t="n"/>
      <c r="AG83" s="91" t="n"/>
    </row>
    <row r="84" ht="12.75" customHeight="1" s="117">
      <c r="A84" s="91" t="n"/>
      <c r="B84" s="91" t="n"/>
      <c r="C84" s="91" t="n"/>
      <c r="D84" s="91" t="n"/>
      <c r="E84" s="91" t="n"/>
      <c r="F84" s="91" t="n"/>
      <c r="G84" s="91" t="n"/>
      <c r="H84" s="91" t="n"/>
      <c r="I84" s="91" t="n"/>
      <c r="J84" s="91" t="n"/>
      <c r="K84" s="91" t="n"/>
      <c r="L84" s="91" t="n"/>
      <c r="M84" s="91" t="n"/>
      <c r="N84" s="91" t="n"/>
      <c r="O84" s="91" t="n"/>
      <c r="P84" s="91" t="n"/>
      <c r="Q84" s="91" t="n"/>
      <c r="R84" s="91" t="n"/>
      <c r="S84" s="91" t="n"/>
      <c r="T84" s="91" t="n"/>
      <c r="U84" s="91" t="n"/>
      <c r="V84" s="91" t="n"/>
      <c r="W84" s="91" t="n"/>
      <c r="X84" s="91" t="n"/>
      <c r="Y84" s="91" t="n"/>
      <c r="Z84" s="91" t="n"/>
      <c r="AA84" s="91" t="n"/>
      <c r="AB84" s="91" t="n"/>
      <c r="AC84" s="91" t="n"/>
      <c r="AD84" s="91" t="n"/>
      <c r="AE84" s="91" t="n"/>
      <c r="AF84" s="91" t="n"/>
      <c r="AG84" s="91" t="n"/>
    </row>
    <row r="85" ht="12.75" customHeight="1" s="117">
      <c r="A85" s="91" t="n"/>
      <c r="B85" s="91" t="n"/>
      <c r="C85" s="91" t="n"/>
      <c r="D85" s="91" t="n"/>
      <c r="E85" s="91" t="n"/>
      <c r="F85" s="91" t="n"/>
      <c r="G85" s="91" t="n"/>
      <c r="H85" s="91" t="n"/>
      <c r="I85" s="91" t="n"/>
      <c r="J85" s="91" t="n"/>
      <c r="K85" s="91" t="n"/>
      <c r="L85" s="91" t="n"/>
      <c r="M85" s="91" t="n"/>
      <c r="N85" s="91" t="n"/>
      <c r="O85" s="91" t="n"/>
      <c r="P85" s="91" t="n"/>
      <c r="Q85" s="91" t="n"/>
      <c r="R85" s="91" t="n"/>
      <c r="S85" s="91" t="n"/>
      <c r="T85" s="91" t="n"/>
      <c r="U85" s="91" t="n"/>
      <c r="V85" s="91" t="n"/>
      <c r="W85" s="91" t="n"/>
      <c r="X85" s="91" t="n"/>
      <c r="Y85" s="91" t="n"/>
      <c r="Z85" s="91" t="n"/>
      <c r="AA85" s="91" t="n"/>
      <c r="AB85" s="91" t="n"/>
      <c r="AC85" s="91" t="n"/>
      <c r="AD85" s="91" t="n"/>
      <c r="AE85" s="91" t="n"/>
      <c r="AF85" s="91" t="n"/>
      <c r="AG85" s="91" t="n"/>
    </row>
    <row r="86" ht="12.75" customHeight="1" s="117">
      <c r="A86" s="91" t="n"/>
      <c r="B86" s="91" t="n"/>
      <c r="C86" s="91" t="n"/>
      <c r="D86" s="91" t="n"/>
      <c r="E86" s="91" t="n"/>
      <c r="F86" s="91" t="n"/>
      <c r="G86" s="91" t="n"/>
      <c r="H86" s="91" t="n"/>
      <c r="I86" s="91" t="n"/>
      <c r="J86" s="91" t="n"/>
      <c r="K86" s="91" t="n"/>
      <c r="L86" s="91" t="n"/>
      <c r="M86" s="91" t="n"/>
      <c r="N86" s="91" t="n"/>
      <c r="O86" s="91" t="n"/>
      <c r="P86" s="91" t="n"/>
      <c r="Q86" s="91" t="n"/>
      <c r="R86" s="91" t="n"/>
      <c r="S86" s="91" t="n"/>
      <c r="T86" s="91" t="n"/>
      <c r="U86" s="91" t="n"/>
      <c r="V86" s="91" t="n"/>
      <c r="W86" s="91" t="n"/>
      <c r="X86" s="91" t="n"/>
      <c r="Y86" s="91" t="n"/>
      <c r="Z86" s="91" t="n"/>
      <c r="AA86" s="91" t="n"/>
      <c r="AB86" s="91" t="n"/>
      <c r="AC86" s="91" t="n"/>
      <c r="AD86" s="91" t="n"/>
      <c r="AE86" s="91" t="n"/>
      <c r="AF86" s="91" t="n"/>
      <c r="AG86" s="91" t="n"/>
    </row>
    <row r="87" ht="12.75" customHeight="1" s="117">
      <c r="A87" s="91" t="n"/>
      <c r="B87" s="91" t="n"/>
      <c r="C87" s="91" t="n"/>
      <c r="D87" s="91" t="n"/>
      <c r="E87" s="91" t="n"/>
      <c r="F87" s="91" t="n"/>
      <c r="G87" s="91" t="n"/>
      <c r="H87" s="91" t="n"/>
      <c r="I87" s="91" t="n"/>
      <c r="J87" s="91" t="n"/>
      <c r="K87" s="91" t="n"/>
      <c r="L87" s="91" t="n"/>
      <c r="M87" s="91" t="n"/>
      <c r="N87" s="91" t="n"/>
      <c r="O87" s="91" t="n"/>
      <c r="P87" s="91" t="n"/>
      <c r="Q87" s="91" t="n"/>
      <c r="R87" s="91" t="n"/>
      <c r="S87" s="91" t="n"/>
      <c r="T87" s="91" t="n"/>
      <c r="U87" s="91" t="n"/>
      <c r="V87" s="91" t="n"/>
      <c r="W87" s="91" t="n"/>
      <c r="X87" s="91" t="n"/>
      <c r="Y87" s="91" t="n"/>
      <c r="Z87" s="91" t="n"/>
      <c r="AA87" s="91" t="n"/>
      <c r="AB87" s="91" t="n"/>
      <c r="AC87" s="91" t="n"/>
      <c r="AD87" s="91" t="n"/>
      <c r="AE87" s="91" t="n"/>
      <c r="AF87" s="91" t="n"/>
      <c r="AG87" s="91" t="n"/>
    </row>
    <row r="88" ht="12.75" customHeight="1" s="117">
      <c r="A88" s="91" t="n"/>
      <c r="B88" s="91" t="n"/>
      <c r="C88" s="91" t="n"/>
      <c r="D88" s="91" t="n"/>
      <c r="E88" s="91" t="n"/>
      <c r="F88" s="91" t="n"/>
      <c r="G88" s="91" t="n"/>
      <c r="H88" s="91" t="n"/>
      <c r="I88" s="91" t="n"/>
      <c r="J88" s="91" t="n"/>
      <c r="K88" s="91" t="n"/>
      <c r="L88" s="91" t="n"/>
      <c r="M88" s="91" t="n"/>
      <c r="N88" s="91" t="n"/>
      <c r="O88" s="91" t="n"/>
      <c r="P88" s="91" t="n"/>
      <c r="Q88" s="91" t="n"/>
      <c r="R88" s="91" t="n"/>
      <c r="S88" s="91" t="n"/>
      <c r="T88" s="91" t="n"/>
      <c r="U88" s="91" t="n"/>
      <c r="V88" s="91" t="n"/>
      <c r="W88" s="91" t="n"/>
      <c r="X88" s="91" t="n"/>
      <c r="Y88" s="91" t="n"/>
      <c r="Z88" s="91" t="n"/>
      <c r="AA88" s="91" t="n"/>
      <c r="AB88" s="91" t="n"/>
      <c r="AC88" s="91" t="n"/>
      <c r="AD88" s="91" t="n"/>
      <c r="AE88" s="91" t="n"/>
      <c r="AF88" s="91" t="n"/>
      <c r="AG88" s="91" t="n"/>
    </row>
    <row r="89" ht="12.75" customHeight="1" s="117">
      <c r="A89" s="91" t="n"/>
      <c r="B89" s="91" t="n"/>
      <c r="C89" s="91" t="n"/>
      <c r="D89" s="91" t="n"/>
      <c r="E89" s="91" t="n"/>
      <c r="F89" s="91" t="n"/>
      <c r="G89" s="91" t="n"/>
      <c r="H89" s="91" t="n"/>
      <c r="I89" s="91" t="n"/>
      <c r="J89" s="91" t="n"/>
      <c r="K89" s="91" t="n"/>
      <c r="L89" s="91" t="n"/>
      <c r="M89" s="91" t="n"/>
      <c r="N89" s="91" t="n"/>
      <c r="O89" s="91" t="n"/>
      <c r="P89" s="91" t="n"/>
      <c r="Q89" s="91" t="n"/>
      <c r="R89" s="91" t="n"/>
      <c r="S89" s="91" t="n"/>
      <c r="T89" s="91" t="n"/>
      <c r="U89" s="91" t="n"/>
      <c r="V89" s="91" t="n"/>
      <c r="W89" s="91" t="n"/>
      <c r="X89" s="91" t="n"/>
      <c r="Y89" s="91" t="n"/>
      <c r="Z89" s="91" t="n"/>
      <c r="AA89" s="91" t="n"/>
      <c r="AB89" s="91" t="n"/>
      <c r="AC89" s="91" t="n"/>
      <c r="AD89" s="91" t="n"/>
      <c r="AE89" s="91" t="n"/>
      <c r="AF89" s="91" t="n"/>
      <c r="AG89" s="91" t="n"/>
    </row>
    <row r="90" ht="12.75" customHeight="1" s="117">
      <c r="A90" s="91" t="n"/>
      <c r="B90" s="91" t="n"/>
      <c r="C90" s="91" t="n"/>
      <c r="D90" s="91" t="n"/>
      <c r="E90" s="91" t="n"/>
      <c r="F90" s="91" t="n"/>
      <c r="G90" s="91" t="n"/>
      <c r="H90" s="91" t="n"/>
      <c r="I90" s="91" t="n"/>
      <c r="J90" s="91" t="n"/>
      <c r="K90" s="91" t="n"/>
      <c r="L90" s="91" t="n"/>
      <c r="M90" s="91" t="n"/>
      <c r="N90" s="91" t="n"/>
      <c r="O90" s="91" t="n"/>
      <c r="P90" s="91" t="n"/>
      <c r="Q90" s="91" t="n"/>
      <c r="R90" s="91" t="n"/>
      <c r="S90" s="91" t="n"/>
      <c r="T90" s="91" t="n"/>
      <c r="U90" s="91" t="n"/>
      <c r="V90" s="91" t="n"/>
      <c r="W90" s="91" t="n"/>
      <c r="X90" s="91" t="n"/>
      <c r="Y90" s="91" t="n"/>
      <c r="Z90" s="91" t="n"/>
      <c r="AA90" s="91" t="n"/>
      <c r="AB90" s="91" t="n"/>
      <c r="AC90" s="91" t="n"/>
      <c r="AD90" s="91" t="n"/>
      <c r="AE90" s="91" t="n"/>
      <c r="AF90" s="91" t="n"/>
      <c r="AG90" s="91" t="n"/>
    </row>
    <row r="91" ht="12.75" customHeight="1" s="117">
      <c r="A91" s="91" t="n"/>
      <c r="B91" s="91" t="n"/>
      <c r="C91" s="91" t="n"/>
      <c r="D91" s="91" t="n"/>
      <c r="E91" s="91" t="n"/>
      <c r="F91" s="91" t="n"/>
      <c r="G91" s="91" t="n"/>
      <c r="H91" s="91" t="n"/>
      <c r="I91" s="91" t="n"/>
      <c r="J91" s="91" t="n"/>
      <c r="K91" s="91" t="n"/>
      <c r="L91" s="91" t="n"/>
      <c r="M91" s="91" t="n"/>
      <c r="N91" s="91" t="n"/>
      <c r="O91" s="91" t="n"/>
      <c r="P91" s="91" t="n"/>
      <c r="Q91" s="91" t="n"/>
      <c r="R91" s="91" t="n"/>
      <c r="S91" s="91" t="n"/>
      <c r="T91" s="91" t="n"/>
      <c r="U91" s="91" t="n"/>
      <c r="V91" s="91" t="n"/>
      <c r="W91" s="91" t="n"/>
      <c r="X91" s="91" t="n"/>
      <c r="Y91" s="91" t="n"/>
      <c r="Z91" s="91" t="n"/>
      <c r="AA91" s="91" t="n"/>
      <c r="AB91" s="91" t="n"/>
      <c r="AC91" s="91" t="n"/>
      <c r="AD91" s="91" t="n"/>
      <c r="AE91" s="91" t="n"/>
      <c r="AF91" s="91" t="n"/>
      <c r="AG91" s="91" t="n"/>
    </row>
    <row r="92" ht="12.75" customHeight="1" s="117">
      <c r="A92" s="91" t="n"/>
      <c r="B92" s="91" t="n"/>
      <c r="C92" s="91" t="n"/>
      <c r="D92" s="91" t="n"/>
      <c r="E92" s="91" t="n"/>
      <c r="F92" s="91" t="n"/>
      <c r="G92" s="91" t="n"/>
      <c r="H92" s="91" t="n"/>
      <c r="I92" s="91" t="n"/>
      <c r="J92" s="91" t="n"/>
      <c r="K92" s="91" t="n"/>
      <c r="L92" s="91" t="n"/>
      <c r="M92" s="91" t="n"/>
      <c r="N92" s="91" t="n"/>
      <c r="O92" s="91" t="n"/>
      <c r="P92" s="91" t="n"/>
      <c r="Q92" s="91" t="n"/>
      <c r="R92" s="91" t="n"/>
      <c r="S92" s="91" t="n"/>
      <c r="T92" s="91" t="n"/>
      <c r="U92" s="91" t="n"/>
      <c r="V92" s="91" t="n"/>
      <c r="W92" s="91" t="n"/>
      <c r="X92" s="91" t="n"/>
      <c r="Y92" s="91" t="n"/>
      <c r="Z92" s="91" t="n"/>
      <c r="AA92" s="91" t="n"/>
      <c r="AB92" s="91" t="n"/>
      <c r="AC92" s="91" t="n"/>
      <c r="AD92" s="91" t="n"/>
      <c r="AE92" s="91" t="n"/>
      <c r="AF92" s="91" t="n"/>
      <c r="AG92" s="91" t="n"/>
    </row>
    <row r="93" ht="12.75" customHeight="1" s="117">
      <c r="A93" s="91" t="n"/>
      <c r="B93" s="91" t="n"/>
      <c r="C93" s="91" t="n"/>
      <c r="D93" s="91" t="n"/>
      <c r="E93" s="91" t="n"/>
      <c r="F93" s="91" t="n"/>
      <c r="G93" s="91" t="n"/>
      <c r="H93" s="91" t="n"/>
      <c r="I93" s="91" t="n"/>
      <c r="J93" s="91" t="n"/>
      <c r="K93" s="91" t="n"/>
      <c r="L93" s="91" t="n"/>
      <c r="M93" s="91" t="n"/>
      <c r="N93" s="91" t="n"/>
      <c r="O93" s="91" t="n"/>
      <c r="P93" s="91" t="n"/>
      <c r="Q93" s="91" t="n"/>
      <c r="R93" s="91" t="n"/>
      <c r="S93" s="91" t="n"/>
      <c r="T93" s="91" t="n"/>
      <c r="U93" s="91" t="n"/>
      <c r="V93" s="91" t="n"/>
      <c r="W93" s="91" t="n"/>
      <c r="X93" s="91" t="n"/>
      <c r="Y93" s="91" t="n"/>
      <c r="Z93" s="91" t="n"/>
      <c r="AA93" s="91" t="n"/>
      <c r="AB93" s="91" t="n"/>
      <c r="AC93" s="91" t="n"/>
      <c r="AD93" s="91" t="n"/>
      <c r="AE93" s="91" t="n"/>
      <c r="AF93" s="91" t="n"/>
      <c r="AG93" s="91" t="n"/>
    </row>
    <row r="94" ht="12.75" customHeight="1" s="117">
      <c r="A94" s="91" t="n"/>
      <c r="B94" s="91" t="n"/>
      <c r="C94" s="91" t="n"/>
      <c r="D94" s="91" t="n"/>
      <c r="E94" s="91" t="n"/>
      <c r="F94" s="91" t="n"/>
      <c r="G94" s="91" t="n"/>
      <c r="H94" s="91" t="n"/>
      <c r="I94" s="91" t="n"/>
      <c r="J94" s="91" t="n"/>
      <c r="K94" s="91" t="n"/>
      <c r="L94" s="91" t="n"/>
      <c r="M94" s="91" t="n"/>
      <c r="N94" s="91" t="n"/>
      <c r="O94" s="91" t="n"/>
      <c r="P94" s="91" t="n"/>
      <c r="Q94" s="91" t="n"/>
      <c r="R94" s="91" t="n"/>
      <c r="S94" s="91" t="n"/>
      <c r="T94" s="91" t="n"/>
      <c r="U94" s="91" t="n"/>
      <c r="V94" s="91" t="n"/>
      <c r="W94" s="91" t="n"/>
      <c r="X94" s="91" t="n"/>
      <c r="Y94" s="91" t="n"/>
      <c r="Z94" s="91" t="n"/>
      <c r="AA94" s="91" t="n"/>
      <c r="AB94" s="91" t="n"/>
      <c r="AC94" s="91" t="n"/>
      <c r="AD94" s="91" t="n"/>
      <c r="AE94" s="91" t="n"/>
      <c r="AF94" s="91" t="n"/>
      <c r="AG94" s="91" t="n"/>
    </row>
    <row r="95" ht="12.75" customHeight="1" s="117">
      <c r="A95" s="91" t="n"/>
      <c r="B95" s="91" t="n"/>
      <c r="C95" s="91" t="n"/>
      <c r="D95" s="91" t="n"/>
      <c r="E95" s="91" t="n"/>
      <c r="F95" s="91" t="n"/>
      <c r="G95" s="91" t="n"/>
      <c r="H95" s="91" t="n"/>
      <c r="I95" s="91" t="n"/>
      <c r="J95" s="91" t="n"/>
      <c r="K95" s="91" t="n"/>
      <c r="L95" s="91" t="n"/>
      <c r="M95" s="91" t="n"/>
      <c r="N95" s="91" t="n"/>
      <c r="O95" s="91" t="n"/>
      <c r="P95" s="91" t="n"/>
      <c r="Q95" s="91" t="n"/>
      <c r="R95" s="91" t="n"/>
      <c r="S95" s="91" t="n"/>
      <c r="T95" s="91" t="n"/>
      <c r="U95" s="91" t="n"/>
      <c r="V95" s="91" t="n"/>
      <c r="W95" s="91" t="n"/>
      <c r="X95" s="91" t="n"/>
      <c r="Y95" s="91" t="n"/>
      <c r="Z95" s="91" t="n"/>
      <c r="AA95" s="91" t="n"/>
      <c r="AB95" s="91" t="n"/>
      <c r="AC95" s="91" t="n"/>
      <c r="AD95" s="91" t="n"/>
      <c r="AE95" s="91" t="n"/>
      <c r="AF95" s="91" t="n"/>
      <c r="AG95" s="91" t="n"/>
    </row>
    <row r="96" ht="12.75" customHeight="1" s="117">
      <c r="A96" s="91" t="n"/>
      <c r="B96" s="91" t="n"/>
      <c r="C96" s="91" t="n"/>
      <c r="D96" s="91" t="n"/>
      <c r="E96" s="91" t="n"/>
      <c r="F96" s="91" t="n"/>
      <c r="G96" s="91" t="n"/>
      <c r="H96" s="91" t="n"/>
      <c r="I96" s="91" t="n"/>
      <c r="J96" s="91" t="n"/>
      <c r="K96" s="91" t="n"/>
      <c r="L96" s="91" t="n"/>
      <c r="M96" s="91" t="n"/>
      <c r="N96" s="91" t="n"/>
      <c r="O96" s="91" t="n"/>
      <c r="P96" s="91" t="n"/>
      <c r="Q96" s="91" t="n"/>
      <c r="R96" s="91" t="n"/>
      <c r="S96" s="91" t="n"/>
      <c r="T96" s="91" t="n"/>
      <c r="U96" s="91" t="n"/>
      <c r="V96" s="91" t="n"/>
      <c r="W96" s="91" t="n"/>
      <c r="X96" s="91" t="n"/>
      <c r="Y96" s="91" t="n"/>
      <c r="Z96" s="91" t="n"/>
      <c r="AA96" s="91" t="n"/>
      <c r="AB96" s="91" t="n"/>
      <c r="AC96" s="91" t="n"/>
      <c r="AD96" s="91" t="n"/>
      <c r="AE96" s="91" t="n"/>
      <c r="AF96" s="91" t="n"/>
      <c r="AG96" s="91" t="n"/>
    </row>
    <row r="97" ht="12.75" customHeight="1" s="117">
      <c r="A97" s="91" t="n"/>
      <c r="B97" s="91" t="n"/>
      <c r="C97" s="91" t="n"/>
      <c r="D97" s="91" t="n"/>
      <c r="E97" s="91" t="n"/>
      <c r="F97" s="91" t="n"/>
      <c r="G97" s="91" t="n"/>
      <c r="H97" s="91" t="n"/>
      <c r="I97" s="91" t="n"/>
      <c r="J97" s="91" t="n"/>
      <c r="K97" s="91" t="n"/>
      <c r="L97" s="91" t="n"/>
      <c r="M97" s="91" t="n"/>
      <c r="N97" s="91" t="n"/>
      <c r="O97" s="91" t="n"/>
      <c r="P97" s="91" t="n"/>
      <c r="Q97" s="91" t="n"/>
      <c r="R97" s="91" t="n"/>
      <c r="S97" s="91" t="n"/>
      <c r="T97" s="91" t="n"/>
      <c r="U97" s="91" t="n"/>
      <c r="V97" s="91" t="n"/>
      <c r="W97" s="91" t="n"/>
      <c r="X97" s="91" t="n"/>
      <c r="Y97" s="91" t="n"/>
      <c r="Z97" s="91" t="n"/>
      <c r="AA97" s="91" t="n"/>
      <c r="AB97" s="91" t="n"/>
      <c r="AC97" s="91" t="n"/>
      <c r="AD97" s="91" t="n"/>
      <c r="AE97" s="91" t="n"/>
      <c r="AF97" s="91" t="n"/>
      <c r="AG97" s="91" t="n"/>
    </row>
    <row r="98" ht="12.75" customHeight="1" s="117">
      <c r="A98" s="91" t="n"/>
      <c r="B98" s="91" t="n"/>
      <c r="C98" s="91" t="n"/>
      <c r="D98" s="91" t="n"/>
      <c r="E98" s="91" t="n"/>
      <c r="F98" s="91" t="n"/>
      <c r="G98" s="91" t="n"/>
      <c r="H98" s="91" t="n"/>
      <c r="I98" s="91" t="n"/>
      <c r="J98" s="91" t="n"/>
      <c r="K98" s="91" t="n"/>
      <c r="L98" s="91" t="n"/>
      <c r="M98" s="91" t="n"/>
      <c r="N98" s="91" t="n"/>
      <c r="O98" s="91" t="n"/>
      <c r="P98" s="91" t="n"/>
      <c r="Q98" s="91" t="n"/>
      <c r="R98" s="91" t="n"/>
      <c r="S98" s="91" t="n"/>
      <c r="T98" s="91" t="n"/>
      <c r="U98" s="91" t="n"/>
      <c r="V98" s="91" t="n"/>
      <c r="W98" s="91" t="n"/>
      <c r="X98" s="91" t="n"/>
      <c r="Y98" s="91" t="n"/>
      <c r="Z98" s="91" t="n"/>
      <c r="AA98" s="91" t="n"/>
      <c r="AB98" s="91" t="n"/>
      <c r="AC98" s="91" t="n"/>
      <c r="AD98" s="91" t="n"/>
      <c r="AE98" s="91" t="n"/>
      <c r="AF98" s="91" t="n"/>
      <c r="AG98" s="91" t="n"/>
    </row>
    <row r="99" ht="12.75" customHeight="1" s="117">
      <c r="A99" s="91" t="n"/>
      <c r="B99" s="91" t="n"/>
      <c r="C99" s="91" t="n"/>
      <c r="D99" s="91" t="n"/>
      <c r="E99" s="91" t="n"/>
      <c r="F99" s="91" t="n"/>
      <c r="G99" s="91" t="n"/>
      <c r="H99" s="91" t="n"/>
      <c r="I99" s="91" t="n"/>
      <c r="J99" s="91" t="n"/>
      <c r="K99" s="91" t="n"/>
      <c r="L99" s="91" t="n"/>
      <c r="M99" s="91" t="n"/>
      <c r="N99" s="91" t="n"/>
      <c r="O99" s="91" t="n"/>
      <c r="P99" s="91" t="n"/>
      <c r="Q99" s="91" t="n"/>
      <c r="R99" s="91" t="n"/>
      <c r="S99" s="91" t="n"/>
      <c r="T99" s="91" t="n"/>
      <c r="U99" s="91" t="n"/>
      <c r="V99" s="91" t="n"/>
      <c r="W99" s="91" t="n"/>
      <c r="X99" s="91" t="n"/>
      <c r="Y99" s="91" t="n"/>
      <c r="Z99" s="91" t="n"/>
      <c r="AA99" s="91" t="n"/>
      <c r="AB99" s="91" t="n"/>
      <c r="AC99" s="91" t="n"/>
      <c r="AD99" s="91" t="n"/>
      <c r="AE99" s="91" t="n"/>
      <c r="AF99" s="91" t="n"/>
      <c r="AG99" s="91" t="n"/>
    </row>
    <row r="100" ht="12.75" customHeight="1" s="117">
      <c r="A100" s="91" t="n"/>
      <c r="B100" s="91" t="n"/>
      <c r="C100" s="91" t="n"/>
      <c r="D100" s="91" t="n"/>
      <c r="E100" s="91" t="n"/>
      <c r="F100" s="91" t="n"/>
      <c r="G100" s="91" t="n"/>
      <c r="H100" s="91" t="n"/>
      <c r="I100" s="91" t="n"/>
      <c r="J100" s="91" t="n"/>
      <c r="K100" s="91" t="n"/>
      <c r="L100" s="91" t="n"/>
      <c r="M100" s="91" t="n"/>
      <c r="N100" s="91" t="n"/>
      <c r="O100" s="91" t="n"/>
      <c r="P100" s="91" t="n"/>
      <c r="Q100" s="91" t="n"/>
      <c r="R100" s="91" t="n"/>
      <c r="S100" s="91" t="n"/>
      <c r="T100" s="91" t="n"/>
      <c r="U100" s="91" t="n"/>
      <c r="V100" s="91" t="n"/>
      <c r="W100" s="91" t="n"/>
      <c r="X100" s="91" t="n"/>
      <c r="Y100" s="91" t="n"/>
      <c r="Z100" s="91" t="n"/>
      <c r="AA100" s="91" t="n"/>
      <c r="AB100" s="91" t="n"/>
      <c r="AC100" s="91" t="n"/>
      <c r="AD100" s="91" t="n"/>
      <c r="AE100" s="91" t="n"/>
      <c r="AF100" s="91" t="n"/>
      <c r="AG100" s="91" t="n"/>
    </row>
    <row r="101" ht="12.75" customHeight="1" s="117">
      <c r="A101" s="91" t="n"/>
      <c r="B101" s="91" t="n"/>
      <c r="C101" s="91" t="n"/>
      <c r="D101" s="91" t="n"/>
      <c r="E101" s="91" t="n"/>
      <c r="F101" s="91" t="n"/>
      <c r="G101" s="91" t="n"/>
      <c r="H101" s="91" t="n"/>
      <c r="I101" s="91" t="n"/>
      <c r="J101" s="91" t="n"/>
      <c r="K101" s="91" t="n"/>
      <c r="L101" s="91" t="n"/>
      <c r="M101" s="91" t="n"/>
      <c r="N101" s="91" t="n"/>
      <c r="O101" s="91" t="n"/>
      <c r="P101" s="91" t="n"/>
      <c r="Q101" s="91" t="n"/>
      <c r="R101" s="91" t="n"/>
      <c r="S101" s="91" t="n"/>
      <c r="T101" s="91" t="n"/>
      <c r="U101" s="91" t="n"/>
      <c r="V101" s="91" t="n"/>
      <c r="W101" s="91" t="n"/>
      <c r="X101" s="91" t="n"/>
      <c r="Y101" s="91" t="n"/>
      <c r="Z101" s="91" t="n"/>
      <c r="AA101" s="91" t="n"/>
      <c r="AB101" s="91" t="n"/>
      <c r="AC101" s="91" t="n"/>
      <c r="AD101" s="91" t="n"/>
      <c r="AE101" s="91" t="n"/>
      <c r="AF101" s="91" t="n"/>
      <c r="AG101" s="91" t="n"/>
    </row>
    <row r="102" ht="12.75" customHeight="1" s="117">
      <c r="A102" s="91" t="n"/>
      <c r="B102" s="91" t="n"/>
      <c r="C102" s="91" t="n"/>
      <c r="D102" s="91" t="n"/>
      <c r="E102" s="91" t="n"/>
      <c r="F102" s="91" t="n"/>
      <c r="G102" s="91" t="n"/>
      <c r="H102" s="91" t="n"/>
      <c r="I102" s="91" t="n"/>
      <c r="J102" s="91" t="n"/>
      <c r="K102" s="91" t="n"/>
      <c r="L102" s="91" t="n"/>
      <c r="M102" s="91" t="n"/>
      <c r="N102" s="91" t="n"/>
      <c r="O102" s="91" t="n"/>
      <c r="P102" s="91" t="n"/>
      <c r="Q102" s="91" t="n"/>
      <c r="R102" s="91" t="n"/>
      <c r="S102" s="91" t="n"/>
      <c r="T102" s="91" t="n"/>
      <c r="U102" s="91" t="n"/>
      <c r="V102" s="91" t="n"/>
      <c r="W102" s="91" t="n"/>
      <c r="X102" s="91" t="n"/>
      <c r="Y102" s="91" t="n"/>
      <c r="Z102" s="91" t="n"/>
      <c r="AA102" s="91" t="n"/>
      <c r="AB102" s="91" t="n"/>
      <c r="AC102" s="91" t="n"/>
      <c r="AD102" s="91" t="n"/>
      <c r="AE102" s="91" t="n"/>
      <c r="AF102" s="91" t="n"/>
      <c r="AG102" s="91" t="n"/>
    </row>
    <row r="103" ht="12.75" customHeight="1" s="117">
      <c r="A103" s="91" t="n"/>
      <c r="B103" s="91" t="n"/>
      <c r="C103" s="91" t="n"/>
      <c r="D103" s="91" t="n"/>
      <c r="E103" s="91" t="n"/>
      <c r="F103" s="91" t="n"/>
      <c r="G103" s="91" t="n"/>
      <c r="H103" s="91" t="n"/>
      <c r="I103" s="91" t="n"/>
      <c r="J103" s="91" t="n"/>
      <c r="K103" s="91" t="n"/>
      <c r="L103" s="91" t="n"/>
      <c r="M103" s="91" t="n"/>
      <c r="N103" s="91" t="n"/>
      <c r="O103" s="91" t="n"/>
      <c r="P103" s="91" t="n"/>
      <c r="Q103" s="91" t="n"/>
      <c r="R103" s="91" t="n"/>
      <c r="S103" s="91" t="n"/>
      <c r="T103" s="91" t="n"/>
      <c r="U103" s="91" t="n"/>
      <c r="V103" s="91" t="n"/>
      <c r="W103" s="91" t="n"/>
      <c r="X103" s="91" t="n"/>
      <c r="Y103" s="91" t="n"/>
      <c r="Z103" s="91" t="n"/>
      <c r="AA103" s="91" t="n"/>
      <c r="AB103" s="91" t="n"/>
      <c r="AC103" s="91" t="n"/>
      <c r="AD103" s="91" t="n"/>
      <c r="AE103" s="91" t="n"/>
      <c r="AF103" s="91" t="n"/>
      <c r="AG103" s="91" t="n"/>
    </row>
    <row r="104" ht="12.75" customHeight="1" s="117">
      <c r="A104" s="91" t="n"/>
      <c r="B104" s="91" t="n"/>
      <c r="C104" s="91" t="n"/>
      <c r="D104" s="91" t="n"/>
      <c r="E104" s="91" t="n"/>
      <c r="F104" s="91" t="n"/>
      <c r="G104" s="91" t="n"/>
      <c r="H104" s="91" t="n"/>
      <c r="I104" s="91" t="n"/>
      <c r="J104" s="91" t="n"/>
      <c r="K104" s="91" t="n"/>
      <c r="L104" s="91" t="n"/>
      <c r="M104" s="91" t="n"/>
      <c r="N104" s="91" t="n"/>
      <c r="O104" s="91" t="n"/>
      <c r="P104" s="91" t="n"/>
      <c r="Q104" s="91" t="n"/>
      <c r="R104" s="91" t="n"/>
      <c r="S104" s="91" t="n"/>
      <c r="T104" s="91" t="n"/>
      <c r="U104" s="91" t="n"/>
      <c r="V104" s="91" t="n"/>
      <c r="W104" s="91" t="n"/>
      <c r="X104" s="91" t="n"/>
      <c r="Y104" s="91" t="n"/>
      <c r="Z104" s="91" t="n"/>
      <c r="AA104" s="91" t="n"/>
      <c r="AB104" s="91" t="n"/>
      <c r="AC104" s="91" t="n"/>
      <c r="AD104" s="91" t="n"/>
      <c r="AE104" s="91" t="n"/>
      <c r="AF104" s="91" t="n"/>
      <c r="AG104" s="91" t="n"/>
    </row>
    <row r="105" ht="12.75" customHeight="1" s="117">
      <c r="A105" s="91" t="n"/>
      <c r="B105" s="91" t="n"/>
      <c r="C105" s="91" t="n"/>
      <c r="D105" s="91" t="n"/>
      <c r="E105" s="91" t="n"/>
      <c r="F105" s="91" t="n"/>
      <c r="G105" s="91" t="n"/>
      <c r="H105" s="91" t="n"/>
      <c r="I105" s="91" t="n"/>
      <c r="J105" s="91" t="n"/>
      <c r="K105" s="91" t="n"/>
      <c r="L105" s="91" t="n"/>
      <c r="M105" s="91" t="n"/>
      <c r="N105" s="91" t="n"/>
      <c r="O105" s="91" t="n"/>
      <c r="P105" s="91" t="n"/>
      <c r="Q105" s="91" t="n"/>
      <c r="R105" s="91" t="n"/>
      <c r="S105" s="91" t="n"/>
      <c r="T105" s="91" t="n"/>
      <c r="U105" s="91" t="n"/>
      <c r="V105" s="91" t="n"/>
      <c r="W105" s="91" t="n"/>
      <c r="X105" s="91" t="n"/>
      <c r="Y105" s="91" t="n"/>
      <c r="Z105" s="91" t="n"/>
      <c r="AA105" s="91" t="n"/>
      <c r="AB105" s="91" t="n"/>
      <c r="AC105" s="91" t="n"/>
      <c r="AD105" s="91" t="n"/>
      <c r="AE105" s="91" t="n"/>
      <c r="AF105" s="91" t="n"/>
      <c r="AG105" s="91" t="n"/>
    </row>
    <row r="106" ht="12.75" customHeight="1" s="117">
      <c r="A106" s="91" t="n"/>
      <c r="B106" s="91" t="n"/>
      <c r="C106" s="91" t="n"/>
      <c r="D106" s="91" t="n"/>
      <c r="E106" s="91" t="n"/>
      <c r="F106" s="91" t="n"/>
      <c r="G106" s="91" t="n"/>
      <c r="H106" s="91" t="n"/>
      <c r="I106" s="91" t="n"/>
      <c r="J106" s="91" t="n"/>
      <c r="K106" s="91" t="n"/>
      <c r="L106" s="91" t="n"/>
      <c r="M106" s="91" t="n"/>
      <c r="N106" s="91" t="n"/>
      <c r="O106" s="91" t="n"/>
      <c r="P106" s="91" t="n"/>
      <c r="Q106" s="91" t="n"/>
      <c r="R106" s="91" t="n"/>
      <c r="S106" s="91" t="n"/>
      <c r="T106" s="91" t="n"/>
      <c r="U106" s="91" t="n"/>
      <c r="V106" s="91" t="n"/>
      <c r="W106" s="91" t="n"/>
      <c r="X106" s="91" t="n"/>
      <c r="Y106" s="91" t="n"/>
      <c r="Z106" s="91" t="n"/>
      <c r="AA106" s="91" t="n"/>
      <c r="AB106" s="91" t="n"/>
      <c r="AC106" s="91" t="n"/>
      <c r="AD106" s="91" t="n"/>
      <c r="AE106" s="91" t="n"/>
      <c r="AF106" s="91" t="n"/>
      <c r="AG106" s="91" t="n"/>
    </row>
    <row r="107" ht="12.75" customHeight="1" s="117">
      <c r="A107" s="91" t="n"/>
      <c r="B107" s="91" t="n"/>
      <c r="C107" s="91" t="n"/>
      <c r="D107" s="91" t="n"/>
      <c r="E107" s="91" t="n"/>
      <c r="F107" s="91" t="n"/>
      <c r="G107" s="91" t="n"/>
      <c r="H107" s="91" t="n"/>
      <c r="I107" s="91" t="n"/>
      <c r="J107" s="91" t="n"/>
      <c r="K107" s="91" t="n"/>
      <c r="L107" s="91" t="n"/>
      <c r="M107" s="91" t="n"/>
      <c r="N107" s="91" t="n"/>
      <c r="O107" s="91" t="n"/>
      <c r="P107" s="91" t="n"/>
      <c r="Q107" s="91" t="n"/>
      <c r="R107" s="91" t="n"/>
      <c r="S107" s="91" t="n"/>
      <c r="T107" s="91" t="n"/>
      <c r="U107" s="91" t="n"/>
      <c r="V107" s="91" t="n"/>
      <c r="W107" s="91" t="n"/>
      <c r="X107" s="91" t="n"/>
      <c r="Y107" s="91" t="n"/>
      <c r="Z107" s="91" t="n"/>
      <c r="AA107" s="91" t="n"/>
      <c r="AB107" s="91" t="n"/>
      <c r="AC107" s="91" t="n"/>
      <c r="AD107" s="91" t="n"/>
      <c r="AE107" s="91" t="n"/>
      <c r="AF107" s="91" t="n"/>
      <c r="AG107" s="91" t="n"/>
    </row>
    <row r="108" ht="12.75" customHeight="1" s="117">
      <c r="A108" s="91" t="n"/>
      <c r="B108" s="91" t="n"/>
      <c r="C108" s="91" t="n"/>
      <c r="D108" s="91" t="n"/>
      <c r="E108" s="91" t="n"/>
      <c r="F108" s="91" t="n"/>
      <c r="G108" s="91" t="n"/>
      <c r="H108" s="91" t="n"/>
      <c r="I108" s="91" t="n"/>
      <c r="J108" s="91" t="n"/>
      <c r="K108" s="91" t="n"/>
      <c r="L108" s="91" t="n"/>
      <c r="M108" s="91" t="n"/>
      <c r="N108" s="91" t="n"/>
      <c r="O108" s="91" t="n"/>
      <c r="P108" s="91" t="n"/>
      <c r="Q108" s="91" t="n"/>
      <c r="R108" s="91" t="n"/>
      <c r="S108" s="91" t="n"/>
      <c r="T108" s="91" t="n"/>
      <c r="U108" s="91" t="n"/>
      <c r="V108" s="91" t="n"/>
      <c r="W108" s="91" t="n"/>
      <c r="X108" s="91" t="n"/>
      <c r="Y108" s="91" t="n"/>
      <c r="Z108" s="91" t="n"/>
      <c r="AA108" s="91" t="n"/>
      <c r="AB108" s="91" t="n"/>
      <c r="AC108" s="91" t="n"/>
      <c r="AD108" s="91" t="n"/>
      <c r="AE108" s="91" t="n"/>
      <c r="AF108" s="91" t="n"/>
      <c r="AG108" s="91" t="n"/>
    </row>
    <row r="109" ht="12.75" customHeight="1" s="117">
      <c r="A109" s="91" t="n"/>
      <c r="B109" s="91" t="n"/>
      <c r="C109" s="91" t="n"/>
      <c r="D109" s="91" t="n"/>
      <c r="E109" s="91" t="n"/>
      <c r="F109" s="91" t="n"/>
      <c r="G109" s="91" t="n"/>
      <c r="H109" s="91" t="n"/>
      <c r="I109" s="91" t="n"/>
      <c r="J109" s="91" t="n"/>
      <c r="K109" s="91" t="n"/>
      <c r="L109" s="91" t="n"/>
      <c r="M109" s="91" t="n"/>
      <c r="N109" s="91" t="n"/>
      <c r="O109" s="91" t="n"/>
      <c r="P109" s="91" t="n"/>
      <c r="Q109" s="91" t="n"/>
      <c r="R109" s="91" t="n"/>
      <c r="S109" s="91" t="n"/>
      <c r="T109" s="91" t="n"/>
      <c r="U109" s="91" t="n"/>
      <c r="V109" s="91" t="n"/>
      <c r="W109" s="91" t="n"/>
      <c r="X109" s="91" t="n"/>
      <c r="Y109" s="91" t="n"/>
      <c r="Z109" s="91" t="n"/>
      <c r="AA109" s="91" t="n"/>
      <c r="AB109" s="91" t="n"/>
      <c r="AC109" s="91" t="n"/>
      <c r="AD109" s="91" t="n"/>
      <c r="AE109" s="91" t="n"/>
      <c r="AF109" s="91" t="n"/>
      <c r="AG109" s="91" t="n"/>
    </row>
    <row r="110" ht="12.75" customHeight="1" s="117">
      <c r="A110" s="91" t="n"/>
      <c r="B110" s="91" t="n"/>
      <c r="C110" s="91" t="n"/>
      <c r="D110" s="91" t="n"/>
      <c r="E110" s="91" t="n"/>
      <c r="F110" s="91" t="n"/>
      <c r="G110" s="91" t="n"/>
      <c r="H110" s="91" t="n"/>
      <c r="I110" s="91" t="n"/>
      <c r="J110" s="91" t="n"/>
      <c r="K110" s="91" t="n"/>
      <c r="L110" s="91" t="n"/>
      <c r="M110" s="91" t="n"/>
      <c r="N110" s="91" t="n"/>
      <c r="O110" s="91" t="n"/>
      <c r="P110" s="91" t="n"/>
      <c r="Q110" s="91" t="n"/>
      <c r="R110" s="91" t="n"/>
      <c r="S110" s="91" t="n"/>
      <c r="T110" s="91" t="n"/>
      <c r="U110" s="91" t="n"/>
      <c r="V110" s="91" t="n"/>
      <c r="W110" s="91" t="n"/>
      <c r="X110" s="91" t="n"/>
      <c r="Y110" s="91" t="n"/>
      <c r="Z110" s="91" t="n"/>
      <c r="AA110" s="91" t="n"/>
      <c r="AB110" s="91" t="n"/>
      <c r="AC110" s="91" t="n"/>
      <c r="AD110" s="91" t="n"/>
      <c r="AE110" s="91" t="n"/>
      <c r="AF110" s="91" t="n"/>
      <c r="AG110" s="91" t="n"/>
    </row>
    <row r="111" ht="12.75" customHeight="1" s="117">
      <c r="A111" s="91" t="n"/>
      <c r="B111" s="91" t="n"/>
      <c r="C111" s="91" t="n"/>
      <c r="D111" s="91" t="n"/>
      <c r="E111" s="91" t="n"/>
      <c r="F111" s="91" t="n"/>
      <c r="G111" s="91" t="n"/>
      <c r="H111" s="91" t="n"/>
      <c r="I111" s="91" t="n"/>
      <c r="J111" s="91" t="n"/>
      <c r="K111" s="91" t="n"/>
      <c r="L111" s="91" t="n"/>
      <c r="M111" s="91" t="n"/>
      <c r="N111" s="91" t="n"/>
      <c r="O111" s="91" t="n"/>
      <c r="P111" s="91" t="n"/>
      <c r="Q111" s="91" t="n"/>
      <c r="R111" s="91" t="n"/>
      <c r="S111" s="91" t="n"/>
      <c r="T111" s="91" t="n"/>
      <c r="U111" s="91" t="n"/>
      <c r="V111" s="91" t="n"/>
      <c r="W111" s="91" t="n"/>
      <c r="X111" s="91" t="n"/>
      <c r="Y111" s="91" t="n"/>
      <c r="Z111" s="91" t="n"/>
      <c r="AA111" s="91" t="n"/>
      <c r="AB111" s="91" t="n"/>
      <c r="AC111" s="91" t="n"/>
      <c r="AD111" s="91" t="n"/>
      <c r="AE111" s="91" t="n"/>
      <c r="AF111" s="91" t="n"/>
      <c r="AG111" s="91" t="n"/>
    </row>
    <row r="112" ht="12.75" customHeight="1" s="117">
      <c r="A112" s="91" t="n"/>
      <c r="B112" s="91" t="n"/>
      <c r="C112" s="91" t="n"/>
      <c r="D112" s="91" t="n"/>
      <c r="E112" s="91" t="n"/>
      <c r="F112" s="91" t="n"/>
      <c r="G112" s="91" t="n"/>
      <c r="H112" s="91" t="n"/>
      <c r="I112" s="91" t="n"/>
      <c r="J112" s="91" t="n"/>
      <c r="K112" s="91" t="n"/>
      <c r="L112" s="91" t="n"/>
      <c r="M112" s="91" t="n"/>
      <c r="N112" s="91" t="n"/>
      <c r="O112" s="91" t="n"/>
      <c r="P112" s="91" t="n"/>
      <c r="Q112" s="91" t="n"/>
      <c r="R112" s="91" t="n"/>
      <c r="S112" s="91" t="n"/>
      <c r="T112" s="91" t="n"/>
      <c r="U112" s="91" t="n"/>
      <c r="V112" s="91" t="n"/>
      <c r="W112" s="91" t="n"/>
      <c r="X112" s="91" t="n"/>
      <c r="Y112" s="91" t="n"/>
      <c r="Z112" s="91" t="n"/>
      <c r="AA112" s="91" t="n"/>
      <c r="AB112" s="91" t="n"/>
      <c r="AC112" s="91" t="n"/>
      <c r="AD112" s="91" t="n"/>
      <c r="AE112" s="91" t="n"/>
      <c r="AF112" s="91" t="n"/>
      <c r="AG112" s="91" t="n"/>
    </row>
    <row r="113" ht="12.75" customHeight="1" s="117">
      <c r="A113" s="91" t="n"/>
      <c r="B113" s="91" t="n"/>
      <c r="C113" s="91" t="n"/>
      <c r="D113" s="91" t="n"/>
      <c r="E113" s="91" t="n"/>
      <c r="F113" s="91" t="n"/>
      <c r="G113" s="91" t="n"/>
      <c r="H113" s="91" t="n"/>
      <c r="I113" s="91" t="n"/>
      <c r="J113" s="91" t="n"/>
      <c r="K113" s="91" t="n"/>
      <c r="L113" s="91" t="n"/>
      <c r="M113" s="91" t="n"/>
      <c r="N113" s="91" t="n"/>
      <c r="O113" s="91" t="n"/>
      <c r="P113" s="91" t="n"/>
      <c r="Q113" s="91" t="n"/>
      <c r="R113" s="91" t="n"/>
      <c r="S113" s="91" t="n"/>
      <c r="T113" s="91" t="n"/>
      <c r="U113" s="91" t="n"/>
      <c r="V113" s="91" t="n"/>
      <c r="W113" s="91" t="n"/>
      <c r="X113" s="91" t="n"/>
      <c r="Y113" s="91" t="n"/>
      <c r="Z113" s="91" t="n"/>
      <c r="AA113" s="91" t="n"/>
      <c r="AB113" s="91" t="n"/>
      <c r="AC113" s="91" t="n"/>
      <c r="AD113" s="91" t="n"/>
      <c r="AE113" s="91" t="n"/>
      <c r="AF113" s="91" t="n"/>
      <c r="AG113" s="91" t="n"/>
    </row>
    <row r="114" ht="12.75" customHeight="1" s="117">
      <c r="A114" s="91" t="n"/>
      <c r="B114" s="91" t="n"/>
      <c r="C114" s="91" t="n"/>
      <c r="D114" s="91" t="n"/>
      <c r="E114" s="91" t="n"/>
      <c r="F114" s="91" t="n"/>
      <c r="G114" s="91" t="n"/>
      <c r="H114" s="91" t="n"/>
      <c r="I114" s="91" t="n"/>
      <c r="J114" s="91" t="n"/>
      <c r="K114" s="91" t="n"/>
      <c r="L114" s="91" t="n"/>
      <c r="M114" s="91" t="n"/>
      <c r="N114" s="91" t="n"/>
      <c r="O114" s="91" t="n"/>
      <c r="P114" s="91" t="n"/>
      <c r="Q114" s="91" t="n"/>
      <c r="R114" s="91" t="n"/>
      <c r="S114" s="91" t="n"/>
      <c r="T114" s="91" t="n"/>
      <c r="U114" s="91" t="n"/>
      <c r="V114" s="91" t="n"/>
      <c r="W114" s="91" t="n"/>
      <c r="X114" s="91" t="n"/>
      <c r="Y114" s="91" t="n"/>
      <c r="Z114" s="91" t="n"/>
      <c r="AA114" s="91" t="n"/>
      <c r="AB114" s="91" t="n"/>
      <c r="AC114" s="91" t="n"/>
      <c r="AD114" s="91" t="n"/>
      <c r="AE114" s="91" t="n"/>
      <c r="AF114" s="91" t="n"/>
      <c r="AG114" s="91" t="n"/>
    </row>
    <row r="115" ht="12.75" customHeight="1" s="117">
      <c r="A115" s="91" t="n"/>
      <c r="B115" s="91" t="n"/>
      <c r="C115" s="91" t="n"/>
      <c r="D115" s="91" t="n"/>
      <c r="E115" s="91" t="n"/>
      <c r="F115" s="91" t="n"/>
      <c r="G115" s="91" t="n"/>
      <c r="H115" s="91" t="n"/>
      <c r="I115" s="91" t="n"/>
      <c r="J115" s="91" t="n"/>
      <c r="K115" s="91" t="n"/>
      <c r="L115" s="91" t="n"/>
      <c r="M115" s="91" t="n"/>
      <c r="N115" s="91" t="n"/>
      <c r="O115" s="91" t="n"/>
      <c r="P115" s="91" t="n"/>
      <c r="Q115" s="91" t="n"/>
      <c r="R115" s="91" t="n"/>
      <c r="S115" s="91" t="n"/>
      <c r="T115" s="91" t="n"/>
      <c r="U115" s="91" t="n"/>
      <c r="V115" s="91" t="n"/>
      <c r="W115" s="91" t="n"/>
      <c r="X115" s="91" t="n"/>
      <c r="Y115" s="91" t="n"/>
      <c r="Z115" s="91" t="n"/>
      <c r="AA115" s="91" t="n"/>
      <c r="AB115" s="91" t="n"/>
      <c r="AC115" s="91" t="n"/>
      <c r="AD115" s="91" t="n"/>
      <c r="AE115" s="91" t="n"/>
      <c r="AF115" s="91" t="n"/>
      <c r="AG115" s="91" t="n"/>
    </row>
    <row r="116" ht="12.75" customHeight="1" s="117">
      <c r="A116" s="91" t="n"/>
      <c r="B116" s="91" t="n"/>
      <c r="C116" s="91" t="n"/>
      <c r="D116" s="91" t="n"/>
      <c r="E116" s="91" t="n"/>
      <c r="F116" s="91" t="n"/>
      <c r="G116" s="91" t="n"/>
      <c r="H116" s="91" t="n"/>
      <c r="I116" s="91" t="n"/>
      <c r="J116" s="91" t="n"/>
      <c r="K116" s="91" t="n"/>
      <c r="L116" s="91" t="n"/>
      <c r="M116" s="91" t="n"/>
      <c r="N116" s="91" t="n"/>
      <c r="O116" s="91" t="n"/>
      <c r="P116" s="91" t="n"/>
      <c r="Q116" s="91" t="n"/>
      <c r="R116" s="91" t="n"/>
      <c r="S116" s="91" t="n"/>
      <c r="T116" s="91" t="n"/>
      <c r="U116" s="91" t="n"/>
      <c r="V116" s="91" t="n"/>
      <c r="W116" s="91" t="n"/>
      <c r="X116" s="91" t="n"/>
      <c r="Y116" s="91" t="n"/>
      <c r="Z116" s="91" t="n"/>
      <c r="AA116" s="91" t="n"/>
      <c r="AB116" s="91" t="n"/>
      <c r="AC116" s="91" t="n"/>
      <c r="AD116" s="91" t="n"/>
      <c r="AE116" s="91" t="n"/>
      <c r="AF116" s="91" t="n"/>
      <c r="AG116" s="91" t="n"/>
    </row>
    <row r="117" ht="12.75" customHeight="1" s="117">
      <c r="A117" s="91" t="n"/>
      <c r="B117" s="91" t="n"/>
      <c r="C117" s="91" t="n"/>
      <c r="D117" s="91" t="n"/>
      <c r="E117" s="91" t="n"/>
      <c r="F117" s="91" t="n"/>
      <c r="G117" s="91" t="n"/>
      <c r="H117" s="91" t="n"/>
      <c r="I117" s="91" t="n"/>
      <c r="J117" s="91" t="n"/>
      <c r="K117" s="91" t="n"/>
      <c r="L117" s="91" t="n"/>
      <c r="M117" s="91" t="n"/>
      <c r="N117" s="91" t="n"/>
      <c r="O117" s="91" t="n"/>
      <c r="P117" s="91" t="n"/>
      <c r="Q117" s="91" t="n"/>
      <c r="R117" s="91" t="n"/>
      <c r="S117" s="91" t="n"/>
      <c r="T117" s="91" t="n"/>
      <c r="U117" s="91" t="n"/>
      <c r="V117" s="91" t="n"/>
      <c r="W117" s="91" t="n"/>
      <c r="X117" s="91" t="n"/>
      <c r="Y117" s="91" t="n"/>
      <c r="Z117" s="91" t="n"/>
      <c r="AA117" s="91" t="n"/>
      <c r="AB117" s="91" t="n"/>
      <c r="AC117" s="91" t="n"/>
      <c r="AD117" s="91" t="n"/>
      <c r="AE117" s="91" t="n"/>
      <c r="AF117" s="91" t="n"/>
      <c r="AG117" s="91" t="n"/>
    </row>
    <row r="118" ht="12.75" customHeight="1" s="117">
      <c r="A118" s="91" t="n"/>
      <c r="B118" s="91" t="n"/>
      <c r="C118" s="91" t="n"/>
      <c r="D118" s="91" t="n"/>
      <c r="E118" s="91" t="n"/>
      <c r="F118" s="91" t="n"/>
      <c r="G118" s="91" t="n"/>
      <c r="H118" s="91" t="n"/>
      <c r="I118" s="91" t="n"/>
      <c r="J118" s="91" t="n"/>
      <c r="K118" s="91" t="n"/>
      <c r="L118" s="91" t="n"/>
      <c r="M118" s="91" t="n"/>
      <c r="N118" s="91" t="n"/>
      <c r="O118" s="91" t="n"/>
      <c r="P118" s="91" t="n"/>
      <c r="Q118" s="91" t="n"/>
      <c r="R118" s="91" t="n"/>
      <c r="S118" s="91" t="n"/>
      <c r="T118" s="91" t="n"/>
      <c r="U118" s="91" t="n"/>
      <c r="V118" s="91" t="n"/>
      <c r="W118" s="91" t="n"/>
      <c r="X118" s="91" t="n"/>
      <c r="Y118" s="91" t="n"/>
      <c r="Z118" s="91" t="n"/>
      <c r="AA118" s="91" t="n"/>
      <c r="AB118" s="91" t="n"/>
      <c r="AC118" s="91" t="n"/>
      <c r="AD118" s="91" t="n"/>
      <c r="AE118" s="91" t="n"/>
      <c r="AF118" s="91" t="n"/>
      <c r="AG118" s="91" t="n"/>
    </row>
    <row r="119" ht="12.75" customHeight="1" s="117">
      <c r="A119" s="91" t="n"/>
      <c r="B119" s="91" t="n"/>
      <c r="C119" s="91" t="n"/>
      <c r="D119" s="91" t="n"/>
      <c r="E119" s="91" t="n"/>
      <c r="F119" s="91" t="n"/>
      <c r="G119" s="91" t="n"/>
      <c r="H119" s="91" t="n"/>
      <c r="I119" s="91" t="n"/>
      <c r="J119" s="91" t="n"/>
      <c r="K119" s="91" t="n"/>
      <c r="L119" s="91" t="n"/>
      <c r="M119" s="91" t="n"/>
      <c r="N119" s="91" t="n"/>
      <c r="O119" s="91" t="n"/>
      <c r="P119" s="91" t="n"/>
      <c r="Q119" s="91" t="n"/>
      <c r="R119" s="91" t="n"/>
      <c r="S119" s="91" t="n"/>
      <c r="T119" s="91" t="n"/>
      <c r="U119" s="91" t="n"/>
      <c r="V119" s="91" t="n"/>
      <c r="W119" s="91" t="n"/>
      <c r="X119" s="91" t="n"/>
      <c r="Y119" s="91" t="n"/>
      <c r="Z119" s="91" t="n"/>
      <c r="AA119" s="91" t="n"/>
      <c r="AB119" s="91" t="n"/>
      <c r="AC119" s="91" t="n"/>
      <c r="AD119" s="91" t="n"/>
      <c r="AE119" s="91" t="n"/>
      <c r="AF119" s="91" t="n"/>
      <c r="AG119" s="91" t="n"/>
    </row>
    <row r="120" ht="12.75" customHeight="1" s="117">
      <c r="A120" s="91" t="n"/>
      <c r="B120" s="91" t="n"/>
      <c r="C120" s="91" t="n"/>
      <c r="D120" s="91" t="n"/>
      <c r="E120" s="91" t="n"/>
      <c r="F120" s="91" t="n"/>
      <c r="G120" s="91" t="n"/>
      <c r="H120" s="91" t="n"/>
      <c r="I120" s="91" t="n"/>
      <c r="J120" s="91" t="n"/>
      <c r="K120" s="91" t="n"/>
      <c r="L120" s="91" t="n"/>
      <c r="M120" s="91" t="n"/>
      <c r="N120" s="91" t="n"/>
      <c r="O120" s="91" t="n"/>
      <c r="P120" s="91" t="n"/>
      <c r="Q120" s="91" t="n"/>
      <c r="R120" s="91" t="n"/>
      <c r="S120" s="91" t="n"/>
      <c r="T120" s="91" t="n"/>
      <c r="U120" s="91" t="n"/>
      <c r="V120" s="91" t="n"/>
      <c r="W120" s="91" t="n"/>
      <c r="X120" s="91" t="n"/>
      <c r="Y120" s="91" t="n"/>
      <c r="Z120" s="91" t="n"/>
      <c r="AA120" s="91" t="n"/>
      <c r="AB120" s="91" t="n"/>
      <c r="AC120" s="91" t="n"/>
      <c r="AD120" s="91" t="n"/>
      <c r="AE120" s="91" t="n"/>
      <c r="AF120" s="91" t="n"/>
      <c r="AG120" s="91" t="n"/>
    </row>
    <row r="121" ht="12.75" customHeight="1" s="117">
      <c r="A121" s="91" t="n"/>
      <c r="B121" s="91" t="n"/>
      <c r="C121" s="91" t="n"/>
      <c r="D121" s="91" t="n"/>
      <c r="E121" s="91" t="n"/>
      <c r="F121" s="91" t="n"/>
      <c r="G121" s="91" t="n"/>
      <c r="H121" s="91" t="n"/>
      <c r="I121" s="91" t="n"/>
      <c r="J121" s="91" t="n"/>
      <c r="K121" s="91" t="n"/>
      <c r="L121" s="91" t="n"/>
      <c r="M121" s="91" t="n"/>
      <c r="N121" s="91" t="n"/>
      <c r="O121" s="91" t="n"/>
      <c r="P121" s="91" t="n"/>
      <c r="Q121" s="91" t="n"/>
      <c r="R121" s="91" t="n"/>
      <c r="S121" s="91" t="n"/>
      <c r="T121" s="91" t="n"/>
      <c r="U121" s="91" t="n"/>
      <c r="V121" s="91" t="n"/>
      <c r="W121" s="91" t="n"/>
      <c r="X121" s="91" t="n"/>
      <c r="Y121" s="91" t="n"/>
      <c r="Z121" s="91" t="n"/>
      <c r="AA121" s="91" t="n"/>
      <c r="AB121" s="91" t="n"/>
      <c r="AC121" s="91" t="n"/>
      <c r="AD121" s="91" t="n"/>
      <c r="AE121" s="91" t="n"/>
      <c r="AF121" s="91" t="n"/>
      <c r="AG121" s="91" t="n"/>
    </row>
    <row r="122" ht="12.75" customHeight="1" s="117">
      <c r="A122" s="91" t="n"/>
      <c r="B122" s="91" t="n"/>
      <c r="C122" s="91" t="n"/>
      <c r="D122" s="91" t="n"/>
      <c r="E122" s="91" t="n"/>
      <c r="F122" s="91" t="n"/>
      <c r="G122" s="91" t="n"/>
      <c r="H122" s="91" t="n"/>
      <c r="I122" s="91" t="n"/>
      <c r="J122" s="91" t="n"/>
      <c r="K122" s="91" t="n"/>
      <c r="L122" s="91" t="n"/>
      <c r="M122" s="91" t="n"/>
      <c r="N122" s="91" t="n"/>
      <c r="O122" s="91" t="n"/>
      <c r="P122" s="91" t="n"/>
      <c r="Q122" s="91" t="n"/>
      <c r="R122" s="91" t="n"/>
      <c r="S122" s="91" t="n"/>
      <c r="T122" s="91" t="n"/>
      <c r="U122" s="91" t="n"/>
      <c r="V122" s="91" t="n"/>
      <c r="W122" s="91" t="n"/>
      <c r="X122" s="91" t="n"/>
      <c r="Y122" s="91" t="n"/>
      <c r="Z122" s="91" t="n"/>
      <c r="AA122" s="91" t="n"/>
      <c r="AB122" s="91" t="n"/>
      <c r="AC122" s="91" t="n"/>
      <c r="AD122" s="91" t="n"/>
      <c r="AE122" s="91" t="n"/>
      <c r="AF122" s="91" t="n"/>
      <c r="AG122" s="91" t="n"/>
    </row>
    <row r="123" ht="12.75" customHeight="1" s="117">
      <c r="A123" s="91" t="n"/>
      <c r="B123" s="91" t="n"/>
      <c r="C123" s="91" t="n"/>
      <c r="D123" s="91" t="n"/>
      <c r="E123" s="91" t="n"/>
      <c r="F123" s="91" t="n"/>
      <c r="G123" s="91" t="n"/>
      <c r="H123" s="91" t="n"/>
      <c r="I123" s="91" t="n"/>
      <c r="J123" s="91" t="n"/>
      <c r="K123" s="91" t="n"/>
      <c r="L123" s="91" t="n"/>
      <c r="M123" s="91" t="n"/>
      <c r="N123" s="91" t="n"/>
      <c r="O123" s="91" t="n"/>
      <c r="P123" s="91" t="n"/>
      <c r="Q123" s="91" t="n"/>
      <c r="R123" s="91" t="n"/>
      <c r="S123" s="91" t="n"/>
      <c r="T123" s="91" t="n"/>
      <c r="U123" s="91" t="n"/>
      <c r="V123" s="91" t="n"/>
      <c r="W123" s="91" t="n"/>
      <c r="X123" s="91" t="n"/>
      <c r="Y123" s="91" t="n"/>
      <c r="Z123" s="91" t="n"/>
      <c r="AA123" s="91" t="n"/>
      <c r="AB123" s="91" t="n"/>
      <c r="AC123" s="91" t="n"/>
      <c r="AD123" s="91" t="n"/>
      <c r="AE123" s="91" t="n"/>
      <c r="AF123" s="91" t="n"/>
      <c r="AG123" s="91" t="n"/>
    </row>
    <row r="124" ht="12.75" customHeight="1" s="117">
      <c r="A124" s="91" t="n"/>
      <c r="B124" s="91" t="n"/>
      <c r="C124" s="91" t="n"/>
      <c r="D124" s="91" t="n"/>
      <c r="E124" s="91" t="n"/>
      <c r="F124" s="91" t="n"/>
      <c r="G124" s="91" t="n"/>
      <c r="H124" s="91" t="n"/>
      <c r="I124" s="91" t="n"/>
      <c r="J124" s="91" t="n"/>
      <c r="K124" s="91" t="n"/>
      <c r="L124" s="91" t="n"/>
      <c r="M124" s="91" t="n"/>
      <c r="N124" s="91" t="n"/>
      <c r="O124" s="91" t="n"/>
      <c r="P124" s="91" t="n"/>
      <c r="Q124" s="91" t="n"/>
      <c r="R124" s="91" t="n"/>
      <c r="S124" s="91" t="n"/>
      <c r="T124" s="91" t="n"/>
      <c r="U124" s="91" t="n"/>
      <c r="V124" s="91" t="n"/>
      <c r="W124" s="91" t="n"/>
      <c r="X124" s="91" t="n"/>
      <c r="Y124" s="91" t="n"/>
      <c r="Z124" s="91" t="n"/>
      <c r="AA124" s="91" t="n"/>
      <c r="AB124" s="91" t="n"/>
      <c r="AC124" s="91" t="n"/>
      <c r="AD124" s="91" t="n"/>
      <c r="AE124" s="91" t="n"/>
      <c r="AF124" s="91" t="n"/>
      <c r="AG124" s="91" t="n"/>
    </row>
    <row r="125" ht="12.75" customHeight="1" s="117">
      <c r="A125" s="91" t="n"/>
      <c r="B125" s="91" t="n"/>
      <c r="C125" s="91" t="n"/>
      <c r="D125" s="91" t="n"/>
      <c r="E125" s="91" t="n"/>
      <c r="F125" s="91" t="n"/>
      <c r="G125" s="91" t="n"/>
      <c r="H125" s="91" t="n"/>
      <c r="I125" s="91" t="n"/>
      <c r="J125" s="91" t="n"/>
      <c r="K125" s="91" t="n"/>
      <c r="L125" s="91" t="n"/>
      <c r="M125" s="91" t="n"/>
      <c r="N125" s="91" t="n"/>
      <c r="O125" s="91" t="n"/>
      <c r="P125" s="91" t="n"/>
      <c r="Q125" s="91" t="n"/>
      <c r="R125" s="91" t="n"/>
      <c r="S125" s="91" t="n"/>
      <c r="T125" s="91" t="n"/>
      <c r="U125" s="91" t="n"/>
      <c r="V125" s="91" t="n"/>
      <c r="W125" s="91" t="n"/>
      <c r="X125" s="91" t="n"/>
      <c r="Y125" s="91" t="n"/>
      <c r="Z125" s="91" t="n"/>
      <c r="AA125" s="91" t="n"/>
      <c r="AB125" s="91" t="n"/>
      <c r="AC125" s="91" t="n"/>
      <c r="AD125" s="91" t="n"/>
      <c r="AE125" s="91" t="n"/>
      <c r="AF125" s="91" t="n"/>
      <c r="AG125" s="91" t="n"/>
    </row>
    <row r="126" ht="12.75" customHeight="1" s="117">
      <c r="A126" s="91" t="n"/>
      <c r="B126" s="91" t="n"/>
      <c r="C126" s="91" t="n"/>
      <c r="D126" s="91" t="n"/>
      <c r="E126" s="91" t="n"/>
      <c r="F126" s="91" t="n"/>
      <c r="G126" s="91" t="n"/>
      <c r="H126" s="91" t="n"/>
      <c r="I126" s="91" t="n"/>
      <c r="J126" s="91" t="n"/>
      <c r="K126" s="91" t="n"/>
      <c r="L126" s="91" t="n"/>
      <c r="M126" s="91" t="n"/>
      <c r="N126" s="91" t="n"/>
      <c r="O126" s="91" t="n"/>
      <c r="P126" s="91" t="n"/>
      <c r="Q126" s="91" t="n"/>
      <c r="R126" s="91" t="n"/>
      <c r="S126" s="91" t="n"/>
      <c r="T126" s="91" t="n"/>
      <c r="U126" s="91" t="n"/>
      <c r="V126" s="91" t="n"/>
      <c r="W126" s="91" t="n"/>
      <c r="X126" s="91" t="n"/>
      <c r="Y126" s="91" t="n"/>
      <c r="Z126" s="91" t="n"/>
      <c r="AA126" s="91" t="n"/>
      <c r="AB126" s="91" t="n"/>
      <c r="AC126" s="91" t="n"/>
      <c r="AD126" s="91" t="n"/>
      <c r="AE126" s="91" t="n"/>
      <c r="AF126" s="91" t="n"/>
      <c r="AG126" s="91" t="n"/>
    </row>
    <row r="127" ht="12.75" customHeight="1" s="117">
      <c r="A127" s="91" t="n"/>
      <c r="B127" s="91" t="n"/>
      <c r="C127" s="91" t="n"/>
      <c r="D127" s="91" t="n"/>
      <c r="E127" s="91" t="n"/>
      <c r="F127" s="91" t="n"/>
      <c r="G127" s="91" t="n"/>
      <c r="H127" s="91" t="n"/>
      <c r="I127" s="91" t="n"/>
      <c r="J127" s="91" t="n"/>
      <c r="K127" s="91" t="n"/>
      <c r="L127" s="91" t="n"/>
      <c r="M127" s="91" t="n"/>
      <c r="N127" s="91" t="n"/>
      <c r="O127" s="91" t="n"/>
      <c r="P127" s="91" t="n"/>
      <c r="Q127" s="91" t="n"/>
      <c r="R127" s="91" t="n"/>
      <c r="S127" s="91" t="n"/>
      <c r="T127" s="91" t="n"/>
      <c r="U127" s="91" t="n"/>
      <c r="V127" s="91" t="n"/>
      <c r="W127" s="91" t="n"/>
      <c r="X127" s="91" t="n"/>
      <c r="Y127" s="91" t="n"/>
      <c r="Z127" s="91" t="n"/>
      <c r="AA127" s="91" t="n"/>
      <c r="AB127" s="91" t="n"/>
      <c r="AC127" s="91" t="n"/>
      <c r="AD127" s="91" t="n"/>
      <c r="AE127" s="91" t="n"/>
      <c r="AF127" s="91" t="n"/>
      <c r="AG127" s="91" t="n"/>
    </row>
    <row r="128" ht="12.75" customHeight="1" s="117">
      <c r="A128" s="91" t="n"/>
      <c r="B128" s="91" t="n"/>
      <c r="C128" s="91" t="n"/>
      <c r="D128" s="91" t="n"/>
      <c r="E128" s="91" t="n"/>
      <c r="F128" s="91" t="n"/>
      <c r="G128" s="91" t="n"/>
      <c r="H128" s="91" t="n"/>
      <c r="I128" s="91" t="n"/>
      <c r="J128" s="91" t="n"/>
      <c r="K128" s="91" t="n"/>
      <c r="L128" s="91" t="n"/>
      <c r="M128" s="91" t="n"/>
      <c r="N128" s="91" t="n"/>
      <c r="O128" s="91" t="n"/>
      <c r="P128" s="91" t="n"/>
      <c r="Q128" s="91" t="n"/>
      <c r="R128" s="91" t="n"/>
      <c r="S128" s="91" t="n"/>
      <c r="T128" s="91" t="n"/>
      <c r="U128" s="91" t="n"/>
      <c r="V128" s="91" t="n"/>
      <c r="W128" s="91" t="n"/>
      <c r="X128" s="91" t="n"/>
      <c r="Y128" s="91" t="n"/>
      <c r="Z128" s="91" t="n"/>
      <c r="AA128" s="91" t="n"/>
      <c r="AB128" s="91" t="n"/>
      <c r="AC128" s="91" t="n"/>
      <c r="AD128" s="91" t="n"/>
      <c r="AE128" s="91" t="n"/>
      <c r="AF128" s="91" t="n"/>
      <c r="AG128" s="91" t="n"/>
    </row>
    <row r="129" ht="12.75" customHeight="1" s="117">
      <c r="A129" s="91" t="n"/>
      <c r="B129" s="91" t="n"/>
      <c r="C129" s="91" t="n"/>
      <c r="D129" s="91" t="n"/>
      <c r="E129" s="91" t="n"/>
      <c r="F129" s="91" t="n"/>
      <c r="G129" s="91" t="n"/>
      <c r="H129" s="91" t="n"/>
      <c r="I129" s="91" t="n"/>
      <c r="J129" s="91" t="n"/>
      <c r="K129" s="91" t="n"/>
      <c r="L129" s="91" t="n"/>
      <c r="M129" s="91" t="n"/>
      <c r="N129" s="91" t="n"/>
      <c r="O129" s="91" t="n"/>
      <c r="P129" s="91" t="n"/>
      <c r="Q129" s="91" t="n"/>
      <c r="R129" s="91" t="n"/>
      <c r="S129" s="91" t="n"/>
      <c r="T129" s="91" t="n"/>
      <c r="U129" s="91" t="n"/>
      <c r="V129" s="91" t="n"/>
      <c r="W129" s="91" t="n"/>
      <c r="X129" s="91" t="n"/>
      <c r="Y129" s="91" t="n"/>
      <c r="Z129" s="91" t="n"/>
      <c r="AA129" s="91" t="n"/>
      <c r="AB129" s="91" t="n"/>
      <c r="AC129" s="91" t="n"/>
      <c r="AD129" s="91" t="n"/>
      <c r="AE129" s="91" t="n"/>
      <c r="AF129" s="91" t="n"/>
      <c r="AG129" s="91" t="n"/>
    </row>
    <row r="130" ht="12.75" customHeight="1" s="117">
      <c r="A130" s="91" t="n"/>
      <c r="B130" s="91" t="n"/>
      <c r="C130" s="91" t="n"/>
      <c r="D130" s="91" t="n"/>
      <c r="E130" s="91" t="n"/>
      <c r="F130" s="91" t="n"/>
      <c r="G130" s="91" t="n"/>
      <c r="H130" s="91" t="n"/>
      <c r="I130" s="91" t="n"/>
      <c r="J130" s="91" t="n"/>
      <c r="K130" s="91" t="n"/>
      <c r="L130" s="91" t="n"/>
      <c r="M130" s="91" t="n"/>
      <c r="N130" s="91" t="n"/>
      <c r="O130" s="91" t="n"/>
      <c r="P130" s="91" t="n"/>
      <c r="Q130" s="91" t="n"/>
      <c r="R130" s="91" t="n"/>
      <c r="S130" s="91" t="n"/>
      <c r="T130" s="91" t="n"/>
      <c r="U130" s="91" t="n"/>
      <c r="V130" s="91" t="n"/>
      <c r="W130" s="91" t="n"/>
      <c r="X130" s="91" t="n"/>
      <c r="Y130" s="91" t="n"/>
      <c r="Z130" s="91" t="n"/>
      <c r="AA130" s="91" t="n"/>
      <c r="AB130" s="91" t="n"/>
      <c r="AC130" s="91" t="n"/>
      <c r="AD130" s="91" t="n"/>
      <c r="AE130" s="91" t="n"/>
      <c r="AF130" s="91" t="n"/>
      <c r="AG130" s="91" t="n"/>
    </row>
    <row r="131" ht="12.75" customHeight="1" s="117">
      <c r="A131" s="91" t="n"/>
      <c r="B131" s="91" t="n"/>
      <c r="C131" s="91" t="n"/>
      <c r="D131" s="91" t="n"/>
      <c r="E131" s="91" t="n"/>
      <c r="F131" s="91" t="n"/>
      <c r="G131" s="91" t="n"/>
      <c r="H131" s="91" t="n"/>
      <c r="I131" s="91" t="n"/>
      <c r="J131" s="91" t="n"/>
      <c r="K131" s="91" t="n"/>
      <c r="L131" s="91" t="n"/>
      <c r="M131" s="91" t="n"/>
      <c r="N131" s="91" t="n"/>
      <c r="O131" s="91" t="n"/>
      <c r="P131" s="91" t="n"/>
      <c r="Q131" s="91" t="n"/>
      <c r="R131" s="91" t="n"/>
      <c r="S131" s="91" t="n"/>
      <c r="T131" s="91" t="n"/>
      <c r="U131" s="91" t="n"/>
      <c r="V131" s="91" t="n"/>
      <c r="W131" s="91" t="n"/>
      <c r="X131" s="91" t="n"/>
      <c r="Y131" s="91" t="n"/>
      <c r="Z131" s="91" t="n"/>
      <c r="AA131" s="91" t="n"/>
      <c r="AB131" s="91" t="n"/>
      <c r="AC131" s="91" t="n"/>
      <c r="AD131" s="91" t="n"/>
      <c r="AE131" s="91" t="n"/>
      <c r="AF131" s="91" t="n"/>
      <c r="AG131" s="91" t="n"/>
    </row>
    <row r="132" ht="12.75" customHeight="1" s="117">
      <c r="A132" s="91" t="n"/>
      <c r="B132" s="91" t="n"/>
      <c r="C132" s="91" t="n"/>
      <c r="D132" s="91" t="n"/>
      <c r="E132" s="91" t="n"/>
      <c r="F132" s="91" t="n"/>
      <c r="G132" s="91" t="n"/>
      <c r="H132" s="91" t="n"/>
      <c r="I132" s="91" t="n"/>
      <c r="J132" s="91" t="n"/>
      <c r="K132" s="91" t="n"/>
      <c r="L132" s="91" t="n"/>
      <c r="M132" s="91" t="n"/>
      <c r="N132" s="91" t="n"/>
      <c r="O132" s="91" t="n"/>
      <c r="P132" s="91" t="n"/>
      <c r="Q132" s="91" t="n"/>
      <c r="R132" s="91" t="n"/>
      <c r="S132" s="91" t="n"/>
      <c r="T132" s="91" t="n"/>
      <c r="U132" s="91" t="n"/>
      <c r="V132" s="91" t="n"/>
      <c r="W132" s="91" t="n"/>
      <c r="X132" s="91" t="n"/>
      <c r="Y132" s="91" t="n"/>
      <c r="Z132" s="91" t="n"/>
      <c r="AA132" s="91" t="n"/>
      <c r="AB132" s="91" t="n"/>
      <c r="AC132" s="91" t="n"/>
      <c r="AD132" s="91" t="n"/>
      <c r="AE132" s="91" t="n"/>
      <c r="AF132" s="91" t="n"/>
      <c r="AG132" s="91" t="n"/>
    </row>
    <row r="133" ht="12.75" customHeight="1" s="117">
      <c r="A133" s="91" t="n"/>
      <c r="B133" s="91" t="n"/>
      <c r="C133" s="91" t="n"/>
      <c r="D133" s="91" t="n"/>
      <c r="E133" s="91" t="n"/>
      <c r="F133" s="91" t="n"/>
      <c r="G133" s="91" t="n"/>
      <c r="H133" s="91" t="n"/>
      <c r="I133" s="91" t="n"/>
      <c r="J133" s="91" t="n"/>
      <c r="K133" s="91" t="n"/>
      <c r="L133" s="91" t="n"/>
      <c r="M133" s="91" t="n"/>
      <c r="N133" s="91" t="n"/>
      <c r="O133" s="91" t="n"/>
      <c r="P133" s="91" t="n"/>
      <c r="Q133" s="91" t="n"/>
      <c r="R133" s="91" t="n"/>
      <c r="S133" s="91" t="n"/>
      <c r="T133" s="91" t="n"/>
      <c r="U133" s="91" t="n"/>
      <c r="V133" s="91" t="n"/>
      <c r="W133" s="91" t="n"/>
      <c r="X133" s="91" t="n"/>
      <c r="Y133" s="91" t="n"/>
      <c r="Z133" s="91" t="n"/>
      <c r="AA133" s="91" t="n"/>
      <c r="AB133" s="91" t="n"/>
      <c r="AC133" s="91" t="n"/>
      <c r="AD133" s="91" t="n"/>
      <c r="AE133" s="91" t="n"/>
      <c r="AF133" s="91" t="n"/>
      <c r="AG133" s="91" t="n"/>
    </row>
    <row r="134" ht="12.75" customHeight="1" s="117">
      <c r="A134" s="91" t="n"/>
      <c r="B134" s="91" t="n"/>
      <c r="C134" s="91" t="n"/>
      <c r="D134" s="91" t="n"/>
      <c r="E134" s="91" t="n"/>
      <c r="F134" s="91" t="n"/>
      <c r="G134" s="91" t="n"/>
      <c r="H134" s="91" t="n"/>
      <c r="I134" s="91" t="n"/>
      <c r="J134" s="91" t="n"/>
      <c r="K134" s="91" t="n"/>
      <c r="L134" s="91" t="n"/>
      <c r="M134" s="91" t="n"/>
      <c r="N134" s="91" t="n"/>
      <c r="O134" s="91" t="n"/>
      <c r="P134" s="91" t="n"/>
      <c r="Q134" s="91" t="n"/>
      <c r="R134" s="91" t="n"/>
      <c r="S134" s="91" t="n"/>
      <c r="T134" s="91" t="n"/>
      <c r="U134" s="91" t="n"/>
      <c r="V134" s="91" t="n"/>
      <c r="W134" s="91" t="n"/>
      <c r="X134" s="91" t="n"/>
      <c r="Y134" s="91" t="n"/>
      <c r="Z134" s="91" t="n"/>
      <c r="AA134" s="91" t="n"/>
      <c r="AB134" s="91" t="n"/>
      <c r="AC134" s="91" t="n"/>
      <c r="AD134" s="91" t="n"/>
      <c r="AE134" s="91" t="n"/>
      <c r="AF134" s="91" t="n"/>
      <c r="AG134" s="91" t="n"/>
    </row>
    <row r="135" ht="12.75" customHeight="1" s="117">
      <c r="A135" s="91" t="n"/>
      <c r="B135" s="91" t="n"/>
      <c r="C135" s="91" t="n"/>
      <c r="D135" s="91" t="n"/>
      <c r="E135" s="91" t="n"/>
      <c r="F135" s="91" t="n"/>
      <c r="G135" s="91" t="n"/>
      <c r="H135" s="91" t="n"/>
      <c r="I135" s="91" t="n"/>
      <c r="J135" s="91" t="n"/>
      <c r="K135" s="91" t="n"/>
      <c r="L135" s="91" t="n"/>
      <c r="M135" s="91" t="n"/>
      <c r="N135" s="91" t="n"/>
      <c r="O135" s="91" t="n"/>
      <c r="P135" s="91" t="n"/>
      <c r="Q135" s="91" t="n"/>
      <c r="R135" s="91" t="n"/>
      <c r="S135" s="91" t="n"/>
      <c r="T135" s="91" t="n"/>
      <c r="U135" s="91" t="n"/>
      <c r="V135" s="91" t="n"/>
      <c r="W135" s="91" t="n"/>
      <c r="X135" s="91" t="n"/>
      <c r="Y135" s="91" t="n"/>
      <c r="Z135" s="91" t="n"/>
      <c r="AA135" s="91" t="n"/>
      <c r="AB135" s="91" t="n"/>
      <c r="AC135" s="91" t="n"/>
      <c r="AD135" s="91" t="n"/>
      <c r="AE135" s="91" t="n"/>
      <c r="AF135" s="91" t="n"/>
      <c r="AG135" s="91" t="n"/>
    </row>
    <row r="136" ht="12.75" customHeight="1" s="117">
      <c r="A136" s="91" t="n"/>
      <c r="B136" s="91" t="n"/>
      <c r="C136" s="91" t="n"/>
      <c r="D136" s="91" t="n"/>
      <c r="E136" s="91" t="n"/>
      <c r="F136" s="91" t="n"/>
      <c r="G136" s="91" t="n"/>
      <c r="H136" s="91" t="n"/>
      <c r="I136" s="91" t="n"/>
      <c r="J136" s="91" t="n"/>
      <c r="K136" s="91" t="n"/>
      <c r="L136" s="91" t="n"/>
      <c r="M136" s="91" t="n"/>
      <c r="N136" s="91" t="n"/>
      <c r="O136" s="91" t="n"/>
      <c r="P136" s="91" t="n"/>
      <c r="Q136" s="91" t="n"/>
      <c r="R136" s="91" t="n"/>
      <c r="S136" s="91" t="n"/>
      <c r="T136" s="91" t="n"/>
      <c r="U136" s="91" t="n"/>
      <c r="V136" s="91" t="n"/>
      <c r="W136" s="91" t="n"/>
      <c r="X136" s="91" t="n"/>
      <c r="Y136" s="91" t="n"/>
      <c r="Z136" s="91" t="n"/>
      <c r="AA136" s="91" t="n"/>
      <c r="AB136" s="91" t="n"/>
      <c r="AC136" s="91" t="n"/>
      <c r="AD136" s="91" t="n"/>
      <c r="AE136" s="91" t="n"/>
      <c r="AF136" s="91" t="n"/>
      <c r="AG136" s="91" t="n"/>
    </row>
    <row r="137" ht="12.75" customHeight="1" s="117">
      <c r="A137" s="91" t="n"/>
      <c r="B137" s="91" t="n"/>
      <c r="C137" s="91" t="n"/>
      <c r="D137" s="91" t="n"/>
      <c r="E137" s="91" t="n"/>
      <c r="F137" s="91" t="n"/>
      <c r="G137" s="91" t="n"/>
      <c r="H137" s="91" t="n"/>
      <c r="I137" s="91" t="n"/>
      <c r="J137" s="91" t="n"/>
      <c r="K137" s="91" t="n"/>
      <c r="L137" s="91" t="n"/>
      <c r="M137" s="91" t="n"/>
      <c r="N137" s="91" t="n"/>
      <c r="O137" s="91" t="n"/>
      <c r="P137" s="91" t="n"/>
      <c r="Q137" s="91" t="n"/>
      <c r="R137" s="91" t="n"/>
      <c r="S137" s="91" t="n"/>
      <c r="T137" s="91" t="n"/>
      <c r="U137" s="91" t="n"/>
      <c r="V137" s="91" t="n"/>
      <c r="W137" s="91" t="n"/>
      <c r="X137" s="91" t="n"/>
      <c r="Y137" s="91" t="n"/>
      <c r="Z137" s="91" t="n"/>
      <c r="AA137" s="91" t="n"/>
      <c r="AB137" s="91" t="n"/>
      <c r="AC137" s="91" t="n"/>
      <c r="AD137" s="91" t="n"/>
      <c r="AE137" s="91" t="n"/>
      <c r="AF137" s="91" t="n"/>
      <c r="AG137" s="91" t="n"/>
    </row>
    <row r="138" ht="12.75" customHeight="1" s="117">
      <c r="A138" s="91" t="n"/>
      <c r="B138" s="91" t="n"/>
      <c r="C138" s="91" t="n"/>
      <c r="D138" s="91" t="n"/>
      <c r="E138" s="91" t="n"/>
      <c r="F138" s="91" t="n"/>
      <c r="G138" s="91" t="n"/>
      <c r="H138" s="91" t="n"/>
      <c r="I138" s="91" t="n"/>
      <c r="J138" s="91" t="n"/>
      <c r="K138" s="91" t="n"/>
      <c r="L138" s="91" t="n"/>
      <c r="M138" s="91" t="n"/>
      <c r="N138" s="91" t="n"/>
      <c r="O138" s="91" t="n"/>
      <c r="P138" s="91" t="n"/>
      <c r="Q138" s="91" t="n"/>
      <c r="R138" s="91" t="n"/>
      <c r="S138" s="91" t="n"/>
      <c r="T138" s="91" t="n"/>
      <c r="U138" s="91" t="n"/>
      <c r="V138" s="91" t="n"/>
      <c r="W138" s="91" t="n"/>
      <c r="X138" s="91" t="n"/>
      <c r="Y138" s="91" t="n"/>
      <c r="Z138" s="91" t="n"/>
      <c r="AA138" s="91" t="n"/>
      <c r="AB138" s="91" t="n"/>
      <c r="AC138" s="91" t="n"/>
      <c r="AD138" s="91" t="n"/>
      <c r="AE138" s="91" t="n"/>
      <c r="AF138" s="91" t="n"/>
      <c r="AG138" s="91" t="n"/>
    </row>
    <row r="139" ht="12.75" customHeight="1" s="117">
      <c r="A139" s="91" t="n"/>
      <c r="B139" s="91" t="n"/>
      <c r="C139" s="91" t="n"/>
      <c r="D139" s="91" t="n"/>
      <c r="E139" s="91" t="n"/>
      <c r="F139" s="91" t="n"/>
      <c r="G139" s="91" t="n"/>
      <c r="H139" s="91" t="n"/>
      <c r="I139" s="91" t="n"/>
      <c r="J139" s="91" t="n"/>
      <c r="K139" s="91" t="n"/>
      <c r="L139" s="91" t="n"/>
      <c r="M139" s="91" t="n"/>
      <c r="N139" s="91" t="n"/>
      <c r="O139" s="91" t="n"/>
      <c r="P139" s="91" t="n"/>
      <c r="Q139" s="91" t="n"/>
      <c r="R139" s="91" t="n"/>
      <c r="S139" s="91" t="n"/>
      <c r="T139" s="91" t="n"/>
      <c r="U139" s="91" t="n"/>
      <c r="V139" s="91" t="n"/>
      <c r="W139" s="91" t="n"/>
      <c r="X139" s="91" t="n"/>
      <c r="Y139" s="91" t="n"/>
      <c r="Z139" s="91" t="n"/>
      <c r="AA139" s="91" t="n"/>
      <c r="AB139" s="91" t="n"/>
      <c r="AC139" s="91" t="n"/>
      <c r="AD139" s="91" t="n"/>
      <c r="AE139" s="91" t="n"/>
      <c r="AF139" s="91" t="n"/>
      <c r="AG139" s="91" t="n"/>
    </row>
    <row r="140" ht="12.75" customHeight="1" s="117">
      <c r="A140" s="91" t="n"/>
      <c r="B140" s="91" t="n"/>
      <c r="C140" s="91" t="n"/>
      <c r="D140" s="91" t="n"/>
      <c r="E140" s="91" t="n"/>
      <c r="F140" s="91" t="n"/>
      <c r="G140" s="91" t="n"/>
      <c r="H140" s="91" t="n"/>
      <c r="I140" s="91" t="n"/>
      <c r="J140" s="91" t="n"/>
      <c r="K140" s="91" t="n"/>
      <c r="L140" s="91" t="n"/>
      <c r="M140" s="91" t="n"/>
      <c r="N140" s="91" t="n"/>
      <c r="O140" s="91" t="n"/>
      <c r="P140" s="91" t="n"/>
      <c r="Q140" s="91" t="n"/>
      <c r="R140" s="91" t="n"/>
      <c r="S140" s="91" t="n"/>
      <c r="T140" s="91" t="n"/>
      <c r="U140" s="91" t="n"/>
      <c r="V140" s="91" t="n"/>
      <c r="W140" s="91" t="n"/>
      <c r="X140" s="91" t="n"/>
      <c r="Y140" s="91" t="n"/>
      <c r="Z140" s="91" t="n"/>
      <c r="AA140" s="91" t="n"/>
      <c r="AB140" s="91" t="n"/>
      <c r="AC140" s="91" t="n"/>
      <c r="AD140" s="91" t="n"/>
      <c r="AE140" s="91" t="n"/>
      <c r="AF140" s="91" t="n"/>
      <c r="AG140" s="91" t="n"/>
    </row>
    <row r="141" ht="12.75" customHeight="1" s="117">
      <c r="A141" s="91" t="n"/>
      <c r="B141" s="91" t="n"/>
      <c r="C141" s="91" t="n"/>
      <c r="D141" s="91" t="n"/>
      <c r="E141" s="91" t="n"/>
      <c r="F141" s="91" t="n"/>
      <c r="G141" s="91" t="n"/>
      <c r="H141" s="91" t="n"/>
      <c r="I141" s="91" t="n"/>
      <c r="J141" s="91" t="n"/>
      <c r="K141" s="91" t="n"/>
      <c r="L141" s="91" t="n"/>
      <c r="M141" s="91" t="n"/>
      <c r="N141" s="91" t="n"/>
      <c r="O141" s="91" t="n"/>
      <c r="P141" s="91" t="n"/>
      <c r="Q141" s="91" t="n"/>
      <c r="R141" s="91" t="n"/>
      <c r="S141" s="91" t="n"/>
      <c r="T141" s="91" t="n"/>
      <c r="U141" s="91" t="n"/>
      <c r="V141" s="91" t="n"/>
      <c r="W141" s="91" t="n"/>
      <c r="X141" s="91" t="n"/>
      <c r="Y141" s="91" t="n"/>
      <c r="Z141" s="91" t="n"/>
      <c r="AA141" s="91" t="n"/>
      <c r="AB141" s="91" t="n"/>
      <c r="AC141" s="91" t="n"/>
      <c r="AD141" s="91" t="n"/>
      <c r="AE141" s="91" t="n"/>
      <c r="AF141" s="91" t="n"/>
      <c r="AG141" s="91" t="n"/>
    </row>
    <row r="142" ht="12.75" customHeight="1" s="117">
      <c r="A142" s="91" t="n"/>
      <c r="B142" s="91" t="n"/>
      <c r="C142" s="91" t="n"/>
      <c r="D142" s="91" t="n"/>
      <c r="E142" s="91" t="n"/>
      <c r="F142" s="91" t="n"/>
      <c r="G142" s="91" t="n"/>
      <c r="H142" s="91" t="n"/>
      <c r="I142" s="91" t="n"/>
      <c r="J142" s="91" t="n"/>
      <c r="K142" s="91" t="n"/>
      <c r="L142" s="91" t="n"/>
      <c r="M142" s="91" t="n"/>
      <c r="N142" s="91" t="n"/>
      <c r="O142" s="91" t="n"/>
      <c r="P142" s="91" t="n"/>
      <c r="Q142" s="91" t="n"/>
      <c r="R142" s="91" t="n"/>
      <c r="S142" s="91" t="n"/>
      <c r="T142" s="91" t="n"/>
      <c r="U142" s="91" t="n"/>
      <c r="V142" s="91" t="n"/>
      <c r="W142" s="91" t="n"/>
      <c r="X142" s="91" t="n"/>
      <c r="Y142" s="91" t="n"/>
      <c r="Z142" s="91" t="n"/>
      <c r="AA142" s="91" t="n"/>
      <c r="AB142" s="91" t="n"/>
      <c r="AC142" s="91" t="n"/>
      <c r="AD142" s="91" t="n"/>
      <c r="AE142" s="91" t="n"/>
      <c r="AF142" s="91" t="n"/>
      <c r="AG142" s="91" t="n"/>
    </row>
    <row r="143" ht="12.75" customHeight="1" s="117">
      <c r="A143" s="91" t="n"/>
      <c r="B143" s="91" t="n"/>
      <c r="C143" s="91" t="n"/>
      <c r="D143" s="91" t="n"/>
      <c r="E143" s="91" t="n"/>
      <c r="F143" s="91" t="n"/>
      <c r="G143" s="91" t="n"/>
      <c r="H143" s="91" t="n"/>
      <c r="I143" s="91" t="n"/>
      <c r="J143" s="91" t="n"/>
      <c r="K143" s="91" t="n"/>
      <c r="L143" s="91" t="n"/>
      <c r="M143" s="91" t="n"/>
      <c r="N143" s="91" t="n"/>
      <c r="O143" s="91" t="n"/>
      <c r="P143" s="91" t="n"/>
      <c r="Q143" s="91" t="n"/>
      <c r="R143" s="91" t="n"/>
      <c r="S143" s="91" t="n"/>
      <c r="T143" s="91" t="n"/>
      <c r="U143" s="91" t="n"/>
      <c r="V143" s="91" t="n"/>
      <c r="W143" s="91" t="n"/>
      <c r="X143" s="91" t="n"/>
      <c r="Y143" s="91" t="n"/>
      <c r="Z143" s="91" t="n"/>
      <c r="AA143" s="91" t="n"/>
      <c r="AB143" s="91" t="n"/>
      <c r="AC143" s="91" t="n"/>
      <c r="AD143" s="91" t="n"/>
      <c r="AE143" s="91" t="n"/>
      <c r="AF143" s="91" t="n"/>
      <c r="AG143" s="91" t="n"/>
    </row>
    <row r="144" ht="12.75" customHeight="1" s="117">
      <c r="A144" s="91" t="n"/>
      <c r="B144" s="91" t="n"/>
      <c r="C144" s="91" t="n"/>
      <c r="D144" s="91" t="n"/>
      <c r="E144" s="91" t="n"/>
      <c r="F144" s="91" t="n"/>
      <c r="G144" s="91" t="n"/>
      <c r="H144" s="91" t="n"/>
      <c r="I144" s="91" t="n"/>
      <c r="J144" s="91" t="n"/>
      <c r="K144" s="91" t="n"/>
      <c r="L144" s="91" t="n"/>
      <c r="M144" s="91" t="n"/>
      <c r="N144" s="91" t="n"/>
      <c r="O144" s="91" t="n"/>
      <c r="P144" s="91" t="n"/>
      <c r="Q144" s="91" t="n"/>
      <c r="R144" s="91" t="n"/>
      <c r="S144" s="91" t="n"/>
      <c r="T144" s="91" t="n"/>
      <c r="U144" s="91" t="n"/>
      <c r="V144" s="91" t="n"/>
      <c r="W144" s="91" t="n"/>
      <c r="X144" s="91" t="n"/>
      <c r="Y144" s="91" t="n"/>
      <c r="Z144" s="91" t="n"/>
      <c r="AA144" s="91" t="n"/>
      <c r="AB144" s="91" t="n"/>
      <c r="AC144" s="91" t="n"/>
      <c r="AD144" s="91" t="n"/>
      <c r="AE144" s="91" t="n"/>
      <c r="AF144" s="91" t="n"/>
      <c r="AG144" s="91" t="n"/>
    </row>
    <row r="145" ht="12.75" customHeight="1" s="117">
      <c r="A145" s="91" t="n"/>
      <c r="B145" s="91" t="n"/>
      <c r="C145" s="91" t="n"/>
      <c r="D145" s="91" t="n"/>
      <c r="E145" s="91" t="n"/>
      <c r="F145" s="91" t="n"/>
      <c r="G145" s="91" t="n"/>
      <c r="H145" s="91" t="n"/>
      <c r="I145" s="91" t="n"/>
      <c r="J145" s="91" t="n"/>
      <c r="K145" s="91" t="n"/>
      <c r="L145" s="91" t="n"/>
      <c r="M145" s="91" t="n"/>
      <c r="N145" s="91" t="n"/>
      <c r="O145" s="91" t="n"/>
      <c r="P145" s="91" t="n"/>
      <c r="Q145" s="91" t="n"/>
      <c r="R145" s="91" t="n"/>
      <c r="S145" s="91" t="n"/>
      <c r="T145" s="91" t="n"/>
      <c r="U145" s="91" t="n"/>
      <c r="V145" s="91" t="n"/>
      <c r="W145" s="91" t="n"/>
      <c r="X145" s="91" t="n"/>
      <c r="Y145" s="91" t="n"/>
      <c r="Z145" s="91" t="n"/>
      <c r="AA145" s="91" t="n"/>
      <c r="AB145" s="91" t="n"/>
      <c r="AC145" s="91" t="n"/>
      <c r="AD145" s="91" t="n"/>
      <c r="AE145" s="91" t="n"/>
      <c r="AF145" s="91" t="n"/>
      <c r="AG145" s="91" t="n"/>
    </row>
    <row r="146" ht="12.75" customHeight="1" s="117">
      <c r="A146" s="91" t="n"/>
      <c r="B146" s="91" t="n"/>
      <c r="C146" s="91" t="n"/>
      <c r="D146" s="91" t="n"/>
      <c r="E146" s="91" t="n"/>
      <c r="F146" s="91" t="n"/>
      <c r="G146" s="91" t="n"/>
      <c r="H146" s="91" t="n"/>
      <c r="I146" s="91" t="n"/>
      <c r="J146" s="91" t="n"/>
      <c r="K146" s="91" t="n"/>
      <c r="L146" s="91" t="n"/>
      <c r="M146" s="91" t="n"/>
      <c r="N146" s="91" t="n"/>
      <c r="O146" s="91" t="n"/>
      <c r="P146" s="91" t="n"/>
      <c r="Q146" s="91" t="n"/>
      <c r="R146" s="91" t="n"/>
      <c r="S146" s="91" t="n"/>
      <c r="T146" s="91" t="n"/>
      <c r="U146" s="91" t="n"/>
      <c r="V146" s="91" t="n"/>
      <c r="W146" s="91" t="n"/>
      <c r="X146" s="91" t="n"/>
      <c r="Y146" s="91" t="n"/>
      <c r="Z146" s="91" t="n"/>
      <c r="AA146" s="91" t="n"/>
      <c r="AB146" s="91" t="n"/>
      <c r="AC146" s="91" t="n"/>
      <c r="AD146" s="91" t="n"/>
      <c r="AE146" s="91" t="n"/>
      <c r="AF146" s="91" t="n"/>
      <c r="AG146" s="91" t="n"/>
    </row>
    <row r="147" ht="12.75" customHeight="1" s="117">
      <c r="A147" s="91" t="n"/>
      <c r="B147" s="91" t="n"/>
      <c r="C147" s="91" t="n"/>
      <c r="D147" s="91" t="n"/>
      <c r="E147" s="91" t="n"/>
      <c r="F147" s="91" t="n"/>
      <c r="G147" s="91" t="n"/>
      <c r="H147" s="91" t="n"/>
      <c r="I147" s="91" t="n"/>
      <c r="J147" s="91" t="n"/>
      <c r="K147" s="91" t="n"/>
      <c r="L147" s="91" t="n"/>
      <c r="M147" s="91" t="n"/>
      <c r="N147" s="91" t="n"/>
      <c r="O147" s="91" t="n"/>
      <c r="P147" s="91" t="n"/>
      <c r="Q147" s="91" t="n"/>
      <c r="R147" s="91" t="n"/>
      <c r="S147" s="91" t="n"/>
      <c r="T147" s="91" t="n"/>
      <c r="U147" s="91" t="n"/>
      <c r="V147" s="91" t="n"/>
      <c r="W147" s="91" t="n"/>
      <c r="X147" s="91" t="n"/>
      <c r="Y147" s="91" t="n"/>
      <c r="Z147" s="91" t="n"/>
      <c r="AA147" s="91" t="n"/>
      <c r="AB147" s="91" t="n"/>
      <c r="AC147" s="91" t="n"/>
      <c r="AD147" s="91" t="n"/>
      <c r="AE147" s="91" t="n"/>
      <c r="AF147" s="91" t="n"/>
      <c r="AG147" s="91" t="n"/>
    </row>
    <row r="148" ht="12.75" customHeight="1" s="117">
      <c r="A148" s="91" t="n"/>
      <c r="B148" s="91" t="n"/>
      <c r="C148" s="91" t="n"/>
      <c r="D148" s="91" t="n"/>
      <c r="E148" s="91" t="n"/>
      <c r="F148" s="91" t="n"/>
      <c r="G148" s="91" t="n"/>
      <c r="H148" s="91" t="n"/>
      <c r="I148" s="91" t="n"/>
      <c r="J148" s="91" t="n"/>
      <c r="K148" s="91" t="n"/>
      <c r="L148" s="91" t="n"/>
      <c r="M148" s="91" t="n"/>
      <c r="N148" s="91" t="n"/>
      <c r="O148" s="91" t="n"/>
      <c r="P148" s="91" t="n"/>
      <c r="Q148" s="91" t="n"/>
      <c r="R148" s="91" t="n"/>
      <c r="S148" s="91" t="n"/>
      <c r="T148" s="91" t="n"/>
      <c r="U148" s="91" t="n"/>
      <c r="V148" s="91" t="n"/>
      <c r="W148" s="91" t="n"/>
      <c r="X148" s="91" t="n"/>
      <c r="Y148" s="91" t="n"/>
      <c r="Z148" s="91" t="n"/>
      <c r="AA148" s="91" t="n"/>
      <c r="AB148" s="91" t="n"/>
      <c r="AC148" s="91" t="n"/>
      <c r="AD148" s="91" t="n"/>
      <c r="AE148" s="91" t="n"/>
      <c r="AF148" s="91" t="n"/>
      <c r="AG148" s="91" t="n"/>
    </row>
    <row r="149" ht="12.75" customHeight="1" s="117">
      <c r="A149" s="91" t="n"/>
      <c r="B149" s="91" t="n"/>
      <c r="C149" s="91" t="n"/>
      <c r="D149" s="91" t="n"/>
      <c r="E149" s="91" t="n"/>
      <c r="F149" s="91" t="n"/>
      <c r="G149" s="91" t="n"/>
      <c r="H149" s="91" t="n"/>
      <c r="I149" s="91" t="n"/>
      <c r="J149" s="91" t="n"/>
      <c r="K149" s="91" t="n"/>
      <c r="L149" s="91" t="n"/>
      <c r="M149" s="91" t="n"/>
      <c r="N149" s="91" t="n"/>
      <c r="O149" s="91" t="n"/>
      <c r="P149" s="91" t="n"/>
      <c r="Q149" s="91" t="n"/>
      <c r="R149" s="91" t="n"/>
      <c r="S149" s="91" t="n"/>
      <c r="T149" s="91" t="n"/>
      <c r="U149" s="91" t="n"/>
      <c r="V149" s="91" t="n"/>
      <c r="W149" s="91" t="n"/>
      <c r="X149" s="91" t="n"/>
      <c r="Y149" s="91" t="n"/>
      <c r="Z149" s="91" t="n"/>
      <c r="AA149" s="91" t="n"/>
      <c r="AB149" s="91" t="n"/>
      <c r="AC149" s="91" t="n"/>
      <c r="AD149" s="91" t="n"/>
      <c r="AE149" s="91" t="n"/>
      <c r="AF149" s="91" t="n"/>
      <c r="AG149" s="91" t="n"/>
    </row>
    <row r="150" ht="12.75" customHeight="1" s="117">
      <c r="A150" s="91" t="n"/>
      <c r="B150" s="91" t="n"/>
      <c r="C150" s="91" t="n"/>
      <c r="D150" s="91" t="n"/>
      <c r="E150" s="91" t="n"/>
      <c r="F150" s="91" t="n"/>
      <c r="G150" s="91" t="n"/>
      <c r="H150" s="91" t="n"/>
      <c r="I150" s="91" t="n"/>
      <c r="J150" s="91" t="n"/>
      <c r="K150" s="91" t="n"/>
      <c r="L150" s="91" t="n"/>
      <c r="M150" s="91" t="n"/>
      <c r="N150" s="91" t="n"/>
      <c r="O150" s="91" t="n"/>
      <c r="P150" s="91" t="n"/>
      <c r="Q150" s="91" t="n"/>
      <c r="R150" s="91" t="n"/>
      <c r="S150" s="91" t="n"/>
      <c r="T150" s="91" t="n"/>
      <c r="U150" s="91" t="n"/>
      <c r="V150" s="91" t="n"/>
      <c r="W150" s="91" t="n"/>
      <c r="X150" s="91" t="n"/>
      <c r="Y150" s="91" t="n"/>
      <c r="Z150" s="91" t="n"/>
      <c r="AA150" s="91" t="n"/>
      <c r="AB150" s="91" t="n"/>
      <c r="AC150" s="91" t="n"/>
      <c r="AD150" s="91" t="n"/>
      <c r="AE150" s="91" t="n"/>
      <c r="AF150" s="91" t="n"/>
      <c r="AG150" s="91" t="n"/>
    </row>
    <row r="151" ht="12.75" customHeight="1" s="117">
      <c r="A151" s="91" t="n"/>
      <c r="B151" s="91" t="n"/>
      <c r="C151" s="91" t="n"/>
      <c r="D151" s="91" t="n"/>
      <c r="E151" s="91" t="n"/>
      <c r="F151" s="91" t="n"/>
      <c r="G151" s="91" t="n"/>
      <c r="H151" s="91" t="n"/>
      <c r="I151" s="91" t="n"/>
      <c r="J151" s="91" t="n"/>
      <c r="K151" s="91" t="n"/>
      <c r="L151" s="91" t="n"/>
      <c r="M151" s="91" t="n"/>
      <c r="N151" s="91" t="n"/>
      <c r="O151" s="91" t="n"/>
      <c r="P151" s="91" t="n"/>
      <c r="Q151" s="91" t="n"/>
      <c r="R151" s="91" t="n"/>
      <c r="S151" s="91" t="n"/>
      <c r="T151" s="91" t="n"/>
      <c r="U151" s="91" t="n"/>
      <c r="V151" s="91" t="n"/>
      <c r="W151" s="91" t="n"/>
      <c r="X151" s="91" t="n"/>
      <c r="Y151" s="91" t="n"/>
      <c r="Z151" s="91" t="n"/>
      <c r="AA151" s="91" t="n"/>
      <c r="AB151" s="91" t="n"/>
      <c r="AC151" s="91" t="n"/>
      <c r="AD151" s="91" t="n"/>
      <c r="AE151" s="91" t="n"/>
      <c r="AF151" s="91" t="n"/>
      <c r="AG151" s="91" t="n"/>
    </row>
    <row r="152" ht="12.75" customHeight="1" s="117">
      <c r="A152" s="91" t="n"/>
      <c r="B152" s="91" t="n"/>
      <c r="C152" s="91" t="n"/>
      <c r="D152" s="91" t="n"/>
      <c r="E152" s="91" t="n"/>
      <c r="F152" s="91" t="n"/>
      <c r="G152" s="91" t="n"/>
      <c r="H152" s="91" t="n"/>
      <c r="I152" s="91" t="n"/>
      <c r="J152" s="91" t="n"/>
      <c r="K152" s="91" t="n"/>
      <c r="L152" s="91" t="n"/>
      <c r="M152" s="91" t="n"/>
      <c r="N152" s="91" t="n"/>
      <c r="O152" s="91" t="n"/>
      <c r="P152" s="91" t="n"/>
      <c r="Q152" s="91" t="n"/>
      <c r="R152" s="91" t="n"/>
      <c r="S152" s="91" t="n"/>
      <c r="T152" s="91" t="n"/>
      <c r="U152" s="91" t="n"/>
      <c r="V152" s="91" t="n"/>
      <c r="W152" s="91" t="n"/>
      <c r="X152" s="91" t="n"/>
      <c r="Y152" s="91" t="n"/>
      <c r="Z152" s="91" t="n"/>
      <c r="AA152" s="91" t="n"/>
      <c r="AB152" s="91" t="n"/>
      <c r="AC152" s="91" t="n"/>
      <c r="AD152" s="91" t="n"/>
      <c r="AE152" s="91" t="n"/>
      <c r="AF152" s="91" t="n"/>
      <c r="AG152" s="91" t="n"/>
    </row>
    <row r="153" ht="12.75" customHeight="1" s="117">
      <c r="A153" s="91" t="n"/>
      <c r="B153" s="91" t="n"/>
      <c r="C153" s="91" t="n"/>
      <c r="D153" s="91" t="n"/>
      <c r="E153" s="91" t="n"/>
      <c r="F153" s="91" t="n"/>
      <c r="G153" s="91" t="n"/>
      <c r="H153" s="91" t="n"/>
      <c r="I153" s="91" t="n"/>
      <c r="J153" s="91" t="n"/>
      <c r="K153" s="91" t="n"/>
      <c r="L153" s="91" t="n"/>
      <c r="M153" s="91" t="n"/>
      <c r="N153" s="91" t="n"/>
      <c r="O153" s="91" t="n"/>
      <c r="P153" s="91" t="n"/>
      <c r="Q153" s="91" t="n"/>
      <c r="R153" s="91" t="n"/>
      <c r="S153" s="91" t="n"/>
      <c r="T153" s="91" t="n"/>
      <c r="U153" s="91" t="n"/>
      <c r="V153" s="91" t="n"/>
      <c r="W153" s="91" t="n"/>
      <c r="X153" s="91" t="n"/>
      <c r="Y153" s="91" t="n"/>
      <c r="Z153" s="91" t="n"/>
      <c r="AA153" s="91" t="n"/>
      <c r="AB153" s="91" t="n"/>
      <c r="AC153" s="91" t="n"/>
      <c r="AD153" s="91" t="n"/>
      <c r="AE153" s="91" t="n"/>
      <c r="AF153" s="91" t="n"/>
      <c r="AG153" s="91" t="n"/>
    </row>
    <row r="154" ht="12.75" customHeight="1" s="117">
      <c r="A154" s="91" t="n"/>
      <c r="B154" s="91" t="n"/>
      <c r="C154" s="91" t="n"/>
      <c r="D154" s="91" t="n"/>
      <c r="E154" s="91" t="n"/>
      <c r="F154" s="91" t="n"/>
      <c r="G154" s="91" t="n"/>
      <c r="H154" s="91" t="n"/>
      <c r="I154" s="91" t="n"/>
      <c r="J154" s="91" t="n"/>
      <c r="K154" s="91" t="n"/>
      <c r="L154" s="91" t="n"/>
      <c r="M154" s="91" t="n"/>
      <c r="N154" s="91" t="n"/>
      <c r="O154" s="91" t="n"/>
      <c r="P154" s="91" t="n"/>
      <c r="Q154" s="91" t="n"/>
      <c r="R154" s="91" t="n"/>
      <c r="S154" s="91" t="n"/>
      <c r="T154" s="91" t="n"/>
      <c r="U154" s="91" t="n"/>
      <c r="V154" s="91" t="n"/>
      <c r="W154" s="91" t="n"/>
      <c r="X154" s="91" t="n"/>
      <c r="Y154" s="91" t="n"/>
      <c r="Z154" s="91" t="n"/>
      <c r="AA154" s="91" t="n"/>
      <c r="AB154" s="91" t="n"/>
      <c r="AC154" s="91" t="n"/>
      <c r="AD154" s="91" t="n"/>
      <c r="AE154" s="91" t="n"/>
      <c r="AF154" s="91" t="n"/>
      <c r="AG154" s="91" t="n"/>
    </row>
    <row r="155" ht="12.75" customHeight="1" s="117">
      <c r="A155" s="91" t="n"/>
      <c r="B155" s="91" t="n"/>
      <c r="C155" s="91" t="n"/>
      <c r="D155" s="91" t="n"/>
      <c r="E155" s="91" t="n"/>
      <c r="F155" s="91" t="n"/>
      <c r="G155" s="91" t="n"/>
      <c r="H155" s="91" t="n"/>
      <c r="I155" s="91" t="n"/>
      <c r="J155" s="91" t="n"/>
      <c r="K155" s="91" t="n"/>
      <c r="L155" s="91" t="n"/>
      <c r="M155" s="91" t="n"/>
      <c r="N155" s="91" t="n"/>
      <c r="O155" s="91" t="n"/>
      <c r="P155" s="91" t="n"/>
      <c r="Q155" s="91" t="n"/>
      <c r="R155" s="91" t="n"/>
      <c r="S155" s="91" t="n"/>
      <c r="T155" s="91" t="n"/>
      <c r="U155" s="91" t="n"/>
      <c r="V155" s="91" t="n"/>
      <c r="W155" s="91" t="n"/>
      <c r="X155" s="91" t="n"/>
      <c r="Y155" s="91" t="n"/>
      <c r="Z155" s="91" t="n"/>
      <c r="AA155" s="91" t="n"/>
      <c r="AB155" s="91" t="n"/>
      <c r="AC155" s="91" t="n"/>
      <c r="AD155" s="91" t="n"/>
      <c r="AE155" s="91" t="n"/>
      <c r="AF155" s="91" t="n"/>
      <c r="AG155" s="91" t="n"/>
    </row>
    <row r="156" ht="12.75" customHeight="1" s="117">
      <c r="A156" s="91" t="n"/>
      <c r="B156" s="91" t="n"/>
      <c r="C156" s="91" t="n"/>
      <c r="D156" s="91" t="n"/>
      <c r="E156" s="91" t="n"/>
      <c r="F156" s="91" t="n"/>
      <c r="G156" s="91" t="n"/>
      <c r="H156" s="91" t="n"/>
      <c r="I156" s="91" t="n"/>
      <c r="J156" s="91" t="n"/>
      <c r="K156" s="91" t="n"/>
      <c r="L156" s="91" t="n"/>
      <c r="M156" s="91" t="n"/>
      <c r="N156" s="91" t="n"/>
      <c r="O156" s="91" t="n"/>
      <c r="P156" s="91" t="n"/>
      <c r="Q156" s="91" t="n"/>
      <c r="R156" s="91" t="n"/>
      <c r="S156" s="91" t="n"/>
      <c r="T156" s="91" t="n"/>
      <c r="U156" s="91" t="n"/>
      <c r="V156" s="91" t="n"/>
      <c r="W156" s="91" t="n"/>
      <c r="X156" s="91" t="n"/>
      <c r="Y156" s="91" t="n"/>
      <c r="Z156" s="91" t="n"/>
      <c r="AA156" s="91" t="n"/>
      <c r="AB156" s="91" t="n"/>
      <c r="AC156" s="91" t="n"/>
      <c r="AD156" s="91" t="n"/>
      <c r="AE156" s="91" t="n"/>
      <c r="AF156" s="91" t="n"/>
      <c r="AG156" s="91" t="n"/>
    </row>
    <row r="157" ht="12.75" customHeight="1" s="117">
      <c r="A157" s="91" t="n"/>
      <c r="B157" s="91" t="n"/>
      <c r="C157" s="91" t="n"/>
      <c r="D157" s="91" t="n"/>
      <c r="E157" s="91" t="n"/>
      <c r="F157" s="91" t="n"/>
      <c r="G157" s="91" t="n"/>
      <c r="H157" s="91" t="n"/>
      <c r="I157" s="91" t="n"/>
      <c r="J157" s="91" t="n"/>
      <c r="K157" s="91" t="n"/>
      <c r="L157" s="91" t="n"/>
      <c r="M157" s="91" t="n"/>
      <c r="N157" s="91" t="n"/>
      <c r="O157" s="91" t="n"/>
      <c r="P157" s="91" t="n"/>
      <c r="Q157" s="91" t="n"/>
      <c r="R157" s="91" t="n"/>
      <c r="S157" s="91" t="n"/>
      <c r="T157" s="91" t="n"/>
      <c r="U157" s="91" t="n"/>
      <c r="V157" s="91" t="n"/>
      <c r="W157" s="91" t="n"/>
      <c r="X157" s="91" t="n"/>
      <c r="Y157" s="91" t="n"/>
      <c r="Z157" s="91" t="n"/>
      <c r="AA157" s="91" t="n"/>
      <c r="AB157" s="91" t="n"/>
      <c r="AC157" s="91" t="n"/>
      <c r="AD157" s="91" t="n"/>
      <c r="AE157" s="91" t="n"/>
      <c r="AF157" s="91" t="n"/>
      <c r="AG157" s="91" t="n"/>
    </row>
    <row r="158" ht="12.75" customHeight="1" s="117">
      <c r="A158" s="91" t="n"/>
      <c r="B158" s="91" t="n"/>
      <c r="C158" s="91" t="n"/>
      <c r="D158" s="91" t="n"/>
      <c r="E158" s="91" t="n"/>
      <c r="F158" s="91" t="n"/>
      <c r="G158" s="91" t="n"/>
      <c r="H158" s="91" t="n"/>
      <c r="I158" s="91" t="n"/>
      <c r="J158" s="91" t="n"/>
      <c r="K158" s="91" t="n"/>
      <c r="L158" s="91" t="n"/>
      <c r="M158" s="91" t="n"/>
      <c r="N158" s="91" t="n"/>
      <c r="O158" s="91" t="n"/>
      <c r="P158" s="91" t="n"/>
      <c r="Q158" s="91" t="n"/>
      <c r="R158" s="91" t="n"/>
      <c r="S158" s="91" t="n"/>
      <c r="T158" s="91" t="n"/>
      <c r="U158" s="91" t="n"/>
      <c r="V158" s="91" t="n"/>
      <c r="W158" s="91" t="n"/>
      <c r="X158" s="91" t="n"/>
      <c r="Y158" s="91" t="n"/>
      <c r="Z158" s="91" t="n"/>
      <c r="AA158" s="91" t="n"/>
      <c r="AB158" s="91" t="n"/>
      <c r="AC158" s="91" t="n"/>
      <c r="AD158" s="91" t="n"/>
      <c r="AE158" s="91" t="n"/>
      <c r="AF158" s="91" t="n"/>
      <c r="AG158" s="91" t="n"/>
    </row>
    <row r="159" ht="12.75" customHeight="1" s="117">
      <c r="A159" s="91" t="n"/>
      <c r="B159" s="91" t="n"/>
      <c r="C159" s="91" t="n"/>
      <c r="D159" s="91" t="n"/>
      <c r="E159" s="91" t="n"/>
      <c r="F159" s="91" t="n"/>
      <c r="G159" s="91" t="n"/>
      <c r="H159" s="91" t="n"/>
      <c r="I159" s="91" t="n"/>
      <c r="J159" s="91" t="n"/>
      <c r="K159" s="91" t="n"/>
      <c r="L159" s="91" t="n"/>
      <c r="M159" s="91" t="n"/>
      <c r="N159" s="91" t="n"/>
      <c r="O159" s="91" t="n"/>
      <c r="P159" s="91" t="n"/>
      <c r="Q159" s="91" t="n"/>
      <c r="R159" s="91" t="n"/>
      <c r="S159" s="91" t="n"/>
      <c r="T159" s="91" t="n"/>
      <c r="U159" s="91" t="n"/>
      <c r="V159" s="91" t="n"/>
      <c r="W159" s="91" t="n"/>
      <c r="X159" s="91" t="n"/>
      <c r="Y159" s="91" t="n"/>
      <c r="Z159" s="91" t="n"/>
      <c r="AA159" s="91" t="n"/>
      <c r="AB159" s="91" t="n"/>
      <c r="AC159" s="91" t="n"/>
      <c r="AD159" s="91" t="n"/>
      <c r="AE159" s="91" t="n"/>
      <c r="AF159" s="91" t="n"/>
      <c r="AG159" s="91" t="n"/>
    </row>
    <row r="160" ht="12.75" customHeight="1" s="117">
      <c r="A160" s="91" t="n"/>
      <c r="B160" s="91" t="n"/>
      <c r="C160" s="91" t="n"/>
      <c r="D160" s="91" t="n"/>
      <c r="E160" s="91" t="n"/>
      <c r="F160" s="91" t="n"/>
      <c r="G160" s="91" t="n"/>
      <c r="H160" s="91" t="n"/>
      <c r="I160" s="91" t="n"/>
      <c r="J160" s="91" t="n"/>
      <c r="K160" s="91" t="n"/>
      <c r="L160" s="91" t="n"/>
      <c r="M160" s="91" t="n"/>
      <c r="N160" s="91" t="n"/>
      <c r="O160" s="91" t="n"/>
      <c r="P160" s="91" t="n"/>
      <c r="Q160" s="91" t="n"/>
      <c r="R160" s="91" t="n"/>
      <c r="S160" s="91" t="n"/>
      <c r="T160" s="91" t="n"/>
      <c r="U160" s="91" t="n"/>
      <c r="V160" s="91" t="n"/>
      <c r="W160" s="91" t="n"/>
      <c r="X160" s="91" t="n"/>
      <c r="Y160" s="91" t="n"/>
      <c r="Z160" s="91" t="n"/>
      <c r="AA160" s="91" t="n"/>
      <c r="AB160" s="91" t="n"/>
      <c r="AC160" s="91" t="n"/>
      <c r="AD160" s="91" t="n"/>
      <c r="AE160" s="91" t="n"/>
      <c r="AF160" s="91" t="n"/>
      <c r="AG160" s="91" t="n"/>
    </row>
    <row r="161" ht="12.75" customHeight="1" s="117">
      <c r="A161" s="91" t="n"/>
      <c r="B161" s="91" t="n"/>
      <c r="C161" s="91" t="n"/>
      <c r="D161" s="91" t="n"/>
      <c r="E161" s="91" t="n"/>
      <c r="F161" s="91" t="n"/>
      <c r="G161" s="91" t="n"/>
      <c r="H161" s="91" t="n"/>
      <c r="I161" s="91" t="n"/>
      <c r="J161" s="91" t="n"/>
      <c r="K161" s="91" t="n"/>
      <c r="L161" s="91" t="n"/>
      <c r="M161" s="91" t="n"/>
      <c r="N161" s="91" t="n"/>
      <c r="O161" s="91" t="n"/>
      <c r="P161" s="91" t="n"/>
      <c r="Q161" s="91" t="n"/>
      <c r="R161" s="91" t="n"/>
      <c r="S161" s="91" t="n"/>
      <c r="T161" s="91" t="n"/>
      <c r="U161" s="91" t="n"/>
      <c r="V161" s="91" t="n"/>
      <c r="W161" s="91" t="n"/>
      <c r="X161" s="91" t="n"/>
      <c r="Y161" s="91" t="n"/>
      <c r="Z161" s="91" t="n"/>
      <c r="AA161" s="91" t="n"/>
      <c r="AB161" s="91" t="n"/>
      <c r="AC161" s="91" t="n"/>
      <c r="AD161" s="91" t="n"/>
      <c r="AE161" s="91" t="n"/>
      <c r="AF161" s="91" t="n"/>
      <c r="AG161" s="91" t="n"/>
    </row>
    <row r="162" ht="12.75" customHeight="1" s="117">
      <c r="A162" s="91" t="n"/>
      <c r="B162" s="91" t="n"/>
      <c r="C162" s="91" t="n"/>
      <c r="D162" s="91" t="n"/>
      <c r="E162" s="91" t="n"/>
      <c r="F162" s="91" t="n"/>
      <c r="G162" s="91" t="n"/>
      <c r="H162" s="91" t="n"/>
      <c r="I162" s="91" t="n"/>
      <c r="J162" s="91" t="n"/>
      <c r="K162" s="91" t="n"/>
      <c r="L162" s="91" t="n"/>
      <c r="M162" s="91" t="n"/>
      <c r="N162" s="91" t="n"/>
      <c r="O162" s="91" t="n"/>
      <c r="P162" s="91" t="n"/>
      <c r="Q162" s="91" t="n"/>
      <c r="R162" s="91" t="n"/>
      <c r="S162" s="91" t="n"/>
      <c r="T162" s="91" t="n"/>
      <c r="U162" s="91" t="n"/>
      <c r="V162" s="91" t="n"/>
      <c r="W162" s="91" t="n"/>
      <c r="X162" s="91" t="n"/>
      <c r="Y162" s="91" t="n"/>
      <c r="Z162" s="91" t="n"/>
      <c r="AA162" s="91" t="n"/>
      <c r="AB162" s="91" t="n"/>
      <c r="AC162" s="91" t="n"/>
      <c r="AD162" s="91" t="n"/>
      <c r="AE162" s="91" t="n"/>
      <c r="AF162" s="91" t="n"/>
      <c r="AG162" s="91" t="n"/>
    </row>
    <row r="163" ht="12.75" customHeight="1" s="117">
      <c r="A163" s="91" t="n"/>
      <c r="B163" s="91" t="n"/>
      <c r="C163" s="91" t="n"/>
      <c r="D163" s="91" t="n"/>
      <c r="E163" s="91" t="n"/>
      <c r="F163" s="91" t="n"/>
      <c r="G163" s="91" t="n"/>
      <c r="H163" s="91" t="n"/>
      <c r="I163" s="91" t="n"/>
      <c r="J163" s="91" t="n"/>
      <c r="K163" s="91" t="n"/>
      <c r="L163" s="91" t="n"/>
      <c r="M163" s="91" t="n"/>
      <c r="N163" s="91" t="n"/>
      <c r="O163" s="91" t="n"/>
      <c r="P163" s="91" t="n"/>
      <c r="Q163" s="91" t="n"/>
      <c r="R163" s="91" t="n"/>
      <c r="S163" s="91" t="n"/>
      <c r="T163" s="91" t="n"/>
      <c r="U163" s="91" t="n"/>
      <c r="V163" s="91" t="n"/>
      <c r="W163" s="91" t="n"/>
      <c r="X163" s="91" t="n"/>
      <c r="Y163" s="91" t="n"/>
      <c r="Z163" s="91" t="n"/>
      <c r="AA163" s="91" t="n"/>
      <c r="AB163" s="91" t="n"/>
      <c r="AC163" s="91" t="n"/>
      <c r="AD163" s="91" t="n"/>
      <c r="AE163" s="91" t="n"/>
      <c r="AF163" s="91" t="n"/>
      <c r="AG163" s="91" t="n"/>
    </row>
    <row r="164" ht="12.75" customHeight="1" s="117">
      <c r="A164" s="91" t="n"/>
      <c r="B164" s="91" t="n"/>
      <c r="C164" s="91" t="n"/>
      <c r="D164" s="91" t="n"/>
      <c r="E164" s="91" t="n"/>
      <c r="F164" s="91" t="n"/>
      <c r="G164" s="91" t="n"/>
      <c r="H164" s="91" t="n"/>
      <c r="I164" s="91" t="n"/>
      <c r="J164" s="91" t="n"/>
      <c r="K164" s="91" t="n"/>
      <c r="L164" s="91" t="n"/>
      <c r="M164" s="91" t="n"/>
      <c r="N164" s="91" t="n"/>
      <c r="O164" s="91" t="n"/>
      <c r="P164" s="91" t="n"/>
      <c r="Q164" s="91" t="n"/>
      <c r="R164" s="91" t="n"/>
      <c r="S164" s="91" t="n"/>
      <c r="T164" s="91" t="n"/>
      <c r="U164" s="91" t="n"/>
      <c r="V164" s="91" t="n"/>
      <c r="W164" s="91" t="n"/>
      <c r="X164" s="91" t="n"/>
      <c r="Y164" s="91" t="n"/>
      <c r="Z164" s="91" t="n"/>
      <c r="AA164" s="91" t="n"/>
      <c r="AB164" s="91" t="n"/>
      <c r="AC164" s="91" t="n"/>
      <c r="AD164" s="91" t="n"/>
      <c r="AE164" s="91" t="n"/>
      <c r="AF164" s="91" t="n"/>
      <c r="AG164" s="91" t="n"/>
    </row>
    <row r="165" ht="12.75" customHeight="1" s="117">
      <c r="A165" s="91" t="n"/>
      <c r="B165" s="91" t="n"/>
      <c r="C165" s="91" t="n"/>
      <c r="D165" s="91" t="n"/>
      <c r="E165" s="91" t="n"/>
      <c r="F165" s="91" t="n"/>
      <c r="G165" s="91" t="n"/>
      <c r="H165" s="91" t="n"/>
      <c r="I165" s="91" t="n"/>
      <c r="J165" s="91" t="n"/>
      <c r="K165" s="91" t="n"/>
      <c r="L165" s="91" t="n"/>
      <c r="M165" s="91" t="n"/>
      <c r="N165" s="91" t="n"/>
      <c r="O165" s="91" t="n"/>
      <c r="P165" s="91" t="n"/>
      <c r="Q165" s="91" t="n"/>
      <c r="R165" s="91" t="n"/>
      <c r="S165" s="91" t="n"/>
      <c r="T165" s="91" t="n"/>
      <c r="U165" s="91" t="n"/>
      <c r="V165" s="91" t="n"/>
      <c r="W165" s="91" t="n"/>
      <c r="X165" s="91" t="n"/>
      <c r="Y165" s="91" t="n"/>
      <c r="Z165" s="91" t="n"/>
      <c r="AA165" s="91" t="n"/>
      <c r="AB165" s="91" t="n"/>
      <c r="AC165" s="91" t="n"/>
      <c r="AD165" s="91" t="n"/>
      <c r="AE165" s="91" t="n"/>
      <c r="AF165" s="91" t="n"/>
      <c r="AG165" s="91" t="n"/>
    </row>
    <row r="166" ht="12.75" customHeight="1" s="117">
      <c r="A166" s="91" t="n"/>
      <c r="B166" s="91" t="n"/>
      <c r="C166" s="91" t="n"/>
      <c r="D166" s="91" t="n"/>
      <c r="E166" s="91" t="n"/>
      <c r="F166" s="91" t="n"/>
      <c r="G166" s="91" t="n"/>
      <c r="H166" s="91" t="n"/>
      <c r="I166" s="91" t="n"/>
      <c r="J166" s="91" t="n"/>
      <c r="K166" s="91" t="n"/>
      <c r="L166" s="91" t="n"/>
      <c r="M166" s="91" t="n"/>
      <c r="N166" s="91" t="n"/>
      <c r="O166" s="91" t="n"/>
      <c r="P166" s="91" t="n"/>
      <c r="Q166" s="91" t="n"/>
      <c r="R166" s="91" t="n"/>
      <c r="S166" s="91" t="n"/>
      <c r="T166" s="91" t="n"/>
      <c r="U166" s="91" t="n"/>
      <c r="V166" s="91" t="n"/>
      <c r="W166" s="91" t="n"/>
      <c r="X166" s="91" t="n"/>
      <c r="Y166" s="91" t="n"/>
      <c r="Z166" s="91" t="n"/>
      <c r="AA166" s="91" t="n"/>
      <c r="AB166" s="91" t="n"/>
      <c r="AC166" s="91" t="n"/>
      <c r="AD166" s="91" t="n"/>
      <c r="AE166" s="91" t="n"/>
      <c r="AF166" s="91" t="n"/>
      <c r="AG166" s="91" t="n"/>
    </row>
    <row r="167" ht="12.75" customHeight="1" s="117">
      <c r="A167" s="91" t="n"/>
      <c r="B167" s="91" t="n"/>
      <c r="C167" s="91" t="n"/>
      <c r="D167" s="91" t="n"/>
      <c r="E167" s="91" t="n"/>
      <c r="F167" s="91" t="n"/>
      <c r="G167" s="91" t="n"/>
      <c r="H167" s="91" t="n"/>
      <c r="I167" s="91" t="n"/>
      <c r="J167" s="91" t="n"/>
      <c r="K167" s="91" t="n"/>
      <c r="L167" s="91" t="n"/>
      <c r="M167" s="91" t="n"/>
      <c r="N167" s="91" t="n"/>
      <c r="O167" s="91" t="n"/>
      <c r="P167" s="91" t="n"/>
      <c r="Q167" s="91" t="n"/>
      <c r="R167" s="91" t="n"/>
      <c r="S167" s="91" t="n"/>
      <c r="T167" s="91" t="n"/>
      <c r="U167" s="91" t="n"/>
      <c r="V167" s="91" t="n"/>
      <c r="W167" s="91" t="n"/>
      <c r="X167" s="91" t="n"/>
      <c r="Y167" s="91" t="n"/>
      <c r="Z167" s="91" t="n"/>
      <c r="AA167" s="91" t="n"/>
      <c r="AB167" s="91" t="n"/>
      <c r="AC167" s="91" t="n"/>
      <c r="AD167" s="91" t="n"/>
      <c r="AE167" s="91" t="n"/>
      <c r="AF167" s="91" t="n"/>
      <c r="AG167" s="91" t="n"/>
    </row>
    <row r="168" ht="12.75" customHeight="1" s="117">
      <c r="A168" s="91" t="n"/>
      <c r="B168" s="91" t="n"/>
      <c r="C168" s="91" t="n"/>
      <c r="D168" s="91" t="n"/>
      <c r="E168" s="91" t="n"/>
      <c r="F168" s="91" t="n"/>
      <c r="G168" s="91" t="n"/>
      <c r="H168" s="91" t="n"/>
      <c r="I168" s="91" t="n"/>
      <c r="J168" s="91" t="n"/>
      <c r="K168" s="91" t="n"/>
      <c r="L168" s="91" t="n"/>
      <c r="M168" s="91" t="n"/>
      <c r="N168" s="91" t="n"/>
      <c r="O168" s="91" t="n"/>
      <c r="P168" s="91" t="n"/>
      <c r="Q168" s="91" t="n"/>
      <c r="R168" s="91" t="n"/>
      <c r="S168" s="91" t="n"/>
      <c r="T168" s="91" t="n"/>
      <c r="U168" s="91" t="n"/>
      <c r="V168" s="91" t="n"/>
      <c r="W168" s="91" t="n"/>
      <c r="X168" s="91" t="n"/>
      <c r="Y168" s="91" t="n"/>
      <c r="Z168" s="91" t="n"/>
      <c r="AA168" s="91" t="n"/>
      <c r="AB168" s="91" t="n"/>
      <c r="AC168" s="91" t="n"/>
      <c r="AD168" s="91" t="n"/>
      <c r="AE168" s="91" t="n"/>
      <c r="AF168" s="91" t="n"/>
      <c r="AG168" s="91" t="n"/>
    </row>
    <row r="169" ht="12.75" customHeight="1" s="117">
      <c r="A169" s="91" t="n"/>
      <c r="B169" s="91" t="n"/>
      <c r="C169" s="91" t="n"/>
      <c r="D169" s="91" t="n"/>
      <c r="E169" s="91" t="n"/>
      <c r="F169" s="91" t="n"/>
      <c r="G169" s="91" t="n"/>
      <c r="H169" s="91" t="n"/>
      <c r="I169" s="91" t="n"/>
      <c r="J169" s="91" t="n"/>
      <c r="K169" s="91" t="n"/>
      <c r="L169" s="91" t="n"/>
      <c r="M169" s="91" t="n"/>
      <c r="N169" s="91" t="n"/>
      <c r="O169" s="91" t="n"/>
      <c r="P169" s="91" t="n"/>
      <c r="Q169" s="91" t="n"/>
      <c r="R169" s="91" t="n"/>
      <c r="S169" s="91" t="n"/>
      <c r="T169" s="91" t="n"/>
      <c r="U169" s="91" t="n"/>
      <c r="V169" s="91" t="n"/>
      <c r="W169" s="91" t="n"/>
      <c r="X169" s="91" t="n"/>
      <c r="Y169" s="91" t="n"/>
      <c r="Z169" s="91" t="n"/>
      <c r="AA169" s="91" t="n"/>
      <c r="AB169" s="91" t="n"/>
      <c r="AC169" s="91" t="n"/>
      <c r="AD169" s="91" t="n"/>
      <c r="AE169" s="91" t="n"/>
      <c r="AF169" s="91" t="n"/>
      <c r="AG169" s="91" t="n"/>
    </row>
    <row r="170" ht="12.75" customHeight="1" s="117">
      <c r="A170" s="91" t="n"/>
      <c r="B170" s="91" t="n"/>
      <c r="C170" s="91" t="n"/>
      <c r="D170" s="91" t="n"/>
      <c r="E170" s="91" t="n"/>
      <c r="F170" s="91" t="n"/>
      <c r="G170" s="91" t="n"/>
      <c r="H170" s="91" t="n"/>
      <c r="I170" s="91" t="n"/>
      <c r="J170" s="91" t="n"/>
      <c r="K170" s="91" t="n"/>
      <c r="L170" s="91" t="n"/>
      <c r="M170" s="91" t="n"/>
      <c r="N170" s="91" t="n"/>
      <c r="O170" s="91" t="n"/>
      <c r="P170" s="91" t="n"/>
      <c r="Q170" s="91" t="n"/>
      <c r="R170" s="91" t="n"/>
      <c r="S170" s="91" t="n"/>
      <c r="T170" s="91" t="n"/>
      <c r="U170" s="91" t="n"/>
      <c r="V170" s="91" t="n"/>
      <c r="W170" s="91" t="n"/>
      <c r="X170" s="91" t="n"/>
      <c r="Y170" s="91" t="n"/>
      <c r="Z170" s="91" t="n"/>
      <c r="AA170" s="91" t="n"/>
      <c r="AB170" s="91" t="n"/>
      <c r="AC170" s="91" t="n"/>
      <c r="AD170" s="91" t="n"/>
      <c r="AE170" s="91" t="n"/>
      <c r="AF170" s="91" t="n"/>
      <c r="AG170" s="91" t="n"/>
    </row>
    <row r="171" ht="12.75" customHeight="1" s="117">
      <c r="A171" s="91" t="n"/>
      <c r="B171" s="91" t="n"/>
      <c r="C171" s="91" t="n"/>
      <c r="D171" s="91" t="n"/>
      <c r="E171" s="91" t="n"/>
      <c r="F171" s="91" t="n"/>
      <c r="G171" s="91" t="n"/>
      <c r="H171" s="91" t="n"/>
      <c r="I171" s="91" t="n"/>
      <c r="J171" s="91" t="n"/>
      <c r="K171" s="91" t="n"/>
      <c r="L171" s="91" t="n"/>
      <c r="M171" s="91" t="n"/>
      <c r="N171" s="91" t="n"/>
      <c r="O171" s="91" t="n"/>
      <c r="P171" s="91" t="n"/>
      <c r="Q171" s="91" t="n"/>
      <c r="R171" s="91" t="n"/>
      <c r="S171" s="91" t="n"/>
      <c r="T171" s="91" t="n"/>
      <c r="U171" s="91" t="n"/>
      <c r="V171" s="91" t="n"/>
      <c r="W171" s="91" t="n"/>
      <c r="X171" s="91" t="n"/>
      <c r="Y171" s="91" t="n"/>
      <c r="Z171" s="91" t="n"/>
      <c r="AA171" s="91" t="n"/>
      <c r="AB171" s="91" t="n"/>
      <c r="AC171" s="91" t="n"/>
      <c r="AD171" s="91" t="n"/>
      <c r="AE171" s="91" t="n"/>
      <c r="AF171" s="91" t="n"/>
      <c r="AG171" s="91" t="n"/>
    </row>
    <row r="172" ht="12.75" customHeight="1" s="117">
      <c r="A172" s="91" t="n"/>
      <c r="B172" s="91" t="n"/>
      <c r="C172" s="91" t="n"/>
      <c r="D172" s="91" t="n"/>
      <c r="E172" s="91" t="n"/>
      <c r="F172" s="91" t="n"/>
      <c r="G172" s="91" t="n"/>
      <c r="H172" s="91" t="n"/>
      <c r="I172" s="91" t="n"/>
      <c r="J172" s="91" t="n"/>
      <c r="K172" s="91" t="n"/>
      <c r="L172" s="91" t="n"/>
      <c r="M172" s="91" t="n"/>
      <c r="N172" s="91" t="n"/>
      <c r="O172" s="91" t="n"/>
      <c r="P172" s="91" t="n"/>
      <c r="Q172" s="91" t="n"/>
      <c r="R172" s="91" t="n"/>
      <c r="S172" s="91" t="n"/>
      <c r="T172" s="91" t="n"/>
      <c r="U172" s="91" t="n"/>
      <c r="V172" s="91" t="n"/>
      <c r="W172" s="91" t="n"/>
      <c r="X172" s="91" t="n"/>
      <c r="Y172" s="91" t="n"/>
      <c r="Z172" s="91" t="n"/>
      <c r="AA172" s="91" t="n"/>
      <c r="AB172" s="91" t="n"/>
      <c r="AC172" s="91" t="n"/>
      <c r="AD172" s="91" t="n"/>
      <c r="AE172" s="91" t="n"/>
      <c r="AF172" s="91" t="n"/>
      <c r="AG172" s="91" t="n"/>
    </row>
    <row r="173" ht="12.75" customHeight="1" s="117">
      <c r="A173" s="91" t="n"/>
      <c r="B173" s="91" t="n"/>
      <c r="C173" s="91" t="n"/>
      <c r="D173" s="91" t="n"/>
      <c r="E173" s="91" t="n"/>
      <c r="F173" s="91" t="n"/>
      <c r="G173" s="91" t="n"/>
      <c r="H173" s="91" t="n"/>
      <c r="I173" s="91" t="n"/>
      <c r="J173" s="91" t="n"/>
      <c r="K173" s="91" t="n"/>
      <c r="L173" s="91" t="n"/>
      <c r="M173" s="91" t="n"/>
      <c r="N173" s="91" t="n"/>
      <c r="O173" s="91" t="n"/>
      <c r="P173" s="91" t="n"/>
      <c r="Q173" s="91" t="n"/>
      <c r="R173" s="91" t="n"/>
      <c r="S173" s="91" t="n"/>
      <c r="T173" s="91" t="n"/>
      <c r="U173" s="91" t="n"/>
      <c r="V173" s="91" t="n"/>
      <c r="W173" s="91" t="n"/>
      <c r="X173" s="91" t="n"/>
      <c r="Y173" s="91" t="n"/>
      <c r="Z173" s="91" t="n"/>
      <c r="AA173" s="91" t="n"/>
      <c r="AB173" s="91" t="n"/>
      <c r="AC173" s="91" t="n"/>
      <c r="AD173" s="91" t="n"/>
      <c r="AE173" s="91" t="n"/>
      <c r="AF173" s="91" t="n"/>
      <c r="AG173" s="91" t="n"/>
    </row>
    <row r="174" ht="12.75" customHeight="1" s="117">
      <c r="A174" s="91" t="n"/>
      <c r="B174" s="91" t="n"/>
      <c r="C174" s="91" t="n"/>
      <c r="D174" s="91" t="n"/>
      <c r="E174" s="91" t="n"/>
      <c r="F174" s="91" t="n"/>
      <c r="G174" s="91" t="n"/>
      <c r="H174" s="91" t="n"/>
      <c r="I174" s="91" t="n"/>
      <c r="J174" s="91" t="n"/>
      <c r="K174" s="91" t="n"/>
      <c r="L174" s="91" t="n"/>
      <c r="M174" s="91" t="n"/>
      <c r="N174" s="91" t="n"/>
      <c r="O174" s="91" t="n"/>
      <c r="P174" s="91" t="n"/>
      <c r="Q174" s="91" t="n"/>
      <c r="R174" s="91" t="n"/>
      <c r="S174" s="91" t="n"/>
      <c r="T174" s="91" t="n"/>
      <c r="U174" s="91" t="n"/>
      <c r="V174" s="91" t="n"/>
      <c r="W174" s="91" t="n"/>
      <c r="X174" s="91" t="n"/>
      <c r="Y174" s="91" t="n"/>
      <c r="Z174" s="91" t="n"/>
      <c r="AA174" s="91" t="n"/>
      <c r="AB174" s="91" t="n"/>
      <c r="AC174" s="91" t="n"/>
      <c r="AD174" s="91" t="n"/>
      <c r="AE174" s="91" t="n"/>
      <c r="AF174" s="91" t="n"/>
      <c r="AG174" s="91" t="n"/>
    </row>
    <row r="175" ht="12.75" customHeight="1" s="117">
      <c r="A175" s="91" t="n"/>
      <c r="B175" s="91" t="n"/>
      <c r="C175" s="91" t="n"/>
      <c r="D175" s="91" t="n"/>
      <c r="E175" s="91" t="n"/>
      <c r="F175" s="91" t="n"/>
      <c r="G175" s="91" t="n"/>
      <c r="H175" s="91" t="n"/>
      <c r="I175" s="91" t="n"/>
      <c r="J175" s="91" t="n"/>
      <c r="K175" s="91" t="n"/>
      <c r="L175" s="91" t="n"/>
      <c r="M175" s="91" t="n"/>
      <c r="N175" s="91" t="n"/>
      <c r="O175" s="91" t="n"/>
      <c r="P175" s="91" t="n"/>
      <c r="Q175" s="91" t="n"/>
      <c r="R175" s="91" t="n"/>
      <c r="S175" s="91" t="n"/>
      <c r="T175" s="91" t="n"/>
      <c r="U175" s="91" t="n"/>
      <c r="V175" s="91" t="n"/>
      <c r="W175" s="91" t="n"/>
      <c r="X175" s="91" t="n"/>
      <c r="Y175" s="91" t="n"/>
      <c r="Z175" s="91" t="n"/>
      <c r="AA175" s="91" t="n"/>
      <c r="AB175" s="91" t="n"/>
      <c r="AC175" s="91" t="n"/>
      <c r="AD175" s="91" t="n"/>
      <c r="AE175" s="91" t="n"/>
      <c r="AF175" s="91" t="n"/>
      <c r="AG175" s="91" t="n"/>
    </row>
    <row r="176" ht="12.75" customHeight="1" s="117">
      <c r="A176" s="91" t="n"/>
      <c r="B176" s="91" t="n"/>
      <c r="C176" s="91" t="n"/>
      <c r="D176" s="91" t="n"/>
      <c r="E176" s="91" t="n"/>
      <c r="F176" s="91" t="n"/>
      <c r="G176" s="91" t="n"/>
      <c r="H176" s="91" t="n"/>
      <c r="I176" s="91" t="n"/>
      <c r="J176" s="91" t="n"/>
      <c r="K176" s="91" t="n"/>
      <c r="L176" s="91" t="n"/>
      <c r="M176" s="91" t="n"/>
      <c r="N176" s="91" t="n"/>
      <c r="O176" s="91" t="n"/>
      <c r="P176" s="91" t="n"/>
      <c r="Q176" s="91" t="n"/>
      <c r="R176" s="91" t="n"/>
      <c r="S176" s="91" t="n"/>
      <c r="T176" s="91" t="n"/>
      <c r="U176" s="91" t="n"/>
      <c r="V176" s="91" t="n"/>
      <c r="W176" s="91" t="n"/>
      <c r="X176" s="91" t="n"/>
      <c r="Y176" s="91" t="n"/>
      <c r="Z176" s="91" t="n"/>
      <c r="AA176" s="91" t="n"/>
      <c r="AB176" s="91" t="n"/>
      <c r="AC176" s="91" t="n"/>
      <c r="AD176" s="91" t="n"/>
      <c r="AE176" s="91" t="n"/>
      <c r="AF176" s="91" t="n"/>
      <c r="AG176" s="91" t="n"/>
    </row>
    <row r="177" ht="12.75" customHeight="1" s="117">
      <c r="A177" s="91" t="n"/>
      <c r="B177" s="91" t="n"/>
      <c r="C177" s="91" t="n"/>
      <c r="D177" s="91" t="n"/>
      <c r="E177" s="91" t="n"/>
      <c r="F177" s="91" t="n"/>
      <c r="G177" s="91" t="n"/>
      <c r="H177" s="91" t="n"/>
      <c r="I177" s="91" t="n"/>
      <c r="J177" s="91" t="n"/>
      <c r="K177" s="91" t="n"/>
      <c r="L177" s="91" t="n"/>
      <c r="M177" s="91" t="n"/>
      <c r="N177" s="91" t="n"/>
      <c r="O177" s="91" t="n"/>
      <c r="P177" s="91" t="n"/>
      <c r="Q177" s="91" t="n"/>
      <c r="R177" s="91" t="n"/>
      <c r="S177" s="91" t="n"/>
      <c r="T177" s="91" t="n"/>
      <c r="U177" s="91" t="n"/>
      <c r="V177" s="91" t="n"/>
      <c r="W177" s="91" t="n"/>
      <c r="X177" s="91" t="n"/>
      <c r="Y177" s="91" t="n"/>
      <c r="Z177" s="91" t="n"/>
      <c r="AA177" s="91" t="n"/>
      <c r="AB177" s="91" t="n"/>
      <c r="AC177" s="91" t="n"/>
      <c r="AD177" s="91" t="n"/>
      <c r="AE177" s="91" t="n"/>
      <c r="AF177" s="91" t="n"/>
      <c r="AG177" s="91" t="n"/>
    </row>
    <row r="178" ht="12.75" customHeight="1" s="117">
      <c r="A178" s="91" t="n"/>
      <c r="B178" s="91" t="n"/>
      <c r="C178" s="91" t="n"/>
      <c r="D178" s="91" t="n"/>
      <c r="E178" s="91" t="n"/>
      <c r="F178" s="91" t="n"/>
      <c r="G178" s="91" t="n"/>
      <c r="H178" s="91" t="n"/>
      <c r="I178" s="91" t="n"/>
      <c r="J178" s="91" t="n"/>
      <c r="K178" s="91" t="n"/>
      <c r="L178" s="91" t="n"/>
      <c r="M178" s="91" t="n"/>
      <c r="N178" s="91" t="n"/>
      <c r="O178" s="91" t="n"/>
      <c r="P178" s="91" t="n"/>
      <c r="Q178" s="91" t="n"/>
      <c r="R178" s="91" t="n"/>
      <c r="S178" s="91" t="n"/>
      <c r="T178" s="91" t="n"/>
      <c r="U178" s="91" t="n"/>
      <c r="V178" s="91" t="n"/>
      <c r="W178" s="91" t="n"/>
      <c r="X178" s="91" t="n"/>
      <c r="Y178" s="91" t="n"/>
      <c r="Z178" s="91" t="n"/>
      <c r="AA178" s="91" t="n"/>
      <c r="AB178" s="91" t="n"/>
      <c r="AC178" s="91" t="n"/>
      <c r="AD178" s="91" t="n"/>
      <c r="AE178" s="91" t="n"/>
      <c r="AF178" s="91" t="n"/>
      <c r="AG178" s="91" t="n"/>
    </row>
    <row r="179" ht="12.75" customHeight="1" s="117">
      <c r="A179" s="91" t="n"/>
      <c r="B179" s="91" t="n"/>
      <c r="C179" s="91" t="n"/>
      <c r="D179" s="91" t="n"/>
      <c r="E179" s="91" t="n"/>
      <c r="F179" s="91" t="n"/>
      <c r="G179" s="91" t="n"/>
      <c r="H179" s="91" t="n"/>
      <c r="I179" s="91" t="n"/>
      <c r="J179" s="91" t="n"/>
      <c r="K179" s="91" t="n"/>
      <c r="L179" s="91" t="n"/>
      <c r="M179" s="91" t="n"/>
      <c r="N179" s="91" t="n"/>
      <c r="O179" s="91" t="n"/>
      <c r="P179" s="91" t="n"/>
      <c r="Q179" s="91" t="n"/>
      <c r="R179" s="91" t="n"/>
      <c r="S179" s="91" t="n"/>
      <c r="T179" s="91" t="n"/>
      <c r="U179" s="91" t="n"/>
      <c r="V179" s="91" t="n"/>
      <c r="W179" s="91" t="n"/>
      <c r="X179" s="91" t="n"/>
      <c r="Y179" s="91" t="n"/>
      <c r="Z179" s="91" t="n"/>
      <c r="AA179" s="91" t="n"/>
      <c r="AB179" s="91" t="n"/>
      <c r="AC179" s="91" t="n"/>
      <c r="AD179" s="91" t="n"/>
      <c r="AE179" s="91" t="n"/>
      <c r="AF179" s="91" t="n"/>
      <c r="AG179" s="91" t="n"/>
    </row>
    <row r="180" ht="12.75" customHeight="1" s="117">
      <c r="A180" s="91" t="n"/>
      <c r="B180" s="91" t="n"/>
      <c r="C180" s="91" t="n"/>
      <c r="D180" s="91" t="n"/>
      <c r="E180" s="91" t="n"/>
      <c r="F180" s="91" t="n"/>
      <c r="G180" s="91" t="n"/>
      <c r="H180" s="91" t="n"/>
      <c r="I180" s="91" t="n"/>
      <c r="J180" s="91" t="n"/>
      <c r="K180" s="91" t="n"/>
      <c r="L180" s="91" t="n"/>
      <c r="M180" s="91" t="n"/>
      <c r="N180" s="91" t="n"/>
      <c r="O180" s="91" t="n"/>
      <c r="P180" s="91" t="n"/>
      <c r="Q180" s="91" t="n"/>
      <c r="R180" s="91" t="n"/>
      <c r="S180" s="91" t="n"/>
      <c r="T180" s="91" t="n"/>
      <c r="U180" s="91" t="n"/>
      <c r="V180" s="91" t="n"/>
      <c r="W180" s="91" t="n"/>
      <c r="X180" s="91" t="n"/>
      <c r="Y180" s="91" t="n"/>
      <c r="Z180" s="91" t="n"/>
      <c r="AA180" s="91" t="n"/>
      <c r="AB180" s="91" t="n"/>
      <c r="AC180" s="91" t="n"/>
      <c r="AD180" s="91" t="n"/>
      <c r="AE180" s="91" t="n"/>
      <c r="AF180" s="91" t="n"/>
      <c r="AG180" s="91" t="n"/>
    </row>
    <row r="181" ht="12.75" customHeight="1" s="117">
      <c r="A181" s="91" t="n"/>
      <c r="B181" s="91" t="n"/>
      <c r="C181" s="91" t="n"/>
      <c r="D181" s="91" t="n"/>
      <c r="E181" s="91" t="n"/>
      <c r="F181" s="91" t="n"/>
      <c r="G181" s="91" t="n"/>
      <c r="H181" s="91" t="n"/>
      <c r="I181" s="91" t="n"/>
      <c r="J181" s="91" t="n"/>
      <c r="K181" s="91" t="n"/>
      <c r="L181" s="91" t="n"/>
      <c r="M181" s="91" t="n"/>
      <c r="N181" s="91" t="n"/>
      <c r="O181" s="91" t="n"/>
      <c r="P181" s="91" t="n"/>
      <c r="Q181" s="91" t="n"/>
      <c r="R181" s="91" t="n"/>
      <c r="S181" s="91" t="n"/>
      <c r="T181" s="91" t="n"/>
      <c r="U181" s="91" t="n"/>
      <c r="V181" s="91" t="n"/>
      <c r="W181" s="91" t="n"/>
      <c r="X181" s="91" t="n"/>
      <c r="Y181" s="91" t="n"/>
      <c r="Z181" s="91" t="n"/>
      <c r="AA181" s="91" t="n"/>
      <c r="AB181" s="91" t="n"/>
      <c r="AC181" s="91" t="n"/>
      <c r="AD181" s="91" t="n"/>
      <c r="AE181" s="91" t="n"/>
      <c r="AF181" s="91" t="n"/>
      <c r="AG181" s="91" t="n"/>
    </row>
    <row r="182" ht="12.75" customHeight="1" s="117">
      <c r="A182" s="91" t="n"/>
      <c r="B182" s="91" t="n"/>
      <c r="C182" s="91" t="n"/>
      <c r="D182" s="91" t="n"/>
      <c r="E182" s="91" t="n"/>
      <c r="F182" s="91" t="n"/>
      <c r="G182" s="91" t="n"/>
      <c r="H182" s="91" t="n"/>
      <c r="I182" s="91" t="n"/>
      <c r="J182" s="91" t="n"/>
      <c r="K182" s="91" t="n"/>
      <c r="L182" s="91" t="n"/>
      <c r="M182" s="91" t="n"/>
      <c r="N182" s="91" t="n"/>
      <c r="O182" s="91" t="n"/>
      <c r="P182" s="91" t="n"/>
      <c r="Q182" s="91" t="n"/>
      <c r="R182" s="91" t="n"/>
      <c r="S182" s="91" t="n"/>
      <c r="T182" s="91" t="n"/>
      <c r="U182" s="91" t="n"/>
      <c r="V182" s="91" t="n"/>
      <c r="W182" s="91" t="n"/>
      <c r="X182" s="91" t="n"/>
      <c r="Y182" s="91" t="n"/>
      <c r="Z182" s="91" t="n"/>
      <c r="AA182" s="91" t="n"/>
      <c r="AB182" s="91" t="n"/>
      <c r="AC182" s="91" t="n"/>
      <c r="AD182" s="91" t="n"/>
      <c r="AE182" s="91" t="n"/>
      <c r="AF182" s="91" t="n"/>
      <c r="AG182" s="91" t="n"/>
    </row>
    <row r="183" ht="12.75" customHeight="1" s="117">
      <c r="A183" s="91" t="n"/>
      <c r="B183" s="91" t="n"/>
      <c r="C183" s="91" t="n"/>
      <c r="D183" s="91" t="n"/>
      <c r="E183" s="91" t="n"/>
      <c r="F183" s="91" t="n"/>
      <c r="G183" s="91" t="n"/>
      <c r="H183" s="91" t="n"/>
      <c r="I183" s="91" t="n"/>
      <c r="J183" s="91" t="n"/>
      <c r="K183" s="91" t="n"/>
      <c r="L183" s="91" t="n"/>
      <c r="M183" s="91" t="n"/>
      <c r="N183" s="91" t="n"/>
      <c r="O183" s="91" t="n"/>
      <c r="P183" s="91" t="n"/>
      <c r="Q183" s="91" t="n"/>
      <c r="R183" s="91" t="n"/>
      <c r="S183" s="91" t="n"/>
      <c r="T183" s="91" t="n"/>
      <c r="U183" s="91" t="n"/>
      <c r="V183" s="91" t="n"/>
      <c r="W183" s="91" t="n"/>
      <c r="X183" s="91" t="n"/>
      <c r="Y183" s="91" t="n"/>
      <c r="Z183" s="91" t="n"/>
      <c r="AA183" s="91" t="n"/>
      <c r="AB183" s="91" t="n"/>
      <c r="AC183" s="91" t="n"/>
      <c r="AD183" s="91" t="n"/>
      <c r="AE183" s="91" t="n"/>
      <c r="AF183" s="91" t="n"/>
      <c r="AG183" s="91" t="n"/>
    </row>
    <row r="184" ht="12.75" customHeight="1" s="117">
      <c r="A184" s="91" t="n"/>
      <c r="B184" s="91" t="n"/>
      <c r="C184" s="91" t="n"/>
      <c r="D184" s="91" t="n"/>
      <c r="E184" s="91" t="n"/>
      <c r="F184" s="91" t="n"/>
      <c r="G184" s="91" t="n"/>
      <c r="H184" s="91" t="n"/>
      <c r="I184" s="91" t="n"/>
      <c r="J184" s="91" t="n"/>
      <c r="K184" s="91" t="n"/>
      <c r="L184" s="91" t="n"/>
      <c r="M184" s="91" t="n"/>
      <c r="N184" s="91" t="n"/>
      <c r="O184" s="91" t="n"/>
      <c r="P184" s="91" t="n"/>
      <c r="Q184" s="91" t="n"/>
      <c r="R184" s="91" t="n"/>
      <c r="S184" s="91" t="n"/>
      <c r="T184" s="91" t="n"/>
      <c r="U184" s="91" t="n"/>
      <c r="V184" s="91" t="n"/>
      <c r="W184" s="91" t="n"/>
      <c r="X184" s="91" t="n"/>
      <c r="Y184" s="91" t="n"/>
      <c r="Z184" s="91" t="n"/>
      <c r="AA184" s="91" t="n"/>
      <c r="AB184" s="91" t="n"/>
      <c r="AC184" s="91" t="n"/>
      <c r="AD184" s="91" t="n"/>
      <c r="AE184" s="91" t="n"/>
      <c r="AF184" s="91" t="n"/>
      <c r="AG184" s="91" t="n"/>
    </row>
    <row r="185" ht="12.75" customHeight="1" s="117">
      <c r="A185" s="91" t="n"/>
      <c r="B185" s="91" t="n"/>
      <c r="C185" s="91" t="n"/>
      <c r="D185" s="91" t="n"/>
      <c r="E185" s="91" t="n"/>
      <c r="F185" s="91" t="n"/>
      <c r="G185" s="91" t="n"/>
      <c r="H185" s="91" t="n"/>
      <c r="I185" s="91" t="n"/>
      <c r="J185" s="91" t="n"/>
      <c r="K185" s="91" t="n"/>
      <c r="L185" s="91" t="n"/>
      <c r="M185" s="91" t="n"/>
      <c r="N185" s="91" t="n"/>
      <c r="O185" s="91" t="n"/>
      <c r="P185" s="91" t="n"/>
      <c r="Q185" s="91" t="n"/>
      <c r="R185" s="91" t="n"/>
      <c r="S185" s="91" t="n"/>
      <c r="T185" s="91" t="n"/>
      <c r="U185" s="91" t="n"/>
      <c r="V185" s="91" t="n"/>
      <c r="W185" s="91" t="n"/>
      <c r="X185" s="91" t="n"/>
      <c r="Y185" s="91" t="n"/>
      <c r="Z185" s="91" t="n"/>
      <c r="AA185" s="91" t="n"/>
      <c r="AB185" s="91" t="n"/>
      <c r="AC185" s="91" t="n"/>
      <c r="AD185" s="91" t="n"/>
      <c r="AE185" s="91" t="n"/>
      <c r="AF185" s="91" t="n"/>
      <c r="AG185" s="91" t="n"/>
    </row>
    <row r="186" ht="12.75" customHeight="1" s="117">
      <c r="A186" s="91" t="n"/>
      <c r="B186" s="91" t="n"/>
      <c r="C186" s="91" t="n"/>
      <c r="D186" s="91" t="n"/>
      <c r="E186" s="91" t="n"/>
      <c r="F186" s="91" t="n"/>
      <c r="G186" s="91" t="n"/>
      <c r="H186" s="91" t="n"/>
      <c r="I186" s="91" t="n"/>
      <c r="J186" s="91" t="n"/>
      <c r="K186" s="91" t="n"/>
      <c r="L186" s="91" t="n"/>
      <c r="M186" s="91" t="n"/>
      <c r="N186" s="91" t="n"/>
      <c r="O186" s="91" t="n"/>
      <c r="P186" s="91" t="n"/>
      <c r="Q186" s="91" t="n"/>
      <c r="R186" s="91" t="n"/>
      <c r="S186" s="91" t="n"/>
      <c r="T186" s="91" t="n"/>
      <c r="U186" s="91" t="n"/>
      <c r="V186" s="91" t="n"/>
      <c r="W186" s="91" t="n"/>
      <c r="X186" s="91" t="n"/>
      <c r="Y186" s="91" t="n"/>
      <c r="Z186" s="91" t="n"/>
      <c r="AA186" s="91" t="n"/>
      <c r="AB186" s="91" t="n"/>
      <c r="AC186" s="91" t="n"/>
      <c r="AD186" s="91" t="n"/>
      <c r="AE186" s="91" t="n"/>
      <c r="AF186" s="91" t="n"/>
      <c r="AG186" s="91" t="n"/>
    </row>
    <row r="187" ht="12.75" customHeight="1" s="117">
      <c r="A187" s="91" t="n"/>
      <c r="B187" s="91" t="n"/>
      <c r="C187" s="91" t="n"/>
      <c r="D187" s="91" t="n"/>
      <c r="E187" s="91" t="n"/>
      <c r="F187" s="91" t="n"/>
      <c r="G187" s="91" t="n"/>
      <c r="H187" s="91" t="n"/>
      <c r="I187" s="91" t="n"/>
      <c r="J187" s="91" t="n"/>
      <c r="K187" s="91" t="n"/>
      <c r="L187" s="91" t="n"/>
      <c r="M187" s="91" t="n"/>
      <c r="N187" s="91" t="n"/>
      <c r="O187" s="91" t="n"/>
      <c r="P187" s="91" t="n"/>
      <c r="Q187" s="91" t="n"/>
      <c r="R187" s="91" t="n"/>
      <c r="S187" s="91" t="n"/>
      <c r="T187" s="91" t="n"/>
      <c r="U187" s="91" t="n"/>
      <c r="V187" s="91" t="n"/>
      <c r="W187" s="91" t="n"/>
      <c r="X187" s="91" t="n"/>
      <c r="Y187" s="91" t="n"/>
      <c r="Z187" s="91" t="n"/>
      <c r="AA187" s="91" t="n"/>
      <c r="AB187" s="91" t="n"/>
      <c r="AC187" s="91" t="n"/>
      <c r="AD187" s="91" t="n"/>
      <c r="AE187" s="91" t="n"/>
      <c r="AF187" s="91" t="n"/>
      <c r="AG187" s="91" t="n"/>
    </row>
    <row r="188" ht="12.75" customHeight="1" s="117">
      <c r="A188" s="91" t="n"/>
      <c r="B188" s="91" t="n"/>
      <c r="C188" s="91" t="n"/>
      <c r="D188" s="91" t="n"/>
      <c r="E188" s="91" t="n"/>
      <c r="F188" s="91" t="n"/>
      <c r="G188" s="91" t="n"/>
      <c r="H188" s="91" t="n"/>
      <c r="I188" s="91" t="n"/>
      <c r="J188" s="91" t="n"/>
      <c r="K188" s="91" t="n"/>
      <c r="L188" s="91" t="n"/>
      <c r="M188" s="91" t="n"/>
      <c r="N188" s="91" t="n"/>
      <c r="O188" s="91" t="n"/>
      <c r="P188" s="91" t="n"/>
      <c r="Q188" s="91" t="n"/>
      <c r="R188" s="91" t="n"/>
      <c r="S188" s="91" t="n"/>
      <c r="T188" s="91" t="n"/>
      <c r="U188" s="91" t="n"/>
      <c r="V188" s="91" t="n"/>
      <c r="W188" s="91" t="n"/>
      <c r="X188" s="91" t="n"/>
      <c r="Y188" s="91" t="n"/>
      <c r="Z188" s="91" t="n"/>
      <c r="AA188" s="91" t="n"/>
      <c r="AB188" s="91" t="n"/>
      <c r="AC188" s="91" t="n"/>
      <c r="AD188" s="91" t="n"/>
      <c r="AE188" s="91" t="n"/>
      <c r="AF188" s="91" t="n"/>
      <c r="AG188" s="91" t="n"/>
    </row>
    <row r="189" ht="12.75" customHeight="1" s="117">
      <c r="A189" s="91" t="n"/>
      <c r="B189" s="91" t="n"/>
      <c r="C189" s="91" t="n"/>
      <c r="D189" s="91" t="n"/>
      <c r="E189" s="91" t="n"/>
      <c r="F189" s="91" t="n"/>
      <c r="G189" s="91" t="n"/>
      <c r="H189" s="91" t="n"/>
      <c r="I189" s="91" t="n"/>
      <c r="J189" s="91" t="n"/>
      <c r="K189" s="91" t="n"/>
      <c r="L189" s="91" t="n"/>
      <c r="M189" s="91" t="n"/>
      <c r="N189" s="91" t="n"/>
      <c r="O189" s="91" t="n"/>
      <c r="P189" s="91" t="n"/>
      <c r="Q189" s="91" t="n"/>
      <c r="R189" s="91" t="n"/>
      <c r="S189" s="91" t="n"/>
      <c r="T189" s="91" t="n"/>
      <c r="U189" s="91" t="n"/>
      <c r="V189" s="91" t="n"/>
      <c r="W189" s="91" t="n"/>
      <c r="X189" s="91" t="n"/>
      <c r="Y189" s="91" t="n"/>
      <c r="Z189" s="91" t="n"/>
      <c r="AA189" s="91" t="n"/>
      <c r="AB189" s="91" t="n"/>
      <c r="AC189" s="91" t="n"/>
      <c r="AD189" s="91" t="n"/>
      <c r="AE189" s="91" t="n"/>
      <c r="AF189" s="91" t="n"/>
      <c r="AG189" s="91" t="n"/>
    </row>
    <row r="190" ht="12.75" customHeight="1" s="117">
      <c r="A190" s="91" t="n"/>
      <c r="B190" s="91" t="n"/>
      <c r="C190" s="91" t="n"/>
      <c r="D190" s="91" t="n"/>
      <c r="E190" s="91" t="n"/>
      <c r="F190" s="91" t="n"/>
      <c r="G190" s="91" t="n"/>
      <c r="H190" s="91" t="n"/>
      <c r="I190" s="91" t="n"/>
      <c r="J190" s="91" t="n"/>
      <c r="K190" s="91" t="n"/>
      <c r="L190" s="91" t="n"/>
      <c r="M190" s="91" t="n"/>
      <c r="N190" s="91" t="n"/>
      <c r="O190" s="91" t="n"/>
      <c r="P190" s="91" t="n"/>
      <c r="Q190" s="91" t="n"/>
      <c r="R190" s="91" t="n"/>
      <c r="S190" s="91" t="n"/>
      <c r="T190" s="91" t="n"/>
      <c r="U190" s="91" t="n"/>
      <c r="V190" s="91" t="n"/>
      <c r="W190" s="91" t="n"/>
      <c r="X190" s="91" t="n"/>
      <c r="Y190" s="91" t="n"/>
      <c r="Z190" s="91" t="n"/>
      <c r="AA190" s="91" t="n"/>
      <c r="AB190" s="91" t="n"/>
      <c r="AC190" s="91" t="n"/>
      <c r="AD190" s="91" t="n"/>
      <c r="AE190" s="91" t="n"/>
      <c r="AF190" s="91" t="n"/>
      <c r="AG190" s="91" t="n"/>
    </row>
    <row r="191" ht="12.75" customHeight="1" s="117">
      <c r="A191" s="91" t="n"/>
      <c r="B191" s="91" t="n"/>
      <c r="C191" s="91" t="n"/>
      <c r="D191" s="91" t="n"/>
      <c r="E191" s="91" t="n"/>
      <c r="F191" s="91" t="n"/>
      <c r="G191" s="91" t="n"/>
      <c r="H191" s="91" t="n"/>
      <c r="I191" s="91" t="n"/>
      <c r="J191" s="91" t="n"/>
      <c r="K191" s="91" t="n"/>
      <c r="L191" s="91" t="n"/>
      <c r="M191" s="91" t="n"/>
      <c r="N191" s="91" t="n"/>
      <c r="O191" s="91" t="n"/>
      <c r="P191" s="91" t="n"/>
      <c r="Q191" s="91" t="n"/>
      <c r="R191" s="91" t="n"/>
      <c r="S191" s="91" t="n"/>
      <c r="T191" s="91" t="n"/>
      <c r="U191" s="91" t="n"/>
      <c r="V191" s="91" t="n"/>
      <c r="W191" s="91" t="n"/>
      <c r="X191" s="91" t="n"/>
      <c r="Y191" s="91" t="n"/>
      <c r="Z191" s="91" t="n"/>
      <c r="AA191" s="91" t="n"/>
      <c r="AB191" s="91" t="n"/>
      <c r="AC191" s="91" t="n"/>
      <c r="AD191" s="91" t="n"/>
      <c r="AE191" s="91" t="n"/>
      <c r="AF191" s="91" t="n"/>
      <c r="AG191" s="91" t="n"/>
    </row>
    <row r="192" ht="12.75" customHeight="1" s="117">
      <c r="A192" s="91" t="n"/>
      <c r="B192" s="91" t="n"/>
      <c r="C192" s="91" t="n"/>
      <c r="D192" s="91" t="n"/>
      <c r="E192" s="91" t="n"/>
      <c r="F192" s="91" t="n"/>
      <c r="G192" s="91" t="n"/>
      <c r="H192" s="91" t="n"/>
      <c r="I192" s="91" t="n"/>
      <c r="J192" s="91" t="n"/>
      <c r="K192" s="91" t="n"/>
      <c r="L192" s="91" t="n"/>
      <c r="M192" s="91" t="n"/>
      <c r="N192" s="91" t="n"/>
      <c r="O192" s="91" t="n"/>
      <c r="P192" s="91" t="n"/>
      <c r="Q192" s="91" t="n"/>
      <c r="R192" s="91" t="n"/>
      <c r="S192" s="91" t="n"/>
      <c r="T192" s="91" t="n"/>
      <c r="U192" s="91" t="n"/>
      <c r="V192" s="91" t="n"/>
      <c r="W192" s="91" t="n"/>
      <c r="X192" s="91" t="n"/>
      <c r="Y192" s="91" t="n"/>
      <c r="Z192" s="91" t="n"/>
      <c r="AA192" s="91" t="n"/>
      <c r="AB192" s="91" t="n"/>
      <c r="AC192" s="91" t="n"/>
      <c r="AD192" s="91" t="n"/>
      <c r="AE192" s="91" t="n"/>
      <c r="AF192" s="91" t="n"/>
      <c r="AG192" s="91" t="n"/>
    </row>
    <row r="193" ht="12.75" customHeight="1" s="117">
      <c r="A193" s="91" t="n"/>
      <c r="B193" s="91" t="n"/>
      <c r="C193" s="91" t="n"/>
      <c r="D193" s="91" t="n"/>
      <c r="E193" s="91" t="n"/>
      <c r="F193" s="91" t="n"/>
      <c r="G193" s="91" t="n"/>
      <c r="H193" s="91" t="n"/>
      <c r="I193" s="91" t="n"/>
      <c r="J193" s="91" t="n"/>
      <c r="K193" s="91" t="n"/>
      <c r="L193" s="91" t="n"/>
      <c r="M193" s="91" t="n"/>
      <c r="N193" s="91" t="n"/>
      <c r="O193" s="91" t="n"/>
      <c r="P193" s="91" t="n"/>
      <c r="Q193" s="91" t="n"/>
      <c r="R193" s="91" t="n"/>
      <c r="S193" s="91" t="n"/>
      <c r="T193" s="91" t="n"/>
      <c r="U193" s="91" t="n"/>
      <c r="V193" s="91" t="n"/>
      <c r="W193" s="91" t="n"/>
      <c r="X193" s="91" t="n"/>
      <c r="Y193" s="91" t="n"/>
      <c r="Z193" s="91" t="n"/>
      <c r="AA193" s="91" t="n"/>
      <c r="AB193" s="91" t="n"/>
      <c r="AC193" s="91" t="n"/>
      <c r="AD193" s="91" t="n"/>
      <c r="AE193" s="91" t="n"/>
      <c r="AF193" s="91" t="n"/>
      <c r="AG193" s="91" t="n"/>
    </row>
    <row r="194" ht="12.75" customHeight="1" s="117">
      <c r="A194" s="91" t="n"/>
      <c r="B194" s="91" t="n"/>
      <c r="C194" s="91" t="n"/>
      <c r="D194" s="91" t="n"/>
      <c r="E194" s="91" t="n"/>
      <c r="F194" s="91" t="n"/>
      <c r="G194" s="91" t="n"/>
      <c r="H194" s="91" t="n"/>
      <c r="I194" s="91" t="n"/>
      <c r="J194" s="91" t="n"/>
      <c r="K194" s="91" t="n"/>
      <c r="L194" s="91" t="n"/>
      <c r="M194" s="91" t="n"/>
      <c r="N194" s="91" t="n"/>
      <c r="O194" s="91" t="n"/>
      <c r="P194" s="91" t="n"/>
      <c r="Q194" s="91" t="n"/>
      <c r="R194" s="91" t="n"/>
      <c r="S194" s="91" t="n"/>
      <c r="T194" s="91" t="n"/>
      <c r="U194" s="91" t="n"/>
      <c r="V194" s="91" t="n"/>
      <c r="W194" s="91" t="n"/>
      <c r="X194" s="91" t="n"/>
      <c r="Y194" s="91" t="n"/>
      <c r="Z194" s="91" t="n"/>
      <c r="AA194" s="91" t="n"/>
      <c r="AB194" s="91" t="n"/>
      <c r="AC194" s="91" t="n"/>
      <c r="AD194" s="91" t="n"/>
      <c r="AE194" s="91" t="n"/>
      <c r="AF194" s="91" t="n"/>
      <c r="AG194" s="91" t="n"/>
    </row>
    <row r="195" ht="12.75" customHeight="1" s="117">
      <c r="A195" s="91" t="n"/>
      <c r="B195" s="91" t="n"/>
      <c r="C195" s="91" t="n"/>
      <c r="D195" s="91" t="n"/>
      <c r="E195" s="91" t="n"/>
      <c r="F195" s="91" t="n"/>
      <c r="G195" s="91" t="n"/>
      <c r="H195" s="91" t="n"/>
      <c r="I195" s="91" t="n"/>
      <c r="J195" s="91" t="n"/>
      <c r="K195" s="91" t="n"/>
      <c r="L195" s="91" t="n"/>
      <c r="M195" s="91" t="n"/>
      <c r="N195" s="91" t="n"/>
      <c r="O195" s="91" t="n"/>
      <c r="P195" s="91" t="n"/>
      <c r="Q195" s="91" t="n"/>
      <c r="R195" s="91" t="n"/>
      <c r="S195" s="91" t="n"/>
      <c r="T195" s="91" t="n"/>
      <c r="U195" s="91" t="n"/>
      <c r="V195" s="91" t="n"/>
      <c r="W195" s="91" t="n"/>
      <c r="X195" s="91" t="n"/>
      <c r="Y195" s="91" t="n"/>
      <c r="Z195" s="91" t="n"/>
      <c r="AA195" s="91" t="n"/>
      <c r="AB195" s="91" t="n"/>
      <c r="AC195" s="91" t="n"/>
      <c r="AD195" s="91" t="n"/>
      <c r="AE195" s="91" t="n"/>
      <c r="AF195" s="91" t="n"/>
      <c r="AG195" s="91" t="n"/>
    </row>
    <row r="196" ht="12.75" customHeight="1" s="117">
      <c r="A196" s="91" t="n"/>
      <c r="B196" s="91" t="n"/>
      <c r="C196" s="91" t="n"/>
      <c r="D196" s="91" t="n"/>
      <c r="E196" s="91" t="n"/>
      <c r="F196" s="91" t="n"/>
      <c r="G196" s="91" t="n"/>
      <c r="H196" s="91" t="n"/>
      <c r="I196" s="91" t="n"/>
      <c r="J196" s="91" t="n"/>
      <c r="K196" s="91" t="n"/>
      <c r="L196" s="91" t="n"/>
      <c r="M196" s="91" t="n"/>
      <c r="N196" s="91" t="n"/>
      <c r="O196" s="91" t="n"/>
      <c r="P196" s="91" t="n"/>
      <c r="Q196" s="91" t="n"/>
      <c r="R196" s="91" t="n"/>
      <c r="S196" s="91" t="n"/>
      <c r="T196" s="91" t="n"/>
      <c r="U196" s="91" t="n"/>
      <c r="V196" s="91" t="n"/>
      <c r="W196" s="91" t="n"/>
      <c r="X196" s="91" t="n"/>
      <c r="Y196" s="91" t="n"/>
      <c r="Z196" s="91" t="n"/>
      <c r="AA196" s="91" t="n"/>
      <c r="AB196" s="91" t="n"/>
      <c r="AC196" s="91" t="n"/>
      <c r="AD196" s="91" t="n"/>
      <c r="AE196" s="91" t="n"/>
      <c r="AF196" s="91" t="n"/>
      <c r="AG196" s="91" t="n"/>
    </row>
    <row r="197" ht="12.75" customHeight="1" s="117">
      <c r="A197" s="91" t="n"/>
      <c r="B197" s="91" t="n"/>
      <c r="C197" s="91" t="n"/>
      <c r="D197" s="91" t="n"/>
      <c r="E197" s="91" t="n"/>
      <c r="F197" s="91" t="n"/>
      <c r="G197" s="91" t="n"/>
      <c r="H197" s="91" t="n"/>
      <c r="I197" s="91" t="n"/>
      <c r="J197" s="91" t="n"/>
      <c r="K197" s="91" t="n"/>
      <c r="L197" s="91" t="n"/>
      <c r="M197" s="91" t="n"/>
      <c r="N197" s="91" t="n"/>
      <c r="O197" s="91" t="n"/>
      <c r="P197" s="91" t="n"/>
      <c r="Q197" s="91" t="n"/>
      <c r="R197" s="91" t="n"/>
      <c r="S197" s="91" t="n"/>
      <c r="T197" s="91" t="n"/>
      <c r="U197" s="91" t="n"/>
      <c r="V197" s="91" t="n"/>
      <c r="W197" s="91" t="n"/>
      <c r="X197" s="91" t="n"/>
      <c r="Y197" s="91" t="n"/>
      <c r="Z197" s="91" t="n"/>
      <c r="AA197" s="91" t="n"/>
      <c r="AB197" s="91" t="n"/>
      <c r="AC197" s="91" t="n"/>
      <c r="AD197" s="91" t="n"/>
      <c r="AE197" s="91" t="n"/>
      <c r="AF197" s="91" t="n"/>
      <c r="AG197" s="91" t="n"/>
    </row>
    <row r="198" ht="12.75" customHeight="1" s="117">
      <c r="A198" s="91" t="n"/>
      <c r="B198" s="91" t="n"/>
      <c r="C198" s="91" t="n"/>
      <c r="D198" s="91" t="n"/>
      <c r="E198" s="91" t="n"/>
      <c r="F198" s="91" t="n"/>
      <c r="G198" s="91" t="n"/>
      <c r="H198" s="91" t="n"/>
      <c r="I198" s="91" t="n"/>
      <c r="J198" s="91" t="n"/>
      <c r="K198" s="91" t="n"/>
      <c r="L198" s="91" t="n"/>
      <c r="M198" s="91" t="n"/>
      <c r="N198" s="91" t="n"/>
      <c r="O198" s="91" t="n"/>
      <c r="P198" s="91" t="n"/>
      <c r="Q198" s="91" t="n"/>
      <c r="R198" s="91" t="n"/>
      <c r="S198" s="91" t="n"/>
      <c r="T198" s="91" t="n"/>
      <c r="U198" s="91" t="n"/>
      <c r="V198" s="91" t="n"/>
      <c r="W198" s="91" t="n"/>
      <c r="X198" s="91" t="n"/>
      <c r="Y198" s="91" t="n"/>
      <c r="Z198" s="91" t="n"/>
      <c r="AA198" s="91" t="n"/>
      <c r="AB198" s="91" t="n"/>
      <c r="AC198" s="91" t="n"/>
      <c r="AD198" s="91" t="n"/>
      <c r="AE198" s="91" t="n"/>
      <c r="AF198" s="91" t="n"/>
      <c r="AG198" s="91" t="n"/>
    </row>
    <row r="199" ht="12.75" customHeight="1" s="117">
      <c r="A199" s="91" t="n"/>
      <c r="B199" s="91" t="n"/>
      <c r="C199" s="91" t="n"/>
      <c r="D199" s="91" t="n"/>
      <c r="E199" s="91" t="n"/>
      <c r="F199" s="91" t="n"/>
      <c r="G199" s="91" t="n"/>
      <c r="H199" s="91" t="n"/>
      <c r="I199" s="91" t="n"/>
      <c r="J199" s="91" t="n"/>
      <c r="K199" s="91" t="n"/>
      <c r="L199" s="91" t="n"/>
      <c r="M199" s="91" t="n"/>
      <c r="N199" s="91" t="n"/>
      <c r="O199" s="91" t="n"/>
      <c r="P199" s="91" t="n"/>
      <c r="Q199" s="91" t="n"/>
      <c r="R199" s="91" t="n"/>
      <c r="S199" s="91" t="n"/>
      <c r="T199" s="91" t="n"/>
      <c r="U199" s="91" t="n"/>
      <c r="V199" s="91" t="n"/>
      <c r="W199" s="91" t="n"/>
      <c r="X199" s="91" t="n"/>
      <c r="Y199" s="91" t="n"/>
      <c r="Z199" s="91" t="n"/>
      <c r="AA199" s="91" t="n"/>
      <c r="AB199" s="91" t="n"/>
      <c r="AC199" s="91" t="n"/>
      <c r="AD199" s="91" t="n"/>
      <c r="AE199" s="91" t="n"/>
      <c r="AF199" s="91" t="n"/>
      <c r="AG199" s="91" t="n"/>
    </row>
    <row r="200" ht="12.75" customHeight="1" s="117">
      <c r="A200" s="91" t="n"/>
      <c r="B200" s="91" t="n"/>
      <c r="C200" s="91" t="n"/>
      <c r="D200" s="91" t="n"/>
      <c r="E200" s="91" t="n"/>
      <c r="F200" s="91" t="n"/>
      <c r="G200" s="91" t="n"/>
      <c r="H200" s="91" t="n"/>
      <c r="I200" s="91" t="n"/>
      <c r="J200" s="91" t="n"/>
      <c r="K200" s="91" t="n"/>
      <c r="L200" s="91" t="n"/>
      <c r="M200" s="91" t="n"/>
      <c r="N200" s="91" t="n"/>
      <c r="O200" s="91" t="n"/>
      <c r="P200" s="91" t="n"/>
      <c r="Q200" s="91" t="n"/>
      <c r="R200" s="91" t="n"/>
      <c r="S200" s="91" t="n"/>
      <c r="T200" s="91" t="n"/>
      <c r="U200" s="91" t="n"/>
      <c r="V200" s="91" t="n"/>
      <c r="W200" s="91" t="n"/>
      <c r="X200" s="91" t="n"/>
      <c r="Y200" s="91" t="n"/>
      <c r="Z200" s="91" t="n"/>
      <c r="AA200" s="91" t="n"/>
      <c r="AB200" s="91" t="n"/>
      <c r="AC200" s="91" t="n"/>
      <c r="AD200" s="91" t="n"/>
      <c r="AE200" s="91" t="n"/>
      <c r="AF200" s="91" t="n"/>
      <c r="AG200" s="91" t="n"/>
    </row>
    <row r="201" ht="12.75" customHeight="1" s="117">
      <c r="A201" s="91" t="n"/>
      <c r="B201" s="91" t="n"/>
      <c r="C201" s="91" t="n"/>
      <c r="D201" s="91" t="n"/>
      <c r="E201" s="91" t="n"/>
      <c r="F201" s="91" t="n"/>
      <c r="G201" s="91" t="n"/>
      <c r="H201" s="91" t="n"/>
      <c r="I201" s="91" t="n"/>
      <c r="J201" s="91" t="n"/>
      <c r="K201" s="91" t="n"/>
      <c r="L201" s="91" t="n"/>
      <c r="M201" s="91" t="n"/>
      <c r="N201" s="91" t="n"/>
      <c r="O201" s="91" t="n"/>
      <c r="P201" s="91" t="n"/>
      <c r="Q201" s="91" t="n"/>
      <c r="R201" s="91" t="n"/>
      <c r="S201" s="91" t="n"/>
      <c r="T201" s="91" t="n"/>
      <c r="U201" s="91" t="n"/>
      <c r="V201" s="91" t="n"/>
      <c r="W201" s="91" t="n"/>
      <c r="X201" s="91" t="n"/>
      <c r="Y201" s="91" t="n"/>
      <c r="Z201" s="91" t="n"/>
      <c r="AA201" s="91" t="n"/>
      <c r="AB201" s="91" t="n"/>
      <c r="AC201" s="91" t="n"/>
      <c r="AD201" s="91" t="n"/>
      <c r="AE201" s="91" t="n"/>
      <c r="AF201" s="91" t="n"/>
      <c r="AG201" s="91" t="n"/>
    </row>
    <row r="202" ht="12.75" customHeight="1" s="117">
      <c r="A202" s="91" t="n"/>
      <c r="B202" s="91" t="n"/>
      <c r="C202" s="91" t="n"/>
      <c r="D202" s="91" t="n"/>
      <c r="E202" s="91" t="n"/>
      <c r="F202" s="91" t="n"/>
      <c r="G202" s="91" t="n"/>
      <c r="H202" s="91" t="n"/>
      <c r="I202" s="91" t="n"/>
      <c r="J202" s="91" t="n"/>
      <c r="K202" s="91" t="n"/>
      <c r="L202" s="91" t="n"/>
      <c r="M202" s="91" t="n"/>
      <c r="N202" s="91" t="n"/>
      <c r="O202" s="91" t="n"/>
      <c r="P202" s="91" t="n"/>
      <c r="Q202" s="91" t="n"/>
      <c r="R202" s="91" t="n"/>
      <c r="S202" s="91" t="n"/>
      <c r="T202" s="91" t="n"/>
      <c r="U202" s="91" t="n"/>
      <c r="V202" s="91" t="n"/>
      <c r="W202" s="91" t="n"/>
      <c r="X202" s="91" t="n"/>
      <c r="Y202" s="91" t="n"/>
      <c r="Z202" s="91" t="n"/>
      <c r="AA202" s="91" t="n"/>
      <c r="AB202" s="91" t="n"/>
      <c r="AC202" s="91" t="n"/>
      <c r="AD202" s="91" t="n"/>
      <c r="AE202" s="91" t="n"/>
      <c r="AF202" s="91" t="n"/>
      <c r="AG202" s="91" t="n"/>
    </row>
    <row r="203" ht="12.75" customHeight="1" s="117">
      <c r="A203" s="91" t="n"/>
      <c r="B203" s="91" t="n"/>
      <c r="C203" s="91" t="n"/>
      <c r="D203" s="91" t="n"/>
      <c r="E203" s="91" t="n"/>
      <c r="F203" s="91" t="n"/>
      <c r="G203" s="91" t="n"/>
      <c r="H203" s="91" t="n"/>
      <c r="I203" s="91" t="n"/>
      <c r="J203" s="91" t="n"/>
      <c r="K203" s="91" t="n"/>
      <c r="L203" s="91" t="n"/>
      <c r="M203" s="91" t="n"/>
      <c r="N203" s="91" t="n"/>
      <c r="O203" s="91" t="n"/>
      <c r="P203" s="91" t="n"/>
      <c r="Q203" s="91" t="n"/>
      <c r="R203" s="91" t="n"/>
      <c r="S203" s="91" t="n"/>
      <c r="T203" s="91" t="n"/>
      <c r="U203" s="91" t="n"/>
      <c r="V203" s="91" t="n"/>
      <c r="W203" s="91" t="n"/>
      <c r="X203" s="91" t="n"/>
      <c r="Y203" s="91" t="n"/>
      <c r="Z203" s="91" t="n"/>
      <c r="AA203" s="91" t="n"/>
      <c r="AB203" s="91" t="n"/>
      <c r="AC203" s="91" t="n"/>
      <c r="AD203" s="91" t="n"/>
      <c r="AE203" s="91" t="n"/>
      <c r="AF203" s="91" t="n"/>
      <c r="AG203" s="91" t="n"/>
    </row>
    <row r="204" ht="12.75" customHeight="1" s="117">
      <c r="A204" s="91" t="n"/>
      <c r="B204" s="91" t="n"/>
      <c r="C204" s="91" t="n"/>
      <c r="D204" s="91" t="n"/>
      <c r="E204" s="91" t="n"/>
      <c r="F204" s="91" t="n"/>
      <c r="G204" s="91" t="n"/>
      <c r="H204" s="91" t="n"/>
      <c r="I204" s="91" t="n"/>
      <c r="J204" s="91" t="n"/>
      <c r="K204" s="91" t="n"/>
      <c r="L204" s="91" t="n"/>
      <c r="M204" s="91" t="n"/>
      <c r="N204" s="91" t="n"/>
      <c r="O204" s="91" t="n"/>
      <c r="P204" s="91" t="n"/>
      <c r="Q204" s="91" t="n"/>
      <c r="R204" s="91" t="n"/>
      <c r="S204" s="91" t="n"/>
      <c r="T204" s="91" t="n"/>
      <c r="U204" s="91" t="n"/>
      <c r="V204" s="91" t="n"/>
      <c r="W204" s="91" t="n"/>
      <c r="X204" s="91" t="n"/>
      <c r="Y204" s="91" t="n"/>
      <c r="Z204" s="91" t="n"/>
      <c r="AA204" s="91" t="n"/>
      <c r="AB204" s="91" t="n"/>
      <c r="AC204" s="91" t="n"/>
      <c r="AD204" s="91" t="n"/>
      <c r="AE204" s="91" t="n"/>
      <c r="AF204" s="91" t="n"/>
      <c r="AG204" s="91" t="n"/>
    </row>
    <row r="205" ht="12.75" customHeight="1" s="117">
      <c r="A205" s="91" t="n"/>
      <c r="B205" s="91" t="n"/>
      <c r="C205" s="91" t="n"/>
      <c r="D205" s="91" t="n"/>
      <c r="E205" s="91" t="n"/>
      <c r="F205" s="91" t="n"/>
      <c r="G205" s="91" t="n"/>
      <c r="H205" s="91" t="n"/>
      <c r="I205" s="91" t="n"/>
      <c r="J205" s="91" t="n"/>
      <c r="K205" s="91" t="n"/>
      <c r="L205" s="91" t="n"/>
      <c r="M205" s="91" t="n"/>
      <c r="N205" s="91" t="n"/>
      <c r="O205" s="91" t="n"/>
      <c r="P205" s="91" t="n"/>
      <c r="Q205" s="91" t="n"/>
      <c r="R205" s="91" t="n"/>
      <c r="S205" s="91" t="n"/>
      <c r="T205" s="91" t="n"/>
      <c r="U205" s="91" t="n"/>
      <c r="V205" s="91" t="n"/>
      <c r="W205" s="91" t="n"/>
      <c r="X205" s="91" t="n"/>
      <c r="Y205" s="91" t="n"/>
      <c r="Z205" s="91" t="n"/>
      <c r="AA205" s="91" t="n"/>
      <c r="AB205" s="91" t="n"/>
      <c r="AC205" s="91" t="n"/>
      <c r="AD205" s="91" t="n"/>
      <c r="AE205" s="91" t="n"/>
      <c r="AF205" s="91" t="n"/>
      <c r="AG205" s="91" t="n"/>
    </row>
    <row r="206" ht="12.75" customHeight="1" s="117">
      <c r="A206" s="91" t="n"/>
      <c r="B206" s="91" t="n"/>
      <c r="C206" s="91" t="n"/>
      <c r="D206" s="91" t="n"/>
      <c r="E206" s="91" t="n"/>
      <c r="F206" s="91" t="n"/>
      <c r="G206" s="91" t="n"/>
      <c r="H206" s="91" t="n"/>
      <c r="I206" s="91" t="n"/>
      <c r="J206" s="91" t="n"/>
      <c r="K206" s="91" t="n"/>
      <c r="L206" s="91" t="n"/>
      <c r="M206" s="91" t="n"/>
      <c r="N206" s="91" t="n"/>
      <c r="O206" s="91" t="n"/>
      <c r="P206" s="91" t="n"/>
      <c r="Q206" s="91" t="n"/>
      <c r="R206" s="91" t="n"/>
      <c r="S206" s="91" t="n"/>
      <c r="T206" s="91" t="n"/>
      <c r="U206" s="91" t="n"/>
      <c r="V206" s="91" t="n"/>
      <c r="W206" s="91" t="n"/>
      <c r="X206" s="91" t="n"/>
      <c r="Y206" s="91" t="n"/>
      <c r="Z206" s="91" t="n"/>
      <c r="AA206" s="91" t="n"/>
      <c r="AB206" s="91" t="n"/>
      <c r="AC206" s="91" t="n"/>
      <c r="AD206" s="91" t="n"/>
      <c r="AE206" s="91" t="n"/>
      <c r="AF206" s="91" t="n"/>
      <c r="AG206" s="91" t="n"/>
    </row>
    <row r="207" ht="12.75" customHeight="1" s="117">
      <c r="A207" s="91" t="n"/>
      <c r="B207" s="91" t="n"/>
      <c r="C207" s="91" t="n"/>
      <c r="D207" s="91" t="n"/>
      <c r="E207" s="91" t="n"/>
      <c r="F207" s="91" t="n"/>
      <c r="G207" s="91" t="n"/>
      <c r="H207" s="91" t="n"/>
      <c r="I207" s="91" t="n"/>
      <c r="J207" s="91" t="n"/>
      <c r="K207" s="91" t="n"/>
      <c r="L207" s="91" t="n"/>
      <c r="M207" s="91" t="n"/>
      <c r="N207" s="91" t="n"/>
      <c r="O207" s="91" t="n"/>
      <c r="P207" s="91" t="n"/>
      <c r="Q207" s="91" t="n"/>
      <c r="R207" s="91" t="n"/>
      <c r="S207" s="91" t="n"/>
      <c r="T207" s="91" t="n"/>
      <c r="U207" s="91" t="n"/>
      <c r="V207" s="91" t="n"/>
      <c r="W207" s="91" t="n"/>
      <c r="X207" s="91" t="n"/>
      <c r="Y207" s="91" t="n"/>
      <c r="Z207" s="91" t="n"/>
      <c r="AA207" s="91" t="n"/>
      <c r="AB207" s="91" t="n"/>
      <c r="AC207" s="91" t="n"/>
      <c r="AD207" s="91" t="n"/>
      <c r="AE207" s="91" t="n"/>
      <c r="AF207" s="91" t="n"/>
      <c r="AG207" s="91" t="n"/>
    </row>
    <row r="208" ht="12.75" customHeight="1" s="117">
      <c r="A208" s="91" t="n"/>
      <c r="B208" s="91" t="n"/>
      <c r="C208" s="91" t="n"/>
      <c r="D208" s="91" t="n"/>
      <c r="E208" s="91" t="n"/>
      <c r="F208" s="91" t="n"/>
      <c r="G208" s="91" t="n"/>
      <c r="H208" s="91" t="n"/>
      <c r="I208" s="91" t="n"/>
      <c r="J208" s="91" t="n"/>
      <c r="K208" s="91" t="n"/>
      <c r="L208" s="91" t="n"/>
      <c r="M208" s="91" t="n"/>
      <c r="N208" s="91" t="n"/>
      <c r="O208" s="91" t="n"/>
      <c r="P208" s="91" t="n"/>
      <c r="Q208" s="91" t="n"/>
      <c r="R208" s="91" t="n"/>
      <c r="S208" s="91" t="n"/>
      <c r="T208" s="91" t="n"/>
      <c r="U208" s="91" t="n"/>
      <c r="V208" s="91" t="n"/>
      <c r="W208" s="91" t="n"/>
      <c r="X208" s="91" t="n"/>
      <c r="Y208" s="91" t="n"/>
      <c r="Z208" s="91" t="n"/>
      <c r="AA208" s="91" t="n"/>
      <c r="AB208" s="91" t="n"/>
      <c r="AC208" s="91" t="n"/>
      <c r="AD208" s="91" t="n"/>
      <c r="AE208" s="91" t="n"/>
      <c r="AF208" s="91" t="n"/>
      <c r="AG208" s="91" t="n"/>
    </row>
    <row r="209" ht="12.75" customHeight="1" s="117">
      <c r="A209" s="91" t="n"/>
      <c r="B209" s="91" t="n"/>
      <c r="C209" s="91" t="n"/>
      <c r="D209" s="91" t="n"/>
      <c r="E209" s="91" t="n"/>
      <c r="F209" s="91" t="n"/>
      <c r="G209" s="91" t="n"/>
      <c r="H209" s="91" t="n"/>
      <c r="I209" s="91" t="n"/>
      <c r="J209" s="91" t="n"/>
      <c r="K209" s="91" t="n"/>
      <c r="L209" s="91" t="n"/>
      <c r="M209" s="91" t="n"/>
      <c r="N209" s="91" t="n"/>
      <c r="O209" s="91" t="n"/>
      <c r="P209" s="91" t="n"/>
      <c r="Q209" s="91" t="n"/>
      <c r="R209" s="91" t="n"/>
      <c r="S209" s="91" t="n"/>
      <c r="T209" s="91" t="n"/>
      <c r="U209" s="91" t="n"/>
      <c r="V209" s="91" t="n"/>
      <c r="W209" s="91" t="n"/>
      <c r="X209" s="91" t="n"/>
      <c r="Y209" s="91" t="n"/>
      <c r="Z209" s="91" t="n"/>
      <c r="AA209" s="91" t="n"/>
      <c r="AB209" s="91" t="n"/>
      <c r="AC209" s="91" t="n"/>
      <c r="AD209" s="91" t="n"/>
      <c r="AE209" s="91" t="n"/>
      <c r="AF209" s="91" t="n"/>
      <c r="AG209" s="91" t="n"/>
    </row>
    <row r="210" ht="12.75" customHeight="1" s="117">
      <c r="A210" s="91" t="n"/>
      <c r="B210" s="91" t="n"/>
      <c r="C210" s="91" t="n"/>
      <c r="D210" s="91" t="n"/>
      <c r="E210" s="91" t="n"/>
      <c r="F210" s="91" t="n"/>
      <c r="G210" s="91" t="n"/>
      <c r="H210" s="91" t="n"/>
      <c r="I210" s="91" t="n"/>
      <c r="J210" s="91" t="n"/>
      <c r="K210" s="91" t="n"/>
      <c r="L210" s="91" t="n"/>
      <c r="M210" s="91" t="n"/>
      <c r="N210" s="91" t="n"/>
      <c r="O210" s="91" t="n"/>
      <c r="P210" s="91" t="n"/>
      <c r="Q210" s="91" t="n"/>
      <c r="R210" s="91" t="n"/>
      <c r="S210" s="91" t="n"/>
      <c r="T210" s="91" t="n"/>
      <c r="U210" s="91" t="n"/>
      <c r="V210" s="91" t="n"/>
      <c r="W210" s="91" t="n"/>
      <c r="X210" s="91" t="n"/>
      <c r="Y210" s="91" t="n"/>
      <c r="Z210" s="91" t="n"/>
      <c r="AA210" s="91" t="n"/>
      <c r="AB210" s="91" t="n"/>
      <c r="AC210" s="91" t="n"/>
      <c r="AD210" s="91" t="n"/>
      <c r="AE210" s="91" t="n"/>
      <c r="AF210" s="91" t="n"/>
      <c r="AG210" s="91" t="n"/>
    </row>
    <row r="211" ht="12.75" customHeight="1" s="117">
      <c r="A211" s="91" t="n"/>
      <c r="B211" s="91" t="n"/>
      <c r="C211" s="91" t="n"/>
      <c r="D211" s="91" t="n"/>
      <c r="E211" s="91" t="n"/>
      <c r="F211" s="91" t="n"/>
      <c r="G211" s="91" t="n"/>
      <c r="H211" s="91" t="n"/>
      <c r="I211" s="91" t="n"/>
      <c r="J211" s="91" t="n"/>
      <c r="K211" s="91" t="n"/>
      <c r="L211" s="91" t="n"/>
      <c r="M211" s="91" t="n"/>
      <c r="N211" s="91" t="n"/>
      <c r="O211" s="91" t="n"/>
      <c r="P211" s="91" t="n"/>
      <c r="Q211" s="91" t="n"/>
      <c r="R211" s="91" t="n"/>
      <c r="S211" s="91" t="n"/>
      <c r="T211" s="91" t="n"/>
      <c r="U211" s="91" t="n"/>
      <c r="V211" s="91" t="n"/>
      <c r="W211" s="91" t="n"/>
      <c r="X211" s="91" t="n"/>
      <c r="Y211" s="91" t="n"/>
      <c r="Z211" s="91" t="n"/>
      <c r="AA211" s="91" t="n"/>
      <c r="AB211" s="91" t="n"/>
      <c r="AC211" s="91" t="n"/>
      <c r="AD211" s="91" t="n"/>
      <c r="AE211" s="91" t="n"/>
      <c r="AF211" s="91" t="n"/>
      <c r="AG211" s="91" t="n"/>
    </row>
    <row r="212" ht="12.75" customHeight="1" s="117">
      <c r="A212" s="91" t="n"/>
      <c r="B212" s="91" t="n"/>
      <c r="C212" s="91" t="n"/>
      <c r="D212" s="91" t="n"/>
      <c r="E212" s="91" t="n"/>
      <c r="F212" s="91" t="n"/>
      <c r="G212" s="91" t="n"/>
      <c r="H212" s="91" t="n"/>
      <c r="I212" s="91" t="n"/>
      <c r="J212" s="91" t="n"/>
      <c r="K212" s="91" t="n"/>
      <c r="L212" s="91" t="n"/>
      <c r="M212" s="91" t="n"/>
      <c r="N212" s="91" t="n"/>
      <c r="O212" s="91" t="n"/>
      <c r="P212" s="91" t="n"/>
      <c r="Q212" s="91" t="n"/>
      <c r="R212" s="91" t="n"/>
      <c r="S212" s="91" t="n"/>
      <c r="T212" s="91" t="n"/>
      <c r="U212" s="91" t="n"/>
      <c r="V212" s="91" t="n"/>
      <c r="W212" s="91" t="n"/>
      <c r="X212" s="91" t="n"/>
      <c r="Y212" s="91" t="n"/>
      <c r="Z212" s="91" t="n"/>
      <c r="AA212" s="91" t="n"/>
      <c r="AB212" s="91" t="n"/>
      <c r="AC212" s="91" t="n"/>
      <c r="AD212" s="91" t="n"/>
      <c r="AE212" s="91" t="n"/>
      <c r="AF212" s="91" t="n"/>
      <c r="AG212" s="91" t="n"/>
    </row>
    <row r="213" ht="12.75" customHeight="1" s="117">
      <c r="A213" s="91" t="n"/>
      <c r="B213" s="91" t="n"/>
      <c r="C213" s="91" t="n"/>
      <c r="D213" s="91" t="n"/>
      <c r="E213" s="91" t="n"/>
      <c r="F213" s="91" t="n"/>
      <c r="G213" s="91" t="n"/>
      <c r="H213" s="91" t="n"/>
      <c r="I213" s="91" t="n"/>
      <c r="J213" s="91" t="n"/>
      <c r="K213" s="91" t="n"/>
      <c r="L213" s="91" t="n"/>
      <c r="M213" s="91" t="n"/>
      <c r="N213" s="91" t="n"/>
      <c r="O213" s="91" t="n"/>
      <c r="P213" s="91" t="n"/>
      <c r="Q213" s="91" t="n"/>
      <c r="R213" s="91" t="n"/>
      <c r="S213" s="91" t="n"/>
      <c r="T213" s="91" t="n"/>
      <c r="U213" s="91" t="n"/>
      <c r="V213" s="91" t="n"/>
      <c r="W213" s="91" t="n"/>
      <c r="X213" s="91" t="n"/>
      <c r="Y213" s="91" t="n"/>
      <c r="Z213" s="91" t="n"/>
      <c r="AA213" s="91" t="n"/>
      <c r="AB213" s="91" t="n"/>
      <c r="AC213" s="91" t="n"/>
      <c r="AD213" s="91" t="n"/>
      <c r="AE213" s="91" t="n"/>
      <c r="AF213" s="91" t="n"/>
      <c r="AG213" s="91" t="n"/>
    </row>
    <row r="214" ht="12.75" customHeight="1" s="117">
      <c r="A214" s="91" t="n"/>
      <c r="B214" s="91" t="n"/>
      <c r="C214" s="91" t="n"/>
      <c r="D214" s="91" t="n"/>
      <c r="E214" s="91" t="n"/>
      <c r="F214" s="91" t="n"/>
      <c r="G214" s="91" t="n"/>
      <c r="H214" s="91" t="n"/>
      <c r="I214" s="91" t="n"/>
      <c r="J214" s="91" t="n"/>
      <c r="K214" s="91" t="n"/>
      <c r="L214" s="91" t="n"/>
      <c r="M214" s="91" t="n"/>
      <c r="N214" s="91" t="n"/>
      <c r="O214" s="91" t="n"/>
      <c r="P214" s="91" t="n"/>
      <c r="Q214" s="91" t="n"/>
      <c r="R214" s="91" t="n"/>
      <c r="S214" s="91" t="n"/>
      <c r="T214" s="91" t="n"/>
      <c r="U214" s="91" t="n"/>
      <c r="V214" s="91" t="n"/>
      <c r="W214" s="91" t="n"/>
      <c r="X214" s="91" t="n"/>
      <c r="Y214" s="91" t="n"/>
      <c r="Z214" s="91" t="n"/>
      <c r="AA214" s="91" t="n"/>
      <c r="AB214" s="91" t="n"/>
      <c r="AC214" s="91" t="n"/>
      <c r="AD214" s="91" t="n"/>
      <c r="AE214" s="91" t="n"/>
      <c r="AF214" s="91" t="n"/>
      <c r="AG214" s="91" t="n"/>
    </row>
    <row r="215" ht="12.75" customHeight="1" s="117">
      <c r="A215" s="91" t="n"/>
      <c r="B215" s="91" t="n"/>
      <c r="C215" s="91" t="n"/>
      <c r="D215" s="91" t="n"/>
      <c r="E215" s="91" t="n"/>
      <c r="F215" s="91" t="n"/>
      <c r="G215" s="91" t="n"/>
      <c r="H215" s="91" t="n"/>
      <c r="I215" s="91" t="n"/>
      <c r="J215" s="91" t="n"/>
      <c r="K215" s="91" t="n"/>
      <c r="L215" s="91" t="n"/>
      <c r="M215" s="91" t="n"/>
      <c r="N215" s="91" t="n"/>
      <c r="O215" s="91" t="n"/>
      <c r="P215" s="91" t="n"/>
      <c r="Q215" s="91" t="n"/>
      <c r="R215" s="91" t="n"/>
      <c r="S215" s="91" t="n"/>
      <c r="T215" s="91" t="n"/>
      <c r="U215" s="91" t="n"/>
      <c r="V215" s="91" t="n"/>
      <c r="W215" s="91" t="n"/>
      <c r="X215" s="91" t="n"/>
      <c r="Y215" s="91" t="n"/>
      <c r="Z215" s="91" t="n"/>
      <c r="AA215" s="91" t="n"/>
      <c r="AB215" s="91" t="n"/>
      <c r="AC215" s="91" t="n"/>
      <c r="AD215" s="91" t="n"/>
      <c r="AE215" s="91" t="n"/>
      <c r="AF215" s="91" t="n"/>
      <c r="AG215" s="91" t="n"/>
    </row>
    <row r="216" ht="12.75" customHeight="1" s="117">
      <c r="A216" s="91" t="n"/>
      <c r="B216" s="91" t="n"/>
      <c r="C216" s="91" t="n"/>
      <c r="D216" s="91" t="n"/>
      <c r="E216" s="91" t="n"/>
      <c r="F216" s="91" t="n"/>
      <c r="G216" s="91" t="n"/>
      <c r="H216" s="91" t="n"/>
      <c r="I216" s="91" t="n"/>
      <c r="J216" s="91" t="n"/>
      <c r="K216" s="91" t="n"/>
      <c r="L216" s="91" t="n"/>
      <c r="M216" s="91" t="n"/>
      <c r="N216" s="91" t="n"/>
      <c r="O216" s="91" t="n"/>
      <c r="P216" s="91" t="n"/>
      <c r="Q216" s="91" t="n"/>
      <c r="R216" s="91" t="n"/>
      <c r="S216" s="91" t="n"/>
      <c r="T216" s="91" t="n"/>
      <c r="U216" s="91" t="n"/>
      <c r="V216" s="91" t="n"/>
      <c r="W216" s="91" t="n"/>
      <c r="X216" s="91" t="n"/>
      <c r="Y216" s="91" t="n"/>
      <c r="Z216" s="91" t="n"/>
      <c r="AA216" s="91" t="n"/>
      <c r="AB216" s="91" t="n"/>
      <c r="AC216" s="91" t="n"/>
      <c r="AD216" s="91" t="n"/>
      <c r="AE216" s="91" t="n"/>
      <c r="AF216" s="91" t="n"/>
      <c r="AG216" s="91" t="n"/>
    </row>
    <row r="217" ht="12.75" customHeight="1" s="117">
      <c r="A217" s="91" t="n"/>
      <c r="B217" s="91" t="n"/>
      <c r="C217" s="91" t="n"/>
      <c r="D217" s="91" t="n"/>
      <c r="E217" s="91" t="n"/>
      <c r="F217" s="91" t="n"/>
      <c r="G217" s="91" t="n"/>
      <c r="H217" s="91" t="n"/>
      <c r="I217" s="91" t="n"/>
      <c r="J217" s="91" t="n"/>
      <c r="K217" s="91" t="n"/>
      <c r="L217" s="91" t="n"/>
      <c r="M217" s="91" t="n"/>
      <c r="N217" s="91" t="n"/>
      <c r="O217" s="91" t="n"/>
      <c r="P217" s="91" t="n"/>
      <c r="Q217" s="91" t="n"/>
      <c r="R217" s="91" t="n"/>
      <c r="S217" s="91" t="n"/>
      <c r="T217" s="91" t="n"/>
      <c r="U217" s="91" t="n"/>
      <c r="V217" s="91" t="n"/>
      <c r="W217" s="91" t="n"/>
      <c r="X217" s="91" t="n"/>
      <c r="Y217" s="91" t="n"/>
      <c r="Z217" s="91" t="n"/>
      <c r="AA217" s="91" t="n"/>
      <c r="AB217" s="91" t="n"/>
      <c r="AC217" s="91" t="n"/>
      <c r="AD217" s="91" t="n"/>
      <c r="AE217" s="91" t="n"/>
      <c r="AF217" s="91" t="n"/>
      <c r="AG217" s="91" t="n"/>
    </row>
    <row r="218" ht="12.75" customHeight="1" s="117">
      <c r="A218" s="91" t="n"/>
      <c r="B218" s="91" t="n"/>
      <c r="C218" s="91" t="n"/>
      <c r="D218" s="91" t="n"/>
      <c r="E218" s="91" t="n"/>
      <c r="F218" s="91" t="n"/>
      <c r="G218" s="91" t="n"/>
      <c r="H218" s="91" t="n"/>
      <c r="I218" s="91" t="n"/>
      <c r="J218" s="91" t="n"/>
      <c r="K218" s="91" t="n"/>
      <c r="L218" s="91" t="n"/>
      <c r="M218" s="91" t="n"/>
      <c r="N218" s="91" t="n"/>
      <c r="O218" s="91" t="n"/>
      <c r="P218" s="91" t="n"/>
      <c r="Q218" s="91" t="n"/>
      <c r="R218" s="91" t="n"/>
      <c r="S218" s="91" t="n"/>
      <c r="T218" s="91" t="n"/>
      <c r="U218" s="91" t="n"/>
      <c r="V218" s="91" t="n"/>
      <c r="W218" s="91" t="n"/>
      <c r="X218" s="91" t="n"/>
      <c r="Y218" s="91" t="n"/>
      <c r="Z218" s="91" t="n"/>
      <c r="AA218" s="91" t="n"/>
      <c r="AB218" s="91" t="n"/>
      <c r="AC218" s="91" t="n"/>
      <c r="AD218" s="91" t="n"/>
      <c r="AE218" s="91" t="n"/>
      <c r="AF218" s="91" t="n"/>
      <c r="AG218" s="91" t="n"/>
    </row>
    <row r="219" ht="12.75" customHeight="1" s="117">
      <c r="A219" s="91" t="n"/>
      <c r="B219" s="91" t="n"/>
      <c r="C219" s="91" t="n"/>
      <c r="D219" s="91" t="n"/>
      <c r="E219" s="91" t="n"/>
      <c r="F219" s="91" t="n"/>
      <c r="G219" s="91" t="n"/>
      <c r="H219" s="91" t="n"/>
      <c r="I219" s="91" t="n"/>
      <c r="J219" s="91" t="n"/>
      <c r="K219" s="91" t="n"/>
      <c r="L219" s="91" t="n"/>
      <c r="M219" s="91" t="n"/>
      <c r="N219" s="91" t="n"/>
      <c r="O219" s="91" t="n"/>
      <c r="P219" s="91" t="n"/>
      <c r="Q219" s="91" t="n"/>
      <c r="R219" s="91" t="n"/>
      <c r="S219" s="91" t="n"/>
      <c r="T219" s="91" t="n"/>
      <c r="U219" s="91" t="n"/>
      <c r="V219" s="91" t="n"/>
      <c r="W219" s="91" t="n"/>
      <c r="X219" s="91" t="n"/>
      <c r="Y219" s="91" t="n"/>
      <c r="Z219" s="91" t="n"/>
      <c r="AA219" s="91" t="n"/>
      <c r="AB219" s="91" t="n"/>
      <c r="AC219" s="91" t="n"/>
      <c r="AD219" s="91" t="n"/>
      <c r="AE219" s="91" t="n"/>
      <c r="AF219" s="91" t="n"/>
      <c r="AG219" s="91" t="n"/>
    </row>
    <row r="220" ht="12.75" customHeight="1" s="117">
      <c r="A220" s="91" t="n"/>
      <c r="B220" s="91" t="n"/>
      <c r="C220" s="91" t="n"/>
      <c r="D220" s="91" t="n"/>
      <c r="E220" s="91" t="n"/>
      <c r="F220" s="91" t="n"/>
      <c r="G220" s="91" t="n"/>
      <c r="H220" s="91" t="n"/>
      <c r="I220" s="91" t="n"/>
      <c r="J220" s="91" t="n"/>
      <c r="K220" s="91" t="n"/>
      <c r="L220" s="91" t="n"/>
      <c r="M220" s="91" t="n"/>
      <c r="N220" s="91" t="n"/>
      <c r="O220" s="91" t="n"/>
      <c r="P220" s="91" t="n"/>
      <c r="Q220" s="91" t="n"/>
      <c r="R220" s="91" t="n"/>
      <c r="S220" s="91" t="n"/>
      <c r="T220" s="91" t="n"/>
      <c r="U220" s="91" t="n"/>
      <c r="V220" s="91" t="n"/>
      <c r="W220" s="91" t="n"/>
      <c r="X220" s="91" t="n"/>
      <c r="Y220" s="91" t="n"/>
      <c r="Z220" s="91" t="n"/>
      <c r="AA220" s="91" t="n"/>
      <c r="AB220" s="91" t="n"/>
      <c r="AC220" s="91" t="n"/>
      <c r="AD220" s="91" t="n"/>
      <c r="AE220" s="91" t="n"/>
      <c r="AF220" s="91" t="n"/>
      <c r="AG220" s="91" t="n"/>
    </row>
    <row r="221" ht="12.75" customHeight="1" s="117">
      <c r="A221" s="91" t="n"/>
      <c r="B221" s="91" t="n"/>
      <c r="C221" s="91" t="n"/>
      <c r="D221" s="91" t="n"/>
      <c r="E221" s="91" t="n"/>
      <c r="F221" s="91" t="n"/>
      <c r="G221" s="91" t="n"/>
      <c r="H221" s="91" t="n"/>
      <c r="I221" s="91" t="n"/>
      <c r="J221" s="91" t="n"/>
      <c r="K221" s="91" t="n"/>
      <c r="L221" s="91" t="n"/>
      <c r="M221" s="91" t="n"/>
      <c r="N221" s="91" t="n"/>
      <c r="O221" s="91" t="n"/>
      <c r="P221" s="91" t="n"/>
      <c r="Q221" s="91" t="n"/>
      <c r="R221" s="91" t="n"/>
      <c r="S221" s="91" t="n"/>
      <c r="T221" s="91" t="n"/>
      <c r="U221" s="91" t="n"/>
      <c r="V221" s="91" t="n"/>
      <c r="W221" s="91" t="n"/>
      <c r="X221" s="91" t="n"/>
      <c r="Y221" s="91" t="n"/>
      <c r="Z221" s="91" t="n"/>
      <c r="AA221" s="91" t="n"/>
      <c r="AB221" s="91" t="n"/>
      <c r="AC221" s="91" t="n"/>
      <c r="AD221" s="91" t="n"/>
      <c r="AE221" s="91" t="n"/>
      <c r="AF221" s="91" t="n"/>
      <c r="AG221" s="91" t="n"/>
    </row>
    <row r="222" ht="12.75" customHeight="1" s="117">
      <c r="A222" s="91" t="n"/>
      <c r="B222" s="91" t="n"/>
      <c r="C222" s="91" t="n"/>
      <c r="D222" s="91" t="n"/>
      <c r="E222" s="91" t="n"/>
      <c r="F222" s="91" t="n"/>
      <c r="G222" s="91" t="n"/>
      <c r="H222" s="91" t="n"/>
      <c r="I222" s="91" t="n"/>
      <c r="J222" s="91" t="n"/>
      <c r="K222" s="91" t="n"/>
      <c r="L222" s="91" t="n"/>
      <c r="M222" s="91" t="n"/>
      <c r="N222" s="91" t="n"/>
      <c r="O222" s="91" t="n"/>
      <c r="P222" s="91" t="n"/>
      <c r="Q222" s="91" t="n"/>
      <c r="R222" s="91" t="n"/>
      <c r="S222" s="91" t="n"/>
      <c r="T222" s="91" t="n"/>
      <c r="U222" s="91" t="n"/>
      <c r="V222" s="91" t="n"/>
      <c r="W222" s="91" t="n"/>
      <c r="X222" s="91" t="n"/>
      <c r="Y222" s="91" t="n"/>
      <c r="Z222" s="91" t="n"/>
      <c r="AA222" s="91" t="n"/>
      <c r="AB222" s="91" t="n"/>
      <c r="AC222" s="91" t="n"/>
      <c r="AD222" s="91" t="n"/>
      <c r="AE222" s="91" t="n"/>
      <c r="AF222" s="91" t="n"/>
      <c r="AG222" s="91" t="n"/>
    </row>
    <row r="223" ht="12.75" customHeight="1" s="117">
      <c r="A223" s="91" t="n"/>
      <c r="B223" s="91" t="n"/>
      <c r="C223" s="91" t="n"/>
      <c r="D223" s="91" t="n"/>
      <c r="E223" s="91" t="n"/>
      <c r="F223" s="91" t="n"/>
      <c r="G223" s="91" t="n"/>
      <c r="H223" s="91" t="n"/>
      <c r="I223" s="91" t="n"/>
      <c r="J223" s="91" t="n"/>
      <c r="K223" s="91" t="n"/>
      <c r="L223" s="91" t="n"/>
      <c r="M223" s="91" t="n"/>
      <c r="N223" s="91" t="n"/>
      <c r="O223" s="91" t="n"/>
      <c r="P223" s="91" t="n"/>
      <c r="Q223" s="91" t="n"/>
      <c r="R223" s="91" t="n"/>
      <c r="S223" s="91" t="n"/>
      <c r="T223" s="91" t="n"/>
      <c r="U223" s="91" t="n"/>
      <c r="V223" s="91" t="n"/>
      <c r="W223" s="91" t="n"/>
      <c r="X223" s="91" t="n"/>
      <c r="Y223" s="91" t="n"/>
      <c r="Z223" s="91" t="n"/>
      <c r="AA223" s="91" t="n"/>
      <c r="AB223" s="91" t="n"/>
      <c r="AC223" s="91" t="n"/>
      <c r="AD223" s="91" t="n"/>
      <c r="AE223" s="91" t="n"/>
      <c r="AF223" s="91" t="n"/>
      <c r="AG223" s="91" t="n"/>
    </row>
    <row r="224" ht="12.75" customHeight="1" s="117">
      <c r="A224" s="91" t="n"/>
      <c r="B224" s="91" t="n"/>
      <c r="C224" s="91" t="n"/>
      <c r="D224" s="91" t="n"/>
      <c r="E224" s="91" t="n"/>
      <c r="F224" s="91" t="n"/>
      <c r="G224" s="91" t="n"/>
      <c r="H224" s="91" t="n"/>
      <c r="I224" s="91" t="n"/>
      <c r="J224" s="91" t="n"/>
      <c r="K224" s="91" t="n"/>
      <c r="L224" s="91" t="n"/>
      <c r="M224" s="91" t="n"/>
      <c r="N224" s="91" t="n"/>
      <c r="O224" s="91" t="n"/>
      <c r="P224" s="91" t="n"/>
      <c r="Q224" s="91" t="n"/>
      <c r="R224" s="91" t="n"/>
      <c r="S224" s="91" t="n"/>
      <c r="T224" s="91" t="n"/>
      <c r="U224" s="91" t="n"/>
      <c r="V224" s="91" t="n"/>
      <c r="W224" s="91" t="n"/>
      <c r="X224" s="91" t="n"/>
      <c r="Y224" s="91" t="n"/>
      <c r="Z224" s="91" t="n"/>
      <c r="AA224" s="91" t="n"/>
      <c r="AB224" s="91" t="n"/>
      <c r="AC224" s="91" t="n"/>
      <c r="AD224" s="91" t="n"/>
      <c r="AE224" s="91" t="n"/>
      <c r="AF224" s="91" t="n"/>
      <c r="AG224" s="91" t="n"/>
    </row>
    <row r="225" ht="12.75" customHeight="1" s="117">
      <c r="A225" s="91" t="n"/>
      <c r="B225" s="91" t="n"/>
      <c r="C225" s="91" t="n"/>
      <c r="D225" s="91" t="n"/>
      <c r="E225" s="91" t="n"/>
      <c r="F225" s="91" t="n"/>
      <c r="G225" s="91" t="n"/>
      <c r="H225" s="91" t="n"/>
      <c r="I225" s="91" t="n"/>
      <c r="J225" s="91" t="n"/>
      <c r="K225" s="91" t="n"/>
      <c r="L225" s="91" t="n"/>
      <c r="M225" s="91" t="n"/>
      <c r="N225" s="91" t="n"/>
      <c r="O225" s="91" t="n"/>
      <c r="P225" s="91" t="n"/>
      <c r="Q225" s="91" t="n"/>
      <c r="R225" s="91" t="n"/>
      <c r="S225" s="91" t="n"/>
      <c r="T225" s="91" t="n"/>
      <c r="U225" s="91" t="n"/>
      <c r="V225" s="91" t="n"/>
      <c r="W225" s="91" t="n"/>
      <c r="X225" s="91" t="n"/>
      <c r="Y225" s="91" t="n"/>
      <c r="Z225" s="91" t="n"/>
      <c r="AA225" s="91" t="n"/>
      <c r="AB225" s="91" t="n"/>
      <c r="AC225" s="91" t="n"/>
      <c r="AD225" s="91" t="n"/>
      <c r="AE225" s="91" t="n"/>
      <c r="AF225" s="91" t="n"/>
      <c r="AG225" s="91" t="n"/>
    </row>
    <row r="226" ht="12.75" customHeight="1" s="117">
      <c r="A226" s="91" t="n"/>
      <c r="B226" s="91" t="n"/>
      <c r="C226" s="91" t="n"/>
      <c r="D226" s="91" t="n"/>
      <c r="E226" s="91" t="n"/>
      <c r="F226" s="91" t="n"/>
      <c r="G226" s="91" t="n"/>
      <c r="H226" s="91" t="n"/>
      <c r="I226" s="91" t="n"/>
      <c r="J226" s="91" t="n"/>
      <c r="K226" s="91" t="n"/>
      <c r="L226" s="91" t="n"/>
      <c r="M226" s="91" t="n"/>
      <c r="N226" s="91" t="n"/>
      <c r="O226" s="91" t="n"/>
      <c r="P226" s="91" t="n"/>
      <c r="Q226" s="91" t="n"/>
      <c r="R226" s="91" t="n"/>
      <c r="S226" s="91" t="n"/>
      <c r="T226" s="91" t="n"/>
      <c r="U226" s="91" t="n"/>
      <c r="V226" s="91" t="n"/>
      <c r="W226" s="91" t="n"/>
      <c r="X226" s="91" t="n"/>
      <c r="Y226" s="91" t="n"/>
      <c r="Z226" s="91" t="n"/>
      <c r="AA226" s="91" t="n"/>
      <c r="AB226" s="91" t="n"/>
      <c r="AC226" s="91" t="n"/>
      <c r="AD226" s="91" t="n"/>
      <c r="AE226" s="91" t="n"/>
      <c r="AF226" s="91" t="n"/>
      <c r="AG226" s="91" t="n"/>
    </row>
    <row r="227" ht="12.75" customHeight="1" s="117">
      <c r="A227" s="91" t="n"/>
      <c r="B227" s="91" t="n"/>
      <c r="C227" s="91" t="n"/>
      <c r="D227" s="91" t="n"/>
      <c r="E227" s="91" t="n"/>
      <c r="F227" s="91" t="n"/>
      <c r="G227" s="91" t="n"/>
      <c r="H227" s="91" t="n"/>
      <c r="I227" s="91" t="n"/>
      <c r="J227" s="91" t="n"/>
      <c r="K227" s="91" t="n"/>
      <c r="L227" s="91" t="n"/>
      <c r="M227" s="91" t="n"/>
      <c r="N227" s="91" t="n"/>
      <c r="O227" s="91" t="n"/>
      <c r="P227" s="91" t="n"/>
      <c r="Q227" s="91" t="n"/>
      <c r="R227" s="91" t="n"/>
      <c r="S227" s="91" t="n"/>
      <c r="T227" s="91" t="n"/>
      <c r="U227" s="91" t="n"/>
      <c r="V227" s="91" t="n"/>
      <c r="W227" s="91" t="n"/>
      <c r="X227" s="91" t="n"/>
      <c r="Y227" s="91" t="n"/>
      <c r="Z227" s="91" t="n"/>
      <c r="AA227" s="91" t="n"/>
      <c r="AB227" s="91" t="n"/>
      <c r="AC227" s="91" t="n"/>
      <c r="AD227" s="91" t="n"/>
      <c r="AE227" s="91" t="n"/>
      <c r="AF227" s="91" t="n"/>
      <c r="AG227" s="91" t="n"/>
    </row>
    <row r="228" ht="12.75" customHeight="1" s="117">
      <c r="A228" s="91" t="n"/>
      <c r="B228" s="91" t="n"/>
      <c r="C228" s="91" t="n"/>
      <c r="D228" s="91" t="n"/>
      <c r="E228" s="91" t="n"/>
      <c r="F228" s="91" t="n"/>
      <c r="G228" s="91" t="n"/>
      <c r="H228" s="91" t="n"/>
      <c r="I228" s="91" t="n"/>
      <c r="J228" s="91" t="n"/>
      <c r="K228" s="91" t="n"/>
      <c r="L228" s="91" t="n"/>
      <c r="M228" s="91" t="n"/>
      <c r="N228" s="91" t="n"/>
      <c r="O228" s="91" t="n"/>
      <c r="P228" s="91" t="n"/>
      <c r="Q228" s="91" t="n"/>
      <c r="R228" s="91" t="n"/>
      <c r="S228" s="91" t="n"/>
      <c r="T228" s="91" t="n"/>
      <c r="U228" s="91" t="n"/>
      <c r="V228" s="91" t="n"/>
      <c r="W228" s="91" t="n"/>
      <c r="X228" s="91" t="n"/>
      <c r="Y228" s="91" t="n"/>
      <c r="Z228" s="91" t="n"/>
      <c r="AA228" s="91" t="n"/>
      <c r="AB228" s="91" t="n"/>
      <c r="AC228" s="91" t="n"/>
      <c r="AD228" s="91" t="n"/>
      <c r="AE228" s="91" t="n"/>
      <c r="AF228" s="91" t="n"/>
      <c r="AG228" s="91" t="n"/>
    </row>
    <row r="229" ht="12.75" customHeight="1" s="117">
      <c r="A229" s="91" t="n"/>
      <c r="B229" s="91" t="n"/>
      <c r="C229" s="91" t="n"/>
      <c r="D229" s="91" t="n"/>
      <c r="E229" s="91" t="n"/>
      <c r="F229" s="91" t="n"/>
      <c r="G229" s="91" t="n"/>
      <c r="H229" s="91" t="n"/>
      <c r="I229" s="91" t="n"/>
      <c r="J229" s="91" t="n"/>
      <c r="K229" s="91" t="n"/>
      <c r="L229" s="91" t="n"/>
      <c r="M229" s="91" t="n"/>
      <c r="N229" s="91" t="n"/>
      <c r="O229" s="91" t="n"/>
      <c r="P229" s="91" t="n"/>
      <c r="Q229" s="91" t="n"/>
      <c r="R229" s="91" t="n"/>
      <c r="S229" s="91" t="n"/>
      <c r="T229" s="91" t="n"/>
      <c r="U229" s="91" t="n"/>
      <c r="V229" s="91" t="n"/>
      <c r="W229" s="91" t="n"/>
      <c r="X229" s="91" t="n"/>
      <c r="Y229" s="91" t="n"/>
      <c r="Z229" s="91" t="n"/>
      <c r="AA229" s="91" t="n"/>
      <c r="AB229" s="91" t="n"/>
      <c r="AC229" s="91" t="n"/>
      <c r="AD229" s="91" t="n"/>
      <c r="AE229" s="91" t="n"/>
      <c r="AF229" s="91" t="n"/>
      <c r="AG229" s="91" t="n"/>
    </row>
    <row r="230" ht="12.75" customHeight="1" s="117">
      <c r="A230" s="91" t="n"/>
      <c r="B230" s="91" t="n"/>
      <c r="C230" s="91" t="n"/>
      <c r="D230" s="91" t="n"/>
      <c r="E230" s="91" t="n"/>
      <c r="F230" s="91" t="n"/>
      <c r="G230" s="91" t="n"/>
      <c r="H230" s="91" t="n"/>
      <c r="I230" s="91" t="n"/>
      <c r="J230" s="91" t="n"/>
      <c r="K230" s="91" t="n"/>
      <c r="L230" s="91" t="n"/>
      <c r="M230" s="91" t="n"/>
      <c r="N230" s="91" t="n"/>
      <c r="O230" s="91" t="n"/>
      <c r="P230" s="91" t="n"/>
      <c r="Q230" s="91" t="n"/>
      <c r="R230" s="91" t="n"/>
      <c r="S230" s="91" t="n"/>
      <c r="T230" s="91" t="n"/>
      <c r="U230" s="91" t="n"/>
      <c r="V230" s="91" t="n"/>
      <c r="W230" s="91" t="n"/>
      <c r="X230" s="91" t="n"/>
      <c r="Y230" s="91" t="n"/>
      <c r="Z230" s="91" t="n"/>
      <c r="AA230" s="91" t="n"/>
      <c r="AB230" s="91" t="n"/>
      <c r="AC230" s="91" t="n"/>
      <c r="AD230" s="91" t="n"/>
      <c r="AE230" s="91" t="n"/>
      <c r="AF230" s="91" t="n"/>
      <c r="AG230" s="91" t="n"/>
    </row>
    <row r="231" ht="12.75" customHeight="1" s="117">
      <c r="A231" s="91" t="n"/>
      <c r="B231" s="91" t="n"/>
      <c r="C231" s="91" t="n"/>
      <c r="D231" s="91" t="n"/>
      <c r="E231" s="91" t="n"/>
      <c r="F231" s="91" t="n"/>
      <c r="G231" s="91" t="n"/>
      <c r="H231" s="91" t="n"/>
      <c r="I231" s="91" t="n"/>
      <c r="J231" s="91" t="n"/>
      <c r="K231" s="91" t="n"/>
      <c r="L231" s="91" t="n"/>
      <c r="M231" s="91" t="n"/>
      <c r="N231" s="91" t="n"/>
      <c r="O231" s="91" t="n"/>
      <c r="P231" s="91" t="n"/>
      <c r="Q231" s="91" t="n"/>
      <c r="R231" s="91" t="n"/>
      <c r="S231" s="91" t="n"/>
      <c r="T231" s="91" t="n"/>
      <c r="U231" s="91" t="n"/>
      <c r="V231" s="91" t="n"/>
      <c r="W231" s="91" t="n"/>
      <c r="X231" s="91" t="n"/>
      <c r="Y231" s="91" t="n"/>
      <c r="Z231" s="91" t="n"/>
      <c r="AA231" s="91" t="n"/>
      <c r="AB231" s="91" t="n"/>
      <c r="AC231" s="91" t="n"/>
      <c r="AD231" s="91" t="n"/>
      <c r="AE231" s="91" t="n"/>
      <c r="AF231" s="91" t="n"/>
      <c r="AG231" s="91" t="n"/>
    </row>
    <row r="232" ht="12.75" customHeight="1" s="117">
      <c r="A232" s="91" t="n"/>
      <c r="B232" s="91" t="n"/>
      <c r="C232" s="91" t="n"/>
      <c r="D232" s="91" t="n"/>
      <c r="E232" s="91" t="n"/>
      <c r="F232" s="91" t="n"/>
      <c r="G232" s="91" t="n"/>
      <c r="H232" s="91" t="n"/>
      <c r="I232" s="91" t="n"/>
      <c r="J232" s="91" t="n"/>
      <c r="K232" s="91" t="n"/>
      <c r="L232" s="91" t="n"/>
      <c r="M232" s="91" t="n"/>
      <c r="N232" s="91" t="n"/>
      <c r="O232" s="91" t="n"/>
      <c r="P232" s="91" t="n"/>
      <c r="Q232" s="91" t="n"/>
      <c r="R232" s="91" t="n"/>
      <c r="S232" s="91" t="n"/>
      <c r="T232" s="91" t="n"/>
      <c r="U232" s="91" t="n"/>
      <c r="V232" s="91" t="n"/>
      <c r="W232" s="91" t="n"/>
      <c r="X232" s="91" t="n"/>
      <c r="Y232" s="91" t="n"/>
      <c r="Z232" s="91" t="n"/>
      <c r="AA232" s="91" t="n"/>
      <c r="AB232" s="91" t="n"/>
      <c r="AC232" s="91" t="n"/>
      <c r="AD232" s="91" t="n"/>
      <c r="AE232" s="91" t="n"/>
      <c r="AF232" s="91" t="n"/>
      <c r="AG232" s="91" t="n"/>
    </row>
    <row r="233" ht="12.75" customHeight="1" s="117">
      <c r="A233" s="91" t="n"/>
      <c r="B233" s="91" t="n"/>
      <c r="C233" s="91" t="n"/>
      <c r="D233" s="91" t="n"/>
      <c r="E233" s="91" t="n"/>
      <c r="F233" s="91" t="n"/>
      <c r="G233" s="91" t="n"/>
      <c r="H233" s="91" t="n"/>
      <c r="I233" s="91" t="n"/>
      <c r="J233" s="91" t="n"/>
      <c r="K233" s="91" t="n"/>
      <c r="L233" s="91" t="n"/>
      <c r="M233" s="91" t="n"/>
      <c r="N233" s="91" t="n"/>
      <c r="O233" s="91" t="n"/>
      <c r="P233" s="91" t="n"/>
      <c r="Q233" s="91" t="n"/>
      <c r="R233" s="91" t="n"/>
      <c r="S233" s="91" t="n"/>
      <c r="T233" s="91" t="n"/>
      <c r="U233" s="91" t="n"/>
      <c r="V233" s="91" t="n"/>
      <c r="W233" s="91" t="n"/>
      <c r="X233" s="91" t="n"/>
      <c r="Y233" s="91" t="n"/>
      <c r="Z233" s="91" t="n"/>
      <c r="AA233" s="91" t="n"/>
      <c r="AB233" s="91" t="n"/>
      <c r="AC233" s="91" t="n"/>
      <c r="AD233" s="91" t="n"/>
      <c r="AE233" s="91" t="n"/>
      <c r="AF233" s="91" t="n"/>
      <c r="AG233" s="91" t="n"/>
    </row>
    <row r="234" ht="12.75" customHeight="1" s="117">
      <c r="A234" s="91" t="n"/>
      <c r="B234" s="91" t="n"/>
      <c r="C234" s="91" t="n"/>
      <c r="D234" s="91" t="n"/>
      <c r="E234" s="91" t="n"/>
      <c r="F234" s="91" t="n"/>
      <c r="G234" s="91" t="n"/>
      <c r="H234" s="91" t="n"/>
      <c r="I234" s="91" t="n"/>
      <c r="J234" s="91" t="n"/>
      <c r="K234" s="91" t="n"/>
      <c r="L234" s="91" t="n"/>
      <c r="M234" s="91" t="n"/>
      <c r="N234" s="91" t="n"/>
      <c r="O234" s="91" t="n"/>
      <c r="P234" s="91" t="n"/>
      <c r="Q234" s="91" t="n"/>
      <c r="R234" s="91" t="n"/>
      <c r="S234" s="91" t="n"/>
      <c r="T234" s="91" t="n"/>
      <c r="U234" s="91" t="n"/>
      <c r="V234" s="91" t="n"/>
      <c r="W234" s="91" t="n"/>
      <c r="X234" s="91" t="n"/>
      <c r="Y234" s="91" t="n"/>
      <c r="Z234" s="91" t="n"/>
      <c r="AA234" s="91" t="n"/>
      <c r="AB234" s="91" t="n"/>
      <c r="AC234" s="91" t="n"/>
      <c r="AD234" s="91" t="n"/>
      <c r="AE234" s="91" t="n"/>
      <c r="AF234" s="91" t="n"/>
      <c r="AG234" s="91" t="n"/>
    </row>
    <row r="235" ht="12.75" customHeight="1" s="117">
      <c r="A235" s="91" t="n"/>
      <c r="B235" s="91" t="n"/>
      <c r="C235" s="91" t="n"/>
      <c r="D235" s="91" t="n"/>
      <c r="E235" s="91" t="n"/>
      <c r="F235" s="91" t="n"/>
      <c r="G235" s="91" t="n"/>
      <c r="H235" s="91" t="n"/>
      <c r="I235" s="91" t="n"/>
      <c r="J235" s="91" t="n"/>
      <c r="K235" s="91" t="n"/>
      <c r="L235" s="91" t="n"/>
      <c r="M235" s="91" t="n"/>
      <c r="N235" s="91" t="n"/>
      <c r="O235" s="91" t="n"/>
      <c r="P235" s="91" t="n"/>
      <c r="Q235" s="91" t="n"/>
      <c r="R235" s="91" t="n"/>
      <c r="S235" s="91" t="n"/>
      <c r="T235" s="91" t="n"/>
      <c r="U235" s="91" t="n"/>
      <c r="V235" s="91" t="n"/>
      <c r="W235" s="91" t="n"/>
      <c r="X235" s="91" t="n"/>
      <c r="Y235" s="91" t="n"/>
      <c r="Z235" s="91" t="n"/>
      <c r="AA235" s="91" t="n"/>
      <c r="AB235" s="91" t="n"/>
      <c r="AC235" s="91" t="n"/>
      <c r="AD235" s="91" t="n"/>
      <c r="AE235" s="91" t="n"/>
      <c r="AF235" s="91" t="n"/>
      <c r="AG235" s="91" t="n"/>
    </row>
    <row r="236" ht="12.75" customHeight="1" s="117">
      <c r="A236" s="91" t="n"/>
      <c r="B236" s="91" t="n"/>
      <c r="C236" s="91" t="n"/>
      <c r="D236" s="91" t="n"/>
      <c r="E236" s="91" t="n"/>
      <c r="F236" s="91" t="n"/>
      <c r="G236" s="91" t="n"/>
      <c r="H236" s="91" t="n"/>
      <c r="I236" s="91" t="n"/>
      <c r="J236" s="91" t="n"/>
      <c r="K236" s="91" t="n"/>
      <c r="L236" s="91" t="n"/>
      <c r="M236" s="91" t="n"/>
      <c r="N236" s="91" t="n"/>
      <c r="O236" s="91" t="n"/>
      <c r="P236" s="91" t="n"/>
      <c r="Q236" s="91" t="n"/>
      <c r="R236" s="91" t="n"/>
      <c r="S236" s="91" t="n"/>
      <c r="T236" s="91" t="n"/>
      <c r="U236" s="91" t="n"/>
      <c r="V236" s="91" t="n"/>
      <c r="W236" s="91" t="n"/>
      <c r="X236" s="91" t="n"/>
      <c r="Y236" s="91" t="n"/>
      <c r="Z236" s="91" t="n"/>
      <c r="AA236" s="91" t="n"/>
      <c r="AB236" s="91" t="n"/>
      <c r="AC236" s="91" t="n"/>
      <c r="AD236" s="91" t="n"/>
      <c r="AE236" s="91" t="n"/>
      <c r="AF236" s="91" t="n"/>
      <c r="AG236" s="91" t="n"/>
    </row>
    <row r="237" ht="12.75" customHeight="1" s="117">
      <c r="A237" s="91" t="n"/>
      <c r="B237" s="91" t="n"/>
      <c r="C237" s="91" t="n"/>
      <c r="D237" s="91" t="n"/>
      <c r="E237" s="91" t="n"/>
      <c r="F237" s="91" t="n"/>
      <c r="G237" s="91" t="n"/>
      <c r="H237" s="91" t="n"/>
      <c r="I237" s="91" t="n"/>
      <c r="J237" s="91" t="n"/>
      <c r="K237" s="91" t="n"/>
      <c r="L237" s="91" t="n"/>
      <c r="M237" s="91" t="n"/>
      <c r="N237" s="91" t="n"/>
      <c r="O237" s="91" t="n"/>
      <c r="P237" s="91" t="n"/>
      <c r="Q237" s="91" t="n"/>
      <c r="R237" s="91" t="n"/>
      <c r="S237" s="91" t="n"/>
      <c r="T237" s="91" t="n"/>
      <c r="U237" s="91" t="n"/>
      <c r="V237" s="91" t="n"/>
      <c r="W237" s="91" t="n"/>
      <c r="X237" s="91" t="n"/>
      <c r="Y237" s="91" t="n"/>
      <c r="Z237" s="91" t="n"/>
      <c r="AA237" s="91" t="n"/>
      <c r="AB237" s="91" t="n"/>
      <c r="AC237" s="91" t="n"/>
      <c r="AD237" s="91" t="n"/>
      <c r="AE237" s="91" t="n"/>
      <c r="AF237" s="91" t="n"/>
      <c r="AG237" s="91" t="n"/>
    </row>
    <row r="238" ht="12.75" customHeight="1" s="117">
      <c r="A238" s="91" t="n"/>
      <c r="B238" s="91" t="n"/>
      <c r="C238" s="91" t="n"/>
      <c r="D238" s="91" t="n"/>
      <c r="E238" s="91" t="n"/>
      <c r="F238" s="91" t="n"/>
      <c r="G238" s="91" t="n"/>
      <c r="H238" s="91" t="n"/>
      <c r="I238" s="91" t="n"/>
      <c r="J238" s="91" t="n"/>
      <c r="K238" s="91" t="n"/>
      <c r="L238" s="91" t="n"/>
      <c r="M238" s="91" t="n"/>
      <c r="N238" s="91" t="n"/>
      <c r="O238" s="91" t="n"/>
      <c r="P238" s="91" t="n"/>
      <c r="Q238" s="91" t="n"/>
      <c r="R238" s="91" t="n"/>
      <c r="S238" s="91" t="n"/>
      <c r="T238" s="91" t="n"/>
      <c r="U238" s="91" t="n"/>
      <c r="V238" s="91" t="n"/>
      <c r="W238" s="91" t="n"/>
      <c r="X238" s="91" t="n"/>
      <c r="Y238" s="91" t="n"/>
      <c r="Z238" s="91" t="n"/>
      <c r="AA238" s="91" t="n"/>
      <c r="AB238" s="91" t="n"/>
      <c r="AC238" s="91" t="n"/>
      <c r="AD238" s="91" t="n"/>
      <c r="AE238" s="91" t="n"/>
      <c r="AF238" s="91" t="n"/>
      <c r="AG238" s="91" t="n"/>
    </row>
    <row r="239" ht="12.75" customHeight="1" s="117">
      <c r="A239" s="91" t="n"/>
      <c r="B239" s="91" t="n"/>
      <c r="C239" s="91" t="n"/>
      <c r="D239" s="91" t="n"/>
      <c r="E239" s="91" t="n"/>
      <c r="F239" s="91" t="n"/>
      <c r="G239" s="91" t="n"/>
      <c r="H239" s="91" t="n"/>
      <c r="I239" s="91" t="n"/>
      <c r="J239" s="91" t="n"/>
      <c r="K239" s="91" t="n"/>
      <c r="L239" s="91" t="n"/>
      <c r="M239" s="91" t="n"/>
      <c r="N239" s="91" t="n"/>
      <c r="O239" s="91" t="n"/>
      <c r="P239" s="91" t="n"/>
      <c r="Q239" s="91" t="n"/>
      <c r="R239" s="91" t="n"/>
      <c r="S239" s="91" t="n"/>
      <c r="T239" s="91" t="n"/>
      <c r="U239" s="91" t="n"/>
      <c r="V239" s="91" t="n"/>
      <c r="W239" s="91" t="n"/>
      <c r="X239" s="91" t="n"/>
      <c r="Y239" s="91" t="n"/>
      <c r="Z239" s="91" t="n"/>
      <c r="AA239" s="91" t="n"/>
      <c r="AB239" s="91" t="n"/>
      <c r="AC239" s="91" t="n"/>
      <c r="AD239" s="91" t="n"/>
      <c r="AE239" s="91" t="n"/>
      <c r="AF239" s="91" t="n"/>
      <c r="AG239" s="91" t="n"/>
    </row>
    <row r="240" ht="12.75" customHeight="1" s="117">
      <c r="A240" s="91" t="n"/>
      <c r="B240" s="91" t="n"/>
      <c r="C240" s="91" t="n"/>
      <c r="D240" s="91" t="n"/>
      <c r="E240" s="91" t="n"/>
      <c r="F240" s="91" t="n"/>
      <c r="G240" s="91" t="n"/>
      <c r="H240" s="91" t="n"/>
      <c r="I240" s="91" t="n"/>
      <c r="J240" s="91" t="n"/>
      <c r="K240" s="91" t="n"/>
      <c r="L240" s="91" t="n"/>
      <c r="M240" s="91" t="n"/>
      <c r="N240" s="91" t="n"/>
      <c r="O240" s="91" t="n"/>
      <c r="P240" s="91" t="n"/>
      <c r="Q240" s="91" t="n"/>
      <c r="R240" s="91" t="n"/>
      <c r="S240" s="91" t="n"/>
      <c r="T240" s="91" t="n"/>
      <c r="U240" s="91" t="n"/>
      <c r="V240" s="91" t="n"/>
      <c r="W240" s="91" t="n"/>
      <c r="X240" s="91" t="n"/>
      <c r="Y240" s="91" t="n"/>
      <c r="Z240" s="91" t="n"/>
      <c r="AA240" s="91" t="n"/>
      <c r="AB240" s="91" t="n"/>
      <c r="AC240" s="91" t="n"/>
      <c r="AD240" s="91" t="n"/>
      <c r="AE240" s="91" t="n"/>
      <c r="AF240" s="91" t="n"/>
      <c r="AG240" s="91" t="n"/>
    </row>
    <row r="241" ht="12.75" customHeight="1" s="117">
      <c r="A241" s="91" t="n"/>
      <c r="B241" s="91" t="n"/>
      <c r="C241" s="91" t="n"/>
      <c r="D241" s="91" t="n"/>
      <c r="E241" s="91" t="n"/>
      <c r="F241" s="91" t="n"/>
      <c r="G241" s="91" t="n"/>
      <c r="H241" s="91" t="n"/>
      <c r="I241" s="91" t="n"/>
      <c r="J241" s="91" t="n"/>
      <c r="K241" s="91" t="n"/>
      <c r="L241" s="91" t="n"/>
      <c r="M241" s="91" t="n"/>
      <c r="N241" s="91" t="n"/>
      <c r="O241" s="91" t="n"/>
      <c r="P241" s="91" t="n"/>
      <c r="Q241" s="91" t="n"/>
      <c r="R241" s="91" t="n"/>
      <c r="S241" s="91" t="n"/>
      <c r="T241" s="91" t="n"/>
      <c r="U241" s="91" t="n"/>
      <c r="V241" s="91" t="n"/>
      <c r="W241" s="91" t="n"/>
      <c r="X241" s="91" t="n"/>
      <c r="Y241" s="91" t="n"/>
      <c r="Z241" s="91" t="n"/>
      <c r="AA241" s="91" t="n"/>
      <c r="AB241" s="91" t="n"/>
      <c r="AC241" s="91" t="n"/>
      <c r="AD241" s="91" t="n"/>
      <c r="AE241" s="91" t="n"/>
      <c r="AF241" s="91" t="n"/>
      <c r="AG241" s="91" t="n"/>
    </row>
    <row r="242" ht="12.75" customHeight="1" s="117">
      <c r="A242" s="91" t="n"/>
      <c r="B242" s="91" t="n"/>
      <c r="C242" s="91" t="n"/>
      <c r="D242" s="91" t="n"/>
      <c r="E242" s="91" t="n"/>
      <c r="F242" s="91" t="n"/>
      <c r="G242" s="91" t="n"/>
      <c r="H242" s="91" t="n"/>
      <c r="I242" s="91" t="n"/>
      <c r="J242" s="91" t="n"/>
      <c r="K242" s="91" t="n"/>
      <c r="L242" s="91" t="n"/>
      <c r="M242" s="91" t="n"/>
      <c r="N242" s="91" t="n"/>
      <c r="O242" s="91" t="n"/>
      <c r="P242" s="91" t="n"/>
      <c r="Q242" s="91" t="n"/>
      <c r="R242" s="91" t="n"/>
      <c r="S242" s="91" t="n"/>
      <c r="T242" s="91" t="n"/>
      <c r="U242" s="91" t="n"/>
      <c r="V242" s="91" t="n"/>
      <c r="W242" s="91" t="n"/>
      <c r="X242" s="91" t="n"/>
      <c r="Y242" s="91" t="n"/>
      <c r="Z242" s="91" t="n"/>
      <c r="AA242" s="91" t="n"/>
      <c r="AB242" s="91" t="n"/>
      <c r="AC242" s="91" t="n"/>
      <c r="AD242" s="91" t="n"/>
      <c r="AE242" s="91" t="n"/>
      <c r="AF242" s="91" t="n"/>
      <c r="AG242" s="91" t="n"/>
    </row>
    <row r="243" ht="12.75" customHeight="1" s="117">
      <c r="A243" s="91" t="n"/>
      <c r="B243" s="91" t="n"/>
      <c r="C243" s="91" t="n"/>
      <c r="D243" s="91" t="n"/>
      <c r="E243" s="91" t="n"/>
      <c r="F243" s="91" t="n"/>
      <c r="G243" s="91" t="n"/>
      <c r="H243" s="91" t="n"/>
      <c r="I243" s="91" t="n"/>
      <c r="J243" s="91" t="n"/>
      <c r="K243" s="91" t="n"/>
      <c r="L243" s="91" t="n"/>
      <c r="M243" s="91" t="n"/>
      <c r="N243" s="91" t="n"/>
      <c r="O243" s="91" t="n"/>
      <c r="P243" s="91" t="n"/>
      <c r="Q243" s="91" t="n"/>
      <c r="R243" s="91" t="n"/>
      <c r="S243" s="91" t="n"/>
      <c r="T243" s="91" t="n"/>
      <c r="U243" s="91" t="n"/>
      <c r="V243" s="91" t="n"/>
      <c r="W243" s="91" t="n"/>
      <c r="X243" s="91" t="n"/>
      <c r="Y243" s="91" t="n"/>
      <c r="Z243" s="91" t="n"/>
      <c r="AA243" s="91" t="n"/>
      <c r="AB243" s="91" t="n"/>
      <c r="AC243" s="91" t="n"/>
      <c r="AD243" s="91" t="n"/>
      <c r="AE243" s="91" t="n"/>
      <c r="AF243" s="91" t="n"/>
      <c r="AG243" s="91" t="n"/>
    </row>
    <row r="244" ht="12.75" customHeight="1" s="117">
      <c r="A244" s="91" t="n"/>
      <c r="B244" s="91" t="n"/>
      <c r="C244" s="91" t="n"/>
      <c r="D244" s="91" t="n"/>
      <c r="E244" s="91" t="n"/>
      <c r="F244" s="91" t="n"/>
      <c r="G244" s="91" t="n"/>
      <c r="H244" s="91" t="n"/>
      <c r="I244" s="91" t="n"/>
      <c r="J244" s="91" t="n"/>
      <c r="K244" s="91" t="n"/>
      <c r="L244" s="91" t="n"/>
      <c r="M244" s="91" t="n"/>
      <c r="N244" s="91" t="n"/>
      <c r="O244" s="91" t="n"/>
      <c r="P244" s="91" t="n"/>
      <c r="Q244" s="91" t="n"/>
      <c r="R244" s="91" t="n"/>
      <c r="S244" s="91" t="n"/>
      <c r="T244" s="91" t="n"/>
      <c r="U244" s="91" t="n"/>
      <c r="V244" s="91" t="n"/>
      <c r="W244" s="91" t="n"/>
      <c r="X244" s="91" t="n"/>
      <c r="Y244" s="91" t="n"/>
      <c r="Z244" s="91" t="n"/>
      <c r="AA244" s="91" t="n"/>
      <c r="AB244" s="91" t="n"/>
      <c r="AC244" s="91" t="n"/>
      <c r="AD244" s="91" t="n"/>
      <c r="AE244" s="91" t="n"/>
      <c r="AF244" s="91" t="n"/>
      <c r="AG244" s="91" t="n"/>
    </row>
    <row r="245" ht="12.75" customHeight="1" s="117">
      <c r="A245" s="91" t="n"/>
      <c r="B245" s="91" t="n"/>
      <c r="C245" s="91" t="n"/>
      <c r="D245" s="91" t="n"/>
      <c r="E245" s="91" t="n"/>
      <c r="F245" s="91" t="n"/>
      <c r="G245" s="91" t="n"/>
      <c r="H245" s="91" t="n"/>
      <c r="I245" s="91" t="n"/>
      <c r="J245" s="91" t="n"/>
      <c r="K245" s="91" t="n"/>
      <c r="L245" s="91" t="n"/>
      <c r="M245" s="91" t="n"/>
      <c r="N245" s="91" t="n"/>
      <c r="O245" s="91" t="n"/>
      <c r="P245" s="91" t="n"/>
      <c r="Q245" s="91" t="n"/>
      <c r="R245" s="91" t="n"/>
      <c r="S245" s="91" t="n"/>
      <c r="T245" s="91" t="n"/>
      <c r="U245" s="91" t="n"/>
      <c r="V245" s="91" t="n"/>
      <c r="W245" s="91" t="n"/>
      <c r="X245" s="91" t="n"/>
      <c r="Y245" s="91" t="n"/>
      <c r="Z245" s="91" t="n"/>
      <c r="AA245" s="91" t="n"/>
      <c r="AB245" s="91" t="n"/>
      <c r="AC245" s="91" t="n"/>
      <c r="AD245" s="91" t="n"/>
      <c r="AE245" s="91" t="n"/>
      <c r="AF245" s="91" t="n"/>
      <c r="AG245" s="91" t="n"/>
    </row>
    <row r="246" ht="12.75" customHeight="1" s="117">
      <c r="A246" s="91" t="n"/>
      <c r="B246" s="91" t="n"/>
      <c r="C246" s="91" t="n"/>
      <c r="D246" s="91" t="n"/>
      <c r="E246" s="91" t="n"/>
      <c r="F246" s="91" t="n"/>
      <c r="G246" s="91" t="n"/>
      <c r="H246" s="91" t="n"/>
      <c r="I246" s="91" t="n"/>
      <c r="J246" s="91" t="n"/>
      <c r="K246" s="91" t="n"/>
      <c r="L246" s="91" t="n"/>
      <c r="M246" s="91" t="n"/>
      <c r="N246" s="91" t="n"/>
      <c r="O246" s="91" t="n"/>
      <c r="P246" s="91" t="n"/>
      <c r="Q246" s="91" t="n"/>
      <c r="R246" s="91" t="n"/>
      <c r="S246" s="91" t="n"/>
      <c r="T246" s="91" t="n"/>
      <c r="U246" s="91" t="n"/>
      <c r="V246" s="91" t="n"/>
      <c r="W246" s="91" t="n"/>
      <c r="X246" s="91" t="n"/>
      <c r="Y246" s="91" t="n"/>
      <c r="Z246" s="91" t="n"/>
      <c r="AA246" s="91" t="n"/>
      <c r="AB246" s="91" t="n"/>
      <c r="AC246" s="91" t="n"/>
      <c r="AD246" s="91" t="n"/>
      <c r="AE246" s="91" t="n"/>
      <c r="AF246" s="91" t="n"/>
      <c r="AG246" s="91" t="n"/>
    </row>
    <row r="247" ht="12.75" customHeight="1" s="117">
      <c r="A247" s="91" t="n"/>
      <c r="B247" s="91" t="n"/>
      <c r="C247" s="91" t="n"/>
      <c r="D247" s="91" t="n"/>
      <c r="E247" s="91" t="n"/>
      <c r="F247" s="91" t="n"/>
      <c r="G247" s="91" t="n"/>
      <c r="H247" s="91" t="n"/>
      <c r="I247" s="91" t="n"/>
      <c r="J247" s="91" t="n"/>
      <c r="K247" s="91" t="n"/>
      <c r="L247" s="91" t="n"/>
      <c r="M247" s="91" t="n"/>
      <c r="N247" s="91" t="n"/>
      <c r="O247" s="91" t="n"/>
      <c r="P247" s="91" t="n"/>
      <c r="Q247" s="91" t="n"/>
      <c r="R247" s="91" t="n"/>
      <c r="S247" s="91" t="n"/>
      <c r="T247" s="91" t="n"/>
      <c r="U247" s="91" t="n"/>
      <c r="V247" s="91" t="n"/>
      <c r="W247" s="91" t="n"/>
      <c r="X247" s="91" t="n"/>
      <c r="Y247" s="91" t="n"/>
      <c r="Z247" s="91" t="n"/>
      <c r="AA247" s="91" t="n"/>
      <c r="AB247" s="91" t="n"/>
      <c r="AC247" s="91" t="n"/>
      <c r="AD247" s="91" t="n"/>
      <c r="AE247" s="91" t="n"/>
      <c r="AF247" s="91" t="n"/>
      <c r="AG247" s="91" t="n"/>
    </row>
    <row r="248" ht="12.75" customHeight="1" s="117">
      <c r="A248" s="91" t="n"/>
      <c r="B248" s="91" t="n"/>
      <c r="C248" s="91" t="n"/>
      <c r="D248" s="91" t="n"/>
      <c r="E248" s="91" t="n"/>
      <c r="F248" s="91" t="n"/>
      <c r="G248" s="91" t="n"/>
      <c r="H248" s="91" t="n"/>
      <c r="I248" s="91" t="n"/>
      <c r="J248" s="91" t="n"/>
      <c r="K248" s="91" t="n"/>
      <c r="L248" s="91" t="n"/>
      <c r="M248" s="91" t="n"/>
      <c r="N248" s="91" t="n"/>
      <c r="O248" s="91" t="n"/>
      <c r="P248" s="91" t="n"/>
      <c r="Q248" s="91" t="n"/>
      <c r="R248" s="91" t="n"/>
      <c r="S248" s="91" t="n"/>
      <c r="T248" s="91" t="n"/>
      <c r="U248" s="91" t="n"/>
      <c r="V248" s="91" t="n"/>
      <c r="W248" s="91" t="n"/>
      <c r="X248" s="91" t="n"/>
      <c r="Y248" s="91" t="n"/>
      <c r="Z248" s="91" t="n"/>
      <c r="AA248" s="91" t="n"/>
      <c r="AB248" s="91" t="n"/>
      <c r="AC248" s="91" t="n"/>
      <c r="AD248" s="91" t="n"/>
      <c r="AE248" s="91" t="n"/>
      <c r="AF248" s="91" t="n"/>
      <c r="AG248" s="91" t="n"/>
    </row>
    <row r="249" ht="12.75" customHeight="1" s="117">
      <c r="A249" s="91" t="n"/>
      <c r="B249" s="91" t="n"/>
      <c r="C249" s="91" t="n"/>
      <c r="D249" s="91" t="n"/>
      <c r="E249" s="91" t="n"/>
      <c r="F249" s="91" t="n"/>
      <c r="G249" s="91" t="n"/>
      <c r="H249" s="91" t="n"/>
      <c r="I249" s="91" t="n"/>
      <c r="J249" s="91" t="n"/>
      <c r="K249" s="91" t="n"/>
      <c r="L249" s="91" t="n"/>
      <c r="M249" s="91" t="n"/>
      <c r="N249" s="91" t="n"/>
      <c r="O249" s="91" t="n"/>
      <c r="P249" s="91" t="n"/>
      <c r="Q249" s="91" t="n"/>
      <c r="R249" s="91" t="n"/>
      <c r="S249" s="91" t="n"/>
      <c r="T249" s="91" t="n"/>
      <c r="U249" s="91" t="n"/>
      <c r="V249" s="91" t="n"/>
      <c r="W249" s="91" t="n"/>
      <c r="X249" s="91" t="n"/>
      <c r="Y249" s="91" t="n"/>
      <c r="Z249" s="91" t="n"/>
      <c r="AA249" s="91" t="n"/>
      <c r="AB249" s="91" t="n"/>
      <c r="AC249" s="91" t="n"/>
      <c r="AD249" s="91" t="n"/>
      <c r="AE249" s="91" t="n"/>
      <c r="AF249" s="91" t="n"/>
      <c r="AG249" s="91" t="n"/>
    </row>
    <row r="250" ht="12.75" customHeight="1" s="117">
      <c r="A250" s="91" t="n"/>
      <c r="B250" s="91" t="n"/>
      <c r="C250" s="91" t="n"/>
      <c r="D250" s="91" t="n"/>
      <c r="E250" s="91" t="n"/>
      <c r="F250" s="91" t="n"/>
      <c r="G250" s="91" t="n"/>
      <c r="H250" s="91" t="n"/>
      <c r="I250" s="91" t="n"/>
      <c r="J250" s="91" t="n"/>
      <c r="K250" s="91" t="n"/>
      <c r="L250" s="91" t="n"/>
      <c r="M250" s="91" t="n"/>
      <c r="N250" s="91" t="n"/>
      <c r="O250" s="91" t="n"/>
      <c r="P250" s="91" t="n"/>
      <c r="Q250" s="91" t="n"/>
      <c r="R250" s="91" t="n"/>
      <c r="S250" s="91" t="n"/>
      <c r="T250" s="91" t="n"/>
      <c r="U250" s="91" t="n"/>
      <c r="V250" s="91" t="n"/>
      <c r="W250" s="91" t="n"/>
      <c r="X250" s="91" t="n"/>
      <c r="Y250" s="91" t="n"/>
      <c r="Z250" s="91" t="n"/>
      <c r="AA250" s="91" t="n"/>
      <c r="AB250" s="91" t="n"/>
      <c r="AC250" s="91" t="n"/>
      <c r="AD250" s="91" t="n"/>
      <c r="AE250" s="91" t="n"/>
      <c r="AF250" s="91" t="n"/>
      <c r="AG250" s="91" t="n"/>
    </row>
    <row r="251" ht="12.75" customHeight="1" s="117">
      <c r="A251" s="91" t="n"/>
      <c r="B251" s="91" t="n"/>
      <c r="C251" s="91" t="n"/>
      <c r="D251" s="91" t="n"/>
      <c r="E251" s="91" t="n"/>
      <c r="F251" s="91" t="n"/>
      <c r="G251" s="91" t="n"/>
      <c r="H251" s="91" t="n"/>
      <c r="I251" s="91" t="n"/>
      <c r="J251" s="91" t="n"/>
      <c r="K251" s="91" t="n"/>
      <c r="L251" s="91" t="n"/>
      <c r="M251" s="91" t="n"/>
      <c r="N251" s="91" t="n"/>
      <c r="O251" s="91" t="n"/>
      <c r="P251" s="91" t="n"/>
      <c r="Q251" s="91" t="n"/>
      <c r="R251" s="91" t="n"/>
      <c r="S251" s="91" t="n"/>
      <c r="T251" s="91" t="n"/>
      <c r="U251" s="91" t="n"/>
      <c r="V251" s="91" t="n"/>
      <c r="W251" s="91" t="n"/>
      <c r="X251" s="91" t="n"/>
      <c r="Y251" s="91" t="n"/>
      <c r="Z251" s="91" t="n"/>
      <c r="AA251" s="91" t="n"/>
      <c r="AB251" s="91" t="n"/>
      <c r="AC251" s="91" t="n"/>
      <c r="AD251" s="91" t="n"/>
      <c r="AE251" s="91" t="n"/>
      <c r="AF251" s="91" t="n"/>
      <c r="AG251" s="91" t="n"/>
    </row>
    <row r="252" ht="12.75" customHeight="1" s="117">
      <c r="A252" s="91" t="n"/>
      <c r="B252" s="91" t="n"/>
      <c r="C252" s="91" t="n"/>
      <c r="D252" s="91" t="n"/>
      <c r="E252" s="91" t="n"/>
      <c r="F252" s="91" t="n"/>
      <c r="G252" s="91" t="n"/>
      <c r="H252" s="91" t="n"/>
      <c r="I252" s="91" t="n"/>
      <c r="J252" s="91" t="n"/>
      <c r="K252" s="91" t="n"/>
      <c r="L252" s="91" t="n"/>
      <c r="M252" s="91" t="n"/>
      <c r="N252" s="91" t="n"/>
      <c r="O252" s="91" t="n"/>
      <c r="P252" s="91" t="n"/>
      <c r="Q252" s="91" t="n"/>
      <c r="R252" s="91" t="n"/>
      <c r="S252" s="91" t="n"/>
      <c r="T252" s="91" t="n"/>
      <c r="U252" s="91" t="n"/>
      <c r="V252" s="91" t="n"/>
      <c r="W252" s="91" t="n"/>
      <c r="X252" s="91" t="n"/>
      <c r="Y252" s="91" t="n"/>
      <c r="Z252" s="91" t="n"/>
      <c r="AA252" s="91" t="n"/>
      <c r="AB252" s="91" t="n"/>
      <c r="AC252" s="91" t="n"/>
      <c r="AD252" s="91" t="n"/>
      <c r="AE252" s="91" t="n"/>
      <c r="AF252" s="91" t="n"/>
      <c r="AG252" s="91" t="n"/>
    </row>
    <row r="253" ht="12.75" customHeight="1" s="117">
      <c r="A253" s="91" t="n"/>
      <c r="B253" s="91" t="n"/>
      <c r="C253" s="91" t="n"/>
      <c r="D253" s="91" t="n"/>
      <c r="E253" s="91" t="n"/>
      <c r="F253" s="91" t="n"/>
      <c r="G253" s="91" t="n"/>
      <c r="H253" s="91" t="n"/>
      <c r="I253" s="91" t="n"/>
      <c r="J253" s="91" t="n"/>
      <c r="K253" s="91" t="n"/>
      <c r="L253" s="91" t="n"/>
      <c r="M253" s="91" t="n"/>
      <c r="N253" s="91" t="n"/>
      <c r="O253" s="91" t="n"/>
      <c r="P253" s="91" t="n"/>
      <c r="Q253" s="91" t="n"/>
      <c r="R253" s="91" t="n"/>
      <c r="S253" s="91" t="n"/>
      <c r="T253" s="91" t="n"/>
      <c r="U253" s="91" t="n"/>
      <c r="V253" s="91" t="n"/>
      <c r="W253" s="91" t="n"/>
      <c r="X253" s="91" t="n"/>
      <c r="Y253" s="91" t="n"/>
      <c r="Z253" s="91" t="n"/>
      <c r="AA253" s="91" t="n"/>
      <c r="AB253" s="91" t="n"/>
      <c r="AC253" s="91" t="n"/>
      <c r="AD253" s="91" t="n"/>
      <c r="AE253" s="91" t="n"/>
      <c r="AF253" s="91" t="n"/>
      <c r="AG253" s="91" t="n"/>
    </row>
    <row r="254" ht="12.75" customHeight="1" s="117">
      <c r="A254" s="91" t="n"/>
      <c r="B254" s="91" t="n"/>
      <c r="C254" s="91" t="n"/>
      <c r="D254" s="91" t="n"/>
      <c r="E254" s="91" t="n"/>
      <c r="F254" s="91" t="n"/>
      <c r="G254" s="91" t="n"/>
      <c r="H254" s="91" t="n"/>
      <c r="I254" s="91" t="n"/>
      <c r="J254" s="91" t="n"/>
      <c r="K254" s="91" t="n"/>
      <c r="L254" s="91" t="n"/>
      <c r="M254" s="91" t="n"/>
      <c r="N254" s="91" t="n"/>
      <c r="O254" s="91" t="n"/>
      <c r="P254" s="91" t="n"/>
      <c r="Q254" s="91" t="n"/>
      <c r="R254" s="91" t="n"/>
      <c r="S254" s="91" t="n"/>
      <c r="T254" s="91" t="n"/>
      <c r="U254" s="91" t="n"/>
      <c r="V254" s="91" t="n"/>
      <c r="W254" s="91" t="n"/>
      <c r="X254" s="91" t="n"/>
      <c r="Y254" s="91" t="n"/>
      <c r="Z254" s="91" t="n"/>
      <c r="AA254" s="91" t="n"/>
      <c r="AB254" s="91" t="n"/>
      <c r="AC254" s="91" t="n"/>
      <c r="AD254" s="91" t="n"/>
      <c r="AE254" s="91" t="n"/>
      <c r="AF254" s="91" t="n"/>
      <c r="AG254" s="91" t="n"/>
    </row>
    <row r="255" ht="12.75" customHeight="1" s="117">
      <c r="A255" s="91" t="n"/>
      <c r="B255" s="91" t="n"/>
      <c r="C255" s="91" t="n"/>
      <c r="D255" s="91" t="n"/>
      <c r="E255" s="91" t="n"/>
      <c r="F255" s="91" t="n"/>
      <c r="G255" s="91" t="n"/>
      <c r="H255" s="91" t="n"/>
      <c r="I255" s="91" t="n"/>
      <c r="J255" s="91" t="n"/>
      <c r="K255" s="91" t="n"/>
      <c r="L255" s="91" t="n"/>
      <c r="M255" s="91" t="n"/>
      <c r="N255" s="91" t="n"/>
      <c r="O255" s="91" t="n"/>
      <c r="P255" s="91" t="n"/>
      <c r="Q255" s="91" t="n"/>
      <c r="R255" s="91" t="n"/>
      <c r="S255" s="91" t="n"/>
      <c r="T255" s="91" t="n"/>
      <c r="U255" s="91" t="n"/>
      <c r="V255" s="91" t="n"/>
      <c r="W255" s="91" t="n"/>
      <c r="X255" s="91" t="n"/>
      <c r="Y255" s="91" t="n"/>
      <c r="Z255" s="91" t="n"/>
      <c r="AA255" s="91" t="n"/>
      <c r="AB255" s="91" t="n"/>
      <c r="AC255" s="91" t="n"/>
      <c r="AD255" s="91" t="n"/>
      <c r="AE255" s="91" t="n"/>
      <c r="AF255" s="91" t="n"/>
      <c r="AG255" s="91" t="n"/>
    </row>
    <row r="256" ht="12.75" customHeight="1" s="117">
      <c r="A256" s="91" t="n"/>
      <c r="B256" s="91" t="n"/>
      <c r="C256" s="91" t="n"/>
      <c r="D256" s="91" t="n"/>
      <c r="E256" s="91" t="n"/>
      <c r="F256" s="91" t="n"/>
      <c r="G256" s="91" t="n"/>
      <c r="H256" s="91" t="n"/>
      <c r="I256" s="91" t="n"/>
      <c r="J256" s="91" t="n"/>
      <c r="K256" s="91" t="n"/>
      <c r="L256" s="91" t="n"/>
      <c r="M256" s="91" t="n"/>
      <c r="N256" s="91" t="n"/>
      <c r="O256" s="91" t="n"/>
      <c r="P256" s="91" t="n"/>
      <c r="Q256" s="91" t="n"/>
      <c r="R256" s="91" t="n"/>
      <c r="S256" s="91" t="n"/>
      <c r="T256" s="91" t="n"/>
      <c r="U256" s="91" t="n"/>
      <c r="V256" s="91" t="n"/>
      <c r="W256" s="91" t="n"/>
      <c r="X256" s="91" t="n"/>
      <c r="Y256" s="91" t="n"/>
      <c r="Z256" s="91" t="n"/>
      <c r="AA256" s="91" t="n"/>
      <c r="AB256" s="91" t="n"/>
      <c r="AC256" s="91" t="n"/>
      <c r="AD256" s="91" t="n"/>
      <c r="AE256" s="91" t="n"/>
      <c r="AF256" s="91" t="n"/>
      <c r="AG256" s="91" t="n"/>
    </row>
    <row r="257" ht="12.75" customHeight="1" s="117">
      <c r="A257" s="91" t="n"/>
      <c r="B257" s="91" t="n"/>
      <c r="C257" s="91" t="n"/>
      <c r="D257" s="91" t="n"/>
      <c r="E257" s="91" t="n"/>
      <c r="F257" s="91" t="n"/>
      <c r="G257" s="91" t="n"/>
      <c r="H257" s="91" t="n"/>
      <c r="I257" s="91" t="n"/>
      <c r="J257" s="91" t="n"/>
      <c r="K257" s="91" t="n"/>
      <c r="L257" s="91" t="n"/>
      <c r="M257" s="91" t="n"/>
      <c r="N257" s="91" t="n"/>
      <c r="O257" s="91" t="n"/>
      <c r="P257" s="91" t="n"/>
      <c r="Q257" s="91" t="n"/>
      <c r="R257" s="91" t="n"/>
      <c r="S257" s="91" t="n"/>
      <c r="T257" s="91" t="n"/>
      <c r="U257" s="91" t="n"/>
      <c r="V257" s="91" t="n"/>
      <c r="W257" s="91" t="n"/>
      <c r="X257" s="91" t="n"/>
      <c r="Y257" s="91" t="n"/>
      <c r="Z257" s="91" t="n"/>
      <c r="AA257" s="91" t="n"/>
      <c r="AB257" s="91" t="n"/>
      <c r="AC257" s="91" t="n"/>
      <c r="AD257" s="91" t="n"/>
      <c r="AE257" s="91" t="n"/>
      <c r="AF257" s="91" t="n"/>
      <c r="AG257" s="91" t="n"/>
    </row>
    <row r="258" ht="12.75" customHeight="1" s="117">
      <c r="A258" s="91" t="n"/>
      <c r="B258" s="91" t="n"/>
      <c r="C258" s="91" t="n"/>
      <c r="D258" s="91" t="n"/>
      <c r="E258" s="91" t="n"/>
      <c r="F258" s="91" t="n"/>
      <c r="G258" s="91" t="n"/>
      <c r="H258" s="91" t="n"/>
      <c r="I258" s="91" t="n"/>
      <c r="J258" s="91" t="n"/>
      <c r="K258" s="91" t="n"/>
      <c r="L258" s="91" t="n"/>
      <c r="M258" s="91" t="n"/>
      <c r="N258" s="91" t="n"/>
      <c r="O258" s="91" t="n"/>
      <c r="P258" s="91" t="n"/>
      <c r="Q258" s="91" t="n"/>
      <c r="R258" s="91" t="n"/>
      <c r="S258" s="91" t="n"/>
      <c r="T258" s="91" t="n"/>
      <c r="U258" s="91" t="n"/>
      <c r="V258" s="91" t="n"/>
      <c r="W258" s="91" t="n"/>
      <c r="X258" s="91" t="n"/>
      <c r="Y258" s="91" t="n"/>
      <c r="Z258" s="91" t="n"/>
      <c r="AA258" s="91" t="n"/>
      <c r="AB258" s="91" t="n"/>
      <c r="AC258" s="91" t="n"/>
      <c r="AD258" s="91" t="n"/>
      <c r="AE258" s="91" t="n"/>
      <c r="AF258" s="91" t="n"/>
      <c r="AG258" s="91" t="n"/>
    </row>
    <row r="259" ht="12.75" customHeight="1" s="117">
      <c r="A259" s="91" t="n"/>
      <c r="B259" s="91" t="n"/>
      <c r="C259" s="91" t="n"/>
      <c r="D259" s="91" t="n"/>
      <c r="E259" s="91" t="n"/>
      <c r="F259" s="91" t="n"/>
      <c r="G259" s="91" t="n"/>
      <c r="H259" s="91" t="n"/>
      <c r="I259" s="91" t="n"/>
      <c r="J259" s="91" t="n"/>
      <c r="K259" s="91" t="n"/>
      <c r="L259" s="91" t="n"/>
      <c r="M259" s="91" t="n"/>
      <c r="N259" s="91" t="n"/>
      <c r="O259" s="91" t="n"/>
      <c r="P259" s="91" t="n"/>
      <c r="Q259" s="91" t="n"/>
      <c r="R259" s="91" t="n"/>
      <c r="S259" s="91" t="n"/>
      <c r="T259" s="91" t="n"/>
      <c r="U259" s="91" t="n"/>
      <c r="V259" s="91" t="n"/>
      <c r="W259" s="91" t="n"/>
      <c r="X259" s="91" t="n"/>
      <c r="Y259" s="91" t="n"/>
      <c r="Z259" s="91" t="n"/>
      <c r="AA259" s="91" t="n"/>
      <c r="AB259" s="91" t="n"/>
      <c r="AC259" s="91" t="n"/>
      <c r="AD259" s="91" t="n"/>
      <c r="AE259" s="91" t="n"/>
      <c r="AF259" s="91" t="n"/>
      <c r="AG259" s="91" t="n"/>
    </row>
    <row r="260" ht="12.75" customHeight="1" s="117">
      <c r="A260" s="91" t="n"/>
      <c r="B260" s="91" t="n"/>
      <c r="C260" s="91" t="n"/>
      <c r="D260" s="91" t="n"/>
      <c r="E260" s="91" t="n"/>
      <c r="F260" s="91" t="n"/>
      <c r="G260" s="91" t="n"/>
      <c r="H260" s="91" t="n"/>
      <c r="I260" s="91" t="n"/>
      <c r="J260" s="91" t="n"/>
      <c r="K260" s="91" t="n"/>
      <c r="L260" s="91" t="n"/>
      <c r="M260" s="91" t="n"/>
      <c r="N260" s="91" t="n"/>
      <c r="O260" s="91" t="n"/>
      <c r="P260" s="91" t="n"/>
      <c r="Q260" s="91" t="n"/>
      <c r="R260" s="91" t="n"/>
      <c r="S260" s="91" t="n"/>
      <c r="T260" s="91" t="n"/>
      <c r="U260" s="91" t="n"/>
      <c r="V260" s="91" t="n"/>
      <c r="W260" s="91" t="n"/>
      <c r="X260" s="91" t="n"/>
      <c r="Y260" s="91" t="n"/>
      <c r="Z260" s="91" t="n"/>
      <c r="AA260" s="91" t="n"/>
      <c r="AB260" s="91" t="n"/>
      <c r="AC260" s="91" t="n"/>
      <c r="AD260" s="91" t="n"/>
      <c r="AE260" s="91" t="n"/>
      <c r="AF260" s="91" t="n"/>
      <c r="AG260" s="91" t="n"/>
    </row>
    <row r="261" ht="12.75" customHeight="1" s="117">
      <c r="A261" s="91" t="n"/>
      <c r="B261" s="91" t="n"/>
      <c r="C261" s="91" t="n"/>
      <c r="D261" s="91" t="n"/>
      <c r="E261" s="91" t="n"/>
      <c r="F261" s="91" t="n"/>
      <c r="G261" s="91" t="n"/>
      <c r="H261" s="91" t="n"/>
      <c r="I261" s="91" t="n"/>
      <c r="J261" s="91" t="n"/>
      <c r="K261" s="91" t="n"/>
      <c r="L261" s="91" t="n"/>
      <c r="M261" s="91" t="n"/>
      <c r="N261" s="91" t="n"/>
      <c r="O261" s="91" t="n"/>
      <c r="P261" s="91" t="n"/>
      <c r="Q261" s="91" t="n"/>
      <c r="R261" s="91" t="n"/>
      <c r="S261" s="91" t="n"/>
      <c r="T261" s="91" t="n"/>
      <c r="U261" s="91" t="n"/>
      <c r="V261" s="91" t="n"/>
      <c r="W261" s="91" t="n"/>
      <c r="X261" s="91" t="n"/>
      <c r="Y261" s="91" t="n"/>
      <c r="Z261" s="91" t="n"/>
      <c r="AA261" s="91" t="n"/>
      <c r="AB261" s="91" t="n"/>
      <c r="AC261" s="91" t="n"/>
      <c r="AD261" s="91" t="n"/>
      <c r="AE261" s="91" t="n"/>
      <c r="AF261" s="91" t="n"/>
      <c r="AG261" s="91" t="n"/>
    </row>
    <row r="262" ht="12.75" customHeight="1" s="117">
      <c r="A262" s="91" t="n"/>
      <c r="B262" s="91" t="n"/>
      <c r="C262" s="91" t="n"/>
      <c r="D262" s="91" t="n"/>
      <c r="E262" s="91" t="n"/>
      <c r="F262" s="91" t="n"/>
      <c r="G262" s="91" t="n"/>
      <c r="H262" s="91" t="n"/>
      <c r="I262" s="91" t="n"/>
      <c r="J262" s="91" t="n"/>
      <c r="K262" s="91" t="n"/>
      <c r="L262" s="91" t="n"/>
      <c r="M262" s="91" t="n"/>
      <c r="N262" s="91" t="n"/>
      <c r="O262" s="91" t="n"/>
      <c r="P262" s="91" t="n"/>
      <c r="Q262" s="91" t="n"/>
      <c r="R262" s="91" t="n"/>
      <c r="S262" s="91" t="n"/>
      <c r="T262" s="91" t="n"/>
      <c r="U262" s="91" t="n"/>
      <c r="V262" s="91" t="n"/>
      <c r="W262" s="91" t="n"/>
      <c r="X262" s="91" t="n"/>
      <c r="Y262" s="91" t="n"/>
      <c r="Z262" s="91" t="n"/>
      <c r="AA262" s="91" t="n"/>
      <c r="AB262" s="91" t="n"/>
      <c r="AC262" s="91" t="n"/>
      <c r="AD262" s="91" t="n"/>
      <c r="AE262" s="91" t="n"/>
      <c r="AF262" s="91" t="n"/>
      <c r="AG262" s="91" t="n"/>
    </row>
    <row r="263" ht="12.75" customHeight="1" s="117">
      <c r="A263" s="91" t="n"/>
      <c r="B263" s="91" t="n"/>
      <c r="C263" s="91" t="n"/>
      <c r="D263" s="91" t="n"/>
      <c r="E263" s="91" t="n"/>
      <c r="F263" s="91" t="n"/>
      <c r="G263" s="91" t="n"/>
      <c r="H263" s="91" t="n"/>
      <c r="I263" s="91" t="n"/>
      <c r="J263" s="91" t="n"/>
      <c r="K263" s="91" t="n"/>
      <c r="L263" s="91" t="n"/>
      <c r="M263" s="91" t="n"/>
      <c r="N263" s="91" t="n"/>
      <c r="O263" s="91" t="n"/>
      <c r="P263" s="91" t="n"/>
      <c r="Q263" s="91" t="n"/>
      <c r="R263" s="91" t="n"/>
      <c r="S263" s="91" t="n"/>
      <c r="T263" s="91" t="n"/>
      <c r="U263" s="91" t="n"/>
      <c r="V263" s="91" t="n"/>
      <c r="W263" s="91" t="n"/>
      <c r="X263" s="91" t="n"/>
      <c r="Y263" s="91" t="n"/>
      <c r="Z263" s="91" t="n"/>
      <c r="AA263" s="91" t="n"/>
      <c r="AB263" s="91" t="n"/>
      <c r="AC263" s="91" t="n"/>
      <c r="AD263" s="91" t="n"/>
      <c r="AE263" s="91" t="n"/>
      <c r="AF263" s="91" t="n"/>
      <c r="AG263" s="91" t="n"/>
    </row>
    <row r="264" ht="12.75" customHeight="1" s="117">
      <c r="A264" s="91" t="n"/>
      <c r="B264" s="91" t="n"/>
      <c r="C264" s="91" t="n"/>
      <c r="D264" s="91" t="n"/>
      <c r="E264" s="91" t="n"/>
      <c r="F264" s="91" t="n"/>
      <c r="G264" s="91" t="n"/>
      <c r="H264" s="91" t="n"/>
      <c r="I264" s="91" t="n"/>
      <c r="J264" s="91" t="n"/>
      <c r="K264" s="91" t="n"/>
      <c r="L264" s="91" t="n"/>
      <c r="M264" s="91" t="n"/>
      <c r="N264" s="91" t="n"/>
      <c r="O264" s="91" t="n"/>
      <c r="P264" s="91" t="n"/>
      <c r="Q264" s="91" t="n"/>
      <c r="R264" s="91" t="n"/>
      <c r="S264" s="91" t="n"/>
      <c r="T264" s="91" t="n"/>
      <c r="U264" s="91" t="n"/>
      <c r="V264" s="91" t="n"/>
      <c r="W264" s="91" t="n"/>
      <c r="X264" s="91" t="n"/>
      <c r="Y264" s="91" t="n"/>
      <c r="Z264" s="91" t="n"/>
      <c r="AA264" s="91" t="n"/>
      <c r="AB264" s="91" t="n"/>
      <c r="AC264" s="91" t="n"/>
      <c r="AD264" s="91" t="n"/>
      <c r="AE264" s="91" t="n"/>
      <c r="AF264" s="91" t="n"/>
      <c r="AG264" s="91" t="n"/>
    </row>
    <row r="265" ht="12.75" customHeight="1" s="117">
      <c r="A265" s="91" t="n"/>
      <c r="B265" s="91" t="n"/>
      <c r="C265" s="91" t="n"/>
      <c r="D265" s="91" t="n"/>
      <c r="E265" s="91" t="n"/>
      <c r="F265" s="91" t="n"/>
      <c r="G265" s="91" t="n"/>
      <c r="H265" s="91" t="n"/>
      <c r="I265" s="91" t="n"/>
      <c r="J265" s="91" t="n"/>
      <c r="K265" s="91" t="n"/>
      <c r="L265" s="91" t="n"/>
      <c r="M265" s="91" t="n"/>
      <c r="N265" s="91" t="n"/>
      <c r="O265" s="91" t="n"/>
      <c r="P265" s="91" t="n"/>
      <c r="Q265" s="91" t="n"/>
      <c r="R265" s="91" t="n"/>
      <c r="S265" s="91" t="n"/>
      <c r="T265" s="91" t="n"/>
      <c r="U265" s="91" t="n"/>
      <c r="V265" s="91" t="n"/>
      <c r="W265" s="91" t="n"/>
      <c r="X265" s="91" t="n"/>
      <c r="Y265" s="91" t="n"/>
      <c r="Z265" s="91" t="n"/>
      <c r="AA265" s="91" t="n"/>
      <c r="AB265" s="91" t="n"/>
      <c r="AC265" s="91" t="n"/>
      <c r="AD265" s="91" t="n"/>
      <c r="AE265" s="91" t="n"/>
      <c r="AF265" s="91" t="n"/>
      <c r="AG265" s="91" t="n"/>
    </row>
    <row r="266" ht="12.75" customHeight="1" s="117">
      <c r="A266" s="91" t="n"/>
      <c r="B266" s="91" t="n"/>
      <c r="C266" s="91" t="n"/>
      <c r="D266" s="91" t="n"/>
      <c r="E266" s="91" t="n"/>
      <c r="F266" s="91" t="n"/>
      <c r="G266" s="91" t="n"/>
      <c r="H266" s="91" t="n"/>
      <c r="I266" s="91" t="n"/>
      <c r="J266" s="91" t="n"/>
      <c r="K266" s="91" t="n"/>
      <c r="L266" s="91" t="n"/>
      <c r="M266" s="91" t="n"/>
      <c r="N266" s="91" t="n"/>
      <c r="O266" s="91" t="n"/>
      <c r="P266" s="91" t="n"/>
      <c r="Q266" s="91" t="n"/>
      <c r="R266" s="91" t="n"/>
      <c r="S266" s="91" t="n"/>
      <c r="T266" s="91" t="n"/>
      <c r="U266" s="91" t="n"/>
      <c r="V266" s="91" t="n"/>
      <c r="W266" s="91" t="n"/>
      <c r="X266" s="91" t="n"/>
      <c r="Y266" s="91" t="n"/>
      <c r="Z266" s="91" t="n"/>
      <c r="AA266" s="91" t="n"/>
      <c r="AB266" s="91" t="n"/>
      <c r="AC266" s="91" t="n"/>
      <c r="AD266" s="91" t="n"/>
      <c r="AE266" s="91" t="n"/>
      <c r="AF266" s="91" t="n"/>
      <c r="AG266" s="91" t="n"/>
    </row>
    <row r="267" ht="12.75" customHeight="1" s="117">
      <c r="A267" s="91" t="n"/>
      <c r="B267" s="91" t="n"/>
      <c r="C267" s="91" t="n"/>
      <c r="D267" s="91" t="n"/>
      <c r="E267" s="91" t="n"/>
      <c r="F267" s="91" t="n"/>
      <c r="G267" s="91" t="n"/>
      <c r="H267" s="91" t="n"/>
      <c r="I267" s="91" t="n"/>
      <c r="J267" s="91" t="n"/>
      <c r="K267" s="91" t="n"/>
      <c r="L267" s="91" t="n"/>
      <c r="M267" s="91" t="n"/>
      <c r="N267" s="91" t="n"/>
      <c r="O267" s="91" t="n"/>
      <c r="P267" s="91" t="n"/>
      <c r="Q267" s="91" t="n"/>
      <c r="R267" s="91" t="n"/>
      <c r="S267" s="91" t="n"/>
      <c r="T267" s="91" t="n"/>
      <c r="U267" s="91" t="n"/>
      <c r="V267" s="91" t="n"/>
      <c r="W267" s="91" t="n"/>
      <c r="X267" s="91" t="n"/>
      <c r="Y267" s="91" t="n"/>
      <c r="Z267" s="91" t="n"/>
      <c r="AA267" s="91" t="n"/>
      <c r="AB267" s="91" t="n"/>
      <c r="AC267" s="91" t="n"/>
      <c r="AD267" s="91" t="n"/>
      <c r="AE267" s="91" t="n"/>
      <c r="AF267" s="91" t="n"/>
      <c r="AG267" s="91" t="n"/>
    </row>
    <row r="268" ht="12.75" customHeight="1" s="117">
      <c r="A268" s="91" t="n"/>
      <c r="B268" s="91" t="n"/>
      <c r="C268" s="91" t="n"/>
      <c r="D268" s="91" t="n"/>
      <c r="E268" s="91" t="n"/>
      <c r="F268" s="91" t="n"/>
      <c r="G268" s="91" t="n"/>
      <c r="H268" s="91" t="n"/>
      <c r="I268" s="91" t="n"/>
      <c r="J268" s="91" t="n"/>
      <c r="K268" s="91" t="n"/>
      <c r="L268" s="91" t="n"/>
      <c r="M268" s="91" t="n"/>
      <c r="N268" s="91" t="n"/>
      <c r="O268" s="91" t="n"/>
      <c r="P268" s="91" t="n"/>
      <c r="Q268" s="91" t="n"/>
      <c r="R268" s="91" t="n"/>
      <c r="S268" s="91" t="n"/>
      <c r="T268" s="91" t="n"/>
      <c r="U268" s="91" t="n"/>
      <c r="V268" s="91" t="n"/>
      <c r="W268" s="91" t="n"/>
      <c r="X268" s="91" t="n"/>
      <c r="Y268" s="91" t="n"/>
      <c r="Z268" s="91" t="n"/>
      <c r="AA268" s="91" t="n"/>
      <c r="AB268" s="91" t="n"/>
      <c r="AC268" s="91" t="n"/>
      <c r="AD268" s="91" t="n"/>
      <c r="AE268" s="91" t="n"/>
      <c r="AF268" s="91" t="n"/>
      <c r="AG268" s="91" t="n"/>
    </row>
    <row r="269" ht="12.75" customHeight="1" s="117">
      <c r="A269" s="91" t="n"/>
      <c r="B269" s="91" t="n"/>
      <c r="C269" s="91" t="n"/>
      <c r="D269" s="91" t="n"/>
      <c r="E269" s="91" t="n"/>
      <c r="F269" s="91" t="n"/>
      <c r="G269" s="91" t="n"/>
      <c r="H269" s="91" t="n"/>
      <c r="I269" s="91" t="n"/>
      <c r="J269" s="91" t="n"/>
      <c r="K269" s="91" t="n"/>
      <c r="L269" s="91" t="n"/>
      <c r="M269" s="91" t="n"/>
      <c r="N269" s="91" t="n"/>
      <c r="O269" s="91" t="n"/>
      <c r="P269" s="91" t="n"/>
      <c r="Q269" s="91" t="n"/>
      <c r="R269" s="91" t="n"/>
      <c r="S269" s="91" t="n"/>
      <c r="T269" s="91" t="n"/>
      <c r="U269" s="91" t="n"/>
      <c r="V269" s="91" t="n"/>
      <c r="W269" s="91" t="n"/>
      <c r="X269" s="91" t="n"/>
      <c r="Y269" s="91" t="n"/>
      <c r="Z269" s="91" t="n"/>
      <c r="AA269" s="91" t="n"/>
      <c r="AB269" s="91" t="n"/>
      <c r="AC269" s="91" t="n"/>
      <c r="AD269" s="91" t="n"/>
      <c r="AE269" s="91" t="n"/>
      <c r="AF269" s="91" t="n"/>
      <c r="AG269" s="91" t="n"/>
    </row>
    <row r="270" ht="12.75" customHeight="1" s="117">
      <c r="A270" s="91" t="n"/>
      <c r="B270" s="91" t="n"/>
      <c r="C270" s="91" t="n"/>
      <c r="D270" s="91" t="n"/>
      <c r="E270" s="91" t="n"/>
      <c r="F270" s="91" t="n"/>
      <c r="G270" s="91" t="n"/>
      <c r="H270" s="91" t="n"/>
      <c r="I270" s="91" t="n"/>
      <c r="J270" s="91" t="n"/>
      <c r="K270" s="91" t="n"/>
      <c r="L270" s="91" t="n"/>
      <c r="M270" s="91" t="n"/>
      <c r="N270" s="91" t="n"/>
      <c r="O270" s="91" t="n"/>
      <c r="P270" s="91" t="n"/>
      <c r="Q270" s="91" t="n"/>
      <c r="R270" s="91" t="n"/>
      <c r="S270" s="91" t="n"/>
      <c r="T270" s="91" t="n"/>
      <c r="U270" s="91" t="n"/>
      <c r="V270" s="91" t="n"/>
      <c r="W270" s="91" t="n"/>
      <c r="X270" s="91" t="n"/>
      <c r="Y270" s="91" t="n"/>
      <c r="Z270" s="91" t="n"/>
      <c r="AA270" s="91" t="n"/>
      <c r="AB270" s="91" t="n"/>
      <c r="AC270" s="91" t="n"/>
      <c r="AD270" s="91" t="n"/>
      <c r="AE270" s="91" t="n"/>
      <c r="AF270" s="91" t="n"/>
      <c r="AG270" s="91" t="n"/>
    </row>
    <row r="271" ht="12.75" customHeight="1" s="117">
      <c r="A271" s="91" t="n"/>
      <c r="B271" s="91" t="n"/>
      <c r="C271" s="91" t="n"/>
      <c r="D271" s="91" t="n"/>
      <c r="E271" s="91" t="n"/>
      <c r="F271" s="91" t="n"/>
      <c r="G271" s="91" t="n"/>
      <c r="H271" s="91" t="n"/>
      <c r="I271" s="91" t="n"/>
      <c r="J271" s="91" t="n"/>
      <c r="K271" s="91" t="n"/>
      <c r="L271" s="91" t="n"/>
      <c r="M271" s="91" t="n"/>
      <c r="N271" s="91" t="n"/>
      <c r="O271" s="91" t="n"/>
      <c r="P271" s="91" t="n"/>
      <c r="Q271" s="91" t="n"/>
      <c r="R271" s="91" t="n"/>
      <c r="S271" s="91" t="n"/>
      <c r="T271" s="91" t="n"/>
      <c r="U271" s="91" t="n"/>
      <c r="V271" s="91" t="n"/>
      <c r="W271" s="91" t="n"/>
      <c r="X271" s="91" t="n"/>
      <c r="Y271" s="91" t="n"/>
      <c r="Z271" s="91" t="n"/>
      <c r="AA271" s="91" t="n"/>
      <c r="AB271" s="91" t="n"/>
      <c r="AC271" s="91" t="n"/>
      <c r="AD271" s="91" t="n"/>
      <c r="AE271" s="91" t="n"/>
      <c r="AF271" s="91" t="n"/>
      <c r="AG271" s="91" t="n"/>
    </row>
    <row r="272" ht="12.75" customHeight="1" s="117">
      <c r="A272" s="91" t="n"/>
      <c r="B272" s="91" t="n"/>
      <c r="C272" s="91" t="n"/>
      <c r="D272" s="91" t="n"/>
      <c r="E272" s="91" t="n"/>
      <c r="F272" s="91" t="n"/>
      <c r="G272" s="91" t="n"/>
      <c r="H272" s="91" t="n"/>
      <c r="I272" s="91" t="n"/>
      <c r="J272" s="91" t="n"/>
      <c r="K272" s="91" t="n"/>
      <c r="L272" s="91" t="n"/>
      <c r="M272" s="91" t="n"/>
      <c r="N272" s="91" t="n"/>
      <c r="O272" s="91" t="n"/>
      <c r="P272" s="91" t="n"/>
      <c r="Q272" s="91" t="n"/>
      <c r="R272" s="91" t="n"/>
      <c r="S272" s="91" t="n"/>
      <c r="T272" s="91" t="n"/>
      <c r="U272" s="91" t="n"/>
      <c r="V272" s="91" t="n"/>
      <c r="W272" s="91" t="n"/>
      <c r="X272" s="91" t="n"/>
      <c r="Y272" s="91" t="n"/>
      <c r="Z272" s="91" t="n"/>
      <c r="AA272" s="91" t="n"/>
      <c r="AB272" s="91" t="n"/>
      <c r="AC272" s="91" t="n"/>
      <c r="AD272" s="91" t="n"/>
      <c r="AE272" s="91" t="n"/>
      <c r="AF272" s="91" t="n"/>
      <c r="AG272" s="91" t="n"/>
    </row>
    <row r="273" ht="12.75" customHeight="1" s="117">
      <c r="A273" s="91" t="n"/>
      <c r="B273" s="91" t="n"/>
      <c r="C273" s="91" t="n"/>
      <c r="D273" s="91" t="n"/>
      <c r="E273" s="91" t="n"/>
      <c r="F273" s="91" t="n"/>
      <c r="G273" s="91" t="n"/>
      <c r="H273" s="91" t="n"/>
      <c r="I273" s="91" t="n"/>
      <c r="J273" s="91" t="n"/>
      <c r="K273" s="91" t="n"/>
      <c r="L273" s="91" t="n"/>
      <c r="M273" s="91" t="n"/>
      <c r="N273" s="91" t="n"/>
      <c r="O273" s="91" t="n"/>
      <c r="P273" s="91" t="n"/>
      <c r="Q273" s="91" t="n"/>
      <c r="R273" s="91" t="n"/>
      <c r="S273" s="91" t="n"/>
      <c r="T273" s="91" t="n"/>
      <c r="U273" s="91" t="n"/>
      <c r="V273" s="91" t="n"/>
      <c r="W273" s="91" t="n"/>
      <c r="X273" s="91" t="n"/>
      <c r="Y273" s="91" t="n"/>
      <c r="Z273" s="91" t="n"/>
      <c r="AA273" s="91" t="n"/>
      <c r="AB273" s="91" t="n"/>
      <c r="AC273" s="91" t="n"/>
      <c r="AD273" s="91" t="n"/>
      <c r="AE273" s="91" t="n"/>
      <c r="AF273" s="91" t="n"/>
      <c r="AG273" s="91" t="n"/>
    </row>
    <row r="274" ht="12.75" customHeight="1" s="117">
      <c r="A274" s="91" t="n"/>
      <c r="B274" s="91" t="n"/>
      <c r="C274" s="91" t="n"/>
      <c r="D274" s="91" t="n"/>
      <c r="E274" s="91" t="n"/>
      <c r="F274" s="91" t="n"/>
      <c r="G274" s="91" t="n"/>
      <c r="H274" s="91" t="n"/>
      <c r="I274" s="91" t="n"/>
      <c r="J274" s="91" t="n"/>
      <c r="K274" s="91" t="n"/>
      <c r="L274" s="91" t="n"/>
      <c r="M274" s="91" t="n"/>
      <c r="N274" s="91" t="n"/>
      <c r="O274" s="91" t="n"/>
      <c r="P274" s="91" t="n"/>
      <c r="Q274" s="91" t="n"/>
      <c r="R274" s="91" t="n"/>
      <c r="S274" s="91" t="n"/>
      <c r="T274" s="91" t="n"/>
      <c r="U274" s="91" t="n"/>
      <c r="V274" s="91" t="n"/>
      <c r="W274" s="91" t="n"/>
      <c r="X274" s="91" t="n"/>
      <c r="Y274" s="91" t="n"/>
      <c r="Z274" s="91" t="n"/>
      <c r="AA274" s="91" t="n"/>
      <c r="AB274" s="91" t="n"/>
      <c r="AC274" s="91" t="n"/>
      <c r="AD274" s="91" t="n"/>
      <c r="AE274" s="91" t="n"/>
      <c r="AF274" s="91" t="n"/>
      <c r="AG274" s="91" t="n"/>
    </row>
    <row r="275" ht="12.75" customHeight="1" s="117">
      <c r="A275" s="91" t="n"/>
      <c r="B275" s="91" t="n"/>
      <c r="C275" s="91" t="n"/>
      <c r="D275" s="91" t="n"/>
      <c r="E275" s="91" t="n"/>
      <c r="F275" s="91" t="n"/>
      <c r="G275" s="91" t="n"/>
      <c r="H275" s="91" t="n"/>
      <c r="I275" s="91" t="n"/>
      <c r="J275" s="91" t="n"/>
      <c r="K275" s="91" t="n"/>
      <c r="L275" s="91" t="n"/>
      <c r="M275" s="91" t="n"/>
      <c r="N275" s="91" t="n"/>
      <c r="O275" s="91" t="n"/>
      <c r="P275" s="91" t="n"/>
      <c r="Q275" s="91" t="n"/>
      <c r="R275" s="91" t="n"/>
      <c r="S275" s="91" t="n"/>
      <c r="T275" s="91" t="n"/>
      <c r="U275" s="91" t="n"/>
      <c r="V275" s="91" t="n"/>
      <c r="W275" s="91" t="n"/>
      <c r="X275" s="91" t="n"/>
      <c r="Y275" s="91" t="n"/>
      <c r="Z275" s="91" t="n"/>
      <c r="AA275" s="91" t="n"/>
      <c r="AB275" s="91" t="n"/>
      <c r="AC275" s="91" t="n"/>
      <c r="AD275" s="91" t="n"/>
      <c r="AE275" s="91" t="n"/>
      <c r="AF275" s="91" t="n"/>
      <c r="AG275" s="91" t="n"/>
    </row>
    <row r="276" ht="12.75" customHeight="1" s="117">
      <c r="A276" s="91" t="n"/>
      <c r="B276" s="91" t="n"/>
      <c r="C276" s="91" t="n"/>
      <c r="D276" s="91" t="n"/>
      <c r="E276" s="91" t="n"/>
      <c r="F276" s="91" t="n"/>
      <c r="G276" s="91" t="n"/>
      <c r="H276" s="91" t="n"/>
      <c r="I276" s="91" t="n"/>
      <c r="J276" s="91" t="n"/>
      <c r="K276" s="91" t="n"/>
      <c r="L276" s="91" t="n"/>
      <c r="M276" s="91" t="n"/>
      <c r="N276" s="91" t="n"/>
      <c r="O276" s="91" t="n"/>
      <c r="P276" s="91" t="n"/>
      <c r="Q276" s="91" t="n"/>
      <c r="R276" s="91" t="n"/>
      <c r="S276" s="91" t="n"/>
      <c r="T276" s="91" t="n"/>
      <c r="U276" s="91" t="n"/>
      <c r="V276" s="91" t="n"/>
      <c r="W276" s="91" t="n"/>
      <c r="X276" s="91" t="n"/>
      <c r="Y276" s="91" t="n"/>
      <c r="Z276" s="91" t="n"/>
      <c r="AA276" s="91" t="n"/>
      <c r="AB276" s="91" t="n"/>
      <c r="AC276" s="91" t="n"/>
      <c r="AD276" s="91" t="n"/>
      <c r="AE276" s="91" t="n"/>
      <c r="AF276" s="91" t="n"/>
      <c r="AG276" s="91" t="n"/>
    </row>
    <row r="277" ht="12.75" customHeight="1" s="117">
      <c r="A277" s="91" t="n"/>
      <c r="B277" s="91" t="n"/>
      <c r="C277" s="91" t="n"/>
      <c r="D277" s="91" t="n"/>
      <c r="E277" s="91" t="n"/>
      <c r="F277" s="91" t="n"/>
      <c r="G277" s="91" t="n"/>
      <c r="H277" s="91" t="n"/>
      <c r="I277" s="91" t="n"/>
      <c r="J277" s="91" t="n"/>
      <c r="K277" s="91" t="n"/>
      <c r="L277" s="91" t="n"/>
      <c r="M277" s="91" t="n"/>
      <c r="N277" s="91" t="n"/>
      <c r="O277" s="91" t="n"/>
      <c r="P277" s="91" t="n"/>
      <c r="Q277" s="91" t="n"/>
      <c r="R277" s="91" t="n"/>
      <c r="S277" s="91" t="n"/>
      <c r="T277" s="91" t="n"/>
      <c r="U277" s="91" t="n"/>
      <c r="V277" s="91" t="n"/>
      <c r="W277" s="91" t="n"/>
      <c r="X277" s="91" t="n"/>
      <c r="Y277" s="91" t="n"/>
      <c r="Z277" s="91" t="n"/>
      <c r="AA277" s="91" t="n"/>
      <c r="AB277" s="91" t="n"/>
      <c r="AC277" s="91" t="n"/>
      <c r="AD277" s="91" t="n"/>
      <c r="AE277" s="91" t="n"/>
      <c r="AF277" s="91" t="n"/>
      <c r="AG277" s="91" t="n"/>
    </row>
    <row r="278" ht="12.75" customHeight="1" s="117">
      <c r="A278" s="91" t="n"/>
      <c r="B278" s="91" t="n"/>
      <c r="C278" s="91" t="n"/>
      <c r="D278" s="91" t="n"/>
      <c r="E278" s="91" t="n"/>
      <c r="F278" s="91" t="n"/>
      <c r="G278" s="91" t="n"/>
      <c r="H278" s="91" t="n"/>
      <c r="I278" s="91" t="n"/>
      <c r="J278" s="91" t="n"/>
      <c r="K278" s="91" t="n"/>
      <c r="L278" s="91" t="n"/>
      <c r="M278" s="91" t="n"/>
      <c r="N278" s="91" t="n"/>
      <c r="O278" s="91" t="n"/>
      <c r="P278" s="91" t="n"/>
      <c r="Q278" s="91" t="n"/>
      <c r="R278" s="91" t="n"/>
      <c r="S278" s="91" t="n"/>
      <c r="T278" s="91" t="n"/>
      <c r="U278" s="91" t="n"/>
      <c r="V278" s="91" t="n"/>
      <c r="W278" s="91" t="n"/>
      <c r="X278" s="91" t="n"/>
      <c r="Y278" s="91" t="n"/>
      <c r="Z278" s="91" t="n"/>
      <c r="AA278" s="91" t="n"/>
      <c r="AB278" s="91" t="n"/>
      <c r="AC278" s="91" t="n"/>
      <c r="AD278" s="91" t="n"/>
      <c r="AE278" s="91" t="n"/>
      <c r="AF278" s="91" t="n"/>
      <c r="AG278" s="91" t="n"/>
    </row>
    <row r="279" ht="12.75" customHeight="1" s="117">
      <c r="A279" s="91" t="n"/>
      <c r="B279" s="91" t="n"/>
      <c r="C279" s="91" t="n"/>
      <c r="D279" s="91" t="n"/>
      <c r="E279" s="91" t="n"/>
      <c r="F279" s="91" t="n"/>
      <c r="G279" s="91" t="n"/>
      <c r="H279" s="91" t="n"/>
      <c r="I279" s="91" t="n"/>
      <c r="J279" s="91" t="n"/>
      <c r="K279" s="91" t="n"/>
      <c r="L279" s="91" t="n"/>
      <c r="M279" s="91" t="n"/>
      <c r="N279" s="91" t="n"/>
      <c r="O279" s="91" t="n"/>
      <c r="P279" s="91" t="n"/>
      <c r="Q279" s="91" t="n"/>
      <c r="R279" s="91" t="n"/>
      <c r="S279" s="91" t="n"/>
      <c r="T279" s="91" t="n"/>
      <c r="U279" s="91" t="n"/>
      <c r="V279" s="91" t="n"/>
      <c r="W279" s="91" t="n"/>
      <c r="X279" s="91" t="n"/>
      <c r="Y279" s="91" t="n"/>
      <c r="Z279" s="91" t="n"/>
      <c r="AA279" s="91" t="n"/>
      <c r="AB279" s="91" t="n"/>
      <c r="AC279" s="91" t="n"/>
      <c r="AD279" s="91" t="n"/>
      <c r="AE279" s="91" t="n"/>
      <c r="AF279" s="91" t="n"/>
      <c r="AG279" s="91" t="n"/>
    </row>
    <row r="280" ht="12.75" customHeight="1" s="117">
      <c r="A280" s="91" t="n"/>
      <c r="B280" s="91" t="n"/>
      <c r="C280" s="91" t="n"/>
      <c r="D280" s="91" t="n"/>
      <c r="E280" s="91" t="n"/>
      <c r="F280" s="91" t="n"/>
      <c r="G280" s="91" t="n"/>
      <c r="H280" s="91" t="n"/>
      <c r="I280" s="91" t="n"/>
      <c r="J280" s="91" t="n"/>
      <c r="K280" s="91" t="n"/>
      <c r="L280" s="91" t="n"/>
      <c r="M280" s="91" t="n"/>
      <c r="N280" s="91" t="n"/>
      <c r="O280" s="91" t="n"/>
      <c r="P280" s="91" t="n"/>
      <c r="Q280" s="91" t="n"/>
      <c r="R280" s="91" t="n"/>
      <c r="S280" s="91" t="n"/>
      <c r="T280" s="91" t="n"/>
      <c r="U280" s="91" t="n"/>
      <c r="V280" s="91" t="n"/>
      <c r="W280" s="91" t="n"/>
      <c r="X280" s="91" t="n"/>
      <c r="Y280" s="91" t="n"/>
      <c r="Z280" s="91" t="n"/>
      <c r="AA280" s="91" t="n"/>
      <c r="AB280" s="91" t="n"/>
      <c r="AC280" s="91" t="n"/>
      <c r="AD280" s="91" t="n"/>
      <c r="AE280" s="91" t="n"/>
      <c r="AF280" s="91" t="n"/>
      <c r="AG280" s="91" t="n"/>
    </row>
    <row r="281" ht="12.75" customHeight="1" s="117">
      <c r="A281" s="91" t="n"/>
      <c r="B281" s="91" t="n"/>
      <c r="C281" s="91" t="n"/>
      <c r="D281" s="91" t="n"/>
      <c r="E281" s="91" t="n"/>
      <c r="F281" s="91" t="n"/>
      <c r="G281" s="91" t="n"/>
      <c r="H281" s="91" t="n"/>
      <c r="I281" s="91" t="n"/>
      <c r="J281" s="91" t="n"/>
      <c r="K281" s="91" t="n"/>
      <c r="L281" s="91" t="n"/>
      <c r="M281" s="91" t="n"/>
      <c r="N281" s="91" t="n"/>
      <c r="O281" s="91" t="n"/>
      <c r="P281" s="91" t="n"/>
      <c r="Q281" s="91" t="n"/>
      <c r="R281" s="91" t="n"/>
      <c r="S281" s="91" t="n"/>
      <c r="T281" s="91" t="n"/>
      <c r="U281" s="91" t="n"/>
      <c r="V281" s="91" t="n"/>
      <c r="W281" s="91" t="n"/>
      <c r="X281" s="91" t="n"/>
      <c r="Y281" s="91" t="n"/>
      <c r="Z281" s="91" t="n"/>
      <c r="AA281" s="91" t="n"/>
      <c r="AB281" s="91" t="n"/>
      <c r="AC281" s="91" t="n"/>
      <c r="AD281" s="91" t="n"/>
      <c r="AE281" s="91" t="n"/>
      <c r="AF281" s="91" t="n"/>
      <c r="AG281" s="91" t="n"/>
    </row>
    <row r="282" ht="12.75" customHeight="1" s="117">
      <c r="A282" s="91" t="n"/>
      <c r="B282" s="91" t="n"/>
      <c r="C282" s="91" t="n"/>
      <c r="D282" s="91" t="n"/>
      <c r="E282" s="91" t="n"/>
      <c r="F282" s="91" t="n"/>
      <c r="G282" s="91" t="n"/>
      <c r="H282" s="91" t="n"/>
      <c r="I282" s="91" t="n"/>
      <c r="J282" s="91" t="n"/>
      <c r="K282" s="91" t="n"/>
      <c r="L282" s="91" t="n"/>
      <c r="M282" s="91" t="n"/>
      <c r="N282" s="91" t="n"/>
      <c r="O282" s="91" t="n"/>
      <c r="P282" s="91" t="n"/>
      <c r="Q282" s="91" t="n"/>
      <c r="R282" s="91" t="n"/>
      <c r="S282" s="91" t="n"/>
      <c r="T282" s="91" t="n"/>
      <c r="U282" s="91" t="n"/>
      <c r="V282" s="91" t="n"/>
      <c r="W282" s="91" t="n"/>
      <c r="X282" s="91" t="n"/>
      <c r="Y282" s="91" t="n"/>
      <c r="Z282" s="91" t="n"/>
      <c r="AA282" s="91" t="n"/>
      <c r="AB282" s="91" t="n"/>
      <c r="AC282" s="91" t="n"/>
      <c r="AD282" s="91" t="n"/>
      <c r="AE282" s="91" t="n"/>
      <c r="AF282" s="91" t="n"/>
      <c r="AG282" s="91" t="n"/>
    </row>
    <row r="283" ht="12.75" customHeight="1" s="117">
      <c r="A283" s="91" t="n"/>
      <c r="B283" s="91" t="n"/>
      <c r="C283" s="91" t="n"/>
      <c r="D283" s="91" t="n"/>
      <c r="E283" s="91" t="n"/>
      <c r="F283" s="91" t="n"/>
      <c r="G283" s="91" t="n"/>
      <c r="H283" s="91" t="n"/>
      <c r="I283" s="91" t="n"/>
      <c r="J283" s="91" t="n"/>
      <c r="K283" s="91" t="n"/>
      <c r="L283" s="91" t="n"/>
      <c r="M283" s="91" t="n"/>
      <c r="N283" s="91" t="n"/>
      <c r="O283" s="91" t="n"/>
      <c r="P283" s="91" t="n"/>
      <c r="Q283" s="91" t="n"/>
      <c r="R283" s="91" t="n"/>
      <c r="S283" s="91" t="n"/>
      <c r="T283" s="91" t="n"/>
      <c r="U283" s="91" t="n"/>
      <c r="V283" s="91" t="n"/>
      <c r="W283" s="91" t="n"/>
      <c r="X283" s="91" t="n"/>
      <c r="Y283" s="91" t="n"/>
      <c r="Z283" s="91" t="n"/>
      <c r="AA283" s="91" t="n"/>
      <c r="AB283" s="91" t="n"/>
      <c r="AC283" s="91" t="n"/>
      <c r="AD283" s="91" t="n"/>
      <c r="AE283" s="91" t="n"/>
      <c r="AF283" s="91" t="n"/>
      <c r="AG283" s="91" t="n"/>
    </row>
    <row r="284" ht="12.75" customHeight="1" s="117">
      <c r="A284" s="91" t="n"/>
      <c r="B284" s="91" t="n"/>
      <c r="C284" s="91" t="n"/>
      <c r="D284" s="91" t="n"/>
      <c r="E284" s="91" t="n"/>
      <c r="F284" s="91" t="n"/>
      <c r="G284" s="91" t="n"/>
      <c r="H284" s="91" t="n"/>
      <c r="I284" s="91" t="n"/>
      <c r="J284" s="91" t="n"/>
      <c r="K284" s="91" t="n"/>
      <c r="L284" s="91" t="n"/>
      <c r="M284" s="91" t="n"/>
      <c r="N284" s="91" t="n"/>
      <c r="O284" s="91" t="n"/>
      <c r="P284" s="91" t="n"/>
      <c r="Q284" s="91" t="n"/>
      <c r="R284" s="91" t="n"/>
      <c r="S284" s="91" t="n"/>
      <c r="T284" s="91" t="n"/>
      <c r="U284" s="91" t="n"/>
      <c r="V284" s="91" t="n"/>
      <c r="W284" s="91" t="n"/>
      <c r="X284" s="91" t="n"/>
      <c r="Y284" s="91" t="n"/>
      <c r="Z284" s="91" t="n"/>
      <c r="AA284" s="91" t="n"/>
      <c r="AB284" s="91" t="n"/>
      <c r="AC284" s="91" t="n"/>
      <c r="AD284" s="91" t="n"/>
      <c r="AE284" s="91" t="n"/>
      <c r="AF284" s="91" t="n"/>
      <c r="AG284" s="91" t="n"/>
    </row>
    <row r="285" ht="12.75" customHeight="1" s="117">
      <c r="A285" s="91" t="n"/>
      <c r="B285" s="91" t="n"/>
      <c r="C285" s="91" t="n"/>
      <c r="D285" s="91" t="n"/>
      <c r="E285" s="91" t="n"/>
      <c r="F285" s="91" t="n"/>
      <c r="G285" s="91" t="n"/>
      <c r="H285" s="91" t="n"/>
      <c r="I285" s="91" t="n"/>
      <c r="J285" s="91" t="n"/>
      <c r="K285" s="91" t="n"/>
      <c r="L285" s="91" t="n"/>
      <c r="M285" s="91" t="n"/>
      <c r="N285" s="91" t="n"/>
      <c r="O285" s="91" t="n"/>
      <c r="P285" s="91" t="n"/>
      <c r="Q285" s="91" t="n"/>
      <c r="R285" s="91" t="n"/>
      <c r="S285" s="91" t="n"/>
      <c r="T285" s="91" t="n"/>
      <c r="U285" s="91" t="n"/>
      <c r="V285" s="91" t="n"/>
      <c r="W285" s="91" t="n"/>
      <c r="X285" s="91" t="n"/>
      <c r="Y285" s="91" t="n"/>
      <c r="Z285" s="91" t="n"/>
      <c r="AA285" s="91" t="n"/>
      <c r="AB285" s="91" t="n"/>
      <c r="AC285" s="91" t="n"/>
      <c r="AD285" s="91" t="n"/>
      <c r="AE285" s="91" t="n"/>
      <c r="AF285" s="91" t="n"/>
      <c r="AG285" s="91" t="n"/>
    </row>
    <row r="286" ht="12.75" customHeight="1" s="117">
      <c r="A286" s="91" t="n"/>
      <c r="B286" s="91" t="n"/>
      <c r="C286" s="91" t="n"/>
      <c r="D286" s="91" t="n"/>
      <c r="E286" s="91" t="n"/>
      <c r="F286" s="91" t="n"/>
      <c r="G286" s="91" t="n"/>
      <c r="H286" s="91" t="n"/>
      <c r="I286" s="91" t="n"/>
      <c r="J286" s="91" t="n"/>
      <c r="K286" s="91" t="n"/>
      <c r="L286" s="91" t="n"/>
      <c r="M286" s="91" t="n"/>
      <c r="N286" s="91" t="n"/>
      <c r="O286" s="91" t="n"/>
      <c r="P286" s="91" t="n"/>
      <c r="Q286" s="91" t="n"/>
      <c r="R286" s="91" t="n"/>
      <c r="S286" s="91" t="n"/>
      <c r="T286" s="91" t="n"/>
      <c r="U286" s="91" t="n"/>
      <c r="V286" s="91" t="n"/>
      <c r="W286" s="91" t="n"/>
      <c r="X286" s="91" t="n"/>
      <c r="Y286" s="91" t="n"/>
      <c r="Z286" s="91" t="n"/>
      <c r="AA286" s="91" t="n"/>
      <c r="AB286" s="91" t="n"/>
      <c r="AC286" s="91" t="n"/>
      <c r="AD286" s="91" t="n"/>
      <c r="AE286" s="91" t="n"/>
      <c r="AF286" s="91" t="n"/>
      <c r="AG286" s="91" t="n"/>
    </row>
    <row r="287" ht="12.75" customHeight="1" s="117">
      <c r="A287" s="91" t="n"/>
      <c r="B287" s="91" t="n"/>
      <c r="C287" s="91" t="n"/>
      <c r="D287" s="91" t="n"/>
      <c r="E287" s="91" t="n"/>
      <c r="F287" s="91" t="n"/>
      <c r="G287" s="91" t="n"/>
      <c r="H287" s="91" t="n"/>
      <c r="I287" s="91" t="n"/>
      <c r="J287" s="91" t="n"/>
      <c r="K287" s="91" t="n"/>
      <c r="L287" s="91" t="n"/>
      <c r="M287" s="91" t="n"/>
      <c r="N287" s="91" t="n"/>
      <c r="O287" s="91" t="n"/>
      <c r="P287" s="91" t="n"/>
      <c r="Q287" s="91" t="n"/>
      <c r="R287" s="91" t="n"/>
      <c r="S287" s="91" t="n"/>
      <c r="T287" s="91" t="n"/>
      <c r="U287" s="91" t="n"/>
      <c r="V287" s="91" t="n"/>
      <c r="W287" s="91" t="n"/>
      <c r="X287" s="91" t="n"/>
      <c r="Y287" s="91" t="n"/>
      <c r="Z287" s="91" t="n"/>
      <c r="AA287" s="91" t="n"/>
      <c r="AB287" s="91" t="n"/>
      <c r="AC287" s="91" t="n"/>
      <c r="AD287" s="91" t="n"/>
      <c r="AE287" s="91" t="n"/>
      <c r="AF287" s="91" t="n"/>
      <c r="AG287" s="91" t="n"/>
    </row>
    <row r="288" ht="12.75" customHeight="1" s="117">
      <c r="A288" s="91" t="n"/>
      <c r="B288" s="91" t="n"/>
      <c r="C288" s="91" t="n"/>
      <c r="D288" s="91" t="n"/>
      <c r="E288" s="91" t="n"/>
      <c r="F288" s="91" t="n"/>
      <c r="G288" s="91" t="n"/>
      <c r="H288" s="91" t="n"/>
      <c r="I288" s="91" t="n"/>
      <c r="J288" s="91" t="n"/>
      <c r="K288" s="91" t="n"/>
      <c r="L288" s="91" t="n"/>
      <c r="M288" s="91" t="n"/>
      <c r="N288" s="91" t="n"/>
      <c r="O288" s="91" t="n"/>
      <c r="P288" s="91" t="n"/>
      <c r="Q288" s="91" t="n"/>
      <c r="R288" s="91" t="n"/>
      <c r="S288" s="91" t="n"/>
      <c r="T288" s="91" t="n"/>
      <c r="U288" s="91" t="n"/>
      <c r="V288" s="91" t="n"/>
      <c r="W288" s="91" t="n"/>
      <c r="X288" s="91" t="n"/>
      <c r="Y288" s="91" t="n"/>
      <c r="Z288" s="91" t="n"/>
      <c r="AA288" s="91" t="n"/>
      <c r="AB288" s="91" t="n"/>
      <c r="AC288" s="91" t="n"/>
      <c r="AD288" s="91" t="n"/>
      <c r="AE288" s="91" t="n"/>
      <c r="AF288" s="91" t="n"/>
      <c r="AG288" s="91" t="n"/>
    </row>
    <row r="289" ht="12.75" customHeight="1" s="117">
      <c r="A289" s="91" t="n"/>
      <c r="B289" s="91" t="n"/>
      <c r="C289" s="91" t="n"/>
      <c r="D289" s="91" t="n"/>
      <c r="E289" s="91" t="n"/>
      <c r="F289" s="91" t="n"/>
      <c r="G289" s="91" t="n"/>
      <c r="H289" s="91" t="n"/>
      <c r="I289" s="91" t="n"/>
      <c r="J289" s="91" t="n"/>
      <c r="K289" s="91" t="n"/>
      <c r="L289" s="91" t="n"/>
      <c r="M289" s="91" t="n"/>
      <c r="N289" s="91" t="n"/>
      <c r="O289" s="91" t="n"/>
      <c r="P289" s="91" t="n"/>
      <c r="Q289" s="91" t="n"/>
      <c r="R289" s="91" t="n"/>
      <c r="S289" s="91" t="n"/>
      <c r="T289" s="91" t="n"/>
      <c r="U289" s="91" t="n"/>
      <c r="V289" s="91" t="n"/>
      <c r="W289" s="91" t="n"/>
      <c r="X289" s="91" t="n"/>
      <c r="Y289" s="91" t="n"/>
      <c r="Z289" s="91" t="n"/>
      <c r="AA289" s="91" t="n"/>
      <c r="AB289" s="91" t="n"/>
      <c r="AC289" s="91" t="n"/>
      <c r="AD289" s="91" t="n"/>
      <c r="AE289" s="91" t="n"/>
      <c r="AF289" s="91" t="n"/>
      <c r="AG289" s="91" t="n"/>
    </row>
    <row r="290" ht="12.75" customHeight="1" s="117">
      <c r="A290" s="91" t="n"/>
      <c r="B290" s="91" t="n"/>
      <c r="C290" s="91" t="n"/>
      <c r="D290" s="91" t="n"/>
      <c r="E290" s="91" t="n"/>
      <c r="F290" s="91" t="n"/>
      <c r="G290" s="91" t="n"/>
      <c r="H290" s="91" t="n"/>
      <c r="I290" s="91" t="n"/>
      <c r="J290" s="91" t="n"/>
      <c r="K290" s="91" t="n"/>
      <c r="L290" s="91" t="n"/>
      <c r="M290" s="91" t="n"/>
      <c r="N290" s="91" t="n"/>
      <c r="O290" s="91" t="n"/>
      <c r="P290" s="91" t="n"/>
      <c r="Q290" s="91" t="n"/>
      <c r="R290" s="91" t="n"/>
      <c r="S290" s="91" t="n"/>
      <c r="T290" s="91" t="n"/>
      <c r="U290" s="91" t="n"/>
      <c r="V290" s="91" t="n"/>
      <c r="W290" s="91" t="n"/>
      <c r="X290" s="91" t="n"/>
      <c r="Y290" s="91" t="n"/>
      <c r="Z290" s="91" t="n"/>
      <c r="AA290" s="91" t="n"/>
      <c r="AB290" s="91" t="n"/>
      <c r="AC290" s="91" t="n"/>
      <c r="AD290" s="91" t="n"/>
      <c r="AE290" s="91" t="n"/>
      <c r="AF290" s="91" t="n"/>
      <c r="AG290" s="91" t="n"/>
    </row>
    <row r="291" ht="12.75" customHeight="1" s="117">
      <c r="A291" s="91" t="n"/>
      <c r="B291" s="91" t="n"/>
      <c r="C291" s="91" t="n"/>
      <c r="D291" s="91" t="n"/>
      <c r="E291" s="91" t="n"/>
      <c r="F291" s="91" t="n"/>
      <c r="G291" s="91" t="n"/>
      <c r="H291" s="91" t="n"/>
      <c r="I291" s="91" t="n"/>
      <c r="J291" s="91" t="n"/>
      <c r="K291" s="91" t="n"/>
      <c r="L291" s="91" t="n"/>
      <c r="M291" s="91" t="n"/>
      <c r="N291" s="91" t="n"/>
      <c r="O291" s="91" t="n"/>
      <c r="P291" s="91" t="n"/>
      <c r="Q291" s="91" t="n"/>
      <c r="R291" s="91" t="n"/>
      <c r="S291" s="91" t="n"/>
      <c r="T291" s="91" t="n"/>
      <c r="U291" s="91" t="n"/>
      <c r="V291" s="91" t="n"/>
      <c r="W291" s="91" t="n"/>
      <c r="X291" s="91" t="n"/>
      <c r="Y291" s="91" t="n"/>
      <c r="Z291" s="91" t="n"/>
      <c r="AA291" s="91" t="n"/>
      <c r="AB291" s="91" t="n"/>
      <c r="AC291" s="91" t="n"/>
      <c r="AD291" s="91" t="n"/>
      <c r="AE291" s="91" t="n"/>
      <c r="AF291" s="91" t="n"/>
      <c r="AG291" s="91" t="n"/>
    </row>
    <row r="292" ht="12.75" customHeight="1" s="117">
      <c r="A292" s="91" t="n"/>
      <c r="B292" s="91" t="n"/>
      <c r="C292" s="91" t="n"/>
      <c r="D292" s="91" t="n"/>
      <c r="E292" s="91" t="n"/>
      <c r="F292" s="91" t="n"/>
      <c r="G292" s="91" t="n"/>
      <c r="H292" s="91" t="n"/>
      <c r="I292" s="91" t="n"/>
      <c r="J292" s="91" t="n"/>
      <c r="K292" s="91" t="n"/>
      <c r="L292" s="91" t="n"/>
      <c r="M292" s="91" t="n"/>
      <c r="N292" s="91" t="n"/>
      <c r="O292" s="91" t="n"/>
      <c r="P292" s="91" t="n"/>
      <c r="Q292" s="91" t="n"/>
      <c r="R292" s="91" t="n"/>
      <c r="S292" s="91" t="n"/>
      <c r="T292" s="91" t="n"/>
      <c r="U292" s="91" t="n"/>
      <c r="V292" s="91" t="n"/>
      <c r="W292" s="91" t="n"/>
      <c r="X292" s="91" t="n"/>
      <c r="Y292" s="91" t="n"/>
      <c r="Z292" s="91" t="n"/>
      <c r="AA292" s="91" t="n"/>
      <c r="AB292" s="91" t="n"/>
      <c r="AC292" s="91" t="n"/>
      <c r="AD292" s="91" t="n"/>
      <c r="AE292" s="91" t="n"/>
      <c r="AF292" s="91" t="n"/>
      <c r="AG292" s="91" t="n"/>
    </row>
    <row r="293" ht="12.75" customHeight="1" s="117">
      <c r="A293" s="91" t="n"/>
      <c r="B293" s="91" t="n"/>
      <c r="C293" s="91" t="n"/>
      <c r="D293" s="91" t="n"/>
      <c r="E293" s="91" t="n"/>
      <c r="F293" s="91" t="n"/>
      <c r="G293" s="91" t="n"/>
      <c r="H293" s="91" t="n"/>
      <c r="I293" s="91" t="n"/>
      <c r="J293" s="91" t="n"/>
      <c r="K293" s="91" t="n"/>
      <c r="L293" s="91" t="n"/>
      <c r="M293" s="91" t="n"/>
      <c r="N293" s="91" t="n"/>
      <c r="O293" s="91" t="n"/>
      <c r="P293" s="91" t="n"/>
      <c r="Q293" s="91" t="n"/>
      <c r="R293" s="91" t="n"/>
      <c r="S293" s="91" t="n"/>
      <c r="T293" s="91" t="n"/>
      <c r="U293" s="91" t="n"/>
      <c r="V293" s="91" t="n"/>
      <c r="W293" s="91" t="n"/>
      <c r="X293" s="91" t="n"/>
      <c r="Y293" s="91" t="n"/>
      <c r="Z293" s="91" t="n"/>
      <c r="AA293" s="91" t="n"/>
      <c r="AB293" s="91" t="n"/>
      <c r="AC293" s="91" t="n"/>
      <c r="AD293" s="91" t="n"/>
      <c r="AE293" s="91" t="n"/>
      <c r="AF293" s="91" t="n"/>
      <c r="AG293" s="91" t="n"/>
    </row>
    <row r="294" ht="12.75" customHeight="1" s="117">
      <c r="A294" s="91" t="n"/>
      <c r="B294" s="91" t="n"/>
      <c r="C294" s="91" t="n"/>
      <c r="D294" s="91" t="n"/>
      <c r="E294" s="91" t="n"/>
      <c r="F294" s="91" t="n"/>
      <c r="G294" s="91" t="n"/>
      <c r="H294" s="91" t="n"/>
      <c r="I294" s="91" t="n"/>
      <c r="J294" s="91" t="n"/>
      <c r="K294" s="91" t="n"/>
      <c r="L294" s="91" t="n"/>
      <c r="M294" s="91" t="n"/>
      <c r="N294" s="91" t="n"/>
      <c r="O294" s="91" t="n"/>
      <c r="P294" s="91" t="n"/>
      <c r="Q294" s="91" t="n"/>
      <c r="R294" s="91" t="n"/>
      <c r="S294" s="91" t="n"/>
      <c r="T294" s="91" t="n"/>
      <c r="U294" s="91" t="n"/>
      <c r="V294" s="91" t="n"/>
      <c r="W294" s="91" t="n"/>
      <c r="X294" s="91" t="n"/>
      <c r="Y294" s="91" t="n"/>
      <c r="Z294" s="91" t="n"/>
      <c r="AA294" s="91" t="n"/>
      <c r="AB294" s="91" t="n"/>
      <c r="AC294" s="91" t="n"/>
      <c r="AD294" s="91" t="n"/>
      <c r="AE294" s="91" t="n"/>
      <c r="AF294" s="91" t="n"/>
      <c r="AG294" s="91" t="n"/>
    </row>
    <row r="295" ht="12.75" customHeight="1" s="117">
      <c r="A295" s="91" t="n"/>
      <c r="B295" s="91" t="n"/>
      <c r="C295" s="91" t="n"/>
      <c r="D295" s="91" t="n"/>
      <c r="E295" s="91" t="n"/>
      <c r="F295" s="91" t="n"/>
      <c r="G295" s="91" t="n"/>
      <c r="H295" s="91" t="n"/>
      <c r="I295" s="91" t="n"/>
      <c r="J295" s="91" t="n"/>
      <c r="K295" s="91" t="n"/>
      <c r="L295" s="91" t="n"/>
      <c r="M295" s="91" t="n"/>
      <c r="N295" s="91" t="n"/>
      <c r="O295" s="91" t="n"/>
      <c r="P295" s="91" t="n"/>
      <c r="Q295" s="91" t="n"/>
      <c r="R295" s="91" t="n"/>
      <c r="S295" s="91" t="n"/>
      <c r="T295" s="91" t="n"/>
      <c r="U295" s="91" t="n"/>
      <c r="V295" s="91" t="n"/>
      <c r="W295" s="91" t="n"/>
      <c r="X295" s="91" t="n"/>
      <c r="Y295" s="91" t="n"/>
      <c r="Z295" s="91" t="n"/>
      <c r="AA295" s="91" t="n"/>
      <c r="AB295" s="91" t="n"/>
      <c r="AC295" s="91" t="n"/>
      <c r="AD295" s="91" t="n"/>
      <c r="AE295" s="91" t="n"/>
      <c r="AF295" s="91" t="n"/>
      <c r="AG295" s="91" t="n"/>
    </row>
    <row r="296" ht="12.75" customHeight="1" s="117">
      <c r="A296" s="91" t="n"/>
      <c r="B296" s="91" t="n"/>
      <c r="C296" s="91" t="n"/>
      <c r="D296" s="91" t="n"/>
      <c r="E296" s="91" t="n"/>
      <c r="F296" s="91" t="n"/>
      <c r="G296" s="91" t="n"/>
      <c r="H296" s="91" t="n"/>
      <c r="I296" s="91" t="n"/>
      <c r="J296" s="91" t="n"/>
      <c r="K296" s="91" t="n"/>
      <c r="L296" s="91" t="n"/>
      <c r="M296" s="91" t="n"/>
      <c r="N296" s="91" t="n"/>
      <c r="O296" s="91" t="n"/>
      <c r="P296" s="91" t="n"/>
      <c r="Q296" s="91" t="n"/>
      <c r="R296" s="91" t="n"/>
      <c r="S296" s="91" t="n"/>
      <c r="T296" s="91" t="n"/>
      <c r="U296" s="91" t="n"/>
      <c r="V296" s="91" t="n"/>
      <c r="W296" s="91" t="n"/>
      <c r="X296" s="91" t="n"/>
      <c r="Y296" s="91" t="n"/>
      <c r="Z296" s="91" t="n"/>
      <c r="AA296" s="91" t="n"/>
      <c r="AB296" s="91" t="n"/>
      <c r="AC296" s="91" t="n"/>
      <c r="AD296" s="91" t="n"/>
      <c r="AE296" s="91" t="n"/>
      <c r="AF296" s="91" t="n"/>
      <c r="AG296" s="91" t="n"/>
    </row>
    <row r="297" ht="12.75" customHeight="1" s="117">
      <c r="A297" s="91" t="n"/>
      <c r="B297" s="91" t="n"/>
      <c r="C297" s="91" t="n"/>
      <c r="D297" s="91" t="n"/>
      <c r="E297" s="91" t="n"/>
      <c r="F297" s="91" t="n"/>
      <c r="G297" s="91" t="n"/>
      <c r="H297" s="91" t="n"/>
      <c r="I297" s="91" t="n"/>
      <c r="J297" s="91" t="n"/>
      <c r="K297" s="91" t="n"/>
      <c r="L297" s="91" t="n"/>
      <c r="M297" s="91" t="n"/>
      <c r="N297" s="91" t="n"/>
      <c r="O297" s="91" t="n"/>
      <c r="P297" s="91" t="n"/>
      <c r="Q297" s="91" t="n"/>
      <c r="R297" s="91" t="n"/>
      <c r="S297" s="91" t="n"/>
      <c r="T297" s="91" t="n"/>
      <c r="U297" s="91" t="n"/>
      <c r="V297" s="91" t="n"/>
      <c r="W297" s="91" t="n"/>
      <c r="X297" s="91" t="n"/>
      <c r="Y297" s="91" t="n"/>
      <c r="Z297" s="91" t="n"/>
      <c r="AA297" s="91" t="n"/>
      <c r="AB297" s="91" t="n"/>
      <c r="AC297" s="91" t="n"/>
      <c r="AD297" s="91" t="n"/>
      <c r="AE297" s="91" t="n"/>
      <c r="AF297" s="91" t="n"/>
      <c r="AG297" s="91" t="n"/>
    </row>
    <row r="298" ht="12.75" customHeight="1" s="117">
      <c r="A298" s="91" t="n"/>
      <c r="B298" s="91" t="n"/>
      <c r="C298" s="91" t="n"/>
      <c r="D298" s="91" t="n"/>
      <c r="E298" s="91" t="n"/>
      <c r="F298" s="91" t="n"/>
      <c r="G298" s="91" t="n"/>
      <c r="H298" s="91" t="n"/>
      <c r="I298" s="91" t="n"/>
      <c r="J298" s="91" t="n"/>
      <c r="K298" s="91" t="n"/>
      <c r="L298" s="91" t="n"/>
      <c r="M298" s="91" t="n"/>
      <c r="N298" s="91" t="n"/>
      <c r="O298" s="91" t="n"/>
      <c r="P298" s="91" t="n"/>
      <c r="Q298" s="91" t="n"/>
      <c r="R298" s="91" t="n"/>
      <c r="S298" s="91" t="n"/>
      <c r="T298" s="91" t="n"/>
      <c r="U298" s="91" t="n"/>
      <c r="V298" s="91" t="n"/>
      <c r="W298" s="91" t="n"/>
      <c r="X298" s="91" t="n"/>
      <c r="Y298" s="91" t="n"/>
      <c r="Z298" s="91" t="n"/>
      <c r="AA298" s="91" t="n"/>
      <c r="AB298" s="91" t="n"/>
      <c r="AC298" s="91" t="n"/>
      <c r="AD298" s="91" t="n"/>
      <c r="AE298" s="91" t="n"/>
      <c r="AF298" s="91" t="n"/>
      <c r="AG298" s="91" t="n"/>
    </row>
    <row r="299" ht="12.75" customHeight="1" s="117">
      <c r="A299" s="91" t="n"/>
      <c r="B299" s="91" t="n"/>
      <c r="C299" s="91" t="n"/>
      <c r="D299" s="91" t="n"/>
      <c r="E299" s="91" t="n"/>
      <c r="F299" s="91" t="n"/>
      <c r="G299" s="91" t="n"/>
      <c r="H299" s="91" t="n"/>
      <c r="I299" s="91" t="n"/>
      <c r="J299" s="91" t="n"/>
      <c r="K299" s="91" t="n"/>
      <c r="L299" s="91" t="n"/>
      <c r="M299" s="91" t="n"/>
      <c r="N299" s="91" t="n"/>
      <c r="O299" s="91" t="n"/>
      <c r="P299" s="91" t="n"/>
      <c r="Q299" s="91" t="n"/>
      <c r="R299" s="91" t="n"/>
      <c r="S299" s="91" t="n"/>
      <c r="T299" s="91" t="n"/>
      <c r="U299" s="91" t="n"/>
      <c r="V299" s="91" t="n"/>
      <c r="W299" s="91" t="n"/>
      <c r="X299" s="91" t="n"/>
      <c r="Y299" s="91" t="n"/>
      <c r="Z299" s="91" t="n"/>
      <c r="AA299" s="91" t="n"/>
      <c r="AB299" s="91" t="n"/>
      <c r="AC299" s="91" t="n"/>
      <c r="AD299" s="91" t="n"/>
      <c r="AE299" s="91" t="n"/>
      <c r="AF299" s="91" t="n"/>
      <c r="AG299" s="91" t="n"/>
    </row>
    <row r="300" ht="12.75" customHeight="1" s="117">
      <c r="A300" s="91" t="n"/>
      <c r="B300" s="91" t="n"/>
      <c r="C300" s="91" t="n"/>
      <c r="D300" s="91" t="n"/>
      <c r="E300" s="91" t="n"/>
      <c r="F300" s="91" t="n"/>
      <c r="G300" s="91" t="n"/>
      <c r="H300" s="91" t="n"/>
      <c r="I300" s="91" t="n"/>
      <c r="J300" s="91" t="n"/>
      <c r="K300" s="91" t="n"/>
      <c r="L300" s="91" t="n"/>
      <c r="M300" s="91" t="n"/>
      <c r="N300" s="91" t="n"/>
      <c r="O300" s="91" t="n"/>
      <c r="P300" s="91" t="n"/>
      <c r="Q300" s="91" t="n"/>
      <c r="R300" s="91" t="n"/>
      <c r="S300" s="91" t="n"/>
      <c r="T300" s="91" t="n"/>
      <c r="U300" s="91" t="n"/>
      <c r="V300" s="91" t="n"/>
      <c r="W300" s="91" t="n"/>
      <c r="X300" s="91" t="n"/>
      <c r="Y300" s="91" t="n"/>
      <c r="Z300" s="91" t="n"/>
      <c r="AA300" s="91" t="n"/>
      <c r="AB300" s="91" t="n"/>
      <c r="AC300" s="91" t="n"/>
      <c r="AD300" s="91" t="n"/>
      <c r="AE300" s="91" t="n"/>
      <c r="AF300" s="91" t="n"/>
      <c r="AG300" s="91" t="n"/>
    </row>
    <row r="301" ht="12.75" customHeight="1" s="117">
      <c r="A301" s="91" t="n"/>
      <c r="B301" s="91" t="n"/>
      <c r="C301" s="91" t="n"/>
      <c r="D301" s="91" t="n"/>
      <c r="E301" s="91" t="n"/>
      <c r="F301" s="91" t="n"/>
      <c r="G301" s="91" t="n"/>
      <c r="H301" s="91" t="n"/>
      <c r="I301" s="91" t="n"/>
      <c r="J301" s="91" t="n"/>
      <c r="K301" s="91" t="n"/>
      <c r="L301" s="91" t="n"/>
      <c r="M301" s="91" t="n"/>
      <c r="N301" s="91" t="n"/>
      <c r="O301" s="91" t="n"/>
      <c r="P301" s="91" t="n"/>
      <c r="Q301" s="91" t="n"/>
      <c r="R301" s="91" t="n"/>
      <c r="S301" s="91" t="n"/>
      <c r="T301" s="91" t="n"/>
      <c r="U301" s="91" t="n"/>
      <c r="V301" s="91" t="n"/>
      <c r="W301" s="91" t="n"/>
      <c r="X301" s="91" t="n"/>
      <c r="Y301" s="91" t="n"/>
      <c r="Z301" s="91" t="n"/>
      <c r="AA301" s="91" t="n"/>
      <c r="AB301" s="91" t="n"/>
      <c r="AC301" s="91" t="n"/>
      <c r="AD301" s="91" t="n"/>
      <c r="AE301" s="91" t="n"/>
      <c r="AF301" s="91" t="n"/>
      <c r="AG301" s="91" t="n"/>
    </row>
    <row r="302" ht="12.75" customHeight="1" s="117">
      <c r="A302" s="91" t="n"/>
      <c r="B302" s="91" t="n"/>
      <c r="C302" s="91" t="n"/>
      <c r="D302" s="91" t="n"/>
      <c r="E302" s="91" t="n"/>
      <c r="F302" s="91" t="n"/>
      <c r="G302" s="91" t="n"/>
      <c r="H302" s="91" t="n"/>
      <c r="I302" s="91" t="n"/>
      <c r="J302" s="91" t="n"/>
      <c r="K302" s="91" t="n"/>
      <c r="L302" s="91" t="n"/>
      <c r="M302" s="91" t="n"/>
      <c r="N302" s="91" t="n"/>
      <c r="O302" s="91" t="n"/>
      <c r="P302" s="91" t="n"/>
      <c r="Q302" s="91" t="n"/>
      <c r="R302" s="91" t="n"/>
      <c r="S302" s="91" t="n"/>
      <c r="T302" s="91" t="n"/>
      <c r="U302" s="91" t="n"/>
      <c r="V302" s="91" t="n"/>
      <c r="W302" s="91" t="n"/>
      <c r="X302" s="91" t="n"/>
      <c r="Y302" s="91" t="n"/>
      <c r="Z302" s="91" t="n"/>
      <c r="AA302" s="91" t="n"/>
      <c r="AB302" s="91" t="n"/>
      <c r="AC302" s="91" t="n"/>
      <c r="AD302" s="91" t="n"/>
      <c r="AE302" s="91" t="n"/>
      <c r="AF302" s="91" t="n"/>
      <c r="AG302" s="91" t="n"/>
    </row>
    <row r="303" ht="12.75" customHeight="1" s="117">
      <c r="A303" s="91" t="n"/>
      <c r="B303" s="91" t="n"/>
      <c r="C303" s="91" t="n"/>
      <c r="D303" s="91" t="n"/>
      <c r="E303" s="91" t="n"/>
      <c r="F303" s="91" t="n"/>
      <c r="G303" s="91" t="n"/>
      <c r="H303" s="91" t="n"/>
      <c r="I303" s="91" t="n"/>
      <c r="J303" s="91" t="n"/>
      <c r="K303" s="91" t="n"/>
      <c r="L303" s="91" t="n"/>
      <c r="M303" s="91" t="n"/>
      <c r="N303" s="91" t="n"/>
      <c r="O303" s="91" t="n"/>
      <c r="P303" s="91" t="n"/>
      <c r="Q303" s="91" t="n"/>
      <c r="R303" s="91" t="n"/>
      <c r="S303" s="91" t="n"/>
      <c r="T303" s="91" t="n"/>
      <c r="U303" s="91" t="n"/>
      <c r="V303" s="91" t="n"/>
      <c r="W303" s="91" t="n"/>
      <c r="X303" s="91" t="n"/>
      <c r="Y303" s="91" t="n"/>
      <c r="Z303" s="91" t="n"/>
      <c r="AA303" s="91" t="n"/>
      <c r="AB303" s="91" t="n"/>
      <c r="AC303" s="91" t="n"/>
      <c r="AD303" s="91" t="n"/>
      <c r="AE303" s="91" t="n"/>
      <c r="AF303" s="91" t="n"/>
      <c r="AG303" s="91" t="n"/>
    </row>
    <row r="304" ht="12.75" customHeight="1" s="117">
      <c r="A304" s="91" t="n"/>
      <c r="B304" s="91" t="n"/>
      <c r="C304" s="91" t="n"/>
      <c r="D304" s="91" t="n"/>
      <c r="E304" s="91" t="n"/>
      <c r="F304" s="91" t="n"/>
      <c r="G304" s="91" t="n"/>
      <c r="H304" s="91" t="n"/>
      <c r="I304" s="91" t="n"/>
      <c r="J304" s="91" t="n"/>
      <c r="K304" s="91" t="n"/>
      <c r="L304" s="91" t="n"/>
      <c r="M304" s="91" t="n"/>
      <c r="N304" s="91" t="n"/>
      <c r="O304" s="91" t="n"/>
      <c r="P304" s="91" t="n"/>
      <c r="Q304" s="91" t="n"/>
      <c r="R304" s="91" t="n"/>
      <c r="S304" s="91" t="n"/>
      <c r="T304" s="91" t="n"/>
      <c r="U304" s="91" t="n"/>
      <c r="V304" s="91" t="n"/>
      <c r="W304" s="91" t="n"/>
      <c r="X304" s="91" t="n"/>
      <c r="Y304" s="91" t="n"/>
      <c r="Z304" s="91" t="n"/>
      <c r="AA304" s="91" t="n"/>
      <c r="AB304" s="91" t="n"/>
      <c r="AC304" s="91" t="n"/>
      <c r="AD304" s="91" t="n"/>
      <c r="AE304" s="91" t="n"/>
      <c r="AF304" s="91" t="n"/>
      <c r="AG304" s="91" t="n"/>
    </row>
    <row r="305" ht="12.75" customHeight="1" s="117">
      <c r="A305" s="91" t="n"/>
      <c r="B305" s="91" t="n"/>
      <c r="C305" s="91" t="n"/>
      <c r="D305" s="91" t="n"/>
      <c r="E305" s="91" t="n"/>
      <c r="F305" s="91" t="n"/>
      <c r="G305" s="91" t="n"/>
      <c r="H305" s="91" t="n"/>
      <c r="I305" s="91" t="n"/>
      <c r="J305" s="91" t="n"/>
      <c r="K305" s="91" t="n"/>
      <c r="L305" s="91" t="n"/>
      <c r="M305" s="91" t="n"/>
      <c r="N305" s="91" t="n"/>
      <c r="O305" s="91" t="n"/>
      <c r="P305" s="91" t="n"/>
      <c r="Q305" s="91" t="n"/>
      <c r="R305" s="91" t="n"/>
      <c r="S305" s="91" t="n"/>
      <c r="T305" s="91" t="n"/>
      <c r="U305" s="91" t="n"/>
      <c r="V305" s="91" t="n"/>
      <c r="W305" s="91" t="n"/>
      <c r="X305" s="91" t="n"/>
      <c r="Y305" s="91" t="n"/>
      <c r="Z305" s="91" t="n"/>
      <c r="AA305" s="91" t="n"/>
      <c r="AB305" s="91" t="n"/>
      <c r="AC305" s="91" t="n"/>
      <c r="AD305" s="91" t="n"/>
      <c r="AE305" s="91" t="n"/>
      <c r="AF305" s="91" t="n"/>
      <c r="AG305" s="91" t="n"/>
    </row>
    <row r="306" ht="12.75" customHeight="1" s="117">
      <c r="A306" s="91" t="n"/>
      <c r="B306" s="91" t="n"/>
      <c r="C306" s="91" t="n"/>
      <c r="D306" s="91" t="n"/>
      <c r="E306" s="91" t="n"/>
      <c r="F306" s="91" t="n"/>
      <c r="G306" s="91" t="n"/>
      <c r="H306" s="91" t="n"/>
      <c r="I306" s="91" t="n"/>
      <c r="J306" s="91" t="n"/>
      <c r="K306" s="91" t="n"/>
      <c r="L306" s="91" t="n"/>
      <c r="M306" s="91" t="n"/>
      <c r="N306" s="91" t="n"/>
      <c r="O306" s="91" t="n"/>
      <c r="P306" s="91" t="n"/>
      <c r="Q306" s="91" t="n"/>
      <c r="R306" s="91" t="n"/>
      <c r="S306" s="91" t="n"/>
      <c r="T306" s="91" t="n"/>
      <c r="U306" s="91" t="n"/>
      <c r="V306" s="91" t="n"/>
      <c r="W306" s="91" t="n"/>
      <c r="X306" s="91" t="n"/>
      <c r="Y306" s="91" t="n"/>
      <c r="Z306" s="91" t="n"/>
      <c r="AA306" s="91" t="n"/>
      <c r="AB306" s="91" t="n"/>
      <c r="AC306" s="91" t="n"/>
      <c r="AD306" s="91" t="n"/>
      <c r="AE306" s="91" t="n"/>
      <c r="AF306" s="91" t="n"/>
      <c r="AG306" s="91" t="n"/>
    </row>
    <row r="307" ht="12.75" customHeight="1" s="117">
      <c r="A307" s="91" t="n"/>
      <c r="B307" s="91" t="n"/>
      <c r="C307" s="91" t="n"/>
      <c r="D307" s="91" t="n"/>
      <c r="E307" s="91" t="n"/>
      <c r="F307" s="91" t="n"/>
      <c r="G307" s="91" t="n"/>
      <c r="H307" s="91" t="n"/>
      <c r="I307" s="91" t="n"/>
      <c r="J307" s="91" t="n"/>
      <c r="K307" s="91" t="n"/>
      <c r="L307" s="91" t="n"/>
      <c r="M307" s="91" t="n"/>
      <c r="N307" s="91" t="n"/>
      <c r="O307" s="91" t="n"/>
      <c r="P307" s="91" t="n"/>
      <c r="Q307" s="91" t="n"/>
      <c r="R307" s="91" t="n"/>
      <c r="S307" s="91" t="n"/>
      <c r="T307" s="91" t="n"/>
      <c r="U307" s="91" t="n"/>
      <c r="V307" s="91" t="n"/>
      <c r="W307" s="91" t="n"/>
      <c r="X307" s="91" t="n"/>
      <c r="Y307" s="91" t="n"/>
      <c r="Z307" s="91" t="n"/>
      <c r="AA307" s="91" t="n"/>
      <c r="AB307" s="91" t="n"/>
      <c r="AC307" s="91" t="n"/>
      <c r="AD307" s="91" t="n"/>
      <c r="AE307" s="91" t="n"/>
      <c r="AF307" s="91" t="n"/>
      <c r="AG307" s="91" t="n"/>
    </row>
    <row r="308" ht="12.75" customHeight="1" s="117">
      <c r="A308" s="91" t="n"/>
      <c r="B308" s="91" t="n"/>
      <c r="C308" s="91" t="n"/>
      <c r="D308" s="91" t="n"/>
      <c r="E308" s="91" t="n"/>
      <c r="F308" s="91" t="n"/>
      <c r="G308" s="91" t="n"/>
      <c r="H308" s="91" t="n"/>
      <c r="I308" s="91" t="n"/>
      <c r="J308" s="91" t="n"/>
      <c r="K308" s="91" t="n"/>
      <c r="L308" s="91" t="n"/>
      <c r="M308" s="91" t="n"/>
      <c r="N308" s="91" t="n"/>
      <c r="O308" s="91" t="n"/>
      <c r="P308" s="91" t="n"/>
      <c r="Q308" s="91" t="n"/>
      <c r="R308" s="91" t="n"/>
      <c r="S308" s="91" t="n"/>
      <c r="T308" s="91" t="n"/>
      <c r="U308" s="91" t="n"/>
      <c r="V308" s="91" t="n"/>
      <c r="W308" s="91" t="n"/>
      <c r="X308" s="91" t="n"/>
      <c r="Y308" s="91" t="n"/>
      <c r="Z308" s="91" t="n"/>
      <c r="AA308" s="91" t="n"/>
      <c r="AB308" s="91" t="n"/>
      <c r="AC308" s="91" t="n"/>
      <c r="AD308" s="91" t="n"/>
      <c r="AE308" s="91" t="n"/>
      <c r="AF308" s="91" t="n"/>
      <c r="AG308" s="91" t="n"/>
    </row>
    <row r="309" ht="12.75" customHeight="1" s="117">
      <c r="A309" s="91" t="n"/>
      <c r="B309" s="91" t="n"/>
      <c r="C309" s="91" t="n"/>
      <c r="D309" s="91" t="n"/>
      <c r="E309" s="91" t="n"/>
      <c r="F309" s="91" t="n"/>
      <c r="G309" s="91" t="n"/>
      <c r="H309" s="91" t="n"/>
      <c r="I309" s="91" t="n"/>
      <c r="J309" s="91" t="n"/>
      <c r="K309" s="91" t="n"/>
      <c r="L309" s="91" t="n"/>
      <c r="M309" s="91" t="n"/>
      <c r="N309" s="91" t="n"/>
      <c r="O309" s="91" t="n"/>
      <c r="P309" s="91" t="n"/>
      <c r="Q309" s="91" t="n"/>
      <c r="R309" s="91" t="n"/>
      <c r="S309" s="91" t="n"/>
      <c r="T309" s="91" t="n"/>
      <c r="U309" s="91" t="n"/>
      <c r="V309" s="91" t="n"/>
      <c r="W309" s="91" t="n"/>
      <c r="X309" s="91" t="n"/>
      <c r="Y309" s="91" t="n"/>
      <c r="Z309" s="91" t="n"/>
      <c r="AA309" s="91" t="n"/>
      <c r="AB309" s="91" t="n"/>
      <c r="AC309" s="91" t="n"/>
      <c r="AD309" s="91" t="n"/>
      <c r="AE309" s="91" t="n"/>
      <c r="AF309" s="91" t="n"/>
      <c r="AG309" s="91" t="n"/>
    </row>
    <row r="310" ht="12.75" customHeight="1" s="117">
      <c r="A310" s="91" t="n"/>
      <c r="B310" s="91" t="n"/>
      <c r="C310" s="91" t="n"/>
      <c r="D310" s="91" t="n"/>
      <c r="E310" s="91" t="n"/>
      <c r="F310" s="91" t="n"/>
      <c r="G310" s="91" t="n"/>
      <c r="H310" s="91" t="n"/>
      <c r="I310" s="91" t="n"/>
      <c r="J310" s="91" t="n"/>
      <c r="K310" s="91" t="n"/>
      <c r="L310" s="91" t="n"/>
      <c r="M310" s="91" t="n"/>
      <c r="N310" s="91" t="n"/>
      <c r="O310" s="91" t="n"/>
      <c r="P310" s="91" t="n"/>
      <c r="Q310" s="91" t="n"/>
      <c r="R310" s="91" t="n"/>
      <c r="S310" s="91" t="n"/>
      <c r="T310" s="91" t="n"/>
      <c r="U310" s="91" t="n"/>
      <c r="V310" s="91" t="n"/>
      <c r="W310" s="91" t="n"/>
      <c r="X310" s="91" t="n"/>
      <c r="Y310" s="91" t="n"/>
      <c r="Z310" s="91" t="n"/>
      <c r="AA310" s="91" t="n"/>
      <c r="AB310" s="91" t="n"/>
      <c r="AC310" s="91" t="n"/>
      <c r="AD310" s="91" t="n"/>
      <c r="AE310" s="91" t="n"/>
      <c r="AF310" s="91" t="n"/>
      <c r="AG310" s="91" t="n"/>
    </row>
    <row r="311" ht="12.75" customHeight="1" s="117">
      <c r="A311" s="91" t="n"/>
      <c r="B311" s="91" t="n"/>
      <c r="C311" s="91" t="n"/>
      <c r="D311" s="91" t="n"/>
      <c r="E311" s="91" t="n"/>
      <c r="F311" s="91" t="n"/>
      <c r="G311" s="91" t="n"/>
      <c r="H311" s="91" t="n"/>
      <c r="I311" s="91" t="n"/>
      <c r="J311" s="91" t="n"/>
      <c r="K311" s="91" t="n"/>
      <c r="L311" s="91" t="n"/>
      <c r="M311" s="91" t="n"/>
      <c r="N311" s="91" t="n"/>
      <c r="O311" s="91" t="n"/>
      <c r="P311" s="91" t="n"/>
      <c r="Q311" s="91" t="n"/>
      <c r="R311" s="91" t="n"/>
      <c r="S311" s="91" t="n"/>
      <c r="T311" s="91" t="n"/>
      <c r="U311" s="91" t="n"/>
      <c r="V311" s="91" t="n"/>
      <c r="W311" s="91" t="n"/>
      <c r="X311" s="91" t="n"/>
      <c r="Y311" s="91" t="n"/>
      <c r="Z311" s="91" t="n"/>
      <c r="AA311" s="91" t="n"/>
      <c r="AB311" s="91" t="n"/>
      <c r="AC311" s="91" t="n"/>
      <c r="AD311" s="91" t="n"/>
      <c r="AE311" s="91" t="n"/>
      <c r="AF311" s="91" t="n"/>
      <c r="AG311" s="91" t="n"/>
    </row>
    <row r="312" ht="12.75" customHeight="1" s="117">
      <c r="A312" s="91" t="n"/>
      <c r="B312" s="91" t="n"/>
      <c r="C312" s="91" t="n"/>
      <c r="D312" s="91" t="n"/>
      <c r="E312" s="91" t="n"/>
      <c r="F312" s="91" t="n"/>
      <c r="G312" s="91" t="n"/>
      <c r="H312" s="91" t="n"/>
      <c r="I312" s="91" t="n"/>
      <c r="J312" s="91" t="n"/>
      <c r="K312" s="91" t="n"/>
      <c r="L312" s="91" t="n"/>
      <c r="M312" s="91" t="n"/>
      <c r="N312" s="91" t="n"/>
      <c r="O312" s="91" t="n"/>
      <c r="P312" s="91" t="n"/>
      <c r="Q312" s="91" t="n"/>
      <c r="R312" s="91" t="n"/>
      <c r="S312" s="91" t="n"/>
      <c r="T312" s="91" t="n"/>
      <c r="U312" s="91" t="n"/>
      <c r="V312" s="91" t="n"/>
      <c r="W312" s="91" t="n"/>
      <c r="X312" s="91" t="n"/>
      <c r="Y312" s="91" t="n"/>
      <c r="Z312" s="91" t="n"/>
      <c r="AA312" s="91" t="n"/>
      <c r="AB312" s="91" t="n"/>
      <c r="AC312" s="91" t="n"/>
      <c r="AD312" s="91" t="n"/>
      <c r="AE312" s="91" t="n"/>
      <c r="AF312" s="91" t="n"/>
      <c r="AG312" s="91" t="n"/>
    </row>
    <row r="313" ht="12.75" customHeight="1" s="117">
      <c r="A313" s="91" t="n"/>
      <c r="B313" s="91" t="n"/>
      <c r="C313" s="91" t="n"/>
      <c r="D313" s="91" t="n"/>
      <c r="E313" s="91" t="n"/>
      <c r="F313" s="91" t="n"/>
      <c r="G313" s="91" t="n"/>
      <c r="H313" s="91" t="n"/>
      <c r="I313" s="91" t="n"/>
      <c r="J313" s="91" t="n"/>
      <c r="K313" s="91" t="n"/>
      <c r="L313" s="91" t="n"/>
      <c r="M313" s="91" t="n"/>
      <c r="N313" s="91" t="n"/>
      <c r="O313" s="91" t="n"/>
      <c r="P313" s="91" t="n"/>
      <c r="Q313" s="91" t="n"/>
      <c r="R313" s="91" t="n"/>
      <c r="S313" s="91" t="n"/>
      <c r="T313" s="91" t="n"/>
      <c r="U313" s="91" t="n"/>
      <c r="V313" s="91" t="n"/>
      <c r="W313" s="91" t="n"/>
      <c r="X313" s="91" t="n"/>
      <c r="Y313" s="91" t="n"/>
      <c r="Z313" s="91" t="n"/>
      <c r="AA313" s="91" t="n"/>
      <c r="AB313" s="91" t="n"/>
      <c r="AC313" s="91" t="n"/>
      <c r="AD313" s="91" t="n"/>
      <c r="AE313" s="91" t="n"/>
      <c r="AF313" s="91" t="n"/>
      <c r="AG313" s="91" t="n"/>
    </row>
    <row r="314" ht="12.75" customHeight="1" s="117">
      <c r="A314" s="91" t="n"/>
      <c r="B314" s="91" t="n"/>
      <c r="C314" s="91" t="n"/>
      <c r="D314" s="91" t="n"/>
      <c r="E314" s="91" t="n"/>
      <c r="F314" s="91" t="n"/>
      <c r="G314" s="91" t="n"/>
      <c r="H314" s="91" t="n"/>
      <c r="I314" s="91" t="n"/>
      <c r="J314" s="91" t="n"/>
      <c r="K314" s="91" t="n"/>
      <c r="L314" s="91" t="n"/>
      <c r="M314" s="91" t="n"/>
      <c r="N314" s="91" t="n"/>
      <c r="O314" s="91" t="n"/>
      <c r="P314" s="91" t="n"/>
      <c r="Q314" s="91" t="n"/>
      <c r="R314" s="91" t="n"/>
      <c r="S314" s="91" t="n"/>
      <c r="T314" s="91" t="n"/>
      <c r="U314" s="91" t="n"/>
      <c r="V314" s="91" t="n"/>
      <c r="W314" s="91" t="n"/>
      <c r="X314" s="91" t="n"/>
      <c r="Y314" s="91" t="n"/>
      <c r="Z314" s="91" t="n"/>
      <c r="AA314" s="91" t="n"/>
      <c r="AB314" s="91" t="n"/>
      <c r="AC314" s="91" t="n"/>
      <c r="AD314" s="91" t="n"/>
      <c r="AE314" s="91" t="n"/>
      <c r="AF314" s="91" t="n"/>
      <c r="AG314" s="91" t="n"/>
    </row>
    <row r="315" ht="12.75" customHeight="1" s="117">
      <c r="A315" s="91" t="n"/>
      <c r="B315" s="91" t="n"/>
      <c r="C315" s="91" t="n"/>
      <c r="D315" s="91" t="n"/>
      <c r="E315" s="91" t="n"/>
      <c r="F315" s="91" t="n"/>
      <c r="G315" s="91" t="n"/>
      <c r="H315" s="91" t="n"/>
      <c r="I315" s="91" t="n"/>
      <c r="J315" s="91" t="n"/>
      <c r="K315" s="91" t="n"/>
      <c r="L315" s="91" t="n"/>
      <c r="M315" s="91" t="n"/>
      <c r="N315" s="91" t="n"/>
      <c r="O315" s="91" t="n"/>
      <c r="P315" s="91" t="n"/>
      <c r="Q315" s="91" t="n"/>
      <c r="R315" s="91" t="n"/>
      <c r="S315" s="91" t="n"/>
      <c r="T315" s="91" t="n"/>
      <c r="U315" s="91" t="n"/>
      <c r="V315" s="91" t="n"/>
      <c r="W315" s="91" t="n"/>
      <c r="X315" s="91" t="n"/>
      <c r="Y315" s="91" t="n"/>
      <c r="Z315" s="91" t="n"/>
      <c r="AA315" s="91" t="n"/>
      <c r="AB315" s="91" t="n"/>
      <c r="AC315" s="91" t="n"/>
      <c r="AD315" s="91" t="n"/>
      <c r="AE315" s="91" t="n"/>
      <c r="AF315" s="91" t="n"/>
      <c r="AG315" s="91" t="n"/>
    </row>
    <row r="316" ht="12.75" customHeight="1" s="117">
      <c r="A316" s="91" t="n"/>
      <c r="B316" s="91" t="n"/>
      <c r="C316" s="91" t="n"/>
      <c r="D316" s="91" t="n"/>
      <c r="E316" s="91" t="n"/>
      <c r="F316" s="91" t="n"/>
      <c r="G316" s="91" t="n"/>
      <c r="H316" s="91" t="n"/>
      <c r="I316" s="91" t="n"/>
      <c r="J316" s="91" t="n"/>
      <c r="K316" s="91" t="n"/>
      <c r="L316" s="91" t="n"/>
      <c r="M316" s="91" t="n"/>
      <c r="N316" s="91" t="n"/>
      <c r="O316" s="91" t="n"/>
      <c r="P316" s="91" t="n"/>
      <c r="Q316" s="91" t="n"/>
      <c r="R316" s="91" t="n"/>
      <c r="S316" s="91" t="n"/>
      <c r="T316" s="91" t="n"/>
      <c r="U316" s="91" t="n"/>
      <c r="V316" s="91" t="n"/>
      <c r="W316" s="91" t="n"/>
      <c r="X316" s="91" t="n"/>
      <c r="Y316" s="91" t="n"/>
      <c r="Z316" s="91" t="n"/>
      <c r="AA316" s="91" t="n"/>
      <c r="AB316" s="91" t="n"/>
      <c r="AC316" s="91" t="n"/>
      <c r="AD316" s="91" t="n"/>
      <c r="AE316" s="91" t="n"/>
      <c r="AF316" s="91" t="n"/>
      <c r="AG316" s="91" t="n"/>
    </row>
    <row r="317" ht="12.75" customHeight="1" s="117">
      <c r="A317" s="91" t="n"/>
      <c r="B317" s="91" t="n"/>
      <c r="C317" s="91" t="n"/>
      <c r="D317" s="91" t="n"/>
      <c r="E317" s="91" t="n"/>
      <c r="F317" s="91" t="n"/>
      <c r="G317" s="91" t="n"/>
      <c r="H317" s="91" t="n"/>
      <c r="I317" s="91" t="n"/>
      <c r="J317" s="91" t="n"/>
      <c r="K317" s="91" t="n"/>
      <c r="L317" s="91" t="n"/>
      <c r="M317" s="91" t="n"/>
      <c r="N317" s="91" t="n"/>
      <c r="O317" s="91" t="n"/>
      <c r="P317" s="91" t="n"/>
      <c r="Q317" s="91" t="n"/>
      <c r="R317" s="91" t="n"/>
      <c r="S317" s="91" t="n"/>
      <c r="T317" s="91" t="n"/>
      <c r="U317" s="91" t="n"/>
      <c r="V317" s="91" t="n"/>
      <c r="W317" s="91" t="n"/>
      <c r="X317" s="91" t="n"/>
      <c r="Y317" s="91" t="n"/>
      <c r="Z317" s="91" t="n"/>
      <c r="AA317" s="91" t="n"/>
      <c r="AB317" s="91" t="n"/>
      <c r="AC317" s="91" t="n"/>
      <c r="AD317" s="91" t="n"/>
      <c r="AE317" s="91" t="n"/>
      <c r="AF317" s="91" t="n"/>
      <c r="AG317" s="91" t="n"/>
    </row>
    <row r="318" ht="12.75" customHeight="1" s="117">
      <c r="A318" s="91" t="n"/>
      <c r="B318" s="91" t="n"/>
      <c r="C318" s="91" t="n"/>
      <c r="D318" s="91" t="n"/>
      <c r="E318" s="91" t="n"/>
      <c r="F318" s="91" t="n"/>
      <c r="G318" s="91" t="n"/>
      <c r="H318" s="91" t="n"/>
      <c r="I318" s="91" t="n"/>
      <c r="J318" s="91" t="n"/>
      <c r="K318" s="91" t="n"/>
      <c r="L318" s="91" t="n"/>
      <c r="M318" s="91" t="n"/>
      <c r="N318" s="91" t="n"/>
      <c r="O318" s="91" t="n"/>
      <c r="P318" s="91" t="n"/>
      <c r="Q318" s="91" t="n"/>
      <c r="R318" s="91" t="n"/>
      <c r="S318" s="91" t="n"/>
      <c r="T318" s="91" t="n"/>
      <c r="U318" s="91" t="n"/>
      <c r="V318" s="91" t="n"/>
      <c r="W318" s="91" t="n"/>
      <c r="X318" s="91" t="n"/>
      <c r="Y318" s="91" t="n"/>
      <c r="Z318" s="91" t="n"/>
      <c r="AA318" s="91" t="n"/>
      <c r="AB318" s="91" t="n"/>
      <c r="AC318" s="91" t="n"/>
      <c r="AD318" s="91" t="n"/>
      <c r="AE318" s="91" t="n"/>
      <c r="AF318" s="91" t="n"/>
      <c r="AG318" s="91" t="n"/>
    </row>
    <row r="319" ht="12.75" customHeight="1" s="117">
      <c r="A319" s="91" t="n"/>
      <c r="B319" s="91" t="n"/>
      <c r="C319" s="91" t="n"/>
      <c r="D319" s="91" t="n"/>
      <c r="E319" s="91" t="n"/>
      <c r="F319" s="91" t="n"/>
      <c r="G319" s="91" t="n"/>
      <c r="H319" s="91" t="n"/>
      <c r="I319" s="91" t="n"/>
      <c r="J319" s="91" t="n"/>
      <c r="K319" s="91" t="n"/>
      <c r="L319" s="91" t="n"/>
      <c r="M319" s="91" t="n"/>
      <c r="N319" s="91" t="n"/>
      <c r="O319" s="91" t="n"/>
      <c r="P319" s="91" t="n"/>
      <c r="Q319" s="91" t="n"/>
      <c r="R319" s="91" t="n"/>
      <c r="S319" s="91" t="n"/>
      <c r="T319" s="91" t="n"/>
      <c r="U319" s="91" t="n"/>
      <c r="V319" s="91" t="n"/>
      <c r="W319" s="91" t="n"/>
      <c r="X319" s="91" t="n"/>
      <c r="Y319" s="91" t="n"/>
      <c r="Z319" s="91" t="n"/>
      <c r="AA319" s="91" t="n"/>
      <c r="AB319" s="91" t="n"/>
      <c r="AC319" s="91" t="n"/>
      <c r="AD319" s="91" t="n"/>
      <c r="AE319" s="91" t="n"/>
      <c r="AF319" s="91" t="n"/>
      <c r="AG319" s="91" t="n"/>
    </row>
    <row r="320" ht="12.75" customHeight="1" s="117">
      <c r="A320" s="91" t="n"/>
      <c r="B320" s="91" t="n"/>
      <c r="C320" s="91" t="n"/>
      <c r="D320" s="91" t="n"/>
      <c r="E320" s="91" t="n"/>
      <c r="F320" s="91" t="n"/>
      <c r="G320" s="91" t="n"/>
      <c r="H320" s="91" t="n"/>
      <c r="I320" s="91" t="n"/>
      <c r="J320" s="91" t="n"/>
      <c r="K320" s="91" t="n"/>
      <c r="L320" s="91" t="n"/>
      <c r="M320" s="91" t="n"/>
      <c r="N320" s="91" t="n"/>
      <c r="O320" s="91" t="n"/>
      <c r="P320" s="91" t="n"/>
      <c r="Q320" s="91" t="n"/>
      <c r="R320" s="91" t="n"/>
      <c r="S320" s="91" t="n"/>
      <c r="T320" s="91" t="n"/>
      <c r="U320" s="91" t="n"/>
      <c r="V320" s="91" t="n"/>
      <c r="W320" s="91" t="n"/>
      <c r="X320" s="91" t="n"/>
      <c r="Y320" s="91" t="n"/>
      <c r="Z320" s="91" t="n"/>
      <c r="AA320" s="91" t="n"/>
      <c r="AB320" s="91" t="n"/>
      <c r="AC320" s="91" t="n"/>
      <c r="AD320" s="91" t="n"/>
      <c r="AE320" s="91" t="n"/>
      <c r="AF320" s="91" t="n"/>
      <c r="AG320" s="91" t="n"/>
    </row>
    <row r="321" ht="12.75" customHeight="1" s="117">
      <c r="A321" s="91" t="n"/>
      <c r="B321" s="91" t="n"/>
      <c r="C321" s="91" t="n"/>
      <c r="D321" s="91" t="n"/>
      <c r="E321" s="91" t="n"/>
      <c r="F321" s="91" t="n"/>
      <c r="G321" s="91" t="n"/>
      <c r="H321" s="91" t="n"/>
      <c r="I321" s="91" t="n"/>
      <c r="J321" s="91" t="n"/>
      <c r="K321" s="91" t="n"/>
      <c r="L321" s="91" t="n"/>
      <c r="M321" s="91" t="n"/>
      <c r="N321" s="91" t="n"/>
      <c r="O321" s="91" t="n"/>
      <c r="P321" s="91" t="n"/>
      <c r="Q321" s="91" t="n"/>
      <c r="R321" s="91" t="n"/>
      <c r="S321" s="91" t="n"/>
      <c r="T321" s="91" t="n"/>
      <c r="U321" s="91" t="n"/>
      <c r="V321" s="91" t="n"/>
      <c r="W321" s="91" t="n"/>
      <c r="X321" s="91" t="n"/>
      <c r="Y321" s="91" t="n"/>
      <c r="Z321" s="91" t="n"/>
      <c r="AA321" s="91" t="n"/>
      <c r="AB321" s="91" t="n"/>
      <c r="AC321" s="91" t="n"/>
      <c r="AD321" s="91" t="n"/>
      <c r="AE321" s="91" t="n"/>
      <c r="AF321" s="91" t="n"/>
      <c r="AG321" s="91" t="n"/>
    </row>
    <row r="322" ht="12.75" customHeight="1" s="117">
      <c r="A322" s="91" t="n"/>
      <c r="B322" s="91" t="n"/>
      <c r="C322" s="91" t="n"/>
      <c r="D322" s="91" t="n"/>
      <c r="E322" s="91" t="n"/>
      <c r="F322" s="91" t="n"/>
      <c r="G322" s="91" t="n"/>
      <c r="H322" s="91" t="n"/>
      <c r="I322" s="91" t="n"/>
      <c r="J322" s="91" t="n"/>
      <c r="K322" s="91" t="n"/>
      <c r="L322" s="91" t="n"/>
      <c r="M322" s="91" t="n"/>
      <c r="N322" s="91" t="n"/>
      <c r="O322" s="91" t="n"/>
      <c r="P322" s="91" t="n"/>
      <c r="Q322" s="91" t="n"/>
      <c r="R322" s="91" t="n"/>
      <c r="S322" s="91" t="n"/>
      <c r="T322" s="91" t="n"/>
      <c r="U322" s="91" t="n"/>
      <c r="V322" s="91" t="n"/>
      <c r="W322" s="91" t="n"/>
      <c r="X322" s="91" t="n"/>
      <c r="Y322" s="91" t="n"/>
      <c r="Z322" s="91" t="n"/>
      <c r="AA322" s="91" t="n"/>
      <c r="AB322" s="91" t="n"/>
      <c r="AC322" s="91" t="n"/>
      <c r="AD322" s="91" t="n"/>
      <c r="AE322" s="91" t="n"/>
      <c r="AF322" s="91" t="n"/>
      <c r="AG322" s="91" t="n"/>
    </row>
    <row r="323" ht="12.75" customHeight="1" s="117">
      <c r="A323" s="91" t="n"/>
      <c r="B323" s="91" t="n"/>
      <c r="C323" s="91" t="n"/>
      <c r="D323" s="91" t="n"/>
      <c r="E323" s="91" t="n"/>
      <c r="F323" s="91" t="n"/>
      <c r="G323" s="91" t="n"/>
      <c r="H323" s="91" t="n"/>
      <c r="I323" s="91" t="n"/>
      <c r="J323" s="91" t="n"/>
      <c r="K323" s="91" t="n"/>
      <c r="L323" s="91" t="n"/>
      <c r="M323" s="91" t="n"/>
      <c r="N323" s="91" t="n"/>
      <c r="O323" s="91" t="n"/>
      <c r="P323" s="91" t="n"/>
      <c r="Q323" s="91" t="n"/>
      <c r="R323" s="91" t="n"/>
      <c r="S323" s="91" t="n"/>
      <c r="T323" s="91" t="n"/>
      <c r="U323" s="91" t="n"/>
      <c r="V323" s="91" t="n"/>
      <c r="W323" s="91" t="n"/>
      <c r="X323" s="91" t="n"/>
      <c r="Y323" s="91" t="n"/>
      <c r="Z323" s="91" t="n"/>
      <c r="AA323" s="91" t="n"/>
      <c r="AB323" s="91" t="n"/>
      <c r="AC323" s="91" t="n"/>
      <c r="AD323" s="91" t="n"/>
      <c r="AE323" s="91" t="n"/>
      <c r="AF323" s="91" t="n"/>
      <c r="AG323" s="91" t="n"/>
    </row>
    <row r="324" ht="12.75" customHeight="1" s="117">
      <c r="A324" s="91" t="n"/>
      <c r="B324" s="91" t="n"/>
      <c r="C324" s="91" t="n"/>
      <c r="D324" s="91" t="n"/>
      <c r="E324" s="91" t="n"/>
      <c r="F324" s="91" t="n"/>
      <c r="G324" s="91" t="n"/>
      <c r="H324" s="91" t="n"/>
      <c r="I324" s="91" t="n"/>
      <c r="J324" s="91" t="n"/>
      <c r="K324" s="91" t="n"/>
      <c r="L324" s="91" t="n"/>
      <c r="M324" s="91" t="n"/>
      <c r="N324" s="91" t="n"/>
      <c r="O324" s="91" t="n"/>
      <c r="P324" s="91" t="n"/>
      <c r="Q324" s="91" t="n"/>
      <c r="R324" s="91" t="n"/>
      <c r="S324" s="91" t="n"/>
      <c r="T324" s="91" t="n"/>
      <c r="U324" s="91" t="n"/>
      <c r="V324" s="91" t="n"/>
      <c r="W324" s="91" t="n"/>
      <c r="X324" s="91" t="n"/>
      <c r="Y324" s="91" t="n"/>
      <c r="Z324" s="91" t="n"/>
      <c r="AA324" s="91" t="n"/>
      <c r="AB324" s="91" t="n"/>
      <c r="AC324" s="91" t="n"/>
      <c r="AD324" s="91" t="n"/>
      <c r="AE324" s="91" t="n"/>
      <c r="AF324" s="91" t="n"/>
      <c r="AG324" s="91" t="n"/>
    </row>
    <row r="325" ht="12.75" customHeight="1" s="117">
      <c r="A325" s="91" t="n"/>
      <c r="B325" s="91" t="n"/>
      <c r="C325" s="91" t="n"/>
      <c r="D325" s="91" t="n"/>
      <c r="E325" s="91" t="n"/>
      <c r="F325" s="91" t="n"/>
      <c r="G325" s="91" t="n"/>
      <c r="H325" s="91" t="n"/>
      <c r="I325" s="91" t="n"/>
      <c r="J325" s="91" t="n"/>
      <c r="K325" s="91" t="n"/>
      <c r="L325" s="91" t="n"/>
      <c r="M325" s="91" t="n"/>
      <c r="N325" s="91" t="n"/>
      <c r="O325" s="91" t="n"/>
      <c r="P325" s="91" t="n"/>
      <c r="Q325" s="91" t="n"/>
      <c r="R325" s="91" t="n"/>
      <c r="S325" s="91" t="n"/>
      <c r="T325" s="91" t="n"/>
      <c r="U325" s="91" t="n"/>
      <c r="V325" s="91" t="n"/>
      <c r="W325" s="91" t="n"/>
      <c r="X325" s="91" t="n"/>
      <c r="Y325" s="91" t="n"/>
      <c r="Z325" s="91" t="n"/>
      <c r="AA325" s="91" t="n"/>
      <c r="AB325" s="91" t="n"/>
      <c r="AC325" s="91" t="n"/>
      <c r="AD325" s="91" t="n"/>
      <c r="AE325" s="91" t="n"/>
      <c r="AF325" s="91" t="n"/>
      <c r="AG325" s="91" t="n"/>
    </row>
    <row r="326" ht="12.75" customHeight="1" s="117">
      <c r="A326" s="91" t="n"/>
      <c r="B326" s="91" t="n"/>
      <c r="C326" s="91" t="n"/>
      <c r="D326" s="91" t="n"/>
      <c r="E326" s="91" t="n"/>
      <c r="F326" s="91" t="n"/>
      <c r="G326" s="91" t="n"/>
      <c r="H326" s="91" t="n"/>
      <c r="I326" s="91" t="n"/>
      <c r="J326" s="91" t="n"/>
      <c r="K326" s="91" t="n"/>
      <c r="L326" s="91" t="n"/>
      <c r="M326" s="91" t="n"/>
      <c r="N326" s="91" t="n"/>
      <c r="O326" s="91" t="n"/>
      <c r="P326" s="91" t="n"/>
      <c r="Q326" s="91" t="n"/>
      <c r="R326" s="91" t="n"/>
      <c r="S326" s="91" t="n"/>
      <c r="T326" s="91" t="n"/>
      <c r="U326" s="91" t="n"/>
      <c r="V326" s="91" t="n"/>
      <c r="W326" s="91" t="n"/>
      <c r="X326" s="91" t="n"/>
      <c r="Y326" s="91" t="n"/>
      <c r="Z326" s="91" t="n"/>
      <c r="AA326" s="91" t="n"/>
      <c r="AB326" s="91" t="n"/>
      <c r="AC326" s="91" t="n"/>
      <c r="AD326" s="91" t="n"/>
      <c r="AE326" s="91" t="n"/>
      <c r="AF326" s="91" t="n"/>
      <c r="AG326" s="91" t="n"/>
    </row>
    <row r="327" ht="12.75" customHeight="1" s="117">
      <c r="A327" s="91" t="n"/>
      <c r="B327" s="91" t="n"/>
      <c r="C327" s="91" t="n"/>
      <c r="D327" s="91" t="n"/>
      <c r="E327" s="91" t="n"/>
      <c r="F327" s="91" t="n"/>
      <c r="G327" s="91" t="n"/>
      <c r="H327" s="91" t="n"/>
      <c r="I327" s="91" t="n"/>
      <c r="J327" s="91" t="n"/>
      <c r="K327" s="91" t="n"/>
      <c r="L327" s="91" t="n"/>
      <c r="M327" s="91" t="n"/>
      <c r="N327" s="91" t="n"/>
      <c r="O327" s="91" t="n"/>
      <c r="P327" s="91" t="n"/>
      <c r="Q327" s="91" t="n"/>
      <c r="R327" s="91" t="n"/>
      <c r="S327" s="91" t="n"/>
      <c r="T327" s="91" t="n"/>
      <c r="U327" s="91" t="n"/>
      <c r="V327" s="91" t="n"/>
      <c r="W327" s="91" t="n"/>
      <c r="X327" s="91" t="n"/>
      <c r="Y327" s="91" t="n"/>
      <c r="Z327" s="91" t="n"/>
      <c r="AA327" s="91" t="n"/>
      <c r="AB327" s="91" t="n"/>
      <c r="AC327" s="91" t="n"/>
      <c r="AD327" s="91" t="n"/>
      <c r="AE327" s="91" t="n"/>
      <c r="AF327" s="91" t="n"/>
      <c r="AG327" s="91" t="n"/>
    </row>
    <row r="328" ht="12.75" customHeight="1" s="117">
      <c r="A328" s="91" t="n"/>
      <c r="B328" s="91" t="n"/>
      <c r="C328" s="91" t="n"/>
      <c r="D328" s="91" t="n"/>
      <c r="E328" s="91" t="n"/>
      <c r="F328" s="91" t="n"/>
      <c r="G328" s="91" t="n"/>
      <c r="H328" s="91" t="n"/>
      <c r="I328" s="91" t="n"/>
      <c r="J328" s="91" t="n"/>
      <c r="K328" s="91" t="n"/>
      <c r="L328" s="91" t="n"/>
      <c r="M328" s="91" t="n"/>
      <c r="N328" s="91" t="n"/>
      <c r="O328" s="91" t="n"/>
      <c r="P328" s="91" t="n"/>
      <c r="Q328" s="91" t="n"/>
      <c r="R328" s="91" t="n"/>
      <c r="S328" s="91" t="n"/>
      <c r="T328" s="91" t="n"/>
      <c r="U328" s="91" t="n"/>
      <c r="V328" s="91" t="n"/>
      <c r="W328" s="91" t="n"/>
      <c r="X328" s="91" t="n"/>
      <c r="Y328" s="91" t="n"/>
      <c r="Z328" s="91" t="n"/>
      <c r="AA328" s="91" t="n"/>
      <c r="AB328" s="91" t="n"/>
      <c r="AC328" s="91" t="n"/>
      <c r="AD328" s="91" t="n"/>
      <c r="AE328" s="91" t="n"/>
      <c r="AF328" s="91" t="n"/>
      <c r="AG328" s="91" t="n"/>
    </row>
    <row r="329" ht="12.75" customHeight="1" s="117">
      <c r="A329" s="91" t="n"/>
      <c r="B329" s="91" t="n"/>
      <c r="C329" s="91" t="n"/>
      <c r="D329" s="91" t="n"/>
      <c r="E329" s="91" t="n"/>
      <c r="F329" s="91" t="n"/>
      <c r="G329" s="91" t="n"/>
      <c r="H329" s="91" t="n"/>
      <c r="I329" s="91" t="n"/>
      <c r="J329" s="91" t="n"/>
      <c r="K329" s="91" t="n"/>
      <c r="L329" s="91" t="n"/>
      <c r="M329" s="91" t="n"/>
      <c r="N329" s="91" t="n"/>
      <c r="O329" s="91" t="n"/>
      <c r="P329" s="91" t="n"/>
      <c r="Q329" s="91" t="n"/>
      <c r="R329" s="91" t="n"/>
      <c r="S329" s="91" t="n"/>
      <c r="T329" s="91" t="n"/>
      <c r="U329" s="91" t="n"/>
      <c r="V329" s="91" t="n"/>
      <c r="W329" s="91" t="n"/>
      <c r="X329" s="91" t="n"/>
      <c r="Y329" s="91" t="n"/>
      <c r="Z329" s="91" t="n"/>
      <c r="AA329" s="91" t="n"/>
      <c r="AB329" s="91" t="n"/>
      <c r="AC329" s="91" t="n"/>
      <c r="AD329" s="91" t="n"/>
      <c r="AE329" s="91" t="n"/>
      <c r="AF329" s="91" t="n"/>
      <c r="AG329" s="91" t="n"/>
    </row>
    <row r="330" ht="12.75" customHeight="1" s="117">
      <c r="A330" s="91" t="n"/>
      <c r="B330" s="91" t="n"/>
      <c r="C330" s="91" t="n"/>
      <c r="D330" s="91" t="n"/>
      <c r="E330" s="91" t="n"/>
      <c r="F330" s="91" t="n"/>
      <c r="G330" s="91" t="n"/>
      <c r="H330" s="91" t="n"/>
      <c r="I330" s="91" t="n"/>
      <c r="J330" s="91" t="n"/>
      <c r="K330" s="91" t="n"/>
      <c r="L330" s="91" t="n"/>
      <c r="M330" s="91" t="n"/>
      <c r="N330" s="91" t="n"/>
      <c r="O330" s="91" t="n"/>
      <c r="P330" s="91" t="n"/>
      <c r="Q330" s="91" t="n"/>
      <c r="R330" s="91" t="n"/>
      <c r="S330" s="91" t="n"/>
      <c r="T330" s="91" t="n"/>
      <c r="U330" s="91" t="n"/>
      <c r="V330" s="91" t="n"/>
      <c r="W330" s="91" t="n"/>
      <c r="X330" s="91" t="n"/>
      <c r="Y330" s="91" t="n"/>
      <c r="Z330" s="91" t="n"/>
      <c r="AA330" s="91" t="n"/>
      <c r="AB330" s="91" t="n"/>
      <c r="AC330" s="91" t="n"/>
      <c r="AD330" s="91" t="n"/>
      <c r="AE330" s="91" t="n"/>
      <c r="AF330" s="91" t="n"/>
      <c r="AG330" s="91" t="n"/>
    </row>
    <row r="331" ht="12.75" customHeight="1" s="117">
      <c r="A331" s="91" t="n"/>
      <c r="B331" s="91" t="n"/>
      <c r="C331" s="91" t="n"/>
      <c r="D331" s="91" t="n"/>
      <c r="E331" s="91" t="n"/>
      <c r="F331" s="91" t="n"/>
      <c r="G331" s="91" t="n"/>
      <c r="H331" s="91" t="n"/>
      <c r="I331" s="91" t="n"/>
      <c r="J331" s="91" t="n"/>
      <c r="K331" s="91" t="n"/>
      <c r="L331" s="91" t="n"/>
      <c r="M331" s="91" t="n"/>
      <c r="N331" s="91" t="n"/>
      <c r="O331" s="91" t="n"/>
      <c r="P331" s="91" t="n"/>
      <c r="Q331" s="91" t="n"/>
      <c r="R331" s="91" t="n"/>
      <c r="S331" s="91" t="n"/>
      <c r="T331" s="91" t="n"/>
      <c r="U331" s="91" t="n"/>
      <c r="V331" s="91" t="n"/>
      <c r="W331" s="91" t="n"/>
      <c r="X331" s="91" t="n"/>
      <c r="Y331" s="91" t="n"/>
      <c r="Z331" s="91" t="n"/>
      <c r="AA331" s="91" t="n"/>
      <c r="AB331" s="91" t="n"/>
      <c r="AC331" s="91" t="n"/>
      <c r="AD331" s="91" t="n"/>
      <c r="AE331" s="91" t="n"/>
      <c r="AF331" s="91" t="n"/>
      <c r="AG331" s="91" t="n"/>
    </row>
    <row r="332" ht="12.75" customHeight="1" s="117">
      <c r="A332" s="91" t="n"/>
      <c r="B332" s="91" t="n"/>
      <c r="C332" s="91" t="n"/>
      <c r="D332" s="91" t="n"/>
      <c r="E332" s="91" t="n"/>
      <c r="F332" s="91" t="n"/>
      <c r="G332" s="91" t="n"/>
      <c r="H332" s="91" t="n"/>
      <c r="I332" s="91" t="n"/>
      <c r="J332" s="91" t="n"/>
      <c r="K332" s="91" t="n"/>
      <c r="L332" s="91" t="n"/>
      <c r="M332" s="91" t="n"/>
      <c r="N332" s="91" t="n"/>
      <c r="O332" s="91" t="n"/>
      <c r="P332" s="91" t="n"/>
      <c r="Q332" s="91" t="n"/>
      <c r="R332" s="91" t="n"/>
      <c r="S332" s="91" t="n"/>
      <c r="T332" s="91" t="n"/>
      <c r="U332" s="91" t="n"/>
      <c r="V332" s="91" t="n"/>
      <c r="W332" s="91" t="n"/>
      <c r="X332" s="91" t="n"/>
      <c r="Y332" s="91" t="n"/>
      <c r="Z332" s="91" t="n"/>
      <c r="AA332" s="91" t="n"/>
      <c r="AB332" s="91" t="n"/>
      <c r="AC332" s="91" t="n"/>
      <c r="AD332" s="91" t="n"/>
      <c r="AE332" s="91" t="n"/>
      <c r="AF332" s="91" t="n"/>
      <c r="AG332" s="91" t="n"/>
    </row>
    <row r="333" ht="12.75" customHeight="1" s="117">
      <c r="A333" s="91" t="n"/>
      <c r="B333" s="91" t="n"/>
      <c r="C333" s="91" t="n"/>
      <c r="D333" s="91" t="n"/>
      <c r="E333" s="91" t="n"/>
      <c r="F333" s="91" t="n"/>
      <c r="G333" s="91" t="n"/>
      <c r="H333" s="91" t="n"/>
      <c r="I333" s="91" t="n"/>
      <c r="J333" s="91" t="n"/>
      <c r="K333" s="91" t="n"/>
      <c r="L333" s="91" t="n"/>
      <c r="M333" s="91" t="n"/>
      <c r="N333" s="91" t="n"/>
      <c r="O333" s="91" t="n"/>
      <c r="P333" s="91" t="n"/>
      <c r="Q333" s="91" t="n"/>
      <c r="R333" s="91" t="n"/>
      <c r="S333" s="91" t="n"/>
      <c r="T333" s="91" t="n"/>
      <c r="U333" s="91" t="n"/>
      <c r="V333" s="91" t="n"/>
      <c r="W333" s="91" t="n"/>
      <c r="X333" s="91" t="n"/>
      <c r="Y333" s="91" t="n"/>
      <c r="Z333" s="91" t="n"/>
      <c r="AA333" s="91" t="n"/>
      <c r="AB333" s="91" t="n"/>
      <c r="AC333" s="91" t="n"/>
      <c r="AD333" s="91" t="n"/>
      <c r="AE333" s="91" t="n"/>
      <c r="AF333" s="91" t="n"/>
      <c r="AG333" s="91" t="n"/>
    </row>
    <row r="334" ht="12.75" customHeight="1" s="117">
      <c r="A334" s="91" t="n"/>
      <c r="B334" s="91" t="n"/>
      <c r="C334" s="91" t="n"/>
      <c r="D334" s="91" t="n"/>
      <c r="E334" s="91" t="n"/>
      <c r="F334" s="91" t="n"/>
      <c r="G334" s="91" t="n"/>
      <c r="H334" s="91" t="n"/>
      <c r="I334" s="91" t="n"/>
      <c r="J334" s="91" t="n"/>
      <c r="K334" s="91" t="n"/>
      <c r="L334" s="91" t="n"/>
      <c r="M334" s="91" t="n"/>
      <c r="N334" s="91" t="n"/>
      <c r="O334" s="91" t="n"/>
      <c r="P334" s="91" t="n"/>
      <c r="Q334" s="91" t="n"/>
      <c r="R334" s="91" t="n"/>
      <c r="S334" s="91" t="n"/>
      <c r="T334" s="91" t="n"/>
      <c r="U334" s="91" t="n"/>
      <c r="V334" s="91" t="n"/>
      <c r="W334" s="91" t="n"/>
      <c r="X334" s="91" t="n"/>
      <c r="Y334" s="91" t="n"/>
      <c r="Z334" s="91" t="n"/>
      <c r="AA334" s="91" t="n"/>
      <c r="AB334" s="91" t="n"/>
      <c r="AC334" s="91" t="n"/>
      <c r="AD334" s="91" t="n"/>
      <c r="AE334" s="91" t="n"/>
      <c r="AF334" s="91" t="n"/>
      <c r="AG334" s="91" t="n"/>
    </row>
    <row r="335" ht="12.75" customHeight="1" s="117">
      <c r="A335" s="91" t="n"/>
      <c r="B335" s="91" t="n"/>
      <c r="C335" s="91" t="n"/>
      <c r="D335" s="91" t="n"/>
      <c r="E335" s="91" t="n"/>
      <c r="F335" s="91" t="n"/>
      <c r="G335" s="91" t="n"/>
      <c r="H335" s="91" t="n"/>
      <c r="I335" s="91" t="n"/>
      <c r="J335" s="91" t="n"/>
      <c r="K335" s="91" t="n"/>
      <c r="L335" s="91" t="n"/>
      <c r="M335" s="91" t="n"/>
      <c r="N335" s="91" t="n"/>
      <c r="O335" s="91" t="n"/>
      <c r="P335" s="91" t="n"/>
      <c r="Q335" s="91" t="n"/>
      <c r="R335" s="91" t="n"/>
      <c r="S335" s="91" t="n"/>
      <c r="T335" s="91" t="n"/>
      <c r="U335" s="91" t="n"/>
      <c r="V335" s="91" t="n"/>
      <c r="W335" s="91" t="n"/>
      <c r="X335" s="91" t="n"/>
      <c r="Y335" s="91" t="n"/>
      <c r="Z335" s="91" t="n"/>
      <c r="AA335" s="91" t="n"/>
      <c r="AB335" s="91" t="n"/>
      <c r="AC335" s="91" t="n"/>
      <c r="AD335" s="91" t="n"/>
      <c r="AE335" s="91" t="n"/>
      <c r="AF335" s="91" t="n"/>
      <c r="AG335" s="91" t="n"/>
    </row>
    <row r="336" ht="12.75" customHeight="1" s="117">
      <c r="A336" s="91" t="n"/>
      <c r="B336" s="91" t="n"/>
      <c r="C336" s="91" t="n"/>
      <c r="D336" s="91" t="n"/>
      <c r="E336" s="91" t="n"/>
      <c r="F336" s="91" t="n"/>
      <c r="G336" s="91" t="n"/>
      <c r="H336" s="91" t="n"/>
      <c r="I336" s="91" t="n"/>
      <c r="J336" s="91" t="n"/>
      <c r="K336" s="91" t="n"/>
      <c r="L336" s="91" t="n"/>
      <c r="M336" s="91" t="n"/>
      <c r="N336" s="91" t="n"/>
      <c r="O336" s="91" t="n"/>
      <c r="P336" s="91" t="n"/>
      <c r="Q336" s="91" t="n"/>
      <c r="R336" s="91" t="n"/>
      <c r="S336" s="91" t="n"/>
      <c r="T336" s="91" t="n"/>
      <c r="U336" s="91" t="n"/>
      <c r="V336" s="91" t="n"/>
      <c r="W336" s="91" t="n"/>
      <c r="X336" s="91" t="n"/>
      <c r="Y336" s="91" t="n"/>
      <c r="Z336" s="91" t="n"/>
      <c r="AA336" s="91" t="n"/>
      <c r="AB336" s="91" t="n"/>
      <c r="AC336" s="91" t="n"/>
      <c r="AD336" s="91" t="n"/>
      <c r="AE336" s="91" t="n"/>
      <c r="AF336" s="91" t="n"/>
      <c r="AG336" s="91" t="n"/>
    </row>
    <row r="337" ht="12.75" customHeight="1" s="117">
      <c r="A337" s="91" t="n"/>
      <c r="B337" s="91" t="n"/>
      <c r="C337" s="91" t="n"/>
      <c r="D337" s="91" t="n"/>
      <c r="E337" s="91" t="n"/>
      <c r="F337" s="91" t="n"/>
      <c r="G337" s="91" t="n"/>
      <c r="H337" s="91" t="n"/>
      <c r="I337" s="91" t="n"/>
      <c r="J337" s="91" t="n"/>
      <c r="K337" s="91" t="n"/>
      <c r="L337" s="91" t="n"/>
      <c r="M337" s="91" t="n"/>
      <c r="N337" s="91" t="n"/>
      <c r="O337" s="91" t="n"/>
      <c r="P337" s="91" t="n"/>
      <c r="Q337" s="91" t="n"/>
      <c r="R337" s="91" t="n"/>
      <c r="S337" s="91" t="n"/>
      <c r="T337" s="91" t="n"/>
      <c r="U337" s="91" t="n"/>
      <c r="V337" s="91" t="n"/>
      <c r="W337" s="91" t="n"/>
      <c r="X337" s="91" t="n"/>
      <c r="Y337" s="91" t="n"/>
      <c r="Z337" s="91" t="n"/>
      <c r="AA337" s="91" t="n"/>
      <c r="AB337" s="91" t="n"/>
      <c r="AC337" s="91" t="n"/>
      <c r="AD337" s="91" t="n"/>
      <c r="AE337" s="91" t="n"/>
      <c r="AF337" s="91" t="n"/>
      <c r="AG337" s="91" t="n"/>
    </row>
    <row r="338" ht="12.75" customHeight="1" s="117">
      <c r="A338" s="91" t="n"/>
      <c r="B338" s="91" t="n"/>
      <c r="C338" s="91" t="n"/>
      <c r="D338" s="91" t="n"/>
      <c r="E338" s="91" t="n"/>
      <c r="F338" s="91" t="n"/>
      <c r="G338" s="91" t="n"/>
      <c r="H338" s="91" t="n"/>
      <c r="I338" s="91" t="n"/>
      <c r="J338" s="91" t="n"/>
      <c r="K338" s="91" t="n"/>
      <c r="L338" s="91" t="n"/>
      <c r="M338" s="91" t="n"/>
      <c r="N338" s="91" t="n"/>
      <c r="O338" s="91" t="n"/>
      <c r="P338" s="91" t="n"/>
      <c r="Q338" s="91" t="n"/>
      <c r="R338" s="91" t="n"/>
      <c r="S338" s="91" t="n"/>
      <c r="T338" s="91" t="n"/>
      <c r="U338" s="91" t="n"/>
      <c r="V338" s="91" t="n"/>
      <c r="W338" s="91" t="n"/>
      <c r="X338" s="91" t="n"/>
      <c r="Y338" s="91" t="n"/>
      <c r="Z338" s="91" t="n"/>
      <c r="AA338" s="91" t="n"/>
      <c r="AB338" s="91" t="n"/>
      <c r="AC338" s="91" t="n"/>
      <c r="AD338" s="91" t="n"/>
      <c r="AE338" s="91" t="n"/>
      <c r="AF338" s="91" t="n"/>
      <c r="AG338" s="91" t="n"/>
    </row>
    <row r="339" ht="12.75" customHeight="1" s="117">
      <c r="A339" s="91" t="n"/>
      <c r="B339" s="91" t="n"/>
      <c r="C339" s="91" t="n"/>
      <c r="D339" s="91" t="n"/>
      <c r="E339" s="91" t="n"/>
      <c r="F339" s="91" t="n"/>
      <c r="G339" s="91" t="n"/>
      <c r="H339" s="91" t="n"/>
      <c r="I339" s="91" t="n"/>
      <c r="J339" s="91" t="n"/>
      <c r="K339" s="91" t="n"/>
      <c r="L339" s="91" t="n"/>
      <c r="M339" s="91" t="n"/>
      <c r="N339" s="91" t="n"/>
      <c r="O339" s="91" t="n"/>
      <c r="P339" s="91" t="n"/>
      <c r="Q339" s="91" t="n"/>
      <c r="R339" s="91" t="n"/>
      <c r="S339" s="91" t="n"/>
      <c r="T339" s="91" t="n"/>
      <c r="U339" s="91" t="n"/>
      <c r="V339" s="91" t="n"/>
      <c r="W339" s="91" t="n"/>
      <c r="X339" s="91" t="n"/>
      <c r="Y339" s="91" t="n"/>
      <c r="Z339" s="91" t="n"/>
      <c r="AA339" s="91" t="n"/>
      <c r="AB339" s="91" t="n"/>
      <c r="AC339" s="91" t="n"/>
      <c r="AD339" s="91" t="n"/>
      <c r="AE339" s="91" t="n"/>
      <c r="AF339" s="91" t="n"/>
      <c r="AG339" s="91" t="n"/>
    </row>
    <row r="340" ht="12.75" customHeight="1" s="117">
      <c r="A340" s="91" t="n"/>
      <c r="B340" s="91" t="n"/>
      <c r="C340" s="91" t="n"/>
      <c r="D340" s="91" t="n"/>
      <c r="E340" s="91" t="n"/>
      <c r="F340" s="91" t="n"/>
      <c r="G340" s="91" t="n"/>
      <c r="H340" s="91" t="n"/>
      <c r="I340" s="91" t="n"/>
      <c r="J340" s="91" t="n"/>
      <c r="K340" s="91" t="n"/>
      <c r="L340" s="91" t="n"/>
      <c r="M340" s="91" t="n"/>
      <c r="N340" s="91" t="n"/>
      <c r="O340" s="91" t="n"/>
      <c r="P340" s="91" t="n"/>
      <c r="Q340" s="91" t="n"/>
      <c r="R340" s="91" t="n"/>
      <c r="S340" s="91" t="n"/>
      <c r="T340" s="91" t="n"/>
      <c r="U340" s="91" t="n"/>
      <c r="V340" s="91" t="n"/>
      <c r="W340" s="91" t="n"/>
      <c r="X340" s="91" t="n"/>
      <c r="Y340" s="91" t="n"/>
      <c r="Z340" s="91" t="n"/>
      <c r="AA340" s="91" t="n"/>
      <c r="AB340" s="91" t="n"/>
      <c r="AC340" s="91" t="n"/>
      <c r="AD340" s="91" t="n"/>
      <c r="AE340" s="91" t="n"/>
      <c r="AF340" s="91" t="n"/>
      <c r="AG340" s="91" t="n"/>
    </row>
    <row r="341" ht="12.75" customHeight="1" s="117">
      <c r="A341" s="91" t="n"/>
      <c r="B341" s="91" t="n"/>
      <c r="C341" s="91" t="n"/>
      <c r="D341" s="91" t="n"/>
      <c r="E341" s="91" t="n"/>
      <c r="F341" s="91" t="n"/>
      <c r="G341" s="91" t="n"/>
      <c r="H341" s="91" t="n"/>
      <c r="I341" s="91" t="n"/>
      <c r="J341" s="91" t="n"/>
      <c r="K341" s="91" t="n"/>
      <c r="L341" s="91" t="n"/>
      <c r="M341" s="91" t="n"/>
      <c r="N341" s="91" t="n"/>
      <c r="O341" s="91" t="n"/>
      <c r="P341" s="91" t="n"/>
      <c r="Q341" s="91" t="n"/>
      <c r="R341" s="91" t="n"/>
      <c r="S341" s="91" t="n"/>
      <c r="T341" s="91" t="n"/>
      <c r="U341" s="91" t="n"/>
      <c r="V341" s="91" t="n"/>
      <c r="W341" s="91" t="n"/>
      <c r="X341" s="91" t="n"/>
      <c r="Y341" s="91" t="n"/>
      <c r="Z341" s="91" t="n"/>
      <c r="AA341" s="91" t="n"/>
      <c r="AB341" s="91" t="n"/>
      <c r="AC341" s="91" t="n"/>
      <c r="AD341" s="91" t="n"/>
      <c r="AE341" s="91" t="n"/>
      <c r="AF341" s="91" t="n"/>
      <c r="AG341" s="91" t="n"/>
    </row>
    <row r="342" ht="12.75" customHeight="1" s="117">
      <c r="A342" s="91" t="n"/>
      <c r="B342" s="91" t="n"/>
      <c r="C342" s="91" t="n"/>
      <c r="D342" s="91" t="n"/>
      <c r="E342" s="91" t="n"/>
      <c r="F342" s="91" t="n"/>
      <c r="G342" s="91" t="n"/>
      <c r="H342" s="91" t="n"/>
      <c r="I342" s="91" t="n"/>
      <c r="J342" s="91" t="n"/>
      <c r="K342" s="91" t="n"/>
      <c r="L342" s="91" t="n"/>
      <c r="M342" s="91" t="n"/>
      <c r="N342" s="91" t="n"/>
      <c r="O342" s="91" t="n"/>
      <c r="P342" s="91" t="n"/>
      <c r="Q342" s="91" t="n"/>
      <c r="R342" s="91" t="n"/>
      <c r="S342" s="91" t="n"/>
      <c r="T342" s="91" t="n"/>
      <c r="U342" s="91" t="n"/>
      <c r="V342" s="91" t="n"/>
      <c r="W342" s="91" t="n"/>
      <c r="X342" s="91" t="n"/>
      <c r="Y342" s="91" t="n"/>
      <c r="Z342" s="91" t="n"/>
      <c r="AA342" s="91" t="n"/>
      <c r="AB342" s="91" t="n"/>
      <c r="AC342" s="91" t="n"/>
      <c r="AD342" s="91" t="n"/>
      <c r="AE342" s="91" t="n"/>
      <c r="AF342" s="91" t="n"/>
      <c r="AG342" s="91" t="n"/>
    </row>
    <row r="343" ht="12.75" customHeight="1" s="117">
      <c r="A343" s="91" t="n"/>
      <c r="B343" s="91" t="n"/>
      <c r="C343" s="91" t="n"/>
      <c r="D343" s="91" t="n"/>
      <c r="E343" s="91" t="n"/>
      <c r="F343" s="91" t="n"/>
      <c r="G343" s="91" t="n"/>
      <c r="H343" s="91" t="n"/>
      <c r="I343" s="91" t="n"/>
      <c r="J343" s="91" t="n"/>
      <c r="K343" s="91" t="n"/>
      <c r="L343" s="91" t="n"/>
      <c r="M343" s="91" t="n"/>
      <c r="N343" s="91" t="n"/>
      <c r="O343" s="91" t="n"/>
      <c r="P343" s="91" t="n"/>
      <c r="Q343" s="91" t="n"/>
      <c r="R343" s="91" t="n"/>
      <c r="S343" s="91" t="n"/>
      <c r="T343" s="91" t="n"/>
      <c r="U343" s="91" t="n"/>
      <c r="V343" s="91" t="n"/>
      <c r="W343" s="91" t="n"/>
      <c r="X343" s="91" t="n"/>
      <c r="Y343" s="91" t="n"/>
      <c r="Z343" s="91" t="n"/>
      <c r="AA343" s="91" t="n"/>
      <c r="AB343" s="91" t="n"/>
      <c r="AC343" s="91" t="n"/>
      <c r="AD343" s="91" t="n"/>
      <c r="AE343" s="91" t="n"/>
      <c r="AF343" s="91" t="n"/>
      <c r="AG343" s="91" t="n"/>
    </row>
    <row r="344" ht="12.75" customHeight="1" s="117">
      <c r="A344" s="91" t="n"/>
      <c r="B344" s="91" t="n"/>
      <c r="C344" s="91" t="n"/>
      <c r="D344" s="91" t="n"/>
      <c r="E344" s="91" t="n"/>
      <c r="F344" s="91" t="n"/>
      <c r="G344" s="91" t="n"/>
      <c r="H344" s="91" t="n"/>
      <c r="I344" s="91" t="n"/>
      <c r="J344" s="91" t="n"/>
      <c r="K344" s="91" t="n"/>
      <c r="L344" s="91" t="n"/>
      <c r="M344" s="91" t="n"/>
      <c r="N344" s="91" t="n"/>
      <c r="O344" s="91" t="n"/>
      <c r="P344" s="91" t="n"/>
      <c r="Q344" s="91" t="n"/>
      <c r="R344" s="91" t="n"/>
      <c r="S344" s="91" t="n"/>
      <c r="T344" s="91" t="n"/>
      <c r="U344" s="91" t="n"/>
      <c r="V344" s="91" t="n"/>
      <c r="W344" s="91" t="n"/>
      <c r="X344" s="91" t="n"/>
      <c r="Y344" s="91" t="n"/>
      <c r="Z344" s="91" t="n"/>
      <c r="AA344" s="91" t="n"/>
      <c r="AB344" s="91" t="n"/>
      <c r="AC344" s="91" t="n"/>
      <c r="AD344" s="91" t="n"/>
      <c r="AE344" s="91" t="n"/>
      <c r="AF344" s="91" t="n"/>
      <c r="AG344" s="91" t="n"/>
    </row>
    <row r="345" ht="12.75" customHeight="1" s="117">
      <c r="A345" s="91" t="n"/>
      <c r="B345" s="91" t="n"/>
      <c r="C345" s="91" t="n"/>
      <c r="D345" s="91" t="n"/>
      <c r="E345" s="91" t="n"/>
      <c r="F345" s="91" t="n"/>
      <c r="G345" s="91" t="n"/>
      <c r="H345" s="91" t="n"/>
      <c r="I345" s="91" t="n"/>
      <c r="J345" s="91" t="n"/>
      <c r="K345" s="91" t="n"/>
      <c r="L345" s="91" t="n"/>
      <c r="M345" s="91" t="n"/>
      <c r="N345" s="91" t="n"/>
      <c r="O345" s="91" t="n"/>
      <c r="P345" s="91" t="n"/>
      <c r="Q345" s="91" t="n"/>
      <c r="R345" s="91" t="n"/>
      <c r="S345" s="91" t="n"/>
      <c r="T345" s="91" t="n"/>
      <c r="U345" s="91" t="n"/>
      <c r="V345" s="91" t="n"/>
      <c r="W345" s="91" t="n"/>
      <c r="X345" s="91" t="n"/>
      <c r="Y345" s="91" t="n"/>
      <c r="Z345" s="91" t="n"/>
      <c r="AA345" s="91" t="n"/>
      <c r="AB345" s="91" t="n"/>
      <c r="AC345" s="91" t="n"/>
      <c r="AD345" s="91" t="n"/>
      <c r="AE345" s="91" t="n"/>
      <c r="AF345" s="91" t="n"/>
      <c r="AG345" s="91" t="n"/>
    </row>
    <row r="346" ht="12.75" customHeight="1" s="117">
      <c r="A346" s="91" t="n"/>
      <c r="B346" s="91" t="n"/>
      <c r="C346" s="91" t="n"/>
      <c r="D346" s="91" t="n"/>
      <c r="E346" s="91" t="n"/>
      <c r="F346" s="91" t="n"/>
      <c r="G346" s="91" t="n"/>
      <c r="H346" s="91" t="n"/>
      <c r="I346" s="91" t="n"/>
      <c r="J346" s="91" t="n"/>
      <c r="K346" s="91" t="n"/>
      <c r="L346" s="91" t="n"/>
      <c r="M346" s="91" t="n"/>
      <c r="N346" s="91" t="n"/>
      <c r="O346" s="91" t="n"/>
      <c r="P346" s="91" t="n"/>
      <c r="Q346" s="91" t="n"/>
      <c r="R346" s="91" t="n"/>
      <c r="S346" s="91" t="n"/>
      <c r="T346" s="91" t="n"/>
      <c r="U346" s="91" t="n"/>
      <c r="V346" s="91" t="n"/>
      <c r="W346" s="91" t="n"/>
      <c r="X346" s="91" t="n"/>
      <c r="Y346" s="91" t="n"/>
      <c r="Z346" s="91" t="n"/>
      <c r="AA346" s="91" t="n"/>
      <c r="AB346" s="91" t="n"/>
      <c r="AC346" s="91" t="n"/>
      <c r="AD346" s="91" t="n"/>
      <c r="AE346" s="91" t="n"/>
      <c r="AF346" s="91" t="n"/>
      <c r="AG346" s="91" t="n"/>
    </row>
    <row r="347" ht="12.75" customHeight="1" s="117">
      <c r="A347" s="91" t="n"/>
      <c r="B347" s="91" t="n"/>
      <c r="C347" s="91" t="n"/>
      <c r="D347" s="91" t="n"/>
      <c r="E347" s="91" t="n"/>
      <c r="F347" s="91" t="n"/>
      <c r="G347" s="91" t="n"/>
      <c r="H347" s="91" t="n"/>
      <c r="I347" s="91" t="n"/>
      <c r="J347" s="91" t="n"/>
      <c r="K347" s="91" t="n"/>
      <c r="L347" s="91" t="n"/>
      <c r="M347" s="91" t="n"/>
      <c r="N347" s="91" t="n"/>
      <c r="O347" s="91" t="n"/>
      <c r="P347" s="91" t="n"/>
      <c r="Q347" s="91" t="n"/>
      <c r="R347" s="91" t="n"/>
      <c r="S347" s="91" t="n"/>
      <c r="T347" s="91" t="n"/>
      <c r="U347" s="91" t="n"/>
      <c r="V347" s="91" t="n"/>
      <c r="W347" s="91" t="n"/>
      <c r="X347" s="91" t="n"/>
      <c r="Y347" s="91" t="n"/>
      <c r="Z347" s="91" t="n"/>
      <c r="AA347" s="91" t="n"/>
      <c r="AB347" s="91" t="n"/>
      <c r="AC347" s="91" t="n"/>
      <c r="AD347" s="91" t="n"/>
      <c r="AE347" s="91" t="n"/>
      <c r="AF347" s="91" t="n"/>
      <c r="AG347" s="91" t="n"/>
    </row>
    <row r="348" ht="12.75" customHeight="1" s="117">
      <c r="A348" s="91" t="n"/>
      <c r="B348" s="91" t="n"/>
      <c r="C348" s="91" t="n"/>
      <c r="D348" s="91" t="n"/>
      <c r="E348" s="91" t="n"/>
      <c r="F348" s="91" t="n"/>
      <c r="G348" s="91" t="n"/>
      <c r="H348" s="91" t="n"/>
      <c r="I348" s="91" t="n"/>
      <c r="J348" s="91" t="n"/>
      <c r="K348" s="91" t="n"/>
      <c r="L348" s="91" t="n"/>
      <c r="M348" s="91" t="n"/>
      <c r="N348" s="91" t="n"/>
      <c r="O348" s="91" t="n"/>
      <c r="P348" s="91" t="n"/>
      <c r="Q348" s="91" t="n"/>
      <c r="R348" s="91" t="n"/>
      <c r="S348" s="91" t="n"/>
      <c r="T348" s="91" t="n"/>
      <c r="U348" s="91" t="n"/>
      <c r="V348" s="91" t="n"/>
      <c r="W348" s="91" t="n"/>
      <c r="X348" s="91" t="n"/>
      <c r="Y348" s="91" t="n"/>
      <c r="Z348" s="91" t="n"/>
      <c r="AA348" s="91" t="n"/>
      <c r="AB348" s="91" t="n"/>
      <c r="AC348" s="91" t="n"/>
      <c r="AD348" s="91" t="n"/>
      <c r="AE348" s="91" t="n"/>
      <c r="AF348" s="91" t="n"/>
      <c r="AG348" s="91" t="n"/>
    </row>
    <row r="349" ht="12.75" customHeight="1" s="117">
      <c r="A349" s="91" t="n"/>
      <c r="B349" s="91" t="n"/>
      <c r="C349" s="91" t="n"/>
      <c r="D349" s="91" t="n"/>
      <c r="E349" s="91" t="n"/>
      <c r="F349" s="91" t="n"/>
      <c r="G349" s="91" t="n"/>
      <c r="H349" s="91" t="n"/>
      <c r="I349" s="91" t="n"/>
      <c r="J349" s="91" t="n"/>
      <c r="K349" s="91" t="n"/>
      <c r="L349" s="91" t="n"/>
      <c r="M349" s="91" t="n"/>
      <c r="N349" s="91" t="n"/>
      <c r="O349" s="91" t="n"/>
      <c r="P349" s="91" t="n"/>
      <c r="Q349" s="91" t="n"/>
      <c r="R349" s="91" t="n"/>
      <c r="S349" s="91" t="n"/>
      <c r="T349" s="91" t="n"/>
      <c r="U349" s="91" t="n"/>
      <c r="V349" s="91" t="n"/>
      <c r="W349" s="91" t="n"/>
      <c r="X349" s="91" t="n"/>
      <c r="Y349" s="91" t="n"/>
      <c r="Z349" s="91" t="n"/>
      <c r="AA349" s="91" t="n"/>
      <c r="AB349" s="91" t="n"/>
      <c r="AC349" s="91" t="n"/>
      <c r="AD349" s="91" t="n"/>
      <c r="AE349" s="91" t="n"/>
      <c r="AF349" s="91" t="n"/>
      <c r="AG349" s="91" t="n"/>
    </row>
    <row r="350" ht="12.75" customHeight="1" s="117">
      <c r="A350" s="91" t="n"/>
      <c r="B350" s="91" t="n"/>
      <c r="C350" s="91" t="n"/>
      <c r="D350" s="91" t="n"/>
      <c r="E350" s="91" t="n"/>
      <c r="F350" s="91" t="n"/>
      <c r="G350" s="91" t="n"/>
      <c r="H350" s="91" t="n"/>
      <c r="I350" s="91" t="n"/>
      <c r="J350" s="91" t="n"/>
      <c r="K350" s="91" t="n"/>
      <c r="L350" s="91" t="n"/>
      <c r="M350" s="91" t="n"/>
      <c r="N350" s="91" t="n"/>
      <c r="O350" s="91" t="n"/>
      <c r="P350" s="91" t="n"/>
      <c r="Q350" s="91" t="n"/>
      <c r="R350" s="91" t="n"/>
      <c r="S350" s="91" t="n"/>
      <c r="T350" s="91" t="n"/>
      <c r="U350" s="91" t="n"/>
      <c r="V350" s="91" t="n"/>
      <c r="W350" s="91" t="n"/>
      <c r="X350" s="91" t="n"/>
      <c r="Y350" s="91" t="n"/>
      <c r="Z350" s="91" t="n"/>
      <c r="AA350" s="91" t="n"/>
      <c r="AB350" s="91" t="n"/>
      <c r="AC350" s="91" t="n"/>
      <c r="AD350" s="91" t="n"/>
      <c r="AE350" s="91" t="n"/>
      <c r="AF350" s="91" t="n"/>
      <c r="AG350" s="91" t="n"/>
    </row>
    <row r="351" ht="12.75" customHeight="1" s="117">
      <c r="A351" s="91" t="n"/>
      <c r="B351" s="91" t="n"/>
      <c r="C351" s="91" t="n"/>
      <c r="D351" s="91" t="n"/>
      <c r="E351" s="91" t="n"/>
      <c r="F351" s="91" t="n"/>
      <c r="G351" s="91" t="n"/>
      <c r="H351" s="91" t="n"/>
      <c r="I351" s="91" t="n"/>
      <c r="J351" s="91" t="n"/>
      <c r="K351" s="91" t="n"/>
      <c r="L351" s="91" t="n"/>
      <c r="M351" s="91" t="n"/>
      <c r="N351" s="91" t="n"/>
      <c r="O351" s="91" t="n"/>
      <c r="P351" s="91" t="n"/>
      <c r="Q351" s="91" t="n"/>
      <c r="R351" s="91" t="n"/>
      <c r="S351" s="91" t="n"/>
      <c r="T351" s="91" t="n"/>
      <c r="U351" s="91" t="n"/>
      <c r="V351" s="91" t="n"/>
      <c r="W351" s="91" t="n"/>
      <c r="X351" s="91" t="n"/>
      <c r="Y351" s="91" t="n"/>
      <c r="Z351" s="91" t="n"/>
      <c r="AA351" s="91" t="n"/>
      <c r="AB351" s="91" t="n"/>
      <c r="AC351" s="91" t="n"/>
      <c r="AD351" s="91" t="n"/>
      <c r="AE351" s="91" t="n"/>
      <c r="AF351" s="91" t="n"/>
      <c r="AG351" s="91" t="n"/>
    </row>
    <row r="352" ht="12.75" customHeight="1" s="117">
      <c r="A352" s="91" t="n"/>
      <c r="B352" s="91" t="n"/>
      <c r="C352" s="91" t="n"/>
      <c r="D352" s="91" t="n"/>
      <c r="E352" s="91" t="n"/>
      <c r="F352" s="91" t="n"/>
      <c r="G352" s="91" t="n"/>
      <c r="H352" s="91" t="n"/>
      <c r="I352" s="91" t="n"/>
      <c r="J352" s="91" t="n"/>
      <c r="K352" s="91" t="n"/>
      <c r="L352" s="91" t="n"/>
      <c r="M352" s="91" t="n"/>
      <c r="N352" s="91" t="n"/>
      <c r="O352" s="91" t="n"/>
      <c r="P352" s="91" t="n"/>
      <c r="Q352" s="91" t="n"/>
      <c r="R352" s="91" t="n"/>
      <c r="S352" s="91" t="n"/>
      <c r="T352" s="91" t="n"/>
      <c r="U352" s="91" t="n"/>
      <c r="V352" s="91" t="n"/>
      <c r="W352" s="91" t="n"/>
      <c r="X352" s="91" t="n"/>
      <c r="Y352" s="91" t="n"/>
      <c r="Z352" s="91" t="n"/>
      <c r="AA352" s="91" t="n"/>
      <c r="AB352" s="91" t="n"/>
      <c r="AC352" s="91" t="n"/>
      <c r="AD352" s="91" t="n"/>
      <c r="AE352" s="91" t="n"/>
      <c r="AF352" s="91" t="n"/>
      <c r="AG352" s="91" t="n"/>
    </row>
    <row r="353" ht="12.75" customHeight="1" s="117">
      <c r="A353" s="91" t="n"/>
      <c r="B353" s="91" t="n"/>
      <c r="C353" s="91" t="n"/>
      <c r="D353" s="91" t="n"/>
      <c r="E353" s="91" t="n"/>
      <c r="F353" s="91" t="n"/>
      <c r="G353" s="91" t="n"/>
      <c r="H353" s="91" t="n"/>
      <c r="I353" s="91" t="n"/>
      <c r="J353" s="91" t="n"/>
      <c r="K353" s="91" t="n"/>
      <c r="L353" s="91" t="n"/>
      <c r="M353" s="91" t="n"/>
      <c r="N353" s="91" t="n"/>
      <c r="O353" s="91" t="n"/>
      <c r="P353" s="91" t="n"/>
      <c r="Q353" s="91" t="n"/>
      <c r="R353" s="91" t="n"/>
      <c r="S353" s="91" t="n"/>
      <c r="T353" s="91" t="n"/>
      <c r="U353" s="91" t="n"/>
      <c r="V353" s="91" t="n"/>
      <c r="W353" s="91" t="n"/>
      <c r="X353" s="91" t="n"/>
      <c r="Y353" s="91" t="n"/>
      <c r="Z353" s="91" t="n"/>
      <c r="AA353" s="91" t="n"/>
      <c r="AB353" s="91" t="n"/>
      <c r="AC353" s="91" t="n"/>
      <c r="AD353" s="91" t="n"/>
      <c r="AE353" s="91" t="n"/>
      <c r="AF353" s="91" t="n"/>
      <c r="AG353" s="91" t="n"/>
    </row>
    <row r="354" ht="12.75" customHeight="1" s="117">
      <c r="A354" s="91" t="n"/>
      <c r="B354" s="91" t="n"/>
      <c r="C354" s="91" t="n"/>
      <c r="D354" s="91" t="n"/>
      <c r="E354" s="91" t="n"/>
      <c r="F354" s="91" t="n"/>
      <c r="G354" s="91" t="n"/>
      <c r="H354" s="91" t="n"/>
      <c r="I354" s="91" t="n"/>
      <c r="J354" s="91" t="n"/>
      <c r="K354" s="91" t="n"/>
      <c r="L354" s="91" t="n"/>
      <c r="M354" s="91" t="n"/>
      <c r="N354" s="91" t="n"/>
      <c r="O354" s="91" t="n"/>
      <c r="P354" s="91" t="n"/>
      <c r="Q354" s="91" t="n"/>
      <c r="R354" s="91" t="n"/>
      <c r="S354" s="91" t="n"/>
      <c r="T354" s="91" t="n"/>
      <c r="U354" s="91" t="n"/>
      <c r="V354" s="91" t="n"/>
      <c r="W354" s="91" t="n"/>
      <c r="X354" s="91" t="n"/>
      <c r="Y354" s="91" t="n"/>
      <c r="Z354" s="91" t="n"/>
      <c r="AA354" s="91" t="n"/>
      <c r="AB354" s="91" t="n"/>
      <c r="AC354" s="91" t="n"/>
      <c r="AD354" s="91" t="n"/>
      <c r="AE354" s="91" t="n"/>
      <c r="AF354" s="91" t="n"/>
      <c r="AG354" s="91" t="n"/>
    </row>
    <row r="355" ht="12.75" customHeight="1" s="117">
      <c r="A355" s="91" t="n"/>
      <c r="B355" s="91" t="n"/>
      <c r="C355" s="91" t="n"/>
      <c r="D355" s="91" t="n"/>
      <c r="E355" s="91" t="n"/>
      <c r="F355" s="91" t="n"/>
      <c r="G355" s="91" t="n"/>
      <c r="H355" s="91" t="n"/>
      <c r="I355" s="91" t="n"/>
      <c r="J355" s="91" t="n"/>
      <c r="K355" s="91" t="n"/>
      <c r="L355" s="91" t="n"/>
      <c r="M355" s="91" t="n"/>
      <c r="N355" s="91" t="n"/>
      <c r="O355" s="91" t="n"/>
      <c r="P355" s="91" t="n"/>
      <c r="Q355" s="91" t="n"/>
      <c r="R355" s="91" t="n"/>
      <c r="S355" s="91" t="n"/>
      <c r="T355" s="91" t="n"/>
      <c r="U355" s="91" t="n"/>
      <c r="V355" s="91" t="n"/>
      <c r="W355" s="91" t="n"/>
      <c r="X355" s="91" t="n"/>
      <c r="Y355" s="91" t="n"/>
      <c r="Z355" s="91" t="n"/>
      <c r="AA355" s="91" t="n"/>
      <c r="AB355" s="91" t="n"/>
      <c r="AC355" s="91" t="n"/>
      <c r="AD355" s="91" t="n"/>
      <c r="AE355" s="91" t="n"/>
      <c r="AF355" s="91" t="n"/>
      <c r="AG355" s="91" t="n"/>
    </row>
    <row r="356" ht="12.75" customHeight="1" s="117">
      <c r="A356" s="91" t="n"/>
      <c r="B356" s="91" t="n"/>
      <c r="C356" s="91" t="n"/>
      <c r="D356" s="91" t="n"/>
      <c r="E356" s="91" t="n"/>
      <c r="F356" s="91" t="n"/>
      <c r="G356" s="91" t="n"/>
      <c r="H356" s="91" t="n"/>
      <c r="I356" s="91" t="n"/>
      <c r="J356" s="91" t="n"/>
      <c r="K356" s="91" t="n"/>
      <c r="L356" s="91" t="n"/>
      <c r="M356" s="91" t="n"/>
      <c r="N356" s="91" t="n"/>
      <c r="O356" s="91" t="n"/>
      <c r="P356" s="91" t="n"/>
      <c r="Q356" s="91" t="n"/>
      <c r="R356" s="91" t="n"/>
      <c r="S356" s="91" t="n"/>
      <c r="T356" s="91" t="n"/>
      <c r="U356" s="91" t="n"/>
      <c r="V356" s="91" t="n"/>
      <c r="W356" s="91" t="n"/>
      <c r="X356" s="91" t="n"/>
      <c r="Y356" s="91" t="n"/>
      <c r="Z356" s="91" t="n"/>
      <c r="AA356" s="91" t="n"/>
      <c r="AB356" s="91" t="n"/>
      <c r="AC356" s="91" t="n"/>
      <c r="AD356" s="91" t="n"/>
      <c r="AE356" s="91" t="n"/>
      <c r="AF356" s="91" t="n"/>
      <c r="AG356" s="91" t="n"/>
    </row>
    <row r="357" ht="12.75" customHeight="1" s="117">
      <c r="A357" s="91" t="n"/>
      <c r="B357" s="91" t="n"/>
      <c r="C357" s="91" t="n"/>
      <c r="D357" s="91" t="n"/>
      <c r="E357" s="91" t="n"/>
      <c r="F357" s="91" t="n"/>
      <c r="G357" s="91" t="n"/>
      <c r="H357" s="91" t="n"/>
      <c r="I357" s="91" t="n"/>
      <c r="J357" s="91" t="n"/>
      <c r="K357" s="91" t="n"/>
      <c r="L357" s="91" t="n"/>
      <c r="M357" s="91" t="n"/>
      <c r="N357" s="91" t="n"/>
      <c r="O357" s="91" t="n"/>
      <c r="P357" s="91" t="n"/>
      <c r="Q357" s="91" t="n"/>
      <c r="R357" s="91" t="n"/>
      <c r="S357" s="91" t="n"/>
      <c r="T357" s="91" t="n"/>
      <c r="U357" s="91" t="n"/>
      <c r="V357" s="91" t="n"/>
      <c r="W357" s="91" t="n"/>
      <c r="X357" s="91" t="n"/>
      <c r="Y357" s="91" t="n"/>
      <c r="Z357" s="91" t="n"/>
      <c r="AA357" s="91" t="n"/>
      <c r="AB357" s="91" t="n"/>
      <c r="AC357" s="91" t="n"/>
      <c r="AD357" s="91" t="n"/>
      <c r="AE357" s="91" t="n"/>
      <c r="AF357" s="91" t="n"/>
      <c r="AG357" s="91" t="n"/>
    </row>
    <row r="358" ht="12.75" customHeight="1" s="117">
      <c r="A358" s="91" t="n"/>
      <c r="B358" s="91" t="n"/>
      <c r="C358" s="91" t="n"/>
      <c r="D358" s="91" t="n"/>
      <c r="E358" s="91" t="n"/>
      <c r="F358" s="91" t="n"/>
      <c r="G358" s="91" t="n"/>
      <c r="H358" s="91" t="n"/>
      <c r="I358" s="91" t="n"/>
      <c r="J358" s="91" t="n"/>
      <c r="K358" s="91" t="n"/>
      <c r="L358" s="91" t="n"/>
      <c r="M358" s="91" t="n"/>
      <c r="N358" s="91" t="n"/>
      <c r="O358" s="91" t="n"/>
      <c r="P358" s="91" t="n"/>
      <c r="Q358" s="91" t="n"/>
      <c r="R358" s="91" t="n"/>
      <c r="S358" s="91" t="n"/>
      <c r="T358" s="91" t="n"/>
      <c r="U358" s="91" t="n"/>
      <c r="V358" s="91" t="n"/>
      <c r="W358" s="91" t="n"/>
      <c r="X358" s="91" t="n"/>
      <c r="Y358" s="91" t="n"/>
      <c r="Z358" s="91" t="n"/>
      <c r="AA358" s="91" t="n"/>
      <c r="AB358" s="91" t="n"/>
      <c r="AC358" s="91" t="n"/>
      <c r="AD358" s="91" t="n"/>
      <c r="AE358" s="91" t="n"/>
      <c r="AF358" s="91" t="n"/>
      <c r="AG358" s="91" t="n"/>
    </row>
    <row r="359" ht="12.75" customHeight="1" s="117">
      <c r="A359" s="91" t="n"/>
      <c r="B359" s="91" t="n"/>
      <c r="C359" s="91" t="n"/>
      <c r="D359" s="91" t="n"/>
      <c r="E359" s="91" t="n"/>
      <c r="F359" s="91" t="n"/>
      <c r="G359" s="91" t="n"/>
      <c r="H359" s="91" t="n"/>
      <c r="I359" s="91" t="n"/>
      <c r="J359" s="91" t="n"/>
      <c r="K359" s="91" t="n"/>
      <c r="L359" s="91" t="n"/>
      <c r="M359" s="91" t="n"/>
      <c r="N359" s="91" t="n"/>
      <c r="O359" s="91" t="n"/>
      <c r="P359" s="91" t="n"/>
      <c r="Q359" s="91" t="n"/>
      <c r="R359" s="91" t="n"/>
      <c r="S359" s="91" t="n"/>
      <c r="T359" s="91" t="n"/>
      <c r="U359" s="91" t="n"/>
      <c r="V359" s="91" t="n"/>
      <c r="W359" s="91" t="n"/>
      <c r="X359" s="91" t="n"/>
      <c r="Y359" s="91" t="n"/>
      <c r="Z359" s="91" t="n"/>
      <c r="AA359" s="91" t="n"/>
      <c r="AB359" s="91" t="n"/>
      <c r="AC359" s="91" t="n"/>
      <c r="AD359" s="91" t="n"/>
      <c r="AE359" s="91" t="n"/>
      <c r="AF359" s="91" t="n"/>
      <c r="AG359" s="91" t="n"/>
    </row>
    <row r="360" ht="12.75" customHeight="1" s="117">
      <c r="A360" s="91" t="n"/>
      <c r="B360" s="91" t="n"/>
      <c r="C360" s="91" t="n"/>
      <c r="D360" s="91" t="n"/>
      <c r="E360" s="91" t="n"/>
      <c r="F360" s="91" t="n"/>
      <c r="G360" s="91" t="n"/>
      <c r="H360" s="91" t="n"/>
      <c r="I360" s="91" t="n"/>
      <c r="J360" s="91" t="n"/>
      <c r="K360" s="91" t="n"/>
      <c r="L360" s="91" t="n"/>
      <c r="M360" s="91" t="n"/>
      <c r="N360" s="91" t="n"/>
      <c r="O360" s="91" t="n"/>
      <c r="P360" s="91" t="n"/>
      <c r="Q360" s="91" t="n"/>
      <c r="R360" s="91" t="n"/>
      <c r="S360" s="91" t="n"/>
      <c r="T360" s="91" t="n"/>
      <c r="U360" s="91" t="n"/>
      <c r="V360" s="91" t="n"/>
      <c r="W360" s="91" t="n"/>
      <c r="X360" s="91" t="n"/>
      <c r="Y360" s="91" t="n"/>
      <c r="Z360" s="91" t="n"/>
      <c r="AA360" s="91" t="n"/>
      <c r="AB360" s="91" t="n"/>
      <c r="AC360" s="91" t="n"/>
      <c r="AD360" s="91" t="n"/>
      <c r="AE360" s="91" t="n"/>
      <c r="AF360" s="91" t="n"/>
      <c r="AG360" s="91" t="n"/>
    </row>
    <row r="361" ht="12.75" customHeight="1" s="117">
      <c r="A361" s="91" t="n"/>
      <c r="B361" s="91" t="n"/>
      <c r="C361" s="91" t="n"/>
      <c r="D361" s="91" t="n"/>
      <c r="E361" s="91" t="n"/>
      <c r="F361" s="91" t="n"/>
      <c r="G361" s="91" t="n"/>
      <c r="H361" s="91" t="n"/>
      <c r="I361" s="91" t="n"/>
      <c r="J361" s="91" t="n"/>
      <c r="K361" s="91" t="n"/>
      <c r="L361" s="91" t="n"/>
      <c r="M361" s="91" t="n"/>
      <c r="N361" s="91" t="n"/>
      <c r="O361" s="91" t="n"/>
      <c r="P361" s="91" t="n"/>
      <c r="Q361" s="91" t="n"/>
      <c r="R361" s="91" t="n"/>
      <c r="S361" s="91" t="n"/>
      <c r="T361" s="91" t="n"/>
      <c r="U361" s="91" t="n"/>
      <c r="V361" s="91" t="n"/>
      <c r="W361" s="91" t="n"/>
      <c r="X361" s="91" t="n"/>
      <c r="Y361" s="91" t="n"/>
      <c r="Z361" s="91" t="n"/>
      <c r="AA361" s="91" t="n"/>
      <c r="AB361" s="91" t="n"/>
      <c r="AC361" s="91" t="n"/>
      <c r="AD361" s="91" t="n"/>
      <c r="AE361" s="91" t="n"/>
      <c r="AF361" s="91" t="n"/>
      <c r="AG361" s="91" t="n"/>
    </row>
    <row r="362" ht="12.75" customHeight="1" s="117">
      <c r="A362" s="91" t="n"/>
      <c r="B362" s="91" t="n"/>
      <c r="C362" s="91" t="n"/>
      <c r="D362" s="91" t="n"/>
      <c r="E362" s="91" t="n"/>
      <c r="F362" s="91" t="n"/>
      <c r="G362" s="91" t="n"/>
      <c r="H362" s="91" t="n"/>
      <c r="I362" s="91" t="n"/>
      <c r="J362" s="91" t="n"/>
      <c r="K362" s="91" t="n"/>
      <c r="L362" s="91" t="n"/>
      <c r="M362" s="91" t="n"/>
      <c r="N362" s="91" t="n"/>
      <c r="O362" s="91" t="n"/>
      <c r="P362" s="91" t="n"/>
      <c r="Q362" s="91" t="n"/>
      <c r="R362" s="91" t="n"/>
      <c r="S362" s="91" t="n"/>
      <c r="T362" s="91" t="n"/>
      <c r="U362" s="91" t="n"/>
      <c r="V362" s="91" t="n"/>
      <c r="W362" s="91" t="n"/>
      <c r="X362" s="91" t="n"/>
      <c r="Y362" s="91" t="n"/>
      <c r="Z362" s="91" t="n"/>
      <c r="AA362" s="91" t="n"/>
      <c r="AB362" s="91" t="n"/>
      <c r="AC362" s="91" t="n"/>
      <c r="AD362" s="91" t="n"/>
      <c r="AE362" s="91" t="n"/>
      <c r="AF362" s="91" t="n"/>
      <c r="AG362" s="91" t="n"/>
    </row>
    <row r="363" ht="12.75" customHeight="1" s="117">
      <c r="A363" s="91" t="n"/>
      <c r="B363" s="91" t="n"/>
      <c r="C363" s="91" t="n"/>
      <c r="D363" s="91" t="n"/>
      <c r="E363" s="91" t="n"/>
      <c r="F363" s="91" t="n"/>
      <c r="G363" s="91" t="n"/>
      <c r="H363" s="91" t="n"/>
      <c r="I363" s="91" t="n"/>
      <c r="J363" s="91" t="n"/>
      <c r="K363" s="91" t="n"/>
      <c r="L363" s="91" t="n"/>
      <c r="M363" s="91" t="n"/>
      <c r="N363" s="91" t="n"/>
      <c r="O363" s="91" t="n"/>
      <c r="P363" s="91" t="n"/>
      <c r="Q363" s="91" t="n"/>
      <c r="R363" s="91" t="n"/>
      <c r="S363" s="91" t="n"/>
      <c r="T363" s="91" t="n"/>
      <c r="U363" s="91" t="n"/>
      <c r="V363" s="91" t="n"/>
      <c r="W363" s="91" t="n"/>
      <c r="X363" s="91" t="n"/>
      <c r="Y363" s="91" t="n"/>
      <c r="Z363" s="91" t="n"/>
      <c r="AA363" s="91" t="n"/>
      <c r="AB363" s="91" t="n"/>
      <c r="AC363" s="91" t="n"/>
      <c r="AD363" s="91" t="n"/>
      <c r="AE363" s="91" t="n"/>
      <c r="AF363" s="91" t="n"/>
      <c r="AG363" s="91" t="n"/>
    </row>
    <row r="364" ht="12.75" customHeight="1" s="117">
      <c r="A364" s="91" t="n"/>
      <c r="B364" s="91" t="n"/>
      <c r="C364" s="91" t="n"/>
      <c r="D364" s="91" t="n"/>
      <c r="E364" s="91" t="n"/>
      <c r="F364" s="91" t="n"/>
      <c r="G364" s="91" t="n"/>
      <c r="H364" s="91" t="n"/>
      <c r="I364" s="91" t="n"/>
      <c r="J364" s="91" t="n"/>
      <c r="K364" s="91" t="n"/>
      <c r="L364" s="91" t="n"/>
      <c r="M364" s="91" t="n"/>
      <c r="N364" s="91" t="n"/>
      <c r="O364" s="91" t="n"/>
      <c r="P364" s="91" t="n"/>
      <c r="Q364" s="91" t="n"/>
      <c r="R364" s="91" t="n"/>
      <c r="S364" s="91" t="n"/>
      <c r="T364" s="91" t="n"/>
      <c r="U364" s="91" t="n"/>
      <c r="V364" s="91" t="n"/>
      <c r="W364" s="91" t="n"/>
      <c r="X364" s="91" t="n"/>
      <c r="Y364" s="91" t="n"/>
      <c r="Z364" s="91" t="n"/>
      <c r="AA364" s="91" t="n"/>
      <c r="AB364" s="91" t="n"/>
      <c r="AC364" s="91" t="n"/>
      <c r="AD364" s="91" t="n"/>
      <c r="AE364" s="91" t="n"/>
      <c r="AF364" s="91" t="n"/>
      <c r="AG364" s="91" t="n"/>
    </row>
    <row r="365" ht="12.75" customHeight="1" s="117">
      <c r="A365" s="91" t="n"/>
      <c r="B365" s="91" t="n"/>
      <c r="C365" s="91" t="n"/>
      <c r="D365" s="91" t="n"/>
      <c r="E365" s="91" t="n"/>
      <c r="F365" s="91" t="n"/>
      <c r="G365" s="91" t="n"/>
      <c r="H365" s="91" t="n"/>
      <c r="I365" s="91" t="n"/>
      <c r="J365" s="91" t="n"/>
      <c r="K365" s="91" t="n"/>
      <c r="L365" s="91" t="n"/>
      <c r="M365" s="91" t="n"/>
      <c r="N365" s="91" t="n"/>
      <c r="O365" s="91" t="n"/>
      <c r="P365" s="91" t="n"/>
      <c r="Q365" s="91" t="n"/>
      <c r="R365" s="91" t="n"/>
      <c r="S365" s="91" t="n"/>
      <c r="T365" s="91" t="n"/>
      <c r="U365" s="91" t="n"/>
      <c r="V365" s="91" t="n"/>
      <c r="W365" s="91" t="n"/>
      <c r="X365" s="91" t="n"/>
      <c r="Y365" s="91" t="n"/>
      <c r="Z365" s="91" t="n"/>
      <c r="AA365" s="91" t="n"/>
      <c r="AB365" s="91" t="n"/>
      <c r="AC365" s="91" t="n"/>
      <c r="AD365" s="91" t="n"/>
      <c r="AE365" s="91" t="n"/>
      <c r="AF365" s="91" t="n"/>
      <c r="AG365" s="91" t="n"/>
    </row>
    <row r="366" ht="12.75" customHeight="1" s="117">
      <c r="A366" s="91" t="n"/>
      <c r="B366" s="91" t="n"/>
      <c r="C366" s="91" t="n"/>
      <c r="D366" s="91" t="n"/>
      <c r="E366" s="91" t="n"/>
      <c r="F366" s="91" t="n"/>
      <c r="G366" s="91" t="n"/>
      <c r="H366" s="91" t="n"/>
      <c r="I366" s="91" t="n"/>
      <c r="J366" s="91" t="n"/>
      <c r="K366" s="91" t="n"/>
      <c r="L366" s="91" t="n"/>
      <c r="M366" s="91" t="n"/>
      <c r="N366" s="91" t="n"/>
      <c r="O366" s="91" t="n"/>
      <c r="P366" s="91" t="n"/>
      <c r="Q366" s="91" t="n"/>
      <c r="R366" s="91" t="n"/>
      <c r="S366" s="91" t="n"/>
      <c r="T366" s="91" t="n"/>
      <c r="U366" s="91" t="n"/>
      <c r="V366" s="91" t="n"/>
      <c r="W366" s="91" t="n"/>
      <c r="X366" s="91" t="n"/>
      <c r="Y366" s="91" t="n"/>
      <c r="Z366" s="91" t="n"/>
      <c r="AA366" s="91" t="n"/>
      <c r="AB366" s="91" t="n"/>
      <c r="AC366" s="91" t="n"/>
      <c r="AD366" s="91" t="n"/>
      <c r="AE366" s="91" t="n"/>
      <c r="AF366" s="91" t="n"/>
      <c r="AG366" s="91" t="n"/>
    </row>
    <row r="367" ht="12.75" customHeight="1" s="117">
      <c r="A367" s="91" t="n"/>
      <c r="B367" s="91" t="n"/>
      <c r="C367" s="91" t="n"/>
      <c r="D367" s="91" t="n"/>
      <c r="E367" s="91" t="n"/>
      <c r="F367" s="91" t="n"/>
      <c r="G367" s="91" t="n"/>
      <c r="H367" s="91" t="n"/>
      <c r="I367" s="91" t="n"/>
      <c r="J367" s="91" t="n"/>
      <c r="K367" s="91" t="n"/>
      <c r="L367" s="91" t="n"/>
      <c r="M367" s="91" t="n"/>
      <c r="N367" s="91" t="n"/>
      <c r="O367" s="91" t="n"/>
      <c r="P367" s="91" t="n"/>
      <c r="Q367" s="91" t="n"/>
      <c r="R367" s="91" t="n"/>
      <c r="S367" s="91" t="n"/>
      <c r="T367" s="91" t="n"/>
      <c r="U367" s="91" t="n"/>
      <c r="V367" s="91" t="n"/>
      <c r="W367" s="91" t="n"/>
      <c r="X367" s="91" t="n"/>
      <c r="Y367" s="91" t="n"/>
      <c r="Z367" s="91" t="n"/>
      <c r="AA367" s="91" t="n"/>
      <c r="AB367" s="91" t="n"/>
      <c r="AC367" s="91" t="n"/>
      <c r="AD367" s="91" t="n"/>
      <c r="AE367" s="91" t="n"/>
      <c r="AF367" s="91" t="n"/>
      <c r="AG367" s="91" t="n"/>
    </row>
    <row r="368" ht="12.75" customHeight="1" s="117">
      <c r="A368" s="91" t="n"/>
      <c r="B368" s="91" t="n"/>
      <c r="C368" s="91" t="n"/>
      <c r="D368" s="91" t="n"/>
      <c r="E368" s="91" t="n"/>
      <c r="F368" s="91" t="n"/>
      <c r="G368" s="91" t="n"/>
      <c r="H368" s="91" t="n"/>
      <c r="I368" s="91" t="n"/>
      <c r="J368" s="91" t="n"/>
      <c r="K368" s="91" t="n"/>
      <c r="L368" s="91" t="n"/>
      <c r="M368" s="91" t="n"/>
      <c r="N368" s="91" t="n"/>
      <c r="O368" s="91" t="n"/>
      <c r="P368" s="91" t="n"/>
      <c r="Q368" s="91" t="n"/>
      <c r="R368" s="91" t="n"/>
      <c r="S368" s="91" t="n"/>
      <c r="T368" s="91" t="n"/>
      <c r="U368" s="91" t="n"/>
      <c r="V368" s="91" t="n"/>
      <c r="W368" s="91" t="n"/>
      <c r="X368" s="91" t="n"/>
      <c r="Y368" s="91" t="n"/>
      <c r="Z368" s="91" t="n"/>
      <c r="AA368" s="91" t="n"/>
      <c r="AB368" s="91" t="n"/>
      <c r="AC368" s="91" t="n"/>
      <c r="AD368" s="91" t="n"/>
      <c r="AE368" s="91" t="n"/>
      <c r="AF368" s="91" t="n"/>
      <c r="AG368" s="91" t="n"/>
    </row>
    <row r="369" ht="12.75" customHeight="1" s="117">
      <c r="A369" s="91" t="n"/>
      <c r="B369" s="91" t="n"/>
      <c r="C369" s="91" t="n"/>
      <c r="D369" s="91" t="n"/>
      <c r="E369" s="91" t="n"/>
      <c r="F369" s="91" t="n"/>
      <c r="G369" s="91" t="n"/>
      <c r="H369" s="91" t="n"/>
      <c r="I369" s="91" t="n"/>
      <c r="J369" s="91" t="n"/>
      <c r="K369" s="91" t="n"/>
      <c r="L369" s="91" t="n"/>
      <c r="M369" s="91" t="n"/>
      <c r="N369" s="91" t="n"/>
      <c r="O369" s="91" t="n"/>
      <c r="P369" s="91" t="n"/>
      <c r="Q369" s="91" t="n"/>
      <c r="R369" s="91" t="n"/>
      <c r="S369" s="91" t="n"/>
      <c r="T369" s="91" t="n"/>
      <c r="U369" s="91" t="n"/>
      <c r="V369" s="91" t="n"/>
      <c r="W369" s="91" t="n"/>
      <c r="X369" s="91" t="n"/>
      <c r="Y369" s="91" t="n"/>
      <c r="Z369" s="91" t="n"/>
      <c r="AA369" s="91" t="n"/>
      <c r="AB369" s="91" t="n"/>
      <c r="AC369" s="91" t="n"/>
      <c r="AD369" s="91" t="n"/>
      <c r="AE369" s="91" t="n"/>
      <c r="AF369" s="91" t="n"/>
      <c r="AG369" s="91" t="n"/>
    </row>
    <row r="370" ht="12.75" customHeight="1" s="117">
      <c r="A370" s="91" t="n"/>
      <c r="B370" s="91" t="n"/>
      <c r="C370" s="91" t="n"/>
      <c r="D370" s="91" t="n"/>
      <c r="E370" s="91" t="n"/>
      <c r="F370" s="91" t="n"/>
      <c r="G370" s="91" t="n"/>
      <c r="H370" s="91" t="n"/>
      <c r="I370" s="91" t="n"/>
      <c r="J370" s="91" t="n"/>
      <c r="K370" s="91" t="n"/>
      <c r="L370" s="91" t="n"/>
      <c r="M370" s="91" t="n"/>
      <c r="N370" s="91" t="n"/>
      <c r="O370" s="91" t="n"/>
      <c r="P370" s="91" t="n"/>
      <c r="Q370" s="91" t="n"/>
      <c r="R370" s="91" t="n"/>
      <c r="S370" s="91" t="n"/>
      <c r="T370" s="91" t="n"/>
      <c r="U370" s="91" t="n"/>
      <c r="V370" s="91" t="n"/>
      <c r="W370" s="91" t="n"/>
      <c r="X370" s="91" t="n"/>
      <c r="Y370" s="91" t="n"/>
      <c r="Z370" s="91" t="n"/>
      <c r="AA370" s="91" t="n"/>
      <c r="AB370" s="91" t="n"/>
      <c r="AC370" s="91" t="n"/>
      <c r="AD370" s="91" t="n"/>
      <c r="AE370" s="91" t="n"/>
      <c r="AF370" s="91" t="n"/>
      <c r="AG370" s="91" t="n"/>
    </row>
    <row r="371" ht="12.75" customHeight="1" s="117">
      <c r="A371" s="91" t="n"/>
      <c r="B371" s="91" t="n"/>
      <c r="C371" s="91" t="n"/>
      <c r="D371" s="91" t="n"/>
      <c r="E371" s="91" t="n"/>
      <c r="F371" s="91" t="n"/>
      <c r="G371" s="91" t="n"/>
      <c r="H371" s="91" t="n"/>
      <c r="I371" s="91" t="n"/>
      <c r="J371" s="91" t="n"/>
      <c r="K371" s="91" t="n"/>
      <c r="L371" s="91" t="n"/>
      <c r="M371" s="91" t="n"/>
      <c r="N371" s="91" t="n"/>
      <c r="O371" s="91" t="n"/>
      <c r="P371" s="91" t="n"/>
      <c r="Q371" s="91" t="n"/>
      <c r="R371" s="91" t="n"/>
      <c r="S371" s="91" t="n"/>
      <c r="T371" s="91" t="n"/>
      <c r="U371" s="91" t="n"/>
      <c r="V371" s="91" t="n"/>
      <c r="W371" s="91" t="n"/>
      <c r="X371" s="91" t="n"/>
      <c r="Y371" s="91" t="n"/>
      <c r="Z371" s="91" t="n"/>
      <c r="AA371" s="91" t="n"/>
      <c r="AB371" s="91" t="n"/>
      <c r="AC371" s="91" t="n"/>
      <c r="AD371" s="91" t="n"/>
      <c r="AE371" s="91" t="n"/>
      <c r="AF371" s="91" t="n"/>
      <c r="AG371" s="91" t="n"/>
    </row>
    <row r="372" ht="12.75" customHeight="1" s="117">
      <c r="A372" s="91" t="n"/>
      <c r="B372" s="91" t="n"/>
      <c r="C372" s="91" t="n"/>
      <c r="D372" s="91" t="n"/>
      <c r="E372" s="91" t="n"/>
      <c r="F372" s="91" t="n"/>
      <c r="G372" s="91" t="n"/>
      <c r="H372" s="91" t="n"/>
      <c r="I372" s="91" t="n"/>
      <c r="J372" s="91" t="n"/>
      <c r="K372" s="91" t="n"/>
      <c r="L372" s="91" t="n"/>
      <c r="M372" s="91" t="n"/>
      <c r="N372" s="91" t="n"/>
      <c r="O372" s="91" t="n"/>
      <c r="P372" s="91" t="n"/>
      <c r="Q372" s="91" t="n"/>
      <c r="R372" s="91" t="n"/>
      <c r="S372" s="91" t="n"/>
      <c r="T372" s="91" t="n"/>
      <c r="U372" s="91" t="n"/>
      <c r="V372" s="91" t="n"/>
      <c r="W372" s="91" t="n"/>
      <c r="X372" s="91" t="n"/>
      <c r="Y372" s="91" t="n"/>
      <c r="Z372" s="91" t="n"/>
      <c r="AA372" s="91" t="n"/>
      <c r="AB372" s="91" t="n"/>
      <c r="AC372" s="91" t="n"/>
      <c r="AD372" s="91" t="n"/>
      <c r="AE372" s="91" t="n"/>
      <c r="AF372" s="91" t="n"/>
      <c r="AG372" s="91" t="n"/>
    </row>
    <row r="373" ht="12.75" customHeight="1" s="117">
      <c r="A373" s="91" t="n"/>
      <c r="B373" s="91" t="n"/>
      <c r="C373" s="91" t="n"/>
      <c r="D373" s="91" t="n"/>
      <c r="E373" s="91" t="n"/>
      <c r="F373" s="91" t="n"/>
      <c r="G373" s="91" t="n"/>
      <c r="H373" s="91" t="n"/>
      <c r="I373" s="91" t="n"/>
      <c r="J373" s="91" t="n"/>
      <c r="K373" s="91" t="n"/>
      <c r="L373" s="91" t="n"/>
      <c r="M373" s="91" t="n"/>
      <c r="N373" s="91" t="n"/>
      <c r="O373" s="91" t="n"/>
      <c r="P373" s="91" t="n"/>
      <c r="Q373" s="91" t="n"/>
      <c r="R373" s="91" t="n"/>
      <c r="S373" s="91" t="n"/>
      <c r="T373" s="91" t="n"/>
      <c r="U373" s="91" t="n"/>
      <c r="V373" s="91" t="n"/>
      <c r="W373" s="91" t="n"/>
      <c r="X373" s="91" t="n"/>
      <c r="Y373" s="91" t="n"/>
      <c r="Z373" s="91" t="n"/>
      <c r="AA373" s="91" t="n"/>
      <c r="AB373" s="91" t="n"/>
      <c r="AC373" s="91" t="n"/>
      <c r="AD373" s="91" t="n"/>
      <c r="AE373" s="91" t="n"/>
      <c r="AF373" s="91" t="n"/>
      <c r="AG373" s="91" t="n"/>
    </row>
    <row r="374" ht="12.75" customHeight="1" s="117">
      <c r="A374" s="91" t="n"/>
      <c r="B374" s="91" t="n"/>
      <c r="C374" s="91" t="n"/>
      <c r="D374" s="91" t="n"/>
      <c r="E374" s="91" t="n"/>
      <c r="F374" s="91" t="n"/>
      <c r="G374" s="91" t="n"/>
      <c r="H374" s="91" t="n"/>
      <c r="I374" s="91" t="n"/>
      <c r="J374" s="91" t="n"/>
      <c r="K374" s="91" t="n"/>
      <c r="L374" s="91" t="n"/>
      <c r="M374" s="91" t="n"/>
      <c r="N374" s="91" t="n"/>
      <c r="O374" s="91" t="n"/>
      <c r="P374" s="91" t="n"/>
      <c r="Q374" s="91" t="n"/>
      <c r="R374" s="91" t="n"/>
      <c r="S374" s="91" t="n"/>
      <c r="T374" s="91" t="n"/>
      <c r="U374" s="91" t="n"/>
      <c r="V374" s="91" t="n"/>
      <c r="W374" s="91" t="n"/>
      <c r="X374" s="91" t="n"/>
      <c r="Y374" s="91" t="n"/>
      <c r="Z374" s="91" t="n"/>
      <c r="AA374" s="91" t="n"/>
      <c r="AB374" s="91" t="n"/>
      <c r="AC374" s="91" t="n"/>
      <c r="AD374" s="91" t="n"/>
      <c r="AE374" s="91" t="n"/>
      <c r="AF374" s="91" t="n"/>
      <c r="AG374" s="91" t="n"/>
    </row>
    <row r="375" ht="12.75" customHeight="1" s="117">
      <c r="A375" s="91" t="n"/>
      <c r="B375" s="91" t="n"/>
      <c r="C375" s="91" t="n"/>
      <c r="D375" s="91" t="n"/>
      <c r="E375" s="91" t="n"/>
      <c r="F375" s="91" t="n"/>
      <c r="G375" s="91" t="n"/>
      <c r="H375" s="91" t="n"/>
      <c r="I375" s="91" t="n"/>
      <c r="J375" s="91" t="n"/>
      <c r="K375" s="91" t="n"/>
      <c r="L375" s="91" t="n"/>
      <c r="M375" s="91" t="n"/>
      <c r="N375" s="91" t="n"/>
      <c r="O375" s="91" t="n"/>
      <c r="P375" s="91" t="n"/>
      <c r="Q375" s="91" t="n"/>
      <c r="R375" s="91" t="n"/>
      <c r="S375" s="91" t="n"/>
      <c r="T375" s="91" t="n"/>
      <c r="U375" s="91" t="n"/>
      <c r="V375" s="91" t="n"/>
      <c r="W375" s="91" t="n"/>
      <c r="X375" s="91" t="n"/>
      <c r="Y375" s="91" t="n"/>
      <c r="Z375" s="91" t="n"/>
      <c r="AA375" s="91" t="n"/>
      <c r="AB375" s="91" t="n"/>
      <c r="AC375" s="91" t="n"/>
      <c r="AD375" s="91" t="n"/>
      <c r="AE375" s="91" t="n"/>
      <c r="AF375" s="91" t="n"/>
      <c r="AG375" s="91" t="n"/>
    </row>
    <row r="376" ht="12.75" customHeight="1" s="117">
      <c r="A376" s="91" t="n"/>
      <c r="B376" s="91" t="n"/>
      <c r="C376" s="91" t="n"/>
      <c r="D376" s="91" t="n"/>
      <c r="E376" s="91" t="n"/>
      <c r="F376" s="91" t="n"/>
      <c r="G376" s="91" t="n"/>
      <c r="H376" s="91" t="n"/>
      <c r="I376" s="91" t="n"/>
      <c r="J376" s="91" t="n"/>
      <c r="K376" s="91" t="n"/>
      <c r="L376" s="91" t="n"/>
      <c r="M376" s="91" t="n"/>
      <c r="N376" s="91" t="n"/>
      <c r="O376" s="91" t="n"/>
      <c r="P376" s="91" t="n"/>
      <c r="Q376" s="91" t="n"/>
      <c r="R376" s="91" t="n"/>
      <c r="S376" s="91" t="n"/>
      <c r="T376" s="91" t="n"/>
      <c r="U376" s="91" t="n"/>
      <c r="V376" s="91" t="n"/>
      <c r="W376" s="91" t="n"/>
      <c r="X376" s="91" t="n"/>
      <c r="Y376" s="91" t="n"/>
      <c r="Z376" s="91" t="n"/>
      <c r="AA376" s="91" t="n"/>
      <c r="AB376" s="91" t="n"/>
      <c r="AC376" s="91" t="n"/>
      <c r="AD376" s="91" t="n"/>
      <c r="AE376" s="91" t="n"/>
      <c r="AF376" s="91" t="n"/>
      <c r="AG376" s="91" t="n"/>
    </row>
    <row r="377" ht="12.75" customHeight="1" s="117">
      <c r="A377" s="91" t="n"/>
      <c r="B377" s="91" t="n"/>
      <c r="C377" s="91" t="n"/>
      <c r="D377" s="91" t="n"/>
      <c r="E377" s="91" t="n"/>
      <c r="F377" s="91" t="n"/>
      <c r="G377" s="91" t="n"/>
      <c r="H377" s="91" t="n"/>
      <c r="I377" s="91" t="n"/>
      <c r="J377" s="91" t="n"/>
      <c r="K377" s="91" t="n"/>
      <c r="L377" s="91" t="n"/>
      <c r="M377" s="91" t="n"/>
      <c r="N377" s="91" t="n"/>
      <c r="O377" s="91" t="n"/>
      <c r="P377" s="91" t="n"/>
      <c r="Q377" s="91" t="n"/>
      <c r="R377" s="91" t="n"/>
      <c r="S377" s="91" t="n"/>
      <c r="T377" s="91" t="n"/>
      <c r="U377" s="91" t="n"/>
      <c r="V377" s="91" t="n"/>
      <c r="W377" s="91" t="n"/>
      <c r="X377" s="91" t="n"/>
      <c r="Y377" s="91" t="n"/>
      <c r="Z377" s="91" t="n"/>
      <c r="AA377" s="91" t="n"/>
      <c r="AB377" s="91" t="n"/>
      <c r="AC377" s="91" t="n"/>
      <c r="AD377" s="91" t="n"/>
      <c r="AE377" s="91" t="n"/>
      <c r="AF377" s="91" t="n"/>
      <c r="AG377" s="91" t="n"/>
    </row>
    <row r="378" ht="12.75" customHeight="1" s="117">
      <c r="A378" s="91" t="n"/>
      <c r="B378" s="91" t="n"/>
      <c r="C378" s="91" t="n"/>
      <c r="D378" s="91" t="n"/>
      <c r="E378" s="91" t="n"/>
      <c r="F378" s="91" t="n"/>
      <c r="G378" s="91" t="n"/>
      <c r="H378" s="91" t="n"/>
      <c r="I378" s="91" t="n"/>
      <c r="J378" s="91" t="n"/>
      <c r="K378" s="91" t="n"/>
      <c r="L378" s="91" t="n"/>
      <c r="M378" s="91" t="n"/>
      <c r="N378" s="91" t="n"/>
      <c r="O378" s="91" t="n"/>
      <c r="P378" s="91" t="n"/>
      <c r="Q378" s="91" t="n"/>
      <c r="R378" s="91" t="n"/>
      <c r="S378" s="91" t="n"/>
      <c r="T378" s="91" t="n"/>
      <c r="U378" s="91" t="n"/>
      <c r="V378" s="91" t="n"/>
      <c r="W378" s="91" t="n"/>
      <c r="X378" s="91" t="n"/>
      <c r="Y378" s="91" t="n"/>
      <c r="Z378" s="91" t="n"/>
      <c r="AA378" s="91" t="n"/>
      <c r="AB378" s="91" t="n"/>
      <c r="AC378" s="91" t="n"/>
      <c r="AD378" s="91" t="n"/>
      <c r="AE378" s="91" t="n"/>
      <c r="AF378" s="91" t="n"/>
      <c r="AG378" s="91" t="n"/>
    </row>
    <row r="379" ht="12.75" customHeight="1" s="117">
      <c r="A379" s="91" t="n"/>
      <c r="B379" s="91" t="n"/>
      <c r="C379" s="91" t="n"/>
      <c r="D379" s="91" t="n"/>
      <c r="E379" s="91" t="n"/>
      <c r="F379" s="91" t="n"/>
      <c r="G379" s="91" t="n"/>
      <c r="H379" s="91" t="n"/>
      <c r="I379" s="91" t="n"/>
      <c r="J379" s="91" t="n"/>
      <c r="K379" s="91" t="n"/>
      <c r="L379" s="91" t="n"/>
      <c r="M379" s="91" t="n"/>
      <c r="N379" s="91" t="n"/>
      <c r="O379" s="91" t="n"/>
      <c r="P379" s="91" t="n"/>
      <c r="Q379" s="91" t="n"/>
      <c r="R379" s="91" t="n"/>
      <c r="S379" s="91" t="n"/>
      <c r="T379" s="91" t="n"/>
      <c r="U379" s="91" t="n"/>
      <c r="V379" s="91" t="n"/>
      <c r="W379" s="91" t="n"/>
      <c r="X379" s="91" t="n"/>
      <c r="Y379" s="91" t="n"/>
      <c r="Z379" s="91" t="n"/>
      <c r="AA379" s="91" t="n"/>
      <c r="AB379" s="91" t="n"/>
      <c r="AC379" s="91" t="n"/>
      <c r="AD379" s="91" t="n"/>
      <c r="AE379" s="91" t="n"/>
      <c r="AF379" s="91" t="n"/>
      <c r="AG379" s="91" t="n"/>
    </row>
    <row r="380" ht="12.75" customHeight="1" s="117">
      <c r="A380" s="91" t="n"/>
      <c r="B380" s="91" t="n"/>
      <c r="C380" s="91" t="n"/>
      <c r="D380" s="91" t="n"/>
      <c r="E380" s="91" t="n"/>
      <c r="F380" s="91" t="n"/>
      <c r="G380" s="91" t="n"/>
      <c r="H380" s="91" t="n"/>
      <c r="I380" s="91" t="n"/>
      <c r="J380" s="91" t="n"/>
      <c r="K380" s="91" t="n"/>
      <c r="L380" s="91" t="n"/>
      <c r="M380" s="91" t="n"/>
      <c r="N380" s="91" t="n"/>
      <c r="O380" s="91" t="n"/>
      <c r="P380" s="91" t="n"/>
      <c r="Q380" s="91" t="n"/>
      <c r="R380" s="91" t="n"/>
      <c r="S380" s="91" t="n"/>
      <c r="T380" s="91" t="n"/>
      <c r="U380" s="91" t="n"/>
      <c r="V380" s="91" t="n"/>
      <c r="W380" s="91" t="n"/>
      <c r="X380" s="91" t="n"/>
      <c r="Y380" s="91" t="n"/>
      <c r="Z380" s="91" t="n"/>
      <c r="AA380" s="91" t="n"/>
      <c r="AB380" s="91" t="n"/>
      <c r="AC380" s="91" t="n"/>
      <c r="AD380" s="91" t="n"/>
      <c r="AE380" s="91" t="n"/>
      <c r="AF380" s="91" t="n"/>
      <c r="AG380" s="91" t="n"/>
    </row>
    <row r="381" ht="12.75" customHeight="1" s="117">
      <c r="A381" s="91" t="n"/>
      <c r="B381" s="91" t="n"/>
      <c r="C381" s="91" t="n"/>
      <c r="D381" s="91" t="n"/>
      <c r="E381" s="91" t="n"/>
      <c r="F381" s="91" t="n"/>
      <c r="G381" s="91" t="n"/>
      <c r="H381" s="91" t="n"/>
      <c r="I381" s="91" t="n"/>
      <c r="J381" s="91" t="n"/>
      <c r="K381" s="91" t="n"/>
      <c r="L381" s="91" t="n"/>
      <c r="M381" s="91" t="n"/>
      <c r="N381" s="91" t="n"/>
      <c r="O381" s="91" t="n"/>
      <c r="P381" s="91" t="n"/>
      <c r="Q381" s="91" t="n"/>
      <c r="R381" s="91" t="n"/>
      <c r="S381" s="91" t="n"/>
      <c r="T381" s="91" t="n"/>
      <c r="U381" s="91" t="n"/>
      <c r="V381" s="91" t="n"/>
      <c r="W381" s="91" t="n"/>
      <c r="X381" s="91" t="n"/>
      <c r="Y381" s="91" t="n"/>
      <c r="Z381" s="91" t="n"/>
      <c r="AA381" s="91" t="n"/>
      <c r="AB381" s="91" t="n"/>
      <c r="AC381" s="91" t="n"/>
      <c r="AD381" s="91" t="n"/>
      <c r="AE381" s="91" t="n"/>
      <c r="AF381" s="91" t="n"/>
      <c r="AG381" s="91" t="n"/>
    </row>
    <row r="382" ht="12.75" customHeight="1" s="117">
      <c r="A382" s="91" t="n"/>
      <c r="B382" s="91" t="n"/>
      <c r="C382" s="91" t="n"/>
      <c r="D382" s="91" t="n"/>
      <c r="E382" s="91" t="n"/>
      <c r="F382" s="91" t="n"/>
      <c r="G382" s="91" t="n"/>
      <c r="H382" s="91" t="n"/>
      <c r="I382" s="91" t="n"/>
      <c r="J382" s="91" t="n"/>
      <c r="K382" s="91" t="n"/>
      <c r="L382" s="91" t="n"/>
      <c r="M382" s="91" t="n"/>
      <c r="N382" s="91" t="n"/>
      <c r="O382" s="91" t="n"/>
      <c r="P382" s="91" t="n"/>
      <c r="Q382" s="91" t="n"/>
      <c r="R382" s="91" t="n"/>
      <c r="S382" s="91" t="n"/>
      <c r="T382" s="91" t="n"/>
      <c r="U382" s="91" t="n"/>
      <c r="V382" s="91" t="n"/>
      <c r="W382" s="91" t="n"/>
      <c r="X382" s="91" t="n"/>
      <c r="Y382" s="91" t="n"/>
      <c r="Z382" s="91" t="n"/>
      <c r="AA382" s="91" t="n"/>
      <c r="AB382" s="91" t="n"/>
      <c r="AC382" s="91" t="n"/>
      <c r="AD382" s="91" t="n"/>
      <c r="AE382" s="91" t="n"/>
      <c r="AF382" s="91" t="n"/>
      <c r="AG382" s="91" t="n"/>
    </row>
    <row r="383" ht="12.75" customHeight="1" s="117">
      <c r="A383" s="91" t="n"/>
      <c r="B383" s="91" t="n"/>
      <c r="C383" s="91" t="n"/>
      <c r="D383" s="91" t="n"/>
      <c r="E383" s="91" t="n"/>
      <c r="F383" s="91" t="n"/>
      <c r="G383" s="91" t="n"/>
      <c r="H383" s="91" t="n"/>
      <c r="I383" s="91" t="n"/>
      <c r="J383" s="91" t="n"/>
      <c r="K383" s="91" t="n"/>
      <c r="L383" s="91" t="n"/>
      <c r="M383" s="91" t="n"/>
      <c r="N383" s="91" t="n"/>
      <c r="O383" s="91" t="n"/>
      <c r="P383" s="91" t="n"/>
      <c r="Q383" s="91" t="n"/>
      <c r="R383" s="91" t="n"/>
      <c r="S383" s="91" t="n"/>
      <c r="T383" s="91" t="n"/>
      <c r="U383" s="91" t="n"/>
      <c r="V383" s="91" t="n"/>
      <c r="W383" s="91" t="n"/>
      <c r="X383" s="91" t="n"/>
      <c r="Y383" s="91" t="n"/>
      <c r="Z383" s="91" t="n"/>
      <c r="AA383" s="91" t="n"/>
      <c r="AB383" s="91" t="n"/>
      <c r="AC383" s="91" t="n"/>
      <c r="AD383" s="91" t="n"/>
      <c r="AE383" s="91" t="n"/>
      <c r="AF383" s="91" t="n"/>
      <c r="AG383" s="91" t="n"/>
    </row>
    <row r="384" ht="12.75" customHeight="1" s="117">
      <c r="A384" s="91" t="n"/>
      <c r="B384" s="91" t="n"/>
      <c r="C384" s="91" t="n"/>
      <c r="D384" s="91" t="n"/>
      <c r="E384" s="91" t="n"/>
      <c r="F384" s="91" t="n"/>
      <c r="G384" s="91" t="n"/>
      <c r="H384" s="91" t="n"/>
      <c r="I384" s="91" t="n"/>
      <c r="J384" s="91" t="n"/>
      <c r="K384" s="91" t="n"/>
      <c r="L384" s="91" t="n"/>
      <c r="M384" s="91" t="n"/>
      <c r="N384" s="91" t="n"/>
      <c r="O384" s="91" t="n"/>
      <c r="P384" s="91" t="n"/>
      <c r="Q384" s="91" t="n"/>
      <c r="R384" s="91" t="n"/>
      <c r="S384" s="91" t="n"/>
      <c r="T384" s="91" t="n"/>
      <c r="U384" s="91" t="n"/>
      <c r="V384" s="91" t="n"/>
      <c r="W384" s="91" t="n"/>
      <c r="X384" s="91" t="n"/>
      <c r="Y384" s="91" t="n"/>
      <c r="Z384" s="91" t="n"/>
      <c r="AA384" s="91" t="n"/>
      <c r="AB384" s="91" t="n"/>
      <c r="AC384" s="91" t="n"/>
      <c r="AD384" s="91" t="n"/>
      <c r="AE384" s="91" t="n"/>
      <c r="AF384" s="91" t="n"/>
      <c r="AG384" s="91" t="n"/>
    </row>
    <row r="385" ht="12.75" customHeight="1" s="117">
      <c r="A385" s="91" t="n"/>
      <c r="B385" s="91" t="n"/>
      <c r="C385" s="91" t="n"/>
      <c r="D385" s="91" t="n"/>
      <c r="E385" s="91" t="n"/>
      <c r="F385" s="91" t="n"/>
      <c r="G385" s="91" t="n"/>
      <c r="H385" s="91" t="n"/>
      <c r="I385" s="91" t="n"/>
      <c r="J385" s="91" t="n"/>
      <c r="K385" s="91" t="n"/>
      <c r="L385" s="91" t="n"/>
      <c r="M385" s="91" t="n"/>
      <c r="N385" s="91" t="n"/>
      <c r="O385" s="91" t="n"/>
      <c r="P385" s="91" t="n"/>
      <c r="Q385" s="91" t="n"/>
      <c r="R385" s="91" t="n"/>
      <c r="S385" s="91" t="n"/>
      <c r="T385" s="91" t="n"/>
      <c r="U385" s="91" t="n"/>
      <c r="V385" s="91" t="n"/>
      <c r="W385" s="91" t="n"/>
      <c r="X385" s="91" t="n"/>
      <c r="Y385" s="91" t="n"/>
      <c r="Z385" s="91" t="n"/>
      <c r="AA385" s="91" t="n"/>
      <c r="AB385" s="91" t="n"/>
      <c r="AC385" s="91" t="n"/>
      <c r="AD385" s="91" t="n"/>
      <c r="AE385" s="91" t="n"/>
      <c r="AF385" s="91" t="n"/>
      <c r="AG385" s="91" t="n"/>
    </row>
    <row r="386" ht="12.75" customHeight="1" s="117">
      <c r="A386" s="91" t="n"/>
      <c r="B386" s="91" t="n"/>
      <c r="C386" s="91" t="n"/>
      <c r="D386" s="91" t="n"/>
      <c r="E386" s="91" t="n"/>
      <c r="F386" s="91" t="n"/>
      <c r="G386" s="91" t="n"/>
      <c r="H386" s="91" t="n"/>
      <c r="I386" s="91" t="n"/>
      <c r="J386" s="91" t="n"/>
      <c r="K386" s="91" t="n"/>
      <c r="L386" s="91" t="n"/>
      <c r="M386" s="91" t="n"/>
      <c r="N386" s="91" t="n"/>
      <c r="O386" s="91" t="n"/>
      <c r="P386" s="91" t="n"/>
      <c r="Q386" s="91" t="n"/>
      <c r="R386" s="91" t="n"/>
      <c r="S386" s="91" t="n"/>
      <c r="T386" s="91" t="n"/>
      <c r="U386" s="91" t="n"/>
      <c r="V386" s="91" t="n"/>
      <c r="W386" s="91" t="n"/>
      <c r="X386" s="91" t="n"/>
      <c r="Y386" s="91" t="n"/>
      <c r="Z386" s="91" t="n"/>
      <c r="AA386" s="91" t="n"/>
      <c r="AB386" s="91" t="n"/>
      <c r="AC386" s="91" t="n"/>
      <c r="AD386" s="91" t="n"/>
      <c r="AE386" s="91" t="n"/>
      <c r="AF386" s="91" t="n"/>
      <c r="AG386" s="91" t="n"/>
    </row>
    <row r="387" ht="12.75" customHeight="1" s="117">
      <c r="A387" s="91" t="n"/>
      <c r="B387" s="91" t="n"/>
      <c r="C387" s="91" t="n"/>
      <c r="D387" s="91" t="n"/>
      <c r="E387" s="91" t="n"/>
      <c r="F387" s="91" t="n"/>
      <c r="G387" s="91" t="n"/>
      <c r="H387" s="91" t="n"/>
      <c r="I387" s="91" t="n"/>
      <c r="J387" s="91" t="n"/>
      <c r="K387" s="91" t="n"/>
      <c r="L387" s="91" t="n"/>
      <c r="M387" s="91" t="n"/>
      <c r="N387" s="91" t="n"/>
      <c r="O387" s="91" t="n"/>
      <c r="P387" s="91" t="n"/>
      <c r="Q387" s="91" t="n"/>
      <c r="R387" s="91" t="n"/>
      <c r="S387" s="91" t="n"/>
      <c r="T387" s="91" t="n"/>
      <c r="U387" s="91" t="n"/>
      <c r="V387" s="91" t="n"/>
      <c r="W387" s="91" t="n"/>
      <c r="X387" s="91" t="n"/>
      <c r="Y387" s="91" t="n"/>
      <c r="Z387" s="91" t="n"/>
      <c r="AA387" s="91" t="n"/>
      <c r="AB387" s="91" t="n"/>
      <c r="AC387" s="91" t="n"/>
      <c r="AD387" s="91" t="n"/>
      <c r="AE387" s="91" t="n"/>
      <c r="AF387" s="91" t="n"/>
      <c r="AG387" s="91" t="n"/>
    </row>
    <row r="388" ht="12.75" customHeight="1" s="117">
      <c r="A388" s="91" t="n"/>
      <c r="B388" s="91" t="n"/>
      <c r="C388" s="91" t="n"/>
      <c r="D388" s="91" t="n"/>
      <c r="E388" s="91" t="n"/>
      <c r="F388" s="91" t="n"/>
      <c r="G388" s="91" t="n"/>
      <c r="H388" s="91" t="n"/>
      <c r="I388" s="91" t="n"/>
      <c r="J388" s="91" t="n"/>
      <c r="K388" s="91" t="n"/>
      <c r="L388" s="91" t="n"/>
      <c r="M388" s="91" t="n"/>
      <c r="N388" s="91" t="n"/>
      <c r="O388" s="91" t="n"/>
      <c r="P388" s="91" t="n"/>
      <c r="Q388" s="91" t="n"/>
      <c r="R388" s="91" t="n"/>
      <c r="S388" s="91" t="n"/>
      <c r="T388" s="91" t="n"/>
      <c r="U388" s="91" t="n"/>
      <c r="V388" s="91" t="n"/>
      <c r="W388" s="91" t="n"/>
      <c r="X388" s="91" t="n"/>
      <c r="Y388" s="91" t="n"/>
      <c r="Z388" s="91" t="n"/>
      <c r="AA388" s="91" t="n"/>
      <c r="AB388" s="91" t="n"/>
      <c r="AC388" s="91" t="n"/>
      <c r="AD388" s="91" t="n"/>
      <c r="AE388" s="91" t="n"/>
      <c r="AF388" s="91" t="n"/>
      <c r="AG388" s="91" t="n"/>
    </row>
    <row r="389" ht="12.75" customHeight="1" s="117">
      <c r="A389" s="91" t="n"/>
      <c r="B389" s="91" t="n"/>
      <c r="C389" s="91" t="n"/>
      <c r="D389" s="91" t="n"/>
      <c r="E389" s="91" t="n"/>
      <c r="F389" s="91" t="n"/>
      <c r="G389" s="91" t="n"/>
      <c r="H389" s="91" t="n"/>
      <c r="I389" s="91" t="n"/>
      <c r="J389" s="91" t="n"/>
      <c r="K389" s="91" t="n"/>
      <c r="L389" s="91" t="n"/>
      <c r="M389" s="91" t="n"/>
      <c r="N389" s="91" t="n"/>
      <c r="O389" s="91" t="n"/>
      <c r="P389" s="91" t="n"/>
      <c r="Q389" s="91" t="n"/>
      <c r="R389" s="91" t="n"/>
      <c r="S389" s="91" t="n"/>
      <c r="T389" s="91" t="n"/>
      <c r="U389" s="91" t="n"/>
      <c r="V389" s="91" t="n"/>
      <c r="W389" s="91" t="n"/>
      <c r="X389" s="91" t="n"/>
      <c r="Y389" s="91" t="n"/>
      <c r="Z389" s="91" t="n"/>
      <c r="AA389" s="91" t="n"/>
      <c r="AB389" s="91" t="n"/>
      <c r="AC389" s="91" t="n"/>
      <c r="AD389" s="91" t="n"/>
      <c r="AE389" s="91" t="n"/>
      <c r="AF389" s="91" t="n"/>
      <c r="AG389" s="91" t="n"/>
    </row>
    <row r="390" ht="12.75" customHeight="1" s="117">
      <c r="A390" s="91" t="n"/>
      <c r="B390" s="91" t="n"/>
      <c r="C390" s="91" t="n"/>
      <c r="D390" s="91" t="n"/>
      <c r="E390" s="91" t="n"/>
      <c r="F390" s="91" t="n"/>
      <c r="G390" s="91" t="n"/>
      <c r="H390" s="91" t="n"/>
      <c r="I390" s="91" t="n"/>
      <c r="J390" s="91" t="n"/>
      <c r="K390" s="91" t="n"/>
      <c r="L390" s="91" t="n"/>
      <c r="M390" s="91" t="n"/>
      <c r="N390" s="91" t="n"/>
      <c r="O390" s="91" t="n"/>
      <c r="P390" s="91" t="n"/>
      <c r="Q390" s="91" t="n"/>
      <c r="R390" s="91" t="n"/>
      <c r="S390" s="91" t="n"/>
      <c r="T390" s="91" t="n"/>
      <c r="U390" s="91" t="n"/>
      <c r="V390" s="91" t="n"/>
      <c r="W390" s="91" t="n"/>
      <c r="X390" s="91" t="n"/>
      <c r="Y390" s="91" t="n"/>
      <c r="Z390" s="91" t="n"/>
      <c r="AA390" s="91" t="n"/>
      <c r="AB390" s="91" t="n"/>
      <c r="AC390" s="91" t="n"/>
      <c r="AD390" s="91" t="n"/>
      <c r="AE390" s="91" t="n"/>
      <c r="AF390" s="91" t="n"/>
      <c r="AG390" s="91" t="n"/>
    </row>
    <row r="391" ht="12.75" customHeight="1" s="117">
      <c r="A391" s="91" t="n"/>
      <c r="B391" s="91" t="n"/>
      <c r="C391" s="91" t="n"/>
      <c r="D391" s="91" t="n"/>
      <c r="E391" s="91" t="n"/>
      <c r="F391" s="91" t="n"/>
      <c r="G391" s="91" t="n"/>
      <c r="H391" s="91" t="n"/>
      <c r="I391" s="91" t="n"/>
      <c r="J391" s="91" t="n"/>
      <c r="K391" s="91" t="n"/>
      <c r="L391" s="91" t="n"/>
      <c r="M391" s="91" t="n"/>
      <c r="N391" s="91" t="n"/>
      <c r="O391" s="91" t="n"/>
      <c r="P391" s="91" t="n"/>
      <c r="Q391" s="91" t="n"/>
      <c r="R391" s="91" t="n"/>
      <c r="S391" s="91" t="n"/>
      <c r="T391" s="91" t="n"/>
      <c r="U391" s="91" t="n"/>
      <c r="V391" s="91" t="n"/>
      <c r="W391" s="91" t="n"/>
      <c r="X391" s="91" t="n"/>
      <c r="Y391" s="91" t="n"/>
      <c r="Z391" s="91" t="n"/>
      <c r="AA391" s="91" t="n"/>
      <c r="AB391" s="91" t="n"/>
      <c r="AC391" s="91" t="n"/>
      <c r="AD391" s="91" t="n"/>
      <c r="AE391" s="91" t="n"/>
      <c r="AF391" s="91" t="n"/>
      <c r="AG391" s="91" t="n"/>
    </row>
    <row r="392" ht="12.75" customHeight="1" s="117">
      <c r="A392" s="91" t="n"/>
      <c r="B392" s="91" t="n"/>
      <c r="C392" s="91" t="n"/>
      <c r="D392" s="91" t="n"/>
      <c r="E392" s="91" t="n"/>
      <c r="F392" s="91" t="n"/>
      <c r="G392" s="91" t="n"/>
      <c r="H392" s="91" t="n"/>
      <c r="I392" s="91" t="n"/>
      <c r="J392" s="91" t="n"/>
      <c r="K392" s="91" t="n"/>
      <c r="L392" s="91" t="n"/>
      <c r="M392" s="91" t="n"/>
      <c r="N392" s="91" t="n"/>
      <c r="O392" s="91" t="n"/>
      <c r="P392" s="91" t="n"/>
      <c r="Q392" s="91" t="n"/>
      <c r="R392" s="91" t="n"/>
      <c r="S392" s="91" t="n"/>
      <c r="T392" s="91" t="n"/>
      <c r="U392" s="91" t="n"/>
      <c r="V392" s="91" t="n"/>
      <c r="W392" s="91" t="n"/>
      <c r="X392" s="91" t="n"/>
      <c r="Y392" s="91" t="n"/>
      <c r="Z392" s="91" t="n"/>
      <c r="AA392" s="91" t="n"/>
      <c r="AB392" s="91" t="n"/>
      <c r="AC392" s="91" t="n"/>
      <c r="AD392" s="91" t="n"/>
      <c r="AE392" s="91" t="n"/>
      <c r="AF392" s="91" t="n"/>
      <c r="AG392" s="91" t="n"/>
    </row>
    <row r="393" ht="12.75" customHeight="1" s="117">
      <c r="A393" s="91" t="n"/>
      <c r="B393" s="91" t="n"/>
      <c r="C393" s="91" t="n"/>
      <c r="D393" s="91" t="n"/>
      <c r="E393" s="91" t="n"/>
      <c r="F393" s="91" t="n"/>
      <c r="G393" s="91" t="n"/>
      <c r="H393" s="91" t="n"/>
      <c r="I393" s="91" t="n"/>
      <c r="J393" s="91" t="n"/>
      <c r="K393" s="91" t="n"/>
      <c r="L393" s="91" t="n"/>
      <c r="M393" s="91" t="n"/>
      <c r="N393" s="91" t="n"/>
      <c r="O393" s="91" t="n"/>
      <c r="P393" s="91" t="n"/>
      <c r="Q393" s="91" t="n"/>
      <c r="R393" s="91" t="n"/>
      <c r="S393" s="91" t="n"/>
      <c r="T393" s="91" t="n"/>
      <c r="U393" s="91" t="n"/>
      <c r="V393" s="91" t="n"/>
      <c r="W393" s="91" t="n"/>
      <c r="X393" s="91" t="n"/>
      <c r="Y393" s="91" t="n"/>
      <c r="Z393" s="91" t="n"/>
      <c r="AA393" s="91" t="n"/>
      <c r="AB393" s="91" t="n"/>
      <c r="AC393" s="91" t="n"/>
      <c r="AD393" s="91" t="n"/>
      <c r="AE393" s="91" t="n"/>
      <c r="AF393" s="91" t="n"/>
      <c r="AG393" s="91" t="n"/>
    </row>
    <row r="394" ht="12.75" customHeight="1" s="117">
      <c r="A394" s="91" t="n"/>
      <c r="B394" s="91" t="n"/>
      <c r="C394" s="91" t="n"/>
      <c r="D394" s="91" t="n"/>
      <c r="E394" s="91" t="n"/>
      <c r="F394" s="91" t="n"/>
      <c r="G394" s="91" t="n"/>
      <c r="H394" s="91" t="n"/>
      <c r="I394" s="91" t="n"/>
      <c r="J394" s="91" t="n"/>
      <c r="K394" s="91" t="n"/>
      <c r="L394" s="91" t="n"/>
      <c r="M394" s="91" t="n"/>
      <c r="N394" s="91" t="n"/>
      <c r="O394" s="91" t="n"/>
      <c r="P394" s="91" t="n"/>
      <c r="Q394" s="91" t="n"/>
      <c r="R394" s="91" t="n"/>
      <c r="S394" s="91" t="n"/>
      <c r="T394" s="91" t="n"/>
      <c r="U394" s="91" t="n"/>
      <c r="V394" s="91" t="n"/>
      <c r="W394" s="91" t="n"/>
      <c r="X394" s="91" t="n"/>
      <c r="Y394" s="91" t="n"/>
      <c r="Z394" s="91" t="n"/>
      <c r="AA394" s="91" t="n"/>
      <c r="AB394" s="91" t="n"/>
      <c r="AC394" s="91" t="n"/>
      <c r="AD394" s="91" t="n"/>
      <c r="AE394" s="91" t="n"/>
      <c r="AF394" s="91" t="n"/>
      <c r="AG394" s="91" t="n"/>
    </row>
    <row r="395" ht="12.75" customHeight="1" s="117">
      <c r="A395" s="91" t="n"/>
      <c r="B395" s="91" t="n"/>
      <c r="C395" s="91" t="n"/>
      <c r="D395" s="91" t="n"/>
      <c r="E395" s="91" t="n"/>
      <c r="F395" s="91" t="n"/>
      <c r="G395" s="91" t="n"/>
      <c r="H395" s="91" t="n"/>
      <c r="I395" s="91" t="n"/>
      <c r="J395" s="91" t="n"/>
      <c r="K395" s="91" t="n"/>
      <c r="L395" s="91" t="n"/>
      <c r="M395" s="91" t="n"/>
      <c r="N395" s="91" t="n"/>
      <c r="O395" s="91" t="n"/>
      <c r="P395" s="91" t="n"/>
      <c r="Q395" s="91" t="n"/>
      <c r="R395" s="91" t="n"/>
      <c r="S395" s="91" t="n"/>
      <c r="T395" s="91" t="n"/>
      <c r="U395" s="91" t="n"/>
      <c r="V395" s="91" t="n"/>
      <c r="W395" s="91" t="n"/>
      <c r="X395" s="91" t="n"/>
      <c r="Y395" s="91" t="n"/>
      <c r="Z395" s="91" t="n"/>
      <c r="AA395" s="91" t="n"/>
      <c r="AB395" s="91" t="n"/>
      <c r="AC395" s="91" t="n"/>
      <c r="AD395" s="91" t="n"/>
      <c r="AE395" s="91" t="n"/>
      <c r="AF395" s="91" t="n"/>
      <c r="AG395" s="91" t="n"/>
    </row>
    <row r="396" ht="12.75" customHeight="1" s="117">
      <c r="A396" s="91" t="n"/>
      <c r="B396" s="91" t="n"/>
      <c r="C396" s="91" t="n"/>
      <c r="D396" s="91" t="n"/>
      <c r="E396" s="91" t="n"/>
      <c r="F396" s="91" t="n"/>
      <c r="G396" s="91" t="n"/>
      <c r="H396" s="91" t="n"/>
      <c r="I396" s="91" t="n"/>
      <c r="J396" s="91" t="n"/>
      <c r="K396" s="91" t="n"/>
      <c r="L396" s="91" t="n"/>
      <c r="M396" s="91" t="n"/>
      <c r="N396" s="91" t="n"/>
      <c r="O396" s="91" t="n"/>
      <c r="P396" s="91" t="n"/>
      <c r="Q396" s="91" t="n"/>
      <c r="R396" s="91" t="n"/>
      <c r="S396" s="91" t="n"/>
      <c r="T396" s="91" t="n"/>
      <c r="U396" s="91" t="n"/>
      <c r="V396" s="91" t="n"/>
      <c r="W396" s="91" t="n"/>
      <c r="X396" s="91" t="n"/>
      <c r="Y396" s="91" t="n"/>
      <c r="Z396" s="91" t="n"/>
      <c r="AA396" s="91" t="n"/>
      <c r="AB396" s="91" t="n"/>
      <c r="AC396" s="91" t="n"/>
      <c r="AD396" s="91" t="n"/>
      <c r="AE396" s="91" t="n"/>
      <c r="AF396" s="91" t="n"/>
      <c r="AG396" s="91" t="n"/>
    </row>
    <row r="397" ht="12.75" customHeight="1" s="117">
      <c r="A397" s="91" t="n"/>
      <c r="B397" s="91" t="n"/>
      <c r="C397" s="91" t="n"/>
      <c r="D397" s="91" t="n"/>
      <c r="E397" s="91" t="n"/>
      <c r="F397" s="91" t="n"/>
      <c r="G397" s="91" t="n"/>
      <c r="H397" s="91" t="n"/>
      <c r="I397" s="91" t="n"/>
      <c r="J397" s="91" t="n"/>
      <c r="K397" s="91" t="n"/>
      <c r="L397" s="91" t="n"/>
      <c r="M397" s="91" t="n"/>
      <c r="N397" s="91" t="n"/>
      <c r="O397" s="91" t="n"/>
      <c r="P397" s="91" t="n"/>
      <c r="Q397" s="91" t="n"/>
      <c r="R397" s="91" t="n"/>
      <c r="S397" s="91" t="n"/>
      <c r="T397" s="91" t="n"/>
      <c r="U397" s="91" t="n"/>
      <c r="V397" s="91" t="n"/>
      <c r="W397" s="91" t="n"/>
      <c r="X397" s="91" t="n"/>
      <c r="Y397" s="91" t="n"/>
      <c r="Z397" s="91" t="n"/>
      <c r="AA397" s="91" t="n"/>
      <c r="AB397" s="91" t="n"/>
      <c r="AC397" s="91" t="n"/>
      <c r="AD397" s="91" t="n"/>
      <c r="AE397" s="91" t="n"/>
      <c r="AF397" s="91" t="n"/>
      <c r="AG397" s="91" t="n"/>
    </row>
    <row r="398" ht="12.75" customHeight="1" s="117">
      <c r="A398" s="91" t="n"/>
      <c r="B398" s="91" t="n"/>
      <c r="C398" s="91" t="n"/>
      <c r="D398" s="91" t="n"/>
      <c r="E398" s="91" t="n"/>
      <c r="F398" s="91" t="n"/>
      <c r="G398" s="91" t="n"/>
      <c r="H398" s="91" t="n"/>
      <c r="I398" s="91" t="n"/>
      <c r="J398" s="91" t="n"/>
      <c r="K398" s="91" t="n"/>
      <c r="L398" s="91" t="n"/>
      <c r="M398" s="91" t="n"/>
      <c r="N398" s="91" t="n"/>
      <c r="O398" s="91" t="n"/>
      <c r="P398" s="91" t="n"/>
      <c r="Q398" s="91" t="n"/>
      <c r="R398" s="91" t="n"/>
      <c r="S398" s="91" t="n"/>
      <c r="T398" s="91" t="n"/>
      <c r="U398" s="91" t="n"/>
      <c r="V398" s="91" t="n"/>
      <c r="W398" s="91" t="n"/>
      <c r="X398" s="91" t="n"/>
      <c r="Y398" s="91" t="n"/>
      <c r="Z398" s="91" t="n"/>
      <c r="AA398" s="91" t="n"/>
      <c r="AB398" s="91" t="n"/>
      <c r="AC398" s="91" t="n"/>
      <c r="AD398" s="91" t="n"/>
      <c r="AE398" s="91" t="n"/>
      <c r="AF398" s="91" t="n"/>
      <c r="AG398" s="91" t="n"/>
    </row>
    <row r="399" ht="12.75" customHeight="1" s="117">
      <c r="A399" s="91" t="n"/>
      <c r="B399" s="91" t="n"/>
      <c r="C399" s="91" t="n"/>
      <c r="D399" s="91" t="n"/>
      <c r="E399" s="91" t="n"/>
      <c r="F399" s="91" t="n"/>
      <c r="G399" s="91" t="n"/>
      <c r="H399" s="91" t="n"/>
      <c r="I399" s="91" t="n"/>
      <c r="J399" s="91" t="n"/>
      <c r="K399" s="91" t="n"/>
      <c r="L399" s="91" t="n"/>
      <c r="M399" s="91" t="n"/>
      <c r="N399" s="91" t="n"/>
      <c r="O399" s="91" t="n"/>
      <c r="P399" s="91" t="n"/>
      <c r="Q399" s="91" t="n"/>
      <c r="R399" s="91" t="n"/>
      <c r="S399" s="91" t="n"/>
      <c r="T399" s="91" t="n"/>
      <c r="U399" s="91" t="n"/>
      <c r="V399" s="91" t="n"/>
      <c r="W399" s="91" t="n"/>
      <c r="X399" s="91" t="n"/>
      <c r="Y399" s="91" t="n"/>
      <c r="Z399" s="91" t="n"/>
      <c r="AA399" s="91" t="n"/>
      <c r="AB399" s="91" t="n"/>
      <c r="AC399" s="91" t="n"/>
      <c r="AD399" s="91" t="n"/>
      <c r="AE399" s="91" t="n"/>
      <c r="AF399" s="91" t="n"/>
      <c r="AG399" s="91" t="n"/>
    </row>
    <row r="400" ht="12.75" customHeight="1" s="117">
      <c r="A400" s="91" t="n"/>
      <c r="B400" s="91" t="n"/>
      <c r="C400" s="91" t="n"/>
      <c r="D400" s="91" t="n"/>
      <c r="E400" s="91" t="n"/>
      <c r="F400" s="91" t="n"/>
      <c r="G400" s="91" t="n"/>
      <c r="H400" s="91" t="n"/>
      <c r="I400" s="91" t="n"/>
      <c r="J400" s="91" t="n"/>
      <c r="K400" s="91" t="n"/>
      <c r="L400" s="91" t="n"/>
      <c r="M400" s="91" t="n"/>
      <c r="N400" s="91" t="n"/>
      <c r="O400" s="91" t="n"/>
      <c r="P400" s="91" t="n"/>
      <c r="Q400" s="91" t="n"/>
      <c r="R400" s="91" t="n"/>
      <c r="S400" s="91" t="n"/>
      <c r="T400" s="91" t="n"/>
      <c r="U400" s="91" t="n"/>
      <c r="V400" s="91" t="n"/>
      <c r="W400" s="91" t="n"/>
      <c r="X400" s="91" t="n"/>
      <c r="Y400" s="91" t="n"/>
      <c r="Z400" s="91" t="n"/>
      <c r="AA400" s="91" t="n"/>
      <c r="AB400" s="91" t="n"/>
      <c r="AC400" s="91" t="n"/>
      <c r="AD400" s="91" t="n"/>
      <c r="AE400" s="91" t="n"/>
      <c r="AF400" s="91" t="n"/>
      <c r="AG400" s="91" t="n"/>
    </row>
    <row r="401" ht="12.75" customHeight="1" s="117">
      <c r="A401" s="91" t="n"/>
      <c r="B401" s="91" t="n"/>
      <c r="C401" s="91" t="n"/>
      <c r="D401" s="91" t="n"/>
      <c r="E401" s="91" t="n"/>
      <c r="F401" s="91" t="n"/>
      <c r="G401" s="91" t="n"/>
      <c r="H401" s="91" t="n"/>
      <c r="I401" s="91" t="n"/>
      <c r="J401" s="91" t="n"/>
      <c r="K401" s="91" t="n"/>
      <c r="L401" s="91" t="n"/>
      <c r="M401" s="91" t="n"/>
      <c r="N401" s="91" t="n"/>
      <c r="O401" s="91" t="n"/>
      <c r="P401" s="91" t="n"/>
      <c r="Q401" s="91" t="n"/>
      <c r="R401" s="91" t="n"/>
      <c r="S401" s="91" t="n"/>
      <c r="T401" s="91" t="n"/>
      <c r="U401" s="91" t="n"/>
      <c r="V401" s="91" t="n"/>
      <c r="W401" s="91" t="n"/>
      <c r="X401" s="91" t="n"/>
      <c r="Y401" s="91" t="n"/>
      <c r="Z401" s="91" t="n"/>
      <c r="AA401" s="91" t="n"/>
      <c r="AB401" s="91" t="n"/>
      <c r="AC401" s="91" t="n"/>
      <c r="AD401" s="91" t="n"/>
      <c r="AE401" s="91" t="n"/>
      <c r="AF401" s="91" t="n"/>
      <c r="AG401" s="91" t="n"/>
    </row>
    <row r="402" ht="12.75" customHeight="1" s="117">
      <c r="A402" s="91" t="n"/>
      <c r="B402" s="91" t="n"/>
      <c r="C402" s="91" t="n"/>
      <c r="D402" s="91" t="n"/>
      <c r="E402" s="91" t="n"/>
      <c r="F402" s="91" t="n"/>
      <c r="G402" s="91" t="n"/>
      <c r="H402" s="91" t="n"/>
      <c r="I402" s="91" t="n"/>
      <c r="J402" s="91" t="n"/>
      <c r="K402" s="91" t="n"/>
      <c r="L402" s="91" t="n"/>
      <c r="M402" s="91" t="n"/>
      <c r="N402" s="91" t="n"/>
      <c r="O402" s="91" t="n"/>
      <c r="P402" s="91" t="n"/>
      <c r="Q402" s="91" t="n"/>
      <c r="R402" s="91" t="n"/>
      <c r="S402" s="91" t="n"/>
      <c r="T402" s="91" t="n"/>
      <c r="U402" s="91" t="n"/>
      <c r="V402" s="91" t="n"/>
      <c r="W402" s="91" t="n"/>
      <c r="X402" s="91" t="n"/>
      <c r="Y402" s="91" t="n"/>
      <c r="Z402" s="91" t="n"/>
      <c r="AA402" s="91" t="n"/>
      <c r="AB402" s="91" t="n"/>
      <c r="AC402" s="91" t="n"/>
      <c r="AD402" s="91" t="n"/>
      <c r="AE402" s="91" t="n"/>
      <c r="AF402" s="91" t="n"/>
      <c r="AG402" s="91" t="n"/>
    </row>
    <row r="403" ht="12.75" customHeight="1" s="117">
      <c r="A403" s="91" t="n"/>
      <c r="B403" s="91" t="n"/>
      <c r="C403" s="91" t="n"/>
      <c r="D403" s="91" t="n"/>
      <c r="E403" s="91" t="n"/>
      <c r="F403" s="91" t="n"/>
      <c r="G403" s="91" t="n"/>
      <c r="H403" s="91" t="n"/>
      <c r="I403" s="91" t="n"/>
      <c r="J403" s="91" t="n"/>
      <c r="K403" s="91" t="n"/>
      <c r="L403" s="91" t="n"/>
      <c r="M403" s="91" t="n"/>
      <c r="N403" s="91" t="n"/>
      <c r="O403" s="91" t="n"/>
      <c r="P403" s="91" t="n"/>
      <c r="Q403" s="91" t="n"/>
      <c r="R403" s="91" t="n"/>
      <c r="S403" s="91" t="n"/>
      <c r="T403" s="91" t="n"/>
      <c r="U403" s="91" t="n"/>
      <c r="V403" s="91" t="n"/>
      <c r="W403" s="91" t="n"/>
      <c r="X403" s="91" t="n"/>
      <c r="Y403" s="91" t="n"/>
      <c r="Z403" s="91" t="n"/>
      <c r="AA403" s="91" t="n"/>
      <c r="AB403" s="91" t="n"/>
      <c r="AC403" s="91" t="n"/>
      <c r="AD403" s="91" t="n"/>
      <c r="AE403" s="91" t="n"/>
      <c r="AF403" s="91" t="n"/>
      <c r="AG403" s="91" t="n"/>
    </row>
    <row r="404" ht="12.75" customHeight="1" s="117">
      <c r="A404" s="91" t="n"/>
      <c r="B404" s="91" t="n"/>
      <c r="C404" s="91" t="n"/>
      <c r="D404" s="91" t="n"/>
      <c r="E404" s="91" t="n"/>
      <c r="F404" s="91" t="n"/>
      <c r="G404" s="91" t="n"/>
      <c r="H404" s="91" t="n"/>
      <c r="I404" s="91" t="n"/>
      <c r="J404" s="91" t="n"/>
      <c r="K404" s="91" t="n"/>
      <c r="L404" s="91" t="n"/>
      <c r="M404" s="91" t="n"/>
      <c r="N404" s="91" t="n"/>
      <c r="O404" s="91" t="n"/>
      <c r="P404" s="91" t="n"/>
      <c r="Q404" s="91" t="n"/>
      <c r="R404" s="91" t="n"/>
      <c r="S404" s="91" t="n"/>
      <c r="T404" s="91" t="n"/>
      <c r="U404" s="91" t="n"/>
      <c r="V404" s="91" t="n"/>
      <c r="W404" s="91" t="n"/>
      <c r="X404" s="91" t="n"/>
      <c r="Y404" s="91" t="n"/>
      <c r="Z404" s="91" t="n"/>
      <c r="AA404" s="91" t="n"/>
      <c r="AB404" s="91" t="n"/>
      <c r="AC404" s="91" t="n"/>
      <c r="AD404" s="91" t="n"/>
      <c r="AE404" s="91" t="n"/>
      <c r="AF404" s="91" t="n"/>
      <c r="AG404" s="91" t="n"/>
    </row>
    <row r="405" ht="12.75" customHeight="1" s="117">
      <c r="A405" s="91" t="n"/>
      <c r="B405" s="91" t="n"/>
      <c r="C405" s="91" t="n"/>
      <c r="D405" s="91" t="n"/>
      <c r="E405" s="91" t="n"/>
      <c r="F405" s="91" t="n"/>
      <c r="G405" s="91" t="n"/>
      <c r="H405" s="91" t="n"/>
      <c r="I405" s="91" t="n"/>
      <c r="J405" s="91" t="n"/>
      <c r="K405" s="91" t="n"/>
      <c r="L405" s="91" t="n"/>
      <c r="M405" s="91" t="n"/>
      <c r="N405" s="91" t="n"/>
      <c r="O405" s="91" t="n"/>
      <c r="P405" s="91" t="n"/>
      <c r="Q405" s="91" t="n"/>
      <c r="R405" s="91" t="n"/>
      <c r="S405" s="91" t="n"/>
      <c r="T405" s="91" t="n"/>
      <c r="U405" s="91" t="n"/>
      <c r="V405" s="91" t="n"/>
      <c r="W405" s="91" t="n"/>
      <c r="X405" s="91" t="n"/>
      <c r="Y405" s="91" t="n"/>
      <c r="Z405" s="91" t="n"/>
      <c r="AA405" s="91" t="n"/>
      <c r="AB405" s="91" t="n"/>
      <c r="AC405" s="91" t="n"/>
      <c r="AD405" s="91" t="n"/>
      <c r="AE405" s="91" t="n"/>
      <c r="AF405" s="91" t="n"/>
      <c r="AG405" s="91" t="n"/>
    </row>
    <row r="406" ht="12.75" customHeight="1" s="117">
      <c r="A406" s="91" t="n"/>
      <c r="B406" s="91" t="n"/>
      <c r="C406" s="91" t="n"/>
      <c r="D406" s="91" t="n"/>
      <c r="E406" s="91" t="n"/>
      <c r="F406" s="91" t="n"/>
      <c r="G406" s="91" t="n"/>
      <c r="H406" s="91" t="n"/>
      <c r="I406" s="91" t="n"/>
      <c r="J406" s="91" t="n"/>
      <c r="K406" s="91" t="n"/>
      <c r="L406" s="91" t="n"/>
      <c r="M406" s="91" t="n"/>
      <c r="N406" s="91" t="n"/>
      <c r="O406" s="91" t="n"/>
      <c r="P406" s="91" t="n"/>
      <c r="Q406" s="91" t="n"/>
      <c r="R406" s="91" t="n"/>
      <c r="S406" s="91" t="n"/>
      <c r="T406" s="91" t="n"/>
      <c r="U406" s="91" t="n"/>
      <c r="V406" s="91" t="n"/>
      <c r="W406" s="91" t="n"/>
      <c r="X406" s="91" t="n"/>
      <c r="Y406" s="91" t="n"/>
      <c r="Z406" s="91" t="n"/>
      <c r="AA406" s="91" t="n"/>
      <c r="AB406" s="91" t="n"/>
      <c r="AC406" s="91" t="n"/>
      <c r="AD406" s="91" t="n"/>
      <c r="AE406" s="91" t="n"/>
      <c r="AF406" s="91" t="n"/>
      <c r="AG406" s="91" t="n"/>
    </row>
    <row r="407" ht="12.75" customHeight="1" s="117">
      <c r="A407" s="91" t="n"/>
      <c r="B407" s="91" t="n"/>
      <c r="C407" s="91" t="n"/>
      <c r="D407" s="91" t="n"/>
      <c r="E407" s="91" t="n"/>
      <c r="F407" s="91" t="n"/>
      <c r="G407" s="91" t="n"/>
      <c r="H407" s="91" t="n"/>
      <c r="I407" s="91" t="n"/>
      <c r="J407" s="91" t="n"/>
      <c r="K407" s="91" t="n"/>
      <c r="L407" s="91" t="n"/>
      <c r="M407" s="91" t="n"/>
      <c r="N407" s="91" t="n"/>
      <c r="O407" s="91" t="n"/>
      <c r="P407" s="91" t="n"/>
      <c r="Q407" s="91" t="n"/>
      <c r="R407" s="91" t="n"/>
      <c r="S407" s="91" t="n"/>
      <c r="T407" s="91" t="n"/>
      <c r="U407" s="91" t="n"/>
      <c r="V407" s="91" t="n"/>
      <c r="W407" s="91" t="n"/>
      <c r="X407" s="91" t="n"/>
      <c r="Y407" s="91" t="n"/>
      <c r="Z407" s="91" t="n"/>
      <c r="AA407" s="91" t="n"/>
      <c r="AB407" s="91" t="n"/>
      <c r="AC407" s="91" t="n"/>
      <c r="AD407" s="91" t="n"/>
      <c r="AE407" s="91" t="n"/>
      <c r="AF407" s="91" t="n"/>
      <c r="AG407" s="91" t="n"/>
    </row>
    <row r="408" ht="12.75" customHeight="1" s="117">
      <c r="A408" s="91" t="n"/>
      <c r="B408" s="91" t="n"/>
      <c r="C408" s="91" t="n"/>
      <c r="D408" s="91" t="n"/>
      <c r="E408" s="91" t="n"/>
      <c r="F408" s="91" t="n"/>
      <c r="G408" s="91" t="n"/>
      <c r="H408" s="91" t="n"/>
      <c r="I408" s="91" t="n"/>
      <c r="J408" s="91" t="n"/>
      <c r="K408" s="91" t="n"/>
      <c r="L408" s="91" t="n"/>
      <c r="M408" s="91" t="n"/>
      <c r="N408" s="91" t="n"/>
      <c r="O408" s="91" t="n"/>
      <c r="P408" s="91" t="n"/>
      <c r="Q408" s="91" t="n"/>
      <c r="R408" s="91" t="n"/>
      <c r="S408" s="91" t="n"/>
      <c r="T408" s="91" t="n"/>
      <c r="U408" s="91" t="n"/>
      <c r="V408" s="91" t="n"/>
      <c r="W408" s="91" t="n"/>
      <c r="X408" s="91" t="n"/>
      <c r="Y408" s="91" t="n"/>
      <c r="Z408" s="91" t="n"/>
      <c r="AA408" s="91" t="n"/>
      <c r="AB408" s="91" t="n"/>
      <c r="AC408" s="91" t="n"/>
      <c r="AD408" s="91" t="n"/>
      <c r="AE408" s="91" t="n"/>
      <c r="AF408" s="91" t="n"/>
      <c r="AG408" s="91" t="n"/>
    </row>
    <row r="409" ht="12.75" customHeight="1" s="117">
      <c r="A409" s="91" t="n"/>
      <c r="B409" s="91" t="n"/>
      <c r="C409" s="91" t="n"/>
      <c r="D409" s="91" t="n"/>
      <c r="E409" s="91" t="n"/>
      <c r="F409" s="91" t="n"/>
      <c r="G409" s="91" t="n"/>
      <c r="H409" s="91" t="n"/>
      <c r="I409" s="91" t="n"/>
      <c r="J409" s="91" t="n"/>
      <c r="K409" s="91" t="n"/>
      <c r="L409" s="91" t="n"/>
      <c r="M409" s="91" t="n"/>
      <c r="N409" s="91" t="n"/>
      <c r="O409" s="91" t="n"/>
      <c r="P409" s="91" t="n"/>
      <c r="Q409" s="91" t="n"/>
      <c r="R409" s="91" t="n"/>
      <c r="S409" s="91" t="n"/>
      <c r="T409" s="91" t="n"/>
      <c r="U409" s="91" t="n"/>
      <c r="V409" s="91" t="n"/>
      <c r="W409" s="91" t="n"/>
      <c r="X409" s="91" t="n"/>
      <c r="Y409" s="91" t="n"/>
      <c r="Z409" s="91" t="n"/>
      <c r="AA409" s="91" t="n"/>
      <c r="AB409" s="91" t="n"/>
      <c r="AC409" s="91" t="n"/>
      <c r="AD409" s="91" t="n"/>
      <c r="AE409" s="91" t="n"/>
      <c r="AF409" s="91" t="n"/>
      <c r="AG409" s="91" t="n"/>
    </row>
    <row r="410" ht="12.75" customHeight="1" s="117">
      <c r="A410" s="91" t="n"/>
      <c r="B410" s="91" t="n"/>
      <c r="C410" s="91" t="n"/>
      <c r="D410" s="91" t="n"/>
      <c r="E410" s="91" t="n"/>
      <c r="F410" s="91" t="n"/>
      <c r="G410" s="91" t="n"/>
      <c r="H410" s="91" t="n"/>
      <c r="I410" s="91" t="n"/>
      <c r="J410" s="91" t="n"/>
      <c r="K410" s="91" t="n"/>
      <c r="L410" s="91" t="n"/>
      <c r="M410" s="91" t="n"/>
      <c r="N410" s="91" t="n"/>
      <c r="O410" s="91" t="n"/>
      <c r="P410" s="91" t="n"/>
      <c r="Q410" s="91" t="n"/>
      <c r="R410" s="91" t="n"/>
      <c r="S410" s="91" t="n"/>
      <c r="T410" s="91" t="n"/>
      <c r="U410" s="91" t="n"/>
      <c r="V410" s="91" t="n"/>
      <c r="W410" s="91" t="n"/>
      <c r="X410" s="91" t="n"/>
      <c r="Y410" s="91" t="n"/>
      <c r="Z410" s="91" t="n"/>
      <c r="AA410" s="91" t="n"/>
      <c r="AB410" s="91" t="n"/>
      <c r="AC410" s="91" t="n"/>
      <c r="AD410" s="91" t="n"/>
      <c r="AE410" s="91" t="n"/>
      <c r="AF410" s="91" t="n"/>
      <c r="AG410" s="91" t="n"/>
    </row>
    <row r="411" ht="12.75" customHeight="1" s="117">
      <c r="A411" s="91" t="n"/>
      <c r="B411" s="91" t="n"/>
      <c r="C411" s="91" t="n"/>
      <c r="D411" s="91" t="n"/>
      <c r="E411" s="91" t="n"/>
      <c r="F411" s="91" t="n"/>
      <c r="G411" s="91" t="n"/>
      <c r="H411" s="91" t="n"/>
      <c r="I411" s="91" t="n"/>
      <c r="J411" s="91" t="n"/>
      <c r="K411" s="91" t="n"/>
      <c r="L411" s="91" t="n"/>
      <c r="M411" s="91" t="n"/>
      <c r="N411" s="91" t="n"/>
      <c r="O411" s="91" t="n"/>
      <c r="P411" s="91" t="n"/>
      <c r="Q411" s="91" t="n"/>
      <c r="R411" s="91" t="n"/>
      <c r="S411" s="91" t="n"/>
      <c r="T411" s="91" t="n"/>
      <c r="U411" s="91" t="n"/>
      <c r="V411" s="91" t="n"/>
      <c r="W411" s="91" t="n"/>
      <c r="X411" s="91" t="n"/>
      <c r="Y411" s="91" t="n"/>
      <c r="Z411" s="91" t="n"/>
      <c r="AA411" s="91" t="n"/>
      <c r="AB411" s="91" t="n"/>
      <c r="AC411" s="91" t="n"/>
      <c r="AD411" s="91" t="n"/>
      <c r="AE411" s="91" t="n"/>
      <c r="AF411" s="91" t="n"/>
      <c r="AG411" s="91" t="n"/>
    </row>
    <row r="412" ht="12.75" customHeight="1" s="117">
      <c r="A412" s="91" t="n"/>
      <c r="B412" s="91" t="n"/>
      <c r="C412" s="91" t="n"/>
      <c r="D412" s="91" t="n"/>
      <c r="E412" s="91" t="n"/>
      <c r="F412" s="91" t="n"/>
      <c r="G412" s="91" t="n"/>
      <c r="H412" s="91" t="n"/>
      <c r="I412" s="91" t="n"/>
      <c r="J412" s="91" t="n"/>
      <c r="K412" s="91" t="n"/>
      <c r="L412" s="91" t="n"/>
      <c r="M412" s="91" t="n"/>
      <c r="N412" s="91" t="n"/>
      <c r="O412" s="91" t="n"/>
      <c r="P412" s="91" t="n"/>
      <c r="Q412" s="91" t="n"/>
      <c r="R412" s="91" t="n"/>
      <c r="S412" s="91" t="n"/>
      <c r="T412" s="91" t="n"/>
      <c r="U412" s="91" t="n"/>
      <c r="V412" s="91" t="n"/>
      <c r="W412" s="91" t="n"/>
      <c r="X412" s="91" t="n"/>
      <c r="Y412" s="91" t="n"/>
      <c r="Z412" s="91" t="n"/>
      <c r="AA412" s="91" t="n"/>
      <c r="AB412" s="91" t="n"/>
      <c r="AC412" s="91" t="n"/>
      <c r="AD412" s="91" t="n"/>
      <c r="AE412" s="91" t="n"/>
      <c r="AF412" s="91" t="n"/>
      <c r="AG412" s="91" t="n"/>
    </row>
    <row r="413" ht="12.75" customHeight="1" s="117">
      <c r="A413" s="91" t="n"/>
      <c r="B413" s="91" t="n"/>
      <c r="C413" s="91" t="n"/>
      <c r="D413" s="91" t="n"/>
      <c r="E413" s="91" t="n"/>
      <c r="F413" s="91" t="n"/>
      <c r="G413" s="91" t="n"/>
      <c r="H413" s="91" t="n"/>
      <c r="I413" s="91" t="n"/>
      <c r="J413" s="91" t="n"/>
      <c r="K413" s="91" t="n"/>
      <c r="L413" s="91" t="n"/>
      <c r="M413" s="91" t="n"/>
      <c r="N413" s="91" t="n"/>
      <c r="O413" s="91" t="n"/>
      <c r="P413" s="91" t="n"/>
      <c r="Q413" s="91" t="n"/>
      <c r="R413" s="91" t="n"/>
      <c r="S413" s="91" t="n"/>
      <c r="T413" s="91" t="n"/>
      <c r="U413" s="91" t="n"/>
      <c r="V413" s="91" t="n"/>
      <c r="W413" s="91" t="n"/>
      <c r="X413" s="91" t="n"/>
      <c r="Y413" s="91" t="n"/>
      <c r="Z413" s="91" t="n"/>
      <c r="AA413" s="91" t="n"/>
      <c r="AB413" s="91" t="n"/>
      <c r="AC413" s="91" t="n"/>
      <c r="AD413" s="91" t="n"/>
      <c r="AE413" s="91" t="n"/>
      <c r="AF413" s="91" t="n"/>
      <c r="AG413" s="91" t="n"/>
    </row>
    <row r="414" ht="12.75" customHeight="1" s="117">
      <c r="A414" s="91" t="n"/>
      <c r="B414" s="91" t="n"/>
      <c r="C414" s="91" t="n"/>
      <c r="D414" s="91" t="n"/>
      <c r="E414" s="91" t="n"/>
      <c r="F414" s="91" t="n"/>
      <c r="G414" s="91" t="n"/>
      <c r="H414" s="91" t="n"/>
      <c r="I414" s="91" t="n"/>
      <c r="J414" s="91" t="n"/>
      <c r="K414" s="91" t="n"/>
      <c r="L414" s="91" t="n"/>
      <c r="M414" s="91" t="n"/>
      <c r="N414" s="91" t="n"/>
      <c r="O414" s="91" t="n"/>
      <c r="P414" s="91" t="n"/>
      <c r="Q414" s="91" t="n"/>
      <c r="R414" s="91" t="n"/>
      <c r="S414" s="91" t="n"/>
      <c r="T414" s="91" t="n"/>
      <c r="U414" s="91" t="n"/>
      <c r="V414" s="91" t="n"/>
      <c r="W414" s="91" t="n"/>
      <c r="X414" s="91" t="n"/>
      <c r="Y414" s="91" t="n"/>
      <c r="Z414" s="91" t="n"/>
      <c r="AA414" s="91" t="n"/>
      <c r="AB414" s="91" t="n"/>
      <c r="AC414" s="91" t="n"/>
      <c r="AD414" s="91" t="n"/>
      <c r="AE414" s="91" t="n"/>
      <c r="AF414" s="91" t="n"/>
      <c r="AG414" s="91" t="n"/>
    </row>
    <row r="415" ht="12.75" customHeight="1" s="117">
      <c r="A415" s="91" t="n"/>
      <c r="B415" s="91" t="n"/>
      <c r="C415" s="91" t="n"/>
      <c r="D415" s="91" t="n"/>
      <c r="E415" s="91" t="n"/>
      <c r="F415" s="91" t="n"/>
      <c r="G415" s="91" t="n"/>
      <c r="H415" s="91" t="n"/>
      <c r="I415" s="91" t="n"/>
      <c r="J415" s="91" t="n"/>
      <c r="K415" s="91" t="n"/>
      <c r="L415" s="91" t="n"/>
      <c r="M415" s="91" t="n"/>
      <c r="N415" s="91" t="n"/>
      <c r="O415" s="91" t="n"/>
      <c r="P415" s="91" t="n"/>
      <c r="Q415" s="91" t="n"/>
      <c r="R415" s="91" t="n"/>
      <c r="S415" s="91" t="n"/>
      <c r="T415" s="91" t="n"/>
      <c r="U415" s="91" t="n"/>
      <c r="V415" s="91" t="n"/>
      <c r="W415" s="91" t="n"/>
      <c r="X415" s="91" t="n"/>
      <c r="Y415" s="91" t="n"/>
      <c r="Z415" s="91" t="n"/>
      <c r="AA415" s="91" t="n"/>
      <c r="AB415" s="91" t="n"/>
      <c r="AC415" s="91" t="n"/>
      <c r="AD415" s="91" t="n"/>
      <c r="AE415" s="91" t="n"/>
      <c r="AF415" s="91" t="n"/>
      <c r="AG415" s="91" t="n"/>
    </row>
    <row r="416" ht="12.75" customHeight="1" s="117">
      <c r="A416" s="91" t="n"/>
      <c r="B416" s="91" t="n"/>
      <c r="C416" s="91" t="n"/>
      <c r="D416" s="91" t="n"/>
      <c r="E416" s="91" t="n"/>
      <c r="F416" s="91" t="n"/>
      <c r="G416" s="91" t="n"/>
      <c r="H416" s="91" t="n"/>
      <c r="I416" s="91" t="n"/>
      <c r="J416" s="91" t="n"/>
      <c r="K416" s="91" t="n"/>
      <c r="L416" s="91" t="n"/>
      <c r="M416" s="91" t="n"/>
      <c r="N416" s="91" t="n"/>
      <c r="O416" s="91" t="n"/>
      <c r="P416" s="91" t="n"/>
      <c r="Q416" s="91" t="n"/>
      <c r="R416" s="91" t="n"/>
      <c r="S416" s="91" t="n"/>
      <c r="T416" s="91" t="n"/>
      <c r="U416" s="91" t="n"/>
      <c r="V416" s="91" t="n"/>
      <c r="W416" s="91" t="n"/>
      <c r="X416" s="91" t="n"/>
      <c r="Y416" s="91" t="n"/>
      <c r="Z416" s="91" t="n"/>
      <c r="AA416" s="91" t="n"/>
      <c r="AB416" s="91" t="n"/>
      <c r="AC416" s="91" t="n"/>
      <c r="AD416" s="91" t="n"/>
      <c r="AE416" s="91" t="n"/>
      <c r="AF416" s="91" t="n"/>
      <c r="AG416" s="91" t="n"/>
    </row>
    <row r="417" ht="12.75" customHeight="1" s="117">
      <c r="A417" s="91" t="n"/>
      <c r="B417" s="91" t="n"/>
      <c r="C417" s="91" t="n"/>
      <c r="D417" s="91" t="n"/>
      <c r="E417" s="91" t="n"/>
      <c r="F417" s="91" t="n"/>
      <c r="G417" s="91" t="n"/>
      <c r="H417" s="91" t="n"/>
      <c r="I417" s="91" t="n"/>
      <c r="J417" s="91" t="n"/>
      <c r="K417" s="91" t="n"/>
      <c r="L417" s="91" t="n"/>
      <c r="M417" s="91" t="n"/>
      <c r="N417" s="91" t="n"/>
      <c r="O417" s="91" t="n"/>
      <c r="P417" s="91" t="n"/>
      <c r="Q417" s="91" t="n"/>
      <c r="R417" s="91" t="n"/>
      <c r="S417" s="91" t="n"/>
      <c r="T417" s="91" t="n"/>
      <c r="U417" s="91" t="n"/>
      <c r="V417" s="91" t="n"/>
      <c r="W417" s="91" t="n"/>
      <c r="X417" s="91" t="n"/>
      <c r="Y417" s="91" t="n"/>
      <c r="Z417" s="91" t="n"/>
      <c r="AA417" s="91" t="n"/>
      <c r="AB417" s="91" t="n"/>
      <c r="AC417" s="91" t="n"/>
      <c r="AD417" s="91" t="n"/>
      <c r="AE417" s="91" t="n"/>
      <c r="AF417" s="91" t="n"/>
      <c r="AG417" s="91" t="n"/>
    </row>
    <row r="418" ht="12.75" customHeight="1" s="117">
      <c r="A418" s="91" t="n"/>
      <c r="B418" s="91" t="n"/>
      <c r="C418" s="91" t="n"/>
      <c r="D418" s="91" t="n"/>
      <c r="E418" s="91" t="n"/>
      <c r="F418" s="91" t="n"/>
      <c r="G418" s="91" t="n"/>
      <c r="H418" s="91" t="n"/>
      <c r="I418" s="91" t="n"/>
      <c r="J418" s="91" t="n"/>
      <c r="K418" s="91" t="n"/>
      <c r="L418" s="91" t="n"/>
      <c r="M418" s="91" t="n"/>
      <c r="N418" s="91" t="n"/>
      <c r="O418" s="91" t="n"/>
      <c r="P418" s="91" t="n"/>
      <c r="Q418" s="91" t="n"/>
      <c r="R418" s="91" t="n"/>
      <c r="S418" s="91" t="n"/>
      <c r="T418" s="91" t="n"/>
      <c r="U418" s="91" t="n"/>
      <c r="V418" s="91" t="n"/>
      <c r="W418" s="91" t="n"/>
      <c r="X418" s="91" t="n"/>
      <c r="Y418" s="91" t="n"/>
      <c r="Z418" s="91" t="n"/>
      <c r="AA418" s="91" t="n"/>
      <c r="AB418" s="91" t="n"/>
      <c r="AC418" s="91" t="n"/>
      <c r="AD418" s="91" t="n"/>
      <c r="AE418" s="91" t="n"/>
      <c r="AF418" s="91" t="n"/>
      <c r="AG418" s="91" t="n"/>
    </row>
    <row r="419" ht="12.75" customHeight="1" s="117">
      <c r="A419" s="91" t="n"/>
      <c r="B419" s="91" t="n"/>
      <c r="C419" s="91" t="n"/>
      <c r="D419" s="91" t="n"/>
      <c r="E419" s="91" t="n"/>
      <c r="F419" s="91" t="n"/>
      <c r="G419" s="91" t="n"/>
      <c r="H419" s="91" t="n"/>
      <c r="I419" s="91" t="n"/>
      <c r="J419" s="91" t="n"/>
      <c r="K419" s="91" t="n"/>
      <c r="L419" s="91" t="n"/>
      <c r="M419" s="91" t="n"/>
      <c r="N419" s="91" t="n"/>
      <c r="O419" s="91" t="n"/>
      <c r="P419" s="91" t="n"/>
      <c r="Q419" s="91" t="n"/>
      <c r="R419" s="91" t="n"/>
      <c r="S419" s="91" t="n"/>
      <c r="T419" s="91" t="n"/>
      <c r="U419" s="91" t="n"/>
      <c r="V419" s="91" t="n"/>
      <c r="W419" s="91" t="n"/>
      <c r="X419" s="91" t="n"/>
      <c r="Y419" s="91" t="n"/>
      <c r="Z419" s="91" t="n"/>
      <c r="AA419" s="91" t="n"/>
      <c r="AB419" s="91" t="n"/>
      <c r="AC419" s="91" t="n"/>
      <c r="AD419" s="91" t="n"/>
      <c r="AE419" s="91" t="n"/>
      <c r="AF419" s="91" t="n"/>
      <c r="AG419" s="91" t="n"/>
    </row>
    <row r="420" ht="12.75" customHeight="1" s="117">
      <c r="A420" s="91" t="n"/>
      <c r="B420" s="91" t="n"/>
      <c r="C420" s="91" t="n"/>
      <c r="D420" s="91" t="n"/>
      <c r="E420" s="91" t="n"/>
      <c r="F420" s="91" t="n"/>
      <c r="G420" s="91" t="n"/>
      <c r="H420" s="91" t="n"/>
      <c r="I420" s="91" t="n"/>
      <c r="J420" s="91" t="n"/>
      <c r="K420" s="91" t="n"/>
      <c r="L420" s="91" t="n"/>
      <c r="M420" s="91" t="n"/>
      <c r="N420" s="91" t="n"/>
      <c r="O420" s="91" t="n"/>
      <c r="P420" s="91" t="n"/>
      <c r="Q420" s="91" t="n"/>
      <c r="R420" s="91" t="n"/>
      <c r="S420" s="91" t="n"/>
      <c r="T420" s="91" t="n"/>
      <c r="U420" s="91" t="n"/>
      <c r="V420" s="91" t="n"/>
      <c r="W420" s="91" t="n"/>
      <c r="X420" s="91" t="n"/>
      <c r="Y420" s="91" t="n"/>
      <c r="Z420" s="91" t="n"/>
      <c r="AA420" s="91" t="n"/>
      <c r="AB420" s="91" t="n"/>
      <c r="AC420" s="91" t="n"/>
      <c r="AD420" s="91" t="n"/>
      <c r="AE420" s="91" t="n"/>
      <c r="AF420" s="91" t="n"/>
      <c r="AG420" s="91" t="n"/>
    </row>
    <row r="421" ht="12.75" customHeight="1" s="117">
      <c r="A421" s="91" t="n"/>
      <c r="B421" s="91" t="n"/>
      <c r="C421" s="91" t="n"/>
      <c r="D421" s="91" t="n"/>
      <c r="E421" s="91" t="n"/>
      <c r="F421" s="91" t="n"/>
      <c r="G421" s="91" t="n"/>
      <c r="H421" s="91" t="n"/>
      <c r="I421" s="91" t="n"/>
      <c r="J421" s="91" t="n"/>
      <c r="K421" s="91" t="n"/>
      <c r="L421" s="91" t="n"/>
      <c r="M421" s="91" t="n"/>
      <c r="N421" s="91" t="n"/>
      <c r="O421" s="91" t="n"/>
      <c r="P421" s="91" t="n"/>
      <c r="Q421" s="91" t="n"/>
      <c r="R421" s="91" t="n"/>
      <c r="S421" s="91" t="n"/>
      <c r="T421" s="91" t="n"/>
      <c r="U421" s="91" t="n"/>
      <c r="V421" s="91" t="n"/>
      <c r="W421" s="91" t="n"/>
      <c r="X421" s="91" t="n"/>
      <c r="Y421" s="91" t="n"/>
      <c r="Z421" s="91" t="n"/>
      <c r="AA421" s="91" t="n"/>
      <c r="AB421" s="91" t="n"/>
      <c r="AC421" s="91" t="n"/>
      <c r="AD421" s="91" t="n"/>
      <c r="AE421" s="91" t="n"/>
      <c r="AF421" s="91" t="n"/>
      <c r="AG421" s="91" t="n"/>
    </row>
    <row r="422" ht="12.75" customHeight="1" s="117">
      <c r="A422" s="91" t="n"/>
      <c r="B422" s="91" t="n"/>
      <c r="C422" s="91" t="n"/>
      <c r="D422" s="91" t="n"/>
      <c r="E422" s="91" t="n"/>
      <c r="F422" s="91" t="n"/>
      <c r="G422" s="91" t="n"/>
      <c r="H422" s="91" t="n"/>
      <c r="I422" s="91" t="n"/>
      <c r="J422" s="91" t="n"/>
      <c r="K422" s="91" t="n"/>
      <c r="L422" s="91" t="n"/>
      <c r="M422" s="91" t="n"/>
      <c r="N422" s="91" t="n"/>
      <c r="O422" s="91" t="n"/>
      <c r="P422" s="91" t="n"/>
      <c r="Q422" s="91" t="n"/>
      <c r="R422" s="91" t="n"/>
      <c r="S422" s="91" t="n"/>
      <c r="T422" s="91" t="n"/>
      <c r="U422" s="91" t="n"/>
      <c r="V422" s="91" t="n"/>
      <c r="W422" s="91" t="n"/>
      <c r="X422" s="91" t="n"/>
      <c r="Y422" s="91" t="n"/>
      <c r="Z422" s="91" t="n"/>
      <c r="AA422" s="91" t="n"/>
      <c r="AB422" s="91" t="n"/>
      <c r="AC422" s="91" t="n"/>
      <c r="AD422" s="91" t="n"/>
      <c r="AE422" s="91" t="n"/>
      <c r="AF422" s="91" t="n"/>
      <c r="AG422" s="91" t="n"/>
    </row>
    <row r="423" ht="12.75" customHeight="1" s="117">
      <c r="A423" s="91" t="n"/>
      <c r="B423" s="91" t="n"/>
      <c r="C423" s="91" t="n"/>
      <c r="D423" s="91" t="n"/>
      <c r="E423" s="91" t="n"/>
      <c r="F423" s="91" t="n"/>
      <c r="G423" s="91" t="n"/>
      <c r="H423" s="91" t="n"/>
      <c r="I423" s="91" t="n"/>
      <c r="J423" s="91" t="n"/>
      <c r="K423" s="91" t="n"/>
      <c r="L423" s="91" t="n"/>
      <c r="M423" s="91" t="n"/>
      <c r="N423" s="91" t="n"/>
      <c r="O423" s="91" t="n"/>
      <c r="P423" s="91" t="n"/>
      <c r="Q423" s="91" t="n"/>
      <c r="R423" s="91" t="n"/>
      <c r="S423" s="91" t="n"/>
      <c r="T423" s="91" t="n"/>
      <c r="U423" s="91" t="n"/>
      <c r="V423" s="91" t="n"/>
      <c r="W423" s="91" t="n"/>
      <c r="X423" s="91" t="n"/>
      <c r="Y423" s="91" t="n"/>
      <c r="Z423" s="91" t="n"/>
      <c r="AA423" s="91" t="n"/>
      <c r="AB423" s="91" t="n"/>
      <c r="AC423" s="91" t="n"/>
      <c r="AD423" s="91" t="n"/>
      <c r="AE423" s="91" t="n"/>
      <c r="AF423" s="91" t="n"/>
      <c r="AG423" s="91" t="n"/>
    </row>
    <row r="424" ht="12.75" customHeight="1" s="117">
      <c r="A424" s="91" t="n"/>
      <c r="B424" s="91" t="n"/>
      <c r="C424" s="91" t="n"/>
      <c r="D424" s="91" t="n"/>
      <c r="E424" s="91" t="n"/>
      <c r="F424" s="91" t="n"/>
      <c r="G424" s="91" t="n"/>
      <c r="H424" s="91" t="n"/>
      <c r="I424" s="91" t="n"/>
      <c r="J424" s="91" t="n"/>
      <c r="K424" s="91" t="n"/>
      <c r="L424" s="91" t="n"/>
      <c r="M424" s="91" t="n"/>
      <c r="N424" s="91" t="n"/>
      <c r="O424" s="91" t="n"/>
      <c r="P424" s="91" t="n"/>
      <c r="Q424" s="91" t="n"/>
      <c r="R424" s="91" t="n"/>
      <c r="S424" s="91" t="n"/>
      <c r="T424" s="91" t="n"/>
      <c r="U424" s="91" t="n"/>
      <c r="V424" s="91" t="n"/>
      <c r="W424" s="91" t="n"/>
      <c r="X424" s="91" t="n"/>
      <c r="Y424" s="91" t="n"/>
      <c r="Z424" s="91" t="n"/>
      <c r="AA424" s="91" t="n"/>
      <c r="AB424" s="91" t="n"/>
      <c r="AC424" s="91" t="n"/>
      <c r="AD424" s="91" t="n"/>
      <c r="AE424" s="91" t="n"/>
      <c r="AF424" s="91" t="n"/>
      <c r="AG424" s="91" t="n"/>
    </row>
    <row r="425" ht="12.75" customHeight="1" s="117">
      <c r="A425" s="91" t="n"/>
      <c r="B425" s="91" t="n"/>
      <c r="C425" s="91" t="n"/>
      <c r="D425" s="91" t="n"/>
      <c r="E425" s="91" t="n"/>
      <c r="F425" s="91" t="n"/>
      <c r="G425" s="91" t="n"/>
      <c r="H425" s="91" t="n"/>
      <c r="I425" s="91" t="n"/>
      <c r="J425" s="91" t="n"/>
      <c r="K425" s="91" t="n"/>
      <c r="L425" s="91" t="n"/>
      <c r="M425" s="91" t="n"/>
      <c r="N425" s="91" t="n"/>
      <c r="O425" s="91" t="n"/>
      <c r="P425" s="91" t="n"/>
      <c r="Q425" s="91" t="n"/>
      <c r="R425" s="91" t="n"/>
      <c r="S425" s="91" t="n"/>
      <c r="T425" s="91" t="n"/>
      <c r="U425" s="91" t="n"/>
      <c r="V425" s="91" t="n"/>
      <c r="W425" s="91" t="n"/>
      <c r="X425" s="91" t="n"/>
      <c r="Y425" s="91" t="n"/>
      <c r="Z425" s="91" t="n"/>
      <c r="AA425" s="91" t="n"/>
      <c r="AB425" s="91" t="n"/>
      <c r="AC425" s="91" t="n"/>
      <c r="AD425" s="91" t="n"/>
      <c r="AE425" s="91" t="n"/>
      <c r="AF425" s="91" t="n"/>
      <c r="AG425" s="91" t="n"/>
    </row>
    <row r="426" ht="12.75" customHeight="1" s="117">
      <c r="A426" s="91" t="n"/>
      <c r="B426" s="91" t="n"/>
      <c r="C426" s="91" t="n"/>
      <c r="D426" s="91" t="n"/>
      <c r="E426" s="91" t="n"/>
      <c r="F426" s="91" t="n"/>
      <c r="G426" s="91" t="n"/>
      <c r="H426" s="91" t="n"/>
      <c r="I426" s="91" t="n"/>
      <c r="J426" s="91" t="n"/>
      <c r="K426" s="91" t="n"/>
      <c r="L426" s="91" t="n"/>
      <c r="M426" s="91" t="n"/>
      <c r="N426" s="91" t="n"/>
      <c r="O426" s="91" t="n"/>
      <c r="P426" s="91" t="n"/>
      <c r="Q426" s="91" t="n"/>
      <c r="R426" s="91" t="n"/>
      <c r="S426" s="91" t="n"/>
      <c r="T426" s="91" t="n"/>
      <c r="U426" s="91" t="n"/>
      <c r="V426" s="91" t="n"/>
      <c r="W426" s="91" t="n"/>
      <c r="X426" s="91" t="n"/>
      <c r="Y426" s="91" t="n"/>
      <c r="Z426" s="91" t="n"/>
      <c r="AA426" s="91" t="n"/>
      <c r="AB426" s="91" t="n"/>
      <c r="AC426" s="91" t="n"/>
      <c r="AD426" s="91" t="n"/>
      <c r="AE426" s="91" t="n"/>
      <c r="AF426" s="91" t="n"/>
      <c r="AG426" s="91" t="n"/>
    </row>
    <row r="427" ht="12.75" customHeight="1" s="117">
      <c r="A427" s="91" t="n"/>
      <c r="B427" s="91" t="n"/>
      <c r="C427" s="91" t="n"/>
      <c r="D427" s="91" t="n"/>
      <c r="E427" s="91" t="n"/>
      <c r="F427" s="91" t="n"/>
      <c r="G427" s="91" t="n"/>
      <c r="H427" s="91" t="n"/>
      <c r="I427" s="91" t="n"/>
      <c r="J427" s="91" t="n"/>
      <c r="K427" s="91" t="n"/>
      <c r="L427" s="91" t="n"/>
      <c r="M427" s="91" t="n"/>
      <c r="N427" s="91" t="n"/>
      <c r="O427" s="91" t="n"/>
      <c r="P427" s="91" t="n"/>
      <c r="Q427" s="91" t="n"/>
      <c r="R427" s="91" t="n"/>
      <c r="S427" s="91" t="n"/>
      <c r="T427" s="91" t="n"/>
      <c r="U427" s="91" t="n"/>
      <c r="V427" s="91" t="n"/>
      <c r="W427" s="91" t="n"/>
      <c r="X427" s="91" t="n"/>
      <c r="Y427" s="91" t="n"/>
      <c r="Z427" s="91" t="n"/>
      <c r="AA427" s="91" t="n"/>
      <c r="AB427" s="91" t="n"/>
      <c r="AC427" s="91" t="n"/>
      <c r="AD427" s="91" t="n"/>
      <c r="AE427" s="91" t="n"/>
      <c r="AF427" s="91" t="n"/>
      <c r="AG427" s="91" t="n"/>
    </row>
    <row r="428" ht="12.75" customHeight="1" s="117">
      <c r="A428" s="91" t="n"/>
      <c r="B428" s="91" t="n"/>
      <c r="C428" s="91" t="n"/>
      <c r="D428" s="91" t="n"/>
      <c r="E428" s="91" t="n"/>
      <c r="F428" s="91" t="n"/>
      <c r="G428" s="91" t="n"/>
      <c r="H428" s="91" t="n"/>
      <c r="I428" s="91" t="n"/>
      <c r="J428" s="91" t="n"/>
      <c r="K428" s="91" t="n"/>
      <c r="L428" s="91" t="n"/>
      <c r="M428" s="91" t="n"/>
      <c r="N428" s="91" t="n"/>
      <c r="O428" s="91" t="n"/>
      <c r="P428" s="91" t="n"/>
      <c r="Q428" s="91" t="n"/>
      <c r="R428" s="91" t="n"/>
      <c r="S428" s="91" t="n"/>
      <c r="T428" s="91" t="n"/>
      <c r="U428" s="91" t="n"/>
      <c r="V428" s="91" t="n"/>
      <c r="W428" s="91" t="n"/>
      <c r="X428" s="91" t="n"/>
      <c r="Y428" s="91" t="n"/>
      <c r="Z428" s="91" t="n"/>
      <c r="AA428" s="91" t="n"/>
      <c r="AB428" s="91" t="n"/>
      <c r="AC428" s="91" t="n"/>
      <c r="AD428" s="91" t="n"/>
      <c r="AE428" s="91" t="n"/>
      <c r="AF428" s="91" t="n"/>
      <c r="AG428" s="91" t="n"/>
    </row>
    <row r="429" ht="12.75" customHeight="1" s="117">
      <c r="A429" s="91" t="n"/>
      <c r="B429" s="91" t="n"/>
      <c r="C429" s="91" t="n"/>
      <c r="D429" s="91" t="n"/>
      <c r="E429" s="91" t="n"/>
      <c r="F429" s="91" t="n"/>
      <c r="G429" s="91" t="n"/>
      <c r="H429" s="91" t="n"/>
      <c r="I429" s="91" t="n"/>
      <c r="J429" s="91" t="n"/>
      <c r="K429" s="91" t="n"/>
      <c r="L429" s="91" t="n"/>
      <c r="M429" s="91" t="n"/>
      <c r="N429" s="91" t="n"/>
      <c r="O429" s="91" t="n"/>
      <c r="P429" s="91" t="n"/>
      <c r="Q429" s="91" t="n"/>
      <c r="R429" s="91" t="n"/>
      <c r="S429" s="91" t="n"/>
      <c r="T429" s="91" t="n"/>
      <c r="U429" s="91" t="n"/>
      <c r="V429" s="91" t="n"/>
      <c r="W429" s="91" t="n"/>
      <c r="X429" s="91" t="n"/>
      <c r="Y429" s="91" t="n"/>
      <c r="Z429" s="91" t="n"/>
      <c r="AA429" s="91" t="n"/>
      <c r="AB429" s="91" t="n"/>
      <c r="AC429" s="91" t="n"/>
      <c r="AD429" s="91" t="n"/>
      <c r="AE429" s="91" t="n"/>
      <c r="AF429" s="91" t="n"/>
      <c r="AG429" s="91" t="n"/>
    </row>
    <row r="430" ht="12.75" customHeight="1" s="117">
      <c r="A430" s="91" t="n"/>
      <c r="B430" s="91" t="n"/>
      <c r="C430" s="91" t="n"/>
      <c r="D430" s="91" t="n"/>
      <c r="E430" s="91" t="n"/>
      <c r="F430" s="91" t="n"/>
      <c r="G430" s="91" t="n"/>
      <c r="H430" s="91" t="n"/>
      <c r="I430" s="91" t="n"/>
      <c r="J430" s="91" t="n"/>
      <c r="K430" s="91" t="n"/>
      <c r="L430" s="91" t="n"/>
      <c r="M430" s="91" t="n"/>
      <c r="N430" s="91" t="n"/>
      <c r="O430" s="91" t="n"/>
      <c r="P430" s="91" t="n"/>
      <c r="Q430" s="91" t="n"/>
      <c r="R430" s="91" t="n"/>
      <c r="S430" s="91" t="n"/>
      <c r="T430" s="91" t="n"/>
      <c r="U430" s="91" t="n"/>
      <c r="V430" s="91" t="n"/>
      <c r="W430" s="91" t="n"/>
      <c r="X430" s="91" t="n"/>
      <c r="Y430" s="91" t="n"/>
      <c r="Z430" s="91" t="n"/>
      <c r="AA430" s="91" t="n"/>
      <c r="AB430" s="91" t="n"/>
      <c r="AC430" s="91" t="n"/>
      <c r="AD430" s="91" t="n"/>
      <c r="AE430" s="91" t="n"/>
      <c r="AF430" s="91" t="n"/>
      <c r="AG430" s="91" t="n"/>
    </row>
    <row r="431" ht="12.75" customHeight="1" s="117">
      <c r="A431" s="91" t="n"/>
      <c r="B431" s="91" t="n"/>
      <c r="C431" s="91" t="n"/>
      <c r="D431" s="91" t="n"/>
      <c r="E431" s="91" t="n"/>
      <c r="F431" s="91" t="n"/>
      <c r="G431" s="91" t="n"/>
      <c r="H431" s="91" t="n"/>
      <c r="I431" s="91" t="n"/>
      <c r="J431" s="91" t="n"/>
      <c r="K431" s="91" t="n"/>
      <c r="L431" s="91" t="n"/>
      <c r="M431" s="91" t="n"/>
      <c r="N431" s="91" t="n"/>
      <c r="O431" s="91" t="n"/>
      <c r="P431" s="91" t="n"/>
      <c r="Q431" s="91" t="n"/>
      <c r="R431" s="91" t="n"/>
      <c r="S431" s="91" t="n"/>
      <c r="T431" s="91" t="n"/>
      <c r="U431" s="91" t="n"/>
      <c r="V431" s="91" t="n"/>
      <c r="W431" s="91" t="n"/>
      <c r="X431" s="91" t="n"/>
      <c r="Y431" s="91" t="n"/>
      <c r="Z431" s="91" t="n"/>
      <c r="AA431" s="91" t="n"/>
      <c r="AB431" s="91" t="n"/>
      <c r="AC431" s="91" t="n"/>
      <c r="AD431" s="91" t="n"/>
      <c r="AE431" s="91" t="n"/>
      <c r="AF431" s="91" t="n"/>
      <c r="AG431" s="91" t="n"/>
    </row>
    <row r="432" ht="12.75" customHeight="1" s="117">
      <c r="A432" s="91" t="n"/>
      <c r="B432" s="91" t="n"/>
      <c r="C432" s="91" t="n"/>
      <c r="D432" s="91" t="n"/>
      <c r="E432" s="91" t="n"/>
      <c r="F432" s="91" t="n"/>
      <c r="G432" s="91" t="n"/>
      <c r="H432" s="91" t="n"/>
      <c r="I432" s="91" t="n"/>
      <c r="J432" s="91" t="n"/>
      <c r="K432" s="91" t="n"/>
      <c r="L432" s="91" t="n"/>
      <c r="M432" s="91" t="n"/>
      <c r="N432" s="91" t="n"/>
      <c r="O432" s="91" t="n"/>
      <c r="P432" s="91" t="n"/>
      <c r="Q432" s="91" t="n"/>
      <c r="R432" s="91" t="n"/>
      <c r="S432" s="91" t="n"/>
      <c r="T432" s="91" t="n"/>
      <c r="U432" s="91" t="n"/>
      <c r="V432" s="91" t="n"/>
      <c r="W432" s="91" t="n"/>
      <c r="X432" s="91" t="n"/>
      <c r="Y432" s="91" t="n"/>
      <c r="Z432" s="91" t="n"/>
      <c r="AA432" s="91" t="n"/>
      <c r="AB432" s="91" t="n"/>
      <c r="AC432" s="91" t="n"/>
      <c r="AD432" s="91" t="n"/>
      <c r="AE432" s="91" t="n"/>
      <c r="AF432" s="91" t="n"/>
      <c r="AG432" s="91" t="n"/>
    </row>
    <row r="433" ht="12.75" customHeight="1" s="117">
      <c r="A433" s="91" t="n"/>
      <c r="B433" s="91" t="n"/>
      <c r="C433" s="91" t="n"/>
      <c r="D433" s="91" t="n"/>
      <c r="E433" s="91" t="n"/>
      <c r="F433" s="91" t="n"/>
      <c r="G433" s="91" t="n"/>
      <c r="H433" s="91" t="n"/>
      <c r="I433" s="91" t="n"/>
      <c r="J433" s="91" t="n"/>
      <c r="K433" s="91" t="n"/>
      <c r="L433" s="91" t="n"/>
      <c r="M433" s="91" t="n"/>
      <c r="N433" s="91" t="n"/>
      <c r="O433" s="91" t="n"/>
      <c r="P433" s="91" t="n"/>
      <c r="Q433" s="91" t="n"/>
      <c r="R433" s="91" t="n"/>
      <c r="S433" s="91" t="n"/>
      <c r="T433" s="91" t="n"/>
      <c r="U433" s="91" t="n"/>
      <c r="V433" s="91" t="n"/>
      <c r="W433" s="91" t="n"/>
      <c r="X433" s="91" t="n"/>
      <c r="Y433" s="91" t="n"/>
      <c r="Z433" s="91" t="n"/>
      <c r="AA433" s="91" t="n"/>
      <c r="AB433" s="91" t="n"/>
      <c r="AC433" s="91" t="n"/>
      <c r="AD433" s="91" t="n"/>
      <c r="AE433" s="91" t="n"/>
      <c r="AF433" s="91" t="n"/>
      <c r="AG433" s="91" t="n"/>
    </row>
    <row r="434" ht="12.75" customHeight="1" s="117">
      <c r="A434" s="91" t="n"/>
      <c r="B434" s="91" t="n"/>
      <c r="C434" s="91" t="n"/>
      <c r="D434" s="91" t="n"/>
      <c r="E434" s="91" t="n"/>
      <c r="F434" s="91" t="n"/>
      <c r="G434" s="91" t="n"/>
      <c r="H434" s="91" t="n"/>
      <c r="I434" s="91" t="n"/>
      <c r="J434" s="91" t="n"/>
      <c r="K434" s="91" t="n"/>
      <c r="L434" s="91" t="n"/>
      <c r="M434" s="91" t="n"/>
      <c r="N434" s="91" t="n"/>
      <c r="O434" s="91" t="n"/>
      <c r="P434" s="91" t="n"/>
      <c r="Q434" s="91" t="n"/>
      <c r="R434" s="91" t="n"/>
      <c r="S434" s="91" t="n"/>
      <c r="T434" s="91" t="n"/>
      <c r="U434" s="91" t="n"/>
      <c r="V434" s="91" t="n"/>
      <c r="W434" s="91" t="n"/>
      <c r="X434" s="91" t="n"/>
      <c r="Y434" s="91" t="n"/>
      <c r="Z434" s="91" t="n"/>
      <c r="AA434" s="91" t="n"/>
      <c r="AB434" s="91" t="n"/>
      <c r="AC434" s="91" t="n"/>
      <c r="AD434" s="91" t="n"/>
      <c r="AE434" s="91" t="n"/>
      <c r="AF434" s="91" t="n"/>
      <c r="AG434" s="91" t="n"/>
    </row>
    <row r="435" ht="12.75" customHeight="1" s="117">
      <c r="A435" s="91" t="n"/>
      <c r="B435" s="91" t="n"/>
      <c r="C435" s="91" t="n"/>
      <c r="D435" s="91" t="n"/>
      <c r="E435" s="91" t="n"/>
      <c r="F435" s="91" t="n"/>
      <c r="G435" s="91" t="n"/>
      <c r="H435" s="91" t="n"/>
      <c r="I435" s="91" t="n"/>
      <c r="J435" s="91" t="n"/>
      <c r="K435" s="91" t="n"/>
      <c r="L435" s="91" t="n"/>
      <c r="M435" s="91" t="n"/>
      <c r="N435" s="91" t="n"/>
      <c r="O435" s="91" t="n"/>
      <c r="P435" s="91" t="n"/>
      <c r="Q435" s="91" t="n"/>
      <c r="R435" s="91" t="n"/>
      <c r="S435" s="91" t="n"/>
      <c r="T435" s="91" t="n"/>
      <c r="U435" s="91" t="n"/>
      <c r="V435" s="91" t="n"/>
      <c r="W435" s="91" t="n"/>
      <c r="X435" s="91" t="n"/>
      <c r="Y435" s="91" t="n"/>
      <c r="Z435" s="91" t="n"/>
      <c r="AA435" s="91" t="n"/>
      <c r="AB435" s="91" t="n"/>
      <c r="AC435" s="91" t="n"/>
      <c r="AD435" s="91" t="n"/>
      <c r="AE435" s="91" t="n"/>
      <c r="AF435" s="91" t="n"/>
      <c r="AG435" s="91" t="n"/>
    </row>
    <row r="436" ht="12.75" customHeight="1" s="117">
      <c r="A436" s="91" t="n"/>
      <c r="B436" s="91" t="n"/>
      <c r="C436" s="91" t="n"/>
      <c r="D436" s="91" t="n"/>
      <c r="E436" s="91" t="n"/>
      <c r="F436" s="91" t="n"/>
      <c r="G436" s="91" t="n"/>
      <c r="H436" s="91" t="n"/>
      <c r="I436" s="91" t="n"/>
      <c r="J436" s="91" t="n"/>
      <c r="K436" s="91" t="n"/>
      <c r="L436" s="91" t="n"/>
      <c r="M436" s="91" t="n"/>
      <c r="N436" s="91" t="n"/>
      <c r="O436" s="91" t="n"/>
      <c r="P436" s="91" t="n"/>
      <c r="Q436" s="91" t="n"/>
      <c r="R436" s="91" t="n"/>
      <c r="S436" s="91" t="n"/>
      <c r="T436" s="91" t="n"/>
      <c r="U436" s="91" t="n"/>
      <c r="V436" s="91" t="n"/>
      <c r="W436" s="91" t="n"/>
      <c r="X436" s="91" t="n"/>
      <c r="Y436" s="91" t="n"/>
      <c r="Z436" s="91" t="n"/>
      <c r="AA436" s="91" t="n"/>
      <c r="AB436" s="91" t="n"/>
      <c r="AC436" s="91" t="n"/>
      <c r="AD436" s="91" t="n"/>
      <c r="AE436" s="91" t="n"/>
      <c r="AF436" s="91" t="n"/>
      <c r="AG436" s="91" t="n"/>
    </row>
    <row r="437" ht="12.75" customHeight="1" s="117">
      <c r="A437" s="91" t="n"/>
      <c r="B437" s="91" t="n"/>
      <c r="C437" s="91" t="n"/>
      <c r="D437" s="91" t="n"/>
      <c r="E437" s="91" t="n"/>
      <c r="F437" s="91" t="n"/>
      <c r="G437" s="91" t="n"/>
      <c r="H437" s="91" t="n"/>
      <c r="I437" s="91" t="n"/>
      <c r="J437" s="91" t="n"/>
      <c r="K437" s="91" t="n"/>
      <c r="L437" s="91" t="n"/>
      <c r="M437" s="91" t="n"/>
      <c r="N437" s="91" t="n"/>
      <c r="O437" s="91" t="n"/>
      <c r="P437" s="91" t="n"/>
      <c r="Q437" s="91" t="n"/>
      <c r="R437" s="91" t="n"/>
      <c r="S437" s="91" t="n"/>
      <c r="T437" s="91" t="n"/>
      <c r="U437" s="91" t="n"/>
      <c r="V437" s="91" t="n"/>
      <c r="W437" s="91" t="n"/>
      <c r="X437" s="91" t="n"/>
      <c r="Y437" s="91" t="n"/>
      <c r="Z437" s="91" t="n"/>
      <c r="AA437" s="91" t="n"/>
      <c r="AB437" s="91" t="n"/>
      <c r="AC437" s="91" t="n"/>
      <c r="AD437" s="91" t="n"/>
      <c r="AE437" s="91" t="n"/>
      <c r="AF437" s="91" t="n"/>
      <c r="AG437" s="91" t="n"/>
    </row>
    <row r="438" ht="12.75" customHeight="1" s="117">
      <c r="A438" s="91" t="n"/>
      <c r="B438" s="91" t="n"/>
      <c r="C438" s="91" t="n"/>
      <c r="D438" s="91" t="n"/>
      <c r="E438" s="91" t="n"/>
      <c r="F438" s="91" t="n"/>
      <c r="G438" s="91" t="n"/>
      <c r="H438" s="91" t="n"/>
      <c r="I438" s="91" t="n"/>
      <c r="J438" s="91" t="n"/>
      <c r="K438" s="91" t="n"/>
      <c r="L438" s="91" t="n"/>
      <c r="M438" s="91" t="n"/>
      <c r="N438" s="91" t="n"/>
      <c r="O438" s="91" t="n"/>
      <c r="P438" s="91" t="n"/>
      <c r="Q438" s="91" t="n"/>
      <c r="R438" s="91" t="n"/>
      <c r="S438" s="91" t="n"/>
      <c r="T438" s="91" t="n"/>
      <c r="U438" s="91" t="n"/>
      <c r="V438" s="91" t="n"/>
      <c r="W438" s="91" t="n"/>
      <c r="X438" s="91" t="n"/>
      <c r="Y438" s="91" t="n"/>
      <c r="Z438" s="91" t="n"/>
      <c r="AA438" s="91" t="n"/>
      <c r="AB438" s="91" t="n"/>
      <c r="AC438" s="91" t="n"/>
      <c r="AD438" s="91" t="n"/>
      <c r="AE438" s="91" t="n"/>
      <c r="AF438" s="91" t="n"/>
      <c r="AG438" s="91" t="n"/>
    </row>
    <row r="439" ht="12.75" customHeight="1" s="117">
      <c r="A439" s="91" t="n"/>
      <c r="B439" s="91" t="n"/>
      <c r="C439" s="91" t="n"/>
      <c r="D439" s="91" t="n"/>
      <c r="E439" s="91" t="n"/>
      <c r="F439" s="91" t="n"/>
      <c r="G439" s="91" t="n"/>
      <c r="H439" s="91" t="n"/>
      <c r="I439" s="91" t="n"/>
      <c r="J439" s="91" t="n"/>
      <c r="K439" s="91" t="n"/>
      <c r="L439" s="91" t="n"/>
      <c r="M439" s="91" t="n"/>
      <c r="N439" s="91" t="n"/>
      <c r="O439" s="91" t="n"/>
      <c r="P439" s="91" t="n"/>
      <c r="Q439" s="91" t="n"/>
      <c r="R439" s="91" t="n"/>
      <c r="S439" s="91" t="n"/>
      <c r="T439" s="91" t="n"/>
      <c r="U439" s="91" t="n"/>
      <c r="V439" s="91" t="n"/>
      <c r="W439" s="91" t="n"/>
      <c r="X439" s="91" t="n"/>
      <c r="Y439" s="91" t="n"/>
      <c r="Z439" s="91" t="n"/>
      <c r="AA439" s="91" t="n"/>
      <c r="AB439" s="91" t="n"/>
      <c r="AC439" s="91" t="n"/>
      <c r="AD439" s="91" t="n"/>
      <c r="AE439" s="91" t="n"/>
      <c r="AF439" s="91" t="n"/>
      <c r="AG439" s="91" t="n"/>
    </row>
    <row r="440" ht="12.75" customHeight="1" s="117">
      <c r="A440" s="91" t="n"/>
      <c r="B440" s="91" t="n"/>
      <c r="C440" s="91" t="n"/>
      <c r="D440" s="91" t="n"/>
      <c r="E440" s="91" t="n"/>
      <c r="F440" s="91" t="n"/>
      <c r="G440" s="91" t="n"/>
      <c r="H440" s="91" t="n"/>
      <c r="I440" s="91" t="n"/>
      <c r="J440" s="91" t="n"/>
      <c r="K440" s="91" t="n"/>
      <c r="L440" s="91" t="n"/>
      <c r="M440" s="91" t="n"/>
      <c r="N440" s="91" t="n"/>
      <c r="O440" s="91" t="n"/>
      <c r="P440" s="91" t="n"/>
      <c r="Q440" s="91" t="n"/>
      <c r="R440" s="91" t="n"/>
      <c r="S440" s="91" t="n"/>
      <c r="T440" s="91" t="n"/>
      <c r="U440" s="91" t="n"/>
      <c r="V440" s="91" t="n"/>
      <c r="W440" s="91" t="n"/>
      <c r="X440" s="91" t="n"/>
      <c r="Y440" s="91" t="n"/>
      <c r="Z440" s="91" t="n"/>
      <c r="AA440" s="91" t="n"/>
      <c r="AB440" s="91" t="n"/>
      <c r="AC440" s="91" t="n"/>
      <c r="AD440" s="91" t="n"/>
      <c r="AE440" s="91" t="n"/>
      <c r="AF440" s="91" t="n"/>
      <c r="AG440" s="91" t="n"/>
    </row>
    <row r="441" ht="12.75" customHeight="1" s="117">
      <c r="A441" s="91" t="n"/>
      <c r="B441" s="91" t="n"/>
      <c r="C441" s="91" t="n"/>
      <c r="D441" s="91" t="n"/>
      <c r="E441" s="91" t="n"/>
      <c r="F441" s="91" t="n"/>
      <c r="G441" s="91" t="n"/>
      <c r="H441" s="91" t="n"/>
      <c r="I441" s="91" t="n"/>
      <c r="J441" s="91" t="n"/>
      <c r="K441" s="91" t="n"/>
      <c r="L441" s="91" t="n"/>
      <c r="M441" s="91" t="n"/>
      <c r="N441" s="91" t="n"/>
      <c r="O441" s="91" t="n"/>
      <c r="P441" s="91" t="n"/>
      <c r="Q441" s="91" t="n"/>
      <c r="R441" s="91" t="n"/>
      <c r="S441" s="91" t="n"/>
      <c r="T441" s="91" t="n"/>
      <c r="U441" s="91" t="n"/>
      <c r="V441" s="91" t="n"/>
      <c r="W441" s="91" t="n"/>
      <c r="X441" s="91" t="n"/>
      <c r="Y441" s="91" t="n"/>
      <c r="Z441" s="91" t="n"/>
      <c r="AA441" s="91" t="n"/>
      <c r="AB441" s="91" t="n"/>
      <c r="AC441" s="91" t="n"/>
      <c r="AD441" s="91" t="n"/>
      <c r="AE441" s="91" t="n"/>
      <c r="AF441" s="91" t="n"/>
      <c r="AG441" s="91" t="n"/>
    </row>
    <row r="442" ht="12.75" customHeight="1" s="117">
      <c r="A442" s="91" t="n"/>
      <c r="B442" s="91" t="n"/>
      <c r="C442" s="91" t="n"/>
      <c r="D442" s="91" t="n"/>
      <c r="E442" s="91" t="n"/>
      <c r="F442" s="91" t="n"/>
      <c r="G442" s="91" t="n"/>
      <c r="H442" s="91" t="n"/>
      <c r="I442" s="91" t="n"/>
      <c r="J442" s="91" t="n"/>
      <c r="K442" s="91" t="n"/>
      <c r="L442" s="91" t="n"/>
      <c r="M442" s="91" t="n"/>
      <c r="N442" s="91" t="n"/>
      <c r="O442" s="91" t="n"/>
      <c r="P442" s="91" t="n"/>
      <c r="Q442" s="91" t="n"/>
      <c r="R442" s="91" t="n"/>
      <c r="S442" s="91" t="n"/>
      <c r="T442" s="91" t="n"/>
      <c r="U442" s="91" t="n"/>
      <c r="V442" s="91" t="n"/>
      <c r="W442" s="91" t="n"/>
      <c r="X442" s="91" t="n"/>
      <c r="Y442" s="91" t="n"/>
      <c r="Z442" s="91" t="n"/>
      <c r="AA442" s="91" t="n"/>
      <c r="AB442" s="91" t="n"/>
      <c r="AC442" s="91" t="n"/>
      <c r="AD442" s="91" t="n"/>
      <c r="AE442" s="91" t="n"/>
      <c r="AF442" s="91" t="n"/>
      <c r="AG442" s="91" t="n"/>
    </row>
    <row r="443" ht="12.75" customHeight="1" s="117">
      <c r="A443" s="91" t="n"/>
      <c r="B443" s="91" t="n"/>
      <c r="C443" s="91" t="n"/>
      <c r="D443" s="91" t="n"/>
      <c r="E443" s="91" t="n"/>
      <c r="F443" s="91" t="n"/>
      <c r="G443" s="91" t="n"/>
      <c r="H443" s="91" t="n"/>
      <c r="I443" s="91" t="n"/>
      <c r="J443" s="91" t="n"/>
      <c r="K443" s="91" t="n"/>
      <c r="L443" s="91" t="n"/>
      <c r="M443" s="91" t="n"/>
      <c r="N443" s="91" t="n"/>
      <c r="O443" s="91" t="n"/>
      <c r="P443" s="91" t="n"/>
      <c r="Q443" s="91" t="n"/>
      <c r="R443" s="91" t="n"/>
      <c r="S443" s="91" t="n"/>
      <c r="T443" s="91" t="n"/>
      <c r="U443" s="91" t="n"/>
      <c r="V443" s="91" t="n"/>
      <c r="W443" s="91" t="n"/>
      <c r="X443" s="91" t="n"/>
      <c r="Y443" s="91" t="n"/>
      <c r="Z443" s="91" t="n"/>
      <c r="AA443" s="91" t="n"/>
      <c r="AB443" s="91" t="n"/>
      <c r="AC443" s="91" t="n"/>
      <c r="AD443" s="91" t="n"/>
      <c r="AE443" s="91" t="n"/>
      <c r="AF443" s="91" t="n"/>
      <c r="AG443" s="91" t="n"/>
    </row>
    <row r="444" ht="12.75" customHeight="1" s="117">
      <c r="A444" s="91" t="n"/>
      <c r="B444" s="91" t="n"/>
      <c r="C444" s="91" t="n"/>
      <c r="D444" s="91" t="n"/>
      <c r="E444" s="91" t="n"/>
      <c r="F444" s="91" t="n"/>
      <c r="G444" s="91" t="n"/>
      <c r="H444" s="91" t="n"/>
      <c r="I444" s="91" t="n"/>
      <c r="J444" s="91" t="n"/>
      <c r="K444" s="91" t="n"/>
      <c r="L444" s="91" t="n"/>
      <c r="M444" s="91" t="n"/>
      <c r="N444" s="91" t="n"/>
      <c r="O444" s="91" t="n"/>
      <c r="P444" s="91" t="n"/>
      <c r="Q444" s="91" t="n"/>
      <c r="R444" s="91" t="n"/>
      <c r="S444" s="91" t="n"/>
      <c r="T444" s="91" t="n"/>
      <c r="U444" s="91" t="n"/>
      <c r="V444" s="91" t="n"/>
      <c r="W444" s="91" t="n"/>
      <c r="X444" s="91" t="n"/>
      <c r="Y444" s="91" t="n"/>
      <c r="Z444" s="91" t="n"/>
      <c r="AA444" s="91" t="n"/>
      <c r="AB444" s="91" t="n"/>
      <c r="AC444" s="91" t="n"/>
      <c r="AD444" s="91" t="n"/>
      <c r="AE444" s="91" t="n"/>
      <c r="AF444" s="91" t="n"/>
      <c r="AG444" s="91" t="n"/>
    </row>
    <row r="445" ht="12.75" customHeight="1" s="117">
      <c r="A445" s="91" t="n"/>
      <c r="B445" s="91" t="n"/>
      <c r="C445" s="91" t="n"/>
      <c r="D445" s="91" t="n"/>
      <c r="E445" s="91" t="n"/>
      <c r="F445" s="91" t="n"/>
      <c r="G445" s="91" t="n"/>
      <c r="H445" s="91" t="n"/>
      <c r="I445" s="91" t="n"/>
      <c r="J445" s="91" t="n"/>
      <c r="K445" s="91" t="n"/>
      <c r="L445" s="91" t="n"/>
      <c r="M445" s="91" t="n"/>
      <c r="N445" s="91" t="n"/>
      <c r="O445" s="91" t="n"/>
      <c r="P445" s="91" t="n"/>
      <c r="Q445" s="91" t="n"/>
      <c r="R445" s="91" t="n"/>
      <c r="S445" s="91" t="n"/>
      <c r="T445" s="91" t="n"/>
      <c r="U445" s="91" t="n"/>
      <c r="V445" s="91" t="n"/>
      <c r="W445" s="91" t="n"/>
      <c r="X445" s="91" t="n"/>
      <c r="Y445" s="91" t="n"/>
      <c r="Z445" s="91" t="n"/>
      <c r="AA445" s="91" t="n"/>
      <c r="AB445" s="91" t="n"/>
      <c r="AC445" s="91" t="n"/>
      <c r="AD445" s="91" t="n"/>
      <c r="AE445" s="91" t="n"/>
      <c r="AF445" s="91" t="n"/>
      <c r="AG445" s="91" t="n"/>
    </row>
    <row r="446" ht="12.75" customHeight="1" s="117">
      <c r="A446" s="91" t="n"/>
      <c r="B446" s="91" t="n"/>
      <c r="C446" s="91" t="n"/>
      <c r="D446" s="91" t="n"/>
      <c r="E446" s="91" t="n"/>
      <c r="F446" s="91" t="n"/>
      <c r="G446" s="91" t="n"/>
      <c r="H446" s="91" t="n"/>
      <c r="I446" s="91" t="n"/>
      <c r="J446" s="91" t="n"/>
      <c r="K446" s="91" t="n"/>
      <c r="L446" s="91" t="n"/>
      <c r="M446" s="91" t="n"/>
      <c r="N446" s="91" t="n"/>
      <c r="O446" s="91" t="n"/>
      <c r="P446" s="91" t="n"/>
      <c r="Q446" s="91" t="n"/>
      <c r="R446" s="91" t="n"/>
      <c r="S446" s="91" t="n"/>
      <c r="T446" s="91" t="n"/>
      <c r="U446" s="91" t="n"/>
      <c r="V446" s="91" t="n"/>
      <c r="W446" s="91" t="n"/>
      <c r="X446" s="91" t="n"/>
      <c r="Y446" s="91" t="n"/>
      <c r="Z446" s="91" t="n"/>
      <c r="AA446" s="91" t="n"/>
      <c r="AB446" s="91" t="n"/>
      <c r="AC446" s="91" t="n"/>
      <c r="AD446" s="91" t="n"/>
      <c r="AE446" s="91" t="n"/>
      <c r="AF446" s="91" t="n"/>
      <c r="AG446" s="91" t="n"/>
    </row>
    <row r="447" ht="12.75" customHeight="1" s="117">
      <c r="A447" s="91" t="n"/>
      <c r="B447" s="91" t="n"/>
      <c r="C447" s="91" t="n"/>
      <c r="D447" s="91" t="n"/>
      <c r="E447" s="91" t="n"/>
      <c r="F447" s="91" t="n"/>
      <c r="G447" s="91" t="n"/>
      <c r="H447" s="91" t="n"/>
      <c r="I447" s="91" t="n"/>
      <c r="J447" s="91" t="n"/>
      <c r="K447" s="91" t="n"/>
      <c r="L447" s="91" t="n"/>
      <c r="M447" s="91" t="n"/>
      <c r="N447" s="91" t="n"/>
      <c r="O447" s="91" t="n"/>
      <c r="P447" s="91" t="n"/>
      <c r="Q447" s="91" t="n"/>
      <c r="R447" s="91" t="n"/>
      <c r="S447" s="91" t="n"/>
      <c r="T447" s="91" t="n"/>
      <c r="U447" s="91" t="n"/>
      <c r="V447" s="91" t="n"/>
      <c r="W447" s="91" t="n"/>
      <c r="X447" s="91" t="n"/>
      <c r="Y447" s="91" t="n"/>
      <c r="Z447" s="91" t="n"/>
      <c r="AA447" s="91" t="n"/>
      <c r="AB447" s="91" t="n"/>
      <c r="AC447" s="91" t="n"/>
      <c r="AD447" s="91" t="n"/>
      <c r="AE447" s="91" t="n"/>
      <c r="AF447" s="91" t="n"/>
      <c r="AG447" s="91" t="n"/>
    </row>
    <row r="448" ht="12.75" customHeight="1" s="117">
      <c r="A448" s="91" t="n"/>
      <c r="B448" s="91" t="n"/>
      <c r="C448" s="91" t="n"/>
      <c r="D448" s="91" t="n"/>
      <c r="E448" s="91" t="n"/>
      <c r="F448" s="91" t="n"/>
      <c r="G448" s="91" t="n"/>
      <c r="H448" s="91" t="n"/>
      <c r="I448" s="91" t="n"/>
      <c r="J448" s="91" t="n"/>
      <c r="K448" s="91" t="n"/>
      <c r="L448" s="91" t="n"/>
      <c r="M448" s="91" t="n"/>
      <c r="N448" s="91" t="n"/>
      <c r="O448" s="91" t="n"/>
      <c r="P448" s="91" t="n"/>
      <c r="Q448" s="91" t="n"/>
      <c r="R448" s="91" t="n"/>
      <c r="S448" s="91" t="n"/>
      <c r="T448" s="91" t="n"/>
      <c r="U448" s="91" t="n"/>
      <c r="V448" s="91" t="n"/>
      <c r="W448" s="91" t="n"/>
      <c r="X448" s="91" t="n"/>
      <c r="Y448" s="91" t="n"/>
      <c r="Z448" s="91" t="n"/>
      <c r="AA448" s="91" t="n"/>
      <c r="AB448" s="91" t="n"/>
      <c r="AC448" s="91" t="n"/>
      <c r="AD448" s="91" t="n"/>
      <c r="AE448" s="91" t="n"/>
      <c r="AF448" s="91" t="n"/>
      <c r="AG448" s="91" t="n"/>
    </row>
    <row r="449" ht="12.75" customHeight="1" s="117">
      <c r="A449" s="91" t="n"/>
      <c r="B449" s="91" t="n"/>
      <c r="C449" s="91" t="n"/>
      <c r="D449" s="91" t="n"/>
      <c r="E449" s="91" t="n"/>
      <c r="F449" s="91" t="n"/>
      <c r="G449" s="91" t="n"/>
      <c r="H449" s="91" t="n"/>
      <c r="I449" s="91" t="n"/>
      <c r="J449" s="91" t="n"/>
      <c r="K449" s="91" t="n"/>
      <c r="L449" s="91" t="n"/>
      <c r="M449" s="91" t="n"/>
      <c r="N449" s="91" t="n"/>
      <c r="O449" s="91" t="n"/>
      <c r="P449" s="91" t="n"/>
      <c r="Q449" s="91" t="n"/>
      <c r="R449" s="91" t="n"/>
      <c r="S449" s="91" t="n"/>
      <c r="T449" s="91" t="n"/>
      <c r="U449" s="91" t="n"/>
      <c r="V449" s="91" t="n"/>
      <c r="W449" s="91" t="n"/>
      <c r="X449" s="91" t="n"/>
      <c r="Y449" s="91" t="n"/>
      <c r="Z449" s="91" t="n"/>
      <c r="AA449" s="91" t="n"/>
      <c r="AB449" s="91" t="n"/>
      <c r="AC449" s="91" t="n"/>
      <c r="AD449" s="91" t="n"/>
      <c r="AE449" s="91" t="n"/>
      <c r="AF449" s="91" t="n"/>
      <c r="AG449" s="91" t="n"/>
    </row>
    <row r="450" ht="12.75" customHeight="1" s="117">
      <c r="A450" s="91" t="n"/>
      <c r="B450" s="91" t="n"/>
      <c r="C450" s="91" t="n"/>
      <c r="D450" s="91" t="n"/>
      <c r="E450" s="91" t="n"/>
      <c r="F450" s="91" t="n"/>
      <c r="G450" s="91" t="n"/>
      <c r="H450" s="91" t="n"/>
      <c r="I450" s="91" t="n"/>
      <c r="J450" s="91" t="n"/>
      <c r="K450" s="91" t="n"/>
      <c r="L450" s="91" t="n"/>
      <c r="M450" s="91" t="n"/>
      <c r="N450" s="91" t="n"/>
      <c r="O450" s="91" t="n"/>
      <c r="P450" s="91" t="n"/>
      <c r="Q450" s="91" t="n"/>
      <c r="R450" s="91" t="n"/>
      <c r="S450" s="91" t="n"/>
      <c r="T450" s="91" t="n"/>
      <c r="U450" s="91" t="n"/>
      <c r="V450" s="91" t="n"/>
      <c r="W450" s="91" t="n"/>
      <c r="X450" s="91" t="n"/>
      <c r="Y450" s="91" t="n"/>
      <c r="Z450" s="91" t="n"/>
      <c r="AA450" s="91" t="n"/>
      <c r="AB450" s="91" t="n"/>
      <c r="AC450" s="91" t="n"/>
      <c r="AD450" s="91" t="n"/>
      <c r="AE450" s="91" t="n"/>
      <c r="AF450" s="91" t="n"/>
      <c r="AG450" s="91" t="n"/>
    </row>
    <row r="451" ht="12.75" customHeight="1" s="117">
      <c r="A451" s="91" t="n"/>
      <c r="B451" s="91" t="n"/>
      <c r="C451" s="91" t="n"/>
      <c r="D451" s="91" t="n"/>
      <c r="E451" s="91" t="n"/>
      <c r="F451" s="91" t="n"/>
      <c r="G451" s="91" t="n"/>
      <c r="H451" s="91" t="n"/>
      <c r="I451" s="91" t="n"/>
      <c r="J451" s="91" t="n"/>
      <c r="K451" s="91" t="n"/>
      <c r="L451" s="91" t="n"/>
      <c r="M451" s="91" t="n"/>
      <c r="N451" s="91" t="n"/>
      <c r="O451" s="91" t="n"/>
      <c r="P451" s="91" t="n"/>
      <c r="Q451" s="91" t="n"/>
      <c r="R451" s="91" t="n"/>
      <c r="S451" s="91" t="n"/>
      <c r="T451" s="91" t="n"/>
      <c r="U451" s="91" t="n"/>
      <c r="V451" s="91" t="n"/>
      <c r="W451" s="91" t="n"/>
      <c r="X451" s="91" t="n"/>
      <c r="Y451" s="91" t="n"/>
      <c r="Z451" s="91" t="n"/>
      <c r="AA451" s="91" t="n"/>
      <c r="AB451" s="91" t="n"/>
      <c r="AC451" s="91" t="n"/>
      <c r="AD451" s="91" t="n"/>
      <c r="AE451" s="91" t="n"/>
      <c r="AF451" s="91" t="n"/>
      <c r="AG451" s="91" t="n"/>
    </row>
    <row r="452" ht="12.75" customHeight="1" s="117">
      <c r="A452" s="91" t="n"/>
      <c r="B452" s="91" t="n"/>
      <c r="C452" s="91" t="n"/>
      <c r="D452" s="91" t="n"/>
      <c r="E452" s="91" t="n"/>
      <c r="F452" s="91" t="n"/>
      <c r="G452" s="91" t="n"/>
      <c r="H452" s="91" t="n"/>
      <c r="I452" s="91" t="n"/>
      <c r="J452" s="91" t="n"/>
      <c r="K452" s="91" t="n"/>
      <c r="L452" s="91" t="n"/>
      <c r="M452" s="91" t="n"/>
      <c r="N452" s="91" t="n"/>
      <c r="O452" s="91" t="n"/>
      <c r="P452" s="91" t="n"/>
      <c r="Q452" s="91" t="n"/>
      <c r="R452" s="91" t="n"/>
      <c r="S452" s="91" t="n"/>
      <c r="T452" s="91" t="n"/>
      <c r="U452" s="91" t="n"/>
      <c r="V452" s="91" t="n"/>
      <c r="W452" s="91" t="n"/>
      <c r="X452" s="91" t="n"/>
      <c r="Y452" s="91" t="n"/>
      <c r="Z452" s="91" t="n"/>
      <c r="AA452" s="91" t="n"/>
      <c r="AB452" s="91" t="n"/>
      <c r="AC452" s="91" t="n"/>
      <c r="AD452" s="91" t="n"/>
      <c r="AE452" s="91" t="n"/>
      <c r="AF452" s="91" t="n"/>
      <c r="AG452" s="91" t="n"/>
    </row>
    <row r="453" ht="12.75" customHeight="1" s="117">
      <c r="A453" s="91" t="n"/>
      <c r="B453" s="91" t="n"/>
      <c r="C453" s="91" t="n"/>
      <c r="D453" s="91" t="n"/>
      <c r="E453" s="91" t="n"/>
      <c r="F453" s="91" t="n"/>
      <c r="G453" s="91" t="n"/>
      <c r="H453" s="91" t="n"/>
      <c r="I453" s="91" t="n"/>
      <c r="J453" s="91" t="n"/>
      <c r="K453" s="91" t="n"/>
      <c r="L453" s="91" t="n"/>
      <c r="M453" s="91" t="n"/>
      <c r="N453" s="91" t="n"/>
      <c r="O453" s="91" t="n"/>
      <c r="P453" s="91" t="n"/>
      <c r="Q453" s="91" t="n"/>
      <c r="R453" s="91" t="n"/>
      <c r="S453" s="91" t="n"/>
      <c r="T453" s="91" t="n"/>
      <c r="U453" s="91" t="n"/>
      <c r="V453" s="91" t="n"/>
      <c r="W453" s="91" t="n"/>
      <c r="X453" s="91" t="n"/>
      <c r="Y453" s="91" t="n"/>
      <c r="Z453" s="91" t="n"/>
      <c r="AA453" s="91" t="n"/>
      <c r="AB453" s="91" t="n"/>
      <c r="AC453" s="91" t="n"/>
      <c r="AD453" s="91" t="n"/>
      <c r="AE453" s="91" t="n"/>
      <c r="AF453" s="91" t="n"/>
      <c r="AG453" s="91" t="n"/>
    </row>
    <row r="454" ht="12.75" customHeight="1" s="117">
      <c r="A454" s="91" t="n"/>
      <c r="B454" s="91" t="n"/>
      <c r="C454" s="91" t="n"/>
      <c r="D454" s="91" t="n"/>
      <c r="E454" s="91" t="n"/>
      <c r="F454" s="91" t="n"/>
      <c r="G454" s="91" t="n"/>
      <c r="H454" s="91" t="n"/>
      <c r="I454" s="91" t="n"/>
      <c r="J454" s="91" t="n"/>
      <c r="K454" s="91" t="n"/>
      <c r="L454" s="91" t="n"/>
      <c r="M454" s="91" t="n"/>
      <c r="N454" s="91" t="n"/>
      <c r="O454" s="91" t="n"/>
      <c r="P454" s="91" t="n"/>
      <c r="Q454" s="91" t="n"/>
      <c r="R454" s="91" t="n"/>
      <c r="S454" s="91" t="n"/>
      <c r="T454" s="91" t="n"/>
      <c r="U454" s="91" t="n"/>
      <c r="V454" s="91" t="n"/>
      <c r="W454" s="91" t="n"/>
      <c r="X454" s="91" t="n"/>
      <c r="Y454" s="91" t="n"/>
      <c r="Z454" s="91" t="n"/>
      <c r="AA454" s="91" t="n"/>
      <c r="AB454" s="91" t="n"/>
      <c r="AC454" s="91" t="n"/>
      <c r="AD454" s="91" t="n"/>
      <c r="AE454" s="91" t="n"/>
      <c r="AF454" s="91" t="n"/>
      <c r="AG454" s="91" t="n"/>
    </row>
    <row r="455" ht="12.75" customHeight="1" s="117">
      <c r="A455" s="91" t="n"/>
      <c r="B455" s="91" t="n"/>
      <c r="C455" s="91" t="n"/>
      <c r="D455" s="91" t="n"/>
      <c r="E455" s="91" t="n"/>
      <c r="F455" s="91" t="n"/>
      <c r="G455" s="91" t="n"/>
      <c r="H455" s="91" t="n"/>
      <c r="I455" s="91" t="n"/>
      <c r="J455" s="91" t="n"/>
      <c r="K455" s="91" t="n"/>
      <c r="L455" s="91" t="n"/>
      <c r="M455" s="91" t="n"/>
      <c r="N455" s="91" t="n"/>
      <c r="O455" s="91" t="n"/>
      <c r="P455" s="91" t="n"/>
      <c r="Q455" s="91" t="n"/>
      <c r="R455" s="91" t="n"/>
      <c r="S455" s="91" t="n"/>
      <c r="T455" s="91" t="n"/>
      <c r="U455" s="91" t="n"/>
      <c r="V455" s="91" t="n"/>
      <c r="W455" s="91" t="n"/>
      <c r="X455" s="91" t="n"/>
      <c r="Y455" s="91" t="n"/>
      <c r="Z455" s="91" t="n"/>
      <c r="AA455" s="91" t="n"/>
      <c r="AB455" s="91" t="n"/>
      <c r="AC455" s="91" t="n"/>
      <c r="AD455" s="91" t="n"/>
      <c r="AE455" s="91" t="n"/>
      <c r="AF455" s="91" t="n"/>
      <c r="AG455" s="91" t="n"/>
    </row>
    <row r="456" ht="12.75" customHeight="1" s="117">
      <c r="A456" s="91" t="n"/>
      <c r="B456" s="91" t="n"/>
      <c r="C456" s="91" t="n"/>
      <c r="D456" s="91" t="n"/>
      <c r="E456" s="91" t="n"/>
      <c r="F456" s="91" t="n"/>
      <c r="G456" s="91" t="n"/>
      <c r="H456" s="91" t="n"/>
      <c r="I456" s="91" t="n"/>
      <c r="J456" s="91" t="n"/>
      <c r="K456" s="91" t="n"/>
      <c r="L456" s="91" t="n"/>
      <c r="M456" s="91" t="n"/>
      <c r="N456" s="91" t="n"/>
      <c r="O456" s="91" t="n"/>
      <c r="P456" s="91" t="n"/>
      <c r="Q456" s="91" t="n"/>
      <c r="R456" s="91" t="n"/>
      <c r="S456" s="91" t="n"/>
      <c r="T456" s="91" t="n"/>
      <c r="U456" s="91" t="n"/>
      <c r="V456" s="91" t="n"/>
      <c r="W456" s="91" t="n"/>
      <c r="X456" s="91" t="n"/>
      <c r="Y456" s="91" t="n"/>
      <c r="Z456" s="91" t="n"/>
      <c r="AA456" s="91" t="n"/>
      <c r="AB456" s="91" t="n"/>
      <c r="AC456" s="91" t="n"/>
      <c r="AD456" s="91" t="n"/>
      <c r="AE456" s="91" t="n"/>
      <c r="AF456" s="91" t="n"/>
      <c r="AG456" s="91" t="n"/>
    </row>
    <row r="457" ht="12.75" customHeight="1" s="117">
      <c r="A457" s="91" t="n"/>
      <c r="B457" s="91" t="n"/>
      <c r="C457" s="91" t="n"/>
      <c r="D457" s="91" t="n"/>
      <c r="E457" s="91" t="n"/>
      <c r="F457" s="91" t="n"/>
      <c r="G457" s="91" t="n"/>
      <c r="H457" s="91" t="n"/>
      <c r="I457" s="91" t="n"/>
      <c r="J457" s="91" t="n"/>
      <c r="K457" s="91" t="n"/>
      <c r="L457" s="91" t="n"/>
      <c r="M457" s="91" t="n"/>
      <c r="N457" s="91" t="n"/>
      <c r="O457" s="91" t="n"/>
      <c r="P457" s="91" t="n"/>
      <c r="Q457" s="91" t="n"/>
      <c r="R457" s="91" t="n"/>
      <c r="S457" s="91" t="n"/>
      <c r="T457" s="91" t="n"/>
      <c r="U457" s="91" t="n"/>
      <c r="V457" s="91" t="n"/>
      <c r="W457" s="91" t="n"/>
      <c r="X457" s="91" t="n"/>
      <c r="Y457" s="91" t="n"/>
      <c r="Z457" s="91" t="n"/>
      <c r="AA457" s="91" t="n"/>
      <c r="AB457" s="91" t="n"/>
      <c r="AC457" s="91" t="n"/>
      <c r="AD457" s="91" t="n"/>
      <c r="AE457" s="91" t="n"/>
      <c r="AF457" s="91" t="n"/>
      <c r="AG457" s="91" t="n"/>
    </row>
    <row r="458" ht="12.75" customHeight="1" s="117">
      <c r="A458" s="91" t="n"/>
      <c r="B458" s="91" t="n"/>
      <c r="C458" s="91" t="n"/>
      <c r="D458" s="91" t="n"/>
      <c r="E458" s="91" t="n"/>
      <c r="F458" s="91" t="n"/>
      <c r="G458" s="91" t="n"/>
      <c r="H458" s="91" t="n"/>
      <c r="I458" s="91" t="n"/>
      <c r="J458" s="91" t="n"/>
      <c r="K458" s="91" t="n"/>
      <c r="L458" s="91" t="n"/>
      <c r="M458" s="91" t="n"/>
      <c r="N458" s="91" t="n"/>
      <c r="O458" s="91" t="n"/>
      <c r="P458" s="91" t="n"/>
      <c r="Q458" s="91" t="n"/>
      <c r="R458" s="91" t="n"/>
      <c r="S458" s="91" t="n"/>
      <c r="T458" s="91" t="n"/>
      <c r="U458" s="91" t="n"/>
      <c r="V458" s="91" t="n"/>
      <c r="W458" s="91" t="n"/>
      <c r="X458" s="91" t="n"/>
      <c r="Y458" s="91" t="n"/>
      <c r="Z458" s="91" t="n"/>
      <c r="AA458" s="91" t="n"/>
      <c r="AB458" s="91" t="n"/>
      <c r="AC458" s="91" t="n"/>
      <c r="AD458" s="91" t="n"/>
      <c r="AE458" s="91" t="n"/>
      <c r="AF458" s="91" t="n"/>
      <c r="AG458" s="91" t="n"/>
    </row>
    <row r="459" ht="12.75" customHeight="1" s="117">
      <c r="A459" s="91" t="n"/>
      <c r="B459" s="91" t="n"/>
      <c r="C459" s="91" t="n"/>
      <c r="D459" s="91" t="n"/>
      <c r="E459" s="91" t="n"/>
      <c r="F459" s="91" t="n"/>
      <c r="G459" s="91" t="n"/>
      <c r="H459" s="91" t="n"/>
      <c r="I459" s="91" t="n"/>
      <c r="J459" s="91" t="n"/>
      <c r="K459" s="91" t="n"/>
      <c r="L459" s="91" t="n"/>
      <c r="M459" s="91" t="n"/>
      <c r="N459" s="91" t="n"/>
      <c r="O459" s="91" t="n"/>
      <c r="P459" s="91" t="n"/>
      <c r="Q459" s="91" t="n"/>
      <c r="R459" s="91" t="n"/>
      <c r="S459" s="91" t="n"/>
      <c r="T459" s="91" t="n"/>
      <c r="U459" s="91" t="n"/>
      <c r="V459" s="91" t="n"/>
      <c r="W459" s="91" t="n"/>
      <c r="X459" s="91" t="n"/>
      <c r="Y459" s="91" t="n"/>
      <c r="Z459" s="91" t="n"/>
      <c r="AA459" s="91" t="n"/>
      <c r="AB459" s="91" t="n"/>
      <c r="AC459" s="91" t="n"/>
      <c r="AD459" s="91" t="n"/>
      <c r="AE459" s="91" t="n"/>
      <c r="AF459" s="91" t="n"/>
      <c r="AG459" s="91" t="n"/>
    </row>
    <row r="460" ht="12.75" customHeight="1" s="117">
      <c r="A460" s="91" t="n"/>
      <c r="B460" s="91" t="n"/>
      <c r="C460" s="91" t="n"/>
      <c r="D460" s="91" t="n"/>
      <c r="E460" s="91" t="n"/>
      <c r="F460" s="91" t="n"/>
      <c r="G460" s="91" t="n"/>
      <c r="H460" s="91" t="n"/>
      <c r="I460" s="91" t="n"/>
      <c r="J460" s="91" t="n"/>
      <c r="K460" s="91" t="n"/>
      <c r="L460" s="91" t="n"/>
      <c r="M460" s="91" t="n"/>
      <c r="N460" s="91" t="n"/>
      <c r="O460" s="91" t="n"/>
      <c r="P460" s="91" t="n"/>
      <c r="Q460" s="91" t="n"/>
      <c r="R460" s="91" t="n"/>
      <c r="S460" s="91" t="n"/>
      <c r="T460" s="91" t="n"/>
      <c r="U460" s="91" t="n"/>
      <c r="V460" s="91" t="n"/>
      <c r="W460" s="91" t="n"/>
      <c r="X460" s="91" t="n"/>
      <c r="Y460" s="91" t="n"/>
      <c r="Z460" s="91" t="n"/>
      <c r="AA460" s="91" t="n"/>
      <c r="AB460" s="91" t="n"/>
      <c r="AC460" s="91" t="n"/>
      <c r="AD460" s="91" t="n"/>
      <c r="AE460" s="91" t="n"/>
      <c r="AF460" s="91" t="n"/>
      <c r="AG460" s="91" t="n"/>
    </row>
    <row r="461" ht="12.75" customHeight="1" s="117">
      <c r="A461" s="91" t="n"/>
      <c r="B461" s="91" t="n"/>
      <c r="C461" s="91" t="n"/>
      <c r="D461" s="91" t="n"/>
      <c r="E461" s="91" t="n"/>
      <c r="F461" s="91" t="n"/>
      <c r="G461" s="91" t="n"/>
      <c r="H461" s="91" t="n"/>
      <c r="I461" s="91" t="n"/>
      <c r="J461" s="91" t="n"/>
      <c r="K461" s="91" t="n"/>
      <c r="L461" s="91" t="n"/>
      <c r="M461" s="91" t="n"/>
      <c r="N461" s="91" t="n"/>
      <c r="O461" s="91" t="n"/>
      <c r="P461" s="91" t="n"/>
      <c r="Q461" s="91" t="n"/>
      <c r="R461" s="91" t="n"/>
      <c r="S461" s="91" t="n"/>
      <c r="T461" s="91" t="n"/>
      <c r="U461" s="91" t="n"/>
      <c r="V461" s="91" t="n"/>
      <c r="W461" s="91" t="n"/>
      <c r="X461" s="91" t="n"/>
      <c r="Y461" s="91" t="n"/>
      <c r="Z461" s="91" t="n"/>
      <c r="AA461" s="91" t="n"/>
      <c r="AB461" s="91" t="n"/>
      <c r="AC461" s="91" t="n"/>
      <c r="AD461" s="91" t="n"/>
      <c r="AE461" s="91" t="n"/>
      <c r="AF461" s="91" t="n"/>
      <c r="AG461" s="91" t="n"/>
    </row>
    <row r="462" ht="12.75" customHeight="1" s="117">
      <c r="A462" s="91" t="n"/>
      <c r="B462" s="91" t="n"/>
      <c r="C462" s="91" t="n"/>
      <c r="D462" s="91" t="n"/>
      <c r="E462" s="91" t="n"/>
      <c r="F462" s="91" t="n"/>
      <c r="G462" s="91" t="n"/>
      <c r="H462" s="91" t="n"/>
      <c r="I462" s="91" t="n"/>
      <c r="J462" s="91" t="n"/>
      <c r="K462" s="91" t="n"/>
      <c r="L462" s="91" t="n"/>
      <c r="M462" s="91" t="n"/>
      <c r="N462" s="91" t="n"/>
      <c r="O462" s="91" t="n"/>
      <c r="P462" s="91" t="n"/>
      <c r="Q462" s="91" t="n"/>
      <c r="R462" s="91" t="n"/>
      <c r="S462" s="91" t="n"/>
      <c r="T462" s="91" t="n"/>
      <c r="U462" s="91" t="n"/>
      <c r="V462" s="91" t="n"/>
      <c r="W462" s="91" t="n"/>
      <c r="X462" s="91" t="n"/>
      <c r="Y462" s="91" t="n"/>
      <c r="Z462" s="91" t="n"/>
      <c r="AA462" s="91" t="n"/>
      <c r="AB462" s="91" t="n"/>
      <c r="AC462" s="91" t="n"/>
      <c r="AD462" s="91" t="n"/>
      <c r="AE462" s="91" t="n"/>
      <c r="AF462" s="91" t="n"/>
      <c r="AG462" s="91" t="n"/>
    </row>
    <row r="463" ht="12.75" customHeight="1" s="117">
      <c r="A463" s="91" t="n"/>
      <c r="B463" s="91" t="n"/>
      <c r="C463" s="91" t="n"/>
      <c r="D463" s="91" t="n"/>
      <c r="E463" s="91" t="n"/>
      <c r="F463" s="91" t="n"/>
      <c r="G463" s="91" t="n"/>
      <c r="H463" s="91" t="n"/>
      <c r="I463" s="91" t="n"/>
      <c r="J463" s="91" t="n"/>
      <c r="K463" s="91" t="n"/>
      <c r="L463" s="91" t="n"/>
      <c r="M463" s="91" t="n"/>
      <c r="N463" s="91" t="n"/>
      <c r="O463" s="91" t="n"/>
      <c r="P463" s="91" t="n"/>
      <c r="Q463" s="91" t="n"/>
      <c r="R463" s="91" t="n"/>
      <c r="S463" s="91" t="n"/>
      <c r="T463" s="91" t="n"/>
      <c r="U463" s="91" t="n"/>
      <c r="V463" s="91" t="n"/>
      <c r="W463" s="91" t="n"/>
      <c r="X463" s="91" t="n"/>
      <c r="Y463" s="91" t="n"/>
      <c r="Z463" s="91" t="n"/>
      <c r="AA463" s="91" t="n"/>
      <c r="AB463" s="91" t="n"/>
      <c r="AC463" s="91" t="n"/>
      <c r="AD463" s="91" t="n"/>
      <c r="AE463" s="91" t="n"/>
      <c r="AF463" s="91" t="n"/>
      <c r="AG463" s="91" t="n"/>
    </row>
    <row r="464" ht="12.75" customHeight="1" s="117">
      <c r="A464" s="91" t="n"/>
      <c r="B464" s="91" t="n"/>
      <c r="C464" s="91" t="n"/>
      <c r="D464" s="91" t="n"/>
      <c r="E464" s="91" t="n"/>
      <c r="F464" s="91" t="n"/>
      <c r="G464" s="91" t="n"/>
      <c r="H464" s="91" t="n"/>
      <c r="I464" s="91" t="n"/>
      <c r="J464" s="91" t="n"/>
      <c r="K464" s="91" t="n"/>
      <c r="L464" s="91" t="n"/>
      <c r="M464" s="91" t="n"/>
      <c r="N464" s="91" t="n"/>
      <c r="O464" s="91" t="n"/>
      <c r="P464" s="91" t="n"/>
      <c r="Q464" s="91" t="n"/>
      <c r="R464" s="91" t="n"/>
      <c r="S464" s="91" t="n"/>
      <c r="T464" s="91" t="n"/>
      <c r="U464" s="91" t="n"/>
      <c r="V464" s="91" t="n"/>
      <c r="W464" s="91" t="n"/>
      <c r="X464" s="91" t="n"/>
      <c r="Y464" s="91" t="n"/>
      <c r="Z464" s="91" t="n"/>
      <c r="AA464" s="91" t="n"/>
      <c r="AB464" s="91" t="n"/>
      <c r="AC464" s="91" t="n"/>
      <c r="AD464" s="91" t="n"/>
      <c r="AE464" s="91" t="n"/>
      <c r="AF464" s="91" t="n"/>
      <c r="AG464" s="91" t="n"/>
    </row>
    <row r="465" ht="12.75" customHeight="1" s="117">
      <c r="A465" s="91" t="n"/>
      <c r="B465" s="91" t="n"/>
      <c r="C465" s="91" t="n"/>
      <c r="D465" s="91" t="n"/>
      <c r="E465" s="91" t="n"/>
      <c r="F465" s="91" t="n"/>
      <c r="G465" s="91" t="n"/>
      <c r="H465" s="91" t="n"/>
      <c r="I465" s="91" t="n"/>
      <c r="J465" s="91" t="n"/>
      <c r="K465" s="91" t="n"/>
      <c r="L465" s="91" t="n"/>
      <c r="M465" s="91" t="n"/>
      <c r="N465" s="91" t="n"/>
      <c r="O465" s="91" t="n"/>
      <c r="P465" s="91" t="n"/>
      <c r="Q465" s="91" t="n"/>
      <c r="R465" s="91" t="n"/>
      <c r="S465" s="91" t="n"/>
      <c r="T465" s="91" t="n"/>
      <c r="U465" s="91" t="n"/>
      <c r="V465" s="91" t="n"/>
      <c r="W465" s="91" t="n"/>
      <c r="X465" s="91" t="n"/>
      <c r="Y465" s="91" t="n"/>
      <c r="Z465" s="91" t="n"/>
      <c r="AA465" s="91" t="n"/>
      <c r="AB465" s="91" t="n"/>
      <c r="AC465" s="91" t="n"/>
      <c r="AD465" s="91" t="n"/>
      <c r="AE465" s="91" t="n"/>
      <c r="AF465" s="91" t="n"/>
      <c r="AG465" s="91" t="n"/>
    </row>
    <row r="466" ht="12.75" customHeight="1" s="117">
      <c r="A466" s="91" t="n"/>
      <c r="B466" s="91" t="n"/>
      <c r="C466" s="91" t="n"/>
      <c r="D466" s="91" t="n"/>
      <c r="E466" s="91" t="n"/>
      <c r="F466" s="91" t="n"/>
      <c r="G466" s="91" t="n"/>
      <c r="H466" s="91" t="n"/>
      <c r="I466" s="91" t="n"/>
      <c r="J466" s="91" t="n"/>
      <c r="K466" s="91" t="n"/>
      <c r="L466" s="91" t="n"/>
      <c r="M466" s="91" t="n"/>
      <c r="N466" s="91" t="n"/>
      <c r="O466" s="91" t="n"/>
      <c r="P466" s="91" t="n"/>
      <c r="Q466" s="91" t="n"/>
      <c r="R466" s="91" t="n"/>
      <c r="S466" s="91" t="n"/>
      <c r="T466" s="91" t="n"/>
      <c r="U466" s="91" t="n"/>
      <c r="V466" s="91" t="n"/>
      <c r="W466" s="91" t="n"/>
      <c r="X466" s="91" t="n"/>
      <c r="Y466" s="91" t="n"/>
      <c r="Z466" s="91" t="n"/>
      <c r="AA466" s="91" t="n"/>
      <c r="AB466" s="91" t="n"/>
      <c r="AC466" s="91" t="n"/>
      <c r="AD466" s="91" t="n"/>
      <c r="AE466" s="91" t="n"/>
      <c r="AF466" s="91" t="n"/>
      <c r="AG466" s="91" t="n"/>
    </row>
    <row r="467" ht="12.75" customHeight="1" s="117">
      <c r="A467" s="91" t="n"/>
      <c r="B467" s="91" t="n"/>
      <c r="C467" s="91" t="n"/>
      <c r="D467" s="91" t="n"/>
      <c r="E467" s="91" t="n"/>
      <c r="F467" s="91" t="n"/>
      <c r="G467" s="91" t="n"/>
      <c r="H467" s="91" t="n"/>
      <c r="I467" s="91" t="n"/>
      <c r="J467" s="91" t="n"/>
      <c r="K467" s="91" t="n"/>
      <c r="L467" s="91" t="n"/>
      <c r="M467" s="91" t="n"/>
      <c r="N467" s="91" t="n"/>
      <c r="O467" s="91" t="n"/>
      <c r="P467" s="91" t="n"/>
      <c r="Q467" s="91" t="n"/>
      <c r="R467" s="91" t="n"/>
      <c r="S467" s="91" t="n"/>
      <c r="T467" s="91" t="n"/>
      <c r="U467" s="91" t="n"/>
      <c r="V467" s="91" t="n"/>
      <c r="W467" s="91" t="n"/>
      <c r="X467" s="91" t="n"/>
      <c r="Y467" s="91" t="n"/>
      <c r="Z467" s="91" t="n"/>
      <c r="AA467" s="91" t="n"/>
      <c r="AB467" s="91" t="n"/>
      <c r="AC467" s="91" t="n"/>
      <c r="AD467" s="91" t="n"/>
      <c r="AE467" s="91" t="n"/>
      <c r="AF467" s="91" t="n"/>
      <c r="AG467" s="91" t="n"/>
    </row>
    <row r="468" ht="12.75" customHeight="1" s="117">
      <c r="A468" s="91" t="n"/>
      <c r="B468" s="91" t="n"/>
      <c r="C468" s="91" t="n"/>
      <c r="D468" s="91" t="n"/>
      <c r="E468" s="91" t="n"/>
      <c r="F468" s="91" t="n"/>
      <c r="G468" s="91" t="n"/>
      <c r="H468" s="91" t="n"/>
      <c r="I468" s="91" t="n"/>
      <c r="J468" s="91" t="n"/>
      <c r="K468" s="91" t="n"/>
      <c r="L468" s="91" t="n"/>
      <c r="M468" s="91" t="n"/>
      <c r="N468" s="91" t="n"/>
      <c r="O468" s="91" t="n"/>
      <c r="P468" s="91" t="n"/>
      <c r="Q468" s="91" t="n"/>
      <c r="R468" s="91" t="n"/>
      <c r="S468" s="91" t="n"/>
      <c r="T468" s="91" t="n"/>
      <c r="U468" s="91" t="n"/>
      <c r="V468" s="91" t="n"/>
      <c r="W468" s="91" t="n"/>
      <c r="X468" s="91" t="n"/>
      <c r="Y468" s="91" t="n"/>
      <c r="Z468" s="91" t="n"/>
      <c r="AA468" s="91" t="n"/>
      <c r="AB468" s="91" t="n"/>
      <c r="AC468" s="91" t="n"/>
      <c r="AD468" s="91" t="n"/>
      <c r="AE468" s="91" t="n"/>
      <c r="AF468" s="91" t="n"/>
      <c r="AG468" s="91" t="n"/>
    </row>
    <row r="469" ht="12.75" customHeight="1" s="117">
      <c r="A469" s="91" t="n"/>
      <c r="B469" s="91" t="n"/>
      <c r="C469" s="91" t="n"/>
      <c r="D469" s="91" t="n"/>
      <c r="E469" s="91" t="n"/>
      <c r="F469" s="91" t="n"/>
      <c r="G469" s="91" t="n"/>
      <c r="H469" s="91" t="n"/>
      <c r="I469" s="91" t="n"/>
      <c r="J469" s="91" t="n"/>
      <c r="K469" s="91" t="n"/>
      <c r="L469" s="91" t="n"/>
      <c r="M469" s="91" t="n"/>
      <c r="N469" s="91" t="n"/>
      <c r="O469" s="91" t="n"/>
      <c r="P469" s="91" t="n"/>
      <c r="Q469" s="91" t="n"/>
      <c r="R469" s="91" t="n"/>
      <c r="S469" s="91" t="n"/>
      <c r="T469" s="91" t="n"/>
      <c r="U469" s="91" t="n"/>
      <c r="V469" s="91" t="n"/>
      <c r="W469" s="91" t="n"/>
      <c r="X469" s="91" t="n"/>
      <c r="Y469" s="91" t="n"/>
      <c r="Z469" s="91" t="n"/>
      <c r="AA469" s="91" t="n"/>
      <c r="AB469" s="91" t="n"/>
      <c r="AC469" s="91" t="n"/>
      <c r="AD469" s="91" t="n"/>
      <c r="AE469" s="91" t="n"/>
      <c r="AF469" s="91" t="n"/>
      <c r="AG469" s="91" t="n"/>
    </row>
    <row r="470" ht="12.75" customHeight="1" s="117">
      <c r="A470" s="91" t="n"/>
      <c r="B470" s="91" t="n"/>
      <c r="C470" s="91" t="n"/>
      <c r="D470" s="91" t="n"/>
      <c r="E470" s="91" t="n"/>
      <c r="F470" s="91" t="n"/>
      <c r="G470" s="91" t="n"/>
      <c r="H470" s="91" t="n"/>
      <c r="I470" s="91" t="n"/>
      <c r="J470" s="91" t="n"/>
      <c r="K470" s="91" t="n"/>
      <c r="L470" s="91" t="n"/>
      <c r="M470" s="91" t="n"/>
      <c r="N470" s="91" t="n"/>
      <c r="O470" s="91" t="n"/>
      <c r="P470" s="91" t="n"/>
      <c r="Q470" s="91" t="n"/>
      <c r="R470" s="91" t="n"/>
      <c r="S470" s="91" t="n"/>
      <c r="T470" s="91" t="n"/>
      <c r="U470" s="91" t="n"/>
      <c r="V470" s="91" t="n"/>
      <c r="W470" s="91" t="n"/>
      <c r="X470" s="91" t="n"/>
      <c r="Y470" s="91" t="n"/>
      <c r="Z470" s="91" t="n"/>
      <c r="AA470" s="91" t="n"/>
      <c r="AB470" s="91" t="n"/>
      <c r="AC470" s="91" t="n"/>
      <c r="AD470" s="91" t="n"/>
      <c r="AE470" s="91" t="n"/>
      <c r="AF470" s="91" t="n"/>
      <c r="AG470" s="91" t="n"/>
    </row>
    <row r="471" ht="12.75" customHeight="1" s="117">
      <c r="A471" s="91" t="n"/>
      <c r="B471" s="91" t="n"/>
      <c r="C471" s="91" t="n"/>
      <c r="D471" s="91" t="n"/>
      <c r="E471" s="91" t="n"/>
      <c r="F471" s="91" t="n"/>
      <c r="G471" s="91" t="n"/>
      <c r="H471" s="91" t="n"/>
      <c r="I471" s="91" t="n"/>
      <c r="J471" s="91" t="n"/>
      <c r="K471" s="91" t="n"/>
      <c r="L471" s="91" t="n"/>
      <c r="M471" s="91" t="n"/>
      <c r="N471" s="91" t="n"/>
      <c r="O471" s="91" t="n"/>
      <c r="P471" s="91" t="n"/>
      <c r="Q471" s="91" t="n"/>
      <c r="R471" s="91" t="n"/>
      <c r="S471" s="91" t="n"/>
      <c r="T471" s="91" t="n"/>
      <c r="U471" s="91" t="n"/>
      <c r="V471" s="91" t="n"/>
      <c r="W471" s="91" t="n"/>
      <c r="X471" s="91" t="n"/>
      <c r="Y471" s="91" t="n"/>
      <c r="Z471" s="91" t="n"/>
      <c r="AA471" s="91" t="n"/>
      <c r="AB471" s="91" t="n"/>
      <c r="AC471" s="91" t="n"/>
      <c r="AD471" s="91" t="n"/>
      <c r="AE471" s="91" t="n"/>
      <c r="AF471" s="91" t="n"/>
      <c r="AG471" s="91" t="n"/>
    </row>
    <row r="472" ht="12.75" customHeight="1" s="117">
      <c r="A472" s="91" t="n"/>
      <c r="B472" s="91" t="n"/>
      <c r="C472" s="91" t="n"/>
      <c r="D472" s="91" t="n"/>
      <c r="E472" s="91" t="n"/>
      <c r="F472" s="91" t="n"/>
      <c r="G472" s="91" t="n"/>
      <c r="H472" s="91" t="n"/>
      <c r="I472" s="91" t="n"/>
      <c r="J472" s="91" t="n"/>
      <c r="K472" s="91" t="n"/>
      <c r="L472" s="91" t="n"/>
      <c r="M472" s="91" t="n"/>
      <c r="N472" s="91" t="n"/>
      <c r="O472" s="91" t="n"/>
      <c r="P472" s="91" t="n"/>
      <c r="Q472" s="91" t="n"/>
      <c r="R472" s="91" t="n"/>
      <c r="S472" s="91" t="n"/>
      <c r="T472" s="91" t="n"/>
      <c r="U472" s="91" t="n"/>
      <c r="V472" s="91" t="n"/>
      <c r="W472" s="91" t="n"/>
      <c r="X472" s="91" t="n"/>
      <c r="Y472" s="91" t="n"/>
      <c r="Z472" s="91" t="n"/>
      <c r="AA472" s="91" t="n"/>
      <c r="AB472" s="91" t="n"/>
      <c r="AC472" s="91" t="n"/>
      <c r="AD472" s="91" t="n"/>
      <c r="AE472" s="91" t="n"/>
      <c r="AF472" s="91" t="n"/>
      <c r="AG472" s="91" t="n"/>
    </row>
    <row r="473" ht="12.75" customHeight="1" s="117">
      <c r="A473" s="91" t="n"/>
      <c r="B473" s="91" t="n"/>
      <c r="C473" s="91" t="n"/>
      <c r="D473" s="91" t="n"/>
      <c r="E473" s="91" t="n"/>
      <c r="F473" s="91" t="n"/>
      <c r="G473" s="91" t="n"/>
      <c r="H473" s="91" t="n"/>
      <c r="I473" s="91" t="n"/>
      <c r="J473" s="91" t="n"/>
      <c r="K473" s="91" t="n"/>
      <c r="L473" s="91" t="n"/>
      <c r="M473" s="91" t="n"/>
      <c r="N473" s="91" t="n"/>
      <c r="O473" s="91" t="n"/>
      <c r="P473" s="91" t="n"/>
      <c r="Q473" s="91" t="n"/>
      <c r="R473" s="91" t="n"/>
      <c r="S473" s="91" t="n"/>
      <c r="T473" s="91" t="n"/>
      <c r="U473" s="91" t="n"/>
      <c r="V473" s="91" t="n"/>
      <c r="W473" s="91" t="n"/>
      <c r="X473" s="91" t="n"/>
      <c r="Y473" s="91" t="n"/>
      <c r="Z473" s="91" t="n"/>
      <c r="AA473" s="91" t="n"/>
      <c r="AB473" s="91" t="n"/>
      <c r="AC473" s="91" t="n"/>
      <c r="AD473" s="91" t="n"/>
      <c r="AE473" s="91" t="n"/>
      <c r="AF473" s="91" t="n"/>
      <c r="AG473" s="91" t="n"/>
    </row>
    <row r="474" ht="12.75" customHeight="1" s="117">
      <c r="A474" s="91" t="n"/>
      <c r="B474" s="91" t="n"/>
      <c r="C474" s="91" t="n"/>
      <c r="D474" s="91" t="n"/>
      <c r="E474" s="91" t="n"/>
      <c r="F474" s="91" t="n"/>
      <c r="G474" s="91" t="n"/>
      <c r="H474" s="91" t="n"/>
      <c r="I474" s="91" t="n"/>
      <c r="J474" s="91" t="n"/>
      <c r="K474" s="91" t="n"/>
      <c r="L474" s="91" t="n"/>
      <c r="M474" s="91" t="n"/>
      <c r="N474" s="91" t="n"/>
      <c r="O474" s="91" t="n"/>
      <c r="P474" s="91" t="n"/>
      <c r="Q474" s="91" t="n"/>
      <c r="R474" s="91" t="n"/>
      <c r="S474" s="91" t="n"/>
      <c r="T474" s="91" t="n"/>
      <c r="U474" s="91" t="n"/>
      <c r="V474" s="91" t="n"/>
      <c r="W474" s="91" t="n"/>
      <c r="X474" s="91" t="n"/>
      <c r="Y474" s="91" t="n"/>
      <c r="Z474" s="91" t="n"/>
      <c r="AA474" s="91" t="n"/>
      <c r="AB474" s="91" t="n"/>
      <c r="AC474" s="91" t="n"/>
      <c r="AD474" s="91" t="n"/>
      <c r="AE474" s="91" t="n"/>
      <c r="AF474" s="91" t="n"/>
      <c r="AG474" s="91" t="n"/>
    </row>
    <row r="475" ht="12.75" customHeight="1" s="117">
      <c r="A475" s="91" t="n"/>
      <c r="B475" s="91" t="n"/>
      <c r="C475" s="91" t="n"/>
      <c r="D475" s="91" t="n"/>
      <c r="E475" s="91" t="n"/>
      <c r="F475" s="91" t="n"/>
      <c r="G475" s="91" t="n"/>
      <c r="H475" s="91" t="n"/>
      <c r="I475" s="91" t="n"/>
      <c r="J475" s="91" t="n"/>
      <c r="K475" s="91" t="n"/>
      <c r="L475" s="91" t="n"/>
      <c r="M475" s="91" t="n"/>
      <c r="N475" s="91" t="n"/>
      <c r="O475" s="91" t="n"/>
      <c r="P475" s="91" t="n"/>
      <c r="Q475" s="91" t="n"/>
      <c r="R475" s="91" t="n"/>
      <c r="S475" s="91" t="n"/>
      <c r="T475" s="91" t="n"/>
      <c r="U475" s="91" t="n"/>
      <c r="V475" s="91" t="n"/>
      <c r="W475" s="91" t="n"/>
      <c r="X475" s="91" t="n"/>
      <c r="Y475" s="91" t="n"/>
      <c r="Z475" s="91" t="n"/>
      <c r="AA475" s="91" t="n"/>
      <c r="AB475" s="91" t="n"/>
      <c r="AC475" s="91" t="n"/>
      <c r="AD475" s="91" t="n"/>
      <c r="AE475" s="91" t="n"/>
      <c r="AF475" s="91" t="n"/>
      <c r="AG475" s="91" t="n"/>
    </row>
    <row r="476" ht="12.75" customHeight="1" s="117">
      <c r="A476" s="91" t="n"/>
      <c r="B476" s="91" t="n"/>
      <c r="C476" s="91" t="n"/>
      <c r="D476" s="91" t="n"/>
      <c r="E476" s="91" t="n"/>
      <c r="F476" s="91" t="n"/>
      <c r="G476" s="91" t="n"/>
      <c r="H476" s="91" t="n"/>
      <c r="I476" s="91" t="n"/>
      <c r="J476" s="91" t="n"/>
      <c r="K476" s="91" t="n"/>
      <c r="L476" s="91" t="n"/>
      <c r="M476" s="91" t="n"/>
      <c r="N476" s="91" t="n"/>
      <c r="O476" s="91" t="n"/>
      <c r="P476" s="91" t="n"/>
      <c r="Q476" s="91" t="n"/>
      <c r="R476" s="91" t="n"/>
      <c r="S476" s="91" t="n"/>
      <c r="T476" s="91" t="n"/>
      <c r="U476" s="91" t="n"/>
      <c r="V476" s="91" t="n"/>
      <c r="W476" s="91" t="n"/>
      <c r="X476" s="91" t="n"/>
      <c r="Y476" s="91" t="n"/>
      <c r="Z476" s="91" t="n"/>
      <c r="AA476" s="91" t="n"/>
      <c r="AB476" s="91" t="n"/>
      <c r="AC476" s="91" t="n"/>
      <c r="AD476" s="91" t="n"/>
      <c r="AE476" s="91" t="n"/>
      <c r="AF476" s="91" t="n"/>
      <c r="AG476" s="91" t="n"/>
    </row>
    <row r="477" ht="12.75" customHeight="1" s="117">
      <c r="A477" s="91" t="n"/>
      <c r="B477" s="91" t="n"/>
      <c r="C477" s="91" t="n"/>
      <c r="D477" s="91" t="n"/>
      <c r="E477" s="91" t="n"/>
      <c r="F477" s="91" t="n"/>
      <c r="G477" s="91" t="n"/>
      <c r="H477" s="91" t="n"/>
      <c r="I477" s="91" t="n"/>
      <c r="J477" s="91" t="n"/>
      <c r="K477" s="91" t="n"/>
      <c r="L477" s="91" t="n"/>
      <c r="M477" s="91" t="n"/>
      <c r="N477" s="91" t="n"/>
      <c r="O477" s="91" t="n"/>
      <c r="P477" s="91" t="n"/>
      <c r="Q477" s="91" t="n"/>
      <c r="R477" s="91" t="n"/>
      <c r="S477" s="91" t="n"/>
      <c r="T477" s="91" t="n"/>
      <c r="U477" s="91" t="n"/>
      <c r="V477" s="91" t="n"/>
      <c r="W477" s="91" t="n"/>
      <c r="X477" s="91" t="n"/>
      <c r="Y477" s="91" t="n"/>
      <c r="Z477" s="91" t="n"/>
      <c r="AA477" s="91" t="n"/>
      <c r="AB477" s="91" t="n"/>
      <c r="AC477" s="91" t="n"/>
      <c r="AD477" s="91" t="n"/>
      <c r="AE477" s="91" t="n"/>
      <c r="AF477" s="91" t="n"/>
      <c r="AG477" s="91" t="n"/>
    </row>
    <row r="478" ht="12.75" customHeight="1" s="117">
      <c r="A478" s="91" t="n"/>
      <c r="B478" s="91" t="n"/>
      <c r="C478" s="91" t="n"/>
      <c r="D478" s="91" t="n"/>
      <c r="E478" s="91" t="n"/>
      <c r="F478" s="91" t="n"/>
      <c r="G478" s="91" t="n"/>
      <c r="H478" s="91" t="n"/>
      <c r="I478" s="91" t="n"/>
      <c r="J478" s="91" t="n"/>
      <c r="K478" s="91" t="n"/>
      <c r="L478" s="91" t="n"/>
      <c r="M478" s="91" t="n"/>
      <c r="N478" s="91" t="n"/>
      <c r="O478" s="91" t="n"/>
      <c r="P478" s="91" t="n"/>
      <c r="Q478" s="91" t="n"/>
      <c r="R478" s="91" t="n"/>
      <c r="S478" s="91" t="n"/>
      <c r="T478" s="91" t="n"/>
      <c r="U478" s="91" t="n"/>
      <c r="V478" s="91" t="n"/>
      <c r="W478" s="91" t="n"/>
      <c r="X478" s="91" t="n"/>
      <c r="Y478" s="91" t="n"/>
      <c r="Z478" s="91" t="n"/>
      <c r="AA478" s="91" t="n"/>
      <c r="AB478" s="91" t="n"/>
      <c r="AC478" s="91" t="n"/>
      <c r="AD478" s="91" t="n"/>
      <c r="AE478" s="91" t="n"/>
      <c r="AF478" s="91" t="n"/>
      <c r="AG478" s="91" t="n"/>
    </row>
    <row r="479" ht="12.75" customHeight="1" s="117">
      <c r="A479" s="91" t="n"/>
      <c r="B479" s="91" t="n"/>
      <c r="C479" s="91" t="n"/>
      <c r="D479" s="91" t="n"/>
      <c r="E479" s="91" t="n"/>
      <c r="F479" s="91" t="n"/>
      <c r="G479" s="91" t="n"/>
      <c r="H479" s="91" t="n"/>
      <c r="I479" s="91" t="n"/>
      <c r="J479" s="91" t="n"/>
      <c r="K479" s="91" t="n"/>
      <c r="L479" s="91" t="n"/>
      <c r="M479" s="91" t="n"/>
      <c r="N479" s="91" t="n"/>
      <c r="O479" s="91" t="n"/>
      <c r="P479" s="91" t="n"/>
      <c r="Q479" s="91" t="n"/>
      <c r="R479" s="91" t="n"/>
      <c r="S479" s="91" t="n"/>
      <c r="T479" s="91" t="n"/>
      <c r="U479" s="91" t="n"/>
      <c r="V479" s="91" t="n"/>
      <c r="W479" s="91" t="n"/>
      <c r="X479" s="91" t="n"/>
      <c r="Y479" s="91" t="n"/>
      <c r="Z479" s="91" t="n"/>
      <c r="AA479" s="91" t="n"/>
      <c r="AB479" s="91" t="n"/>
      <c r="AC479" s="91" t="n"/>
      <c r="AD479" s="91" t="n"/>
      <c r="AE479" s="91" t="n"/>
      <c r="AF479" s="91" t="n"/>
      <c r="AG479" s="91" t="n"/>
    </row>
    <row r="480" ht="12.75" customHeight="1" s="117">
      <c r="A480" s="91" t="n"/>
      <c r="B480" s="91" t="n"/>
      <c r="C480" s="91" t="n"/>
      <c r="D480" s="91" t="n"/>
      <c r="E480" s="91" t="n"/>
      <c r="F480" s="91" t="n"/>
      <c r="G480" s="91" t="n"/>
      <c r="H480" s="91" t="n"/>
      <c r="I480" s="91" t="n"/>
      <c r="J480" s="91" t="n"/>
      <c r="K480" s="91" t="n"/>
      <c r="L480" s="91" t="n"/>
      <c r="M480" s="91" t="n"/>
      <c r="N480" s="91" t="n"/>
      <c r="O480" s="91" t="n"/>
      <c r="P480" s="91" t="n"/>
      <c r="Q480" s="91" t="n"/>
      <c r="R480" s="91" t="n"/>
      <c r="S480" s="91" t="n"/>
      <c r="T480" s="91" t="n"/>
      <c r="U480" s="91" t="n"/>
      <c r="V480" s="91" t="n"/>
      <c r="W480" s="91" t="n"/>
      <c r="X480" s="91" t="n"/>
      <c r="Y480" s="91" t="n"/>
      <c r="Z480" s="91" t="n"/>
      <c r="AA480" s="91" t="n"/>
      <c r="AB480" s="91" t="n"/>
      <c r="AC480" s="91" t="n"/>
      <c r="AD480" s="91" t="n"/>
      <c r="AE480" s="91" t="n"/>
      <c r="AF480" s="91" t="n"/>
      <c r="AG480" s="91" t="n"/>
    </row>
    <row r="481" ht="12.75" customHeight="1" s="117">
      <c r="A481" s="91" t="n"/>
      <c r="B481" s="91" t="n"/>
      <c r="C481" s="91" t="n"/>
      <c r="D481" s="91" t="n"/>
      <c r="E481" s="91" t="n"/>
      <c r="F481" s="91" t="n"/>
      <c r="G481" s="91" t="n"/>
      <c r="H481" s="91" t="n"/>
      <c r="I481" s="91" t="n"/>
      <c r="J481" s="91" t="n"/>
      <c r="K481" s="91" t="n"/>
      <c r="L481" s="91" t="n"/>
      <c r="M481" s="91" t="n"/>
      <c r="N481" s="91" t="n"/>
      <c r="O481" s="91" t="n"/>
      <c r="P481" s="91" t="n"/>
      <c r="Q481" s="91" t="n"/>
      <c r="R481" s="91" t="n"/>
      <c r="S481" s="91" t="n"/>
      <c r="T481" s="91" t="n"/>
      <c r="U481" s="91" t="n"/>
      <c r="V481" s="91" t="n"/>
      <c r="W481" s="91" t="n"/>
      <c r="X481" s="91" t="n"/>
      <c r="Y481" s="91" t="n"/>
      <c r="Z481" s="91" t="n"/>
      <c r="AA481" s="91" t="n"/>
      <c r="AB481" s="91" t="n"/>
      <c r="AC481" s="91" t="n"/>
      <c r="AD481" s="91" t="n"/>
      <c r="AE481" s="91" t="n"/>
      <c r="AF481" s="91" t="n"/>
      <c r="AG481" s="91" t="n"/>
    </row>
    <row r="482" ht="12.75" customHeight="1" s="117">
      <c r="A482" s="91" t="n"/>
      <c r="B482" s="91" t="n"/>
      <c r="C482" s="91" t="n"/>
      <c r="D482" s="91" t="n"/>
      <c r="E482" s="91" t="n"/>
      <c r="F482" s="91" t="n"/>
      <c r="G482" s="91" t="n"/>
      <c r="H482" s="91" t="n"/>
      <c r="I482" s="91" t="n"/>
      <c r="J482" s="91" t="n"/>
      <c r="K482" s="91" t="n"/>
      <c r="L482" s="91" t="n"/>
      <c r="M482" s="91" t="n"/>
      <c r="N482" s="91" t="n"/>
      <c r="O482" s="91" t="n"/>
      <c r="P482" s="91" t="n"/>
      <c r="Q482" s="91" t="n"/>
      <c r="R482" s="91" t="n"/>
      <c r="S482" s="91" t="n"/>
      <c r="T482" s="91" t="n"/>
      <c r="U482" s="91" t="n"/>
      <c r="V482" s="91" t="n"/>
      <c r="W482" s="91" t="n"/>
      <c r="X482" s="91" t="n"/>
      <c r="Y482" s="91" t="n"/>
      <c r="Z482" s="91" t="n"/>
      <c r="AA482" s="91" t="n"/>
      <c r="AB482" s="91" t="n"/>
      <c r="AC482" s="91" t="n"/>
      <c r="AD482" s="91" t="n"/>
      <c r="AE482" s="91" t="n"/>
      <c r="AF482" s="91" t="n"/>
      <c r="AG482" s="91" t="n"/>
    </row>
    <row r="483" ht="12.75" customHeight="1" s="117">
      <c r="A483" s="91" t="n"/>
      <c r="B483" s="91" t="n"/>
      <c r="C483" s="91" t="n"/>
      <c r="D483" s="91" t="n"/>
      <c r="E483" s="91" t="n"/>
      <c r="F483" s="91" t="n"/>
      <c r="G483" s="91" t="n"/>
      <c r="H483" s="91" t="n"/>
      <c r="I483" s="91" t="n"/>
      <c r="J483" s="91" t="n"/>
      <c r="K483" s="91" t="n"/>
      <c r="L483" s="91" t="n"/>
      <c r="M483" s="91" t="n"/>
      <c r="N483" s="91" t="n"/>
      <c r="O483" s="91" t="n"/>
      <c r="P483" s="91" t="n"/>
      <c r="Q483" s="91" t="n"/>
      <c r="R483" s="91" t="n"/>
      <c r="S483" s="91" t="n"/>
      <c r="T483" s="91" t="n"/>
      <c r="U483" s="91" t="n"/>
      <c r="V483" s="91" t="n"/>
      <c r="W483" s="91" t="n"/>
      <c r="X483" s="91" t="n"/>
      <c r="Y483" s="91" t="n"/>
      <c r="Z483" s="91" t="n"/>
      <c r="AA483" s="91" t="n"/>
      <c r="AB483" s="91" t="n"/>
      <c r="AC483" s="91" t="n"/>
      <c r="AD483" s="91" t="n"/>
      <c r="AE483" s="91" t="n"/>
      <c r="AF483" s="91" t="n"/>
      <c r="AG483" s="91" t="n"/>
    </row>
    <row r="484" ht="12.75" customHeight="1" s="117">
      <c r="A484" s="91" t="n"/>
      <c r="B484" s="91" t="n"/>
      <c r="C484" s="91" t="n"/>
      <c r="D484" s="91" t="n"/>
      <c r="E484" s="91" t="n"/>
      <c r="F484" s="91" t="n"/>
      <c r="G484" s="91" t="n"/>
      <c r="H484" s="91" t="n"/>
      <c r="I484" s="91" t="n"/>
      <c r="J484" s="91" t="n"/>
      <c r="K484" s="91" t="n"/>
      <c r="L484" s="91" t="n"/>
      <c r="M484" s="91" t="n"/>
      <c r="N484" s="91" t="n"/>
      <c r="O484" s="91" t="n"/>
      <c r="P484" s="91" t="n"/>
      <c r="Q484" s="91" t="n"/>
      <c r="R484" s="91" t="n"/>
      <c r="S484" s="91" t="n"/>
      <c r="T484" s="91" t="n"/>
      <c r="U484" s="91" t="n"/>
      <c r="V484" s="91" t="n"/>
      <c r="W484" s="91" t="n"/>
      <c r="X484" s="91" t="n"/>
      <c r="Y484" s="91" t="n"/>
      <c r="Z484" s="91" t="n"/>
      <c r="AA484" s="91" t="n"/>
      <c r="AB484" s="91" t="n"/>
      <c r="AC484" s="91" t="n"/>
      <c r="AD484" s="91" t="n"/>
      <c r="AE484" s="91" t="n"/>
      <c r="AF484" s="91" t="n"/>
      <c r="AG484" s="91" t="n"/>
    </row>
    <row r="485" ht="12.75" customHeight="1" s="117">
      <c r="A485" s="91" t="n"/>
      <c r="B485" s="91" t="n"/>
      <c r="C485" s="91" t="n"/>
      <c r="D485" s="91" t="n"/>
      <c r="E485" s="91" t="n"/>
      <c r="F485" s="91" t="n"/>
      <c r="G485" s="91" t="n"/>
      <c r="H485" s="91" t="n"/>
      <c r="I485" s="91" t="n"/>
      <c r="J485" s="91" t="n"/>
      <c r="K485" s="91" t="n"/>
      <c r="L485" s="91" t="n"/>
      <c r="M485" s="91" t="n"/>
      <c r="N485" s="91" t="n"/>
      <c r="O485" s="91" t="n"/>
      <c r="P485" s="91" t="n"/>
      <c r="Q485" s="91" t="n"/>
      <c r="R485" s="91" t="n"/>
      <c r="S485" s="91" t="n"/>
      <c r="T485" s="91" t="n"/>
      <c r="U485" s="91" t="n"/>
      <c r="V485" s="91" t="n"/>
      <c r="W485" s="91" t="n"/>
      <c r="X485" s="91" t="n"/>
      <c r="Y485" s="91" t="n"/>
      <c r="Z485" s="91" t="n"/>
      <c r="AA485" s="91" t="n"/>
      <c r="AB485" s="91" t="n"/>
      <c r="AC485" s="91" t="n"/>
      <c r="AD485" s="91" t="n"/>
      <c r="AE485" s="91" t="n"/>
      <c r="AF485" s="91" t="n"/>
      <c r="AG485" s="91" t="n"/>
    </row>
    <row r="486" ht="12.75" customHeight="1" s="117">
      <c r="A486" s="91" t="n"/>
      <c r="B486" s="91" t="n"/>
      <c r="C486" s="91" t="n"/>
      <c r="D486" s="91" t="n"/>
      <c r="E486" s="91" t="n"/>
      <c r="F486" s="91" t="n"/>
      <c r="G486" s="91" t="n"/>
      <c r="H486" s="91" t="n"/>
      <c r="I486" s="91" t="n"/>
      <c r="J486" s="91" t="n"/>
      <c r="K486" s="91" t="n"/>
      <c r="L486" s="91" t="n"/>
      <c r="M486" s="91" t="n"/>
      <c r="N486" s="91" t="n"/>
      <c r="O486" s="91" t="n"/>
      <c r="P486" s="91" t="n"/>
      <c r="Q486" s="91" t="n"/>
      <c r="R486" s="91" t="n"/>
      <c r="S486" s="91" t="n"/>
      <c r="T486" s="91" t="n"/>
      <c r="U486" s="91" t="n"/>
      <c r="V486" s="91" t="n"/>
      <c r="W486" s="91" t="n"/>
      <c r="X486" s="91" t="n"/>
      <c r="Y486" s="91" t="n"/>
      <c r="Z486" s="91" t="n"/>
      <c r="AA486" s="91" t="n"/>
      <c r="AB486" s="91" t="n"/>
      <c r="AC486" s="91" t="n"/>
      <c r="AD486" s="91" t="n"/>
      <c r="AE486" s="91" t="n"/>
      <c r="AF486" s="91" t="n"/>
      <c r="AG486" s="91" t="n"/>
    </row>
    <row r="487" ht="12.75" customHeight="1" s="117">
      <c r="A487" s="91" t="n"/>
      <c r="B487" s="91" t="n"/>
      <c r="C487" s="91" t="n"/>
      <c r="D487" s="91" t="n"/>
      <c r="E487" s="91" t="n"/>
      <c r="F487" s="91" t="n"/>
      <c r="G487" s="91" t="n"/>
      <c r="H487" s="91" t="n"/>
      <c r="I487" s="91" t="n"/>
      <c r="J487" s="91" t="n"/>
      <c r="K487" s="91" t="n"/>
      <c r="L487" s="91" t="n"/>
      <c r="M487" s="91" t="n"/>
      <c r="N487" s="91" t="n"/>
      <c r="O487" s="91" t="n"/>
      <c r="P487" s="91" t="n"/>
      <c r="Q487" s="91" t="n"/>
      <c r="R487" s="91" t="n"/>
      <c r="S487" s="91" t="n"/>
      <c r="T487" s="91" t="n"/>
      <c r="U487" s="91" t="n"/>
      <c r="V487" s="91" t="n"/>
      <c r="W487" s="91" t="n"/>
      <c r="X487" s="91" t="n"/>
      <c r="Y487" s="91" t="n"/>
      <c r="Z487" s="91" t="n"/>
      <c r="AA487" s="91" t="n"/>
      <c r="AB487" s="91" t="n"/>
      <c r="AC487" s="91" t="n"/>
      <c r="AD487" s="91" t="n"/>
      <c r="AE487" s="91" t="n"/>
      <c r="AF487" s="91" t="n"/>
      <c r="AG487" s="91" t="n"/>
    </row>
    <row r="488" ht="12.75" customHeight="1" s="117">
      <c r="A488" s="91" t="n"/>
      <c r="B488" s="91" t="n"/>
      <c r="C488" s="91" t="n"/>
      <c r="D488" s="91" t="n"/>
      <c r="E488" s="91" t="n"/>
      <c r="F488" s="91" t="n"/>
      <c r="G488" s="91" t="n"/>
      <c r="H488" s="91" t="n"/>
      <c r="I488" s="91" t="n"/>
      <c r="J488" s="91" t="n"/>
      <c r="K488" s="91" t="n"/>
      <c r="L488" s="91" t="n"/>
      <c r="M488" s="91" t="n"/>
      <c r="N488" s="91" t="n"/>
      <c r="O488" s="91" t="n"/>
      <c r="P488" s="91" t="n"/>
      <c r="Q488" s="91" t="n"/>
      <c r="R488" s="91" t="n"/>
      <c r="S488" s="91" t="n"/>
      <c r="T488" s="91" t="n"/>
      <c r="U488" s="91" t="n"/>
      <c r="V488" s="91" t="n"/>
      <c r="W488" s="91" t="n"/>
      <c r="X488" s="91" t="n"/>
      <c r="Y488" s="91" t="n"/>
      <c r="Z488" s="91" t="n"/>
      <c r="AA488" s="91" t="n"/>
      <c r="AB488" s="91" t="n"/>
      <c r="AC488" s="91" t="n"/>
      <c r="AD488" s="91" t="n"/>
      <c r="AE488" s="91" t="n"/>
      <c r="AF488" s="91" t="n"/>
      <c r="AG488" s="91" t="n"/>
    </row>
    <row r="489" ht="12.75" customHeight="1" s="117">
      <c r="A489" s="91" t="n"/>
      <c r="B489" s="91" t="n"/>
      <c r="C489" s="91" t="n"/>
      <c r="D489" s="91" t="n"/>
      <c r="E489" s="91" t="n"/>
      <c r="F489" s="91" t="n"/>
      <c r="G489" s="91" t="n"/>
      <c r="H489" s="91" t="n"/>
      <c r="I489" s="91" t="n"/>
      <c r="J489" s="91" t="n"/>
      <c r="K489" s="91" t="n"/>
      <c r="L489" s="91" t="n"/>
      <c r="M489" s="91" t="n"/>
      <c r="N489" s="91" t="n"/>
      <c r="O489" s="91" t="n"/>
      <c r="P489" s="91" t="n"/>
      <c r="Q489" s="91" t="n"/>
      <c r="R489" s="91" t="n"/>
      <c r="S489" s="91" t="n"/>
      <c r="T489" s="91" t="n"/>
      <c r="U489" s="91" t="n"/>
      <c r="V489" s="91" t="n"/>
      <c r="W489" s="91" t="n"/>
      <c r="X489" s="91" t="n"/>
      <c r="Y489" s="91" t="n"/>
      <c r="Z489" s="91" t="n"/>
      <c r="AA489" s="91" t="n"/>
      <c r="AB489" s="91" t="n"/>
      <c r="AC489" s="91" t="n"/>
      <c r="AD489" s="91" t="n"/>
      <c r="AE489" s="91" t="n"/>
      <c r="AF489" s="91" t="n"/>
      <c r="AG489" s="91" t="n"/>
    </row>
    <row r="490" ht="12.75" customHeight="1" s="117">
      <c r="A490" s="91" t="n"/>
      <c r="B490" s="91" t="n"/>
      <c r="C490" s="91" t="n"/>
      <c r="D490" s="91" t="n"/>
      <c r="E490" s="91" t="n"/>
      <c r="F490" s="91" t="n"/>
      <c r="G490" s="91" t="n"/>
      <c r="H490" s="91" t="n"/>
      <c r="I490" s="91" t="n"/>
      <c r="J490" s="91" t="n"/>
      <c r="K490" s="91" t="n"/>
      <c r="L490" s="91" t="n"/>
      <c r="M490" s="91" t="n"/>
      <c r="N490" s="91" t="n"/>
      <c r="O490" s="91" t="n"/>
      <c r="P490" s="91" t="n"/>
      <c r="Q490" s="91" t="n"/>
      <c r="R490" s="91" t="n"/>
      <c r="S490" s="91" t="n"/>
      <c r="T490" s="91" t="n"/>
      <c r="U490" s="91" t="n"/>
      <c r="V490" s="91" t="n"/>
      <c r="W490" s="91" t="n"/>
      <c r="X490" s="91" t="n"/>
      <c r="Y490" s="91" t="n"/>
      <c r="Z490" s="91" t="n"/>
      <c r="AA490" s="91" t="n"/>
      <c r="AB490" s="91" t="n"/>
      <c r="AC490" s="91" t="n"/>
      <c r="AD490" s="91" t="n"/>
      <c r="AE490" s="91" t="n"/>
      <c r="AF490" s="91" t="n"/>
      <c r="AG490" s="91" t="n"/>
    </row>
    <row r="491" ht="12.75" customHeight="1" s="117">
      <c r="A491" s="91" t="n"/>
      <c r="B491" s="91" t="n"/>
      <c r="C491" s="91" t="n"/>
      <c r="D491" s="91" t="n"/>
      <c r="E491" s="91" t="n"/>
      <c r="F491" s="91" t="n"/>
      <c r="G491" s="91" t="n"/>
      <c r="H491" s="91" t="n"/>
      <c r="I491" s="91" t="n"/>
      <c r="J491" s="91" t="n"/>
      <c r="K491" s="91" t="n"/>
      <c r="L491" s="91" t="n"/>
      <c r="M491" s="91" t="n"/>
      <c r="N491" s="91" t="n"/>
      <c r="O491" s="91" t="n"/>
      <c r="P491" s="91" t="n"/>
      <c r="Q491" s="91" t="n"/>
      <c r="R491" s="91" t="n"/>
      <c r="S491" s="91" t="n"/>
      <c r="T491" s="91" t="n"/>
      <c r="U491" s="91" t="n"/>
      <c r="V491" s="91" t="n"/>
      <c r="W491" s="91" t="n"/>
      <c r="X491" s="91" t="n"/>
      <c r="Y491" s="91" t="n"/>
      <c r="Z491" s="91" t="n"/>
      <c r="AA491" s="91" t="n"/>
      <c r="AB491" s="91" t="n"/>
      <c r="AC491" s="91" t="n"/>
      <c r="AD491" s="91" t="n"/>
      <c r="AE491" s="91" t="n"/>
      <c r="AF491" s="91" t="n"/>
      <c r="AG491" s="91" t="n"/>
    </row>
    <row r="492" ht="12.75" customHeight="1" s="117">
      <c r="A492" s="91" t="n"/>
      <c r="B492" s="91" t="n"/>
      <c r="C492" s="91" t="n"/>
      <c r="D492" s="91" t="n"/>
      <c r="E492" s="91" t="n"/>
      <c r="F492" s="91" t="n"/>
      <c r="G492" s="91" t="n"/>
      <c r="H492" s="91" t="n"/>
      <c r="I492" s="91" t="n"/>
      <c r="J492" s="91" t="n"/>
      <c r="K492" s="91" t="n"/>
      <c r="L492" s="91" t="n"/>
      <c r="M492" s="91" t="n"/>
      <c r="N492" s="91" t="n"/>
      <c r="O492" s="91" t="n"/>
      <c r="P492" s="91" t="n"/>
      <c r="Q492" s="91" t="n"/>
      <c r="R492" s="91" t="n"/>
      <c r="S492" s="91" t="n"/>
      <c r="T492" s="91" t="n"/>
      <c r="U492" s="91" t="n"/>
      <c r="V492" s="91" t="n"/>
      <c r="W492" s="91" t="n"/>
      <c r="X492" s="91" t="n"/>
      <c r="Y492" s="91" t="n"/>
      <c r="Z492" s="91" t="n"/>
      <c r="AA492" s="91" t="n"/>
      <c r="AB492" s="91" t="n"/>
      <c r="AC492" s="91" t="n"/>
      <c r="AD492" s="91" t="n"/>
      <c r="AE492" s="91" t="n"/>
      <c r="AF492" s="91" t="n"/>
      <c r="AG492" s="91" t="n"/>
    </row>
    <row r="493" ht="12.75" customHeight="1" s="117">
      <c r="A493" s="91" t="n"/>
      <c r="B493" s="91" t="n"/>
      <c r="C493" s="91" t="n"/>
      <c r="D493" s="91" t="n"/>
      <c r="E493" s="91" t="n"/>
      <c r="F493" s="91" t="n"/>
      <c r="G493" s="91" t="n"/>
      <c r="H493" s="91" t="n"/>
      <c r="I493" s="91" t="n"/>
      <c r="J493" s="91" t="n"/>
      <c r="K493" s="91" t="n"/>
      <c r="L493" s="91" t="n"/>
      <c r="M493" s="91" t="n"/>
      <c r="N493" s="91" t="n"/>
      <c r="O493" s="91" t="n"/>
      <c r="P493" s="91" t="n"/>
      <c r="Q493" s="91" t="n"/>
      <c r="R493" s="91" t="n"/>
      <c r="S493" s="91" t="n"/>
      <c r="T493" s="91" t="n"/>
      <c r="U493" s="91" t="n"/>
      <c r="V493" s="91" t="n"/>
      <c r="W493" s="91" t="n"/>
      <c r="X493" s="91" t="n"/>
      <c r="Y493" s="91" t="n"/>
      <c r="Z493" s="91" t="n"/>
      <c r="AA493" s="91" t="n"/>
      <c r="AB493" s="91" t="n"/>
      <c r="AC493" s="91" t="n"/>
      <c r="AD493" s="91" t="n"/>
      <c r="AE493" s="91" t="n"/>
      <c r="AF493" s="91" t="n"/>
      <c r="AG493" s="91" t="n"/>
    </row>
    <row r="494" ht="12.75" customHeight="1" s="117">
      <c r="A494" s="91" t="n"/>
      <c r="B494" s="91" t="n"/>
      <c r="C494" s="91" t="n"/>
      <c r="D494" s="91" t="n"/>
      <c r="E494" s="91" t="n"/>
      <c r="F494" s="91" t="n"/>
      <c r="G494" s="91" t="n"/>
      <c r="H494" s="91" t="n"/>
      <c r="I494" s="91" t="n"/>
      <c r="J494" s="91" t="n"/>
      <c r="K494" s="91" t="n"/>
      <c r="L494" s="91" t="n"/>
      <c r="M494" s="91" t="n"/>
      <c r="N494" s="91" t="n"/>
      <c r="O494" s="91" t="n"/>
      <c r="P494" s="91" t="n"/>
      <c r="Q494" s="91" t="n"/>
      <c r="R494" s="91" t="n"/>
      <c r="S494" s="91" t="n"/>
      <c r="T494" s="91" t="n"/>
      <c r="U494" s="91" t="n"/>
      <c r="V494" s="91" t="n"/>
      <c r="W494" s="91" t="n"/>
      <c r="X494" s="91" t="n"/>
      <c r="Y494" s="91" t="n"/>
      <c r="Z494" s="91" t="n"/>
      <c r="AA494" s="91" t="n"/>
      <c r="AB494" s="91" t="n"/>
      <c r="AC494" s="91" t="n"/>
      <c r="AD494" s="91" t="n"/>
      <c r="AE494" s="91" t="n"/>
      <c r="AF494" s="91" t="n"/>
      <c r="AG494" s="91" t="n"/>
    </row>
    <row r="495" ht="12.75" customHeight="1" s="117">
      <c r="A495" s="91" t="n"/>
      <c r="B495" s="91" t="n"/>
      <c r="C495" s="91" t="n"/>
      <c r="D495" s="91" t="n"/>
      <c r="E495" s="91" t="n"/>
      <c r="F495" s="91" t="n"/>
      <c r="G495" s="91" t="n"/>
      <c r="H495" s="91" t="n"/>
      <c r="I495" s="91" t="n"/>
      <c r="J495" s="91" t="n"/>
      <c r="K495" s="91" t="n"/>
      <c r="L495" s="91" t="n"/>
      <c r="M495" s="91" t="n"/>
      <c r="N495" s="91" t="n"/>
      <c r="O495" s="91" t="n"/>
      <c r="P495" s="91" t="n"/>
      <c r="Q495" s="91" t="n"/>
      <c r="R495" s="91" t="n"/>
      <c r="S495" s="91" t="n"/>
      <c r="T495" s="91" t="n"/>
      <c r="U495" s="91" t="n"/>
      <c r="V495" s="91" t="n"/>
      <c r="W495" s="91" t="n"/>
      <c r="X495" s="91" t="n"/>
      <c r="Y495" s="91" t="n"/>
      <c r="Z495" s="91" t="n"/>
      <c r="AA495" s="91" t="n"/>
      <c r="AB495" s="91" t="n"/>
      <c r="AC495" s="91" t="n"/>
      <c r="AD495" s="91" t="n"/>
      <c r="AE495" s="91" t="n"/>
      <c r="AF495" s="91" t="n"/>
      <c r="AG495" s="91" t="n"/>
    </row>
    <row r="496" ht="12.75" customHeight="1" s="117">
      <c r="A496" s="91" t="n"/>
      <c r="B496" s="91" t="n"/>
      <c r="C496" s="91" t="n"/>
      <c r="D496" s="91" t="n"/>
      <c r="E496" s="91" t="n"/>
      <c r="F496" s="91" t="n"/>
      <c r="G496" s="91" t="n"/>
      <c r="H496" s="91" t="n"/>
      <c r="I496" s="91" t="n"/>
      <c r="J496" s="91" t="n"/>
      <c r="K496" s="91" t="n"/>
      <c r="L496" s="91" t="n"/>
      <c r="M496" s="91" t="n"/>
      <c r="N496" s="91" t="n"/>
      <c r="O496" s="91" t="n"/>
      <c r="P496" s="91" t="n"/>
      <c r="Q496" s="91" t="n"/>
      <c r="R496" s="91" t="n"/>
      <c r="S496" s="91" t="n"/>
      <c r="T496" s="91" t="n"/>
      <c r="U496" s="91" t="n"/>
      <c r="V496" s="91" t="n"/>
      <c r="W496" s="91" t="n"/>
      <c r="X496" s="91" t="n"/>
      <c r="Y496" s="91" t="n"/>
      <c r="Z496" s="91" t="n"/>
      <c r="AA496" s="91" t="n"/>
      <c r="AB496" s="91" t="n"/>
      <c r="AC496" s="91" t="n"/>
      <c r="AD496" s="91" t="n"/>
      <c r="AE496" s="91" t="n"/>
      <c r="AF496" s="91" t="n"/>
      <c r="AG496" s="91" t="n"/>
    </row>
    <row r="497" ht="12.75" customHeight="1" s="117">
      <c r="A497" s="91" t="n"/>
      <c r="B497" s="91" t="n"/>
      <c r="C497" s="91" t="n"/>
      <c r="D497" s="91" t="n"/>
      <c r="E497" s="91" t="n"/>
      <c r="F497" s="91" t="n"/>
      <c r="G497" s="91" t="n"/>
      <c r="H497" s="91" t="n"/>
      <c r="I497" s="91" t="n"/>
      <c r="J497" s="91" t="n"/>
      <c r="K497" s="91" t="n"/>
      <c r="L497" s="91" t="n"/>
      <c r="M497" s="91" t="n"/>
      <c r="N497" s="91" t="n"/>
      <c r="O497" s="91" t="n"/>
      <c r="P497" s="91" t="n"/>
      <c r="Q497" s="91" t="n"/>
      <c r="R497" s="91" t="n"/>
      <c r="S497" s="91" t="n"/>
      <c r="T497" s="91" t="n"/>
      <c r="U497" s="91" t="n"/>
      <c r="V497" s="91" t="n"/>
      <c r="W497" s="91" t="n"/>
      <c r="X497" s="91" t="n"/>
      <c r="Y497" s="91" t="n"/>
      <c r="Z497" s="91" t="n"/>
      <c r="AA497" s="91" t="n"/>
      <c r="AB497" s="91" t="n"/>
      <c r="AC497" s="91" t="n"/>
      <c r="AD497" s="91" t="n"/>
      <c r="AE497" s="91" t="n"/>
      <c r="AF497" s="91" t="n"/>
      <c r="AG497" s="91" t="n"/>
    </row>
    <row r="498" ht="12.75" customHeight="1" s="117">
      <c r="A498" s="91" t="n"/>
      <c r="B498" s="91" t="n"/>
      <c r="C498" s="91" t="n"/>
      <c r="D498" s="91" t="n"/>
      <c r="E498" s="91" t="n"/>
      <c r="F498" s="91" t="n"/>
      <c r="G498" s="91" t="n"/>
      <c r="H498" s="91" t="n"/>
      <c r="I498" s="91" t="n"/>
      <c r="J498" s="91" t="n"/>
      <c r="K498" s="91" t="n"/>
      <c r="L498" s="91" t="n"/>
      <c r="M498" s="91" t="n"/>
      <c r="N498" s="91" t="n"/>
      <c r="O498" s="91" t="n"/>
      <c r="P498" s="91" t="n"/>
      <c r="Q498" s="91" t="n"/>
      <c r="R498" s="91" t="n"/>
      <c r="S498" s="91" t="n"/>
      <c r="T498" s="91" t="n"/>
      <c r="U498" s="91" t="n"/>
      <c r="V498" s="91" t="n"/>
      <c r="W498" s="91" t="n"/>
      <c r="X498" s="91" t="n"/>
      <c r="Y498" s="91" t="n"/>
      <c r="Z498" s="91" t="n"/>
      <c r="AA498" s="91" t="n"/>
      <c r="AB498" s="91" t="n"/>
      <c r="AC498" s="91" t="n"/>
      <c r="AD498" s="91" t="n"/>
      <c r="AE498" s="91" t="n"/>
      <c r="AF498" s="91" t="n"/>
      <c r="AG498" s="91" t="n"/>
    </row>
    <row r="499" ht="12.75" customHeight="1" s="117">
      <c r="A499" s="91" t="n"/>
      <c r="B499" s="91" t="n"/>
      <c r="C499" s="91" t="n"/>
      <c r="D499" s="91" t="n"/>
      <c r="E499" s="91" t="n"/>
      <c r="F499" s="91" t="n"/>
      <c r="G499" s="91" t="n"/>
      <c r="H499" s="91" t="n"/>
      <c r="I499" s="91" t="n"/>
      <c r="J499" s="91" t="n"/>
      <c r="K499" s="91" t="n"/>
      <c r="L499" s="91" t="n"/>
      <c r="M499" s="91" t="n"/>
      <c r="N499" s="91" t="n"/>
      <c r="O499" s="91" t="n"/>
      <c r="P499" s="91" t="n"/>
      <c r="Q499" s="91" t="n"/>
      <c r="R499" s="91" t="n"/>
      <c r="S499" s="91" t="n"/>
      <c r="T499" s="91" t="n"/>
      <c r="U499" s="91" t="n"/>
      <c r="V499" s="91" t="n"/>
      <c r="W499" s="91" t="n"/>
      <c r="X499" s="91" t="n"/>
      <c r="Y499" s="91" t="n"/>
      <c r="Z499" s="91" t="n"/>
      <c r="AA499" s="91" t="n"/>
      <c r="AB499" s="91" t="n"/>
      <c r="AC499" s="91" t="n"/>
      <c r="AD499" s="91" t="n"/>
      <c r="AE499" s="91" t="n"/>
      <c r="AF499" s="91" t="n"/>
      <c r="AG499" s="91" t="n"/>
    </row>
    <row r="500" ht="12.75" customHeight="1" s="117">
      <c r="A500" s="91" t="n"/>
      <c r="B500" s="91" t="n"/>
      <c r="C500" s="91" t="n"/>
      <c r="D500" s="91" t="n"/>
      <c r="E500" s="91" t="n"/>
      <c r="F500" s="91" t="n"/>
      <c r="G500" s="91" t="n"/>
      <c r="H500" s="91" t="n"/>
      <c r="I500" s="91" t="n"/>
      <c r="J500" s="91" t="n"/>
      <c r="K500" s="91" t="n"/>
      <c r="L500" s="91" t="n"/>
      <c r="M500" s="91" t="n"/>
      <c r="N500" s="91" t="n"/>
      <c r="O500" s="91" t="n"/>
      <c r="P500" s="91" t="n"/>
      <c r="Q500" s="91" t="n"/>
      <c r="R500" s="91" t="n"/>
      <c r="S500" s="91" t="n"/>
      <c r="T500" s="91" t="n"/>
      <c r="U500" s="91" t="n"/>
      <c r="V500" s="91" t="n"/>
      <c r="W500" s="91" t="n"/>
      <c r="X500" s="91" t="n"/>
      <c r="Y500" s="91" t="n"/>
      <c r="Z500" s="91" t="n"/>
      <c r="AA500" s="91" t="n"/>
      <c r="AB500" s="91" t="n"/>
      <c r="AC500" s="91" t="n"/>
      <c r="AD500" s="91" t="n"/>
      <c r="AE500" s="91" t="n"/>
      <c r="AF500" s="91" t="n"/>
      <c r="AG500" s="91" t="n"/>
    </row>
    <row r="501" ht="12.75" customHeight="1" s="117">
      <c r="A501" s="91" t="n"/>
      <c r="B501" s="91" t="n"/>
      <c r="C501" s="91" t="n"/>
      <c r="D501" s="91" t="n"/>
      <c r="E501" s="91" t="n"/>
      <c r="F501" s="91" t="n"/>
      <c r="G501" s="91" t="n"/>
      <c r="H501" s="91" t="n"/>
      <c r="I501" s="91" t="n"/>
      <c r="J501" s="91" t="n"/>
      <c r="K501" s="91" t="n"/>
      <c r="L501" s="91" t="n"/>
      <c r="M501" s="91" t="n"/>
      <c r="N501" s="91" t="n"/>
      <c r="O501" s="91" t="n"/>
      <c r="P501" s="91" t="n"/>
      <c r="Q501" s="91" t="n"/>
      <c r="R501" s="91" t="n"/>
      <c r="S501" s="91" t="n"/>
      <c r="T501" s="91" t="n"/>
      <c r="U501" s="91" t="n"/>
      <c r="V501" s="91" t="n"/>
      <c r="W501" s="91" t="n"/>
      <c r="X501" s="91" t="n"/>
      <c r="Y501" s="91" t="n"/>
      <c r="Z501" s="91" t="n"/>
      <c r="AA501" s="91" t="n"/>
      <c r="AB501" s="91" t="n"/>
      <c r="AC501" s="91" t="n"/>
      <c r="AD501" s="91" t="n"/>
      <c r="AE501" s="91" t="n"/>
      <c r="AF501" s="91" t="n"/>
      <c r="AG501" s="91" t="n"/>
    </row>
    <row r="502" ht="12.75" customHeight="1" s="117">
      <c r="A502" s="91" t="n"/>
      <c r="B502" s="91" t="n"/>
      <c r="C502" s="91" t="n"/>
      <c r="D502" s="91" t="n"/>
      <c r="E502" s="91" t="n"/>
      <c r="F502" s="91" t="n"/>
      <c r="G502" s="91" t="n"/>
      <c r="H502" s="91" t="n"/>
      <c r="I502" s="91" t="n"/>
      <c r="J502" s="91" t="n"/>
      <c r="K502" s="91" t="n"/>
      <c r="L502" s="91" t="n"/>
      <c r="M502" s="91" t="n"/>
      <c r="N502" s="91" t="n"/>
      <c r="O502" s="91" t="n"/>
      <c r="P502" s="91" t="n"/>
      <c r="Q502" s="91" t="n"/>
      <c r="R502" s="91" t="n"/>
      <c r="S502" s="91" t="n"/>
      <c r="T502" s="91" t="n"/>
      <c r="U502" s="91" t="n"/>
      <c r="V502" s="91" t="n"/>
      <c r="W502" s="91" t="n"/>
      <c r="X502" s="91" t="n"/>
      <c r="Y502" s="91" t="n"/>
      <c r="Z502" s="91" t="n"/>
      <c r="AA502" s="91" t="n"/>
      <c r="AB502" s="91" t="n"/>
      <c r="AC502" s="91" t="n"/>
      <c r="AD502" s="91" t="n"/>
      <c r="AE502" s="91" t="n"/>
      <c r="AF502" s="91" t="n"/>
      <c r="AG502" s="91" t="n"/>
    </row>
    <row r="503" ht="12.75" customHeight="1" s="117">
      <c r="A503" s="91" t="n"/>
      <c r="B503" s="91" t="n"/>
      <c r="C503" s="91" t="n"/>
      <c r="D503" s="91" t="n"/>
      <c r="E503" s="91" t="n"/>
      <c r="F503" s="91" t="n"/>
      <c r="G503" s="91" t="n"/>
      <c r="H503" s="91" t="n"/>
      <c r="I503" s="91" t="n"/>
      <c r="J503" s="91" t="n"/>
      <c r="K503" s="91" t="n"/>
      <c r="L503" s="91" t="n"/>
      <c r="M503" s="91" t="n"/>
      <c r="N503" s="91" t="n"/>
      <c r="O503" s="91" t="n"/>
      <c r="P503" s="91" t="n"/>
      <c r="Q503" s="91" t="n"/>
      <c r="R503" s="91" t="n"/>
      <c r="S503" s="91" t="n"/>
      <c r="T503" s="91" t="n"/>
      <c r="U503" s="91" t="n"/>
      <c r="V503" s="91" t="n"/>
      <c r="W503" s="91" t="n"/>
      <c r="X503" s="91" t="n"/>
      <c r="Y503" s="91" t="n"/>
      <c r="Z503" s="91" t="n"/>
      <c r="AA503" s="91" t="n"/>
      <c r="AB503" s="91" t="n"/>
      <c r="AC503" s="91" t="n"/>
      <c r="AD503" s="91" t="n"/>
      <c r="AE503" s="91" t="n"/>
      <c r="AF503" s="91" t="n"/>
      <c r="AG503" s="91" t="n"/>
    </row>
    <row r="504" ht="12.75" customHeight="1" s="117">
      <c r="A504" s="91" t="n"/>
      <c r="B504" s="91" t="n"/>
      <c r="C504" s="91" t="n"/>
      <c r="D504" s="91" t="n"/>
      <c r="E504" s="91" t="n"/>
      <c r="F504" s="91" t="n"/>
      <c r="G504" s="91" t="n"/>
      <c r="H504" s="91" t="n"/>
      <c r="I504" s="91" t="n"/>
      <c r="J504" s="91" t="n"/>
      <c r="K504" s="91" t="n"/>
      <c r="L504" s="91" t="n"/>
      <c r="M504" s="91" t="n"/>
      <c r="N504" s="91" t="n"/>
      <c r="O504" s="91" t="n"/>
      <c r="P504" s="91" t="n"/>
      <c r="Q504" s="91" t="n"/>
      <c r="R504" s="91" t="n"/>
      <c r="S504" s="91" t="n"/>
      <c r="T504" s="91" t="n"/>
      <c r="U504" s="91" t="n"/>
      <c r="V504" s="91" t="n"/>
      <c r="W504" s="91" t="n"/>
      <c r="X504" s="91" t="n"/>
      <c r="Y504" s="91" t="n"/>
      <c r="Z504" s="91" t="n"/>
      <c r="AA504" s="91" t="n"/>
      <c r="AB504" s="91" t="n"/>
      <c r="AC504" s="91" t="n"/>
      <c r="AD504" s="91" t="n"/>
      <c r="AE504" s="91" t="n"/>
      <c r="AF504" s="91" t="n"/>
      <c r="AG504" s="91" t="n"/>
    </row>
    <row r="505" ht="12.75" customHeight="1" s="117">
      <c r="A505" s="91" t="n"/>
      <c r="B505" s="91" t="n"/>
      <c r="C505" s="91" t="n"/>
      <c r="D505" s="91" t="n"/>
      <c r="E505" s="91" t="n"/>
      <c r="F505" s="91" t="n"/>
      <c r="G505" s="91" t="n"/>
      <c r="H505" s="91" t="n"/>
      <c r="I505" s="91" t="n"/>
      <c r="J505" s="91" t="n"/>
      <c r="K505" s="91" t="n"/>
      <c r="L505" s="91" t="n"/>
      <c r="M505" s="91" t="n"/>
      <c r="N505" s="91" t="n"/>
      <c r="O505" s="91" t="n"/>
      <c r="P505" s="91" t="n"/>
      <c r="Q505" s="91" t="n"/>
      <c r="R505" s="91" t="n"/>
      <c r="S505" s="91" t="n"/>
      <c r="T505" s="91" t="n"/>
      <c r="U505" s="91" t="n"/>
      <c r="V505" s="91" t="n"/>
      <c r="W505" s="91" t="n"/>
      <c r="X505" s="91" t="n"/>
      <c r="Y505" s="91" t="n"/>
      <c r="Z505" s="91" t="n"/>
      <c r="AA505" s="91" t="n"/>
      <c r="AB505" s="91" t="n"/>
      <c r="AC505" s="91" t="n"/>
      <c r="AD505" s="91" t="n"/>
      <c r="AE505" s="91" t="n"/>
      <c r="AF505" s="91" t="n"/>
      <c r="AG505" s="91" t="n"/>
    </row>
    <row r="506" ht="12.75" customHeight="1" s="117">
      <c r="A506" s="91" t="n"/>
      <c r="B506" s="91" t="n"/>
      <c r="C506" s="91" t="n"/>
      <c r="D506" s="91" t="n"/>
      <c r="E506" s="91" t="n"/>
      <c r="F506" s="91" t="n"/>
      <c r="G506" s="91" t="n"/>
      <c r="H506" s="91" t="n"/>
      <c r="I506" s="91" t="n"/>
      <c r="J506" s="91" t="n"/>
      <c r="K506" s="91" t="n"/>
      <c r="L506" s="91" t="n"/>
      <c r="M506" s="91" t="n"/>
      <c r="N506" s="91" t="n"/>
      <c r="O506" s="91" t="n"/>
      <c r="P506" s="91" t="n"/>
      <c r="Q506" s="91" t="n"/>
      <c r="R506" s="91" t="n"/>
      <c r="S506" s="91" t="n"/>
      <c r="T506" s="91" t="n"/>
      <c r="U506" s="91" t="n"/>
      <c r="V506" s="91" t="n"/>
      <c r="W506" s="91" t="n"/>
      <c r="X506" s="91" t="n"/>
      <c r="Y506" s="91" t="n"/>
      <c r="Z506" s="91" t="n"/>
      <c r="AA506" s="91" t="n"/>
      <c r="AB506" s="91" t="n"/>
      <c r="AC506" s="91" t="n"/>
      <c r="AD506" s="91" t="n"/>
      <c r="AE506" s="91" t="n"/>
      <c r="AF506" s="91" t="n"/>
      <c r="AG506" s="91" t="n"/>
    </row>
    <row r="507" ht="12.75" customHeight="1" s="117">
      <c r="A507" s="91" t="n"/>
      <c r="B507" s="91" t="n"/>
      <c r="C507" s="91" t="n"/>
      <c r="D507" s="91" t="n"/>
      <c r="E507" s="91" t="n"/>
      <c r="F507" s="91" t="n"/>
      <c r="G507" s="91" t="n"/>
      <c r="H507" s="91" t="n"/>
      <c r="I507" s="91" t="n"/>
      <c r="J507" s="91" t="n"/>
      <c r="K507" s="91" t="n"/>
      <c r="L507" s="91" t="n"/>
      <c r="M507" s="91" t="n"/>
      <c r="N507" s="91" t="n"/>
      <c r="O507" s="91" t="n"/>
      <c r="P507" s="91" t="n"/>
      <c r="Q507" s="91" t="n"/>
      <c r="R507" s="91" t="n"/>
      <c r="S507" s="91" t="n"/>
      <c r="T507" s="91" t="n"/>
      <c r="U507" s="91" t="n"/>
      <c r="V507" s="91" t="n"/>
      <c r="W507" s="91" t="n"/>
      <c r="X507" s="91" t="n"/>
      <c r="Y507" s="91" t="n"/>
      <c r="Z507" s="91" t="n"/>
      <c r="AA507" s="91" t="n"/>
      <c r="AB507" s="91" t="n"/>
      <c r="AC507" s="91" t="n"/>
      <c r="AD507" s="91" t="n"/>
      <c r="AE507" s="91" t="n"/>
      <c r="AF507" s="91" t="n"/>
      <c r="AG507" s="91" t="n"/>
    </row>
    <row r="508" ht="12.75" customHeight="1" s="117">
      <c r="A508" s="91" t="n"/>
      <c r="B508" s="91" t="n"/>
      <c r="C508" s="91" t="n"/>
      <c r="D508" s="91" t="n"/>
      <c r="E508" s="91" t="n"/>
      <c r="F508" s="91" t="n"/>
      <c r="G508" s="91" t="n"/>
      <c r="H508" s="91" t="n"/>
      <c r="I508" s="91" t="n"/>
      <c r="J508" s="91" t="n"/>
      <c r="K508" s="91" t="n"/>
      <c r="L508" s="91" t="n"/>
      <c r="M508" s="91" t="n"/>
      <c r="N508" s="91" t="n"/>
      <c r="O508" s="91" t="n"/>
      <c r="P508" s="91" t="n"/>
      <c r="Q508" s="91" t="n"/>
      <c r="R508" s="91" t="n"/>
      <c r="S508" s="91" t="n"/>
      <c r="T508" s="91" t="n"/>
      <c r="U508" s="91" t="n"/>
      <c r="V508" s="91" t="n"/>
      <c r="W508" s="91" t="n"/>
      <c r="X508" s="91" t="n"/>
      <c r="Y508" s="91" t="n"/>
      <c r="Z508" s="91" t="n"/>
      <c r="AA508" s="91" t="n"/>
      <c r="AB508" s="91" t="n"/>
      <c r="AC508" s="91" t="n"/>
      <c r="AD508" s="91" t="n"/>
      <c r="AE508" s="91" t="n"/>
      <c r="AF508" s="91" t="n"/>
      <c r="AG508" s="91" t="n"/>
    </row>
    <row r="509" ht="12.75" customHeight="1" s="117">
      <c r="A509" s="91" t="n"/>
      <c r="B509" s="91" t="n"/>
      <c r="C509" s="91" t="n"/>
      <c r="D509" s="91" t="n"/>
      <c r="E509" s="91" t="n"/>
      <c r="F509" s="91" t="n"/>
      <c r="G509" s="91" t="n"/>
      <c r="H509" s="91" t="n"/>
      <c r="I509" s="91" t="n"/>
      <c r="J509" s="91" t="n"/>
      <c r="K509" s="91" t="n"/>
      <c r="L509" s="91" t="n"/>
      <c r="M509" s="91" t="n"/>
      <c r="N509" s="91" t="n"/>
      <c r="O509" s="91" t="n"/>
      <c r="P509" s="91" t="n"/>
      <c r="Q509" s="91" t="n"/>
      <c r="R509" s="91" t="n"/>
      <c r="S509" s="91" t="n"/>
      <c r="T509" s="91" t="n"/>
      <c r="U509" s="91" t="n"/>
      <c r="V509" s="91" t="n"/>
      <c r="W509" s="91" t="n"/>
      <c r="X509" s="91" t="n"/>
      <c r="Y509" s="91" t="n"/>
      <c r="Z509" s="91" t="n"/>
      <c r="AA509" s="91" t="n"/>
      <c r="AB509" s="91" t="n"/>
      <c r="AC509" s="91" t="n"/>
      <c r="AD509" s="91" t="n"/>
      <c r="AE509" s="91" t="n"/>
      <c r="AF509" s="91" t="n"/>
      <c r="AG509" s="91" t="n"/>
    </row>
    <row r="510" ht="12.75" customHeight="1" s="117">
      <c r="A510" s="91" t="n"/>
      <c r="B510" s="91" t="n"/>
      <c r="C510" s="91" t="n"/>
      <c r="D510" s="91" t="n"/>
      <c r="E510" s="91" t="n"/>
      <c r="F510" s="91" t="n"/>
      <c r="G510" s="91" t="n"/>
      <c r="H510" s="91" t="n"/>
      <c r="I510" s="91" t="n"/>
      <c r="J510" s="91" t="n"/>
      <c r="K510" s="91" t="n"/>
      <c r="L510" s="91" t="n"/>
      <c r="M510" s="91" t="n"/>
      <c r="N510" s="91" t="n"/>
      <c r="O510" s="91" t="n"/>
      <c r="P510" s="91" t="n"/>
      <c r="Q510" s="91" t="n"/>
      <c r="R510" s="91" t="n"/>
      <c r="S510" s="91" t="n"/>
      <c r="T510" s="91" t="n"/>
      <c r="U510" s="91" t="n"/>
      <c r="V510" s="91" t="n"/>
      <c r="W510" s="91" t="n"/>
      <c r="X510" s="91" t="n"/>
      <c r="Y510" s="91" t="n"/>
      <c r="Z510" s="91" t="n"/>
      <c r="AA510" s="91" t="n"/>
      <c r="AB510" s="91" t="n"/>
      <c r="AC510" s="91" t="n"/>
      <c r="AD510" s="91" t="n"/>
      <c r="AE510" s="91" t="n"/>
      <c r="AF510" s="91" t="n"/>
      <c r="AG510" s="91" t="n"/>
    </row>
    <row r="511" ht="12.75" customHeight="1" s="117">
      <c r="A511" s="91" t="n"/>
      <c r="B511" s="91" t="n"/>
      <c r="C511" s="91" t="n"/>
      <c r="D511" s="91" t="n"/>
      <c r="E511" s="91" t="n"/>
      <c r="F511" s="91" t="n"/>
      <c r="G511" s="91" t="n"/>
      <c r="H511" s="91" t="n"/>
      <c r="I511" s="91" t="n"/>
      <c r="J511" s="91" t="n"/>
      <c r="K511" s="91" t="n"/>
      <c r="L511" s="91" t="n"/>
      <c r="M511" s="91" t="n"/>
      <c r="N511" s="91" t="n"/>
      <c r="O511" s="91" t="n"/>
      <c r="P511" s="91" t="n"/>
      <c r="Q511" s="91" t="n"/>
      <c r="R511" s="91" t="n"/>
      <c r="S511" s="91" t="n"/>
      <c r="T511" s="91" t="n"/>
      <c r="U511" s="91" t="n"/>
      <c r="V511" s="91" t="n"/>
      <c r="W511" s="91" t="n"/>
      <c r="X511" s="91" t="n"/>
      <c r="Y511" s="91" t="n"/>
      <c r="Z511" s="91" t="n"/>
      <c r="AA511" s="91" t="n"/>
      <c r="AB511" s="91" t="n"/>
      <c r="AC511" s="91" t="n"/>
      <c r="AD511" s="91" t="n"/>
      <c r="AE511" s="91" t="n"/>
      <c r="AF511" s="91" t="n"/>
      <c r="AG511" s="91" t="n"/>
    </row>
    <row r="512" ht="12.75" customHeight="1" s="117">
      <c r="A512" s="91" t="n"/>
      <c r="B512" s="91" t="n"/>
      <c r="C512" s="91" t="n"/>
      <c r="D512" s="91" t="n"/>
      <c r="E512" s="91" t="n"/>
      <c r="F512" s="91" t="n"/>
      <c r="G512" s="91" t="n"/>
      <c r="H512" s="91" t="n"/>
      <c r="I512" s="91" t="n"/>
      <c r="J512" s="91" t="n"/>
      <c r="K512" s="91" t="n"/>
      <c r="L512" s="91" t="n"/>
      <c r="M512" s="91" t="n"/>
      <c r="N512" s="91" t="n"/>
      <c r="O512" s="91" t="n"/>
      <c r="P512" s="91" t="n"/>
      <c r="Q512" s="91" t="n"/>
      <c r="R512" s="91" t="n"/>
      <c r="S512" s="91" t="n"/>
      <c r="T512" s="91" t="n"/>
      <c r="U512" s="91" t="n"/>
      <c r="V512" s="91" t="n"/>
      <c r="W512" s="91" t="n"/>
      <c r="X512" s="91" t="n"/>
      <c r="Y512" s="91" t="n"/>
      <c r="Z512" s="91" t="n"/>
      <c r="AA512" s="91" t="n"/>
      <c r="AB512" s="91" t="n"/>
      <c r="AC512" s="91" t="n"/>
      <c r="AD512" s="91" t="n"/>
      <c r="AE512" s="91" t="n"/>
      <c r="AF512" s="91" t="n"/>
      <c r="AG512" s="91" t="n"/>
    </row>
    <row r="513" ht="12.75" customHeight="1" s="117">
      <c r="A513" s="91" t="n"/>
      <c r="B513" s="91" t="n"/>
      <c r="C513" s="91" t="n"/>
      <c r="D513" s="91" t="n"/>
      <c r="E513" s="91" t="n"/>
      <c r="F513" s="91" t="n"/>
      <c r="G513" s="91" t="n"/>
      <c r="H513" s="91" t="n"/>
      <c r="I513" s="91" t="n"/>
      <c r="J513" s="91" t="n"/>
      <c r="K513" s="91" t="n"/>
      <c r="L513" s="91" t="n"/>
      <c r="M513" s="91" t="n"/>
      <c r="N513" s="91" t="n"/>
      <c r="O513" s="91" t="n"/>
      <c r="P513" s="91" t="n"/>
      <c r="Q513" s="91" t="n"/>
      <c r="R513" s="91" t="n"/>
      <c r="S513" s="91" t="n"/>
      <c r="T513" s="91" t="n"/>
      <c r="U513" s="91" t="n"/>
      <c r="V513" s="91" t="n"/>
      <c r="W513" s="91" t="n"/>
      <c r="X513" s="91" t="n"/>
      <c r="Y513" s="91" t="n"/>
      <c r="Z513" s="91" t="n"/>
      <c r="AA513" s="91" t="n"/>
      <c r="AB513" s="91" t="n"/>
      <c r="AC513" s="91" t="n"/>
      <c r="AD513" s="91" t="n"/>
      <c r="AE513" s="91" t="n"/>
      <c r="AF513" s="91" t="n"/>
      <c r="AG513" s="91" t="n"/>
    </row>
    <row r="514" ht="12.75" customHeight="1" s="117">
      <c r="A514" s="91" t="n"/>
      <c r="B514" s="91" t="n"/>
      <c r="C514" s="91" t="n"/>
      <c r="D514" s="91" t="n"/>
      <c r="E514" s="91" t="n"/>
      <c r="F514" s="91" t="n"/>
      <c r="G514" s="91" t="n"/>
      <c r="H514" s="91" t="n"/>
      <c r="I514" s="91" t="n"/>
      <c r="J514" s="91" t="n"/>
      <c r="K514" s="91" t="n"/>
      <c r="L514" s="91" t="n"/>
      <c r="M514" s="91" t="n"/>
      <c r="N514" s="91" t="n"/>
      <c r="O514" s="91" t="n"/>
      <c r="P514" s="91" t="n"/>
      <c r="Q514" s="91" t="n"/>
      <c r="R514" s="91" t="n"/>
      <c r="S514" s="91" t="n"/>
      <c r="T514" s="91" t="n"/>
      <c r="U514" s="91" t="n"/>
      <c r="V514" s="91" t="n"/>
      <c r="W514" s="91" t="n"/>
      <c r="X514" s="91" t="n"/>
      <c r="Y514" s="91" t="n"/>
      <c r="Z514" s="91" t="n"/>
      <c r="AA514" s="91" t="n"/>
      <c r="AB514" s="91" t="n"/>
      <c r="AC514" s="91" t="n"/>
      <c r="AD514" s="91" t="n"/>
      <c r="AE514" s="91" t="n"/>
      <c r="AF514" s="91" t="n"/>
      <c r="AG514" s="91" t="n"/>
    </row>
    <row r="515" ht="12.75" customHeight="1" s="117">
      <c r="A515" s="91" t="n"/>
      <c r="B515" s="91" t="n"/>
      <c r="C515" s="91" t="n"/>
      <c r="D515" s="91" t="n"/>
      <c r="E515" s="91" t="n"/>
      <c r="F515" s="91" t="n"/>
      <c r="G515" s="91" t="n"/>
      <c r="H515" s="91" t="n"/>
      <c r="I515" s="91" t="n"/>
      <c r="J515" s="91" t="n"/>
      <c r="K515" s="91" t="n"/>
      <c r="L515" s="91" t="n"/>
      <c r="M515" s="91" t="n"/>
      <c r="N515" s="91" t="n"/>
      <c r="O515" s="91" t="n"/>
      <c r="P515" s="91" t="n"/>
      <c r="Q515" s="91" t="n"/>
      <c r="R515" s="91" t="n"/>
      <c r="S515" s="91" t="n"/>
      <c r="T515" s="91" t="n"/>
      <c r="U515" s="91" t="n"/>
      <c r="V515" s="91" t="n"/>
      <c r="W515" s="91" t="n"/>
      <c r="X515" s="91" t="n"/>
      <c r="Y515" s="91" t="n"/>
      <c r="Z515" s="91" t="n"/>
      <c r="AA515" s="91" t="n"/>
      <c r="AB515" s="91" t="n"/>
      <c r="AC515" s="91" t="n"/>
      <c r="AD515" s="91" t="n"/>
      <c r="AE515" s="91" t="n"/>
      <c r="AF515" s="91" t="n"/>
      <c r="AG515" s="91" t="n"/>
    </row>
    <row r="516" ht="12.75" customHeight="1" s="117">
      <c r="A516" s="91" t="n"/>
      <c r="B516" s="91" t="n"/>
      <c r="C516" s="91" t="n"/>
      <c r="D516" s="91" t="n"/>
      <c r="E516" s="91" t="n"/>
      <c r="F516" s="91" t="n"/>
      <c r="G516" s="91" t="n"/>
      <c r="H516" s="91" t="n"/>
      <c r="I516" s="91" t="n"/>
      <c r="J516" s="91" t="n"/>
      <c r="K516" s="91" t="n"/>
      <c r="L516" s="91" t="n"/>
      <c r="M516" s="91" t="n"/>
      <c r="N516" s="91" t="n"/>
      <c r="O516" s="91" t="n"/>
      <c r="P516" s="91" t="n"/>
      <c r="Q516" s="91" t="n"/>
      <c r="R516" s="91" t="n"/>
      <c r="S516" s="91" t="n"/>
      <c r="T516" s="91" t="n"/>
      <c r="U516" s="91" t="n"/>
      <c r="V516" s="91" t="n"/>
      <c r="W516" s="91" t="n"/>
      <c r="X516" s="91" t="n"/>
      <c r="Y516" s="91" t="n"/>
      <c r="Z516" s="91" t="n"/>
      <c r="AA516" s="91" t="n"/>
      <c r="AB516" s="91" t="n"/>
      <c r="AC516" s="91" t="n"/>
      <c r="AD516" s="91" t="n"/>
      <c r="AE516" s="91" t="n"/>
      <c r="AF516" s="91" t="n"/>
      <c r="AG516" s="91" t="n"/>
    </row>
    <row r="517" ht="12.75" customHeight="1" s="117">
      <c r="A517" s="91" t="n"/>
      <c r="B517" s="91" t="n"/>
      <c r="C517" s="91" t="n"/>
      <c r="D517" s="91" t="n"/>
      <c r="E517" s="91" t="n"/>
      <c r="F517" s="91" t="n"/>
      <c r="G517" s="91" t="n"/>
      <c r="H517" s="91" t="n"/>
      <c r="I517" s="91" t="n"/>
      <c r="J517" s="91" t="n"/>
      <c r="K517" s="91" t="n"/>
      <c r="L517" s="91" t="n"/>
      <c r="M517" s="91" t="n"/>
      <c r="N517" s="91" t="n"/>
      <c r="O517" s="91" t="n"/>
      <c r="P517" s="91" t="n"/>
      <c r="Q517" s="91" t="n"/>
      <c r="R517" s="91" t="n"/>
      <c r="S517" s="91" t="n"/>
      <c r="T517" s="91" t="n"/>
      <c r="U517" s="91" t="n"/>
      <c r="V517" s="91" t="n"/>
      <c r="W517" s="91" t="n"/>
      <c r="X517" s="91" t="n"/>
      <c r="Y517" s="91" t="n"/>
      <c r="Z517" s="91" t="n"/>
      <c r="AA517" s="91" t="n"/>
      <c r="AB517" s="91" t="n"/>
      <c r="AC517" s="91" t="n"/>
      <c r="AD517" s="91" t="n"/>
      <c r="AE517" s="91" t="n"/>
      <c r="AF517" s="91" t="n"/>
      <c r="AG517" s="91" t="n"/>
    </row>
    <row r="518" ht="12.75" customHeight="1" s="117">
      <c r="A518" s="91" t="n"/>
      <c r="B518" s="91" t="n"/>
      <c r="C518" s="91" t="n"/>
      <c r="D518" s="91" t="n"/>
      <c r="E518" s="91" t="n"/>
      <c r="F518" s="91" t="n"/>
      <c r="G518" s="91" t="n"/>
      <c r="H518" s="91" t="n"/>
      <c r="I518" s="91" t="n"/>
      <c r="J518" s="91" t="n"/>
      <c r="K518" s="91" t="n"/>
      <c r="L518" s="91" t="n"/>
      <c r="M518" s="91" t="n"/>
      <c r="N518" s="91" t="n"/>
      <c r="O518" s="91" t="n"/>
      <c r="P518" s="91" t="n"/>
      <c r="Q518" s="91" t="n"/>
      <c r="R518" s="91" t="n"/>
      <c r="S518" s="91" t="n"/>
      <c r="T518" s="91" t="n"/>
      <c r="U518" s="91" t="n"/>
      <c r="V518" s="91" t="n"/>
      <c r="W518" s="91" t="n"/>
      <c r="X518" s="91" t="n"/>
      <c r="Y518" s="91" t="n"/>
      <c r="Z518" s="91" t="n"/>
      <c r="AA518" s="91" t="n"/>
      <c r="AB518" s="91" t="n"/>
      <c r="AC518" s="91" t="n"/>
      <c r="AD518" s="91" t="n"/>
      <c r="AE518" s="91" t="n"/>
      <c r="AF518" s="91" t="n"/>
      <c r="AG518" s="91" t="n"/>
    </row>
    <row r="519" ht="12.75" customHeight="1" s="117">
      <c r="A519" s="91" t="n"/>
      <c r="B519" s="91" t="n"/>
      <c r="C519" s="91" t="n"/>
      <c r="D519" s="91" t="n"/>
      <c r="E519" s="91" t="n"/>
      <c r="F519" s="91" t="n"/>
      <c r="G519" s="91" t="n"/>
      <c r="H519" s="91" t="n"/>
      <c r="I519" s="91" t="n"/>
      <c r="J519" s="91" t="n"/>
      <c r="K519" s="91" t="n"/>
      <c r="L519" s="91" t="n"/>
      <c r="M519" s="91" t="n"/>
      <c r="N519" s="91" t="n"/>
      <c r="O519" s="91" t="n"/>
      <c r="P519" s="91" t="n"/>
      <c r="Q519" s="91" t="n"/>
      <c r="R519" s="91" t="n"/>
      <c r="S519" s="91" t="n"/>
      <c r="T519" s="91" t="n"/>
      <c r="U519" s="91" t="n"/>
      <c r="V519" s="91" t="n"/>
      <c r="W519" s="91" t="n"/>
      <c r="X519" s="91" t="n"/>
      <c r="Y519" s="91" t="n"/>
      <c r="Z519" s="91" t="n"/>
      <c r="AA519" s="91" t="n"/>
      <c r="AB519" s="91" t="n"/>
      <c r="AC519" s="91" t="n"/>
      <c r="AD519" s="91" t="n"/>
      <c r="AE519" s="91" t="n"/>
      <c r="AF519" s="91" t="n"/>
      <c r="AG519" s="91" t="n"/>
    </row>
    <row r="520" ht="12.75" customHeight="1" s="117">
      <c r="A520" s="91" t="n"/>
      <c r="B520" s="91" t="n"/>
      <c r="C520" s="91" t="n"/>
      <c r="D520" s="91" t="n"/>
      <c r="E520" s="91" t="n"/>
      <c r="F520" s="91" t="n"/>
      <c r="G520" s="91" t="n"/>
      <c r="H520" s="91" t="n"/>
      <c r="I520" s="91" t="n"/>
      <c r="J520" s="91" t="n"/>
      <c r="K520" s="91" t="n"/>
      <c r="L520" s="91" t="n"/>
      <c r="M520" s="91" t="n"/>
      <c r="N520" s="91" t="n"/>
      <c r="O520" s="91" t="n"/>
      <c r="P520" s="91" t="n"/>
      <c r="Q520" s="91" t="n"/>
      <c r="R520" s="91" t="n"/>
      <c r="S520" s="91" t="n"/>
      <c r="T520" s="91" t="n"/>
      <c r="U520" s="91" t="n"/>
      <c r="V520" s="91" t="n"/>
      <c r="W520" s="91" t="n"/>
      <c r="X520" s="91" t="n"/>
      <c r="Y520" s="91" t="n"/>
      <c r="Z520" s="91" t="n"/>
      <c r="AA520" s="91" t="n"/>
      <c r="AB520" s="91" t="n"/>
      <c r="AC520" s="91" t="n"/>
      <c r="AD520" s="91" t="n"/>
      <c r="AE520" s="91" t="n"/>
      <c r="AF520" s="91" t="n"/>
      <c r="AG520" s="91" t="n"/>
    </row>
    <row r="521" ht="12.75" customHeight="1" s="117">
      <c r="A521" s="91" t="n"/>
      <c r="B521" s="91" t="n"/>
      <c r="C521" s="91" t="n"/>
      <c r="D521" s="91" t="n"/>
      <c r="E521" s="91" t="n"/>
      <c r="F521" s="91" t="n"/>
      <c r="G521" s="91" t="n"/>
      <c r="H521" s="91" t="n"/>
      <c r="I521" s="91" t="n"/>
      <c r="J521" s="91" t="n"/>
      <c r="K521" s="91" t="n"/>
      <c r="L521" s="91" t="n"/>
      <c r="M521" s="91" t="n"/>
      <c r="N521" s="91" t="n"/>
      <c r="O521" s="91" t="n"/>
      <c r="P521" s="91" t="n"/>
      <c r="Q521" s="91" t="n"/>
      <c r="R521" s="91" t="n"/>
      <c r="S521" s="91" t="n"/>
      <c r="T521" s="91" t="n"/>
      <c r="U521" s="91" t="n"/>
      <c r="V521" s="91" t="n"/>
      <c r="W521" s="91" t="n"/>
      <c r="X521" s="91" t="n"/>
      <c r="Y521" s="91" t="n"/>
      <c r="Z521" s="91" t="n"/>
      <c r="AA521" s="91" t="n"/>
      <c r="AB521" s="91" t="n"/>
      <c r="AC521" s="91" t="n"/>
      <c r="AD521" s="91" t="n"/>
      <c r="AE521" s="91" t="n"/>
      <c r="AF521" s="91" t="n"/>
      <c r="AG521" s="91" t="n"/>
    </row>
    <row r="522" ht="12.75" customHeight="1" s="117">
      <c r="A522" s="91" t="n"/>
      <c r="B522" s="91" t="n"/>
      <c r="C522" s="91" t="n"/>
      <c r="D522" s="91" t="n"/>
      <c r="E522" s="91" t="n"/>
      <c r="F522" s="91" t="n"/>
      <c r="G522" s="91" t="n"/>
      <c r="H522" s="91" t="n"/>
      <c r="I522" s="91" t="n"/>
      <c r="J522" s="91" t="n"/>
      <c r="K522" s="91" t="n"/>
      <c r="L522" s="91" t="n"/>
      <c r="M522" s="91" t="n"/>
      <c r="N522" s="91" t="n"/>
      <c r="O522" s="91" t="n"/>
      <c r="P522" s="91" t="n"/>
      <c r="Q522" s="91" t="n"/>
      <c r="R522" s="91" t="n"/>
      <c r="S522" s="91" t="n"/>
      <c r="T522" s="91" t="n"/>
      <c r="U522" s="91" t="n"/>
      <c r="V522" s="91" t="n"/>
      <c r="W522" s="91" t="n"/>
      <c r="X522" s="91" t="n"/>
      <c r="Y522" s="91" t="n"/>
      <c r="Z522" s="91" t="n"/>
      <c r="AA522" s="91" t="n"/>
      <c r="AB522" s="91" t="n"/>
      <c r="AC522" s="91" t="n"/>
      <c r="AD522" s="91" t="n"/>
      <c r="AE522" s="91" t="n"/>
      <c r="AF522" s="91" t="n"/>
      <c r="AG522" s="91" t="n"/>
    </row>
    <row r="523" ht="12.75" customHeight="1" s="117">
      <c r="A523" s="91" t="n"/>
      <c r="B523" s="91" t="n"/>
      <c r="C523" s="91" t="n"/>
      <c r="D523" s="91" t="n"/>
      <c r="E523" s="91" t="n"/>
      <c r="F523" s="91" t="n"/>
      <c r="G523" s="91" t="n"/>
      <c r="H523" s="91" t="n"/>
      <c r="I523" s="91" t="n"/>
      <c r="J523" s="91" t="n"/>
      <c r="K523" s="91" t="n"/>
      <c r="L523" s="91" t="n"/>
      <c r="M523" s="91" t="n"/>
      <c r="N523" s="91" t="n"/>
      <c r="O523" s="91" t="n"/>
      <c r="P523" s="91" t="n"/>
      <c r="Q523" s="91" t="n"/>
      <c r="R523" s="91" t="n"/>
      <c r="S523" s="91" t="n"/>
      <c r="T523" s="91" t="n"/>
      <c r="U523" s="91" t="n"/>
      <c r="V523" s="91" t="n"/>
      <c r="W523" s="91" t="n"/>
      <c r="X523" s="91" t="n"/>
      <c r="Y523" s="91" t="n"/>
      <c r="Z523" s="91" t="n"/>
      <c r="AA523" s="91" t="n"/>
      <c r="AB523" s="91" t="n"/>
      <c r="AC523" s="91" t="n"/>
      <c r="AD523" s="91" t="n"/>
      <c r="AE523" s="91" t="n"/>
      <c r="AF523" s="91" t="n"/>
      <c r="AG523" s="91" t="n"/>
    </row>
    <row r="524" ht="12.75" customHeight="1" s="117">
      <c r="A524" s="91" t="n"/>
      <c r="B524" s="91" t="n"/>
      <c r="C524" s="91" t="n"/>
      <c r="D524" s="91" t="n"/>
      <c r="E524" s="91" t="n"/>
      <c r="F524" s="91" t="n"/>
      <c r="G524" s="91" t="n"/>
      <c r="H524" s="91" t="n"/>
      <c r="I524" s="91" t="n"/>
      <c r="J524" s="91" t="n"/>
      <c r="K524" s="91" t="n"/>
      <c r="L524" s="91" t="n"/>
      <c r="M524" s="91" t="n"/>
      <c r="N524" s="91" t="n"/>
      <c r="O524" s="91" t="n"/>
      <c r="P524" s="91" t="n"/>
      <c r="Q524" s="91" t="n"/>
      <c r="R524" s="91" t="n"/>
      <c r="S524" s="91" t="n"/>
      <c r="T524" s="91" t="n"/>
      <c r="U524" s="91" t="n"/>
      <c r="V524" s="91" t="n"/>
      <c r="W524" s="91" t="n"/>
      <c r="X524" s="91" t="n"/>
      <c r="Y524" s="91" t="n"/>
      <c r="Z524" s="91" t="n"/>
      <c r="AA524" s="91" t="n"/>
      <c r="AB524" s="91" t="n"/>
      <c r="AC524" s="91" t="n"/>
      <c r="AD524" s="91" t="n"/>
      <c r="AE524" s="91" t="n"/>
      <c r="AF524" s="91" t="n"/>
      <c r="AG524" s="91" t="n"/>
    </row>
    <row r="525" ht="12.75" customHeight="1" s="117">
      <c r="A525" s="91" t="n"/>
      <c r="B525" s="91" t="n"/>
      <c r="C525" s="91" t="n"/>
      <c r="D525" s="91" t="n"/>
      <c r="E525" s="91" t="n"/>
      <c r="F525" s="91" t="n"/>
      <c r="G525" s="91" t="n"/>
      <c r="H525" s="91" t="n"/>
      <c r="I525" s="91" t="n"/>
      <c r="J525" s="91" t="n"/>
      <c r="K525" s="91" t="n"/>
      <c r="L525" s="91" t="n"/>
      <c r="M525" s="91" t="n"/>
      <c r="N525" s="91" t="n"/>
      <c r="O525" s="91" t="n"/>
      <c r="P525" s="91" t="n"/>
      <c r="Q525" s="91" t="n"/>
      <c r="R525" s="91" t="n"/>
      <c r="S525" s="91" t="n"/>
      <c r="T525" s="91" t="n"/>
      <c r="U525" s="91" t="n"/>
      <c r="V525" s="91" t="n"/>
      <c r="W525" s="91" t="n"/>
      <c r="X525" s="91" t="n"/>
      <c r="Y525" s="91" t="n"/>
      <c r="Z525" s="91" t="n"/>
      <c r="AA525" s="91" t="n"/>
      <c r="AB525" s="91" t="n"/>
      <c r="AC525" s="91" t="n"/>
      <c r="AD525" s="91" t="n"/>
      <c r="AE525" s="91" t="n"/>
      <c r="AF525" s="91" t="n"/>
      <c r="AG525" s="91" t="n"/>
    </row>
    <row r="526" ht="12.75" customHeight="1" s="117">
      <c r="A526" s="91" t="n"/>
      <c r="B526" s="91" t="n"/>
      <c r="C526" s="91" t="n"/>
      <c r="D526" s="91" t="n"/>
      <c r="E526" s="91" t="n"/>
      <c r="F526" s="91" t="n"/>
      <c r="G526" s="91" t="n"/>
      <c r="H526" s="91" t="n"/>
      <c r="I526" s="91" t="n"/>
      <c r="J526" s="91" t="n"/>
      <c r="K526" s="91" t="n"/>
      <c r="L526" s="91" t="n"/>
      <c r="M526" s="91" t="n"/>
      <c r="N526" s="91" t="n"/>
      <c r="O526" s="91" t="n"/>
      <c r="P526" s="91" t="n"/>
      <c r="Q526" s="91" t="n"/>
      <c r="R526" s="91" t="n"/>
      <c r="S526" s="91" t="n"/>
      <c r="T526" s="91" t="n"/>
      <c r="U526" s="91" t="n"/>
      <c r="V526" s="91" t="n"/>
      <c r="W526" s="91" t="n"/>
      <c r="X526" s="91" t="n"/>
      <c r="Y526" s="91" t="n"/>
      <c r="Z526" s="91" t="n"/>
      <c r="AA526" s="91" t="n"/>
      <c r="AB526" s="91" t="n"/>
      <c r="AC526" s="91" t="n"/>
      <c r="AD526" s="91" t="n"/>
      <c r="AE526" s="91" t="n"/>
      <c r="AF526" s="91" t="n"/>
      <c r="AG526" s="91" t="n"/>
    </row>
    <row r="527" ht="12.75" customHeight="1" s="117">
      <c r="A527" s="91" t="n"/>
      <c r="B527" s="91" t="n"/>
      <c r="C527" s="91" t="n"/>
      <c r="D527" s="91" t="n"/>
      <c r="E527" s="91" t="n"/>
      <c r="F527" s="91" t="n"/>
      <c r="G527" s="91" t="n"/>
      <c r="H527" s="91" t="n"/>
      <c r="I527" s="91" t="n"/>
      <c r="J527" s="91" t="n"/>
      <c r="K527" s="91" t="n"/>
      <c r="L527" s="91" t="n"/>
      <c r="M527" s="91" t="n"/>
      <c r="N527" s="91" t="n"/>
      <c r="O527" s="91" t="n"/>
      <c r="P527" s="91" t="n"/>
      <c r="Q527" s="91" t="n"/>
      <c r="R527" s="91" t="n"/>
      <c r="S527" s="91" t="n"/>
      <c r="T527" s="91" t="n"/>
      <c r="U527" s="91" t="n"/>
      <c r="V527" s="91" t="n"/>
      <c r="W527" s="91" t="n"/>
      <c r="X527" s="91" t="n"/>
      <c r="Y527" s="91" t="n"/>
      <c r="Z527" s="91" t="n"/>
      <c r="AA527" s="91" t="n"/>
      <c r="AB527" s="91" t="n"/>
      <c r="AC527" s="91" t="n"/>
      <c r="AD527" s="91" t="n"/>
      <c r="AE527" s="91" t="n"/>
      <c r="AF527" s="91" t="n"/>
      <c r="AG527" s="91" t="n"/>
    </row>
    <row r="528" ht="12.75" customHeight="1" s="117">
      <c r="A528" s="91" t="n"/>
      <c r="B528" s="91" t="n"/>
      <c r="C528" s="91" t="n"/>
      <c r="D528" s="91" t="n"/>
      <c r="E528" s="91" t="n"/>
      <c r="F528" s="91" t="n"/>
      <c r="G528" s="91" t="n"/>
      <c r="H528" s="91" t="n"/>
      <c r="I528" s="91" t="n"/>
      <c r="J528" s="91" t="n"/>
      <c r="K528" s="91" t="n"/>
      <c r="L528" s="91" t="n"/>
      <c r="M528" s="91" t="n"/>
      <c r="N528" s="91" t="n"/>
      <c r="O528" s="91" t="n"/>
      <c r="P528" s="91" t="n"/>
      <c r="Q528" s="91" t="n"/>
      <c r="R528" s="91" t="n"/>
      <c r="S528" s="91" t="n"/>
      <c r="T528" s="91" t="n"/>
      <c r="U528" s="91" t="n"/>
      <c r="V528" s="91" t="n"/>
      <c r="W528" s="91" t="n"/>
      <c r="X528" s="91" t="n"/>
      <c r="Y528" s="91" t="n"/>
      <c r="Z528" s="91" t="n"/>
      <c r="AA528" s="91" t="n"/>
      <c r="AB528" s="91" t="n"/>
      <c r="AC528" s="91" t="n"/>
      <c r="AD528" s="91" t="n"/>
      <c r="AE528" s="91" t="n"/>
      <c r="AF528" s="91" t="n"/>
      <c r="AG528" s="91" t="n"/>
    </row>
    <row r="529" ht="12.75" customHeight="1" s="117">
      <c r="A529" s="91" t="n"/>
      <c r="B529" s="91" t="n"/>
      <c r="C529" s="91" t="n"/>
      <c r="D529" s="91" t="n"/>
      <c r="E529" s="91" t="n"/>
      <c r="F529" s="91" t="n"/>
      <c r="G529" s="91" t="n"/>
      <c r="H529" s="91" t="n"/>
      <c r="I529" s="91" t="n"/>
      <c r="J529" s="91" t="n"/>
      <c r="K529" s="91" t="n"/>
      <c r="L529" s="91" t="n"/>
      <c r="M529" s="91" t="n"/>
      <c r="N529" s="91" t="n"/>
      <c r="O529" s="91" t="n"/>
      <c r="P529" s="91" t="n"/>
      <c r="Q529" s="91" t="n"/>
      <c r="R529" s="91" t="n"/>
      <c r="S529" s="91" t="n"/>
      <c r="T529" s="91" t="n"/>
      <c r="U529" s="91" t="n"/>
      <c r="V529" s="91" t="n"/>
      <c r="W529" s="91" t="n"/>
      <c r="X529" s="91" t="n"/>
      <c r="Y529" s="91" t="n"/>
      <c r="Z529" s="91" t="n"/>
      <c r="AA529" s="91" t="n"/>
      <c r="AB529" s="91" t="n"/>
      <c r="AC529" s="91" t="n"/>
      <c r="AD529" s="91" t="n"/>
      <c r="AE529" s="91" t="n"/>
      <c r="AF529" s="91" t="n"/>
      <c r="AG529" s="91" t="n"/>
    </row>
    <row r="530" ht="12.75" customHeight="1" s="117">
      <c r="A530" s="91" t="n"/>
      <c r="B530" s="91" t="n"/>
      <c r="C530" s="91" t="n"/>
      <c r="D530" s="91" t="n"/>
      <c r="E530" s="91" t="n"/>
      <c r="F530" s="91" t="n"/>
      <c r="G530" s="91" t="n"/>
      <c r="H530" s="91" t="n"/>
      <c r="I530" s="91" t="n"/>
      <c r="J530" s="91" t="n"/>
      <c r="K530" s="91" t="n"/>
      <c r="L530" s="91" t="n"/>
      <c r="M530" s="91" t="n"/>
      <c r="N530" s="91" t="n"/>
      <c r="O530" s="91" t="n"/>
      <c r="P530" s="91" t="n"/>
      <c r="Q530" s="91" t="n"/>
      <c r="R530" s="91" t="n"/>
      <c r="S530" s="91" t="n"/>
      <c r="T530" s="91" t="n"/>
      <c r="U530" s="91" t="n"/>
      <c r="V530" s="91" t="n"/>
      <c r="W530" s="91" t="n"/>
      <c r="X530" s="91" t="n"/>
      <c r="Y530" s="91" t="n"/>
      <c r="Z530" s="91" t="n"/>
      <c r="AA530" s="91" t="n"/>
      <c r="AB530" s="91" t="n"/>
      <c r="AC530" s="91" t="n"/>
      <c r="AD530" s="91" t="n"/>
      <c r="AE530" s="91" t="n"/>
      <c r="AF530" s="91" t="n"/>
      <c r="AG530" s="91" t="n"/>
    </row>
    <row r="531" ht="12.75" customHeight="1" s="117">
      <c r="A531" s="91" t="n"/>
      <c r="B531" s="91" t="n"/>
      <c r="C531" s="91" t="n"/>
      <c r="D531" s="91" t="n"/>
      <c r="E531" s="91" t="n"/>
      <c r="F531" s="91" t="n"/>
      <c r="G531" s="91" t="n"/>
      <c r="H531" s="91" t="n"/>
      <c r="I531" s="91" t="n"/>
      <c r="J531" s="91" t="n"/>
      <c r="K531" s="91" t="n"/>
      <c r="L531" s="91" t="n"/>
      <c r="M531" s="91" t="n"/>
      <c r="N531" s="91" t="n"/>
      <c r="O531" s="91" t="n"/>
      <c r="P531" s="91" t="n"/>
      <c r="Q531" s="91" t="n"/>
      <c r="R531" s="91" t="n"/>
      <c r="S531" s="91" t="n"/>
      <c r="T531" s="91" t="n"/>
      <c r="U531" s="91" t="n"/>
      <c r="V531" s="91" t="n"/>
      <c r="W531" s="91" t="n"/>
      <c r="X531" s="91" t="n"/>
      <c r="Y531" s="91" t="n"/>
      <c r="Z531" s="91" t="n"/>
      <c r="AA531" s="91" t="n"/>
      <c r="AB531" s="91" t="n"/>
      <c r="AC531" s="91" t="n"/>
      <c r="AD531" s="91" t="n"/>
      <c r="AE531" s="91" t="n"/>
      <c r="AF531" s="91" t="n"/>
      <c r="AG531" s="91" t="n"/>
    </row>
    <row r="532" ht="12.75" customHeight="1" s="117">
      <c r="A532" s="91" t="n"/>
      <c r="B532" s="91" t="n"/>
      <c r="C532" s="91" t="n"/>
      <c r="D532" s="91" t="n"/>
      <c r="E532" s="91" t="n"/>
      <c r="F532" s="91" t="n"/>
      <c r="G532" s="91" t="n"/>
      <c r="H532" s="91" t="n"/>
      <c r="I532" s="91" t="n"/>
      <c r="J532" s="91" t="n"/>
      <c r="K532" s="91" t="n"/>
      <c r="L532" s="91" t="n"/>
      <c r="M532" s="91" t="n"/>
      <c r="N532" s="91" t="n"/>
      <c r="O532" s="91" t="n"/>
      <c r="P532" s="91" t="n"/>
      <c r="Q532" s="91" t="n"/>
      <c r="R532" s="91" t="n"/>
      <c r="S532" s="91" t="n"/>
      <c r="T532" s="91" t="n"/>
      <c r="U532" s="91" t="n"/>
      <c r="V532" s="91" t="n"/>
      <c r="W532" s="91" t="n"/>
      <c r="X532" s="91" t="n"/>
      <c r="Y532" s="91" t="n"/>
      <c r="Z532" s="91" t="n"/>
      <c r="AA532" s="91" t="n"/>
      <c r="AB532" s="91" t="n"/>
      <c r="AC532" s="91" t="n"/>
      <c r="AD532" s="91" t="n"/>
      <c r="AE532" s="91" t="n"/>
      <c r="AF532" s="91" t="n"/>
      <c r="AG532" s="91" t="n"/>
    </row>
    <row r="533" ht="12.75" customHeight="1" s="117">
      <c r="A533" s="91" t="n"/>
      <c r="B533" s="91" t="n"/>
      <c r="C533" s="91" t="n"/>
      <c r="D533" s="91" t="n"/>
      <c r="E533" s="91" t="n"/>
      <c r="F533" s="91" t="n"/>
      <c r="G533" s="91" t="n"/>
      <c r="H533" s="91" t="n"/>
      <c r="I533" s="91" t="n"/>
      <c r="J533" s="91" t="n"/>
      <c r="K533" s="91" t="n"/>
      <c r="L533" s="91" t="n"/>
      <c r="M533" s="91" t="n"/>
      <c r="N533" s="91" t="n"/>
      <c r="O533" s="91" t="n"/>
      <c r="P533" s="91" t="n"/>
      <c r="Q533" s="91" t="n"/>
      <c r="R533" s="91" t="n"/>
      <c r="S533" s="91" t="n"/>
      <c r="T533" s="91" t="n"/>
      <c r="U533" s="91" t="n"/>
      <c r="V533" s="91" t="n"/>
      <c r="W533" s="91" t="n"/>
      <c r="X533" s="91" t="n"/>
      <c r="Y533" s="91" t="n"/>
      <c r="Z533" s="91" t="n"/>
      <c r="AA533" s="91" t="n"/>
      <c r="AB533" s="91" t="n"/>
      <c r="AC533" s="91" t="n"/>
      <c r="AD533" s="91" t="n"/>
      <c r="AE533" s="91" t="n"/>
      <c r="AF533" s="91" t="n"/>
      <c r="AG533" s="91" t="n"/>
    </row>
    <row r="534" ht="12.75" customHeight="1" s="117">
      <c r="A534" s="91" t="n"/>
      <c r="B534" s="91" t="n"/>
      <c r="C534" s="91" t="n"/>
      <c r="D534" s="91" t="n"/>
      <c r="E534" s="91" t="n"/>
      <c r="F534" s="91" t="n"/>
      <c r="G534" s="91" t="n"/>
      <c r="H534" s="91" t="n"/>
      <c r="I534" s="91" t="n"/>
      <c r="J534" s="91" t="n"/>
      <c r="K534" s="91" t="n"/>
      <c r="L534" s="91" t="n"/>
      <c r="M534" s="91" t="n"/>
      <c r="N534" s="91" t="n"/>
      <c r="O534" s="91" t="n"/>
      <c r="P534" s="91" t="n"/>
      <c r="Q534" s="91" t="n"/>
      <c r="R534" s="91" t="n"/>
      <c r="S534" s="91" t="n"/>
      <c r="T534" s="91" t="n"/>
      <c r="U534" s="91" t="n"/>
      <c r="V534" s="91" t="n"/>
      <c r="W534" s="91" t="n"/>
      <c r="X534" s="91" t="n"/>
      <c r="Y534" s="91" t="n"/>
      <c r="Z534" s="91" t="n"/>
      <c r="AA534" s="91" t="n"/>
      <c r="AB534" s="91" t="n"/>
      <c r="AC534" s="91" t="n"/>
      <c r="AD534" s="91" t="n"/>
      <c r="AE534" s="91" t="n"/>
      <c r="AF534" s="91" t="n"/>
      <c r="AG534" s="91" t="n"/>
    </row>
    <row r="535" ht="12.75" customHeight="1" s="117">
      <c r="A535" s="91" t="n"/>
      <c r="B535" s="91" t="n"/>
      <c r="C535" s="91" t="n"/>
      <c r="D535" s="91" t="n"/>
      <c r="E535" s="91" t="n"/>
      <c r="F535" s="91" t="n"/>
      <c r="G535" s="91" t="n"/>
      <c r="H535" s="91" t="n"/>
      <c r="I535" s="91" t="n"/>
      <c r="J535" s="91" t="n"/>
      <c r="K535" s="91" t="n"/>
      <c r="L535" s="91" t="n"/>
      <c r="M535" s="91" t="n"/>
      <c r="N535" s="91" t="n"/>
      <c r="O535" s="91" t="n"/>
      <c r="P535" s="91" t="n"/>
      <c r="Q535" s="91" t="n"/>
      <c r="R535" s="91" t="n"/>
      <c r="S535" s="91" t="n"/>
      <c r="T535" s="91" t="n"/>
      <c r="U535" s="91" t="n"/>
      <c r="V535" s="91" t="n"/>
      <c r="W535" s="91" t="n"/>
      <c r="X535" s="91" t="n"/>
      <c r="Y535" s="91" t="n"/>
      <c r="Z535" s="91" t="n"/>
      <c r="AA535" s="91" t="n"/>
      <c r="AB535" s="91" t="n"/>
      <c r="AC535" s="91" t="n"/>
      <c r="AD535" s="91" t="n"/>
      <c r="AE535" s="91" t="n"/>
      <c r="AF535" s="91" t="n"/>
      <c r="AG535" s="91" t="n"/>
    </row>
    <row r="536" ht="12.75" customHeight="1" s="117">
      <c r="A536" s="91" t="n"/>
      <c r="B536" s="91" t="n"/>
      <c r="C536" s="91" t="n"/>
      <c r="D536" s="91" t="n"/>
      <c r="E536" s="91" t="n"/>
      <c r="F536" s="91" t="n"/>
      <c r="G536" s="91" t="n"/>
      <c r="H536" s="91" t="n"/>
      <c r="I536" s="91" t="n"/>
      <c r="J536" s="91" t="n"/>
      <c r="K536" s="91" t="n"/>
      <c r="L536" s="91" t="n"/>
      <c r="M536" s="91" t="n"/>
      <c r="N536" s="91" t="n"/>
      <c r="O536" s="91" t="n"/>
      <c r="P536" s="91" t="n"/>
      <c r="Q536" s="91" t="n"/>
      <c r="R536" s="91" t="n"/>
      <c r="S536" s="91" t="n"/>
      <c r="T536" s="91" t="n"/>
      <c r="U536" s="91" t="n"/>
      <c r="V536" s="91" t="n"/>
      <c r="W536" s="91" t="n"/>
      <c r="X536" s="91" t="n"/>
      <c r="Y536" s="91" t="n"/>
      <c r="Z536" s="91" t="n"/>
      <c r="AA536" s="91" t="n"/>
      <c r="AB536" s="91" t="n"/>
      <c r="AC536" s="91" t="n"/>
      <c r="AD536" s="91" t="n"/>
      <c r="AE536" s="91" t="n"/>
      <c r="AF536" s="91" t="n"/>
      <c r="AG536" s="91" t="n"/>
    </row>
    <row r="537" ht="12.75" customHeight="1" s="117">
      <c r="A537" s="91" t="n"/>
      <c r="B537" s="91" t="n"/>
      <c r="C537" s="91" t="n"/>
      <c r="D537" s="91" t="n"/>
      <c r="E537" s="91" t="n"/>
      <c r="F537" s="91" t="n"/>
      <c r="G537" s="91" t="n"/>
      <c r="H537" s="91" t="n"/>
      <c r="I537" s="91" t="n"/>
      <c r="J537" s="91" t="n"/>
      <c r="K537" s="91" t="n"/>
      <c r="L537" s="91" t="n"/>
      <c r="M537" s="91" t="n"/>
      <c r="N537" s="91" t="n"/>
      <c r="O537" s="91" t="n"/>
      <c r="P537" s="91" t="n"/>
      <c r="Q537" s="91" t="n"/>
      <c r="R537" s="91" t="n"/>
      <c r="S537" s="91" t="n"/>
      <c r="T537" s="91" t="n"/>
      <c r="U537" s="91" t="n"/>
      <c r="V537" s="91" t="n"/>
      <c r="W537" s="91" t="n"/>
      <c r="X537" s="91" t="n"/>
      <c r="Y537" s="91" t="n"/>
      <c r="Z537" s="91" t="n"/>
      <c r="AA537" s="91" t="n"/>
      <c r="AB537" s="91" t="n"/>
      <c r="AC537" s="91" t="n"/>
      <c r="AD537" s="91" t="n"/>
      <c r="AE537" s="91" t="n"/>
      <c r="AF537" s="91" t="n"/>
      <c r="AG537" s="91" t="n"/>
    </row>
    <row r="538" ht="12.75" customHeight="1" s="117">
      <c r="A538" s="91" t="n"/>
      <c r="B538" s="91" t="n"/>
      <c r="C538" s="91" t="n"/>
      <c r="D538" s="91" t="n"/>
      <c r="E538" s="91" t="n"/>
      <c r="F538" s="91" t="n"/>
      <c r="G538" s="91" t="n"/>
      <c r="H538" s="91" t="n"/>
      <c r="I538" s="91" t="n"/>
      <c r="J538" s="91" t="n"/>
      <c r="K538" s="91" t="n"/>
      <c r="L538" s="91" t="n"/>
      <c r="M538" s="91" t="n"/>
      <c r="N538" s="91" t="n"/>
      <c r="O538" s="91" t="n"/>
      <c r="P538" s="91" t="n"/>
      <c r="Q538" s="91" t="n"/>
      <c r="R538" s="91" t="n"/>
      <c r="S538" s="91" t="n"/>
      <c r="T538" s="91" t="n"/>
      <c r="U538" s="91" t="n"/>
      <c r="V538" s="91" t="n"/>
      <c r="W538" s="91" t="n"/>
      <c r="X538" s="91" t="n"/>
      <c r="Y538" s="91" t="n"/>
      <c r="Z538" s="91" t="n"/>
      <c r="AA538" s="91" t="n"/>
      <c r="AB538" s="91" t="n"/>
      <c r="AC538" s="91" t="n"/>
      <c r="AD538" s="91" t="n"/>
      <c r="AE538" s="91" t="n"/>
      <c r="AF538" s="91" t="n"/>
      <c r="AG538" s="91" t="n"/>
    </row>
    <row r="539" ht="12.75" customHeight="1" s="117">
      <c r="A539" s="91" t="n"/>
      <c r="B539" s="91" t="n"/>
      <c r="C539" s="91" t="n"/>
      <c r="D539" s="91" t="n"/>
      <c r="E539" s="91" t="n"/>
      <c r="F539" s="91" t="n"/>
      <c r="G539" s="91" t="n"/>
      <c r="H539" s="91" t="n"/>
      <c r="I539" s="91" t="n"/>
      <c r="J539" s="91" t="n"/>
      <c r="K539" s="91" t="n"/>
      <c r="L539" s="91" t="n"/>
      <c r="M539" s="91" t="n"/>
      <c r="N539" s="91" t="n"/>
      <c r="O539" s="91" t="n"/>
      <c r="P539" s="91" t="n"/>
      <c r="Q539" s="91" t="n"/>
      <c r="R539" s="91" t="n"/>
      <c r="S539" s="91" t="n"/>
      <c r="T539" s="91" t="n"/>
      <c r="U539" s="91" t="n"/>
      <c r="V539" s="91" t="n"/>
      <c r="W539" s="91" t="n"/>
      <c r="X539" s="91" t="n"/>
      <c r="Y539" s="91" t="n"/>
      <c r="Z539" s="91" t="n"/>
      <c r="AA539" s="91" t="n"/>
      <c r="AB539" s="91" t="n"/>
      <c r="AC539" s="91" t="n"/>
      <c r="AD539" s="91" t="n"/>
      <c r="AE539" s="91" t="n"/>
      <c r="AF539" s="91" t="n"/>
      <c r="AG539" s="91" t="n"/>
    </row>
    <row r="540" ht="12.75" customHeight="1" s="117">
      <c r="A540" s="91" t="n"/>
      <c r="B540" s="91" t="n"/>
      <c r="C540" s="91" t="n"/>
      <c r="D540" s="91" t="n"/>
      <c r="E540" s="91" t="n"/>
      <c r="F540" s="91" t="n"/>
      <c r="G540" s="91" t="n"/>
      <c r="H540" s="91" t="n"/>
      <c r="I540" s="91" t="n"/>
      <c r="J540" s="91" t="n"/>
      <c r="K540" s="91" t="n"/>
      <c r="L540" s="91" t="n"/>
      <c r="M540" s="91" t="n"/>
      <c r="N540" s="91" t="n"/>
      <c r="O540" s="91" t="n"/>
      <c r="P540" s="91" t="n"/>
      <c r="Q540" s="91" t="n"/>
      <c r="R540" s="91" t="n"/>
      <c r="S540" s="91" t="n"/>
      <c r="T540" s="91" t="n"/>
      <c r="U540" s="91" t="n"/>
      <c r="V540" s="91" t="n"/>
      <c r="W540" s="91" t="n"/>
      <c r="X540" s="91" t="n"/>
      <c r="Y540" s="91" t="n"/>
      <c r="Z540" s="91" t="n"/>
      <c r="AA540" s="91" t="n"/>
      <c r="AB540" s="91" t="n"/>
      <c r="AC540" s="91" t="n"/>
      <c r="AD540" s="91" t="n"/>
      <c r="AE540" s="91" t="n"/>
      <c r="AF540" s="91" t="n"/>
      <c r="AG540" s="91" t="n"/>
    </row>
    <row r="541" ht="12.75" customHeight="1" s="117">
      <c r="A541" s="91" t="n"/>
      <c r="B541" s="91" t="n"/>
      <c r="C541" s="91" t="n"/>
      <c r="D541" s="91" t="n"/>
      <c r="E541" s="91" t="n"/>
      <c r="F541" s="91" t="n"/>
      <c r="G541" s="91" t="n"/>
      <c r="H541" s="91" t="n"/>
      <c r="I541" s="91" t="n"/>
      <c r="J541" s="91" t="n"/>
      <c r="K541" s="91" t="n"/>
      <c r="L541" s="91" t="n"/>
      <c r="M541" s="91" t="n"/>
      <c r="N541" s="91" t="n"/>
      <c r="O541" s="91" t="n"/>
      <c r="P541" s="91" t="n"/>
      <c r="Q541" s="91" t="n"/>
      <c r="R541" s="91" t="n"/>
      <c r="S541" s="91" t="n"/>
      <c r="T541" s="91" t="n"/>
      <c r="U541" s="91" t="n"/>
      <c r="V541" s="91" t="n"/>
      <c r="W541" s="91" t="n"/>
      <c r="X541" s="91" t="n"/>
      <c r="Y541" s="91" t="n"/>
      <c r="Z541" s="91" t="n"/>
      <c r="AA541" s="91" t="n"/>
      <c r="AB541" s="91" t="n"/>
      <c r="AC541" s="91" t="n"/>
      <c r="AD541" s="91" t="n"/>
      <c r="AE541" s="91" t="n"/>
      <c r="AF541" s="91" t="n"/>
      <c r="AG541" s="91" t="n"/>
    </row>
    <row r="542" ht="12.75" customHeight="1" s="117">
      <c r="A542" s="91" t="n"/>
      <c r="B542" s="91" t="n"/>
      <c r="C542" s="91" t="n"/>
      <c r="D542" s="91" t="n"/>
      <c r="E542" s="91" t="n"/>
      <c r="F542" s="91" t="n"/>
      <c r="G542" s="91" t="n"/>
      <c r="H542" s="91" t="n"/>
      <c r="I542" s="91" t="n"/>
      <c r="J542" s="91" t="n"/>
      <c r="K542" s="91" t="n"/>
      <c r="L542" s="91" t="n"/>
      <c r="M542" s="91" t="n"/>
      <c r="N542" s="91" t="n"/>
      <c r="O542" s="91" t="n"/>
      <c r="P542" s="91" t="n"/>
      <c r="Q542" s="91" t="n"/>
      <c r="R542" s="91" t="n"/>
      <c r="S542" s="91" t="n"/>
      <c r="T542" s="91" t="n"/>
      <c r="U542" s="91" t="n"/>
      <c r="V542" s="91" t="n"/>
      <c r="W542" s="91" t="n"/>
      <c r="X542" s="91" t="n"/>
      <c r="Y542" s="91" t="n"/>
      <c r="Z542" s="91" t="n"/>
      <c r="AA542" s="91" t="n"/>
      <c r="AB542" s="91" t="n"/>
      <c r="AC542" s="91" t="n"/>
      <c r="AD542" s="91" t="n"/>
      <c r="AE542" s="91" t="n"/>
      <c r="AF542" s="91" t="n"/>
      <c r="AG542" s="91" t="n"/>
    </row>
    <row r="543" ht="12.75" customHeight="1" s="117">
      <c r="A543" s="91" t="n"/>
      <c r="B543" s="91" t="n"/>
      <c r="C543" s="91" t="n"/>
      <c r="D543" s="91" t="n"/>
      <c r="E543" s="91" t="n"/>
      <c r="F543" s="91" t="n"/>
      <c r="G543" s="91" t="n"/>
      <c r="H543" s="91" t="n"/>
      <c r="I543" s="91" t="n"/>
      <c r="J543" s="91" t="n"/>
      <c r="K543" s="91" t="n"/>
      <c r="L543" s="91" t="n"/>
      <c r="M543" s="91" t="n"/>
      <c r="N543" s="91" t="n"/>
      <c r="O543" s="91" t="n"/>
      <c r="P543" s="91" t="n"/>
      <c r="Q543" s="91" t="n"/>
      <c r="R543" s="91" t="n"/>
      <c r="S543" s="91" t="n"/>
      <c r="T543" s="91" t="n"/>
      <c r="U543" s="91" t="n"/>
      <c r="V543" s="91" t="n"/>
      <c r="W543" s="91" t="n"/>
      <c r="X543" s="91" t="n"/>
      <c r="Y543" s="91" t="n"/>
      <c r="Z543" s="91" t="n"/>
      <c r="AA543" s="91" t="n"/>
      <c r="AB543" s="91" t="n"/>
      <c r="AC543" s="91" t="n"/>
      <c r="AD543" s="91" t="n"/>
      <c r="AE543" s="91" t="n"/>
      <c r="AF543" s="91" t="n"/>
      <c r="AG543" s="91" t="n"/>
    </row>
    <row r="544" ht="12.75" customHeight="1" s="117">
      <c r="A544" s="91" t="n"/>
      <c r="B544" s="91" t="n"/>
      <c r="C544" s="91" t="n"/>
      <c r="D544" s="91" t="n"/>
      <c r="E544" s="91" t="n"/>
      <c r="F544" s="91" t="n"/>
      <c r="G544" s="91" t="n"/>
      <c r="H544" s="91" t="n"/>
      <c r="I544" s="91" t="n"/>
      <c r="J544" s="91" t="n"/>
      <c r="K544" s="91" t="n"/>
      <c r="L544" s="91" t="n"/>
      <c r="M544" s="91" t="n"/>
      <c r="N544" s="91" t="n"/>
      <c r="O544" s="91" t="n"/>
      <c r="P544" s="91" t="n"/>
      <c r="Q544" s="91" t="n"/>
      <c r="R544" s="91" t="n"/>
      <c r="S544" s="91" t="n"/>
      <c r="T544" s="91" t="n"/>
      <c r="U544" s="91" t="n"/>
      <c r="V544" s="91" t="n"/>
      <c r="W544" s="91" t="n"/>
      <c r="X544" s="91" t="n"/>
      <c r="Y544" s="91" t="n"/>
      <c r="Z544" s="91" t="n"/>
      <c r="AA544" s="91" t="n"/>
      <c r="AB544" s="91" t="n"/>
      <c r="AC544" s="91" t="n"/>
      <c r="AD544" s="91" t="n"/>
      <c r="AE544" s="91" t="n"/>
      <c r="AF544" s="91" t="n"/>
      <c r="AG544" s="91" t="n"/>
    </row>
    <row r="545" ht="12.75" customHeight="1" s="117">
      <c r="A545" s="91" t="n"/>
      <c r="B545" s="91" t="n"/>
      <c r="C545" s="91" t="n"/>
      <c r="D545" s="91" t="n"/>
      <c r="E545" s="91" t="n"/>
      <c r="F545" s="91" t="n"/>
      <c r="G545" s="91" t="n"/>
      <c r="H545" s="91" t="n"/>
      <c r="I545" s="91" t="n"/>
      <c r="J545" s="91" t="n"/>
      <c r="K545" s="91" t="n"/>
      <c r="L545" s="91" t="n"/>
      <c r="M545" s="91" t="n"/>
      <c r="N545" s="91" t="n"/>
      <c r="O545" s="91" t="n"/>
      <c r="P545" s="91" t="n"/>
      <c r="Q545" s="91" t="n"/>
      <c r="R545" s="91" t="n"/>
      <c r="S545" s="91" t="n"/>
      <c r="T545" s="91" t="n"/>
      <c r="U545" s="91" t="n"/>
      <c r="V545" s="91" t="n"/>
      <c r="W545" s="91" t="n"/>
      <c r="X545" s="91" t="n"/>
      <c r="Y545" s="91" t="n"/>
      <c r="Z545" s="91" t="n"/>
      <c r="AA545" s="91" t="n"/>
      <c r="AB545" s="91" t="n"/>
      <c r="AC545" s="91" t="n"/>
      <c r="AD545" s="91" t="n"/>
      <c r="AE545" s="91" t="n"/>
      <c r="AF545" s="91" t="n"/>
      <c r="AG545" s="91" t="n"/>
    </row>
    <row r="546" ht="12.75" customHeight="1" s="117">
      <c r="A546" s="91" t="n"/>
      <c r="B546" s="91" t="n"/>
      <c r="C546" s="91" t="n"/>
      <c r="D546" s="91" t="n"/>
      <c r="E546" s="91" t="n"/>
      <c r="F546" s="91" t="n"/>
      <c r="G546" s="91" t="n"/>
      <c r="H546" s="91" t="n"/>
      <c r="I546" s="91" t="n"/>
      <c r="J546" s="91" t="n"/>
      <c r="K546" s="91" t="n"/>
      <c r="L546" s="91" t="n"/>
      <c r="M546" s="91" t="n"/>
      <c r="N546" s="91" t="n"/>
      <c r="O546" s="91" t="n"/>
      <c r="P546" s="91" t="n"/>
      <c r="Q546" s="91" t="n"/>
      <c r="R546" s="91" t="n"/>
      <c r="S546" s="91" t="n"/>
      <c r="T546" s="91" t="n"/>
      <c r="U546" s="91" t="n"/>
      <c r="V546" s="91" t="n"/>
      <c r="W546" s="91" t="n"/>
      <c r="X546" s="91" t="n"/>
      <c r="Y546" s="91" t="n"/>
      <c r="Z546" s="91" t="n"/>
      <c r="AA546" s="91" t="n"/>
      <c r="AB546" s="91" t="n"/>
      <c r="AC546" s="91" t="n"/>
      <c r="AD546" s="91" t="n"/>
      <c r="AE546" s="91" t="n"/>
      <c r="AF546" s="91" t="n"/>
      <c r="AG546" s="91" t="n"/>
    </row>
    <row r="547" ht="12.75" customHeight="1" s="117">
      <c r="A547" s="91" t="n"/>
      <c r="B547" s="91" t="n"/>
      <c r="C547" s="91" t="n"/>
      <c r="D547" s="91" t="n"/>
      <c r="E547" s="91" t="n"/>
      <c r="F547" s="91" t="n"/>
      <c r="G547" s="91" t="n"/>
      <c r="H547" s="91" t="n"/>
      <c r="I547" s="91" t="n"/>
      <c r="J547" s="91" t="n"/>
      <c r="K547" s="91" t="n"/>
      <c r="L547" s="91" t="n"/>
      <c r="M547" s="91" t="n"/>
      <c r="N547" s="91" t="n"/>
      <c r="O547" s="91" t="n"/>
      <c r="P547" s="91" t="n"/>
      <c r="Q547" s="91" t="n"/>
      <c r="R547" s="91" t="n"/>
      <c r="S547" s="91" t="n"/>
      <c r="T547" s="91" t="n"/>
      <c r="U547" s="91" t="n"/>
      <c r="V547" s="91" t="n"/>
      <c r="W547" s="91" t="n"/>
      <c r="X547" s="91" t="n"/>
      <c r="Y547" s="91" t="n"/>
      <c r="Z547" s="91" t="n"/>
      <c r="AA547" s="91" t="n"/>
      <c r="AB547" s="91" t="n"/>
      <c r="AC547" s="91" t="n"/>
      <c r="AD547" s="91" t="n"/>
      <c r="AE547" s="91" t="n"/>
      <c r="AF547" s="91" t="n"/>
      <c r="AG547" s="91" t="n"/>
    </row>
    <row r="548" ht="12.75" customHeight="1" s="117">
      <c r="A548" s="91" t="n"/>
      <c r="B548" s="91" t="n"/>
      <c r="C548" s="91" t="n"/>
      <c r="D548" s="91" t="n"/>
      <c r="E548" s="91" t="n"/>
      <c r="F548" s="91" t="n"/>
      <c r="G548" s="91" t="n"/>
      <c r="H548" s="91" t="n"/>
      <c r="I548" s="91" t="n"/>
      <c r="J548" s="91" t="n"/>
      <c r="K548" s="91" t="n"/>
      <c r="L548" s="91" t="n"/>
      <c r="M548" s="91" t="n"/>
      <c r="N548" s="91" t="n"/>
      <c r="O548" s="91" t="n"/>
      <c r="P548" s="91" t="n"/>
      <c r="Q548" s="91" t="n"/>
      <c r="R548" s="91" t="n"/>
      <c r="S548" s="91" t="n"/>
      <c r="T548" s="91" t="n"/>
      <c r="U548" s="91" t="n"/>
      <c r="V548" s="91" t="n"/>
      <c r="W548" s="91" t="n"/>
      <c r="X548" s="91" t="n"/>
      <c r="Y548" s="91" t="n"/>
      <c r="Z548" s="91" t="n"/>
      <c r="AA548" s="91" t="n"/>
      <c r="AB548" s="91" t="n"/>
      <c r="AC548" s="91" t="n"/>
      <c r="AD548" s="91" t="n"/>
      <c r="AE548" s="91" t="n"/>
      <c r="AF548" s="91" t="n"/>
      <c r="AG548" s="91" t="n"/>
    </row>
    <row r="549" ht="12.75" customHeight="1" s="117">
      <c r="A549" s="91" t="n"/>
      <c r="B549" s="91" t="n"/>
      <c r="C549" s="91" t="n"/>
      <c r="D549" s="91" t="n"/>
      <c r="E549" s="91" t="n"/>
      <c r="F549" s="91" t="n"/>
      <c r="G549" s="91" t="n"/>
      <c r="H549" s="91" t="n"/>
      <c r="I549" s="91" t="n"/>
      <c r="J549" s="91" t="n"/>
      <c r="K549" s="91" t="n"/>
      <c r="L549" s="91" t="n"/>
      <c r="M549" s="91" t="n"/>
      <c r="N549" s="91" t="n"/>
      <c r="O549" s="91" t="n"/>
      <c r="P549" s="91" t="n"/>
      <c r="Q549" s="91" t="n"/>
      <c r="R549" s="91" t="n"/>
      <c r="S549" s="91" t="n"/>
      <c r="T549" s="91" t="n"/>
      <c r="U549" s="91" t="n"/>
      <c r="V549" s="91" t="n"/>
      <c r="W549" s="91" t="n"/>
      <c r="X549" s="91" t="n"/>
      <c r="Y549" s="91" t="n"/>
      <c r="Z549" s="91" t="n"/>
      <c r="AA549" s="91" t="n"/>
      <c r="AB549" s="91" t="n"/>
      <c r="AC549" s="91" t="n"/>
      <c r="AD549" s="91" t="n"/>
      <c r="AE549" s="91" t="n"/>
      <c r="AF549" s="91" t="n"/>
      <c r="AG549" s="91" t="n"/>
    </row>
    <row r="550" ht="12.75" customHeight="1" s="117">
      <c r="A550" s="91" t="n"/>
      <c r="B550" s="91" t="n"/>
      <c r="C550" s="91" t="n"/>
      <c r="D550" s="91" t="n"/>
      <c r="E550" s="91" t="n"/>
      <c r="F550" s="91" t="n"/>
      <c r="G550" s="91" t="n"/>
      <c r="H550" s="91" t="n"/>
      <c r="I550" s="91" t="n"/>
      <c r="J550" s="91" t="n"/>
      <c r="K550" s="91" t="n"/>
      <c r="L550" s="91" t="n"/>
      <c r="M550" s="91" t="n"/>
      <c r="N550" s="91" t="n"/>
      <c r="O550" s="91" t="n"/>
      <c r="P550" s="91" t="n"/>
      <c r="Q550" s="91" t="n"/>
      <c r="R550" s="91" t="n"/>
      <c r="S550" s="91" t="n"/>
      <c r="T550" s="91" t="n"/>
      <c r="U550" s="91" t="n"/>
      <c r="V550" s="91" t="n"/>
      <c r="W550" s="91" t="n"/>
      <c r="X550" s="91" t="n"/>
      <c r="Y550" s="91" t="n"/>
      <c r="Z550" s="91" t="n"/>
      <c r="AA550" s="91" t="n"/>
      <c r="AB550" s="91" t="n"/>
      <c r="AC550" s="91" t="n"/>
      <c r="AD550" s="91" t="n"/>
      <c r="AE550" s="91" t="n"/>
      <c r="AF550" s="91" t="n"/>
      <c r="AG550" s="91" t="n"/>
    </row>
    <row r="551" ht="12.75" customHeight="1" s="117">
      <c r="A551" s="91" t="n"/>
      <c r="B551" s="91" t="n"/>
      <c r="C551" s="91" t="n"/>
      <c r="D551" s="91" t="n"/>
      <c r="E551" s="91" t="n"/>
      <c r="F551" s="91" t="n"/>
      <c r="G551" s="91" t="n"/>
      <c r="H551" s="91" t="n"/>
      <c r="I551" s="91" t="n"/>
      <c r="J551" s="91" t="n"/>
      <c r="K551" s="91" t="n"/>
      <c r="L551" s="91" t="n"/>
      <c r="M551" s="91" t="n"/>
      <c r="N551" s="91" t="n"/>
      <c r="O551" s="91" t="n"/>
      <c r="P551" s="91" t="n"/>
      <c r="Q551" s="91" t="n"/>
      <c r="R551" s="91" t="n"/>
      <c r="S551" s="91" t="n"/>
      <c r="T551" s="91" t="n"/>
      <c r="U551" s="91" t="n"/>
      <c r="V551" s="91" t="n"/>
      <c r="W551" s="91" t="n"/>
      <c r="X551" s="91" t="n"/>
      <c r="Y551" s="91" t="n"/>
      <c r="Z551" s="91" t="n"/>
      <c r="AA551" s="91" t="n"/>
      <c r="AB551" s="91" t="n"/>
      <c r="AC551" s="91" t="n"/>
      <c r="AD551" s="91" t="n"/>
      <c r="AE551" s="91" t="n"/>
      <c r="AF551" s="91" t="n"/>
      <c r="AG551" s="91" t="n"/>
    </row>
    <row r="552" ht="12.75" customHeight="1" s="117">
      <c r="A552" s="91" t="n"/>
      <c r="B552" s="91" t="n"/>
      <c r="C552" s="91" t="n"/>
      <c r="D552" s="91" t="n"/>
      <c r="E552" s="91" t="n"/>
      <c r="F552" s="91" t="n"/>
      <c r="G552" s="91" t="n"/>
      <c r="H552" s="91" t="n"/>
      <c r="I552" s="91" t="n"/>
      <c r="J552" s="91" t="n"/>
      <c r="K552" s="91" t="n"/>
      <c r="L552" s="91" t="n"/>
      <c r="M552" s="91" t="n"/>
      <c r="N552" s="91" t="n"/>
      <c r="O552" s="91" t="n"/>
      <c r="P552" s="91" t="n"/>
      <c r="Q552" s="91" t="n"/>
      <c r="R552" s="91" t="n"/>
      <c r="S552" s="91" t="n"/>
      <c r="T552" s="91" t="n"/>
      <c r="U552" s="91" t="n"/>
      <c r="V552" s="91" t="n"/>
      <c r="W552" s="91" t="n"/>
      <c r="X552" s="91" t="n"/>
      <c r="Y552" s="91" t="n"/>
      <c r="Z552" s="91" t="n"/>
      <c r="AA552" s="91" t="n"/>
      <c r="AB552" s="91" t="n"/>
      <c r="AC552" s="91" t="n"/>
      <c r="AD552" s="91" t="n"/>
      <c r="AE552" s="91" t="n"/>
      <c r="AF552" s="91" t="n"/>
      <c r="AG552" s="91" t="n"/>
    </row>
    <row r="553" ht="12.75" customHeight="1" s="117">
      <c r="A553" s="91" t="n"/>
      <c r="B553" s="91" t="n"/>
      <c r="C553" s="91" t="n"/>
      <c r="D553" s="91" t="n"/>
      <c r="E553" s="91" t="n"/>
      <c r="F553" s="91" t="n"/>
      <c r="G553" s="91" t="n"/>
      <c r="H553" s="91" t="n"/>
      <c r="I553" s="91" t="n"/>
      <c r="J553" s="91" t="n"/>
      <c r="K553" s="91" t="n"/>
      <c r="L553" s="91" t="n"/>
      <c r="M553" s="91" t="n"/>
      <c r="N553" s="91" t="n"/>
      <c r="O553" s="91" t="n"/>
      <c r="P553" s="91" t="n"/>
      <c r="Q553" s="91" t="n"/>
      <c r="R553" s="91" t="n"/>
      <c r="S553" s="91" t="n"/>
      <c r="T553" s="91" t="n"/>
      <c r="U553" s="91" t="n"/>
      <c r="V553" s="91" t="n"/>
      <c r="W553" s="91" t="n"/>
      <c r="X553" s="91" t="n"/>
      <c r="Y553" s="91" t="n"/>
      <c r="Z553" s="91" t="n"/>
      <c r="AA553" s="91" t="n"/>
      <c r="AB553" s="91" t="n"/>
      <c r="AC553" s="91" t="n"/>
      <c r="AD553" s="91" t="n"/>
      <c r="AE553" s="91" t="n"/>
      <c r="AF553" s="91" t="n"/>
      <c r="AG553" s="91" t="n"/>
    </row>
    <row r="554" ht="12.75" customHeight="1" s="117">
      <c r="A554" s="91" t="n"/>
      <c r="B554" s="91" t="n"/>
      <c r="C554" s="91" t="n"/>
      <c r="D554" s="91" t="n"/>
      <c r="E554" s="91" t="n"/>
      <c r="F554" s="91" t="n"/>
      <c r="G554" s="91" t="n"/>
      <c r="H554" s="91" t="n"/>
      <c r="I554" s="91" t="n"/>
      <c r="J554" s="91" t="n"/>
      <c r="K554" s="91" t="n"/>
      <c r="L554" s="91" t="n"/>
      <c r="M554" s="91" t="n"/>
      <c r="N554" s="91" t="n"/>
      <c r="O554" s="91" t="n"/>
      <c r="P554" s="91" t="n"/>
      <c r="Q554" s="91" t="n"/>
      <c r="R554" s="91" t="n"/>
      <c r="S554" s="91" t="n"/>
      <c r="T554" s="91" t="n"/>
      <c r="U554" s="91" t="n"/>
      <c r="V554" s="91" t="n"/>
      <c r="W554" s="91" t="n"/>
      <c r="X554" s="91" t="n"/>
      <c r="Y554" s="91" t="n"/>
      <c r="Z554" s="91" t="n"/>
      <c r="AA554" s="91" t="n"/>
      <c r="AB554" s="91" t="n"/>
      <c r="AC554" s="91" t="n"/>
      <c r="AD554" s="91" t="n"/>
      <c r="AE554" s="91" t="n"/>
      <c r="AF554" s="91" t="n"/>
      <c r="AG554" s="91" t="n"/>
    </row>
    <row r="555" ht="12.75" customHeight="1" s="117">
      <c r="A555" s="91" t="n"/>
      <c r="B555" s="91" t="n"/>
      <c r="C555" s="91" t="n"/>
      <c r="D555" s="91" t="n"/>
      <c r="E555" s="91" t="n"/>
      <c r="F555" s="91" t="n"/>
      <c r="G555" s="91" t="n"/>
      <c r="H555" s="91" t="n"/>
      <c r="I555" s="91" t="n"/>
      <c r="J555" s="91" t="n"/>
      <c r="K555" s="91" t="n"/>
      <c r="L555" s="91" t="n"/>
      <c r="M555" s="91" t="n"/>
      <c r="N555" s="91" t="n"/>
      <c r="O555" s="91" t="n"/>
      <c r="P555" s="91" t="n"/>
      <c r="Q555" s="91" t="n"/>
      <c r="R555" s="91" t="n"/>
      <c r="S555" s="91" t="n"/>
      <c r="T555" s="91" t="n"/>
      <c r="U555" s="91" t="n"/>
      <c r="V555" s="91" t="n"/>
      <c r="W555" s="91" t="n"/>
      <c r="X555" s="91" t="n"/>
      <c r="Y555" s="91" t="n"/>
      <c r="Z555" s="91" t="n"/>
      <c r="AA555" s="91" t="n"/>
      <c r="AB555" s="91" t="n"/>
      <c r="AC555" s="91" t="n"/>
      <c r="AD555" s="91" t="n"/>
      <c r="AE555" s="91" t="n"/>
      <c r="AF555" s="91" t="n"/>
      <c r="AG555" s="91" t="n"/>
    </row>
    <row r="556" ht="12.75" customHeight="1" s="117">
      <c r="A556" s="91" t="n"/>
      <c r="B556" s="91" t="n"/>
      <c r="C556" s="91" t="n"/>
      <c r="D556" s="91" t="n"/>
      <c r="E556" s="91" t="n"/>
      <c r="F556" s="91" t="n"/>
      <c r="G556" s="91" t="n"/>
      <c r="H556" s="91" t="n"/>
      <c r="I556" s="91" t="n"/>
      <c r="J556" s="91" t="n"/>
      <c r="K556" s="91" t="n"/>
      <c r="L556" s="91" t="n"/>
      <c r="M556" s="91" t="n"/>
      <c r="N556" s="91" t="n"/>
      <c r="O556" s="91" t="n"/>
      <c r="P556" s="91" t="n"/>
      <c r="Q556" s="91" t="n"/>
      <c r="R556" s="91" t="n"/>
      <c r="S556" s="91" t="n"/>
      <c r="T556" s="91" t="n"/>
      <c r="U556" s="91" t="n"/>
      <c r="V556" s="91" t="n"/>
      <c r="W556" s="91" t="n"/>
      <c r="X556" s="91" t="n"/>
      <c r="Y556" s="91" t="n"/>
      <c r="Z556" s="91" t="n"/>
      <c r="AA556" s="91" t="n"/>
      <c r="AB556" s="91" t="n"/>
      <c r="AC556" s="91" t="n"/>
      <c r="AD556" s="91" t="n"/>
      <c r="AE556" s="91" t="n"/>
      <c r="AF556" s="91" t="n"/>
      <c r="AG556" s="91" t="n"/>
    </row>
    <row r="557" ht="12.75" customHeight="1" s="117">
      <c r="A557" s="91" t="n"/>
      <c r="B557" s="91" t="n"/>
      <c r="C557" s="91" t="n"/>
      <c r="D557" s="91" t="n"/>
      <c r="E557" s="91" t="n"/>
      <c r="F557" s="91" t="n"/>
      <c r="G557" s="91" t="n"/>
      <c r="H557" s="91" t="n"/>
      <c r="I557" s="91" t="n"/>
      <c r="J557" s="91" t="n"/>
      <c r="K557" s="91" t="n"/>
      <c r="L557" s="91" t="n"/>
      <c r="M557" s="91" t="n"/>
      <c r="N557" s="91" t="n"/>
      <c r="O557" s="91" t="n"/>
      <c r="P557" s="91" t="n"/>
      <c r="Q557" s="91" t="n"/>
      <c r="R557" s="91" t="n"/>
      <c r="S557" s="91" t="n"/>
      <c r="T557" s="91" t="n"/>
      <c r="U557" s="91" t="n"/>
      <c r="V557" s="91" t="n"/>
      <c r="W557" s="91" t="n"/>
      <c r="X557" s="91" t="n"/>
      <c r="Y557" s="91" t="n"/>
      <c r="Z557" s="91" t="n"/>
      <c r="AA557" s="91" t="n"/>
      <c r="AB557" s="91" t="n"/>
      <c r="AC557" s="91" t="n"/>
      <c r="AD557" s="91" t="n"/>
      <c r="AE557" s="91" t="n"/>
      <c r="AF557" s="91" t="n"/>
      <c r="AG557" s="91" t="n"/>
    </row>
    <row r="558" ht="12.75" customHeight="1" s="117">
      <c r="A558" s="91" t="n"/>
      <c r="B558" s="91" t="n"/>
      <c r="C558" s="91" t="n"/>
      <c r="D558" s="91" t="n"/>
      <c r="E558" s="91" t="n"/>
      <c r="F558" s="91" t="n"/>
      <c r="G558" s="91" t="n"/>
      <c r="H558" s="91" t="n"/>
      <c r="I558" s="91" t="n"/>
      <c r="J558" s="91" t="n"/>
      <c r="K558" s="91" t="n"/>
      <c r="L558" s="91" t="n"/>
      <c r="M558" s="91" t="n"/>
      <c r="N558" s="91" t="n"/>
      <c r="O558" s="91" t="n"/>
      <c r="P558" s="91" t="n"/>
      <c r="Q558" s="91" t="n"/>
      <c r="R558" s="91" t="n"/>
      <c r="S558" s="91" t="n"/>
      <c r="T558" s="91" t="n"/>
      <c r="U558" s="91" t="n"/>
      <c r="V558" s="91" t="n"/>
      <c r="W558" s="91" t="n"/>
      <c r="X558" s="91" t="n"/>
      <c r="Y558" s="91" t="n"/>
      <c r="Z558" s="91" t="n"/>
      <c r="AA558" s="91" t="n"/>
      <c r="AB558" s="91" t="n"/>
      <c r="AC558" s="91" t="n"/>
      <c r="AD558" s="91" t="n"/>
      <c r="AE558" s="91" t="n"/>
      <c r="AF558" s="91" t="n"/>
      <c r="AG558" s="91" t="n"/>
    </row>
    <row r="559" ht="12.75" customHeight="1" s="117">
      <c r="A559" s="91" t="n"/>
      <c r="B559" s="91" t="n"/>
      <c r="C559" s="91" t="n"/>
      <c r="D559" s="91" t="n"/>
      <c r="E559" s="91" t="n"/>
      <c r="F559" s="91" t="n"/>
      <c r="G559" s="91" t="n"/>
      <c r="H559" s="91" t="n"/>
      <c r="I559" s="91" t="n"/>
      <c r="J559" s="91" t="n"/>
      <c r="K559" s="91" t="n"/>
      <c r="L559" s="91" t="n"/>
      <c r="M559" s="91" t="n"/>
      <c r="N559" s="91" t="n"/>
      <c r="O559" s="91" t="n"/>
      <c r="P559" s="91" t="n"/>
      <c r="Q559" s="91" t="n"/>
      <c r="R559" s="91" t="n"/>
      <c r="S559" s="91" t="n"/>
      <c r="T559" s="91" t="n"/>
      <c r="U559" s="91" t="n"/>
      <c r="V559" s="91" t="n"/>
      <c r="W559" s="91" t="n"/>
      <c r="X559" s="91" t="n"/>
      <c r="Y559" s="91" t="n"/>
      <c r="Z559" s="91" t="n"/>
      <c r="AA559" s="91" t="n"/>
      <c r="AB559" s="91" t="n"/>
      <c r="AC559" s="91" t="n"/>
      <c r="AD559" s="91" t="n"/>
      <c r="AE559" s="91" t="n"/>
      <c r="AF559" s="91" t="n"/>
      <c r="AG559" s="91" t="n"/>
    </row>
    <row r="560" ht="12.75" customHeight="1" s="117">
      <c r="A560" s="91" t="n"/>
      <c r="B560" s="91" t="n"/>
      <c r="C560" s="91" t="n"/>
      <c r="D560" s="91" t="n"/>
      <c r="E560" s="91" t="n"/>
      <c r="F560" s="91" t="n"/>
      <c r="G560" s="91" t="n"/>
      <c r="H560" s="91" t="n"/>
      <c r="I560" s="91" t="n"/>
      <c r="J560" s="91" t="n"/>
      <c r="K560" s="91" t="n"/>
      <c r="L560" s="91" t="n"/>
      <c r="M560" s="91" t="n"/>
      <c r="N560" s="91" t="n"/>
      <c r="O560" s="91" t="n"/>
      <c r="P560" s="91" t="n"/>
      <c r="Q560" s="91" t="n"/>
      <c r="R560" s="91" t="n"/>
      <c r="S560" s="91" t="n"/>
      <c r="T560" s="91" t="n"/>
      <c r="U560" s="91" t="n"/>
      <c r="V560" s="91" t="n"/>
      <c r="W560" s="91" t="n"/>
      <c r="X560" s="91" t="n"/>
      <c r="Y560" s="91" t="n"/>
      <c r="Z560" s="91" t="n"/>
      <c r="AA560" s="91" t="n"/>
      <c r="AB560" s="91" t="n"/>
      <c r="AC560" s="91" t="n"/>
      <c r="AD560" s="91" t="n"/>
      <c r="AE560" s="91" t="n"/>
      <c r="AF560" s="91" t="n"/>
      <c r="AG560" s="91" t="n"/>
    </row>
    <row r="561" ht="12.75" customHeight="1" s="117">
      <c r="A561" s="91" t="n"/>
      <c r="B561" s="91" t="n"/>
      <c r="C561" s="91" t="n"/>
      <c r="D561" s="91" t="n"/>
      <c r="E561" s="91" t="n"/>
      <c r="F561" s="91" t="n"/>
      <c r="G561" s="91" t="n"/>
      <c r="H561" s="91" t="n"/>
      <c r="I561" s="91" t="n"/>
      <c r="J561" s="91" t="n"/>
      <c r="K561" s="91" t="n"/>
      <c r="L561" s="91" t="n"/>
      <c r="M561" s="91" t="n"/>
      <c r="N561" s="91" t="n"/>
      <c r="O561" s="91" t="n"/>
      <c r="P561" s="91" t="n"/>
      <c r="Q561" s="91" t="n"/>
      <c r="R561" s="91" t="n"/>
      <c r="S561" s="91" t="n"/>
      <c r="T561" s="91" t="n"/>
      <c r="U561" s="91" t="n"/>
      <c r="V561" s="91" t="n"/>
      <c r="W561" s="91" t="n"/>
      <c r="X561" s="91" t="n"/>
      <c r="Y561" s="91" t="n"/>
      <c r="Z561" s="91" t="n"/>
      <c r="AA561" s="91" t="n"/>
      <c r="AB561" s="91" t="n"/>
      <c r="AC561" s="91" t="n"/>
      <c r="AD561" s="91" t="n"/>
      <c r="AE561" s="91" t="n"/>
      <c r="AF561" s="91" t="n"/>
      <c r="AG561" s="91" t="n"/>
    </row>
    <row r="562" ht="12.75" customHeight="1" s="117">
      <c r="A562" s="91" t="n"/>
      <c r="B562" s="91" t="n"/>
      <c r="C562" s="91" t="n"/>
      <c r="D562" s="91" t="n"/>
      <c r="E562" s="91" t="n"/>
      <c r="F562" s="91" t="n"/>
      <c r="G562" s="91" t="n"/>
      <c r="H562" s="91" t="n"/>
      <c r="I562" s="91" t="n"/>
      <c r="J562" s="91" t="n"/>
      <c r="K562" s="91" t="n"/>
      <c r="L562" s="91" t="n"/>
      <c r="M562" s="91" t="n"/>
      <c r="N562" s="91" t="n"/>
      <c r="O562" s="91" t="n"/>
      <c r="P562" s="91" t="n"/>
      <c r="Q562" s="91" t="n"/>
      <c r="R562" s="91" t="n"/>
      <c r="S562" s="91" t="n"/>
      <c r="T562" s="91" t="n"/>
      <c r="U562" s="91" t="n"/>
      <c r="V562" s="91" t="n"/>
      <c r="W562" s="91" t="n"/>
      <c r="X562" s="91" t="n"/>
      <c r="Y562" s="91" t="n"/>
      <c r="Z562" s="91" t="n"/>
      <c r="AA562" s="91" t="n"/>
      <c r="AB562" s="91" t="n"/>
      <c r="AC562" s="91" t="n"/>
      <c r="AD562" s="91" t="n"/>
      <c r="AE562" s="91" t="n"/>
      <c r="AF562" s="91" t="n"/>
      <c r="AG562" s="91" t="n"/>
    </row>
    <row r="563" ht="12.75" customHeight="1" s="117">
      <c r="A563" s="91" t="n"/>
      <c r="B563" s="91" t="n"/>
      <c r="C563" s="91" t="n"/>
      <c r="D563" s="91" t="n"/>
      <c r="E563" s="91" t="n"/>
      <c r="F563" s="91" t="n"/>
      <c r="G563" s="91" t="n"/>
      <c r="H563" s="91" t="n"/>
      <c r="I563" s="91" t="n"/>
      <c r="J563" s="91" t="n"/>
      <c r="K563" s="91" t="n"/>
      <c r="L563" s="91" t="n"/>
      <c r="M563" s="91" t="n"/>
      <c r="N563" s="91" t="n"/>
      <c r="O563" s="91" t="n"/>
      <c r="P563" s="91" t="n"/>
      <c r="Q563" s="91" t="n"/>
      <c r="R563" s="91" t="n"/>
      <c r="S563" s="91" t="n"/>
      <c r="T563" s="91" t="n"/>
      <c r="U563" s="91" t="n"/>
      <c r="V563" s="91" t="n"/>
      <c r="W563" s="91" t="n"/>
      <c r="X563" s="91" t="n"/>
      <c r="Y563" s="91" t="n"/>
      <c r="Z563" s="91" t="n"/>
      <c r="AA563" s="91" t="n"/>
      <c r="AB563" s="91" t="n"/>
      <c r="AC563" s="91" t="n"/>
      <c r="AD563" s="91" t="n"/>
      <c r="AE563" s="91" t="n"/>
      <c r="AF563" s="91" t="n"/>
      <c r="AG563" s="91" t="n"/>
    </row>
    <row r="564" ht="12.75" customHeight="1" s="117">
      <c r="A564" s="91" t="n"/>
      <c r="B564" s="91" t="n"/>
      <c r="C564" s="91" t="n"/>
      <c r="D564" s="91" t="n"/>
      <c r="E564" s="91" t="n"/>
      <c r="F564" s="91" t="n"/>
      <c r="G564" s="91" t="n"/>
      <c r="H564" s="91" t="n"/>
      <c r="I564" s="91" t="n"/>
      <c r="J564" s="91" t="n"/>
      <c r="K564" s="91" t="n"/>
      <c r="L564" s="91" t="n"/>
      <c r="M564" s="91" t="n"/>
      <c r="N564" s="91" t="n"/>
      <c r="O564" s="91" t="n"/>
      <c r="P564" s="91" t="n"/>
      <c r="Q564" s="91" t="n"/>
      <c r="R564" s="91" t="n"/>
      <c r="S564" s="91" t="n"/>
      <c r="T564" s="91" t="n"/>
      <c r="U564" s="91" t="n"/>
      <c r="V564" s="91" t="n"/>
      <c r="W564" s="91" t="n"/>
      <c r="X564" s="91" t="n"/>
      <c r="Y564" s="91" t="n"/>
      <c r="Z564" s="91" t="n"/>
      <c r="AA564" s="91" t="n"/>
      <c r="AB564" s="91" t="n"/>
      <c r="AC564" s="91" t="n"/>
      <c r="AD564" s="91" t="n"/>
      <c r="AE564" s="91" t="n"/>
      <c r="AF564" s="91" t="n"/>
      <c r="AG564" s="91" t="n"/>
    </row>
    <row r="565" ht="12.75" customHeight="1" s="117">
      <c r="A565" s="91" t="n"/>
      <c r="B565" s="91" t="n"/>
      <c r="C565" s="91" t="n"/>
      <c r="D565" s="91" t="n"/>
      <c r="E565" s="91" t="n"/>
      <c r="F565" s="91" t="n"/>
      <c r="G565" s="91" t="n"/>
      <c r="H565" s="91" t="n"/>
      <c r="I565" s="91" t="n"/>
      <c r="J565" s="91" t="n"/>
      <c r="K565" s="91" t="n"/>
      <c r="L565" s="91" t="n"/>
      <c r="M565" s="91" t="n"/>
      <c r="N565" s="91" t="n"/>
      <c r="O565" s="91" t="n"/>
      <c r="P565" s="91" t="n"/>
      <c r="Q565" s="91" t="n"/>
      <c r="R565" s="91" t="n"/>
      <c r="S565" s="91" t="n"/>
      <c r="T565" s="91" t="n"/>
      <c r="U565" s="91" t="n"/>
      <c r="V565" s="91" t="n"/>
      <c r="W565" s="91" t="n"/>
      <c r="X565" s="91" t="n"/>
      <c r="Y565" s="91" t="n"/>
      <c r="Z565" s="91" t="n"/>
      <c r="AA565" s="91" t="n"/>
      <c r="AB565" s="91" t="n"/>
      <c r="AC565" s="91" t="n"/>
      <c r="AD565" s="91" t="n"/>
      <c r="AE565" s="91" t="n"/>
      <c r="AF565" s="91" t="n"/>
      <c r="AG565" s="91" t="n"/>
    </row>
    <row r="566" ht="12.75" customHeight="1" s="117">
      <c r="A566" s="91" t="n"/>
      <c r="B566" s="91" t="n"/>
      <c r="C566" s="91" t="n"/>
      <c r="D566" s="91" t="n"/>
      <c r="E566" s="91" t="n"/>
      <c r="F566" s="91" t="n"/>
      <c r="G566" s="91" t="n"/>
      <c r="H566" s="91" t="n"/>
      <c r="I566" s="91" t="n"/>
      <c r="J566" s="91" t="n"/>
      <c r="K566" s="91" t="n"/>
      <c r="L566" s="91" t="n"/>
      <c r="M566" s="91" t="n"/>
      <c r="N566" s="91" t="n"/>
      <c r="O566" s="91" t="n"/>
      <c r="P566" s="91" t="n"/>
      <c r="Q566" s="91" t="n"/>
      <c r="R566" s="91" t="n"/>
      <c r="S566" s="91" t="n"/>
      <c r="T566" s="91" t="n"/>
      <c r="U566" s="91" t="n"/>
      <c r="V566" s="91" t="n"/>
      <c r="W566" s="91" t="n"/>
      <c r="X566" s="91" t="n"/>
      <c r="Y566" s="91" t="n"/>
      <c r="Z566" s="91" t="n"/>
      <c r="AA566" s="91" t="n"/>
      <c r="AB566" s="91" t="n"/>
      <c r="AC566" s="91" t="n"/>
      <c r="AD566" s="91" t="n"/>
      <c r="AE566" s="91" t="n"/>
      <c r="AF566" s="91" t="n"/>
      <c r="AG566" s="91" t="n"/>
    </row>
    <row r="567" ht="12.75" customHeight="1" s="117">
      <c r="A567" s="91" t="n"/>
      <c r="B567" s="91" t="n"/>
      <c r="C567" s="91" t="n"/>
      <c r="D567" s="91" t="n"/>
      <c r="E567" s="91" t="n"/>
      <c r="F567" s="91" t="n"/>
      <c r="G567" s="91" t="n"/>
      <c r="H567" s="91" t="n"/>
      <c r="I567" s="91" t="n"/>
      <c r="J567" s="91" t="n"/>
      <c r="K567" s="91" t="n"/>
      <c r="L567" s="91" t="n"/>
      <c r="M567" s="91" t="n"/>
      <c r="N567" s="91" t="n"/>
      <c r="O567" s="91" t="n"/>
      <c r="P567" s="91" t="n"/>
      <c r="Q567" s="91" t="n"/>
      <c r="R567" s="91" t="n"/>
      <c r="S567" s="91" t="n"/>
      <c r="T567" s="91" t="n"/>
      <c r="U567" s="91" t="n"/>
      <c r="V567" s="91" t="n"/>
      <c r="W567" s="91" t="n"/>
      <c r="X567" s="91" t="n"/>
      <c r="Y567" s="91" t="n"/>
      <c r="Z567" s="91" t="n"/>
      <c r="AA567" s="91" t="n"/>
      <c r="AB567" s="91" t="n"/>
      <c r="AC567" s="91" t="n"/>
      <c r="AD567" s="91" t="n"/>
      <c r="AE567" s="91" t="n"/>
      <c r="AF567" s="91" t="n"/>
      <c r="AG567" s="91" t="n"/>
    </row>
    <row r="568" ht="12.75" customHeight="1" s="117">
      <c r="A568" s="91" t="n"/>
      <c r="B568" s="91" t="n"/>
      <c r="C568" s="91" t="n"/>
      <c r="D568" s="91" t="n"/>
      <c r="E568" s="91" t="n"/>
      <c r="F568" s="91" t="n"/>
      <c r="G568" s="91" t="n"/>
      <c r="H568" s="91" t="n"/>
      <c r="I568" s="91" t="n"/>
      <c r="J568" s="91" t="n"/>
      <c r="K568" s="91" t="n"/>
      <c r="L568" s="91" t="n"/>
      <c r="M568" s="91" t="n"/>
      <c r="N568" s="91" t="n"/>
      <c r="O568" s="91" t="n"/>
      <c r="P568" s="91" t="n"/>
      <c r="Q568" s="91" t="n"/>
      <c r="R568" s="91" t="n"/>
      <c r="S568" s="91" t="n"/>
      <c r="T568" s="91" t="n"/>
      <c r="U568" s="91" t="n"/>
      <c r="V568" s="91" t="n"/>
      <c r="W568" s="91" t="n"/>
      <c r="X568" s="91" t="n"/>
      <c r="Y568" s="91" t="n"/>
      <c r="Z568" s="91" t="n"/>
      <c r="AA568" s="91" t="n"/>
      <c r="AB568" s="91" t="n"/>
      <c r="AC568" s="91" t="n"/>
      <c r="AD568" s="91" t="n"/>
      <c r="AE568" s="91" t="n"/>
      <c r="AF568" s="91" t="n"/>
      <c r="AG568" s="91" t="n"/>
    </row>
    <row r="569" ht="12.75" customHeight="1" s="117">
      <c r="A569" s="91" t="n"/>
      <c r="B569" s="91" t="n"/>
      <c r="C569" s="91" t="n"/>
      <c r="D569" s="91" t="n"/>
      <c r="E569" s="91" t="n"/>
      <c r="F569" s="91" t="n"/>
      <c r="G569" s="91" t="n"/>
      <c r="H569" s="91" t="n"/>
      <c r="I569" s="91" t="n"/>
      <c r="J569" s="91" t="n"/>
      <c r="K569" s="91" t="n"/>
      <c r="L569" s="91" t="n"/>
      <c r="M569" s="91" t="n"/>
      <c r="N569" s="91" t="n"/>
      <c r="O569" s="91" t="n"/>
      <c r="P569" s="91" t="n"/>
      <c r="Q569" s="91" t="n"/>
      <c r="R569" s="91" t="n"/>
      <c r="S569" s="91" t="n"/>
      <c r="T569" s="91" t="n"/>
      <c r="U569" s="91" t="n"/>
      <c r="V569" s="91" t="n"/>
      <c r="W569" s="91" t="n"/>
      <c r="X569" s="91" t="n"/>
      <c r="Y569" s="91" t="n"/>
      <c r="Z569" s="91" t="n"/>
      <c r="AA569" s="91" t="n"/>
      <c r="AB569" s="91" t="n"/>
      <c r="AC569" s="91" t="n"/>
      <c r="AD569" s="91" t="n"/>
      <c r="AE569" s="91" t="n"/>
      <c r="AF569" s="91" t="n"/>
      <c r="AG569" s="91" t="n"/>
    </row>
    <row r="570" ht="12.75" customHeight="1" s="117">
      <c r="A570" s="91" t="n"/>
      <c r="B570" s="91" t="n"/>
      <c r="C570" s="91" t="n"/>
      <c r="D570" s="91" t="n"/>
      <c r="E570" s="91" t="n"/>
      <c r="F570" s="91" t="n"/>
      <c r="G570" s="91" t="n"/>
      <c r="H570" s="91" t="n"/>
      <c r="I570" s="91" t="n"/>
      <c r="J570" s="91" t="n"/>
      <c r="K570" s="91" t="n"/>
      <c r="L570" s="91" t="n"/>
      <c r="M570" s="91" t="n"/>
      <c r="N570" s="91" t="n"/>
      <c r="O570" s="91" t="n"/>
      <c r="P570" s="91" t="n"/>
      <c r="Q570" s="91" t="n"/>
      <c r="R570" s="91" t="n"/>
      <c r="S570" s="91" t="n"/>
      <c r="T570" s="91" t="n"/>
      <c r="U570" s="91" t="n"/>
      <c r="V570" s="91" t="n"/>
      <c r="W570" s="91" t="n"/>
      <c r="X570" s="91" t="n"/>
      <c r="Y570" s="91" t="n"/>
      <c r="Z570" s="91" t="n"/>
      <c r="AA570" s="91" t="n"/>
      <c r="AB570" s="91" t="n"/>
      <c r="AC570" s="91" t="n"/>
      <c r="AD570" s="91" t="n"/>
      <c r="AE570" s="91" t="n"/>
      <c r="AF570" s="91" t="n"/>
      <c r="AG570" s="91" t="n"/>
    </row>
    <row r="571" ht="12.75" customHeight="1" s="117">
      <c r="A571" s="91" t="n"/>
      <c r="B571" s="91" t="n"/>
      <c r="C571" s="91" t="n"/>
      <c r="D571" s="91" t="n"/>
      <c r="E571" s="91" t="n"/>
      <c r="F571" s="91" t="n"/>
      <c r="G571" s="91" t="n"/>
      <c r="H571" s="91" t="n"/>
      <c r="I571" s="91" t="n"/>
      <c r="J571" s="91" t="n"/>
      <c r="K571" s="91" t="n"/>
      <c r="L571" s="91" t="n"/>
      <c r="M571" s="91" t="n"/>
      <c r="N571" s="91" t="n"/>
      <c r="O571" s="91" t="n"/>
      <c r="P571" s="91" t="n"/>
      <c r="Q571" s="91" t="n"/>
      <c r="R571" s="91" t="n"/>
      <c r="S571" s="91" t="n"/>
      <c r="T571" s="91" t="n"/>
      <c r="U571" s="91" t="n"/>
      <c r="V571" s="91" t="n"/>
      <c r="W571" s="91" t="n"/>
      <c r="X571" s="91" t="n"/>
      <c r="Y571" s="91" t="n"/>
      <c r="Z571" s="91" t="n"/>
      <c r="AA571" s="91" t="n"/>
      <c r="AB571" s="91" t="n"/>
      <c r="AC571" s="91" t="n"/>
      <c r="AD571" s="91" t="n"/>
      <c r="AE571" s="91" t="n"/>
      <c r="AF571" s="91" t="n"/>
      <c r="AG571" s="91" t="n"/>
    </row>
    <row r="572" ht="12.75" customHeight="1" s="117">
      <c r="A572" s="91" t="n"/>
      <c r="B572" s="91" t="n"/>
      <c r="C572" s="91" t="n"/>
      <c r="D572" s="91" t="n"/>
      <c r="E572" s="91" t="n"/>
      <c r="F572" s="91" t="n"/>
      <c r="G572" s="91" t="n"/>
      <c r="H572" s="91" t="n"/>
      <c r="I572" s="91" t="n"/>
      <c r="J572" s="91" t="n"/>
      <c r="K572" s="91" t="n"/>
      <c r="L572" s="91" t="n"/>
      <c r="M572" s="91" t="n"/>
      <c r="N572" s="91" t="n"/>
      <c r="O572" s="91" t="n"/>
      <c r="P572" s="91" t="n"/>
      <c r="Q572" s="91" t="n"/>
      <c r="R572" s="91" t="n"/>
      <c r="S572" s="91" t="n"/>
      <c r="T572" s="91" t="n"/>
      <c r="U572" s="91" t="n"/>
      <c r="V572" s="91" t="n"/>
      <c r="W572" s="91" t="n"/>
      <c r="X572" s="91" t="n"/>
      <c r="Y572" s="91" t="n"/>
      <c r="Z572" s="91" t="n"/>
      <c r="AA572" s="91" t="n"/>
      <c r="AB572" s="91" t="n"/>
      <c r="AC572" s="91" t="n"/>
      <c r="AD572" s="91" t="n"/>
      <c r="AE572" s="91" t="n"/>
      <c r="AF572" s="91" t="n"/>
      <c r="AG572" s="91" t="n"/>
    </row>
    <row r="573" ht="12.75" customHeight="1" s="117">
      <c r="A573" s="91" t="n"/>
      <c r="B573" s="91" t="n"/>
      <c r="C573" s="91" t="n"/>
      <c r="D573" s="91" t="n"/>
      <c r="E573" s="91" t="n"/>
      <c r="F573" s="91" t="n"/>
      <c r="G573" s="91" t="n"/>
      <c r="H573" s="91" t="n"/>
      <c r="I573" s="91" t="n"/>
      <c r="J573" s="91" t="n"/>
      <c r="K573" s="91" t="n"/>
      <c r="L573" s="91" t="n"/>
      <c r="M573" s="91" t="n"/>
      <c r="N573" s="91" t="n"/>
      <c r="O573" s="91" t="n"/>
      <c r="P573" s="91" t="n"/>
      <c r="Q573" s="91" t="n"/>
      <c r="R573" s="91" t="n"/>
      <c r="S573" s="91" t="n"/>
      <c r="T573" s="91" t="n"/>
      <c r="U573" s="91" t="n"/>
      <c r="V573" s="91" t="n"/>
      <c r="W573" s="91" t="n"/>
      <c r="X573" s="91" t="n"/>
      <c r="Y573" s="91" t="n"/>
      <c r="Z573" s="91" t="n"/>
      <c r="AA573" s="91" t="n"/>
      <c r="AB573" s="91" t="n"/>
      <c r="AC573" s="91" t="n"/>
      <c r="AD573" s="91" t="n"/>
      <c r="AE573" s="91" t="n"/>
      <c r="AF573" s="91" t="n"/>
      <c r="AG573" s="91" t="n"/>
    </row>
    <row r="574" ht="12.75" customHeight="1" s="117">
      <c r="A574" s="91" t="n"/>
      <c r="B574" s="91" t="n"/>
      <c r="C574" s="91" t="n"/>
      <c r="D574" s="91" t="n"/>
      <c r="E574" s="91" t="n"/>
      <c r="F574" s="91" t="n"/>
      <c r="G574" s="91" t="n"/>
      <c r="H574" s="91" t="n"/>
      <c r="I574" s="91" t="n"/>
      <c r="J574" s="91" t="n"/>
      <c r="K574" s="91" t="n"/>
      <c r="L574" s="91" t="n"/>
      <c r="M574" s="91" t="n"/>
      <c r="N574" s="91" t="n"/>
      <c r="O574" s="91" t="n"/>
      <c r="P574" s="91" t="n"/>
      <c r="Q574" s="91" t="n"/>
      <c r="R574" s="91" t="n"/>
      <c r="S574" s="91" t="n"/>
      <c r="T574" s="91" t="n"/>
      <c r="U574" s="91" t="n"/>
      <c r="V574" s="91" t="n"/>
      <c r="W574" s="91" t="n"/>
      <c r="X574" s="91" t="n"/>
      <c r="Y574" s="91" t="n"/>
      <c r="Z574" s="91" t="n"/>
      <c r="AA574" s="91" t="n"/>
      <c r="AB574" s="91" t="n"/>
      <c r="AC574" s="91" t="n"/>
      <c r="AD574" s="91" t="n"/>
      <c r="AE574" s="91" t="n"/>
      <c r="AF574" s="91" t="n"/>
      <c r="AG574" s="91" t="n"/>
    </row>
    <row r="575" ht="12.75" customHeight="1" s="117">
      <c r="A575" s="91" t="n"/>
      <c r="B575" s="91" t="n"/>
      <c r="C575" s="91" t="n"/>
      <c r="D575" s="91" t="n"/>
      <c r="E575" s="91" t="n"/>
      <c r="F575" s="91" t="n"/>
      <c r="G575" s="91" t="n"/>
      <c r="H575" s="91" t="n"/>
      <c r="I575" s="91" t="n"/>
      <c r="J575" s="91" t="n"/>
      <c r="K575" s="91" t="n"/>
      <c r="L575" s="91" t="n"/>
      <c r="M575" s="91" t="n"/>
      <c r="N575" s="91" t="n"/>
      <c r="O575" s="91" t="n"/>
      <c r="P575" s="91" t="n"/>
      <c r="Q575" s="91" t="n"/>
      <c r="R575" s="91" t="n"/>
      <c r="S575" s="91" t="n"/>
      <c r="T575" s="91" t="n"/>
      <c r="U575" s="91" t="n"/>
      <c r="V575" s="91" t="n"/>
      <c r="W575" s="91" t="n"/>
      <c r="X575" s="91" t="n"/>
      <c r="Y575" s="91" t="n"/>
      <c r="Z575" s="91" t="n"/>
      <c r="AA575" s="91" t="n"/>
      <c r="AB575" s="91" t="n"/>
      <c r="AC575" s="91" t="n"/>
      <c r="AD575" s="91" t="n"/>
      <c r="AE575" s="91" t="n"/>
      <c r="AF575" s="91" t="n"/>
      <c r="AG575" s="91" t="n"/>
    </row>
    <row r="576" ht="12.75" customHeight="1" s="117">
      <c r="A576" s="91" t="n"/>
      <c r="B576" s="91" t="n"/>
      <c r="C576" s="91" t="n"/>
      <c r="D576" s="91" t="n"/>
      <c r="E576" s="91" t="n"/>
      <c r="F576" s="91" t="n"/>
      <c r="G576" s="91" t="n"/>
      <c r="H576" s="91" t="n"/>
      <c r="I576" s="91" t="n"/>
      <c r="J576" s="91" t="n"/>
      <c r="K576" s="91" t="n"/>
      <c r="L576" s="91" t="n"/>
      <c r="M576" s="91" t="n"/>
      <c r="N576" s="91" t="n"/>
      <c r="O576" s="91" t="n"/>
      <c r="P576" s="91" t="n"/>
      <c r="Q576" s="91" t="n"/>
      <c r="R576" s="91" t="n"/>
      <c r="S576" s="91" t="n"/>
      <c r="T576" s="91" t="n"/>
      <c r="U576" s="91" t="n"/>
      <c r="V576" s="91" t="n"/>
      <c r="W576" s="91" t="n"/>
      <c r="X576" s="91" t="n"/>
      <c r="Y576" s="91" t="n"/>
      <c r="Z576" s="91" t="n"/>
      <c r="AA576" s="91" t="n"/>
      <c r="AB576" s="91" t="n"/>
      <c r="AC576" s="91" t="n"/>
      <c r="AD576" s="91" t="n"/>
      <c r="AE576" s="91" t="n"/>
      <c r="AF576" s="91" t="n"/>
      <c r="AG576" s="91" t="n"/>
    </row>
    <row r="577" ht="12.75" customHeight="1" s="117">
      <c r="A577" s="91" t="n"/>
      <c r="B577" s="91" t="n"/>
      <c r="C577" s="91" t="n"/>
      <c r="D577" s="91" t="n"/>
      <c r="E577" s="91" t="n"/>
      <c r="F577" s="91" t="n"/>
      <c r="G577" s="91" t="n"/>
      <c r="H577" s="91" t="n"/>
      <c r="I577" s="91" t="n"/>
      <c r="J577" s="91" t="n"/>
      <c r="K577" s="91" t="n"/>
      <c r="L577" s="91" t="n"/>
      <c r="M577" s="91" t="n"/>
      <c r="N577" s="91" t="n"/>
      <c r="O577" s="91" t="n"/>
      <c r="P577" s="91" t="n"/>
      <c r="Q577" s="91" t="n"/>
      <c r="R577" s="91" t="n"/>
      <c r="S577" s="91" t="n"/>
      <c r="T577" s="91" t="n"/>
      <c r="U577" s="91" t="n"/>
      <c r="V577" s="91" t="n"/>
      <c r="W577" s="91" t="n"/>
      <c r="X577" s="91" t="n"/>
      <c r="Y577" s="91" t="n"/>
      <c r="Z577" s="91" t="n"/>
      <c r="AA577" s="91" t="n"/>
      <c r="AB577" s="91" t="n"/>
      <c r="AC577" s="91" t="n"/>
      <c r="AD577" s="91" t="n"/>
      <c r="AE577" s="91" t="n"/>
      <c r="AF577" s="91" t="n"/>
      <c r="AG577" s="91" t="n"/>
    </row>
    <row r="578" ht="12.75" customHeight="1" s="117">
      <c r="A578" s="91" t="n"/>
      <c r="B578" s="91" t="n"/>
      <c r="C578" s="91" t="n"/>
      <c r="D578" s="91" t="n"/>
      <c r="E578" s="91" t="n"/>
      <c r="F578" s="91" t="n"/>
      <c r="G578" s="91" t="n"/>
      <c r="H578" s="91" t="n"/>
      <c r="I578" s="91" t="n"/>
      <c r="J578" s="91" t="n"/>
      <c r="K578" s="91" t="n"/>
      <c r="L578" s="91" t="n"/>
      <c r="M578" s="91" t="n"/>
      <c r="N578" s="91" t="n"/>
      <c r="O578" s="91" t="n"/>
      <c r="P578" s="91" t="n"/>
      <c r="Q578" s="91" t="n"/>
      <c r="R578" s="91" t="n"/>
      <c r="S578" s="91" t="n"/>
      <c r="T578" s="91" t="n"/>
      <c r="U578" s="91" t="n"/>
      <c r="V578" s="91" t="n"/>
      <c r="W578" s="91" t="n"/>
      <c r="X578" s="91" t="n"/>
      <c r="Y578" s="91" t="n"/>
      <c r="Z578" s="91" t="n"/>
      <c r="AA578" s="91" t="n"/>
      <c r="AB578" s="91" t="n"/>
      <c r="AC578" s="91" t="n"/>
      <c r="AD578" s="91" t="n"/>
      <c r="AE578" s="91" t="n"/>
      <c r="AF578" s="91" t="n"/>
      <c r="AG578" s="91" t="n"/>
    </row>
    <row r="579" ht="12.75" customHeight="1" s="117">
      <c r="A579" s="91" t="n"/>
      <c r="B579" s="91" t="n"/>
      <c r="C579" s="91" t="n"/>
      <c r="D579" s="91" t="n"/>
      <c r="E579" s="91" t="n"/>
      <c r="F579" s="91" t="n"/>
      <c r="G579" s="91" t="n"/>
      <c r="H579" s="91" t="n"/>
      <c r="I579" s="91" t="n"/>
      <c r="J579" s="91" t="n"/>
      <c r="K579" s="91" t="n"/>
      <c r="L579" s="91" t="n"/>
      <c r="M579" s="91" t="n"/>
      <c r="N579" s="91" t="n"/>
      <c r="O579" s="91" t="n"/>
      <c r="P579" s="91" t="n"/>
      <c r="Q579" s="91" t="n"/>
      <c r="R579" s="91" t="n"/>
      <c r="S579" s="91" t="n"/>
      <c r="T579" s="91" t="n"/>
      <c r="U579" s="91" t="n"/>
      <c r="V579" s="91" t="n"/>
      <c r="W579" s="91" t="n"/>
      <c r="X579" s="91" t="n"/>
      <c r="Y579" s="91" t="n"/>
      <c r="Z579" s="91" t="n"/>
      <c r="AA579" s="91" t="n"/>
      <c r="AB579" s="91" t="n"/>
      <c r="AC579" s="91" t="n"/>
      <c r="AD579" s="91" t="n"/>
      <c r="AE579" s="91" t="n"/>
      <c r="AF579" s="91" t="n"/>
      <c r="AG579" s="91" t="n"/>
    </row>
    <row r="580" ht="12.75" customHeight="1" s="117">
      <c r="A580" s="91" t="n"/>
      <c r="B580" s="91" t="n"/>
      <c r="C580" s="91" t="n"/>
      <c r="D580" s="91" t="n"/>
      <c r="E580" s="91" t="n"/>
      <c r="F580" s="91" t="n"/>
      <c r="G580" s="91" t="n"/>
      <c r="H580" s="91" t="n"/>
      <c r="I580" s="91" t="n"/>
      <c r="J580" s="91" t="n"/>
      <c r="K580" s="91" t="n"/>
      <c r="L580" s="91" t="n"/>
      <c r="M580" s="91" t="n"/>
      <c r="N580" s="91" t="n"/>
      <c r="O580" s="91" t="n"/>
      <c r="P580" s="91" t="n"/>
      <c r="Q580" s="91" t="n"/>
      <c r="R580" s="91" t="n"/>
      <c r="S580" s="91" t="n"/>
      <c r="T580" s="91" t="n"/>
      <c r="U580" s="91" t="n"/>
      <c r="V580" s="91" t="n"/>
      <c r="W580" s="91" t="n"/>
      <c r="X580" s="91" t="n"/>
      <c r="Y580" s="91" t="n"/>
      <c r="Z580" s="91" t="n"/>
      <c r="AA580" s="91" t="n"/>
      <c r="AB580" s="91" t="n"/>
      <c r="AC580" s="91" t="n"/>
      <c r="AD580" s="91" t="n"/>
      <c r="AE580" s="91" t="n"/>
      <c r="AF580" s="91" t="n"/>
      <c r="AG580" s="91" t="n"/>
    </row>
    <row r="581" ht="12.75" customHeight="1" s="117">
      <c r="A581" s="91" t="n"/>
      <c r="B581" s="91" t="n"/>
      <c r="C581" s="91" t="n"/>
      <c r="D581" s="91" t="n"/>
      <c r="E581" s="91" t="n"/>
      <c r="F581" s="91" t="n"/>
      <c r="G581" s="91" t="n"/>
      <c r="H581" s="91" t="n"/>
      <c r="I581" s="91" t="n"/>
      <c r="J581" s="91" t="n"/>
      <c r="K581" s="91" t="n"/>
      <c r="L581" s="91" t="n"/>
      <c r="M581" s="91" t="n"/>
      <c r="N581" s="91" t="n"/>
      <c r="O581" s="91" t="n"/>
      <c r="P581" s="91" t="n"/>
      <c r="Q581" s="91" t="n"/>
      <c r="R581" s="91" t="n"/>
      <c r="S581" s="91" t="n"/>
      <c r="T581" s="91" t="n"/>
      <c r="U581" s="91" t="n"/>
      <c r="V581" s="91" t="n"/>
      <c r="W581" s="91" t="n"/>
      <c r="X581" s="91" t="n"/>
      <c r="Y581" s="91" t="n"/>
      <c r="Z581" s="91" t="n"/>
      <c r="AA581" s="91" t="n"/>
      <c r="AB581" s="91" t="n"/>
      <c r="AC581" s="91" t="n"/>
      <c r="AD581" s="91" t="n"/>
      <c r="AE581" s="91" t="n"/>
      <c r="AF581" s="91" t="n"/>
      <c r="AG581" s="91" t="n"/>
    </row>
    <row r="582" ht="12.75" customHeight="1" s="117">
      <c r="A582" s="91" t="n"/>
      <c r="B582" s="91" t="n"/>
      <c r="C582" s="91" t="n"/>
      <c r="D582" s="91" t="n"/>
      <c r="E582" s="91" t="n"/>
      <c r="F582" s="91" t="n"/>
      <c r="G582" s="91" t="n"/>
      <c r="H582" s="91" t="n"/>
      <c r="I582" s="91" t="n"/>
      <c r="J582" s="91" t="n"/>
      <c r="K582" s="91" t="n"/>
      <c r="L582" s="91" t="n"/>
      <c r="M582" s="91" t="n"/>
      <c r="N582" s="91" t="n"/>
      <c r="O582" s="91" t="n"/>
      <c r="P582" s="91" t="n"/>
      <c r="Q582" s="91" t="n"/>
      <c r="R582" s="91" t="n"/>
      <c r="S582" s="91" t="n"/>
      <c r="T582" s="91" t="n"/>
      <c r="U582" s="91" t="n"/>
      <c r="V582" s="91" t="n"/>
      <c r="W582" s="91" t="n"/>
      <c r="X582" s="91" t="n"/>
      <c r="Y582" s="91" t="n"/>
      <c r="Z582" s="91" t="n"/>
      <c r="AA582" s="91" t="n"/>
      <c r="AB582" s="91" t="n"/>
      <c r="AC582" s="91" t="n"/>
      <c r="AD582" s="91" t="n"/>
      <c r="AE582" s="91" t="n"/>
      <c r="AF582" s="91" t="n"/>
      <c r="AG582" s="91" t="n"/>
    </row>
    <row r="583" ht="12.75" customHeight="1" s="117">
      <c r="A583" s="91" t="n"/>
      <c r="B583" s="91" t="n"/>
      <c r="C583" s="91" t="n"/>
      <c r="D583" s="91" t="n"/>
      <c r="E583" s="91" t="n"/>
      <c r="F583" s="91" t="n"/>
      <c r="G583" s="91" t="n"/>
      <c r="H583" s="91" t="n"/>
      <c r="I583" s="91" t="n"/>
      <c r="J583" s="91" t="n"/>
      <c r="K583" s="91" t="n"/>
      <c r="L583" s="91" t="n"/>
      <c r="M583" s="91" t="n"/>
      <c r="N583" s="91" t="n"/>
      <c r="O583" s="91" t="n"/>
      <c r="P583" s="91" t="n"/>
      <c r="Q583" s="91" t="n"/>
      <c r="R583" s="91" t="n"/>
      <c r="S583" s="91" t="n"/>
      <c r="T583" s="91" t="n"/>
      <c r="U583" s="91" t="n"/>
      <c r="V583" s="91" t="n"/>
      <c r="W583" s="91" t="n"/>
      <c r="X583" s="91" t="n"/>
      <c r="Y583" s="91" t="n"/>
      <c r="Z583" s="91" t="n"/>
      <c r="AA583" s="91" t="n"/>
      <c r="AB583" s="91" t="n"/>
      <c r="AC583" s="91" t="n"/>
      <c r="AD583" s="91" t="n"/>
      <c r="AE583" s="91" t="n"/>
      <c r="AF583" s="91" t="n"/>
      <c r="AG583" s="91" t="n"/>
    </row>
    <row r="584" ht="12.75" customHeight="1" s="117">
      <c r="A584" s="91" t="n"/>
      <c r="B584" s="91" t="n"/>
      <c r="C584" s="91" t="n"/>
      <c r="D584" s="91" t="n"/>
      <c r="E584" s="91" t="n"/>
      <c r="F584" s="91" t="n"/>
      <c r="G584" s="91" t="n"/>
      <c r="H584" s="91" t="n"/>
      <c r="I584" s="91" t="n"/>
      <c r="J584" s="91" t="n"/>
      <c r="K584" s="91" t="n"/>
      <c r="L584" s="91" t="n"/>
      <c r="M584" s="91" t="n"/>
      <c r="N584" s="91" t="n"/>
      <c r="O584" s="91" t="n"/>
      <c r="P584" s="91" t="n"/>
      <c r="Q584" s="91" t="n"/>
      <c r="R584" s="91" t="n"/>
      <c r="S584" s="91" t="n"/>
      <c r="T584" s="91" t="n"/>
      <c r="U584" s="91" t="n"/>
      <c r="V584" s="91" t="n"/>
      <c r="W584" s="91" t="n"/>
      <c r="X584" s="91" t="n"/>
      <c r="Y584" s="91" t="n"/>
      <c r="Z584" s="91" t="n"/>
      <c r="AA584" s="91" t="n"/>
      <c r="AB584" s="91" t="n"/>
      <c r="AC584" s="91" t="n"/>
      <c r="AD584" s="91" t="n"/>
      <c r="AE584" s="91" t="n"/>
      <c r="AF584" s="91" t="n"/>
      <c r="AG584" s="91" t="n"/>
    </row>
    <row r="585" ht="12.75" customHeight="1" s="117">
      <c r="A585" s="91" t="n"/>
      <c r="B585" s="91" t="n"/>
      <c r="C585" s="91" t="n"/>
      <c r="D585" s="91" t="n"/>
      <c r="E585" s="91" t="n"/>
      <c r="F585" s="91" t="n"/>
      <c r="G585" s="91" t="n"/>
      <c r="H585" s="91" t="n"/>
      <c r="I585" s="91" t="n"/>
      <c r="J585" s="91" t="n"/>
      <c r="K585" s="91" t="n"/>
      <c r="L585" s="91" t="n"/>
      <c r="M585" s="91" t="n"/>
      <c r="N585" s="91" t="n"/>
      <c r="O585" s="91" t="n"/>
      <c r="P585" s="91" t="n"/>
      <c r="Q585" s="91" t="n"/>
      <c r="R585" s="91" t="n"/>
      <c r="S585" s="91" t="n"/>
      <c r="T585" s="91" t="n"/>
      <c r="U585" s="91" t="n"/>
      <c r="V585" s="91" t="n"/>
      <c r="W585" s="91" t="n"/>
      <c r="X585" s="91" t="n"/>
      <c r="Y585" s="91" t="n"/>
      <c r="Z585" s="91" t="n"/>
      <c r="AA585" s="91" t="n"/>
      <c r="AB585" s="91" t="n"/>
      <c r="AC585" s="91" t="n"/>
      <c r="AD585" s="91" t="n"/>
      <c r="AE585" s="91" t="n"/>
      <c r="AF585" s="91" t="n"/>
      <c r="AG585" s="91" t="n"/>
    </row>
    <row r="586" ht="12.75" customHeight="1" s="117">
      <c r="A586" s="91" t="n"/>
      <c r="B586" s="91" t="n"/>
      <c r="C586" s="91" t="n"/>
      <c r="D586" s="91" t="n"/>
      <c r="E586" s="91" t="n"/>
      <c r="F586" s="91" t="n"/>
      <c r="G586" s="91" t="n"/>
      <c r="H586" s="91" t="n"/>
      <c r="I586" s="91" t="n"/>
      <c r="J586" s="91" t="n"/>
      <c r="K586" s="91" t="n"/>
      <c r="L586" s="91" t="n"/>
      <c r="M586" s="91" t="n"/>
      <c r="N586" s="91" t="n"/>
      <c r="O586" s="91" t="n"/>
      <c r="P586" s="91" t="n"/>
      <c r="Q586" s="91" t="n"/>
      <c r="R586" s="91" t="n"/>
      <c r="S586" s="91" t="n"/>
      <c r="T586" s="91" t="n"/>
      <c r="U586" s="91" t="n"/>
      <c r="V586" s="91" t="n"/>
      <c r="W586" s="91" t="n"/>
      <c r="X586" s="91" t="n"/>
      <c r="Y586" s="91" t="n"/>
      <c r="Z586" s="91" t="n"/>
      <c r="AA586" s="91" t="n"/>
      <c r="AB586" s="91" t="n"/>
      <c r="AC586" s="91" t="n"/>
      <c r="AD586" s="91" t="n"/>
      <c r="AE586" s="91" t="n"/>
      <c r="AF586" s="91" t="n"/>
      <c r="AG586" s="91" t="n"/>
    </row>
    <row r="587" ht="12.75" customHeight="1" s="117">
      <c r="A587" s="91" t="n"/>
      <c r="B587" s="91" t="n"/>
      <c r="C587" s="91" t="n"/>
      <c r="D587" s="91" t="n"/>
      <c r="E587" s="91" t="n"/>
      <c r="F587" s="91" t="n"/>
      <c r="G587" s="91" t="n"/>
      <c r="H587" s="91" t="n"/>
      <c r="I587" s="91" t="n"/>
      <c r="J587" s="91" t="n"/>
      <c r="K587" s="91" t="n"/>
      <c r="L587" s="91" t="n"/>
      <c r="M587" s="91" t="n"/>
      <c r="N587" s="91" t="n"/>
      <c r="O587" s="91" t="n"/>
      <c r="P587" s="91" t="n"/>
      <c r="Q587" s="91" t="n"/>
      <c r="R587" s="91" t="n"/>
      <c r="S587" s="91" t="n"/>
      <c r="T587" s="91" t="n"/>
      <c r="U587" s="91" t="n"/>
      <c r="V587" s="91" t="n"/>
      <c r="W587" s="91" t="n"/>
      <c r="X587" s="91" t="n"/>
      <c r="Y587" s="91" t="n"/>
      <c r="Z587" s="91" t="n"/>
      <c r="AA587" s="91" t="n"/>
      <c r="AB587" s="91" t="n"/>
      <c r="AC587" s="91" t="n"/>
      <c r="AD587" s="91" t="n"/>
      <c r="AE587" s="91" t="n"/>
      <c r="AF587" s="91" t="n"/>
      <c r="AG587" s="91" t="n"/>
    </row>
    <row r="588" ht="12.75" customHeight="1" s="117">
      <c r="A588" s="91" t="n"/>
      <c r="B588" s="91" t="n"/>
      <c r="C588" s="91" t="n"/>
      <c r="D588" s="91" t="n"/>
      <c r="E588" s="91" t="n"/>
      <c r="F588" s="91" t="n"/>
      <c r="G588" s="91" t="n"/>
      <c r="H588" s="91" t="n"/>
      <c r="I588" s="91" t="n"/>
      <c r="J588" s="91" t="n"/>
      <c r="K588" s="91" t="n"/>
      <c r="L588" s="91" t="n"/>
      <c r="M588" s="91" t="n"/>
      <c r="N588" s="91" t="n"/>
      <c r="O588" s="91" t="n"/>
      <c r="P588" s="91" t="n"/>
      <c r="Q588" s="91" t="n"/>
      <c r="R588" s="91" t="n"/>
      <c r="S588" s="91" t="n"/>
      <c r="T588" s="91" t="n"/>
      <c r="U588" s="91" t="n"/>
      <c r="V588" s="91" t="n"/>
      <c r="W588" s="91" t="n"/>
      <c r="X588" s="91" t="n"/>
      <c r="Y588" s="91" t="n"/>
      <c r="Z588" s="91" t="n"/>
      <c r="AA588" s="91" t="n"/>
      <c r="AB588" s="91" t="n"/>
      <c r="AC588" s="91" t="n"/>
      <c r="AD588" s="91" t="n"/>
      <c r="AE588" s="91" t="n"/>
      <c r="AF588" s="91" t="n"/>
      <c r="AG588" s="91" t="n"/>
    </row>
    <row r="589" ht="12.75" customHeight="1" s="117">
      <c r="A589" s="91" t="n"/>
      <c r="B589" s="91" t="n"/>
      <c r="C589" s="91" t="n"/>
      <c r="D589" s="91" t="n"/>
      <c r="E589" s="91" t="n"/>
      <c r="F589" s="91" t="n"/>
      <c r="G589" s="91" t="n"/>
      <c r="H589" s="91" t="n"/>
      <c r="I589" s="91" t="n"/>
      <c r="J589" s="91" t="n"/>
      <c r="K589" s="91" t="n"/>
      <c r="L589" s="91" t="n"/>
      <c r="M589" s="91" t="n"/>
      <c r="N589" s="91" t="n"/>
      <c r="O589" s="91" t="n"/>
      <c r="P589" s="91" t="n"/>
      <c r="Q589" s="91" t="n"/>
      <c r="R589" s="91" t="n"/>
      <c r="S589" s="91" t="n"/>
      <c r="T589" s="91" t="n"/>
      <c r="U589" s="91" t="n"/>
      <c r="V589" s="91" t="n"/>
      <c r="W589" s="91" t="n"/>
      <c r="X589" s="91" t="n"/>
      <c r="Y589" s="91" t="n"/>
      <c r="Z589" s="91" t="n"/>
      <c r="AA589" s="91" t="n"/>
      <c r="AB589" s="91" t="n"/>
      <c r="AC589" s="91" t="n"/>
      <c r="AD589" s="91" t="n"/>
      <c r="AE589" s="91" t="n"/>
      <c r="AF589" s="91" t="n"/>
      <c r="AG589" s="91" t="n"/>
    </row>
    <row r="590" ht="12.75" customHeight="1" s="117">
      <c r="A590" s="91" t="n"/>
      <c r="B590" s="91" t="n"/>
      <c r="C590" s="91" t="n"/>
      <c r="D590" s="91" t="n"/>
      <c r="E590" s="91" t="n"/>
      <c r="F590" s="91" t="n"/>
      <c r="G590" s="91" t="n"/>
      <c r="H590" s="91" t="n"/>
      <c r="I590" s="91" t="n"/>
      <c r="J590" s="91" t="n"/>
      <c r="K590" s="91" t="n"/>
      <c r="L590" s="91" t="n"/>
      <c r="M590" s="91" t="n"/>
      <c r="N590" s="91" t="n"/>
      <c r="O590" s="91" t="n"/>
      <c r="P590" s="91" t="n"/>
      <c r="Q590" s="91" t="n"/>
      <c r="R590" s="91" t="n"/>
      <c r="S590" s="91" t="n"/>
      <c r="T590" s="91" t="n"/>
      <c r="U590" s="91" t="n"/>
      <c r="V590" s="91" t="n"/>
      <c r="W590" s="91" t="n"/>
      <c r="X590" s="91" t="n"/>
      <c r="Y590" s="91" t="n"/>
      <c r="Z590" s="91" t="n"/>
      <c r="AA590" s="91" t="n"/>
      <c r="AB590" s="91" t="n"/>
      <c r="AC590" s="91" t="n"/>
      <c r="AD590" s="91" t="n"/>
      <c r="AE590" s="91" t="n"/>
      <c r="AF590" s="91" t="n"/>
      <c r="AG590" s="91" t="n"/>
    </row>
    <row r="591" ht="12.75" customHeight="1" s="117">
      <c r="A591" s="91" t="n"/>
      <c r="B591" s="91" t="n"/>
      <c r="C591" s="91" t="n"/>
      <c r="D591" s="91" t="n"/>
      <c r="E591" s="91" t="n"/>
      <c r="F591" s="91" t="n"/>
      <c r="G591" s="91" t="n"/>
      <c r="H591" s="91" t="n"/>
      <c r="I591" s="91" t="n"/>
      <c r="J591" s="91" t="n"/>
      <c r="K591" s="91" t="n"/>
      <c r="L591" s="91" t="n"/>
      <c r="M591" s="91" t="n"/>
      <c r="N591" s="91" t="n"/>
      <c r="O591" s="91" t="n"/>
      <c r="P591" s="91" t="n"/>
      <c r="Q591" s="91" t="n"/>
      <c r="R591" s="91" t="n"/>
      <c r="S591" s="91" t="n"/>
      <c r="T591" s="91" t="n"/>
      <c r="U591" s="91" t="n"/>
      <c r="V591" s="91" t="n"/>
      <c r="W591" s="91" t="n"/>
      <c r="X591" s="91" t="n"/>
      <c r="Y591" s="91" t="n"/>
      <c r="Z591" s="91" t="n"/>
      <c r="AA591" s="91" t="n"/>
      <c r="AB591" s="91" t="n"/>
      <c r="AC591" s="91" t="n"/>
      <c r="AD591" s="91" t="n"/>
      <c r="AE591" s="91" t="n"/>
      <c r="AF591" s="91" t="n"/>
      <c r="AG591" s="91" t="n"/>
    </row>
    <row r="592" ht="12.75" customHeight="1" s="117">
      <c r="A592" s="91" t="n"/>
      <c r="B592" s="91" t="n"/>
      <c r="C592" s="91" t="n"/>
      <c r="D592" s="91" t="n"/>
      <c r="E592" s="91" t="n"/>
      <c r="F592" s="91" t="n"/>
      <c r="G592" s="91" t="n"/>
      <c r="H592" s="91" t="n"/>
      <c r="I592" s="91" t="n"/>
      <c r="J592" s="91" t="n"/>
      <c r="K592" s="91" t="n"/>
      <c r="L592" s="91" t="n"/>
      <c r="M592" s="91" t="n"/>
      <c r="N592" s="91" t="n"/>
      <c r="O592" s="91" t="n"/>
      <c r="P592" s="91" t="n"/>
      <c r="Q592" s="91" t="n"/>
      <c r="R592" s="91" t="n"/>
      <c r="S592" s="91" t="n"/>
      <c r="T592" s="91" t="n"/>
      <c r="U592" s="91" t="n"/>
      <c r="V592" s="91" t="n"/>
      <c r="W592" s="91" t="n"/>
      <c r="X592" s="91" t="n"/>
      <c r="Y592" s="91" t="n"/>
      <c r="Z592" s="91" t="n"/>
      <c r="AA592" s="91" t="n"/>
      <c r="AB592" s="91" t="n"/>
      <c r="AC592" s="91" t="n"/>
      <c r="AD592" s="91" t="n"/>
      <c r="AE592" s="91" t="n"/>
      <c r="AF592" s="91" t="n"/>
      <c r="AG592" s="91" t="n"/>
    </row>
    <row r="593" ht="12.75" customHeight="1" s="117">
      <c r="A593" s="91" t="n"/>
      <c r="B593" s="91" t="n"/>
      <c r="C593" s="91" t="n"/>
      <c r="D593" s="91" t="n"/>
      <c r="E593" s="91" t="n"/>
      <c r="F593" s="91" t="n"/>
      <c r="G593" s="91" t="n"/>
      <c r="H593" s="91" t="n"/>
      <c r="I593" s="91" t="n"/>
      <c r="J593" s="91" t="n"/>
      <c r="K593" s="91" t="n"/>
      <c r="L593" s="91" t="n"/>
      <c r="M593" s="91" t="n"/>
      <c r="N593" s="91" t="n"/>
      <c r="O593" s="91" t="n"/>
      <c r="P593" s="91" t="n"/>
      <c r="Q593" s="91" t="n"/>
      <c r="R593" s="91" t="n"/>
      <c r="S593" s="91" t="n"/>
      <c r="T593" s="91" t="n"/>
      <c r="U593" s="91" t="n"/>
      <c r="V593" s="91" t="n"/>
      <c r="W593" s="91" t="n"/>
      <c r="X593" s="91" t="n"/>
      <c r="Y593" s="91" t="n"/>
      <c r="Z593" s="91" t="n"/>
      <c r="AA593" s="91" t="n"/>
      <c r="AB593" s="91" t="n"/>
      <c r="AC593" s="91" t="n"/>
      <c r="AD593" s="91" t="n"/>
      <c r="AE593" s="91" t="n"/>
      <c r="AF593" s="91" t="n"/>
      <c r="AG593" s="91" t="n"/>
    </row>
    <row r="594" ht="12.75" customHeight="1" s="117">
      <c r="A594" s="91" t="n"/>
      <c r="B594" s="91" t="n"/>
      <c r="C594" s="91" t="n"/>
      <c r="D594" s="91" t="n"/>
      <c r="E594" s="91" t="n"/>
      <c r="F594" s="91" t="n"/>
      <c r="G594" s="91" t="n"/>
      <c r="H594" s="91" t="n"/>
      <c r="I594" s="91" t="n"/>
      <c r="J594" s="91" t="n"/>
      <c r="K594" s="91" t="n"/>
      <c r="L594" s="91" t="n"/>
      <c r="M594" s="91" t="n"/>
      <c r="N594" s="91" t="n"/>
      <c r="O594" s="91" t="n"/>
      <c r="P594" s="91" t="n"/>
      <c r="Q594" s="91" t="n"/>
      <c r="R594" s="91" t="n"/>
      <c r="S594" s="91" t="n"/>
      <c r="T594" s="91" t="n"/>
      <c r="U594" s="91" t="n"/>
      <c r="V594" s="91" t="n"/>
      <c r="W594" s="91" t="n"/>
      <c r="X594" s="91" t="n"/>
      <c r="Y594" s="91" t="n"/>
      <c r="Z594" s="91" t="n"/>
      <c r="AA594" s="91" t="n"/>
      <c r="AB594" s="91" t="n"/>
      <c r="AC594" s="91" t="n"/>
      <c r="AD594" s="91" t="n"/>
      <c r="AE594" s="91" t="n"/>
      <c r="AF594" s="91" t="n"/>
      <c r="AG594" s="91" t="n"/>
    </row>
    <row r="595" ht="12.75" customHeight="1" s="117">
      <c r="A595" s="91" t="n"/>
      <c r="B595" s="91" t="n"/>
      <c r="C595" s="91" t="n"/>
      <c r="D595" s="91" t="n"/>
      <c r="E595" s="91" t="n"/>
      <c r="F595" s="91" t="n"/>
      <c r="G595" s="91" t="n"/>
      <c r="H595" s="91" t="n"/>
      <c r="I595" s="91" t="n"/>
      <c r="J595" s="91" t="n"/>
      <c r="K595" s="91" t="n"/>
      <c r="L595" s="91" t="n"/>
      <c r="M595" s="91" t="n"/>
      <c r="N595" s="91" t="n"/>
      <c r="O595" s="91" t="n"/>
      <c r="P595" s="91" t="n"/>
      <c r="Q595" s="91" t="n"/>
      <c r="R595" s="91" t="n"/>
      <c r="S595" s="91" t="n"/>
      <c r="T595" s="91" t="n"/>
      <c r="U595" s="91" t="n"/>
      <c r="V595" s="91" t="n"/>
      <c r="W595" s="91" t="n"/>
      <c r="X595" s="91" t="n"/>
      <c r="Y595" s="91" t="n"/>
      <c r="Z595" s="91" t="n"/>
      <c r="AA595" s="91" t="n"/>
      <c r="AB595" s="91" t="n"/>
      <c r="AC595" s="91" t="n"/>
      <c r="AD595" s="91" t="n"/>
      <c r="AE595" s="91" t="n"/>
      <c r="AF595" s="91" t="n"/>
      <c r="AG595" s="91" t="n"/>
    </row>
    <row r="596" ht="12.75" customHeight="1" s="117">
      <c r="A596" s="91" t="n"/>
      <c r="B596" s="91" t="n"/>
      <c r="C596" s="91" t="n"/>
      <c r="D596" s="91" t="n"/>
      <c r="E596" s="91" t="n"/>
      <c r="F596" s="91" t="n"/>
      <c r="G596" s="91" t="n"/>
      <c r="H596" s="91" t="n"/>
      <c r="I596" s="91" t="n"/>
      <c r="J596" s="91" t="n"/>
      <c r="K596" s="91" t="n"/>
      <c r="L596" s="91" t="n"/>
      <c r="M596" s="91" t="n"/>
      <c r="N596" s="91" t="n"/>
      <c r="O596" s="91" t="n"/>
      <c r="P596" s="91" t="n"/>
      <c r="Q596" s="91" t="n"/>
      <c r="R596" s="91" t="n"/>
      <c r="S596" s="91" t="n"/>
      <c r="T596" s="91" t="n"/>
      <c r="U596" s="91" t="n"/>
      <c r="V596" s="91" t="n"/>
      <c r="W596" s="91" t="n"/>
      <c r="X596" s="91" t="n"/>
      <c r="Y596" s="91" t="n"/>
      <c r="Z596" s="91" t="n"/>
      <c r="AA596" s="91" t="n"/>
      <c r="AB596" s="91" t="n"/>
      <c r="AC596" s="91" t="n"/>
      <c r="AD596" s="91" t="n"/>
      <c r="AE596" s="91" t="n"/>
      <c r="AF596" s="91" t="n"/>
      <c r="AG596" s="91" t="n"/>
    </row>
    <row r="597" ht="12.75" customHeight="1" s="117">
      <c r="A597" s="91" t="n"/>
      <c r="B597" s="91" t="n"/>
      <c r="C597" s="91" t="n"/>
      <c r="D597" s="91" t="n"/>
      <c r="E597" s="91" t="n"/>
      <c r="F597" s="91" t="n"/>
      <c r="G597" s="91" t="n"/>
      <c r="H597" s="91" t="n"/>
      <c r="I597" s="91" t="n"/>
      <c r="J597" s="91" t="n"/>
      <c r="K597" s="91" t="n"/>
      <c r="L597" s="91" t="n"/>
      <c r="M597" s="91" t="n"/>
      <c r="N597" s="91" t="n"/>
      <c r="O597" s="91" t="n"/>
      <c r="P597" s="91" t="n"/>
      <c r="Q597" s="91" t="n"/>
      <c r="R597" s="91" t="n"/>
      <c r="S597" s="91" t="n"/>
      <c r="T597" s="91" t="n"/>
      <c r="U597" s="91" t="n"/>
      <c r="V597" s="91" t="n"/>
      <c r="W597" s="91" t="n"/>
      <c r="X597" s="91" t="n"/>
      <c r="Y597" s="91" t="n"/>
      <c r="Z597" s="91" t="n"/>
      <c r="AA597" s="91" t="n"/>
      <c r="AB597" s="91" t="n"/>
      <c r="AC597" s="91" t="n"/>
      <c r="AD597" s="91" t="n"/>
      <c r="AE597" s="91" t="n"/>
      <c r="AF597" s="91" t="n"/>
      <c r="AG597" s="91" t="n"/>
    </row>
    <row r="598" ht="12.75" customHeight="1" s="117">
      <c r="A598" s="91" t="n"/>
      <c r="B598" s="91" t="n"/>
      <c r="C598" s="91" t="n"/>
      <c r="D598" s="91" t="n"/>
      <c r="E598" s="91" t="n"/>
      <c r="F598" s="91" t="n"/>
      <c r="G598" s="91" t="n"/>
      <c r="H598" s="91" t="n"/>
      <c r="I598" s="91" t="n"/>
      <c r="J598" s="91" t="n"/>
      <c r="K598" s="91" t="n"/>
      <c r="L598" s="91" t="n"/>
      <c r="M598" s="91" t="n"/>
      <c r="N598" s="91" t="n"/>
      <c r="O598" s="91" t="n"/>
      <c r="P598" s="91" t="n"/>
      <c r="Q598" s="91" t="n"/>
      <c r="R598" s="91" t="n"/>
      <c r="S598" s="91" t="n"/>
      <c r="T598" s="91" t="n"/>
      <c r="U598" s="91" t="n"/>
      <c r="V598" s="91" t="n"/>
      <c r="W598" s="91" t="n"/>
      <c r="X598" s="91" t="n"/>
      <c r="Y598" s="91" t="n"/>
      <c r="Z598" s="91" t="n"/>
      <c r="AA598" s="91" t="n"/>
      <c r="AB598" s="91" t="n"/>
      <c r="AC598" s="91" t="n"/>
      <c r="AD598" s="91" t="n"/>
      <c r="AE598" s="91" t="n"/>
      <c r="AF598" s="91" t="n"/>
      <c r="AG598" s="91" t="n"/>
    </row>
    <row r="599" ht="12.75" customHeight="1" s="117">
      <c r="A599" s="91" t="n"/>
      <c r="B599" s="91" t="n"/>
      <c r="C599" s="91" t="n"/>
      <c r="D599" s="91" t="n"/>
      <c r="E599" s="91" t="n"/>
      <c r="F599" s="91" t="n"/>
      <c r="G599" s="91" t="n"/>
      <c r="H599" s="91" t="n"/>
      <c r="I599" s="91" t="n"/>
      <c r="J599" s="91" t="n"/>
      <c r="K599" s="91" t="n"/>
      <c r="L599" s="91" t="n"/>
      <c r="M599" s="91" t="n"/>
      <c r="N599" s="91" t="n"/>
      <c r="O599" s="91" t="n"/>
      <c r="P599" s="91" t="n"/>
      <c r="Q599" s="91" t="n"/>
      <c r="R599" s="91" t="n"/>
      <c r="S599" s="91" t="n"/>
      <c r="T599" s="91" t="n"/>
      <c r="U599" s="91" t="n"/>
      <c r="V599" s="91" t="n"/>
      <c r="W599" s="91" t="n"/>
      <c r="X599" s="91" t="n"/>
      <c r="Y599" s="91" t="n"/>
      <c r="Z599" s="91" t="n"/>
      <c r="AA599" s="91" t="n"/>
      <c r="AB599" s="91" t="n"/>
      <c r="AC599" s="91" t="n"/>
      <c r="AD599" s="91" t="n"/>
      <c r="AE599" s="91" t="n"/>
      <c r="AF599" s="91" t="n"/>
      <c r="AG599" s="91" t="n"/>
    </row>
    <row r="600" ht="12.75" customHeight="1" s="117">
      <c r="A600" s="91" t="n"/>
      <c r="B600" s="91" t="n"/>
      <c r="C600" s="91" t="n"/>
      <c r="D600" s="91" t="n"/>
      <c r="E600" s="91" t="n"/>
      <c r="F600" s="91" t="n"/>
      <c r="G600" s="91" t="n"/>
      <c r="H600" s="91" t="n"/>
      <c r="I600" s="91" t="n"/>
      <c r="J600" s="91" t="n"/>
      <c r="K600" s="91" t="n"/>
      <c r="L600" s="91" t="n"/>
      <c r="M600" s="91" t="n"/>
      <c r="N600" s="91" t="n"/>
      <c r="O600" s="91" t="n"/>
      <c r="P600" s="91" t="n"/>
      <c r="Q600" s="91" t="n"/>
      <c r="R600" s="91" t="n"/>
      <c r="S600" s="91" t="n"/>
      <c r="T600" s="91" t="n"/>
      <c r="U600" s="91" t="n"/>
      <c r="V600" s="91" t="n"/>
      <c r="W600" s="91" t="n"/>
      <c r="X600" s="91" t="n"/>
      <c r="Y600" s="91" t="n"/>
      <c r="Z600" s="91" t="n"/>
      <c r="AA600" s="91" t="n"/>
      <c r="AB600" s="91" t="n"/>
      <c r="AC600" s="91" t="n"/>
      <c r="AD600" s="91" t="n"/>
      <c r="AE600" s="91" t="n"/>
      <c r="AF600" s="91" t="n"/>
      <c r="AG600" s="91" t="n"/>
    </row>
    <row r="601" ht="12.75" customHeight="1" s="117">
      <c r="A601" s="91" t="n"/>
      <c r="B601" s="91" t="n"/>
      <c r="C601" s="91" t="n"/>
      <c r="D601" s="91" t="n"/>
      <c r="E601" s="91" t="n"/>
      <c r="F601" s="91" t="n"/>
      <c r="G601" s="91" t="n"/>
      <c r="H601" s="91" t="n"/>
      <c r="I601" s="91" t="n"/>
      <c r="J601" s="91" t="n"/>
      <c r="K601" s="91" t="n"/>
      <c r="L601" s="91" t="n"/>
      <c r="M601" s="91" t="n"/>
      <c r="N601" s="91" t="n"/>
      <c r="O601" s="91" t="n"/>
      <c r="P601" s="91" t="n"/>
      <c r="Q601" s="91" t="n"/>
      <c r="R601" s="91" t="n"/>
      <c r="S601" s="91" t="n"/>
      <c r="T601" s="91" t="n"/>
      <c r="U601" s="91" t="n"/>
      <c r="V601" s="91" t="n"/>
      <c r="W601" s="91" t="n"/>
      <c r="X601" s="91" t="n"/>
      <c r="Y601" s="91" t="n"/>
      <c r="Z601" s="91" t="n"/>
      <c r="AA601" s="91" t="n"/>
      <c r="AB601" s="91" t="n"/>
      <c r="AC601" s="91" t="n"/>
      <c r="AD601" s="91" t="n"/>
      <c r="AE601" s="91" t="n"/>
      <c r="AF601" s="91" t="n"/>
      <c r="AG601" s="91" t="n"/>
    </row>
    <row r="602" ht="12.75" customHeight="1" s="117">
      <c r="A602" s="91" t="n"/>
      <c r="B602" s="91" t="n"/>
      <c r="C602" s="91" t="n"/>
      <c r="D602" s="91" t="n"/>
      <c r="E602" s="91" t="n"/>
      <c r="F602" s="91" t="n"/>
      <c r="G602" s="91" t="n"/>
      <c r="H602" s="91" t="n"/>
      <c r="I602" s="91" t="n"/>
      <c r="J602" s="91" t="n"/>
      <c r="K602" s="91" t="n"/>
      <c r="L602" s="91" t="n"/>
      <c r="M602" s="91" t="n"/>
      <c r="N602" s="91" t="n"/>
      <c r="O602" s="91" t="n"/>
      <c r="P602" s="91" t="n"/>
      <c r="Q602" s="91" t="n"/>
      <c r="R602" s="91" t="n"/>
      <c r="S602" s="91" t="n"/>
      <c r="T602" s="91" t="n"/>
      <c r="U602" s="91" t="n"/>
      <c r="V602" s="91" t="n"/>
      <c r="W602" s="91" t="n"/>
      <c r="X602" s="91" t="n"/>
      <c r="Y602" s="91" t="n"/>
      <c r="Z602" s="91" t="n"/>
      <c r="AA602" s="91" t="n"/>
      <c r="AB602" s="91" t="n"/>
      <c r="AC602" s="91" t="n"/>
      <c r="AD602" s="91" t="n"/>
      <c r="AE602" s="91" t="n"/>
      <c r="AF602" s="91" t="n"/>
      <c r="AG602" s="91" t="n"/>
    </row>
    <row r="603" ht="12.75" customHeight="1" s="117">
      <c r="A603" s="91" t="n"/>
      <c r="B603" s="91" t="n"/>
      <c r="C603" s="91" t="n"/>
      <c r="D603" s="91" t="n"/>
      <c r="E603" s="91" t="n"/>
      <c r="F603" s="91" t="n"/>
      <c r="G603" s="91" t="n"/>
      <c r="H603" s="91" t="n"/>
      <c r="I603" s="91" t="n"/>
      <c r="J603" s="91" t="n"/>
      <c r="K603" s="91" t="n"/>
      <c r="L603" s="91" t="n"/>
      <c r="M603" s="91" t="n"/>
      <c r="N603" s="91" t="n"/>
      <c r="O603" s="91" t="n"/>
      <c r="P603" s="91" t="n"/>
      <c r="Q603" s="91" t="n"/>
      <c r="R603" s="91" t="n"/>
      <c r="S603" s="91" t="n"/>
      <c r="T603" s="91" t="n"/>
      <c r="U603" s="91" t="n"/>
      <c r="V603" s="91" t="n"/>
      <c r="W603" s="91" t="n"/>
      <c r="X603" s="91" t="n"/>
      <c r="Y603" s="91" t="n"/>
      <c r="Z603" s="91" t="n"/>
      <c r="AA603" s="91" t="n"/>
      <c r="AB603" s="91" t="n"/>
      <c r="AC603" s="91" t="n"/>
      <c r="AD603" s="91" t="n"/>
      <c r="AE603" s="91" t="n"/>
      <c r="AF603" s="91" t="n"/>
      <c r="AG603" s="91" t="n"/>
    </row>
    <row r="604" ht="12.75" customHeight="1" s="117">
      <c r="A604" s="91" t="n"/>
      <c r="B604" s="91" t="n"/>
      <c r="C604" s="91" t="n"/>
      <c r="D604" s="91" t="n"/>
      <c r="E604" s="91" t="n"/>
      <c r="F604" s="91" t="n"/>
      <c r="G604" s="91" t="n"/>
      <c r="H604" s="91" t="n"/>
      <c r="I604" s="91" t="n"/>
      <c r="J604" s="91" t="n"/>
      <c r="K604" s="91" t="n"/>
      <c r="L604" s="91" t="n"/>
      <c r="M604" s="91" t="n"/>
      <c r="N604" s="91" t="n"/>
      <c r="O604" s="91" t="n"/>
      <c r="P604" s="91" t="n"/>
      <c r="Q604" s="91" t="n"/>
      <c r="R604" s="91" t="n"/>
      <c r="S604" s="91" t="n"/>
      <c r="T604" s="91" t="n"/>
      <c r="U604" s="91" t="n"/>
      <c r="V604" s="91" t="n"/>
      <c r="W604" s="91" t="n"/>
      <c r="X604" s="91" t="n"/>
      <c r="Y604" s="91" t="n"/>
      <c r="Z604" s="91" t="n"/>
      <c r="AA604" s="91" t="n"/>
      <c r="AB604" s="91" t="n"/>
      <c r="AC604" s="91" t="n"/>
      <c r="AD604" s="91" t="n"/>
      <c r="AE604" s="91" t="n"/>
      <c r="AF604" s="91" t="n"/>
      <c r="AG604" s="91" t="n"/>
    </row>
    <row r="605" ht="12.75" customHeight="1" s="117">
      <c r="A605" s="91" t="n"/>
      <c r="B605" s="91" t="n"/>
      <c r="C605" s="91" t="n"/>
      <c r="D605" s="91" t="n"/>
      <c r="E605" s="91" t="n"/>
      <c r="F605" s="91" t="n"/>
      <c r="G605" s="91" t="n"/>
      <c r="H605" s="91" t="n"/>
      <c r="I605" s="91" t="n"/>
      <c r="J605" s="91" t="n"/>
      <c r="K605" s="91" t="n"/>
      <c r="L605" s="91" t="n"/>
      <c r="M605" s="91" t="n"/>
      <c r="N605" s="91" t="n"/>
      <c r="O605" s="91" t="n"/>
      <c r="P605" s="91" t="n"/>
      <c r="Q605" s="91" t="n"/>
      <c r="R605" s="91" t="n"/>
      <c r="S605" s="91" t="n"/>
      <c r="T605" s="91" t="n"/>
      <c r="U605" s="91" t="n"/>
      <c r="V605" s="91" t="n"/>
      <c r="W605" s="91" t="n"/>
      <c r="X605" s="91" t="n"/>
      <c r="Y605" s="91" t="n"/>
      <c r="Z605" s="91" t="n"/>
      <c r="AA605" s="91" t="n"/>
      <c r="AB605" s="91" t="n"/>
      <c r="AC605" s="91" t="n"/>
      <c r="AD605" s="91" t="n"/>
      <c r="AE605" s="91" t="n"/>
      <c r="AF605" s="91" t="n"/>
      <c r="AG605" s="91" t="n"/>
    </row>
    <row r="606" ht="12.75" customHeight="1" s="117">
      <c r="A606" s="91" t="n"/>
      <c r="B606" s="91" t="n"/>
      <c r="C606" s="91" t="n"/>
      <c r="D606" s="91" t="n"/>
      <c r="E606" s="91" t="n"/>
      <c r="F606" s="91" t="n"/>
      <c r="G606" s="91" t="n"/>
      <c r="H606" s="91" t="n"/>
      <c r="I606" s="91" t="n"/>
      <c r="J606" s="91" t="n"/>
      <c r="K606" s="91" t="n"/>
      <c r="L606" s="91" t="n"/>
      <c r="M606" s="91" t="n"/>
      <c r="N606" s="91" t="n"/>
      <c r="O606" s="91" t="n"/>
      <c r="P606" s="91" t="n"/>
      <c r="Q606" s="91" t="n"/>
      <c r="R606" s="91" t="n"/>
      <c r="S606" s="91" t="n"/>
      <c r="T606" s="91" t="n"/>
      <c r="U606" s="91" t="n"/>
      <c r="V606" s="91" t="n"/>
      <c r="W606" s="91" t="n"/>
      <c r="X606" s="91" t="n"/>
      <c r="Y606" s="91" t="n"/>
      <c r="Z606" s="91" t="n"/>
      <c r="AA606" s="91" t="n"/>
      <c r="AB606" s="91" t="n"/>
      <c r="AC606" s="91" t="n"/>
      <c r="AD606" s="91" t="n"/>
      <c r="AE606" s="91" t="n"/>
      <c r="AF606" s="91" t="n"/>
      <c r="AG606" s="91" t="n"/>
    </row>
    <row r="607" ht="12.75" customHeight="1" s="117">
      <c r="A607" s="91" t="n"/>
      <c r="B607" s="91" t="n"/>
      <c r="C607" s="91" t="n"/>
      <c r="D607" s="91" t="n"/>
      <c r="E607" s="91" t="n"/>
      <c r="F607" s="91" t="n"/>
      <c r="G607" s="91" t="n"/>
      <c r="H607" s="91" t="n"/>
      <c r="I607" s="91" t="n"/>
      <c r="J607" s="91" t="n"/>
      <c r="K607" s="91" t="n"/>
      <c r="L607" s="91" t="n"/>
      <c r="M607" s="91" t="n"/>
      <c r="N607" s="91" t="n"/>
      <c r="O607" s="91" t="n"/>
      <c r="P607" s="91" t="n"/>
      <c r="Q607" s="91" t="n"/>
      <c r="R607" s="91" t="n"/>
      <c r="S607" s="91" t="n"/>
      <c r="T607" s="91" t="n"/>
      <c r="U607" s="91" t="n"/>
      <c r="V607" s="91" t="n"/>
      <c r="W607" s="91" t="n"/>
      <c r="X607" s="91" t="n"/>
      <c r="Y607" s="91" t="n"/>
      <c r="Z607" s="91" t="n"/>
      <c r="AA607" s="91" t="n"/>
      <c r="AB607" s="91" t="n"/>
      <c r="AC607" s="91" t="n"/>
      <c r="AD607" s="91" t="n"/>
      <c r="AE607" s="91" t="n"/>
      <c r="AF607" s="91" t="n"/>
      <c r="AG607" s="91" t="n"/>
    </row>
    <row r="608" ht="12.75" customHeight="1" s="117">
      <c r="A608" s="91" t="n"/>
      <c r="B608" s="91" t="n"/>
      <c r="C608" s="91" t="n"/>
      <c r="D608" s="91" t="n"/>
      <c r="E608" s="91" t="n"/>
      <c r="F608" s="91" t="n"/>
      <c r="G608" s="91" t="n"/>
      <c r="H608" s="91" t="n"/>
      <c r="I608" s="91" t="n"/>
      <c r="J608" s="91" t="n"/>
      <c r="K608" s="91" t="n"/>
      <c r="L608" s="91" t="n"/>
      <c r="M608" s="91" t="n"/>
      <c r="N608" s="91" t="n"/>
      <c r="O608" s="91" t="n"/>
      <c r="P608" s="91" t="n"/>
      <c r="Q608" s="91" t="n"/>
      <c r="R608" s="91" t="n"/>
      <c r="S608" s="91" t="n"/>
      <c r="T608" s="91" t="n"/>
      <c r="U608" s="91" t="n"/>
      <c r="V608" s="91" t="n"/>
      <c r="W608" s="91" t="n"/>
      <c r="X608" s="91" t="n"/>
      <c r="Y608" s="91" t="n"/>
      <c r="Z608" s="91" t="n"/>
      <c r="AA608" s="91" t="n"/>
      <c r="AB608" s="91" t="n"/>
      <c r="AC608" s="91" t="n"/>
      <c r="AD608" s="91" t="n"/>
      <c r="AE608" s="91" t="n"/>
      <c r="AF608" s="91" t="n"/>
      <c r="AG608" s="91" t="n"/>
    </row>
    <row r="609" ht="12.75" customHeight="1" s="117">
      <c r="A609" s="91" t="n"/>
      <c r="B609" s="91" t="n"/>
      <c r="C609" s="91" t="n"/>
      <c r="D609" s="91" t="n"/>
      <c r="E609" s="91" t="n"/>
      <c r="F609" s="91" t="n"/>
      <c r="G609" s="91" t="n"/>
      <c r="H609" s="91" t="n"/>
      <c r="I609" s="91" t="n"/>
      <c r="J609" s="91" t="n"/>
      <c r="K609" s="91" t="n"/>
      <c r="L609" s="91" t="n"/>
      <c r="M609" s="91" t="n"/>
      <c r="N609" s="91" t="n"/>
      <c r="O609" s="91" t="n"/>
      <c r="P609" s="91" t="n"/>
      <c r="Q609" s="91" t="n"/>
      <c r="R609" s="91" t="n"/>
      <c r="S609" s="91" t="n"/>
      <c r="T609" s="91" t="n"/>
      <c r="U609" s="91" t="n"/>
      <c r="V609" s="91" t="n"/>
      <c r="W609" s="91" t="n"/>
      <c r="X609" s="91" t="n"/>
      <c r="Y609" s="91" t="n"/>
      <c r="Z609" s="91" t="n"/>
      <c r="AA609" s="91" t="n"/>
      <c r="AB609" s="91" t="n"/>
      <c r="AC609" s="91" t="n"/>
      <c r="AD609" s="91" t="n"/>
      <c r="AE609" s="91" t="n"/>
      <c r="AF609" s="91" t="n"/>
      <c r="AG609" s="91" t="n"/>
    </row>
    <row r="610" ht="12.75" customHeight="1" s="117">
      <c r="A610" s="91" t="n"/>
      <c r="B610" s="91" t="n"/>
      <c r="C610" s="91" t="n"/>
      <c r="D610" s="91" t="n"/>
      <c r="E610" s="91" t="n"/>
      <c r="F610" s="91" t="n"/>
      <c r="G610" s="91" t="n"/>
      <c r="H610" s="91" t="n"/>
      <c r="I610" s="91" t="n"/>
      <c r="J610" s="91" t="n"/>
      <c r="K610" s="91" t="n"/>
      <c r="L610" s="91" t="n"/>
      <c r="M610" s="91" t="n"/>
      <c r="N610" s="91" t="n"/>
      <c r="O610" s="91" t="n"/>
      <c r="P610" s="91" t="n"/>
      <c r="Q610" s="91" t="n"/>
      <c r="R610" s="91" t="n"/>
      <c r="S610" s="91" t="n"/>
      <c r="T610" s="91" t="n"/>
      <c r="U610" s="91" t="n"/>
      <c r="V610" s="91" t="n"/>
      <c r="W610" s="91" t="n"/>
      <c r="X610" s="91" t="n"/>
      <c r="Y610" s="91" t="n"/>
      <c r="Z610" s="91" t="n"/>
      <c r="AA610" s="91" t="n"/>
      <c r="AB610" s="91" t="n"/>
      <c r="AC610" s="91" t="n"/>
      <c r="AD610" s="91" t="n"/>
      <c r="AE610" s="91" t="n"/>
      <c r="AF610" s="91" t="n"/>
      <c r="AG610" s="91" t="n"/>
    </row>
    <row r="611" ht="12.75" customHeight="1" s="117">
      <c r="A611" s="91" t="n"/>
      <c r="B611" s="91" t="n"/>
      <c r="C611" s="91" t="n"/>
      <c r="D611" s="91" t="n"/>
      <c r="E611" s="91" t="n"/>
      <c r="F611" s="91" t="n"/>
      <c r="G611" s="91" t="n"/>
      <c r="H611" s="91" t="n"/>
      <c r="I611" s="91" t="n"/>
      <c r="J611" s="91" t="n"/>
      <c r="K611" s="91" t="n"/>
      <c r="L611" s="91" t="n"/>
      <c r="M611" s="91" t="n"/>
      <c r="N611" s="91" t="n"/>
      <c r="O611" s="91" t="n"/>
      <c r="P611" s="91" t="n"/>
      <c r="Q611" s="91" t="n"/>
      <c r="R611" s="91" t="n"/>
      <c r="S611" s="91" t="n"/>
      <c r="T611" s="91" t="n"/>
      <c r="U611" s="91" t="n"/>
      <c r="V611" s="91" t="n"/>
      <c r="W611" s="91" t="n"/>
      <c r="X611" s="91" t="n"/>
      <c r="Y611" s="91" t="n"/>
      <c r="Z611" s="91" t="n"/>
      <c r="AA611" s="91" t="n"/>
      <c r="AB611" s="91" t="n"/>
      <c r="AC611" s="91" t="n"/>
      <c r="AD611" s="91" t="n"/>
      <c r="AE611" s="91" t="n"/>
      <c r="AF611" s="91" t="n"/>
      <c r="AG611" s="91" t="n"/>
    </row>
    <row r="612" ht="12.75" customHeight="1" s="117">
      <c r="A612" s="91" t="n"/>
      <c r="B612" s="91" t="n"/>
      <c r="C612" s="91" t="n"/>
      <c r="D612" s="91" t="n"/>
      <c r="E612" s="91" t="n"/>
      <c r="F612" s="91" t="n"/>
      <c r="G612" s="91" t="n"/>
      <c r="H612" s="91" t="n"/>
      <c r="I612" s="91" t="n"/>
      <c r="J612" s="91" t="n"/>
      <c r="K612" s="91" t="n"/>
      <c r="L612" s="91" t="n"/>
      <c r="M612" s="91" t="n"/>
      <c r="N612" s="91" t="n"/>
      <c r="O612" s="91" t="n"/>
      <c r="P612" s="91" t="n"/>
      <c r="Q612" s="91" t="n"/>
      <c r="R612" s="91" t="n"/>
      <c r="S612" s="91" t="n"/>
      <c r="T612" s="91" t="n"/>
      <c r="U612" s="91" t="n"/>
      <c r="V612" s="91" t="n"/>
      <c r="W612" s="91" t="n"/>
      <c r="X612" s="91" t="n"/>
      <c r="Y612" s="91" t="n"/>
      <c r="Z612" s="91" t="n"/>
      <c r="AA612" s="91" t="n"/>
      <c r="AB612" s="91" t="n"/>
      <c r="AC612" s="91" t="n"/>
      <c r="AD612" s="91" t="n"/>
      <c r="AE612" s="91" t="n"/>
      <c r="AF612" s="91" t="n"/>
      <c r="AG612" s="91" t="n"/>
    </row>
    <row r="613" ht="12.75" customHeight="1" s="117">
      <c r="A613" s="91" t="n"/>
      <c r="B613" s="91" t="n"/>
      <c r="C613" s="91" t="n"/>
      <c r="D613" s="91" t="n"/>
      <c r="E613" s="91" t="n"/>
      <c r="F613" s="91" t="n"/>
      <c r="G613" s="91" t="n"/>
      <c r="H613" s="91" t="n"/>
      <c r="I613" s="91" t="n"/>
      <c r="J613" s="91" t="n"/>
      <c r="K613" s="91" t="n"/>
      <c r="L613" s="91" t="n"/>
      <c r="M613" s="91" t="n"/>
      <c r="N613" s="91" t="n"/>
      <c r="O613" s="91" t="n"/>
      <c r="P613" s="91" t="n"/>
      <c r="Q613" s="91" t="n"/>
      <c r="R613" s="91" t="n"/>
      <c r="S613" s="91" t="n"/>
      <c r="T613" s="91" t="n"/>
      <c r="U613" s="91" t="n"/>
      <c r="V613" s="91" t="n"/>
      <c r="W613" s="91" t="n"/>
      <c r="X613" s="91" t="n"/>
      <c r="Y613" s="91" t="n"/>
      <c r="Z613" s="91" t="n"/>
      <c r="AA613" s="91" t="n"/>
      <c r="AB613" s="91" t="n"/>
      <c r="AC613" s="91" t="n"/>
      <c r="AD613" s="91" t="n"/>
      <c r="AE613" s="91" t="n"/>
      <c r="AF613" s="91" t="n"/>
      <c r="AG613" s="91" t="n"/>
    </row>
    <row r="614" ht="12.75" customHeight="1" s="117">
      <c r="A614" s="91" t="n"/>
      <c r="B614" s="91" t="n"/>
      <c r="C614" s="91" t="n"/>
      <c r="D614" s="91" t="n"/>
      <c r="E614" s="91" t="n"/>
      <c r="F614" s="91" t="n"/>
      <c r="G614" s="91" t="n"/>
      <c r="H614" s="91" t="n"/>
      <c r="I614" s="91" t="n"/>
      <c r="J614" s="91" t="n"/>
      <c r="K614" s="91" t="n"/>
      <c r="L614" s="91" t="n"/>
      <c r="M614" s="91" t="n"/>
      <c r="N614" s="91" t="n"/>
      <c r="O614" s="91" t="n"/>
      <c r="P614" s="91" t="n"/>
      <c r="Q614" s="91" t="n"/>
      <c r="R614" s="91" t="n"/>
      <c r="S614" s="91" t="n"/>
      <c r="T614" s="91" t="n"/>
      <c r="U614" s="91" t="n"/>
      <c r="V614" s="91" t="n"/>
      <c r="W614" s="91" t="n"/>
      <c r="X614" s="91" t="n"/>
      <c r="Y614" s="91" t="n"/>
      <c r="Z614" s="91" t="n"/>
      <c r="AA614" s="91" t="n"/>
      <c r="AB614" s="91" t="n"/>
      <c r="AC614" s="91" t="n"/>
      <c r="AD614" s="91" t="n"/>
      <c r="AE614" s="91" t="n"/>
      <c r="AF614" s="91" t="n"/>
      <c r="AG614" s="91" t="n"/>
    </row>
    <row r="615" ht="12.75" customHeight="1" s="117">
      <c r="A615" s="91" t="n"/>
      <c r="B615" s="91" t="n"/>
      <c r="C615" s="91" t="n"/>
      <c r="D615" s="91" t="n"/>
      <c r="E615" s="91" t="n"/>
      <c r="F615" s="91" t="n"/>
      <c r="G615" s="91" t="n"/>
      <c r="H615" s="91" t="n"/>
      <c r="I615" s="91" t="n"/>
      <c r="J615" s="91" t="n"/>
      <c r="K615" s="91" t="n"/>
      <c r="L615" s="91" t="n"/>
      <c r="M615" s="91" t="n"/>
      <c r="N615" s="91" t="n"/>
      <c r="O615" s="91" t="n"/>
      <c r="P615" s="91" t="n"/>
      <c r="Q615" s="91" t="n"/>
      <c r="R615" s="91" t="n"/>
      <c r="S615" s="91" t="n"/>
      <c r="T615" s="91" t="n"/>
      <c r="U615" s="91" t="n"/>
      <c r="V615" s="91" t="n"/>
      <c r="W615" s="91" t="n"/>
      <c r="X615" s="91" t="n"/>
      <c r="Y615" s="91" t="n"/>
      <c r="Z615" s="91" t="n"/>
      <c r="AA615" s="91" t="n"/>
      <c r="AB615" s="91" t="n"/>
      <c r="AC615" s="91" t="n"/>
      <c r="AD615" s="91" t="n"/>
      <c r="AE615" s="91" t="n"/>
      <c r="AF615" s="91" t="n"/>
      <c r="AG615" s="91" t="n"/>
    </row>
    <row r="616" ht="12.75" customHeight="1" s="117">
      <c r="A616" s="91" t="n"/>
      <c r="B616" s="91" t="n"/>
      <c r="C616" s="91" t="n"/>
      <c r="D616" s="91" t="n"/>
      <c r="E616" s="91" t="n"/>
      <c r="F616" s="91" t="n"/>
      <c r="G616" s="91" t="n"/>
      <c r="H616" s="91" t="n"/>
      <c r="I616" s="91" t="n"/>
      <c r="J616" s="91" t="n"/>
      <c r="K616" s="91" t="n"/>
      <c r="L616" s="91" t="n"/>
      <c r="M616" s="91" t="n"/>
      <c r="N616" s="91" t="n"/>
      <c r="O616" s="91" t="n"/>
      <c r="P616" s="91" t="n"/>
      <c r="Q616" s="91" t="n"/>
      <c r="R616" s="91" t="n"/>
      <c r="S616" s="91" t="n"/>
      <c r="T616" s="91" t="n"/>
      <c r="U616" s="91" t="n"/>
      <c r="V616" s="91" t="n"/>
      <c r="W616" s="91" t="n"/>
      <c r="X616" s="91" t="n"/>
      <c r="Y616" s="91" t="n"/>
      <c r="Z616" s="91" t="n"/>
      <c r="AA616" s="91" t="n"/>
      <c r="AB616" s="91" t="n"/>
      <c r="AC616" s="91" t="n"/>
      <c r="AD616" s="91" t="n"/>
      <c r="AE616" s="91" t="n"/>
      <c r="AF616" s="91" t="n"/>
      <c r="AG616" s="91" t="n"/>
    </row>
    <row r="617" ht="12.75" customHeight="1" s="117">
      <c r="A617" s="91" t="n"/>
      <c r="B617" s="91" t="n"/>
      <c r="C617" s="91" t="n"/>
      <c r="D617" s="91" t="n"/>
      <c r="E617" s="91" t="n"/>
      <c r="F617" s="91" t="n"/>
      <c r="G617" s="91" t="n"/>
      <c r="H617" s="91" t="n"/>
      <c r="I617" s="91" t="n"/>
      <c r="J617" s="91" t="n"/>
      <c r="K617" s="91" t="n"/>
      <c r="L617" s="91" t="n"/>
      <c r="M617" s="91" t="n"/>
      <c r="N617" s="91" t="n"/>
      <c r="O617" s="91" t="n"/>
      <c r="P617" s="91" t="n"/>
      <c r="Q617" s="91" t="n"/>
      <c r="R617" s="91" t="n"/>
      <c r="S617" s="91" t="n"/>
      <c r="T617" s="91" t="n"/>
      <c r="U617" s="91" t="n"/>
      <c r="V617" s="91" t="n"/>
      <c r="W617" s="91" t="n"/>
      <c r="X617" s="91" t="n"/>
      <c r="Y617" s="91" t="n"/>
      <c r="Z617" s="91" t="n"/>
      <c r="AA617" s="91" t="n"/>
      <c r="AB617" s="91" t="n"/>
      <c r="AC617" s="91" t="n"/>
      <c r="AD617" s="91" t="n"/>
      <c r="AE617" s="91" t="n"/>
      <c r="AF617" s="91" t="n"/>
      <c r="AG617" s="91" t="n"/>
    </row>
    <row r="618" ht="12.75" customHeight="1" s="117">
      <c r="A618" s="91" t="n"/>
      <c r="B618" s="91" t="n"/>
      <c r="C618" s="91" t="n"/>
      <c r="D618" s="91" t="n"/>
      <c r="E618" s="91" t="n"/>
      <c r="F618" s="91" t="n"/>
      <c r="G618" s="91" t="n"/>
      <c r="H618" s="91" t="n"/>
      <c r="I618" s="91" t="n"/>
      <c r="J618" s="91" t="n"/>
      <c r="K618" s="91" t="n"/>
      <c r="L618" s="91" t="n"/>
      <c r="M618" s="91" t="n"/>
      <c r="N618" s="91" t="n"/>
      <c r="O618" s="91" t="n"/>
      <c r="P618" s="91" t="n"/>
      <c r="Q618" s="91" t="n"/>
      <c r="R618" s="91" t="n"/>
      <c r="S618" s="91" t="n"/>
      <c r="T618" s="91" t="n"/>
      <c r="U618" s="91" t="n"/>
      <c r="V618" s="91" t="n"/>
      <c r="W618" s="91" t="n"/>
      <c r="X618" s="91" t="n"/>
      <c r="Y618" s="91" t="n"/>
      <c r="Z618" s="91" t="n"/>
      <c r="AA618" s="91" t="n"/>
      <c r="AB618" s="91" t="n"/>
      <c r="AC618" s="91" t="n"/>
      <c r="AD618" s="91" t="n"/>
      <c r="AE618" s="91" t="n"/>
      <c r="AF618" s="91" t="n"/>
      <c r="AG618" s="91" t="n"/>
    </row>
    <row r="619" ht="12.75" customHeight="1" s="117">
      <c r="A619" s="91" t="n"/>
      <c r="B619" s="91" t="n"/>
      <c r="C619" s="91" t="n"/>
      <c r="D619" s="91" t="n"/>
      <c r="E619" s="91" t="n"/>
      <c r="F619" s="91" t="n"/>
      <c r="G619" s="91" t="n"/>
      <c r="H619" s="91" t="n"/>
      <c r="I619" s="91" t="n"/>
      <c r="J619" s="91" t="n"/>
      <c r="K619" s="91" t="n"/>
      <c r="L619" s="91" t="n"/>
      <c r="M619" s="91" t="n"/>
      <c r="N619" s="91" t="n"/>
      <c r="O619" s="91" t="n"/>
      <c r="P619" s="91" t="n"/>
      <c r="Q619" s="91" t="n"/>
      <c r="R619" s="91" t="n"/>
      <c r="S619" s="91" t="n"/>
      <c r="T619" s="91" t="n"/>
      <c r="U619" s="91" t="n"/>
      <c r="V619" s="91" t="n"/>
      <c r="W619" s="91" t="n"/>
      <c r="X619" s="91" t="n"/>
      <c r="Y619" s="91" t="n"/>
      <c r="Z619" s="91" t="n"/>
      <c r="AA619" s="91" t="n"/>
      <c r="AB619" s="91" t="n"/>
      <c r="AC619" s="91" t="n"/>
      <c r="AD619" s="91" t="n"/>
      <c r="AE619" s="91" t="n"/>
      <c r="AF619" s="91" t="n"/>
      <c r="AG619" s="91" t="n"/>
    </row>
    <row r="620" ht="12.75" customHeight="1" s="117">
      <c r="A620" s="91" t="n"/>
      <c r="B620" s="91" t="n"/>
      <c r="C620" s="91" t="n"/>
      <c r="D620" s="91" t="n"/>
      <c r="E620" s="91" t="n"/>
      <c r="F620" s="91" t="n"/>
      <c r="G620" s="91" t="n"/>
      <c r="H620" s="91" t="n"/>
      <c r="I620" s="91" t="n"/>
      <c r="J620" s="91" t="n"/>
      <c r="K620" s="91" t="n"/>
      <c r="L620" s="91" t="n"/>
      <c r="M620" s="91" t="n"/>
      <c r="N620" s="91" t="n"/>
      <c r="O620" s="91" t="n"/>
      <c r="P620" s="91" t="n"/>
      <c r="Q620" s="91" t="n"/>
      <c r="R620" s="91" t="n"/>
      <c r="S620" s="91" t="n"/>
      <c r="T620" s="91" t="n"/>
      <c r="U620" s="91" t="n"/>
      <c r="V620" s="91" t="n"/>
      <c r="W620" s="91" t="n"/>
      <c r="X620" s="91" t="n"/>
      <c r="Y620" s="91" t="n"/>
      <c r="Z620" s="91" t="n"/>
      <c r="AA620" s="91" t="n"/>
      <c r="AB620" s="91" t="n"/>
      <c r="AC620" s="91" t="n"/>
      <c r="AD620" s="91" t="n"/>
      <c r="AE620" s="91" t="n"/>
      <c r="AF620" s="91" t="n"/>
      <c r="AG620" s="91" t="n"/>
    </row>
    <row r="621" ht="12.75" customHeight="1" s="117">
      <c r="A621" s="91" t="n"/>
      <c r="B621" s="91" t="n"/>
      <c r="C621" s="91" t="n"/>
      <c r="D621" s="91" t="n"/>
      <c r="E621" s="91" t="n"/>
      <c r="F621" s="91" t="n"/>
      <c r="G621" s="91" t="n"/>
      <c r="H621" s="91" t="n"/>
      <c r="I621" s="91" t="n"/>
      <c r="J621" s="91" t="n"/>
      <c r="K621" s="91" t="n"/>
      <c r="L621" s="91" t="n"/>
      <c r="M621" s="91" t="n"/>
      <c r="N621" s="91" t="n"/>
      <c r="O621" s="91" t="n"/>
      <c r="P621" s="91" t="n"/>
      <c r="Q621" s="91" t="n"/>
      <c r="R621" s="91" t="n"/>
      <c r="S621" s="91" t="n"/>
      <c r="T621" s="91" t="n"/>
      <c r="U621" s="91" t="n"/>
      <c r="V621" s="91" t="n"/>
      <c r="W621" s="91" t="n"/>
      <c r="X621" s="91" t="n"/>
      <c r="Y621" s="91" t="n"/>
      <c r="Z621" s="91" t="n"/>
      <c r="AA621" s="91" t="n"/>
      <c r="AB621" s="91" t="n"/>
      <c r="AC621" s="91" t="n"/>
      <c r="AD621" s="91" t="n"/>
      <c r="AE621" s="91" t="n"/>
      <c r="AF621" s="91" t="n"/>
      <c r="AG621" s="91" t="n"/>
    </row>
    <row r="622" ht="12.75" customHeight="1" s="117">
      <c r="A622" s="91" t="n"/>
      <c r="B622" s="91" t="n"/>
      <c r="C622" s="91" t="n"/>
      <c r="D622" s="91" t="n"/>
      <c r="E622" s="91" t="n"/>
      <c r="F622" s="91" t="n"/>
      <c r="G622" s="91" t="n"/>
      <c r="H622" s="91" t="n"/>
      <c r="I622" s="91" t="n"/>
      <c r="J622" s="91" t="n"/>
      <c r="K622" s="91" t="n"/>
      <c r="L622" s="91" t="n"/>
      <c r="M622" s="91" t="n"/>
      <c r="N622" s="91" t="n"/>
      <c r="O622" s="91" t="n"/>
      <c r="P622" s="91" t="n"/>
      <c r="Q622" s="91" t="n"/>
      <c r="R622" s="91" t="n"/>
      <c r="S622" s="91" t="n"/>
      <c r="T622" s="91" t="n"/>
      <c r="U622" s="91" t="n"/>
      <c r="V622" s="91" t="n"/>
      <c r="W622" s="91" t="n"/>
      <c r="X622" s="91" t="n"/>
      <c r="Y622" s="91" t="n"/>
      <c r="Z622" s="91" t="n"/>
      <c r="AA622" s="91" t="n"/>
      <c r="AB622" s="91" t="n"/>
      <c r="AC622" s="91" t="n"/>
      <c r="AD622" s="91" t="n"/>
      <c r="AE622" s="91" t="n"/>
      <c r="AF622" s="91" t="n"/>
      <c r="AG622" s="91" t="n"/>
    </row>
    <row r="623" ht="12.75" customHeight="1" s="117">
      <c r="A623" s="91" t="n"/>
      <c r="B623" s="91" t="n"/>
      <c r="C623" s="91" t="n"/>
      <c r="D623" s="91" t="n"/>
      <c r="E623" s="91" t="n"/>
      <c r="F623" s="91" t="n"/>
      <c r="G623" s="91" t="n"/>
      <c r="H623" s="91" t="n"/>
      <c r="I623" s="91" t="n"/>
      <c r="J623" s="91" t="n"/>
      <c r="K623" s="91" t="n"/>
      <c r="L623" s="91" t="n"/>
      <c r="M623" s="91" t="n"/>
      <c r="N623" s="91" t="n"/>
      <c r="O623" s="91" t="n"/>
      <c r="P623" s="91" t="n"/>
      <c r="Q623" s="91" t="n"/>
      <c r="R623" s="91" t="n"/>
      <c r="S623" s="91" t="n"/>
      <c r="T623" s="91" t="n"/>
      <c r="U623" s="91" t="n"/>
      <c r="V623" s="91" t="n"/>
      <c r="W623" s="91" t="n"/>
      <c r="X623" s="91" t="n"/>
      <c r="Y623" s="91" t="n"/>
      <c r="Z623" s="91" t="n"/>
      <c r="AA623" s="91" t="n"/>
      <c r="AB623" s="91" t="n"/>
      <c r="AC623" s="91" t="n"/>
      <c r="AD623" s="91" t="n"/>
      <c r="AE623" s="91" t="n"/>
      <c r="AF623" s="91" t="n"/>
      <c r="AG623" s="91" t="n"/>
    </row>
    <row r="624" ht="12.75" customHeight="1" s="117">
      <c r="A624" s="91" t="n"/>
      <c r="B624" s="91" t="n"/>
      <c r="C624" s="91" t="n"/>
      <c r="D624" s="91" t="n"/>
      <c r="E624" s="91" t="n"/>
      <c r="F624" s="91" t="n"/>
      <c r="G624" s="91" t="n"/>
      <c r="H624" s="91" t="n"/>
      <c r="I624" s="91" t="n"/>
      <c r="J624" s="91" t="n"/>
      <c r="K624" s="91" t="n"/>
      <c r="L624" s="91" t="n"/>
      <c r="M624" s="91" t="n"/>
      <c r="N624" s="91" t="n"/>
      <c r="O624" s="91" t="n"/>
      <c r="P624" s="91" t="n"/>
      <c r="Q624" s="91" t="n"/>
      <c r="R624" s="91" t="n"/>
      <c r="S624" s="91" t="n"/>
      <c r="T624" s="91" t="n"/>
      <c r="U624" s="91" t="n"/>
      <c r="V624" s="91" t="n"/>
      <c r="W624" s="91" t="n"/>
      <c r="X624" s="91" t="n"/>
      <c r="Y624" s="91" t="n"/>
      <c r="Z624" s="91" t="n"/>
      <c r="AA624" s="91" t="n"/>
      <c r="AB624" s="91" t="n"/>
      <c r="AC624" s="91" t="n"/>
      <c r="AD624" s="91" t="n"/>
      <c r="AE624" s="91" t="n"/>
      <c r="AF624" s="91" t="n"/>
      <c r="AG624" s="91" t="n"/>
    </row>
    <row r="625" ht="12.75" customHeight="1" s="117">
      <c r="A625" s="91" t="n"/>
      <c r="B625" s="91" t="n"/>
      <c r="C625" s="91" t="n"/>
      <c r="D625" s="91" t="n"/>
      <c r="E625" s="91" t="n"/>
      <c r="F625" s="91" t="n"/>
      <c r="G625" s="91" t="n"/>
      <c r="H625" s="91" t="n"/>
      <c r="I625" s="91" t="n"/>
      <c r="J625" s="91" t="n"/>
      <c r="K625" s="91" t="n"/>
      <c r="L625" s="91" t="n"/>
      <c r="M625" s="91" t="n"/>
      <c r="N625" s="91" t="n"/>
      <c r="O625" s="91" t="n"/>
      <c r="P625" s="91" t="n"/>
      <c r="Q625" s="91" t="n"/>
      <c r="R625" s="91" t="n"/>
      <c r="S625" s="91" t="n"/>
      <c r="T625" s="91" t="n"/>
      <c r="U625" s="91" t="n"/>
      <c r="V625" s="91" t="n"/>
      <c r="W625" s="91" t="n"/>
      <c r="X625" s="91" t="n"/>
      <c r="Y625" s="91" t="n"/>
      <c r="Z625" s="91" t="n"/>
      <c r="AA625" s="91" t="n"/>
      <c r="AB625" s="91" t="n"/>
      <c r="AC625" s="91" t="n"/>
      <c r="AD625" s="91" t="n"/>
      <c r="AE625" s="91" t="n"/>
      <c r="AF625" s="91" t="n"/>
      <c r="AG625" s="91" t="n"/>
    </row>
    <row r="626" ht="12.75" customHeight="1" s="117">
      <c r="A626" s="91" t="n"/>
      <c r="B626" s="91" t="n"/>
      <c r="C626" s="91" t="n"/>
      <c r="D626" s="91" t="n"/>
      <c r="E626" s="91" t="n"/>
      <c r="F626" s="91" t="n"/>
      <c r="G626" s="91" t="n"/>
      <c r="H626" s="91" t="n"/>
      <c r="I626" s="91" t="n"/>
      <c r="J626" s="91" t="n"/>
      <c r="K626" s="91" t="n"/>
      <c r="L626" s="91" t="n"/>
      <c r="M626" s="91" t="n"/>
      <c r="N626" s="91" t="n"/>
      <c r="O626" s="91" t="n"/>
      <c r="P626" s="91" t="n"/>
      <c r="Q626" s="91" t="n"/>
      <c r="R626" s="91" t="n"/>
      <c r="S626" s="91" t="n"/>
      <c r="T626" s="91" t="n"/>
      <c r="U626" s="91" t="n"/>
      <c r="V626" s="91" t="n"/>
      <c r="W626" s="91" t="n"/>
      <c r="X626" s="91" t="n"/>
      <c r="Y626" s="91" t="n"/>
      <c r="Z626" s="91" t="n"/>
      <c r="AA626" s="91" t="n"/>
      <c r="AB626" s="91" t="n"/>
      <c r="AC626" s="91" t="n"/>
      <c r="AD626" s="91" t="n"/>
      <c r="AE626" s="91" t="n"/>
      <c r="AF626" s="91" t="n"/>
      <c r="AG626" s="91" t="n"/>
    </row>
    <row r="627" ht="12.75" customHeight="1" s="117">
      <c r="A627" s="91" t="n"/>
      <c r="B627" s="91" t="n"/>
      <c r="C627" s="91" t="n"/>
      <c r="D627" s="91" t="n"/>
      <c r="E627" s="91" t="n"/>
      <c r="F627" s="91" t="n"/>
      <c r="G627" s="91" t="n"/>
      <c r="H627" s="91" t="n"/>
      <c r="I627" s="91" t="n"/>
      <c r="J627" s="91" t="n"/>
      <c r="K627" s="91" t="n"/>
      <c r="L627" s="91" t="n"/>
      <c r="M627" s="91" t="n"/>
      <c r="N627" s="91" t="n"/>
      <c r="O627" s="91" t="n"/>
      <c r="P627" s="91" t="n"/>
      <c r="Q627" s="91" t="n"/>
      <c r="R627" s="91" t="n"/>
      <c r="S627" s="91" t="n"/>
      <c r="T627" s="91" t="n"/>
      <c r="U627" s="91" t="n"/>
      <c r="V627" s="91" t="n"/>
      <c r="W627" s="91" t="n"/>
      <c r="X627" s="91" t="n"/>
      <c r="Y627" s="91" t="n"/>
      <c r="Z627" s="91" t="n"/>
      <c r="AA627" s="91" t="n"/>
      <c r="AB627" s="91" t="n"/>
      <c r="AC627" s="91" t="n"/>
      <c r="AD627" s="91" t="n"/>
      <c r="AE627" s="91" t="n"/>
      <c r="AF627" s="91" t="n"/>
      <c r="AG627" s="91" t="n"/>
    </row>
    <row r="628" ht="12.75" customHeight="1" s="117">
      <c r="A628" s="91" t="n"/>
      <c r="B628" s="91" t="n"/>
      <c r="C628" s="91" t="n"/>
      <c r="D628" s="91" t="n"/>
      <c r="E628" s="91" t="n"/>
      <c r="F628" s="91" t="n"/>
      <c r="G628" s="91" t="n"/>
      <c r="H628" s="91" t="n"/>
      <c r="I628" s="91" t="n"/>
      <c r="J628" s="91" t="n"/>
      <c r="K628" s="91" t="n"/>
      <c r="L628" s="91" t="n"/>
      <c r="M628" s="91" t="n"/>
      <c r="N628" s="91" t="n"/>
      <c r="O628" s="91" t="n"/>
      <c r="P628" s="91" t="n"/>
      <c r="Q628" s="91" t="n"/>
      <c r="R628" s="91" t="n"/>
      <c r="S628" s="91" t="n"/>
      <c r="T628" s="91" t="n"/>
      <c r="U628" s="91" t="n"/>
      <c r="V628" s="91" t="n"/>
      <c r="W628" s="91" t="n"/>
      <c r="X628" s="91" t="n"/>
      <c r="Y628" s="91" t="n"/>
      <c r="Z628" s="91" t="n"/>
      <c r="AA628" s="91" t="n"/>
      <c r="AB628" s="91" t="n"/>
      <c r="AC628" s="91" t="n"/>
      <c r="AD628" s="91" t="n"/>
      <c r="AE628" s="91" t="n"/>
      <c r="AF628" s="91" t="n"/>
      <c r="AG628" s="91" t="n"/>
    </row>
    <row r="629" ht="12.75" customHeight="1" s="117">
      <c r="A629" s="91" t="n"/>
      <c r="B629" s="91" t="n"/>
      <c r="C629" s="91" t="n"/>
      <c r="D629" s="91" t="n"/>
      <c r="E629" s="91" t="n"/>
      <c r="F629" s="91" t="n"/>
      <c r="G629" s="91" t="n"/>
      <c r="H629" s="91" t="n"/>
      <c r="I629" s="91" t="n"/>
      <c r="J629" s="91" t="n"/>
      <c r="K629" s="91" t="n"/>
      <c r="L629" s="91" t="n"/>
      <c r="M629" s="91" t="n"/>
      <c r="N629" s="91" t="n"/>
      <c r="O629" s="91" t="n"/>
      <c r="P629" s="91" t="n"/>
      <c r="Q629" s="91" t="n"/>
      <c r="R629" s="91" t="n"/>
      <c r="S629" s="91" t="n"/>
      <c r="T629" s="91" t="n"/>
      <c r="U629" s="91" t="n"/>
      <c r="V629" s="91" t="n"/>
      <c r="W629" s="91" t="n"/>
      <c r="X629" s="91" t="n"/>
      <c r="Y629" s="91" t="n"/>
      <c r="Z629" s="91" t="n"/>
      <c r="AA629" s="91" t="n"/>
      <c r="AB629" s="91" t="n"/>
      <c r="AC629" s="91" t="n"/>
      <c r="AD629" s="91" t="n"/>
      <c r="AE629" s="91" t="n"/>
      <c r="AF629" s="91" t="n"/>
      <c r="AG629" s="91" t="n"/>
    </row>
    <row r="630" ht="12.75" customHeight="1" s="117">
      <c r="A630" s="91" t="n"/>
      <c r="B630" s="91" t="n"/>
      <c r="C630" s="91" t="n"/>
      <c r="D630" s="91" t="n"/>
      <c r="E630" s="91" t="n"/>
      <c r="F630" s="91" t="n"/>
      <c r="G630" s="91" t="n"/>
      <c r="H630" s="91" t="n"/>
      <c r="I630" s="91" t="n"/>
      <c r="J630" s="91" t="n"/>
      <c r="K630" s="91" t="n"/>
      <c r="L630" s="91" t="n"/>
      <c r="M630" s="91" t="n"/>
      <c r="N630" s="91" t="n"/>
      <c r="O630" s="91" t="n"/>
      <c r="P630" s="91" t="n"/>
      <c r="Q630" s="91" t="n"/>
      <c r="R630" s="91" t="n"/>
      <c r="S630" s="91" t="n"/>
      <c r="T630" s="91" t="n"/>
      <c r="U630" s="91" t="n"/>
      <c r="V630" s="91" t="n"/>
      <c r="W630" s="91" t="n"/>
      <c r="X630" s="91" t="n"/>
      <c r="Y630" s="91" t="n"/>
      <c r="Z630" s="91" t="n"/>
      <c r="AA630" s="91" t="n"/>
      <c r="AB630" s="91" t="n"/>
      <c r="AC630" s="91" t="n"/>
      <c r="AD630" s="91" t="n"/>
      <c r="AE630" s="91" t="n"/>
      <c r="AF630" s="91" t="n"/>
      <c r="AG630" s="91" t="n"/>
    </row>
    <row r="631" ht="12.75" customHeight="1" s="117">
      <c r="A631" s="91" t="n"/>
      <c r="B631" s="91" t="n"/>
      <c r="C631" s="91" t="n"/>
      <c r="D631" s="91" t="n"/>
      <c r="E631" s="91" t="n"/>
      <c r="F631" s="91" t="n"/>
      <c r="G631" s="91" t="n"/>
      <c r="H631" s="91" t="n"/>
      <c r="I631" s="91" t="n"/>
      <c r="J631" s="91" t="n"/>
      <c r="K631" s="91" t="n"/>
      <c r="L631" s="91" t="n"/>
      <c r="M631" s="91" t="n"/>
      <c r="N631" s="91" t="n"/>
      <c r="O631" s="91" t="n"/>
      <c r="P631" s="91" t="n"/>
      <c r="Q631" s="91" t="n"/>
      <c r="R631" s="91" t="n"/>
      <c r="S631" s="91" t="n"/>
      <c r="T631" s="91" t="n"/>
      <c r="U631" s="91" t="n"/>
      <c r="V631" s="91" t="n"/>
      <c r="W631" s="91" t="n"/>
      <c r="X631" s="91" t="n"/>
      <c r="Y631" s="91" t="n"/>
      <c r="Z631" s="91" t="n"/>
      <c r="AA631" s="91" t="n"/>
      <c r="AB631" s="91" t="n"/>
      <c r="AC631" s="91" t="n"/>
      <c r="AD631" s="91" t="n"/>
      <c r="AE631" s="91" t="n"/>
      <c r="AF631" s="91" t="n"/>
      <c r="AG631" s="91" t="n"/>
    </row>
    <row r="632" ht="12.75" customHeight="1" s="117">
      <c r="A632" s="91" t="n"/>
      <c r="B632" s="91" t="n"/>
      <c r="C632" s="91" t="n"/>
      <c r="D632" s="91" t="n"/>
      <c r="E632" s="91" t="n"/>
      <c r="F632" s="91" t="n"/>
      <c r="G632" s="91" t="n"/>
      <c r="H632" s="91" t="n"/>
      <c r="I632" s="91" t="n"/>
      <c r="J632" s="91" t="n"/>
      <c r="K632" s="91" t="n"/>
      <c r="L632" s="91" t="n"/>
      <c r="M632" s="91" t="n"/>
      <c r="N632" s="91" t="n"/>
      <c r="O632" s="91" t="n"/>
      <c r="P632" s="91" t="n"/>
      <c r="Q632" s="91" t="n"/>
      <c r="R632" s="91" t="n"/>
      <c r="S632" s="91" t="n"/>
      <c r="T632" s="91" t="n"/>
      <c r="U632" s="91" t="n"/>
      <c r="V632" s="91" t="n"/>
      <c r="W632" s="91" t="n"/>
      <c r="X632" s="91" t="n"/>
      <c r="Y632" s="91" t="n"/>
      <c r="Z632" s="91" t="n"/>
      <c r="AA632" s="91" t="n"/>
      <c r="AB632" s="91" t="n"/>
      <c r="AC632" s="91" t="n"/>
      <c r="AD632" s="91" t="n"/>
      <c r="AE632" s="91" t="n"/>
      <c r="AF632" s="91" t="n"/>
      <c r="AG632" s="91" t="n"/>
    </row>
    <row r="633" ht="12.75" customHeight="1" s="117">
      <c r="A633" s="91" t="n"/>
      <c r="B633" s="91" t="n"/>
      <c r="C633" s="91" t="n"/>
      <c r="D633" s="91" t="n"/>
      <c r="E633" s="91" t="n"/>
      <c r="F633" s="91" t="n"/>
      <c r="G633" s="91" t="n"/>
      <c r="H633" s="91" t="n"/>
      <c r="I633" s="91" t="n"/>
      <c r="J633" s="91" t="n"/>
      <c r="K633" s="91" t="n"/>
      <c r="L633" s="91" t="n"/>
      <c r="M633" s="91" t="n"/>
      <c r="N633" s="91" t="n"/>
      <c r="O633" s="91" t="n"/>
      <c r="P633" s="91" t="n"/>
      <c r="Q633" s="91" t="n"/>
      <c r="R633" s="91" t="n"/>
      <c r="S633" s="91" t="n"/>
      <c r="T633" s="91" t="n"/>
      <c r="U633" s="91" t="n"/>
      <c r="V633" s="91" t="n"/>
      <c r="W633" s="91" t="n"/>
      <c r="X633" s="91" t="n"/>
      <c r="Y633" s="91" t="n"/>
      <c r="Z633" s="91" t="n"/>
      <c r="AA633" s="91" t="n"/>
      <c r="AB633" s="91" t="n"/>
      <c r="AC633" s="91" t="n"/>
      <c r="AD633" s="91" t="n"/>
      <c r="AE633" s="91" t="n"/>
      <c r="AF633" s="91" t="n"/>
      <c r="AG633" s="91" t="n"/>
    </row>
    <row r="634" ht="12.75" customHeight="1" s="117">
      <c r="A634" s="91" t="n"/>
      <c r="B634" s="91" t="n"/>
      <c r="C634" s="91" t="n"/>
      <c r="D634" s="91" t="n"/>
      <c r="E634" s="91" t="n"/>
      <c r="F634" s="91" t="n"/>
      <c r="G634" s="91" t="n"/>
      <c r="H634" s="91" t="n"/>
      <c r="I634" s="91" t="n"/>
      <c r="J634" s="91" t="n"/>
      <c r="K634" s="91" t="n"/>
      <c r="L634" s="91" t="n"/>
      <c r="M634" s="91" t="n"/>
      <c r="N634" s="91" t="n"/>
      <c r="O634" s="91" t="n"/>
      <c r="P634" s="91" t="n"/>
      <c r="Q634" s="91" t="n"/>
      <c r="R634" s="91" t="n"/>
      <c r="S634" s="91" t="n"/>
      <c r="T634" s="91" t="n"/>
      <c r="U634" s="91" t="n"/>
      <c r="V634" s="91" t="n"/>
      <c r="W634" s="91" t="n"/>
      <c r="X634" s="91" t="n"/>
      <c r="Y634" s="91" t="n"/>
      <c r="Z634" s="91" t="n"/>
      <c r="AA634" s="91" t="n"/>
      <c r="AB634" s="91" t="n"/>
      <c r="AC634" s="91" t="n"/>
      <c r="AD634" s="91" t="n"/>
      <c r="AE634" s="91" t="n"/>
      <c r="AF634" s="91" t="n"/>
      <c r="AG634" s="91" t="n"/>
    </row>
    <row r="635" ht="12.75" customHeight="1" s="117">
      <c r="A635" s="91" t="n"/>
      <c r="B635" s="91" t="n"/>
      <c r="C635" s="91" t="n"/>
      <c r="D635" s="91" t="n"/>
      <c r="E635" s="91" t="n"/>
      <c r="F635" s="91" t="n"/>
      <c r="G635" s="91" t="n"/>
      <c r="H635" s="91" t="n"/>
      <c r="I635" s="91" t="n"/>
      <c r="J635" s="91" t="n"/>
      <c r="K635" s="91" t="n"/>
      <c r="L635" s="91" t="n"/>
      <c r="M635" s="91" t="n"/>
      <c r="N635" s="91" t="n"/>
      <c r="O635" s="91" t="n"/>
      <c r="P635" s="91" t="n"/>
      <c r="Q635" s="91" t="n"/>
      <c r="R635" s="91" t="n"/>
      <c r="S635" s="91" t="n"/>
      <c r="T635" s="91" t="n"/>
      <c r="U635" s="91" t="n"/>
      <c r="V635" s="91" t="n"/>
      <c r="W635" s="91" t="n"/>
      <c r="X635" s="91" t="n"/>
      <c r="Y635" s="91" t="n"/>
      <c r="Z635" s="91" t="n"/>
      <c r="AA635" s="91" t="n"/>
      <c r="AB635" s="91" t="n"/>
      <c r="AC635" s="91" t="n"/>
      <c r="AD635" s="91" t="n"/>
      <c r="AE635" s="91" t="n"/>
      <c r="AF635" s="91" t="n"/>
      <c r="AG635" s="91" t="n"/>
    </row>
    <row r="636" ht="12.75" customHeight="1" s="117">
      <c r="A636" s="91" t="n"/>
      <c r="B636" s="91" t="n"/>
      <c r="C636" s="91" t="n"/>
      <c r="D636" s="91" t="n"/>
      <c r="E636" s="91" t="n"/>
      <c r="F636" s="91" t="n"/>
      <c r="G636" s="91" t="n"/>
      <c r="H636" s="91" t="n"/>
      <c r="I636" s="91" t="n"/>
      <c r="J636" s="91" t="n"/>
      <c r="K636" s="91" t="n"/>
      <c r="L636" s="91" t="n"/>
      <c r="M636" s="91" t="n"/>
      <c r="N636" s="91" t="n"/>
      <c r="O636" s="91" t="n"/>
      <c r="P636" s="91" t="n"/>
      <c r="Q636" s="91" t="n"/>
      <c r="R636" s="91" t="n"/>
      <c r="S636" s="91" t="n"/>
      <c r="T636" s="91" t="n"/>
      <c r="U636" s="91" t="n"/>
      <c r="V636" s="91" t="n"/>
      <c r="W636" s="91" t="n"/>
      <c r="X636" s="91" t="n"/>
      <c r="Y636" s="91" t="n"/>
      <c r="Z636" s="91" t="n"/>
      <c r="AA636" s="91" t="n"/>
      <c r="AB636" s="91" t="n"/>
      <c r="AC636" s="91" t="n"/>
      <c r="AD636" s="91" t="n"/>
      <c r="AE636" s="91" t="n"/>
      <c r="AF636" s="91" t="n"/>
      <c r="AG636" s="91" t="n"/>
    </row>
    <row r="637" ht="12.75" customHeight="1" s="117">
      <c r="A637" s="91" t="n"/>
      <c r="B637" s="91" t="n"/>
      <c r="C637" s="91" t="n"/>
      <c r="D637" s="91" t="n"/>
      <c r="E637" s="91" t="n"/>
      <c r="F637" s="91" t="n"/>
      <c r="G637" s="91" t="n"/>
      <c r="H637" s="91" t="n"/>
      <c r="I637" s="91" t="n"/>
      <c r="J637" s="91" t="n"/>
      <c r="K637" s="91" t="n"/>
      <c r="L637" s="91" t="n"/>
      <c r="M637" s="91" t="n"/>
      <c r="N637" s="91" t="n"/>
      <c r="O637" s="91" t="n"/>
      <c r="P637" s="91" t="n"/>
      <c r="Q637" s="91" t="n"/>
      <c r="R637" s="91" t="n"/>
      <c r="S637" s="91" t="n"/>
      <c r="T637" s="91" t="n"/>
      <c r="U637" s="91" t="n"/>
      <c r="V637" s="91" t="n"/>
      <c r="W637" s="91" t="n"/>
      <c r="X637" s="91" t="n"/>
      <c r="Y637" s="91" t="n"/>
      <c r="Z637" s="91" t="n"/>
      <c r="AA637" s="91" t="n"/>
      <c r="AB637" s="91" t="n"/>
      <c r="AC637" s="91" t="n"/>
      <c r="AD637" s="91" t="n"/>
      <c r="AE637" s="91" t="n"/>
      <c r="AF637" s="91" t="n"/>
      <c r="AG637" s="91" t="n"/>
    </row>
    <row r="638" ht="12.75" customHeight="1" s="117">
      <c r="A638" s="91" t="n"/>
      <c r="B638" s="91" t="n"/>
      <c r="C638" s="91" t="n"/>
      <c r="D638" s="91" t="n"/>
      <c r="E638" s="91" t="n"/>
      <c r="F638" s="91" t="n"/>
      <c r="G638" s="91" t="n"/>
      <c r="H638" s="91" t="n"/>
      <c r="I638" s="91" t="n"/>
      <c r="J638" s="91" t="n"/>
      <c r="K638" s="91" t="n"/>
      <c r="L638" s="91" t="n"/>
      <c r="M638" s="91" t="n"/>
      <c r="N638" s="91" t="n"/>
      <c r="O638" s="91" t="n"/>
      <c r="P638" s="91" t="n"/>
      <c r="Q638" s="91" t="n"/>
      <c r="R638" s="91" t="n"/>
      <c r="S638" s="91" t="n"/>
      <c r="T638" s="91" t="n"/>
      <c r="U638" s="91" t="n"/>
      <c r="V638" s="91" t="n"/>
      <c r="W638" s="91" t="n"/>
      <c r="X638" s="91" t="n"/>
      <c r="Y638" s="91" t="n"/>
      <c r="Z638" s="91" t="n"/>
      <c r="AA638" s="91" t="n"/>
      <c r="AB638" s="91" t="n"/>
      <c r="AC638" s="91" t="n"/>
      <c r="AD638" s="91" t="n"/>
      <c r="AE638" s="91" t="n"/>
      <c r="AF638" s="91" t="n"/>
      <c r="AG638" s="91" t="n"/>
    </row>
    <row r="639" ht="12.75" customHeight="1" s="117">
      <c r="A639" s="91" t="n"/>
      <c r="B639" s="91" t="n"/>
      <c r="C639" s="91" t="n"/>
      <c r="D639" s="91" t="n"/>
      <c r="E639" s="91" t="n"/>
      <c r="F639" s="91" t="n"/>
      <c r="G639" s="91" t="n"/>
      <c r="H639" s="91" t="n"/>
      <c r="I639" s="91" t="n"/>
      <c r="J639" s="91" t="n"/>
      <c r="K639" s="91" t="n"/>
      <c r="L639" s="91" t="n"/>
      <c r="M639" s="91" t="n"/>
      <c r="N639" s="91" t="n"/>
      <c r="O639" s="91" t="n"/>
      <c r="P639" s="91" t="n"/>
      <c r="Q639" s="91" t="n"/>
      <c r="R639" s="91" t="n"/>
      <c r="S639" s="91" t="n"/>
      <c r="T639" s="91" t="n"/>
      <c r="U639" s="91" t="n"/>
      <c r="V639" s="91" t="n"/>
      <c r="W639" s="91" t="n"/>
      <c r="X639" s="91" t="n"/>
      <c r="Y639" s="91" t="n"/>
      <c r="Z639" s="91" t="n"/>
      <c r="AA639" s="91" t="n"/>
      <c r="AB639" s="91" t="n"/>
      <c r="AC639" s="91" t="n"/>
      <c r="AD639" s="91" t="n"/>
      <c r="AE639" s="91" t="n"/>
      <c r="AF639" s="91" t="n"/>
      <c r="AG639" s="91" t="n"/>
    </row>
    <row r="640" ht="12.75" customHeight="1" s="117">
      <c r="A640" s="91" t="n"/>
      <c r="B640" s="91" t="n"/>
      <c r="C640" s="91" t="n"/>
      <c r="D640" s="91" t="n"/>
      <c r="E640" s="91" t="n"/>
      <c r="F640" s="91" t="n"/>
      <c r="G640" s="91" t="n"/>
      <c r="H640" s="91" t="n"/>
      <c r="I640" s="91" t="n"/>
      <c r="J640" s="91" t="n"/>
      <c r="K640" s="91" t="n"/>
      <c r="L640" s="91" t="n"/>
      <c r="M640" s="91" t="n"/>
      <c r="N640" s="91" t="n"/>
      <c r="O640" s="91" t="n"/>
      <c r="P640" s="91" t="n"/>
      <c r="Q640" s="91" t="n"/>
      <c r="R640" s="91" t="n"/>
      <c r="S640" s="91" t="n"/>
      <c r="T640" s="91" t="n"/>
      <c r="U640" s="91" t="n"/>
      <c r="V640" s="91" t="n"/>
      <c r="W640" s="91" t="n"/>
      <c r="X640" s="91" t="n"/>
      <c r="Y640" s="91" t="n"/>
      <c r="Z640" s="91" t="n"/>
      <c r="AA640" s="91" t="n"/>
      <c r="AB640" s="91" t="n"/>
      <c r="AC640" s="91" t="n"/>
      <c r="AD640" s="91" t="n"/>
      <c r="AE640" s="91" t="n"/>
      <c r="AF640" s="91" t="n"/>
      <c r="AG640" s="91" t="n"/>
    </row>
    <row r="641" ht="12.75" customHeight="1" s="117">
      <c r="A641" s="91" t="n"/>
      <c r="B641" s="91" t="n"/>
      <c r="C641" s="91" t="n"/>
      <c r="D641" s="91" t="n"/>
      <c r="E641" s="91" t="n"/>
      <c r="F641" s="91" t="n"/>
      <c r="G641" s="91" t="n"/>
      <c r="H641" s="91" t="n"/>
      <c r="I641" s="91" t="n"/>
      <c r="J641" s="91" t="n"/>
      <c r="K641" s="91" t="n"/>
      <c r="L641" s="91" t="n"/>
      <c r="M641" s="91" t="n"/>
      <c r="N641" s="91" t="n"/>
      <c r="O641" s="91" t="n"/>
      <c r="P641" s="91" t="n"/>
      <c r="Q641" s="91" t="n"/>
      <c r="R641" s="91" t="n"/>
      <c r="S641" s="91" t="n"/>
      <c r="T641" s="91" t="n"/>
      <c r="U641" s="91" t="n"/>
      <c r="V641" s="91" t="n"/>
      <c r="W641" s="91" t="n"/>
      <c r="X641" s="91" t="n"/>
      <c r="Y641" s="91" t="n"/>
      <c r="Z641" s="91" t="n"/>
      <c r="AA641" s="91" t="n"/>
      <c r="AB641" s="91" t="n"/>
      <c r="AC641" s="91" t="n"/>
      <c r="AD641" s="91" t="n"/>
      <c r="AE641" s="91" t="n"/>
      <c r="AF641" s="91" t="n"/>
      <c r="AG641" s="91" t="n"/>
    </row>
    <row r="642" ht="12.75" customHeight="1" s="117">
      <c r="A642" s="91" t="n"/>
      <c r="B642" s="91" t="n"/>
      <c r="C642" s="91" t="n"/>
      <c r="D642" s="91" t="n"/>
      <c r="E642" s="91" t="n"/>
      <c r="F642" s="91" t="n"/>
      <c r="G642" s="91" t="n"/>
      <c r="H642" s="91" t="n"/>
      <c r="I642" s="91" t="n"/>
      <c r="J642" s="91" t="n"/>
      <c r="K642" s="91" t="n"/>
      <c r="L642" s="91" t="n"/>
      <c r="M642" s="91" t="n"/>
      <c r="N642" s="91" t="n"/>
      <c r="O642" s="91" t="n"/>
      <c r="P642" s="91" t="n"/>
      <c r="Q642" s="91" t="n"/>
      <c r="R642" s="91" t="n"/>
      <c r="S642" s="91" t="n"/>
      <c r="T642" s="91" t="n"/>
      <c r="U642" s="91" t="n"/>
      <c r="V642" s="91" t="n"/>
      <c r="W642" s="91" t="n"/>
      <c r="X642" s="91" t="n"/>
      <c r="Y642" s="91" t="n"/>
      <c r="Z642" s="91" t="n"/>
      <c r="AA642" s="91" t="n"/>
      <c r="AB642" s="91" t="n"/>
      <c r="AC642" s="91" t="n"/>
      <c r="AD642" s="91" t="n"/>
      <c r="AE642" s="91" t="n"/>
      <c r="AF642" s="91" t="n"/>
      <c r="AG642" s="91" t="n"/>
    </row>
    <row r="643" ht="12.75" customHeight="1" s="117">
      <c r="A643" s="91" t="n"/>
      <c r="B643" s="91" t="n"/>
      <c r="C643" s="91" t="n"/>
      <c r="D643" s="91" t="n"/>
      <c r="E643" s="91" t="n"/>
      <c r="F643" s="91" t="n"/>
      <c r="G643" s="91" t="n"/>
      <c r="H643" s="91" t="n"/>
      <c r="I643" s="91" t="n"/>
      <c r="J643" s="91" t="n"/>
      <c r="K643" s="91" t="n"/>
      <c r="L643" s="91" t="n"/>
      <c r="M643" s="91" t="n"/>
      <c r="N643" s="91" t="n"/>
      <c r="O643" s="91" t="n"/>
      <c r="P643" s="91" t="n"/>
      <c r="Q643" s="91" t="n"/>
      <c r="R643" s="91" t="n"/>
      <c r="S643" s="91" t="n"/>
      <c r="T643" s="91" t="n"/>
      <c r="U643" s="91" t="n"/>
      <c r="V643" s="91" t="n"/>
      <c r="W643" s="91" t="n"/>
      <c r="X643" s="91" t="n"/>
      <c r="Y643" s="91" t="n"/>
      <c r="Z643" s="91" t="n"/>
      <c r="AA643" s="91" t="n"/>
      <c r="AB643" s="91" t="n"/>
      <c r="AC643" s="91" t="n"/>
      <c r="AD643" s="91" t="n"/>
      <c r="AE643" s="91" t="n"/>
      <c r="AF643" s="91" t="n"/>
      <c r="AG643" s="91" t="n"/>
    </row>
    <row r="644" ht="12.75" customHeight="1" s="117">
      <c r="A644" s="91" t="n"/>
      <c r="B644" s="91" t="n"/>
      <c r="C644" s="91" t="n"/>
      <c r="D644" s="91" t="n"/>
      <c r="E644" s="91" t="n"/>
      <c r="F644" s="91" t="n"/>
      <c r="G644" s="91" t="n"/>
      <c r="H644" s="91" t="n"/>
      <c r="I644" s="91" t="n"/>
      <c r="J644" s="91" t="n"/>
      <c r="K644" s="91" t="n"/>
      <c r="L644" s="91" t="n"/>
      <c r="M644" s="91" t="n"/>
      <c r="N644" s="91" t="n"/>
      <c r="O644" s="91" t="n"/>
      <c r="P644" s="91" t="n"/>
      <c r="Q644" s="91" t="n"/>
      <c r="R644" s="91" t="n"/>
      <c r="S644" s="91" t="n"/>
      <c r="T644" s="91" t="n"/>
      <c r="U644" s="91" t="n"/>
      <c r="V644" s="91" t="n"/>
      <c r="W644" s="91" t="n"/>
      <c r="X644" s="91" t="n"/>
      <c r="Y644" s="91" t="n"/>
      <c r="Z644" s="91" t="n"/>
      <c r="AA644" s="91" t="n"/>
      <c r="AB644" s="91" t="n"/>
      <c r="AC644" s="91" t="n"/>
      <c r="AD644" s="91" t="n"/>
      <c r="AE644" s="91" t="n"/>
      <c r="AF644" s="91" t="n"/>
      <c r="AG644" s="91" t="n"/>
    </row>
    <row r="645" ht="12.75" customHeight="1" s="117">
      <c r="A645" s="91" t="n"/>
      <c r="B645" s="91" t="n"/>
      <c r="C645" s="91" t="n"/>
      <c r="D645" s="91" t="n"/>
      <c r="E645" s="91" t="n"/>
      <c r="F645" s="91" t="n"/>
      <c r="G645" s="91" t="n"/>
      <c r="H645" s="91" t="n"/>
      <c r="I645" s="91" t="n"/>
      <c r="J645" s="91" t="n"/>
      <c r="K645" s="91" t="n"/>
      <c r="L645" s="91" t="n"/>
      <c r="M645" s="91" t="n"/>
      <c r="N645" s="91" t="n"/>
      <c r="O645" s="91" t="n"/>
      <c r="P645" s="91" t="n"/>
      <c r="Q645" s="91" t="n"/>
      <c r="R645" s="91" t="n"/>
      <c r="S645" s="91" t="n"/>
      <c r="T645" s="91" t="n"/>
      <c r="U645" s="91" t="n"/>
      <c r="V645" s="91" t="n"/>
      <c r="W645" s="91" t="n"/>
      <c r="X645" s="91" t="n"/>
      <c r="Y645" s="91" t="n"/>
      <c r="Z645" s="91" t="n"/>
      <c r="AA645" s="91" t="n"/>
      <c r="AB645" s="91" t="n"/>
      <c r="AC645" s="91" t="n"/>
      <c r="AD645" s="91" t="n"/>
      <c r="AE645" s="91" t="n"/>
      <c r="AF645" s="91" t="n"/>
      <c r="AG645" s="91" t="n"/>
    </row>
    <row r="646" ht="12.75" customHeight="1" s="117">
      <c r="A646" s="91" t="n"/>
      <c r="B646" s="91" t="n"/>
      <c r="C646" s="91" t="n"/>
      <c r="D646" s="91" t="n"/>
      <c r="E646" s="91" t="n"/>
      <c r="F646" s="91" t="n"/>
      <c r="G646" s="91" t="n"/>
      <c r="H646" s="91" t="n"/>
      <c r="I646" s="91" t="n"/>
      <c r="J646" s="91" t="n"/>
      <c r="K646" s="91" t="n"/>
      <c r="L646" s="91" t="n"/>
      <c r="M646" s="91" t="n"/>
      <c r="N646" s="91" t="n"/>
      <c r="O646" s="91" t="n"/>
      <c r="P646" s="91" t="n"/>
      <c r="Q646" s="91" t="n"/>
      <c r="R646" s="91" t="n"/>
      <c r="S646" s="91" t="n"/>
      <c r="T646" s="91" t="n"/>
      <c r="U646" s="91" t="n"/>
      <c r="V646" s="91" t="n"/>
      <c r="W646" s="91" t="n"/>
      <c r="X646" s="91" t="n"/>
      <c r="Y646" s="91" t="n"/>
      <c r="Z646" s="91" t="n"/>
      <c r="AA646" s="91" t="n"/>
      <c r="AB646" s="91" t="n"/>
      <c r="AC646" s="91" t="n"/>
      <c r="AD646" s="91" t="n"/>
      <c r="AE646" s="91" t="n"/>
      <c r="AF646" s="91" t="n"/>
      <c r="AG646" s="91" t="n"/>
    </row>
    <row r="647" ht="12.75" customHeight="1" s="117">
      <c r="A647" s="91" t="n"/>
      <c r="B647" s="91" t="n"/>
      <c r="C647" s="91" t="n"/>
      <c r="D647" s="91" t="n"/>
      <c r="E647" s="91" t="n"/>
      <c r="F647" s="91" t="n"/>
      <c r="G647" s="91" t="n"/>
      <c r="H647" s="91" t="n"/>
      <c r="I647" s="91" t="n"/>
      <c r="J647" s="91" t="n"/>
      <c r="K647" s="91" t="n"/>
      <c r="L647" s="91" t="n"/>
      <c r="M647" s="91" t="n"/>
      <c r="N647" s="91" t="n"/>
      <c r="O647" s="91" t="n"/>
      <c r="P647" s="91" t="n"/>
      <c r="Q647" s="91" t="n"/>
      <c r="R647" s="91" t="n"/>
      <c r="S647" s="91" t="n"/>
      <c r="T647" s="91" t="n"/>
      <c r="U647" s="91" t="n"/>
      <c r="V647" s="91" t="n"/>
      <c r="W647" s="91" t="n"/>
      <c r="X647" s="91" t="n"/>
      <c r="Y647" s="91" t="n"/>
      <c r="Z647" s="91" t="n"/>
      <c r="AA647" s="91" t="n"/>
      <c r="AB647" s="91" t="n"/>
      <c r="AC647" s="91" t="n"/>
      <c r="AD647" s="91" t="n"/>
      <c r="AE647" s="91" t="n"/>
      <c r="AF647" s="91" t="n"/>
      <c r="AG647" s="91" t="n"/>
    </row>
    <row r="648" ht="12.75" customHeight="1" s="117">
      <c r="A648" s="91" t="n"/>
      <c r="B648" s="91" t="n"/>
      <c r="C648" s="91" t="n"/>
      <c r="D648" s="91" t="n"/>
      <c r="E648" s="91" t="n"/>
      <c r="F648" s="91" t="n"/>
      <c r="G648" s="91" t="n"/>
      <c r="H648" s="91" t="n"/>
      <c r="I648" s="91" t="n"/>
      <c r="J648" s="91" t="n"/>
      <c r="K648" s="91" t="n"/>
      <c r="L648" s="91" t="n"/>
      <c r="M648" s="91" t="n"/>
      <c r="N648" s="91" t="n"/>
      <c r="O648" s="91" t="n"/>
      <c r="P648" s="91" t="n"/>
      <c r="Q648" s="91" t="n"/>
      <c r="R648" s="91" t="n"/>
      <c r="S648" s="91" t="n"/>
      <c r="T648" s="91" t="n"/>
      <c r="U648" s="91" t="n"/>
      <c r="V648" s="91" t="n"/>
      <c r="W648" s="91" t="n"/>
      <c r="X648" s="91" t="n"/>
      <c r="Y648" s="91" t="n"/>
      <c r="Z648" s="91" t="n"/>
      <c r="AA648" s="91" t="n"/>
      <c r="AB648" s="91" t="n"/>
      <c r="AC648" s="91" t="n"/>
      <c r="AD648" s="91" t="n"/>
      <c r="AE648" s="91" t="n"/>
      <c r="AF648" s="91" t="n"/>
      <c r="AG648" s="91" t="n"/>
    </row>
    <row r="649" ht="12.75" customHeight="1" s="117">
      <c r="A649" s="91" t="n"/>
      <c r="B649" s="91" t="n"/>
      <c r="C649" s="91" t="n"/>
      <c r="D649" s="91" t="n"/>
      <c r="E649" s="91" t="n"/>
      <c r="F649" s="91" t="n"/>
      <c r="G649" s="91" t="n"/>
      <c r="H649" s="91" t="n"/>
      <c r="I649" s="91" t="n"/>
      <c r="J649" s="91" t="n"/>
      <c r="K649" s="91" t="n"/>
      <c r="L649" s="91" t="n"/>
      <c r="M649" s="91" t="n"/>
      <c r="N649" s="91" t="n"/>
      <c r="O649" s="91" t="n"/>
      <c r="P649" s="91" t="n"/>
      <c r="Q649" s="91" t="n"/>
      <c r="R649" s="91" t="n"/>
      <c r="S649" s="91" t="n"/>
      <c r="T649" s="91" t="n"/>
      <c r="U649" s="91" t="n"/>
      <c r="V649" s="91" t="n"/>
      <c r="W649" s="91" t="n"/>
      <c r="X649" s="91" t="n"/>
      <c r="Y649" s="91" t="n"/>
      <c r="Z649" s="91" t="n"/>
      <c r="AA649" s="91" t="n"/>
      <c r="AB649" s="91" t="n"/>
      <c r="AC649" s="91" t="n"/>
      <c r="AD649" s="91" t="n"/>
      <c r="AE649" s="91" t="n"/>
      <c r="AF649" s="91" t="n"/>
      <c r="AG649" s="91" t="n"/>
    </row>
    <row r="650" ht="12.75" customHeight="1" s="117">
      <c r="A650" s="91" t="n"/>
      <c r="B650" s="91" t="n"/>
      <c r="C650" s="91" t="n"/>
      <c r="D650" s="91" t="n"/>
      <c r="E650" s="91" t="n"/>
      <c r="F650" s="91" t="n"/>
      <c r="G650" s="91" t="n"/>
      <c r="H650" s="91" t="n"/>
      <c r="I650" s="91" t="n"/>
      <c r="J650" s="91" t="n"/>
      <c r="K650" s="91" t="n"/>
      <c r="L650" s="91" t="n"/>
      <c r="M650" s="91" t="n"/>
      <c r="N650" s="91" t="n"/>
      <c r="O650" s="91" t="n"/>
      <c r="P650" s="91" t="n"/>
      <c r="Q650" s="91" t="n"/>
      <c r="R650" s="91" t="n"/>
      <c r="S650" s="91" t="n"/>
      <c r="T650" s="91" t="n"/>
      <c r="U650" s="91" t="n"/>
      <c r="V650" s="91" t="n"/>
      <c r="W650" s="91" t="n"/>
      <c r="X650" s="91" t="n"/>
      <c r="Y650" s="91" t="n"/>
      <c r="Z650" s="91" t="n"/>
      <c r="AA650" s="91" t="n"/>
      <c r="AB650" s="91" t="n"/>
      <c r="AC650" s="91" t="n"/>
      <c r="AD650" s="91" t="n"/>
      <c r="AE650" s="91" t="n"/>
      <c r="AF650" s="91" t="n"/>
      <c r="AG650" s="91" t="n"/>
    </row>
    <row r="651" ht="12.75" customHeight="1" s="117">
      <c r="A651" s="91" t="n"/>
      <c r="B651" s="91" t="n"/>
      <c r="C651" s="91" t="n"/>
      <c r="D651" s="91" t="n"/>
      <c r="E651" s="91" t="n"/>
      <c r="F651" s="91" t="n"/>
      <c r="G651" s="91" t="n"/>
      <c r="H651" s="91" t="n"/>
      <c r="I651" s="91" t="n"/>
      <c r="J651" s="91" t="n"/>
      <c r="K651" s="91" t="n"/>
      <c r="L651" s="91" t="n"/>
      <c r="M651" s="91" t="n"/>
      <c r="N651" s="91" t="n"/>
      <c r="O651" s="91" t="n"/>
      <c r="P651" s="91" t="n"/>
      <c r="Q651" s="91" t="n"/>
      <c r="R651" s="91" t="n"/>
      <c r="S651" s="91" t="n"/>
      <c r="T651" s="91" t="n"/>
      <c r="U651" s="91" t="n"/>
      <c r="V651" s="91" t="n"/>
      <c r="W651" s="91" t="n"/>
      <c r="X651" s="91" t="n"/>
      <c r="Y651" s="91" t="n"/>
      <c r="Z651" s="91" t="n"/>
      <c r="AA651" s="91" t="n"/>
      <c r="AB651" s="91" t="n"/>
      <c r="AC651" s="91" t="n"/>
      <c r="AD651" s="91" t="n"/>
      <c r="AE651" s="91" t="n"/>
      <c r="AF651" s="91" t="n"/>
      <c r="AG651" s="91" t="n"/>
    </row>
    <row r="652" ht="12.75" customHeight="1" s="117">
      <c r="A652" s="91" t="n"/>
      <c r="B652" s="91" t="n"/>
      <c r="C652" s="91" t="n"/>
      <c r="D652" s="91" t="n"/>
      <c r="E652" s="91" t="n"/>
      <c r="F652" s="91" t="n"/>
      <c r="G652" s="91" t="n"/>
      <c r="H652" s="91" t="n"/>
      <c r="I652" s="91" t="n"/>
      <c r="J652" s="91" t="n"/>
      <c r="K652" s="91" t="n"/>
      <c r="L652" s="91" t="n"/>
      <c r="M652" s="91" t="n"/>
      <c r="N652" s="91" t="n"/>
      <c r="O652" s="91" t="n"/>
      <c r="P652" s="91" t="n"/>
      <c r="Q652" s="91" t="n"/>
      <c r="R652" s="91" t="n"/>
      <c r="S652" s="91" t="n"/>
      <c r="T652" s="91" t="n"/>
      <c r="U652" s="91" t="n"/>
      <c r="V652" s="91" t="n"/>
      <c r="W652" s="91" t="n"/>
      <c r="X652" s="91" t="n"/>
      <c r="Y652" s="91" t="n"/>
      <c r="Z652" s="91" t="n"/>
      <c r="AA652" s="91" t="n"/>
      <c r="AB652" s="91" t="n"/>
      <c r="AC652" s="91" t="n"/>
      <c r="AD652" s="91" t="n"/>
      <c r="AE652" s="91" t="n"/>
      <c r="AF652" s="91" t="n"/>
      <c r="AG652" s="91" t="n"/>
    </row>
    <row r="653" ht="12.75" customHeight="1" s="117">
      <c r="A653" s="91" t="n"/>
      <c r="B653" s="91" t="n"/>
      <c r="C653" s="91" t="n"/>
      <c r="D653" s="91" t="n"/>
      <c r="E653" s="91" t="n"/>
      <c r="F653" s="91" t="n"/>
      <c r="G653" s="91" t="n"/>
      <c r="H653" s="91" t="n"/>
      <c r="I653" s="91" t="n"/>
      <c r="J653" s="91" t="n"/>
      <c r="K653" s="91" t="n"/>
      <c r="L653" s="91" t="n"/>
      <c r="M653" s="91" t="n"/>
      <c r="N653" s="91" t="n"/>
      <c r="O653" s="91" t="n"/>
      <c r="P653" s="91" t="n"/>
      <c r="Q653" s="91" t="n"/>
      <c r="R653" s="91" t="n"/>
      <c r="S653" s="91" t="n"/>
      <c r="T653" s="91" t="n"/>
      <c r="U653" s="91" t="n"/>
      <c r="V653" s="91" t="n"/>
      <c r="W653" s="91" t="n"/>
      <c r="X653" s="91" t="n"/>
      <c r="Y653" s="91" t="n"/>
      <c r="Z653" s="91" t="n"/>
      <c r="AA653" s="91" t="n"/>
      <c r="AB653" s="91" t="n"/>
      <c r="AC653" s="91" t="n"/>
      <c r="AD653" s="91" t="n"/>
      <c r="AE653" s="91" t="n"/>
      <c r="AF653" s="91" t="n"/>
      <c r="AG653" s="91" t="n"/>
    </row>
    <row r="654" ht="12.75" customHeight="1" s="117">
      <c r="A654" s="91" t="n"/>
      <c r="B654" s="91" t="n"/>
      <c r="C654" s="91" t="n"/>
      <c r="D654" s="91" t="n"/>
      <c r="E654" s="91" t="n"/>
      <c r="F654" s="91" t="n"/>
      <c r="G654" s="91" t="n"/>
      <c r="H654" s="91" t="n"/>
      <c r="I654" s="91" t="n"/>
      <c r="J654" s="91" t="n"/>
      <c r="K654" s="91" t="n"/>
      <c r="L654" s="91" t="n"/>
      <c r="M654" s="91" t="n"/>
      <c r="N654" s="91" t="n"/>
      <c r="O654" s="91" t="n"/>
      <c r="P654" s="91" t="n"/>
      <c r="Q654" s="91" t="n"/>
      <c r="R654" s="91" t="n"/>
      <c r="S654" s="91" t="n"/>
      <c r="T654" s="91" t="n"/>
      <c r="U654" s="91" t="n"/>
      <c r="V654" s="91" t="n"/>
      <c r="W654" s="91" t="n"/>
      <c r="X654" s="91" t="n"/>
      <c r="Y654" s="91" t="n"/>
      <c r="Z654" s="91" t="n"/>
      <c r="AA654" s="91" t="n"/>
      <c r="AB654" s="91" t="n"/>
      <c r="AC654" s="91" t="n"/>
      <c r="AD654" s="91" t="n"/>
      <c r="AE654" s="91" t="n"/>
      <c r="AF654" s="91" t="n"/>
      <c r="AG654" s="91" t="n"/>
    </row>
    <row r="655" ht="12.75" customHeight="1" s="117">
      <c r="A655" s="91" t="n"/>
      <c r="B655" s="91" t="n"/>
      <c r="C655" s="91" t="n"/>
      <c r="D655" s="91" t="n"/>
      <c r="E655" s="91" t="n"/>
      <c r="F655" s="91" t="n"/>
      <c r="G655" s="91" t="n"/>
      <c r="H655" s="91" t="n"/>
      <c r="I655" s="91" t="n"/>
      <c r="J655" s="91" t="n"/>
      <c r="K655" s="91" t="n"/>
      <c r="L655" s="91" t="n"/>
      <c r="M655" s="91" t="n"/>
      <c r="N655" s="91" t="n"/>
      <c r="O655" s="91" t="n"/>
      <c r="P655" s="91" t="n"/>
      <c r="Q655" s="91" t="n"/>
      <c r="R655" s="91" t="n"/>
      <c r="S655" s="91" t="n"/>
      <c r="T655" s="91" t="n"/>
      <c r="U655" s="91" t="n"/>
      <c r="V655" s="91" t="n"/>
      <c r="W655" s="91" t="n"/>
      <c r="X655" s="91" t="n"/>
      <c r="Y655" s="91" t="n"/>
      <c r="Z655" s="91" t="n"/>
      <c r="AA655" s="91" t="n"/>
      <c r="AB655" s="91" t="n"/>
      <c r="AC655" s="91" t="n"/>
      <c r="AD655" s="91" t="n"/>
      <c r="AE655" s="91" t="n"/>
      <c r="AF655" s="91" t="n"/>
      <c r="AG655" s="91" t="n"/>
    </row>
    <row r="656" ht="12.75" customHeight="1" s="117">
      <c r="A656" s="91" t="n"/>
      <c r="B656" s="91" t="n"/>
      <c r="C656" s="91" t="n"/>
      <c r="D656" s="91" t="n"/>
      <c r="E656" s="91" t="n"/>
      <c r="F656" s="91" t="n"/>
      <c r="G656" s="91" t="n"/>
      <c r="H656" s="91" t="n"/>
      <c r="I656" s="91" t="n"/>
      <c r="J656" s="91" t="n"/>
      <c r="K656" s="91" t="n"/>
      <c r="L656" s="91" t="n"/>
      <c r="M656" s="91" t="n"/>
      <c r="N656" s="91" t="n"/>
      <c r="O656" s="91" t="n"/>
      <c r="P656" s="91" t="n"/>
      <c r="Q656" s="91" t="n"/>
      <c r="R656" s="91" t="n"/>
      <c r="S656" s="91" t="n"/>
      <c r="T656" s="91" t="n"/>
      <c r="U656" s="91" t="n"/>
      <c r="V656" s="91" t="n"/>
      <c r="W656" s="91" t="n"/>
      <c r="X656" s="91" t="n"/>
      <c r="Y656" s="91" t="n"/>
      <c r="Z656" s="91" t="n"/>
      <c r="AA656" s="91" t="n"/>
      <c r="AB656" s="91" t="n"/>
      <c r="AC656" s="91" t="n"/>
      <c r="AD656" s="91" t="n"/>
      <c r="AE656" s="91" t="n"/>
      <c r="AF656" s="91" t="n"/>
      <c r="AG656" s="91" t="n"/>
    </row>
    <row r="657" ht="12.75" customHeight="1" s="117">
      <c r="A657" s="91" t="n"/>
      <c r="B657" s="91" t="n"/>
      <c r="C657" s="91" t="n"/>
      <c r="D657" s="91" t="n"/>
      <c r="E657" s="91" t="n"/>
      <c r="F657" s="91" t="n"/>
      <c r="G657" s="91" t="n"/>
      <c r="H657" s="91" t="n"/>
      <c r="I657" s="91" t="n"/>
      <c r="J657" s="91" t="n"/>
      <c r="K657" s="91" t="n"/>
      <c r="L657" s="91" t="n"/>
      <c r="M657" s="91" t="n"/>
      <c r="N657" s="91" t="n"/>
      <c r="O657" s="91" t="n"/>
      <c r="P657" s="91" t="n"/>
      <c r="Q657" s="91" t="n"/>
      <c r="R657" s="91" t="n"/>
      <c r="S657" s="91" t="n"/>
      <c r="T657" s="91" t="n"/>
      <c r="U657" s="91" t="n"/>
      <c r="V657" s="91" t="n"/>
      <c r="W657" s="91" t="n"/>
      <c r="X657" s="91" t="n"/>
      <c r="Y657" s="91" t="n"/>
      <c r="Z657" s="91" t="n"/>
      <c r="AA657" s="91" t="n"/>
      <c r="AB657" s="91" t="n"/>
      <c r="AC657" s="91" t="n"/>
      <c r="AD657" s="91" t="n"/>
      <c r="AE657" s="91" t="n"/>
      <c r="AF657" s="91" t="n"/>
      <c r="AG657" s="91" t="n"/>
    </row>
    <row r="658" ht="12.75" customHeight="1" s="117">
      <c r="A658" s="91" t="n"/>
      <c r="B658" s="91" t="n"/>
      <c r="C658" s="91" t="n"/>
      <c r="D658" s="91" t="n"/>
      <c r="E658" s="91" t="n"/>
      <c r="F658" s="91" t="n"/>
      <c r="G658" s="91" t="n"/>
      <c r="H658" s="91" t="n"/>
      <c r="I658" s="91" t="n"/>
      <c r="J658" s="91" t="n"/>
      <c r="K658" s="91" t="n"/>
      <c r="L658" s="91" t="n"/>
      <c r="M658" s="91" t="n"/>
      <c r="N658" s="91" t="n"/>
      <c r="O658" s="91" t="n"/>
      <c r="P658" s="91" t="n"/>
      <c r="Q658" s="91" t="n"/>
      <c r="R658" s="91" t="n"/>
      <c r="S658" s="91" t="n"/>
      <c r="T658" s="91" t="n"/>
      <c r="U658" s="91" t="n"/>
      <c r="V658" s="91" t="n"/>
      <c r="W658" s="91" t="n"/>
      <c r="X658" s="91" t="n"/>
      <c r="Y658" s="91" t="n"/>
      <c r="Z658" s="91" t="n"/>
      <c r="AA658" s="91" t="n"/>
      <c r="AB658" s="91" t="n"/>
      <c r="AC658" s="91" t="n"/>
      <c r="AD658" s="91" t="n"/>
      <c r="AE658" s="91" t="n"/>
      <c r="AF658" s="91" t="n"/>
      <c r="AG658" s="91" t="n"/>
    </row>
    <row r="659" ht="12.75" customHeight="1" s="117">
      <c r="A659" s="91" t="n"/>
      <c r="B659" s="91" t="n"/>
      <c r="C659" s="91" t="n"/>
      <c r="D659" s="91" t="n"/>
      <c r="E659" s="91" t="n"/>
      <c r="F659" s="91" t="n"/>
      <c r="G659" s="91" t="n"/>
      <c r="H659" s="91" t="n"/>
      <c r="I659" s="91" t="n"/>
      <c r="J659" s="91" t="n"/>
      <c r="K659" s="91" t="n"/>
      <c r="L659" s="91" t="n"/>
      <c r="M659" s="91" t="n"/>
      <c r="N659" s="91" t="n"/>
      <c r="O659" s="91" t="n"/>
      <c r="P659" s="91" t="n"/>
      <c r="Q659" s="91" t="n"/>
      <c r="R659" s="91" t="n"/>
      <c r="S659" s="91" t="n"/>
      <c r="T659" s="91" t="n"/>
      <c r="U659" s="91" t="n"/>
      <c r="V659" s="91" t="n"/>
      <c r="W659" s="91" t="n"/>
      <c r="X659" s="91" t="n"/>
      <c r="Y659" s="91" t="n"/>
      <c r="Z659" s="91" t="n"/>
      <c r="AA659" s="91" t="n"/>
      <c r="AB659" s="91" t="n"/>
      <c r="AC659" s="91" t="n"/>
      <c r="AD659" s="91" t="n"/>
      <c r="AE659" s="91" t="n"/>
      <c r="AF659" s="91" t="n"/>
      <c r="AG659" s="91" t="n"/>
    </row>
    <row r="660" ht="12.75" customHeight="1" s="117">
      <c r="A660" s="91" t="n"/>
      <c r="B660" s="91" t="n"/>
      <c r="C660" s="91" t="n"/>
      <c r="D660" s="91" t="n"/>
      <c r="E660" s="91" t="n"/>
      <c r="F660" s="91" t="n"/>
      <c r="G660" s="91" t="n"/>
      <c r="H660" s="91" t="n"/>
      <c r="I660" s="91" t="n"/>
      <c r="J660" s="91" t="n"/>
      <c r="K660" s="91" t="n"/>
      <c r="L660" s="91" t="n"/>
      <c r="M660" s="91" t="n"/>
      <c r="N660" s="91" t="n"/>
      <c r="O660" s="91" t="n"/>
      <c r="P660" s="91" t="n"/>
      <c r="Q660" s="91" t="n"/>
      <c r="R660" s="91" t="n"/>
      <c r="S660" s="91" t="n"/>
      <c r="T660" s="91" t="n"/>
      <c r="U660" s="91" t="n"/>
      <c r="V660" s="91" t="n"/>
      <c r="W660" s="91" t="n"/>
      <c r="X660" s="91" t="n"/>
      <c r="Y660" s="91" t="n"/>
      <c r="Z660" s="91" t="n"/>
      <c r="AA660" s="91" t="n"/>
      <c r="AB660" s="91" t="n"/>
      <c r="AC660" s="91" t="n"/>
      <c r="AD660" s="91" t="n"/>
      <c r="AE660" s="91" t="n"/>
      <c r="AF660" s="91" t="n"/>
      <c r="AG660" s="91" t="n"/>
    </row>
    <row r="661" ht="12.75" customHeight="1" s="117">
      <c r="A661" s="91" t="n"/>
      <c r="B661" s="91" t="n"/>
      <c r="C661" s="91" t="n"/>
      <c r="D661" s="91" t="n"/>
      <c r="E661" s="91" t="n"/>
      <c r="F661" s="91" t="n"/>
      <c r="G661" s="91" t="n"/>
      <c r="H661" s="91" t="n"/>
      <c r="I661" s="91" t="n"/>
      <c r="J661" s="91" t="n"/>
      <c r="K661" s="91" t="n"/>
      <c r="L661" s="91" t="n"/>
      <c r="M661" s="91" t="n"/>
      <c r="N661" s="91" t="n"/>
      <c r="O661" s="91" t="n"/>
      <c r="P661" s="91" t="n"/>
      <c r="Q661" s="91" t="n"/>
      <c r="R661" s="91" t="n"/>
      <c r="S661" s="91" t="n"/>
      <c r="T661" s="91" t="n"/>
      <c r="U661" s="91" t="n"/>
      <c r="V661" s="91" t="n"/>
      <c r="W661" s="91" t="n"/>
      <c r="X661" s="91" t="n"/>
      <c r="Y661" s="91" t="n"/>
      <c r="Z661" s="91" t="n"/>
      <c r="AA661" s="91" t="n"/>
      <c r="AB661" s="91" t="n"/>
      <c r="AC661" s="91" t="n"/>
      <c r="AD661" s="91" t="n"/>
      <c r="AE661" s="91" t="n"/>
      <c r="AF661" s="91" t="n"/>
      <c r="AG661" s="91" t="n"/>
    </row>
    <row r="662" ht="12.75" customHeight="1" s="117">
      <c r="A662" s="91" t="n"/>
      <c r="B662" s="91" t="n"/>
      <c r="C662" s="91" t="n"/>
      <c r="D662" s="91" t="n"/>
      <c r="E662" s="91" t="n"/>
      <c r="F662" s="91" t="n"/>
      <c r="G662" s="91" t="n"/>
      <c r="H662" s="91" t="n"/>
      <c r="I662" s="91" t="n"/>
      <c r="J662" s="91" t="n"/>
      <c r="K662" s="91" t="n"/>
      <c r="L662" s="91" t="n"/>
      <c r="M662" s="91" t="n"/>
      <c r="N662" s="91" t="n"/>
      <c r="O662" s="91" t="n"/>
      <c r="P662" s="91" t="n"/>
      <c r="Q662" s="91" t="n"/>
      <c r="R662" s="91" t="n"/>
      <c r="S662" s="91" t="n"/>
      <c r="T662" s="91" t="n"/>
      <c r="U662" s="91" t="n"/>
      <c r="V662" s="91" t="n"/>
      <c r="W662" s="91" t="n"/>
      <c r="X662" s="91" t="n"/>
      <c r="Y662" s="91" t="n"/>
      <c r="Z662" s="91" t="n"/>
      <c r="AA662" s="91" t="n"/>
      <c r="AB662" s="91" t="n"/>
      <c r="AC662" s="91" t="n"/>
      <c r="AD662" s="91" t="n"/>
      <c r="AE662" s="91" t="n"/>
      <c r="AF662" s="91" t="n"/>
      <c r="AG662" s="91" t="n"/>
    </row>
    <row r="663" ht="12.75" customHeight="1" s="117">
      <c r="A663" s="91" t="n"/>
      <c r="B663" s="91" t="n"/>
      <c r="C663" s="91" t="n"/>
      <c r="D663" s="91" t="n"/>
      <c r="E663" s="91" t="n"/>
      <c r="F663" s="91" t="n"/>
      <c r="G663" s="91" t="n"/>
      <c r="H663" s="91" t="n"/>
      <c r="I663" s="91" t="n"/>
      <c r="J663" s="91" t="n"/>
      <c r="K663" s="91" t="n"/>
      <c r="L663" s="91" t="n"/>
      <c r="M663" s="91" t="n"/>
      <c r="N663" s="91" t="n"/>
      <c r="O663" s="91" t="n"/>
      <c r="P663" s="91" t="n"/>
      <c r="Q663" s="91" t="n"/>
      <c r="R663" s="91" t="n"/>
      <c r="S663" s="91" t="n"/>
      <c r="T663" s="91" t="n"/>
      <c r="U663" s="91" t="n"/>
      <c r="V663" s="91" t="n"/>
      <c r="W663" s="91" t="n"/>
      <c r="X663" s="91" t="n"/>
      <c r="Y663" s="91" t="n"/>
      <c r="Z663" s="91" t="n"/>
      <c r="AA663" s="91" t="n"/>
      <c r="AB663" s="91" t="n"/>
      <c r="AC663" s="91" t="n"/>
      <c r="AD663" s="91" t="n"/>
      <c r="AE663" s="91" t="n"/>
      <c r="AF663" s="91" t="n"/>
      <c r="AG663" s="91" t="n"/>
    </row>
    <row r="664" ht="12.75" customHeight="1" s="117">
      <c r="A664" s="91" t="n"/>
      <c r="B664" s="91" t="n"/>
      <c r="C664" s="91" t="n"/>
      <c r="D664" s="91" t="n"/>
      <c r="E664" s="91" t="n"/>
      <c r="F664" s="91" t="n"/>
      <c r="G664" s="91" t="n"/>
      <c r="H664" s="91" t="n"/>
      <c r="I664" s="91" t="n"/>
      <c r="J664" s="91" t="n"/>
      <c r="K664" s="91" t="n"/>
      <c r="L664" s="91" t="n"/>
      <c r="M664" s="91" t="n"/>
      <c r="N664" s="91" t="n"/>
      <c r="O664" s="91" t="n"/>
      <c r="P664" s="91" t="n"/>
      <c r="Q664" s="91" t="n"/>
      <c r="R664" s="91" t="n"/>
      <c r="S664" s="91" t="n"/>
      <c r="T664" s="91" t="n"/>
      <c r="U664" s="91" t="n"/>
      <c r="V664" s="91" t="n"/>
      <c r="W664" s="91" t="n"/>
      <c r="X664" s="91" t="n"/>
      <c r="Y664" s="91" t="n"/>
      <c r="Z664" s="91" t="n"/>
      <c r="AA664" s="91" t="n"/>
      <c r="AB664" s="91" t="n"/>
      <c r="AC664" s="91" t="n"/>
      <c r="AD664" s="91" t="n"/>
      <c r="AE664" s="91" t="n"/>
      <c r="AF664" s="91" t="n"/>
      <c r="AG664" s="91" t="n"/>
    </row>
    <row r="665" ht="12.75" customHeight="1" s="117">
      <c r="A665" s="91" t="n"/>
      <c r="B665" s="91" t="n"/>
      <c r="C665" s="91" t="n"/>
      <c r="D665" s="91" t="n"/>
      <c r="E665" s="91" t="n"/>
      <c r="F665" s="91" t="n"/>
      <c r="G665" s="91" t="n"/>
      <c r="H665" s="91" t="n"/>
      <c r="I665" s="91" t="n"/>
      <c r="J665" s="91" t="n"/>
      <c r="K665" s="91" t="n"/>
      <c r="L665" s="91" t="n"/>
      <c r="M665" s="91" t="n"/>
      <c r="N665" s="91" t="n"/>
      <c r="O665" s="91" t="n"/>
      <c r="P665" s="91" t="n"/>
      <c r="Q665" s="91" t="n"/>
      <c r="R665" s="91" t="n"/>
      <c r="S665" s="91" t="n"/>
      <c r="T665" s="91" t="n"/>
      <c r="U665" s="91" t="n"/>
      <c r="V665" s="91" t="n"/>
      <c r="W665" s="91" t="n"/>
      <c r="X665" s="91" t="n"/>
      <c r="Y665" s="91" t="n"/>
      <c r="Z665" s="91" t="n"/>
      <c r="AA665" s="91" t="n"/>
      <c r="AB665" s="91" t="n"/>
      <c r="AC665" s="91" t="n"/>
      <c r="AD665" s="91" t="n"/>
      <c r="AE665" s="91" t="n"/>
      <c r="AF665" s="91" t="n"/>
      <c r="AG665" s="91" t="n"/>
    </row>
    <row r="666" ht="12.75" customHeight="1" s="117">
      <c r="A666" s="91" t="n"/>
      <c r="B666" s="91" t="n"/>
      <c r="C666" s="91" t="n"/>
      <c r="D666" s="91" t="n"/>
      <c r="E666" s="91" t="n"/>
      <c r="F666" s="91" t="n"/>
      <c r="G666" s="91" t="n"/>
      <c r="H666" s="91" t="n"/>
      <c r="I666" s="91" t="n"/>
      <c r="J666" s="91" t="n"/>
      <c r="K666" s="91" t="n"/>
      <c r="L666" s="91" t="n"/>
      <c r="M666" s="91" t="n"/>
      <c r="N666" s="91" t="n"/>
      <c r="O666" s="91" t="n"/>
      <c r="P666" s="91" t="n"/>
      <c r="Q666" s="91" t="n"/>
      <c r="R666" s="91" t="n"/>
      <c r="S666" s="91" t="n"/>
      <c r="T666" s="91" t="n"/>
      <c r="U666" s="91" t="n"/>
      <c r="V666" s="91" t="n"/>
      <c r="W666" s="91" t="n"/>
      <c r="X666" s="91" t="n"/>
      <c r="Y666" s="91" t="n"/>
      <c r="Z666" s="91" t="n"/>
      <c r="AA666" s="91" t="n"/>
      <c r="AB666" s="91" t="n"/>
      <c r="AC666" s="91" t="n"/>
      <c r="AD666" s="91" t="n"/>
      <c r="AE666" s="91" t="n"/>
      <c r="AF666" s="91" t="n"/>
      <c r="AG666" s="91" t="n"/>
    </row>
    <row r="667" ht="12.75" customHeight="1" s="117">
      <c r="A667" s="91" t="n"/>
      <c r="B667" s="91" t="n"/>
      <c r="C667" s="91" t="n"/>
      <c r="D667" s="91" t="n"/>
      <c r="E667" s="91" t="n"/>
      <c r="F667" s="91" t="n"/>
      <c r="G667" s="91" t="n"/>
      <c r="H667" s="91" t="n"/>
      <c r="I667" s="91" t="n"/>
      <c r="J667" s="91" t="n"/>
      <c r="K667" s="91" t="n"/>
      <c r="L667" s="91" t="n"/>
      <c r="M667" s="91" t="n"/>
      <c r="N667" s="91" t="n"/>
      <c r="O667" s="91" t="n"/>
      <c r="P667" s="91" t="n"/>
      <c r="Q667" s="91" t="n"/>
      <c r="R667" s="91" t="n"/>
      <c r="S667" s="91" t="n"/>
      <c r="T667" s="91" t="n"/>
      <c r="U667" s="91" t="n"/>
      <c r="V667" s="91" t="n"/>
      <c r="W667" s="91" t="n"/>
      <c r="X667" s="91" t="n"/>
      <c r="Y667" s="91" t="n"/>
      <c r="Z667" s="91" t="n"/>
      <c r="AA667" s="91" t="n"/>
      <c r="AB667" s="91" t="n"/>
      <c r="AC667" s="91" t="n"/>
      <c r="AD667" s="91" t="n"/>
      <c r="AE667" s="91" t="n"/>
      <c r="AF667" s="91" t="n"/>
      <c r="AG667" s="91" t="n"/>
    </row>
    <row r="668" ht="12.75" customHeight="1" s="117">
      <c r="A668" s="91" t="n"/>
      <c r="B668" s="91" t="n"/>
      <c r="C668" s="91" t="n"/>
      <c r="D668" s="91" t="n"/>
      <c r="E668" s="91" t="n"/>
      <c r="F668" s="91" t="n"/>
      <c r="G668" s="91" t="n"/>
      <c r="H668" s="91" t="n"/>
      <c r="I668" s="91" t="n"/>
      <c r="J668" s="91" t="n"/>
      <c r="K668" s="91" t="n"/>
      <c r="L668" s="91" t="n"/>
      <c r="M668" s="91" t="n"/>
      <c r="N668" s="91" t="n"/>
      <c r="O668" s="91" t="n"/>
      <c r="P668" s="91" t="n"/>
      <c r="Q668" s="91" t="n"/>
      <c r="R668" s="91" t="n"/>
      <c r="S668" s="91" t="n"/>
      <c r="T668" s="91" t="n"/>
      <c r="U668" s="91" t="n"/>
      <c r="V668" s="91" t="n"/>
      <c r="W668" s="91" t="n"/>
      <c r="X668" s="91" t="n"/>
      <c r="Y668" s="91" t="n"/>
      <c r="Z668" s="91" t="n"/>
      <c r="AA668" s="91" t="n"/>
      <c r="AB668" s="91" t="n"/>
      <c r="AC668" s="91" t="n"/>
      <c r="AD668" s="91" t="n"/>
      <c r="AE668" s="91" t="n"/>
      <c r="AF668" s="91" t="n"/>
      <c r="AG668" s="91" t="n"/>
    </row>
    <row r="669" ht="12.75" customHeight="1" s="117">
      <c r="A669" s="91" t="n"/>
      <c r="B669" s="91" t="n"/>
      <c r="C669" s="91" t="n"/>
      <c r="D669" s="91" t="n"/>
      <c r="E669" s="91" t="n"/>
      <c r="F669" s="91" t="n"/>
      <c r="G669" s="91" t="n"/>
      <c r="H669" s="91" t="n"/>
      <c r="I669" s="91" t="n"/>
      <c r="J669" s="91" t="n"/>
      <c r="K669" s="91" t="n"/>
      <c r="L669" s="91" t="n"/>
      <c r="M669" s="91" t="n"/>
      <c r="N669" s="91" t="n"/>
      <c r="O669" s="91" t="n"/>
      <c r="P669" s="91" t="n"/>
      <c r="Q669" s="91" t="n"/>
      <c r="R669" s="91" t="n"/>
      <c r="S669" s="91" t="n"/>
      <c r="T669" s="91" t="n"/>
      <c r="U669" s="91" t="n"/>
      <c r="V669" s="91" t="n"/>
      <c r="W669" s="91" t="n"/>
      <c r="X669" s="91" t="n"/>
      <c r="Y669" s="91" t="n"/>
      <c r="Z669" s="91" t="n"/>
      <c r="AA669" s="91" t="n"/>
      <c r="AB669" s="91" t="n"/>
      <c r="AC669" s="91" t="n"/>
      <c r="AD669" s="91" t="n"/>
      <c r="AE669" s="91" t="n"/>
      <c r="AF669" s="91" t="n"/>
      <c r="AG669" s="91" t="n"/>
    </row>
    <row r="670" ht="12.75" customHeight="1" s="117">
      <c r="A670" s="91" t="n"/>
      <c r="B670" s="91" t="n"/>
      <c r="C670" s="91" t="n"/>
      <c r="D670" s="91" t="n"/>
      <c r="E670" s="91" t="n"/>
      <c r="F670" s="91" t="n"/>
      <c r="G670" s="91" t="n"/>
      <c r="H670" s="91" t="n"/>
      <c r="I670" s="91" t="n"/>
      <c r="J670" s="91" t="n"/>
      <c r="K670" s="91" t="n"/>
      <c r="L670" s="91" t="n"/>
      <c r="M670" s="91" t="n"/>
      <c r="N670" s="91" t="n"/>
      <c r="O670" s="91" t="n"/>
      <c r="P670" s="91" t="n"/>
      <c r="Q670" s="91" t="n"/>
      <c r="R670" s="91" t="n"/>
      <c r="S670" s="91" t="n"/>
      <c r="T670" s="91" t="n"/>
      <c r="U670" s="91" t="n"/>
      <c r="V670" s="91" t="n"/>
      <c r="W670" s="91" t="n"/>
      <c r="X670" s="91" t="n"/>
      <c r="Y670" s="91" t="n"/>
      <c r="Z670" s="91" t="n"/>
      <c r="AA670" s="91" t="n"/>
      <c r="AB670" s="91" t="n"/>
      <c r="AC670" s="91" t="n"/>
      <c r="AD670" s="91" t="n"/>
      <c r="AE670" s="91" t="n"/>
      <c r="AF670" s="91" t="n"/>
      <c r="AG670" s="91" t="n"/>
    </row>
    <row r="671" ht="12.75" customHeight="1" s="117">
      <c r="A671" s="91" t="n"/>
      <c r="B671" s="91" t="n"/>
      <c r="C671" s="91" t="n"/>
      <c r="D671" s="91" t="n"/>
      <c r="E671" s="91" t="n"/>
      <c r="F671" s="91" t="n"/>
      <c r="G671" s="91" t="n"/>
      <c r="H671" s="91" t="n"/>
      <c r="I671" s="91" t="n"/>
      <c r="J671" s="91" t="n"/>
      <c r="K671" s="91" t="n"/>
      <c r="L671" s="91" t="n"/>
      <c r="M671" s="91" t="n"/>
      <c r="N671" s="91" t="n"/>
      <c r="O671" s="91" t="n"/>
      <c r="P671" s="91" t="n"/>
      <c r="Q671" s="91" t="n"/>
      <c r="R671" s="91" t="n"/>
      <c r="S671" s="91" t="n"/>
      <c r="T671" s="91" t="n"/>
      <c r="U671" s="91" t="n"/>
      <c r="V671" s="91" t="n"/>
      <c r="W671" s="91" t="n"/>
      <c r="X671" s="91" t="n"/>
      <c r="Y671" s="91" t="n"/>
      <c r="Z671" s="91" t="n"/>
      <c r="AA671" s="91" t="n"/>
      <c r="AB671" s="91" t="n"/>
      <c r="AC671" s="91" t="n"/>
      <c r="AD671" s="91" t="n"/>
      <c r="AE671" s="91" t="n"/>
      <c r="AF671" s="91" t="n"/>
      <c r="AG671" s="91" t="n"/>
    </row>
    <row r="672" ht="12.75" customHeight="1" s="117">
      <c r="A672" s="91" t="n"/>
      <c r="B672" s="91" t="n"/>
      <c r="C672" s="91" t="n"/>
      <c r="D672" s="91" t="n"/>
      <c r="E672" s="91" t="n"/>
      <c r="F672" s="91" t="n"/>
      <c r="G672" s="91" t="n"/>
      <c r="H672" s="91" t="n"/>
      <c r="I672" s="91" t="n"/>
      <c r="J672" s="91" t="n"/>
      <c r="K672" s="91" t="n"/>
      <c r="L672" s="91" t="n"/>
      <c r="M672" s="91" t="n"/>
      <c r="N672" s="91" t="n"/>
      <c r="O672" s="91" t="n"/>
      <c r="P672" s="91" t="n"/>
      <c r="Q672" s="91" t="n"/>
      <c r="R672" s="91" t="n"/>
      <c r="S672" s="91" t="n"/>
      <c r="T672" s="91" t="n"/>
      <c r="U672" s="91" t="n"/>
      <c r="V672" s="91" t="n"/>
      <c r="W672" s="91" t="n"/>
      <c r="X672" s="91" t="n"/>
      <c r="Y672" s="91" t="n"/>
      <c r="Z672" s="91" t="n"/>
      <c r="AA672" s="91" t="n"/>
      <c r="AB672" s="91" t="n"/>
      <c r="AC672" s="91" t="n"/>
      <c r="AD672" s="91" t="n"/>
      <c r="AE672" s="91" t="n"/>
      <c r="AF672" s="91" t="n"/>
      <c r="AG672" s="91" t="n"/>
    </row>
    <row r="673" ht="12.75" customHeight="1" s="117">
      <c r="A673" s="91" t="n"/>
      <c r="B673" s="91" t="n"/>
      <c r="C673" s="91" t="n"/>
      <c r="D673" s="91" t="n"/>
      <c r="E673" s="91" t="n"/>
      <c r="F673" s="91" t="n"/>
      <c r="G673" s="91" t="n"/>
      <c r="H673" s="91" t="n"/>
      <c r="I673" s="91" t="n"/>
      <c r="J673" s="91" t="n"/>
      <c r="K673" s="91" t="n"/>
      <c r="L673" s="91" t="n"/>
      <c r="M673" s="91" t="n"/>
      <c r="N673" s="91" t="n"/>
      <c r="O673" s="91" t="n"/>
      <c r="P673" s="91" t="n"/>
      <c r="Q673" s="91" t="n"/>
      <c r="R673" s="91" t="n"/>
      <c r="S673" s="91" t="n"/>
      <c r="T673" s="91" t="n"/>
      <c r="U673" s="91" t="n"/>
      <c r="V673" s="91" t="n"/>
      <c r="W673" s="91" t="n"/>
      <c r="X673" s="91" t="n"/>
      <c r="Y673" s="91" t="n"/>
      <c r="Z673" s="91" t="n"/>
      <c r="AA673" s="91" t="n"/>
      <c r="AB673" s="91" t="n"/>
      <c r="AC673" s="91" t="n"/>
      <c r="AD673" s="91" t="n"/>
      <c r="AE673" s="91" t="n"/>
      <c r="AF673" s="91" t="n"/>
      <c r="AG673" s="91" t="n"/>
    </row>
    <row r="674" ht="12.75" customHeight="1" s="117">
      <c r="A674" s="91" t="n"/>
      <c r="B674" s="91" t="n"/>
      <c r="C674" s="91" t="n"/>
      <c r="D674" s="91" t="n"/>
      <c r="E674" s="91" t="n"/>
      <c r="F674" s="91" t="n"/>
      <c r="G674" s="91" t="n"/>
      <c r="H674" s="91" t="n"/>
      <c r="I674" s="91" t="n"/>
      <c r="J674" s="91" t="n"/>
      <c r="K674" s="91" t="n"/>
      <c r="L674" s="91" t="n"/>
      <c r="M674" s="91" t="n"/>
      <c r="N674" s="91" t="n"/>
      <c r="O674" s="91" t="n"/>
      <c r="P674" s="91" t="n"/>
      <c r="Q674" s="91" t="n"/>
      <c r="R674" s="91" t="n"/>
      <c r="S674" s="91" t="n"/>
      <c r="T674" s="91" t="n"/>
      <c r="U674" s="91" t="n"/>
      <c r="V674" s="91" t="n"/>
      <c r="W674" s="91" t="n"/>
      <c r="X674" s="91" t="n"/>
      <c r="Y674" s="91" t="n"/>
      <c r="Z674" s="91" t="n"/>
      <c r="AA674" s="91" t="n"/>
      <c r="AB674" s="91" t="n"/>
      <c r="AC674" s="91" t="n"/>
      <c r="AD674" s="91" t="n"/>
      <c r="AE674" s="91" t="n"/>
      <c r="AF674" s="91" t="n"/>
      <c r="AG674" s="91" t="n"/>
    </row>
    <row r="675" ht="12.75" customHeight="1" s="117">
      <c r="A675" s="91" t="n"/>
      <c r="B675" s="91" t="n"/>
      <c r="C675" s="91" t="n"/>
      <c r="D675" s="91" t="n"/>
      <c r="E675" s="91" t="n"/>
      <c r="F675" s="91" t="n"/>
      <c r="G675" s="91" t="n"/>
      <c r="H675" s="91" t="n"/>
      <c r="I675" s="91" t="n"/>
      <c r="J675" s="91" t="n"/>
      <c r="K675" s="91" t="n"/>
      <c r="L675" s="91" t="n"/>
      <c r="M675" s="91" t="n"/>
      <c r="N675" s="91" t="n"/>
      <c r="O675" s="91" t="n"/>
      <c r="P675" s="91" t="n"/>
      <c r="Q675" s="91" t="n"/>
      <c r="R675" s="91" t="n"/>
      <c r="S675" s="91" t="n"/>
      <c r="T675" s="91" t="n"/>
      <c r="U675" s="91" t="n"/>
      <c r="V675" s="91" t="n"/>
      <c r="W675" s="91" t="n"/>
      <c r="X675" s="91" t="n"/>
      <c r="Y675" s="91" t="n"/>
      <c r="Z675" s="91" t="n"/>
      <c r="AA675" s="91" t="n"/>
      <c r="AB675" s="91" t="n"/>
      <c r="AC675" s="91" t="n"/>
      <c r="AD675" s="91" t="n"/>
      <c r="AE675" s="91" t="n"/>
      <c r="AF675" s="91" t="n"/>
      <c r="AG675" s="91" t="n"/>
    </row>
    <row r="676" ht="12.75" customHeight="1" s="117">
      <c r="A676" s="91" t="n"/>
      <c r="B676" s="91" t="n"/>
      <c r="C676" s="91" t="n"/>
      <c r="D676" s="91" t="n"/>
      <c r="E676" s="91" t="n"/>
      <c r="F676" s="91" t="n"/>
      <c r="G676" s="91" t="n"/>
      <c r="H676" s="91" t="n"/>
      <c r="I676" s="91" t="n"/>
      <c r="J676" s="91" t="n"/>
      <c r="K676" s="91" t="n"/>
      <c r="L676" s="91" t="n"/>
      <c r="M676" s="91" t="n"/>
      <c r="N676" s="91" t="n"/>
      <c r="O676" s="91" t="n"/>
      <c r="P676" s="91" t="n"/>
      <c r="Q676" s="91" t="n"/>
      <c r="R676" s="91" t="n"/>
      <c r="S676" s="91" t="n"/>
      <c r="T676" s="91" t="n"/>
      <c r="U676" s="91" t="n"/>
      <c r="V676" s="91" t="n"/>
      <c r="W676" s="91" t="n"/>
      <c r="X676" s="91" t="n"/>
      <c r="Y676" s="91" t="n"/>
      <c r="Z676" s="91" t="n"/>
      <c r="AA676" s="91" t="n"/>
      <c r="AB676" s="91" t="n"/>
      <c r="AC676" s="91" t="n"/>
      <c r="AD676" s="91" t="n"/>
      <c r="AE676" s="91" t="n"/>
      <c r="AF676" s="91" t="n"/>
      <c r="AG676" s="91" t="n"/>
    </row>
    <row r="677" ht="12.75" customHeight="1" s="117">
      <c r="A677" s="91" t="n"/>
      <c r="B677" s="91" t="n"/>
      <c r="C677" s="91" t="n"/>
      <c r="D677" s="91" t="n"/>
      <c r="E677" s="91" t="n"/>
      <c r="F677" s="91" t="n"/>
      <c r="G677" s="91" t="n"/>
      <c r="H677" s="91" t="n"/>
      <c r="I677" s="91" t="n"/>
      <c r="J677" s="91" t="n"/>
      <c r="K677" s="91" t="n"/>
      <c r="L677" s="91" t="n"/>
      <c r="M677" s="91" t="n"/>
      <c r="N677" s="91" t="n"/>
      <c r="O677" s="91" t="n"/>
      <c r="P677" s="91" t="n"/>
      <c r="Q677" s="91" t="n"/>
      <c r="R677" s="91" t="n"/>
      <c r="S677" s="91" t="n"/>
      <c r="T677" s="91" t="n"/>
      <c r="U677" s="91" t="n"/>
      <c r="V677" s="91" t="n"/>
      <c r="W677" s="91" t="n"/>
      <c r="X677" s="91" t="n"/>
      <c r="Y677" s="91" t="n"/>
      <c r="Z677" s="91" t="n"/>
      <c r="AA677" s="91" t="n"/>
      <c r="AB677" s="91" t="n"/>
      <c r="AC677" s="91" t="n"/>
      <c r="AD677" s="91" t="n"/>
      <c r="AE677" s="91" t="n"/>
      <c r="AF677" s="91" t="n"/>
      <c r="AG677" s="91" t="n"/>
    </row>
    <row r="678" ht="12.75" customHeight="1" s="117">
      <c r="A678" s="91" t="n"/>
      <c r="B678" s="91" t="n"/>
      <c r="C678" s="91" t="n"/>
      <c r="D678" s="91" t="n"/>
      <c r="E678" s="91" t="n"/>
      <c r="F678" s="91" t="n"/>
      <c r="G678" s="91" t="n"/>
      <c r="H678" s="91" t="n"/>
      <c r="I678" s="91" t="n"/>
      <c r="J678" s="91" t="n"/>
      <c r="K678" s="91" t="n"/>
      <c r="L678" s="91" t="n"/>
      <c r="M678" s="91" t="n"/>
      <c r="N678" s="91" t="n"/>
      <c r="O678" s="91" t="n"/>
      <c r="P678" s="91" t="n"/>
      <c r="Q678" s="91" t="n"/>
      <c r="R678" s="91" t="n"/>
      <c r="S678" s="91" t="n"/>
      <c r="T678" s="91" t="n"/>
      <c r="U678" s="91" t="n"/>
      <c r="V678" s="91" t="n"/>
      <c r="W678" s="91" t="n"/>
      <c r="X678" s="91" t="n"/>
      <c r="Y678" s="91" t="n"/>
      <c r="Z678" s="91" t="n"/>
      <c r="AA678" s="91" t="n"/>
      <c r="AB678" s="91" t="n"/>
      <c r="AC678" s="91" t="n"/>
      <c r="AD678" s="91" t="n"/>
      <c r="AE678" s="91" t="n"/>
      <c r="AF678" s="91" t="n"/>
      <c r="AG678" s="91" t="n"/>
    </row>
    <row r="679" ht="12.75" customHeight="1" s="117">
      <c r="A679" s="91" t="n"/>
      <c r="B679" s="91" t="n"/>
      <c r="C679" s="91" t="n"/>
      <c r="D679" s="91" t="n"/>
      <c r="E679" s="91" t="n"/>
      <c r="F679" s="91" t="n"/>
      <c r="G679" s="91" t="n"/>
      <c r="H679" s="91" t="n"/>
      <c r="I679" s="91" t="n"/>
      <c r="J679" s="91" t="n"/>
      <c r="K679" s="91" t="n"/>
      <c r="L679" s="91" t="n"/>
      <c r="M679" s="91" t="n"/>
      <c r="N679" s="91" t="n"/>
      <c r="O679" s="91" t="n"/>
      <c r="P679" s="91" t="n"/>
      <c r="Q679" s="91" t="n"/>
      <c r="R679" s="91" t="n"/>
      <c r="S679" s="91" t="n"/>
      <c r="T679" s="91" t="n"/>
      <c r="U679" s="91" t="n"/>
      <c r="V679" s="91" t="n"/>
      <c r="W679" s="91" t="n"/>
      <c r="X679" s="91" t="n"/>
      <c r="Y679" s="91" t="n"/>
      <c r="Z679" s="91" t="n"/>
      <c r="AA679" s="91" t="n"/>
      <c r="AB679" s="91" t="n"/>
      <c r="AC679" s="91" t="n"/>
      <c r="AD679" s="91" t="n"/>
      <c r="AE679" s="91" t="n"/>
      <c r="AF679" s="91" t="n"/>
      <c r="AG679" s="91" t="n"/>
    </row>
    <row r="680" ht="12.75" customHeight="1" s="117">
      <c r="A680" s="91" t="n"/>
      <c r="B680" s="91" t="n"/>
      <c r="C680" s="91" t="n"/>
      <c r="D680" s="91" t="n"/>
      <c r="E680" s="91" t="n"/>
      <c r="F680" s="91" t="n"/>
      <c r="G680" s="91" t="n"/>
      <c r="H680" s="91" t="n"/>
      <c r="I680" s="91" t="n"/>
      <c r="J680" s="91" t="n"/>
      <c r="K680" s="91" t="n"/>
      <c r="L680" s="91" t="n"/>
      <c r="M680" s="91" t="n"/>
      <c r="N680" s="91" t="n"/>
      <c r="O680" s="91" t="n"/>
      <c r="P680" s="91" t="n"/>
      <c r="Q680" s="91" t="n"/>
      <c r="R680" s="91" t="n"/>
      <c r="S680" s="91" t="n"/>
      <c r="T680" s="91" t="n"/>
      <c r="U680" s="91" t="n"/>
      <c r="V680" s="91" t="n"/>
      <c r="W680" s="91" t="n"/>
      <c r="X680" s="91" t="n"/>
      <c r="Y680" s="91" t="n"/>
      <c r="Z680" s="91" t="n"/>
      <c r="AA680" s="91" t="n"/>
      <c r="AB680" s="91" t="n"/>
      <c r="AC680" s="91" t="n"/>
      <c r="AD680" s="91" t="n"/>
      <c r="AE680" s="91" t="n"/>
      <c r="AF680" s="91" t="n"/>
      <c r="AG680" s="91" t="n"/>
    </row>
    <row r="681" ht="12.75" customHeight="1" s="117">
      <c r="A681" s="91" t="n"/>
      <c r="B681" s="91" t="n"/>
      <c r="C681" s="91" t="n"/>
      <c r="D681" s="91" t="n"/>
      <c r="E681" s="91" t="n"/>
      <c r="F681" s="91" t="n"/>
      <c r="G681" s="91" t="n"/>
      <c r="H681" s="91" t="n"/>
      <c r="I681" s="91" t="n"/>
      <c r="J681" s="91" t="n"/>
      <c r="K681" s="91" t="n"/>
      <c r="L681" s="91" t="n"/>
      <c r="M681" s="91" t="n"/>
      <c r="N681" s="91" t="n"/>
      <c r="O681" s="91" t="n"/>
      <c r="P681" s="91" t="n"/>
      <c r="Q681" s="91" t="n"/>
      <c r="R681" s="91" t="n"/>
      <c r="S681" s="91" t="n"/>
      <c r="T681" s="91" t="n"/>
      <c r="U681" s="91" t="n"/>
      <c r="V681" s="91" t="n"/>
      <c r="W681" s="91" t="n"/>
      <c r="X681" s="91" t="n"/>
      <c r="Y681" s="91" t="n"/>
      <c r="Z681" s="91" t="n"/>
      <c r="AA681" s="91" t="n"/>
      <c r="AB681" s="91" t="n"/>
      <c r="AC681" s="91" t="n"/>
      <c r="AD681" s="91" t="n"/>
      <c r="AE681" s="91" t="n"/>
      <c r="AF681" s="91" t="n"/>
      <c r="AG681" s="91" t="n"/>
    </row>
    <row r="682" ht="12.75" customHeight="1" s="117">
      <c r="A682" s="91" t="n"/>
      <c r="B682" s="91" t="n"/>
      <c r="C682" s="91" t="n"/>
      <c r="D682" s="91" t="n"/>
      <c r="E682" s="91" t="n"/>
      <c r="F682" s="91" t="n"/>
      <c r="G682" s="91" t="n"/>
      <c r="H682" s="91" t="n"/>
      <c r="I682" s="91" t="n"/>
      <c r="J682" s="91" t="n"/>
      <c r="K682" s="91" t="n"/>
      <c r="L682" s="91" t="n"/>
      <c r="M682" s="91" t="n"/>
      <c r="N682" s="91" t="n"/>
      <c r="O682" s="91" t="n"/>
      <c r="P682" s="91" t="n"/>
      <c r="Q682" s="91" t="n"/>
      <c r="R682" s="91" t="n"/>
      <c r="S682" s="91" t="n"/>
      <c r="T682" s="91" t="n"/>
      <c r="U682" s="91" t="n"/>
      <c r="V682" s="91" t="n"/>
      <c r="W682" s="91" t="n"/>
      <c r="X682" s="91" t="n"/>
      <c r="Y682" s="91" t="n"/>
      <c r="Z682" s="91" t="n"/>
      <c r="AA682" s="91" t="n"/>
      <c r="AB682" s="91" t="n"/>
      <c r="AC682" s="91" t="n"/>
      <c r="AD682" s="91" t="n"/>
      <c r="AE682" s="91" t="n"/>
      <c r="AF682" s="91" t="n"/>
      <c r="AG682" s="91" t="n"/>
    </row>
    <row r="683" ht="12.75" customHeight="1" s="117">
      <c r="A683" s="91" t="n"/>
      <c r="B683" s="91" t="n"/>
      <c r="C683" s="91" t="n"/>
      <c r="D683" s="91" t="n"/>
      <c r="E683" s="91" t="n"/>
      <c r="F683" s="91" t="n"/>
      <c r="G683" s="91" t="n"/>
      <c r="H683" s="91" t="n"/>
      <c r="I683" s="91" t="n"/>
      <c r="J683" s="91" t="n"/>
      <c r="K683" s="91" t="n"/>
      <c r="L683" s="91" t="n"/>
      <c r="M683" s="91" t="n"/>
      <c r="N683" s="91" t="n"/>
      <c r="O683" s="91" t="n"/>
      <c r="P683" s="91" t="n"/>
      <c r="Q683" s="91" t="n"/>
      <c r="R683" s="91" t="n"/>
      <c r="S683" s="91" t="n"/>
      <c r="T683" s="91" t="n"/>
      <c r="U683" s="91" t="n"/>
      <c r="V683" s="91" t="n"/>
      <c r="W683" s="91" t="n"/>
      <c r="X683" s="91" t="n"/>
      <c r="Y683" s="91" t="n"/>
      <c r="Z683" s="91" t="n"/>
      <c r="AA683" s="91" t="n"/>
      <c r="AB683" s="91" t="n"/>
      <c r="AC683" s="91" t="n"/>
      <c r="AD683" s="91" t="n"/>
      <c r="AE683" s="91" t="n"/>
      <c r="AF683" s="91" t="n"/>
      <c r="AG683" s="91" t="n"/>
    </row>
    <row r="684" ht="12.75" customHeight="1" s="117">
      <c r="A684" s="91" t="n"/>
      <c r="B684" s="91" t="n"/>
      <c r="C684" s="91" t="n"/>
      <c r="D684" s="91" t="n"/>
      <c r="E684" s="91" t="n"/>
      <c r="F684" s="91" t="n"/>
      <c r="G684" s="91" t="n"/>
      <c r="H684" s="91" t="n"/>
      <c r="I684" s="91" t="n"/>
      <c r="J684" s="91" t="n"/>
      <c r="K684" s="91" t="n"/>
      <c r="L684" s="91" t="n"/>
      <c r="M684" s="91" t="n"/>
      <c r="N684" s="91" t="n"/>
      <c r="O684" s="91" t="n"/>
      <c r="P684" s="91" t="n"/>
      <c r="Q684" s="91" t="n"/>
      <c r="R684" s="91" t="n"/>
      <c r="S684" s="91" t="n"/>
      <c r="T684" s="91" t="n"/>
      <c r="U684" s="91" t="n"/>
      <c r="V684" s="91" t="n"/>
      <c r="W684" s="91" t="n"/>
      <c r="X684" s="91" t="n"/>
      <c r="Y684" s="91" t="n"/>
      <c r="Z684" s="91" t="n"/>
      <c r="AA684" s="91" t="n"/>
      <c r="AB684" s="91" t="n"/>
      <c r="AC684" s="91" t="n"/>
      <c r="AD684" s="91" t="n"/>
      <c r="AE684" s="91" t="n"/>
      <c r="AF684" s="91" t="n"/>
      <c r="AG684" s="91" t="n"/>
    </row>
    <row r="685" ht="12.75" customHeight="1" s="117">
      <c r="A685" s="91" t="n"/>
      <c r="B685" s="91" t="n"/>
      <c r="C685" s="91" t="n"/>
      <c r="D685" s="91" t="n"/>
      <c r="E685" s="91" t="n"/>
      <c r="F685" s="91" t="n"/>
      <c r="G685" s="91" t="n"/>
      <c r="H685" s="91" t="n"/>
      <c r="I685" s="91" t="n"/>
      <c r="J685" s="91" t="n"/>
      <c r="K685" s="91" t="n"/>
      <c r="L685" s="91" t="n"/>
      <c r="M685" s="91" t="n"/>
      <c r="N685" s="91" t="n"/>
      <c r="O685" s="91" t="n"/>
      <c r="P685" s="91" t="n"/>
      <c r="Q685" s="91" t="n"/>
      <c r="R685" s="91" t="n"/>
      <c r="S685" s="91" t="n"/>
      <c r="T685" s="91" t="n"/>
      <c r="U685" s="91" t="n"/>
      <c r="V685" s="91" t="n"/>
      <c r="W685" s="91" t="n"/>
      <c r="X685" s="91" t="n"/>
      <c r="Y685" s="91" t="n"/>
      <c r="Z685" s="91" t="n"/>
      <c r="AA685" s="91" t="n"/>
      <c r="AB685" s="91" t="n"/>
      <c r="AC685" s="91" t="n"/>
      <c r="AD685" s="91" t="n"/>
      <c r="AE685" s="91" t="n"/>
      <c r="AF685" s="91" t="n"/>
      <c r="AG685" s="91" t="n"/>
    </row>
    <row r="686" ht="12.75" customHeight="1" s="117">
      <c r="A686" s="91" t="n"/>
      <c r="B686" s="91" t="n"/>
      <c r="C686" s="91" t="n"/>
      <c r="D686" s="91" t="n"/>
      <c r="E686" s="91" t="n"/>
      <c r="F686" s="91" t="n"/>
      <c r="G686" s="91" t="n"/>
      <c r="H686" s="91" t="n"/>
      <c r="I686" s="91" t="n"/>
      <c r="J686" s="91" t="n"/>
      <c r="K686" s="91" t="n"/>
      <c r="L686" s="91" t="n"/>
      <c r="M686" s="91" t="n"/>
      <c r="N686" s="91" t="n"/>
      <c r="O686" s="91" t="n"/>
      <c r="P686" s="91" t="n"/>
      <c r="Q686" s="91" t="n"/>
      <c r="R686" s="91" t="n"/>
      <c r="S686" s="91" t="n"/>
      <c r="T686" s="91" t="n"/>
      <c r="U686" s="91" t="n"/>
      <c r="V686" s="91" t="n"/>
      <c r="W686" s="91" t="n"/>
      <c r="X686" s="91" t="n"/>
      <c r="Y686" s="91" t="n"/>
      <c r="Z686" s="91" t="n"/>
      <c r="AA686" s="91" t="n"/>
      <c r="AB686" s="91" t="n"/>
      <c r="AC686" s="91" t="n"/>
      <c r="AD686" s="91" t="n"/>
      <c r="AE686" s="91" t="n"/>
      <c r="AF686" s="91" t="n"/>
      <c r="AG686" s="91" t="n"/>
    </row>
    <row r="687" ht="12.75" customHeight="1" s="117">
      <c r="A687" s="91" t="n"/>
      <c r="B687" s="91" t="n"/>
      <c r="C687" s="91" t="n"/>
      <c r="D687" s="91" t="n"/>
      <c r="E687" s="91" t="n"/>
      <c r="F687" s="91" t="n"/>
      <c r="G687" s="91" t="n"/>
      <c r="H687" s="91" t="n"/>
      <c r="I687" s="91" t="n"/>
      <c r="J687" s="91" t="n"/>
      <c r="K687" s="91" t="n"/>
      <c r="L687" s="91" t="n"/>
      <c r="M687" s="91" t="n"/>
      <c r="N687" s="91" t="n"/>
      <c r="O687" s="91" t="n"/>
      <c r="P687" s="91" t="n"/>
      <c r="Q687" s="91" t="n"/>
      <c r="R687" s="91" t="n"/>
      <c r="S687" s="91" t="n"/>
      <c r="T687" s="91" t="n"/>
      <c r="U687" s="91" t="n"/>
      <c r="V687" s="91" t="n"/>
      <c r="W687" s="91" t="n"/>
      <c r="X687" s="91" t="n"/>
      <c r="Y687" s="91" t="n"/>
      <c r="Z687" s="91" t="n"/>
      <c r="AA687" s="91" t="n"/>
      <c r="AB687" s="91" t="n"/>
      <c r="AC687" s="91" t="n"/>
      <c r="AD687" s="91" t="n"/>
      <c r="AE687" s="91" t="n"/>
      <c r="AF687" s="91" t="n"/>
      <c r="AG687" s="91" t="n"/>
    </row>
    <row r="688" ht="12.75" customHeight="1" s="117">
      <c r="A688" s="91" t="n"/>
      <c r="B688" s="91" t="n"/>
      <c r="C688" s="91" t="n"/>
      <c r="D688" s="91" t="n"/>
      <c r="E688" s="91" t="n"/>
      <c r="F688" s="91" t="n"/>
      <c r="G688" s="91" t="n"/>
      <c r="H688" s="91" t="n"/>
      <c r="I688" s="91" t="n"/>
      <c r="J688" s="91" t="n"/>
      <c r="K688" s="91" t="n"/>
      <c r="L688" s="91" t="n"/>
      <c r="M688" s="91" t="n"/>
      <c r="N688" s="91" t="n"/>
      <c r="O688" s="91" t="n"/>
      <c r="P688" s="91" t="n"/>
      <c r="Q688" s="91" t="n"/>
      <c r="R688" s="91" t="n"/>
      <c r="S688" s="91" t="n"/>
      <c r="T688" s="91" t="n"/>
      <c r="U688" s="91" t="n"/>
      <c r="V688" s="91" t="n"/>
      <c r="W688" s="91" t="n"/>
      <c r="X688" s="91" t="n"/>
      <c r="Y688" s="91" t="n"/>
      <c r="Z688" s="91" t="n"/>
      <c r="AA688" s="91" t="n"/>
      <c r="AB688" s="91" t="n"/>
      <c r="AC688" s="91" t="n"/>
      <c r="AD688" s="91" t="n"/>
      <c r="AE688" s="91" t="n"/>
      <c r="AF688" s="91" t="n"/>
      <c r="AG688" s="91" t="n"/>
    </row>
    <row r="689" ht="12.75" customHeight="1" s="117">
      <c r="A689" s="91" t="n"/>
      <c r="B689" s="91" t="n"/>
      <c r="C689" s="91" t="n"/>
      <c r="D689" s="91" t="n"/>
      <c r="E689" s="91" t="n"/>
      <c r="F689" s="91" t="n"/>
      <c r="G689" s="91" t="n"/>
      <c r="H689" s="91" t="n"/>
      <c r="I689" s="91" t="n"/>
      <c r="J689" s="91" t="n"/>
      <c r="K689" s="91" t="n"/>
      <c r="L689" s="91" t="n"/>
      <c r="M689" s="91" t="n"/>
      <c r="N689" s="91" t="n"/>
      <c r="O689" s="91" t="n"/>
      <c r="P689" s="91" t="n"/>
      <c r="Q689" s="91" t="n"/>
      <c r="R689" s="91" t="n"/>
      <c r="S689" s="91" t="n"/>
      <c r="T689" s="91" t="n"/>
      <c r="U689" s="91" t="n"/>
      <c r="V689" s="91" t="n"/>
      <c r="W689" s="91" t="n"/>
      <c r="X689" s="91" t="n"/>
      <c r="Y689" s="91" t="n"/>
      <c r="Z689" s="91" t="n"/>
      <c r="AA689" s="91" t="n"/>
      <c r="AB689" s="91" t="n"/>
      <c r="AC689" s="91" t="n"/>
      <c r="AD689" s="91" t="n"/>
      <c r="AE689" s="91" t="n"/>
      <c r="AF689" s="91" t="n"/>
      <c r="AG689" s="91" t="n"/>
    </row>
    <row r="690" ht="12.75" customHeight="1" s="117">
      <c r="A690" s="91" t="n"/>
      <c r="B690" s="91" t="n"/>
      <c r="C690" s="91" t="n"/>
      <c r="D690" s="91" t="n"/>
      <c r="E690" s="91" t="n"/>
      <c r="F690" s="91" t="n"/>
      <c r="G690" s="91" t="n"/>
      <c r="H690" s="91" t="n"/>
      <c r="I690" s="91" t="n"/>
      <c r="J690" s="91" t="n"/>
      <c r="K690" s="91" t="n"/>
      <c r="L690" s="91" t="n"/>
      <c r="M690" s="91" t="n"/>
      <c r="N690" s="91" t="n"/>
      <c r="O690" s="91" t="n"/>
      <c r="P690" s="91" t="n"/>
      <c r="Q690" s="91" t="n"/>
      <c r="R690" s="91" t="n"/>
      <c r="S690" s="91" t="n"/>
      <c r="T690" s="91" t="n"/>
      <c r="U690" s="91" t="n"/>
      <c r="V690" s="91" t="n"/>
      <c r="W690" s="91" t="n"/>
      <c r="X690" s="91" t="n"/>
      <c r="Y690" s="91" t="n"/>
      <c r="Z690" s="91" t="n"/>
      <c r="AA690" s="91" t="n"/>
      <c r="AB690" s="91" t="n"/>
      <c r="AC690" s="91" t="n"/>
      <c r="AD690" s="91" t="n"/>
      <c r="AE690" s="91" t="n"/>
      <c r="AF690" s="91" t="n"/>
      <c r="AG690" s="91" t="n"/>
    </row>
    <row r="691" ht="12.75" customHeight="1" s="117">
      <c r="A691" s="91" t="n"/>
      <c r="B691" s="91" t="n"/>
      <c r="C691" s="91" t="n"/>
      <c r="D691" s="91" t="n"/>
      <c r="E691" s="91" t="n"/>
      <c r="F691" s="91" t="n"/>
      <c r="G691" s="91" t="n"/>
      <c r="H691" s="91" t="n"/>
      <c r="I691" s="91" t="n"/>
      <c r="J691" s="91" t="n"/>
      <c r="K691" s="91" t="n"/>
      <c r="L691" s="91" t="n"/>
      <c r="M691" s="91" t="n"/>
      <c r="N691" s="91" t="n"/>
      <c r="O691" s="91" t="n"/>
      <c r="P691" s="91" t="n"/>
      <c r="Q691" s="91" t="n"/>
      <c r="R691" s="91" t="n"/>
      <c r="S691" s="91" t="n"/>
      <c r="T691" s="91" t="n"/>
      <c r="U691" s="91" t="n"/>
      <c r="V691" s="91" t="n"/>
      <c r="W691" s="91" t="n"/>
      <c r="X691" s="91" t="n"/>
      <c r="Y691" s="91" t="n"/>
      <c r="Z691" s="91" t="n"/>
      <c r="AA691" s="91" t="n"/>
      <c r="AB691" s="91" t="n"/>
      <c r="AC691" s="91" t="n"/>
      <c r="AD691" s="91" t="n"/>
      <c r="AE691" s="91" t="n"/>
      <c r="AF691" s="91" t="n"/>
      <c r="AG691" s="91" t="n"/>
    </row>
    <row r="692" ht="12.75" customHeight="1" s="117">
      <c r="A692" s="91" t="n"/>
      <c r="B692" s="91" t="n"/>
      <c r="C692" s="91" t="n"/>
      <c r="D692" s="91" t="n"/>
      <c r="E692" s="91" t="n"/>
      <c r="F692" s="91" t="n"/>
      <c r="G692" s="91" t="n"/>
      <c r="H692" s="91" t="n"/>
      <c r="I692" s="91" t="n"/>
      <c r="J692" s="91" t="n"/>
      <c r="K692" s="91" t="n"/>
      <c r="L692" s="91" t="n"/>
      <c r="M692" s="91" t="n"/>
      <c r="N692" s="91" t="n"/>
      <c r="O692" s="91" t="n"/>
      <c r="P692" s="91" t="n"/>
      <c r="Q692" s="91" t="n"/>
      <c r="R692" s="91" t="n"/>
      <c r="S692" s="91" t="n"/>
      <c r="T692" s="91" t="n"/>
      <c r="U692" s="91" t="n"/>
      <c r="V692" s="91" t="n"/>
      <c r="W692" s="91" t="n"/>
      <c r="X692" s="91" t="n"/>
      <c r="Y692" s="91" t="n"/>
      <c r="Z692" s="91" t="n"/>
      <c r="AA692" s="91" t="n"/>
      <c r="AB692" s="91" t="n"/>
      <c r="AC692" s="91" t="n"/>
      <c r="AD692" s="91" t="n"/>
      <c r="AE692" s="91" t="n"/>
      <c r="AF692" s="91" t="n"/>
      <c r="AG692" s="91" t="n"/>
    </row>
    <row r="693" ht="12.75" customHeight="1" s="117">
      <c r="A693" s="91" t="n"/>
      <c r="B693" s="91" t="n"/>
      <c r="C693" s="91" t="n"/>
      <c r="D693" s="91" t="n"/>
      <c r="E693" s="91" t="n"/>
      <c r="F693" s="91" t="n"/>
      <c r="G693" s="91" t="n"/>
      <c r="H693" s="91" t="n"/>
      <c r="I693" s="91" t="n"/>
      <c r="J693" s="91" t="n"/>
      <c r="K693" s="91" t="n"/>
      <c r="L693" s="91" t="n"/>
      <c r="M693" s="91" t="n"/>
      <c r="N693" s="91" t="n"/>
      <c r="O693" s="91" t="n"/>
      <c r="P693" s="91" t="n"/>
      <c r="Q693" s="91" t="n"/>
      <c r="R693" s="91" t="n"/>
      <c r="S693" s="91" t="n"/>
      <c r="T693" s="91" t="n"/>
      <c r="U693" s="91" t="n"/>
      <c r="V693" s="91" t="n"/>
      <c r="W693" s="91" t="n"/>
      <c r="X693" s="91" t="n"/>
      <c r="Y693" s="91" t="n"/>
      <c r="Z693" s="91" t="n"/>
      <c r="AA693" s="91" t="n"/>
      <c r="AB693" s="91" t="n"/>
      <c r="AC693" s="91" t="n"/>
      <c r="AD693" s="91" t="n"/>
      <c r="AE693" s="91" t="n"/>
      <c r="AF693" s="91" t="n"/>
      <c r="AG693" s="91" t="n"/>
    </row>
    <row r="694" ht="12.75" customHeight="1" s="117">
      <c r="A694" s="91" t="n"/>
      <c r="B694" s="91" t="n"/>
      <c r="C694" s="91" t="n"/>
      <c r="D694" s="91" t="n"/>
      <c r="E694" s="91" t="n"/>
      <c r="F694" s="91" t="n"/>
      <c r="G694" s="91" t="n"/>
      <c r="H694" s="91" t="n"/>
      <c r="I694" s="91" t="n"/>
      <c r="J694" s="91" t="n"/>
      <c r="K694" s="91" t="n"/>
      <c r="L694" s="91" t="n"/>
      <c r="M694" s="91" t="n"/>
      <c r="N694" s="91" t="n"/>
      <c r="O694" s="91" t="n"/>
      <c r="P694" s="91" t="n"/>
      <c r="Q694" s="91" t="n"/>
      <c r="R694" s="91" t="n"/>
      <c r="S694" s="91" t="n"/>
      <c r="T694" s="91" t="n"/>
      <c r="U694" s="91" t="n"/>
      <c r="V694" s="91" t="n"/>
      <c r="W694" s="91" t="n"/>
      <c r="X694" s="91" t="n"/>
      <c r="Y694" s="91" t="n"/>
      <c r="Z694" s="91" t="n"/>
      <c r="AA694" s="91" t="n"/>
      <c r="AB694" s="91" t="n"/>
      <c r="AC694" s="91" t="n"/>
      <c r="AD694" s="91" t="n"/>
      <c r="AE694" s="91" t="n"/>
      <c r="AF694" s="91" t="n"/>
      <c r="AG694" s="91" t="n"/>
    </row>
    <row r="695" ht="12.75" customHeight="1" s="117">
      <c r="A695" s="91" t="n"/>
      <c r="B695" s="91" t="n"/>
      <c r="C695" s="91" t="n"/>
      <c r="D695" s="91" t="n"/>
      <c r="E695" s="91" t="n"/>
      <c r="F695" s="91" t="n"/>
      <c r="G695" s="91" t="n"/>
      <c r="H695" s="91" t="n"/>
      <c r="I695" s="91" t="n"/>
      <c r="J695" s="91" t="n"/>
      <c r="K695" s="91" t="n"/>
      <c r="L695" s="91" t="n"/>
      <c r="M695" s="91" t="n"/>
      <c r="N695" s="91" t="n"/>
      <c r="O695" s="91" t="n"/>
      <c r="P695" s="91" t="n"/>
      <c r="Q695" s="91" t="n"/>
      <c r="R695" s="91" t="n"/>
      <c r="S695" s="91" t="n"/>
      <c r="T695" s="91" t="n"/>
      <c r="U695" s="91" t="n"/>
      <c r="V695" s="91" t="n"/>
      <c r="W695" s="91" t="n"/>
      <c r="X695" s="91" t="n"/>
      <c r="Y695" s="91" t="n"/>
      <c r="Z695" s="91" t="n"/>
      <c r="AA695" s="91" t="n"/>
      <c r="AB695" s="91" t="n"/>
      <c r="AC695" s="91" t="n"/>
      <c r="AD695" s="91" t="n"/>
      <c r="AE695" s="91" t="n"/>
      <c r="AF695" s="91" t="n"/>
      <c r="AG695" s="91" t="n"/>
    </row>
    <row r="696" ht="12.75" customHeight="1" s="117">
      <c r="A696" s="91" t="n"/>
      <c r="B696" s="91" t="n"/>
      <c r="C696" s="91" t="n"/>
      <c r="D696" s="91" t="n"/>
      <c r="E696" s="91" t="n"/>
      <c r="F696" s="91" t="n"/>
      <c r="G696" s="91" t="n"/>
      <c r="H696" s="91" t="n"/>
      <c r="I696" s="91" t="n"/>
      <c r="J696" s="91" t="n"/>
      <c r="K696" s="91" t="n"/>
      <c r="L696" s="91" t="n"/>
      <c r="M696" s="91" t="n"/>
      <c r="N696" s="91" t="n"/>
      <c r="O696" s="91" t="n"/>
      <c r="P696" s="91" t="n"/>
      <c r="Q696" s="91" t="n"/>
      <c r="R696" s="91" t="n"/>
      <c r="S696" s="91" t="n"/>
      <c r="T696" s="91" t="n"/>
      <c r="U696" s="91" t="n"/>
      <c r="V696" s="91" t="n"/>
      <c r="W696" s="91" t="n"/>
      <c r="X696" s="91" t="n"/>
      <c r="Y696" s="91" t="n"/>
      <c r="Z696" s="91" t="n"/>
      <c r="AA696" s="91" t="n"/>
      <c r="AB696" s="91" t="n"/>
      <c r="AC696" s="91" t="n"/>
      <c r="AD696" s="91" t="n"/>
      <c r="AE696" s="91" t="n"/>
      <c r="AF696" s="91" t="n"/>
      <c r="AG696" s="91" t="n"/>
    </row>
    <row r="697" ht="12.75" customHeight="1" s="117">
      <c r="A697" s="91" t="n"/>
      <c r="B697" s="91" t="n"/>
      <c r="C697" s="91" t="n"/>
      <c r="D697" s="91" t="n"/>
      <c r="E697" s="91" t="n"/>
      <c r="F697" s="91" t="n"/>
      <c r="G697" s="91" t="n"/>
      <c r="H697" s="91" t="n"/>
      <c r="I697" s="91" t="n"/>
      <c r="J697" s="91" t="n"/>
      <c r="K697" s="91" t="n"/>
      <c r="L697" s="91" t="n"/>
      <c r="M697" s="91" t="n"/>
      <c r="N697" s="91" t="n"/>
      <c r="O697" s="91" t="n"/>
      <c r="P697" s="91" t="n"/>
      <c r="Q697" s="91" t="n"/>
      <c r="R697" s="91" t="n"/>
      <c r="S697" s="91" t="n"/>
      <c r="T697" s="91" t="n"/>
      <c r="U697" s="91" t="n"/>
      <c r="V697" s="91" t="n"/>
      <c r="W697" s="91" t="n"/>
      <c r="X697" s="91" t="n"/>
      <c r="Y697" s="91" t="n"/>
      <c r="Z697" s="91" t="n"/>
      <c r="AA697" s="91" t="n"/>
      <c r="AB697" s="91" t="n"/>
      <c r="AC697" s="91" t="n"/>
      <c r="AD697" s="91" t="n"/>
      <c r="AE697" s="91" t="n"/>
      <c r="AF697" s="91" t="n"/>
      <c r="AG697" s="91" t="n"/>
    </row>
    <row r="698" ht="12.75" customHeight="1" s="117">
      <c r="A698" s="91" t="n"/>
      <c r="B698" s="91" t="n"/>
      <c r="C698" s="91" t="n"/>
      <c r="D698" s="91" t="n"/>
      <c r="E698" s="91" t="n"/>
      <c r="F698" s="91" t="n"/>
      <c r="G698" s="91" t="n"/>
      <c r="H698" s="91" t="n"/>
      <c r="I698" s="91" t="n"/>
      <c r="J698" s="91" t="n"/>
      <c r="K698" s="91" t="n"/>
      <c r="L698" s="91" t="n"/>
      <c r="M698" s="91" t="n"/>
      <c r="N698" s="91" t="n"/>
      <c r="O698" s="91" t="n"/>
      <c r="P698" s="91" t="n"/>
      <c r="Q698" s="91" t="n"/>
      <c r="R698" s="91" t="n"/>
      <c r="S698" s="91" t="n"/>
      <c r="T698" s="91" t="n"/>
      <c r="U698" s="91" t="n"/>
      <c r="V698" s="91" t="n"/>
      <c r="W698" s="91" t="n"/>
      <c r="X698" s="91" t="n"/>
      <c r="Y698" s="91" t="n"/>
      <c r="Z698" s="91" t="n"/>
      <c r="AA698" s="91" t="n"/>
      <c r="AB698" s="91" t="n"/>
      <c r="AC698" s="91" t="n"/>
      <c r="AD698" s="91" t="n"/>
      <c r="AE698" s="91" t="n"/>
      <c r="AF698" s="91" t="n"/>
      <c r="AG698" s="91" t="n"/>
    </row>
    <row r="699" ht="12.75" customHeight="1" s="117">
      <c r="A699" s="91" t="n"/>
      <c r="B699" s="91" t="n"/>
      <c r="C699" s="91" t="n"/>
      <c r="D699" s="91" t="n"/>
      <c r="E699" s="91" t="n"/>
      <c r="F699" s="91" t="n"/>
      <c r="G699" s="91" t="n"/>
      <c r="H699" s="91" t="n"/>
      <c r="I699" s="91" t="n"/>
      <c r="J699" s="91" t="n"/>
      <c r="K699" s="91" t="n"/>
      <c r="L699" s="91" t="n"/>
      <c r="M699" s="91" t="n"/>
      <c r="N699" s="91" t="n"/>
      <c r="O699" s="91" t="n"/>
      <c r="P699" s="91" t="n"/>
      <c r="Q699" s="91" t="n"/>
      <c r="R699" s="91" t="n"/>
      <c r="S699" s="91" t="n"/>
      <c r="T699" s="91" t="n"/>
      <c r="U699" s="91" t="n"/>
      <c r="V699" s="91" t="n"/>
      <c r="W699" s="91" t="n"/>
      <c r="X699" s="91" t="n"/>
      <c r="Y699" s="91" t="n"/>
      <c r="Z699" s="91" t="n"/>
      <c r="AA699" s="91" t="n"/>
      <c r="AB699" s="91" t="n"/>
      <c r="AC699" s="91" t="n"/>
      <c r="AD699" s="91" t="n"/>
      <c r="AE699" s="91" t="n"/>
      <c r="AF699" s="91" t="n"/>
      <c r="AG699" s="91" t="n"/>
    </row>
    <row r="700" ht="12.75" customHeight="1" s="117">
      <c r="A700" s="91" t="n"/>
      <c r="B700" s="91" t="n"/>
      <c r="C700" s="91" t="n"/>
      <c r="D700" s="91" t="n"/>
      <c r="E700" s="91" t="n"/>
      <c r="F700" s="91" t="n"/>
      <c r="G700" s="91" t="n"/>
      <c r="H700" s="91" t="n"/>
      <c r="I700" s="91" t="n"/>
      <c r="J700" s="91" t="n"/>
      <c r="K700" s="91" t="n"/>
      <c r="L700" s="91" t="n"/>
      <c r="M700" s="91" t="n"/>
      <c r="N700" s="91" t="n"/>
      <c r="O700" s="91" t="n"/>
      <c r="P700" s="91" t="n"/>
      <c r="Q700" s="91" t="n"/>
      <c r="R700" s="91" t="n"/>
      <c r="S700" s="91" t="n"/>
      <c r="T700" s="91" t="n"/>
      <c r="U700" s="91" t="n"/>
      <c r="V700" s="91" t="n"/>
      <c r="W700" s="91" t="n"/>
      <c r="X700" s="91" t="n"/>
      <c r="Y700" s="91" t="n"/>
      <c r="Z700" s="91" t="n"/>
      <c r="AA700" s="91" t="n"/>
      <c r="AB700" s="91" t="n"/>
      <c r="AC700" s="91" t="n"/>
      <c r="AD700" s="91" t="n"/>
      <c r="AE700" s="91" t="n"/>
      <c r="AF700" s="91" t="n"/>
      <c r="AG700" s="91" t="n"/>
    </row>
    <row r="701" ht="12.75" customHeight="1" s="117">
      <c r="A701" s="91" t="n"/>
      <c r="B701" s="91" t="n"/>
      <c r="C701" s="91" t="n"/>
      <c r="D701" s="91" t="n"/>
      <c r="E701" s="91" t="n"/>
      <c r="F701" s="91" t="n"/>
      <c r="G701" s="91" t="n"/>
      <c r="H701" s="91" t="n"/>
      <c r="I701" s="91" t="n"/>
      <c r="J701" s="91" t="n"/>
      <c r="K701" s="91" t="n"/>
      <c r="L701" s="91" t="n"/>
      <c r="M701" s="91" t="n"/>
      <c r="N701" s="91" t="n"/>
      <c r="O701" s="91" t="n"/>
      <c r="P701" s="91" t="n"/>
      <c r="Q701" s="91" t="n"/>
      <c r="R701" s="91" t="n"/>
      <c r="S701" s="91" t="n"/>
      <c r="T701" s="91" t="n"/>
      <c r="U701" s="91" t="n"/>
      <c r="V701" s="91" t="n"/>
      <c r="W701" s="91" t="n"/>
      <c r="X701" s="91" t="n"/>
      <c r="Y701" s="91" t="n"/>
      <c r="Z701" s="91" t="n"/>
      <c r="AA701" s="91" t="n"/>
      <c r="AB701" s="91" t="n"/>
      <c r="AC701" s="91" t="n"/>
      <c r="AD701" s="91" t="n"/>
      <c r="AE701" s="91" t="n"/>
      <c r="AF701" s="91" t="n"/>
      <c r="AG701" s="91" t="n"/>
    </row>
    <row r="702" ht="12.75" customHeight="1" s="117">
      <c r="A702" s="91" t="n"/>
      <c r="B702" s="91" t="n"/>
      <c r="C702" s="91" t="n"/>
      <c r="D702" s="91" t="n"/>
      <c r="E702" s="91" t="n"/>
      <c r="F702" s="91" t="n"/>
      <c r="G702" s="91" t="n"/>
      <c r="H702" s="91" t="n"/>
      <c r="I702" s="91" t="n"/>
      <c r="J702" s="91" t="n"/>
      <c r="K702" s="91" t="n"/>
      <c r="L702" s="91" t="n"/>
      <c r="M702" s="91" t="n"/>
      <c r="N702" s="91" t="n"/>
      <c r="O702" s="91" t="n"/>
      <c r="P702" s="91" t="n"/>
      <c r="Q702" s="91" t="n"/>
      <c r="R702" s="91" t="n"/>
      <c r="S702" s="91" t="n"/>
      <c r="T702" s="91" t="n"/>
      <c r="U702" s="91" t="n"/>
      <c r="V702" s="91" t="n"/>
      <c r="W702" s="91" t="n"/>
      <c r="X702" s="91" t="n"/>
      <c r="Y702" s="91" t="n"/>
      <c r="Z702" s="91" t="n"/>
      <c r="AA702" s="91" t="n"/>
      <c r="AB702" s="91" t="n"/>
      <c r="AC702" s="91" t="n"/>
      <c r="AD702" s="91" t="n"/>
      <c r="AE702" s="91" t="n"/>
      <c r="AF702" s="91" t="n"/>
      <c r="AG702" s="91" t="n"/>
    </row>
    <row r="703" ht="12.75" customHeight="1" s="117">
      <c r="A703" s="91" t="n"/>
      <c r="B703" s="91" t="n"/>
      <c r="C703" s="91" t="n"/>
      <c r="D703" s="91" t="n"/>
      <c r="E703" s="91" t="n"/>
      <c r="F703" s="91" t="n"/>
      <c r="G703" s="91" t="n"/>
      <c r="H703" s="91" t="n"/>
      <c r="I703" s="91" t="n"/>
      <c r="J703" s="91" t="n"/>
      <c r="K703" s="91" t="n"/>
      <c r="L703" s="91" t="n"/>
      <c r="M703" s="91" t="n"/>
      <c r="N703" s="91" t="n"/>
      <c r="O703" s="91" t="n"/>
      <c r="P703" s="91" t="n"/>
      <c r="Q703" s="91" t="n"/>
      <c r="R703" s="91" t="n"/>
      <c r="S703" s="91" t="n"/>
      <c r="T703" s="91" t="n"/>
      <c r="U703" s="91" t="n"/>
      <c r="V703" s="91" t="n"/>
      <c r="W703" s="91" t="n"/>
      <c r="X703" s="91" t="n"/>
      <c r="Y703" s="91" t="n"/>
      <c r="Z703" s="91" t="n"/>
      <c r="AA703" s="91" t="n"/>
      <c r="AB703" s="91" t="n"/>
      <c r="AC703" s="91" t="n"/>
      <c r="AD703" s="91" t="n"/>
      <c r="AE703" s="91" t="n"/>
      <c r="AF703" s="91" t="n"/>
      <c r="AG703" s="91" t="n"/>
    </row>
    <row r="704" ht="12.75" customHeight="1" s="117">
      <c r="A704" s="91" t="n"/>
      <c r="B704" s="91" t="n"/>
      <c r="C704" s="91" t="n"/>
      <c r="D704" s="91" t="n"/>
      <c r="E704" s="91" t="n"/>
      <c r="F704" s="91" t="n"/>
      <c r="G704" s="91" t="n"/>
      <c r="H704" s="91" t="n"/>
      <c r="I704" s="91" t="n"/>
      <c r="J704" s="91" t="n"/>
      <c r="K704" s="91" t="n"/>
      <c r="L704" s="91" t="n"/>
      <c r="M704" s="91" t="n"/>
      <c r="N704" s="91" t="n"/>
      <c r="O704" s="91" t="n"/>
      <c r="P704" s="91" t="n"/>
      <c r="Q704" s="91" t="n"/>
      <c r="R704" s="91" t="n"/>
      <c r="S704" s="91" t="n"/>
      <c r="T704" s="91" t="n"/>
      <c r="U704" s="91" t="n"/>
      <c r="V704" s="91" t="n"/>
      <c r="W704" s="91" t="n"/>
      <c r="X704" s="91" t="n"/>
      <c r="Y704" s="91" t="n"/>
      <c r="Z704" s="91" t="n"/>
      <c r="AA704" s="91" t="n"/>
      <c r="AB704" s="91" t="n"/>
      <c r="AC704" s="91" t="n"/>
      <c r="AD704" s="91" t="n"/>
      <c r="AE704" s="91" t="n"/>
      <c r="AF704" s="91" t="n"/>
      <c r="AG704" s="91" t="n"/>
    </row>
    <row r="705" ht="12.75" customHeight="1" s="117">
      <c r="A705" s="91" t="n"/>
      <c r="B705" s="91" t="n"/>
      <c r="C705" s="91" t="n"/>
      <c r="D705" s="91" t="n"/>
      <c r="E705" s="91" t="n"/>
      <c r="F705" s="91" t="n"/>
      <c r="G705" s="91" t="n"/>
      <c r="H705" s="91" t="n"/>
      <c r="I705" s="91" t="n"/>
      <c r="J705" s="91" t="n"/>
      <c r="K705" s="91" t="n"/>
      <c r="L705" s="91" t="n"/>
      <c r="M705" s="91" t="n"/>
      <c r="N705" s="91" t="n"/>
      <c r="O705" s="91" t="n"/>
      <c r="P705" s="91" t="n"/>
      <c r="Q705" s="91" t="n"/>
      <c r="R705" s="91" t="n"/>
      <c r="S705" s="91" t="n"/>
      <c r="T705" s="91" t="n"/>
      <c r="U705" s="91" t="n"/>
      <c r="V705" s="91" t="n"/>
      <c r="W705" s="91" t="n"/>
      <c r="X705" s="91" t="n"/>
      <c r="Y705" s="91" t="n"/>
      <c r="Z705" s="91" t="n"/>
      <c r="AA705" s="91" t="n"/>
      <c r="AB705" s="91" t="n"/>
      <c r="AC705" s="91" t="n"/>
      <c r="AD705" s="91" t="n"/>
      <c r="AE705" s="91" t="n"/>
      <c r="AF705" s="91" t="n"/>
      <c r="AG705" s="91" t="n"/>
    </row>
    <row r="706" ht="12.75" customHeight="1" s="117">
      <c r="A706" s="91" t="n"/>
      <c r="B706" s="91" t="n"/>
      <c r="C706" s="91" t="n"/>
      <c r="D706" s="91" t="n"/>
      <c r="E706" s="91" t="n"/>
      <c r="F706" s="91" t="n"/>
      <c r="G706" s="91" t="n"/>
      <c r="H706" s="91" t="n"/>
      <c r="I706" s="91" t="n"/>
      <c r="J706" s="91" t="n"/>
      <c r="K706" s="91" t="n"/>
      <c r="L706" s="91" t="n"/>
      <c r="M706" s="91" t="n"/>
      <c r="N706" s="91" t="n"/>
      <c r="O706" s="91" t="n"/>
      <c r="P706" s="91" t="n"/>
      <c r="Q706" s="91" t="n"/>
      <c r="R706" s="91" t="n"/>
      <c r="S706" s="91" t="n"/>
      <c r="T706" s="91" t="n"/>
      <c r="U706" s="91" t="n"/>
      <c r="V706" s="91" t="n"/>
      <c r="W706" s="91" t="n"/>
      <c r="X706" s="91" t="n"/>
      <c r="Y706" s="91" t="n"/>
      <c r="Z706" s="91" t="n"/>
      <c r="AA706" s="91" t="n"/>
      <c r="AB706" s="91" t="n"/>
      <c r="AC706" s="91" t="n"/>
      <c r="AD706" s="91" t="n"/>
      <c r="AE706" s="91" t="n"/>
      <c r="AF706" s="91" t="n"/>
      <c r="AG706" s="91" t="n"/>
    </row>
    <row r="707" ht="12.75" customHeight="1" s="117">
      <c r="A707" s="91" t="n"/>
      <c r="B707" s="91" t="n"/>
      <c r="C707" s="91" t="n"/>
      <c r="D707" s="91" t="n"/>
      <c r="E707" s="91" t="n"/>
      <c r="F707" s="91" t="n"/>
      <c r="G707" s="91" t="n"/>
      <c r="H707" s="91" t="n"/>
      <c r="I707" s="91" t="n"/>
      <c r="J707" s="91" t="n"/>
      <c r="K707" s="91" t="n"/>
      <c r="L707" s="91" t="n"/>
      <c r="M707" s="91" t="n"/>
      <c r="N707" s="91" t="n"/>
      <c r="O707" s="91" t="n"/>
      <c r="P707" s="91" t="n"/>
      <c r="Q707" s="91" t="n"/>
      <c r="R707" s="91" t="n"/>
      <c r="S707" s="91" t="n"/>
      <c r="T707" s="91" t="n"/>
      <c r="U707" s="91" t="n"/>
      <c r="V707" s="91" t="n"/>
      <c r="W707" s="91" t="n"/>
      <c r="X707" s="91" t="n"/>
      <c r="Y707" s="91" t="n"/>
      <c r="Z707" s="91" t="n"/>
      <c r="AA707" s="91" t="n"/>
      <c r="AB707" s="91" t="n"/>
      <c r="AC707" s="91" t="n"/>
      <c r="AD707" s="91" t="n"/>
      <c r="AE707" s="91" t="n"/>
      <c r="AF707" s="91" t="n"/>
      <c r="AG707" s="91" t="n"/>
    </row>
    <row r="708" ht="12.75" customHeight="1" s="117">
      <c r="A708" s="91" t="n"/>
      <c r="B708" s="91" t="n"/>
      <c r="C708" s="91" t="n"/>
      <c r="D708" s="91" t="n"/>
      <c r="E708" s="91" t="n"/>
      <c r="F708" s="91" t="n"/>
      <c r="G708" s="91" t="n"/>
      <c r="H708" s="91" t="n"/>
      <c r="I708" s="91" t="n"/>
      <c r="J708" s="91" t="n"/>
      <c r="K708" s="91" t="n"/>
      <c r="L708" s="91" t="n"/>
      <c r="M708" s="91" t="n"/>
      <c r="N708" s="91" t="n"/>
      <c r="O708" s="91" t="n"/>
      <c r="P708" s="91" t="n"/>
      <c r="Q708" s="91" t="n"/>
      <c r="R708" s="91" t="n"/>
      <c r="S708" s="91" t="n"/>
      <c r="T708" s="91" t="n"/>
      <c r="U708" s="91" t="n"/>
      <c r="V708" s="91" t="n"/>
      <c r="W708" s="91" t="n"/>
      <c r="X708" s="91" t="n"/>
      <c r="Y708" s="91" t="n"/>
      <c r="Z708" s="91" t="n"/>
      <c r="AA708" s="91" t="n"/>
      <c r="AB708" s="91" t="n"/>
      <c r="AC708" s="91" t="n"/>
      <c r="AD708" s="91" t="n"/>
      <c r="AE708" s="91" t="n"/>
      <c r="AF708" s="91" t="n"/>
      <c r="AG708" s="91" t="n"/>
    </row>
    <row r="709" ht="12.75" customHeight="1" s="117">
      <c r="A709" s="91" t="n"/>
      <c r="B709" s="91" t="n"/>
      <c r="C709" s="91" t="n"/>
      <c r="D709" s="91" t="n"/>
      <c r="E709" s="91" t="n"/>
      <c r="F709" s="91" t="n"/>
      <c r="G709" s="91" t="n"/>
      <c r="H709" s="91" t="n"/>
      <c r="I709" s="91" t="n"/>
      <c r="J709" s="91" t="n"/>
      <c r="K709" s="91" t="n"/>
      <c r="L709" s="91" t="n"/>
      <c r="M709" s="91" t="n"/>
      <c r="N709" s="91" t="n"/>
      <c r="O709" s="91" t="n"/>
      <c r="P709" s="91" t="n"/>
      <c r="Q709" s="91" t="n"/>
      <c r="R709" s="91" t="n"/>
      <c r="S709" s="91" t="n"/>
      <c r="T709" s="91" t="n"/>
      <c r="U709" s="91" t="n"/>
      <c r="V709" s="91" t="n"/>
      <c r="W709" s="91" t="n"/>
      <c r="X709" s="91" t="n"/>
      <c r="Y709" s="91" t="n"/>
      <c r="Z709" s="91" t="n"/>
      <c r="AA709" s="91" t="n"/>
      <c r="AB709" s="91" t="n"/>
      <c r="AC709" s="91" t="n"/>
      <c r="AD709" s="91" t="n"/>
      <c r="AE709" s="91" t="n"/>
      <c r="AF709" s="91" t="n"/>
      <c r="AG709" s="91" t="n"/>
    </row>
    <row r="710" ht="12.75" customHeight="1" s="117">
      <c r="A710" s="91" t="n"/>
      <c r="B710" s="91" t="n"/>
      <c r="C710" s="91" t="n"/>
      <c r="D710" s="91" t="n"/>
      <c r="E710" s="91" t="n"/>
      <c r="F710" s="91" t="n"/>
      <c r="G710" s="91" t="n"/>
      <c r="H710" s="91" t="n"/>
      <c r="I710" s="91" t="n"/>
      <c r="J710" s="91" t="n"/>
      <c r="K710" s="91" t="n"/>
      <c r="L710" s="91" t="n"/>
      <c r="M710" s="91" t="n"/>
      <c r="N710" s="91" t="n"/>
      <c r="O710" s="91" t="n"/>
      <c r="P710" s="91" t="n"/>
      <c r="Q710" s="91" t="n"/>
      <c r="R710" s="91" t="n"/>
      <c r="S710" s="91" t="n"/>
      <c r="T710" s="91" t="n"/>
      <c r="U710" s="91" t="n"/>
      <c r="V710" s="91" t="n"/>
      <c r="W710" s="91" t="n"/>
      <c r="X710" s="91" t="n"/>
      <c r="Y710" s="91" t="n"/>
      <c r="Z710" s="91" t="n"/>
      <c r="AA710" s="91" t="n"/>
      <c r="AB710" s="91" t="n"/>
      <c r="AC710" s="91" t="n"/>
      <c r="AD710" s="91" t="n"/>
      <c r="AE710" s="91" t="n"/>
      <c r="AF710" s="91" t="n"/>
      <c r="AG710" s="91" t="n"/>
    </row>
    <row r="711" ht="12.75" customHeight="1" s="117">
      <c r="A711" s="91" t="n"/>
      <c r="B711" s="91" t="n"/>
      <c r="C711" s="91" t="n"/>
      <c r="D711" s="91" t="n"/>
      <c r="E711" s="91" t="n"/>
      <c r="F711" s="91" t="n"/>
      <c r="G711" s="91" t="n"/>
      <c r="H711" s="91" t="n"/>
      <c r="I711" s="91" t="n"/>
      <c r="J711" s="91" t="n"/>
      <c r="K711" s="91" t="n"/>
      <c r="L711" s="91" t="n"/>
      <c r="M711" s="91" t="n"/>
      <c r="N711" s="91" t="n"/>
      <c r="O711" s="91" t="n"/>
      <c r="P711" s="91" t="n"/>
      <c r="Q711" s="91" t="n"/>
      <c r="R711" s="91" t="n"/>
      <c r="S711" s="91" t="n"/>
      <c r="T711" s="91" t="n"/>
      <c r="U711" s="91" t="n"/>
      <c r="V711" s="91" t="n"/>
      <c r="W711" s="91" t="n"/>
      <c r="X711" s="91" t="n"/>
      <c r="Y711" s="91" t="n"/>
      <c r="Z711" s="91" t="n"/>
      <c r="AA711" s="91" t="n"/>
      <c r="AB711" s="91" t="n"/>
      <c r="AC711" s="91" t="n"/>
      <c r="AD711" s="91" t="n"/>
      <c r="AE711" s="91" t="n"/>
      <c r="AF711" s="91" t="n"/>
      <c r="AG711" s="91" t="n"/>
    </row>
    <row r="712" ht="12.75" customHeight="1" s="117">
      <c r="A712" s="91" t="n"/>
      <c r="B712" s="91" t="n"/>
      <c r="C712" s="91" t="n"/>
      <c r="D712" s="91" t="n"/>
      <c r="E712" s="91" t="n"/>
      <c r="F712" s="91" t="n"/>
      <c r="G712" s="91" t="n"/>
      <c r="H712" s="91" t="n"/>
      <c r="I712" s="91" t="n"/>
      <c r="J712" s="91" t="n"/>
      <c r="K712" s="91" t="n"/>
      <c r="L712" s="91" t="n"/>
      <c r="M712" s="91" t="n"/>
      <c r="N712" s="91" t="n"/>
      <c r="O712" s="91" t="n"/>
      <c r="P712" s="91" t="n"/>
      <c r="Q712" s="91" t="n"/>
      <c r="R712" s="91" t="n"/>
      <c r="S712" s="91" t="n"/>
      <c r="T712" s="91" t="n"/>
      <c r="U712" s="91" t="n"/>
      <c r="V712" s="91" t="n"/>
      <c r="W712" s="91" t="n"/>
      <c r="X712" s="91" t="n"/>
      <c r="Y712" s="91" t="n"/>
      <c r="Z712" s="91" t="n"/>
      <c r="AA712" s="91" t="n"/>
      <c r="AB712" s="91" t="n"/>
      <c r="AC712" s="91" t="n"/>
      <c r="AD712" s="91" t="n"/>
      <c r="AE712" s="91" t="n"/>
      <c r="AF712" s="91" t="n"/>
      <c r="AG712" s="91" t="n"/>
    </row>
    <row r="713" ht="12.75" customHeight="1" s="117">
      <c r="A713" s="91" t="n"/>
      <c r="B713" s="91" t="n"/>
      <c r="C713" s="91" t="n"/>
      <c r="D713" s="91" t="n"/>
      <c r="E713" s="91" t="n"/>
      <c r="F713" s="91" t="n"/>
      <c r="G713" s="91" t="n"/>
      <c r="H713" s="91" t="n"/>
      <c r="I713" s="91" t="n"/>
      <c r="J713" s="91" t="n"/>
      <c r="K713" s="91" t="n"/>
      <c r="L713" s="91" t="n"/>
      <c r="M713" s="91" t="n"/>
      <c r="N713" s="91" t="n"/>
      <c r="O713" s="91" t="n"/>
      <c r="P713" s="91" t="n"/>
      <c r="Q713" s="91" t="n"/>
      <c r="R713" s="91" t="n"/>
      <c r="S713" s="91" t="n"/>
      <c r="T713" s="91" t="n"/>
      <c r="U713" s="91" t="n"/>
      <c r="V713" s="91" t="n"/>
      <c r="W713" s="91" t="n"/>
      <c r="X713" s="91" t="n"/>
      <c r="Y713" s="91" t="n"/>
      <c r="Z713" s="91" t="n"/>
      <c r="AA713" s="91" t="n"/>
      <c r="AB713" s="91" t="n"/>
      <c r="AC713" s="91" t="n"/>
      <c r="AD713" s="91" t="n"/>
      <c r="AE713" s="91" t="n"/>
      <c r="AF713" s="91" t="n"/>
      <c r="AG713" s="91" t="n"/>
    </row>
    <row r="714" ht="12.75" customHeight="1" s="117">
      <c r="A714" s="91" t="n"/>
      <c r="B714" s="91" t="n"/>
      <c r="C714" s="91" t="n"/>
      <c r="D714" s="91" t="n"/>
      <c r="E714" s="91" t="n"/>
      <c r="F714" s="91" t="n"/>
      <c r="G714" s="91" t="n"/>
      <c r="H714" s="91" t="n"/>
      <c r="I714" s="91" t="n"/>
      <c r="J714" s="91" t="n"/>
      <c r="K714" s="91" t="n"/>
      <c r="L714" s="91" t="n"/>
      <c r="M714" s="91" t="n"/>
      <c r="N714" s="91" t="n"/>
      <c r="O714" s="91" t="n"/>
      <c r="P714" s="91" t="n"/>
      <c r="Q714" s="91" t="n"/>
      <c r="R714" s="91" t="n"/>
      <c r="S714" s="91" t="n"/>
      <c r="T714" s="91" t="n"/>
      <c r="U714" s="91" t="n"/>
      <c r="V714" s="91" t="n"/>
      <c r="W714" s="91" t="n"/>
      <c r="X714" s="91" t="n"/>
      <c r="Y714" s="91" t="n"/>
      <c r="Z714" s="91" t="n"/>
      <c r="AA714" s="91" t="n"/>
      <c r="AB714" s="91" t="n"/>
      <c r="AC714" s="91" t="n"/>
      <c r="AD714" s="91" t="n"/>
      <c r="AE714" s="91" t="n"/>
      <c r="AF714" s="91" t="n"/>
      <c r="AG714" s="91" t="n"/>
    </row>
    <row r="715" ht="12.75" customHeight="1" s="117">
      <c r="A715" s="91" t="n"/>
      <c r="B715" s="91" t="n"/>
      <c r="C715" s="91" t="n"/>
      <c r="D715" s="91" t="n"/>
      <c r="E715" s="91" t="n"/>
      <c r="F715" s="91" t="n"/>
      <c r="G715" s="91" t="n"/>
      <c r="H715" s="91" t="n"/>
      <c r="I715" s="91" t="n"/>
      <c r="J715" s="91" t="n"/>
      <c r="K715" s="91" t="n"/>
      <c r="L715" s="91" t="n"/>
      <c r="M715" s="91" t="n"/>
      <c r="N715" s="91" t="n"/>
      <c r="O715" s="91" t="n"/>
      <c r="P715" s="91" t="n"/>
      <c r="Q715" s="91" t="n"/>
      <c r="R715" s="91" t="n"/>
      <c r="S715" s="91" t="n"/>
      <c r="T715" s="91" t="n"/>
      <c r="U715" s="91" t="n"/>
      <c r="V715" s="91" t="n"/>
      <c r="W715" s="91" t="n"/>
      <c r="X715" s="91" t="n"/>
      <c r="Y715" s="91" t="n"/>
      <c r="Z715" s="91" t="n"/>
      <c r="AA715" s="91" t="n"/>
      <c r="AB715" s="91" t="n"/>
      <c r="AC715" s="91" t="n"/>
      <c r="AD715" s="91" t="n"/>
      <c r="AE715" s="91" t="n"/>
      <c r="AF715" s="91" t="n"/>
      <c r="AG715" s="91" t="n"/>
    </row>
    <row r="716" ht="12.75" customHeight="1" s="117">
      <c r="A716" s="91" t="n"/>
      <c r="B716" s="91" t="n"/>
      <c r="C716" s="91" t="n"/>
      <c r="D716" s="91" t="n"/>
      <c r="E716" s="91" t="n"/>
      <c r="F716" s="91" t="n"/>
      <c r="G716" s="91" t="n"/>
      <c r="H716" s="91" t="n"/>
      <c r="I716" s="91" t="n"/>
      <c r="J716" s="91" t="n"/>
      <c r="K716" s="91" t="n"/>
      <c r="L716" s="91" t="n"/>
      <c r="M716" s="91" t="n"/>
      <c r="N716" s="91" t="n"/>
      <c r="O716" s="91" t="n"/>
      <c r="P716" s="91" t="n"/>
      <c r="Q716" s="91" t="n"/>
      <c r="R716" s="91" t="n"/>
      <c r="S716" s="91" t="n"/>
      <c r="T716" s="91" t="n"/>
      <c r="U716" s="91" t="n"/>
      <c r="V716" s="91" t="n"/>
      <c r="W716" s="91" t="n"/>
      <c r="X716" s="91" t="n"/>
      <c r="Y716" s="91" t="n"/>
      <c r="Z716" s="91" t="n"/>
      <c r="AA716" s="91" t="n"/>
      <c r="AB716" s="91" t="n"/>
      <c r="AC716" s="91" t="n"/>
      <c r="AD716" s="91" t="n"/>
      <c r="AE716" s="91" t="n"/>
      <c r="AF716" s="91" t="n"/>
      <c r="AG716" s="91" t="n"/>
    </row>
    <row r="717" ht="12.75" customHeight="1" s="117">
      <c r="A717" s="91" t="n"/>
      <c r="B717" s="91" t="n"/>
      <c r="C717" s="91" t="n"/>
      <c r="D717" s="91" t="n"/>
      <c r="E717" s="91" t="n"/>
      <c r="F717" s="91" t="n"/>
      <c r="G717" s="91" t="n"/>
      <c r="H717" s="91" t="n"/>
      <c r="I717" s="91" t="n"/>
      <c r="J717" s="91" t="n"/>
      <c r="K717" s="91" t="n"/>
      <c r="L717" s="91" t="n"/>
      <c r="M717" s="91" t="n"/>
      <c r="N717" s="91" t="n"/>
      <c r="O717" s="91" t="n"/>
      <c r="P717" s="91" t="n"/>
      <c r="Q717" s="91" t="n"/>
      <c r="R717" s="91" t="n"/>
      <c r="S717" s="91" t="n"/>
      <c r="T717" s="91" t="n"/>
      <c r="U717" s="91" t="n"/>
      <c r="V717" s="91" t="n"/>
      <c r="W717" s="91" t="n"/>
      <c r="X717" s="91" t="n"/>
      <c r="Y717" s="91" t="n"/>
      <c r="Z717" s="91" t="n"/>
      <c r="AA717" s="91" t="n"/>
      <c r="AB717" s="91" t="n"/>
      <c r="AC717" s="91" t="n"/>
      <c r="AD717" s="91" t="n"/>
      <c r="AE717" s="91" t="n"/>
      <c r="AF717" s="91" t="n"/>
      <c r="AG717" s="91" t="n"/>
    </row>
    <row r="718" ht="12.75" customHeight="1" s="117">
      <c r="A718" s="91" t="n"/>
      <c r="B718" s="91" t="n"/>
      <c r="C718" s="91" t="n"/>
      <c r="D718" s="91" t="n"/>
      <c r="E718" s="91" t="n"/>
      <c r="F718" s="91" t="n"/>
      <c r="G718" s="91" t="n"/>
      <c r="H718" s="91" t="n"/>
      <c r="I718" s="91" t="n"/>
      <c r="J718" s="91" t="n"/>
      <c r="K718" s="91" t="n"/>
      <c r="L718" s="91" t="n"/>
      <c r="M718" s="91" t="n"/>
      <c r="N718" s="91" t="n"/>
      <c r="O718" s="91" t="n"/>
      <c r="P718" s="91" t="n"/>
      <c r="Q718" s="91" t="n"/>
      <c r="R718" s="91" t="n"/>
      <c r="S718" s="91" t="n"/>
      <c r="T718" s="91" t="n"/>
      <c r="U718" s="91" t="n"/>
      <c r="V718" s="91" t="n"/>
      <c r="W718" s="91" t="n"/>
      <c r="X718" s="91" t="n"/>
      <c r="Y718" s="91" t="n"/>
      <c r="Z718" s="91" t="n"/>
      <c r="AA718" s="91" t="n"/>
      <c r="AB718" s="91" t="n"/>
      <c r="AC718" s="91" t="n"/>
      <c r="AD718" s="91" t="n"/>
      <c r="AE718" s="91" t="n"/>
      <c r="AF718" s="91" t="n"/>
      <c r="AG718" s="91" t="n"/>
    </row>
    <row r="719" ht="12.75" customHeight="1" s="117">
      <c r="A719" s="91" t="n"/>
      <c r="B719" s="91" t="n"/>
      <c r="C719" s="91" t="n"/>
      <c r="D719" s="91" t="n"/>
      <c r="E719" s="91" t="n"/>
      <c r="F719" s="91" t="n"/>
      <c r="G719" s="91" t="n"/>
      <c r="H719" s="91" t="n"/>
      <c r="I719" s="91" t="n"/>
      <c r="J719" s="91" t="n"/>
      <c r="K719" s="91" t="n"/>
      <c r="L719" s="91" t="n"/>
      <c r="M719" s="91" t="n"/>
      <c r="N719" s="91" t="n"/>
      <c r="O719" s="91" t="n"/>
      <c r="P719" s="91" t="n"/>
      <c r="Q719" s="91" t="n"/>
      <c r="R719" s="91" t="n"/>
      <c r="S719" s="91" t="n"/>
      <c r="T719" s="91" t="n"/>
      <c r="U719" s="91" t="n"/>
      <c r="V719" s="91" t="n"/>
      <c r="W719" s="91" t="n"/>
      <c r="X719" s="91" t="n"/>
      <c r="Y719" s="91" t="n"/>
      <c r="Z719" s="91" t="n"/>
      <c r="AA719" s="91" t="n"/>
      <c r="AB719" s="91" t="n"/>
      <c r="AC719" s="91" t="n"/>
      <c r="AD719" s="91" t="n"/>
      <c r="AE719" s="91" t="n"/>
      <c r="AF719" s="91" t="n"/>
      <c r="AG719" s="91" t="n"/>
    </row>
    <row r="720" ht="12.75" customHeight="1" s="117">
      <c r="A720" s="91" t="n"/>
      <c r="B720" s="91" t="n"/>
      <c r="C720" s="91" t="n"/>
      <c r="D720" s="91" t="n"/>
      <c r="E720" s="91" t="n"/>
      <c r="F720" s="91" t="n"/>
      <c r="G720" s="91" t="n"/>
      <c r="H720" s="91" t="n"/>
      <c r="I720" s="91" t="n"/>
      <c r="J720" s="91" t="n"/>
      <c r="K720" s="91" t="n"/>
      <c r="L720" s="91" t="n"/>
      <c r="M720" s="91" t="n"/>
      <c r="N720" s="91" t="n"/>
      <c r="O720" s="91" t="n"/>
      <c r="P720" s="91" t="n"/>
      <c r="Q720" s="91" t="n"/>
      <c r="R720" s="91" t="n"/>
      <c r="S720" s="91" t="n"/>
      <c r="T720" s="91" t="n"/>
      <c r="U720" s="91" t="n"/>
      <c r="V720" s="91" t="n"/>
      <c r="W720" s="91" t="n"/>
      <c r="X720" s="91" t="n"/>
      <c r="Y720" s="91" t="n"/>
      <c r="Z720" s="91" t="n"/>
      <c r="AA720" s="91" t="n"/>
      <c r="AB720" s="91" t="n"/>
      <c r="AC720" s="91" t="n"/>
      <c r="AD720" s="91" t="n"/>
      <c r="AE720" s="91" t="n"/>
      <c r="AF720" s="91" t="n"/>
      <c r="AG720" s="91" t="n"/>
    </row>
    <row r="721" ht="12.75" customHeight="1" s="117">
      <c r="A721" s="91" t="n"/>
      <c r="B721" s="91" t="n"/>
      <c r="C721" s="91" t="n"/>
      <c r="D721" s="91" t="n"/>
      <c r="E721" s="91" t="n"/>
      <c r="F721" s="91" t="n"/>
      <c r="G721" s="91" t="n"/>
      <c r="H721" s="91" t="n"/>
      <c r="I721" s="91" t="n"/>
      <c r="J721" s="91" t="n"/>
      <c r="K721" s="91" t="n"/>
      <c r="L721" s="91" t="n"/>
      <c r="M721" s="91" t="n"/>
      <c r="N721" s="91" t="n"/>
      <c r="O721" s="91" t="n"/>
      <c r="P721" s="91" t="n"/>
      <c r="Q721" s="91" t="n"/>
      <c r="R721" s="91" t="n"/>
      <c r="S721" s="91" t="n"/>
      <c r="T721" s="91" t="n"/>
      <c r="U721" s="91" t="n"/>
      <c r="V721" s="91" t="n"/>
      <c r="W721" s="91" t="n"/>
      <c r="X721" s="91" t="n"/>
      <c r="Y721" s="91" t="n"/>
      <c r="Z721" s="91" t="n"/>
      <c r="AA721" s="91" t="n"/>
      <c r="AB721" s="91" t="n"/>
      <c r="AC721" s="91" t="n"/>
      <c r="AD721" s="91" t="n"/>
      <c r="AE721" s="91" t="n"/>
      <c r="AF721" s="91" t="n"/>
      <c r="AG721" s="91" t="n"/>
    </row>
    <row r="722" ht="12.75" customHeight="1" s="117">
      <c r="A722" s="91" t="n"/>
      <c r="B722" s="91" t="n"/>
      <c r="C722" s="91" t="n"/>
      <c r="D722" s="91" t="n"/>
      <c r="E722" s="91" t="n"/>
      <c r="F722" s="91" t="n"/>
      <c r="G722" s="91" t="n"/>
      <c r="H722" s="91" t="n"/>
      <c r="I722" s="91" t="n"/>
      <c r="J722" s="91" t="n"/>
      <c r="K722" s="91" t="n"/>
      <c r="L722" s="91" t="n"/>
      <c r="M722" s="91" t="n"/>
      <c r="N722" s="91" t="n"/>
      <c r="O722" s="91" t="n"/>
      <c r="P722" s="91" t="n"/>
      <c r="Q722" s="91" t="n"/>
      <c r="R722" s="91" t="n"/>
      <c r="S722" s="91" t="n"/>
      <c r="T722" s="91" t="n"/>
      <c r="U722" s="91" t="n"/>
      <c r="V722" s="91" t="n"/>
      <c r="W722" s="91" t="n"/>
      <c r="X722" s="91" t="n"/>
      <c r="Y722" s="91" t="n"/>
      <c r="Z722" s="91" t="n"/>
      <c r="AA722" s="91" t="n"/>
      <c r="AB722" s="91" t="n"/>
      <c r="AC722" s="91" t="n"/>
      <c r="AD722" s="91" t="n"/>
      <c r="AE722" s="91" t="n"/>
      <c r="AF722" s="91" t="n"/>
      <c r="AG722" s="91" t="n"/>
    </row>
    <row r="723" ht="12.75" customHeight="1" s="117">
      <c r="A723" s="91" t="n"/>
      <c r="B723" s="91" t="n"/>
      <c r="C723" s="91" t="n"/>
      <c r="D723" s="91" t="n"/>
      <c r="E723" s="91" t="n"/>
      <c r="F723" s="91" t="n"/>
      <c r="G723" s="91" t="n"/>
      <c r="H723" s="91" t="n"/>
      <c r="I723" s="91" t="n"/>
      <c r="J723" s="91" t="n"/>
      <c r="K723" s="91" t="n"/>
      <c r="L723" s="91" t="n"/>
      <c r="M723" s="91" t="n"/>
      <c r="N723" s="91" t="n"/>
      <c r="O723" s="91" t="n"/>
      <c r="P723" s="91" t="n"/>
      <c r="Q723" s="91" t="n"/>
      <c r="R723" s="91" t="n"/>
      <c r="S723" s="91" t="n"/>
      <c r="T723" s="91" t="n"/>
      <c r="U723" s="91" t="n"/>
      <c r="V723" s="91" t="n"/>
      <c r="W723" s="91" t="n"/>
      <c r="X723" s="91" t="n"/>
      <c r="Y723" s="91" t="n"/>
      <c r="Z723" s="91" t="n"/>
      <c r="AA723" s="91" t="n"/>
      <c r="AB723" s="91" t="n"/>
      <c r="AC723" s="91" t="n"/>
      <c r="AD723" s="91" t="n"/>
      <c r="AE723" s="91" t="n"/>
      <c r="AF723" s="91" t="n"/>
      <c r="AG723" s="91" t="n"/>
    </row>
    <row r="724" ht="12.75" customHeight="1" s="117">
      <c r="A724" s="91" t="n"/>
      <c r="B724" s="91" t="n"/>
      <c r="C724" s="91" t="n"/>
      <c r="D724" s="91" t="n"/>
      <c r="E724" s="91" t="n"/>
      <c r="F724" s="91" t="n"/>
      <c r="G724" s="91" t="n"/>
      <c r="H724" s="91" t="n"/>
      <c r="I724" s="91" t="n"/>
      <c r="J724" s="91" t="n"/>
      <c r="K724" s="91" t="n"/>
      <c r="L724" s="91" t="n"/>
      <c r="M724" s="91" t="n"/>
      <c r="N724" s="91" t="n"/>
      <c r="O724" s="91" t="n"/>
      <c r="P724" s="91" t="n"/>
      <c r="Q724" s="91" t="n"/>
      <c r="R724" s="91" t="n"/>
      <c r="S724" s="91" t="n"/>
      <c r="T724" s="91" t="n"/>
      <c r="U724" s="91" t="n"/>
      <c r="V724" s="91" t="n"/>
      <c r="W724" s="91" t="n"/>
      <c r="X724" s="91" t="n"/>
      <c r="Y724" s="91" t="n"/>
      <c r="Z724" s="91" t="n"/>
      <c r="AA724" s="91" t="n"/>
      <c r="AB724" s="91" t="n"/>
      <c r="AC724" s="91" t="n"/>
      <c r="AD724" s="91" t="n"/>
      <c r="AE724" s="91" t="n"/>
      <c r="AF724" s="91" t="n"/>
      <c r="AG724" s="91" t="n"/>
    </row>
    <row r="725" ht="12.75" customHeight="1" s="117">
      <c r="A725" s="91" t="n"/>
      <c r="B725" s="91" t="n"/>
      <c r="C725" s="91" t="n"/>
      <c r="D725" s="91" t="n"/>
      <c r="E725" s="91" t="n"/>
      <c r="F725" s="91" t="n"/>
      <c r="G725" s="91" t="n"/>
      <c r="H725" s="91" t="n"/>
      <c r="I725" s="91" t="n"/>
      <c r="J725" s="91" t="n"/>
      <c r="K725" s="91" t="n"/>
      <c r="L725" s="91" t="n"/>
      <c r="M725" s="91" t="n"/>
      <c r="N725" s="91" t="n"/>
      <c r="O725" s="91" t="n"/>
      <c r="P725" s="91" t="n"/>
      <c r="Q725" s="91" t="n"/>
      <c r="R725" s="91" t="n"/>
      <c r="S725" s="91" t="n"/>
      <c r="T725" s="91" t="n"/>
      <c r="U725" s="91" t="n"/>
      <c r="V725" s="91" t="n"/>
      <c r="W725" s="91" t="n"/>
      <c r="X725" s="91" t="n"/>
      <c r="Y725" s="91" t="n"/>
      <c r="Z725" s="91" t="n"/>
      <c r="AA725" s="91" t="n"/>
      <c r="AB725" s="91" t="n"/>
      <c r="AC725" s="91" t="n"/>
      <c r="AD725" s="91" t="n"/>
      <c r="AE725" s="91" t="n"/>
      <c r="AF725" s="91" t="n"/>
      <c r="AG725" s="91" t="n"/>
    </row>
    <row r="726" ht="12.75" customHeight="1" s="117">
      <c r="A726" s="91" t="n"/>
      <c r="B726" s="91" t="n"/>
      <c r="C726" s="91" t="n"/>
      <c r="D726" s="91" t="n"/>
      <c r="E726" s="91" t="n"/>
      <c r="F726" s="91" t="n"/>
      <c r="G726" s="91" t="n"/>
      <c r="H726" s="91" t="n"/>
      <c r="I726" s="91" t="n"/>
      <c r="J726" s="91" t="n"/>
      <c r="K726" s="91" t="n"/>
      <c r="L726" s="91" t="n"/>
      <c r="M726" s="91" t="n"/>
      <c r="N726" s="91" t="n"/>
      <c r="O726" s="91" t="n"/>
      <c r="P726" s="91" t="n"/>
      <c r="Q726" s="91" t="n"/>
      <c r="R726" s="91" t="n"/>
      <c r="S726" s="91" t="n"/>
      <c r="T726" s="91" t="n"/>
      <c r="U726" s="91" t="n"/>
      <c r="V726" s="91" t="n"/>
      <c r="W726" s="91" t="n"/>
      <c r="X726" s="91" t="n"/>
      <c r="Y726" s="91" t="n"/>
      <c r="Z726" s="91" t="n"/>
      <c r="AA726" s="91" t="n"/>
      <c r="AB726" s="91" t="n"/>
      <c r="AC726" s="91" t="n"/>
      <c r="AD726" s="91" t="n"/>
      <c r="AE726" s="91" t="n"/>
      <c r="AF726" s="91" t="n"/>
      <c r="AG726" s="91" t="n"/>
    </row>
    <row r="727" ht="12.75" customHeight="1" s="117">
      <c r="A727" s="91" t="n"/>
      <c r="B727" s="91" t="n"/>
      <c r="C727" s="91" t="n"/>
      <c r="D727" s="91" t="n"/>
      <c r="E727" s="91" t="n"/>
      <c r="F727" s="91" t="n"/>
      <c r="G727" s="91" t="n"/>
      <c r="H727" s="91" t="n"/>
      <c r="I727" s="91" t="n"/>
      <c r="J727" s="91" t="n"/>
      <c r="K727" s="91" t="n"/>
      <c r="L727" s="91" t="n"/>
      <c r="M727" s="91" t="n"/>
      <c r="N727" s="91" t="n"/>
      <c r="O727" s="91" t="n"/>
      <c r="P727" s="91" t="n"/>
      <c r="Q727" s="91" t="n"/>
      <c r="R727" s="91" t="n"/>
      <c r="S727" s="91" t="n"/>
      <c r="T727" s="91" t="n"/>
      <c r="U727" s="91" t="n"/>
      <c r="V727" s="91" t="n"/>
      <c r="W727" s="91" t="n"/>
      <c r="X727" s="91" t="n"/>
      <c r="Y727" s="91" t="n"/>
      <c r="Z727" s="91" t="n"/>
      <c r="AA727" s="91" t="n"/>
      <c r="AB727" s="91" t="n"/>
      <c r="AC727" s="91" t="n"/>
      <c r="AD727" s="91" t="n"/>
      <c r="AE727" s="91" t="n"/>
      <c r="AF727" s="91" t="n"/>
      <c r="AG727" s="91" t="n"/>
    </row>
    <row r="728" ht="12.75" customHeight="1" s="117">
      <c r="A728" s="91" t="n"/>
      <c r="B728" s="91" t="n"/>
      <c r="C728" s="91" t="n"/>
      <c r="D728" s="91" t="n"/>
      <c r="E728" s="91" t="n"/>
      <c r="F728" s="91" t="n"/>
      <c r="G728" s="91" t="n"/>
      <c r="H728" s="91" t="n"/>
      <c r="I728" s="91" t="n"/>
      <c r="J728" s="91" t="n"/>
      <c r="K728" s="91" t="n"/>
      <c r="L728" s="91" t="n"/>
      <c r="M728" s="91" t="n"/>
      <c r="N728" s="91" t="n"/>
      <c r="O728" s="91" t="n"/>
      <c r="P728" s="91" t="n"/>
      <c r="Q728" s="91" t="n"/>
      <c r="R728" s="91" t="n"/>
      <c r="S728" s="91" t="n"/>
      <c r="T728" s="91" t="n"/>
      <c r="U728" s="91" t="n"/>
      <c r="V728" s="91" t="n"/>
      <c r="W728" s="91" t="n"/>
      <c r="X728" s="91" t="n"/>
      <c r="Y728" s="91" t="n"/>
      <c r="Z728" s="91" t="n"/>
      <c r="AA728" s="91" t="n"/>
      <c r="AB728" s="91" t="n"/>
      <c r="AC728" s="91" t="n"/>
      <c r="AD728" s="91" t="n"/>
      <c r="AE728" s="91" t="n"/>
      <c r="AF728" s="91" t="n"/>
      <c r="AG728" s="91" t="n"/>
    </row>
    <row r="729" ht="12.75" customHeight="1" s="117">
      <c r="A729" s="91" t="n"/>
      <c r="B729" s="91" t="n"/>
      <c r="C729" s="91" t="n"/>
      <c r="D729" s="91" t="n"/>
      <c r="E729" s="91" t="n"/>
      <c r="F729" s="91" t="n"/>
      <c r="G729" s="91" t="n"/>
      <c r="H729" s="91" t="n"/>
      <c r="I729" s="91" t="n"/>
      <c r="J729" s="91" t="n"/>
      <c r="K729" s="91" t="n"/>
      <c r="L729" s="91" t="n"/>
      <c r="M729" s="91" t="n"/>
      <c r="N729" s="91" t="n"/>
      <c r="O729" s="91" t="n"/>
      <c r="P729" s="91" t="n"/>
      <c r="Q729" s="91" t="n"/>
      <c r="R729" s="91" t="n"/>
      <c r="S729" s="91" t="n"/>
      <c r="T729" s="91" t="n"/>
      <c r="U729" s="91" t="n"/>
      <c r="V729" s="91" t="n"/>
      <c r="W729" s="91" t="n"/>
      <c r="X729" s="91" t="n"/>
      <c r="Y729" s="91" t="n"/>
      <c r="Z729" s="91" t="n"/>
      <c r="AA729" s="91" t="n"/>
      <c r="AB729" s="91" t="n"/>
      <c r="AC729" s="91" t="n"/>
      <c r="AD729" s="91" t="n"/>
      <c r="AE729" s="91" t="n"/>
      <c r="AF729" s="91" t="n"/>
      <c r="AG729" s="91" t="n"/>
    </row>
    <row r="730" ht="12.75" customHeight="1" s="117">
      <c r="A730" s="91" t="n"/>
      <c r="B730" s="91" t="n"/>
      <c r="C730" s="91" t="n"/>
      <c r="D730" s="91" t="n"/>
      <c r="E730" s="91" t="n"/>
      <c r="F730" s="91" t="n"/>
      <c r="G730" s="91" t="n"/>
      <c r="H730" s="91" t="n"/>
      <c r="I730" s="91" t="n"/>
      <c r="J730" s="91" t="n"/>
      <c r="K730" s="91" t="n"/>
      <c r="L730" s="91" t="n"/>
      <c r="M730" s="91" t="n"/>
      <c r="N730" s="91" t="n"/>
      <c r="O730" s="91" t="n"/>
      <c r="P730" s="91" t="n"/>
      <c r="Q730" s="91" t="n"/>
      <c r="R730" s="91" t="n"/>
      <c r="S730" s="91" t="n"/>
      <c r="T730" s="91" t="n"/>
      <c r="U730" s="91" t="n"/>
      <c r="V730" s="91" t="n"/>
      <c r="W730" s="91" t="n"/>
      <c r="X730" s="91" t="n"/>
      <c r="Y730" s="91" t="n"/>
      <c r="Z730" s="91" t="n"/>
      <c r="AA730" s="91" t="n"/>
      <c r="AB730" s="91" t="n"/>
      <c r="AC730" s="91" t="n"/>
      <c r="AD730" s="91" t="n"/>
      <c r="AE730" s="91" t="n"/>
      <c r="AF730" s="91" t="n"/>
      <c r="AG730" s="91" t="n"/>
    </row>
    <row r="731" ht="12.75" customHeight="1" s="117">
      <c r="A731" s="91" t="n"/>
      <c r="B731" s="91" t="n"/>
      <c r="C731" s="91" t="n"/>
      <c r="D731" s="91" t="n"/>
      <c r="E731" s="91" t="n"/>
      <c r="F731" s="91" t="n"/>
      <c r="G731" s="91" t="n"/>
      <c r="H731" s="91" t="n"/>
      <c r="I731" s="91" t="n"/>
      <c r="J731" s="91" t="n"/>
      <c r="K731" s="91" t="n"/>
      <c r="L731" s="91" t="n"/>
      <c r="M731" s="91" t="n"/>
      <c r="N731" s="91" t="n"/>
      <c r="O731" s="91" t="n"/>
      <c r="P731" s="91" t="n"/>
      <c r="Q731" s="91" t="n"/>
      <c r="R731" s="91" t="n"/>
      <c r="S731" s="91" t="n"/>
      <c r="T731" s="91" t="n"/>
      <c r="U731" s="91" t="n"/>
      <c r="V731" s="91" t="n"/>
      <c r="W731" s="91" t="n"/>
      <c r="X731" s="91" t="n"/>
      <c r="Y731" s="91" t="n"/>
      <c r="Z731" s="91" t="n"/>
      <c r="AA731" s="91" t="n"/>
      <c r="AB731" s="91" t="n"/>
      <c r="AC731" s="91" t="n"/>
      <c r="AD731" s="91" t="n"/>
      <c r="AE731" s="91" t="n"/>
      <c r="AF731" s="91" t="n"/>
      <c r="AG731" s="91" t="n"/>
    </row>
    <row r="732" ht="12.75" customHeight="1" s="117">
      <c r="A732" s="91" t="n"/>
      <c r="B732" s="91" t="n"/>
      <c r="C732" s="91" t="n"/>
      <c r="D732" s="91" t="n"/>
      <c r="E732" s="91" t="n"/>
      <c r="F732" s="91" t="n"/>
      <c r="G732" s="91" t="n"/>
      <c r="H732" s="91" t="n"/>
      <c r="I732" s="91" t="n"/>
      <c r="J732" s="91" t="n"/>
      <c r="K732" s="91" t="n"/>
      <c r="L732" s="91" t="n"/>
      <c r="M732" s="91" t="n"/>
      <c r="N732" s="91" t="n"/>
      <c r="O732" s="91" t="n"/>
      <c r="P732" s="91" t="n"/>
      <c r="Q732" s="91" t="n"/>
      <c r="R732" s="91" t="n"/>
      <c r="S732" s="91" t="n"/>
      <c r="T732" s="91" t="n"/>
      <c r="U732" s="91" t="n"/>
      <c r="V732" s="91" t="n"/>
      <c r="W732" s="91" t="n"/>
      <c r="X732" s="91" t="n"/>
      <c r="Y732" s="91" t="n"/>
      <c r="Z732" s="91" t="n"/>
      <c r="AA732" s="91" t="n"/>
      <c r="AB732" s="91" t="n"/>
      <c r="AC732" s="91" t="n"/>
      <c r="AD732" s="91" t="n"/>
      <c r="AE732" s="91" t="n"/>
      <c r="AF732" s="91" t="n"/>
      <c r="AG732" s="91" t="n"/>
    </row>
    <row r="733" ht="12.75" customHeight="1" s="117">
      <c r="A733" s="91" t="n"/>
      <c r="B733" s="91" t="n"/>
      <c r="C733" s="91" t="n"/>
      <c r="D733" s="91" t="n"/>
      <c r="E733" s="91" t="n"/>
      <c r="F733" s="91" t="n"/>
      <c r="G733" s="91" t="n"/>
      <c r="H733" s="91" t="n"/>
      <c r="I733" s="91" t="n"/>
      <c r="J733" s="91" t="n"/>
      <c r="K733" s="91" t="n"/>
      <c r="L733" s="91" t="n"/>
      <c r="M733" s="91" t="n"/>
      <c r="N733" s="91" t="n"/>
      <c r="O733" s="91" t="n"/>
      <c r="P733" s="91" t="n"/>
      <c r="Q733" s="91" t="n"/>
      <c r="R733" s="91" t="n"/>
      <c r="S733" s="91" t="n"/>
      <c r="T733" s="91" t="n"/>
      <c r="U733" s="91" t="n"/>
      <c r="V733" s="91" t="n"/>
      <c r="W733" s="91" t="n"/>
      <c r="X733" s="91" t="n"/>
      <c r="Y733" s="91" t="n"/>
      <c r="Z733" s="91" t="n"/>
      <c r="AA733" s="91" t="n"/>
      <c r="AB733" s="91" t="n"/>
      <c r="AC733" s="91" t="n"/>
      <c r="AD733" s="91" t="n"/>
      <c r="AE733" s="91" t="n"/>
      <c r="AF733" s="91" t="n"/>
      <c r="AG733" s="91" t="n"/>
    </row>
    <row r="734" ht="12.75" customHeight="1" s="117">
      <c r="A734" s="91" t="n"/>
      <c r="B734" s="91" t="n"/>
      <c r="C734" s="91" t="n"/>
      <c r="D734" s="91" t="n"/>
      <c r="E734" s="91" t="n"/>
      <c r="F734" s="91" t="n"/>
      <c r="G734" s="91" t="n"/>
      <c r="H734" s="91" t="n"/>
      <c r="I734" s="91" t="n"/>
      <c r="J734" s="91" t="n"/>
      <c r="K734" s="91" t="n"/>
      <c r="L734" s="91" t="n"/>
      <c r="M734" s="91" t="n"/>
      <c r="N734" s="91" t="n"/>
      <c r="O734" s="91" t="n"/>
      <c r="P734" s="91" t="n"/>
      <c r="Q734" s="91" t="n"/>
      <c r="R734" s="91" t="n"/>
      <c r="S734" s="91" t="n"/>
      <c r="T734" s="91" t="n"/>
      <c r="U734" s="91" t="n"/>
      <c r="V734" s="91" t="n"/>
      <c r="W734" s="91" t="n"/>
      <c r="X734" s="91" t="n"/>
      <c r="Y734" s="91" t="n"/>
      <c r="Z734" s="91" t="n"/>
      <c r="AA734" s="91" t="n"/>
      <c r="AB734" s="91" t="n"/>
      <c r="AC734" s="91" t="n"/>
      <c r="AD734" s="91" t="n"/>
      <c r="AE734" s="91" t="n"/>
      <c r="AF734" s="91" t="n"/>
      <c r="AG734" s="91" t="n"/>
    </row>
    <row r="735" ht="12.75" customHeight="1" s="117">
      <c r="A735" s="91" t="n"/>
      <c r="B735" s="91" t="n"/>
      <c r="C735" s="91" t="n"/>
      <c r="D735" s="91" t="n"/>
      <c r="E735" s="91" t="n"/>
      <c r="F735" s="91" t="n"/>
      <c r="G735" s="91" t="n"/>
      <c r="H735" s="91" t="n"/>
      <c r="I735" s="91" t="n"/>
      <c r="J735" s="91" t="n"/>
      <c r="K735" s="91" t="n"/>
      <c r="L735" s="91" t="n"/>
      <c r="M735" s="91" t="n"/>
      <c r="N735" s="91" t="n"/>
      <c r="O735" s="91" t="n"/>
      <c r="P735" s="91" t="n"/>
      <c r="Q735" s="91" t="n"/>
      <c r="R735" s="91" t="n"/>
      <c r="S735" s="91" t="n"/>
      <c r="T735" s="91" t="n"/>
      <c r="U735" s="91" t="n"/>
      <c r="V735" s="91" t="n"/>
      <c r="W735" s="91" t="n"/>
      <c r="X735" s="91" t="n"/>
      <c r="Y735" s="91" t="n"/>
      <c r="Z735" s="91" t="n"/>
      <c r="AA735" s="91" t="n"/>
      <c r="AB735" s="91" t="n"/>
      <c r="AC735" s="91" t="n"/>
      <c r="AD735" s="91" t="n"/>
      <c r="AE735" s="91" t="n"/>
      <c r="AF735" s="91" t="n"/>
      <c r="AG735" s="91" t="n"/>
    </row>
    <row r="736" ht="12.75" customHeight="1" s="117">
      <c r="A736" s="91" t="n"/>
      <c r="B736" s="91" t="n"/>
      <c r="C736" s="91" t="n"/>
      <c r="D736" s="91" t="n"/>
      <c r="E736" s="91" t="n"/>
      <c r="F736" s="91" t="n"/>
      <c r="G736" s="91" t="n"/>
      <c r="H736" s="91" t="n"/>
      <c r="I736" s="91" t="n"/>
      <c r="J736" s="91" t="n"/>
      <c r="K736" s="91" t="n"/>
      <c r="L736" s="91" t="n"/>
      <c r="M736" s="91" t="n"/>
      <c r="N736" s="91" t="n"/>
      <c r="O736" s="91" t="n"/>
      <c r="P736" s="91" t="n"/>
      <c r="Q736" s="91" t="n"/>
      <c r="R736" s="91" t="n"/>
      <c r="S736" s="91" t="n"/>
      <c r="T736" s="91" t="n"/>
      <c r="U736" s="91" t="n"/>
      <c r="V736" s="91" t="n"/>
      <c r="W736" s="91" t="n"/>
      <c r="X736" s="91" t="n"/>
      <c r="Y736" s="91" t="n"/>
      <c r="Z736" s="91" t="n"/>
      <c r="AA736" s="91" t="n"/>
      <c r="AB736" s="91" t="n"/>
      <c r="AC736" s="91" t="n"/>
      <c r="AD736" s="91" t="n"/>
      <c r="AE736" s="91" t="n"/>
      <c r="AF736" s="91" t="n"/>
      <c r="AG736" s="91" t="n"/>
    </row>
    <row r="737" ht="12.75" customHeight="1" s="117">
      <c r="A737" s="91" t="n"/>
      <c r="B737" s="91" t="n"/>
      <c r="C737" s="91" t="n"/>
      <c r="D737" s="91" t="n"/>
      <c r="E737" s="91" t="n"/>
      <c r="F737" s="91" t="n"/>
      <c r="G737" s="91" t="n"/>
      <c r="H737" s="91" t="n"/>
      <c r="I737" s="91" t="n"/>
      <c r="J737" s="91" t="n"/>
      <c r="K737" s="91" t="n"/>
      <c r="L737" s="91" t="n"/>
      <c r="M737" s="91" t="n"/>
      <c r="N737" s="91" t="n"/>
      <c r="O737" s="91" t="n"/>
      <c r="P737" s="91" t="n"/>
      <c r="Q737" s="91" t="n"/>
      <c r="R737" s="91" t="n"/>
      <c r="S737" s="91" t="n"/>
      <c r="T737" s="91" t="n"/>
      <c r="U737" s="91" t="n"/>
      <c r="V737" s="91" t="n"/>
      <c r="W737" s="91" t="n"/>
      <c r="X737" s="91" t="n"/>
      <c r="Y737" s="91" t="n"/>
      <c r="Z737" s="91" t="n"/>
      <c r="AA737" s="91" t="n"/>
      <c r="AB737" s="91" t="n"/>
      <c r="AC737" s="91" t="n"/>
      <c r="AD737" s="91" t="n"/>
      <c r="AE737" s="91" t="n"/>
      <c r="AF737" s="91" t="n"/>
      <c r="AG737" s="91" t="n"/>
    </row>
    <row r="738" ht="12.75" customHeight="1" s="117">
      <c r="A738" s="91" t="n"/>
      <c r="B738" s="91" t="n"/>
      <c r="C738" s="91" t="n"/>
      <c r="D738" s="91" t="n"/>
      <c r="E738" s="91" t="n"/>
      <c r="F738" s="91" t="n"/>
      <c r="G738" s="91" t="n"/>
      <c r="H738" s="91" t="n"/>
      <c r="I738" s="91" t="n"/>
      <c r="J738" s="91" t="n"/>
      <c r="K738" s="91" t="n"/>
      <c r="L738" s="91" t="n"/>
      <c r="M738" s="91" t="n"/>
      <c r="N738" s="91" t="n"/>
      <c r="O738" s="91" t="n"/>
      <c r="P738" s="91" t="n"/>
      <c r="Q738" s="91" t="n"/>
      <c r="R738" s="91" t="n"/>
      <c r="S738" s="91" t="n"/>
      <c r="T738" s="91" t="n"/>
      <c r="U738" s="91" t="n"/>
      <c r="V738" s="91" t="n"/>
      <c r="W738" s="91" t="n"/>
      <c r="X738" s="91" t="n"/>
      <c r="Y738" s="91" t="n"/>
      <c r="Z738" s="91" t="n"/>
      <c r="AA738" s="91" t="n"/>
      <c r="AB738" s="91" t="n"/>
      <c r="AC738" s="91" t="n"/>
      <c r="AD738" s="91" t="n"/>
      <c r="AE738" s="91" t="n"/>
      <c r="AF738" s="91" t="n"/>
      <c r="AG738" s="91" t="n"/>
    </row>
    <row r="739" ht="12.75" customHeight="1" s="117">
      <c r="A739" s="91" t="n"/>
      <c r="B739" s="91" t="n"/>
      <c r="C739" s="91" t="n"/>
      <c r="D739" s="91" t="n"/>
      <c r="E739" s="91" t="n"/>
      <c r="F739" s="91" t="n"/>
      <c r="G739" s="91" t="n"/>
      <c r="H739" s="91" t="n"/>
      <c r="I739" s="91" t="n"/>
      <c r="J739" s="91" t="n"/>
      <c r="K739" s="91" t="n"/>
      <c r="L739" s="91" t="n"/>
      <c r="M739" s="91" t="n"/>
      <c r="N739" s="91" t="n"/>
      <c r="O739" s="91" t="n"/>
      <c r="P739" s="91" t="n"/>
      <c r="Q739" s="91" t="n"/>
      <c r="R739" s="91" t="n"/>
      <c r="S739" s="91" t="n"/>
      <c r="T739" s="91" t="n"/>
      <c r="U739" s="91" t="n"/>
      <c r="V739" s="91" t="n"/>
      <c r="W739" s="91" t="n"/>
      <c r="X739" s="91" t="n"/>
      <c r="Y739" s="91" t="n"/>
      <c r="Z739" s="91" t="n"/>
      <c r="AA739" s="91" t="n"/>
      <c r="AB739" s="91" t="n"/>
      <c r="AC739" s="91" t="n"/>
      <c r="AD739" s="91" t="n"/>
      <c r="AE739" s="91" t="n"/>
      <c r="AF739" s="91" t="n"/>
      <c r="AG739" s="91" t="n"/>
    </row>
    <row r="740" ht="12.75" customHeight="1" s="117">
      <c r="A740" s="91" t="n"/>
      <c r="B740" s="91" t="n"/>
      <c r="C740" s="91" t="n"/>
      <c r="D740" s="91" t="n"/>
      <c r="E740" s="91" t="n"/>
      <c r="F740" s="91" t="n"/>
      <c r="G740" s="91" t="n"/>
      <c r="H740" s="91" t="n"/>
      <c r="I740" s="91" t="n"/>
      <c r="J740" s="91" t="n"/>
      <c r="K740" s="91" t="n"/>
      <c r="L740" s="91" t="n"/>
      <c r="M740" s="91" t="n"/>
      <c r="N740" s="91" t="n"/>
      <c r="O740" s="91" t="n"/>
      <c r="P740" s="91" t="n"/>
      <c r="Q740" s="91" t="n"/>
      <c r="R740" s="91" t="n"/>
      <c r="S740" s="91" t="n"/>
      <c r="T740" s="91" t="n"/>
      <c r="U740" s="91" t="n"/>
      <c r="V740" s="91" t="n"/>
      <c r="W740" s="91" t="n"/>
      <c r="X740" s="91" t="n"/>
      <c r="Y740" s="91" t="n"/>
      <c r="Z740" s="91" t="n"/>
      <c r="AA740" s="91" t="n"/>
      <c r="AB740" s="91" t="n"/>
      <c r="AC740" s="91" t="n"/>
      <c r="AD740" s="91" t="n"/>
      <c r="AE740" s="91" t="n"/>
      <c r="AF740" s="91" t="n"/>
      <c r="AG740" s="91" t="n"/>
    </row>
    <row r="741" ht="12.75" customHeight="1" s="117">
      <c r="A741" s="91" t="n"/>
      <c r="B741" s="91" t="n"/>
      <c r="C741" s="91" t="n"/>
      <c r="D741" s="91" t="n"/>
      <c r="E741" s="91" t="n"/>
      <c r="F741" s="91" t="n"/>
      <c r="G741" s="91" t="n"/>
      <c r="H741" s="91" t="n"/>
      <c r="I741" s="91" t="n"/>
      <c r="J741" s="91" t="n"/>
      <c r="K741" s="91" t="n"/>
      <c r="L741" s="91" t="n"/>
      <c r="M741" s="91" t="n"/>
      <c r="N741" s="91" t="n"/>
      <c r="O741" s="91" t="n"/>
      <c r="P741" s="91" t="n"/>
      <c r="Q741" s="91" t="n"/>
      <c r="R741" s="91" t="n"/>
      <c r="S741" s="91" t="n"/>
      <c r="T741" s="91" t="n"/>
      <c r="U741" s="91" t="n"/>
      <c r="V741" s="91" t="n"/>
      <c r="W741" s="91" t="n"/>
      <c r="X741" s="91" t="n"/>
      <c r="Y741" s="91" t="n"/>
      <c r="Z741" s="91" t="n"/>
      <c r="AA741" s="91" t="n"/>
      <c r="AB741" s="91" t="n"/>
      <c r="AC741" s="91" t="n"/>
      <c r="AD741" s="91" t="n"/>
      <c r="AE741" s="91" t="n"/>
      <c r="AF741" s="91" t="n"/>
      <c r="AG741" s="91" t="n"/>
    </row>
    <row r="742" ht="12.75" customHeight="1" s="117">
      <c r="A742" s="91" t="n"/>
      <c r="B742" s="91" t="n"/>
      <c r="C742" s="91" t="n"/>
      <c r="D742" s="91" t="n"/>
      <c r="E742" s="91" t="n"/>
      <c r="F742" s="91" t="n"/>
      <c r="G742" s="91" t="n"/>
      <c r="H742" s="91" t="n"/>
      <c r="I742" s="91" t="n"/>
      <c r="J742" s="91" t="n"/>
      <c r="K742" s="91" t="n"/>
      <c r="L742" s="91" t="n"/>
      <c r="M742" s="91" t="n"/>
      <c r="N742" s="91" t="n"/>
      <c r="O742" s="91" t="n"/>
      <c r="P742" s="91" t="n"/>
      <c r="Q742" s="91" t="n"/>
      <c r="R742" s="91" t="n"/>
      <c r="S742" s="91" t="n"/>
      <c r="T742" s="91" t="n"/>
      <c r="U742" s="91" t="n"/>
      <c r="V742" s="91" t="n"/>
      <c r="W742" s="91" t="n"/>
      <c r="X742" s="91" t="n"/>
      <c r="Y742" s="91" t="n"/>
      <c r="Z742" s="91" t="n"/>
      <c r="AA742" s="91" t="n"/>
      <c r="AB742" s="91" t="n"/>
      <c r="AC742" s="91" t="n"/>
      <c r="AD742" s="91" t="n"/>
      <c r="AE742" s="91" t="n"/>
      <c r="AF742" s="91" t="n"/>
      <c r="AG742" s="91" t="n"/>
    </row>
    <row r="743" ht="12.75" customHeight="1" s="117">
      <c r="A743" s="91" t="n"/>
      <c r="B743" s="91" t="n"/>
      <c r="C743" s="91" t="n"/>
      <c r="D743" s="91" t="n"/>
      <c r="E743" s="91" t="n"/>
      <c r="F743" s="91" t="n"/>
      <c r="G743" s="91" t="n"/>
      <c r="H743" s="91" t="n"/>
      <c r="I743" s="91" t="n"/>
      <c r="J743" s="91" t="n"/>
      <c r="K743" s="91" t="n"/>
      <c r="L743" s="91" t="n"/>
      <c r="M743" s="91" t="n"/>
      <c r="N743" s="91" t="n"/>
      <c r="O743" s="91" t="n"/>
      <c r="P743" s="91" t="n"/>
      <c r="Q743" s="91" t="n"/>
      <c r="R743" s="91" t="n"/>
      <c r="S743" s="91" t="n"/>
      <c r="T743" s="91" t="n"/>
      <c r="U743" s="91" t="n"/>
      <c r="V743" s="91" t="n"/>
      <c r="W743" s="91" t="n"/>
      <c r="X743" s="91" t="n"/>
      <c r="Y743" s="91" t="n"/>
      <c r="Z743" s="91" t="n"/>
      <c r="AA743" s="91" t="n"/>
      <c r="AB743" s="91" t="n"/>
      <c r="AC743" s="91" t="n"/>
      <c r="AD743" s="91" t="n"/>
      <c r="AE743" s="91" t="n"/>
      <c r="AF743" s="91" t="n"/>
      <c r="AG743" s="91" t="n"/>
    </row>
    <row r="744" ht="12.75" customHeight="1" s="117">
      <c r="A744" s="91" t="n"/>
      <c r="B744" s="91" t="n"/>
      <c r="C744" s="91" t="n"/>
      <c r="D744" s="91" t="n"/>
      <c r="E744" s="91" t="n"/>
      <c r="F744" s="91" t="n"/>
      <c r="G744" s="91" t="n"/>
      <c r="H744" s="91" t="n"/>
      <c r="I744" s="91" t="n"/>
      <c r="J744" s="91" t="n"/>
      <c r="K744" s="91" t="n"/>
      <c r="L744" s="91" t="n"/>
      <c r="M744" s="91" t="n"/>
      <c r="N744" s="91" t="n"/>
      <c r="O744" s="91" t="n"/>
      <c r="P744" s="91" t="n"/>
      <c r="Q744" s="91" t="n"/>
      <c r="R744" s="91" t="n"/>
      <c r="S744" s="91" t="n"/>
      <c r="T744" s="91" t="n"/>
      <c r="U744" s="91" t="n"/>
      <c r="V744" s="91" t="n"/>
      <c r="W744" s="91" t="n"/>
      <c r="X744" s="91" t="n"/>
      <c r="Y744" s="91" t="n"/>
      <c r="Z744" s="91" t="n"/>
      <c r="AA744" s="91" t="n"/>
      <c r="AB744" s="91" t="n"/>
      <c r="AC744" s="91" t="n"/>
      <c r="AD744" s="91" t="n"/>
      <c r="AE744" s="91" t="n"/>
      <c r="AF744" s="91" t="n"/>
      <c r="AG744" s="91" t="n"/>
    </row>
    <row r="745" ht="12.75" customHeight="1" s="117">
      <c r="A745" s="91" t="n"/>
      <c r="B745" s="91" t="n"/>
      <c r="C745" s="91" t="n"/>
      <c r="D745" s="91" t="n"/>
      <c r="E745" s="91" t="n"/>
      <c r="F745" s="91" t="n"/>
      <c r="G745" s="91" t="n"/>
      <c r="H745" s="91" t="n"/>
      <c r="I745" s="91" t="n"/>
      <c r="J745" s="91" t="n"/>
      <c r="K745" s="91" t="n"/>
      <c r="L745" s="91" t="n"/>
      <c r="M745" s="91" t="n"/>
      <c r="N745" s="91" t="n"/>
      <c r="O745" s="91" t="n"/>
      <c r="P745" s="91" t="n"/>
      <c r="Q745" s="91" t="n"/>
      <c r="R745" s="91" t="n"/>
      <c r="S745" s="91" t="n"/>
      <c r="T745" s="91" t="n"/>
      <c r="U745" s="91" t="n"/>
      <c r="V745" s="91" t="n"/>
      <c r="W745" s="91" t="n"/>
      <c r="X745" s="91" t="n"/>
      <c r="Y745" s="91" t="n"/>
      <c r="Z745" s="91" t="n"/>
      <c r="AA745" s="91" t="n"/>
      <c r="AB745" s="91" t="n"/>
      <c r="AC745" s="91" t="n"/>
      <c r="AD745" s="91" t="n"/>
      <c r="AE745" s="91" t="n"/>
      <c r="AF745" s="91" t="n"/>
      <c r="AG745" s="91" t="n"/>
    </row>
    <row r="746" ht="12.75" customHeight="1" s="117">
      <c r="A746" s="91" t="n"/>
      <c r="B746" s="91" t="n"/>
      <c r="C746" s="91" t="n"/>
      <c r="D746" s="91" t="n"/>
      <c r="E746" s="91" t="n"/>
      <c r="F746" s="91" t="n"/>
      <c r="G746" s="91" t="n"/>
      <c r="H746" s="91" t="n"/>
      <c r="I746" s="91" t="n"/>
      <c r="J746" s="91" t="n"/>
      <c r="K746" s="91" t="n"/>
      <c r="L746" s="91" t="n"/>
      <c r="M746" s="91" t="n"/>
      <c r="N746" s="91" t="n"/>
      <c r="O746" s="91" t="n"/>
      <c r="P746" s="91" t="n"/>
      <c r="Q746" s="91" t="n"/>
      <c r="R746" s="91" t="n"/>
      <c r="S746" s="91" t="n"/>
      <c r="T746" s="91" t="n"/>
      <c r="U746" s="91" t="n"/>
      <c r="V746" s="91" t="n"/>
      <c r="W746" s="91" t="n"/>
      <c r="X746" s="91" t="n"/>
      <c r="Y746" s="91" t="n"/>
      <c r="Z746" s="91" t="n"/>
      <c r="AA746" s="91" t="n"/>
      <c r="AB746" s="91" t="n"/>
      <c r="AC746" s="91" t="n"/>
      <c r="AD746" s="91" t="n"/>
      <c r="AE746" s="91" t="n"/>
      <c r="AF746" s="91" t="n"/>
      <c r="AG746" s="91" t="n"/>
    </row>
    <row r="747" ht="12.75" customHeight="1" s="117">
      <c r="A747" s="91" t="n"/>
      <c r="B747" s="91" t="n"/>
      <c r="C747" s="91" t="n"/>
      <c r="D747" s="91" t="n"/>
      <c r="E747" s="91" t="n"/>
      <c r="F747" s="91" t="n"/>
      <c r="G747" s="91" t="n"/>
      <c r="H747" s="91" t="n"/>
      <c r="I747" s="91" t="n"/>
      <c r="J747" s="91" t="n"/>
      <c r="K747" s="91" t="n"/>
      <c r="L747" s="91" t="n"/>
      <c r="M747" s="91" t="n"/>
      <c r="N747" s="91" t="n"/>
      <c r="O747" s="91" t="n"/>
      <c r="P747" s="91" t="n"/>
      <c r="Q747" s="91" t="n"/>
      <c r="R747" s="91" t="n"/>
      <c r="S747" s="91" t="n"/>
      <c r="T747" s="91" t="n"/>
      <c r="U747" s="91" t="n"/>
      <c r="V747" s="91" t="n"/>
      <c r="W747" s="91" t="n"/>
      <c r="X747" s="91" t="n"/>
      <c r="Y747" s="91" t="n"/>
      <c r="Z747" s="91" t="n"/>
      <c r="AA747" s="91" t="n"/>
      <c r="AB747" s="91" t="n"/>
      <c r="AC747" s="91" t="n"/>
      <c r="AD747" s="91" t="n"/>
      <c r="AE747" s="91" t="n"/>
      <c r="AF747" s="91" t="n"/>
      <c r="AG747" s="91" t="n"/>
    </row>
    <row r="748" ht="12.75" customHeight="1" s="117">
      <c r="A748" s="91" t="n"/>
      <c r="B748" s="91" t="n"/>
      <c r="C748" s="91" t="n"/>
      <c r="D748" s="91" t="n"/>
      <c r="E748" s="91" t="n"/>
      <c r="F748" s="91" t="n"/>
      <c r="G748" s="91" t="n"/>
      <c r="H748" s="91" t="n"/>
      <c r="I748" s="91" t="n"/>
      <c r="J748" s="91" t="n"/>
      <c r="K748" s="91" t="n"/>
      <c r="L748" s="91" t="n"/>
      <c r="M748" s="91" t="n"/>
      <c r="N748" s="91" t="n"/>
      <c r="O748" s="91" t="n"/>
      <c r="P748" s="91" t="n"/>
      <c r="Q748" s="91" t="n"/>
      <c r="R748" s="91" t="n"/>
      <c r="S748" s="91" t="n"/>
      <c r="T748" s="91" t="n"/>
      <c r="U748" s="91" t="n"/>
      <c r="V748" s="91" t="n"/>
      <c r="W748" s="91" t="n"/>
      <c r="X748" s="91" t="n"/>
      <c r="Y748" s="91" t="n"/>
      <c r="Z748" s="91" t="n"/>
      <c r="AA748" s="91" t="n"/>
      <c r="AB748" s="91" t="n"/>
      <c r="AC748" s="91" t="n"/>
      <c r="AD748" s="91" t="n"/>
      <c r="AE748" s="91" t="n"/>
      <c r="AF748" s="91" t="n"/>
      <c r="AG748" s="91" t="n"/>
    </row>
    <row r="749" ht="12.75" customHeight="1" s="117">
      <c r="A749" s="91" t="n"/>
      <c r="B749" s="91" t="n"/>
      <c r="C749" s="91" t="n"/>
      <c r="D749" s="91" t="n"/>
      <c r="E749" s="91" t="n"/>
      <c r="F749" s="91" t="n"/>
      <c r="G749" s="91" t="n"/>
      <c r="H749" s="91" t="n"/>
      <c r="I749" s="91" t="n"/>
      <c r="J749" s="91" t="n"/>
      <c r="K749" s="91" t="n"/>
      <c r="L749" s="91" t="n"/>
      <c r="M749" s="91" t="n"/>
      <c r="N749" s="91" t="n"/>
      <c r="O749" s="91" t="n"/>
      <c r="P749" s="91" t="n"/>
      <c r="Q749" s="91" t="n"/>
      <c r="R749" s="91" t="n"/>
      <c r="S749" s="91" t="n"/>
      <c r="T749" s="91" t="n"/>
      <c r="U749" s="91" t="n"/>
      <c r="V749" s="91" t="n"/>
      <c r="W749" s="91" t="n"/>
      <c r="X749" s="91" t="n"/>
      <c r="Y749" s="91" t="n"/>
      <c r="Z749" s="91" t="n"/>
      <c r="AA749" s="91" t="n"/>
      <c r="AB749" s="91" t="n"/>
      <c r="AC749" s="91" t="n"/>
      <c r="AD749" s="91" t="n"/>
      <c r="AE749" s="91" t="n"/>
      <c r="AF749" s="91" t="n"/>
      <c r="AG749" s="91" t="n"/>
    </row>
    <row r="750" ht="12.75" customHeight="1" s="117">
      <c r="A750" s="91" t="n"/>
      <c r="B750" s="91" t="n"/>
      <c r="C750" s="91" t="n"/>
      <c r="D750" s="91" t="n"/>
      <c r="E750" s="91" t="n"/>
      <c r="F750" s="91" t="n"/>
      <c r="G750" s="91" t="n"/>
      <c r="H750" s="91" t="n"/>
      <c r="I750" s="91" t="n"/>
      <c r="J750" s="91" t="n"/>
      <c r="K750" s="91" t="n"/>
      <c r="L750" s="91" t="n"/>
      <c r="M750" s="91" t="n"/>
      <c r="N750" s="91" t="n"/>
      <c r="O750" s="91" t="n"/>
      <c r="P750" s="91" t="n"/>
      <c r="Q750" s="91" t="n"/>
      <c r="R750" s="91" t="n"/>
      <c r="S750" s="91" t="n"/>
      <c r="T750" s="91" t="n"/>
      <c r="U750" s="91" t="n"/>
      <c r="V750" s="91" t="n"/>
      <c r="W750" s="91" t="n"/>
      <c r="X750" s="91" t="n"/>
      <c r="Y750" s="91" t="n"/>
      <c r="Z750" s="91" t="n"/>
      <c r="AA750" s="91" t="n"/>
      <c r="AB750" s="91" t="n"/>
      <c r="AC750" s="91" t="n"/>
      <c r="AD750" s="91" t="n"/>
      <c r="AE750" s="91" t="n"/>
      <c r="AF750" s="91" t="n"/>
      <c r="AG750" s="91" t="n"/>
    </row>
    <row r="751" ht="12.75" customHeight="1" s="117">
      <c r="A751" s="91" t="n"/>
      <c r="B751" s="91" t="n"/>
      <c r="C751" s="91" t="n"/>
      <c r="D751" s="91" t="n"/>
      <c r="E751" s="91" t="n"/>
      <c r="F751" s="91" t="n"/>
      <c r="G751" s="91" t="n"/>
      <c r="H751" s="91" t="n"/>
      <c r="I751" s="91" t="n"/>
      <c r="J751" s="91" t="n"/>
      <c r="K751" s="91" t="n"/>
      <c r="L751" s="91" t="n"/>
      <c r="M751" s="91" t="n"/>
      <c r="N751" s="91" t="n"/>
      <c r="O751" s="91" t="n"/>
      <c r="P751" s="91" t="n"/>
      <c r="Q751" s="91" t="n"/>
      <c r="R751" s="91" t="n"/>
      <c r="S751" s="91" t="n"/>
      <c r="T751" s="91" t="n"/>
      <c r="U751" s="91" t="n"/>
      <c r="V751" s="91" t="n"/>
      <c r="W751" s="91" t="n"/>
      <c r="X751" s="91" t="n"/>
      <c r="Y751" s="91" t="n"/>
      <c r="Z751" s="91" t="n"/>
      <c r="AA751" s="91" t="n"/>
      <c r="AB751" s="91" t="n"/>
      <c r="AC751" s="91" t="n"/>
      <c r="AD751" s="91" t="n"/>
      <c r="AE751" s="91" t="n"/>
      <c r="AF751" s="91" t="n"/>
      <c r="AG751" s="91" t="n"/>
    </row>
    <row r="752" ht="12.75" customHeight="1" s="117">
      <c r="A752" s="91" t="n"/>
      <c r="B752" s="91" t="n"/>
      <c r="C752" s="91" t="n"/>
      <c r="D752" s="91" t="n"/>
      <c r="E752" s="91" t="n"/>
      <c r="F752" s="91" t="n"/>
      <c r="G752" s="91" t="n"/>
      <c r="H752" s="91" t="n"/>
      <c r="I752" s="91" t="n"/>
      <c r="J752" s="91" t="n"/>
      <c r="K752" s="91" t="n"/>
      <c r="L752" s="91" t="n"/>
      <c r="M752" s="91" t="n"/>
      <c r="N752" s="91" t="n"/>
      <c r="O752" s="91" t="n"/>
      <c r="P752" s="91" t="n"/>
      <c r="Q752" s="91" t="n"/>
      <c r="R752" s="91" t="n"/>
      <c r="S752" s="91" t="n"/>
      <c r="T752" s="91" t="n"/>
      <c r="U752" s="91" t="n"/>
      <c r="V752" s="91" t="n"/>
      <c r="W752" s="91" t="n"/>
      <c r="X752" s="91" t="n"/>
      <c r="Y752" s="91" t="n"/>
      <c r="Z752" s="91" t="n"/>
      <c r="AA752" s="91" t="n"/>
      <c r="AB752" s="91" t="n"/>
      <c r="AC752" s="91" t="n"/>
      <c r="AD752" s="91" t="n"/>
      <c r="AE752" s="91" t="n"/>
      <c r="AF752" s="91" t="n"/>
      <c r="AG752" s="91" t="n"/>
    </row>
    <row r="753" ht="12.75" customHeight="1" s="117">
      <c r="A753" s="91" t="n"/>
      <c r="B753" s="91" t="n"/>
      <c r="C753" s="91" t="n"/>
      <c r="D753" s="91" t="n"/>
      <c r="E753" s="91" t="n"/>
      <c r="F753" s="91" t="n"/>
      <c r="G753" s="91" t="n"/>
      <c r="H753" s="91" t="n"/>
      <c r="I753" s="91" t="n"/>
      <c r="J753" s="91" t="n"/>
      <c r="K753" s="91" t="n"/>
      <c r="L753" s="91" t="n"/>
      <c r="M753" s="91" t="n"/>
      <c r="N753" s="91" t="n"/>
      <c r="O753" s="91" t="n"/>
      <c r="P753" s="91" t="n"/>
      <c r="Q753" s="91" t="n"/>
      <c r="R753" s="91" t="n"/>
      <c r="S753" s="91" t="n"/>
      <c r="T753" s="91" t="n"/>
      <c r="U753" s="91" t="n"/>
      <c r="V753" s="91" t="n"/>
      <c r="W753" s="91" t="n"/>
      <c r="X753" s="91" t="n"/>
      <c r="Y753" s="91" t="n"/>
      <c r="Z753" s="91" t="n"/>
      <c r="AA753" s="91" t="n"/>
      <c r="AB753" s="91" t="n"/>
      <c r="AC753" s="91" t="n"/>
      <c r="AD753" s="91" t="n"/>
      <c r="AE753" s="91" t="n"/>
      <c r="AF753" s="91" t="n"/>
      <c r="AG753" s="91" t="n"/>
    </row>
    <row r="754" ht="12.75" customHeight="1" s="117">
      <c r="A754" s="91" t="n"/>
      <c r="B754" s="91" t="n"/>
      <c r="C754" s="91" t="n"/>
      <c r="D754" s="91" t="n"/>
      <c r="E754" s="91" t="n"/>
      <c r="F754" s="91" t="n"/>
      <c r="G754" s="91" t="n"/>
      <c r="H754" s="91" t="n"/>
      <c r="I754" s="91" t="n"/>
      <c r="J754" s="91" t="n"/>
      <c r="K754" s="91" t="n"/>
      <c r="L754" s="91" t="n"/>
      <c r="M754" s="91" t="n"/>
      <c r="N754" s="91" t="n"/>
      <c r="O754" s="91" t="n"/>
      <c r="P754" s="91" t="n"/>
      <c r="Q754" s="91" t="n"/>
      <c r="R754" s="91" t="n"/>
      <c r="S754" s="91" t="n"/>
      <c r="T754" s="91" t="n"/>
      <c r="U754" s="91" t="n"/>
      <c r="V754" s="91" t="n"/>
      <c r="W754" s="91" t="n"/>
      <c r="X754" s="91" t="n"/>
      <c r="Y754" s="91" t="n"/>
      <c r="Z754" s="91" t="n"/>
      <c r="AA754" s="91" t="n"/>
      <c r="AB754" s="91" t="n"/>
      <c r="AC754" s="91" t="n"/>
      <c r="AD754" s="91" t="n"/>
      <c r="AE754" s="91" t="n"/>
      <c r="AF754" s="91" t="n"/>
      <c r="AG754" s="91" t="n"/>
    </row>
    <row r="755" ht="12.75" customHeight="1" s="117">
      <c r="A755" s="91" t="n"/>
      <c r="B755" s="91" t="n"/>
      <c r="C755" s="91" t="n"/>
      <c r="D755" s="91" t="n"/>
      <c r="E755" s="91" t="n"/>
      <c r="F755" s="91" t="n"/>
      <c r="G755" s="91" t="n"/>
      <c r="H755" s="91" t="n"/>
      <c r="I755" s="91" t="n"/>
      <c r="J755" s="91" t="n"/>
      <c r="K755" s="91" t="n"/>
      <c r="L755" s="91" t="n"/>
      <c r="M755" s="91" t="n"/>
      <c r="N755" s="91" t="n"/>
      <c r="O755" s="91" t="n"/>
      <c r="P755" s="91" t="n"/>
      <c r="Q755" s="91" t="n"/>
      <c r="R755" s="91" t="n"/>
      <c r="S755" s="91" t="n"/>
      <c r="T755" s="91" t="n"/>
      <c r="U755" s="91" t="n"/>
      <c r="V755" s="91" t="n"/>
      <c r="W755" s="91" t="n"/>
      <c r="X755" s="91" t="n"/>
      <c r="Y755" s="91" t="n"/>
      <c r="Z755" s="91" t="n"/>
      <c r="AA755" s="91" t="n"/>
      <c r="AB755" s="91" t="n"/>
      <c r="AC755" s="91" t="n"/>
      <c r="AD755" s="91" t="n"/>
      <c r="AE755" s="91" t="n"/>
      <c r="AF755" s="91" t="n"/>
      <c r="AG755" s="91" t="n"/>
    </row>
    <row r="756" ht="12.75" customHeight="1" s="117">
      <c r="A756" s="91" t="n"/>
      <c r="B756" s="91" t="n"/>
      <c r="C756" s="91" t="n"/>
      <c r="D756" s="91" t="n"/>
      <c r="E756" s="91" t="n"/>
      <c r="F756" s="91" t="n"/>
      <c r="G756" s="91" t="n"/>
      <c r="H756" s="91" t="n"/>
      <c r="I756" s="91" t="n"/>
      <c r="J756" s="91" t="n"/>
      <c r="K756" s="91" t="n"/>
      <c r="L756" s="91" t="n"/>
      <c r="M756" s="91" t="n"/>
      <c r="N756" s="91" t="n"/>
      <c r="O756" s="91" t="n"/>
      <c r="P756" s="91" t="n"/>
      <c r="Q756" s="91" t="n"/>
      <c r="R756" s="91" t="n"/>
      <c r="S756" s="91" t="n"/>
      <c r="T756" s="91" t="n"/>
      <c r="U756" s="91" t="n"/>
      <c r="V756" s="91" t="n"/>
      <c r="W756" s="91" t="n"/>
      <c r="X756" s="91" t="n"/>
      <c r="Y756" s="91" t="n"/>
      <c r="Z756" s="91" t="n"/>
      <c r="AA756" s="91" t="n"/>
      <c r="AB756" s="91" t="n"/>
      <c r="AC756" s="91" t="n"/>
      <c r="AD756" s="91" t="n"/>
      <c r="AE756" s="91" t="n"/>
      <c r="AF756" s="91" t="n"/>
      <c r="AG756" s="91" t="n"/>
    </row>
    <row r="757" ht="12.75" customHeight="1" s="117">
      <c r="A757" s="91" t="n"/>
      <c r="B757" s="91" t="n"/>
      <c r="C757" s="91" t="n"/>
      <c r="D757" s="91" t="n"/>
      <c r="E757" s="91" t="n"/>
      <c r="F757" s="91" t="n"/>
      <c r="G757" s="91" t="n"/>
      <c r="H757" s="91" t="n"/>
      <c r="I757" s="91" t="n"/>
      <c r="J757" s="91" t="n"/>
      <c r="K757" s="91" t="n"/>
      <c r="L757" s="91" t="n"/>
      <c r="M757" s="91" t="n"/>
      <c r="N757" s="91" t="n"/>
      <c r="O757" s="91" t="n"/>
      <c r="P757" s="91" t="n"/>
      <c r="Q757" s="91" t="n"/>
      <c r="R757" s="91" t="n"/>
      <c r="S757" s="91" t="n"/>
      <c r="T757" s="91" t="n"/>
      <c r="U757" s="91" t="n"/>
      <c r="V757" s="91" t="n"/>
      <c r="W757" s="91" t="n"/>
      <c r="X757" s="91" t="n"/>
      <c r="Y757" s="91" t="n"/>
      <c r="Z757" s="91" t="n"/>
      <c r="AA757" s="91" t="n"/>
      <c r="AB757" s="91" t="n"/>
      <c r="AC757" s="91" t="n"/>
      <c r="AD757" s="91" t="n"/>
      <c r="AE757" s="91" t="n"/>
      <c r="AF757" s="91" t="n"/>
      <c r="AG757" s="91" t="n"/>
    </row>
    <row r="758" ht="12.75" customHeight="1" s="117">
      <c r="A758" s="91" t="n"/>
      <c r="B758" s="91" t="n"/>
      <c r="C758" s="91" t="n"/>
      <c r="D758" s="91" t="n"/>
      <c r="E758" s="91" t="n"/>
      <c r="F758" s="91" t="n"/>
      <c r="G758" s="91" t="n"/>
      <c r="H758" s="91" t="n"/>
      <c r="I758" s="91" t="n"/>
      <c r="J758" s="91" t="n"/>
      <c r="K758" s="91" t="n"/>
      <c r="L758" s="91" t="n"/>
      <c r="M758" s="91" t="n"/>
      <c r="N758" s="91" t="n"/>
      <c r="O758" s="91" t="n"/>
      <c r="P758" s="91" t="n"/>
      <c r="Q758" s="91" t="n"/>
      <c r="R758" s="91" t="n"/>
      <c r="S758" s="91" t="n"/>
      <c r="T758" s="91" t="n"/>
      <c r="U758" s="91" t="n"/>
      <c r="V758" s="91" t="n"/>
      <c r="W758" s="91" t="n"/>
      <c r="X758" s="91" t="n"/>
      <c r="Y758" s="91" t="n"/>
      <c r="Z758" s="91" t="n"/>
      <c r="AA758" s="91" t="n"/>
      <c r="AB758" s="91" t="n"/>
      <c r="AC758" s="91" t="n"/>
      <c r="AD758" s="91" t="n"/>
      <c r="AE758" s="91" t="n"/>
      <c r="AF758" s="91" t="n"/>
      <c r="AG758" s="91" t="n"/>
    </row>
    <row r="759" ht="12.75" customHeight="1" s="117">
      <c r="A759" s="91" t="n"/>
      <c r="B759" s="91" t="n"/>
      <c r="C759" s="91" t="n"/>
      <c r="D759" s="91" t="n"/>
      <c r="E759" s="91" t="n"/>
      <c r="F759" s="91" t="n"/>
      <c r="G759" s="91" t="n"/>
      <c r="H759" s="91" t="n"/>
      <c r="I759" s="91" t="n"/>
      <c r="J759" s="91" t="n"/>
      <c r="K759" s="91" t="n"/>
      <c r="L759" s="91" t="n"/>
      <c r="M759" s="91" t="n"/>
      <c r="N759" s="91" t="n"/>
      <c r="O759" s="91" t="n"/>
      <c r="P759" s="91" t="n"/>
      <c r="Q759" s="91" t="n"/>
      <c r="R759" s="91" t="n"/>
      <c r="S759" s="91" t="n"/>
      <c r="T759" s="91" t="n"/>
      <c r="U759" s="91" t="n"/>
      <c r="V759" s="91" t="n"/>
      <c r="W759" s="91" t="n"/>
      <c r="X759" s="91" t="n"/>
      <c r="Y759" s="91" t="n"/>
      <c r="Z759" s="91" t="n"/>
      <c r="AA759" s="91" t="n"/>
      <c r="AB759" s="91" t="n"/>
      <c r="AC759" s="91" t="n"/>
      <c r="AD759" s="91" t="n"/>
      <c r="AE759" s="91" t="n"/>
      <c r="AF759" s="91" t="n"/>
      <c r="AG759" s="91" t="n"/>
    </row>
    <row r="760" ht="12.75" customHeight="1" s="117">
      <c r="A760" s="91" t="n"/>
      <c r="B760" s="91" t="n"/>
      <c r="C760" s="91" t="n"/>
      <c r="D760" s="91" t="n"/>
      <c r="E760" s="91" t="n"/>
      <c r="F760" s="91" t="n"/>
      <c r="G760" s="91" t="n"/>
      <c r="H760" s="91" t="n"/>
      <c r="I760" s="91" t="n"/>
      <c r="J760" s="91" t="n"/>
      <c r="K760" s="91" t="n"/>
      <c r="L760" s="91" t="n"/>
      <c r="M760" s="91" t="n"/>
      <c r="N760" s="91" t="n"/>
      <c r="O760" s="91" t="n"/>
      <c r="P760" s="91" t="n"/>
      <c r="Q760" s="91" t="n"/>
      <c r="R760" s="91" t="n"/>
      <c r="S760" s="91" t="n"/>
      <c r="T760" s="91" t="n"/>
      <c r="U760" s="91" t="n"/>
      <c r="V760" s="91" t="n"/>
      <c r="W760" s="91" t="n"/>
      <c r="X760" s="91" t="n"/>
      <c r="Y760" s="91" t="n"/>
      <c r="Z760" s="91" t="n"/>
      <c r="AA760" s="91" t="n"/>
      <c r="AB760" s="91" t="n"/>
      <c r="AC760" s="91" t="n"/>
      <c r="AD760" s="91" t="n"/>
      <c r="AE760" s="91" t="n"/>
      <c r="AF760" s="91" t="n"/>
      <c r="AG760" s="91" t="n"/>
    </row>
    <row r="761" ht="12.75" customHeight="1" s="117">
      <c r="A761" s="91" t="n"/>
      <c r="B761" s="91" t="n"/>
      <c r="C761" s="91" t="n"/>
      <c r="D761" s="91" t="n"/>
      <c r="E761" s="91" t="n"/>
      <c r="F761" s="91" t="n"/>
      <c r="G761" s="91" t="n"/>
      <c r="H761" s="91" t="n"/>
      <c r="I761" s="91" t="n"/>
      <c r="J761" s="91" t="n"/>
      <c r="K761" s="91" t="n"/>
      <c r="L761" s="91" t="n"/>
      <c r="M761" s="91" t="n"/>
      <c r="N761" s="91" t="n"/>
      <c r="O761" s="91" t="n"/>
      <c r="P761" s="91" t="n"/>
      <c r="Q761" s="91" t="n"/>
      <c r="R761" s="91" t="n"/>
      <c r="S761" s="91" t="n"/>
      <c r="T761" s="91" t="n"/>
      <c r="U761" s="91" t="n"/>
      <c r="V761" s="91" t="n"/>
      <c r="W761" s="91" t="n"/>
      <c r="X761" s="91" t="n"/>
      <c r="Y761" s="91" t="n"/>
      <c r="Z761" s="91" t="n"/>
      <c r="AA761" s="91" t="n"/>
      <c r="AB761" s="91" t="n"/>
      <c r="AC761" s="91" t="n"/>
      <c r="AD761" s="91" t="n"/>
      <c r="AE761" s="91" t="n"/>
      <c r="AF761" s="91" t="n"/>
      <c r="AG761" s="91" t="n"/>
    </row>
    <row r="762" ht="12.75" customHeight="1" s="117">
      <c r="A762" s="91" t="n"/>
      <c r="B762" s="91" t="n"/>
      <c r="C762" s="91" t="n"/>
      <c r="D762" s="91" t="n"/>
      <c r="E762" s="91" t="n"/>
      <c r="F762" s="91" t="n"/>
      <c r="G762" s="91" t="n"/>
      <c r="H762" s="91" t="n"/>
      <c r="I762" s="91" t="n"/>
      <c r="J762" s="91" t="n"/>
      <c r="K762" s="91" t="n"/>
      <c r="L762" s="91" t="n"/>
      <c r="M762" s="91" t="n"/>
      <c r="N762" s="91" t="n"/>
      <c r="O762" s="91" t="n"/>
      <c r="P762" s="91" t="n"/>
      <c r="Q762" s="91" t="n"/>
      <c r="R762" s="91" t="n"/>
      <c r="S762" s="91" t="n"/>
      <c r="T762" s="91" t="n"/>
      <c r="U762" s="91" t="n"/>
      <c r="V762" s="91" t="n"/>
      <c r="W762" s="91" t="n"/>
      <c r="X762" s="91" t="n"/>
      <c r="Y762" s="91" t="n"/>
      <c r="Z762" s="91" t="n"/>
      <c r="AA762" s="91" t="n"/>
      <c r="AB762" s="91" t="n"/>
      <c r="AC762" s="91" t="n"/>
      <c r="AD762" s="91" t="n"/>
      <c r="AE762" s="91" t="n"/>
      <c r="AF762" s="91" t="n"/>
      <c r="AG762" s="91" t="n"/>
    </row>
    <row r="763" ht="12.75" customHeight="1" s="117">
      <c r="A763" s="91" t="n"/>
      <c r="B763" s="91" t="n"/>
      <c r="C763" s="91" t="n"/>
      <c r="D763" s="91" t="n"/>
      <c r="E763" s="91" t="n"/>
      <c r="F763" s="91" t="n"/>
      <c r="G763" s="91" t="n"/>
      <c r="H763" s="91" t="n"/>
      <c r="I763" s="91" t="n"/>
      <c r="J763" s="91" t="n"/>
      <c r="K763" s="91" t="n"/>
      <c r="L763" s="91" t="n"/>
      <c r="M763" s="91" t="n"/>
      <c r="N763" s="91" t="n"/>
      <c r="O763" s="91" t="n"/>
      <c r="P763" s="91" t="n"/>
      <c r="Q763" s="91" t="n"/>
      <c r="R763" s="91" t="n"/>
      <c r="S763" s="91" t="n"/>
      <c r="T763" s="91" t="n"/>
      <c r="U763" s="91" t="n"/>
      <c r="V763" s="91" t="n"/>
      <c r="W763" s="91" t="n"/>
      <c r="X763" s="91" t="n"/>
      <c r="Y763" s="91" t="n"/>
      <c r="Z763" s="91" t="n"/>
      <c r="AA763" s="91" t="n"/>
      <c r="AB763" s="91" t="n"/>
      <c r="AC763" s="91" t="n"/>
      <c r="AD763" s="91" t="n"/>
      <c r="AE763" s="91" t="n"/>
      <c r="AF763" s="91" t="n"/>
      <c r="AG763" s="91" t="n"/>
    </row>
    <row r="764" ht="12.75" customHeight="1" s="117">
      <c r="A764" s="91" t="n"/>
      <c r="B764" s="91" t="n"/>
      <c r="C764" s="91" t="n"/>
      <c r="D764" s="91" t="n"/>
      <c r="E764" s="91" t="n"/>
      <c r="F764" s="91" t="n"/>
      <c r="G764" s="91" t="n"/>
      <c r="H764" s="91" t="n"/>
      <c r="I764" s="91" t="n"/>
      <c r="J764" s="91" t="n"/>
      <c r="K764" s="91" t="n"/>
      <c r="L764" s="91" t="n"/>
      <c r="M764" s="91" t="n"/>
      <c r="N764" s="91" t="n"/>
      <c r="O764" s="91" t="n"/>
      <c r="P764" s="91" t="n"/>
      <c r="Q764" s="91" t="n"/>
      <c r="R764" s="91" t="n"/>
      <c r="S764" s="91" t="n"/>
      <c r="T764" s="91" t="n"/>
      <c r="U764" s="91" t="n"/>
      <c r="V764" s="91" t="n"/>
      <c r="W764" s="91" t="n"/>
      <c r="X764" s="91" t="n"/>
      <c r="Y764" s="91" t="n"/>
      <c r="Z764" s="91" t="n"/>
      <c r="AA764" s="91" t="n"/>
      <c r="AB764" s="91" t="n"/>
      <c r="AC764" s="91" t="n"/>
      <c r="AD764" s="91" t="n"/>
      <c r="AE764" s="91" t="n"/>
      <c r="AF764" s="91" t="n"/>
      <c r="AG764" s="91" t="n"/>
    </row>
    <row r="765" ht="12.75" customHeight="1" s="117">
      <c r="A765" s="91" t="n"/>
      <c r="B765" s="91" t="n"/>
      <c r="C765" s="91" t="n"/>
      <c r="D765" s="91" t="n"/>
      <c r="E765" s="91" t="n"/>
      <c r="F765" s="91" t="n"/>
      <c r="G765" s="91" t="n"/>
      <c r="H765" s="91" t="n"/>
      <c r="I765" s="91" t="n"/>
      <c r="J765" s="91" t="n"/>
      <c r="K765" s="91" t="n"/>
      <c r="L765" s="91" t="n"/>
      <c r="M765" s="91" t="n"/>
      <c r="N765" s="91" t="n"/>
      <c r="O765" s="91" t="n"/>
      <c r="P765" s="91" t="n"/>
      <c r="Q765" s="91" t="n"/>
      <c r="R765" s="91" t="n"/>
      <c r="S765" s="91" t="n"/>
      <c r="T765" s="91" t="n"/>
      <c r="U765" s="91" t="n"/>
      <c r="V765" s="91" t="n"/>
      <c r="W765" s="91" t="n"/>
      <c r="X765" s="91" t="n"/>
      <c r="Y765" s="91" t="n"/>
      <c r="Z765" s="91" t="n"/>
      <c r="AA765" s="91" t="n"/>
      <c r="AB765" s="91" t="n"/>
      <c r="AC765" s="91" t="n"/>
      <c r="AD765" s="91" t="n"/>
      <c r="AE765" s="91" t="n"/>
      <c r="AF765" s="91" t="n"/>
      <c r="AG765" s="91" t="n"/>
    </row>
    <row r="766" ht="12.75" customHeight="1" s="117">
      <c r="A766" s="91" t="n"/>
      <c r="B766" s="91" t="n"/>
      <c r="C766" s="91" t="n"/>
      <c r="D766" s="91" t="n"/>
      <c r="E766" s="91" t="n"/>
      <c r="F766" s="91" t="n"/>
      <c r="G766" s="91" t="n"/>
      <c r="H766" s="91" t="n"/>
      <c r="I766" s="91" t="n"/>
      <c r="J766" s="91" t="n"/>
      <c r="K766" s="91" t="n"/>
      <c r="L766" s="91" t="n"/>
      <c r="M766" s="91" t="n"/>
      <c r="N766" s="91" t="n"/>
      <c r="O766" s="91" t="n"/>
      <c r="P766" s="91" t="n"/>
      <c r="Q766" s="91" t="n"/>
      <c r="R766" s="91" t="n"/>
      <c r="S766" s="91" t="n"/>
      <c r="T766" s="91" t="n"/>
      <c r="U766" s="91" t="n"/>
      <c r="V766" s="91" t="n"/>
      <c r="W766" s="91" t="n"/>
      <c r="X766" s="91" t="n"/>
      <c r="Y766" s="91" t="n"/>
      <c r="Z766" s="91" t="n"/>
      <c r="AA766" s="91" t="n"/>
      <c r="AB766" s="91" t="n"/>
      <c r="AC766" s="91" t="n"/>
      <c r="AD766" s="91" t="n"/>
      <c r="AE766" s="91" t="n"/>
      <c r="AF766" s="91" t="n"/>
      <c r="AG766" s="91" t="n"/>
    </row>
    <row r="767" ht="12.75" customHeight="1" s="117">
      <c r="A767" s="91" t="n"/>
      <c r="B767" s="91" t="n"/>
      <c r="C767" s="91" t="n"/>
      <c r="D767" s="91" t="n"/>
      <c r="E767" s="91" t="n"/>
      <c r="F767" s="91" t="n"/>
      <c r="G767" s="91" t="n"/>
      <c r="H767" s="91" t="n"/>
      <c r="I767" s="91" t="n"/>
      <c r="J767" s="91" t="n"/>
      <c r="K767" s="91" t="n"/>
      <c r="L767" s="91" t="n"/>
      <c r="M767" s="91" t="n"/>
      <c r="N767" s="91" t="n"/>
      <c r="O767" s="91" t="n"/>
      <c r="P767" s="91" t="n"/>
      <c r="Q767" s="91" t="n"/>
      <c r="R767" s="91" t="n"/>
      <c r="S767" s="91" t="n"/>
      <c r="T767" s="91" t="n"/>
      <c r="U767" s="91" t="n"/>
      <c r="V767" s="91" t="n"/>
      <c r="W767" s="91" t="n"/>
      <c r="X767" s="91" t="n"/>
      <c r="Y767" s="91" t="n"/>
      <c r="Z767" s="91" t="n"/>
      <c r="AA767" s="91" t="n"/>
      <c r="AB767" s="91" t="n"/>
      <c r="AC767" s="91" t="n"/>
      <c r="AD767" s="91" t="n"/>
      <c r="AE767" s="91" t="n"/>
      <c r="AF767" s="91" t="n"/>
      <c r="AG767" s="91" t="n"/>
    </row>
    <row r="768" ht="12.75" customHeight="1" s="117">
      <c r="A768" s="91" t="n"/>
      <c r="B768" s="91" t="n"/>
      <c r="C768" s="91" t="n"/>
      <c r="D768" s="91" t="n"/>
      <c r="E768" s="91" t="n"/>
      <c r="F768" s="91" t="n"/>
      <c r="G768" s="91" t="n"/>
      <c r="H768" s="91" t="n"/>
      <c r="I768" s="91" t="n"/>
      <c r="J768" s="91" t="n"/>
      <c r="K768" s="91" t="n"/>
      <c r="L768" s="91" t="n"/>
      <c r="M768" s="91" t="n"/>
      <c r="N768" s="91" t="n"/>
      <c r="O768" s="91" t="n"/>
      <c r="P768" s="91" t="n"/>
      <c r="Q768" s="91" t="n"/>
      <c r="R768" s="91" t="n"/>
      <c r="S768" s="91" t="n"/>
      <c r="T768" s="91" t="n"/>
      <c r="U768" s="91" t="n"/>
      <c r="V768" s="91" t="n"/>
      <c r="W768" s="91" t="n"/>
      <c r="X768" s="91" t="n"/>
      <c r="Y768" s="91" t="n"/>
      <c r="Z768" s="91" t="n"/>
      <c r="AA768" s="91" t="n"/>
      <c r="AB768" s="91" t="n"/>
      <c r="AC768" s="91" t="n"/>
      <c r="AD768" s="91" t="n"/>
      <c r="AE768" s="91" t="n"/>
      <c r="AF768" s="91" t="n"/>
      <c r="AG768" s="91" t="n"/>
    </row>
    <row r="769" ht="12.75" customHeight="1" s="117">
      <c r="A769" s="91" t="n"/>
      <c r="B769" s="91" t="n"/>
      <c r="C769" s="91" t="n"/>
      <c r="D769" s="91" t="n"/>
      <c r="E769" s="91" t="n"/>
      <c r="F769" s="91" t="n"/>
      <c r="G769" s="91" t="n"/>
      <c r="H769" s="91" t="n"/>
      <c r="I769" s="91" t="n"/>
      <c r="J769" s="91" t="n"/>
      <c r="K769" s="91" t="n"/>
      <c r="L769" s="91" t="n"/>
      <c r="M769" s="91" t="n"/>
      <c r="N769" s="91" t="n"/>
      <c r="O769" s="91" t="n"/>
      <c r="P769" s="91" t="n"/>
      <c r="Q769" s="91" t="n"/>
      <c r="R769" s="91" t="n"/>
      <c r="S769" s="91" t="n"/>
      <c r="T769" s="91" t="n"/>
      <c r="U769" s="91" t="n"/>
      <c r="V769" s="91" t="n"/>
      <c r="W769" s="91" t="n"/>
      <c r="X769" s="91" t="n"/>
      <c r="Y769" s="91" t="n"/>
      <c r="Z769" s="91" t="n"/>
      <c r="AA769" s="91" t="n"/>
      <c r="AB769" s="91" t="n"/>
      <c r="AC769" s="91" t="n"/>
      <c r="AD769" s="91" t="n"/>
      <c r="AE769" s="91" t="n"/>
      <c r="AF769" s="91" t="n"/>
      <c r="AG769" s="91" t="n"/>
    </row>
    <row r="770" ht="12.75" customHeight="1" s="117">
      <c r="A770" s="91" t="n"/>
      <c r="B770" s="91" t="n"/>
      <c r="C770" s="91" t="n"/>
      <c r="D770" s="91" t="n"/>
      <c r="E770" s="91" t="n"/>
      <c r="F770" s="91" t="n"/>
      <c r="G770" s="91" t="n"/>
      <c r="H770" s="91" t="n"/>
      <c r="I770" s="91" t="n"/>
      <c r="J770" s="91" t="n"/>
      <c r="K770" s="91" t="n"/>
      <c r="L770" s="91" t="n"/>
      <c r="M770" s="91" t="n"/>
      <c r="N770" s="91" t="n"/>
      <c r="O770" s="91" t="n"/>
      <c r="P770" s="91" t="n"/>
      <c r="Q770" s="91" t="n"/>
      <c r="R770" s="91" t="n"/>
      <c r="S770" s="91" t="n"/>
      <c r="T770" s="91" t="n"/>
      <c r="U770" s="91" t="n"/>
      <c r="V770" s="91" t="n"/>
      <c r="W770" s="91" t="n"/>
      <c r="X770" s="91" t="n"/>
      <c r="Y770" s="91" t="n"/>
      <c r="Z770" s="91" t="n"/>
      <c r="AA770" s="91" t="n"/>
      <c r="AB770" s="91" t="n"/>
      <c r="AC770" s="91" t="n"/>
      <c r="AD770" s="91" t="n"/>
      <c r="AE770" s="91" t="n"/>
      <c r="AF770" s="91" t="n"/>
      <c r="AG770" s="91" t="n"/>
    </row>
    <row r="771" ht="12.75" customHeight="1" s="117">
      <c r="A771" s="91" t="n"/>
      <c r="B771" s="91" t="n"/>
      <c r="C771" s="91" t="n"/>
      <c r="D771" s="91" t="n"/>
      <c r="E771" s="91" t="n"/>
      <c r="F771" s="91" t="n"/>
      <c r="G771" s="91" t="n"/>
      <c r="H771" s="91" t="n"/>
      <c r="I771" s="91" t="n"/>
      <c r="J771" s="91" t="n"/>
      <c r="K771" s="91" t="n"/>
      <c r="L771" s="91" t="n"/>
      <c r="M771" s="91" t="n"/>
      <c r="N771" s="91" t="n"/>
      <c r="O771" s="91" t="n"/>
      <c r="P771" s="91" t="n"/>
      <c r="Q771" s="91" t="n"/>
      <c r="R771" s="91" t="n"/>
      <c r="S771" s="91" t="n"/>
      <c r="T771" s="91" t="n"/>
      <c r="U771" s="91" t="n"/>
      <c r="V771" s="91" t="n"/>
      <c r="W771" s="91" t="n"/>
      <c r="X771" s="91" t="n"/>
      <c r="Y771" s="91" t="n"/>
      <c r="Z771" s="91" t="n"/>
      <c r="AA771" s="91" t="n"/>
      <c r="AB771" s="91" t="n"/>
      <c r="AC771" s="91" t="n"/>
      <c r="AD771" s="91" t="n"/>
      <c r="AE771" s="91" t="n"/>
      <c r="AF771" s="91" t="n"/>
      <c r="AG771" s="91" t="n"/>
    </row>
    <row r="772" ht="12.75" customHeight="1" s="117">
      <c r="A772" s="91" t="n"/>
      <c r="B772" s="91" t="n"/>
      <c r="C772" s="91" t="n"/>
      <c r="D772" s="91" t="n"/>
      <c r="E772" s="91" t="n"/>
      <c r="F772" s="91" t="n"/>
      <c r="G772" s="91" t="n"/>
      <c r="H772" s="91" t="n"/>
      <c r="I772" s="91" t="n"/>
      <c r="J772" s="91" t="n"/>
      <c r="K772" s="91" t="n"/>
      <c r="L772" s="91" t="n"/>
      <c r="M772" s="91" t="n"/>
      <c r="N772" s="91" t="n"/>
      <c r="O772" s="91" t="n"/>
      <c r="P772" s="91" t="n"/>
      <c r="Q772" s="91" t="n"/>
      <c r="R772" s="91" t="n"/>
      <c r="S772" s="91" t="n"/>
      <c r="T772" s="91" t="n"/>
      <c r="U772" s="91" t="n"/>
      <c r="V772" s="91" t="n"/>
      <c r="W772" s="91" t="n"/>
      <c r="X772" s="91" t="n"/>
      <c r="Y772" s="91" t="n"/>
      <c r="Z772" s="91" t="n"/>
      <c r="AA772" s="91" t="n"/>
      <c r="AB772" s="91" t="n"/>
      <c r="AC772" s="91" t="n"/>
      <c r="AD772" s="91" t="n"/>
      <c r="AE772" s="91" t="n"/>
      <c r="AF772" s="91" t="n"/>
      <c r="AG772" s="91" t="n"/>
    </row>
    <row r="773" ht="12.75" customHeight="1" s="117">
      <c r="A773" s="91" t="n"/>
      <c r="B773" s="91" t="n"/>
      <c r="C773" s="91" t="n"/>
      <c r="D773" s="91" t="n"/>
      <c r="E773" s="91" t="n"/>
      <c r="F773" s="91" t="n"/>
      <c r="G773" s="91" t="n"/>
      <c r="H773" s="91" t="n"/>
      <c r="I773" s="91" t="n"/>
      <c r="J773" s="91" t="n"/>
      <c r="K773" s="91" t="n"/>
      <c r="L773" s="91" t="n"/>
      <c r="M773" s="91" t="n"/>
      <c r="N773" s="91" t="n"/>
      <c r="O773" s="91" t="n"/>
      <c r="P773" s="91" t="n"/>
      <c r="Q773" s="91" t="n"/>
      <c r="R773" s="91" t="n"/>
      <c r="S773" s="91" t="n"/>
      <c r="T773" s="91" t="n"/>
      <c r="U773" s="91" t="n"/>
      <c r="V773" s="91" t="n"/>
      <c r="W773" s="91" t="n"/>
      <c r="X773" s="91" t="n"/>
      <c r="Y773" s="91" t="n"/>
      <c r="Z773" s="91" t="n"/>
      <c r="AA773" s="91" t="n"/>
      <c r="AB773" s="91" t="n"/>
      <c r="AC773" s="91" t="n"/>
      <c r="AD773" s="91" t="n"/>
      <c r="AE773" s="91" t="n"/>
      <c r="AF773" s="91" t="n"/>
      <c r="AG773" s="91" t="n"/>
    </row>
    <row r="774" ht="12.75" customHeight="1" s="117">
      <c r="A774" s="91" t="n"/>
      <c r="B774" s="91" t="n"/>
      <c r="C774" s="91" t="n"/>
      <c r="D774" s="91" t="n"/>
      <c r="E774" s="91" t="n"/>
      <c r="F774" s="91" t="n"/>
      <c r="G774" s="91" t="n"/>
      <c r="H774" s="91" t="n"/>
      <c r="I774" s="91" t="n"/>
      <c r="J774" s="91" t="n"/>
      <c r="K774" s="91" t="n"/>
      <c r="L774" s="91" t="n"/>
      <c r="M774" s="91" t="n"/>
      <c r="N774" s="91" t="n"/>
      <c r="O774" s="91" t="n"/>
      <c r="P774" s="91" t="n"/>
      <c r="Q774" s="91" t="n"/>
      <c r="R774" s="91" t="n"/>
      <c r="S774" s="91" t="n"/>
      <c r="T774" s="91" t="n"/>
      <c r="U774" s="91" t="n"/>
      <c r="V774" s="91" t="n"/>
      <c r="W774" s="91" t="n"/>
      <c r="X774" s="91" t="n"/>
      <c r="Y774" s="91" t="n"/>
      <c r="Z774" s="91" t="n"/>
      <c r="AA774" s="91" t="n"/>
      <c r="AB774" s="91" t="n"/>
      <c r="AC774" s="91" t="n"/>
      <c r="AD774" s="91" t="n"/>
      <c r="AE774" s="91" t="n"/>
      <c r="AF774" s="91" t="n"/>
      <c r="AG774" s="91" t="n"/>
    </row>
    <row r="775" ht="12.75" customHeight="1" s="117">
      <c r="A775" s="91" t="n"/>
      <c r="B775" s="91" t="n"/>
      <c r="C775" s="91" t="n"/>
      <c r="D775" s="91" t="n"/>
      <c r="E775" s="91" t="n"/>
      <c r="F775" s="91" t="n"/>
      <c r="G775" s="91" t="n"/>
      <c r="H775" s="91" t="n"/>
      <c r="I775" s="91" t="n"/>
      <c r="J775" s="91" t="n"/>
      <c r="K775" s="91" t="n"/>
      <c r="L775" s="91" t="n"/>
      <c r="M775" s="91" t="n"/>
      <c r="N775" s="91" t="n"/>
      <c r="O775" s="91" t="n"/>
      <c r="P775" s="91" t="n"/>
      <c r="Q775" s="91" t="n"/>
      <c r="R775" s="91" t="n"/>
      <c r="S775" s="91" t="n"/>
      <c r="T775" s="91" t="n"/>
      <c r="U775" s="91" t="n"/>
      <c r="V775" s="91" t="n"/>
      <c r="W775" s="91" t="n"/>
      <c r="X775" s="91" t="n"/>
      <c r="Y775" s="91" t="n"/>
      <c r="Z775" s="91" t="n"/>
      <c r="AA775" s="91" t="n"/>
      <c r="AB775" s="91" t="n"/>
      <c r="AC775" s="91" t="n"/>
      <c r="AD775" s="91" t="n"/>
      <c r="AE775" s="91" t="n"/>
      <c r="AF775" s="91" t="n"/>
      <c r="AG775" s="91" t="n"/>
    </row>
    <row r="776" ht="12.75" customHeight="1" s="117">
      <c r="A776" s="91" t="n"/>
      <c r="B776" s="91" t="n"/>
      <c r="C776" s="91" t="n"/>
      <c r="D776" s="91" t="n"/>
      <c r="E776" s="91" t="n"/>
      <c r="F776" s="91" t="n"/>
      <c r="G776" s="91" t="n"/>
      <c r="H776" s="91" t="n"/>
      <c r="I776" s="91" t="n"/>
      <c r="J776" s="91" t="n"/>
      <c r="K776" s="91" t="n"/>
      <c r="L776" s="91" t="n"/>
      <c r="M776" s="91" t="n"/>
      <c r="N776" s="91" t="n"/>
      <c r="O776" s="91" t="n"/>
      <c r="P776" s="91" t="n"/>
      <c r="Q776" s="91" t="n"/>
      <c r="R776" s="91" t="n"/>
      <c r="S776" s="91" t="n"/>
      <c r="T776" s="91" t="n"/>
      <c r="U776" s="91" t="n"/>
      <c r="V776" s="91" t="n"/>
      <c r="W776" s="91" t="n"/>
      <c r="X776" s="91" t="n"/>
      <c r="Y776" s="91" t="n"/>
      <c r="Z776" s="91" t="n"/>
      <c r="AA776" s="91" t="n"/>
      <c r="AB776" s="91" t="n"/>
      <c r="AC776" s="91" t="n"/>
      <c r="AD776" s="91" t="n"/>
      <c r="AE776" s="91" t="n"/>
      <c r="AF776" s="91" t="n"/>
      <c r="AG776" s="91" t="n"/>
    </row>
    <row r="777" ht="12.75" customHeight="1" s="117">
      <c r="A777" s="91" t="n"/>
      <c r="B777" s="91" t="n"/>
      <c r="C777" s="91" t="n"/>
      <c r="D777" s="91" t="n"/>
      <c r="E777" s="91" t="n"/>
      <c r="F777" s="91" t="n"/>
      <c r="G777" s="91" t="n"/>
      <c r="H777" s="91" t="n"/>
      <c r="I777" s="91" t="n"/>
      <c r="J777" s="91" t="n"/>
      <c r="K777" s="91" t="n"/>
      <c r="L777" s="91" t="n"/>
      <c r="M777" s="91" t="n"/>
      <c r="N777" s="91" t="n"/>
      <c r="O777" s="91" t="n"/>
      <c r="P777" s="91" t="n"/>
      <c r="Q777" s="91" t="n"/>
      <c r="R777" s="91" t="n"/>
      <c r="S777" s="91" t="n"/>
      <c r="T777" s="91" t="n"/>
      <c r="U777" s="91" t="n"/>
      <c r="V777" s="91" t="n"/>
      <c r="W777" s="91" t="n"/>
      <c r="X777" s="91" t="n"/>
      <c r="Y777" s="91" t="n"/>
      <c r="Z777" s="91" t="n"/>
      <c r="AA777" s="91" t="n"/>
      <c r="AB777" s="91" t="n"/>
      <c r="AC777" s="91" t="n"/>
      <c r="AD777" s="91" t="n"/>
      <c r="AE777" s="91" t="n"/>
      <c r="AF777" s="91" t="n"/>
      <c r="AG777" s="91" t="n"/>
    </row>
    <row r="778" ht="12.75" customHeight="1" s="117">
      <c r="A778" s="91" t="n"/>
      <c r="B778" s="91" t="n"/>
      <c r="C778" s="91" t="n"/>
      <c r="D778" s="91" t="n"/>
      <c r="E778" s="91" t="n"/>
      <c r="F778" s="91" t="n"/>
      <c r="G778" s="91" t="n"/>
      <c r="H778" s="91" t="n"/>
      <c r="I778" s="91" t="n"/>
      <c r="J778" s="91" t="n"/>
      <c r="K778" s="91" t="n"/>
      <c r="L778" s="91" t="n"/>
      <c r="M778" s="91" t="n"/>
      <c r="N778" s="91" t="n"/>
      <c r="O778" s="91" t="n"/>
      <c r="P778" s="91" t="n"/>
      <c r="Q778" s="91" t="n"/>
      <c r="R778" s="91" t="n"/>
      <c r="S778" s="91" t="n"/>
      <c r="T778" s="91" t="n"/>
      <c r="U778" s="91" t="n"/>
      <c r="V778" s="91" t="n"/>
      <c r="W778" s="91" t="n"/>
      <c r="X778" s="91" t="n"/>
      <c r="Y778" s="91" t="n"/>
      <c r="Z778" s="91" t="n"/>
      <c r="AA778" s="91" t="n"/>
      <c r="AB778" s="91" t="n"/>
      <c r="AC778" s="91" t="n"/>
      <c r="AD778" s="91" t="n"/>
      <c r="AE778" s="91" t="n"/>
      <c r="AF778" s="91" t="n"/>
      <c r="AG778" s="91" t="n"/>
    </row>
    <row r="779" ht="12.75" customHeight="1" s="117">
      <c r="A779" s="91" t="n"/>
      <c r="B779" s="91" t="n"/>
      <c r="C779" s="91" t="n"/>
      <c r="D779" s="91" t="n"/>
      <c r="E779" s="91" t="n"/>
      <c r="F779" s="91" t="n"/>
      <c r="G779" s="91" t="n"/>
      <c r="H779" s="91" t="n"/>
      <c r="I779" s="91" t="n"/>
      <c r="J779" s="91" t="n"/>
      <c r="K779" s="91" t="n"/>
      <c r="L779" s="91" t="n"/>
      <c r="M779" s="91" t="n"/>
      <c r="N779" s="91" t="n"/>
      <c r="O779" s="91" t="n"/>
      <c r="P779" s="91" t="n"/>
      <c r="Q779" s="91" t="n"/>
      <c r="R779" s="91" t="n"/>
      <c r="S779" s="91" t="n"/>
      <c r="T779" s="91" t="n"/>
      <c r="U779" s="91" t="n"/>
      <c r="V779" s="91" t="n"/>
      <c r="W779" s="91" t="n"/>
      <c r="X779" s="91" t="n"/>
      <c r="Y779" s="91" t="n"/>
      <c r="Z779" s="91" t="n"/>
      <c r="AA779" s="91" t="n"/>
      <c r="AB779" s="91" t="n"/>
      <c r="AC779" s="91" t="n"/>
      <c r="AD779" s="91" t="n"/>
      <c r="AE779" s="91" t="n"/>
      <c r="AF779" s="91" t="n"/>
      <c r="AG779" s="91" t="n"/>
    </row>
    <row r="780" ht="12.75" customHeight="1" s="117">
      <c r="A780" s="91" t="n"/>
      <c r="B780" s="91" t="n"/>
      <c r="C780" s="91" t="n"/>
      <c r="D780" s="91" t="n"/>
      <c r="E780" s="91" t="n"/>
      <c r="F780" s="91" t="n"/>
      <c r="G780" s="91" t="n"/>
      <c r="H780" s="91" t="n"/>
      <c r="I780" s="91" t="n"/>
      <c r="J780" s="91" t="n"/>
      <c r="K780" s="91" t="n"/>
      <c r="L780" s="91" t="n"/>
      <c r="M780" s="91" t="n"/>
      <c r="N780" s="91" t="n"/>
      <c r="O780" s="91" t="n"/>
      <c r="P780" s="91" t="n"/>
      <c r="Q780" s="91" t="n"/>
      <c r="R780" s="91" t="n"/>
      <c r="S780" s="91" t="n"/>
      <c r="T780" s="91" t="n"/>
      <c r="U780" s="91" t="n"/>
      <c r="V780" s="91" t="n"/>
      <c r="W780" s="91" t="n"/>
      <c r="X780" s="91" t="n"/>
      <c r="Y780" s="91" t="n"/>
      <c r="Z780" s="91" t="n"/>
      <c r="AA780" s="91" t="n"/>
      <c r="AB780" s="91" t="n"/>
      <c r="AC780" s="91" t="n"/>
      <c r="AD780" s="91" t="n"/>
      <c r="AE780" s="91" t="n"/>
      <c r="AF780" s="91" t="n"/>
      <c r="AG780" s="91" t="n"/>
    </row>
    <row r="781" ht="12.75" customHeight="1" s="117">
      <c r="A781" s="91" t="n"/>
      <c r="B781" s="91" t="n"/>
      <c r="C781" s="91" t="n"/>
      <c r="D781" s="91" t="n"/>
      <c r="E781" s="91" t="n"/>
      <c r="F781" s="91" t="n"/>
      <c r="G781" s="91" t="n"/>
      <c r="H781" s="91" t="n"/>
      <c r="I781" s="91" t="n"/>
      <c r="J781" s="91" t="n"/>
      <c r="K781" s="91" t="n"/>
      <c r="L781" s="91" t="n"/>
      <c r="M781" s="91" t="n"/>
      <c r="N781" s="91" t="n"/>
      <c r="O781" s="91" t="n"/>
      <c r="P781" s="91" t="n"/>
      <c r="Q781" s="91" t="n"/>
      <c r="R781" s="91" t="n"/>
      <c r="S781" s="91" t="n"/>
      <c r="T781" s="91" t="n"/>
      <c r="U781" s="91" t="n"/>
      <c r="V781" s="91" t="n"/>
      <c r="W781" s="91" t="n"/>
      <c r="X781" s="91" t="n"/>
      <c r="Y781" s="91" t="n"/>
      <c r="Z781" s="91" t="n"/>
      <c r="AA781" s="91" t="n"/>
      <c r="AB781" s="91" t="n"/>
      <c r="AC781" s="91" t="n"/>
      <c r="AD781" s="91" t="n"/>
      <c r="AE781" s="91" t="n"/>
      <c r="AF781" s="91" t="n"/>
      <c r="AG781" s="91" t="n"/>
    </row>
    <row r="782" ht="12.75" customHeight="1" s="117">
      <c r="A782" s="91" t="n"/>
      <c r="B782" s="91" t="n"/>
      <c r="C782" s="91" t="n"/>
      <c r="D782" s="91" t="n"/>
      <c r="E782" s="91" t="n"/>
      <c r="F782" s="91" t="n"/>
      <c r="G782" s="91" t="n"/>
      <c r="H782" s="91" t="n"/>
      <c r="I782" s="91" t="n"/>
      <c r="J782" s="91" t="n"/>
      <c r="K782" s="91" t="n"/>
      <c r="L782" s="91" t="n"/>
      <c r="M782" s="91" t="n"/>
      <c r="N782" s="91" t="n"/>
      <c r="O782" s="91" t="n"/>
      <c r="P782" s="91" t="n"/>
      <c r="Q782" s="91" t="n"/>
      <c r="R782" s="91" t="n"/>
      <c r="S782" s="91" t="n"/>
      <c r="T782" s="91" t="n"/>
      <c r="U782" s="91" t="n"/>
      <c r="V782" s="91" t="n"/>
      <c r="W782" s="91" t="n"/>
      <c r="X782" s="91" t="n"/>
      <c r="Y782" s="91" t="n"/>
      <c r="Z782" s="91" t="n"/>
      <c r="AA782" s="91" t="n"/>
      <c r="AB782" s="91" t="n"/>
      <c r="AC782" s="91" t="n"/>
      <c r="AD782" s="91" t="n"/>
      <c r="AE782" s="91" t="n"/>
      <c r="AF782" s="91" t="n"/>
      <c r="AG782" s="91" t="n"/>
    </row>
    <row r="783" ht="12.75" customHeight="1" s="117">
      <c r="A783" s="91" t="n"/>
      <c r="B783" s="91" t="n"/>
      <c r="C783" s="91" t="n"/>
      <c r="D783" s="91" t="n"/>
      <c r="E783" s="91" t="n"/>
      <c r="F783" s="91" t="n"/>
      <c r="G783" s="91" t="n"/>
      <c r="H783" s="91" t="n"/>
      <c r="I783" s="91" t="n"/>
      <c r="J783" s="91" t="n"/>
      <c r="K783" s="91" t="n"/>
      <c r="L783" s="91" t="n"/>
      <c r="M783" s="91" t="n"/>
      <c r="N783" s="91" t="n"/>
      <c r="O783" s="91" t="n"/>
      <c r="P783" s="91" t="n"/>
      <c r="Q783" s="91" t="n"/>
      <c r="R783" s="91" t="n"/>
      <c r="S783" s="91" t="n"/>
      <c r="T783" s="91" t="n"/>
      <c r="U783" s="91" t="n"/>
      <c r="V783" s="91" t="n"/>
      <c r="W783" s="91" t="n"/>
      <c r="X783" s="91" t="n"/>
      <c r="Y783" s="91" t="n"/>
      <c r="Z783" s="91" t="n"/>
      <c r="AA783" s="91" t="n"/>
      <c r="AB783" s="91" t="n"/>
      <c r="AC783" s="91" t="n"/>
      <c r="AD783" s="91" t="n"/>
      <c r="AE783" s="91" t="n"/>
      <c r="AF783" s="91" t="n"/>
      <c r="AG783" s="91" t="n"/>
    </row>
    <row r="784" ht="12.75" customHeight="1" s="117">
      <c r="A784" s="91" t="n"/>
      <c r="B784" s="91" t="n"/>
      <c r="C784" s="91" t="n"/>
      <c r="D784" s="91" t="n"/>
      <c r="E784" s="91" t="n"/>
      <c r="F784" s="91" t="n"/>
      <c r="G784" s="91" t="n"/>
      <c r="H784" s="91" t="n"/>
      <c r="I784" s="91" t="n"/>
      <c r="J784" s="91" t="n"/>
      <c r="K784" s="91" t="n"/>
      <c r="L784" s="91" t="n"/>
      <c r="M784" s="91" t="n"/>
      <c r="N784" s="91" t="n"/>
      <c r="O784" s="91" t="n"/>
      <c r="P784" s="91" t="n"/>
      <c r="Q784" s="91" t="n"/>
      <c r="R784" s="91" t="n"/>
      <c r="S784" s="91" t="n"/>
      <c r="T784" s="91" t="n"/>
      <c r="U784" s="91" t="n"/>
      <c r="V784" s="91" t="n"/>
      <c r="W784" s="91" t="n"/>
      <c r="X784" s="91" t="n"/>
      <c r="Y784" s="91" t="n"/>
      <c r="Z784" s="91" t="n"/>
      <c r="AA784" s="91" t="n"/>
      <c r="AB784" s="91" t="n"/>
      <c r="AC784" s="91" t="n"/>
      <c r="AD784" s="91" t="n"/>
      <c r="AE784" s="91" t="n"/>
      <c r="AF784" s="91" t="n"/>
      <c r="AG784" s="91" t="n"/>
    </row>
    <row r="785" ht="12.75" customHeight="1" s="117">
      <c r="A785" s="91" t="n"/>
      <c r="B785" s="91" t="n"/>
      <c r="C785" s="91" t="n"/>
      <c r="D785" s="91" t="n"/>
      <c r="E785" s="91" t="n"/>
      <c r="F785" s="91" t="n"/>
      <c r="G785" s="91" t="n"/>
      <c r="H785" s="91" t="n"/>
      <c r="I785" s="91" t="n"/>
      <c r="J785" s="91" t="n"/>
      <c r="K785" s="91" t="n"/>
      <c r="L785" s="91" t="n"/>
      <c r="M785" s="91" t="n"/>
      <c r="N785" s="91" t="n"/>
      <c r="O785" s="91" t="n"/>
      <c r="P785" s="91" t="n"/>
      <c r="Q785" s="91" t="n"/>
      <c r="R785" s="91" t="n"/>
      <c r="S785" s="91" t="n"/>
      <c r="T785" s="91" t="n"/>
      <c r="U785" s="91" t="n"/>
      <c r="V785" s="91" t="n"/>
      <c r="W785" s="91" t="n"/>
      <c r="X785" s="91" t="n"/>
      <c r="Y785" s="91" t="n"/>
      <c r="Z785" s="91" t="n"/>
      <c r="AA785" s="91" t="n"/>
      <c r="AB785" s="91" t="n"/>
      <c r="AC785" s="91" t="n"/>
      <c r="AD785" s="91" t="n"/>
      <c r="AE785" s="91" t="n"/>
      <c r="AF785" s="91" t="n"/>
      <c r="AG785" s="91" t="n"/>
    </row>
    <row r="786" ht="12.75" customHeight="1" s="117">
      <c r="A786" s="91" t="n"/>
      <c r="B786" s="91" t="n"/>
      <c r="C786" s="91" t="n"/>
      <c r="D786" s="91" t="n"/>
      <c r="E786" s="91" t="n"/>
      <c r="F786" s="91" t="n"/>
      <c r="G786" s="91" t="n"/>
      <c r="H786" s="91" t="n"/>
      <c r="I786" s="91" t="n"/>
      <c r="J786" s="91" t="n"/>
      <c r="K786" s="91" t="n"/>
      <c r="L786" s="91" t="n"/>
      <c r="M786" s="91" t="n"/>
      <c r="N786" s="91" t="n"/>
      <c r="O786" s="91" t="n"/>
      <c r="P786" s="91" t="n"/>
      <c r="Q786" s="91" t="n"/>
      <c r="R786" s="91" t="n"/>
      <c r="S786" s="91" t="n"/>
      <c r="T786" s="91" t="n"/>
      <c r="U786" s="91" t="n"/>
      <c r="V786" s="91" t="n"/>
      <c r="W786" s="91" t="n"/>
      <c r="X786" s="91" t="n"/>
      <c r="Y786" s="91" t="n"/>
      <c r="Z786" s="91" t="n"/>
      <c r="AA786" s="91" t="n"/>
      <c r="AB786" s="91" t="n"/>
      <c r="AC786" s="91" t="n"/>
      <c r="AD786" s="91" t="n"/>
      <c r="AE786" s="91" t="n"/>
      <c r="AF786" s="91" t="n"/>
      <c r="AG786" s="91" t="n"/>
    </row>
    <row r="787" ht="12.75" customHeight="1" s="117">
      <c r="A787" s="91" t="n"/>
      <c r="B787" s="91" t="n"/>
      <c r="C787" s="91" t="n"/>
      <c r="D787" s="91" t="n"/>
      <c r="E787" s="91" t="n"/>
      <c r="F787" s="91" t="n"/>
      <c r="G787" s="91" t="n"/>
      <c r="H787" s="91" t="n"/>
      <c r="I787" s="91" t="n"/>
      <c r="J787" s="91" t="n"/>
      <c r="K787" s="91" t="n"/>
      <c r="L787" s="91" t="n"/>
      <c r="M787" s="91" t="n"/>
      <c r="N787" s="91" t="n"/>
      <c r="O787" s="91" t="n"/>
      <c r="P787" s="91" t="n"/>
      <c r="Q787" s="91" t="n"/>
      <c r="R787" s="91" t="n"/>
      <c r="S787" s="91" t="n"/>
      <c r="T787" s="91" t="n"/>
      <c r="U787" s="91" t="n"/>
      <c r="V787" s="91" t="n"/>
      <c r="W787" s="91" t="n"/>
      <c r="X787" s="91" t="n"/>
      <c r="Y787" s="91" t="n"/>
      <c r="Z787" s="91" t="n"/>
      <c r="AA787" s="91" t="n"/>
      <c r="AB787" s="91" t="n"/>
      <c r="AC787" s="91" t="n"/>
      <c r="AD787" s="91" t="n"/>
      <c r="AE787" s="91" t="n"/>
      <c r="AF787" s="91" t="n"/>
      <c r="AG787" s="91" t="n"/>
    </row>
    <row r="788" ht="12.75" customHeight="1" s="117">
      <c r="A788" s="91" t="n"/>
      <c r="B788" s="91" t="n"/>
      <c r="C788" s="91" t="n"/>
      <c r="D788" s="91" t="n"/>
      <c r="E788" s="91" t="n"/>
      <c r="F788" s="91" t="n"/>
      <c r="G788" s="91" t="n"/>
      <c r="H788" s="91" t="n"/>
      <c r="I788" s="91" t="n"/>
      <c r="J788" s="91" t="n"/>
      <c r="K788" s="91" t="n"/>
      <c r="L788" s="91" t="n"/>
      <c r="M788" s="91" t="n"/>
      <c r="N788" s="91" t="n"/>
      <c r="O788" s="91" t="n"/>
      <c r="P788" s="91" t="n"/>
      <c r="Q788" s="91" t="n"/>
      <c r="R788" s="91" t="n"/>
      <c r="S788" s="91" t="n"/>
      <c r="T788" s="91" t="n"/>
      <c r="U788" s="91" t="n"/>
      <c r="V788" s="91" t="n"/>
      <c r="W788" s="91" t="n"/>
      <c r="X788" s="91" t="n"/>
      <c r="Y788" s="91" t="n"/>
      <c r="Z788" s="91" t="n"/>
      <c r="AA788" s="91" t="n"/>
      <c r="AB788" s="91" t="n"/>
      <c r="AC788" s="91" t="n"/>
      <c r="AD788" s="91" t="n"/>
      <c r="AE788" s="91" t="n"/>
      <c r="AF788" s="91" t="n"/>
      <c r="AG788" s="91" t="n"/>
    </row>
    <row r="789" ht="12.75" customHeight="1" s="117">
      <c r="A789" s="91" t="n"/>
      <c r="B789" s="91" t="n"/>
      <c r="C789" s="91" t="n"/>
      <c r="D789" s="91" t="n"/>
      <c r="E789" s="91" t="n"/>
      <c r="F789" s="91" t="n"/>
      <c r="G789" s="91" t="n"/>
      <c r="H789" s="91" t="n"/>
      <c r="I789" s="91" t="n"/>
      <c r="J789" s="91" t="n"/>
      <c r="K789" s="91" t="n"/>
      <c r="L789" s="91" t="n"/>
      <c r="M789" s="91" t="n"/>
      <c r="N789" s="91" t="n"/>
      <c r="O789" s="91" t="n"/>
      <c r="P789" s="91" t="n"/>
      <c r="Q789" s="91" t="n"/>
      <c r="R789" s="91" t="n"/>
      <c r="S789" s="91" t="n"/>
      <c r="T789" s="91" t="n"/>
      <c r="U789" s="91" t="n"/>
      <c r="V789" s="91" t="n"/>
      <c r="W789" s="91" t="n"/>
      <c r="X789" s="91" t="n"/>
      <c r="Y789" s="91" t="n"/>
      <c r="Z789" s="91" t="n"/>
      <c r="AA789" s="91" t="n"/>
      <c r="AB789" s="91" t="n"/>
      <c r="AC789" s="91" t="n"/>
      <c r="AD789" s="91" t="n"/>
      <c r="AE789" s="91" t="n"/>
      <c r="AF789" s="91" t="n"/>
      <c r="AG789" s="91" t="n"/>
    </row>
    <row r="790" ht="12.75" customHeight="1" s="117">
      <c r="A790" s="91" t="n"/>
      <c r="B790" s="91" t="n"/>
      <c r="C790" s="91" t="n"/>
      <c r="D790" s="91" t="n"/>
      <c r="E790" s="91" t="n"/>
      <c r="F790" s="91" t="n"/>
      <c r="G790" s="91" t="n"/>
      <c r="H790" s="91" t="n"/>
      <c r="I790" s="91" t="n"/>
      <c r="J790" s="91" t="n"/>
      <c r="K790" s="91" t="n"/>
      <c r="L790" s="91" t="n"/>
      <c r="M790" s="91" t="n"/>
      <c r="N790" s="91" t="n"/>
      <c r="O790" s="91" t="n"/>
      <c r="P790" s="91" t="n"/>
      <c r="Q790" s="91" t="n"/>
      <c r="R790" s="91" t="n"/>
      <c r="S790" s="91" t="n"/>
      <c r="T790" s="91" t="n"/>
      <c r="U790" s="91" t="n"/>
      <c r="V790" s="91" t="n"/>
      <c r="W790" s="91" t="n"/>
      <c r="X790" s="91" t="n"/>
      <c r="Y790" s="91" t="n"/>
      <c r="Z790" s="91" t="n"/>
      <c r="AA790" s="91" t="n"/>
      <c r="AB790" s="91" t="n"/>
      <c r="AC790" s="91" t="n"/>
      <c r="AD790" s="91" t="n"/>
      <c r="AE790" s="91" t="n"/>
      <c r="AF790" s="91" t="n"/>
      <c r="AG790" s="91" t="n"/>
    </row>
    <row r="791" ht="12.75" customHeight="1" s="117">
      <c r="A791" s="91" t="n"/>
      <c r="B791" s="91" t="n"/>
      <c r="C791" s="91" t="n"/>
      <c r="D791" s="91" t="n"/>
      <c r="E791" s="91" t="n"/>
      <c r="F791" s="91" t="n"/>
      <c r="G791" s="91" t="n"/>
      <c r="H791" s="91" t="n"/>
      <c r="I791" s="91" t="n"/>
      <c r="J791" s="91" t="n"/>
      <c r="K791" s="91" t="n"/>
      <c r="L791" s="91" t="n"/>
      <c r="M791" s="91" t="n"/>
      <c r="N791" s="91" t="n"/>
      <c r="O791" s="91" t="n"/>
      <c r="P791" s="91" t="n"/>
      <c r="Q791" s="91" t="n"/>
      <c r="R791" s="91" t="n"/>
      <c r="S791" s="91" t="n"/>
      <c r="T791" s="91" t="n"/>
      <c r="U791" s="91" t="n"/>
      <c r="V791" s="91" t="n"/>
      <c r="W791" s="91" t="n"/>
      <c r="X791" s="91" t="n"/>
      <c r="Y791" s="91" t="n"/>
      <c r="Z791" s="91" t="n"/>
      <c r="AA791" s="91" t="n"/>
      <c r="AB791" s="91" t="n"/>
      <c r="AC791" s="91" t="n"/>
      <c r="AD791" s="91" t="n"/>
      <c r="AE791" s="91" t="n"/>
      <c r="AF791" s="91" t="n"/>
      <c r="AG791" s="91" t="n"/>
    </row>
    <row r="792" ht="12.75" customHeight="1" s="117">
      <c r="A792" s="91" t="n"/>
      <c r="B792" s="91" t="n"/>
      <c r="C792" s="91" t="n"/>
      <c r="D792" s="91" t="n"/>
      <c r="E792" s="91" t="n"/>
      <c r="F792" s="91" t="n"/>
      <c r="G792" s="91" t="n"/>
      <c r="H792" s="91" t="n"/>
      <c r="I792" s="91" t="n"/>
      <c r="J792" s="91" t="n"/>
      <c r="K792" s="91" t="n"/>
      <c r="L792" s="91" t="n"/>
      <c r="M792" s="91" t="n"/>
      <c r="N792" s="91" t="n"/>
      <c r="O792" s="91" t="n"/>
      <c r="P792" s="91" t="n"/>
      <c r="Q792" s="91" t="n"/>
      <c r="R792" s="91" t="n"/>
      <c r="S792" s="91" t="n"/>
      <c r="T792" s="91" t="n"/>
      <c r="U792" s="91" t="n"/>
      <c r="V792" s="91" t="n"/>
      <c r="W792" s="91" t="n"/>
      <c r="X792" s="91" t="n"/>
      <c r="Y792" s="91" t="n"/>
      <c r="Z792" s="91" t="n"/>
      <c r="AA792" s="91" t="n"/>
      <c r="AB792" s="91" t="n"/>
      <c r="AC792" s="91" t="n"/>
      <c r="AD792" s="91" t="n"/>
      <c r="AE792" s="91" t="n"/>
      <c r="AF792" s="91" t="n"/>
      <c r="AG792" s="91" t="n"/>
    </row>
    <row r="793" ht="12.75" customHeight="1" s="117">
      <c r="A793" s="91" t="n"/>
      <c r="B793" s="91" t="n"/>
      <c r="C793" s="91" t="n"/>
      <c r="D793" s="91" t="n"/>
      <c r="E793" s="91" t="n"/>
      <c r="F793" s="91" t="n"/>
      <c r="G793" s="91" t="n"/>
      <c r="H793" s="91" t="n"/>
      <c r="I793" s="91" t="n"/>
      <c r="J793" s="91" t="n"/>
      <c r="K793" s="91" t="n"/>
      <c r="L793" s="91" t="n"/>
      <c r="M793" s="91" t="n"/>
      <c r="N793" s="91" t="n"/>
      <c r="O793" s="91" t="n"/>
      <c r="P793" s="91" t="n"/>
      <c r="Q793" s="91" t="n"/>
      <c r="R793" s="91" t="n"/>
      <c r="S793" s="91" t="n"/>
      <c r="T793" s="91" t="n"/>
      <c r="U793" s="91" t="n"/>
      <c r="V793" s="91" t="n"/>
      <c r="W793" s="91" t="n"/>
      <c r="X793" s="91" t="n"/>
      <c r="Y793" s="91" t="n"/>
      <c r="Z793" s="91" t="n"/>
      <c r="AA793" s="91" t="n"/>
      <c r="AB793" s="91" t="n"/>
      <c r="AC793" s="91" t="n"/>
      <c r="AD793" s="91" t="n"/>
      <c r="AE793" s="91" t="n"/>
      <c r="AF793" s="91" t="n"/>
      <c r="AG793" s="91" t="n"/>
    </row>
    <row r="794" ht="12.75" customHeight="1" s="117">
      <c r="A794" s="91" t="n"/>
      <c r="B794" s="91" t="n"/>
      <c r="C794" s="91" t="n"/>
      <c r="D794" s="91" t="n"/>
      <c r="E794" s="91" t="n"/>
      <c r="F794" s="91" t="n"/>
      <c r="G794" s="91" t="n"/>
      <c r="H794" s="91" t="n"/>
      <c r="I794" s="91" t="n"/>
      <c r="J794" s="91" t="n"/>
      <c r="K794" s="91" t="n"/>
      <c r="L794" s="91" t="n"/>
      <c r="M794" s="91" t="n"/>
      <c r="N794" s="91" t="n"/>
      <c r="O794" s="91" t="n"/>
      <c r="P794" s="91" t="n"/>
      <c r="Q794" s="91" t="n"/>
      <c r="R794" s="91" t="n"/>
      <c r="S794" s="91" t="n"/>
      <c r="T794" s="91" t="n"/>
      <c r="U794" s="91" t="n"/>
      <c r="V794" s="91" t="n"/>
      <c r="W794" s="91" t="n"/>
      <c r="X794" s="91" t="n"/>
      <c r="Y794" s="91" t="n"/>
      <c r="Z794" s="91" t="n"/>
      <c r="AA794" s="91" t="n"/>
      <c r="AB794" s="91" t="n"/>
      <c r="AC794" s="91" t="n"/>
      <c r="AD794" s="91" t="n"/>
      <c r="AE794" s="91" t="n"/>
      <c r="AF794" s="91" t="n"/>
      <c r="AG794" s="91" t="n"/>
    </row>
    <row r="795" ht="12.75" customHeight="1" s="117">
      <c r="A795" s="91" t="n"/>
      <c r="B795" s="91" t="n"/>
      <c r="C795" s="91" t="n"/>
      <c r="D795" s="91" t="n"/>
      <c r="E795" s="91" t="n"/>
      <c r="F795" s="91" t="n"/>
      <c r="G795" s="91" t="n"/>
      <c r="H795" s="91" t="n"/>
      <c r="I795" s="91" t="n"/>
      <c r="J795" s="91" t="n"/>
      <c r="K795" s="91" t="n"/>
      <c r="L795" s="91" t="n"/>
      <c r="M795" s="91" t="n"/>
      <c r="N795" s="91" t="n"/>
      <c r="O795" s="91" t="n"/>
      <c r="P795" s="91" t="n"/>
      <c r="Q795" s="91" t="n"/>
      <c r="R795" s="91" t="n"/>
      <c r="S795" s="91" t="n"/>
      <c r="T795" s="91" t="n"/>
      <c r="U795" s="91" t="n"/>
      <c r="V795" s="91" t="n"/>
      <c r="W795" s="91" t="n"/>
      <c r="X795" s="91" t="n"/>
      <c r="Y795" s="91" t="n"/>
      <c r="Z795" s="91" t="n"/>
      <c r="AA795" s="91" t="n"/>
      <c r="AB795" s="91" t="n"/>
      <c r="AC795" s="91" t="n"/>
      <c r="AD795" s="91" t="n"/>
      <c r="AE795" s="91" t="n"/>
      <c r="AF795" s="91" t="n"/>
      <c r="AG795" s="91" t="n"/>
    </row>
    <row r="796" ht="12.75" customHeight="1" s="117">
      <c r="A796" s="91" t="n"/>
      <c r="B796" s="91" t="n"/>
      <c r="C796" s="91" t="n"/>
      <c r="D796" s="91" t="n"/>
      <c r="E796" s="91" t="n"/>
      <c r="F796" s="91" t="n"/>
      <c r="G796" s="91" t="n"/>
      <c r="H796" s="91" t="n"/>
      <c r="I796" s="91" t="n"/>
      <c r="J796" s="91" t="n"/>
      <c r="K796" s="91" t="n"/>
      <c r="L796" s="91" t="n"/>
      <c r="M796" s="91" t="n"/>
      <c r="N796" s="91" t="n"/>
      <c r="O796" s="91" t="n"/>
      <c r="P796" s="91" t="n"/>
      <c r="Q796" s="91" t="n"/>
      <c r="R796" s="91" t="n"/>
      <c r="S796" s="91" t="n"/>
      <c r="T796" s="91" t="n"/>
      <c r="U796" s="91" t="n"/>
      <c r="V796" s="91" t="n"/>
      <c r="W796" s="91" t="n"/>
      <c r="X796" s="91" t="n"/>
      <c r="Y796" s="91" t="n"/>
      <c r="Z796" s="91" t="n"/>
      <c r="AA796" s="91" t="n"/>
      <c r="AB796" s="91" t="n"/>
      <c r="AC796" s="91" t="n"/>
      <c r="AD796" s="91" t="n"/>
      <c r="AE796" s="91" t="n"/>
      <c r="AF796" s="91" t="n"/>
      <c r="AG796" s="91" t="n"/>
    </row>
    <row r="797" ht="12.75" customHeight="1" s="117">
      <c r="A797" s="91" t="n"/>
      <c r="B797" s="91" t="n"/>
      <c r="C797" s="91" t="n"/>
      <c r="D797" s="91" t="n"/>
      <c r="E797" s="91" t="n"/>
      <c r="F797" s="91" t="n"/>
      <c r="G797" s="91" t="n"/>
      <c r="H797" s="91" t="n"/>
      <c r="I797" s="91" t="n"/>
      <c r="J797" s="91" t="n"/>
      <c r="K797" s="91" t="n"/>
      <c r="L797" s="91" t="n"/>
      <c r="M797" s="91" t="n"/>
      <c r="N797" s="91" t="n"/>
      <c r="O797" s="91" t="n"/>
      <c r="P797" s="91" t="n"/>
      <c r="Q797" s="91" t="n"/>
      <c r="R797" s="91" t="n"/>
      <c r="S797" s="91" t="n"/>
      <c r="T797" s="91" t="n"/>
      <c r="U797" s="91" t="n"/>
      <c r="V797" s="91" t="n"/>
      <c r="W797" s="91" t="n"/>
      <c r="X797" s="91" t="n"/>
      <c r="Y797" s="91" t="n"/>
      <c r="Z797" s="91" t="n"/>
      <c r="AA797" s="91" t="n"/>
      <c r="AB797" s="91" t="n"/>
      <c r="AC797" s="91" t="n"/>
      <c r="AD797" s="91" t="n"/>
      <c r="AE797" s="91" t="n"/>
      <c r="AF797" s="91" t="n"/>
      <c r="AG797" s="91" t="n"/>
    </row>
    <row r="798" ht="12.75" customHeight="1" s="117">
      <c r="A798" s="91" t="n"/>
      <c r="B798" s="91" t="n"/>
      <c r="C798" s="91" t="n"/>
      <c r="D798" s="91" t="n"/>
      <c r="E798" s="91" t="n"/>
      <c r="F798" s="91" t="n"/>
      <c r="G798" s="91" t="n"/>
      <c r="H798" s="91" t="n"/>
      <c r="I798" s="91" t="n"/>
      <c r="J798" s="91" t="n"/>
      <c r="K798" s="91" t="n"/>
      <c r="L798" s="91" t="n"/>
      <c r="M798" s="91" t="n"/>
      <c r="N798" s="91" t="n"/>
      <c r="O798" s="91" t="n"/>
      <c r="P798" s="91" t="n"/>
      <c r="Q798" s="91" t="n"/>
      <c r="R798" s="91" t="n"/>
      <c r="S798" s="91" t="n"/>
      <c r="T798" s="91" t="n"/>
      <c r="U798" s="91" t="n"/>
      <c r="V798" s="91" t="n"/>
      <c r="W798" s="91" t="n"/>
      <c r="X798" s="91" t="n"/>
      <c r="Y798" s="91" t="n"/>
      <c r="Z798" s="91" t="n"/>
      <c r="AA798" s="91" t="n"/>
      <c r="AB798" s="91" t="n"/>
      <c r="AC798" s="91" t="n"/>
      <c r="AD798" s="91" t="n"/>
      <c r="AE798" s="91" t="n"/>
      <c r="AF798" s="91" t="n"/>
      <c r="AG798" s="91" t="n"/>
    </row>
    <row r="799" ht="12.75" customHeight="1" s="117">
      <c r="A799" s="91" t="n"/>
      <c r="B799" s="91" t="n"/>
      <c r="C799" s="91" t="n"/>
      <c r="D799" s="91" t="n"/>
      <c r="E799" s="91" t="n"/>
      <c r="F799" s="91" t="n"/>
      <c r="G799" s="91" t="n"/>
      <c r="H799" s="91" t="n"/>
      <c r="I799" s="91" t="n"/>
      <c r="J799" s="91" t="n"/>
      <c r="K799" s="91" t="n"/>
      <c r="L799" s="91" t="n"/>
      <c r="M799" s="91" t="n"/>
      <c r="N799" s="91" t="n"/>
      <c r="O799" s="91" t="n"/>
      <c r="P799" s="91" t="n"/>
      <c r="Q799" s="91" t="n"/>
      <c r="R799" s="91" t="n"/>
      <c r="S799" s="91" t="n"/>
      <c r="T799" s="91" t="n"/>
      <c r="U799" s="91" t="n"/>
      <c r="V799" s="91" t="n"/>
      <c r="W799" s="91" t="n"/>
      <c r="X799" s="91" t="n"/>
      <c r="Y799" s="91" t="n"/>
      <c r="Z799" s="91" t="n"/>
      <c r="AA799" s="91" t="n"/>
      <c r="AB799" s="91" t="n"/>
      <c r="AC799" s="91" t="n"/>
      <c r="AD799" s="91" t="n"/>
      <c r="AE799" s="91" t="n"/>
      <c r="AF799" s="91" t="n"/>
      <c r="AG799" s="91" t="n"/>
    </row>
    <row r="800" ht="12.75" customHeight="1" s="117">
      <c r="A800" s="91" t="n"/>
      <c r="B800" s="91" t="n"/>
      <c r="C800" s="91" t="n"/>
      <c r="D800" s="91" t="n"/>
      <c r="E800" s="91" t="n"/>
      <c r="F800" s="91" t="n"/>
      <c r="G800" s="91" t="n"/>
      <c r="H800" s="91" t="n"/>
      <c r="I800" s="91" t="n"/>
      <c r="J800" s="91" t="n"/>
      <c r="K800" s="91" t="n"/>
      <c r="L800" s="91" t="n"/>
      <c r="M800" s="91" t="n"/>
      <c r="N800" s="91" t="n"/>
      <c r="O800" s="91" t="n"/>
      <c r="P800" s="91" t="n"/>
      <c r="Q800" s="91" t="n"/>
      <c r="R800" s="91" t="n"/>
      <c r="S800" s="91" t="n"/>
      <c r="T800" s="91" t="n"/>
      <c r="U800" s="91" t="n"/>
      <c r="V800" s="91" t="n"/>
      <c r="W800" s="91" t="n"/>
      <c r="X800" s="91" t="n"/>
      <c r="Y800" s="91" t="n"/>
      <c r="Z800" s="91" t="n"/>
      <c r="AA800" s="91" t="n"/>
      <c r="AB800" s="91" t="n"/>
      <c r="AC800" s="91" t="n"/>
      <c r="AD800" s="91" t="n"/>
      <c r="AE800" s="91" t="n"/>
      <c r="AF800" s="91" t="n"/>
      <c r="AG800" s="91" t="n"/>
    </row>
    <row r="801" ht="12.75" customHeight="1" s="117">
      <c r="A801" s="91" t="n"/>
      <c r="B801" s="91" t="n"/>
      <c r="C801" s="91" t="n"/>
      <c r="D801" s="91" t="n"/>
      <c r="E801" s="91" t="n"/>
      <c r="F801" s="91" t="n"/>
      <c r="G801" s="91" t="n"/>
      <c r="H801" s="91" t="n"/>
      <c r="I801" s="91" t="n"/>
      <c r="J801" s="91" t="n"/>
      <c r="K801" s="91" t="n"/>
      <c r="L801" s="91" t="n"/>
      <c r="M801" s="91" t="n"/>
      <c r="N801" s="91" t="n"/>
      <c r="O801" s="91" t="n"/>
      <c r="P801" s="91" t="n"/>
      <c r="Q801" s="91" t="n"/>
      <c r="R801" s="91" t="n"/>
      <c r="S801" s="91" t="n"/>
      <c r="T801" s="91" t="n"/>
      <c r="U801" s="91" t="n"/>
      <c r="V801" s="91" t="n"/>
      <c r="W801" s="91" t="n"/>
      <c r="X801" s="91" t="n"/>
      <c r="Y801" s="91" t="n"/>
      <c r="Z801" s="91" t="n"/>
      <c r="AA801" s="91" t="n"/>
      <c r="AB801" s="91" t="n"/>
      <c r="AC801" s="91" t="n"/>
      <c r="AD801" s="91" t="n"/>
      <c r="AE801" s="91" t="n"/>
      <c r="AF801" s="91" t="n"/>
      <c r="AG801" s="91" t="n"/>
    </row>
    <row r="802" ht="12.75" customHeight="1" s="117">
      <c r="A802" s="91" t="n"/>
      <c r="B802" s="91" t="n"/>
      <c r="C802" s="91" t="n"/>
      <c r="D802" s="91" t="n"/>
      <c r="E802" s="91" t="n"/>
      <c r="F802" s="91" t="n"/>
      <c r="G802" s="91" t="n"/>
      <c r="H802" s="91" t="n"/>
      <c r="I802" s="91" t="n"/>
      <c r="J802" s="91" t="n"/>
      <c r="K802" s="91" t="n"/>
      <c r="L802" s="91" t="n"/>
      <c r="M802" s="91" t="n"/>
      <c r="N802" s="91" t="n"/>
      <c r="O802" s="91" t="n"/>
      <c r="P802" s="91" t="n"/>
      <c r="Q802" s="91" t="n"/>
      <c r="R802" s="91" t="n"/>
      <c r="S802" s="91" t="n"/>
      <c r="T802" s="91" t="n"/>
      <c r="U802" s="91" t="n"/>
      <c r="V802" s="91" t="n"/>
      <c r="W802" s="91" t="n"/>
      <c r="X802" s="91" t="n"/>
      <c r="Y802" s="91" t="n"/>
      <c r="Z802" s="91" t="n"/>
      <c r="AA802" s="91" t="n"/>
      <c r="AB802" s="91" t="n"/>
      <c r="AC802" s="91" t="n"/>
      <c r="AD802" s="91" t="n"/>
      <c r="AE802" s="91" t="n"/>
      <c r="AF802" s="91" t="n"/>
      <c r="AG802" s="91" t="n"/>
    </row>
    <row r="803" ht="12.75" customHeight="1" s="117">
      <c r="A803" s="91" t="n"/>
      <c r="B803" s="91" t="n"/>
      <c r="C803" s="91" t="n"/>
      <c r="D803" s="91" t="n"/>
      <c r="E803" s="91" t="n"/>
      <c r="F803" s="91" t="n"/>
      <c r="G803" s="91" t="n"/>
      <c r="H803" s="91" t="n"/>
      <c r="I803" s="91" t="n"/>
      <c r="J803" s="91" t="n"/>
      <c r="K803" s="91" t="n"/>
      <c r="L803" s="91" t="n"/>
      <c r="M803" s="91" t="n"/>
      <c r="N803" s="91" t="n"/>
      <c r="O803" s="91" t="n"/>
      <c r="P803" s="91" t="n"/>
      <c r="Q803" s="91" t="n"/>
      <c r="R803" s="91" t="n"/>
      <c r="S803" s="91" t="n"/>
      <c r="T803" s="91" t="n"/>
      <c r="U803" s="91" t="n"/>
      <c r="V803" s="91" t="n"/>
      <c r="W803" s="91" t="n"/>
      <c r="X803" s="91" t="n"/>
      <c r="Y803" s="91" t="n"/>
      <c r="Z803" s="91" t="n"/>
      <c r="AA803" s="91" t="n"/>
      <c r="AB803" s="91" t="n"/>
      <c r="AC803" s="91" t="n"/>
      <c r="AD803" s="91" t="n"/>
      <c r="AE803" s="91" t="n"/>
      <c r="AF803" s="91" t="n"/>
      <c r="AG803" s="91" t="n"/>
    </row>
    <row r="804" ht="12.75" customHeight="1" s="117">
      <c r="A804" s="91" t="n"/>
      <c r="B804" s="91" t="n"/>
      <c r="C804" s="91" t="n"/>
      <c r="D804" s="91" t="n"/>
      <c r="E804" s="91" t="n"/>
      <c r="F804" s="91" t="n"/>
      <c r="G804" s="91" t="n"/>
      <c r="H804" s="91" t="n"/>
      <c r="I804" s="91" t="n"/>
      <c r="J804" s="91" t="n"/>
      <c r="K804" s="91" t="n"/>
      <c r="L804" s="91" t="n"/>
      <c r="M804" s="91" t="n"/>
      <c r="N804" s="91" t="n"/>
      <c r="O804" s="91" t="n"/>
      <c r="P804" s="91" t="n"/>
      <c r="Q804" s="91" t="n"/>
      <c r="R804" s="91" t="n"/>
      <c r="S804" s="91" t="n"/>
      <c r="T804" s="91" t="n"/>
      <c r="U804" s="91" t="n"/>
      <c r="V804" s="91" t="n"/>
      <c r="W804" s="91" t="n"/>
      <c r="X804" s="91" t="n"/>
      <c r="Y804" s="91" t="n"/>
      <c r="Z804" s="91" t="n"/>
      <c r="AA804" s="91" t="n"/>
      <c r="AB804" s="91" t="n"/>
      <c r="AC804" s="91" t="n"/>
      <c r="AD804" s="91" t="n"/>
      <c r="AE804" s="91" t="n"/>
      <c r="AF804" s="91" t="n"/>
      <c r="AG804" s="91" t="n"/>
    </row>
    <row r="805" ht="12.75" customHeight="1" s="117">
      <c r="A805" s="91" t="n"/>
      <c r="B805" s="91" t="n"/>
      <c r="C805" s="91" t="n"/>
      <c r="D805" s="91" t="n"/>
      <c r="E805" s="91" t="n"/>
      <c r="F805" s="91" t="n"/>
      <c r="G805" s="91" t="n"/>
      <c r="H805" s="91" t="n"/>
      <c r="I805" s="91" t="n"/>
      <c r="J805" s="91" t="n"/>
      <c r="K805" s="91" t="n"/>
      <c r="L805" s="91" t="n"/>
      <c r="M805" s="91" t="n"/>
      <c r="N805" s="91" t="n"/>
      <c r="O805" s="91" t="n"/>
      <c r="P805" s="91" t="n"/>
      <c r="Q805" s="91" t="n"/>
      <c r="R805" s="91" t="n"/>
      <c r="S805" s="91" t="n"/>
      <c r="T805" s="91" t="n"/>
      <c r="U805" s="91" t="n"/>
      <c r="V805" s="91" t="n"/>
      <c r="W805" s="91" t="n"/>
      <c r="X805" s="91" t="n"/>
      <c r="Y805" s="91" t="n"/>
      <c r="Z805" s="91" t="n"/>
      <c r="AA805" s="91" t="n"/>
      <c r="AB805" s="91" t="n"/>
      <c r="AC805" s="91" t="n"/>
      <c r="AD805" s="91" t="n"/>
      <c r="AE805" s="91" t="n"/>
      <c r="AF805" s="91" t="n"/>
      <c r="AG805" s="91" t="n"/>
    </row>
    <row r="806" ht="12.75" customHeight="1" s="117">
      <c r="A806" s="91" t="n"/>
      <c r="B806" s="91" t="n"/>
      <c r="C806" s="91" t="n"/>
      <c r="D806" s="91" t="n"/>
      <c r="E806" s="91" t="n"/>
      <c r="F806" s="91" t="n"/>
      <c r="G806" s="91" t="n"/>
      <c r="H806" s="91" t="n"/>
      <c r="I806" s="91" t="n"/>
      <c r="J806" s="91" t="n"/>
      <c r="K806" s="91" t="n"/>
      <c r="L806" s="91" t="n"/>
      <c r="M806" s="91" t="n"/>
      <c r="N806" s="91" t="n"/>
      <c r="O806" s="91" t="n"/>
      <c r="P806" s="91" t="n"/>
      <c r="Q806" s="91" t="n"/>
      <c r="R806" s="91" t="n"/>
      <c r="S806" s="91" t="n"/>
      <c r="T806" s="91" t="n"/>
      <c r="U806" s="91" t="n"/>
      <c r="V806" s="91" t="n"/>
      <c r="W806" s="91" t="n"/>
      <c r="X806" s="91" t="n"/>
      <c r="Y806" s="91" t="n"/>
      <c r="Z806" s="91" t="n"/>
      <c r="AA806" s="91" t="n"/>
      <c r="AB806" s="91" t="n"/>
      <c r="AC806" s="91" t="n"/>
      <c r="AD806" s="91" t="n"/>
      <c r="AE806" s="91" t="n"/>
      <c r="AF806" s="91" t="n"/>
      <c r="AG806" s="91" t="n"/>
    </row>
    <row r="807" ht="12.75" customHeight="1" s="117">
      <c r="A807" s="91" t="n"/>
      <c r="B807" s="91" t="n"/>
      <c r="C807" s="91" t="n"/>
      <c r="D807" s="91" t="n"/>
      <c r="E807" s="91" t="n"/>
      <c r="F807" s="91" t="n"/>
      <c r="G807" s="91" t="n"/>
      <c r="H807" s="91" t="n"/>
      <c r="I807" s="91" t="n"/>
      <c r="J807" s="91" t="n"/>
      <c r="K807" s="91" t="n"/>
      <c r="L807" s="91" t="n"/>
      <c r="M807" s="91" t="n"/>
      <c r="N807" s="91" t="n"/>
      <c r="O807" s="91" t="n"/>
      <c r="P807" s="91" t="n"/>
      <c r="Q807" s="91" t="n"/>
      <c r="R807" s="91" t="n"/>
      <c r="S807" s="91" t="n"/>
      <c r="T807" s="91" t="n"/>
      <c r="U807" s="91" t="n"/>
      <c r="V807" s="91" t="n"/>
      <c r="W807" s="91" t="n"/>
      <c r="X807" s="91" t="n"/>
      <c r="Y807" s="91" t="n"/>
      <c r="Z807" s="91" t="n"/>
      <c r="AA807" s="91" t="n"/>
      <c r="AB807" s="91" t="n"/>
      <c r="AC807" s="91" t="n"/>
      <c r="AD807" s="91" t="n"/>
      <c r="AE807" s="91" t="n"/>
      <c r="AF807" s="91" t="n"/>
      <c r="AG807" s="91" t="n"/>
    </row>
    <row r="808" ht="12.75" customHeight="1" s="117">
      <c r="A808" s="91" t="n"/>
      <c r="B808" s="91" t="n"/>
      <c r="C808" s="91" t="n"/>
      <c r="D808" s="91" t="n"/>
      <c r="E808" s="91" t="n"/>
      <c r="F808" s="91" t="n"/>
      <c r="G808" s="91" t="n"/>
      <c r="H808" s="91" t="n"/>
      <c r="I808" s="91" t="n"/>
      <c r="J808" s="91" t="n"/>
      <c r="K808" s="91" t="n"/>
      <c r="L808" s="91" t="n"/>
      <c r="M808" s="91" t="n"/>
      <c r="N808" s="91" t="n"/>
      <c r="O808" s="91" t="n"/>
      <c r="P808" s="91" t="n"/>
      <c r="Q808" s="91" t="n"/>
      <c r="R808" s="91" t="n"/>
      <c r="S808" s="91" t="n"/>
      <c r="T808" s="91" t="n"/>
      <c r="U808" s="91" t="n"/>
      <c r="V808" s="91" t="n"/>
      <c r="W808" s="91" t="n"/>
      <c r="X808" s="91" t="n"/>
      <c r="Y808" s="91" t="n"/>
      <c r="Z808" s="91" t="n"/>
      <c r="AA808" s="91" t="n"/>
      <c r="AB808" s="91" t="n"/>
      <c r="AC808" s="91" t="n"/>
      <c r="AD808" s="91" t="n"/>
      <c r="AE808" s="91" t="n"/>
      <c r="AF808" s="91" t="n"/>
      <c r="AG808" s="91" t="n"/>
    </row>
    <row r="809" ht="12.75" customHeight="1" s="117">
      <c r="A809" s="91" t="n"/>
      <c r="B809" s="91" t="n"/>
      <c r="C809" s="91" t="n"/>
      <c r="D809" s="91" t="n"/>
      <c r="E809" s="91" t="n"/>
      <c r="F809" s="91" t="n"/>
      <c r="G809" s="91" t="n"/>
      <c r="H809" s="91" t="n"/>
      <c r="I809" s="91" t="n"/>
      <c r="J809" s="91" t="n"/>
      <c r="K809" s="91" t="n"/>
      <c r="L809" s="91" t="n"/>
      <c r="M809" s="91" t="n"/>
      <c r="N809" s="91" t="n"/>
      <c r="O809" s="91" t="n"/>
      <c r="P809" s="91" t="n"/>
      <c r="Q809" s="91" t="n"/>
      <c r="R809" s="91" t="n"/>
      <c r="S809" s="91" t="n"/>
      <c r="T809" s="91" t="n"/>
      <c r="U809" s="91" t="n"/>
      <c r="V809" s="91" t="n"/>
      <c r="W809" s="91" t="n"/>
      <c r="X809" s="91" t="n"/>
      <c r="Y809" s="91" t="n"/>
      <c r="Z809" s="91" t="n"/>
      <c r="AA809" s="91" t="n"/>
      <c r="AB809" s="91" t="n"/>
      <c r="AC809" s="91" t="n"/>
      <c r="AD809" s="91" t="n"/>
      <c r="AE809" s="91" t="n"/>
      <c r="AF809" s="91" t="n"/>
      <c r="AG809" s="91" t="n"/>
    </row>
    <row r="810" ht="12.75" customHeight="1" s="117">
      <c r="A810" s="91" t="n"/>
      <c r="B810" s="91" t="n"/>
      <c r="C810" s="91" t="n"/>
      <c r="D810" s="91" t="n"/>
      <c r="E810" s="91" t="n"/>
      <c r="F810" s="91" t="n"/>
      <c r="G810" s="91" t="n"/>
      <c r="H810" s="91" t="n"/>
      <c r="I810" s="91" t="n"/>
      <c r="J810" s="91" t="n"/>
      <c r="K810" s="91" t="n"/>
      <c r="L810" s="91" t="n"/>
      <c r="M810" s="91" t="n"/>
      <c r="N810" s="91" t="n"/>
      <c r="O810" s="91" t="n"/>
      <c r="P810" s="91" t="n"/>
      <c r="Q810" s="91" t="n"/>
      <c r="R810" s="91" t="n"/>
      <c r="S810" s="91" t="n"/>
      <c r="T810" s="91" t="n"/>
      <c r="U810" s="91" t="n"/>
      <c r="V810" s="91" t="n"/>
      <c r="W810" s="91" t="n"/>
      <c r="X810" s="91" t="n"/>
      <c r="Y810" s="91" t="n"/>
      <c r="Z810" s="91" t="n"/>
      <c r="AA810" s="91" t="n"/>
      <c r="AB810" s="91" t="n"/>
      <c r="AC810" s="91" t="n"/>
      <c r="AD810" s="91" t="n"/>
      <c r="AE810" s="91" t="n"/>
      <c r="AF810" s="91" t="n"/>
      <c r="AG810" s="91" t="n"/>
    </row>
    <row r="811" ht="12.75" customHeight="1" s="117">
      <c r="A811" s="91" t="n"/>
      <c r="B811" s="91" t="n"/>
      <c r="C811" s="91" t="n"/>
      <c r="D811" s="91" t="n"/>
      <c r="E811" s="91" t="n"/>
      <c r="F811" s="91" t="n"/>
      <c r="G811" s="91" t="n"/>
      <c r="H811" s="91" t="n"/>
      <c r="I811" s="91" t="n"/>
      <c r="J811" s="91" t="n"/>
      <c r="K811" s="91" t="n"/>
      <c r="L811" s="91" t="n"/>
      <c r="M811" s="91" t="n"/>
      <c r="N811" s="91" t="n"/>
      <c r="O811" s="91" t="n"/>
      <c r="P811" s="91" t="n"/>
      <c r="Q811" s="91" t="n"/>
      <c r="R811" s="91" t="n"/>
      <c r="S811" s="91" t="n"/>
      <c r="T811" s="91" t="n"/>
      <c r="U811" s="91" t="n"/>
      <c r="V811" s="91" t="n"/>
      <c r="W811" s="91" t="n"/>
      <c r="X811" s="91" t="n"/>
      <c r="Y811" s="91" t="n"/>
      <c r="Z811" s="91" t="n"/>
      <c r="AA811" s="91" t="n"/>
      <c r="AB811" s="91" t="n"/>
      <c r="AC811" s="91" t="n"/>
      <c r="AD811" s="91" t="n"/>
      <c r="AE811" s="91" t="n"/>
      <c r="AF811" s="91" t="n"/>
      <c r="AG811" s="91" t="n"/>
    </row>
    <row r="812" ht="12.75" customHeight="1" s="117">
      <c r="A812" s="91" t="n"/>
      <c r="B812" s="91" t="n"/>
      <c r="C812" s="91" t="n"/>
      <c r="D812" s="91" t="n"/>
      <c r="E812" s="91" t="n"/>
      <c r="F812" s="91" t="n"/>
      <c r="G812" s="91" t="n"/>
      <c r="H812" s="91" t="n"/>
      <c r="I812" s="91" t="n"/>
      <c r="J812" s="91" t="n"/>
      <c r="K812" s="91" t="n"/>
      <c r="L812" s="91" t="n"/>
      <c r="M812" s="91" t="n"/>
      <c r="N812" s="91" t="n"/>
      <c r="O812" s="91" t="n"/>
      <c r="P812" s="91" t="n"/>
      <c r="Q812" s="91" t="n"/>
      <c r="R812" s="91" t="n"/>
      <c r="S812" s="91" t="n"/>
      <c r="T812" s="91" t="n"/>
      <c r="U812" s="91" t="n"/>
      <c r="V812" s="91" t="n"/>
      <c r="W812" s="91" t="n"/>
      <c r="X812" s="91" t="n"/>
      <c r="Y812" s="91" t="n"/>
      <c r="Z812" s="91" t="n"/>
      <c r="AA812" s="91" t="n"/>
      <c r="AB812" s="91" t="n"/>
      <c r="AC812" s="91" t="n"/>
      <c r="AD812" s="91" t="n"/>
      <c r="AE812" s="91" t="n"/>
      <c r="AF812" s="91" t="n"/>
      <c r="AG812" s="91" t="n"/>
    </row>
    <row r="813" ht="12.75" customHeight="1" s="117">
      <c r="A813" s="91" t="n"/>
      <c r="B813" s="91" t="n"/>
      <c r="C813" s="91" t="n"/>
      <c r="D813" s="91" t="n"/>
      <c r="E813" s="91" t="n"/>
      <c r="F813" s="91" t="n"/>
      <c r="G813" s="91" t="n"/>
      <c r="H813" s="91" t="n"/>
      <c r="I813" s="91" t="n"/>
      <c r="J813" s="91" t="n"/>
      <c r="K813" s="91" t="n"/>
      <c r="L813" s="91" t="n"/>
      <c r="M813" s="91" t="n"/>
      <c r="N813" s="91" t="n"/>
      <c r="O813" s="91" t="n"/>
      <c r="P813" s="91" t="n"/>
      <c r="Q813" s="91" t="n"/>
      <c r="R813" s="91" t="n"/>
      <c r="S813" s="91" t="n"/>
      <c r="T813" s="91" t="n"/>
      <c r="U813" s="91" t="n"/>
      <c r="V813" s="91" t="n"/>
      <c r="W813" s="91" t="n"/>
      <c r="X813" s="91" t="n"/>
      <c r="Y813" s="91" t="n"/>
      <c r="Z813" s="91" t="n"/>
      <c r="AA813" s="91" t="n"/>
      <c r="AB813" s="91" t="n"/>
      <c r="AC813" s="91" t="n"/>
      <c r="AD813" s="91" t="n"/>
      <c r="AE813" s="91" t="n"/>
      <c r="AF813" s="91" t="n"/>
      <c r="AG813" s="91" t="n"/>
    </row>
    <row r="814" ht="12.75" customHeight="1" s="117">
      <c r="A814" s="91" t="n"/>
      <c r="B814" s="91" t="n"/>
      <c r="C814" s="91" t="n"/>
      <c r="D814" s="91" t="n"/>
      <c r="E814" s="91" t="n"/>
      <c r="F814" s="91" t="n"/>
      <c r="G814" s="91" t="n"/>
      <c r="H814" s="91" t="n"/>
      <c r="I814" s="91" t="n"/>
      <c r="J814" s="91" t="n"/>
      <c r="K814" s="91" t="n"/>
      <c r="L814" s="91" t="n"/>
      <c r="M814" s="91" t="n"/>
      <c r="N814" s="91" t="n"/>
      <c r="O814" s="91" t="n"/>
      <c r="P814" s="91" t="n"/>
      <c r="Q814" s="91" t="n"/>
      <c r="R814" s="91" t="n"/>
      <c r="S814" s="91" t="n"/>
      <c r="T814" s="91" t="n"/>
      <c r="U814" s="91" t="n"/>
      <c r="V814" s="91" t="n"/>
      <c r="W814" s="91" t="n"/>
      <c r="X814" s="91" t="n"/>
      <c r="Y814" s="91" t="n"/>
      <c r="Z814" s="91" t="n"/>
      <c r="AA814" s="91" t="n"/>
      <c r="AB814" s="91" t="n"/>
      <c r="AC814" s="91" t="n"/>
      <c r="AD814" s="91" t="n"/>
      <c r="AE814" s="91" t="n"/>
      <c r="AF814" s="91" t="n"/>
      <c r="AG814" s="91" t="n"/>
    </row>
    <row r="815" ht="12.75" customHeight="1" s="117">
      <c r="A815" s="91" t="n"/>
      <c r="B815" s="91" t="n"/>
      <c r="C815" s="91" t="n"/>
      <c r="D815" s="91" t="n"/>
      <c r="E815" s="91" t="n"/>
      <c r="F815" s="91" t="n"/>
      <c r="G815" s="91" t="n"/>
      <c r="H815" s="91" t="n"/>
      <c r="I815" s="91" t="n"/>
      <c r="J815" s="91" t="n"/>
      <c r="K815" s="91" t="n"/>
      <c r="L815" s="91" t="n"/>
      <c r="M815" s="91" t="n"/>
      <c r="N815" s="91" t="n"/>
      <c r="O815" s="91" t="n"/>
      <c r="P815" s="91" t="n"/>
      <c r="Q815" s="91" t="n"/>
      <c r="R815" s="91" t="n"/>
      <c r="S815" s="91" t="n"/>
      <c r="T815" s="91" t="n"/>
      <c r="U815" s="91" t="n"/>
      <c r="V815" s="91" t="n"/>
      <c r="W815" s="91" t="n"/>
      <c r="X815" s="91" t="n"/>
      <c r="Y815" s="91" t="n"/>
      <c r="Z815" s="91" t="n"/>
      <c r="AA815" s="91" t="n"/>
      <c r="AB815" s="91" t="n"/>
      <c r="AC815" s="91" t="n"/>
      <c r="AD815" s="91" t="n"/>
      <c r="AE815" s="91" t="n"/>
      <c r="AF815" s="91" t="n"/>
      <c r="AG815" s="91" t="n"/>
    </row>
    <row r="816" ht="12.75" customHeight="1" s="117">
      <c r="A816" s="91" t="n"/>
      <c r="B816" s="91" t="n"/>
      <c r="C816" s="91" t="n"/>
      <c r="D816" s="91" t="n"/>
      <c r="E816" s="91" t="n"/>
      <c r="F816" s="91" t="n"/>
      <c r="G816" s="91" t="n"/>
      <c r="H816" s="91" t="n"/>
      <c r="I816" s="91" t="n"/>
      <c r="J816" s="91" t="n"/>
      <c r="K816" s="91" t="n"/>
      <c r="L816" s="91" t="n"/>
      <c r="M816" s="91" t="n"/>
      <c r="N816" s="91" t="n"/>
      <c r="O816" s="91" t="n"/>
      <c r="P816" s="91" t="n"/>
      <c r="Q816" s="91" t="n"/>
      <c r="R816" s="91" t="n"/>
      <c r="S816" s="91" t="n"/>
      <c r="T816" s="91" t="n"/>
      <c r="U816" s="91" t="n"/>
      <c r="V816" s="91" t="n"/>
      <c r="W816" s="91" t="n"/>
      <c r="X816" s="91" t="n"/>
      <c r="Y816" s="91" t="n"/>
      <c r="Z816" s="91" t="n"/>
      <c r="AA816" s="91" t="n"/>
      <c r="AB816" s="91" t="n"/>
      <c r="AC816" s="91" t="n"/>
      <c r="AD816" s="91" t="n"/>
      <c r="AE816" s="91" t="n"/>
      <c r="AF816" s="91" t="n"/>
      <c r="AG816" s="91" t="n"/>
    </row>
    <row r="817" ht="12.75" customHeight="1" s="117">
      <c r="A817" s="91" t="n"/>
      <c r="B817" s="91" t="n"/>
      <c r="C817" s="91" t="n"/>
      <c r="D817" s="91" t="n"/>
      <c r="E817" s="91" t="n"/>
      <c r="F817" s="91" t="n"/>
      <c r="G817" s="91" t="n"/>
      <c r="H817" s="91" t="n"/>
      <c r="I817" s="91" t="n"/>
      <c r="J817" s="91" t="n"/>
      <c r="K817" s="91" t="n"/>
      <c r="L817" s="91" t="n"/>
      <c r="M817" s="91" t="n"/>
      <c r="N817" s="91" t="n"/>
      <c r="O817" s="91" t="n"/>
      <c r="P817" s="91" t="n"/>
      <c r="Q817" s="91" t="n"/>
      <c r="R817" s="91" t="n"/>
      <c r="S817" s="91" t="n"/>
      <c r="T817" s="91" t="n"/>
      <c r="U817" s="91" t="n"/>
      <c r="V817" s="91" t="n"/>
      <c r="W817" s="91" t="n"/>
      <c r="X817" s="91" t="n"/>
      <c r="Y817" s="91" t="n"/>
      <c r="Z817" s="91" t="n"/>
      <c r="AA817" s="91" t="n"/>
      <c r="AB817" s="91" t="n"/>
      <c r="AC817" s="91" t="n"/>
      <c r="AD817" s="91" t="n"/>
      <c r="AE817" s="91" t="n"/>
      <c r="AF817" s="91" t="n"/>
      <c r="AG817" s="91" t="n"/>
    </row>
    <row r="818" ht="12.75" customHeight="1" s="117">
      <c r="A818" s="91" t="n"/>
      <c r="B818" s="91" t="n"/>
      <c r="C818" s="91" t="n"/>
      <c r="D818" s="91" t="n"/>
      <c r="E818" s="91" t="n"/>
      <c r="F818" s="91" t="n"/>
      <c r="G818" s="91" t="n"/>
      <c r="H818" s="91" t="n"/>
      <c r="I818" s="91" t="n"/>
      <c r="J818" s="91" t="n"/>
      <c r="K818" s="91" t="n"/>
      <c r="L818" s="91" t="n"/>
      <c r="M818" s="91" t="n"/>
      <c r="N818" s="91" t="n"/>
      <c r="O818" s="91" t="n"/>
      <c r="P818" s="91" t="n"/>
      <c r="Q818" s="91" t="n"/>
      <c r="R818" s="91" t="n"/>
      <c r="S818" s="91" t="n"/>
      <c r="T818" s="91" t="n"/>
      <c r="U818" s="91" t="n"/>
      <c r="V818" s="91" t="n"/>
      <c r="W818" s="91" t="n"/>
      <c r="X818" s="91" t="n"/>
      <c r="Y818" s="91" t="n"/>
      <c r="Z818" s="91" t="n"/>
      <c r="AA818" s="91" t="n"/>
      <c r="AB818" s="91" t="n"/>
      <c r="AC818" s="91" t="n"/>
      <c r="AD818" s="91" t="n"/>
      <c r="AE818" s="91" t="n"/>
      <c r="AF818" s="91" t="n"/>
      <c r="AG818" s="91" t="n"/>
    </row>
    <row r="819" ht="12.75" customHeight="1" s="117">
      <c r="A819" s="91" t="n"/>
      <c r="B819" s="91" t="n"/>
      <c r="C819" s="91" t="n"/>
      <c r="D819" s="91" t="n"/>
      <c r="E819" s="91" t="n"/>
      <c r="F819" s="91" t="n"/>
      <c r="G819" s="91" t="n"/>
      <c r="H819" s="91" t="n"/>
      <c r="I819" s="91" t="n"/>
      <c r="J819" s="91" t="n"/>
      <c r="K819" s="91" t="n"/>
      <c r="L819" s="91" t="n"/>
      <c r="M819" s="91" t="n"/>
      <c r="N819" s="91" t="n"/>
      <c r="O819" s="91" t="n"/>
      <c r="P819" s="91" t="n"/>
      <c r="Q819" s="91" t="n"/>
      <c r="R819" s="91" t="n"/>
      <c r="S819" s="91" t="n"/>
      <c r="T819" s="91" t="n"/>
      <c r="U819" s="91" t="n"/>
      <c r="V819" s="91" t="n"/>
      <c r="W819" s="91" t="n"/>
      <c r="X819" s="91" t="n"/>
      <c r="Y819" s="91" t="n"/>
      <c r="Z819" s="91" t="n"/>
      <c r="AA819" s="91" t="n"/>
      <c r="AB819" s="91" t="n"/>
      <c r="AC819" s="91" t="n"/>
      <c r="AD819" s="91" t="n"/>
      <c r="AE819" s="91" t="n"/>
      <c r="AF819" s="91" t="n"/>
      <c r="AG819" s="91" t="n"/>
    </row>
    <row r="820" ht="12.75" customHeight="1" s="117">
      <c r="A820" s="91" t="n"/>
      <c r="B820" s="91" t="n"/>
      <c r="C820" s="91" t="n"/>
      <c r="D820" s="91" t="n"/>
      <c r="E820" s="91" t="n"/>
      <c r="F820" s="91" t="n"/>
      <c r="G820" s="91" t="n"/>
      <c r="H820" s="91" t="n"/>
      <c r="I820" s="91" t="n"/>
      <c r="J820" s="91" t="n"/>
      <c r="K820" s="91" t="n"/>
      <c r="L820" s="91" t="n"/>
      <c r="M820" s="91" t="n"/>
      <c r="N820" s="91" t="n"/>
      <c r="O820" s="91" t="n"/>
      <c r="P820" s="91" t="n"/>
      <c r="Q820" s="91" t="n"/>
      <c r="R820" s="91" t="n"/>
      <c r="S820" s="91" t="n"/>
      <c r="T820" s="91" t="n"/>
      <c r="U820" s="91" t="n"/>
      <c r="V820" s="91" t="n"/>
      <c r="W820" s="91" t="n"/>
      <c r="X820" s="91" t="n"/>
      <c r="Y820" s="91" t="n"/>
      <c r="Z820" s="91" t="n"/>
      <c r="AA820" s="91" t="n"/>
      <c r="AB820" s="91" t="n"/>
      <c r="AC820" s="91" t="n"/>
      <c r="AD820" s="91" t="n"/>
      <c r="AE820" s="91" t="n"/>
      <c r="AF820" s="91" t="n"/>
      <c r="AG820" s="91" t="n"/>
    </row>
    <row r="821" ht="12.75" customHeight="1" s="117">
      <c r="A821" s="91" t="n"/>
      <c r="B821" s="91" t="n"/>
      <c r="C821" s="91" t="n"/>
      <c r="D821" s="91" t="n"/>
      <c r="E821" s="91" t="n"/>
      <c r="F821" s="91" t="n"/>
      <c r="G821" s="91" t="n"/>
      <c r="H821" s="91" t="n"/>
      <c r="I821" s="91" t="n"/>
      <c r="J821" s="91" t="n"/>
      <c r="K821" s="91" t="n"/>
      <c r="L821" s="91" t="n"/>
      <c r="M821" s="91" t="n"/>
      <c r="N821" s="91" t="n"/>
      <c r="O821" s="91" t="n"/>
      <c r="P821" s="91" t="n"/>
      <c r="Q821" s="91" t="n"/>
      <c r="R821" s="91" t="n"/>
      <c r="S821" s="91" t="n"/>
      <c r="T821" s="91" t="n"/>
      <c r="U821" s="91" t="n"/>
      <c r="V821" s="91" t="n"/>
      <c r="W821" s="91" t="n"/>
      <c r="X821" s="91" t="n"/>
      <c r="Y821" s="91" t="n"/>
      <c r="Z821" s="91" t="n"/>
      <c r="AA821" s="91" t="n"/>
      <c r="AB821" s="91" t="n"/>
      <c r="AC821" s="91" t="n"/>
      <c r="AD821" s="91" t="n"/>
      <c r="AE821" s="91" t="n"/>
      <c r="AF821" s="91" t="n"/>
      <c r="AG821" s="91" t="n"/>
    </row>
    <row r="822" ht="12.75" customHeight="1" s="117">
      <c r="A822" s="91" t="n"/>
      <c r="B822" s="91" t="n"/>
      <c r="C822" s="91" t="n"/>
      <c r="D822" s="91" t="n"/>
      <c r="E822" s="91" t="n"/>
      <c r="F822" s="91" t="n"/>
      <c r="G822" s="91" t="n"/>
      <c r="H822" s="91" t="n"/>
      <c r="I822" s="91" t="n"/>
      <c r="J822" s="91" t="n"/>
      <c r="K822" s="91" t="n"/>
      <c r="L822" s="91" t="n"/>
      <c r="M822" s="91" t="n"/>
      <c r="N822" s="91" t="n"/>
      <c r="O822" s="91" t="n"/>
      <c r="P822" s="91" t="n"/>
      <c r="Q822" s="91" t="n"/>
      <c r="R822" s="91" t="n"/>
      <c r="S822" s="91" t="n"/>
      <c r="T822" s="91" t="n"/>
      <c r="U822" s="91" t="n"/>
      <c r="V822" s="91" t="n"/>
      <c r="W822" s="91" t="n"/>
      <c r="X822" s="91" t="n"/>
      <c r="Y822" s="91" t="n"/>
      <c r="Z822" s="91" t="n"/>
      <c r="AA822" s="91" t="n"/>
      <c r="AB822" s="91" t="n"/>
      <c r="AC822" s="91" t="n"/>
      <c r="AD822" s="91" t="n"/>
      <c r="AE822" s="91" t="n"/>
      <c r="AF822" s="91" t="n"/>
      <c r="AG822" s="91" t="n"/>
    </row>
    <row r="823" ht="12.75" customHeight="1" s="117">
      <c r="A823" s="91" t="n"/>
      <c r="B823" s="91" t="n"/>
      <c r="C823" s="91" t="n"/>
      <c r="D823" s="91" t="n"/>
      <c r="E823" s="91" t="n"/>
      <c r="F823" s="91" t="n"/>
      <c r="G823" s="91" t="n"/>
      <c r="H823" s="91" t="n"/>
      <c r="I823" s="91" t="n"/>
      <c r="J823" s="91" t="n"/>
      <c r="K823" s="91" t="n"/>
      <c r="L823" s="91" t="n"/>
      <c r="M823" s="91" t="n"/>
      <c r="N823" s="91" t="n"/>
      <c r="O823" s="91" t="n"/>
      <c r="P823" s="91" t="n"/>
      <c r="Q823" s="91" t="n"/>
      <c r="R823" s="91" t="n"/>
      <c r="S823" s="91" t="n"/>
      <c r="T823" s="91" t="n"/>
      <c r="U823" s="91" t="n"/>
      <c r="V823" s="91" t="n"/>
      <c r="W823" s="91" t="n"/>
      <c r="X823" s="91" t="n"/>
      <c r="Y823" s="91" t="n"/>
      <c r="Z823" s="91" t="n"/>
      <c r="AA823" s="91" t="n"/>
      <c r="AB823" s="91" t="n"/>
      <c r="AC823" s="91" t="n"/>
      <c r="AD823" s="91" t="n"/>
      <c r="AE823" s="91" t="n"/>
      <c r="AF823" s="91" t="n"/>
      <c r="AG823" s="91" t="n"/>
    </row>
    <row r="824" ht="12.75" customHeight="1" s="117">
      <c r="A824" s="91" t="n"/>
      <c r="B824" s="91" t="n"/>
      <c r="C824" s="91" t="n"/>
      <c r="D824" s="91" t="n"/>
      <c r="E824" s="91" t="n"/>
      <c r="F824" s="91" t="n"/>
      <c r="G824" s="91" t="n"/>
      <c r="H824" s="91" t="n"/>
      <c r="I824" s="91" t="n"/>
      <c r="J824" s="91" t="n"/>
      <c r="K824" s="91" t="n"/>
      <c r="L824" s="91" t="n"/>
      <c r="M824" s="91" t="n"/>
      <c r="N824" s="91" t="n"/>
      <c r="O824" s="91" t="n"/>
      <c r="P824" s="91" t="n"/>
      <c r="Q824" s="91" t="n"/>
      <c r="R824" s="91" t="n"/>
      <c r="S824" s="91" t="n"/>
      <c r="T824" s="91" t="n"/>
      <c r="U824" s="91" t="n"/>
      <c r="V824" s="91" t="n"/>
      <c r="W824" s="91" t="n"/>
      <c r="X824" s="91" t="n"/>
      <c r="Y824" s="91" t="n"/>
      <c r="Z824" s="91" t="n"/>
      <c r="AA824" s="91" t="n"/>
      <c r="AB824" s="91" t="n"/>
      <c r="AC824" s="91" t="n"/>
      <c r="AD824" s="91" t="n"/>
      <c r="AE824" s="91" t="n"/>
      <c r="AF824" s="91" t="n"/>
      <c r="AG824" s="91" t="n"/>
    </row>
    <row r="825" ht="12.75" customHeight="1" s="117">
      <c r="A825" s="91" t="n"/>
      <c r="B825" s="91" t="n"/>
      <c r="C825" s="91" t="n"/>
      <c r="D825" s="91" t="n"/>
      <c r="E825" s="91" t="n"/>
      <c r="F825" s="91" t="n"/>
      <c r="G825" s="91" t="n"/>
      <c r="H825" s="91" t="n"/>
      <c r="I825" s="91" t="n"/>
      <c r="J825" s="91" t="n"/>
      <c r="K825" s="91" t="n"/>
      <c r="L825" s="91" t="n"/>
      <c r="M825" s="91" t="n"/>
      <c r="N825" s="91" t="n"/>
      <c r="O825" s="91" t="n"/>
      <c r="P825" s="91" t="n"/>
      <c r="Q825" s="91" t="n"/>
      <c r="R825" s="91" t="n"/>
      <c r="S825" s="91" t="n"/>
      <c r="T825" s="91" t="n"/>
      <c r="U825" s="91" t="n"/>
      <c r="V825" s="91" t="n"/>
      <c r="W825" s="91" t="n"/>
      <c r="X825" s="91" t="n"/>
      <c r="Y825" s="91" t="n"/>
      <c r="Z825" s="91" t="n"/>
      <c r="AA825" s="91" t="n"/>
      <c r="AB825" s="91" t="n"/>
      <c r="AC825" s="91" t="n"/>
      <c r="AD825" s="91" t="n"/>
      <c r="AE825" s="91" t="n"/>
      <c r="AF825" s="91" t="n"/>
      <c r="AG825" s="91" t="n"/>
    </row>
    <row r="826" ht="12.75" customHeight="1" s="117">
      <c r="A826" s="91" t="n"/>
      <c r="B826" s="91" t="n"/>
      <c r="C826" s="91" t="n"/>
      <c r="D826" s="91" t="n"/>
      <c r="E826" s="91" t="n"/>
      <c r="F826" s="91" t="n"/>
      <c r="G826" s="91" t="n"/>
      <c r="H826" s="91" t="n"/>
      <c r="I826" s="91" t="n"/>
      <c r="J826" s="91" t="n"/>
      <c r="K826" s="91" t="n"/>
      <c r="L826" s="91" t="n"/>
      <c r="M826" s="91" t="n"/>
      <c r="N826" s="91" t="n"/>
      <c r="O826" s="91" t="n"/>
      <c r="P826" s="91" t="n"/>
      <c r="Q826" s="91" t="n"/>
      <c r="R826" s="91" t="n"/>
      <c r="S826" s="91" t="n"/>
      <c r="T826" s="91" t="n"/>
      <c r="U826" s="91" t="n"/>
      <c r="V826" s="91" t="n"/>
      <c r="W826" s="91" t="n"/>
      <c r="X826" s="91" t="n"/>
      <c r="Y826" s="91" t="n"/>
      <c r="Z826" s="91" t="n"/>
      <c r="AA826" s="91" t="n"/>
      <c r="AB826" s="91" t="n"/>
      <c r="AC826" s="91" t="n"/>
      <c r="AD826" s="91" t="n"/>
      <c r="AE826" s="91" t="n"/>
      <c r="AF826" s="91" t="n"/>
      <c r="AG826" s="91" t="n"/>
    </row>
    <row r="827" ht="12.75" customHeight="1" s="117">
      <c r="A827" s="91" t="n"/>
      <c r="B827" s="91" t="n"/>
      <c r="C827" s="91" t="n"/>
      <c r="D827" s="91" t="n"/>
      <c r="E827" s="91" t="n"/>
      <c r="F827" s="91" t="n"/>
      <c r="G827" s="91" t="n"/>
      <c r="H827" s="91" t="n"/>
      <c r="I827" s="91" t="n"/>
      <c r="J827" s="91" t="n"/>
      <c r="K827" s="91" t="n"/>
      <c r="L827" s="91" t="n"/>
      <c r="M827" s="91" t="n"/>
      <c r="N827" s="91" t="n"/>
      <c r="O827" s="91" t="n"/>
      <c r="P827" s="91" t="n"/>
      <c r="Q827" s="91" t="n"/>
      <c r="R827" s="91" t="n"/>
      <c r="S827" s="91" t="n"/>
      <c r="T827" s="91" t="n"/>
      <c r="U827" s="91" t="n"/>
      <c r="V827" s="91" t="n"/>
      <c r="W827" s="91" t="n"/>
      <c r="X827" s="91" t="n"/>
      <c r="Y827" s="91" t="n"/>
      <c r="Z827" s="91" t="n"/>
      <c r="AA827" s="91" t="n"/>
      <c r="AB827" s="91" t="n"/>
      <c r="AC827" s="91" t="n"/>
      <c r="AD827" s="91" t="n"/>
      <c r="AE827" s="91" t="n"/>
      <c r="AF827" s="91" t="n"/>
      <c r="AG827" s="91" t="n"/>
    </row>
    <row r="828" ht="12.75" customHeight="1" s="117">
      <c r="A828" s="91" t="n"/>
      <c r="B828" s="91" t="n"/>
      <c r="C828" s="91" t="n"/>
      <c r="D828" s="91" t="n"/>
      <c r="E828" s="91" t="n"/>
      <c r="F828" s="91" t="n"/>
      <c r="G828" s="91" t="n"/>
      <c r="H828" s="91" t="n"/>
      <c r="I828" s="91" t="n"/>
      <c r="J828" s="91" t="n"/>
      <c r="K828" s="91" t="n"/>
      <c r="L828" s="91" t="n"/>
      <c r="M828" s="91" t="n"/>
      <c r="N828" s="91" t="n"/>
      <c r="O828" s="91" t="n"/>
      <c r="P828" s="91" t="n"/>
      <c r="Q828" s="91" t="n"/>
      <c r="R828" s="91" t="n"/>
      <c r="S828" s="91" t="n"/>
      <c r="T828" s="91" t="n"/>
      <c r="U828" s="91" t="n"/>
      <c r="V828" s="91" t="n"/>
      <c r="W828" s="91" t="n"/>
      <c r="X828" s="91" t="n"/>
      <c r="Y828" s="91" t="n"/>
      <c r="Z828" s="91" t="n"/>
      <c r="AA828" s="91" t="n"/>
      <c r="AB828" s="91" t="n"/>
      <c r="AC828" s="91" t="n"/>
      <c r="AD828" s="91" t="n"/>
      <c r="AE828" s="91" t="n"/>
      <c r="AF828" s="91" t="n"/>
      <c r="AG828" s="91" t="n"/>
    </row>
    <row r="829" ht="12.75" customHeight="1" s="117">
      <c r="A829" s="91" t="n"/>
      <c r="B829" s="91" t="n"/>
      <c r="C829" s="91" t="n"/>
      <c r="D829" s="91" t="n"/>
      <c r="E829" s="91" t="n"/>
      <c r="F829" s="91" t="n"/>
      <c r="G829" s="91" t="n"/>
      <c r="H829" s="91" t="n"/>
      <c r="I829" s="91" t="n"/>
      <c r="J829" s="91" t="n"/>
      <c r="K829" s="91" t="n"/>
      <c r="L829" s="91" t="n"/>
      <c r="M829" s="91" t="n"/>
      <c r="N829" s="91" t="n"/>
      <c r="O829" s="91" t="n"/>
      <c r="P829" s="91" t="n"/>
      <c r="Q829" s="91" t="n"/>
      <c r="R829" s="91" t="n"/>
      <c r="S829" s="91" t="n"/>
      <c r="T829" s="91" t="n"/>
      <c r="U829" s="91" t="n"/>
      <c r="V829" s="91" t="n"/>
      <c r="W829" s="91" t="n"/>
      <c r="X829" s="91" t="n"/>
      <c r="Y829" s="91" t="n"/>
      <c r="Z829" s="91" t="n"/>
      <c r="AA829" s="91" t="n"/>
      <c r="AB829" s="91" t="n"/>
      <c r="AC829" s="91" t="n"/>
      <c r="AD829" s="91" t="n"/>
      <c r="AE829" s="91" t="n"/>
      <c r="AF829" s="91" t="n"/>
      <c r="AG829" s="91" t="n"/>
    </row>
    <row r="830" ht="12.75" customHeight="1" s="117">
      <c r="A830" s="91" t="n"/>
      <c r="B830" s="91" t="n"/>
      <c r="C830" s="91" t="n"/>
      <c r="D830" s="91" t="n"/>
      <c r="E830" s="91" t="n"/>
      <c r="F830" s="91" t="n"/>
      <c r="G830" s="91" t="n"/>
      <c r="H830" s="91" t="n"/>
      <c r="I830" s="91" t="n"/>
      <c r="J830" s="91" t="n"/>
      <c r="K830" s="91" t="n"/>
      <c r="L830" s="91" t="n"/>
      <c r="M830" s="91" t="n"/>
      <c r="N830" s="91" t="n"/>
      <c r="O830" s="91" t="n"/>
      <c r="P830" s="91" t="n"/>
      <c r="Q830" s="91" t="n"/>
      <c r="R830" s="91" t="n"/>
      <c r="S830" s="91" t="n"/>
      <c r="T830" s="91" t="n"/>
      <c r="U830" s="91" t="n"/>
      <c r="V830" s="91" t="n"/>
      <c r="W830" s="91" t="n"/>
      <c r="X830" s="91" t="n"/>
      <c r="Y830" s="91" t="n"/>
      <c r="Z830" s="91" t="n"/>
      <c r="AA830" s="91" t="n"/>
      <c r="AB830" s="91" t="n"/>
      <c r="AC830" s="91" t="n"/>
      <c r="AD830" s="91" t="n"/>
      <c r="AE830" s="91" t="n"/>
      <c r="AF830" s="91" t="n"/>
      <c r="AG830" s="91" t="n"/>
    </row>
    <row r="831" ht="12.75" customHeight="1" s="117">
      <c r="A831" s="91" t="n"/>
      <c r="B831" s="91" t="n"/>
      <c r="C831" s="91" t="n"/>
      <c r="D831" s="91" t="n"/>
      <c r="E831" s="91" t="n"/>
      <c r="F831" s="91" t="n"/>
      <c r="G831" s="91" t="n"/>
      <c r="H831" s="91" t="n"/>
      <c r="I831" s="91" t="n"/>
      <c r="J831" s="91" t="n"/>
      <c r="K831" s="91" t="n"/>
      <c r="L831" s="91" t="n"/>
      <c r="M831" s="91" t="n"/>
      <c r="N831" s="91" t="n"/>
      <c r="O831" s="91" t="n"/>
      <c r="P831" s="91" t="n"/>
      <c r="Q831" s="91" t="n"/>
      <c r="R831" s="91" t="n"/>
      <c r="S831" s="91" t="n"/>
      <c r="T831" s="91" t="n"/>
      <c r="U831" s="91" t="n"/>
      <c r="V831" s="91" t="n"/>
      <c r="W831" s="91" t="n"/>
      <c r="X831" s="91" t="n"/>
      <c r="Y831" s="91" t="n"/>
      <c r="Z831" s="91" t="n"/>
      <c r="AA831" s="91" t="n"/>
      <c r="AB831" s="91" t="n"/>
      <c r="AC831" s="91" t="n"/>
      <c r="AD831" s="91" t="n"/>
      <c r="AE831" s="91" t="n"/>
      <c r="AF831" s="91" t="n"/>
      <c r="AG831" s="91" t="n"/>
    </row>
    <row r="832" ht="12.75" customHeight="1" s="117">
      <c r="A832" s="91" t="n"/>
      <c r="B832" s="91" t="n"/>
      <c r="C832" s="91" t="n"/>
      <c r="D832" s="91" t="n"/>
      <c r="E832" s="91" t="n"/>
      <c r="F832" s="91" t="n"/>
      <c r="G832" s="91" t="n"/>
      <c r="H832" s="91" t="n"/>
      <c r="I832" s="91" t="n"/>
      <c r="J832" s="91" t="n"/>
      <c r="K832" s="91" t="n"/>
      <c r="L832" s="91" t="n"/>
      <c r="M832" s="91" t="n"/>
      <c r="N832" s="91" t="n"/>
      <c r="O832" s="91" t="n"/>
      <c r="P832" s="91" t="n"/>
      <c r="Q832" s="91" t="n"/>
      <c r="R832" s="91" t="n"/>
      <c r="S832" s="91" t="n"/>
      <c r="T832" s="91" t="n"/>
      <c r="U832" s="91" t="n"/>
      <c r="V832" s="91" t="n"/>
      <c r="W832" s="91" t="n"/>
      <c r="X832" s="91" t="n"/>
      <c r="Y832" s="91" t="n"/>
      <c r="Z832" s="91" t="n"/>
      <c r="AA832" s="91" t="n"/>
      <c r="AB832" s="91" t="n"/>
      <c r="AC832" s="91" t="n"/>
      <c r="AD832" s="91" t="n"/>
      <c r="AE832" s="91" t="n"/>
      <c r="AF832" s="91" t="n"/>
      <c r="AG832" s="91" t="n"/>
    </row>
    <row r="833" ht="12.75" customHeight="1" s="117">
      <c r="A833" s="91" t="n"/>
      <c r="B833" s="91" t="n"/>
      <c r="C833" s="91" t="n"/>
      <c r="D833" s="91" t="n"/>
      <c r="E833" s="91" t="n"/>
      <c r="F833" s="91" t="n"/>
      <c r="G833" s="91" t="n"/>
      <c r="H833" s="91" t="n"/>
      <c r="I833" s="91" t="n"/>
      <c r="J833" s="91" t="n"/>
      <c r="K833" s="91" t="n"/>
      <c r="L833" s="91" t="n"/>
      <c r="M833" s="91" t="n"/>
      <c r="N833" s="91" t="n"/>
      <c r="O833" s="91" t="n"/>
      <c r="P833" s="91" t="n"/>
      <c r="Q833" s="91" t="n"/>
      <c r="R833" s="91" t="n"/>
      <c r="S833" s="91" t="n"/>
      <c r="T833" s="91" t="n"/>
      <c r="U833" s="91" t="n"/>
      <c r="V833" s="91" t="n"/>
      <c r="W833" s="91" t="n"/>
      <c r="X833" s="91" t="n"/>
      <c r="Y833" s="91" t="n"/>
      <c r="Z833" s="91" t="n"/>
      <c r="AA833" s="91" t="n"/>
      <c r="AB833" s="91" t="n"/>
      <c r="AC833" s="91" t="n"/>
      <c r="AD833" s="91" t="n"/>
      <c r="AE833" s="91" t="n"/>
      <c r="AF833" s="91" t="n"/>
      <c r="AG833" s="91" t="n"/>
    </row>
    <row r="834" ht="12.75" customHeight="1" s="117">
      <c r="A834" s="91" t="n"/>
      <c r="B834" s="91" t="n"/>
      <c r="C834" s="91" t="n"/>
      <c r="D834" s="91" t="n"/>
      <c r="E834" s="91" t="n"/>
      <c r="F834" s="91" t="n"/>
      <c r="G834" s="91" t="n"/>
      <c r="H834" s="91" t="n"/>
      <c r="I834" s="91" t="n"/>
      <c r="J834" s="91" t="n"/>
      <c r="K834" s="91" t="n"/>
      <c r="L834" s="91" t="n"/>
      <c r="M834" s="91" t="n"/>
      <c r="N834" s="91" t="n"/>
      <c r="O834" s="91" t="n"/>
      <c r="P834" s="91" t="n"/>
      <c r="Q834" s="91" t="n"/>
      <c r="R834" s="91" t="n"/>
      <c r="S834" s="91" t="n"/>
      <c r="T834" s="91" t="n"/>
      <c r="U834" s="91" t="n"/>
      <c r="V834" s="91" t="n"/>
      <c r="W834" s="91" t="n"/>
      <c r="X834" s="91" t="n"/>
      <c r="Y834" s="91" t="n"/>
      <c r="Z834" s="91" t="n"/>
      <c r="AA834" s="91" t="n"/>
      <c r="AB834" s="91" t="n"/>
      <c r="AC834" s="91" t="n"/>
      <c r="AD834" s="91" t="n"/>
      <c r="AE834" s="91" t="n"/>
      <c r="AF834" s="91" t="n"/>
      <c r="AG834" s="91" t="n"/>
    </row>
    <row r="835" ht="12.75" customHeight="1" s="117">
      <c r="A835" s="91" t="n"/>
      <c r="B835" s="91" t="n"/>
      <c r="C835" s="91" t="n"/>
      <c r="D835" s="91" t="n"/>
      <c r="E835" s="91" t="n"/>
      <c r="F835" s="91" t="n"/>
      <c r="G835" s="91" t="n"/>
      <c r="H835" s="91" t="n"/>
      <c r="I835" s="91" t="n"/>
      <c r="J835" s="91" t="n"/>
      <c r="K835" s="91" t="n"/>
      <c r="L835" s="91" t="n"/>
      <c r="M835" s="91" t="n"/>
      <c r="N835" s="91" t="n"/>
      <c r="O835" s="91" t="n"/>
      <c r="P835" s="91" t="n"/>
      <c r="Q835" s="91" t="n"/>
      <c r="R835" s="91" t="n"/>
      <c r="S835" s="91" t="n"/>
      <c r="T835" s="91" t="n"/>
      <c r="U835" s="91" t="n"/>
      <c r="V835" s="91" t="n"/>
      <c r="W835" s="91" t="n"/>
      <c r="X835" s="91" t="n"/>
      <c r="Y835" s="91" t="n"/>
      <c r="Z835" s="91" t="n"/>
      <c r="AA835" s="91" t="n"/>
      <c r="AB835" s="91" t="n"/>
      <c r="AC835" s="91" t="n"/>
      <c r="AD835" s="91" t="n"/>
      <c r="AE835" s="91" t="n"/>
      <c r="AF835" s="91" t="n"/>
      <c r="AG835" s="91" t="n"/>
    </row>
    <row r="836" ht="12.75" customHeight="1" s="117">
      <c r="A836" s="91" t="n"/>
      <c r="B836" s="91" t="n"/>
      <c r="C836" s="91" t="n"/>
      <c r="D836" s="91" t="n"/>
      <c r="E836" s="91" t="n"/>
      <c r="F836" s="91" t="n"/>
      <c r="G836" s="91" t="n"/>
      <c r="H836" s="91" t="n"/>
      <c r="I836" s="91" t="n"/>
      <c r="J836" s="91" t="n"/>
      <c r="K836" s="91" t="n"/>
      <c r="L836" s="91" t="n"/>
      <c r="M836" s="91" t="n"/>
      <c r="N836" s="91" t="n"/>
      <c r="O836" s="91" t="n"/>
      <c r="P836" s="91" t="n"/>
      <c r="Q836" s="91" t="n"/>
      <c r="R836" s="91" t="n"/>
      <c r="S836" s="91" t="n"/>
      <c r="T836" s="91" t="n"/>
      <c r="U836" s="91" t="n"/>
      <c r="V836" s="91" t="n"/>
      <c r="W836" s="91" t="n"/>
      <c r="X836" s="91" t="n"/>
      <c r="Y836" s="91" t="n"/>
      <c r="Z836" s="91" t="n"/>
      <c r="AA836" s="91" t="n"/>
      <c r="AB836" s="91" t="n"/>
      <c r="AC836" s="91" t="n"/>
      <c r="AD836" s="91" t="n"/>
      <c r="AE836" s="91" t="n"/>
      <c r="AF836" s="91" t="n"/>
      <c r="AG836" s="91" t="n"/>
    </row>
    <row r="837" ht="12.75" customHeight="1" s="117">
      <c r="A837" s="91" t="n"/>
      <c r="B837" s="91" t="n"/>
      <c r="C837" s="91" t="n"/>
      <c r="D837" s="91" t="n"/>
      <c r="E837" s="91" t="n"/>
      <c r="F837" s="91" t="n"/>
      <c r="G837" s="91" t="n"/>
      <c r="H837" s="91" t="n"/>
      <c r="I837" s="91" t="n"/>
      <c r="J837" s="91" t="n"/>
      <c r="K837" s="91" t="n"/>
      <c r="L837" s="91" t="n"/>
      <c r="M837" s="91" t="n"/>
      <c r="N837" s="91" t="n"/>
      <c r="O837" s="91" t="n"/>
      <c r="P837" s="91" t="n"/>
      <c r="Q837" s="91" t="n"/>
      <c r="R837" s="91" t="n"/>
      <c r="S837" s="91" t="n"/>
      <c r="T837" s="91" t="n"/>
      <c r="U837" s="91" t="n"/>
      <c r="V837" s="91" t="n"/>
      <c r="W837" s="91" t="n"/>
      <c r="X837" s="91" t="n"/>
      <c r="Y837" s="91" t="n"/>
      <c r="Z837" s="91" t="n"/>
      <c r="AA837" s="91" t="n"/>
      <c r="AB837" s="91" t="n"/>
      <c r="AC837" s="91" t="n"/>
      <c r="AD837" s="91" t="n"/>
      <c r="AE837" s="91" t="n"/>
      <c r="AF837" s="91" t="n"/>
      <c r="AG837" s="91" t="n"/>
    </row>
    <row r="838" ht="12.75" customHeight="1" s="117">
      <c r="A838" s="91" t="n"/>
      <c r="B838" s="91" t="n"/>
      <c r="C838" s="91" t="n"/>
      <c r="D838" s="91" t="n"/>
      <c r="E838" s="91" t="n"/>
      <c r="F838" s="91" t="n"/>
      <c r="G838" s="91" t="n"/>
      <c r="H838" s="91" t="n"/>
      <c r="I838" s="91" t="n"/>
      <c r="J838" s="91" t="n"/>
      <c r="K838" s="91" t="n"/>
      <c r="L838" s="91" t="n"/>
      <c r="M838" s="91" t="n"/>
      <c r="N838" s="91" t="n"/>
      <c r="O838" s="91" t="n"/>
      <c r="P838" s="91" t="n"/>
      <c r="Q838" s="91" t="n"/>
      <c r="R838" s="91" t="n"/>
      <c r="S838" s="91" t="n"/>
      <c r="T838" s="91" t="n"/>
      <c r="U838" s="91" t="n"/>
      <c r="V838" s="91" t="n"/>
      <c r="W838" s="91" t="n"/>
      <c r="X838" s="91" t="n"/>
      <c r="Y838" s="91" t="n"/>
      <c r="Z838" s="91" t="n"/>
      <c r="AA838" s="91" t="n"/>
      <c r="AB838" s="91" t="n"/>
      <c r="AC838" s="91" t="n"/>
      <c r="AD838" s="91" t="n"/>
      <c r="AE838" s="91" t="n"/>
      <c r="AF838" s="91" t="n"/>
      <c r="AG838" s="91" t="n"/>
    </row>
    <row r="839" ht="12.75" customHeight="1" s="117">
      <c r="A839" s="91" t="n"/>
      <c r="B839" s="91" t="n"/>
      <c r="C839" s="91" t="n"/>
      <c r="D839" s="91" t="n"/>
      <c r="E839" s="91" t="n"/>
      <c r="F839" s="91" t="n"/>
      <c r="G839" s="91" t="n"/>
      <c r="H839" s="91" t="n"/>
      <c r="I839" s="91" t="n"/>
      <c r="J839" s="91" t="n"/>
      <c r="K839" s="91" t="n"/>
      <c r="L839" s="91" t="n"/>
      <c r="M839" s="91" t="n"/>
      <c r="N839" s="91" t="n"/>
      <c r="O839" s="91" t="n"/>
      <c r="P839" s="91" t="n"/>
      <c r="Q839" s="91" t="n"/>
      <c r="R839" s="91" t="n"/>
      <c r="S839" s="91" t="n"/>
      <c r="T839" s="91" t="n"/>
      <c r="U839" s="91" t="n"/>
      <c r="V839" s="91" t="n"/>
      <c r="W839" s="91" t="n"/>
      <c r="X839" s="91" t="n"/>
      <c r="Y839" s="91" t="n"/>
      <c r="Z839" s="91" t="n"/>
      <c r="AA839" s="91" t="n"/>
      <c r="AB839" s="91" t="n"/>
      <c r="AC839" s="91" t="n"/>
      <c r="AD839" s="91" t="n"/>
      <c r="AE839" s="91" t="n"/>
      <c r="AF839" s="91" t="n"/>
      <c r="AG839" s="91" t="n"/>
    </row>
    <row r="840" ht="12.75" customHeight="1" s="117">
      <c r="A840" s="91" t="n"/>
      <c r="B840" s="91" t="n"/>
      <c r="C840" s="91" t="n"/>
      <c r="D840" s="91" t="n"/>
      <c r="E840" s="91" t="n"/>
      <c r="F840" s="91" t="n"/>
      <c r="G840" s="91" t="n"/>
      <c r="H840" s="91" t="n"/>
      <c r="I840" s="91" t="n"/>
      <c r="J840" s="91" t="n"/>
      <c r="K840" s="91" t="n"/>
      <c r="L840" s="91" t="n"/>
      <c r="M840" s="91" t="n"/>
      <c r="N840" s="91" t="n"/>
      <c r="O840" s="91" t="n"/>
      <c r="P840" s="91" t="n"/>
      <c r="Q840" s="91" t="n"/>
      <c r="R840" s="91" t="n"/>
      <c r="S840" s="91" t="n"/>
      <c r="T840" s="91" t="n"/>
      <c r="U840" s="91" t="n"/>
      <c r="V840" s="91" t="n"/>
      <c r="W840" s="91" t="n"/>
      <c r="X840" s="91" t="n"/>
      <c r="Y840" s="91" t="n"/>
      <c r="Z840" s="91" t="n"/>
      <c r="AA840" s="91" t="n"/>
      <c r="AB840" s="91" t="n"/>
      <c r="AC840" s="91" t="n"/>
      <c r="AD840" s="91" t="n"/>
      <c r="AE840" s="91" t="n"/>
      <c r="AF840" s="91" t="n"/>
      <c r="AG840" s="91" t="n"/>
    </row>
    <row r="841" ht="12.75" customHeight="1" s="117">
      <c r="A841" s="91" t="n"/>
      <c r="B841" s="91" t="n"/>
      <c r="C841" s="91" t="n"/>
      <c r="D841" s="91" t="n"/>
      <c r="E841" s="91" t="n"/>
      <c r="F841" s="91" t="n"/>
      <c r="G841" s="91" t="n"/>
      <c r="H841" s="91" t="n"/>
      <c r="I841" s="91" t="n"/>
      <c r="J841" s="91" t="n"/>
      <c r="K841" s="91" t="n"/>
      <c r="L841" s="91" t="n"/>
      <c r="M841" s="91" t="n"/>
      <c r="N841" s="91" t="n"/>
      <c r="O841" s="91" t="n"/>
      <c r="P841" s="91" t="n"/>
      <c r="Q841" s="91" t="n"/>
      <c r="R841" s="91" t="n"/>
      <c r="S841" s="91" t="n"/>
      <c r="T841" s="91" t="n"/>
      <c r="U841" s="91" t="n"/>
      <c r="V841" s="91" t="n"/>
      <c r="W841" s="91" t="n"/>
      <c r="X841" s="91" t="n"/>
      <c r="Y841" s="91" t="n"/>
      <c r="Z841" s="91" t="n"/>
      <c r="AA841" s="91" t="n"/>
      <c r="AB841" s="91" t="n"/>
      <c r="AC841" s="91" t="n"/>
      <c r="AD841" s="91" t="n"/>
      <c r="AE841" s="91" t="n"/>
      <c r="AF841" s="91" t="n"/>
      <c r="AG841" s="91" t="n"/>
    </row>
    <row r="842" ht="12.75" customHeight="1" s="117">
      <c r="A842" s="91" t="n"/>
      <c r="B842" s="91" t="n"/>
      <c r="C842" s="91" t="n"/>
      <c r="D842" s="91" t="n"/>
      <c r="E842" s="91" t="n"/>
      <c r="F842" s="91" t="n"/>
      <c r="G842" s="91" t="n"/>
      <c r="H842" s="91" t="n"/>
      <c r="I842" s="91" t="n"/>
      <c r="J842" s="91" t="n"/>
      <c r="K842" s="91" t="n"/>
      <c r="L842" s="91" t="n"/>
      <c r="M842" s="91" t="n"/>
      <c r="N842" s="91" t="n"/>
      <c r="O842" s="91" t="n"/>
      <c r="P842" s="91" t="n"/>
      <c r="Q842" s="91" t="n"/>
      <c r="R842" s="91" t="n"/>
      <c r="S842" s="91" t="n"/>
      <c r="T842" s="91" t="n"/>
      <c r="U842" s="91" t="n"/>
      <c r="V842" s="91" t="n"/>
      <c r="W842" s="91" t="n"/>
      <c r="X842" s="91" t="n"/>
      <c r="Y842" s="91" t="n"/>
      <c r="Z842" s="91" t="n"/>
      <c r="AA842" s="91" t="n"/>
      <c r="AB842" s="91" t="n"/>
      <c r="AC842" s="91" t="n"/>
      <c r="AD842" s="91" t="n"/>
      <c r="AE842" s="91" t="n"/>
      <c r="AF842" s="91" t="n"/>
      <c r="AG842" s="91" t="n"/>
    </row>
    <row r="843" ht="12.75" customHeight="1" s="117">
      <c r="A843" s="91" t="n"/>
      <c r="B843" s="91" t="n"/>
      <c r="C843" s="91" t="n"/>
      <c r="D843" s="91" t="n"/>
      <c r="E843" s="91" t="n"/>
      <c r="F843" s="91" t="n"/>
      <c r="G843" s="91" t="n"/>
      <c r="H843" s="91" t="n"/>
      <c r="I843" s="91" t="n"/>
      <c r="J843" s="91" t="n"/>
      <c r="K843" s="91" t="n"/>
      <c r="L843" s="91" t="n"/>
      <c r="M843" s="91" t="n"/>
      <c r="N843" s="91" t="n"/>
      <c r="O843" s="91" t="n"/>
      <c r="P843" s="91" t="n"/>
      <c r="Q843" s="91" t="n"/>
      <c r="R843" s="91" t="n"/>
      <c r="S843" s="91" t="n"/>
      <c r="T843" s="91" t="n"/>
      <c r="U843" s="91" t="n"/>
      <c r="V843" s="91" t="n"/>
      <c r="W843" s="91" t="n"/>
      <c r="X843" s="91" t="n"/>
      <c r="Y843" s="91" t="n"/>
      <c r="Z843" s="91" t="n"/>
      <c r="AA843" s="91" t="n"/>
      <c r="AB843" s="91" t="n"/>
      <c r="AC843" s="91" t="n"/>
      <c r="AD843" s="91" t="n"/>
      <c r="AE843" s="91" t="n"/>
      <c r="AF843" s="91" t="n"/>
      <c r="AG843" s="91" t="n"/>
    </row>
    <row r="844" ht="12.75" customHeight="1" s="117">
      <c r="A844" s="91" t="n"/>
      <c r="B844" s="91" t="n"/>
      <c r="C844" s="91" t="n"/>
      <c r="D844" s="91" t="n"/>
      <c r="E844" s="91" t="n"/>
      <c r="F844" s="91" t="n"/>
      <c r="G844" s="91" t="n"/>
      <c r="H844" s="91" t="n"/>
      <c r="I844" s="91" t="n"/>
      <c r="J844" s="91" t="n"/>
      <c r="K844" s="91" t="n"/>
      <c r="L844" s="91" t="n"/>
      <c r="M844" s="91" t="n"/>
      <c r="N844" s="91" t="n"/>
      <c r="O844" s="91" t="n"/>
      <c r="P844" s="91" t="n"/>
      <c r="Q844" s="91" t="n"/>
      <c r="R844" s="91" t="n"/>
      <c r="S844" s="91" t="n"/>
      <c r="T844" s="91" t="n"/>
      <c r="U844" s="91" t="n"/>
      <c r="V844" s="91" t="n"/>
      <c r="W844" s="91" t="n"/>
      <c r="X844" s="91" t="n"/>
      <c r="Y844" s="91" t="n"/>
      <c r="Z844" s="91" t="n"/>
      <c r="AA844" s="91" t="n"/>
      <c r="AB844" s="91" t="n"/>
      <c r="AC844" s="91" t="n"/>
      <c r="AD844" s="91" t="n"/>
      <c r="AE844" s="91" t="n"/>
      <c r="AF844" s="91" t="n"/>
      <c r="AG844" s="91" t="n"/>
    </row>
    <row r="845" ht="12.75" customHeight="1" s="117">
      <c r="A845" s="91" t="n"/>
      <c r="B845" s="91" t="n"/>
      <c r="C845" s="91" t="n"/>
      <c r="D845" s="91" t="n"/>
      <c r="E845" s="91" t="n"/>
      <c r="F845" s="91" t="n"/>
      <c r="G845" s="91" t="n"/>
      <c r="H845" s="91" t="n"/>
      <c r="I845" s="91" t="n"/>
      <c r="J845" s="91" t="n"/>
      <c r="K845" s="91" t="n"/>
      <c r="L845" s="91" t="n"/>
      <c r="M845" s="91" t="n"/>
      <c r="N845" s="91" t="n"/>
      <c r="O845" s="91" t="n"/>
      <c r="P845" s="91" t="n"/>
      <c r="Q845" s="91" t="n"/>
      <c r="R845" s="91" t="n"/>
      <c r="S845" s="91" t="n"/>
      <c r="T845" s="91" t="n"/>
      <c r="U845" s="91" t="n"/>
      <c r="V845" s="91" t="n"/>
      <c r="W845" s="91" t="n"/>
      <c r="X845" s="91" t="n"/>
      <c r="Y845" s="91" t="n"/>
      <c r="Z845" s="91" t="n"/>
      <c r="AA845" s="91" t="n"/>
      <c r="AB845" s="91" t="n"/>
      <c r="AC845" s="91" t="n"/>
      <c r="AD845" s="91" t="n"/>
      <c r="AE845" s="91" t="n"/>
      <c r="AF845" s="91" t="n"/>
      <c r="AG845" s="91" t="n"/>
    </row>
    <row r="846" ht="12.75" customHeight="1" s="117">
      <c r="A846" s="91" t="n"/>
      <c r="B846" s="91" t="n"/>
      <c r="C846" s="91" t="n"/>
      <c r="D846" s="91" t="n"/>
      <c r="E846" s="91" t="n"/>
      <c r="F846" s="91" t="n"/>
      <c r="G846" s="91" t="n"/>
      <c r="H846" s="91" t="n"/>
      <c r="I846" s="91" t="n"/>
      <c r="J846" s="91" t="n"/>
      <c r="K846" s="91" t="n"/>
      <c r="L846" s="91" t="n"/>
      <c r="M846" s="91" t="n"/>
      <c r="N846" s="91" t="n"/>
      <c r="O846" s="91" t="n"/>
      <c r="P846" s="91" t="n"/>
      <c r="Q846" s="91" t="n"/>
      <c r="R846" s="91" t="n"/>
      <c r="S846" s="91" t="n"/>
      <c r="T846" s="91" t="n"/>
      <c r="U846" s="91" t="n"/>
      <c r="V846" s="91" t="n"/>
      <c r="W846" s="91" t="n"/>
      <c r="X846" s="91" t="n"/>
      <c r="Y846" s="91" t="n"/>
      <c r="Z846" s="91" t="n"/>
      <c r="AA846" s="91" t="n"/>
      <c r="AB846" s="91" t="n"/>
      <c r="AC846" s="91" t="n"/>
      <c r="AD846" s="91" t="n"/>
      <c r="AE846" s="91" t="n"/>
      <c r="AF846" s="91" t="n"/>
      <c r="AG846" s="91" t="n"/>
    </row>
    <row r="847" ht="12.75" customHeight="1" s="117">
      <c r="A847" s="91" t="n"/>
      <c r="B847" s="91" t="n"/>
      <c r="C847" s="91" t="n"/>
      <c r="D847" s="91" t="n"/>
      <c r="E847" s="91" t="n"/>
      <c r="F847" s="91" t="n"/>
      <c r="G847" s="91" t="n"/>
      <c r="H847" s="91" t="n"/>
      <c r="I847" s="91" t="n"/>
      <c r="J847" s="91" t="n"/>
      <c r="K847" s="91" t="n"/>
      <c r="L847" s="91" t="n"/>
      <c r="M847" s="91" t="n"/>
      <c r="N847" s="91" t="n"/>
      <c r="O847" s="91" t="n"/>
      <c r="P847" s="91" t="n"/>
      <c r="Q847" s="91" t="n"/>
      <c r="R847" s="91" t="n"/>
      <c r="S847" s="91" t="n"/>
      <c r="T847" s="91" t="n"/>
      <c r="U847" s="91" t="n"/>
      <c r="V847" s="91" t="n"/>
      <c r="W847" s="91" t="n"/>
      <c r="X847" s="91" t="n"/>
      <c r="Y847" s="91" t="n"/>
      <c r="Z847" s="91" t="n"/>
      <c r="AA847" s="91" t="n"/>
      <c r="AB847" s="91" t="n"/>
      <c r="AC847" s="91" t="n"/>
      <c r="AD847" s="91" t="n"/>
      <c r="AE847" s="91" t="n"/>
      <c r="AF847" s="91" t="n"/>
      <c r="AG847" s="91" t="n"/>
    </row>
    <row r="848" ht="12.75" customHeight="1" s="117">
      <c r="A848" s="91" t="n"/>
      <c r="B848" s="91" t="n"/>
      <c r="C848" s="91" t="n"/>
      <c r="D848" s="91" t="n"/>
      <c r="E848" s="91" t="n"/>
      <c r="F848" s="91" t="n"/>
      <c r="G848" s="91" t="n"/>
      <c r="H848" s="91" t="n"/>
      <c r="I848" s="91" t="n"/>
      <c r="J848" s="91" t="n"/>
      <c r="K848" s="91" t="n"/>
      <c r="L848" s="91" t="n"/>
      <c r="M848" s="91" t="n"/>
      <c r="N848" s="91" t="n"/>
      <c r="O848" s="91" t="n"/>
      <c r="P848" s="91" t="n"/>
      <c r="Q848" s="91" t="n"/>
      <c r="R848" s="91" t="n"/>
      <c r="S848" s="91" t="n"/>
      <c r="T848" s="91" t="n"/>
      <c r="U848" s="91" t="n"/>
      <c r="V848" s="91" t="n"/>
      <c r="W848" s="91" t="n"/>
      <c r="X848" s="91" t="n"/>
      <c r="Y848" s="91" t="n"/>
      <c r="Z848" s="91" t="n"/>
      <c r="AA848" s="91" t="n"/>
      <c r="AB848" s="91" t="n"/>
      <c r="AC848" s="91" t="n"/>
      <c r="AD848" s="91" t="n"/>
      <c r="AE848" s="91" t="n"/>
      <c r="AF848" s="91" t="n"/>
      <c r="AG848" s="91" t="n"/>
    </row>
    <row r="849" ht="12.75" customHeight="1" s="117">
      <c r="A849" s="91" t="n"/>
      <c r="B849" s="91" t="n"/>
      <c r="C849" s="91" t="n"/>
      <c r="D849" s="91" t="n"/>
      <c r="E849" s="91" t="n"/>
      <c r="F849" s="91" t="n"/>
      <c r="G849" s="91" t="n"/>
      <c r="H849" s="91" t="n"/>
      <c r="I849" s="91" t="n"/>
      <c r="J849" s="91" t="n"/>
      <c r="K849" s="91" t="n"/>
      <c r="L849" s="91" t="n"/>
      <c r="M849" s="91" t="n"/>
      <c r="N849" s="91" t="n"/>
      <c r="O849" s="91" t="n"/>
      <c r="P849" s="91" t="n"/>
      <c r="Q849" s="91" t="n"/>
      <c r="R849" s="91" t="n"/>
      <c r="S849" s="91" t="n"/>
      <c r="T849" s="91" t="n"/>
      <c r="U849" s="91" t="n"/>
      <c r="V849" s="91" t="n"/>
      <c r="W849" s="91" t="n"/>
      <c r="X849" s="91" t="n"/>
      <c r="Y849" s="91" t="n"/>
      <c r="Z849" s="91" t="n"/>
      <c r="AA849" s="91" t="n"/>
      <c r="AB849" s="91" t="n"/>
      <c r="AC849" s="91" t="n"/>
      <c r="AD849" s="91" t="n"/>
      <c r="AE849" s="91" t="n"/>
      <c r="AF849" s="91" t="n"/>
      <c r="AG849" s="91" t="n"/>
    </row>
    <row r="850" ht="12.75" customHeight="1" s="117">
      <c r="A850" s="91" t="n"/>
      <c r="B850" s="91" t="n"/>
      <c r="C850" s="91" t="n"/>
      <c r="D850" s="91" t="n"/>
      <c r="E850" s="91" t="n"/>
      <c r="F850" s="91" t="n"/>
      <c r="G850" s="91" t="n"/>
      <c r="H850" s="91" t="n"/>
      <c r="I850" s="91" t="n"/>
      <c r="J850" s="91" t="n"/>
      <c r="K850" s="91" t="n"/>
      <c r="L850" s="91" t="n"/>
      <c r="M850" s="91" t="n"/>
      <c r="N850" s="91" t="n"/>
      <c r="O850" s="91" t="n"/>
      <c r="P850" s="91" t="n"/>
      <c r="Q850" s="91" t="n"/>
      <c r="R850" s="91" t="n"/>
      <c r="S850" s="91" t="n"/>
      <c r="T850" s="91" t="n"/>
      <c r="U850" s="91" t="n"/>
      <c r="V850" s="91" t="n"/>
      <c r="W850" s="91" t="n"/>
      <c r="X850" s="91" t="n"/>
      <c r="Y850" s="91" t="n"/>
      <c r="Z850" s="91" t="n"/>
      <c r="AA850" s="91" t="n"/>
      <c r="AB850" s="91" t="n"/>
      <c r="AC850" s="91" t="n"/>
      <c r="AD850" s="91" t="n"/>
      <c r="AE850" s="91" t="n"/>
      <c r="AF850" s="91" t="n"/>
      <c r="AG850" s="91" t="n"/>
    </row>
    <row r="851" ht="12.75" customHeight="1" s="117">
      <c r="A851" s="91" t="n"/>
      <c r="B851" s="91" t="n"/>
      <c r="C851" s="91" t="n"/>
      <c r="D851" s="91" t="n"/>
      <c r="E851" s="91" t="n"/>
      <c r="F851" s="91" t="n"/>
      <c r="G851" s="91" t="n"/>
      <c r="H851" s="91" t="n"/>
      <c r="I851" s="91" t="n"/>
      <c r="J851" s="91" t="n"/>
      <c r="K851" s="91" t="n"/>
      <c r="L851" s="91" t="n"/>
      <c r="M851" s="91" t="n"/>
      <c r="N851" s="91" t="n"/>
      <c r="O851" s="91" t="n"/>
      <c r="P851" s="91" t="n"/>
      <c r="Q851" s="91" t="n"/>
      <c r="R851" s="91" t="n"/>
      <c r="S851" s="91" t="n"/>
      <c r="T851" s="91" t="n"/>
      <c r="U851" s="91" t="n"/>
      <c r="V851" s="91" t="n"/>
      <c r="W851" s="91" t="n"/>
      <c r="X851" s="91" t="n"/>
      <c r="Y851" s="91" t="n"/>
      <c r="Z851" s="91" t="n"/>
      <c r="AA851" s="91" t="n"/>
      <c r="AB851" s="91" t="n"/>
      <c r="AC851" s="91" t="n"/>
      <c r="AD851" s="91" t="n"/>
      <c r="AE851" s="91" t="n"/>
      <c r="AF851" s="91" t="n"/>
      <c r="AG851" s="91" t="n"/>
    </row>
    <row r="852" ht="12.75" customHeight="1" s="117">
      <c r="A852" s="91" t="n"/>
      <c r="B852" s="91" t="n"/>
      <c r="C852" s="91" t="n"/>
      <c r="D852" s="91" t="n"/>
      <c r="E852" s="91" t="n"/>
      <c r="F852" s="91" t="n"/>
      <c r="G852" s="91" t="n"/>
      <c r="H852" s="91" t="n"/>
      <c r="I852" s="91" t="n"/>
      <c r="J852" s="91" t="n"/>
      <c r="K852" s="91" t="n"/>
      <c r="L852" s="91" t="n"/>
      <c r="M852" s="91" t="n"/>
      <c r="N852" s="91" t="n"/>
      <c r="O852" s="91" t="n"/>
      <c r="P852" s="91" t="n"/>
      <c r="Q852" s="91" t="n"/>
      <c r="R852" s="91" t="n"/>
      <c r="S852" s="91" t="n"/>
      <c r="T852" s="91" t="n"/>
      <c r="U852" s="91" t="n"/>
      <c r="V852" s="91" t="n"/>
      <c r="W852" s="91" t="n"/>
      <c r="X852" s="91" t="n"/>
      <c r="Y852" s="91" t="n"/>
      <c r="Z852" s="91" t="n"/>
      <c r="AA852" s="91" t="n"/>
      <c r="AB852" s="91" t="n"/>
      <c r="AC852" s="91" t="n"/>
      <c r="AD852" s="91" t="n"/>
      <c r="AE852" s="91" t="n"/>
      <c r="AF852" s="91" t="n"/>
      <c r="AG852" s="91" t="n"/>
    </row>
    <row r="853" ht="12.75" customHeight="1" s="117">
      <c r="A853" s="91" t="n"/>
      <c r="B853" s="91" t="n"/>
      <c r="C853" s="91" t="n"/>
      <c r="D853" s="91" t="n"/>
      <c r="E853" s="91" t="n"/>
      <c r="F853" s="91" t="n"/>
      <c r="G853" s="91" t="n"/>
      <c r="H853" s="91" t="n"/>
      <c r="I853" s="91" t="n"/>
      <c r="J853" s="91" t="n"/>
      <c r="K853" s="91" t="n"/>
      <c r="L853" s="91" t="n"/>
      <c r="M853" s="91" t="n"/>
      <c r="N853" s="91" t="n"/>
      <c r="O853" s="91" t="n"/>
      <c r="P853" s="91" t="n"/>
      <c r="Q853" s="91" t="n"/>
      <c r="R853" s="91" t="n"/>
      <c r="S853" s="91" t="n"/>
      <c r="T853" s="91" t="n"/>
      <c r="U853" s="91" t="n"/>
      <c r="V853" s="91" t="n"/>
      <c r="W853" s="91" t="n"/>
      <c r="X853" s="91" t="n"/>
      <c r="Y853" s="91" t="n"/>
      <c r="Z853" s="91" t="n"/>
      <c r="AA853" s="91" t="n"/>
      <c r="AB853" s="91" t="n"/>
      <c r="AC853" s="91" t="n"/>
      <c r="AD853" s="91" t="n"/>
      <c r="AE853" s="91" t="n"/>
      <c r="AF853" s="91" t="n"/>
      <c r="AG853" s="91" t="n"/>
    </row>
    <row r="854" ht="12.75" customHeight="1" s="117">
      <c r="A854" s="91" t="n"/>
      <c r="B854" s="91" t="n"/>
      <c r="C854" s="91" t="n"/>
      <c r="D854" s="91" t="n"/>
      <c r="E854" s="91" t="n"/>
      <c r="F854" s="91" t="n"/>
      <c r="G854" s="91" t="n"/>
      <c r="H854" s="91" t="n"/>
      <c r="I854" s="91" t="n"/>
      <c r="J854" s="91" t="n"/>
      <c r="K854" s="91" t="n"/>
      <c r="L854" s="91" t="n"/>
      <c r="M854" s="91" t="n"/>
      <c r="N854" s="91" t="n"/>
      <c r="O854" s="91" t="n"/>
      <c r="P854" s="91" t="n"/>
      <c r="Q854" s="91" t="n"/>
      <c r="R854" s="91" t="n"/>
      <c r="S854" s="91" t="n"/>
      <c r="T854" s="91" t="n"/>
      <c r="U854" s="91" t="n"/>
      <c r="V854" s="91" t="n"/>
      <c r="W854" s="91" t="n"/>
      <c r="X854" s="91" t="n"/>
      <c r="Y854" s="91" t="n"/>
      <c r="Z854" s="91" t="n"/>
      <c r="AA854" s="91" t="n"/>
      <c r="AB854" s="91" t="n"/>
      <c r="AC854" s="91" t="n"/>
      <c r="AD854" s="91" t="n"/>
      <c r="AE854" s="91" t="n"/>
      <c r="AF854" s="91" t="n"/>
      <c r="AG854" s="91" t="n"/>
    </row>
    <row r="855" ht="12.75" customHeight="1" s="117">
      <c r="A855" s="91" t="n"/>
      <c r="B855" s="91" t="n"/>
      <c r="C855" s="91" t="n"/>
      <c r="D855" s="91" t="n"/>
      <c r="E855" s="91" t="n"/>
      <c r="F855" s="91" t="n"/>
      <c r="G855" s="91" t="n"/>
      <c r="H855" s="91" t="n"/>
      <c r="I855" s="91" t="n"/>
      <c r="J855" s="91" t="n"/>
      <c r="K855" s="91" t="n"/>
      <c r="L855" s="91" t="n"/>
      <c r="M855" s="91" t="n"/>
      <c r="N855" s="91" t="n"/>
      <c r="O855" s="91" t="n"/>
      <c r="P855" s="91" t="n"/>
      <c r="Q855" s="91" t="n"/>
      <c r="R855" s="91" t="n"/>
      <c r="S855" s="91" t="n"/>
      <c r="T855" s="91" t="n"/>
      <c r="U855" s="91" t="n"/>
      <c r="V855" s="91" t="n"/>
      <c r="W855" s="91" t="n"/>
      <c r="X855" s="91" t="n"/>
      <c r="Y855" s="91" t="n"/>
      <c r="Z855" s="91" t="n"/>
      <c r="AA855" s="91" t="n"/>
      <c r="AB855" s="91" t="n"/>
      <c r="AC855" s="91" t="n"/>
      <c r="AD855" s="91" t="n"/>
      <c r="AE855" s="91" t="n"/>
      <c r="AF855" s="91" t="n"/>
      <c r="AG855" s="91" t="n"/>
    </row>
    <row r="856" ht="12.75" customHeight="1" s="117">
      <c r="A856" s="91" t="n"/>
      <c r="B856" s="91" t="n"/>
      <c r="C856" s="91" t="n"/>
      <c r="D856" s="91" t="n"/>
      <c r="E856" s="91" t="n"/>
      <c r="F856" s="91" t="n"/>
      <c r="G856" s="91" t="n"/>
      <c r="H856" s="91" t="n"/>
      <c r="I856" s="91" t="n"/>
      <c r="J856" s="91" t="n"/>
      <c r="K856" s="91" t="n"/>
      <c r="L856" s="91" t="n"/>
      <c r="M856" s="91" t="n"/>
      <c r="N856" s="91" t="n"/>
      <c r="O856" s="91" t="n"/>
      <c r="P856" s="91" t="n"/>
      <c r="Q856" s="91" t="n"/>
      <c r="R856" s="91" t="n"/>
      <c r="S856" s="91" t="n"/>
      <c r="T856" s="91" t="n"/>
      <c r="U856" s="91" t="n"/>
      <c r="V856" s="91" t="n"/>
      <c r="W856" s="91" t="n"/>
      <c r="X856" s="91" t="n"/>
      <c r="Y856" s="91" t="n"/>
      <c r="Z856" s="91" t="n"/>
      <c r="AA856" s="91" t="n"/>
      <c r="AB856" s="91" t="n"/>
      <c r="AC856" s="91" t="n"/>
      <c r="AD856" s="91" t="n"/>
      <c r="AE856" s="91" t="n"/>
      <c r="AF856" s="91" t="n"/>
      <c r="AG856" s="91" t="n"/>
    </row>
    <row r="857" ht="12.75" customHeight="1" s="117">
      <c r="A857" s="91" t="n"/>
      <c r="B857" s="91" t="n"/>
      <c r="C857" s="91" t="n"/>
      <c r="D857" s="91" t="n"/>
      <c r="E857" s="91" t="n"/>
      <c r="F857" s="91" t="n"/>
      <c r="G857" s="91" t="n"/>
      <c r="H857" s="91" t="n"/>
      <c r="I857" s="91" t="n"/>
      <c r="J857" s="91" t="n"/>
      <c r="K857" s="91" t="n"/>
      <c r="L857" s="91" t="n"/>
      <c r="M857" s="91" t="n"/>
      <c r="N857" s="91" t="n"/>
      <c r="O857" s="91" t="n"/>
      <c r="P857" s="91" t="n"/>
      <c r="Q857" s="91" t="n"/>
      <c r="R857" s="91" t="n"/>
      <c r="S857" s="91" t="n"/>
      <c r="T857" s="91" t="n"/>
      <c r="U857" s="91" t="n"/>
      <c r="V857" s="91" t="n"/>
      <c r="W857" s="91" t="n"/>
      <c r="X857" s="91" t="n"/>
      <c r="Y857" s="91" t="n"/>
      <c r="Z857" s="91" t="n"/>
      <c r="AA857" s="91" t="n"/>
      <c r="AB857" s="91" t="n"/>
      <c r="AC857" s="91" t="n"/>
      <c r="AD857" s="91" t="n"/>
      <c r="AE857" s="91" t="n"/>
      <c r="AF857" s="91" t="n"/>
      <c r="AG857" s="91" t="n"/>
    </row>
    <row r="858" ht="12.75" customHeight="1" s="117">
      <c r="A858" s="91" t="n"/>
      <c r="B858" s="91" t="n"/>
      <c r="C858" s="91" t="n"/>
      <c r="D858" s="91" t="n"/>
      <c r="E858" s="91" t="n"/>
      <c r="F858" s="91" t="n"/>
      <c r="G858" s="91" t="n"/>
      <c r="H858" s="91" t="n"/>
      <c r="I858" s="91" t="n"/>
      <c r="J858" s="91" t="n"/>
      <c r="K858" s="91" t="n"/>
      <c r="L858" s="91" t="n"/>
      <c r="M858" s="91" t="n"/>
      <c r="N858" s="91" t="n"/>
      <c r="O858" s="91" t="n"/>
      <c r="P858" s="91" t="n"/>
      <c r="Q858" s="91" t="n"/>
      <c r="R858" s="91" t="n"/>
      <c r="S858" s="91" t="n"/>
      <c r="T858" s="91" t="n"/>
      <c r="U858" s="91" t="n"/>
      <c r="V858" s="91" t="n"/>
      <c r="W858" s="91" t="n"/>
      <c r="X858" s="91" t="n"/>
      <c r="Y858" s="91" t="n"/>
      <c r="Z858" s="91" t="n"/>
      <c r="AA858" s="91" t="n"/>
      <c r="AB858" s="91" t="n"/>
      <c r="AC858" s="91" t="n"/>
      <c r="AD858" s="91" t="n"/>
      <c r="AE858" s="91" t="n"/>
      <c r="AF858" s="91" t="n"/>
      <c r="AG858" s="91" t="n"/>
    </row>
    <row r="859" ht="12.75" customHeight="1" s="117">
      <c r="A859" s="91" t="n"/>
      <c r="B859" s="91" t="n"/>
      <c r="C859" s="91" t="n"/>
      <c r="D859" s="91" t="n"/>
      <c r="E859" s="91" t="n"/>
      <c r="F859" s="91" t="n"/>
      <c r="G859" s="91" t="n"/>
      <c r="H859" s="91" t="n"/>
      <c r="I859" s="91" t="n"/>
      <c r="J859" s="91" t="n"/>
      <c r="K859" s="91" t="n"/>
      <c r="L859" s="91" t="n"/>
      <c r="M859" s="91" t="n"/>
      <c r="N859" s="91" t="n"/>
      <c r="O859" s="91" t="n"/>
      <c r="P859" s="91" t="n"/>
      <c r="Q859" s="91" t="n"/>
      <c r="R859" s="91" t="n"/>
      <c r="S859" s="91" t="n"/>
      <c r="T859" s="91" t="n"/>
      <c r="U859" s="91" t="n"/>
      <c r="V859" s="91" t="n"/>
      <c r="W859" s="91" t="n"/>
      <c r="X859" s="91" t="n"/>
      <c r="Y859" s="91" t="n"/>
      <c r="Z859" s="91" t="n"/>
      <c r="AA859" s="91" t="n"/>
      <c r="AB859" s="91" t="n"/>
      <c r="AC859" s="91" t="n"/>
      <c r="AD859" s="91" t="n"/>
      <c r="AE859" s="91" t="n"/>
      <c r="AF859" s="91" t="n"/>
      <c r="AG859" s="91" t="n"/>
    </row>
    <row r="860" ht="12.75" customHeight="1" s="117">
      <c r="A860" s="91" t="n"/>
      <c r="B860" s="91" t="n"/>
      <c r="C860" s="91" t="n"/>
      <c r="D860" s="91" t="n"/>
      <c r="E860" s="91" t="n"/>
      <c r="F860" s="91" t="n"/>
      <c r="G860" s="91" t="n"/>
      <c r="H860" s="91" t="n"/>
      <c r="I860" s="91" t="n"/>
      <c r="J860" s="91" t="n"/>
      <c r="K860" s="91" t="n"/>
      <c r="L860" s="91" t="n"/>
      <c r="M860" s="91" t="n"/>
      <c r="N860" s="91" t="n"/>
      <c r="O860" s="91" t="n"/>
      <c r="P860" s="91" t="n"/>
      <c r="Q860" s="91" t="n"/>
      <c r="R860" s="91" t="n"/>
      <c r="S860" s="91" t="n"/>
      <c r="T860" s="91" t="n"/>
      <c r="U860" s="91" t="n"/>
      <c r="V860" s="91" t="n"/>
      <c r="W860" s="91" t="n"/>
      <c r="X860" s="91" t="n"/>
      <c r="Y860" s="91" t="n"/>
      <c r="Z860" s="91" t="n"/>
      <c r="AA860" s="91" t="n"/>
      <c r="AB860" s="91" t="n"/>
      <c r="AC860" s="91" t="n"/>
      <c r="AD860" s="91" t="n"/>
      <c r="AE860" s="91" t="n"/>
      <c r="AF860" s="91" t="n"/>
      <c r="AG860" s="91" t="n"/>
    </row>
    <row r="861" ht="12.75" customHeight="1" s="117">
      <c r="A861" s="91" t="n"/>
      <c r="B861" s="91" t="n"/>
      <c r="C861" s="91" t="n"/>
      <c r="D861" s="91" t="n"/>
      <c r="E861" s="91" t="n"/>
      <c r="F861" s="91" t="n"/>
      <c r="G861" s="91" t="n"/>
      <c r="H861" s="91" t="n"/>
      <c r="I861" s="91" t="n"/>
      <c r="J861" s="91" t="n"/>
      <c r="K861" s="91" t="n"/>
      <c r="L861" s="91" t="n"/>
      <c r="M861" s="91" t="n"/>
      <c r="N861" s="91" t="n"/>
      <c r="O861" s="91" t="n"/>
      <c r="P861" s="91" t="n"/>
      <c r="Q861" s="91" t="n"/>
      <c r="R861" s="91" t="n"/>
      <c r="S861" s="91" t="n"/>
      <c r="T861" s="91" t="n"/>
      <c r="U861" s="91" t="n"/>
      <c r="V861" s="91" t="n"/>
      <c r="W861" s="91" t="n"/>
      <c r="X861" s="91" t="n"/>
      <c r="Y861" s="91" t="n"/>
      <c r="Z861" s="91" t="n"/>
      <c r="AA861" s="91" t="n"/>
      <c r="AB861" s="91" t="n"/>
      <c r="AC861" s="91" t="n"/>
      <c r="AD861" s="91" t="n"/>
      <c r="AE861" s="91" t="n"/>
      <c r="AF861" s="91" t="n"/>
      <c r="AG861" s="91" t="n"/>
    </row>
    <row r="862" ht="12.75" customHeight="1" s="117">
      <c r="A862" s="91" t="n"/>
      <c r="B862" s="91" t="n"/>
      <c r="C862" s="91" t="n"/>
      <c r="D862" s="91" t="n"/>
      <c r="E862" s="91" t="n"/>
      <c r="F862" s="91" t="n"/>
      <c r="G862" s="91" t="n"/>
      <c r="H862" s="91" t="n"/>
      <c r="I862" s="91" t="n"/>
      <c r="J862" s="91" t="n"/>
      <c r="K862" s="91" t="n"/>
      <c r="L862" s="91" t="n"/>
      <c r="M862" s="91" t="n"/>
      <c r="N862" s="91" t="n"/>
      <c r="O862" s="91" t="n"/>
      <c r="P862" s="91" t="n"/>
      <c r="Q862" s="91" t="n"/>
      <c r="R862" s="91" t="n"/>
      <c r="S862" s="91" t="n"/>
      <c r="T862" s="91" t="n"/>
      <c r="U862" s="91" t="n"/>
      <c r="V862" s="91" t="n"/>
      <c r="W862" s="91" t="n"/>
      <c r="X862" s="91" t="n"/>
      <c r="Y862" s="91" t="n"/>
      <c r="Z862" s="91" t="n"/>
      <c r="AA862" s="91" t="n"/>
      <c r="AB862" s="91" t="n"/>
      <c r="AC862" s="91" t="n"/>
      <c r="AD862" s="91" t="n"/>
      <c r="AE862" s="91" t="n"/>
      <c r="AF862" s="91" t="n"/>
      <c r="AG862" s="91" t="n"/>
    </row>
    <row r="863" ht="12.75" customHeight="1" s="117">
      <c r="A863" s="91" t="n"/>
      <c r="B863" s="91" t="n"/>
      <c r="C863" s="91" t="n"/>
      <c r="D863" s="91" t="n"/>
      <c r="E863" s="91" t="n"/>
      <c r="F863" s="91" t="n"/>
      <c r="G863" s="91" t="n"/>
      <c r="H863" s="91" t="n"/>
      <c r="I863" s="91" t="n"/>
      <c r="J863" s="91" t="n"/>
      <c r="K863" s="91" t="n"/>
      <c r="L863" s="91" t="n"/>
      <c r="M863" s="91" t="n"/>
      <c r="N863" s="91" t="n"/>
      <c r="O863" s="91" t="n"/>
      <c r="P863" s="91" t="n"/>
      <c r="Q863" s="91" t="n"/>
      <c r="R863" s="91" t="n"/>
      <c r="S863" s="91" t="n"/>
      <c r="T863" s="91" t="n"/>
      <c r="U863" s="91" t="n"/>
      <c r="V863" s="91" t="n"/>
      <c r="W863" s="91" t="n"/>
      <c r="X863" s="91" t="n"/>
      <c r="Y863" s="91" t="n"/>
      <c r="Z863" s="91" t="n"/>
      <c r="AA863" s="91" t="n"/>
      <c r="AB863" s="91" t="n"/>
      <c r="AC863" s="91" t="n"/>
      <c r="AD863" s="91" t="n"/>
      <c r="AE863" s="91" t="n"/>
      <c r="AF863" s="91" t="n"/>
      <c r="AG863" s="91" t="n"/>
    </row>
    <row r="864" ht="12.75" customHeight="1" s="117">
      <c r="A864" s="91" t="n"/>
      <c r="B864" s="91" t="n"/>
      <c r="C864" s="91" t="n"/>
      <c r="D864" s="91" t="n"/>
      <c r="E864" s="91" t="n"/>
      <c r="F864" s="91" t="n"/>
      <c r="G864" s="91" t="n"/>
      <c r="H864" s="91" t="n"/>
      <c r="I864" s="91" t="n"/>
      <c r="J864" s="91" t="n"/>
      <c r="K864" s="91" t="n"/>
      <c r="L864" s="91" t="n"/>
      <c r="M864" s="91" t="n"/>
      <c r="N864" s="91" t="n"/>
      <c r="O864" s="91" t="n"/>
      <c r="P864" s="91" t="n"/>
      <c r="Q864" s="91" t="n"/>
      <c r="R864" s="91" t="n"/>
      <c r="S864" s="91" t="n"/>
      <c r="T864" s="91" t="n"/>
      <c r="U864" s="91" t="n"/>
      <c r="V864" s="91" t="n"/>
      <c r="W864" s="91" t="n"/>
      <c r="X864" s="91" t="n"/>
      <c r="Y864" s="91" t="n"/>
      <c r="Z864" s="91" t="n"/>
      <c r="AA864" s="91" t="n"/>
      <c r="AB864" s="91" t="n"/>
      <c r="AC864" s="91" t="n"/>
      <c r="AD864" s="91" t="n"/>
      <c r="AE864" s="91" t="n"/>
      <c r="AF864" s="91" t="n"/>
      <c r="AG864" s="91" t="n"/>
    </row>
    <row r="865" ht="12.75" customHeight="1" s="117">
      <c r="A865" s="91" t="n"/>
      <c r="B865" s="91" t="n"/>
      <c r="C865" s="91" t="n"/>
      <c r="D865" s="91" t="n"/>
      <c r="E865" s="91" t="n"/>
      <c r="F865" s="91" t="n"/>
      <c r="G865" s="91" t="n"/>
      <c r="H865" s="91" t="n"/>
      <c r="I865" s="91" t="n"/>
      <c r="J865" s="91" t="n"/>
      <c r="K865" s="91" t="n"/>
      <c r="L865" s="91" t="n"/>
      <c r="M865" s="91" t="n"/>
      <c r="N865" s="91" t="n"/>
      <c r="O865" s="91" t="n"/>
      <c r="P865" s="91" t="n"/>
      <c r="Q865" s="91" t="n"/>
      <c r="R865" s="91" t="n"/>
      <c r="S865" s="91" t="n"/>
      <c r="T865" s="91" t="n"/>
      <c r="U865" s="91" t="n"/>
      <c r="V865" s="91" t="n"/>
      <c r="W865" s="91" t="n"/>
      <c r="X865" s="91" t="n"/>
      <c r="Y865" s="91" t="n"/>
      <c r="Z865" s="91" t="n"/>
      <c r="AA865" s="91" t="n"/>
      <c r="AB865" s="91" t="n"/>
      <c r="AC865" s="91" t="n"/>
      <c r="AD865" s="91" t="n"/>
      <c r="AE865" s="91" t="n"/>
      <c r="AF865" s="91" t="n"/>
      <c r="AG865" s="91" t="n"/>
    </row>
    <row r="866" ht="12.75" customHeight="1" s="117">
      <c r="A866" s="91" t="n"/>
      <c r="B866" s="91" t="n"/>
      <c r="C866" s="91" t="n"/>
      <c r="D866" s="91" t="n"/>
      <c r="E866" s="91" t="n"/>
      <c r="F866" s="91" t="n"/>
      <c r="G866" s="91" t="n"/>
      <c r="H866" s="91" t="n"/>
      <c r="I866" s="91" t="n"/>
      <c r="J866" s="91" t="n"/>
      <c r="K866" s="91" t="n"/>
      <c r="L866" s="91" t="n"/>
      <c r="M866" s="91" t="n"/>
      <c r="N866" s="91" t="n"/>
      <c r="O866" s="91" t="n"/>
      <c r="P866" s="91" t="n"/>
      <c r="Q866" s="91" t="n"/>
      <c r="R866" s="91" t="n"/>
      <c r="S866" s="91" t="n"/>
      <c r="T866" s="91" t="n"/>
      <c r="U866" s="91" t="n"/>
      <c r="V866" s="91" t="n"/>
      <c r="W866" s="91" t="n"/>
      <c r="X866" s="91" t="n"/>
      <c r="Y866" s="91" t="n"/>
      <c r="Z866" s="91" t="n"/>
      <c r="AA866" s="91" t="n"/>
      <c r="AB866" s="91" t="n"/>
      <c r="AC866" s="91" t="n"/>
      <c r="AD866" s="91" t="n"/>
      <c r="AE866" s="91" t="n"/>
      <c r="AF866" s="91" t="n"/>
      <c r="AG866" s="91" t="n"/>
    </row>
    <row r="867" ht="12.75" customHeight="1" s="117">
      <c r="A867" s="91" t="n"/>
      <c r="B867" s="91" t="n"/>
      <c r="C867" s="91" t="n"/>
      <c r="D867" s="91" t="n"/>
      <c r="E867" s="91" t="n"/>
      <c r="F867" s="91" t="n"/>
      <c r="G867" s="91" t="n"/>
      <c r="H867" s="91" t="n"/>
      <c r="I867" s="91" t="n"/>
      <c r="J867" s="91" t="n"/>
      <c r="K867" s="91" t="n"/>
      <c r="L867" s="91" t="n"/>
      <c r="M867" s="91" t="n"/>
      <c r="N867" s="91" t="n"/>
      <c r="O867" s="91" t="n"/>
      <c r="P867" s="91" t="n"/>
      <c r="Q867" s="91" t="n"/>
      <c r="R867" s="91" t="n"/>
      <c r="S867" s="91" t="n"/>
      <c r="T867" s="91" t="n"/>
      <c r="U867" s="91" t="n"/>
      <c r="V867" s="91" t="n"/>
      <c r="W867" s="91" t="n"/>
      <c r="X867" s="91" t="n"/>
      <c r="Y867" s="91" t="n"/>
      <c r="Z867" s="91" t="n"/>
      <c r="AA867" s="91" t="n"/>
      <c r="AB867" s="91" t="n"/>
      <c r="AC867" s="91" t="n"/>
      <c r="AD867" s="91" t="n"/>
      <c r="AE867" s="91" t="n"/>
      <c r="AF867" s="91" t="n"/>
      <c r="AG867" s="91" t="n"/>
    </row>
    <row r="868" ht="12.75" customHeight="1" s="117">
      <c r="A868" s="91" t="n"/>
      <c r="B868" s="91" t="n"/>
      <c r="C868" s="91" t="n"/>
      <c r="D868" s="91" t="n"/>
      <c r="E868" s="91" t="n"/>
      <c r="F868" s="91" t="n"/>
      <c r="G868" s="91" t="n"/>
      <c r="H868" s="91" t="n"/>
      <c r="I868" s="91" t="n"/>
      <c r="J868" s="91" t="n"/>
      <c r="K868" s="91" t="n"/>
      <c r="L868" s="91" t="n"/>
      <c r="M868" s="91" t="n"/>
      <c r="N868" s="91" t="n"/>
      <c r="O868" s="91" t="n"/>
      <c r="P868" s="91" t="n"/>
      <c r="Q868" s="91" t="n"/>
      <c r="R868" s="91" t="n"/>
      <c r="S868" s="91" t="n"/>
      <c r="T868" s="91" t="n"/>
      <c r="U868" s="91" t="n"/>
      <c r="V868" s="91" t="n"/>
      <c r="W868" s="91" t="n"/>
      <c r="X868" s="91" t="n"/>
      <c r="Y868" s="91" t="n"/>
      <c r="Z868" s="91" t="n"/>
      <c r="AA868" s="91" t="n"/>
      <c r="AB868" s="91" t="n"/>
      <c r="AC868" s="91" t="n"/>
      <c r="AD868" s="91" t="n"/>
      <c r="AE868" s="91" t="n"/>
      <c r="AF868" s="91" t="n"/>
      <c r="AG868" s="91" t="n"/>
    </row>
    <row r="869" ht="12.75" customHeight="1" s="117">
      <c r="A869" s="91" t="n"/>
      <c r="B869" s="91" t="n"/>
      <c r="C869" s="91" t="n"/>
      <c r="D869" s="91" t="n"/>
      <c r="E869" s="91" t="n"/>
      <c r="F869" s="91" t="n"/>
      <c r="G869" s="91" t="n"/>
      <c r="H869" s="91" t="n"/>
      <c r="I869" s="91" t="n"/>
      <c r="J869" s="91" t="n"/>
      <c r="K869" s="91" t="n"/>
      <c r="L869" s="91" t="n"/>
      <c r="M869" s="91" t="n"/>
      <c r="N869" s="91" t="n"/>
      <c r="O869" s="91" t="n"/>
      <c r="P869" s="91" t="n"/>
      <c r="Q869" s="91" t="n"/>
      <c r="R869" s="91" t="n"/>
      <c r="S869" s="91" t="n"/>
      <c r="T869" s="91" t="n"/>
      <c r="U869" s="91" t="n"/>
      <c r="V869" s="91" t="n"/>
      <c r="W869" s="91" t="n"/>
      <c r="X869" s="91" t="n"/>
      <c r="Y869" s="91" t="n"/>
      <c r="Z869" s="91" t="n"/>
      <c r="AA869" s="91" t="n"/>
      <c r="AB869" s="91" t="n"/>
      <c r="AC869" s="91" t="n"/>
      <c r="AD869" s="91" t="n"/>
      <c r="AE869" s="91" t="n"/>
      <c r="AF869" s="91" t="n"/>
      <c r="AG869" s="91" t="n"/>
    </row>
    <row r="870" ht="12.75" customHeight="1" s="117">
      <c r="A870" s="91" t="n"/>
      <c r="B870" s="91" t="n"/>
      <c r="C870" s="91" t="n"/>
      <c r="D870" s="91" t="n"/>
      <c r="E870" s="91" t="n"/>
      <c r="F870" s="91" t="n"/>
      <c r="G870" s="91" t="n"/>
      <c r="H870" s="91" t="n"/>
      <c r="I870" s="91" t="n"/>
      <c r="J870" s="91" t="n"/>
      <c r="K870" s="91" t="n"/>
      <c r="L870" s="91" t="n"/>
      <c r="M870" s="91" t="n"/>
      <c r="N870" s="91" t="n"/>
      <c r="O870" s="91" t="n"/>
      <c r="P870" s="91" t="n"/>
      <c r="Q870" s="91" t="n"/>
      <c r="R870" s="91" t="n"/>
      <c r="S870" s="91" t="n"/>
      <c r="T870" s="91" t="n"/>
      <c r="U870" s="91" t="n"/>
      <c r="V870" s="91" t="n"/>
      <c r="W870" s="91" t="n"/>
      <c r="X870" s="91" t="n"/>
      <c r="Y870" s="91" t="n"/>
      <c r="Z870" s="91" t="n"/>
      <c r="AA870" s="91" t="n"/>
      <c r="AB870" s="91" t="n"/>
      <c r="AC870" s="91" t="n"/>
      <c r="AD870" s="91" t="n"/>
      <c r="AE870" s="91" t="n"/>
      <c r="AF870" s="91" t="n"/>
      <c r="AG870" s="91" t="n"/>
    </row>
    <row r="871" ht="12.75" customHeight="1" s="117">
      <c r="A871" s="91" t="n"/>
      <c r="B871" s="91" t="n"/>
      <c r="C871" s="91" t="n"/>
      <c r="D871" s="91" t="n"/>
      <c r="E871" s="91" t="n"/>
      <c r="F871" s="91" t="n"/>
      <c r="G871" s="91" t="n"/>
      <c r="H871" s="91" t="n"/>
      <c r="I871" s="91" t="n"/>
      <c r="J871" s="91" t="n"/>
      <c r="K871" s="91" t="n"/>
      <c r="L871" s="91" t="n"/>
      <c r="M871" s="91" t="n"/>
      <c r="N871" s="91" t="n"/>
      <c r="O871" s="91" t="n"/>
      <c r="P871" s="91" t="n"/>
      <c r="Q871" s="91" t="n"/>
      <c r="R871" s="91" t="n"/>
      <c r="S871" s="91" t="n"/>
      <c r="T871" s="91" t="n"/>
      <c r="U871" s="91" t="n"/>
      <c r="V871" s="91" t="n"/>
      <c r="W871" s="91" t="n"/>
      <c r="X871" s="91" t="n"/>
      <c r="Y871" s="91" t="n"/>
      <c r="Z871" s="91" t="n"/>
      <c r="AA871" s="91" t="n"/>
      <c r="AB871" s="91" t="n"/>
      <c r="AC871" s="91" t="n"/>
      <c r="AD871" s="91" t="n"/>
      <c r="AE871" s="91" t="n"/>
      <c r="AF871" s="91" t="n"/>
      <c r="AG871" s="91" t="n"/>
    </row>
    <row r="872" ht="12.75" customHeight="1" s="117">
      <c r="A872" s="91" t="n"/>
      <c r="B872" s="91" t="n"/>
      <c r="C872" s="91" t="n"/>
      <c r="D872" s="91" t="n"/>
      <c r="E872" s="91" t="n"/>
      <c r="F872" s="91" t="n"/>
      <c r="G872" s="91" t="n"/>
      <c r="H872" s="91" t="n"/>
      <c r="I872" s="91" t="n"/>
      <c r="J872" s="91" t="n"/>
      <c r="K872" s="91" t="n"/>
      <c r="L872" s="91" t="n"/>
      <c r="M872" s="91" t="n"/>
      <c r="N872" s="91" t="n"/>
      <c r="O872" s="91" t="n"/>
      <c r="P872" s="91" t="n"/>
      <c r="Q872" s="91" t="n"/>
      <c r="R872" s="91" t="n"/>
      <c r="S872" s="91" t="n"/>
      <c r="T872" s="91" t="n"/>
      <c r="U872" s="91" t="n"/>
      <c r="V872" s="91" t="n"/>
      <c r="W872" s="91" t="n"/>
      <c r="X872" s="91" t="n"/>
      <c r="Y872" s="91" t="n"/>
      <c r="Z872" s="91" t="n"/>
      <c r="AA872" s="91" t="n"/>
      <c r="AB872" s="91" t="n"/>
      <c r="AC872" s="91" t="n"/>
      <c r="AD872" s="91" t="n"/>
      <c r="AE872" s="91" t="n"/>
      <c r="AF872" s="91" t="n"/>
      <c r="AG872" s="91" t="n"/>
    </row>
    <row r="873" ht="12.75" customHeight="1" s="117">
      <c r="A873" s="91" t="n"/>
      <c r="B873" s="91" t="n"/>
      <c r="C873" s="91" t="n"/>
      <c r="D873" s="91" t="n"/>
      <c r="E873" s="91" t="n"/>
      <c r="F873" s="91" t="n"/>
      <c r="G873" s="91" t="n"/>
      <c r="H873" s="91" t="n"/>
      <c r="I873" s="91" t="n"/>
      <c r="J873" s="91" t="n"/>
      <c r="K873" s="91" t="n"/>
      <c r="L873" s="91" t="n"/>
      <c r="M873" s="91" t="n"/>
      <c r="N873" s="91" t="n"/>
      <c r="O873" s="91" t="n"/>
      <c r="P873" s="91" t="n"/>
      <c r="Q873" s="91" t="n"/>
      <c r="R873" s="91" t="n"/>
      <c r="S873" s="91" t="n"/>
      <c r="T873" s="91" t="n"/>
      <c r="U873" s="91" t="n"/>
      <c r="V873" s="91" t="n"/>
      <c r="W873" s="91" t="n"/>
      <c r="X873" s="91" t="n"/>
      <c r="Y873" s="91" t="n"/>
      <c r="Z873" s="91" t="n"/>
      <c r="AA873" s="91" t="n"/>
      <c r="AB873" s="91" t="n"/>
      <c r="AC873" s="91" t="n"/>
      <c r="AD873" s="91" t="n"/>
      <c r="AE873" s="91" t="n"/>
      <c r="AF873" s="91" t="n"/>
      <c r="AG873" s="91" t="n"/>
    </row>
    <row r="874" ht="12.75" customHeight="1" s="117">
      <c r="A874" s="91" t="n"/>
      <c r="B874" s="91" t="n"/>
      <c r="C874" s="91" t="n"/>
      <c r="D874" s="91" t="n"/>
      <c r="E874" s="91" t="n"/>
      <c r="F874" s="91" t="n"/>
      <c r="G874" s="91" t="n"/>
      <c r="H874" s="91" t="n"/>
      <c r="I874" s="91" t="n"/>
      <c r="J874" s="91" t="n"/>
      <c r="K874" s="91" t="n"/>
      <c r="L874" s="91" t="n"/>
      <c r="M874" s="91" t="n"/>
      <c r="N874" s="91" t="n"/>
      <c r="O874" s="91" t="n"/>
      <c r="P874" s="91" t="n"/>
      <c r="Q874" s="91" t="n"/>
      <c r="R874" s="91" t="n"/>
      <c r="S874" s="91" t="n"/>
      <c r="T874" s="91" t="n"/>
      <c r="U874" s="91" t="n"/>
      <c r="V874" s="91" t="n"/>
      <c r="W874" s="91" t="n"/>
      <c r="X874" s="91" t="n"/>
      <c r="Y874" s="91" t="n"/>
      <c r="Z874" s="91" t="n"/>
      <c r="AA874" s="91" t="n"/>
      <c r="AB874" s="91" t="n"/>
      <c r="AC874" s="91" t="n"/>
      <c r="AD874" s="91" t="n"/>
      <c r="AE874" s="91" t="n"/>
      <c r="AF874" s="91" t="n"/>
      <c r="AG874" s="91" t="n"/>
    </row>
    <row r="875" ht="12.75" customHeight="1" s="117">
      <c r="A875" s="91" t="n"/>
      <c r="B875" s="91" t="n"/>
      <c r="C875" s="91" t="n"/>
      <c r="D875" s="91" t="n"/>
      <c r="E875" s="91" t="n"/>
      <c r="F875" s="91" t="n"/>
      <c r="G875" s="91" t="n"/>
      <c r="H875" s="91" t="n"/>
      <c r="I875" s="91" t="n"/>
      <c r="J875" s="91" t="n"/>
      <c r="K875" s="91" t="n"/>
      <c r="L875" s="91" t="n"/>
      <c r="M875" s="91" t="n"/>
      <c r="N875" s="91" t="n"/>
      <c r="O875" s="91" t="n"/>
      <c r="P875" s="91" t="n"/>
      <c r="Q875" s="91" t="n"/>
      <c r="R875" s="91" t="n"/>
      <c r="S875" s="91" t="n"/>
      <c r="T875" s="91" t="n"/>
      <c r="U875" s="91" t="n"/>
      <c r="V875" s="91" t="n"/>
      <c r="W875" s="91" t="n"/>
      <c r="X875" s="91" t="n"/>
      <c r="Y875" s="91" t="n"/>
      <c r="Z875" s="91" t="n"/>
      <c r="AA875" s="91" t="n"/>
      <c r="AB875" s="91" t="n"/>
      <c r="AC875" s="91" t="n"/>
      <c r="AD875" s="91" t="n"/>
      <c r="AE875" s="91" t="n"/>
      <c r="AF875" s="91" t="n"/>
      <c r="AG875" s="91" t="n"/>
    </row>
    <row r="876" ht="12.75" customHeight="1" s="117">
      <c r="A876" s="91" t="n"/>
      <c r="B876" s="91" t="n"/>
      <c r="C876" s="91" t="n"/>
      <c r="D876" s="91" t="n"/>
      <c r="E876" s="91" t="n"/>
      <c r="F876" s="91" t="n"/>
      <c r="G876" s="91" t="n"/>
      <c r="H876" s="91" t="n"/>
      <c r="I876" s="91" t="n"/>
      <c r="J876" s="91" t="n"/>
      <c r="K876" s="91" t="n"/>
      <c r="L876" s="91" t="n"/>
      <c r="M876" s="91" t="n"/>
      <c r="N876" s="91" t="n"/>
      <c r="O876" s="91" t="n"/>
      <c r="P876" s="91" t="n"/>
      <c r="Q876" s="91" t="n"/>
      <c r="R876" s="91" t="n"/>
      <c r="S876" s="91" t="n"/>
      <c r="T876" s="91" t="n"/>
      <c r="U876" s="91" t="n"/>
      <c r="V876" s="91" t="n"/>
      <c r="W876" s="91" t="n"/>
      <c r="X876" s="91" t="n"/>
      <c r="Y876" s="91" t="n"/>
      <c r="Z876" s="91" t="n"/>
      <c r="AA876" s="91" t="n"/>
      <c r="AB876" s="91" t="n"/>
      <c r="AC876" s="91" t="n"/>
      <c r="AD876" s="91" t="n"/>
      <c r="AE876" s="91" t="n"/>
      <c r="AF876" s="91" t="n"/>
      <c r="AG876" s="91" t="n"/>
    </row>
    <row r="877" ht="12.75" customHeight="1" s="117">
      <c r="A877" s="91" t="n"/>
      <c r="B877" s="91" t="n"/>
      <c r="C877" s="91" t="n"/>
      <c r="D877" s="91" t="n"/>
      <c r="E877" s="91" t="n"/>
      <c r="F877" s="91" t="n"/>
      <c r="G877" s="91" t="n"/>
      <c r="H877" s="91" t="n"/>
      <c r="I877" s="91" t="n"/>
      <c r="J877" s="91" t="n"/>
      <c r="K877" s="91" t="n"/>
      <c r="L877" s="91" t="n"/>
      <c r="M877" s="91" t="n"/>
      <c r="N877" s="91" t="n"/>
      <c r="O877" s="91" t="n"/>
      <c r="P877" s="91" t="n"/>
      <c r="Q877" s="91" t="n"/>
      <c r="R877" s="91" t="n"/>
      <c r="S877" s="91" t="n"/>
      <c r="T877" s="91" t="n"/>
      <c r="U877" s="91" t="n"/>
      <c r="V877" s="91" t="n"/>
      <c r="W877" s="91" t="n"/>
      <c r="X877" s="91" t="n"/>
      <c r="Y877" s="91" t="n"/>
      <c r="Z877" s="91" t="n"/>
      <c r="AA877" s="91" t="n"/>
      <c r="AB877" s="91" t="n"/>
      <c r="AC877" s="91" t="n"/>
      <c r="AD877" s="91" t="n"/>
      <c r="AE877" s="91" t="n"/>
      <c r="AF877" s="91" t="n"/>
      <c r="AG877" s="91" t="n"/>
    </row>
    <row r="878" ht="12.75" customHeight="1" s="117">
      <c r="A878" s="91" t="n"/>
      <c r="B878" s="91" t="n"/>
      <c r="C878" s="91" t="n"/>
      <c r="D878" s="91" t="n"/>
      <c r="E878" s="91" t="n"/>
      <c r="F878" s="91" t="n"/>
      <c r="G878" s="91" t="n"/>
      <c r="H878" s="91" t="n"/>
      <c r="I878" s="91" t="n"/>
      <c r="J878" s="91" t="n"/>
      <c r="K878" s="91" t="n"/>
      <c r="L878" s="91" t="n"/>
      <c r="M878" s="91" t="n"/>
      <c r="N878" s="91" t="n"/>
      <c r="O878" s="91" t="n"/>
      <c r="P878" s="91" t="n"/>
      <c r="Q878" s="91" t="n"/>
      <c r="R878" s="91" t="n"/>
      <c r="S878" s="91" t="n"/>
      <c r="T878" s="91" t="n"/>
      <c r="U878" s="91" t="n"/>
      <c r="V878" s="91" t="n"/>
      <c r="W878" s="91" t="n"/>
      <c r="X878" s="91" t="n"/>
      <c r="Y878" s="91" t="n"/>
      <c r="Z878" s="91" t="n"/>
      <c r="AA878" s="91" t="n"/>
      <c r="AB878" s="91" t="n"/>
      <c r="AC878" s="91" t="n"/>
      <c r="AD878" s="91" t="n"/>
      <c r="AE878" s="91" t="n"/>
      <c r="AF878" s="91" t="n"/>
      <c r="AG878" s="91" t="n"/>
    </row>
    <row r="879" ht="12.75" customHeight="1" s="117">
      <c r="A879" s="91" t="n"/>
      <c r="B879" s="91" t="n"/>
      <c r="C879" s="91" t="n"/>
      <c r="D879" s="91" t="n"/>
      <c r="E879" s="91" t="n"/>
      <c r="F879" s="91" t="n"/>
      <c r="G879" s="91" t="n"/>
      <c r="H879" s="91" t="n"/>
      <c r="I879" s="91" t="n"/>
      <c r="J879" s="91" t="n"/>
      <c r="K879" s="91" t="n"/>
      <c r="L879" s="91" t="n"/>
      <c r="M879" s="91" t="n"/>
      <c r="N879" s="91" t="n"/>
      <c r="O879" s="91" t="n"/>
      <c r="P879" s="91" t="n"/>
      <c r="Q879" s="91" t="n"/>
      <c r="R879" s="91" t="n"/>
      <c r="S879" s="91" t="n"/>
      <c r="T879" s="91" t="n"/>
      <c r="U879" s="91" t="n"/>
      <c r="V879" s="91" t="n"/>
      <c r="W879" s="91" t="n"/>
      <c r="X879" s="91" t="n"/>
      <c r="Y879" s="91" t="n"/>
      <c r="Z879" s="91" t="n"/>
      <c r="AA879" s="91" t="n"/>
      <c r="AB879" s="91" t="n"/>
      <c r="AC879" s="91" t="n"/>
      <c r="AD879" s="91" t="n"/>
      <c r="AE879" s="91" t="n"/>
      <c r="AF879" s="91" t="n"/>
      <c r="AG879" s="91" t="n"/>
    </row>
    <row r="880" ht="12.75" customHeight="1" s="117">
      <c r="A880" s="91" t="n"/>
      <c r="B880" s="91" t="n"/>
      <c r="C880" s="91" t="n"/>
      <c r="D880" s="91" t="n"/>
      <c r="E880" s="91" t="n"/>
      <c r="F880" s="91" t="n"/>
      <c r="G880" s="91" t="n"/>
      <c r="H880" s="91" t="n"/>
      <c r="I880" s="91" t="n"/>
      <c r="J880" s="91" t="n"/>
      <c r="K880" s="91" t="n"/>
      <c r="L880" s="91" t="n"/>
      <c r="M880" s="91" t="n"/>
      <c r="N880" s="91" t="n"/>
      <c r="O880" s="91" t="n"/>
      <c r="P880" s="91" t="n"/>
      <c r="Q880" s="91" t="n"/>
      <c r="R880" s="91" t="n"/>
      <c r="S880" s="91" t="n"/>
      <c r="T880" s="91" t="n"/>
      <c r="U880" s="91" t="n"/>
      <c r="V880" s="91" t="n"/>
      <c r="W880" s="91" t="n"/>
      <c r="X880" s="91" t="n"/>
      <c r="Y880" s="91" t="n"/>
      <c r="Z880" s="91" t="n"/>
      <c r="AA880" s="91" t="n"/>
      <c r="AB880" s="91" t="n"/>
      <c r="AC880" s="91" t="n"/>
      <c r="AD880" s="91" t="n"/>
      <c r="AE880" s="91" t="n"/>
      <c r="AF880" s="91" t="n"/>
      <c r="AG880" s="91" t="n"/>
    </row>
    <row r="881" ht="12.75" customHeight="1" s="117">
      <c r="A881" s="91" t="n"/>
      <c r="B881" s="91" t="n"/>
      <c r="C881" s="91" t="n"/>
      <c r="D881" s="91" t="n"/>
      <c r="E881" s="91" t="n"/>
      <c r="F881" s="91" t="n"/>
      <c r="G881" s="91" t="n"/>
      <c r="H881" s="91" t="n"/>
      <c r="I881" s="91" t="n"/>
      <c r="J881" s="91" t="n"/>
      <c r="K881" s="91" t="n"/>
      <c r="L881" s="91" t="n"/>
      <c r="M881" s="91" t="n"/>
      <c r="N881" s="91" t="n"/>
      <c r="O881" s="91" t="n"/>
      <c r="P881" s="91" t="n"/>
      <c r="Q881" s="91" t="n"/>
      <c r="R881" s="91" t="n"/>
      <c r="S881" s="91" t="n"/>
      <c r="T881" s="91" t="n"/>
      <c r="U881" s="91" t="n"/>
      <c r="V881" s="91" t="n"/>
      <c r="W881" s="91" t="n"/>
      <c r="X881" s="91" t="n"/>
      <c r="Y881" s="91" t="n"/>
      <c r="Z881" s="91" t="n"/>
      <c r="AA881" s="91" t="n"/>
      <c r="AB881" s="91" t="n"/>
      <c r="AC881" s="91" t="n"/>
      <c r="AD881" s="91" t="n"/>
      <c r="AE881" s="91" t="n"/>
      <c r="AF881" s="91" t="n"/>
      <c r="AG881" s="91" t="n"/>
    </row>
    <row r="882" ht="12.75" customHeight="1" s="117">
      <c r="A882" s="91" t="n"/>
      <c r="B882" s="91" t="n"/>
      <c r="C882" s="91" t="n"/>
      <c r="D882" s="91" t="n"/>
      <c r="E882" s="91" t="n"/>
      <c r="F882" s="91" t="n"/>
      <c r="G882" s="91" t="n"/>
      <c r="H882" s="91" t="n"/>
      <c r="I882" s="91" t="n"/>
      <c r="J882" s="91" t="n"/>
      <c r="K882" s="91" t="n"/>
      <c r="L882" s="91" t="n"/>
      <c r="M882" s="91" t="n"/>
      <c r="N882" s="91" t="n"/>
      <c r="O882" s="91" t="n"/>
      <c r="P882" s="91" t="n"/>
      <c r="Q882" s="91" t="n"/>
      <c r="R882" s="91" t="n"/>
      <c r="S882" s="91" t="n"/>
      <c r="T882" s="91" t="n"/>
      <c r="U882" s="91" t="n"/>
      <c r="V882" s="91" t="n"/>
      <c r="W882" s="91" t="n"/>
      <c r="X882" s="91" t="n"/>
      <c r="Y882" s="91" t="n"/>
      <c r="Z882" s="91" t="n"/>
      <c r="AA882" s="91" t="n"/>
      <c r="AB882" s="91" t="n"/>
      <c r="AC882" s="91" t="n"/>
      <c r="AD882" s="91" t="n"/>
      <c r="AE882" s="91" t="n"/>
      <c r="AF882" s="91" t="n"/>
      <c r="AG882" s="91" t="n"/>
    </row>
    <row r="883" ht="12.75" customHeight="1" s="117">
      <c r="A883" s="91" t="n"/>
      <c r="B883" s="91" t="n"/>
      <c r="C883" s="91" t="n"/>
      <c r="D883" s="91" t="n"/>
      <c r="E883" s="91" t="n"/>
      <c r="F883" s="91" t="n"/>
      <c r="G883" s="91" t="n"/>
      <c r="H883" s="91" t="n"/>
      <c r="I883" s="91" t="n"/>
      <c r="J883" s="91" t="n"/>
      <c r="K883" s="91" t="n"/>
      <c r="L883" s="91" t="n"/>
      <c r="M883" s="91" t="n"/>
      <c r="N883" s="91" t="n"/>
      <c r="O883" s="91" t="n"/>
      <c r="P883" s="91" t="n"/>
      <c r="Q883" s="91" t="n"/>
      <c r="R883" s="91" t="n"/>
      <c r="S883" s="91" t="n"/>
      <c r="T883" s="91" t="n"/>
      <c r="U883" s="91" t="n"/>
      <c r="V883" s="91" t="n"/>
      <c r="W883" s="91" t="n"/>
      <c r="X883" s="91" t="n"/>
      <c r="Y883" s="91" t="n"/>
      <c r="Z883" s="91" t="n"/>
      <c r="AA883" s="91" t="n"/>
      <c r="AB883" s="91" t="n"/>
      <c r="AC883" s="91" t="n"/>
      <c r="AD883" s="91" t="n"/>
      <c r="AE883" s="91" t="n"/>
      <c r="AF883" s="91" t="n"/>
      <c r="AG883" s="91" t="n"/>
    </row>
    <row r="884" ht="12.75" customHeight="1" s="117">
      <c r="A884" s="91" t="n"/>
      <c r="B884" s="91" t="n"/>
      <c r="C884" s="91" t="n"/>
      <c r="D884" s="91" t="n"/>
      <c r="E884" s="91" t="n"/>
      <c r="F884" s="91" t="n"/>
      <c r="G884" s="91" t="n"/>
      <c r="H884" s="91" t="n"/>
      <c r="I884" s="91" t="n"/>
      <c r="J884" s="91" t="n"/>
      <c r="K884" s="91" t="n"/>
      <c r="L884" s="91" t="n"/>
      <c r="M884" s="91" t="n"/>
      <c r="N884" s="91" t="n"/>
      <c r="O884" s="91" t="n"/>
      <c r="P884" s="91" t="n"/>
      <c r="Q884" s="91" t="n"/>
      <c r="R884" s="91" t="n"/>
      <c r="S884" s="91" t="n"/>
      <c r="T884" s="91" t="n"/>
      <c r="U884" s="91" t="n"/>
      <c r="V884" s="91" t="n"/>
      <c r="W884" s="91" t="n"/>
      <c r="X884" s="91" t="n"/>
      <c r="Y884" s="91" t="n"/>
      <c r="Z884" s="91" t="n"/>
      <c r="AA884" s="91" t="n"/>
      <c r="AB884" s="91" t="n"/>
      <c r="AC884" s="91" t="n"/>
      <c r="AD884" s="91" t="n"/>
      <c r="AE884" s="91" t="n"/>
      <c r="AF884" s="91" t="n"/>
      <c r="AG884" s="91" t="n"/>
    </row>
    <row r="885" ht="12.75" customHeight="1" s="117">
      <c r="A885" s="91" t="n"/>
      <c r="B885" s="91" t="n"/>
      <c r="C885" s="91" t="n"/>
      <c r="D885" s="91" t="n"/>
      <c r="E885" s="91" t="n"/>
      <c r="F885" s="91" t="n"/>
      <c r="G885" s="91" t="n"/>
      <c r="H885" s="91" t="n"/>
      <c r="I885" s="91" t="n"/>
      <c r="J885" s="91" t="n"/>
      <c r="K885" s="91" t="n"/>
      <c r="L885" s="91" t="n"/>
      <c r="M885" s="91" t="n"/>
      <c r="N885" s="91" t="n"/>
      <c r="O885" s="91" t="n"/>
      <c r="P885" s="91" t="n"/>
      <c r="Q885" s="91" t="n"/>
      <c r="R885" s="91" t="n"/>
      <c r="S885" s="91" t="n"/>
      <c r="T885" s="91" t="n"/>
      <c r="U885" s="91" t="n"/>
      <c r="V885" s="91" t="n"/>
      <c r="W885" s="91" t="n"/>
      <c r="X885" s="91" t="n"/>
      <c r="Y885" s="91" t="n"/>
      <c r="Z885" s="91" t="n"/>
      <c r="AA885" s="91" t="n"/>
      <c r="AB885" s="91" t="n"/>
      <c r="AC885" s="91" t="n"/>
      <c r="AD885" s="91" t="n"/>
      <c r="AE885" s="91" t="n"/>
      <c r="AF885" s="91" t="n"/>
      <c r="AG885" s="91" t="n"/>
    </row>
    <row r="886" ht="12.75" customHeight="1" s="117">
      <c r="A886" s="91" t="n"/>
      <c r="B886" s="91" t="n"/>
      <c r="C886" s="91" t="n"/>
      <c r="D886" s="91" t="n"/>
      <c r="E886" s="91" t="n"/>
      <c r="F886" s="91" t="n"/>
      <c r="G886" s="91" t="n"/>
      <c r="H886" s="91" t="n"/>
      <c r="I886" s="91" t="n"/>
      <c r="J886" s="91" t="n"/>
      <c r="K886" s="91" t="n"/>
      <c r="L886" s="91" t="n"/>
      <c r="M886" s="91" t="n"/>
      <c r="N886" s="91" t="n"/>
      <c r="O886" s="91" t="n"/>
      <c r="P886" s="91" t="n"/>
      <c r="Q886" s="91" t="n"/>
      <c r="R886" s="91" t="n"/>
      <c r="S886" s="91" t="n"/>
      <c r="T886" s="91" t="n"/>
      <c r="U886" s="91" t="n"/>
      <c r="V886" s="91" t="n"/>
      <c r="W886" s="91" t="n"/>
      <c r="X886" s="91" t="n"/>
      <c r="Y886" s="91" t="n"/>
      <c r="Z886" s="91" t="n"/>
      <c r="AA886" s="91" t="n"/>
      <c r="AB886" s="91" t="n"/>
      <c r="AC886" s="91" t="n"/>
      <c r="AD886" s="91" t="n"/>
      <c r="AE886" s="91" t="n"/>
      <c r="AF886" s="91" t="n"/>
      <c r="AG886" s="91" t="n"/>
    </row>
    <row r="887" ht="12.75" customHeight="1" s="117">
      <c r="A887" s="91" t="n"/>
      <c r="B887" s="91" t="n"/>
      <c r="C887" s="91" t="n"/>
      <c r="D887" s="91" t="n"/>
      <c r="E887" s="91" t="n"/>
      <c r="F887" s="91" t="n"/>
      <c r="G887" s="91" t="n"/>
      <c r="H887" s="91" t="n"/>
      <c r="I887" s="91" t="n"/>
      <c r="J887" s="91" t="n"/>
      <c r="K887" s="91" t="n"/>
      <c r="L887" s="91" t="n"/>
      <c r="M887" s="91" t="n"/>
      <c r="N887" s="91" t="n"/>
      <c r="O887" s="91" t="n"/>
      <c r="P887" s="91" t="n"/>
      <c r="Q887" s="91" t="n"/>
      <c r="R887" s="91" t="n"/>
      <c r="S887" s="91" t="n"/>
      <c r="T887" s="91" t="n"/>
      <c r="U887" s="91" t="n"/>
      <c r="V887" s="91" t="n"/>
      <c r="W887" s="91" t="n"/>
      <c r="X887" s="91" t="n"/>
      <c r="Y887" s="91" t="n"/>
      <c r="Z887" s="91" t="n"/>
      <c r="AA887" s="91" t="n"/>
      <c r="AB887" s="91" t="n"/>
      <c r="AC887" s="91" t="n"/>
      <c r="AD887" s="91" t="n"/>
      <c r="AE887" s="91" t="n"/>
      <c r="AF887" s="91" t="n"/>
      <c r="AG887" s="91" t="n"/>
    </row>
    <row r="888" ht="12.75" customHeight="1" s="117">
      <c r="A888" s="91" t="n"/>
      <c r="B888" s="91" t="n"/>
      <c r="C888" s="91" t="n"/>
      <c r="D888" s="91" t="n"/>
      <c r="E888" s="91" t="n"/>
      <c r="F888" s="91" t="n"/>
      <c r="G888" s="91" t="n"/>
      <c r="H888" s="91" t="n"/>
      <c r="I888" s="91" t="n"/>
      <c r="J888" s="91" t="n"/>
      <c r="K888" s="91" t="n"/>
      <c r="L888" s="91" t="n"/>
      <c r="M888" s="91" t="n"/>
      <c r="N888" s="91" t="n"/>
      <c r="O888" s="91" t="n"/>
      <c r="P888" s="91" t="n"/>
      <c r="Q888" s="91" t="n"/>
      <c r="R888" s="91" t="n"/>
      <c r="S888" s="91" t="n"/>
      <c r="T888" s="91" t="n"/>
      <c r="U888" s="91" t="n"/>
      <c r="V888" s="91" t="n"/>
      <c r="W888" s="91" t="n"/>
      <c r="X888" s="91" t="n"/>
      <c r="Y888" s="91" t="n"/>
      <c r="Z888" s="91" t="n"/>
      <c r="AA888" s="91" t="n"/>
      <c r="AB888" s="91" t="n"/>
      <c r="AC888" s="91" t="n"/>
      <c r="AD888" s="91" t="n"/>
      <c r="AE888" s="91" t="n"/>
      <c r="AF888" s="91" t="n"/>
      <c r="AG888" s="91" t="n"/>
    </row>
    <row r="889" ht="12.75" customHeight="1" s="117">
      <c r="A889" s="91" t="n"/>
      <c r="B889" s="91" t="n"/>
      <c r="C889" s="91" t="n"/>
      <c r="D889" s="91" t="n"/>
      <c r="E889" s="91" t="n"/>
      <c r="F889" s="91" t="n"/>
      <c r="G889" s="91" t="n"/>
      <c r="H889" s="91" t="n"/>
      <c r="I889" s="91" t="n"/>
      <c r="J889" s="91" t="n"/>
      <c r="K889" s="91" t="n"/>
      <c r="L889" s="91" t="n"/>
      <c r="M889" s="91" t="n"/>
      <c r="N889" s="91" t="n"/>
      <c r="O889" s="91" t="n"/>
      <c r="P889" s="91" t="n"/>
      <c r="Q889" s="91" t="n"/>
      <c r="R889" s="91" t="n"/>
      <c r="S889" s="91" t="n"/>
      <c r="T889" s="91" t="n"/>
      <c r="U889" s="91" t="n"/>
      <c r="V889" s="91" t="n"/>
      <c r="W889" s="91" t="n"/>
      <c r="X889" s="91" t="n"/>
      <c r="Y889" s="91" t="n"/>
      <c r="Z889" s="91" t="n"/>
      <c r="AA889" s="91" t="n"/>
      <c r="AB889" s="91" t="n"/>
      <c r="AC889" s="91" t="n"/>
      <c r="AD889" s="91" t="n"/>
      <c r="AE889" s="91" t="n"/>
      <c r="AF889" s="91" t="n"/>
      <c r="AG889" s="91" t="n"/>
    </row>
    <row r="890" ht="12.75" customHeight="1" s="117">
      <c r="A890" s="91" t="n"/>
      <c r="B890" s="91" t="n"/>
      <c r="C890" s="91" t="n"/>
      <c r="D890" s="91" t="n"/>
      <c r="E890" s="91" t="n"/>
      <c r="F890" s="91" t="n"/>
      <c r="G890" s="91" t="n"/>
      <c r="H890" s="91" t="n"/>
      <c r="I890" s="91" t="n"/>
      <c r="J890" s="91" t="n"/>
      <c r="K890" s="91" t="n"/>
      <c r="L890" s="91" t="n"/>
      <c r="M890" s="91" t="n"/>
      <c r="N890" s="91" t="n"/>
      <c r="O890" s="91" t="n"/>
      <c r="P890" s="91" t="n"/>
      <c r="Q890" s="91" t="n"/>
      <c r="R890" s="91" t="n"/>
      <c r="S890" s="91" t="n"/>
      <c r="T890" s="91" t="n"/>
      <c r="U890" s="91" t="n"/>
      <c r="V890" s="91" t="n"/>
      <c r="W890" s="91" t="n"/>
      <c r="X890" s="91" t="n"/>
      <c r="Y890" s="91" t="n"/>
      <c r="Z890" s="91" t="n"/>
      <c r="AA890" s="91" t="n"/>
      <c r="AB890" s="91" t="n"/>
      <c r="AC890" s="91" t="n"/>
      <c r="AD890" s="91" t="n"/>
      <c r="AE890" s="91" t="n"/>
      <c r="AF890" s="91" t="n"/>
      <c r="AG890" s="91" t="n"/>
    </row>
    <row r="891" ht="12.75" customHeight="1" s="117">
      <c r="A891" s="91" t="n"/>
      <c r="B891" s="91" t="n"/>
      <c r="C891" s="91" t="n"/>
      <c r="D891" s="91" t="n"/>
      <c r="E891" s="91" t="n"/>
      <c r="F891" s="91" t="n"/>
      <c r="G891" s="91" t="n"/>
      <c r="H891" s="91" t="n"/>
      <c r="I891" s="91" t="n"/>
      <c r="J891" s="91" t="n"/>
      <c r="K891" s="91" t="n"/>
      <c r="L891" s="91" t="n"/>
      <c r="M891" s="91" t="n"/>
      <c r="N891" s="91" t="n"/>
      <c r="O891" s="91" t="n"/>
      <c r="P891" s="91" t="n"/>
      <c r="Q891" s="91" t="n"/>
      <c r="R891" s="91" t="n"/>
      <c r="S891" s="91" t="n"/>
      <c r="T891" s="91" t="n"/>
      <c r="U891" s="91" t="n"/>
      <c r="V891" s="91" t="n"/>
      <c r="W891" s="91" t="n"/>
      <c r="X891" s="91" t="n"/>
      <c r="Y891" s="91" t="n"/>
      <c r="Z891" s="91" t="n"/>
      <c r="AA891" s="91" t="n"/>
      <c r="AB891" s="91" t="n"/>
      <c r="AC891" s="91" t="n"/>
      <c r="AD891" s="91" t="n"/>
      <c r="AE891" s="91" t="n"/>
      <c r="AF891" s="91" t="n"/>
      <c r="AG891" s="91" t="n"/>
    </row>
    <row r="892" ht="12.75" customHeight="1" s="117">
      <c r="A892" s="91" t="n"/>
      <c r="B892" s="91" t="n"/>
      <c r="C892" s="91" t="n"/>
      <c r="D892" s="91" t="n"/>
      <c r="E892" s="91" t="n"/>
      <c r="F892" s="91" t="n"/>
      <c r="G892" s="91" t="n"/>
      <c r="H892" s="91" t="n"/>
      <c r="I892" s="91" t="n"/>
      <c r="J892" s="91" t="n"/>
      <c r="K892" s="91" t="n"/>
      <c r="L892" s="91" t="n"/>
      <c r="M892" s="91" t="n"/>
      <c r="N892" s="91" t="n"/>
      <c r="O892" s="91" t="n"/>
      <c r="P892" s="91" t="n"/>
      <c r="Q892" s="91" t="n"/>
      <c r="R892" s="91" t="n"/>
      <c r="S892" s="91" t="n"/>
      <c r="T892" s="91" t="n"/>
      <c r="U892" s="91" t="n"/>
      <c r="V892" s="91" t="n"/>
      <c r="W892" s="91" t="n"/>
      <c r="X892" s="91" t="n"/>
      <c r="Y892" s="91" t="n"/>
      <c r="Z892" s="91" t="n"/>
      <c r="AA892" s="91" t="n"/>
      <c r="AB892" s="91" t="n"/>
      <c r="AC892" s="91" t="n"/>
      <c r="AD892" s="91" t="n"/>
      <c r="AE892" s="91" t="n"/>
      <c r="AF892" s="91" t="n"/>
      <c r="AG892" s="91" t="n"/>
    </row>
    <row r="893" ht="12.75" customHeight="1" s="117">
      <c r="A893" s="91" t="n"/>
      <c r="B893" s="91" t="n"/>
      <c r="C893" s="91" t="n"/>
      <c r="D893" s="91" t="n"/>
      <c r="E893" s="91" t="n"/>
      <c r="F893" s="91" t="n"/>
      <c r="G893" s="91" t="n"/>
      <c r="H893" s="91" t="n"/>
      <c r="I893" s="91" t="n"/>
      <c r="J893" s="91" t="n"/>
      <c r="K893" s="91" t="n"/>
      <c r="L893" s="91" t="n"/>
      <c r="M893" s="91" t="n"/>
      <c r="N893" s="91" t="n"/>
      <c r="O893" s="91" t="n"/>
      <c r="P893" s="91" t="n"/>
      <c r="Q893" s="91" t="n"/>
      <c r="R893" s="91" t="n"/>
      <c r="S893" s="91" t="n"/>
      <c r="T893" s="91" t="n"/>
      <c r="U893" s="91" t="n"/>
      <c r="V893" s="91" t="n"/>
      <c r="W893" s="91" t="n"/>
      <c r="X893" s="91" t="n"/>
      <c r="Y893" s="91" t="n"/>
      <c r="Z893" s="91" t="n"/>
      <c r="AA893" s="91" t="n"/>
      <c r="AB893" s="91" t="n"/>
      <c r="AC893" s="91" t="n"/>
      <c r="AD893" s="91" t="n"/>
      <c r="AE893" s="91" t="n"/>
      <c r="AF893" s="91" t="n"/>
      <c r="AG893" s="91" t="n"/>
    </row>
    <row r="894" ht="12.75" customHeight="1" s="117">
      <c r="A894" s="91" t="n"/>
      <c r="B894" s="91" t="n"/>
      <c r="C894" s="91" t="n"/>
      <c r="D894" s="91" t="n"/>
      <c r="E894" s="91" t="n"/>
      <c r="F894" s="91" t="n"/>
      <c r="G894" s="91" t="n"/>
      <c r="H894" s="91" t="n"/>
      <c r="I894" s="91" t="n"/>
      <c r="J894" s="91" t="n"/>
      <c r="K894" s="91" t="n"/>
      <c r="L894" s="91" t="n"/>
      <c r="M894" s="91" t="n"/>
      <c r="N894" s="91" t="n"/>
      <c r="O894" s="91" t="n"/>
      <c r="P894" s="91" t="n"/>
      <c r="Q894" s="91" t="n"/>
      <c r="R894" s="91" t="n"/>
      <c r="S894" s="91" t="n"/>
      <c r="T894" s="91" t="n"/>
      <c r="U894" s="91" t="n"/>
      <c r="V894" s="91" t="n"/>
      <c r="W894" s="91" t="n"/>
      <c r="X894" s="91" t="n"/>
      <c r="Y894" s="91" t="n"/>
      <c r="Z894" s="91" t="n"/>
      <c r="AA894" s="91" t="n"/>
      <c r="AB894" s="91" t="n"/>
      <c r="AC894" s="91" t="n"/>
      <c r="AD894" s="91" t="n"/>
      <c r="AE894" s="91" t="n"/>
      <c r="AF894" s="91" t="n"/>
      <c r="AG894" s="91" t="n"/>
    </row>
    <row r="895" ht="12.75" customHeight="1" s="117">
      <c r="A895" s="91" t="n"/>
      <c r="B895" s="91" t="n"/>
      <c r="C895" s="91" t="n"/>
      <c r="D895" s="91" t="n"/>
      <c r="E895" s="91" t="n"/>
      <c r="F895" s="91" t="n"/>
      <c r="G895" s="91" t="n"/>
      <c r="H895" s="91" t="n"/>
      <c r="I895" s="91" t="n"/>
      <c r="J895" s="91" t="n"/>
      <c r="K895" s="91" t="n"/>
      <c r="L895" s="91" t="n"/>
      <c r="M895" s="91" t="n"/>
      <c r="N895" s="91" t="n"/>
      <c r="O895" s="91" t="n"/>
      <c r="P895" s="91" t="n"/>
      <c r="Q895" s="91" t="n"/>
      <c r="R895" s="91" t="n"/>
      <c r="S895" s="91" t="n"/>
      <c r="T895" s="91" t="n"/>
      <c r="U895" s="91" t="n"/>
      <c r="V895" s="91" t="n"/>
      <c r="W895" s="91" t="n"/>
      <c r="X895" s="91" t="n"/>
      <c r="Y895" s="91" t="n"/>
      <c r="Z895" s="91" t="n"/>
      <c r="AA895" s="91" t="n"/>
      <c r="AB895" s="91" t="n"/>
      <c r="AC895" s="91" t="n"/>
      <c r="AD895" s="91" t="n"/>
      <c r="AE895" s="91" t="n"/>
      <c r="AF895" s="91" t="n"/>
      <c r="AG895" s="91" t="n"/>
    </row>
    <row r="896" ht="12.75" customHeight="1" s="117">
      <c r="A896" s="91" t="n"/>
      <c r="B896" s="91" t="n"/>
      <c r="C896" s="91" t="n"/>
      <c r="D896" s="91" t="n"/>
      <c r="E896" s="91" t="n"/>
      <c r="F896" s="91" t="n"/>
      <c r="G896" s="91" t="n"/>
      <c r="H896" s="91" t="n"/>
      <c r="I896" s="91" t="n"/>
      <c r="J896" s="91" t="n"/>
      <c r="K896" s="91" t="n"/>
      <c r="L896" s="91" t="n"/>
      <c r="M896" s="91" t="n"/>
      <c r="N896" s="91" t="n"/>
      <c r="O896" s="91" t="n"/>
      <c r="P896" s="91" t="n"/>
      <c r="Q896" s="91" t="n"/>
      <c r="R896" s="91" t="n"/>
      <c r="S896" s="91" t="n"/>
      <c r="T896" s="91" t="n"/>
      <c r="U896" s="91" t="n"/>
      <c r="V896" s="91" t="n"/>
      <c r="W896" s="91" t="n"/>
      <c r="X896" s="91" t="n"/>
      <c r="Y896" s="91" t="n"/>
      <c r="Z896" s="91" t="n"/>
      <c r="AA896" s="91" t="n"/>
      <c r="AB896" s="91" t="n"/>
      <c r="AC896" s="91" t="n"/>
      <c r="AD896" s="91" t="n"/>
      <c r="AE896" s="91" t="n"/>
      <c r="AF896" s="91" t="n"/>
      <c r="AG896" s="91" t="n"/>
    </row>
    <row r="897" ht="12.75" customHeight="1" s="117">
      <c r="A897" s="91" t="n"/>
      <c r="B897" s="91" t="n"/>
      <c r="C897" s="91" t="n"/>
      <c r="D897" s="91" t="n"/>
      <c r="E897" s="91" t="n"/>
      <c r="F897" s="91" t="n"/>
      <c r="G897" s="91" t="n"/>
      <c r="H897" s="91" t="n"/>
      <c r="I897" s="91" t="n"/>
      <c r="J897" s="91" t="n"/>
      <c r="K897" s="91" t="n"/>
      <c r="L897" s="91" t="n"/>
      <c r="M897" s="91" t="n"/>
      <c r="N897" s="91" t="n"/>
      <c r="O897" s="91" t="n"/>
      <c r="P897" s="91" t="n"/>
      <c r="Q897" s="91" t="n"/>
      <c r="R897" s="91" t="n"/>
      <c r="S897" s="91" t="n"/>
      <c r="T897" s="91" t="n"/>
      <c r="U897" s="91" t="n"/>
      <c r="V897" s="91" t="n"/>
      <c r="W897" s="91" t="n"/>
      <c r="X897" s="91" t="n"/>
      <c r="Y897" s="91" t="n"/>
      <c r="Z897" s="91" t="n"/>
      <c r="AA897" s="91" t="n"/>
      <c r="AB897" s="91" t="n"/>
      <c r="AC897" s="91" t="n"/>
      <c r="AD897" s="91" t="n"/>
      <c r="AE897" s="91" t="n"/>
      <c r="AF897" s="91" t="n"/>
      <c r="AG897" s="91" t="n"/>
    </row>
    <row r="898" ht="12.75" customHeight="1" s="117">
      <c r="A898" s="91" t="n"/>
      <c r="B898" s="91" t="n"/>
      <c r="C898" s="91" t="n"/>
      <c r="D898" s="91" t="n"/>
      <c r="E898" s="91" t="n"/>
      <c r="F898" s="91" t="n"/>
      <c r="G898" s="91" t="n"/>
      <c r="H898" s="91" t="n"/>
      <c r="I898" s="91" t="n"/>
      <c r="J898" s="91" t="n"/>
      <c r="K898" s="91" t="n"/>
      <c r="L898" s="91" t="n"/>
      <c r="M898" s="91" t="n"/>
      <c r="N898" s="91" t="n"/>
      <c r="O898" s="91" t="n"/>
      <c r="P898" s="91" t="n"/>
      <c r="Q898" s="91" t="n"/>
      <c r="R898" s="91" t="n"/>
      <c r="S898" s="91" t="n"/>
      <c r="T898" s="91" t="n"/>
      <c r="U898" s="91" t="n"/>
      <c r="V898" s="91" t="n"/>
      <c r="W898" s="91" t="n"/>
      <c r="X898" s="91" t="n"/>
      <c r="Y898" s="91" t="n"/>
      <c r="Z898" s="91" t="n"/>
      <c r="AA898" s="91" t="n"/>
      <c r="AB898" s="91" t="n"/>
      <c r="AC898" s="91" t="n"/>
      <c r="AD898" s="91" t="n"/>
      <c r="AE898" s="91" t="n"/>
      <c r="AF898" s="91" t="n"/>
      <c r="AG898" s="91" t="n"/>
    </row>
    <row r="899" ht="12.75" customHeight="1" s="117">
      <c r="A899" s="91" t="n"/>
      <c r="B899" s="91" t="n"/>
      <c r="C899" s="91" t="n"/>
      <c r="D899" s="91" t="n"/>
      <c r="E899" s="91" t="n"/>
      <c r="F899" s="91" t="n"/>
      <c r="G899" s="91" t="n"/>
      <c r="H899" s="91" t="n"/>
      <c r="I899" s="91" t="n"/>
      <c r="J899" s="91" t="n"/>
      <c r="K899" s="91" t="n"/>
      <c r="L899" s="91" t="n"/>
      <c r="M899" s="91" t="n"/>
      <c r="N899" s="91" t="n"/>
      <c r="O899" s="91" t="n"/>
      <c r="P899" s="91" t="n"/>
      <c r="Q899" s="91" t="n"/>
      <c r="R899" s="91" t="n"/>
      <c r="S899" s="91" t="n"/>
      <c r="T899" s="91" t="n"/>
      <c r="U899" s="91" t="n"/>
      <c r="V899" s="91" t="n"/>
      <c r="W899" s="91" t="n"/>
      <c r="X899" s="91" t="n"/>
      <c r="Y899" s="91" t="n"/>
      <c r="Z899" s="91" t="n"/>
      <c r="AA899" s="91" t="n"/>
      <c r="AB899" s="91" t="n"/>
      <c r="AC899" s="91" t="n"/>
      <c r="AD899" s="91" t="n"/>
      <c r="AE899" s="91" t="n"/>
      <c r="AF899" s="91" t="n"/>
      <c r="AG899" s="91" t="n"/>
    </row>
    <row r="900" ht="12.75" customHeight="1" s="117">
      <c r="A900" s="91" t="n"/>
      <c r="B900" s="91" t="n"/>
      <c r="C900" s="91" t="n"/>
      <c r="D900" s="91" t="n"/>
      <c r="E900" s="91" t="n"/>
      <c r="F900" s="91" t="n"/>
      <c r="G900" s="91" t="n"/>
      <c r="H900" s="91" t="n"/>
      <c r="I900" s="91" t="n"/>
      <c r="J900" s="91" t="n"/>
      <c r="K900" s="91" t="n"/>
      <c r="L900" s="91" t="n"/>
      <c r="M900" s="91" t="n"/>
      <c r="N900" s="91" t="n"/>
      <c r="O900" s="91" t="n"/>
      <c r="P900" s="91" t="n"/>
      <c r="Q900" s="91" t="n"/>
      <c r="R900" s="91" t="n"/>
      <c r="S900" s="91" t="n"/>
      <c r="T900" s="91" t="n"/>
      <c r="U900" s="91" t="n"/>
      <c r="V900" s="91" t="n"/>
      <c r="W900" s="91" t="n"/>
      <c r="X900" s="91" t="n"/>
      <c r="Y900" s="91" t="n"/>
      <c r="Z900" s="91" t="n"/>
      <c r="AA900" s="91" t="n"/>
      <c r="AB900" s="91" t="n"/>
      <c r="AC900" s="91" t="n"/>
      <c r="AD900" s="91" t="n"/>
      <c r="AE900" s="91" t="n"/>
      <c r="AF900" s="91" t="n"/>
      <c r="AG900" s="91" t="n"/>
    </row>
    <row r="901" ht="12.75" customHeight="1" s="117">
      <c r="A901" s="91" t="n"/>
      <c r="B901" s="91" t="n"/>
      <c r="C901" s="91" t="n"/>
      <c r="D901" s="91" t="n"/>
      <c r="E901" s="91" t="n"/>
      <c r="F901" s="91" t="n"/>
      <c r="G901" s="91" t="n"/>
      <c r="H901" s="91" t="n"/>
      <c r="I901" s="91" t="n"/>
      <c r="J901" s="91" t="n"/>
      <c r="K901" s="91" t="n"/>
      <c r="L901" s="91" t="n"/>
      <c r="M901" s="91" t="n"/>
      <c r="N901" s="91" t="n"/>
      <c r="O901" s="91" t="n"/>
      <c r="P901" s="91" t="n"/>
      <c r="Q901" s="91" t="n"/>
      <c r="R901" s="91" t="n"/>
      <c r="S901" s="91" t="n"/>
      <c r="T901" s="91" t="n"/>
      <c r="U901" s="91" t="n"/>
      <c r="V901" s="91" t="n"/>
      <c r="W901" s="91" t="n"/>
      <c r="X901" s="91" t="n"/>
      <c r="Y901" s="91" t="n"/>
      <c r="Z901" s="91" t="n"/>
      <c r="AA901" s="91" t="n"/>
      <c r="AB901" s="91" t="n"/>
      <c r="AC901" s="91" t="n"/>
      <c r="AD901" s="91" t="n"/>
      <c r="AE901" s="91" t="n"/>
      <c r="AF901" s="91" t="n"/>
      <c r="AG901" s="91" t="n"/>
    </row>
    <row r="902" ht="12.75" customHeight="1" s="117">
      <c r="A902" s="91" t="n"/>
      <c r="B902" s="91" t="n"/>
      <c r="C902" s="91" t="n"/>
      <c r="D902" s="91" t="n"/>
      <c r="E902" s="91" t="n"/>
      <c r="F902" s="91" t="n"/>
      <c r="G902" s="91" t="n"/>
      <c r="H902" s="91" t="n"/>
      <c r="I902" s="91" t="n"/>
      <c r="J902" s="91" t="n"/>
      <c r="K902" s="91" t="n"/>
      <c r="L902" s="91" t="n"/>
      <c r="M902" s="91" t="n"/>
      <c r="N902" s="91" t="n"/>
      <c r="O902" s="91" t="n"/>
      <c r="P902" s="91" t="n"/>
      <c r="Q902" s="91" t="n"/>
      <c r="R902" s="91" t="n"/>
      <c r="S902" s="91" t="n"/>
      <c r="T902" s="91" t="n"/>
      <c r="U902" s="91" t="n"/>
      <c r="V902" s="91" t="n"/>
      <c r="W902" s="91" t="n"/>
      <c r="X902" s="91" t="n"/>
      <c r="Y902" s="91" t="n"/>
      <c r="Z902" s="91" t="n"/>
      <c r="AA902" s="91" t="n"/>
      <c r="AB902" s="91" t="n"/>
      <c r="AC902" s="91" t="n"/>
      <c r="AD902" s="91" t="n"/>
      <c r="AE902" s="91" t="n"/>
      <c r="AF902" s="91" t="n"/>
      <c r="AG902" s="91" t="n"/>
    </row>
    <row r="903" ht="12.75" customHeight="1" s="117">
      <c r="A903" s="91" t="n"/>
      <c r="B903" s="91" t="n"/>
      <c r="C903" s="91" t="n"/>
      <c r="D903" s="91" t="n"/>
      <c r="E903" s="91" t="n"/>
      <c r="F903" s="91" t="n"/>
      <c r="G903" s="91" t="n"/>
      <c r="H903" s="91" t="n"/>
      <c r="I903" s="91" t="n"/>
      <c r="J903" s="91" t="n"/>
      <c r="K903" s="91" t="n"/>
      <c r="L903" s="91" t="n"/>
      <c r="M903" s="91" t="n"/>
      <c r="N903" s="91" t="n"/>
      <c r="O903" s="91" t="n"/>
      <c r="P903" s="91" t="n"/>
      <c r="Q903" s="91" t="n"/>
      <c r="R903" s="91" t="n"/>
      <c r="S903" s="91" t="n"/>
      <c r="T903" s="91" t="n"/>
      <c r="U903" s="91" t="n"/>
      <c r="V903" s="91" t="n"/>
      <c r="W903" s="91" t="n"/>
      <c r="X903" s="91" t="n"/>
      <c r="Y903" s="91" t="n"/>
      <c r="Z903" s="91" t="n"/>
      <c r="AA903" s="91" t="n"/>
      <c r="AB903" s="91" t="n"/>
      <c r="AC903" s="91" t="n"/>
      <c r="AD903" s="91" t="n"/>
      <c r="AE903" s="91" t="n"/>
      <c r="AF903" s="91" t="n"/>
      <c r="AG903" s="91" t="n"/>
    </row>
    <row r="904" ht="12.75" customHeight="1" s="117">
      <c r="A904" s="91" t="n"/>
      <c r="B904" s="91" t="n"/>
      <c r="C904" s="91" t="n"/>
      <c r="D904" s="91" t="n"/>
      <c r="E904" s="91" t="n"/>
      <c r="F904" s="91" t="n"/>
      <c r="G904" s="91" t="n"/>
      <c r="H904" s="91" t="n"/>
      <c r="I904" s="91" t="n"/>
      <c r="J904" s="91" t="n"/>
      <c r="K904" s="91" t="n"/>
      <c r="L904" s="91" t="n"/>
      <c r="M904" s="91" t="n"/>
      <c r="N904" s="91" t="n"/>
      <c r="O904" s="91" t="n"/>
      <c r="P904" s="91" t="n"/>
      <c r="Q904" s="91" t="n"/>
      <c r="R904" s="91" t="n"/>
      <c r="S904" s="91" t="n"/>
      <c r="T904" s="91" t="n"/>
      <c r="U904" s="91" t="n"/>
      <c r="V904" s="91" t="n"/>
      <c r="W904" s="91" t="n"/>
      <c r="X904" s="91" t="n"/>
      <c r="Y904" s="91" t="n"/>
      <c r="Z904" s="91" t="n"/>
      <c r="AA904" s="91" t="n"/>
      <c r="AB904" s="91" t="n"/>
      <c r="AC904" s="91" t="n"/>
      <c r="AD904" s="91" t="n"/>
      <c r="AE904" s="91" t="n"/>
      <c r="AF904" s="91" t="n"/>
      <c r="AG904" s="91" t="n"/>
    </row>
    <row r="905" ht="12.75" customHeight="1" s="117">
      <c r="A905" s="91" t="n"/>
      <c r="B905" s="91" t="n"/>
      <c r="C905" s="91" t="n"/>
      <c r="D905" s="91" t="n"/>
      <c r="E905" s="91" t="n"/>
      <c r="F905" s="91" t="n"/>
      <c r="G905" s="91" t="n"/>
      <c r="H905" s="91" t="n"/>
      <c r="I905" s="91" t="n"/>
      <c r="J905" s="91" t="n"/>
      <c r="K905" s="91" t="n"/>
      <c r="L905" s="91" t="n"/>
      <c r="M905" s="91" t="n"/>
      <c r="N905" s="91" t="n"/>
      <c r="O905" s="91" t="n"/>
      <c r="P905" s="91" t="n"/>
      <c r="Q905" s="91" t="n"/>
      <c r="R905" s="91" t="n"/>
      <c r="S905" s="91" t="n"/>
      <c r="T905" s="91" t="n"/>
      <c r="U905" s="91" t="n"/>
      <c r="V905" s="91" t="n"/>
      <c r="W905" s="91" t="n"/>
      <c r="X905" s="91" t="n"/>
      <c r="Y905" s="91" t="n"/>
      <c r="Z905" s="91" t="n"/>
      <c r="AA905" s="91" t="n"/>
      <c r="AB905" s="91" t="n"/>
      <c r="AC905" s="91" t="n"/>
      <c r="AD905" s="91" t="n"/>
      <c r="AE905" s="91" t="n"/>
      <c r="AF905" s="91" t="n"/>
      <c r="AG905" s="91" t="n"/>
    </row>
    <row r="906" ht="12.75" customHeight="1" s="117">
      <c r="A906" s="91" t="n"/>
      <c r="B906" s="91" t="n"/>
      <c r="C906" s="91" t="n"/>
      <c r="D906" s="91" t="n"/>
      <c r="E906" s="91" t="n"/>
      <c r="F906" s="91" t="n"/>
      <c r="G906" s="91" t="n"/>
      <c r="H906" s="91" t="n"/>
      <c r="I906" s="91" t="n"/>
      <c r="J906" s="91" t="n"/>
      <c r="K906" s="91" t="n"/>
      <c r="L906" s="91" t="n"/>
      <c r="M906" s="91" t="n"/>
      <c r="N906" s="91" t="n"/>
      <c r="O906" s="91" t="n"/>
      <c r="P906" s="91" t="n"/>
      <c r="Q906" s="91" t="n"/>
      <c r="R906" s="91" t="n"/>
      <c r="S906" s="91" t="n"/>
      <c r="T906" s="91" t="n"/>
      <c r="U906" s="91" t="n"/>
      <c r="V906" s="91" t="n"/>
      <c r="W906" s="91" t="n"/>
      <c r="X906" s="91" t="n"/>
      <c r="Y906" s="91" t="n"/>
      <c r="Z906" s="91" t="n"/>
      <c r="AA906" s="91" t="n"/>
      <c r="AB906" s="91" t="n"/>
      <c r="AC906" s="91" t="n"/>
      <c r="AD906" s="91" t="n"/>
      <c r="AE906" s="91" t="n"/>
      <c r="AF906" s="91" t="n"/>
      <c r="AG906" s="91" t="n"/>
    </row>
    <row r="907" ht="12.75" customHeight="1" s="117">
      <c r="A907" s="91" t="n"/>
      <c r="B907" s="91" t="n"/>
      <c r="C907" s="91" t="n"/>
      <c r="D907" s="91" t="n"/>
      <c r="E907" s="91" t="n"/>
      <c r="F907" s="91" t="n"/>
      <c r="G907" s="91" t="n"/>
      <c r="H907" s="91" t="n"/>
      <c r="I907" s="91" t="n"/>
      <c r="J907" s="91" t="n"/>
      <c r="K907" s="91" t="n"/>
      <c r="L907" s="91" t="n"/>
      <c r="M907" s="91" t="n"/>
      <c r="N907" s="91" t="n"/>
      <c r="O907" s="91" t="n"/>
      <c r="P907" s="91" t="n"/>
      <c r="Q907" s="91" t="n"/>
      <c r="R907" s="91" t="n"/>
      <c r="S907" s="91" t="n"/>
      <c r="T907" s="91" t="n"/>
      <c r="U907" s="91" t="n"/>
      <c r="V907" s="91" t="n"/>
      <c r="W907" s="91" t="n"/>
      <c r="X907" s="91" t="n"/>
      <c r="Y907" s="91" t="n"/>
      <c r="Z907" s="91" t="n"/>
      <c r="AA907" s="91" t="n"/>
      <c r="AB907" s="91" t="n"/>
      <c r="AC907" s="91" t="n"/>
      <c r="AD907" s="91" t="n"/>
      <c r="AE907" s="91" t="n"/>
      <c r="AF907" s="91" t="n"/>
      <c r="AG907" s="91" t="n"/>
    </row>
    <row r="908" ht="12.75" customHeight="1" s="117">
      <c r="A908" s="91" t="n"/>
      <c r="B908" s="91" t="n"/>
      <c r="C908" s="91" t="n"/>
      <c r="D908" s="91" t="n"/>
      <c r="E908" s="91" t="n"/>
      <c r="F908" s="91" t="n"/>
      <c r="G908" s="91" t="n"/>
      <c r="H908" s="91" t="n"/>
      <c r="I908" s="91" t="n"/>
      <c r="J908" s="91" t="n"/>
      <c r="K908" s="91" t="n"/>
      <c r="L908" s="91" t="n"/>
      <c r="M908" s="91" t="n"/>
      <c r="N908" s="91" t="n"/>
      <c r="O908" s="91" t="n"/>
      <c r="P908" s="91" t="n"/>
      <c r="Q908" s="91" t="n"/>
      <c r="R908" s="91" t="n"/>
      <c r="S908" s="91" t="n"/>
      <c r="T908" s="91" t="n"/>
      <c r="U908" s="91" t="n"/>
      <c r="V908" s="91" t="n"/>
      <c r="W908" s="91" t="n"/>
      <c r="X908" s="91" t="n"/>
      <c r="Y908" s="91" t="n"/>
      <c r="Z908" s="91" t="n"/>
      <c r="AA908" s="91" t="n"/>
      <c r="AB908" s="91" t="n"/>
      <c r="AC908" s="91" t="n"/>
      <c r="AD908" s="91" t="n"/>
      <c r="AE908" s="91" t="n"/>
      <c r="AF908" s="91" t="n"/>
      <c r="AG908" s="91" t="n"/>
    </row>
    <row r="909" ht="12.75" customHeight="1" s="117">
      <c r="A909" s="91" t="n"/>
      <c r="B909" s="91" t="n"/>
      <c r="C909" s="91" t="n"/>
      <c r="D909" s="91" t="n"/>
      <c r="E909" s="91" t="n"/>
      <c r="F909" s="91" t="n"/>
      <c r="G909" s="91" t="n"/>
      <c r="H909" s="91" t="n"/>
      <c r="I909" s="91" t="n"/>
      <c r="J909" s="91" t="n"/>
      <c r="K909" s="91" t="n"/>
      <c r="L909" s="91" t="n"/>
      <c r="M909" s="91" t="n"/>
      <c r="N909" s="91" t="n"/>
      <c r="O909" s="91" t="n"/>
      <c r="P909" s="91" t="n"/>
      <c r="Q909" s="91" t="n"/>
      <c r="R909" s="91" t="n"/>
      <c r="S909" s="91" t="n"/>
      <c r="T909" s="91" t="n"/>
      <c r="U909" s="91" t="n"/>
      <c r="V909" s="91" t="n"/>
      <c r="W909" s="91" t="n"/>
      <c r="X909" s="91" t="n"/>
      <c r="Y909" s="91" t="n"/>
      <c r="Z909" s="91" t="n"/>
      <c r="AA909" s="91" t="n"/>
      <c r="AB909" s="91" t="n"/>
      <c r="AC909" s="91" t="n"/>
      <c r="AD909" s="91" t="n"/>
      <c r="AE909" s="91" t="n"/>
      <c r="AF909" s="91" t="n"/>
      <c r="AG909" s="91" t="n"/>
    </row>
    <row r="910" ht="12.75" customHeight="1" s="117">
      <c r="A910" s="91" t="n"/>
      <c r="B910" s="91" t="n"/>
      <c r="C910" s="91" t="n"/>
      <c r="D910" s="91" t="n"/>
      <c r="E910" s="91" t="n"/>
      <c r="F910" s="91" t="n"/>
      <c r="G910" s="91" t="n"/>
      <c r="H910" s="91" t="n"/>
      <c r="I910" s="91" t="n"/>
      <c r="J910" s="91" t="n"/>
      <c r="K910" s="91" t="n"/>
      <c r="L910" s="91" t="n"/>
      <c r="M910" s="91" t="n"/>
      <c r="N910" s="91" t="n"/>
      <c r="O910" s="91" t="n"/>
      <c r="P910" s="91" t="n"/>
      <c r="Q910" s="91" t="n"/>
      <c r="R910" s="91" t="n"/>
      <c r="S910" s="91" t="n"/>
      <c r="T910" s="91" t="n"/>
      <c r="U910" s="91" t="n"/>
      <c r="V910" s="91" t="n"/>
      <c r="W910" s="91" t="n"/>
      <c r="X910" s="91" t="n"/>
      <c r="Y910" s="91" t="n"/>
      <c r="Z910" s="91" t="n"/>
      <c r="AA910" s="91" t="n"/>
      <c r="AB910" s="91" t="n"/>
      <c r="AC910" s="91" t="n"/>
      <c r="AD910" s="91" t="n"/>
      <c r="AE910" s="91" t="n"/>
      <c r="AF910" s="91" t="n"/>
      <c r="AG910" s="91" t="n"/>
    </row>
    <row r="911" ht="12.75" customHeight="1" s="117">
      <c r="A911" s="91" t="n"/>
      <c r="B911" s="91" t="n"/>
      <c r="C911" s="91" t="n"/>
      <c r="D911" s="91" t="n"/>
      <c r="E911" s="91" t="n"/>
      <c r="F911" s="91" t="n"/>
      <c r="G911" s="91" t="n"/>
      <c r="H911" s="91" t="n"/>
      <c r="I911" s="91" t="n"/>
      <c r="J911" s="91" t="n"/>
      <c r="K911" s="91" t="n"/>
      <c r="L911" s="91" t="n"/>
      <c r="M911" s="91" t="n"/>
      <c r="N911" s="91" t="n"/>
      <c r="O911" s="91" t="n"/>
      <c r="P911" s="91" t="n"/>
      <c r="Q911" s="91" t="n"/>
      <c r="R911" s="91" t="n"/>
      <c r="S911" s="91" t="n"/>
      <c r="T911" s="91" t="n"/>
      <c r="U911" s="91" t="n"/>
      <c r="V911" s="91" t="n"/>
      <c r="W911" s="91" t="n"/>
      <c r="X911" s="91" t="n"/>
      <c r="Y911" s="91" t="n"/>
      <c r="Z911" s="91" t="n"/>
      <c r="AA911" s="91" t="n"/>
      <c r="AB911" s="91" t="n"/>
      <c r="AC911" s="91" t="n"/>
      <c r="AD911" s="91" t="n"/>
      <c r="AE911" s="91" t="n"/>
      <c r="AF911" s="91" t="n"/>
      <c r="AG911" s="91" t="n"/>
    </row>
    <row r="912" ht="12.75" customHeight="1" s="117">
      <c r="A912" s="91" t="n"/>
      <c r="B912" s="91" t="n"/>
      <c r="C912" s="91" t="n"/>
      <c r="D912" s="91" t="n"/>
      <c r="E912" s="91" t="n"/>
      <c r="F912" s="91" t="n"/>
      <c r="G912" s="91" t="n"/>
      <c r="H912" s="91" t="n"/>
      <c r="I912" s="91" t="n"/>
      <c r="J912" s="91" t="n"/>
      <c r="K912" s="91" t="n"/>
      <c r="L912" s="91" t="n"/>
      <c r="M912" s="91" t="n"/>
      <c r="N912" s="91" t="n"/>
      <c r="O912" s="91" t="n"/>
      <c r="P912" s="91" t="n"/>
      <c r="Q912" s="91" t="n"/>
      <c r="R912" s="91" t="n"/>
      <c r="S912" s="91" t="n"/>
      <c r="T912" s="91" t="n"/>
      <c r="U912" s="91" t="n"/>
      <c r="V912" s="91" t="n"/>
      <c r="W912" s="91" t="n"/>
      <c r="X912" s="91" t="n"/>
      <c r="Y912" s="91" t="n"/>
      <c r="Z912" s="91" t="n"/>
      <c r="AA912" s="91" t="n"/>
      <c r="AB912" s="91" t="n"/>
      <c r="AC912" s="91" t="n"/>
      <c r="AD912" s="91" t="n"/>
      <c r="AE912" s="91" t="n"/>
      <c r="AF912" s="91" t="n"/>
      <c r="AG912" s="91" t="n"/>
    </row>
    <row r="913" ht="12.75" customHeight="1" s="117">
      <c r="A913" s="91" t="n"/>
      <c r="B913" s="91" t="n"/>
      <c r="C913" s="91" t="n"/>
      <c r="D913" s="91" t="n"/>
      <c r="E913" s="91" t="n"/>
      <c r="F913" s="91" t="n"/>
      <c r="G913" s="91" t="n"/>
      <c r="H913" s="91" t="n"/>
      <c r="I913" s="91" t="n"/>
      <c r="J913" s="91" t="n"/>
      <c r="K913" s="91" t="n"/>
      <c r="L913" s="91" t="n"/>
      <c r="M913" s="91" t="n"/>
      <c r="N913" s="91" t="n"/>
      <c r="O913" s="91" t="n"/>
      <c r="P913" s="91" t="n"/>
      <c r="Q913" s="91" t="n"/>
      <c r="R913" s="91" t="n"/>
      <c r="S913" s="91" t="n"/>
      <c r="T913" s="91" t="n"/>
      <c r="U913" s="91" t="n"/>
      <c r="V913" s="91" t="n"/>
      <c r="W913" s="91" t="n"/>
      <c r="X913" s="91" t="n"/>
      <c r="Y913" s="91" t="n"/>
      <c r="Z913" s="91" t="n"/>
      <c r="AA913" s="91" t="n"/>
      <c r="AB913" s="91" t="n"/>
      <c r="AC913" s="91" t="n"/>
      <c r="AD913" s="91" t="n"/>
      <c r="AE913" s="91" t="n"/>
      <c r="AF913" s="91" t="n"/>
      <c r="AG913" s="91" t="n"/>
    </row>
    <row r="914" ht="12.75" customHeight="1" s="117">
      <c r="A914" s="91" t="n"/>
      <c r="B914" s="91" t="n"/>
      <c r="C914" s="91" t="n"/>
      <c r="D914" s="91" t="n"/>
      <c r="E914" s="91" t="n"/>
      <c r="F914" s="91" t="n"/>
      <c r="G914" s="91" t="n"/>
      <c r="H914" s="91" t="n"/>
      <c r="I914" s="91" t="n"/>
      <c r="J914" s="91" t="n"/>
      <c r="K914" s="91" t="n"/>
      <c r="L914" s="91" t="n"/>
      <c r="M914" s="91" t="n"/>
      <c r="N914" s="91" t="n"/>
      <c r="O914" s="91" t="n"/>
      <c r="P914" s="91" t="n"/>
      <c r="Q914" s="91" t="n"/>
      <c r="R914" s="91" t="n"/>
      <c r="S914" s="91" t="n"/>
      <c r="T914" s="91" t="n"/>
      <c r="U914" s="91" t="n"/>
      <c r="V914" s="91" t="n"/>
      <c r="W914" s="91" t="n"/>
      <c r="X914" s="91" t="n"/>
      <c r="Y914" s="91" t="n"/>
      <c r="Z914" s="91" t="n"/>
      <c r="AA914" s="91" t="n"/>
      <c r="AB914" s="91" t="n"/>
      <c r="AC914" s="91" t="n"/>
      <c r="AD914" s="91" t="n"/>
      <c r="AE914" s="91" t="n"/>
      <c r="AF914" s="91" t="n"/>
      <c r="AG914" s="91" t="n"/>
    </row>
    <row r="915" ht="12.75" customHeight="1" s="117">
      <c r="A915" s="91" t="n"/>
      <c r="B915" s="91" t="n"/>
      <c r="C915" s="91" t="n"/>
      <c r="D915" s="91" t="n"/>
      <c r="E915" s="91" t="n"/>
      <c r="F915" s="91" t="n"/>
      <c r="G915" s="91" t="n"/>
      <c r="H915" s="91" t="n"/>
      <c r="I915" s="91" t="n"/>
      <c r="J915" s="91" t="n"/>
      <c r="K915" s="91" t="n"/>
      <c r="L915" s="91" t="n"/>
      <c r="M915" s="91" t="n"/>
      <c r="N915" s="91" t="n"/>
      <c r="O915" s="91" t="n"/>
      <c r="P915" s="91" t="n"/>
      <c r="Q915" s="91" t="n"/>
      <c r="R915" s="91" t="n"/>
      <c r="S915" s="91" t="n"/>
      <c r="T915" s="91" t="n"/>
      <c r="U915" s="91" t="n"/>
      <c r="V915" s="91" t="n"/>
      <c r="W915" s="91" t="n"/>
      <c r="X915" s="91" t="n"/>
      <c r="Y915" s="91" t="n"/>
      <c r="Z915" s="91" t="n"/>
      <c r="AA915" s="91" t="n"/>
      <c r="AB915" s="91" t="n"/>
      <c r="AC915" s="91" t="n"/>
      <c r="AD915" s="91" t="n"/>
      <c r="AE915" s="91" t="n"/>
      <c r="AF915" s="91" t="n"/>
      <c r="AG915" s="91" t="n"/>
    </row>
    <row r="916" ht="12.75" customHeight="1" s="117">
      <c r="A916" s="91" t="n"/>
      <c r="B916" s="91" t="n"/>
      <c r="C916" s="91" t="n"/>
      <c r="D916" s="91" t="n"/>
      <c r="E916" s="91" t="n"/>
      <c r="F916" s="91" t="n"/>
      <c r="G916" s="91" t="n"/>
      <c r="H916" s="91" t="n"/>
      <c r="I916" s="91" t="n"/>
      <c r="J916" s="91" t="n"/>
      <c r="K916" s="91" t="n"/>
      <c r="L916" s="91" t="n"/>
      <c r="M916" s="91" t="n"/>
      <c r="N916" s="91" t="n"/>
      <c r="O916" s="91" t="n"/>
      <c r="P916" s="91" t="n"/>
      <c r="Q916" s="91" t="n"/>
      <c r="R916" s="91" t="n"/>
      <c r="S916" s="91" t="n"/>
      <c r="T916" s="91" t="n"/>
      <c r="U916" s="91" t="n"/>
      <c r="V916" s="91" t="n"/>
      <c r="W916" s="91" t="n"/>
      <c r="X916" s="91" t="n"/>
      <c r="Y916" s="91" t="n"/>
      <c r="Z916" s="91" t="n"/>
      <c r="AA916" s="91" t="n"/>
      <c r="AB916" s="91" t="n"/>
      <c r="AC916" s="91" t="n"/>
      <c r="AD916" s="91" t="n"/>
      <c r="AE916" s="91" t="n"/>
      <c r="AF916" s="91" t="n"/>
      <c r="AG916" s="91" t="n"/>
    </row>
    <row r="917" ht="12.75" customHeight="1" s="117">
      <c r="A917" s="91" t="n"/>
      <c r="B917" s="91" t="n"/>
      <c r="C917" s="91" t="n"/>
      <c r="D917" s="91" t="n"/>
      <c r="E917" s="91" t="n"/>
      <c r="F917" s="91" t="n"/>
      <c r="G917" s="91" t="n"/>
      <c r="H917" s="91" t="n"/>
      <c r="I917" s="91" t="n"/>
      <c r="J917" s="91" t="n"/>
      <c r="K917" s="91" t="n"/>
      <c r="L917" s="91" t="n"/>
      <c r="M917" s="91" t="n"/>
      <c r="N917" s="91" t="n"/>
      <c r="O917" s="91" t="n"/>
      <c r="P917" s="91" t="n"/>
      <c r="Q917" s="91" t="n"/>
      <c r="R917" s="91" t="n"/>
      <c r="S917" s="91" t="n"/>
      <c r="T917" s="91" t="n"/>
      <c r="U917" s="91" t="n"/>
      <c r="V917" s="91" t="n"/>
      <c r="W917" s="91" t="n"/>
      <c r="X917" s="91" t="n"/>
      <c r="Y917" s="91" t="n"/>
      <c r="Z917" s="91" t="n"/>
      <c r="AA917" s="91" t="n"/>
      <c r="AB917" s="91" t="n"/>
      <c r="AC917" s="91" t="n"/>
      <c r="AD917" s="91" t="n"/>
      <c r="AE917" s="91" t="n"/>
      <c r="AF917" s="91" t="n"/>
      <c r="AG917" s="91" t="n"/>
    </row>
    <row r="918" ht="12.75" customHeight="1" s="117">
      <c r="A918" s="91" t="n"/>
      <c r="B918" s="91" t="n"/>
      <c r="C918" s="91" t="n"/>
      <c r="D918" s="91" t="n"/>
      <c r="E918" s="91" t="n"/>
      <c r="F918" s="91" t="n"/>
      <c r="G918" s="91" t="n"/>
      <c r="H918" s="91" t="n"/>
      <c r="I918" s="91" t="n"/>
      <c r="J918" s="91" t="n"/>
      <c r="K918" s="91" t="n"/>
      <c r="L918" s="91" t="n"/>
      <c r="M918" s="91" t="n"/>
      <c r="N918" s="91" t="n"/>
      <c r="O918" s="91" t="n"/>
      <c r="P918" s="91" t="n"/>
      <c r="Q918" s="91" t="n"/>
      <c r="R918" s="91" t="n"/>
      <c r="S918" s="91" t="n"/>
      <c r="T918" s="91" t="n"/>
      <c r="U918" s="91" t="n"/>
      <c r="V918" s="91" t="n"/>
      <c r="W918" s="91" t="n"/>
      <c r="X918" s="91" t="n"/>
      <c r="Y918" s="91" t="n"/>
      <c r="Z918" s="91" t="n"/>
      <c r="AA918" s="91" t="n"/>
      <c r="AB918" s="91" t="n"/>
      <c r="AC918" s="91" t="n"/>
      <c r="AD918" s="91" t="n"/>
      <c r="AE918" s="91" t="n"/>
      <c r="AF918" s="91" t="n"/>
      <c r="AG918" s="91" t="n"/>
    </row>
    <row r="919" ht="12.75" customHeight="1" s="117">
      <c r="A919" s="91" t="n"/>
      <c r="B919" s="91" t="n"/>
      <c r="C919" s="91" t="n"/>
      <c r="D919" s="91" t="n"/>
      <c r="E919" s="91" t="n"/>
      <c r="F919" s="91" t="n"/>
      <c r="G919" s="91" t="n"/>
      <c r="H919" s="91" t="n"/>
      <c r="I919" s="91" t="n"/>
      <c r="J919" s="91" t="n"/>
      <c r="K919" s="91" t="n"/>
      <c r="L919" s="91" t="n"/>
      <c r="M919" s="91" t="n"/>
      <c r="N919" s="91" t="n"/>
      <c r="O919" s="91" t="n"/>
      <c r="P919" s="91" t="n"/>
      <c r="Q919" s="91" t="n"/>
      <c r="R919" s="91" t="n"/>
      <c r="S919" s="91" t="n"/>
      <c r="T919" s="91" t="n"/>
      <c r="U919" s="91" t="n"/>
      <c r="V919" s="91" t="n"/>
      <c r="W919" s="91" t="n"/>
      <c r="X919" s="91" t="n"/>
      <c r="Y919" s="91" t="n"/>
      <c r="Z919" s="91" t="n"/>
      <c r="AA919" s="91" t="n"/>
      <c r="AB919" s="91" t="n"/>
      <c r="AC919" s="91" t="n"/>
      <c r="AD919" s="91" t="n"/>
      <c r="AE919" s="91" t="n"/>
      <c r="AF919" s="91" t="n"/>
      <c r="AG919" s="91" t="n"/>
    </row>
    <row r="920" ht="12.75" customHeight="1" s="117">
      <c r="A920" s="91" t="n"/>
      <c r="B920" s="91" t="n"/>
      <c r="C920" s="91" t="n"/>
      <c r="D920" s="91" t="n"/>
      <c r="E920" s="91" t="n"/>
      <c r="F920" s="91" t="n"/>
      <c r="G920" s="91" t="n"/>
      <c r="H920" s="91" t="n"/>
      <c r="I920" s="91" t="n"/>
      <c r="J920" s="91" t="n"/>
      <c r="K920" s="91" t="n"/>
      <c r="L920" s="91" t="n"/>
      <c r="M920" s="91" t="n"/>
      <c r="N920" s="91" t="n"/>
      <c r="O920" s="91" t="n"/>
      <c r="P920" s="91" t="n"/>
      <c r="Q920" s="91" t="n"/>
      <c r="R920" s="91" t="n"/>
      <c r="S920" s="91" t="n"/>
      <c r="T920" s="91" t="n"/>
      <c r="U920" s="91" t="n"/>
      <c r="V920" s="91" t="n"/>
      <c r="W920" s="91" t="n"/>
      <c r="X920" s="91" t="n"/>
      <c r="Y920" s="91" t="n"/>
      <c r="Z920" s="91" t="n"/>
      <c r="AA920" s="91" t="n"/>
      <c r="AB920" s="91" t="n"/>
      <c r="AC920" s="91" t="n"/>
      <c r="AD920" s="91" t="n"/>
      <c r="AE920" s="91" t="n"/>
      <c r="AF920" s="91" t="n"/>
      <c r="AG920" s="91" t="n"/>
    </row>
    <row r="921" ht="12.75" customHeight="1" s="117">
      <c r="A921" s="91" t="n"/>
      <c r="B921" s="91" t="n"/>
      <c r="C921" s="91" t="n"/>
      <c r="D921" s="91" t="n"/>
      <c r="E921" s="91" t="n"/>
      <c r="F921" s="91" t="n"/>
      <c r="G921" s="91" t="n"/>
      <c r="H921" s="91" t="n"/>
      <c r="I921" s="91" t="n"/>
      <c r="J921" s="91" t="n"/>
      <c r="K921" s="91" t="n"/>
      <c r="L921" s="91" t="n"/>
      <c r="M921" s="91" t="n"/>
      <c r="N921" s="91" t="n"/>
      <c r="O921" s="91" t="n"/>
      <c r="P921" s="91" t="n"/>
      <c r="Q921" s="91" t="n"/>
      <c r="R921" s="91" t="n"/>
      <c r="S921" s="91" t="n"/>
      <c r="T921" s="91" t="n"/>
      <c r="U921" s="91" t="n"/>
      <c r="V921" s="91" t="n"/>
      <c r="W921" s="91" t="n"/>
      <c r="X921" s="91" t="n"/>
      <c r="Y921" s="91" t="n"/>
      <c r="Z921" s="91" t="n"/>
      <c r="AA921" s="91" t="n"/>
      <c r="AB921" s="91" t="n"/>
      <c r="AC921" s="91" t="n"/>
      <c r="AD921" s="91" t="n"/>
      <c r="AE921" s="91" t="n"/>
      <c r="AF921" s="91" t="n"/>
      <c r="AG921" s="91" t="n"/>
    </row>
    <row r="922" ht="12.75" customHeight="1" s="117">
      <c r="A922" s="91" t="n"/>
      <c r="B922" s="91" t="n"/>
      <c r="C922" s="91" t="n"/>
      <c r="D922" s="91" t="n"/>
      <c r="E922" s="91" t="n"/>
      <c r="F922" s="91" t="n"/>
      <c r="G922" s="91" t="n"/>
      <c r="H922" s="91" t="n"/>
      <c r="I922" s="91" t="n"/>
      <c r="J922" s="91" t="n"/>
      <c r="K922" s="91" t="n"/>
      <c r="L922" s="91" t="n"/>
      <c r="M922" s="91" t="n"/>
      <c r="N922" s="91" t="n"/>
      <c r="O922" s="91" t="n"/>
      <c r="P922" s="91" t="n"/>
      <c r="Q922" s="91" t="n"/>
      <c r="R922" s="91" t="n"/>
      <c r="S922" s="91" t="n"/>
      <c r="T922" s="91" t="n"/>
      <c r="U922" s="91" t="n"/>
      <c r="V922" s="91" t="n"/>
      <c r="W922" s="91" t="n"/>
      <c r="X922" s="91" t="n"/>
      <c r="Y922" s="91" t="n"/>
      <c r="Z922" s="91" t="n"/>
      <c r="AA922" s="91" t="n"/>
      <c r="AB922" s="91" t="n"/>
      <c r="AC922" s="91" t="n"/>
      <c r="AD922" s="91" t="n"/>
      <c r="AE922" s="91" t="n"/>
      <c r="AF922" s="91" t="n"/>
      <c r="AG922" s="91" t="n"/>
    </row>
    <row r="923" ht="12.75" customHeight="1" s="117">
      <c r="A923" s="91" t="n"/>
      <c r="B923" s="91" t="n"/>
      <c r="C923" s="91" t="n"/>
      <c r="D923" s="91" t="n"/>
      <c r="E923" s="91" t="n"/>
      <c r="F923" s="91" t="n"/>
      <c r="G923" s="91" t="n"/>
      <c r="H923" s="91" t="n"/>
      <c r="I923" s="91" t="n"/>
      <c r="J923" s="91" t="n"/>
      <c r="K923" s="91" t="n"/>
      <c r="L923" s="91" t="n"/>
      <c r="M923" s="91" t="n"/>
      <c r="N923" s="91" t="n"/>
      <c r="O923" s="91" t="n"/>
      <c r="P923" s="91" t="n"/>
      <c r="Q923" s="91" t="n"/>
      <c r="R923" s="91" t="n"/>
      <c r="S923" s="91" t="n"/>
      <c r="T923" s="91" t="n"/>
      <c r="U923" s="91" t="n"/>
      <c r="V923" s="91" t="n"/>
      <c r="W923" s="91" t="n"/>
      <c r="X923" s="91" t="n"/>
      <c r="Y923" s="91" t="n"/>
      <c r="Z923" s="91" t="n"/>
      <c r="AA923" s="91" t="n"/>
      <c r="AB923" s="91" t="n"/>
      <c r="AC923" s="91" t="n"/>
      <c r="AD923" s="91" t="n"/>
      <c r="AE923" s="91" t="n"/>
      <c r="AF923" s="91" t="n"/>
      <c r="AG923" s="91" t="n"/>
    </row>
    <row r="924" ht="12.75" customHeight="1" s="117">
      <c r="A924" s="91" t="n"/>
      <c r="B924" s="91" t="n"/>
      <c r="C924" s="91" t="n"/>
      <c r="D924" s="91" t="n"/>
      <c r="E924" s="91" t="n"/>
      <c r="F924" s="91" t="n"/>
      <c r="G924" s="91" t="n"/>
      <c r="H924" s="91" t="n"/>
      <c r="I924" s="91" t="n"/>
      <c r="J924" s="91" t="n"/>
      <c r="K924" s="91" t="n"/>
      <c r="L924" s="91" t="n"/>
      <c r="M924" s="91" t="n"/>
      <c r="N924" s="91" t="n"/>
      <c r="O924" s="91" t="n"/>
      <c r="P924" s="91" t="n"/>
      <c r="Q924" s="91" t="n"/>
      <c r="R924" s="91" t="n"/>
      <c r="S924" s="91" t="n"/>
      <c r="T924" s="91" t="n"/>
      <c r="U924" s="91" t="n"/>
      <c r="V924" s="91" t="n"/>
      <c r="W924" s="91" t="n"/>
      <c r="X924" s="91" t="n"/>
      <c r="Y924" s="91" t="n"/>
      <c r="Z924" s="91" t="n"/>
      <c r="AA924" s="91" t="n"/>
      <c r="AB924" s="91" t="n"/>
      <c r="AC924" s="91" t="n"/>
      <c r="AD924" s="91" t="n"/>
      <c r="AE924" s="91" t="n"/>
      <c r="AF924" s="91" t="n"/>
      <c r="AG924" s="91" t="n"/>
    </row>
    <row r="925" ht="12.75" customHeight="1" s="117">
      <c r="A925" s="91" t="n"/>
      <c r="B925" s="91" t="n"/>
      <c r="C925" s="91" t="n"/>
      <c r="D925" s="91" t="n"/>
      <c r="E925" s="91" t="n"/>
      <c r="F925" s="91" t="n"/>
      <c r="G925" s="91" t="n"/>
      <c r="H925" s="91" t="n"/>
      <c r="I925" s="91" t="n"/>
      <c r="J925" s="91" t="n"/>
      <c r="K925" s="91" t="n"/>
      <c r="L925" s="91" t="n"/>
      <c r="M925" s="91" t="n"/>
      <c r="N925" s="91" t="n"/>
      <c r="O925" s="91" t="n"/>
      <c r="P925" s="91" t="n"/>
      <c r="Q925" s="91" t="n"/>
      <c r="R925" s="91" t="n"/>
      <c r="S925" s="91" t="n"/>
      <c r="T925" s="91" t="n"/>
      <c r="U925" s="91" t="n"/>
      <c r="V925" s="91" t="n"/>
      <c r="W925" s="91" t="n"/>
      <c r="X925" s="91" t="n"/>
      <c r="Y925" s="91" t="n"/>
      <c r="Z925" s="91" t="n"/>
      <c r="AA925" s="91" t="n"/>
      <c r="AB925" s="91" t="n"/>
      <c r="AC925" s="91" t="n"/>
      <c r="AD925" s="91" t="n"/>
      <c r="AE925" s="91" t="n"/>
      <c r="AF925" s="91" t="n"/>
      <c r="AG925" s="91" t="n"/>
    </row>
    <row r="926" ht="12.75" customHeight="1" s="117">
      <c r="A926" s="91" t="n"/>
      <c r="B926" s="91" t="n"/>
      <c r="C926" s="91" t="n"/>
      <c r="D926" s="91" t="n"/>
      <c r="E926" s="91" t="n"/>
      <c r="F926" s="91" t="n"/>
      <c r="G926" s="91" t="n"/>
      <c r="H926" s="91" t="n"/>
      <c r="I926" s="91" t="n"/>
      <c r="J926" s="91" t="n"/>
      <c r="K926" s="91" t="n"/>
      <c r="L926" s="91" t="n"/>
      <c r="M926" s="91" t="n"/>
      <c r="N926" s="91" t="n"/>
      <c r="O926" s="91" t="n"/>
      <c r="P926" s="91" t="n"/>
      <c r="Q926" s="91" t="n"/>
      <c r="R926" s="91" t="n"/>
      <c r="S926" s="91" t="n"/>
      <c r="T926" s="91" t="n"/>
      <c r="U926" s="91" t="n"/>
      <c r="V926" s="91" t="n"/>
      <c r="W926" s="91" t="n"/>
      <c r="X926" s="91" t="n"/>
      <c r="Y926" s="91" t="n"/>
      <c r="Z926" s="91" t="n"/>
      <c r="AA926" s="91" t="n"/>
      <c r="AB926" s="91" t="n"/>
      <c r="AC926" s="91" t="n"/>
      <c r="AD926" s="91" t="n"/>
      <c r="AE926" s="91" t="n"/>
      <c r="AF926" s="91" t="n"/>
      <c r="AG926" s="91" t="n"/>
    </row>
    <row r="927" ht="12.75" customHeight="1" s="117">
      <c r="A927" s="91" t="n"/>
      <c r="B927" s="91" t="n"/>
      <c r="C927" s="91" t="n"/>
      <c r="D927" s="91" t="n"/>
      <c r="E927" s="91" t="n"/>
      <c r="F927" s="91" t="n"/>
      <c r="G927" s="91" t="n"/>
      <c r="H927" s="91" t="n"/>
      <c r="I927" s="91" t="n"/>
      <c r="J927" s="91" t="n"/>
      <c r="K927" s="91" t="n"/>
      <c r="L927" s="91" t="n"/>
      <c r="M927" s="91" t="n"/>
      <c r="N927" s="91" t="n"/>
      <c r="O927" s="91" t="n"/>
      <c r="P927" s="91" t="n"/>
      <c r="Q927" s="91" t="n"/>
      <c r="R927" s="91" t="n"/>
      <c r="S927" s="91" t="n"/>
      <c r="T927" s="91" t="n"/>
      <c r="U927" s="91" t="n"/>
      <c r="V927" s="91" t="n"/>
      <c r="W927" s="91" t="n"/>
      <c r="X927" s="91" t="n"/>
      <c r="Y927" s="91" t="n"/>
      <c r="Z927" s="91" t="n"/>
      <c r="AA927" s="91" t="n"/>
      <c r="AB927" s="91" t="n"/>
      <c r="AC927" s="91" t="n"/>
      <c r="AD927" s="91" t="n"/>
      <c r="AE927" s="91" t="n"/>
      <c r="AF927" s="91" t="n"/>
      <c r="AG927" s="91" t="n"/>
    </row>
    <row r="928" ht="12.75" customHeight="1" s="117">
      <c r="A928" s="91" t="n"/>
      <c r="B928" s="91" t="n"/>
      <c r="C928" s="91" t="n"/>
      <c r="D928" s="91" t="n"/>
      <c r="E928" s="91" t="n"/>
      <c r="F928" s="91" t="n"/>
      <c r="G928" s="91" t="n"/>
      <c r="H928" s="91" t="n"/>
      <c r="I928" s="91" t="n"/>
      <c r="J928" s="91" t="n"/>
      <c r="K928" s="91" t="n"/>
      <c r="L928" s="91" t="n"/>
      <c r="M928" s="91" t="n"/>
      <c r="N928" s="91" t="n"/>
      <c r="O928" s="91" t="n"/>
      <c r="P928" s="91" t="n"/>
      <c r="Q928" s="91" t="n"/>
      <c r="R928" s="91" t="n"/>
      <c r="S928" s="91" t="n"/>
      <c r="T928" s="91" t="n"/>
      <c r="U928" s="91" t="n"/>
      <c r="V928" s="91" t="n"/>
      <c r="W928" s="91" t="n"/>
      <c r="X928" s="91" t="n"/>
      <c r="Y928" s="91" t="n"/>
      <c r="Z928" s="91" t="n"/>
      <c r="AA928" s="91" t="n"/>
      <c r="AB928" s="91" t="n"/>
      <c r="AC928" s="91" t="n"/>
      <c r="AD928" s="91" t="n"/>
      <c r="AE928" s="91" t="n"/>
      <c r="AF928" s="91" t="n"/>
      <c r="AG928" s="91" t="n"/>
    </row>
    <row r="929" ht="12.75" customHeight="1" s="117">
      <c r="A929" s="91" t="n"/>
      <c r="B929" s="91" t="n"/>
      <c r="C929" s="91" t="n"/>
      <c r="D929" s="91" t="n"/>
      <c r="E929" s="91" t="n"/>
      <c r="F929" s="91" t="n"/>
      <c r="G929" s="91" t="n"/>
      <c r="H929" s="91" t="n"/>
      <c r="I929" s="91" t="n"/>
      <c r="J929" s="91" t="n"/>
      <c r="K929" s="91" t="n"/>
      <c r="L929" s="91" t="n"/>
      <c r="M929" s="91" t="n"/>
      <c r="N929" s="91" t="n"/>
      <c r="O929" s="91" t="n"/>
      <c r="P929" s="91" t="n"/>
      <c r="Q929" s="91" t="n"/>
      <c r="R929" s="91" t="n"/>
      <c r="S929" s="91" t="n"/>
      <c r="T929" s="91" t="n"/>
      <c r="U929" s="91" t="n"/>
      <c r="V929" s="91" t="n"/>
      <c r="W929" s="91" t="n"/>
      <c r="X929" s="91" t="n"/>
      <c r="Y929" s="91" t="n"/>
      <c r="Z929" s="91" t="n"/>
      <c r="AA929" s="91" t="n"/>
      <c r="AB929" s="91" t="n"/>
      <c r="AC929" s="91" t="n"/>
      <c r="AD929" s="91" t="n"/>
      <c r="AE929" s="91" t="n"/>
      <c r="AF929" s="91" t="n"/>
      <c r="AG929" s="91" t="n"/>
    </row>
    <row r="930" ht="12.75" customHeight="1" s="117">
      <c r="A930" s="91" t="n"/>
      <c r="B930" s="91" t="n"/>
      <c r="C930" s="91" t="n"/>
      <c r="D930" s="91" t="n"/>
      <c r="E930" s="91" t="n"/>
      <c r="F930" s="91" t="n"/>
      <c r="G930" s="91" t="n"/>
      <c r="H930" s="91" t="n"/>
      <c r="I930" s="91" t="n"/>
      <c r="J930" s="91" t="n"/>
      <c r="K930" s="91" t="n"/>
      <c r="L930" s="91" t="n"/>
      <c r="M930" s="91" t="n"/>
      <c r="N930" s="91" t="n"/>
      <c r="O930" s="91" t="n"/>
      <c r="P930" s="91" t="n"/>
      <c r="Q930" s="91" t="n"/>
      <c r="R930" s="91" t="n"/>
      <c r="S930" s="91" t="n"/>
      <c r="T930" s="91" t="n"/>
      <c r="U930" s="91" t="n"/>
      <c r="V930" s="91" t="n"/>
      <c r="W930" s="91" t="n"/>
      <c r="X930" s="91" t="n"/>
      <c r="Y930" s="91" t="n"/>
      <c r="Z930" s="91" t="n"/>
      <c r="AA930" s="91" t="n"/>
      <c r="AB930" s="91" t="n"/>
      <c r="AC930" s="91" t="n"/>
      <c r="AD930" s="91" t="n"/>
      <c r="AE930" s="91" t="n"/>
      <c r="AF930" s="91" t="n"/>
      <c r="AG930" s="91" t="n"/>
    </row>
    <row r="931" ht="12.75" customHeight="1" s="117">
      <c r="A931" s="91" t="n"/>
      <c r="B931" s="91" t="n"/>
      <c r="C931" s="91" t="n"/>
      <c r="D931" s="91" t="n"/>
      <c r="E931" s="91" t="n"/>
      <c r="F931" s="91" t="n"/>
      <c r="G931" s="91" t="n"/>
      <c r="H931" s="91" t="n"/>
      <c r="I931" s="91" t="n"/>
      <c r="J931" s="91" t="n"/>
      <c r="K931" s="91" t="n"/>
      <c r="L931" s="91" t="n"/>
      <c r="M931" s="91" t="n"/>
      <c r="N931" s="91" t="n"/>
      <c r="O931" s="91" t="n"/>
      <c r="P931" s="91" t="n"/>
      <c r="Q931" s="91" t="n"/>
      <c r="R931" s="91" t="n"/>
      <c r="S931" s="91" t="n"/>
      <c r="T931" s="91" t="n"/>
      <c r="U931" s="91" t="n"/>
      <c r="V931" s="91" t="n"/>
      <c r="W931" s="91" t="n"/>
      <c r="X931" s="91" t="n"/>
      <c r="Y931" s="91" t="n"/>
      <c r="Z931" s="91" t="n"/>
      <c r="AA931" s="91" t="n"/>
      <c r="AB931" s="91" t="n"/>
      <c r="AC931" s="91" t="n"/>
      <c r="AD931" s="91" t="n"/>
      <c r="AE931" s="91" t="n"/>
      <c r="AF931" s="91" t="n"/>
      <c r="AG931" s="91" t="n"/>
    </row>
    <row r="932" ht="12.75" customHeight="1" s="117">
      <c r="A932" s="91" t="n"/>
      <c r="B932" s="91" t="n"/>
      <c r="C932" s="91" t="n"/>
      <c r="D932" s="91" t="n"/>
      <c r="E932" s="91" t="n"/>
      <c r="F932" s="91" t="n"/>
      <c r="G932" s="91" t="n"/>
      <c r="H932" s="91" t="n"/>
      <c r="I932" s="91" t="n"/>
      <c r="J932" s="91" t="n"/>
      <c r="K932" s="91" t="n"/>
      <c r="L932" s="91" t="n"/>
      <c r="M932" s="91" t="n"/>
      <c r="N932" s="91" t="n"/>
      <c r="O932" s="91" t="n"/>
      <c r="P932" s="91" t="n"/>
      <c r="Q932" s="91" t="n"/>
      <c r="R932" s="91" t="n"/>
      <c r="S932" s="91" t="n"/>
      <c r="T932" s="91" t="n"/>
      <c r="U932" s="91" t="n"/>
      <c r="V932" s="91" t="n"/>
      <c r="W932" s="91" t="n"/>
      <c r="X932" s="91" t="n"/>
      <c r="Y932" s="91" t="n"/>
      <c r="Z932" s="91" t="n"/>
      <c r="AA932" s="91" t="n"/>
      <c r="AB932" s="91" t="n"/>
      <c r="AC932" s="91" t="n"/>
      <c r="AD932" s="91" t="n"/>
      <c r="AE932" s="91" t="n"/>
      <c r="AF932" s="91" t="n"/>
      <c r="AG932" s="91" t="n"/>
    </row>
    <row r="933" ht="12.75" customHeight="1" s="117">
      <c r="A933" s="91" t="n"/>
      <c r="B933" s="91" t="n"/>
      <c r="C933" s="91" t="n"/>
      <c r="D933" s="91" t="n"/>
      <c r="E933" s="91" t="n"/>
      <c r="F933" s="91" t="n"/>
      <c r="G933" s="91" t="n"/>
      <c r="H933" s="91" t="n"/>
      <c r="I933" s="91" t="n"/>
      <c r="J933" s="91" t="n"/>
      <c r="K933" s="91" t="n"/>
      <c r="L933" s="91" t="n"/>
      <c r="M933" s="91" t="n"/>
      <c r="N933" s="91" t="n"/>
      <c r="O933" s="91" t="n"/>
      <c r="P933" s="91" t="n"/>
      <c r="Q933" s="91" t="n"/>
      <c r="R933" s="91" t="n"/>
      <c r="S933" s="91" t="n"/>
      <c r="T933" s="91" t="n"/>
      <c r="U933" s="91" t="n"/>
      <c r="V933" s="91" t="n"/>
      <c r="W933" s="91" t="n"/>
      <c r="X933" s="91" t="n"/>
      <c r="Y933" s="91" t="n"/>
      <c r="Z933" s="91" t="n"/>
      <c r="AA933" s="91" t="n"/>
      <c r="AB933" s="91" t="n"/>
      <c r="AC933" s="91" t="n"/>
      <c r="AD933" s="91" t="n"/>
      <c r="AE933" s="91" t="n"/>
      <c r="AF933" s="91" t="n"/>
      <c r="AG933" s="91" t="n"/>
    </row>
    <row r="934" ht="12.75" customHeight="1" s="117">
      <c r="A934" s="91" t="n"/>
      <c r="B934" s="91" t="n"/>
      <c r="C934" s="91" t="n"/>
      <c r="D934" s="91" t="n"/>
      <c r="E934" s="91" t="n"/>
      <c r="F934" s="91" t="n"/>
      <c r="G934" s="91" t="n"/>
      <c r="H934" s="91" t="n"/>
      <c r="I934" s="91" t="n"/>
      <c r="J934" s="91" t="n"/>
      <c r="K934" s="91" t="n"/>
      <c r="L934" s="91" t="n"/>
      <c r="M934" s="91" t="n"/>
      <c r="N934" s="91" t="n"/>
      <c r="O934" s="91" t="n"/>
      <c r="P934" s="91" t="n"/>
      <c r="Q934" s="91" t="n"/>
      <c r="R934" s="91" t="n"/>
      <c r="S934" s="91" t="n"/>
      <c r="T934" s="91" t="n"/>
      <c r="U934" s="91" t="n"/>
      <c r="V934" s="91" t="n"/>
      <c r="W934" s="91" t="n"/>
      <c r="X934" s="91" t="n"/>
      <c r="Y934" s="91" t="n"/>
      <c r="Z934" s="91" t="n"/>
      <c r="AA934" s="91" t="n"/>
      <c r="AB934" s="91" t="n"/>
      <c r="AC934" s="91" t="n"/>
      <c r="AD934" s="91" t="n"/>
      <c r="AE934" s="91" t="n"/>
      <c r="AF934" s="91" t="n"/>
      <c r="AG934" s="91" t="n"/>
    </row>
    <row r="935" ht="12.75" customHeight="1" s="117">
      <c r="A935" s="91" t="n"/>
      <c r="B935" s="91" t="n"/>
      <c r="C935" s="91" t="n"/>
      <c r="D935" s="91" t="n"/>
      <c r="E935" s="91" t="n"/>
      <c r="F935" s="91" t="n"/>
      <c r="G935" s="91" t="n"/>
      <c r="H935" s="91" t="n"/>
      <c r="I935" s="91" t="n"/>
      <c r="J935" s="91" t="n"/>
      <c r="K935" s="91" t="n"/>
      <c r="L935" s="91" t="n"/>
      <c r="M935" s="91" t="n"/>
      <c r="N935" s="91" t="n"/>
      <c r="O935" s="91" t="n"/>
      <c r="P935" s="91" t="n"/>
      <c r="Q935" s="91" t="n"/>
      <c r="R935" s="91" t="n"/>
      <c r="S935" s="91" t="n"/>
      <c r="T935" s="91" t="n"/>
      <c r="U935" s="91" t="n"/>
      <c r="V935" s="91" t="n"/>
      <c r="W935" s="91" t="n"/>
      <c r="X935" s="91" t="n"/>
      <c r="Y935" s="91" t="n"/>
      <c r="Z935" s="91" t="n"/>
      <c r="AA935" s="91" t="n"/>
      <c r="AB935" s="91" t="n"/>
      <c r="AC935" s="91" t="n"/>
      <c r="AD935" s="91" t="n"/>
      <c r="AE935" s="91" t="n"/>
      <c r="AF935" s="91" t="n"/>
      <c r="AG935" s="91" t="n"/>
    </row>
    <row r="936" ht="12.75" customHeight="1" s="117">
      <c r="A936" s="91" t="n"/>
      <c r="B936" s="91" t="n"/>
      <c r="C936" s="91" t="n"/>
      <c r="D936" s="91" t="n"/>
      <c r="E936" s="91" t="n"/>
      <c r="F936" s="91" t="n"/>
      <c r="G936" s="91" t="n"/>
      <c r="H936" s="91" t="n"/>
      <c r="I936" s="91" t="n"/>
      <c r="J936" s="91" t="n"/>
      <c r="K936" s="91" t="n"/>
      <c r="L936" s="91" t="n"/>
      <c r="M936" s="91" t="n"/>
      <c r="N936" s="91" t="n"/>
      <c r="O936" s="91" t="n"/>
      <c r="P936" s="91" t="n"/>
      <c r="Q936" s="91" t="n"/>
      <c r="R936" s="91" t="n"/>
      <c r="S936" s="91" t="n"/>
      <c r="T936" s="91" t="n"/>
      <c r="U936" s="91" t="n"/>
      <c r="V936" s="91" t="n"/>
      <c r="W936" s="91" t="n"/>
      <c r="X936" s="91" t="n"/>
      <c r="Y936" s="91" t="n"/>
      <c r="Z936" s="91" t="n"/>
      <c r="AA936" s="91" t="n"/>
      <c r="AB936" s="91" t="n"/>
      <c r="AC936" s="91" t="n"/>
      <c r="AD936" s="91" t="n"/>
      <c r="AE936" s="91" t="n"/>
      <c r="AF936" s="91" t="n"/>
      <c r="AG936" s="91" t="n"/>
    </row>
    <row r="937" ht="12.75" customHeight="1" s="117">
      <c r="A937" s="91" t="n"/>
      <c r="B937" s="91" t="n"/>
      <c r="C937" s="91" t="n"/>
      <c r="D937" s="91" t="n"/>
      <c r="E937" s="91" t="n"/>
      <c r="F937" s="91" t="n"/>
      <c r="G937" s="91" t="n"/>
      <c r="H937" s="91" t="n"/>
      <c r="I937" s="91" t="n"/>
      <c r="J937" s="91" t="n"/>
      <c r="K937" s="91" t="n"/>
      <c r="L937" s="91" t="n"/>
      <c r="M937" s="91" t="n"/>
      <c r="N937" s="91" t="n"/>
      <c r="O937" s="91" t="n"/>
      <c r="P937" s="91" t="n"/>
      <c r="Q937" s="91" t="n"/>
      <c r="R937" s="91" t="n"/>
      <c r="S937" s="91" t="n"/>
      <c r="T937" s="91" t="n"/>
      <c r="U937" s="91" t="n"/>
      <c r="V937" s="91" t="n"/>
      <c r="W937" s="91" t="n"/>
      <c r="X937" s="91" t="n"/>
      <c r="Y937" s="91" t="n"/>
      <c r="Z937" s="91" t="n"/>
      <c r="AA937" s="91" t="n"/>
      <c r="AB937" s="91" t="n"/>
      <c r="AC937" s="91" t="n"/>
      <c r="AD937" s="91" t="n"/>
      <c r="AE937" s="91" t="n"/>
      <c r="AF937" s="91" t="n"/>
      <c r="AG937" s="91" t="n"/>
    </row>
    <row r="938" ht="12.75" customHeight="1" s="117">
      <c r="A938" s="91" t="n"/>
      <c r="B938" s="91" t="n"/>
      <c r="C938" s="91" t="n"/>
      <c r="D938" s="91" t="n"/>
      <c r="E938" s="91" t="n"/>
      <c r="F938" s="91" t="n"/>
      <c r="G938" s="91" t="n"/>
      <c r="H938" s="91" t="n"/>
      <c r="I938" s="91" t="n"/>
      <c r="J938" s="91" t="n"/>
      <c r="K938" s="91" t="n"/>
      <c r="L938" s="91" t="n"/>
      <c r="M938" s="91" t="n"/>
      <c r="N938" s="91" t="n"/>
      <c r="O938" s="91" t="n"/>
      <c r="P938" s="91" t="n"/>
      <c r="Q938" s="91" t="n"/>
      <c r="R938" s="91" t="n"/>
      <c r="S938" s="91" t="n"/>
      <c r="T938" s="91" t="n"/>
      <c r="U938" s="91" t="n"/>
      <c r="V938" s="91" t="n"/>
      <c r="W938" s="91" t="n"/>
      <c r="X938" s="91" t="n"/>
      <c r="Y938" s="91" t="n"/>
      <c r="Z938" s="91" t="n"/>
      <c r="AA938" s="91" t="n"/>
      <c r="AB938" s="91" t="n"/>
      <c r="AC938" s="91" t="n"/>
      <c r="AD938" s="91" t="n"/>
      <c r="AE938" s="91" t="n"/>
      <c r="AF938" s="91" t="n"/>
      <c r="AG938" s="91" t="n"/>
    </row>
    <row r="939" ht="12.75" customHeight="1" s="117">
      <c r="A939" s="91" t="n"/>
      <c r="B939" s="91" t="n"/>
      <c r="C939" s="91" t="n"/>
      <c r="D939" s="91" t="n"/>
      <c r="E939" s="91" t="n"/>
      <c r="F939" s="91" t="n"/>
      <c r="G939" s="91" t="n"/>
      <c r="H939" s="91" t="n"/>
      <c r="I939" s="91" t="n"/>
      <c r="J939" s="91" t="n"/>
      <c r="K939" s="91" t="n"/>
      <c r="L939" s="91" t="n"/>
      <c r="M939" s="91" t="n"/>
      <c r="N939" s="91" t="n"/>
      <c r="O939" s="91" t="n"/>
      <c r="P939" s="91" t="n"/>
      <c r="Q939" s="91" t="n"/>
      <c r="R939" s="91" t="n"/>
      <c r="S939" s="91" t="n"/>
      <c r="T939" s="91" t="n"/>
      <c r="U939" s="91" t="n"/>
      <c r="V939" s="91" t="n"/>
      <c r="W939" s="91" t="n"/>
      <c r="X939" s="91" t="n"/>
      <c r="Y939" s="91" t="n"/>
      <c r="Z939" s="91" t="n"/>
      <c r="AA939" s="91" t="n"/>
      <c r="AB939" s="91" t="n"/>
      <c r="AC939" s="91" t="n"/>
      <c r="AD939" s="91" t="n"/>
      <c r="AE939" s="91" t="n"/>
      <c r="AF939" s="91" t="n"/>
      <c r="AG939" s="91" t="n"/>
    </row>
    <row r="940" ht="12.75" customHeight="1" s="117">
      <c r="A940" s="91" t="n"/>
      <c r="B940" s="91" t="n"/>
      <c r="C940" s="91" t="n"/>
      <c r="D940" s="91" t="n"/>
      <c r="E940" s="91" t="n"/>
      <c r="F940" s="91" t="n"/>
      <c r="G940" s="91" t="n"/>
      <c r="H940" s="91" t="n"/>
      <c r="I940" s="91" t="n"/>
      <c r="J940" s="91" t="n"/>
      <c r="K940" s="91" t="n"/>
      <c r="L940" s="91" t="n"/>
      <c r="M940" s="91" t="n"/>
      <c r="N940" s="91" t="n"/>
      <c r="O940" s="91" t="n"/>
      <c r="P940" s="91" t="n"/>
      <c r="Q940" s="91" t="n"/>
      <c r="R940" s="91" t="n"/>
      <c r="S940" s="91" t="n"/>
      <c r="T940" s="91" t="n"/>
      <c r="U940" s="91" t="n"/>
      <c r="V940" s="91" t="n"/>
      <c r="W940" s="91" t="n"/>
      <c r="X940" s="91" t="n"/>
      <c r="Y940" s="91" t="n"/>
      <c r="Z940" s="91" t="n"/>
      <c r="AA940" s="91" t="n"/>
      <c r="AB940" s="91" t="n"/>
      <c r="AC940" s="91" t="n"/>
      <c r="AD940" s="91" t="n"/>
      <c r="AE940" s="91" t="n"/>
      <c r="AF940" s="91" t="n"/>
      <c r="AG940" s="91" t="n"/>
    </row>
    <row r="941" ht="12.75" customHeight="1" s="117">
      <c r="A941" s="91" t="n"/>
      <c r="B941" s="91" t="n"/>
      <c r="C941" s="91" t="n"/>
      <c r="D941" s="91" t="n"/>
      <c r="E941" s="91" t="n"/>
      <c r="F941" s="91" t="n"/>
      <c r="G941" s="91" t="n"/>
      <c r="H941" s="91" t="n"/>
      <c r="I941" s="91" t="n"/>
      <c r="J941" s="91" t="n"/>
      <c r="K941" s="91" t="n"/>
      <c r="L941" s="91" t="n"/>
      <c r="M941" s="91" t="n"/>
      <c r="N941" s="91" t="n"/>
      <c r="O941" s="91" t="n"/>
      <c r="P941" s="91" t="n"/>
      <c r="Q941" s="91" t="n"/>
      <c r="R941" s="91" t="n"/>
      <c r="S941" s="91" t="n"/>
      <c r="T941" s="91" t="n"/>
      <c r="U941" s="91" t="n"/>
      <c r="V941" s="91" t="n"/>
      <c r="W941" s="91" t="n"/>
      <c r="X941" s="91" t="n"/>
      <c r="Y941" s="91" t="n"/>
      <c r="Z941" s="91" t="n"/>
      <c r="AA941" s="91" t="n"/>
      <c r="AB941" s="91" t="n"/>
      <c r="AC941" s="91" t="n"/>
      <c r="AD941" s="91" t="n"/>
      <c r="AE941" s="91" t="n"/>
      <c r="AF941" s="91" t="n"/>
      <c r="AG941" s="91" t="n"/>
    </row>
    <row r="942" ht="12.75" customHeight="1" s="117">
      <c r="A942" s="91" t="n"/>
      <c r="B942" s="91" t="n"/>
      <c r="C942" s="91" t="n"/>
      <c r="D942" s="91" t="n"/>
      <c r="E942" s="91" t="n"/>
      <c r="F942" s="91" t="n"/>
      <c r="G942" s="91" t="n"/>
      <c r="H942" s="91" t="n"/>
      <c r="I942" s="91" t="n"/>
      <c r="J942" s="91" t="n"/>
      <c r="K942" s="91" t="n"/>
      <c r="L942" s="91" t="n"/>
      <c r="M942" s="91" t="n"/>
      <c r="N942" s="91" t="n"/>
      <c r="O942" s="91" t="n"/>
      <c r="P942" s="91" t="n"/>
      <c r="Q942" s="91" t="n"/>
      <c r="R942" s="91" t="n"/>
      <c r="S942" s="91" t="n"/>
      <c r="T942" s="91" t="n"/>
      <c r="U942" s="91" t="n"/>
      <c r="V942" s="91" t="n"/>
      <c r="W942" s="91" t="n"/>
      <c r="X942" s="91" t="n"/>
      <c r="Y942" s="91" t="n"/>
      <c r="Z942" s="91" t="n"/>
      <c r="AA942" s="91" t="n"/>
      <c r="AB942" s="91" t="n"/>
      <c r="AC942" s="91" t="n"/>
      <c r="AD942" s="91" t="n"/>
      <c r="AE942" s="91" t="n"/>
      <c r="AF942" s="91" t="n"/>
      <c r="AG942" s="91" t="n"/>
    </row>
    <row r="943" ht="12.75" customHeight="1" s="117">
      <c r="A943" s="91" t="n"/>
      <c r="B943" s="91" t="n"/>
      <c r="C943" s="91" t="n"/>
      <c r="D943" s="91" t="n"/>
      <c r="E943" s="91" t="n"/>
      <c r="F943" s="91" t="n"/>
      <c r="G943" s="91" t="n"/>
      <c r="H943" s="91" t="n"/>
      <c r="I943" s="91" t="n"/>
      <c r="J943" s="91" t="n"/>
      <c r="K943" s="91" t="n"/>
      <c r="L943" s="91" t="n"/>
      <c r="M943" s="91" t="n"/>
      <c r="N943" s="91" t="n"/>
      <c r="O943" s="91" t="n"/>
      <c r="P943" s="91" t="n"/>
      <c r="Q943" s="91" t="n"/>
      <c r="R943" s="91" t="n"/>
      <c r="S943" s="91" t="n"/>
      <c r="T943" s="91" t="n"/>
      <c r="U943" s="91" t="n"/>
      <c r="V943" s="91" t="n"/>
      <c r="W943" s="91" t="n"/>
      <c r="X943" s="91" t="n"/>
      <c r="Y943" s="91" t="n"/>
      <c r="Z943" s="91" t="n"/>
      <c r="AA943" s="91" t="n"/>
      <c r="AB943" s="91" t="n"/>
      <c r="AC943" s="91" t="n"/>
      <c r="AD943" s="91" t="n"/>
      <c r="AE943" s="91" t="n"/>
      <c r="AF943" s="91" t="n"/>
      <c r="AG943" s="91" t="n"/>
    </row>
    <row r="944" ht="12.75" customHeight="1" s="117">
      <c r="A944" s="91" t="n"/>
      <c r="B944" s="91" t="n"/>
      <c r="C944" s="91" t="n"/>
      <c r="D944" s="91" t="n"/>
      <c r="E944" s="91" t="n"/>
      <c r="F944" s="91" t="n"/>
      <c r="G944" s="91" t="n"/>
      <c r="H944" s="91" t="n"/>
      <c r="I944" s="91" t="n"/>
      <c r="J944" s="91" t="n"/>
      <c r="K944" s="91" t="n"/>
      <c r="L944" s="91" t="n"/>
      <c r="M944" s="91" t="n"/>
      <c r="N944" s="91" t="n"/>
      <c r="O944" s="91" t="n"/>
      <c r="P944" s="91" t="n"/>
      <c r="Q944" s="91" t="n"/>
      <c r="R944" s="91" t="n"/>
      <c r="S944" s="91" t="n"/>
      <c r="T944" s="91" t="n"/>
      <c r="U944" s="91" t="n"/>
      <c r="V944" s="91" t="n"/>
      <c r="W944" s="91" t="n"/>
      <c r="X944" s="91" t="n"/>
      <c r="Y944" s="91" t="n"/>
      <c r="Z944" s="91" t="n"/>
      <c r="AA944" s="91" t="n"/>
      <c r="AB944" s="91" t="n"/>
      <c r="AC944" s="91" t="n"/>
      <c r="AD944" s="91" t="n"/>
      <c r="AE944" s="91" t="n"/>
      <c r="AF944" s="91" t="n"/>
      <c r="AG944" s="91" t="n"/>
    </row>
    <row r="945" ht="12.75" customHeight="1" s="117">
      <c r="A945" s="91" t="n"/>
      <c r="B945" s="91" t="n"/>
      <c r="C945" s="91" t="n"/>
      <c r="D945" s="91" t="n"/>
      <c r="E945" s="91" t="n"/>
      <c r="F945" s="91" t="n"/>
      <c r="G945" s="91" t="n"/>
      <c r="H945" s="91" t="n"/>
      <c r="I945" s="91" t="n"/>
      <c r="J945" s="91" t="n"/>
      <c r="K945" s="91" t="n"/>
      <c r="L945" s="91" t="n"/>
      <c r="M945" s="91" t="n"/>
      <c r="N945" s="91" t="n"/>
      <c r="O945" s="91" t="n"/>
      <c r="P945" s="91" t="n"/>
      <c r="Q945" s="91" t="n"/>
      <c r="R945" s="91" t="n"/>
      <c r="S945" s="91" t="n"/>
      <c r="T945" s="91" t="n"/>
      <c r="U945" s="91" t="n"/>
      <c r="V945" s="91" t="n"/>
      <c r="W945" s="91" t="n"/>
      <c r="X945" s="91" t="n"/>
      <c r="Y945" s="91" t="n"/>
      <c r="Z945" s="91" t="n"/>
      <c r="AA945" s="91" t="n"/>
      <c r="AB945" s="91" t="n"/>
      <c r="AC945" s="91" t="n"/>
      <c r="AD945" s="91" t="n"/>
      <c r="AE945" s="91" t="n"/>
      <c r="AF945" s="91" t="n"/>
      <c r="AG945" s="91" t="n"/>
    </row>
    <row r="946" ht="12.75" customHeight="1" s="117">
      <c r="A946" s="91" t="n"/>
      <c r="B946" s="91" t="n"/>
      <c r="C946" s="91" t="n"/>
      <c r="D946" s="91" t="n"/>
      <c r="E946" s="91" t="n"/>
      <c r="F946" s="91" t="n"/>
      <c r="G946" s="91" t="n"/>
      <c r="H946" s="91" t="n"/>
      <c r="I946" s="91" t="n"/>
      <c r="J946" s="91" t="n"/>
      <c r="K946" s="91" t="n"/>
      <c r="L946" s="91" t="n"/>
      <c r="M946" s="91" t="n"/>
      <c r="N946" s="91" t="n"/>
      <c r="O946" s="91" t="n"/>
      <c r="P946" s="91" t="n"/>
      <c r="Q946" s="91" t="n"/>
      <c r="R946" s="91" t="n"/>
      <c r="S946" s="91" t="n"/>
      <c r="T946" s="91" t="n"/>
      <c r="U946" s="91" t="n"/>
      <c r="V946" s="91" t="n"/>
      <c r="W946" s="91" t="n"/>
      <c r="X946" s="91" t="n"/>
      <c r="Y946" s="91" t="n"/>
      <c r="Z946" s="91" t="n"/>
      <c r="AA946" s="91" t="n"/>
      <c r="AB946" s="91" t="n"/>
      <c r="AC946" s="91" t="n"/>
      <c r="AD946" s="91" t="n"/>
      <c r="AE946" s="91" t="n"/>
      <c r="AF946" s="91" t="n"/>
      <c r="AG946" s="91" t="n"/>
    </row>
    <row r="947" ht="12.75" customHeight="1" s="117">
      <c r="A947" s="91" t="n"/>
      <c r="B947" s="91" t="n"/>
      <c r="C947" s="91" t="n"/>
      <c r="D947" s="91" t="n"/>
      <c r="E947" s="91" t="n"/>
      <c r="F947" s="91" t="n"/>
      <c r="G947" s="91" t="n"/>
      <c r="H947" s="91" t="n"/>
      <c r="I947" s="91" t="n"/>
      <c r="J947" s="91" t="n"/>
      <c r="K947" s="91" t="n"/>
      <c r="L947" s="91" t="n"/>
      <c r="M947" s="91" t="n"/>
      <c r="N947" s="91" t="n"/>
      <c r="O947" s="91" t="n"/>
      <c r="P947" s="91" t="n"/>
      <c r="Q947" s="91" t="n"/>
      <c r="R947" s="91" t="n"/>
      <c r="S947" s="91" t="n"/>
      <c r="T947" s="91" t="n"/>
      <c r="U947" s="91" t="n"/>
      <c r="V947" s="91" t="n"/>
      <c r="W947" s="91" t="n"/>
      <c r="X947" s="91" t="n"/>
      <c r="Y947" s="91" t="n"/>
      <c r="Z947" s="91" t="n"/>
      <c r="AA947" s="91" t="n"/>
      <c r="AB947" s="91" t="n"/>
      <c r="AC947" s="91" t="n"/>
      <c r="AD947" s="91" t="n"/>
      <c r="AE947" s="91" t="n"/>
      <c r="AF947" s="91" t="n"/>
      <c r="AG947" s="91" t="n"/>
    </row>
    <row r="948" ht="12.75" customHeight="1" s="117">
      <c r="A948" s="91" t="n"/>
      <c r="B948" s="91" t="n"/>
      <c r="C948" s="91" t="n"/>
      <c r="D948" s="91" t="n"/>
      <c r="E948" s="91" t="n"/>
      <c r="F948" s="91" t="n"/>
      <c r="G948" s="91" t="n"/>
      <c r="H948" s="91" t="n"/>
      <c r="I948" s="91" t="n"/>
      <c r="J948" s="91" t="n"/>
      <c r="K948" s="91" t="n"/>
      <c r="L948" s="91" t="n"/>
      <c r="M948" s="91" t="n"/>
      <c r="N948" s="91" t="n"/>
      <c r="O948" s="91" t="n"/>
      <c r="P948" s="91" t="n"/>
      <c r="Q948" s="91" t="n"/>
      <c r="R948" s="91" t="n"/>
      <c r="S948" s="91" t="n"/>
      <c r="T948" s="91" t="n"/>
      <c r="U948" s="91" t="n"/>
      <c r="V948" s="91" t="n"/>
      <c r="W948" s="91" t="n"/>
      <c r="X948" s="91" t="n"/>
      <c r="Y948" s="91" t="n"/>
      <c r="Z948" s="91" t="n"/>
      <c r="AA948" s="91" t="n"/>
      <c r="AB948" s="91" t="n"/>
      <c r="AC948" s="91" t="n"/>
      <c r="AD948" s="91" t="n"/>
      <c r="AE948" s="91" t="n"/>
      <c r="AF948" s="91" t="n"/>
      <c r="AG948" s="91" t="n"/>
    </row>
    <row r="949" ht="12.75" customHeight="1" s="117">
      <c r="A949" s="91" t="n"/>
      <c r="B949" s="91" t="n"/>
      <c r="C949" s="91" t="n"/>
      <c r="D949" s="91" t="n"/>
      <c r="E949" s="91" t="n"/>
      <c r="F949" s="91" t="n"/>
      <c r="G949" s="91" t="n"/>
      <c r="H949" s="91" t="n"/>
      <c r="I949" s="91" t="n"/>
      <c r="J949" s="91" t="n"/>
      <c r="K949" s="91" t="n"/>
      <c r="L949" s="91" t="n"/>
      <c r="M949" s="91" t="n"/>
      <c r="N949" s="91" t="n"/>
      <c r="O949" s="91" t="n"/>
      <c r="P949" s="91" t="n"/>
      <c r="Q949" s="91" t="n"/>
      <c r="R949" s="91" t="n"/>
      <c r="S949" s="91" t="n"/>
      <c r="T949" s="91" t="n"/>
      <c r="U949" s="91" t="n"/>
      <c r="V949" s="91" t="n"/>
      <c r="W949" s="91" t="n"/>
      <c r="X949" s="91" t="n"/>
      <c r="Y949" s="91" t="n"/>
      <c r="Z949" s="91" t="n"/>
      <c r="AA949" s="91" t="n"/>
      <c r="AB949" s="91" t="n"/>
      <c r="AC949" s="91" t="n"/>
      <c r="AD949" s="91" t="n"/>
      <c r="AE949" s="91" t="n"/>
      <c r="AF949" s="91" t="n"/>
      <c r="AG949" s="91" t="n"/>
    </row>
    <row r="950" ht="12.75" customHeight="1" s="117">
      <c r="A950" s="91" t="n"/>
      <c r="B950" s="91" t="n"/>
      <c r="C950" s="91" t="n"/>
      <c r="D950" s="91" t="n"/>
      <c r="E950" s="91" t="n"/>
      <c r="F950" s="91" t="n"/>
      <c r="G950" s="91" t="n"/>
      <c r="H950" s="91" t="n"/>
      <c r="I950" s="91" t="n"/>
      <c r="J950" s="91" t="n"/>
      <c r="K950" s="91" t="n"/>
      <c r="L950" s="91" t="n"/>
      <c r="M950" s="91" t="n"/>
      <c r="N950" s="91" t="n"/>
      <c r="O950" s="91" t="n"/>
      <c r="P950" s="91" t="n"/>
      <c r="Q950" s="91" t="n"/>
      <c r="R950" s="91" t="n"/>
      <c r="S950" s="91" t="n"/>
      <c r="T950" s="91" t="n"/>
      <c r="U950" s="91" t="n"/>
      <c r="V950" s="91" t="n"/>
      <c r="W950" s="91" t="n"/>
      <c r="X950" s="91" t="n"/>
      <c r="Y950" s="91" t="n"/>
      <c r="Z950" s="91" t="n"/>
      <c r="AA950" s="91" t="n"/>
      <c r="AB950" s="91" t="n"/>
      <c r="AC950" s="91" t="n"/>
      <c r="AD950" s="91" t="n"/>
      <c r="AE950" s="91" t="n"/>
      <c r="AF950" s="91" t="n"/>
      <c r="AG950" s="91" t="n"/>
    </row>
    <row r="951" ht="12.75" customHeight="1" s="117">
      <c r="A951" s="91" t="n"/>
      <c r="B951" s="91" t="n"/>
      <c r="C951" s="91" t="n"/>
      <c r="D951" s="91" t="n"/>
      <c r="E951" s="91" t="n"/>
      <c r="F951" s="91" t="n"/>
      <c r="G951" s="91" t="n"/>
      <c r="H951" s="91" t="n"/>
      <c r="I951" s="91" t="n"/>
      <c r="J951" s="91" t="n"/>
      <c r="K951" s="91" t="n"/>
      <c r="L951" s="91" t="n"/>
      <c r="M951" s="91" t="n"/>
      <c r="N951" s="91" t="n"/>
      <c r="O951" s="91" t="n"/>
      <c r="P951" s="91" t="n"/>
      <c r="Q951" s="91" t="n"/>
      <c r="R951" s="91" t="n"/>
      <c r="S951" s="91" t="n"/>
      <c r="T951" s="91" t="n"/>
      <c r="U951" s="91" t="n"/>
      <c r="V951" s="91" t="n"/>
      <c r="W951" s="91" t="n"/>
      <c r="X951" s="91" t="n"/>
      <c r="Y951" s="91" t="n"/>
      <c r="Z951" s="91" t="n"/>
      <c r="AA951" s="91" t="n"/>
      <c r="AB951" s="91" t="n"/>
      <c r="AC951" s="91" t="n"/>
      <c r="AD951" s="91" t="n"/>
      <c r="AE951" s="91" t="n"/>
      <c r="AF951" s="91" t="n"/>
      <c r="AG951" s="91" t="n"/>
    </row>
    <row r="952" ht="12.75" customHeight="1" s="117">
      <c r="A952" s="91" t="n"/>
      <c r="B952" s="91" t="n"/>
      <c r="C952" s="91" t="n"/>
      <c r="D952" s="91" t="n"/>
      <c r="E952" s="91" t="n"/>
      <c r="F952" s="91" t="n"/>
      <c r="G952" s="91" t="n"/>
      <c r="H952" s="91" t="n"/>
      <c r="I952" s="91" t="n"/>
      <c r="J952" s="91" t="n"/>
      <c r="K952" s="91" t="n"/>
      <c r="L952" s="91" t="n"/>
      <c r="M952" s="91" t="n"/>
      <c r="N952" s="91" t="n"/>
      <c r="O952" s="91" t="n"/>
      <c r="P952" s="91" t="n"/>
      <c r="Q952" s="91" t="n"/>
      <c r="R952" s="91" t="n"/>
      <c r="S952" s="91" t="n"/>
      <c r="T952" s="91" t="n"/>
      <c r="U952" s="91" t="n"/>
      <c r="V952" s="91" t="n"/>
      <c r="W952" s="91" t="n"/>
      <c r="X952" s="91" t="n"/>
      <c r="Y952" s="91" t="n"/>
      <c r="Z952" s="91" t="n"/>
      <c r="AA952" s="91" t="n"/>
      <c r="AB952" s="91" t="n"/>
      <c r="AC952" s="91" t="n"/>
      <c r="AD952" s="91" t="n"/>
      <c r="AE952" s="91" t="n"/>
      <c r="AF952" s="91" t="n"/>
      <c r="AG952" s="91" t="n"/>
    </row>
    <row r="953" ht="12.75" customHeight="1" s="117">
      <c r="A953" s="91" t="n"/>
      <c r="B953" s="91" t="n"/>
      <c r="C953" s="91" t="n"/>
      <c r="D953" s="91" t="n"/>
      <c r="E953" s="91" t="n"/>
      <c r="F953" s="91" t="n"/>
      <c r="G953" s="91" t="n"/>
      <c r="H953" s="91" t="n"/>
      <c r="I953" s="91" t="n"/>
      <c r="J953" s="91" t="n"/>
      <c r="K953" s="91" t="n"/>
      <c r="L953" s="91" t="n"/>
      <c r="M953" s="91" t="n"/>
      <c r="N953" s="91" t="n"/>
      <c r="O953" s="91" t="n"/>
      <c r="P953" s="91" t="n"/>
      <c r="Q953" s="91" t="n"/>
      <c r="R953" s="91" t="n"/>
      <c r="S953" s="91" t="n"/>
      <c r="T953" s="91" t="n"/>
      <c r="U953" s="91" t="n"/>
      <c r="V953" s="91" t="n"/>
      <c r="W953" s="91" t="n"/>
      <c r="X953" s="91" t="n"/>
      <c r="Y953" s="91" t="n"/>
      <c r="Z953" s="91" t="n"/>
      <c r="AA953" s="91" t="n"/>
      <c r="AB953" s="91" t="n"/>
      <c r="AC953" s="91" t="n"/>
      <c r="AD953" s="91" t="n"/>
      <c r="AE953" s="91" t="n"/>
      <c r="AF953" s="91" t="n"/>
      <c r="AG953" s="91" t="n"/>
    </row>
    <row r="954" ht="12.75" customHeight="1" s="117">
      <c r="A954" s="91" t="n"/>
      <c r="B954" s="91" t="n"/>
      <c r="C954" s="91" t="n"/>
      <c r="D954" s="91" t="n"/>
      <c r="E954" s="91" t="n"/>
      <c r="F954" s="91" t="n"/>
      <c r="G954" s="91" t="n"/>
      <c r="H954" s="91" t="n"/>
      <c r="I954" s="91" t="n"/>
      <c r="J954" s="91" t="n"/>
      <c r="K954" s="91" t="n"/>
      <c r="L954" s="91" t="n"/>
      <c r="M954" s="91" t="n"/>
      <c r="N954" s="91" t="n"/>
      <c r="O954" s="91" t="n"/>
      <c r="P954" s="91" t="n"/>
      <c r="Q954" s="91" t="n"/>
      <c r="R954" s="91" t="n"/>
      <c r="S954" s="91" t="n"/>
      <c r="T954" s="91" t="n"/>
      <c r="U954" s="91" t="n"/>
      <c r="V954" s="91" t="n"/>
      <c r="W954" s="91" t="n"/>
      <c r="X954" s="91" t="n"/>
      <c r="Y954" s="91" t="n"/>
      <c r="Z954" s="91" t="n"/>
      <c r="AA954" s="91" t="n"/>
      <c r="AB954" s="91" t="n"/>
      <c r="AC954" s="91" t="n"/>
      <c r="AD954" s="91" t="n"/>
      <c r="AE954" s="91" t="n"/>
      <c r="AF954" s="91" t="n"/>
      <c r="AG954" s="91" t="n"/>
    </row>
    <row r="955" ht="12.75" customHeight="1" s="117">
      <c r="A955" s="91" t="n"/>
      <c r="B955" s="91" t="n"/>
      <c r="C955" s="91" t="n"/>
      <c r="D955" s="91" t="n"/>
      <c r="E955" s="91" t="n"/>
      <c r="F955" s="91" t="n"/>
      <c r="G955" s="91" t="n"/>
      <c r="H955" s="91" t="n"/>
      <c r="I955" s="91" t="n"/>
      <c r="J955" s="91" t="n"/>
      <c r="K955" s="91" t="n"/>
      <c r="L955" s="91" t="n"/>
      <c r="M955" s="91" t="n"/>
      <c r="N955" s="91" t="n"/>
      <c r="O955" s="91" t="n"/>
      <c r="P955" s="91" t="n"/>
      <c r="Q955" s="91" t="n"/>
      <c r="R955" s="91" t="n"/>
      <c r="S955" s="91" t="n"/>
      <c r="T955" s="91" t="n"/>
      <c r="U955" s="91" t="n"/>
      <c r="V955" s="91" t="n"/>
      <c r="W955" s="91" t="n"/>
      <c r="X955" s="91" t="n"/>
      <c r="Y955" s="91" t="n"/>
      <c r="Z955" s="91" t="n"/>
      <c r="AA955" s="91" t="n"/>
      <c r="AB955" s="91" t="n"/>
      <c r="AC955" s="91" t="n"/>
      <c r="AD955" s="91" t="n"/>
      <c r="AE955" s="91" t="n"/>
      <c r="AF955" s="91" t="n"/>
      <c r="AG955" s="91" t="n"/>
    </row>
    <row r="956" ht="12.75" customHeight="1" s="117">
      <c r="A956" s="91" t="n"/>
      <c r="B956" s="91" t="n"/>
      <c r="C956" s="91" t="n"/>
      <c r="D956" s="91" t="n"/>
      <c r="E956" s="91" t="n"/>
      <c r="F956" s="91" t="n"/>
      <c r="G956" s="91" t="n"/>
      <c r="H956" s="91" t="n"/>
      <c r="I956" s="91" t="n"/>
      <c r="J956" s="91" t="n"/>
      <c r="K956" s="91" t="n"/>
      <c r="L956" s="91" t="n"/>
      <c r="M956" s="91" t="n"/>
      <c r="N956" s="91" t="n"/>
      <c r="O956" s="91" t="n"/>
      <c r="P956" s="91" t="n"/>
      <c r="Q956" s="91" t="n"/>
      <c r="R956" s="91" t="n"/>
      <c r="S956" s="91" t="n"/>
      <c r="T956" s="91" t="n"/>
      <c r="U956" s="91" t="n"/>
      <c r="V956" s="91" t="n"/>
      <c r="W956" s="91" t="n"/>
      <c r="X956" s="91" t="n"/>
      <c r="Y956" s="91" t="n"/>
      <c r="Z956" s="91" t="n"/>
      <c r="AA956" s="91" t="n"/>
      <c r="AB956" s="91" t="n"/>
      <c r="AC956" s="91" t="n"/>
      <c r="AD956" s="91" t="n"/>
      <c r="AE956" s="91" t="n"/>
      <c r="AF956" s="91" t="n"/>
      <c r="AG956" s="91" t="n"/>
    </row>
    <row r="957" ht="12.75" customHeight="1" s="117">
      <c r="A957" s="91" t="n"/>
      <c r="B957" s="91" t="n"/>
      <c r="C957" s="91" t="n"/>
      <c r="D957" s="91" t="n"/>
      <c r="E957" s="91" t="n"/>
      <c r="F957" s="91" t="n"/>
      <c r="G957" s="91" t="n"/>
      <c r="H957" s="91" t="n"/>
      <c r="I957" s="91" t="n"/>
      <c r="J957" s="91" t="n"/>
      <c r="K957" s="91" t="n"/>
      <c r="L957" s="91" t="n"/>
      <c r="M957" s="91" t="n"/>
      <c r="N957" s="91" t="n"/>
      <c r="O957" s="91" t="n"/>
      <c r="P957" s="91" t="n"/>
      <c r="Q957" s="91" t="n"/>
      <c r="R957" s="91" t="n"/>
      <c r="S957" s="91" t="n"/>
      <c r="T957" s="91" t="n"/>
      <c r="U957" s="91" t="n"/>
      <c r="V957" s="91" t="n"/>
      <c r="W957" s="91" t="n"/>
      <c r="X957" s="91" t="n"/>
      <c r="Y957" s="91" t="n"/>
      <c r="Z957" s="91" t="n"/>
      <c r="AA957" s="91" t="n"/>
      <c r="AB957" s="91" t="n"/>
      <c r="AC957" s="91" t="n"/>
      <c r="AD957" s="91" t="n"/>
      <c r="AE957" s="91" t="n"/>
      <c r="AF957" s="91" t="n"/>
      <c r="AG957" s="91" t="n"/>
    </row>
    <row r="958" ht="12.75" customHeight="1" s="117">
      <c r="A958" s="91" t="n"/>
      <c r="B958" s="91" t="n"/>
      <c r="C958" s="91" t="n"/>
      <c r="D958" s="91" t="n"/>
      <c r="E958" s="91" t="n"/>
      <c r="F958" s="91" t="n"/>
      <c r="G958" s="91" t="n"/>
      <c r="H958" s="91" t="n"/>
      <c r="I958" s="91" t="n"/>
      <c r="J958" s="91" t="n"/>
      <c r="K958" s="91" t="n"/>
      <c r="L958" s="91" t="n"/>
      <c r="M958" s="91" t="n"/>
      <c r="N958" s="91" t="n"/>
      <c r="O958" s="91" t="n"/>
      <c r="P958" s="91" t="n"/>
      <c r="Q958" s="91" t="n"/>
      <c r="R958" s="91" t="n"/>
      <c r="S958" s="91" t="n"/>
      <c r="T958" s="91" t="n"/>
      <c r="U958" s="91" t="n"/>
      <c r="V958" s="91" t="n"/>
      <c r="W958" s="91" t="n"/>
      <c r="X958" s="91" t="n"/>
      <c r="Y958" s="91" t="n"/>
      <c r="Z958" s="91" t="n"/>
      <c r="AA958" s="91" t="n"/>
      <c r="AB958" s="91" t="n"/>
      <c r="AC958" s="91" t="n"/>
      <c r="AD958" s="91" t="n"/>
      <c r="AE958" s="91" t="n"/>
      <c r="AF958" s="91" t="n"/>
      <c r="AG958" s="91" t="n"/>
    </row>
    <row r="959" ht="12.75" customHeight="1" s="117">
      <c r="A959" s="91" t="n"/>
      <c r="B959" s="91" t="n"/>
      <c r="C959" s="91" t="n"/>
      <c r="D959" s="91" t="n"/>
      <c r="E959" s="91" t="n"/>
      <c r="F959" s="91" t="n"/>
      <c r="G959" s="91" t="n"/>
      <c r="H959" s="91" t="n"/>
      <c r="I959" s="91" t="n"/>
      <c r="J959" s="91" t="n"/>
      <c r="K959" s="91" t="n"/>
      <c r="L959" s="91" t="n"/>
      <c r="M959" s="91" t="n"/>
      <c r="N959" s="91" t="n"/>
      <c r="O959" s="91" t="n"/>
      <c r="P959" s="91" t="n"/>
      <c r="Q959" s="91" t="n"/>
      <c r="R959" s="91" t="n"/>
      <c r="S959" s="91" t="n"/>
      <c r="T959" s="91" t="n"/>
      <c r="U959" s="91" t="n"/>
      <c r="V959" s="91" t="n"/>
      <c r="W959" s="91" t="n"/>
      <c r="X959" s="91" t="n"/>
      <c r="Y959" s="91" t="n"/>
      <c r="Z959" s="91" t="n"/>
      <c r="AA959" s="91" t="n"/>
      <c r="AB959" s="91" t="n"/>
      <c r="AC959" s="91" t="n"/>
      <c r="AD959" s="91" t="n"/>
      <c r="AE959" s="91" t="n"/>
      <c r="AF959" s="91" t="n"/>
      <c r="AG959" s="91" t="n"/>
    </row>
    <row r="960" ht="12.75" customHeight="1" s="117">
      <c r="A960" s="91" t="n"/>
      <c r="B960" s="91" t="n"/>
      <c r="C960" s="91" t="n"/>
      <c r="D960" s="91" t="n"/>
      <c r="E960" s="91" t="n"/>
      <c r="F960" s="91" t="n"/>
      <c r="G960" s="91" t="n"/>
      <c r="H960" s="91" t="n"/>
      <c r="I960" s="91" t="n"/>
      <c r="J960" s="91" t="n"/>
      <c r="K960" s="91" t="n"/>
      <c r="L960" s="91" t="n"/>
      <c r="M960" s="91" t="n"/>
      <c r="N960" s="91" t="n"/>
      <c r="O960" s="91" t="n"/>
      <c r="P960" s="91" t="n"/>
      <c r="Q960" s="91" t="n"/>
      <c r="R960" s="91" t="n"/>
      <c r="S960" s="91" t="n"/>
      <c r="T960" s="91" t="n"/>
      <c r="U960" s="91" t="n"/>
      <c r="V960" s="91" t="n"/>
      <c r="W960" s="91" t="n"/>
      <c r="X960" s="91" t="n"/>
      <c r="Y960" s="91" t="n"/>
      <c r="Z960" s="91" t="n"/>
      <c r="AA960" s="91" t="n"/>
      <c r="AB960" s="91" t="n"/>
      <c r="AC960" s="91" t="n"/>
      <c r="AD960" s="91" t="n"/>
      <c r="AE960" s="91" t="n"/>
      <c r="AF960" s="91" t="n"/>
      <c r="AG960" s="91" t="n"/>
    </row>
    <row r="961" ht="12.75" customHeight="1" s="117">
      <c r="A961" s="91" t="n"/>
      <c r="B961" s="91" t="n"/>
      <c r="C961" s="91" t="n"/>
      <c r="D961" s="91" t="n"/>
      <c r="E961" s="91" t="n"/>
      <c r="F961" s="91" t="n"/>
      <c r="G961" s="91" t="n"/>
      <c r="H961" s="91" t="n"/>
      <c r="I961" s="91" t="n"/>
      <c r="J961" s="91" t="n"/>
      <c r="K961" s="91" t="n"/>
      <c r="L961" s="91" t="n"/>
      <c r="M961" s="91" t="n"/>
      <c r="N961" s="91" t="n"/>
      <c r="O961" s="91" t="n"/>
      <c r="P961" s="91" t="n"/>
      <c r="Q961" s="91" t="n"/>
      <c r="R961" s="91" t="n"/>
      <c r="S961" s="91" t="n"/>
      <c r="T961" s="91" t="n"/>
      <c r="U961" s="91" t="n"/>
      <c r="V961" s="91" t="n"/>
      <c r="W961" s="91" t="n"/>
      <c r="X961" s="91" t="n"/>
      <c r="Y961" s="91" t="n"/>
      <c r="Z961" s="91" t="n"/>
      <c r="AA961" s="91" t="n"/>
      <c r="AB961" s="91" t="n"/>
      <c r="AC961" s="91" t="n"/>
      <c r="AD961" s="91" t="n"/>
      <c r="AE961" s="91" t="n"/>
      <c r="AF961" s="91" t="n"/>
      <c r="AG961" s="91" t="n"/>
    </row>
    <row r="962" ht="12.75" customHeight="1" s="117">
      <c r="A962" s="91" t="n"/>
      <c r="B962" s="91" t="n"/>
      <c r="C962" s="91" t="n"/>
      <c r="D962" s="91" t="n"/>
      <c r="E962" s="91" t="n"/>
      <c r="F962" s="91" t="n"/>
      <c r="G962" s="91" t="n"/>
      <c r="H962" s="91" t="n"/>
      <c r="I962" s="91" t="n"/>
      <c r="J962" s="91" t="n"/>
      <c r="K962" s="91" t="n"/>
      <c r="L962" s="91" t="n"/>
      <c r="M962" s="91" t="n"/>
      <c r="N962" s="91" t="n"/>
      <c r="O962" s="91" t="n"/>
      <c r="P962" s="91" t="n"/>
      <c r="Q962" s="91" t="n"/>
      <c r="R962" s="91" t="n"/>
      <c r="S962" s="91" t="n"/>
      <c r="T962" s="91" t="n"/>
      <c r="U962" s="91" t="n"/>
      <c r="V962" s="91" t="n"/>
      <c r="W962" s="91" t="n"/>
      <c r="X962" s="91" t="n"/>
      <c r="Y962" s="91" t="n"/>
      <c r="Z962" s="91" t="n"/>
      <c r="AA962" s="91" t="n"/>
      <c r="AB962" s="91" t="n"/>
      <c r="AC962" s="91" t="n"/>
      <c r="AD962" s="91" t="n"/>
      <c r="AE962" s="91" t="n"/>
      <c r="AF962" s="91" t="n"/>
      <c r="AG962" s="91" t="n"/>
    </row>
    <row r="963" ht="12.75" customHeight="1" s="117">
      <c r="A963" s="91" t="n"/>
      <c r="B963" s="91" t="n"/>
      <c r="C963" s="91" t="n"/>
      <c r="D963" s="91" t="n"/>
      <c r="E963" s="91" t="n"/>
      <c r="F963" s="91" t="n"/>
      <c r="G963" s="91" t="n"/>
      <c r="H963" s="91" t="n"/>
      <c r="I963" s="91" t="n"/>
      <c r="J963" s="91" t="n"/>
      <c r="K963" s="91" t="n"/>
      <c r="L963" s="91" t="n"/>
      <c r="M963" s="91" t="n"/>
      <c r="N963" s="91" t="n"/>
      <c r="O963" s="91" t="n"/>
      <c r="P963" s="91" t="n"/>
      <c r="Q963" s="91" t="n"/>
      <c r="R963" s="91" t="n"/>
      <c r="S963" s="91" t="n"/>
      <c r="T963" s="91" t="n"/>
      <c r="U963" s="91" t="n"/>
      <c r="V963" s="91" t="n"/>
      <c r="W963" s="91" t="n"/>
      <c r="X963" s="91" t="n"/>
      <c r="Y963" s="91" t="n"/>
      <c r="Z963" s="91" t="n"/>
      <c r="AA963" s="91" t="n"/>
      <c r="AB963" s="91" t="n"/>
      <c r="AC963" s="91" t="n"/>
      <c r="AD963" s="91" t="n"/>
      <c r="AE963" s="91" t="n"/>
      <c r="AF963" s="91" t="n"/>
      <c r="AG963" s="91" t="n"/>
    </row>
    <row r="964" ht="12.75" customHeight="1" s="117">
      <c r="A964" s="91" t="n"/>
      <c r="B964" s="91" t="n"/>
      <c r="C964" s="91" t="n"/>
      <c r="D964" s="91" t="n"/>
      <c r="E964" s="91" t="n"/>
      <c r="F964" s="91" t="n"/>
      <c r="G964" s="91" t="n"/>
      <c r="H964" s="91" t="n"/>
      <c r="I964" s="91" t="n"/>
      <c r="J964" s="91" t="n"/>
      <c r="K964" s="91" t="n"/>
      <c r="L964" s="91" t="n"/>
      <c r="M964" s="91" t="n"/>
      <c r="N964" s="91" t="n"/>
      <c r="O964" s="91" t="n"/>
      <c r="P964" s="91" t="n"/>
      <c r="Q964" s="91" t="n"/>
      <c r="R964" s="91" t="n"/>
      <c r="S964" s="91" t="n"/>
      <c r="T964" s="91" t="n"/>
      <c r="U964" s="91" t="n"/>
      <c r="V964" s="91" t="n"/>
      <c r="W964" s="91" t="n"/>
      <c r="X964" s="91" t="n"/>
      <c r="Y964" s="91" t="n"/>
      <c r="Z964" s="91" t="n"/>
      <c r="AA964" s="91" t="n"/>
      <c r="AB964" s="91" t="n"/>
      <c r="AC964" s="91" t="n"/>
      <c r="AD964" s="91" t="n"/>
      <c r="AE964" s="91" t="n"/>
      <c r="AF964" s="91" t="n"/>
      <c r="AG964" s="91" t="n"/>
    </row>
    <row r="965" ht="12.75" customHeight="1" s="117">
      <c r="A965" s="91" t="n"/>
      <c r="B965" s="91" t="n"/>
      <c r="C965" s="91" t="n"/>
      <c r="D965" s="91" t="n"/>
      <c r="E965" s="91" t="n"/>
      <c r="F965" s="91" t="n"/>
      <c r="G965" s="91" t="n"/>
      <c r="H965" s="91" t="n"/>
      <c r="I965" s="91" t="n"/>
      <c r="J965" s="91" t="n"/>
      <c r="K965" s="91" t="n"/>
      <c r="L965" s="91" t="n"/>
      <c r="M965" s="91" t="n"/>
      <c r="N965" s="91" t="n"/>
      <c r="O965" s="91" t="n"/>
      <c r="P965" s="91" t="n"/>
      <c r="Q965" s="91" t="n"/>
      <c r="R965" s="91" t="n"/>
      <c r="S965" s="91" t="n"/>
      <c r="T965" s="91" t="n"/>
      <c r="U965" s="91" t="n"/>
      <c r="V965" s="91" t="n"/>
      <c r="W965" s="91" t="n"/>
      <c r="X965" s="91" t="n"/>
      <c r="Y965" s="91" t="n"/>
      <c r="Z965" s="91" t="n"/>
      <c r="AA965" s="91" t="n"/>
      <c r="AB965" s="91" t="n"/>
      <c r="AC965" s="91" t="n"/>
      <c r="AD965" s="91" t="n"/>
      <c r="AE965" s="91" t="n"/>
      <c r="AF965" s="91" t="n"/>
      <c r="AG965" s="91" t="n"/>
    </row>
    <row r="966" ht="12.75" customHeight="1" s="117">
      <c r="A966" s="91" t="n"/>
      <c r="B966" s="91" t="n"/>
      <c r="C966" s="91" t="n"/>
      <c r="D966" s="91" t="n"/>
      <c r="E966" s="91" t="n"/>
      <c r="F966" s="91" t="n"/>
      <c r="G966" s="91" t="n"/>
      <c r="H966" s="91" t="n"/>
      <c r="I966" s="91" t="n"/>
      <c r="J966" s="91" t="n"/>
      <c r="K966" s="91" t="n"/>
      <c r="L966" s="91" t="n"/>
      <c r="M966" s="91" t="n"/>
      <c r="N966" s="91" t="n"/>
      <c r="O966" s="91" t="n"/>
      <c r="P966" s="91" t="n"/>
      <c r="Q966" s="91" t="n"/>
      <c r="R966" s="91" t="n"/>
      <c r="S966" s="91" t="n"/>
      <c r="T966" s="91" t="n"/>
      <c r="U966" s="91" t="n"/>
      <c r="V966" s="91" t="n"/>
      <c r="W966" s="91" t="n"/>
      <c r="X966" s="91" t="n"/>
      <c r="Y966" s="91" t="n"/>
      <c r="Z966" s="91" t="n"/>
      <c r="AA966" s="91" t="n"/>
      <c r="AB966" s="91" t="n"/>
      <c r="AC966" s="91" t="n"/>
      <c r="AD966" s="91" t="n"/>
      <c r="AE966" s="91" t="n"/>
      <c r="AF966" s="91" t="n"/>
      <c r="AG966" s="91" t="n"/>
    </row>
    <row r="967" ht="12.75" customHeight="1" s="117">
      <c r="A967" s="91" t="n"/>
      <c r="B967" s="91" t="n"/>
      <c r="C967" s="91" t="n"/>
      <c r="D967" s="91" t="n"/>
      <c r="E967" s="91" t="n"/>
      <c r="F967" s="91" t="n"/>
      <c r="G967" s="91" t="n"/>
      <c r="H967" s="91" t="n"/>
      <c r="I967" s="91" t="n"/>
      <c r="J967" s="91" t="n"/>
      <c r="K967" s="91" t="n"/>
      <c r="L967" s="91" t="n"/>
      <c r="M967" s="91" t="n"/>
      <c r="N967" s="91" t="n"/>
      <c r="O967" s="91" t="n"/>
      <c r="P967" s="91" t="n"/>
      <c r="Q967" s="91" t="n"/>
      <c r="R967" s="91" t="n"/>
      <c r="S967" s="91" t="n"/>
      <c r="T967" s="91" t="n"/>
      <c r="U967" s="91" t="n"/>
      <c r="V967" s="91" t="n"/>
      <c r="W967" s="91" t="n"/>
      <c r="X967" s="91" t="n"/>
      <c r="Y967" s="91" t="n"/>
      <c r="Z967" s="91" t="n"/>
      <c r="AA967" s="91" t="n"/>
      <c r="AB967" s="91" t="n"/>
      <c r="AC967" s="91" t="n"/>
      <c r="AD967" s="91" t="n"/>
      <c r="AE967" s="91" t="n"/>
      <c r="AF967" s="91" t="n"/>
      <c r="AG967" s="91" t="n"/>
    </row>
    <row r="968" ht="12.75" customHeight="1" s="117">
      <c r="A968" s="91" t="n"/>
      <c r="B968" s="91" t="n"/>
      <c r="C968" s="91" t="n"/>
      <c r="D968" s="91" t="n"/>
      <c r="E968" s="91" t="n"/>
      <c r="F968" s="91" t="n"/>
      <c r="G968" s="91" t="n"/>
      <c r="H968" s="91" t="n"/>
      <c r="I968" s="91" t="n"/>
      <c r="J968" s="91" t="n"/>
      <c r="K968" s="91" t="n"/>
      <c r="L968" s="91" t="n"/>
      <c r="M968" s="91" t="n"/>
      <c r="N968" s="91" t="n"/>
      <c r="O968" s="91" t="n"/>
      <c r="P968" s="91" t="n"/>
      <c r="Q968" s="91" t="n"/>
      <c r="R968" s="91" t="n"/>
      <c r="S968" s="91" t="n"/>
      <c r="T968" s="91" t="n"/>
      <c r="U968" s="91" t="n"/>
      <c r="V968" s="91" t="n"/>
      <c r="W968" s="91" t="n"/>
      <c r="X968" s="91" t="n"/>
      <c r="Y968" s="91" t="n"/>
      <c r="Z968" s="91" t="n"/>
      <c r="AA968" s="91" t="n"/>
      <c r="AB968" s="91" t="n"/>
      <c r="AC968" s="91" t="n"/>
      <c r="AD968" s="91" t="n"/>
      <c r="AE968" s="91" t="n"/>
      <c r="AF968" s="91" t="n"/>
      <c r="AG968" s="91" t="n"/>
    </row>
    <row r="969" ht="12.75" customHeight="1" s="117">
      <c r="A969" s="91" t="n"/>
      <c r="B969" s="91" t="n"/>
      <c r="C969" s="91" t="n"/>
      <c r="D969" s="91" t="n"/>
      <c r="E969" s="91" t="n"/>
      <c r="F969" s="91" t="n"/>
      <c r="G969" s="91" t="n"/>
      <c r="H969" s="91" t="n"/>
      <c r="I969" s="91" t="n"/>
      <c r="J969" s="91" t="n"/>
      <c r="K969" s="91" t="n"/>
      <c r="L969" s="91" t="n"/>
      <c r="M969" s="91" t="n"/>
      <c r="N969" s="91" t="n"/>
      <c r="O969" s="91" t="n"/>
      <c r="P969" s="91" t="n"/>
      <c r="Q969" s="91" t="n"/>
      <c r="R969" s="91" t="n"/>
      <c r="S969" s="91" t="n"/>
      <c r="T969" s="91" t="n"/>
      <c r="U969" s="91" t="n"/>
      <c r="V969" s="91" t="n"/>
      <c r="W969" s="91" t="n"/>
      <c r="X969" s="91" t="n"/>
      <c r="Y969" s="91" t="n"/>
      <c r="Z969" s="91" t="n"/>
      <c r="AA969" s="91" t="n"/>
      <c r="AB969" s="91" t="n"/>
      <c r="AC969" s="91" t="n"/>
      <c r="AD969" s="91" t="n"/>
      <c r="AE969" s="91" t="n"/>
      <c r="AF969" s="91" t="n"/>
      <c r="AG969" s="91" t="n"/>
    </row>
    <row r="970" ht="12.75" customHeight="1" s="117">
      <c r="A970" s="91" t="n"/>
      <c r="B970" s="91" t="n"/>
      <c r="C970" s="91" t="n"/>
      <c r="D970" s="91" t="n"/>
      <c r="E970" s="91" t="n"/>
      <c r="F970" s="91" t="n"/>
      <c r="G970" s="91" t="n"/>
      <c r="H970" s="91" t="n"/>
      <c r="I970" s="91" t="n"/>
      <c r="J970" s="91" t="n"/>
      <c r="K970" s="91" t="n"/>
      <c r="L970" s="91" t="n"/>
      <c r="M970" s="91" t="n"/>
      <c r="N970" s="91" t="n"/>
      <c r="O970" s="91" t="n"/>
      <c r="P970" s="91" t="n"/>
      <c r="Q970" s="91" t="n"/>
      <c r="R970" s="91" t="n"/>
      <c r="S970" s="91" t="n"/>
      <c r="T970" s="91" t="n"/>
      <c r="U970" s="91" t="n"/>
      <c r="V970" s="91" t="n"/>
      <c r="W970" s="91" t="n"/>
      <c r="X970" s="91" t="n"/>
      <c r="Y970" s="91" t="n"/>
      <c r="Z970" s="91" t="n"/>
      <c r="AA970" s="91" t="n"/>
      <c r="AB970" s="91" t="n"/>
      <c r="AC970" s="91" t="n"/>
      <c r="AD970" s="91" t="n"/>
      <c r="AE970" s="91" t="n"/>
      <c r="AF970" s="91" t="n"/>
      <c r="AG970" s="91" t="n"/>
    </row>
    <row r="971" ht="12.75" customHeight="1" s="117">
      <c r="A971" s="91" t="n"/>
      <c r="B971" s="91" t="n"/>
      <c r="C971" s="91" t="n"/>
      <c r="D971" s="91" t="n"/>
      <c r="E971" s="91" t="n"/>
      <c r="F971" s="91" t="n"/>
      <c r="G971" s="91" t="n"/>
      <c r="H971" s="91" t="n"/>
      <c r="I971" s="91" t="n"/>
      <c r="J971" s="91" t="n"/>
      <c r="K971" s="91" t="n"/>
      <c r="L971" s="91" t="n"/>
      <c r="M971" s="91" t="n"/>
      <c r="N971" s="91" t="n"/>
      <c r="O971" s="91" t="n"/>
      <c r="P971" s="91" t="n"/>
      <c r="Q971" s="91" t="n"/>
      <c r="R971" s="91" t="n"/>
      <c r="S971" s="91" t="n"/>
      <c r="T971" s="91" t="n"/>
      <c r="U971" s="91" t="n"/>
      <c r="V971" s="91" t="n"/>
      <c r="W971" s="91" t="n"/>
      <c r="X971" s="91" t="n"/>
      <c r="Y971" s="91" t="n"/>
      <c r="Z971" s="91" t="n"/>
      <c r="AA971" s="91" t="n"/>
      <c r="AB971" s="91" t="n"/>
      <c r="AC971" s="91" t="n"/>
      <c r="AD971" s="91" t="n"/>
      <c r="AE971" s="91" t="n"/>
      <c r="AF971" s="91" t="n"/>
      <c r="AG971" s="91" t="n"/>
    </row>
    <row r="972" ht="12.75" customHeight="1" s="117">
      <c r="A972" s="91" t="n"/>
      <c r="B972" s="91" t="n"/>
      <c r="C972" s="91" t="n"/>
      <c r="D972" s="91" t="n"/>
      <c r="E972" s="91" t="n"/>
      <c r="F972" s="91" t="n"/>
      <c r="G972" s="91" t="n"/>
      <c r="H972" s="91" t="n"/>
      <c r="I972" s="91" t="n"/>
      <c r="J972" s="91" t="n"/>
      <c r="K972" s="91" t="n"/>
      <c r="L972" s="91" t="n"/>
      <c r="M972" s="91" t="n"/>
      <c r="N972" s="91" t="n"/>
      <c r="O972" s="91" t="n"/>
      <c r="P972" s="91" t="n"/>
      <c r="Q972" s="91" t="n"/>
      <c r="R972" s="91" t="n"/>
      <c r="S972" s="91" t="n"/>
      <c r="T972" s="91" t="n"/>
      <c r="U972" s="91" t="n"/>
      <c r="V972" s="91" t="n"/>
      <c r="W972" s="91" t="n"/>
      <c r="X972" s="91" t="n"/>
      <c r="Y972" s="91" t="n"/>
      <c r="Z972" s="91" t="n"/>
      <c r="AA972" s="91" t="n"/>
      <c r="AB972" s="91" t="n"/>
      <c r="AC972" s="91" t="n"/>
      <c r="AD972" s="91" t="n"/>
      <c r="AE972" s="91" t="n"/>
      <c r="AF972" s="91" t="n"/>
      <c r="AG972" s="91" t="n"/>
    </row>
    <row r="973" ht="12.75" customHeight="1" s="117">
      <c r="A973" s="91" t="n"/>
      <c r="B973" s="91" t="n"/>
      <c r="C973" s="91" t="n"/>
      <c r="D973" s="91" t="n"/>
      <c r="E973" s="91" t="n"/>
      <c r="F973" s="91" t="n"/>
      <c r="G973" s="91" t="n"/>
      <c r="H973" s="91" t="n"/>
      <c r="I973" s="91" t="n"/>
      <c r="J973" s="91" t="n"/>
      <c r="K973" s="91" t="n"/>
      <c r="L973" s="91" t="n"/>
      <c r="M973" s="91" t="n"/>
      <c r="N973" s="91" t="n"/>
      <c r="O973" s="91" t="n"/>
      <c r="P973" s="91" t="n"/>
      <c r="Q973" s="91" t="n"/>
      <c r="R973" s="91" t="n"/>
      <c r="S973" s="91" t="n"/>
      <c r="T973" s="91" t="n"/>
      <c r="U973" s="91" t="n"/>
      <c r="V973" s="91" t="n"/>
      <c r="W973" s="91" t="n"/>
      <c r="X973" s="91" t="n"/>
      <c r="Y973" s="91" t="n"/>
      <c r="Z973" s="91" t="n"/>
      <c r="AA973" s="91" t="n"/>
      <c r="AB973" s="91" t="n"/>
      <c r="AC973" s="91" t="n"/>
      <c r="AD973" s="91" t="n"/>
      <c r="AE973" s="91" t="n"/>
      <c r="AF973" s="91" t="n"/>
      <c r="AG973" s="91" t="n"/>
    </row>
    <row r="974" ht="12.75" customHeight="1" s="117">
      <c r="A974" s="91" t="n"/>
      <c r="B974" s="91" t="n"/>
      <c r="C974" s="91" t="n"/>
      <c r="D974" s="91" t="n"/>
      <c r="E974" s="91" t="n"/>
      <c r="F974" s="91" t="n"/>
      <c r="G974" s="91" t="n"/>
      <c r="H974" s="91" t="n"/>
      <c r="I974" s="91" t="n"/>
      <c r="J974" s="91" t="n"/>
      <c r="K974" s="91" t="n"/>
      <c r="L974" s="91" t="n"/>
      <c r="M974" s="91" t="n"/>
      <c r="N974" s="91" t="n"/>
      <c r="O974" s="91" t="n"/>
      <c r="P974" s="91" t="n"/>
      <c r="Q974" s="91" t="n"/>
      <c r="R974" s="91" t="n"/>
      <c r="S974" s="91" t="n"/>
      <c r="T974" s="91" t="n"/>
      <c r="U974" s="91" t="n"/>
      <c r="V974" s="91" t="n"/>
      <c r="W974" s="91" t="n"/>
      <c r="X974" s="91" t="n"/>
      <c r="Y974" s="91" t="n"/>
      <c r="Z974" s="91" t="n"/>
      <c r="AA974" s="91" t="n"/>
      <c r="AB974" s="91" t="n"/>
      <c r="AC974" s="91" t="n"/>
      <c r="AD974" s="91" t="n"/>
      <c r="AE974" s="91" t="n"/>
      <c r="AF974" s="91" t="n"/>
      <c r="AG974" s="91" t="n"/>
    </row>
    <row r="975" ht="12.75" customHeight="1" s="117">
      <c r="A975" s="91" t="n"/>
      <c r="B975" s="91" t="n"/>
      <c r="C975" s="91" t="n"/>
      <c r="D975" s="91" t="n"/>
      <c r="E975" s="91" t="n"/>
      <c r="F975" s="91" t="n"/>
      <c r="G975" s="91" t="n"/>
      <c r="H975" s="91" t="n"/>
      <c r="I975" s="91" t="n"/>
      <c r="J975" s="91" t="n"/>
      <c r="K975" s="91" t="n"/>
      <c r="L975" s="91" t="n"/>
      <c r="M975" s="91" t="n"/>
      <c r="N975" s="91" t="n"/>
      <c r="O975" s="91" t="n"/>
      <c r="P975" s="91" t="n"/>
      <c r="Q975" s="91" t="n"/>
      <c r="R975" s="91" t="n"/>
      <c r="S975" s="91" t="n"/>
      <c r="T975" s="91" t="n"/>
      <c r="U975" s="91" t="n"/>
      <c r="V975" s="91" t="n"/>
      <c r="W975" s="91" t="n"/>
      <c r="X975" s="91" t="n"/>
      <c r="Y975" s="91" t="n"/>
      <c r="Z975" s="91" t="n"/>
      <c r="AA975" s="91" t="n"/>
      <c r="AB975" s="91" t="n"/>
      <c r="AC975" s="91" t="n"/>
      <c r="AD975" s="91" t="n"/>
      <c r="AE975" s="91" t="n"/>
      <c r="AF975" s="91" t="n"/>
      <c r="AG975" s="91" t="n"/>
    </row>
    <row r="976" ht="12.75" customHeight="1" s="117">
      <c r="A976" s="91" t="n"/>
      <c r="B976" s="91" t="n"/>
      <c r="C976" s="91" t="n"/>
      <c r="D976" s="91" t="n"/>
      <c r="E976" s="91" t="n"/>
      <c r="F976" s="91" t="n"/>
      <c r="G976" s="91" t="n"/>
      <c r="H976" s="91" t="n"/>
      <c r="I976" s="91" t="n"/>
      <c r="J976" s="91" t="n"/>
      <c r="K976" s="91" t="n"/>
      <c r="L976" s="91" t="n"/>
      <c r="M976" s="91" t="n"/>
      <c r="N976" s="91" t="n"/>
      <c r="O976" s="91" t="n"/>
      <c r="P976" s="91" t="n"/>
      <c r="Q976" s="91" t="n"/>
      <c r="R976" s="91" t="n"/>
      <c r="S976" s="91" t="n"/>
      <c r="T976" s="91" t="n"/>
      <c r="U976" s="91" t="n"/>
      <c r="V976" s="91" t="n"/>
      <c r="W976" s="91" t="n"/>
      <c r="X976" s="91" t="n"/>
      <c r="Y976" s="91" t="n"/>
      <c r="Z976" s="91" t="n"/>
      <c r="AA976" s="91" t="n"/>
      <c r="AB976" s="91" t="n"/>
      <c r="AC976" s="91" t="n"/>
      <c r="AD976" s="91" t="n"/>
      <c r="AE976" s="91" t="n"/>
      <c r="AF976" s="91" t="n"/>
      <c r="AG976" s="91" t="n"/>
    </row>
    <row r="977" ht="12.75" customHeight="1" s="117">
      <c r="A977" s="91" t="n"/>
      <c r="B977" s="91" t="n"/>
      <c r="C977" s="91" t="n"/>
      <c r="D977" s="91" t="n"/>
      <c r="E977" s="91" t="n"/>
      <c r="F977" s="91" t="n"/>
      <c r="G977" s="91" t="n"/>
      <c r="H977" s="91" t="n"/>
      <c r="I977" s="91" t="n"/>
      <c r="J977" s="91" t="n"/>
      <c r="K977" s="91" t="n"/>
      <c r="L977" s="91" t="n"/>
      <c r="M977" s="91" t="n"/>
      <c r="N977" s="91" t="n"/>
      <c r="O977" s="91" t="n"/>
      <c r="P977" s="91" t="n"/>
      <c r="Q977" s="91" t="n"/>
      <c r="R977" s="91" t="n"/>
      <c r="S977" s="91" t="n"/>
      <c r="T977" s="91" t="n"/>
      <c r="U977" s="91" t="n"/>
      <c r="V977" s="91" t="n"/>
      <c r="W977" s="91" t="n"/>
      <c r="X977" s="91" t="n"/>
      <c r="Y977" s="91" t="n"/>
      <c r="Z977" s="91" t="n"/>
      <c r="AA977" s="91" t="n"/>
      <c r="AB977" s="91" t="n"/>
      <c r="AC977" s="91" t="n"/>
      <c r="AD977" s="91" t="n"/>
      <c r="AE977" s="91" t="n"/>
      <c r="AF977" s="91" t="n"/>
      <c r="AG977" s="91" t="n"/>
    </row>
    <row r="978" ht="12.75" customHeight="1" s="117">
      <c r="A978" s="91" t="n"/>
      <c r="B978" s="91" t="n"/>
      <c r="C978" s="91" t="n"/>
      <c r="D978" s="91" t="n"/>
      <c r="E978" s="91" t="n"/>
      <c r="F978" s="91" t="n"/>
      <c r="G978" s="91" t="n"/>
      <c r="H978" s="91" t="n"/>
      <c r="I978" s="91" t="n"/>
      <c r="J978" s="91" t="n"/>
      <c r="K978" s="91" t="n"/>
      <c r="L978" s="91" t="n"/>
      <c r="M978" s="91" t="n"/>
      <c r="N978" s="91" t="n"/>
      <c r="O978" s="91" t="n"/>
      <c r="P978" s="91" t="n"/>
      <c r="Q978" s="91" t="n"/>
      <c r="R978" s="91" t="n"/>
      <c r="S978" s="91" t="n"/>
      <c r="T978" s="91" t="n"/>
      <c r="U978" s="91" t="n"/>
      <c r="V978" s="91" t="n"/>
      <c r="W978" s="91" t="n"/>
      <c r="X978" s="91" t="n"/>
      <c r="Y978" s="91" t="n"/>
      <c r="Z978" s="91" t="n"/>
      <c r="AA978" s="91" t="n"/>
      <c r="AB978" s="91" t="n"/>
      <c r="AC978" s="91" t="n"/>
      <c r="AD978" s="91" t="n"/>
      <c r="AE978" s="91" t="n"/>
      <c r="AF978" s="91" t="n"/>
      <c r="AG978" s="91" t="n"/>
    </row>
    <row r="979" ht="12.75" customHeight="1" s="117">
      <c r="A979" s="91" t="n"/>
      <c r="B979" s="91" t="n"/>
      <c r="C979" s="91" t="n"/>
      <c r="D979" s="91" t="n"/>
      <c r="E979" s="91" t="n"/>
      <c r="F979" s="91" t="n"/>
      <c r="G979" s="91" t="n"/>
      <c r="H979" s="91" t="n"/>
      <c r="I979" s="91" t="n"/>
      <c r="J979" s="91" t="n"/>
      <c r="K979" s="91" t="n"/>
      <c r="L979" s="91" t="n"/>
      <c r="M979" s="91" t="n"/>
      <c r="N979" s="91" t="n"/>
      <c r="O979" s="91" t="n"/>
      <c r="P979" s="91" t="n"/>
      <c r="Q979" s="91" t="n"/>
      <c r="R979" s="91" t="n"/>
      <c r="S979" s="91" t="n"/>
      <c r="T979" s="91" t="n"/>
      <c r="U979" s="91" t="n"/>
      <c r="V979" s="91" t="n"/>
      <c r="W979" s="91" t="n"/>
      <c r="X979" s="91" t="n"/>
      <c r="Y979" s="91" t="n"/>
      <c r="Z979" s="91" t="n"/>
      <c r="AA979" s="91" t="n"/>
      <c r="AB979" s="91" t="n"/>
      <c r="AC979" s="91" t="n"/>
      <c r="AD979" s="91" t="n"/>
      <c r="AE979" s="91" t="n"/>
      <c r="AF979" s="91" t="n"/>
      <c r="AG979" s="91" t="n"/>
    </row>
    <row r="980" ht="12.75" customHeight="1" s="117">
      <c r="A980" s="91" t="n"/>
      <c r="B980" s="91" t="n"/>
      <c r="C980" s="91" t="n"/>
      <c r="D980" s="91" t="n"/>
      <c r="E980" s="91" t="n"/>
      <c r="F980" s="91" t="n"/>
      <c r="G980" s="91" t="n"/>
      <c r="H980" s="91" t="n"/>
      <c r="I980" s="91" t="n"/>
      <c r="J980" s="91" t="n"/>
      <c r="K980" s="91" t="n"/>
      <c r="L980" s="91" t="n"/>
      <c r="M980" s="91" t="n"/>
      <c r="N980" s="91" t="n"/>
      <c r="O980" s="91" t="n"/>
      <c r="P980" s="91" t="n"/>
      <c r="Q980" s="91" t="n"/>
      <c r="R980" s="91" t="n"/>
      <c r="S980" s="91" t="n"/>
      <c r="T980" s="91" t="n"/>
      <c r="U980" s="91" t="n"/>
      <c r="V980" s="91" t="n"/>
      <c r="W980" s="91" t="n"/>
      <c r="X980" s="91" t="n"/>
      <c r="Y980" s="91" t="n"/>
      <c r="Z980" s="91" t="n"/>
      <c r="AA980" s="91" t="n"/>
      <c r="AB980" s="91" t="n"/>
      <c r="AC980" s="91" t="n"/>
      <c r="AD980" s="91" t="n"/>
      <c r="AE980" s="91" t="n"/>
      <c r="AF980" s="91" t="n"/>
      <c r="AG980" s="91" t="n"/>
    </row>
    <row r="981" ht="12.75" customHeight="1" s="117">
      <c r="A981" s="91" t="n"/>
      <c r="B981" s="91" t="n"/>
      <c r="C981" s="91" t="n"/>
      <c r="D981" s="91" t="n"/>
      <c r="E981" s="91" t="n"/>
      <c r="F981" s="91" t="n"/>
      <c r="G981" s="91" t="n"/>
      <c r="H981" s="91" t="n"/>
      <c r="I981" s="91" t="n"/>
      <c r="J981" s="91" t="n"/>
      <c r="K981" s="91" t="n"/>
      <c r="L981" s="91" t="n"/>
      <c r="M981" s="91" t="n"/>
      <c r="N981" s="91" t="n"/>
      <c r="O981" s="91" t="n"/>
      <c r="P981" s="91" t="n"/>
      <c r="Q981" s="91" t="n"/>
      <c r="R981" s="91" t="n"/>
      <c r="S981" s="91" t="n"/>
      <c r="T981" s="91" t="n"/>
      <c r="U981" s="91" t="n"/>
      <c r="V981" s="91" t="n"/>
      <c r="W981" s="91" t="n"/>
      <c r="X981" s="91" t="n"/>
      <c r="Y981" s="91" t="n"/>
      <c r="Z981" s="91" t="n"/>
      <c r="AA981" s="91" t="n"/>
      <c r="AB981" s="91" t="n"/>
      <c r="AC981" s="91" t="n"/>
      <c r="AD981" s="91" t="n"/>
      <c r="AE981" s="91" t="n"/>
      <c r="AF981" s="91" t="n"/>
      <c r="AG981" s="91" t="n"/>
    </row>
    <row r="982" ht="12.75" customHeight="1" s="117">
      <c r="A982" s="91" t="n"/>
      <c r="B982" s="91" t="n"/>
      <c r="C982" s="91" t="n"/>
      <c r="D982" s="91" t="n"/>
      <c r="E982" s="91" t="n"/>
      <c r="F982" s="91" t="n"/>
      <c r="G982" s="91" t="n"/>
      <c r="H982" s="91" t="n"/>
      <c r="I982" s="91" t="n"/>
      <c r="J982" s="91" t="n"/>
      <c r="K982" s="91" t="n"/>
      <c r="L982" s="91" t="n"/>
      <c r="M982" s="91" t="n"/>
      <c r="N982" s="91" t="n"/>
      <c r="O982" s="91" t="n"/>
      <c r="P982" s="91" t="n"/>
      <c r="Q982" s="91" t="n"/>
      <c r="R982" s="91" t="n"/>
      <c r="S982" s="91" t="n"/>
      <c r="T982" s="91" t="n"/>
      <c r="U982" s="91" t="n"/>
      <c r="V982" s="91" t="n"/>
      <c r="W982" s="91" t="n"/>
      <c r="X982" s="91" t="n"/>
      <c r="Y982" s="91" t="n"/>
      <c r="Z982" s="91" t="n"/>
      <c r="AA982" s="91" t="n"/>
      <c r="AB982" s="91" t="n"/>
      <c r="AC982" s="91" t="n"/>
      <c r="AD982" s="91" t="n"/>
      <c r="AE982" s="91" t="n"/>
      <c r="AF982" s="91" t="n"/>
      <c r="AG982" s="91" t="n"/>
    </row>
    <row r="983" ht="12.75" customHeight="1" s="117">
      <c r="A983" s="91" t="n"/>
      <c r="B983" s="91" t="n"/>
      <c r="C983" s="91" t="n"/>
      <c r="D983" s="91" t="n"/>
      <c r="E983" s="91" t="n"/>
      <c r="F983" s="91" t="n"/>
      <c r="G983" s="91" t="n"/>
      <c r="H983" s="91" t="n"/>
      <c r="I983" s="91" t="n"/>
      <c r="J983" s="91" t="n"/>
      <c r="K983" s="91" t="n"/>
      <c r="L983" s="91" t="n"/>
      <c r="M983" s="91" t="n"/>
      <c r="N983" s="91" t="n"/>
      <c r="O983" s="91" t="n"/>
      <c r="P983" s="91" t="n"/>
      <c r="Q983" s="91" t="n"/>
      <c r="R983" s="91" t="n"/>
      <c r="S983" s="91" t="n"/>
      <c r="T983" s="91" t="n"/>
      <c r="U983" s="91" t="n"/>
      <c r="V983" s="91" t="n"/>
      <c r="W983" s="91" t="n"/>
      <c r="X983" s="91" t="n"/>
      <c r="Y983" s="91" t="n"/>
      <c r="Z983" s="91" t="n"/>
      <c r="AA983" s="91" t="n"/>
      <c r="AB983" s="91" t="n"/>
      <c r="AC983" s="91" t="n"/>
      <c r="AD983" s="91" t="n"/>
      <c r="AE983" s="91" t="n"/>
      <c r="AF983" s="91" t="n"/>
      <c r="AG983" s="91" t="n"/>
    </row>
    <row r="984" ht="12.75" customHeight="1" s="117">
      <c r="A984" s="91" t="n"/>
      <c r="B984" s="91" t="n"/>
      <c r="C984" s="91" t="n"/>
      <c r="D984" s="91" t="n"/>
      <c r="E984" s="91" t="n"/>
      <c r="F984" s="91" t="n"/>
      <c r="G984" s="91" t="n"/>
      <c r="H984" s="91" t="n"/>
      <c r="I984" s="91" t="n"/>
      <c r="J984" s="91" t="n"/>
      <c r="K984" s="91" t="n"/>
      <c r="L984" s="91" t="n"/>
      <c r="M984" s="91" t="n"/>
      <c r="N984" s="91" t="n"/>
      <c r="O984" s="91" t="n"/>
      <c r="P984" s="91" t="n"/>
      <c r="Q984" s="91" t="n"/>
      <c r="R984" s="91" t="n"/>
      <c r="S984" s="91" t="n"/>
      <c r="T984" s="91" t="n"/>
      <c r="U984" s="91" t="n"/>
      <c r="V984" s="91" t="n"/>
      <c r="W984" s="91" t="n"/>
      <c r="X984" s="91" t="n"/>
      <c r="Y984" s="91" t="n"/>
      <c r="Z984" s="91" t="n"/>
      <c r="AA984" s="91" t="n"/>
      <c r="AB984" s="91" t="n"/>
      <c r="AC984" s="91" t="n"/>
      <c r="AD984" s="91" t="n"/>
      <c r="AE984" s="91" t="n"/>
      <c r="AF984" s="91" t="n"/>
      <c r="AG984" s="91" t="n"/>
    </row>
    <row r="985" ht="12.75" customHeight="1" s="117">
      <c r="A985" s="91" t="n"/>
      <c r="B985" s="91" t="n"/>
      <c r="C985" s="91" t="n"/>
      <c r="D985" s="91" t="n"/>
      <c r="E985" s="91" t="n"/>
      <c r="F985" s="91" t="n"/>
      <c r="G985" s="91" t="n"/>
      <c r="H985" s="91" t="n"/>
      <c r="I985" s="91" t="n"/>
      <c r="J985" s="91" t="n"/>
      <c r="K985" s="91" t="n"/>
      <c r="L985" s="91" t="n"/>
      <c r="M985" s="91" t="n"/>
      <c r="N985" s="91" t="n"/>
      <c r="O985" s="91" t="n"/>
      <c r="P985" s="91" t="n"/>
      <c r="Q985" s="91" t="n"/>
      <c r="R985" s="91" t="n"/>
      <c r="S985" s="91" t="n"/>
      <c r="T985" s="91" t="n"/>
      <c r="U985" s="91" t="n"/>
      <c r="V985" s="91" t="n"/>
      <c r="W985" s="91" t="n"/>
      <c r="X985" s="91" t="n"/>
      <c r="Y985" s="91" t="n"/>
      <c r="Z985" s="91" t="n"/>
      <c r="AA985" s="91" t="n"/>
      <c r="AB985" s="91" t="n"/>
      <c r="AC985" s="91" t="n"/>
      <c r="AD985" s="91" t="n"/>
      <c r="AE985" s="91" t="n"/>
      <c r="AF985" s="91" t="n"/>
      <c r="AG985" s="91" t="n"/>
    </row>
    <row r="986" ht="12.75" customHeight="1" s="117">
      <c r="A986" s="91" t="n"/>
      <c r="B986" s="91" t="n"/>
      <c r="C986" s="91" t="n"/>
      <c r="D986" s="91" t="n"/>
      <c r="E986" s="91" t="n"/>
      <c r="F986" s="91" t="n"/>
      <c r="G986" s="91" t="n"/>
      <c r="H986" s="91" t="n"/>
      <c r="I986" s="91" t="n"/>
      <c r="J986" s="91" t="n"/>
      <c r="K986" s="91" t="n"/>
      <c r="L986" s="91" t="n"/>
      <c r="M986" s="91" t="n"/>
      <c r="N986" s="91" t="n"/>
      <c r="O986" s="91" t="n"/>
      <c r="P986" s="91" t="n"/>
      <c r="Q986" s="91" t="n"/>
      <c r="R986" s="91" t="n"/>
      <c r="S986" s="91" t="n"/>
      <c r="T986" s="91" t="n"/>
      <c r="U986" s="91" t="n"/>
      <c r="V986" s="91" t="n"/>
      <c r="W986" s="91" t="n"/>
      <c r="X986" s="91" t="n"/>
      <c r="Y986" s="91" t="n"/>
      <c r="Z986" s="91" t="n"/>
      <c r="AA986" s="91" t="n"/>
      <c r="AB986" s="91" t="n"/>
      <c r="AC986" s="91" t="n"/>
      <c r="AD986" s="91" t="n"/>
      <c r="AE986" s="91" t="n"/>
      <c r="AF986" s="91" t="n"/>
      <c r="AG986" s="91" t="n"/>
    </row>
    <row r="987" ht="12.75" customHeight="1" s="117">
      <c r="A987" s="91" t="n"/>
      <c r="B987" s="91" t="n"/>
      <c r="C987" s="91" t="n"/>
      <c r="D987" s="91" t="n"/>
      <c r="E987" s="91" t="n"/>
      <c r="F987" s="91" t="n"/>
      <c r="G987" s="91" t="n"/>
      <c r="H987" s="91" t="n"/>
      <c r="I987" s="91" t="n"/>
      <c r="J987" s="91" t="n"/>
      <c r="K987" s="91" t="n"/>
      <c r="L987" s="91" t="n"/>
      <c r="M987" s="91" t="n"/>
      <c r="N987" s="91" t="n"/>
      <c r="O987" s="91" t="n"/>
      <c r="P987" s="91" t="n"/>
      <c r="Q987" s="91" t="n"/>
      <c r="R987" s="91" t="n"/>
      <c r="S987" s="91" t="n"/>
      <c r="T987" s="91" t="n"/>
      <c r="U987" s="91" t="n"/>
      <c r="V987" s="91" t="n"/>
      <c r="W987" s="91" t="n"/>
      <c r="X987" s="91" t="n"/>
      <c r="Y987" s="91" t="n"/>
      <c r="Z987" s="91" t="n"/>
      <c r="AA987" s="91" t="n"/>
      <c r="AB987" s="91" t="n"/>
      <c r="AC987" s="91" t="n"/>
      <c r="AD987" s="91" t="n"/>
      <c r="AE987" s="91" t="n"/>
      <c r="AF987" s="91" t="n"/>
      <c r="AG987" s="91" t="n"/>
    </row>
  </sheetData>
  <mergeCells count="1">
    <mergeCell ref="C1:A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Z59"/>
  <sheetViews>
    <sheetView workbookViewId="0">
      <selection activeCell="A1" sqref="A1"/>
    </sheetView>
  </sheetViews>
  <sheetFormatPr baseColWidth="8" defaultColWidth="12.5703125" defaultRowHeight="15.75" customHeight="1"/>
  <cols>
    <col width="21.7109375" customWidth="1" style="117" min="1" max="1"/>
    <col width="8.140625" customWidth="1" style="117" min="2" max="4"/>
    <col width="11" customWidth="1" style="117" min="5" max="5"/>
    <col width="10.42578125" customWidth="1" style="117" min="6" max="6"/>
    <col width="11.42578125" customWidth="1" style="117" min="7" max="7"/>
    <col width="12.42578125" customWidth="1" style="117" min="8" max="8"/>
    <col width="8.140625" customWidth="1" style="117" min="9" max="26"/>
  </cols>
  <sheetData>
    <row r="1">
      <c r="A1" s="127" t="inlineStr">
        <is>
          <t>NHẬP THAM SỐ ĐỂ THỐNG KẾ</t>
        </is>
      </c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</row>
    <row r="2">
      <c r="A2" s="98" t="inlineStr">
        <is>
          <t>Từ Tuần</t>
        </is>
      </c>
      <c r="B2" s="99" t="n">
        <v>1</v>
      </c>
      <c r="C2" s="100" t="inlineStr">
        <is>
          <t>Đến tuần</t>
        </is>
      </c>
      <c r="D2" s="101" t="n">
        <v>2</v>
      </c>
      <c r="E2" s="91" t="n"/>
      <c r="F2" s="91" t="n"/>
      <c r="G2" s="91" t="n"/>
      <c r="H2" s="91" t="n"/>
      <c r="I2" s="91" t="n"/>
      <c r="J2" s="91" t="n"/>
      <c r="K2" s="91" t="n"/>
      <c r="L2" s="91" t="n"/>
      <c r="M2" s="91" t="n"/>
      <c r="N2" s="91" t="n"/>
      <c r="O2" s="91" t="n"/>
      <c r="P2" s="91" t="n"/>
      <c r="Q2" s="91" t="n"/>
      <c r="R2" s="91" t="n"/>
      <c r="S2" s="91" t="n"/>
    </row>
    <row r="3">
      <c r="A3" s="102" t="inlineStr">
        <is>
          <t>Tháng</t>
        </is>
      </c>
      <c r="B3" s="103" t="n">
        <v>12</v>
      </c>
      <c r="C3" s="104" t="inlineStr">
        <is>
          <t>Năm</t>
        </is>
      </c>
      <c r="D3" s="105">
        <f>YEAR(NOW())</f>
        <v/>
      </c>
      <c r="E3" s="91" t="n"/>
      <c r="F3" s="91" t="n"/>
      <c r="G3" s="91" t="n"/>
      <c r="H3" s="91" t="n"/>
      <c r="I3" s="91" t="n"/>
      <c r="J3" s="91" t="n"/>
      <c r="K3" s="91" t="n"/>
      <c r="L3" s="91" t="n"/>
      <c r="M3" s="91" t="n"/>
      <c r="N3" s="91" t="n"/>
      <c r="O3" s="91" t="n"/>
      <c r="P3" s="91" t="n"/>
      <c r="Q3" s="91" t="n"/>
      <c r="R3" s="91" t="n"/>
      <c r="S3" s="91" t="n"/>
    </row>
    <row r="4">
      <c r="A4" s="91" t="n"/>
      <c r="B4" s="91" t="n"/>
      <c r="C4" s="91" t="n"/>
      <c r="D4" s="91" t="n"/>
      <c r="E4" s="91" t="n"/>
      <c r="F4" s="91" t="n"/>
      <c r="G4" s="91" t="n"/>
      <c r="H4" s="91" t="n"/>
      <c r="I4" s="91" t="n"/>
      <c r="J4" s="91" t="n"/>
      <c r="K4" s="91" t="n"/>
      <c r="L4" s="91" t="n"/>
      <c r="M4" s="91" t="n"/>
      <c r="N4" s="91" t="n"/>
      <c r="O4" s="91" t="n"/>
      <c r="P4" s="91" t="n"/>
      <c r="Q4" s="91" t="n"/>
      <c r="R4" s="91" t="n"/>
      <c r="S4" s="91" t="n"/>
    </row>
    <row r="5" ht="15.75" customHeight="1" s="117">
      <c r="A5" s="128" t="inlineStr">
        <is>
          <t>BÁO CÁO TỔNG HỢP CÔNG VIỆC ĐẾN NGÀY 04/12/2025</t>
        </is>
      </c>
    </row>
    <row r="7" ht="12.75" customHeight="1" s="117">
      <c r="A7" s="106">
        <f>IFERROR(__xludf.DUMMYFUNCTION("QUERY(
  {
    DuLieu!B2:B101539,
    DuLieu!D2:S101539,
    DuLieu!U2:U101539,
    DuLieu!V2:V101539,
    ARRAYFORMULA(
      IF(DuLieu!T2:T101539="""",,
        IF(DuLieu!T2:T101539&lt;=7, 1,
          IF(DuLieu!T2:T101539&lt;=14, 2,
            IF(DuLieu!T2:"&amp;"T101539&lt;=21, 3, 4)
          )
        )
      )
    )
  },
  ""select Col1,
          Col19, Col18,
          sum(Col2) , sum(Col3), sum(Col4), sum(Col5), sum(Col6), sum(Col7),
          sum(Col8), sum(Col9), sum(Col10), sum(Col11), sum(Col12), sum(Col13"&amp;"),
          sum(Col14), sum(Col15), sum(Col16), sum(Col17)
   where Col1 is not null
     and Col20 &gt;= ""&amp;B2&amp;"" and Col20&lt;=""&amp;D2&amp;"" and Col18=""&amp;B3&amp;""
   group by Col1, Col18, Col19
   order by Col18, Col19, Col1 Label  Col1 'Họ Và Tên', Col19 'Năm', Col"&amp;"18 'Tháng', sum(Col2) 'Fiber', sum(Col3) 'MyTV', sum(Col4) 'Mesh_Cam' , sum(Col5) 'Ngưng Fiber' , sum(Col6) 'Ngưng MyTV', sum(Col7) 'Chuyển ONT' ,
          sum(Col8) 'Chuyển XGSPON' , sum(Col9) 'GHTT_T' , sum(Col10) 'GHTT_T1', sum(Col11) 'Lắp Đặt/Dịch ch"&amp;"uyển', sum(Col12) 'Thu hồi ONT', sum(Col13) 'Thu hồi Mesh',
          sum(Col14) 'Xử lý Suy hao', sum(Col15) 'Sửa chữa', sum(Col16) 'B2A', sum(Col17) 'Tiền suy hao'"",
  0
)"),"Họ Và Tên")</f>
        <v/>
      </c>
      <c r="B7" s="106">
        <f>IFERROR(__xludf.DUMMYFUNCTION("""COMPUTED_VALUE"""),"Năm")</f>
        <v/>
      </c>
      <c r="C7" s="106">
        <f>IFERROR(__xludf.DUMMYFUNCTION("""COMPUTED_VALUE"""),"Tháng")</f>
        <v/>
      </c>
      <c r="D7" s="106">
        <f>IFERROR(__xludf.DUMMYFUNCTION("""COMPUTED_VALUE"""),"Fiber")</f>
        <v/>
      </c>
      <c r="E7" s="106">
        <f>IFERROR(__xludf.DUMMYFUNCTION("""COMPUTED_VALUE"""),"MyTV")</f>
        <v/>
      </c>
      <c r="F7" s="106">
        <f>IFERROR(__xludf.DUMMYFUNCTION("""COMPUTED_VALUE"""),"Mesh_Cam")</f>
        <v/>
      </c>
      <c r="G7" s="106">
        <f>IFERROR(__xludf.DUMMYFUNCTION("""COMPUTED_VALUE"""),"Ngưng Fiber")</f>
        <v/>
      </c>
      <c r="H7" s="106">
        <f>IFERROR(__xludf.DUMMYFUNCTION("""COMPUTED_VALUE"""),"Ngưng MyTV")</f>
        <v/>
      </c>
      <c r="I7" s="106">
        <f>IFERROR(__xludf.DUMMYFUNCTION("""COMPUTED_VALUE"""),"Chuyển ONT")</f>
        <v/>
      </c>
      <c r="J7" s="106">
        <f>IFERROR(__xludf.DUMMYFUNCTION("""COMPUTED_VALUE"""),"Chuyển XGSPON")</f>
        <v/>
      </c>
      <c r="K7" s="106">
        <f>IFERROR(__xludf.DUMMYFUNCTION("""COMPUTED_VALUE"""),"GHTT_T")</f>
        <v/>
      </c>
      <c r="L7" s="106">
        <f>IFERROR(__xludf.DUMMYFUNCTION("""COMPUTED_VALUE"""),"GHTT_T1")</f>
        <v/>
      </c>
      <c r="M7" s="106">
        <f>IFERROR(__xludf.DUMMYFUNCTION("""COMPUTED_VALUE"""),"Lắp Đặt/Dịch chuyển")</f>
        <v/>
      </c>
      <c r="N7" s="106">
        <f>IFERROR(__xludf.DUMMYFUNCTION("""COMPUTED_VALUE"""),"Thu hồi ONT")</f>
        <v/>
      </c>
      <c r="O7" s="106">
        <f>IFERROR(__xludf.DUMMYFUNCTION("""COMPUTED_VALUE"""),"Thu hồi Mesh")</f>
        <v/>
      </c>
      <c r="P7" s="106">
        <f>IFERROR(__xludf.DUMMYFUNCTION("""COMPUTED_VALUE"""),"Xử lý Suy hao")</f>
        <v/>
      </c>
      <c r="Q7" s="106">
        <f>IFERROR(__xludf.DUMMYFUNCTION("""COMPUTED_VALUE"""),"Sửa chữa")</f>
        <v/>
      </c>
      <c r="R7" s="106">
        <f>IFERROR(__xludf.DUMMYFUNCTION("""COMPUTED_VALUE"""),"B2A")</f>
        <v/>
      </c>
      <c r="S7" s="106">
        <f>IFERROR(__xludf.DUMMYFUNCTION("""COMPUTED_VALUE"""),"Tiền suy hao")</f>
        <v/>
      </c>
      <c r="T7" s="106" t="n"/>
      <c r="U7" s="106" t="n"/>
      <c r="V7" s="106" t="n"/>
      <c r="W7" s="106" t="n"/>
      <c r="X7" s="106" t="n"/>
      <c r="Y7" s="106" t="n"/>
      <c r="Z7" s="106" t="n"/>
    </row>
    <row r="8" ht="12.75" customHeight="1" s="117">
      <c r="A8" s="26">
        <f>IFERROR(__xludf.DUMMYFUNCTION("""COMPUTED_VALUE"""),"Bùi Duy Cường")</f>
        <v/>
      </c>
      <c r="B8" s="26" t="n"/>
      <c r="C8" s="26">
        <f>IFERROR(__xludf.DUMMYFUNCTION("""COMPUTED_VALUE"""),12)</f>
        <v/>
      </c>
      <c r="D8" s="26">
        <f>IFERROR(__xludf.DUMMYFUNCTION("""COMPUTED_VALUE"""),1)</f>
        <v/>
      </c>
      <c r="E8" s="26">
        <f>IFERROR(__xludf.DUMMYFUNCTION("""COMPUTED_VALUE"""),1)</f>
        <v/>
      </c>
      <c r="F8" s="26">
        <f>IFERROR(__xludf.DUMMYFUNCTION("""COMPUTED_VALUE"""),0)</f>
        <v/>
      </c>
      <c r="G8" s="26">
        <f>IFERROR(__xludf.DUMMYFUNCTION("""COMPUTED_VALUE"""),0)</f>
        <v/>
      </c>
      <c r="H8" s="26">
        <f>IFERROR(__xludf.DUMMYFUNCTION("""COMPUTED_VALUE"""),0)</f>
        <v/>
      </c>
      <c r="I8" s="26">
        <f>IFERROR(__xludf.DUMMYFUNCTION("""COMPUTED_VALUE"""),7)</f>
        <v/>
      </c>
      <c r="J8" s="26">
        <f>IFERROR(__xludf.DUMMYFUNCTION("""COMPUTED_VALUE"""),1)</f>
        <v/>
      </c>
      <c r="K8" s="26">
        <f>IFERROR(__xludf.DUMMYFUNCTION("""COMPUTED_VALUE"""),40)</f>
        <v/>
      </c>
      <c r="L8" s="26">
        <f>IFERROR(__xludf.DUMMYFUNCTION("""COMPUTED_VALUE"""),1)</f>
        <v/>
      </c>
      <c r="M8" s="26">
        <f>IFERROR(__xludf.DUMMYFUNCTION("""COMPUTED_VALUE"""),2)</f>
        <v/>
      </c>
      <c r="N8" s="26">
        <f>IFERROR(__xludf.DUMMYFUNCTION("""COMPUTED_VALUE"""),1)</f>
        <v/>
      </c>
      <c r="O8" s="26">
        <f>IFERROR(__xludf.DUMMYFUNCTION("""COMPUTED_VALUE"""),0)</f>
        <v/>
      </c>
      <c r="P8" s="26">
        <f>IFERROR(__xludf.DUMMYFUNCTION("""COMPUTED_VALUE"""),1)</f>
        <v/>
      </c>
      <c r="Q8" s="26">
        <f>IFERROR(__xludf.DUMMYFUNCTION("""COMPUTED_VALUE"""),4)</f>
        <v/>
      </c>
      <c r="R8" s="26">
        <f>IFERROR(__xludf.DUMMYFUNCTION("""COMPUTED_VALUE"""),0)</f>
        <v/>
      </c>
      <c r="S8" s="26" t="n"/>
    </row>
    <row r="9" ht="12.75" customHeight="1" s="117">
      <c r="A9" s="26">
        <f>IFERROR(__xludf.DUMMYFUNCTION("""COMPUTED_VALUE"""),"Dương Minh Tiến")</f>
        <v/>
      </c>
      <c r="B9" s="26" t="n"/>
      <c r="C9" s="26">
        <f>IFERROR(__xludf.DUMMYFUNCTION("""COMPUTED_VALUE"""),12)</f>
        <v/>
      </c>
      <c r="D9" s="26">
        <f>IFERROR(__xludf.DUMMYFUNCTION("""COMPUTED_VALUE"""),0)</f>
        <v/>
      </c>
      <c r="E9" s="26">
        <f>IFERROR(__xludf.DUMMYFUNCTION("""COMPUTED_VALUE"""),0)</f>
        <v/>
      </c>
      <c r="F9" s="26">
        <f>IFERROR(__xludf.DUMMYFUNCTION("""COMPUTED_VALUE"""),0)</f>
        <v/>
      </c>
      <c r="G9" s="26">
        <f>IFERROR(__xludf.DUMMYFUNCTION("""COMPUTED_VALUE"""),0)</f>
        <v/>
      </c>
      <c r="H9" s="26">
        <f>IFERROR(__xludf.DUMMYFUNCTION("""COMPUTED_VALUE"""),0)</f>
        <v/>
      </c>
      <c r="I9" s="26">
        <f>IFERROR(__xludf.DUMMYFUNCTION("""COMPUTED_VALUE"""),10)</f>
        <v/>
      </c>
      <c r="J9" s="26">
        <f>IFERROR(__xludf.DUMMYFUNCTION("""COMPUTED_VALUE"""),0)</f>
        <v/>
      </c>
      <c r="K9" s="26">
        <f>IFERROR(__xludf.DUMMYFUNCTION("""COMPUTED_VALUE"""),17)</f>
        <v/>
      </c>
      <c r="L9" s="26">
        <f>IFERROR(__xludf.DUMMYFUNCTION("""COMPUTED_VALUE"""),0)</f>
        <v/>
      </c>
      <c r="M9" s="26">
        <f>IFERROR(__xludf.DUMMYFUNCTION("""COMPUTED_VALUE"""),0)</f>
        <v/>
      </c>
      <c r="N9" s="26">
        <f>IFERROR(__xludf.DUMMYFUNCTION("""COMPUTED_VALUE"""),0)</f>
        <v/>
      </c>
      <c r="O9" s="26">
        <f>IFERROR(__xludf.DUMMYFUNCTION("""COMPUTED_VALUE"""),0)</f>
        <v/>
      </c>
      <c r="P9" s="26">
        <f>IFERROR(__xludf.DUMMYFUNCTION("""COMPUTED_VALUE"""),1)</f>
        <v/>
      </c>
      <c r="Q9" s="26">
        <f>IFERROR(__xludf.DUMMYFUNCTION("""COMPUTED_VALUE"""),2)</f>
        <v/>
      </c>
      <c r="R9" s="26">
        <f>IFERROR(__xludf.DUMMYFUNCTION("""COMPUTED_VALUE"""),0)</f>
        <v/>
      </c>
      <c r="S9" s="26" t="n"/>
    </row>
    <row r="10" ht="12.75" customHeight="1" s="117">
      <c r="A10" s="26">
        <f>IFERROR(__xludf.DUMMYFUNCTION("""COMPUTED_VALUE"""),"Hoàng Văn Chất")</f>
        <v/>
      </c>
      <c r="B10" s="26" t="n"/>
      <c r="C10" s="26">
        <f>IFERROR(__xludf.DUMMYFUNCTION("""COMPUTED_VALUE"""),12)</f>
        <v/>
      </c>
      <c r="D10" s="26">
        <f>IFERROR(__xludf.DUMMYFUNCTION("""COMPUTED_VALUE"""),0)</f>
        <v/>
      </c>
      <c r="E10" s="26">
        <f>IFERROR(__xludf.DUMMYFUNCTION("""COMPUTED_VALUE"""),0)</f>
        <v/>
      </c>
      <c r="F10" s="26">
        <f>IFERROR(__xludf.DUMMYFUNCTION("""COMPUTED_VALUE"""),0)</f>
        <v/>
      </c>
      <c r="G10" s="26">
        <f>IFERROR(__xludf.DUMMYFUNCTION("""COMPUTED_VALUE"""),0)</f>
        <v/>
      </c>
      <c r="H10" s="26">
        <f>IFERROR(__xludf.DUMMYFUNCTION("""COMPUTED_VALUE"""),0)</f>
        <v/>
      </c>
      <c r="I10" s="26">
        <f>IFERROR(__xludf.DUMMYFUNCTION("""COMPUTED_VALUE"""),1)</f>
        <v/>
      </c>
      <c r="J10" s="26">
        <f>IFERROR(__xludf.DUMMYFUNCTION("""COMPUTED_VALUE"""),0)</f>
        <v/>
      </c>
      <c r="K10" s="26">
        <f>IFERROR(__xludf.DUMMYFUNCTION("""COMPUTED_VALUE"""),12)</f>
        <v/>
      </c>
      <c r="L10" s="26">
        <f>IFERROR(__xludf.DUMMYFUNCTION("""COMPUTED_VALUE"""),3)</f>
        <v/>
      </c>
      <c r="M10" s="26">
        <f>IFERROR(__xludf.DUMMYFUNCTION("""COMPUTED_VALUE"""),0)</f>
        <v/>
      </c>
      <c r="N10" s="26">
        <f>IFERROR(__xludf.DUMMYFUNCTION("""COMPUTED_VALUE"""),0)</f>
        <v/>
      </c>
      <c r="O10" s="26">
        <f>IFERROR(__xludf.DUMMYFUNCTION("""COMPUTED_VALUE"""),0)</f>
        <v/>
      </c>
      <c r="P10" s="26">
        <f>IFERROR(__xludf.DUMMYFUNCTION("""COMPUTED_VALUE"""),0)</f>
        <v/>
      </c>
      <c r="Q10" s="26">
        <f>IFERROR(__xludf.DUMMYFUNCTION("""COMPUTED_VALUE"""),4)</f>
        <v/>
      </c>
      <c r="R10" s="26">
        <f>IFERROR(__xludf.DUMMYFUNCTION("""COMPUTED_VALUE"""),1)</f>
        <v/>
      </c>
      <c r="S10" s="26" t="n"/>
    </row>
    <row r="11" ht="12.75" customHeight="1" s="117">
      <c r="A11" s="26">
        <f>IFERROR(__xludf.DUMMYFUNCTION("""COMPUTED_VALUE"""),"Huỳnh Văn Lực")</f>
        <v/>
      </c>
      <c r="B11" s="26" t="n"/>
      <c r="C11" s="26">
        <f>IFERROR(__xludf.DUMMYFUNCTION("""COMPUTED_VALUE"""),12)</f>
        <v/>
      </c>
      <c r="D11" s="26">
        <f>IFERROR(__xludf.DUMMYFUNCTION("""COMPUTED_VALUE"""),0)</f>
        <v/>
      </c>
      <c r="E11" s="26">
        <f>IFERROR(__xludf.DUMMYFUNCTION("""COMPUTED_VALUE"""),0)</f>
        <v/>
      </c>
      <c r="F11" s="26">
        <f>IFERROR(__xludf.DUMMYFUNCTION("""COMPUTED_VALUE"""),0)</f>
        <v/>
      </c>
      <c r="G11" s="26">
        <f>IFERROR(__xludf.DUMMYFUNCTION("""COMPUTED_VALUE"""),1)</f>
        <v/>
      </c>
      <c r="H11" s="26">
        <f>IFERROR(__xludf.DUMMYFUNCTION("""COMPUTED_VALUE"""),1)</f>
        <v/>
      </c>
      <c r="I11" s="26">
        <f>IFERROR(__xludf.DUMMYFUNCTION("""COMPUTED_VALUE"""),4)</f>
        <v/>
      </c>
      <c r="J11" s="26">
        <f>IFERROR(__xludf.DUMMYFUNCTION("""COMPUTED_VALUE"""),0)</f>
        <v/>
      </c>
      <c r="K11" s="26">
        <f>IFERROR(__xludf.DUMMYFUNCTION("""COMPUTED_VALUE"""),12)</f>
        <v/>
      </c>
      <c r="L11" s="26">
        <f>IFERROR(__xludf.DUMMYFUNCTION("""COMPUTED_VALUE"""),0)</f>
        <v/>
      </c>
      <c r="M11" s="26">
        <f>IFERROR(__xludf.DUMMYFUNCTION("""COMPUTED_VALUE"""),1)</f>
        <v/>
      </c>
      <c r="N11" s="26">
        <f>IFERROR(__xludf.DUMMYFUNCTION("""COMPUTED_VALUE"""),0)</f>
        <v/>
      </c>
      <c r="O11" s="26">
        <f>IFERROR(__xludf.DUMMYFUNCTION("""COMPUTED_VALUE"""),0)</f>
        <v/>
      </c>
      <c r="P11" s="26">
        <f>IFERROR(__xludf.DUMMYFUNCTION("""COMPUTED_VALUE"""),5)</f>
        <v/>
      </c>
      <c r="Q11" s="26">
        <f>IFERROR(__xludf.DUMMYFUNCTION("""COMPUTED_VALUE"""),3)</f>
        <v/>
      </c>
      <c r="R11" s="26">
        <f>IFERROR(__xludf.DUMMYFUNCTION("""COMPUTED_VALUE"""),2)</f>
        <v/>
      </c>
      <c r="S11" s="26" t="n"/>
    </row>
    <row r="12" ht="12.75" customHeight="1" s="117">
      <c r="A12" s="26">
        <f>IFERROR(__xludf.DUMMYFUNCTION("""COMPUTED_VALUE"""),"Hồ Thái Minh Trí")</f>
        <v/>
      </c>
      <c r="B12" s="26" t="n"/>
      <c r="C12" s="26">
        <f>IFERROR(__xludf.DUMMYFUNCTION("""COMPUTED_VALUE"""),12)</f>
        <v/>
      </c>
      <c r="D12" s="26">
        <f>IFERROR(__xludf.DUMMYFUNCTION("""COMPUTED_VALUE"""),0)</f>
        <v/>
      </c>
      <c r="E12" s="26">
        <f>IFERROR(__xludf.DUMMYFUNCTION("""COMPUTED_VALUE"""),0)</f>
        <v/>
      </c>
      <c r="F12" s="26">
        <f>IFERROR(__xludf.DUMMYFUNCTION("""COMPUTED_VALUE"""),0)</f>
        <v/>
      </c>
      <c r="G12" s="26">
        <f>IFERROR(__xludf.DUMMYFUNCTION("""COMPUTED_VALUE"""),0)</f>
        <v/>
      </c>
      <c r="H12" s="26">
        <f>IFERROR(__xludf.DUMMYFUNCTION("""COMPUTED_VALUE"""),0)</f>
        <v/>
      </c>
      <c r="I12" s="26">
        <f>IFERROR(__xludf.DUMMYFUNCTION("""COMPUTED_VALUE"""),13)</f>
        <v/>
      </c>
      <c r="J12" s="26">
        <f>IFERROR(__xludf.DUMMYFUNCTION("""COMPUTED_VALUE"""),0)</f>
        <v/>
      </c>
      <c r="K12" s="26">
        <f>IFERROR(__xludf.DUMMYFUNCTION("""COMPUTED_VALUE"""),32)</f>
        <v/>
      </c>
      <c r="L12" s="26">
        <f>IFERROR(__xludf.DUMMYFUNCTION("""COMPUTED_VALUE"""),5)</f>
        <v/>
      </c>
      <c r="M12" s="26">
        <f>IFERROR(__xludf.DUMMYFUNCTION("""COMPUTED_VALUE"""),1)</f>
        <v/>
      </c>
      <c r="N12" s="26">
        <f>IFERROR(__xludf.DUMMYFUNCTION("""COMPUTED_VALUE"""),2)</f>
        <v/>
      </c>
      <c r="O12" s="26">
        <f>IFERROR(__xludf.DUMMYFUNCTION("""COMPUTED_VALUE"""),0)</f>
        <v/>
      </c>
      <c r="P12" s="26">
        <f>IFERROR(__xludf.DUMMYFUNCTION("""COMPUTED_VALUE"""),0)</f>
        <v/>
      </c>
      <c r="Q12" s="26">
        <f>IFERROR(__xludf.DUMMYFUNCTION("""COMPUTED_VALUE"""),7)</f>
        <v/>
      </c>
      <c r="R12" s="26">
        <f>IFERROR(__xludf.DUMMYFUNCTION("""COMPUTED_VALUE"""),0)</f>
        <v/>
      </c>
      <c r="S12" s="26" t="n"/>
    </row>
    <row r="13" ht="12.75" customHeight="1" s="117">
      <c r="A13" s="26">
        <f>IFERROR(__xludf.DUMMYFUNCTION("""COMPUTED_VALUE"""),"Hồ Xuân Việt")</f>
        <v/>
      </c>
      <c r="B13" s="26" t="n"/>
      <c r="C13" s="26">
        <f>IFERROR(__xludf.DUMMYFUNCTION("""COMPUTED_VALUE"""),12)</f>
        <v/>
      </c>
      <c r="D13" s="26">
        <f>IFERROR(__xludf.DUMMYFUNCTION("""COMPUTED_VALUE"""),0)</f>
        <v/>
      </c>
      <c r="E13" s="26">
        <f>IFERROR(__xludf.DUMMYFUNCTION("""COMPUTED_VALUE"""),0)</f>
        <v/>
      </c>
      <c r="F13" s="26">
        <f>IFERROR(__xludf.DUMMYFUNCTION("""COMPUTED_VALUE"""),0)</f>
        <v/>
      </c>
      <c r="G13" s="26">
        <f>IFERROR(__xludf.DUMMYFUNCTION("""COMPUTED_VALUE"""),0)</f>
        <v/>
      </c>
      <c r="H13" s="26">
        <f>IFERROR(__xludf.DUMMYFUNCTION("""COMPUTED_VALUE"""),0)</f>
        <v/>
      </c>
      <c r="I13" s="26">
        <f>IFERROR(__xludf.DUMMYFUNCTION("""COMPUTED_VALUE"""),0)</f>
        <v/>
      </c>
      <c r="J13" s="26">
        <f>IFERROR(__xludf.DUMMYFUNCTION("""COMPUTED_VALUE"""),0)</f>
        <v/>
      </c>
      <c r="K13" s="26">
        <f>IFERROR(__xludf.DUMMYFUNCTION("""COMPUTED_VALUE"""),20)</f>
        <v/>
      </c>
      <c r="L13" s="26">
        <f>IFERROR(__xludf.DUMMYFUNCTION("""COMPUTED_VALUE"""),1)</f>
        <v/>
      </c>
      <c r="M13" s="26">
        <f>IFERROR(__xludf.DUMMYFUNCTION("""COMPUTED_VALUE"""),0)</f>
        <v/>
      </c>
      <c r="N13" s="26">
        <f>IFERROR(__xludf.DUMMYFUNCTION("""COMPUTED_VALUE"""),0)</f>
        <v/>
      </c>
      <c r="O13" s="26">
        <f>IFERROR(__xludf.DUMMYFUNCTION("""COMPUTED_VALUE"""),0)</f>
        <v/>
      </c>
      <c r="P13" s="26">
        <f>IFERROR(__xludf.DUMMYFUNCTION("""COMPUTED_VALUE"""),1)</f>
        <v/>
      </c>
      <c r="Q13" s="26">
        <f>IFERROR(__xludf.DUMMYFUNCTION("""COMPUTED_VALUE"""),6)</f>
        <v/>
      </c>
      <c r="R13" s="26">
        <f>IFERROR(__xludf.DUMMYFUNCTION("""COMPUTED_VALUE"""),0)</f>
        <v/>
      </c>
      <c r="S13" s="26" t="n"/>
    </row>
    <row r="14" ht="12.75" customHeight="1" s="117">
      <c r="A14" s="26">
        <f>IFERROR(__xludf.DUMMYFUNCTION("""COMPUTED_VALUE"""),"Lê Hồng Phong")</f>
        <v/>
      </c>
      <c r="B14" s="26" t="n"/>
      <c r="C14" s="26">
        <f>IFERROR(__xludf.DUMMYFUNCTION("""COMPUTED_VALUE"""),12)</f>
        <v/>
      </c>
      <c r="D14" s="26">
        <f>IFERROR(__xludf.DUMMYFUNCTION("""COMPUTED_VALUE"""),3)</f>
        <v/>
      </c>
      <c r="E14" s="26">
        <f>IFERROR(__xludf.DUMMYFUNCTION("""COMPUTED_VALUE"""),3)</f>
        <v/>
      </c>
      <c r="F14" s="26">
        <f>IFERROR(__xludf.DUMMYFUNCTION("""COMPUTED_VALUE"""),3)</f>
        <v/>
      </c>
      <c r="G14" s="26">
        <f>IFERROR(__xludf.DUMMYFUNCTION("""COMPUTED_VALUE"""),0)</f>
        <v/>
      </c>
      <c r="H14" s="26">
        <f>IFERROR(__xludf.DUMMYFUNCTION("""COMPUTED_VALUE"""),0)</f>
        <v/>
      </c>
      <c r="I14" s="26">
        <f>IFERROR(__xludf.DUMMYFUNCTION("""COMPUTED_VALUE"""),3)</f>
        <v/>
      </c>
      <c r="J14" s="26">
        <f>IFERROR(__xludf.DUMMYFUNCTION("""COMPUTED_VALUE"""),3)</f>
        <v/>
      </c>
      <c r="K14" s="26">
        <f>IFERROR(__xludf.DUMMYFUNCTION("""COMPUTED_VALUE"""),3)</f>
        <v/>
      </c>
      <c r="L14" s="26">
        <f>IFERROR(__xludf.DUMMYFUNCTION("""COMPUTED_VALUE"""),12)</f>
        <v/>
      </c>
      <c r="M14" s="26">
        <f>IFERROR(__xludf.DUMMYFUNCTION("""COMPUTED_VALUE"""),3)</f>
        <v/>
      </c>
      <c r="N14" s="26">
        <f>IFERROR(__xludf.DUMMYFUNCTION("""COMPUTED_VALUE"""),3)</f>
        <v/>
      </c>
      <c r="O14" s="26">
        <f>IFERROR(__xludf.DUMMYFUNCTION("""COMPUTED_VALUE"""),2)</f>
        <v/>
      </c>
      <c r="P14" s="26">
        <f>IFERROR(__xludf.DUMMYFUNCTION("""COMPUTED_VALUE"""),3)</f>
        <v/>
      </c>
      <c r="Q14" s="26">
        <f>IFERROR(__xludf.DUMMYFUNCTION("""COMPUTED_VALUE"""),3)</f>
        <v/>
      </c>
      <c r="R14" s="26">
        <f>IFERROR(__xludf.DUMMYFUNCTION("""COMPUTED_VALUE"""),3)</f>
        <v/>
      </c>
      <c r="S14" s="26" t="n"/>
    </row>
    <row r="15" ht="12.75" customHeight="1" s="117">
      <c r="A15" s="26">
        <f>IFERROR(__xludf.DUMMYFUNCTION("""COMPUTED_VALUE"""),"Lê Quốc Duy")</f>
        <v/>
      </c>
      <c r="B15" s="26" t="n"/>
      <c r="C15" s="26">
        <f>IFERROR(__xludf.DUMMYFUNCTION("""COMPUTED_VALUE"""),12)</f>
        <v/>
      </c>
      <c r="D15" s="26">
        <f>IFERROR(__xludf.DUMMYFUNCTION("""COMPUTED_VALUE"""),1)</f>
        <v/>
      </c>
      <c r="E15" s="26">
        <f>IFERROR(__xludf.DUMMYFUNCTION("""COMPUTED_VALUE"""),1)</f>
        <v/>
      </c>
      <c r="F15" s="26">
        <f>IFERROR(__xludf.DUMMYFUNCTION("""COMPUTED_VALUE"""),0)</f>
        <v/>
      </c>
      <c r="G15" s="26">
        <f>IFERROR(__xludf.DUMMYFUNCTION("""COMPUTED_VALUE"""),0)</f>
        <v/>
      </c>
      <c r="H15" s="26">
        <f>IFERROR(__xludf.DUMMYFUNCTION("""COMPUTED_VALUE"""),0)</f>
        <v/>
      </c>
      <c r="I15" s="26">
        <f>IFERROR(__xludf.DUMMYFUNCTION("""COMPUTED_VALUE"""),4)</f>
        <v/>
      </c>
      <c r="J15" s="26">
        <f>IFERROR(__xludf.DUMMYFUNCTION("""COMPUTED_VALUE"""),0)</f>
        <v/>
      </c>
      <c r="K15" s="26">
        <f>IFERROR(__xludf.DUMMYFUNCTION("""COMPUTED_VALUE"""),22)</f>
        <v/>
      </c>
      <c r="L15" s="26">
        <f>IFERROR(__xludf.DUMMYFUNCTION("""COMPUTED_VALUE"""),1)</f>
        <v/>
      </c>
      <c r="M15" s="26">
        <f>IFERROR(__xludf.DUMMYFUNCTION("""COMPUTED_VALUE"""),2)</f>
        <v/>
      </c>
      <c r="N15" s="26">
        <f>IFERROR(__xludf.DUMMYFUNCTION("""COMPUTED_VALUE"""),0)</f>
        <v/>
      </c>
      <c r="O15" s="26">
        <f>IFERROR(__xludf.DUMMYFUNCTION("""COMPUTED_VALUE"""),0)</f>
        <v/>
      </c>
      <c r="P15" s="26">
        <f>IFERROR(__xludf.DUMMYFUNCTION("""COMPUTED_VALUE"""),5)</f>
        <v/>
      </c>
      <c r="Q15" s="26">
        <f>IFERROR(__xludf.DUMMYFUNCTION("""COMPUTED_VALUE"""),5)</f>
        <v/>
      </c>
      <c r="R15" s="26">
        <f>IFERROR(__xludf.DUMMYFUNCTION("""COMPUTED_VALUE"""),0)</f>
        <v/>
      </c>
      <c r="S15" s="26" t="n"/>
    </row>
    <row r="16" ht="12.75" customHeight="1" s="117">
      <c r="A16" s="26">
        <f>IFERROR(__xludf.DUMMYFUNCTION("""COMPUTED_VALUE"""),"Lê Văn Hồng")</f>
        <v/>
      </c>
      <c r="B16" s="26" t="n"/>
      <c r="C16" s="26">
        <f>IFERROR(__xludf.DUMMYFUNCTION("""COMPUTED_VALUE"""),12)</f>
        <v/>
      </c>
      <c r="D16" s="26">
        <f>IFERROR(__xludf.DUMMYFUNCTION("""COMPUTED_VALUE"""),5)</f>
        <v/>
      </c>
      <c r="E16" s="26">
        <f>IFERROR(__xludf.DUMMYFUNCTION("""COMPUTED_VALUE"""),0)</f>
        <v/>
      </c>
      <c r="F16" s="26">
        <f>IFERROR(__xludf.DUMMYFUNCTION("""COMPUTED_VALUE"""),0)</f>
        <v/>
      </c>
      <c r="G16" s="26">
        <f>IFERROR(__xludf.DUMMYFUNCTION("""COMPUTED_VALUE"""),0)</f>
        <v/>
      </c>
      <c r="H16" s="26">
        <f>IFERROR(__xludf.DUMMYFUNCTION("""COMPUTED_VALUE"""),0)</f>
        <v/>
      </c>
      <c r="I16" s="26">
        <f>IFERROR(__xludf.DUMMYFUNCTION("""COMPUTED_VALUE"""),15)</f>
        <v/>
      </c>
      <c r="J16" s="26">
        <f>IFERROR(__xludf.DUMMYFUNCTION("""COMPUTED_VALUE"""),0)</f>
        <v/>
      </c>
      <c r="K16" s="26">
        <f>IFERROR(__xludf.DUMMYFUNCTION("""COMPUTED_VALUE"""),29)</f>
        <v/>
      </c>
      <c r="L16" s="26">
        <f>IFERROR(__xludf.DUMMYFUNCTION("""COMPUTED_VALUE"""),2)</f>
        <v/>
      </c>
      <c r="M16" s="26">
        <f>IFERROR(__xludf.DUMMYFUNCTION("""COMPUTED_VALUE"""),3)</f>
        <v/>
      </c>
      <c r="N16" s="26">
        <f>IFERROR(__xludf.DUMMYFUNCTION("""COMPUTED_VALUE"""),15)</f>
        <v/>
      </c>
      <c r="O16" s="26">
        <f>IFERROR(__xludf.DUMMYFUNCTION("""COMPUTED_VALUE"""),0)</f>
        <v/>
      </c>
      <c r="P16" s="26">
        <f>IFERROR(__xludf.DUMMYFUNCTION("""COMPUTED_VALUE"""),5)</f>
        <v/>
      </c>
      <c r="Q16" s="26">
        <f>IFERROR(__xludf.DUMMYFUNCTION("""COMPUTED_VALUE"""),8)</f>
        <v/>
      </c>
      <c r="R16" s="26">
        <f>IFERROR(__xludf.DUMMYFUNCTION("""COMPUTED_VALUE"""),0)</f>
        <v/>
      </c>
      <c r="S16" s="26" t="n"/>
    </row>
    <row r="17" ht="12.75" customHeight="1" s="117">
      <c r="A17" s="26">
        <f>IFERROR(__xludf.DUMMYFUNCTION("""COMPUTED_VALUE"""),"Lương Duy Hoàng")</f>
        <v/>
      </c>
      <c r="B17" s="26" t="n"/>
      <c r="C17" s="26">
        <f>IFERROR(__xludf.DUMMYFUNCTION("""COMPUTED_VALUE"""),12)</f>
        <v/>
      </c>
      <c r="D17" s="26">
        <f>IFERROR(__xludf.DUMMYFUNCTION("""COMPUTED_VALUE"""),1)</f>
        <v/>
      </c>
      <c r="E17" s="26">
        <f>IFERROR(__xludf.DUMMYFUNCTION("""COMPUTED_VALUE"""),0)</f>
        <v/>
      </c>
      <c r="F17" s="26">
        <f>IFERROR(__xludf.DUMMYFUNCTION("""COMPUTED_VALUE"""),0)</f>
        <v/>
      </c>
      <c r="G17" s="26">
        <f>IFERROR(__xludf.DUMMYFUNCTION("""COMPUTED_VALUE"""),0)</f>
        <v/>
      </c>
      <c r="H17" s="26">
        <f>IFERROR(__xludf.DUMMYFUNCTION("""COMPUTED_VALUE"""),0)</f>
        <v/>
      </c>
      <c r="I17" s="26">
        <f>IFERROR(__xludf.DUMMYFUNCTION("""COMPUTED_VALUE"""),4)</f>
        <v/>
      </c>
      <c r="J17" s="26">
        <f>IFERROR(__xludf.DUMMYFUNCTION("""COMPUTED_VALUE"""),0)</f>
        <v/>
      </c>
      <c r="K17" s="26">
        <f>IFERROR(__xludf.DUMMYFUNCTION("""COMPUTED_VALUE"""),14)</f>
        <v/>
      </c>
      <c r="L17" s="26">
        <f>IFERROR(__xludf.DUMMYFUNCTION("""COMPUTED_VALUE"""),0)</f>
        <v/>
      </c>
      <c r="M17" s="26">
        <f>IFERROR(__xludf.DUMMYFUNCTION("""COMPUTED_VALUE"""),1)</f>
        <v/>
      </c>
      <c r="N17" s="26">
        <f>IFERROR(__xludf.DUMMYFUNCTION("""COMPUTED_VALUE"""),2)</f>
        <v/>
      </c>
      <c r="O17" s="26">
        <f>IFERROR(__xludf.DUMMYFUNCTION("""COMPUTED_VALUE"""),0)</f>
        <v/>
      </c>
      <c r="P17" s="26">
        <f>IFERROR(__xludf.DUMMYFUNCTION("""COMPUTED_VALUE"""),1)</f>
        <v/>
      </c>
      <c r="Q17" s="26">
        <f>IFERROR(__xludf.DUMMYFUNCTION("""COMPUTED_VALUE"""),5)</f>
        <v/>
      </c>
      <c r="R17" s="26">
        <f>IFERROR(__xludf.DUMMYFUNCTION("""COMPUTED_VALUE"""),0)</f>
        <v/>
      </c>
      <c r="S17" s="26" t="n"/>
    </row>
    <row r="18" ht="12.75" customHeight="1" s="117">
      <c r="A18" s="26">
        <f>IFERROR(__xludf.DUMMYFUNCTION("""COMPUTED_VALUE"""),"Lương Duy Hải")</f>
        <v/>
      </c>
      <c r="B18" s="26" t="n"/>
      <c r="C18" s="26">
        <f>IFERROR(__xludf.DUMMYFUNCTION("""COMPUTED_VALUE"""),12)</f>
        <v/>
      </c>
      <c r="D18" s="26">
        <f>IFERROR(__xludf.DUMMYFUNCTION("""COMPUTED_VALUE"""),1)</f>
        <v/>
      </c>
      <c r="E18" s="26">
        <f>IFERROR(__xludf.DUMMYFUNCTION("""COMPUTED_VALUE"""),1)</f>
        <v/>
      </c>
      <c r="F18" s="26">
        <f>IFERROR(__xludf.DUMMYFUNCTION("""COMPUTED_VALUE"""),0)</f>
        <v/>
      </c>
      <c r="G18" s="26">
        <f>IFERROR(__xludf.DUMMYFUNCTION("""COMPUTED_VALUE"""),0)</f>
        <v/>
      </c>
      <c r="H18" s="26">
        <f>IFERROR(__xludf.DUMMYFUNCTION("""COMPUTED_VALUE"""),0)</f>
        <v/>
      </c>
      <c r="I18" s="26">
        <f>IFERROR(__xludf.DUMMYFUNCTION("""COMPUTED_VALUE"""),0)</f>
        <v/>
      </c>
      <c r="J18" s="26">
        <f>IFERROR(__xludf.DUMMYFUNCTION("""COMPUTED_VALUE"""),0)</f>
        <v/>
      </c>
      <c r="K18" s="26">
        <f>IFERROR(__xludf.DUMMYFUNCTION("""COMPUTED_VALUE"""),46)</f>
        <v/>
      </c>
      <c r="L18" s="26">
        <f>IFERROR(__xludf.DUMMYFUNCTION("""COMPUTED_VALUE"""),0)</f>
        <v/>
      </c>
      <c r="M18" s="26">
        <f>IFERROR(__xludf.DUMMYFUNCTION("""COMPUTED_VALUE"""),1)</f>
        <v/>
      </c>
      <c r="N18" s="26">
        <f>IFERROR(__xludf.DUMMYFUNCTION("""COMPUTED_VALUE"""),0)</f>
        <v/>
      </c>
      <c r="O18" s="26">
        <f>IFERROR(__xludf.DUMMYFUNCTION("""COMPUTED_VALUE"""),0)</f>
        <v/>
      </c>
      <c r="P18" s="26">
        <f>IFERROR(__xludf.DUMMYFUNCTION("""COMPUTED_VALUE"""),3)</f>
        <v/>
      </c>
      <c r="Q18" s="26">
        <f>IFERROR(__xludf.DUMMYFUNCTION("""COMPUTED_VALUE"""),12)</f>
        <v/>
      </c>
      <c r="R18" s="26">
        <f>IFERROR(__xludf.DUMMYFUNCTION("""COMPUTED_VALUE"""),2)</f>
        <v/>
      </c>
      <c r="S18" s="26" t="n"/>
    </row>
    <row r="19" ht="12.75" customHeight="1" s="117">
      <c r="A19" s="26">
        <f>IFERROR(__xludf.DUMMYFUNCTION("""COMPUTED_VALUE"""),"Nguyễn Hồng Minh")</f>
        <v/>
      </c>
      <c r="B19" s="26" t="n"/>
      <c r="C19" s="26">
        <f>IFERROR(__xludf.DUMMYFUNCTION("""COMPUTED_VALUE"""),12)</f>
        <v/>
      </c>
      <c r="D19" s="26">
        <f>IFERROR(__xludf.DUMMYFUNCTION("""COMPUTED_VALUE"""),0)</f>
        <v/>
      </c>
      <c r="E19" s="26">
        <f>IFERROR(__xludf.DUMMYFUNCTION("""COMPUTED_VALUE"""),0)</f>
        <v/>
      </c>
      <c r="F19" s="26">
        <f>IFERROR(__xludf.DUMMYFUNCTION("""COMPUTED_VALUE"""),0)</f>
        <v/>
      </c>
      <c r="G19" s="26">
        <f>IFERROR(__xludf.DUMMYFUNCTION("""COMPUTED_VALUE"""),0)</f>
        <v/>
      </c>
      <c r="H19" s="26">
        <f>IFERROR(__xludf.DUMMYFUNCTION("""COMPUTED_VALUE"""),0)</f>
        <v/>
      </c>
      <c r="I19" s="26">
        <f>IFERROR(__xludf.DUMMYFUNCTION("""COMPUTED_VALUE"""),6)</f>
        <v/>
      </c>
      <c r="J19" s="26">
        <f>IFERROR(__xludf.DUMMYFUNCTION("""COMPUTED_VALUE"""),0)</f>
        <v/>
      </c>
      <c r="K19" s="26">
        <f>IFERROR(__xludf.DUMMYFUNCTION("""COMPUTED_VALUE"""),15)</f>
        <v/>
      </c>
      <c r="L19" s="26">
        <f>IFERROR(__xludf.DUMMYFUNCTION("""COMPUTED_VALUE"""),2)</f>
        <v/>
      </c>
      <c r="M19" s="26">
        <f>IFERROR(__xludf.DUMMYFUNCTION("""COMPUTED_VALUE"""),1)</f>
        <v/>
      </c>
      <c r="N19" s="26">
        <f>IFERROR(__xludf.DUMMYFUNCTION("""COMPUTED_VALUE"""),2)</f>
        <v/>
      </c>
      <c r="O19" s="26">
        <f>IFERROR(__xludf.DUMMYFUNCTION("""COMPUTED_VALUE"""),0)</f>
        <v/>
      </c>
      <c r="P19" s="26">
        <f>IFERROR(__xludf.DUMMYFUNCTION("""COMPUTED_VALUE"""),3)</f>
        <v/>
      </c>
      <c r="Q19" s="26">
        <f>IFERROR(__xludf.DUMMYFUNCTION("""COMPUTED_VALUE"""),16)</f>
        <v/>
      </c>
      <c r="R19" s="26">
        <f>IFERROR(__xludf.DUMMYFUNCTION("""COMPUTED_VALUE"""),2)</f>
        <v/>
      </c>
      <c r="S19" s="26" t="n"/>
    </row>
    <row r="20" ht="12.75" customHeight="1" s="117">
      <c r="A20" s="26">
        <f>IFERROR(__xludf.DUMMYFUNCTION("""COMPUTED_VALUE"""),"Nguyễn Quang Anh Tuấn")</f>
        <v/>
      </c>
      <c r="B20" s="26" t="n"/>
      <c r="C20" s="26">
        <f>IFERROR(__xludf.DUMMYFUNCTION("""COMPUTED_VALUE"""),12)</f>
        <v/>
      </c>
      <c r="D20" s="26">
        <f>IFERROR(__xludf.DUMMYFUNCTION("""COMPUTED_VALUE"""),0)</f>
        <v/>
      </c>
      <c r="E20" s="26">
        <f>IFERROR(__xludf.DUMMYFUNCTION("""COMPUTED_VALUE"""),0)</f>
        <v/>
      </c>
      <c r="F20" s="26">
        <f>IFERROR(__xludf.DUMMYFUNCTION("""COMPUTED_VALUE"""),0)</f>
        <v/>
      </c>
      <c r="G20" s="26">
        <f>IFERROR(__xludf.DUMMYFUNCTION("""COMPUTED_VALUE"""),0)</f>
        <v/>
      </c>
      <c r="H20" s="26">
        <f>IFERROR(__xludf.DUMMYFUNCTION("""COMPUTED_VALUE"""),0)</f>
        <v/>
      </c>
      <c r="I20" s="26">
        <f>IFERROR(__xludf.DUMMYFUNCTION("""COMPUTED_VALUE"""),4)</f>
        <v/>
      </c>
      <c r="J20" s="26">
        <f>IFERROR(__xludf.DUMMYFUNCTION("""COMPUTED_VALUE"""),0)</f>
        <v/>
      </c>
      <c r="K20" s="26">
        <f>IFERROR(__xludf.DUMMYFUNCTION("""COMPUTED_VALUE"""),6)</f>
        <v/>
      </c>
      <c r="L20" s="26">
        <f>IFERROR(__xludf.DUMMYFUNCTION("""COMPUTED_VALUE"""),0)</f>
        <v/>
      </c>
      <c r="M20" s="26">
        <f>IFERROR(__xludf.DUMMYFUNCTION("""COMPUTED_VALUE"""),0)</f>
        <v/>
      </c>
      <c r="N20" s="26">
        <f>IFERROR(__xludf.DUMMYFUNCTION("""COMPUTED_VALUE"""),2)</f>
        <v/>
      </c>
      <c r="O20" s="26">
        <f>IFERROR(__xludf.DUMMYFUNCTION("""COMPUTED_VALUE"""),0)</f>
        <v/>
      </c>
      <c r="P20" s="26">
        <f>IFERROR(__xludf.DUMMYFUNCTION("""COMPUTED_VALUE"""),0)</f>
        <v/>
      </c>
      <c r="Q20" s="26">
        <f>IFERROR(__xludf.DUMMYFUNCTION("""COMPUTED_VALUE"""),2)</f>
        <v/>
      </c>
      <c r="R20" s="26">
        <f>IFERROR(__xludf.DUMMYFUNCTION("""COMPUTED_VALUE"""),0)</f>
        <v/>
      </c>
      <c r="S20" s="26" t="n"/>
    </row>
    <row r="21" ht="12.75" customHeight="1" s="117">
      <c r="A21" s="26">
        <f>IFERROR(__xludf.DUMMYFUNCTION("""COMPUTED_VALUE"""),"Nguyễn Thành Lâm")</f>
        <v/>
      </c>
      <c r="B21" s="26" t="n"/>
      <c r="C21" s="26">
        <f>IFERROR(__xludf.DUMMYFUNCTION("""COMPUTED_VALUE"""),12)</f>
        <v/>
      </c>
      <c r="D21" s="26">
        <f>IFERROR(__xludf.DUMMYFUNCTION("""COMPUTED_VALUE"""),10)</f>
        <v/>
      </c>
      <c r="E21" s="26">
        <f>IFERROR(__xludf.DUMMYFUNCTION("""COMPUTED_VALUE"""),11)</f>
        <v/>
      </c>
      <c r="F21" s="26">
        <f>IFERROR(__xludf.DUMMYFUNCTION("""COMPUTED_VALUE"""),0)</f>
        <v/>
      </c>
      <c r="G21" s="26">
        <f>IFERROR(__xludf.DUMMYFUNCTION("""COMPUTED_VALUE"""),9)</f>
        <v/>
      </c>
      <c r="H21" s="26">
        <f>IFERROR(__xludf.DUMMYFUNCTION("""COMPUTED_VALUE"""),9)</f>
        <v/>
      </c>
      <c r="I21" s="26">
        <f>IFERROR(__xludf.DUMMYFUNCTION("""COMPUTED_VALUE"""),13)</f>
        <v/>
      </c>
      <c r="J21" s="26">
        <f>IFERROR(__xludf.DUMMYFUNCTION("""COMPUTED_VALUE"""),9)</f>
        <v/>
      </c>
      <c r="K21" s="26">
        <f>IFERROR(__xludf.DUMMYFUNCTION("""COMPUTED_VALUE"""),4)</f>
        <v/>
      </c>
      <c r="L21" s="26">
        <f>IFERROR(__xludf.DUMMYFUNCTION("""COMPUTED_VALUE"""),9)</f>
        <v/>
      </c>
      <c r="M21" s="26">
        <f>IFERROR(__xludf.DUMMYFUNCTION("""COMPUTED_VALUE"""),10)</f>
        <v/>
      </c>
      <c r="N21" s="26">
        <f>IFERROR(__xludf.DUMMYFUNCTION("""COMPUTED_VALUE"""),0)</f>
        <v/>
      </c>
      <c r="O21" s="26">
        <f>IFERROR(__xludf.DUMMYFUNCTION("""COMPUTED_VALUE"""),0)</f>
        <v/>
      </c>
      <c r="P21" s="26">
        <f>IFERROR(__xludf.DUMMYFUNCTION("""COMPUTED_VALUE"""),3)</f>
        <v/>
      </c>
      <c r="Q21" s="26">
        <f>IFERROR(__xludf.DUMMYFUNCTION("""COMPUTED_VALUE"""),8)</f>
        <v/>
      </c>
      <c r="R21" s="26">
        <f>IFERROR(__xludf.DUMMYFUNCTION("""COMPUTED_VALUE"""),0)</f>
        <v/>
      </c>
      <c r="S21" s="26" t="n"/>
    </row>
    <row r="22" ht="12.75" customHeight="1" s="117">
      <c r="A22" s="26">
        <f>IFERROR(__xludf.DUMMYFUNCTION("""COMPUTED_VALUE"""),"Nguyễn Tuấn Anh")</f>
        <v/>
      </c>
      <c r="B22" s="26" t="n"/>
      <c r="C22" s="26">
        <f>IFERROR(__xludf.DUMMYFUNCTION("""COMPUTED_VALUE"""),12)</f>
        <v/>
      </c>
      <c r="D22" s="26">
        <f>IFERROR(__xludf.DUMMYFUNCTION("""COMPUTED_VALUE"""),2)</f>
        <v/>
      </c>
      <c r="E22" s="26">
        <f>IFERROR(__xludf.DUMMYFUNCTION("""COMPUTED_VALUE"""),1)</f>
        <v/>
      </c>
      <c r="F22" s="26">
        <f>IFERROR(__xludf.DUMMYFUNCTION("""COMPUTED_VALUE"""),0)</f>
        <v/>
      </c>
      <c r="G22" s="26">
        <f>IFERROR(__xludf.DUMMYFUNCTION("""COMPUTED_VALUE"""),0)</f>
        <v/>
      </c>
      <c r="H22" s="26">
        <f>IFERROR(__xludf.DUMMYFUNCTION("""COMPUTED_VALUE"""),0)</f>
        <v/>
      </c>
      <c r="I22" s="26">
        <f>IFERROR(__xludf.DUMMYFUNCTION("""COMPUTED_VALUE"""),0)</f>
        <v/>
      </c>
      <c r="J22" s="26">
        <f>IFERROR(__xludf.DUMMYFUNCTION("""COMPUTED_VALUE"""),0)</f>
        <v/>
      </c>
      <c r="K22" s="26">
        <f>IFERROR(__xludf.DUMMYFUNCTION("""COMPUTED_VALUE"""),33)</f>
        <v/>
      </c>
      <c r="L22" s="26">
        <f>IFERROR(__xludf.DUMMYFUNCTION("""COMPUTED_VALUE"""),1)</f>
        <v/>
      </c>
      <c r="M22" s="26">
        <f>IFERROR(__xludf.DUMMYFUNCTION("""COMPUTED_VALUE"""),0)</f>
        <v/>
      </c>
      <c r="N22" s="26">
        <f>IFERROR(__xludf.DUMMYFUNCTION("""COMPUTED_VALUE"""),0)</f>
        <v/>
      </c>
      <c r="O22" s="26">
        <f>IFERROR(__xludf.DUMMYFUNCTION("""COMPUTED_VALUE"""),0)</f>
        <v/>
      </c>
      <c r="P22" s="26">
        <f>IFERROR(__xludf.DUMMYFUNCTION("""COMPUTED_VALUE"""),2)</f>
        <v/>
      </c>
      <c r="Q22" s="26">
        <f>IFERROR(__xludf.DUMMYFUNCTION("""COMPUTED_VALUE"""),21)</f>
        <v/>
      </c>
      <c r="R22" s="26">
        <f>IFERROR(__xludf.DUMMYFUNCTION("""COMPUTED_VALUE"""),1)</f>
        <v/>
      </c>
      <c r="S22" s="26" t="n"/>
    </row>
    <row r="23" ht="12.75" customHeight="1" s="117">
      <c r="A23" s="26">
        <f>IFERROR(__xludf.DUMMYFUNCTION("""COMPUTED_VALUE"""),"Nguyễn Văn Hiệp")</f>
        <v/>
      </c>
      <c r="B23" s="26" t="n"/>
      <c r="C23" s="26">
        <f>IFERROR(__xludf.DUMMYFUNCTION("""COMPUTED_VALUE"""),12)</f>
        <v/>
      </c>
      <c r="D23" s="26">
        <f>IFERROR(__xludf.DUMMYFUNCTION("""COMPUTED_VALUE"""),1)</f>
        <v/>
      </c>
      <c r="E23" s="26">
        <f>IFERROR(__xludf.DUMMYFUNCTION("""COMPUTED_VALUE"""),1)</f>
        <v/>
      </c>
      <c r="F23" s="26">
        <f>IFERROR(__xludf.DUMMYFUNCTION("""COMPUTED_VALUE"""),1)</f>
        <v/>
      </c>
      <c r="G23" s="26">
        <f>IFERROR(__xludf.DUMMYFUNCTION("""COMPUTED_VALUE"""),0)</f>
        <v/>
      </c>
      <c r="H23" s="26">
        <f>IFERROR(__xludf.DUMMYFUNCTION("""COMPUTED_VALUE"""),0)</f>
        <v/>
      </c>
      <c r="I23" s="26">
        <f>IFERROR(__xludf.DUMMYFUNCTION("""COMPUTED_VALUE"""),2)</f>
        <v/>
      </c>
      <c r="J23" s="26">
        <f>IFERROR(__xludf.DUMMYFUNCTION("""COMPUTED_VALUE"""),0)</f>
        <v/>
      </c>
      <c r="K23" s="26">
        <f>IFERROR(__xludf.DUMMYFUNCTION("""COMPUTED_VALUE"""),17)</f>
        <v/>
      </c>
      <c r="L23" s="26">
        <f>IFERROR(__xludf.DUMMYFUNCTION("""COMPUTED_VALUE"""),0)</f>
        <v/>
      </c>
      <c r="M23" s="26">
        <f>IFERROR(__xludf.DUMMYFUNCTION("""COMPUTED_VALUE"""),1)</f>
        <v/>
      </c>
      <c r="N23" s="26">
        <f>IFERROR(__xludf.DUMMYFUNCTION("""COMPUTED_VALUE"""),2)</f>
        <v/>
      </c>
      <c r="O23" s="26">
        <f>IFERROR(__xludf.DUMMYFUNCTION("""COMPUTED_VALUE"""),0)</f>
        <v/>
      </c>
      <c r="P23" s="26">
        <f>IFERROR(__xludf.DUMMYFUNCTION("""COMPUTED_VALUE"""),0)</f>
        <v/>
      </c>
      <c r="Q23" s="26">
        <f>IFERROR(__xludf.DUMMYFUNCTION("""COMPUTED_VALUE"""),0)</f>
        <v/>
      </c>
      <c r="R23" s="26">
        <f>IFERROR(__xludf.DUMMYFUNCTION("""COMPUTED_VALUE"""),1)</f>
        <v/>
      </c>
      <c r="S23" s="26" t="n"/>
    </row>
    <row r="24" ht="12.75" customHeight="1" s="117">
      <c r="A24" s="26">
        <f>IFERROR(__xludf.DUMMYFUNCTION("""COMPUTED_VALUE"""),"Nguyễn Văn Nhật")</f>
        <v/>
      </c>
      <c r="B24" s="26" t="n"/>
      <c r="C24" s="26">
        <f>IFERROR(__xludf.DUMMYFUNCTION("""COMPUTED_VALUE"""),12)</f>
        <v/>
      </c>
      <c r="D24" s="26">
        <f>IFERROR(__xludf.DUMMYFUNCTION("""COMPUTED_VALUE"""),0)</f>
        <v/>
      </c>
      <c r="E24" s="26">
        <f>IFERROR(__xludf.DUMMYFUNCTION("""COMPUTED_VALUE"""),0)</f>
        <v/>
      </c>
      <c r="F24" s="26">
        <f>IFERROR(__xludf.DUMMYFUNCTION("""COMPUTED_VALUE"""),0)</f>
        <v/>
      </c>
      <c r="G24" s="26">
        <f>IFERROR(__xludf.DUMMYFUNCTION("""COMPUTED_VALUE"""),2)</f>
        <v/>
      </c>
      <c r="H24" s="26">
        <f>IFERROR(__xludf.DUMMYFUNCTION("""COMPUTED_VALUE"""),2)</f>
        <v/>
      </c>
      <c r="I24" s="26">
        <f>IFERROR(__xludf.DUMMYFUNCTION("""COMPUTED_VALUE"""),0)</f>
        <v/>
      </c>
      <c r="J24" s="26">
        <f>IFERROR(__xludf.DUMMYFUNCTION("""COMPUTED_VALUE"""),0)</f>
        <v/>
      </c>
      <c r="K24" s="26">
        <f>IFERROR(__xludf.DUMMYFUNCTION("""COMPUTED_VALUE"""),16)</f>
        <v/>
      </c>
      <c r="L24" s="26">
        <f>IFERROR(__xludf.DUMMYFUNCTION("""COMPUTED_VALUE"""),4)</f>
        <v/>
      </c>
      <c r="M24" s="26">
        <f>IFERROR(__xludf.DUMMYFUNCTION("""COMPUTED_VALUE"""),2)</f>
        <v/>
      </c>
      <c r="N24" s="26">
        <f>IFERROR(__xludf.DUMMYFUNCTION("""COMPUTED_VALUE"""),2)</f>
        <v/>
      </c>
      <c r="O24" s="26">
        <f>IFERROR(__xludf.DUMMYFUNCTION("""COMPUTED_VALUE"""),3)</f>
        <v/>
      </c>
      <c r="P24" s="26">
        <f>IFERROR(__xludf.DUMMYFUNCTION("""COMPUTED_VALUE"""),4)</f>
        <v/>
      </c>
      <c r="Q24" s="26">
        <f>IFERROR(__xludf.DUMMYFUNCTION("""COMPUTED_VALUE"""),17)</f>
        <v/>
      </c>
      <c r="R24" s="26">
        <f>IFERROR(__xludf.DUMMYFUNCTION("""COMPUTED_VALUE"""),0)</f>
        <v/>
      </c>
      <c r="S24" s="26" t="n"/>
    </row>
    <row r="25" ht="12.75" customHeight="1" s="117">
      <c r="A25" s="26">
        <f>IFERROR(__xludf.DUMMYFUNCTION("""COMPUTED_VALUE"""),"Phan Ngọc Sang")</f>
        <v/>
      </c>
      <c r="B25" s="26" t="n"/>
      <c r="C25" s="26">
        <f>IFERROR(__xludf.DUMMYFUNCTION("""COMPUTED_VALUE"""),12)</f>
        <v/>
      </c>
      <c r="D25" s="26">
        <f>IFERROR(__xludf.DUMMYFUNCTION("""COMPUTED_VALUE"""),0)</f>
        <v/>
      </c>
      <c r="E25" s="26">
        <f>IFERROR(__xludf.DUMMYFUNCTION("""COMPUTED_VALUE"""),0)</f>
        <v/>
      </c>
      <c r="F25" s="26">
        <f>IFERROR(__xludf.DUMMYFUNCTION("""COMPUTED_VALUE"""),0)</f>
        <v/>
      </c>
      <c r="G25" s="26">
        <f>IFERROR(__xludf.DUMMYFUNCTION("""COMPUTED_VALUE"""),1)</f>
        <v/>
      </c>
      <c r="H25" s="26">
        <f>IFERROR(__xludf.DUMMYFUNCTION("""COMPUTED_VALUE"""),1)</f>
        <v/>
      </c>
      <c r="I25" s="26">
        <f>IFERROR(__xludf.DUMMYFUNCTION("""COMPUTED_VALUE"""),3)</f>
        <v/>
      </c>
      <c r="J25" s="26">
        <f>IFERROR(__xludf.DUMMYFUNCTION("""COMPUTED_VALUE"""),1)</f>
        <v/>
      </c>
      <c r="K25" s="26">
        <f>IFERROR(__xludf.DUMMYFUNCTION("""COMPUTED_VALUE"""),21)</f>
        <v/>
      </c>
      <c r="L25" s="26">
        <f>IFERROR(__xludf.DUMMYFUNCTION("""COMPUTED_VALUE"""),2)</f>
        <v/>
      </c>
      <c r="M25" s="26">
        <f>IFERROR(__xludf.DUMMYFUNCTION("""COMPUTED_VALUE"""),3)</f>
        <v/>
      </c>
      <c r="N25" s="26">
        <f>IFERROR(__xludf.DUMMYFUNCTION("""COMPUTED_VALUE"""),1)</f>
        <v/>
      </c>
      <c r="O25" s="26">
        <f>IFERROR(__xludf.DUMMYFUNCTION("""COMPUTED_VALUE"""),1)</f>
        <v/>
      </c>
      <c r="P25" s="26">
        <f>IFERROR(__xludf.DUMMYFUNCTION("""COMPUTED_VALUE"""),1)</f>
        <v/>
      </c>
      <c r="Q25" s="26">
        <f>IFERROR(__xludf.DUMMYFUNCTION("""COMPUTED_VALUE"""),4)</f>
        <v/>
      </c>
      <c r="R25" s="26">
        <f>IFERROR(__xludf.DUMMYFUNCTION("""COMPUTED_VALUE"""),3)</f>
        <v/>
      </c>
      <c r="S25" s="26" t="n"/>
    </row>
    <row r="26" ht="12.75" customHeight="1" s="117">
      <c r="A26" s="26">
        <f>IFERROR(__xludf.DUMMYFUNCTION("""COMPUTED_VALUE"""),"Phan Thành Thái")</f>
        <v/>
      </c>
      <c r="B26" s="26" t="n"/>
      <c r="C26" s="26">
        <f>IFERROR(__xludf.DUMMYFUNCTION("""COMPUTED_VALUE"""),12)</f>
        <v/>
      </c>
      <c r="D26" s="26">
        <f>IFERROR(__xludf.DUMMYFUNCTION("""COMPUTED_VALUE"""),1)</f>
        <v/>
      </c>
      <c r="E26" s="26">
        <f>IFERROR(__xludf.DUMMYFUNCTION("""COMPUTED_VALUE"""),1)</f>
        <v/>
      </c>
      <c r="F26" s="26">
        <f>IFERROR(__xludf.DUMMYFUNCTION("""COMPUTED_VALUE"""),1)</f>
        <v/>
      </c>
      <c r="G26" s="26">
        <f>IFERROR(__xludf.DUMMYFUNCTION("""COMPUTED_VALUE"""),0)</f>
        <v/>
      </c>
      <c r="H26" s="26">
        <f>IFERROR(__xludf.DUMMYFUNCTION("""COMPUTED_VALUE"""),0)</f>
        <v/>
      </c>
      <c r="I26" s="26">
        <f>IFERROR(__xludf.DUMMYFUNCTION("""COMPUTED_VALUE"""),10)</f>
        <v/>
      </c>
      <c r="J26" s="26">
        <f>IFERROR(__xludf.DUMMYFUNCTION("""COMPUTED_VALUE"""),0)</f>
        <v/>
      </c>
      <c r="K26" s="26">
        <f>IFERROR(__xludf.DUMMYFUNCTION("""COMPUTED_VALUE"""),10)</f>
        <v/>
      </c>
      <c r="L26" s="26">
        <f>IFERROR(__xludf.DUMMYFUNCTION("""COMPUTED_VALUE"""),2)</f>
        <v/>
      </c>
      <c r="M26" s="26">
        <f>IFERROR(__xludf.DUMMYFUNCTION("""COMPUTED_VALUE"""),1)</f>
        <v/>
      </c>
      <c r="N26" s="26">
        <f>IFERROR(__xludf.DUMMYFUNCTION("""COMPUTED_VALUE"""),1)</f>
        <v/>
      </c>
      <c r="O26" s="26">
        <f>IFERROR(__xludf.DUMMYFUNCTION("""COMPUTED_VALUE"""),0)</f>
        <v/>
      </c>
      <c r="P26" s="26">
        <f>IFERROR(__xludf.DUMMYFUNCTION("""COMPUTED_VALUE"""),2)</f>
        <v/>
      </c>
      <c r="Q26" s="26">
        <f>IFERROR(__xludf.DUMMYFUNCTION("""COMPUTED_VALUE"""),16)</f>
        <v/>
      </c>
      <c r="R26" s="26">
        <f>IFERROR(__xludf.DUMMYFUNCTION("""COMPUTED_VALUE"""),0)</f>
        <v/>
      </c>
      <c r="S26" s="26" t="n"/>
    </row>
    <row r="27" ht="12.75" customHeight="1" s="117">
      <c r="A27" s="26">
        <f>IFERROR(__xludf.DUMMYFUNCTION("""COMPUTED_VALUE"""),"Trần Minh Khánh")</f>
        <v/>
      </c>
      <c r="B27" s="26" t="n"/>
      <c r="C27" s="26">
        <f>IFERROR(__xludf.DUMMYFUNCTION("""COMPUTED_VALUE"""),12)</f>
        <v/>
      </c>
      <c r="D27" s="26">
        <f>IFERROR(__xludf.DUMMYFUNCTION("""COMPUTED_VALUE"""),1)</f>
        <v/>
      </c>
      <c r="E27" s="26">
        <f>IFERROR(__xludf.DUMMYFUNCTION("""COMPUTED_VALUE"""),2)</f>
        <v/>
      </c>
      <c r="F27" s="26">
        <f>IFERROR(__xludf.DUMMYFUNCTION("""COMPUTED_VALUE"""),0)</f>
        <v/>
      </c>
      <c r="G27" s="26">
        <f>IFERROR(__xludf.DUMMYFUNCTION("""COMPUTED_VALUE"""),0)</f>
        <v/>
      </c>
      <c r="H27" s="26">
        <f>IFERROR(__xludf.DUMMYFUNCTION("""COMPUTED_VALUE"""),0)</f>
        <v/>
      </c>
      <c r="I27" s="26">
        <f>IFERROR(__xludf.DUMMYFUNCTION("""COMPUTED_VALUE"""),10)</f>
        <v/>
      </c>
      <c r="J27" s="26">
        <f>IFERROR(__xludf.DUMMYFUNCTION("""COMPUTED_VALUE"""),0)</f>
        <v/>
      </c>
      <c r="K27" s="26">
        <f>IFERROR(__xludf.DUMMYFUNCTION("""COMPUTED_VALUE"""),13)</f>
        <v/>
      </c>
      <c r="L27" s="26">
        <f>IFERROR(__xludf.DUMMYFUNCTION("""COMPUTED_VALUE"""),1)</f>
        <v/>
      </c>
      <c r="M27" s="26">
        <f>IFERROR(__xludf.DUMMYFUNCTION("""COMPUTED_VALUE"""),0)</f>
        <v/>
      </c>
      <c r="N27" s="26">
        <f>IFERROR(__xludf.DUMMYFUNCTION("""COMPUTED_VALUE"""),3)</f>
        <v/>
      </c>
      <c r="O27" s="26">
        <f>IFERROR(__xludf.DUMMYFUNCTION("""COMPUTED_VALUE"""),0)</f>
        <v/>
      </c>
      <c r="P27" s="26">
        <f>IFERROR(__xludf.DUMMYFUNCTION("""COMPUTED_VALUE"""),1)</f>
        <v/>
      </c>
      <c r="Q27" s="26">
        <f>IFERROR(__xludf.DUMMYFUNCTION("""COMPUTED_VALUE"""),9)</f>
        <v/>
      </c>
      <c r="R27" s="26">
        <f>IFERROR(__xludf.DUMMYFUNCTION("""COMPUTED_VALUE"""),1)</f>
        <v/>
      </c>
      <c r="S27" s="26" t="n"/>
    </row>
    <row r="28" ht="12.75" customHeight="1" s="117">
      <c r="A28" s="26">
        <f>IFERROR(__xludf.DUMMYFUNCTION("""COMPUTED_VALUE"""),"Trần Trung Giang")</f>
        <v/>
      </c>
      <c r="B28" s="26" t="n"/>
      <c r="C28" s="26">
        <f>IFERROR(__xludf.DUMMYFUNCTION("""COMPUTED_VALUE"""),12)</f>
        <v/>
      </c>
      <c r="D28" s="26">
        <f>IFERROR(__xludf.DUMMYFUNCTION("""COMPUTED_VALUE"""),0)</f>
        <v/>
      </c>
      <c r="E28" s="26">
        <f>IFERROR(__xludf.DUMMYFUNCTION("""COMPUTED_VALUE"""),0)</f>
        <v/>
      </c>
      <c r="F28" s="26">
        <f>IFERROR(__xludf.DUMMYFUNCTION("""COMPUTED_VALUE"""),0)</f>
        <v/>
      </c>
      <c r="G28" s="26">
        <f>IFERROR(__xludf.DUMMYFUNCTION("""COMPUTED_VALUE"""),0)</f>
        <v/>
      </c>
      <c r="H28" s="26">
        <f>IFERROR(__xludf.DUMMYFUNCTION("""COMPUTED_VALUE"""),1)</f>
        <v/>
      </c>
      <c r="I28" s="26">
        <f>IFERROR(__xludf.DUMMYFUNCTION("""COMPUTED_VALUE"""),3)</f>
        <v/>
      </c>
      <c r="J28" s="26">
        <f>IFERROR(__xludf.DUMMYFUNCTION("""COMPUTED_VALUE"""),0)</f>
        <v/>
      </c>
      <c r="K28" s="26">
        <f>IFERROR(__xludf.DUMMYFUNCTION("""COMPUTED_VALUE"""),20)</f>
        <v/>
      </c>
      <c r="L28" s="26">
        <f>IFERROR(__xludf.DUMMYFUNCTION("""COMPUTED_VALUE"""),0)</f>
        <v/>
      </c>
      <c r="M28" s="26">
        <f>IFERROR(__xludf.DUMMYFUNCTION("""COMPUTED_VALUE"""),0)</f>
        <v/>
      </c>
      <c r="N28" s="26">
        <f>IFERROR(__xludf.DUMMYFUNCTION("""COMPUTED_VALUE"""),1)</f>
        <v/>
      </c>
      <c r="O28" s="26">
        <f>IFERROR(__xludf.DUMMYFUNCTION("""COMPUTED_VALUE"""),0)</f>
        <v/>
      </c>
      <c r="P28" s="26">
        <f>IFERROR(__xludf.DUMMYFUNCTION("""COMPUTED_VALUE"""),1)</f>
        <v/>
      </c>
      <c r="Q28" s="26">
        <f>IFERROR(__xludf.DUMMYFUNCTION("""COMPUTED_VALUE"""),0)</f>
        <v/>
      </c>
      <c r="R28" s="26">
        <f>IFERROR(__xludf.DUMMYFUNCTION("""COMPUTED_VALUE"""),2)</f>
        <v/>
      </c>
      <c r="S28" s="26" t="n"/>
    </row>
    <row r="29" ht="12.75" customHeight="1" s="117">
      <c r="A29" s="26">
        <f>IFERROR(__xludf.DUMMYFUNCTION("""COMPUTED_VALUE"""),"Trần Xuân Khoa")</f>
        <v/>
      </c>
      <c r="B29" s="26" t="n"/>
      <c r="C29" s="26">
        <f>IFERROR(__xludf.DUMMYFUNCTION("""COMPUTED_VALUE"""),12)</f>
        <v/>
      </c>
      <c r="D29" s="26">
        <f>IFERROR(__xludf.DUMMYFUNCTION("""COMPUTED_VALUE"""),0)</f>
        <v/>
      </c>
      <c r="E29" s="26">
        <f>IFERROR(__xludf.DUMMYFUNCTION("""COMPUTED_VALUE"""),0)</f>
        <v/>
      </c>
      <c r="F29" s="26">
        <f>IFERROR(__xludf.DUMMYFUNCTION("""COMPUTED_VALUE"""),0)</f>
        <v/>
      </c>
      <c r="G29" s="26">
        <f>IFERROR(__xludf.DUMMYFUNCTION("""COMPUTED_VALUE"""),0)</f>
        <v/>
      </c>
      <c r="H29" s="26">
        <f>IFERROR(__xludf.DUMMYFUNCTION("""COMPUTED_VALUE"""),0)</f>
        <v/>
      </c>
      <c r="I29" s="26">
        <f>IFERROR(__xludf.DUMMYFUNCTION("""COMPUTED_VALUE"""),5)</f>
        <v/>
      </c>
      <c r="J29" s="26">
        <f>IFERROR(__xludf.DUMMYFUNCTION("""COMPUTED_VALUE"""),0)</f>
        <v/>
      </c>
      <c r="K29" s="26">
        <f>IFERROR(__xludf.DUMMYFUNCTION("""COMPUTED_VALUE"""),20)</f>
        <v/>
      </c>
      <c r="L29" s="26">
        <f>IFERROR(__xludf.DUMMYFUNCTION("""COMPUTED_VALUE"""),0)</f>
        <v/>
      </c>
      <c r="M29" s="26">
        <f>IFERROR(__xludf.DUMMYFUNCTION("""COMPUTED_VALUE"""),0)</f>
        <v/>
      </c>
      <c r="N29" s="26">
        <f>IFERROR(__xludf.DUMMYFUNCTION("""COMPUTED_VALUE"""),0)</f>
        <v/>
      </c>
      <c r="O29" s="26">
        <f>IFERROR(__xludf.DUMMYFUNCTION("""COMPUTED_VALUE"""),0)</f>
        <v/>
      </c>
      <c r="P29" s="26">
        <f>IFERROR(__xludf.DUMMYFUNCTION("""COMPUTED_VALUE"""),2)</f>
        <v/>
      </c>
      <c r="Q29" s="26">
        <f>IFERROR(__xludf.DUMMYFUNCTION("""COMPUTED_VALUE"""),9)</f>
        <v/>
      </c>
      <c r="R29" s="26">
        <f>IFERROR(__xludf.DUMMYFUNCTION("""COMPUTED_VALUE"""),0)</f>
        <v/>
      </c>
      <c r="S29" s="26" t="n"/>
    </row>
    <row r="30" ht="12.75" customHeight="1" s="117">
      <c r="A30" s="26">
        <f>IFERROR(__xludf.DUMMYFUNCTION("""COMPUTED_VALUE"""),"Vòng Nhật Sang")</f>
        <v/>
      </c>
      <c r="B30" s="26" t="n"/>
      <c r="C30" s="26">
        <f>IFERROR(__xludf.DUMMYFUNCTION("""COMPUTED_VALUE"""),12)</f>
        <v/>
      </c>
      <c r="D30" s="26">
        <f>IFERROR(__xludf.DUMMYFUNCTION("""COMPUTED_VALUE"""),1)</f>
        <v/>
      </c>
      <c r="E30" s="26">
        <f>IFERROR(__xludf.DUMMYFUNCTION("""COMPUTED_VALUE"""),1)</f>
        <v/>
      </c>
      <c r="F30" s="26">
        <f>IFERROR(__xludf.DUMMYFUNCTION("""COMPUTED_VALUE"""),0)</f>
        <v/>
      </c>
      <c r="G30" s="26">
        <f>IFERROR(__xludf.DUMMYFUNCTION("""COMPUTED_VALUE"""),0)</f>
        <v/>
      </c>
      <c r="H30" s="26">
        <f>IFERROR(__xludf.DUMMYFUNCTION("""COMPUTED_VALUE"""),0)</f>
        <v/>
      </c>
      <c r="I30" s="26">
        <f>IFERROR(__xludf.DUMMYFUNCTION("""COMPUTED_VALUE"""),13)</f>
        <v/>
      </c>
      <c r="J30" s="26">
        <f>IFERROR(__xludf.DUMMYFUNCTION("""COMPUTED_VALUE"""),0)</f>
        <v/>
      </c>
      <c r="K30" s="26">
        <f>IFERROR(__xludf.DUMMYFUNCTION("""COMPUTED_VALUE"""),70)</f>
        <v/>
      </c>
      <c r="L30" s="26">
        <f>IFERROR(__xludf.DUMMYFUNCTION("""COMPUTED_VALUE"""),0)</f>
        <v/>
      </c>
      <c r="M30" s="26">
        <f>IFERROR(__xludf.DUMMYFUNCTION("""COMPUTED_VALUE"""),1)</f>
        <v/>
      </c>
      <c r="N30" s="26">
        <f>IFERROR(__xludf.DUMMYFUNCTION("""COMPUTED_VALUE"""),13)</f>
        <v/>
      </c>
      <c r="O30" s="26">
        <f>IFERROR(__xludf.DUMMYFUNCTION("""COMPUTED_VALUE"""),0)</f>
        <v/>
      </c>
      <c r="P30" s="26">
        <f>IFERROR(__xludf.DUMMYFUNCTION("""COMPUTED_VALUE"""),4)</f>
        <v/>
      </c>
      <c r="Q30" s="26">
        <f>IFERROR(__xludf.DUMMYFUNCTION("""COMPUTED_VALUE"""),5)</f>
        <v/>
      </c>
      <c r="R30" s="26">
        <f>IFERROR(__xludf.DUMMYFUNCTION("""COMPUTED_VALUE"""),0)</f>
        <v/>
      </c>
      <c r="S30" s="26" t="n"/>
    </row>
    <row r="31" ht="12.75" customHeight="1" s="117">
      <c r="A31" s="26">
        <f>IFERROR(__xludf.DUMMYFUNCTION("""COMPUTED_VALUE"""),"Đào Công Trung")</f>
        <v/>
      </c>
      <c r="B31" s="26" t="n"/>
      <c r="C31" s="26">
        <f>IFERROR(__xludf.DUMMYFUNCTION("""COMPUTED_VALUE"""),12)</f>
        <v/>
      </c>
      <c r="D31" s="26">
        <f>IFERROR(__xludf.DUMMYFUNCTION("""COMPUTED_VALUE"""),2)</f>
        <v/>
      </c>
      <c r="E31" s="26">
        <f>IFERROR(__xludf.DUMMYFUNCTION("""COMPUTED_VALUE"""),1)</f>
        <v/>
      </c>
      <c r="F31" s="26">
        <f>IFERROR(__xludf.DUMMYFUNCTION("""COMPUTED_VALUE"""),2)</f>
        <v/>
      </c>
      <c r="G31" s="26">
        <f>IFERROR(__xludf.DUMMYFUNCTION("""COMPUTED_VALUE"""),0)</f>
        <v/>
      </c>
      <c r="H31" s="26">
        <f>IFERROR(__xludf.DUMMYFUNCTION("""COMPUTED_VALUE"""),0)</f>
        <v/>
      </c>
      <c r="I31" s="26">
        <f>IFERROR(__xludf.DUMMYFUNCTION("""COMPUTED_VALUE"""),2)</f>
        <v/>
      </c>
      <c r="J31" s="26">
        <f>IFERROR(__xludf.DUMMYFUNCTION("""COMPUTED_VALUE"""),0)</f>
        <v/>
      </c>
      <c r="K31" s="26">
        <f>IFERROR(__xludf.DUMMYFUNCTION("""COMPUTED_VALUE"""),14)</f>
        <v/>
      </c>
      <c r="L31" s="26">
        <f>IFERROR(__xludf.DUMMYFUNCTION("""COMPUTED_VALUE"""),0)</f>
        <v/>
      </c>
      <c r="M31" s="26">
        <f>IFERROR(__xludf.DUMMYFUNCTION("""COMPUTED_VALUE"""),4)</f>
        <v/>
      </c>
      <c r="N31" s="26">
        <f>IFERROR(__xludf.DUMMYFUNCTION("""COMPUTED_VALUE"""),0)</f>
        <v/>
      </c>
      <c r="O31" s="26">
        <f>IFERROR(__xludf.DUMMYFUNCTION("""COMPUTED_VALUE"""),0)</f>
        <v/>
      </c>
      <c r="P31" s="26">
        <f>IFERROR(__xludf.DUMMYFUNCTION("""COMPUTED_VALUE"""),0)</f>
        <v/>
      </c>
      <c r="Q31" s="26">
        <f>IFERROR(__xludf.DUMMYFUNCTION("""COMPUTED_VALUE"""),4)</f>
        <v/>
      </c>
      <c r="R31" s="26">
        <f>IFERROR(__xludf.DUMMYFUNCTION("""COMPUTED_VALUE"""),0)</f>
        <v/>
      </c>
      <c r="S31" s="26" t="n"/>
    </row>
    <row r="32" ht="12.75" customHeight="1" s="117">
      <c r="A32" s="26">
        <f>IFERROR(__xludf.DUMMYFUNCTION("""COMPUTED_VALUE"""),"Đặng Hoài Anh")</f>
        <v/>
      </c>
      <c r="B32" s="26" t="n"/>
      <c r="C32" s="26">
        <f>IFERROR(__xludf.DUMMYFUNCTION("""COMPUTED_VALUE"""),12)</f>
        <v/>
      </c>
      <c r="D32" s="26">
        <f>IFERROR(__xludf.DUMMYFUNCTION("""COMPUTED_VALUE"""),1)</f>
        <v/>
      </c>
      <c r="E32" s="26">
        <f>IFERROR(__xludf.DUMMYFUNCTION("""COMPUTED_VALUE"""),0)</f>
        <v/>
      </c>
      <c r="F32" s="26">
        <f>IFERROR(__xludf.DUMMYFUNCTION("""COMPUTED_VALUE"""),1)</f>
        <v/>
      </c>
      <c r="G32" s="26">
        <f>IFERROR(__xludf.DUMMYFUNCTION("""COMPUTED_VALUE"""),1)</f>
        <v/>
      </c>
      <c r="H32" s="26">
        <f>IFERROR(__xludf.DUMMYFUNCTION("""COMPUTED_VALUE"""),1)</f>
        <v/>
      </c>
      <c r="I32" s="26">
        <f>IFERROR(__xludf.DUMMYFUNCTION("""COMPUTED_VALUE"""),0)</f>
        <v/>
      </c>
      <c r="J32" s="26">
        <f>IFERROR(__xludf.DUMMYFUNCTION("""COMPUTED_VALUE"""),0)</f>
        <v/>
      </c>
      <c r="K32" s="26">
        <f>IFERROR(__xludf.DUMMYFUNCTION("""COMPUTED_VALUE"""),4)</f>
        <v/>
      </c>
      <c r="L32" s="26">
        <f>IFERROR(__xludf.DUMMYFUNCTION("""COMPUTED_VALUE"""),0)</f>
        <v/>
      </c>
      <c r="M32" s="26">
        <f>IFERROR(__xludf.DUMMYFUNCTION("""COMPUTED_VALUE"""),2)</f>
        <v/>
      </c>
      <c r="N32" s="26">
        <f>IFERROR(__xludf.DUMMYFUNCTION("""COMPUTED_VALUE"""),1)</f>
        <v/>
      </c>
      <c r="O32" s="26">
        <f>IFERROR(__xludf.DUMMYFUNCTION("""COMPUTED_VALUE"""),0)</f>
        <v/>
      </c>
      <c r="P32" s="26">
        <f>IFERROR(__xludf.DUMMYFUNCTION("""COMPUTED_VALUE"""),2)</f>
        <v/>
      </c>
      <c r="Q32" s="26">
        <f>IFERROR(__xludf.DUMMYFUNCTION("""COMPUTED_VALUE"""),0)</f>
        <v/>
      </c>
      <c r="R32" s="26">
        <f>IFERROR(__xludf.DUMMYFUNCTION("""COMPUTED_VALUE"""),0)</f>
        <v/>
      </c>
      <c r="S32" s="26" t="n"/>
    </row>
    <row r="33" ht="12.75" customHeight="1" s="117">
      <c r="A33" s="26">
        <f>IFERROR(__xludf.DUMMYFUNCTION("""COMPUTED_VALUE"""),"Đặng Hữu Danh")</f>
        <v/>
      </c>
      <c r="B33" s="26" t="n"/>
      <c r="C33" s="26">
        <f>IFERROR(__xludf.DUMMYFUNCTION("""COMPUTED_VALUE"""),12)</f>
        <v/>
      </c>
      <c r="D33" s="26">
        <f>IFERROR(__xludf.DUMMYFUNCTION("""COMPUTED_VALUE"""),0)</f>
        <v/>
      </c>
      <c r="E33" s="26">
        <f>IFERROR(__xludf.DUMMYFUNCTION("""COMPUTED_VALUE"""),0)</f>
        <v/>
      </c>
      <c r="F33" s="26">
        <f>IFERROR(__xludf.DUMMYFUNCTION("""COMPUTED_VALUE"""),9)</f>
        <v/>
      </c>
      <c r="G33" s="26">
        <f>IFERROR(__xludf.DUMMYFUNCTION("""COMPUTED_VALUE"""),0)</f>
        <v/>
      </c>
      <c r="H33" s="26">
        <f>IFERROR(__xludf.DUMMYFUNCTION("""COMPUTED_VALUE"""),0)</f>
        <v/>
      </c>
      <c r="I33" s="26">
        <f>IFERROR(__xludf.DUMMYFUNCTION("""COMPUTED_VALUE"""),6)</f>
        <v/>
      </c>
      <c r="J33" s="26">
        <f>IFERROR(__xludf.DUMMYFUNCTION("""COMPUTED_VALUE"""),0)</f>
        <v/>
      </c>
      <c r="K33" s="26">
        <f>IFERROR(__xludf.DUMMYFUNCTION("""COMPUTED_VALUE"""),16)</f>
        <v/>
      </c>
      <c r="L33" s="26">
        <f>IFERROR(__xludf.DUMMYFUNCTION("""COMPUTED_VALUE"""),0)</f>
        <v/>
      </c>
      <c r="M33" s="26">
        <f>IFERROR(__xludf.DUMMYFUNCTION("""COMPUTED_VALUE"""),0)</f>
        <v/>
      </c>
      <c r="N33" s="26">
        <f>IFERROR(__xludf.DUMMYFUNCTION("""COMPUTED_VALUE"""),0)</f>
        <v/>
      </c>
      <c r="O33" s="26">
        <f>IFERROR(__xludf.DUMMYFUNCTION("""COMPUTED_VALUE"""),0)</f>
        <v/>
      </c>
      <c r="P33" s="26">
        <f>IFERROR(__xludf.DUMMYFUNCTION("""COMPUTED_VALUE"""),6)</f>
        <v/>
      </c>
      <c r="Q33" s="26">
        <f>IFERROR(__xludf.DUMMYFUNCTION("""COMPUTED_VALUE"""),14)</f>
        <v/>
      </c>
      <c r="R33" s="26">
        <f>IFERROR(__xludf.DUMMYFUNCTION("""COMPUTED_VALUE"""),2)</f>
        <v/>
      </c>
      <c r="S33" s="26" t="n"/>
    </row>
    <row r="34" ht="12.75" customHeight="1" s="117">
      <c r="A34" s="26">
        <f>IFERROR(__xludf.DUMMYFUNCTION("""COMPUTED_VALUE"""),"Bùi Duy Cường")</f>
        <v/>
      </c>
      <c r="B34" s="26">
        <f>IFERROR(__xludf.DUMMYFUNCTION("""COMPUTED_VALUE"""),2025)</f>
        <v/>
      </c>
      <c r="C34" s="26">
        <f>IFERROR(__xludf.DUMMYFUNCTION("""COMPUTED_VALUE"""),12)</f>
        <v/>
      </c>
      <c r="D34" s="26">
        <f>IFERROR(__xludf.DUMMYFUNCTION("""COMPUTED_VALUE"""),0)</f>
        <v/>
      </c>
      <c r="E34" s="26">
        <f>IFERROR(__xludf.DUMMYFUNCTION("""COMPUTED_VALUE"""),0)</f>
        <v/>
      </c>
      <c r="F34" s="26">
        <f>IFERROR(__xludf.DUMMYFUNCTION("""COMPUTED_VALUE"""),0)</f>
        <v/>
      </c>
      <c r="G34" s="26">
        <f>IFERROR(__xludf.DUMMYFUNCTION("""COMPUTED_VALUE"""),7)</f>
        <v/>
      </c>
      <c r="H34" s="26">
        <f>IFERROR(__xludf.DUMMYFUNCTION("""COMPUTED_VALUE"""),6)</f>
        <v/>
      </c>
      <c r="I34" s="26">
        <f>IFERROR(__xludf.DUMMYFUNCTION("""COMPUTED_VALUE"""),18)</f>
        <v/>
      </c>
      <c r="J34" s="26">
        <f>IFERROR(__xludf.DUMMYFUNCTION("""COMPUTED_VALUE"""),2)</f>
        <v/>
      </c>
      <c r="K34" s="26">
        <f>IFERROR(__xludf.DUMMYFUNCTION("""COMPUTED_VALUE"""),47)</f>
        <v/>
      </c>
      <c r="L34" s="26">
        <f>IFERROR(__xludf.DUMMYFUNCTION("""COMPUTED_VALUE"""),28)</f>
        <v/>
      </c>
      <c r="M34" s="26">
        <f>IFERROR(__xludf.DUMMYFUNCTION("""COMPUTED_VALUE"""),4)</f>
        <v/>
      </c>
      <c r="N34" s="26">
        <f>IFERROR(__xludf.DUMMYFUNCTION("""COMPUTED_VALUE"""),5)</f>
        <v/>
      </c>
      <c r="O34" s="26">
        <f>IFERROR(__xludf.DUMMYFUNCTION("""COMPUTED_VALUE"""),2)</f>
        <v/>
      </c>
      <c r="P34" s="26">
        <f>IFERROR(__xludf.DUMMYFUNCTION("""COMPUTED_VALUE"""),3)</f>
        <v/>
      </c>
      <c r="Q34" s="26">
        <f>IFERROR(__xludf.DUMMYFUNCTION("""COMPUTED_VALUE"""),19)</f>
        <v/>
      </c>
      <c r="R34" s="26">
        <f>IFERROR(__xludf.DUMMYFUNCTION("""COMPUTED_VALUE"""),0)</f>
        <v/>
      </c>
      <c r="S34" s="26" t="n"/>
    </row>
    <row r="35" ht="12.75" customHeight="1" s="117">
      <c r="A35" s="26">
        <f>IFERROR(__xludf.DUMMYFUNCTION("""COMPUTED_VALUE"""),"Dương Minh Tiến")</f>
        <v/>
      </c>
      <c r="B35" s="26">
        <f>IFERROR(__xludf.DUMMYFUNCTION("""COMPUTED_VALUE"""),2025)</f>
        <v/>
      </c>
      <c r="C35" s="26">
        <f>IFERROR(__xludf.DUMMYFUNCTION("""COMPUTED_VALUE"""),12)</f>
        <v/>
      </c>
      <c r="D35" s="26">
        <f>IFERROR(__xludf.DUMMYFUNCTION("""COMPUTED_VALUE"""),2)</f>
        <v/>
      </c>
      <c r="E35" s="26">
        <f>IFERROR(__xludf.DUMMYFUNCTION("""COMPUTED_VALUE"""),1)</f>
        <v/>
      </c>
      <c r="F35" s="26">
        <f>IFERROR(__xludf.DUMMYFUNCTION("""COMPUTED_VALUE"""),1)</f>
        <v/>
      </c>
      <c r="G35" s="26">
        <f>IFERROR(__xludf.DUMMYFUNCTION("""COMPUTED_VALUE"""),1)</f>
        <v/>
      </c>
      <c r="H35" s="26">
        <f>IFERROR(__xludf.DUMMYFUNCTION("""COMPUTED_VALUE"""),0)</f>
        <v/>
      </c>
      <c r="I35" s="26">
        <f>IFERROR(__xludf.DUMMYFUNCTION("""COMPUTED_VALUE"""),20)</f>
        <v/>
      </c>
      <c r="J35" s="26">
        <f>IFERROR(__xludf.DUMMYFUNCTION("""COMPUTED_VALUE"""),0)</f>
        <v/>
      </c>
      <c r="K35" s="26">
        <f>IFERROR(__xludf.DUMMYFUNCTION("""COMPUTED_VALUE"""),20)</f>
        <v/>
      </c>
      <c r="L35" s="26">
        <f>IFERROR(__xludf.DUMMYFUNCTION("""COMPUTED_VALUE"""),16)</f>
        <v/>
      </c>
      <c r="M35" s="26">
        <f>IFERROR(__xludf.DUMMYFUNCTION("""COMPUTED_VALUE"""),5)</f>
        <v/>
      </c>
      <c r="N35" s="26">
        <f>IFERROR(__xludf.DUMMYFUNCTION("""COMPUTED_VALUE"""),0)</f>
        <v/>
      </c>
      <c r="O35" s="26">
        <f>IFERROR(__xludf.DUMMYFUNCTION("""COMPUTED_VALUE"""),0)</f>
        <v/>
      </c>
      <c r="P35" s="26">
        <f>IFERROR(__xludf.DUMMYFUNCTION("""COMPUTED_VALUE"""),9)</f>
        <v/>
      </c>
      <c r="Q35" s="26">
        <f>IFERROR(__xludf.DUMMYFUNCTION("""COMPUTED_VALUE"""),6)</f>
        <v/>
      </c>
      <c r="R35" s="26">
        <f>IFERROR(__xludf.DUMMYFUNCTION("""COMPUTED_VALUE"""),3)</f>
        <v/>
      </c>
      <c r="S35" s="26" t="n"/>
    </row>
    <row r="36" ht="12.75" customHeight="1" s="117">
      <c r="A36" s="26">
        <f>IFERROR(__xludf.DUMMYFUNCTION("""COMPUTED_VALUE"""),"Hoàng Văn Chất")</f>
        <v/>
      </c>
      <c r="B36" s="26">
        <f>IFERROR(__xludf.DUMMYFUNCTION("""COMPUTED_VALUE"""),2025)</f>
        <v/>
      </c>
      <c r="C36" s="26">
        <f>IFERROR(__xludf.DUMMYFUNCTION("""COMPUTED_VALUE"""),12)</f>
        <v/>
      </c>
      <c r="D36" s="26">
        <f>IFERROR(__xludf.DUMMYFUNCTION("""COMPUTED_VALUE"""),4)</f>
        <v/>
      </c>
      <c r="E36" s="26">
        <f>IFERROR(__xludf.DUMMYFUNCTION("""COMPUTED_VALUE"""),1)</f>
        <v/>
      </c>
      <c r="F36" s="26">
        <f>IFERROR(__xludf.DUMMYFUNCTION("""COMPUTED_VALUE"""),1)</f>
        <v/>
      </c>
      <c r="G36" s="26">
        <f>IFERROR(__xludf.DUMMYFUNCTION("""COMPUTED_VALUE"""),0)</f>
        <v/>
      </c>
      <c r="H36" s="26">
        <f>IFERROR(__xludf.DUMMYFUNCTION("""COMPUTED_VALUE"""),0)</f>
        <v/>
      </c>
      <c r="I36" s="26">
        <f>IFERROR(__xludf.DUMMYFUNCTION("""COMPUTED_VALUE"""),1)</f>
        <v/>
      </c>
      <c r="J36" s="26">
        <f>IFERROR(__xludf.DUMMYFUNCTION("""COMPUTED_VALUE"""),0)</f>
        <v/>
      </c>
      <c r="K36" s="26">
        <f>IFERROR(__xludf.DUMMYFUNCTION("""COMPUTED_VALUE"""),14)</f>
        <v/>
      </c>
      <c r="L36" s="26">
        <f>IFERROR(__xludf.DUMMYFUNCTION("""COMPUTED_VALUE"""),17)</f>
        <v/>
      </c>
      <c r="M36" s="26">
        <f>IFERROR(__xludf.DUMMYFUNCTION("""COMPUTED_VALUE"""),5)</f>
        <v/>
      </c>
      <c r="N36" s="26">
        <f>IFERROR(__xludf.DUMMYFUNCTION("""COMPUTED_VALUE"""),0)</f>
        <v/>
      </c>
      <c r="O36" s="26">
        <f>IFERROR(__xludf.DUMMYFUNCTION("""COMPUTED_VALUE"""),1)</f>
        <v/>
      </c>
      <c r="P36" s="26">
        <f>IFERROR(__xludf.DUMMYFUNCTION("""COMPUTED_VALUE"""),2)</f>
        <v/>
      </c>
      <c r="Q36" s="26">
        <f>IFERROR(__xludf.DUMMYFUNCTION("""COMPUTED_VALUE"""),7)</f>
        <v/>
      </c>
      <c r="R36" s="26">
        <f>IFERROR(__xludf.DUMMYFUNCTION("""COMPUTED_VALUE"""),0)</f>
        <v/>
      </c>
      <c r="S36" s="26" t="n"/>
    </row>
    <row r="37" ht="12.75" customHeight="1" s="117">
      <c r="A37" s="26">
        <f>IFERROR(__xludf.DUMMYFUNCTION("""COMPUTED_VALUE"""),"Huỳnh Văn Lực")</f>
        <v/>
      </c>
      <c r="B37" s="26">
        <f>IFERROR(__xludf.DUMMYFUNCTION("""COMPUTED_VALUE"""),2025)</f>
        <v/>
      </c>
      <c r="C37" s="26">
        <f>IFERROR(__xludf.DUMMYFUNCTION("""COMPUTED_VALUE"""),12)</f>
        <v/>
      </c>
      <c r="D37" s="26">
        <f>IFERROR(__xludf.DUMMYFUNCTION("""COMPUTED_VALUE"""),2)</f>
        <v/>
      </c>
      <c r="E37" s="26">
        <f>IFERROR(__xludf.DUMMYFUNCTION("""COMPUTED_VALUE"""),0)</f>
        <v/>
      </c>
      <c r="F37" s="26">
        <f>IFERROR(__xludf.DUMMYFUNCTION("""COMPUTED_VALUE"""),2)</f>
        <v/>
      </c>
      <c r="G37" s="26">
        <f>IFERROR(__xludf.DUMMYFUNCTION("""COMPUTED_VALUE"""),0)</f>
        <v/>
      </c>
      <c r="H37" s="26">
        <f>IFERROR(__xludf.DUMMYFUNCTION("""COMPUTED_VALUE"""),0)</f>
        <v/>
      </c>
      <c r="I37" s="26">
        <f>IFERROR(__xludf.DUMMYFUNCTION("""COMPUTED_VALUE"""),27)</f>
        <v/>
      </c>
      <c r="J37" s="26">
        <f>IFERROR(__xludf.DUMMYFUNCTION("""COMPUTED_VALUE"""),0)</f>
        <v/>
      </c>
      <c r="K37" s="26">
        <f>IFERROR(__xludf.DUMMYFUNCTION("""COMPUTED_VALUE"""),16)</f>
        <v/>
      </c>
      <c r="L37" s="26">
        <f>IFERROR(__xludf.DUMMYFUNCTION("""COMPUTED_VALUE"""),4)</f>
        <v/>
      </c>
      <c r="M37" s="26">
        <f>IFERROR(__xludf.DUMMYFUNCTION("""COMPUTED_VALUE"""),2)</f>
        <v/>
      </c>
      <c r="N37" s="26">
        <f>IFERROR(__xludf.DUMMYFUNCTION("""COMPUTED_VALUE"""),3)</f>
        <v/>
      </c>
      <c r="O37" s="26">
        <f>IFERROR(__xludf.DUMMYFUNCTION("""COMPUTED_VALUE"""),1)</f>
        <v/>
      </c>
      <c r="P37" s="26">
        <f>IFERROR(__xludf.DUMMYFUNCTION("""COMPUTED_VALUE"""),2)</f>
        <v/>
      </c>
      <c r="Q37" s="26">
        <f>IFERROR(__xludf.DUMMYFUNCTION("""COMPUTED_VALUE"""),18)</f>
        <v/>
      </c>
      <c r="R37" s="26">
        <f>IFERROR(__xludf.DUMMYFUNCTION("""COMPUTED_VALUE"""),1)</f>
        <v/>
      </c>
      <c r="S37" s="26" t="n"/>
    </row>
    <row r="38" ht="12.75" customHeight="1" s="117">
      <c r="A38" s="26">
        <f>IFERROR(__xludf.DUMMYFUNCTION("""COMPUTED_VALUE"""),"Hồ Thái Minh Trí")</f>
        <v/>
      </c>
      <c r="B38" s="26">
        <f>IFERROR(__xludf.DUMMYFUNCTION("""COMPUTED_VALUE"""),2025)</f>
        <v/>
      </c>
      <c r="C38" s="26">
        <f>IFERROR(__xludf.DUMMYFUNCTION("""COMPUTED_VALUE"""),12)</f>
        <v/>
      </c>
      <c r="D38" s="26">
        <f>IFERROR(__xludf.DUMMYFUNCTION("""COMPUTED_VALUE"""),1)</f>
        <v/>
      </c>
      <c r="E38" s="26">
        <f>IFERROR(__xludf.DUMMYFUNCTION("""COMPUTED_VALUE"""),0)</f>
        <v/>
      </c>
      <c r="F38" s="26">
        <f>IFERROR(__xludf.DUMMYFUNCTION("""COMPUTED_VALUE"""),0)</f>
        <v/>
      </c>
      <c r="G38" s="26">
        <f>IFERROR(__xludf.DUMMYFUNCTION("""COMPUTED_VALUE"""),2)</f>
        <v/>
      </c>
      <c r="H38" s="26">
        <f>IFERROR(__xludf.DUMMYFUNCTION("""COMPUTED_VALUE"""),0)</f>
        <v/>
      </c>
      <c r="I38" s="26">
        <f>IFERROR(__xludf.DUMMYFUNCTION("""COMPUTED_VALUE"""),2)</f>
        <v/>
      </c>
      <c r="J38" s="26">
        <f>IFERROR(__xludf.DUMMYFUNCTION("""COMPUTED_VALUE"""),0)</f>
        <v/>
      </c>
      <c r="K38" s="26">
        <f>IFERROR(__xludf.DUMMYFUNCTION("""COMPUTED_VALUE"""),6)</f>
        <v/>
      </c>
      <c r="L38" s="26">
        <f>IFERROR(__xludf.DUMMYFUNCTION("""COMPUTED_VALUE"""),34)</f>
        <v/>
      </c>
      <c r="M38" s="26">
        <f>IFERROR(__xludf.DUMMYFUNCTION("""COMPUTED_VALUE"""),3)</f>
        <v/>
      </c>
      <c r="N38" s="26">
        <f>IFERROR(__xludf.DUMMYFUNCTION("""COMPUTED_VALUE"""),0)</f>
        <v/>
      </c>
      <c r="O38" s="26">
        <f>IFERROR(__xludf.DUMMYFUNCTION("""COMPUTED_VALUE"""),0)</f>
        <v/>
      </c>
      <c r="P38" s="26">
        <f>IFERROR(__xludf.DUMMYFUNCTION("""COMPUTED_VALUE"""),0)</f>
        <v/>
      </c>
      <c r="Q38" s="26">
        <f>IFERROR(__xludf.DUMMYFUNCTION("""COMPUTED_VALUE"""),14)</f>
        <v/>
      </c>
      <c r="R38" s="26">
        <f>IFERROR(__xludf.DUMMYFUNCTION("""COMPUTED_VALUE"""),0)</f>
        <v/>
      </c>
      <c r="S38" s="26" t="n"/>
    </row>
    <row r="39" ht="12.75" customHeight="1" s="117">
      <c r="A39" s="26">
        <f>IFERROR(__xludf.DUMMYFUNCTION("""COMPUTED_VALUE"""),"Hồ Xuân Việt")</f>
        <v/>
      </c>
      <c r="B39" s="26">
        <f>IFERROR(__xludf.DUMMYFUNCTION("""COMPUTED_VALUE"""),2025)</f>
        <v/>
      </c>
      <c r="C39" s="26">
        <f>IFERROR(__xludf.DUMMYFUNCTION("""COMPUTED_VALUE"""),12)</f>
        <v/>
      </c>
      <c r="D39" s="26">
        <f>IFERROR(__xludf.DUMMYFUNCTION("""COMPUTED_VALUE"""),0)</f>
        <v/>
      </c>
      <c r="E39" s="26">
        <f>IFERROR(__xludf.DUMMYFUNCTION("""COMPUTED_VALUE"""),0)</f>
        <v/>
      </c>
      <c r="F39" s="26">
        <f>IFERROR(__xludf.DUMMYFUNCTION("""COMPUTED_VALUE"""),0)</f>
        <v/>
      </c>
      <c r="G39" s="26">
        <f>IFERROR(__xludf.DUMMYFUNCTION("""COMPUTED_VALUE"""),0)</f>
        <v/>
      </c>
      <c r="H39" s="26">
        <f>IFERROR(__xludf.DUMMYFUNCTION("""COMPUTED_VALUE"""),0)</f>
        <v/>
      </c>
      <c r="I39" s="26">
        <f>IFERROR(__xludf.DUMMYFUNCTION("""COMPUTED_VALUE"""),20)</f>
        <v/>
      </c>
      <c r="J39" s="26">
        <f>IFERROR(__xludf.DUMMYFUNCTION("""COMPUTED_VALUE"""),0)</f>
        <v/>
      </c>
      <c r="K39" s="26">
        <f>IFERROR(__xludf.DUMMYFUNCTION("""COMPUTED_VALUE"""),20)</f>
        <v/>
      </c>
      <c r="L39" s="26">
        <f>IFERROR(__xludf.DUMMYFUNCTION("""COMPUTED_VALUE"""),1)</f>
        <v/>
      </c>
      <c r="M39" s="26">
        <f>IFERROR(__xludf.DUMMYFUNCTION("""COMPUTED_VALUE"""),1)</f>
        <v/>
      </c>
      <c r="N39" s="26">
        <f>IFERROR(__xludf.DUMMYFUNCTION("""COMPUTED_VALUE"""),0)</f>
        <v/>
      </c>
      <c r="O39" s="26">
        <f>IFERROR(__xludf.DUMMYFUNCTION("""COMPUTED_VALUE"""),0)</f>
        <v/>
      </c>
      <c r="P39" s="26">
        <f>IFERROR(__xludf.DUMMYFUNCTION("""COMPUTED_VALUE"""),5)</f>
        <v/>
      </c>
      <c r="Q39" s="26">
        <f>IFERROR(__xludf.DUMMYFUNCTION("""COMPUTED_VALUE"""),18)</f>
        <v/>
      </c>
      <c r="R39" s="26">
        <f>IFERROR(__xludf.DUMMYFUNCTION("""COMPUTED_VALUE"""),0)</f>
        <v/>
      </c>
      <c r="S39" s="26" t="n"/>
    </row>
    <row r="40" ht="12.75" customHeight="1" s="117">
      <c r="A40" s="26">
        <f>IFERROR(__xludf.DUMMYFUNCTION("""COMPUTED_VALUE"""),"Lê Hồng Phong")</f>
        <v/>
      </c>
      <c r="B40" s="26">
        <f>IFERROR(__xludf.DUMMYFUNCTION("""COMPUTED_VALUE"""),2025)</f>
        <v/>
      </c>
      <c r="C40" s="26">
        <f>IFERROR(__xludf.DUMMYFUNCTION("""COMPUTED_VALUE"""),12)</f>
        <v/>
      </c>
      <c r="D40" s="26">
        <f>IFERROR(__xludf.DUMMYFUNCTION("""COMPUTED_VALUE"""),4)</f>
        <v/>
      </c>
      <c r="E40" s="26">
        <f>IFERROR(__xludf.DUMMYFUNCTION("""COMPUTED_VALUE"""),4)</f>
        <v/>
      </c>
      <c r="F40" s="26">
        <f>IFERROR(__xludf.DUMMYFUNCTION("""COMPUTED_VALUE"""),4)</f>
        <v/>
      </c>
      <c r="G40" s="26">
        <f>IFERROR(__xludf.DUMMYFUNCTION("""COMPUTED_VALUE"""),0)</f>
        <v/>
      </c>
      <c r="H40" s="26">
        <f>IFERROR(__xludf.DUMMYFUNCTION("""COMPUTED_VALUE"""),0)</f>
        <v/>
      </c>
      <c r="I40" s="26">
        <f>IFERROR(__xludf.DUMMYFUNCTION("""COMPUTED_VALUE"""),4)</f>
        <v/>
      </c>
      <c r="J40" s="26">
        <f>IFERROR(__xludf.DUMMYFUNCTION("""COMPUTED_VALUE"""),4)</f>
        <v/>
      </c>
      <c r="K40" s="26">
        <f>IFERROR(__xludf.DUMMYFUNCTION("""COMPUTED_VALUE"""),4)</f>
        <v/>
      </c>
      <c r="L40" s="26">
        <f>IFERROR(__xludf.DUMMYFUNCTION("""COMPUTED_VALUE"""),4)</f>
        <v/>
      </c>
      <c r="M40" s="26">
        <f>IFERROR(__xludf.DUMMYFUNCTION("""COMPUTED_VALUE"""),4)</f>
        <v/>
      </c>
      <c r="N40" s="26">
        <f>IFERROR(__xludf.DUMMYFUNCTION("""COMPUTED_VALUE"""),4)</f>
        <v/>
      </c>
      <c r="O40" s="26">
        <f>IFERROR(__xludf.DUMMYFUNCTION("""COMPUTED_VALUE"""),3)</f>
        <v/>
      </c>
      <c r="P40" s="26">
        <f>IFERROR(__xludf.DUMMYFUNCTION("""COMPUTED_VALUE"""),4)</f>
        <v/>
      </c>
      <c r="Q40" s="26">
        <f>IFERROR(__xludf.DUMMYFUNCTION("""COMPUTED_VALUE"""),4)</f>
        <v/>
      </c>
      <c r="R40" s="26">
        <f>IFERROR(__xludf.DUMMYFUNCTION("""COMPUTED_VALUE"""),4)</f>
        <v/>
      </c>
      <c r="S40" s="26" t="n"/>
    </row>
    <row r="41" ht="12.75" customHeight="1" s="117">
      <c r="A41" s="26">
        <f>IFERROR(__xludf.DUMMYFUNCTION("""COMPUTED_VALUE"""),"Lê Quốc Duy")</f>
        <v/>
      </c>
      <c r="B41" s="26">
        <f>IFERROR(__xludf.DUMMYFUNCTION("""COMPUTED_VALUE"""),2025)</f>
        <v/>
      </c>
      <c r="C41" s="26">
        <f>IFERROR(__xludf.DUMMYFUNCTION("""COMPUTED_VALUE"""),12)</f>
        <v/>
      </c>
      <c r="D41" s="26">
        <f>IFERROR(__xludf.DUMMYFUNCTION("""COMPUTED_VALUE"""),2)</f>
        <v/>
      </c>
      <c r="E41" s="26">
        <f>IFERROR(__xludf.DUMMYFUNCTION("""COMPUTED_VALUE"""),1)</f>
        <v/>
      </c>
      <c r="F41" s="26">
        <f>IFERROR(__xludf.DUMMYFUNCTION("""COMPUTED_VALUE"""),1)</f>
        <v/>
      </c>
      <c r="G41" s="26">
        <f>IFERROR(__xludf.DUMMYFUNCTION("""COMPUTED_VALUE"""),3)</f>
        <v/>
      </c>
      <c r="H41" s="26">
        <f>IFERROR(__xludf.DUMMYFUNCTION("""COMPUTED_VALUE"""),3)</f>
        <v/>
      </c>
      <c r="I41" s="26">
        <f>IFERROR(__xludf.DUMMYFUNCTION("""COMPUTED_VALUE"""),28)</f>
        <v/>
      </c>
      <c r="J41" s="26">
        <f>IFERROR(__xludf.DUMMYFUNCTION("""COMPUTED_VALUE"""),3)</f>
        <v/>
      </c>
      <c r="K41" s="26">
        <f>IFERROR(__xludf.DUMMYFUNCTION("""COMPUTED_VALUE"""),5)</f>
        <v/>
      </c>
      <c r="L41" s="26">
        <f>IFERROR(__xludf.DUMMYFUNCTION("""COMPUTED_VALUE"""),23)</f>
        <v/>
      </c>
      <c r="M41" s="26">
        <f>IFERROR(__xludf.DUMMYFUNCTION("""COMPUTED_VALUE"""),4)</f>
        <v/>
      </c>
      <c r="N41" s="26">
        <f>IFERROR(__xludf.DUMMYFUNCTION("""COMPUTED_VALUE"""),0)</f>
        <v/>
      </c>
      <c r="O41" s="26">
        <f>IFERROR(__xludf.DUMMYFUNCTION("""COMPUTED_VALUE"""),4)</f>
        <v/>
      </c>
      <c r="P41" s="26">
        <f>IFERROR(__xludf.DUMMYFUNCTION("""COMPUTED_VALUE"""),2)</f>
        <v/>
      </c>
      <c r="Q41" s="26">
        <f>IFERROR(__xludf.DUMMYFUNCTION("""COMPUTED_VALUE"""),14)</f>
        <v/>
      </c>
      <c r="R41" s="26">
        <f>IFERROR(__xludf.DUMMYFUNCTION("""COMPUTED_VALUE"""),0)</f>
        <v/>
      </c>
      <c r="S41" s="26" t="n"/>
    </row>
    <row r="42" ht="12.75" customHeight="1" s="117">
      <c r="A42" s="26">
        <f>IFERROR(__xludf.DUMMYFUNCTION("""COMPUTED_VALUE"""),"Lê Văn Hồng")</f>
        <v/>
      </c>
      <c r="B42" s="26">
        <f>IFERROR(__xludf.DUMMYFUNCTION("""COMPUTED_VALUE"""),2025)</f>
        <v/>
      </c>
      <c r="C42" s="26">
        <f>IFERROR(__xludf.DUMMYFUNCTION("""COMPUTED_VALUE"""),12)</f>
        <v/>
      </c>
      <c r="D42" s="26">
        <f>IFERROR(__xludf.DUMMYFUNCTION("""COMPUTED_VALUE"""),3)</f>
        <v/>
      </c>
      <c r="E42" s="26">
        <f>IFERROR(__xludf.DUMMYFUNCTION("""COMPUTED_VALUE"""),0)</f>
        <v/>
      </c>
      <c r="F42" s="26">
        <f>IFERROR(__xludf.DUMMYFUNCTION("""COMPUTED_VALUE"""),0)</f>
        <v/>
      </c>
      <c r="G42" s="26">
        <f>IFERROR(__xludf.DUMMYFUNCTION("""COMPUTED_VALUE"""),1)</f>
        <v/>
      </c>
      <c r="H42" s="26">
        <f>IFERROR(__xludf.DUMMYFUNCTION("""COMPUTED_VALUE"""),2)</f>
        <v/>
      </c>
      <c r="I42" s="26">
        <f>IFERROR(__xludf.DUMMYFUNCTION("""COMPUTED_VALUE"""),17)</f>
        <v/>
      </c>
      <c r="J42" s="26">
        <f>IFERROR(__xludf.DUMMYFUNCTION("""COMPUTED_VALUE"""),0)</f>
        <v/>
      </c>
      <c r="K42" s="26">
        <f>IFERROR(__xludf.DUMMYFUNCTION("""COMPUTED_VALUE"""),90)</f>
        <v/>
      </c>
      <c r="L42" s="26">
        <f>IFERROR(__xludf.DUMMYFUNCTION("""COMPUTED_VALUE"""),19)</f>
        <v/>
      </c>
      <c r="M42" s="26">
        <f>IFERROR(__xludf.DUMMYFUNCTION("""COMPUTED_VALUE"""),2)</f>
        <v/>
      </c>
      <c r="N42" s="26">
        <f>IFERROR(__xludf.DUMMYFUNCTION("""COMPUTED_VALUE"""),15)</f>
        <v/>
      </c>
      <c r="O42" s="26">
        <f>IFERROR(__xludf.DUMMYFUNCTION("""COMPUTED_VALUE"""),0)</f>
        <v/>
      </c>
      <c r="P42" s="26">
        <f>IFERROR(__xludf.DUMMYFUNCTION("""COMPUTED_VALUE"""),24)</f>
        <v/>
      </c>
      <c r="Q42" s="26">
        <f>IFERROR(__xludf.DUMMYFUNCTION("""COMPUTED_VALUE"""),28)</f>
        <v/>
      </c>
      <c r="R42" s="26">
        <f>IFERROR(__xludf.DUMMYFUNCTION("""COMPUTED_VALUE"""),1)</f>
        <v/>
      </c>
      <c r="S42" s="26" t="n"/>
    </row>
    <row r="43" ht="12.75" customHeight="1" s="117">
      <c r="A43" s="26">
        <f>IFERROR(__xludf.DUMMYFUNCTION("""COMPUTED_VALUE"""),"Lương Duy Hoàng")</f>
        <v/>
      </c>
      <c r="B43" s="26">
        <f>IFERROR(__xludf.DUMMYFUNCTION("""COMPUTED_VALUE"""),2025)</f>
        <v/>
      </c>
      <c r="C43" s="26">
        <f>IFERROR(__xludf.DUMMYFUNCTION("""COMPUTED_VALUE"""),12)</f>
        <v/>
      </c>
      <c r="D43" s="26">
        <f>IFERROR(__xludf.DUMMYFUNCTION("""COMPUTED_VALUE"""),1)</f>
        <v/>
      </c>
      <c r="E43" s="26">
        <f>IFERROR(__xludf.DUMMYFUNCTION("""COMPUTED_VALUE"""),1)</f>
        <v/>
      </c>
      <c r="F43" s="26">
        <f>IFERROR(__xludf.DUMMYFUNCTION("""COMPUTED_VALUE"""),0)</f>
        <v/>
      </c>
      <c r="G43" s="26">
        <f>IFERROR(__xludf.DUMMYFUNCTION("""COMPUTED_VALUE"""),0)</f>
        <v/>
      </c>
      <c r="H43" s="26">
        <f>IFERROR(__xludf.DUMMYFUNCTION("""COMPUTED_VALUE"""),0)</f>
        <v/>
      </c>
      <c r="I43" s="26">
        <f>IFERROR(__xludf.DUMMYFUNCTION("""COMPUTED_VALUE"""),22)</f>
        <v/>
      </c>
      <c r="J43" s="26">
        <f>IFERROR(__xludf.DUMMYFUNCTION("""COMPUTED_VALUE"""),0)</f>
        <v/>
      </c>
      <c r="K43" s="26">
        <f>IFERROR(__xludf.DUMMYFUNCTION("""COMPUTED_VALUE"""),27)</f>
        <v/>
      </c>
      <c r="L43" s="26">
        <f>IFERROR(__xludf.DUMMYFUNCTION("""COMPUTED_VALUE"""),5)</f>
        <v/>
      </c>
      <c r="M43" s="26">
        <f>IFERROR(__xludf.DUMMYFUNCTION("""COMPUTED_VALUE"""),1)</f>
        <v/>
      </c>
      <c r="N43" s="26">
        <f>IFERROR(__xludf.DUMMYFUNCTION("""COMPUTED_VALUE"""),2)</f>
        <v/>
      </c>
      <c r="O43" s="26">
        <f>IFERROR(__xludf.DUMMYFUNCTION("""COMPUTED_VALUE"""),0)</f>
        <v/>
      </c>
      <c r="P43" s="26">
        <f>IFERROR(__xludf.DUMMYFUNCTION("""COMPUTED_VALUE"""),2)</f>
        <v/>
      </c>
      <c r="Q43" s="26">
        <f>IFERROR(__xludf.DUMMYFUNCTION("""COMPUTED_VALUE"""),20)</f>
        <v/>
      </c>
      <c r="R43" s="26">
        <f>IFERROR(__xludf.DUMMYFUNCTION("""COMPUTED_VALUE"""),0)</f>
        <v/>
      </c>
      <c r="S43" s="26" t="n"/>
    </row>
    <row r="44" ht="12.75" customHeight="1" s="117">
      <c r="A44" s="26">
        <f>IFERROR(__xludf.DUMMYFUNCTION("""COMPUTED_VALUE"""),"Lương Duy Hải")</f>
        <v/>
      </c>
      <c r="B44" s="26">
        <f>IFERROR(__xludf.DUMMYFUNCTION("""COMPUTED_VALUE"""),2025)</f>
        <v/>
      </c>
      <c r="C44" s="26">
        <f>IFERROR(__xludf.DUMMYFUNCTION("""COMPUTED_VALUE"""),12)</f>
        <v/>
      </c>
      <c r="D44" s="26">
        <f>IFERROR(__xludf.DUMMYFUNCTION("""COMPUTED_VALUE"""),0)</f>
        <v/>
      </c>
      <c r="E44" s="26">
        <f>IFERROR(__xludf.DUMMYFUNCTION("""COMPUTED_VALUE"""),0)</f>
        <v/>
      </c>
      <c r="F44" s="26">
        <f>IFERROR(__xludf.DUMMYFUNCTION("""COMPUTED_VALUE"""),2)</f>
        <v/>
      </c>
      <c r="G44" s="26">
        <f>IFERROR(__xludf.DUMMYFUNCTION("""COMPUTED_VALUE"""),1)</f>
        <v/>
      </c>
      <c r="H44" s="26">
        <f>IFERROR(__xludf.DUMMYFUNCTION("""COMPUTED_VALUE"""),1)</f>
        <v/>
      </c>
      <c r="I44" s="26">
        <f>IFERROR(__xludf.DUMMYFUNCTION("""COMPUTED_VALUE"""),0)</f>
        <v/>
      </c>
      <c r="J44" s="26">
        <f>IFERROR(__xludf.DUMMYFUNCTION("""COMPUTED_VALUE"""),2)</f>
        <v/>
      </c>
      <c r="K44" s="26">
        <f>IFERROR(__xludf.DUMMYFUNCTION("""COMPUTED_VALUE"""),32)</f>
        <v/>
      </c>
      <c r="L44" s="26">
        <f>IFERROR(__xludf.DUMMYFUNCTION("""COMPUTED_VALUE"""),25)</f>
        <v/>
      </c>
      <c r="M44" s="26">
        <f>IFERROR(__xludf.DUMMYFUNCTION("""COMPUTED_VALUE"""),2)</f>
        <v/>
      </c>
      <c r="N44" s="26">
        <f>IFERROR(__xludf.DUMMYFUNCTION("""COMPUTED_VALUE"""),6)</f>
        <v/>
      </c>
      <c r="O44" s="26">
        <f>IFERROR(__xludf.DUMMYFUNCTION("""COMPUTED_VALUE"""),5)</f>
        <v/>
      </c>
      <c r="P44" s="26">
        <f>IFERROR(__xludf.DUMMYFUNCTION("""COMPUTED_VALUE"""),11)</f>
        <v/>
      </c>
      <c r="Q44" s="26">
        <f>IFERROR(__xludf.DUMMYFUNCTION("""COMPUTED_VALUE"""),24)</f>
        <v/>
      </c>
      <c r="R44" s="26">
        <f>IFERROR(__xludf.DUMMYFUNCTION("""COMPUTED_VALUE"""),0)</f>
        <v/>
      </c>
      <c r="S44" s="26" t="n"/>
    </row>
    <row r="45" ht="12.75" customHeight="1" s="117">
      <c r="A45" s="26">
        <f>IFERROR(__xludf.DUMMYFUNCTION("""COMPUTED_VALUE"""),"Nguyễn Hồng Minh")</f>
        <v/>
      </c>
      <c r="B45" s="26">
        <f>IFERROR(__xludf.DUMMYFUNCTION("""COMPUTED_VALUE"""),2025)</f>
        <v/>
      </c>
      <c r="C45" s="26">
        <f>IFERROR(__xludf.DUMMYFUNCTION("""COMPUTED_VALUE"""),12)</f>
        <v/>
      </c>
      <c r="D45" s="26">
        <f>IFERROR(__xludf.DUMMYFUNCTION("""COMPUTED_VALUE"""),0)</f>
        <v/>
      </c>
      <c r="E45" s="26">
        <f>IFERROR(__xludf.DUMMYFUNCTION("""COMPUTED_VALUE"""),0)</f>
        <v/>
      </c>
      <c r="F45" s="26">
        <f>IFERROR(__xludf.DUMMYFUNCTION("""COMPUTED_VALUE"""),0)</f>
        <v/>
      </c>
      <c r="G45" s="26">
        <f>IFERROR(__xludf.DUMMYFUNCTION("""COMPUTED_VALUE"""),1)</f>
        <v/>
      </c>
      <c r="H45" s="26">
        <f>IFERROR(__xludf.DUMMYFUNCTION("""COMPUTED_VALUE"""),1)</f>
        <v/>
      </c>
      <c r="I45" s="26">
        <f>IFERROR(__xludf.DUMMYFUNCTION("""COMPUTED_VALUE"""),9)</f>
        <v/>
      </c>
      <c r="J45" s="26">
        <f>IFERROR(__xludf.DUMMYFUNCTION("""COMPUTED_VALUE"""),1)</f>
        <v/>
      </c>
      <c r="K45" s="26">
        <f>IFERROR(__xludf.DUMMYFUNCTION("""COMPUTED_VALUE"""),22)</f>
        <v/>
      </c>
      <c r="L45" s="26">
        <f>IFERROR(__xludf.DUMMYFUNCTION("""COMPUTED_VALUE"""),7)</f>
        <v/>
      </c>
      <c r="M45" s="26">
        <f>IFERROR(__xludf.DUMMYFUNCTION("""COMPUTED_VALUE"""),2)</f>
        <v/>
      </c>
      <c r="N45" s="26">
        <f>IFERROR(__xludf.DUMMYFUNCTION("""COMPUTED_VALUE"""),8)</f>
        <v/>
      </c>
      <c r="O45" s="26">
        <f>IFERROR(__xludf.DUMMYFUNCTION("""COMPUTED_VALUE"""),0)</f>
        <v/>
      </c>
      <c r="P45" s="26">
        <f>IFERROR(__xludf.DUMMYFUNCTION("""COMPUTED_VALUE"""),3)</f>
        <v/>
      </c>
      <c r="Q45" s="26">
        <f>IFERROR(__xludf.DUMMYFUNCTION("""COMPUTED_VALUE"""),47)</f>
        <v/>
      </c>
      <c r="R45" s="26">
        <f>IFERROR(__xludf.DUMMYFUNCTION("""COMPUTED_VALUE"""),1)</f>
        <v/>
      </c>
      <c r="S45" s="26" t="n"/>
    </row>
    <row r="46" ht="12.75" customHeight="1" s="117">
      <c r="A46" s="26">
        <f>IFERROR(__xludf.DUMMYFUNCTION("""COMPUTED_VALUE"""),"Nguyễn Quang Anh Tuấn")</f>
        <v/>
      </c>
      <c r="B46" s="26">
        <f>IFERROR(__xludf.DUMMYFUNCTION("""COMPUTED_VALUE"""),2025)</f>
        <v/>
      </c>
      <c r="C46" s="26">
        <f>IFERROR(__xludf.DUMMYFUNCTION("""COMPUTED_VALUE"""),12)</f>
        <v/>
      </c>
      <c r="D46" s="26">
        <f>IFERROR(__xludf.DUMMYFUNCTION("""COMPUTED_VALUE"""),1)</f>
        <v/>
      </c>
      <c r="E46" s="26">
        <f>IFERROR(__xludf.DUMMYFUNCTION("""COMPUTED_VALUE"""),4)</f>
        <v/>
      </c>
      <c r="F46" s="26">
        <f>IFERROR(__xludf.DUMMYFUNCTION("""COMPUTED_VALUE"""),1)</f>
        <v/>
      </c>
      <c r="G46" s="26">
        <f>IFERROR(__xludf.DUMMYFUNCTION("""COMPUTED_VALUE"""),3)</f>
        <v/>
      </c>
      <c r="H46" s="26">
        <f>IFERROR(__xludf.DUMMYFUNCTION("""COMPUTED_VALUE"""),0)</f>
        <v/>
      </c>
      <c r="I46" s="26">
        <f>IFERROR(__xludf.DUMMYFUNCTION("""COMPUTED_VALUE"""),28)</f>
        <v/>
      </c>
      <c r="J46" s="26">
        <f>IFERROR(__xludf.DUMMYFUNCTION("""COMPUTED_VALUE"""),0)</f>
        <v/>
      </c>
      <c r="K46" s="26">
        <f>IFERROR(__xludf.DUMMYFUNCTION("""COMPUTED_VALUE"""),23)</f>
        <v/>
      </c>
      <c r="L46" s="26">
        <f>IFERROR(__xludf.DUMMYFUNCTION("""COMPUTED_VALUE"""),12)</f>
        <v/>
      </c>
      <c r="M46" s="26">
        <f>IFERROR(__xludf.DUMMYFUNCTION("""COMPUTED_VALUE"""),0)</f>
        <v/>
      </c>
      <c r="N46" s="26">
        <f>IFERROR(__xludf.DUMMYFUNCTION("""COMPUTED_VALUE"""),4)</f>
        <v/>
      </c>
      <c r="O46" s="26">
        <f>IFERROR(__xludf.DUMMYFUNCTION("""COMPUTED_VALUE"""),0)</f>
        <v/>
      </c>
      <c r="P46" s="26">
        <f>IFERROR(__xludf.DUMMYFUNCTION("""COMPUTED_VALUE"""),2)</f>
        <v/>
      </c>
      <c r="Q46" s="26">
        <f>IFERROR(__xludf.DUMMYFUNCTION("""COMPUTED_VALUE"""),15)</f>
        <v/>
      </c>
      <c r="R46" s="26">
        <f>IFERROR(__xludf.DUMMYFUNCTION("""COMPUTED_VALUE"""),0)</f>
        <v/>
      </c>
      <c r="S46" s="26" t="n"/>
    </row>
    <row r="47" ht="12.75" customHeight="1" s="117">
      <c r="A47" s="26">
        <f>IFERROR(__xludf.DUMMYFUNCTION("""COMPUTED_VALUE"""),"Nguyễn Thành Lâm")</f>
        <v/>
      </c>
      <c r="B47" s="26">
        <f>IFERROR(__xludf.DUMMYFUNCTION("""COMPUTED_VALUE"""),2025)</f>
        <v/>
      </c>
      <c r="C47" s="26">
        <f>IFERROR(__xludf.DUMMYFUNCTION("""COMPUTED_VALUE"""),12)</f>
        <v/>
      </c>
      <c r="D47" s="26">
        <f>IFERROR(__xludf.DUMMYFUNCTION("""COMPUTED_VALUE"""),1)</f>
        <v/>
      </c>
      <c r="E47" s="26">
        <f>IFERROR(__xludf.DUMMYFUNCTION("""COMPUTED_VALUE"""),1)</f>
        <v/>
      </c>
      <c r="F47" s="26">
        <f>IFERROR(__xludf.DUMMYFUNCTION("""COMPUTED_VALUE"""),1)</f>
        <v/>
      </c>
      <c r="G47" s="26">
        <f>IFERROR(__xludf.DUMMYFUNCTION("""COMPUTED_VALUE"""),0)</f>
        <v/>
      </c>
      <c r="H47" s="26">
        <f>IFERROR(__xludf.DUMMYFUNCTION("""COMPUTED_VALUE"""),0)</f>
        <v/>
      </c>
      <c r="I47" s="26">
        <f>IFERROR(__xludf.DUMMYFUNCTION("""COMPUTED_VALUE"""),7)</f>
        <v/>
      </c>
      <c r="J47" s="26">
        <f>IFERROR(__xludf.DUMMYFUNCTION("""COMPUTED_VALUE"""),0)</f>
        <v/>
      </c>
      <c r="K47" s="26">
        <f>IFERROR(__xludf.DUMMYFUNCTION("""COMPUTED_VALUE"""),15)</f>
        <v/>
      </c>
      <c r="L47" s="26">
        <f>IFERROR(__xludf.DUMMYFUNCTION("""COMPUTED_VALUE"""),9)</f>
        <v/>
      </c>
      <c r="M47" s="26">
        <f>IFERROR(__xludf.DUMMYFUNCTION("""COMPUTED_VALUE"""),0)</f>
        <v/>
      </c>
      <c r="N47" s="26">
        <f>IFERROR(__xludf.DUMMYFUNCTION("""COMPUTED_VALUE"""),1)</f>
        <v/>
      </c>
      <c r="O47" s="26">
        <f>IFERROR(__xludf.DUMMYFUNCTION("""COMPUTED_VALUE"""),0)</f>
        <v/>
      </c>
      <c r="P47" s="26">
        <f>IFERROR(__xludf.DUMMYFUNCTION("""COMPUTED_VALUE"""),5)</f>
        <v/>
      </c>
      <c r="Q47" s="26">
        <f>IFERROR(__xludf.DUMMYFUNCTION("""COMPUTED_VALUE"""),29)</f>
        <v/>
      </c>
      <c r="R47" s="26">
        <f>IFERROR(__xludf.DUMMYFUNCTION("""COMPUTED_VALUE"""),0)</f>
        <v/>
      </c>
      <c r="S47" s="26" t="n"/>
    </row>
    <row r="48" ht="12.75" customHeight="1" s="117">
      <c r="A48" s="26">
        <f>IFERROR(__xludf.DUMMYFUNCTION("""COMPUTED_VALUE"""),"Nguyễn Tuấn Anh")</f>
        <v/>
      </c>
      <c r="B48" s="26">
        <f>IFERROR(__xludf.DUMMYFUNCTION("""COMPUTED_VALUE"""),2025)</f>
        <v/>
      </c>
      <c r="C48" s="26">
        <f>IFERROR(__xludf.DUMMYFUNCTION("""COMPUTED_VALUE"""),12)</f>
        <v/>
      </c>
      <c r="D48" s="26">
        <f>IFERROR(__xludf.DUMMYFUNCTION("""COMPUTED_VALUE"""),6)</f>
        <v/>
      </c>
      <c r="E48" s="26">
        <f>IFERROR(__xludf.DUMMYFUNCTION("""COMPUTED_VALUE"""),5)</f>
        <v/>
      </c>
      <c r="F48" s="26">
        <f>IFERROR(__xludf.DUMMYFUNCTION("""COMPUTED_VALUE"""),2)</f>
        <v/>
      </c>
      <c r="G48" s="26">
        <f>IFERROR(__xludf.DUMMYFUNCTION("""COMPUTED_VALUE"""),0)</f>
        <v/>
      </c>
      <c r="H48" s="26">
        <f>IFERROR(__xludf.DUMMYFUNCTION("""COMPUTED_VALUE"""),0)</f>
        <v/>
      </c>
      <c r="I48" s="26">
        <f>IFERROR(__xludf.DUMMYFUNCTION("""COMPUTED_VALUE"""),21)</f>
        <v/>
      </c>
      <c r="J48" s="26">
        <f>IFERROR(__xludf.DUMMYFUNCTION("""COMPUTED_VALUE"""),0)</f>
        <v/>
      </c>
      <c r="K48" s="26">
        <f>IFERROR(__xludf.DUMMYFUNCTION("""COMPUTED_VALUE"""),53)</f>
        <v/>
      </c>
      <c r="L48" s="26">
        <f>IFERROR(__xludf.DUMMYFUNCTION("""COMPUTED_VALUE"""),28)</f>
        <v/>
      </c>
      <c r="M48" s="26">
        <f>IFERROR(__xludf.DUMMYFUNCTION("""COMPUTED_VALUE"""),0)</f>
        <v/>
      </c>
      <c r="N48" s="26">
        <f>IFERROR(__xludf.DUMMYFUNCTION("""COMPUTED_VALUE"""),0)</f>
        <v/>
      </c>
      <c r="O48" s="26">
        <f>IFERROR(__xludf.DUMMYFUNCTION("""COMPUTED_VALUE"""),0)</f>
        <v/>
      </c>
      <c r="P48" s="26">
        <f>IFERROR(__xludf.DUMMYFUNCTION("""COMPUTED_VALUE"""),7)</f>
        <v/>
      </c>
      <c r="Q48" s="26">
        <f>IFERROR(__xludf.DUMMYFUNCTION("""COMPUTED_VALUE"""),61)</f>
        <v/>
      </c>
      <c r="R48" s="26">
        <f>IFERROR(__xludf.DUMMYFUNCTION("""COMPUTED_VALUE"""),1)</f>
        <v/>
      </c>
      <c r="S48" s="26" t="n"/>
    </row>
    <row r="49" ht="12.75" customHeight="1" s="117">
      <c r="A49" s="26">
        <f>IFERROR(__xludf.DUMMYFUNCTION("""COMPUTED_VALUE"""),"Nguyễn Văn Hiệp")</f>
        <v/>
      </c>
      <c r="B49" s="26">
        <f>IFERROR(__xludf.DUMMYFUNCTION("""COMPUTED_VALUE"""),2025)</f>
        <v/>
      </c>
      <c r="C49" s="26">
        <f>IFERROR(__xludf.DUMMYFUNCTION("""COMPUTED_VALUE"""),12)</f>
        <v/>
      </c>
      <c r="D49" s="26">
        <f>IFERROR(__xludf.DUMMYFUNCTION("""COMPUTED_VALUE"""),3)</f>
        <v/>
      </c>
      <c r="E49" s="26">
        <f>IFERROR(__xludf.DUMMYFUNCTION("""COMPUTED_VALUE"""),3)</f>
        <v/>
      </c>
      <c r="F49" s="26">
        <f>IFERROR(__xludf.DUMMYFUNCTION("""COMPUTED_VALUE"""),1)</f>
        <v/>
      </c>
      <c r="G49" s="26">
        <f>IFERROR(__xludf.DUMMYFUNCTION("""COMPUTED_VALUE"""),3)</f>
        <v/>
      </c>
      <c r="H49" s="26">
        <f>IFERROR(__xludf.DUMMYFUNCTION("""COMPUTED_VALUE"""),2)</f>
        <v/>
      </c>
      <c r="I49" s="26">
        <f>IFERROR(__xludf.DUMMYFUNCTION("""COMPUTED_VALUE"""),21)</f>
        <v/>
      </c>
      <c r="J49" s="26">
        <f>IFERROR(__xludf.DUMMYFUNCTION("""COMPUTED_VALUE"""),0)</f>
        <v/>
      </c>
      <c r="K49" s="26">
        <f>IFERROR(__xludf.DUMMYFUNCTION("""COMPUTED_VALUE"""),12)</f>
        <v/>
      </c>
      <c r="L49" s="26">
        <f>IFERROR(__xludf.DUMMYFUNCTION("""COMPUTED_VALUE"""),9)</f>
        <v/>
      </c>
      <c r="M49" s="26">
        <f>IFERROR(__xludf.DUMMYFUNCTION("""COMPUTED_VALUE"""),6)</f>
        <v/>
      </c>
      <c r="N49" s="26">
        <f>IFERROR(__xludf.DUMMYFUNCTION("""COMPUTED_VALUE"""),7)</f>
        <v/>
      </c>
      <c r="O49" s="26">
        <f>IFERROR(__xludf.DUMMYFUNCTION("""COMPUTED_VALUE"""),1)</f>
        <v/>
      </c>
      <c r="P49" s="26">
        <f>IFERROR(__xludf.DUMMYFUNCTION("""COMPUTED_VALUE"""),3)</f>
        <v/>
      </c>
      <c r="Q49" s="26">
        <f>IFERROR(__xludf.DUMMYFUNCTION("""COMPUTED_VALUE"""),5)</f>
        <v/>
      </c>
      <c r="R49" s="26">
        <f>IFERROR(__xludf.DUMMYFUNCTION("""COMPUTED_VALUE"""),0)</f>
        <v/>
      </c>
      <c r="S49" s="26" t="n"/>
    </row>
    <row r="50" ht="12.75" customHeight="1" s="117">
      <c r="A50" s="26">
        <f>IFERROR(__xludf.DUMMYFUNCTION("""COMPUTED_VALUE"""),"Nguyễn Văn Nhật")</f>
        <v/>
      </c>
      <c r="B50" s="26">
        <f>IFERROR(__xludf.DUMMYFUNCTION("""COMPUTED_VALUE"""),2025)</f>
        <v/>
      </c>
      <c r="C50" s="26">
        <f>IFERROR(__xludf.DUMMYFUNCTION("""COMPUTED_VALUE"""),12)</f>
        <v/>
      </c>
      <c r="D50" s="26">
        <f>IFERROR(__xludf.DUMMYFUNCTION("""COMPUTED_VALUE"""),0)</f>
        <v/>
      </c>
      <c r="E50" s="26">
        <f>IFERROR(__xludf.DUMMYFUNCTION("""COMPUTED_VALUE"""),0)</f>
        <v/>
      </c>
      <c r="F50" s="26">
        <f>IFERROR(__xludf.DUMMYFUNCTION("""COMPUTED_VALUE"""),0)</f>
        <v/>
      </c>
      <c r="G50" s="26">
        <f>IFERROR(__xludf.DUMMYFUNCTION("""COMPUTED_VALUE"""),4)</f>
        <v/>
      </c>
      <c r="H50" s="26">
        <f>IFERROR(__xludf.DUMMYFUNCTION("""COMPUTED_VALUE"""),3)</f>
        <v/>
      </c>
      <c r="I50" s="26">
        <f>IFERROR(__xludf.DUMMYFUNCTION("""COMPUTED_VALUE"""),0)</f>
        <v/>
      </c>
      <c r="J50" s="26">
        <f>IFERROR(__xludf.DUMMYFUNCTION("""COMPUTED_VALUE"""),4)</f>
        <v/>
      </c>
      <c r="K50" s="26">
        <f>IFERROR(__xludf.DUMMYFUNCTION("""COMPUTED_VALUE"""),25)</f>
        <v/>
      </c>
      <c r="L50" s="26">
        <f>IFERROR(__xludf.DUMMYFUNCTION("""COMPUTED_VALUE"""),28)</f>
        <v/>
      </c>
      <c r="M50" s="26">
        <f>IFERROR(__xludf.DUMMYFUNCTION("""COMPUTED_VALUE"""),6)</f>
        <v/>
      </c>
      <c r="N50" s="26">
        <f>IFERROR(__xludf.DUMMYFUNCTION("""COMPUTED_VALUE"""),8)</f>
        <v/>
      </c>
      <c r="O50" s="26">
        <f>IFERROR(__xludf.DUMMYFUNCTION("""COMPUTED_VALUE"""),5)</f>
        <v/>
      </c>
      <c r="P50" s="26">
        <f>IFERROR(__xludf.DUMMYFUNCTION("""COMPUTED_VALUE"""),11)</f>
        <v/>
      </c>
      <c r="Q50" s="26">
        <f>IFERROR(__xludf.DUMMYFUNCTION("""COMPUTED_VALUE"""),34)</f>
        <v/>
      </c>
      <c r="R50" s="26">
        <f>IFERROR(__xludf.DUMMYFUNCTION("""COMPUTED_VALUE"""),0)</f>
        <v/>
      </c>
      <c r="S50" s="26" t="n"/>
    </row>
    <row r="51" ht="12.75" customHeight="1" s="117">
      <c r="A51" s="26">
        <f>IFERROR(__xludf.DUMMYFUNCTION("""COMPUTED_VALUE"""),"Phan Ngọc Sang")</f>
        <v/>
      </c>
      <c r="B51" s="26">
        <f>IFERROR(__xludf.DUMMYFUNCTION("""COMPUTED_VALUE"""),2025)</f>
        <v/>
      </c>
      <c r="C51" s="26">
        <f>IFERROR(__xludf.DUMMYFUNCTION("""COMPUTED_VALUE"""),12)</f>
        <v/>
      </c>
      <c r="D51" s="26">
        <f>IFERROR(__xludf.DUMMYFUNCTION("""COMPUTED_VALUE"""),1)</f>
        <v/>
      </c>
      <c r="E51" s="26">
        <f>IFERROR(__xludf.DUMMYFUNCTION("""COMPUTED_VALUE"""),1)</f>
        <v/>
      </c>
      <c r="F51" s="26">
        <f>IFERROR(__xludf.DUMMYFUNCTION("""COMPUTED_VALUE"""),0)</f>
        <v/>
      </c>
      <c r="G51" s="26">
        <f>IFERROR(__xludf.DUMMYFUNCTION("""COMPUTED_VALUE"""),1)</f>
        <v/>
      </c>
      <c r="H51" s="26">
        <f>IFERROR(__xludf.DUMMYFUNCTION("""COMPUTED_VALUE"""),1)</f>
        <v/>
      </c>
      <c r="I51" s="26">
        <f>IFERROR(__xludf.DUMMYFUNCTION("""COMPUTED_VALUE"""),17)</f>
        <v/>
      </c>
      <c r="J51" s="26">
        <f>IFERROR(__xludf.DUMMYFUNCTION("""COMPUTED_VALUE"""),0)</f>
        <v/>
      </c>
      <c r="K51" s="26">
        <f>IFERROR(__xludf.DUMMYFUNCTION("""COMPUTED_VALUE"""),13)</f>
        <v/>
      </c>
      <c r="L51" s="26">
        <f>IFERROR(__xludf.DUMMYFUNCTION("""COMPUTED_VALUE"""),10)</f>
        <v/>
      </c>
      <c r="M51" s="26">
        <f>IFERROR(__xludf.DUMMYFUNCTION("""COMPUTED_VALUE"""),12)</f>
        <v/>
      </c>
      <c r="N51" s="26">
        <f>IFERROR(__xludf.DUMMYFUNCTION("""COMPUTED_VALUE"""),4)</f>
        <v/>
      </c>
      <c r="O51" s="26">
        <f>IFERROR(__xludf.DUMMYFUNCTION("""COMPUTED_VALUE"""),2)</f>
        <v/>
      </c>
      <c r="P51" s="26">
        <f>IFERROR(__xludf.DUMMYFUNCTION("""COMPUTED_VALUE"""),2)</f>
        <v/>
      </c>
      <c r="Q51" s="26">
        <f>IFERROR(__xludf.DUMMYFUNCTION("""COMPUTED_VALUE"""),28)</f>
        <v/>
      </c>
      <c r="R51" s="26">
        <f>IFERROR(__xludf.DUMMYFUNCTION("""COMPUTED_VALUE"""),0)</f>
        <v/>
      </c>
      <c r="S51" s="26" t="n"/>
    </row>
    <row r="52" ht="12.75" customHeight="1" s="117">
      <c r="A52" s="26">
        <f>IFERROR(__xludf.DUMMYFUNCTION("""COMPUTED_VALUE"""),"Phan Thành Thái")</f>
        <v/>
      </c>
      <c r="B52" s="26">
        <f>IFERROR(__xludf.DUMMYFUNCTION("""COMPUTED_VALUE"""),2025)</f>
        <v/>
      </c>
      <c r="C52" s="26">
        <f>IFERROR(__xludf.DUMMYFUNCTION("""COMPUTED_VALUE"""),12)</f>
        <v/>
      </c>
      <c r="D52" s="26">
        <f>IFERROR(__xludf.DUMMYFUNCTION("""COMPUTED_VALUE"""),4)</f>
        <v/>
      </c>
      <c r="E52" s="26">
        <f>IFERROR(__xludf.DUMMYFUNCTION("""COMPUTED_VALUE"""),1)</f>
        <v/>
      </c>
      <c r="F52" s="26">
        <f>IFERROR(__xludf.DUMMYFUNCTION("""COMPUTED_VALUE"""),0)</f>
        <v/>
      </c>
      <c r="G52" s="26">
        <f>IFERROR(__xludf.DUMMYFUNCTION("""COMPUTED_VALUE"""),0)</f>
        <v/>
      </c>
      <c r="H52" s="26">
        <f>IFERROR(__xludf.DUMMYFUNCTION("""COMPUTED_VALUE"""),0)</f>
        <v/>
      </c>
      <c r="I52" s="26">
        <f>IFERROR(__xludf.DUMMYFUNCTION("""COMPUTED_VALUE"""),15)</f>
        <v/>
      </c>
      <c r="J52" s="26">
        <f>IFERROR(__xludf.DUMMYFUNCTION("""COMPUTED_VALUE"""),2)</f>
        <v/>
      </c>
      <c r="K52" s="26">
        <f>IFERROR(__xludf.DUMMYFUNCTION("""COMPUTED_VALUE"""),30)</f>
        <v/>
      </c>
      <c r="L52" s="26">
        <f>IFERROR(__xludf.DUMMYFUNCTION("""COMPUTED_VALUE"""),9)</f>
        <v/>
      </c>
      <c r="M52" s="26">
        <f>IFERROR(__xludf.DUMMYFUNCTION("""COMPUTED_VALUE"""),8)</f>
        <v/>
      </c>
      <c r="N52" s="26">
        <f>IFERROR(__xludf.DUMMYFUNCTION("""COMPUTED_VALUE"""),2)</f>
        <v/>
      </c>
      <c r="O52" s="26">
        <f>IFERROR(__xludf.DUMMYFUNCTION("""COMPUTED_VALUE"""),1)</f>
        <v/>
      </c>
      <c r="P52" s="26">
        <f>IFERROR(__xludf.DUMMYFUNCTION("""COMPUTED_VALUE"""),8)</f>
        <v/>
      </c>
      <c r="Q52" s="26">
        <f>IFERROR(__xludf.DUMMYFUNCTION("""COMPUTED_VALUE"""),35)</f>
        <v/>
      </c>
      <c r="R52" s="26">
        <f>IFERROR(__xludf.DUMMYFUNCTION("""COMPUTED_VALUE"""),0)</f>
        <v/>
      </c>
      <c r="S52" s="26" t="n"/>
    </row>
    <row r="53" ht="12.75" customHeight="1" s="117">
      <c r="A53" s="26">
        <f>IFERROR(__xludf.DUMMYFUNCTION("""COMPUTED_VALUE"""),"Trần Minh Khánh")</f>
        <v/>
      </c>
      <c r="B53" s="26">
        <f>IFERROR(__xludf.DUMMYFUNCTION("""COMPUTED_VALUE"""),2025)</f>
        <v/>
      </c>
      <c r="C53" s="26">
        <f>IFERROR(__xludf.DUMMYFUNCTION("""COMPUTED_VALUE"""),12)</f>
        <v/>
      </c>
      <c r="D53" s="26">
        <f>IFERROR(__xludf.DUMMYFUNCTION("""COMPUTED_VALUE"""),5)</f>
        <v/>
      </c>
      <c r="E53" s="26">
        <f>IFERROR(__xludf.DUMMYFUNCTION("""COMPUTED_VALUE"""),1)</f>
        <v/>
      </c>
      <c r="F53" s="26">
        <f>IFERROR(__xludf.DUMMYFUNCTION("""COMPUTED_VALUE"""),0)</f>
        <v/>
      </c>
      <c r="G53" s="26">
        <f>IFERROR(__xludf.DUMMYFUNCTION("""COMPUTED_VALUE"""),8)</f>
        <v/>
      </c>
      <c r="H53" s="26">
        <f>IFERROR(__xludf.DUMMYFUNCTION("""COMPUTED_VALUE"""),7)</f>
        <v/>
      </c>
      <c r="I53" s="26">
        <f>IFERROR(__xludf.DUMMYFUNCTION("""COMPUTED_VALUE"""),17)</f>
        <v/>
      </c>
      <c r="J53" s="26">
        <f>IFERROR(__xludf.DUMMYFUNCTION("""COMPUTED_VALUE"""),0)</f>
        <v/>
      </c>
      <c r="K53" s="26">
        <f>IFERROR(__xludf.DUMMYFUNCTION("""COMPUTED_VALUE"""),14)</f>
        <v/>
      </c>
      <c r="L53" s="26">
        <f>IFERROR(__xludf.DUMMYFUNCTION("""COMPUTED_VALUE"""),24)</f>
        <v/>
      </c>
      <c r="M53" s="26">
        <f>IFERROR(__xludf.DUMMYFUNCTION("""COMPUTED_VALUE"""),0)</f>
        <v/>
      </c>
      <c r="N53" s="26">
        <f>IFERROR(__xludf.DUMMYFUNCTION("""COMPUTED_VALUE"""),8)</f>
        <v/>
      </c>
      <c r="O53" s="26">
        <f>IFERROR(__xludf.DUMMYFUNCTION("""COMPUTED_VALUE"""),0)</f>
        <v/>
      </c>
      <c r="P53" s="26">
        <f>IFERROR(__xludf.DUMMYFUNCTION("""COMPUTED_VALUE"""),8)</f>
        <v/>
      </c>
      <c r="Q53" s="26">
        <f>IFERROR(__xludf.DUMMYFUNCTION("""COMPUTED_VALUE"""),38)</f>
        <v/>
      </c>
      <c r="R53" s="26">
        <f>IFERROR(__xludf.DUMMYFUNCTION("""COMPUTED_VALUE"""),0)</f>
        <v/>
      </c>
      <c r="S53" s="26" t="n"/>
    </row>
    <row r="54" ht="12.75" customHeight="1" s="117">
      <c r="A54" s="26">
        <f>IFERROR(__xludf.DUMMYFUNCTION("""COMPUTED_VALUE"""),"Trần Trung Giang")</f>
        <v/>
      </c>
      <c r="B54" s="26">
        <f>IFERROR(__xludf.DUMMYFUNCTION("""COMPUTED_VALUE"""),2025)</f>
        <v/>
      </c>
      <c r="C54" s="26">
        <f>IFERROR(__xludf.DUMMYFUNCTION("""COMPUTED_VALUE"""),12)</f>
        <v/>
      </c>
      <c r="D54" s="26">
        <f>IFERROR(__xludf.DUMMYFUNCTION("""COMPUTED_VALUE"""),4)</f>
        <v/>
      </c>
      <c r="E54" s="26">
        <f>IFERROR(__xludf.DUMMYFUNCTION("""COMPUTED_VALUE"""),2)</f>
        <v/>
      </c>
      <c r="F54" s="26">
        <f>IFERROR(__xludf.DUMMYFUNCTION("""COMPUTED_VALUE"""),2)</f>
        <v/>
      </c>
      <c r="G54" s="26">
        <f>IFERROR(__xludf.DUMMYFUNCTION("""COMPUTED_VALUE"""),1)</f>
        <v/>
      </c>
      <c r="H54" s="26">
        <f>IFERROR(__xludf.DUMMYFUNCTION("""COMPUTED_VALUE"""),2)</f>
        <v/>
      </c>
      <c r="I54" s="26">
        <f>IFERROR(__xludf.DUMMYFUNCTION("""COMPUTED_VALUE"""),21)</f>
        <v/>
      </c>
      <c r="J54" s="26">
        <f>IFERROR(__xludf.DUMMYFUNCTION("""COMPUTED_VALUE"""),1)</f>
        <v/>
      </c>
      <c r="K54" s="26">
        <f>IFERROR(__xludf.DUMMYFUNCTION("""COMPUTED_VALUE"""),36)</f>
        <v/>
      </c>
      <c r="L54" s="26">
        <f>IFERROR(__xludf.DUMMYFUNCTION("""COMPUTED_VALUE"""),4)</f>
        <v/>
      </c>
      <c r="M54" s="26">
        <f>IFERROR(__xludf.DUMMYFUNCTION("""COMPUTED_VALUE"""),3)</f>
        <v/>
      </c>
      <c r="N54" s="26">
        <f>IFERROR(__xludf.DUMMYFUNCTION("""COMPUTED_VALUE"""),1)</f>
        <v/>
      </c>
      <c r="O54" s="26">
        <f>IFERROR(__xludf.DUMMYFUNCTION("""COMPUTED_VALUE"""),0)</f>
        <v/>
      </c>
      <c r="P54" s="26">
        <f>IFERROR(__xludf.DUMMYFUNCTION("""COMPUTED_VALUE"""),5)</f>
        <v/>
      </c>
      <c r="Q54" s="26">
        <f>IFERROR(__xludf.DUMMYFUNCTION("""COMPUTED_VALUE"""),1)</f>
        <v/>
      </c>
      <c r="R54" s="26">
        <f>IFERROR(__xludf.DUMMYFUNCTION("""COMPUTED_VALUE"""),2)</f>
        <v/>
      </c>
      <c r="S54" s="26" t="n"/>
    </row>
    <row r="55" ht="12.75" customHeight="1" s="117">
      <c r="A55" s="26">
        <f>IFERROR(__xludf.DUMMYFUNCTION("""COMPUTED_VALUE"""),"Trần Xuân Khoa")</f>
        <v/>
      </c>
      <c r="B55" s="26">
        <f>IFERROR(__xludf.DUMMYFUNCTION("""COMPUTED_VALUE"""),2025)</f>
        <v/>
      </c>
      <c r="C55" s="26">
        <f>IFERROR(__xludf.DUMMYFUNCTION("""COMPUTED_VALUE"""),12)</f>
        <v/>
      </c>
      <c r="D55" s="26">
        <f>IFERROR(__xludf.DUMMYFUNCTION("""COMPUTED_VALUE"""),0)</f>
        <v/>
      </c>
      <c r="E55" s="26">
        <f>IFERROR(__xludf.DUMMYFUNCTION("""COMPUTED_VALUE"""),0)</f>
        <v/>
      </c>
      <c r="F55" s="26">
        <f>IFERROR(__xludf.DUMMYFUNCTION("""COMPUTED_VALUE"""),0)</f>
        <v/>
      </c>
      <c r="G55" s="26">
        <f>IFERROR(__xludf.DUMMYFUNCTION("""COMPUTED_VALUE"""),0)</f>
        <v/>
      </c>
      <c r="H55" s="26">
        <f>IFERROR(__xludf.DUMMYFUNCTION("""COMPUTED_VALUE"""),0)</f>
        <v/>
      </c>
      <c r="I55" s="26">
        <f>IFERROR(__xludf.DUMMYFUNCTION("""COMPUTED_VALUE"""),13)</f>
        <v/>
      </c>
      <c r="J55" s="26">
        <f>IFERROR(__xludf.DUMMYFUNCTION("""COMPUTED_VALUE"""),0)</f>
        <v/>
      </c>
      <c r="K55" s="26">
        <f>IFERROR(__xludf.DUMMYFUNCTION("""COMPUTED_VALUE"""),43)</f>
        <v/>
      </c>
      <c r="L55" s="26">
        <f>IFERROR(__xludf.DUMMYFUNCTION("""COMPUTED_VALUE"""),12)</f>
        <v/>
      </c>
      <c r="M55" s="26">
        <f>IFERROR(__xludf.DUMMYFUNCTION("""COMPUTED_VALUE"""),0)</f>
        <v/>
      </c>
      <c r="N55" s="26">
        <f>IFERROR(__xludf.DUMMYFUNCTION("""COMPUTED_VALUE"""),0)</f>
        <v/>
      </c>
      <c r="O55" s="26">
        <f>IFERROR(__xludf.DUMMYFUNCTION("""COMPUTED_VALUE"""),0)</f>
        <v/>
      </c>
      <c r="P55" s="26">
        <f>IFERROR(__xludf.DUMMYFUNCTION("""COMPUTED_VALUE"""),9)</f>
        <v/>
      </c>
      <c r="Q55" s="26">
        <f>IFERROR(__xludf.DUMMYFUNCTION("""COMPUTED_VALUE"""),32)</f>
        <v/>
      </c>
      <c r="R55" s="26">
        <f>IFERROR(__xludf.DUMMYFUNCTION("""COMPUTED_VALUE"""),2)</f>
        <v/>
      </c>
      <c r="S55" s="26" t="n"/>
    </row>
    <row r="56" ht="12.75" customHeight="1" s="117">
      <c r="A56" s="26">
        <f>IFERROR(__xludf.DUMMYFUNCTION("""COMPUTED_VALUE"""),"Vòng Nhật Sang")</f>
        <v/>
      </c>
      <c r="B56" s="26">
        <f>IFERROR(__xludf.DUMMYFUNCTION("""COMPUTED_VALUE"""),2025)</f>
        <v/>
      </c>
      <c r="C56" s="26">
        <f>IFERROR(__xludf.DUMMYFUNCTION("""COMPUTED_VALUE"""),12)</f>
        <v/>
      </c>
      <c r="D56" s="26">
        <f>IFERROR(__xludf.DUMMYFUNCTION("""COMPUTED_VALUE"""),3)</f>
        <v/>
      </c>
      <c r="E56" s="26">
        <f>IFERROR(__xludf.DUMMYFUNCTION("""COMPUTED_VALUE"""),1)</f>
        <v/>
      </c>
      <c r="F56" s="26">
        <f>IFERROR(__xludf.DUMMYFUNCTION("""COMPUTED_VALUE"""),0)</f>
        <v/>
      </c>
      <c r="G56" s="26">
        <f>IFERROR(__xludf.DUMMYFUNCTION("""COMPUTED_VALUE"""),1)</f>
        <v/>
      </c>
      <c r="H56" s="26">
        <f>IFERROR(__xludf.DUMMYFUNCTION("""COMPUTED_VALUE"""),0)</f>
        <v/>
      </c>
      <c r="I56" s="26">
        <f>IFERROR(__xludf.DUMMYFUNCTION("""COMPUTED_VALUE"""),37)</f>
        <v/>
      </c>
      <c r="J56" s="26">
        <f>IFERROR(__xludf.DUMMYFUNCTION("""COMPUTED_VALUE"""),0)</f>
        <v/>
      </c>
      <c r="K56" s="26">
        <f>IFERROR(__xludf.DUMMYFUNCTION("""COMPUTED_VALUE"""),79)</f>
        <v/>
      </c>
      <c r="L56" s="26">
        <f>IFERROR(__xludf.DUMMYFUNCTION("""COMPUTED_VALUE"""),10)</f>
        <v/>
      </c>
      <c r="M56" s="26">
        <f>IFERROR(__xludf.DUMMYFUNCTION("""COMPUTED_VALUE"""),4)</f>
        <v/>
      </c>
      <c r="N56" s="26">
        <f>IFERROR(__xludf.DUMMYFUNCTION("""COMPUTED_VALUE"""),38)</f>
        <v/>
      </c>
      <c r="O56" s="26">
        <f>IFERROR(__xludf.DUMMYFUNCTION("""COMPUTED_VALUE"""),0)</f>
        <v/>
      </c>
      <c r="P56" s="26">
        <f>IFERROR(__xludf.DUMMYFUNCTION("""COMPUTED_VALUE"""),7)</f>
        <v/>
      </c>
      <c r="Q56" s="26">
        <f>IFERROR(__xludf.DUMMYFUNCTION("""COMPUTED_VALUE"""),20)</f>
        <v/>
      </c>
      <c r="R56" s="26">
        <f>IFERROR(__xludf.DUMMYFUNCTION("""COMPUTED_VALUE"""),0)</f>
        <v/>
      </c>
      <c r="S56" s="26" t="n"/>
    </row>
    <row r="57" ht="12.75" customHeight="1" s="117">
      <c r="A57" s="26">
        <f>IFERROR(__xludf.DUMMYFUNCTION("""COMPUTED_VALUE"""),"Đào Công Trung")</f>
        <v/>
      </c>
      <c r="B57" s="26">
        <f>IFERROR(__xludf.DUMMYFUNCTION("""COMPUTED_VALUE"""),2025)</f>
        <v/>
      </c>
      <c r="C57" s="26">
        <f>IFERROR(__xludf.DUMMYFUNCTION("""COMPUTED_VALUE"""),12)</f>
        <v/>
      </c>
      <c r="D57" s="26">
        <f>IFERROR(__xludf.DUMMYFUNCTION("""COMPUTED_VALUE"""),1)</f>
        <v/>
      </c>
      <c r="E57" s="26">
        <f>IFERROR(__xludf.DUMMYFUNCTION("""COMPUTED_VALUE"""),1)</f>
        <v/>
      </c>
      <c r="F57" s="26">
        <f>IFERROR(__xludf.DUMMYFUNCTION("""COMPUTED_VALUE"""),1)</f>
        <v/>
      </c>
      <c r="G57" s="26">
        <f>IFERROR(__xludf.DUMMYFUNCTION("""COMPUTED_VALUE"""),0)</f>
        <v/>
      </c>
      <c r="H57" s="26">
        <f>IFERROR(__xludf.DUMMYFUNCTION("""COMPUTED_VALUE"""),0)</f>
        <v/>
      </c>
      <c r="I57" s="26">
        <f>IFERROR(__xludf.DUMMYFUNCTION("""COMPUTED_VALUE"""),19)</f>
        <v/>
      </c>
      <c r="J57" s="26">
        <f>IFERROR(__xludf.DUMMYFUNCTION("""COMPUTED_VALUE"""),0)</f>
        <v/>
      </c>
      <c r="K57" s="26">
        <f>IFERROR(__xludf.DUMMYFUNCTION("""COMPUTED_VALUE"""),17)</f>
        <v/>
      </c>
      <c r="L57" s="26">
        <f>IFERROR(__xludf.DUMMYFUNCTION("""COMPUTED_VALUE"""),13)</f>
        <v/>
      </c>
      <c r="M57" s="26">
        <f>IFERROR(__xludf.DUMMYFUNCTION("""COMPUTED_VALUE"""),3)</f>
        <v/>
      </c>
      <c r="N57" s="26">
        <f>IFERROR(__xludf.DUMMYFUNCTION("""COMPUTED_VALUE"""),2)</f>
        <v/>
      </c>
      <c r="O57" s="26">
        <f>IFERROR(__xludf.DUMMYFUNCTION("""COMPUTED_VALUE"""),0)</f>
        <v/>
      </c>
      <c r="P57" s="26">
        <f>IFERROR(__xludf.DUMMYFUNCTION("""COMPUTED_VALUE"""),2)</f>
        <v/>
      </c>
      <c r="Q57" s="26">
        <f>IFERROR(__xludf.DUMMYFUNCTION("""COMPUTED_VALUE"""),6)</f>
        <v/>
      </c>
      <c r="R57" s="26">
        <f>IFERROR(__xludf.DUMMYFUNCTION("""COMPUTED_VALUE"""),0)</f>
        <v/>
      </c>
      <c r="S57" s="26" t="n"/>
    </row>
    <row r="58" ht="12.75" customHeight="1" s="117">
      <c r="A58" s="26">
        <f>IFERROR(__xludf.DUMMYFUNCTION("""COMPUTED_VALUE"""),"Đặng Hoài Anh")</f>
        <v/>
      </c>
      <c r="B58" s="26">
        <f>IFERROR(__xludf.DUMMYFUNCTION("""COMPUTED_VALUE"""),2025)</f>
        <v/>
      </c>
      <c r="C58" s="26">
        <f>IFERROR(__xludf.DUMMYFUNCTION("""COMPUTED_VALUE"""),12)</f>
        <v/>
      </c>
      <c r="D58" s="26">
        <f>IFERROR(__xludf.DUMMYFUNCTION("""COMPUTED_VALUE"""),2)</f>
        <v/>
      </c>
      <c r="E58" s="26">
        <f>IFERROR(__xludf.DUMMYFUNCTION("""COMPUTED_VALUE"""),1)</f>
        <v/>
      </c>
      <c r="F58" s="26">
        <f>IFERROR(__xludf.DUMMYFUNCTION("""COMPUTED_VALUE"""),1)</f>
        <v/>
      </c>
      <c r="G58" s="26">
        <f>IFERROR(__xludf.DUMMYFUNCTION("""COMPUTED_VALUE"""),1)</f>
        <v/>
      </c>
      <c r="H58" s="26">
        <f>IFERROR(__xludf.DUMMYFUNCTION("""COMPUTED_VALUE"""),0)</f>
        <v/>
      </c>
      <c r="I58" s="26">
        <f>IFERROR(__xludf.DUMMYFUNCTION("""COMPUTED_VALUE"""),22)</f>
        <v/>
      </c>
      <c r="J58" s="26">
        <f>IFERROR(__xludf.DUMMYFUNCTION("""COMPUTED_VALUE"""),0)</f>
        <v/>
      </c>
      <c r="K58" s="26">
        <f>IFERROR(__xludf.DUMMYFUNCTION("""COMPUTED_VALUE"""),15)</f>
        <v/>
      </c>
      <c r="L58" s="26">
        <f>IFERROR(__xludf.DUMMYFUNCTION("""COMPUTED_VALUE"""),0)</f>
        <v/>
      </c>
      <c r="M58" s="26">
        <f>IFERROR(__xludf.DUMMYFUNCTION("""COMPUTED_VALUE"""),5)</f>
        <v/>
      </c>
      <c r="N58" s="26">
        <f>IFERROR(__xludf.DUMMYFUNCTION("""COMPUTED_VALUE"""),0)</f>
        <v/>
      </c>
      <c r="O58" s="26">
        <f>IFERROR(__xludf.DUMMYFUNCTION("""COMPUTED_VALUE"""),0)</f>
        <v/>
      </c>
      <c r="P58" s="26">
        <f>IFERROR(__xludf.DUMMYFUNCTION("""COMPUTED_VALUE"""),3)</f>
        <v/>
      </c>
      <c r="Q58" s="26">
        <f>IFERROR(__xludf.DUMMYFUNCTION("""COMPUTED_VALUE"""),1)</f>
        <v/>
      </c>
      <c r="R58" s="26">
        <f>IFERROR(__xludf.DUMMYFUNCTION("""COMPUTED_VALUE"""),0)</f>
        <v/>
      </c>
      <c r="S58" s="26" t="n"/>
    </row>
    <row r="59" ht="12.75" customHeight="1" s="117">
      <c r="A59" s="26">
        <f>IFERROR(__xludf.DUMMYFUNCTION("""COMPUTED_VALUE"""),"Đặng Hữu Danh")</f>
        <v/>
      </c>
      <c r="B59" s="26">
        <f>IFERROR(__xludf.DUMMYFUNCTION("""COMPUTED_VALUE"""),2025)</f>
        <v/>
      </c>
      <c r="C59" s="26">
        <f>IFERROR(__xludf.DUMMYFUNCTION("""COMPUTED_VALUE"""),12)</f>
        <v/>
      </c>
      <c r="D59" s="26">
        <f>IFERROR(__xludf.DUMMYFUNCTION("""COMPUTED_VALUE"""),1)</f>
        <v/>
      </c>
      <c r="E59" s="26">
        <f>IFERROR(__xludf.DUMMYFUNCTION("""COMPUTED_VALUE"""),0)</f>
        <v/>
      </c>
      <c r="F59" s="26">
        <f>IFERROR(__xludf.DUMMYFUNCTION("""COMPUTED_VALUE"""),0)</f>
        <v/>
      </c>
      <c r="G59" s="26">
        <f>IFERROR(__xludf.DUMMYFUNCTION("""COMPUTED_VALUE"""),0)</f>
        <v/>
      </c>
      <c r="H59" s="26">
        <f>IFERROR(__xludf.DUMMYFUNCTION("""COMPUTED_VALUE"""),0)</f>
        <v/>
      </c>
      <c r="I59" s="26">
        <f>IFERROR(__xludf.DUMMYFUNCTION("""COMPUTED_VALUE"""),9)</f>
        <v/>
      </c>
      <c r="J59" s="26">
        <f>IFERROR(__xludf.DUMMYFUNCTION("""COMPUTED_VALUE"""),1)</f>
        <v/>
      </c>
      <c r="K59" s="26">
        <f>IFERROR(__xludf.DUMMYFUNCTION("""COMPUTED_VALUE"""),9)</f>
        <v/>
      </c>
      <c r="L59" s="26">
        <f>IFERROR(__xludf.DUMMYFUNCTION("""COMPUTED_VALUE"""),11)</f>
        <v/>
      </c>
      <c r="M59" s="26">
        <f>IFERROR(__xludf.DUMMYFUNCTION("""COMPUTED_VALUE"""),2)</f>
        <v/>
      </c>
      <c r="N59" s="26">
        <f>IFERROR(__xludf.DUMMYFUNCTION("""COMPUTED_VALUE"""),0)</f>
        <v/>
      </c>
      <c r="O59" s="26">
        <f>IFERROR(__xludf.DUMMYFUNCTION("""COMPUTED_VALUE"""),0)</f>
        <v/>
      </c>
      <c r="P59" s="26">
        <f>IFERROR(__xludf.DUMMYFUNCTION("""COMPUTED_VALUE"""),13)</f>
        <v/>
      </c>
      <c r="Q59" s="26">
        <f>IFERROR(__xludf.DUMMYFUNCTION("""COMPUTED_VALUE"""),32)</f>
        <v/>
      </c>
      <c r="R59" s="26">
        <f>IFERROR(__xludf.DUMMYFUNCTION("""COMPUTED_VALUE"""),0)</f>
        <v/>
      </c>
      <c r="S59" s="26" t="n"/>
    </row>
  </sheetData>
  <mergeCells count="2">
    <mergeCell ref="A1:D1"/>
    <mergeCell ref="A5:S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5703125" defaultRowHeight="15.75" customHeight="1"/>
  <cols>
    <col width="6.42578125" customWidth="1" style="117" min="1" max="1"/>
    <col width="9.42578125" customWidth="1" style="117" min="3" max="3"/>
    <col width="26.7109375" customWidth="1" style="117" min="4" max="4"/>
  </cols>
  <sheetData>
    <row r="1" ht="15.75" customHeight="1" s="117">
      <c r="A1" s="30" t="inlineStr">
        <is>
          <t>STT</t>
        </is>
      </c>
      <c r="B1" s="30" t="inlineStr">
        <is>
          <t>ĐƠN VỊ</t>
        </is>
      </c>
      <c r="C1" s="30" t="inlineStr">
        <is>
          <t>MÃ NV</t>
        </is>
      </c>
      <c r="D1" s="30" t="inlineStr">
        <is>
          <t>HỌ VÀ TÊN</t>
        </is>
      </c>
      <c r="E1" s="107" t="inlineStr">
        <is>
          <t>Tiếp thị DV Fiber</t>
        </is>
      </c>
      <c r="F1" s="107" t="inlineStr">
        <is>
          <t>Tiếp thị DV MyTV</t>
        </is>
      </c>
      <c r="G1" s="107" t="inlineStr">
        <is>
          <t>Tiếp thị DV Camera/Mesh</t>
        </is>
      </c>
      <c r="H1" s="107" t="inlineStr">
        <is>
          <t>Tạm ngưng Fiber</t>
        </is>
      </c>
      <c r="I1" s="107" t="inlineStr">
        <is>
          <t>Tạm ngưng Mytv</t>
        </is>
      </c>
      <c r="J1" s="107" t="inlineStr">
        <is>
          <t>Thay thế ONT 2 băng tần</t>
        </is>
      </c>
      <c r="K1" s="107" t="inlineStr">
        <is>
          <t>CSKH HVC chuyển XGSPON</t>
        </is>
      </c>
      <c r="L1" s="107" t="inlineStr">
        <is>
          <t>Phiếu GHTT tháng T</t>
        </is>
      </c>
      <c r="M1" s="107" t="inlineStr">
        <is>
          <t>Phiếu GHTT tháng T+1</t>
        </is>
      </c>
      <c r="N1" s="108" t="inlineStr">
        <is>
          <t>Thang</t>
        </is>
      </c>
      <c r="O1" s="108" t="inlineStr">
        <is>
          <t>Năm</t>
        </is>
      </c>
      <c r="P1" s="110" t="n"/>
      <c r="Q1" s="110" t="n"/>
      <c r="R1" s="110" t="n"/>
      <c r="S1" s="110" t="n"/>
      <c r="T1" s="110" t="n"/>
      <c r="U1" s="110" t="n"/>
      <c r="V1" s="110" t="n"/>
      <c r="W1" s="110" t="n"/>
      <c r="X1" s="110" t="n"/>
      <c r="Y1" s="110" t="n"/>
      <c r="Z1" s="110" t="n"/>
    </row>
    <row r="2" ht="15.75" customHeight="1" s="117">
      <c r="A2" s="114" t="n"/>
      <c r="B2" s="114" t="n"/>
      <c r="C2" s="114" t="n"/>
      <c r="D2" s="108" t="inlineStr">
        <is>
          <t>TỔNG</t>
        </is>
      </c>
      <c r="E2" s="114" t="n"/>
      <c r="F2" s="114" t="n"/>
      <c r="G2" s="114" t="n"/>
      <c r="H2" s="114" t="n"/>
      <c r="I2" s="114" t="n"/>
      <c r="J2" s="114" t="n"/>
      <c r="K2" s="114" t="n"/>
      <c r="L2" s="114" t="n"/>
      <c r="M2" s="114" t="n"/>
      <c r="N2" s="114" t="n"/>
      <c r="O2" s="114" t="n"/>
      <c r="P2" s="110" t="n"/>
      <c r="Q2" s="110" t="n"/>
      <c r="R2" s="110" t="n"/>
      <c r="S2" s="110" t="n"/>
      <c r="T2" s="110" t="n"/>
      <c r="U2" s="110" t="n"/>
      <c r="V2" s="110" t="n"/>
      <c r="W2" s="110" t="n"/>
      <c r="X2" s="110" t="n"/>
      <c r="Y2" s="110" t="n"/>
      <c r="Z2" s="110" t="n"/>
    </row>
    <row r="3" ht="15.75" customHeight="1" s="117">
      <c r="A3" s="112" t="n">
        <v>1</v>
      </c>
      <c r="B3" s="112" t="inlineStr">
        <is>
          <t>Xuân Lộc</t>
        </is>
      </c>
      <c r="C3" s="112" t="n"/>
      <c r="D3" s="114" t="inlineStr">
        <is>
          <t>Bùi Duy Cường</t>
        </is>
      </c>
      <c r="E3" s="112" t="n">
        <v>4</v>
      </c>
      <c r="F3" s="112" t="n">
        <v>8</v>
      </c>
      <c r="G3" s="112" t="n">
        <v>4</v>
      </c>
      <c r="H3" s="112" t="n">
        <v>0</v>
      </c>
      <c r="I3" s="112" t="n">
        <v>0</v>
      </c>
      <c r="J3" s="115" t="n">
        <v>20</v>
      </c>
      <c r="K3" s="115" t="n">
        <v>20</v>
      </c>
      <c r="L3" s="115" t="n">
        <v>0</v>
      </c>
      <c r="M3" s="115" t="n">
        <v>0</v>
      </c>
      <c r="N3" s="115" t="n">
        <v>12</v>
      </c>
      <c r="O3" s="115" t="n">
        <v>2025</v>
      </c>
      <c r="P3" s="110" t="n"/>
      <c r="Q3" s="110" t="n"/>
      <c r="R3" s="110" t="n"/>
      <c r="S3" s="110" t="n"/>
      <c r="T3" s="110" t="n"/>
      <c r="U3" s="110" t="n"/>
      <c r="V3" s="110" t="n"/>
      <c r="W3" s="110" t="n"/>
      <c r="X3" s="110" t="n"/>
      <c r="Y3" s="110" t="n"/>
      <c r="Z3" s="110" t="n"/>
    </row>
    <row r="4" ht="15.75" customHeight="1" s="117">
      <c r="A4" s="112" t="n">
        <v>2</v>
      </c>
      <c r="B4" s="112" t="inlineStr">
        <is>
          <t>Xuân Lộc</t>
        </is>
      </c>
      <c r="C4" s="112" t="n"/>
      <c r="D4" s="114" t="inlineStr">
        <is>
          <t>Dương Minh Tiến</t>
        </is>
      </c>
      <c r="E4" s="112" t="n">
        <v>4</v>
      </c>
      <c r="F4" s="112" t="n">
        <v>8</v>
      </c>
      <c r="G4" s="112" t="n">
        <v>4</v>
      </c>
      <c r="H4" s="112" t="n">
        <v>4</v>
      </c>
      <c r="I4" s="112" t="n">
        <v>4</v>
      </c>
      <c r="J4" s="115" t="n">
        <v>20</v>
      </c>
      <c r="K4" s="115" t="n">
        <v>20</v>
      </c>
      <c r="L4" s="115" t="n">
        <v>157</v>
      </c>
      <c r="M4" s="115" t="n">
        <v>221</v>
      </c>
      <c r="N4" s="115" t="n">
        <v>12</v>
      </c>
      <c r="O4" s="115" t="n">
        <v>2025</v>
      </c>
      <c r="P4" s="110" t="n"/>
      <c r="Q4" s="110" t="n"/>
      <c r="R4" s="110" t="n"/>
      <c r="S4" s="110" t="n"/>
      <c r="T4" s="110" t="n"/>
      <c r="U4" s="110" t="n"/>
      <c r="V4" s="110" t="n"/>
      <c r="W4" s="110" t="n"/>
      <c r="X4" s="110" t="n"/>
      <c r="Y4" s="110" t="n"/>
      <c r="Z4" s="110" t="n"/>
    </row>
    <row r="5" ht="15.75" customHeight="1" s="117">
      <c r="A5" s="112" t="n">
        <v>3</v>
      </c>
      <c r="B5" s="112" t="inlineStr">
        <is>
          <t>Xuân Lộc</t>
        </is>
      </c>
      <c r="C5" s="112" t="n"/>
      <c r="D5" s="114" t="inlineStr">
        <is>
          <t>Hoàng Văn Chất</t>
        </is>
      </c>
      <c r="E5" s="112" t="n">
        <v>4</v>
      </c>
      <c r="F5" s="112" t="n">
        <v>8</v>
      </c>
      <c r="G5" s="112" t="n">
        <v>4</v>
      </c>
      <c r="H5" s="112" t="n">
        <v>4</v>
      </c>
      <c r="I5" s="112" t="n">
        <v>3</v>
      </c>
      <c r="J5" s="115" t="n">
        <v>20</v>
      </c>
      <c r="K5" s="115" t="n">
        <v>20</v>
      </c>
      <c r="L5" s="115" t="n">
        <v>102</v>
      </c>
      <c r="M5" s="115" t="n">
        <v>149</v>
      </c>
      <c r="N5" s="115" t="n">
        <v>12</v>
      </c>
      <c r="O5" s="115" t="n">
        <v>2025</v>
      </c>
      <c r="P5" s="110" t="n"/>
      <c r="Q5" s="110" t="n"/>
      <c r="R5" s="110" t="n"/>
      <c r="S5" s="110" t="n"/>
      <c r="T5" s="110" t="n"/>
      <c r="U5" s="110" t="n"/>
      <c r="V5" s="110" t="n"/>
      <c r="W5" s="110" t="n"/>
      <c r="X5" s="110" t="n"/>
      <c r="Y5" s="110" t="n"/>
      <c r="Z5" s="110" t="n"/>
    </row>
    <row r="6" ht="15.75" customHeight="1" s="117">
      <c r="A6" s="112" t="n">
        <v>4</v>
      </c>
      <c r="B6" s="112" t="inlineStr">
        <is>
          <t>Xuân Lộc</t>
        </is>
      </c>
      <c r="C6" s="112" t="n"/>
      <c r="D6" s="114" t="inlineStr">
        <is>
          <t>Huỳnh Văn Lực</t>
        </is>
      </c>
      <c r="E6" s="112" t="n">
        <v>4</v>
      </c>
      <c r="F6" s="112" t="n">
        <v>8</v>
      </c>
      <c r="G6" s="112" t="n">
        <v>4</v>
      </c>
      <c r="H6" s="112" t="n">
        <v>4</v>
      </c>
      <c r="I6" s="112" t="n">
        <v>3</v>
      </c>
      <c r="J6" s="115" t="n">
        <v>20</v>
      </c>
      <c r="K6" s="115" t="n">
        <v>20</v>
      </c>
      <c r="L6" s="115" t="n">
        <v>118</v>
      </c>
      <c r="M6" s="115" t="n">
        <v>126</v>
      </c>
      <c r="N6" s="115" t="n">
        <v>12</v>
      </c>
      <c r="O6" s="115" t="n">
        <v>2025</v>
      </c>
      <c r="P6" s="110" t="n"/>
      <c r="Q6" s="110" t="n"/>
      <c r="R6" s="110" t="n"/>
      <c r="S6" s="110" t="n"/>
      <c r="T6" s="110" t="n"/>
      <c r="U6" s="110" t="n"/>
      <c r="V6" s="110" t="n"/>
      <c r="W6" s="110" t="n"/>
      <c r="X6" s="110" t="n"/>
      <c r="Y6" s="110" t="n"/>
      <c r="Z6" s="110" t="n"/>
    </row>
    <row r="7" ht="15.75" customHeight="1" s="117">
      <c r="A7" s="112" t="n">
        <v>5</v>
      </c>
      <c r="B7" s="112" t="inlineStr">
        <is>
          <t>Xuân Lộc</t>
        </is>
      </c>
      <c r="C7" s="112" t="n"/>
      <c r="D7" s="114" t="inlineStr">
        <is>
          <t>Hồ Thái Minh Trí</t>
        </is>
      </c>
      <c r="E7" s="112" t="n">
        <v>4</v>
      </c>
      <c r="F7" s="112" t="n">
        <v>8</v>
      </c>
      <c r="G7" s="112" t="n">
        <v>4</v>
      </c>
      <c r="H7" s="112" t="n">
        <v>4</v>
      </c>
      <c r="I7" s="112" t="n">
        <v>3</v>
      </c>
      <c r="J7" s="115" t="n">
        <v>20</v>
      </c>
      <c r="K7" s="115" t="n">
        <v>20</v>
      </c>
      <c r="L7" s="115" t="n">
        <v>149</v>
      </c>
      <c r="M7" s="115" t="n">
        <v>182</v>
      </c>
      <c r="N7" s="115" t="n">
        <v>12</v>
      </c>
      <c r="O7" s="115" t="n">
        <v>2025</v>
      </c>
      <c r="P7" s="110" t="n"/>
      <c r="Q7" s="110" t="n"/>
      <c r="R7" s="110" t="n"/>
      <c r="S7" s="110" t="n"/>
      <c r="T7" s="110" t="n"/>
      <c r="U7" s="110" t="n"/>
      <c r="V7" s="110" t="n"/>
      <c r="W7" s="110" t="n"/>
      <c r="X7" s="110" t="n"/>
      <c r="Y7" s="110" t="n"/>
      <c r="Z7" s="110" t="n"/>
    </row>
    <row r="8" ht="15.75" customHeight="1" s="117">
      <c r="A8" s="112" t="n">
        <v>6</v>
      </c>
      <c r="B8" s="112" t="inlineStr">
        <is>
          <t>Xuân Lộc</t>
        </is>
      </c>
      <c r="C8" s="112" t="n"/>
      <c r="D8" s="114" t="inlineStr">
        <is>
          <t>Hồ Xuân Việt</t>
        </is>
      </c>
      <c r="E8" s="112" t="n">
        <v>4</v>
      </c>
      <c r="F8" s="112" t="n">
        <v>8</v>
      </c>
      <c r="G8" s="112" t="n">
        <v>4</v>
      </c>
      <c r="H8" s="112" t="n">
        <v>4</v>
      </c>
      <c r="I8" s="112" t="n">
        <v>3</v>
      </c>
      <c r="J8" s="115" t="n">
        <v>20</v>
      </c>
      <c r="K8" s="115" t="n">
        <v>20</v>
      </c>
      <c r="L8" s="115" t="n">
        <v>129</v>
      </c>
      <c r="M8" s="115" t="n">
        <v>119</v>
      </c>
      <c r="N8" s="115" t="n">
        <v>12</v>
      </c>
      <c r="O8" s="115" t="n">
        <v>2025</v>
      </c>
      <c r="P8" s="110" t="n"/>
      <c r="Q8" s="110" t="n"/>
      <c r="R8" s="110" t="n"/>
      <c r="S8" s="110" t="n"/>
      <c r="T8" s="110" t="n"/>
      <c r="U8" s="110" t="n"/>
      <c r="V8" s="110" t="n"/>
      <c r="W8" s="110" t="n"/>
      <c r="X8" s="110" t="n"/>
      <c r="Y8" s="110" t="n"/>
      <c r="Z8" s="110" t="n"/>
    </row>
    <row r="9" ht="15.75" customHeight="1" s="117">
      <c r="A9" s="112" t="n">
        <v>7</v>
      </c>
      <c r="B9" s="112" t="inlineStr">
        <is>
          <t>Xuân Lộc</t>
        </is>
      </c>
      <c r="C9" s="112" t="n"/>
      <c r="D9" s="114" t="inlineStr">
        <is>
          <t>Lê Hồng Phong</t>
        </is>
      </c>
      <c r="E9" s="112" t="n">
        <v>4</v>
      </c>
      <c r="F9" s="112" t="n">
        <v>8</v>
      </c>
      <c r="G9" s="112" t="n">
        <v>4</v>
      </c>
      <c r="H9" s="112" t="n">
        <v>4</v>
      </c>
      <c r="I9" s="112" t="n">
        <v>3</v>
      </c>
      <c r="J9" s="115" t="n">
        <v>20</v>
      </c>
      <c r="K9" s="115" t="n">
        <v>20</v>
      </c>
      <c r="L9" s="115" t="n">
        <v>101</v>
      </c>
      <c r="M9" s="115" t="n">
        <v>235</v>
      </c>
      <c r="N9" s="115" t="n">
        <v>12</v>
      </c>
      <c r="O9" s="115" t="n">
        <v>2025</v>
      </c>
      <c r="P9" s="110" t="n"/>
      <c r="Q9" s="110" t="n"/>
      <c r="R9" s="110" t="n"/>
      <c r="S9" s="110" t="n"/>
      <c r="T9" s="110" t="n"/>
      <c r="U9" s="110" t="n"/>
      <c r="V9" s="110" t="n"/>
      <c r="W9" s="110" t="n"/>
      <c r="X9" s="110" t="n"/>
      <c r="Y9" s="110" t="n"/>
      <c r="Z9" s="110" t="n"/>
    </row>
    <row r="10" ht="15.75" customHeight="1" s="117">
      <c r="A10" s="112" t="n">
        <v>8</v>
      </c>
      <c r="B10" s="112" t="inlineStr">
        <is>
          <t>Xuân Lộc</t>
        </is>
      </c>
      <c r="C10" s="112" t="n"/>
      <c r="D10" s="114" t="inlineStr">
        <is>
          <t>Lê Quốc Duy</t>
        </is>
      </c>
      <c r="E10" s="112" t="n">
        <v>4</v>
      </c>
      <c r="F10" s="112" t="n">
        <v>8</v>
      </c>
      <c r="G10" s="112" t="n">
        <v>4</v>
      </c>
      <c r="H10" s="112" t="n">
        <v>0</v>
      </c>
      <c r="I10" s="112" t="n">
        <v>0</v>
      </c>
      <c r="J10" s="115" t="n">
        <v>20</v>
      </c>
      <c r="K10" s="115" t="n">
        <v>20</v>
      </c>
      <c r="L10" s="115" t="n">
        <v>0</v>
      </c>
      <c r="M10" s="115" t="n">
        <v>0</v>
      </c>
      <c r="N10" s="115" t="n">
        <v>12</v>
      </c>
      <c r="O10" s="115" t="n">
        <v>2025</v>
      </c>
      <c r="P10" s="110" t="n"/>
      <c r="Q10" s="110" t="n"/>
      <c r="R10" s="110" t="n"/>
      <c r="S10" s="110" t="n"/>
      <c r="T10" s="110" t="n"/>
      <c r="U10" s="110" t="n"/>
      <c r="V10" s="110" t="n"/>
      <c r="W10" s="110" t="n"/>
      <c r="X10" s="110" t="n"/>
      <c r="Y10" s="110" t="n"/>
      <c r="Z10" s="110" t="n"/>
    </row>
    <row r="11" ht="15.75" customHeight="1" s="117">
      <c r="A11" s="112" t="n">
        <v>9</v>
      </c>
      <c r="B11" s="112" t="inlineStr">
        <is>
          <t>Xuân Lộc</t>
        </is>
      </c>
      <c r="C11" s="112" t="n"/>
      <c r="D11" s="114" t="inlineStr">
        <is>
          <t>Lê Văn Hồng</t>
        </is>
      </c>
      <c r="E11" s="112" t="n">
        <v>4</v>
      </c>
      <c r="F11" s="112" t="n">
        <v>8</v>
      </c>
      <c r="G11" s="112" t="n">
        <v>4</v>
      </c>
      <c r="H11" s="112" t="n">
        <v>4</v>
      </c>
      <c r="I11" s="112" t="n">
        <v>4</v>
      </c>
      <c r="J11" s="115" t="n">
        <v>20</v>
      </c>
      <c r="K11" s="115" t="n">
        <v>20</v>
      </c>
      <c r="L11" s="115" t="n">
        <v>148</v>
      </c>
      <c r="M11" s="115" t="n">
        <v>243</v>
      </c>
      <c r="N11" s="115" t="n">
        <v>12</v>
      </c>
      <c r="O11" s="115" t="n">
        <v>2025</v>
      </c>
      <c r="P11" s="110" t="n"/>
      <c r="Q11" s="110" t="n"/>
      <c r="R11" s="110" t="n"/>
      <c r="S11" s="110" t="n"/>
      <c r="T11" s="110" t="n"/>
      <c r="U11" s="110" t="n"/>
      <c r="V11" s="110" t="n"/>
      <c r="W11" s="110" t="n"/>
      <c r="X11" s="110" t="n"/>
      <c r="Y11" s="110" t="n"/>
      <c r="Z11" s="110" t="n"/>
    </row>
    <row r="12" ht="15.75" customHeight="1" s="117">
      <c r="A12" s="112" t="n">
        <v>10</v>
      </c>
      <c r="B12" s="112" t="inlineStr">
        <is>
          <t>Xuân Lộc</t>
        </is>
      </c>
      <c r="C12" s="112" t="n"/>
      <c r="D12" s="114" t="inlineStr">
        <is>
          <t>Lương Duy Hoàng</t>
        </is>
      </c>
      <c r="E12" s="112" t="n">
        <v>4</v>
      </c>
      <c r="F12" s="112" t="n">
        <v>8</v>
      </c>
      <c r="G12" s="112" t="n">
        <v>4</v>
      </c>
      <c r="H12" s="112" t="n">
        <v>4</v>
      </c>
      <c r="I12" s="112" t="n">
        <v>4</v>
      </c>
      <c r="J12" s="115" t="n">
        <v>20</v>
      </c>
      <c r="K12" s="115" t="n">
        <v>20</v>
      </c>
      <c r="L12" s="115" t="n">
        <v>183</v>
      </c>
      <c r="M12" s="115" t="n">
        <v>237</v>
      </c>
      <c r="N12" s="115" t="n">
        <v>12</v>
      </c>
      <c r="O12" s="115" t="n">
        <v>2025</v>
      </c>
      <c r="P12" s="110" t="n"/>
      <c r="Q12" s="110" t="n"/>
      <c r="R12" s="110" t="n"/>
      <c r="S12" s="110" t="n"/>
      <c r="T12" s="110" t="n"/>
      <c r="U12" s="110" t="n"/>
      <c r="V12" s="110" t="n"/>
      <c r="W12" s="110" t="n"/>
      <c r="X12" s="110" t="n"/>
      <c r="Y12" s="110" t="n"/>
      <c r="Z12" s="110" t="n"/>
    </row>
    <row r="13" ht="15.75" customHeight="1" s="117">
      <c r="A13" s="112" t="n">
        <v>11</v>
      </c>
      <c r="B13" s="112" t="inlineStr">
        <is>
          <t>Xuân Lộc</t>
        </is>
      </c>
      <c r="C13" s="112" t="n"/>
      <c r="D13" s="114" t="inlineStr">
        <is>
          <t>Lương Duy Hải</t>
        </is>
      </c>
      <c r="E13" s="112" t="n">
        <v>4</v>
      </c>
      <c r="F13" s="112" t="n">
        <v>8</v>
      </c>
      <c r="G13" s="112" t="n">
        <v>4</v>
      </c>
      <c r="H13" s="112" t="n">
        <v>4</v>
      </c>
      <c r="I13" s="112" t="n">
        <v>3</v>
      </c>
      <c r="J13" s="115" t="n">
        <v>20</v>
      </c>
      <c r="K13" s="115" t="n">
        <v>20</v>
      </c>
      <c r="L13" s="115" t="n">
        <v>142</v>
      </c>
      <c r="M13" s="115" t="n">
        <v>165</v>
      </c>
      <c r="N13" s="115" t="n">
        <v>12</v>
      </c>
      <c r="O13" s="115" t="n">
        <v>2025</v>
      </c>
      <c r="P13" s="110" t="n"/>
      <c r="Q13" s="110" t="n"/>
      <c r="R13" s="110" t="n"/>
      <c r="S13" s="110" t="n"/>
      <c r="T13" s="110" t="n"/>
      <c r="U13" s="110" t="n"/>
      <c r="V13" s="110" t="n"/>
      <c r="W13" s="110" t="n"/>
      <c r="X13" s="110" t="n"/>
      <c r="Y13" s="110" t="n"/>
      <c r="Z13" s="110" t="n"/>
    </row>
    <row r="14" ht="15.75" customHeight="1" s="117">
      <c r="A14" s="112" t="n">
        <v>12</v>
      </c>
      <c r="B14" s="112" t="inlineStr">
        <is>
          <t>Xuân Lộc</t>
        </is>
      </c>
      <c r="C14" s="112" t="n"/>
      <c r="D14" s="114" t="inlineStr">
        <is>
          <t>Nguyễn Hồng Minh</t>
        </is>
      </c>
      <c r="E14" s="112" t="n">
        <v>4</v>
      </c>
      <c r="F14" s="112" t="n">
        <v>8</v>
      </c>
      <c r="G14" s="112" t="n">
        <v>4</v>
      </c>
      <c r="H14" s="112" t="n">
        <v>4</v>
      </c>
      <c r="I14" s="112" t="n">
        <v>3</v>
      </c>
      <c r="J14" s="115" t="n">
        <v>20</v>
      </c>
      <c r="K14" s="115" t="n">
        <v>20</v>
      </c>
      <c r="L14" s="115" t="n">
        <v>261</v>
      </c>
      <c r="M14" s="115" t="n">
        <v>317</v>
      </c>
      <c r="N14" s="115" t="n">
        <v>12</v>
      </c>
      <c r="O14" s="115" t="n">
        <v>2025</v>
      </c>
      <c r="P14" s="110" t="n"/>
      <c r="Q14" s="110" t="n"/>
      <c r="R14" s="110" t="n"/>
      <c r="S14" s="110" t="n"/>
      <c r="T14" s="110" t="n"/>
      <c r="U14" s="110" t="n"/>
      <c r="V14" s="110" t="n"/>
      <c r="W14" s="110" t="n"/>
      <c r="X14" s="110" t="n"/>
      <c r="Y14" s="110" t="n"/>
      <c r="Z14" s="110" t="n"/>
    </row>
    <row r="15" ht="15.75" customHeight="1" s="117">
      <c r="A15" s="112" t="n">
        <v>13</v>
      </c>
      <c r="B15" s="112" t="inlineStr">
        <is>
          <t>Xuân Lộc</t>
        </is>
      </c>
      <c r="C15" s="112" t="n"/>
      <c r="D15" s="114" t="inlineStr">
        <is>
          <t>Nguyễn Quang Anh Tuấn</t>
        </is>
      </c>
      <c r="E15" s="112" t="n">
        <v>4</v>
      </c>
      <c r="F15" s="112" t="n">
        <v>8</v>
      </c>
      <c r="G15" s="112" t="n">
        <v>4</v>
      </c>
      <c r="H15" s="112" t="n">
        <v>4</v>
      </c>
      <c r="I15" s="112" t="n">
        <v>3</v>
      </c>
      <c r="J15" s="115" t="n">
        <v>20</v>
      </c>
      <c r="K15" s="115" t="n">
        <v>20</v>
      </c>
      <c r="L15" s="115" t="n">
        <v>124</v>
      </c>
      <c r="M15" s="115" t="n">
        <v>157</v>
      </c>
      <c r="N15" s="115" t="n">
        <v>12</v>
      </c>
      <c r="O15" s="115" t="n">
        <v>2025</v>
      </c>
      <c r="P15" s="110" t="n"/>
      <c r="Q15" s="110" t="n"/>
      <c r="R15" s="110" t="n"/>
      <c r="S15" s="110" t="n"/>
      <c r="T15" s="110" t="n"/>
      <c r="U15" s="110" t="n"/>
      <c r="V15" s="110" t="n"/>
      <c r="W15" s="110" t="n"/>
      <c r="X15" s="110" t="n"/>
      <c r="Y15" s="110" t="n"/>
      <c r="Z15" s="110" t="n"/>
    </row>
    <row r="16" ht="15.75" customHeight="1" s="117">
      <c r="A16" s="112" t="n">
        <v>14</v>
      </c>
      <c r="B16" s="112" t="inlineStr">
        <is>
          <t>Xuân Lộc</t>
        </is>
      </c>
      <c r="C16" s="112" t="n"/>
      <c r="D16" s="114" t="inlineStr">
        <is>
          <t>Nguyễn Thành Lâm</t>
        </is>
      </c>
      <c r="E16" s="112" t="n">
        <v>4</v>
      </c>
      <c r="F16" s="112" t="n">
        <v>8</v>
      </c>
      <c r="G16" s="112" t="n">
        <v>4</v>
      </c>
      <c r="H16" s="112" t="n">
        <v>4</v>
      </c>
      <c r="I16" s="112" t="n">
        <v>3</v>
      </c>
      <c r="J16" s="115" t="n">
        <v>20</v>
      </c>
      <c r="K16" s="115" t="n">
        <v>20</v>
      </c>
      <c r="L16" s="115" t="n">
        <v>106</v>
      </c>
      <c r="M16" s="115" t="n">
        <v>136</v>
      </c>
      <c r="N16" s="115" t="n">
        <v>12</v>
      </c>
      <c r="O16" s="115" t="n">
        <v>2025</v>
      </c>
      <c r="P16" s="110" t="n"/>
      <c r="Q16" s="110" t="n"/>
      <c r="R16" s="110" t="n"/>
      <c r="S16" s="110" t="n"/>
      <c r="T16" s="110" t="n"/>
      <c r="U16" s="110" t="n"/>
      <c r="V16" s="110" t="n"/>
      <c r="W16" s="110" t="n"/>
      <c r="X16" s="110" t="n"/>
      <c r="Y16" s="110" t="n"/>
      <c r="Z16" s="110" t="n"/>
    </row>
    <row r="17" ht="15.75" customHeight="1" s="117">
      <c r="A17" s="112" t="n">
        <v>15</v>
      </c>
      <c r="B17" s="112" t="inlineStr">
        <is>
          <t>Xuân Lộc</t>
        </is>
      </c>
      <c r="C17" s="112" t="n"/>
      <c r="D17" s="114" t="inlineStr">
        <is>
          <t>Nguyễn Tuấn Anh</t>
        </is>
      </c>
      <c r="E17" s="112" t="n">
        <v>4</v>
      </c>
      <c r="F17" s="112" t="n">
        <v>8</v>
      </c>
      <c r="G17" s="112" t="n">
        <v>4</v>
      </c>
      <c r="H17" s="112" t="n">
        <v>4</v>
      </c>
      <c r="I17" s="112" t="n">
        <v>3</v>
      </c>
      <c r="J17" s="115" t="n">
        <v>20</v>
      </c>
      <c r="K17" s="115" t="n">
        <v>20</v>
      </c>
      <c r="L17" s="115" t="n">
        <v>143</v>
      </c>
      <c r="M17" s="115" t="n">
        <v>199</v>
      </c>
      <c r="N17" s="115" t="n">
        <v>12</v>
      </c>
      <c r="O17" s="115" t="n">
        <v>2025</v>
      </c>
      <c r="P17" s="110" t="n"/>
      <c r="Q17" s="110" t="n"/>
      <c r="R17" s="110" t="n"/>
      <c r="S17" s="110" t="n"/>
      <c r="T17" s="110" t="n"/>
      <c r="U17" s="110" t="n"/>
      <c r="V17" s="110" t="n"/>
      <c r="W17" s="110" t="n"/>
      <c r="X17" s="110" t="n"/>
      <c r="Y17" s="110" t="n"/>
      <c r="Z17" s="110" t="n"/>
    </row>
    <row r="18" ht="15.75" customHeight="1" s="117">
      <c r="A18" s="112" t="n">
        <v>16</v>
      </c>
      <c r="B18" s="112" t="inlineStr">
        <is>
          <t>Xuân Lộc</t>
        </is>
      </c>
      <c r="C18" s="112" t="n"/>
      <c r="D18" s="114" t="inlineStr">
        <is>
          <t>Nguyễn Văn Hiệp</t>
        </is>
      </c>
      <c r="E18" s="112" t="n">
        <v>4</v>
      </c>
      <c r="F18" s="112" t="n">
        <v>8</v>
      </c>
      <c r="G18" s="112" t="n">
        <v>4</v>
      </c>
      <c r="H18" s="112" t="n">
        <v>4</v>
      </c>
      <c r="I18" s="112" t="n">
        <v>3</v>
      </c>
      <c r="J18" s="115" t="n">
        <v>20</v>
      </c>
      <c r="K18" s="115" t="n">
        <v>20</v>
      </c>
      <c r="L18" s="115" t="n">
        <v>118</v>
      </c>
      <c r="M18" s="115" t="n">
        <v>226</v>
      </c>
      <c r="N18" s="115" t="n">
        <v>12</v>
      </c>
      <c r="O18" s="115" t="n">
        <v>2025</v>
      </c>
      <c r="P18" s="110" t="n"/>
      <c r="Q18" s="110" t="n"/>
      <c r="R18" s="110" t="n"/>
      <c r="S18" s="110" t="n"/>
      <c r="T18" s="110" t="n"/>
      <c r="U18" s="110" t="n"/>
      <c r="V18" s="110" t="n"/>
      <c r="W18" s="110" t="n"/>
      <c r="X18" s="110" t="n"/>
      <c r="Y18" s="110" t="n"/>
      <c r="Z18" s="110" t="n"/>
    </row>
    <row r="19" ht="15.75" customHeight="1" s="117">
      <c r="A19" s="112" t="n">
        <v>17</v>
      </c>
      <c r="B19" s="112" t="inlineStr">
        <is>
          <t>Xuân Lộc</t>
        </is>
      </c>
      <c r="C19" s="112" t="n"/>
      <c r="D19" s="114" t="inlineStr">
        <is>
          <t>Nguyễn Văn Nhật</t>
        </is>
      </c>
      <c r="E19" s="112" t="n">
        <v>4</v>
      </c>
      <c r="F19" s="112" t="n">
        <v>8</v>
      </c>
      <c r="G19" s="112" t="n">
        <v>4</v>
      </c>
      <c r="H19" s="112" t="n">
        <v>4</v>
      </c>
      <c r="I19" s="112" t="n">
        <v>3</v>
      </c>
      <c r="J19" s="115" t="n">
        <v>20</v>
      </c>
      <c r="K19" s="115" t="n">
        <v>20</v>
      </c>
      <c r="L19" s="115" t="n">
        <v>215</v>
      </c>
      <c r="M19" s="115" t="n">
        <v>258</v>
      </c>
      <c r="N19" s="115" t="n">
        <v>12</v>
      </c>
      <c r="O19" s="115" t="n">
        <v>2025</v>
      </c>
      <c r="P19" s="110" t="n"/>
      <c r="Q19" s="110" t="n"/>
      <c r="R19" s="110" t="n"/>
      <c r="S19" s="110" t="n"/>
      <c r="T19" s="110" t="n"/>
      <c r="U19" s="110" t="n"/>
      <c r="V19" s="110" t="n"/>
      <c r="W19" s="110" t="n"/>
      <c r="X19" s="110" t="n"/>
      <c r="Y19" s="110" t="n"/>
      <c r="Z19" s="110" t="n"/>
    </row>
    <row r="20" ht="15.75" customHeight="1" s="117">
      <c r="A20" s="112" t="n">
        <v>18</v>
      </c>
      <c r="B20" s="112" t="inlineStr">
        <is>
          <t>Xuân Lộc</t>
        </is>
      </c>
      <c r="C20" s="112" t="n"/>
      <c r="D20" s="114" t="inlineStr">
        <is>
          <t>Phan Ngọc Sang</t>
        </is>
      </c>
      <c r="E20" s="112" t="n">
        <v>4</v>
      </c>
      <c r="F20" s="112" t="n">
        <v>8</v>
      </c>
      <c r="G20" s="112" t="n">
        <v>4</v>
      </c>
      <c r="H20" s="112" t="n">
        <v>4</v>
      </c>
      <c r="I20" s="112" t="n">
        <v>4</v>
      </c>
      <c r="J20" s="115" t="n">
        <v>20</v>
      </c>
      <c r="K20" s="115" t="n">
        <v>20</v>
      </c>
      <c r="L20" s="115" t="n">
        <v>164</v>
      </c>
      <c r="M20" s="115" t="n">
        <v>212</v>
      </c>
      <c r="N20" s="115" t="n">
        <v>12</v>
      </c>
      <c r="O20" s="115" t="n">
        <v>2025</v>
      </c>
      <c r="P20" s="110" t="n"/>
      <c r="Q20" s="110" t="n"/>
      <c r="R20" s="110" t="n"/>
      <c r="S20" s="110" t="n"/>
      <c r="T20" s="110" t="n"/>
      <c r="U20" s="110" t="n"/>
      <c r="V20" s="110" t="n"/>
      <c r="W20" s="110" t="n"/>
      <c r="X20" s="110" t="n"/>
      <c r="Y20" s="110" t="n"/>
      <c r="Z20" s="110" t="n"/>
    </row>
    <row r="21" ht="15.75" customHeight="1" s="117">
      <c r="A21" s="112" t="n">
        <v>19</v>
      </c>
      <c r="B21" s="112" t="inlineStr">
        <is>
          <t>Xuân Lộc</t>
        </is>
      </c>
      <c r="C21" s="112" t="n"/>
      <c r="D21" s="114" t="inlineStr">
        <is>
          <t>Phan Thành Thái</t>
        </is>
      </c>
      <c r="E21" s="112" t="n">
        <v>4</v>
      </c>
      <c r="F21" s="112" t="n">
        <v>8</v>
      </c>
      <c r="G21" s="112" t="n">
        <v>4</v>
      </c>
      <c r="H21" s="112" t="n">
        <v>4</v>
      </c>
      <c r="I21" s="112" t="n">
        <v>4</v>
      </c>
      <c r="J21" s="115" t="n">
        <v>20</v>
      </c>
      <c r="K21" s="115" t="n">
        <v>20</v>
      </c>
      <c r="L21" s="115" t="n">
        <v>177</v>
      </c>
      <c r="M21" s="115" t="n">
        <v>195</v>
      </c>
      <c r="N21" s="115" t="n">
        <v>12</v>
      </c>
      <c r="O21" s="115" t="n">
        <v>2025</v>
      </c>
      <c r="P21" s="110" t="n"/>
      <c r="Q21" s="110" t="n"/>
      <c r="R21" s="110" t="n"/>
      <c r="S21" s="110" t="n"/>
      <c r="T21" s="110" t="n"/>
      <c r="U21" s="110" t="n"/>
      <c r="V21" s="110" t="n"/>
      <c r="W21" s="110" t="n"/>
      <c r="X21" s="110" t="n"/>
      <c r="Y21" s="110" t="n"/>
      <c r="Z21" s="110" t="n"/>
    </row>
    <row r="22" ht="15.75" customHeight="1" s="117">
      <c r="A22" s="112" t="n">
        <v>20</v>
      </c>
      <c r="B22" s="112" t="inlineStr">
        <is>
          <t>Xuân Lộc</t>
        </is>
      </c>
      <c r="C22" s="112" t="n"/>
      <c r="D22" s="114" t="inlineStr">
        <is>
          <t>Trần Minh Khánh</t>
        </is>
      </c>
      <c r="E22" s="112" t="n">
        <v>4</v>
      </c>
      <c r="F22" s="112" t="n">
        <v>8</v>
      </c>
      <c r="G22" s="112" t="n">
        <v>4</v>
      </c>
      <c r="H22" s="112" t="n">
        <v>4</v>
      </c>
      <c r="I22" s="112" t="n">
        <v>3</v>
      </c>
      <c r="J22" s="115" t="n">
        <v>20</v>
      </c>
      <c r="K22" s="115" t="n">
        <v>20</v>
      </c>
      <c r="L22" s="115" t="n">
        <v>168</v>
      </c>
      <c r="M22" s="115" t="n">
        <v>230</v>
      </c>
      <c r="N22" s="115" t="n">
        <v>12</v>
      </c>
      <c r="O22" s="115" t="n">
        <v>2025</v>
      </c>
      <c r="P22" s="110" t="n"/>
      <c r="Q22" s="110" t="n"/>
      <c r="R22" s="110" t="n"/>
      <c r="S22" s="110" t="n"/>
      <c r="T22" s="110" t="n"/>
      <c r="U22" s="110" t="n"/>
      <c r="V22" s="110" t="n"/>
      <c r="W22" s="110" t="n"/>
      <c r="X22" s="110" t="n"/>
      <c r="Y22" s="110" t="n"/>
      <c r="Z22" s="110" t="n"/>
    </row>
    <row r="23">
      <c r="A23" s="112" t="n">
        <v>21</v>
      </c>
      <c r="B23" s="112" t="inlineStr">
        <is>
          <t>Xuân Lộc</t>
        </is>
      </c>
      <c r="C23" s="112" t="n"/>
      <c r="D23" s="114" t="inlineStr">
        <is>
          <t>Trần Trung Giang</t>
        </is>
      </c>
      <c r="E23" s="112" t="n">
        <v>4</v>
      </c>
      <c r="F23" s="112" t="n">
        <v>8</v>
      </c>
      <c r="G23" s="112" t="n">
        <v>4</v>
      </c>
      <c r="H23" s="112" t="n">
        <v>4</v>
      </c>
      <c r="I23" s="112" t="n">
        <v>3</v>
      </c>
      <c r="J23" s="115" t="n">
        <v>20</v>
      </c>
      <c r="K23" s="115" t="n">
        <v>20</v>
      </c>
      <c r="L23" s="115" t="n">
        <v>267</v>
      </c>
      <c r="M23" s="115" t="n">
        <v>209</v>
      </c>
      <c r="N23" s="115" t="n">
        <v>12</v>
      </c>
      <c r="O23" s="115" t="n">
        <v>2025</v>
      </c>
      <c r="P23" s="110" t="n"/>
      <c r="Q23" s="110" t="n"/>
      <c r="R23" s="110" t="n"/>
      <c r="S23" s="110" t="n"/>
      <c r="T23" s="110" t="n"/>
      <c r="U23" s="110" t="n"/>
      <c r="V23" s="110" t="n"/>
      <c r="W23" s="110" t="n"/>
      <c r="X23" s="110" t="n"/>
      <c r="Y23" s="110" t="n"/>
      <c r="Z23" s="110" t="n"/>
    </row>
    <row r="24">
      <c r="A24" s="112" t="n">
        <v>22</v>
      </c>
      <c r="B24" s="112" t="inlineStr">
        <is>
          <t>Xuân Lộc</t>
        </is>
      </c>
      <c r="C24" s="114" t="n"/>
      <c r="D24" s="114" t="inlineStr">
        <is>
          <t>Trần Xuân Khoa</t>
        </is>
      </c>
      <c r="E24" s="112" t="n">
        <v>4</v>
      </c>
      <c r="F24" s="112" t="n">
        <v>8</v>
      </c>
      <c r="G24" s="112" t="n">
        <v>4</v>
      </c>
      <c r="H24" s="112" t="n">
        <v>4</v>
      </c>
      <c r="I24" s="112" t="n">
        <v>3</v>
      </c>
      <c r="J24" s="115" t="n">
        <v>20</v>
      </c>
      <c r="K24" s="115" t="n">
        <v>20</v>
      </c>
      <c r="L24" s="115" t="n">
        <v>267</v>
      </c>
      <c r="M24" s="115" t="n">
        <v>209</v>
      </c>
      <c r="N24" s="115" t="n">
        <v>12</v>
      </c>
      <c r="O24" s="115" t="n">
        <v>2025</v>
      </c>
      <c r="P24" s="110" t="n"/>
      <c r="Q24" s="110" t="n"/>
      <c r="R24" s="110" t="n"/>
      <c r="S24" s="110" t="n"/>
      <c r="T24" s="110" t="n"/>
      <c r="U24" s="110" t="n"/>
      <c r="V24" s="110" t="n"/>
      <c r="W24" s="110" t="n"/>
      <c r="X24" s="110" t="n"/>
      <c r="Y24" s="110" t="n"/>
      <c r="Z24" s="110" t="n"/>
    </row>
    <row r="25">
      <c r="A25" s="112" t="n">
        <v>23</v>
      </c>
      <c r="B25" s="112" t="inlineStr">
        <is>
          <t>Xuân Lộc</t>
        </is>
      </c>
      <c r="C25" s="114" t="n"/>
      <c r="D25" s="114" t="inlineStr">
        <is>
          <t>Vòng Nhật Sang</t>
        </is>
      </c>
      <c r="E25" s="112" t="n">
        <v>4</v>
      </c>
      <c r="F25" s="112" t="n">
        <v>8</v>
      </c>
      <c r="G25" s="112" t="n">
        <v>4</v>
      </c>
      <c r="H25" s="112" t="n">
        <v>4</v>
      </c>
      <c r="I25" s="112" t="n">
        <v>3</v>
      </c>
      <c r="J25" s="115" t="n">
        <v>20</v>
      </c>
      <c r="K25" s="115" t="n">
        <v>20</v>
      </c>
      <c r="L25" s="115" t="n">
        <v>267</v>
      </c>
      <c r="M25" s="115" t="n">
        <v>209</v>
      </c>
      <c r="N25" s="115" t="n">
        <v>12</v>
      </c>
      <c r="O25" s="115" t="n">
        <v>2025</v>
      </c>
      <c r="P25" s="110" t="n"/>
      <c r="Q25" s="110" t="n"/>
      <c r="R25" s="110" t="n"/>
      <c r="S25" s="110" t="n"/>
      <c r="T25" s="110" t="n"/>
      <c r="U25" s="110" t="n"/>
      <c r="V25" s="110" t="n"/>
      <c r="W25" s="110" t="n"/>
      <c r="X25" s="110" t="n"/>
      <c r="Y25" s="110" t="n"/>
      <c r="Z25" s="110" t="n"/>
    </row>
    <row r="26">
      <c r="A26" s="112" t="n">
        <v>24</v>
      </c>
      <c r="B26" s="112" t="inlineStr">
        <is>
          <t>Xuân Lộc</t>
        </is>
      </c>
      <c r="C26" s="114" t="n"/>
      <c r="D26" s="114" t="inlineStr">
        <is>
          <t>Đào Công Trung</t>
        </is>
      </c>
      <c r="E26" s="112" t="n">
        <v>4</v>
      </c>
      <c r="F26" s="112" t="n">
        <v>8</v>
      </c>
      <c r="G26" s="112" t="n">
        <v>4</v>
      </c>
      <c r="H26" s="112" t="n">
        <v>4</v>
      </c>
      <c r="I26" s="112" t="n">
        <v>3</v>
      </c>
      <c r="J26" s="115" t="n">
        <v>20</v>
      </c>
      <c r="K26" s="115" t="n">
        <v>20</v>
      </c>
      <c r="L26" s="115" t="n">
        <v>267</v>
      </c>
      <c r="M26" s="115" t="n">
        <v>209</v>
      </c>
      <c r="N26" s="115" t="n">
        <v>12</v>
      </c>
      <c r="O26" s="115" t="n">
        <v>2025</v>
      </c>
      <c r="P26" s="110" t="n"/>
      <c r="Q26" s="110" t="n"/>
      <c r="R26" s="110" t="n"/>
      <c r="S26" s="110" t="n"/>
      <c r="T26" s="110" t="n"/>
      <c r="U26" s="110" t="n"/>
      <c r="V26" s="110" t="n"/>
      <c r="W26" s="110" t="n"/>
      <c r="X26" s="110" t="n"/>
      <c r="Y26" s="110" t="n"/>
      <c r="Z26" s="110" t="n"/>
    </row>
    <row r="27">
      <c r="A27" s="112" t="n">
        <v>25</v>
      </c>
      <c r="B27" s="112" t="inlineStr">
        <is>
          <t>Xuân Lộc</t>
        </is>
      </c>
      <c r="C27" s="114" t="n"/>
      <c r="D27" s="114" t="inlineStr">
        <is>
          <t>Đặng Hoài Anh</t>
        </is>
      </c>
      <c r="E27" s="112" t="n">
        <v>4</v>
      </c>
      <c r="F27" s="112" t="n">
        <v>8</v>
      </c>
      <c r="G27" s="112" t="n">
        <v>4</v>
      </c>
      <c r="H27" s="112" t="n">
        <v>4</v>
      </c>
      <c r="I27" s="112" t="n">
        <v>3</v>
      </c>
      <c r="J27" s="115" t="n">
        <v>20</v>
      </c>
      <c r="K27" s="115" t="n">
        <v>20</v>
      </c>
      <c r="L27" s="115" t="n">
        <v>267</v>
      </c>
      <c r="M27" s="115" t="n">
        <v>209</v>
      </c>
      <c r="N27" s="115" t="n">
        <v>12</v>
      </c>
      <c r="O27" s="115" t="n">
        <v>2025</v>
      </c>
      <c r="P27" s="110" t="n"/>
      <c r="Q27" s="110" t="n"/>
      <c r="R27" s="110" t="n"/>
      <c r="S27" s="110" t="n"/>
      <c r="T27" s="110" t="n"/>
      <c r="U27" s="110" t="n"/>
      <c r="V27" s="110" t="n"/>
      <c r="W27" s="110" t="n"/>
      <c r="X27" s="110" t="n"/>
      <c r="Y27" s="110" t="n"/>
      <c r="Z27" s="110" t="n"/>
    </row>
    <row r="28">
      <c r="A28" s="112" t="n">
        <v>26</v>
      </c>
      <c r="B28" s="112" t="inlineStr">
        <is>
          <t>Xuân Lộc</t>
        </is>
      </c>
      <c r="C28" s="114" t="n"/>
      <c r="D28" s="114" t="inlineStr">
        <is>
          <t>Đặng Hữu Danh</t>
        </is>
      </c>
      <c r="E28" s="112" t="n">
        <v>4</v>
      </c>
      <c r="F28" s="112" t="n">
        <v>8</v>
      </c>
      <c r="G28" s="112" t="n">
        <v>4</v>
      </c>
      <c r="H28" s="112" t="n">
        <v>4</v>
      </c>
      <c r="I28" s="112" t="n">
        <v>3</v>
      </c>
      <c r="J28" s="115" t="n">
        <v>20</v>
      </c>
      <c r="K28" s="115" t="n">
        <v>20</v>
      </c>
      <c r="L28" s="115" t="n">
        <v>267</v>
      </c>
      <c r="M28" s="115" t="n">
        <v>209</v>
      </c>
      <c r="N28" s="115" t="n">
        <v>12</v>
      </c>
      <c r="O28" s="115" t="n">
        <v>2025</v>
      </c>
      <c r="P28" s="110" t="n"/>
      <c r="Q28" s="110" t="n"/>
      <c r="R28" s="110" t="n"/>
      <c r="S28" s="110" t="n"/>
      <c r="T28" s="110" t="n"/>
      <c r="U28" s="110" t="n"/>
      <c r="V28" s="110" t="n"/>
      <c r="W28" s="110" t="n"/>
      <c r="X28" s="110" t="n"/>
      <c r="Y28" s="110" t="n"/>
      <c r="Z28" s="110" t="n"/>
    </row>
    <row r="29">
      <c r="A29" s="114" t="n"/>
      <c r="B29" s="114" t="n"/>
      <c r="C29" s="114" t="n"/>
      <c r="D29" s="114" t="inlineStr">
        <is>
          <t>TTVT Xuân Lộc</t>
        </is>
      </c>
      <c r="E29" s="114">
        <f>SUM(E3:E28)</f>
        <v/>
      </c>
      <c r="F29" s="114">
        <f>SUM(F3:F28)</f>
        <v/>
      </c>
      <c r="G29" s="114">
        <f>SUM(G3:G28)</f>
        <v/>
      </c>
      <c r="H29" s="114">
        <f>SUM(H3:H28)</f>
        <v/>
      </c>
      <c r="I29" s="114">
        <f>SUM(I3:I28)</f>
        <v/>
      </c>
      <c r="J29" s="114">
        <f>SUM(J3:J28)</f>
        <v/>
      </c>
      <c r="K29" s="114">
        <f>SUM(K3:K28)</f>
        <v/>
      </c>
      <c r="L29" s="114">
        <f>SUM(L3:L28)</f>
        <v/>
      </c>
      <c r="M29" s="114">
        <f>SUM(M3:M28)</f>
        <v/>
      </c>
      <c r="N29" s="115" t="n">
        <v>12</v>
      </c>
      <c r="O29" s="115" t="n">
        <v>2025</v>
      </c>
      <c r="P29" s="110" t="n"/>
      <c r="Q29" s="110" t="n"/>
      <c r="R29" s="110" t="n"/>
      <c r="S29" s="110" t="n"/>
      <c r="T29" s="110" t="n"/>
      <c r="U29" s="110" t="n"/>
      <c r="V29" s="110" t="n"/>
      <c r="W29" s="110" t="n"/>
      <c r="X29" s="110" t="n"/>
      <c r="Y29" s="110" t="n"/>
      <c r="Z29" s="110" t="n"/>
    </row>
    <row r="30">
      <c r="A30" s="112" t="n">
        <v>1</v>
      </c>
      <c r="B30" s="112" t="inlineStr">
        <is>
          <t>Xuân Lộc</t>
        </is>
      </c>
      <c r="C30" s="112" t="n"/>
      <c r="D30" s="114" t="inlineStr">
        <is>
          <t>Bùi Duy Cường</t>
        </is>
      </c>
      <c r="E30" s="112" t="n">
        <v>4</v>
      </c>
      <c r="F30" s="112" t="n">
        <v>8</v>
      </c>
      <c r="G30" s="112" t="n">
        <v>4</v>
      </c>
      <c r="H30" s="112" t="n">
        <v>0</v>
      </c>
      <c r="I30" s="112" t="n">
        <v>0</v>
      </c>
      <c r="J30" s="115" t="n">
        <v>20</v>
      </c>
      <c r="K30" s="115" t="n">
        <v>20</v>
      </c>
      <c r="L30" s="115" t="n">
        <v>0</v>
      </c>
      <c r="M30" s="115" t="n">
        <v>0</v>
      </c>
      <c r="N30" s="115" t="n">
        <v>1</v>
      </c>
      <c r="O30" s="115" t="n">
        <v>2026</v>
      </c>
      <c r="P30" s="110" t="n"/>
      <c r="Q30" s="110" t="n"/>
      <c r="R30" s="110" t="n"/>
      <c r="S30" s="110" t="n"/>
      <c r="T30" s="110" t="n"/>
      <c r="U30" s="110" t="n"/>
      <c r="V30" s="110" t="n"/>
      <c r="W30" s="110" t="n"/>
      <c r="X30" s="110" t="n"/>
      <c r="Y30" s="110" t="n"/>
      <c r="Z30" s="110" t="n"/>
    </row>
    <row r="31">
      <c r="A31" s="112" t="n">
        <v>2</v>
      </c>
      <c r="B31" s="112" t="inlineStr">
        <is>
          <t>Xuân Lộc</t>
        </is>
      </c>
      <c r="C31" s="112" t="n"/>
      <c r="D31" s="114" t="inlineStr">
        <is>
          <t>Dương Minh Tiến</t>
        </is>
      </c>
      <c r="E31" s="112" t="n">
        <v>4</v>
      </c>
      <c r="F31" s="112" t="n">
        <v>8</v>
      </c>
      <c r="G31" s="112" t="n">
        <v>4</v>
      </c>
      <c r="H31" s="112" t="n">
        <v>4</v>
      </c>
      <c r="I31" s="112" t="n">
        <v>4</v>
      </c>
      <c r="J31" s="115" t="n">
        <v>20</v>
      </c>
      <c r="K31" s="115" t="n">
        <v>20</v>
      </c>
      <c r="L31" s="115" t="n">
        <v>157</v>
      </c>
      <c r="M31" s="115" t="n">
        <v>221</v>
      </c>
      <c r="N31" s="115" t="n">
        <v>1</v>
      </c>
      <c r="O31" s="115" t="n">
        <v>2026</v>
      </c>
      <c r="P31" s="110" t="n"/>
      <c r="Q31" s="110" t="n"/>
      <c r="R31" s="110" t="n"/>
      <c r="S31" s="110" t="n"/>
      <c r="T31" s="110" t="n"/>
      <c r="U31" s="110" t="n"/>
      <c r="V31" s="110" t="n"/>
      <c r="W31" s="110" t="n"/>
      <c r="X31" s="110" t="n"/>
      <c r="Y31" s="110" t="n"/>
      <c r="Z31" s="110" t="n"/>
    </row>
    <row r="32">
      <c r="A32" s="112" t="n">
        <v>3</v>
      </c>
      <c r="B32" s="112" t="inlineStr">
        <is>
          <t>Xuân Lộc</t>
        </is>
      </c>
      <c r="C32" s="112" t="n"/>
      <c r="D32" s="114" t="inlineStr">
        <is>
          <t>Hoàng Văn Chất</t>
        </is>
      </c>
      <c r="E32" s="112" t="n">
        <v>4</v>
      </c>
      <c r="F32" s="112" t="n">
        <v>8</v>
      </c>
      <c r="G32" s="112" t="n">
        <v>4</v>
      </c>
      <c r="H32" s="112" t="n">
        <v>4</v>
      </c>
      <c r="I32" s="112" t="n">
        <v>3</v>
      </c>
      <c r="J32" s="115" t="n">
        <v>20</v>
      </c>
      <c r="K32" s="115" t="n">
        <v>20</v>
      </c>
      <c r="L32" s="115" t="n">
        <v>102</v>
      </c>
      <c r="M32" s="115" t="n">
        <v>149</v>
      </c>
      <c r="N32" s="115" t="n">
        <v>1</v>
      </c>
      <c r="O32" s="115" t="n">
        <v>2026</v>
      </c>
      <c r="P32" s="110" t="n"/>
      <c r="Q32" s="110" t="n"/>
      <c r="R32" s="110" t="n"/>
      <c r="S32" s="110" t="n"/>
      <c r="T32" s="110" t="n"/>
      <c r="U32" s="110" t="n"/>
      <c r="V32" s="110" t="n"/>
      <c r="W32" s="110" t="n"/>
      <c r="X32" s="110" t="n"/>
      <c r="Y32" s="110" t="n"/>
      <c r="Z32" s="110" t="n"/>
    </row>
    <row r="33">
      <c r="A33" s="112" t="n">
        <v>4</v>
      </c>
      <c r="B33" s="112" t="inlineStr">
        <is>
          <t>Xuân Lộc</t>
        </is>
      </c>
      <c r="C33" s="112" t="n"/>
      <c r="D33" s="114" t="inlineStr">
        <is>
          <t>Huỳnh Văn Lực</t>
        </is>
      </c>
      <c r="E33" s="112" t="n">
        <v>4</v>
      </c>
      <c r="F33" s="112" t="n">
        <v>8</v>
      </c>
      <c r="G33" s="112" t="n">
        <v>4</v>
      </c>
      <c r="H33" s="112" t="n">
        <v>4</v>
      </c>
      <c r="I33" s="112" t="n">
        <v>3</v>
      </c>
      <c r="J33" s="115" t="n">
        <v>20</v>
      </c>
      <c r="K33" s="115" t="n">
        <v>20</v>
      </c>
      <c r="L33" s="115" t="n">
        <v>118</v>
      </c>
      <c r="M33" s="115" t="n">
        <v>126</v>
      </c>
      <c r="N33" s="115" t="n">
        <v>1</v>
      </c>
      <c r="O33" s="115" t="n">
        <v>2026</v>
      </c>
      <c r="P33" s="110" t="n"/>
      <c r="Q33" s="110" t="n"/>
      <c r="R33" s="110" t="n"/>
      <c r="S33" s="110" t="n"/>
      <c r="T33" s="110" t="n"/>
      <c r="U33" s="110" t="n"/>
      <c r="V33" s="110" t="n"/>
      <c r="W33" s="110" t="n"/>
      <c r="X33" s="110" t="n"/>
      <c r="Y33" s="110" t="n"/>
      <c r="Z33" s="110" t="n"/>
    </row>
    <row r="34">
      <c r="A34" s="112" t="n">
        <v>5</v>
      </c>
      <c r="B34" s="112" t="inlineStr">
        <is>
          <t>Xuân Lộc</t>
        </is>
      </c>
      <c r="C34" s="112" t="n"/>
      <c r="D34" s="114" t="inlineStr">
        <is>
          <t>Hồ Thái Minh Trí</t>
        </is>
      </c>
      <c r="E34" s="112" t="n">
        <v>4</v>
      </c>
      <c r="F34" s="112" t="n">
        <v>8</v>
      </c>
      <c r="G34" s="112" t="n">
        <v>4</v>
      </c>
      <c r="H34" s="112" t="n">
        <v>4</v>
      </c>
      <c r="I34" s="112" t="n">
        <v>3</v>
      </c>
      <c r="J34" s="115" t="n">
        <v>20</v>
      </c>
      <c r="K34" s="115" t="n">
        <v>20</v>
      </c>
      <c r="L34" s="115" t="n">
        <v>149</v>
      </c>
      <c r="M34" s="115" t="n">
        <v>182</v>
      </c>
      <c r="N34" s="115" t="n">
        <v>1</v>
      </c>
      <c r="O34" s="115" t="n">
        <v>2026</v>
      </c>
      <c r="P34" s="110" t="n"/>
      <c r="Q34" s="110" t="n"/>
      <c r="R34" s="110" t="n"/>
      <c r="S34" s="110" t="n"/>
      <c r="T34" s="110" t="n"/>
      <c r="U34" s="110" t="n"/>
      <c r="V34" s="110" t="n"/>
      <c r="W34" s="110" t="n"/>
      <c r="X34" s="110" t="n"/>
      <c r="Y34" s="110" t="n"/>
      <c r="Z34" s="110" t="n"/>
    </row>
    <row r="35">
      <c r="A35" s="112" t="n">
        <v>6</v>
      </c>
      <c r="B35" s="112" t="inlineStr">
        <is>
          <t>Xuân Lộc</t>
        </is>
      </c>
      <c r="C35" s="112" t="n"/>
      <c r="D35" s="114" t="inlineStr">
        <is>
          <t>Hồ Xuân Việt</t>
        </is>
      </c>
      <c r="E35" s="112" t="n">
        <v>4</v>
      </c>
      <c r="F35" s="112" t="n">
        <v>8</v>
      </c>
      <c r="G35" s="112" t="n">
        <v>4</v>
      </c>
      <c r="H35" s="112" t="n">
        <v>4</v>
      </c>
      <c r="I35" s="112" t="n">
        <v>3</v>
      </c>
      <c r="J35" s="115" t="n">
        <v>20</v>
      </c>
      <c r="K35" s="115" t="n">
        <v>20</v>
      </c>
      <c r="L35" s="115" t="n">
        <v>129</v>
      </c>
      <c r="M35" s="115" t="n">
        <v>119</v>
      </c>
      <c r="N35" s="115" t="n">
        <v>1</v>
      </c>
      <c r="O35" s="115" t="n">
        <v>2026</v>
      </c>
      <c r="P35" s="110" t="n"/>
      <c r="Q35" s="110" t="n"/>
      <c r="R35" s="110" t="n"/>
      <c r="S35" s="110" t="n"/>
      <c r="T35" s="110" t="n"/>
      <c r="U35" s="110" t="n"/>
      <c r="V35" s="110" t="n"/>
      <c r="W35" s="110" t="n"/>
      <c r="X35" s="110" t="n"/>
      <c r="Y35" s="110" t="n"/>
      <c r="Z35" s="110" t="n"/>
    </row>
    <row r="36">
      <c r="A36" s="112" t="n">
        <v>7</v>
      </c>
      <c r="B36" s="112" t="inlineStr">
        <is>
          <t>Xuân Lộc</t>
        </is>
      </c>
      <c r="C36" s="112" t="n"/>
      <c r="D36" s="114" t="inlineStr">
        <is>
          <t>Lê Hồng Phong</t>
        </is>
      </c>
      <c r="E36" s="112" t="n">
        <v>4</v>
      </c>
      <c r="F36" s="112" t="n">
        <v>8</v>
      </c>
      <c r="G36" s="112" t="n">
        <v>4</v>
      </c>
      <c r="H36" s="112" t="n">
        <v>4</v>
      </c>
      <c r="I36" s="112" t="n">
        <v>3</v>
      </c>
      <c r="J36" s="115" t="n">
        <v>20</v>
      </c>
      <c r="K36" s="115" t="n">
        <v>20</v>
      </c>
      <c r="L36" s="115" t="n">
        <v>101</v>
      </c>
      <c r="M36" s="115" t="n">
        <v>235</v>
      </c>
      <c r="N36" s="115" t="n">
        <v>1</v>
      </c>
      <c r="O36" s="115" t="n">
        <v>2026</v>
      </c>
      <c r="P36" s="110" t="n"/>
      <c r="Q36" s="110" t="n"/>
      <c r="R36" s="110" t="n"/>
      <c r="S36" s="110" t="n"/>
      <c r="T36" s="110" t="n"/>
      <c r="U36" s="110" t="n"/>
      <c r="V36" s="110" t="n"/>
      <c r="W36" s="110" t="n"/>
      <c r="X36" s="110" t="n"/>
      <c r="Y36" s="110" t="n"/>
      <c r="Z36" s="110" t="n"/>
    </row>
    <row r="37">
      <c r="A37" s="112" t="n">
        <v>8</v>
      </c>
      <c r="B37" s="112" t="inlineStr">
        <is>
          <t>Xuân Lộc</t>
        </is>
      </c>
      <c r="C37" s="112" t="n"/>
      <c r="D37" s="114" t="inlineStr">
        <is>
          <t>Lê Quốc Duy</t>
        </is>
      </c>
      <c r="E37" s="112" t="n">
        <v>4</v>
      </c>
      <c r="F37" s="112" t="n">
        <v>8</v>
      </c>
      <c r="G37" s="112" t="n">
        <v>4</v>
      </c>
      <c r="H37" s="112" t="n">
        <v>0</v>
      </c>
      <c r="I37" s="112" t="n">
        <v>0</v>
      </c>
      <c r="J37" s="115" t="n">
        <v>20</v>
      </c>
      <c r="K37" s="115" t="n">
        <v>20</v>
      </c>
      <c r="L37" s="115" t="n">
        <v>0</v>
      </c>
      <c r="M37" s="115" t="n">
        <v>0</v>
      </c>
      <c r="N37" s="115" t="n">
        <v>1</v>
      </c>
      <c r="O37" s="115" t="n">
        <v>2026</v>
      </c>
      <c r="P37" s="110" t="n"/>
      <c r="Q37" s="110" t="n"/>
      <c r="R37" s="110" t="n"/>
      <c r="S37" s="110" t="n"/>
      <c r="T37" s="110" t="n"/>
      <c r="U37" s="110" t="n"/>
      <c r="V37" s="110" t="n"/>
      <c r="W37" s="110" t="n"/>
      <c r="X37" s="110" t="n"/>
      <c r="Y37" s="110" t="n"/>
      <c r="Z37" s="110" t="n"/>
    </row>
    <row r="38">
      <c r="A38" s="112" t="n">
        <v>9</v>
      </c>
      <c r="B38" s="112" t="inlineStr">
        <is>
          <t>Xuân Lộc</t>
        </is>
      </c>
      <c r="C38" s="112" t="n"/>
      <c r="D38" s="114" t="inlineStr">
        <is>
          <t>Lê Văn Hồng</t>
        </is>
      </c>
      <c r="E38" s="112" t="n">
        <v>4</v>
      </c>
      <c r="F38" s="112" t="n">
        <v>8</v>
      </c>
      <c r="G38" s="112" t="n">
        <v>4</v>
      </c>
      <c r="H38" s="112" t="n">
        <v>4</v>
      </c>
      <c r="I38" s="112" t="n">
        <v>4</v>
      </c>
      <c r="J38" s="115" t="n">
        <v>20</v>
      </c>
      <c r="K38" s="115" t="n">
        <v>20</v>
      </c>
      <c r="L38" s="115" t="n">
        <v>148</v>
      </c>
      <c r="M38" s="115" t="n">
        <v>243</v>
      </c>
      <c r="N38" s="115" t="n">
        <v>1</v>
      </c>
      <c r="O38" s="115" t="n">
        <v>2026</v>
      </c>
      <c r="P38" s="110" t="n"/>
      <c r="Q38" s="110" t="n"/>
      <c r="R38" s="110" t="n"/>
      <c r="S38" s="110" t="n"/>
      <c r="T38" s="110" t="n"/>
      <c r="U38" s="110" t="n"/>
      <c r="V38" s="110" t="n"/>
      <c r="W38" s="110" t="n"/>
      <c r="X38" s="110" t="n"/>
      <c r="Y38" s="110" t="n"/>
      <c r="Z38" s="110" t="n"/>
    </row>
    <row r="39">
      <c r="A39" s="112" t="n">
        <v>10</v>
      </c>
      <c r="B39" s="112" t="inlineStr">
        <is>
          <t>Xuân Lộc</t>
        </is>
      </c>
      <c r="C39" s="112" t="n"/>
      <c r="D39" s="114" t="inlineStr">
        <is>
          <t>Lương Duy Hoàng</t>
        </is>
      </c>
      <c r="E39" s="112" t="n">
        <v>4</v>
      </c>
      <c r="F39" s="112" t="n">
        <v>8</v>
      </c>
      <c r="G39" s="112" t="n">
        <v>4</v>
      </c>
      <c r="H39" s="112" t="n">
        <v>4</v>
      </c>
      <c r="I39" s="112" t="n">
        <v>4</v>
      </c>
      <c r="J39" s="115" t="n">
        <v>20</v>
      </c>
      <c r="K39" s="115" t="n">
        <v>20</v>
      </c>
      <c r="L39" s="115" t="n">
        <v>183</v>
      </c>
      <c r="M39" s="115" t="n">
        <v>237</v>
      </c>
      <c r="N39" s="115" t="n">
        <v>1</v>
      </c>
      <c r="O39" s="115" t="n">
        <v>2026</v>
      </c>
      <c r="P39" s="110" t="n"/>
      <c r="Q39" s="110" t="n"/>
      <c r="R39" s="110" t="n"/>
      <c r="S39" s="110" t="n"/>
      <c r="T39" s="110" t="n"/>
      <c r="U39" s="110" t="n"/>
      <c r="V39" s="110" t="n"/>
      <c r="W39" s="110" t="n"/>
      <c r="X39" s="110" t="n"/>
      <c r="Y39" s="110" t="n"/>
      <c r="Z39" s="110" t="n"/>
    </row>
    <row r="40">
      <c r="A40" s="112" t="n">
        <v>11</v>
      </c>
      <c r="B40" s="112" t="inlineStr">
        <is>
          <t>Xuân Lộc</t>
        </is>
      </c>
      <c r="C40" s="112" t="n"/>
      <c r="D40" s="114" t="inlineStr">
        <is>
          <t>Lương Duy Hải</t>
        </is>
      </c>
      <c r="E40" s="112" t="n">
        <v>4</v>
      </c>
      <c r="F40" s="112" t="n">
        <v>8</v>
      </c>
      <c r="G40" s="112" t="n">
        <v>4</v>
      </c>
      <c r="H40" s="112" t="n">
        <v>4</v>
      </c>
      <c r="I40" s="112" t="n">
        <v>3</v>
      </c>
      <c r="J40" s="115" t="n">
        <v>20</v>
      </c>
      <c r="K40" s="115" t="n">
        <v>20</v>
      </c>
      <c r="L40" s="115" t="n">
        <v>142</v>
      </c>
      <c r="M40" s="115" t="n">
        <v>165</v>
      </c>
      <c r="N40" s="115" t="n">
        <v>1</v>
      </c>
      <c r="O40" s="115" t="n">
        <v>2026</v>
      </c>
      <c r="P40" s="110" t="n"/>
      <c r="Q40" s="110" t="n"/>
      <c r="R40" s="110" t="n"/>
      <c r="S40" s="110" t="n"/>
      <c r="T40" s="110" t="n"/>
      <c r="U40" s="110" t="n"/>
      <c r="V40" s="110" t="n"/>
      <c r="W40" s="110" t="n"/>
      <c r="X40" s="110" t="n"/>
      <c r="Y40" s="110" t="n"/>
      <c r="Z40" s="110" t="n"/>
    </row>
    <row r="41">
      <c r="A41" s="112" t="n">
        <v>12</v>
      </c>
      <c r="B41" s="112" t="inlineStr">
        <is>
          <t>Xuân Lộc</t>
        </is>
      </c>
      <c r="C41" s="112" t="n"/>
      <c r="D41" s="114" t="inlineStr">
        <is>
          <t>Nguyễn Hồng Minh</t>
        </is>
      </c>
      <c r="E41" s="112" t="n">
        <v>4</v>
      </c>
      <c r="F41" s="112" t="n">
        <v>8</v>
      </c>
      <c r="G41" s="112" t="n">
        <v>4</v>
      </c>
      <c r="H41" s="112" t="n">
        <v>4</v>
      </c>
      <c r="I41" s="112" t="n">
        <v>3</v>
      </c>
      <c r="J41" s="115" t="n">
        <v>20</v>
      </c>
      <c r="K41" s="115" t="n">
        <v>20</v>
      </c>
      <c r="L41" s="115" t="n">
        <v>261</v>
      </c>
      <c r="M41" s="115" t="n">
        <v>317</v>
      </c>
      <c r="N41" s="115" t="n">
        <v>1</v>
      </c>
      <c r="O41" s="115" t="n">
        <v>2026</v>
      </c>
      <c r="P41" s="110" t="n"/>
      <c r="Q41" s="110" t="n"/>
      <c r="R41" s="110" t="n"/>
      <c r="S41" s="110" t="n"/>
      <c r="T41" s="110" t="n"/>
      <c r="U41" s="110" t="n"/>
      <c r="V41" s="110" t="n"/>
      <c r="W41" s="110" t="n"/>
      <c r="X41" s="110" t="n"/>
      <c r="Y41" s="110" t="n"/>
      <c r="Z41" s="110" t="n"/>
    </row>
    <row r="42">
      <c r="A42" s="112" t="n">
        <v>13</v>
      </c>
      <c r="B42" s="112" t="inlineStr">
        <is>
          <t>Xuân Lộc</t>
        </is>
      </c>
      <c r="C42" s="112" t="n"/>
      <c r="D42" s="114" t="inlineStr">
        <is>
          <t>Nguyễn Quang Anh Tuấn</t>
        </is>
      </c>
      <c r="E42" s="112" t="n">
        <v>4</v>
      </c>
      <c r="F42" s="112" t="n">
        <v>8</v>
      </c>
      <c r="G42" s="112" t="n">
        <v>4</v>
      </c>
      <c r="H42" s="112" t="n">
        <v>4</v>
      </c>
      <c r="I42" s="112" t="n">
        <v>3</v>
      </c>
      <c r="J42" s="115" t="n">
        <v>20</v>
      </c>
      <c r="K42" s="115" t="n">
        <v>20</v>
      </c>
      <c r="L42" s="115" t="n">
        <v>124</v>
      </c>
      <c r="M42" s="115" t="n">
        <v>157</v>
      </c>
      <c r="N42" s="115" t="n">
        <v>1</v>
      </c>
      <c r="O42" s="115" t="n">
        <v>2026</v>
      </c>
      <c r="P42" s="110" t="n"/>
      <c r="Q42" s="110" t="n"/>
      <c r="R42" s="110" t="n"/>
      <c r="S42" s="110" t="n"/>
      <c r="T42" s="110" t="n"/>
      <c r="U42" s="110" t="n"/>
      <c r="V42" s="110" t="n"/>
      <c r="W42" s="110" t="n"/>
      <c r="X42" s="110" t="n"/>
      <c r="Y42" s="110" t="n"/>
      <c r="Z42" s="110" t="n"/>
    </row>
    <row r="43">
      <c r="A43" s="112" t="n">
        <v>14</v>
      </c>
      <c r="B43" s="112" t="inlineStr">
        <is>
          <t>Xuân Lộc</t>
        </is>
      </c>
      <c r="C43" s="112" t="n"/>
      <c r="D43" s="114" t="inlineStr">
        <is>
          <t>Nguyễn Thành Lâm</t>
        </is>
      </c>
      <c r="E43" s="112" t="n">
        <v>4</v>
      </c>
      <c r="F43" s="112" t="n">
        <v>8</v>
      </c>
      <c r="G43" s="112" t="n">
        <v>4</v>
      </c>
      <c r="H43" s="112" t="n">
        <v>4</v>
      </c>
      <c r="I43" s="112" t="n">
        <v>3</v>
      </c>
      <c r="J43" s="115" t="n">
        <v>20</v>
      </c>
      <c r="K43" s="115" t="n">
        <v>20</v>
      </c>
      <c r="L43" s="115" t="n">
        <v>106</v>
      </c>
      <c r="M43" s="115" t="n">
        <v>136</v>
      </c>
      <c r="N43" s="115" t="n">
        <v>1</v>
      </c>
      <c r="O43" s="115" t="n">
        <v>2026</v>
      </c>
      <c r="P43" s="110" t="n"/>
      <c r="Q43" s="110" t="n"/>
      <c r="R43" s="110" t="n"/>
      <c r="S43" s="110" t="n"/>
      <c r="T43" s="110" t="n"/>
      <c r="U43" s="110" t="n"/>
      <c r="V43" s="110" t="n"/>
      <c r="W43" s="110" t="n"/>
      <c r="X43" s="110" t="n"/>
      <c r="Y43" s="110" t="n"/>
      <c r="Z43" s="110" t="n"/>
    </row>
    <row r="44">
      <c r="A44" s="112" t="n">
        <v>15</v>
      </c>
      <c r="B44" s="112" t="inlineStr">
        <is>
          <t>Xuân Lộc</t>
        </is>
      </c>
      <c r="C44" s="112" t="n"/>
      <c r="D44" s="114" t="inlineStr">
        <is>
          <t>Nguyễn Tuấn Anh</t>
        </is>
      </c>
      <c r="E44" s="112" t="n">
        <v>4</v>
      </c>
      <c r="F44" s="112" t="n">
        <v>8</v>
      </c>
      <c r="G44" s="112" t="n">
        <v>4</v>
      </c>
      <c r="H44" s="112" t="n">
        <v>4</v>
      </c>
      <c r="I44" s="112" t="n">
        <v>3</v>
      </c>
      <c r="J44" s="115" t="n">
        <v>20</v>
      </c>
      <c r="K44" s="115" t="n">
        <v>20</v>
      </c>
      <c r="L44" s="115" t="n">
        <v>143</v>
      </c>
      <c r="M44" s="115" t="n">
        <v>199</v>
      </c>
      <c r="N44" s="115" t="n">
        <v>1</v>
      </c>
      <c r="O44" s="115" t="n">
        <v>2026</v>
      </c>
      <c r="P44" s="110" t="n"/>
      <c r="Q44" s="110" t="n"/>
      <c r="R44" s="110" t="n"/>
      <c r="S44" s="110" t="n"/>
      <c r="T44" s="110" t="n"/>
      <c r="U44" s="110" t="n"/>
      <c r="V44" s="110" t="n"/>
      <c r="W44" s="110" t="n"/>
      <c r="X44" s="110" t="n"/>
      <c r="Y44" s="110" t="n"/>
      <c r="Z44" s="110" t="n"/>
    </row>
    <row r="45">
      <c r="A45" s="112" t="n">
        <v>16</v>
      </c>
      <c r="B45" s="112" t="inlineStr">
        <is>
          <t>Xuân Lộc</t>
        </is>
      </c>
      <c r="C45" s="112" t="n"/>
      <c r="D45" s="114" t="inlineStr">
        <is>
          <t>Nguyễn Văn Hiệp</t>
        </is>
      </c>
      <c r="E45" s="112" t="n">
        <v>4</v>
      </c>
      <c r="F45" s="112" t="n">
        <v>8</v>
      </c>
      <c r="G45" s="112" t="n">
        <v>4</v>
      </c>
      <c r="H45" s="112" t="n">
        <v>4</v>
      </c>
      <c r="I45" s="112" t="n">
        <v>3</v>
      </c>
      <c r="J45" s="115" t="n">
        <v>20</v>
      </c>
      <c r="K45" s="115" t="n">
        <v>20</v>
      </c>
      <c r="L45" s="115" t="n">
        <v>118</v>
      </c>
      <c r="M45" s="115" t="n">
        <v>226</v>
      </c>
      <c r="N45" s="115" t="n">
        <v>1</v>
      </c>
      <c r="O45" s="115" t="n">
        <v>2026</v>
      </c>
      <c r="P45" s="110" t="n"/>
      <c r="Q45" s="110" t="n"/>
      <c r="R45" s="110" t="n"/>
      <c r="S45" s="110" t="n"/>
      <c r="T45" s="110" t="n"/>
      <c r="U45" s="110" t="n"/>
      <c r="V45" s="110" t="n"/>
      <c r="W45" s="110" t="n"/>
      <c r="X45" s="110" t="n"/>
      <c r="Y45" s="110" t="n"/>
      <c r="Z45" s="110" t="n"/>
    </row>
    <row r="46">
      <c r="A46" s="112" t="n">
        <v>17</v>
      </c>
      <c r="B46" s="112" t="inlineStr">
        <is>
          <t>Xuân Lộc</t>
        </is>
      </c>
      <c r="C46" s="112" t="n"/>
      <c r="D46" s="114" t="inlineStr">
        <is>
          <t>Nguyễn Văn Nhật</t>
        </is>
      </c>
      <c r="E46" s="112" t="n">
        <v>4</v>
      </c>
      <c r="F46" s="112" t="n">
        <v>8</v>
      </c>
      <c r="G46" s="112" t="n">
        <v>4</v>
      </c>
      <c r="H46" s="112" t="n">
        <v>4</v>
      </c>
      <c r="I46" s="112" t="n">
        <v>3</v>
      </c>
      <c r="J46" s="115" t="n">
        <v>20</v>
      </c>
      <c r="K46" s="115" t="n">
        <v>20</v>
      </c>
      <c r="L46" s="115" t="n">
        <v>215</v>
      </c>
      <c r="M46" s="115" t="n">
        <v>258</v>
      </c>
      <c r="N46" s="115" t="n">
        <v>1</v>
      </c>
      <c r="O46" s="115" t="n">
        <v>2026</v>
      </c>
      <c r="P46" s="110" t="n"/>
      <c r="Q46" s="110" t="n"/>
      <c r="R46" s="110" t="n"/>
      <c r="S46" s="110" t="n"/>
      <c r="T46" s="110" t="n"/>
      <c r="U46" s="110" t="n"/>
      <c r="V46" s="110" t="n"/>
      <c r="W46" s="110" t="n"/>
      <c r="X46" s="110" t="n"/>
      <c r="Y46" s="110" t="n"/>
      <c r="Z46" s="110" t="n"/>
    </row>
    <row r="47">
      <c r="A47" s="112" t="n">
        <v>18</v>
      </c>
      <c r="B47" s="112" t="inlineStr">
        <is>
          <t>Xuân Lộc</t>
        </is>
      </c>
      <c r="C47" s="112" t="n"/>
      <c r="D47" s="114" t="inlineStr">
        <is>
          <t>Phan Ngọc Sang</t>
        </is>
      </c>
      <c r="E47" s="112" t="n">
        <v>4</v>
      </c>
      <c r="F47" s="112" t="n">
        <v>8</v>
      </c>
      <c r="G47" s="112" t="n">
        <v>4</v>
      </c>
      <c r="H47" s="112" t="n">
        <v>4</v>
      </c>
      <c r="I47" s="112" t="n">
        <v>4</v>
      </c>
      <c r="J47" s="115" t="n">
        <v>20</v>
      </c>
      <c r="K47" s="115" t="n">
        <v>20</v>
      </c>
      <c r="L47" s="115" t="n">
        <v>164</v>
      </c>
      <c r="M47" s="115" t="n">
        <v>212</v>
      </c>
      <c r="N47" s="115" t="n">
        <v>1</v>
      </c>
      <c r="O47" s="115" t="n">
        <v>2026</v>
      </c>
      <c r="P47" s="110" t="n"/>
      <c r="Q47" s="110" t="n"/>
      <c r="R47" s="110" t="n"/>
      <c r="S47" s="110" t="n"/>
      <c r="T47" s="110" t="n"/>
      <c r="U47" s="110" t="n"/>
      <c r="V47" s="110" t="n"/>
      <c r="W47" s="110" t="n"/>
      <c r="X47" s="110" t="n"/>
      <c r="Y47" s="110" t="n"/>
      <c r="Z47" s="110" t="n"/>
    </row>
    <row r="48">
      <c r="A48" s="112" t="n">
        <v>19</v>
      </c>
      <c r="B48" s="112" t="inlineStr">
        <is>
          <t>Xuân Lộc</t>
        </is>
      </c>
      <c r="C48" s="112" t="n"/>
      <c r="D48" s="114" t="inlineStr">
        <is>
          <t>Phan Thành Thái</t>
        </is>
      </c>
      <c r="E48" s="112" t="n">
        <v>4</v>
      </c>
      <c r="F48" s="112" t="n">
        <v>8</v>
      </c>
      <c r="G48" s="112" t="n">
        <v>4</v>
      </c>
      <c r="H48" s="112" t="n">
        <v>4</v>
      </c>
      <c r="I48" s="112" t="n">
        <v>4</v>
      </c>
      <c r="J48" s="115" t="n">
        <v>20</v>
      </c>
      <c r="K48" s="115" t="n">
        <v>20</v>
      </c>
      <c r="L48" s="115" t="n">
        <v>177</v>
      </c>
      <c r="M48" s="115" t="n">
        <v>195</v>
      </c>
      <c r="N48" s="115" t="n">
        <v>1</v>
      </c>
      <c r="O48" s="115" t="n">
        <v>2026</v>
      </c>
      <c r="P48" s="110" t="n"/>
      <c r="Q48" s="110" t="n"/>
      <c r="R48" s="110" t="n"/>
      <c r="S48" s="110" t="n"/>
      <c r="T48" s="110" t="n"/>
      <c r="U48" s="110" t="n"/>
      <c r="V48" s="110" t="n"/>
      <c r="W48" s="110" t="n"/>
      <c r="X48" s="110" t="n"/>
      <c r="Y48" s="110" t="n"/>
      <c r="Z48" s="110" t="n"/>
    </row>
    <row r="49">
      <c r="A49" s="112" t="n">
        <v>20</v>
      </c>
      <c r="B49" s="112" t="inlineStr">
        <is>
          <t>Xuân Lộc</t>
        </is>
      </c>
      <c r="C49" s="112" t="n"/>
      <c r="D49" s="114" t="inlineStr">
        <is>
          <t>Trần Minh Khánh</t>
        </is>
      </c>
      <c r="E49" s="112" t="n">
        <v>4</v>
      </c>
      <c r="F49" s="112" t="n">
        <v>8</v>
      </c>
      <c r="G49" s="112" t="n">
        <v>4</v>
      </c>
      <c r="H49" s="112" t="n">
        <v>4</v>
      </c>
      <c r="I49" s="112" t="n">
        <v>3</v>
      </c>
      <c r="J49" s="115" t="n">
        <v>20</v>
      </c>
      <c r="K49" s="115" t="n">
        <v>20</v>
      </c>
      <c r="L49" s="115" t="n">
        <v>168</v>
      </c>
      <c r="M49" s="115" t="n">
        <v>230</v>
      </c>
      <c r="N49" s="115" t="n">
        <v>1</v>
      </c>
      <c r="O49" s="115" t="n">
        <v>2026</v>
      </c>
      <c r="P49" s="110" t="n"/>
      <c r="Q49" s="110" t="n"/>
      <c r="R49" s="110" t="n"/>
      <c r="S49" s="110" t="n"/>
      <c r="T49" s="110" t="n"/>
      <c r="U49" s="110" t="n"/>
      <c r="V49" s="110" t="n"/>
      <c r="W49" s="110" t="n"/>
      <c r="X49" s="110" t="n"/>
      <c r="Y49" s="110" t="n"/>
      <c r="Z49" s="110" t="n"/>
    </row>
    <row r="50">
      <c r="A50" s="112" t="n">
        <v>21</v>
      </c>
      <c r="B50" s="112" t="inlineStr">
        <is>
          <t>Xuân Lộc</t>
        </is>
      </c>
      <c r="C50" s="112" t="n"/>
      <c r="D50" s="114" t="inlineStr">
        <is>
          <t>Trần Trung Giang</t>
        </is>
      </c>
      <c r="E50" s="112" t="n">
        <v>4</v>
      </c>
      <c r="F50" s="112" t="n">
        <v>8</v>
      </c>
      <c r="G50" s="112" t="n">
        <v>4</v>
      </c>
      <c r="H50" s="112" t="n">
        <v>4</v>
      </c>
      <c r="I50" s="112" t="n">
        <v>3</v>
      </c>
      <c r="J50" s="115" t="n">
        <v>20</v>
      </c>
      <c r="K50" s="115" t="n">
        <v>20</v>
      </c>
      <c r="L50" s="115" t="n">
        <v>267</v>
      </c>
      <c r="M50" s="115" t="n">
        <v>209</v>
      </c>
      <c r="N50" s="115" t="n">
        <v>1</v>
      </c>
      <c r="O50" s="115" t="n">
        <v>2026</v>
      </c>
      <c r="P50" s="110" t="n"/>
      <c r="Q50" s="110" t="n"/>
      <c r="R50" s="110" t="n"/>
      <c r="S50" s="110" t="n"/>
      <c r="T50" s="110" t="n"/>
      <c r="U50" s="110" t="n"/>
      <c r="V50" s="110" t="n"/>
      <c r="W50" s="110" t="n"/>
      <c r="X50" s="110" t="n"/>
      <c r="Y50" s="110" t="n"/>
      <c r="Z50" s="110" t="n"/>
    </row>
    <row r="51">
      <c r="A51" s="112" t="n">
        <v>22</v>
      </c>
      <c r="B51" s="112" t="inlineStr">
        <is>
          <t>Xuân Lộc</t>
        </is>
      </c>
      <c r="C51" s="114" t="n"/>
      <c r="D51" s="114" t="inlineStr">
        <is>
          <t>Trần Xuân Khoa</t>
        </is>
      </c>
      <c r="E51" s="112" t="n">
        <v>4</v>
      </c>
      <c r="F51" s="112" t="n">
        <v>8</v>
      </c>
      <c r="G51" s="112" t="n">
        <v>4</v>
      </c>
      <c r="H51" s="112" t="n">
        <v>4</v>
      </c>
      <c r="I51" s="112" t="n">
        <v>3</v>
      </c>
      <c r="J51" s="115" t="n">
        <v>20</v>
      </c>
      <c r="K51" s="115" t="n">
        <v>20</v>
      </c>
      <c r="L51" s="115" t="n">
        <v>267</v>
      </c>
      <c r="M51" s="115" t="n">
        <v>209</v>
      </c>
      <c r="N51" s="115" t="n">
        <v>1</v>
      </c>
      <c r="O51" s="115" t="n">
        <v>2026</v>
      </c>
      <c r="P51" s="110" t="n"/>
      <c r="Q51" s="110" t="n"/>
      <c r="R51" s="110" t="n"/>
      <c r="S51" s="110" t="n"/>
      <c r="T51" s="110" t="n"/>
      <c r="U51" s="110" t="n"/>
      <c r="V51" s="110" t="n"/>
      <c r="W51" s="110" t="n"/>
      <c r="X51" s="110" t="n"/>
      <c r="Y51" s="110" t="n"/>
      <c r="Z51" s="110" t="n"/>
    </row>
    <row r="52">
      <c r="A52" s="112" t="n">
        <v>23</v>
      </c>
      <c r="B52" s="112" t="inlineStr">
        <is>
          <t>Xuân Lộc</t>
        </is>
      </c>
      <c r="C52" s="114" t="n"/>
      <c r="D52" s="114" t="inlineStr">
        <is>
          <t>Vòng Nhật Sang</t>
        </is>
      </c>
      <c r="E52" s="112" t="n">
        <v>4</v>
      </c>
      <c r="F52" s="112" t="n">
        <v>8</v>
      </c>
      <c r="G52" s="112" t="n">
        <v>4</v>
      </c>
      <c r="H52" s="112" t="n">
        <v>4</v>
      </c>
      <c r="I52" s="112" t="n">
        <v>3</v>
      </c>
      <c r="J52" s="115" t="n">
        <v>20</v>
      </c>
      <c r="K52" s="115" t="n">
        <v>20</v>
      </c>
      <c r="L52" s="115" t="n">
        <v>267</v>
      </c>
      <c r="M52" s="115" t="n">
        <v>209</v>
      </c>
      <c r="N52" s="115" t="n">
        <v>1</v>
      </c>
      <c r="O52" s="115" t="n">
        <v>2026</v>
      </c>
      <c r="P52" s="110" t="n"/>
      <c r="Q52" s="110" t="n"/>
      <c r="R52" s="110" t="n"/>
      <c r="S52" s="110" t="n"/>
      <c r="T52" s="110" t="n"/>
      <c r="U52" s="110" t="n"/>
      <c r="V52" s="110" t="n"/>
      <c r="W52" s="110" t="n"/>
      <c r="X52" s="110" t="n"/>
      <c r="Y52" s="110" t="n"/>
      <c r="Z52" s="110" t="n"/>
    </row>
    <row r="53">
      <c r="A53" s="112" t="n">
        <v>24</v>
      </c>
      <c r="B53" s="112" t="inlineStr">
        <is>
          <t>Xuân Lộc</t>
        </is>
      </c>
      <c r="C53" s="114" t="n"/>
      <c r="D53" s="114" t="inlineStr">
        <is>
          <t>Đào Công Trung</t>
        </is>
      </c>
      <c r="E53" s="112" t="n">
        <v>4</v>
      </c>
      <c r="F53" s="112" t="n">
        <v>8</v>
      </c>
      <c r="G53" s="112" t="n">
        <v>4</v>
      </c>
      <c r="H53" s="112" t="n">
        <v>4</v>
      </c>
      <c r="I53" s="112" t="n">
        <v>3</v>
      </c>
      <c r="J53" s="115" t="n">
        <v>20</v>
      </c>
      <c r="K53" s="115" t="n">
        <v>20</v>
      </c>
      <c r="L53" s="115" t="n">
        <v>267</v>
      </c>
      <c r="M53" s="115" t="n">
        <v>209</v>
      </c>
      <c r="N53" s="115" t="n">
        <v>1</v>
      </c>
      <c r="O53" s="115" t="n">
        <v>2026</v>
      </c>
      <c r="P53" s="110" t="n"/>
      <c r="Q53" s="110" t="n"/>
      <c r="R53" s="110" t="n"/>
      <c r="S53" s="110" t="n"/>
      <c r="T53" s="110" t="n"/>
      <c r="U53" s="110" t="n"/>
      <c r="V53" s="110" t="n"/>
      <c r="W53" s="110" t="n"/>
      <c r="X53" s="110" t="n"/>
      <c r="Y53" s="110" t="n"/>
      <c r="Z53" s="110" t="n"/>
    </row>
    <row r="54">
      <c r="A54" s="112" t="n">
        <v>25</v>
      </c>
      <c r="B54" s="112" t="inlineStr">
        <is>
          <t>Xuân Lộc</t>
        </is>
      </c>
      <c r="C54" s="114" t="n"/>
      <c r="D54" s="114" t="inlineStr">
        <is>
          <t>Đặng Hoài Anh</t>
        </is>
      </c>
      <c r="E54" s="112" t="n">
        <v>4</v>
      </c>
      <c r="F54" s="112" t="n">
        <v>8</v>
      </c>
      <c r="G54" s="112" t="n">
        <v>4</v>
      </c>
      <c r="H54" s="112" t="n">
        <v>4</v>
      </c>
      <c r="I54" s="112" t="n">
        <v>3</v>
      </c>
      <c r="J54" s="115" t="n">
        <v>20</v>
      </c>
      <c r="K54" s="115" t="n">
        <v>20</v>
      </c>
      <c r="L54" s="115" t="n">
        <v>267</v>
      </c>
      <c r="M54" s="115" t="n">
        <v>209</v>
      </c>
      <c r="N54" s="115" t="n">
        <v>1</v>
      </c>
      <c r="O54" s="115" t="n">
        <v>2026</v>
      </c>
      <c r="P54" s="110" t="n"/>
      <c r="Q54" s="110" t="n"/>
      <c r="R54" s="110" t="n"/>
      <c r="S54" s="110" t="n"/>
      <c r="T54" s="110" t="n"/>
      <c r="U54" s="110" t="n"/>
      <c r="V54" s="110" t="n"/>
      <c r="W54" s="110" t="n"/>
      <c r="X54" s="110" t="n"/>
      <c r="Y54" s="110" t="n"/>
      <c r="Z54" s="110" t="n"/>
    </row>
    <row r="55">
      <c r="A55" s="112" t="n">
        <v>26</v>
      </c>
      <c r="B55" s="112" t="inlineStr">
        <is>
          <t>Xuân Lộc</t>
        </is>
      </c>
      <c r="C55" s="114" t="n"/>
      <c r="D55" s="114" t="inlineStr">
        <is>
          <t>Đặng Hữu Danh</t>
        </is>
      </c>
      <c r="E55" s="112" t="n">
        <v>4</v>
      </c>
      <c r="F55" s="112" t="n">
        <v>8</v>
      </c>
      <c r="G55" s="112" t="n">
        <v>4</v>
      </c>
      <c r="H55" s="112" t="n">
        <v>4</v>
      </c>
      <c r="I55" s="112" t="n">
        <v>3</v>
      </c>
      <c r="J55" s="115" t="n">
        <v>20</v>
      </c>
      <c r="K55" s="115" t="n">
        <v>20</v>
      </c>
      <c r="L55" s="115" t="n">
        <v>267</v>
      </c>
      <c r="M55" s="115" t="n">
        <v>209</v>
      </c>
      <c r="N55" s="115" t="n">
        <v>1</v>
      </c>
      <c r="O55" s="115" t="n">
        <v>2026</v>
      </c>
      <c r="P55" s="110" t="n"/>
      <c r="Q55" s="110" t="n"/>
      <c r="R55" s="110" t="n"/>
      <c r="S55" s="110" t="n"/>
      <c r="T55" s="110" t="n"/>
      <c r="U55" s="110" t="n"/>
      <c r="V55" s="110" t="n"/>
      <c r="W55" s="110" t="n"/>
      <c r="X55" s="110" t="n"/>
      <c r="Y55" s="110" t="n"/>
      <c r="Z55" s="110" t="n"/>
    </row>
    <row r="56">
      <c r="A56" s="114" t="n"/>
      <c r="B56" s="114" t="n"/>
      <c r="C56" s="114" t="n"/>
      <c r="D56" s="114" t="inlineStr">
        <is>
          <t>TTVT Xuân Lộc</t>
        </is>
      </c>
      <c r="E56" s="114">
        <f>SUM(E30:E55)</f>
        <v/>
      </c>
      <c r="F56" s="114">
        <f>SUM(F30:F55)</f>
        <v/>
      </c>
      <c r="G56" s="114">
        <f>SUM(G30:G55)</f>
        <v/>
      </c>
      <c r="H56" s="114">
        <f>SUM(H30:H55)</f>
        <v/>
      </c>
      <c r="I56" s="114">
        <f>SUM(I30:I55)</f>
        <v/>
      </c>
      <c r="J56" s="114">
        <f>SUM(J30:J55)</f>
        <v/>
      </c>
      <c r="K56" s="114">
        <f>SUM(K30:K55)</f>
        <v/>
      </c>
      <c r="L56" s="114">
        <f>SUM(L30:L55)</f>
        <v/>
      </c>
      <c r="M56" s="114">
        <f>SUM(M30:M55)</f>
        <v/>
      </c>
      <c r="N56" s="115" t="n">
        <v>1</v>
      </c>
      <c r="O56" s="115" t="n">
        <v>2026</v>
      </c>
      <c r="P56" s="110" t="n"/>
      <c r="Q56" s="110" t="n"/>
      <c r="R56" s="110" t="n"/>
      <c r="S56" s="110" t="n"/>
      <c r="T56" s="110" t="n"/>
      <c r="U56" s="110" t="n"/>
      <c r="V56" s="110" t="n"/>
      <c r="W56" s="110" t="n"/>
      <c r="X56" s="110" t="n"/>
      <c r="Y56" s="110" t="n"/>
      <c r="Z56" s="110" t="n"/>
    </row>
    <row r="57">
      <c r="A57" s="110" t="n"/>
      <c r="B57" s="110" t="n"/>
      <c r="C57" s="110" t="n"/>
      <c r="D57" s="110" t="n"/>
      <c r="E57" s="110" t="n"/>
      <c r="F57" s="110" t="n"/>
      <c r="G57" s="110" t="n"/>
      <c r="H57" s="110" t="n"/>
      <c r="I57" s="110" t="n"/>
      <c r="J57" s="110" t="n"/>
      <c r="K57" s="110" t="n"/>
      <c r="L57" s="110" t="n"/>
      <c r="M57" s="110" t="n"/>
      <c r="N57" s="110" t="n"/>
      <c r="O57" s="110" t="n"/>
      <c r="P57" s="110" t="n"/>
      <c r="Q57" s="110" t="n"/>
      <c r="R57" s="110" t="n"/>
      <c r="S57" s="110" t="n"/>
      <c r="T57" s="110" t="n"/>
      <c r="U57" s="110" t="n"/>
      <c r="V57" s="110" t="n"/>
      <c r="W57" s="110" t="n"/>
      <c r="X57" s="110" t="n"/>
      <c r="Y57" s="110" t="n"/>
      <c r="Z57" s="110" t="n"/>
    </row>
    <row r="58">
      <c r="A58" s="110" t="n"/>
      <c r="B58" s="110" t="n"/>
      <c r="C58" s="110" t="n"/>
      <c r="D58" s="110" t="n"/>
      <c r="E58" s="110" t="n"/>
      <c r="F58" s="110" t="n"/>
      <c r="G58" s="110" t="n"/>
      <c r="H58" s="110" t="n"/>
      <c r="I58" s="110" t="n"/>
      <c r="J58" s="110" t="n"/>
      <c r="K58" s="110" t="n"/>
      <c r="L58" s="110" t="n"/>
      <c r="M58" s="110" t="n"/>
      <c r="N58" s="110" t="n"/>
      <c r="O58" s="110" t="n"/>
      <c r="P58" s="110" t="n"/>
      <c r="Q58" s="110" t="n"/>
      <c r="R58" s="110" t="n"/>
      <c r="S58" s="110" t="n"/>
      <c r="T58" s="110" t="n"/>
      <c r="U58" s="110" t="n"/>
      <c r="V58" s="110" t="n"/>
      <c r="W58" s="110" t="n"/>
      <c r="X58" s="110" t="n"/>
      <c r="Y58" s="110" t="n"/>
      <c r="Z58" s="110" t="n"/>
    </row>
    <row r="59">
      <c r="A59" s="110" t="n"/>
      <c r="B59" s="110" t="n"/>
      <c r="C59" s="110" t="n"/>
      <c r="D59" s="110" t="n"/>
      <c r="E59" s="110" t="n"/>
      <c r="F59" s="110" t="n"/>
      <c r="G59" s="110" t="n"/>
      <c r="H59" s="110" t="n"/>
      <c r="I59" s="110" t="n"/>
      <c r="J59" s="110" t="n"/>
      <c r="K59" s="110" t="n"/>
      <c r="L59" s="110" t="n"/>
      <c r="M59" s="110" t="n"/>
      <c r="N59" s="110" t="n"/>
      <c r="O59" s="110" t="n"/>
      <c r="P59" s="110" t="n"/>
      <c r="Q59" s="110" t="n"/>
      <c r="R59" s="110" t="n"/>
      <c r="S59" s="110" t="n"/>
      <c r="T59" s="110" t="n"/>
      <c r="U59" s="110" t="n"/>
      <c r="V59" s="110" t="n"/>
      <c r="W59" s="110" t="n"/>
      <c r="X59" s="110" t="n"/>
      <c r="Y59" s="110" t="n"/>
      <c r="Z59" s="110" t="n"/>
    </row>
    <row r="60">
      <c r="A60" s="110" t="n"/>
      <c r="B60" s="110" t="n"/>
      <c r="C60" s="110" t="n"/>
      <c r="D60" s="110" t="n"/>
      <c r="E60" s="110" t="n"/>
      <c r="F60" s="110" t="n"/>
      <c r="G60" s="110" t="n"/>
      <c r="H60" s="110" t="n"/>
      <c r="I60" s="110" t="n"/>
      <c r="J60" s="110" t="n"/>
      <c r="K60" s="110" t="n"/>
      <c r="L60" s="110" t="n"/>
      <c r="M60" s="110" t="n"/>
      <c r="N60" s="110" t="n"/>
      <c r="O60" s="110" t="n"/>
      <c r="P60" s="110" t="n"/>
      <c r="Q60" s="110" t="n"/>
      <c r="R60" s="110" t="n"/>
      <c r="S60" s="110" t="n"/>
      <c r="T60" s="110" t="n"/>
      <c r="U60" s="110" t="n"/>
      <c r="V60" s="110" t="n"/>
      <c r="W60" s="110" t="n"/>
      <c r="X60" s="110" t="n"/>
      <c r="Y60" s="110" t="n"/>
      <c r="Z60" s="110" t="n"/>
    </row>
    <row r="61">
      <c r="A61" s="110" t="n"/>
      <c r="B61" s="110" t="n"/>
      <c r="C61" s="110" t="n"/>
      <c r="D61" s="110" t="n"/>
      <c r="E61" s="110" t="n"/>
      <c r="F61" s="110" t="n"/>
      <c r="G61" s="110" t="n"/>
      <c r="H61" s="110" t="n"/>
      <c r="I61" s="110" t="n"/>
      <c r="J61" s="110" t="n"/>
      <c r="K61" s="110" t="n"/>
      <c r="L61" s="110" t="n"/>
      <c r="M61" s="110" t="n"/>
      <c r="N61" s="110" t="n"/>
      <c r="O61" s="110" t="n"/>
      <c r="P61" s="110" t="n"/>
      <c r="Q61" s="110" t="n"/>
      <c r="R61" s="110" t="n"/>
      <c r="S61" s="110" t="n"/>
      <c r="T61" s="110" t="n"/>
      <c r="U61" s="110" t="n"/>
      <c r="V61" s="110" t="n"/>
      <c r="W61" s="110" t="n"/>
      <c r="X61" s="110" t="n"/>
      <c r="Y61" s="110" t="n"/>
      <c r="Z61" s="110" t="n"/>
    </row>
    <row r="62">
      <c r="A62" s="110" t="n"/>
      <c r="B62" s="110" t="n"/>
      <c r="C62" s="110" t="n"/>
      <c r="D62" s="110" t="n"/>
      <c r="E62" s="110" t="n"/>
      <c r="F62" s="110" t="n"/>
      <c r="G62" s="110" t="n"/>
      <c r="H62" s="110" t="n"/>
      <c r="I62" s="110" t="n"/>
      <c r="J62" s="110" t="n"/>
      <c r="K62" s="110" t="n"/>
      <c r="L62" s="110" t="n"/>
      <c r="M62" s="110" t="n"/>
      <c r="N62" s="110" t="n"/>
      <c r="O62" s="110" t="n"/>
      <c r="P62" s="110" t="n"/>
      <c r="Q62" s="110" t="n"/>
      <c r="R62" s="110" t="n"/>
      <c r="S62" s="110" t="n"/>
      <c r="T62" s="110" t="n"/>
      <c r="U62" s="110" t="n"/>
      <c r="V62" s="110" t="n"/>
      <c r="W62" s="110" t="n"/>
      <c r="X62" s="110" t="n"/>
      <c r="Y62" s="110" t="n"/>
      <c r="Z62" s="110" t="n"/>
    </row>
    <row r="63">
      <c r="A63" s="110" t="n"/>
      <c r="B63" s="110" t="n"/>
      <c r="C63" s="110" t="n"/>
      <c r="D63" s="110" t="n"/>
      <c r="E63" s="110" t="n"/>
      <c r="F63" s="110" t="n"/>
      <c r="G63" s="110" t="n"/>
      <c r="H63" s="110" t="n"/>
      <c r="I63" s="110" t="n"/>
      <c r="J63" s="110" t="n"/>
      <c r="K63" s="110" t="n"/>
      <c r="L63" s="110" t="n"/>
      <c r="M63" s="110" t="n"/>
      <c r="N63" s="110" t="n"/>
      <c r="O63" s="110" t="n"/>
      <c r="P63" s="110" t="n"/>
      <c r="Q63" s="110" t="n"/>
      <c r="R63" s="110" t="n"/>
      <c r="S63" s="110" t="n"/>
      <c r="T63" s="110" t="n"/>
      <c r="U63" s="110" t="n"/>
      <c r="V63" s="110" t="n"/>
      <c r="W63" s="110" t="n"/>
      <c r="X63" s="110" t="n"/>
      <c r="Y63" s="110" t="n"/>
      <c r="Z63" s="110" t="n"/>
    </row>
    <row r="64">
      <c r="A64" s="110" t="n"/>
      <c r="B64" s="110" t="n"/>
      <c r="C64" s="110" t="n"/>
      <c r="D64" s="110" t="n"/>
      <c r="E64" s="110" t="n"/>
      <c r="F64" s="110" t="n"/>
      <c r="G64" s="110" t="n"/>
      <c r="H64" s="110" t="n"/>
      <c r="I64" s="110" t="n"/>
      <c r="J64" s="110" t="n"/>
      <c r="K64" s="110" t="n"/>
      <c r="L64" s="110" t="n"/>
      <c r="M64" s="110" t="n"/>
      <c r="N64" s="110" t="n"/>
      <c r="O64" s="110" t="n"/>
      <c r="P64" s="110" t="n"/>
      <c r="Q64" s="110" t="n"/>
      <c r="R64" s="110" t="n"/>
      <c r="S64" s="110" t="n"/>
      <c r="T64" s="110" t="n"/>
      <c r="U64" s="110" t="n"/>
      <c r="V64" s="110" t="n"/>
      <c r="W64" s="110" t="n"/>
      <c r="X64" s="110" t="n"/>
      <c r="Y64" s="110" t="n"/>
      <c r="Z64" s="110" t="n"/>
    </row>
    <row r="65">
      <c r="A65" s="110" t="n"/>
      <c r="B65" s="110" t="n"/>
      <c r="C65" s="110" t="n"/>
      <c r="D65" s="110" t="n"/>
      <c r="E65" s="110" t="n"/>
      <c r="F65" s="110" t="n"/>
      <c r="G65" s="110" t="n"/>
      <c r="H65" s="110" t="n"/>
      <c r="I65" s="110" t="n"/>
      <c r="J65" s="110" t="n"/>
      <c r="K65" s="110" t="n"/>
      <c r="L65" s="110" t="n"/>
      <c r="M65" s="110" t="n"/>
      <c r="N65" s="110" t="n"/>
      <c r="O65" s="110" t="n"/>
      <c r="P65" s="110" t="n"/>
      <c r="Q65" s="110" t="n"/>
      <c r="R65" s="110" t="n"/>
      <c r="S65" s="110" t="n"/>
      <c r="T65" s="110" t="n"/>
      <c r="U65" s="110" t="n"/>
      <c r="V65" s="110" t="n"/>
      <c r="W65" s="110" t="n"/>
      <c r="X65" s="110" t="n"/>
      <c r="Y65" s="110" t="n"/>
      <c r="Z65" s="110" t="n"/>
    </row>
    <row r="66">
      <c r="A66" s="110" t="n"/>
      <c r="B66" s="110" t="n"/>
      <c r="C66" s="110" t="n"/>
      <c r="D66" s="110" t="n"/>
      <c r="E66" s="110" t="n"/>
      <c r="F66" s="110" t="n"/>
      <c r="G66" s="110" t="n"/>
      <c r="H66" s="110" t="n"/>
      <c r="I66" s="110" t="n"/>
      <c r="J66" s="110" t="n"/>
      <c r="K66" s="110" t="n"/>
      <c r="L66" s="110" t="n"/>
      <c r="M66" s="110" t="n"/>
      <c r="N66" s="110" t="n"/>
      <c r="O66" s="110" t="n"/>
      <c r="P66" s="110" t="n"/>
      <c r="Q66" s="110" t="n"/>
      <c r="R66" s="110" t="n"/>
      <c r="S66" s="110" t="n"/>
      <c r="T66" s="110" t="n"/>
      <c r="U66" s="110" t="n"/>
      <c r="V66" s="110" t="n"/>
      <c r="W66" s="110" t="n"/>
      <c r="X66" s="110" t="n"/>
      <c r="Y66" s="110" t="n"/>
      <c r="Z66" s="110" t="n"/>
    </row>
    <row r="67">
      <c r="A67" s="110" t="n"/>
      <c r="B67" s="110" t="n"/>
      <c r="C67" s="110" t="n"/>
      <c r="D67" s="110" t="n"/>
      <c r="E67" s="110" t="n"/>
      <c r="F67" s="110" t="n"/>
      <c r="G67" s="110" t="n"/>
      <c r="H67" s="110" t="n"/>
      <c r="I67" s="110" t="n"/>
      <c r="J67" s="110" t="n"/>
      <c r="K67" s="110" t="n"/>
      <c r="L67" s="110" t="n"/>
      <c r="M67" s="110" t="n"/>
      <c r="N67" s="110" t="n"/>
      <c r="O67" s="110" t="n"/>
      <c r="P67" s="110" t="n"/>
      <c r="Q67" s="110" t="n"/>
      <c r="R67" s="110" t="n"/>
      <c r="S67" s="110" t="n"/>
      <c r="T67" s="110" t="n"/>
      <c r="U67" s="110" t="n"/>
      <c r="V67" s="110" t="n"/>
      <c r="W67" s="110" t="n"/>
      <c r="X67" s="110" t="n"/>
      <c r="Y67" s="110" t="n"/>
      <c r="Z67" s="110" t="n"/>
    </row>
    <row r="68">
      <c r="A68" s="110" t="n"/>
      <c r="B68" s="110" t="n"/>
      <c r="C68" s="110" t="n"/>
      <c r="D68" s="110" t="n"/>
      <c r="E68" s="110" t="n"/>
      <c r="F68" s="110" t="n"/>
      <c r="G68" s="110" t="n"/>
      <c r="H68" s="110" t="n"/>
      <c r="I68" s="110" t="n"/>
      <c r="J68" s="110" t="n"/>
      <c r="K68" s="110" t="n"/>
      <c r="L68" s="110" t="n"/>
      <c r="M68" s="110" t="n"/>
      <c r="N68" s="110" t="n"/>
      <c r="O68" s="110" t="n"/>
      <c r="P68" s="110" t="n"/>
      <c r="Q68" s="110" t="n"/>
      <c r="R68" s="110" t="n"/>
      <c r="S68" s="110" t="n"/>
      <c r="T68" s="110" t="n"/>
      <c r="U68" s="110" t="n"/>
      <c r="V68" s="110" t="n"/>
      <c r="W68" s="110" t="n"/>
      <c r="X68" s="110" t="n"/>
      <c r="Y68" s="110" t="n"/>
      <c r="Z68" s="110" t="n"/>
    </row>
    <row r="69">
      <c r="A69" s="110" t="n"/>
      <c r="B69" s="110" t="n"/>
      <c r="C69" s="110" t="n"/>
      <c r="D69" s="110" t="n"/>
      <c r="E69" s="110" t="n"/>
      <c r="F69" s="110" t="n"/>
      <c r="G69" s="110" t="n"/>
      <c r="H69" s="110" t="n"/>
      <c r="I69" s="110" t="n"/>
      <c r="J69" s="110" t="n"/>
      <c r="K69" s="110" t="n"/>
      <c r="L69" s="110" t="n"/>
      <c r="M69" s="110" t="n"/>
      <c r="N69" s="110" t="n"/>
      <c r="O69" s="110" t="n"/>
      <c r="P69" s="110" t="n"/>
      <c r="Q69" s="110" t="n"/>
      <c r="R69" s="110" t="n"/>
      <c r="S69" s="110" t="n"/>
      <c r="T69" s="110" t="n"/>
      <c r="U69" s="110" t="n"/>
      <c r="V69" s="110" t="n"/>
      <c r="W69" s="110" t="n"/>
      <c r="X69" s="110" t="n"/>
      <c r="Y69" s="110" t="n"/>
      <c r="Z69" s="110" t="n"/>
    </row>
    <row r="70">
      <c r="A70" s="110" t="n"/>
      <c r="B70" s="110" t="n"/>
      <c r="C70" s="110" t="n"/>
      <c r="D70" s="110" t="n"/>
      <c r="E70" s="110" t="n"/>
      <c r="F70" s="110" t="n"/>
      <c r="G70" s="110" t="n"/>
      <c r="H70" s="110" t="n"/>
      <c r="I70" s="110" t="n"/>
      <c r="J70" s="110" t="n"/>
      <c r="K70" s="110" t="n"/>
      <c r="L70" s="110" t="n"/>
      <c r="M70" s="110" t="n"/>
      <c r="N70" s="110" t="n"/>
      <c r="O70" s="110" t="n"/>
      <c r="P70" s="110" t="n"/>
      <c r="Q70" s="110" t="n"/>
      <c r="R70" s="110" t="n"/>
      <c r="S70" s="110" t="n"/>
      <c r="T70" s="110" t="n"/>
      <c r="U70" s="110" t="n"/>
      <c r="V70" s="110" t="n"/>
      <c r="W70" s="110" t="n"/>
      <c r="X70" s="110" t="n"/>
      <c r="Y70" s="110" t="n"/>
      <c r="Z70" s="110" t="n"/>
    </row>
    <row r="71">
      <c r="A71" s="110" t="n"/>
      <c r="B71" s="110" t="n"/>
      <c r="C71" s="110" t="n"/>
      <c r="D71" s="110" t="n"/>
      <c r="E71" s="110" t="n"/>
      <c r="F71" s="110" t="n"/>
      <c r="G71" s="110" t="n"/>
      <c r="H71" s="110" t="n"/>
      <c r="I71" s="110" t="n"/>
      <c r="J71" s="110" t="n"/>
      <c r="K71" s="110" t="n"/>
      <c r="L71" s="110" t="n"/>
      <c r="M71" s="110" t="n"/>
      <c r="N71" s="110" t="n"/>
      <c r="O71" s="110" t="n"/>
      <c r="P71" s="110" t="n"/>
      <c r="Q71" s="110" t="n"/>
      <c r="R71" s="110" t="n"/>
      <c r="S71" s="110" t="n"/>
      <c r="T71" s="110" t="n"/>
      <c r="U71" s="110" t="n"/>
      <c r="V71" s="110" t="n"/>
      <c r="W71" s="110" t="n"/>
      <c r="X71" s="110" t="n"/>
      <c r="Y71" s="110" t="n"/>
      <c r="Z71" s="110" t="n"/>
    </row>
    <row r="72">
      <c r="A72" s="110" t="n"/>
      <c r="B72" s="110" t="n"/>
      <c r="C72" s="110" t="n"/>
      <c r="D72" s="110" t="n"/>
      <c r="E72" s="110" t="n"/>
      <c r="F72" s="110" t="n"/>
      <c r="G72" s="110" t="n"/>
      <c r="H72" s="110" t="n"/>
      <c r="I72" s="110" t="n"/>
      <c r="J72" s="110" t="n"/>
      <c r="K72" s="110" t="n"/>
      <c r="L72" s="110" t="n"/>
      <c r="M72" s="110" t="n"/>
      <c r="N72" s="110" t="n"/>
      <c r="O72" s="110" t="n"/>
      <c r="P72" s="110" t="n"/>
      <c r="Q72" s="110" t="n"/>
      <c r="R72" s="110" t="n"/>
      <c r="S72" s="110" t="n"/>
      <c r="T72" s="110" t="n"/>
      <c r="U72" s="110" t="n"/>
      <c r="V72" s="110" t="n"/>
      <c r="W72" s="110" t="n"/>
      <c r="X72" s="110" t="n"/>
      <c r="Y72" s="110" t="n"/>
      <c r="Z72" s="110" t="n"/>
    </row>
    <row r="73">
      <c r="A73" s="110" t="n"/>
      <c r="B73" s="110" t="n"/>
      <c r="C73" s="110" t="n"/>
      <c r="D73" s="110" t="n"/>
      <c r="E73" s="110" t="n"/>
      <c r="F73" s="110" t="n"/>
      <c r="G73" s="110" t="n"/>
      <c r="H73" s="110" t="n"/>
      <c r="I73" s="110" t="n"/>
      <c r="J73" s="110" t="n"/>
      <c r="K73" s="110" t="n"/>
      <c r="L73" s="110" t="n"/>
      <c r="M73" s="110" t="n"/>
      <c r="N73" s="110" t="n"/>
      <c r="O73" s="110" t="n"/>
      <c r="P73" s="110" t="n"/>
      <c r="Q73" s="110" t="n"/>
      <c r="R73" s="110" t="n"/>
      <c r="S73" s="110" t="n"/>
      <c r="T73" s="110" t="n"/>
      <c r="U73" s="110" t="n"/>
      <c r="V73" s="110" t="n"/>
      <c r="W73" s="110" t="n"/>
      <c r="X73" s="110" t="n"/>
      <c r="Y73" s="110" t="n"/>
      <c r="Z73" s="110" t="n"/>
    </row>
    <row r="74">
      <c r="A74" s="110" t="n"/>
      <c r="B74" s="110" t="n"/>
      <c r="C74" s="110" t="n"/>
      <c r="D74" s="110" t="n"/>
      <c r="E74" s="110" t="n"/>
      <c r="F74" s="110" t="n"/>
      <c r="G74" s="110" t="n"/>
      <c r="H74" s="110" t="n"/>
      <c r="I74" s="110" t="n"/>
      <c r="J74" s="110" t="n"/>
      <c r="K74" s="110" t="n"/>
      <c r="L74" s="110" t="n"/>
      <c r="M74" s="110" t="n"/>
      <c r="N74" s="110" t="n"/>
      <c r="O74" s="110" t="n"/>
      <c r="P74" s="110" t="n"/>
      <c r="Q74" s="110" t="n"/>
      <c r="R74" s="110" t="n"/>
      <c r="S74" s="110" t="n"/>
      <c r="T74" s="110" t="n"/>
      <c r="U74" s="110" t="n"/>
      <c r="V74" s="110" t="n"/>
      <c r="W74" s="110" t="n"/>
      <c r="X74" s="110" t="n"/>
      <c r="Y74" s="110" t="n"/>
      <c r="Z74" s="110" t="n"/>
    </row>
    <row r="75">
      <c r="A75" s="110" t="n"/>
      <c r="B75" s="110" t="n"/>
      <c r="C75" s="110" t="n"/>
      <c r="D75" s="110" t="n"/>
      <c r="E75" s="110" t="n"/>
      <c r="F75" s="110" t="n"/>
      <c r="G75" s="110" t="n"/>
      <c r="H75" s="110" t="n"/>
      <c r="I75" s="110" t="n"/>
      <c r="J75" s="110" t="n"/>
      <c r="K75" s="110" t="n"/>
      <c r="L75" s="110" t="n"/>
      <c r="M75" s="110" t="n"/>
      <c r="N75" s="110" t="n"/>
      <c r="O75" s="110" t="n"/>
      <c r="P75" s="110" t="n"/>
      <c r="Q75" s="110" t="n"/>
      <c r="R75" s="110" t="n"/>
      <c r="S75" s="110" t="n"/>
      <c r="T75" s="110" t="n"/>
      <c r="U75" s="110" t="n"/>
      <c r="V75" s="110" t="n"/>
      <c r="W75" s="110" t="n"/>
      <c r="X75" s="110" t="n"/>
      <c r="Y75" s="110" t="n"/>
      <c r="Z75" s="110" t="n"/>
    </row>
    <row r="76">
      <c r="A76" s="110" t="n"/>
      <c r="B76" s="110" t="n"/>
      <c r="C76" s="110" t="n"/>
      <c r="D76" s="110" t="n"/>
      <c r="E76" s="110" t="n"/>
      <c r="F76" s="110" t="n"/>
      <c r="G76" s="110" t="n"/>
      <c r="H76" s="110" t="n"/>
      <c r="I76" s="110" t="n"/>
      <c r="J76" s="110" t="n"/>
      <c r="K76" s="110" t="n"/>
      <c r="L76" s="110" t="n"/>
      <c r="M76" s="110" t="n"/>
      <c r="N76" s="110" t="n"/>
      <c r="O76" s="110" t="n"/>
      <c r="P76" s="110" t="n"/>
      <c r="Q76" s="110" t="n"/>
      <c r="R76" s="110" t="n"/>
      <c r="S76" s="110" t="n"/>
      <c r="T76" s="110" t="n"/>
      <c r="U76" s="110" t="n"/>
      <c r="V76" s="110" t="n"/>
      <c r="W76" s="110" t="n"/>
      <c r="X76" s="110" t="n"/>
      <c r="Y76" s="110" t="n"/>
      <c r="Z76" s="110" t="n"/>
    </row>
    <row r="77">
      <c r="A77" s="110" t="n"/>
      <c r="B77" s="110" t="n"/>
      <c r="C77" s="110" t="n"/>
      <c r="D77" s="110" t="n"/>
      <c r="E77" s="110" t="n"/>
      <c r="F77" s="110" t="n"/>
      <c r="G77" s="110" t="n"/>
      <c r="H77" s="110" t="n"/>
      <c r="I77" s="110" t="n"/>
      <c r="J77" s="110" t="n"/>
      <c r="K77" s="110" t="n"/>
      <c r="L77" s="110" t="n"/>
      <c r="M77" s="110" t="n"/>
      <c r="N77" s="110" t="n"/>
      <c r="O77" s="110" t="n"/>
      <c r="P77" s="110" t="n"/>
      <c r="Q77" s="110" t="n"/>
      <c r="R77" s="110" t="n"/>
      <c r="S77" s="110" t="n"/>
      <c r="T77" s="110" t="n"/>
      <c r="U77" s="110" t="n"/>
      <c r="V77" s="110" t="n"/>
      <c r="W77" s="110" t="n"/>
      <c r="X77" s="110" t="n"/>
      <c r="Y77" s="110" t="n"/>
      <c r="Z77" s="110" t="n"/>
    </row>
    <row r="78">
      <c r="A78" s="110" t="n"/>
      <c r="B78" s="110" t="n"/>
      <c r="C78" s="110" t="n"/>
      <c r="D78" s="110" t="n"/>
      <c r="E78" s="110" t="n"/>
      <c r="F78" s="110" t="n"/>
      <c r="G78" s="110" t="n"/>
      <c r="H78" s="110" t="n"/>
      <c r="I78" s="110" t="n"/>
      <c r="J78" s="110" t="n"/>
      <c r="K78" s="110" t="n"/>
      <c r="L78" s="110" t="n"/>
      <c r="M78" s="110" t="n"/>
      <c r="N78" s="110" t="n"/>
      <c r="O78" s="110" t="n"/>
      <c r="P78" s="110" t="n"/>
      <c r="Q78" s="110" t="n"/>
      <c r="R78" s="110" t="n"/>
      <c r="S78" s="110" t="n"/>
      <c r="T78" s="110" t="n"/>
      <c r="U78" s="110" t="n"/>
      <c r="V78" s="110" t="n"/>
      <c r="W78" s="110" t="n"/>
      <c r="X78" s="110" t="n"/>
      <c r="Y78" s="110" t="n"/>
      <c r="Z78" s="110" t="n"/>
    </row>
    <row r="79">
      <c r="A79" s="110" t="n"/>
      <c r="B79" s="110" t="n"/>
      <c r="C79" s="110" t="n"/>
      <c r="D79" s="110" t="n"/>
      <c r="E79" s="110" t="n"/>
      <c r="F79" s="110" t="n"/>
      <c r="G79" s="110" t="n"/>
      <c r="H79" s="110" t="n"/>
      <c r="I79" s="110" t="n"/>
      <c r="J79" s="110" t="n"/>
      <c r="K79" s="110" t="n"/>
      <c r="L79" s="110" t="n"/>
      <c r="M79" s="110" t="n"/>
      <c r="N79" s="110" t="n"/>
      <c r="O79" s="110" t="n"/>
      <c r="P79" s="110" t="n"/>
      <c r="Q79" s="110" t="n"/>
      <c r="R79" s="110" t="n"/>
      <c r="S79" s="110" t="n"/>
      <c r="T79" s="110" t="n"/>
      <c r="U79" s="110" t="n"/>
      <c r="V79" s="110" t="n"/>
      <c r="W79" s="110" t="n"/>
      <c r="X79" s="110" t="n"/>
      <c r="Y79" s="110" t="n"/>
      <c r="Z79" s="110" t="n"/>
    </row>
    <row r="80">
      <c r="A80" s="110" t="n"/>
      <c r="B80" s="110" t="n"/>
      <c r="C80" s="110" t="n"/>
      <c r="D80" s="110" t="n"/>
      <c r="E80" s="110" t="n"/>
      <c r="F80" s="110" t="n"/>
      <c r="G80" s="110" t="n"/>
      <c r="H80" s="110" t="n"/>
      <c r="I80" s="110" t="n"/>
      <c r="J80" s="110" t="n"/>
      <c r="K80" s="110" t="n"/>
      <c r="L80" s="110" t="n"/>
      <c r="M80" s="110" t="n"/>
      <c r="N80" s="110" t="n"/>
      <c r="O80" s="110" t="n"/>
      <c r="P80" s="110" t="n"/>
      <c r="Q80" s="110" t="n"/>
      <c r="R80" s="110" t="n"/>
      <c r="S80" s="110" t="n"/>
      <c r="T80" s="110" t="n"/>
      <c r="U80" s="110" t="n"/>
      <c r="V80" s="110" t="n"/>
      <c r="W80" s="110" t="n"/>
      <c r="X80" s="110" t="n"/>
      <c r="Y80" s="110" t="n"/>
      <c r="Z80" s="110" t="n"/>
    </row>
    <row r="81">
      <c r="A81" s="110" t="n"/>
      <c r="B81" s="110" t="n"/>
      <c r="C81" s="110" t="n"/>
      <c r="D81" s="110" t="n"/>
      <c r="E81" s="110" t="n"/>
      <c r="F81" s="110" t="n"/>
      <c r="G81" s="110" t="n"/>
      <c r="H81" s="110" t="n"/>
      <c r="I81" s="110" t="n"/>
      <c r="J81" s="110" t="n"/>
      <c r="K81" s="110" t="n"/>
      <c r="L81" s="110" t="n"/>
      <c r="M81" s="110" t="n"/>
      <c r="N81" s="110" t="n"/>
      <c r="O81" s="110" t="n"/>
      <c r="P81" s="110" t="n"/>
      <c r="Q81" s="110" t="n"/>
      <c r="R81" s="110" t="n"/>
      <c r="S81" s="110" t="n"/>
      <c r="T81" s="110" t="n"/>
      <c r="U81" s="110" t="n"/>
      <c r="V81" s="110" t="n"/>
      <c r="W81" s="110" t="n"/>
      <c r="X81" s="110" t="n"/>
      <c r="Y81" s="110" t="n"/>
      <c r="Z81" s="110" t="n"/>
    </row>
    <row r="82">
      <c r="A82" s="110" t="n"/>
      <c r="B82" s="110" t="n"/>
      <c r="C82" s="110" t="n"/>
      <c r="D82" s="110" t="n"/>
      <c r="E82" s="110" t="n"/>
      <c r="F82" s="110" t="n"/>
      <c r="G82" s="110" t="n"/>
      <c r="H82" s="110" t="n"/>
      <c r="I82" s="110" t="n"/>
      <c r="J82" s="110" t="n"/>
      <c r="K82" s="110" t="n"/>
      <c r="L82" s="110" t="n"/>
      <c r="M82" s="110" t="n"/>
      <c r="N82" s="110" t="n"/>
      <c r="O82" s="110" t="n"/>
      <c r="P82" s="110" t="n"/>
      <c r="Q82" s="110" t="n"/>
      <c r="R82" s="110" t="n"/>
      <c r="S82" s="110" t="n"/>
      <c r="T82" s="110" t="n"/>
      <c r="U82" s="110" t="n"/>
      <c r="V82" s="110" t="n"/>
      <c r="W82" s="110" t="n"/>
      <c r="X82" s="110" t="n"/>
      <c r="Y82" s="110" t="n"/>
      <c r="Z82" s="110" t="n"/>
    </row>
    <row r="83">
      <c r="A83" s="110" t="n"/>
      <c r="B83" s="110" t="n"/>
      <c r="C83" s="110" t="n"/>
      <c r="D83" s="110" t="n"/>
      <c r="E83" s="110" t="n"/>
      <c r="F83" s="110" t="n"/>
      <c r="G83" s="110" t="n"/>
      <c r="H83" s="110" t="n"/>
      <c r="I83" s="110" t="n"/>
      <c r="J83" s="110" t="n"/>
      <c r="K83" s="110" t="n"/>
      <c r="L83" s="110" t="n"/>
      <c r="M83" s="110" t="n"/>
      <c r="N83" s="110" t="n"/>
      <c r="O83" s="110" t="n"/>
      <c r="P83" s="110" t="n"/>
      <c r="Q83" s="110" t="n"/>
      <c r="R83" s="110" t="n"/>
      <c r="S83" s="110" t="n"/>
      <c r="T83" s="110" t="n"/>
      <c r="U83" s="110" t="n"/>
      <c r="V83" s="110" t="n"/>
      <c r="W83" s="110" t="n"/>
      <c r="X83" s="110" t="n"/>
      <c r="Y83" s="110" t="n"/>
      <c r="Z83" s="110" t="n"/>
    </row>
    <row r="84">
      <c r="A84" s="110" t="n"/>
      <c r="B84" s="110" t="n"/>
      <c r="C84" s="110" t="n"/>
      <c r="D84" s="110" t="n"/>
      <c r="E84" s="110" t="n"/>
      <c r="F84" s="110" t="n"/>
      <c r="G84" s="110" t="n"/>
      <c r="H84" s="110" t="n"/>
      <c r="I84" s="110" t="n"/>
      <c r="J84" s="110" t="n"/>
      <c r="K84" s="110" t="n"/>
      <c r="L84" s="110" t="n"/>
      <c r="M84" s="110" t="n"/>
      <c r="N84" s="110" t="n"/>
      <c r="O84" s="110" t="n"/>
      <c r="P84" s="110" t="n"/>
      <c r="Q84" s="110" t="n"/>
      <c r="R84" s="110" t="n"/>
      <c r="S84" s="110" t="n"/>
      <c r="T84" s="110" t="n"/>
      <c r="U84" s="110" t="n"/>
      <c r="V84" s="110" t="n"/>
      <c r="W84" s="110" t="n"/>
      <c r="X84" s="110" t="n"/>
      <c r="Y84" s="110" t="n"/>
      <c r="Z84" s="110" t="n"/>
    </row>
    <row r="85">
      <c r="A85" s="110" t="n"/>
      <c r="B85" s="110" t="n"/>
      <c r="C85" s="110" t="n"/>
      <c r="D85" s="110" t="n"/>
      <c r="E85" s="110" t="n"/>
      <c r="F85" s="110" t="n"/>
      <c r="G85" s="110" t="n"/>
      <c r="H85" s="110" t="n"/>
      <c r="I85" s="110" t="n"/>
      <c r="J85" s="110" t="n"/>
      <c r="K85" s="110" t="n"/>
      <c r="L85" s="110" t="n"/>
      <c r="M85" s="110" t="n"/>
      <c r="N85" s="110" t="n"/>
      <c r="O85" s="110" t="n"/>
      <c r="P85" s="110" t="n"/>
      <c r="Q85" s="110" t="n"/>
      <c r="R85" s="110" t="n"/>
      <c r="S85" s="110" t="n"/>
      <c r="T85" s="110" t="n"/>
      <c r="U85" s="110" t="n"/>
      <c r="V85" s="110" t="n"/>
      <c r="W85" s="110" t="n"/>
      <c r="X85" s="110" t="n"/>
      <c r="Y85" s="110" t="n"/>
      <c r="Z85" s="110" t="n"/>
    </row>
    <row r="86">
      <c r="A86" s="110" t="n"/>
      <c r="B86" s="110" t="n"/>
      <c r="C86" s="110" t="n"/>
      <c r="D86" s="110" t="n"/>
      <c r="E86" s="110" t="n"/>
      <c r="F86" s="110" t="n"/>
      <c r="G86" s="110" t="n"/>
      <c r="H86" s="110" t="n"/>
      <c r="I86" s="110" t="n"/>
      <c r="J86" s="110" t="n"/>
      <c r="K86" s="110" t="n"/>
      <c r="L86" s="110" t="n"/>
      <c r="M86" s="110" t="n"/>
      <c r="N86" s="110" t="n"/>
      <c r="O86" s="110" t="n"/>
      <c r="P86" s="110" t="n"/>
      <c r="Q86" s="110" t="n"/>
      <c r="R86" s="110" t="n"/>
      <c r="S86" s="110" t="n"/>
      <c r="T86" s="110" t="n"/>
      <c r="U86" s="110" t="n"/>
      <c r="V86" s="110" t="n"/>
      <c r="W86" s="110" t="n"/>
      <c r="X86" s="110" t="n"/>
      <c r="Y86" s="110" t="n"/>
      <c r="Z86" s="110" t="n"/>
    </row>
    <row r="87">
      <c r="A87" s="110" t="n"/>
      <c r="B87" s="110" t="n"/>
      <c r="C87" s="110" t="n"/>
      <c r="D87" s="110" t="n"/>
      <c r="E87" s="110" t="n"/>
      <c r="F87" s="110" t="n"/>
      <c r="G87" s="110" t="n"/>
      <c r="H87" s="110" t="n"/>
      <c r="I87" s="110" t="n"/>
      <c r="J87" s="110" t="n"/>
      <c r="K87" s="110" t="n"/>
      <c r="L87" s="110" t="n"/>
      <c r="M87" s="110" t="n"/>
      <c r="N87" s="110" t="n"/>
      <c r="O87" s="110" t="n"/>
      <c r="P87" s="110" t="n"/>
      <c r="Q87" s="110" t="n"/>
      <c r="R87" s="110" t="n"/>
      <c r="S87" s="110" t="n"/>
      <c r="T87" s="110" t="n"/>
      <c r="U87" s="110" t="n"/>
      <c r="V87" s="110" t="n"/>
      <c r="W87" s="110" t="n"/>
      <c r="X87" s="110" t="n"/>
      <c r="Y87" s="110" t="n"/>
      <c r="Z87" s="110" t="n"/>
    </row>
    <row r="88">
      <c r="A88" s="110" t="n"/>
      <c r="B88" s="110" t="n"/>
      <c r="C88" s="110" t="n"/>
      <c r="D88" s="110" t="n"/>
      <c r="E88" s="110" t="n"/>
      <c r="F88" s="110" t="n"/>
      <c r="G88" s="110" t="n"/>
      <c r="H88" s="110" t="n"/>
      <c r="I88" s="110" t="n"/>
      <c r="J88" s="110" t="n"/>
      <c r="K88" s="110" t="n"/>
      <c r="L88" s="110" t="n"/>
      <c r="M88" s="110" t="n"/>
      <c r="N88" s="110" t="n"/>
      <c r="O88" s="110" t="n"/>
      <c r="P88" s="110" t="n"/>
      <c r="Q88" s="110" t="n"/>
      <c r="R88" s="110" t="n"/>
      <c r="S88" s="110" t="n"/>
      <c r="T88" s="110" t="n"/>
      <c r="U88" s="110" t="n"/>
      <c r="V88" s="110" t="n"/>
      <c r="W88" s="110" t="n"/>
      <c r="X88" s="110" t="n"/>
      <c r="Y88" s="110" t="n"/>
      <c r="Z88" s="110" t="n"/>
    </row>
    <row r="89">
      <c r="A89" s="110" t="n"/>
      <c r="B89" s="110" t="n"/>
      <c r="C89" s="110" t="n"/>
      <c r="D89" s="110" t="n"/>
      <c r="E89" s="110" t="n"/>
      <c r="F89" s="110" t="n"/>
      <c r="G89" s="110" t="n"/>
      <c r="H89" s="110" t="n"/>
      <c r="I89" s="110" t="n"/>
      <c r="J89" s="110" t="n"/>
      <c r="K89" s="110" t="n"/>
      <c r="L89" s="110" t="n"/>
      <c r="M89" s="110" t="n"/>
      <c r="N89" s="110" t="n"/>
      <c r="O89" s="110" t="n"/>
      <c r="P89" s="110" t="n"/>
      <c r="Q89" s="110" t="n"/>
      <c r="R89" s="110" t="n"/>
      <c r="S89" s="110" t="n"/>
      <c r="T89" s="110" t="n"/>
      <c r="U89" s="110" t="n"/>
      <c r="V89" s="110" t="n"/>
      <c r="W89" s="110" t="n"/>
      <c r="X89" s="110" t="n"/>
      <c r="Y89" s="110" t="n"/>
      <c r="Z89" s="110" t="n"/>
    </row>
    <row r="90">
      <c r="A90" s="110" t="n"/>
      <c r="B90" s="110" t="n"/>
      <c r="C90" s="110" t="n"/>
      <c r="D90" s="110" t="n"/>
      <c r="E90" s="110" t="n"/>
      <c r="F90" s="110" t="n"/>
      <c r="G90" s="110" t="n"/>
      <c r="H90" s="110" t="n"/>
      <c r="I90" s="110" t="n"/>
      <c r="J90" s="110" t="n"/>
      <c r="K90" s="110" t="n"/>
      <c r="L90" s="110" t="n"/>
      <c r="M90" s="110" t="n"/>
      <c r="N90" s="110" t="n"/>
      <c r="O90" s="110" t="n"/>
      <c r="P90" s="110" t="n"/>
      <c r="Q90" s="110" t="n"/>
      <c r="R90" s="110" t="n"/>
      <c r="S90" s="110" t="n"/>
      <c r="T90" s="110" t="n"/>
      <c r="U90" s="110" t="n"/>
      <c r="V90" s="110" t="n"/>
      <c r="W90" s="110" t="n"/>
      <c r="X90" s="110" t="n"/>
      <c r="Y90" s="110" t="n"/>
      <c r="Z90" s="110" t="n"/>
    </row>
    <row r="91">
      <c r="A91" s="110" t="n"/>
      <c r="B91" s="110" t="n"/>
      <c r="C91" s="110" t="n"/>
      <c r="D91" s="110" t="n"/>
      <c r="E91" s="110" t="n"/>
      <c r="F91" s="110" t="n"/>
      <c r="G91" s="110" t="n"/>
      <c r="H91" s="110" t="n"/>
      <c r="I91" s="110" t="n"/>
      <c r="J91" s="110" t="n"/>
      <c r="K91" s="110" t="n"/>
      <c r="L91" s="110" t="n"/>
      <c r="M91" s="110" t="n"/>
      <c r="N91" s="110" t="n"/>
      <c r="O91" s="110" t="n"/>
      <c r="P91" s="110" t="n"/>
      <c r="Q91" s="110" t="n"/>
      <c r="R91" s="110" t="n"/>
      <c r="S91" s="110" t="n"/>
      <c r="T91" s="110" t="n"/>
      <c r="U91" s="110" t="n"/>
      <c r="V91" s="110" t="n"/>
      <c r="W91" s="110" t="n"/>
      <c r="X91" s="110" t="n"/>
      <c r="Y91" s="110" t="n"/>
      <c r="Z91" s="110" t="n"/>
    </row>
    <row r="92">
      <c r="A92" s="110" t="n"/>
      <c r="B92" s="110" t="n"/>
      <c r="C92" s="110" t="n"/>
      <c r="D92" s="110" t="n"/>
      <c r="E92" s="110" t="n"/>
      <c r="F92" s="110" t="n"/>
      <c r="G92" s="110" t="n"/>
      <c r="H92" s="110" t="n"/>
      <c r="I92" s="110" t="n"/>
      <c r="J92" s="110" t="n"/>
      <c r="K92" s="110" t="n"/>
      <c r="L92" s="110" t="n"/>
      <c r="M92" s="110" t="n"/>
      <c r="N92" s="110" t="n"/>
      <c r="O92" s="110" t="n"/>
      <c r="P92" s="110" t="n"/>
      <c r="Q92" s="110" t="n"/>
      <c r="R92" s="110" t="n"/>
      <c r="S92" s="110" t="n"/>
      <c r="T92" s="110" t="n"/>
      <c r="U92" s="110" t="n"/>
      <c r="V92" s="110" t="n"/>
      <c r="W92" s="110" t="n"/>
      <c r="X92" s="110" t="n"/>
      <c r="Y92" s="110" t="n"/>
      <c r="Z92" s="110" t="n"/>
    </row>
    <row r="93">
      <c r="A93" s="110" t="n"/>
      <c r="B93" s="110" t="n"/>
      <c r="C93" s="110" t="n"/>
      <c r="D93" s="110" t="n"/>
      <c r="E93" s="110" t="n"/>
      <c r="F93" s="110" t="n"/>
      <c r="G93" s="110" t="n"/>
      <c r="H93" s="110" t="n"/>
      <c r="I93" s="110" t="n"/>
      <c r="J93" s="110" t="n"/>
      <c r="K93" s="110" t="n"/>
      <c r="L93" s="110" t="n"/>
      <c r="M93" s="110" t="n"/>
      <c r="N93" s="110" t="n"/>
      <c r="O93" s="110" t="n"/>
      <c r="P93" s="110" t="n"/>
      <c r="Q93" s="110" t="n"/>
      <c r="R93" s="110" t="n"/>
      <c r="S93" s="110" t="n"/>
      <c r="T93" s="110" t="n"/>
      <c r="U93" s="110" t="n"/>
      <c r="V93" s="110" t="n"/>
      <c r="W93" s="110" t="n"/>
      <c r="X93" s="110" t="n"/>
      <c r="Y93" s="110" t="n"/>
      <c r="Z93" s="110" t="n"/>
    </row>
    <row r="94">
      <c r="A94" s="110" t="n"/>
      <c r="B94" s="110" t="n"/>
      <c r="C94" s="110" t="n"/>
      <c r="D94" s="110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O94" s="110" t="n"/>
      <c r="P94" s="110" t="n"/>
      <c r="Q94" s="110" t="n"/>
      <c r="R94" s="110" t="n"/>
      <c r="S94" s="110" t="n"/>
      <c r="T94" s="110" t="n"/>
      <c r="U94" s="110" t="n"/>
      <c r="V94" s="110" t="n"/>
      <c r="W94" s="110" t="n"/>
      <c r="X94" s="110" t="n"/>
      <c r="Y94" s="110" t="n"/>
      <c r="Z94" s="110" t="n"/>
    </row>
    <row r="95">
      <c r="A95" s="110" t="n"/>
      <c r="B95" s="110" t="n"/>
      <c r="C95" s="110" t="n"/>
      <c r="D95" s="110" t="n"/>
      <c r="E95" s="110" t="n"/>
      <c r="F95" s="110" t="n"/>
      <c r="G95" s="110" t="n"/>
      <c r="H95" s="110" t="n"/>
      <c r="I95" s="110" t="n"/>
      <c r="J95" s="110" t="n"/>
      <c r="K95" s="110" t="n"/>
      <c r="L95" s="110" t="n"/>
      <c r="M95" s="110" t="n"/>
      <c r="N95" s="110" t="n"/>
      <c r="O95" s="110" t="n"/>
      <c r="P95" s="110" t="n"/>
      <c r="Q95" s="110" t="n"/>
      <c r="R95" s="110" t="n"/>
      <c r="S95" s="110" t="n"/>
      <c r="T95" s="110" t="n"/>
      <c r="U95" s="110" t="n"/>
      <c r="V95" s="110" t="n"/>
      <c r="W95" s="110" t="n"/>
      <c r="X95" s="110" t="n"/>
      <c r="Y95" s="110" t="n"/>
      <c r="Z95" s="110" t="n"/>
    </row>
    <row r="96">
      <c r="A96" s="110" t="n"/>
      <c r="B96" s="110" t="n"/>
      <c r="C96" s="110" t="n"/>
      <c r="D96" s="110" t="n"/>
      <c r="E96" s="110" t="n"/>
      <c r="F96" s="110" t="n"/>
      <c r="G96" s="110" t="n"/>
      <c r="H96" s="110" t="n"/>
      <c r="I96" s="110" t="n"/>
      <c r="J96" s="110" t="n"/>
      <c r="K96" s="110" t="n"/>
      <c r="L96" s="110" t="n"/>
      <c r="M96" s="110" t="n"/>
      <c r="N96" s="110" t="n"/>
      <c r="O96" s="110" t="n"/>
      <c r="P96" s="110" t="n"/>
      <c r="Q96" s="110" t="n"/>
      <c r="R96" s="110" t="n"/>
      <c r="S96" s="110" t="n"/>
      <c r="T96" s="110" t="n"/>
      <c r="U96" s="110" t="n"/>
      <c r="V96" s="110" t="n"/>
      <c r="W96" s="110" t="n"/>
      <c r="X96" s="110" t="n"/>
      <c r="Y96" s="110" t="n"/>
      <c r="Z96" s="110" t="n"/>
    </row>
    <row r="97">
      <c r="A97" s="110" t="n"/>
      <c r="B97" s="110" t="n"/>
      <c r="C97" s="110" t="n"/>
      <c r="D97" s="110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O97" s="110" t="n"/>
      <c r="P97" s="110" t="n"/>
      <c r="Q97" s="110" t="n"/>
      <c r="R97" s="110" t="n"/>
      <c r="S97" s="110" t="n"/>
      <c r="T97" s="110" t="n"/>
      <c r="U97" s="110" t="n"/>
      <c r="V97" s="110" t="n"/>
      <c r="W97" s="110" t="n"/>
      <c r="X97" s="110" t="n"/>
      <c r="Y97" s="110" t="n"/>
      <c r="Z97" s="110" t="n"/>
    </row>
    <row r="98">
      <c r="A98" s="110" t="n"/>
      <c r="B98" s="110" t="n"/>
      <c r="C98" s="110" t="n"/>
      <c r="D98" s="110" t="n"/>
      <c r="E98" s="110" t="n"/>
      <c r="F98" s="110" t="n"/>
      <c r="G98" s="110" t="n"/>
      <c r="H98" s="110" t="n"/>
      <c r="I98" s="110" t="n"/>
      <c r="J98" s="110" t="n"/>
      <c r="K98" s="110" t="n"/>
      <c r="L98" s="110" t="n"/>
      <c r="M98" s="110" t="n"/>
      <c r="N98" s="110" t="n"/>
      <c r="O98" s="110" t="n"/>
      <c r="P98" s="110" t="n"/>
      <c r="Q98" s="110" t="n"/>
      <c r="R98" s="110" t="n"/>
      <c r="S98" s="110" t="n"/>
      <c r="T98" s="110" t="n"/>
      <c r="U98" s="110" t="n"/>
      <c r="V98" s="110" t="n"/>
      <c r="W98" s="110" t="n"/>
      <c r="X98" s="110" t="n"/>
      <c r="Y98" s="110" t="n"/>
      <c r="Z98" s="110" t="n"/>
    </row>
    <row r="99">
      <c r="A99" s="110" t="n"/>
      <c r="B99" s="110" t="n"/>
      <c r="C99" s="110" t="n"/>
      <c r="D99" s="110" t="n"/>
      <c r="E99" s="110" t="n"/>
      <c r="F99" s="110" t="n"/>
      <c r="G99" s="110" t="n"/>
      <c r="H99" s="110" t="n"/>
      <c r="I99" s="110" t="n"/>
      <c r="J99" s="110" t="n"/>
      <c r="K99" s="110" t="n"/>
      <c r="L99" s="110" t="n"/>
      <c r="M99" s="110" t="n"/>
      <c r="N99" s="110" t="n"/>
      <c r="O99" s="110" t="n"/>
      <c r="P99" s="110" t="n"/>
      <c r="Q99" s="110" t="n"/>
      <c r="R99" s="110" t="n"/>
      <c r="S99" s="110" t="n"/>
      <c r="T99" s="110" t="n"/>
      <c r="U99" s="110" t="n"/>
      <c r="V99" s="110" t="n"/>
      <c r="W99" s="110" t="n"/>
      <c r="X99" s="110" t="n"/>
      <c r="Y99" s="110" t="n"/>
      <c r="Z99" s="110" t="n"/>
    </row>
    <row r="100">
      <c r="A100" s="110" t="n"/>
      <c r="B100" s="110" t="n"/>
      <c r="C100" s="110" t="n"/>
      <c r="D100" s="110" t="n"/>
      <c r="E100" s="110" t="n"/>
      <c r="F100" s="110" t="n"/>
      <c r="G100" s="110" t="n"/>
      <c r="H100" s="110" t="n"/>
      <c r="I100" s="110" t="n"/>
      <c r="J100" s="110" t="n"/>
      <c r="K100" s="110" t="n"/>
      <c r="L100" s="110" t="n"/>
      <c r="M100" s="110" t="n"/>
      <c r="N100" s="110" t="n"/>
      <c r="O100" s="110" t="n"/>
      <c r="P100" s="110" t="n"/>
      <c r="Q100" s="110" t="n"/>
      <c r="R100" s="110" t="n"/>
      <c r="S100" s="110" t="n"/>
      <c r="T100" s="110" t="n"/>
      <c r="U100" s="110" t="n"/>
      <c r="V100" s="110" t="n"/>
      <c r="W100" s="110" t="n"/>
      <c r="X100" s="110" t="n"/>
      <c r="Y100" s="110" t="n"/>
      <c r="Z100" s="110" t="n"/>
    </row>
    <row r="101">
      <c r="A101" s="110" t="n"/>
      <c r="B101" s="110" t="n"/>
      <c r="C101" s="110" t="n"/>
      <c r="D101" s="110" t="n"/>
      <c r="E101" s="110" t="n"/>
      <c r="F101" s="110" t="n"/>
      <c r="G101" s="110" t="n"/>
      <c r="H101" s="110" t="n"/>
      <c r="I101" s="110" t="n"/>
      <c r="J101" s="110" t="n"/>
      <c r="K101" s="110" t="n"/>
      <c r="L101" s="110" t="n"/>
      <c r="M101" s="110" t="n"/>
      <c r="N101" s="110" t="n"/>
      <c r="O101" s="110" t="n"/>
      <c r="P101" s="110" t="n"/>
      <c r="Q101" s="110" t="n"/>
      <c r="R101" s="110" t="n"/>
      <c r="S101" s="110" t="n"/>
      <c r="T101" s="110" t="n"/>
      <c r="U101" s="110" t="n"/>
      <c r="V101" s="110" t="n"/>
      <c r="W101" s="110" t="n"/>
      <c r="X101" s="110" t="n"/>
      <c r="Y101" s="110" t="n"/>
      <c r="Z101" s="110" t="n"/>
    </row>
    <row r="102">
      <c r="A102" s="110" t="n"/>
      <c r="B102" s="110" t="n"/>
      <c r="C102" s="110" t="n"/>
      <c r="D102" s="110" t="n"/>
      <c r="E102" s="110" t="n"/>
      <c r="F102" s="110" t="n"/>
      <c r="G102" s="110" t="n"/>
      <c r="H102" s="110" t="n"/>
      <c r="I102" s="110" t="n"/>
      <c r="J102" s="110" t="n"/>
      <c r="K102" s="110" t="n"/>
      <c r="L102" s="110" t="n"/>
      <c r="M102" s="110" t="n"/>
      <c r="N102" s="110" t="n"/>
      <c r="O102" s="110" t="n"/>
      <c r="P102" s="110" t="n"/>
      <c r="Q102" s="110" t="n"/>
      <c r="R102" s="110" t="n"/>
      <c r="S102" s="110" t="n"/>
      <c r="T102" s="110" t="n"/>
      <c r="U102" s="110" t="n"/>
      <c r="V102" s="110" t="n"/>
      <c r="W102" s="110" t="n"/>
      <c r="X102" s="110" t="n"/>
      <c r="Y102" s="110" t="n"/>
      <c r="Z102" s="110" t="n"/>
    </row>
    <row r="103">
      <c r="A103" s="110" t="n"/>
      <c r="B103" s="110" t="n"/>
      <c r="C103" s="110" t="n"/>
      <c r="D103" s="110" t="n"/>
      <c r="E103" s="110" t="n"/>
      <c r="F103" s="110" t="n"/>
      <c r="G103" s="110" t="n"/>
      <c r="H103" s="110" t="n"/>
      <c r="I103" s="110" t="n"/>
      <c r="J103" s="110" t="n"/>
      <c r="K103" s="110" t="n"/>
      <c r="L103" s="110" t="n"/>
      <c r="M103" s="110" t="n"/>
      <c r="N103" s="110" t="n"/>
      <c r="O103" s="110" t="n"/>
      <c r="P103" s="110" t="n"/>
      <c r="Q103" s="110" t="n"/>
      <c r="R103" s="110" t="n"/>
      <c r="S103" s="110" t="n"/>
      <c r="T103" s="110" t="n"/>
      <c r="U103" s="110" t="n"/>
      <c r="V103" s="110" t="n"/>
      <c r="W103" s="110" t="n"/>
      <c r="X103" s="110" t="n"/>
      <c r="Y103" s="110" t="n"/>
      <c r="Z103" s="110" t="n"/>
    </row>
    <row r="104">
      <c r="A104" s="110" t="n"/>
      <c r="B104" s="110" t="n"/>
      <c r="C104" s="110" t="n"/>
      <c r="D104" s="110" t="n"/>
      <c r="E104" s="110" t="n"/>
      <c r="F104" s="110" t="n"/>
      <c r="G104" s="110" t="n"/>
      <c r="H104" s="110" t="n"/>
      <c r="I104" s="110" t="n"/>
      <c r="J104" s="110" t="n"/>
      <c r="K104" s="110" t="n"/>
      <c r="L104" s="110" t="n"/>
      <c r="M104" s="110" t="n"/>
      <c r="N104" s="110" t="n"/>
      <c r="O104" s="110" t="n"/>
      <c r="P104" s="110" t="n"/>
      <c r="Q104" s="110" t="n"/>
      <c r="R104" s="110" t="n"/>
      <c r="S104" s="110" t="n"/>
      <c r="T104" s="110" t="n"/>
      <c r="U104" s="110" t="n"/>
      <c r="V104" s="110" t="n"/>
      <c r="W104" s="110" t="n"/>
      <c r="X104" s="110" t="n"/>
      <c r="Y104" s="110" t="n"/>
      <c r="Z104" s="110" t="n"/>
    </row>
    <row r="105">
      <c r="A105" s="110" t="n"/>
      <c r="B105" s="110" t="n"/>
      <c r="C105" s="110" t="n"/>
      <c r="D105" s="110" t="n"/>
      <c r="E105" s="110" t="n"/>
      <c r="F105" s="110" t="n"/>
      <c r="G105" s="110" t="n"/>
      <c r="H105" s="110" t="n"/>
      <c r="I105" s="110" t="n"/>
      <c r="J105" s="110" t="n"/>
      <c r="K105" s="110" t="n"/>
      <c r="L105" s="110" t="n"/>
      <c r="M105" s="110" t="n"/>
      <c r="N105" s="110" t="n"/>
      <c r="O105" s="110" t="n"/>
      <c r="P105" s="110" t="n"/>
      <c r="Q105" s="110" t="n"/>
      <c r="R105" s="110" t="n"/>
      <c r="S105" s="110" t="n"/>
      <c r="T105" s="110" t="n"/>
      <c r="U105" s="110" t="n"/>
      <c r="V105" s="110" t="n"/>
      <c r="W105" s="110" t="n"/>
      <c r="X105" s="110" t="n"/>
      <c r="Y105" s="110" t="n"/>
      <c r="Z105" s="110" t="n"/>
    </row>
    <row r="106">
      <c r="A106" s="110" t="n"/>
      <c r="B106" s="110" t="n"/>
      <c r="C106" s="110" t="n"/>
      <c r="D106" s="110" t="n"/>
      <c r="E106" s="110" t="n"/>
      <c r="F106" s="110" t="n"/>
      <c r="G106" s="110" t="n"/>
      <c r="H106" s="110" t="n"/>
      <c r="I106" s="110" t="n"/>
      <c r="J106" s="110" t="n"/>
      <c r="K106" s="110" t="n"/>
      <c r="L106" s="110" t="n"/>
      <c r="M106" s="110" t="n"/>
      <c r="N106" s="110" t="n"/>
      <c r="O106" s="110" t="n"/>
      <c r="P106" s="110" t="n"/>
      <c r="Q106" s="110" t="n"/>
      <c r="R106" s="110" t="n"/>
      <c r="S106" s="110" t="n"/>
      <c r="T106" s="110" t="n"/>
      <c r="U106" s="110" t="n"/>
      <c r="V106" s="110" t="n"/>
      <c r="W106" s="110" t="n"/>
      <c r="X106" s="110" t="n"/>
      <c r="Y106" s="110" t="n"/>
      <c r="Z106" s="110" t="n"/>
    </row>
    <row r="107">
      <c r="A107" s="110" t="n"/>
      <c r="B107" s="110" t="n"/>
      <c r="C107" s="110" t="n"/>
      <c r="D107" s="110" t="n"/>
      <c r="E107" s="110" t="n"/>
      <c r="F107" s="110" t="n"/>
      <c r="G107" s="110" t="n"/>
      <c r="H107" s="110" t="n"/>
      <c r="I107" s="110" t="n"/>
      <c r="J107" s="110" t="n"/>
      <c r="K107" s="110" t="n"/>
      <c r="L107" s="110" t="n"/>
      <c r="M107" s="110" t="n"/>
      <c r="N107" s="110" t="n"/>
      <c r="O107" s="110" t="n"/>
      <c r="P107" s="110" t="n"/>
      <c r="Q107" s="110" t="n"/>
      <c r="R107" s="110" t="n"/>
      <c r="S107" s="110" t="n"/>
      <c r="T107" s="110" t="n"/>
      <c r="U107" s="110" t="n"/>
      <c r="V107" s="110" t="n"/>
      <c r="W107" s="110" t="n"/>
      <c r="X107" s="110" t="n"/>
      <c r="Y107" s="110" t="n"/>
      <c r="Z107" s="110" t="n"/>
    </row>
    <row r="108">
      <c r="A108" s="110" t="n"/>
      <c r="B108" s="110" t="n"/>
      <c r="C108" s="110" t="n"/>
      <c r="D108" s="110" t="n"/>
      <c r="E108" s="110" t="n"/>
      <c r="F108" s="110" t="n"/>
      <c r="G108" s="110" t="n"/>
      <c r="H108" s="110" t="n"/>
      <c r="I108" s="110" t="n"/>
      <c r="J108" s="110" t="n"/>
      <c r="K108" s="110" t="n"/>
      <c r="L108" s="110" t="n"/>
      <c r="M108" s="110" t="n"/>
      <c r="N108" s="110" t="n"/>
      <c r="O108" s="110" t="n"/>
      <c r="P108" s="110" t="n"/>
      <c r="Q108" s="110" t="n"/>
      <c r="R108" s="110" t="n"/>
      <c r="S108" s="110" t="n"/>
      <c r="T108" s="110" t="n"/>
      <c r="U108" s="110" t="n"/>
      <c r="V108" s="110" t="n"/>
      <c r="W108" s="110" t="n"/>
      <c r="X108" s="110" t="n"/>
      <c r="Y108" s="110" t="n"/>
      <c r="Z108" s="110" t="n"/>
    </row>
    <row r="109">
      <c r="A109" s="110" t="n"/>
      <c r="B109" s="110" t="n"/>
      <c r="C109" s="110" t="n"/>
      <c r="D109" s="110" t="n"/>
      <c r="E109" s="110" t="n"/>
      <c r="F109" s="110" t="n"/>
      <c r="G109" s="110" t="n"/>
      <c r="H109" s="110" t="n"/>
      <c r="I109" s="110" t="n"/>
      <c r="J109" s="110" t="n"/>
      <c r="K109" s="110" t="n"/>
      <c r="L109" s="110" t="n"/>
      <c r="M109" s="110" t="n"/>
      <c r="N109" s="110" t="n"/>
      <c r="O109" s="110" t="n"/>
      <c r="P109" s="110" t="n"/>
      <c r="Q109" s="110" t="n"/>
      <c r="R109" s="110" t="n"/>
      <c r="S109" s="110" t="n"/>
      <c r="T109" s="110" t="n"/>
      <c r="U109" s="110" t="n"/>
      <c r="V109" s="110" t="n"/>
      <c r="W109" s="110" t="n"/>
      <c r="X109" s="110" t="n"/>
      <c r="Y109" s="110" t="n"/>
      <c r="Z109" s="110" t="n"/>
    </row>
    <row r="110">
      <c r="A110" s="110" t="n"/>
      <c r="B110" s="110" t="n"/>
      <c r="C110" s="110" t="n"/>
      <c r="D110" s="110" t="n"/>
      <c r="E110" s="110" t="n"/>
      <c r="F110" s="110" t="n"/>
      <c r="G110" s="110" t="n"/>
      <c r="H110" s="110" t="n"/>
      <c r="I110" s="110" t="n"/>
      <c r="J110" s="110" t="n"/>
      <c r="K110" s="110" t="n"/>
      <c r="L110" s="110" t="n"/>
      <c r="M110" s="110" t="n"/>
      <c r="N110" s="110" t="n"/>
      <c r="O110" s="110" t="n"/>
      <c r="P110" s="110" t="n"/>
      <c r="Q110" s="110" t="n"/>
      <c r="R110" s="110" t="n"/>
      <c r="S110" s="110" t="n"/>
      <c r="T110" s="110" t="n"/>
      <c r="U110" s="110" t="n"/>
      <c r="V110" s="110" t="n"/>
      <c r="W110" s="110" t="n"/>
      <c r="X110" s="110" t="n"/>
      <c r="Y110" s="110" t="n"/>
      <c r="Z110" s="110" t="n"/>
    </row>
    <row r="111">
      <c r="A111" s="110" t="n"/>
      <c r="B111" s="110" t="n"/>
      <c r="C111" s="110" t="n"/>
      <c r="D111" s="110" t="n"/>
      <c r="E111" s="110" t="n"/>
      <c r="F111" s="110" t="n"/>
      <c r="G111" s="110" t="n"/>
      <c r="H111" s="110" t="n"/>
      <c r="I111" s="110" t="n"/>
      <c r="J111" s="110" t="n"/>
      <c r="K111" s="110" t="n"/>
      <c r="L111" s="110" t="n"/>
      <c r="M111" s="110" t="n"/>
      <c r="N111" s="110" t="n"/>
      <c r="O111" s="110" t="n"/>
      <c r="P111" s="110" t="n"/>
      <c r="Q111" s="110" t="n"/>
      <c r="R111" s="110" t="n"/>
      <c r="S111" s="110" t="n"/>
      <c r="T111" s="110" t="n"/>
      <c r="U111" s="110" t="n"/>
      <c r="V111" s="110" t="n"/>
      <c r="W111" s="110" t="n"/>
      <c r="X111" s="110" t="n"/>
      <c r="Y111" s="110" t="n"/>
      <c r="Z111" s="110" t="n"/>
    </row>
    <row r="112">
      <c r="A112" s="110" t="n"/>
      <c r="B112" s="110" t="n"/>
      <c r="C112" s="110" t="n"/>
      <c r="D112" s="110" t="n"/>
      <c r="E112" s="110" t="n"/>
      <c r="F112" s="110" t="n"/>
      <c r="G112" s="110" t="n"/>
      <c r="H112" s="110" t="n"/>
      <c r="I112" s="110" t="n"/>
      <c r="J112" s="110" t="n"/>
      <c r="K112" s="110" t="n"/>
      <c r="L112" s="110" t="n"/>
      <c r="M112" s="110" t="n"/>
      <c r="N112" s="110" t="n"/>
      <c r="O112" s="110" t="n"/>
      <c r="P112" s="110" t="n"/>
      <c r="Q112" s="110" t="n"/>
      <c r="R112" s="110" t="n"/>
      <c r="S112" s="110" t="n"/>
      <c r="T112" s="110" t="n"/>
      <c r="U112" s="110" t="n"/>
      <c r="V112" s="110" t="n"/>
      <c r="W112" s="110" t="n"/>
      <c r="X112" s="110" t="n"/>
      <c r="Y112" s="110" t="n"/>
      <c r="Z112" s="110" t="n"/>
    </row>
    <row r="113">
      <c r="A113" s="110" t="n"/>
      <c r="B113" s="110" t="n"/>
      <c r="C113" s="110" t="n"/>
      <c r="D113" s="110" t="n"/>
      <c r="E113" s="110" t="n"/>
      <c r="F113" s="110" t="n"/>
      <c r="G113" s="110" t="n"/>
      <c r="H113" s="110" t="n"/>
      <c r="I113" s="110" t="n"/>
      <c r="J113" s="110" t="n"/>
      <c r="K113" s="110" t="n"/>
      <c r="L113" s="110" t="n"/>
      <c r="M113" s="110" t="n"/>
      <c r="N113" s="110" t="n"/>
      <c r="O113" s="110" t="n"/>
      <c r="P113" s="110" t="n"/>
      <c r="Q113" s="110" t="n"/>
      <c r="R113" s="110" t="n"/>
      <c r="S113" s="110" t="n"/>
      <c r="T113" s="110" t="n"/>
      <c r="U113" s="110" t="n"/>
      <c r="V113" s="110" t="n"/>
      <c r="W113" s="110" t="n"/>
      <c r="X113" s="110" t="n"/>
      <c r="Y113" s="110" t="n"/>
      <c r="Z113" s="110" t="n"/>
    </row>
    <row r="114">
      <c r="A114" s="110" t="n"/>
      <c r="B114" s="110" t="n"/>
      <c r="C114" s="110" t="n"/>
      <c r="D114" s="110" t="n"/>
      <c r="E114" s="110" t="n"/>
      <c r="F114" s="110" t="n"/>
      <c r="G114" s="110" t="n"/>
      <c r="H114" s="110" t="n"/>
      <c r="I114" s="110" t="n"/>
      <c r="J114" s="110" t="n"/>
      <c r="K114" s="110" t="n"/>
      <c r="L114" s="110" t="n"/>
      <c r="M114" s="110" t="n"/>
      <c r="N114" s="110" t="n"/>
      <c r="O114" s="110" t="n"/>
      <c r="P114" s="110" t="n"/>
      <c r="Q114" s="110" t="n"/>
      <c r="R114" s="110" t="n"/>
      <c r="S114" s="110" t="n"/>
      <c r="T114" s="110" t="n"/>
      <c r="U114" s="110" t="n"/>
      <c r="V114" s="110" t="n"/>
      <c r="W114" s="110" t="n"/>
      <c r="X114" s="110" t="n"/>
      <c r="Y114" s="110" t="n"/>
      <c r="Z114" s="110" t="n"/>
    </row>
    <row r="115">
      <c r="A115" s="110" t="n"/>
      <c r="B115" s="110" t="n"/>
      <c r="C115" s="110" t="n"/>
      <c r="D115" s="110" t="n"/>
      <c r="E115" s="110" t="n"/>
      <c r="F115" s="110" t="n"/>
      <c r="G115" s="110" t="n"/>
      <c r="H115" s="110" t="n"/>
      <c r="I115" s="110" t="n"/>
      <c r="J115" s="110" t="n"/>
      <c r="K115" s="110" t="n"/>
      <c r="L115" s="110" t="n"/>
      <c r="M115" s="110" t="n"/>
      <c r="N115" s="110" t="n"/>
      <c r="O115" s="110" t="n"/>
      <c r="P115" s="110" t="n"/>
      <c r="Q115" s="110" t="n"/>
      <c r="R115" s="110" t="n"/>
      <c r="S115" s="110" t="n"/>
      <c r="T115" s="110" t="n"/>
      <c r="U115" s="110" t="n"/>
      <c r="V115" s="110" t="n"/>
      <c r="W115" s="110" t="n"/>
      <c r="X115" s="110" t="n"/>
      <c r="Y115" s="110" t="n"/>
      <c r="Z115" s="110" t="n"/>
    </row>
    <row r="116">
      <c r="A116" s="110" t="n"/>
      <c r="B116" s="110" t="n"/>
      <c r="C116" s="110" t="n"/>
      <c r="D116" s="110" t="n"/>
      <c r="E116" s="110" t="n"/>
      <c r="F116" s="110" t="n"/>
      <c r="G116" s="110" t="n"/>
      <c r="H116" s="110" t="n"/>
      <c r="I116" s="110" t="n"/>
      <c r="J116" s="110" t="n"/>
      <c r="K116" s="110" t="n"/>
      <c r="L116" s="110" t="n"/>
      <c r="M116" s="110" t="n"/>
      <c r="N116" s="110" t="n"/>
      <c r="O116" s="110" t="n"/>
      <c r="P116" s="110" t="n"/>
      <c r="Q116" s="110" t="n"/>
      <c r="R116" s="110" t="n"/>
      <c r="S116" s="110" t="n"/>
      <c r="T116" s="110" t="n"/>
      <c r="U116" s="110" t="n"/>
      <c r="V116" s="110" t="n"/>
      <c r="W116" s="110" t="n"/>
      <c r="X116" s="110" t="n"/>
      <c r="Y116" s="110" t="n"/>
      <c r="Z116" s="110" t="n"/>
    </row>
    <row r="117">
      <c r="A117" s="110" t="n"/>
      <c r="B117" s="110" t="n"/>
      <c r="C117" s="110" t="n"/>
      <c r="D117" s="110" t="n"/>
      <c r="E117" s="110" t="n"/>
      <c r="F117" s="110" t="n"/>
      <c r="G117" s="110" t="n"/>
      <c r="H117" s="110" t="n"/>
      <c r="I117" s="110" t="n"/>
      <c r="J117" s="110" t="n"/>
      <c r="K117" s="110" t="n"/>
      <c r="L117" s="110" t="n"/>
      <c r="M117" s="110" t="n"/>
      <c r="N117" s="110" t="n"/>
      <c r="O117" s="110" t="n"/>
      <c r="P117" s="110" t="n"/>
      <c r="Q117" s="110" t="n"/>
      <c r="R117" s="110" t="n"/>
      <c r="S117" s="110" t="n"/>
      <c r="T117" s="110" t="n"/>
      <c r="U117" s="110" t="n"/>
      <c r="V117" s="110" t="n"/>
      <c r="W117" s="110" t="n"/>
      <c r="X117" s="110" t="n"/>
      <c r="Y117" s="110" t="n"/>
      <c r="Z117" s="110" t="n"/>
    </row>
    <row r="118">
      <c r="A118" s="110" t="n"/>
      <c r="B118" s="110" t="n"/>
      <c r="C118" s="110" t="n"/>
      <c r="D118" s="110" t="n"/>
      <c r="E118" s="110" t="n"/>
      <c r="F118" s="110" t="n"/>
      <c r="G118" s="110" t="n"/>
      <c r="H118" s="110" t="n"/>
      <c r="I118" s="110" t="n"/>
      <c r="J118" s="110" t="n"/>
      <c r="K118" s="110" t="n"/>
      <c r="L118" s="110" t="n"/>
      <c r="M118" s="110" t="n"/>
      <c r="N118" s="110" t="n"/>
      <c r="O118" s="110" t="n"/>
      <c r="P118" s="110" t="n"/>
      <c r="Q118" s="110" t="n"/>
      <c r="R118" s="110" t="n"/>
      <c r="S118" s="110" t="n"/>
      <c r="T118" s="110" t="n"/>
      <c r="U118" s="110" t="n"/>
      <c r="V118" s="110" t="n"/>
      <c r="W118" s="110" t="n"/>
      <c r="X118" s="110" t="n"/>
      <c r="Y118" s="110" t="n"/>
      <c r="Z118" s="110" t="n"/>
    </row>
    <row r="119">
      <c r="A119" s="110" t="n"/>
      <c r="B119" s="110" t="n"/>
      <c r="C119" s="110" t="n"/>
      <c r="D119" s="110" t="n"/>
      <c r="E119" s="110" t="n"/>
      <c r="F119" s="110" t="n"/>
      <c r="G119" s="110" t="n"/>
      <c r="H119" s="110" t="n"/>
      <c r="I119" s="110" t="n"/>
      <c r="J119" s="110" t="n"/>
      <c r="K119" s="110" t="n"/>
      <c r="L119" s="110" t="n"/>
      <c r="M119" s="110" t="n"/>
      <c r="N119" s="110" t="n"/>
      <c r="O119" s="110" t="n"/>
      <c r="P119" s="110" t="n"/>
      <c r="Q119" s="110" t="n"/>
      <c r="R119" s="110" t="n"/>
      <c r="S119" s="110" t="n"/>
      <c r="T119" s="110" t="n"/>
      <c r="U119" s="110" t="n"/>
      <c r="V119" s="110" t="n"/>
      <c r="W119" s="110" t="n"/>
      <c r="X119" s="110" t="n"/>
      <c r="Y119" s="110" t="n"/>
      <c r="Z119" s="110" t="n"/>
    </row>
    <row r="120">
      <c r="A120" s="110" t="n"/>
      <c r="B120" s="110" t="n"/>
      <c r="C120" s="110" t="n"/>
      <c r="D120" s="110" t="n"/>
      <c r="E120" s="110" t="n"/>
      <c r="F120" s="110" t="n"/>
      <c r="G120" s="110" t="n"/>
      <c r="H120" s="110" t="n"/>
      <c r="I120" s="110" t="n"/>
      <c r="J120" s="110" t="n"/>
      <c r="K120" s="110" t="n"/>
      <c r="L120" s="110" t="n"/>
      <c r="M120" s="110" t="n"/>
      <c r="N120" s="110" t="n"/>
      <c r="O120" s="110" t="n"/>
      <c r="P120" s="110" t="n"/>
      <c r="Q120" s="110" t="n"/>
      <c r="R120" s="110" t="n"/>
      <c r="S120" s="110" t="n"/>
      <c r="T120" s="110" t="n"/>
      <c r="U120" s="110" t="n"/>
      <c r="V120" s="110" t="n"/>
      <c r="W120" s="110" t="n"/>
      <c r="X120" s="110" t="n"/>
      <c r="Y120" s="110" t="n"/>
      <c r="Z120" s="110" t="n"/>
    </row>
    <row r="121">
      <c r="A121" s="110" t="n"/>
      <c r="B121" s="110" t="n"/>
      <c r="C121" s="110" t="n"/>
      <c r="D121" s="110" t="n"/>
      <c r="E121" s="110" t="n"/>
      <c r="F121" s="110" t="n"/>
      <c r="G121" s="110" t="n"/>
      <c r="H121" s="110" t="n"/>
      <c r="I121" s="110" t="n"/>
      <c r="J121" s="110" t="n"/>
      <c r="K121" s="110" t="n"/>
      <c r="L121" s="110" t="n"/>
      <c r="M121" s="110" t="n"/>
      <c r="N121" s="110" t="n"/>
      <c r="O121" s="110" t="n"/>
      <c r="P121" s="110" t="n"/>
      <c r="Q121" s="110" t="n"/>
      <c r="R121" s="110" t="n"/>
      <c r="S121" s="110" t="n"/>
      <c r="T121" s="110" t="n"/>
      <c r="U121" s="110" t="n"/>
      <c r="V121" s="110" t="n"/>
      <c r="W121" s="110" t="n"/>
      <c r="X121" s="110" t="n"/>
      <c r="Y121" s="110" t="n"/>
      <c r="Z121" s="110" t="n"/>
    </row>
    <row r="122">
      <c r="A122" s="110" t="n"/>
      <c r="B122" s="110" t="n"/>
      <c r="C122" s="110" t="n"/>
      <c r="D122" s="110" t="n"/>
      <c r="E122" s="110" t="n"/>
      <c r="F122" s="110" t="n"/>
      <c r="G122" s="110" t="n"/>
      <c r="H122" s="110" t="n"/>
      <c r="I122" s="110" t="n"/>
      <c r="J122" s="110" t="n"/>
      <c r="K122" s="110" t="n"/>
      <c r="L122" s="110" t="n"/>
      <c r="M122" s="110" t="n"/>
      <c r="N122" s="110" t="n"/>
      <c r="O122" s="110" t="n"/>
      <c r="P122" s="110" t="n"/>
      <c r="Q122" s="110" t="n"/>
      <c r="R122" s="110" t="n"/>
      <c r="S122" s="110" t="n"/>
      <c r="T122" s="110" t="n"/>
      <c r="U122" s="110" t="n"/>
      <c r="V122" s="110" t="n"/>
      <c r="W122" s="110" t="n"/>
      <c r="X122" s="110" t="n"/>
      <c r="Y122" s="110" t="n"/>
      <c r="Z122" s="110" t="n"/>
    </row>
    <row r="123">
      <c r="A123" s="110" t="n"/>
      <c r="B123" s="110" t="n"/>
      <c r="C123" s="110" t="n"/>
      <c r="D123" s="110" t="n"/>
      <c r="E123" s="110" t="n"/>
      <c r="F123" s="110" t="n"/>
      <c r="G123" s="110" t="n"/>
      <c r="H123" s="110" t="n"/>
      <c r="I123" s="110" t="n"/>
      <c r="J123" s="110" t="n"/>
      <c r="K123" s="110" t="n"/>
      <c r="L123" s="110" t="n"/>
      <c r="M123" s="110" t="n"/>
      <c r="N123" s="110" t="n"/>
      <c r="O123" s="110" t="n"/>
      <c r="P123" s="110" t="n"/>
      <c r="Q123" s="110" t="n"/>
      <c r="R123" s="110" t="n"/>
      <c r="S123" s="110" t="n"/>
      <c r="T123" s="110" t="n"/>
      <c r="U123" s="110" t="n"/>
      <c r="V123" s="110" t="n"/>
      <c r="W123" s="110" t="n"/>
      <c r="X123" s="110" t="n"/>
      <c r="Y123" s="110" t="n"/>
      <c r="Z123" s="110" t="n"/>
    </row>
    <row r="124">
      <c r="A124" s="110" t="n"/>
      <c r="B124" s="110" t="n"/>
      <c r="C124" s="110" t="n"/>
      <c r="D124" s="110" t="n"/>
      <c r="E124" s="110" t="n"/>
      <c r="F124" s="110" t="n"/>
      <c r="G124" s="110" t="n"/>
      <c r="H124" s="110" t="n"/>
      <c r="I124" s="110" t="n"/>
      <c r="J124" s="110" t="n"/>
      <c r="K124" s="110" t="n"/>
      <c r="L124" s="110" t="n"/>
      <c r="M124" s="110" t="n"/>
      <c r="N124" s="110" t="n"/>
      <c r="O124" s="110" t="n"/>
      <c r="P124" s="110" t="n"/>
      <c r="Q124" s="110" t="n"/>
      <c r="R124" s="110" t="n"/>
      <c r="S124" s="110" t="n"/>
      <c r="T124" s="110" t="n"/>
      <c r="U124" s="110" t="n"/>
      <c r="V124" s="110" t="n"/>
      <c r="W124" s="110" t="n"/>
      <c r="X124" s="110" t="n"/>
      <c r="Y124" s="110" t="n"/>
      <c r="Z124" s="110" t="n"/>
    </row>
    <row r="125">
      <c r="A125" s="110" t="n"/>
      <c r="B125" s="110" t="n"/>
      <c r="C125" s="110" t="n"/>
      <c r="D125" s="110" t="n"/>
      <c r="E125" s="110" t="n"/>
      <c r="F125" s="110" t="n"/>
      <c r="G125" s="110" t="n"/>
      <c r="H125" s="110" t="n"/>
      <c r="I125" s="110" t="n"/>
      <c r="J125" s="110" t="n"/>
      <c r="K125" s="110" t="n"/>
      <c r="L125" s="110" t="n"/>
      <c r="M125" s="110" t="n"/>
      <c r="N125" s="110" t="n"/>
      <c r="O125" s="110" t="n"/>
      <c r="P125" s="110" t="n"/>
      <c r="Q125" s="110" t="n"/>
      <c r="R125" s="110" t="n"/>
      <c r="S125" s="110" t="n"/>
      <c r="T125" s="110" t="n"/>
      <c r="U125" s="110" t="n"/>
      <c r="V125" s="110" t="n"/>
      <c r="W125" s="110" t="n"/>
      <c r="X125" s="110" t="n"/>
      <c r="Y125" s="110" t="n"/>
      <c r="Z125" s="110" t="n"/>
    </row>
    <row r="126">
      <c r="A126" s="110" t="n"/>
      <c r="B126" s="110" t="n"/>
      <c r="C126" s="110" t="n"/>
      <c r="D126" s="110" t="n"/>
      <c r="E126" s="110" t="n"/>
      <c r="F126" s="110" t="n"/>
      <c r="G126" s="110" t="n"/>
      <c r="H126" s="110" t="n"/>
      <c r="I126" s="110" t="n"/>
      <c r="J126" s="110" t="n"/>
      <c r="K126" s="110" t="n"/>
      <c r="L126" s="110" t="n"/>
      <c r="M126" s="110" t="n"/>
      <c r="N126" s="110" t="n"/>
      <c r="O126" s="110" t="n"/>
      <c r="P126" s="110" t="n"/>
      <c r="Q126" s="110" t="n"/>
      <c r="R126" s="110" t="n"/>
      <c r="S126" s="110" t="n"/>
      <c r="T126" s="110" t="n"/>
      <c r="U126" s="110" t="n"/>
      <c r="V126" s="110" t="n"/>
      <c r="W126" s="110" t="n"/>
      <c r="X126" s="110" t="n"/>
      <c r="Y126" s="110" t="n"/>
      <c r="Z126" s="110" t="n"/>
    </row>
    <row r="127">
      <c r="A127" s="110" t="n"/>
      <c r="B127" s="110" t="n"/>
      <c r="C127" s="110" t="n"/>
      <c r="D127" s="110" t="n"/>
      <c r="E127" s="110" t="n"/>
      <c r="F127" s="110" t="n"/>
      <c r="G127" s="110" t="n"/>
      <c r="H127" s="110" t="n"/>
      <c r="I127" s="110" t="n"/>
      <c r="J127" s="110" t="n"/>
      <c r="K127" s="110" t="n"/>
      <c r="L127" s="110" t="n"/>
      <c r="M127" s="110" t="n"/>
      <c r="N127" s="110" t="n"/>
      <c r="O127" s="110" t="n"/>
      <c r="P127" s="110" t="n"/>
      <c r="Q127" s="110" t="n"/>
      <c r="R127" s="110" t="n"/>
      <c r="S127" s="110" t="n"/>
      <c r="T127" s="110" t="n"/>
      <c r="U127" s="110" t="n"/>
      <c r="V127" s="110" t="n"/>
      <c r="W127" s="110" t="n"/>
      <c r="X127" s="110" t="n"/>
      <c r="Y127" s="110" t="n"/>
      <c r="Z127" s="110" t="n"/>
    </row>
    <row r="128">
      <c r="A128" s="110" t="n"/>
      <c r="B128" s="110" t="n"/>
      <c r="C128" s="110" t="n"/>
      <c r="D128" s="110" t="n"/>
      <c r="E128" s="110" t="n"/>
      <c r="F128" s="110" t="n"/>
      <c r="G128" s="110" t="n"/>
      <c r="H128" s="110" t="n"/>
      <c r="I128" s="110" t="n"/>
      <c r="J128" s="110" t="n"/>
      <c r="K128" s="110" t="n"/>
      <c r="L128" s="110" t="n"/>
      <c r="M128" s="110" t="n"/>
      <c r="N128" s="110" t="n"/>
      <c r="O128" s="110" t="n"/>
      <c r="P128" s="110" t="n"/>
      <c r="Q128" s="110" t="n"/>
      <c r="R128" s="110" t="n"/>
      <c r="S128" s="110" t="n"/>
      <c r="T128" s="110" t="n"/>
      <c r="U128" s="110" t="n"/>
      <c r="V128" s="110" t="n"/>
      <c r="W128" s="110" t="n"/>
      <c r="X128" s="110" t="n"/>
      <c r="Y128" s="110" t="n"/>
      <c r="Z128" s="110" t="n"/>
    </row>
    <row r="129">
      <c r="A129" s="110" t="n"/>
      <c r="B129" s="110" t="n"/>
      <c r="C129" s="110" t="n"/>
      <c r="D129" s="110" t="n"/>
      <c r="E129" s="110" t="n"/>
      <c r="F129" s="110" t="n"/>
      <c r="G129" s="110" t="n"/>
      <c r="H129" s="110" t="n"/>
      <c r="I129" s="110" t="n"/>
      <c r="J129" s="110" t="n"/>
      <c r="K129" s="110" t="n"/>
      <c r="L129" s="110" t="n"/>
      <c r="M129" s="110" t="n"/>
      <c r="N129" s="110" t="n"/>
      <c r="O129" s="110" t="n"/>
      <c r="P129" s="110" t="n"/>
      <c r="Q129" s="110" t="n"/>
      <c r="R129" s="110" t="n"/>
      <c r="S129" s="110" t="n"/>
      <c r="T129" s="110" t="n"/>
      <c r="U129" s="110" t="n"/>
      <c r="V129" s="110" t="n"/>
      <c r="W129" s="110" t="n"/>
      <c r="X129" s="110" t="n"/>
      <c r="Y129" s="110" t="n"/>
      <c r="Z129" s="110" t="n"/>
    </row>
    <row r="130">
      <c r="A130" s="110" t="n"/>
      <c r="B130" s="110" t="n"/>
      <c r="C130" s="110" t="n"/>
      <c r="D130" s="110" t="n"/>
      <c r="E130" s="110" t="n"/>
      <c r="F130" s="110" t="n"/>
      <c r="G130" s="110" t="n"/>
      <c r="H130" s="110" t="n"/>
      <c r="I130" s="110" t="n"/>
      <c r="J130" s="110" t="n"/>
      <c r="K130" s="110" t="n"/>
      <c r="L130" s="110" t="n"/>
      <c r="M130" s="110" t="n"/>
      <c r="N130" s="110" t="n"/>
      <c r="O130" s="110" t="n"/>
      <c r="P130" s="110" t="n"/>
      <c r="Q130" s="110" t="n"/>
      <c r="R130" s="110" t="n"/>
      <c r="S130" s="110" t="n"/>
      <c r="T130" s="110" t="n"/>
      <c r="U130" s="110" t="n"/>
      <c r="V130" s="110" t="n"/>
      <c r="W130" s="110" t="n"/>
      <c r="X130" s="110" t="n"/>
      <c r="Y130" s="110" t="n"/>
      <c r="Z130" s="110" t="n"/>
    </row>
    <row r="131">
      <c r="A131" s="110" t="n"/>
      <c r="B131" s="110" t="n"/>
      <c r="C131" s="110" t="n"/>
      <c r="D131" s="110" t="n"/>
      <c r="E131" s="110" t="n"/>
      <c r="F131" s="110" t="n"/>
      <c r="G131" s="110" t="n"/>
      <c r="H131" s="110" t="n"/>
      <c r="I131" s="110" t="n"/>
      <c r="J131" s="110" t="n"/>
      <c r="K131" s="110" t="n"/>
      <c r="L131" s="110" t="n"/>
      <c r="M131" s="110" t="n"/>
      <c r="N131" s="110" t="n"/>
      <c r="O131" s="110" t="n"/>
      <c r="P131" s="110" t="n"/>
      <c r="Q131" s="110" t="n"/>
      <c r="R131" s="110" t="n"/>
      <c r="S131" s="110" t="n"/>
      <c r="T131" s="110" t="n"/>
      <c r="U131" s="110" t="n"/>
      <c r="V131" s="110" t="n"/>
      <c r="W131" s="110" t="n"/>
      <c r="X131" s="110" t="n"/>
      <c r="Y131" s="110" t="n"/>
      <c r="Z131" s="110" t="n"/>
    </row>
    <row r="132">
      <c r="A132" s="110" t="n"/>
      <c r="B132" s="110" t="n"/>
      <c r="C132" s="110" t="n"/>
      <c r="D132" s="110" t="n"/>
      <c r="E132" s="110" t="n"/>
      <c r="F132" s="110" t="n"/>
      <c r="G132" s="110" t="n"/>
      <c r="H132" s="110" t="n"/>
      <c r="I132" s="110" t="n"/>
      <c r="J132" s="110" t="n"/>
      <c r="K132" s="110" t="n"/>
      <c r="L132" s="110" t="n"/>
      <c r="M132" s="110" t="n"/>
      <c r="N132" s="110" t="n"/>
      <c r="O132" s="110" t="n"/>
      <c r="P132" s="110" t="n"/>
      <c r="Q132" s="110" t="n"/>
      <c r="R132" s="110" t="n"/>
      <c r="S132" s="110" t="n"/>
      <c r="T132" s="110" t="n"/>
      <c r="U132" s="110" t="n"/>
      <c r="V132" s="110" t="n"/>
      <c r="W132" s="110" t="n"/>
      <c r="X132" s="110" t="n"/>
      <c r="Y132" s="110" t="n"/>
      <c r="Z132" s="110" t="n"/>
    </row>
    <row r="133">
      <c r="A133" s="110" t="n"/>
      <c r="B133" s="110" t="n"/>
      <c r="C133" s="110" t="n"/>
      <c r="D133" s="110" t="n"/>
      <c r="E133" s="110" t="n"/>
      <c r="F133" s="110" t="n"/>
      <c r="G133" s="110" t="n"/>
      <c r="H133" s="110" t="n"/>
      <c r="I133" s="110" t="n"/>
      <c r="J133" s="110" t="n"/>
      <c r="K133" s="110" t="n"/>
      <c r="L133" s="110" t="n"/>
      <c r="M133" s="110" t="n"/>
      <c r="N133" s="110" t="n"/>
      <c r="O133" s="110" t="n"/>
      <c r="P133" s="110" t="n"/>
      <c r="Q133" s="110" t="n"/>
      <c r="R133" s="110" t="n"/>
      <c r="S133" s="110" t="n"/>
      <c r="T133" s="110" t="n"/>
      <c r="U133" s="110" t="n"/>
      <c r="V133" s="110" t="n"/>
      <c r="W133" s="110" t="n"/>
      <c r="X133" s="110" t="n"/>
      <c r="Y133" s="110" t="n"/>
      <c r="Z133" s="110" t="n"/>
    </row>
    <row r="134">
      <c r="A134" s="110" t="n"/>
      <c r="B134" s="110" t="n"/>
      <c r="C134" s="110" t="n"/>
      <c r="D134" s="110" t="n"/>
      <c r="E134" s="110" t="n"/>
      <c r="F134" s="110" t="n"/>
      <c r="G134" s="110" t="n"/>
      <c r="H134" s="110" t="n"/>
      <c r="I134" s="110" t="n"/>
      <c r="J134" s="110" t="n"/>
      <c r="K134" s="110" t="n"/>
      <c r="L134" s="110" t="n"/>
      <c r="M134" s="110" t="n"/>
      <c r="N134" s="110" t="n"/>
      <c r="O134" s="110" t="n"/>
      <c r="P134" s="110" t="n"/>
      <c r="Q134" s="110" t="n"/>
      <c r="R134" s="110" t="n"/>
      <c r="S134" s="110" t="n"/>
      <c r="T134" s="110" t="n"/>
      <c r="U134" s="110" t="n"/>
      <c r="V134" s="110" t="n"/>
      <c r="W134" s="110" t="n"/>
      <c r="X134" s="110" t="n"/>
      <c r="Y134" s="110" t="n"/>
      <c r="Z134" s="110" t="n"/>
    </row>
    <row r="135">
      <c r="A135" s="110" t="n"/>
      <c r="B135" s="110" t="n"/>
      <c r="C135" s="110" t="n"/>
      <c r="D135" s="110" t="n"/>
      <c r="E135" s="110" t="n"/>
      <c r="F135" s="110" t="n"/>
      <c r="G135" s="110" t="n"/>
      <c r="H135" s="110" t="n"/>
      <c r="I135" s="110" t="n"/>
      <c r="J135" s="110" t="n"/>
      <c r="K135" s="110" t="n"/>
      <c r="L135" s="110" t="n"/>
      <c r="M135" s="110" t="n"/>
      <c r="N135" s="110" t="n"/>
      <c r="O135" s="110" t="n"/>
      <c r="P135" s="110" t="n"/>
      <c r="Q135" s="110" t="n"/>
      <c r="R135" s="110" t="n"/>
      <c r="S135" s="110" t="n"/>
      <c r="T135" s="110" t="n"/>
      <c r="U135" s="110" t="n"/>
      <c r="V135" s="110" t="n"/>
      <c r="W135" s="110" t="n"/>
      <c r="X135" s="110" t="n"/>
      <c r="Y135" s="110" t="n"/>
      <c r="Z135" s="110" t="n"/>
    </row>
    <row r="136">
      <c r="A136" s="110" t="n"/>
      <c r="B136" s="110" t="n"/>
      <c r="C136" s="110" t="n"/>
      <c r="D136" s="110" t="n"/>
      <c r="E136" s="110" t="n"/>
      <c r="F136" s="110" t="n"/>
      <c r="G136" s="110" t="n"/>
      <c r="H136" s="110" t="n"/>
      <c r="I136" s="110" t="n"/>
      <c r="J136" s="110" t="n"/>
      <c r="K136" s="110" t="n"/>
      <c r="L136" s="110" t="n"/>
      <c r="M136" s="110" t="n"/>
      <c r="N136" s="110" t="n"/>
      <c r="O136" s="110" t="n"/>
      <c r="P136" s="110" t="n"/>
      <c r="Q136" s="110" t="n"/>
      <c r="R136" s="110" t="n"/>
      <c r="S136" s="110" t="n"/>
      <c r="T136" s="110" t="n"/>
      <c r="U136" s="110" t="n"/>
      <c r="V136" s="110" t="n"/>
      <c r="W136" s="110" t="n"/>
      <c r="X136" s="110" t="n"/>
      <c r="Y136" s="110" t="n"/>
      <c r="Z136" s="110" t="n"/>
    </row>
    <row r="137">
      <c r="A137" s="110" t="n"/>
      <c r="B137" s="110" t="n"/>
      <c r="C137" s="110" t="n"/>
      <c r="D137" s="110" t="n"/>
      <c r="E137" s="110" t="n"/>
      <c r="F137" s="110" t="n"/>
      <c r="G137" s="110" t="n"/>
      <c r="H137" s="110" t="n"/>
      <c r="I137" s="110" t="n"/>
      <c r="J137" s="110" t="n"/>
      <c r="K137" s="110" t="n"/>
      <c r="L137" s="110" t="n"/>
      <c r="M137" s="110" t="n"/>
      <c r="N137" s="110" t="n"/>
      <c r="O137" s="110" t="n"/>
      <c r="P137" s="110" t="n"/>
      <c r="Q137" s="110" t="n"/>
      <c r="R137" s="110" t="n"/>
      <c r="S137" s="110" t="n"/>
      <c r="T137" s="110" t="n"/>
      <c r="U137" s="110" t="n"/>
      <c r="V137" s="110" t="n"/>
      <c r="W137" s="110" t="n"/>
      <c r="X137" s="110" t="n"/>
      <c r="Y137" s="110" t="n"/>
      <c r="Z137" s="110" t="n"/>
    </row>
    <row r="138">
      <c r="A138" s="110" t="n"/>
      <c r="B138" s="110" t="n"/>
      <c r="C138" s="110" t="n"/>
      <c r="D138" s="110" t="n"/>
      <c r="E138" s="110" t="n"/>
      <c r="F138" s="110" t="n"/>
      <c r="G138" s="110" t="n"/>
      <c r="H138" s="110" t="n"/>
      <c r="I138" s="110" t="n"/>
      <c r="J138" s="110" t="n"/>
      <c r="K138" s="110" t="n"/>
      <c r="L138" s="110" t="n"/>
      <c r="M138" s="110" t="n"/>
      <c r="N138" s="110" t="n"/>
      <c r="O138" s="110" t="n"/>
      <c r="P138" s="110" t="n"/>
      <c r="Q138" s="110" t="n"/>
      <c r="R138" s="110" t="n"/>
      <c r="S138" s="110" t="n"/>
      <c r="T138" s="110" t="n"/>
      <c r="U138" s="110" t="n"/>
      <c r="V138" s="110" t="n"/>
      <c r="W138" s="110" t="n"/>
      <c r="X138" s="110" t="n"/>
      <c r="Y138" s="110" t="n"/>
      <c r="Z138" s="110" t="n"/>
    </row>
    <row r="139">
      <c r="A139" s="110" t="n"/>
      <c r="B139" s="110" t="n"/>
      <c r="C139" s="110" t="n"/>
      <c r="D139" s="110" t="n"/>
      <c r="E139" s="110" t="n"/>
      <c r="F139" s="110" t="n"/>
      <c r="G139" s="110" t="n"/>
      <c r="H139" s="110" t="n"/>
      <c r="I139" s="110" t="n"/>
      <c r="J139" s="110" t="n"/>
      <c r="K139" s="110" t="n"/>
      <c r="L139" s="110" t="n"/>
      <c r="M139" s="110" t="n"/>
      <c r="N139" s="110" t="n"/>
      <c r="O139" s="110" t="n"/>
      <c r="P139" s="110" t="n"/>
      <c r="Q139" s="110" t="n"/>
      <c r="R139" s="110" t="n"/>
      <c r="S139" s="110" t="n"/>
      <c r="T139" s="110" t="n"/>
      <c r="U139" s="110" t="n"/>
      <c r="V139" s="110" t="n"/>
      <c r="W139" s="110" t="n"/>
      <c r="X139" s="110" t="n"/>
      <c r="Y139" s="110" t="n"/>
      <c r="Z139" s="110" t="n"/>
    </row>
    <row r="140">
      <c r="A140" s="110" t="n"/>
      <c r="B140" s="110" t="n"/>
      <c r="C140" s="110" t="n"/>
      <c r="D140" s="110" t="n"/>
      <c r="E140" s="110" t="n"/>
      <c r="F140" s="110" t="n"/>
      <c r="G140" s="110" t="n"/>
      <c r="H140" s="110" t="n"/>
      <c r="I140" s="110" t="n"/>
      <c r="J140" s="110" t="n"/>
      <c r="K140" s="110" t="n"/>
      <c r="L140" s="110" t="n"/>
      <c r="M140" s="110" t="n"/>
      <c r="N140" s="110" t="n"/>
      <c r="O140" s="110" t="n"/>
      <c r="P140" s="110" t="n"/>
      <c r="Q140" s="110" t="n"/>
      <c r="R140" s="110" t="n"/>
      <c r="S140" s="110" t="n"/>
      <c r="T140" s="110" t="n"/>
      <c r="U140" s="110" t="n"/>
      <c r="V140" s="110" t="n"/>
      <c r="W140" s="110" t="n"/>
      <c r="X140" s="110" t="n"/>
      <c r="Y140" s="110" t="n"/>
      <c r="Z140" s="110" t="n"/>
    </row>
    <row r="141">
      <c r="A141" s="110" t="n"/>
      <c r="B141" s="110" t="n"/>
      <c r="C141" s="110" t="n"/>
      <c r="D141" s="110" t="n"/>
      <c r="E141" s="110" t="n"/>
      <c r="F141" s="110" t="n"/>
      <c r="G141" s="110" t="n"/>
      <c r="H141" s="110" t="n"/>
      <c r="I141" s="110" t="n"/>
      <c r="J141" s="110" t="n"/>
      <c r="K141" s="110" t="n"/>
      <c r="L141" s="110" t="n"/>
      <c r="M141" s="110" t="n"/>
      <c r="N141" s="110" t="n"/>
      <c r="O141" s="110" t="n"/>
      <c r="P141" s="110" t="n"/>
      <c r="Q141" s="110" t="n"/>
      <c r="R141" s="110" t="n"/>
      <c r="S141" s="110" t="n"/>
      <c r="T141" s="110" t="n"/>
      <c r="U141" s="110" t="n"/>
      <c r="V141" s="110" t="n"/>
      <c r="W141" s="110" t="n"/>
      <c r="X141" s="110" t="n"/>
      <c r="Y141" s="110" t="n"/>
      <c r="Z141" s="110" t="n"/>
    </row>
    <row r="142">
      <c r="A142" s="110" t="n"/>
      <c r="B142" s="110" t="n"/>
      <c r="C142" s="110" t="n"/>
      <c r="D142" s="110" t="n"/>
      <c r="E142" s="110" t="n"/>
      <c r="F142" s="110" t="n"/>
      <c r="G142" s="110" t="n"/>
      <c r="H142" s="110" t="n"/>
      <c r="I142" s="110" t="n"/>
      <c r="J142" s="110" t="n"/>
      <c r="K142" s="110" t="n"/>
      <c r="L142" s="110" t="n"/>
      <c r="M142" s="110" t="n"/>
      <c r="N142" s="110" t="n"/>
      <c r="O142" s="110" t="n"/>
      <c r="P142" s="110" t="n"/>
      <c r="Q142" s="110" t="n"/>
      <c r="R142" s="110" t="n"/>
      <c r="S142" s="110" t="n"/>
      <c r="T142" s="110" t="n"/>
      <c r="U142" s="110" t="n"/>
      <c r="V142" s="110" t="n"/>
      <c r="W142" s="110" t="n"/>
      <c r="X142" s="110" t="n"/>
      <c r="Y142" s="110" t="n"/>
      <c r="Z142" s="110" t="n"/>
    </row>
    <row r="143">
      <c r="A143" s="110" t="n"/>
      <c r="B143" s="110" t="n"/>
      <c r="C143" s="110" t="n"/>
      <c r="D143" s="110" t="n"/>
      <c r="E143" s="110" t="n"/>
      <c r="F143" s="110" t="n"/>
      <c r="G143" s="110" t="n"/>
      <c r="H143" s="110" t="n"/>
      <c r="I143" s="110" t="n"/>
      <c r="J143" s="110" t="n"/>
      <c r="K143" s="110" t="n"/>
      <c r="L143" s="110" t="n"/>
      <c r="M143" s="110" t="n"/>
      <c r="N143" s="110" t="n"/>
      <c r="O143" s="110" t="n"/>
      <c r="P143" s="110" t="n"/>
      <c r="Q143" s="110" t="n"/>
      <c r="R143" s="110" t="n"/>
      <c r="S143" s="110" t="n"/>
      <c r="T143" s="110" t="n"/>
      <c r="U143" s="110" t="n"/>
      <c r="V143" s="110" t="n"/>
      <c r="W143" s="110" t="n"/>
      <c r="X143" s="110" t="n"/>
      <c r="Y143" s="110" t="n"/>
      <c r="Z143" s="110" t="n"/>
    </row>
    <row r="144">
      <c r="A144" s="110" t="n"/>
      <c r="B144" s="110" t="n"/>
      <c r="C144" s="110" t="n"/>
      <c r="D144" s="110" t="n"/>
      <c r="E144" s="110" t="n"/>
      <c r="F144" s="110" t="n"/>
      <c r="G144" s="110" t="n"/>
      <c r="H144" s="110" t="n"/>
      <c r="I144" s="110" t="n"/>
      <c r="J144" s="110" t="n"/>
      <c r="K144" s="110" t="n"/>
      <c r="L144" s="110" t="n"/>
      <c r="M144" s="110" t="n"/>
      <c r="N144" s="110" t="n"/>
      <c r="O144" s="110" t="n"/>
      <c r="P144" s="110" t="n"/>
      <c r="Q144" s="110" t="n"/>
      <c r="R144" s="110" t="n"/>
      <c r="S144" s="110" t="n"/>
      <c r="T144" s="110" t="n"/>
      <c r="U144" s="110" t="n"/>
      <c r="V144" s="110" t="n"/>
      <c r="W144" s="110" t="n"/>
      <c r="X144" s="110" t="n"/>
      <c r="Y144" s="110" t="n"/>
      <c r="Z144" s="110" t="n"/>
    </row>
    <row r="145">
      <c r="A145" s="110" t="n"/>
      <c r="B145" s="110" t="n"/>
      <c r="C145" s="110" t="n"/>
      <c r="D145" s="110" t="n"/>
      <c r="E145" s="110" t="n"/>
      <c r="F145" s="110" t="n"/>
      <c r="G145" s="110" t="n"/>
      <c r="H145" s="110" t="n"/>
      <c r="I145" s="110" t="n"/>
      <c r="J145" s="110" t="n"/>
      <c r="K145" s="110" t="n"/>
      <c r="L145" s="110" t="n"/>
      <c r="M145" s="110" t="n"/>
      <c r="N145" s="110" t="n"/>
      <c r="O145" s="110" t="n"/>
      <c r="P145" s="110" t="n"/>
      <c r="Q145" s="110" t="n"/>
      <c r="R145" s="110" t="n"/>
      <c r="S145" s="110" t="n"/>
      <c r="T145" s="110" t="n"/>
      <c r="U145" s="110" t="n"/>
      <c r="V145" s="110" t="n"/>
      <c r="W145" s="110" t="n"/>
      <c r="X145" s="110" t="n"/>
      <c r="Y145" s="110" t="n"/>
      <c r="Z145" s="110" t="n"/>
    </row>
    <row r="146">
      <c r="A146" s="110" t="n"/>
      <c r="B146" s="110" t="n"/>
      <c r="C146" s="110" t="n"/>
      <c r="D146" s="110" t="n"/>
      <c r="E146" s="110" t="n"/>
      <c r="F146" s="110" t="n"/>
      <c r="G146" s="110" t="n"/>
      <c r="H146" s="110" t="n"/>
      <c r="I146" s="110" t="n"/>
      <c r="J146" s="110" t="n"/>
      <c r="K146" s="110" t="n"/>
      <c r="L146" s="110" t="n"/>
      <c r="M146" s="110" t="n"/>
      <c r="N146" s="110" t="n"/>
      <c r="O146" s="110" t="n"/>
      <c r="P146" s="110" t="n"/>
      <c r="Q146" s="110" t="n"/>
      <c r="R146" s="110" t="n"/>
      <c r="S146" s="110" t="n"/>
      <c r="T146" s="110" t="n"/>
      <c r="U146" s="110" t="n"/>
      <c r="V146" s="110" t="n"/>
      <c r="W146" s="110" t="n"/>
      <c r="X146" s="110" t="n"/>
      <c r="Y146" s="110" t="n"/>
      <c r="Z146" s="110" t="n"/>
    </row>
    <row r="147">
      <c r="A147" s="110" t="n"/>
      <c r="B147" s="110" t="n"/>
      <c r="C147" s="110" t="n"/>
      <c r="D147" s="110" t="n"/>
      <c r="E147" s="110" t="n"/>
      <c r="F147" s="110" t="n"/>
      <c r="G147" s="110" t="n"/>
      <c r="H147" s="110" t="n"/>
      <c r="I147" s="110" t="n"/>
      <c r="J147" s="110" t="n"/>
      <c r="K147" s="110" t="n"/>
      <c r="L147" s="110" t="n"/>
      <c r="M147" s="110" t="n"/>
      <c r="N147" s="110" t="n"/>
      <c r="O147" s="110" t="n"/>
      <c r="P147" s="110" t="n"/>
      <c r="Q147" s="110" t="n"/>
      <c r="R147" s="110" t="n"/>
      <c r="S147" s="110" t="n"/>
      <c r="T147" s="110" t="n"/>
      <c r="U147" s="110" t="n"/>
      <c r="V147" s="110" t="n"/>
      <c r="W147" s="110" t="n"/>
      <c r="X147" s="110" t="n"/>
      <c r="Y147" s="110" t="n"/>
      <c r="Z147" s="110" t="n"/>
    </row>
    <row r="148">
      <c r="A148" s="110" t="n"/>
      <c r="B148" s="110" t="n"/>
      <c r="C148" s="110" t="n"/>
      <c r="D148" s="110" t="n"/>
      <c r="E148" s="110" t="n"/>
      <c r="F148" s="110" t="n"/>
      <c r="G148" s="110" t="n"/>
      <c r="H148" s="110" t="n"/>
      <c r="I148" s="110" t="n"/>
      <c r="J148" s="110" t="n"/>
      <c r="K148" s="110" t="n"/>
      <c r="L148" s="110" t="n"/>
      <c r="M148" s="110" t="n"/>
      <c r="N148" s="110" t="n"/>
      <c r="O148" s="110" t="n"/>
      <c r="P148" s="110" t="n"/>
      <c r="Q148" s="110" t="n"/>
      <c r="R148" s="110" t="n"/>
      <c r="S148" s="110" t="n"/>
      <c r="T148" s="110" t="n"/>
      <c r="U148" s="110" t="n"/>
      <c r="V148" s="110" t="n"/>
      <c r="W148" s="110" t="n"/>
      <c r="X148" s="110" t="n"/>
      <c r="Y148" s="110" t="n"/>
      <c r="Z148" s="110" t="n"/>
    </row>
    <row r="149">
      <c r="A149" s="110" t="n"/>
      <c r="B149" s="110" t="n"/>
      <c r="C149" s="110" t="n"/>
      <c r="D149" s="110" t="n"/>
      <c r="E149" s="110" t="n"/>
      <c r="F149" s="110" t="n"/>
      <c r="G149" s="110" t="n"/>
      <c r="H149" s="110" t="n"/>
      <c r="I149" s="110" t="n"/>
      <c r="J149" s="110" t="n"/>
      <c r="K149" s="110" t="n"/>
      <c r="L149" s="110" t="n"/>
      <c r="M149" s="110" t="n"/>
      <c r="N149" s="110" t="n"/>
      <c r="O149" s="110" t="n"/>
      <c r="P149" s="110" t="n"/>
      <c r="Q149" s="110" t="n"/>
      <c r="R149" s="110" t="n"/>
      <c r="S149" s="110" t="n"/>
      <c r="T149" s="110" t="n"/>
      <c r="U149" s="110" t="n"/>
      <c r="V149" s="110" t="n"/>
      <c r="W149" s="110" t="n"/>
      <c r="X149" s="110" t="n"/>
      <c r="Y149" s="110" t="n"/>
      <c r="Z149" s="110" t="n"/>
    </row>
    <row r="150">
      <c r="A150" s="110" t="n"/>
      <c r="B150" s="110" t="n"/>
      <c r="C150" s="110" t="n"/>
      <c r="D150" s="110" t="n"/>
      <c r="E150" s="110" t="n"/>
      <c r="F150" s="110" t="n"/>
      <c r="G150" s="110" t="n"/>
      <c r="H150" s="110" t="n"/>
      <c r="I150" s="110" t="n"/>
      <c r="J150" s="110" t="n"/>
      <c r="K150" s="110" t="n"/>
      <c r="L150" s="110" t="n"/>
      <c r="M150" s="110" t="n"/>
      <c r="N150" s="110" t="n"/>
      <c r="O150" s="110" t="n"/>
      <c r="P150" s="110" t="n"/>
      <c r="Q150" s="110" t="n"/>
      <c r="R150" s="110" t="n"/>
      <c r="S150" s="110" t="n"/>
      <c r="T150" s="110" t="n"/>
      <c r="U150" s="110" t="n"/>
      <c r="V150" s="110" t="n"/>
      <c r="W150" s="110" t="n"/>
      <c r="X150" s="110" t="n"/>
      <c r="Y150" s="110" t="n"/>
      <c r="Z150" s="110" t="n"/>
    </row>
    <row r="151">
      <c r="A151" s="110" t="n"/>
      <c r="B151" s="110" t="n"/>
      <c r="C151" s="110" t="n"/>
      <c r="D151" s="110" t="n"/>
      <c r="E151" s="110" t="n"/>
      <c r="F151" s="110" t="n"/>
      <c r="G151" s="110" t="n"/>
      <c r="H151" s="110" t="n"/>
      <c r="I151" s="110" t="n"/>
      <c r="J151" s="110" t="n"/>
      <c r="K151" s="110" t="n"/>
      <c r="L151" s="110" t="n"/>
      <c r="M151" s="110" t="n"/>
      <c r="N151" s="110" t="n"/>
      <c r="O151" s="110" t="n"/>
      <c r="P151" s="110" t="n"/>
      <c r="Q151" s="110" t="n"/>
      <c r="R151" s="110" t="n"/>
      <c r="S151" s="110" t="n"/>
      <c r="T151" s="110" t="n"/>
      <c r="U151" s="110" t="n"/>
      <c r="V151" s="110" t="n"/>
      <c r="W151" s="110" t="n"/>
      <c r="X151" s="110" t="n"/>
      <c r="Y151" s="110" t="n"/>
      <c r="Z151" s="110" t="n"/>
    </row>
    <row r="152">
      <c r="A152" s="110" t="n"/>
      <c r="B152" s="110" t="n"/>
      <c r="C152" s="110" t="n"/>
      <c r="D152" s="110" t="n"/>
      <c r="E152" s="110" t="n"/>
      <c r="F152" s="110" t="n"/>
      <c r="G152" s="110" t="n"/>
      <c r="H152" s="110" t="n"/>
      <c r="I152" s="110" t="n"/>
      <c r="J152" s="110" t="n"/>
      <c r="K152" s="110" t="n"/>
      <c r="L152" s="110" t="n"/>
      <c r="M152" s="110" t="n"/>
      <c r="N152" s="110" t="n"/>
      <c r="O152" s="110" t="n"/>
      <c r="P152" s="110" t="n"/>
      <c r="Q152" s="110" t="n"/>
      <c r="R152" s="110" t="n"/>
      <c r="S152" s="110" t="n"/>
      <c r="T152" s="110" t="n"/>
      <c r="U152" s="110" t="n"/>
      <c r="V152" s="110" t="n"/>
      <c r="W152" s="110" t="n"/>
      <c r="X152" s="110" t="n"/>
      <c r="Y152" s="110" t="n"/>
      <c r="Z152" s="110" t="n"/>
    </row>
    <row r="153">
      <c r="A153" s="110" t="n"/>
      <c r="B153" s="110" t="n"/>
      <c r="C153" s="110" t="n"/>
      <c r="D153" s="110" t="n"/>
      <c r="E153" s="110" t="n"/>
      <c r="F153" s="110" t="n"/>
      <c r="G153" s="110" t="n"/>
      <c r="H153" s="110" t="n"/>
      <c r="I153" s="110" t="n"/>
      <c r="J153" s="110" t="n"/>
      <c r="K153" s="110" t="n"/>
      <c r="L153" s="110" t="n"/>
      <c r="M153" s="110" t="n"/>
      <c r="N153" s="110" t="n"/>
      <c r="O153" s="110" t="n"/>
      <c r="P153" s="110" t="n"/>
      <c r="Q153" s="110" t="n"/>
      <c r="R153" s="110" t="n"/>
      <c r="S153" s="110" t="n"/>
      <c r="T153" s="110" t="n"/>
      <c r="U153" s="110" t="n"/>
      <c r="V153" s="110" t="n"/>
      <c r="W153" s="110" t="n"/>
      <c r="X153" s="110" t="n"/>
      <c r="Y153" s="110" t="n"/>
      <c r="Z153" s="110" t="n"/>
    </row>
    <row r="154">
      <c r="A154" s="110" t="n"/>
      <c r="B154" s="110" t="n"/>
      <c r="C154" s="110" t="n"/>
      <c r="D154" s="110" t="n"/>
      <c r="E154" s="110" t="n"/>
      <c r="F154" s="110" t="n"/>
      <c r="G154" s="110" t="n"/>
      <c r="H154" s="110" t="n"/>
      <c r="I154" s="110" t="n"/>
      <c r="J154" s="110" t="n"/>
      <c r="K154" s="110" t="n"/>
      <c r="L154" s="110" t="n"/>
      <c r="M154" s="110" t="n"/>
      <c r="N154" s="110" t="n"/>
      <c r="O154" s="110" t="n"/>
      <c r="P154" s="110" t="n"/>
      <c r="Q154" s="110" t="n"/>
      <c r="R154" s="110" t="n"/>
      <c r="S154" s="110" t="n"/>
      <c r="T154" s="110" t="n"/>
      <c r="U154" s="110" t="n"/>
      <c r="V154" s="110" t="n"/>
      <c r="W154" s="110" t="n"/>
      <c r="X154" s="110" t="n"/>
      <c r="Y154" s="110" t="n"/>
      <c r="Z154" s="110" t="n"/>
    </row>
    <row r="155">
      <c r="A155" s="110" t="n"/>
      <c r="B155" s="110" t="n"/>
      <c r="C155" s="110" t="n"/>
      <c r="D155" s="110" t="n"/>
      <c r="E155" s="110" t="n"/>
      <c r="F155" s="110" t="n"/>
      <c r="G155" s="110" t="n"/>
      <c r="H155" s="110" t="n"/>
      <c r="I155" s="110" t="n"/>
      <c r="J155" s="110" t="n"/>
      <c r="K155" s="110" t="n"/>
      <c r="L155" s="110" t="n"/>
      <c r="M155" s="110" t="n"/>
      <c r="N155" s="110" t="n"/>
      <c r="O155" s="110" t="n"/>
      <c r="P155" s="110" t="n"/>
      <c r="Q155" s="110" t="n"/>
      <c r="R155" s="110" t="n"/>
      <c r="S155" s="110" t="n"/>
      <c r="T155" s="110" t="n"/>
      <c r="U155" s="110" t="n"/>
      <c r="V155" s="110" t="n"/>
      <c r="W155" s="110" t="n"/>
      <c r="X155" s="110" t="n"/>
      <c r="Y155" s="110" t="n"/>
      <c r="Z155" s="110" t="n"/>
    </row>
    <row r="156">
      <c r="A156" s="110" t="n"/>
      <c r="B156" s="110" t="n"/>
      <c r="C156" s="110" t="n"/>
      <c r="D156" s="110" t="n"/>
      <c r="E156" s="110" t="n"/>
      <c r="F156" s="110" t="n"/>
      <c r="G156" s="110" t="n"/>
      <c r="H156" s="110" t="n"/>
      <c r="I156" s="110" t="n"/>
      <c r="J156" s="110" t="n"/>
      <c r="K156" s="110" t="n"/>
      <c r="L156" s="110" t="n"/>
      <c r="M156" s="110" t="n"/>
      <c r="N156" s="110" t="n"/>
      <c r="O156" s="110" t="n"/>
      <c r="P156" s="110" t="n"/>
      <c r="Q156" s="110" t="n"/>
      <c r="R156" s="110" t="n"/>
      <c r="S156" s="110" t="n"/>
      <c r="T156" s="110" t="n"/>
      <c r="U156" s="110" t="n"/>
      <c r="V156" s="110" t="n"/>
      <c r="W156" s="110" t="n"/>
      <c r="X156" s="110" t="n"/>
      <c r="Y156" s="110" t="n"/>
      <c r="Z156" s="110" t="n"/>
    </row>
    <row r="157">
      <c r="A157" s="110" t="n"/>
      <c r="B157" s="110" t="n"/>
      <c r="C157" s="110" t="n"/>
      <c r="D157" s="110" t="n"/>
      <c r="E157" s="110" t="n"/>
      <c r="F157" s="110" t="n"/>
      <c r="G157" s="110" t="n"/>
      <c r="H157" s="110" t="n"/>
      <c r="I157" s="110" t="n"/>
      <c r="J157" s="110" t="n"/>
      <c r="K157" s="110" t="n"/>
      <c r="L157" s="110" t="n"/>
      <c r="M157" s="110" t="n"/>
      <c r="N157" s="110" t="n"/>
      <c r="O157" s="110" t="n"/>
      <c r="P157" s="110" t="n"/>
      <c r="Q157" s="110" t="n"/>
      <c r="R157" s="110" t="n"/>
      <c r="S157" s="110" t="n"/>
      <c r="T157" s="110" t="n"/>
      <c r="U157" s="110" t="n"/>
      <c r="V157" s="110" t="n"/>
      <c r="W157" s="110" t="n"/>
      <c r="X157" s="110" t="n"/>
      <c r="Y157" s="110" t="n"/>
      <c r="Z157" s="110" t="n"/>
    </row>
    <row r="158">
      <c r="A158" s="110" t="n"/>
      <c r="B158" s="110" t="n"/>
      <c r="C158" s="110" t="n"/>
      <c r="D158" s="110" t="n"/>
      <c r="E158" s="110" t="n"/>
      <c r="F158" s="110" t="n"/>
      <c r="G158" s="110" t="n"/>
      <c r="H158" s="110" t="n"/>
      <c r="I158" s="110" t="n"/>
      <c r="J158" s="110" t="n"/>
      <c r="K158" s="110" t="n"/>
      <c r="L158" s="110" t="n"/>
      <c r="M158" s="110" t="n"/>
      <c r="N158" s="110" t="n"/>
      <c r="O158" s="110" t="n"/>
      <c r="P158" s="110" t="n"/>
      <c r="Q158" s="110" t="n"/>
      <c r="R158" s="110" t="n"/>
      <c r="S158" s="110" t="n"/>
      <c r="T158" s="110" t="n"/>
      <c r="U158" s="110" t="n"/>
      <c r="V158" s="110" t="n"/>
      <c r="W158" s="110" t="n"/>
      <c r="X158" s="110" t="n"/>
      <c r="Y158" s="110" t="n"/>
      <c r="Z158" s="110" t="n"/>
    </row>
    <row r="159">
      <c r="A159" s="110" t="n"/>
      <c r="B159" s="110" t="n"/>
      <c r="C159" s="110" t="n"/>
      <c r="D159" s="110" t="n"/>
      <c r="E159" s="110" t="n"/>
      <c r="F159" s="110" t="n"/>
      <c r="G159" s="110" t="n"/>
      <c r="H159" s="110" t="n"/>
      <c r="I159" s="110" t="n"/>
      <c r="J159" s="110" t="n"/>
      <c r="K159" s="110" t="n"/>
      <c r="L159" s="110" t="n"/>
      <c r="M159" s="110" t="n"/>
      <c r="N159" s="110" t="n"/>
      <c r="O159" s="110" t="n"/>
      <c r="P159" s="110" t="n"/>
      <c r="Q159" s="110" t="n"/>
      <c r="R159" s="110" t="n"/>
      <c r="S159" s="110" t="n"/>
      <c r="T159" s="110" t="n"/>
      <c r="U159" s="110" t="n"/>
      <c r="V159" s="110" t="n"/>
      <c r="W159" s="110" t="n"/>
      <c r="X159" s="110" t="n"/>
      <c r="Y159" s="110" t="n"/>
      <c r="Z159" s="110" t="n"/>
    </row>
    <row r="160">
      <c r="A160" s="110" t="n"/>
      <c r="B160" s="110" t="n"/>
      <c r="C160" s="110" t="n"/>
      <c r="D160" s="110" t="n"/>
      <c r="E160" s="110" t="n"/>
      <c r="F160" s="110" t="n"/>
      <c r="G160" s="110" t="n"/>
      <c r="H160" s="110" t="n"/>
      <c r="I160" s="110" t="n"/>
      <c r="J160" s="110" t="n"/>
      <c r="K160" s="110" t="n"/>
      <c r="L160" s="110" t="n"/>
      <c r="M160" s="110" t="n"/>
      <c r="N160" s="110" t="n"/>
      <c r="O160" s="110" t="n"/>
      <c r="P160" s="110" t="n"/>
      <c r="Q160" s="110" t="n"/>
      <c r="R160" s="110" t="n"/>
      <c r="S160" s="110" t="n"/>
      <c r="T160" s="110" t="n"/>
      <c r="U160" s="110" t="n"/>
      <c r="V160" s="110" t="n"/>
      <c r="W160" s="110" t="n"/>
      <c r="X160" s="110" t="n"/>
      <c r="Y160" s="110" t="n"/>
      <c r="Z160" s="110" t="n"/>
    </row>
    <row r="161">
      <c r="A161" s="110" t="n"/>
      <c r="B161" s="110" t="n"/>
      <c r="C161" s="110" t="n"/>
      <c r="D161" s="110" t="n"/>
      <c r="E161" s="110" t="n"/>
      <c r="F161" s="110" t="n"/>
      <c r="G161" s="110" t="n"/>
      <c r="H161" s="110" t="n"/>
      <c r="I161" s="110" t="n"/>
      <c r="J161" s="110" t="n"/>
      <c r="K161" s="110" t="n"/>
      <c r="L161" s="110" t="n"/>
      <c r="M161" s="110" t="n"/>
      <c r="N161" s="110" t="n"/>
      <c r="O161" s="110" t="n"/>
      <c r="P161" s="110" t="n"/>
      <c r="Q161" s="110" t="n"/>
      <c r="R161" s="110" t="n"/>
      <c r="S161" s="110" t="n"/>
      <c r="T161" s="110" t="n"/>
      <c r="U161" s="110" t="n"/>
      <c r="V161" s="110" t="n"/>
      <c r="W161" s="110" t="n"/>
      <c r="X161" s="110" t="n"/>
      <c r="Y161" s="110" t="n"/>
      <c r="Z161" s="110" t="n"/>
    </row>
    <row r="162">
      <c r="A162" s="110" t="n"/>
      <c r="B162" s="110" t="n"/>
      <c r="C162" s="110" t="n"/>
      <c r="D162" s="110" t="n"/>
      <c r="E162" s="110" t="n"/>
      <c r="F162" s="110" t="n"/>
      <c r="G162" s="110" t="n"/>
      <c r="H162" s="110" t="n"/>
      <c r="I162" s="110" t="n"/>
      <c r="J162" s="110" t="n"/>
      <c r="K162" s="110" t="n"/>
      <c r="L162" s="110" t="n"/>
      <c r="M162" s="110" t="n"/>
      <c r="N162" s="110" t="n"/>
      <c r="O162" s="110" t="n"/>
      <c r="P162" s="110" t="n"/>
      <c r="Q162" s="110" t="n"/>
      <c r="R162" s="110" t="n"/>
      <c r="S162" s="110" t="n"/>
      <c r="T162" s="110" t="n"/>
      <c r="U162" s="110" t="n"/>
      <c r="V162" s="110" t="n"/>
      <c r="W162" s="110" t="n"/>
      <c r="X162" s="110" t="n"/>
      <c r="Y162" s="110" t="n"/>
      <c r="Z162" s="110" t="n"/>
    </row>
    <row r="163">
      <c r="A163" s="110" t="n"/>
      <c r="B163" s="110" t="n"/>
      <c r="C163" s="110" t="n"/>
      <c r="D163" s="110" t="n"/>
      <c r="E163" s="110" t="n"/>
      <c r="F163" s="110" t="n"/>
      <c r="G163" s="110" t="n"/>
      <c r="H163" s="110" t="n"/>
      <c r="I163" s="110" t="n"/>
      <c r="J163" s="110" t="n"/>
      <c r="K163" s="110" t="n"/>
      <c r="L163" s="110" t="n"/>
      <c r="M163" s="110" t="n"/>
      <c r="N163" s="110" t="n"/>
      <c r="O163" s="110" t="n"/>
      <c r="P163" s="110" t="n"/>
      <c r="Q163" s="110" t="n"/>
      <c r="R163" s="110" t="n"/>
      <c r="S163" s="110" t="n"/>
      <c r="T163" s="110" t="n"/>
      <c r="U163" s="110" t="n"/>
      <c r="V163" s="110" t="n"/>
      <c r="W163" s="110" t="n"/>
      <c r="X163" s="110" t="n"/>
      <c r="Y163" s="110" t="n"/>
      <c r="Z163" s="110" t="n"/>
    </row>
    <row r="164">
      <c r="A164" s="110" t="n"/>
      <c r="B164" s="110" t="n"/>
      <c r="C164" s="110" t="n"/>
      <c r="D164" s="110" t="n"/>
      <c r="E164" s="110" t="n"/>
      <c r="F164" s="110" t="n"/>
      <c r="G164" s="110" t="n"/>
      <c r="H164" s="110" t="n"/>
      <c r="I164" s="110" t="n"/>
      <c r="J164" s="110" t="n"/>
      <c r="K164" s="110" t="n"/>
      <c r="L164" s="110" t="n"/>
      <c r="M164" s="110" t="n"/>
      <c r="N164" s="110" t="n"/>
      <c r="O164" s="110" t="n"/>
      <c r="P164" s="110" t="n"/>
      <c r="Q164" s="110" t="n"/>
      <c r="R164" s="110" t="n"/>
      <c r="S164" s="110" t="n"/>
      <c r="T164" s="110" t="n"/>
      <c r="U164" s="110" t="n"/>
      <c r="V164" s="110" t="n"/>
      <c r="W164" s="110" t="n"/>
      <c r="X164" s="110" t="n"/>
      <c r="Y164" s="110" t="n"/>
      <c r="Z164" s="110" t="n"/>
    </row>
    <row r="165">
      <c r="A165" s="110" t="n"/>
      <c r="B165" s="110" t="n"/>
      <c r="C165" s="110" t="n"/>
      <c r="D165" s="110" t="n"/>
      <c r="E165" s="110" t="n"/>
      <c r="F165" s="110" t="n"/>
      <c r="G165" s="110" t="n"/>
      <c r="H165" s="110" t="n"/>
      <c r="I165" s="110" t="n"/>
      <c r="J165" s="110" t="n"/>
      <c r="K165" s="110" t="n"/>
      <c r="L165" s="110" t="n"/>
      <c r="M165" s="110" t="n"/>
      <c r="N165" s="110" t="n"/>
      <c r="O165" s="110" t="n"/>
      <c r="P165" s="110" t="n"/>
      <c r="Q165" s="110" t="n"/>
      <c r="R165" s="110" t="n"/>
      <c r="S165" s="110" t="n"/>
      <c r="T165" s="110" t="n"/>
      <c r="U165" s="110" t="n"/>
      <c r="V165" s="110" t="n"/>
      <c r="W165" s="110" t="n"/>
      <c r="X165" s="110" t="n"/>
      <c r="Y165" s="110" t="n"/>
      <c r="Z165" s="110" t="n"/>
    </row>
    <row r="166">
      <c r="A166" s="110" t="n"/>
      <c r="B166" s="110" t="n"/>
      <c r="C166" s="110" t="n"/>
      <c r="D166" s="110" t="n"/>
      <c r="E166" s="110" t="n"/>
      <c r="F166" s="110" t="n"/>
      <c r="G166" s="110" t="n"/>
      <c r="H166" s="110" t="n"/>
      <c r="I166" s="110" t="n"/>
      <c r="J166" s="110" t="n"/>
      <c r="K166" s="110" t="n"/>
      <c r="L166" s="110" t="n"/>
      <c r="M166" s="110" t="n"/>
      <c r="N166" s="110" t="n"/>
      <c r="O166" s="110" t="n"/>
      <c r="P166" s="110" t="n"/>
      <c r="Q166" s="110" t="n"/>
      <c r="R166" s="110" t="n"/>
      <c r="S166" s="110" t="n"/>
      <c r="T166" s="110" t="n"/>
      <c r="U166" s="110" t="n"/>
      <c r="V166" s="110" t="n"/>
      <c r="W166" s="110" t="n"/>
      <c r="X166" s="110" t="n"/>
      <c r="Y166" s="110" t="n"/>
      <c r="Z166" s="110" t="n"/>
    </row>
    <row r="167">
      <c r="A167" s="110" t="n"/>
      <c r="B167" s="110" t="n"/>
      <c r="C167" s="110" t="n"/>
      <c r="D167" s="110" t="n"/>
      <c r="E167" s="110" t="n"/>
      <c r="F167" s="110" t="n"/>
      <c r="G167" s="110" t="n"/>
      <c r="H167" s="110" t="n"/>
      <c r="I167" s="110" t="n"/>
      <c r="J167" s="110" t="n"/>
      <c r="K167" s="110" t="n"/>
      <c r="L167" s="110" t="n"/>
      <c r="M167" s="110" t="n"/>
      <c r="N167" s="110" t="n"/>
      <c r="O167" s="110" t="n"/>
      <c r="P167" s="110" t="n"/>
      <c r="Q167" s="110" t="n"/>
      <c r="R167" s="110" t="n"/>
      <c r="S167" s="110" t="n"/>
      <c r="T167" s="110" t="n"/>
      <c r="U167" s="110" t="n"/>
      <c r="V167" s="110" t="n"/>
      <c r="W167" s="110" t="n"/>
      <c r="X167" s="110" t="n"/>
      <c r="Y167" s="110" t="n"/>
      <c r="Z167" s="110" t="n"/>
    </row>
    <row r="168">
      <c r="A168" s="110" t="n"/>
      <c r="B168" s="110" t="n"/>
      <c r="C168" s="110" t="n"/>
      <c r="D168" s="110" t="n"/>
      <c r="E168" s="110" t="n"/>
      <c r="F168" s="110" t="n"/>
      <c r="G168" s="110" t="n"/>
      <c r="H168" s="110" t="n"/>
      <c r="I168" s="110" t="n"/>
      <c r="J168" s="110" t="n"/>
      <c r="K168" s="110" t="n"/>
      <c r="L168" s="110" t="n"/>
      <c r="M168" s="110" t="n"/>
      <c r="N168" s="110" t="n"/>
      <c r="O168" s="110" t="n"/>
      <c r="P168" s="110" t="n"/>
      <c r="Q168" s="110" t="n"/>
      <c r="R168" s="110" t="n"/>
      <c r="S168" s="110" t="n"/>
      <c r="T168" s="110" t="n"/>
      <c r="U168" s="110" t="n"/>
      <c r="V168" s="110" t="n"/>
      <c r="W168" s="110" t="n"/>
      <c r="X168" s="110" t="n"/>
      <c r="Y168" s="110" t="n"/>
      <c r="Z168" s="110" t="n"/>
    </row>
    <row r="169">
      <c r="A169" s="110" t="n"/>
      <c r="B169" s="110" t="n"/>
      <c r="C169" s="110" t="n"/>
      <c r="D169" s="110" t="n"/>
      <c r="E169" s="110" t="n"/>
      <c r="F169" s="110" t="n"/>
      <c r="G169" s="110" t="n"/>
      <c r="H169" s="110" t="n"/>
      <c r="I169" s="110" t="n"/>
      <c r="J169" s="110" t="n"/>
      <c r="K169" s="110" t="n"/>
      <c r="L169" s="110" t="n"/>
      <c r="M169" s="110" t="n"/>
      <c r="N169" s="110" t="n"/>
      <c r="O169" s="110" t="n"/>
      <c r="P169" s="110" t="n"/>
      <c r="Q169" s="110" t="n"/>
      <c r="R169" s="110" t="n"/>
      <c r="S169" s="110" t="n"/>
      <c r="T169" s="110" t="n"/>
      <c r="U169" s="110" t="n"/>
      <c r="V169" s="110" t="n"/>
      <c r="W169" s="110" t="n"/>
      <c r="X169" s="110" t="n"/>
      <c r="Y169" s="110" t="n"/>
      <c r="Z169" s="110" t="n"/>
    </row>
    <row r="170">
      <c r="A170" s="110" t="n"/>
      <c r="B170" s="110" t="n"/>
      <c r="C170" s="110" t="n"/>
      <c r="D170" s="110" t="n"/>
      <c r="E170" s="110" t="n"/>
      <c r="F170" s="110" t="n"/>
      <c r="G170" s="110" t="n"/>
      <c r="H170" s="110" t="n"/>
      <c r="I170" s="110" t="n"/>
      <c r="J170" s="110" t="n"/>
      <c r="K170" s="110" t="n"/>
      <c r="L170" s="110" t="n"/>
      <c r="M170" s="110" t="n"/>
      <c r="N170" s="110" t="n"/>
      <c r="O170" s="110" t="n"/>
      <c r="P170" s="110" t="n"/>
      <c r="Q170" s="110" t="n"/>
      <c r="R170" s="110" t="n"/>
      <c r="S170" s="110" t="n"/>
      <c r="T170" s="110" t="n"/>
      <c r="U170" s="110" t="n"/>
      <c r="V170" s="110" t="n"/>
      <c r="W170" s="110" t="n"/>
      <c r="X170" s="110" t="n"/>
      <c r="Y170" s="110" t="n"/>
      <c r="Z170" s="110" t="n"/>
    </row>
    <row r="171">
      <c r="A171" s="110" t="n"/>
      <c r="B171" s="110" t="n"/>
      <c r="C171" s="110" t="n"/>
      <c r="D171" s="110" t="n"/>
      <c r="E171" s="110" t="n"/>
      <c r="F171" s="110" t="n"/>
      <c r="G171" s="110" t="n"/>
      <c r="H171" s="110" t="n"/>
      <c r="I171" s="110" t="n"/>
      <c r="J171" s="110" t="n"/>
      <c r="K171" s="110" t="n"/>
      <c r="L171" s="110" t="n"/>
      <c r="M171" s="110" t="n"/>
      <c r="N171" s="110" t="n"/>
      <c r="O171" s="110" t="n"/>
      <c r="P171" s="110" t="n"/>
      <c r="Q171" s="110" t="n"/>
      <c r="R171" s="110" t="n"/>
      <c r="S171" s="110" t="n"/>
      <c r="T171" s="110" t="n"/>
      <c r="U171" s="110" t="n"/>
      <c r="V171" s="110" t="n"/>
      <c r="W171" s="110" t="n"/>
      <c r="X171" s="110" t="n"/>
      <c r="Y171" s="110" t="n"/>
      <c r="Z171" s="110" t="n"/>
    </row>
    <row r="172">
      <c r="A172" s="110" t="n"/>
      <c r="B172" s="110" t="n"/>
      <c r="C172" s="110" t="n"/>
      <c r="D172" s="110" t="n"/>
      <c r="E172" s="110" t="n"/>
      <c r="F172" s="110" t="n"/>
      <c r="G172" s="110" t="n"/>
      <c r="H172" s="110" t="n"/>
      <c r="I172" s="110" t="n"/>
      <c r="J172" s="110" t="n"/>
      <c r="K172" s="110" t="n"/>
      <c r="L172" s="110" t="n"/>
      <c r="M172" s="110" t="n"/>
      <c r="N172" s="110" t="n"/>
      <c r="O172" s="110" t="n"/>
      <c r="P172" s="110" t="n"/>
      <c r="Q172" s="110" t="n"/>
      <c r="R172" s="110" t="n"/>
      <c r="S172" s="110" t="n"/>
      <c r="T172" s="110" t="n"/>
      <c r="U172" s="110" t="n"/>
      <c r="V172" s="110" t="n"/>
      <c r="W172" s="110" t="n"/>
      <c r="X172" s="110" t="n"/>
      <c r="Y172" s="110" t="n"/>
      <c r="Z172" s="110" t="n"/>
    </row>
    <row r="173">
      <c r="A173" s="110" t="n"/>
      <c r="B173" s="110" t="n"/>
      <c r="C173" s="110" t="n"/>
      <c r="D173" s="110" t="n"/>
      <c r="E173" s="110" t="n"/>
      <c r="F173" s="110" t="n"/>
      <c r="G173" s="110" t="n"/>
      <c r="H173" s="110" t="n"/>
      <c r="I173" s="110" t="n"/>
      <c r="J173" s="110" t="n"/>
      <c r="K173" s="110" t="n"/>
      <c r="L173" s="110" t="n"/>
      <c r="M173" s="110" t="n"/>
      <c r="N173" s="110" t="n"/>
      <c r="O173" s="110" t="n"/>
      <c r="P173" s="110" t="n"/>
      <c r="Q173" s="110" t="n"/>
      <c r="R173" s="110" t="n"/>
      <c r="S173" s="110" t="n"/>
      <c r="T173" s="110" t="n"/>
      <c r="U173" s="110" t="n"/>
      <c r="V173" s="110" t="n"/>
      <c r="W173" s="110" t="n"/>
      <c r="X173" s="110" t="n"/>
      <c r="Y173" s="110" t="n"/>
      <c r="Z173" s="110" t="n"/>
    </row>
    <row r="174">
      <c r="A174" s="110" t="n"/>
      <c r="B174" s="110" t="n"/>
      <c r="C174" s="110" t="n"/>
      <c r="D174" s="110" t="n"/>
      <c r="E174" s="110" t="n"/>
      <c r="F174" s="110" t="n"/>
      <c r="G174" s="110" t="n"/>
      <c r="H174" s="110" t="n"/>
      <c r="I174" s="110" t="n"/>
      <c r="J174" s="110" t="n"/>
      <c r="K174" s="110" t="n"/>
      <c r="L174" s="110" t="n"/>
      <c r="M174" s="110" t="n"/>
      <c r="N174" s="110" t="n"/>
      <c r="O174" s="110" t="n"/>
      <c r="P174" s="110" t="n"/>
      <c r="Q174" s="110" t="n"/>
      <c r="R174" s="110" t="n"/>
      <c r="S174" s="110" t="n"/>
      <c r="T174" s="110" t="n"/>
      <c r="U174" s="110" t="n"/>
      <c r="V174" s="110" t="n"/>
      <c r="W174" s="110" t="n"/>
      <c r="X174" s="110" t="n"/>
      <c r="Y174" s="110" t="n"/>
      <c r="Z174" s="110" t="n"/>
    </row>
    <row r="175">
      <c r="A175" s="110" t="n"/>
      <c r="B175" s="110" t="n"/>
      <c r="C175" s="110" t="n"/>
      <c r="D175" s="110" t="n"/>
      <c r="E175" s="110" t="n"/>
      <c r="F175" s="110" t="n"/>
      <c r="G175" s="110" t="n"/>
      <c r="H175" s="110" t="n"/>
      <c r="I175" s="110" t="n"/>
      <c r="J175" s="110" t="n"/>
      <c r="K175" s="110" t="n"/>
      <c r="L175" s="110" t="n"/>
      <c r="M175" s="110" t="n"/>
      <c r="N175" s="110" t="n"/>
      <c r="O175" s="110" t="n"/>
      <c r="P175" s="110" t="n"/>
      <c r="Q175" s="110" t="n"/>
      <c r="R175" s="110" t="n"/>
      <c r="S175" s="110" t="n"/>
      <c r="T175" s="110" t="n"/>
      <c r="U175" s="110" t="n"/>
      <c r="V175" s="110" t="n"/>
      <c r="W175" s="110" t="n"/>
      <c r="X175" s="110" t="n"/>
      <c r="Y175" s="110" t="n"/>
      <c r="Z175" s="110" t="n"/>
    </row>
    <row r="176">
      <c r="A176" s="110" t="n"/>
      <c r="B176" s="110" t="n"/>
      <c r="C176" s="110" t="n"/>
      <c r="D176" s="110" t="n"/>
      <c r="E176" s="110" t="n"/>
      <c r="F176" s="110" t="n"/>
      <c r="G176" s="110" t="n"/>
      <c r="H176" s="110" t="n"/>
      <c r="I176" s="110" t="n"/>
      <c r="J176" s="110" t="n"/>
      <c r="K176" s="110" t="n"/>
      <c r="L176" s="110" t="n"/>
      <c r="M176" s="110" t="n"/>
      <c r="N176" s="110" t="n"/>
      <c r="O176" s="110" t="n"/>
      <c r="P176" s="110" t="n"/>
      <c r="Q176" s="110" t="n"/>
      <c r="R176" s="110" t="n"/>
      <c r="S176" s="110" t="n"/>
      <c r="T176" s="110" t="n"/>
      <c r="U176" s="110" t="n"/>
      <c r="V176" s="110" t="n"/>
      <c r="W176" s="110" t="n"/>
      <c r="X176" s="110" t="n"/>
      <c r="Y176" s="110" t="n"/>
      <c r="Z176" s="110" t="n"/>
    </row>
    <row r="177">
      <c r="A177" s="110" t="n"/>
      <c r="B177" s="110" t="n"/>
      <c r="C177" s="110" t="n"/>
      <c r="D177" s="110" t="n"/>
      <c r="E177" s="110" t="n"/>
      <c r="F177" s="110" t="n"/>
      <c r="G177" s="110" t="n"/>
      <c r="H177" s="110" t="n"/>
      <c r="I177" s="110" t="n"/>
      <c r="J177" s="110" t="n"/>
      <c r="K177" s="110" t="n"/>
      <c r="L177" s="110" t="n"/>
      <c r="M177" s="110" t="n"/>
      <c r="N177" s="110" t="n"/>
      <c r="O177" s="110" t="n"/>
      <c r="P177" s="110" t="n"/>
      <c r="Q177" s="110" t="n"/>
      <c r="R177" s="110" t="n"/>
      <c r="S177" s="110" t="n"/>
      <c r="T177" s="110" t="n"/>
      <c r="U177" s="110" t="n"/>
      <c r="V177" s="110" t="n"/>
      <c r="W177" s="110" t="n"/>
      <c r="X177" s="110" t="n"/>
      <c r="Y177" s="110" t="n"/>
      <c r="Z177" s="110" t="n"/>
    </row>
    <row r="178">
      <c r="A178" s="110" t="n"/>
      <c r="B178" s="110" t="n"/>
      <c r="C178" s="110" t="n"/>
      <c r="D178" s="110" t="n"/>
      <c r="E178" s="110" t="n"/>
      <c r="F178" s="110" t="n"/>
      <c r="G178" s="110" t="n"/>
      <c r="H178" s="110" t="n"/>
      <c r="I178" s="110" t="n"/>
      <c r="J178" s="110" t="n"/>
      <c r="K178" s="110" t="n"/>
      <c r="L178" s="110" t="n"/>
      <c r="M178" s="110" t="n"/>
      <c r="N178" s="110" t="n"/>
      <c r="O178" s="110" t="n"/>
      <c r="P178" s="110" t="n"/>
      <c r="Q178" s="110" t="n"/>
      <c r="R178" s="110" t="n"/>
      <c r="S178" s="110" t="n"/>
      <c r="T178" s="110" t="n"/>
      <c r="U178" s="110" t="n"/>
      <c r="V178" s="110" t="n"/>
      <c r="W178" s="110" t="n"/>
      <c r="X178" s="110" t="n"/>
      <c r="Y178" s="110" t="n"/>
      <c r="Z178" s="110" t="n"/>
    </row>
    <row r="179">
      <c r="A179" s="110" t="n"/>
      <c r="B179" s="110" t="n"/>
      <c r="C179" s="110" t="n"/>
      <c r="D179" s="110" t="n"/>
      <c r="E179" s="110" t="n"/>
      <c r="F179" s="110" t="n"/>
      <c r="G179" s="110" t="n"/>
      <c r="H179" s="110" t="n"/>
      <c r="I179" s="110" t="n"/>
      <c r="J179" s="110" t="n"/>
      <c r="K179" s="110" t="n"/>
      <c r="L179" s="110" t="n"/>
      <c r="M179" s="110" t="n"/>
      <c r="N179" s="110" t="n"/>
      <c r="O179" s="110" t="n"/>
      <c r="P179" s="110" t="n"/>
      <c r="Q179" s="110" t="n"/>
      <c r="R179" s="110" t="n"/>
      <c r="S179" s="110" t="n"/>
      <c r="T179" s="110" t="n"/>
      <c r="U179" s="110" t="n"/>
      <c r="V179" s="110" t="n"/>
      <c r="W179" s="110" t="n"/>
      <c r="X179" s="110" t="n"/>
      <c r="Y179" s="110" t="n"/>
      <c r="Z179" s="110" t="n"/>
    </row>
    <row r="180">
      <c r="A180" s="110" t="n"/>
      <c r="B180" s="110" t="n"/>
      <c r="C180" s="110" t="n"/>
      <c r="D180" s="110" t="n"/>
      <c r="E180" s="110" t="n"/>
      <c r="F180" s="110" t="n"/>
      <c r="G180" s="110" t="n"/>
      <c r="H180" s="110" t="n"/>
      <c r="I180" s="110" t="n"/>
      <c r="J180" s="110" t="n"/>
      <c r="K180" s="110" t="n"/>
      <c r="L180" s="110" t="n"/>
      <c r="M180" s="110" t="n"/>
      <c r="N180" s="110" t="n"/>
      <c r="O180" s="110" t="n"/>
      <c r="P180" s="110" t="n"/>
      <c r="Q180" s="110" t="n"/>
      <c r="R180" s="110" t="n"/>
      <c r="S180" s="110" t="n"/>
      <c r="T180" s="110" t="n"/>
      <c r="U180" s="110" t="n"/>
      <c r="V180" s="110" t="n"/>
      <c r="W180" s="110" t="n"/>
      <c r="X180" s="110" t="n"/>
      <c r="Y180" s="110" t="n"/>
      <c r="Z180" s="110" t="n"/>
    </row>
    <row r="181">
      <c r="A181" s="110" t="n"/>
      <c r="B181" s="110" t="n"/>
      <c r="C181" s="110" t="n"/>
      <c r="D181" s="110" t="n"/>
      <c r="E181" s="110" t="n"/>
      <c r="F181" s="110" t="n"/>
      <c r="G181" s="110" t="n"/>
      <c r="H181" s="110" t="n"/>
      <c r="I181" s="110" t="n"/>
      <c r="J181" s="110" t="n"/>
      <c r="K181" s="110" t="n"/>
      <c r="L181" s="110" t="n"/>
      <c r="M181" s="110" t="n"/>
      <c r="N181" s="110" t="n"/>
      <c r="O181" s="110" t="n"/>
      <c r="P181" s="110" t="n"/>
      <c r="Q181" s="110" t="n"/>
      <c r="R181" s="110" t="n"/>
      <c r="S181" s="110" t="n"/>
      <c r="T181" s="110" t="n"/>
      <c r="U181" s="110" t="n"/>
      <c r="V181" s="110" t="n"/>
      <c r="W181" s="110" t="n"/>
      <c r="X181" s="110" t="n"/>
      <c r="Y181" s="110" t="n"/>
      <c r="Z181" s="110" t="n"/>
    </row>
    <row r="182">
      <c r="A182" s="110" t="n"/>
      <c r="B182" s="110" t="n"/>
      <c r="C182" s="110" t="n"/>
      <c r="D182" s="110" t="n"/>
      <c r="E182" s="110" t="n"/>
      <c r="F182" s="110" t="n"/>
      <c r="G182" s="110" t="n"/>
      <c r="H182" s="110" t="n"/>
      <c r="I182" s="110" t="n"/>
      <c r="J182" s="110" t="n"/>
      <c r="K182" s="110" t="n"/>
      <c r="L182" s="110" t="n"/>
      <c r="M182" s="110" t="n"/>
      <c r="N182" s="110" t="n"/>
      <c r="O182" s="110" t="n"/>
      <c r="P182" s="110" t="n"/>
      <c r="Q182" s="110" t="n"/>
      <c r="R182" s="110" t="n"/>
      <c r="S182" s="110" t="n"/>
      <c r="T182" s="110" t="n"/>
      <c r="U182" s="110" t="n"/>
      <c r="V182" s="110" t="n"/>
      <c r="W182" s="110" t="n"/>
      <c r="X182" s="110" t="n"/>
      <c r="Y182" s="110" t="n"/>
      <c r="Z182" s="110" t="n"/>
    </row>
    <row r="183">
      <c r="A183" s="110" t="n"/>
      <c r="B183" s="110" t="n"/>
      <c r="C183" s="110" t="n"/>
      <c r="D183" s="110" t="n"/>
      <c r="E183" s="110" t="n"/>
      <c r="F183" s="110" t="n"/>
      <c r="G183" s="110" t="n"/>
      <c r="H183" s="110" t="n"/>
      <c r="I183" s="110" t="n"/>
      <c r="J183" s="110" t="n"/>
      <c r="K183" s="110" t="n"/>
      <c r="L183" s="110" t="n"/>
      <c r="M183" s="110" t="n"/>
      <c r="N183" s="110" t="n"/>
      <c r="O183" s="110" t="n"/>
      <c r="P183" s="110" t="n"/>
      <c r="Q183" s="110" t="n"/>
      <c r="R183" s="110" t="n"/>
      <c r="S183" s="110" t="n"/>
      <c r="T183" s="110" t="n"/>
      <c r="U183" s="110" t="n"/>
      <c r="V183" s="110" t="n"/>
      <c r="W183" s="110" t="n"/>
      <c r="X183" s="110" t="n"/>
      <c r="Y183" s="110" t="n"/>
      <c r="Z183" s="110" t="n"/>
    </row>
    <row r="184">
      <c r="A184" s="110" t="n"/>
      <c r="B184" s="110" t="n"/>
      <c r="C184" s="110" t="n"/>
      <c r="D184" s="110" t="n"/>
      <c r="E184" s="110" t="n"/>
      <c r="F184" s="110" t="n"/>
      <c r="G184" s="110" t="n"/>
      <c r="H184" s="110" t="n"/>
      <c r="I184" s="110" t="n"/>
      <c r="J184" s="110" t="n"/>
      <c r="K184" s="110" t="n"/>
      <c r="L184" s="110" t="n"/>
      <c r="M184" s="110" t="n"/>
      <c r="N184" s="110" t="n"/>
      <c r="O184" s="110" t="n"/>
      <c r="P184" s="110" t="n"/>
      <c r="Q184" s="110" t="n"/>
      <c r="R184" s="110" t="n"/>
      <c r="S184" s="110" t="n"/>
      <c r="T184" s="110" t="n"/>
      <c r="U184" s="110" t="n"/>
      <c r="V184" s="110" t="n"/>
      <c r="W184" s="110" t="n"/>
      <c r="X184" s="110" t="n"/>
      <c r="Y184" s="110" t="n"/>
      <c r="Z184" s="110" t="n"/>
    </row>
    <row r="185">
      <c r="A185" s="110" t="n"/>
      <c r="B185" s="110" t="n"/>
      <c r="C185" s="110" t="n"/>
      <c r="D185" s="110" t="n"/>
      <c r="E185" s="110" t="n"/>
      <c r="F185" s="110" t="n"/>
      <c r="G185" s="110" t="n"/>
      <c r="H185" s="110" t="n"/>
      <c r="I185" s="110" t="n"/>
      <c r="J185" s="110" t="n"/>
      <c r="K185" s="110" t="n"/>
      <c r="L185" s="110" t="n"/>
      <c r="M185" s="110" t="n"/>
      <c r="N185" s="110" t="n"/>
      <c r="O185" s="110" t="n"/>
      <c r="P185" s="110" t="n"/>
      <c r="Q185" s="110" t="n"/>
      <c r="R185" s="110" t="n"/>
      <c r="S185" s="110" t="n"/>
      <c r="T185" s="110" t="n"/>
      <c r="U185" s="110" t="n"/>
      <c r="V185" s="110" t="n"/>
      <c r="W185" s="110" t="n"/>
      <c r="X185" s="110" t="n"/>
      <c r="Y185" s="110" t="n"/>
      <c r="Z185" s="110" t="n"/>
    </row>
    <row r="186">
      <c r="A186" s="110" t="n"/>
      <c r="B186" s="110" t="n"/>
      <c r="C186" s="110" t="n"/>
      <c r="D186" s="110" t="n"/>
      <c r="E186" s="110" t="n"/>
      <c r="F186" s="110" t="n"/>
      <c r="G186" s="110" t="n"/>
      <c r="H186" s="110" t="n"/>
      <c r="I186" s="110" t="n"/>
      <c r="J186" s="110" t="n"/>
      <c r="K186" s="110" t="n"/>
      <c r="L186" s="110" t="n"/>
      <c r="M186" s="110" t="n"/>
      <c r="N186" s="110" t="n"/>
      <c r="O186" s="110" t="n"/>
      <c r="P186" s="110" t="n"/>
      <c r="Q186" s="110" t="n"/>
      <c r="R186" s="110" t="n"/>
      <c r="S186" s="110" t="n"/>
      <c r="T186" s="110" t="n"/>
      <c r="U186" s="110" t="n"/>
      <c r="V186" s="110" t="n"/>
      <c r="W186" s="110" t="n"/>
      <c r="X186" s="110" t="n"/>
      <c r="Y186" s="110" t="n"/>
      <c r="Z186" s="110" t="n"/>
    </row>
    <row r="187">
      <c r="A187" s="110" t="n"/>
      <c r="B187" s="110" t="n"/>
      <c r="C187" s="110" t="n"/>
      <c r="D187" s="110" t="n"/>
      <c r="E187" s="110" t="n"/>
      <c r="F187" s="110" t="n"/>
      <c r="G187" s="110" t="n"/>
      <c r="H187" s="110" t="n"/>
      <c r="I187" s="110" t="n"/>
      <c r="J187" s="110" t="n"/>
      <c r="K187" s="110" t="n"/>
      <c r="L187" s="110" t="n"/>
      <c r="M187" s="110" t="n"/>
      <c r="N187" s="110" t="n"/>
      <c r="O187" s="110" t="n"/>
      <c r="P187" s="110" t="n"/>
      <c r="Q187" s="110" t="n"/>
      <c r="R187" s="110" t="n"/>
      <c r="S187" s="110" t="n"/>
      <c r="T187" s="110" t="n"/>
      <c r="U187" s="110" t="n"/>
      <c r="V187" s="110" t="n"/>
      <c r="W187" s="110" t="n"/>
      <c r="X187" s="110" t="n"/>
      <c r="Y187" s="110" t="n"/>
      <c r="Z187" s="110" t="n"/>
    </row>
    <row r="188">
      <c r="A188" s="110" t="n"/>
      <c r="B188" s="110" t="n"/>
      <c r="C188" s="110" t="n"/>
      <c r="D188" s="110" t="n"/>
      <c r="E188" s="110" t="n"/>
      <c r="F188" s="110" t="n"/>
      <c r="G188" s="110" t="n"/>
      <c r="H188" s="110" t="n"/>
      <c r="I188" s="110" t="n"/>
      <c r="J188" s="110" t="n"/>
      <c r="K188" s="110" t="n"/>
      <c r="L188" s="110" t="n"/>
      <c r="M188" s="110" t="n"/>
      <c r="N188" s="110" t="n"/>
      <c r="O188" s="110" t="n"/>
      <c r="P188" s="110" t="n"/>
      <c r="Q188" s="110" t="n"/>
      <c r="R188" s="110" t="n"/>
      <c r="S188" s="110" t="n"/>
      <c r="T188" s="110" t="n"/>
      <c r="U188" s="110" t="n"/>
      <c r="V188" s="110" t="n"/>
      <c r="W188" s="110" t="n"/>
      <c r="X188" s="110" t="n"/>
      <c r="Y188" s="110" t="n"/>
      <c r="Z188" s="110" t="n"/>
    </row>
    <row r="189">
      <c r="A189" s="110" t="n"/>
      <c r="B189" s="110" t="n"/>
      <c r="C189" s="110" t="n"/>
      <c r="D189" s="110" t="n"/>
      <c r="E189" s="110" t="n"/>
      <c r="F189" s="110" t="n"/>
      <c r="G189" s="110" t="n"/>
      <c r="H189" s="110" t="n"/>
      <c r="I189" s="110" t="n"/>
      <c r="J189" s="110" t="n"/>
      <c r="K189" s="110" t="n"/>
      <c r="L189" s="110" t="n"/>
      <c r="M189" s="110" t="n"/>
      <c r="N189" s="110" t="n"/>
      <c r="O189" s="110" t="n"/>
      <c r="P189" s="110" t="n"/>
      <c r="Q189" s="110" t="n"/>
      <c r="R189" s="110" t="n"/>
      <c r="S189" s="110" t="n"/>
      <c r="T189" s="110" t="n"/>
      <c r="U189" s="110" t="n"/>
      <c r="V189" s="110" t="n"/>
      <c r="W189" s="110" t="n"/>
      <c r="X189" s="110" t="n"/>
      <c r="Y189" s="110" t="n"/>
      <c r="Z189" s="110" t="n"/>
    </row>
    <row r="190">
      <c r="A190" s="110" t="n"/>
      <c r="B190" s="110" t="n"/>
      <c r="C190" s="110" t="n"/>
      <c r="D190" s="110" t="n"/>
      <c r="E190" s="110" t="n"/>
      <c r="F190" s="110" t="n"/>
      <c r="G190" s="110" t="n"/>
      <c r="H190" s="110" t="n"/>
      <c r="I190" s="110" t="n"/>
      <c r="J190" s="110" t="n"/>
      <c r="K190" s="110" t="n"/>
      <c r="L190" s="110" t="n"/>
      <c r="M190" s="110" t="n"/>
      <c r="N190" s="110" t="n"/>
      <c r="O190" s="110" t="n"/>
      <c r="P190" s="110" t="n"/>
      <c r="Q190" s="110" t="n"/>
      <c r="R190" s="110" t="n"/>
      <c r="S190" s="110" t="n"/>
      <c r="T190" s="110" t="n"/>
      <c r="U190" s="110" t="n"/>
      <c r="V190" s="110" t="n"/>
      <c r="W190" s="110" t="n"/>
      <c r="X190" s="110" t="n"/>
      <c r="Y190" s="110" t="n"/>
      <c r="Z190" s="110" t="n"/>
    </row>
    <row r="191">
      <c r="A191" s="110" t="n"/>
      <c r="B191" s="110" t="n"/>
      <c r="C191" s="110" t="n"/>
      <c r="D191" s="110" t="n"/>
      <c r="E191" s="110" t="n"/>
      <c r="F191" s="110" t="n"/>
      <c r="G191" s="110" t="n"/>
      <c r="H191" s="110" t="n"/>
      <c r="I191" s="110" t="n"/>
      <c r="J191" s="110" t="n"/>
      <c r="K191" s="110" t="n"/>
      <c r="L191" s="110" t="n"/>
      <c r="M191" s="110" t="n"/>
      <c r="N191" s="110" t="n"/>
      <c r="O191" s="110" t="n"/>
      <c r="P191" s="110" t="n"/>
      <c r="Q191" s="110" t="n"/>
      <c r="R191" s="110" t="n"/>
      <c r="S191" s="110" t="n"/>
      <c r="T191" s="110" t="n"/>
      <c r="U191" s="110" t="n"/>
      <c r="V191" s="110" t="n"/>
      <c r="W191" s="110" t="n"/>
      <c r="X191" s="110" t="n"/>
      <c r="Y191" s="110" t="n"/>
      <c r="Z191" s="110" t="n"/>
    </row>
    <row r="192">
      <c r="A192" s="110" t="n"/>
      <c r="B192" s="110" t="n"/>
      <c r="C192" s="110" t="n"/>
      <c r="D192" s="110" t="n"/>
      <c r="E192" s="110" t="n"/>
      <c r="F192" s="110" t="n"/>
      <c r="G192" s="110" t="n"/>
      <c r="H192" s="110" t="n"/>
      <c r="I192" s="110" t="n"/>
      <c r="J192" s="110" t="n"/>
      <c r="K192" s="110" t="n"/>
      <c r="L192" s="110" t="n"/>
      <c r="M192" s="110" t="n"/>
      <c r="N192" s="110" t="n"/>
      <c r="O192" s="110" t="n"/>
      <c r="P192" s="110" t="n"/>
      <c r="Q192" s="110" t="n"/>
      <c r="R192" s="110" t="n"/>
      <c r="S192" s="110" t="n"/>
      <c r="T192" s="110" t="n"/>
      <c r="U192" s="110" t="n"/>
      <c r="V192" s="110" t="n"/>
      <c r="W192" s="110" t="n"/>
      <c r="X192" s="110" t="n"/>
      <c r="Y192" s="110" t="n"/>
      <c r="Z192" s="110" t="n"/>
    </row>
    <row r="193">
      <c r="A193" s="110" t="n"/>
      <c r="B193" s="110" t="n"/>
      <c r="C193" s="110" t="n"/>
      <c r="D193" s="110" t="n"/>
      <c r="E193" s="110" t="n"/>
      <c r="F193" s="110" t="n"/>
      <c r="G193" s="110" t="n"/>
      <c r="H193" s="110" t="n"/>
      <c r="I193" s="110" t="n"/>
      <c r="J193" s="110" t="n"/>
      <c r="K193" s="110" t="n"/>
      <c r="L193" s="110" t="n"/>
      <c r="M193" s="110" t="n"/>
      <c r="N193" s="110" t="n"/>
      <c r="O193" s="110" t="n"/>
      <c r="P193" s="110" t="n"/>
      <c r="Q193" s="110" t="n"/>
      <c r="R193" s="110" t="n"/>
      <c r="S193" s="110" t="n"/>
      <c r="T193" s="110" t="n"/>
      <c r="U193" s="110" t="n"/>
      <c r="V193" s="110" t="n"/>
      <c r="W193" s="110" t="n"/>
      <c r="X193" s="110" t="n"/>
      <c r="Y193" s="110" t="n"/>
      <c r="Z193" s="110" t="n"/>
    </row>
    <row r="194">
      <c r="A194" s="110" t="n"/>
      <c r="B194" s="110" t="n"/>
      <c r="C194" s="110" t="n"/>
      <c r="D194" s="110" t="n"/>
      <c r="E194" s="110" t="n"/>
      <c r="F194" s="110" t="n"/>
      <c r="G194" s="110" t="n"/>
      <c r="H194" s="110" t="n"/>
      <c r="I194" s="110" t="n"/>
      <c r="J194" s="110" t="n"/>
      <c r="K194" s="110" t="n"/>
      <c r="L194" s="110" t="n"/>
      <c r="M194" s="110" t="n"/>
      <c r="N194" s="110" t="n"/>
      <c r="O194" s="110" t="n"/>
      <c r="P194" s="110" t="n"/>
      <c r="Q194" s="110" t="n"/>
      <c r="R194" s="110" t="n"/>
      <c r="S194" s="110" t="n"/>
      <c r="T194" s="110" t="n"/>
      <c r="U194" s="110" t="n"/>
      <c r="V194" s="110" t="n"/>
      <c r="W194" s="110" t="n"/>
      <c r="X194" s="110" t="n"/>
      <c r="Y194" s="110" t="n"/>
      <c r="Z194" s="110" t="n"/>
    </row>
    <row r="195">
      <c r="A195" s="110" t="n"/>
      <c r="B195" s="110" t="n"/>
      <c r="C195" s="110" t="n"/>
      <c r="D195" s="110" t="n"/>
      <c r="E195" s="110" t="n"/>
      <c r="F195" s="110" t="n"/>
      <c r="G195" s="110" t="n"/>
      <c r="H195" s="110" t="n"/>
      <c r="I195" s="110" t="n"/>
      <c r="J195" s="110" t="n"/>
      <c r="K195" s="110" t="n"/>
      <c r="L195" s="110" t="n"/>
      <c r="M195" s="110" t="n"/>
      <c r="N195" s="110" t="n"/>
      <c r="O195" s="110" t="n"/>
      <c r="P195" s="110" t="n"/>
      <c r="Q195" s="110" t="n"/>
      <c r="R195" s="110" t="n"/>
      <c r="S195" s="110" t="n"/>
      <c r="T195" s="110" t="n"/>
      <c r="U195" s="110" t="n"/>
      <c r="V195" s="110" t="n"/>
      <c r="W195" s="110" t="n"/>
      <c r="X195" s="110" t="n"/>
      <c r="Y195" s="110" t="n"/>
      <c r="Z195" s="110" t="n"/>
    </row>
    <row r="196">
      <c r="A196" s="110" t="n"/>
      <c r="B196" s="110" t="n"/>
      <c r="C196" s="110" t="n"/>
      <c r="D196" s="110" t="n"/>
      <c r="E196" s="110" t="n"/>
      <c r="F196" s="110" t="n"/>
      <c r="G196" s="110" t="n"/>
      <c r="H196" s="110" t="n"/>
      <c r="I196" s="110" t="n"/>
      <c r="J196" s="110" t="n"/>
      <c r="K196" s="110" t="n"/>
      <c r="L196" s="110" t="n"/>
      <c r="M196" s="110" t="n"/>
      <c r="N196" s="110" t="n"/>
      <c r="O196" s="110" t="n"/>
      <c r="P196" s="110" t="n"/>
      <c r="Q196" s="110" t="n"/>
      <c r="R196" s="110" t="n"/>
      <c r="S196" s="110" t="n"/>
      <c r="T196" s="110" t="n"/>
      <c r="U196" s="110" t="n"/>
      <c r="V196" s="110" t="n"/>
      <c r="W196" s="110" t="n"/>
      <c r="X196" s="110" t="n"/>
      <c r="Y196" s="110" t="n"/>
      <c r="Z196" s="110" t="n"/>
    </row>
    <row r="197">
      <c r="A197" s="110" t="n"/>
      <c r="B197" s="110" t="n"/>
      <c r="C197" s="110" t="n"/>
      <c r="D197" s="110" t="n"/>
      <c r="E197" s="110" t="n"/>
      <c r="F197" s="110" t="n"/>
      <c r="G197" s="110" t="n"/>
      <c r="H197" s="110" t="n"/>
      <c r="I197" s="110" t="n"/>
      <c r="J197" s="110" t="n"/>
      <c r="K197" s="110" t="n"/>
      <c r="L197" s="110" t="n"/>
      <c r="M197" s="110" t="n"/>
      <c r="N197" s="110" t="n"/>
      <c r="O197" s="110" t="n"/>
      <c r="P197" s="110" t="n"/>
      <c r="Q197" s="110" t="n"/>
      <c r="R197" s="110" t="n"/>
      <c r="S197" s="110" t="n"/>
      <c r="T197" s="110" t="n"/>
      <c r="U197" s="110" t="n"/>
      <c r="V197" s="110" t="n"/>
      <c r="W197" s="110" t="n"/>
      <c r="X197" s="110" t="n"/>
      <c r="Y197" s="110" t="n"/>
      <c r="Z197" s="110" t="n"/>
    </row>
    <row r="198">
      <c r="A198" s="110" t="n"/>
      <c r="B198" s="110" t="n"/>
      <c r="C198" s="110" t="n"/>
      <c r="D198" s="110" t="n"/>
      <c r="E198" s="110" t="n"/>
      <c r="F198" s="110" t="n"/>
      <c r="G198" s="110" t="n"/>
      <c r="H198" s="110" t="n"/>
      <c r="I198" s="110" t="n"/>
      <c r="J198" s="110" t="n"/>
      <c r="K198" s="110" t="n"/>
      <c r="L198" s="110" t="n"/>
      <c r="M198" s="110" t="n"/>
      <c r="N198" s="110" t="n"/>
      <c r="O198" s="110" t="n"/>
      <c r="P198" s="110" t="n"/>
      <c r="Q198" s="110" t="n"/>
      <c r="R198" s="110" t="n"/>
      <c r="S198" s="110" t="n"/>
      <c r="T198" s="110" t="n"/>
      <c r="U198" s="110" t="n"/>
      <c r="V198" s="110" t="n"/>
      <c r="W198" s="110" t="n"/>
      <c r="X198" s="110" t="n"/>
      <c r="Y198" s="110" t="n"/>
      <c r="Z198" s="110" t="n"/>
    </row>
    <row r="199">
      <c r="A199" s="110" t="n"/>
      <c r="B199" s="110" t="n"/>
      <c r="C199" s="110" t="n"/>
      <c r="D199" s="110" t="n"/>
      <c r="E199" s="110" t="n"/>
      <c r="F199" s="110" t="n"/>
      <c r="G199" s="110" t="n"/>
      <c r="H199" s="110" t="n"/>
      <c r="I199" s="110" t="n"/>
      <c r="J199" s="110" t="n"/>
      <c r="K199" s="110" t="n"/>
      <c r="L199" s="110" t="n"/>
      <c r="M199" s="110" t="n"/>
      <c r="N199" s="110" t="n"/>
      <c r="O199" s="110" t="n"/>
      <c r="P199" s="110" t="n"/>
      <c r="Q199" s="110" t="n"/>
      <c r="R199" s="110" t="n"/>
      <c r="S199" s="110" t="n"/>
      <c r="T199" s="110" t="n"/>
      <c r="U199" s="110" t="n"/>
      <c r="V199" s="110" t="n"/>
      <c r="W199" s="110" t="n"/>
      <c r="X199" s="110" t="n"/>
      <c r="Y199" s="110" t="n"/>
      <c r="Z199" s="110" t="n"/>
    </row>
    <row r="200">
      <c r="A200" s="110" t="n"/>
      <c r="B200" s="110" t="n"/>
      <c r="C200" s="110" t="n"/>
      <c r="D200" s="110" t="n"/>
      <c r="E200" s="110" t="n"/>
      <c r="F200" s="110" t="n"/>
      <c r="G200" s="110" t="n"/>
      <c r="H200" s="110" t="n"/>
      <c r="I200" s="110" t="n"/>
      <c r="J200" s="110" t="n"/>
      <c r="K200" s="110" t="n"/>
      <c r="L200" s="110" t="n"/>
      <c r="M200" s="110" t="n"/>
      <c r="N200" s="110" t="n"/>
      <c r="O200" s="110" t="n"/>
      <c r="P200" s="110" t="n"/>
      <c r="Q200" s="110" t="n"/>
      <c r="R200" s="110" t="n"/>
      <c r="S200" s="110" t="n"/>
      <c r="T200" s="110" t="n"/>
      <c r="U200" s="110" t="n"/>
      <c r="V200" s="110" t="n"/>
      <c r="W200" s="110" t="n"/>
      <c r="X200" s="110" t="n"/>
      <c r="Y200" s="110" t="n"/>
      <c r="Z200" s="110" t="n"/>
    </row>
    <row r="201">
      <c r="A201" s="110" t="n"/>
      <c r="B201" s="110" t="n"/>
      <c r="C201" s="110" t="n"/>
      <c r="D201" s="110" t="n"/>
      <c r="E201" s="110" t="n"/>
      <c r="F201" s="110" t="n"/>
      <c r="G201" s="110" t="n"/>
      <c r="H201" s="110" t="n"/>
      <c r="I201" s="110" t="n"/>
      <c r="J201" s="110" t="n"/>
      <c r="K201" s="110" t="n"/>
      <c r="L201" s="110" t="n"/>
      <c r="M201" s="110" t="n"/>
      <c r="N201" s="110" t="n"/>
      <c r="O201" s="110" t="n"/>
      <c r="P201" s="110" t="n"/>
      <c r="Q201" s="110" t="n"/>
      <c r="R201" s="110" t="n"/>
      <c r="S201" s="110" t="n"/>
      <c r="T201" s="110" t="n"/>
      <c r="U201" s="110" t="n"/>
      <c r="V201" s="110" t="n"/>
      <c r="W201" s="110" t="n"/>
      <c r="X201" s="110" t="n"/>
      <c r="Y201" s="110" t="n"/>
      <c r="Z201" s="110" t="n"/>
    </row>
    <row r="202">
      <c r="A202" s="110" t="n"/>
      <c r="B202" s="110" t="n"/>
      <c r="C202" s="110" t="n"/>
      <c r="D202" s="110" t="n"/>
      <c r="E202" s="110" t="n"/>
      <c r="F202" s="110" t="n"/>
      <c r="G202" s="110" t="n"/>
      <c r="H202" s="110" t="n"/>
      <c r="I202" s="110" t="n"/>
      <c r="J202" s="110" t="n"/>
      <c r="K202" s="110" t="n"/>
      <c r="L202" s="110" t="n"/>
      <c r="M202" s="110" t="n"/>
      <c r="N202" s="110" t="n"/>
      <c r="O202" s="110" t="n"/>
      <c r="P202" s="110" t="n"/>
      <c r="Q202" s="110" t="n"/>
      <c r="R202" s="110" t="n"/>
      <c r="S202" s="110" t="n"/>
      <c r="T202" s="110" t="n"/>
      <c r="U202" s="110" t="n"/>
      <c r="V202" s="110" t="n"/>
      <c r="W202" s="110" t="n"/>
      <c r="X202" s="110" t="n"/>
      <c r="Y202" s="110" t="n"/>
      <c r="Z202" s="110" t="n"/>
    </row>
    <row r="203">
      <c r="A203" s="110" t="n"/>
      <c r="B203" s="110" t="n"/>
      <c r="C203" s="110" t="n"/>
      <c r="D203" s="110" t="n"/>
      <c r="E203" s="110" t="n"/>
      <c r="F203" s="110" t="n"/>
      <c r="G203" s="110" t="n"/>
      <c r="H203" s="110" t="n"/>
      <c r="I203" s="110" t="n"/>
      <c r="J203" s="110" t="n"/>
      <c r="K203" s="110" t="n"/>
      <c r="L203" s="110" t="n"/>
      <c r="M203" s="110" t="n"/>
      <c r="N203" s="110" t="n"/>
      <c r="O203" s="110" t="n"/>
      <c r="P203" s="110" t="n"/>
      <c r="Q203" s="110" t="n"/>
      <c r="R203" s="110" t="n"/>
      <c r="S203" s="110" t="n"/>
      <c r="T203" s="110" t="n"/>
      <c r="U203" s="110" t="n"/>
      <c r="V203" s="110" t="n"/>
      <c r="W203" s="110" t="n"/>
      <c r="X203" s="110" t="n"/>
      <c r="Y203" s="110" t="n"/>
      <c r="Z203" s="110" t="n"/>
    </row>
    <row r="204">
      <c r="A204" s="110" t="n"/>
      <c r="B204" s="110" t="n"/>
      <c r="C204" s="110" t="n"/>
      <c r="D204" s="110" t="n"/>
      <c r="E204" s="110" t="n"/>
      <c r="F204" s="110" t="n"/>
      <c r="G204" s="110" t="n"/>
      <c r="H204" s="110" t="n"/>
      <c r="I204" s="110" t="n"/>
      <c r="J204" s="110" t="n"/>
      <c r="K204" s="110" t="n"/>
      <c r="L204" s="110" t="n"/>
      <c r="M204" s="110" t="n"/>
      <c r="N204" s="110" t="n"/>
      <c r="O204" s="110" t="n"/>
      <c r="P204" s="110" t="n"/>
      <c r="Q204" s="110" t="n"/>
      <c r="R204" s="110" t="n"/>
      <c r="S204" s="110" t="n"/>
      <c r="T204" s="110" t="n"/>
      <c r="U204" s="110" t="n"/>
      <c r="V204" s="110" t="n"/>
      <c r="W204" s="110" t="n"/>
      <c r="X204" s="110" t="n"/>
      <c r="Y204" s="110" t="n"/>
      <c r="Z204" s="110" t="n"/>
    </row>
    <row r="205">
      <c r="A205" s="110" t="n"/>
      <c r="B205" s="110" t="n"/>
      <c r="C205" s="110" t="n"/>
      <c r="D205" s="110" t="n"/>
      <c r="E205" s="110" t="n"/>
      <c r="F205" s="110" t="n"/>
      <c r="G205" s="110" t="n"/>
      <c r="H205" s="110" t="n"/>
      <c r="I205" s="110" t="n"/>
      <c r="J205" s="110" t="n"/>
      <c r="K205" s="110" t="n"/>
      <c r="L205" s="110" t="n"/>
      <c r="M205" s="110" t="n"/>
      <c r="N205" s="110" t="n"/>
      <c r="O205" s="110" t="n"/>
      <c r="P205" s="110" t="n"/>
      <c r="Q205" s="110" t="n"/>
      <c r="R205" s="110" t="n"/>
      <c r="S205" s="110" t="n"/>
      <c r="T205" s="110" t="n"/>
      <c r="U205" s="110" t="n"/>
      <c r="V205" s="110" t="n"/>
      <c r="W205" s="110" t="n"/>
      <c r="X205" s="110" t="n"/>
      <c r="Y205" s="110" t="n"/>
      <c r="Z205" s="110" t="n"/>
    </row>
    <row r="206">
      <c r="A206" s="110" t="n"/>
      <c r="B206" s="110" t="n"/>
      <c r="C206" s="110" t="n"/>
      <c r="D206" s="110" t="n"/>
      <c r="E206" s="110" t="n"/>
      <c r="F206" s="110" t="n"/>
      <c r="G206" s="110" t="n"/>
      <c r="H206" s="110" t="n"/>
      <c r="I206" s="110" t="n"/>
      <c r="J206" s="110" t="n"/>
      <c r="K206" s="110" t="n"/>
      <c r="L206" s="110" t="n"/>
      <c r="M206" s="110" t="n"/>
      <c r="N206" s="110" t="n"/>
      <c r="O206" s="110" t="n"/>
      <c r="P206" s="110" t="n"/>
      <c r="Q206" s="110" t="n"/>
      <c r="R206" s="110" t="n"/>
      <c r="S206" s="110" t="n"/>
      <c r="T206" s="110" t="n"/>
      <c r="U206" s="110" t="n"/>
      <c r="V206" s="110" t="n"/>
      <c r="W206" s="110" t="n"/>
      <c r="X206" s="110" t="n"/>
      <c r="Y206" s="110" t="n"/>
      <c r="Z206" s="110" t="n"/>
    </row>
    <row r="207">
      <c r="A207" s="110" t="n"/>
      <c r="B207" s="110" t="n"/>
      <c r="C207" s="110" t="n"/>
      <c r="D207" s="110" t="n"/>
      <c r="E207" s="110" t="n"/>
      <c r="F207" s="110" t="n"/>
      <c r="G207" s="110" t="n"/>
      <c r="H207" s="110" t="n"/>
      <c r="I207" s="110" t="n"/>
      <c r="J207" s="110" t="n"/>
      <c r="K207" s="110" t="n"/>
      <c r="L207" s="110" t="n"/>
      <c r="M207" s="110" t="n"/>
      <c r="N207" s="110" t="n"/>
      <c r="O207" s="110" t="n"/>
      <c r="P207" s="110" t="n"/>
      <c r="Q207" s="110" t="n"/>
      <c r="R207" s="110" t="n"/>
      <c r="S207" s="110" t="n"/>
      <c r="T207" s="110" t="n"/>
      <c r="U207" s="110" t="n"/>
      <c r="V207" s="110" t="n"/>
      <c r="W207" s="110" t="n"/>
      <c r="X207" s="110" t="n"/>
      <c r="Y207" s="110" t="n"/>
      <c r="Z207" s="110" t="n"/>
    </row>
    <row r="208">
      <c r="A208" s="110" t="n"/>
      <c r="B208" s="110" t="n"/>
      <c r="C208" s="110" t="n"/>
      <c r="D208" s="110" t="n"/>
      <c r="E208" s="110" t="n"/>
      <c r="F208" s="110" t="n"/>
      <c r="G208" s="110" t="n"/>
      <c r="H208" s="110" t="n"/>
      <c r="I208" s="110" t="n"/>
      <c r="J208" s="110" t="n"/>
      <c r="K208" s="110" t="n"/>
      <c r="L208" s="110" t="n"/>
      <c r="M208" s="110" t="n"/>
      <c r="N208" s="110" t="n"/>
      <c r="O208" s="110" t="n"/>
      <c r="P208" s="110" t="n"/>
      <c r="Q208" s="110" t="n"/>
      <c r="R208" s="110" t="n"/>
      <c r="S208" s="110" t="n"/>
      <c r="T208" s="110" t="n"/>
      <c r="U208" s="110" t="n"/>
      <c r="V208" s="110" t="n"/>
      <c r="W208" s="110" t="n"/>
      <c r="X208" s="110" t="n"/>
      <c r="Y208" s="110" t="n"/>
      <c r="Z208" s="110" t="n"/>
    </row>
    <row r="209">
      <c r="A209" s="110" t="n"/>
      <c r="B209" s="110" t="n"/>
      <c r="C209" s="110" t="n"/>
      <c r="D209" s="110" t="n"/>
      <c r="E209" s="110" t="n"/>
      <c r="F209" s="110" t="n"/>
      <c r="G209" s="110" t="n"/>
      <c r="H209" s="110" t="n"/>
      <c r="I209" s="110" t="n"/>
      <c r="J209" s="110" t="n"/>
      <c r="K209" s="110" t="n"/>
      <c r="L209" s="110" t="n"/>
      <c r="M209" s="110" t="n"/>
      <c r="N209" s="110" t="n"/>
      <c r="O209" s="110" t="n"/>
      <c r="P209" s="110" t="n"/>
      <c r="Q209" s="110" t="n"/>
      <c r="R209" s="110" t="n"/>
      <c r="S209" s="110" t="n"/>
      <c r="T209" s="110" t="n"/>
      <c r="U209" s="110" t="n"/>
      <c r="V209" s="110" t="n"/>
      <c r="W209" s="110" t="n"/>
      <c r="X209" s="110" t="n"/>
      <c r="Y209" s="110" t="n"/>
      <c r="Z209" s="110" t="n"/>
    </row>
    <row r="210">
      <c r="A210" s="110" t="n"/>
      <c r="B210" s="110" t="n"/>
      <c r="C210" s="110" t="n"/>
      <c r="D210" s="110" t="n"/>
      <c r="E210" s="110" t="n"/>
      <c r="F210" s="110" t="n"/>
      <c r="G210" s="110" t="n"/>
      <c r="H210" s="110" t="n"/>
      <c r="I210" s="110" t="n"/>
      <c r="J210" s="110" t="n"/>
      <c r="K210" s="110" t="n"/>
      <c r="L210" s="110" t="n"/>
      <c r="M210" s="110" t="n"/>
      <c r="N210" s="110" t="n"/>
      <c r="O210" s="110" t="n"/>
      <c r="P210" s="110" t="n"/>
      <c r="Q210" s="110" t="n"/>
      <c r="R210" s="110" t="n"/>
      <c r="S210" s="110" t="n"/>
      <c r="T210" s="110" t="n"/>
      <c r="U210" s="110" t="n"/>
      <c r="V210" s="110" t="n"/>
      <c r="W210" s="110" t="n"/>
      <c r="X210" s="110" t="n"/>
      <c r="Y210" s="110" t="n"/>
      <c r="Z210" s="110" t="n"/>
    </row>
    <row r="211">
      <c r="A211" s="110" t="n"/>
      <c r="B211" s="110" t="n"/>
      <c r="C211" s="110" t="n"/>
      <c r="D211" s="110" t="n"/>
      <c r="E211" s="110" t="n"/>
      <c r="F211" s="110" t="n"/>
      <c r="G211" s="110" t="n"/>
      <c r="H211" s="110" t="n"/>
      <c r="I211" s="110" t="n"/>
      <c r="J211" s="110" t="n"/>
      <c r="K211" s="110" t="n"/>
      <c r="L211" s="110" t="n"/>
      <c r="M211" s="110" t="n"/>
      <c r="N211" s="110" t="n"/>
      <c r="O211" s="110" t="n"/>
      <c r="P211" s="110" t="n"/>
      <c r="Q211" s="110" t="n"/>
      <c r="R211" s="110" t="n"/>
      <c r="S211" s="110" t="n"/>
      <c r="T211" s="110" t="n"/>
      <c r="U211" s="110" t="n"/>
      <c r="V211" s="110" t="n"/>
      <c r="W211" s="110" t="n"/>
      <c r="X211" s="110" t="n"/>
      <c r="Y211" s="110" t="n"/>
      <c r="Z211" s="110" t="n"/>
    </row>
    <row r="212">
      <c r="A212" s="110" t="n"/>
      <c r="B212" s="110" t="n"/>
      <c r="C212" s="110" t="n"/>
      <c r="D212" s="110" t="n"/>
      <c r="E212" s="110" t="n"/>
      <c r="F212" s="110" t="n"/>
      <c r="G212" s="110" t="n"/>
      <c r="H212" s="110" t="n"/>
      <c r="I212" s="110" t="n"/>
      <c r="J212" s="110" t="n"/>
      <c r="K212" s="110" t="n"/>
      <c r="L212" s="110" t="n"/>
      <c r="M212" s="110" t="n"/>
      <c r="N212" s="110" t="n"/>
      <c r="O212" s="110" t="n"/>
      <c r="P212" s="110" t="n"/>
      <c r="Q212" s="110" t="n"/>
      <c r="R212" s="110" t="n"/>
      <c r="S212" s="110" t="n"/>
      <c r="T212" s="110" t="n"/>
      <c r="U212" s="110" t="n"/>
      <c r="V212" s="110" t="n"/>
      <c r="W212" s="110" t="n"/>
      <c r="X212" s="110" t="n"/>
      <c r="Y212" s="110" t="n"/>
      <c r="Z212" s="110" t="n"/>
    </row>
    <row r="213">
      <c r="A213" s="110" t="n"/>
      <c r="B213" s="110" t="n"/>
      <c r="C213" s="110" t="n"/>
      <c r="D213" s="110" t="n"/>
      <c r="E213" s="110" t="n"/>
      <c r="F213" s="110" t="n"/>
      <c r="G213" s="110" t="n"/>
      <c r="H213" s="110" t="n"/>
      <c r="I213" s="110" t="n"/>
      <c r="J213" s="110" t="n"/>
      <c r="K213" s="110" t="n"/>
      <c r="L213" s="110" t="n"/>
      <c r="M213" s="110" t="n"/>
      <c r="N213" s="110" t="n"/>
      <c r="O213" s="110" t="n"/>
      <c r="P213" s="110" t="n"/>
      <c r="Q213" s="110" t="n"/>
      <c r="R213" s="110" t="n"/>
      <c r="S213" s="110" t="n"/>
      <c r="T213" s="110" t="n"/>
      <c r="U213" s="110" t="n"/>
      <c r="V213" s="110" t="n"/>
      <c r="W213" s="110" t="n"/>
      <c r="X213" s="110" t="n"/>
      <c r="Y213" s="110" t="n"/>
      <c r="Z213" s="110" t="n"/>
    </row>
    <row r="214">
      <c r="A214" s="110" t="n"/>
      <c r="B214" s="110" t="n"/>
      <c r="C214" s="110" t="n"/>
      <c r="D214" s="110" t="n"/>
      <c r="E214" s="110" t="n"/>
      <c r="F214" s="110" t="n"/>
      <c r="G214" s="110" t="n"/>
      <c r="H214" s="110" t="n"/>
      <c r="I214" s="110" t="n"/>
      <c r="J214" s="110" t="n"/>
      <c r="K214" s="110" t="n"/>
      <c r="L214" s="110" t="n"/>
      <c r="M214" s="110" t="n"/>
      <c r="N214" s="110" t="n"/>
      <c r="O214" s="110" t="n"/>
      <c r="P214" s="110" t="n"/>
      <c r="Q214" s="110" t="n"/>
      <c r="R214" s="110" t="n"/>
      <c r="S214" s="110" t="n"/>
      <c r="T214" s="110" t="n"/>
      <c r="U214" s="110" t="n"/>
      <c r="V214" s="110" t="n"/>
      <c r="W214" s="110" t="n"/>
      <c r="X214" s="110" t="n"/>
      <c r="Y214" s="110" t="n"/>
      <c r="Z214" s="110" t="n"/>
    </row>
    <row r="215">
      <c r="A215" s="110" t="n"/>
      <c r="B215" s="110" t="n"/>
      <c r="C215" s="110" t="n"/>
      <c r="D215" s="110" t="n"/>
      <c r="E215" s="110" t="n"/>
      <c r="F215" s="110" t="n"/>
      <c r="G215" s="110" t="n"/>
      <c r="H215" s="110" t="n"/>
      <c r="I215" s="110" t="n"/>
      <c r="J215" s="110" t="n"/>
      <c r="K215" s="110" t="n"/>
      <c r="L215" s="110" t="n"/>
      <c r="M215" s="110" t="n"/>
      <c r="N215" s="110" t="n"/>
      <c r="O215" s="110" t="n"/>
      <c r="P215" s="110" t="n"/>
      <c r="Q215" s="110" t="n"/>
      <c r="R215" s="110" t="n"/>
      <c r="S215" s="110" t="n"/>
      <c r="T215" s="110" t="n"/>
      <c r="U215" s="110" t="n"/>
      <c r="V215" s="110" t="n"/>
      <c r="W215" s="110" t="n"/>
      <c r="X215" s="110" t="n"/>
      <c r="Y215" s="110" t="n"/>
      <c r="Z215" s="110" t="n"/>
    </row>
    <row r="216">
      <c r="A216" s="110" t="n"/>
      <c r="B216" s="110" t="n"/>
      <c r="C216" s="110" t="n"/>
      <c r="D216" s="110" t="n"/>
      <c r="E216" s="110" t="n"/>
      <c r="F216" s="110" t="n"/>
      <c r="G216" s="110" t="n"/>
      <c r="H216" s="110" t="n"/>
      <c r="I216" s="110" t="n"/>
      <c r="J216" s="110" t="n"/>
      <c r="K216" s="110" t="n"/>
      <c r="L216" s="110" t="n"/>
      <c r="M216" s="110" t="n"/>
      <c r="N216" s="110" t="n"/>
      <c r="O216" s="110" t="n"/>
      <c r="P216" s="110" t="n"/>
      <c r="Q216" s="110" t="n"/>
      <c r="R216" s="110" t="n"/>
      <c r="S216" s="110" t="n"/>
      <c r="T216" s="110" t="n"/>
      <c r="U216" s="110" t="n"/>
      <c r="V216" s="110" t="n"/>
      <c r="W216" s="110" t="n"/>
      <c r="X216" s="110" t="n"/>
      <c r="Y216" s="110" t="n"/>
      <c r="Z216" s="110" t="n"/>
    </row>
    <row r="217">
      <c r="A217" s="110" t="n"/>
      <c r="B217" s="110" t="n"/>
      <c r="C217" s="110" t="n"/>
      <c r="D217" s="110" t="n"/>
      <c r="E217" s="110" t="n"/>
      <c r="F217" s="110" t="n"/>
      <c r="G217" s="110" t="n"/>
      <c r="H217" s="110" t="n"/>
      <c r="I217" s="110" t="n"/>
      <c r="J217" s="110" t="n"/>
      <c r="K217" s="110" t="n"/>
      <c r="L217" s="110" t="n"/>
      <c r="M217" s="110" t="n"/>
      <c r="N217" s="110" t="n"/>
      <c r="O217" s="110" t="n"/>
      <c r="P217" s="110" t="n"/>
      <c r="Q217" s="110" t="n"/>
      <c r="R217" s="110" t="n"/>
      <c r="S217" s="110" t="n"/>
      <c r="T217" s="110" t="n"/>
      <c r="U217" s="110" t="n"/>
      <c r="V217" s="110" t="n"/>
      <c r="W217" s="110" t="n"/>
      <c r="X217" s="110" t="n"/>
      <c r="Y217" s="110" t="n"/>
      <c r="Z217" s="110" t="n"/>
    </row>
    <row r="218">
      <c r="A218" s="110" t="n"/>
      <c r="B218" s="110" t="n"/>
      <c r="C218" s="110" t="n"/>
      <c r="D218" s="110" t="n"/>
      <c r="E218" s="110" t="n"/>
      <c r="F218" s="110" t="n"/>
      <c r="G218" s="110" t="n"/>
      <c r="H218" s="110" t="n"/>
      <c r="I218" s="110" t="n"/>
      <c r="J218" s="110" t="n"/>
      <c r="K218" s="110" t="n"/>
      <c r="L218" s="110" t="n"/>
      <c r="M218" s="110" t="n"/>
      <c r="N218" s="110" t="n"/>
      <c r="O218" s="110" t="n"/>
      <c r="P218" s="110" t="n"/>
      <c r="Q218" s="110" t="n"/>
      <c r="R218" s="110" t="n"/>
      <c r="S218" s="110" t="n"/>
      <c r="T218" s="110" t="n"/>
      <c r="U218" s="110" t="n"/>
      <c r="V218" s="110" t="n"/>
      <c r="W218" s="110" t="n"/>
      <c r="X218" s="110" t="n"/>
      <c r="Y218" s="110" t="n"/>
      <c r="Z218" s="110" t="n"/>
    </row>
    <row r="219">
      <c r="A219" s="110" t="n"/>
      <c r="B219" s="110" t="n"/>
      <c r="C219" s="110" t="n"/>
      <c r="D219" s="110" t="n"/>
      <c r="E219" s="110" t="n"/>
      <c r="F219" s="110" t="n"/>
      <c r="G219" s="110" t="n"/>
      <c r="H219" s="110" t="n"/>
      <c r="I219" s="110" t="n"/>
      <c r="J219" s="110" t="n"/>
      <c r="K219" s="110" t="n"/>
      <c r="L219" s="110" t="n"/>
      <c r="M219" s="110" t="n"/>
      <c r="N219" s="110" t="n"/>
      <c r="O219" s="110" t="n"/>
      <c r="P219" s="110" t="n"/>
      <c r="Q219" s="110" t="n"/>
      <c r="R219" s="110" t="n"/>
      <c r="S219" s="110" t="n"/>
      <c r="T219" s="110" t="n"/>
      <c r="U219" s="110" t="n"/>
      <c r="V219" s="110" t="n"/>
      <c r="W219" s="110" t="n"/>
      <c r="X219" s="110" t="n"/>
      <c r="Y219" s="110" t="n"/>
      <c r="Z219" s="110" t="n"/>
    </row>
    <row r="220">
      <c r="A220" s="110" t="n"/>
      <c r="B220" s="110" t="n"/>
      <c r="C220" s="110" t="n"/>
      <c r="D220" s="110" t="n"/>
      <c r="E220" s="110" t="n"/>
      <c r="F220" s="110" t="n"/>
      <c r="G220" s="110" t="n"/>
      <c r="H220" s="110" t="n"/>
      <c r="I220" s="110" t="n"/>
      <c r="J220" s="110" t="n"/>
      <c r="K220" s="110" t="n"/>
      <c r="L220" s="110" t="n"/>
      <c r="M220" s="110" t="n"/>
      <c r="N220" s="110" t="n"/>
      <c r="O220" s="110" t="n"/>
      <c r="P220" s="110" t="n"/>
      <c r="Q220" s="110" t="n"/>
      <c r="R220" s="110" t="n"/>
      <c r="S220" s="110" t="n"/>
      <c r="T220" s="110" t="n"/>
      <c r="U220" s="110" t="n"/>
      <c r="V220" s="110" t="n"/>
      <c r="W220" s="110" t="n"/>
      <c r="X220" s="110" t="n"/>
      <c r="Y220" s="110" t="n"/>
      <c r="Z220" s="110" t="n"/>
    </row>
    <row r="221">
      <c r="A221" s="110" t="n"/>
      <c r="B221" s="110" t="n"/>
      <c r="C221" s="110" t="n"/>
      <c r="D221" s="110" t="n"/>
      <c r="E221" s="110" t="n"/>
      <c r="F221" s="110" t="n"/>
      <c r="G221" s="110" t="n"/>
      <c r="H221" s="110" t="n"/>
      <c r="I221" s="110" t="n"/>
      <c r="J221" s="110" t="n"/>
      <c r="K221" s="110" t="n"/>
      <c r="L221" s="110" t="n"/>
      <c r="M221" s="110" t="n"/>
      <c r="N221" s="110" t="n"/>
      <c r="O221" s="110" t="n"/>
      <c r="P221" s="110" t="n"/>
      <c r="Q221" s="110" t="n"/>
      <c r="R221" s="110" t="n"/>
      <c r="S221" s="110" t="n"/>
      <c r="T221" s="110" t="n"/>
      <c r="U221" s="110" t="n"/>
      <c r="V221" s="110" t="n"/>
      <c r="W221" s="110" t="n"/>
      <c r="X221" s="110" t="n"/>
      <c r="Y221" s="110" t="n"/>
      <c r="Z221" s="110" t="n"/>
    </row>
    <row r="222">
      <c r="A222" s="110" t="n"/>
      <c r="B222" s="110" t="n"/>
      <c r="C222" s="110" t="n"/>
      <c r="D222" s="110" t="n"/>
      <c r="E222" s="110" t="n"/>
      <c r="F222" s="110" t="n"/>
      <c r="G222" s="110" t="n"/>
      <c r="H222" s="110" t="n"/>
      <c r="I222" s="110" t="n"/>
      <c r="J222" s="110" t="n"/>
      <c r="K222" s="110" t="n"/>
      <c r="L222" s="110" t="n"/>
      <c r="M222" s="110" t="n"/>
      <c r="N222" s="110" t="n"/>
      <c r="O222" s="110" t="n"/>
      <c r="P222" s="110" t="n"/>
      <c r="Q222" s="110" t="n"/>
      <c r="R222" s="110" t="n"/>
      <c r="S222" s="110" t="n"/>
      <c r="T222" s="110" t="n"/>
      <c r="U222" s="110" t="n"/>
      <c r="V222" s="110" t="n"/>
      <c r="W222" s="110" t="n"/>
      <c r="X222" s="110" t="n"/>
      <c r="Y222" s="110" t="n"/>
      <c r="Z222" s="110" t="n"/>
    </row>
    <row r="223">
      <c r="A223" s="110" t="n"/>
      <c r="B223" s="110" t="n"/>
      <c r="C223" s="110" t="n"/>
      <c r="D223" s="110" t="n"/>
      <c r="E223" s="110" t="n"/>
      <c r="F223" s="110" t="n"/>
      <c r="G223" s="110" t="n"/>
      <c r="H223" s="110" t="n"/>
      <c r="I223" s="110" t="n"/>
      <c r="J223" s="110" t="n"/>
      <c r="K223" s="110" t="n"/>
      <c r="L223" s="110" t="n"/>
      <c r="M223" s="110" t="n"/>
      <c r="N223" s="110" t="n"/>
      <c r="O223" s="110" t="n"/>
      <c r="P223" s="110" t="n"/>
      <c r="Q223" s="110" t="n"/>
      <c r="R223" s="110" t="n"/>
      <c r="S223" s="110" t="n"/>
      <c r="T223" s="110" t="n"/>
      <c r="U223" s="110" t="n"/>
      <c r="V223" s="110" t="n"/>
      <c r="W223" s="110" t="n"/>
      <c r="X223" s="110" t="n"/>
      <c r="Y223" s="110" t="n"/>
      <c r="Z223" s="110" t="n"/>
    </row>
    <row r="224">
      <c r="A224" s="110" t="n"/>
      <c r="B224" s="110" t="n"/>
      <c r="C224" s="110" t="n"/>
      <c r="D224" s="110" t="n"/>
      <c r="E224" s="110" t="n"/>
      <c r="F224" s="110" t="n"/>
      <c r="G224" s="110" t="n"/>
      <c r="H224" s="110" t="n"/>
      <c r="I224" s="110" t="n"/>
      <c r="J224" s="110" t="n"/>
      <c r="K224" s="110" t="n"/>
      <c r="L224" s="110" t="n"/>
      <c r="M224" s="110" t="n"/>
      <c r="N224" s="110" t="n"/>
      <c r="O224" s="110" t="n"/>
      <c r="P224" s="110" t="n"/>
      <c r="Q224" s="110" t="n"/>
      <c r="R224" s="110" t="n"/>
      <c r="S224" s="110" t="n"/>
      <c r="T224" s="110" t="n"/>
      <c r="U224" s="110" t="n"/>
      <c r="V224" s="110" t="n"/>
      <c r="W224" s="110" t="n"/>
      <c r="X224" s="110" t="n"/>
      <c r="Y224" s="110" t="n"/>
      <c r="Z224" s="110" t="n"/>
    </row>
    <row r="225">
      <c r="A225" s="110" t="n"/>
      <c r="B225" s="110" t="n"/>
      <c r="C225" s="110" t="n"/>
      <c r="D225" s="110" t="n"/>
      <c r="E225" s="110" t="n"/>
      <c r="F225" s="110" t="n"/>
      <c r="G225" s="110" t="n"/>
      <c r="H225" s="110" t="n"/>
      <c r="I225" s="110" t="n"/>
      <c r="J225" s="110" t="n"/>
      <c r="K225" s="110" t="n"/>
      <c r="L225" s="110" t="n"/>
      <c r="M225" s="110" t="n"/>
      <c r="N225" s="110" t="n"/>
      <c r="O225" s="110" t="n"/>
      <c r="P225" s="110" t="n"/>
      <c r="Q225" s="110" t="n"/>
      <c r="R225" s="110" t="n"/>
      <c r="S225" s="110" t="n"/>
      <c r="T225" s="110" t="n"/>
      <c r="U225" s="110" t="n"/>
      <c r="V225" s="110" t="n"/>
      <c r="W225" s="110" t="n"/>
      <c r="X225" s="110" t="n"/>
      <c r="Y225" s="110" t="n"/>
      <c r="Z225" s="110" t="n"/>
    </row>
    <row r="226">
      <c r="A226" s="110" t="n"/>
      <c r="B226" s="110" t="n"/>
      <c r="C226" s="110" t="n"/>
      <c r="D226" s="110" t="n"/>
      <c r="E226" s="110" t="n"/>
      <c r="F226" s="110" t="n"/>
      <c r="G226" s="110" t="n"/>
      <c r="H226" s="110" t="n"/>
      <c r="I226" s="110" t="n"/>
      <c r="J226" s="110" t="n"/>
      <c r="K226" s="110" t="n"/>
      <c r="L226" s="110" t="n"/>
      <c r="M226" s="110" t="n"/>
      <c r="N226" s="110" t="n"/>
      <c r="O226" s="110" t="n"/>
      <c r="P226" s="110" t="n"/>
      <c r="Q226" s="110" t="n"/>
      <c r="R226" s="110" t="n"/>
      <c r="S226" s="110" t="n"/>
      <c r="T226" s="110" t="n"/>
      <c r="U226" s="110" t="n"/>
      <c r="V226" s="110" t="n"/>
      <c r="W226" s="110" t="n"/>
      <c r="X226" s="110" t="n"/>
      <c r="Y226" s="110" t="n"/>
      <c r="Z226" s="110" t="n"/>
    </row>
    <row r="227">
      <c r="A227" s="110" t="n"/>
      <c r="B227" s="110" t="n"/>
      <c r="C227" s="110" t="n"/>
      <c r="D227" s="110" t="n"/>
      <c r="E227" s="110" t="n"/>
      <c r="F227" s="110" t="n"/>
      <c r="G227" s="110" t="n"/>
      <c r="H227" s="110" t="n"/>
      <c r="I227" s="110" t="n"/>
      <c r="J227" s="110" t="n"/>
      <c r="K227" s="110" t="n"/>
      <c r="L227" s="110" t="n"/>
      <c r="M227" s="110" t="n"/>
      <c r="N227" s="110" t="n"/>
      <c r="O227" s="110" t="n"/>
      <c r="P227" s="110" t="n"/>
      <c r="Q227" s="110" t="n"/>
      <c r="R227" s="110" t="n"/>
      <c r="S227" s="110" t="n"/>
      <c r="T227" s="110" t="n"/>
      <c r="U227" s="110" t="n"/>
      <c r="V227" s="110" t="n"/>
      <c r="W227" s="110" t="n"/>
      <c r="X227" s="110" t="n"/>
      <c r="Y227" s="110" t="n"/>
      <c r="Z227" s="110" t="n"/>
    </row>
    <row r="228">
      <c r="A228" s="110" t="n"/>
      <c r="B228" s="110" t="n"/>
      <c r="C228" s="110" t="n"/>
      <c r="D228" s="110" t="n"/>
      <c r="E228" s="110" t="n"/>
      <c r="F228" s="110" t="n"/>
      <c r="G228" s="110" t="n"/>
      <c r="H228" s="110" t="n"/>
      <c r="I228" s="110" t="n"/>
      <c r="J228" s="110" t="n"/>
      <c r="K228" s="110" t="n"/>
      <c r="L228" s="110" t="n"/>
      <c r="M228" s="110" t="n"/>
      <c r="N228" s="110" t="n"/>
      <c r="O228" s="110" t="n"/>
      <c r="P228" s="110" t="n"/>
      <c r="Q228" s="110" t="n"/>
      <c r="R228" s="110" t="n"/>
      <c r="S228" s="110" t="n"/>
      <c r="T228" s="110" t="n"/>
      <c r="U228" s="110" t="n"/>
      <c r="V228" s="110" t="n"/>
      <c r="W228" s="110" t="n"/>
      <c r="X228" s="110" t="n"/>
      <c r="Y228" s="110" t="n"/>
      <c r="Z228" s="110" t="n"/>
    </row>
    <row r="229">
      <c r="A229" s="110" t="n"/>
      <c r="B229" s="110" t="n"/>
      <c r="C229" s="110" t="n"/>
      <c r="D229" s="110" t="n"/>
      <c r="E229" s="110" t="n"/>
      <c r="F229" s="110" t="n"/>
      <c r="G229" s="110" t="n"/>
      <c r="H229" s="110" t="n"/>
      <c r="I229" s="110" t="n"/>
      <c r="J229" s="110" t="n"/>
      <c r="K229" s="110" t="n"/>
      <c r="L229" s="110" t="n"/>
      <c r="M229" s="110" t="n"/>
      <c r="N229" s="110" t="n"/>
      <c r="O229" s="110" t="n"/>
      <c r="P229" s="110" t="n"/>
      <c r="Q229" s="110" t="n"/>
      <c r="R229" s="110" t="n"/>
      <c r="S229" s="110" t="n"/>
      <c r="T229" s="110" t="n"/>
      <c r="U229" s="110" t="n"/>
      <c r="V229" s="110" t="n"/>
      <c r="W229" s="110" t="n"/>
      <c r="X229" s="110" t="n"/>
      <c r="Y229" s="110" t="n"/>
      <c r="Z229" s="110" t="n"/>
    </row>
    <row r="230">
      <c r="A230" s="110" t="n"/>
      <c r="B230" s="110" t="n"/>
      <c r="C230" s="110" t="n"/>
      <c r="D230" s="110" t="n"/>
      <c r="E230" s="110" t="n"/>
      <c r="F230" s="110" t="n"/>
      <c r="G230" s="110" t="n"/>
      <c r="H230" s="110" t="n"/>
      <c r="I230" s="110" t="n"/>
      <c r="J230" s="110" t="n"/>
      <c r="K230" s="110" t="n"/>
      <c r="L230" s="110" t="n"/>
      <c r="M230" s="110" t="n"/>
      <c r="N230" s="110" t="n"/>
      <c r="O230" s="110" t="n"/>
      <c r="P230" s="110" t="n"/>
      <c r="Q230" s="110" t="n"/>
      <c r="R230" s="110" t="n"/>
      <c r="S230" s="110" t="n"/>
      <c r="T230" s="110" t="n"/>
      <c r="U230" s="110" t="n"/>
      <c r="V230" s="110" t="n"/>
      <c r="W230" s="110" t="n"/>
      <c r="X230" s="110" t="n"/>
      <c r="Y230" s="110" t="n"/>
      <c r="Z230" s="110" t="n"/>
    </row>
    <row r="231">
      <c r="A231" s="110" t="n"/>
      <c r="B231" s="110" t="n"/>
      <c r="C231" s="110" t="n"/>
      <c r="D231" s="110" t="n"/>
      <c r="E231" s="110" t="n"/>
      <c r="F231" s="110" t="n"/>
      <c r="G231" s="110" t="n"/>
      <c r="H231" s="110" t="n"/>
      <c r="I231" s="110" t="n"/>
      <c r="J231" s="110" t="n"/>
      <c r="K231" s="110" t="n"/>
      <c r="L231" s="110" t="n"/>
      <c r="M231" s="110" t="n"/>
      <c r="N231" s="110" t="n"/>
      <c r="O231" s="110" t="n"/>
      <c r="P231" s="110" t="n"/>
      <c r="Q231" s="110" t="n"/>
      <c r="R231" s="110" t="n"/>
      <c r="S231" s="110" t="n"/>
      <c r="T231" s="110" t="n"/>
      <c r="U231" s="110" t="n"/>
      <c r="V231" s="110" t="n"/>
      <c r="W231" s="110" t="n"/>
      <c r="X231" s="110" t="n"/>
      <c r="Y231" s="110" t="n"/>
      <c r="Z231" s="110" t="n"/>
    </row>
    <row r="232">
      <c r="A232" s="110" t="n"/>
      <c r="B232" s="110" t="n"/>
      <c r="C232" s="110" t="n"/>
      <c r="D232" s="110" t="n"/>
      <c r="E232" s="110" t="n"/>
      <c r="F232" s="110" t="n"/>
      <c r="G232" s="110" t="n"/>
      <c r="H232" s="110" t="n"/>
      <c r="I232" s="110" t="n"/>
      <c r="J232" s="110" t="n"/>
      <c r="K232" s="110" t="n"/>
      <c r="L232" s="110" t="n"/>
      <c r="M232" s="110" t="n"/>
      <c r="N232" s="110" t="n"/>
      <c r="O232" s="110" t="n"/>
      <c r="P232" s="110" t="n"/>
      <c r="Q232" s="110" t="n"/>
      <c r="R232" s="110" t="n"/>
      <c r="S232" s="110" t="n"/>
      <c r="T232" s="110" t="n"/>
      <c r="U232" s="110" t="n"/>
      <c r="V232" s="110" t="n"/>
      <c r="W232" s="110" t="n"/>
      <c r="X232" s="110" t="n"/>
      <c r="Y232" s="110" t="n"/>
      <c r="Z232" s="110" t="n"/>
    </row>
    <row r="233">
      <c r="A233" s="110" t="n"/>
      <c r="B233" s="110" t="n"/>
      <c r="C233" s="110" t="n"/>
      <c r="D233" s="110" t="n"/>
      <c r="E233" s="110" t="n"/>
      <c r="F233" s="110" t="n"/>
      <c r="G233" s="110" t="n"/>
      <c r="H233" s="110" t="n"/>
      <c r="I233" s="110" t="n"/>
      <c r="J233" s="110" t="n"/>
      <c r="K233" s="110" t="n"/>
      <c r="L233" s="110" t="n"/>
      <c r="M233" s="110" t="n"/>
      <c r="N233" s="110" t="n"/>
      <c r="O233" s="110" t="n"/>
      <c r="P233" s="110" t="n"/>
      <c r="Q233" s="110" t="n"/>
      <c r="R233" s="110" t="n"/>
      <c r="S233" s="110" t="n"/>
      <c r="T233" s="110" t="n"/>
      <c r="U233" s="110" t="n"/>
      <c r="V233" s="110" t="n"/>
      <c r="W233" s="110" t="n"/>
      <c r="X233" s="110" t="n"/>
      <c r="Y233" s="110" t="n"/>
      <c r="Z233" s="110" t="n"/>
    </row>
    <row r="234">
      <c r="A234" s="110" t="n"/>
      <c r="B234" s="110" t="n"/>
      <c r="C234" s="110" t="n"/>
      <c r="D234" s="110" t="n"/>
      <c r="E234" s="110" t="n"/>
      <c r="F234" s="110" t="n"/>
      <c r="G234" s="110" t="n"/>
      <c r="H234" s="110" t="n"/>
      <c r="I234" s="110" t="n"/>
      <c r="J234" s="110" t="n"/>
      <c r="K234" s="110" t="n"/>
      <c r="L234" s="110" t="n"/>
      <c r="M234" s="110" t="n"/>
      <c r="N234" s="110" t="n"/>
      <c r="O234" s="110" t="n"/>
      <c r="P234" s="110" t="n"/>
      <c r="Q234" s="110" t="n"/>
      <c r="R234" s="110" t="n"/>
      <c r="S234" s="110" t="n"/>
      <c r="T234" s="110" t="n"/>
      <c r="U234" s="110" t="n"/>
      <c r="V234" s="110" t="n"/>
      <c r="W234" s="110" t="n"/>
      <c r="X234" s="110" t="n"/>
      <c r="Y234" s="110" t="n"/>
      <c r="Z234" s="110" t="n"/>
    </row>
    <row r="235">
      <c r="A235" s="110" t="n"/>
      <c r="B235" s="110" t="n"/>
      <c r="C235" s="110" t="n"/>
      <c r="D235" s="110" t="n"/>
      <c r="E235" s="110" t="n"/>
      <c r="F235" s="110" t="n"/>
      <c r="G235" s="110" t="n"/>
      <c r="H235" s="110" t="n"/>
      <c r="I235" s="110" t="n"/>
      <c r="J235" s="110" t="n"/>
      <c r="K235" s="110" t="n"/>
      <c r="L235" s="110" t="n"/>
      <c r="M235" s="110" t="n"/>
      <c r="N235" s="110" t="n"/>
      <c r="O235" s="110" t="n"/>
      <c r="P235" s="110" t="n"/>
      <c r="Q235" s="110" t="n"/>
      <c r="R235" s="110" t="n"/>
      <c r="S235" s="110" t="n"/>
      <c r="T235" s="110" t="n"/>
      <c r="U235" s="110" t="n"/>
      <c r="V235" s="110" t="n"/>
      <c r="W235" s="110" t="n"/>
      <c r="X235" s="110" t="n"/>
      <c r="Y235" s="110" t="n"/>
      <c r="Z235" s="110" t="n"/>
    </row>
    <row r="236">
      <c r="A236" s="110" t="n"/>
      <c r="B236" s="110" t="n"/>
      <c r="C236" s="110" t="n"/>
      <c r="D236" s="110" t="n"/>
      <c r="E236" s="110" t="n"/>
      <c r="F236" s="110" t="n"/>
      <c r="G236" s="110" t="n"/>
      <c r="H236" s="110" t="n"/>
      <c r="I236" s="110" t="n"/>
      <c r="J236" s="110" t="n"/>
      <c r="K236" s="110" t="n"/>
      <c r="L236" s="110" t="n"/>
      <c r="M236" s="110" t="n"/>
      <c r="N236" s="110" t="n"/>
      <c r="O236" s="110" t="n"/>
      <c r="P236" s="110" t="n"/>
      <c r="Q236" s="110" t="n"/>
      <c r="R236" s="110" t="n"/>
      <c r="S236" s="110" t="n"/>
      <c r="T236" s="110" t="n"/>
      <c r="U236" s="110" t="n"/>
      <c r="V236" s="110" t="n"/>
      <c r="W236" s="110" t="n"/>
      <c r="X236" s="110" t="n"/>
      <c r="Y236" s="110" t="n"/>
      <c r="Z236" s="110" t="n"/>
    </row>
    <row r="237">
      <c r="A237" s="110" t="n"/>
      <c r="B237" s="110" t="n"/>
      <c r="C237" s="110" t="n"/>
      <c r="D237" s="110" t="n"/>
      <c r="E237" s="110" t="n"/>
      <c r="F237" s="110" t="n"/>
      <c r="G237" s="110" t="n"/>
      <c r="H237" s="110" t="n"/>
      <c r="I237" s="110" t="n"/>
      <c r="J237" s="110" t="n"/>
      <c r="K237" s="110" t="n"/>
      <c r="L237" s="110" t="n"/>
      <c r="M237" s="110" t="n"/>
      <c r="N237" s="110" t="n"/>
      <c r="O237" s="110" t="n"/>
      <c r="P237" s="110" t="n"/>
      <c r="Q237" s="110" t="n"/>
      <c r="R237" s="110" t="n"/>
      <c r="S237" s="110" t="n"/>
      <c r="T237" s="110" t="n"/>
      <c r="U237" s="110" t="n"/>
      <c r="V237" s="110" t="n"/>
      <c r="W237" s="110" t="n"/>
      <c r="X237" s="110" t="n"/>
      <c r="Y237" s="110" t="n"/>
      <c r="Z237" s="110" t="n"/>
    </row>
    <row r="238">
      <c r="A238" s="110" t="n"/>
      <c r="B238" s="110" t="n"/>
      <c r="C238" s="110" t="n"/>
      <c r="D238" s="110" t="n"/>
      <c r="E238" s="110" t="n"/>
      <c r="F238" s="110" t="n"/>
      <c r="G238" s="110" t="n"/>
      <c r="H238" s="110" t="n"/>
      <c r="I238" s="110" t="n"/>
      <c r="J238" s="110" t="n"/>
      <c r="K238" s="110" t="n"/>
      <c r="L238" s="110" t="n"/>
      <c r="M238" s="110" t="n"/>
      <c r="N238" s="110" t="n"/>
      <c r="O238" s="110" t="n"/>
      <c r="P238" s="110" t="n"/>
      <c r="Q238" s="110" t="n"/>
      <c r="R238" s="110" t="n"/>
      <c r="S238" s="110" t="n"/>
      <c r="T238" s="110" t="n"/>
      <c r="U238" s="110" t="n"/>
      <c r="V238" s="110" t="n"/>
      <c r="W238" s="110" t="n"/>
      <c r="X238" s="110" t="n"/>
      <c r="Y238" s="110" t="n"/>
      <c r="Z238" s="110" t="n"/>
    </row>
    <row r="239">
      <c r="A239" s="110" t="n"/>
      <c r="B239" s="110" t="n"/>
      <c r="C239" s="110" t="n"/>
      <c r="D239" s="110" t="n"/>
      <c r="E239" s="110" t="n"/>
      <c r="F239" s="110" t="n"/>
      <c r="G239" s="110" t="n"/>
      <c r="H239" s="110" t="n"/>
      <c r="I239" s="110" t="n"/>
      <c r="J239" s="110" t="n"/>
      <c r="K239" s="110" t="n"/>
      <c r="L239" s="110" t="n"/>
      <c r="M239" s="110" t="n"/>
      <c r="N239" s="110" t="n"/>
      <c r="O239" s="110" t="n"/>
      <c r="P239" s="110" t="n"/>
      <c r="Q239" s="110" t="n"/>
      <c r="R239" s="110" t="n"/>
      <c r="S239" s="110" t="n"/>
      <c r="T239" s="110" t="n"/>
      <c r="U239" s="110" t="n"/>
      <c r="V239" s="110" t="n"/>
      <c r="W239" s="110" t="n"/>
      <c r="X239" s="110" t="n"/>
      <c r="Y239" s="110" t="n"/>
      <c r="Z239" s="110" t="n"/>
    </row>
    <row r="240">
      <c r="A240" s="110" t="n"/>
      <c r="B240" s="110" t="n"/>
      <c r="C240" s="110" t="n"/>
      <c r="D240" s="110" t="n"/>
      <c r="E240" s="110" t="n"/>
      <c r="F240" s="110" t="n"/>
      <c r="G240" s="110" t="n"/>
      <c r="H240" s="110" t="n"/>
      <c r="I240" s="110" t="n"/>
      <c r="J240" s="110" t="n"/>
      <c r="K240" s="110" t="n"/>
      <c r="L240" s="110" t="n"/>
      <c r="M240" s="110" t="n"/>
      <c r="N240" s="110" t="n"/>
      <c r="O240" s="110" t="n"/>
      <c r="P240" s="110" t="n"/>
      <c r="Q240" s="110" t="n"/>
      <c r="R240" s="110" t="n"/>
      <c r="S240" s="110" t="n"/>
      <c r="T240" s="110" t="n"/>
      <c r="U240" s="110" t="n"/>
      <c r="V240" s="110" t="n"/>
      <c r="W240" s="110" t="n"/>
      <c r="X240" s="110" t="n"/>
      <c r="Y240" s="110" t="n"/>
      <c r="Z240" s="110" t="n"/>
    </row>
    <row r="241">
      <c r="A241" s="110" t="n"/>
      <c r="B241" s="110" t="n"/>
      <c r="C241" s="110" t="n"/>
      <c r="D241" s="110" t="n"/>
      <c r="E241" s="110" t="n"/>
      <c r="F241" s="110" t="n"/>
      <c r="G241" s="110" t="n"/>
      <c r="H241" s="110" t="n"/>
      <c r="I241" s="110" t="n"/>
      <c r="J241" s="110" t="n"/>
      <c r="K241" s="110" t="n"/>
      <c r="L241" s="110" t="n"/>
      <c r="M241" s="110" t="n"/>
      <c r="N241" s="110" t="n"/>
      <c r="O241" s="110" t="n"/>
      <c r="P241" s="110" t="n"/>
      <c r="Q241" s="110" t="n"/>
      <c r="R241" s="110" t="n"/>
      <c r="S241" s="110" t="n"/>
      <c r="T241" s="110" t="n"/>
      <c r="U241" s="110" t="n"/>
      <c r="V241" s="110" t="n"/>
      <c r="W241" s="110" t="n"/>
      <c r="X241" s="110" t="n"/>
      <c r="Y241" s="110" t="n"/>
      <c r="Z241" s="110" t="n"/>
    </row>
    <row r="242">
      <c r="A242" s="110" t="n"/>
      <c r="B242" s="110" t="n"/>
      <c r="C242" s="110" t="n"/>
      <c r="D242" s="110" t="n"/>
      <c r="E242" s="110" t="n"/>
      <c r="F242" s="110" t="n"/>
      <c r="G242" s="110" t="n"/>
      <c r="H242" s="110" t="n"/>
      <c r="I242" s="110" t="n"/>
      <c r="J242" s="110" t="n"/>
      <c r="K242" s="110" t="n"/>
      <c r="L242" s="110" t="n"/>
      <c r="M242" s="110" t="n"/>
      <c r="N242" s="110" t="n"/>
      <c r="O242" s="110" t="n"/>
      <c r="P242" s="110" t="n"/>
      <c r="Q242" s="110" t="n"/>
      <c r="R242" s="110" t="n"/>
      <c r="S242" s="110" t="n"/>
      <c r="T242" s="110" t="n"/>
      <c r="U242" s="110" t="n"/>
      <c r="V242" s="110" t="n"/>
      <c r="W242" s="110" t="n"/>
      <c r="X242" s="110" t="n"/>
      <c r="Y242" s="110" t="n"/>
      <c r="Z242" s="110" t="n"/>
    </row>
    <row r="243">
      <c r="A243" s="110" t="n"/>
      <c r="B243" s="110" t="n"/>
      <c r="C243" s="110" t="n"/>
      <c r="D243" s="110" t="n"/>
      <c r="E243" s="110" t="n"/>
      <c r="F243" s="110" t="n"/>
      <c r="G243" s="110" t="n"/>
      <c r="H243" s="110" t="n"/>
      <c r="I243" s="110" t="n"/>
      <c r="J243" s="110" t="n"/>
      <c r="K243" s="110" t="n"/>
      <c r="L243" s="110" t="n"/>
      <c r="M243" s="110" t="n"/>
      <c r="N243" s="110" t="n"/>
      <c r="O243" s="110" t="n"/>
      <c r="P243" s="110" t="n"/>
      <c r="Q243" s="110" t="n"/>
      <c r="R243" s="110" t="n"/>
      <c r="S243" s="110" t="n"/>
      <c r="T243" s="110" t="n"/>
      <c r="U243" s="110" t="n"/>
      <c r="V243" s="110" t="n"/>
      <c r="W243" s="110" t="n"/>
      <c r="X243" s="110" t="n"/>
      <c r="Y243" s="110" t="n"/>
      <c r="Z243" s="110" t="n"/>
    </row>
    <row r="244">
      <c r="A244" s="110" t="n"/>
      <c r="B244" s="110" t="n"/>
      <c r="C244" s="110" t="n"/>
      <c r="D244" s="110" t="n"/>
      <c r="E244" s="110" t="n"/>
      <c r="F244" s="110" t="n"/>
      <c r="G244" s="110" t="n"/>
      <c r="H244" s="110" t="n"/>
      <c r="I244" s="110" t="n"/>
      <c r="J244" s="110" t="n"/>
      <c r="K244" s="110" t="n"/>
      <c r="L244" s="110" t="n"/>
      <c r="M244" s="110" t="n"/>
      <c r="N244" s="110" t="n"/>
      <c r="O244" s="110" t="n"/>
      <c r="P244" s="110" t="n"/>
      <c r="Q244" s="110" t="n"/>
      <c r="R244" s="110" t="n"/>
      <c r="S244" s="110" t="n"/>
      <c r="T244" s="110" t="n"/>
      <c r="U244" s="110" t="n"/>
      <c r="V244" s="110" t="n"/>
      <c r="W244" s="110" t="n"/>
      <c r="X244" s="110" t="n"/>
      <c r="Y244" s="110" t="n"/>
      <c r="Z244" s="110" t="n"/>
    </row>
    <row r="245">
      <c r="A245" s="110" t="n"/>
      <c r="B245" s="110" t="n"/>
      <c r="C245" s="110" t="n"/>
      <c r="D245" s="110" t="n"/>
      <c r="E245" s="110" t="n"/>
      <c r="F245" s="110" t="n"/>
      <c r="G245" s="110" t="n"/>
      <c r="H245" s="110" t="n"/>
      <c r="I245" s="110" t="n"/>
      <c r="J245" s="110" t="n"/>
      <c r="K245" s="110" t="n"/>
      <c r="L245" s="110" t="n"/>
      <c r="M245" s="110" t="n"/>
      <c r="N245" s="110" t="n"/>
      <c r="O245" s="110" t="n"/>
      <c r="P245" s="110" t="n"/>
      <c r="Q245" s="110" t="n"/>
      <c r="R245" s="110" t="n"/>
      <c r="S245" s="110" t="n"/>
      <c r="T245" s="110" t="n"/>
      <c r="U245" s="110" t="n"/>
      <c r="V245" s="110" t="n"/>
      <c r="W245" s="110" t="n"/>
      <c r="X245" s="110" t="n"/>
      <c r="Y245" s="110" t="n"/>
      <c r="Z245" s="110" t="n"/>
    </row>
    <row r="246">
      <c r="A246" s="110" t="n"/>
      <c r="B246" s="110" t="n"/>
      <c r="C246" s="110" t="n"/>
      <c r="D246" s="110" t="n"/>
      <c r="E246" s="110" t="n"/>
      <c r="F246" s="110" t="n"/>
      <c r="G246" s="110" t="n"/>
      <c r="H246" s="110" t="n"/>
      <c r="I246" s="110" t="n"/>
      <c r="J246" s="110" t="n"/>
      <c r="K246" s="110" t="n"/>
      <c r="L246" s="110" t="n"/>
      <c r="M246" s="110" t="n"/>
      <c r="N246" s="110" t="n"/>
      <c r="O246" s="110" t="n"/>
      <c r="P246" s="110" t="n"/>
      <c r="Q246" s="110" t="n"/>
      <c r="R246" s="110" t="n"/>
      <c r="S246" s="110" t="n"/>
      <c r="T246" s="110" t="n"/>
      <c r="U246" s="110" t="n"/>
      <c r="V246" s="110" t="n"/>
      <c r="W246" s="110" t="n"/>
      <c r="X246" s="110" t="n"/>
      <c r="Y246" s="110" t="n"/>
      <c r="Z246" s="110" t="n"/>
    </row>
    <row r="247">
      <c r="A247" s="110" t="n"/>
      <c r="B247" s="110" t="n"/>
      <c r="C247" s="110" t="n"/>
      <c r="D247" s="110" t="n"/>
      <c r="E247" s="110" t="n"/>
      <c r="F247" s="110" t="n"/>
      <c r="G247" s="110" t="n"/>
      <c r="H247" s="110" t="n"/>
      <c r="I247" s="110" t="n"/>
      <c r="J247" s="110" t="n"/>
      <c r="K247" s="110" t="n"/>
      <c r="L247" s="110" t="n"/>
      <c r="M247" s="110" t="n"/>
      <c r="N247" s="110" t="n"/>
      <c r="O247" s="110" t="n"/>
      <c r="P247" s="110" t="n"/>
      <c r="Q247" s="110" t="n"/>
      <c r="R247" s="110" t="n"/>
      <c r="S247" s="110" t="n"/>
      <c r="T247" s="110" t="n"/>
      <c r="U247" s="110" t="n"/>
      <c r="V247" s="110" t="n"/>
      <c r="W247" s="110" t="n"/>
      <c r="X247" s="110" t="n"/>
      <c r="Y247" s="110" t="n"/>
      <c r="Z247" s="110" t="n"/>
    </row>
    <row r="248">
      <c r="A248" s="110" t="n"/>
      <c r="B248" s="110" t="n"/>
      <c r="C248" s="110" t="n"/>
      <c r="D248" s="110" t="n"/>
      <c r="E248" s="110" t="n"/>
      <c r="F248" s="110" t="n"/>
      <c r="G248" s="110" t="n"/>
      <c r="H248" s="110" t="n"/>
      <c r="I248" s="110" t="n"/>
      <c r="J248" s="110" t="n"/>
      <c r="K248" s="110" t="n"/>
      <c r="L248" s="110" t="n"/>
      <c r="M248" s="110" t="n"/>
      <c r="N248" s="110" t="n"/>
      <c r="O248" s="110" t="n"/>
      <c r="P248" s="110" t="n"/>
      <c r="Q248" s="110" t="n"/>
      <c r="R248" s="110" t="n"/>
      <c r="S248" s="110" t="n"/>
      <c r="T248" s="110" t="n"/>
      <c r="U248" s="110" t="n"/>
      <c r="V248" s="110" t="n"/>
      <c r="W248" s="110" t="n"/>
      <c r="X248" s="110" t="n"/>
      <c r="Y248" s="110" t="n"/>
      <c r="Z248" s="110" t="n"/>
    </row>
    <row r="249">
      <c r="A249" s="110" t="n"/>
      <c r="B249" s="110" t="n"/>
      <c r="C249" s="110" t="n"/>
      <c r="D249" s="110" t="n"/>
      <c r="E249" s="110" t="n"/>
      <c r="F249" s="110" t="n"/>
      <c r="G249" s="110" t="n"/>
      <c r="H249" s="110" t="n"/>
      <c r="I249" s="110" t="n"/>
      <c r="J249" s="110" t="n"/>
      <c r="K249" s="110" t="n"/>
      <c r="L249" s="110" t="n"/>
      <c r="M249" s="110" t="n"/>
      <c r="N249" s="110" t="n"/>
      <c r="O249" s="110" t="n"/>
      <c r="P249" s="110" t="n"/>
      <c r="Q249" s="110" t="n"/>
      <c r="R249" s="110" t="n"/>
      <c r="S249" s="110" t="n"/>
      <c r="T249" s="110" t="n"/>
      <c r="U249" s="110" t="n"/>
      <c r="V249" s="110" t="n"/>
      <c r="W249" s="110" t="n"/>
      <c r="X249" s="110" t="n"/>
      <c r="Y249" s="110" t="n"/>
      <c r="Z249" s="110" t="n"/>
    </row>
    <row r="250">
      <c r="A250" s="110" t="n"/>
      <c r="B250" s="110" t="n"/>
      <c r="C250" s="110" t="n"/>
      <c r="D250" s="110" t="n"/>
      <c r="E250" s="110" t="n"/>
      <c r="F250" s="110" t="n"/>
      <c r="G250" s="110" t="n"/>
      <c r="H250" s="110" t="n"/>
      <c r="I250" s="110" t="n"/>
      <c r="J250" s="110" t="n"/>
      <c r="K250" s="110" t="n"/>
      <c r="L250" s="110" t="n"/>
      <c r="M250" s="110" t="n"/>
      <c r="N250" s="110" t="n"/>
      <c r="O250" s="110" t="n"/>
      <c r="P250" s="110" t="n"/>
      <c r="Q250" s="110" t="n"/>
      <c r="R250" s="110" t="n"/>
      <c r="S250" s="110" t="n"/>
      <c r="T250" s="110" t="n"/>
      <c r="U250" s="110" t="n"/>
      <c r="V250" s="110" t="n"/>
      <c r="W250" s="110" t="n"/>
      <c r="X250" s="110" t="n"/>
      <c r="Y250" s="110" t="n"/>
      <c r="Z250" s="110" t="n"/>
    </row>
    <row r="251">
      <c r="A251" s="110" t="n"/>
      <c r="B251" s="110" t="n"/>
      <c r="C251" s="110" t="n"/>
      <c r="D251" s="110" t="n"/>
      <c r="E251" s="110" t="n"/>
      <c r="F251" s="110" t="n"/>
      <c r="G251" s="110" t="n"/>
      <c r="H251" s="110" t="n"/>
      <c r="I251" s="110" t="n"/>
      <c r="J251" s="110" t="n"/>
      <c r="K251" s="110" t="n"/>
      <c r="L251" s="110" t="n"/>
      <c r="M251" s="110" t="n"/>
      <c r="N251" s="110" t="n"/>
      <c r="O251" s="110" t="n"/>
      <c r="P251" s="110" t="n"/>
      <c r="Q251" s="110" t="n"/>
      <c r="R251" s="110" t="n"/>
      <c r="S251" s="110" t="n"/>
      <c r="T251" s="110" t="n"/>
      <c r="U251" s="110" t="n"/>
      <c r="V251" s="110" t="n"/>
      <c r="W251" s="110" t="n"/>
      <c r="X251" s="110" t="n"/>
      <c r="Y251" s="110" t="n"/>
      <c r="Z251" s="110" t="n"/>
    </row>
    <row r="252">
      <c r="A252" s="110" t="n"/>
      <c r="B252" s="110" t="n"/>
      <c r="C252" s="110" t="n"/>
      <c r="D252" s="110" t="n"/>
      <c r="E252" s="110" t="n"/>
      <c r="F252" s="110" t="n"/>
      <c r="G252" s="110" t="n"/>
      <c r="H252" s="110" t="n"/>
      <c r="I252" s="110" t="n"/>
      <c r="J252" s="110" t="n"/>
      <c r="K252" s="110" t="n"/>
      <c r="L252" s="110" t="n"/>
      <c r="M252" s="110" t="n"/>
      <c r="N252" s="110" t="n"/>
      <c r="O252" s="110" t="n"/>
      <c r="P252" s="110" t="n"/>
      <c r="Q252" s="110" t="n"/>
      <c r="R252" s="110" t="n"/>
      <c r="S252" s="110" t="n"/>
      <c r="T252" s="110" t="n"/>
      <c r="U252" s="110" t="n"/>
      <c r="V252" s="110" t="n"/>
      <c r="W252" s="110" t="n"/>
      <c r="X252" s="110" t="n"/>
      <c r="Y252" s="110" t="n"/>
      <c r="Z252" s="110" t="n"/>
    </row>
    <row r="253">
      <c r="A253" s="110" t="n"/>
      <c r="B253" s="110" t="n"/>
      <c r="C253" s="110" t="n"/>
      <c r="D253" s="110" t="n"/>
      <c r="E253" s="110" t="n"/>
      <c r="F253" s="110" t="n"/>
      <c r="G253" s="110" t="n"/>
      <c r="H253" s="110" t="n"/>
      <c r="I253" s="110" t="n"/>
      <c r="J253" s="110" t="n"/>
      <c r="K253" s="110" t="n"/>
      <c r="L253" s="110" t="n"/>
      <c r="M253" s="110" t="n"/>
      <c r="N253" s="110" t="n"/>
      <c r="O253" s="110" t="n"/>
      <c r="P253" s="110" t="n"/>
      <c r="Q253" s="110" t="n"/>
      <c r="R253" s="110" t="n"/>
      <c r="S253" s="110" t="n"/>
      <c r="T253" s="110" t="n"/>
      <c r="U253" s="110" t="n"/>
      <c r="V253" s="110" t="n"/>
      <c r="W253" s="110" t="n"/>
      <c r="X253" s="110" t="n"/>
      <c r="Y253" s="110" t="n"/>
      <c r="Z253" s="110" t="n"/>
    </row>
    <row r="254">
      <c r="A254" s="110" t="n"/>
      <c r="B254" s="110" t="n"/>
      <c r="C254" s="110" t="n"/>
      <c r="D254" s="110" t="n"/>
      <c r="E254" s="110" t="n"/>
      <c r="F254" s="110" t="n"/>
      <c r="G254" s="110" t="n"/>
      <c r="H254" s="110" t="n"/>
      <c r="I254" s="110" t="n"/>
      <c r="J254" s="110" t="n"/>
      <c r="K254" s="110" t="n"/>
      <c r="L254" s="110" t="n"/>
      <c r="M254" s="110" t="n"/>
      <c r="N254" s="110" t="n"/>
      <c r="O254" s="110" t="n"/>
      <c r="P254" s="110" t="n"/>
      <c r="Q254" s="110" t="n"/>
      <c r="R254" s="110" t="n"/>
      <c r="S254" s="110" t="n"/>
      <c r="T254" s="110" t="n"/>
      <c r="U254" s="110" t="n"/>
      <c r="V254" s="110" t="n"/>
      <c r="W254" s="110" t="n"/>
      <c r="X254" s="110" t="n"/>
      <c r="Y254" s="110" t="n"/>
      <c r="Z254" s="110" t="n"/>
    </row>
    <row r="255">
      <c r="A255" s="110" t="n"/>
      <c r="B255" s="110" t="n"/>
      <c r="C255" s="110" t="n"/>
      <c r="D255" s="110" t="n"/>
      <c r="E255" s="110" t="n"/>
      <c r="F255" s="110" t="n"/>
      <c r="G255" s="110" t="n"/>
      <c r="H255" s="110" t="n"/>
      <c r="I255" s="110" t="n"/>
      <c r="J255" s="110" t="n"/>
      <c r="K255" s="110" t="n"/>
      <c r="L255" s="110" t="n"/>
      <c r="M255" s="110" t="n"/>
      <c r="N255" s="110" t="n"/>
      <c r="O255" s="110" t="n"/>
      <c r="P255" s="110" t="n"/>
      <c r="Q255" s="110" t="n"/>
      <c r="R255" s="110" t="n"/>
      <c r="S255" s="110" t="n"/>
      <c r="T255" s="110" t="n"/>
      <c r="U255" s="110" t="n"/>
      <c r="V255" s="110" t="n"/>
      <c r="W255" s="110" t="n"/>
      <c r="X255" s="110" t="n"/>
      <c r="Y255" s="110" t="n"/>
      <c r="Z255" s="110" t="n"/>
    </row>
    <row r="256">
      <c r="A256" s="110" t="n"/>
      <c r="B256" s="110" t="n"/>
      <c r="C256" s="110" t="n"/>
      <c r="D256" s="110" t="n"/>
      <c r="E256" s="110" t="n"/>
      <c r="F256" s="110" t="n"/>
      <c r="G256" s="110" t="n"/>
      <c r="H256" s="110" t="n"/>
      <c r="I256" s="110" t="n"/>
      <c r="J256" s="110" t="n"/>
      <c r="K256" s="110" t="n"/>
      <c r="L256" s="110" t="n"/>
      <c r="M256" s="110" t="n"/>
      <c r="N256" s="110" t="n"/>
      <c r="O256" s="110" t="n"/>
      <c r="P256" s="110" t="n"/>
      <c r="Q256" s="110" t="n"/>
      <c r="R256" s="110" t="n"/>
      <c r="S256" s="110" t="n"/>
      <c r="T256" s="110" t="n"/>
      <c r="U256" s="110" t="n"/>
      <c r="V256" s="110" t="n"/>
      <c r="W256" s="110" t="n"/>
      <c r="X256" s="110" t="n"/>
      <c r="Y256" s="110" t="n"/>
      <c r="Z256" s="110" t="n"/>
    </row>
    <row r="257">
      <c r="A257" s="110" t="n"/>
      <c r="B257" s="110" t="n"/>
      <c r="C257" s="110" t="n"/>
      <c r="D257" s="110" t="n"/>
      <c r="E257" s="110" t="n"/>
      <c r="F257" s="110" t="n"/>
      <c r="G257" s="110" t="n"/>
      <c r="H257" s="110" t="n"/>
      <c r="I257" s="110" t="n"/>
      <c r="J257" s="110" t="n"/>
      <c r="K257" s="110" t="n"/>
      <c r="L257" s="110" t="n"/>
      <c r="M257" s="110" t="n"/>
      <c r="N257" s="110" t="n"/>
      <c r="O257" s="110" t="n"/>
      <c r="P257" s="110" t="n"/>
      <c r="Q257" s="110" t="n"/>
      <c r="R257" s="110" t="n"/>
      <c r="S257" s="110" t="n"/>
      <c r="T257" s="110" t="n"/>
      <c r="U257" s="110" t="n"/>
      <c r="V257" s="110" t="n"/>
      <c r="W257" s="110" t="n"/>
      <c r="X257" s="110" t="n"/>
      <c r="Y257" s="110" t="n"/>
      <c r="Z257" s="110" t="n"/>
    </row>
    <row r="258">
      <c r="A258" s="110" t="n"/>
      <c r="B258" s="110" t="n"/>
      <c r="C258" s="110" t="n"/>
      <c r="D258" s="110" t="n"/>
      <c r="E258" s="110" t="n"/>
      <c r="F258" s="110" t="n"/>
      <c r="G258" s="110" t="n"/>
      <c r="H258" s="110" t="n"/>
      <c r="I258" s="110" t="n"/>
      <c r="J258" s="110" t="n"/>
      <c r="K258" s="110" t="n"/>
      <c r="L258" s="110" t="n"/>
      <c r="M258" s="110" t="n"/>
      <c r="N258" s="110" t="n"/>
      <c r="O258" s="110" t="n"/>
      <c r="P258" s="110" t="n"/>
      <c r="Q258" s="110" t="n"/>
      <c r="R258" s="110" t="n"/>
      <c r="S258" s="110" t="n"/>
      <c r="T258" s="110" t="n"/>
      <c r="U258" s="110" t="n"/>
      <c r="V258" s="110" t="n"/>
      <c r="W258" s="110" t="n"/>
      <c r="X258" s="110" t="n"/>
      <c r="Y258" s="110" t="n"/>
      <c r="Z258" s="110" t="n"/>
    </row>
    <row r="259">
      <c r="A259" s="110" t="n"/>
      <c r="B259" s="110" t="n"/>
      <c r="C259" s="110" t="n"/>
      <c r="D259" s="110" t="n"/>
      <c r="E259" s="110" t="n"/>
      <c r="F259" s="110" t="n"/>
      <c r="G259" s="110" t="n"/>
      <c r="H259" s="110" t="n"/>
      <c r="I259" s="110" t="n"/>
      <c r="J259" s="110" t="n"/>
      <c r="K259" s="110" t="n"/>
      <c r="L259" s="110" t="n"/>
      <c r="M259" s="110" t="n"/>
      <c r="N259" s="110" t="n"/>
      <c r="O259" s="110" t="n"/>
      <c r="P259" s="110" t="n"/>
      <c r="Q259" s="110" t="n"/>
      <c r="R259" s="110" t="n"/>
      <c r="S259" s="110" t="n"/>
      <c r="T259" s="110" t="n"/>
      <c r="U259" s="110" t="n"/>
      <c r="V259" s="110" t="n"/>
      <c r="W259" s="110" t="n"/>
      <c r="X259" s="110" t="n"/>
      <c r="Y259" s="110" t="n"/>
      <c r="Z259" s="110" t="n"/>
    </row>
    <row r="260">
      <c r="A260" s="110" t="n"/>
      <c r="B260" s="110" t="n"/>
      <c r="C260" s="110" t="n"/>
      <c r="D260" s="110" t="n"/>
      <c r="E260" s="110" t="n"/>
      <c r="F260" s="110" t="n"/>
      <c r="G260" s="110" t="n"/>
      <c r="H260" s="110" t="n"/>
      <c r="I260" s="110" t="n"/>
      <c r="J260" s="110" t="n"/>
      <c r="K260" s="110" t="n"/>
      <c r="L260" s="110" t="n"/>
      <c r="M260" s="110" t="n"/>
      <c r="N260" s="110" t="n"/>
      <c r="O260" s="110" t="n"/>
      <c r="P260" s="110" t="n"/>
      <c r="Q260" s="110" t="n"/>
      <c r="R260" s="110" t="n"/>
      <c r="S260" s="110" t="n"/>
      <c r="T260" s="110" t="n"/>
      <c r="U260" s="110" t="n"/>
      <c r="V260" s="110" t="n"/>
      <c r="W260" s="110" t="n"/>
      <c r="X260" s="110" t="n"/>
      <c r="Y260" s="110" t="n"/>
      <c r="Z260" s="110" t="n"/>
    </row>
    <row r="261">
      <c r="A261" s="110" t="n"/>
      <c r="B261" s="110" t="n"/>
      <c r="C261" s="110" t="n"/>
      <c r="D261" s="110" t="n"/>
      <c r="E261" s="110" t="n"/>
      <c r="F261" s="110" t="n"/>
      <c r="G261" s="110" t="n"/>
      <c r="H261" s="110" t="n"/>
      <c r="I261" s="110" t="n"/>
      <c r="J261" s="110" t="n"/>
      <c r="K261" s="110" t="n"/>
      <c r="L261" s="110" t="n"/>
      <c r="M261" s="110" t="n"/>
      <c r="N261" s="110" t="n"/>
      <c r="O261" s="110" t="n"/>
      <c r="P261" s="110" t="n"/>
      <c r="Q261" s="110" t="n"/>
      <c r="R261" s="110" t="n"/>
      <c r="S261" s="110" t="n"/>
      <c r="T261" s="110" t="n"/>
      <c r="U261" s="110" t="n"/>
      <c r="V261" s="110" t="n"/>
      <c r="W261" s="110" t="n"/>
      <c r="X261" s="110" t="n"/>
      <c r="Y261" s="110" t="n"/>
      <c r="Z261" s="110" t="n"/>
    </row>
    <row r="262">
      <c r="A262" s="110" t="n"/>
      <c r="B262" s="110" t="n"/>
      <c r="C262" s="110" t="n"/>
      <c r="D262" s="110" t="n"/>
      <c r="E262" s="110" t="n"/>
      <c r="F262" s="110" t="n"/>
      <c r="G262" s="110" t="n"/>
      <c r="H262" s="110" t="n"/>
      <c r="I262" s="110" t="n"/>
      <c r="J262" s="110" t="n"/>
      <c r="K262" s="110" t="n"/>
      <c r="L262" s="110" t="n"/>
      <c r="M262" s="110" t="n"/>
      <c r="N262" s="110" t="n"/>
      <c r="O262" s="110" t="n"/>
      <c r="P262" s="110" t="n"/>
      <c r="Q262" s="110" t="n"/>
      <c r="R262" s="110" t="n"/>
      <c r="S262" s="110" t="n"/>
      <c r="T262" s="110" t="n"/>
      <c r="U262" s="110" t="n"/>
      <c r="V262" s="110" t="n"/>
      <c r="W262" s="110" t="n"/>
      <c r="X262" s="110" t="n"/>
      <c r="Y262" s="110" t="n"/>
      <c r="Z262" s="110" t="n"/>
    </row>
    <row r="263">
      <c r="A263" s="110" t="n"/>
      <c r="B263" s="110" t="n"/>
      <c r="C263" s="110" t="n"/>
      <c r="D263" s="110" t="n"/>
      <c r="E263" s="110" t="n"/>
      <c r="F263" s="110" t="n"/>
      <c r="G263" s="110" t="n"/>
      <c r="H263" s="110" t="n"/>
      <c r="I263" s="110" t="n"/>
      <c r="J263" s="110" t="n"/>
      <c r="K263" s="110" t="n"/>
      <c r="L263" s="110" t="n"/>
      <c r="M263" s="110" t="n"/>
      <c r="N263" s="110" t="n"/>
      <c r="O263" s="110" t="n"/>
      <c r="P263" s="110" t="n"/>
      <c r="Q263" s="110" t="n"/>
      <c r="R263" s="110" t="n"/>
      <c r="S263" s="110" t="n"/>
      <c r="T263" s="110" t="n"/>
      <c r="U263" s="110" t="n"/>
      <c r="V263" s="110" t="n"/>
      <c r="W263" s="110" t="n"/>
      <c r="X263" s="110" t="n"/>
      <c r="Y263" s="110" t="n"/>
      <c r="Z263" s="110" t="n"/>
    </row>
    <row r="264">
      <c r="A264" s="110" t="n"/>
      <c r="B264" s="110" t="n"/>
      <c r="C264" s="110" t="n"/>
      <c r="D264" s="110" t="n"/>
      <c r="E264" s="110" t="n"/>
      <c r="F264" s="110" t="n"/>
      <c r="G264" s="110" t="n"/>
      <c r="H264" s="110" t="n"/>
      <c r="I264" s="110" t="n"/>
      <c r="J264" s="110" t="n"/>
      <c r="K264" s="110" t="n"/>
      <c r="L264" s="110" t="n"/>
      <c r="M264" s="110" t="n"/>
      <c r="N264" s="110" t="n"/>
      <c r="O264" s="110" t="n"/>
      <c r="P264" s="110" t="n"/>
      <c r="Q264" s="110" t="n"/>
      <c r="R264" s="110" t="n"/>
      <c r="S264" s="110" t="n"/>
      <c r="T264" s="110" t="n"/>
      <c r="U264" s="110" t="n"/>
      <c r="V264" s="110" t="n"/>
      <c r="W264" s="110" t="n"/>
      <c r="X264" s="110" t="n"/>
      <c r="Y264" s="110" t="n"/>
      <c r="Z264" s="110" t="n"/>
    </row>
    <row r="265">
      <c r="A265" s="110" t="n"/>
      <c r="B265" s="110" t="n"/>
      <c r="C265" s="110" t="n"/>
      <c r="D265" s="110" t="n"/>
      <c r="E265" s="110" t="n"/>
      <c r="F265" s="110" t="n"/>
      <c r="G265" s="110" t="n"/>
      <c r="H265" s="110" t="n"/>
      <c r="I265" s="110" t="n"/>
      <c r="J265" s="110" t="n"/>
      <c r="K265" s="110" t="n"/>
      <c r="L265" s="110" t="n"/>
      <c r="M265" s="110" t="n"/>
      <c r="N265" s="110" t="n"/>
      <c r="O265" s="110" t="n"/>
      <c r="P265" s="110" t="n"/>
      <c r="Q265" s="110" t="n"/>
      <c r="R265" s="110" t="n"/>
      <c r="S265" s="110" t="n"/>
      <c r="T265" s="110" t="n"/>
      <c r="U265" s="110" t="n"/>
      <c r="V265" s="110" t="n"/>
      <c r="W265" s="110" t="n"/>
      <c r="X265" s="110" t="n"/>
      <c r="Y265" s="110" t="n"/>
      <c r="Z265" s="110" t="n"/>
    </row>
    <row r="266">
      <c r="A266" s="110" t="n"/>
      <c r="B266" s="110" t="n"/>
      <c r="C266" s="110" t="n"/>
      <c r="D266" s="110" t="n"/>
      <c r="E266" s="110" t="n"/>
      <c r="F266" s="110" t="n"/>
      <c r="G266" s="110" t="n"/>
      <c r="H266" s="110" t="n"/>
      <c r="I266" s="110" t="n"/>
      <c r="J266" s="110" t="n"/>
      <c r="K266" s="110" t="n"/>
      <c r="L266" s="110" t="n"/>
      <c r="M266" s="110" t="n"/>
      <c r="N266" s="110" t="n"/>
      <c r="O266" s="110" t="n"/>
      <c r="P266" s="110" t="n"/>
      <c r="Q266" s="110" t="n"/>
      <c r="R266" s="110" t="n"/>
      <c r="S266" s="110" t="n"/>
      <c r="T266" s="110" t="n"/>
      <c r="U266" s="110" t="n"/>
      <c r="V266" s="110" t="n"/>
      <c r="W266" s="110" t="n"/>
      <c r="X266" s="110" t="n"/>
      <c r="Y266" s="110" t="n"/>
      <c r="Z266" s="110" t="n"/>
    </row>
    <row r="267">
      <c r="A267" s="110" t="n"/>
      <c r="B267" s="110" t="n"/>
      <c r="C267" s="110" t="n"/>
      <c r="D267" s="110" t="n"/>
      <c r="E267" s="110" t="n"/>
      <c r="F267" s="110" t="n"/>
      <c r="G267" s="110" t="n"/>
      <c r="H267" s="110" t="n"/>
      <c r="I267" s="110" t="n"/>
      <c r="J267" s="110" t="n"/>
      <c r="K267" s="110" t="n"/>
      <c r="L267" s="110" t="n"/>
      <c r="M267" s="110" t="n"/>
      <c r="N267" s="110" t="n"/>
      <c r="O267" s="110" t="n"/>
      <c r="P267" s="110" t="n"/>
      <c r="Q267" s="110" t="n"/>
      <c r="R267" s="110" t="n"/>
      <c r="S267" s="110" t="n"/>
      <c r="T267" s="110" t="n"/>
      <c r="U267" s="110" t="n"/>
      <c r="V267" s="110" t="n"/>
      <c r="W267" s="110" t="n"/>
      <c r="X267" s="110" t="n"/>
      <c r="Y267" s="110" t="n"/>
      <c r="Z267" s="110" t="n"/>
    </row>
    <row r="268">
      <c r="A268" s="110" t="n"/>
      <c r="B268" s="110" t="n"/>
      <c r="C268" s="110" t="n"/>
      <c r="D268" s="110" t="n"/>
      <c r="E268" s="110" t="n"/>
      <c r="F268" s="110" t="n"/>
      <c r="G268" s="110" t="n"/>
      <c r="H268" s="110" t="n"/>
      <c r="I268" s="110" t="n"/>
      <c r="J268" s="110" t="n"/>
      <c r="K268" s="110" t="n"/>
      <c r="L268" s="110" t="n"/>
      <c r="M268" s="110" t="n"/>
      <c r="N268" s="110" t="n"/>
      <c r="O268" s="110" t="n"/>
      <c r="P268" s="110" t="n"/>
      <c r="Q268" s="110" t="n"/>
      <c r="R268" s="110" t="n"/>
      <c r="S268" s="110" t="n"/>
      <c r="T268" s="110" t="n"/>
      <c r="U268" s="110" t="n"/>
      <c r="V268" s="110" t="n"/>
      <c r="W268" s="110" t="n"/>
      <c r="X268" s="110" t="n"/>
      <c r="Y268" s="110" t="n"/>
      <c r="Z268" s="110" t="n"/>
    </row>
    <row r="269">
      <c r="A269" s="110" t="n"/>
      <c r="B269" s="110" t="n"/>
      <c r="C269" s="110" t="n"/>
      <c r="D269" s="110" t="n"/>
      <c r="E269" s="110" t="n"/>
      <c r="F269" s="110" t="n"/>
      <c r="G269" s="110" t="n"/>
      <c r="H269" s="110" t="n"/>
      <c r="I269" s="110" t="n"/>
      <c r="J269" s="110" t="n"/>
      <c r="K269" s="110" t="n"/>
      <c r="L269" s="110" t="n"/>
      <c r="M269" s="110" t="n"/>
      <c r="N269" s="110" t="n"/>
      <c r="O269" s="110" t="n"/>
      <c r="P269" s="110" t="n"/>
      <c r="Q269" s="110" t="n"/>
      <c r="R269" s="110" t="n"/>
      <c r="S269" s="110" t="n"/>
      <c r="T269" s="110" t="n"/>
      <c r="U269" s="110" t="n"/>
      <c r="V269" s="110" t="n"/>
      <c r="W269" s="110" t="n"/>
      <c r="X269" s="110" t="n"/>
      <c r="Y269" s="110" t="n"/>
      <c r="Z269" s="110" t="n"/>
    </row>
    <row r="270">
      <c r="A270" s="110" t="n"/>
      <c r="B270" s="110" t="n"/>
      <c r="C270" s="110" t="n"/>
      <c r="D270" s="110" t="n"/>
      <c r="E270" s="110" t="n"/>
      <c r="F270" s="110" t="n"/>
      <c r="G270" s="110" t="n"/>
      <c r="H270" s="110" t="n"/>
      <c r="I270" s="110" t="n"/>
      <c r="J270" s="110" t="n"/>
      <c r="K270" s="110" t="n"/>
      <c r="L270" s="110" t="n"/>
      <c r="M270" s="110" t="n"/>
      <c r="N270" s="110" t="n"/>
      <c r="O270" s="110" t="n"/>
      <c r="P270" s="110" t="n"/>
      <c r="Q270" s="110" t="n"/>
      <c r="R270" s="110" t="n"/>
      <c r="S270" s="110" t="n"/>
      <c r="T270" s="110" t="n"/>
      <c r="U270" s="110" t="n"/>
      <c r="V270" s="110" t="n"/>
      <c r="W270" s="110" t="n"/>
      <c r="X270" s="110" t="n"/>
      <c r="Y270" s="110" t="n"/>
      <c r="Z270" s="110" t="n"/>
    </row>
    <row r="271">
      <c r="A271" s="110" t="n"/>
      <c r="B271" s="110" t="n"/>
      <c r="C271" s="110" t="n"/>
      <c r="D271" s="110" t="n"/>
      <c r="E271" s="110" t="n"/>
      <c r="F271" s="110" t="n"/>
      <c r="G271" s="110" t="n"/>
      <c r="H271" s="110" t="n"/>
      <c r="I271" s="110" t="n"/>
      <c r="J271" s="110" t="n"/>
      <c r="K271" s="110" t="n"/>
      <c r="L271" s="110" t="n"/>
      <c r="M271" s="110" t="n"/>
      <c r="N271" s="110" t="n"/>
      <c r="O271" s="110" t="n"/>
      <c r="P271" s="110" t="n"/>
      <c r="Q271" s="110" t="n"/>
      <c r="R271" s="110" t="n"/>
      <c r="S271" s="110" t="n"/>
      <c r="T271" s="110" t="n"/>
      <c r="U271" s="110" t="n"/>
      <c r="V271" s="110" t="n"/>
      <c r="W271" s="110" t="n"/>
      <c r="X271" s="110" t="n"/>
      <c r="Y271" s="110" t="n"/>
      <c r="Z271" s="110" t="n"/>
    </row>
    <row r="272">
      <c r="A272" s="110" t="n"/>
      <c r="B272" s="110" t="n"/>
      <c r="C272" s="110" t="n"/>
      <c r="D272" s="110" t="n"/>
      <c r="E272" s="110" t="n"/>
      <c r="F272" s="110" t="n"/>
      <c r="G272" s="110" t="n"/>
      <c r="H272" s="110" t="n"/>
      <c r="I272" s="110" t="n"/>
      <c r="J272" s="110" t="n"/>
      <c r="K272" s="110" t="n"/>
      <c r="L272" s="110" t="n"/>
      <c r="M272" s="110" t="n"/>
      <c r="N272" s="110" t="n"/>
      <c r="O272" s="110" t="n"/>
      <c r="P272" s="110" t="n"/>
      <c r="Q272" s="110" t="n"/>
      <c r="R272" s="110" t="n"/>
      <c r="S272" s="110" t="n"/>
      <c r="T272" s="110" t="n"/>
      <c r="U272" s="110" t="n"/>
      <c r="V272" s="110" t="n"/>
      <c r="W272" s="110" t="n"/>
      <c r="X272" s="110" t="n"/>
      <c r="Y272" s="110" t="n"/>
      <c r="Z272" s="110" t="n"/>
    </row>
    <row r="273">
      <c r="A273" s="110" t="n"/>
      <c r="B273" s="110" t="n"/>
      <c r="C273" s="110" t="n"/>
      <c r="D273" s="110" t="n"/>
      <c r="E273" s="110" t="n"/>
      <c r="F273" s="110" t="n"/>
      <c r="G273" s="110" t="n"/>
      <c r="H273" s="110" t="n"/>
      <c r="I273" s="110" t="n"/>
      <c r="J273" s="110" t="n"/>
      <c r="K273" s="110" t="n"/>
      <c r="L273" s="110" t="n"/>
      <c r="M273" s="110" t="n"/>
      <c r="N273" s="110" t="n"/>
      <c r="O273" s="110" t="n"/>
      <c r="P273" s="110" t="n"/>
      <c r="Q273" s="110" t="n"/>
      <c r="R273" s="110" t="n"/>
      <c r="S273" s="110" t="n"/>
      <c r="T273" s="110" t="n"/>
      <c r="U273" s="110" t="n"/>
      <c r="V273" s="110" t="n"/>
      <c r="W273" s="110" t="n"/>
      <c r="X273" s="110" t="n"/>
      <c r="Y273" s="110" t="n"/>
      <c r="Z273" s="110" t="n"/>
    </row>
    <row r="274">
      <c r="A274" s="110" t="n"/>
      <c r="B274" s="110" t="n"/>
      <c r="C274" s="110" t="n"/>
      <c r="D274" s="110" t="n"/>
      <c r="E274" s="110" t="n"/>
      <c r="F274" s="110" t="n"/>
      <c r="G274" s="110" t="n"/>
      <c r="H274" s="110" t="n"/>
      <c r="I274" s="110" t="n"/>
      <c r="J274" s="110" t="n"/>
      <c r="K274" s="110" t="n"/>
      <c r="L274" s="110" t="n"/>
      <c r="M274" s="110" t="n"/>
      <c r="N274" s="110" t="n"/>
      <c r="O274" s="110" t="n"/>
      <c r="P274" s="110" t="n"/>
      <c r="Q274" s="110" t="n"/>
      <c r="R274" s="110" t="n"/>
      <c r="S274" s="110" t="n"/>
      <c r="T274" s="110" t="n"/>
      <c r="U274" s="110" t="n"/>
      <c r="V274" s="110" t="n"/>
      <c r="W274" s="110" t="n"/>
      <c r="X274" s="110" t="n"/>
      <c r="Y274" s="110" t="n"/>
      <c r="Z274" s="110" t="n"/>
    </row>
    <row r="275">
      <c r="A275" s="110" t="n"/>
      <c r="B275" s="110" t="n"/>
      <c r="C275" s="110" t="n"/>
      <c r="D275" s="110" t="n"/>
      <c r="E275" s="110" t="n"/>
      <c r="F275" s="110" t="n"/>
      <c r="G275" s="110" t="n"/>
      <c r="H275" s="110" t="n"/>
      <c r="I275" s="110" t="n"/>
      <c r="J275" s="110" t="n"/>
      <c r="K275" s="110" t="n"/>
      <c r="L275" s="110" t="n"/>
      <c r="M275" s="110" t="n"/>
      <c r="N275" s="110" t="n"/>
      <c r="O275" s="110" t="n"/>
      <c r="P275" s="110" t="n"/>
      <c r="Q275" s="110" t="n"/>
      <c r="R275" s="110" t="n"/>
      <c r="S275" s="110" t="n"/>
      <c r="T275" s="110" t="n"/>
      <c r="U275" s="110" t="n"/>
      <c r="V275" s="110" t="n"/>
      <c r="W275" s="110" t="n"/>
      <c r="X275" s="110" t="n"/>
      <c r="Y275" s="110" t="n"/>
      <c r="Z275" s="110" t="n"/>
    </row>
    <row r="276">
      <c r="A276" s="110" t="n"/>
      <c r="B276" s="110" t="n"/>
      <c r="C276" s="110" t="n"/>
      <c r="D276" s="110" t="n"/>
      <c r="E276" s="110" t="n"/>
      <c r="F276" s="110" t="n"/>
      <c r="G276" s="110" t="n"/>
      <c r="H276" s="110" t="n"/>
      <c r="I276" s="110" t="n"/>
      <c r="J276" s="110" t="n"/>
      <c r="K276" s="110" t="n"/>
      <c r="L276" s="110" t="n"/>
      <c r="M276" s="110" t="n"/>
      <c r="N276" s="110" t="n"/>
      <c r="O276" s="110" t="n"/>
      <c r="P276" s="110" t="n"/>
      <c r="Q276" s="110" t="n"/>
      <c r="R276" s="110" t="n"/>
      <c r="S276" s="110" t="n"/>
      <c r="T276" s="110" t="n"/>
      <c r="U276" s="110" t="n"/>
      <c r="V276" s="110" t="n"/>
      <c r="W276" s="110" t="n"/>
      <c r="X276" s="110" t="n"/>
      <c r="Y276" s="110" t="n"/>
      <c r="Z276" s="110" t="n"/>
    </row>
    <row r="277">
      <c r="A277" s="110" t="n"/>
      <c r="B277" s="110" t="n"/>
      <c r="C277" s="110" t="n"/>
      <c r="D277" s="110" t="n"/>
      <c r="E277" s="110" t="n"/>
      <c r="F277" s="110" t="n"/>
      <c r="G277" s="110" t="n"/>
      <c r="H277" s="110" t="n"/>
      <c r="I277" s="110" t="n"/>
      <c r="J277" s="110" t="n"/>
      <c r="K277" s="110" t="n"/>
      <c r="L277" s="110" t="n"/>
      <c r="M277" s="110" t="n"/>
      <c r="N277" s="110" t="n"/>
      <c r="O277" s="110" t="n"/>
      <c r="P277" s="110" t="n"/>
      <c r="Q277" s="110" t="n"/>
      <c r="R277" s="110" t="n"/>
      <c r="S277" s="110" t="n"/>
      <c r="T277" s="110" t="n"/>
      <c r="U277" s="110" t="n"/>
      <c r="V277" s="110" t="n"/>
      <c r="W277" s="110" t="n"/>
      <c r="X277" s="110" t="n"/>
      <c r="Y277" s="110" t="n"/>
      <c r="Z277" s="110" t="n"/>
    </row>
    <row r="278">
      <c r="A278" s="110" t="n"/>
      <c r="B278" s="110" t="n"/>
      <c r="C278" s="110" t="n"/>
      <c r="D278" s="110" t="n"/>
      <c r="E278" s="110" t="n"/>
      <c r="F278" s="110" t="n"/>
      <c r="G278" s="110" t="n"/>
      <c r="H278" s="110" t="n"/>
      <c r="I278" s="110" t="n"/>
      <c r="J278" s="110" t="n"/>
      <c r="K278" s="110" t="n"/>
      <c r="L278" s="110" t="n"/>
      <c r="M278" s="110" t="n"/>
      <c r="N278" s="110" t="n"/>
      <c r="O278" s="110" t="n"/>
      <c r="P278" s="110" t="n"/>
      <c r="Q278" s="110" t="n"/>
      <c r="R278" s="110" t="n"/>
      <c r="S278" s="110" t="n"/>
      <c r="T278" s="110" t="n"/>
      <c r="U278" s="110" t="n"/>
      <c r="V278" s="110" t="n"/>
      <c r="W278" s="110" t="n"/>
      <c r="X278" s="110" t="n"/>
      <c r="Y278" s="110" t="n"/>
      <c r="Z278" s="110" t="n"/>
    </row>
    <row r="279">
      <c r="A279" s="110" t="n"/>
      <c r="B279" s="110" t="n"/>
      <c r="C279" s="110" t="n"/>
      <c r="D279" s="110" t="n"/>
      <c r="E279" s="110" t="n"/>
      <c r="F279" s="110" t="n"/>
      <c r="G279" s="110" t="n"/>
      <c r="H279" s="110" t="n"/>
      <c r="I279" s="110" t="n"/>
      <c r="J279" s="110" t="n"/>
      <c r="K279" s="110" t="n"/>
      <c r="L279" s="110" t="n"/>
      <c r="M279" s="110" t="n"/>
      <c r="N279" s="110" t="n"/>
      <c r="O279" s="110" t="n"/>
      <c r="P279" s="110" t="n"/>
      <c r="Q279" s="110" t="n"/>
      <c r="R279" s="110" t="n"/>
      <c r="S279" s="110" t="n"/>
      <c r="T279" s="110" t="n"/>
      <c r="U279" s="110" t="n"/>
      <c r="V279" s="110" t="n"/>
      <c r="W279" s="110" t="n"/>
      <c r="X279" s="110" t="n"/>
      <c r="Y279" s="110" t="n"/>
      <c r="Z279" s="110" t="n"/>
    </row>
    <row r="280">
      <c r="A280" s="110" t="n"/>
      <c r="B280" s="110" t="n"/>
      <c r="C280" s="110" t="n"/>
      <c r="D280" s="110" t="n"/>
      <c r="E280" s="110" t="n"/>
      <c r="F280" s="110" t="n"/>
      <c r="G280" s="110" t="n"/>
      <c r="H280" s="110" t="n"/>
      <c r="I280" s="110" t="n"/>
      <c r="J280" s="110" t="n"/>
      <c r="K280" s="110" t="n"/>
      <c r="L280" s="110" t="n"/>
      <c r="M280" s="110" t="n"/>
      <c r="N280" s="110" t="n"/>
      <c r="O280" s="110" t="n"/>
      <c r="P280" s="110" t="n"/>
      <c r="Q280" s="110" t="n"/>
      <c r="R280" s="110" t="n"/>
      <c r="S280" s="110" t="n"/>
      <c r="T280" s="110" t="n"/>
      <c r="U280" s="110" t="n"/>
      <c r="V280" s="110" t="n"/>
      <c r="W280" s="110" t="n"/>
      <c r="X280" s="110" t="n"/>
      <c r="Y280" s="110" t="n"/>
      <c r="Z280" s="110" t="n"/>
    </row>
    <row r="281">
      <c r="A281" s="110" t="n"/>
      <c r="B281" s="110" t="n"/>
      <c r="C281" s="110" t="n"/>
      <c r="D281" s="110" t="n"/>
      <c r="E281" s="110" t="n"/>
      <c r="F281" s="110" t="n"/>
      <c r="G281" s="110" t="n"/>
      <c r="H281" s="110" t="n"/>
      <c r="I281" s="110" t="n"/>
      <c r="J281" s="110" t="n"/>
      <c r="K281" s="110" t="n"/>
      <c r="L281" s="110" t="n"/>
      <c r="M281" s="110" t="n"/>
      <c r="N281" s="110" t="n"/>
      <c r="O281" s="110" t="n"/>
      <c r="P281" s="110" t="n"/>
      <c r="Q281" s="110" t="n"/>
      <c r="R281" s="110" t="n"/>
      <c r="S281" s="110" t="n"/>
      <c r="T281" s="110" t="n"/>
      <c r="U281" s="110" t="n"/>
      <c r="V281" s="110" t="n"/>
      <c r="W281" s="110" t="n"/>
      <c r="X281" s="110" t="n"/>
      <c r="Y281" s="110" t="n"/>
      <c r="Z281" s="110" t="n"/>
    </row>
    <row r="282">
      <c r="A282" s="110" t="n"/>
      <c r="B282" s="110" t="n"/>
      <c r="C282" s="110" t="n"/>
      <c r="D282" s="110" t="n"/>
      <c r="E282" s="110" t="n"/>
      <c r="F282" s="110" t="n"/>
      <c r="G282" s="110" t="n"/>
      <c r="H282" s="110" t="n"/>
      <c r="I282" s="110" t="n"/>
      <c r="J282" s="110" t="n"/>
      <c r="K282" s="110" t="n"/>
      <c r="L282" s="110" t="n"/>
      <c r="M282" s="110" t="n"/>
      <c r="N282" s="110" t="n"/>
      <c r="O282" s="110" t="n"/>
      <c r="P282" s="110" t="n"/>
      <c r="Q282" s="110" t="n"/>
      <c r="R282" s="110" t="n"/>
      <c r="S282" s="110" t="n"/>
      <c r="T282" s="110" t="n"/>
      <c r="U282" s="110" t="n"/>
      <c r="V282" s="110" t="n"/>
      <c r="W282" s="110" t="n"/>
      <c r="X282" s="110" t="n"/>
      <c r="Y282" s="110" t="n"/>
      <c r="Z282" s="110" t="n"/>
    </row>
    <row r="283">
      <c r="A283" s="110" t="n"/>
      <c r="B283" s="110" t="n"/>
      <c r="C283" s="110" t="n"/>
      <c r="D283" s="110" t="n"/>
      <c r="E283" s="110" t="n"/>
      <c r="F283" s="110" t="n"/>
      <c r="G283" s="110" t="n"/>
      <c r="H283" s="110" t="n"/>
      <c r="I283" s="110" t="n"/>
      <c r="J283" s="110" t="n"/>
      <c r="K283" s="110" t="n"/>
      <c r="L283" s="110" t="n"/>
      <c r="M283" s="110" t="n"/>
      <c r="N283" s="110" t="n"/>
      <c r="O283" s="110" t="n"/>
      <c r="P283" s="110" t="n"/>
      <c r="Q283" s="110" t="n"/>
      <c r="R283" s="110" t="n"/>
      <c r="S283" s="110" t="n"/>
      <c r="T283" s="110" t="n"/>
      <c r="U283" s="110" t="n"/>
      <c r="V283" s="110" t="n"/>
      <c r="W283" s="110" t="n"/>
      <c r="X283" s="110" t="n"/>
      <c r="Y283" s="110" t="n"/>
      <c r="Z283" s="110" t="n"/>
    </row>
    <row r="284">
      <c r="A284" s="110" t="n"/>
      <c r="B284" s="110" t="n"/>
      <c r="C284" s="110" t="n"/>
      <c r="D284" s="110" t="n"/>
      <c r="E284" s="110" t="n"/>
      <c r="F284" s="110" t="n"/>
      <c r="G284" s="110" t="n"/>
      <c r="H284" s="110" t="n"/>
      <c r="I284" s="110" t="n"/>
      <c r="J284" s="110" t="n"/>
      <c r="K284" s="110" t="n"/>
      <c r="L284" s="110" t="n"/>
      <c r="M284" s="110" t="n"/>
      <c r="N284" s="110" t="n"/>
      <c r="O284" s="110" t="n"/>
      <c r="P284" s="110" t="n"/>
      <c r="Q284" s="110" t="n"/>
      <c r="R284" s="110" t="n"/>
      <c r="S284" s="110" t="n"/>
      <c r="T284" s="110" t="n"/>
      <c r="U284" s="110" t="n"/>
      <c r="V284" s="110" t="n"/>
      <c r="W284" s="110" t="n"/>
      <c r="X284" s="110" t="n"/>
      <c r="Y284" s="110" t="n"/>
      <c r="Z284" s="110" t="n"/>
    </row>
    <row r="285">
      <c r="A285" s="110" t="n"/>
      <c r="B285" s="110" t="n"/>
      <c r="C285" s="110" t="n"/>
      <c r="D285" s="110" t="n"/>
      <c r="E285" s="110" t="n"/>
      <c r="F285" s="110" t="n"/>
      <c r="G285" s="110" t="n"/>
      <c r="H285" s="110" t="n"/>
      <c r="I285" s="110" t="n"/>
      <c r="J285" s="110" t="n"/>
      <c r="K285" s="110" t="n"/>
      <c r="L285" s="110" t="n"/>
      <c r="M285" s="110" t="n"/>
      <c r="N285" s="110" t="n"/>
      <c r="O285" s="110" t="n"/>
      <c r="P285" s="110" t="n"/>
      <c r="Q285" s="110" t="n"/>
      <c r="R285" s="110" t="n"/>
      <c r="S285" s="110" t="n"/>
      <c r="T285" s="110" t="n"/>
      <c r="U285" s="110" t="n"/>
      <c r="V285" s="110" t="n"/>
      <c r="W285" s="110" t="n"/>
      <c r="X285" s="110" t="n"/>
      <c r="Y285" s="110" t="n"/>
      <c r="Z285" s="110" t="n"/>
    </row>
    <row r="286">
      <c r="A286" s="110" t="n"/>
      <c r="B286" s="110" t="n"/>
      <c r="C286" s="110" t="n"/>
      <c r="D286" s="110" t="n"/>
      <c r="E286" s="110" t="n"/>
      <c r="F286" s="110" t="n"/>
      <c r="G286" s="110" t="n"/>
      <c r="H286" s="110" t="n"/>
      <c r="I286" s="110" t="n"/>
      <c r="J286" s="110" t="n"/>
      <c r="K286" s="110" t="n"/>
      <c r="L286" s="110" t="n"/>
      <c r="M286" s="110" t="n"/>
      <c r="N286" s="110" t="n"/>
      <c r="O286" s="110" t="n"/>
      <c r="P286" s="110" t="n"/>
      <c r="Q286" s="110" t="n"/>
      <c r="R286" s="110" t="n"/>
      <c r="S286" s="110" t="n"/>
      <c r="T286" s="110" t="n"/>
      <c r="U286" s="110" t="n"/>
      <c r="V286" s="110" t="n"/>
      <c r="W286" s="110" t="n"/>
      <c r="X286" s="110" t="n"/>
      <c r="Y286" s="110" t="n"/>
      <c r="Z286" s="110" t="n"/>
    </row>
    <row r="287">
      <c r="A287" s="110" t="n"/>
      <c r="B287" s="110" t="n"/>
      <c r="C287" s="110" t="n"/>
      <c r="D287" s="110" t="n"/>
      <c r="E287" s="110" t="n"/>
      <c r="F287" s="110" t="n"/>
      <c r="G287" s="110" t="n"/>
      <c r="H287" s="110" t="n"/>
      <c r="I287" s="110" t="n"/>
      <c r="J287" s="110" t="n"/>
      <c r="K287" s="110" t="n"/>
      <c r="L287" s="110" t="n"/>
      <c r="M287" s="110" t="n"/>
      <c r="N287" s="110" t="n"/>
      <c r="O287" s="110" t="n"/>
      <c r="P287" s="110" t="n"/>
      <c r="Q287" s="110" t="n"/>
      <c r="R287" s="110" t="n"/>
      <c r="S287" s="110" t="n"/>
      <c r="T287" s="110" t="n"/>
      <c r="U287" s="110" t="n"/>
      <c r="V287" s="110" t="n"/>
      <c r="W287" s="110" t="n"/>
      <c r="X287" s="110" t="n"/>
      <c r="Y287" s="110" t="n"/>
      <c r="Z287" s="110" t="n"/>
    </row>
    <row r="288">
      <c r="A288" s="110" t="n"/>
      <c r="B288" s="110" t="n"/>
      <c r="C288" s="110" t="n"/>
      <c r="D288" s="110" t="n"/>
      <c r="E288" s="110" t="n"/>
      <c r="F288" s="110" t="n"/>
      <c r="G288" s="110" t="n"/>
      <c r="H288" s="110" t="n"/>
      <c r="I288" s="110" t="n"/>
      <c r="J288" s="110" t="n"/>
      <c r="K288" s="110" t="n"/>
      <c r="L288" s="110" t="n"/>
      <c r="M288" s="110" t="n"/>
      <c r="N288" s="110" t="n"/>
      <c r="O288" s="110" t="n"/>
      <c r="P288" s="110" t="n"/>
      <c r="Q288" s="110" t="n"/>
      <c r="R288" s="110" t="n"/>
      <c r="S288" s="110" t="n"/>
      <c r="T288" s="110" t="n"/>
      <c r="U288" s="110" t="n"/>
      <c r="V288" s="110" t="n"/>
      <c r="W288" s="110" t="n"/>
      <c r="X288" s="110" t="n"/>
      <c r="Y288" s="110" t="n"/>
      <c r="Z288" s="110" t="n"/>
    </row>
    <row r="289">
      <c r="A289" s="110" t="n"/>
      <c r="B289" s="110" t="n"/>
      <c r="C289" s="110" t="n"/>
      <c r="D289" s="110" t="n"/>
      <c r="E289" s="110" t="n"/>
      <c r="F289" s="110" t="n"/>
      <c r="G289" s="110" t="n"/>
      <c r="H289" s="110" t="n"/>
      <c r="I289" s="110" t="n"/>
      <c r="J289" s="110" t="n"/>
      <c r="K289" s="110" t="n"/>
      <c r="L289" s="110" t="n"/>
      <c r="M289" s="110" t="n"/>
      <c r="N289" s="110" t="n"/>
      <c r="O289" s="110" t="n"/>
      <c r="P289" s="110" t="n"/>
      <c r="Q289" s="110" t="n"/>
      <c r="R289" s="110" t="n"/>
      <c r="S289" s="110" t="n"/>
      <c r="T289" s="110" t="n"/>
      <c r="U289" s="110" t="n"/>
      <c r="V289" s="110" t="n"/>
      <c r="W289" s="110" t="n"/>
      <c r="X289" s="110" t="n"/>
      <c r="Y289" s="110" t="n"/>
      <c r="Z289" s="110" t="n"/>
    </row>
    <row r="290">
      <c r="A290" s="110" t="n"/>
      <c r="B290" s="110" t="n"/>
      <c r="C290" s="110" t="n"/>
      <c r="D290" s="110" t="n"/>
      <c r="E290" s="110" t="n"/>
      <c r="F290" s="110" t="n"/>
      <c r="G290" s="110" t="n"/>
      <c r="H290" s="110" t="n"/>
      <c r="I290" s="110" t="n"/>
      <c r="J290" s="110" t="n"/>
      <c r="K290" s="110" t="n"/>
      <c r="L290" s="110" t="n"/>
      <c r="M290" s="110" t="n"/>
      <c r="N290" s="110" t="n"/>
      <c r="O290" s="110" t="n"/>
      <c r="P290" s="110" t="n"/>
      <c r="Q290" s="110" t="n"/>
      <c r="R290" s="110" t="n"/>
      <c r="S290" s="110" t="n"/>
      <c r="T290" s="110" t="n"/>
      <c r="U290" s="110" t="n"/>
      <c r="V290" s="110" t="n"/>
      <c r="W290" s="110" t="n"/>
      <c r="X290" s="110" t="n"/>
      <c r="Y290" s="110" t="n"/>
      <c r="Z290" s="110" t="n"/>
    </row>
    <row r="291">
      <c r="A291" s="110" t="n"/>
      <c r="B291" s="110" t="n"/>
      <c r="C291" s="110" t="n"/>
      <c r="D291" s="110" t="n"/>
      <c r="E291" s="110" t="n"/>
      <c r="F291" s="110" t="n"/>
      <c r="G291" s="110" t="n"/>
      <c r="H291" s="110" t="n"/>
      <c r="I291" s="110" t="n"/>
      <c r="J291" s="110" t="n"/>
      <c r="K291" s="110" t="n"/>
      <c r="L291" s="110" t="n"/>
      <c r="M291" s="110" t="n"/>
      <c r="N291" s="110" t="n"/>
      <c r="O291" s="110" t="n"/>
      <c r="P291" s="110" t="n"/>
      <c r="Q291" s="110" t="n"/>
      <c r="R291" s="110" t="n"/>
      <c r="S291" s="110" t="n"/>
      <c r="T291" s="110" t="n"/>
      <c r="U291" s="110" t="n"/>
      <c r="V291" s="110" t="n"/>
      <c r="W291" s="110" t="n"/>
      <c r="X291" s="110" t="n"/>
      <c r="Y291" s="110" t="n"/>
      <c r="Z291" s="110" t="n"/>
    </row>
    <row r="292">
      <c r="A292" s="110" t="n"/>
      <c r="B292" s="110" t="n"/>
      <c r="C292" s="110" t="n"/>
      <c r="D292" s="110" t="n"/>
      <c r="E292" s="110" t="n"/>
      <c r="F292" s="110" t="n"/>
      <c r="G292" s="110" t="n"/>
      <c r="H292" s="110" t="n"/>
      <c r="I292" s="110" t="n"/>
      <c r="J292" s="110" t="n"/>
      <c r="K292" s="110" t="n"/>
      <c r="L292" s="110" t="n"/>
      <c r="M292" s="110" t="n"/>
      <c r="N292" s="110" t="n"/>
      <c r="O292" s="110" t="n"/>
      <c r="P292" s="110" t="n"/>
      <c r="Q292" s="110" t="n"/>
      <c r="R292" s="110" t="n"/>
      <c r="S292" s="110" t="n"/>
      <c r="T292" s="110" t="n"/>
      <c r="U292" s="110" t="n"/>
      <c r="V292" s="110" t="n"/>
      <c r="W292" s="110" t="n"/>
      <c r="X292" s="110" t="n"/>
      <c r="Y292" s="110" t="n"/>
      <c r="Z292" s="110" t="n"/>
    </row>
    <row r="293">
      <c r="A293" s="110" t="n"/>
      <c r="B293" s="110" t="n"/>
      <c r="C293" s="110" t="n"/>
      <c r="D293" s="110" t="n"/>
      <c r="E293" s="110" t="n"/>
      <c r="F293" s="110" t="n"/>
      <c r="G293" s="110" t="n"/>
      <c r="H293" s="110" t="n"/>
      <c r="I293" s="110" t="n"/>
      <c r="J293" s="110" t="n"/>
      <c r="K293" s="110" t="n"/>
      <c r="L293" s="110" t="n"/>
      <c r="M293" s="110" t="n"/>
      <c r="N293" s="110" t="n"/>
      <c r="O293" s="110" t="n"/>
      <c r="P293" s="110" t="n"/>
      <c r="Q293" s="110" t="n"/>
      <c r="R293" s="110" t="n"/>
      <c r="S293" s="110" t="n"/>
      <c r="T293" s="110" t="n"/>
      <c r="U293" s="110" t="n"/>
      <c r="V293" s="110" t="n"/>
      <c r="W293" s="110" t="n"/>
      <c r="X293" s="110" t="n"/>
      <c r="Y293" s="110" t="n"/>
      <c r="Z293" s="110" t="n"/>
    </row>
    <row r="294">
      <c r="A294" s="110" t="n"/>
      <c r="B294" s="110" t="n"/>
      <c r="C294" s="110" t="n"/>
      <c r="D294" s="110" t="n"/>
      <c r="E294" s="110" t="n"/>
      <c r="F294" s="110" t="n"/>
      <c r="G294" s="110" t="n"/>
      <c r="H294" s="110" t="n"/>
      <c r="I294" s="110" t="n"/>
      <c r="J294" s="110" t="n"/>
      <c r="K294" s="110" t="n"/>
      <c r="L294" s="110" t="n"/>
      <c r="M294" s="110" t="n"/>
      <c r="N294" s="110" t="n"/>
      <c r="O294" s="110" t="n"/>
      <c r="P294" s="110" t="n"/>
      <c r="Q294" s="110" t="n"/>
      <c r="R294" s="110" t="n"/>
      <c r="S294" s="110" t="n"/>
      <c r="T294" s="110" t="n"/>
      <c r="U294" s="110" t="n"/>
      <c r="V294" s="110" t="n"/>
      <c r="W294" s="110" t="n"/>
      <c r="X294" s="110" t="n"/>
      <c r="Y294" s="110" t="n"/>
      <c r="Z294" s="110" t="n"/>
    </row>
    <row r="295">
      <c r="A295" s="110" t="n"/>
      <c r="B295" s="110" t="n"/>
      <c r="C295" s="110" t="n"/>
      <c r="D295" s="110" t="n"/>
      <c r="E295" s="110" t="n"/>
      <c r="F295" s="110" t="n"/>
      <c r="G295" s="110" t="n"/>
      <c r="H295" s="110" t="n"/>
      <c r="I295" s="110" t="n"/>
      <c r="J295" s="110" t="n"/>
      <c r="K295" s="110" t="n"/>
      <c r="L295" s="110" t="n"/>
      <c r="M295" s="110" t="n"/>
      <c r="N295" s="110" t="n"/>
      <c r="O295" s="110" t="n"/>
      <c r="P295" s="110" t="n"/>
      <c r="Q295" s="110" t="n"/>
      <c r="R295" s="110" t="n"/>
      <c r="S295" s="110" t="n"/>
      <c r="T295" s="110" t="n"/>
      <c r="U295" s="110" t="n"/>
      <c r="V295" s="110" t="n"/>
      <c r="W295" s="110" t="n"/>
      <c r="X295" s="110" t="n"/>
      <c r="Y295" s="110" t="n"/>
      <c r="Z295" s="110" t="n"/>
    </row>
    <row r="296">
      <c r="A296" s="110" t="n"/>
      <c r="B296" s="110" t="n"/>
      <c r="C296" s="110" t="n"/>
      <c r="D296" s="110" t="n"/>
      <c r="E296" s="110" t="n"/>
      <c r="F296" s="110" t="n"/>
      <c r="G296" s="110" t="n"/>
      <c r="H296" s="110" t="n"/>
      <c r="I296" s="110" t="n"/>
      <c r="J296" s="110" t="n"/>
      <c r="K296" s="110" t="n"/>
      <c r="L296" s="110" t="n"/>
      <c r="M296" s="110" t="n"/>
      <c r="N296" s="110" t="n"/>
      <c r="O296" s="110" t="n"/>
      <c r="P296" s="110" t="n"/>
      <c r="Q296" s="110" t="n"/>
      <c r="R296" s="110" t="n"/>
      <c r="S296" s="110" t="n"/>
      <c r="T296" s="110" t="n"/>
      <c r="U296" s="110" t="n"/>
      <c r="V296" s="110" t="n"/>
      <c r="W296" s="110" t="n"/>
      <c r="X296" s="110" t="n"/>
      <c r="Y296" s="110" t="n"/>
      <c r="Z296" s="110" t="n"/>
    </row>
    <row r="297">
      <c r="A297" s="110" t="n"/>
      <c r="B297" s="110" t="n"/>
      <c r="C297" s="110" t="n"/>
      <c r="D297" s="110" t="n"/>
      <c r="E297" s="110" t="n"/>
      <c r="F297" s="110" t="n"/>
      <c r="G297" s="110" t="n"/>
      <c r="H297" s="110" t="n"/>
      <c r="I297" s="110" t="n"/>
      <c r="J297" s="110" t="n"/>
      <c r="K297" s="110" t="n"/>
      <c r="L297" s="110" t="n"/>
      <c r="M297" s="110" t="n"/>
      <c r="N297" s="110" t="n"/>
      <c r="O297" s="110" t="n"/>
      <c r="P297" s="110" t="n"/>
      <c r="Q297" s="110" t="n"/>
      <c r="R297" s="110" t="n"/>
      <c r="S297" s="110" t="n"/>
      <c r="T297" s="110" t="n"/>
      <c r="U297" s="110" t="n"/>
      <c r="V297" s="110" t="n"/>
      <c r="W297" s="110" t="n"/>
      <c r="X297" s="110" t="n"/>
      <c r="Y297" s="110" t="n"/>
      <c r="Z297" s="110" t="n"/>
    </row>
    <row r="298">
      <c r="A298" s="110" t="n"/>
      <c r="B298" s="110" t="n"/>
      <c r="C298" s="110" t="n"/>
      <c r="D298" s="110" t="n"/>
      <c r="E298" s="110" t="n"/>
      <c r="F298" s="110" t="n"/>
      <c r="G298" s="110" t="n"/>
      <c r="H298" s="110" t="n"/>
      <c r="I298" s="110" t="n"/>
      <c r="J298" s="110" t="n"/>
      <c r="K298" s="110" t="n"/>
      <c r="L298" s="110" t="n"/>
      <c r="M298" s="110" t="n"/>
      <c r="N298" s="110" t="n"/>
      <c r="O298" s="110" t="n"/>
      <c r="P298" s="110" t="n"/>
      <c r="Q298" s="110" t="n"/>
      <c r="R298" s="110" t="n"/>
      <c r="S298" s="110" t="n"/>
      <c r="T298" s="110" t="n"/>
      <c r="U298" s="110" t="n"/>
      <c r="V298" s="110" t="n"/>
      <c r="W298" s="110" t="n"/>
      <c r="X298" s="110" t="n"/>
      <c r="Y298" s="110" t="n"/>
      <c r="Z298" s="110" t="n"/>
    </row>
    <row r="299">
      <c r="A299" s="110" t="n"/>
      <c r="B299" s="110" t="n"/>
      <c r="C299" s="110" t="n"/>
      <c r="D299" s="110" t="n"/>
      <c r="E299" s="110" t="n"/>
      <c r="F299" s="110" t="n"/>
      <c r="G299" s="110" t="n"/>
      <c r="H299" s="110" t="n"/>
      <c r="I299" s="110" t="n"/>
      <c r="J299" s="110" t="n"/>
      <c r="K299" s="110" t="n"/>
      <c r="L299" s="110" t="n"/>
      <c r="M299" s="110" t="n"/>
      <c r="N299" s="110" t="n"/>
      <c r="O299" s="110" t="n"/>
      <c r="P299" s="110" t="n"/>
      <c r="Q299" s="110" t="n"/>
      <c r="R299" s="110" t="n"/>
      <c r="S299" s="110" t="n"/>
      <c r="T299" s="110" t="n"/>
      <c r="U299" s="110" t="n"/>
      <c r="V299" s="110" t="n"/>
      <c r="W299" s="110" t="n"/>
      <c r="X299" s="110" t="n"/>
      <c r="Y299" s="110" t="n"/>
      <c r="Z299" s="110" t="n"/>
    </row>
    <row r="300">
      <c r="A300" s="110" t="n"/>
      <c r="B300" s="110" t="n"/>
      <c r="C300" s="110" t="n"/>
      <c r="D300" s="110" t="n"/>
      <c r="E300" s="110" t="n"/>
      <c r="F300" s="110" t="n"/>
      <c r="G300" s="110" t="n"/>
      <c r="H300" s="110" t="n"/>
      <c r="I300" s="110" t="n"/>
      <c r="J300" s="110" t="n"/>
      <c r="K300" s="110" t="n"/>
      <c r="L300" s="110" t="n"/>
      <c r="M300" s="110" t="n"/>
      <c r="N300" s="110" t="n"/>
      <c r="O300" s="110" t="n"/>
      <c r="P300" s="110" t="n"/>
      <c r="Q300" s="110" t="n"/>
      <c r="R300" s="110" t="n"/>
      <c r="S300" s="110" t="n"/>
      <c r="T300" s="110" t="n"/>
      <c r="U300" s="110" t="n"/>
      <c r="V300" s="110" t="n"/>
      <c r="W300" s="110" t="n"/>
      <c r="X300" s="110" t="n"/>
      <c r="Y300" s="110" t="n"/>
      <c r="Z300" s="110" t="n"/>
    </row>
    <row r="301">
      <c r="A301" s="110" t="n"/>
      <c r="B301" s="110" t="n"/>
      <c r="C301" s="110" t="n"/>
      <c r="D301" s="110" t="n"/>
      <c r="E301" s="110" t="n"/>
      <c r="F301" s="110" t="n"/>
      <c r="G301" s="110" t="n"/>
      <c r="H301" s="110" t="n"/>
      <c r="I301" s="110" t="n"/>
      <c r="J301" s="110" t="n"/>
      <c r="K301" s="110" t="n"/>
      <c r="L301" s="110" t="n"/>
      <c r="M301" s="110" t="n"/>
      <c r="N301" s="110" t="n"/>
      <c r="O301" s="110" t="n"/>
      <c r="P301" s="110" t="n"/>
      <c r="Q301" s="110" t="n"/>
      <c r="R301" s="110" t="n"/>
      <c r="S301" s="110" t="n"/>
      <c r="T301" s="110" t="n"/>
      <c r="U301" s="110" t="n"/>
      <c r="V301" s="110" t="n"/>
      <c r="W301" s="110" t="n"/>
      <c r="X301" s="110" t="n"/>
      <c r="Y301" s="110" t="n"/>
      <c r="Z301" s="110" t="n"/>
    </row>
    <row r="302">
      <c r="A302" s="110" t="n"/>
      <c r="B302" s="110" t="n"/>
      <c r="C302" s="110" t="n"/>
      <c r="D302" s="110" t="n"/>
      <c r="E302" s="110" t="n"/>
      <c r="F302" s="110" t="n"/>
      <c r="G302" s="110" t="n"/>
      <c r="H302" s="110" t="n"/>
      <c r="I302" s="110" t="n"/>
      <c r="J302" s="110" t="n"/>
      <c r="K302" s="110" t="n"/>
      <c r="L302" s="110" t="n"/>
      <c r="M302" s="110" t="n"/>
      <c r="N302" s="110" t="n"/>
      <c r="O302" s="110" t="n"/>
      <c r="P302" s="110" t="n"/>
      <c r="Q302" s="110" t="n"/>
      <c r="R302" s="110" t="n"/>
      <c r="S302" s="110" t="n"/>
      <c r="T302" s="110" t="n"/>
      <c r="U302" s="110" t="n"/>
      <c r="V302" s="110" t="n"/>
      <c r="W302" s="110" t="n"/>
      <c r="X302" s="110" t="n"/>
      <c r="Y302" s="110" t="n"/>
      <c r="Z302" s="110" t="n"/>
    </row>
    <row r="303">
      <c r="A303" s="110" t="n"/>
      <c r="B303" s="110" t="n"/>
      <c r="C303" s="110" t="n"/>
      <c r="D303" s="110" t="n"/>
      <c r="E303" s="110" t="n"/>
      <c r="F303" s="110" t="n"/>
      <c r="G303" s="110" t="n"/>
      <c r="H303" s="110" t="n"/>
      <c r="I303" s="110" t="n"/>
      <c r="J303" s="110" t="n"/>
      <c r="K303" s="110" t="n"/>
      <c r="L303" s="110" t="n"/>
      <c r="M303" s="110" t="n"/>
      <c r="N303" s="110" t="n"/>
      <c r="O303" s="110" t="n"/>
      <c r="P303" s="110" t="n"/>
      <c r="Q303" s="110" t="n"/>
      <c r="R303" s="110" t="n"/>
      <c r="S303" s="110" t="n"/>
      <c r="T303" s="110" t="n"/>
      <c r="U303" s="110" t="n"/>
      <c r="V303" s="110" t="n"/>
      <c r="W303" s="110" t="n"/>
      <c r="X303" s="110" t="n"/>
      <c r="Y303" s="110" t="n"/>
      <c r="Z303" s="110" t="n"/>
    </row>
    <row r="304">
      <c r="A304" s="110" t="n"/>
      <c r="B304" s="110" t="n"/>
      <c r="C304" s="110" t="n"/>
      <c r="D304" s="110" t="n"/>
      <c r="E304" s="110" t="n"/>
      <c r="F304" s="110" t="n"/>
      <c r="G304" s="110" t="n"/>
      <c r="H304" s="110" t="n"/>
      <c r="I304" s="110" t="n"/>
      <c r="J304" s="110" t="n"/>
      <c r="K304" s="110" t="n"/>
      <c r="L304" s="110" t="n"/>
      <c r="M304" s="110" t="n"/>
      <c r="N304" s="110" t="n"/>
      <c r="O304" s="110" t="n"/>
      <c r="P304" s="110" t="n"/>
      <c r="Q304" s="110" t="n"/>
      <c r="R304" s="110" t="n"/>
      <c r="S304" s="110" t="n"/>
      <c r="T304" s="110" t="n"/>
      <c r="U304" s="110" t="n"/>
      <c r="V304" s="110" t="n"/>
      <c r="W304" s="110" t="n"/>
      <c r="X304" s="110" t="n"/>
      <c r="Y304" s="110" t="n"/>
      <c r="Z304" s="110" t="n"/>
    </row>
    <row r="305">
      <c r="A305" s="110" t="n"/>
      <c r="B305" s="110" t="n"/>
      <c r="C305" s="110" t="n"/>
      <c r="D305" s="110" t="n"/>
      <c r="E305" s="110" t="n"/>
      <c r="F305" s="110" t="n"/>
      <c r="G305" s="110" t="n"/>
      <c r="H305" s="110" t="n"/>
      <c r="I305" s="110" t="n"/>
      <c r="J305" s="110" t="n"/>
      <c r="K305" s="110" t="n"/>
      <c r="L305" s="110" t="n"/>
      <c r="M305" s="110" t="n"/>
      <c r="N305" s="110" t="n"/>
      <c r="O305" s="110" t="n"/>
      <c r="P305" s="110" t="n"/>
      <c r="Q305" s="110" t="n"/>
      <c r="R305" s="110" t="n"/>
      <c r="S305" s="110" t="n"/>
      <c r="T305" s="110" t="n"/>
      <c r="U305" s="110" t="n"/>
      <c r="V305" s="110" t="n"/>
      <c r="W305" s="110" t="n"/>
      <c r="X305" s="110" t="n"/>
      <c r="Y305" s="110" t="n"/>
      <c r="Z305" s="110" t="n"/>
    </row>
    <row r="306">
      <c r="A306" s="110" t="n"/>
      <c r="B306" s="110" t="n"/>
      <c r="C306" s="110" t="n"/>
      <c r="D306" s="110" t="n"/>
      <c r="E306" s="110" t="n"/>
      <c r="F306" s="110" t="n"/>
      <c r="G306" s="110" t="n"/>
      <c r="H306" s="110" t="n"/>
      <c r="I306" s="110" t="n"/>
      <c r="J306" s="110" t="n"/>
      <c r="K306" s="110" t="n"/>
      <c r="L306" s="110" t="n"/>
      <c r="M306" s="110" t="n"/>
      <c r="N306" s="110" t="n"/>
      <c r="O306" s="110" t="n"/>
      <c r="P306" s="110" t="n"/>
      <c r="Q306" s="110" t="n"/>
      <c r="R306" s="110" t="n"/>
      <c r="S306" s="110" t="n"/>
      <c r="T306" s="110" t="n"/>
      <c r="U306" s="110" t="n"/>
      <c r="V306" s="110" t="n"/>
      <c r="W306" s="110" t="n"/>
      <c r="X306" s="110" t="n"/>
      <c r="Y306" s="110" t="n"/>
      <c r="Z306" s="110" t="n"/>
    </row>
    <row r="307">
      <c r="A307" s="110" t="n"/>
      <c r="B307" s="110" t="n"/>
      <c r="C307" s="110" t="n"/>
      <c r="D307" s="110" t="n"/>
      <c r="E307" s="110" t="n"/>
      <c r="F307" s="110" t="n"/>
      <c r="G307" s="110" t="n"/>
      <c r="H307" s="110" t="n"/>
      <c r="I307" s="110" t="n"/>
      <c r="J307" s="110" t="n"/>
      <c r="K307" s="110" t="n"/>
      <c r="L307" s="110" t="n"/>
      <c r="M307" s="110" t="n"/>
      <c r="N307" s="110" t="n"/>
      <c r="O307" s="110" t="n"/>
      <c r="P307" s="110" t="n"/>
      <c r="Q307" s="110" t="n"/>
      <c r="R307" s="110" t="n"/>
      <c r="S307" s="110" t="n"/>
      <c r="T307" s="110" t="n"/>
      <c r="U307" s="110" t="n"/>
      <c r="V307" s="110" t="n"/>
      <c r="W307" s="110" t="n"/>
      <c r="X307" s="110" t="n"/>
      <c r="Y307" s="110" t="n"/>
      <c r="Z307" s="110" t="n"/>
    </row>
    <row r="308">
      <c r="A308" s="110" t="n"/>
      <c r="B308" s="110" t="n"/>
      <c r="C308" s="110" t="n"/>
      <c r="D308" s="110" t="n"/>
      <c r="E308" s="110" t="n"/>
      <c r="F308" s="110" t="n"/>
      <c r="G308" s="110" t="n"/>
      <c r="H308" s="110" t="n"/>
      <c r="I308" s="110" t="n"/>
      <c r="J308" s="110" t="n"/>
      <c r="K308" s="110" t="n"/>
      <c r="L308" s="110" t="n"/>
      <c r="M308" s="110" t="n"/>
      <c r="N308" s="110" t="n"/>
      <c r="O308" s="110" t="n"/>
      <c r="P308" s="110" t="n"/>
      <c r="Q308" s="110" t="n"/>
      <c r="R308" s="110" t="n"/>
      <c r="S308" s="110" t="n"/>
      <c r="T308" s="110" t="n"/>
      <c r="U308" s="110" t="n"/>
      <c r="V308" s="110" t="n"/>
      <c r="W308" s="110" t="n"/>
      <c r="X308" s="110" t="n"/>
      <c r="Y308" s="110" t="n"/>
      <c r="Z308" s="110" t="n"/>
    </row>
    <row r="309">
      <c r="A309" s="110" t="n"/>
      <c r="B309" s="110" t="n"/>
      <c r="C309" s="110" t="n"/>
      <c r="D309" s="110" t="n"/>
      <c r="E309" s="110" t="n"/>
      <c r="F309" s="110" t="n"/>
      <c r="G309" s="110" t="n"/>
      <c r="H309" s="110" t="n"/>
      <c r="I309" s="110" t="n"/>
      <c r="J309" s="110" t="n"/>
      <c r="K309" s="110" t="n"/>
      <c r="L309" s="110" t="n"/>
      <c r="M309" s="110" t="n"/>
      <c r="N309" s="110" t="n"/>
      <c r="O309" s="110" t="n"/>
      <c r="P309" s="110" t="n"/>
      <c r="Q309" s="110" t="n"/>
      <c r="R309" s="110" t="n"/>
      <c r="S309" s="110" t="n"/>
      <c r="T309" s="110" t="n"/>
      <c r="U309" s="110" t="n"/>
      <c r="V309" s="110" t="n"/>
      <c r="W309" s="110" t="n"/>
      <c r="X309" s="110" t="n"/>
      <c r="Y309" s="110" t="n"/>
      <c r="Z309" s="110" t="n"/>
    </row>
    <row r="310">
      <c r="A310" s="110" t="n"/>
      <c r="B310" s="110" t="n"/>
      <c r="C310" s="110" t="n"/>
      <c r="D310" s="110" t="n"/>
      <c r="E310" s="110" t="n"/>
      <c r="F310" s="110" t="n"/>
      <c r="G310" s="110" t="n"/>
      <c r="H310" s="110" t="n"/>
      <c r="I310" s="110" t="n"/>
      <c r="J310" s="110" t="n"/>
      <c r="K310" s="110" t="n"/>
      <c r="L310" s="110" t="n"/>
      <c r="M310" s="110" t="n"/>
      <c r="N310" s="110" t="n"/>
      <c r="O310" s="110" t="n"/>
      <c r="P310" s="110" t="n"/>
      <c r="Q310" s="110" t="n"/>
      <c r="R310" s="110" t="n"/>
      <c r="S310" s="110" t="n"/>
      <c r="T310" s="110" t="n"/>
      <c r="U310" s="110" t="n"/>
      <c r="V310" s="110" t="n"/>
      <c r="W310" s="110" t="n"/>
      <c r="X310" s="110" t="n"/>
      <c r="Y310" s="110" t="n"/>
      <c r="Z310" s="110" t="n"/>
    </row>
    <row r="311">
      <c r="A311" s="110" t="n"/>
      <c r="B311" s="110" t="n"/>
      <c r="C311" s="110" t="n"/>
      <c r="D311" s="110" t="n"/>
      <c r="E311" s="110" t="n"/>
      <c r="F311" s="110" t="n"/>
      <c r="G311" s="110" t="n"/>
      <c r="H311" s="110" t="n"/>
      <c r="I311" s="110" t="n"/>
      <c r="J311" s="110" t="n"/>
      <c r="K311" s="110" t="n"/>
      <c r="L311" s="110" t="n"/>
      <c r="M311" s="110" t="n"/>
      <c r="N311" s="110" t="n"/>
      <c r="O311" s="110" t="n"/>
      <c r="P311" s="110" t="n"/>
      <c r="Q311" s="110" t="n"/>
      <c r="R311" s="110" t="n"/>
      <c r="S311" s="110" t="n"/>
      <c r="T311" s="110" t="n"/>
      <c r="U311" s="110" t="n"/>
      <c r="V311" s="110" t="n"/>
      <c r="W311" s="110" t="n"/>
      <c r="X311" s="110" t="n"/>
      <c r="Y311" s="110" t="n"/>
      <c r="Z311" s="110" t="n"/>
    </row>
    <row r="312">
      <c r="A312" s="110" t="n"/>
      <c r="B312" s="110" t="n"/>
      <c r="C312" s="110" t="n"/>
      <c r="D312" s="110" t="n"/>
      <c r="E312" s="110" t="n"/>
      <c r="F312" s="110" t="n"/>
      <c r="G312" s="110" t="n"/>
      <c r="H312" s="110" t="n"/>
      <c r="I312" s="110" t="n"/>
      <c r="J312" s="110" t="n"/>
      <c r="K312" s="110" t="n"/>
      <c r="L312" s="110" t="n"/>
      <c r="M312" s="110" t="n"/>
      <c r="N312" s="110" t="n"/>
      <c r="O312" s="110" t="n"/>
      <c r="P312" s="110" t="n"/>
      <c r="Q312" s="110" t="n"/>
      <c r="R312" s="110" t="n"/>
      <c r="S312" s="110" t="n"/>
      <c r="T312" s="110" t="n"/>
      <c r="U312" s="110" t="n"/>
      <c r="V312" s="110" t="n"/>
      <c r="W312" s="110" t="n"/>
      <c r="X312" s="110" t="n"/>
      <c r="Y312" s="110" t="n"/>
      <c r="Z312" s="110" t="n"/>
    </row>
    <row r="313">
      <c r="A313" s="110" t="n"/>
      <c r="B313" s="110" t="n"/>
      <c r="C313" s="110" t="n"/>
      <c r="D313" s="110" t="n"/>
      <c r="E313" s="110" t="n"/>
      <c r="F313" s="110" t="n"/>
      <c r="G313" s="110" t="n"/>
      <c r="H313" s="110" t="n"/>
      <c r="I313" s="110" t="n"/>
      <c r="J313" s="110" t="n"/>
      <c r="K313" s="110" t="n"/>
      <c r="L313" s="110" t="n"/>
      <c r="M313" s="110" t="n"/>
      <c r="N313" s="110" t="n"/>
      <c r="O313" s="110" t="n"/>
      <c r="P313" s="110" t="n"/>
      <c r="Q313" s="110" t="n"/>
      <c r="R313" s="110" t="n"/>
      <c r="S313" s="110" t="n"/>
      <c r="T313" s="110" t="n"/>
      <c r="U313" s="110" t="n"/>
      <c r="V313" s="110" t="n"/>
      <c r="W313" s="110" t="n"/>
      <c r="X313" s="110" t="n"/>
      <c r="Y313" s="110" t="n"/>
      <c r="Z313" s="110" t="n"/>
    </row>
    <row r="314">
      <c r="A314" s="110" t="n"/>
      <c r="B314" s="110" t="n"/>
      <c r="C314" s="110" t="n"/>
      <c r="D314" s="110" t="n"/>
      <c r="E314" s="110" t="n"/>
      <c r="F314" s="110" t="n"/>
      <c r="G314" s="110" t="n"/>
      <c r="H314" s="110" t="n"/>
      <c r="I314" s="110" t="n"/>
      <c r="J314" s="110" t="n"/>
      <c r="K314" s="110" t="n"/>
      <c r="L314" s="110" t="n"/>
      <c r="M314" s="110" t="n"/>
      <c r="N314" s="110" t="n"/>
      <c r="O314" s="110" t="n"/>
      <c r="P314" s="110" t="n"/>
      <c r="Q314" s="110" t="n"/>
      <c r="R314" s="110" t="n"/>
      <c r="S314" s="110" t="n"/>
      <c r="T314" s="110" t="n"/>
      <c r="U314" s="110" t="n"/>
      <c r="V314" s="110" t="n"/>
      <c r="W314" s="110" t="n"/>
      <c r="X314" s="110" t="n"/>
      <c r="Y314" s="110" t="n"/>
      <c r="Z314" s="110" t="n"/>
    </row>
    <row r="315">
      <c r="A315" s="110" t="n"/>
      <c r="B315" s="110" t="n"/>
      <c r="C315" s="110" t="n"/>
      <c r="D315" s="110" t="n"/>
      <c r="E315" s="110" t="n"/>
      <c r="F315" s="110" t="n"/>
      <c r="G315" s="110" t="n"/>
      <c r="H315" s="110" t="n"/>
      <c r="I315" s="110" t="n"/>
      <c r="J315" s="110" t="n"/>
      <c r="K315" s="110" t="n"/>
      <c r="L315" s="110" t="n"/>
      <c r="M315" s="110" t="n"/>
      <c r="N315" s="110" t="n"/>
      <c r="O315" s="110" t="n"/>
      <c r="P315" s="110" t="n"/>
      <c r="Q315" s="110" t="n"/>
      <c r="R315" s="110" t="n"/>
      <c r="S315" s="110" t="n"/>
      <c r="T315" s="110" t="n"/>
      <c r="U315" s="110" t="n"/>
      <c r="V315" s="110" t="n"/>
      <c r="W315" s="110" t="n"/>
      <c r="X315" s="110" t="n"/>
      <c r="Y315" s="110" t="n"/>
      <c r="Z315" s="110" t="n"/>
    </row>
    <row r="316">
      <c r="A316" s="110" t="n"/>
      <c r="B316" s="110" t="n"/>
      <c r="C316" s="110" t="n"/>
      <c r="D316" s="110" t="n"/>
      <c r="E316" s="110" t="n"/>
      <c r="F316" s="110" t="n"/>
      <c r="G316" s="110" t="n"/>
      <c r="H316" s="110" t="n"/>
      <c r="I316" s="110" t="n"/>
      <c r="J316" s="110" t="n"/>
      <c r="K316" s="110" t="n"/>
      <c r="L316" s="110" t="n"/>
      <c r="M316" s="110" t="n"/>
      <c r="N316" s="110" t="n"/>
      <c r="O316" s="110" t="n"/>
      <c r="P316" s="110" t="n"/>
      <c r="Q316" s="110" t="n"/>
      <c r="R316" s="110" t="n"/>
      <c r="S316" s="110" t="n"/>
      <c r="T316" s="110" t="n"/>
      <c r="U316" s="110" t="n"/>
      <c r="V316" s="110" t="n"/>
      <c r="W316" s="110" t="n"/>
      <c r="X316" s="110" t="n"/>
      <c r="Y316" s="110" t="n"/>
      <c r="Z316" s="110" t="n"/>
    </row>
    <row r="317">
      <c r="A317" s="110" t="n"/>
      <c r="B317" s="110" t="n"/>
      <c r="C317" s="110" t="n"/>
      <c r="D317" s="110" t="n"/>
      <c r="E317" s="110" t="n"/>
      <c r="F317" s="110" t="n"/>
      <c r="G317" s="110" t="n"/>
      <c r="H317" s="110" t="n"/>
      <c r="I317" s="110" t="n"/>
      <c r="J317" s="110" t="n"/>
      <c r="K317" s="110" t="n"/>
      <c r="L317" s="110" t="n"/>
      <c r="M317" s="110" t="n"/>
      <c r="N317" s="110" t="n"/>
      <c r="O317" s="110" t="n"/>
      <c r="P317" s="110" t="n"/>
      <c r="Q317" s="110" t="n"/>
      <c r="R317" s="110" t="n"/>
      <c r="S317" s="110" t="n"/>
      <c r="T317" s="110" t="n"/>
      <c r="U317" s="110" t="n"/>
      <c r="V317" s="110" t="n"/>
      <c r="W317" s="110" t="n"/>
      <c r="X317" s="110" t="n"/>
      <c r="Y317" s="110" t="n"/>
      <c r="Z317" s="110" t="n"/>
    </row>
    <row r="318">
      <c r="A318" s="110" t="n"/>
      <c r="B318" s="110" t="n"/>
      <c r="C318" s="110" t="n"/>
      <c r="D318" s="110" t="n"/>
      <c r="E318" s="110" t="n"/>
      <c r="F318" s="110" t="n"/>
      <c r="G318" s="110" t="n"/>
      <c r="H318" s="110" t="n"/>
      <c r="I318" s="110" t="n"/>
      <c r="J318" s="110" t="n"/>
      <c r="K318" s="110" t="n"/>
      <c r="L318" s="110" t="n"/>
      <c r="M318" s="110" t="n"/>
      <c r="N318" s="110" t="n"/>
      <c r="O318" s="110" t="n"/>
      <c r="P318" s="110" t="n"/>
      <c r="Q318" s="110" t="n"/>
      <c r="R318" s="110" t="n"/>
      <c r="S318" s="110" t="n"/>
      <c r="T318" s="110" t="n"/>
      <c r="U318" s="110" t="n"/>
      <c r="V318" s="110" t="n"/>
      <c r="W318" s="110" t="n"/>
      <c r="X318" s="110" t="n"/>
      <c r="Y318" s="110" t="n"/>
      <c r="Z318" s="110" t="n"/>
    </row>
    <row r="319">
      <c r="A319" s="110" t="n"/>
      <c r="B319" s="110" t="n"/>
      <c r="C319" s="110" t="n"/>
      <c r="D319" s="110" t="n"/>
      <c r="E319" s="110" t="n"/>
      <c r="F319" s="110" t="n"/>
      <c r="G319" s="110" t="n"/>
      <c r="H319" s="110" t="n"/>
      <c r="I319" s="110" t="n"/>
      <c r="J319" s="110" t="n"/>
      <c r="K319" s="110" t="n"/>
      <c r="L319" s="110" t="n"/>
      <c r="M319" s="110" t="n"/>
      <c r="N319" s="110" t="n"/>
      <c r="O319" s="110" t="n"/>
      <c r="P319" s="110" t="n"/>
      <c r="Q319" s="110" t="n"/>
      <c r="R319" s="110" t="n"/>
      <c r="S319" s="110" t="n"/>
      <c r="T319" s="110" t="n"/>
      <c r="U319" s="110" t="n"/>
      <c r="V319" s="110" t="n"/>
      <c r="W319" s="110" t="n"/>
      <c r="X319" s="110" t="n"/>
      <c r="Y319" s="110" t="n"/>
      <c r="Z319" s="110" t="n"/>
    </row>
    <row r="320">
      <c r="A320" s="110" t="n"/>
      <c r="B320" s="110" t="n"/>
      <c r="C320" s="110" t="n"/>
      <c r="D320" s="110" t="n"/>
      <c r="E320" s="110" t="n"/>
      <c r="F320" s="110" t="n"/>
      <c r="G320" s="110" t="n"/>
      <c r="H320" s="110" t="n"/>
      <c r="I320" s="110" t="n"/>
      <c r="J320" s="110" t="n"/>
      <c r="K320" s="110" t="n"/>
      <c r="L320" s="110" t="n"/>
      <c r="M320" s="110" t="n"/>
      <c r="N320" s="110" t="n"/>
      <c r="O320" s="110" t="n"/>
      <c r="P320" s="110" t="n"/>
      <c r="Q320" s="110" t="n"/>
      <c r="R320" s="110" t="n"/>
      <c r="S320" s="110" t="n"/>
      <c r="T320" s="110" t="n"/>
      <c r="U320" s="110" t="n"/>
      <c r="V320" s="110" t="n"/>
      <c r="W320" s="110" t="n"/>
      <c r="X320" s="110" t="n"/>
      <c r="Y320" s="110" t="n"/>
      <c r="Z320" s="110" t="n"/>
    </row>
    <row r="321">
      <c r="A321" s="110" t="n"/>
      <c r="B321" s="110" t="n"/>
      <c r="C321" s="110" t="n"/>
      <c r="D321" s="110" t="n"/>
      <c r="E321" s="110" t="n"/>
      <c r="F321" s="110" t="n"/>
      <c r="G321" s="110" t="n"/>
      <c r="H321" s="110" t="n"/>
      <c r="I321" s="110" t="n"/>
      <c r="J321" s="110" t="n"/>
      <c r="K321" s="110" t="n"/>
      <c r="L321" s="110" t="n"/>
      <c r="M321" s="110" t="n"/>
      <c r="N321" s="110" t="n"/>
      <c r="O321" s="110" t="n"/>
      <c r="P321" s="110" t="n"/>
      <c r="Q321" s="110" t="n"/>
      <c r="R321" s="110" t="n"/>
      <c r="S321" s="110" t="n"/>
      <c r="T321" s="110" t="n"/>
      <c r="U321" s="110" t="n"/>
      <c r="V321" s="110" t="n"/>
      <c r="W321" s="110" t="n"/>
      <c r="X321" s="110" t="n"/>
      <c r="Y321" s="110" t="n"/>
      <c r="Z321" s="110" t="n"/>
    </row>
    <row r="322">
      <c r="A322" s="110" t="n"/>
      <c r="B322" s="110" t="n"/>
      <c r="C322" s="110" t="n"/>
      <c r="D322" s="110" t="n"/>
      <c r="E322" s="110" t="n"/>
      <c r="F322" s="110" t="n"/>
      <c r="G322" s="110" t="n"/>
      <c r="H322" s="110" t="n"/>
      <c r="I322" s="110" t="n"/>
      <c r="J322" s="110" t="n"/>
      <c r="K322" s="110" t="n"/>
      <c r="L322" s="110" t="n"/>
      <c r="M322" s="110" t="n"/>
      <c r="N322" s="110" t="n"/>
      <c r="O322" s="110" t="n"/>
      <c r="P322" s="110" t="n"/>
      <c r="Q322" s="110" t="n"/>
      <c r="R322" s="110" t="n"/>
      <c r="S322" s="110" t="n"/>
      <c r="T322" s="110" t="n"/>
      <c r="U322" s="110" t="n"/>
      <c r="V322" s="110" t="n"/>
      <c r="W322" s="110" t="n"/>
      <c r="X322" s="110" t="n"/>
      <c r="Y322" s="110" t="n"/>
      <c r="Z322" s="110" t="n"/>
    </row>
    <row r="323">
      <c r="A323" s="110" t="n"/>
      <c r="B323" s="110" t="n"/>
      <c r="C323" s="110" t="n"/>
      <c r="D323" s="110" t="n"/>
      <c r="E323" s="110" t="n"/>
      <c r="F323" s="110" t="n"/>
      <c r="G323" s="110" t="n"/>
      <c r="H323" s="110" t="n"/>
      <c r="I323" s="110" t="n"/>
      <c r="J323" s="110" t="n"/>
      <c r="K323" s="110" t="n"/>
      <c r="L323" s="110" t="n"/>
      <c r="M323" s="110" t="n"/>
      <c r="N323" s="110" t="n"/>
      <c r="O323" s="110" t="n"/>
      <c r="P323" s="110" t="n"/>
      <c r="Q323" s="110" t="n"/>
      <c r="R323" s="110" t="n"/>
      <c r="S323" s="110" t="n"/>
      <c r="T323" s="110" t="n"/>
      <c r="U323" s="110" t="n"/>
      <c r="V323" s="110" t="n"/>
      <c r="W323" s="110" t="n"/>
      <c r="X323" s="110" t="n"/>
      <c r="Y323" s="110" t="n"/>
      <c r="Z323" s="110" t="n"/>
    </row>
    <row r="324">
      <c r="A324" s="110" t="n"/>
      <c r="B324" s="110" t="n"/>
      <c r="C324" s="110" t="n"/>
      <c r="D324" s="110" t="n"/>
      <c r="E324" s="110" t="n"/>
      <c r="F324" s="110" t="n"/>
      <c r="G324" s="110" t="n"/>
      <c r="H324" s="110" t="n"/>
      <c r="I324" s="110" t="n"/>
      <c r="J324" s="110" t="n"/>
      <c r="K324" s="110" t="n"/>
      <c r="L324" s="110" t="n"/>
      <c r="M324" s="110" t="n"/>
      <c r="N324" s="110" t="n"/>
      <c r="O324" s="110" t="n"/>
      <c r="P324" s="110" t="n"/>
      <c r="Q324" s="110" t="n"/>
      <c r="R324" s="110" t="n"/>
      <c r="S324" s="110" t="n"/>
      <c r="T324" s="110" t="n"/>
      <c r="U324" s="110" t="n"/>
      <c r="V324" s="110" t="n"/>
      <c r="W324" s="110" t="n"/>
      <c r="X324" s="110" t="n"/>
      <c r="Y324" s="110" t="n"/>
      <c r="Z324" s="110" t="n"/>
    </row>
    <row r="325">
      <c r="A325" s="110" t="n"/>
      <c r="B325" s="110" t="n"/>
      <c r="C325" s="110" t="n"/>
      <c r="D325" s="110" t="n"/>
      <c r="E325" s="110" t="n"/>
      <c r="F325" s="110" t="n"/>
      <c r="G325" s="110" t="n"/>
      <c r="H325" s="110" t="n"/>
      <c r="I325" s="110" t="n"/>
      <c r="J325" s="110" t="n"/>
      <c r="K325" s="110" t="n"/>
      <c r="L325" s="110" t="n"/>
      <c r="M325" s="110" t="n"/>
      <c r="N325" s="110" t="n"/>
      <c r="O325" s="110" t="n"/>
      <c r="P325" s="110" t="n"/>
      <c r="Q325" s="110" t="n"/>
      <c r="R325" s="110" t="n"/>
      <c r="S325" s="110" t="n"/>
      <c r="T325" s="110" t="n"/>
      <c r="U325" s="110" t="n"/>
      <c r="V325" s="110" t="n"/>
      <c r="W325" s="110" t="n"/>
      <c r="X325" s="110" t="n"/>
      <c r="Y325" s="110" t="n"/>
      <c r="Z325" s="110" t="n"/>
    </row>
    <row r="326">
      <c r="A326" s="110" t="n"/>
      <c r="B326" s="110" t="n"/>
      <c r="C326" s="110" t="n"/>
      <c r="D326" s="110" t="n"/>
      <c r="E326" s="110" t="n"/>
      <c r="F326" s="110" t="n"/>
      <c r="G326" s="110" t="n"/>
      <c r="H326" s="110" t="n"/>
      <c r="I326" s="110" t="n"/>
      <c r="J326" s="110" t="n"/>
      <c r="K326" s="110" t="n"/>
      <c r="L326" s="110" t="n"/>
      <c r="M326" s="110" t="n"/>
      <c r="N326" s="110" t="n"/>
      <c r="O326" s="110" t="n"/>
      <c r="P326" s="110" t="n"/>
      <c r="Q326" s="110" t="n"/>
      <c r="R326" s="110" t="n"/>
      <c r="S326" s="110" t="n"/>
      <c r="T326" s="110" t="n"/>
      <c r="U326" s="110" t="n"/>
      <c r="V326" s="110" t="n"/>
      <c r="W326" s="110" t="n"/>
      <c r="X326" s="110" t="n"/>
      <c r="Y326" s="110" t="n"/>
      <c r="Z326" s="110" t="n"/>
    </row>
    <row r="327">
      <c r="A327" s="110" t="n"/>
      <c r="B327" s="110" t="n"/>
      <c r="C327" s="110" t="n"/>
      <c r="D327" s="110" t="n"/>
      <c r="E327" s="110" t="n"/>
      <c r="F327" s="110" t="n"/>
      <c r="G327" s="110" t="n"/>
      <c r="H327" s="110" t="n"/>
      <c r="I327" s="110" t="n"/>
      <c r="J327" s="110" t="n"/>
      <c r="K327" s="110" t="n"/>
      <c r="L327" s="110" t="n"/>
      <c r="M327" s="110" t="n"/>
      <c r="N327" s="110" t="n"/>
      <c r="O327" s="110" t="n"/>
      <c r="P327" s="110" t="n"/>
      <c r="Q327" s="110" t="n"/>
      <c r="R327" s="110" t="n"/>
      <c r="S327" s="110" t="n"/>
      <c r="T327" s="110" t="n"/>
      <c r="U327" s="110" t="n"/>
      <c r="V327" s="110" t="n"/>
      <c r="W327" s="110" t="n"/>
      <c r="X327" s="110" t="n"/>
      <c r="Y327" s="110" t="n"/>
      <c r="Z327" s="110" t="n"/>
    </row>
    <row r="328">
      <c r="A328" s="110" t="n"/>
      <c r="B328" s="110" t="n"/>
      <c r="C328" s="110" t="n"/>
      <c r="D328" s="110" t="n"/>
      <c r="E328" s="110" t="n"/>
      <c r="F328" s="110" t="n"/>
      <c r="G328" s="110" t="n"/>
      <c r="H328" s="110" t="n"/>
      <c r="I328" s="110" t="n"/>
      <c r="J328" s="110" t="n"/>
      <c r="K328" s="110" t="n"/>
      <c r="L328" s="110" t="n"/>
      <c r="M328" s="110" t="n"/>
      <c r="N328" s="110" t="n"/>
      <c r="O328" s="110" t="n"/>
      <c r="P328" s="110" t="n"/>
      <c r="Q328" s="110" t="n"/>
      <c r="R328" s="110" t="n"/>
      <c r="S328" s="110" t="n"/>
      <c r="T328" s="110" t="n"/>
      <c r="U328" s="110" t="n"/>
      <c r="V328" s="110" t="n"/>
      <c r="W328" s="110" t="n"/>
      <c r="X328" s="110" t="n"/>
      <c r="Y328" s="110" t="n"/>
      <c r="Z328" s="110" t="n"/>
    </row>
    <row r="329">
      <c r="A329" s="110" t="n"/>
      <c r="B329" s="110" t="n"/>
      <c r="C329" s="110" t="n"/>
      <c r="D329" s="110" t="n"/>
      <c r="E329" s="110" t="n"/>
      <c r="F329" s="110" t="n"/>
      <c r="G329" s="110" t="n"/>
      <c r="H329" s="110" t="n"/>
      <c r="I329" s="110" t="n"/>
      <c r="J329" s="110" t="n"/>
      <c r="K329" s="110" t="n"/>
      <c r="L329" s="110" t="n"/>
      <c r="M329" s="110" t="n"/>
      <c r="N329" s="110" t="n"/>
      <c r="O329" s="110" t="n"/>
      <c r="P329" s="110" t="n"/>
      <c r="Q329" s="110" t="n"/>
      <c r="R329" s="110" t="n"/>
      <c r="S329" s="110" t="n"/>
      <c r="T329" s="110" t="n"/>
      <c r="U329" s="110" t="n"/>
      <c r="V329" s="110" t="n"/>
      <c r="W329" s="110" t="n"/>
      <c r="X329" s="110" t="n"/>
      <c r="Y329" s="110" t="n"/>
      <c r="Z329" s="110" t="n"/>
    </row>
    <row r="330">
      <c r="A330" s="110" t="n"/>
      <c r="B330" s="110" t="n"/>
      <c r="C330" s="110" t="n"/>
      <c r="D330" s="110" t="n"/>
      <c r="E330" s="110" t="n"/>
      <c r="F330" s="110" t="n"/>
      <c r="G330" s="110" t="n"/>
      <c r="H330" s="110" t="n"/>
      <c r="I330" s="110" t="n"/>
      <c r="J330" s="110" t="n"/>
      <c r="K330" s="110" t="n"/>
      <c r="L330" s="110" t="n"/>
      <c r="M330" s="110" t="n"/>
      <c r="N330" s="110" t="n"/>
      <c r="O330" s="110" t="n"/>
      <c r="P330" s="110" t="n"/>
      <c r="Q330" s="110" t="n"/>
      <c r="R330" s="110" t="n"/>
      <c r="S330" s="110" t="n"/>
      <c r="T330" s="110" t="n"/>
      <c r="U330" s="110" t="n"/>
      <c r="V330" s="110" t="n"/>
      <c r="W330" s="110" t="n"/>
      <c r="X330" s="110" t="n"/>
      <c r="Y330" s="110" t="n"/>
      <c r="Z330" s="110" t="n"/>
    </row>
    <row r="331">
      <c r="A331" s="110" t="n"/>
      <c r="B331" s="110" t="n"/>
      <c r="C331" s="110" t="n"/>
      <c r="D331" s="110" t="n"/>
      <c r="E331" s="110" t="n"/>
      <c r="F331" s="110" t="n"/>
      <c r="G331" s="110" t="n"/>
      <c r="H331" s="110" t="n"/>
      <c r="I331" s="110" t="n"/>
      <c r="J331" s="110" t="n"/>
      <c r="K331" s="110" t="n"/>
      <c r="L331" s="110" t="n"/>
      <c r="M331" s="110" t="n"/>
      <c r="N331" s="110" t="n"/>
      <c r="O331" s="110" t="n"/>
      <c r="P331" s="110" t="n"/>
      <c r="Q331" s="110" t="n"/>
      <c r="R331" s="110" t="n"/>
      <c r="S331" s="110" t="n"/>
      <c r="T331" s="110" t="n"/>
      <c r="U331" s="110" t="n"/>
      <c r="V331" s="110" t="n"/>
      <c r="W331" s="110" t="n"/>
      <c r="X331" s="110" t="n"/>
      <c r="Y331" s="110" t="n"/>
      <c r="Z331" s="110" t="n"/>
    </row>
    <row r="332">
      <c r="A332" s="110" t="n"/>
      <c r="B332" s="110" t="n"/>
      <c r="C332" s="110" t="n"/>
      <c r="D332" s="110" t="n"/>
      <c r="E332" s="110" t="n"/>
      <c r="F332" s="110" t="n"/>
      <c r="G332" s="110" t="n"/>
      <c r="H332" s="110" t="n"/>
      <c r="I332" s="110" t="n"/>
      <c r="J332" s="110" t="n"/>
      <c r="K332" s="110" t="n"/>
      <c r="L332" s="110" t="n"/>
      <c r="M332" s="110" t="n"/>
      <c r="N332" s="110" t="n"/>
      <c r="O332" s="110" t="n"/>
      <c r="P332" s="110" t="n"/>
      <c r="Q332" s="110" t="n"/>
      <c r="R332" s="110" t="n"/>
      <c r="S332" s="110" t="n"/>
      <c r="T332" s="110" t="n"/>
      <c r="U332" s="110" t="n"/>
      <c r="V332" s="110" t="n"/>
      <c r="W332" s="110" t="n"/>
      <c r="X332" s="110" t="n"/>
      <c r="Y332" s="110" t="n"/>
      <c r="Z332" s="110" t="n"/>
    </row>
    <row r="333">
      <c r="A333" s="110" t="n"/>
      <c r="B333" s="110" t="n"/>
      <c r="C333" s="110" t="n"/>
      <c r="D333" s="110" t="n"/>
      <c r="E333" s="110" t="n"/>
      <c r="F333" s="110" t="n"/>
      <c r="G333" s="110" t="n"/>
      <c r="H333" s="110" t="n"/>
      <c r="I333" s="110" t="n"/>
      <c r="J333" s="110" t="n"/>
      <c r="K333" s="110" t="n"/>
      <c r="L333" s="110" t="n"/>
      <c r="M333" s="110" t="n"/>
      <c r="N333" s="110" t="n"/>
      <c r="O333" s="110" t="n"/>
      <c r="P333" s="110" t="n"/>
      <c r="Q333" s="110" t="n"/>
      <c r="R333" s="110" t="n"/>
      <c r="S333" s="110" t="n"/>
      <c r="T333" s="110" t="n"/>
      <c r="U333" s="110" t="n"/>
      <c r="V333" s="110" t="n"/>
      <c r="W333" s="110" t="n"/>
      <c r="X333" s="110" t="n"/>
      <c r="Y333" s="110" t="n"/>
      <c r="Z333" s="110" t="n"/>
    </row>
    <row r="334">
      <c r="A334" s="110" t="n"/>
      <c r="B334" s="110" t="n"/>
      <c r="C334" s="110" t="n"/>
      <c r="D334" s="110" t="n"/>
      <c r="E334" s="110" t="n"/>
      <c r="F334" s="110" t="n"/>
      <c r="G334" s="110" t="n"/>
      <c r="H334" s="110" t="n"/>
      <c r="I334" s="110" t="n"/>
      <c r="J334" s="110" t="n"/>
      <c r="K334" s="110" t="n"/>
      <c r="L334" s="110" t="n"/>
      <c r="M334" s="110" t="n"/>
      <c r="N334" s="110" t="n"/>
      <c r="O334" s="110" t="n"/>
      <c r="P334" s="110" t="n"/>
      <c r="Q334" s="110" t="n"/>
      <c r="R334" s="110" t="n"/>
      <c r="S334" s="110" t="n"/>
      <c r="T334" s="110" t="n"/>
      <c r="U334" s="110" t="n"/>
      <c r="V334" s="110" t="n"/>
      <c r="W334" s="110" t="n"/>
      <c r="X334" s="110" t="n"/>
      <c r="Y334" s="110" t="n"/>
      <c r="Z334" s="110" t="n"/>
    </row>
    <row r="335">
      <c r="A335" s="110" t="n"/>
      <c r="B335" s="110" t="n"/>
      <c r="C335" s="110" t="n"/>
      <c r="D335" s="110" t="n"/>
      <c r="E335" s="110" t="n"/>
      <c r="F335" s="110" t="n"/>
      <c r="G335" s="110" t="n"/>
      <c r="H335" s="110" t="n"/>
      <c r="I335" s="110" t="n"/>
      <c r="J335" s="110" t="n"/>
      <c r="K335" s="110" t="n"/>
      <c r="L335" s="110" t="n"/>
      <c r="M335" s="110" t="n"/>
      <c r="N335" s="110" t="n"/>
      <c r="O335" s="110" t="n"/>
      <c r="P335" s="110" t="n"/>
      <c r="Q335" s="110" t="n"/>
      <c r="R335" s="110" t="n"/>
      <c r="S335" s="110" t="n"/>
      <c r="T335" s="110" t="n"/>
      <c r="U335" s="110" t="n"/>
      <c r="V335" s="110" t="n"/>
      <c r="W335" s="110" t="n"/>
      <c r="X335" s="110" t="n"/>
      <c r="Y335" s="110" t="n"/>
      <c r="Z335" s="110" t="n"/>
    </row>
    <row r="336">
      <c r="A336" s="110" t="n"/>
      <c r="B336" s="110" t="n"/>
      <c r="C336" s="110" t="n"/>
      <c r="D336" s="110" t="n"/>
      <c r="E336" s="110" t="n"/>
      <c r="F336" s="110" t="n"/>
      <c r="G336" s="110" t="n"/>
      <c r="H336" s="110" t="n"/>
      <c r="I336" s="110" t="n"/>
      <c r="J336" s="110" t="n"/>
      <c r="K336" s="110" t="n"/>
      <c r="L336" s="110" t="n"/>
      <c r="M336" s="110" t="n"/>
      <c r="N336" s="110" t="n"/>
      <c r="O336" s="110" t="n"/>
      <c r="P336" s="110" t="n"/>
      <c r="Q336" s="110" t="n"/>
      <c r="R336" s="110" t="n"/>
      <c r="S336" s="110" t="n"/>
      <c r="T336" s="110" t="n"/>
      <c r="U336" s="110" t="n"/>
      <c r="V336" s="110" t="n"/>
      <c r="W336" s="110" t="n"/>
      <c r="X336" s="110" t="n"/>
      <c r="Y336" s="110" t="n"/>
      <c r="Z336" s="110" t="n"/>
    </row>
    <row r="337">
      <c r="A337" s="110" t="n"/>
      <c r="B337" s="110" t="n"/>
      <c r="C337" s="110" t="n"/>
      <c r="D337" s="110" t="n"/>
      <c r="E337" s="110" t="n"/>
      <c r="F337" s="110" t="n"/>
      <c r="G337" s="110" t="n"/>
      <c r="H337" s="110" t="n"/>
      <c r="I337" s="110" t="n"/>
      <c r="J337" s="110" t="n"/>
      <c r="K337" s="110" t="n"/>
      <c r="L337" s="110" t="n"/>
      <c r="M337" s="110" t="n"/>
      <c r="N337" s="110" t="n"/>
      <c r="O337" s="110" t="n"/>
      <c r="P337" s="110" t="n"/>
      <c r="Q337" s="110" t="n"/>
      <c r="R337" s="110" t="n"/>
      <c r="S337" s="110" t="n"/>
      <c r="T337" s="110" t="n"/>
      <c r="U337" s="110" t="n"/>
      <c r="V337" s="110" t="n"/>
      <c r="W337" s="110" t="n"/>
      <c r="X337" s="110" t="n"/>
      <c r="Y337" s="110" t="n"/>
      <c r="Z337" s="110" t="n"/>
    </row>
    <row r="338">
      <c r="A338" s="110" t="n"/>
      <c r="B338" s="110" t="n"/>
      <c r="C338" s="110" t="n"/>
      <c r="D338" s="110" t="n"/>
      <c r="E338" s="110" t="n"/>
      <c r="F338" s="110" t="n"/>
      <c r="G338" s="110" t="n"/>
      <c r="H338" s="110" t="n"/>
      <c r="I338" s="110" t="n"/>
      <c r="J338" s="110" t="n"/>
      <c r="K338" s="110" t="n"/>
      <c r="L338" s="110" t="n"/>
      <c r="M338" s="110" t="n"/>
      <c r="N338" s="110" t="n"/>
      <c r="O338" s="110" t="n"/>
      <c r="P338" s="110" t="n"/>
      <c r="Q338" s="110" t="n"/>
      <c r="R338" s="110" t="n"/>
      <c r="S338" s="110" t="n"/>
      <c r="T338" s="110" t="n"/>
      <c r="U338" s="110" t="n"/>
      <c r="V338" s="110" t="n"/>
      <c r="W338" s="110" t="n"/>
      <c r="X338" s="110" t="n"/>
      <c r="Y338" s="110" t="n"/>
      <c r="Z338" s="110" t="n"/>
    </row>
    <row r="339">
      <c r="A339" s="110" t="n"/>
      <c r="B339" s="110" t="n"/>
      <c r="C339" s="110" t="n"/>
      <c r="D339" s="110" t="n"/>
      <c r="E339" s="110" t="n"/>
      <c r="F339" s="110" t="n"/>
      <c r="G339" s="110" t="n"/>
      <c r="H339" s="110" t="n"/>
      <c r="I339" s="110" t="n"/>
      <c r="J339" s="110" t="n"/>
      <c r="K339" s="110" t="n"/>
      <c r="L339" s="110" t="n"/>
      <c r="M339" s="110" t="n"/>
      <c r="N339" s="110" t="n"/>
      <c r="O339" s="110" t="n"/>
      <c r="P339" s="110" t="n"/>
      <c r="Q339" s="110" t="n"/>
      <c r="R339" s="110" t="n"/>
      <c r="S339" s="110" t="n"/>
      <c r="T339" s="110" t="n"/>
      <c r="U339" s="110" t="n"/>
      <c r="V339" s="110" t="n"/>
      <c r="W339" s="110" t="n"/>
      <c r="X339" s="110" t="n"/>
      <c r="Y339" s="110" t="n"/>
      <c r="Z339" s="110" t="n"/>
    </row>
    <row r="340">
      <c r="A340" s="110" t="n"/>
      <c r="B340" s="110" t="n"/>
      <c r="C340" s="110" t="n"/>
      <c r="D340" s="110" t="n"/>
      <c r="E340" s="110" t="n"/>
      <c r="F340" s="110" t="n"/>
      <c r="G340" s="110" t="n"/>
      <c r="H340" s="110" t="n"/>
      <c r="I340" s="110" t="n"/>
      <c r="J340" s="110" t="n"/>
      <c r="K340" s="110" t="n"/>
      <c r="L340" s="110" t="n"/>
      <c r="M340" s="110" t="n"/>
      <c r="N340" s="110" t="n"/>
      <c r="O340" s="110" t="n"/>
      <c r="P340" s="110" t="n"/>
      <c r="Q340" s="110" t="n"/>
      <c r="R340" s="110" t="n"/>
      <c r="S340" s="110" t="n"/>
      <c r="T340" s="110" t="n"/>
      <c r="U340" s="110" t="n"/>
      <c r="V340" s="110" t="n"/>
      <c r="W340" s="110" t="n"/>
      <c r="X340" s="110" t="n"/>
      <c r="Y340" s="110" t="n"/>
      <c r="Z340" s="110" t="n"/>
    </row>
    <row r="341">
      <c r="A341" s="110" t="n"/>
      <c r="B341" s="110" t="n"/>
      <c r="C341" s="110" t="n"/>
      <c r="D341" s="110" t="n"/>
      <c r="E341" s="110" t="n"/>
      <c r="F341" s="110" t="n"/>
      <c r="G341" s="110" t="n"/>
      <c r="H341" s="110" t="n"/>
      <c r="I341" s="110" t="n"/>
      <c r="J341" s="110" t="n"/>
      <c r="K341" s="110" t="n"/>
      <c r="L341" s="110" t="n"/>
      <c r="M341" s="110" t="n"/>
      <c r="N341" s="110" t="n"/>
      <c r="O341" s="110" t="n"/>
      <c r="P341" s="110" t="n"/>
      <c r="Q341" s="110" t="n"/>
      <c r="R341" s="110" t="n"/>
      <c r="S341" s="110" t="n"/>
      <c r="T341" s="110" t="n"/>
      <c r="U341" s="110" t="n"/>
      <c r="V341" s="110" t="n"/>
      <c r="W341" s="110" t="n"/>
      <c r="X341" s="110" t="n"/>
      <c r="Y341" s="110" t="n"/>
      <c r="Z341" s="110" t="n"/>
    </row>
    <row r="342">
      <c r="A342" s="110" t="n"/>
      <c r="B342" s="110" t="n"/>
      <c r="C342" s="110" t="n"/>
      <c r="D342" s="110" t="n"/>
      <c r="E342" s="110" t="n"/>
      <c r="F342" s="110" t="n"/>
      <c r="G342" s="110" t="n"/>
      <c r="H342" s="110" t="n"/>
      <c r="I342" s="110" t="n"/>
      <c r="J342" s="110" t="n"/>
      <c r="K342" s="110" t="n"/>
      <c r="L342" s="110" t="n"/>
      <c r="M342" s="110" t="n"/>
      <c r="N342" s="110" t="n"/>
      <c r="O342" s="110" t="n"/>
      <c r="P342" s="110" t="n"/>
      <c r="Q342" s="110" t="n"/>
      <c r="R342" s="110" t="n"/>
      <c r="S342" s="110" t="n"/>
      <c r="T342" s="110" t="n"/>
      <c r="U342" s="110" t="n"/>
      <c r="V342" s="110" t="n"/>
      <c r="W342" s="110" t="n"/>
      <c r="X342" s="110" t="n"/>
      <c r="Y342" s="110" t="n"/>
      <c r="Z342" s="110" t="n"/>
    </row>
    <row r="343">
      <c r="A343" s="110" t="n"/>
      <c r="B343" s="110" t="n"/>
      <c r="C343" s="110" t="n"/>
      <c r="D343" s="110" t="n"/>
      <c r="E343" s="110" t="n"/>
      <c r="F343" s="110" t="n"/>
      <c r="G343" s="110" t="n"/>
      <c r="H343" s="110" t="n"/>
      <c r="I343" s="110" t="n"/>
      <c r="J343" s="110" t="n"/>
      <c r="K343" s="110" t="n"/>
      <c r="L343" s="110" t="n"/>
      <c r="M343" s="110" t="n"/>
      <c r="N343" s="110" t="n"/>
      <c r="O343" s="110" t="n"/>
      <c r="P343" s="110" t="n"/>
      <c r="Q343" s="110" t="n"/>
      <c r="R343" s="110" t="n"/>
      <c r="S343" s="110" t="n"/>
      <c r="T343" s="110" t="n"/>
      <c r="U343" s="110" t="n"/>
      <c r="V343" s="110" t="n"/>
      <c r="W343" s="110" t="n"/>
      <c r="X343" s="110" t="n"/>
      <c r="Y343" s="110" t="n"/>
      <c r="Z343" s="110" t="n"/>
    </row>
    <row r="344">
      <c r="A344" s="110" t="n"/>
      <c r="B344" s="110" t="n"/>
      <c r="C344" s="110" t="n"/>
      <c r="D344" s="110" t="n"/>
      <c r="E344" s="110" t="n"/>
      <c r="F344" s="110" t="n"/>
      <c r="G344" s="110" t="n"/>
      <c r="H344" s="110" t="n"/>
      <c r="I344" s="110" t="n"/>
      <c r="J344" s="110" t="n"/>
      <c r="K344" s="110" t="n"/>
      <c r="L344" s="110" t="n"/>
      <c r="M344" s="110" t="n"/>
      <c r="N344" s="110" t="n"/>
      <c r="O344" s="110" t="n"/>
      <c r="P344" s="110" t="n"/>
      <c r="Q344" s="110" t="n"/>
      <c r="R344" s="110" t="n"/>
      <c r="S344" s="110" t="n"/>
      <c r="T344" s="110" t="n"/>
      <c r="U344" s="110" t="n"/>
      <c r="V344" s="110" t="n"/>
      <c r="W344" s="110" t="n"/>
      <c r="X344" s="110" t="n"/>
      <c r="Y344" s="110" t="n"/>
      <c r="Z344" s="110" t="n"/>
    </row>
    <row r="345">
      <c r="A345" s="110" t="n"/>
      <c r="B345" s="110" t="n"/>
      <c r="C345" s="110" t="n"/>
      <c r="D345" s="110" t="n"/>
      <c r="E345" s="110" t="n"/>
      <c r="F345" s="110" t="n"/>
      <c r="G345" s="110" t="n"/>
      <c r="H345" s="110" t="n"/>
      <c r="I345" s="110" t="n"/>
      <c r="J345" s="110" t="n"/>
      <c r="K345" s="110" t="n"/>
      <c r="L345" s="110" t="n"/>
      <c r="M345" s="110" t="n"/>
      <c r="N345" s="110" t="n"/>
      <c r="O345" s="110" t="n"/>
      <c r="P345" s="110" t="n"/>
      <c r="Q345" s="110" t="n"/>
      <c r="R345" s="110" t="n"/>
      <c r="S345" s="110" t="n"/>
      <c r="T345" s="110" t="n"/>
      <c r="U345" s="110" t="n"/>
      <c r="V345" s="110" t="n"/>
      <c r="W345" s="110" t="n"/>
      <c r="X345" s="110" t="n"/>
      <c r="Y345" s="110" t="n"/>
      <c r="Z345" s="110" t="n"/>
    </row>
    <row r="346">
      <c r="A346" s="110" t="n"/>
      <c r="B346" s="110" t="n"/>
      <c r="C346" s="110" t="n"/>
      <c r="D346" s="110" t="n"/>
      <c r="E346" s="110" t="n"/>
      <c r="F346" s="110" t="n"/>
      <c r="G346" s="110" t="n"/>
      <c r="H346" s="110" t="n"/>
      <c r="I346" s="110" t="n"/>
      <c r="J346" s="110" t="n"/>
      <c r="K346" s="110" t="n"/>
      <c r="L346" s="110" t="n"/>
      <c r="M346" s="110" t="n"/>
      <c r="N346" s="110" t="n"/>
      <c r="O346" s="110" t="n"/>
      <c r="P346" s="110" t="n"/>
      <c r="Q346" s="110" t="n"/>
      <c r="R346" s="110" t="n"/>
      <c r="S346" s="110" t="n"/>
      <c r="T346" s="110" t="n"/>
      <c r="U346" s="110" t="n"/>
      <c r="V346" s="110" t="n"/>
      <c r="W346" s="110" t="n"/>
      <c r="X346" s="110" t="n"/>
      <c r="Y346" s="110" t="n"/>
      <c r="Z346" s="110" t="n"/>
    </row>
    <row r="347">
      <c r="A347" s="110" t="n"/>
      <c r="B347" s="110" t="n"/>
      <c r="C347" s="110" t="n"/>
      <c r="D347" s="110" t="n"/>
      <c r="E347" s="110" t="n"/>
      <c r="F347" s="110" t="n"/>
      <c r="G347" s="110" t="n"/>
      <c r="H347" s="110" t="n"/>
      <c r="I347" s="110" t="n"/>
      <c r="J347" s="110" t="n"/>
      <c r="K347" s="110" t="n"/>
      <c r="L347" s="110" t="n"/>
      <c r="M347" s="110" t="n"/>
      <c r="N347" s="110" t="n"/>
      <c r="O347" s="110" t="n"/>
      <c r="P347" s="110" t="n"/>
      <c r="Q347" s="110" t="n"/>
      <c r="R347" s="110" t="n"/>
      <c r="S347" s="110" t="n"/>
      <c r="T347" s="110" t="n"/>
      <c r="U347" s="110" t="n"/>
      <c r="V347" s="110" t="n"/>
      <c r="W347" s="110" t="n"/>
      <c r="X347" s="110" t="n"/>
      <c r="Y347" s="110" t="n"/>
      <c r="Z347" s="110" t="n"/>
    </row>
    <row r="348">
      <c r="A348" s="110" t="n"/>
      <c r="B348" s="110" t="n"/>
      <c r="C348" s="110" t="n"/>
      <c r="D348" s="110" t="n"/>
      <c r="E348" s="110" t="n"/>
      <c r="F348" s="110" t="n"/>
      <c r="G348" s="110" t="n"/>
      <c r="H348" s="110" t="n"/>
      <c r="I348" s="110" t="n"/>
      <c r="J348" s="110" t="n"/>
      <c r="K348" s="110" t="n"/>
      <c r="L348" s="110" t="n"/>
      <c r="M348" s="110" t="n"/>
      <c r="N348" s="110" t="n"/>
      <c r="O348" s="110" t="n"/>
      <c r="P348" s="110" t="n"/>
      <c r="Q348" s="110" t="n"/>
      <c r="R348" s="110" t="n"/>
      <c r="S348" s="110" t="n"/>
      <c r="T348" s="110" t="n"/>
      <c r="U348" s="110" t="n"/>
      <c r="V348" s="110" t="n"/>
      <c r="W348" s="110" t="n"/>
      <c r="X348" s="110" t="n"/>
      <c r="Y348" s="110" t="n"/>
      <c r="Z348" s="110" t="n"/>
    </row>
    <row r="349">
      <c r="A349" s="110" t="n"/>
      <c r="B349" s="110" t="n"/>
      <c r="C349" s="110" t="n"/>
      <c r="D349" s="110" t="n"/>
      <c r="E349" s="110" t="n"/>
      <c r="F349" s="110" t="n"/>
      <c r="G349" s="110" t="n"/>
      <c r="H349" s="110" t="n"/>
      <c r="I349" s="110" t="n"/>
      <c r="J349" s="110" t="n"/>
      <c r="K349" s="110" t="n"/>
      <c r="L349" s="110" t="n"/>
      <c r="M349" s="110" t="n"/>
      <c r="N349" s="110" t="n"/>
      <c r="O349" s="110" t="n"/>
      <c r="P349" s="110" t="n"/>
      <c r="Q349" s="110" t="n"/>
      <c r="R349" s="110" t="n"/>
      <c r="S349" s="110" t="n"/>
      <c r="T349" s="110" t="n"/>
      <c r="U349" s="110" t="n"/>
      <c r="V349" s="110" t="n"/>
      <c r="W349" s="110" t="n"/>
      <c r="X349" s="110" t="n"/>
      <c r="Y349" s="110" t="n"/>
      <c r="Z349" s="110" t="n"/>
    </row>
    <row r="350">
      <c r="A350" s="110" t="n"/>
      <c r="B350" s="110" t="n"/>
      <c r="C350" s="110" t="n"/>
      <c r="D350" s="110" t="n"/>
      <c r="E350" s="110" t="n"/>
      <c r="F350" s="110" t="n"/>
      <c r="G350" s="110" t="n"/>
      <c r="H350" s="110" t="n"/>
      <c r="I350" s="110" t="n"/>
      <c r="J350" s="110" t="n"/>
      <c r="K350" s="110" t="n"/>
      <c r="L350" s="110" t="n"/>
      <c r="M350" s="110" t="n"/>
      <c r="N350" s="110" t="n"/>
      <c r="O350" s="110" t="n"/>
      <c r="P350" s="110" t="n"/>
      <c r="Q350" s="110" t="n"/>
      <c r="R350" s="110" t="n"/>
      <c r="S350" s="110" t="n"/>
      <c r="T350" s="110" t="n"/>
      <c r="U350" s="110" t="n"/>
      <c r="V350" s="110" t="n"/>
      <c r="W350" s="110" t="n"/>
      <c r="X350" s="110" t="n"/>
      <c r="Y350" s="110" t="n"/>
      <c r="Z350" s="110" t="n"/>
    </row>
    <row r="351">
      <c r="A351" s="110" t="n"/>
      <c r="B351" s="110" t="n"/>
      <c r="C351" s="110" t="n"/>
      <c r="D351" s="110" t="n"/>
      <c r="E351" s="110" t="n"/>
      <c r="F351" s="110" t="n"/>
      <c r="G351" s="110" t="n"/>
      <c r="H351" s="110" t="n"/>
      <c r="I351" s="110" t="n"/>
      <c r="J351" s="110" t="n"/>
      <c r="K351" s="110" t="n"/>
      <c r="L351" s="110" t="n"/>
      <c r="M351" s="110" t="n"/>
      <c r="N351" s="110" t="n"/>
      <c r="O351" s="110" t="n"/>
      <c r="P351" s="110" t="n"/>
      <c r="Q351" s="110" t="n"/>
      <c r="R351" s="110" t="n"/>
      <c r="S351" s="110" t="n"/>
      <c r="T351" s="110" t="n"/>
      <c r="U351" s="110" t="n"/>
      <c r="V351" s="110" t="n"/>
      <c r="W351" s="110" t="n"/>
      <c r="X351" s="110" t="n"/>
      <c r="Y351" s="110" t="n"/>
      <c r="Z351" s="110" t="n"/>
    </row>
    <row r="352">
      <c r="A352" s="110" t="n"/>
      <c r="B352" s="110" t="n"/>
      <c r="C352" s="110" t="n"/>
      <c r="D352" s="110" t="n"/>
      <c r="E352" s="110" t="n"/>
      <c r="F352" s="110" t="n"/>
      <c r="G352" s="110" t="n"/>
      <c r="H352" s="110" t="n"/>
      <c r="I352" s="110" t="n"/>
      <c r="J352" s="110" t="n"/>
      <c r="K352" s="110" t="n"/>
      <c r="L352" s="110" t="n"/>
      <c r="M352" s="110" t="n"/>
      <c r="N352" s="110" t="n"/>
      <c r="O352" s="110" t="n"/>
      <c r="P352" s="110" t="n"/>
      <c r="Q352" s="110" t="n"/>
      <c r="R352" s="110" t="n"/>
      <c r="S352" s="110" t="n"/>
      <c r="T352" s="110" t="n"/>
      <c r="U352" s="110" t="n"/>
      <c r="V352" s="110" t="n"/>
      <c r="W352" s="110" t="n"/>
      <c r="X352" s="110" t="n"/>
      <c r="Y352" s="110" t="n"/>
      <c r="Z352" s="110" t="n"/>
    </row>
    <row r="353">
      <c r="A353" s="110" t="n"/>
      <c r="B353" s="110" t="n"/>
      <c r="C353" s="110" t="n"/>
      <c r="D353" s="110" t="n"/>
      <c r="E353" s="110" t="n"/>
      <c r="F353" s="110" t="n"/>
      <c r="G353" s="110" t="n"/>
      <c r="H353" s="110" t="n"/>
      <c r="I353" s="110" t="n"/>
      <c r="J353" s="110" t="n"/>
      <c r="K353" s="110" t="n"/>
      <c r="L353" s="110" t="n"/>
      <c r="M353" s="110" t="n"/>
      <c r="N353" s="110" t="n"/>
      <c r="O353" s="110" t="n"/>
      <c r="P353" s="110" t="n"/>
      <c r="Q353" s="110" t="n"/>
      <c r="R353" s="110" t="n"/>
      <c r="S353" s="110" t="n"/>
      <c r="T353" s="110" t="n"/>
      <c r="U353" s="110" t="n"/>
      <c r="V353" s="110" t="n"/>
      <c r="W353" s="110" t="n"/>
      <c r="X353" s="110" t="n"/>
      <c r="Y353" s="110" t="n"/>
      <c r="Z353" s="110" t="n"/>
    </row>
    <row r="354">
      <c r="A354" s="110" t="n"/>
      <c r="B354" s="110" t="n"/>
      <c r="C354" s="110" t="n"/>
      <c r="D354" s="110" t="n"/>
      <c r="E354" s="110" t="n"/>
      <c r="F354" s="110" t="n"/>
      <c r="G354" s="110" t="n"/>
      <c r="H354" s="110" t="n"/>
      <c r="I354" s="110" t="n"/>
      <c r="J354" s="110" t="n"/>
      <c r="K354" s="110" t="n"/>
      <c r="L354" s="110" t="n"/>
      <c r="M354" s="110" t="n"/>
      <c r="N354" s="110" t="n"/>
      <c r="O354" s="110" t="n"/>
      <c r="P354" s="110" t="n"/>
      <c r="Q354" s="110" t="n"/>
      <c r="R354" s="110" t="n"/>
      <c r="S354" s="110" t="n"/>
      <c r="T354" s="110" t="n"/>
      <c r="U354" s="110" t="n"/>
      <c r="V354" s="110" t="n"/>
      <c r="W354" s="110" t="n"/>
      <c r="X354" s="110" t="n"/>
      <c r="Y354" s="110" t="n"/>
      <c r="Z354" s="110" t="n"/>
    </row>
    <row r="355">
      <c r="A355" s="110" t="n"/>
      <c r="B355" s="110" t="n"/>
      <c r="C355" s="110" t="n"/>
      <c r="D355" s="110" t="n"/>
      <c r="E355" s="110" t="n"/>
      <c r="F355" s="110" t="n"/>
      <c r="G355" s="110" t="n"/>
      <c r="H355" s="110" t="n"/>
      <c r="I355" s="110" t="n"/>
      <c r="J355" s="110" t="n"/>
      <c r="K355" s="110" t="n"/>
      <c r="L355" s="110" t="n"/>
      <c r="M355" s="110" t="n"/>
      <c r="N355" s="110" t="n"/>
      <c r="O355" s="110" t="n"/>
      <c r="P355" s="110" t="n"/>
      <c r="Q355" s="110" t="n"/>
      <c r="R355" s="110" t="n"/>
      <c r="S355" s="110" t="n"/>
      <c r="T355" s="110" t="n"/>
      <c r="U355" s="110" t="n"/>
      <c r="V355" s="110" t="n"/>
      <c r="W355" s="110" t="n"/>
      <c r="X355" s="110" t="n"/>
      <c r="Y355" s="110" t="n"/>
      <c r="Z355" s="110" t="n"/>
    </row>
    <row r="356">
      <c r="A356" s="110" t="n"/>
      <c r="B356" s="110" t="n"/>
      <c r="C356" s="110" t="n"/>
      <c r="D356" s="110" t="n"/>
      <c r="E356" s="110" t="n"/>
      <c r="F356" s="110" t="n"/>
      <c r="G356" s="110" t="n"/>
      <c r="H356" s="110" t="n"/>
      <c r="I356" s="110" t="n"/>
      <c r="J356" s="110" t="n"/>
      <c r="K356" s="110" t="n"/>
      <c r="L356" s="110" t="n"/>
      <c r="M356" s="110" t="n"/>
      <c r="N356" s="110" t="n"/>
      <c r="O356" s="110" t="n"/>
      <c r="P356" s="110" t="n"/>
      <c r="Q356" s="110" t="n"/>
      <c r="R356" s="110" t="n"/>
      <c r="S356" s="110" t="n"/>
      <c r="T356" s="110" t="n"/>
      <c r="U356" s="110" t="n"/>
      <c r="V356" s="110" t="n"/>
      <c r="W356" s="110" t="n"/>
      <c r="X356" s="110" t="n"/>
      <c r="Y356" s="110" t="n"/>
      <c r="Z356" s="110" t="n"/>
    </row>
    <row r="357">
      <c r="A357" s="110" t="n"/>
      <c r="B357" s="110" t="n"/>
      <c r="C357" s="110" t="n"/>
      <c r="D357" s="110" t="n"/>
      <c r="E357" s="110" t="n"/>
      <c r="F357" s="110" t="n"/>
      <c r="G357" s="110" t="n"/>
      <c r="H357" s="110" t="n"/>
      <c r="I357" s="110" t="n"/>
      <c r="J357" s="110" t="n"/>
      <c r="K357" s="110" t="n"/>
      <c r="L357" s="110" t="n"/>
      <c r="M357" s="110" t="n"/>
      <c r="N357" s="110" t="n"/>
      <c r="O357" s="110" t="n"/>
      <c r="P357" s="110" t="n"/>
      <c r="Q357" s="110" t="n"/>
      <c r="R357" s="110" t="n"/>
      <c r="S357" s="110" t="n"/>
      <c r="T357" s="110" t="n"/>
      <c r="U357" s="110" t="n"/>
      <c r="V357" s="110" t="n"/>
      <c r="W357" s="110" t="n"/>
      <c r="X357" s="110" t="n"/>
      <c r="Y357" s="110" t="n"/>
      <c r="Z357" s="110" t="n"/>
    </row>
    <row r="358">
      <c r="A358" s="110" t="n"/>
      <c r="B358" s="110" t="n"/>
      <c r="C358" s="110" t="n"/>
      <c r="D358" s="110" t="n"/>
      <c r="E358" s="110" t="n"/>
      <c r="F358" s="110" t="n"/>
      <c r="G358" s="110" t="n"/>
      <c r="H358" s="110" t="n"/>
      <c r="I358" s="110" t="n"/>
      <c r="J358" s="110" t="n"/>
      <c r="K358" s="110" t="n"/>
      <c r="L358" s="110" t="n"/>
      <c r="M358" s="110" t="n"/>
      <c r="N358" s="110" t="n"/>
      <c r="O358" s="110" t="n"/>
      <c r="P358" s="110" t="n"/>
      <c r="Q358" s="110" t="n"/>
      <c r="R358" s="110" t="n"/>
      <c r="S358" s="110" t="n"/>
      <c r="T358" s="110" t="n"/>
      <c r="U358" s="110" t="n"/>
      <c r="V358" s="110" t="n"/>
      <c r="W358" s="110" t="n"/>
      <c r="X358" s="110" t="n"/>
      <c r="Y358" s="110" t="n"/>
      <c r="Z358" s="110" t="n"/>
    </row>
    <row r="359">
      <c r="A359" s="110" t="n"/>
      <c r="B359" s="110" t="n"/>
      <c r="C359" s="110" t="n"/>
      <c r="D359" s="110" t="n"/>
      <c r="E359" s="110" t="n"/>
      <c r="F359" s="110" t="n"/>
      <c r="G359" s="110" t="n"/>
      <c r="H359" s="110" t="n"/>
      <c r="I359" s="110" t="n"/>
      <c r="J359" s="110" t="n"/>
      <c r="K359" s="110" t="n"/>
      <c r="L359" s="110" t="n"/>
      <c r="M359" s="110" t="n"/>
      <c r="N359" s="110" t="n"/>
      <c r="O359" s="110" t="n"/>
      <c r="P359" s="110" t="n"/>
      <c r="Q359" s="110" t="n"/>
      <c r="R359" s="110" t="n"/>
      <c r="S359" s="110" t="n"/>
      <c r="T359" s="110" t="n"/>
      <c r="U359" s="110" t="n"/>
      <c r="V359" s="110" t="n"/>
      <c r="W359" s="110" t="n"/>
      <c r="X359" s="110" t="n"/>
      <c r="Y359" s="110" t="n"/>
      <c r="Z359" s="110" t="n"/>
    </row>
    <row r="360">
      <c r="A360" s="110" t="n"/>
      <c r="B360" s="110" t="n"/>
      <c r="C360" s="110" t="n"/>
      <c r="D360" s="110" t="n"/>
      <c r="E360" s="110" t="n"/>
      <c r="F360" s="110" t="n"/>
      <c r="G360" s="110" t="n"/>
      <c r="H360" s="110" t="n"/>
      <c r="I360" s="110" t="n"/>
      <c r="J360" s="110" t="n"/>
      <c r="K360" s="110" t="n"/>
      <c r="L360" s="110" t="n"/>
      <c r="M360" s="110" t="n"/>
      <c r="N360" s="110" t="n"/>
      <c r="O360" s="110" t="n"/>
      <c r="P360" s="110" t="n"/>
      <c r="Q360" s="110" t="n"/>
      <c r="R360" s="110" t="n"/>
      <c r="S360" s="110" t="n"/>
      <c r="T360" s="110" t="n"/>
      <c r="U360" s="110" t="n"/>
      <c r="V360" s="110" t="n"/>
      <c r="W360" s="110" t="n"/>
      <c r="X360" s="110" t="n"/>
      <c r="Y360" s="110" t="n"/>
      <c r="Z360" s="110" t="n"/>
    </row>
    <row r="361">
      <c r="A361" s="110" t="n"/>
      <c r="B361" s="110" t="n"/>
      <c r="C361" s="110" t="n"/>
      <c r="D361" s="110" t="n"/>
      <c r="E361" s="110" t="n"/>
      <c r="F361" s="110" t="n"/>
      <c r="G361" s="110" t="n"/>
      <c r="H361" s="110" t="n"/>
      <c r="I361" s="110" t="n"/>
      <c r="J361" s="110" t="n"/>
      <c r="K361" s="110" t="n"/>
      <c r="L361" s="110" t="n"/>
      <c r="M361" s="110" t="n"/>
      <c r="N361" s="110" t="n"/>
      <c r="O361" s="110" t="n"/>
      <c r="P361" s="110" t="n"/>
      <c r="Q361" s="110" t="n"/>
      <c r="R361" s="110" t="n"/>
      <c r="S361" s="110" t="n"/>
      <c r="T361" s="110" t="n"/>
      <c r="U361" s="110" t="n"/>
      <c r="V361" s="110" t="n"/>
      <c r="W361" s="110" t="n"/>
      <c r="X361" s="110" t="n"/>
      <c r="Y361" s="110" t="n"/>
      <c r="Z361" s="110" t="n"/>
    </row>
    <row r="362">
      <c r="A362" s="110" t="n"/>
      <c r="B362" s="110" t="n"/>
      <c r="C362" s="110" t="n"/>
      <c r="D362" s="110" t="n"/>
      <c r="E362" s="110" t="n"/>
      <c r="F362" s="110" t="n"/>
      <c r="G362" s="110" t="n"/>
      <c r="H362" s="110" t="n"/>
      <c r="I362" s="110" t="n"/>
      <c r="J362" s="110" t="n"/>
      <c r="K362" s="110" t="n"/>
      <c r="L362" s="110" t="n"/>
      <c r="M362" s="110" t="n"/>
      <c r="N362" s="110" t="n"/>
      <c r="O362" s="110" t="n"/>
      <c r="P362" s="110" t="n"/>
      <c r="Q362" s="110" t="n"/>
      <c r="R362" s="110" t="n"/>
      <c r="S362" s="110" t="n"/>
      <c r="T362" s="110" t="n"/>
      <c r="U362" s="110" t="n"/>
      <c r="V362" s="110" t="n"/>
      <c r="W362" s="110" t="n"/>
      <c r="X362" s="110" t="n"/>
      <c r="Y362" s="110" t="n"/>
      <c r="Z362" s="110" t="n"/>
    </row>
    <row r="363">
      <c r="A363" s="110" t="n"/>
      <c r="B363" s="110" t="n"/>
      <c r="C363" s="110" t="n"/>
      <c r="D363" s="110" t="n"/>
      <c r="E363" s="110" t="n"/>
      <c r="F363" s="110" t="n"/>
      <c r="G363" s="110" t="n"/>
      <c r="H363" s="110" t="n"/>
      <c r="I363" s="110" t="n"/>
      <c r="J363" s="110" t="n"/>
      <c r="K363" s="110" t="n"/>
      <c r="L363" s="110" t="n"/>
      <c r="M363" s="110" t="n"/>
      <c r="N363" s="110" t="n"/>
      <c r="O363" s="110" t="n"/>
      <c r="P363" s="110" t="n"/>
      <c r="Q363" s="110" t="n"/>
      <c r="R363" s="110" t="n"/>
      <c r="S363" s="110" t="n"/>
      <c r="T363" s="110" t="n"/>
      <c r="U363" s="110" t="n"/>
      <c r="V363" s="110" t="n"/>
      <c r="W363" s="110" t="n"/>
      <c r="X363" s="110" t="n"/>
      <c r="Y363" s="110" t="n"/>
      <c r="Z363" s="110" t="n"/>
    </row>
    <row r="364">
      <c r="A364" s="110" t="n"/>
      <c r="B364" s="110" t="n"/>
      <c r="C364" s="110" t="n"/>
      <c r="D364" s="110" t="n"/>
      <c r="E364" s="110" t="n"/>
      <c r="F364" s="110" t="n"/>
      <c r="G364" s="110" t="n"/>
      <c r="H364" s="110" t="n"/>
      <c r="I364" s="110" t="n"/>
      <c r="J364" s="110" t="n"/>
      <c r="K364" s="110" t="n"/>
      <c r="L364" s="110" t="n"/>
      <c r="M364" s="110" t="n"/>
      <c r="N364" s="110" t="n"/>
      <c r="O364" s="110" t="n"/>
      <c r="P364" s="110" t="n"/>
      <c r="Q364" s="110" t="n"/>
      <c r="R364" s="110" t="n"/>
      <c r="S364" s="110" t="n"/>
      <c r="T364" s="110" t="n"/>
      <c r="U364" s="110" t="n"/>
      <c r="V364" s="110" t="n"/>
      <c r="W364" s="110" t="n"/>
      <c r="X364" s="110" t="n"/>
      <c r="Y364" s="110" t="n"/>
      <c r="Z364" s="110" t="n"/>
    </row>
    <row r="365">
      <c r="A365" s="110" t="n"/>
      <c r="B365" s="110" t="n"/>
      <c r="C365" s="110" t="n"/>
      <c r="D365" s="110" t="n"/>
      <c r="E365" s="110" t="n"/>
      <c r="F365" s="110" t="n"/>
      <c r="G365" s="110" t="n"/>
      <c r="H365" s="110" t="n"/>
      <c r="I365" s="110" t="n"/>
      <c r="J365" s="110" t="n"/>
      <c r="K365" s="110" t="n"/>
      <c r="L365" s="110" t="n"/>
      <c r="M365" s="110" t="n"/>
      <c r="N365" s="110" t="n"/>
      <c r="O365" s="110" t="n"/>
      <c r="P365" s="110" t="n"/>
      <c r="Q365" s="110" t="n"/>
      <c r="R365" s="110" t="n"/>
      <c r="S365" s="110" t="n"/>
      <c r="T365" s="110" t="n"/>
      <c r="U365" s="110" t="n"/>
      <c r="V365" s="110" t="n"/>
      <c r="W365" s="110" t="n"/>
      <c r="X365" s="110" t="n"/>
      <c r="Y365" s="110" t="n"/>
      <c r="Z365" s="110" t="n"/>
    </row>
    <row r="366">
      <c r="A366" s="110" t="n"/>
      <c r="B366" s="110" t="n"/>
      <c r="C366" s="110" t="n"/>
      <c r="D366" s="110" t="n"/>
      <c r="E366" s="110" t="n"/>
      <c r="F366" s="110" t="n"/>
      <c r="G366" s="110" t="n"/>
      <c r="H366" s="110" t="n"/>
      <c r="I366" s="110" t="n"/>
      <c r="J366" s="110" t="n"/>
      <c r="K366" s="110" t="n"/>
      <c r="L366" s="110" t="n"/>
      <c r="M366" s="110" t="n"/>
      <c r="N366" s="110" t="n"/>
      <c r="O366" s="110" t="n"/>
      <c r="P366" s="110" t="n"/>
      <c r="Q366" s="110" t="n"/>
      <c r="R366" s="110" t="n"/>
      <c r="S366" s="110" t="n"/>
      <c r="T366" s="110" t="n"/>
      <c r="U366" s="110" t="n"/>
      <c r="V366" s="110" t="n"/>
      <c r="W366" s="110" t="n"/>
      <c r="X366" s="110" t="n"/>
      <c r="Y366" s="110" t="n"/>
      <c r="Z366" s="110" t="n"/>
    </row>
    <row r="367">
      <c r="A367" s="110" t="n"/>
      <c r="B367" s="110" t="n"/>
      <c r="C367" s="110" t="n"/>
      <c r="D367" s="110" t="n"/>
      <c r="E367" s="110" t="n"/>
      <c r="F367" s="110" t="n"/>
      <c r="G367" s="110" t="n"/>
      <c r="H367" s="110" t="n"/>
      <c r="I367" s="110" t="n"/>
      <c r="J367" s="110" t="n"/>
      <c r="K367" s="110" t="n"/>
      <c r="L367" s="110" t="n"/>
      <c r="M367" s="110" t="n"/>
      <c r="N367" s="110" t="n"/>
      <c r="O367" s="110" t="n"/>
      <c r="P367" s="110" t="n"/>
      <c r="Q367" s="110" t="n"/>
      <c r="R367" s="110" t="n"/>
      <c r="S367" s="110" t="n"/>
      <c r="T367" s="110" t="n"/>
      <c r="U367" s="110" t="n"/>
      <c r="V367" s="110" t="n"/>
      <c r="W367" s="110" t="n"/>
      <c r="X367" s="110" t="n"/>
      <c r="Y367" s="110" t="n"/>
      <c r="Z367" s="110" t="n"/>
    </row>
    <row r="368">
      <c r="A368" s="110" t="n"/>
      <c r="B368" s="110" t="n"/>
      <c r="C368" s="110" t="n"/>
      <c r="D368" s="110" t="n"/>
      <c r="E368" s="110" t="n"/>
      <c r="F368" s="110" t="n"/>
      <c r="G368" s="110" t="n"/>
      <c r="H368" s="110" t="n"/>
      <c r="I368" s="110" t="n"/>
      <c r="J368" s="110" t="n"/>
      <c r="K368" s="110" t="n"/>
      <c r="L368" s="110" t="n"/>
      <c r="M368" s="110" t="n"/>
      <c r="N368" s="110" t="n"/>
      <c r="O368" s="110" t="n"/>
      <c r="P368" s="110" t="n"/>
      <c r="Q368" s="110" t="n"/>
      <c r="R368" s="110" t="n"/>
      <c r="S368" s="110" t="n"/>
      <c r="T368" s="110" t="n"/>
      <c r="U368" s="110" t="n"/>
      <c r="V368" s="110" t="n"/>
      <c r="W368" s="110" t="n"/>
      <c r="X368" s="110" t="n"/>
      <c r="Y368" s="110" t="n"/>
      <c r="Z368" s="110" t="n"/>
    </row>
    <row r="369">
      <c r="A369" s="110" t="n"/>
      <c r="B369" s="110" t="n"/>
      <c r="C369" s="110" t="n"/>
      <c r="D369" s="110" t="n"/>
      <c r="E369" s="110" t="n"/>
      <c r="F369" s="110" t="n"/>
      <c r="G369" s="110" t="n"/>
      <c r="H369" s="110" t="n"/>
      <c r="I369" s="110" t="n"/>
      <c r="J369" s="110" t="n"/>
      <c r="K369" s="110" t="n"/>
      <c r="L369" s="110" t="n"/>
      <c r="M369" s="110" t="n"/>
      <c r="N369" s="110" t="n"/>
      <c r="O369" s="110" t="n"/>
      <c r="P369" s="110" t="n"/>
      <c r="Q369" s="110" t="n"/>
      <c r="R369" s="110" t="n"/>
      <c r="S369" s="110" t="n"/>
      <c r="T369" s="110" t="n"/>
      <c r="U369" s="110" t="n"/>
      <c r="V369" s="110" t="n"/>
      <c r="W369" s="110" t="n"/>
      <c r="X369" s="110" t="n"/>
      <c r="Y369" s="110" t="n"/>
      <c r="Z369" s="110" t="n"/>
    </row>
    <row r="370">
      <c r="A370" s="110" t="n"/>
      <c r="B370" s="110" t="n"/>
      <c r="C370" s="110" t="n"/>
      <c r="D370" s="110" t="n"/>
      <c r="E370" s="110" t="n"/>
      <c r="F370" s="110" t="n"/>
      <c r="G370" s="110" t="n"/>
      <c r="H370" s="110" t="n"/>
      <c r="I370" s="110" t="n"/>
      <c r="J370" s="110" t="n"/>
      <c r="K370" s="110" t="n"/>
      <c r="L370" s="110" t="n"/>
      <c r="M370" s="110" t="n"/>
      <c r="N370" s="110" t="n"/>
      <c r="O370" s="110" t="n"/>
      <c r="P370" s="110" t="n"/>
      <c r="Q370" s="110" t="n"/>
      <c r="R370" s="110" t="n"/>
      <c r="S370" s="110" t="n"/>
      <c r="T370" s="110" t="n"/>
      <c r="U370" s="110" t="n"/>
      <c r="V370" s="110" t="n"/>
      <c r="W370" s="110" t="n"/>
      <c r="X370" s="110" t="n"/>
      <c r="Y370" s="110" t="n"/>
      <c r="Z370" s="110" t="n"/>
    </row>
    <row r="371">
      <c r="A371" s="110" t="n"/>
      <c r="B371" s="110" t="n"/>
      <c r="C371" s="110" t="n"/>
      <c r="D371" s="110" t="n"/>
      <c r="E371" s="110" t="n"/>
      <c r="F371" s="110" t="n"/>
      <c r="G371" s="110" t="n"/>
      <c r="H371" s="110" t="n"/>
      <c r="I371" s="110" t="n"/>
      <c r="J371" s="110" t="n"/>
      <c r="K371" s="110" t="n"/>
      <c r="L371" s="110" t="n"/>
      <c r="M371" s="110" t="n"/>
      <c r="N371" s="110" t="n"/>
      <c r="O371" s="110" t="n"/>
      <c r="P371" s="110" t="n"/>
      <c r="Q371" s="110" t="n"/>
      <c r="R371" s="110" t="n"/>
      <c r="S371" s="110" t="n"/>
      <c r="T371" s="110" t="n"/>
      <c r="U371" s="110" t="n"/>
      <c r="V371" s="110" t="n"/>
      <c r="W371" s="110" t="n"/>
      <c r="X371" s="110" t="n"/>
      <c r="Y371" s="110" t="n"/>
      <c r="Z371" s="110" t="n"/>
    </row>
    <row r="372">
      <c r="A372" s="110" t="n"/>
      <c r="B372" s="110" t="n"/>
      <c r="C372" s="110" t="n"/>
      <c r="D372" s="110" t="n"/>
      <c r="E372" s="110" t="n"/>
      <c r="F372" s="110" t="n"/>
      <c r="G372" s="110" t="n"/>
      <c r="H372" s="110" t="n"/>
      <c r="I372" s="110" t="n"/>
      <c r="J372" s="110" t="n"/>
      <c r="K372" s="110" t="n"/>
      <c r="L372" s="110" t="n"/>
      <c r="M372" s="110" t="n"/>
      <c r="N372" s="110" t="n"/>
      <c r="O372" s="110" t="n"/>
      <c r="P372" s="110" t="n"/>
      <c r="Q372" s="110" t="n"/>
      <c r="R372" s="110" t="n"/>
      <c r="S372" s="110" t="n"/>
      <c r="T372" s="110" t="n"/>
      <c r="U372" s="110" t="n"/>
      <c r="V372" s="110" t="n"/>
      <c r="W372" s="110" t="n"/>
      <c r="X372" s="110" t="n"/>
      <c r="Y372" s="110" t="n"/>
      <c r="Z372" s="110" t="n"/>
    </row>
    <row r="373">
      <c r="A373" s="110" t="n"/>
      <c r="B373" s="110" t="n"/>
      <c r="C373" s="110" t="n"/>
      <c r="D373" s="110" t="n"/>
      <c r="E373" s="110" t="n"/>
      <c r="F373" s="110" t="n"/>
      <c r="G373" s="110" t="n"/>
      <c r="H373" s="110" t="n"/>
      <c r="I373" s="110" t="n"/>
      <c r="J373" s="110" t="n"/>
      <c r="K373" s="110" t="n"/>
      <c r="L373" s="110" t="n"/>
      <c r="M373" s="110" t="n"/>
      <c r="N373" s="110" t="n"/>
      <c r="O373" s="110" t="n"/>
      <c r="P373" s="110" t="n"/>
      <c r="Q373" s="110" t="n"/>
      <c r="R373" s="110" t="n"/>
      <c r="S373" s="110" t="n"/>
      <c r="T373" s="110" t="n"/>
      <c r="U373" s="110" t="n"/>
      <c r="V373" s="110" t="n"/>
      <c r="W373" s="110" t="n"/>
      <c r="X373" s="110" t="n"/>
      <c r="Y373" s="110" t="n"/>
      <c r="Z373" s="110" t="n"/>
    </row>
    <row r="374">
      <c r="A374" s="110" t="n"/>
      <c r="B374" s="110" t="n"/>
      <c r="C374" s="110" t="n"/>
      <c r="D374" s="110" t="n"/>
      <c r="E374" s="110" t="n"/>
      <c r="F374" s="110" t="n"/>
      <c r="G374" s="110" t="n"/>
      <c r="H374" s="110" t="n"/>
      <c r="I374" s="110" t="n"/>
      <c r="J374" s="110" t="n"/>
      <c r="K374" s="110" t="n"/>
      <c r="L374" s="110" t="n"/>
      <c r="M374" s="110" t="n"/>
      <c r="N374" s="110" t="n"/>
      <c r="O374" s="110" t="n"/>
      <c r="P374" s="110" t="n"/>
      <c r="Q374" s="110" t="n"/>
      <c r="R374" s="110" t="n"/>
      <c r="S374" s="110" t="n"/>
      <c r="T374" s="110" t="n"/>
      <c r="U374" s="110" t="n"/>
      <c r="V374" s="110" t="n"/>
      <c r="W374" s="110" t="n"/>
      <c r="X374" s="110" t="n"/>
      <c r="Y374" s="110" t="n"/>
      <c r="Z374" s="110" t="n"/>
    </row>
    <row r="375">
      <c r="A375" s="110" t="n"/>
      <c r="B375" s="110" t="n"/>
      <c r="C375" s="110" t="n"/>
      <c r="D375" s="110" t="n"/>
      <c r="E375" s="110" t="n"/>
      <c r="F375" s="110" t="n"/>
      <c r="G375" s="110" t="n"/>
      <c r="H375" s="110" t="n"/>
      <c r="I375" s="110" t="n"/>
      <c r="J375" s="110" t="n"/>
      <c r="K375" s="110" t="n"/>
      <c r="L375" s="110" t="n"/>
      <c r="M375" s="110" t="n"/>
      <c r="N375" s="110" t="n"/>
      <c r="O375" s="110" t="n"/>
      <c r="P375" s="110" t="n"/>
      <c r="Q375" s="110" t="n"/>
      <c r="R375" s="110" t="n"/>
      <c r="S375" s="110" t="n"/>
      <c r="T375" s="110" t="n"/>
      <c r="U375" s="110" t="n"/>
      <c r="V375" s="110" t="n"/>
      <c r="W375" s="110" t="n"/>
      <c r="X375" s="110" t="n"/>
      <c r="Y375" s="110" t="n"/>
      <c r="Z375" s="110" t="n"/>
    </row>
    <row r="376">
      <c r="A376" s="110" t="n"/>
      <c r="B376" s="110" t="n"/>
      <c r="C376" s="110" t="n"/>
      <c r="D376" s="110" t="n"/>
      <c r="E376" s="110" t="n"/>
      <c r="F376" s="110" t="n"/>
      <c r="G376" s="110" t="n"/>
      <c r="H376" s="110" t="n"/>
      <c r="I376" s="110" t="n"/>
      <c r="J376" s="110" t="n"/>
      <c r="K376" s="110" t="n"/>
      <c r="L376" s="110" t="n"/>
      <c r="M376" s="110" t="n"/>
      <c r="N376" s="110" t="n"/>
      <c r="O376" s="110" t="n"/>
      <c r="P376" s="110" t="n"/>
      <c r="Q376" s="110" t="n"/>
      <c r="R376" s="110" t="n"/>
      <c r="S376" s="110" t="n"/>
      <c r="T376" s="110" t="n"/>
      <c r="U376" s="110" t="n"/>
      <c r="V376" s="110" t="n"/>
      <c r="W376" s="110" t="n"/>
      <c r="X376" s="110" t="n"/>
      <c r="Y376" s="110" t="n"/>
      <c r="Z376" s="110" t="n"/>
    </row>
    <row r="377">
      <c r="A377" s="110" t="n"/>
      <c r="B377" s="110" t="n"/>
      <c r="C377" s="110" t="n"/>
      <c r="D377" s="110" t="n"/>
      <c r="E377" s="110" t="n"/>
      <c r="F377" s="110" t="n"/>
      <c r="G377" s="110" t="n"/>
      <c r="H377" s="110" t="n"/>
      <c r="I377" s="110" t="n"/>
      <c r="J377" s="110" t="n"/>
      <c r="K377" s="110" t="n"/>
      <c r="L377" s="110" t="n"/>
      <c r="M377" s="110" t="n"/>
      <c r="N377" s="110" t="n"/>
      <c r="O377" s="110" t="n"/>
      <c r="P377" s="110" t="n"/>
      <c r="Q377" s="110" t="n"/>
      <c r="R377" s="110" t="n"/>
      <c r="S377" s="110" t="n"/>
      <c r="T377" s="110" t="n"/>
      <c r="U377" s="110" t="n"/>
      <c r="V377" s="110" t="n"/>
      <c r="W377" s="110" t="n"/>
      <c r="X377" s="110" t="n"/>
      <c r="Y377" s="110" t="n"/>
      <c r="Z377" s="110" t="n"/>
    </row>
    <row r="378">
      <c r="A378" s="110" t="n"/>
      <c r="B378" s="110" t="n"/>
      <c r="C378" s="110" t="n"/>
      <c r="D378" s="110" t="n"/>
      <c r="E378" s="110" t="n"/>
      <c r="F378" s="110" t="n"/>
      <c r="G378" s="110" t="n"/>
      <c r="H378" s="110" t="n"/>
      <c r="I378" s="110" t="n"/>
      <c r="J378" s="110" t="n"/>
      <c r="K378" s="110" t="n"/>
      <c r="L378" s="110" t="n"/>
      <c r="M378" s="110" t="n"/>
      <c r="N378" s="110" t="n"/>
      <c r="O378" s="110" t="n"/>
      <c r="P378" s="110" t="n"/>
      <c r="Q378" s="110" t="n"/>
      <c r="R378" s="110" t="n"/>
      <c r="S378" s="110" t="n"/>
      <c r="T378" s="110" t="n"/>
      <c r="U378" s="110" t="n"/>
      <c r="V378" s="110" t="n"/>
      <c r="W378" s="110" t="n"/>
      <c r="X378" s="110" t="n"/>
      <c r="Y378" s="110" t="n"/>
      <c r="Z378" s="110" t="n"/>
    </row>
    <row r="379">
      <c r="A379" s="110" t="n"/>
      <c r="B379" s="110" t="n"/>
      <c r="C379" s="110" t="n"/>
      <c r="D379" s="110" t="n"/>
      <c r="E379" s="110" t="n"/>
      <c r="F379" s="110" t="n"/>
      <c r="G379" s="110" t="n"/>
      <c r="H379" s="110" t="n"/>
      <c r="I379" s="110" t="n"/>
      <c r="J379" s="110" t="n"/>
      <c r="K379" s="110" t="n"/>
      <c r="L379" s="110" t="n"/>
      <c r="M379" s="110" t="n"/>
      <c r="N379" s="110" t="n"/>
      <c r="O379" s="110" t="n"/>
      <c r="P379" s="110" t="n"/>
      <c r="Q379" s="110" t="n"/>
      <c r="R379" s="110" t="n"/>
      <c r="S379" s="110" t="n"/>
      <c r="T379" s="110" t="n"/>
      <c r="U379" s="110" t="n"/>
      <c r="V379" s="110" t="n"/>
      <c r="W379" s="110" t="n"/>
      <c r="X379" s="110" t="n"/>
      <c r="Y379" s="110" t="n"/>
      <c r="Z379" s="110" t="n"/>
    </row>
    <row r="380">
      <c r="A380" s="110" t="n"/>
      <c r="B380" s="110" t="n"/>
      <c r="C380" s="110" t="n"/>
      <c r="D380" s="110" t="n"/>
      <c r="E380" s="110" t="n"/>
      <c r="F380" s="110" t="n"/>
      <c r="G380" s="110" t="n"/>
      <c r="H380" s="110" t="n"/>
      <c r="I380" s="110" t="n"/>
      <c r="J380" s="110" t="n"/>
      <c r="K380" s="110" t="n"/>
      <c r="L380" s="110" t="n"/>
      <c r="M380" s="110" t="n"/>
      <c r="N380" s="110" t="n"/>
      <c r="O380" s="110" t="n"/>
      <c r="P380" s="110" t="n"/>
      <c r="Q380" s="110" t="n"/>
      <c r="R380" s="110" t="n"/>
      <c r="S380" s="110" t="n"/>
      <c r="T380" s="110" t="n"/>
      <c r="U380" s="110" t="n"/>
      <c r="V380" s="110" t="n"/>
      <c r="W380" s="110" t="n"/>
      <c r="X380" s="110" t="n"/>
      <c r="Y380" s="110" t="n"/>
      <c r="Z380" s="110" t="n"/>
    </row>
    <row r="381">
      <c r="A381" s="110" t="n"/>
      <c r="B381" s="110" t="n"/>
      <c r="C381" s="110" t="n"/>
      <c r="D381" s="110" t="n"/>
      <c r="E381" s="110" t="n"/>
      <c r="F381" s="110" t="n"/>
      <c r="G381" s="110" t="n"/>
      <c r="H381" s="110" t="n"/>
      <c r="I381" s="110" t="n"/>
      <c r="J381" s="110" t="n"/>
      <c r="K381" s="110" t="n"/>
      <c r="L381" s="110" t="n"/>
      <c r="M381" s="110" t="n"/>
      <c r="N381" s="110" t="n"/>
      <c r="O381" s="110" t="n"/>
      <c r="P381" s="110" t="n"/>
      <c r="Q381" s="110" t="n"/>
      <c r="R381" s="110" t="n"/>
      <c r="S381" s="110" t="n"/>
      <c r="T381" s="110" t="n"/>
      <c r="U381" s="110" t="n"/>
      <c r="V381" s="110" t="n"/>
      <c r="W381" s="110" t="n"/>
      <c r="X381" s="110" t="n"/>
      <c r="Y381" s="110" t="n"/>
      <c r="Z381" s="110" t="n"/>
    </row>
    <row r="382">
      <c r="A382" s="110" t="n"/>
      <c r="B382" s="110" t="n"/>
      <c r="C382" s="110" t="n"/>
      <c r="D382" s="110" t="n"/>
      <c r="E382" s="110" t="n"/>
      <c r="F382" s="110" t="n"/>
      <c r="G382" s="110" t="n"/>
      <c r="H382" s="110" t="n"/>
      <c r="I382" s="110" t="n"/>
      <c r="J382" s="110" t="n"/>
      <c r="K382" s="110" t="n"/>
      <c r="L382" s="110" t="n"/>
      <c r="M382" s="110" t="n"/>
      <c r="N382" s="110" t="n"/>
      <c r="O382" s="110" t="n"/>
      <c r="P382" s="110" t="n"/>
      <c r="Q382" s="110" t="n"/>
      <c r="R382" s="110" t="n"/>
      <c r="S382" s="110" t="n"/>
      <c r="T382" s="110" t="n"/>
      <c r="U382" s="110" t="n"/>
      <c r="V382" s="110" t="n"/>
      <c r="W382" s="110" t="n"/>
      <c r="X382" s="110" t="n"/>
      <c r="Y382" s="110" t="n"/>
      <c r="Z382" s="110" t="n"/>
    </row>
    <row r="383">
      <c r="A383" s="110" t="n"/>
      <c r="B383" s="110" t="n"/>
      <c r="C383" s="110" t="n"/>
      <c r="D383" s="110" t="n"/>
      <c r="E383" s="110" t="n"/>
      <c r="F383" s="110" t="n"/>
      <c r="G383" s="110" t="n"/>
      <c r="H383" s="110" t="n"/>
      <c r="I383" s="110" t="n"/>
      <c r="J383" s="110" t="n"/>
      <c r="K383" s="110" t="n"/>
      <c r="L383" s="110" t="n"/>
      <c r="M383" s="110" t="n"/>
      <c r="N383" s="110" t="n"/>
      <c r="O383" s="110" t="n"/>
      <c r="P383" s="110" t="n"/>
      <c r="Q383" s="110" t="n"/>
      <c r="R383" s="110" t="n"/>
      <c r="S383" s="110" t="n"/>
      <c r="T383" s="110" t="n"/>
      <c r="U383" s="110" t="n"/>
      <c r="V383" s="110" t="n"/>
      <c r="W383" s="110" t="n"/>
      <c r="X383" s="110" t="n"/>
      <c r="Y383" s="110" t="n"/>
      <c r="Z383" s="110" t="n"/>
    </row>
    <row r="384">
      <c r="A384" s="110" t="n"/>
      <c r="B384" s="110" t="n"/>
      <c r="C384" s="110" t="n"/>
      <c r="D384" s="110" t="n"/>
      <c r="E384" s="110" t="n"/>
      <c r="F384" s="110" t="n"/>
      <c r="G384" s="110" t="n"/>
      <c r="H384" s="110" t="n"/>
      <c r="I384" s="110" t="n"/>
      <c r="J384" s="110" t="n"/>
      <c r="K384" s="110" t="n"/>
      <c r="L384" s="110" t="n"/>
      <c r="M384" s="110" t="n"/>
      <c r="N384" s="110" t="n"/>
      <c r="O384" s="110" t="n"/>
      <c r="P384" s="110" t="n"/>
      <c r="Q384" s="110" t="n"/>
      <c r="R384" s="110" t="n"/>
      <c r="S384" s="110" t="n"/>
      <c r="T384" s="110" t="n"/>
      <c r="U384" s="110" t="n"/>
      <c r="V384" s="110" t="n"/>
      <c r="W384" s="110" t="n"/>
      <c r="X384" s="110" t="n"/>
      <c r="Y384" s="110" t="n"/>
      <c r="Z384" s="110" t="n"/>
    </row>
    <row r="385">
      <c r="A385" s="110" t="n"/>
      <c r="B385" s="110" t="n"/>
      <c r="C385" s="110" t="n"/>
      <c r="D385" s="110" t="n"/>
      <c r="E385" s="110" t="n"/>
      <c r="F385" s="110" t="n"/>
      <c r="G385" s="110" t="n"/>
      <c r="H385" s="110" t="n"/>
      <c r="I385" s="110" t="n"/>
      <c r="J385" s="110" t="n"/>
      <c r="K385" s="110" t="n"/>
      <c r="L385" s="110" t="n"/>
      <c r="M385" s="110" t="n"/>
      <c r="N385" s="110" t="n"/>
      <c r="O385" s="110" t="n"/>
      <c r="P385" s="110" t="n"/>
      <c r="Q385" s="110" t="n"/>
      <c r="R385" s="110" t="n"/>
      <c r="S385" s="110" t="n"/>
      <c r="T385" s="110" t="n"/>
      <c r="U385" s="110" t="n"/>
      <c r="V385" s="110" t="n"/>
      <c r="W385" s="110" t="n"/>
      <c r="X385" s="110" t="n"/>
      <c r="Y385" s="110" t="n"/>
      <c r="Z385" s="110" t="n"/>
    </row>
    <row r="386">
      <c r="A386" s="110" t="n"/>
      <c r="B386" s="110" t="n"/>
      <c r="C386" s="110" t="n"/>
      <c r="D386" s="110" t="n"/>
      <c r="E386" s="110" t="n"/>
      <c r="F386" s="110" t="n"/>
      <c r="G386" s="110" t="n"/>
      <c r="H386" s="110" t="n"/>
      <c r="I386" s="110" t="n"/>
      <c r="J386" s="110" t="n"/>
      <c r="K386" s="110" t="n"/>
      <c r="L386" s="110" t="n"/>
      <c r="M386" s="110" t="n"/>
      <c r="N386" s="110" t="n"/>
      <c r="O386" s="110" t="n"/>
      <c r="P386" s="110" t="n"/>
      <c r="Q386" s="110" t="n"/>
      <c r="R386" s="110" t="n"/>
      <c r="S386" s="110" t="n"/>
      <c r="T386" s="110" t="n"/>
      <c r="U386" s="110" t="n"/>
      <c r="V386" s="110" t="n"/>
      <c r="W386" s="110" t="n"/>
      <c r="X386" s="110" t="n"/>
      <c r="Y386" s="110" t="n"/>
      <c r="Z386" s="110" t="n"/>
    </row>
    <row r="387">
      <c r="A387" s="110" t="n"/>
      <c r="B387" s="110" t="n"/>
      <c r="C387" s="110" t="n"/>
      <c r="D387" s="110" t="n"/>
      <c r="E387" s="110" t="n"/>
      <c r="F387" s="110" t="n"/>
      <c r="G387" s="110" t="n"/>
      <c r="H387" s="110" t="n"/>
      <c r="I387" s="110" t="n"/>
      <c r="J387" s="110" t="n"/>
      <c r="K387" s="110" t="n"/>
      <c r="L387" s="110" t="n"/>
      <c r="M387" s="110" t="n"/>
      <c r="N387" s="110" t="n"/>
      <c r="O387" s="110" t="n"/>
      <c r="P387" s="110" t="n"/>
      <c r="Q387" s="110" t="n"/>
      <c r="R387" s="110" t="n"/>
      <c r="S387" s="110" t="n"/>
      <c r="T387" s="110" t="n"/>
      <c r="U387" s="110" t="n"/>
      <c r="V387" s="110" t="n"/>
      <c r="W387" s="110" t="n"/>
      <c r="X387" s="110" t="n"/>
      <c r="Y387" s="110" t="n"/>
      <c r="Z387" s="110" t="n"/>
    </row>
    <row r="388">
      <c r="A388" s="110" t="n"/>
      <c r="B388" s="110" t="n"/>
      <c r="C388" s="110" t="n"/>
      <c r="D388" s="110" t="n"/>
      <c r="E388" s="110" t="n"/>
      <c r="F388" s="110" t="n"/>
      <c r="G388" s="110" t="n"/>
      <c r="H388" s="110" t="n"/>
      <c r="I388" s="110" t="n"/>
      <c r="J388" s="110" t="n"/>
      <c r="K388" s="110" t="n"/>
      <c r="L388" s="110" t="n"/>
      <c r="M388" s="110" t="n"/>
      <c r="N388" s="110" t="n"/>
      <c r="O388" s="110" t="n"/>
      <c r="P388" s="110" t="n"/>
      <c r="Q388" s="110" t="n"/>
      <c r="R388" s="110" t="n"/>
      <c r="S388" s="110" t="n"/>
      <c r="T388" s="110" t="n"/>
      <c r="U388" s="110" t="n"/>
      <c r="V388" s="110" t="n"/>
      <c r="W388" s="110" t="n"/>
      <c r="X388" s="110" t="n"/>
      <c r="Y388" s="110" t="n"/>
      <c r="Z388" s="110" t="n"/>
    </row>
    <row r="389">
      <c r="A389" s="110" t="n"/>
      <c r="B389" s="110" t="n"/>
      <c r="C389" s="110" t="n"/>
      <c r="D389" s="110" t="n"/>
      <c r="E389" s="110" t="n"/>
      <c r="F389" s="110" t="n"/>
      <c r="G389" s="110" t="n"/>
      <c r="H389" s="110" t="n"/>
      <c r="I389" s="110" t="n"/>
      <c r="J389" s="110" t="n"/>
      <c r="K389" s="110" t="n"/>
      <c r="L389" s="110" t="n"/>
      <c r="M389" s="110" t="n"/>
      <c r="N389" s="110" t="n"/>
      <c r="O389" s="110" t="n"/>
      <c r="P389" s="110" t="n"/>
      <c r="Q389" s="110" t="n"/>
      <c r="R389" s="110" t="n"/>
      <c r="S389" s="110" t="n"/>
      <c r="T389" s="110" t="n"/>
      <c r="U389" s="110" t="n"/>
      <c r="V389" s="110" t="n"/>
      <c r="W389" s="110" t="n"/>
      <c r="X389" s="110" t="n"/>
      <c r="Y389" s="110" t="n"/>
      <c r="Z389" s="110" t="n"/>
    </row>
    <row r="390">
      <c r="A390" s="110" t="n"/>
      <c r="B390" s="110" t="n"/>
      <c r="C390" s="110" t="n"/>
      <c r="D390" s="110" t="n"/>
      <c r="E390" s="110" t="n"/>
      <c r="F390" s="110" t="n"/>
      <c r="G390" s="110" t="n"/>
      <c r="H390" s="110" t="n"/>
      <c r="I390" s="110" t="n"/>
      <c r="J390" s="110" t="n"/>
      <c r="K390" s="110" t="n"/>
      <c r="L390" s="110" t="n"/>
      <c r="M390" s="110" t="n"/>
      <c r="N390" s="110" t="n"/>
      <c r="O390" s="110" t="n"/>
      <c r="P390" s="110" t="n"/>
      <c r="Q390" s="110" t="n"/>
      <c r="R390" s="110" t="n"/>
      <c r="S390" s="110" t="n"/>
      <c r="T390" s="110" t="n"/>
      <c r="U390" s="110" t="n"/>
      <c r="V390" s="110" t="n"/>
      <c r="W390" s="110" t="n"/>
      <c r="X390" s="110" t="n"/>
      <c r="Y390" s="110" t="n"/>
      <c r="Z390" s="110" t="n"/>
    </row>
    <row r="391">
      <c r="A391" s="110" t="n"/>
      <c r="B391" s="110" t="n"/>
      <c r="C391" s="110" t="n"/>
      <c r="D391" s="110" t="n"/>
      <c r="E391" s="110" t="n"/>
      <c r="F391" s="110" t="n"/>
      <c r="G391" s="110" t="n"/>
      <c r="H391" s="110" t="n"/>
      <c r="I391" s="110" t="n"/>
      <c r="J391" s="110" t="n"/>
      <c r="K391" s="110" t="n"/>
      <c r="L391" s="110" t="n"/>
      <c r="M391" s="110" t="n"/>
      <c r="N391" s="110" t="n"/>
      <c r="O391" s="110" t="n"/>
      <c r="P391" s="110" t="n"/>
      <c r="Q391" s="110" t="n"/>
      <c r="R391" s="110" t="n"/>
      <c r="S391" s="110" t="n"/>
      <c r="T391" s="110" t="n"/>
      <c r="U391" s="110" t="n"/>
      <c r="V391" s="110" t="n"/>
      <c r="W391" s="110" t="n"/>
      <c r="X391" s="110" t="n"/>
      <c r="Y391" s="110" t="n"/>
      <c r="Z391" s="110" t="n"/>
    </row>
    <row r="392">
      <c r="A392" s="110" t="n"/>
      <c r="B392" s="110" t="n"/>
      <c r="C392" s="110" t="n"/>
      <c r="D392" s="110" t="n"/>
      <c r="E392" s="110" t="n"/>
      <c r="F392" s="110" t="n"/>
      <c r="G392" s="110" t="n"/>
      <c r="H392" s="110" t="n"/>
      <c r="I392" s="110" t="n"/>
      <c r="J392" s="110" t="n"/>
      <c r="K392" s="110" t="n"/>
      <c r="L392" s="110" t="n"/>
      <c r="M392" s="110" t="n"/>
      <c r="N392" s="110" t="n"/>
      <c r="O392" s="110" t="n"/>
      <c r="P392" s="110" t="n"/>
      <c r="Q392" s="110" t="n"/>
      <c r="R392" s="110" t="n"/>
      <c r="S392" s="110" t="n"/>
      <c r="T392" s="110" t="n"/>
      <c r="U392" s="110" t="n"/>
      <c r="V392" s="110" t="n"/>
      <c r="W392" s="110" t="n"/>
      <c r="X392" s="110" t="n"/>
      <c r="Y392" s="110" t="n"/>
      <c r="Z392" s="110" t="n"/>
    </row>
    <row r="393">
      <c r="A393" s="110" t="n"/>
      <c r="B393" s="110" t="n"/>
      <c r="C393" s="110" t="n"/>
      <c r="D393" s="110" t="n"/>
      <c r="E393" s="110" t="n"/>
      <c r="F393" s="110" t="n"/>
      <c r="G393" s="110" t="n"/>
      <c r="H393" s="110" t="n"/>
      <c r="I393" s="110" t="n"/>
      <c r="J393" s="110" t="n"/>
      <c r="K393" s="110" t="n"/>
      <c r="L393" s="110" t="n"/>
      <c r="M393" s="110" t="n"/>
      <c r="N393" s="110" t="n"/>
      <c r="O393" s="110" t="n"/>
      <c r="P393" s="110" t="n"/>
      <c r="Q393" s="110" t="n"/>
      <c r="R393" s="110" t="n"/>
      <c r="S393" s="110" t="n"/>
      <c r="T393" s="110" t="n"/>
      <c r="U393" s="110" t="n"/>
      <c r="V393" s="110" t="n"/>
      <c r="W393" s="110" t="n"/>
      <c r="X393" s="110" t="n"/>
      <c r="Y393" s="110" t="n"/>
      <c r="Z393" s="110" t="n"/>
    </row>
    <row r="394">
      <c r="A394" s="110" t="n"/>
      <c r="B394" s="110" t="n"/>
      <c r="C394" s="110" t="n"/>
      <c r="D394" s="110" t="n"/>
      <c r="E394" s="110" t="n"/>
      <c r="F394" s="110" t="n"/>
      <c r="G394" s="110" t="n"/>
      <c r="H394" s="110" t="n"/>
      <c r="I394" s="110" t="n"/>
      <c r="J394" s="110" t="n"/>
      <c r="K394" s="110" t="n"/>
      <c r="L394" s="110" t="n"/>
      <c r="M394" s="110" t="n"/>
      <c r="N394" s="110" t="n"/>
      <c r="O394" s="110" t="n"/>
      <c r="P394" s="110" t="n"/>
      <c r="Q394" s="110" t="n"/>
      <c r="R394" s="110" t="n"/>
      <c r="S394" s="110" t="n"/>
      <c r="T394" s="110" t="n"/>
      <c r="U394" s="110" t="n"/>
      <c r="V394" s="110" t="n"/>
      <c r="W394" s="110" t="n"/>
      <c r="X394" s="110" t="n"/>
      <c r="Y394" s="110" t="n"/>
      <c r="Z394" s="110" t="n"/>
    </row>
    <row r="395">
      <c r="A395" s="110" t="n"/>
      <c r="B395" s="110" t="n"/>
      <c r="C395" s="110" t="n"/>
      <c r="D395" s="110" t="n"/>
      <c r="E395" s="110" t="n"/>
      <c r="F395" s="110" t="n"/>
      <c r="G395" s="110" t="n"/>
      <c r="H395" s="110" t="n"/>
      <c r="I395" s="110" t="n"/>
      <c r="J395" s="110" t="n"/>
      <c r="K395" s="110" t="n"/>
      <c r="L395" s="110" t="n"/>
      <c r="M395" s="110" t="n"/>
      <c r="N395" s="110" t="n"/>
      <c r="O395" s="110" t="n"/>
      <c r="P395" s="110" t="n"/>
      <c r="Q395" s="110" t="n"/>
      <c r="R395" s="110" t="n"/>
      <c r="S395" s="110" t="n"/>
      <c r="T395" s="110" t="n"/>
      <c r="U395" s="110" t="n"/>
      <c r="V395" s="110" t="n"/>
      <c r="W395" s="110" t="n"/>
      <c r="X395" s="110" t="n"/>
      <c r="Y395" s="110" t="n"/>
      <c r="Z395" s="110" t="n"/>
    </row>
    <row r="396">
      <c r="A396" s="110" t="n"/>
      <c r="B396" s="110" t="n"/>
      <c r="C396" s="110" t="n"/>
      <c r="D396" s="110" t="n"/>
      <c r="E396" s="110" t="n"/>
      <c r="F396" s="110" t="n"/>
      <c r="G396" s="110" t="n"/>
      <c r="H396" s="110" t="n"/>
      <c r="I396" s="110" t="n"/>
      <c r="J396" s="110" t="n"/>
      <c r="K396" s="110" t="n"/>
      <c r="L396" s="110" t="n"/>
      <c r="M396" s="110" t="n"/>
      <c r="N396" s="110" t="n"/>
      <c r="O396" s="110" t="n"/>
      <c r="P396" s="110" t="n"/>
      <c r="Q396" s="110" t="n"/>
      <c r="R396" s="110" t="n"/>
      <c r="S396" s="110" t="n"/>
      <c r="T396" s="110" t="n"/>
      <c r="U396" s="110" t="n"/>
      <c r="V396" s="110" t="n"/>
      <c r="W396" s="110" t="n"/>
      <c r="X396" s="110" t="n"/>
      <c r="Y396" s="110" t="n"/>
      <c r="Z396" s="110" t="n"/>
    </row>
    <row r="397">
      <c r="A397" s="110" t="n"/>
      <c r="B397" s="110" t="n"/>
      <c r="C397" s="110" t="n"/>
      <c r="D397" s="110" t="n"/>
      <c r="E397" s="110" t="n"/>
      <c r="F397" s="110" t="n"/>
      <c r="G397" s="110" t="n"/>
      <c r="H397" s="110" t="n"/>
      <c r="I397" s="110" t="n"/>
      <c r="J397" s="110" t="n"/>
      <c r="K397" s="110" t="n"/>
      <c r="L397" s="110" t="n"/>
      <c r="M397" s="110" t="n"/>
      <c r="N397" s="110" t="n"/>
      <c r="O397" s="110" t="n"/>
      <c r="P397" s="110" t="n"/>
      <c r="Q397" s="110" t="n"/>
      <c r="R397" s="110" t="n"/>
      <c r="S397" s="110" t="n"/>
      <c r="T397" s="110" t="n"/>
      <c r="U397" s="110" t="n"/>
      <c r="V397" s="110" t="n"/>
      <c r="W397" s="110" t="n"/>
      <c r="X397" s="110" t="n"/>
      <c r="Y397" s="110" t="n"/>
      <c r="Z397" s="110" t="n"/>
    </row>
    <row r="398">
      <c r="A398" s="110" t="n"/>
      <c r="B398" s="110" t="n"/>
      <c r="C398" s="110" t="n"/>
      <c r="D398" s="110" t="n"/>
      <c r="E398" s="110" t="n"/>
      <c r="F398" s="110" t="n"/>
      <c r="G398" s="110" t="n"/>
      <c r="H398" s="110" t="n"/>
      <c r="I398" s="110" t="n"/>
      <c r="J398" s="110" t="n"/>
      <c r="K398" s="110" t="n"/>
      <c r="L398" s="110" t="n"/>
      <c r="M398" s="110" t="n"/>
      <c r="N398" s="110" t="n"/>
      <c r="O398" s="110" t="n"/>
      <c r="P398" s="110" t="n"/>
      <c r="Q398" s="110" t="n"/>
      <c r="R398" s="110" t="n"/>
      <c r="S398" s="110" t="n"/>
      <c r="T398" s="110" t="n"/>
      <c r="U398" s="110" t="n"/>
      <c r="V398" s="110" t="n"/>
      <c r="W398" s="110" t="n"/>
      <c r="X398" s="110" t="n"/>
      <c r="Y398" s="110" t="n"/>
      <c r="Z398" s="110" t="n"/>
    </row>
    <row r="399">
      <c r="A399" s="110" t="n"/>
      <c r="B399" s="110" t="n"/>
      <c r="C399" s="110" t="n"/>
      <c r="D399" s="110" t="n"/>
      <c r="E399" s="110" t="n"/>
      <c r="F399" s="110" t="n"/>
      <c r="G399" s="110" t="n"/>
      <c r="H399" s="110" t="n"/>
      <c r="I399" s="110" t="n"/>
      <c r="J399" s="110" t="n"/>
      <c r="K399" s="110" t="n"/>
      <c r="L399" s="110" t="n"/>
      <c r="M399" s="110" t="n"/>
      <c r="N399" s="110" t="n"/>
      <c r="O399" s="110" t="n"/>
      <c r="P399" s="110" t="n"/>
      <c r="Q399" s="110" t="n"/>
      <c r="R399" s="110" t="n"/>
      <c r="S399" s="110" t="n"/>
      <c r="T399" s="110" t="n"/>
      <c r="U399" s="110" t="n"/>
      <c r="V399" s="110" t="n"/>
      <c r="W399" s="110" t="n"/>
      <c r="X399" s="110" t="n"/>
      <c r="Y399" s="110" t="n"/>
      <c r="Z399" s="110" t="n"/>
    </row>
    <row r="400">
      <c r="A400" s="110" t="n"/>
      <c r="B400" s="110" t="n"/>
      <c r="C400" s="110" t="n"/>
      <c r="D400" s="110" t="n"/>
      <c r="E400" s="110" t="n"/>
      <c r="F400" s="110" t="n"/>
      <c r="G400" s="110" t="n"/>
      <c r="H400" s="110" t="n"/>
      <c r="I400" s="110" t="n"/>
      <c r="J400" s="110" t="n"/>
      <c r="K400" s="110" t="n"/>
      <c r="L400" s="110" t="n"/>
      <c r="M400" s="110" t="n"/>
      <c r="N400" s="110" t="n"/>
      <c r="O400" s="110" t="n"/>
      <c r="P400" s="110" t="n"/>
      <c r="Q400" s="110" t="n"/>
      <c r="R400" s="110" t="n"/>
      <c r="S400" s="110" t="n"/>
      <c r="T400" s="110" t="n"/>
      <c r="U400" s="110" t="n"/>
      <c r="V400" s="110" t="n"/>
      <c r="W400" s="110" t="n"/>
      <c r="X400" s="110" t="n"/>
      <c r="Y400" s="110" t="n"/>
      <c r="Z400" s="110" t="n"/>
    </row>
    <row r="401">
      <c r="A401" s="110" t="n"/>
      <c r="B401" s="110" t="n"/>
      <c r="C401" s="110" t="n"/>
      <c r="D401" s="110" t="n"/>
      <c r="E401" s="110" t="n"/>
      <c r="F401" s="110" t="n"/>
      <c r="G401" s="110" t="n"/>
      <c r="H401" s="110" t="n"/>
      <c r="I401" s="110" t="n"/>
      <c r="J401" s="110" t="n"/>
      <c r="K401" s="110" t="n"/>
      <c r="L401" s="110" t="n"/>
      <c r="M401" s="110" t="n"/>
      <c r="N401" s="110" t="n"/>
      <c r="O401" s="110" t="n"/>
      <c r="P401" s="110" t="n"/>
      <c r="Q401" s="110" t="n"/>
      <c r="R401" s="110" t="n"/>
      <c r="S401" s="110" t="n"/>
      <c r="T401" s="110" t="n"/>
      <c r="U401" s="110" t="n"/>
      <c r="V401" s="110" t="n"/>
      <c r="W401" s="110" t="n"/>
      <c r="X401" s="110" t="n"/>
      <c r="Y401" s="110" t="n"/>
      <c r="Z401" s="110" t="n"/>
    </row>
    <row r="402">
      <c r="A402" s="110" t="n"/>
      <c r="B402" s="110" t="n"/>
      <c r="C402" s="110" t="n"/>
      <c r="D402" s="110" t="n"/>
      <c r="E402" s="110" t="n"/>
      <c r="F402" s="110" t="n"/>
      <c r="G402" s="110" t="n"/>
      <c r="H402" s="110" t="n"/>
      <c r="I402" s="110" t="n"/>
      <c r="J402" s="110" t="n"/>
      <c r="K402" s="110" t="n"/>
      <c r="L402" s="110" t="n"/>
      <c r="M402" s="110" t="n"/>
      <c r="N402" s="110" t="n"/>
      <c r="O402" s="110" t="n"/>
      <c r="P402" s="110" t="n"/>
      <c r="Q402" s="110" t="n"/>
      <c r="R402" s="110" t="n"/>
      <c r="S402" s="110" t="n"/>
      <c r="T402" s="110" t="n"/>
      <c r="U402" s="110" t="n"/>
      <c r="V402" s="110" t="n"/>
      <c r="W402" s="110" t="n"/>
      <c r="X402" s="110" t="n"/>
      <c r="Y402" s="110" t="n"/>
      <c r="Z402" s="110" t="n"/>
    </row>
    <row r="403">
      <c r="A403" s="110" t="n"/>
      <c r="B403" s="110" t="n"/>
      <c r="C403" s="110" t="n"/>
      <c r="D403" s="110" t="n"/>
      <c r="E403" s="110" t="n"/>
      <c r="F403" s="110" t="n"/>
      <c r="G403" s="110" t="n"/>
      <c r="H403" s="110" t="n"/>
      <c r="I403" s="110" t="n"/>
      <c r="J403" s="110" t="n"/>
      <c r="K403" s="110" t="n"/>
      <c r="L403" s="110" t="n"/>
      <c r="M403" s="110" t="n"/>
      <c r="N403" s="110" t="n"/>
      <c r="O403" s="110" t="n"/>
      <c r="P403" s="110" t="n"/>
      <c r="Q403" s="110" t="n"/>
      <c r="R403" s="110" t="n"/>
      <c r="S403" s="110" t="n"/>
      <c r="T403" s="110" t="n"/>
      <c r="U403" s="110" t="n"/>
      <c r="V403" s="110" t="n"/>
      <c r="W403" s="110" t="n"/>
      <c r="X403" s="110" t="n"/>
      <c r="Y403" s="110" t="n"/>
      <c r="Z403" s="110" t="n"/>
    </row>
    <row r="404">
      <c r="A404" s="110" t="n"/>
      <c r="B404" s="110" t="n"/>
      <c r="C404" s="110" t="n"/>
      <c r="D404" s="110" t="n"/>
      <c r="E404" s="110" t="n"/>
      <c r="F404" s="110" t="n"/>
      <c r="G404" s="110" t="n"/>
      <c r="H404" s="110" t="n"/>
      <c r="I404" s="110" t="n"/>
      <c r="J404" s="110" t="n"/>
      <c r="K404" s="110" t="n"/>
      <c r="L404" s="110" t="n"/>
      <c r="M404" s="110" t="n"/>
      <c r="N404" s="110" t="n"/>
      <c r="O404" s="110" t="n"/>
      <c r="P404" s="110" t="n"/>
      <c r="Q404" s="110" t="n"/>
      <c r="R404" s="110" t="n"/>
      <c r="S404" s="110" t="n"/>
      <c r="T404" s="110" t="n"/>
      <c r="U404" s="110" t="n"/>
      <c r="V404" s="110" t="n"/>
      <c r="W404" s="110" t="n"/>
      <c r="X404" s="110" t="n"/>
      <c r="Y404" s="110" t="n"/>
      <c r="Z404" s="110" t="n"/>
    </row>
    <row r="405">
      <c r="A405" s="110" t="n"/>
      <c r="B405" s="110" t="n"/>
      <c r="C405" s="110" t="n"/>
      <c r="D405" s="110" t="n"/>
      <c r="E405" s="110" t="n"/>
      <c r="F405" s="110" t="n"/>
      <c r="G405" s="110" t="n"/>
      <c r="H405" s="110" t="n"/>
      <c r="I405" s="110" t="n"/>
      <c r="J405" s="110" t="n"/>
      <c r="K405" s="110" t="n"/>
      <c r="L405" s="110" t="n"/>
      <c r="M405" s="110" t="n"/>
      <c r="N405" s="110" t="n"/>
      <c r="O405" s="110" t="n"/>
      <c r="P405" s="110" t="n"/>
      <c r="Q405" s="110" t="n"/>
      <c r="R405" s="110" t="n"/>
      <c r="S405" s="110" t="n"/>
      <c r="T405" s="110" t="n"/>
      <c r="U405" s="110" t="n"/>
      <c r="V405" s="110" t="n"/>
      <c r="W405" s="110" t="n"/>
      <c r="X405" s="110" t="n"/>
      <c r="Y405" s="110" t="n"/>
      <c r="Z405" s="110" t="n"/>
    </row>
    <row r="406">
      <c r="A406" s="110" t="n"/>
      <c r="B406" s="110" t="n"/>
      <c r="C406" s="110" t="n"/>
      <c r="D406" s="110" t="n"/>
      <c r="E406" s="110" t="n"/>
      <c r="F406" s="110" t="n"/>
      <c r="G406" s="110" t="n"/>
      <c r="H406" s="110" t="n"/>
      <c r="I406" s="110" t="n"/>
      <c r="J406" s="110" t="n"/>
      <c r="K406" s="110" t="n"/>
      <c r="L406" s="110" t="n"/>
      <c r="M406" s="110" t="n"/>
      <c r="N406" s="110" t="n"/>
      <c r="O406" s="110" t="n"/>
      <c r="P406" s="110" t="n"/>
      <c r="Q406" s="110" t="n"/>
      <c r="R406" s="110" t="n"/>
      <c r="S406" s="110" t="n"/>
      <c r="T406" s="110" t="n"/>
      <c r="U406" s="110" t="n"/>
      <c r="V406" s="110" t="n"/>
      <c r="W406" s="110" t="n"/>
      <c r="X406" s="110" t="n"/>
      <c r="Y406" s="110" t="n"/>
      <c r="Z406" s="110" t="n"/>
    </row>
    <row r="407">
      <c r="A407" s="110" t="n"/>
      <c r="B407" s="110" t="n"/>
      <c r="C407" s="110" t="n"/>
      <c r="D407" s="110" t="n"/>
      <c r="E407" s="110" t="n"/>
      <c r="F407" s="110" t="n"/>
      <c r="G407" s="110" t="n"/>
      <c r="H407" s="110" t="n"/>
      <c r="I407" s="110" t="n"/>
      <c r="J407" s="110" t="n"/>
      <c r="K407" s="110" t="n"/>
      <c r="L407" s="110" t="n"/>
      <c r="M407" s="110" t="n"/>
      <c r="N407" s="110" t="n"/>
      <c r="O407" s="110" t="n"/>
      <c r="P407" s="110" t="n"/>
      <c r="Q407" s="110" t="n"/>
      <c r="R407" s="110" t="n"/>
      <c r="S407" s="110" t="n"/>
      <c r="T407" s="110" t="n"/>
      <c r="U407" s="110" t="n"/>
      <c r="V407" s="110" t="n"/>
      <c r="W407" s="110" t="n"/>
      <c r="X407" s="110" t="n"/>
      <c r="Y407" s="110" t="n"/>
      <c r="Z407" s="110" t="n"/>
    </row>
    <row r="408">
      <c r="A408" s="110" t="n"/>
      <c r="B408" s="110" t="n"/>
      <c r="C408" s="110" t="n"/>
      <c r="D408" s="110" t="n"/>
      <c r="E408" s="110" t="n"/>
      <c r="F408" s="110" t="n"/>
      <c r="G408" s="110" t="n"/>
      <c r="H408" s="110" t="n"/>
      <c r="I408" s="110" t="n"/>
      <c r="J408" s="110" t="n"/>
      <c r="K408" s="110" t="n"/>
      <c r="L408" s="110" t="n"/>
      <c r="M408" s="110" t="n"/>
      <c r="N408" s="110" t="n"/>
      <c r="O408" s="110" t="n"/>
      <c r="P408" s="110" t="n"/>
      <c r="Q408" s="110" t="n"/>
      <c r="R408" s="110" t="n"/>
      <c r="S408" s="110" t="n"/>
      <c r="T408" s="110" t="n"/>
      <c r="U408" s="110" t="n"/>
      <c r="V408" s="110" t="n"/>
      <c r="W408" s="110" t="n"/>
      <c r="X408" s="110" t="n"/>
      <c r="Y408" s="110" t="n"/>
      <c r="Z408" s="110" t="n"/>
    </row>
    <row r="409">
      <c r="A409" s="110" t="n"/>
      <c r="B409" s="110" t="n"/>
      <c r="C409" s="110" t="n"/>
      <c r="D409" s="110" t="n"/>
      <c r="E409" s="110" t="n"/>
      <c r="F409" s="110" t="n"/>
      <c r="G409" s="110" t="n"/>
      <c r="H409" s="110" t="n"/>
      <c r="I409" s="110" t="n"/>
      <c r="J409" s="110" t="n"/>
      <c r="K409" s="110" t="n"/>
      <c r="L409" s="110" t="n"/>
      <c r="M409" s="110" t="n"/>
      <c r="N409" s="110" t="n"/>
      <c r="O409" s="110" t="n"/>
      <c r="P409" s="110" t="n"/>
      <c r="Q409" s="110" t="n"/>
      <c r="R409" s="110" t="n"/>
      <c r="S409" s="110" t="n"/>
      <c r="T409" s="110" t="n"/>
      <c r="U409" s="110" t="n"/>
      <c r="V409" s="110" t="n"/>
      <c r="W409" s="110" t="n"/>
      <c r="X409" s="110" t="n"/>
      <c r="Y409" s="110" t="n"/>
      <c r="Z409" s="110" t="n"/>
    </row>
    <row r="410">
      <c r="A410" s="110" t="n"/>
      <c r="B410" s="110" t="n"/>
      <c r="C410" s="110" t="n"/>
      <c r="D410" s="110" t="n"/>
      <c r="E410" s="110" t="n"/>
      <c r="F410" s="110" t="n"/>
      <c r="G410" s="110" t="n"/>
      <c r="H410" s="110" t="n"/>
      <c r="I410" s="110" t="n"/>
      <c r="J410" s="110" t="n"/>
      <c r="K410" s="110" t="n"/>
      <c r="L410" s="110" t="n"/>
      <c r="M410" s="110" t="n"/>
      <c r="N410" s="110" t="n"/>
      <c r="O410" s="110" t="n"/>
      <c r="P410" s="110" t="n"/>
      <c r="Q410" s="110" t="n"/>
      <c r="R410" s="110" t="n"/>
      <c r="S410" s="110" t="n"/>
      <c r="T410" s="110" t="n"/>
      <c r="U410" s="110" t="n"/>
      <c r="V410" s="110" t="n"/>
      <c r="W410" s="110" t="n"/>
      <c r="X410" s="110" t="n"/>
      <c r="Y410" s="110" t="n"/>
      <c r="Z410" s="110" t="n"/>
    </row>
    <row r="411">
      <c r="A411" s="110" t="n"/>
      <c r="B411" s="110" t="n"/>
      <c r="C411" s="110" t="n"/>
      <c r="D411" s="110" t="n"/>
      <c r="E411" s="110" t="n"/>
      <c r="F411" s="110" t="n"/>
      <c r="G411" s="110" t="n"/>
      <c r="H411" s="110" t="n"/>
      <c r="I411" s="110" t="n"/>
      <c r="J411" s="110" t="n"/>
      <c r="K411" s="110" t="n"/>
      <c r="L411" s="110" t="n"/>
      <c r="M411" s="110" t="n"/>
      <c r="N411" s="110" t="n"/>
      <c r="O411" s="110" t="n"/>
      <c r="P411" s="110" t="n"/>
      <c r="Q411" s="110" t="n"/>
      <c r="R411" s="110" t="n"/>
      <c r="S411" s="110" t="n"/>
      <c r="T411" s="110" t="n"/>
      <c r="U411" s="110" t="n"/>
      <c r="V411" s="110" t="n"/>
      <c r="W411" s="110" t="n"/>
      <c r="X411" s="110" t="n"/>
      <c r="Y411" s="110" t="n"/>
      <c r="Z411" s="110" t="n"/>
    </row>
    <row r="412">
      <c r="A412" s="110" t="n"/>
      <c r="B412" s="110" t="n"/>
      <c r="C412" s="110" t="n"/>
      <c r="D412" s="110" t="n"/>
      <c r="E412" s="110" t="n"/>
      <c r="F412" s="110" t="n"/>
      <c r="G412" s="110" t="n"/>
      <c r="H412" s="110" t="n"/>
      <c r="I412" s="110" t="n"/>
      <c r="J412" s="110" t="n"/>
      <c r="K412" s="110" t="n"/>
      <c r="L412" s="110" t="n"/>
      <c r="M412" s="110" t="n"/>
      <c r="N412" s="110" t="n"/>
      <c r="O412" s="110" t="n"/>
      <c r="P412" s="110" t="n"/>
      <c r="Q412" s="110" t="n"/>
      <c r="R412" s="110" t="n"/>
      <c r="S412" s="110" t="n"/>
      <c r="T412" s="110" t="n"/>
      <c r="U412" s="110" t="n"/>
      <c r="V412" s="110" t="n"/>
      <c r="W412" s="110" t="n"/>
      <c r="X412" s="110" t="n"/>
      <c r="Y412" s="110" t="n"/>
      <c r="Z412" s="110" t="n"/>
    </row>
    <row r="413">
      <c r="A413" s="110" t="n"/>
      <c r="B413" s="110" t="n"/>
      <c r="C413" s="110" t="n"/>
      <c r="D413" s="110" t="n"/>
      <c r="E413" s="110" t="n"/>
      <c r="F413" s="110" t="n"/>
      <c r="G413" s="110" t="n"/>
      <c r="H413" s="110" t="n"/>
      <c r="I413" s="110" t="n"/>
      <c r="J413" s="110" t="n"/>
      <c r="K413" s="110" t="n"/>
      <c r="L413" s="110" t="n"/>
      <c r="M413" s="110" t="n"/>
      <c r="N413" s="110" t="n"/>
      <c r="O413" s="110" t="n"/>
      <c r="P413" s="110" t="n"/>
      <c r="Q413" s="110" t="n"/>
      <c r="R413" s="110" t="n"/>
      <c r="S413" s="110" t="n"/>
      <c r="T413" s="110" t="n"/>
      <c r="U413" s="110" t="n"/>
      <c r="V413" s="110" t="n"/>
      <c r="W413" s="110" t="n"/>
      <c r="X413" s="110" t="n"/>
      <c r="Y413" s="110" t="n"/>
      <c r="Z413" s="110" t="n"/>
    </row>
    <row r="414">
      <c r="A414" s="110" t="n"/>
      <c r="B414" s="110" t="n"/>
      <c r="C414" s="110" t="n"/>
      <c r="D414" s="110" t="n"/>
      <c r="E414" s="110" t="n"/>
      <c r="F414" s="110" t="n"/>
      <c r="G414" s="110" t="n"/>
      <c r="H414" s="110" t="n"/>
      <c r="I414" s="110" t="n"/>
      <c r="J414" s="110" t="n"/>
      <c r="K414" s="110" t="n"/>
      <c r="L414" s="110" t="n"/>
      <c r="M414" s="110" t="n"/>
      <c r="N414" s="110" t="n"/>
      <c r="O414" s="110" t="n"/>
      <c r="P414" s="110" t="n"/>
      <c r="Q414" s="110" t="n"/>
      <c r="R414" s="110" t="n"/>
      <c r="S414" s="110" t="n"/>
      <c r="T414" s="110" t="n"/>
      <c r="U414" s="110" t="n"/>
      <c r="V414" s="110" t="n"/>
      <c r="W414" s="110" t="n"/>
      <c r="X414" s="110" t="n"/>
      <c r="Y414" s="110" t="n"/>
      <c r="Z414" s="110" t="n"/>
    </row>
    <row r="415">
      <c r="A415" s="110" t="n"/>
      <c r="B415" s="110" t="n"/>
      <c r="C415" s="110" t="n"/>
      <c r="D415" s="110" t="n"/>
      <c r="E415" s="110" t="n"/>
      <c r="F415" s="110" t="n"/>
      <c r="G415" s="110" t="n"/>
      <c r="H415" s="110" t="n"/>
      <c r="I415" s="110" t="n"/>
      <c r="J415" s="110" t="n"/>
      <c r="K415" s="110" t="n"/>
      <c r="L415" s="110" t="n"/>
      <c r="M415" s="110" t="n"/>
      <c r="N415" s="110" t="n"/>
      <c r="O415" s="110" t="n"/>
      <c r="P415" s="110" t="n"/>
      <c r="Q415" s="110" t="n"/>
      <c r="R415" s="110" t="n"/>
      <c r="S415" s="110" t="n"/>
      <c r="T415" s="110" t="n"/>
      <c r="U415" s="110" t="n"/>
      <c r="V415" s="110" t="n"/>
      <c r="W415" s="110" t="n"/>
      <c r="X415" s="110" t="n"/>
      <c r="Y415" s="110" t="n"/>
      <c r="Z415" s="110" t="n"/>
    </row>
    <row r="416">
      <c r="A416" s="110" t="n"/>
      <c r="B416" s="110" t="n"/>
      <c r="C416" s="110" t="n"/>
      <c r="D416" s="110" t="n"/>
      <c r="E416" s="110" t="n"/>
      <c r="F416" s="110" t="n"/>
      <c r="G416" s="110" t="n"/>
      <c r="H416" s="110" t="n"/>
      <c r="I416" s="110" t="n"/>
      <c r="J416" s="110" t="n"/>
      <c r="K416" s="110" t="n"/>
      <c r="L416" s="110" t="n"/>
      <c r="M416" s="110" t="n"/>
      <c r="N416" s="110" t="n"/>
      <c r="O416" s="110" t="n"/>
      <c r="P416" s="110" t="n"/>
      <c r="Q416" s="110" t="n"/>
      <c r="R416" s="110" t="n"/>
      <c r="S416" s="110" t="n"/>
      <c r="T416" s="110" t="n"/>
      <c r="U416" s="110" t="n"/>
      <c r="V416" s="110" t="n"/>
      <c r="W416" s="110" t="n"/>
      <c r="X416" s="110" t="n"/>
      <c r="Y416" s="110" t="n"/>
      <c r="Z416" s="110" t="n"/>
    </row>
    <row r="417">
      <c r="A417" s="110" t="n"/>
      <c r="B417" s="110" t="n"/>
      <c r="C417" s="110" t="n"/>
      <c r="D417" s="110" t="n"/>
      <c r="E417" s="110" t="n"/>
      <c r="F417" s="110" t="n"/>
      <c r="G417" s="110" t="n"/>
      <c r="H417" s="110" t="n"/>
      <c r="I417" s="110" t="n"/>
      <c r="J417" s="110" t="n"/>
      <c r="K417" s="110" t="n"/>
      <c r="L417" s="110" t="n"/>
      <c r="M417" s="110" t="n"/>
      <c r="N417" s="110" t="n"/>
      <c r="O417" s="110" t="n"/>
      <c r="P417" s="110" t="n"/>
      <c r="Q417" s="110" t="n"/>
      <c r="R417" s="110" t="n"/>
      <c r="S417" s="110" t="n"/>
      <c r="T417" s="110" t="n"/>
      <c r="U417" s="110" t="n"/>
      <c r="V417" s="110" t="n"/>
      <c r="W417" s="110" t="n"/>
      <c r="X417" s="110" t="n"/>
      <c r="Y417" s="110" t="n"/>
      <c r="Z417" s="110" t="n"/>
    </row>
    <row r="418">
      <c r="A418" s="110" t="n"/>
      <c r="B418" s="110" t="n"/>
      <c r="C418" s="110" t="n"/>
      <c r="D418" s="110" t="n"/>
      <c r="E418" s="110" t="n"/>
      <c r="F418" s="110" t="n"/>
      <c r="G418" s="110" t="n"/>
      <c r="H418" s="110" t="n"/>
      <c r="I418" s="110" t="n"/>
      <c r="J418" s="110" t="n"/>
      <c r="K418" s="110" t="n"/>
      <c r="L418" s="110" t="n"/>
      <c r="M418" s="110" t="n"/>
      <c r="N418" s="110" t="n"/>
      <c r="O418" s="110" t="n"/>
      <c r="P418" s="110" t="n"/>
      <c r="Q418" s="110" t="n"/>
      <c r="R418" s="110" t="n"/>
      <c r="S418" s="110" t="n"/>
      <c r="T418" s="110" t="n"/>
      <c r="U418" s="110" t="n"/>
      <c r="V418" s="110" t="n"/>
      <c r="W418" s="110" t="n"/>
      <c r="X418" s="110" t="n"/>
      <c r="Y418" s="110" t="n"/>
      <c r="Z418" s="110" t="n"/>
    </row>
    <row r="419">
      <c r="A419" s="110" t="n"/>
      <c r="B419" s="110" t="n"/>
      <c r="C419" s="110" t="n"/>
      <c r="D419" s="110" t="n"/>
      <c r="E419" s="110" t="n"/>
      <c r="F419" s="110" t="n"/>
      <c r="G419" s="110" t="n"/>
      <c r="H419" s="110" t="n"/>
      <c r="I419" s="110" t="n"/>
      <c r="J419" s="110" t="n"/>
      <c r="K419" s="110" t="n"/>
      <c r="L419" s="110" t="n"/>
      <c r="M419" s="110" t="n"/>
      <c r="N419" s="110" t="n"/>
      <c r="O419" s="110" t="n"/>
      <c r="P419" s="110" t="n"/>
      <c r="Q419" s="110" t="n"/>
      <c r="R419" s="110" t="n"/>
      <c r="S419" s="110" t="n"/>
      <c r="T419" s="110" t="n"/>
      <c r="U419" s="110" t="n"/>
      <c r="V419" s="110" t="n"/>
      <c r="W419" s="110" t="n"/>
      <c r="X419" s="110" t="n"/>
      <c r="Y419" s="110" t="n"/>
      <c r="Z419" s="110" t="n"/>
    </row>
    <row r="420">
      <c r="A420" s="110" t="n"/>
      <c r="B420" s="110" t="n"/>
      <c r="C420" s="110" t="n"/>
      <c r="D420" s="110" t="n"/>
      <c r="E420" s="110" t="n"/>
      <c r="F420" s="110" t="n"/>
      <c r="G420" s="110" t="n"/>
      <c r="H420" s="110" t="n"/>
      <c r="I420" s="110" t="n"/>
      <c r="J420" s="110" t="n"/>
      <c r="K420" s="110" t="n"/>
      <c r="L420" s="110" t="n"/>
      <c r="M420" s="110" t="n"/>
      <c r="N420" s="110" t="n"/>
      <c r="O420" s="110" t="n"/>
      <c r="P420" s="110" t="n"/>
      <c r="Q420" s="110" t="n"/>
      <c r="R420" s="110" t="n"/>
      <c r="S420" s="110" t="n"/>
      <c r="T420" s="110" t="n"/>
      <c r="U420" s="110" t="n"/>
      <c r="V420" s="110" t="n"/>
      <c r="W420" s="110" t="n"/>
      <c r="X420" s="110" t="n"/>
      <c r="Y420" s="110" t="n"/>
      <c r="Z420" s="110" t="n"/>
    </row>
    <row r="421">
      <c r="A421" s="110" t="n"/>
      <c r="B421" s="110" t="n"/>
      <c r="C421" s="110" t="n"/>
      <c r="D421" s="110" t="n"/>
      <c r="E421" s="110" t="n"/>
      <c r="F421" s="110" t="n"/>
      <c r="G421" s="110" t="n"/>
      <c r="H421" s="110" t="n"/>
      <c r="I421" s="110" t="n"/>
      <c r="J421" s="110" t="n"/>
      <c r="K421" s="110" t="n"/>
      <c r="L421" s="110" t="n"/>
      <c r="M421" s="110" t="n"/>
      <c r="N421" s="110" t="n"/>
      <c r="O421" s="110" t="n"/>
      <c r="P421" s="110" t="n"/>
      <c r="Q421" s="110" t="n"/>
      <c r="R421" s="110" t="n"/>
      <c r="S421" s="110" t="n"/>
      <c r="T421" s="110" t="n"/>
      <c r="U421" s="110" t="n"/>
      <c r="V421" s="110" t="n"/>
      <c r="W421" s="110" t="n"/>
      <c r="X421" s="110" t="n"/>
      <c r="Y421" s="110" t="n"/>
      <c r="Z421" s="110" t="n"/>
    </row>
    <row r="422">
      <c r="A422" s="110" t="n"/>
      <c r="B422" s="110" t="n"/>
      <c r="C422" s="110" t="n"/>
      <c r="D422" s="110" t="n"/>
      <c r="E422" s="110" t="n"/>
      <c r="F422" s="110" t="n"/>
      <c r="G422" s="110" t="n"/>
      <c r="H422" s="110" t="n"/>
      <c r="I422" s="110" t="n"/>
      <c r="J422" s="110" t="n"/>
      <c r="K422" s="110" t="n"/>
      <c r="L422" s="110" t="n"/>
      <c r="M422" s="110" t="n"/>
      <c r="N422" s="110" t="n"/>
      <c r="O422" s="110" t="n"/>
      <c r="P422" s="110" t="n"/>
      <c r="Q422" s="110" t="n"/>
      <c r="R422" s="110" t="n"/>
      <c r="S422" s="110" t="n"/>
      <c r="T422" s="110" t="n"/>
      <c r="U422" s="110" t="n"/>
      <c r="V422" s="110" t="n"/>
      <c r="W422" s="110" t="n"/>
      <c r="X422" s="110" t="n"/>
      <c r="Y422" s="110" t="n"/>
      <c r="Z422" s="110" t="n"/>
    </row>
    <row r="423">
      <c r="A423" s="110" t="n"/>
      <c r="B423" s="110" t="n"/>
      <c r="C423" s="110" t="n"/>
      <c r="D423" s="110" t="n"/>
      <c r="E423" s="110" t="n"/>
      <c r="F423" s="110" t="n"/>
      <c r="G423" s="110" t="n"/>
      <c r="H423" s="110" t="n"/>
      <c r="I423" s="110" t="n"/>
      <c r="J423" s="110" t="n"/>
      <c r="K423" s="110" t="n"/>
      <c r="L423" s="110" t="n"/>
      <c r="M423" s="110" t="n"/>
      <c r="N423" s="110" t="n"/>
      <c r="O423" s="110" t="n"/>
      <c r="P423" s="110" t="n"/>
      <c r="Q423" s="110" t="n"/>
      <c r="R423" s="110" t="n"/>
      <c r="S423" s="110" t="n"/>
      <c r="T423" s="110" t="n"/>
      <c r="U423" s="110" t="n"/>
      <c r="V423" s="110" t="n"/>
      <c r="W423" s="110" t="n"/>
      <c r="X423" s="110" t="n"/>
      <c r="Y423" s="110" t="n"/>
      <c r="Z423" s="110" t="n"/>
    </row>
    <row r="424">
      <c r="A424" s="110" t="n"/>
      <c r="B424" s="110" t="n"/>
      <c r="C424" s="110" t="n"/>
      <c r="D424" s="110" t="n"/>
      <c r="E424" s="110" t="n"/>
      <c r="F424" s="110" t="n"/>
      <c r="G424" s="110" t="n"/>
      <c r="H424" s="110" t="n"/>
      <c r="I424" s="110" t="n"/>
      <c r="J424" s="110" t="n"/>
      <c r="K424" s="110" t="n"/>
      <c r="L424" s="110" t="n"/>
      <c r="M424" s="110" t="n"/>
      <c r="N424" s="110" t="n"/>
      <c r="O424" s="110" t="n"/>
      <c r="P424" s="110" t="n"/>
      <c r="Q424" s="110" t="n"/>
      <c r="R424" s="110" t="n"/>
      <c r="S424" s="110" t="n"/>
      <c r="T424" s="110" t="n"/>
      <c r="U424" s="110" t="n"/>
      <c r="V424" s="110" t="n"/>
      <c r="W424" s="110" t="n"/>
      <c r="X424" s="110" t="n"/>
      <c r="Y424" s="110" t="n"/>
      <c r="Z424" s="110" t="n"/>
    </row>
    <row r="425">
      <c r="A425" s="110" t="n"/>
      <c r="B425" s="110" t="n"/>
      <c r="C425" s="110" t="n"/>
      <c r="D425" s="110" t="n"/>
      <c r="E425" s="110" t="n"/>
      <c r="F425" s="110" t="n"/>
      <c r="G425" s="110" t="n"/>
      <c r="H425" s="110" t="n"/>
      <c r="I425" s="110" t="n"/>
      <c r="J425" s="110" t="n"/>
      <c r="K425" s="110" t="n"/>
      <c r="L425" s="110" t="n"/>
      <c r="M425" s="110" t="n"/>
      <c r="N425" s="110" t="n"/>
      <c r="O425" s="110" t="n"/>
      <c r="P425" s="110" t="n"/>
      <c r="Q425" s="110" t="n"/>
      <c r="R425" s="110" t="n"/>
      <c r="S425" s="110" t="n"/>
      <c r="T425" s="110" t="n"/>
      <c r="U425" s="110" t="n"/>
      <c r="V425" s="110" t="n"/>
      <c r="W425" s="110" t="n"/>
      <c r="X425" s="110" t="n"/>
      <c r="Y425" s="110" t="n"/>
      <c r="Z425" s="110" t="n"/>
    </row>
    <row r="426">
      <c r="A426" s="110" t="n"/>
      <c r="B426" s="110" t="n"/>
      <c r="C426" s="110" t="n"/>
      <c r="D426" s="110" t="n"/>
      <c r="E426" s="110" t="n"/>
      <c r="F426" s="110" t="n"/>
      <c r="G426" s="110" t="n"/>
      <c r="H426" s="110" t="n"/>
      <c r="I426" s="110" t="n"/>
      <c r="J426" s="110" t="n"/>
      <c r="K426" s="110" t="n"/>
      <c r="L426" s="110" t="n"/>
      <c r="M426" s="110" t="n"/>
      <c r="N426" s="110" t="n"/>
      <c r="O426" s="110" t="n"/>
      <c r="P426" s="110" t="n"/>
      <c r="Q426" s="110" t="n"/>
      <c r="R426" s="110" t="n"/>
      <c r="S426" s="110" t="n"/>
      <c r="T426" s="110" t="n"/>
      <c r="U426" s="110" t="n"/>
      <c r="V426" s="110" t="n"/>
      <c r="W426" s="110" t="n"/>
      <c r="X426" s="110" t="n"/>
      <c r="Y426" s="110" t="n"/>
      <c r="Z426" s="110" t="n"/>
    </row>
    <row r="427">
      <c r="A427" s="110" t="n"/>
      <c r="B427" s="110" t="n"/>
      <c r="C427" s="110" t="n"/>
      <c r="D427" s="110" t="n"/>
      <c r="E427" s="110" t="n"/>
      <c r="F427" s="110" t="n"/>
      <c r="G427" s="110" t="n"/>
      <c r="H427" s="110" t="n"/>
      <c r="I427" s="110" t="n"/>
      <c r="J427" s="110" t="n"/>
      <c r="K427" s="110" t="n"/>
      <c r="L427" s="110" t="n"/>
      <c r="M427" s="110" t="n"/>
      <c r="N427" s="110" t="n"/>
      <c r="O427" s="110" t="n"/>
      <c r="P427" s="110" t="n"/>
      <c r="Q427" s="110" t="n"/>
      <c r="R427" s="110" t="n"/>
      <c r="S427" s="110" t="n"/>
      <c r="T427" s="110" t="n"/>
      <c r="U427" s="110" t="n"/>
      <c r="V427" s="110" t="n"/>
      <c r="W427" s="110" t="n"/>
      <c r="X427" s="110" t="n"/>
      <c r="Y427" s="110" t="n"/>
      <c r="Z427" s="110" t="n"/>
    </row>
    <row r="428">
      <c r="A428" s="110" t="n"/>
      <c r="B428" s="110" t="n"/>
      <c r="C428" s="110" t="n"/>
      <c r="D428" s="110" t="n"/>
      <c r="E428" s="110" t="n"/>
      <c r="F428" s="110" t="n"/>
      <c r="G428" s="110" t="n"/>
      <c r="H428" s="110" t="n"/>
      <c r="I428" s="110" t="n"/>
      <c r="J428" s="110" t="n"/>
      <c r="K428" s="110" t="n"/>
      <c r="L428" s="110" t="n"/>
      <c r="M428" s="110" t="n"/>
      <c r="N428" s="110" t="n"/>
      <c r="O428" s="110" t="n"/>
      <c r="P428" s="110" t="n"/>
      <c r="Q428" s="110" t="n"/>
      <c r="R428" s="110" t="n"/>
      <c r="S428" s="110" t="n"/>
      <c r="T428" s="110" t="n"/>
      <c r="U428" s="110" t="n"/>
      <c r="V428" s="110" t="n"/>
      <c r="W428" s="110" t="n"/>
      <c r="X428" s="110" t="n"/>
      <c r="Y428" s="110" t="n"/>
      <c r="Z428" s="110" t="n"/>
    </row>
    <row r="429">
      <c r="A429" s="110" t="n"/>
      <c r="B429" s="110" t="n"/>
      <c r="C429" s="110" t="n"/>
      <c r="D429" s="110" t="n"/>
      <c r="E429" s="110" t="n"/>
      <c r="F429" s="110" t="n"/>
      <c r="G429" s="110" t="n"/>
      <c r="H429" s="110" t="n"/>
      <c r="I429" s="110" t="n"/>
      <c r="J429" s="110" t="n"/>
      <c r="K429" s="110" t="n"/>
      <c r="L429" s="110" t="n"/>
      <c r="M429" s="110" t="n"/>
      <c r="N429" s="110" t="n"/>
      <c r="O429" s="110" t="n"/>
      <c r="P429" s="110" t="n"/>
      <c r="Q429" s="110" t="n"/>
      <c r="R429" s="110" t="n"/>
      <c r="S429" s="110" t="n"/>
      <c r="T429" s="110" t="n"/>
      <c r="U429" s="110" t="n"/>
      <c r="V429" s="110" t="n"/>
      <c r="W429" s="110" t="n"/>
      <c r="X429" s="110" t="n"/>
      <c r="Y429" s="110" t="n"/>
      <c r="Z429" s="110" t="n"/>
    </row>
    <row r="430">
      <c r="A430" s="110" t="n"/>
      <c r="B430" s="110" t="n"/>
      <c r="C430" s="110" t="n"/>
      <c r="D430" s="110" t="n"/>
      <c r="E430" s="110" t="n"/>
      <c r="F430" s="110" t="n"/>
      <c r="G430" s="110" t="n"/>
      <c r="H430" s="110" t="n"/>
      <c r="I430" s="110" t="n"/>
      <c r="J430" s="110" t="n"/>
      <c r="K430" s="110" t="n"/>
      <c r="L430" s="110" t="n"/>
      <c r="M430" s="110" t="n"/>
      <c r="N430" s="110" t="n"/>
      <c r="O430" s="110" t="n"/>
      <c r="P430" s="110" t="n"/>
      <c r="Q430" s="110" t="n"/>
      <c r="R430" s="110" t="n"/>
      <c r="S430" s="110" t="n"/>
      <c r="T430" s="110" t="n"/>
      <c r="U430" s="110" t="n"/>
      <c r="V430" s="110" t="n"/>
      <c r="W430" s="110" t="n"/>
      <c r="X430" s="110" t="n"/>
      <c r="Y430" s="110" t="n"/>
      <c r="Z430" s="110" t="n"/>
    </row>
    <row r="431">
      <c r="A431" s="110" t="n"/>
      <c r="B431" s="110" t="n"/>
      <c r="C431" s="110" t="n"/>
      <c r="D431" s="110" t="n"/>
      <c r="E431" s="110" t="n"/>
      <c r="F431" s="110" t="n"/>
      <c r="G431" s="110" t="n"/>
      <c r="H431" s="110" t="n"/>
      <c r="I431" s="110" t="n"/>
      <c r="J431" s="110" t="n"/>
      <c r="K431" s="110" t="n"/>
      <c r="L431" s="110" t="n"/>
      <c r="M431" s="110" t="n"/>
      <c r="N431" s="110" t="n"/>
      <c r="O431" s="110" t="n"/>
      <c r="P431" s="110" t="n"/>
      <c r="Q431" s="110" t="n"/>
      <c r="R431" s="110" t="n"/>
      <c r="S431" s="110" t="n"/>
      <c r="T431" s="110" t="n"/>
      <c r="U431" s="110" t="n"/>
      <c r="V431" s="110" t="n"/>
      <c r="W431" s="110" t="n"/>
      <c r="X431" s="110" t="n"/>
      <c r="Y431" s="110" t="n"/>
      <c r="Z431" s="110" t="n"/>
    </row>
    <row r="432">
      <c r="A432" s="110" t="n"/>
      <c r="B432" s="110" t="n"/>
      <c r="C432" s="110" t="n"/>
      <c r="D432" s="110" t="n"/>
      <c r="E432" s="110" t="n"/>
      <c r="F432" s="110" t="n"/>
      <c r="G432" s="110" t="n"/>
      <c r="H432" s="110" t="n"/>
      <c r="I432" s="110" t="n"/>
      <c r="J432" s="110" t="n"/>
      <c r="K432" s="110" t="n"/>
      <c r="L432" s="110" t="n"/>
      <c r="M432" s="110" t="n"/>
      <c r="N432" s="110" t="n"/>
      <c r="O432" s="110" t="n"/>
      <c r="P432" s="110" t="n"/>
      <c r="Q432" s="110" t="n"/>
      <c r="R432" s="110" t="n"/>
      <c r="S432" s="110" t="n"/>
      <c r="T432" s="110" t="n"/>
      <c r="U432" s="110" t="n"/>
      <c r="V432" s="110" t="n"/>
      <c r="W432" s="110" t="n"/>
      <c r="X432" s="110" t="n"/>
      <c r="Y432" s="110" t="n"/>
      <c r="Z432" s="110" t="n"/>
    </row>
    <row r="433">
      <c r="A433" s="110" t="n"/>
      <c r="B433" s="110" t="n"/>
      <c r="C433" s="110" t="n"/>
      <c r="D433" s="110" t="n"/>
      <c r="E433" s="110" t="n"/>
      <c r="F433" s="110" t="n"/>
      <c r="G433" s="110" t="n"/>
      <c r="H433" s="110" t="n"/>
      <c r="I433" s="110" t="n"/>
      <c r="J433" s="110" t="n"/>
      <c r="K433" s="110" t="n"/>
      <c r="L433" s="110" t="n"/>
      <c r="M433" s="110" t="n"/>
      <c r="N433" s="110" t="n"/>
      <c r="O433" s="110" t="n"/>
      <c r="P433" s="110" t="n"/>
      <c r="Q433" s="110" t="n"/>
      <c r="R433" s="110" t="n"/>
      <c r="S433" s="110" t="n"/>
      <c r="T433" s="110" t="n"/>
      <c r="U433" s="110" t="n"/>
      <c r="V433" s="110" t="n"/>
      <c r="W433" s="110" t="n"/>
      <c r="X433" s="110" t="n"/>
      <c r="Y433" s="110" t="n"/>
      <c r="Z433" s="110" t="n"/>
    </row>
    <row r="434">
      <c r="A434" s="110" t="n"/>
      <c r="B434" s="110" t="n"/>
      <c r="C434" s="110" t="n"/>
      <c r="D434" s="110" t="n"/>
      <c r="E434" s="110" t="n"/>
      <c r="F434" s="110" t="n"/>
      <c r="G434" s="110" t="n"/>
      <c r="H434" s="110" t="n"/>
      <c r="I434" s="110" t="n"/>
      <c r="J434" s="110" t="n"/>
      <c r="K434" s="110" t="n"/>
      <c r="L434" s="110" t="n"/>
      <c r="M434" s="110" t="n"/>
      <c r="N434" s="110" t="n"/>
      <c r="O434" s="110" t="n"/>
      <c r="P434" s="110" t="n"/>
      <c r="Q434" s="110" t="n"/>
      <c r="R434" s="110" t="n"/>
      <c r="S434" s="110" t="n"/>
      <c r="T434" s="110" t="n"/>
      <c r="U434" s="110" t="n"/>
      <c r="V434" s="110" t="n"/>
      <c r="W434" s="110" t="n"/>
      <c r="X434" s="110" t="n"/>
      <c r="Y434" s="110" t="n"/>
      <c r="Z434" s="110" t="n"/>
    </row>
    <row r="435">
      <c r="A435" s="110" t="n"/>
      <c r="B435" s="110" t="n"/>
      <c r="C435" s="110" t="n"/>
      <c r="D435" s="110" t="n"/>
      <c r="E435" s="110" t="n"/>
      <c r="F435" s="110" t="n"/>
      <c r="G435" s="110" t="n"/>
      <c r="H435" s="110" t="n"/>
      <c r="I435" s="110" t="n"/>
      <c r="J435" s="110" t="n"/>
      <c r="K435" s="110" t="n"/>
      <c r="L435" s="110" t="n"/>
      <c r="M435" s="110" t="n"/>
      <c r="N435" s="110" t="n"/>
      <c r="O435" s="110" t="n"/>
      <c r="P435" s="110" t="n"/>
      <c r="Q435" s="110" t="n"/>
      <c r="R435" s="110" t="n"/>
      <c r="S435" s="110" t="n"/>
      <c r="T435" s="110" t="n"/>
      <c r="U435" s="110" t="n"/>
      <c r="V435" s="110" t="n"/>
      <c r="W435" s="110" t="n"/>
      <c r="X435" s="110" t="n"/>
      <c r="Y435" s="110" t="n"/>
      <c r="Z435" s="110" t="n"/>
    </row>
    <row r="436">
      <c r="A436" s="110" t="n"/>
      <c r="B436" s="110" t="n"/>
      <c r="C436" s="110" t="n"/>
      <c r="D436" s="110" t="n"/>
      <c r="E436" s="110" t="n"/>
      <c r="F436" s="110" t="n"/>
      <c r="G436" s="110" t="n"/>
      <c r="H436" s="110" t="n"/>
      <c r="I436" s="110" t="n"/>
      <c r="J436" s="110" t="n"/>
      <c r="K436" s="110" t="n"/>
      <c r="L436" s="110" t="n"/>
      <c r="M436" s="110" t="n"/>
      <c r="N436" s="110" t="n"/>
      <c r="O436" s="110" t="n"/>
      <c r="P436" s="110" t="n"/>
      <c r="Q436" s="110" t="n"/>
      <c r="R436" s="110" t="n"/>
      <c r="S436" s="110" t="n"/>
      <c r="T436" s="110" t="n"/>
      <c r="U436" s="110" t="n"/>
      <c r="V436" s="110" t="n"/>
      <c r="W436" s="110" t="n"/>
      <c r="X436" s="110" t="n"/>
      <c r="Y436" s="110" t="n"/>
      <c r="Z436" s="110" t="n"/>
    </row>
    <row r="437">
      <c r="A437" s="110" t="n"/>
      <c r="B437" s="110" t="n"/>
      <c r="C437" s="110" t="n"/>
      <c r="D437" s="110" t="n"/>
      <c r="E437" s="110" t="n"/>
      <c r="F437" s="110" t="n"/>
      <c r="G437" s="110" t="n"/>
      <c r="H437" s="110" t="n"/>
      <c r="I437" s="110" t="n"/>
      <c r="J437" s="110" t="n"/>
      <c r="K437" s="110" t="n"/>
      <c r="L437" s="110" t="n"/>
      <c r="M437" s="110" t="n"/>
      <c r="N437" s="110" t="n"/>
      <c r="O437" s="110" t="n"/>
      <c r="P437" s="110" t="n"/>
      <c r="Q437" s="110" t="n"/>
      <c r="R437" s="110" t="n"/>
      <c r="S437" s="110" t="n"/>
      <c r="T437" s="110" t="n"/>
      <c r="U437" s="110" t="n"/>
      <c r="V437" s="110" t="n"/>
      <c r="W437" s="110" t="n"/>
      <c r="X437" s="110" t="n"/>
      <c r="Y437" s="110" t="n"/>
      <c r="Z437" s="110" t="n"/>
    </row>
    <row r="438">
      <c r="A438" s="110" t="n"/>
      <c r="B438" s="110" t="n"/>
      <c r="C438" s="110" t="n"/>
      <c r="D438" s="110" t="n"/>
      <c r="E438" s="110" t="n"/>
      <c r="F438" s="110" t="n"/>
      <c r="G438" s="110" t="n"/>
      <c r="H438" s="110" t="n"/>
      <c r="I438" s="110" t="n"/>
      <c r="J438" s="110" t="n"/>
      <c r="K438" s="110" t="n"/>
      <c r="L438" s="110" t="n"/>
      <c r="M438" s="110" t="n"/>
      <c r="N438" s="110" t="n"/>
      <c r="O438" s="110" t="n"/>
      <c r="P438" s="110" t="n"/>
      <c r="Q438" s="110" t="n"/>
      <c r="R438" s="110" t="n"/>
      <c r="S438" s="110" t="n"/>
      <c r="T438" s="110" t="n"/>
      <c r="U438" s="110" t="n"/>
      <c r="V438" s="110" t="n"/>
      <c r="W438" s="110" t="n"/>
      <c r="X438" s="110" t="n"/>
      <c r="Y438" s="110" t="n"/>
      <c r="Z438" s="110" t="n"/>
    </row>
    <row r="439">
      <c r="A439" s="110" t="n"/>
      <c r="B439" s="110" t="n"/>
      <c r="C439" s="110" t="n"/>
      <c r="D439" s="110" t="n"/>
      <c r="E439" s="110" t="n"/>
      <c r="F439" s="110" t="n"/>
      <c r="G439" s="110" t="n"/>
      <c r="H439" s="110" t="n"/>
      <c r="I439" s="110" t="n"/>
      <c r="J439" s="110" t="n"/>
      <c r="K439" s="110" t="n"/>
      <c r="L439" s="110" t="n"/>
      <c r="M439" s="110" t="n"/>
      <c r="N439" s="110" t="n"/>
      <c r="O439" s="110" t="n"/>
      <c r="P439" s="110" t="n"/>
      <c r="Q439" s="110" t="n"/>
      <c r="R439" s="110" t="n"/>
      <c r="S439" s="110" t="n"/>
      <c r="T439" s="110" t="n"/>
      <c r="U439" s="110" t="n"/>
      <c r="V439" s="110" t="n"/>
      <c r="W439" s="110" t="n"/>
      <c r="X439" s="110" t="n"/>
      <c r="Y439" s="110" t="n"/>
      <c r="Z439" s="110" t="n"/>
    </row>
    <row r="440">
      <c r="A440" s="110" t="n"/>
      <c r="B440" s="110" t="n"/>
      <c r="C440" s="110" t="n"/>
      <c r="D440" s="110" t="n"/>
      <c r="E440" s="110" t="n"/>
      <c r="F440" s="110" t="n"/>
      <c r="G440" s="110" t="n"/>
      <c r="H440" s="110" t="n"/>
      <c r="I440" s="110" t="n"/>
      <c r="J440" s="110" t="n"/>
      <c r="K440" s="110" t="n"/>
      <c r="L440" s="110" t="n"/>
      <c r="M440" s="110" t="n"/>
      <c r="N440" s="110" t="n"/>
      <c r="O440" s="110" t="n"/>
      <c r="P440" s="110" t="n"/>
      <c r="Q440" s="110" t="n"/>
      <c r="R440" s="110" t="n"/>
      <c r="S440" s="110" t="n"/>
      <c r="T440" s="110" t="n"/>
      <c r="U440" s="110" t="n"/>
      <c r="V440" s="110" t="n"/>
      <c r="W440" s="110" t="n"/>
      <c r="X440" s="110" t="n"/>
      <c r="Y440" s="110" t="n"/>
      <c r="Z440" s="110" t="n"/>
    </row>
    <row r="441">
      <c r="A441" s="110" t="n"/>
      <c r="B441" s="110" t="n"/>
      <c r="C441" s="110" t="n"/>
      <c r="D441" s="110" t="n"/>
      <c r="E441" s="110" t="n"/>
      <c r="F441" s="110" t="n"/>
      <c r="G441" s="110" t="n"/>
      <c r="H441" s="110" t="n"/>
      <c r="I441" s="110" t="n"/>
      <c r="J441" s="110" t="n"/>
      <c r="K441" s="110" t="n"/>
      <c r="L441" s="110" t="n"/>
      <c r="M441" s="110" t="n"/>
      <c r="N441" s="110" t="n"/>
      <c r="O441" s="110" t="n"/>
      <c r="P441" s="110" t="n"/>
      <c r="Q441" s="110" t="n"/>
      <c r="R441" s="110" t="n"/>
      <c r="S441" s="110" t="n"/>
      <c r="T441" s="110" t="n"/>
      <c r="U441" s="110" t="n"/>
      <c r="V441" s="110" t="n"/>
      <c r="W441" s="110" t="n"/>
      <c r="X441" s="110" t="n"/>
      <c r="Y441" s="110" t="n"/>
      <c r="Z441" s="110" t="n"/>
    </row>
    <row r="442">
      <c r="A442" s="110" t="n"/>
      <c r="B442" s="110" t="n"/>
      <c r="C442" s="110" t="n"/>
      <c r="D442" s="110" t="n"/>
      <c r="E442" s="110" t="n"/>
      <c r="F442" s="110" t="n"/>
      <c r="G442" s="110" t="n"/>
      <c r="H442" s="110" t="n"/>
      <c r="I442" s="110" t="n"/>
      <c r="J442" s="110" t="n"/>
      <c r="K442" s="110" t="n"/>
      <c r="L442" s="110" t="n"/>
      <c r="M442" s="110" t="n"/>
      <c r="N442" s="110" t="n"/>
      <c r="O442" s="110" t="n"/>
      <c r="P442" s="110" t="n"/>
      <c r="Q442" s="110" t="n"/>
      <c r="R442" s="110" t="n"/>
      <c r="S442" s="110" t="n"/>
      <c r="T442" s="110" t="n"/>
      <c r="U442" s="110" t="n"/>
      <c r="V442" s="110" t="n"/>
      <c r="W442" s="110" t="n"/>
      <c r="X442" s="110" t="n"/>
      <c r="Y442" s="110" t="n"/>
      <c r="Z442" s="110" t="n"/>
    </row>
    <row r="443">
      <c r="A443" s="110" t="n"/>
      <c r="B443" s="110" t="n"/>
      <c r="C443" s="110" t="n"/>
      <c r="D443" s="110" t="n"/>
      <c r="E443" s="110" t="n"/>
      <c r="F443" s="110" t="n"/>
      <c r="G443" s="110" t="n"/>
      <c r="H443" s="110" t="n"/>
      <c r="I443" s="110" t="n"/>
      <c r="J443" s="110" t="n"/>
      <c r="K443" s="110" t="n"/>
      <c r="L443" s="110" t="n"/>
      <c r="M443" s="110" t="n"/>
      <c r="N443" s="110" t="n"/>
      <c r="O443" s="110" t="n"/>
      <c r="P443" s="110" t="n"/>
      <c r="Q443" s="110" t="n"/>
      <c r="R443" s="110" t="n"/>
      <c r="S443" s="110" t="n"/>
      <c r="T443" s="110" t="n"/>
      <c r="U443" s="110" t="n"/>
      <c r="V443" s="110" t="n"/>
      <c r="W443" s="110" t="n"/>
      <c r="X443" s="110" t="n"/>
      <c r="Y443" s="110" t="n"/>
      <c r="Z443" s="110" t="n"/>
    </row>
    <row r="444">
      <c r="A444" s="110" t="n"/>
      <c r="B444" s="110" t="n"/>
      <c r="C444" s="110" t="n"/>
      <c r="D444" s="110" t="n"/>
      <c r="E444" s="110" t="n"/>
      <c r="F444" s="110" t="n"/>
      <c r="G444" s="110" t="n"/>
      <c r="H444" s="110" t="n"/>
      <c r="I444" s="110" t="n"/>
      <c r="J444" s="110" t="n"/>
      <c r="K444" s="110" t="n"/>
      <c r="L444" s="110" t="n"/>
      <c r="M444" s="110" t="n"/>
      <c r="N444" s="110" t="n"/>
      <c r="O444" s="110" t="n"/>
      <c r="P444" s="110" t="n"/>
      <c r="Q444" s="110" t="n"/>
      <c r="R444" s="110" t="n"/>
      <c r="S444" s="110" t="n"/>
      <c r="T444" s="110" t="n"/>
      <c r="U444" s="110" t="n"/>
      <c r="V444" s="110" t="n"/>
      <c r="W444" s="110" t="n"/>
      <c r="X444" s="110" t="n"/>
      <c r="Y444" s="110" t="n"/>
      <c r="Z444" s="110" t="n"/>
    </row>
    <row r="445">
      <c r="A445" s="110" t="n"/>
      <c r="B445" s="110" t="n"/>
      <c r="C445" s="110" t="n"/>
      <c r="D445" s="110" t="n"/>
      <c r="E445" s="110" t="n"/>
      <c r="F445" s="110" t="n"/>
      <c r="G445" s="110" t="n"/>
      <c r="H445" s="110" t="n"/>
      <c r="I445" s="110" t="n"/>
      <c r="J445" s="110" t="n"/>
      <c r="K445" s="110" t="n"/>
      <c r="L445" s="110" t="n"/>
      <c r="M445" s="110" t="n"/>
      <c r="N445" s="110" t="n"/>
      <c r="O445" s="110" t="n"/>
      <c r="P445" s="110" t="n"/>
      <c r="Q445" s="110" t="n"/>
      <c r="R445" s="110" t="n"/>
      <c r="S445" s="110" t="n"/>
      <c r="T445" s="110" t="n"/>
      <c r="U445" s="110" t="n"/>
      <c r="V445" s="110" t="n"/>
      <c r="W445" s="110" t="n"/>
      <c r="X445" s="110" t="n"/>
      <c r="Y445" s="110" t="n"/>
      <c r="Z445" s="110" t="n"/>
    </row>
    <row r="446">
      <c r="A446" s="110" t="n"/>
      <c r="B446" s="110" t="n"/>
      <c r="C446" s="110" t="n"/>
      <c r="D446" s="110" t="n"/>
      <c r="E446" s="110" t="n"/>
      <c r="F446" s="110" t="n"/>
      <c r="G446" s="110" t="n"/>
      <c r="H446" s="110" t="n"/>
      <c r="I446" s="110" t="n"/>
      <c r="J446" s="110" t="n"/>
      <c r="K446" s="110" t="n"/>
      <c r="L446" s="110" t="n"/>
      <c r="M446" s="110" t="n"/>
      <c r="N446" s="110" t="n"/>
      <c r="O446" s="110" t="n"/>
      <c r="P446" s="110" t="n"/>
      <c r="Q446" s="110" t="n"/>
      <c r="R446" s="110" t="n"/>
      <c r="S446" s="110" t="n"/>
      <c r="T446" s="110" t="n"/>
      <c r="U446" s="110" t="n"/>
      <c r="V446" s="110" t="n"/>
      <c r="W446" s="110" t="n"/>
      <c r="X446" s="110" t="n"/>
      <c r="Y446" s="110" t="n"/>
      <c r="Z446" s="110" t="n"/>
    </row>
    <row r="447">
      <c r="A447" s="110" t="n"/>
      <c r="B447" s="110" t="n"/>
      <c r="C447" s="110" t="n"/>
      <c r="D447" s="110" t="n"/>
      <c r="E447" s="110" t="n"/>
      <c r="F447" s="110" t="n"/>
      <c r="G447" s="110" t="n"/>
      <c r="H447" s="110" t="n"/>
      <c r="I447" s="110" t="n"/>
      <c r="J447" s="110" t="n"/>
      <c r="K447" s="110" t="n"/>
      <c r="L447" s="110" t="n"/>
      <c r="M447" s="110" t="n"/>
      <c r="N447" s="110" t="n"/>
      <c r="O447" s="110" t="n"/>
      <c r="P447" s="110" t="n"/>
      <c r="Q447" s="110" t="n"/>
      <c r="R447" s="110" t="n"/>
      <c r="S447" s="110" t="n"/>
      <c r="T447" s="110" t="n"/>
      <c r="U447" s="110" t="n"/>
      <c r="V447" s="110" t="n"/>
      <c r="W447" s="110" t="n"/>
      <c r="X447" s="110" t="n"/>
      <c r="Y447" s="110" t="n"/>
      <c r="Z447" s="110" t="n"/>
    </row>
    <row r="448">
      <c r="A448" s="110" t="n"/>
      <c r="B448" s="110" t="n"/>
      <c r="C448" s="110" t="n"/>
      <c r="D448" s="110" t="n"/>
      <c r="E448" s="110" t="n"/>
      <c r="F448" s="110" t="n"/>
      <c r="G448" s="110" t="n"/>
      <c r="H448" s="110" t="n"/>
      <c r="I448" s="110" t="n"/>
      <c r="J448" s="110" t="n"/>
      <c r="K448" s="110" t="n"/>
      <c r="L448" s="110" t="n"/>
      <c r="M448" s="110" t="n"/>
      <c r="N448" s="110" t="n"/>
      <c r="O448" s="110" t="n"/>
      <c r="P448" s="110" t="n"/>
      <c r="Q448" s="110" t="n"/>
      <c r="R448" s="110" t="n"/>
      <c r="S448" s="110" t="n"/>
      <c r="T448" s="110" t="n"/>
      <c r="U448" s="110" t="n"/>
      <c r="V448" s="110" t="n"/>
      <c r="W448" s="110" t="n"/>
      <c r="X448" s="110" t="n"/>
      <c r="Y448" s="110" t="n"/>
      <c r="Z448" s="110" t="n"/>
    </row>
    <row r="449">
      <c r="A449" s="110" t="n"/>
      <c r="B449" s="110" t="n"/>
      <c r="C449" s="110" t="n"/>
      <c r="D449" s="110" t="n"/>
      <c r="E449" s="110" t="n"/>
      <c r="F449" s="110" t="n"/>
      <c r="G449" s="110" t="n"/>
      <c r="H449" s="110" t="n"/>
      <c r="I449" s="110" t="n"/>
      <c r="J449" s="110" t="n"/>
      <c r="K449" s="110" t="n"/>
      <c r="L449" s="110" t="n"/>
      <c r="M449" s="110" t="n"/>
      <c r="N449" s="110" t="n"/>
      <c r="O449" s="110" t="n"/>
      <c r="P449" s="110" t="n"/>
      <c r="Q449" s="110" t="n"/>
      <c r="R449" s="110" t="n"/>
      <c r="S449" s="110" t="n"/>
      <c r="T449" s="110" t="n"/>
      <c r="U449" s="110" t="n"/>
      <c r="V449" s="110" t="n"/>
      <c r="W449" s="110" t="n"/>
      <c r="X449" s="110" t="n"/>
      <c r="Y449" s="110" t="n"/>
      <c r="Z449" s="110" t="n"/>
    </row>
    <row r="450">
      <c r="A450" s="110" t="n"/>
      <c r="B450" s="110" t="n"/>
      <c r="C450" s="110" t="n"/>
      <c r="D450" s="110" t="n"/>
      <c r="E450" s="110" t="n"/>
      <c r="F450" s="110" t="n"/>
      <c r="G450" s="110" t="n"/>
      <c r="H450" s="110" t="n"/>
      <c r="I450" s="110" t="n"/>
      <c r="J450" s="110" t="n"/>
      <c r="K450" s="110" t="n"/>
      <c r="L450" s="110" t="n"/>
      <c r="M450" s="110" t="n"/>
      <c r="N450" s="110" t="n"/>
      <c r="O450" s="110" t="n"/>
      <c r="P450" s="110" t="n"/>
      <c r="Q450" s="110" t="n"/>
      <c r="R450" s="110" t="n"/>
      <c r="S450" s="110" t="n"/>
      <c r="T450" s="110" t="n"/>
      <c r="U450" s="110" t="n"/>
      <c r="V450" s="110" t="n"/>
      <c r="W450" s="110" t="n"/>
      <c r="X450" s="110" t="n"/>
      <c r="Y450" s="110" t="n"/>
      <c r="Z450" s="110" t="n"/>
    </row>
    <row r="451">
      <c r="A451" s="110" t="n"/>
      <c r="B451" s="110" t="n"/>
      <c r="C451" s="110" t="n"/>
      <c r="D451" s="110" t="n"/>
      <c r="E451" s="110" t="n"/>
      <c r="F451" s="110" t="n"/>
      <c r="G451" s="110" t="n"/>
      <c r="H451" s="110" t="n"/>
      <c r="I451" s="110" t="n"/>
      <c r="J451" s="110" t="n"/>
      <c r="K451" s="110" t="n"/>
      <c r="L451" s="110" t="n"/>
      <c r="M451" s="110" t="n"/>
      <c r="N451" s="110" t="n"/>
      <c r="O451" s="110" t="n"/>
      <c r="P451" s="110" t="n"/>
      <c r="Q451" s="110" t="n"/>
      <c r="R451" s="110" t="n"/>
      <c r="S451" s="110" t="n"/>
      <c r="T451" s="110" t="n"/>
      <c r="U451" s="110" t="n"/>
      <c r="V451" s="110" t="n"/>
      <c r="W451" s="110" t="n"/>
      <c r="X451" s="110" t="n"/>
      <c r="Y451" s="110" t="n"/>
      <c r="Z451" s="110" t="n"/>
    </row>
    <row r="452">
      <c r="A452" s="110" t="n"/>
      <c r="B452" s="110" t="n"/>
      <c r="C452" s="110" t="n"/>
      <c r="D452" s="110" t="n"/>
      <c r="E452" s="110" t="n"/>
      <c r="F452" s="110" t="n"/>
      <c r="G452" s="110" t="n"/>
      <c r="H452" s="110" t="n"/>
      <c r="I452" s="110" t="n"/>
      <c r="J452" s="110" t="n"/>
      <c r="K452" s="110" t="n"/>
      <c r="L452" s="110" t="n"/>
      <c r="M452" s="110" t="n"/>
      <c r="N452" s="110" t="n"/>
      <c r="O452" s="110" t="n"/>
      <c r="P452" s="110" t="n"/>
      <c r="Q452" s="110" t="n"/>
      <c r="R452" s="110" t="n"/>
      <c r="S452" s="110" t="n"/>
      <c r="T452" s="110" t="n"/>
      <c r="U452" s="110" t="n"/>
      <c r="V452" s="110" t="n"/>
      <c r="W452" s="110" t="n"/>
      <c r="X452" s="110" t="n"/>
      <c r="Y452" s="110" t="n"/>
      <c r="Z452" s="110" t="n"/>
    </row>
    <row r="453">
      <c r="A453" s="110" t="n"/>
      <c r="B453" s="110" t="n"/>
      <c r="C453" s="110" t="n"/>
      <c r="D453" s="110" t="n"/>
      <c r="E453" s="110" t="n"/>
      <c r="F453" s="110" t="n"/>
      <c r="G453" s="110" t="n"/>
      <c r="H453" s="110" t="n"/>
      <c r="I453" s="110" t="n"/>
      <c r="J453" s="110" t="n"/>
      <c r="K453" s="110" t="n"/>
      <c r="L453" s="110" t="n"/>
      <c r="M453" s="110" t="n"/>
      <c r="N453" s="110" t="n"/>
      <c r="O453" s="110" t="n"/>
      <c r="P453" s="110" t="n"/>
      <c r="Q453" s="110" t="n"/>
      <c r="R453" s="110" t="n"/>
      <c r="S453" s="110" t="n"/>
      <c r="T453" s="110" t="n"/>
      <c r="U453" s="110" t="n"/>
      <c r="V453" s="110" t="n"/>
      <c r="W453" s="110" t="n"/>
      <c r="X453" s="110" t="n"/>
      <c r="Y453" s="110" t="n"/>
      <c r="Z453" s="110" t="n"/>
    </row>
    <row r="454">
      <c r="A454" s="110" t="n"/>
      <c r="B454" s="110" t="n"/>
      <c r="C454" s="110" t="n"/>
      <c r="D454" s="110" t="n"/>
      <c r="E454" s="110" t="n"/>
      <c r="F454" s="110" t="n"/>
      <c r="G454" s="110" t="n"/>
      <c r="H454" s="110" t="n"/>
      <c r="I454" s="110" t="n"/>
      <c r="J454" s="110" t="n"/>
      <c r="K454" s="110" t="n"/>
      <c r="L454" s="110" t="n"/>
      <c r="M454" s="110" t="n"/>
      <c r="N454" s="110" t="n"/>
      <c r="O454" s="110" t="n"/>
      <c r="P454" s="110" t="n"/>
      <c r="Q454" s="110" t="n"/>
      <c r="R454" s="110" t="n"/>
      <c r="S454" s="110" t="n"/>
      <c r="T454" s="110" t="n"/>
      <c r="U454" s="110" t="n"/>
      <c r="V454" s="110" t="n"/>
      <c r="W454" s="110" t="n"/>
      <c r="X454" s="110" t="n"/>
      <c r="Y454" s="110" t="n"/>
      <c r="Z454" s="110" t="n"/>
    </row>
    <row r="455">
      <c r="A455" s="110" t="n"/>
      <c r="B455" s="110" t="n"/>
      <c r="C455" s="110" t="n"/>
      <c r="D455" s="110" t="n"/>
      <c r="E455" s="110" t="n"/>
      <c r="F455" s="110" t="n"/>
      <c r="G455" s="110" t="n"/>
      <c r="H455" s="110" t="n"/>
      <c r="I455" s="110" t="n"/>
      <c r="J455" s="110" t="n"/>
      <c r="K455" s="110" t="n"/>
      <c r="L455" s="110" t="n"/>
      <c r="M455" s="110" t="n"/>
      <c r="N455" s="110" t="n"/>
      <c r="O455" s="110" t="n"/>
      <c r="P455" s="110" t="n"/>
      <c r="Q455" s="110" t="n"/>
      <c r="R455" s="110" t="n"/>
      <c r="S455" s="110" t="n"/>
      <c r="T455" s="110" t="n"/>
      <c r="U455" s="110" t="n"/>
      <c r="V455" s="110" t="n"/>
      <c r="W455" s="110" t="n"/>
      <c r="X455" s="110" t="n"/>
      <c r="Y455" s="110" t="n"/>
      <c r="Z455" s="110" t="n"/>
    </row>
    <row r="456">
      <c r="A456" s="110" t="n"/>
      <c r="B456" s="110" t="n"/>
      <c r="C456" s="110" t="n"/>
      <c r="D456" s="110" t="n"/>
      <c r="E456" s="110" t="n"/>
      <c r="F456" s="110" t="n"/>
      <c r="G456" s="110" t="n"/>
      <c r="H456" s="110" t="n"/>
      <c r="I456" s="110" t="n"/>
      <c r="J456" s="110" t="n"/>
      <c r="K456" s="110" t="n"/>
      <c r="L456" s="110" t="n"/>
      <c r="M456" s="110" t="n"/>
      <c r="N456" s="110" t="n"/>
      <c r="O456" s="110" t="n"/>
      <c r="P456" s="110" t="n"/>
      <c r="Q456" s="110" t="n"/>
      <c r="R456" s="110" t="n"/>
      <c r="S456" s="110" t="n"/>
      <c r="T456" s="110" t="n"/>
      <c r="U456" s="110" t="n"/>
      <c r="V456" s="110" t="n"/>
      <c r="W456" s="110" t="n"/>
      <c r="X456" s="110" t="n"/>
      <c r="Y456" s="110" t="n"/>
      <c r="Z456" s="110" t="n"/>
    </row>
    <row r="457">
      <c r="A457" s="110" t="n"/>
      <c r="B457" s="110" t="n"/>
      <c r="C457" s="110" t="n"/>
      <c r="D457" s="110" t="n"/>
      <c r="E457" s="110" t="n"/>
      <c r="F457" s="110" t="n"/>
      <c r="G457" s="110" t="n"/>
      <c r="H457" s="110" t="n"/>
      <c r="I457" s="110" t="n"/>
      <c r="J457" s="110" t="n"/>
      <c r="K457" s="110" t="n"/>
      <c r="L457" s="110" t="n"/>
      <c r="M457" s="110" t="n"/>
      <c r="N457" s="110" t="n"/>
      <c r="O457" s="110" t="n"/>
      <c r="P457" s="110" t="n"/>
      <c r="Q457" s="110" t="n"/>
      <c r="R457" s="110" t="n"/>
      <c r="S457" s="110" t="n"/>
      <c r="T457" s="110" t="n"/>
      <c r="U457" s="110" t="n"/>
      <c r="V457" s="110" t="n"/>
      <c r="W457" s="110" t="n"/>
      <c r="X457" s="110" t="n"/>
      <c r="Y457" s="110" t="n"/>
      <c r="Z457" s="110" t="n"/>
    </row>
    <row r="458">
      <c r="A458" s="110" t="n"/>
      <c r="B458" s="110" t="n"/>
      <c r="C458" s="110" t="n"/>
      <c r="D458" s="110" t="n"/>
      <c r="E458" s="110" t="n"/>
      <c r="F458" s="110" t="n"/>
      <c r="G458" s="110" t="n"/>
      <c r="H458" s="110" t="n"/>
      <c r="I458" s="110" t="n"/>
      <c r="J458" s="110" t="n"/>
      <c r="K458" s="110" t="n"/>
      <c r="L458" s="110" t="n"/>
      <c r="M458" s="110" t="n"/>
      <c r="N458" s="110" t="n"/>
      <c r="O458" s="110" t="n"/>
      <c r="P458" s="110" t="n"/>
      <c r="Q458" s="110" t="n"/>
      <c r="R458" s="110" t="n"/>
      <c r="S458" s="110" t="n"/>
      <c r="T458" s="110" t="n"/>
      <c r="U458" s="110" t="n"/>
      <c r="V458" s="110" t="n"/>
      <c r="W458" s="110" t="n"/>
      <c r="X458" s="110" t="n"/>
      <c r="Y458" s="110" t="n"/>
      <c r="Z458" s="110" t="n"/>
    </row>
    <row r="459">
      <c r="A459" s="110" t="n"/>
      <c r="B459" s="110" t="n"/>
      <c r="C459" s="110" t="n"/>
      <c r="D459" s="110" t="n"/>
      <c r="E459" s="110" t="n"/>
      <c r="F459" s="110" t="n"/>
      <c r="G459" s="110" t="n"/>
      <c r="H459" s="110" t="n"/>
      <c r="I459" s="110" t="n"/>
      <c r="J459" s="110" t="n"/>
      <c r="K459" s="110" t="n"/>
      <c r="L459" s="110" t="n"/>
      <c r="M459" s="110" t="n"/>
      <c r="N459" s="110" t="n"/>
      <c r="O459" s="110" t="n"/>
      <c r="P459" s="110" t="n"/>
      <c r="Q459" s="110" t="n"/>
      <c r="R459" s="110" t="n"/>
      <c r="S459" s="110" t="n"/>
      <c r="T459" s="110" t="n"/>
      <c r="U459" s="110" t="n"/>
      <c r="V459" s="110" t="n"/>
      <c r="W459" s="110" t="n"/>
      <c r="X459" s="110" t="n"/>
      <c r="Y459" s="110" t="n"/>
      <c r="Z459" s="110" t="n"/>
    </row>
    <row r="460">
      <c r="A460" s="110" t="n"/>
      <c r="B460" s="110" t="n"/>
      <c r="C460" s="110" t="n"/>
      <c r="D460" s="110" t="n"/>
      <c r="E460" s="110" t="n"/>
      <c r="F460" s="110" t="n"/>
      <c r="G460" s="110" t="n"/>
      <c r="H460" s="110" t="n"/>
      <c r="I460" s="110" t="n"/>
      <c r="J460" s="110" t="n"/>
      <c r="K460" s="110" t="n"/>
      <c r="L460" s="110" t="n"/>
      <c r="M460" s="110" t="n"/>
      <c r="N460" s="110" t="n"/>
      <c r="O460" s="110" t="n"/>
      <c r="P460" s="110" t="n"/>
      <c r="Q460" s="110" t="n"/>
      <c r="R460" s="110" t="n"/>
      <c r="S460" s="110" t="n"/>
      <c r="T460" s="110" t="n"/>
      <c r="U460" s="110" t="n"/>
      <c r="V460" s="110" t="n"/>
      <c r="W460" s="110" t="n"/>
      <c r="X460" s="110" t="n"/>
      <c r="Y460" s="110" t="n"/>
      <c r="Z460" s="110" t="n"/>
    </row>
    <row r="461">
      <c r="A461" s="110" t="n"/>
      <c r="B461" s="110" t="n"/>
      <c r="C461" s="110" t="n"/>
      <c r="D461" s="110" t="n"/>
      <c r="E461" s="110" t="n"/>
      <c r="F461" s="110" t="n"/>
      <c r="G461" s="110" t="n"/>
      <c r="H461" s="110" t="n"/>
      <c r="I461" s="110" t="n"/>
      <c r="J461" s="110" t="n"/>
      <c r="K461" s="110" t="n"/>
      <c r="L461" s="110" t="n"/>
      <c r="M461" s="110" t="n"/>
      <c r="N461" s="110" t="n"/>
      <c r="O461" s="110" t="n"/>
      <c r="P461" s="110" t="n"/>
      <c r="Q461" s="110" t="n"/>
      <c r="R461" s="110" t="n"/>
      <c r="S461" s="110" t="n"/>
      <c r="T461" s="110" t="n"/>
      <c r="U461" s="110" t="n"/>
      <c r="V461" s="110" t="n"/>
      <c r="W461" s="110" t="n"/>
      <c r="X461" s="110" t="n"/>
      <c r="Y461" s="110" t="n"/>
      <c r="Z461" s="110" t="n"/>
    </row>
    <row r="462">
      <c r="A462" s="110" t="n"/>
      <c r="B462" s="110" t="n"/>
      <c r="C462" s="110" t="n"/>
      <c r="D462" s="110" t="n"/>
      <c r="E462" s="110" t="n"/>
      <c r="F462" s="110" t="n"/>
      <c r="G462" s="110" t="n"/>
      <c r="H462" s="110" t="n"/>
      <c r="I462" s="110" t="n"/>
      <c r="J462" s="110" t="n"/>
      <c r="K462" s="110" t="n"/>
      <c r="L462" s="110" t="n"/>
      <c r="M462" s="110" t="n"/>
      <c r="N462" s="110" t="n"/>
      <c r="O462" s="110" t="n"/>
      <c r="P462" s="110" t="n"/>
      <c r="Q462" s="110" t="n"/>
      <c r="R462" s="110" t="n"/>
      <c r="S462" s="110" t="n"/>
      <c r="T462" s="110" t="n"/>
      <c r="U462" s="110" t="n"/>
      <c r="V462" s="110" t="n"/>
      <c r="W462" s="110" t="n"/>
      <c r="X462" s="110" t="n"/>
      <c r="Y462" s="110" t="n"/>
      <c r="Z462" s="110" t="n"/>
    </row>
    <row r="463">
      <c r="A463" s="110" t="n"/>
      <c r="B463" s="110" t="n"/>
      <c r="C463" s="110" t="n"/>
      <c r="D463" s="110" t="n"/>
      <c r="E463" s="110" t="n"/>
      <c r="F463" s="110" t="n"/>
      <c r="G463" s="110" t="n"/>
      <c r="H463" s="110" t="n"/>
      <c r="I463" s="110" t="n"/>
      <c r="J463" s="110" t="n"/>
      <c r="K463" s="110" t="n"/>
      <c r="L463" s="110" t="n"/>
      <c r="M463" s="110" t="n"/>
      <c r="N463" s="110" t="n"/>
      <c r="O463" s="110" t="n"/>
      <c r="P463" s="110" t="n"/>
      <c r="Q463" s="110" t="n"/>
      <c r="R463" s="110" t="n"/>
      <c r="S463" s="110" t="n"/>
      <c r="T463" s="110" t="n"/>
      <c r="U463" s="110" t="n"/>
      <c r="V463" s="110" t="n"/>
      <c r="W463" s="110" t="n"/>
      <c r="X463" s="110" t="n"/>
      <c r="Y463" s="110" t="n"/>
      <c r="Z463" s="110" t="n"/>
    </row>
    <row r="464">
      <c r="A464" s="110" t="n"/>
      <c r="B464" s="110" t="n"/>
      <c r="C464" s="110" t="n"/>
      <c r="D464" s="110" t="n"/>
      <c r="E464" s="110" t="n"/>
      <c r="F464" s="110" t="n"/>
      <c r="G464" s="110" t="n"/>
      <c r="H464" s="110" t="n"/>
      <c r="I464" s="110" t="n"/>
      <c r="J464" s="110" t="n"/>
      <c r="K464" s="110" t="n"/>
      <c r="L464" s="110" t="n"/>
      <c r="M464" s="110" t="n"/>
      <c r="N464" s="110" t="n"/>
      <c r="O464" s="110" t="n"/>
      <c r="P464" s="110" t="n"/>
      <c r="Q464" s="110" t="n"/>
      <c r="R464" s="110" t="n"/>
      <c r="S464" s="110" t="n"/>
      <c r="T464" s="110" t="n"/>
      <c r="U464" s="110" t="n"/>
      <c r="V464" s="110" t="n"/>
      <c r="W464" s="110" t="n"/>
      <c r="X464" s="110" t="n"/>
      <c r="Y464" s="110" t="n"/>
      <c r="Z464" s="110" t="n"/>
    </row>
    <row r="465">
      <c r="A465" s="110" t="n"/>
      <c r="B465" s="110" t="n"/>
      <c r="C465" s="110" t="n"/>
      <c r="D465" s="110" t="n"/>
      <c r="E465" s="110" t="n"/>
      <c r="F465" s="110" t="n"/>
      <c r="G465" s="110" t="n"/>
      <c r="H465" s="110" t="n"/>
      <c r="I465" s="110" t="n"/>
      <c r="J465" s="110" t="n"/>
      <c r="K465" s="110" t="n"/>
      <c r="L465" s="110" t="n"/>
      <c r="M465" s="110" t="n"/>
      <c r="N465" s="110" t="n"/>
      <c r="O465" s="110" t="n"/>
      <c r="P465" s="110" t="n"/>
      <c r="Q465" s="110" t="n"/>
      <c r="R465" s="110" t="n"/>
      <c r="S465" s="110" t="n"/>
      <c r="T465" s="110" t="n"/>
      <c r="U465" s="110" t="n"/>
      <c r="V465" s="110" t="n"/>
      <c r="W465" s="110" t="n"/>
      <c r="X465" s="110" t="n"/>
      <c r="Y465" s="110" t="n"/>
      <c r="Z465" s="110" t="n"/>
    </row>
    <row r="466">
      <c r="A466" s="110" t="n"/>
      <c r="B466" s="110" t="n"/>
      <c r="C466" s="110" t="n"/>
      <c r="D466" s="110" t="n"/>
      <c r="E466" s="110" t="n"/>
      <c r="F466" s="110" t="n"/>
      <c r="G466" s="110" t="n"/>
      <c r="H466" s="110" t="n"/>
      <c r="I466" s="110" t="n"/>
      <c r="J466" s="110" t="n"/>
      <c r="K466" s="110" t="n"/>
      <c r="L466" s="110" t="n"/>
      <c r="M466" s="110" t="n"/>
      <c r="N466" s="110" t="n"/>
      <c r="O466" s="110" t="n"/>
      <c r="P466" s="110" t="n"/>
      <c r="Q466" s="110" t="n"/>
      <c r="R466" s="110" t="n"/>
      <c r="S466" s="110" t="n"/>
      <c r="T466" s="110" t="n"/>
      <c r="U466" s="110" t="n"/>
      <c r="V466" s="110" t="n"/>
      <c r="W466" s="110" t="n"/>
      <c r="X466" s="110" t="n"/>
      <c r="Y466" s="110" t="n"/>
      <c r="Z466" s="110" t="n"/>
    </row>
    <row r="467">
      <c r="A467" s="110" t="n"/>
      <c r="B467" s="110" t="n"/>
      <c r="C467" s="110" t="n"/>
      <c r="D467" s="110" t="n"/>
      <c r="E467" s="110" t="n"/>
      <c r="F467" s="110" t="n"/>
      <c r="G467" s="110" t="n"/>
      <c r="H467" s="110" t="n"/>
      <c r="I467" s="110" t="n"/>
      <c r="J467" s="110" t="n"/>
      <c r="K467" s="110" t="n"/>
      <c r="L467" s="110" t="n"/>
      <c r="M467" s="110" t="n"/>
      <c r="N467" s="110" t="n"/>
      <c r="O467" s="110" t="n"/>
      <c r="P467" s="110" t="n"/>
      <c r="Q467" s="110" t="n"/>
      <c r="R467" s="110" t="n"/>
      <c r="S467" s="110" t="n"/>
      <c r="T467" s="110" t="n"/>
      <c r="U467" s="110" t="n"/>
      <c r="V467" s="110" t="n"/>
      <c r="W467" s="110" t="n"/>
      <c r="X467" s="110" t="n"/>
      <c r="Y467" s="110" t="n"/>
      <c r="Z467" s="110" t="n"/>
    </row>
    <row r="468">
      <c r="A468" s="110" t="n"/>
      <c r="B468" s="110" t="n"/>
      <c r="C468" s="110" t="n"/>
      <c r="D468" s="110" t="n"/>
      <c r="E468" s="110" t="n"/>
      <c r="F468" s="110" t="n"/>
      <c r="G468" s="110" t="n"/>
      <c r="H468" s="110" t="n"/>
      <c r="I468" s="110" t="n"/>
      <c r="J468" s="110" t="n"/>
      <c r="K468" s="110" t="n"/>
      <c r="L468" s="110" t="n"/>
      <c r="M468" s="110" t="n"/>
      <c r="N468" s="110" t="n"/>
      <c r="O468" s="110" t="n"/>
      <c r="P468" s="110" t="n"/>
      <c r="Q468" s="110" t="n"/>
      <c r="R468" s="110" t="n"/>
      <c r="S468" s="110" t="n"/>
      <c r="T468" s="110" t="n"/>
      <c r="U468" s="110" t="n"/>
      <c r="V468" s="110" t="n"/>
      <c r="W468" s="110" t="n"/>
      <c r="X468" s="110" t="n"/>
      <c r="Y468" s="110" t="n"/>
      <c r="Z468" s="110" t="n"/>
    </row>
    <row r="469">
      <c r="A469" s="110" t="n"/>
      <c r="B469" s="110" t="n"/>
      <c r="C469" s="110" t="n"/>
      <c r="D469" s="110" t="n"/>
      <c r="E469" s="110" t="n"/>
      <c r="F469" s="110" t="n"/>
      <c r="G469" s="110" t="n"/>
      <c r="H469" s="110" t="n"/>
      <c r="I469" s="110" t="n"/>
      <c r="J469" s="110" t="n"/>
      <c r="K469" s="110" t="n"/>
      <c r="L469" s="110" t="n"/>
      <c r="M469" s="110" t="n"/>
      <c r="N469" s="110" t="n"/>
      <c r="O469" s="110" t="n"/>
      <c r="P469" s="110" t="n"/>
      <c r="Q469" s="110" t="n"/>
      <c r="R469" s="110" t="n"/>
      <c r="S469" s="110" t="n"/>
      <c r="T469" s="110" t="n"/>
      <c r="U469" s="110" t="n"/>
      <c r="V469" s="110" t="n"/>
      <c r="W469" s="110" t="n"/>
      <c r="X469" s="110" t="n"/>
      <c r="Y469" s="110" t="n"/>
      <c r="Z469" s="110" t="n"/>
    </row>
    <row r="470">
      <c r="A470" s="110" t="n"/>
      <c r="B470" s="110" t="n"/>
      <c r="C470" s="110" t="n"/>
      <c r="D470" s="110" t="n"/>
      <c r="E470" s="110" t="n"/>
      <c r="F470" s="110" t="n"/>
      <c r="G470" s="110" t="n"/>
      <c r="H470" s="110" t="n"/>
      <c r="I470" s="110" t="n"/>
      <c r="J470" s="110" t="n"/>
      <c r="K470" s="110" t="n"/>
      <c r="L470" s="110" t="n"/>
      <c r="M470" s="110" t="n"/>
      <c r="N470" s="110" t="n"/>
      <c r="O470" s="110" t="n"/>
      <c r="P470" s="110" t="n"/>
      <c r="Q470" s="110" t="n"/>
      <c r="R470" s="110" t="n"/>
      <c r="S470" s="110" t="n"/>
      <c r="T470" s="110" t="n"/>
      <c r="U470" s="110" t="n"/>
      <c r="V470" s="110" t="n"/>
      <c r="W470" s="110" t="n"/>
      <c r="X470" s="110" t="n"/>
      <c r="Y470" s="110" t="n"/>
      <c r="Z470" s="110" t="n"/>
    </row>
    <row r="471">
      <c r="A471" s="110" t="n"/>
      <c r="B471" s="110" t="n"/>
      <c r="C471" s="110" t="n"/>
      <c r="D471" s="110" t="n"/>
      <c r="E471" s="110" t="n"/>
      <c r="F471" s="110" t="n"/>
      <c r="G471" s="110" t="n"/>
      <c r="H471" s="110" t="n"/>
      <c r="I471" s="110" t="n"/>
      <c r="J471" s="110" t="n"/>
      <c r="K471" s="110" t="n"/>
      <c r="L471" s="110" t="n"/>
      <c r="M471" s="110" t="n"/>
      <c r="N471" s="110" t="n"/>
      <c r="O471" s="110" t="n"/>
      <c r="P471" s="110" t="n"/>
      <c r="Q471" s="110" t="n"/>
      <c r="R471" s="110" t="n"/>
      <c r="S471" s="110" t="n"/>
      <c r="T471" s="110" t="n"/>
      <c r="U471" s="110" t="n"/>
      <c r="V471" s="110" t="n"/>
      <c r="W471" s="110" t="n"/>
      <c r="X471" s="110" t="n"/>
      <c r="Y471" s="110" t="n"/>
      <c r="Z471" s="110" t="n"/>
    </row>
    <row r="472">
      <c r="A472" s="110" t="n"/>
      <c r="B472" s="110" t="n"/>
      <c r="C472" s="110" t="n"/>
      <c r="D472" s="110" t="n"/>
      <c r="E472" s="110" t="n"/>
      <c r="F472" s="110" t="n"/>
      <c r="G472" s="110" t="n"/>
      <c r="H472" s="110" t="n"/>
      <c r="I472" s="110" t="n"/>
      <c r="J472" s="110" t="n"/>
      <c r="K472" s="110" t="n"/>
      <c r="L472" s="110" t="n"/>
      <c r="M472" s="110" t="n"/>
      <c r="N472" s="110" t="n"/>
      <c r="O472" s="110" t="n"/>
      <c r="P472" s="110" t="n"/>
      <c r="Q472" s="110" t="n"/>
      <c r="R472" s="110" t="n"/>
      <c r="S472" s="110" t="n"/>
      <c r="T472" s="110" t="n"/>
      <c r="U472" s="110" t="n"/>
      <c r="V472" s="110" t="n"/>
      <c r="W472" s="110" t="n"/>
      <c r="X472" s="110" t="n"/>
      <c r="Y472" s="110" t="n"/>
      <c r="Z472" s="110" t="n"/>
    </row>
    <row r="473">
      <c r="A473" s="110" t="n"/>
      <c r="B473" s="110" t="n"/>
      <c r="C473" s="110" t="n"/>
      <c r="D473" s="110" t="n"/>
      <c r="E473" s="110" t="n"/>
      <c r="F473" s="110" t="n"/>
      <c r="G473" s="110" t="n"/>
      <c r="H473" s="110" t="n"/>
      <c r="I473" s="110" t="n"/>
      <c r="J473" s="110" t="n"/>
      <c r="K473" s="110" t="n"/>
      <c r="L473" s="110" t="n"/>
      <c r="M473" s="110" t="n"/>
      <c r="N473" s="110" t="n"/>
      <c r="O473" s="110" t="n"/>
      <c r="P473" s="110" t="n"/>
      <c r="Q473" s="110" t="n"/>
      <c r="R473" s="110" t="n"/>
      <c r="S473" s="110" t="n"/>
      <c r="T473" s="110" t="n"/>
      <c r="U473" s="110" t="n"/>
      <c r="V473" s="110" t="n"/>
      <c r="W473" s="110" t="n"/>
      <c r="X473" s="110" t="n"/>
      <c r="Y473" s="110" t="n"/>
      <c r="Z473" s="110" t="n"/>
    </row>
    <row r="474">
      <c r="A474" s="110" t="n"/>
      <c r="B474" s="110" t="n"/>
      <c r="C474" s="110" t="n"/>
      <c r="D474" s="110" t="n"/>
      <c r="E474" s="110" t="n"/>
      <c r="F474" s="110" t="n"/>
      <c r="G474" s="110" t="n"/>
      <c r="H474" s="110" t="n"/>
      <c r="I474" s="110" t="n"/>
      <c r="J474" s="110" t="n"/>
      <c r="K474" s="110" t="n"/>
      <c r="L474" s="110" t="n"/>
      <c r="M474" s="110" t="n"/>
      <c r="N474" s="110" t="n"/>
      <c r="O474" s="110" t="n"/>
      <c r="P474" s="110" t="n"/>
      <c r="Q474" s="110" t="n"/>
      <c r="R474" s="110" t="n"/>
      <c r="S474" s="110" t="n"/>
      <c r="T474" s="110" t="n"/>
      <c r="U474" s="110" t="n"/>
      <c r="V474" s="110" t="n"/>
      <c r="W474" s="110" t="n"/>
      <c r="X474" s="110" t="n"/>
      <c r="Y474" s="110" t="n"/>
      <c r="Z474" s="110" t="n"/>
    </row>
    <row r="475">
      <c r="A475" s="110" t="n"/>
      <c r="B475" s="110" t="n"/>
      <c r="C475" s="110" t="n"/>
      <c r="D475" s="110" t="n"/>
      <c r="E475" s="110" t="n"/>
      <c r="F475" s="110" t="n"/>
      <c r="G475" s="110" t="n"/>
      <c r="H475" s="110" t="n"/>
      <c r="I475" s="110" t="n"/>
      <c r="J475" s="110" t="n"/>
      <c r="K475" s="110" t="n"/>
      <c r="L475" s="110" t="n"/>
      <c r="M475" s="110" t="n"/>
      <c r="N475" s="110" t="n"/>
      <c r="O475" s="110" t="n"/>
      <c r="P475" s="110" t="n"/>
      <c r="Q475" s="110" t="n"/>
      <c r="R475" s="110" t="n"/>
      <c r="S475" s="110" t="n"/>
      <c r="T475" s="110" t="n"/>
      <c r="U475" s="110" t="n"/>
      <c r="V475" s="110" t="n"/>
      <c r="W475" s="110" t="n"/>
      <c r="X475" s="110" t="n"/>
      <c r="Y475" s="110" t="n"/>
      <c r="Z475" s="110" t="n"/>
    </row>
    <row r="476">
      <c r="A476" s="110" t="n"/>
      <c r="B476" s="110" t="n"/>
      <c r="C476" s="110" t="n"/>
      <c r="D476" s="110" t="n"/>
      <c r="E476" s="110" t="n"/>
      <c r="F476" s="110" t="n"/>
      <c r="G476" s="110" t="n"/>
      <c r="H476" s="110" t="n"/>
      <c r="I476" s="110" t="n"/>
      <c r="J476" s="110" t="n"/>
      <c r="K476" s="110" t="n"/>
      <c r="L476" s="110" t="n"/>
      <c r="M476" s="110" t="n"/>
      <c r="N476" s="110" t="n"/>
      <c r="O476" s="110" t="n"/>
      <c r="P476" s="110" t="n"/>
      <c r="Q476" s="110" t="n"/>
      <c r="R476" s="110" t="n"/>
      <c r="S476" s="110" t="n"/>
      <c r="T476" s="110" t="n"/>
      <c r="U476" s="110" t="n"/>
      <c r="V476" s="110" t="n"/>
      <c r="W476" s="110" t="n"/>
      <c r="X476" s="110" t="n"/>
      <c r="Y476" s="110" t="n"/>
      <c r="Z476" s="110" t="n"/>
    </row>
    <row r="477">
      <c r="A477" s="110" t="n"/>
      <c r="B477" s="110" t="n"/>
      <c r="C477" s="110" t="n"/>
      <c r="D477" s="110" t="n"/>
      <c r="E477" s="110" t="n"/>
      <c r="F477" s="110" t="n"/>
      <c r="G477" s="110" t="n"/>
      <c r="H477" s="110" t="n"/>
      <c r="I477" s="110" t="n"/>
      <c r="J477" s="110" t="n"/>
      <c r="K477" s="110" t="n"/>
      <c r="L477" s="110" t="n"/>
      <c r="M477" s="110" t="n"/>
      <c r="N477" s="110" t="n"/>
      <c r="O477" s="110" t="n"/>
      <c r="P477" s="110" t="n"/>
      <c r="Q477" s="110" t="n"/>
      <c r="R477" s="110" t="n"/>
      <c r="S477" s="110" t="n"/>
      <c r="T477" s="110" t="n"/>
      <c r="U477" s="110" t="n"/>
      <c r="V477" s="110" t="n"/>
      <c r="W477" s="110" t="n"/>
      <c r="X477" s="110" t="n"/>
      <c r="Y477" s="110" t="n"/>
      <c r="Z477" s="110" t="n"/>
    </row>
    <row r="478">
      <c r="A478" s="110" t="n"/>
      <c r="B478" s="110" t="n"/>
      <c r="C478" s="110" t="n"/>
      <c r="D478" s="110" t="n"/>
      <c r="E478" s="110" t="n"/>
      <c r="F478" s="110" t="n"/>
      <c r="G478" s="110" t="n"/>
      <c r="H478" s="110" t="n"/>
      <c r="I478" s="110" t="n"/>
      <c r="J478" s="110" t="n"/>
      <c r="K478" s="110" t="n"/>
      <c r="L478" s="110" t="n"/>
      <c r="M478" s="110" t="n"/>
      <c r="N478" s="110" t="n"/>
      <c r="O478" s="110" t="n"/>
      <c r="P478" s="110" t="n"/>
      <c r="Q478" s="110" t="n"/>
      <c r="R478" s="110" t="n"/>
      <c r="S478" s="110" t="n"/>
      <c r="T478" s="110" t="n"/>
      <c r="U478" s="110" t="n"/>
      <c r="V478" s="110" t="n"/>
      <c r="W478" s="110" t="n"/>
      <c r="X478" s="110" t="n"/>
      <c r="Y478" s="110" t="n"/>
      <c r="Z478" s="110" t="n"/>
    </row>
    <row r="479">
      <c r="A479" s="110" t="n"/>
      <c r="B479" s="110" t="n"/>
      <c r="C479" s="110" t="n"/>
      <c r="D479" s="110" t="n"/>
      <c r="E479" s="110" t="n"/>
      <c r="F479" s="110" t="n"/>
      <c r="G479" s="110" t="n"/>
      <c r="H479" s="110" t="n"/>
      <c r="I479" s="110" t="n"/>
      <c r="J479" s="110" t="n"/>
      <c r="K479" s="110" t="n"/>
      <c r="L479" s="110" t="n"/>
      <c r="M479" s="110" t="n"/>
      <c r="N479" s="110" t="n"/>
      <c r="O479" s="110" t="n"/>
      <c r="P479" s="110" t="n"/>
      <c r="Q479" s="110" t="n"/>
      <c r="R479" s="110" t="n"/>
      <c r="S479" s="110" t="n"/>
      <c r="T479" s="110" t="n"/>
      <c r="U479" s="110" t="n"/>
      <c r="V479" s="110" t="n"/>
      <c r="W479" s="110" t="n"/>
      <c r="X479" s="110" t="n"/>
      <c r="Y479" s="110" t="n"/>
      <c r="Z479" s="110" t="n"/>
    </row>
    <row r="480">
      <c r="A480" s="110" t="n"/>
      <c r="B480" s="110" t="n"/>
      <c r="C480" s="110" t="n"/>
      <c r="D480" s="110" t="n"/>
      <c r="E480" s="110" t="n"/>
      <c r="F480" s="110" t="n"/>
      <c r="G480" s="110" t="n"/>
      <c r="H480" s="110" t="n"/>
      <c r="I480" s="110" t="n"/>
      <c r="J480" s="110" t="n"/>
      <c r="K480" s="110" t="n"/>
      <c r="L480" s="110" t="n"/>
      <c r="M480" s="110" t="n"/>
      <c r="N480" s="110" t="n"/>
      <c r="O480" s="110" t="n"/>
      <c r="P480" s="110" t="n"/>
      <c r="Q480" s="110" t="n"/>
      <c r="R480" s="110" t="n"/>
      <c r="S480" s="110" t="n"/>
      <c r="T480" s="110" t="n"/>
      <c r="U480" s="110" t="n"/>
      <c r="V480" s="110" t="n"/>
      <c r="W480" s="110" t="n"/>
      <c r="X480" s="110" t="n"/>
      <c r="Y480" s="110" t="n"/>
      <c r="Z480" s="110" t="n"/>
    </row>
    <row r="481">
      <c r="A481" s="110" t="n"/>
      <c r="B481" s="110" t="n"/>
      <c r="C481" s="110" t="n"/>
      <c r="D481" s="110" t="n"/>
      <c r="E481" s="110" t="n"/>
      <c r="F481" s="110" t="n"/>
      <c r="G481" s="110" t="n"/>
      <c r="H481" s="110" t="n"/>
      <c r="I481" s="110" t="n"/>
      <c r="J481" s="110" t="n"/>
      <c r="K481" s="110" t="n"/>
      <c r="L481" s="110" t="n"/>
      <c r="M481" s="110" t="n"/>
      <c r="N481" s="110" t="n"/>
      <c r="O481" s="110" t="n"/>
      <c r="P481" s="110" t="n"/>
      <c r="Q481" s="110" t="n"/>
      <c r="R481" s="110" t="n"/>
      <c r="S481" s="110" t="n"/>
      <c r="T481" s="110" t="n"/>
      <c r="U481" s="110" t="n"/>
      <c r="V481" s="110" t="n"/>
      <c r="W481" s="110" t="n"/>
      <c r="X481" s="110" t="n"/>
      <c r="Y481" s="110" t="n"/>
      <c r="Z481" s="110" t="n"/>
    </row>
    <row r="482">
      <c r="A482" s="110" t="n"/>
      <c r="B482" s="110" t="n"/>
      <c r="C482" s="110" t="n"/>
      <c r="D482" s="110" t="n"/>
      <c r="E482" s="110" t="n"/>
      <c r="F482" s="110" t="n"/>
      <c r="G482" s="110" t="n"/>
      <c r="H482" s="110" t="n"/>
      <c r="I482" s="110" t="n"/>
      <c r="J482" s="110" t="n"/>
      <c r="K482" s="110" t="n"/>
      <c r="L482" s="110" t="n"/>
      <c r="M482" s="110" t="n"/>
      <c r="N482" s="110" t="n"/>
      <c r="O482" s="110" t="n"/>
      <c r="P482" s="110" t="n"/>
      <c r="Q482" s="110" t="n"/>
      <c r="R482" s="110" t="n"/>
      <c r="S482" s="110" t="n"/>
      <c r="T482" s="110" t="n"/>
      <c r="U482" s="110" t="n"/>
      <c r="V482" s="110" t="n"/>
      <c r="W482" s="110" t="n"/>
      <c r="X482" s="110" t="n"/>
      <c r="Y482" s="110" t="n"/>
      <c r="Z482" s="110" t="n"/>
    </row>
    <row r="483">
      <c r="A483" s="110" t="n"/>
      <c r="B483" s="110" t="n"/>
      <c r="C483" s="110" t="n"/>
      <c r="D483" s="110" t="n"/>
      <c r="E483" s="110" t="n"/>
      <c r="F483" s="110" t="n"/>
      <c r="G483" s="110" t="n"/>
      <c r="H483" s="110" t="n"/>
      <c r="I483" s="110" t="n"/>
      <c r="J483" s="110" t="n"/>
      <c r="K483" s="110" t="n"/>
      <c r="L483" s="110" t="n"/>
      <c r="M483" s="110" t="n"/>
      <c r="N483" s="110" t="n"/>
      <c r="O483" s="110" t="n"/>
      <c r="P483" s="110" t="n"/>
      <c r="Q483" s="110" t="n"/>
      <c r="R483" s="110" t="n"/>
      <c r="S483" s="110" t="n"/>
      <c r="T483" s="110" t="n"/>
      <c r="U483" s="110" t="n"/>
      <c r="V483" s="110" t="n"/>
      <c r="W483" s="110" t="n"/>
      <c r="X483" s="110" t="n"/>
      <c r="Y483" s="110" t="n"/>
      <c r="Z483" s="110" t="n"/>
    </row>
    <row r="484">
      <c r="A484" s="110" t="n"/>
      <c r="B484" s="110" t="n"/>
      <c r="C484" s="110" t="n"/>
      <c r="D484" s="110" t="n"/>
      <c r="E484" s="110" t="n"/>
      <c r="F484" s="110" t="n"/>
      <c r="G484" s="110" t="n"/>
      <c r="H484" s="110" t="n"/>
      <c r="I484" s="110" t="n"/>
      <c r="J484" s="110" t="n"/>
      <c r="K484" s="110" t="n"/>
      <c r="L484" s="110" t="n"/>
      <c r="M484" s="110" t="n"/>
      <c r="N484" s="110" t="n"/>
      <c r="O484" s="110" t="n"/>
      <c r="P484" s="110" t="n"/>
      <c r="Q484" s="110" t="n"/>
      <c r="R484" s="110" t="n"/>
      <c r="S484" s="110" t="n"/>
      <c r="T484" s="110" t="n"/>
      <c r="U484" s="110" t="n"/>
      <c r="V484" s="110" t="n"/>
      <c r="W484" s="110" t="n"/>
      <c r="X484" s="110" t="n"/>
      <c r="Y484" s="110" t="n"/>
      <c r="Z484" s="110" t="n"/>
    </row>
    <row r="485">
      <c r="A485" s="110" t="n"/>
      <c r="B485" s="110" t="n"/>
      <c r="C485" s="110" t="n"/>
      <c r="D485" s="110" t="n"/>
      <c r="E485" s="110" t="n"/>
      <c r="F485" s="110" t="n"/>
      <c r="G485" s="110" t="n"/>
      <c r="H485" s="110" t="n"/>
      <c r="I485" s="110" t="n"/>
      <c r="J485" s="110" t="n"/>
      <c r="K485" s="110" t="n"/>
      <c r="L485" s="110" t="n"/>
      <c r="M485" s="110" t="n"/>
      <c r="N485" s="110" t="n"/>
      <c r="O485" s="110" t="n"/>
      <c r="P485" s="110" t="n"/>
      <c r="Q485" s="110" t="n"/>
      <c r="R485" s="110" t="n"/>
      <c r="S485" s="110" t="n"/>
      <c r="T485" s="110" t="n"/>
      <c r="U485" s="110" t="n"/>
      <c r="V485" s="110" t="n"/>
      <c r="W485" s="110" t="n"/>
      <c r="X485" s="110" t="n"/>
      <c r="Y485" s="110" t="n"/>
      <c r="Z485" s="110" t="n"/>
    </row>
    <row r="486">
      <c r="A486" s="110" t="n"/>
      <c r="B486" s="110" t="n"/>
      <c r="C486" s="110" t="n"/>
      <c r="D486" s="110" t="n"/>
      <c r="E486" s="110" t="n"/>
      <c r="F486" s="110" t="n"/>
      <c r="G486" s="110" t="n"/>
      <c r="H486" s="110" t="n"/>
      <c r="I486" s="110" t="n"/>
      <c r="J486" s="110" t="n"/>
      <c r="K486" s="110" t="n"/>
      <c r="L486" s="110" t="n"/>
      <c r="M486" s="110" t="n"/>
      <c r="N486" s="110" t="n"/>
      <c r="O486" s="110" t="n"/>
      <c r="P486" s="110" t="n"/>
      <c r="Q486" s="110" t="n"/>
      <c r="R486" s="110" t="n"/>
      <c r="S486" s="110" t="n"/>
      <c r="T486" s="110" t="n"/>
      <c r="U486" s="110" t="n"/>
      <c r="V486" s="110" t="n"/>
      <c r="W486" s="110" t="n"/>
      <c r="X486" s="110" t="n"/>
      <c r="Y486" s="110" t="n"/>
      <c r="Z486" s="110" t="n"/>
    </row>
    <row r="487">
      <c r="A487" s="110" t="n"/>
      <c r="B487" s="110" t="n"/>
      <c r="C487" s="110" t="n"/>
      <c r="D487" s="110" t="n"/>
      <c r="E487" s="110" t="n"/>
      <c r="F487" s="110" t="n"/>
      <c r="G487" s="110" t="n"/>
      <c r="H487" s="110" t="n"/>
      <c r="I487" s="110" t="n"/>
      <c r="J487" s="110" t="n"/>
      <c r="K487" s="110" t="n"/>
      <c r="L487" s="110" t="n"/>
      <c r="M487" s="110" t="n"/>
      <c r="N487" s="110" t="n"/>
      <c r="O487" s="110" t="n"/>
      <c r="P487" s="110" t="n"/>
      <c r="Q487" s="110" t="n"/>
      <c r="R487" s="110" t="n"/>
      <c r="S487" s="110" t="n"/>
      <c r="T487" s="110" t="n"/>
      <c r="U487" s="110" t="n"/>
      <c r="V487" s="110" t="n"/>
      <c r="W487" s="110" t="n"/>
      <c r="X487" s="110" t="n"/>
      <c r="Y487" s="110" t="n"/>
      <c r="Z487" s="110" t="n"/>
    </row>
    <row r="488">
      <c r="A488" s="110" t="n"/>
      <c r="B488" s="110" t="n"/>
      <c r="C488" s="110" t="n"/>
      <c r="D488" s="110" t="n"/>
      <c r="E488" s="110" t="n"/>
      <c r="F488" s="110" t="n"/>
      <c r="G488" s="110" t="n"/>
      <c r="H488" s="110" t="n"/>
      <c r="I488" s="110" t="n"/>
      <c r="J488" s="110" t="n"/>
      <c r="K488" s="110" t="n"/>
      <c r="L488" s="110" t="n"/>
      <c r="M488" s="110" t="n"/>
      <c r="N488" s="110" t="n"/>
      <c r="O488" s="110" t="n"/>
      <c r="P488" s="110" t="n"/>
      <c r="Q488" s="110" t="n"/>
      <c r="R488" s="110" t="n"/>
      <c r="S488" s="110" t="n"/>
      <c r="T488" s="110" t="n"/>
      <c r="U488" s="110" t="n"/>
      <c r="V488" s="110" t="n"/>
      <c r="W488" s="110" t="n"/>
      <c r="X488" s="110" t="n"/>
      <c r="Y488" s="110" t="n"/>
      <c r="Z488" s="110" t="n"/>
    </row>
    <row r="489">
      <c r="A489" s="110" t="n"/>
      <c r="B489" s="110" t="n"/>
      <c r="C489" s="110" t="n"/>
      <c r="D489" s="110" t="n"/>
      <c r="E489" s="110" t="n"/>
      <c r="F489" s="110" t="n"/>
      <c r="G489" s="110" t="n"/>
      <c r="H489" s="110" t="n"/>
      <c r="I489" s="110" t="n"/>
      <c r="J489" s="110" t="n"/>
      <c r="K489" s="110" t="n"/>
      <c r="L489" s="110" t="n"/>
      <c r="M489" s="110" t="n"/>
      <c r="N489" s="110" t="n"/>
      <c r="O489" s="110" t="n"/>
      <c r="P489" s="110" t="n"/>
      <c r="Q489" s="110" t="n"/>
      <c r="R489" s="110" t="n"/>
      <c r="S489" s="110" t="n"/>
      <c r="T489" s="110" t="n"/>
      <c r="U489" s="110" t="n"/>
      <c r="V489" s="110" t="n"/>
      <c r="W489" s="110" t="n"/>
      <c r="X489" s="110" t="n"/>
      <c r="Y489" s="110" t="n"/>
      <c r="Z489" s="110" t="n"/>
    </row>
    <row r="490">
      <c r="A490" s="110" t="n"/>
      <c r="B490" s="110" t="n"/>
      <c r="C490" s="110" t="n"/>
      <c r="D490" s="110" t="n"/>
      <c r="E490" s="110" t="n"/>
      <c r="F490" s="110" t="n"/>
      <c r="G490" s="110" t="n"/>
      <c r="H490" s="110" t="n"/>
      <c r="I490" s="110" t="n"/>
      <c r="J490" s="110" t="n"/>
      <c r="K490" s="110" t="n"/>
      <c r="L490" s="110" t="n"/>
      <c r="M490" s="110" t="n"/>
      <c r="N490" s="110" t="n"/>
      <c r="O490" s="110" t="n"/>
      <c r="P490" s="110" t="n"/>
      <c r="Q490" s="110" t="n"/>
      <c r="R490" s="110" t="n"/>
      <c r="S490" s="110" t="n"/>
      <c r="T490" s="110" t="n"/>
      <c r="U490" s="110" t="n"/>
      <c r="V490" s="110" t="n"/>
      <c r="W490" s="110" t="n"/>
      <c r="X490" s="110" t="n"/>
      <c r="Y490" s="110" t="n"/>
      <c r="Z490" s="110" t="n"/>
    </row>
    <row r="491">
      <c r="A491" s="110" t="n"/>
      <c r="B491" s="110" t="n"/>
      <c r="C491" s="110" t="n"/>
      <c r="D491" s="110" t="n"/>
      <c r="E491" s="110" t="n"/>
      <c r="F491" s="110" t="n"/>
      <c r="G491" s="110" t="n"/>
      <c r="H491" s="110" t="n"/>
      <c r="I491" s="110" t="n"/>
      <c r="J491" s="110" t="n"/>
      <c r="K491" s="110" t="n"/>
      <c r="L491" s="110" t="n"/>
      <c r="M491" s="110" t="n"/>
      <c r="N491" s="110" t="n"/>
      <c r="O491" s="110" t="n"/>
      <c r="P491" s="110" t="n"/>
      <c r="Q491" s="110" t="n"/>
      <c r="R491" s="110" t="n"/>
      <c r="S491" s="110" t="n"/>
      <c r="T491" s="110" t="n"/>
      <c r="U491" s="110" t="n"/>
      <c r="V491" s="110" t="n"/>
      <c r="W491" s="110" t="n"/>
      <c r="X491" s="110" t="n"/>
      <c r="Y491" s="110" t="n"/>
      <c r="Z491" s="110" t="n"/>
    </row>
    <row r="492">
      <c r="A492" s="110" t="n"/>
      <c r="B492" s="110" t="n"/>
      <c r="C492" s="110" t="n"/>
      <c r="D492" s="110" t="n"/>
      <c r="E492" s="110" t="n"/>
      <c r="F492" s="110" t="n"/>
      <c r="G492" s="110" t="n"/>
      <c r="H492" s="110" t="n"/>
      <c r="I492" s="110" t="n"/>
      <c r="J492" s="110" t="n"/>
      <c r="K492" s="110" t="n"/>
      <c r="L492" s="110" t="n"/>
      <c r="M492" s="110" t="n"/>
      <c r="N492" s="110" t="n"/>
      <c r="O492" s="110" t="n"/>
      <c r="P492" s="110" t="n"/>
      <c r="Q492" s="110" t="n"/>
      <c r="R492" s="110" t="n"/>
      <c r="S492" s="110" t="n"/>
      <c r="T492" s="110" t="n"/>
      <c r="U492" s="110" t="n"/>
      <c r="V492" s="110" t="n"/>
      <c r="W492" s="110" t="n"/>
      <c r="X492" s="110" t="n"/>
      <c r="Y492" s="110" t="n"/>
      <c r="Z492" s="110" t="n"/>
    </row>
    <row r="493">
      <c r="A493" s="110" t="n"/>
      <c r="B493" s="110" t="n"/>
      <c r="C493" s="110" t="n"/>
      <c r="D493" s="110" t="n"/>
      <c r="E493" s="110" t="n"/>
      <c r="F493" s="110" t="n"/>
      <c r="G493" s="110" t="n"/>
      <c r="H493" s="110" t="n"/>
      <c r="I493" s="110" t="n"/>
      <c r="J493" s="110" t="n"/>
      <c r="K493" s="110" t="n"/>
      <c r="L493" s="110" t="n"/>
      <c r="M493" s="110" t="n"/>
      <c r="N493" s="110" t="n"/>
      <c r="O493" s="110" t="n"/>
      <c r="P493" s="110" t="n"/>
      <c r="Q493" s="110" t="n"/>
      <c r="R493" s="110" t="n"/>
      <c r="S493" s="110" t="n"/>
      <c r="T493" s="110" t="n"/>
      <c r="U493" s="110" t="n"/>
      <c r="V493" s="110" t="n"/>
      <c r="W493" s="110" t="n"/>
      <c r="X493" s="110" t="n"/>
      <c r="Y493" s="110" t="n"/>
      <c r="Z493" s="110" t="n"/>
    </row>
    <row r="494">
      <c r="A494" s="110" t="n"/>
      <c r="B494" s="110" t="n"/>
      <c r="C494" s="110" t="n"/>
      <c r="D494" s="110" t="n"/>
      <c r="E494" s="110" t="n"/>
      <c r="F494" s="110" t="n"/>
      <c r="G494" s="110" t="n"/>
      <c r="H494" s="110" t="n"/>
      <c r="I494" s="110" t="n"/>
      <c r="J494" s="110" t="n"/>
      <c r="K494" s="110" t="n"/>
      <c r="L494" s="110" t="n"/>
      <c r="M494" s="110" t="n"/>
      <c r="N494" s="110" t="n"/>
      <c r="O494" s="110" t="n"/>
      <c r="P494" s="110" t="n"/>
      <c r="Q494" s="110" t="n"/>
      <c r="R494" s="110" t="n"/>
      <c r="S494" s="110" t="n"/>
      <c r="T494" s="110" t="n"/>
      <c r="U494" s="110" t="n"/>
      <c r="V494" s="110" t="n"/>
      <c r="W494" s="110" t="n"/>
      <c r="X494" s="110" t="n"/>
      <c r="Y494" s="110" t="n"/>
      <c r="Z494" s="110" t="n"/>
    </row>
    <row r="495">
      <c r="A495" s="110" t="n"/>
      <c r="B495" s="110" t="n"/>
      <c r="C495" s="110" t="n"/>
      <c r="D495" s="110" t="n"/>
      <c r="E495" s="110" t="n"/>
      <c r="F495" s="110" t="n"/>
      <c r="G495" s="110" t="n"/>
      <c r="H495" s="110" t="n"/>
      <c r="I495" s="110" t="n"/>
      <c r="J495" s="110" t="n"/>
      <c r="K495" s="110" t="n"/>
      <c r="L495" s="110" t="n"/>
      <c r="M495" s="110" t="n"/>
      <c r="N495" s="110" t="n"/>
      <c r="O495" s="110" t="n"/>
      <c r="P495" s="110" t="n"/>
      <c r="Q495" s="110" t="n"/>
      <c r="R495" s="110" t="n"/>
      <c r="S495" s="110" t="n"/>
      <c r="T495" s="110" t="n"/>
      <c r="U495" s="110" t="n"/>
      <c r="V495" s="110" t="n"/>
      <c r="W495" s="110" t="n"/>
      <c r="X495" s="110" t="n"/>
      <c r="Y495" s="110" t="n"/>
      <c r="Z495" s="110" t="n"/>
    </row>
    <row r="496">
      <c r="A496" s="110" t="n"/>
      <c r="B496" s="110" t="n"/>
      <c r="C496" s="110" t="n"/>
      <c r="D496" s="110" t="n"/>
      <c r="E496" s="110" t="n"/>
      <c r="F496" s="110" t="n"/>
      <c r="G496" s="110" t="n"/>
      <c r="H496" s="110" t="n"/>
      <c r="I496" s="110" t="n"/>
      <c r="J496" s="110" t="n"/>
      <c r="K496" s="110" t="n"/>
      <c r="L496" s="110" t="n"/>
      <c r="M496" s="110" t="n"/>
      <c r="N496" s="110" t="n"/>
      <c r="O496" s="110" t="n"/>
      <c r="P496" s="110" t="n"/>
      <c r="Q496" s="110" t="n"/>
      <c r="R496" s="110" t="n"/>
      <c r="S496" s="110" t="n"/>
      <c r="T496" s="110" t="n"/>
      <c r="U496" s="110" t="n"/>
      <c r="V496" s="110" t="n"/>
      <c r="W496" s="110" t="n"/>
      <c r="X496" s="110" t="n"/>
      <c r="Y496" s="110" t="n"/>
      <c r="Z496" s="110" t="n"/>
    </row>
    <row r="497">
      <c r="A497" s="110" t="n"/>
      <c r="B497" s="110" t="n"/>
      <c r="C497" s="110" t="n"/>
      <c r="D497" s="110" t="n"/>
      <c r="E497" s="110" t="n"/>
      <c r="F497" s="110" t="n"/>
      <c r="G497" s="110" t="n"/>
      <c r="H497" s="110" t="n"/>
      <c r="I497" s="110" t="n"/>
      <c r="J497" s="110" t="n"/>
      <c r="K497" s="110" t="n"/>
      <c r="L497" s="110" t="n"/>
      <c r="M497" s="110" t="n"/>
      <c r="N497" s="110" t="n"/>
      <c r="O497" s="110" t="n"/>
      <c r="P497" s="110" t="n"/>
      <c r="Q497" s="110" t="n"/>
      <c r="R497" s="110" t="n"/>
      <c r="S497" s="110" t="n"/>
      <c r="T497" s="110" t="n"/>
      <c r="U497" s="110" t="n"/>
      <c r="V497" s="110" t="n"/>
      <c r="W497" s="110" t="n"/>
      <c r="X497" s="110" t="n"/>
      <c r="Y497" s="110" t="n"/>
      <c r="Z497" s="110" t="n"/>
    </row>
    <row r="498">
      <c r="A498" s="110" t="n"/>
      <c r="B498" s="110" t="n"/>
      <c r="C498" s="110" t="n"/>
      <c r="D498" s="110" t="n"/>
      <c r="E498" s="110" t="n"/>
      <c r="F498" s="110" t="n"/>
      <c r="G498" s="110" t="n"/>
      <c r="H498" s="110" t="n"/>
      <c r="I498" s="110" t="n"/>
      <c r="J498" s="110" t="n"/>
      <c r="K498" s="110" t="n"/>
      <c r="L498" s="110" t="n"/>
      <c r="M498" s="110" t="n"/>
      <c r="N498" s="110" t="n"/>
      <c r="O498" s="110" t="n"/>
      <c r="P498" s="110" t="n"/>
      <c r="Q498" s="110" t="n"/>
      <c r="R498" s="110" t="n"/>
      <c r="S498" s="110" t="n"/>
      <c r="T498" s="110" t="n"/>
      <c r="U498" s="110" t="n"/>
      <c r="V498" s="110" t="n"/>
      <c r="W498" s="110" t="n"/>
      <c r="X498" s="110" t="n"/>
      <c r="Y498" s="110" t="n"/>
      <c r="Z498" s="110" t="n"/>
    </row>
    <row r="499">
      <c r="A499" s="110" t="n"/>
      <c r="B499" s="110" t="n"/>
      <c r="C499" s="110" t="n"/>
      <c r="D499" s="110" t="n"/>
      <c r="E499" s="110" t="n"/>
      <c r="F499" s="110" t="n"/>
      <c r="G499" s="110" t="n"/>
      <c r="H499" s="110" t="n"/>
      <c r="I499" s="110" t="n"/>
      <c r="J499" s="110" t="n"/>
      <c r="K499" s="110" t="n"/>
      <c r="L499" s="110" t="n"/>
      <c r="M499" s="110" t="n"/>
      <c r="N499" s="110" t="n"/>
      <c r="O499" s="110" t="n"/>
      <c r="P499" s="110" t="n"/>
      <c r="Q499" s="110" t="n"/>
      <c r="R499" s="110" t="n"/>
      <c r="S499" s="110" t="n"/>
      <c r="T499" s="110" t="n"/>
      <c r="U499" s="110" t="n"/>
      <c r="V499" s="110" t="n"/>
      <c r="W499" s="110" t="n"/>
      <c r="X499" s="110" t="n"/>
      <c r="Y499" s="110" t="n"/>
      <c r="Z499" s="110" t="n"/>
    </row>
    <row r="500">
      <c r="A500" s="110" t="n"/>
      <c r="B500" s="110" t="n"/>
      <c r="C500" s="110" t="n"/>
      <c r="D500" s="110" t="n"/>
      <c r="E500" s="110" t="n"/>
      <c r="F500" s="110" t="n"/>
      <c r="G500" s="110" t="n"/>
      <c r="H500" s="110" t="n"/>
      <c r="I500" s="110" t="n"/>
      <c r="J500" s="110" t="n"/>
      <c r="K500" s="110" t="n"/>
      <c r="L500" s="110" t="n"/>
      <c r="M500" s="110" t="n"/>
      <c r="N500" s="110" t="n"/>
      <c r="O500" s="110" t="n"/>
      <c r="P500" s="110" t="n"/>
      <c r="Q500" s="110" t="n"/>
      <c r="R500" s="110" t="n"/>
      <c r="S500" s="110" t="n"/>
      <c r="T500" s="110" t="n"/>
      <c r="U500" s="110" t="n"/>
      <c r="V500" s="110" t="n"/>
      <c r="W500" s="110" t="n"/>
      <c r="X500" s="110" t="n"/>
      <c r="Y500" s="110" t="n"/>
      <c r="Z500" s="110" t="n"/>
    </row>
    <row r="501">
      <c r="A501" s="110" t="n"/>
      <c r="B501" s="110" t="n"/>
      <c r="C501" s="110" t="n"/>
      <c r="D501" s="110" t="n"/>
      <c r="E501" s="110" t="n"/>
      <c r="F501" s="110" t="n"/>
      <c r="G501" s="110" t="n"/>
      <c r="H501" s="110" t="n"/>
      <c r="I501" s="110" t="n"/>
      <c r="J501" s="110" t="n"/>
      <c r="K501" s="110" t="n"/>
      <c r="L501" s="110" t="n"/>
      <c r="M501" s="110" t="n"/>
      <c r="N501" s="110" t="n"/>
      <c r="O501" s="110" t="n"/>
      <c r="P501" s="110" t="n"/>
      <c r="Q501" s="110" t="n"/>
      <c r="R501" s="110" t="n"/>
      <c r="S501" s="110" t="n"/>
      <c r="T501" s="110" t="n"/>
      <c r="U501" s="110" t="n"/>
      <c r="V501" s="110" t="n"/>
      <c r="W501" s="110" t="n"/>
      <c r="X501" s="110" t="n"/>
      <c r="Y501" s="110" t="n"/>
      <c r="Z501" s="110" t="n"/>
    </row>
    <row r="502">
      <c r="A502" s="110" t="n"/>
      <c r="B502" s="110" t="n"/>
      <c r="C502" s="110" t="n"/>
      <c r="D502" s="110" t="n"/>
      <c r="E502" s="110" t="n"/>
      <c r="F502" s="110" t="n"/>
      <c r="G502" s="110" t="n"/>
      <c r="H502" s="110" t="n"/>
      <c r="I502" s="110" t="n"/>
      <c r="J502" s="110" t="n"/>
      <c r="K502" s="110" t="n"/>
      <c r="L502" s="110" t="n"/>
      <c r="M502" s="110" t="n"/>
      <c r="N502" s="110" t="n"/>
      <c r="O502" s="110" t="n"/>
      <c r="P502" s="110" t="n"/>
      <c r="Q502" s="110" t="n"/>
      <c r="R502" s="110" t="n"/>
      <c r="S502" s="110" t="n"/>
      <c r="T502" s="110" t="n"/>
      <c r="U502" s="110" t="n"/>
      <c r="V502" s="110" t="n"/>
      <c r="W502" s="110" t="n"/>
      <c r="X502" s="110" t="n"/>
      <c r="Y502" s="110" t="n"/>
      <c r="Z502" s="110" t="n"/>
    </row>
    <row r="503">
      <c r="A503" s="110" t="n"/>
      <c r="B503" s="110" t="n"/>
      <c r="C503" s="110" t="n"/>
      <c r="D503" s="110" t="n"/>
      <c r="E503" s="110" t="n"/>
      <c r="F503" s="110" t="n"/>
      <c r="G503" s="110" t="n"/>
      <c r="H503" s="110" t="n"/>
      <c r="I503" s="110" t="n"/>
      <c r="J503" s="110" t="n"/>
      <c r="K503" s="110" t="n"/>
      <c r="L503" s="110" t="n"/>
      <c r="M503" s="110" t="n"/>
      <c r="N503" s="110" t="n"/>
      <c r="O503" s="110" t="n"/>
      <c r="P503" s="110" t="n"/>
      <c r="Q503" s="110" t="n"/>
      <c r="R503" s="110" t="n"/>
      <c r="S503" s="110" t="n"/>
      <c r="T503" s="110" t="n"/>
      <c r="U503" s="110" t="n"/>
      <c r="V503" s="110" t="n"/>
      <c r="W503" s="110" t="n"/>
      <c r="X503" s="110" t="n"/>
      <c r="Y503" s="110" t="n"/>
      <c r="Z503" s="110" t="n"/>
    </row>
    <row r="504">
      <c r="A504" s="110" t="n"/>
      <c r="B504" s="110" t="n"/>
      <c r="C504" s="110" t="n"/>
      <c r="D504" s="110" t="n"/>
      <c r="E504" s="110" t="n"/>
      <c r="F504" s="110" t="n"/>
      <c r="G504" s="110" t="n"/>
      <c r="H504" s="110" t="n"/>
      <c r="I504" s="110" t="n"/>
      <c r="J504" s="110" t="n"/>
      <c r="K504" s="110" t="n"/>
      <c r="L504" s="110" t="n"/>
      <c r="M504" s="110" t="n"/>
      <c r="N504" s="110" t="n"/>
      <c r="O504" s="110" t="n"/>
      <c r="P504" s="110" t="n"/>
      <c r="Q504" s="110" t="n"/>
      <c r="R504" s="110" t="n"/>
      <c r="S504" s="110" t="n"/>
      <c r="T504" s="110" t="n"/>
      <c r="U504" s="110" t="n"/>
      <c r="V504" s="110" t="n"/>
      <c r="W504" s="110" t="n"/>
      <c r="X504" s="110" t="n"/>
      <c r="Y504" s="110" t="n"/>
      <c r="Z504" s="110" t="n"/>
    </row>
    <row r="505">
      <c r="A505" s="110" t="n"/>
      <c r="B505" s="110" t="n"/>
      <c r="C505" s="110" t="n"/>
      <c r="D505" s="110" t="n"/>
      <c r="E505" s="110" t="n"/>
      <c r="F505" s="110" t="n"/>
      <c r="G505" s="110" t="n"/>
      <c r="H505" s="110" t="n"/>
      <c r="I505" s="110" t="n"/>
      <c r="J505" s="110" t="n"/>
      <c r="K505" s="110" t="n"/>
      <c r="L505" s="110" t="n"/>
      <c r="M505" s="110" t="n"/>
      <c r="N505" s="110" t="n"/>
      <c r="O505" s="110" t="n"/>
      <c r="P505" s="110" t="n"/>
      <c r="Q505" s="110" t="n"/>
      <c r="R505" s="110" t="n"/>
      <c r="S505" s="110" t="n"/>
      <c r="T505" s="110" t="n"/>
      <c r="U505" s="110" t="n"/>
      <c r="V505" s="110" t="n"/>
      <c r="W505" s="110" t="n"/>
      <c r="X505" s="110" t="n"/>
      <c r="Y505" s="110" t="n"/>
      <c r="Z505" s="110" t="n"/>
    </row>
    <row r="506">
      <c r="A506" s="110" t="n"/>
      <c r="B506" s="110" t="n"/>
      <c r="C506" s="110" t="n"/>
      <c r="D506" s="110" t="n"/>
      <c r="E506" s="110" t="n"/>
      <c r="F506" s="110" t="n"/>
      <c r="G506" s="110" t="n"/>
      <c r="H506" s="110" t="n"/>
      <c r="I506" s="110" t="n"/>
      <c r="J506" s="110" t="n"/>
      <c r="K506" s="110" t="n"/>
      <c r="L506" s="110" t="n"/>
      <c r="M506" s="110" t="n"/>
      <c r="N506" s="110" t="n"/>
      <c r="O506" s="110" t="n"/>
      <c r="P506" s="110" t="n"/>
      <c r="Q506" s="110" t="n"/>
      <c r="R506" s="110" t="n"/>
      <c r="S506" s="110" t="n"/>
      <c r="T506" s="110" t="n"/>
      <c r="U506" s="110" t="n"/>
      <c r="V506" s="110" t="n"/>
      <c r="W506" s="110" t="n"/>
      <c r="X506" s="110" t="n"/>
      <c r="Y506" s="110" t="n"/>
      <c r="Z506" s="110" t="n"/>
    </row>
    <row r="507">
      <c r="A507" s="110" t="n"/>
      <c r="B507" s="110" t="n"/>
      <c r="C507" s="110" t="n"/>
      <c r="D507" s="110" t="n"/>
      <c r="E507" s="110" t="n"/>
      <c r="F507" s="110" t="n"/>
      <c r="G507" s="110" t="n"/>
      <c r="H507" s="110" t="n"/>
      <c r="I507" s="110" t="n"/>
      <c r="J507" s="110" t="n"/>
      <c r="K507" s="110" t="n"/>
      <c r="L507" s="110" t="n"/>
      <c r="M507" s="110" t="n"/>
      <c r="N507" s="110" t="n"/>
      <c r="O507" s="110" t="n"/>
      <c r="P507" s="110" t="n"/>
      <c r="Q507" s="110" t="n"/>
      <c r="R507" s="110" t="n"/>
      <c r="S507" s="110" t="n"/>
      <c r="T507" s="110" t="n"/>
      <c r="U507" s="110" t="n"/>
      <c r="V507" s="110" t="n"/>
      <c r="W507" s="110" t="n"/>
      <c r="X507" s="110" t="n"/>
      <c r="Y507" s="110" t="n"/>
      <c r="Z507" s="110" t="n"/>
    </row>
    <row r="508">
      <c r="A508" s="110" t="n"/>
      <c r="B508" s="110" t="n"/>
      <c r="C508" s="110" t="n"/>
      <c r="D508" s="110" t="n"/>
      <c r="E508" s="110" t="n"/>
      <c r="F508" s="110" t="n"/>
      <c r="G508" s="110" t="n"/>
      <c r="H508" s="110" t="n"/>
      <c r="I508" s="110" t="n"/>
      <c r="J508" s="110" t="n"/>
      <c r="K508" s="110" t="n"/>
      <c r="L508" s="110" t="n"/>
      <c r="M508" s="110" t="n"/>
      <c r="N508" s="110" t="n"/>
      <c r="O508" s="110" t="n"/>
      <c r="P508" s="110" t="n"/>
      <c r="Q508" s="110" t="n"/>
      <c r="R508" s="110" t="n"/>
      <c r="S508" s="110" t="n"/>
      <c r="T508" s="110" t="n"/>
      <c r="U508" s="110" t="n"/>
      <c r="V508" s="110" t="n"/>
      <c r="W508" s="110" t="n"/>
      <c r="X508" s="110" t="n"/>
      <c r="Y508" s="110" t="n"/>
      <c r="Z508" s="110" t="n"/>
    </row>
    <row r="509">
      <c r="A509" s="110" t="n"/>
      <c r="B509" s="110" t="n"/>
      <c r="C509" s="110" t="n"/>
      <c r="D509" s="110" t="n"/>
      <c r="E509" s="110" t="n"/>
      <c r="F509" s="110" t="n"/>
      <c r="G509" s="110" t="n"/>
      <c r="H509" s="110" t="n"/>
      <c r="I509" s="110" t="n"/>
      <c r="J509" s="110" t="n"/>
      <c r="K509" s="110" t="n"/>
      <c r="L509" s="110" t="n"/>
      <c r="M509" s="110" t="n"/>
      <c r="N509" s="110" t="n"/>
      <c r="O509" s="110" t="n"/>
      <c r="P509" s="110" t="n"/>
      <c r="Q509" s="110" t="n"/>
      <c r="R509" s="110" t="n"/>
      <c r="S509" s="110" t="n"/>
      <c r="T509" s="110" t="n"/>
      <c r="U509" s="110" t="n"/>
      <c r="V509" s="110" t="n"/>
      <c r="W509" s="110" t="n"/>
      <c r="X509" s="110" t="n"/>
      <c r="Y509" s="110" t="n"/>
      <c r="Z509" s="110" t="n"/>
    </row>
    <row r="510">
      <c r="A510" s="110" t="n"/>
      <c r="B510" s="110" t="n"/>
      <c r="C510" s="110" t="n"/>
      <c r="D510" s="110" t="n"/>
      <c r="E510" s="110" t="n"/>
      <c r="F510" s="110" t="n"/>
      <c r="G510" s="110" t="n"/>
      <c r="H510" s="110" t="n"/>
      <c r="I510" s="110" t="n"/>
      <c r="J510" s="110" t="n"/>
      <c r="K510" s="110" t="n"/>
      <c r="L510" s="110" t="n"/>
      <c r="M510" s="110" t="n"/>
      <c r="N510" s="110" t="n"/>
      <c r="O510" s="110" t="n"/>
      <c r="P510" s="110" t="n"/>
      <c r="Q510" s="110" t="n"/>
      <c r="R510" s="110" t="n"/>
      <c r="S510" s="110" t="n"/>
      <c r="T510" s="110" t="n"/>
      <c r="U510" s="110" t="n"/>
      <c r="V510" s="110" t="n"/>
      <c r="W510" s="110" t="n"/>
      <c r="X510" s="110" t="n"/>
      <c r="Y510" s="110" t="n"/>
      <c r="Z510" s="110" t="n"/>
    </row>
    <row r="511">
      <c r="A511" s="110" t="n"/>
      <c r="B511" s="110" t="n"/>
      <c r="C511" s="110" t="n"/>
      <c r="D511" s="110" t="n"/>
      <c r="E511" s="110" t="n"/>
      <c r="F511" s="110" t="n"/>
      <c r="G511" s="110" t="n"/>
      <c r="H511" s="110" t="n"/>
      <c r="I511" s="110" t="n"/>
      <c r="J511" s="110" t="n"/>
      <c r="K511" s="110" t="n"/>
      <c r="L511" s="110" t="n"/>
      <c r="M511" s="110" t="n"/>
      <c r="N511" s="110" t="n"/>
      <c r="O511" s="110" t="n"/>
      <c r="P511" s="110" t="n"/>
      <c r="Q511" s="110" t="n"/>
      <c r="R511" s="110" t="n"/>
      <c r="S511" s="110" t="n"/>
      <c r="T511" s="110" t="n"/>
      <c r="U511" s="110" t="n"/>
      <c r="V511" s="110" t="n"/>
      <c r="W511" s="110" t="n"/>
      <c r="X511" s="110" t="n"/>
      <c r="Y511" s="110" t="n"/>
      <c r="Z511" s="110" t="n"/>
    </row>
    <row r="512">
      <c r="A512" s="110" t="n"/>
      <c r="B512" s="110" t="n"/>
      <c r="C512" s="110" t="n"/>
      <c r="D512" s="110" t="n"/>
      <c r="E512" s="110" t="n"/>
      <c r="F512" s="110" t="n"/>
      <c r="G512" s="110" t="n"/>
      <c r="H512" s="110" t="n"/>
      <c r="I512" s="110" t="n"/>
      <c r="J512" s="110" t="n"/>
      <c r="K512" s="110" t="n"/>
      <c r="L512" s="110" t="n"/>
      <c r="M512" s="110" t="n"/>
      <c r="N512" s="110" t="n"/>
      <c r="O512" s="110" t="n"/>
      <c r="P512" s="110" t="n"/>
      <c r="Q512" s="110" t="n"/>
      <c r="R512" s="110" t="n"/>
      <c r="S512" s="110" t="n"/>
      <c r="T512" s="110" t="n"/>
      <c r="U512" s="110" t="n"/>
      <c r="V512" s="110" t="n"/>
      <c r="W512" s="110" t="n"/>
      <c r="X512" s="110" t="n"/>
      <c r="Y512" s="110" t="n"/>
      <c r="Z512" s="110" t="n"/>
    </row>
    <row r="513">
      <c r="A513" s="110" t="n"/>
      <c r="B513" s="110" t="n"/>
      <c r="C513" s="110" t="n"/>
      <c r="D513" s="110" t="n"/>
      <c r="E513" s="110" t="n"/>
      <c r="F513" s="110" t="n"/>
      <c r="G513" s="110" t="n"/>
      <c r="H513" s="110" t="n"/>
      <c r="I513" s="110" t="n"/>
      <c r="J513" s="110" t="n"/>
      <c r="K513" s="110" t="n"/>
      <c r="L513" s="110" t="n"/>
      <c r="M513" s="110" t="n"/>
      <c r="N513" s="110" t="n"/>
      <c r="O513" s="110" t="n"/>
      <c r="P513" s="110" t="n"/>
      <c r="Q513" s="110" t="n"/>
      <c r="R513" s="110" t="n"/>
      <c r="S513" s="110" t="n"/>
      <c r="T513" s="110" t="n"/>
      <c r="U513" s="110" t="n"/>
      <c r="V513" s="110" t="n"/>
      <c r="W513" s="110" t="n"/>
      <c r="X513" s="110" t="n"/>
      <c r="Y513" s="110" t="n"/>
      <c r="Z513" s="110" t="n"/>
    </row>
    <row r="514">
      <c r="A514" s="110" t="n"/>
      <c r="B514" s="110" t="n"/>
      <c r="C514" s="110" t="n"/>
      <c r="D514" s="110" t="n"/>
      <c r="E514" s="110" t="n"/>
      <c r="F514" s="110" t="n"/>
      <c r="G514" s="110" t="n"/>
      <c r="H514" s="110" t="n"/>
      <c r="I514" s="110" t="n"/>
      <c r="J514" s="110" t="n"/>
      <c r="K514" s="110" t="n"/>
      <c r="L514" s="110" t="n"/>
      <c r="M514" s="110" t="n"/>
      <c r="N514" s="110" t="n"/>
      <c r="O514" s="110" t="n"/>
      <c r="P514" s="110" t="n"/>
      <c r="Q514" s="110" t="n"/>
      <c r="R514" s="110" t="n"/>
      <c r="S514" s="110" t="n"/>
      <c r="T514" s="110" t="n"/>
      <c r="U514" s="110" t="n"/>
      <c r="V514" s="110" t="n"/>
      <c r="W514" s="110" t="n"/>
      <c r="X514" s="110" t="n"/>
      <c r="Y514" s="110" t="n"/>
      <c r="Z514" s="110" t="n"/>
    </row>
    <row r="515">
      <c r="A515" s="110" t="n"/>
      <c r="B515" s="110" t="n"/>
      <c r="C515" s="110" t="n"/>
      <c r="D515" s="110" t="n"/>
      <c r="E515" s="110" t="n"/>
      <c r="F515" s="110" t="n"/>
      <c r="G515" s="110" t="n"/>
      <c r="H515" s="110" t="n"/>
      <c r="I515" s="110" t="n"/>
      <c r="J515" s="110" t="n"/>
      <c r="K515" s="110" t="n"/>
      <c r="L515" s="110" t="n"/>
      <c r="M515" s="110" t="n"/>
      <c r="N515" s="110" t="n"/>
      <c r="O515" s="110" t="n"/>
      <c r="P515" s="110" t="n"/>
      <c r="Q515" s="110" t="n"/>
      <c r="R515" s="110" t="n"/>
      <c r="S515" s="110" t="n"/>
      <c r="T515" s="110" t="n"/>
      <c r="U515" s="110" t="n"/>
      <c r="V515" s="110" t="n"/>
      <c r="W515" s="110" t="n"/>
      <c r="X515" s="110" t="n"/>
      <c r="Y515" s="110" t="n"/>
      <c r="Z515" s="110" t="n"/>
    </row>
    <row r="516">
      <c r="A516" s="110" t="n"/>
      <c r="B516" s="110" t="n"/>
      <c r="C516" s="110" t="n"/>
      <c r="D516" s="110" t="n"/>
      <c r="E516" s="110" t="n"/>
      <c r="F516" s="110" t="n"/>
      <c r="G516" s="110" t="n"/>
      <c r="H516" s="110" t="n"/>
      <c r="I516" s="110" t="n"/>
      <c r="J516" s="110" t="n"/>
      <c r="K516" s="110" t="n"/>
      <c r="L516" s="110" t="n"/>
      <c r="M516" s="110" t="n"/>
      <c r="N516" s="110" t="n"/>
      <c r="O516" s="110" t="n"/>
      <c r="P516" s="110" t="n"/>
      <c r="Q516" s="110" t="n"/>
      <c r="R516" s="110" t="n"/>
      <c r="S516" s="110" t="n"/>
      <c r="T516" s="110" t="n"/>
      <c r="U516" s="110" t="n"/>
      <c r="V516" s="110" t="n"/>
      <c r="W516" s="110" t="n"/>
      <c r="X516" s="110" t="n"/>
      <c r="Y516" s="110" t="n"/>
      <c r="Z516" s="110" t="n"/>
    </row>
    <row r="517">
      <c r="A517" s="110" t="n"/>
      <c r="B517" s="110" t="n"/>
      <c r="C517" s="110" t="n"/>
      <c r="D517" s="110" t="n"/>
      <c r="E517" s="110" t="n"/>
      <c r="F517" s="110" t="n"/>
      <c r="G517" s="110" t="n"/>
      <c r="H517" s="110" t="n"/>
      <c r="I517" s="110" t="n"/>
      <c r="J517" s="110" t="n"/>
      <c r="K517" s="110" t="n"/>
      <c r="L517" s="110" t="n"/>
      <c r="M517" s="110" t="n"/>
      <c r="N517" s="110" t="n"/>
      <c r="O517" s="110" t="n"/>
      <c r="P517" s="110" t="n"/>
      <c r="Q517" s="110" t="n"/>
      <c r="R517" s="110" t="n"/>
      <c r="S517" s="110" t="n"/>
      <c r="T517" s="110" t="n"/>
      <c r="U517" s="110" t="n"/>
      <c r="V517" s="110" t="n"/>
      <c r="W517" s="110" t="n"/>
      <c r="X517" s="110" t="n"/>
      <c r="Y517" s="110" t="n"/>
      <c r="Z517" s="110" t="n"/>
    </row>
    <row r="518">
      <c r="A518" s="110" t="n"/>
      <c r="B518" s="110" t="n"/>
      <c r="C518" s="110" t="n"/>
      <c r="D518" s="110" t="n"/>
      <c r="E518" s="110" t="n"/>
      <c r="F518" s="110" t="n"/>
      <c r="G518" s="110" t="n"/>
      <c r="H518" s="110" t="n"/>
      <c r="I518" s="110" t="n"/>
      <c r="J518" s="110" t="n"/>
      <c r="K518" s="110" t="n"/>
      <c r="L518" s="110" t="n"/>
      <c r="M518" s="110" t="n"/>
      <c r="N518" s="110" t="n"/>
      <c r="O518" s="110" t="n"/>
      <c r="P518" s="110" t="n"/>
      <c r="Q518" s="110" t="n"/>
      <c r="R518" s="110" t="n"/>
      <c r="S518" s="110" t="n"/>
      <c r="T518" s="110" t="n"/>
      <c r="U518" s="110" t="n"/>
      <c r="V518" s="110" t="n"/>
      <c r="W518" s="110" t="n"/>
      <c r="X518" s="110" t="n"/>
      <c r="Y518" s="110" t="n"/>
      <c r="Z518" s="110" t="n"/>
    </row>
    <row r="519">
      <c r="A519" s="110" t="n"/>
      <c r="B519" s="110" t="n"/>
      <c r="C519" s="110" t="n"/>
      <c r="D519" s="110" t="n"/>
      <c r="E519" s="110" t="n"/>
      <c r="F519" s="110" t="n"/>
      <c r="G519" s="110" t="n"/>
      <c r="H519" s="110" t="n"/>
      <c r="I519" s="110" t="n"/>
      <c r="J519" s="110" t="n"/>
      <c r="K519" s="110" t="n"/>
      <c r="L519" s="110" t="n"/>
      <c r="M519" s="110" t="n"/>
      <c r="N519" s="110" t="n"/>
      <c r="O519" s="110" t="n"/>
      <c r="P519" s="110" t="n"/>
      <c r="Q519" s="110" t="n"/>
      <c r="R519" s="110" t="n"/>
      <c r="S519" s="110" t="n"/>
      <c r="T519" s="110" t="n"/>
      <c r="U519" s="110" t="n"/>
      <c r="V519" s="110" t="n"/>
      <c r="W519" s="110" t="n"/>
      <c r="X519" s="110" t="n"/>
      <c r="Y519" s="110" t="n"/>
      <c r="Z519" s="110" t="n"/>
    </row>
    <row r="520">
      <c r="A520" s="110" t="n"/>
      <c r="B520" s="110" t="n"/>
      <c r="C520" s="110" t="n"/>
      <c r="D520" s="110" t="n"/>
      <c r="E520" s="110" t="n"/>
      <c r="F520" s="110" t="n"/>
      <c r="G520" s="110" t="n"/>
      <c r="H520" s="110" t="n"/>
      <c r="I520" s="110" t="n"/>
      <c r="J520" s="110" t="n"/>
      <c r="K520" s="110" t="n"/>
      <c r="L520" s="110" t="n"/>
      <c r="M520" s="110" t="n"/>
      <c r="N520" s="110" t="n"/>
      <c r="O520" s="110" t="n"/>
      <c r="P520" s="110" t="n"/>
      <c r="Q520" s="110" t="n"/>
      <c r="R520" s="110" t="n"/>
      <c r="S520" s="110" t="n"/>
      <c r="T520" s="110" t="n"/>
      <c r="U520" s="110" t="n"/>
      <c r="V520" s="110" t="n"/>
      <c r="W520" s="110" t="n"/>
      <c r="X520" s="110" t="n"/>
      <c r="Y520" s="110" t="n"/>
      <c r="Z520" s="110" t="n"/>
    </row>
    <row r="521">
      <c r="A521" s="110" t="n"/>
      <c r="B521" s="110" t="n"/>
      <c r="C521" s="110" t="n"/>
      <c r="D521" s="110" t="n"/>
      <c r="E521" s="110" t="n"/>
      <c r="F521" s="110" t="n"/>
      <c r="G521" s="110" t="n"/>
      <c r="H521" s="110" t="n"/>
      <c r="I521" s="110" t="n"/>
      <c r="J521" s="110" t="n"/>
      <c r="K521" s="110" t="n"/>
      <c r="L521" s="110" t="n"/>
      <c r="M521" s="110" t="n"/>
      <c r="N521" s="110" t="n"/>
      <c r="O521" s="110" t="n"/>
      <c r="P521" s="110" t="n"/>
      <c r="Q521" s="110" t="n"/>
      <c r="R521" s="110" t="n"/>
      <c r="S521" s="110" t="n"/>
      <c r="T521" s="110" t="n"/>
      <c r="U521" s="110" t="n"/>
      <c r="V521" s="110" t="n"/>
      <c r="W521" s="110" t="n"/>
      <c r="X521" s="110" t="n"/>
      <c r="Y521" s="110" t="n"/>
      <c r="Z521" s="110" t="n"/>
    </row>
    <row r="522">
      <c r="A522" s="110" t="n"/>
      <c r="B522" s="110" t="n"/>
      <c r="C522" s="110" t="n"/>
      <c r="D522" s="110" t="n"/>
      <c r="E522" s="110" t="n"/>
      <c r="F522" s="110" t="n"/>
      <c r="G522" s="110" t="n"/>
      <c r="H522" s="110" t="n"/>
      <c r="I522" s="110" t="n"/>
      <c r="J522" s="110" t="n"/>
      <c r="K522" s="110" t="n"/>
      <c r="L522" s="110" t="n"/>
      <c r="M522" s="110" t="n"/>
      <c r="N522" s="110" t="n"/>
      <c r="O522" s="110" t="n"/>
      <c r="P522" s="110" t="n"/>
      <c r="Q522" s="110" t="n"/>
      <c r="R522" s="110" t="n"/>
      <c r="S522" s="110" t="n"/>
      <c r="T522" s="110" t="n"/>
      <c r="U522" s="110" t="n"/>
      <c r="V522" s="110" t="n"/>
      <c r="W522" s="110" t="n"/>
      <c r="X522" s="110" t="n"/>
      <c r="Y522" s="110" t="n"/>
      <c r="Z522" s="110" t="n"/>
    </row>
    <row r="523">
      <c r="A523" s="110" t="n"/>
      <c r="B523" s="110" t="n"/>
      <c r="C523" s="110" t="n"/>
      <c r="D523" s="110" t="n"/>
      <c r="E523" s="110" t="n"/>
      <c r="F523" s="110" t="n"/>
      <c r="G523" s="110" t="n"/>
      <c r="H523" s="110" t="n"/>
      <c r="I523" s="110" t="n"/>
      <c r="J523" s="110" t="n"/>
      <c r="K523" s="110" t="n"/>
      <c r="L523" s="110" t="n"/>
      <c r="M523" s="110" t="n"/>
      <c r="N523" s="110" t="n"/>
      <c r="O523" s="110" t="n"/>
      <c r="P523" s="110" t="n"/>
      <c r="Q523" s="110" t="n"/>
      <c r="R523" s="110" t="n"/>
      <c r="S523" s="110" t="n"/>
      <c r="T523" s="110" t="n"/>
      <c r="U523" s="110" t="n"/>
      <c r="V523" s="110" t="n"/>
      <c r="W523" s="110" t="n"/>
      <c r="X523" s="110" t="n"/>
      <c r="Y523" s="110" t="n"/>
      <c r="Z523" s="110" t="n"/>
    </row>
    <row r="524">
      <c r="A524" s="110" t="n"/>
      <c r="B524" s="110" t="n"/>
      <c r="C524" s="110" t="n"/>
      <c r="D524" s="110" t="n"/>
      <c r="E524" s="110" t="n"/>
      <c r="F524" s="110" t="n"/>
      <c r="G524" s="110" t="n"/>
      <c r="H524" s="110" t="n"/>
      <c r="I524" s="110" t="n"/>
      <c r="J524" s="110" t="n"/>
      <c r="K524" s="110" t="n"/>
      <c r="L524" s="110" t="n"/>
      <c r="M524" s="110" t="n"/>
      <c r="N524" s="110" t="n"/>
      <c r="O524" s="110" t="n"/>
      <c r="P524" s="110" t="n"/>
      <c r="Q524" s="110" t="n"/>
      <c r="R524" s="110" t="n"/>
      <c r="S524" s="110" t="n"/>
      <c r="T524" s="110" t="n"/>
      <c r="U524" s="110" t="n"/>
      <c r="V524" s="110" t="n"/>
      <c r="W524" s="110" t="n"/>
      <c r="X524" s="110" t="n"/>
      <c r="Y524" s="110" t="n"/>
      <c r="Z524" s="110" t="n"/>
    </row>
    <row r="525">
      <c r="A525" s="110" t="n"/>
      <c r="B525" s="110" t="n"/>
      <c r="C525" s="110" t="n"/>
      <c r="D525" s="110" t="n"/>
      <c r="E525" s="110" t="n"/>
      <c r="F525" s="110" t="n"/>
      <c r="G525" s="110" t="n"/>
      <c r="H525" s="110" t="n"/>
      <c r="I525" s="110" t="n"/>
      <c r="J525" s="110" t="n"/>
      <c r="K525" s="110" t="n"/>
      <c r="L525" s="110" t="n"/>
      <c r="M525" s="110" t="n"/>
      <c r="N525" s="110" t="n"/>
      <c r="O525" s="110" t="n"/>
      <c r="P525" s="110" t="n"/>
      <c r="Q525" s="110" t="n"/>
      <c r="R525" s="110" t="n"/>
      <c r="S525" s="110" t="n"/>
      <c r="T525" s="110" t="n"/>
      <c r="U525" s="110" t="n"/>
      <c r="V525" s="110" t="n"/>
      <c r="W525" s="110" t="n"/>
      <c r="X525" s="110" t="n"/>
      <c r="Y525" s="110" t="n"/>
      <c r="Z525" s="110" t="n"/>
    </row>
    <row r="526">
      <c r="A526" s="110" t="n"/>
      <c r="B526" s="110" t="n"/>
      <c r="C526" s="110" t="n"/>
      <c r="D526" s="110" t="n"/>
      <c r="E526" s="110" t="n"/>
      <c r="F526" s="110" t="n"/>
      <c r="G526" s="110" t="n"/>
      <c r="H526" s="110" t="n"/>
      <c r="I526" s="110" t="n"/>
      <c r="J526" s="110" t="n"/>
      <c r="K526" s="110" t="n"/>
      <c r="L526" s="110" t="n"/>
      <c r="M526" s="110" t="n"/>
      <c r="N526" s="110" t="n"/>
      <c r="O526" s="110" t="n"/>
      <c r="P526" s="110" t="n"/>
      <c r="Q526" s="110" t="n"/>
      <c r="R526" s="110" t="n"/>
      <c r="S526" s="110" t="n"/>
      <c r="T526" s="110" t="n"/>
      <c r="U526" s="110" t="n"/>
      <c r="V526" s="110" t="n"/>
      <c r="W526" s="110" t="n"/>
      <c r="X526" s="110" t="n"/>
      <c r="Y526" s="110" t="n"/>
      <c r="Z526" s="110" t="n"/>
    </row>
    <row r="527">
      <c r="A527" s="110" t="n"/>
      <c r="B527" s="110" t="n"/>
      <c r="C527" s="110" t="n"/>
      <c r="D527" s="110" t="n"/>
      <c r="E527" s="110" t="n"/>
      <c r="F527" s="110" t="n"/>
      <c r="G527" s="110" t="n"/>
      <c r="H527" s="110" t="n"/>
      <c r="I527" s="110" t="n"/>
      <c r="J527" s="110" t="n"/>
      <c r="K527" s="110" t="n"/>
      <c r="L527" s="110" t="n"/>
      <c r="M527" s="110" t="n"/>
      <c r="N527" s="110" t="n"/>
      <c r="O527" s="110" t="n"/>
      <c r="P527" s="110" t="n"/>
      <c r="Q527" s="110" t="n"/>
      <c r="R527" s="110" t="n"/>
      <c r="S527" s="110" t="n"/>
      <c r="T527" s="110" t="n"/>
      <c r="U527" s="110" t="n"/>
      <c r="V527" s="110" t="n"/>
      <c r="W527" s="110" t="n"/>
      <c r="X527" s="110" t="n"/>
      <c r="Y527" s="110" t="n"/>
      <c r="Z527" s="110" t="n"/>
    </row>
    <row r="528">
      <c r="A528" s="110" t="n"/>
      <c r="B528" s="110" t="n"/>
      <c r="C528" s="110" t="n"/>
      <c r="D528" s="110" t="n"/>
      <c r="E528" s="110" t="n"/>
      <c r="F528" s="110" t="n"/>
      <c r="G528" s="110" t="n"/>
      <c r="H528" s="110" t="n"/>
      <c r="I528" s="110" t="n"/>
      <c r="J528" s="110" t="n"/>
      <c r="K528" s="110" t="n"/>
      <c r="L528" s="110" t="n"/>
      <c r="M528" s="110" t="n"/>
      <c r="N528" s="110" t="n"/>
      <c r="O528" s="110" t="n"/>
      <c r="P528" s="110" t="n"/>
      <c r="Q528" s="110" t="n"/>
      <c r="R528" s="110" t="n"/>
      <c r="S528" s="110" t="n"/>
      <c r="T528" s="110" t="n"/>
      <c r="U528" s="110" t="n"/>
      <c r="V528" s="110" t="n"/>
      <c r="W528" s="110" t="n"/>
      <c r="X528" s="110" t="n"/>
      <c r="Y528" s="110" t="n"/>
      <c r="Z528" s="110" t="n"/>
    </row>
    <row r="529">
      <c r="A529" s="110" t="n"/>
      <c r="B529" s="110" t="n"/>
      <c r="C529" s="110" t="n"/>
      <c r="D529" s="110" t="n"/>
      <c r="E529" s="110" t="n"/>
      <c r="F529" s="110" t="n"/>
      <c r="G529" s="110" t="n"/>
      <c r="H529" s="110" t="n"/>
      <c r="I529" s="110" t="n"/>
      <c r="J529" s="110" t="n"/>
      <c r="K529" s="110" t="n"/>
      <c r="L529" s="110" t="n"/>
      <c r="M529" s="110" t="n"/>
      <c r="N529" s="110" t="n"/>
      <c r="O529" s="110" t="n"/>
      <c r="P529" s="110" t="n"/>
      <c r="Q529" s="110" t="n"/>
      <c r="R529" s="110" t="n"/>
      <c r="S529" s="110" t="n"/>
      <c r="T529" s="110" t="n"/>
      <c r="U529" s="110" t="n"/>
      <c r="V529" s="110" t="n"/>
      <c r="W529" s="110" t="n"/>
      <c r="X529" s="110" t="n"/>
      <c r="Y529" s="110" t="n"/>
      <c r="Z529" s="110" t="n"/>
    </row>
    <row r="530">
      <c r="A530" s="110" t="n"/>
      <c r="B530" s="110" t="n"/>
      <c r="C530" s="110" t="n"/>
      <c r="D530" s="110" t="n"/>
      <c r="E530" s="110" t="n"/>
      <c r="F530" s="110" t="n"/>
      <c r="G530" s="110" t="n"/>
      <c r="H530" s="110" t="n"/>
      <c r="I530" s="110" t="n"/>
      <c r="J530" s="110" t="n"/>
      <c r="K530" s="110" t="n"/>
      <c r="L530" s="110" t="n"/>
      <c r="M530" s="110" t="n"/>
      <c r="N530" s="110" t="n"/>
      <c r="O530" s="110" t="n"/>
      <c r="P530" s="110" t="n"/>
      <c r="Q530" s="110" t="n"/>
      <c r="R530" s="110" t="n"/>
      <c r="S530" s="110" t="n"/>
      <c r="T530" s="110" t="n"/>
      <c r="U530" s="110" t="n"/>
      <c r="V530" s="110" t="n"/>
      <c r="W530" s="110" t="n"/>
      <c r="X530" s="110" t="n"/>
      <c r="Y530" s="110" t="n"/>
      <c r="Z530" s="110" t="n"/>
    </row>
    <row r="531">
      <c r="A531" s="110" t="n"/>
      <c r="B531" s="110" t="n"/>
      <c r="C531" s="110" t="n"/>
      <c r="D531" s="110" t="n"/>
      <c r="E531" s="110" t="n"/>
      <c r="F531" s="110" t="n"/>
      <c r="G531" s="110" t="n"/>
      <c r="H531" s="110" t="n"/>
      <c r="I531" s="110" t="n"/>
      <c r="J531" s="110" t="n"/>
      <c r="K531" s="110" t="n"/>
      <c r="L531" s="110" t="n"/>
      <c r="M531" s="110" t="n"/>
      <c r="N531" s="110" t="n"/>
      <c r="O531" s="110" t="n"/>
      <c r="P531" s="110" t="n"/>
      <c r="Q531" s="110" t="n"/>
      <c r="R531" s="110" t="n"/>
      <c r="S531" s="110" t="n"/>
      <c r="T531" s="110" t="n"/>
      <c r="U531" s="110" t="n"/>
      <c r="V531" s="110" t="n"/>
      <c r="W531" s="110" t="n"/>
      <c r="X531" s="110" t="n"/>
      <c r="Y531" s="110" t="n"/>
      <c r="Z531" s="110" t="n"/>
    </row>
    <row r="532">
      <c r="A532" s="110" t="n"/>
      <c r="B532" s="110" t="n"/>
      <c r="C532" s="110" t="n"/>
      <c r="D532" s="110" t="n"/>
      <c r="E532" s="110" t="n"/>
      <c r="F532" s="110" t="n"/>
      <c r="G532" s="110" t="n"/>
      <c r="H532" s="110" t="n"/>
      <c r="I532" s="110" t="n"/>
      <c r="J532" s="110" t="n"/>
      <c r="K532" s="110" t="n"/>
      <c r="L532" s="110" t="n"/>
      <c r="M532" s="110" t="n"/>
      <c r="N532" s="110" t="n"/>
      <c r="O532" s="110" t="n"/>
      <c r="P532" s="110" t="n"/>
      <c r="Q532" s="110" t="n"/>
      <c r="R532" s="110" t="n"/>
      <c r="S532" s="110" t="n"/>
      <c r="T532" s="110" t="n"/>
      <c r="U532" s="110" t="n"/>
      <c r="V532" s="110" t="n"/>
      <c r="W532" s="110" t="n"/>
      <c r="X532" s="110" t="n"/>
      <c r="Y532" s="110" t="n"/>
      <c r="Z532" s="110" t="n"/>
    </row>
    <row r="533">
      <c r="A533" s="110" t="n"/>
      <c r="B533" s="110" t="n"/>
      <c r="C533" s="110" t="n"/>
      <c r="D533" s="110" t="n"/>
      <c r="E533" s="110" t="n"/>
      <c r="F533" s="110" t="n"/>
      <c r="G533" s="110" t="n"/>
      <c r="H533" s="110" t="n"/>
      <c r="I533" s="110" t="n"/>
      <c r="J533" s="110" t="n"/>
      <c r="K533" s="110" t="n"/>
      <c r="L533" s="110" t="n"/>
      <c r="M533" s="110" t="n"/>
      <c r="N533" s="110" t="n"/>
      <c r="O533" s="110" t="n"/>
      <c r="P533" s="110" t="n"/>
      <c r="Q533" s="110" t="n"/>
      <c r="R533" s="110" t="n"/>
      <c r="S533" s="110" t="n"/>
      <c r="T533" s="110" t="n"/>
      <c r="U533" s="110" t="n"/>
      <c r="V533" s="110" t="n"/>
      <c r="W533" s="110" t="n"/>
      <c r="X533" s="110" t="n"/>
      <c r="Y533" s="110" t="n"/>
      <c r="Z533" s="110" t="n"/>
    </row>
    <row r="534">
      <c r="A534" s="110" t="n"/>
      <c r="B534" s="110" t="n"/>
      <c r="C534" s="110" t="n"/>
      <c r="D534" s="110" t="n"/>
      <c r="E534" s="110" t="n"/>
      <c r="F534" s="110" t="n"/>
      <c r="G534" s="110" t="n"/>
      <c r="H534" s="110" t="n"/>
      <c r="I534" s="110" t="n"/>
      <c r="J534" s="110" t="n"/>
      <c r="K534" s="110" t="n"/>
      <c r="L534" s="110" t="n"/>
      <c r="M534" s="110" t="n"/>
      <c r="N534" s="110" t="n"/>
      <c r="O534" s="110" t="n"/>
      <c r="P534" s="110" t="n"/>
      <c r="Q534" s="110" t="n"/>
      <c r="R534" s="110" t="n"/>
      <c r="S534" s="110" t="n"/>
      <c r="T534" s="110" t="n"/>
      <c r="U534" s="110" t="n"/>
      <c r="V534" s="110" t="n"/>
      <c r="W534" s="110" t="n"/>
      <c r="X534" s="110" t="n"/>
      <c r="Y534" s="110" t="n"/>
      <c r="Z534" s="110" t="n"/>
    </row>
    <row r="535">
      <c r="A535" s="110" t="n"/>
      <c r="B535" s="110" t="n"/>
      <c r="C535" s="110" t="n"/>
      <c r="D535" s="110" t="n"/>
      <c r="E535" s="110" t="n"/>
      <c r="F535" s="110" t="n"/>
      <c r="G535" s="110" t="n"/>
      <c r="H535" s="110" t="n"/>
      <c r="I535" s="110" t="n"/>
      <c r="J535" s="110" t="n"/>
      <c r="K535" s="110" t="n"/>
      <c r="L535" s="110" t="n"/>
      <c r="M535" s="110" t="n"/>
      <c r="N535" s="110" t="n"/>
      <c r="O535" s="110" t="n"/>
      <c r="P535" s="110" t="n"/>
      <c r="Q535" s="110" t="n"/>
      <c r="R535" s="110" t="n"/>
      <c r="S535" s="110" t="n"/>
      <c r="T535" s="110" t="n"/>
      <c r="U535" s="110" t="n"/>
      <c r="V535" s="110" t="n"/>
      <c r="W535" s="110" t="n"/>
      <c r="X535" s="110" t="n"/>
      <c r="Y535" s="110" t="n"/>
      <c r="Z535" s="110" t="n"/>
    </row>
    <row r="536">
      <c r="A536" s="110" t="n"/>
      <c r="B536" s="110" t="n"/>
      <c r="C536" s="110" t="n"/>
      <c r="D536" s="110" t="n"/>
      <c r="E536" s="110" t="n"/>
      <c r="F536" s="110" t="n"/>
      <c r="G536" s="110" t="n"/>
      <c r="H536" s="110" t="n"/>
      <c r="I536" s="110" t="n"/>
      <c r="J536" s="110" t="n"/>
      <c r="K536" s="110" t="n"/>
      <c r="L536" s="110" t="n"/>
      <c r="M536" s="110" t="n"/>
      <c r="N536" s="110" t="n"/>
      <c r="O536" s="110" t="n"/>
      <c r="P536" s="110" t="n"/>
      <c r="Q536" s="110" t="n"/>
      <c r="R536" s="110" t="n"/>
      <c r="S536" s="110" t="n"/>
      <c r="T536" s="110" t="n"/>
      <c r="U536" s="110" t="n"/>
      <c r="V536" s="110" t="n"/>
      <c r="W536" s="110" t="n"/>
      <c r="X536" s="110" t="n"/>
      <c r="Y536" s="110" t="n"/>
      <c r="Z536" s="110" t="n"/>
    </row>
    <row r="537">
      <c r="A537" s="110" t="n"/>
      <c r="B537" s="110" t="n"/>
      <c r="C537" s="110" t="n"/>
      <c r="D537" s="110" t="n"/>
      <c r="E537" s="110" t="n"/>
      <c r="F537" s="110" t="n"/>
      <c r="G537" s="110" t="n"/>
      <c r="H537" s="110" t="n"/>
      <c r="I537" s="110" t="n"/>
      <c r="J537" s="110" t="n"/>
      <c r="K537" s="110" t="n"/>
      <c r="L537" s="110" t="n"/>
      <c r="M537" s="110" t="n"/>
      <c r="N537" s="110" t="n"/>
      <c r="O537" s="110" t="n"/>
      <c r="P537" s="110" t="n"/>
      <c r="Q537" s="110" t="n"/>
      <c r="R537" s="110" t="n"/>
      <c r="S537" s="110" t="n"/>
      <c r="T537" s="110" t="n"/>
      <c r="U537" s="110" t="n"/>
      <c r="V537" s="110" t="n"/>
      <c r="W537" s="110" t="n"/>
      <c r="X537" s="110" t="n"/>
      <c r="Y537" s="110" t="n"/>
      <c r="Z537" s="110" t="n"/>
    </row>
    <row r="538">
      <c r="A538" s="110" t="n"/>
      <c r="B538" s="110" t="n"/>
      <c r="C538" s="110" t="n"/>
      <c r="D538" s="110" t="n"/>
      <c r="E538" s="110" t="n"/>
      <c r="F538" s="110" t="n"/>
      <c r="G538" s="110" t="n"/>
      <c r="H538" s="110" t="n"/>
      <c r="I538" s="110" t="n"/>
      <c r="J538" s="110" t="n"/>
      <c r="K538" s="110" t="n"/>
      <c r="L538" s="110" t="n"/>
      <c r="M538" s="110" t="n"/>
      <c r="N538" s="110" t="n"/>
      <c r="O538" s="110" t="n"/>
      <c r="P538" s="110" t="n"/>
      <c r="Q538" s="110" t="n"/>
      <c r="R538" s="110" t="n"/>
      <c r="S538" s="110" t="n"/>
      <c r="T538" s="110" t="n"/>
      <c r="U538" s="110" t="n"/>
      <c r="V538" s="110" t="n"/>
      <c r="W538" s="110" t="n"/>
      <c r="X538" s="110" t="n"/>
      <c r="Y538" s="110" t="n"/>
      <c r="Z538" s="110" t="n"/>
    </row>
    <row r="539">
      <c r="A539" s="110" t="n"/>
      <c r="B539" s="110" t="n"/>
      <c r="C539" s="110" t="n"/>
      <c r="D539" s="110" t="n"/>
      <c r="E539" s="110" t="n"/>
      <c r="F539" s="110" t="n"/>
      <c r="G539" s="110" t="n"/>
      <c r="H539" s="110" t="n"/>
      <c r="I539" s="110" t="n"/>
      <c r="J539" s="110" t="n"/>
      <c r="K539" s="110" t="n"/>
      <c r="L539" s="110" t="n"/>
      <c r="M539" s="110" t="n"/>
      <c r="N539" s="110" t="n"/>
      <c r="O539" s="110" t="n"/>
      <c r="P539" s="110" t="n"/>
      <c r="Q539" s="110" t="n"/>
      <c r="R539" s="110" t="n"/>
      <c r="S539" s="110" t="n"/>
      <c r="T539" s="110" t="n"/>
      <c r="U539" s="110" t="n"/>
      <c r="V539" s="110" t="n"/>
      <c r="W539" s="110" t="n"/>
      <c r="X539" s="110" t="n"/>
      <c r="Y539" s="110" t="n"/>
      <c r="Z539" s="110" t="n"/>
    </row>
    <row r="540">
      <c r="A540" s="110" t="n"/>
      <c r="B540" s="110" t="n"/>
      <c r="C540" s="110" t="n"/>
      <c r="D540" s="110" t="n"/>
      <c r="E540" s="110" t="n"/>
      <c r="F540" s="110" t="n"/>
      <c r="G540" s="110" t="n"/>
      <c r="H540" s="110" t="n"/>
      <c r="I540" s="110" t="n"/>
      <c r="J540" s="110" t="n"/>
      <c r="K540" s="110" t="n"/>
      <c r="L540" s="110" t="n"/>
      <c r="M540" s="110" t="n"/>
      <c r="N540" s="110" t="n"/>
      <c r="O540" s="110" t="n"/>
      <c r="P540" s="110" t="n"/>
      <c r="Q540" s="110" t="n"/>
      <c r="R540" s="110" t="n"/>
      <c r="S540" s="110" t="n"/>
      <c r="T540" s="110" t="n"/>
      <c r="U540" s="110" t="n"/>
      <c r="V540" s="110" t="n"/>
      <c r="W540" s="110" t="n"/>
      <c r="X540" s="110" t="n"/>
      <c r="Y540" s="110" t="n"/>
      <c r="Z540" s="110" t="n"/>
    </row>
    <row r="541">
      <c r="A541" s="110" t="n"/>
      <c r="B541" s="110" t="n"/>
      <c r="C541" s="110" t="n"/>
      <c r="D541" s="110" t="n"/>
      <c r="E541" s="110" t="n"/>
      <c r="F541" s="110" t="n"/>
      <c r="G541" s="110" t="n"/>
      <c r="H541" s="110" t="n"/>
      <c r="I541" s="110" t="n"/>
      <c r="J541" s="110" t="n"/>
      <c r="K541" s="110" t="n"/>
      <c r="L541" s="110" t="n"/>
      <c r="M541" s="110" t="n"/>
      <c r="N541" s="110" t="n"/>
      <c r="O541" s="110" t="n"/>
      <c r="P541" s="110" t="n"/>
      <c r="Q541" s="110" t="n"/>
      <c r="R541" s="110" t="n"/>
      <c r="S541" s="110" t="n"/>
      <c r="T541" s="110" t="n"/>
      <c r="U541" s="110" t="n"/>
      <c r="V541" s="110" t="n"/>
      <c r="W541" s="110" t="n"/>
      <c r="X541" s="110" t="n"/>
      <c r="Y541" s="110" t="n"/>
      <c r="Z541" s="110" t="n"/>
    </row>
    <row r="542">
      <c r="A542" s="110" t="n"/>
      <c r="B542" s="110" t="n"/>
      <c r="C542" s="110" t="n"/>
      <c r="D542" s="110" t="n"/>
      <c r="E542" s="110" t="n"/>
      <c r="F542" s="110" t="n"/>
      <c r="G542" s="110" t="n"/>
      <c r="H542" s="110" t="n"/>
      <c r="I542" s="110" t="n"/>
      <c r="J542" s="110" t="n"/>
      <c r="K542" s="110" t="n"/>
      <c r="L542" s="110" t="n"/>
      <c r="M542" s="110" t="n"/>
      <c r="N542" s="110" t="n"/>
      <c r="O542" s="110" t="n"/>
      <c r="P542" s="110" t="n"/>
      <c r="Q542" s="110" t="n"/>
      <c r="R542" s="110" t="n"/>
      <c r="S542" s="110" t="n"/>
      <c r="T542" s="110" t="n"/>
      <c r="U542" s="110" t="n"/>
      <c r="V542" s="110" t="n"/>
      <c r="W542" s="110" t="n"/>
      <c r="X542" s="110" t="n"/>
      <c r="Y542" s="110" t="n"/>
      <c r="Z542" s="110" t="n"/>
    </row>
    <row r="543">
      <c r="A543" s="110" t="n"/>
      <c r="B543" s="110" t="n"/>
      <c r="C543" s="110" t="n"/>
      <c r="D543" s="110" t="n"/>
      <c r="E543" s="110" t="n"/>
      <c r="F543" s="110" t="n"/>
      <c r="G543" s="110" t="n"/>
      <c r="H543" s="110" t="n"/>
      <c r="I543" s="110" t="n"/>
      <c r="J543" s="110" t="n"/>
      <c r="K543" s="110" t="n"/>
      <c r="L543" s="110" t="n"/>
      <c r="M543" s="110" t="n"/>
      <c r="N543" s="110" t="n"/>
      <c r="O543" s="110" t="n"/>
      <c r="P543" s="110" t="n"/>
      <c r="Q543" s="110" t="n"/>
      <c r="R543" s="110" t="n"/>
      <c r="S543" s="110" t="n"/>
      <c r="T543" s="110" t="n"/>
      <c r="U543" s="110" t="n"/>
      <c r="V543" s="110" t="n"/>
      <c r="W543" s="110" t="n"/>
      <c r="X543" s="110" t="n"/>
      <c r="Y543" s="110" t="n"/>
      <c r="Z543" s="110" t="n"/>
    </row>
    <row r="544">
      <c r="A544" s="110" t="n"/>
      <c r="B544" s="110" t="n"/>
      <c r="C544" s="110" t="n"/>
      <c r="D544" s="110" t="n"/>
      <c r="E544" s="110" t="n"/>
      <c r="F544" s="110" t="n"/>
      <c r="G544" s="110" t="n"/>
      <c r="H544" s="110" t="n"/>
      <c r="I544" s="110" t="n"/>
      <c r="J544" s="110" t="n"/>
      <c r="K544" s="110" t="n"/>
      <c r="L544" s="110" t="n"/>
      <c r="M544" s="110" t="n"/>
      <c r="N544" s="110" t="n"/>
      <c r="O544" s="110" t="n"/>
      <c r="P544" s="110" t="n"/>
      <c r="Q544" s="110" t="n"/>
      <c r="R544" s="110" t="n"/>
      <c r="S544" s="110" t="n"/>
      <c r="T544" s="110" t="n"/>
      <c r="U544" s="110" t="n"/>
      <c r="V544" s="110" t="n"/>
      <c r="W544" s="110" t="n"/>
      <c r="X544" s="110" t="n"/>
      <c r="Y544" s="110" t="n"/>
      <c r="Z544" s="110" t="n"/>
    </row>
    <row r="545">
      <c r="A545" s="110" t="n"/>
      <c r="B545" s="110" t="n"/>
      <c r="C545" s="110" t="n"/>
      <c r="D545" s="110" t="n"/>
      <c r="E545" s="110" t="n"/>
      <c r="F545" s="110" t="n"/>
      <c r="G545" s="110" t="n"/>
      <c r="H545" s="110" t="n"/>
      <c r="I545" s="110" t="n"/>
      <c r="J545" s="110" t="n"/>
      <c r="K545" s="110" t="n"/>
      <c r="L545" s="110" t="n"/>
      <c r="M545" s="110" t="n"/>
      <c r="N545" s="110" t="n"/>
      <c r="O545" s="110" t="n"/>
      <c r="P545" s="110" t="n"/>
      <c r="Q545" s="110" t="n"/>
      <c r="R545" s="110" t="n"/>
      <c r="S545" s="110" t="n"/>
      <c r="T545" s="110" t="n"/>
      <c r="U545" s="110" t="n"/>
      <c r="V545" s="110" t="n"/>
      <c r="W545" s="110" t="n"/>
      <c r="X545" s="110" t="n"/>
      <c r="Y545" s="110" t="n"/>
      <c r="Z545" s="110" t="n"/>
    </row>
    <row r="546">
      <c r="A546" s="110" t="n"/>
      <c r="B546" s="110" t="n"/>
      <c r="C546" s="110" t="n"/>
      <c r="D546" s="110" t="n"/>
      <c r="E546" s="110" t="n"/>
      <c r="F546" s="110" t="n"/>
      <c r="G546" s="110" t="n"/>
      <c r="H546" s="110" t="n"/>
      <c r="I546" s="110" t="n"/>
      <c r="J546" s="110" t="n"/>
      <c r="K546" s="110" t="n"/>
      <c r="L546" s="110" t="n"/>
      <c r="M546" s="110" t="n"/>
      <c r="N546" s="110" t="n"/>
      <c r="O546" s="110" t="n"/>
      <c r="P546" s="110" t="n"/>
      <c r="Q546" s="110" t="n"/>
      <c r="R546" s="110" t="n"/>
      <c r="S546" s="110" t="n"/>
      <c r="T546" s="110" t="n"/>
      <c r="U546" s="110" t="n"/>
      <c r="V546" s="110" t="n"/>
      <c r="W546" s="110" t="n"/>
      <c r="X546" s="110" t="n"/>
      <c r="Y546" s="110" t="n"/>
      <c r="Z546" s="110" t="n"/>
    </row>
    <row r="547">
      <c r="A547" s="110" t="n"/>
      <c r="B547" s="110" t="n"/>
      <c r="C547" s="110" t="n"/>
      <c r="D547" s="110" t="n"/>
      <c r="E547" s="110" t="n"/>
      <c r="F547" s="110" t="n"/>
      <c r="G547" s="110" t="n"/>
      <c r="H547" s="110" t="n"/>
      <c r="I547" s="110" t="n"/>
      <c r="J547" s="110" t="n"/>
      <c r="K547" s="110" t="n"/>
      <c r="L547" s="110" t="n"/>
      <c r="M547" s="110" t="n"/>
      <c r="N547" s="110" t="n"/>
      <c r="O547" s="110" t="n"/>
      <c r="P547" s="110" t="n"/>
      <c r="Q547" s="110" t="n"/>
      <c r="R547" s="110" t="n"/>
      <c r="S547" s="110" t="n"/>
      <c r="T547" s="110" t="n"/>
      <c r="U547" s="110" t="n"/>
      <c r="V547" s="110" t="n"/>
      <c r="W547" s="110" t="n"/>
      <c r="X547" s="110" t="n"/>
      <c r="Y547" s="110" t="n"/>
      <c r="Z547" s="110" t="n"/>
    </row>
    <row r="548">
      <c r="A548" s="110" t="n"/>
      <c r="B548" s="110" t="n"/>
      <c r="C548" s="110" t="n"/>
      <c r="D548" s="110" t="n"/>
      <c r="E548" s="110" t="n"/>
      <c r="F548" s="110" t="n"/>
      <c r="G548" s="110" t="n"/>
      <c r="H548" s="110" t="n"/>
      <c r="I548" s="110" t="n"/>
      <c r="J548" s="110" t="n"/>
      <c r="K548" s="110" t="n"/>
      <c r="L548" s="110" t="n"/>
      <c r="M548" s="110" t="n"/>
      <c r="N548" s="110" t="n"/>
      <c r="O548" s="110" t="n"/>
      <c r="P548" s="110" t="n"/>
      <c r="Q548" s="110" t="n"/>
      <c r="R548" s="110" t="n"/>
      <c r="S548" s="110" t="n"/>
      <c r="T548" s="110" t="n"/>
      <c r="U548" s="110" t="n"/>
      <c r="V548" s="110" t="n"/>
      <c r="W548" s="110" t="n"/>
      <c r="X548" s="110" t="n"/>
      <c r="Y548" s="110" t="n"/>
      <c r="Z548" s="110" t="n"/>
    </row>
    <row r="549">
      <c r="A549" s="110" t="n"/>
      <c r="B549" s="110" t="n"/>
      <c r="C549" s="110" t="n"/>
      <c r="D549" s="110" t="n"/>
      <c r="E549" s="110" t="n"/>
      <c r="F549" s="110" t="n"/>
      <c r="G549" s="110" t="n"/>
      <c r="H549" s="110" t="n"/>
      <c r="I549" s="110" t="n"/>
      <c r="J549" s="110" t="n"/>
      <c r="K549" s="110" t="n"/>
      <c r="L549" s="110" t="n"/>
      <c r="M549" s="110" t="n"/>
      <c r="N549" s="110" t="n"/>
      <c r="O549" s="110" t="n"/>
      <c r="P549" s="110" t="n"/>
      <c r="Q549" s="110" t="n"/>
      <c r="R549" s="110" t="n"/>
      <c r="S549" s="110" t="n"/>
      <c r="T549" s="110" t="n"/>
      <c r="U549" s="110" t="n"/>
      <c r="V549" s="110" t="n"/>
      <c r="W549" s="110" t="n"/>
      <c r="X549" s="110" t="n"/>
      <c r="Y549" s="110" t="n"/>
      <c r="Z549" s="110" t="n"/>
    </row>
    <row r="550">
      <c r="A550" s="110" t="n"/>
      <c r="B550" s="110" t="n"/>
      <c r="C550" s="110" t="n"/>
      <c r="D550" s="110" t="n"/>
      <c r="E550" s="110" t="n"/>
      <c r="F550" s="110" t="n"/>
      <c r="G550" s="110" t="n"/>
      <c r="H550" s="110" t="n"/>
      <c r="I550" s="110" t="n"/>
      <c r="J550" s="110" t="n"/>
      <c r="K550" s="110" t="n"/>
      <c r="L550" s="110" t="n"/>
      <c r="M550" s="110" t="n"/>
      <c r="N550" s="110" t="n"/>
      <c r="O550" s="110" t="n"/>
      <c r="P550" s="110" t="n"/>
      <c r="Q550" s="110" t="n"/>
      <c r="R550" s="110" t="n"/>
      <c r="S550" s="110" t="n"/>
      <c r="T550" s="110" t="n"/>
      <c r="U550" s="110" t="n"/>
      <c r="V550" s="110" t="n"/>
      <c r="W550" s="110" t="n"/>
      <c r="X550" s="110" t="n"/>
      <c r="Y550" s="110" t="n"/>
      <c r="Z550" s="110" t="n"/>
    </row>
    <row r="551">
      <c r="A551" s="110" t="n"/>
      <c r="B551" s="110" t="n"/>
      <c r="C551" s="110" t="n"/>
      <c r="D551" s="110" t="n"/>
      <c r="E551" s="110" t="n"/>
      <c r="F551" s="110" t="n"/>
      <c r="G551" s="110" t="n"/>
      <c r="H551" s="110" t="n"/>
      <c r="I551" s="110" t="n"/>
      <c r="J551" s="110" t="n"/>
      <c r="K551" s="110" t="n"/>
      <c r="L551" s="110" t="n"/>
      <c r="M551" s="110" t="n"/>
      <c r="N551" s="110" t="n"/>
      <c r="O551" s="110" t="n"/>
      <c r="P551" s="110" t="n"/>
      <c r="Q551" s="110" t="n"/>
      <c r="R551" s="110" t="n"/>
      <c r="S551" s="110" t="n"/>
      <c r="T551" s="110" t="n"/>
      <c r="U551" s="110" t="n"/>
      <c r="V551" s="110" t="n"/>
      <c r="W551" s="110" t="n"/>
      <c r="X551" s="110" t="n"/>
      <c r="Y551" s="110" t="n"/>
      <c r="Z551" s="110" t="n"/>
    </row>
    <row r="552">
      <c r="A552" s="110" t="n"/>
      <c r="B552" s="110" t="n"/>
      <c r="C552" s="110" t="n"/>
      <c r="D552" s="110" t="n"/>
      <c r="E552" s="110" t="n"/>
      <c r="F552" s="110" t="n"/>
      <c r="G552" s="110" t="n"/>
      <c r="H552" s="110" t="n"/>
      <c r="I552" s="110" t="n"/>
      <c r="J552" s="110" t="n"/>
      <c r="K552" s="110" t="n"/>
      <c r="L552" s="110" t="n"/>
      <c r="M552" s="110" t="n"/>
      <c r="N552" s="110" t="n"/>
      <c r="O552" s="110" t="n"/>
      <c r="P552" s="110" t="n"/>
      <c r="Q552" s="110" t="n"/>
      <c r="R552" s="110" t="n"/>
      <c r="S552" s="110" t="n"/>
      <c r="T552" s="110" t="n"/>
      <c r="U552" s="110" t="n"/>
      <c r="V552" s="110" t="n"/>
      <c r="W552" s="110" t="n"/>
      <c r="X552" s="110" t="n"/>
      <c r="Y552" s="110" t="n"/>
      <c r="Z552" s="110" t="n"/>
    </row>
    <row r="553">
      <c r="A553" s="110" t="n"/>
      <c r="B553" s="110" t="n"/>
      <c r="C553" s="110" t="n"/>
      <c r="D553" s="110" t="n"/>
      <c r="E553" s="110" t="n"/>
      <c r="F553" s="110" t="n"/>
      <c r="G553" s="110" t="n"/>
      <c r="H553" s="110" t="n"/>
      <c r="I553" s="110" t="n"/>
      <c r="J553" s="110" t="n"/>
      <c r="K553" s="110" t="n"/>
      <c r="L553" s="110" t="n"/>
      <c r="M553" s="110" t="n"/>
      <c r="N553" s="110" t="n"/>
      <c r="O553" s="110" t="n"/>
      <c r="P553" s="110" t="n"/>
      <c r="Q553" s="110" t="n"/>
      <c r="R553" s="110" t="n"/>
      <c r="S553" s="110" t="n"/>
      <c r="T553" s="110" t="n"/>
      <c r="U553" s="110" t="n"/>
      <c r="V553" s="110" t="n"/>
      <c r="W553" s="110" t="n"/>
      <c r="X553" s="110" t="n"/>
      <c r="Y553" s="110" t="n"/>
      <c r="Z553" s="110" t="n"/>
    </row>
    <row r="554">
      <c r="A554" s="110" t="n"/>
      <c r="B554" s="110" t="n"/>
      <c r="C554" s="110" t="n"/>
      <c r="D554" s="110" t="n"/>
      <c r="E554" s="110" t="n"/>
      <c r="F554" s="110" t="n"/>
      <c r="G554" s="110" t="n"/>
      <c r="H554" s="110" t="n"/>
      <c r="I554" s="110" t="n"/>
      <c r="J554" s="110" t="n"/>
      <c r="K554" s="110" t="n"/>
      <c r="L554" s="110" t="n"/>
      <c r="M554" s="110" t="n"/>
      <c r="N554" s="110" t="n"/>
      <c r="O554" s="110" t="n"/>
      <c r="P554" s="110" t="n"/>
      <c r="Q554" s="110" t="n"/>
      <c r="R554" s="110" t="n"/>
      <c r="S554" s="110" t="n"/>
      <c r="T554" s="110" t="n"/>
      <c r="U554" s="110" t="n"/>
      <c r="V554" s="110" t="n"/>
      <c r="W554" s="110" t="n"/>
      <c r="X554" s="110" t="n"/>
      <c r="Y554" s="110" t="n"/>
      <c r="Z554" s="110" t="n"/>
    </row>
    <row r="555">
      <c r="A555" s="110" t="n"/>
      <c r="B555" s="110" t="n"/>
      <c r="C555" s="110" t="n"/>
      <c r="D555" s="110" t="n"/>
      <c r="E555" s="110" t="n"/>
      <c r="F555" s="110" t="n"/>
      <c r="G555" s="110" t="n"/>
      <c r="H555" s="110" t="n"/>
      <c r="I555" s="110" t="n"/>
      <c r="J555" s="110" t="n"/>
      <c r="K555" s="110" t="n"/>
      <c r="L555" s="110" t="n"/>
      <c r="M555" s="110" t="n"/>
      <c r="N555" s="110" t="n"/>
      <c r="O555" s="110" t="n"/>
      <c r="P555" s="110" t="n"/>
      <c r="Q555" s="110" t="n"/>
      <c r="R555" s="110" t="n"/>
      <c r="S555" s="110" t="n"/>
      <c r="T555" s="110" t="n"/>
      <c r="U555" s="110" t="n"/>
      <c r="V555" s="110" t="n"/>
      <c r="W555" s="110" t="n"/>
      <c r="X555" s="110" t="n"/>
      <c r="Y555" s="110" t="n"/>
      <c r="Z555" s="110" t="n"/>
    </row>
    <row r="556">
      <c r="A556" s="110" t="n"/>
      <c r="B556" s="110" t="n"/>
      <c r="C556" s="110" t="n"/>
      <c r="D556" s="110" t="n"/>
      <c r="E556" s="110" t="n"/>
      <c r="F556" s="110" t="n"/>
      <c r="G556" s="110" t="n"/>
      <c r="H556" s="110" t="n"/>
      <c r="I556" s="110" t="n"/>
      <c r="J556" s="110" t="n"/>
      <c r="K556" s="110" t="n"/>
      <c r="L556" s="110" t="n"/>
      <c r="M556" s="110" t="n"/>
      <c r="N556" s="110" t="n"/>
      <c r="O556" s="110" t="n"/>
      <c r="P556" s="110" t="n"/>
      <c r="Q556" s="110" t="n"/>
      <c r="R556" s="110" t="n"/>
      <c r="S556" s="110" t="n"/>
      <c r="T556" s="110" t="n"/>
      <c r="U556" s="110" t="n"/>
      <c r="V556" s="110" t="n"/>
      <c r="W556" s="110" t="n"/>
      <c r="X556" s="110" t="n"/>
      <c r="Y556" s="110" t="n"/>
      <c r="Z556" s="110" t="n"/>
    </row>
    <row r="557">
      <c r="A557" s="110" t="n"/>
      <c r="B557" s="110" t="n"/>
      <c r="C557" s="110" t="n"/>
      <c r="D557" s="110" t="n"/>
      <c r="E557" s="110" t="n"/>
      <c r="F557" s="110" t="n"/>
      <c r="G557" s="110" t="n"/>
      <c r="H557" s="110" t="n"/>
      <c r="I557" s="110" t="n"/>
      <c r="J557" s="110" t="n"/>
      <c r="K557" s="110" t="n"/>
      <c r="L557" s="110" t="n"/>
      <c r="M557" s="110" t="n"/>
      <c r="N557" s="110" t="n"/>
      <c r="O557" s="110" t="n"/>
      <c r="P557" s="110" t="n"/>
      <c r="Q557" s="110" t="n"/>
      <c r="R557" s="110" t="n"/>
      <c r="S557" s="110" t="n"/>
      <c r="T557" s="110" t="n"/>
      <c r="U557" s="110" t="n"/>
      <c r="V557" s="110" t="n"/>
      <c r="W557" s="110" t="n"/>
      <c r="X557" s="110" t="n"/>
      <c r="Y557" s="110" t="n"/>
      <c r="Z557" s="110" t="n"/>
    </row>
    <row r="558">
      <c r="A558" s="110" t="n"/>
      <c r="B558" s="110" t="n"/>
      <c r="C558" s="110" t="n"/>
      <c r="D558" s="110" t="n"/>
      <c r="E558" s="110" t="n"/>
      <c r="F558" s="110" t="n"/>
      <c r="G558" s="110" t="n"/>
      <c r="H558" s="110" t="n"/>
      <c r="I558" s="110" t="n"/>
      <c r="J558" s="110" t="n"/>
      <c r="K558" s="110" t="n"/>
      <c r="L558" s="110" t="n"/>
      <c r="M558" s="110" t="n"/>
      <c r="N558" s="110" t="n"/>
      <c r="O558" s="110" t="n"/>
      <c r="P558" s="110" t="n"/>
      <c r="Q558" s="110" t="n"/>
      <c r="R558" s="110" t="n"/>
      <c r="S558" s="110" t="n"/>
      <c r="T558" s="110" t="n"/>
      <c r="U558" s="110" t="n"/>
      <c r="V558" s="110" t="n"/>
      <c r="W558" s="110" t="n"/>
      <c r="X558" s="110" t="n"/>
      <c r="Y558" s="110" t="n"/>
      <c r="Z558" s="110" t="n"/>
    </row>
    <row r="559">
      <c r="A559" s="110" t="n"/>
      <c r="B559" s="110" t="n"/>
      <c r="C559" s="110" t="n"/>
      <c r="D559" s="110" t="n"/>
      <c r="E559" s="110" t="n"/>
      <c r="F559" s="110" t="n"/>
      <c r="G559" s="110" t="n"/>
      <c r="H559" s="110" t="n"/>
      <c r="I559" s="110" t="n"/>
      <c r="J559" s="110" t="n"/>
      <c r="K559" s="110" t="n"/>
      <c r="L559" s="110" t="n"/>
      <c r="M559" s="110" t="n"/>
      <c r="N559" s="110" t="n"/>
      <c r="O559" s="110" t="n"/>
      <c r="P559" s="110" t="n"/>
      <c r="Q559" s="110" t="n"/>
      <c r="R559" s="110" t="n"/>
      <c r="S559" s="110" t="n"/>
      <c r="T559" s="110" t="n"/>
      <c r="U559" s="110" t="n"/>
      <c r="V559" s="110" t="n"/>
      <c r="W559" s="110" t="n"/>
      <c r="X559" s="110" t="n"/>
      <c r="Y559" s="110" t="n"/>
      <c r="Z559" s="110" t="n"/>
    </row>
    <row r="560">
      <c r="A560" s="110" t="n"/>
      <c r="B560" s="110" t="n"/>
      <c r="C560" s="110" t="n"/>
      <c r="D560" s="110" t="n"/>
      <c r="E560" s="110" t="n"/>
      <c r="F560" s="110" t="n"/>
      <c r="G560" s="110" t="n"/>
      <c r="H560" s="110" t="n"/>
      <c r="I560" s="110" t="n"/>
      <c r="J560" s="110" t="n"/>
      <c r="K560" s="110" t="n"/>
      <c r="L560" s="110" t="n"/>
      <c r="M560" s="110" t="n"/>
      <c r="N560" s="110" t="n"/>
      <c r="O560" s="110" t="n"/>
      <c r="P560" s="110" t="n"/>
      <c r="Q560" s="110" t="n"/>
      <c r="R560" s="110" t="n"/>
      <c r="S560" s="110" t="n"/>
      <c r="T560" s="110" t="n"/>
      <c r="U560" s="110" t="n"/>
      <c r="V560" s="110" t="n"/>
      <c r="W560" s="110" t="n"/>
      <c r="X560" s="110" t="n"/>
      <c r="Y560" s="110" t="n"/>
      <c r="Z560" s="110" t="n"/>
    </row>
    <row r="561">
      <c r="A561" s="110" t="n"/>
      <c r="B561" s="110" t="n"/>
      <c r="C561" s="110" t="n"/>
      <c r="D561" s="110" t="n"/>
      <c r="E561" s="110" t="n"/>
      <c r="F561" s="110" t="n"/>
      <c r="G561" s="110" t="n"/>
      <c r="H561" s="110" t="n"/>
      <c r="I561" s="110" t="n"/>
      <c r="J561" s="110" t="n"/>
      <c r="K561" s="110" t="n"/>
      <c r="L561" s="110" t="n"/>
      <c r="M561" s="110" t="n"/>
      <c r="N561" s="110" t="n"/>
      <c r="O561" s="110" t="n"/>
      <c r="P561" s="110" t="n"/>
      <c r="Q561" s="110" t="n"/>
      <c r="R561" s="110" t="n"/>
      <c r="S561" s="110" t="n"/>
      <c r="T561" s="110" t="n"/>
      <c r="U561" s="110" t="n"/>
      <c r="V561" s="110" t="n"/>
      <c r="W561" s="110" t="n"/>
      <c r="X561" s="110" t="n"/>
      <c r="Y561" s="110" t="n"/>
      <c r="Z561" s="110" t="n"/>
    </row>
    <row r="562">
      <c r="A562" s="110" t="n"/>
      <c r="B562" s="110" t="n"/>
      <c r="C562" s="110" t="n"/>
      <c r="D562" s="110" t="n"/>
      <c r="E562" s="110" t="n"/>
      <c r="F562" s="110" t="n"/>
      <c r="G562" s="110" t="n"/>
      <c r="H562" s="110" t="n"/>
      <c r="I562" s="110" t="n"/>
      <c r="J562" s="110" t="n"/>
      <c r="K562" s="110" t="n"/>
      <c r="L562" s="110" t="n"/>
      <c r="M562" s="110" t="n"/>
      <c r="N562" s="110" t="n"/>
      <c r="O562" s="110" t="n"/>
      <c r="P562" s="110" t="n"/>
      <c r="Q562" s="110" t="n"/>
      <c r="R562" s="110" t="n"/>
      <c r="S562" s="110" t="n"/>
      <c r="T562" s="110" t="n"/>
      <c r="U562" s="110" t="n"/>
      <c r="V562" s="110" t="n"/>
      <c r="W562" s="110" t="n"/>
      <c r="X562" s="110" t="n"/>
      <c r="Y562" s="110" t="n"/>
      <c r="Z562" s="110" t="n"/>
    </row>
    <row r="563">
      <c r="A563" s="110" t="n"/>
      <c r="B563" s="110" t="n"/>
      <c r="C563" s="110" t="n"/>
      <c r="D563" s="110" t="n"/>
      <c r="E563" s="110" t="n"/>
      <c r="F563" s="110" t="n"/>
      <c r="G563" s="110" t="n"/>
      <c r="H563" s="110" t="n"/>
      <c r="I563" s="110" t="n"/>
      <c r="J563" s="110" t="n"/>
      <c r="K563" s="110" t="n"/>
      <c r="L563" s="110" t="n"/>
      <c r="M563" s="110" t="n"/>
      <c r="N563" s="110" t="n"/>
      <c r="O563" s="110" t="n"/>
      <c r="P563" s="110" t="n"/>
      <c r="Q563" s="110" t="n"/>
      <c r="R563" s="110" t="n"/>
      <c r="S563" s="110" t="n"/>
      <c r="T563" s="110" t="n"/>
      <c r="U563" s="110" t="n"/>
      <c r="V563" s="110" t="n"/>
      <c r="W563" s="110" t="n"/>
      <c r="X563" s="110" t="n"/>
      <c r="Y563" s="110" t="n"/>
      <c r="Z563" s="110" t="n"/>
    </row>
    <row r="564">
      <c r="A564" s="110" t="n"/>
      <c r="B564" s="110" t="n"/>
      <c r="C564" s="110" t="n"/>
      <c r="D564" s="110" t="n"/>
      <c r="E564" s="110" t="n"/>
      <c r="F564" s="110" t="n"/>
      <c r="G564" s="110" t="n"/>
      <c r="H564" s="110" t="n"/>
      <c r="I564" s="110" t="n"/>
      <c r="J564" s="110" t="n"/>
      <c r="K564" s="110" t="n"/>
      <c r="L564" s="110" t="n"/>
      <c r="M564" s="110" t="n"/>
      <c r="N564" s="110" t="n"/>
      <c r="O564" s="110" t="n"/>
      <c r="P564" s="110" t="n"/>
      <c r="Q564" s="110" t="n"/>
      <c r="R564" s="110" t="n"/>
      <c r="S564" s="110" t="n"/>
      <c r="T564" s="110" t="n"/>
      <c r="U564" s="110" t="n"/>
      <c r="V564" s="110" t="n"/>
      <c r="W564" s="110" t="n"/>
      <c r="X564" s="110" t="n"/>
      <c r="Y564" s="110" t="n"/>
      <c r="Z564" s="110" t="n"/>
    </row>
    <row r="565">
      <c r="A565" s="110" t="n"/>
      <c r="B565" s="110" t="n"/>
      <c r="C565" s="110" t="n"/>
      <c r="D565" s="110" t="n"/>
      <c r="E565" s="110" t="n"/>
      <c r="F565" s="110" t="n"/>
      <c r="G565" s="110" t="n"/>
      <c r="H565" s="110" t="n"/>
      <c r="I565" s="110" t="n"/>
      <c r="J565" s="110" t="n"/>
      <c r="K565" s="110" t="n"/>
      <c r="L565" s="110" t="n"/>
      <c r="M565" s="110" t="n"/>
      <c r="N565" s="110" t="n"/>
      <c r="O565" s="110" t="n"/>
      <c r="P565" s="110" t="n"/>
      <c r="Q565" s="110" t="n"/>
      <c r="R565" s="110" t="n"/>
      <c r="S565" s="110" t="n"/>
      <c r="T565" s="110" t="n"/>
      <c r="U565" s="110" t="n"/>
      <c r="V565" s="110" t="n"/>
      <c r="W565" s="110" t="n"/>
      <c r="X565" s="110" t="n"/>
      <c r="Y565" s="110" t="n"/>
      <c r="Z565" s="110" t="n"/>
    </row>
    <row r="566">
      <c r="A566" s="110" t="n"/>
      <c r="B566" s="110" t="n"/>
      <c r="C566" s="110" t="n"/>
      <c r="D566" s="110" t="n"/>
      <c r="E566" s="110" t="n"/>
      <c r="F566" s="110" t="n"/>
      <c r="G566" s="110" t="n"/>
      <c r="H566" s="110" t="n"/>
      <c r="I566" s="110" t="n"/>
      <c r="J566" s="110" t="n"/>
      <c r="K566" s="110" t="n"/>
      <c r="L566" s="110" t="n"/>
      <c r="M566" s="110" t="n"/>
      <c r="N566" s="110" t="n"/>
      <c r="O566" s="110" t="n"/>
      <c r="P566" s="110" t="n"/>
      <c r="Q566" s="110" t="n"/>
      <c r="R566" s="110" t="n"/>
      <c r="S566" s="110" t="n"/>
      <c r="T566" s="110" t="n"/>
      <c r="U566" s="110" t="n"/>
      <c r="V566" s="110" t="n"/>
      <c r="W566" s="110" t="n"/>
      <c r="X566" s="110" t="n"/>
      <c r="Y566" s="110" t="n"/>
      <c r="Z566" s="110" t="n"/>
    </row>
    <row r="567">
      <c r="A567" s="110" t="n"/>
      <c r="B567" s="110" t="n"/>
      <c r="C567" s="110" t="n"/>
      <c r="D567" s="110" t="n"/>
      <c r="E567" s="110" t="n"/>
      <c r="F567" s="110" t="n"/>
      <c r="G567" s="110" t="n"/>
      <c r="H567" s="110" t="n"/>
      <c r="I567" s="110" t="n"/>
      <c r="J567" s="110" t="n"/>
      <c r="K567" s="110" t="n"/>
      <c r="L567" s="110" t="n"/>
      <c r="M567" s="110" t="n"/>
      <c r="N567" s="110" t="n"/>
      <c r="O567" s="110" t="n"/>
      <c r="P567" s="110" t="n"/>
      <c r="Q567" s="110" t="n"/>
      <c r="R567" s="110" t="n"/>
      <c r="S567" s="110" t="n"/>
      <c r="T567" s="110" t="n"/>
      <c r="U567" s="110" t="n"/>
      <c r="V567" s="110" t="n"/>
      <c r="W567" s="110" t="n"/>
      <c r="X567" s="110" t="n"/>
      <c r="Y567" s="110" t="n"/>
      <c r="Z567" s="110" t="n"/>
    </row>
    <row r="568">
      <c r="A568" s="110" t="n"/>
      <c r="B568" s="110" t="n"/>
      <c r="C568" s="110" t="n"/>
      <c r="D568" s="110" t="n"/>
      <c r="E568" s="110" t="n"/>
      <c r="F568" s="110" t="n"/>
      <c r="G568" s="110" t="n"/>
      <c r="H568" s="110" t="n"/>
      <c r="I568" s="110" t="n"/>
      <c r="J568" s="110" t="n"/>
      <c r="K568" s="110" t="n"/>
      <c r="L568" s="110" t="n"/>
      <c r="M568" s="110" t="n"/>
      <c r="N568" s="110" t="n"/>
      <c r="O568" s="110" t="n"/>
      <c r="P568" s="110" t="n"/>
      <c r="Q568" s="110" t="n"/>
      <c r="R568" s="110" t="n"/>
      <c r="S568" s="110" t="n"/>
      <c r="T568" s="110" t="n"/>
      <c r="U568" s="110" t="n"/>
      <c r="V568" s="110" t="n"/>
      <c r="W568" s="110" t="n"/>
      <c r="X568" s="110" t="n"/>
      <c r="Y568" s="110" t="n"/>
      <c r="Z568" s="110" t="n"/>
    </row>
    <row r="569">
      <c r="A569" s="110" t="n"/>
      <c r="B569" s="110" t="n"/>
      <c r="C569" s="110" t="n"/>
      <c r="D569" s="110" t="n"/>
      <c r="E569" s="110" t="n"/>
      <c r="F569" s="110" t="n"/>
      <c r="G569" s="110" t="n"/>
      <c r="H569" s="110" t="n"/>
      <c r="I569" s="110" t="n"/>
      <c r="J569" s="110" t="n"/>
      <c r="K569" s="110" t="n"/>
      <c r="L569" s="110" t="n"/>
      <c r="M569" s="110" t="n"/>
      <c r="N569" s="110" t="n"/>
      <c r="O569" s="110" t="n"/>
      <c r="P569" s="110" t="n"/>
      <c r="Q569" s="110" t="n"/>
      <c r="R569" s="110" t="n"/>
      <c r="S569" s="110" t="n"/>
      <c r="T569" s="110" t="n"/>
      <c r="U569" s="110" t="n"/>
      <c r="V569" s="110" t="n"/>
      <c r="W569" s="110" t="n"/>
      <c r="X569" s="110" t="n"/>
      <c r="Y569" s="110" t="n"/>
      <c r="Z569" s="110" t="n"/>
    </row>
    <row r="570">
      <c r="A570" s="110" t="n"/>
      <c r="B570" s="110" t="n"/>
      <c r="C570" s="110" t="n"/>
      <c r="D570" s="110" t="n"/>
      <c r="E570" s="110" t="n"/>
      <c r="F570" s="110" t="n"/>
      <c r="G570" s="110" t="n"/>
      <c r="H570" s="110" t="n"/>
      <c r="I570" s="110" t="n"/>
      <c r="J570" s="110" t="n"/>
      <c r="K570" s="110" t="n"/>
      <c r="L570" s="110" t="n"/>
      <c r="M570" s="110" t="n"/>
      <c r="N570" s="110" t="n"/>
      <c r="O570" s="110" t="n"/>
      <c r="P570" s="110" t="n"/>
      <c r="Q570" s="110" t="n"/>
      <c r="R570" s="110" t="n"/>
      <c r="S570" s="110" t="n"/>
      <c r="T570" s="110" t="n"/>
      <c r="U570" s="110" t="n"/>
      <c r="V570" s="110" t="n"/>
      <c r="W570" s="110" t="n"/>
      <c r="X570" s="110" t="n"/>
      <c r="Y570" s="110" t="n"/>
      <c r="Z570" s="110" t="n"/>
    </row>
    <row r="571">
      <c r="A571" s="110" t="n"/>
      <c r="B571" s="110" t="n"/>
      <c r="C571" s="110" t="n"/>
      <c r="D571" s="110" t="n"/>
      <c r="E571" s="110" t="n"/>
      <c r="F571" s="110" t="n"/>
      <c r="G571" s="110" t="n"/>
      <c r="H571" s="110" t="n"/>
      <c r="I571" s="110" t="n"/>
      <c r="J571" s="110" t="n"/>
      <c r="K571" s="110" t="n"/>
      <c r="L571" s="110" t="n"/>
      <c r="M571" s="110" t="n"/>
      <c r="N571" s="110" t="n"/>
      <c r="O571" s="110" t="n"/>
      <c r="P571" s="110" t="n"/>
      <c r="Q571" s="110" t="n"/>
      <c r="R571" s="110" t="n"/>
      <c r="S571" s="110" t="n"/>
      <c r="T571" s="110" t="n"/>
      <c r="U571" s="110" t="n"/>
      <c r="V571" s="110" t="n"/>
      <c r="W571" s="110" t="n"/>
      <c r="X571" s="110" t="n"/>
      <c r="Y571" s="110" t="n"/>
      <c r="Z571" s="110" t="n"/>
    </row>
    <row r="572">
      <c r="A572" s="110" t="n"/>
      <c r="B572" s="110" t="n"/>
      <c r="C572" s="110" t="n"/>
      <c r="D572" s="110" t="n"/>
      <c r="E572" s="110" t="n"/>
      <c r="F572" s="110" t="n"/>
      <c r="G572" s="110" t="n"/>
      <c r="H572" s="110" t="n"/>
      <c r="I572" s="110" t="n"/>
      <c r="J572" s="110" t="n"/>
      <c r="K572" s="110" t="n"/>
      <c r="L572" s="110" t="n"/>
      <c r="M572" s="110" t="n"/>
      <c r="N572" s="110" t="n"/>
      <c r="O572" s="110" t="n"/>
      <c r="P572" s="110" t="n"/>
      <c r="Q572" s="110" t="n"/>
      <c r="R572" s="110" t="n"/>
      <c r="S572" s="110" t="n"/>
      <c r="T572" s="110" t="n"/>
      <c r="U572" s="110" t="n"/>
      <c r="V572" s="110" t="n"/>
      <c r="W572" s="110" t="n"/>
      <c r="X572" s="110" t="n"/>
      <c r="Y572" s="110" t="n"/>
      <c r="Z572" s="110" t="n"/>
    </row>
    <row r="573">
      <c r="A573" s="110" t="n"/>
      <c r="B573" s="110" t="n"/>
      <c r="C573" s="110" t="n"/>
      <c r="D573" s="110" t="n"/>
      <c r="E573" s="110" t="n"/>
      <c r="F573" s="110" t="n"/>
      <c r="G573" s="110" t="n"/>
      <c r="H573" s="110" t="n"/>
      <c r="I573" s="110" t="n"/>
      <c r="J573" s="110" t="n"/>
      <c r="K573" s="110" t="n"/>
      <c r="L573" s="110" t="n"/>
      <c r="M573" s="110" t="n"/>
      <c r="N573" s="110" t="n"/>
      <c r="O573" s="110" t="n"/>
      <c r="P573" s="110" t="n"/>
      <c r="Q573" s="110" t="n"/>
      <c r="R573" s="110" t="n"/>
      <c r="S573" s="110" t="n"/>
      <c r="T573" s="110" t="n"/>
      <c r="U573" s="110" t="n"/>
      <c r="V573" s="110" t="n"/>
      <c r="W573" s="110" t="n"/>
      <c r="X573" s="110" t="n"/>
      <c r="Y573" s="110" t="n"/>
      <c r="Z573" s="110" t="n"/>
    </row>
    <row r="574">
      <c r="A574" s="110" t="n"/>
      <c r="B574" s="110" t="n"/>
      <c r="C574" s="110" t="n"/>
      <c r="D574" s="110" t="n"/>
      <c r="E574" s="110" t="n"/>
      <c r="F574" s="110" t="n"/>
      <c r="G574" s="110" t="n"/>
      <c r="H574" s="110" t="n"/>
      <c r="I574" s="110" t="n"/>
      <c r="J574" s="110" t="n"/>
      <c r="K574" s="110" t="n"/>
      <c r="L574" s="110" t="n"/>
      <c r="M574" s="110" t="n"/>
      <c r="N574" s="110" t="n"/>
      <c r="O574" s="110" t="n"/>
      <c r="P574" s="110" t="n"/>
      <c r="Q574" s="110" t="n"/>
      <c r="R574" s="110" t="n"/>
      <c r="S574" s="110" t="n"/>
      <c r="T574" s="110" t="n"/>
      <c r="U574" s="110" t="n"/>
      <c r="V574" s="110" t="n"/>
      <c r="W574" s="110" t="n"/>
      <c r="X574" s="110" t="n"/>
      <c r="Y574" s="110" t="n"/>
      <c r="Z574" s="110" t="n"/>
    </row>
    <row r="575">
      <c r="A575" s="110" t="n"/>
      <c r="B575" s="110" t="n"/>
      <c r="C575" s="110" t="n"/>
      <c r="D575" s="110" t="n"/>
      <c r="E575" s="110" t="n"/>
      <c r="F575" s="110" t="n"/>
      <c r="G575" s="110" t="n"/>
      <c r="H575" s="110" t="n"/>
      <c r="I575" s="110" t="n"/>
      <c r="J575" s="110" t="n"/>
      <c r="K575" s="110" t="n"/>
      <c r="L575" s="110" t="n"/>
      <c r="M575" s="110" t="n"/>
      <c r="N575" s="110" t="n"/>
      <c r="O575" s="110" t="n"/>
      <c r="P575" s="110" t="n"/>
      <c r="Q575" s="110" t="n"/>
      <c r="R575" s="110" t="n"/>
      <c r="S575" s="110" t="n"/>
      <c r="T575" s="110" t="n"/>
      <c r="U575" s="110" t="n"/>
      <c r="V575" s="110" t="n"/>
      <c r="W575" s="110" t="n"/>
      <c r="X575" s="110" t="n"/>
      <c r="Y575" s="110" t="n"/>
      <c r="Z575" s="110" t="n"/>
    </row>
    <row r="576">
      <c r="A576" s="110" t="n"/>
      <c r="B576" s="110" t="n"/>
      <c r="C576" s="110" t="n"/>
      <c r="D576" s="110" t="n"/>
      <c r="E576" s="110" t="n"/>
      <c r="F576" s="110" t="n"/>
      <c r="G576" s="110" t="n"/>
      <c r="H576" s="110" t="n"/>
      <c r="I576" s="110" t="n"/>
      <c r="J576" s="110" t="n"/>
      <c r="K576" s="110" t="n"/>
      <c r="L576" s="110" t="n"/>
      <c r="M576" s="110" t="n"/>
      <c r="N576" s="110" t="n"/>
      <c r="O576" s="110" t="n"/>
      <c r="P576" s="110" t="n"/>
      <c r="Q576" s="110" t="n"/>
      <c r="R576" s="110" t="n"/>
      <c r="S576" s="110" t="n"/>
      <c r="T576" s="110" t="n"/>
      <c r="U576" s="110" t="n"/>
      <c r="V576" s="110" t="n"/>
      <c r="W576" s="110" t="n"/>
      <c r="X576" s="110" t="n"/>
      <c r="Y576" s="110" t="n"/>
      <c r="Z576" s="110" t="n"/>
    </row>
    <row r="577">
      <c r="A577" s="110" t="n"/>
      <c r="B577" s="110" t="n"/>
      <c r="C577" s="110" t="n"/>
      <c r="D577" s="110" t="n"/>
      <c r="E577" s="110" t="n"/>
      <c r="F577" s="110" t="n"/>
      <c r="G577" s="110" t="n"/>
      <c r="H577" s="110" t="n"/>
      <c r="I577" s="110" t="n"/>
      <c r="J577" s="110" t="n"/>
      <c r="K577" s="110" t="n"/>
      <c r="L577" s="110" t="n"/>
      <c r="M577" s="110" t="n"/>
      <c r="N577" s="110" t="n"/>
      <c r="O577" s="110" t="n"/>
      <c r="P577" s="110" t="n"/>
      <c r="Q577" s="110" t="n"/>
      <c r="R577" s="110" t="n"/>
      <c r="S577" s="110" t="n"/>
      <c r="T577" s="110" t="n"/>
      <c r="U577" s="110" t="n"/>
      <c r="V577" s="110" t="n"/>
      <c r="W577" s="110" t="n"/>
      <c r="X577" s="110" t="n"/>
      <c r="Y577" s="110" t="n"/>
      <c r="Z577" s="110" t="n"/>
    </row>
    <row r="578">
      <c r="A578" s="110" t="n"/>
      <c r="B578" s="110" t="n"/>
      <c r="C578" s="110" t="n"/>
      <c r="D578" s="110" t="n"/>
      <c r="E578" s="110" t="n"/>
      <c r="F578" s="110" t="n"/>
      <c r="G578" s="110" t="n"/>
      <c r="H578" s="110" t="n"/>
      <c r="I578" s="110" t="n"/>
      <c r="J578" s="110" t="n"/>
      <c r="K578" s="110" t="n"/>
      <c r="L578" s="110" t="n"/>
      <c r="M578" s="110" t="n"/>
      <c r="N578" s="110" t="n"/>
      <c r="O578" s="110" t="n"/>
      <c r="P578" s="110" t="n"/>
      <c r="Q578" s="110" t="n"/>
      <c r="R578" s="110" t="n"/>
      <c r="S578" s="110" t="n"/>
      <c r="T578" s="110" t="n"/>
      <c r="U578" s="110" t="n"/>
      <c r="V578" s="110" t="n"/>
      <c r="W578" s="110" t="n"/>
      <c r="X578" s="110" t="n"/>
      <c r="Y578" s="110" t="n"/>
      <c r="Z578" s="110" t="n"/>
    </row>
    <row r="579">
      <c r="A579" s="110" t="n"/>
      <c r="B579" s="110" t="n"/>
      <c r="C579" s="110" t="n"/>
      <c r="D579" s="110" t="n"/>
      <c r="E579" s="110" t="n"/>
      <c r="F579" s="110" t="n"/>
      <c r="G579" s="110" t="n"/>
      <c r="H579" s="110" t="n"/>
      <c r="I579" s="110" t="n"/>
      <c r="J579" s="110" t="n"/>
      <c r="K579" s="110" t="n"/>
      <c r="L579" s="110" t="n"/>
      <c r="M579" s="110" t="n"/>
      <c r="N579" s="110" t="n"/>
      <c r="O579" s="110" t="n"/>
      <c r="P579" s="110" t="n"/>
      <c r="Q579" s="110" t="n"/>
      <c r="R579" s="110" t="n"/>
      <c r="S579" s="110" t="n"/>
      <c r="T579" s="110" t="n"/>
      <c r="U579" s="110" t="n"/>
      <c r="V579" s="110" t="n"/>
      <c r="W579" s="110" t="n"/>
      <c r="X579" s="110" t="n"/>
      <c r="Y579" s="110" t="n"/>
      <c r="Z579" s="110" t="n"/>
    </row>
    <row r="580">
      <c r="A580" s="110" t="n"/>
      <c r="B580" s="110" t="n"/>
      <c r="C580" s="110" t="n"/>
      <c r="D580" s="110" t="n"/>
      <c r="E580" s="110" t="n"/>
      <c r="F580" s="110" t="n"/>
      <c r="G580" s="110" t="n"/>
      <c r="H580" s="110" t="n"/>
      <c r="I580" s="110" t="n"/>
      <c r="J580" s="110" t="n"/>
      <c r="K580" s="110" t="n"/>
      <c r="L580" s="110" t="n"/>
      <c r="M580" s="110" t="n"/>
      <c r="N580" s="110" t="n"/>
      <c r="O580" s="110" t="n"/>
      <c r="P580" s="110" t="n"/>
      <c r="Q580" s="110" t="n"/>
      <c r="R580" s="110" t="n"/>
      <c r="S580" s="110" t="n"/>
      <c r="T580" s="110" t="n"/>
      <c r="U580" s="110" t="n"/>
      <c r="V580" s="110" t="n"/>
      <c r="W580" s="110" t="n"/>
      <c r="X580" s="110" t="n"/>
      <c r="Y580" s="110" t="n"/>
      <c r="Z580" s="110" t="n"/>
    </row>
    <row r="581">
      <c r="A581" s="110" t="n"/>
      <c r="B581" s="110" t="n"/>
      <c r="C581" s="110" t="n"/>
      <c r="D581" s="110" t="n"/>
      <c r="E581" s="110" t="n"/>
      <c r="F581" s="110" t="n"/>
      <c r="G581" s="110" t="n"/>
      <c r="H581" s="110" t="n"/>
      <c r="I581" s="110" t="n"/>
      <c r="J581" s="110" t="n"/>
      <c r="K581" s="110" t="n"/>
      <c r="L581" s="110" t="n"/>
      <c r="M581" s="110" t="n"/>
      <c r="N581" s="110" t="n"/>
      <c r="O581" s="110" t="n"/>
      <c r="P581" s="110" t="n"/>
      <c r="Q581" s="110" t="n"/>
      <c r="R581" s="110" t="n"/>
      <c r="S581" s="110" t="n"/>
      <c r="T581" s="110" t="n"/>
      <c r="U581" s="110" t="n"/>
      <c r="V581" s="110" t="n"/>
      <c r="W581" s="110" t="n"/>
      <c r="X581" s="110" t="n"/>
      <c r="Y581" s="110" t="n"/>
      <c r="Z581" s="110" t="n"/>
    </row>
    <row r="582">
      <c r="A582" s="110" t="n"/>
      <c r="B582" s="110" t="n"/>
      <c r="C582" s="110" t="n"/>
      <c r="D582" s="110" t="n"/>
      <c r="E582" s="110" t="n"/>
      <c r="F582" s="110" t="n"/>
      <c r="G582" s="110" t="n"/>
      <c r="H582" s="110" t="n"/>
      <c r="I582" s="110" t="n"/>
      <c r="J582" s="110" t="n"/>
      <c r="K582" s="110" t="n"/>
      <c r="L582" s="110" t="n"/>
      <c r="M582" s="110" t="n"/>
      <c r="N582" s="110" t="n"/>
      <c r="O582" s="110" t="n"/>
      <c r="P582" s="110" t="n"/>
      <c r="Q582" s="110" t="n"/>
      <c r="R582" s="110" t="n"/>
      <c r="S582" s="110" t="n"/>
      <c r="T582" s="110" t="n"/>
      <c r="U582" s="110" t="n"/>
      <c r="V582" s="110" t="n"/>
      <c r="W582" s="110" t="n"/>
      <c r="X582" s="110" t="n"/>
      <c r="Y582" s="110" t="n"/>
      <c r="Z582" s="110" t="n"/>
    </row>
    <row r="583">
      <c r="A583" s="110" t="n"/>
      <c r="B583" s="110" t="n"/>
      <c r="C583" s="110" t="n"/>
      <c r="D583" s="110" t="n"/>
      <c r="E583" s="110" t="n"/>
      <c r="F583" s="110" t="n"/>
      <c r="G583" s="110" t="n"/>
      <c r="H583" s="110" t="n"/>
      <c r="I583" s="110" t="n"/>
      <c r="J583" s="110" t="n"/>
      <c r="K583" s="110" t="n"/>
      <c r="L583" s="110" t="n"/>
      <c r="M583" s="110" t="n"/>
      <c r="N583" s="110" t="n"/>
      <c r="O583" s="110" t="n"/>
      <c r="P583" s="110" t="n"/>
      <c r="Q583" s="110" t="n"/>
      <c r="R583" s="110" t="n"/>
      <c r="S583" s="110" t="n"/>
      <c r="T583" s="110" t="n"/>
      <c r="U583" s="110" t="n"/>
      <c r="V583" s="110" t="n"/>
      <c r="W583" s="110" t="n"/>
      <c r="X583" s="110" t="n"/>
      <c r="Y583" s="110" t="n"/>
      <c r="Z583" s="110" t="n"/>
    </row>
    <row r="584">
      <c r="A584" s="110" t="n"/>
      <c r="B584" s="110" t="n"/>
      <c r="C584" s="110" t="n"/>
      <c r="D584" s="110" t="n"/>
      <c r="E584" s="110" t="n"/>
      <c r="F584" s="110" t="n"/>
      <c r="G584" s="110" t="n"/>
      <c r="H584" s="110" t="n"/>
      <c r="I584" s="110" t="n"/>
      <c r="J584" s="110" t="n"/>
      <c r="K584" s="110" t="n"/>
      <c r="L584" s="110" t="n"/>
      <c r="M584" s="110" t="n"/>
      <c r="N584" s="110" t="n"/>
      <c r="O584" s="110" t="n"/>
      <c r="P584" s="110" t="n"/>
      <c r="Q584" s="110" t="n"/>
      <c r="R584" s="110" t="n"/>
      <c r="S584" s="110" t="n"/>
      <c r="T584" s="110" t="n"/>
      <c r="U584" s="110" t="n"/>
      <c r="V584" s="110" t="n"/>
      <c r="W584" s="110" t="n"/>
      <c r="X584" s="110" t="n"/>
      <c r="Y584" s="110" t="n"/>
      <c r="Z584" s="110" t="n"/>
    </row>
    <row r="585">
      <c r="A585" s="110" t="n"/>
      <c r="B585" s="110" t="n"/>
      <c r="C585" s="110" t="n"/>
      <c r="D585" s="110" t="n"/>
      <c r="E585" s="110" t="n"/>
      <c r="F585" s="110" t="n"/>
      <c r="G585" s="110" t="n"/>
      <c r="H585" s="110" t="n"/>
      <c r="I585" s="110" t="n"/>
      <c r="J585" s="110" t="n"/>
      <c r="K585" s="110" t="n"/>
      <c r="L585" s="110" t="n"/>
      <c r="M585" s="110" t="n"/>
      <c r="N585" s="110" t="n"/>
      <c r="O585" s="110" t="n"/>
      <c r="P585" s="110" t="n"/>
      <c r="Q585" s="110" t="n"/>
      <c r="R585" s="110" t="n"/>
      <c r="S585" s="110" t="n"/>
      <c r="T585" s="110" t="n"/>
      <c r="U585" s="110" t="n"/>
      <c r="V585" s="110" t="n"/>
      <c r="W585" s="110" t="n"/>
      <c r="X585" s="110" t="n"/>
      <c r="Y585" s="110" t="n"/>
      <c r="Z585" s="110" t="n"/>
    </row>
    <row r="586">
      <c r="A586" s="110" t="n"/>
      <c r="B586" s="110" t="n"/>
      <c r="C586" s="110" t="n"/>
      <c r="D586" s="110" t="n"/>
      <c r="E586" s="110" t="n"/>
      <c r="F586" s="110" t="n"/>
      <c r="G586" s="110" t="n"/>
      <c r="H586" s="110" t="n"/>
      <c r="I586" s="110" t="n"/>
      <c r="J586" s="110" t="n"/>
      <c r="K586" s="110" t="n"/>
      <c r="L586" s="110" t="n"/>
      <c r="M586" s="110" t="n"/>
      <c r="N586" s="110" t="n"/>
      <c r="O586" s="110" t="n"/>
      <c r="P586" s="110" t="n"/>
      <c r="Q586" s="110" t="n"/>
      <c r="R586" s="110" t="n"/>
      <c r="S586" s="110" t="n"/>
      <c r="T586" s="110" t="n"/>
      <c r="U586" s="110" t="n"/>
      <c r="V586" s="110" t="n"/>
      <c r="W586" s="110" t="n"/>
      <c r="X586" s="110" t="n"/>
      <c r="Y586" s="110" t="n"/>
      <c r="Z586" s="110" t="n"/>
    </row>
    <row r="587">
      <c r="A587" s="110" t="n"/>
      <c r="B587" s="110" t="n"/>
      <c r="C587" s="110" t="n"/>
      <c r="D587" s="110" t="n"/>
      <c r="E587" s="110" t="n"/>
      <c r="F587" s="110" t="n"/>
      <c r="G587" s="110" t="n"/>
      <c r="H587" s="110" t="n"/>
      <c r="I587" s="110" t="n"/>
      <c r="J587" s="110" t="n"/>
      <c r="K587" s="110" t="n"/>
      <c r="L587" s="110" t="n"/>
      <c r="M587" s="110" t="n"/>
      <c r="N587" s="110" t="n"/>
      <c r="O587" s="110" t="n"/>
      <c r="P587" s="110" t="n"/>
      <c r="Q587" s="110" t="n"/>
      <c r="R587" s="110" t="n"/>
      <c r="S587" s="110" t="n"/>
      <c r="T587" s="110" t="n"/>
      <c r="U587" s="110" t="n"/>
      <c r="V587" s="110" t="n"/>
      <c r="W587" s="110" t="n"/>
      <c r="X587" s="110" t="n"/>
      <c r="Y587" s="110" t="n"/>
      <c r="Z587" s="110" t="n"/>
    </row>
    <row r="588">
      <c r="A588" s="110" t="n"/>
      <c r="B588" s="110" t="n"/>
      <c r="C588" s="110" t="n"/>
      <c r="D588" s="110" t="n"/>
      <c r="E588" s="110" t="n"/>
      <c r="F588" s="110" t="n"/>
      <c r="G588" s="110" t="n"/>
      <c r="H588" s="110" t="n"/>
      <c r="I588" s="110" t="n"/>
      <c r="J588" s="110" t="n"/>
      <c r="K588" s="110" t="n"/>
      <c r="L588" s="110" t="n"/>
      <c r="M588" s="110" t="n"/>
      <c r="N588" s="110" t="n"/>
      <c r="O588" s="110" t="n"/>
      <c r="P588" s="110" t="n"/>
      <c r="Q588" s="110" t="n"/>
      <c r="R588" s="110" t="n"/>
      <c r="S588" s="110" t="n"/>
      <c r="T588" s="110" t="n"/>
      <c r="U588" s="110" t="n"/>
      <c r="V588" s="110" t="n"/>
      <c r="W588" s="110" t="n"/>
      <c r="X588" s="110" t="n"/>
      <c r="Y588" s="110" t="n"/>
      <c r="Z588" s="110" t="n"/>
    </row>
    <row r="589">
      <c r="A589" s="110" t="n"/>
      <c r="B589" s="110" t="n"/>
      <c r="C589" s="110" t="n"/>
      <c r="D589" s="110" t="n"/>
      <c r="E589" s="110" t="n"/>
      <c r="F589" s="110" t="n"/>
      <c r="G589" s="110" t="n"/>
      <c r="H589" s="110" t="n"/>
      <c r="I589" s="110" t="n"/>
      <c r="J589" s="110" t="n"/>
      <c r="K589" s="110" t="n"/>
      <c r="L589" s="110" t="n"/>
      <c r="M589" s="110" t="n"/>
      <c r="N589" s="110" t="n"/>
      <c r="O589" s="110" t="n"/>
      <c r="P589" s="110" t="n"/>
      <c r="Q589" s="110" t="n"/>
      <c r="R589" s="110" t="n"/>
      <c r="S589" s="110" t="n"/>
      <c r="T589" s="110" t="n"/>
      <c r="U589" s="110" t="n"/>
      <c r="V589" s="110" t="n"/>
      <c r="W589" s="110" t="n"/>
      <c r="X589" s="110" t="n"/>
      <c r="Y589" s="110" t="n"/>
      <c r="Z589" s="110" t="n"/>
    </row>
    <row r="590">
      <c r="A590" s="110" t="n"/>
      <c r="B590" s="110" t="n"/>
      <c r="C590" s="110" t="n"/>
      <c r="D590" s="110" t="n"/>
      <c r="E590" s="110" t="n"/>
      <c r="F590" s="110" t="n"/>
      <c r="G590" s="110" t="n"/>
      <c r="H590" s="110" t="n"/>
      <c r="I590" s="110" t="n"/>
      <c r="J590" s="110" t="n"/>
      <c r="K590" s="110" t="n"/>
      <c r="L590" s="110" t="n"/>
      <c r="M590" s="110" t="n"/>
      <c r="N590" s="110" t="n"/>
      <c r="O590" s="110" t="n"/>
      <c r="P590" s="110" t="n"/>
      <c r="Q590" s="110" t="n"/>
      <c r="R590" s="110" t="n"/>
      <c r="S590" s="110" t="n"/>
      <c r="T590" s="110" t="n"/>
      <c r="U590" s="110" t="n"/>
      <c r="V590" s="110" t="n"/>
      <c r="W590" s="110" t="n"/>
      <c r="X590" s="110" t="n"/>
      <c r="Y590" s="110" t="n"/>
      <c r="Z590" s="110" t="n"/>
    </row>
    <row r="591">
      <c r="A591" s="110" t="n"/>
      <c r="B591" s="110" t="n"/>
      <c r="C591" s="110" t="n"/>
      <c r="D591" s="110" t="n"/>
      <c r="E591" s="110" t="n"/>
      <c r="F591" s="110" t="n"/>
      <c r="G591" s="110" t="n"/>
      <c r="H591" s="110" t="n"/>
      <c r="I591" s="110" t="n"/>
      <c r="J591" s="110" t="n"/>
      <c r="K591" s="110" t="n"/>
      <c r="L591" s="110" t="n"/>
      <c r="M591" s="110" t="n"/>
      <c r="N591" s="110" t="n"/>
      <c r="O591" s="110" t="n"/>
      <c r="P591" s="110" t="n"/>
      <c r="Q591" s="110" t="n"/>
      <c r="R591" s="110" t="n"/>
      <c r="S591" s="110" t="n"/>
      <c r="T591" s="110" t="n"/>
      <c r="U591" s="110" t="n"/>
      <c r="V591" s="110" t="n"/>
      <c r="W591" s="110" t="n"/>
      <c r="X591" s="110" t="n"/>
      <c r="Y591" s="110" t="n"/>
      <c r="Z591" s="110" t="n"/>
    </row>
    <row r="592">
      <c r="A592" s="110" t="n"/>
      <c r="B592" s="110" t="n"/>
      <c r="C592" s="110" t="n"/>
      <c r="D592" s="110" t="n"/>
      <c r="E592" s="110" t="n"/>
      <c r="F592" s="110" t="n"/>
      <c r="G592" s="110" t="n"/>
      <c r="H592" s="110" t="n"/>
      <c r="I592" s="110" t="n"/>
      <c r="J592" s="110" t="n"/>
      <c r="K592" s="110" t="n"/>
      <c r="L592" s="110" t="n"/>
      <c r="M592" s="110" t="n"/>
      <c r="N592" s="110" t="n"/>
      <c r="O592" s="110" t="n"/>
      <c r="P592" s="110" t="n"/>
      <c r="Q592" s="110" t="n"/>
      <c r="R592" s="110" t="n"/>
      <c r="S592" s="110" t="n"/>
      <c r="T592" s="110" t="n"/>
      <c r="U592" s="110" t="n"/>
      <c r="V592" s="110" t="n"/>
      <c r="W592" s="110" t="n"/>
      <c r="X592" s="110" t="n"/>
      <c r="Y592" s="110" t="n"/>
      <c r="Z592" s="110" t="n"/>
    </row>
    <row r="593">
      <c r="A593" s="110" t="n"/>
      <c r="B593" s="110" t="n"/>
      <c r="C593" s="110" t="n"/>
      <c r="D593" s="110" t="n"/>
      <c r="E593" s="110" t="n"/>
      <c r="F593" s="110" t="n"/>
      <c r="G593" s="110" t="n"/>
      <c r="H593" s="110" t="n"/>
      <c r="I593" s="110" t="n"/>
      <c r="J593" s="110" t="n"/>
      <c r="K593" s="110" t="n"/>
      <c r="L593" s="110" t="n"/>
      <c r="M593" s="110" t="n"/>
      <c r="N593" s="110" t="n"/>
      <c r="O593" s="110" t="n"/>
      <c r="P593" s="110" t="n"/>
      <c r="Q593" s="110" t="n"/>
      <c r="R593" s="110" t="n"/>
      <c r="S593" s="110" t="n"/>
      <c r="T593" s="110" t="n"/>
      <c r="U593" s="110" t="n"/>
      <c r="V593" s="110" t="n"/>
      <c r="W593" s="110" t="n"/>
      <c r="X593" s="110" t="n"/>
      <c r="Y593" s="110" t="n"/>
      <c r="Z593" s="110" t="n"/>
    </row>
    <row r="594">
      <c r="A594" s="110" t="n"/>
      <c r="B594" s="110" t="n"/>
      <c r="C594" s="110" t="n"/>
      <c r="D594" s="110" t="n"/>
      <c r="E594" s="110" t="n"/>
      <c r="F594" s="110" t="n"/>
      <c r="G594" s="110" t="n"/>
      <c r="H594" s="110" t="n"/>
      <c r="I594" s="110" t="n"/>
      <c r="J594" s="110" t="n"/>
      <c r="K594" s="110" t="n"/>
      <c r="L594" s="110" t="n"/>
      <c r="M594" s="110" t="n"/>
      <c r="N594" s="110" t="n"/>
      <c r="O594" s="110" t="n"/>
      <c r="P594" s="110" t="n"/>
      <c r="Q594" s="110" t="n"/>
      <c r="R594" s="110" t="n"/>
      <c r="S594" s="110" t="n"/>
      <c r="T594" s="110" t="n"/>
      <c r="U594" s="110" t="n"/>
      <c r="V594" s="110" t="n"/>
      <c r="W594" s="110" t="n"/>
      <c r="X594" s="110" t="n"/>
      <c r="Y594" s="110" t="n"/>
      <c r="Z594" s="110" t="n"/>
    </row>
    <row r="595">
      <c r="A595" s="110" t="n"/>
      <c r="B595" s="110" t="n"/>
      <c r="C595" s="110" t="n"/>
      <c r="D595" s="110" t="n"/>
      <c r="E595" s="110" t="n"/>
      <c r="F595" s="110" t="n"/>
      <c r="G595" s="110" t="n"/>
      <c r="H595" s="110" t="n"/>
      <c r="I595" s="110" t="n"/>
      <c r="J595" s="110" t="n"/>
      <c r="K595" s="110" t="n"/>
      <c r="L595" s="110" t="n"/>
      <c r="M595" s="110" t="n"/>
      <c r="N595" s="110" t="n"/>
      <c r="O595" s="110" t="n"/>
      <c r="P595" s="110" t="n"/>
      <c r="Q595" s="110" t="n"/>
      <c r="R595" s="110" t="n"/>
      <c r="S595" s="110" t="n"/>
      <c r="T595" s="110" t="n"/>
      <c r="U595" s="110" t="n"/>
      <c r="V595" s="110" t="n"/>
      <c r="W595" s="110" t="n"/>
      <c r="X595" s="110" t="n"/>
      <c r="Y595" s="110" t="n"/>
      <c r="Z595" s="110" t="n"/>
    </row>
    <row r="596">
      <c r="A596" s="110" t="n"/>
      <c r="B596" s="110" t="n"/>
      <c r="C596" s="110" t="n"/>
      <c r="D596" s="110" t="n"/>
      <c r="E596" s="110" t="n"/>
      <c r="F596" s="110" t="n"/>
      <c r="G596" s="110" t="n"/>
      <c r="H596" s="110" t="n"/>
      <c r="I596" s="110" t="n"/>
      <c r="J596" s="110" t="n"/>
      <c r="K596" s="110" t="n"/>
      <c r="L596" s="110" t="n"/>
      <c r="M596" s="110" t="n"/>
      <c r="N596" s="110" t="n"/>
      <c r="O596" s="110" t="n"/>
      <c r="P596" s="110" t="n"/>
      <c r="Q596" s="110" t="n"/>
      <c r="R596" s="110" t="n"/>
      <c r="S596" s="110" t="n"/>
      <c r="T596" s="110" t="n"/>
      <c r="U596" s="110" t="n"/>
      <c r="V596" s="110" t="n"/>
      <c r="W596" s="110" t="n"/>
      <c r="X596" s="110" t="n"/>
      <c r="Y596" s="110" t="n"/>
      <c r="Z596" s="110" t="n"/>
    </row>
    <row r="597">
      <c r="A597" s="110" t="n"/>
      <c r="B597" s="110" t="n"/>
      <c r="C597" s="110" t="n"/>
      <c r="D597" s="110" t="n"/>
      <c r="E597" s="110" t="n"/>
      <c r="F597" s="110" t="n"/>
      <c r="G597" s="110" t="n"/>
      <c r="H597" s="110" t="n"/>
      <c r="I597" s="110" t="n"/>
      <c r="J597" s="110" t="n"/>
      <c r="K597" s="110" t="n"/>
      <c r="L597" s="110" t="n"/>
      <c r="M597" s="110" t="n"/>
      <c r="N597" s="110" t="n"/>
      <c r="O597" s="110" t="n"/>
      <c r="P597" s="110" t="n"/>
      <c r="Q597" s="110" t="n"/>
      <c r="R597" s="110" t="n"/>
      <c r="S597" s="110" t="n"/>
      <c r="T597" s="110" t="n"/>
      <c r="U597" s="110" t="n"/>
      <c r="V597" s="110" t="n"/>
      <c r="W597" s="110" t="n"/>
      <c r="X597" s="110" t="n"/>
      <c r="Y597" s="110" t="n"/>
      <c r="Z597" s="110" t="n"/>
    </row>
    <row r="598">
      <c r="A598" s="110" t="n"/>
      <c r="B598" s="110" t="n"/>
      <c r="C598" s="110" t="n"/>
      <c r="D598" s="110" t="n"/>
      <c r="E598" s="110" t="n"/>
      <c r="F598" s="110" t="n"/>
      <c r="G598" s="110" t="n"/>
      <c r="H598" s="110" t="n"/>
      <c r="I598" s="110" t="n"/>
      <c r="J598" s="110" t="n"/>
      <c r="K598" s="110" t="n"/>
      <c r="L598" s="110" t="n"/>
      <c r="M598" s="110" t="n"/>
      <c r="N598" s="110" t="n"/>
      <c r="O598" s="110" t="n"/>
      <c r="P598" s="110" t="n"/>
      <c r="Q598" s="110" t="n"/>
      <c r="R598" s="110" t="n"/>
      <c r="S598" s="110" t="n"/>
      <c r="T598" s="110" t="n"/>
      <c r="U598" s="110" t="n"/>
      <c r="V598" s="110" t="n"/>
      <c r="W598" s="110" t="n"/>
      <c r="X598" s="110" t="n"/>
      <c r="Y598" s="110" t="n"/>
      <c r="Z598" s="110" t="n"/>
    </row>
    <row r="599">
      <c r="A599" s="110" t="n"/>
      <c r="B599" s="110" t="n"/>
      <c r="C599" s="110" t="n"/>
      <c r="D599" s="110" t="n"/>
      <c r="E599" s="110" t="n"/>
      <c r="F599" s="110" t="n"/>
      <c r="G599" s="110" t="n"/>
      <c r="H599" s="110" t="n"/>
      <c r="I599" s="110" t="n"/>
      <c r="J599" s="110" t="n"/>
      <c r="K599" s="110" t="n"/>
      <c r="L599" s="110" t="n"/>
      <c r="M599" s="110" t="n"/>
      <c r="N599" s="110" t="n"/>
      <c r="O599" s="110" t="n"/>
      <c r="P599" s="110" t="n"/>
      <c r="Q599" s="110" t="n"/>
      <c r="R599" s="110" t="n"/>
      <c r="S599" s="110" t="n"/>
      <c r="T599" s="110" t="n"/>
      <c r="U599" s="110" t="n"/>
      <c r="V599" s="110" t="n"/>
      <c r="W599" s="110" t="n"/>
      <c r="X599" s="110" t="n"/>
      <c r="Y599" s="110" t="n"/>
      <c r="Z599" s="110" t="n"/>
    </row>
    <row r="600">
      <c r="A600" s="110" t="n"/>
      <c r="B600" s="110" t="n"/>
      <c r="C600" s="110" t="n"/>
      <c r="D600" s="110" t="n"/>
      <c r="E600" s="110" t="n"/>
      <c r="F600" s="110" t="n"/>
      <c r="G600" s="110" t="n"/>
      <c r="H600" s="110" t="n"/>
      <c r="I600" s="110" t="n"/>
      <c r="J600" s="110" t="n"/>
      <c r="K600" s="110" t="n"/>
      <c r="L600" s="110" t="n"/>
      <c r="M600" s="110" t="n"/>
      <c r="N600" s="110" t="n"/>
      <c r="O600" s="110" t="n"/>
      <c r="P600" s="110" t="n"/>
      <c r="Q600" s="110" t="n"/>
      <c r="R600" s="110" t="n"/>
      <c r="S600" s="110" t="n"/>
      <c r="T600" s="110" t="n"/>
      <c r="U600" s="110" t="n"/>
      <c r="V600" s="110" t="n"/>
      <c r="W600" s="110" t="n"/>
      <c r="X600" s="110" t="n"/>
      <c r="Y600" s="110" t="n"/>
      <c r="Z600" s="110" t="n"/>
    </row>
    <row r="601">
      <c r="A601" s="110" t="n"/>
      <c r="B601" s="110" t="n"/>
      <c r="C601" s="110" t="n"/>
      <c r="D601" s="110" t="n"/>
      <c r="E601" s="110" t="n"/>
      <c r="F601" s="110" t="n"/>
      <c r="G601" s="110" t="n"/>
      <c r="H601" s="110" t="n"/>
      <c r="I601" s="110" t="n"/>
      <c r="J601" s="110" t="n"/>
      <c r="K601" s="110" t="n"/>
      <c r="L601" s="110" t="n"/>
      <c r="M601" s="110" t="n"/>
      <c r="N601" s="110" t="n"/>
      <c r="O601" s="110" t="n"/>
      <c r="P601" s="110" t="n"/>
      <c r="Q601" s="110" t="n"/>
      <c r="R601" s="110" t="n"/>
      <c r="S601" s="110" t="n"/>
      <c r="T601" s="110" t="n"/>
      <c r="U601" s="110" t="n"/>
      <c r="V601" s="110" t="n"/>
      <c r="W601" s="110" t="n"/>
      <c r="X601" s="110" t="n"/>
      <c r="Y601" s="110" t="n"/>
      <c r="Z601" s="110" t="n"/>
    </row>
    <row r="602">
      <c r="A602" s="110" t="n"/>
      <c r="B602" s="110" t="n"/>
      <c r="C602" s="110" t="n"/>
      <c r="D602" s="110" t="n"/>
      <c r="E602" s="110" t="n"/>
      <c r="F602" s="110" t="n"/>
      <c r="G602" s="110" t="n"/>
      <c r="H602" s="110" t="n"/>
      <c r="I602" s="110" t="n"/>
      <c r="J602" s="110" t="n"/>
      <c r="K602" s="110" t="n"/>
      <c r="L602" s="110" t="n"/>
      <c r="M602" s="110" t="n"/>
      <c r="N602" s="110" t="n"/>
      <c r="O602" s="110" t="n"/>
      <c r="P602" s="110" t="n"/>
      <c r="Q602" s="110" t="n"/>
      <c r="R602" s="110" t="n"/>
      <c r="S602" s="110" t="n"/>
      <c r="T602" s="110" t="n"/>
      <c r="U602" s="110" t="n"/>
      <c r="V602" s="110" t="n"/>
      <c r="W602" s="110" t="n"/>
      <c r="X602" s="110" t="n"/>
      <c r="Y602" s="110" t="n"/>
      <c r="Z602" s="110" t="n"/>
    </row>
    <row r="603">
      <c r="A603" s="110" t="n"/>
      <c r="B603" s="110" t="n"/>
      <c r="C603" s="110" t="n"/>
      <c r="D603" s="110" t="n"/>
      <c r="E603" s="110" t="n"/>
      <c r="F603" s="110" t="n"/>
      <c r="G603" s="110" t="n"/>
      <c r="H603" s="110" t="n"/>
      <c r="I603" s="110" t="n"/>
      <c r="J603" s="110" t="n"/>
      <c r="K603" s="110" t="n"/>
      <c r="L603" s="110" t="n"/>
      <c r="M603" s="110" t="n"/>
      <c r="N603" s="110" t="n"/>
      <c r="O603" s="110" t="n"/>
      <c r="P603" s="110" t="n"/>
      <c r="Q603" s="110" t="n"/>
      <c r="R603" s="110" t="n"/>
      <c r="S603" s="110" t="n"/>
      <c r="T603" s="110" t="n"/>
      <c r="U603" s="110" t="n"/>
      <c r="V603" s="110" t="n"/>
      <c r="W603" s="110" t="n"/>
      <c r="X603" s="110" t="n"/>
      <c r="Y603" s="110" t="n"/>
      <c r="Z603" s="110" t="n"/>
    </row>
    <row r="604">
      <c r="A604" s="110" t="n"/>
      <c r="B604" s="110" t="n"/>
      <c r="C604" s="110" t="n"/>
      <c r="D604" s="110" t="n"/>
      <c r="E604" s="110" t="n"/>
      <c r="F604" s="110" t="n"/>
      <c r="G604" s="110" t="n"/>
      <c r="H604" s="110" t="n"/>
      <c r="I604" s="110" t="n"/>
      <c r="J604" s="110" t="n"/>
      <c r="K604" s="110" t="n"/>
      <c r="L604" s="110" t="n"/>
      <c r="M604" s="110" t="n"/>
      <c r="N604" s="110" t="n"/>
      <c r="O604" s="110" t="n"/>
      <c r="P604" s="110" t="n"/>
      <c r="Q604" s="110" t="n"/>
      <c r="R604" s="110" t="n"/>
      <c r="S604" s="110" t="n"/>
      <c r="T604" s="110" t="n"/>
      <c r="U604" s="110" t="n"/>
      <c r="V604" s="110" t="n"/>
      <c r="W604" s="110" t="n"/>
      <c r="X604" s="110" t="n"/>
      <c r="Y604" s="110" t="n"/>
      <c r="Z604" s="110" t="n"/>
    </row>
    <row r="605">
      <c r="A605" s="110" t="n"/>
      <c r="B605" s="110" t="n"/>
      <c r="C605" s="110" t="n"/>
      <c r="D605" s="110" t="n"/>
      <c r="E605" s="110" t="n"/>
      <c r="F605" s="110" t="n"/>
      <c r="G605" s="110" t="n"/>
      <c r="H605" s="110" t="n"/>
      <c r="I605" s="110" t="n"/>
      <c r="J605" s="110" t="n"/>
      <c r="K605" s="110" t="n"/>
      <c r="L605" s="110" t="n"/>
      <c r="M605" s="110" t="n"/>
      <c r="N605" s="110" t="n"/>
      <c r="O605" s="110" t="n"/>
      <c r="P605" s="110" t="n"/>
      <c r="Q605" s="110" t="n"/>
      <c r="R605" s="110" t="n"/>
      <c r="S605" s="110" t="n"/>
      <c r="T605" s="110" t="n"/>
      <c r="U605" s="110" t="n"/>
      <c r="V605" s="110" t="n"/>
      <c r="W605" s="110" t="n"/>
      <c r="X605" s="110" t="n"/>
      <c r="Y605" s="110" t="n"/>
      <c r="Z605" s="110" t="n"/>
    </row>
    <row r="606">
      <c r="A606" s="110" t="n"/>
      <c r="B606" s="110" t="n"/>
      <c r="C606" s="110" t="n"/>
      <c r="D606" s="110" t="n"/>
      <c r="E606" s="110" t="n"/>
      <c r="F606" s="110" t="n"/>
      <c r="G606" s="110" t="n"/>
      <c r="H606" s="110" t="n"/>
      <c r="I606" s="110" t="n"/>
      <c r="J606" s="110" t="n"/>
      <c r="K606" s="110" t="n"/>
      <c r="L606" s="110" t="n"/>
      <c r="M606" s="110" t="n"/>
      <c r="N606" s="110" t="n"/>
      <c r="O606" s="110" t="n"/>
      <c r="P606" s="110" t="n"/>
      <c r="Q606" s="110" t="n"/>
      <c r="R606" s="110" t="n"/>
      <c r="S606" s="110" t="n"/>
      <c r="T606" s="110" t="n"/>
      <c r="U606" s="110" t="n"/>
      <c r="V606" s="110" t="n"/>
      <c r="W606" s="110" t="n"/>
      <c r="X606" s="110" t="n"/>
      <c r="Y606" s="110" t="n"/>
      <c r="Z606" s="110" t="n"/>
    </row>
    <row r="607">
      <c r="A607" s="110" t="n"/>
      <c r="B607" s="110" t="n"/>
      <c r="C607" s="110" t="n"/>
      <c r="D607" s="110" t="n"/>
      <c r="E607" s="110" t="n"/>
      <c r="F607" s="110" t="n"/>
      <c r="G607" s="110" t="n"/>
      <c r="H607" s="110" t="n"/>
      <c r="I607" s="110" t="n"/>
      <c r="J607" s="110" t="n"/>
      <c r="K607" s="110" t="n"/>
      <c r="L607" s="110" t="n"/>
      <c r="M607" s="110" t="n"/>
      <c r="N607" s="110" t="n"/>
      <c r="O607" s="110" t="n"/>
      <c r="P607" s="110" t="n"/>
      <c r="Q607" s="110" t="n"/>
      <c r="R607" s="110" t="n"/>
      <c r="S607" s="110" t="n"/>
      <c r="T607" s="110" t="n"/>
      <c r="U607" s="110" t="n"/>
      <c r="V607" s="110" t="n"/>
      <c r="W607" s="110" t="n"/>
      <c r="X607" s="110" t="n"/>
      <c r="Y607" s="110" t="n"/>
      <c r="Z607" s="110" t="n"/>
    </row>
    <row r="608">
      <c r="A608" s="110" t="n"/>
      <c r="B608" s="110" t="n"/>
      <c r="C608" s="110" t="n"/>
      <c r="D608" s="110" t="n"/>
      <c r="E608" s="110" t="n"/>
      <c r="F608" s="110" t="n"/>
      <c r="G608" s="110" t="n"/>
      <c r="H608" s="110" t="n"/>
      <c r="I608" s="110" t="n"/>
      <c r="J608" s="110" t="n"/>
      <c r="K608" s="110" t="n"/>
      <c r="L608" s="110" t="n"/>
      <c r="M608" s="110" t="n"/>
      <c r="N608" s="110" t="n"/>
      <c r="O608" s="110" t="n"/>
      <c r="P608" s="110" t="n"/>
      <c r="Q608" s="110" t="n"/>
      <c r="R608" s="110" t="n"/>
      <c r="S608" s="110" t="n"/>
      <c r="T608" s="110" t="n"/>
      <c r="U608" s="110" t="n"/>
      <c r="V608" s="110" t="n"/>
      <c r="W608" s="110" t="n"/>
      <c r="X608" s="110" t="n"/>
      <c r="Y608" s="110" t="n"/>
      <c r="Z608" s="110" t="n"/>
    </row>
    <row r="609">
      <c r="A609" s="110" t="n"/>
      <c r="B609" s="110" t="n"/>
      <c r="C609" s="110" t="n"/>
      <c r="D609" s="110" t="n"/>
      <c r="E609" s="110" t="n"/>
      <c r="F609" s="110" t="n"/>
      <c r="G609" s="110" t="n"/>
      <c r="H609" s="110" t="n"/>
      <c r="I609" s="110" t="n"/>
      <c r="J609" s="110" t="n"/>
      <c r="K609" s="110" t="n"/>
      <c r="L609" s="110" t="n"/>
      <c r="M609" s="110" t="n"/>
      <c r="N609" s="110" t="n"/>
      <c r="O609" s="110" t="n"/>
      <c r="P609" s="110" t="n"/>
      <c r="Q609" s="110" t="n"/>
      <c r="R609" s="110" t="n"/>
      <c r="S609" s="110" t="n"/>
      <c r="T609" s="110" t="n"/>
      <c r="U609" s="110" t="n"/>
      <c r="V609" s="110" t="n"/>
      <c r="W609" s="110" t="n"/>
      <c r="X609" s="110" t="n"/>
      <c r="Y609" s="110" t="n"/>
      <c r="Z609" s="110" t="n"/>
    </row>
    <row r="610">
      <c r="A610" s="110" t="n"/>
      <c r="B610" s="110" t="n"/>
      <c r="C610" s="110" t="n"/>
      <c r="D610" s="110" t="n"/>
      <c r="E610" s="110" t="n"/>
      <c r="F610" s="110" t="n"/>
      <c r="G610" s="110" t="n"/>
      <c r="H610" s="110" t="n"/>
      <c r="I610" s="110" t="n"/>
      <c r="J610" s="110" t="n"/>
      <c r="K610" s="110" t="n"/>
      <c r="L610" s="110" t="n"/>
      <c r="M610" s="110" t="n"/>
      <c r="N610" s="110" t="n"/>
      <c r="O610" s="110" t="n"/>
      <c r="P610" s="110" t="n"/>
      <c r="Q610" s="110" t="n"/>
      <c r="R610" s="110" t="n"/>
      <c r="S610" s="110" t="n"/>
      <c r="T610" s="110" t="n"/>
      <c r="U610" s="110" t="n"/>
      <c r="V610" s="110" t="n"/>
      <c r="W610" s="110" t="n"/>
      <c r="X610" s="110" t="n"/>
      <c r="Y610" s="110" t="n"/>
      <c r="Z610" s="110" t="n"/>
    </row>
    <row r="611">
      <c r="A611" s="110" t="n"/>
      <c r="B611" s="110" t="n"/>
      <c r="C611" s="110" t="n"/>
      <c r="D611" s="110" t="n"/>
      <c r="E611" s="110" t="n"/>
      <c r="F611" s="110" t="n"/>
      <c r="G611" s="110" t="n"/>
      <c r="H611" s="110" t="n"/>
      <c r="I611" s="110" t="n"/>
      <c r="J611" s="110" t="n"/>
      <c r="K611" s="110" t="n"/>
      <c r="L611" s="110" t="n"/>
      <c r="M611" s="110" t="n"/>
      <c r="N611" s="110" t="n"/>
      <c r="O611" s="110" t="n"/>
      <c r="P611" s="110" t="n"/>
      <c r="Q611" s="110" t="n"/>
      <c r="R611" s="110" t="n"/>
      <c r="S611" s="110" t="n"/>
      <c r="T611" s="110" t="n"/>
      <c r="U611" s="110" t="n"/>
      <c r="V611" s="110" t="n"/>
      <c r="W611" s="110" t="n"/>
      <c r="X611" s="110" t="n"/>
      <c r="Y611" s="110" t="n"/>
      <c r="Z611" s="110" t="n"/>
    </row>
    <row r="612">
      <c r="A612" s="110" t="n"/>
      <c r="B612" s="110" t="n"/>
      <c r="C612" s="110" t="n"/>
      <c r="D612" s="110" t="n"/>
      <c r="E612" s="110" t="n"/>
      <c r="F612" s="110" t="n"/>
      <c r="G612" s="110" t="n"/>
      <c r="H612" s="110" t="n"/>
      <c r="I612" s="110" t="n"/>
      <c r="J612" s="110" t="n"/>
      <c r="K612" s="110" t="n"/>
      <c r="L612" s="110" t="n"/>
      <c r="M612" s="110" t="n"/>
      <c r="N612" s="110" t="n"/>
      <c r="O612" s="110" t="n"/>
      <c r="P612" s="110" t="n"/>
      <c r="Q612" s="110" t="n"/>
      <c r="R612" s="110" t="n"/>
      <c r="S612" s="110" t="n"/>
      <c r="T612" s="110" t="n"/>
      <c r="U612" s="110" t="n"/>
      <c r="V612" s="110" t="n"/>
      <c r="W612" s="110" t="n"/>
      <c r="X612" s="110" t="n"/>
      <c r="Y612" s="110" t="n"/>
      <c r="Z612" s="110" t="n"/>
    </row>
    <row r="613">
      <c r="A613" s="110" t="n"/>
      <c r="B613" s="110" t="n"/>
      <c r="C613" s="110" t="n"/>
      <c r="D613" s="110" t="n"/>
      <c r="E613" s="110" t="n"/>
      <c r="F613" s="110" t="n"/>
      <c r="G613" s="110" t="n"/>
      <c r="H613" s="110" t="n"/>
      <c r="I613" s="110" t="n"/>
      <c r="J613" s="110" t="n"/>
      <c r="K613" s="110" t="n"/>
      <c r="L613" s="110" t="n"/>
      <c r="M613" s="110" t="n"/>
      <c r="N613" s="110" t="n"/>
      <c r="O613" s="110" t="n"/>
      <c r="P613" s="110" t="n"/>
      <c r="Q613" s="110" t="n"/>
      <c r="R613" s="110" t="n"/>
      <c r="S613" s="110" t="n"/>
      <c r="T613" s="110" t="n"/>
      <c r="U613" s="110" t="n"/>
      <c r="V613" s="110" t="n"/>
      <c r="W613" s="110" t="n"/>
      <c r="X613" s="110" t="n"/>
      <c r="Y613" s="110" t="n"/>
      <c r="Z613" s="110" t="n"/>
    </row>
    <row r="614">
      <c r="A614" s="110" t="n"/>
      <c r="B614" s="110" t="n"/>
      <c r="C614" s="110" t="n"/>
      <c r="D614" s="110" t="n"/>
      <c r="E614" s="110" t="n"/>
      <c r="F614" s="110" t="n"/>
      <c r="G614" s="110" t="n"/>
      <c r="H614" s="110" t="n"/>
      <c r="I614" s="110" t="n"/>
      <c r="J614" s="110" t="n"/>
      <c r="K614" s="110" t="n"/>
      <c r="L614" s="110" t="n"/>
      <c r="M614" s="110" t="n"/>
      <c r="N614" s="110" t="n"/>
      <c r="O614" s="110" t="n"/>
      <c r="P614" s="110" t="n"/>
      <c r="Q614" s="110" t="n"/>
      <c r="R614" s="110" t="n"/>
      <c r="S614" s="110" t="n"/>
      <c r="T614" s="110" t="n"/>
      <c r="U614" s="110" t="n"/>
      <c r="V614" s="110" t="n"/>
      <c r="W614" s="110" t="n"/>
      <c r="X614" s="110" t="n"/>
      <c r="Y614" s="110" t="n"/>
      <c r="Z614" s="110" t="n"/>
    </row>
    <row r="615">
      <c r="A615" s="110" t="n"/>
      <c r="B615" s="110" t="n"/>
      <c r="C615" s="110" t="n"/>
      <c r="D615" s="110" t="n"/>
      <c r="E615" s="110" t="n"/>
      <c r="F615" s="110" t="n"/>
      <c r="G615" s="110" t="n"/>
      <c r="H615" s="110" t="n"/>
      <c r="I615" s="110" t="n"/>
      <c r="J615" s="110" t="n"/>
      <c r="K615" s="110" t="n"/>
      <c r="L615" s="110" t="n"/>
      <c r="M615" s="110" t="n"/>
      <c r="N615" s="110" t="n"/>
      <c r="O615" s="110" t="n"/>
      <c r="P615" s="110" t="n"/>
      <c r="Q615" s="110" t="n"/>
      <c r="R615" s="110" t="n"/>
      <c r="S615" s="110" t="n"/>
      <c r="T615" s="110" t="n"/>
      <c r="U615" s="110" t="n"/>
      <c r="V615" s="110" t="n"/>
      <c r="W615" s="110" t="n"/>
      <c r="X615" s="110" t="n"/>
      <c r="Y615" s="110" t="n"/>
      <c r="Z615" s="110" t="n"/>
    </row>
    <row r="616">
      <c r="A616" s="110" t="n"/>
      <c r="B616" s="110" t="n"/>
      <c r="C616" s="110" t="n"/>
      <c r="D616" s="110" t="n"/>
      <c r="E616" s="110" t="n"/>
      <c r="F616" s="110" t="n"/>
      <c r="G616" s="110" t="n"/>
      <c r="H616" s="110" t="n"/>
      <c r="I616" s="110" t="n"/>
      <c r="J616" s="110" t="n"/>
      <c r="K616" s="110" t="n"/>
      <c r="L616" s="110" t="n"/>
      <c r="M616" s="110" t="n"/>
      <c r="N616" s="110" t="n"/>
      <c r="O616" s="110" t="n"/>
      <c r="P616" s="110" t="n"/>
      <c r="Q616" s="110" t="n"/>
      <c r="R616" s="110" t="n"/>
      <c r="S616" s="110" t="n"/>
      <c r="T616" s="110" t="n"/>
      <c r="U616" s="110" t="n"/>
      <c r="V616" s="110" t="n"/>
      <c r="W616" s="110" t="n"/>
      <c r="X616" s="110" t="n"/>
      <c r="Y616" s="110" t="n"/>
      <c r="Z616" s="110" t="n"/>
    </row>
    <row r="617">
      <c r="A617" s="110" t="n"/>
      <c r="B617" s="110" t="n"/>
      <c r="C617" s="110" t="n"/>
      <c r="D617" s="110" t="n"/>
      <c r="E617" s="110" t="n"/>
      <c r="F617" s="110" t="n"/>
      <c r="G617" s="110" t="n"/>
      <c r="H617" s="110" t="n"/>
      <c r="I617" s="110" t="n"/>
      <c r="J617" s="110" t="n"/>
      <c r="K617" s="110" t="n"/>
      <c r="L617" s="110" t="n"/>
      <c r="M617" s="110" t="n"/>
      <c r="N617" s="110" t="n"/>
      <c r="O617" s="110" t="n"/>
      <c r="P617" s="110" t="n"/>
      <c r="Q617" s="110" t="n"/>
      <c r="R617" s="110" t="n"/>
      <c r="S617" s="110" t="n"/>
      <c r="T617" s="110" t="n"/>
      <c r="U617" s="110" t="n"/>
      <c r="V617" s="110" t="n"/>
      <c r="W617" s="110" t="n"/>
      <c r="X617" s="110" t="n"/>
      <c r="Y617" s="110" t="n"/>
      <c r="Z617" s="110" t="n"/>
    </row>
    <row r="618">
      <c r="A618" s="110" t="n"/>
      <c r="B618" s="110" t="n"/>
      <c r="C618" s="110" t="n"/>
      <c r="D618" s="110" t="n"/>
      <c r="E618" s="110" t="n"/>
      <c r="F618" s="110" t="n"/>
      <c r="G618" s="110" t="n"/>
      <c r="H618" s="110" t="n"/>
      <c r="I618" s="110" t="n"/>
      <c r="J618" s="110" t="n"/>
      <c r="K618" s="110" t="n"/>
      <c r="L618" s="110" t="n"/>
      <c r="M618" s="110" t="n"/>
      <c r="N618" s="110" t="n"/>
      <c r="O618" s="110" t="n"/>
      <c r="P618" s="110" t="n"/>
      <c r="Q618" s="110" t="n"/>
      <c r="R618" s="110" t="n"/>
      <c r="S618" s="110" t="n"/>
      <c r="T618" s="110" t="n"/>
      <c r="U618" s="110" t="n"/>
      <c r="V618" s="110" t="n"/>
      <c r="W618" s="110" t="n"/>
      <c r="X618" s="110" t="n"/>
      <c r="Y618" s="110" t="n"/>
      <c r="Z618" s="110" t="n"/>
    </row>
    <row r="619">
      <c r="A619" s="110" t="n"/>
      <c r="B619" s="110" t="n"/>
      <c r="C619" s="110" t="n"/>
      <c r="D619" s="110" t="n"/>
      <c r="E619" s="110" t="n"/>
      <c r="F619" s="110" t="n"/>
      <c r="G619" s="110" t="n"/>
      <c r="H619" s="110" t="n"/>
      <c r="I619" s="110" t="n"/>
      <c r="J619" s="110" t="n"/>
      <c r="K619" s="110" t="n"/>
      <c r="L619" s="110" t="n"/>
      <c r="M619" s="110" t="n"/>
      <c r="N619" s="110" t="n"/>
      <c r="O619" s="110" t="n"/>
      <c r="P619" s="110" t="n"/>
      <c r="Q619" s="110" t="n"/>
      <c r="R619" s="110" t="n"/>
      <c r="S619" s="110" t="n"/>
      <c r="T619" s="110" t="n"/>
      <c r="U619" s="110" t="n"/>
      <c r="V619" s="110" t="n"/>
      <c r="W619" s="110" t="n"/>
      <c r="X619" s="110" t="n"/>
      <c r="Y619" s="110" t="n"/>
      <c r="Z619" s="110" t="n"/>
    </row>
    <row r="620">
      <c r="A620" s="110" t="n"/>
      <c r="B620" s="110" t="n"/>
      <c r="C620" s="110" t="n"/>
      <c r="D620" s="110" t="n"/>
      <c r="E620" s="110" t="n"/>
      <c r="F620" s="110" t="n"/>
      <c r="G620" s="110" t="n"/>
      <c r="H620" s="110" t="n"/>
      <c r="I620" s="110" t="n"/>
      <c r="J620" s="110" t="n"/>
      <c r="K620" s="110" t="n"/>
      <c r="L620" s="110" t="n"/>
      <c r="M620" s="110" t="n"/>
      <c r="N620" s="110" t="n"/>
      <c r="O620" s="110" t="n"/>
      <c r="P620" s="110" t="n"/>
      <c r="Q620" s="110" t="n"/>
      <c r="R620" s="110" t="n"/>
      <c r="S620" s="110" t="n"/>
      <c r="T620" s="110" t="n"/>
      <c r="U620" s="110" t="n"/>
      <c r="V620" s="110" t="n"/>
      <c r="W620" s="110" t="n"/>
      <c r="X620" s="110" t="n"/>
      <c r="Y620" s="110" t="n"/>
      <c r="Z620" s="110" t="n"/>
    </row>
    <row r="621">
      <c r="A621" s="110" t="n"/>
      <c r="B621" s="110" t="n"/>
      <c r="C621" s="110" t="n"/>
      <c r="D621" s="110" t="n"/>
      <c r="E621" s="110" t="n"/>
      <c r="F621" s="110" t="n"/>
      <c r="G621" s="110" t="n"/>
      <c r="H621" s="110" t="n"/>
      <c r="I621" s="110" t="n"/>
      <c r="J621" s="110" t="n"/>
      <c r="K621" s="110" t="n"/>
      <c r="L621" s="110" t="n"/>
      <c r="M621" s="110" t="n"/>
      <c r="N621" s="110" t="n"/>
      <c r="O621" s="110" t="n"/>
      <c r="P621" s="110" t="n"/>
      <c r="Q621" s="110" t="n"/>
      <c r="R621" s="110" t="n"/>
      <c r="S621" s="110" t="n"/>
      <c r="T621" s="110" t="n"/>
      <c r="U621" s="110" t="n"/>
      <c r="V621" s="110" t="n"/>
      <c r="W621" s="110" t="n"/>
      <c r="X621" s="110" t="n"/>
      <c r="Y621" s="110" t="n"/>
      <c r="Z621" s="110" t="n"/>
    </row>
    <row r="622">
      <c r="A622" s="110" t="n"/>
      <c r="B622" s="110" t="n"/>
      <c r="C622" s="110" t="n"/>
      <c r="D622" s="110" t="n"/>
      <c r="E622" s="110" t="n"/>
      <c r="F622" s="110" t="n"/>
      <c r="G622" s="110" t="n"/>
      <c r="H622" s="110" t="n"/>
      <c r="I622" s="110" t="n"/>
      <c r="J622" s="110" t="n"/>
      <c r="K622" s="110" t="n"/>
      <c r="L622" s="110" t="n"/>
      <c r="M622" s="110" t="n"/>
      <c r="N622" s="110" t="n"/>
      <c r="O622" s="110" t="n"/>
      <c r="P622" s="110" t="n"/>
      <c r="Q622" s="110" t="n"/>
      <c r="R622" s="110" t="n"/>
      <c r="S622" s="110" t="n"/>
      <c r="T622" s="110" t="n"/>
      <c r="U622" s="110" t="n"/>
      <c r="V622" s="110" t="n"/>
      <c r="W622" s="110" t="n"/>
      <c r="X622" s="110" t="n"/>
      <c r="Y622" s="110" t="n"/>
      <c r="Z622" s="110" t="n"/>
    </row>
    <row r="623">
      <c r="A623" s="110" t="n"/>
      <c r="B623" s="110" t="n"/>
      <c r="C623" s="110" t="n"/>
      <c r="D623" s="110" t="n"/>
      <c r="E623" s="110" t="n"/>
      <c r="F623" s="110" t="n"/>
      <c r="G623" s="110" t="n"/>
      <c r="H623" s="110" t="n"/>
      <c r="I623" s="110" t="n"/>
      <c r="J623" s="110" t="n"/>
      <c r="K623" s="110" t="n"/>
      <c r="L623" s="110" t="n"/>
      <c r="M623" s="110" t="n"/>
      <c r="N623" s="110" t="n"/>
      <c r="O623" s="110" t="n"/>
      <c r="P623" s="110" t="n"/>
      <c r="Q623" s="110" t="n"/>
      <c r="R623" s="110" t="n"/>
      <c r="S623" s="110" t="n"/>
      <c r="T623" s="110" t="n"/>
      <c r="U623" s="110" t="n"/>
      <c r="V623" s="110" t="n"/>
      <c r="W623" s="110" t="n"/>
      <c r="X623" s="110" t="n"/>
      <c r="Y623" s="110" t="n"/>
      <c r="Z623" s="110" t="n"/>
    </row>
    <row r="624">
      <c r="A624" s="110" t="n"/>
      <c r="B624" s="110" t="n"/>
      <c r="C624" s="110" t="n"/>
      <c r="D624" s="110" t="n"/>
      <c r="E624" s="110" t="n"/>
      <c r="F624" s="110" t="n"/>
      <c r="G624" s="110" t="n"/>
      <c r="H624" s="110" t="n"/>
      <c r="I624" s="110" t="n"/>
      <c r="J624" s="110" t="n"/>
      <c r="K624" s="110" t="n"/>
      <c r="L624" s="110" t="n"/>
      <c r="M624" s="110" t="n"/>
      <c r="N624" s="110" t="n"/>
      <c r="O624" s="110" t="n"/>
      <c r="P624" s="110" t="n"/>
      <c r="Q624" s="110" t="n"/>
      <c r="R624" s="110" t="n"/>
      <c r="S624" s="110" t="n"/>
      <c r="T624" s="110" t="n"/>
      <c r="U624" s="110" t="n"/>
      <c r="V624" s="110" t="n"/>
      <c r="W624" s="110" t="n"/>
      <c r="X624" s="110" t="n"/>
      <c r="Y624" s="110" t="n"/>
      <c r="Z624" s="110" t="n"/>
    </row>
    <row r="625">
      <c r="A625" s="110" t="n"/>
      <c r="B625" s="110" t="n"/>
      <c r="C625" s="110" t="n"/>
      <c r="D625" s="110" t="n"/>
      <c r="E625" s="110" t="n"/>
      <c r="F625" s="110" t="n"/>
      <c r="G625" s="110" t="n"/>
      <c r="H625" s="110" t="n"/>
      <c r="I625" s="110" t="n"/>
      <c r="J625" s="110" t="n"/>
      <c r="K625" s="110" t="n"/>
      <c r="L625" s="110" t="n"/>
      <c r="M625" s="110" t="n"/>
      <c r="N625" s="110" t="n"/>
      <c r="O625" s="110" t="n"/>
      <c r="P625" s="110" t="n"/>
      <c r="Q625" s="110" t="n"/>
      <c r="R625" s="110" t="n"/>
      <c r="S625" s="110" t="n"/>
      <c r="T625" s="110" t="n"/>
      <c r="U625" s="110" t="n"/>
      <c r="V625" s="110" t="n"/>
      <c r="W625" s="110" t="n"/>
      <c r="X625" s="110" t="n"/>
      <c r="Y625" s="110" t="n"/>
      <c r="Z625" s="110" t="n"/>
    </row>
    <row r="626">
      <c r="A626" s="110" t="n"/>
      <c r="B626" s="110" t="n"/>
      <c r="C626" s="110" t="n"/>
      <c r="D626" s="110" t="n"/>
      <c r="E626" s="110" t="n"/>
      <c r="F626" s="110" t="n"/>
      <c r="G626" s="110" t="n"/>
      <c r="H626" s="110" t="n"/>
      <c r="I626" s="110" t="n"/>
      <c r="J626" s="110" t="n"/>
      <c r="K626" s="110" t="n"/>
      <c r="L626" s="110" t="n"/>
      <c r="M626" s="110" t="n"/>
      <c r="N626" s="110" t="n"/>
      <c r="O626" s="110" t="n"/>
      <c r="P626" s="110" t="n"/>
      <c r="Q626" s="110" t="n"/>
      <c r="R626" s="110" t="n"/>
      <c r="S626" s="110" t="n"/>
      <c r="T626" s="110" t="n"/>
      <c r="U626" s="110" t="n"/>
      <c r="V626" s="110" t="n"/>
      <c r="W626" s="110" t="n"/>
      <c r="X626" s="110" t="n"/>
      <c r="Y626" s="110" t="n"/>
      <c r="Z626" s="110" t="n"/>
    </row>
    <row r="627">
      <c r="A627" s="110" t="n"/>
      <c r="B627" s="110" t="n"/>
      <c r="C627" s="110" t="n"/>
      <c r="D627" s="110" t="n"/>
      <c r="E627" s="110" t="n"/>
      <c r="F627" s="110" t="n"/>
      <c r="G627" s="110" t="n"/>
      <c r="H627" s="110" t="n"/>
      <c r="I627" s="110" t="n"/>
      <c r="J627" s="110" t="n"/>
      <c r="K627" s="110" t="n"/>
      <c r="L627" s="110" t="n"/>
      <c r="M627" s="110" t="n"/>
      <c r="N627" s="110" t="n"/>
      <c r="O627" s="110" t="n"/>
      <c r="P627" s="110" t="n"/>
      <c r="Q627" s="110" t="n"/>
      <c r="R627" s="110" t="n"/>
      <c r="S627" s="110" t="n"/>
      <c r="T627" s="110" t="n"/>
      <c r="U627" s="110" t="n"/>
      <c r="V627" s="110" t="n"/>
      <c r="W627" s="110" t="n"/>
      <c r="X627" s="110" t="n"/>
      <c r="Y627" s="110" t="n"/>
      <c r="Z627" s="110" t="n"/>
    </row>
    <row r="628">
      <c r="A628" s="110" t="n"/>
      <c r="B628" s="110" t="n"/>
      <c r="C628" s="110" t="n"/>
      <c r="D628" s="110" t="n"/>
      <c r="E628" s="110" t="n"/>
      <c r="F628" s="110" t="n"/>
      <c r="G628" s="110" t="n"/>
      <c r="H628" s="110" t="n"/>
      <c r="I628" s="110" t="n"/>
      <c r="J628" s="110" t="n"/>
      <c r="K628" s="110" t="n"/>
      <c r="L628" s="110" t="n"/>
      <c r="M628" s="110" t="n"/>
      <c r="N628" s="110" t="n"/>
      <c r="O628" s="110" t="n"/>
      <c r="P628" s="110" t="n"/>
      <c r="Q628" s="110" t="n"/>
      <c r="R628" s="110" t="n"/>
      <c r="S628" s="110" t="n"/>
      <c r="T628" s="110" t="n"/>
      <c r="U628" s="110" t="n"/>
      <c r="V628" s="110" t="n"/>
      <c r="W628" s="110" t="n"/>
      <c r="X628" s="110" t="n"/>
      <c r="Y628" s="110" t="n"/>
      <c r="Z628" s="110" t="n"/>
    </row>
    <row r="629">
      <c r="A629" s="110" t="n"/>
      <c r="B629" s="110" t="n"/>
      <c r="C629" s="110" t="n"/>
      <c r="D629" s="110" t="n"/>
      <c r="E629" s="110" t="n"/>
      <c r="F629" s="110" t="n"/>
      <c r="G629" s="110" t="n"/>
      <c r="H629" s="110" t="n"/>
      <c r="I629" s="110" t="n"/>
      <c r="J629" s="110" t="n"/>
      <c r="K629" s="110" t="n"/>
      <c r="L629" s="110" t="n"/>
      <c r="M629" s="110" t="n"/>
      <c r="N629" s="110" t="n"/>
      <c r="O629" s="110" t="n"/>
      <c r="P629" s="110" t="n"/>
      <c r="Q629" s="110" t="n"/>
      <c r="R629" s="110" t="n"/>
      <c r="S629" s="110" t="n"/>
      <c r="T629" s="110" t="n"/>
      <c r="U629" s="110" t="n"/>
      <c r="V629" s="110" t="n"/>
      <c r="W629" s="110" t="n"/>
      <c r="X629" s="110" t="n"/>
      <c r="Y629" s="110" t="n"/>
      <c r="Z629" s="110" t="n"/>
    </row>
    <row r="630">
      <c r="A630" s="110" t="n"/>
      <c r="B630" s="110" t="n"/>
      <c r="C630" s="110" t="n"/>
      <c r="D630" s="110" t="n"/>
      <c r="E630" s="110" t="n"/>
      <c r="F630" s="110" t="n"/>
      <c r="G630" s="110" t="n"/>
      <c r="H630" s="110" t="n"/>
      <c r="I630" s="110" t="n"/>
      <c r="J630" s="110" t="n"/>
      <c r="K630" s="110" t="n"/>
      <c r="L630" s="110" t="n"/>
      <c r="M630" s="110" t="n"/>
      <c r="N630" s="110" t="n"/>
      <c r="O630" s="110" t="n"/>
      <c r="P630" s="110" t="n"/>
      <c r="Q630" s="110" t="n"/>
      <c r="R630" s="110" t="n"/>
      <c r="S630" s="110" t="n"/>
      <c r="T630" s="110" t="n"/>
      <c r="U630" s="110" t="n"/>
      <c r="V630" s="110" t="n"/>
      <c r="W630" s="110" t="n"/>
      <c r="X630" s="110" t="n"/>
      <c r="Y630" s="110" t="n"/>
      <c r="Z630" s="110" t="n"/>
    </row>
    <row r="631">
      <c r="A631" s="110" t="n"/>
      <c r="B631" s="110" t="n"/>
      <c r="C631" s="110" t="n"/>
      <c r="D631" s="110" t="n"/>
      <c r="E631" s="110" t="n"/>
      <c r="F631" s="110" t="n"/>
      <c r="G631" s="110" t="n"/>
      <c r="H631" s="110" t="n"/>
      <c r="I631" s="110" t="n"/>
      <c r="J631" s="110" t="n"/>
      <c r="K631" s="110" t="n"/>
      <c r="L631" s="110" t="n"/>
      <c r="M631" s="110" t="n"/>
      <c r="N631" s="110" t="n"/>
      <c r="O631" s="110" t="n"/>
      <c r="P631" s="110" t="n"/>
      <c r="Q631" s="110" t="n"/>
      <c r="R631" s="110" t="n"/>
      <c r="S631" s="110" t="n"/>
      <c r="T631" s="110" t="n"/>
      <c r="U631" s="110" t="n"/>
      <c r="V631" s="110" t="n"/>
      <c r="W631" s="110" t="n"/>
      <c r="X631" s="110" t="n"/>
      <c r="Y631" s="110" t="n"/>
      <c r="Z631" s="110" t="n"/>
    </row>
    <row r="632">
      <c r="A632" s="110" t="n"/>
      <c r="B632" s="110" t="n"/>
      <c r="C632" s="110" t="n"/>
      <c r="D632" s="110" t="n"/>
      <c r="E632" s="110" t="n"/>
      <c r="F632" s="110" t="n"/>
      <c r="G632" s="110" t="n"/>
      <c r="H632" s="110" t="n"/>
      <c r="I632" s="110" t="n"/>
      <c r="J632" s="110" t="n"/>
      <c r="K632" s="110" t="n"/>
      <c r="L632" s="110" t="n"/>
      <c r="M632" s="110" t="n"/>
      <c r="N632" s="110" t="n"/>
      <c r="O632" s="110" t="n"/>
      <c r="P632" s="110" t="n"/>
      <c r="Q632" s="110" t="n"/>
      <c r="R632" s="110" t="n"/>
      <c r="S632" s="110" t="n"/>
      <c r="T632" s="110" t="n"/>
      <c r="U632" s="110" t="n"/>
      <c r="V632" s="110" t="n"/>
      <c r="W632" s="110" t="n"/>
      <c r="X632" s="110" t="n"/>
      <c r="Y632" s="110" t="n"/>
      <c r="Z632" s="110" t="n"/>
    </row>
    <row r="633">
      <c r="A633" s="110" t="n"/>
      <c r="B633" s="110" t="n"/>
      <c r="C633" s="110" t="n"/>
      <c r="D633" s="110" t="n"/>
      <c r="E633" s="110" t="n"/>
      <c r="F633" s="110" t="n"/>
      <c r="G633" s="110" t="n"/>
      <c r="H633" s="110" t="n"/>
      <c r="I633" s="110" t="n"/>
      <c r="J633" s="110" t="n"/>
      <c r="K633" s="110" t="n"/>
      <c r="L633" s="110" t="n"/>
      <c r="M633" s="110" t="n"/>
      <c r="N633" s="110" t="n"/>
      <c r="O633" s="110" t="n"/>
      <c r="P633" s="110" t="n"/>
      <c r="Q633" s="110" t="n"/>
      <c r="R633" s="110" t="n"/>
      <c r="S633" s="110" t="n"/>
      <c r="T633" s="110" t="n"/>
      <c r="U633" s="110" t="n"/>
      <c r="V633" s="110" t="n"/>
      <c r="W633" s="110" t="n"/>
      <c r="X633" s="110" t="n"/>
      <c r="Y633" s="110" t="n"/>
      <c r="Z633" s="110" t="n"/>
    </row>
    <row r="634">
      <c r="A634" s="110" t="n"/>
      <c r="B634" s="110" t="n"/>
      <c r="C634" s="110" t="n"/>
      <c r="D634" s="110" t="n"/>
      <c r="E634" s="110" t="n"/>
      <c r="F634" s="110" t="n"/>
      <c r="G634" s="110" t="n"/>
      <c r="H634" s="110" t="n"/>
      <c r="I634" s="110" t="n"/>
      <c r="J634" s="110" t="n"/>
      <c r="K634" s="110" t="n"/>
      <c r="L634" s="110" t="n"/>
      <c r="M634" s="110" t="n"/>
      <c r="N634" s="110" t="n"/>
      <c r="O634" s="110" t="n"/>
      <c r="P634" s="110" t="n"/>
      <c r="Q634" s="110" t="n"/>
      <c r="R634" s="110" t="n"/>
      <c r="S634" s="110" t="n"/>
      <c r="T634" s="110" t="n"/>
      <c r="U634" s="110" t="n"/>
      <c r="V634" s="110" t="n"/>
      <c r="W634" s="110" t="n"/>
      <c r="X634" s="110" t="n"/>
      <c r="Y634" s="110" t="n"/>
      <c r="Z634" s="110" t="n"/>
    </row>
    <row r="635">
      <c r="A635" s="110" t="n"/>
      <c r="B635" s="110" t="n"/>
      <c r="C635" s="110" t="n"/>
      <c r="D635" s="110" t="n"/>
      <c r="E635" s="110" t="n"/>
      <c r="F635" s="110" t="n"/>
      <c r="G635" s="110" t="n"/>
      <c r="H635" s="110" t="n"/>
      <c r="I635" s="110" t="n"/>
      <c r="J635" s="110" t="n"/>
      <c r="K635" s="110" t="n"/>
      <c r="L635" s="110" t="n"/>
      <c r="M635" s="110" t="n"/>
      <c r="N635" s="110" t="n"/>
      <c r="O635" s="110" t="n"/>
      <c r="P635" s="110" t="n"/>
      <c r="Q635" s="110" t="n"/>
      <c r="R635" s="110" t="n"/>
      <c r="S635" s="110" t="n"/>
      <c r="T635" s="110" t="n"/>
      <c r="U635" s="110" t="n"/>
      <c r="V635" s="110" t="n"/>
      <c r="W635" s="110" t="n"/>
      <c r="X635" s="110" t="n"/>
      <c r="Y635" s="110" t="n"/>
      <c r="Z635" s="110" t="n"/>
    </row>
    <row r="636">
      <c r="A636" s="110" t="n"/>
      <c r="B636" s="110" t="n"/>
      <c r="C636" s="110" t="n"/>
      <c r="D636" s="110" t="n"/>
      <c r="E636" s="110" t="n"/>
      <c r="F636" s="110" t="n"/>
      <c r="G636" s="110" t="n"/>
      <c r="H636" s="110" t="n"/>
      <c r="I636" s="110" t="n"/>
      <c r="J636" s="110" t="n"/>
      <c r="K636" s="110" t="n"/>
      <c r="L636" s="110" t="n"/>
      <c r="M636" s="110" t="n"/>
      <c r="N636" s="110" t="n"/>
      <c r="O636" s="110" t="n"/>
      <c r="P636" s="110" t="n"/>
      <c r="Q636" s="110" t="n"/>
      <c r="R636" s="110" t="n"/>
      <c r="S636" s="110" t="n"/>
      <c r="T636" s="110" t="n"/>
      <c r="U636" s="110" t="n"/>
      <c r="V636" s="110" t="n"/>
      <c r="W636" s="110" t="n"/>
      <c r="X636" s="110" t="n"/>
      <c r="Y636" s="110" t="n"/>
      <c r="Z636" s="110" t="n"/>
    </row>
    <row r="637">
      <c r="A637" s="110" t="n"/>
      <c r="B637" s="110" t="n"/>
      <c r="C637" s="110" t="n"/>
      <c r="D637" s="110" t="n"/>
      <c r="E637" s="110" t="n"/>
      <c r="F637" s="110" t="n"/>
      <c r="G637" s="110" t="n"/>
      <c r="H637" s="110" t="n"/>
      <c r="I637" s="110" t="n"/>
      <c r="J637" s="110" t="n"/>
      <c r="K637" s="110" t="n"/>
      <c r="L637" s="110" t="n"/>
      <c r="M637" s="110" t="n"/>
      <c r="N637" s="110" t="n"/>
      <c r="O637" s="110" t="n"/>
      <c r="P637" s="110" t="n"/>
      <c r="Q637" s="110" t="n"/>
      <c r="R637" s="110" t="n"/>
      <c r="S637" s="110" t="n"/>
      <c r="T637" s="110" t="n"/>
      <c r="U637" s="110" t="n"/>
      <c r="V637" s="110" t="n"/>
      <c r="W637" s="110" t="n"/>
      <c r="X637" s="110" t="n"/>
      <c r="Y637" s="110" t="n"/>
      <c r="Z637" s="110" t="n"/>
    </row>
    <row r="638">
      <c r="A638" s="110" t="n"/>
      <c r="B638" s="110" t="n"/>
      <c r="C638" s="110" t="n"/>
      <c r="D638" s="110" t="n"/>
      <c r="E638" s="110" t="n"/>
      <c r="F638" s="110" t="n"/>
      <c r="G638" s="110" t="n"/>
      <c r="H638" s="110" t="n"/>
      <c r="I638" s="110" t="n"/>
      <c r="J638" s="110" t="n"/>
      <c r="K638" s="110" t="n"/>
      <c r="L638" s="110" t="n"/>
      <c r="M638" s="110" t="n"/>
      <c r="N638" s="110" t="n"/>
      <c r="O638" s="110" t="n"/>
      <c r="P638" s="110" t="n"/>
      <c r="Q638" s="110" t="n"/>
      <c r="R638" s="110" t="n"/>
      <c r="S638" s="110" t="n"/>
      <c r="T638" s="110" t="n"/>
      <c r="U638" s="110" t="n"/>
      <c r="V638" s="110" t="n"/>
      <c r="W638" s="110" t="n"/>
      <c r="X638" s="110" t="n"/>
      <c r="Y638" s="110" t="n"/>
      <c r="Z638" s="110" t="n"/>
    </row>
    <row r="639">
      <c r="A639" s="110" t="n"/>
      <c r="B639" s="110" t="n"/>
      <c r="C639" s="110" t="n"/>
      <c r="D639" s="110" t="n"/>
      <c r="E639" s="110" t="n"/>
      <c r="F639" s="110" t="n"/>
      <c r="G639" s="110" t="n"/>
      <c r="H639" s="110" t="n"/>
      <c r="I639" s="110" t="n"/>
      <c r="J639" s="110" t="n"/>
      <c r="K639" s="110" t="n"/>
      <c r="L639" s="110" t="n"/>
      <c r="M639" s="110" t="n"/>
      <c r="N639" s="110" t="n"/>
      <c r="O639" s="110" t="n"/>
      <c r="P639" s="110" t="n"/>
      <c r="Q639" s="110" t="n"/>
      <c r="R639" s="110" t="n"/>
      <c r="S639" s="110" t="n"/>
      <c r="T639" s="110" t="n"/>
      <c r="U639" s="110" t="n"/>
      <c r="V639" s="110" t="n"/>
      <c r="W639" s="110" t="n"/>
      <c r="X639" s="110" t="n"/>
      <c r="Y639" s="110" t="n"/>
      <c r="Z639" s="110" t="n"/>
    </row>
    <row r="640">
      <c r="A640" s="110" t="n"/>
      <c r="B640" s="110" t="n"/>
      <c r="C640" s="110" t="n"/>
      <c r="D640" s="110" t="n"/>
      <c r="E640" s="110" t="n"/>
      <c r="F640" s="110" t="n"/>
      <c r="G640" s="110" t="n"/>
      <c r="H640" s="110" t="n"/>
      <c r="I640" s="110" t="n"/>
      <c r="J640" s="110" t="n"/>
      <c r="K640" s="110" t="n"/>
      <c r="L640" s="110" t="n"/>
      <c r="M640" s="110" t="n"/>
      <c r="N640" s="110" t="n"/>
      <c r="O640" s="110" t="n"/>
      <c r="P640" s="110" t="n"/>
      <c r="Q640" s="110" t="n"/>
      <c r="R640" s="110" t="n"/>
      <c r="S640" s="110" t="n"/>
      <c r="T640" s="110" t="n"/>
      <c r="U640" s="110" t="n"/>
      <c r="V640" s="110" t="n"/>
      <c r="W640" s="110" t="n"/>
      <c r="X640" s="110" t="n"/>
      <c r="Y640" s="110" t="n"/>
      <c r="Z640" s="110" t="n"/>
    </row>
    <row r="641">
      <c r="A641" s="110" t="n"/>
      <c r="B641" s="110" t="n"/>
      <c r="C641" s="110" t="n"/>
      <c r="D641" s="110" t="n"/>
      <c r="E641" s="110" t="n"/>
      <c r="F641" s="110" t="n"/>
      <c r="G641" s="110" t="n"/>
      <c r="H641" s="110" t="n"/>
      <c r="I641" s="110" t="n"/>
      <c r="J641" s="110" t="n"/>
      <c r="K641" s="110" t="n"/>
      <c r="L641" s="110" t="n"/>
      <c r="M641" s="110" t="n"/>
      <c r="N641" s="110" t="n"/>
      <c r="O641" s="110" t="n"/>
      <c r="P641" s="110" t="n"/>
      <c r="Q641" s="110" t="n"/>
      <c r="R641" s="110" t="n"/>
      <c r="S641" s="110" t="n"/>
      <c r="T641" s="110" t="n"/>
      <c r="U641" s="110" t="n"/>
      <c r="V641" s="110" t="n"/>
      <c r="W641" s="110" t="n"/>
      <c r="X641" s="110" t="n"/>
      <c r="Y641" s="110" t="n"/>
      <c r="Z641" s="110" t="n"/>
    </row>
    <row r="642">
      <c r="A642" s="110" t="n"/>
      <c r="B642" s="110" t="n"/>
      <c r="C642" s="110" t="n"/>
      <c r="D642" s="110" t="n"/>
      <c r="E642" s="110" t="n"/>
      <c r="F642" s="110" t="n"/>
      <c r="G642" s="110" t="n"/>
      <c r="H642" s="110" t="n"/>
      <c r="I642" s="110" t="n"/>
      <c r="J642" s="110" t="n"/>
      <c r="K642" s="110" t="n"/>
      <c r="L642" s="110" t="n"/>
      <c r="M642" s="110" t="n"/>
      <c r="N642" s="110" t="n"/>
      <c r="O642" s="110" t="n"/>
      <c r="P642" s="110" t="n"/>
      <c r="Q642" s="110" t="n"/>
      <c r="R642" s="110" t="n"/>
      <c r="S642" s="110" t="n"/>
      <c r="T642" s="110" t="n"/>
      <c r="U642" s="110" t="n"/>
      <c r="V642" s="110" t="n"/>
      <c r="W642" s="110" t="n"/>
      <c r="X642" s="110" t="n"/>
      <c r="Y642" s="110" t="n"/>
      <c r="Z642" s="110" t="n"/>
    </row>
    <row r="643">
      <c r="A643" s="110" t="n"/>
      <c r="B643" s="110" t="n"/>
      <c r="C643" s="110" t="n"/>
      <c r="D643" s="110" t="n"/>
      <c r="E643" s="110" t="n"/>
      <c r="F643" s="110" t="n"/>
      <c r="G643" s="110" t="n"/>
      <c r="H643" s="110" t="n"/>
      <c r="I643" s="110" t="n"/>
      <c r="J643" s="110" t="n"/>
      <c r="K643" s="110" t="n"/>
      <c r="L643" s="110" t="n"/>
      <c r="M643" s="110" t="n"/>
      <c r="N643" s="110" t="n"/>
      <c r="O643" s="110" t="n"/>
      <c r="P643" s="110" t="n"/>
      <c r="Q643" s="110" t="n"/>
      <c r="R643" s="110" t="n"/>
      <c r="S643" s="110" t="n"/>
      <c r="T643" s="110" t="n"/>
      <c r="U643" s="110" t="n"/>
      <c r="V643" s="110" t="n"/>
      <c r="W643" s="110" t="n"/>
      <c r="X643" s="110" t="n"/>
      <c r="Y643" s="110" t="n"/>
      <c r="Z643" s="110" t="n"/>
    </row>
    <row r="644">
      <c r="A644" s="110" t="n"/>
      <c r="B644" s="110" t="n"/>
      <c r="C644" s="110" t="n"/>
      <c r="D644" s="110" t="n"/>
      <c r="E644" s="110" t="n"/>
      <c r="F644" s="110" t="n"/>
      <c r="G644" s="110" t="n"/>
      <c r="H644" s="110" t="n"/>
      <c r="I644" s="110" t="n"/>
      <c r="J644" s="110" t="n"/>
      <c r="K644" s="110" t="n"/>
      <c r="L644" s="110" t="n"/>
      <c r="M644" s="110" t="n"/>
      <c r="N644" s="110" t="n"/>
      <c r="O644" s="110" t="n"/>
      <c r="P644" s="110" t="n"/>
      <c r="Q644" s="110" t="n"/>
      <c r="R644" s="110" t="n"/>
      <c r="S644" s="110" t="n"/>
      <c r="T644" s="110" t="n"/>
      <c r="U644" s="110" t="n"/>
      <c r="V644" s="110" t="n"/>
      <c r="W644" s="110" t="n"/>
      <c r="X644" s="110" t="n"/>
      <c r="Y644" s="110" t="n"/>
      <c r="Z644" s="110" t="n"/>
    </row>
    <row r="645">
      <c r="A645" s="110" t="n"/>
      <c r="B645" s="110" t="n"/>
      <c r="C645" s="110" t="n"/>
      <c r="D645" s="110" t="n"/>
      <c r="E645" s="110" t="n"/>
      <c r="F645" s="110" t="n"/>
      <c r="G645" s="110" t="n"/>
      <c r="H645" s="110" t="n"/>
      <c r="I645" s="110" t="n"/>
      <c r="J645" s="110" t="n"/>
      <c r="K645" s="110" t="n"/>
      <c r="L645" s="110" t="n"/>
      <c r="M645" s="110" t="n"/>
      <c r="N645" s="110" t="n"/>
      <c r="O645" s="110" t="n"/>
      <c r="P645" s="110" t="n"/>
      <c r="Q645" s="110" t="n"/>
      <c r="R645" s="110" t="n"/>
      <c r="S645" s="110" t="n"/>
      <c r="T645" s="110" t="n"/>
      <c r="U645" s="110" t="n"/>
      <c r="V645" s="110" t="n"/>
      <c r="W645" s="110" t="n"/>
      <c r="X645" s="110" t="n"/>
      <c r="Y645" s="110" t="n"/>
      <c r="Z645" s="110" t="n"/>
    </row>
    <row r="646">
      <c r="A646" s="110" t="n"/>
      <c r="B646" s="110" t="n"/>
      <c r="C646" s="110" t="n"/>
      <c r="D646" s="110" t="n"/>
      <c r="E646" s="110" t="n"/>
      <c r="F646" s="110" t="n"/>
      <c r="G646" s="110" t="n"/>
      <c r="H646" s="110" t="n"/>
      <c r="I646" s="110" t="n"/>
      <c r="J646" s="110" t="n"/>
      <c r="K646" s="110" t="n"/>
      <c r="L646" s="110" t="n"/>
      <c r="M646" s="110" t="n"/>
      <c r="N646" s="110" t="n"/>
      <c r="O646" s="110" t="n"/>
      <c r="P646" s="110" t="n"/>
      <c r="Q646" s="110" t="n"/>
      <c r="R646" s="110" t="n"/>
      <c r="S646" s="110" t="n"/>
      <c r="T646" s="110" t="n"/>
      <c r="U646" s="110" t="n"/>
      <c r="V646" s="110" t="n"/>
      <c r="W646" s="110" t="n"/>
      <c r="X646" s="110" t="n"/>
      <c r="Y646" s="110" t="n"/>
      <c r="Z646" s="110" t="n"/>
    </row>
    <row r="647">
      <c r="A647" s="110" t="n"/>
      <c r="B647" s="110" t="n"/>
      <c r="C647" s="110" t="n"/>
      <c r="D647" s="110" t="n"/>
      <c r="E647" s="110" t="n"/>
      <c r="F647" s="110" t="n"/>
      <c r="G647" s="110" t="n"/>
      <c r="H647" s="110" t="n"/>
      <c r="I647" s="110" t="n"/>
      <c r="J647" s="110" t="n"/>
      <c r="K647" s="110" t="n"/>
      <c r="L647" s="110" t="n"/>
      <c r="M647" s="110" t="n"/>
      <c r="N647" s="110" t="n"/>
      <c r="O647" s="110" t="n"/>
      <c r="P647" s="110" t="n"/>
      <c r="Q647" s="110" t="n"/>
      <c r="R647" s="110" t="n"/>
      <c r="S647" s="110" t="n"/>
      <c r="T647" s="110" t="n"/>
      <c r="U647" s="110" t="n"/>
      <c r="V647" s="110" t="n"/>
      <c r="W647" s="110" t="n"/>
      <c r="X647" s="110" t="n"/>
      <c r="Y647" s="110" t="n"/>
      <c r="Z647" s="110" t="n"/>
    </row>
    <row r="648">
      <c r="A648" s="110" t="n"/>
      <c r="B648" s="110" t="n"/>
      <c r="C648" s="110" t="n"/>
      <c r="D648" s="110" t="n"/>
      <c r="E648" s="110" t="n"/>
      <c r="F648" s="110" t="n"/>
      <c r="G648" s="110" t="n"/>
      <c r="H648" s="110" t="n"/>
      <c r="I648" s="110" t="n"/>
      <c r="J648" s="110" t="n"/>
      <c r="K648" s="110" t="n"/>
      <c r="L648" s="110" t="n"/>
      <c r="M648" s="110" t="n"/>
      <c r="N648" s="110" t="n"/>
      <c r="O648" s="110" t="n"/>
      <c r="P648" s="110" t="n"/>
      <c r="Q648" s="110" t="n"/>
      <c r="R648" s="110" t="n"/>
      <c r="S648" s="110" t="n"/>
      <c r="T648" s="110" t="n"/>
      <c r="U648" s="110" t="n"/>
      <c r="V648" s="110" t="n"/>
      <c r="W648" s="110" t="n"/>
      <c r="X648" s="110" t="n"/>
      <c r="Y648" s="110" t="n"/>
      <c r="Z648" s="110" t="n"/>
    </row>
    <row r="649">
      <c r="A649" s="110" t="n"/>
      <c r="B649" s="110" t="n"/>
      <c r="C649" s="110" t="n"/>
      <c r="D649" s="110" t="n"/>
      <c r="E649" s="110" t="n"/>
      <c r="F649" s="110" t="n"/>
      <c r="G649" s="110" t="n"/>
      <c r="H649" s="110" t="n"/>
      <c r="I649" s="110" t="n"/>
      <c r="J649" s="110" t="n"/>
      <c r="K649" s="110" t="n"/>
      <c r="L649" s="110" t="n"/>
      <c r="M649" s="110" t="n"/>
      <c r="N649" s="110" t="n"/>
      <c r="O649" s="110" t="n"/>
      <c r="P649" s="110" t="n"/>
      <c r="Q649" s="110" t="n"/>
      <c r="R649" s="110" t="n"/>
      <c r="S649" s="110" t="n"/>
      <c r="T649" s="110" t="n"/>
      <c r="U649" s="110" t="n"/>
      <c r="V649" s="110" t="n"/>
      <c r="W649" s="110" t="n"/>
      <c r="X649" s="110" t="n"/>
      <c r="Y649" s="110" t="n"/>
      <c r="Z649" s="110" t="n"/>
    </row>
    <row r="650">
      <c r="A650" s="110" t="n"/>
      <c r="B650" s="110" t="n"/>
      <c r="C650" s="110" t="n"/>
      <c r="D650" s="110" t="n"/>
      <c r="E650" s="110" t="n"/>
      <c r="F650" s="110" t="n"/>
      <c r="G650" s="110" t="n"/>
      <c r="H650" s="110" t="n"/>
      <c r="I650" s="110" t="n"/>
      <c r="J650" s="110" t="n"/>
      <c r="K650" s="110" t="n"/>
      <c r="L650" s="110" t="n"/>
      <c r="M650" s="110" t="n"/>
      <c r="N650" s="110" t="n"/>
      <c r="O650" s="110" t="n"/>
      <c r="P650" s="110" t="n"/>
      <c r="Q650" s="110" t="n"/>
      <c r="R650" s="110" t="n"/>
      <c r="S650" s="110" t="n"/>
      <c r="T650" s="110" t="n"/>
      <c r="U650" s="110" t="n"/>
      <c r="V650" s="110" t="n"/>
      <c r="W650" s="110" t="n"/>
      <c r="X650" s="110" t="n"/>
      <c r="Y650" s="110" t="n"/>
      <c r="Z650" s="110" t="n"/>
    </row>
    <row r="651">
      <c r="A651" s="110" t="n"/>
      <c r="B651" s="110" t="n"/>
      <c r="C651" s="110" t="n"/>
      <c r="D651" s="110" t="n"/>
      <c r="E651" s="110" t="n"/>
      <c r="F651" s="110" t="n"/>
      <c r="G651" s="110" t="n"/>
      <c r="H651" s="110" t="n"/>
      <c r="I651" s="110" t="n"/>
      <c r="J651" s="110" t="n"/>
      <c r="K651" s="110" t="n"/>
      <c r="L651" s="110" t="n"/>
      <c r="M651" s="110" t="n"/>
      <c r="N651" s="110" t="n"/>
      <c r="O651" s="110" t="n"/>
      <c r="P651" s="110" t="n"/>
      <c r="Q651" s="110" t="n"/>
      <c r="R651" s="110" t="n"/>
      <c r="S651" s="110" t="n"/>
      <c r="T651" s="110" t="n"/>
      <c r="U651" s="110" t="n"/>
      <c r="V651" s="110" t="n"/>
      <c r="W651" s="110" t="n"/>
      <c r="X651" s="110" t="n"/>
      <c r="Y651" s="110" t="n"/>
      <c r="Z651" s="110" t="n"/>
    </row>
    <row r="652">
      <c r="A652" s="110" t="n"/>
      <c r="B652" s="110" t="n"/>
      <c r="C652" s="110" t="n"/>
      <c r="D652" s="110" t="n"/>
      <c r="E652" s="110" t="n"/>
      <c r="F652" s="110" t="n"/>
      <c r="G652" s="110" t="n"/>
      <c r="H652" s="110" t="n"/>
      <c r="I652" s="110" t="n"/>
      <c r="J652" s="110" t="n"/>
      <c r="K652" s="110" t="n"/>
      <c r="L652" s="110" t="n"/>
      <c r="M652" s="110" t="n"/>
      <c r="N652" s="110" t="n"/>
      <c r="O652" s="110" t="n"/>
      <c r="P652" s="110" t="n"/>
      <c r="Q652" s="110" t="n"/>
      <c r="R652" s="110" t="n"/>
      <c r="S652" s="110" t="n"/>
      <c r="T652" s="110" t="n"/>
      <c r="U652" s="110" t="n"/>
      <c r="V652" s="110" t="n"/>
      <c r="W652" s="110" t="n"/>
      <c r="X652" s="110" t="n"/>
      <c r="Y652" s="110" t="n"/>
      <c r="Z652" s="110" t="n"/>
    </row>
    <row r="653">
      <c r="A653" s="110" t="n"/>
      <c r="B653" s="110" t="n"/>
      <c r="C653" s="110" t="n"/>
      <c r="D653" s="110" t="n"/>
      <c r="E653" s="110" t="n"/>
      <c r="F653" s="110" t="n"/>
      <c r="G653" s="110" t="n"/>
      <c r="H653" s="110" t="n"/>
      <c r="I653" s="110" t="n"/>
      <c r="J653" s="110" t="n"/>
      <c r="K653" s="110" t="n"/>
      <c r="L653" s="110" t="n"/>
      <c r="M653" s="110" t="n"/>
      <c r="N653" s="110" t="n"/>
      <c r="O653" s="110" t="n"/>
      <c r="P653" s="110" t="n"/>
      <c r="Q653" s="110" t="n"/>
      <c r="R653" s="110" t="n"/>
      <c r="S653" s="110" t="n"/>
      <c r="T653" s="110" t="n"/>
      <c r="U653" s="110" t="n"/>
      <c r="V653" s="110" t="n"/>
      <c r="W653" s="110" t="n"/>
      <c r="X653" s="110" t="n"/>
      <c r="Y653" s="110" t="n"/>
      <c r="Z653" s="110" t="n"/>
    </row>
    <row r="654">
      <c r="A654" s="110" t="n"/>
      <c r="B654" s="110" t="n"/>
      <c r="C654" s="110" t="n"/>
      <c r="D654" s="110" t="n"/>
      <c r="E654" s="110" t="n"/>
      <c r="F654" s="110" t="n"/>
      <c r="G654" s="110" t="n"/>
      <c r="H654" s="110" t="n"/>
      <c r="I654" s="110" t="n"/>
      <c r="J654" s="110" t="n"/>
      <c r="K654" s="110" t="n"/>
      <c r="L654" s="110" t="n"/>
      <c r="M654" s="110" t="n"/>
      <c r="N654" s="110" t="n"/>
      <c r="O654" s="110" t="n"/>
      <c r="P654" s="110" t="n"/>
      <c r="Q654" s="110" t="n"/>
      <c r="R654" s="110" t="n"/>
      <c r="S654" s="110" t="n"/>
      <c r="T654" s="110" t="n"/>
      <c r="U654" s="110" t="n"/>
      <c r="V654" s="110" t="n"/>
      <c r="W654" s="110" t="n"/>
      <c r="X654" s="110" t="n"/>
      <c r="Y654" s="110" t="n"/>
      <c r="Z654" s="110" t="n"/>
    </row>
    <row r="655">
      <c r="A655" s="110" t="n"/>
      <c r="B655" s="110" t="n"/>
      <c r="C655" s="110" t="n"/>
      <c r="D655" s="110" t="n"/>
      <c r="E655" s="110" t="n"/>
      <c r="F655" s="110" t="n"/>
      <c r="G655" s="110" t="n"/>
      <c r="H655" s="110" t="n"/>
      <c r="I655" s="110" t="n"/>
      <c r="J655" s="110" t="n"/>
      <c r="K655" s="110" t="n"/>
      <c r="L655" s="110" t="n"/>
      <c r="M655" s="110" t="n"/>
      <c r="N655" s="110" t="n"/>
      <c r="O655" s="110" t="n"/>
      <c r="P655" s="110" t="n"/>
      <c r="Q655" s="110" t="n"/>
      <c r="R655" s="110" t="n"/>
      <c r="S655" s="110" t="n"/>
      <c r="T655" s="110" t="n"/>
      <c r="U655" s="110" t="n"/>
      <c r="V655" s="110" t="n"/>
      <c r="W655" s="110" t="n"/>
      <c r="X655" s="110" t="n"/>
      <c r="Y655" s="110" t="n"/>
      <c r="Z655" s="110" t="n"/>
    </row>
    <row r="656">
      <c r="A656" s="110" t="n"/>
      <c r="B656" s="110" t="n"/>
      <c r="C656" s="110" t="n"/>
      <c r="D656" s="110" t="n"/>
      <c r="E656" s="110" t="n"/>
      <c r="F656" s="110" t="n"/>
      <c r="G656" s="110" t="n"/>
      <c r="H656" s="110" t="n"/>
      <c r="I656" s="110" t="n"/>
      <c r="J656" s="110" t="n"/>
      <c r="K656" s="110" t="n"/>
      <c r="L656" s="110" t="n"/>
      <c r="M656" s="110" t="n"/>
      <c r="N656" s="110" t="n"/>
      <c r="O656" s="110" t="n"/>
      <c r="P656" s="110" t="n"/>
      <c r="Q656" s="110" t="n"/>
      <c r="R656" s="110" t="n"/>
      <c r="S656" s="110" t="n"/>
      <c r="T656" s="110" t="n"/>
      <c r="U656" s="110" t="n"/>
      <c r="V656" s="110" t="n"/>
      <c r="W656" s="110" t="n"/>
      <c r="X656" s="110" t="n"/>
      <c r="Y656" s="110" t="n"/>
      <c r="Z656" s="110" t="n"/>
    </row>
    <row r="657">
      <c r="A657" s="110" t="n"/>
      <c r="B657" s="110" t="n"/>
      <c r="C657" s="110" t="n"/>
      <c r="D657" s="110" t="n"/>
      <c r="E657" s="110" t="n"/>
      <c r="F657" s="110" t="n"/>
      <c r="G657" s="110" t="n"/>
      <c r="H657" s="110" t="n"/>
      <c r="I657" s="110" t="n"/>
      <c r="J657" s="110" t="n"/>
      <c r="K657" s="110" t="n"/>
      <c r="L657" s="110" t="n"/>
      <c r="M657" s="110" t="n"/>
      <c r="N657" s="110" t="n"/>
      <c r="O657" s="110" t="n"/>
      <c r="P657" s="110" t="n"/>
      <c r="Q657" s="110" t="n"/>
      <c r="R657" s="110" t="n"/>
      <c r="S657" s="110" t="n"/>
      <c r="T657" s="110" t="n"/>
      <c r="U657" s="110" t="n"/>
      <c r="V657" s="110" t="n"/>
      <c r="W657" s="110" t="n"/>
      <c r="X657" s="110" t="n"/>
      <c r="Y657" s="110" t="n"/>
      <c r="Z657" s="110" t="n"/>
    </row>
    <row r="658">
      <c r="A658" s="110" t="n"/>
      <c r="B658" s="110" t="n"/>
      <c r="C658" s="110" t="n"/>
      <c r="D658" s="110" t="n"/>
      <c r="E658" s="110" t="n"/>
      <c r="F658" s="110" t="n"/>
      <c r="G658" s="110" t="n"/>
      <c r="H658" s="110" t="n"/>
      <c r="I658" s="110" t="n"/>
      <c r="J658" s="110" t="n"/>
      <c r="K658" s="110" t="n"/>
      <c r="L658" s="110" t="n"/>
      <c r="M658" s="110" t="n"/>
      <c r="N658" s="110" t="n"/>
      <c r="O658" s="110" t="n"/>
      <c r="P658" s="110" t="n"/>
      <c r="Q658" s="110" t="n"/>
      <c r="R658" s="110" t="n"/>
      <c r="S658" s="110" t="n"/>
      <c r="T658" s="110" t="n"/>
      <c r="U658" s="110" t="n"/>
      <c r="V658" s="110" t="n"/>
      <c r="W658" s="110" t="n"/>
      <c r="X658" s="110" t="n"/>
      <c r="Y658" s="110" t="n"/>
      <c r="Z658" s="110" t="n"/>
    </row>
    <row r="659">
      <c r="A659" s="110" t="n"/>
      <c r="B659" s="110" t="n"/>
      <c r="C659" s="110" t="n"/>
      <c r="D659" s="110" t="n"/>
      <c r="E659" s="110" t="n"/>
      <c r="F659" s="110" t="n"/>
      <c r="G659" s="110" t="n"/>
      <c r="H659" s="110" t="n"/>
      <c r="I659" s="110" t="n"/>
      <c r="J659" s="110" t="n"/>
      <c r="K659" s="110" t="n"/>
      <c r="L659" s="110" t="n"/>
      <c r="M659" s="110" t="n"/>
      <c r="N659" s="110" t="n"/>
      <c r="O659" s="110" t="n"/>
      <c r="P659" s="110" t="n"/>
      <c r="Q659" s="110" t="n"/>
      <c r="R659" s="110" t="n"/>
      <c r="S659" s="110" t="n"/>
      <c r="T659" s="110" t="n"/>
      <c r="U659" s="110" t="n"/>
      <c r="V659" s="110" t="n"/>
      <c r="W659" s="110" t="n"/>
      <c r="X659" s="110" t="n"/>
      <c r="Y659" s="110" t="n"/>
      <c r="Z659" s="110" t="n"/>
    </row>
    <row r="660">
      <c r="A660" s="110" t="n"/>
      <c r="B660" s="110" t="n"/>
      <c r="C660" s="110" t="n"/>
      <c r="D660" s="110" t="n"/>
      <c r="E660" s="110" t="n"/>
      <c r="F660" s="110" t="n"/>
      <c r="G660" s="110" t="n"/>
      <c r="H660" s="110" t="n"/>
      <c r="I660" s="110" t="n"/>
      <c r="J660" s="110" t="n"/>
      <c r="K660" s="110" t="n"/>
      <c r="L660" s="110" t="n"/>
      <c r="M660" s="110" t="n"/>
      <c r="N660" s="110" t="n"/>
      <c r="O660" s="110" t="n"/>
      <c r="P660" s="110" t="n"/>
      <c r="Q660" s="110" t="n"/>
      <c r="R660" s="110" t="n"/>
      <c r="S660" s="110" t="n"/>
      <c r="T660" s="110" t="n"/>
      <c r="U660" s="110" t="n"/>
      <c r="V660" s="110" t="n"/>
      <c r="W660" s="110" t="n"/>
      <c r="X660" s="110" t="n"/>
      <c r="Y660" s="110" t="n"/>
      <c r="Z660" s="110" t="n"/>
    </row>
    <row r="661">
      <c r="A661" s="110" t="n"/>
      <c r="B661" s="110" t="n"/>
      <c r="C661" s="110" t="n"/>
      <c r="D661" s="110" t="n"/>
      <c r="E661" s="110" t="n"/>
      <c r="F661" s="110" t="n"/>
      <c r="G661" s="110" t="n"/>
      <c r="H661" s="110" t="n"/>
      <c r="I661" s="110" t="n"/>
      <c r="J661" s="110" t="n"/>
      <c r="K661" s="110" t="n"/>
      <c r="L661" s="110" t="n"/>
      <c r="M661" s="110" t="n"/>
      <c r="N661" s="110" t="n"/>
      <c r="O661" s="110" t="n"/>
      <c r="P661" s="110" t="n"/>
      <c r="Q661" s="110" t="n"/>
      <c r="R661" s="110" t="n"/>
      <c r="S661" s="110" t="n"/>
      <c r="T661" s="110" t="n"/>
      <c r="U661" s="110" t="n"/>
      <c r="V661" s="110" t="n"/>
      <c r="W661" s="110" t="n"/>
      <c r="X661" s="110" t="n"/>
      <c r="Y661" s="110" t="n"/>
      <c r="Z661" s="110" t="n"/>
    </row>
    <row r="662">
      <c r="A662" s="110" t="n"/>
      <c r="B662" s="110" t="n"/>
      <c r="C662" s="110" t="n"/>
      <c r="D662" s="110" t="n"/>
      <c r="E662" s="110" t="n"/>
      <c r="F662" s="110" t="n"/>
      <c r="G662" s="110" t="n"/>
      <c r="H662" s="110" t="n"/>
      <c r="I662" s="110" t="n"/>
      <c r="J662" s="110" t="n"/>
      <c r="K662" s="110" t="n"/>
      <c r="L662" s="110" t="n"/>
      <c r="M662" s="110" t="n"/>
      <c r="N662" s="110" t="n"/>
      <c r="O662" s="110" t="n"/>
      <c r="P662" s="110" t="n"/>
      <c r="Q662" s="110" t="n"/>
      <c r="R662" s="110" t="n"/>
      <c r="S662" s="110" t="n"/>
      <c r="T662" s="110" t="n"/>
      <c r="U662" s="110" t="n"/>
      <c r="V662" s="110" t="n"/>
      <c r="W662" s="110" t="n"/>
      <c r="X662" s="110" t="n"/>
      <c r="Y662" s="110" t="n"/>
      <c r="Z662" s="110" t="n"/>
    </row>
    <row r="663">
      <c r="A663" s="110" t="n"/>
      <c r="B663" s="110" t="n"/>
      <c r="C663" s="110" t="n"/>
      <c r="D663" s="110" t="n"/>
      <c r="E663" s="110" t="n"/>
      <c r="F663" s="110" t="n"/>
      <c r="G663" s="110" t="n"/>
      <c r="H663" s="110" t="n"/>
      <c r="I663" s="110" t="n"/>
      <c r="J663" s="110" t="n"/>
      <c r="K663" s="110" t="n"/>
      <c r="L663" s="110" t="n"/>
      <c r="M663" s="110" t="n"/>
      <c r="N663" s="110" t="n"/>
      <c r="O663" s="110" t="n"/>
      <c r="P663" s="110" t="n"/>
      <c r="Q663" s="110" t="n"/>
      <c r="R663" s="110" t="n"/>
      <c r="S663" s="110" t="n"/>
      <c r="T663" s="110" t="n"/>
      <c r="U663" s="110" t="n"/>
      <c r="V663" s="110" t="n"/>
      <c r="W663" s="110" t="n"/>
      <c r="X663" s="110" t="n"/>
      <c r="Y663" s="110" t="n"/>
      <c r="Z663" s="110" t="n"/>
    </row>
    <row r="664">
      <c r="A664" s="110" t="n"/>
      <c r="B664" s="110" t="n"/>
      <c r="C664" s="110" t="n"/>
      <c r="D664" s="110" t="n"/>
      <c r="E664" s="110" t="n"/>
      <c r="F664" s="110" t="n"/>
      <c r="G664" s="110" t="n"/>
      <c r="H664" s="110" t="n"/>
      <c r="I664" s="110" t="n"/>
      <c r="J664" s="110" t="n"/>
      <c r="K664" s="110" t="n"/>
      <c r="L664" s="110" t="n"/>
      <c r="M664" s="110" t="n"/>
      <c r="N664" s="110" t="n"/>
      <c r="O664" s="110" t="n"/>
      <c r="P664" s="110" t="n"/>
      <c r="Q664" s="110" t="n"/>
      <c r="R664" s="110" t="n"/>
      <c r="S664" s="110" t="n"/>
      <c r="T664" s="110" t="n"/>
      <c r="U664" s="110" t="n"/>
      <c r="V664" s="110" t="n"/>
      <c r="W664" s="110" t="n"/>
      <c r="X664" s="110" t="n"/>
      <c r="Y664" s="110" t="n"/>
      <c r="Z664" s="110" t="n"/>
    </row>
    <row r="665">
      <c r="A665" s="110" t="n"/>
      <c r="B665" s="110" t="n"/>
      <c r="C665" s="110" t="n"/>
      <c r="D665" s="110" t="n"/>
      <c r="E665" s="110" t="n"/>
      <c r="F665" s="110" t="n"/>
      <c r="G665" s="110" t="n"/>
      <c r="H665" s="110" t="n"/>
      <c r="I665" s="110" t="n"/>
      <c r="J665" s="110" t="n"/>
      <c r="K665" s="110" t="n"/>
      <c r="L665" s="110" t="n"/>
      <c r="M665" s="110" t="n"/>
      <c r="N665" s="110" t="n"/>
      <c r="O665" s="110" t="n"/>
      <c r="P665" s="110" t="n"/>
      <c r="Q665" s="110" t="n"/>
      <c r="R665" s="110" t="n"/>
      <c r="S665" s="110" t="n"/>
      <c r="T665" s="110" t="n"/>
      <c r="U665" s="110" t="n"/>
      <c r="V665" s="110" t="n"/>
      <c r="W665" s="110" t="n"/>
      <c r="X665" s="110" t="n"/>
      <c r="Y665" s="110" t="n"/>
      <c r="Z665" s="110" t="n"/>
    </row>
    <row r="666">
      <c r="A666" s="110" t="n"/>
      <c r="B666" s="110" t="n"/>
      <c r="C666" s="110" t="n"/>
      <c r="D666" s="110" t="n"/>
      <c r="E666" s="110" t="n"/>
      <c r="F666" s="110" t="n"/>
      <c r="G666" s="110" t="n"/>
      <c r="H666" s="110" t="n"/>
      <c r="I666" s="110" t="n"/>
      <c r="J666" s="110" t="n"/>
      <c r="K666" s="110" t="n"/>
      <c r="L666" s="110" t="n"/>
      <c r="M666" s="110" t="n"/>
      <c r="N666" s="110" t="n"/>
      <c r="O666" s="110" t="n"/>
      <c r="P666" s="110" t="n"/>
      <c r="Q666" s="110" t="n"/>
      <c r="R666" s="110" t="n"/>
      <c r="S666" s="110" t="n"/>
      <c r="T666" s="110" t="n"/>
      <c r="U666" s="110" t="n"/>
      <c r="V666" s="110" t="n"/>
      <c r="W666" s="110" t="n"/>
      <c r="X666" s="110" t="n"/>
      <c r="Y666" s="110" t="n"/>
      <c r="Z666" s="110" t="n"/>
    </row>
    <row r="667">
      <c r="A667" s="110" t="n"/>
      <c r="B667" s="110" t="n"/>
      <c r="C667" s="110" t="n"/>
      <c r="D667" s="110" t="n"/>
      <c r="E667" s="110" t="n"/>
      <c r="F667" s="110" t="n"/>
      <c r="G667" s="110" t="n"/>
      <c r="H667" s="110" t="n"/>
      <c r="I667" s="110" t="n"/>
      <c r="J667" s="110" t="n"/>
      <c r="K667" s="110" t="n"/>
      <c r="L667" s="110" t="n"/>
      <c r="M667" s="110" t="n"/>
      <c r="N667" s="110" t="n"/>
      <c r="O667" s="110" t="n"/>
      <c r="P667" s="110" t="n"/>
      <c r="Q667" s="110" t="n"/>
      <c r="R667" s="110" t="n"/>
      <c r="S667" s="110" t="n"/>
      <c r="T667" s="110" t="n"/>
      <c r="U667" s="110" t="n"/>
      <c r="V667" s="110" t="n"/>
      <c r="W667" s="110" t="n"/>
      <c r="X667" s="110" t="n"/>
      <c r="Y667" s="110" t="n"/>
      <c r="Z667" s="110" t="n"/>
    </row>
    <row r="668">
      <c r="A668" s="110" t="n"/>
      <c r="B668" s="110" t="n"/>
      <c r="C668" s="110" t="n"/>
      <c r="D668" s="110" t="n"/>
      <c r="E668" s="110" t="n"/>
      <c r="F668" s="110" t="n"/>
      <c r="G668" s="110" t="n"/>
      <c r="H668" s="110" t="n"/>
      <c r="I668" s="110" t="n"/>
      <c r="J668" s="110" t="n"/>
      <c r="K668" s="110" t="n"/>
      <c r="L668" s="110" t="n"/>
      <c r="M668" s="110" t="n"/>
      <c r="N668" s="110" t="n"/>
      <c r="O668" s="110" t="n"/>
      <c r="P668" s="110" t="n"/>
      <c r="Q668" s="110" t="n"/>
      <c r="R668" s="110" t="n"/>
      <c r="S668" s="110" t="n"/>
      <c r="T668" s="110" t="n"/>
      <c r="U668" s="110" t="n"/>
      <c r="V668" s="110" t="n"/>
      <c r="W668" s="110" t="n"/>
      <c r="X668" s="110" t="n"/>
      <c r="Y668" s="110" t="n"/>
      <c r="Z668" s="110" t="n"/>
    </row>
    <row r="669">
      <c r="A669" s="110" t="n"/>
      <c r="B669" s="110" t="n"/>
      <c r="C669" s="110" t="n"/>
      <c r="D669" s="110" t="n"/>
      <c r="E669" s="110" t="n"/>
      <c r="F669" s="110" t="n"/>
      <c r="G669" s="110" t="n"/>
      <c r="H669" s="110" t="n"/>
      <c r="I669" s="110" t="n"/>
      <c r="J669" s="110" t="n"/>
      <c r="K669" s="110" t="n"/>
      <c r="L669" s="110" t="n"/>
      <c r="M669" s="110" t="n"/>
      <c r="N669" s="110" t="n"/>
      <c r="O669" s="110" t="n"/>
      <c r="P669" s="110" t="n"/>
      <c r="Q669" s="110" t="n"/>
      <c r="R669" s="110" t="n"/>
      <c r="S669" s="110" t="n"/>
      <c r="T669" s="110" t="n"/>
      <c r="U669" s="110" t="n"/>
      <c r="V669" s="110" t="n"/>
      <c r="W669" s="110" t="n"/>
      <c r="X669" s="110" t="n"/>
      <c r="Y669" s="110" t="n"/>
      <c r="Z669" s="110" t="n"/>
    </row>
    <row r="670">
      <c r="A670" s="110" t="n"/>
      <c r="B670" s="110" t="n"/>
      <c r="C670" s="110" t="n"/>
      <c r="D670" s="110" t="n"/>
      <c r="E670" s="110" t="n"/>
      <c r="F670" s="110" t="n"/>
      <c r="G670" s="110" t="n"/>
      <c r="H670" s="110" t="n"/>
      <c r="I670" s="110" t="n"/>
      <c r="J670" s="110" t="n"/>
      <c r="K670" s="110" t="n"/>
      <c r="L670" s="110" t="n"/>
      <c r="M670" s="110" t="n"/>
      <c r="N670" s="110" t="n"/>
      <c r="O670" s="110" t="n"/>
      <c r="P670" s="110" t="n"/>
      <c r="Q670" s="110" t="n"/>
      <c r="R670" s="110" t="n"/>
      <c r="S670" s="110" t="n"/>
      <c r="T670" s="110" t="n"/>
      <c r="U670" s="110" t="n"/>
      <c r="V670" s="110" t="n"/>
      <c r="W670" s="110" t="n"/>
      <c r="X670" s="110" t="n"/>
      <c r="Y670" s="110" t="n"/>
      <c r="Z670" s="110" t="n"/>
    </row>
    <row r="671">
      <c r="A671" s="110" t="n"/>
      <c r="B671" s="110" t="n"/>
      <c r="C671" s="110" t="n"/>
      <c r="D671" s="110" t="n"/>
      <c r="E671" s="110" t="n"/>
      <c r="F671" s="110" t="n"/>
      <c r="G671" s="110" t="n"/>
      <c r="H671" s="110" t="n"/>
      <c r="I671" s="110" t="n"/>
      <c r="J671" s="110" t="n"/>
      <c r="K671" s="110" t="n"/>
      <c r="L671" s="110" t="n"/>
      <c r="M671" s="110" t="n"/>
      <c r="N671" s="110" t="n"/>
      <c r="O671" s="110" t="n"/>
      <c r="P671" s="110" t="n"/>
      <c r="Q671" s="110" t="n"/>
      <c r="R671" s="110" t="n"/>
      <c r="S671" s="110" t="n"/>
      <c r="T671" s="110" t="n"/>
      <c r="U671" s="110" t="n"/>
      <c r="V671" s="110" t="n"/>
      <c r="W671" s="110" t="n"/>
      <c r="X671" s="110" t="n"/>
      <c r="Y671" s="110" t="n"/>
      <c r="Z671" s="110" t="n"/>
    </row>
    <row r="672">
      <c r="A672" s="110" t="n"/>
      <c r="B672" s="110" t="n"/>
      <c r="C672" s="110" t="n"/>
      <c r="D672" s="110" t="n"/>
      <c r="E672" s="110" t="n"/>
      <c r="F672" s="110" t="n"/>
      <c r="G672" s="110" t="n"/>
      <c r="H672" s="110" t="n"/>
      <c r="I672" s="110" t="n"/>
      <c r="J672" s="110" t="n"/>
      <c r="K672" s="110" t="n"/>
      <c r="L672" s="110" t="n"/>
      <c r="M672" s="110" t="n"/>
      <c r="N672" s="110" t="n"/>
      <c r="O672" s="110" t="n"/>
      <c r="P672" s="110" t="n"/>
      <c r="Q672" s="110" t="n"/>
      <c r="R672" s="110" t="n"/>
      <c r="S672" s="110" t="n"/>
      <c r="T672" s="110" t="n"/>
      <c r="U672" s="110" t="n"/>
      <c r="V672" s="110" t="n"/>
      <c r="W672" s="110" t="n"/>
      <c r="X672" s="110" t="n"/>
      <c r="Y672" s="110" t="n"/>
      <c r="Z672" s="110" t="n"/>
    </row>
    <row r="673">
      <c r="A673" s="110" t="n"/>
      <c r="B673" s="110" t="n"/>
      <c r="C673" s="110" t="n"/>
      <c r="D673" s="110" t="n"/>
      <c r="E673" s="110" t="n"/>
      <c r="F673" s="110" t="n"/>
      <c r="G673" s="110" t="n"/>
      <c r="H673" s="110" t="n"/>
      <c r="I673" s="110" t="n"/>
      <c r="J673" s="110" t="n"/>
      <c r="K673" s="110" t="n"/>
      <c r="L673" s="110" t="n"/>
      <c r="M673" s="110" t="n"/>
      <c r="N673" s="110" t="n"/>
      <c r="O673" s="110" t="n"/>
      <c r="P673" s="110" t="n"/>
      <c r="Q673" s="110" t="n"/>
      <c r="R673" s="110" t="n"/>
      <c r="S673" s="110" t="n"/>
      <c r="T673" s="110" t="n"/>
      <c r="U673" s="110" t="n"/>
      <c r="V673" s="110" t="n"/>
      <c r="W673" s="110" t="n"/>
      <c r="X673" s="110" t="n"/>
      <c r="Y673" s="110" t="n"/>
      <c r="Z673" s="110" t="n"/>
    </row>
    <row r="674">
      <c r="A674" s="110" t="n"/>
      <c r="B674" s="110" t="n"/>
      <c r="C674" s="110" t="n"/>
      <c r="D674" s="110" t="n"/>
      <c r="E674" s="110" t="n"/>
      <c r="F674" s="110" t="n"/>
      <c r="G674" s="110" t="n"/>
      <c r="H674" s="110" t="n"/>
      <c r="I674" s="110" t="n"/>
      <c r="J674" s="110" t="n"/>
      <c r="K674" s="110" t="n"/>
      <c r="L674" s="110" t="n"/>
      <c r="M674" s="110" t="n"/>
      <c r="N674" s="110" t="n"/>
      <c r="O674" s="110" t="n"/>
      <c r="P674" s="110" t="n"/>
      <c r="Q674" s="110" t="n"/>
      <c r="R674" s="110" t="n"/>
      <c r="S674" s="110" t="n"/>
      <c r="T674" s="110" t="n"/>
      <c r="U674" s="110" t="n"/>
      <c r="V674" s="110" t="n"/>
      <c r="W674" s="110" t="n"/>
      <c r="X674" s="110" t="n"/>
      <c r="Y674" s="110" t="n"/>
      <c r="Z674" s="110" t="n"/>
    </row>
    <row r="675">
      <c r="A675" s="110" t="n"/>
      <c r="B675" s="110" t="n"/>
      <c r="C675" s="110" t="n"/>
      <c r="D675" s="110" t="n"/>
      <c r="E675" s="110" t="n"/>
      <c r="F675" s="110" t="n"/>
      <c r="G675" s="110" t="n"/>
      <c r="H675" s="110" t="n"/>
      <c r="I675" s="110" t="n"/>
      <c r="J675" s="110" t="n"/>
      <c r="K675" s="110" t="n"/>
      <c r="L675" s="110" t="n"/>
      <c r="M675" s="110" t="n"/>
      <c r="N675" s="110" t="n"/>
      <c r="O675" s="110" t="n"/>
      <c r="P675" s="110" t="n"/>
      <c r="Q675" s="110" t="n"/>
      <c r="R675" s="110" t="n"/>
      <c r="S675" s="110" t="n"/>
      <c r="T675" s="110" t="n"/>
      <c r="U675" s="110" t="n"/>
      <c r="V675" s="110" t="n"/>
      <c r="W675" s="110" t="n"/>
      <c r="X675" s="110" t="n"/>
      <c r="Y675" s="110" t="n"/>
      <c r="Z675" s="110" t="n"/>
    </row>
    <row r="676">
      <c r="A676" s="110" t="n"/>
      <c r="B676" s="110" t="n"/>
      <c r="C676" s="110" t="n"/>
      <c r="D676" s="110" t="n"/>
      <c r="E676" s="110" t="n"/>
      <c r="F676" s="110" t="n"/>
      <c r="G676" s="110" t="n"/>
      <c r="H676" s="110" t="n"/>
      <c r="I676" s="110" t="n"/>
      <c r="J676" s="110" t="n"/>
      <c r="K676" s="110" t="n"/>
      <c r="L676" s="110" t="n"/>
      <c r="M676" s="110" t="n"/>
      <c r="N676" s="110" t="n"/>
      <c r="O676" s="110" t="n"/>
      <c r="P676" s="110" t="n"/>
      <c r="Q676" s="110" t="n"/>
      <c r="R676" s="110" t="n"/>
      <c r="S676" s="110" t="n"/>
      <c r="T676" s="110" t="n"/>
      <c r="U676" s="110" t="n"/>
      <c r="V676" s="110" t="n"/>
      <c r="W676" s="110" t="n"/>
      <c r="X676" s="110" t="n"/>
      <c r="Y676" s="110" t="n"/>
      <c r="Z676" s="110" t="n"/>
    </row>
    <row r="677">
      <c r="A677" s="110" t="n"/>
      <c r="B677" s="110" t="n"/>
      <c r="C677" s="110" t="n"/>
      <c r="D677" s="110" t="n"/>
      <c r="E677" s="110" t="n"/>
      <c r="F677" s="110" t="n"/>
      <c r="G677" s="110" t="n"/>
      <c r="H677" s="110" t="n"/>
      <c r="I677" s="110" t="n"/>
      <c r="J677" s="110" t="n"/>
      <c r="K677" s="110" t="n"/>
      <c r="L677" s="110" t="n"/>
      <c r="M677" s="110" t="n"/>
      <c r="N677" s="110" t="n"/>
      <c r="O677" s="110" t="n"/>
      <c r="P677" s="110" t="n"/>
      <c r="Q677" s="110" t="n"/>
      <c r="R677" s="110" t="n"/>
      <c r="S677" s="110" t="n"/>
      <c r="T677" s="110" t="n"/>
      <c r="U677" s="110" t="n"/>
      <c r="V677" s="110" t="n"/>
      <c r="W677" s="110" t="n"/>
      <c r="X677" s="110" t="n"/>
      <c r="Y677" s="110" t="n"/>
      <c r="Z677" s="110" t="n"/>
    </row>
    <row r="678">
      <c r="A678" s="110" t="n"/>
      <c r="B678" s="110" t="n"/>
      <c r="C678" s="110" t="n"/>
      <c r="D678" s="110" t="n"/>
      <c r="E678" s="110" t="n"/>
      <c r="F678" s="110" t="n"/>
      <c r="G678" s="110" t="n"/>
      <c r="H678" s="110" t="n"/>
      <c r="I678" s="110" t="n"/>
      <c r="J678" s="110" t="n"/>
      <c r="K678" s="110" t="n"/>
      <c r="L678" s="110" t="n"/>
      <c r="M678" s="110" t="n"/>
      <c r="N678" s="110" t="n"/>
      <c r="O678" s="110" t="n"/>
      <c r="P678" s="110" t="n"/>
      <c r="Q678" s="110" t="n"/>
      <c r="R678" s="110" t="n"/>
      <c r="S678" s="110" t="n"/>
      <c r="T678" s="110" t="n"/>
      <c r="U678" s="110" t="n"/>
      <c r="V678" s="110" t="n"/>
      <c r="W678" s="110" t="n"/>
      <c r="X678" s="110" t="n"/>
      <c r="Y678" s="110" t="n"/>
      <c r="Z678" s="110" t="n"/>
    </row>
    <row r="679">
      <c r="A679" s="110" t="n"/>
      <c r="B679" s="110" t="n"/>
      <c r="C679" s="110" t="n"/>
      <c r="D679" s="110" t="n"/>
      <c r="E679" s="110" t="n"/>
      <c r="F679" s="110" t="n"/>
      <c r="G679" s="110" t="n"/>
      <c r="H679" s="110" t="n"/>
      <c r="I679" s="110" t="n"/>
      <c r="J679" s="110" t="n"/>
      <c r="K679" s="110" t="n"/>
      <c r="L679" s="110" t="n"/>
      <c r="M679" s="110" t="n"/>
      <c r="N679" s="110" t="n"/>
      <c r="O679" s="110" t="n"/>
      <c r="P679" s="110" t="n"/>
      <c r="Q679" s="110" t="n"/>
      <c r="R679" s="110" t="n"/>
      <c r="S679" s="110" t="n"/>
      <c r="T679" s="110" t="n"/>
      <c r="U679" s="110" t="n"/>
      <c r="V679" s="110" t="n"/>
      <c r="W679" s="110" t="n"/>
      <c r="X679" s="110" t="n"/>
      <c r="Y679" s="110" t="n"/>
      <c r="Z679" s="110" t="n"/>
    </row>
    <row r="680">
      <c r="A680" s="110" t="n"/>
      <c r="B680" s="110" t="n"/>
      <c r="C680" s="110" t="n"/>
      <c r="D680" s="110" t="n"/>
      <c r="E680" s="110" t="n"/>
      <c r="F680" s="110" t="n"/>
      <c r="G680" s="110" t="n"/>
      <c r="H680" s="110" t="n"/>
      <c r="I680" s="110" t="n"/>
      <c r="J680" s="110" t="n"/>
      <c r="K680" s="110" t="n"/>
      <c r="L680" s="110" t="n"/>
      <c r="M680" s="110" t="n"/>
      <c r="N680" s="110" t="n"/>
      <c r="O680" s="110" t="n"/>
      <c r="P680" s="110" t="n"/>
      <c r="Q680" s="110" t="n"/>
      <c r="R680" s="110" t="n"/>
      <c r="S680" s="110" t="n"/>
      <c r="T680" s="110" t="n"/>
      <c r="U680" s="110" t="n"/>
      <c r="V680" s="110" t="n"/>
      <c r="W680" s="110" t="n"/>
      <c r="X680" s="110" t="n"/>
      <c r="Y680" s="110" t="n"/>
      <c r="Z680" s="110" t="n"/>
    </row>
    <row r="681">
      <c r="A681" s="110" t="n"/>
      <c r="B681" s="110" t="n"/>
      <c r="C681" s="110" t="n"/>
      <c r="D681" s="110" t="n"/>
      <c r="E681" s="110" t="n"/>
      <c r="F681" s="110" t="n"/>
      <c r="G681" s="110" t="n"/>
      <c r="H681" s="110" t="n"/>
      <c r="I681" s="110" t="n"/>
      <c r="J681" s="110" t="n"/>
      <c r="K681" s="110" t="n"/>
      <c r="L681" s="110" t="n"/>
      <c r="M681" s="110" t="n"/>
      <c r="N681" s="110" t="n"/>
      <c r="O681" s="110" t="n"/>
      <c r="P681" s="110" t="n"/>
      <c r="Q681" s="110" t="n"/>
      <c r="R681" s="110" t="n"/>
      <c r="S681" s="110" t="n"/>
      <c r="T681" s="110" t="n"/>
      <c r="U681" s="110" t="n"/>
      <c r="V681" s="110" t="n"/>
      <c r="W681" s="110" t="n"/>
      <c r="X681" s="110" t="n"/>
      <c r="Y681" s="110" t="n"/>
      <c r="Z681" s="110" t="n"/>
    </row>
    <row r="682">
      <c r="A682" s="110" t="n"/>
      <c r="B682" s="110" t="n"/>
      <c r="C682" s="110" t="n"/>
      <c r="D682" s="110" t="n"/>
      <c r="E682" s="110" t="n"/>
      <c r="F682" s="110" t="n"/>
      <c r="G682" s="110" t="n"/>
      <c r="H682" s="110" t="n"/>
      <c r="I682" s="110" t="n"/>
      <c r="J682" s="110" t="n"/>
      <c r="K682" s="110" t="n"/>
      <c r="L682" s="110" t="n"/>
      <c r="M682" s="110" t="n"/>
      <c r="N682" s="110" t="n"/>
      <c r="O682" s="110" t="n"/>
      <c r="P682" s="110" t="n"/>
      <c r="Q682" s="110" t="n"/>
      <c r="R682" s="110" t="n"/>
      <c r="S682" s="110" t="n"/>
      <c r="T682" s="110" t="n"/>
      <c r="U682" s="110" t="n"/>
      <c r="V682" s="110" t="n"/>
      <c r="W682" s="110" t="n"/>
      <c r="X682" s="110" t="n"/>
      <c r="Y682" s="110" t="n"/>
      <c r="Z682" s="110" t="n"/>
    </row>
    <row r="683">
      <c r="A683" s="110" t="n"/>
      <c r="B683" s="110" t="n"/>
      <c r="C683" s="110" t="n"/>
      <c r="D683" s="110" t="n"/>
      <c r="E683" s="110" t="n"/>
      <c r="F683" s="110" t="n"/>
      <c r="G683" s="110" t="n"/>
      <c r="H683" s="110" t="n"/>
      <c r="I683" s="110" t="n"/>
      <c r="J683" s="110" t="n"/>
      <c r="K683" s="110" t="n"/>
      <c r="L683" s="110" t="n"/>
      <c r="M683" s="110" t="n"/>
      <c r="N683" s="110" t="n"/>
      <c r="O683" s="110" t="n"/>
      <c r="P683" s="110" t="n"/>
      <c r="Q683" s="110" t="n"/>
      <c r="R683" s="110" t="n"/>
      <c r="S683" s="110" t="n"/>
      <c r="T683" s="110" t="n"/>
      <c r="U683" s="110" t="n"/>
      <c r="V683" s="110" t="n"/>
      <c r="W683" s="110" t="n"/>
      <c r="X683" s="110" t="n"/>
      <c r="Y683" s="110" t="n"/>
      <c r="Z683" s="110" t="n"/>
    </row>
    <row r="684">
      <c r="A684" s="110" t="n"/>
      <c r="B684" s="110" t="n"/>
      <c r="C684" s="110" t="n"/>
      <c r="D684" s="110" t="n"/>
      <c r="E684" s="110" t="n"/>
      <c r="F684" s="110" t="n"/>
      <c r="G684" s="110" t="n"/>
      <c r="H684" s="110" t="n"/>
      <c r="I684" s="110" t="n"/>
      <c r="J684" s="110" t="n"/>
      <c r="K684" s="110" t="n"/>
      <c r="L684" s="110" t="n"/>
      <c r="M684" s="110" t="n"/>
      <c r="N684" s="110" t="n"/>
      <c r="O684" s="110" t="n"/>
      <c r="P684" s="110" t="n"/>
      <c r="Q684" s="110" t="n"/>
      <c r="R684" s="110" t="n"/>
      <c r="S684" s="110" t="n"/>
      <c r="T684" s="110" t="n"/>
      <c r="U684" s="110" t="n"/>
      <c r="V684" s="110" t="n"/>
      <c r="W684" s="110" t="n"/>
      <c r="X684" s="110" t="n"/>
      <c r="Y684" s="110" t="n"/>
      <c r="Z684" s="110" t="n"/>
    </row>
    <row r="685">
      <c r="A685" s="110" t="n"/>
      <c r="B685" s="110" t="n"/>
      <c r="C685" s="110" t="n"/>
      <c r="D685" s="110" t="n"/>
      <c r="E685" s="110" t="n"/>
      <c r="F685" s="110" t="n"/>
      <c r="G685" s="110" t="n"/>
      <c r="H685" s="110" t="n"/>
      <c r="I685" s="110" t="n"/>
      <c r="J685" s="110" t="n"/>
      <c r="K685" s="110" t="n"/>
      <c r="L685" s="110" t="n"/>
      <c r="M685" s="110" t="n"/>
      <c r="N685" s="110" t="n"/>
      <c r="O685" s="110" t="n"/>
      <c r="P685" s="110" t="n"/>
      <c r="Q685" s="110" t="n"/>
      <c r="R685" s="110" t="n"/>
      <c r="S685" s="110" t="n"/>
      <c r="T685" s="110" t="n"/>
      <c r="U685" s="110" t="n"/>
      <c r="V685" s="110" t="n"/>
      <c r="W685" s="110" t="n"/>
      <c r="X685" s="110" t="n"/>
      <c r="Y685" s="110" t="n"/>
      <c r="Z685" s="110" t="n"/>
    </row>
    <row r="686">
      <c r="A686" s="110" t="n"/>
      <c r="B686" s="110" t="n"/>
      <c r="C686" s="110" t="n"/>
      <c r="D686" s="110" t="n"/>
      <c r="E686" s="110" t="n"/>
      <c r="F686" s="110" t="n"/>
      <c r="G686" s="110" t="n"/>
      <c r="H686" s="110" t="n"/>
      <c r="I686" s="110" t="n"/>
      <c r="J686" s="110" t="n"/>
      <c r="K686" s="110" t="n"/>
      <c r="L686" s="110" t="n"/>
      <c r="M686" s="110" t="n"/>
      <c r="N686" s="110" t="n"/>
      <c r="O686" s="110" t="n"/>
      <c r="P686" s="110" t="n"/>
      <c r="Q686" s="110" t="n"/>
      <c r="R686" s="110" t="n"/>
      <c r="S686" s="110" t="n"/>
      <c r="T686" s="110" t="n"/>
      <c r="U686" s="110" t="n"/>
      <c r="V686" s="110" t="n"/>
      <c r="W686" s="110" t="n"/>
      <c r="X686" s="110" t="n"/>
      <c r="Y686" s="110" t="n"/>
      <c r="Z686" s="110" t="n"/>
    </row>
    <row r="687">
      <c r="A687" s="110" t="n"/>
      <c r="B687" s="110" t="n"/>
      <c r="C687" s="110" t="n"/>
      <c r="D687" s="110" t="n"/>
      <c r="E687" s="110" t="n"/>
      <c r="F687" s="110" t="n"/>
      <c r="G687" s="110" t="n"/>
      <c r="H687" s="110" t="n"/>
      <c r="I687" s="110" t="n"/>
      <c r="J687" s="110" t="n"/>
      <c r="K687" s="110" t="n"/>
      <c r="L687" s="110" t="n"/>
      <c r="M687" s="110" t="n"/>
      <c r="N687" s="110" t="n"/>
      <c r="O687" s="110" t="n"/>
      <c r="P687" s="110" t="n"/>
      <c r="Q687" s="110" t="n"/>
      <c r="R687" s="110" t="n"/>
      <c r="S687" s="110" t="n"/>
      <c r="T687" s="110" t="n"/>
      <c r="U687" s="110" t="n"/>
      <c r="V687" s="110" t="n"/>
      <c r="W687" s="110" t="n"/>
      <c r="X687" s="110" t="n"/>
      <c r="Y687" s="110" t="n"/>
      <c r="Z687" s="110" t="n"/>
    </row>
    <row r="688">
      <c r="A688" s="110" t="n"/>
      <c r="B688" s="110" t="n"/>
      <c r="C688" s="110" t="n"/>
      <c r="D688" s="110" t="n"/>
      <c r="E688" s="110" t="n"/>
      <c r="F688" s="110" t="n"/>
      <c r="G688" s="110" t="n"/>
      <c r="H688" s="110" t="n"/>
      <c r="I688" s="110" t="n"/>
      <c r="J688" s="110" t="n"/>
      <c r="K688" s="110" t="n"/>
      <c r="L688" s="110" t="n"/>
      <c r="M688" s="110" t="n"/>
      <c r="N688" s="110" t="n"/>
      <c r="O688" s="110" t="n"/>
      <c r="P688" s="110" t="n"/>
      <c r="Q688" s="110" t="n"/>
      <c r="R688" s="110" t="n"/>
      <c r="S688" s="110" t="n"/>
      <c r="T688" s="110" t="n"/>
      <c r="U688" s="110" t="n"/>
      <c r="V688" s="110" t="n"/>
      <c r="W688" s="110" t="n"/>
      <c r="X688" s="110" t="n"/>
      <c r="Y688" s="110" t="n"/>
      <c r="Z688" s="110" t="n"/>
    </row>
    <row r="689">
      <c r="A689" s="110" t="n"/>
      <c r="B689" s="110" t="n"/>
      <c r="C689" s="110" t="n"/>
      <c r="D689" s="110" t="n"/>
      <c r="E689" s="110" t="n"/>
      <c r="F689" s="110" t="n"/>
      <c r="G689" s="110" t="n"/>
      <c r="H689" s="110" t="n"/>
      <c r="I689" s="110" t="n"/>
      <c r="J689" s="110" t="n"/>
      <c r="K689" s="110" t="n"/>
      <c r="L689" s="110" t="n"/>
      <c r="M689" s="110" t="n"/>
      <c r="N689" s="110" t="n"/>
      <c r="O689" s="110" t="n"/>
      <c r="P689" s="110" t="n"/>
      <c r="Q689" s="110" t="n"/>
      <c r="R689" s="110" t="n"/>
      <c r="S689" s="110" t="n"/>
      <c r="T689" s="110" t="n"/>
      <c r="U689" s="110" t="n"/>
      <c r="V689" s="110" t="n"/>
      <c r="W689" s="110" t="n"/>
      <c r="X689" s="110" t="n"/>
      <c r="Y689" s="110" t="n"/>
      <c r="Z689" s="110" t="n"/>
    </row>
    <row r="690">
      <c r="A690" s="110" t="n"/>
      <c r="B690" s="110" t="n"/>
      <c r="C690" s="110" t="n"/>
      <c r="D690" s="110" t="n"/>
      <c r="E690" s="110" t="n"/>
      <c r="F690" s="110" t="n"/>
      <c r="G690" s="110" t="n"/>
      <c r="H690" s="110" t="n"/>
      <c r="I690" s="110" t="n"/>
      <c r="J690" s="110" t="n"/>
      <c r="K690" s="110" t="n"/>
      <c r="L690" s="110" t="n"/>
      <c r="M690" s="110" t="n"/>
      <c r="N690" s="110" t="n"/>
      <c r="O690" s="110" t="n"/>
      <c r="P690" s="110" t="n"/>
      <c r="Q690" s="110" t="n"/>
      <c r="R690" s="110" t="n"/>
      <c r="S690" s="110" t="n"/>
      <c r="T690" s="110" t="n"/>
      <c r="U690" s="110" t="n"/>
      <c r="V690" s="110" t="n"/>
      <c r="W690" s="110" t="n"/>
      <c r="X690" s="110" t="n"/>
      <c r="Y690" s="110" t="n"/>
      <c r="Z690" s="110" t="n"/>
    </row>
    <row r="691">
      <c r="A691" s="110" t="n"/>
      <c r="B691" s="110" t="n"/>
      <c r="C691" s="110" t="n"/>
      <c r="D691" s="110" t="n"/>
      <c r="E691" s="110" t="n"/>
      <c r="F691" s="110" t="n"/>
      <c r="G691" s="110" t="n"/>
      <c r="H691" s="110" t="n"/>
      <c r="I691" s="110" t="n"/>
      <c r="J691" s="110" t="n"/>
      <c r="K691" s="110" t="n"/>
      <c r="L691" s="110" t="n"/>
      <c r="M691" s="110" t="n"/>
      <c r="N691" s="110" t="n"/>
      <c r="O691" s="110" t="n"/>
      <c r="P691" s="110" t="n"/>
      <c r="Q691" s="110" t="n"/>
      <c r="R691" s="110" t="n"/>
      <c r="S691" s="110" t="n"/>
      <c r="T691" s="110" t="n"/>
      <c r="U691" s="110" t="n"/>
      <c r="V691" s="110" t="n"/>
      <c r="W691" s="110" t="n"/>
      <c r="X691" s="110" t="n"/>
      <c r="Y691" s="110" t="n"/>
      <c r="Z691" s="110" t="n"/>
    </row>
    <row r="692">
      <c r="A692" s="110" t="n"/>
      <c r="B692" s="110" t="n"/>
      <c r="C692" s="110" t="n"/>
      <c r="D692" s="110" t="n"/>
      <c r="E692" s="110" t="n"/>
      <c r="F692" s="110" t="n"/>
      <c r="G692" s="110" t="n"/>
      <c r="H692" s="110" t="n"/>
      <c r="I692" s="110" t="n"/>
      <c r="J692" s="110" t="n"/>
      <c r="K692" s="110" t="n"/>
      <c r="L692" s="110" t="n"/>
      <c r="M692" s="110" t="n"/>
      <c r="N692" s="110" t="n"/>
      <c r="O692" s="110" t="n"/>
      <c r="P692" s="110" t="n"/>
      <c r="Q692" s="110" t="n"/>
      <c r="R692" s="110" t="n"/>
      <c r="S692" s="110" t="n"/>
      <c r="T692" s="110" t="n"/>
      <c r="U692" s="110" t="n"/>
      <c r="V692" s="110" t="n"/>
      <c r="W692" s="110" t="n"/>
      <c r="X692" s="110" t="n"/>
      <c r="Y692" s="110" t="n"/>
      <c r="Z692" s="110" t="n"/>
    </row>
    <row r="693">
      <c r="A693" s="110" t="n"/>
      <c r="B693" s="110" t="n"/>
      <c r="C693" s="110" t="n"/>
      <c r="D693" s="110" t="n"/>
      <c r="E693" s="110" t="n"/>
      <c r="F693" s="110" t="n"/>
      <c r="G693" s="110" t="n"/>
      <c r="H693" s="110" t="n"/>
      <c r="I693" s="110" t="n"/>
      <c r="J693" s="110" t="n"/>
      <c r="K693" s="110" t="n"/>
      <c r="L693" s="110" t="n"/>
      <c r="M693" s="110" t="n"/>
      <c r="N693" s="110" t="n"/>
      <c r="O693" s="110" t="n"/>
      <c r="P693" s="110" t="n"/>
      <c r="Q693" s="110" t="n"/>
      <c r="R693" s="110" t="n"/>
      <c r="S693" s="110" t="n"/>
      <c r="T693" s="110" t="n"/>
      <c r="U693" s="110" t="n"/>
      <c r="V693" s="110" t="n"/>
      <c r="W693" s="110" t="n"/>
      <c r="X693" s="110" t="n"/>
      <c r="Y693" s="110" t="n"/>
      <c r="Z693" s="110" t="n"/>
    </row>
    <row r="694">
      <c r="A694" s="110" t="n"/>
      <c r="B694" s="110" t="n"/>
      <c r="C694" s="110" t="n"/>
      <c r="D694" s="110" t="n"/>
      <c r="E694" s="110" t="n"/>
      <c r="F694" s="110" t="n"/>
      <c r="G694" s="110" t="n"/>
      <c r="H694" s="110" t="n"/>
      <c r="I694" s="110" t="n"/>
      <c r="J694" s="110" t="n"/>
      <c r="K694" s="110" t="n"/>
      <c r="L694" s="110" t="n"/>
      <c r="M694" s="110" t="n"/>
      <c r="N694" s="110" t="n"/>
      <c r="O694" s="110" t="n"/>
      <c r="P694" s="110" t="n"/>
      <c r="Q694" s="110" t="n"/>
      <c r="R694" s="110" t="n"/>
      <c r="S694" s="110" t="n"/>
      <c r="T694" s="110" t="n"/>
      <c r="U694" s="110" t="n"/>
      <c r="V694" s="110" t="n"/>
      <c r="W694" s="110" t="n"/>
      <c r="X694" s="110" t="n"/>
      <c r="Y694" s="110" t="n"/>
      <c r="Z694" s="110" t="n"/>
    </row>
    <row r="695">
      <c r="A695" s="110" t="n"/>
      <c r="B695" s="110" t="n"/>
      <c r="C695" s="110" t="n"/>
      <c r="D695" s="110" t="n"/>
      <c r="E695" s="110" t="n"/>
      <c r="F695" s="110" t="n"/>
      <c r="G695" s="110" t="n"/>
      <c r="H695" s="110" t="n"/>
      <c r="I695" s="110" t="n"/>
      <c r="J695" s="110" t="n"/>
      <c r="K695" s="110" t="n"/>
      <c r="L695" s="110" t="n"/>
      <c r="M695" s="110" t="n"/>
      <c r="N695" s="110" t="n"/>
      <c r="O695" s="110" t="n"/>
      <c r="P695" s="110" t="n"/>
      <c r="Q695" s="110" t="n"/>
      <c r="R695" s="110" t="n"/>
      <c r="S695" s="110" t="n"/>
      <c r="T695" s="110" t="n"/>
      <c r="U695" s="110" t="n"/>
      <c r="V695" s="110" t="n"/>
      <c r="W695" s="110" t="n"/>
      <c r="X695" s="110" t="n"/>
      <c r="Y695" s="110" t="n"/>
      <c r="Z695" s="110" t="n"/>
    </row>
    <row r="696">
      <c r="A696" s="110" t="n"/>
      <c r="B696" s="110" t="n"/>
      <c r="C696" s="110" t="n"/>
      <c r="D696" s="110" t="n"/>
      <c r="E696" s="110" t="n"/>
      <c r="F696" s="110" t="n"/>
      <c r="G696" s="110" t="n"/>
      <c r="H696" s="110" t="n"/>
      <c r="I696" s="110" t="n"/>
      <c r="J696" s="110" t="n"/>
      <c r="K696" s="110" t="n"/>
      <c r="L696" s="110" t="n"/>
      <c r="M696" s="110" t="n"/>
      <c r="N696" s="110" t="n"/>
      <c r="O696" s="110" t="n"/>
      <c r="P696" s="110" t="n"/>
      <c r="Q696" s="110" t="n"/>
      <c r="R696" s="110" t="n"/>
      <c r="S696" s="110" t="n"/>
      <c r="T696" s="110" t="n"/>
      <c r="U696" s="110" t="n"/>
      <c r="V696" s="110" t="n"/>
      <c r="W696" s="110" t="n"/>
      <c r="X696" s="110" t="n"/>
      <c r="Y696" s="110" t="n"/>
      <c r="Z696" s="110" t="n"/>
    </row>
    <row r="697">
      <c r="A697" s="110" t="n"/>
      <c r="B697" s="110" t="n"/>
      <c r="C697" s="110" t="n"/>
      <c r="D697" s="110" t="n"/>
      <c r="E697" s="110" t="n"/>
      <c r="F697" s="110" t="n"/>
      <c r="G697" s="110" t="n"/>
      <c r="H697" s="110" t="n"/>
      <c r="I697" s="110" t="n"/>
      <c r="J697" s="110" t="n"/>
      <c r="K697" s="110" t="n"/>
      <c r="L697" s="110" t="n"/>
      <c r="M697" s="110" t="n"/>
      <c r="N697" s="110" t="n"/>
      <c r="O697" s="110" t="n"/>
      <c r="P697" s="110" t="n"/>
      <c r="Q697" s="110" t="n"/>
      <c r="R697" s="110" t="n"/>
      <c r="S697" s="110" t="n"/>
      <c r="T697" s="110" t="n"/>
      <c r="U697" s="110" t="n"/>
      <c r="V697" s="110" t="n"/>
      <c r="W697" s="110" t="n"/>
      <c r="X697" s="110" t="n"/>
      <c r="Y697" s="110" t="n"/>
      <c r="Z697" s="110" t="n"/>
    </row>
    <row r="698">
      <c r="A698" s="110" t="n"/>
      <c r="B698" s="110" t="n"/>
      <c r="C698" s="110" t="n"/>
      <c r="D698" s="110" t="n"/>
      <c r="E698" s="110" t="n"/>
      <c r="F698" s="110" t="n"/>
      <c r="G698" s="110" t="n"/>
      <c r="H698" s="110" t="n"/>
      <c r="I698" s="110" t="n"/>
      <c r="J698" s="110" t="n"/>
      <c r="K698" s="110" t="n"/>
      <c r="L698" s="110" t="n"/>
      <c r="M698" s="110" t="n"/>
      <c r="N698" s="110" t="n"/>
      <c r="O698" s="110" t="n"/>
      <c r="P698" s="110" t="n"/>
      <c r="Q698" s="110" t="n"/>
      <c r="R698" s="110" t="n"/>
      <c r="S698" s="110" t="n"/>
      <c r="T698" s="110" t="n"/>
      <c r="U698" s="110" t="n"/>
      <c r="V698" s="110" t="n"/>
      <c r="W698" s="110" t="n"/>
      <c r="X698" s="110" t="n"/>
      <c r="Y698" s="110" t="n"/>
      <c r="Z698" s="110" t="n"/>
    </row>
    <row r="699">
      <c r="A699" s="110" t="n"/>
      <c r="B699" s="110" t="n"/>
      <c r="C699" s="110" t="n"/>
      <c r="D699" s="110" t="n"/>
      <c r="E699" s="110" t="n"/>
      <c r="F699" s="110" t="n"/>
      <c r="G699" s="110" t="n"/>
      <c r="H699" s="110" t="n"/>
      <c r="I699" s="110" t="n"/>
      <c r="J699" s="110" t="n"/>
      <c r="K699" s="110" t="n"/>
      <c r="L699" s="110" t="n"/>
      <c r="M699" s="110" t="n"/>
      <c r="N699" s="110" t="n"/>
      <c r="O699" s="110" t="n"/>
      <c r="P699" s="110" t="n"/>
      <c r="Q699" s="110" t="n"/>
      <c r="R699" s="110" t="n"/>
      <c r="S699" s="110" t="n"/>
      <c r="T699" s="110" t="n"/>
      <c r="U699" s="110" t="n"/>
      <c r="V699" s="110" t="n"/>
      <c r="W699" s="110" t="n"/>
      <c r="X699" s="110" t="n"/>
      <c r="Y699" s="110" t="n"/>
      <c r="Z699" s="110" t="n"/>
    </row>
    <row r="700">
      <c r="A700" s="110" t="n"/>
      <c r="B700" s="110" t="n"/>
      <c r="C700" s="110" t="n"/>
      <c r="D700" s="110" t="n"/>
      <c r="E700" s="110" t="n"/>
      <c r="F700" s="110" t="n"/>
      <c r="G700" s="110" t="n"/>
      <c r="H700" s="110" t="n"/>
      <c r="I700" s="110" t="n"/>
      <c r="J700" s="110" t="n"/>
      <c r="K700" s="110" t="n"/>
      <c r="L700" s="110" t="n"/>
      <c r="M700" s="110" t="n"/>
      <c r="N700" s="110" t="n"/>
      <c r="O700" s="110" t="n"/>
      <c r="P700" s="110" t="n"/>
      <c r="Q700" s="110" t="n"/>
      <c r="R700" s="110" t="n"/>
      <c r="S700" s="110" t="n"/>
      <c r="T700" s="110" t="n"/>
      <c r="U700" s="110" t="n"/>
      <c r="V700" s="110" t="n"/>
      <c r="W700" s="110" t="n"/>
      <c r="X700" s="110" t="n"/>
      <c r="Y700" s="110" t="n"/>
      <c r="Z700" s="110" t="n"/>
    </row>
    <row r="701">
      <c r="A701" s="110" t="n"/>
      <c r="B701" s="110" t="n"/>
      <c r="C701" s="110" t="n"/>
      <c r="D701" s="110" t="n"/>
      <c r="E701" s="110" t="n"/>
      <c r="F701" s="110" t="n"/>
      <c r="G701" s="110" t="n"/>
      <c r="H701" s="110" t="n"/>
      <c r="I701" s="110" t="n"/>
      <c r="J701" s="110" t="n"/>
      <c r="K701" s="110" t="n"/>
      <c r="L701" s="110" t="n"/>
      <c r="M701" s="110" t="n"/>
      <c r="N701" s="110" t="n"/>
      <c r="O701" s="110" t="n"/>
      <c r="P701" s="110" t="n"/>
      <c r="Q701" s="110" t="n"/>
      <c r="R701" s="110" t="n"/>
      <c r="S701" s="110" t="n"/>
      <c r="T701" s="110" t="n"/>
      <c r="U701" s="110" t="n"/>
      <c r="V701" s="110" t="n"/>
      <c r="W701" s="110" t="n"/>
      <c r="X701" s="110" t="n"/>
      <c r="Y701" s="110" t="n"/>
      <c r="Z701" s="110" t="n"/>
    </row>
    <row r="702">
      <c r="A702" s="110" t="n"/>
      <c r="B702" s="110" t="n"/>
      <c r="C702" s="110" t="n"/>
      <c r="D702" s="110" t="n"/>
      <c r="E702" s="110" t="n"/>
      <c r="F702" s="110" t="n"/>
      <c r="G702" s="110" t="n"/>
      <c r="H702" s="110" t="n"/>
      <c r="I702" s="110" t="n"/>
      <c r="J702" s="110" t="n"/>
      <c r="K702" s="110" t="n"/>
      <c r="L702" s="110" t="n"/>
      <c r="M702" s="110" t="n"/>
      <c r="N702" s="110" t="n"/>
      <c r="O702" s="110" t="n"/>
      <c r="P702" s="110" t="n"/>
      <c r="Q702" s="110" t="n"/>
      <c r="R702" s="110" t="n"/>
      <c r="S702" s="110" t="n"/>
      <c r="T702" s="110" t="n"/>
      <c r="U702" s="110" t="n"/>
      <c r="V702" s="110" t="n"/>
      <c r="W702" s="110" t="n"/>
      <c r="X702" s="110" t="n"/>
      <c r="Y702" s="110" t="n"/>
      <c r="Z702" s="110" t="n"/>
    </row>
    <row r="703">
      <c r="A703" s="110" t="n"/>
      <c r="B703" s="110" t="n"/>
      <c r="C703" s="110" t="n"/>
      <c r="D703" s="110" t="n"/>
      <c r="E703" s="110" t="n"/>
      <c r="F703" s="110" t="n"/>
      <c r="G703" s="110" t="n"/>
      <c r="H703" s="110" t="n"/>
      <c r="I703" s="110" t="n"/>
      <c r="J703" s="110" t="n"/>
      <c r="K703" s="110" t="n"/>
      <c r="L703" s="110" t="n"/>
      <c r="M703" s="110" t="n"/>
      <c r="N703" s="110" t="n"/>
      <c r="O703" s="110" t="n"/>
      <c r="P703" s="110" t="n"/>
      <c r="Q703" s="110" t="n"/>
      <c r="R703" s="110" t="n"/>
      <c r="S703" s="110" t="n"/>
      <c r="T703" s="110" t="n"/>
      <c r="U703" s="110" t="n"/>
      <c r="V703" s="110" t="n"/>
      <c r="W703" s="110" t="n"/>
      <c r="X703" s="110" t="n"/>
      <c r="Y703" s="110" t="n"/>
      <c r="Z703" s="110" t="n"/>
    </row>
    <row r="704">
      <c r="A704" s="110" t="n"/>
      <c r="B704" s="110" t="n"/>
      <c r="C704" s="110" t="n"/>
      <c r="D704" s="110" t="n"/>
      <c r="E704" s="110" t="n"/>
      <c r="F704" s="110" t="n"/>
      <c r="G704" s="110" t="n"/>
      <c r="H704" s="110" t="n"/>
      <c r="I704" s="110" t="n"/>
      <c r="J704" s="110" t="n"/>
      <c r="K704" s="110" t="n"/>
      <c r="L704" s="110" t="n"/>
      <c r="M704" s="110" t="n"/>
      <c r="N704" s="110" t="n"/>
      <c r="O704" s="110" t="n"/>
      <c r="P704" s="110" t="n"/>
      <c r="Q704" s="110" t="n"/>
      <c r="R704" s="110" t="n"/>
      <c r="S704" s="110" t="n"/>
      <c r="T704" s="110" t="n"/>
      <c r="U704" s="110" t="n"/>
      <c r="V704" s="110" t="n"/>
      <c r="W704" s="110" t="n"/>
      <c r="X704" s="110" t="n"/>
      <c r="Y704" s="110" t="n"/>
      <c r="Z704" s="110" t="n"/>
    </row>
    <row r="705">
      <c r="A705" s="110" t="n"/>
      <c r="B705" s="110" t="n"/>
      <c r="C705" s="110" t="n"/>
      <c r="D705" s="110" t="n"/>
      <c r="E705" s="110" t="n"/>
      <c r="F705" s="110" t="n"/>
      <c r="G705" s="110" t="n"/>
      <c r="H705" s="110" t="n"/>
      <c r="I705" s="110" t="n"/>
      <c r="J705" s="110" t="n"/>
      <c r="K705" s="110" t="n"/>
      <c r="L705" s="110" t="n"/>
      <c r="M705" s="110" t="n"/>
      <c r="N705" s="110" t="n"/>
      <c r="O705" s="110" t="n"/>
      <c r="P705" s="110" t="n"/>
      <c r="Q705" s="110" t="n"/>
      <c r="R705" s="110" t="n"/>
      <c r="S705" s="110" t="n"/>
      <c r="T705" s="110" t="n"/>
      <c r="U705" s="110" t="n"/>
      <c r="V705" s="110" t="n"/>
      <c r="W705" s="110" t="n"/>
      <c r="X705" s="110" t="n"/>
      <c r="Y705" s="110" t="n"/>
      <c r="Z705" s="110" t="n"/>
    </row>
    <row r="706">
      <c r="A706" s="110" t="n"/>
      <c r="B706" s="110" t="n"/>
      <c r="C706" s="110" t="n"/>
      <c r="D706" s="110" t="n"/>
      <c r="E706" s="110" t="n"/>
      <c r="F706" s="110" t="n"/>
      <c r="G706" s="110" t="n"/>
      <c r="H706" s="110" t="n"/>
      <c r="I706" s="110" t="n"/>
      <c r="J706" s="110" t="n"/>
      <c r="K706" s="110" t="n"/>
      <c r="L706" s="110" t="n"/>
      <c r="M706" s="110" t="n"/>
      <c r="N706" s="110" t="n"/>
      <c r="O706" s="110" t="n"/>
      <c r="P706" s="110" t="n"/>
      <c r="Q706" s="110" t="n"/>
      <c r="R706" s="110" t="n"/>
      <c r="S706" s="110" t="n"/>
      <c r="T706" s="110" t="n"/>
      <c r="U706" s="110" t="n"/>
      <c r="V706" s="110" t="n"/>
      <c r="W706" s="110" t="n"/>
      <c r="X706" s="110" t="n"/>
      <c r="Y706" s="110" t="n"/>
      <c r="Z706" s="110" t="n"/>
    </row>
    <row r="707">
      <c r="A707" s="110" t="n"/>
      <c r="B707" s="110" t="n"/>
      <c r="C707" s="110" t="n"/>
      <c r="D707" s="110" t="n"/>
      <c r="E707" s="110" t="n"/>
      <c r="F707" s="110" t="n"/>
      <c r="G707" s="110" t="n"/>
      <c r="H707" s="110" t="n"/>
      <c r="I707" s="110" t="n"/>
      <c r="J707" s="110" t="n"/>
      <c r="K707" s="110" t="n"/>
      <c r="L707" s="110" t="n"/>
      <c r="M707" s="110" t="n"/>
      <c r="N707" s="110" t="n"/>
      <c r="O707" s="110" t="n"/>
      <c r="P707" s="110" t="n"/>
      <c r="Q707" s="110" t="n"/>
      <c r="R707" s="110" t="n"/>
      <c r="S707" s="110" t="n"/>
      <c r="T707" s="110" t="n"/>
      <c r="U707" s="110" t="n"/>
      <c r="V707" s="110" t="n"/>
      <c r="W707" s="110" t="n"/>
      <c r="X707" s="110" t="n"/>
      <c r="Y707" s="110" t="n"/>
      <c r="Z707" s="110" t="n"/>
    </row>
    <row r="708">
      <c r="A708" s="110" t="n"/>
      <c r="B708" s="110" t="n"/>
      <c r="C708" s="110" t="n"/>
      <c r="D708" s="110" t="n"/>
      <c r="E708" s="110" t="n"/>
      <c r="F708" s="110" t="n"/>
      <c r="G708" s="110" t="n"/>
      <c r="H708" s="110" t="n"/>
      <c r="I708" s="110" t="n"/>
      <c r="J708" s="110" t="n"/>
      <c r="K708" s="110" t="n"/>
      <c r="L708" s="110" t="n"/>
      <c r="M708" s="110" t="n"/>
      <c r="N708" s="110" t="n"/>
      <c r="O708" s="110" t="n"/>
      <c r="P708" s="110" t="n"/>
      <c r="Q708" s="110" t="n"/>
      <c r="R708" s="110" t="n"/>
      <c r="S708" s="110" t="n"/>
      <c r="T708" s="110" t="n"/>
      <c r="U708" s="110" t="n"/>
      <c r="V708" s="110" t="n"/>
      <c r="W708" s="110" t="n"/>
      <c r="X708" s="110" t="n"/>
      <c r="Y708" s="110" t="n"/>
      <c r="Z708" s="110" t="n"/>
    </row>
    <row r="709">
      <c r="A709" s="110" t="n"/>
      <c r="B709" s="110" t="n"/>
      <c r="C709" s="110" t="n"/>
      <c r="D709" s="110" t="n"/>
      <c r="E709" s="110" t="n"/>
      <c r="F709" s="110" t="n"/>
      <c r="G709" s="110" t="n"/>
      <c r="H709" s="110" t="n"/>
      <c r="I709" s="110" t="n"/>
      <c r="J709" s="110" t="n"/>
      <c r="K709" s="110" t="n"/>
      <c r="L709" s="110" t="n"/>
      <c r="M709" s="110" t="n"/>
      <c r="N709" s="110" t="n"/>
      <c r="O709" s="110" t="n"/>
      <c r="P709" s="110" t="n"/>
      <c r="Q709" s="110" t="n"/>
      <c r="R709" s="110" t="n"/>
      <c r="S709" s="110" t="n"/>
      <c r="T709" s="110" t="n"/>
      <c r="U709" s="110" t="n"/>
      <c r="V709" s="110" t="n"/>
      <c r="W709" s="110" t="n"/>
      <c r="X709" s="110" t="n"/>
      <c r="Y709" s="110" t="n"/>
      <c r="Z709" s="110" t="n"/>
    </row>
    <row r="710">
      <c r="A710" s="110" t="n"/>
      <c r="B710" s="110" t="n"/>
      <c r="C710" s="110" t="n"/>
      <c r="D710" s="110" t="n"/>
      <c r="E710" s="110" t="n"/>
      <c r="F710" s="110" t="n"/>
      <c r="G710" s="110" t="n"/>
      <c r="H710" s="110" t="n"/>
      <c r="I710" s="110" t="n"/>
      <c r="J710" s="110" t="n"/>
      <c r="K710" s="110" t="n"/>
      <c r="L710" s="110" t="n"/>
      <c r="M710" s="110" t="n"/>
      <c r="N710" s="110" t="n"/>
      <c r="O710" s="110" t="n"/>
      <c r="P710" s="110" t="n"/>
      <c r="Q710" s="110" t="n"/>
      <c r="R710" s="110" t="n"/>
      <c r="S710" s="110" t="n"/>
      <c r="T710" s="110" t="n"/>
      <c r="U710" s="110" t="n"/>
      <c r="V710" s="110" t="n"/>
      <c r="W710" s="110" t="n"/>
      <c r="X710" s="110" t="n"/>
      <c r="Y710" s="110" t="n"/>
      <c r="Z710" s="110" t="n"/>
    </row>
    <row r="711">
      <c r="A711" s="110" t="n"/>
      <c r="B711" s="110" t="n"/>
      <c r="C711" s="110" t="n"/>
      <c r="D711" s="110" t="n"/>
      <c r="E711" s="110" t="n"/>
      <c r="F711" s="110" t="n"/>
      <c r="G711" s="110" t="n"/>
      <c r="H711" s="110" t="n"/>
      <c r="I711" s="110" t="n"/>
      <c r="J711" s="110" t="n"/>
      <c r="K711" s="110" t="n"/>
      <c r="L711" s="110" t="n"/>
      <c r="M711" s="110" t="n"/>
      <c r="N711" s="110" t="n"/>
      <c r="O711" s="110" t="n"/>
      <c r="P711" s="110" t="n"/>
      <c r="Q711" s="110" t="n"/>
      <c r="R711" s="110" t="n"/>
      <c r="S711" s="110" t="n"/>
      <c r="T711" s="110" t="n"/>
      <c r="U711" s="110" t="n"/>
      <c r="V711" s="110" t="n"/>
      <c r="W711" s="110" t="n"/>
      <c r="X711" s="110" t="n"/>
      <c r="Y711" s="110" t="n"/>
      <c r="Z711" s="110" t="n"/>
    </row>
    <row r="712">
      <c r="A712" s="110" t="n"/>
      <c r="B712" s="110" t="n"/>
      <c r="C712" s="110" t="n"/>
      <c r="D712" s="110" t="n"/>
      <c r="E712" s="110" t="n"/>
      <c r="F712" s="110" t="n"/>
      <c r="G712" s="110" t="n"/>
      <c r="H712" s="110" t="n"/>
      <c r="I712" s="110" t="n"/>
      <c r="J712" s="110" t="n"/>
      <c r="K712" s="110" t="n"/>
      <c r="L712" s="110" t="n"/>
      <c r="M712" s="110" t="n"/>
      <c r="N712" s="110" t="n"/>
      <c r="O712" s="110" t="n"/>
      <c r="P712" s="110" t="n"/>
      <c r="Q712" s="110" t="n"/>
      <c r="R712" s="110" t="n"/>
      <c r="S712" s="110" t="n"/>
      <c r="T712" s="110" t="n"/>
      <c r="U712" s="110" t="n"/>
      <c r="V712" s="110" t="n"/>
      <c r="W712" s="110" t="n"/>
      <c r="X712" s="110" t="n"/>
      <c r="Y712" s="110" t="n"/>
      <c r="Z712" s="110" t="n"/>
    </row>
    <row r="713">
      <c r="A713" s="110" t="n"/>
      <c r="B713" s="110" t="n"/>
      <c r="C713" s="110" t="n"/>
      <c r="D713" s="110" t="n"/>
      <c r="E713" s="110" t="n"/>
      <c r="F713" s="110" t="n"/>
      <c r="G713" s="110" t="n"/>
      <c r="H713" s="110" t="n"/>
      <c r="I713" s="110" t="n"/>
      <c r="J713" s="110" t="n"/>
      <c r="K713" s="110" t="n"/>
      <c r="L713" s="110" t="n"/>
      <c r="M713" s="110" t="n"/>
      <c r="N713" s="110" t="n"/>
      <c r="O713" s="110" t="n"/>
      <c r="P713" s="110" t="n"/>
      <c r="Q713" s="110" t="n"/>
      <c r="R713" s="110" t="n"/>
      <c r="S713" s="110" t="n"/>
      <c r="T713" s="110" t="n"/>
      <c r="U713" s="110" t="n"/>
      <c r="V713" s="110" t="n"/>
      <c r="W713" s="110" t="n"/>
      <c r="X713" s="110" t="n"/>
      <c r="Y713" s="110" t="n"/>
      <c r="Z713" s="110" t="n"/>
    </row>
    <row r="714">
      <c r="A714" s="110" t="n"/>
      <c r="B714" s="110" t="n"/>
      <c r="C714" s="110" t="n"/>
      <c r="D714" s="110" t="n"/>
      <c r="E714" s="110" t="n"/>
      <c r="F714" s="110" t="n"/>
      <c r="G714" s="110" t="n"/>
      <c r="H714" s="110" t="n"/>
      <c r="I714" s="110" t="n"/>
      <c r="J714" s="110" t="n"/>
      <c r="K714" s="110" t="n"/>
      <c r="L714" s="110" t="n"/>
      <c r="M714" s="110" t="n"/>
      <c r="N714" s="110" t="n"/>
      <c r="O714" s="110" t="n"/>
      <c r="P714" s="110" t="n"/>
      <c r="Q714" s="110" t="n"/>
      <c r="R714" s="110" t="n"/>
      <c r="S714" s="110" t="n"/>
      <c r="T714" s="110" t="n"/>
      <c r="U714" s="110" t="n"/>
      <c r="V714" s="110" t="n"/>
      <c r="W714" s="110" t="n"/>
      <c r="X714" s="110" t="n"/>
      <c r="Y714" s="110" t="n"/>
      <c r="Z714" s="110" t="n"/>
    </row>
    <row r="715">
      <c r="A715" s="110" t="n"/>
      <c r="B715" s="110" t="n"/>
      <c r="C715" s="110" t="n"/>
      <c r="D715" s="110" t="n"/>
      <c r="E715" s="110" t="n"/>
      <c r="F715" s="110" t="n"/>
      <c r="G715" s="110" t="n"/>
      <c r="H715" s="110" t="n"/>
      <c r="I715" s="110" t="n"/>
      <c r="J715" s="110" t="n"/>
      <c r="K715" s="110" t="n"/>
      <c r="L715" s="110" t="n"/>
      <c r="M715" s="110" t="n"/>
      <c r="N715" s="110" t="n"/>
      <c r="O715" s="110" t="n"/>
      <c r="P715" s="110" t="n"/>
      <c r="Q715" s="110" t="n"/>
      <c r="R715" s="110" t="n"/>
      <c r="S715" s="110" t="n"/>
      <c r="T715" s="110" t="n"/>
      <c r="U715" s="110" t="n"/>
      <c r="V715" s="110" t="n"/>
      <c r="W715" s="110" t="n"/>
      <c r="X715" s="110" t="n"/>
      <c r="Y715" s="110" t="n"/>
      <c r="Z715" s="110" t="n"/>
    </row>
    <row r="716">
      <c r="A716" s="110" t="n"/>
      <c r="B716" s="110" t="n"/>
      <c r="C716" s="110" t="n"/>
      <c r="D716" s="110" t="n"/>
      <c r="E716" s="110" t="n"/>
      <c r="F716" s="110" t="n"/>
      <c r="G716" s="110" t="n"/>
      <c r="H716" s="110" t="n"/>
      <c r="I716" s="110" t="n"/>
      <c r="J716" s="110" t="n"/>
      <c r="K716" s="110" t="n"/>
      <c r="L716" s="110" t="n"/>
      <c r="M716" s="110" t="n"/>
      <c r="N716" s="110" t="n"/>
      <c r="O716" s="110" t="n"/>
      <c r="P716" s="110" t="n"/>
      <c r="Q716" s="110" t="n"/>
      <c r="R716" s="110" t="n"/>
      <c r="S716" s="110" t="n"/>
      <c r="T716" s="110" t="n"/>
      <c r="U716" s="110" t="n"/>
      <c r="V716" s="110" t="n"/>
      <c r="W716" s="110" t="n"/>
      <c r="X716" s="110" t="n"/>
      <c r="Y716" s="110" t="n"/>
      <c r="Z716" s="110" t="n"/>
    </row>
    <row r="717">
      <c r="A717" s="110" t="n"/>
      <c r="B717" s="110" t="n"/>
      <c r="C717" s="110" t="n"/>
      <c r="D717" s="110" t="n"/>
      <c r="E717" s="110" t="n"/>
      <c r="F717" s="110" t="n"/>
      <c r="G717" s="110" t="n"/>
      <c r="H717" s="110" t="n"/>
      <c r="I717" s="110" t="n"/>
      <c r="J717" s="110" t="n"/>
      <c r="K717" s="110" t="n"/>
      <c r="L717" s="110" t="n"/>
      <c r="M717" s="110" t="n"/>
      <c r="N717" s="110" t="n"/>
      <c r="O717" s="110" t="n"/>
      <c r="P717" s="110" t="n"/>
      <c r="Q717" s="110" t="n"/>
      <c r="R717" s="110" t="n"/>
      <c r="S717" s="110" t="n"/>
      <c r="T717" s="110" t="n"/>
      <c r="U717" s="110" t="n"/>
      <c r="V717" s="110" t="n"/>
      <c r="W717" s="110" t="n"/>
      <c r="X717" s="110" t="n"/>
      <c r="Y717" s="110" t="n"/>
      <c r="Z717" s="110" t="n"/>
    </row>
    <row r="718">
      <c r="A718" s="110" t="n"/>
      <c r="B718" s="110" t="n"/>
      <c r="C718" s="110" t="n"/>
      <c r="D718" s="110" t="n"/>
      <c r="E718" s="110" t="n"/>
      <c r="F718" s="110" t="n"/>
      <c r="G718" s="110" t="n"/>
      <c r="H718" s="110" t="n"/>
      <c r="I718" s="110" t="n"/>
      <c r="J718" s="110" t="n"/>
      <c r="K718" s="110" t="n"/>
      <c r="L718" s="110" t="n"/>
      <c r="M718" s="110" t="n"/>
      <c r="N718" s="110" t="n"/>
      <c r="O718" s="110" t="n"/>
      <c r="P718" s="110" t="n"/>
      <c r="Q718" s="110" t="n"/>
      <c r="R718" s="110" t="n"/>
      <c r="S718" s="110" t="n"/>
      <c r="T718" s="110" t="n"/>
      <c r="U718" s="110" t="n"/>
      <c r="V718" s="110" t="n"/>
      <c r="W718" s="110" t="n"/>
      <c r="X718" s="110" t="n"/>
      <c r="Y718" s="110" t="n"/>
      <c r="Z718" s="110" t="n"/>
    </row>
    <row r="719">
      <c r="A719" s="110" t="n"/>
      <c r="B719" s="110" t="n"/>
      <c r="C719" s="110" t="n"/>
      <c r="D719" s="110" t="n"/>
      <c r="E719" s="110" t="n"/>
      <c r="F719" s="110" t="n"/>
      <c r="G719" s="110" t="n"/>
      <c r="H719" s="110" t="n"/>
      <c r="I719" s="110" t="n"/>
      <c r="J719" s="110" t="n"/>
      <c r="K719" s="110" t="n"/>
      <c r="L719" s="110" t="n"/>
      <c r="M719" s="110" t="n"/>
      <c r="N719" s="110" t="n"/>
      <c r="O719" s="110" t="n"/>
      <c r="P719" s="110" t="n"/>
      <c r="Q719" s="110" t="n"/>
      <c r="R719" s="110" t="n"/>
      <c r="S719" s="110" t="n"/>
      <c r="T719" s="110" t="n"/>
      <c r="U719" s="110" t="n"/>
      <c r="V719" s="110" t="n"/>
      <c r="W719" s="110" t="n"/>
      <c r="X719" s="110" t="n"/>
      <c r="Y719" s="110" t="n"/>
      <c r="Z719" s="110" t="n"/>
    </row>
    <row r="720">
      <c r="A720" s="110" t="n"/>
      <c r="B720" s="110" t="n"/>
      <c r="C720" s="110" t="n"/>
      <c r="D720" s="110" t="n"/>
      <c r="E720" s="110" t="n"/>
      <c r="F720" s="110" t="n"/>
      <c r="G720" s="110" t="n"/>
      <c r="H720" s="110" t="n"/>
      <c r="I720" s="110" t="n"/>
      <c r="J720" s="110" t="n"/>
      <c r="K720" s="110" t="n"/>
      <c r="L720" s="110" t="n"/>
      <c r="M720" s="110" t="n"/>
      <c r="N720" s="110" t="n"/>
      <c r="O720" s="110" t="n"/>
      <c r="P720" s="110" t="n"/>
      <c r="Q720" s="110" t="n"/>
      <c r="R720" s="110" t="n"/>
      <c r="S720" s="110" t="n"/>
      <c r="T720" s="110" t="n"/>
      <c r="U720" s="110" t="n"/>
      <c r="V720" s="110" t="n"/>
      <c r="W720" s="110" t="n"/>
      <c r="X720" s="110" t="n"/>
      <c r="Y720" s="110" t="n"/>
      <c r="Z720" s="110" t="n"/>
    </row>
    <row r="721">
      <c r="A721" s="110" t="n"/>
      <c r="B721" s="110" t="n"/>
      <c r="C721" s="110" t="n"/>
      <c r="D721" s="110" t="n"/>
      <c r="E721" s="110" t="n"/>
      <c r="F721" s="110" t="n"/>
      <c r="G721" s="110" t="n"/>
      <c r="H721" s="110" t="n"/>
      <c r="I721" s="110" t="n"/>
      <c r="J721" s="110" t="n"/>
      <c r="K721" s="110" t="n"/>
      <c r="L721" s="110" t="n"/>
      <c r="M721" s="110" t="n"/>
      <c r="N721" s="110" t="n"/>
      <c r="O721" s="110" t="n"/>
      <c r="P721" s="110" t="n"/>
      <c r="Q721" s="110" t="n"/>
      <c r="R721" s="110" t="n"/>
      <c r="S721" s="110" t="n"/>
      <c r="T721" s="110" t="n"/>
      <c r="U721" s="110" t="n"/>
      <c r="V721" s="110" t="n"/>
      <c r="W721" s="110" t="n"/>
      <c r="X721" s="110" t="n"/>
      <c r="Y721" s="110" t="n"/>
      <c r="Z721" s="110" t="n"/>
    </row>
    <row r="722">
      <c r="A722" s="110" t="n"/>
      <c r="B722" s="110" t="n"/>
      <c r="C722" s="110" t="n"/>
      <c r="D722" s="110" t="n"/>
      <c r="E722" s="110" t="n"/>
      <c r="F722" s="110" t="n"/>
      <c r="G722" s="110" t="n"/>
      <c r="H722" s="110" t="n"/>
      <c r="I722" s="110" t="n"/>
      <c r="J722" s="110" t="n"/>
      <c r="K722" s="110" t="n"/>
      <c r="L722" s="110" t="n"/>
      <c r="M722" s="110" t="n"/>
      <c r="N722" s="110" t="n"/>
      <c r="O722" s="110" t="n"/>
      <c r="P722" s="110" t="n"/>
      <c r="Q722" s="110" t="n"/>
      <c r="R722" s="110" t="n"/>
      <c r="S722" s="110" t="n"/>
      <c r="T722" s="110" t="n"/>
      <c r="U722" s="110" t="n"/>
      <c r="V722" s="110" t="n"/>
      <c r="W722" s="110" t="n"/>
      <c r="X722" s="110" t="n"/>
      <c r="Y722" s="110" t="n"/>
      <c r="Z722" s="110" t="n"/>
    </row>
    <row r="723">
      <c r="A723" s="110" t="n"/>
      <c r="B723" s="110" t="n"/>
      <c r="C723" s="110" t="n"/>
      <c r="D723" s="110" t="n"/>
      <c r="E723" s="110" t="n"/>
      <c r="F723" s="110" t="n"/>
      <c r="G723" s="110" t="n"/>
      <c r="H723" s="110" t="n"/>
      <c r="I723" s="110" t="n"/>
      <c r="J723" s="110" t="n"/>
      <c r="K723" s="110" t="n"/>
      <c r="L723" s="110" t="n"/>
      <c r="M723" s="110" t="n"/>
      <c r="N723" s="110" t="n"/>
      <c r="O723" s="110" t="n"/>
      <c r="P723" s="110" t="n"/>
      <c r="Q723" s="110" t="n"/>
      <c r="R723" s="110" t="n"/>
      <c r="S723" s="110" t="n"/>
      <c r="T723" s="110" t="n"/>
      <c r="U723" s="110" t="n"/>
      <c r="V723" s="110" t="n"/>
      <c r="W723" s="110" t="n"/>
      <c r="X723" s="110" t="n"/>
      <c r="Y723" s="110" t="n"/>
      <c r="Z723" s="110" t="n"/>
    </row>
    <row r="724">
      <c r="A724" s="110" t="n"/>
      <c r="B724" s="110" t="n"/>
      <c r="C724" s="110" t="n"/>
      <c r="D724" s="110" t="n"/>
      <c r="E724" s="110" t="n"/>
      <c r="F724" s="110" t="n"/>
      <c r="G724" s="110" t="n"/>
      <c r="H724" s="110" t="n"/>
      <c r="I724" s="110" t="n"/>
      <c r="J724" s="110" t="n"/>
      <c r="K724" s="110" t="n"/>
      <c r="L724" s="110" t="n"/>
      <c r="M724" s="110" t="n"/>
      <c r="N724" s="110" t="n"/>
      <c r="O724" s="110" t="n"/>
      <c r="P724" s="110" t="n"/>
      <c r="Q724" s="110" t="n"/>
      <c r="R724" s="110" t="n"/>
      <c r="S724" s="110" t="n"/>
      <c r="T724" s="110" t="n"/>
      <c r="U724" s="110" t="n"/>
      <c r="V724" s="110" t="n"/>
      <c r="W724" s="110" t="n"/>
      <c r="X724" s="110" t="n"/>
      <c r="Y724" s="110" t="n"/>
      <c r="Z724" s="110" t="n"/>
    </row>
    <row r="725">
      <c r="A725" s="110" t="n"/>
      <c r="B725" s="110" t="n"/>
      <c r="C725" s="110" t="n"/>
      <c r="D725" s="110" t="n"/>
      <c r="E725" s="110" t="n"/>
      <c r="F725" s="110" t="n"/>
      <c r="G725" s="110" t="n"/>
      <c r="H725" s="110" t="n"/>
      <c r="I725" s="110" t="n"/>
      <c r="J725" s="110" t="n"/>
      <c r="K725" s="110" t="n"/>
      <c r="L725" s="110" t="n"/>
      <c r="M725" s="110" t="n"/>
      <c r="N725" s="110" t="n"/>
      <c r="O725" s="110" t="n"/>
      <c r="P725" s="110" t="n"/>
      <c r="Q725" s="110" t="n"/>
      <c r="R725" s="110" t="n"/>
      <c r="S725" s="110" t="n"/>
      <c r="T725" s="110" t="n"/>
      <c r="U725" s="110" t="n"/>
      <c r="V725" s="110" t="n"/>
      <c r="W725" s="110" t="n"/>
      <c r="X725" s="110" t="n"/>
      <c r="Y725" s="110" t="n"/>
      <c r="Z725" s="110" t="n"/>
    </row>
    <row r="726">
      <c r="A726" s="110" t="n"/>
      <c r="B726" s="110" t="n"/>
      <c r="C726" s="110" t="n"/>
      <c r="D726" s="110" t="n"/>
      <c r="E726" s="110" t="n"/>
      <c r="F726" s="110" t="n"/>
      <c r="G726" s="110" t="n"/>
      <c r="H726" s="110" t="n"/>
      <c r="I726" s="110" t="n"/>
      <c r="J726" s="110" t="n"/>
      <c r="K726" s="110" t="n"/>
      <c r="L726" s="110" t="n"/>
      <c r="M726" s="110" t="n"/>
      <c r="N726" s="110" t="n"/>
      <c r="O726" s="110" t="n"/>
      <c r="P726" s="110" t="n"/>
      <c r="Q726" s="110" t="n"/>
      <c r="R726" s="110" t="n"/>
      <c r="S726" s="110" t="n"/>
      <c r="T726" s="110" t="n"/>
      <c r="U726" s="110" t="n"/>
      <c r="V726" s="110" t="n"/>
      <c r="W726" s="110" t="n"/>
      <c r="X726" s="110" t="n"/>
      <c r="Y726" s="110" t="n"/>
      <c r="Z726" s="110" t="n"/>
    </row>
    <row r="727">
      <c r="A727" s="110" t="n"/>
      <c r="B727" s="110" t="n"/>
      <c r="C727" s="110" t="n"/>
      <c r="D727" s="110" t="n"/>
      <c r="E727" s="110" t="n"/>
      <c r="F727" s="110" t="n"/>
      <c r="G727" s="110" t="n"/>
      <c r="H727" s="110" t="n"/>
      <c r="I727" s="110" t="n"/>
      <c r="J727" s="110" t="n"/>
      <c r="K727" s="110" t="n"/>
      <c r="L727" s="110" t="n"/>
      <c r="M727" s="110" t="n"/>
      <c r="N727" s="110" t="n"/>
      <c r="O727" s="110" t="n"/>
      <c r="P727" s="110" t="n"/>
      <c r="Q727" s="110" t="n"/>
      <c r="R727" s="110" t="n"/>
      <c r="S727" s="110" t="n"/>
      <c r="T727" s="110" t="n"/>
      <c r="U727" s="110" t="n"/>
      <c r="V727" s="110" t="n"/>
      <c r="W727" s="110" t="n"/>
      <c r="X727" s="110" t="n"/>
      <c r="Y727" s="110" t="n"/>
      <c r="Z727" s="110" t="n"/>
    </row>
    <row r="728">
      <c r="A728" s="110" t="n"/>
      <c r="B728" s="110" t="n"/>
      <c r="C728" s="110" t="n"/>
      <c r="D728" s="110" t="n"/>
      <c r="E728" s="110" t="n"/>
      <c r="F728" s="110" t="n"/>
      <c r="G728" s="110" t="n"/>
      <c r="H728" s="110" t="n"/>
      <c r="I728" s="110" t="n"/>
      <c r="J728" s="110" t="n"/>
      <c r="K728" s="110" t="n"/>
      <c r="L728" s="110" t="n"/>
      <c r="M728" s="110" t="n"/>
      <c r="N728" s="110" t="n"/>
      <c r="O728" s="110" t="n"/>
      <c r="P728" s="110" t="n"/>
      <c r="Q728" s="110" t="n"/>
      <c r="R728" s="110" t="n"/>
      <c r="S728" s="110" t="n"/>
      <c r="T728" s="110" t="n"/>
      <c r="U728" s="110" t="n"/>
      <c r="V728" s="110" t="n"/>
      <c r="W728" s="110" t="n"/>
      <c r="X728" s="110" t="n"/>
      <c r="Y728" s="110" t="n"/>
      <c r="Z728" s="110" t="n"/>
    </row>
    <row r="729">
      <c r="A729" s="110" t="n"/>
      <c r="B729" s="110" t="n"/>
      <c r="C729" s="110" t="n"/>
      <c r="D729" s="110" t="n"/>
      <c r="E729" s="110" t="n"/>
      <c r="F729" s="110" t="n"/>
      <c r="G729" s="110" t="n"/>
      <c r="H729" s="110" t="n"/>
      <c r="I729" s="110" t="n"/>
      <c r="J729" s="110" t="n"/>
      <c r="K729" s="110" t="n"/>
      <c r="L729" s="110" t="n"/>
      <c r="M729" s="110" t="n"/>
      <c r="N729" s="110" t="n"/>
      <c r="O729" s="110" t="n"/>
      <c r="P729" s="110" t="n"/>
      <c r="Q729" s="110" t="n"/>
      <c r="R729" s="110" t="n"/>
      <c r="S729" s="110" t="n"/>
      <c r="T729" s="110" t="n"/>
      <c r="U729" s="110" t="n"/>
      <c r="V729" s="110" t="n"/>
      <c r="W729" s="110" t="n"/>
      <c r="X729" s="110" t="n"/>
      <c r="Y729" s="110" t="n"/>
      <c r="Z729" s="110" t="n"/>
    </row>
    <row r="730">
      <c r="A730" s="110" t="n"/>
      <c r="B730" s="110" t="n"/>
      <c r="C730" s="110" t="n"/>
      <c r="D730" s="110" t="n"/>
      <c r="E730" s="110" t="n"/>
      <c r="F730" s="110" t="n"/>
      <c r="G730" s="110" t="n"/>
      <c r="H730" s="110" t="n"/>
      <c r="I730" s="110" t="n"/>
      <c r="J730" s="110" t="n"/>
      <c r="K730" s="110" t="n"/>
      <c r="L730" s="110" t="n"/>
      <c r="M730" s="110" t="n"/>
      <c r="N730" s="110" t="n"/>
      <c r="O730" s="110" t="n"/>
      <c r="P730" s="110" t="n"/>
      <c r="Q730" s="110" t="n"/>
      <c r="R730" s="110" t="n"/>
      <c r="S730" s="110" t="n"/>
      <c r="T730" s="110" t="n"/>
      <c r="U730" s="110" t="n"/>
      <c r="V730" s="110" t="n"/>
      <c r="W730" s="110" t="n"/>
      <c r="X730" s="110" t="n"/>
      <c r="Y730" s="110" t="n"/>
      <c r="Z730" s="110" t="n"/>
    </row>
    <row r="731">
      <c r="A731" s="110" t="n"/>
      <c r="B731" s="110" t="n"/>
      <c r="C731" s="110" t="n"/>
      <c r="D731" s="110" t="n"/>
      <c r="E731" s="110" t="n"/>
      <c r="F731" s="110" t="n"/>
      <c r="G731" s="110" t="n"/>
      <c r="H731" s="110" t="n"/>
      <c r="I731" s="110" t="n"/>
      <c r="J731" s="110" t="n"/>
      <c r="K731" s="110" t="n"/>
      <c r="L731" s="110" t="n"/>
      <c r="M731" s="110" t="n"/>
      <c r="N731" s="110" t="n"/>
      <c r="O731" s="110" t="n"/>
      <c r="P731" s="110" t="n"/>
      <c r="Q731" s="110" t="n"/>
      <c r="R731" s="110" t="n"/>
      <c r="S731" s="110" t="n"/>
      <c r="T731" s="110" t="n"/>
      <c r="U731" s="110" t="n"/>
      <c r="V731" s="110" t="n"/>
      <c r="W731" s="110" t="n"/>
      <c r="X731" s="110" t="n"/>
      <c r="Y731" s="110" t="n"/>
      <c r="Z731" s="110" t="n"/>
    </row>
    <row r="732">
      <c r="A732" s="110" t="n"/>
      <c r="B732" s="110" t="n"/>
      <c r="C732" s="110" t="n"/>
      <c r="D732" s="110" t="n"/>
      <c r="E732" s="110" t="n"/>
      <c r="F732" s="110" t="n"/>
      <c r="G732" s="110" t="n"/>
      <c r="H732" s="110" t="n"/>
      <c r="I732" s="110" t="n"/>
      <c r="J732" s="110" t="n"/>
      <c r="K732" s="110" t="n"/>
      <c r="L732" s="110" t="n"/>
      <c r="M732" s="110" t="n"/>
      <c r="N732" s="110" t="n"/>
      <c r="O732" s="110" t="n"/>
      <c r="P732" s="110" t="n"/>
      <c r="Q732" s="110" t="n"/>
      <c r="R732" s="110" t="n"/>
      <c r="S732" s="110" t="n"/>
      <c r="T732" s="110" t="n"/>
      <c r="U732" s="110" t="n"/>
      <c r="V732" s="110" t="n"/>
      <c r="W732" s="110" t="n"/>
      <c r="X732" s="110" t="n"/>
      <c r="Y732" s="110" t="n"/>
      <c r="Z732" s="110" t="n"/>
    </row>
    <row r="733">
      <c r="A733" s="110" t="n"/>
      <c r="B733" s="110" t="n"/>
      <c r="C733" s="110" t="n"/>
      <c r="D733" s="110" t="n"/>
      <c r="E733" s="110" t="n"/>
      <c r="F733" s="110" t="n"/>
      <c r="G733" s="110" t="n"/>
      <c r="H733" s="110" t="n"/>
      <c r="I733" s="110" t="n"/>
      <c r="J733" s="110" t="n"/>
      <c r="K733" s="110" t="n"/>
      <c r="L733" s="110" t="n"/>
      <c r="M733" s="110" t="n"/>
      <c r="N733" s="110" t="n"/>
      <c r="O733" s="110" t="n"/>
      <c r="P733" s="110" t="n"/>
      <c r="Q733" s="110" t="n"/>
      <c r="R733" s="110" t="n"/>
      <c r="S733" s="110" t="n"/>
      <c r="T733" s="110" t="n"/>
      <c r="U733" s="110" t="n"/>
      <c r="V733" s="110" t="n"/>
      <c r="W733" s="110" t="n"/>
      <c r="X733" s="110" t="n"/>
      <c r="Y733" s="110" t="n"/>
      <c r="Z733" s="110" t="n"/>
    </row>
    <row r="734">
      <c r="A734" s="110" t="n"/>
      <c r="B734" s="110" t="n"/>
      <c r="C734" s="110" t="n"/>
      <c r="D734" s="110" t="n"/>
      <c r="E734" s="110" t="n"/>
      <c r="F734" s="110" t="n"/>
      <c r="G734" s="110" t="n"/>
      <c r="H734" s="110" t="n"/>
      <c r="I734" s="110" t="n"/>
      <c r="J734" s="110" t="n"/>
      <c r="K734" s="110" t="n"/>
      <c r="L734" s="110" t="n"/>
      <c r="M734" s="110" t="n"/>
      <c r="N734" s="110" t="n"/>
      <c r="O734" s="110" t="n"/>
      <c r="P734" s="110" t="n"/>
      <c r="Q734" s="110" t="n"/>
      <c r="R734" s="110" t="n"/>
      <c r="S734" s="110" t="n"/>
      <c r="T734" s="110" t="n"/>
      <c r="U734" s="110" t="n"/>
      <c r="V734" s="110" t="n"/>
      <c r="W734" s="110" t="n"/>
      <c r="X734" s="110" t="n"/>
      <c r="Y734" s="110" t="n"/>
      <c r="Z734" s="110" t="n"/>
    </row>
    <row r="735">
      <c r="A735" s="110" t="n"/>
      <c r="B735" s="110" t="n"/>
      <c r="C735" s="110" t="n"/>
      <c r="D735" s="110" t="n"/>
      <c r="E735" s="110" t="n"/>
      <c r="F735" s="110" t="n"/>
      <c r="G735" s="110" t="n"/>
      <c r="H735" s="110" t="n"/>
      <c r="I735" s="110" t="n"/>
      <c r="J735" s="110" t="n"/>
      <c r="K735" s="110" t="n"/>
      <c r="L735" s="110" t="n"/>
      <c r="M735" s="110" t="n"/>
      <c r="N735" s="110" t="n"/>
      <c r="O735" s="110" t="n"/>
      <c r="P735" s="110" t="n"/>
      <c r="Q735" s="110" t="n"/>
      <c r="R735" s="110" t="n"/>
      <c r="S735" s="110" t="n"/>
      <c r="T735" s="110" t="n"/>
      <c r="U735" s="110" t="n"/>
      <c r="V735" s="110" t="n"/>
      <c r="W735" s="110" t="n"/>
      <c r="X735" s="110" t="n"/>
      <c r="Y735" s="110" t="n"/>
      <c r="Z735" s="110" t="n"/>
    </row>
    <row r="736">
      <c r="A736" s="110" t="n"/>
      <c r="B736" s="110" t="n"/>
      <c r="C736" s="110" t="n"/>
      <c r="D736" s="110" t="n"/>
      <c r="E736" s="110" t="n"/>
      <c r="F736" s="110" t="n"/>
      <c r="G736" s="110" t="n"/>
      <c r="H736" s="110" t="n"/>
      <c r="I736" s="110" t="n"/>
      <c r="J736" s="110" t="n"/>
      <c r="K736" s="110" t="n"/>
      <c r="L736" s="110" t="n"/>
      <c r="M736" s="110" t="n"/>
      <c r="N736" s="110" t="n"/>
      <c r="O736" s="110" t="n"/>
      <c r="P736" s="110" t="n"/>
      <c r="Q736" s="110" t="n"/>
      <c r="R736" s="110" t="n"/>
      <c r="S736" s="110" t="n"/>
      <c r="T736" s="110" t="n"/>
      <c r="U736" s="110" t="n"/>
      <c r="V736" s="110" t="n"/>
      <c r="W736" s="110" t="n"/>
      <c r="X736" s="110" t="n"/>
      <c r="Y736" s="110" t="n"/>
      <c r="Z736" s="110" t="n"/>
    </row>
    <row r="737">
      <c r="A737" s="110" t="n"/>
      <c r="B737" s="110" t="n"/>
      <c r="C737" s="110" t="n"/>
      <c r="D737" s="110" t="n"/>
      <c r="E737" s="110" t="n"/>
      <c r="F737" s="110" t="n"/>
      <c r="G737" s="110" t="n"/>
      <c r="H737" s="110" t="n"/>
      <c r="I737" s="110" t="n"/>
      <c r="J737" s="110" t="n"/>
      <c r="K737" s="110" t="n"/>
      <c r="L737" s="110" t="n"/>
      <c r="M737" s="110" t="n"/>
      <c r="N737" s="110" t="n"/>
      <c r="O737" s="110" t="n"/>
      <c r="P737" s="110" t="n"/>
      <c r="Q737" s="110" t="n"/>
      <c r="R737" s="110" t="n"/>
      <c r="S737" s="110" t="n"/>
      <c r="T737" s="110" t="n"/>
      <c r="U737" s="110" t="n"/>
      <c r="V737" s="110" t="n"/>
      <c r="W737" s="110" t="n"/>
      <c r="X737" s="110" t="n"/>
      <c r="Y737" s="110" t="n"/>
      <c r="Z737" s="110" t="n"/>
    </row>
    <row r="738">
      <c r="A738" s="110" t="n"/>
      <c r="B738" s="110" t="n"/>
      <c r="C738" s="110" t="n"/>
      <c r="D738" s="110" t="n"/>
      <c r="E738" s="110" t="n"/>
      <c r="F738" s="110" t="n"/>
      <c r="G738" s="110" t="n"/>
      <c r="H738" s="110" t="n"/>
      <c r="I738" s="110" t="n"/>
      <c r="J738" s="110" t="n"/>
      <c r="K738" s="110" t="n"/>
      <c r="L738" s="110" t="n"/>
      <c r="M738" s="110" t="n"/>
      <c r="N738" s="110" t="n"/>
      <c r="O738" s="110" t="n"/>
      <c r="P738" s="110" t="n"/>
      <c r="Q738" s="110" t="n"/>
      <c r="R738" s="110" t="n"/>
      <c r="S738" s="110" t="n"/>
      <c r="T738" s="110" t="n"/>
      <c r="U738" s="110" t="n"/>
      <c r="V738" s="110" t="n"/>
      <c r="W738" s="110" t="n"/>
      <c r="X738" s="110" t="n"/>
      <c r="Y738" s="110" t="n"/>
      <c r="Z738" s="110" t="n"/>
    </row>
    <row r="739">
      <c r="A739" s="110" t="n"/>
      <c r="B739" s="110" t="n"/>
      <c r="C739" s="110" t="n"/>
      <c r="D739" s="110" t="n"/>
      <c r="E739" s="110" t="n"/>
      <c r="F739" s="110" t="n"/>
      <c r="G739" s="110" t="n"/>
      <c r="H739" s="110" t="n"/>
      <c r="I739" s="110" t="n"/>
      <c r="J739" s="110" t="n"/>
      <c r="K739" s="110" t="n"/>
      <c r="L739" s="110" t="n"/>
      <c r="M739" s="110" t="n"/>
      <c r="N739" s="110" t="n"/>
      <c r="O739" s="110" t="n"/>
      <c r="P739" s="110" t="n"/>
      <c r="Q739" s="110" t="n"/>
      <c r="R739" s="110" t="n"/>
      <c r="S739" s="110" t="n"/>
      <c r="T739" s="110" t="n"/>
      <c r="U739" s="110" t="n"/>
      <c r="V739" s="110" t="n"/>
      <c r="W739" s="110" t="n"/>
      <c r="X739" s="110" t="n"/>
      <c r="Y739" s="110" t="n"/>
      <c r="Z739" s="110" t="n"/>
    </row>
    <row r="740">
      <c r="A740" s="110" t="n"/>
      <c r="B740" s="110" t="n"/>
      <c r="C740" s="110" t="n"/>
      <c r="D740" s="110" t="n"/>
      <c r="E740" s="110" t="n"/>
      <c r="F740" s="110" t="n"/>
      <c r="G740" s="110" t="n"/>
      <c r="H740" s="110" t="n"/>
      <c r="I740" s="110" t="n"/>
      <c r="J740" s="110" t="n"/>
      <c r="K740" s="110" t="n"/>
      <c r="L740" s="110" t="n"/>
      <c r="M740" s="110" t="n"/>
      <c r="N740" s="110" t="n"/>
      <c r="O740" s="110" t="n"/>
      <c r="P740" s="110" t="n"/>
      <c r="Q740" s="110" t="n"/>
      <c r="R740" s="110" t="n"/>
      <c r="S740" s="110" t="n"/>
      <c r="T740" s="110" t="n"/>
      <c r="U740" s="110" t="n"/>
      <c r="V740" s="110" t="n"/>
      <c r="W740" s="110" t="n"/>
      <c r="X740" s="110" t="n"/>
      <c r="Y740" s="110" t="n"/>
      <c r="Z740" s="110" t="n"/>
    </row>
    <row r="741">
      <c r="A741" s="110" t="n"/>
      <c r="B741" s="110" t="n"/>
      <c r="C741" s="110" t="n"/>
      <c r="D741" s="110" t="n"/>
      <c r="E741" s="110" t="n"/>
      <c r="F741" s="110" t="n"/>
      <c r="G741" s="110" t="n"/>
      <c r="H741" s="110" t="n"/>
      <c r="I741" s="110" t="n"/>
      <c r="J741" s="110" t="n"/>
      <c r="K741" s="110" t="n"/>
      <c r="L741" s="110" t="n"/>
      <c r="M741" s="110" t="n"/>
      <c r="N741" s="110" t="n"/>
      <c r="O741" s="110" t="n"/>
      <c r="P741" s="110" t="n"/>
      <c r="Q741" s="110" t="n"/>
      <c r="R741" s="110" t="n"/>
      <c r="S741" s="110" t="n"/>
      <c r="T741" s="110" t="n"/>
      <c r="U741" s="110" t="n"/>
      <c r="V741" s="110" t="n"/>
      <c r="W741" s="110" t="n"/>
      <c r="X741" s="110" t="n"/>
      <c r="Y741" s="110" t="n"/>
      <c r="Z741" s="110" t="n"/>
    </row>
    <row r="742">
      <c r="A742" s="110" t="n"/>
      <c r="B742" s="110" t="n"/>
      <c r="C742" s="110" t="n"/>
      <c r="D742" s="110" t="n"/>
      <c r="E742" s="110" t="n"/>
      <c r="F742" s="110" t="n"/>
      <c r="G742" s="110" t="n"/>
      <c r="H742" s="110" t="n"/>
      <c r="I742" s="110" t="n"/>
      <c r="J742" s="110" t="n"/>
      <c r="K742" s="110" t="n"/>
      <c r="L742" s="110" t="n"/>
      <c r="M742" s="110" t="n"/>
      <c r="N742" s="110" t="n"/>
      <c r="O742" s="110" t="n"/>
      <c r="P742" s="110" t="n"/>
      <c r="Q742" s="110" t="n"/>
      <c r="R742" s="110" t="n"/>
      <c r="S742" s="110" t="n"/>
      <c r="T742" s="110" t="n"/>
      <c r="U742" s="110" t="n"/>
      <c r="V742" s="110" t="n"/>
      <c r="W742" s="110" t="n"/>
      <c r="X742" s="110" t="n"/>
      <c r="Y742" s="110" t="n"/>
      <c r="Z742" s="110" t="n"/>
    </row>
    <row r="743">
      <c r="A743" s="110" t="n"/>
      <c r="B743" s="110" t="n"/>
      <c r="C743" s="110" t="n"/>
      <c r="D743" s="110" t="n"/>
      <c r="E743" s="110" t="n"/>
      <c r="F743" s="110" t="n"/>
      <c r="G743" s="110" t="n"/>
      <c r="H743" s="110" t="n"/>
      <c r="I743" s="110" t="n"/>
      <c r="J743" s="110" t="n"/>
      <c r="K743" s="110" t="n"/>
      <c r="L743" s="110" t="n"/>
      <c r="M743" s="110" t="n"/>
      <c r="N743" s="110" t="n"/>
      <c r="O743" s="110" t="n"/>
      <c r="P743" s="110" t="n"/>
      <c r="Q743" s="110" t="n"/>
      <c r="R743" s="110" t="n"/>
      <c r="S743" s="110" t="n"/>
      <c r="T743" s="110" t="n"/>
      <c r="U743" s="110" t="n"/>
      <c r="V743" s="110" t="n"/>
      <c r="W743" s="110" t="n"/>
      <c r="X743" s="110" t="n"/>
      <c r="Y743" s="110" t="n"/>
      <c r="Z743" s="110" t="n"/>
    </row>
    <row r="744">
      <c r="A744" s="110" t="n"/>
      <c r="B744" s="110" t="n"/>
      <c r="C744" s="110" t="n"/>
      <c r="D744" s="110" t="n"/>
      <c r="E744" s="110" t="n"/>
      <c r="F744" s="110" t="n"/>
      <c r="G744" s="110" t="n"/>
      <c r="H744" s="110" t="n"/>
      <c r="I744" s="110" t="n"/>
      <c r="J744" s="110" t="n"/>
      <c r="K744" s="110" t="n"/>
      <c r="L744" s="110" t="n"/>
      <c r="M744" s="110" t="n"/>
      <c r="N744" s="110" t="n"/>
      <c r="O744" s="110" t="n"/>
      <c r="P744" s="110" t="n"/>
      <c r="Q744" s="110" t="n"/>
      <c r="R744" s="110" t="n"/>
      <c r="S744" s="110" t="n"/>
      <c r="T744" s="110" t="n"/>
      <c r="U744" s="110" t="n"/>
      <c r="V744" s="110" t="n"/>
      <c r="W744" s="110" t="n"/>
      <c r="X744" s="110" t="n"/>
      <c r="Y744" s="110" t="n"/>
      <c r="Z744" s="110" t="n"/>
    </row>
    <row r="745">
      <c r="A745" s="110" t="n"/>
      <c r="B745" s="110" t="n"/>
      <c r="C745" s="110" t="n"/>
      <c r="D745" s="110" t="n"/>
      <c r="E745" s="110" t="n"/>
      <c r="F745" s="110" t="n"/>
      <c r="G745" s="110" t="n"/>
      <c r="H745" s="110" t="n"/>
      <c r="I745" s="110" t="n"/>
      <c r="J745" s="110" t="n"/>
      <c r="K745" s="110" t="n"/>
      <c r="L745" s="110" t="n"/>
      <c r="M745" s="110" t="n"/>
      <c r="N745" s="110" t="n"/>
      <c r="O745" s="110" t="n"/>
      <c r="P745" s="110" t="n"/>
      <c r="Q745" s="110" t="n"/>
      <c r="R745" s="110" t="n"/>
      <c r="S745" s="110" t="n"/>
      <c r="T745" s="110" t="n"/>
      <c r="U745" s="110" t="n"/>
      <c r="V745" s="110" t="n"/>
      <c r="W745" s="110" t="n"/>
      <c r="X745" s="110" t="n"/>
      <c r="Y745" s="110" t="n"/>
      <c r="Z745" s="110" t="n"/>
    </row>
    <row r="746">
      <c r="A746" s="110" t="n"/>
      <c r="B746" s="110" t="n"/>
      <c r="C746" s="110" t="n"/>
      <c r="D746" s="110" t="n"/>
      <c r="E746" s="110" t="n"/>
      <c r="F746" s="110" t="n"/>
      <c r="G746" s="110" t="n"/>
      <c r="H746" s="110" t="n"/>
      <c r="I746" s="110" t="n"/>
      <c r="J746" s="110" t="n"/>
      <c r="K746" s="110" t="n"/>
      <c r="L746" s="110" t="n"/>
      <c r="M746" s="110" t="n"/>
      <c r="N746" s="110" t="n"/>
      <c r="O746" s="110" t="n"/>
      <c r="P746" s="110" t="n"/>
      <c r="Q746" s="110" t="n"/>
      <c r="R746" s="110" t="n"/>
      <c r="S746" s="110" t="n"/>
      <c r="T746" s="110" t="n"/>
      <c r="U746" s="110" t="n"/>
      <c r="V746" s="110" t="n"/>
      <c r="W746" s="110" t="n"/>
      <c r="X746" s="110" t="n"/>
      <c r="Y746" s="110" t="n"/>
      <c r="Z746" s="110" t="n"/>
    </row>
    <row r="747">
      <c r="A747" s="110" t="n"/>
      <c r="B747" s="110" t="n"/>
      <c r="C747" s="110" t="n"/>
      <c r="D747" s="110" t="n"/>
      <c r="E747" s="110" t="n"/>
      <c r="F747" s="110" t="n"/>
      <c r="G747" s="110" t="n"/>
      <c r="H747" s="110" t="n"/>
      <c r="I747" s="110" t="n"/>
      <c r="J747" s="110" t="n"/>
      <c r="K747" s="110" t="n"/>
      <c r="L747" s="110" t="n"/>
      <c r="M747" s="110" t="n"/>
      <c r="N747" s="110" t="n"/>
      <c r="O747" s="110" t="n"/>
      <c r="P747" s="110" t="n"/>
      <c r="Q747" s="110" t="n"/>
      <c r="R747" s="110" t="n"/>
      <c r="S747" s="110" t="n"/>
      <c r="T747" s="110" t="n"/>
      <c r="U747" s="110" t="n"/>
      <c r="V747" s="110" t="n"/>
      <c r="W747" s="110" t="n"/>
      <c r="X747" s="110" t="n"/>
      <c r="Y747" s="110" t="n"/>
      <c r="Z747" s="110" t="n"/>
    </row>
    <row r="748">
      <c r="A748" s="110" t="n"/>
      <c r="B748" s="110" t="n"/>
      <c r="C748" s="110" t="n"/>
      <c r="D748" s="110" t="n"/>
      <c r="E748" s="110" t="n"/>
      <c r="F748" s="110" t="n"/>
      <c r="G748" s="110" t="n"/>
      <c r="H748" s="110" t="n"/>
      <c r="I748" s="110" t="n"/>
      <c r="J748" s="110" t="n"/>
      <c r="K748" s="110" t="n"/>
      <c r="L748" s="110" t="n"/>
      <c r="M748" s="110" t="n"/>
      <c r="N748" s="110" t="n"/>
      <c r="O748" s="110" t="n"/>
      <c r="P748" s="110" t="n"/>
      <c r="Q748" s="110" t="n"/>
      <c r="R748" s="110" t="n"/>
      <c r="S748" s="110" t="n"/>
      <c r="T748" s="110" t="n"/>
      <c r="U748" s="110" t="n"/>
      <c r="V748" s="110" t="n"/>
      <c r="W748" s="110" t="n"/>
      <c r="X748" s="110" t="n"/>
      <c r="Y748" s="110" t="n"/>
      <c r="Z748" s="110" t="n"/>
    </row>
    <row r="749">
      <c r="A749" s="110" t="n"/>
      <c r="B749" s="110" t="n"/>
      <c r="C749" s="110" t="n"/>
      <c r="D749" s="110" t="n"/>
      <c r="E749" s="110" t="n"/>
      <c r="F749" s="110" t="n"/>
      <c r="G749" s="110" t="n"/>
      <c r="H749" s="110" t="n"/>
      <c r="I749" s="110" t="n"/>
      <c r="J749" s="110" t="n"/>
      <c r="K749" s="110" t="n"/>
      <c r="L749" s="110" t="n"/>
      <c r="M749" s="110" t="n"/>
      <c r="N749" s="110" t="n"/>
      <c r="O749" s="110" t="n"/>
      <c r="P749" s="110" t="n"/>
      <c r="Q749" s="110" t="n"/>
      <c r="R749" s="110" t="n"/>
      <c r="S749" s="110" t="n"/>
      <c r="T749" s="110" t="n"/>
      <c r="U749" s="110" t="n"/>
      <c r="V749" s="110" t="n"/>
      <c r="W749" s="110" t="n"/>
      <c r="X749" s="110" t="n"/>
      <c r="Y749" s="110" t="n"/>
      <c r="Z749" s="110" t="n"/>
    </row>
    <row r="750">
      <c r="A750" s="110" t="n"/>
      <c r="B750" s="110" t="n"/>
      <c r="C750" s="110" t="n"/>
      <c r="D750" s="110" t="n"/>
      <c r="E750" s="110" t="n"/>
      <c r="F750" s="110" t="n"/>
      <c r="G750" s="110" t="n"/>
      <c r="H750" s="110" t="n"/>
      <c r="I750" s="110" t="n"/>
      <c r="J750" s="110" t="n"/>
      <c r="K750" s="110" t="n"/>
      <c r="L750" s="110" t="n"/>
      <c r="M750" s="110" t="n"/>
      <c r="N750" s="110" t="n"/>
      <c r="O750" s="110" t="n"/>
      <c r="P750" s="110" t="n"/>
      <c r="Q750" s="110" t="n"/>
      <c r="R750" s="110" t="n"/>
      <c r="S750" s="110" t="n"/>
      <c r="T750" s="110" t="n"/>
      <c r="U750" s="110" t="n"/>
      <c r="V750" s="110" t="n"/>
      <c r="W750" s="110" t="n"/>
      <c r="X750" s="110" t="n"/>
      <c r="Y750" s="110" t="n"/>
      <c r="Z750" s="110" t="n"/>
    </row>
    <row r="751">
      <c r="A751" s="110" t="n"/>
      <c r="B751" s="110" t="n"/>
      <c r="C751" s="110" t="n"/>
      <c r="D751" s="110" t="n"/>
      <c r="E751" s="110" t="n"/>
      <c r="F751" s="110" t="n"/>
      <c r="G751" s="110" t="n"/>
      <c r="H751" s="110" t="n"/>
      <c r="I751" s="110" t="n"/>
      <c r="J751" s="110" t="n"/>
      <c r="K751" s="110" t="n"/>
      <c r="L751" s="110" t="n"/>
      <c r="M751" s="110" t="n"/>
      <c r="N751" s="110" t="n"/>
      <c r="O751" s="110" t="n"/>
      <c r="P751" s="110" t="n"/>
      <c r="Q751" s="110" t="n"/>
      <c r="R751" s="110" t="n"/>
      <c r="S751" s="110" t="n"/>
      <c r="T751" s="110" t="n"/>
      <c r="U751" s="110" t="n"/>
      <c r="V751" s="110" t="n"/>
      <c r="W751" s="110" t="n"/>
      <c r="X751" s="110" t="n"/>
      <c r="Y751" s="110" t="n"/>
      <c r="Z751" s="110" t="n"/>
    </row>
    <row r="752">
      <c r="A752" s="110" t="n"/>
      <c r="B752" s="110" t="n"/>
      <c r="C752" s="110" t="n"/>
      <c r="D752" s="110" t="n"/>
      <c r="E752" s="110" t="n"/>
      <c r="F752" s="110" t="n"/>
      <c r="G752" s="110" t="n"/>
      <c r="H752" s="110" t="n"/>
      <c r="I752" s="110" t="n"/>
      <c r="J752" s="110" t="n"/>
      <c r="K752" s="110" t="n"/>
      <c r="L752" s="110" t="n"/>
      <c r="M752" s="110" t="n"/>
      <c r="N752" s="110" t="n"/>
      <c r="O752" s="110" t="n"/>
      <c r="P752" s="110" t="n"/>
      <c r="Q752" s="110" t="n"/>
      <c r="R752" s="110" t="n"/>
      <c r="S752" s="110" t="n"/>
      <c r="T752" s="110" t="n"/>
      <c r="U752" s="110" t="n"/>
      <c r="V752" s="110" t="n"/>
      <c r="W752" s="110" t="n"/>
      <c r="X752" s="110" t="n"/>
      <c r="Y752" s="110" t="n"/>
      <c r="Z752" s="110" t="n"/>
    </row>
    <row r="753">
      <c r="A753" s="110" t="n"/>
      <c r="B753" s="110" t="n"/>
      <c r="C753" s="110" t="n"/>
      <c r="D753" s="110" t="n"/>
      <c r="E753" s="110" t="n"/>
      <c r="F753" s="110" t="n"/>
      <c r="G753" s="110" t="n"/>
      <c r="H753" s="110" t="n"/>
      <c r="I753" s="110" t="n"/>
      <c r="J753" s="110" t="n"/>
      <c r="K753" s="110" t="n"/>
      <c r="L753" s="110" t="n"/>
      <c r="M753" s="110" t="n"/>
      <c r="N753" s="110" t="n"/>
      <c r="O753" s="110" t="n"/>
      <c r="P753" s="110" t="n"/>
      <c r="Q753" s="110" t="n"/>
      <c r="R753" s="110" t="n"/>
      <c r="S753" s="110" t="n"/>
      <c r="T753" s="110" t="n"/>
      <c r="U753" s="110" t="n"/>
      <c r="V753" s="110" t="n"/>
      <c r="W753" s="110" t="n"/>
      <c r="X753" s="110" t="n"/>
      <c r="Y753" s="110" t="n"/>
      <c r="Z753" s="110" t="n"/>
    </row>
    <row r="754">
      <c r="A754" s="110" t="n"/>
      <c r="B754" s="110" t="n"/>
      <c r="C754" s="110" t="n"/>
      <c r="D754" s="110" t="n"/>
      <c r="E754" s="110" t="n"/>
      <c r="F754" s="110" t="n"/>
      <c r="G754" s="110" t="n"/>
      <c r="H754" s="110" t="n"/>
      <c r="I754" s="110" t="n"/>
      <c r="J754" s="110" t="n"/>
      <c r="K754" s="110" t="n"/>
      <c r="L754" s="110" t="n"/>
      <c r="M754" s="110" t="n"/>
      <c r="N754" s="110" t="n"/>
      <c r="O754" s="110" t="n"/>
      <c r="P754" s="110" t="n"/>
      <c r="Q754" s="110" t="n"/>
      <c r="R754" s="110" t="n"/>
      <c r="S754" s="110" t="n"/>
      <c r="T754" s="110" t="n"/>
      <c r="U754" s="110" t="n"/>
      <c r="V754" s="110" t="n"/>
      <c r="W754" s="110" t="n"/>
      <c r="X754" s="110" t="n"/>
      <c r="Y754" s="110" t="n"/>
      <c r="Z754" s="110" t="n"/>
    </row>
    <row r="755">
      <c r="A755" s="110" t="n"/>
      <c r="B755" s="110" t="n"/>
      <c r="C755" s="110" t="n"/>
      <c r="D755" s="110" t="n"/>
      <c r="E755" s="110" t="n"/>
      <c r="F755" s="110" t="n"/>
      <c r="G755" s="110" t="n"/>
      <c r="H755" s="110" t="n"/>
      <c r="I755" s="110" t="n"/>
      <c r="J755" s="110" t="n"/>
      <c r="K755" s="110" t="n"/>
      <c r="L755" s="110" t="n"/>
      <c r="M755" s="110" t="n"/>
      <c r="N755" s="110" t="n"/>
      <c r="O755" s="110" t="n"/>
      <c r="P755" s="110" t="n"/>
      <c r="Q755" s="110" t="n"/>
      <c r="R755" s="110" t="n"/>
      <c r="S755" s="110" t="n"/>
      <c r="T755" s="110" t="n"/>
      <c r="U755" s="110" t="n"/>
      <c r="V755" s="110" t="n"/>
      <c r="W755" s="110" t="n"/>
      <c r="X755" s="110" t="n"/>
      <c r="Y755" s="110" t="n"/>
      <c r="Z755" s="110" t="n"/>
    </row>
    <row r="756">
      <c r="A756" s="110" t="n"/>
      <c r="B756" s="110" t="n"/>
      <c r="C756" s="110" t="n"/>
      <c r="D756" s="110" t="n"/>
      <c r="E756" s="110" t="n"/>
      <c r="F756" s="110" t="n"/>
      <c r="G756" s="110" t="n"/>
      <c r="H756" s="110" t="n"/>
      <c r="I756" s="110" t="n"/>
      <c r="J756" s="110" t="n"/>
      <c r="K756" s="110" t="n"/>
      <c r="L756" s="110" t="n"/>
      <c r="M756" s="110" t="n"/>
      <c r="N756" s="110" t="n"/>
      <c r="O756" s="110" t="n"/>
      <c r="P756" s="110" t="n"/>
      <c r="Q756" s="110" t="n"/>
      <c r="R756" s="110" t="n"/>
      <c r="S756" s="110" t="n"/>
      <c r="T756" s="110" t="n"/>
      <c r="U756" s="110" t="n"/>
      <c r="V756" s="110" t="n"/>
      <c r="W756" s="110" t="n"/>
      <c r="X756" s="110" t="n"/>
      <c r="Y756" s="110" t="n"/>
      <c r="Z756" s="110" t="n"/>
    </row>
    <row r="757">
      <c r="A757" s="110" t="n"/>
      <c r="B757" s="110" t="n"/>
      <c r="C757" s="110" t="n"/>
      <c r="D757" s="110" t="n"/>
      <c r="E757" s="110" t="n"/>
      <c r="F757" s="110" t="n"/>
      <c r="G757" s="110" t="n"/>
      <c r="H757" s="110" t="n"/>
      <c r="I757" s="110" t="n"/>
      <c r="J757" s="110" t="n"/>
      <c r="K757" s="110" t="n"/>
      <c r="L757" s="110" t="n"/>
      <c r="M757" s="110" t="n"/>
      <c r="N757" s="110" t="n"/>
      <c r="O757" s="110" t="n"/>
      <c r="P757" s="110" t="n"/>
      <c r="Q757" s="110" t="n"/>
      <c r="R757" s="110" t="n"/>
      <c r="S757" s="110" t="n"/>
      <c r="T757" s="110" t="n"/>
      <c r="U757" s="110" t="n"/>
      <c r="V757" s="110" t="n"/>
      <c r="W757" s="110" t="n"/>
      <c r="X757" s="110" t="n"/>
      <c r="Y757" s="110" t="n"/>
      <c r="Z757" s="110" t="n"/>
    </row>
    <row r="758">
      <c r="A758" s="110" t="n"/>
      <c r="B758" s="110" t="n"/>
      <c r="C758" s="110" t="n"/>
      <c r="D758" s="110" t="n"/>
      <c r="E758" s="110" t="n"/>
      <c r="F758" s="110" t="n"/>
      <c r="G758" s="110" t="n"/>
      <c r="H758" s="110" t="n"/>
      <c r="I758" s="110" t="n"/>
      <c r="J758" s="110" t="n"/>
      <c r="K758" s="110" t="n"/>
      <c r="L758" s="110" t="n"/>
      <c r="M758" s="110" t="n"/>
      <c r="N758" s="110" t="n"/>
      <c r="O758" s="110" t="n"/>
      <c r="P758" s="110" t="n"/>
      <c r="Q758" s="110" t="n"/>
      <c r="R758" s="110" t="n"/>
      <c r="S758" s="110" t="n"/>
      <c r="T758" s="110" t="n"/>
      <c r="U758" s="110" t="n"/>
      <c r="V758" s="110" t="n"/>
      <c r="W758" s="110" t="n"/>
      <c r="X758" s="110" t="n"/>
      <c r="Y758" s="110" t="n"/>
      <c r="Z758" s="110" t="n"/>
    </row>
    <row r="759">
      <c r="A759" s="110" t="n"/>
      <c r="B759" s="110" t="n"/>
      <c r="C759" s="110" t="n"/>
      <c r="D759" s="110" t="n"/>
      <c r="E759" s="110" t="n"/>
      <c r="F759" s="110" t="n"/>
      <c r="G759" s="110" t="n"/>
      <c r="H759" s="110" t="n"/>
      <c r="I759" s="110" t="n"/>
      <c r="J759" s="110" t="n"/>
      <c r="K759" s="110" t="n"/>
      <c r="L759" s="110" t="n"/>
      <c r="M759" s="110" t="n"/>
      <c r="N759" s="110" t="n"/>
      <c r="O759" s="110" t="n"/>
      <c r="P759" s="110" t="n"/>
      <c r="Q759" s="110" t="n"/>
      <c r="R759" s="110" t="n"/>
      <c r="S759" s="110" t="n"/>
      <c r="T759" s="110" t="n"/>
      <c r="U759" s="110" t="n"/>
      <c r="V759" s="110" t="n"/>
      <c r="W759" s="110" t="n"/>
      <c r="X759" s="110" t="n"/>
      <c r="Y759" s="110" t="n"/>
      <c r="Z759" s="110" t="n"/>
    </row>
    <row r="760">
      <c r="A760" s="110" t="n"/>
      <c r="B760" s="110" t="n"/>
      <c r="C760" s="110" t="n"/>
      <c r="D760" s="110" t="n"/>
      <c r="E760" s="110" t="n"/>
      <c r="F760" s="110" t="n"/>
      <c r="G760" s="110" t="n"/>
      <c r="H760" s="110" t="n"/>
      <c r="I760" s="110" t="n"/>
      <c r="J760" s="110" t="n"/>
      <c r="K760" s="110" t="n"/>
      <c r="L760" s="110" t="n"/>
      <c r="M760" s="110" t="n"/>
      <c r="N760" s="110" t="n"/>
      <c r="O760" s="110" t="n"/>
      <c r="P760" s="110" t="n"/>
      <c r="Q760" s="110" t="n"/>
      <c r="R760" s="110" t="n"/>
      <c r="S760" s="110" t="n"/>
      <c r="T760" s="110" t="n"/>
      <c r="U760" s="110" t="n"/>
      <c r="V760" s="110" t="n"/>
      <c r="W760" s="110" t="n"/>
      <c r="X760" s="110" t="n"/>
      <c r="Y760" s="110" t="n"/>
      <c r="Z760" s="110" t="n"/>
    </row>
    <row r="761">
      <c r="A761" s="110" t="n"/>
      <c r="B761" s="110" t="n"/>
      <c r="C761" s="110" t="n"/>
      <c r="D761" s="110" t="n"/>
      <c r="E761" s="110" t="n"/>
      <c r="F761" s="110" t="n"/>
      <c r="G761" s="110" t="n"/>
      <c r="H761" s="110" t="n"/>
      <c r="I761" s="110" t="n"/>
      <c r="J761" s="110" t="n"/>
      <c r="K761" s="110" t="n"/>
      <c r="L761" s="110" t="n"/>
      <c r="M761" s="110" t="n"/>
      <c r="N761" s="110" t="n"/>
      <c r="O761" s="110" t="n"/>
      <c r="P761" s="110" t="n"/>
      <c r="Q761" s="110" t="n"/>
      <c r="R761" s="110" t="n"/>
      <c r="S761" s="110" t="n"/>
      <c r="T761" s="110" t="n"/>
      <c r="U761" s="110" t="n"/>
      <c r="V761" s="110" t="n"/>
      <c r="W761" s="110" t="n"/>
      <c r="X761" s="110" t="n"/>
      <c r="Y761" s="110" t="n"/>
      <c r="Z761" s="110" t="n"/>
    </row>
    <row r="762">
      <c r="A762" s="110" t="n"/>
      <c r="B762" s="110" t="n"/>
      <c r="C762" s="110" t="n"/>
      <c r="D762" s="110" t="n"/>
      <c r="E762" s="110" t="n"/>
      <c r="F762" s="110" t="n"/>
      <c r="G762" s="110" t="n"/>
      <c r="H762" s="110" t="n"/>
      <c r="I762" s="110" t="n"/>
      <c r="J762" s="110" t="n"/>
      <c r="K762" s="110" t="n"/>
      <c r="L762" s="110" t="n"/>
      <c r="M762" s="110" t="n"/>
      <c r="N762" s="110" t="n"/>
      <c r="O762" s="110" t="n"/>
      <c r="P762" s="110" t="n"/>
      <c r="Q762" s="110" t="n"/>
      <c r="R762" s="110" t="n"/>
      <c r="S762" s="110" t="n"/>
      <c r="T762" s="110" t="n"/>
      <c r="U762" s="110" t="n"/>
      <c r="V762" s="110" t="n"/>
      <c r="W762" s="110" t="n"/>
      <c r="X762" s="110" t="n"/>
      <c r="Y762" s="110" t="n"/>
      <c r="Z762" s="110" t="n"/>
    </row>
    <row r="763">
      <c r="A763" s="110" t="n"/>
      <c r="B763" s="110" t="n"/>
      <c r="C763" s="110" t="n"/>
      <c r="D763" s="110" t="n"/>
      <c r="E763" s="110" t="n"/>
      <c r="F763" s="110" t="n"/>
      <c r="G763" s="110" t="n"/>
      <c r="H763" s="110" t="n"/>
      <c r="I763" s="110" t="n"/>
      <c r="J763" s="110" t="n"/>
      <c r="K763" s="110" t="n"/>
      <c r="L763" s="110" t="n"/>
      <c r="M763" s="110" t="n"/>
      <c r="N763" s="110" t="n"/>
      <c r="O763" s="110" t="n"/>
      <c r="P763" s="110" t="n"/>
      <c r="Q763" s="110" t="n"/>
      <c r="R763" s="110" t="n"/>
      <c r="S763" s="110" t="n"/>
      <c r="T763" s="110" t="n"/>
      <c r="U763" s="110" t="n"/>
      <c r="V763" s="110" t="n"/>
      <c r="W763" s="110" t="n"/>
      <c r="X763" s="110" t="n"/>
      <c r="Y763" s="110" t="n"/>
      <c r="Z763" s="110" t="n"/>
    </row>
    <row r="764">
      <c r="A764" s="110" t="n"/>
      <c r="B764" s="110" t="n"/>
      <c r="C764" s="110" t="n"/>
      <c r="D764" s="110" t="n"/>
      <c r="E764" s="110" t="n"/>
      <c r="F764" s="110" t="n"/>
      <c r="G764" s="110" t="n"/>
      <c r="H764" s="110" t="n"/>
      <c r="I764" s="110" t="n"/>
      <c r="J764" s="110" t="n"/>
      <c r="K764" s="110" t="n"/>
      <c r="L764" s="110" t="n"/>
      <c r="M764" s="110" t="n"/>
      <c r="N764" s="110" t="n"/>
      <c r="O764" s="110" t="n"/>
      <c r="P764" s="110" t="n"/>
      <c r="Q764" s="110" t="n"/>
      <c r="R764" s="110" t="n"/>
      <c r="S764" s="110" t="n"/>
      <c r="T764" s="110" t="n"/>
      <c r="U764" s="110" t="n"/>
      <c r="V764" s="110" t="n"/>
      <c r="W764" s="110" t="n"/>
      <c r="X764" s="110" t="n"/>
      <c r="Y764" s="110" t="n"/>
      <c r="Z764" s="110" t="n"/>
    </row>
    <row r="765">
      <c r="A765" s="110" t="n"/>
      <c r="B765" s="110" t="n"/>
      <c r="C765" s="110" t="n"/>
      <c r="D765" s="110" t="n"/>
      <c r="E765" s="110" t="n"/>
      <c r="F765" s="110" t="n"/>
      <c r="G765" s="110" t="n"/>
      <c r="H765" s="110" t="n"/>
      <c r="I765" s="110" t="n"/>
      <c r="J765" s="110" t="n"/>
      <c r="K765" s="110" t="n"/>
      <c r="L765" s="110" t="n"/>
      <c r="M765" s="110" t="n"/>
      <c r="N765" s="110" t="n"/>
      <c r="O765" s="110" t="n"/>
      <c r="P765" s="110" t="n"/>
      <c r="Q765" s="110" t="n"/>
      <c r="R765" s="110" t="n"/>
      <c r="S765" s="110" t="n"/>
      <c r="T765" s="110" t="n"/>
      <c r="U765" s="110" t="n"/>
      <c r="V765" s="110" t="n"/>
      <c r="W765" s="110" t="n"/>
      <c r="X765" s="110" t="n"/>
      <c r="Y765" s="110" t="n"/>
      <c r="Z765" s="110" t="n"/>
    </row>
    <row r="766">
      <c r="A766" s="110" t="n"/>
      <c r="B766" s="110" t="n"/>
      <c r="C766" s="110" t="n"/>
      <c r="D766" s="110" t="n"/>
      <c r="E766" s="110" t="n"/>
      <c r="F766" s="110" t="n"/>
      <c r="G766" s="110" t="n"/>
      <c r="H766" s="110" t="n"/>
      <c r="I766" s="110" t="n"/>
      <c r="J766" s="110" t="n"/>
      <c r="K766" s="110" t="n"/>
      <c r="L766" s="110" t="n"/>
      <c r="M766" s="110" t="n"/>
      <c r="N766" s="110" t="n"/>
      <c r="O766" s="110" t="n"/>
      <c r="P766" s="110" t="n"/>
      <c r="Q766" s="110" t="n"/>
      <c r="R766" s="110" t="n"/>
      <c r="S766" s="110" t="n"/>
      <c r="T766" s="110" t="n"/>
      <c r="U766" s="110" t="n"/>
      <c r="V766" s="110" t="n"/>
      <c r="W766" s="110" t="n"/>
      <c r="X766" s="110" t="n"/>
      <c r="Y766" s="110" t="n"/>
      <c r="Z766" s="110" t="n"/>
    </row>
    <row r="767">
      <c r="A767" s="110" t="n"/>
      <c r="B767" s="110" t="n"/>
      <c r="C767" s="110" t="n"/>
      <c r="D767" s="110" t="n"/>
      <c r="E767" s="110" t="n"/>
      <c r="F767" s="110" t="n"/>
      <c r="G767" s="110" t="n"/>
      <c r="H767" s="110" t="n"/>
      <c r="I767" s="110" t="n"/>
      <c r="J767" s="110" t="n"/>
      <c r="K767" s="110" t="n"/>
      <c r="L767" s="110" t="n"/>
      <c r="M767" s="110" t="n"/>
      <c r="N767" s="110" t="n"/>
      <c r="O767" s="110" t="n"/>
      <c r="P767" s="110" t="n"/>
      <c r="Q767" s="110" t="n"/>
      <c r="R767" s="110" t="n"/>
      <c r="S767" s="110" t="n"/>
      <c r="T767" s="110" t="n"/>
      <c r="U767" s="110" t="n"/>
      <c r="V767" s="110" t="n"/>
      <c r="W767" s="110" t="n"/>
      <c r="X767" s="110" t="n"/>
      <c r="Y767" s="110" t="n"/>
      <c r="Z767" s="110" t="n"/>
    </row>
    <row r="768">
      <c r="A768" s="110" t="n"/>
      <c r="B768" s="110" t="n"/>
      <c r="C768" s="110" t="n"/>
      <c r="D768" s="110" t="n"/>
      <c r="E768" s="110" t="n"/>
      <c r="F768" s="110" t="n"/>
      <c r="G768" s="110" t="n"/>
      <c r="H768" s="110" t="n"/>
      <c r="I768" s="110" t="n"/>
      <c r="J768" s="110" t="n"/>
      <c r="K768" s="110" t="n"/>
      <c r="L768" s="110" t="n"/>
      <c r="M768" s="110" t="n"/>
      <c r="N768" s="110" t="n"/>
      <c r="O768" s="110" t="n"/>
      <c r="P768" s="110" t="n"/>
      <c r="Q768" s="110" t="n"/>
      <c r="R768" s="110" t="n"/>
      <c r="S768" s="110" t="n"/>
      <c r="T768" s="110" t="n"/>
      <c r="U768" s="110" t="n"/>
      <c r="V768" s="110" t="n"/>
      <c r="W768" s="110" t="n"/>
      <c r="X768" s="110" t="n"/>
      <c r="Y768" s="110" t="n"/>
      <c r="Z768" s="110" t="n"/>
    </row>
    <row r="769">
      <c r="A769" s="110" t="n"/>
      <c r="B769" s="110" t="n"/>
      <c r="C769" s="110" t="n"/>
      <c r="D769" s="110" t="n"/>
      <c r="E769" s="110" t="n"/>
      <c r="F769" s="110" t="n"/>
      <c r="G769" s="110" t="n"/>
      <c r="H769" s="110" t="n"/>
      <c r="I769" s="110" t="n"/>
      <c r="J769" s="110" t="n"/>
      <c r="K769" s="110" t="n"/>
      <c r="L769" s="110" t="n"/>
      <c r="M769" s="110" t="n"/>
      <c r="N769" s="110" t="n"/>
      <c r="O769" s="110" t="n"/>
      <c r="P769" s="110" t="n"/>
      <c r="Q769" s="110" t="n"/>
      <c r="R769" s="110" t="n"/>
      <c r="S769" s="110" t="n"/>
      <c r="T769" s="110" t="n"/>
      <c r="U769" s="110" t="n"/>
      <c r="V769" s="110" t="n"/>
      <c r="W769" s="110" t="n"/>
      <c r="X769" s="110" t="n"/>
      <c r="Y769" s="110" t="n"/>
      <c r="Z769" s="110" t="n"/>
    </row>
    <row r="770">
      <c r="A770" s="110" t="n"/>
      <c r="B770" s="110" t="n"/>
      <c r="C770" s="110" t="n"/>
      <c r="D770" s="110" t="n"/>
      <c r="E770" s="110" t="n"/>
      <c r="F770" s="110" t="n"/>
      <c r="G770" s="110" t="n"/>
      <c r="H770" s="110" t="n"/>
      <c r="I770" s="110" t="n"/>
      <c r="J770" s="110" t="n"/>
      <c r="K770" s="110" t="n"/>
      <c r="L770" s="110" t="n"/>
      <c r="M770" s="110" t="n"/>
      <c r="N770" s="110" t="n"/>
      <c r="O770" s="110" t="n"/>
      <c r="P770" s="110" t="n"/>
      <c r="Q770" s="110" t="n"/>
      <c r="R770" s="110" t="n"/>
      <c r="S770" s="110" t="n"/>
      <c r="T770" s="110" t="n"/>
      <c r="U770" s="110" t="n"/>
      <c r="V770" s="110" t="n"/>
      <c r="W770" s="110" t="n"/>
      <c r="X770" s="110" t="n"/>
      <c r="Y770" s="110" t="n"/>
      <c r="Z770" s="110" t="n"/>
    </row>
    <row r="771">
      <c r="A771" s="110" t="n"/>
      <c r="B771" s="110" t="n"/>
      <c r="C771" s="110" t="n"/>
      <c r="D771" s="110" t="n"/>
      <c r="E771" s="110" t="n"/>
      <c r="F771" s="110" t="n"/>
      <c r="G771" s="110" t="n"/>
      <c r="H771" s="110" t="n"/>
      <c r="I771" s="110" t="n"/>
      <c r="J771" s="110" t="n"/>
      <c r="K771" s="110" t="n"/>
      <c r="L771" s="110" t="n"/>
      <c r="M771" s="110" t="n"/>
      <c r="N771" s="110" t="n"/>
      <c r="O771" s="110" t="n"/>
      <c r="P771" s="110" t="n"/>
      <c r="Q771" s="110" t="n"/>
      <c r="R771" s="110" t="n"/>
      <c r="S771" s="110" t="n"/>
      <c r="T771" s="110" t="n"/>
      <c r="U771" s="110" t="n"/>
      <c r="V771" s="110" t="n"/>
      <c r="W771" s="110" t="n"/>
      <c r="X771" s="110" t="n"/>
      <c r="Y771" s="110" t="n"/>
      <c r="Z771" s="110" t="n"/>
    </row>
    <row r="772">
      <c r="A772" s="110" t="n"/>
      <c r="B772" s="110" t="n"/>
      <c r="C772" s="110" t="n"/>
      <c r="D772" s="110" t="n"/>
      <c r="E772" s="110" t="n"/>
      <c r="F772" s="110" t="n"/>
      <c r="G772" s="110" t="n"/>
      <c r="H772" s="110" t="n"/>
      <c r="I772" s="110" t="n"/>
      <c r="J772" s="110" t="n"/>
      <c r="K772" s="110" t="n"/>
      <c r="L772" s="110" t="n"/>
      <c r="M772" s="110" t="n"/>
      <c r="N772" s="110" t="n"/>
      <c r="O772" s="110" t="n"/>
      <c r="P772" s="110" t="n"/>
      <c r="Q772" s="110" t="n"/>
      <c r="R772" s="110" t="n"/>
      <c r="S772" s="110" t="n"/>
      <c r="T772" s="110" t="n"/>
      <c r="U772" s="110" t="n"/>
      <c r="V772" s="110" t="n"/>
      <c r="W772" s="110" t="n"/>
      <c r="X772" s="110" t="n"/>
      <c r="Y772" s="110" t="n"/>
      <c r="Z772" s="110" t="n"/>
    </row>
    <row r="773">
      <c r="A773" s="110" t="n"/>
      <c r="B773" s="110" t="n"/>
      <c r="C773" s="110" t="n"/>
      <c r="D773" s="110" t="n"/>
      <c r="E773" s="110" t="n"/>
      <c r="F773" s="110" t="n"/>
      <c r="G773" s="110" t="n"/>
      <c r="H773" s="110" t="n"/>
      <c r="I773" s="110" t="n"/>
      <c r="J773" s="110" t="n"/>
      <c r="K773" s="110" t="n"/>
      <c r="L773" s="110" t="n"/>
      <c r="M773" s="110" t="n"/>
      <c r="N773" s="110" t="n"/>
      <c r="O773" s="110" t="n"/>
      <c r="P773" s="110" t="n"/>
      <c r="Q773" s="110" t="n"/>
      <c r="R773" s="110" t="n"/>
      <c r="S773" s="110" t="n"/>
      <c r="T773" s="110" t="n"/>
      <c r="U773" s="110" t="n"/>
      <c r="V773" s="110" t="n"/>
      <c r="W773" s="110" t="n"/>
      <c r="X773" s="110" t="n"/>
      <c r="Y773" s="110" t="n"/>
      <c r="Z773" s="110" t="n"/>
    </row>
    <row r="774">
      <c r="A774" s="110" t="n"/>
      <c r="B774" s="110" t="n"/>
      <c r="C774" s="110" t="n"/>
      <c r="D774" s="110" t="n"/>
      <c r="E774" s="110" t="n"/>
      <c r="F774" s="110" t="n"/>
      <c r="G774" s="110" t="n"/>
      <c r="H774" s="110" t="n"/>
      <c r="I774" s="110" t="n"/>
      <c r="J774" s="110" t="n"/>
      <c r="K774" s="110" t="n"/>
      <c r="L774" s="110" t="n"/>
      <c r="M774" s="110" t="n"/>
      <c r="N774" s="110" t="n"/>
      <c r="O774" s="110" t="n"/>
      <c r="P774" s="110" t="n"/>
      <c r="Q774" s="110" t="n"/>
      <c r="R774" s="110" t="n"/>
      <c r="S774" s="110" t="n"/>
      <c r="T774" s="110" t="n"/>
      <c r="U774" s="110" t="n"/>
      <c r="V774" s="110" t="n"/>
      <c r="W774" s="110" t="n"/>
      <c r="X774" s="110" t="n"/>
      <c r="Y774" s="110" t="n"/>
      <c r="Z774" s="110" t="n"/>
    </row>
    <row r="775">
      <c r="A775" s="110" t="n"/>
      <c r="B775" s="110" t="n"/>
      <c r="C775" s="110" t="n"/>
      <c r="D775" s="110" t="n"/>
      <c r="E775" s="110" t="n"/>
      <c r="F775" s="110" t="n"/>
      <c r="G775" s="110" t="n"/>
      <c r="H775" s="110" t="n"/>
      <c r="I775" s="110" t="n"/>
      <c r="J775" s="110" t="n"/>
      <c r="K775" s="110" t="n"/>
      <c r="L775" s="110" t="n"/>
      <c r="M775" s="110" t="n"/>
      <c r="N775" s="110" t="n"/>
      <c r="O775" s="110" t="n"/>
      <c r="P775" s="110" t="n"/>
      <c r="Q775" s="110" t="n"/>
      <c r="R775" s="110" t="n"/>
      <c r="S775" s="110" t="n"/>
      <c r="T775" s="110" t="n"/>
      <c r="U775" s="110" t="n"/>
      <c r="V775" s="110" t="n"/>
      <c r="W775" s="110" t="n"/>
      <c r="X775" s="110" t="n"/>
      <c r="Y775" s="110" t="n"/>
      <c r="Z775" s="110" t="n"/>
    </row>
    <row r="776">
      <c r="A776" s="110" t="n"/>
      <c r="B776" s="110" t="n"/>
      <c r="C776" s="110" t="n"/>
      <c r="D776" s="110" t="n"/>
      <c r="E776" s="110" t="n"/>
      <c r="F776" s="110" t="n"/>
      <c r="G776" s="110" t="n"/>
      <c r="H776" s="110" t="n"/>
      <c r="I776" s="110" t="n"/>
      <c r="J776" s="110" t="n"/>
      <c r="K776" s="110" t="n"/>
      <c r="L776" s="110" t="n"/>
      <c r="M776" s="110" t="n"/>
      <c r="N776" s="110" t="n"/>
      <c r="O776" s="110" t="n"/>
      <c r="P776" s="110" t="n"/>
      <c r="Q776" s="110" t="n"/>
      <c r="R776" s="110" t="n"/>
      <c r="S776" s="110" t="n"/>
      <c r="T776" s="110" t="n"/>
      <c r="U776" s="110" t="n"/>
      <c r="V776" s="110" t="n"/>
      <c r="W776" s="110" t="n"/>
      <c r="X776" s="110" t="n"/>
      <c r="Y776" s="110" t="n"/>
      <c r="Z776" s="110" t="n"/>
    </row>
    <row r="777">
      <c r="A777" s="110" t="n"/>
      <c r="B777" s="110" t="n"/>
      <c r="C777" s="110" t="n"/>
      <c r="D777" s="110" t="n"/>
      <c r="E777" s="110" t="n"/>
      <c r="F777" s="110" t="n"/>
      <c r="G777" s="110" t="n"/>
      <c r="H777" s="110" t="n"/>
      <c r="I777" s="110" t="n"/>
      <c r="J777" s="110" t="n"/>
      <c r="K777" s="110" t="n"/>
      <c r="L777" s="110" t="n"/>
      <c r="M777" s="110" t="n"/>
      <c r="N777" s="110" t="n"/>
      <c r="O777" s="110" t="n"/>
      <c r="P777" s="110" t="n"/>
      <c r="Q777" s="110" t="n"/>
      <c r="R777" s="110" t="n"/>
      <c r="S777" s="110" t="n"/>
      <c r="T777" s="110" t="n"/>
      <c r="U777" s="110" t="n"/>
      <c r="V777" s="110" t="n"/>
      <c r="W777" s="110" t="n"/>
      <c r="X777" s="110" t="n"/>
      <c r="Y777" s="110" t="n"/>
      <c r="Z777" s="110" t="n"/>
    </row>
    <row r="778">
      <c r="A778" s="110" t="n"/>
      <c r="B778" s="110" t="n"/>
      <c r="C778" s="110" t="n"/>
      <c r="D778" s="110" t="n"/>
      <c r="E778" s="110" t="n"/>
      <c r="F778" s="110" t="n"/>
      <c r="G778" s="110" t="n"/>
      <c r="H778" s="110" t="n"/>
      <c r="I778" s="110" t="n"/>
      <c r="J778" s="110" t="n"/>
      <c r="K778" s="110" t="n"/>
      <c r="L778" s="110" t="n"/>
      <c r="M778" s="110" t="n"/>
      <c r="N778" s="110" t="n"/>
      <c r="O778" s="110" t="n"/>
      <c r="P778" s="110" t="n"/>
      <c r="Q778" s="110" t="n"/>
      <c r="R778" s="110" t="n"/>
      <c r="S778" s="110" t="n"/>
      <c r="T778" s="110" t="n"/>
      <c r="U778" s="110" t="n"/>
      <c r="V778" s="110" t="n"/>
      <c r="W778" s="110" t="n"/>
      <c r="X778" s="110" t="n"/>
      <c r="Y778" s="110" t="n"/>
      <c r="Z778" s="110" t="n"/>
    </row>
    <row r="779">
      <c r="A779" s="110" t="n"/>
      <c r="B779" s="110" t="n"/>
      <c r="C779" s="110" t="n"/>
      <c r="D779" s="110" t="n"/>
      <c r="E779" s="110" t="n"/>
      <c r="F779" s="110" t="n"/>
      <c r="G779" s="110" t="n"/>
      <c r="H779" s="110" t="n"/>
      <c r="I779" s="110" t="n"/>
      <c r="J779" s="110" t="n"/>
      <c r="K779" s="110" t="n"/>
      <c r="L779" s="110" t="n"/>
      <c r="M779" s="110" t="n"/>
      <c r="N779" s="110" t="n"/>
      <c r="O779" s="110" t="n"/>
      <c r="P779" s="110" t="n"/>
      <c r="Q779" s="110" t="n"/>
      <c r="R779" s="110" t="n"/>
      <c r="S779" s="110" t="n"/>
      <c r="T779" s="110" t="n"/>
      <c r="U779" s="110" t="n"/>
      <c r="V779" s="110" t="n"/>
      <c r="W779" s="110" t="n"/>
      <c r="X779" s="110" t="n"/>
      <c r="Y779" s="110" t="n"/>
      <c r="Z779" s="110" t="n"/>
    </row>
    <row r="780">
      <c r="A780" s="110" t="n"/>
      <c r="B780" s="110" t="n"/>
      <c r="C780" s="110" t="n"/>
      <c r="D780" s="110" t="n"/>
      <c r="E780" s="110" t="n"/>
      <c r="F780" s="110" t="n"/>
      <c r="G780" s="110" t="n"/>
      <c r="H780" s="110" t="n"/>
      <c r="I780" s="110" t="n"/>
      <c r="J780" s="110" t="n"/>
      <c r="K780" s="110" t="n"/>
      <c r="L780" s="110" t="n"/>
      <c r="M780" s="110" t="n"/>
      <c r="N780" s="110" t="n"/>
      <c r="O780" s="110" t="n"/>
      <c r="P780" s="110" t="n"/>
      <c r="Q780" s="110" t="n"/>
      <c r="R780" s="110" t="n"/>
      <c r="S780" s="110" t="n"/>
      <c r="T780" s="110" t="n"/>
      <c r="U780" s="110" t="n"/>
      <c r="V780" s="110" t="n"/>
      <c r="W780" s="110" t="n"/>
      <c r="X780" s="110" t="n"/>
      <c r="Y780" s="110" t="n"/>
      <c r="Z780" s="110" t="n"/>
    </row>
    <row r="781">
      <c r="A781" s="110" t="n"/>
      <c r="B781" s="110" t="n"/>
      <c r="C781" s="110" t="n"/>
      <c r="D781" s="110" t="n"/>
      <c r="E781" s="110" t="n"/>
      <c r="F781" s="110" t="n"/>
      <c r="G781" s="110" t="n"/>
      <c r="H781" s="110" t="n"/>
      <c r="I781" s="110" t="n"/>
      <c r="J781" s="110" t="n"/>
      <c r="K781" s="110" t="n"/>
      <c r="L781" s="110" t="n"/>
      <c r="M781" s="110" t="n"/>
      <c r="N781" s="110" t="n"/>
      <c r="O781" s="110" t="n"/>
      <c r="P781" s="110" t="n"/>
      <c r="Q781" s="110" t="n"/>
      <c r="R781" s="110" t="n"/>
      <c r="S781" s="110" t="n"/>
      <c r="T781" s="110" t="n"/>
      <c r="U781" s="110" t="n"/>
      <c r="V781" s="110" t="n"/>
      <c r="W781" s="110" t="n"/>
      <c r="X781" s="110" t="n"/>
      <c r="Y781" s="110" t="n"/>
      <c r="Z781" s="110" t="n"/>
    </row>
    <row r="782">
      <c r="A782" s="110" t="n"/>
      <c r="B782" s="110" t="n"/>
      <c r="C782" s="110" t="n"/>
      <c r="D782" s="110" t="n"/>
      <c r="E782" s="110" t="n"/>
      <c r="F782" s="110" t="n"/>
      <c r="G782" s="110" t="n"/>
      <c r="H782" s="110" t="n"/>
      <c r="I782" s="110" t="n"/>
      <c r="J782" s="110" t="n"/>
      <c r="K782" s="110" t="n"/>
      <c r="L782" s="110" t="n"/>
      <c r="M782" s="110" t="n"/>
      <c r="N782" s="110" t="n"/>
      <c r="O782" s="110" t="n"/>
      <c r="P782" s="110" t="n"/>
      <c r="Q782" s="110" t="n"/>
      <c r="R782" s="110" t="n"/>
      <c r="S782" s="110" t="n"/>
      <c r="T782" s="110" t="n"/>
      <c r="U782" s="110" t="n"/>
      <c r="V782" s="110" t="n"/>
      <c r="W782" s="110" t="n"/>
      <c r="X782" s="110" t="n"/>
      <c r="Y782" s="110" t="n"/>
      <c r="Z782" s="110" t="n"/>
    </row>
    <row r="783">
      <c r="A783" s="110" t="n"/>
      <c r="B783" s="110" t="n"/>
      <c r="C783" s="110" t="n"/>
      <c r="D783" s="110" t="n"/>
      <c r="E783" s="110" t="n"/>
      <c r="F783" s="110" t="n"/>
      <c r="G783" s="110" t="n"/>
      <c r="H783" s="110" t="n"/>
      <c r="I783" s="110" t="n"/>
      <c r="J783" s="110" t="n"/>
      <c r="K783" s="110" t="n"/>
      <c r="L783" s="110" t="n"/>
      <c r="M783" s="110" t="n"/>
      <c r="N783" s="110" t="n"/>
      <c r="O783" s="110" t="n"/>
      <c r="P783" s="110" t="n"/>
      <c r="Q783" s="110" t="n"/>
      <c r="R783" s="110" t="n"/>
      <c r="S783" s="110" t="n"/>
      <c r="T783" s="110" t="n"/>
      <c r="U783" s="110" t="n"/>
      <c r="V783" s="110" t="n"/>
      <c r="W783" s="110" t="n"/>
      <c r="X783" s="110" t="n"/>
      <c r="Y783" s="110" t="n"/>
      <c r="Z783" s="110" t="n"/>
    </row>
    <row r="784">
      <c r="A784" s="110" t="n"/>
      <c r="B784" s="110" t="n"/>
      <c r="C784" s="110" t="n"/>
      <c r="D784" s="110" t="n"/>
      <c r="E784" s="110" t="n"/>
      <c r="F784" s="110" t="n"/>
      <c r="G784" s="110" t="n"/>
      <c r="H784" s="110" t="n"/>
      <c r="I784" s="110" t="n"/>
      <c r="J784" s="110" t="n"/>
      <c r="K784" s="110" t="n"/>
      <c r="L784" s="110" t="n"/>
      <c r="M784" s="110" t="n"/>
      <c r="N784" s="110" t="n"/>
      <c r="O784" s="110" t="n"/>
      <c r="P784" s="110" t="n"/>
      <c r="Q784" s="110" t="n"/>
      <c r="R784" s="110" t="n"/>
      <c r="S784" s="110" t="n"/>
      <c r="T784" s="110" t="n"/>
      <c r="U784" s="110" t="n"/>
      <c r="V784" s="110" t="n"/>
      <c r="W784" s="110" t="n"/>
      <c r="X784" s="110" t="n"/>
      <c r="Y784" s="110" t="n"/>
      <c r="Z784" s="110" t="n"/>
    </row>
    <row r="785">
      <c r="A785" s="110" t="n"/>
      <c r="B785" s="110" t="n"/>
      <c r="C785" s="110" t="n"/>
      <c r="D785" s="110" t="n"/>
      <c r="E785" s="110" t="n"/>
      <c r="F785" s="110" t="n"/>
      <c r="G785" s="110" t="n"/>
      <c r="H785" s="110" t="n"/>
      <c r="I785" s="110" t="n"/>
      <c r="J785" s="110" t="n"/>
      <c r="K785" s="110" t="n"/>
      <c r="L785" s="110" t="n"/>
      <c r="M785" s="110" t="n"/>
      <c r="N785" s="110" t="n"/>
      <c r="O785" s="110" t="n"/>
      <c r="P785" s="110" t="n"/>
      <c r="Q785" s="110" t="n"/>
      <c r="R785" s="110" t="n"/>
      <c r="S785" s="110" t="n"/>
      <c r="T785" s="110" t="n"/>
      <c r="U785" s="110" t="n"/>
      <c r="V785" s="110" t="n"/>
      <c r="W785" s="110" t="n"/>
      <c r="X785" s="110" t="n"/>
      <c r="Y785" s="110" t="n"/>
      <c r="Z785" s="110" t="n"/>
    </row>
    <row r="786">
      <c r="A786" s="110" t="n"/>
      <c r="B786" s="110" t="n"/>
      <c r="C786" s="110" t="n"/>
      <c r="D786" s="110" t="n"/>
      <c r="E786" s="110" t="n"/>
      <c r="F786" s="110" t="n"/>
      <c r="G786" s="110" t="n"/>
      <c r="H786" s="110" t="n"/>
      <c r="I786" s="110" t="n"/>
      <c r="J786" s="110" t="n"/>
      <c r="K786" s="110" t="n"/>
      <c r="L786" s="110" t="n"/>
      <c r="M786" s="110" t="n"/>
      <c r="N786" s="110" t="n"/>
      <c r="O786" s="110" t="n"/>
      <c r="P786" s="110" t="n"/>
      <c r="Q786" s="110" t="n"/>
      <c r="R786" s="110" t="n"/>
      <c r="S786" s="110" t="n"/>
      <c r="T786" s="110" t="n"/>
      <c r="U786" s="110" t="n"/>
      <c r="V786" s="110" t="n"/>
      <c r="W786" s="110" t="n"/>
      <c r="X786" s="110" t="n"/>
      <c r="Y786" s="110" t="n"/>
      <c r="Z786" s="110" t="n"/>
    </row>
    <row r="787">
      <c r="A787" s="110" t="n"/>
      <c r="B787" s="110" t="n"/>
      <c r="C787" s="110" t="n"/>
      <c r="D787" s="110" t="n"/>
      <c r="E787" s="110" t="n"/>
      <c r="F787" s="110" t="n"/>
      <c r="G787" s="110" t="n"/>
      <c r="H787" s="110" t="n"/>
      <c r="I787" s="110" t="n"/>
      <c r="J787" s="110" t="n"/>
      <c r="K787" s="110" t="n"/>
      <c r="L787" s="110" t="n"/>
      <c r="M787" s="110" t="n"/>
      <c r="N787" s="110" t="n"/>
      <c r="O787" s="110" t="n"/>
      <c r="P787" s="110" t="n"/>
      <c r="Q787" s="110" t="n"/>
      <c r="R787" s="110" t="n"/>
      <c r="S787" s="110" t="n"/>
      <c r="T787" s="110" t="n"/>
      <c r="U787" s="110" t="n"/>
      <c r="V787" s="110" t="n"/>
      <c r="W787" s="110" t="n"/>
      <c r="X787" s="110" t="n"/>
      <c r="Y787" s="110" t="n"/>
      <c r="Z787" s="110" t="n"/>
    </row>
    <row r="788">
      <c r="A788" s="110" t="n"/>
      <c r="B788" s="110" t="n"/>
      <c r="C788" s="110" t="n"/>
      <c r="D788" s="110" t="n"/>
      <c r="E788" s="110" t="n"/>
      <c r="F788" s="110" t="n"/>
      <c r="G788" s="110" t="n"/>
      <c r="H788" s="110" t="n"/>
      <c r="I788" s="110" t="n"/>
      <c r="J788" s="110" t="n"/>
      <c r="K788" s="110" t="n"/>
      <c r="L788" s="110" t="n"/>
      <c r="M788" s="110" t="n"/>
      <c r="N788" s="110" t="n"/>
      <c r="O788" s="110" t="n"/>
      <c r="P788" s="110" t="n"/>
      <c r="Q788" s="110" t="n"/>
      <c r="R788" s="110" t="n"/>
      <c r="S788" s="110" t="n"/>
      <c r="T788" s="110" t="n"/>
      <c r="U788" s="110" t="n"/>
      <c r="V788" s="110" t="n"/>
      <c r="W788" s="110" t="n"/>
      <c r="X788" s="110" t="n"/>
      <c r="Y788" s="110" t="n"/>
      <c r="Z788" s="110" t="n"/>
    </row>
    <row r="789">
      <c r="A789" s="110" t="n"/>
      <c r="B789" s="110" t="n"/>
      <c r="C789" s="110" t="n"/>
      <c r="D789" s="110" t="n"/>
      <c r="E789" s="110" t="n"/>
      <c r="F789" s="110" t="n"/>
      <c r="G789" s="110" t="n"/>
      <c r="H789" s="110" t="n"/>
      <c r="I789" s="110" t="n"/>
      <c r="J789" s="110" t="n"/>
      <c r="K789" s="110" t="n"/>
      <c r="L789" s="110" t="n"/>
      <c r="M789" s="110" t="n"/>
      <c r="N789" s="110" t="n"/>
      <c r="O789" s="110" t="n"/>
      <c r="P789" s="110" t="n"/>
      <c r="Q789" s="110" t="n"/>
      <c r="R789" s="110" t="n"/>
      <c r="S789" s="110" t="n"/>
      <c r="T789" s="110" t="n"/>
      <c r="U789" s="110" t="n"/>
      <c r="V789" s="110" t="n"/>
      <c r="W789" s="110" t="n"/>
      <c r="X789" s="110" t="n"/>
      <c r="Y789" s="110" t="n"/>
      <c r="Z789" s="110" t="n"/>
    </row>
    <row r="790">
      <c r="A790" s="110" t="n"/>
      <c r="B790" s="110" t="n"/>
      <c r="C790" s="110" t="n"/>
      <c r="D790" s="110" t="n"/>
      <c r="E790" s="110" t="n"/>
      <c r="F790" s="110" t="n"/>
      <c r="G790" s="110" t="n"/>
      <c r="H790" s="110" t="n"/>
      <c r="I790" s="110" t="n"/>
      <c r="J790" s="110" t="n"/>
      <c r="K790" s="110" t="n"/>
      <c r="L790" s="110" t="n"/>
      <c r="M790" s="110" t="n"/>
      <c r="N790" s="110" t="n"/>
      <c r="O790" s="110" t="n"/>
      <c r="P790" s="110" t="n"/>
      <c r="Q790" s="110" t="n"/>
      <c r="R790" s="110" t="n"/>
      <c r="S790" s="110" t="n"/>
      <c r="T790" s="110" t="n"/>
      <c r="U790" s="110" t="n"/>
      <c r="V790" s="110" t="n"/>
      <c r="W790" s="110" t="n"/>
      <c r="X790" s="110" t="n"/>
      <c r="Y790" s="110" t="n"/>
      <c r="Z790" s="110" t="n"/>
    </row>
    <row r="791">
      <c r="A791" s="110" t="n"/>
      <c r="B791" s="110" t="n"/>
      <c r="C791" s="110" t="n"/>
      <c r="D791" s="110" t="n"/>
      <c r="E791" s="110" t="n"/>
      <c r="F791" s="110" t="n"/>
      <c r="G791" s="110" t="n"/>
      <c r="H791" s="110" t="n"/>
      <c r="I791" s="110" t="n"/>
      <c r="J791" s="110" t="n"/>
      <c r="K791" s="110" t="n"/>
      <c r="L791" s="110" t="n"/>
      <c r="M791" s="110" t="n"/>
      <c r="N791" s="110" t="n"/>
      <c r="O791" s="110" t="n"/>
      <c r="P791" s="110" t="n"/>
      <c r="Q791" s="110" t="n"/>
      <c r="R791" s="110" t="n"/>
      <c r="S791" s="110" t="n"/>
      <c r="T791" s="110" t="n"/>
      <c r="U791" s="110" t="n"/>
      <c r="V791" s="110" t="n"/>
      <c r="W791" s="110" t="n"/>
      <c r="X791" s="110" t="n"/>
      <c r="Y791" s="110" t="n"/>
      <c r="Z791" s="110" t="n"/>
    </row>
    <row r="792">
      <c r="A792" s="110" t="n"/>
      <c r="B792" s="110" t="n"/>
      <c r="C792" s="110" t="n"/>
      <c r="D792" s="110" t="n"/>
      <c r="E792" s="110" t="n"/>
      <c r="F792" s="110" t="n"/>
      <c r="G792" s="110" t="n"/>
      <c r="H792" s="110" t="n"/>
      <c r="I792" s="110" t="n"/>
      <c r="J792" s="110" t="n"/>
      <c r="K792" s="110" t="n"/>
      <c r="L792" s="110" t="n"/>
      <c r="M792" s="110" t="n"/>
      <c r="N792" s="110" t="n"/>
      <c r="O792" s="110" t="n"/>
      <c r="P792" s="110" t="n"/>
      <c r="Q792" s="110" t="n"/>
      <c r="R792" s="110" t="n"/>
      <c r="S792" s="110" t="n"/>
      <c r="T792" s="110" t="n"/>
      <c r="U792" s="110" t="n"/>
      <c r="V792" s="110" t="n"/>
      <c r="W792" s="110" t="n"/>
      <c r="X792" s="110" t="n"/>
      <c r="Y792" s="110" t="n"/>
      <c r="Z792" s="110" t="n"/>
    </row>
    <row r="793">
      <c r="A793" s="110" t="n"/>
      <c r="B793" s="110" t="n"/>
      <c r="C793" s="110" t="n"/>
      <c r="D793" s="110" t="n"/>
      <c r="E793" s="110" t="n"/>
      <c r="F793" s="110" t="n"/>
      <c r="G793" s="110" t="n"/>
      <c r="H793" s="110" t="n"/>
      <c r="I793" s="110" t="n"/>
      <c r="J793" s="110" t="n"/>
      <c r="K793" s="110" t="n"/>
      <c r="L793" s="110" t="n"/>
      <c r="M793" s="110" t="n"/>
      <c r="N793" s="110" t="n"/>
      <c r="O793" s="110" t="n"/>
      <c r="P793" s="110" t="n"/>
      <c r="Q793" s="110" t="n"/>
      <c r="R793" s="110" t="n"/>
      <c r="S793" s="110" t="n"/>
      <c r="T793" s="110" t="n"/>
      <c r="U793" s="110" t="n"/>
      <c r="V793" s="110" t="n"/>
      <c r="W793" s="110" t="n"/>
      <c r="X793" s="110" t="n"/>
      <c r="Y793" s="110" t="n"/>
      <c r="Z793" s="110" t="n"/>
    </row>
    <row r="794">
      <c r="A794" s="110" t="n"/>
      <c r="B794" s="110" t="n"/>
      <c r="C794" s="110" t="n"/>
      <c r="D794" s="110" t="n"/>
      <c r="E794" s="110" t="n"/>
      <c r="F794" s="110" t="n"/>
      <c r="G794" s="110" t="n"/>
      <c r="H794" s="110" t="n"/>
      <c r="I794" s="110" t="n"/>
      <c r="J794" s="110" t="n"/>
      <c r="K794" s="110" t="n"/>
      <c r="L794" s="110" t="n"/>
      <c r="M794" s="110" t="n"/>
      <c r="N794" s="110" t="n"/>
      <c r="O794" s="110" t="n"/>
      <c r="P794" s="110" t="n"/>
      <c r="Q794" s="110" t="n"/>
      <c r="R794" s="110" t="n"/>
      <c r="S794" s="110" t="n"/>
      <c r="T794" s="110" t="n"/>
      <c r="U794" s="110" t="n"/>
      <c r="V794" s="110" t="n"/>
      <c r="W794" s="110" t="n"/>
      <c r="X794" s="110" t="n"/>
      <c r="Y794" s="110" t="n"/>
      <c r="Z794" s="110" t="n"/>
    </row>
    <row r="795">
      <c r="A795" s="110" t="n"/>
      <c r="B795" s="110" t="n"/>
      <c r="C795" s="110" t="n"/>
      <c r="D795" s="110" t="n"/>
      <c r="E795" s="110" t="n"/>
      <c r="F795" s="110" t="n"/>
      <c r="G795" s="110" t="n"/>
      <c r="H795" s="110" t="n"/>
      <c r="I795" s="110" t="n"/>
      <c r="J795" s="110" t="n"/>
      <c r="K795" s="110" t="n"/>
      <c r="L795" s="110" t="n"/>
      <c r="M795" s="110" t="n"/>
      <c r="N795" s="110" t="n"/>
      <c r="O795" s="110" t="n"/>
      <c r="P795" s="110" t="n"/>
      <c r="Q795" s="110" t="n"/>
      <c r="R795" s="110" t="n"/>
      <c r="S795" s="110" t="n"/>
      <c r="T795" s="110" t="n"/>
      <c r="U795" s="110" t="n"/>
      <c r="V795" s="110" t="n"/>
      <c r="W795" s="110" t="n"/>
      <c r="X795" s="110" t="n"/>
      <c r="Y795" s="110" t="n"/>
      <c r="Z795" s="110" t="n"/>
    </row>
    <row r="796">
      <c r="A796" s="110" t="n"/>
      <c r="B796" s="110" t="n"/>
      <c r="C796" s="110" t="n"/>
      <c r="D796" s="110" t="n"/>
      <c r="E796" s="110" t="n"/>
      <c r="F796" s="110" t="n"/>
      <c r="G796" s="110" t="n"/>
      <c r="H796" s="110" t="n"/>
      <c r="I796" s="110" t="n"/>
      <c r="J796" s="110" t="n"/>
      <c r="K796" s="110" t="n"/>
      <c r="L796" s="110" t="n"/>
      <c r="M796" s="110" t="n"/>
      <c r="N796" s="110" t="n"/>
      <c r="O796" s="110" t="n"/>
      <c r="P796" s="110" t="n"/>
      <c r="Q796" s="110" t="n"/>
      <c r="R796" s="110" t="n"/>
      <c r="S796" s="110" t="n"/>
      <c r="T796" s="110" t="n"/>
      <c r="U796" s="110" t="n"/>
      <c r="V796" s="110" t="n"/>
      <c r="W796" s="110" t="n"/>
      <c r="X796" s="110" t="n"/>
      <c r="Y796" s="110" t="n"/>
      <c r="Z796" s="110" t="n"/>
    </row>
    <row r="797">
      <c r="A797" s="110" t="n"/>
      <c r="B797" s="110" t="n"/>
      <c r="C797" s="110" t="n"/>
      <c r="D797" s="110" t="n"/>
      <c r="E797" s="110" t="n"/>
      <c r="F797" s="110" t="n"/>
      <c r="G797" s="110" t="n"/>
      <c r="H797" s="110" t="n"/>
      <c r="I797" s="110" t="n"/>
      <c r="J797" s="110" t="n"/>
      <c r="K797" s="110" t="n"/>
      <c r="L797" s="110" t="n"/>
      <c r="M797" s="110" t="n"/>
      <c r="N797" s="110" t="n"/>
      <c r="O797" s="110" t="n"/>
      <c r="P797" s="110" t="n"/>
      <c r="Q797" s="110" t="n"/>
      <c r="R797" s="110" t="n"/>
      <c r="S797" s="110" t="n"/>
      <c r="T797" s="110" t="n"/>
      <c r="U797" s="110" t="n"/>
      <c r="V797" s="110" t="n"/>
      <c r="W797" s="110" t="n"/>
      <c r="X797" s="110" t="n"/>
      <c r="Y797" s="110" t="n"/>
      <c r="Z797" s="110" t="n"/>
    </row>
    <row r="798">
      <c r="A798" s="110" t="n"/>
      <c r="B798" s="110" t="n"/>
      <c r="C798" s="110" t="n"/>
      <c r="D798" s="110" t="n"/>
      <c r="E798" s="110" t="n"/>
      <c r="F798" s="110" t="n"/>
      <c r="G798" s="110" t="n"/>
      <c r="H798" s="110" t="n"/>
      <c r="I798" s="110" t="n"/>
      <c r="J798" s="110" t="n"/>
      <c r="K798" s="110" t="n"/>
      <c r="L798" s="110" t="n"/>
      <c r="M798" s="110" t="n"/>
      <c r="N798" s="110" t="n"/>
      <c r="O798" s="110" t="n"/>
      <c r="P798" s="110" t="n"/>
      <c r="Q798" s="110" t="n"/>
      <c r="R798" s="110" t="n"/>
      <c r="S798" s="110" t="n"/>
      <c r="T798" s="110" t="n"/>
      <c r="U798" s="110" t="n"/>
      <c r="V798" s="110" t="n"/>
      <c r="W798" s="110" t="n"/>
      <c r="X798" s="110" t="n"/>
      <c r="Y798" s="110" t="n"/>
      <c r="Z798" s="110" t="n"/>
    </row>
    <row r="799">
      <c r="A799" s="110" t="n"/>
      <c r="B799" s="110" t="n"/>
      <c r="C799" s="110" t="n"/>
      <c r="D799" s="110" t="n"/>
      <c r="E799" s="110" t="n"/>
      <c r="F799" s="110" t="n"/>
      <c r="G799" s="110" t="n"/>
      <c r="H799" s="110" t="n"/>
      <c r="I799" s="110" t="n"/>
      <c r="J799" s="110" t="n"/>
      <c r="K799" s="110" t="n"/>
      <c r="L799" s="110" t="n"/>
      <c r="M799" s="110" t="n"/>
      <c r="N799" s="110" t="n"/>
      <c r="O799" s="110" t="n"/>
      <c r="P799" s="110" t="n"/>
      <c r="Q799" s="110" t="n"/>
      <c r="R799" s="110" t="n"/>
      <c r="S799" s="110" t="n"/>
      <c r="T799" s="110" t="n"/>
      <c r="U799" s="110" t="n"/>
      <c r="V799" s="110" t="n"/>
      <c r="W799" s="110" t="n"/>
      <c r="X799" s="110" t="n"/>
      <c r="Y799" s="110" t="n"/>
      <c r="Z799" s="110" t="n"/>
    </row>
    <row r="800">
      <c r="A800" s="110" t="n"/>
      <c r="B800" s="110" t="n"/>
      <c r="C800" s="110" t="n"/>
      <c r="D800" s="110" t="n"/>
      <c r="E800" s="110" t="n"/>
      <c r="F800" s="110" t="n"/>
      <c r="G800" s="110" t="n"/>
      <c r="H800" s="110" t="n"/>
      <c r="I800" s="110" t="n"/>
      <c r="J800" s="110" t="n"/>
      <c r="K800" s="110" t="n"/>
      <c r="L800" s="110" t="n"/>
      <c r="M800" s="110" t="n"/>
      <c r="N800" s="110" t="n"/>
      <c r="O800" s="110" t="n"/>
      <c r="P800" s="110" t="n"/>
      <c r="Q800" s="110" t="n"/>
      <c r="R800" s="110" t="n"/>
      <c r="S800" s="110" t="n"/>
      <c r="T800" s="110" t="n"/>
      <c r="U800" s="110" t="n"/>
      <c r="V800" s="110" t="n"/>
      <c r="W800" s="110" t="n"/>
      <c r="X800" s="110" t="n"/>
      <c r="Y800" s="110" t="n"/>
      <c r="Z800" s="110" t="n"/>
    </row>
    <row r="801">
      <c r="A801" s="110" t="n"/>
      <c r="B801" s="110" t="n"/>
      <c r="C801" s="110" t="n"/>
      <c r="D801" s="110" t="n"/>
      <c r="E801" s="110" t="n"/>
      <c r="F801" s="110" t="n"/>
      <c r="G801" s="110" t="n"/>
      <c r="H801" s="110" t="n"/>
      <c r="I801" s="110" t="n"/>
      <c r="J801" s="110" t="n"/>
      <c r="K801" s="110" t="n"/>
      <c r="L801" s="110" t="n"/>
      <c r="M801" s="110" t="n"/>
      <c r="N801" s="110" t="n"/>
      <c r="O801" s="110" t="n"/>
      <c r="P801" s="110" t="n"/>
      <c r="Q801" s="110" t="n"/>
      <c r="R801" s="110" t="n"/>
      <c r="S801" s="110" t="n"/>
      <c r="T801" s="110" t="n"/>
      <c r="U801" s="110" t="n"/>
      <c r="V801" s="110" t="n"/>
      <c r="W801" s="110" t="n"/>
      <c r="X801" s="110" t="n"/>
      <c r="Y801" s="110" t="n"/>
      <c r="Z801" s="110" t="n"/>
    </row>
    <row r="802">
      <c r="A802" s="110" t="n"/>
      <c r="B802" s="110" t="n"/>
      <c r="C802" s="110" t="n"/>
      <c r="D802" s="110" t="n"/>
      <c r="E802" s="110" t="n"/>
      <c r="F802" s="110" t="n"/>
      <c r="G802" s="110" t="n"/>
      <c r="H802" s="110" t="n"/>
      <c r="I802" s="110" t="n"/>
      <c r="J802" s="110" t="n"/>
      <c r="K802" s="110" t="n"/>
      <c r="L802" s="110" t="n"/>
      <c r="M802" s="110" t="n"/>
      <c r="N802" s="110" t="n"/>
      <c r="O802" s="110" t="n"/>
      <c r="P802" s="110" t="n"/>
      <c r="Q802" s="110" t="n"/>
      <c r="R802" s="110" t="n"/>
      <c r="S802" s="110" t="n"/>
      <c r="T802" s="110" t="n"/>
      <c r="U802" s="110" t="n"/>
      <c r="V802" s="110" t="n"/>
      <c r="W802" s="110" t="n"/>
      <c r="X802" s="110" t="n"/>
      <c r="Y802" s="110" t="n"/>
      <c r="Z802" s="110" t="n"/>
    </row>
    <row r="803">
      <c r="A803" s="110" t="n"/>
      <c r="B803" s="110" t="n"/>
      <c r="C803" s="110" t="n"/>
      <c r="D803" s="110" t="n"/>
      <c r="E803" s="110" t="n"/>
      <c r="F803" s="110" t="n"/>
      <c r="G803" s="110" t="n"/>
      <c r="H803" s="110" t="n"/>
      <c r="I803" s="110" t="n"/>
      <c r="J803" s="110" t="n"/>
      <c r="K803" s="110" t="n"/>
      <c r="L803" s="110" t="n"/>
      <c r="M803" s="110" t="n"/>
      <c r="N803" s="110" t="n"/>
      <c r="O803" s="110" t="n"/>
      <c r="P803" s="110" t="n"/>
      <c r="Q803" s="110" t="n"/>
      <c r="R803" s="110" t="n"/>
      <c r="S803" s="110" t="n"/>
      <c r="T803" s="110" t="n"/>
      <c r="U803" s="110" t="n"/>
      <c r="V803" s="110" t="n"/>
      <c r="W803" s="110" t="n"/>
      <c r="X803" s="110" t="n"/>
      <c r="Y803" s="110" t="n"/>
      <c r="Z803" s="110" t="n"/>
    </row>
    <row r="804">
      <c r="A804" s="110" t="n"/>
      <c r="B804" s="110" t="n"/>
      <c r="C804" s="110" t="n"/>
      <c r="D804" s="110" t="n"/>
      <c r="E804" s="110" t="n"/>
      <c r="F804" s="110" t="n"/>
      <c r="G804" s="110" t="n"/>
      <c r="H804" s="110" t="n"/>
      <c r="I804" s="110" t="n"/>
      <c r="J804" s="110" t="n"/>
      <c r="K804" s="110" t="n"/>
      <c r="L804" s="110" t="n"/>
      <c r="M804" s="110" t="n"/>
      <c r="N804" s="110" t="n"/>
      <c r="O804" s="110" t="n"/>
      <c r="P804" s="110" t="n"/>
      <c r="Q804" s="110" t="n"/>
      <c r="R804" s="110" t="n"/>
      <c r="S804" s="110" t="n"/>
      <c r="T804" s="110" t="n"/>
      <c r="U804" s="110" t="n"/>
      <c r="V804" s="110" t="n"/>
      <c r="W804" s="110" t="n"/>
      <c r="X804" s="110" t="n"/>
      <c r="Y804" s="110" t="n"/>
      <c r="Z804" s="110" t="n"/>
    </row>
    <row r="805">
      <c r="A805" s="110" t="n"/>
      <c r="B805" s="110" t="n"/>
      <c r="C805" s="110" t="n"/>
      <c r="D805" s="110" t="n"/>
      <c r="E805" s="110" t="n"/>
      <c r="F805" s="110" t="n"/>
      <c r="G805" s="110" t="n"/>
      <c r="H805" s="110" t="n"/>
      <c r="I805" s="110" t="n"/>
      <c r="J805" s="110" t="n"/>
      <c r="K805" s="110" t="n"/>
      <c r="L805" s="110" t="n"/>
      <c r="M805" s="110" t="n"/>
      <c r="N805" s="110" t="n"/>
      <c r="O805" s="110" t="n"/>
      <c r="P805" s="110" t="n"/>
      <c r="Q805" s="110" t="n"/>
      <c r="R805" s="110" t="n"/>
      <c r="S805" s="110" t="n"/>
      <c r="T805" s="110" t="n"/>
      <c r="U805" s="110" t="n"/>
      <c r="V805" s="110" t="n"/>
      <c r="W805" s="110" t="n"/>
      <c r="X805" s="110" t="n"/>
      <c r="Y805" s="110" t="n"/>
      <c r="Z805" s="110" t="n"/>
    </row>
    <row r="806">
      <c r="A806" s="110" t="n"/>
      <c r="B806" s="110" t="n"/>
      <c r="C806" s="110" t="n"/>
      <c r="D806" s="110" t="n"/>
      <c r="E806" s="110" t="n"/>
      <c r="F806" s="110" t="n"/>
      <c r="G806" s="110" t="n"/>
      <c r="H806" s="110" t="n"/>
      <c r="I806" s="110" t="n"/>
      <c r="J806" s="110" t="n"/>
      <c r="K806" s="110" t="n"/>
      <c r="L806" s="110" t="n"/>
      <c r="M806" s="110" t="n"/>
      <c r="N806" s="110" t="n"/>
      <c r="O806" s="110" t="n"/>
      <c r="P806" s="110" t="n"/>
      <c r="Q806" s="110" t="n"/>
      <c r="R806" s="110" t="n"/>
      <c r="S806" s="110" t="n"/>
      <c r="T806" s="110" t="n"/>
      <c r="U806" s="110" t="n"/>
      <c r="V806" s="110" t="n"/>
      <c r="W806" s="110" t="n"/>
      <c r="X806" s="110" t="n"/>
      <c r="Y806" s="110" t="n"/>
      <c r="Z806" s="110" t="n"/>
    </row>
    <row r="807">
      <c r="A807" s="110" t="n"/>
      <c r="B807" s="110" t="n"/>
      <c r="C807" s="110" t="n"/>
      <c r="D807" s="110" t="n"/>
      <c r="E807" s="110" t="n"/>
      <c r="F807" s="110" t="n"/>
      <c r="G807" s="110" t="n"/>
      <c r="H807" s="110" t="n"/>
      <c r="I807" s="110" t="n"/>
      <c r="J807" s="110" t="n"/>
      <c r="K807" s="110" t="n"/>
      <c r="L807" s="110" t="n"/>
      <c r="M807" s="110" t="n"/>
      <c r="N807" s="110" t="n"/>
      <c r="O807" s="110" t="n"/>
      <c r="P807" s="110" t="n"/>
      <c r="Q807" s="110" t="n"/>
      <c r="R807" s="110" t="n"/>
      <c r="S807" s="110" t="n"/>
      <c r="T807" s="110" t="n"/>
      <c r="U807" s="110" t="n"/>
      <c r="V807" s="110" t="n"/>
      <c r="W807" s="110" t="n"/>
      <c r="X807" s="110" t="n"/>
      <c r="Y807" s="110" t="n"/>
      <c r="Z807" s="110" t="n"/>
    </row>
    <row r="808">
      <c r="A808" s="110" t="n"/>
      <c r="B808" s="110" t="n"/>
      <c r="C808" s="110" t="n"/>
      <c r="D808" s="110" t="n"/>
      <c r="E808" s="110" t="n"/>
      <c r="F808" s="110" t="n"/>
      <c r="G808" s="110" t="n"/>
      <c r="H808" s="110" t="n"/>
      <c r="I808" s="110" t="n"/>
      <c r="J808" s="110" t="n"/>
      <c r="K808" s="110" t="n"/>
      <c r="L808" s="110" t="n"/>
      <c r="M808" s="110" t="n"/>
      <c r="N808" s="110" t="n"/>
      <c r="O808" s="110" t="n"/>
      <c r="P808" s="110" t="n"/>
      <c r="Q808" s="110" t="n"/>
      <c r="R808" s="110" t="n"/>
      <c r="S808" s="110" t="n"/>
      <c r="T808" s="110" t="n"/>
      <c r="U808" s="110" t="n"/>
      <c r="V808" s="110" t="n"/>
      <c r="W808" s="110" t="n"/>
      <c r="X808" s="110" t="n"/>
      <c r="Y808" s="110" t="n"/>
      <c r="Z808" s="110" t="n"/>
    </row>
    <row r="809">
      <c r="A809" s="110" t="n"/>
      <c r="B809" s="110" t="n"/>
      <c r="C809" s="110" t="n"/>
      <c r="D809" s="110" t="n"/>
      <c r="E809" s="110" t="n"/>
      <c r="F809" s="110" t="n"/>
      <c r="G809" s="110" t="n"/>
      <c r="H809" s="110" t="n"/>
      <c r="I809" s="110" t="n"/>
      <c r="J809" s="110" t="n"/>
      <c r="K809" s="110" t="n"/>
      <c r="L809" s="110" t="n"/>
      <c r="M809" s="110" t="n"/>
      <c r="N809" s="110" t="n"/>
      <c r="O809" s="110" t="n"/>
      <c r="P809" s="110" t="n"/>
      <c r="Q809" s="110" t="n"/>
      <c r="R809" s="110" t="n"/>
      <c r="S809" s="110" t="n"/>
      <c r="T809" s="110" t="n"/>
      <c r="U809" s="110" t="n"/>
      <c r="V809" s="110" t="n"/>
      <c r="W809" s="110" t="n"/>
      <c r="X809" s="110" t="n"/>
      <c r="Y809" s="110" t="n"/>
      <c r="Z809" s="110" t="n"/>
    </row>
    <row r="810">
      <c r="A810" s="110" t="n"/>
      <c r="B810" s="110" t="n"/>
      <c r="C810" s="110" t="n"/>
      <c r="D810" s="110" t="n"/>
      <c r="E810" s="110" t="n"/>
      <c r="F810" s="110" t="n"/>
      <c r="G810" s="110" t="n"/>
      <c r="H810" s="110" t="n"/>
      <c r="I810" s="110" t="n"/>
      <c r="J810" s="110" t="n"/>
      <c r="K810" s="110" t="n"/>
      <c r="L810" s="110" t="n"/>
      <c r="M810" s="110" t="n"/>
      <c r="N810" s="110" t="n"/>
      <c r="O810" s="110" t="n"/>
      <c r="P810" s="110" t="n"/>
      <c r="Q810" s="110" t="n"/>
      <c r="R810" s="110" t="n"/>
      <c r="S810" s="110" t="n"/>
      <c r="T810" s="110" t="n"/>
      <c r="U810" s="110" t="n"/>
      <c r="V810" s="110" t="n"/>
      <c r="W810" s="110" t="n"/>
      <c r="X810" s="110" t="n"/>
      <c r="Y810" s="110" t="n"/>
      <c r="Z810" s="110" t="n"/>
    </row>
    <row r="811">
      <c r="A811" s="110" t="n"/>
      <c r="B811" s="110" t="n"/>
      <c r="C811" s="110" t="n"/>
      <c r="D811" s="110" t="n"/>
      <c r="E811" s="110" t="n"/>
      <c r="F811" s="110" t="n"/>
      <c r="G811" s="110" t="n"/>
      <c r="H811" s="110" t="n"/>
      <c r="I811" s="110" t="n"/>
      <c r="J811" s="110" t="n"/>
      <c r="K811" s="110" t="n"/>
      <c r="L811" s="110" t="n"/>
      <c r="M811" s="110" t="n"/>
      <c r="N811" s="110" t="n"/>
      <c r="O811" s="110" t="n"/>
      <c r="P811" s="110" t="n"/>
      <c r="Q811" s="110" t="n"/>
      <c r="R811" s="110" t="n"/>
      <c r="S811" s="110" t="n"/>
      <c r="T811" s="110" t="n"/>
      <c r="U811" s="110" t="n"/>
      <c r="V811" s="110" t="n"/>
      <c r="W811" s="110" t="n"/>
      <c r="X811" s="110" t="n"/>
      <c r="Y811" s="110" t="n"/>
      <c r="Z811" s="110" t="n"/>
    </row>
    <row r="812">
      <c r="A812" s="110" t="n"/>
      <c r="B812" s="110" t="n"/>
      <c r="C812" s="110" t="n"/>
      <c r="D812" s="110" t="n"/>
      <c r="E812" s="110" t="n"/>
      <c r="F812" s="110" t="n"/>
      <c r="G812" s="110" t="n"/>
      <c r="H812" s="110" t="n"/>
      <c r="I812" s="110" t="n"/>
      <c r="J812" s="110" t="n"/>
      <c r="K812" s="110" t="n"/>
      <c r="L812" s="110" t="n"/>
      <c r="M812" s="110" t="n"/>
      <c r="N812" s="110" t="n"/>
      <c r="O812" s="110" t="n"/>
      <c r="P812" s="110" t="n"/>
      <c r="Q812" s="110" t="n"/>
      <c r="R812" s="110" t="n"/>
      <c r="S812" s="110" t="n"/>
      <c r="T812" s="110" t="n"/>
      <c r="U812" s="110" t="n"/>
      <c r="V812" s="110" t="n"/>
      <c r="W812" s="110" t="n"/>
      <c r="X812" s="110" t="n"/>
      <c r="Y812" s="110" t="n"/>
      <c r="Z812" s="110" t="n"/>
    </row>
    <row r="813">
      <c r="A813" s="110" t="n"/>
      <c r="B813" s="110" t="n"/>
      <c r="C813" s="110" t="n"/>
      <c r="D813" s="110" t="n"/>
      <c r="E813" s="110" t="n"/>
      <c r="F813" s="110" t="n"/>
      <c r="G813" s="110" t="n"/>
      <c r="H813" s="110" t="n"/>
      <c r="I813" s="110" t="n"/>
      <c r="J813" s="110" t="n"/>
      <c r="K813" s="110" t="n"/>
      <c r="L813" s="110" t="n"/>
      <c r="M813" s="110" t="n"/>
      <c r="N813" s="110" t="n"/>
      <c r="O813" s="110" t="n"/>
      <c r="P813" s="110" t="n"/>
      <c r="Q813" s="110" t="n"/>
      <c r="R813" s="110" t="n"/>
      <c r="S813" s="110" t="n"/>
      <c r="T813" s="110" t="n"/>
      <c r="U813" s="110" t="n"/>
      <c r="V813" s="110" t="n"/>
      <c r="W813" s="110" t="n"/>
      <c r="X813" s="110" t="n"/>
      <c r="Y813" s="110" t="n"/>
      <c r="Z813" s="110" t="n"/>
    </row>
    <row r="814">
      <c r="A814" s="110" t="n"/>
      <c r="B814" s="110" t="n"/>
      <c r="C814" s="110" t="n"/>
      <c r="D814" s="110" t="n"/>
      <c r="E814" s="110" t="n"/>
      <c r="F814" s="110" t="n"/>
      <c r="G814" s="110" t="n"/>
      <c r="H814" s="110" t="n"/>
      <c r="I814" s="110" t="n"/>
      <c r="J814" s="110" t="n"/>
      <c r="K814" s="110" t="n"/>
      <c r="L814" s="110" t="n"/>
      <c r="M814" s="110" t="n"/>
      <c r="N814" s="110" t="n"/>
      <c r="O814" s="110" t="n"/>
      <c r="P814" s="110" t="n"/>
      <c r="Q814" s="110" t="n"/>
      <c r="R814" s="110" t="n"/>
      <c r="S814" s="110" t="n"/>
      <c r="T814" s="110" t="n"/>
      <c r="U814" s="110" t="n"/>
      <c r="V814" s="110" t="n"/>
      <c r="W814" s="110" t="n"/>
      <c r="X814" s="110" t="n"/>
      <c r="Y814" s="110" t="n"/>
      <c r="Z814" s="110" t="n"/>
    </row>
    <row r="815">
      <c r="A815" s="110" t="n"/>
      <c r="B815" s="110" t="n"/>
      <c r="C815" s="110" t="n"/>
      <c r="D815" s="110" t="n"/>
      <c r="E815" s="110" t="n"/>
      <c r="F815" s="110" t="n"/>
      <c r="G815" s="110" t="n"/>
      <c r="H815" s="110" t="n"/>
      <c r="I815" s="110" t="n"/>
      <c r="J815" s="110" t="n"/>
      <c r="K815" s="110" t="n"/>
      <c r="L815" s="110" t="n"/>
      <c r="M815" s="110" t="n"/>
      <c r="N815" s="110" t="n"/>
      <c r="O815" s="110" t="n"/>
      <c r="P815" s="110" t="n"/>
      <c r="Q815" s="110" t="n"/>
      <c r="R815" s="110" t="n"/>
      <c r="S815" s="110" t="n"/>
      <c r="T815" s="110" t="n"/>
      <c r="U815" s="110" t="n"/>
      <c r="V815" s="110" t="n"/>
      <c r="W815" s="110" t="n"/>
      <c r="X815" s="110" t="n"/>
      <c r="Y815" s="110" t="n"/>
      <c r="Z815" s="110" t="n"/>
    </row>
    <row r="816">
      <c r="A816" s="110" t="n"/>
      <c r="B816" s="110" t="n"/>
      <c r="C816" s="110" t="n"/>
      <c r="D816" s="110" t="n"/>
      <c r="E816" s="110" t="n"/>
      <c r="F816" s="110" t="n"/>
      <c r="G816" s="110" t="n"/>
      <c r="H816" s="110" t="n"/>
      <c r="I816" s="110" t="n"/>
      <c r="J816" s="110" t="n"/>
      <c r="K816" s="110" t="n"/>
      <c r="L816" s="110" t="n"/>
      <c r="M816" s="110" t="n"/>
      <c r="N816" s="110" t="n"/>
      <c r="O816" s="110" t="n"/>
      <c r="P816" s="110" t="n"/>
      <c r="Q816" s="110" t="n"/>
      <c r="R816" s="110" t="n"/>
      <c r="S816" s="110" t="n"/>
      <c r="T816" s="110" t="n"/>
      <c r="U816" s="110" t="n"/>
      <c r="V816" s="110" t="n"/>
      <c r="W816" s="110" t="n"/>
      <c r="X816" s="110" t="n"/>
      <c r="Y816" s="110" t="n"/>
      <c r="Z816" s="110" t="n"/>
    </row>
    <row r="817">
      <c r="A817" s="110" t="n"/>
      <c r="B817" s="110" t="n"/>
      <c r="C817" s="110" t="n"/>
      <c r="D817" s="110" t="n"/>
      <c r="E817" s="110" t="n"/>
      <c r="F817" s="110" t="n"/>
      <c r="G817" s="110" t="n"/>
      <c r="H817" s="110" t="n"/>
      <c r="I817" s="110" t="n"/>
      <c r="J817" s="110" t="n"/>
      <c r="K817" s="110" t="n"/>
      <c r="L817" s="110" t="n"/>
      <c r="M817" s="110" t="n"/>
      <c r="N817" s="110" t="n"/>
      <c r="O817" s="110" t="n"/>
      <c r="P817" s="110" t="n"/>
      <c r="Q817" s="110" t="n"/>
      <c r="R817" s="110" t="n"/>
      <c r="S817" s="110" t="n"/>
      <c r="T817" s="110" t="n"/>
      <c r="U817" s="110" t="n"/>
      <c r="V817" s="110" t="n"/>
      <c r="W817" s="110" t="n"/>
      <c r="X817" s="110" t="n"/>
      <c r="Y817" s="110" t="n"/>
      <c r="Z817" s="110" t="n"/>
    </row>
    <row r="818">
      <c r="A818" s="110" t="n"/>
      <c r="B818" s="110" t="n"/>
      <c r="C818" s="110" t="n"/>
      <c r="D818" s="110" t="n"/>
      <c r="E818" s="110" t="n"/>
      <c r="F818" s="110" t="n"/>
      <c r="G818" s="110" t="n"/>
      <c r="H818" s="110" t="n"/>
      <c r="I818" s="110" t="n"/>
      <c r="J818" s="110" t="n"/>
      <c r="K818" s="110" t="n"/>
      <c r="L818" s="110" t="n"/>
      <c r="M818" s="110" t="n"/>
      <c r="N818" s="110" t="n"/>
      <c r="O818" s="110" t="n"/>
      <c r="P818" s="110" t="n"/>
      <c r="Q818" s="110" t="n"/>
      <c r="R818" s="110" t="n"/>
      <c r="S818" s="110" t="n"/>
      <c r="T818" s="110" t="n"/>
      <c r="U818" s="110" t="n"/>
      <c r="V818" s="110" t="n"/>
      <c r="W818" s="110" t="n"/>
      <c r="X818" s="110" t="n"/>
      <c r="Y818" s="110" t="n"/>
      <c r="Z818" s="110" t="n"/>
    </row>
    <row r="819">
      <c r="A819" s="110" t="n"/>
      <c r="B819" s="110" t="n"/>
      <c r="C819" s="110" t="n"/>
      <c r="D819" s="110" t="n"/>
      <c r="E819" s="110" t="n"/>
      <c r="F819" s="110" t="n"/>
      <c r="G819" s="110" t="n"/>
      <c r="H819" s="110" t="n"/>
      <c r="I819" s="110" t="n"/>
      <c r="J819" s="110" t="n"/>
      <c r="K819" s="110" t="n"/>
      <c r="L819" s="110" t="n"/>
      <c r="M819" s="110" t="n"/>
      <c r="N819" s="110" t="n"/>
      <c r="O819" s="110" t="n"/>
      <c r="P819" s="110" t="n"/>
      <c r="Q819" s="110" t="n"/>
      <c r="R819" s="110" t="n"/>
      <c r="S819" s="110" t="n"/>
      <c r="T819" s="110" t="n"/>
      <c r="U819" s="110" t="n"/>
      <c r="V819" s="110" t="n"/>
      <c r="W819" s="110" t="n"/>
      <c r="X819" s="110" t="n"/>
      <c r="Y819" s="110" t="n"/>
      <c r="Z819" s="110" t="n"/>
    </row>
    <row r="820">
      <c r="A820" s="110" t="n"/>
      <c r="B820" s="110" t="n"/>
      <c r="C820" s="110" t="n"/>
      <c r="D820" s="110" t="n"/>
      <c r="E820" s="110" t="n"/>
      <c r="F820" s="110" t="n"/>
      <c r="G820" s="110" t="n"/>
      <c r="H820" s="110" t="n"/>
      <c r="I820" s="110" t="n"/>
      <c r="J820" s="110" t="n"/>
      <c r="K820" s="110" t="n"/>
      <c r="L820" s="110" t="n"/>
      <c r="M820" s="110" t="n"/>
      <c r="N820" s="110" t="n"/>
      <c r="O820" s="110" t="n"/>
      <c r="P820" s="110" t="n"/>
      <c r="Q820" s="110" t="n"/>
      <c r="R820" s="110" t="n"/>
      <c r="S820" s="110" t="n"/>
      <c r="T820" s="110" t="n"/>
      <c r="U820" s="110" t="n"/>
      <c r="V820" s="110" t="n"/>
      <c r="W820" s="110" t="n"/>
      <c r="X820" s="110" t="n"/>
      <c r="Y820" s="110" t="n"/>
      <c r="Z820" s="110" t="n"/>
    </row>
    <row r="821">
      <c r="A821" s="110" t="n"/>
      <c r="B821" s="110" t="n"/>
      <c r="C821" s="110" t="n"/>
      <c r="D821" s="110" t="n"/>
      <c r="E821" s="110" t="n"/>
      <c r="F821" s="110" t="n"/>
      <c r="G821" s="110" t="n"/>
      <c r="H821" s="110" t="n"/>
      <c r="I821" s="110" t="n"/>
      <c r="J821" s="110" t="n"/>
      <c r="K821" s="110" t="n"/>
      <c r="L821" s="110" t="n"/>
      <c r="M821" s="110" t="n"/>
      <c r="N821" s="110" t="n"/>
      <c r="O821" s="110" t="n"/>
      <c r="P821" s="110" t="n"/>
      <c r="Q821" s="110" t="n"/>
      <c r="R821" s="110" t="n"/>
      <c r="S821" s="110" t="n"/>
      <c r="T821" s="110" t="n"/>
      <c r="U821" s="110" t="n"/>
      <c r="V821" s="110" t="n"/>
      <c r="W821" s="110" t="n"/>
      <c r="X821" s="110" t="n"/>
      <c r="Y821" s="110" t="n"/>
      <c r="Z821" s="110" t="n"/>
    </row>
    <row r="822">
      <c r="A822" s="110" t="n"/>
      <c r="B822" s="110" t="n"/>
      <c r="C822" s="110" t="n"/>
      <c r="D822" s="110" t="n"/>
      <c r="E822" s="110" t="n"/>
      <c r="F822" s="110" t="n"/>
      <c r="G822" s="110" t="n"/>
      <c r="H822" s="110" t="n"/>
      <c r="I822" s="110" t="n"/>
      <c r="J822" s="110" t="n"/>
      <c r="K822" s="110" t="n"/>
      <c r="L822" s="110" t="n"/>
      <c r="M822" s="110" t="n"/>
      <c r="N822" s="110" t="n"/>
      <c r="O822" s="110" t="n"/>
      <c r="P822" s="110" t="n"/>
      <c r="Q822" s="110" t="n"/>
      <c r="R822" s="110" t="n"/>
      <c r="S822" s="110" t="n"/>
      <c r="T822" s="110" t="n"/>
      <c r="U822" s="110" t="n"/>
      <c r="V822" s="110" t="n"/>
      <c r="W822" s="110" t="n"/>
      <c r="X822" s="110" t="n"/>
      <c r="Y822" s="110" t="n"/>
      <c r="Z822" s="110" t="n"/>
    </row>
    <row r="823">
      <c r="A823" s="110" t="n"/>
      <c r="B823" s="110" t="n"/>
      <c r="C823" s="110" t="n"/>
      <c r="D823" s="110" t="n"/>
      <c r="E823" s="110" t="n"/>
      <c r="F823" s="110" t="n"/>
      <c r="G823" s="110" t="n"/>
      <c r="H823" s="110" t="n"/>
      <c r="I823" s="110" t="n"/>
      <c r="J823" s="110" t="n"/>
      <c r="K823" s="110" t="n"/>
      <c r="L823" s="110" t="n"/>
      <c r="M823" s="110" t="n"/>
      <c r="N823" s="110" t="n"/>
      <c r="O823" s="110" t="n"/>
      <c r="P823" s="110" t="n"/>
      <c r="Q823" s="110" t="n"/>
      <c r="R823" s="110" t="n"/>
      <c r="S823" s="110" t="n"/>
      <c r="T823" s="110" t="n"/>
      <c r="U823" s="110" t="n"/>
      <c r="V823" s="110" t="n"/>
      <c r="W823" s="110" t="n"/>
      <c r="X823" s="110" t="n"/>
      <c r="Y823" s="110" t="n"/>
      <c r="Z823" s="110" t="n"/>
    </row>
    <row r="824">
      <c r="A824" s="110" t="n"/>
      <c r="B824" s="110" t="n"/>
      <c r="C824" s="110" t="n"/>
      <c r="D824" s="110" t="n"/>
      <c r="E824" s="110" t="n"/>
      <c r="F824" s="110" t="n"/>
      <c r="G824" s="110" t="n"/>
      <c r="H824" s="110" t="n"/>
      <c r="I824" s="110" t="n"/>
      <c r="J824" s="110" t="n"/>
      <c r="K824" s="110" t="n"/>
      <c r="L824" s="110" t="n"/>
      <c r="M824" s="110" t="n"/>
      <c r="N824" s="110" t="n"/>
      <c r="O824" s="110" t="n"/>
      <c r="P824" s="110" t="n"/>
      <c r="Q824" s="110" t="n"/>
      <c r="R824" s="110" t="n"/>
      <c r="S824" s="110" t="n"/>
      <c r="T824" s="110" t="n"/>
      <c r="U824" s="110" t="n"/>
      <c r="V824" s="110" t="n"/>
      <c r="W824" s="110" t="n"/>
      <c r="X824" s="110" t="n"/>
      <c r="Y824" s="110" t="n"/>
      <c r="Z824" s="110" t="n"/>
    </row>
    <row r="825">
      <c r="A825" s="110" t="n"/>
      <c r="B825" s="110" t="n"/>
      <c r="C825" s="110" t="n"/>
      <c r="D825" s="110" t="n"/>
      <c r="E825" s="110" t="n"/>
      <c r="F825" s="110" t="n"/>
      <c r="G825" s="110" t="n"/>
      <c r="H825" s="110" t="n"/>
      <c r="I825" s="110" t="n"/>
      <c r="J825" s="110" t="n"/>
      <c r="K825" s="110" t="n"/>
      <c r="L825" s="110" t="n"/>
      <c r="M825" s="110" t="n"/>
      <c r="N825" s="110" t="n"/>
      <c r="O825" s="110" t="n"/>
      <c r="P825" s="110" t="n"/>
      <c r="Q825" s="110" t="n"/>
      <c r="R825" s="110" t="n"/>
      <c r="S825" s="110" t="n"/>
      <c r="T825" s="110" t="n"/>
      <c r="U825" s="110" t="n"/>
      <c r="V825" s="110" t="n"/>
      <c r="W825" s="110" t="n"/>
      <c r="X825" s="110" t="n"/>
      <c r="Y825" s="110" t="n"/>
      <c r="Z825" s="110" t="n"/>
    </row>
    <row r="826">
      <c r="A826" s="110" t="n"/>
      <c r="B826" s="110" t="n"/>
      <c r="C826" s="110" t="n"/>
      <c r="D826" s="110" t="n"/>
      <c r="E826" s="110" t="n"/>
      <c r="F826" s="110" t="n"/>
      <c r="G826" s="110" t="n"/>
      <c r="H826" s="110" t="n"/>
      <c r="I826" s="110" t="n"/>
      <c r="J826" s="110" t="n"/>
      <c r="K826" s="110" t="n"/>
      <c r="L826" s="110" t="n"/>
      <c r="M826" s="110" t="n"/>
      <c r="N826" s="110" t="n"/>
      <c r="O826" s="110" t="n"/>
      <c r="P826" s="110" t="n"/>
      <c r="Q826" s="110" t="n"/>
      <c r="R826" s="110" t="n"/>
      <c r="S826" s="110" t="n"/>
      <c r="T826" s="110" t="n"/>
      <c r="U826" s="110" t="n"/>
      <c r="V826" s="110" t="n"/>
      <c r="W826" s="110" t="n"/>
      <c r="X826" s="110" t="n"/>
      <c r="Y826" s="110" t="n"/>
      <c r="Z826" s="110" t="n"/>
    </row>
    <row r="827">
      <c r="A827" s="110" t="n"/>
      <c r="B827" s="110" t="n"/>
      <c r="C827" s="110" t="n"/>
      <c r="D827" s="110" t="n"/>
      <c r="E827" s="110" t="n"/>
      <c r="F827" s="110" t="n"/>
      <c r="G827" s="110" t="n"/>
      <c r="H827" s="110" t="n"/>
      <c r="I827" s="110" t="n"/>
      <c r="J827" s="110" t="n"/>
      <c r="K827" s="110" t="n"/>
      <c r="L827" s="110" t="n"/>
      <c r="M827" s="110" t="n"/>
      <c r="N827" s="110" t="n"/>
      <c r="O827" s="110" t="n"/>
      <c r="P827" s="110" t="n"/>
      <c r="Q827" s="110" t="n"/>
      <c r="R827" s="110" t="n"/>
      <c r="S827" s="110" t="n"/>
      <c r="T827" s="110" t="n"/>
      <c r="U827" s="110" t="n"/>
      <c r="V827" s="110" t="n"/>
      <c r="W827" s="110" t="n"/>
      <c r="X827" s="110" t="n"/>
      <c r="Y827" s="110" t="n"/>
      <c r="Z827" s="110" t="n"/>
    </row>
    <row r="828">
      <c r="A828" s="110" t="n"/>
      <c r="B828" s="110" t="n"/>
      <c r="C828" s="110" t="n"/>
      <c r="D828" s="110" t="n"/>
      <c r="E828" s="110" t="n"/>
      <c r="F828" s="110" t="n"/>
      <c r="G828" s="110" t="n"/>
      <c r="H828" s="110" t="n"/>
      <c r="I828" s="110" t="n"/>
      <c r="J828" s="110" t="n"/>
      <c r="K828" s="110" t="n"/>
      <c r="L828" s="110" t="n"/>
      <c r="M828" s="110" t="n"/>
      <c r="N828" s="110" t="n"/>
      <c r="O828" s="110" t="n"/>
      <c r="P828" s="110" t="n"/>
      <c r="Q828" s="110" t="n"/>
      <c r="R828" s="110" t="n"/>
      <c r="S828" s="110" t="n"/>
      <c r="T828" s="110" t="n"/>
      <c r="U828" s="110" t="n"/>
      <c r="V828" s="110" t="n"/>
      <c r="W828" s="110" t="n"/>
      <c r="X828" s="110" t="n"/>
      <c r="Y828" s="110" t="n"/>
      <c r="Z828" s="110" t="n"/>
    </row>
    <row r="829">
      <c r="A829" s="110" t="n"/>
      <c r="B829" s="110" t="n"/>
      <c r="C829" s="110" t="n"/>
      <c r="D829" s="110" t="n"/>
      <c r="E829" s="110" t="n"/>
      <c r="F829" s="110" t="n"/>
      <c r="G829" s="110" t="n"/>
      <c r="H829" s="110" t="n"/>
      <c r="I829" s="110" t="n"/>
      <c r="J829" s="110" t="n"/>
      <c r="K829" s="110" t="n"/>
      <c r="L829" s="110" t="n"/>
      <c r="M829" s="110" t="n"/>
      <c r="N829" s="110" t="n"/>
      <c r="O829" s="110" t="n"/>
      <c r="P829" s="110" t="n"/>
      <c r="Q829" s="110" t="n"/>
      <c r="R829" s="110" t="n"/>
      <c r="S829" s="110" t="n"/>
      <c r="T829" s="110" t="n"/>
      <c r="U829" s="110" t="n"/>
      <c r="V829" s="110" t="n"/>
      <c r="W829" s="110" t="n"/>
      <c r="X829" s="110" t="n"/>
      <c r="Y829" s="110" t="n"/>
      <c r="Z829" s="110" t="n"/>
    </row>
    <row r="830">
      <c r="A830" s="110" t="n"/>
      <c r="B830" s="110" t="n"/>
      <c r="C830" s="110" t="n"/>
      <c r="D830" s="110" t="n"/>
      <c r="E830" s="110" t="n"/>
      <c r="F830" s="110" t="n"/>
      <c r="G830" s="110" t="n"/>
      <c r="H830" s="110" t="n"/>
      <c r="I830" s="110" t="n"/>
      <c r="J830" s="110" t="n"/>
      <c r="K830" s="110" t="n"/>
      <c r="L830" s="110" t="n"/>
      <c r="M830" s="110" t="n"/>
      <c r="N830" s="110" t="n"/>
      <c r="O830" s="110" t="n"/>
      <c r="P830" s="110" t="n"/>
      <c r="Q830" s="110" t="n"/>
      <c r="R830" s="110" t="n"/>
      <c r="S830" s="110" t="n"/>
      <c r="T830" s="110" t="n"/>
      <c r="U830" s="110" t="n"/>
      <c r="V830" s="110" t="n"/>
      <c r="W830" s="110" t="n"/>
      <c r="X830" s="110" t="n"/>
      <c r="Y830" s="110" t="n"/>
      <c r="Z830" s="110" t="n"/>
    </row>
    <row r="831">
      <c r="A831" s="110" t="n"/>
      <c r="B831" s="110" t="n"/>
      <c r="C831" s="110" t="n"/>
      <c r="D831" s="110" t="n"/>
      <c r="E831" s="110" t="n"/>
      <c r="F831" s="110" t="n"/>
      <c r="G831" s="110" t="n"/>
      <c r="H831" s="110" t="n"/>
      <c r="I831" s="110" t="n"/>
      <c r="J831" s="110" t="n"/>
      <c r="K831" s="110" t="n"/>
      <c r="L831" s="110" t="n"/>
      <c r="M831" s="110" t="n"/>
      <c r="N831" s="110" t="n"/>
      <c r="O831" s="110" t="n"/>
      <c r="P831" s="110" t="n"/>
      <c r="Q831" s="110" t="n"/>
      <c r="R831" s="110" t="n"/>
      <c r="S831" s="110" t="n"/>
      <c r="T831" s="110" t="n"/>
      <c r="U831" s="110" t="n"/>
      <c r="V831" s="110" t="n"/>
      <c r="W831" s="110" t="n"/>
      <c r="X831" s="110" t="n"/>
      <c r="Y831" s="110" t="n"/>
      <c r="Z831" s="110" t="n"/>
    </row>
    <row r="832">
      <c r="A832" s="110" t="n"/>
      <c r="B832" s="110" t="n"/>
      <c r="C832" s="110" t="n"/>
      <c r="D832" s="110" t="n"/>
      <c r="E832" s="110" t="n"/>
      <c r="F832" s="110" t="n"/>
      <c r="G832" s="110" t="n"/>
      <c r="H832" s="110" t="n"/>
      <c r="I832" s="110" t="n"/>
      <c r="J832" s="110" t="n"/>
      <c r="K832" s="110" t="n"/>
      <c r="L832" s="110" t="n"/>
      <c r="M832" s="110" t="n"/>
      <c r="N832" s="110" t="n"/>
      <c r="O832" s="110" t="n"/>
      <c r="P832" s="110" t="n"/>
      <c r="Q832" s="110" t="n"/>
      <c r="R832" s="110" t="n"/>
      <c r="S832" s="110" t="n"/>
      <c r="T832" s="110" t="n"/>
      <c r="U832" s="110" t="n"/>
      <c r="V832" s="110" t="n"/>
      <c r="W832" s="110" t="n"/>
      <c r="X832" s="110" t="n"/>
      <c r="Y832" s="110" t="n"/>
      <c r="Z832" s="110" t="n"/>
    </row>
    <row r="833">
      <c r="A833" s="110" t="n"/>
      <c r="B833" s="110" t="n"/>
      <c r="C833" s="110" t="n"/>
      <c r="D833" s="110" t="n"/>
      <c r="E833" s="110" t="n"/>
      <c r="F833" s="110" t="n"/>
      <c r="G833" s="110" t="n"/>
      <c r="H833" s="110" t="n"/>
      <c r="I833" s="110" t="n"/>
      <c r="J833" s="110" t="n"/>
      <c r="K833" s="110" t="n"/>
      <c r="L833" s="110" t="n"/>
      <c r="M833" s="110" t="n"/>
      <c r="N833" s="110" t="n"/>
      <c r="O833" s="110" t="n"/>
      <c r="P833" s="110" t="n"/>
      <c r="Q833" s="110" t="n"/>
      <c r="R833" s="110" t="n"/>
      <c r="S833" s="110" t="n"/>
      <c r="T833" s="110" t="n"/>
      <c r="U833" s="110" t="n"/>
      <c r="V833" s="110" t="n"/>
      <c r="W833" s="110" t="n"/>
      <c r="X833" s="110" t="n"/>
      <c r="Y833" s="110" t="n"/>
      <c r="Z833" s="110" t="n"/>
    </row>
    <row r="834">
      <c r="A834" s="110" t="n"/>
      <c r="B834" s="110" t="n"/>
      <c r="C834" s="110" t="n"/>
      <c r="D834" s="110" t="n"/>
      <c r="E834" s="110" t="n"/>
      <c r="F834" s="110" t="n"/>
      <c r="G834" s="110" t="n"/>
      <c r="H834" s="110" t="n"/>
      <c r="I834" s="110" t="n"/>
      <c r="J834" s="110" t="n"/>
      <c r="K834" s="110" t="n"/>
      <c r="L834" s="110" t="n"/>
      <c r="M834" s="110" t="n"/>
      <c r="N834" s="110" t="n"/>
      <c r="O834" s="110" t="n"/>
      <c r="P834" s="110" t="n"/>
      <c r="Q834" s="110" t="n"/>
      <c r="R834" s="110" t="n"/>
      <c r="S834" s="110" t="n"/>
      <c r="T834" s="110" t="n"/>
      <c r="U834" s="110" t="n"/>
      <c r="V834" s="110" t="n"/>
      <c r="W834" s="110" t="n"/>
      <c r="X834" s="110" t="n"/>
      <c r="Y834" s="110" t="n"/>
      <c r="Z834" s="110" t="n"/>
    </row>
    <row r="835">
      <c r="A835" s="110" t="n"/>
      <c r="B835" s="110" t="n"/>
      <c r="C835" s="110" t="n"/>
      <c r="D835" s="110" t="n"/>
      <c r="E835" s="110" t="n"/>
      <c r="F835" s="110" t="n"/>
      <c r="G835" s="110" t="n"/>
      <c r="H835" s="110" t="n"/>
      <c r="I835" s="110" t="n"/>
      <c r="J835" s="110" t="n"/>
      <c r="K835" s="110" t="n"/>
      <c r="L835" s="110" t="n"/>
      <c r="M835" s="110" t="n"/>
      <c r="N835" s="110" t="n"/>
      <c r="O835" s="110" t="n"/>
      <c r="P835" s="110" t="n"/>
      <c r="Q835" s="110" t="n"/>
      <c r="R835" s="110" t="n"/>
      <c r="S835" s="110" t="n"/>
      <c r="T835" s="110" t="n"/>
      <c r="U835" s="110" t="n"/>
      <c r="V835" s="110" t="n"/>
      <c r="W835" s="110" t="n"/>
      <c r="X835" s="110" t="n"/>
      <c r="Y835" s="110" t="n"/>
      <c r="Z835" s="110" t="n"/>
    </row>
    <row r="836">
      <c r="A836" s="110" t="n"/>
      <c r="B836" s="110" t="n"/>
      <c r="C836" s="110" t="n"/>
      <c r="D836" s="110" t="n"/>
      <c r="E836" s="110" t="n"/>
      <c r="F836" s="110" t="n"/>
      <c r="G836" s="110" t="n"/>
      <c r="H836" s="110" t="n"/>
      <c r="I836" s="110" t="n"/>
      <c r="J836" s="110" t="n"/>
      <c r="K836" s="110" t="n"/>
      <c r="L836" s="110" t="n"/>
      <c r="M836" s="110" t="n"/>
      <c r="N836" s="110" t="n"/>
      <c r="O836" s="110" t="n"/>
      <c r="P836" s="110" t="n"/>
      <c r="Q836" s="110" t="n"/>
      <c r="R836" s="110" t="n"/>
      <c r="S836" s="110" t="n"/>
      <c r="T836" s="110" t="n"/>
      <c r="U836" s="110" t="n"/>
      <c r="V836" s="110" t="n"/>
      <c r="W836" s="110" t="n"/>
      <c r="X836" s="110" t="n"/>
      <c r="Y836" s="110" t="n"/>
      <c r="Z836" s="110" t="n"/>
    </row>
    <row r="837">
      <c r="A837" s="110" t="n"/>
      <c r="B837" s="110" t="n"/>
      <c r="C837" s="110" t="n"/>
      <c r="D837" s="110" t="n"/>
      <c r="E837" s="110" t="n"/>
      <c r="F837" s="110" t="n"/>
      <c r="G837" s="110" t="n"/>
      <c r="H837" s="110" t="n"/>
      <c r="I837" s="110" t="n"/>
      <c r="J837" s="110" t="n"/>
      <c r="K837" s="110" t="n"/>
      <c r="L837" s="110" t="n"/>
      <c r="M837" s="110" t="n"/>
      <c r="N837" s="110" t="n"/>
      <c r="O837" s="110" t="n"/>
      <c r="P837" s="110" t="n"/>
      <c r="Q837" s="110" t="n"/>
      <c r="R837" s="110" t="n"/>
      <c r="S837" s="110" t="n"/>
      <c r="T837" s="110" t="n"/>
      <c r="U837" s="110" t="n"/>
      <c r="V837" s="110" t="n"/>
      <c r="W837" s="110" t="n"/>
      <c r="X837" s="110" t="n"/>
      <c r="Y837" s="110" t="n"/>
      <c r="Z837" s="110" t="n"/>
    </row>
    <row r="838">
      <c r="A838" s="110" t="n"/>
      <c r="B838" s="110" t="n"/>
      <c r="C838" s="110" t="n"/>
      <c r="D838" s="110" t="n"/>
      <c r="E838" s="110" t="n"/>
      <c r="F838" s="110" t="n"/>
      <c r="G838" s="110" t="n"/>
      <c r="H838" s="110" t="n"/>
      <c r="I838" s="110" t="n"/>
      <c r="J838" s="110" t="n"/>
      <c r="K838" s="110" t="n"/>
      <c r="L838" s="110" t="n"/>
      <c r="M838" s="110" t="n"/>
      <c r="N838" s="110" t="n"/>
      <c r="O838" s="110" t="n"/>
      <c r="P838" s="110" t="n"/>
      <c r="Q838" s="110" t="n"/>
      <c r="R838" s="110" t="n"/>
      <c r="S838" s="110" t="n"/>
      <c r="T838" s="110" t="n"/>
      <c r="U838" s="110" t="n"/>
      <c r="V838" s="110" t="n"/>
      <c r="W838" s="110" t="n"/>
      <c r="X838" s="110" t="n"/>
      <c r="Y838" s="110" t="n"/>
      <c r="Z838" s="110" t="n"/>
    </row>
    <row r="839">
      <c r="A839" s="110" t="n"/>
      <c r="B839" s="110" t="n"/>
      <c r="C839" s="110" t="n"/>
      <c r="D839" s="110" t="n"/>
      <c r="E839" s="110" t="n"/>
      <c r="F839" s="110" t="n"/>
      <c r="G839" s="110" t="n"/>
      <c r="H839" s="110" t="n"/>
      <c r="I839" s="110" t="n"/>
      <c r="J839" s="110" t="n"/>
      <c r="K839" s="110" t="n"/>
      <c r="L839" s="110" t="n"/>
      <c r="M839" s="110" t="n"/>
      <c r="N839" s="110" t="n"/>
      <c r="O839" s="110" t="n"/>
      <c r="P839" s="110" t="n"/>
      <c r="Q839" s="110" t="n"/>
      <c r="R839" s="110" t="n"/>
      <c r="S839" s="110" t="n"/>
      <c r="T839" s="110" t="n"/>
      <c r="U839" s="110" t="n"/>
      <c r="V839" s="110" t="n"/>
      <c r="W839" s="110" t="n"/>
      <c r="X839" s="110" t="n"/>
      <c r="Y839" s="110" t="n"/>
      <c r="Z839" s="110" t="n"/>
    </row>
    <row r="840">
      <c r="A840" s="110" t="n"/>
      <c r="B840" s="110" t="n"/>
      <c r="C840" s="110" t="n"/>
      <c r="D840" s="110" t="n"/>
      <c r="E840" s="110" t="n"/>
      <c r="F840" s="110" t="n"/>
      <c r="G840" s="110" t="n"/>
      <c r="H840" s="110" t="n"/>
      <c r="I840" s="110" t="n"/>
      <c r="J840" s="110" t="n"/>
      <c r="K840" s="110" t="n"/>
      <c r="L840" s="110" t="n"/>
      <c r="M840" s="110" t="n"/>
      <c r="N840" s="110" t="n"/>
      <c r="O840" s="110" t="n"/>
      <c r="P840" s="110" t="n"/>
      <c r="Q840" s="110" t="n"/>
      <c r="R840" s="110" t="n"/>
      <c r="S840" s="110" t="n"/>
      <c r="T840" s="110" t="n"/>
      <c r="U840" s="110" t="n"/>
      <c r="V840" s="110" t="n"/>
      <c r="W840" s="110" t="n"/>
      <c r="X840" s="110" t="n"/>
      <c r="Y840" s="110" t="n"/>
      <c r="Z840" s="110" t="n"/>
    </row>
    <row r="841">
      <c r="A841" s="110" t="n"/>
      <c r="B841" s="110" t="n"/>
      <c r="C841" s="110" t="n"/>
      <c r="D841" s="110" t="n"/>
      <c r="E841" s="110" t="n"/>
      <c r="F841" s="110" t="n"/>
      <c r="G841" s="110" t="n"/>
      <c r="H841" s="110" t="n"/>
      <c r="I841" s="110" t="n"/>
      <c r="J841" s="110" t="n"/>
      <c r="K841" s="110" t="n"/>
      <c r="L841" s="110" t="n"/>
      <c r="M841" s="110" t="n"/>
      <c r="N841" s="110" t="n"/>
      <c r="O841" s="110" t="n"/>
      <c r="P841" s="110" t="n"/>
      <c r="Q841" s="110" t="n"/>
      <c r="R841" s="110" t="n"/>
      <c r="S841" s="110" t="n"/>
      <c r="T841" s="110" t="n"/>
      <c r="U841" s="110" t="n"/>
      <c r="V841" s="110" t="n"/>
      <c r="W841" s="110" t="n"/>
      <c r="X841" s="110" t="n"/>
      <c r="Y841" s="110" t="n"/>
      <c r="Z841" s="110" t="n"/>
    </row>
    <row r="842">
      <c r="A842" s="110" t="n"/>
      <c r="B842" s="110" t="n"/>
      <c r="C842" s="110" t="n"/>
      <c r="D842" s="110" t="n"/>
      <c r="E842" s="110" t="n"/>
      <c r="F842" s="110" t="n"/>
      <c r="G842" s="110" t="n"/>
      <c r="H842" s="110" t="n"/>
      <c r="I842" s="110" t="n"/>
      <c r="J842" s="110" t="n"/>
      <c r="K842" s="110" t="n"/>
      <c r="L842" s="110" t="n"/>
      <c r="M842" s="110" t="n"/>
      <c r="N842" s="110" t="n"/>
      <c r="O842" s="110" t="n"/>
      <c r="P842" s="110" t="n"/>
      <c r="Q842" s="110" t="n"/>
      <c r="R842" s="110" t="n"/>
      <c r="S842" s="110" t="n"/>
      <c r="T842" s="110" t="n"/>
      <c r="U842" s="110" t="n"/>
      <c r="V842" s="110" t="n"/>
      <c r="W842" s="110" t="n"/>
      <c r="X842" s="110" t="n"/>
      <c r="Y842" s="110" t="n"/>
      <c r="Z842" s="110" t="n"/>
    </row>
    <row r="843">
      <c r="A843" s="110" t="n"/>
      <c r="B843" s="110" t="n"/>
      <c r="C843" s="110" t="n"/>
      <c r="D843" s="110" t="n"/>
      <c r="E843" s="110" t="n"/>
      <c r="F843" s="110" t="n"/>
      <c r="G843" s="110" t="n"/>
      <c r="H843" s="110" t="n"/>
      <c r="I843" s="110" t="n"/>
      <c r="J843" s="110" t="n"/>
      <c r="K843" s="110" t="n"/>
      <c r="L843" s="110" t="n"/>
      <c r="M843" s="110" t="n"/>
      <c r="N843" s="110" t="n"/>
      <c r="O843" s="110" t="n"/>
      <c r="P843" s="110" t="n"/>
      <c r="Q843" s="110" t="n"/>
      <c r="R843" s="110" t="n"/>
      <c r="S843" s="110" t="n"/>
      <c r="T843" s="110" t="n"/>
      <c r="U843" s="110" t="n"/>
      <c r="V843" s="110" t="n"/>
      <c r="W843" s="110" t="n"/>
      <c r="X843" s="110" t="n"/>
      <c r="Y843" s="110" t="n"/>
      <c r="Z843" s="110" t="n"/>
    </row>
    <row r="844">
      <c r="A844" s="110" t="n"/>
      <c r="B844" s="110" t="n"/>
      <c r="C844" s="110" t="n"/>
      <c r="D844" s="110" t="n"/>
      <c r="E844" s="110" t="n"/>
      <c r="F844" s="110" t="n"/>
      <c r="G844" s="110" t="n"/>
      <c r="H844" s="110" t="n"/>
      <c r="I844" s="110" t="n"/>
      <c r="J844" s="110" t="n"/>
      <c r="K844" s="110" t="n"/>
      <c r="L844" s="110" t="n"/>
      <c r="M844" s="110" t="n"/>
      <c r="N844" s="110" t="n"/>
      <c r="O844" s="110" t="n"/>
      <c r="P844" s="110" t="n"/>
      <c r="Q844" s="110" t="n"/>
      <c r="R844" s="110" t="n"/>
      <c r="S844" s="110" t="n"/>
      <c r="T844" s="110" t="n"/>
      <c r="U844" s="110" t="n"/>
      <c r="V844" s="110" t="n"/>
      <c r="W844" s="110" t="n"/>
      <c r="X844" s="110" t="n"/>
      <c r="Y844" s="110" t="n"/>
      <c r="Z844" s="110" t="n"/>
    </row>
    <row r="845">
      <c r="A845" s="110" t="n"/>
      <c r="B845" s="110" t="n"/>
      <c r="C845" s="110" t="n"/>
      <c r="D845" s="110" t="n"/>
      <c r="E845" s="110" t="n"/>
      <c r="F845" s="110" t="n"/>
      <c r="G845" s="110" t="n"/>
      <c r="H845" s="110" t="n"/>
      <c r="I845" s="110" t="n"/>
      <c r="J845" s="110" t="n"/>
      <c r="K845" s="110" t="n"/>
      <c r="L845" s="110" t="n"/>
      <c r="M845" s="110" t="n"/>
      <c r="N845" s="110" t="n"/>
      <c r="O845" s="110" t="n"/>
      <c r="P845" s="110" t="n"/>
      <c r="Q845" s="110" t="n"/>
      <c r="R845" s="110" t="n"/>
      <c r="S845" s="110" t="n"/>
      <c r="T845" s="110" t="n"/>
      <c r="U845" s="110" t="n"/>
      <c r="V845" s="110" t="n"/>
      <c r="W845" s="110" t="n"/>
      <c r="X845" s="110" t="n"/>
      <c r="Y845" s="110" t="n"/>
      <c r="Z845" s="110" t="n"/>
    </row>
    <row r="846">
      <c r="A846" s="110" t="n"/>
      <c r="B846" s="110" t="n"/>
      <c r="C846" s="110" t="n"/>
      <c r="D846" s="110" t="n"/>
      <c r="E846" s="110" t="n"/>
      <c r="F846" s="110" t="n"/>
      <c r="G846" s="110" t="n"/>
      <c r="H846" s="110" t="n"/>
      <c r="I846" s="110" t="n"/>
      <c r="J846" s="110" t="n"/>
      <c r="K846" s="110" t="n"/>
      <c r="L846" s="110" t="n"/>
      <c r="M846" s="110" t="n"/>
      <c r="N846" s="110" t="n"/>
      <c r="O846" s="110" t="n"/>
      <c r="P846" s="110" t="n"/>
      <c r="Q846" s="110" t="n"/>
      <c r="R846" s="110" t="n"/>
      <c r="S846" s="110" t="n"/>
      <c r="T846" s="110" t="n"/>
      <c r="U846" s="110" t="n"/>
      <c r="V846" s="110" t="n"/>
      <c r="W846" s="110" t="n"/>
      <c r="X846" s="110" t="n"/>
      <c r="Y846" s="110" t="n"/>
      <c r="Z846" s="110" t="n"/>
    </row>
    <row r="847">
      <c r="A847" s="110" t="n"/>
      <c r="B847" s="110" t="n"/>
      <c r="C847" s="110" t="n"/>
      <c r="D847" s="110" t="n"/>
      <c r="E847" s="110" t="n"/>
      <c r="F847" s="110" t="n"/>
      <c r="G847" s="110" t="n"/>
      <c r="H847" s="110" t="n"/>
      <c r="I847" s="110" t="n"/>
      <c r="J847" s="110" t="n"/>
      <c r="K847" s="110" t="n"/>
      <c r="L847" s="110" t="n"/>
      <c r="M847" s="110" t="n"/>
      <c r="N847" s="110" t="n"/>
      <c r="O847" s="110" t="n"/>
      <c r="P847" s="110" t="n"/>
      <c r="Q847" s="110" t="n"/>
      <c r="R847" s="110" t="n"/>
      <c r="S847" s="110" t="n"/>
      <c r="T847" s="110" t="n"/>
      <c r="U847" s="110" t="n"/>
      <c r="V847" s="110" t="n"/>
      <c r="W847" s="110" t="n"/>
      <c r="X847" s="110" t="n"/>
      <c r="Y847" s="110" t="n"/>
      <c r="Z847" s="110" t="n"/>
    </row>
    <row r="848">
      <c r="A848" s="110" t="n"/>
      <c r="B848" s="110" t="n"/>
      <c r="C848" s="110" t="n"/>
      <c r="D848" s="110" t="n"/>
      <c r="E848" s="110" t="n"/>
      <c r="F848" s="110" t="n"/>
      <c r="G848" s="110" t="n"/>
      <c r="H848" s="110" t="n"/>
      <c r="I848" s="110" t="n"/>
      <c r="J848" s="110" t="n"/>
      <c r="K848" s="110" t="n"/>
      <c r="L848" s="110" t="n"/>
      <c r="M848" s="110" t="n"/>
      <c r="N848" s="110" t="n"/>
      <c r="O848" s="110" t="n"/>
      <c r="P848" s="110" t="n"/>
      <c r="Q848" s="110" t="n"/>
      <c r="R848" s="110" t="n"/>
      <c r="S848" s="110" t="n"/>
      <c r="T848" s="110" t="n"/>
      <c r="U848" s="110" t="n"/>
      <c r="V848" s="110" t="n"/>
      <c r="W848" s="110" t="n"/>
      <c r="X848" s="110" t="n"/>
      <c r="Y848" s="110" t="n"/>
      <c r="Z848" s="110" t="n"/>
    </row>
    <row r="849">
      <c r="A849" s="110" t="n"/>
      <c r="B849" s="110" t="n"/>
      <c r="C849" s="110" t="n"/>
      <c r="D849" s="110" t="n"/>
      <c r="E849" s="110" t="n"/>
      <c r="F849" s="110" t="n"/>
      <c r="G849" s="110" t="n"/>
      <c r="H849" s="110" t="n"/>
      <c r="I849" s="110" t="n"/>
      <c r="J849" s="110" t="n"/>
      <c r="K849" s="110" t="n"/>
      <c r="L849" s="110" t="n"/>
      <c r="M849" s="110" t="n"/>
      <c r="N849" s="110" t="n"/>
      <c r="O849" s="110" t="n"/>
      <c r="P849" s="110" t="n"/>
      <c r="Q849" s="110" t="n"/>
      <c r="R849" s="110" t="n"/>
      <c r="S849" s="110" t="n"/>
      <c r="T849" s="110" t="n"/>
      <c r="U849" s="110" t="n"/>
      <c r="V849" s="110" t="n"/>
      <c r="W849" s="110" t="n"/>
      <c r="X849" s="110" t="n"/>
      <c r="Y849" s="110" t="n"/>
      <c r="Z849" s="110" t="n"/>
    </row>
    <row r="850">
      <c r="A850" s="110" t="n"/>
      <c r="B850" s="110" t="n"/>
      <c r="C850" s="110" t="n"/>
      <c r="D850" s="110" t="n"/>
      <c r="E850" s="110" t="n"/>
      <c r="F850" s="110" t="n"/>
      <c r="G850" s="110" t="n"/>
      <c r="H850" s="110" t="n"/>
      <c r="I850" s="110" t="n"/>
      <c r="J850" s="110" t="n"/>
      <c r="K850" s="110" t="n"/>
      <c r="L850" s="110" t="n"/>
      <c r="M850" s="110" t="n"/>
      <c r="N850" s="110" t="n"/>
      <c r="O850" s="110" t="n"/>
      <c r="P850" s="110" t="n"/>
      <c r="Q850" s="110" t="n"/>
      <c r="R850" s="110" t="n"/>
      <c r="S850" s="110" t="n"/>
      <c r="T850" s="110" t="n"/>
      <c r="U850" s="110" t="n"/>
      <c r="V850" s="110" t="n"/>
      <c r="W850" s="110" t="n"/>
      <c r="X850" s="110" t="n"/>
      <c r="Y850" s="110" t="n"/>
      <c r="Z850" s="110" t="n"/>
    </row>
    <row r="851">
      <c r="A851" s="110" t="n"/>
      <c r="B851" s="110" t="n"/>
      <c r="C851" s="110" t="n"/>
      <c r="D851" s="110" t="n"/>
      <c r="E851" s="110" t="n"/>
      <c r="F851" s="110" t="n"/>
      <c r="G851" s="110" t="n"/>
      <c r="H851" s="110" t="n"/>
      <c r="I851" s="110" t="n"/>
      <c r="J851" s="110" t="n"/>
      <c r="K851" s="110" t="n"/>
      <c r="L851" s="110" t="n"/>
      <c r="M851" s="110" t="n"/>
      <c r="N851" s="110" t="n"/>
      <c r="O851" s="110" t="n"/>
      <c r="P851" s="110" t="n"/>
      <c r="Q851" s="110" t="n"/>
      <c r="R851" s="110" t="n"/>
      <c r="S851" s="110" t="n"/>
      <c r="T851" s="110" t="n"/>
      <c r="U851" s="110" t="n"/>
      <c r="V851" s="110" t="n"/>
      <c r="W851" s="110" t="n"/>
      <c r="X851" s="110" t="n"/>
      <c r="Y851" s="110" t="n"/>
      <c r="Z851" s="110" t="n"/>
    </row>
    <row r="852">
      <c r="A852" s="110" t="n"/>
      <c r="B852" s="110" t="n"/>
      <c r="C852" s="110" t="n"/>
      <c r="D852" s="110" t="n"/>
      <c r="E852" s="110" t="n"/>
      <c r="F852" s="110" t="n"/>
      <c r="G852" s="110" t="n"/>
      <c r="H852" s="110" t="n"/>
      <c r="I852" s="110" t="n"/>
      <c r="J852" s="110" t="n"/>
      <c r="K852" s="110" t="n"/>
      <c r="L852" s="110" t="n"/>
      <c r="M852" s="110" t="n"/>
      <c r="N852" s="110" t="n"/>
      <c r="O852" s="110" t="n"/>
      <c r="P852" s="110" t="n"/>
      <c r="Q852" s="110" t="n"/>
      <c r="R852" s="110" t="n"/>
      <c r="S852" s="110" t="n"/>
      <c r="T852" s="110" t="n"/>
      <c r="U852" s="110" t="n"/>
      <c r="V852" s="110" t="n"/>
      <c r="W852" s="110" t="n"/>
      <c r="X852" s="110" t="n"/>
      <c r="Y852" s="110" t="n"/>
      <c r="Z852" s="110" t="n"/>
    </row>
    <row r="853">
      <c r="A853" s="110" t="n"/>
      <c r="B853" s="110" t="n"/>
      <c r="C853" s="110" t="n"/>
      <c r="D853" s="110" t="n"/>
      <c r="E853" s="110" t="n"/>
      <c r="F853" s="110" t="n"/>
      <c r="G853" s="110" t="n"/>
      <c r="H853" s="110" t="n"/>
      <c r="I853" s="110" t="n"/>
      <c r="J853" s="110" t="n"/>
      <c r="K853" s="110" t="n"/>
      <c r="L853" s="110" t="n"/>
      <c r="M853" s="110" t="n"/>
      <c r="N853" s="110" t="n"/>
      <c r="O853" s="110" t="n"/>
      <c r="P853" s="110" t="n"/>
      <c r="Q853" s="110" t="n"/>
      <c r="R853" s="110" t="n"/>
      <c r="S853" s="110" t="n"/>
      <c r="T853" s="110" t="n"/>
      <c r="U853" s="110" t="n"/>
      <c r="V853" s="110" t="n"/>
      <c r="W853" s="110" t="n"/>
      <c r="X853" s="110" t="n"/>
      <c r="Y853" s="110" t="n"/>
      <c r="Z853" s="110" t="n"/>
    </row>
    <row r="854">
      <c r="A854" s="110" t="n"/>
      <c r="B854" s="110" t="n"/>
      <c r="C854" s="110" t="n"/>
      <c r="D854" s="110" t="n"/>
      <c r="E854" s="110" t="n"/>
      <c r="F854" s="110" t="n"/>
      <c r="G854" s="110" t="n"/>
      <c r="H854" s="110" t="n"/>
      <c r="I854" s="110" t="n"/>
      <c r="J854" s="110" t="n"/>
      <c r="K854" s="110" t="n"/>
      <c r="L854" s="110" t="n"/>
      <c r="M854" s="110" t="n"/>
      <c r="N854" s="110" t="n"/>
      <c r="O854" s="110" t="n"/>
      <c r="P854" s="110" t="n"/>
      <c r="Q854" s="110" t="n"/>
      <c r="R854" s="110" t="n"/>
      <c r="S854" s="110" t="n"/>
      <c r="T854" s="110" t="n"/>
      <c r="U854" s="110" t="n"/>
      <c r="V854" s="110" t="n"/>
      <c r="W854" s="110" t="n"/>
      <c r="X854" s="110" t="n"/>
      <c r="Y854" s="110" t="n"/>
      <c r="Z854" s="110" t="n"/>
    </row>
    <row r="855">
      <c r="A855" s="110" t="n"/>
      <c r="B855" s="110" t="n"/>
      <c r="C855" s="110" t="n"/>
      <c r="D855" s="110" t="n"/>
      <c r="E855" s="110" t="n"/>
      <c r="F855" s="110" t="n"/>
      <c r="G855" s="110" t="n"/>
      <c r="H855" s="110" t="n"/>
      <c r="I855" s="110" t="n"/>
      <c r="J855" s="110" t="n"/>
      <c r="K855" s="110" t="n"/>
      <c r="L855" s="110" t="n"/>
      <c r="M855" s="110" t="n"/>
      <c r="N855" s="110" t="n"/>
      <c r="O855" s="110" t="n"/>
      <c r="P855" s="110" t="n"/>
      <c r="Q855" s="110" t="n"/>
      <c r="R855" s="110" t="n"/>
      <c r="S855" s="110" t="n"/>
      <c r="T855" s="110" t="n"/>
      <c r="U855" s="110" t="n"/>
      <c r="V855" s="110" t="n"/>
      <c r="W855" s="110" t="n"/>
      <c r="X855" s="110" t="n"/>
      <c r="Y855" s="110" t="n"/>
      <c r="Z855" s="110" t="n"/>
    </row>
    <row r="856">
      <c r="A856" s="110" t="n"/>
      <c r="B856" s="110" t="n"/>
      <c r="C856" s="110" t="n"/>
      <c r="D856" s="110" t="n"/>
      <c r="E856" s="110" t="n"/>
      <c r="F856" s="110" t="n"/>
      <c r="G856" s="110" t="n"/>
      <c r="H856" s="110" t="n"/>
      <c r="I856" s="110" t="n"/>
      <c r="J856" s="110" t="n"/>
      <c r="K856" s="110" t="n"/>
      <c r="L856" s="110" t="n"/>
      <c r="M856" s="110" t="n"/>
      <c r="N856" s="110" t="n"/>
      <c r="O856" s="110" t="n"/>
      <c r="P856" s="110" t="n"/>
      <c r="Q856" s="110" t="n"/>
      <c r="R856" s="110" t="n"/>
      <c r="S856" s="110" t="n"/>
      <c r="T856" s="110" t="n"/>
      <c r="U856" s="110" t="n"/>
      <c r="V856" s="110" t="n"/>
      <c r="W856" s="110" t="n"/>
      <c r="X856" s="110" t="n"/>
      <c r="Y856" s="110" t="n"/>
      <c r="Z856" s="110" t="n"/>
    </row>
    <row r="857">
      <c r="A857" s="110" t="n"/>
      <c r="B857" s="110" t="n"/>
      <c r="C857" s="110" t="n"/>
      <c r="D857" s="110" t="n"/>
      <c r="E857" s="110" t="n"/>
      <c r="F857" s="110" t="n"/>
      <c r="G857" s="110" t="n"/>
      <c r="H857" s="110" t="n"/>
      <c r="I857" s="110" t="n"/>
      <c r="J857" s="110" t="n"/>
      <c r="K857" s="110" t="n"/>
      <c r="L857" s="110" t="n"/>
      <c r="M857" s="110" t="n"/>
      <c r="N857" s="110" t="n"/>
      <c r="O857" s="110" t="n"/>
      <c r="P857" s="110" t="n"/>
      <c r="Q857" s="110" t="n"/>
      <c r="R857" s="110" t="n"/>
      <c r="S857" s="110" t="n"/>
      <c r="T857" s="110" t="n"/>
      <c r="U857" s="110" t="n"/>
      <c r="V857" s="110" t="n"/>
      <c r="W857" s="110" t="n"/>
      <c r="X857" s="110" t="n"/>
      <c r="Y857" s="110" t="n"/>
      <c r="Z857" s="110" t="n"/>
    </row>
    <row r="858">
      <c r="A858" s="110" t="n"/>
      <c r="B858" s="110" t="n"/>
      <c r="C858" s="110" t="n"/>
      <c r="D858" s="110" t="n"/>
      <c r="E858" s="110" t="n"/>
      <c r="F858" s="110" t="n"/>
      <c r="G858" s="110" t="n"/>
      <c r="H858" s="110" t="n"/>
      <c r="I858" s="110" t="n"/>
      <c r="J858" s="110" t="n"/>
      <c r="K858" s="110" t="n"/>
      <c r="L858" s="110" t="n"/>
      <c r="M858" s="110" t="n"/>
      <c r="N858" s="110" t="n"/>
      <c r="O858" s="110" t="n"/>
      <c r="P858" s="110" t="n"/>
      <c r="Q858" s="110" t="n"/>
      <c r="R858" s="110" t="n"/>
      <c r="S858" s="110" t="n"/>
      <c r="T858" s="110" t="n"/>
      <c r="U858" s="110" t="n"/>
      <c r="V858" s="110" t="n"/>
      <c r="W858" s="110" t="n"/>
      <c r="X858" s="110" t="n"/>
      <c r="Y858" s="110" t="n"/>
      <c r="Z858" s="110" t="n"/>
    </row>
    <row r="859">
      <c r="A859" s="110" t="n"/>
      <c r="B859" s="110" t="n"/>
      <c r="C859" s="110" t="n"/>
      <c r="D859" s="110" t="n"/>
      <c r="E859" s="110" t="n"/>
      <c r="F859" s="110" t="n"/>
      <c r="G859" s="110" t="n"/>
      <c r="H859" s="110" t="n"/>
      <c r="I859" s="110" t="n"/>
      <c r="J859" s="110" t="n"/>
      <c r="K859" s="110" t="n"/>
      <c r="L859" s="110" t="n"/>
      <c r="M859" s="110" t="n"/>
      <c r="N859" s="110" t="n"/>
      <c r="O859" s="110" t="n"/>
      <c r="P859" s="110" t="n"/>
      <c r="Q859" s="110" t="n"/>
      <c r="R859" s="110" t="n"/>
      <c r="S859" s="110" t="n"/>
      <c r="T859" s="110" t="n"/>
      <c r="U859" s="110" t="n"/>
      <c r="V859" s="110" t="n"/>
      <c r="W859" s="110" t="n"/>
      <c r="X859" s="110" t="n"/>
      <c r="Y859" s="110" t="n"/>
      <c r="Z859" s="110" t="n"/>
    </row>
    <row r="860">
      <c r="A860" s="110" t="n"/>
      <c r="B860" s="110" t="n"/>
      <c r="C860" s="110" t="n"/>
      <c r="D860" s="110" t="n"/>
      <c r="E860" s="110" t="n"/>
      <c r="F860" s="110" t="n"/>
      <c r="G860" s="110" t="n"/>
      <c r="H860" s="110" t="n"/>
      <c r="I860" s="110" t="n"/>
      <c r="J860" s="110" t="n"/>
      <c r="K860" s="110" t="n"/>
      <c r="L860" s="110" t="n"/>
      <c r="M860" s="110" t="n"/>
      <c r="N860" s="110" t="n"/>
      <c r="O860" s="110" t="n"/>
      <c r="P860" s="110" t="n"/>
      <c r="Q860" s="110" t="n"/>
      <c r="R860" s="110" t="n"/>
      <c r="S860" s="110" t="n"/>
      <c r="T860" s="110" t="n"/>
      <c r="U860" s="110" t="n"/>
      <c r="V860" s="110" t="n"/>
      <c r="W860" s="110" t="n"/>
      <c r="X860" s="110" t="n"/>
      <c r="Y860" s="110" t="n"/>
      <c r="Z860" s="110" t="n"/>
    </row>
    <row r="861">
      <c r="A861" s="110" t="n"/>
      <c r="B861" s="110" t="n"/>
      <c r="C861" s="110" t="n"/>
      <c r="D861" s="110" t="n"/>
      <c r="E861" s="110" t="n"/>
      <c r="F861" s="110" t="n"/>
      <c r="G861" s="110" t="n"/>
      <c r="H861" s="110" t="n"/>
      <c r="I861" s="110" t="n"/>
      <c r="J861" s="110" t="n"/>
      <c r="K861" s="110" t="n"/>
      <c r="L861" s="110" t="n"/>
      <c r="M861" s="110" t="n"/>
      <c r="N861" s="110" t="n"/>
      <c r="O861" s="110" t="n"/>
      <c r="P861" s="110" t="n"/>
      <c r="Q861" s="110" t="n"/>
      <c r="R861" s="110" t="n"/>
      <c r="S861" s="110" t="n"/>
      <c r="T861" s="110" t="n"/>
      <c r="U861" s="110" t="n"/>
      <c r="V861" s="110" t="n"/>
      <c r="W861" s="110" t="n"/>
      <c r="X861" s="110" t="n"/>
      <c r="Y861" s="110" t="n"/>
      <c r="Z861" s="110" t="n"/>
    </row>
    <row r="862">
      <c r="A862" s="110" t="n"/>
      <c r="B862" s="110" t="n"/>
      <c r="C862" s="110" t="n"/>
      <c r="D862" s="110" t="n"/>
      <c r="E862" s="110" t="n"/>
      <c r="F862" s="110" t="n"/>
      <c r="G862" s="110" t="n"/>
      <c r="H862" s="110" t="n"/>
      <c r="I862" s="110" t="n"/>
      <c r="J862" s="110" t="n"/>
      <c r="K862" s="110" t="n"/>
      <c r="L862" s="110" t="n"/>
      <c r="M862" s="110" t="n"/>
      <c r="N862" s="110" t="n"/>
      <c r="O862" s="110" t="n"/>
      <c r="P862" s="110" t="n"/>
      <c r="Q862" s="110" t="n"/>
      <c r="R862" s="110" t="n"/>
      <c r="S862" s="110" t="n"/>
      <c r="T862" s="110" t="n"/>
      <c r="U862" s="110" t="n"/>
      <c r="V862" s="110" t="n"/>
      <c r="W862" s="110" t="n"/>
      <c r="X862" s="110" t="n"/>
      <c r="Y862" s="110" t="n"/>
      <c r="Z862" s="110" t="n"/>
    </row>
    <row r="863">
      <c r="A863" s="110" t="n"/>
      <c r="B863" s="110" t="n"/>
      <c r="C863" s="110" t="n"/>
      <c r="D863" s="110" t="n"/>
      <c r="E863" s="110" t="n"/>
      <c r="F863" s="110" t="n"/>
      <c r="G863" s="110" t="n"/>
      <c r="H863" s="110" t="n"/>
      <c r="I863" s="110" t="n"/>
      <c r="J863" s="110" t="n"/>
      <c r="K863" s="110" t="n"/>
      <c r="L863" s="110" t="n"/>
      <c r="M863" s="110" t="n"/>
      <c r="N863" s="110" t="n"/>
      <c r="O863" s="110" t="n"/>
      <c r="P863" s="110" t="n"/>
      <c r="Q863" s="110" t="n"/>
      <c r="R863" s="110" t="n"/>
      <c r="S863" s="110" t="n"/>
      <c r="T863" s="110" t="n"/>
      <c r="U863" s="110" t="n"/>
      <c r="V863" s="110" t="n"/>
      <c r="W863" s="110" t="n"/>
      <c r="X863" s="110" t="n"/>
      <c r="Y863" s="110" t="n"/>
      <c r="Z863" s="110" t="n"/>
    </row>
    <row r="864">
      <c r="A864" s="110" t="n"/>
      <c r="B864" s="110" t="n"/>
      <c r="C864" s="110" t="n"/>
      <c r="D864" s="110" t="n"/>
      <c r="E864" s="110" t="n"/>
      <c r="F864" s="110" t="n"/>
      <c r="G864" s="110" t="n"/>
      <c r="H864" s="110" t="n"/>
      <c r="I864" s="110" t="n"/>
      <c r="J864" s="110" t="n"/>
      <c r="K864" s="110" t="n"/>
      <c r="L864" s="110" t="n"/>
      <c r="M864" s="110" t="n"/>
      <c r="N864" s="110" t="n"/>
      <c r="O864" s="110" t="n"/>
      <c r="P864" s="110" t="n"/>
      <c r="Q864" s="110" t="n"/>
      <c r="R864" s="110" t="n"/>
      <c r="S864" s="110" t="n"/>
      <c r="T864" s="110" t="n"/>
      <c r="U864" s="110" t="n"/>
      <c r="V864" s="110" t="n"/>
      <c r="W864" s="110" t="n"/>
      <c r="X864" s="110" t="n"/>
      <c r="Y864" s="110" t="n"/>
      <c r="Z864" s="110" t="n"/>
    </row>
    <row r="865">
      <c r="A865" s="110" t="n"/>
      <c r="B865" s="110" t="n"/>
      <c r="C865" s="110" t="n"/>
      <c r="D865" s="110" t="n"/>
      <c r="E865" s="110" t="n"/>
      <c r="F865" s="110" t="n"/>
      <c r="G865" s="110" t="n"/>
      <c r="H865" s="110" t="n"/>
      <c r="I865" s="110" t="n"/>
      <c r="J865" s="110" t="n"/>
      <c r="K865" s="110" t="n"/>
      <c r="L865" s="110" t="n"/>
      <c r="M865" s="110" t="n"/>
      <c r="N865" s="110" t="n"/>
      <c r="O865" s="110" t="n"/>
      <c r="P865" s="110" t="n"/>
      <c r="Q865" s="110" t="n"/>
      <c r="R865" s="110" t="n"/>
      <c r="S865" s="110" t="n"/>
      <c r="T865" s="110" t="n"/>
      <c r="U865" s="110" t="n"/>
      <c r="V865" s="110" t="n"/>
      <c r="W865" s="110" t="n"/>
      <c r="X865" s="110" t="n"/>
      <c r="Y865" s="110" t="n"/>
      <c r="Z865" s="110" t="n"/>
    </row>
    <row r="866">
      <c r="A866" s="110" t="n"/>
      <c r="B866" s="110" t="n"/>
      <c r="C866" s="110" t="n"/>
      <c r="D866" s="110" t="n"/>
      <c r="E866" s="110" t="n"/>
      <c r="F866" s="110" t="n"/>
      <c r="G866" s="110" t="n"/>
      <c r="H866" s="110" t="n"/>
      <c r="I866" s="110" t="n"/>
      <c r="J866" s="110" t="n"/>
      <c r="K866" s="110" t="n"/>
      <c r="L866" s="110" t="n"/>
      <c r="M866" s="110" t="n"/>
      <c r="N866" s="110" t="n"/>
      <c r="O866" s="110" t="n"/>
      <c r="P866" s="110" t="n"/>
      <c r="Q866" s="110" t="n"/>
      <c r="R866" s="110" t="n"/>
      <c r="S866" s="110" t="n"/>
      <c r="T866" s="110" t="n"/>
      <c r="U866" s="110" t="n"/>
      <c r="V866" s="110" t="n"/>
      <c r="W866" s="110" t="n"/>
      <c r="X866" s="110" t="n"/>
      <c r="Y866" s="110" t="n"/>
      <c r="Z866" s="110" t="n"/>
    </row>
    <row r="867">
      <c r="A867" s="110" t="n"/>
      <c r="B867" s="110" t="n"/>
      <c r="C867" s="110" t="n"/>
      <c r="D867" s="110" t="n"/>
      <c r="E867" s="110" t="n"/>
      <c r="F867" s="110" t="n"/>
      <c r="G867" s="110" t="n"/>
      <c r="H867" s="110" t="n"/>
      <c r="I867" s="110" t="n"/>
      <c r="J867" s="110" t="n"/>
      <c r="K867" s="110" t="n"/>
      <c r="L867" s="110" t="n"/>
      <c r="M867" s="110" t="n"/>
      <c r="N867" s="110" t="n"/>
      <c r="O867" s="110" t="n"/>
      <c r="P867" s="110" t="n"/>
      <c r="Q867" s="110" t="n"/>
      <c r="R867" s="110" t="n"/>
      <c r="S867" s="110" t="n"/>
      <c r="T867" s="110" t="n"/>
      <c r="U867" s="110" t="n"/>
      <c r="V867" s="110" t="n"/>
      <c r="W867" s="110" t="n"/>
      <c r="X867" s="110" t="n"/>
      <c r="Y867" s="110" t="n"/>
      <c r="Z867" s="110" t="n"/>
    </row>
    <row r="868">
      <c r="A868" s="110" t="n"/>
      <c r="B868" s="110" t="n"/>
      <c r="C868" s="110" t="n"/>
      <c r="D868" s="110" t="n"/>
      <c r="E868" s="110" t="n"/>
      <c r="F868" s="110" t="n"/>
      <c r="G868" s="110" t="n"/>
      <c r="H868" s="110" t="n"/>
      <c r="I868" s="110" t="n"/>
      <c r="J868" s="110" t="n"/>
      <c r="K868" s="110" t="n"/>
      <c r="L868" s="110" t="n"/>
      <c r="M868" s="110" t="n"/>
      <c r="N868" s="110" t="n"/>
      <c r="O868" s="110" t="n"/>
      <c r="P868" s="110" t="n"/>
      <c r="Q868" s="110" t="n"/>
      <c r="R868" s="110" t="n"/>
      <c r="S868" s="110" t="n"/>
      <c r="T868" s="110" t="n"/>
      <c r="U868" s="110" t="n"/>
      <c r="V868" s="110" t="n"/>
      <c r="W868" s="110" t="n"/>
      <c r="X868" s="110" t="n"/>
      <c r="Y868" s="110" t="n"/>
      <c r="Z868" s="110" t="n"/>
    </row>
    <row r="869">
      <c r="A869" s="110" t="n"/>
      <c r="B869" s="110" t="n"/>
      <c r="C869" s="110" t="n"/>
      <c r="D869" s="110" t="n"/>
      <c r="E869" s="110" t="n"/>
      <c r="F869" s="110" t="n"/>
      <c r="G869" s="110" t="n"/>
      <c r="H869" s="110" t="n"/>
      <c r="I869" s="110" t="n"/>
      <c r="J869" s="110" t="n"/>
      <c r="K869" s="110" t="n"/>
      <c r="L869" s="110" t="n"/>
      <c r="M869" s="110" t="n"/>
      <c r="N869" s="110" t="n"/>
      <c r="O869" s="110" t="n"/>
      <c r="P869" s="110" t="n"/>
      <c r="Q869" s="110" t="n"/>
      <c r="R869" s="110" t="n"/>
      <c r="S869" s="110" t="n"/>
      <c r="T869" s="110" t="n"/>
      <c r="U869" s="110" t="n"/>
      <c r="V869" s="110" t="n"/>
      <c r="W869" s="110" t="n"/>
      <c r="X869" s="110" t="n"/>
      <c r="Y869" s="110" t="n"/>
      <c r="Z869" s="110" t="n"/>
    </row>
    <row r="870">
      <c r="A870" s="110" t="n"/>
      <c r="B870" s="110" t="n"/>
      <c r="C870" s="110" t="n"/>
      <c r="D870" s="110" t="n"/>
      <c r="E870" s="110" t="n"/>
      <c r="F870" s="110" t="n"/>
      <c r="G870" s="110" t="n"/>
      <c r="H870" s="110" t="n"/>
      <c r="I870" s="110" t="n"/>
      <c r="J870" s="110" t="n"/>
      <c r="K870" s="110" t="n"/>
      <c r="L870" s="110" t="n"/>
      <c r="M870" s="110" t="n"/>
      <c r="N870" s="110" t="n"/>
      <c r="O870" s="110" t="n"/>
      <c r="P870" s="110" t="n"/>
      <c r="Q870" s="110" t="n"/>
      <c r="R870" s="110" t="n"/>
      <c r="S870" s="110" t="n"/>
      <c r="T870" s="110" t="n"/>
      <c r="U870" s="110" t="n"/>
      <c r="V870" s="110" t="n"/>
      <c r="W870" s="110" t="n"/>
      <c r="X870" s="110" t="n"/>
      <c r="Y870" s="110" t="n"/>
      <c r="Z870" s="110" t="n"/>
    </row>
    <row r="871">
      <c r="A871" s="110" t="n"/>
      <c r="B871" s="110" t="n"/>
      <c r="C871" s="110" t="n"/>
      <c r="D871" s="110" t="n"/>
      <c r="E871" s="110" t="n"/>
      <c r="F871" s="110" t="n"/>
      <c r="G871" s="110" t="n"/>
      <c r="H871" s="110" t="n"/>
      <c r="I871" s="110" t="n"/>
      <c r="J871" s="110" t="n"/>
      <c r="K871" s="110" t="n"/>
      <c r="L871" s="110" t="n"/>
      <c r="M871" s="110" t="n"/>
      <c r="N871" s="110" t="n"/>
      <c r="O871" s="110" t="n"/>
      <c r="P871" s="110" t="n"/>
      <c r="Q871" s="110" t="n"/>
      <c r="R871" s="110" t="n"/>
      <c r="S871" s="110" t="n"/>
      <c r="T871" s="110" t="n"/>
      <c r="U871" s="110" t="n"/>
      <c r="V871" s="110" t="n"/>
      <c r="W871" s="110" t="n"/>
      <c r="X871" s="110" t="n"/>
      <c r="Y871" s="110" t="n"/>
      <c r="Z871" s="110" t="n"/>
    </row>
    <row r="872">
      <c r="A872" s="110" t="n"/>
      <c r="B872" s="110" t="n"/>
      <c r="C872" s="110" t="n"/>
      <c r="D872" s="110" t="n"/>
      <c r="E872" s="110" t="n"/>
      <c r="F872" s="110" t="n"/>
      <c r="G872" s="110" t="n"/>
      <c r="H872" s="110" t="n"/>
      <c r="I872" s="110" t="n"/>
      <c r="J872" s="110" t="n"/>
      <c r="K872" s="110" t="n"/>
      <c r="L872" s="110" t="n"/>
      <c r="M872" s="110" t="n"/>
      <c r="N872" s="110" t="n"/>
      <c r="O872" s="110" t="n"/>
      <c r="P872" s="110" t="n"/>
      <c r="Q872" s="110" t="n"/>
      <c r="R872" s="110" t="n"/>
      <c r="S872" s="110" t="n"/>
      <c r="T872" s="110" t="n"/>
      <c r="U872" s="110" t="n"/>
      <c r="V872" s="110" t="n"/>
      <c r="W872" s="110" t="n"/>
      <c r="X872" s="110" t="n"/>
      <c r="Y872" s="110" t="n"/>
      <c r="Z872" s="110" t="n"/>
    </row>
    <row r="873">
      <c r="A873" s="110" t="n"/>
      <c r="B873" s="110" t="n"/>
      <c r="C873" s="110" t="n"/>
      <c r="D873" s="110" t="n"/>
      <c r="E873" s="110" t="n"/>
      <c r="F873" s="110" t="n"/>
      <c r="G873" s="110" t="n"/>
      <c r="H873" s="110" t="n"/>
      <c r="I873" s="110" t="n"/>
      <c r="J873" s="110" t="n"/>
      <c r="K873" s="110" t="n"/>
      <c r="L873" s="110" t="n"/>
      <c r="M873" s="110" t="n"/>
      <c r="N873" s="110" t="n"/>
      <c r="O873" s="110" t="n"/>
      <c r="P873" s="110" t="n"/>
      <c r="Q873" s="110" t="n"/>
      <c r="R873" s="110" t="n"/>
      <c r="S873" s="110" t="n"/>
      <c r="T873" s="110" t="n"/>
      <c r="U873" s="110" t="n"/>
      <c r="V873" s="110" t="n"/>
      <c r="W873" s="110" t="n"/>
      <c r="X873" s="110" t="n"/>
      <c r="Y873" s="110" t="n"/>
      <c r="Z873" s="110" t="n"/>
    </row>
    <row r="874">
      <c r="A874" s="110" t="n"/>
      <c r="B874" s="110" t="n"/>
      <c r="C874" s="110" t="n"/>
      <c r="D874" s="110" t="n"/>
      <c r="E874" s="110" t="n"/>
      <c r="F874" s="110" t="n"/>
      <c r="G874" s="110" t="n"/>
      <c r="H874" s="110" t="n"/>
      <c r="I874" s="110" t="n"/>
      <c r="J874" s="110" t="n"/>
      <c r="K874" s="110" t="n"/>
      <c r="L874" s="110" t="n"/>
      <c r="M874" s="110" t="n"/>
      <c r="N874" s="110" t="n"/>
      <c r="O874" s="110" t="n"/>
      <c r="P874" s="110" t="n"/>
      <c r="Q874" s="110" t="n"/>
      <c r="R874" s="110" t="n"/>
      <c r="S874" s="110" t="n"/>
      <c r="T874" s="110" t="n"/>
      <c r="U874" s="110" t="n"/>
      <c r="V874" s="110" t="n"/>
      <c r="W874" s="110" t="n"/>
      <c r="X874" s="110" t="n"/>
      <c r="Y874" s="110" t="n"/>
      <c r="Z874" s="110" t="n"/>
    </row>
    <row r="875">
      <c r="A875" s="110" t="n"/>
      <c r="B875" s="110" t="n"/>
      <c r="C875" s="110" t="n"/>
      <c r="D875" s="110" t="n"/>
      <c r="E875" s="110" t="n"/>
      <c r="F875" s="110" t="n"/>
      <c r="G875" s="110" t="n"/>
      <c r="H875" s="110" t="n"/>
      <c r="I875" s="110" t="n"/>
      <c r="J875" s="110" t="n"/>
      <c r="K875" s="110" t="n"/>
      <c r="L875" s="110" t="n"/>
      <c r="M875" s="110" t="n"/>
      <c r="N875" s="110" t="n"/>
      <c r="O875" s="110" t="n"/>
      <c r="P875" s="110" t="n"/>
      <c r="Q875" s="110" t="n"/>
      <c r="R875" s="110" t="n"/>
      <c r="S875" s="110" t="n"/>
      <c r="T875" s="110" t="n"/>
      <c r="U875" s="110" t="n"/>
      <c r="V875" s="110" t="n"/>
      <c r="W875" s="110" t="n"/>
      <c r="X875" s="110" t="n"/>
      <c r="Y875" s="110" t="n"/>
      <c r="Z875" s="110" t="n"/>
    </row>
    <row r="876">
      <c r="A876" s="110" t="n"/>
      <c r="B876" s="110" t="n"/>
      <c r="C876" s="110" t="n"/>
      <c r="D876" s="110" t="n"/>
      <c r="E876" s="110" t="n"/>
      <c r="F876" s="110" t="n"/>
      <c r="G876" s="110" t="n"/>
      <c r="H876" s="110" t="n"/>
      <c r="I876" s="110" t="n"/>
      <c r="J876" s="110" t="n"/>
      <c r="K876" s="110" t="n"/>
      <c r="L876" s="110" t="n"/>
      <c r="M876" s="110" t="n"/>
      <c r="N876" s="110" t="n"/>
      <c r="O876" s="110" t="n"/>
      <c r="P876" s="110" t="n"/>
      <c r="Q876" s="110" t="n"/>
      <c r="R876" s="110" t="n"/>
      <c r="S876" s="110" t="n"/>
      <c r="T876" s="110" t="n"/>
      <c r="U876" s="110" t="n"/>
      <c r="V876" s="110" t="n"/>
      <c r="W876" s="110" t="n"/>
      <c r="X876" s="110" t="n"/>
      <c r="Y876" s="110" t="n"/>
      <c r="Z876" s="110" t="n"/>
    </row>
    <row r="877">
      <c r="A877" s="110" t="n"/>
      <c r="B877" s="110" t="n"/>
      <c r="C877" s="110" t="n"/>
      <c r="D877" s="110" t="n"/>
      <c r="E877" s="110" t="n"/>
      <c r="F877" s="110" t="n"/>
      <c r="G877" s="110" t="n"/>
      <c r="H877" s="110" t="n"/>
      <c r="I877" s="110" t="n"/>
      <c r="J877" s="110" t="n"/>
      <c r="K877" s="110" t="n"/>
      <c r="L877" s="110" t="n"/>
      <c r="M877" s="110" t="n"/>
      <c r="N877" s="110" t="n"/>
      <c r="O877" s="110" t="n"/>
      <c r="P877" s="110" t="n"/>
      <c r="Q877" s="110" t="n"/>
      <c r="R877" s="110" t="n"/>
      <c r="S877" s="110" t="n"/>
      <c r="T877" s="110" t="n"/>
      <c r="U877" s="110" t="n"/>
      <c r="V877" s="110" t="n"/>
      <c r="W877" s="110" t="n"/>
      <c r="X877" s="110" t="n"/>
      <c r="Y877" s="110" t="n"/>
      <c r="Z877" s="110" t="n"/>
    </row>
    <row r="878">
      <c r="A878" s="110" t="n"/>
      <c r="B878" s="110" t="n"/>
      <c r="C878" s="110" t="n"/>
      <c r="D878" s="110" t="n"/>
      <c r="E878" s="110" t="n"/>
      <c r="F878" s="110" t="n"/>
      <c r="G878" s="110" t="n"/>
      <c r="H878" s="110" t="n"/>
      <c r="I878" s="110" t="n"/>
      <c r="J878" s="110" t="n"/>
      <c r="K878" s="110" t="n"/>
      <c r="L878" s="110" t="n"/>
      <c r="M878" s="110" t="n"/>
      <c r="N878" s="110" t="n"/>
      <c r="O878" s="110" t="n"/>
      <c r="P878" s="110" t="n"/>
      <c r="Q878" s="110" t="n"/>
      <c r="R878" s="110" t="n"/>
      <c r="S878" s="110" t="n"/>
      <c r="T878" s="110" t="n"/>
      <c r="U878" s="110" t="n"/>
      <c r="V878" s="110" t="n"/>
      <c r="W878" s="110" t="n"/>
      <c r="X878" s="110" t="n"/>
      <c r="Y878" s="110" t="n"/>
      <c r="Z878" s="110" t="n"/>
    </row>
    <row r="879">
      <c r="A879" s="110" t="n"/>
      <c r="B879" s="110" t="n"/>
      <c r="C879" s="110" t="n"/>
      <c r="D879" s="110" t="n"/>
      <c r="E879" s="110" t="n"/>
      <c r="F879" s="110" t="n"/>
      <c r="G879" s="110" t="n"/>
      <c r="H879" s="110" t="n"/>
      <c r="I879" s="110" t="n"/>
      <c r="J879" s="110" t="n"/>
      <c r="K879" s="110" t="n"/>
      <c r="L879" s="110" t="n"/>
      <c r="M879" s="110" t="n"/>
      <c r="N879" s="110" t="n"/>
      <c r="O879" s="110" t="n"/>
      <c r="P879" s="110" t="n"/>
      <c r="Q879" s="110" t="n"/>
      <c r="R879" s="110" t="n"/>
      <c r="S879" s="110" t="n"/>
      <c r="T879" s="110" t="n"/>
      <c r="U879" s="110" t="n"/>
      <c r="V879" s="110" t="n"/>
      <c r="W879" s="110" t="n"/>
      <c r="X879" s="110" t="n"/>
      <c r="Y879" s="110" t="n"/>
      <c r="Z879" s="110" t="n"/>
    </row>
    <row r="880">
      <c r="A880" s="110" t="n"/>
      <c r="B880" s="110" t="n"/>
      <c r="C880" s="110" t="n"/>
      <c r="D880" s="110" t="n"/>
      <c r="E880" s="110" t="n"/>
      <c r="F880" s="110" t="n"/>
      <c r="G880" s="110" t="n"/>
      <c r="H880" s="110" t="n"/>
      <c r="I880" s="110" t="n"/>
      <c r="J880" s="110" t="n"/>
      <c r="K880" s="110" t="n"/>
      <c r="L880" s="110" t="n"/>
      <c r="M880" s="110" t="n"/>
      <c r="N880" s="110" t="n"/>
      <c r="O880" s="110" t="n"/>
      <c r="P880" s="110" t="n"/>
      <c r="Q880" s="110" t="n"/>
      <c r="R880" s="110" t="n"/>
      <c r="S880" s="110" t="n"/>
      <c r="T880" s="110" t="n"/>
      <c r="U880" s="110" t="n"/>
      <c r="V880" s="110" t="n"/>
      <c r="W880" s="110" t="n"/>
      <c r="X880" s="110" t="n"/>
      <c r="Y880" s="110" t="n"/>
      <c r="Z880" s="110" t="n"/>
    </row>
    <row r="881">
      <c r="A881" s="110" t="n"/>
      <c r="B881" s="110" t="n"/>
      <c r="C881" s="110" t="n"/>
      <c r="D881" s="110" t="n"/>
      <c r="E881" s="110" t="n"/>
      <c r="F881" s="110" t="n"/>
      <c r="G881" s="110" t="n"/>
      <c r="H881" s="110" t="n"/>
      <c r="I881" s="110" t="n"/>
      <c r="J881" s="110" t="n"/>
      <c r="K881" s="110" t="n"/>
      <c r="L881" s="110" t="n"/>
      <c r="M881" s="110" t="n"/>
      <c r="N881" s="110" t="n"/>
      <c r="O881" s="110" t="n"/>
      <c r="P881" s="110" t="n"/>
      <c r="Q881" s="110" t="n"/>
      <c r="R881" s="110" t="n"/>
      <c r="S881" s="110" t="n"/>
      <c r="T881" s="110" t="n"/>
      <c r="U881" s="110" t="n"/>
      <c r="V881" s="110" t="n"/>
      <c r="W881" s="110" t="n"/>
      <c r="X881" s="110" t="n"/>
      <c r="Y881" s="110" t="n"/>
      <c r="Z881" s="110" t="n"/>
    </row>
    <row r="882">
      <c r="A882" s="110" t="n"/>
      <c r="B882" s="110" t="n"/>
      <c r="C882" s="110" t="n"/>
      <c r="D882" s="110" t="n"/>
      <c r="E882" s="110" t="n"/>
      <c r="F882" s="110" t="n"/>
      <c r="G882" s="110" t="n"/>
      <c r="H882" s="110" t="n"/>
      <c r="I882" s="110" t="n"/>
      <c r="J882" s="110" t="n"/>
      <c r="K882" s="110" t="n"/>
      <c r="L882" s="110" t="n"/>
      <c r="M882" s="110" t="n"/>
      <c r="N882" s="110" t="n"/>
      <c r="O882" s="110" t="n"/>
      <c r="P882" s="110" t="n"/>
      <c r="Q882" s="110" t="n"/>
      <c r="R882" s="110" t="n"/>
      <c r="S882" s="110" t="n"/>
      <c r="T882" s="110" t="n"/>
      <c r="U882" s="110" t="n"/>
      <c r="V882" s="110" t="n"/>
      <c r="W882" s="110" t="n"/>
      <c r="X882" s="110" t="n"/>
      <c r="Y882" s="110" t="n"/>
      <c r="Z882" s="110" t="n"/>
    </row>
    <row r="883">
      <c r="A883" s="110" t="n"/>
      <c r="B883" s="110" t="n"/>
      <c r="C883" s="110" t="n"/>
      <c r="D883" s="110" t="n"/>
      <c r="E883" s="110" t="n"/>
      <c r="F883" s="110" t="n"/>
      <c r="G883" s="110" t="n"/>
      <c r="H883" s="110" t="n"/>
      <c r="I883" s="110" t="n"/>
      <c r="J883" s="110" t="n"/>
      <c r="K883" s="110" t="n"/>
      <c r="L883" s="110" t="n"/>
      <c r="M883" s="110" t="n"/>
      <c r="N883" s="110" t="n"/>
      <c r="O883" s="110" t="n"/>
      <c r="P883" s="110" t="n"/>
      <c r="Q883" s="110" t="n"/>
      <c r="R883" s="110" t="n"/>
      <c r="S883" s="110" t="n"/>
      <c r="T883" s="110" t="n"/>
      <c r="U883" s="110" t="n"/>
      <c r="V883" s="110" t="n"/>
      <c r="W883" s="110" t="n"/>
      <c r="X883" s="110" t="n"/>
      <c r="Y883" s="110" t="n"/>
      <c r="Z883" s="110" t="n"/>
    </row>
    <row r="884">
      <c r="A884" s="110" t="n"/>
      <c r="B884" s="110" t="n"/>
      <c r="C884" s="110" t="n"/>
      <c r="D884" s="110" t="n"/>
      <c r="E884" s="110" t="n"/>
      <c r="F884" s="110" t="n"/>
      <c r="G884" s="110" t="n"/>
      <c r="H884" s="110" t="n"/>
      <c r="I884" s="110" t="n"/>
      <c r="J884" s="110" t="n"/>
      <c r="K884" s="110" t="n"/>
      <c r="L884" s="110" t="n"/>
      <c r="M884" s="110" t="n"/>
      <c r="N884" s="110" t="n"/>
      <c r="O884" s="110" t="n"/>
      <c r="P884" s="110" t="n"/>
      <c r="Q884" s="110" t="n"/>
      <c r="R884" s="110" t="n"/>
      <c r="S884" s="110" t="n"/>
      <c r="T884" s="110" t="n"/>
      <c r="U884" s="110" t="n"/>
      <c r="V884" s="110" t="n"/>
      <c r="W884" s="110" t="n"/>
      <c r="X884" s="110" t="n"/>
      <c r="Y884" s="110" t="n"/>
      <c r="Z884" s="110" t="n"/>
    </row>
    <row r="885">
      <c r="A885" s="110" t="n"/>
      <c r="B885" s="110" t="n"/>
      <c r="C885" s="110" t="n"/>
      <c r="D885" s="110" t="n"/>
      <c r="E885" s="110" t="n"/>
      <c r="F885" s="110" t="n"/>
      <c r="G885" s="110" t="n"/>
      <c r="H885" s="110" t="n"/>
      <c r="I885" s="110" t="n"/>
      <c r="J885" s="110" t="n"/>
      <c r="K885" s="110" t="n"/>
      <c r="L885" s="110" t="n"/>
      <c r="M885" s="110" t="n"/>
      <c r="N885" s="110" t="n"/>
      <c r="O885" s="110" t="n"/>
      <c r="P885" s="110" t="n"/>
      <c r="Q885" s="110" t="n"/>
      <c r="R885" s="110" t="n"/>
      <c r="S885" s="110" t="n"/>
      <c r="T885" s="110" t="n"/>
      <c r="U885" s="110" t="n"/>
      <c r="V885" s="110" t="n"/>
      <c r="W885" s="110" t="n"/>
      <c r="X885" s="110" t="n"/>
      <c r="Y885" s="110" t="n"/>
      <c r="Z885" s="110" t="n"/>
    </row>
    <row r="886">
      <c r="A886" s="110" t="n"/>
      <c r="B886" s="110" t="n"/>
      <c r="C886" s="110" t="n"/>
      <c r="D886" s="110" t="n"/>
      <c r="E886" s="110" t="n"/>
      <c r="F886" s="110" t="n"/>
      <c r="G886" s="110" t="n"/>
      <c r="H886" s="110" t="n"/>
      <c r="I886" s="110" t="n"/>
      <c r="J886" s="110" t="n"/>
      <c r="K886" s="110" t="n"/>
      <c r="L886" s="110" t="n"/>
      <c r="M886" s="110" t="n"/>
      <c r="N886" s="110" t="n"/>
      <c r="O886" s="110" t="n"/>
      <c r="P886" s="110" t="n"/>
      <c r="Q886" s="110" t="n"/>
      <c r="R886" s="110" t="n"/>
      <c r="S886" s="110" t="n"/>
      <c r="T886" s="110" t="n"/>
      <c r="U886" s="110" t="n"/>
      <c r="V886" s="110" t="n"/>
      <c r="W886" s="110" t="n"/>
      <c r="X886" s="110" t="n"/>
      <c r="Y886" s="110" t="n"/>
      <c r="Z886" s="110" t="n"/>
    </row>
    <row r="887">
      <c r="A887" s="110" t="n"/>
      <c r="B887" s="110" t="n"/>
      <c r="C887" s="110" t="n"/>
      <c r="D887" s="110" t="n"/>
      <c r="E887" s="110" t="n"/>
      <c r="F887" s="110" t="n"/>
      <c r="G887" s="110" t="n"/>
      <c r="H887" s="110" t="n"/>
      <c r="I887" s="110" t="n"/>
      <c r="J887" s="110" t="n"/>
      <c r="K887" s="110" t="n"/>
      <c r="L887" s="110" t="n"/>
      <c r="M887" s="110" t="n"/>
      <c r="N887" s="110" t="n"/>
      <c r="O887" s="110" t="n"/>
      <c r="P887" s="110" t="n"/>
      <c r="Q887" s="110" t="n"/>
      <c r="R887" s="110" t="n"/>
      <c r="S887" s="110" t="n"/>
      <c r="T887" s="110" t="n"/>
      <c r="U887" s="110" t="n"/>
      <c r="V887" s="110" t="n"/>
      <c r="W887" s="110" t="n"/>
      <c r="X887" s="110" t="n"/>
      <c r="Y887" s="110" t="n"/>
      <c r="Z887" s="110" t="n"/>
    </row>
    <row r="888">
      <c r="A888" s="110" t="n"/>
      <c r="B888" s="110" t="n"/>
      <c r="C888" s="110" t="n"/>
      <c r="D888" s="110" t="n"/>
      <c r="E888" s="110" t="n"/>
      <c r="F888" s="110" t="n"/>
      <c r="G888" s="110" t="n"/>
      <c r="H888" s="110" t="n"/>
      <c r="I888" s="110" t="n"/>
      <c r="J888" s="110" t="n"/>
      <c r="K888" s="110" t="n"/>
      <c r="L888" s="110" t="n"/>
      <c r="M888" s="110" t="n"/>
      <c r="N888" s="110" t="n"/>
      <c r="O888" s="110" t="n"/>
      <c r="P888" s="110" t="n"/>
      <c r="Q888" s="110" t="n"/>
      <c r="R888" s="110" t="n"/>
      <c r="S888" s="110" t="n"/>
      <c r="T888" s="110" t="n"/>
      <c r="U888" s="110" t="n"/>
      <c r="V888" s="110" t="n"/>
      <c r="W888" s="110" t="n"/>
      <c r="X888" s="110" t="n"/>
      <c r="Y888" s="110" t="n"/>
      <c r="Z888" s="110" t="n"/>
    </row>
    <row r="889">
      <c r="A889" s="110" t="n"/>
      <c r="B889" s="110" t="n"/>
      <c r="C889" s="110" t="n"/>
      <c r="D889" s="110" t="n"/>
      <c r="E889" s="110" t="n"/>
      <c r="F889" s="110" t="n"/>
      <c r="G889" s="110" t="n"/>
      <c r="H889" s="110" t="n"/>
      <c r="I889" s="110" t="n"/>
      <c r="J889" s="110" t="n"/>
      <c r="K889" s="110" t="n"/>
      <c r="L889" s="110" t="n"/>
      <c r="M889" s="110" t="n"/>
      <c r="N889" s="110" t="n"/>
      <c r="O889" s="110" t="n"/>
      <c r="P889" s="110" t="n"/>
      <c r="Q889" s="110" t="n"/>
      <c r="R889" s="110" t="n"/>
      <c r="S889" s="110" t="n"/>
      <c r="T889" s="110" t="n"/>
      <c r="U889" s="110" t="n"/>
      <c r="V889" s="110" t="n"/>
      <c r="W889" s="110" t="n"/>
      <c r="X889" s="110" t="n"/>
      <c r="Y889" s="110" t="n"/>
      <c r="Z889" s="110" t="n"/>
    </row>
    <row r="890">
      <c r="A890" s="110" t="n"/>
      <c r="B890" s="110" t="n"/>
      <c r="C890" s="110" t="n"/>
      <c r="D890" s="110" t="n"/>
      <c r="E890" s="110" t="n"/>
      <c r="F890" s="110" t="n"/>
      <c r="G890" s="110" t="n"/>
      <c r="H890" s="110" t="n"/>
      <c r="I890" s="110" t="n"/>
      <c r="J890" s="110" t="n"/>
      <c r="K890" s="110" t="n"/>
      <c r="L890" s="110" t="n"/>
      <c r="M890" s="110" t="n"/>
      <c r="N890" s="110" t="n"/>
      <c r="O890" s="110" t="n"/>
      <c r="P890" s="110" t="n"/>
      <c r="Q890" s="110" t="n"/>
      <c r="R890" s="110" t="n"/>
      <c r="S890" s="110" t="n"/>
      <c r="T890" s="110" t="n"/>
      <c r="U890" s="110" t="n"/>
      <c r="V890" s="110" t="n"/>
      <c r="W890" s="110" t="n"/>
      <c r="X890" s="110" t="n"/>
      <c r="Y890" s="110" t="n"/>
      <c r="Z890" s="110" t="n"/>
    </row>
    <row r="891">
      <c r="A891" s="110" t="n"/>
      <c r="B891" s="110" t="n"/>
      <c r="C891" s="110" t="n"/>
      <c r="D891" s="110" t="n"/>
      <c r="E891" s="110" t="n"/>
      <c r="F891" s="110" t="n"/>
      <c r="G891" s="110" t="n"/>
      <c r="H891" s="110" t="n"/>
      <c r="I891" s="110" t="n"/>
      <c r="J891" s="110" t="n"/>
      <c r="K891" s="110" t="n"/>
      <c r="L891" s="110" t="n"/>
      <c r="M891" s="110" t="n"/>
      <c r="N891" s="110" t="n"/>
      <c r="O891" s="110" t="n"/>
      <c r="P891" s="110" t="n"/>
      <c r="Q891" s="110" t="n"/>
      <c r="R891" s="110" t="n"/>
      <c r="S891" s="110" t="n"/>
      <c r="T891" s="110" t="n"/>
      <c r="U891" s="110" t="n"/>
      <c r="V891" s="110" t="n"/>
      <c r="W891" s="110" t="n"/>
      <c r="X891" s="110" t="n"/>
      <c r="Y891" s="110" t="n"/>
      <c r="Z891" s="110" t="n"/>
    </row>
    <row r="892">
      <c r="A892" s="110" t="n"/>
      <c r="B892" s="110" t="n"/>
      <c r="C892" s="110" t="n"/>
      <c r="D892" s="110" t="n"/>
      <c r="E892" s="110" t="n"/>
      <c r="F892" s="110" t="n"/>
      <c r="G892" s="110" t="n"/>
      <c r="H892" s="110" t="n"/>
      <c r="I892" s="110" t="n"/>
      <c r="J892" s="110" t="n"/>
      <c r="K892" s="110" t="n"/>
      <c r="L892" s="110" t="n"/>
      <c r="M892" s="110" t="n"/>
      <c r="N892" s="110" t="n"/>
      <c r="O892" s="110" t="n"/>
      <c r="P892" s="110" t="n"/>
      <c r="Q892" s="110" t="n"/>
      <c r="R892" s="110" t="n"/>
      <c r="S892" s="110" t="n"/>
      <c r="T892" s="110" t="n"/>
      <c r="U892" s="110" t="n"/>
      <c r="V892" s="110" t="n"/>
      <c r="W892" s="110" t="n"/>
      <c r="X892" s="110" t="n"/>
      <c r="Y892" s="110" t="n"/>
      <c r="Z892" s="110" t="n"/>
    </row>
    <row r="893">
      <c r="A893" s="110" t="n"/>
      <c r="B893" s="110" t="n"/>
      <c r="C893" s="110" t="n"/>
      <c r="D893" s="110" t="n"/>
      <c r="E893" s="110" t="n"/>
      <c r="F893" s="110" t="n"/>
      <c r="G893" s="110" t="n"/>
      <c r="H893" s="110" t="n"/>
      <c r="I893" s="110" t="n"/>
      <c r="J893" s="110" t="n"/>
      <c r="K893" s="110" t="n"/>
      <c r="L893" s="110" t="n"/>
      <c r="M893" s="110" t="n"/>
      <c r="N893" s="110" t="n"/>
      <c r="O893" s="110" t="n"/>
      <c r="P893" s="110" t="n"/>
      <c r="Q893" s="110" t="n"/>
      <c r="R893" s="110" t="n"/>
      <c r="S893" s="110" t="n"/>
      <c r="T893" s="110" t="n"/>
      <c r="U893" s="110" t="n"/>
      <c r="V893" s="110" t="n"/>
      <c r="W893" s="110" t="n"/>
      <c r="X893" s="110" t="n"/>
      <c r="Y893" s="110" t="n"/>
      <c r="Z893" s="110" t="n"/>
    </row>
    <row r="894">
      <c r="A894" s="110" t="n"/>
      <c r="B894" s="110" t="n"/>
      <c r="C894" s="110" t="n"/>
      <c r="D894" s="110" t="n"/>
      <c r="E894" s="110" t="n"/>
      <c r="F894" s="110" t="n"/>
      <c r="G894" s="110" t="n"/>
      <c r="H894" s="110" t="n"/>
      <c r="I894" s="110" t="n"/>
      <c r="J894" s="110" t="n"/>
      <c r="K894" s="110" t="n"/>
      <c r="L894" s="110" t="n"/>
      <c r="M894" s="110" t="n"/>
      <c r="N894" s="110" t="n"/>
      <c r="O894" s="110" t="n"/>
      <c r="P894" s="110" t="n"/>
      <c r="Q894" s="110" t="n"/>
      <c r="R894" s="110" t="n"/>
      <c r="S894" s="110" t="n"/>
      <c r="T894" s="110" t="n"/>
      <c r="U894" s="110" t="n"/>
      <c r="V894" s="110" t="n"/>
      <c r="W894" s="110" t="n"/>
      <c r="X894" s="110" t="n"/>
      <c r="Y894" s="110" t="n"/>
      <c r="Z894" s="110" t="n"/>
    </row>
    <row r="895">
      <c r="A895" s="110" t="n"/>
      <c r="B895" s="110" t="n"/>
      <c r="C895" s="110" t="n"/>
      <c r="D895" s="110" t="n"/>
      <c r="E895" s="110" t="n"/>
      <c r="F895" s="110" t="n"/>
      <c r="G895" s="110" t="n"/>
      <c r="H895" s="110" t="n"/>
      <c r="I895" s="110" t="n"/>
      <c r="J895" s="110" t="n"/>
      <c r="K895" s="110" t="n"/>
      <c r="L895" s="110" t="n"/>
      <c r="M895" s="110" t="n"/>
      <c r="N895" s="110" t="n"/>
      <c r="O895" s="110" t="n"/>
      <c r="P895" s="110" t="n"/>
      <c r="Q895" s="110" t="n"/>
      <c r="R895" s="110" t="n"/>
      <c r="S895" s="110" t="n"/>
      <c r="T895" s="110" t="n"/>
      <c r="U895" s="110" t="n"/>
      <c r="V895" s="110" t="n"/>
      <c r="W895" s="110" t="n"/>
      <c r="X895" s="110" t="n"/>
      <c r="Y895" s="110" t="n"/>
      <c r="Z895" s="110" t="n"/>
    </row>
    <row r="896">
      <c r="A896" s="110" t="n"/>
      <c r="B896" s="110" t="n"/>
      <c r="C896" s="110" t="n"/>
      <c r="D896" s="110" t="n"/>
      <c r="E896" s="110" t="n"/>
      <c r="F896" s="110" t="n"/>
      <c r="G896" s="110" t="n"/>
      <c r="H896" s="110" t="n"/>
      <c r="I896" s="110" t="n"/>
      <c r="J896" s="110" t="n"/>
      <c r="K896" s="110" t="n"/>
      <c r="L896" s="110" t="n"/>
      <c r="M896" s="110" t="n"/>
      <c r="N896" s="110" t="n"/>
      <c r="O896" s="110" t="n"/>
      <c r="P896" s="110" t="n"/>
      <c r="Q896" s="110" t="n"/>
      <c r="R896" s="110" t="n"/>
      <c r="S896" s="110" t="n"/>
      <c r="T896" s="110" t="n"/>
      <c r="U896" s="110" t="n"/>
      <c r="V896" s="110" t="n"/>
      <c r="W896" s="110" t="n"/>
      <c r="X896" s="110" t="n"/>
      <c r="Y896" s="110" t="n"/>
      <c r="Z896" s="110" t="n"/>
    </row>
    <row r="897">
      <c r="A897" s="110" t="n"/>
      <c r="B897" s="110" t="n"/>
      <c r="C897" s="110" t="n"/>
      <c r="D897" s="110" t="n"/>
      <c r="E897" s="110" t="n"/>
      <c r="F897" s="110" t="n"/>
      <c r="G897" s="110" t="n"/>
      <c r="H897" s="110" t="n"/>
      <c r="I897" s="110" t="n"/>
      <c r="J897" s="110" t="n"/>
      <c r="K897" s="110" t="n"/>
      <c r="L897" s="110" t="n"/>
      <c r="M897" s="110" t="n"/>
      <c r="N897" s="110" t="n"/>
      <c r="O897" s="110" t="n"/>
      <c r="P897" s="110" t="n"/>
      <c r="Q897" s="110" t="n"/>
      <c r="R897" s="110" t="n"/>
      <c r="S897" s="110" t="n"/>
      <c r="T897" s="110" t="n"/>
      <c r="U897" s="110" t="n"/>
      <c r="V897" s="110" t="n"/>
      <c r="W897" s="110" t="n"/>
      <c r="X897" s="110" t="n"/>
      <c r="Y897" s="110" t="n"/>
      <c r="Z897" s="110" t="n"/>
    </row>
    <row r="898">
      <c r="A898" s="110" t="n"/>
      <c r="B898" s="110" t="n"/>
      <c r="C898" s="110" t="n"/>
      <c r="D898" s="110" t="n"/>
      <c r="E898" s="110" t="n"/>
      <c r="F898" s="110" t="n"/>
      <c r="G898" s="110" t="n"/>
      <c r="H898" s="110" t="n"/>
      <c r="I898" s="110" t="n"/>
      <c r="J898" s="110" t="n"/>
      <c r="K898" s="110" t="n"/>
      <c r="L898" s="110" t="n"/>
      <c r="M898" s="110" t="n"/>
      <c r="N898" s="110" t="n"/>
      <c r="O898" s="110" t="n"/>
      <c r="P898" s="110" t="n"/>
      <c r="Q898" s="110" t="n"/>
      <c r="R898" s="110" t="n"/>
      <c r="S898" s="110" t="n"/>
      <c r="T898" s="110" t="n"/>
      <c r="U898" s="110" t="n"/>
      <c r="V898" s="110" t="n"/>
      <c r="W898" s="110" t="n"/>
      <c r="X898" s="110" t="n"/>
      <c r="Y898" s="110" t="n"/>
      <c r="Z898" s="110" t="n"/>
    </row>
    <row r="899">
      <c r="A899" s="110" t="n"/>
      <c r="B899" s="110" t="n"/>
      <c r="C899" s="110" t="n"/>
      <c r="D899" s="110" t="n"/>
      <c r="E899" s="110" t="n"/>
      <c r="F899" s="110" t="n"/>
      <c r="G899" s="110" t="n"/>
      <c r="H899" s="110" t="n"/>
      <c r="I899" s="110" t="n"/>
      <c r="J899" s="110" t="n"/>
      <c r="K899" s="110" t="n"/>
      <c r="L899" s="110" t="n"/>
      <c r="M899" s="110" t="n"/>
      <c r="N899" s="110" t="n"/>
      <c r="O899" s="110" t="n"/>
      <c r="P899" s="110" t="n"/>
      <c r="Q899" s="110" t="n"/>
      <c r="R899" s="110" t="n"/>
      <c r="S899" s="110" t="n"/>
      <c r="T899" s="110" t="n"/>
      <c r="U899" s="110" t="n"/>
      <c r="V899" s="110" t="n"/>
      <c r="W899" s="110" t="n"/>
      <c r="X899" s="110" t="n"/>
      <c r="Y899" s="110" t="n"/>
      <c r="Z899" s="110" t="n"/>
    </row>
    <row r="900">
      <c r="A900" s="110" t="n"/>
      <c r="B900" s="110" t="n"/>
      <c r="C900" s="110" t="n"/>
      <c r="D900" s="110" t="n"/>
      <c r="E900" s="110" t="n"/>
      <c r="F900" s="110" t="n"/>
      <c r="G900" s="110" t="n"/>
      <c r="H900" s="110" t="n"/>
      <c r="I900" s="110" t="n"/>
      <c r="J900" s="110" t="n"/>
      <c r="K900" s="110" t="n"/>
      <c r="L900" s="110" t="n"/>
      <c r="M900" s="110" t="n"/>
      <c r="N900" s="110" t="n"/>
      <c r="O900" s="110" t="n"/>
      <c r="P900" s="110" t="n"/>
      <c r="Q900" s="110" t="n"/>
      <c r="R900" s="110" t="n"/>
      <c r="S900" s="110" t="n"/>
      <c r="T900" s="110" t="n"/>
      <c r="U900" s="110" t="n"/>
      <c r="V900" s="110" t="n"/>
      <c r="W900" s="110" t="n"/>
      <c r="X900" s="110" t="n"/>
      <c r="Y900" s="110" t="n"/>
      <c r="Z900" s="110" t="n"/>
    </row>
    <row r="901">
      <c r="A901" s="110" t="n"/>
      <c r="B901" s="110" t="n"/>
      <c r="C901" s="110" t="n"/>
      <c r="D901" s="110" t="n"/>
      <c r="E901" s="110" t="n"/>
      <c r="F901" s="110" t="n"/>
      <c r="G901" s="110" t="n"/>
      <c r="H901" s="110" t="n"/>
      <c r="I901" s="110" t="n"/>
      <c r="J901" s="110" t="n"/>
      <c r="K901" s="110" t="n"/>
      <c r="L901" s="110" t="n"/>
      <c r="M901" s="110" t="n"/>
      <c r="N901" s="110" t="n"/>
      <c r="O901" s="110" t="n"/>
      <c r="P901" s="110" t="n"/>
      <c r="Q901" s="110" t="n"/>
      <c r="R901" s="110" t="n"/>
      <c r="S901" s="110" t="n"/>
      <c r="T901" s="110" t="n"/>
      <c r="U901" s="110" t="n"/>
      <c r="V901" s="110" t="n"/>
      <c r="W901" s="110" t="n"/>
      <c r="X901" s="110" t="n"/>
      <c r="Y901" s="110" t="n"/>
      <c r="Z901" s="110" t="n"/>
    </row>
    <row r="902">
      <c r="A902" s="110" t="n"/>
      <c r="B902" s="110" t="n"/>
      <c r="C902" s="110" t="n"/>
      <c r="D902" s="110" t="n"/>
      <c r="E902" s="110" t="n"/>
      <c r="F902" s="110" t="n"/>
      <c r="G902" s="110" t="n"/>
      <c r="H902" s="110" t="n"/>
      <c r="I902" s="110" t="n"/>
      <c r="J902" s="110" t="n"/>
      <c r="K902" s="110" t="n"/>
      <c r="L902" s="110" t="n"/>
      <c r="M902" s="110" t="n"/>
      <c r="N902" s="110" t="n"/>
      <c r="O902" s="110" t="n"/>
      <c r="P902" s="110" t="n"/>
      <c r="Q902" s="110" t="n"/>
      <c r="R902" s="110" t="n"/>
      <c r="S902" s="110" t="n"/>
      <c r="T902" s="110" t="n"/>
      <c r="U902" s="110" t="n"/>
      <c r="V902" s="110" t="n"/>
      <c r="W902" s="110" t="n"/>
      <c r="X902" s="110" t="n"/>
      <c r="Y902" s="110" t="n"/>
      <c r="Z902" s="110" t="n"/>
    </row>
    <row r="903">
      <c r="A903" s="110" t="n"/>
      <c r="B903" s="110" t="n"/>
      <c r="C903" s="110" t="n"/>
      <c r="D903" s="110" t="n"/>
      <c r="E903" s="110" t="n"/>
      <c r="F903" s="110" t="n"/>
      <c r="G903" s="110" t="n"/>
      <c r="H903" s="110" t="n"/>
      <c r="I903" s="110" t="n"/>
      <c r="J903" s="110" t="n"/>
      <c r="K903" s="110" t="n"/>
      <c r="L903" s="110" t="n"/>
      <c r="M903" s="110" t="n"/>
      <c r="N903" s="110" t="n"/>
      <c r="O903" s="110" t="n"/>
      <c r="P903" s="110" t="n"/>
      <c r="Q903" s="110" t="n"/>
      <c r="R903" s="110" t="n"/>
      <c r="S903" s="110" t="n"/>
      <c r="T903" s="110" t="n"/>
      <c r="U903" s="110" t="n"/>
      <c r="V903" s="110" t="n"/>
      <c r="W903" s="110" t="n"/>
      <c r="X903" s="110" t="n"/>
      <c r="Y903" s="110" t="n"/>
      <c r="Z903" s="110" t="n"/>
    </row>
    <row r="904">
      <c r="A904" s="110" t="n"/>
      <c r="B904" s="110" t="n"/>
      <c r="C904" s="110" t="n"/>
      <c r="D904" s="110" t="n"/>
      <c r="E904" s="110" t="n"/>
      <c r="F904" s="110" t="n"/>
      <c r="G904" s="110" t="n"/>
      <c r="H904" s="110" t="n"/>
      <c r="I904" s="110" t="n"/>
      <c r="J904" s="110" t="n"/>
      <c r="K904" s="110" t="n"/>
      <c r="L904" s="110" t="n"/>
      <c r="M904" s="110" t="n"/>
      <c r="N904" s="110" t="n"/>
      <c r="O904" s="110" t="n"/>
      <c r="P904" s="110" t="n"/>
      <c r="Q904" s="110" t="n"/>
      <c r="R904" s="110" t="n"/>
      <c r="S904" s="110" t="n"/>
      <c r="T904" s="110" t="n"/>
      <c r="U904" s="110" t="n"/>
      <c r="V904" s="110" t="n"/>
      <c r="W904" s="110" t="n"/>
      <c r="X904" s="110" t="n"/>
      <c r="Y904" s="110" t="n"/>
      <c r="Z904" s="110" t="n"/>
    </row>
    <row r="905">
      <c r="A905" s="110" t="n"/>
      <c r="B905" s="110" t="n"/>
      <c r="C905" s="110" t="n"/>
      <c r="D905" s="110" t="n"/>
      <c r="E905" s="110" t="n"/>
      <c r="F905" s="110" t="n"/>
      <c r="G905" s="110" t="n"/>
      <c r="H905" s="110" t="n"/>
      <c r="I905" s="110" t="n"/>
      <c r="J905" s="110" t="n"/>
      <c r="K905" s="110" t="n"/>
      <c r="L905" s="110" t="n"/>
      <c r="M905" s="110" t="n"/>
      <c r="N905" s="110" t="n"/>
      <c r="O905" s="110" t="n"/>
      <c r="P905" s="110" t="n"/>
      <c r="Q905" s="110" t="n"/>
      <c r="R905" s="110" t="n"/>
      <c r="S905" s="110" t="n"/>
      <c r="T905" s="110" t="n"/>
      <c r="U905" s="110" t="n"/>
      <c r="V905" s="110" t="n"/>
      <c r="W905" s="110" t="n"/>
      <c r="X905" s="110" t="n"/>
      <c r="Y905" s="110" t="n"/>
      <c r="Z905" s="110" t="n"/>
    </row>
    <row r="906">
      <c r="A906" s="110" t="n"/>
      <c r="B906" s="110" t="n"/>
      <c r="C906" s="110" t="n"/>
      <c r="D906" s="110" t="n"/>
      <c r="E906" s="110" t="n"/>
      <c r="F906" s="110" t="n"/>
      <c r="G906" s="110" t="n"/>
      <c r="H906" s="110" t="n"/>
      <c r="I906" s="110" t="n"/>
      <c r="J906" s="110" t="n"/>
      <c r="K906" s="110" t="n"/>
      <c r="L906" s="110" t="n"/>
      <c r="M906" s="110" t="n"/>
      <c r="N906" s="110" t="n"/>
      <c r="O906" s="110" t="n"/>
      <c r="P906" s="110" t="n"/>
      <c r="Q906" s="110" t="n"/>
      <c r="R906" s="110" t="n"/>
      <c r="S906" s="110" t="n"/>
      <c r="T906" s="110" t="n"/>
      <c r="U906" s="110" t="n"/>
      <c r="V906" s="110" t="n"/>
      <c r="W906" s="110" t="n"/>
      <c r="X906" s="110" t="n"/>
      <c r="Y906" s="110" t="n"/>
      <c r="Z906" s="110" t="n"/>
    </row>
    <row r="907">
      <c r="A907" s="110" t="n"/>
      <c r="B907" s="110" t="n"/>
      <c r="C907" s="110" t="n"/>
      <c r="D907" s="110" t="n"/>
      <c r="E907" s="110" t="n"/>
      <c r="F907" s="110" t="n"/>
      <c r="G907" s="110" t="n"/>
      <c r="H907" s="110" t="n"/>
      <c r="I907" s="110" t="n"/>
      <c r="J907" s="110" t="n"/>
      <c r="K907" s="110" t="n"/>
      <c r="L907" s="110" t="n"/>
      <c r="M907" s="110" t="n"/>
      <c r="N907" s="110" t="n"/>
      <c r="O907" s="110" t="n"/>
      <c r="P907" s="110" t="n"/>
      <c r="Q907" s="110" t="n"/>
      <c r="R907" s="110" t="n"/>
      <c r="S907" s="110" t="n"/>
      <c r="T907" s="110" t="n"/>
      <c r="U907" s="110" t="n"/>
      <c r="V907" s="110" t="n"/>
      <c r="W907" s="110" t="n"/>
      <c r="X907" s="110" t="n"/>
      <c r="Y907" s="110" t="n"/>
      <c r="Z907" s="110" t="n"/>
    </row>
    <row r="908">
      <c r="A908" s="110" t="n"/>
      <c r="B908" s="110" t="n"/>
      <c r="C908" s="110" t="n"/>
      <c r="D908" s="110" t="n"/>
      <c r="E908" s="110" t="n"/>
      <c r="F908" s="110" t="n"/>
      <c r="G908" s="110" t="n"/>
      <c r="H908" s="110" t="n"/>
      <c r="I908" s="110" t="n"/>
      <c r="J908" s="110" t="n"/>
      <c r="K908" s="110" t="n"/>
      <c r="L908" s="110" t="n"/>
      <c r="M908" s="110" t="n"/>
      <c r="N908" s="110" t="n"/>
      <c r="O908" s="110" t="n"/>
      <c r="P908" s="110" t="n"/>
      <c r="Q908" s="110" t="n"/>
      <c r="R908" s="110" t="n"/>
      <c r="S908" s="110" t="n"/>
      <c r="T908" s="110" t="n"/>
      <c r="U908" s="110" t="n"/>
      <c r="V908" s="110" t="n"/>
      <c r="W908" s="110" t="n"/>
      <c r="X908" s="110" t="n"/>
      <c r="Y908" s="110" t="n"/>
      <c r="Z908" s="110" t="n"/>
    </row>
    <row r="909">
      <c r="A909" s="110" t="n"/>
      <c r="B909" s="110" t="n"/>
      <c r="C909" s="110" t="n"/>
      <c r="D909" s="110" t="n"/>
      <c r="E909" s="110" t="n"/>
      <c r="F909" s="110" t="n"/>
      <c r="G909" s="110" t="n"/>
      <c r="H909" s="110" t="n"/>
      <c r="I909" s="110" t="n"/>
      <c r="J909" s="110" t="n"/>
      <c r="K909" s="110" t="n"/>
      <c r="L909" s="110" t="n"/>
      <c r="M909" s="110" t="n"/>
      <c r="N909" s="110" t="n"/>
      <c r="O909" s="110" t="n"/>
      <c r="P909" s="110" t="n"/>
      <c r="Q909" s="110" t="n"/>
      <c r="R909" s="110" t="n"/>
      <c r="S909" s="110" t="n"/>
      <c r="T909" s="110" t="n"/>
      <c r="U909" s="110" t="n"/>
      <c r="V909" s="110" t="n"/>
      <c r="W909" s="110" t="n"/>
      <c r="X909" s="110" t="n"/>
      <c r="Y909" s="110" t="n"/>
      <c r="Z909" s="110" t="n"/>
    </row>
    <row r="910">
      <c r="A910" s="110" t="n"/>
      <c r="B910" s="110" t="n"/>
      <c r="C910" s="110" t="n"/>
      <c r="D910" s="110" t="n"/>
      <c r="E910" s="110" t="n"/>
      <c r="F910" s="110" t="n"/>
      <c r="G910" s="110" t="n"/>
      <c r="H910" s="110" t="n"/>
      <c r="I910" s="110" t="n"/>
      <c r="J910" s="110" t="n"/>
      <c r="K910" s="110" t="n"/>
      <c r="L910" s="110" t="n"/>
      <c r="M910" s="110" t="n"/>
      <c r="N910" s="110" t="n"/>
      <c r="O910" s="110" t="n"/>
      <c r="P910" s="110" t="n"/>
      <c r="Q910" s="110" t="n"/>
      <c r="R910" s="110" t="n"/>
      <c r="S910" s="110" t="n"/>
      <c r="T910" s="110" t="n"/>
      <c r="U910" s="110" t="n"/>
      <c r="V910" s="110" t="n"/>
      <c r="W910" s="110" t="n"/>
      <c r="X910" s="110" t="n"/>
      <c r="Y910" s="110" t="n"/>
      <c r="Z910" s="110" t="n"/>
    </row>
    <row r="911">
      <c r="A911" s="110" t="n"/>
      <c r="B911" s="110" t="n"/>
      <c r="C911" s="110" t="n"/>
      <c r="D911" s="110" t="n"/>
      <c r="E911" s="110" t="n"/>
      <c r="F911" s="110" t="n"/>
      <c r="G911" s="110" t="n"/>
      <c r="H911" s="110" t="n"/>
      <c r="I911" s="110" t="n"/>
      <c r="J911" s="110" t="n"/>
      <c r="K911" s="110" t="n"/>
      <c r="L911" s="110" t="n"/>
      <c r="M911" s="110" t="n"/>
      <c r="N911" s="110" t="n"/>
      <c r="O911" s="110" t="n"/>
      <c r="P911" s="110" t="n"/>
      <c r="Q911" s="110" t="n"/>
      <c r="R911" s="110" t="n"/>
      <c r="S911" s="110" t="n"/>
      <c r="T911" s="110" t="n"/>
      <c r="U911" s="110" t="n"/>
      <c r="V911" s="110" t="n"/>
      <c r="W911" s="110" t="n"/>
      <c r="X911" s="110" t="n"/>
      <c r="Y911" s="110" t="n"/>
      <c r="Z911" s="110" t="n"/>
    </row>
    <row r="912">
      <c r="A912" s="110" t="n"/>
      <c r="B912" s="110" t="n"/>
      <c r="C912" s="110" t="n"/>
      <c r="D912" s="110" t="n"/>
      <c r="E912" s="110" t="n"/>
      <c r="F912" s="110" t="n"/>
      <c r="G912" s="110" t="n"/>
      <c r="H912" s="110" t="n"/>
      <c r="I912" s="110" t="n"/>
      <c r="J912" s="110" t="n"/>
      <c r="K912" s="110" t="n"/>
      <c r="L912" s="110" t="n"/>
      <c r="M912" s="110" t="n"/>
      <c r="N912" s="110" t="n"/>
      <c r="O912" s="110" t="n"/>
      <c r="P912" s="110" t="n"/>
      <c r="Q912" s="110" t="n"/>
      <c r="R912" s="110" t="n"/>
      <c r="S912" s="110" t="n"/>
      <c r="T912" s="110" t="n"/>
      <c r="U912" s="110" t="n"/>
      <c r="V912" s="110" t="n"/>
      <c r="W912" s="110" t="n"/>
      <c r="X912" s="110" t="n"/>
      <c r="Y912" s="110" t="n"/>
      <c r="Z912" s="110" t="n"/>
    </row>
    <row r="913">
      <c r="A913" s="110" t="n"/>
      <c r="B913" s="110" t="n"/>
      <c r="C913" s="110" t="n"/>
      <c r="D913" s="110" t="n"/>
      <c r="E913" s="110" t="n"/>
      <c r="F913" s="110" t="n"/>
      <c r="G913" s="110" t="n"/>
      <c r="H913" s="110" t="n"/>
      <c r="I913" s="110" t="n"/>
      <c r="J913" s="110" t="n"/>
      <c r="K913" s="110" t="n"/>
      <c r="L913" s="110" t="n"/>
      <c r="M913" s="110" t="n"/>
      <c r="N913" s="110" t="n"/>
      <c r="O913" s="110" t="n"/>
      <c r="P913" s="110" t="n"/>
      <c r="Q913" s="110" t="n"/>
      <c r="R913" s="110" t="n"/>
      <c r="S913" s="110" t="n"/>
      <c r="T913" s="110" t="n"/>
      <c r="U913" s="110" t="n"/>
      <c r="V913" s="110" t="n"/>
      <c r="W913" s="110" t="n"/>
      <c r="X913" s="110" t="n"/>
      <c r="Y913" s="110" t="n"/>
      <c r="Z913" s="110" t="n"/>
    </row>
    <row r="914">
      <c r="A914" s="110" t="n"/>
      <c r="B914" s="110" t="n"/>
      <c r="C914" s="110" t="n"/>
      <c r="D914" s="110" t="n"/>
      <c r="E914" s="110" t="n"/>
      <c r="F914" s="110" t="n"/>
      <c r="G914" s="110" t="n"/>
      <c r="H914" s="110" t="n"/>
      <c r="I914" s="110" t="n"/>
      <c r="J914" s="110" t="n"/>
      <c r="K914" s="110" t="n"/>
      <c r="L914" s="110" t="n"/>
      <c r="M914" s="110" t="n"/>
      <c r="N914" s="110" t="n"/>
      <c r="O914" s="110" t="n"/>
      <c r="P914" s="110" t="n"/>
      <c r="Q914" s="110" t="n"/>
      <c r="R914" s="110" t="n"/>
      <c r="S914" s="110" t="n"/>
      <c r="T914" s="110" t="n"/>
      <c r="U914" s="110" t="n"/>
      <c r="V914" s="110" t="n"/>
      <c r="W914" s="110" t="n"/>
      <c r="X914" s="110" t="n"/>
      <c r="Y914" s="110" t="n"/>
      <c r="Z914" s="110" t="n"/>
    </row>
    <row r="915">
      <c r="A915" s="110" t="n"/>
      <c r="B915" s="110" t="n"/>
      <c r="C915" s="110" t="n"/>
      <c r="D915" s="110" t="n"/>
      <c r="E915" s="110" t="n"/>
      <c r="F915" s="110" t="n"/>
      <c r="G915" s="110" t="n"/>
      <c r="H915" s="110" t="n"/>
      <c r="I915" s="110" t="n"/>
      <c r="J915" s="110" t="n"/>
      <c r="K915" s="110" t="n"/>
      <c r="L915" s="110" t="n"/>
      <c r="M915" s="110" t="n"/>
      <c r="N915" s="110" t="n"/>
      <c r="O915" s="110" t="n"/>
      <c r="P915" s="110" t="n"/>
      <c r="Q915" s="110" t="n"/>
      <c r="R915" s="110" t="n"/>
      <c r="S915" s="110" t="n"/>
      <c r="T915" s="110" t="n"/>
      <c r="U915" s="110" t="n"/>
      <c r="V915" s="110" t="n"/>
      <c r="W915" s="110" t="n"/>
      <c r="X915" s="110" t="n"/>
      <c r="Y915" s="110" t="n"/>
      <c r="Z915" s="110" t="n"/>
    </row>
    <row r="916">
      <c r="A916" s="110" t="n"/>
      <c r="B916" s="110" t="n"/>
      <c r="C916" s="110" t="n"/>
      <c r="D916" s="110" t="n"/>
      <c r="E916" s="110" t="n"/>
      <c r="F916" s="110" t="n"/>
      <c r="G916" s="110" t="n"/>
      <c r="H916" s="110" t="n"/>
      <c r="I916" s="110" t="n"/>
      <c r="J916" s="110" t="n"/>
      <c r="K916" s="110" t="n"/>
      <c r="L916" s="110" t="n"/>
      <c r="M916" s="110" t="n"/>
      <c r="N916" s="110" t="n"/>
      <c r="O916" s="110" t="n"/>
      <c r="P916" s="110" t="n"/>
      <c r="Q916" s="110" t="n"/>
      <c r="R916" s="110" t="n"/>
      <c r="S916" s="110" t="n"/>
      <c r="T916" s="110" t="n"/>
      <c r="U916" s="110" t="n"/>
      <c r="V916" s="110" t="n"/>
      <c r="W916" s="110" t="n"/>
      <c r="X916" s="110" t="n"/>
      <c r="Y916" s="110" t="n"/>
      <c r="Z916" s="110" t="n"/>
    </row>
    <row r="917">
      <c r="A917" s="110" t="n"/>
      <c r="B917" s="110" t="n"/>
      <c r="C917" s="110" t="n"/>
      <c r="D917" s="110" t="n"/>
      <c r="E917" s="110" t="n"/>
      <c r="F917" s="110" t="n"/>
      <c r="G917" s="110" t="n"/>
      <c r="H917" s="110" t="n"/>
      <c r="I917" s="110" t="n"/>
      <c r="J917" s="110" t="n"/>
      <c r="K917" s="110" t="n"/>
      <c r="L917" s="110" t="n"/>
      <c r="M917" s="110" t="n"/>
      <c r="N917" s="110" t="n"/>
      <c r="O917" s="110" t="n"/>
      <c r="P917" s="110" t="n"/>
      <c r="Q917" s="110" t="n"/>
      <c r="R917" s="110" t="n"/>
      <c r="S917" s="110" t="n"/>
      <c r="T917" s="110" t="n"/>
      <c r="U917" s="110" t="n"/>
      <c r="V917" s="110" t="n"/>
      <c r="W917" s="110" t="n"/>
      <c r="X917" s="110" t="n"/>
      <c r="Y917" s="110" t="n"/>
      <c r="Z917" s="110" t="n"/>
    </row>
    <row r="918">
      <c r="A918" s="110" t="n"/>
      <c r="B918" s="110" t="n"/>
      <c r="C918" s="110" t="n"/>
      <c r="D918" s="110" t="n"/>
      <c r="E918" s="110" t="n"/>
      <c r="F918" s="110" t="n"/>
      <c r="G918" s="110" t="n"/>
      <c r="H918" s="110" t="n"/>
      <c r="I918" s="110" t="n"/>
      <c r="J918" s="110" t="n"/>
      <c r="K918" s="110" t="n"/>
      <c r="L918" s="110" t="n"/>
      <c r="M918" s="110" t="n"/>
      <c r="N918" s="110" t="n"/>
      <c r="O918" s="110" t="n"/>
      <c r="P918" s="110" t="n"/>
      <c r="Q918" s="110" t="n"/>
      <c r="R918" s="110" t="n"/>
      <c r="S918" s="110" t="n"/>
      <c r="T918" s="110" t="n"/>
      <c r="U918" s="110" t="n"/>
      <c r="V918" s="110" t="n"/>
      <c r="W918" s="110" t="n"/>
      <c r="X918" s="110" t="n"/>
      <c r="Y918" s="110" t="n"/>
      <c r="Z918" s="110" t="n"/>
    </row>
    <row r="919">
      <c r="A919" s="110" t="n"/>
      <c r="B919" s="110" t="n"/>
      <c r="C919" s="110" t="n"/>
      <c r="D919" s="110" t="n"/>
      <c r="E919" s="110" t="n"/>
      <c r="F919" s="110" t="n"/>
      <c r="G919" s="110" t="n"/>
      <c r="H919" s="110" t="n"/>
      <c r="I919" s="110" t="n"/>
      <c r="J919" s="110" t="n"/>
      <c r="K919" s="110" t="n"/>
      <c r="L919" s="110" t="n"/>
      <c r="M919" s="110" t="n"/>
      <c r="N919" s="110" t="n"/>
      <c r="O919" s="110" t="n"/>
      <c r="P919" s="110" t="n"/>
      <c r="Q919" s="110" t="n"/>
      <c r="R919" s="110" t="n"/>
      <c r="S919" s="110" t="n"/>
      <c r="T919" s="110" t="n"/>
      <c r="U919" s="110" t="n"/>
      <c r="V919" s="110" t="n"/>
      <c r="W919" s="110" t="n"/>
      <c r="X919" s="110" t="n"/>
      <c r="Y919" s="110" t="n"/>
      <c r="Z919" s="110" t="n"/>
    </row>
    <row r="920">
      <c r="A920" s="110" t="n"/>
      <c r="B920" s="110" t="n"/>
      <c r="C920" s="110" t="n"/>
      <c r="D920" s="110" t="n"/>
      <c r="E920" s="110" t="n"/>
      <c r="F920" s="110" t="n"/>
      <c r="G920" s="110" t="n"/>
      <c r="H920" s="110" t="n"/>
      <c r="I920" s="110" t="n"/>
      <c r="J920" s="110" t="n"/>
      <c r="K920" s="110" t="n"/>
      <c r="L920" s="110" t="n"/>
      <c r="M920" s="110" t="n"/>
      <c r="N920" s="110" t="n"/>
      <c r="O920" s="110" t="n"/>
      <c r="P920" s="110" t="n"/>
      <c r="Q920" s="110" t="n"/>
      <c r="R920" s="110" t="n"/>
      <c r="S920" s="110" t="n"/>
      <c r="T920" s="110" t="n"/>
      <c r="U920" s="110" t="n"/>
      <c r="V920" s="110" t="n"/>
      <c r="W920" s="110" t="n"/>
      <c r="X920" s="110" t="n"/>
      <c r="Y920" s="110" t="n"/>
      <c r="Z920" s="110" t="n"/>
    </row>
    <row r="921">
      <c r="A921" s="110" t="n"/>
      <c r="B921" s="110" t="n"/>
      <c r="C921" s="110" t="n"/>
      <c r="D921" s="110" t="n"/>
      <c r="E921" s="110" t="n"/>
      <c r="F921" s="110" t="n"/>
      <c r="G921" s="110" t="n"/>
      <c r="H921" s="110" t="n"/>
      <c r="I921" s="110" t="n"/>
      <c r="J921" s="110" t="n"/>
      <c r="K921" s="110" t="n"/>
      <c r="L921" s="110" t="n"/>
      <c r="M921" s="110" t="n"/>
      <c r="N921" s="110" t="n"/>
      <c r="O921" s="110" t="n"/>
      <c r="P921" s="110" t="n"/>
      <c r="Q921" s="110" t="n"/>
      <c r="R921" s="110" t="n"/>
      <c r="S921" s="110" t="n"/>
      <c r="T921" s="110" t="n"/>
      <c r="U921" s="110" t="n"/>
      <c r="V921" s="110" t="n"/>
      <c r="W921" s="110" t="n"/>
      <c r="X921" s="110" t="n"/>
      <c r="Y921" s="110" t="n"/>
      <c r="Z921" s="110" t="n"/>
    </row>
    <row r="922">
      <c r="A922" s="110" t="n"/>
      <c r="B922" s="110" t="n"/>
      <c r="C922" s="110" t="n"/>
      <c r="D922" s="110" t="n"/>
      <c r="E922" s="110" t="n"/>
      <c r="F922" s="110" t="n"/>
      <c r="G922" s="110" t="n"/>
      <c r="H922" s="110" t="n"/>
      <c r="I922" s="110" t="n"/>
      <c r="J922" s="110" t="n"/>
      <c r="K922" s="110" t="n"/>
      <c r="L922" s="110" t="n"/>
      <c r="M922" s="110" t="n"/>
      <c r="N922" s="110" t="n"/>
      <c r="O922" s="110" t="n"/>
      <c r="P922" s="110" t="n"/>
      <c r="Q922" s="110" t="n"/>
      <c r="R922" s="110" t="n"/>
      <c r="S922" s="110" t="n"/>
      <c r="T922" s="110" t="n"/>
      <c r="U922" s="110" t="n"/>
      <c r="V922" s="110" t="n"/>
      <c r="W922" s="110" t="n"/>
      <c r="X922" s="110" t="n"/>
      <c r="Y922" s="110" t="n"/>
      <c r="Z922" s="110" t="n"/>
    </row>
    <row r="923">
      <c r="A923" s="110" t="n"/>
      <c r="B923" s="110" t="n"/>
      <c r="C923" s="110" t="n"/>
      <c r="D923" s="110" t="n"/>
      <c r="E923" s="110" t="n"/>
      <c r="F923" s="110" t="n"/>
      <c r="G923" s="110" t="n"/>
      <c r="H923" s="110" t="n"/>
      <c r="I923" s="110" t="n"/>
      <c r="J923" s="110" t="n"/>
      <c r="K923" s="110" t="n"/>
      <c r="L923" s="110" t="n"/>
      <c r="M923" s="110" t="n"/>
      <c r="N923" s="110" t="n"/>
      <c r="O923" s="110" t="n"/>
      <c r="P923" s="110" t="n"/>
      <c r="Q923" s="110" t="n"/>
      <c r="R923" s="110" t="n"/>
      <c r="S923" s="110" t="n"/>
      <c r="T923" s="110" t="n"/>
      <c r="U923" s="110" t="n"/>
      <c r="V923" s="110" t="n"/>
      <c r="W923" s="110" t="n"/>
      <c r="X923" s="110" t="n"/>
      <c r="Y923" s="110" t="n"/>
      <c r="Z923" s="110" t="n"/>
    </row>
    <row r="924">
      <c r="A924" s="110" t="n"/>
      <c r="B924" s="110" t="n"/>
      <c r="C924" s="110" t="n"/>
      <c r="D924" s="110" t="n"/>
      <c r="E924" s="110" t="n"/>
      <c r="F924" s="110" t="n"/>
      <c r="G924" s="110" t="n"/>
      <c r="H924" s="110" t="n"/>
      <c r="I924" s="110" t="n"/>
      <c r="J924" s="110" t="n"/>
      <c r="K924" s="110" t="n"/>
      <c r="L924" s="110" t="n"/>
      <c r="M924" s="110" t="n"/>
      <c r="N924" s="110" t="n"/>
      <c r="O924" s="110" t="n"/>
      <c r="P924" s="110" t="n"/>
      <c r="Q924" s="110" t="n"/>
      <c r="R924" s="110" t="n"/>
      <c r="S924" s="110" t="n"/>
      <c r="T924" s="110" t="n"/>
      <c r="U924" s="110" t="n"/>
      <c r="V924" s="110" t="n"/>
      <c r="W924" s="110" t="n"/>
      <c r="X924" s="110" t="n"/>
      <c r="Y924" s="110" t="n"/>
      <c r="Z924" s="110" t="n"/>
    </row>
    <row r="925">
      <c r="A925" s="110" t="n"/>
      <c r="B925" s="110" t="n"/>
      <c r="C925" s="110" t="n"/>
      <c r="D925" s="110" t="n"/>
      <c r="E925" s="110" t="n"/>
      <c r="F925" s="110" t="n"/>
      <c r="G925" s="110" t="n"/>
      <c r="H925" s="110" t="n"/>
      <c r="I925" s="110" t="n"/>
      <c r="J925" s="110" t="n"/>
      <c r="K925" s="110" t="n"/>
      <c r="L925" s="110" t="n"/>
      <c r="M925" s="110" t="n"/>
      <c r="N925" s="110" t="n"/>
      <c r="O925" s="110" t="n"/>
      <c r="P925" s="110" t="n"/>
      <c r="Q925" s="110" t="n"/>
      <c r="R925" s="110" t="n"/>
      <c r="S925" s="110" t="n"/>
      <c r="T925" s="110" t="n"/>
      <c r="U925" s="110" t="n"/>
      <c r="V925" s="110" t="n"/>
      <c r="W925" s="110" t="n"/>
      <c r="X925" s="110" t="n"/>
      <c r="Y925" s="110" t="n"/>
      <c r="Z925" s="110" t="n"/>
    </row>
    <row r="926">
      <c r="A926" s="110" t="n"/>
      <c r="B926" s="110" t="n"/>
      <c r="C926" s="110" t="n"/>
      <c r="D926" s="110" t="n"/>
      <c r="E926" s="110" t="n"/>
      <c r="F926" s="110" t="n"/>
      <c r="G926" s="110" t="n"/>
      <c r="H926" s="110" t="n"/>
      <c r="I926" s="110" t="n"/>
      <c r="J926" s="110" t="n"/>
      <c r="K926" s="110" t="n"/>
      <c r="L926" s="110" t="n"/>
      <c r="M926" s="110" t="n"/>
      <c r="N926" s="110" t="n"/>
      <c r="O926" s="110" t="n"/>
      <c r="P926" s="110" t="n"/>
      <c r="Q926" s="110" t="n"/>
      <c r="R926" s="110" t="n"/>
      <c r="S926" s="110" t="n"/>
      <c r="T926" s="110" t="n"/>
      <c r="U926" s="110" t="n"/>
      <c r="V926" s="110" t="n"/>
      <c r="W926" s="110" t="n"/>
      <c r="X926" s="110" t="n"/>
      <c r="Y926" s="110" t="n"/>
      <c r="Z926" s="110" t="n"/>
    </row>
    <row r="927">
      <c r="A927" s="110" t="n"/>
      <c r="B927" s="110" t="n"/>
      <c r="C927" s="110" t="n"/>
      <c r="D927" s="110" t="n"/>
      <c r="E927" s="110" t="n"/>
      <c r="F927" s="110" t="n"/>
      <c r="G927" s="110" t="n"/>
      <c r="H927" s="110" t="n"/>
      <c r="I927" s="110" t="n"/>
      <c r="J927" s="110" t="n"/>
      <c r="K927" s="110" t="n"/>
      <c r="L927" s="110" t="n"/>
      <c r="M927" s="110" t="n"/>
      <c r="N927" s="110" t="n"/>
      <c r="O927" s="110" t="n"/>
      <c r="P927" s="110" t="n"/>
      <c r="Q927" s="110" t="n"/>
      <c r="R927" s="110" t="n"/>
      <c r="S927" s="110" t="n"/>
      <c r="T927" s="110" t="n"/>
      <c r="U927" s="110" t="n"/>
      <c r="V927" s="110" t="n"/>
      <c r="W927" s="110" t="n"/>
      <c r="X927" s="110" t="n"/>
      <c r="Y927" s="110" t="n"/>
      <c r="Z927" s="110" t="n"/>
    </row>
    <row r="928">
      <c r="A928" s="110" t="n"/>
      <c r="B928" s="110" t="n"/>
      <c r="C928" s="110" t="n"/>
      <c r="D928" s="110" t="n"/>
      <c r="E928" s="110" t="n"/>
      <c r="F928" s="110" t="n"/>
      <c r="G928" s="110" t="n"/>
      <c r="H928" s="110" t="n"/>
      <c r="I928" s="110" t="n"/>
      <c r="J928" s="110" t="n"/>
      <c r="K928" s="110" t="n"/>
      <c r="L928" s="110" t="n"/>
      <c r="M928" s="110" t="n"/>
      <c r="N928" s="110" t="n"/>
      <c r="O928" s="110" t="n"/>
      <c r="P928" s="110" t="n"/>
      <c r="Q928" s="110" t="n"/>
      <c r="R928" s="110" t="n"/>
      <c r="S928" s="110" t="n"/>
      <c r="T928" s="110" t="n"/>
      <c r="U928" s="110" t="n"/>
      <c r="V928" s="110" t="n"/>
      <c r="W928" s="110" t="n"/>
      <c r="X928" s="110" t="n"/>
      <c r="Y928" s="110" t="n"/>
      <c r="Z928" s="110" t="n"/>
    </row>
    <row r="929">
      <c r="A929" s="110" t="n"/>
      <c r="B929" s="110" t="n"/>
      <c r="C929" s="110" t="n"/>
      <c r="D929" s="110" t="n"/>
      <c r="E929" s="110" t="n"/>
      <c r="F929" s="110" t="n"/>
      <c r="G929" s="110" t="n"/>
      <c r="H929" s="110" t="n"/>
      <c r="I929" s="110" t="n"/>
      <c r="J929" s="110" t="n"/>
      <c r="K929" s="110" t="n"/>
      <c r="L929" s="110" t="n"/>
      <c r="M929" s="110" t="n"/>
      <c r="N929" s="110" t="n"/>
      <c r="O929" s="110" t="n"/>
      <c r="P929" s="110" t="n"/>
      <c r="Q929" s="110" t="n"/>
      <c r="R929" s="110" t="n"/>
      <c r="S929" s="110" t="n"/>
      <c r="T929" s="110" t="n"/>
      <c r="U929" s="110" t="n"/>
      <c r="V929" s="110" t="n"/>
      <c r="W929" s="110" t="n"/>
      <c r="X929" s="110" t="n"/>
      <c r="Y929" s="110" t="n"/>
      <c r="Z929" s="110" t="n"/>
    </row>
    <row r="930">
      <c r="A930" s="110" t="n"/>
      <c r="B930" s="110" t="n"/>
      <c r="C930" s="110" t="n"/>
      <c r="D930" s="110" t="n"/>
      <c r="E930" s="110" t="n"/>
      <c r="F930" s="110" t="n"/>
      <c r="G930" s="110" t="n"/>
      <c r="H930" s="110" t="n"/>
      <c r="I930" s="110" t="n"/>
      <c r="J930" s="110" t="n"/>
      <c r="K930" s="110" t="n"/>
      <c r="L930" s="110" t="n"/>
      <c r="M930" s="110" t="n"/>
      <c r="N930" s="110" t="n"/>
      <c r="O930" s="110" t="n"/>
      <c r="P930" s="110" t="n"/>
      <c r="Q930" s="110" t="n"/>
      <c r="R930" s="110" t="n"/>
      <c r="S930" s="110" t="n"/>
      <c r="T930" s="110" t="n"/>
      <c r="U930" s="110" t="n"/>
      <c r="V930" s="110" t="n"/>
      <c r="W930" s="110" t="n"/>
      <c r="X930" s="110" t="n"/>
      <c r="Y930" s="110" t="n"/>
      <c r="Z930" s="110" t="n"/>
    </row>
    <row r="931">
      <c r="A931" s="110" t="n"/>
      <c r="B931" s="110" t="n"/>
      <c r="C931" s="110" t="n"/>
      <c r="D931" s="110" t="n"/>
      <c r="E931" s="110" t="n"/>
      <c r="F931" s="110" t="n"/>
      <c r="G931" s="110" t="n"/>
      <c r="H931" s="110" t="n"/>
      <c r="I931" s="110" t="n"/>
      <c r="J931" s="110" t="n"/>
      <c r="K931" s="110" t="n"/>
      <c r="L931" s="110" t="n"/>
      <c r="M931" s="110" t="n"/>
      <c r="N931" s="110" t="n"/>
      <c r="O931" s="110" t="n"/>
      <c r="P931" s="110" t="n"/>
      <c r="Q931" s="110" t="n"/>
      <c r="R931" s="110" t="n"/>
      <c r="S931" s="110" t="n"/>
      <c r="T931" s="110" t="n"/>
      <c r="U931" s="110" t="n"/>
      <c r="V931" s="110" t="n"/>
      <c r="W931" s="110" t="n"/>
      <c r="X931" s="110" t="n"/>
      <c r="Y931" s="110" t="n"/>
      <c r="Z931" s="110" t="n"/>
    </row>
    <row r="932">
      <c r="A932" s="110" t="n"/>
      <c r="B932" s="110" t="n"/>
      <c r="C932" s="110" t="n"/>
      <c r="D932" s="110" t="n"/>
      <c r="E932" s="110" t="n"/>
      <c r="F932" s="110" t="n"/>
      <c r="G932" s="110" t="n"/>
      <c r="H932" s="110" t="n"/>
      <c r="I932" s="110" t="n"/>
      <c r="J932" s="110" t="n"/>
      <c r="K932" s="110" t="n"/>
      <c r="L932" s="110" t="n"/>
      <c r="M932" s="110" t="n"/>
      <c r="N932" s="110" t="n"/>
      <c r="O932" s="110" t="n"/>
      <c r="P932" s="110" t="n"/>
      <c r="Q932" s="110" t="n"/>
      <c r="R932" s="110" t="n"/>
      <c r="S932" s="110" t="n"/>
      <c r="T932" s="110" t="n"/>
      <c r="U932" s="110" t="n"/>
      <c r="V932" s="110" t="n"/>
      <c r="W932" s="110" t="n"/>
      <c r="X932" s="110" t="n"/>
      <c r="Y932" s="110" t="n"/>
      <c r="Z932" s="110" t="n"/>
    </row>
    <row r="933">
      <c r="A933" s="110" t="n"/>
      <c r="B933" s="110" t="n"/>
      <c r="C933" s="110" t="n"/>
      <c r="D933" s="110" t="n"/>
      <c r="E933" s="110" t="n"/>
      <c r="F933" s="110" t="n"/>
      <c r="G933" s="110" t="n"/>
      <c r="H933" s="110" t="n"/>
      <c r="I933" s="110" t="n"/>
      <c r="J933" s="110" t="n"/>
      <c r="K933" s="110" t="n"/>
      <c r="L933" s="110" t="n"/>
      <c r="M933" s="110" t="n"/>
      <c r="N933" s="110" t="n"/>
      <c r="O933" s="110" t="n"/>
      <c r="P933" s="110" t="n"/>
      <c r="Q933" s="110" t="n"/>
      <c r="R933" s="110" t="n"/>
      <c r="S933" s="110" t="n"/>
      <c r="T933" s="110" t="n"/>
      <c r="U933" s="110" t="n"/>
      <c r="V933" s="110" t="n"/>
      <c r="W933" s="110" t="n"/>
      <c r="X933" s="110" t="n"/>
      <c r="Y933" s="110" t="n"/>
      <c r="Z933" s="110" t="n"/>
    </row>
    <row r="934">
      <c r="A934" s="110" t="n"/>
      <c r="B934" s="110" t="n"/>
      <c r="C934" s="110" t="n"/>
      <c r="D934" s="110" t="n"/>
      <c r="E934" s="110" t="n"/>
      <c r="F934" s="110" t="n"/>
      <c r="G934" s="110" t="n"/>
      <c r="H934" s="110" t="n"/>
      <c r="I934" s="110" t="n"/>
      <c r="J934" s="110" t="n"/>
      <c r="K934" s="110" t="n"/>
      <c r="L934" s="110" t="n"/>
      <c r="M934" s="110" t="n"/>
      <c r="N934" s="110" t="n"/>
      <c r="O934" s="110" t="n"/>
      <c r="P934" s="110" t="n"/>
      <c r="Q934" s="110" t="n"/>
      <c r="R934" s="110" t="n"/>
      <c r="S934" s="110" t="n"/>
      <c r="T934" s="110" t="n"/>
      <c r="U934" s="110" t="n"/>
      <c r="V934" s="110" t="n"/>
      <c r="W934" s="110" t="n"/>
      <c r="X934" s="110" t="n"/>
      <c r="Y934" s="110" t="n"/>
      <c r="Z934" s="110" t="n"/>
    </row>
    <row r="935">
      <c r="A935" s="110" t="n"/>
      <c r="B935" s="110" t="n"/>
      <c r="C935" s="110" t="n"/>
      <c r="D935" s="110" t="n"/>
      <c r="E935" s="110" t="n"/>
      <c r="F935" s="110" t="n"/>
      <c r="G935" s="110" t="n"/>
      <c r="H935" s="110" t="n"/>
      <c r="I935" s="110" t="n"/>
      <c r="J935" s="110" t="n"/>
      <c r="K935" s="110" t="n"/>
      <c r="L935" s="110" t="n"/>
      <c r="M935" s="110" t="n"/>
      <c r="N935" s="110" t="n"/>
      <c r="O935" s="110" t="n"/>
      <c r="P935" s="110" t="n"/>
      <c r="Q935" s="110" t="n"/>
      <c r="R935" s="110" t="n"/>
      <c r="S935" s="110" t="n"/>
      <c r="T935" s="110" t="n"/>
      <c r="U935" s="110" t="n"/>
      <c r="V935" s="110" t="n"/>
      <c r="W935" s="110" t="n"/>
      <c r="X935" s="110" t="n"/>
      <c r="Y935" s="110" t="n"/>
      <c r="Z935" s="110" t="n"/>
    </row>
    <row r="936">
      <c r="A936" s="110" t="n"/>
      <c r="B936" s="110" t="n"/>
      <c r="C936" s="110" t="n"/>
      <c r="D936" s="110" t="n"/>
      <c r="E936" s="110" t="n"/>
      <c r="F936" s="110" t="n"/>
      <c r="G936" s="110" t="n"/>
      <c r="H936" s="110" t="n"/>
      <c r="I936" s="110" t="n"/>
      <c r="J936" s="110" t="n"/>
      <c r="K936" s="110" t="n"/>
      <c r="L936" s="110" t="n"/>
      <c r="M936" s="110" t="n"/>
      <c r="N936" s="110" t="n"/>
      <c r="O936" s="110" t="n"/>
      <c r="P936" s="110" t="n"/>
      <c r="Q936" s="110" t="n"/>
      <c r="R936" s="110" t="n"/>
      <c r="S936" s="110" t="n"/>
      <c r="T936" s="110" t="n"/>
      <c r="U936" s="110" t="n"/>
      <c r="V936" s="110" t="n"/>
      <c r="W936" s="110" t="n"/>
      <c r="X936" s="110" t="n"/>
      <c r="Y936" s="110" t="n"/>
      <c r="Z936" s="110" t="n"/>
    </row>
    <row r="937">
      <c r="A937" s="110" t="n"/>
      <c r="B937" s="110" t="n"/>
      <c r="C937" s="110" t="n"/>
      <c r="D937" s="110" t="n"/>
      <c r="E937" s="110" t="n"/>
      <c r="F937" s="110" t="n"/>
      <c r="G937" s="110" t="n"/>
      <c r="H937" s="110" t="n"/>
      <c r="I937" s="110" t="n"/>
      <c r="J937" s="110" t="n"/>
      <c r="K937" s="110" t="n"/>
      <c r="L937" s="110" t="n"/>
      <c r="M937" s="110" t="n"/>
      <c r="N937" s="110" t="n"/>
      <c r="O937" s="110" t="n"/>
      <c r="P937" s="110" t="n"/>
      <c r="Q937" s="110" t="n"/>
      <c r="R937" s="110" t="n"/>
      <c r="S937" s="110" t="n"/>
      <c r="T937" s="110" t="n"/>
      <c r="U937" s="110" t="n"/>
      <c r="V937" s="110" t="n"/>
      <c r="W937" s="110" t="n"/>
      <c r="X937" s="110" t="n"/>
      <c r="Y937" s="110" t="n"/>
      <c r="Z937" s="110" t="n"/>
    </row>
    <row r="938">
      <c r="A938" s="110" t="n"/>
      <c r="B938" s="110" t="n"/>
      <c r="C938" s="110" t="n"/>
      <c r="D938" s="110" t="n"/>
      <c r="E938" s="110" t="n"/>
      <c r="F938" s="110" t="n"/>
      <c r="G938" s="110" t="n"/>
      <c r="H938" s="110" t="n"/>
      <c r="I938" s="110" t="n"/>
      <c r="J938" s="110" t="n"/>
      <c r="K938" s="110" t="n"/>
      <c r="L938" s="110" t="n"/>
      <c r="M938" s="110" t="n"/>
      <c r="N938" s="110" t="n"/>
      <c r="O938" s="110" t="n"/>
      <c r="P938" s="110" t="n"/>
      <c r="Q938" s="110" t="n"/>
      <c r="R938" s="110" t="n"/>
      <c r="S938" s="110" t="n"/>
      <c r="T938" s="110" t="n"/>
      <c r="U938" s="110" t="n"/>
      <c r="V938" s="110" t="n"/>
      <c r="W938" s="110" t="n"/>
      <c r="X938" s="110" t="n"/>
      <c r="Y938" s="110" t="n"/>
      <c r="Z938" s="110" t="n"/>
    </row>
    <row r="939">
      <c r="A939" s="110" t="n"/>
      <c r="B939" s="110" t="n"/>
      <c r="C939" s="110" t="n"/>
      <c r="D939" s="110" t="n"/>
      <c r="E939" s="110" t="n"/>
      <c r="F939" s="110" t="n"/>
      <c r="G939" s="110" t="n"/>
      <c r="H939" s="110" t="n"/>
      <c r="I939" s="110" t="n"/>
      <c r="J939" s="110" t="n"/>
      <c r="K939" s="110" t="n"/>
      <c r="L939" s="110" t="n"/>
      <c r="M939" s="110" t="n"/>
      <c r="N939" s="110" t="n"/>
      <c r="O939" s="110" t="n"/>
      <c r="P939" s="110" t="n"/>
      <c r="Q939" s="110" t="n"/>
      <c r="R939" s="110" t="n"/>
      <c r="S939" s="110" t="n"/>
      <c r="T939" s="110" t="n"/>
      <c r="U939" s="110" t="n"/>
      <c r="V939" s="110" t="n"/>
      <c r="W939" s="110" t="n"/>
      <c r="X939" s="110" t="n"/>
      <c r="Y939" s="110" t="n"/>
      <c r="Z939" s="110" t="n"/>
    </row>
    <row r="940">
      <c r="A940" s="110" t="n"/>
      <c r="B940" s="110" t="n"/>
      <c r="C940" s="110" t="n"/>
      <c r="D940" s="110" t="n"/>
      <c r="E940" s="110" t="n"/>
      <c r="F940" s="110" t="n"/>
      <c r="G940" s="110" t="n"/>
      <c r="H940" s="110" t="n"/>
      <c r="I940" s="110" t="n"/>
      <c r="J940" s="110" t="n"/>
      <c r="K940" s="110" t="n"/>
      <c r="L940" s="110" t="n"/>
      <c r="M940" s="110" t="n"/>
      <c r="N940" s="110" t="n"/>
      <c r="O940" s="110" t="n"/>
      <c r="P940" s="110" t="n"/>
      <c r="Q940" s="110" t="n"/>
      <c r="R940" s="110" t="n"/>
      <c r="S940" s="110" t="n"/>
      <c r="T940" s="110" t="n"/>
      <c r="U940" s="110" t="n"/>
      <c r="V940" s="110" t="n"/>
      <c r="W940" s="110" t="n"/>
      <c r="X940" s="110" t="n"/>
      <c r="Y940" s="110" t="n"/>
      <c r="Z940" s="110" t="n"/>
    </row>
    <row r="941">
      <c r="A941" s="110" t="n"/>
      <c r="B941" s="110" t="n"/>
      <c r="C941" s="110" t="n"/>
      <c r="D941" s="110" t="n"/>
      <c r="E941" s="110" t="n"/>
      <c r="F941" s="110" t="n"/>
      <c r="G941" s="110" t="n"/>
      <c r="H941" s="110" t="n"/>
      <c r="I941" s="110" t="n"/>
      <c r="J941" s="110" t="n"/>
      <c r="K941" s="110" t="n"/>
      <c r="L941" s="110" t="n"/>
      <c r="M941" s="110" t="n"/>
      <c r="N941" s="110" t="n"/>
      <c r="O941" s="110" t="n"/>
      <c r="P941" s="110" t="n"/>
      <c r="Q941" s="110" t="n"/>
      <c r="R941" s="110" t="n"/>
      <c r="S941" s="110" t="n"/>
      <c r="T941" s="110" t="n"/>
      <c r="U941" s="110" t="n"/>
      <c r="V941" s="110" t="n"/>
      <c r="W941" s="110" t="n"/>
      <c r="X941" s="110" t="n"/>
      <c r="Y941" s="110" t="n"/>
      <c r="Z941" s="110" t="n"/>
    </row>
    <row r="942">
      <c r="A942" s="110" t="n"/>
      <c r="B942" s="110" t="n"/>
      <c r="C942" s="110" t="n"/>
      <c r="D942" s="110" t="n"/>
      <c r="E942" s="110" t="n"/>
      <c r="F942" s="110" t="n"/>
      <c r="G942" s="110" t="n"/>
      <c r="H942" s="110" t="n"/>
      <c r="I942" s="110" t="n"/>
      <c r="J942" s="110" t="n"/>
      <c r="K942" s="110" t="n"/>
      <c r="L942" s="110" t="n"/>
      <c r="M942" s="110" t="n"/>
      <c r="N942" s="110" t="n"/>
      <c r="O942" s="110" t="n"/>
      <c r="P942" s="110" t="n"/>
      <c r="Q942" s="110" t="n"/>
      <c r="R942" s="110" t="n"/>
      <c r="S942" s="110" t="n"/>
      <c r="T942" s="110" t="n"/>
      <c r="U942" s="110" t="n"/>
      <c r="V942" s="110" t="n"/>
      <c r="W942" s="110" t="n"/>
      <c r="X942" s="110" t="n"/>
      <c r="Y942" s="110" t="n"/>
      <c r="Z942" s="110" t="n"/>
    </row>
    <row r="943">
      <c r="A943" s="110" t="n"/>
      <c r="B943" s="110" t="n"/>
      <c r="C943" s="110" t="n"/>
      <c r="D943" s="110" t="n"/>
      <c r="E943" s="110" t="n"/>
      <c r="F943" s="110" t="n"/>
      <c r="G943" s="110" t="n"/>
      <c r="H943" s="110" t="n"/>
      <c r="I943" s="110" t="n"/>
      <c r="J943" s="110" t="n"/>
      <c r="K943" s="110" t="n"/>
      <c r="L943" s="110" t="n"/>
      <c r="M943" s="110" t="n"/>
      <c r="N943" s="110" t="n"/>
      <c r="O943" s="110" t="n"/>
      <c r="P943" s="110" t="n"/>
      <c r="Q943" s="110" t="n"/>
      <c r="R943" s="110" t="n"/>
      <c r="S943" s="110" t="n"/>
      <c r="T943" s="110" t="n"/>
      <c r="U943" s="110" t="n"/>
      <c r="V943" s="110" t="n"/>
      <c r="W943" s="110" t="n"/>
      <c r="X943" s="110" t="n"/>
      <c r="Y943" s="110" t="n"/>
      <c r="Z943" s="110" t="n"/>
    </row>
    <row r="944">
      <c r="A944" s="110" t="n"/>
      <c r="B944" s="110" t="n"/>
      <c r="C944" s="110" t="n"/>
      <c r="D944" s="110" t="n"/>
      <c r="E944" s="110" t="n"/>
      <c r="F944" s="110" t="n"/>
      <c r="G944" s="110" t="n"/>
      <c r="H944" s="110" t="n"/>
      <c r="I944" s="110" t="n"/>
      <c r="J944" s="110" t="n"/>
      <c r="K944" s="110" t="n"/>
      <c r="L944" s="110" t="n"/>
      <c r="M944" s="110" t="n"/>
      <c r="N944" s="110" t="n"/>
      <c r="O944" s="110" t="n"/>
      <c r="P944" s="110" t="n"/>
      <c r="Q944" s="110" t="n"/>
      <c r="R944" s="110" t="n"/>
      <c r="S944" s="110" t="n"/>
      <c r="T944" s="110" t="n"/>
      <c r="U944" s="110" t="n"/>
      <c r="V944" s="110" t="n"/>
      <c r="W944" s="110" t="n"/>
      <c r="X944" s="110" t="n"/>
      <c r="Y944" s="110" t="n"/>
      <c r="Z944" s="110" t="n"/>
    </row>
    <row r="945">
      <c r="A945" s="110" t="n"/>
      <c r="B945" s="110" t="n"/>
      <c r="C945" s="110" t="n"/>
      <c r="D945" s="110" t="n"/>
      <c r="E945" s="110" t="n"/>
      <c r="F945" s="110" t="n"/>
      <c r="G945" s="110" t="n"/>
      <c r="H945" s="110" t="n"/>
      <c r="I945" s="110" t="n"/>
      <c r="J945" s="110" t="n"/>
      <c r="K945" s="110" t="n"/>
      <c r="L945" s="110" t="n"/>
      <c r="M945" s="110" t="n"/>
      <c r="N945" s="110" t="n"/>
      <c r="O945" s="110" t="n"/>
      <c r="P945" s="110" t="n"/>
      <c r="Q945" s="110" t="n"/>
      <c r="R945" s="110" t="n"/>
      <c r="S945" s="110" t="n"/>
      <c r="T945" s="110" t="n"/>
      <c r="U945" s="110" t="n"/>
      <c r="V945" s="110" t="n"/>
      <c r="W945" s="110" t="n"/>
      <c r="X945" s="110" t="n"/>
      <c r="Y945" s="110" t="n"/>
      <c r="Z945" s="110" t="n"/>
    </row>
    <row r="946">
      <c r="A946" s="110" t="n"/>
      <c r="B946" s="110" t="n"/>
      <c r="C946" s="110" t="n"/>
      <c r="D946" s="110" t="n"/>
      <c r="E946" s="110" t="n"/>
      <c r="F946" s="110" t="n"/>
      <c r="G946" s="110" t="n"/>
      <c r="H946" s="110" t="n"/>
      <c r="I946" s="110" t="n"/>
      <c r="J946" s="110" t="n"/>
      <c r="K946" s="110" t="n"/>
      <c r="L946" s="110" t="n"/>
      <c r="M946" s="110" t="n"/>
      <c r="N946" s="110" t="n"/>
      <c r="O946" s="110" t="n"/>
      <c r="P946" s="110" t="n"/>
      <c r="Q946" s="110" t="n"/>
      <c r="R946" s="110" t="n"/>
      <c r="S946" s="110" t="n"/>
      <c r="T946" s="110" t="n"/>
      <c r="U946" s="110" t="n"/>
      <c r="V946" s="110" t="n"/>
      <c r="W946" s="110" t="n"/>
      <c r="X946" s="110" t="n"/>
      <c r="Y946" s="110" t="n"/>
      <c r="Z946" s="110" t="n"/>
    </row>
    <row r="947">
      <c r="A947" s="110" t="n"/>
      <c r="B947" s="110" t="n"/>
      <c r="C947" s="110" t="n"/>
      <c r="D947" s="110" t="n"/>
      <c r="E947" s="110" t="n"/>
      <c r="F947" s="110" t="n"/>
      <c r="G947" s="110" t="n"/>
      <c r="H947" s="110" t="n"/>
      <c r="I947" s="110" t="n"/>
      <c r="J947" s="110" t="n"/>
      <c r="K947" s="110" t="n"/>
      <c r="L947" s="110" t="n"/>
      <c r="M947" s="110" t="n"/>
      <c r="N947" s="110" t="n"/>
      <c r="O947" s="110" t="n"/>
      <c r="P947" s="110" t="n"/>
      <c r="Q947" s="110" t="n"/>
      <c r="R947" s="110" t="n"/>
      <c r="S947" s="110" t="n"/>
      <c r="T947" s="110" t="n"/>
      <c r="U947" s="110" t="n"/>
      <c r="V947" s="110" t="n"/>
      <c r="W947" s="110" t="n"/>
      <c r="X947" s="110" t="n"/>
      <c r="Y947" s="110" t="n"/>
      <c r="Z947" s="110" t="n"/>
    </row>
    <row r="948">
      <c r="A948" s="110" t="n"/>
      <c r="B948" s="110" t="n"/>
      <c r="C948" s="110" t="n"/>
      <c r="D948" s="110" t="n"/>
      <c r="E948" s="110" t="n"/>
      <c r="F948" s="110" t="n"/>
      <c r="G948" s="110" t="n"/>
      <c r="H948" s="110" t="n"/>
      <c r="I948" s="110" t="n"/>
      <c r="J948" s="110" t="n"/>
      <c r="K948" s="110" t="n"/>
      <c r="L948" s="110" t="n"/>
      <c r="M948" s="110" t="n"/>
      <c r="N948" s="110" t="n"/>
      <c r="O948" s="110" t="n"/>
      <c r="P948" s="110" t="n"/>
      <c r="Q948" s="110" t="n"/>
      <c r="R948" s="110" t="n"/>
      <c r="S948" s="110" t="n"/>
      <c r="T948" s="110" t="n"/>
      <c r="U948" s="110" t="n"/>
      <c r="V948" s="110" t="n"/>
      <c r="W948" s="110" t="n"/>
      <c r="X948" s="110" t="n"/>
      <c r="Y948" s="110" t="n"/>
      <c r="Z948" s="110" t="n"/>
    </row>
    <row r="949">
      <c r="A949" s="110" t="n"/>
      <c r="B949" s="110" t="n"/>
      <c r="C949" s="110" t="n"/>
      <c r="D949" s="110" t="n"/>
      <c r="E949" s="110" t="n"/>
      <c r="F949" s="110" t="n"/>
      <c r="G949" s="110" t="n"/>
      <c r="H949" s="110" t="n"/>
      <c r="I949" s="110" t="n"/>
      <c r="J949" s="110" t="n"/>
      <c r="K949" s="110" t="n"/>
      <c r="L949" s="110" t="n"/>
      <c r="M949" s="110" t="n"/>
      <c r="N949" s="110" t="n"/>
      <c r="O949" s="110" t="n"/>
      <c r="P949" s="110" t="n"/>
      <c r="Q949" s="110" t="n"/>
      <c r="R949" s="110" t="n"/>
      <c r="S949" s="110" t="n"/>
      <c r="T949" s="110" t="n"/>
      <c r="U949" s="110" t="n"/>
      <c r="V949" s="110" t="n"/>
      <c r="W949" s="110" t="n"/>
      <c r="X949" s="110" t="n"/>
      <c r="Y949" s="110" t="n"/>
      <c r="Z949" s="110" t="n"/>
    </row>
    <row r="950">
      <c r="A950" s="110" t="n"/>
      <c r="B950" s="110" t="n"/>
      <c r="C950" s="110" t="n"/>
      <c r="D950" s="110" t="n"/>
      <c r="E950" s="110" t="n"/>
      <c r="F950" s="110" t="n"/>
      <c r="G950" s="110" t="n"/>
      <c r="H950" s="110" t="n"/>
      <c r="I950" s="110" t="n"/>
      <c r="J950" s="110" t="n"/>
      <c r="K950" s="110" t="n"/>
      <c r="L950" s="110" t="n"/>
      <c r="M950" s="110" t="n"/>
      <c r="N950" s="110" t="n"/>
      <c r="O950" s="110" t="n"/>
      <c r="P950" s="110" t="n"/>
      <c r="Q950" s="110" t="n"/>
      <c r="R950" s="110" t="n"/>
      <c r="S950" s="110" t="n"/>
      <c r="T950" s="110" t="n"/>
      <c r="U950" s="110" t="n"/>
      <c r="V950" s="110" t="n"/>
      <c r="W950" s="110" t="n"/>
      <c r="X950" s="110" t="n"/>
      <c r="Y950" s="110" t="n"/>
      <c r="Z950" s="110" t="n"/>
    </row>
    <row r="951">
      <c r="A951" s="110" t="n"/>
      <c r="B951" s="110" t="n"/>
      <c r="C951" s="110" t="n"/>
      <c r="D951" s="110" t="n"/>
      <c r="E951" s="110" t="n"/>
      <c r="F951" s="110" t="n"/>
      <c r="G951" s="110" t="n"/>
      <c r="H951" s="110" t="n"/>
      <c r="I951" s="110" t="n"/>
      <c r="J951" s="110" t="n"/>
      <c r="K951" s="110" t="n"/>
      <c r="L951" s="110" t="n"/>
      <c r="M951" s="110" t="n"/>
      <c r="N951" s="110" t="n"/>
      <c r="O951" s="110" t="n"/>
      <c r="P951" s="110" t="n"/>
      <c r="Q951" s="110" t="n"/>
      <c r="R951" s="110" t="n"/>
      <c r="S951" s="110" t="n"/>
      <c r="T951" s="110" t="n"/>
      <c r="U951" s="110" t="n"/>
      <c r="V951" s="110" t="n"/>
      <c r="W951" s="110" t="n"/>
      <c r="X951" s="110" t="n"/>
      <c r="Y951" s="110" t="n"/>
      <c r="Z951" s="110" t="n"/>
    </row>
    <row r="952">
      <c r="A952" s="110" t="n"/>
      <c r="B952" s="110" t="n"/>
      <c r="C952" s="110" t="n"/>
      <c r="D952" s="110" t="n"/>
      <c r="E952" s="110" t="n"/>
      <c r="F952" s="110" t="n"/>
      <c r="G952" s="110" t="n"/>
      <c r="H952" s="110" t="n"/>
      <c r="I952" s="110" t="n"/>
      <c r="J952" s="110" t="n"/>
      <c r="K952" s="110" t="n"/>
      <c r="L952" s="110" t="n"/>
      <c r="M952" s="110" t="n"/>
      <c r="N952" s="110" t="n"/>
      <c r="O952" s="110" t="n"/>
      <c r="P952" s="110" t="n"/>
      <c r="Q952" s="110" t="n"/>
      <c r="R952" s="110" t="n"/>
      <c r="S952" s="110" t="n"/>
      <c r="T952" s="110" t="n"/>
      <c r="U952" s="110" t="n"/>
      <c r="V952" s="110" t="n"/>
      <c r="W952" s="110" t="n"/>
      <c r="X952" s="110" t="n"/>
      <c r="Y952" s="110" t="n"/>
      <c r="Z952" s="110" t="n"/>
    </row>
    <row r="953">
      <c r="A953" s="110" t="n"/>
      <c r="B953" s="110" t="n"/>
      <c r="C953" s="110" t="n"/>
      <c r="D953" s="110" t="n"/>
      <c r="E953" s="110" t="n"/>
      <c r="F953" s="110" t="n"/>
      <c r="G953" s="110" t="n"/>
      <c r="H953" s="110" t="n"/>
      <c r="I953" s="110" t="n"/>
      <c r="J953" s="110" t="n"/>
      <c r="K953" s="110" t="n"/>
      <c r="L953" s="110" t="n"/>
      <c r="M953" s="110" t="n"/>
      <c r="N953" s="110" t="n"/>
      <c r="O953" s="110" t="n"/>
      <c r="P953" s="110" t="n"/>
      <c r="Q953" s="110" t="n"/>
      <c r="R953" s="110" t="n"/>
      <c r="S953" s="110" t="n"/>
      <c r="T953" s="110" t="n"/>
      <c r="U953" s="110" t="n"/>
      <c r="V953" s="110" t="n"/>
      <c r="W953" s="110" t="n"/>
      <c r="X953" s="110" t="n"/>
      <c r="Y953" s="110" t="n"/>
      <c r="Z953" s="110" t="n"/>
    </row>
    <row r="954">
      <c r="A954" s="110" t="n"/>
      <c r="B954" s="110" t="n"/>
      <c r="C954" s="110" t="n"/>
      <c r="D954" s="110" t="n"/>
      <c r="E954" s="110" t="n"/>
      <c r="F954" s="110" t="n"/>
      <c r="G954" s="110" t="n"/>
      <c r="H954" s="110" t="n"/>
      <c r="I954" s="110" t="n"/>
      <c r="J954" s="110" t="n"/>
      <c r="K954" s="110" t="n"/>
      <c r="L954" s="110" t="n"/>
      <c r="M954" s="110" t="n"/>
      <c r="N954" s="110" t="n"/>
      <c r="O954" s="110" t="n"/>
      <c r="P954" s="110" t="n"/>
      <c r="Q954" s="110" t="n"/>
      <c r="R954" s="110" t="n"/>
      <c r="S954" s="110" t="n"/>
      <c r="T954" s="110" t="n"/>
      <c r="U954" s="110" t="n"/>
      <c r="V954" s="110" t="n"/>
      <c r="W954" s="110" t="n"/>
      <c r="X954" s="110" t="n"/>
      <c r="Y954" s="110" t="n"/>
      <c r="Z954" s="110" t="n"/>
    </row>
    <row r="955">
      <c r="A955" s="110" t="n"/>
      <c r="B955" s="110" t="n"/>
      <c r="C955" s="110" t="n"/>
      <c r="D955" s="110" t="n"/>
      <c r="E955" s="110" t="n"/>
      <c r="F955" s="110" t="n"/>
      <c r="G955" s="110" t="n"/>
      <c r="H955" s="110" t="n"/>
      <c r="I955" s="110" t="n"/>
      <c r="J955" s="110" t="n"/>
      <c r="K955" s="110" t="n"/>
      <c r="L955" s="110" t="n"/>
      <c r="M955" s="110" t="n"/>
      <c r="N955" s="110" t="n"/>
      <c r="O955" s="110" t="n"/>
      <c r="P955" s="110" t="n"/>
      <c r="Q955" s="110" t="n"/>
      <c r="R955" s="110" t="n"/>
      <c r="S955" s="110" t="n"/>
      <c r="T955" s="110" t="n"/>
      <c r="U955" s="110" t="n"/>
      <c r="V955" s="110" t="n"/>
      <c r="W955" s="110" t="n"/>
      <c r="X955" s="110" t="n"/>
      <c r="Y955" s="110" t="n"/>
      <c r="Z955" s="110" t="n"/>
    </row>
    <row r="956">
      <c r="A956" s="110" t="n"/>
      <c r="B956" s="110" t="n"/>
      <c r="C956" s="110" t="n"/>
      <c r="D956" s="110" t="n"/>
      <c r="E956" s="110" t="n"/>
      <c r="F956" s="110" t="n"/>
      <c r="G956" s="110" t="n"/>
      <c r="H956" s="110" t="n"/>
      <c r="I956" s="110" t="n"/>
      <c r="J956" s="110" t="n"/>
      <c r="K956" s="110" t="n"/>
      <c r="L956" s="110" t="n"/>
      <c r="M956" s="110" t="n"/>
      <c r="N956" s="110" t="n"/>
      <c r="O956" s="110" t="n"/>
      <c r="P956" s="110" t="n"/>
      <c r="Q956" s="110" t="n"/>
      <c r="R956" s="110" t="n"/>
      <c r="S956" s="110" t="n"/>
      <c r="T956" s="110" t="n"/>
      <c r="U956" s="110" t="n"/>
      <c r="V956" s="110" t="n"/>
      <c r="W956" s="110" t="n"/>
      <c r="X956" s="110" t="n"/>
      <c r="Y956" s="110" t="n"/>
      <c r="Z956" s="110" t="n"/>
    </row>
    <row r="957">
      <c r="A957" s="110" t="n"/>
      <c r="B957" s="110" t="n"/>
      <c r="C957" s="110" t="n"/>
      <c r="D957" s="110" t="n"/>
      <c r="E957" s="110" t="n"/>
      <c r="F957" s="110" t="n"/>
      <c r="G957" s="110" t="n"/>
      <c r="H957" s="110" t="n"/>
      <c r="I957" s="110" t="n"/>
      <c r="J957" s="110" t="n"/>
      <c r="K957" s="110" t="n"/>
      <c r="L957" s="110" t="n"/>
      <c r="M957" s="110" t="n"/>
      <c r="N957" s="110" t="n"/>
      <c r="O957" s="110" t="n"/>
      <c r="P957" s="110" t="n"/>
      <c r="Q957" s="110" t="n"/>
      <c r="R957" s="110" t="n"/>
      <c r="S957" s="110" t="n"/>
      <c r="T957" s="110" t="n"/>
      <c r="U957" s="110" t="n"/>
      <c r="V957" s="110" t="n"/>
      <c r="W957" s="110" t="n"/>
      <c r="X957" s="110" t="n"/>
      <c r="Y957" s="110" t="n"/>
      <c r="Z957" s="110" t="n"/>
    </row>
    <row r="958">
      <c r="A958" s="110" t="n"/>
      <c r="B958" s="110" t="n"/>
      <c r="C958" s="110" t="n"/>
      <c r="D958" s="110" t="n"/>
      <c r="E958" s="110" t="n"/>
      <c r="F958" s="110" t="n"/>
      <c r="G958" s="110" t="n"/>
      <c r="H958" s="110" t="n"/>
      <c r="I958" s="110" t="n"/>
      <c r="J958" s="110" t="n"/>
      <c r="K958" s="110" t="n"/>
      <c r="L958" s="110" t="n"/>
      <c r="M958" s="110" t="n"/>
      <c r="N958" s="110" t="n"/>
      <c r="O958" s="110" t="n"/>
      <c r="P958" s="110" t="n"/>
      <c r="Q958" s="110" t="n"/>
      <c r="R958" s="110" t="n"/>
      <c r="S958" s="110" t="n"/>
      <c r="T958" s="110" t="n"/>
      <c r="U958" s="110" t="n"/>
      <c r="V958" s="110" t="n"/>
      <c r="W958" s="110" t="n"/>
      <c r="X958" s="110" t="n"/>
      <c r="Y958" s="110" t="n"/>
      <c r="Z958" s="110" t="n"/>
    </row>
    <row r="959">
      <c r="A959" s="110" t="n"/>
      <c r="B959" s="110" t="n"/>
      <c r="C959" s="110" t="n"/>
      <c r="D959" s="110" t="n"/>
      <c r="E959" s="110" t="n"/>
      <c r="F959" s="110" t="n"/>
      <c r="G959" s="110" t="n"/>
      <c r="H959" s="110" t="n"/>
      <c r="I959" s="110" t="n"/>
      <c r="J959" s="110" t="n"/>
      <c r="K959" s="110" t="n"/>
      <c r="L959" s="110" t="n"/>
      <c r="M959" s="110" t="n"/>
      <c r="N959" s="110" t="n"/>
      <c r="O959" s="110" t="n"/>
      <c r="P959" s="110" t="n"/>
      <c r="Q959" s="110" t="n"/>
      <c r="R959" s="110" t="n"/>
      <c r="S959" s="110" t="n"/>
      <c r="T959" s="110" t="n"/>
      <c r="U959" s="110" t="n"/>
      <c r="V959" s="110" t="n"/>
      <c r="W959" s="110" t="n"/>
      <c r="X959" s="110" t="n"/>
      <c r="Y959" s="110" t="n"/>
      <c r="Z959" s="110" t="n"/>
    </row>
    <row r="960">
      <c r="A960" s="110" t="n"/>
      <c r="B960" s="110" t="n"/>
      <c r="C960" s="110" t="n"/>
      <c r="D960" s="110" t="n"/>
      <c r="E960" s="110" t="n"/>
      <c r="F960" s="110" t="n"/>
      <c r="G960" s="110" t="n"/>
      <c r="H960" s="110" t="n"/>
      <c r="I960" s="110" t="n"/>
      <c r="J960" s="110" t="n"/>
      <c r="K960" s="110" t="n"/>
      <c r="L960" s="110" t="n"/>
      <c r="M960" s="110" t="n"/>
      <c r="N960" s="110" t="n"/>
      <c r="O960" s="110" t="n"/>
      <c r="P960" s="110" t="n"/>
      <c r="Q960" s="110" t="n"/>
      <c r="R960" s="110" t="n"/>
      <c r="S960" s="110" t="n"/>
      <c r="T960" s="110" t="n"/>
      <c r="U960" s="110" t="n"/>
      <c r="V960" s="110" t="n"/>
      <c r="W960" s="110" t="n"/>
      <c r="X960" s="110" t="n"/>
      <c r="Y960" s="110" t="n"/>
      <c r="Z960" s="110" t="n"/>
    </row>
    <row r="961">
      <c r="A961" s="110" t="n"/>
      <c r="B961" s="110" t="n"/>
      <c r="C961" s="110" t="n"/>
      <c r="D961" s="110" t="n"/>
      <c r="E961" s="110" t="n"/>
      <c r="F961" s="110" t="n"/>
      <c r="G961" s="110" t="n"/>
      <c r="H961" s="110" t="n"/>
      <c r="I961" s="110" t="n"/>
      <c r="J961" s="110" t="n"/>
      <c r="K961" s="110" t="n"/>
      <c r="L961" s="110" t="n"/>
      <c r="M961" s="110" t="n"/>
      <c r="N961" s="110" t="n"/>
      <c r="O961" s="110" t="n"/>
      <c r="P961" s="110" t="n"/>
      <c r="Q961" s="110" t="n"/>
      <c r="R961" s="110" t="n"/>
      <c r="S961" s="110" t="n"/>
      <c r="T961" s="110" t="n"/>
      <c r="U961" s="110" t="n"/>
      <c r="V961" s="110" t="n"/>
      <c r="W961" s="110" t="n"/>
      <c r="X961" s="110" t="n"/>
      <c r="Y961" s="110" t="n"/>
      <c r="Z961" s="110" t="n"/>
    </row>
    <row r="962">
      <c r="A962" s="110" t="n"/>
      <c r="B962" s="110" t="n"/>
      <c r="C962" s="110" t="n"/>
      <c r="D962" s="110" t="n"/>
      <c r="E962" s="110" t="n"/>
      <c r="F962" s="110" t="n"/>
      <c r="G962" s="110" t="n"/>
      <c r="H962" s="110" t="n"/>
      <c r="I962" s="110" t="n"/>
      <c r="J962" s="110" t="n"/>
      <c r="K962" s="110" t="n"/>
      <c r="L962" s="110" t="n"/>
      <c r="M962" s="110" t="n"/>
      <c r="N962" s="110" t="n"/>
      <c r="O962" s="110" t="n"/>
      <c r="P962" s="110" t="n"/>
      <c r="Q962" s="110" t="n"/>
      <c r="R962" s="110" t="n"/>
      <c r="S962" s="110" t="n"/>
      <c r="T962" s="110" t="n"/>
      <c r="U962" s="110" t="n"/>
      <c r="V962" s="110" t="n"/>
      <c r="W962" s="110" t="n"/>
      <c r="X962" s="110" t="n"/>
      <c r="Y962" s="110" t="n"/>
      <c r="Z962" s="110" t="n"/>
    </row>
    <row r="963">
      <c r="A963" s="110" t="n"/>
      <c r="B963" s="110" t="n"/>
      <c r="C963" s="110" t="n"/>
      <c r="D963" s="110" t="n"/>
      <c r="E963" s="110" t="n"/>
      <c r="F963" s="110" t="n"/>
      <c r="G963" s="110" t="n"/>
      <c r="H963" s="110" t="n"/>
      <c r="I963" s="110" t="n"/>
      <c r="J963" s="110" t="n"/>
      <c r="K963" s="110" t="n"/>
      <c r="L963" s="110" t="n"/>
      <c r="M963" s="110" t="n"/>
      <c r="N963" s="110" t="n"/>
      <c r="O963" s="110" t="n"/>
      <c r="P963" s="110" t="n"/>
      <c r="Q963" s="110" t="n"/>
      <c r="R963" s="110" t="n"/>
      <c r="S963" s="110" t="n"/>
      <c r="T963" s="110" t="n"/>
      <c r="U963" s="110" t="n"/>
      <c r="V963" s="110" t="n"/>
      <c r="W963" s="110" t="n"/>
      <c r="X963" s="110" t="n"/>
      <c r="Y963" s="110" t="n"/>
      <c r="Z963" s="110" t="n"/>
    </row>
    <row r="964">
      <c r="A964" s="110" t="n"/>
      <c r="B964" s="110" t="n"/>
      <c r="C964" s="110" t="n"/>
      <c r="D964" s="110" t="n"/>
      <c r="E964" s="110" t="n"/>
      <c r="F964" s="110" t="n"/>
      <c r="G964" s="110" t="n"/>
      <c r="H964" s="110" t="n"/>
      <c r="I964" s="110" t="n"/>
      <c r="J964" s="110" t="n"/>
      <c r="K964" s="110" t="n"/>
      <c r="L964" s="110" t="n"/>
      <c r="M964" s="110" t="n"/>
      <c r="N964" s="110" t="n"/>
      <c r="O964" s="110" t="n"/>
      <c r="P964" s="110" t="n"/>
      <c r="Q964" s="110" t="n"/>
      <c r="R964" s="110" t="n"/>
      <c r="S964" s="110" t="n"/>
      <c r="T964" s="110" t="n"/>
      <c r="U964" s="110" t="n"/>
      <c r="V964" s="110" t="n"/>
      <c r="W964" s="110" t="n"/>
      <c r="X964" s="110" t="n"/>
      <c r="Y964" s="110" t="n"/>
      <c r="Z964" s="110" t="n"/>
    </row>
    <row r="965">
      <c r="A965" s="110" t="n"/>
      <c r="B965" s="110" t="n"/>
      <c r="C965" s="110" t="n"/>
      <c r="D965" s="110" t="n"/>
      <c r="E965" s="110" t="n"/>
      <c r="F965" s="110" t="n"/>
      <c r="G965" s="110" t="n"/>
      <c r="H965" s="110" t="n"/>
      <c r="I965" s="110" t="n"/>
      <c r="J965" s="110" t="n"/>
      <c r="K965" s="110" t="n"/>
      <c r="L965" s="110" t="n"/>
      <c r="M965" s="110" t="n"/>
      <c r="N965" s="110" t="n"/>
      <c r="O965" s="110" t="n"/>
      <c r="P965" s="110" t="n"/>
      <c r="Q965" s="110" t="n"/>
      <c r="R965" s="110" t="n"/>
      <c r="S965" s="110" t="n"/>
      <c r="T965" s="110" t="n"/>
      <c r="U965" s="110" t="n"/>
      <c r="V965" s="110" t="n"/>
      <c r="W965" s="110" t="n"/>
      <c r="X965" s="110" t="n"/>
      <c r="Y965" s="110" t="n"/>
      <c r="Z965" s="110" t="n"/>
    </row>
    <row r="966">
      <c r="A966" s="110" t="n"/>
      <c r="B966" s="110" t="n"/>
      <c r="C966" s="110" t="n"/>
      <c r="D966" s="110" t="n"/>
      <c r="E966" s="110" t="n"/>
      <c r="F966" s="110" t="n"/>
      <c r="G966" s="110" t="n"/>
      <c r="H966" s="110" t="n"/>
      <c r="I966" s="110" t="n"/>
      <c r="J966" s="110" t="n"/>
      <c r="K966" s="110" t="n"/>
      <c r="L966" s="110" t="n"/>
      <c r="M966" s="110" t="n"/>
      <c r="N966" s="110" t="n"/>
      <c r="O966" s="110" t="n"/>
      <c r="P966" s="110" t="n"/>
      <c r="Q966" s="110" t="n"/>
      <c r="R966" s="110" t="n"/>
      <c r="S966" s="110" t="n"/>
      <c r="T966" s="110" t="n"/>
      <c r="U966" s="110" t="n"/>
      <c r="V966" s="110" t="n"/>
      <c r="W966" s="110" t="n"/>
      <c r="X966" s="110" t="n"/>
      <c r="Y966" s="110" t="n"/>
      <c r="Z966" s="110" t="n"/>
    </row>
    <row r="967">
      <c r="A967" s="110" t="n"/>
      <c r="B967" s="110" t="n"/>
      <c r="C967" s="110" t="n"/>
      <c r="D967" s="110" t="n"/>
      <c r="E967" s="110" t="n"/>
      <c r="F967" s="110" t="n"/>
      <c r="G967" s="110" t="n"/>
      <c r="H967" s="110" t="n"/>
      <c r="I967" s="110" t="n"/>
      <c r="J967" s="110" t="n"/>
      <c r="K967" s="110" t="n"/>
      <c r="L967" s="110" t="n"/>
      <c r="M967" s="110" t="n"/>
      <c r="N967" s="110" t="n"/>
      <c r="O967" s="110" t="n"/>
      <c r="P967" s="110" t="n"/>
      <c r="Q967" s="110" t="n"/>
      <c r="R967" s="110" t="n"/>
      <c r="S967" s="110" t="n"/>
      <c r="T967" s="110" t="n"/>
      <c r="U967" s="110" t="n"/>
      <c r="V967" s="110" t="n"/>
      <c r="W967" s="110" t="n"/>
      <c r="X967" s="110" t="n"/>
      <c r="Y967" s="110" t="n"/>
      <c r="Z967" s="110" t="n"/>
    </row>
    <row r="968">
      <c r="A968" s="110" t="n"/>
      <c r="B968" s="110" t="n"/>
      <c r="C968" s="110" t="n"/>
      <c r="D968" s="110" t="n"/>
      <c r="E968" s="110" t="n"/>
      <c r="F968" s="110" t="n"/>
      <c r="G968" s="110" t="n"/>
      <c r="H968" s="110" t="n"/>
      <c r="I968" s="110" t="n"/>
      <c r="J968" s="110" t="n"/>
      <c r="K968" s="110" t="n"/>
      <c r="L968" s="110" t="n"/>
      <c r="M968" s="110" t="n"/>
      <c r="N968" s="110" t="n"/>
      <c r="O968" s="110" t="n"/>
      <c r="P968" s="110" t="n"/>
      <c r="Q968" s="110" t="n"/>
      <c r="R968" s="110" t="n"/>
      <c r="S968" s="110" t="n"/>
      <c r="T968" s="110" t="n"/>
      <c r="U968" s="110" t="n"/>
      <c r="V968" s="110" t="n"/>
      <c r="W968" s="110" t="n"/>
      <c r="X968" s="110" t="n"/>
      <c r="Y968" s="110" t="n"/>
      <c r="Z968" s="110" t="n"/>
    </row>
    <row r="969">
      <c r="A969" s="110" t="n"/>
      <c r="B969" s="110" t="n"/>
      <c r="C969" s="110" t="n"/>
      <c r="D969" s="110" t="n"/>
      <c r="E969" s="110" t="n"/>
      <c r="F969" s="110" t="n"/>
      <c r="G969" s="110" t="n"/>
      <c r="H969" s="110" t="n"/>
      <c r="I969" s="110" t="n"/>
      <c r="J969" s="110" t="n"/>
      <c r="K969" s="110" t="n"/>
      <c r="L969" s="110" t="n"/>
      <c r="M969" s="110" t="n"/>
      <c r="N969" s="110" t="n"/>
      <c r="O969" s="110" t="n"/>
      <c r="P969" s="110" t="n"/>
      <c r="Q969" s="110" t="n"/>
      <c r="R969" s="110" t="n"/>
      <c r="S969" s="110" t="n"/>
      <c r="T969" s="110" t="n"/>
      <c r="U969" s="110" t="n"/>
      <c r="V969" s="110" t="n"/>
      <c r="W969" s="110" t="n"/>
      <c r="X969" s="110" t="n"/>
      <c r="Y969" s="110" t="n"/>
      <c r="Z969" s="110" t="n"/>
    </row>
    <row r="970">
      <c r="A970" s="110" t="n"/>
      <c r="B970" s="110" t="n"/>
      <c r="C970" s="110" t="n"/>
      <c r="D970" s="110" t="n"/>
      <c r="E970" s="110" t="n"/>
      <c r="F970" s="110" t="n"/>
      <c r="G970" s="110" t="n"/>
      <c r="H970" s="110" t="n"/>
      <c r="I970" s="110" t="n"/>
      <c r="J970" s="110" t="n"/>
      <c r="K970" s="110" t="n"/>
      <c r="L970" s="110" t="n"/>
      <c r="M970" s="110" t="n"/>
      <c r="N970" s="110" t="n"/>
      <c r="O970" s="110" t="n"/>
      <c r="P970" s="110" t="n"/>
      <c r="Q970" s="110" t="n"/>
      <c r="R970" s="110" t="n"/>
      <c r="S970" s="110" t="n"/>
      <c r="T970" s="110" t="n"/>
      <c r="U970" s="110" t="n"/>
      <c r="V970" s="110" t="n"/>
      <c r="W970" s="110" t="n"/>
      <c r="X970" s="110" t="n"/>
      <c r="Y970" s="110" t="n"/>
      <c r="Z970" s="110" t="n"/>
    </row>
    <row r="971">
      <c r="A971" s="110" t="n"/>
      <c r="B971" s="110" t="n"/>
      <c r="C971" s="110" t="n"/>
      <c r="D971" s="110" t="n"/>
      <c r="E971" s="110" t="n"/>
      <c r="F971" s="110" t="n"/>
      <c r="G971" s="110" t="n"/>
      <c r="H971" s="110" t="n"/>
      <c r="I971" s="110" t="n"/>
      <c r="J971" s="110" t="n"/>
      <c r="K971" s="110" t="n"/>
      <c r="L971" s="110" t="n"/>
      <c r="M971" s="110" t="n"/>
      <c r="N971" s="110" t="n"/>
      <c r="O971" s="110" t="n"/>
      <c r="P971" s="110" t="n"/>
      <c r="Q971" s="110" t="n"/>
      <c r="R971" s="110" t="n"/>
      <c r="S971" s="110" t="n"/>
      <c r="T971" s="110" t="n"/>
      <c r="U971" s="110" t="n"/>
      <c r="V971" s="110" t="n"/>
      <c r="W971" s="110" t="n"/>
      <c r="X971" s="110" t="n"/>
      <c r="Y971" s="110" t="n"/>
      <c r="Z971" s="110" t="n"/>
    </row>
    <row r="972">
      <c r="A972" s="110" t="n"/>
      <c r="B972" s="110" t="n"/>
      <c r="C972" s="110" t="n"/>
      <c r="D972" s="110" t="n"/>
      <c r="E972" s="110" t="n"/>
      <c r="F972" s="110" t="n"/>
      <c r="G972" s="110" t="n"/>
      <c r="H972" s="110" t="n"/>
      <c r="I972" s="110" t="n"/>
      <c r="J972" s="110" t="n"/>
      <c r="K972" s="110" t="n"/>
      <c r="L972" s="110" t="n"/>
      <c r="M972" s="110" t="n"/>
      <c r="N972" s="110" t="n"/>
      <c r="O972" s="110" t="n"/>
      <c r="P972" s="110" t="n"/>
      <c r="Q972" s="110" t="n"/>
      <c r="R972" s="110" t="n"/>
      <c r="S972" s="110" t="n"/>
      <c r="T972" s="110" t="n"/>
      <c r="U972" s="110" t="n"/>
      <c r="V972" s="110" t="n"/>
      <c r="W972" s="110" t="n"/>
      <c r="X972" s="110" t="n"/>
      <c r="Y972" s="110" t="n"/>
      <c r="Z972" s="110" t="n"/>
    </row>
    <row r="973">
      <c r="A973" s="110" t="n"/>
      <c r="B973" s="110" t="n"/>
      <c r="C973" s="110" t="n"/>
      <c r="D973" s="110" t="n"/>
      <c r="E973" s="110" t="n"/>
      <c r="F973" s="110" t="n"/>
      <c r="G973" s="110" t="n"/>
      <c r="H973" s="110" t="n"/>
      <c r="I973" s="110" t="n"/>
      <c r="J973" s="110" t="n"/>
      <c r="K973" s="110" t="n"/>
      <c r="L973" s="110" t="n"/>
      <c r="M973" s="110" t="n"/>
      <c r="N973" s="110" t="n"/>
      <c r="O973" s="110" t="n"/>
      <c r="P973" s="110" t="n"/>
      <c r="Q973" s="110" t="n"/>
      <c r="R973" s="110" t="n"/>
      <c r="S973" s="110" t="n"/>
      <c r="T973" s="110" t="n"/>
      <c r="U973" s="110" t="n"/>
      <c r="V973" s="110" t="n"/>
      <c r="W973" s="110" t="n"/>
      <c r="X973" s="110" t="n"/>
      <c r="Y973" s="110" t="n"/>
      <c r="Z973" s="110" t="n"/>
    </row>
    <row r="974">
      <c r="A974" s="110" t="n"/>
      <c r="B974" s="110" t="n"/>
      <c r="C974" s="110" t="n"/>
      <c r="D974" s="110" t="n"/>
      <c r="E974" s="110" t="n"/>
      <c r="F974" s="110" t="n"/>
      <c r="G974" s="110" t="n"/>
      <c r="H974" s="110" t="n"/>
      <c r="I974" s="110" t="n"/>
      <c r="J974" s="110" t="n"/>
      <c r="K974" s="110" t="n"/>
      <c r="L974" s="110" t="n"/>
      <c r="M974" s="110" t="n"/>
      <c r="N974" s="110" t="n"/>
      <c r="O974" s="110" t="n"/>
      <c r="P974" s="110" t="n"/>
      <c r="Q974" s="110" t="n"/>
      <c r="R974" s="110" t="n"/>
      <c r="S974" s="110" t="n"/>
      <c r="T974" s="110" t="n"/>
      <c r="U974" s="110" t="n"/>
      <c r="V974" s="110" t="n"/>
      <c r="W974" s="110" t="n"/>
      <c r="X974" s="110" t="n"/>
      <c r="Y974" s="110" t="n"/>
      <c r="Z974" s="110" t="n"/>
    </row>
    <row r="975">
      <c r="A975" s="110" t="n"/>
      <c r="B975" s="110" t="n"/>
      <c r="C975" s="110" t="n"/>
      <c r="D975" s="110" t="n"/>
      <c r="E975" s="110" t="n"/>
      <c r="F975" s="110" t="n"/>
      <c r="G975" s="110" t="n"/>
      <c r="H975" s="110" t="n"/>
      <c r="I975" s="110" t="n"/>
      <c r="J975" s="110" t="n"/>
      <c r="K975" s="110" t="n"/>
      <c r="L975" s="110" t="n"/>
      <c r="M975" s="110" t="n"/>
      <c r="N975" s="110" t="n"/>
      <c r="O975" s="110" t="n"/>
      <c r="P975" s="110" t="n"/>
      <c r="Q975" s="110" t="n"/>
      <c r="R975" s="110" t="n"/>
      <c r="S975" s="110" t="n"/>
      <c r="T975" s="110" t="n"/>
      <c r="U975" s="110" t="n"/>
      <c r="V975" s="110" t="n"/>
      <c r="W975" s="110" t="n"/>
      <c r="X975" s="110" t="n"/>
      <c r="Y975" s="110" t="n"/>
      <c r="Z975" s="110" t="n"/>
    </row>
    <row r="976">
      <c r="A976" s="110" t="n"/>
      <c r="B976" s="110" t="n"/>
      <c r="C976" s="110" t="n"/>
      <c r="D976" s="110" t="n"/>
      <c r="E976" s="110" t="n"/>
      <c r="F976" s="110" t="n"/>
      <c r="G976" s="110" t="n"/>
      <c r="H976" s="110" t="n"/>
      <c r="I976" s="110" t="n"/>
      <c r="J976" s="110" t="n"/>
      <c r="K976" s="110" t="n"/>
      <c r="L976" s="110" t="n"/>
      <c r="M976" s="110" t="n"/>
      <c r="N976" s="110" t="n"/>
      <c r="O976" s="110" t="n"/>
      <c r="P976" s="110" t="n"/>
      <c r="Q976" s="110" t="n"/>
      <c r="R976" s="110" t="n"/>
      <c r="S976" s="110" t="n"/>
      <c r="T976" s="110" t="n"/>
      <c r="U976" s="110" t="n"/>
      <c r="V976" s="110" t="n"/>
      <c r="W976" s="110" t="n"/>
      <c r="X976" s="110" t="n"/>
      <c r="Y976" s="110" t="n"/>
      <c r="Z976" s="110" t="n"/>
    </row>
    <row r="977">
      <c r="A977" s="110" t="n"/>
      <c r="B977" s="110" t="n"/>
      <c r="C977" s="110" t="n"/>
      <c r="D977" s="110" t="n"/>
      <c r="E977" s="110" t="n"/>
      <c r="F977" s="110" t="n"/>
      <c r="G977" s="110" t="n"/>
      <c r="H977" s="110" t="n"/>
      <c r="I977" s="110" t="n"/>
      <c r="J977" s="110" t="n"/>
      <c r="K977" s="110" t="n"/>
      <c r="L977" s="110" t="n"/>
      <c r="M977" s="110" t="n"/>
      <c r="N977" s="110" t="n"/>
      <c r="O977" s="110" t="n"/>
      <c r="P977" s="110" t="n"/>
      <c r="Q977" s="110" t="n"/>
      <c r="R977" s="110" t="n"/>
      <c r="S977" s="110" t="n"/>
      <c r="T977" s="110" t="n"/>
      <c r="U977" s="110" t="n"/>
      <c r="V977" s="110" t="n"/>
      <c r="W977" s="110" t="n"/>
      <c r="X977" s="110" t="n"/>
      <c r="Y977" s="110" t="n"/>
      <c r="Z977" s="110" t="n"/>
    </row>
    <row r="978">
      <c r="A978" s="110" t="n"/>
      <c r="B978" s="110" t="n"/>
      <c r="C978" s="110" t="n"/>
      <c r="D978" s="110" t="n"/>
      <c r="E978" s="110" t="n"/>
      <c r="F978" s="110" t="n"/>
      <c r="G978" s="110" t="n"/>
      <c r="H978" s="110" t="n"/>
      <c r="I978" s="110" t="n"/>
      <c r="J978" s="110" t="n"/>
      <c r="K978" s="110" t="n"/>
      <c r="L978" s="110" t="n"/>
      <c r="M978" s="110" t="n"/>
      <c r="N978" s="110" t="n"/>
      <c r="O978" s="110" t="n"/>
      <c r="P978" s="110" t="n"/>
      <c r="Q978" s="110" t="n"/>
      <c r="R978" s="110" t="n"/>
      <c r="S978" s="110" t="n"/>
      <c r="T978" s="110" t="n"/>
      <c r="U978" s="110" t="n"/>
      <c r="V978" s="110" t="n"/>
      <c r="W978" s="110" t="n"/>
      <c r="X978" s="110" t="n"/>
      <c r="Y978" s="110" t="n"/>
      <c r="Z978" s="110" t="n"/>
    </row>
    <row r="979">
      <c r="A979" s="110" t="n"/>
      <c r="B979" s="110" t="n"/>
      <c r="C979" s="110" t="n"/>
      <c r="D979" s="110" t="n"/>
      <c r="E979" s="110" t="n"/>
      <c r="F979" s="110" t="n"/>
      <c r="G979" s="110" t="n"/>
      <c r="H979" s="110" t="n"/>
      <c r="I979" s="110" t="n"/>
      <c r="J979" s="110" t="n"/>
      <c r="K979" s="110" t="n"/>
      <c r="L979" s="110" t="n"/>
      <c r="M979" s="110" t="n"/>
      <c r="N979" s="110" t="n"/>
      <c r="O979" s="110" t="n"/>
      <c r="P979" s="110" t="n"/>
      <c r="Q979" s="110" t="n"/>
      <c r="R979" s="110" t="n"/>
      <c r="S979" s="110" t="n"/>
      <c r="T979" s="110" t="n"/>
      <c r="U979" s="110" t="n"/>
      <c r="V979" s="110" t="n"/>
      <c r="W979" s="110" t="n"/>
      <c r="X979" s="110" t="n"/>
      <c r="Y979" s="110" t="n"/>
      <c r="Z979" s="110" t="n"/>
    </row>
    <row r="980">
      <c r="A980" s="110" t="n"/>
      <c r="B980" s="110" t="n"/>
      <c r="C980" s="110" t="n"/>
      <c r="D980" s="110" t="n"/>
      <c r="E980" s="110" t="n"/>
      <c r="F980" s="110" t="n"/>
      <c r="G980" s="110" t="n"/>
      <c r="H980" s="110" t="n"/>
      <c r="I980" s="110" t="n"/>
      <c r="J980" s="110" t="n"/>
      <c r="K980" s="110" t="n"/>
      <c r="L980" s="110" t="n"/>
      <c r="M980" s="110" t="n"/>
      <c r="N980" s="110" t="n"/>
      <c r="O980" s="110" t="n"/>
      <c r="P980" s="110" t="n"/>
      <c r="Q980" s="110" t="n"/>
      <c r="R980" s="110" t="n"/>
      <c r="S980" s="110" t="n"/>
      <c r="T980" s="110" t="n"/>
      <c r="U980" s="110" t="n"/>
      <c r="V980" s="110" t="n"/>
      <c r="W980" s="110" t="n"/>
      <c r="X980" s="110" t="n"/>
      <c r="Y980" s="110" t="n"/>
      <c r="Z980" s="110" t="n"/>
    </row>
    <row r="981">
      <c r="A981" s="110" t="n"/>
      <c r="B981" s="110" t="n"/>
      <c r="C981" s="110" t="n"/>
      <c r="D981" s="110" t="n"/>
      <c r="E981" s="110" t="n"/>
      <c r="F981" s="110" t="n"/>
      <c r="G981" s="110" t="n"/>
      <c r="H981" s="110" t="n"/>
      <c r="I981" s="110" t="n"/>
      <c r="J981" s="110" t="n"/>
      <c r="K981" s="110" t="n"/>
      <c r="L981" s="110" t="n"/>
      <c r="M981" s="110" t="n"/>
      <c r="N981" s="110" t="n"/>
      <c r="O981" s="110" t="n"/>
      <c r="P981" s="110" t="n"/>
      <c r="Q981" s="110" t="n"/>
      <c r="R981" s="110" t="n"/>
      <c r="S981" s="110" t="n"/>
      <c r="T981" s="110" t="n"/>
      <c r="U981" s="110" t="n"/>
      <c r="V981" s="110" t="n"/>
      <c r="W981" s="110" t="n"/>
      <c r="X981" s="110" t="n"/>
      <c r="Y981" s="110" t="n"/>
      <c r="Z981" s="110" t="n"/>
    </row>
    <row r="982">
      <c r="A982" s="110" t="n"/>
      <c r="B982" s="110" t="n"/>
      <c r="C982" s="110" t="n"/>
      <c r="D982" s="110" t="n"/>
      <c r="E982" s="110" t="n"/>
      <c r="F982" s="110" t="n"/>
      <c r="G982" s="110" t="n"/>
      <c r="H982" s="110" t="n"/>
      <c r="I982" s="110" t="n"/>
      <c r="J982" s="110" t="n"/>
      <c r="K982" s="110" t="n"/>
      <c r="L982" s="110" t="n"/>
      <c r="M982" s="110" t="n"/>
      <c r="N982" s="110" t="n"/>
      <c r="O982" s="110" t="n"/>
      <c r="P982" s="110" t="n"/>
      <c r="Q982" s="110" t="n"/>
      <c r="R982" s="110" t="n"/>
      <c r="S982" s="110" t="n"/>
      <c r="T982" s="110" t="n"/>
      <c r="U982" s="110" t="n"/>
      <c r="V982" s="110" t="n"/>
      <c r="W982" s="110" t="n"/>
      <c r="X982" s="110" t="n"/>
      <c r="Y982" s="110" t="n"/>
      <c r="Z982" s="110" t="n"/>
    </row>
    <row r="983">
      <c r="A983" s="110" t="n"/>
      <c r="B983" s="110" t="n"/>
      <c r="C983" s="110" t="n"/>
      <c r="D983" s="110" t="n"/>
      <c r="E983" s="110" t="n"/>
      <c r="F983" s="110" t="n"/>
      <c r="G983" s="110" t="n"/>
      <c r="H983" s="110" t="n"/>
      <c r="I983" s="110" t="n"/>
      <c r="J983" s="110" t="n"/>
      <c r="K983" s="110" t="n"/>
      <c r="L983" s="110" t="n"/>
      <c r="M983" s="110" t="n"/>
      <c r="N983" s="110" t="n"/>
      <c r="O983" s="110" t="n"/>
      <c r="P983" s="110" t="n"/>
      <c r="Q983" s="110" t="n"/>
      <c r="R983" s="110" t="n"/>
      <c r="S983" s="110" t="n"/>
      <c r="T983" s="110" t="n"/>
      <c r="U983" s="110" t="n"/>
      <c r="V983" s="110" t="n"/>
      <c r="W983" s="110" t="n"/>
      <c r="X983" s="110" t="n"/>
      <c r="Y983" s="110" t="n"/>
      <c r="Z983" s="110" t="n"/>
    </row>
    <row r="984">
      <c r="A984" s="110" t="n"/>
      <c r="B984" s="110" t="n"/>
      <c r="C984" s="110" t="n"/>
      <c r="D984" s="110" t="n"/>
      <c r="E984" s="110" t="n"/>
      <c r="F984" s="110" t="n"/>
      <c r="G984" s="110" t="n"/>
      <c r="H984" s="110" t="n"/>
      <c r="I984" s="110" t="n"/>
      <c r="J984" s="110" t="n"/>
      <c r="K984" s="110" t="n"/>
      <c r="L984" s="110" t="n"/>
      <c r="M984" s="110" t="n"/>
      <c r="N984" s="110" t="n"/>
      <c r="O984" s="110" t="n"/>
      <c r="P984" s="110" t="n"/>
      <c r="Q984" s="110" t="n"/>
      <c r="R984" s="110" t="n"/>
      <c r="S984" s="110" t="n"/>
      <c r="T984" s="110" t="n"/>
      <c r="U984" s="110" t="n"/>
      <c r="V984" s="110" t="n"/>
      <c r="W984" s="110" t="n"/>
      <c r="X984" s="110" t="n"/>
      <c r="Y984" s="110" t="n"/>
      <c r="Z984" s="110" t="n"/>
    </row>
    <row r="985">
      <c r="A985" s="110" t="n"/>
      <c r="B985" s="110" t="n"/>
      <c r="C985" s="110" t="n"/>
      <c r="D985" s="110" t="n"/>
      <c r="E985" s="110" t="n"/>
      <c r="F985" s="110" t="n"/>
      <c r="G985" s="110" t="n"/>
      <c r="H985" s="110" t="n"/>
      <c r="I985" s="110" t="n"/>
      <c r="J985" s="110" t="n"/>
      <c r="K985" s="110" t="n"/>
      <c r="L985" s="110" t="n"/>
      <c r="M985" s="110" t="n"/>
      <c r="N985" s="110" t="n"/>
      <c r="O985" s="110" t="n"/>
      <c r="P985" s="110" t="n"/>
      <c r="Q985" s="110" t="n"/>
      <c r="R985" s="110" t="n"/>
      <c r="S985" s="110" t="n"/>
      <c r="T985" s="110" t="n"/>
      <c r="U985" s="110" t="n"/>
      <c r="V985" s="110" t="n"/>
      <c r="W985" s="110" t="n"/>
      <c r="X985" s="110" t="n"/>
      <c r="Y985" s="110" t="n"/>
      <c r="Z985" s="110" t="n"/>
    </row>
    <row r="986">
      <c r="A986" s="110" t="n"/>
      <c r="B986" s="110" t="n"/>
      <c r="C986" s="110" t="n"/>
      <c r="D986" s="110" t="n"/>
      <c r="E986" s="110" t="n"/>
      <c r="F986" s="110" t="n"/>
      <c r="G986" s="110" t="n"/>
      <c r="H986" s="110" t="n"/>
      <c r="I986" s="110" t="n"/>
      <c r="J986" s="110" t="n"/>
      <c r="K986" s="110" t="n"/>
      <c r="L986" s="110" t="n"/>
      <c r="M986" s="110" t="n"/>
      <c r="N986" s="110" t="n"/>
      <c r="O986" s="110" t="n"/>
      <c r="P986" s="110" t="n"/>
      <c r="Q986" s="110" t="n"/>
      <c r="R986" s="110" t="n"/>
      <c r="S986" s="110" t="n"/>
      <c r="T986" s="110" t="n"/>
      <c r="U986" s="110" t="n"/>
      <c r="V986" s="110" t="n"/>
      <c r="W986" s="110" t="n"/>
      <c r="X986" s="110" t="n"/>
      <c r="Y986" s="110" t="n"/>
      <c r="Z986" s="110" t="n"/>
    </row>
    <row r="987">
      <c r="A987" s="110" t="n"/>
      <c r="B987" s="110" t="n"/>
      <c r="C987" s="110" t="n"/>
      <c r="D987" s="110" t="n"/>
      <c r="E987" s="110" t="n"/>
      <c r="F987" s="110" t="n"/>
      <c r="G987" s="110" t="n"/>
      <c r="H987" s="110" t="n"/>
      <c r="I987" s="110" t="n"/>
      <c r="J987" s="110" t="n"/>
      <c r="K987" s="110" t="n"/>
      <c r="L987" s="110" t="n"/>
      <c r="M987" s="110" t="n"/>
      <c r="N987" s="110" t="n"/>
      <c r="O987" s="110" t="n"/>
      <c r="P987" s="110" t="n"/>
      <c r="Q987" s="110" t="n"/>
      <c r="R987" s="110" t="n"/>
      <c r="S987" s="110" t="n"/>
      <c r="T987" s="110" t="n"/>
      <c r="U987" s="110" t="n"/>
      <c r="V987" s="110" t="n"/>
      <c r="W987" s="110" t="n"/>
      <c r="X987" s="110" t="n"/>
      <c r="Y987" s="110" t="n"/>
      <c r="Z987" s="110" t="n"/>
    </row>
    <row r="988">
      <c r="A988" s="110" t="n"/>
      <c r="B988" s="110" t="n"/>
      <c r="C988" s="110" t="n"/>
      <c r="D988" s="110" t="n"/>
      <c r="E988" s="110" t="n"/>
      <c r="F988" s="110" t="n"/>
      <c r="G988" s="110" t="n"/>
      <c r="H988" s="110" t="n"/>
      <c r="I988" s="110" t="n"/>
      <c r="J988" s="110" t="n"/>
      <c r="K988" s="110" t="n"/>
      <c r="L988" s="110" t="n"/>
      <c r="M988" s="110" t="n"/>
      <c r="N988" s="110" t="n"/>
      <c r="O988" s="110" t="n"/>
      <c r="P988" s="110" t="n"/>
      <c r="Q988" s="110" t="n"/>
      <c r="R988" s="110" t="n"/>
      <c r="S988" s="110" t="n"/>
      <c r="T988" s="110" t="n"/>
      <c r="U988" s="110" t="n"/>
      <c r="V988" s="110" t="n"/>
      <c r="W988" s="110" t="n"/>
      <c r="X988" s="110" t="n"/>
      <c r="Y988" s="110" t="n"/>
      <c r="Z988" s="110" t="n"/>
    </row>
    <row r="989">
      <c r="A989" s="110" t="n"/>
      <c r="B989" s="110" t="n"/>
      <c r="C989" s="110" t="n"/>
      <c r="D989" s="110" t="n"/>
      <c r="E989" s="110" t="n"/>
      <c r="F989" s="110" t="n"/>
      <c r="G989" s="110" t="n"/>
      <c r="H989" s="110" t="n"/>
      <c r="I989" s="110" t="n"/>
      <c r="J989" s="110" t="n"/>
      <c r="K989" s="110" t="n"/>
      <c r="L989" s="110" t="n"/>
      <c r="M989" s="110" t="n"/>
      <c r="N989" s="110" t="n"/>
      <c r="O989" s="110" t="n"/>
      <c r="P989" s="110" t="n"/>
      <c r="Q989" s="110" t="n"/>
      <c r="R989" s="110" t="n"/>
      <c r="S989" s="110" t="n"/>
      <c r="T989" s="110" t="n"/>
      <c r="U989" s="110" t="n"/>
      <c r="V989" s="110" t="n"/>
      <c r="W989" s="110" t="n"/>
      <c r="X989" s="110" t="n"/>
      <c r="Y989" s="110" t="n"/>
      <c r="Z989" s="110" t="n"/>
    </row>
    <row r="990">
      <c r="A990" s="110" t="n"/>
      <c r="B990" s="110" t="n"/>
      <c r="C990" s="110" t="n"/>
      <c r="D990" s="110" t="n"/>
      <c r="E990" s="110" t="n"/>
      <c r="F990" s="110" t="n"/>
      <c r="G990" s="110" t="n"/>
      <c r="H990" s="110" t="n"/>
      <c r="I990" s="110" t="n"/>
      <c r="J990" s="110" t="n"/>
      <c r="K990" s="110" t="n"/>
      <c r="L990" s="110" t="n"/>
      <c r="M990" s="110" t="n"/>
      <c r="N990" s="110" t="n"/>
      <c r="O990" s="110" t="n"/>
      <c r="P990" s="110" t="n"/>
      <c r="Q990" s="110" t="n"/>
      <c r="R990" s="110" t="n"/>
      <c r="S990" s="110" t="n"/>
      <c r="T990" s="110" t="n"/>
      <c r="U990" s="110" t="n"/>
      <c r="V990" s="110" t="n"/>
      <c r="W990" s="110" t="n"/>
      <c r="X990" s="110" t="n"/>
      <c r="Y990" s="110" t="n"/>
      <c r="Z990" s="110" t="n"/>
    </row>
    <row r="991">
      <c r="A991" s="110" t="n"/>
      <c r="B991" s="110" t="n"/>
      <c r="C991" s="110" t="n"/>
      <c r="D991" s="110" t="n"/>
      <c r="E991" s="110" t="n"/>
      <c r="F991" s="110" t="n"/>
      <c r="G991" s="110" t="n"/>
      <c r="H991" s="110" t="n"/>
      <c r="I991" s="110" t="n"/>
      <c r="J991" s="110" t="n"/>
      <c r="K991" s="110" t="n"/>
      <c r="L991" s="110" t="n"/>
      <c r="M991" s="110" t="n"/>
      <c r="N991" s="110" t="n"/>
      <c r="O991" s="110" t="n"/>
      <c r="P991" s="110" t="n"/>
      <c r="Q991" s="110" t="n"/>
      <c r="R991" s="110" t="n"/>
      <c r="S991" s="110" t="n"/>
      <c r="T991" s="110" t="n"/>
      <c r="U991" s="110" t="n"/>
      <c r="V991" s="110" t="n"/>
      <c r="W991" s="110" t="n"/>
      <c r="X991" s="110" t="n"/>
      <c r="Y991" s="110" t="n"/>
      <c r="Z991" s="110" t="n"/>
    </row>
    <row r="992">
      <c r="A992" s="110" t="n"/>
      <c r="B992" s="110" t="n"/>
      <c r="C992" s="110" t="n"/>
      <c r="D992" s="110" t="n"/>
      <c r="E992" s="110" t="n"/>
      <c r="F992" s="110" t="n"/>
      <c r="G992" s="110" t="n"/>
      <c r="H992" s="110" t="n"/>
      <c r="I992" s="110" t="n"/>
      <c r="J992" s="110" t="n"/>
      <c r="K992" s="110" t="n"/>
      <c r="L992" s="110" t="n"/>
      <c r="M992" s="110" t="n"/>
      <c r="N992" s="110" t="n"/>
      <c r="O992" s="110" t="n"/>
      <c r="P992" s="110" t="n"/>
      <c r="Q992" s="110" t="n"/>
      <c r="R992" s="110" t="n"/>
      <c r="S992" s="110" t="n"/>
      <c r="T992" s="110" t="n"/>
      <c r="U992" s="110" t="n"/>
      <c r="V992" s="110" t="n"/>
      <c r="W992" s="110" t="n"/>
      <c r="X992" s="110" t="n"/>
      <c r="Y992" s="110" t="n"/>
      <c r="Z992" s="110" t="n"/>
    </row>
    <row r="993">
      <c r="A993" s="110" t="n"/>
      <c r="B993" s="110" t="n"/>
      <c r="C993" s="110" t="n"/>
      <c r="D993" s="110" t="n"/>
      <c r="E993" s="110" t="n"/>
      <c r="F993" s="110" t="n"/>
      <c r="G993" s="110" t="n"/>
      <c r="H993" s="110" t="n"/>
      <c r="I993" s="110" t="n"/>
      <c r="J993" s="110" t="n"/>
      <c r="K993" s="110" t="n"/>
      <c r="L993" s="110" t="n"/>
      <c r="M993" s="110" t="n"/>
      <c r="N993" s="110" t="n"/>
      <c r="O993" s="110" t="n"/>
      <c r="P993" s="110" t="n"/>
      <c r="Q993" s="110" t="n"/>
      <c r="R993" s="110" t="n"/>
      <c r="S993" s="110" t="n"/>
      <c r="T993" s="110" t="n"/>
      <c r="U993" s="110" t="n"/>
      <c r="V993" s="110" t="n"/>
      <c r="W993" s="110" t="n"/>
      <c r="X993" s="110" t="n"/>
      <c r="Y993" s="110" t="n"/>
      <c r="Z993" s="110" t="n"/>
    </row>
    <row r="994">
      <c r="A994" s="110" t="n"/>
      <c r="B994" s="110" t="n"/>
      <c r="C994" s="110" t="n"/>
      <c r="D994" s="110" t="n"/>
      <c r="E994" s="110" t="n"/>
      <c r="F994" s="110" t="n"/>
      <c r="G994" s="110" t="n"/>
      <c r="H994" s="110" t="n"/>
      <c r="I994" s="110" t="n"/>
      <c r="J994" s="110" t="n"/>
      <c r="K994" s="110" t="n"/>
      <c r="L994" s="110" t="n"/>
      <c r="M994" s="110" t="n"/>
      <c r="N994" s="110" t="n"/>
      <c r="O994" s="110" t="n"/>
      <c r="P994" s="110" t="n"/>
      <c r="Q994" s="110" t="n"/>
      <c r="R994" s="110" t="n"/>
      <c r="S994" s="110" t="n"/>
      <c r="T994" s="110" t="n"/>
      <c r="U994" s="110" t="n"/>
      <c r="V994" s="110" t="n"/>
      <c r="W994" s="110" t="n"/>
      <c r="X994" s="110" t="n"/>
      <c r="Y994" s="110" t="n"/>
      <c r="Z994" s="110" t="n"/>
    </row>
    <row r="995">
      <c r="A995" s="110" t="n"/>
      <c r="B995" s="110" t="n"/>
      <c r="C995" s="110" t="n"/>
      <c r="D995" s="110" t="n"/>
      <c r="E995" s="110" t="n"/>
      <c r="F995" s="110" t="n"/>
      <c r="G995" s="110" t="n"/>
      <c r="H995" s="110" t="n"/>
      <c r="I995" s="110" t="n"/>
      <c r="J995" s="110" t="n"/>
      <c r="K995" s="110" t="n"/>
      <c r="L995" s="110" t="n"/>
      <c r="M995" s="110" t="n"/>
      <c r="N995" s="110" t="n"/>
      <c r="O995" s="110" t="n"/>
      <c r="P995" s="110" t="n"/>
      <c r="Q995" s="110" t="n"/>
      <c r="R995" s="110" t="n"/>
      <c r="S995" s="110" t="n"/>
      <c r="T995" s="110" t="n"/>
      <c r="U995" s="110" t="n"/>
      <c r="V995" s="110" t="n"/>
      <c r="W995" s="110" t="n"/>
      <c r="X995" s="110" t="n"/>
      <c r="Y995" s="110" t="n"/>
      <c r="Z995" s="110" t="n"/>
    </row>
    <row r="996">
      <c r="A996" s="110" t="n"/>
      <c r="B996" s="110" t="n"/>
      <c r="C996" s="110" t="n"/>
      <c r="D996" s="110" t="n"/>
      <c r="E996" s="110" t="n"/>
      <c r="F996" s="110" t="n"/>
      <c r="G996" s="110" t="n"/>
      <c r="H996" s="110" t="n"/>
      <c r="I996" s="110" t="n"/>
      <c r="J996" s="110" t="n"/>
      <c r="K996" s="110" t="n"/>
      <c r="L996" s="110" t="n"/>
      <c r="M996" s="110" t="n"/>
      <c r="N996" s="110" t="n"/>
      <c r="O996" s="110" t="n"/>
      <c r="P996" s="110" t="n"/>
      <c r="Q996" s="110" t="n"/>
      <c r="R996" s="110" t="n"/>
      <c r="S996" s="110" t="n"/>
      <c r="T996" s="110" t="n"/>
      <c r="U996" s="110" t="n"/>
      <c r="V996" s="110" t="n"/>
      <c r="W996" s="110" t="n"/>
      <c r="X996" s="110" t="n"/>
      <c r="Y996" s="110" t="n"/>
      <c r="Z996" s="110" t="n"/>
    </row>
    <row r="997">
      <c r="A997" s="110" t="n"/>
      <c r="B997" s="110" t="n"/>
      <c r="C997" s="110" t="n"/>
      <c r="D997" s="110" t="n"/>
      <c r="E997" s="110" t="n"/>
      <c r="F997" s="110" t="n"/>
      <c r="G997" s="110" t="n"/>
      <c r="H997" s="110" t="n"/>
      <c r="I997" s="110" t="n"/>
      <c r="J997" s="110" t="n"/>
      <c r="K997" s="110" t="n"/>
      <c r="L997" s="110" t="n"/>
      <c r="M997" s="110" t="n"/>
      <c r="N997" s="110" t="n"/>
      <c r="O997" s="110" t="n"/>
      <c r="P997" s="110" t="n"/>
      <c r="Q997" s="110" t="n"/>
      <c r="R997" s="110" t="n"/>
      <c r="S997" s="110" t="n"/>
      <c r="T997" s="110" t="n"/>
      <c r="U997" s="110" t="n"/>
      <c r="V997" s="110" t="n"/>
      <c r="W997" s="110" t="n"/>
      <c r="X997" s="110" t="n"/>
      <c r="Y997" s="110" t="n"/>
      <c r="Z997" s="110" t="n"/>
    </row>
    <row r="998">
      <c r="A998" s="110" t="n"/>
      <c r="B998" s="110" t="n"/>
      <c r="C998" s="110" t="n"/>
      <c r="D998" s="110" t="n"/>
      <c r="E998" s="110" t="n"/>
      <c r="F998" s="110" t="n"/>
      <c r="G998" s="110" t="n"/>
      <c r="H998" s="110" t="n"/>
      <c r="I998" s="110" t="n"/>
      <c r="J998" s="110" t="n"/>
      <c r="K998" s="110" t="n"/>
      <c r="L998" s="110" t="n"/>
      <c r="M998" s="110" t="n"/>
      <c r="N998" s="110" t="n"/>
      <c r="O998" s="110" t="n"/>
      <c r="P998" s="110" t="n"/>
      <c r="Q998" s="110" t="n"/>
      <c r="R998" s="110" t="n"/>
      <c r="S998" s="110" t="n"/>
      <c r="T998" s="110" t="n"/>
      <c r="U998" s="110" t="n"/>
      <c r="V998" s="110" t="n"/>
      <c r="W998" s="110" t="n"/>
      <c r="X998" s="110" t="n"/>
      <c r="Y998" s="110" t="n"/>
      <c r="Z998" s="110" t="n"/>
    </row>
    <row r="999">
      <c r="A999" s="110" t="n"/>
      <c r="B999" s="110" t="n"/>
      <c r="C999" s="110" t="n"/>
      <c r="D999" s="110" t="n"/>
      <c r="E999" s="110" t="n"/>
      <c r="F999" s="110" t="n"/>
      <c r="G999" s="110" t="n"/>
      <c r="H999" s="110" t="n"/>
      <c r="I999" s="110" t="n"/>
      <c r="J999" s="110" t="n"/>
      <c r="K999" s="110" t="n"/>
      <c r="L999" s="110" t="n"/>
      <c r="M999" s="110" t="n"/>
      <c r="N999" s="110" t="n"/>
      <c r="O999" s="110" t="n"/>
      <c r="P999" s="110" t="n"/>
      <c r="Q999" s="110" t="n"/>
      <c r="R999" s="110" t="n"/>
      <c r="S999" s="110" t="n"/>
      <c r="T999" s="110" t="n"/>
      <c r="U999" s="110" t="n"/>
      <c r="V999" s="110" t="n"/>
      <c r="W999" s="110" t="n"/>
      <c r="X999" s="110" t="n"/>
      <c r="Y999" s="110" t="n"/>
      <c r="Z999" s="110" t="n"/>
    </row>
    <row r="1000">
      <c r="A1000" s="110" t="n"/>
      <c r="B1000" s="110" t="n"/>
      <c r="C1000" s="110" t="n"/>
      <c r="D1000" s="110" t="n"/>
      <c r="E1000" s="110" t="n"/>
      <c r="F1000" s="110" t="n"/>
      <c r="G1000" s="110" t="n"/>
      <c r="H1000" s="110" t="n"/>
      <c r="I1000" s="110" t="n"/>
      <c r="J1000" s="110" t="n"/>
      <c r="K1000" s="110" t="n"/>
      <c r="L1000" s="110" t="n"/>
      <c r="M1000" s="110" t="n"/>
      <c r="N1000" s="110" t="n"/>
      <c r="O1000" s="110" t="n"/>
      <c r="P1000" s="110" t="n"/>
      <c r="Q1000" s="110" t="n"/>
      <c r="R1000" s="110" t="n"/>
      <c r="S1000" s="110" t="n"/>
      <c r="T1000" s="110" t="n"/>
      <c r="U1000" s="110" t="n"/>
      <c r="V1000" s="110" t="n"/>
      <c r="W1000" s="110" t="n"/>
      <c r="X1000" s="110" t="n"/>
      <c r="Y1000" s="110" t="n"/>
      <c r="Z1000" s="11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2026-04-04T13:11:38Z</dcterms:created>
  <dcterms:modified xsi:type="dcterms:W3CDTF">2026-04-04T13:11:41Z</dcterms:modified>
  <cp:lastModifiedBy>K72A03_41_Trần Công Toàn</cp:lastModifiedBy>
</cp:coreProperties>
</file>